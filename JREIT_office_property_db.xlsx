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法人マスタ" sheetId="2" state="visible" r:id="rId4"/>
    <sheet name="物件マスタ" sheetId="3" state="visible" r:id="rId5"/>
    <sheet name="物件収支" sheetId="4" state="visible" r:id="rId6"/>
    <sheet name="比較ビュー" sheetId="5" state="visible" r:id="rId7"/>
    <sheet name="環境認証" sheetId="6" state="visible" r:id="rId8"/>
    <sheet name="投資法人戦略" sheetId="7" state="visible" r:id="rId9"/>
    <sheet name="PM会社_物件別" sheetId="8" state="visible" r:id="rId10"/>
    <sheet name="PM会社_集計" sheetId="9" state="visible" r:id="rId11"/>
  </sheets>
  <definedNames>
    <definedName function="false" hidden="true" localSheetId="4" name="_xlnm._FilterDatabase" vbProcedure="false">比較ビュー!$A$1:$Z$301</definedName>
    <definedName function="false" hidden="true" localSheetId="1" name="_xlnm._FilterDatabase" vbProcedure="false">法人マスタ!$A$1:$M$301</definedName>
    <definedName function="false" hidden="true" localSheetId="2" name="_xlnm._FilterDatabase" vbProcedure="false">物件マスタ!$A$1:$AB$301</definedName>
    <definedName function="false" hidden="true" localSheetId="3" name="_xlnm._FilterDatabase" vbProcedure="false">物件収支!$A$1:$X$301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<sst xmlns="http://schemas.openxmlformats.org/spreadsheetml/2006/main" count="41101" uniqueCount="5415">
  <si>
    <r>
      <rPr>
        <b val="true"/>
        <sz val="14"/>
        <rFont val="Arial"/>
        <family val="0"/>
        <charset val="1"/>
      </rPr>
      <t xml:space="preserve">J-REIT</t>
    </r>
    <r>
      <rPr>
        <b val="true"/>
        <sz val="14"/>
        <rFont val="Noto Sans CJK SC"/>
        <family val="2"/>
      </rPr>
      <t xml:space="preserve">オフィス系</t>
    </r>
    <r>
      <rPr>
        <b val="true"/>
        <sz val="14"/>
        <rFont val="Arial"/>
        <family val="0"/>
        <charset val="1"/>
      </rPr>
      <t xml:space="preserve">16</t>
    </r>
    <r>
      <rPr>
        <b val="true"/>
        <sz val="14"/>
        <rFont val="Noto Sans CJK SC"/>
        <family val="2"/>
      </rPr>
      <t xml:space="preserve">法人 保有物件・収支比較データベース</t>
    </r>
  </si>
  <si>
    <t xml:space="preserve">【完成】全16法人・1,273行(物件1,203+期中譲渡等+法人一括16行)の投入・5段階検証を完了(2026/8/8)</t>
  </si>
  <si>
    <r>
      <rPr>
        <b val="true"/>
        <sz val="10"/>
        <rFont val="Arial"/>
        <family val="0"/>
        <charset val="1"/>
      </rPr>
      <t xml:space="preserve">1. </t>
    </r>
    <r>
      <rPr>
        <b val="true"/>
        <sz val="10"/>
        <rFont val="Noto Sans CJK SC"/>
        <family val="2"/>
      </rPr>
      <t xml:space="preserve">基本情報</t>
    </r>
  </si>
  <si>
    <r>
      <rPr>
        <sz val="10"/>
        <color rgb="FF0000FF"/>
        <rFont val="Arial"/>
        <family val="0"/>
        <charset val="1"/>
      </rPr>
      <t xml:space="preserve">16</t>
    </r>
    <r>
      <rPr>
        <sz val="10"/>
        <color rgb="FF0000FF"/>
        <rFont val="Noto Sans CJK SC"/>
        <family val="2"/>
      </rPr>
      <t xml:space="preserve">法人取得価格合計</t>
    </r>
    <r>
      <rPr>
        <sz val="10"/>
        <color rgb="FF0000FF"/>
        <rFont val="Arial"/>
        <family val="0"/>
        <charset val="1"/>
      </rPr>
      <t xml:space="preserve">: 8,485,612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約</t>
    </r>
    <r>
      <rPr>
        <sz val="10"/>
        <color rgb="FF0000FF"/>
        <rFont val="Arial"/>
        <family val="0"/>
        <charset val="1"/>
      </rPr>
      <t xml:space="preserve">8.49</t>
    </r>
    <r>
      <rPr>
        <sz val="10"/>
        <color rgb="FF0000FF"/>
        <rFont val="Noto Sans CJK SC"/>
        <family val="2"/>
      </rPr>
      <t xml:space="preserve">兆円</t>
    </r>
    <r>
      <rPr>
        <sz val="10"/>
        <color rgb="FF0000FF"/>
        <rFont val="Arial"/>
        <family val="0"/>
        <charset val="1"/>
      </rPr>
      <t xml:space="preserve">)</t>
    </r>
    <r>
      <rPr>
        <sz val="10"/>
        <color rgb="FF0000FF"/>
        <rFont val="Noto Sans CJK SC"/>
        <family val="2"/>
      </rPr>
      <t xml:space="preserve">。各法人とも最新決算期短信と照合済</t>
    </r>
    <r>
      <rPr>
        <sz val="10"/>
        <color rgb="FF0000FF"/>
        <rFont val="Arial"/>
        <family val="0"/>
        <charset val="1"/>
      </rPr>
      <t xml:space="preserve">(</t>
    </r>
    <r>
      <rPr>
        <sz val="10"/>
        <color rgb="FF0000FF"/>
        <rFont val="Noto Sans CJK SC"/>
        <family val="2"/>
      </rPr>
      <t xml:space="preserve">鑑定評価額・</t>
    </r>
    <r>
      <rPr>
        <sz val="10"/>
        <color rgb="FF0000FF"/>
        <rFont val="Arial"/>
        <family val="0"/>
        <charset val="1"/>
      </rPr>
      <t xml:space="preserve">NLA</t>
    </r>
    <r>
      <rPr>
        <sz val="10"/>
        <color rgb="FF0000FF"/>
        <rFont val="Noto Sans CJK SC"/>
        <family val="2"/>
      </rPr>
      <t xml:space="preserve">・テナント数は原則完全一致、取得・帳簿の物件別合算と合計欄の差は百万円未満切捨て</t>
    </r>
    <r>
      <rPr>
        <sz val="10"/>
        <color rgb="FF0000FF"/>
        <rFont val="Arial"/>
        <family val="0"/>
        <charset val="1"/>
      </rPr>
      <t xml:space="preserve">/</t>
    </r>
    <r>
      <rPr>
        <sz val="10"/>
        <color rgb="FF0000FF"/>
        <rFont val="Noto Sans CJK SC"/>
        <family val="2"/>
      </rPr>
      <t xml:space="preserve">四捨五入</t>
    </r>
    <r>
      <rPr>
        <sz val="10"/>
        <color rgb="FF0000FF"/>
        <rFont val="Arial"/>
        <family val="0"/>
        <charset val="1"/>
      </rPr>
      <t xml:space="preserve">(HLC</t>
    </r>
    <r>
      <rPr>
        <sz val="10"/>
        <color rgb="FF0000FF"/>
        <rFont val="Noto Sans CJK SC"/>
        <family val="2"/>
      </rPr>
      <t xml:space="preserve">のみ</t>
    </r>
    <r>
      <rPr>
        <sz val="10"/>
        <color rgb="FF0000FF"/>
        <rFont val="Arial"/>
        <family val="0"/>
        <charset val="1"/>
      </rPr>
      <t xml:space="preserve">)</t>
    </r>
    <r>
      <rPr>
        <sz val="10"/>
        <color rgb="FF0000FF"/>
        <rFont val="Noto Sans CJK SC"/>
        <family val="2"/>
      </rPr>
      <t xml:space="preserve">の累積として全件注記済</t>
    </r>
    <r>
      <rPr>
        <sz val="10"/>
        <color rgb="FF0000FF"/>
        <rFont val="Arial"/>
        <family val="0"/>
        <charset val="1"/>
      </rPr>
      <t xml:space="preserve">)</t>
    </r>
  </si>
  <si>
    <t xml:space="preserve">作成日</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</si>
  <si>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t>
    </r>
    <r>
      <rPr>
        <sz val="10"/>
        <color rgb="FF0000FF"/>
        <rFont val="Arial"/>
        <family val="0"/>
        <charset val="1"/>
      </rPr>
      <t xml:space="preserve">7</t>
    </r>
    <r>
      <rPr>
        <sz val="10"/>
        <color rgb="FF0000FF"/>
        <rFont val="Noto Sans CJK SC"/>
        <family val="2"/>
      </rPr>
      <t xml:space="preserve">日</t>
    </r>
  </si>
  <si>
    <t xml:space="preserve">開示水準の類型: ①費用内訳フル開示=MHR・NUD・HLC(46/67)・JRE(76/79)・MTR(18/20) ②収益のみ開示=NBF・GOR・DOI・ICG・JEI・JPR・SHR・HFR・KDX ③法人一括のみ=TRE・SKR。E列(開示区分)で判別可能</t>
  </si>
  <si>
    <t xml:space="preserve">築年数計算の基準日</t>
  </si>
  <si>
    <t xml:space="preserve">原資料内の系統的丸め: 科目別切捨てによる内訳チェック(U列)1〜5千円・掲載損益との1千円差(多数法人)、KDXの3層切捨て構造(物件&lt;用途小計&lt;総合計)等はすべて備考に注記。数値は開示掲載値のまま転記(改変ゼロ)</t>
  </si>
  <si>
    <t xml:space="preserve">目的</t>
  </si>
  <si>
    <t xml:space="preserve">オフィス系J-REIT16法人の保有物件の基本情報と物件別収支（収入・費用・利益）を、法人をまたいで同一基準で比較できる形で管理する。</t>
  </si>
  <si>
    <t xml:space="preserve">次回更新の目安: NBF第50期(2026/8中旬)→JEI 2026年6月期(8月下旬)→TRE第46期(9/14)→HLC第25期(10月中旬)→MTR第49期(10月下旬)→JRE第50期・SKR(11月・SKRは上場廃止の可能性)→KDX第43期・SHR第24期(12月中旬)→HFR第50期(2027/1)。SKRはTOB成立時に更新対象から除外検討</t>
  </si>
  <si>
    <t xml:space="preserve">対象決算期</t>
  </si>
  <si>
    <t xml:space="preserve">各法人の最新決算期（法人マスタ「最新決算期」列参照）。決算期は法人ごとに異なるため、比較の際は期間月数と年換算値を用いること。</t>
  </si>
  <si>
    <r>
      <rPr>
        <b val="true"/>
        <sz val="10"/>
        <rFont val="Arial"/>
        <family val="0"/>
        <charset val="1"/>
      </rPr>
      <t xml:space="preserve">2. </t>
    </r>
    <r>
      <rPr>
        <b val="true"/>
        <sz val="10"/>
        <rFont val="Noto Sans CJK SC"/>
        <family val="2"/>
      </rPr>
      <t xml:space="preserve">シート構成</t>
    </r>
  </si>
  <si>
    <t xml:space="preserve">法人マスタ</t>
  </si>
  <si>
    <r>
      <rPr>
        <sz val="10"/>
        <rFont val="Arial"/>
        <family val="0"/>
        <charset val="1"/>
      </rPr>
      <t xml:space="preserve">16</t>
    </r>
    <r>
      <rPr>
        <sz val="10"/>
        <rFont val="Noto Sans CJK SC"/>
        <family val="2"/>
      </rPr>
      <t xml:space="preserve">法人の基本情報（コード、タイプ、スポンサー、決算期、投入状況）</t>
    </r>
  </si>
  <si>
    <t xml:space="preserve">物件マスタ</t>
  </si>
  <si>
    <t xml:space="preserve">物件の基本情報（1物件1行）：所在地、延床面積、階数、竣工年月、取得価格、鑑定評価額、稼働率ほか</t>
  </si>
  <si>
    <t xml:space="preserve">物件収支</t>
  </si>
  <si>
    <t xml:space="preserve">物件別の期次損益（1物件×1決算期で1行）：賃貸事業収入・費用の内訳、賃貸事業損益、NOI、NCF</t>
  </si>
  <si>
    <t xml:space="preserve">比較ビュー</t>
  </si>
  <si>
    <t xml:space="preserve">物件マスタ・物件収支・法人マスタを自動連結し、年換算NOI利回り・月坪賃料収入・費用率などの法人横断比較指標を数式で算出（全列自動計算・入力不要）</t>
  </si>
  <si>
    <r>
      <rPr>
        <b val="true"/>
        <sz val="10"/>
        <rFont val="Arial"/>
        <family val="0"/>
        <charset val="1"/>
      </rPr>
      <t xml:space="preserve">3. </t>
    </r>
    <r>
      <rPr>
        <b val="true"/>
        <sz val="10"/>
        <rFont val="Noto Sans CJK SC"/>
        <family val="2"/>
      </rPr>
      <t xml:space="preserve">単位・表記ルール（比較可能性の担保）</t>
    </r>
  </si>
  <si>
    <t xml:space="preserve">金額</t>
  </si>
  <si>
    <t xml:space="preserve">物件収支シート＝千円 ／ 取得価格・帳簿価額・鑑定評価額＝百万円 ／ 比較ビューの年換算NOI＝百万円</t>
  </si>
  <si>
    <t xml:space="preserve">面積</t>
  </si>
  <si>
    <t xml:space="preserve">㎡で入力。坪換算は 1㎡=0.3025坪 で比較ビューが自動計算</t>
  </si>
  <si>
    <t xml:space="preserve">比率</t>
  </si>
  <si>
    <t xml:space="preserve">稼働率・利回り等は小数で入力（例：97.5% → 0.975）。セル書式が%表示に変換</t>
  </si>
  <si>
    <t xml:space="preserve">竣工年月・取得年月</t>
  </si>
  <si>
    <t xml:space="preserve">日付として入力（例：2005/3/1）。表示は「2005年03月」形式</t>
  </si>
  <si>
    <t xml:space="preserve">決算期の表記</t>
  </si>
  <si>
    <t xml:space="preserve">「YYYY年M月期（第N期）」で統一。法人マスタと物件収支で完全一致させること（比較ビューのSUMIFSが文字列一致で参照するため）</t>
  </si>
  <si>
    <r>
      <rPr>
        <b val="true"/>
        <sz val="10"/>
        <rFont val="Arial"/>
        <family val="0"/>
        <charset val="1"/>
      </rPr>
      <t xml:space="preserve">4. </t>
    </r>
    <r>
      <rPr>
        <b val="true"/>
        <sz val="10"/>
        <rFont val="Noto Sans CJK SC"/>
        <family val="2"/>
      </rPr>
      <t xml:space="preserve">色の凡例</t>
    </r>
  </si>
  <si>
    <t xml:space="preserve">青字</t>
  </si>
  <si>
    <t xml:space="preserve">原資料から転記した手入力データ</t>
  </si>
  <si>
    <t xml:space="preserve">黒字</t>
  </si>
  <si>
    <t xml:space="preserve">数式（編集しないこと）</t>
  </si>
  <si>
    <t xml:space="preserve">黄色セル</t>
  </si>
  <si>
    <t xml:space="preserve">要確認・要入力の項目</t>
  </si>
  <si>
    <t xml:space="preserve">薄橙の行</t>
  </si>
  <si>
    <t xml:space="preserve">架空物件による記入例（実データ投入後に削除すること）</t>
  </si>
  <si>
    <r>
      <rPr>
        <b val="true"/>
        <sz val="10"/>
        <rFont val="Arial"/>
        <family val="0"/>
        <charset val="1"/>
      </rPr>
      <t xml:space="preserve">5. </t>
    </r>
    <r>
      <rPr>
        <b val="true"/>
        <sz val="10"/>
        <rFont val="Noto Sans CJK SC"/>
        <family val="2"/>
      </rPr>
      <t xml:space="preserve">データ出典ルール（優先順位）</t>
    </r>
  </si>
  <si>
    <t xml:space="preserve">①</t>
  </si>
  <si>
    <t xml:space="preserve">各投資法人の直近期「有価証券報告書」内「個別不動産の収支状況」→ 物件別の収入・費用内訳の一次情報</t>
  </si>
  <si>
    <t xml:space="preserve">②</t>
  </si>
  <si>
    <t xml:space="preserve">各投資法人の「資産運用報告」「決算短信」「決算説明資料」→ 物件基本情報・稼働率・鑑定評価額</t>
  </si>
  <si>
    <t xml:space="preserve">③</t>
  </si>
  <si>
    <t xml:space="preserve">各投資法人ウェブサイトのポートフォリオページ → 建物概要の補完</t>
  </si>
  <si>
    <t xml:space="preserve">非開示の扱い</t>
  </si>
  <si>
    <t xml:space="preserve">テナント同意が得られない物件は収支が非開示・一部非開示となる。開示区分列に「非開示」「一部非開示」と記録し、空欄と区別する。非開示物件を含む法人平均・合計を扱う際は注記必須。</t>
  </si>
  <si>
    <r>
      <rPr>
        <b val="true"/>
        <sz val="10"/>
        <rFont val="Arial"/>
        <family val="0"/>
        <charset val="1"/>
      </rPr>
      <t xml:space="preserve">6. </t>
    </r>
    <r>
      <rPr>
        <b val="true"/>
        <sz val="10"/>
        <rFont val="Noto Sans CJK SC"/>
        <family val="2"/>
      </rPr>
      <t xml:space="preserve">検証プロセス（各法人のデータ投入ごとに</t>
    </r>
    <r>
      <rPr>
        <b val="true"/>
        <sz val="10"/>
        <rFont val="Arial"/>
        <family val="0"/>
        <charset val="1"/>
      </rPr>
      <t xml:space="preserve">5</t>
    </r>
    <r>
      <rPr>
        <b val="true"/>
        <sz val="10"/>
        <rFont val="Noto Sans CJK SC"/>
        <family val="2"/>
      </rPr>
      <t xml:space="preserve">段階を実施し、実施日を法人マスタ備考に記録）</t>
    </r>
  </si>
  <si>
    <t xml:space="preserve">第1段階：転記照合</t>
  </si>
  <si>
    <t xml:space="preserve">原資料PDFと全セルを突合（金額は千円単位まで一致確認）</t>
  </si>
  <si>
    <t xml:space="preserve">第2段階：内訳整合</t>
  </si>
  <si>
    <t xml:space="preserve">物件収支の「内訳チェック」列が全行0、または0でない場合は備考欄で原資料由来の丸め差等として説明済みであることを確認（例：GOR-ALL行の差3千円は開示数値の丸めに由来）</t>
  </si>
  <si>
    <t xml:space="preserve">第3段階：法人合計照合</t>
  </si>
  <si>
    <t xml:space="preserve">物件収支の法人別合計を、当該法人の損益計算書の賃貸事業収入・費用と突合（差異は非開示物件・期中売買物件として説明できること）</t>
  </si>
  <si>
    <t xml:space="preserve">第4段階：指標妥当性</t>
  </si>
  <si>
    <t xml:space="preserve">比較ビューでNOI利回りが概ね2〜7%のレンジ外、稼働率100%超、月坪賃料が市場相場と乖離する物件を抽出し原資料へ立ち返って精査</t>
  </si>
  <si>
    <t xml:space="preserve">第5段階：再計算検証</t>
  </si>
  <si>
    <t xml:space="preserve">全数式の再計算とエラー0件の確認、無作為抽出3物件の手計算照合</t>
  </si>
  <si>
    <r>
      <rPr>
        <b val="true"/>
        <sz val="10"/>
        <rFont val="Arial"/>
        <family val="0"/>
        <charset val="1"/>
      </rPr>
      <t xml:space="preserve">7. </t>
    </r>
    <r>
      <rPr>
        <b val="true"/>
        <sz val="10"/>
        <rFont val="Noto Sans CJK SC"/>
        <family val="2"/>
      </rPr>
      <t xml:space="preserve">現在の投入状況</t>
    </r>
  </si>
  <si>
    <r>
      <rPr>
        <sz val="10"/>
        <color rgb="FF0000FF"/>
        <rFont val="Arial"/>
        <family val="0"/>
        <charset val="1"/>
      </rPr>
      <t xml:space="preserve">16</t>
    </r>
    <r>
      <rPr>
        <sz val="10"/>
        <color rgb="FF0000FF"/>
        <rFont val="Noto Sans CJK SC"/>
        <family val="2"/>
      </rPr>
      <t xml:space="preserve">法人投入済（決算期・期数に「要確認」フラグ付きの項目あり。黄色セル参照）</t>
    </r>
  </si>
  <si>
    <t xml:space="preserve">物件マスタ・物件収支</t>
  </si>
  <si>
    <r>
      <rPr>
        <sz val="10"/>
        <color rgb="FF0000FF"/>
        <rFont val="Arial"/>
        <family val="0"/>
        <charset val="1"/>
      </rPr>
      <t xml:space="preserve">GOR</t>
    </r>
    <r>
      <rPr>
        <sz val="10"/>
        <color rgb="FF0000FF"/>
        <rFont val="Noto Sans CJK SC"/>
        <family val="2"/>
      </rPr>
      <t xml:space="preserve">（グローバル・ワン）投入済：物件</t>
    </r>
    <r>
      <rPr>
        <sz val="10"/>
        <color rgb="FF0000FF"/>
        <rFont val="Arial"/>
        <family val="0"/>
        <charset val="1"/>
      </rPr>
      <t xml:space="preserve">18</t>
    </r>
    <r>
      <rPr>
        <sz val="10"/>
        <color rgb="FF0000FF"/>
        <rFont val="Noto Sans CJK SC"/>
        <family val="2"/>
      </rPr>
      <t xml:space="preserve">行（期末</t>
    </r>
    <r>
      <rPr>
        <sz val="10"/>
        <color rgb="FF0000FF"/>
        <rFont val="Arial"/>
        <family val="0"/>
        <charset val="1"/>
      </rPr>
      <t xml:space="preserve">16</t>
    </r>
    <r>
      <rPr>
        <sz val="10"/>
        <color rgb="FF0000FF"/>
        <rFont val="Noto Sans CJK SC"/>
        <family val="2"/>
      </rPr>
      <t xml:space="preserve">物件＋期中譲渡</t>
    </r>
    <r>
      <rPr>
        <sz val="10"/>
        <color rgb="FF0000FF"/>
        <rFont val="Arial"/>
        <family val="0"/>
        <charset val="1"/>
      </rPr>
      <t xml:space="preserve">1</t>
    </r>
    <r>
      <rPr>
        <sz val="10"/>
        <color rgb="FF0000FF"/>
        <rFont val="Noto Sans CJK SC"/>
        <family val="2"/>
      </rPr>
      <t xml:space="preserve">＋第</t>
    </r>
    <r>
      <rPr>
        <sz val="10"/>
        <color rgb="FF0000FF"/>
        <rFont val="Arial"/>
        <family val="0"/>
        <charset val="1"/>
      </rPr>
      <t xml:space="preserve">46</t>
    </r>
    <r>
      <rPr>
        <sz val="10"/>
        <color rgb="FF0000FF"/>
        <rFont val="Noto Sans CJK SC"/>
        <family val="2"/>
      </rPr>
      <t xml:space="preserve">期取得</t>
    </r>
    <r>
      <rPr>
        <sz val="10"/>
        <color rgb="FF0000FF"/>
        <rFont val="Arial"/>
        <family val="0"/>
        <charset val="1"/>
      </rPr>
      <t xml:space="preserve">1</t>
    </r>
    <r>
      <rPr>
        <sz val="10"/>
        <color rgb="FF0000FF"/>
        <rFont val="Noto Sans CJK SC"/>
        <family val="2"/>
      </rPr>
      <t xml:space="preserve">）＋ポートフォリオ全体行。物件別収支は収益・稼働率・テナント数まで開示、費用内訳は法人一括のみ（</t>
    </r>
    <r>
      <rPr>
        <sz val="10"/>
        <color rgb="FF0000FF"/>
        <rFont val="Arial"/>
        <family val="0"/>
        <charset val="1"/>
      </rPr>
      <t xml:space="preserve">GOR-ALL</t>
    </r>
    <r>
      <rPr>
        <sz val="10"/>
        <color rgb="FF0000FF"/>
        <rFont val="Noto Sans CJK SC"/>
        <family val="2"/>
      </rPr>
      <t xml:space="preserve">行参照）。他</t>
    </r>
    <r>
      <rPr>
        <sz val="10"/>
        <color rgb="FF0000FF"/>
        <rFont val="Arial"/>
        <family val="0"/>
        <charset val="1"/>
      </rPr>
      <t xml:space="preserve">15</t>
    </r>
    <r>
      <rPr>
        <sz val="10"/>
        <color rgb="FF0000FF"/>
        <rFont val="Noto Sans CJK SC"/>
        <family val="2"/>
      </rPr>
      <t xml:space="preserve">法人は順次投入。</t>
    </r>
  </si>
  <si>
    <t xml:space="preserve">【環境認証シート】(2026/8/7調査)</t>
  </si>
  <si>
    <t xml:space="preserve">・各法人のウェブサイト/ESGレポート/決算説明資料/適時開示の公表情報に基づき、ZEB(BELS含む)/DBJ/CASBEE/LEED/WELLの5分類で物件別に収録。</t>
  </si>
  <si>
    <t xml:space="preserve">・1物件が複数認証を保有する場合は複数行。同一物件の事務所/住宅/店舗別認証も別行(認証名称に区分を付記)。</t>
  </si>
  <si>
    <t xml:space="preserve">・本シートに記載のない物件は、各法人の開示上、上記5分類の認証取得の公表が確認できなかった物件(=開示ベースで認証なし)。</t>
  </si>
  <si>
    <t xml:space="preserve">・出典時点は法人により異なる(2024/11末〜2026/6末)。詳細と法人別の注意事項は環境認証シート下部「法人別出典・注記」参照。</t>
  </si>
  <si>
    <t xml:space="preserve">・5分類外の認証(東京都低炭素モデルビル、SMBCサステイナブルビルディング、JHEP、Fitwel、ResReal、東京都建築物省エネ性能評価書、優良特定地球温暖化対策事業所)は非収録(各法人注記に記載)。</t>
  </si>
  <si>
    <t xml:space="preserve">・WELLは16法人の開示上、狭義のWELL認証(IWBI)の取得公表が確認できなかったため0件。CASBEEウェルネスオフィスはCASBEEに収録。</t>
  </si>
  <si>
    <t xml:space="preserve">・出典URL: NBF esg.nbf-m.com / JRE jre-esg.com / GOR go-reit.co.jp / DOI daiwa-office.co.jp / ICG ichigo-office.co.jp / JEI excellent-reit.co.jp(ESGレポート) / MHR mori-hills-reit.co.jp / JPR jpr-reit.co.jp / TRE tokyu-reit.co.jp / HLC hulic-reit.co.jp / NUD nud-reit.co.jp / HFR heiwa-re.co.jp(ESGレポート2025) / SHR sekisuihouse-reit.co.jp / MTR mt-reit.jp / SKR s-reit.co.jp(適時開示・決算説明資料) / KDX kdx-reit.com</t>
  </si>
  <si>
    <t xml:space="preserve">・物件マスタ末尾「環境認証数」列=当該物件の収録認証件数(COUNTIF)。</t>
  </si>
  <si>
    <t xml:space="preserve">【環境認証シート 表記統一ルール(2026/8/8改訂)】</t>
  </si>
  <si>
    <t xml:space="preserve">・認証名称は法人ごとの表記ゆれ(BELS評価/BELS認証/BELS等)を統一。ZEB=「BELS」、ZEB評価併記時のみ「BELS（ZEB Ready）」「BELS（ZEB Oriented）」。</t>
  </si>
  <si>
    <t xml:space="preserve">・CASBEE=「CASBEE-不動産」「CASBEE-建築」「CASBEE-ウェルネスオフィス」。出典が評価ツールを特定していないものは「CASBEE-不動産／建築（区分不明）」。</t>
  </si>
  <si>
    <t xml:space="preserve">・LEEDは認証システム種別まで表記(LEED O+M / LEED ND / LEED NC)。出典が種別未開示のものは「LEED（種別不明）」。</t>
  </si>
  <si>
    <t xml:space="preserve">・列構成を変更: 物件ID/法人ID/認証種別/認証名称/対象区分/ランク/取得年月/出典物件名/備考。棟別・用途別認証は「対象区分」列で識別。</t>
  </si>
  <si>
    <t xml:space="preserve">・ランク列は値のみ(S/A/B+、★1〜★6、Platinum/Gold)。判別不能・非開示の理由は備考列に記載。</t>
  </si>
  <si>
    <t xml:space="preserve">・同一BELS評価書が「星数のみ」「ZEB表記のみ」に分かれていた1件(いちご八丁堀ビル)を1行に統合したため、ZEBは92→91件。</t>
  </si>
  <si>
    <t xml:space="preserve">【管理会社シート】(2026/8/9調査)</t>
  </si>
  <si>
    <t xml:space="preserve">・「管理会社_物件別」＝管理会社側が公表する管理実績一覧に実名で掲載され、本DBの物件と名寄せ一致した物件のみを収録（161件）。推定は一切含まない。</t>
  </si>
  <si>
    <t xml:space="preserve">・「管理会社_法人別」＝各投資法人のスポンサー系管理会社と委託類型。確認ステータス欄に一次情報の有無を明示。</t>
  </si>
  <si>
    <t xml:space="preserve">・J-REITは物件別の管理会社（PM/BM）を法定開示していない。有価証券報告書には選定方針・管理方針の記載のみで委託先名の記載はない。</t>
  </si>
  <si>
    <t xml:space="preserve">・そのため本シートは管理会社側の公表実績に依拠する。各社の掲載は「実績の一部」であることが多く、カバー率は法人により大きく異なる。</t>
  </si>
  <si>
    <t xml:space="preserve">・カバー率が低い法人は「管理会社がない」のではなく「公表情報から特定できていない」ことを意味する。法人間のシェア比較には使用しないこと。</t>
  </si>
  <si>
    <t xml:space="preserve">【投資法人戦略シート】(2026/8/9作成)</t>
  </si>
  <si>
    <t xml:space="preserve">・16法人の運用戦略を、経営コンサルタント／シンクタンクの観点から「戦略ポジション／戦略の軸／モデルの構造／主要リスク／ESG・管理の特徴」の5項目に構造化。</t>
  </si>
  <si>
    <t xml:space="preserve">・記述はすべて本DBの実測値（物件数・資産規模・集中度・利回り・築年・稼働率・エリア/用途構成・認証保有率）を根拠とし、数値は同シート右側の定量列に併記。</t>
  </si>
  <si>
    <t xml:space="preserve">・「上位5物件集中度」＝取得価格上位5物件の合計÷全物件の取得価格合計。単一物件への依存度を測る指標。</t>
  </si>
  <si>
    <t xml:space="preserve">・SKRの総合型REIT転換(2023年)およびTOB(2026年・不成立)は各法人開示に基づく事実。それ以外の戦略記述は本DBの実測構造からの分析であり、各法人の公式見解ではない。</t>
  </si>
  <si>
    <t xml:space="preserve">・築年中央値が空欄の法人(NBF/JRE/KDX/ICG/NUD/HFR)は、物件別の竣工年月が未開示であることによる。</t>
  </si>
  <si>
    <t xml:space="preserve">【投資法人戦略シート 算定基礎の訂正】(2026/8/9)</t>
  </si>
  <si>
    <t xml:space="preserve">・資産規模・1物件平均・上位5物件集中度の算定基礎を「取得価格」から「期末鑑定評価額」に変更した。</t>
  </si>
  <si>
    <t xml:space="preserve">・理由: 取得価格は物件別の開示が1,257物件中1,117件(88.9%)にとどまり、特にICG(88物件)とTRE(28物件)は全物件が非開示のため、取得価格ベースでは資産規模が0と算定されてしまうため。</t>
  </si>
  <si>
    <t xml:space="preserve">・期末鑑定評価額は1,230/1,257件(97.9%)と最も網羅性が高く、法人間の比較可能性が最も高い。</t>
  </si>
  <si>
    <t xml:space="preserve">・「資産規模の算定物件数」「取得価格の開示率」「参考:取得価格合計」の3列を追加し、算定の前提を明示した。</t>
  </si>
  <si>
    <t xml:space="preserve">・なお利回り(粗利回り・NOI利回り)の分母は従来どおり取得価格。指標ごとに分母が異なる点に注意すること。</t>
  </si>
  <si>
    <t xml:space="preserve">【金額項目の監査と是正】(2026/8/9・監査法人の観点で全数点検)</t>
  </si>
  <si>
    <t xml:space="preserve">◆検出1: 含み損益の定義が非標準 — 「鑑定÷取得価格−1」で算定していたが、開示上の含み損益は「鑑定評価額−期末帳簿価額」。取得価格は取得諸費用を含まず減価償却も反映しないため基準として不適切。</t>
  </si>
  <si>
    <t xml:space="preserve">  →是正: 含み損益(百万円)を鑑定−帳簿で算定(1,163件)。「含み損益率(%)＝鑑定÷帳簿−1」列を新設。参考として「対取得価格の値上がり率(%)」列も併設。中央値は18.5%→16.7%に変化。</t>
  </si>
  <si>
    <t xml:space="preserve">◆検出2: 期中取得・期中譲渡物件の年換算が実態と乖離 — 決算期6か月のうち数日〜数週間しか保有していない物件の収入を機械的に2倍しており、粗利回りが0.02%等の異常値になっていた。</t>
  </si>
  <si>
    <t xml:space="preserve">  →是正: 「通期保有フラグ」「年換算の妥当性」列を新設し44件を×と判定。うちアプリのデータ23件は利回り・経費率の算定対象から除外。</t>
  </si>
  <si>
    <t xml:space="preserve">◆検出3: 期中の持分譲渡により分母のみ減額される物件 — 取得価格から譲渡持分相当を控除する一方、収入は譲渡前の全期間分が計上され、利回りが過大になっていた(JPR横浜日本大通ビル25.8%等)。</t>
  </si>
  <si>
    <t xml:space="preserve">  →是正: 検出2と同じフラグで除外。</t>
  </si>
  <si>
    <t xml:space="preserve">◆検出4: 取得価格ベース利回りの比較可能性の欠如 — 取得価格は歴史的原価のため、取得時期が古い物件ほど利回りが高く出る(SE札幌ビル: 取得55億/鑑定127億→取得価格ベース16.3%・鑑定ベース7.0%)。</t>
  </si>
  <si>
    <t xml:space="preserve">  →是正: 期末鑑定評価額を分母とする「粗利回り(鑑定)」「NOI利回り(鑑定)」を主指標に変更。カバー率も88.9%→97.9%に向上し、ICG87物件が新たに算定可能となった。取得価格ベースも切替指標として併存。</t>
  </si>
  <si>
    <t xml:space="preserve">◆検出5: 百万円単位開示による丸め誤差 — 収入が百万円未満切捨てで開示される法人があり、小規模物件では利回りの精度が落ちる。</t>
  </si>
  <si>
    <t xml:space="preserve">  →是正: 「収入の単位精度」列を新設。収入50百万円未満かつ百万円単位開示の162件を「低精度」と明示。</t>
  </si>
  <si>
    <t xml:space="preserve">◆指標ごとの分母の整理: 利回り=期末鑑定評価額(主)／取得価格(参考)、経費率・NOIマージン=賃貸事業収入、含み損益率=期末帳簿価額、資産規模・集中度=期末鑑定評価額。</t>
  </si>
  <si>
    <t xml:space="preserve">【ポジショニング図の監査と是正】(2026/8/9)</t>
  </si>
  <si>
    <t xml:space="preserve">◆検出6: 単位換算の誤り — バブルのツールチップで、百万円単位の合計を10,000で除して「兆円」と表示していた。正しくは1,000,000で除す。日本ビルファンドが1.52兆円のところ151.90兆円と、実際の100倍で表示されていた。</t>
  </si>
  <si>
    <t xml:space="preserve">  →是正: 1,000,000で除算。あわせて表示指標を取得価格合計から期末鑑定評価額合計に変更。</t>
  </si>
  <si>
    <t xml:space="preserve">◆検出7: バブルの大きさが取得価格合計で、非開示法人が消失 — いちごオフィスリートと東急リアル・エステートは取得価格が全物件非開示のため合計0となり、バブルが表示されていなかった。</t>
  </si>
  <si>
    <t xml:space="preserve">  →是正: 16法人すべてで算定可能な期末鑑定評価額の合計に変更。</t>
  </si>
  <si>
    <t xml:space="preserve">◆検出8: 横軸が築年数中央値で、6法人が図から欠落 — 竣工年月を開示するのは9法人のみで、NBF・JRE・KDX・ICG・NUD・HFRが表示されていなかった。資産規模上位法人が欠落したポジショニング図は市場の姿を歪める。</t>
  </si>
  <si>
    <t xml:space="preserve">  →是正: 横軸を6種類（都心5区比率／1物件平均規模／東京圏比率／オフィス比率／認証保有率／築年数）から選択可能とし、既定を全法人算定可能な都心5区比率に変更。非表示となる法人名と理由をグラフ下に常時表示。</t>
  </si>
  <si>
    <t xml:space="preserve">◆ポジショニング指標としての適切性: 「取得価格の合計」は歴史的原価の累計で、取得時期の古い法人ほど過小に見える。現在の資産規模を示すには期末鑑定評価額の合計が適切であり、法人間の比較可能性も確保される。</t>
  </si>
  <si>
    <t xml:space="preserve">【分析手法の監査と是正】(2026/8/9・データサイエンスの観点)</t>
  </si>
  <si>
    <t xml:space="preserve">◆検出9: 2群比較に交絡調整がなく、属性の偏りを効果と誤読させていた — 「環境認証あり/なし」の粗利回り比較で+0.26ptの差が出ていたが、認証物件は非認証物件に対し賃貸面積で約2.3倍・鑑定評価額で約2.5倍と大きく、都心・オフィスに偏在していた。</t>
  </si>
  <si>
    <t xml:space="preserve">  →是正: エリア×用途で層別し層サイズで加重平均する調整(CMH型)を実装。調整後の差は-0.02pt(11層954物件)となり、単純比較の差はほぼ消滅した。単純比較・層別調整後・効果量の3点を常時併記。</t>
  </si>
  <si>
    <t xml:space="preserve">◆検出10: 中央値の点推定のみで、差の統計的な確からしさを示していなかった。</t>
  </si>
  <si>
    <t xml:space="preserve">  →是正: ブートストラップ法(再標本600回)による中央値および中央値差の95%信頼区間を実装。区間が0をまたぐ場合は「統計的に有意とはいえない」と明示。共通言語効果量も併記。</t>
  </si>
  <si>
    <t xml:space="preserve">◆検出11: サンプル数の少ないグループの中央値を同列に扱っていた。</t>
  </si>
  <si>
    <t xml:space="preserve">  →是正: n&lt;5は非表示(従来通り)に加え、n&lt;15のグループを警告表示。各グループのnと信頼区間を注記に明示。</t>
  </si>
  <si>
    <t xml:space="preserve">◆検出12: 5軸評価の等ウェイトの妥当性を検証していなかった。</t>
  </si>
  <si>
    <t xml:space="preserve">  →是正: 1軸を除いた4軸での再計算による感度分析を実装。母集団全体では順位相関ρ=0.83〜0.90で等ウェイトの結論は頑健。各軸の分散もσ=23.7〜28.9とほぼ均等。個別物件では順位変動幅を表示し、変動が大きい場合は警告。</t>
  </si>
  <si>
    <t xml:space="preserve">◆検出13: 環境性能軸が離散変数であることを明示していなかった — 整数値のみを取り、198物件中44物件(22%)がスコア0、パーセンタイル値は9通りしかない。</t>
  </si>
  <si>
    <t xml:space="preserve">  →是正: 同順位が大量発生する旨をヘルプに明記。連続的な優劣ではなく粗い区分として読むよう注意喚起。</t>
  </si>
  <si>
    <t xml:space="preserve">◆残る限界(是正不能・明示のみ): ①開示バイアス(非開示は無作為欠測ではない) ②単一期断面 ③層別調整は使用変数のみ有効(築年・規模・テナント構成は未調整) ④観察データのため因果推論は不可 ⑤外れ値閾値(粗利回り0〜15%)は恣意的設定。</t>
  </si>
  <si>
    <t xml:space="preserve">【物件評価（5軸）の監査と是正】(2026/8/9)</t>
  </si>
  <si>
    <t xml:space="preserve">◆検出14: グレード上位が構造的に到達不能だった — 総合点は5軸のパーセンタイル平均のため中心極限効果で中央に圧縮され、実測で最小14.8点・最大74.7点。「90点以上でAAA」「80点以上でAA」の絶対閾値では上位2グレードが永久に空席となる設計だった。</t>
  </si>
  <si>
    <t xml:space="preserve">  →是正: 母集団内の相対順位でグレードを定義(AAA=上位5%/AA=15%/A=30%/BBB=50%/BB=70%/B=85%/C=下位15%)。全198物件で分布を検証し設計どおりに配分されることを確認。</t>
  </si>
  <si>
    <t xml:space="preserve">◆検出15: 採点母集団の用途偏在 — 評価対象198物件はオフィス134件(68%)・住宅39件・商業11件・ホテル8件と偏り、住宅やホテルがオフィスの物差しで測られていた。</t>
  </si>
  <si>
    <t xml:space="preserve">  →是正: 「採点の母集団」を全体/同用途内で切替可能に(同用途n&gt;=15の場合のみ)。切替により198物件中58物件のグレードが変わることを確認。</t>
  </si>
  <si>
    <t xml:space="preserve">◆検出16: 稼働安定軸の天井効果 — 198物件中136物件(69%)が稼働率100%で同順位。「優れているか」ではなく「満室を割っているか」の判別軸にすぎない。</t>
  </si>
  <si>
    <t xml:space="preserve">  →是正: 評価カードとヘルプに明示。</t>
  </si>
  <si>
    <t xml:space="preserve">◆検出17: 収益性と費用効率の逆相関(ρ=-0.44) — 高利回りで買える物件ほど収入対比の費用率が高く、両軸で高得点を取ることが構造的に困難。これが総合点の中心圧縮の主因。</t>
  </si>
  <si>
    <t xml:space="preserve">  →是正: 軸間相関を実測して明示。等ウェイトが相関のある軸の影響をやや重く見積もる可能性も注記。</t>
  </si>
  <si>
    <t xml:space="preserve">◆検出18: 5軸評価の合成指標が取得価格ベースのまま残存していた(前回の是正漏れ) — 個別物件カードの「粗利回り×NOIマージン=NOI利回り」が取得価格ベースで表示されていた。</t>
  </si>
  <si>
    <t xml:space="preserve">  →是正: 鑑定評価額ベースに統一。パッチ適用漏れを機械照合で検出する手順を追加。</t>
  </si>
  <si>
    <t xml:space="preserve">◆用語ヘルプの拡充: NOI・マスターリース・PM・BM・AM・CAPEX・稼働率とダウンタイム・フリーレントの基礎用語8項目を追加し、用語集は全61項目・12カテゴリとなった。</t>
  </si>
  <si>
    <t xml:space="preserve">【概況ページの監査と是正】(2026/8/9)</t>
  </si>
  <si>
    <t xml:space="preserve">◆検出19: 戦略シートの数値が旧基準のまま陳腐化 — 16法人中13法人で粗利回りが取得価格ベースかつ期中取得物件を含む旧値だった(例: NBF 7.16%→6.25%、JEI 8.94%→7.06%)。指標基準を変更した際、集計済みシートの再計算が漏れていた。</t>
  </si>
  <si>
    <t xml:space="preserve">  →是正: 粗利回り・稼働率・認証保有率・物件数・用途/エリア構成をすべて最新データで再計算。列名を「粗利回り中央値(%・鑑定評価額ベース)」に改称し、算定物件数の列を追加。本文中の数値と相対表現も更新。</t>
  </si>
  <si>
    <t xml:space="preserve">◆検出20: 母数の不一致が未説明 — 収録1,257物件に対しKPIは1,233物件。差の24物件は期中譲渡済みだが、その旨の表示がなかった。</t>
  </si>
  <si>
    <t xml:space="preserve">  →是正: KPIに「期中譲渡24件を除く」と明示し、ヘルプ項目「物件数の数え方」を新設。指標ごとの算定物件数もKPIに表示(粗利回りn=992は収入非開示214件・期中取得23件を除いた数と明示)。</t>
  </si>
  <si>
    <t xml:space="preserve">◆検出21: 認証保有率の分母が物件数のみ — 物件数ベース60%に対し鑑定評価額ベースでは81%と20pt以上の差。認証は大型物件に偏るため、分母の選択で印象が正反対になる。</t>
  </si>
  <si>
    <t xml:space="preserve">  →是正: KPIに両方を併記し、ヘルプで「どちらも正しい記述だが分母で印象が変わる」ことを明示。</t>
  </si>
  <si>
    <t xml:space="preserve">◆検出22: スペクトラム図の上限クリップ — 縦軸上限を99パーセンタイルに設定していたため、上位1%(9物件)のバーが頭で切れ、実際より低く見えていた。</t>
  </si>
  <si>
    <t xml:space="preserve">  →是正: 上限を最大値に変更し、全物件が正しい高さで描画されるようにした。</t>
  </si>
  <si>
    <t xml:space="preserve">◆検出23: 分布図で非表示になったグループが不可視 — n&lt;5のグループを黙って除外しており、利用者は存在自体に気づけなかった(例: 投資法人別ではTRE28物件・SKR16物件が丸ごと消えていた)。</t>
  </si>
  <si>
    <t xml:space="preserve">  →是正: 非表示グループ名と「算定できた件数/全件数」をグラフ下に明示。括弧内の数字が全物件数ではなく算定可能物件数である旨も注記。</t>
  </si>
  <si>
    <t xml:space="preserve">◆検出24: 法人マップのバブルと縦軸で母数が異なる — バブルの大きさは全保有物件の鑑定評価額合計、縦軸は指標を算定できた物件のみの中央値。</t>
  </si>
  <si>
    <t xml:space="preserve">  →是正: ツールチップに両方の算定物件数を表示。</t>
  </si>
  <si>
    <t xml:space="preserve">【トップページのヒーロー図の見直し】(2026/8/9)</t>
  </si>
  <si>
    <t xml:space="preserve">◆検出25: 意義の伝わらないグラフをトップに掲載していた — 992物件の粗利回りを低い順に並べた「スペクトラム図」は、分布の概形以外に読み取れる情報がなく、個別物件も識別できず、次のアクションにもつながらなかった。アプリの主題「利回りはどこで生まれ、どこで失われるのか」に対する答えを示していなかった。</t>
  </si>
  <si>
    <t xml:space="preserve">  →是正: 賃貸事業収入を100としてNOIに至るまでの費用の流出を示すウォーターフォール図に置換。</t>
  </si>
  <si>
    <t xml:space="preserve">◆新ヒーロー図の算定方法: 費用内訳を物件別に開示する199物件が対象。各物件の比率を単純平均すると小規模物件が過大に効くため、年間賃貸事業収入で加重集計(収入額=粗利回り×鑑定評価額で復元)。</t>
  </si>
  <si>
    <t xml:space="preserve">◆算定結果: 賃貸事業収入100に対し、外注委託費9.8・公租公課9.7・水道光熱費5.1・修繕費3.6・保険料0.1・その他4.0を差し引き、NOIは67.7。検算として100−32.3=67.7が実測のNOI÷収入と一致することを確認。</t>
  </si>
  <si>
    <t xml:space="preserve">◆「その他」項目の内容: 内訳の合計が経費率と一致しない物件が199件中47件あり(NTT都市開発リートは保険料と信託報酬をその他に含めるなど法人により費目区分が異なる)、その差額を集約している。恣意的な調整ではなく、区分不能な費用を明示的に1項目に集めたもの。</t>
  </si>
  <si>
    <t xml:space="preserve">◆減価償却費(収入比13.8)は現金支出を伴わないためNOIから除外。参考値として注記に表示。</t>
  </si>
  <si>
    <t xml:space="preserve">【分析ページの監査と是正】(2026/8/9)</t>
  </si>
  <si>
    <t xml:space="preserve">◆検出26: NaNを有効値として集計していた — NOIマージン(=NOI利回り÷粗利回り)の算定で、NOI利回りが未開示の物件に対し undefined/数値 の演算がNaNを返し、これを「値あり」と判定していた。算定物件数が実際の199件に対し995件と表示されていた。</t>
  </si>
  <si>
    <t xml:space="preserve">  →是正: 全指標の欠測判定を isFinite() による厳密判定に統一。中央値・パーセンタイル・グループ集計・層別調整・散布図のすべてでNaNを除外。</t>
  </si>
  <si>
    <t xml:space="preserve">◆検出27: 費用構成グラフが単純平均で、ヒーロー図(収入加重)と算定方式が不一致だった — 同じ費目でも図により値が異なり(例:オフィスの外注委託費 単純平均10.10 vs 収入加重10.62)、小規模物件が過大に効いていた。</t>
  </si>
  <si>
    <t xml:space="preserve">  →是正: 収入額で加重する方式に統一。あわせて内訳合計と経費率の差額を「未区分」として明示的に表示(従来は差額が消えていた)。</t>
  </si>
  <si>
    <t xml:space="preserve">◆検出28: 経費率(償却込み)しか指標がなく、運用の巧拙を測れなかった — 減価償却費は取得価格と建物比率で決まり運用と無関係のため、法人間比較に不適。</t>
  </si>
  <si>
    <t xml:space="preserve">  →是正: 「NOIマージン」を分布図・クロス分析・認証比較の選択肢に追加。経費率は「経費率(償却込)」と改称して併存。</t>
  </si>
  <si>
    <t xml:space="preserve">◆検出29: クロス分析で母集団が軸により変わることが不可視だった — 築年数を横軸にすると1,233物件→319物件、しかも9法人限定になるが表示がなかった。</t>
  </si>
  <si>
    <t xml:space="preserve">  →是正: 「横軸を算定できる件数／縦軸を算定できる件数／両方揃う件数」と対象法人数を常時表示。築年数選択時とNOI関連指標選択時には、除外される法人名を警告表示。</t>
  </si>
  <si>
    <t xml:space="preserve">◆検出30: 認証ランク別の比較が交絡したまま提示されていた — DBJ星数が上がるほど都心5区比率が上がり(★2:17%→★3:31%→★4:54%→★5:85%)、利回り差は認証ランクではなく立地の差を映している可能性が高い。</t>
  </si>
  <si>
    <t xml:space="preserve">  →是正: 星数別の都心5区比率を実測して警告表示。「認証ランクの効果」と読めないよう明示。</t>
  </si>
  <si>
    <t xml:space="preserve">◆分析手法の追加文書: ビン幅の設定根拠(築年5年・稼働率2%・面積/金額は対数1/3刻み、各ビンn&gt;=5)と、築年軸を選んだ際の母集団の偏りをヘルプに追加。</t>
  </si>
  <si>
    <t xml:space="preserve">【評価ページの監査と是正】(2026/8/9)</t>
  </si>
  <si>
    <t xml:space="preserve">◆検出31: 採点母集団を切り替えても、比較基準線とグレード閾値が全体母集団のままだった — 物件の偏差は同用途134物件で算定される一方、レーダーの基準線(青破線)とグレード判定は全体198物件で算定されており、表の「差分(pt)」が別々の物差しの引き算になっていた。</t>
  </si>
  <si>
    <t xml:space="preserve">  →是正: 採点母集団(VPOOL)を一元管理し、偏差・基準線・順位・グレード閾値のすべてを同一母集団で算定。実測では母集団の違いで偏差が最大12.1pt動くため(六本木ヒルズ森タワーの費用効率: 全体64.4→同用途76.5)、無視できない誤差だった。</t>
  </si>
  <si>
    <t xml:space="preserve">◆検出32: グレード閾値が全体母集団固定だった — 相対順位でグレードを定義しているにもかかわらず、閾値の算定元が採点母集団と一致していなかった。</t>
  </si>
  <si>
    <t xml:space="preserve">  →是正: 母集団ごとに閾値を算定しキャッシュ。同用途採点では198物件中58物件のグレードが変わることを確認。</t>
  </si>
  <si>
    <t xml:space="preserve">◆検証結果: 全198物件について、順位の範囲外0件・差分の異常0件・合成指標(粗利回り×NOIマージン=NOI利回り)の不一致0件。グレード分布は設計どおり(AAA10/AA20/A30/BBB40/BB40/B29/C29)。同用途採点でも順位の範囲外0件。</t>
  </si>
  <si>
    <t xml:space="preserve">◆同用途採点が有効なのはオフィス134物件と住宅39物件のみ。商業11・ホテル8・ヘルスケア1・その他5はn&lt;15のため自動的に全体母集団を使用する旨をヘルプに明記。</t>
  </si>
  <si>
    <t xml:space="preserve">【評価尺度の偏差値化】(2026/8/9)</t>
  </si>
  <si>
    <t xml:space="preserve">◆変更: 各軸の評価をパーセンタイル(0〜100)から偏差値(平均50・標準偏差10)に変更。下位物件が5ptのような極端な値になり差の大きさが直感的に把握できなかったため。</t>
  </si>
  <si>
    <t xml:space="preserve">◆算出方法: 平均と標準偏差から直接算出する方式ではなく、順位を正規分布に写像する正規スコア法(偏差値=50+10×Φ⁻¹(順位の割合))を採用。NOIマージン-207%のような外れ値に引きずられて他物件が中央に潰れるのを防ぐため。</t>
  </si>
  <si>
    <t xml:space="preserve">◆総合偏差値: 5軸の偏差値を平均すると中心極限効果で36.8〜58.5に圧縮されるため、平均値を母集団内で再度偏差値化。軸別・総合とも実測レンジは22〜78となった。</t>
  </si>
  <si>
    <t xml:space="preserve">◆検出33: グレードと順位の不整合5〜6件 — 偏差値を閾値と比較する方式では、同じ偏差値の物件が境界をまたいで別グレードになり、画面表示の順位と食い違っていた(例: 30/198位=15.2%なのにAA表示)。</t>
  </si>
  <si>
    <t xml:space="preserve">  →是正: グレードを順位÷母数から直接決定する方式に変更。全198物件で不整合0件を確認。</t>
  </si>
  <si>
    <t xml:space="preserve">◆検証結果: 偏差値が20〜80の範囲外0件、差分の異常0件、旧表記(パーセンタイル/100点)の残存0件、グレードと順位の不整合0件。グレード分布はAAA9/AA20/A30/BBB40/BB39/B30/C30。</t>
  </si>
  <si>
    <t xml:space="preserve">◆補足: 総合偏差値の表示は整数のため、198物件が49種類の値に丸められる(偏差値50は8物件)。近接する物件が同じ表示値になるのは丸めによるもので、内部の順位計算は一意。</t>
  </si>
  <si>
    <t xml:space="preserve">【環境性能軸の再設計】(2026/8/9)</t>
  </si>
  <si>
    <t xml:space="preserve">◆変更: 環境性能を「認証スコアの偏差値」と「実測エネルギー効率の偏差値」の50:50合成に変更。従来は認証数+DBJ星+CASBEEランクの単純合算のみで、実際の省エネ性能を全く反映していなかった。</t>
  </si>
  <si>
    <t xml:space="preserve">◆認証スコア(0〜20点): ZEB Ready=6/ZEB Oriented=4、BELS=★数×0.8、DBJ=★数×0.8、CASBEE=(S4/A3/B+2/B1)×0.9、LEED=(Platinum4/Gold3)×0.8、CASBEEウェルネス=1。重複取得は加点。DBの環境認証シートからZEB表記・BELS星数・LEEDランクを新たに抽出し731物件に付与した。</t>
  </si>
  <si>
    <t xml:space="preserve">◆エネルギー効率: 水道光熱費の原単位(円/㎡/年)。対収入比ではなく面積あたりとしたのは、賃料水準の高い物件が自動的に有利になるのを避けるため。オーナー負担範囲が用途で大きく異なるため比較は同一用途内に限定(オフィス中央値5,265円/㎡/年、n=106)。</t>
  </si>
  <si>
    <t xml:space="preserve">◆検出34: 水道光熱費0と開示された54物件を「省エネ」と誤評価する危険 — 実態はテナント直接契約や区分不能による非開示(六本木ヒルズ森タワー、アーク森ビル等)。</t>
  </si>
  <si>
    <t xml:space="preserve">  →是正: 0はエネルギー効率の算定対象から除外し、認証のみで評価。該当物件には「算定不可」と理由を明示。原単位を算定できるのは198物件中116物件。</t>
  </si>
  <si>
    <t xml:space="preserve">◆設計の妥当性検証: 認証スコアと光熱費原単位の順位相関はρ=-0.012でほぼ完全に独立。認証の有無は省エネ実績を全く説明しておらず、2指標を合成する統計的根拠が確認された。</t>
  </si>
  <si>
    <t xml:space="preserve">◆影響: 旧スコアとの順位相関ρ=0.572。198物件中57物件が60位以上変動。大同生命新潟ビル(光熱費3,565円/㎡)は154位→8位、大手町フィナンシャルシティノースタワー(13,320円/㎡)は29位→155位となり、認証保有だけでは高評価にならない設計に変わった。</t>
  </si>
  <si>
    <t xml:space="preserve">◆検証結果: 全198物件で内訳表示の欠落0件、エネルギー効率あり116件・算定不可の明示82件・分類漏れ0件、環境性能の偏差値レンジ22〜76。</t>
  </si>
  <si>
    <t xml:space="preserve">【稼働安定軸の基準線が49になる件の検証】(2026/8/9)</t>
  </si>
  <si>
    <t xml:space="preserve">◆結論: 計算誤りではなく、同順位が大量に発生する軸の統計的性質。実測で全体平均は 収益性50.000／費用効率50.000／資産価値50.001 に対し、稼働安定のみ49.231。</t>
  </si>
  <si>
    <t xml:space="preserve">◆原因: 評価対象198物件のうち136物件(69%)が稼働率100%で、この136物件はすべて偏差値54.03の同順位。満室を割った62物件は偏差値22〜52に広く散らばる。上側に大きな塊、下側にロングテールという非対称な分布のため、平均が50をわずかに下回る。</t>
  </si>
  <si>
    <t xml:space="preserve">  →対応: 数値は正しいため変更せず、乖離する軸に注記アイコンを自動付与し、理由をヘルプ「基準線が50ちょうどにならない軸がある理由」で説明。この軸は「50より上か下か」ではなく「満室(54.0)かどうか」で読む旨も明記。</t>
  </si>
  <si>
    <t xml:space="preserve">◆検出35: 併せて表示ロジックの不具合を発見 — 基準グループが全体か否かの判定に参照比較(base===EL)を用いていたが、vGroup()が毎回新しい配列を返すため常に偽となり、全体を選んでいても「当グループの位置」という文言が表示されていた。</t>
  </si>
  <si>
    <t xml:space="preserve">  →是正: 件数による判定に変更。全体選択時は「評価対象198物件の平均」「全体中央値」、法人等で絞込時は「当グループの位置」「グループ中央値」と正しく切り替わることを確認。</t>
  </si>
  <si>
    <t xml:space="preserve">【評価軸②の入れ替え: 稼働安定 → 規模・流動性】(2026/8/9)</t>
  </si>
  <si>
    <t xml:space="preserve">◆背景: 稼働率は評価対象198物件のうち136物件(69%)が100%で同順位となり、値の種類も46通りしかなく判別力が不足していた。同順位の偏りにより軸の平均偏差値が49.2と50から乖離する副作用もあった。</t>
  </si>
  <si>
    <t xml:space="preserve">◆代替候補の定量比較(既存4軸との順位相関の最大値／カバー率):</t>
  </si>
  <si>
    <t xml:space="preserve">  賃料単価(円/㎡/年)  相関-0.507(収益性と重複・分母違い) / 146件</t>
  </si>
  <si>
    <t xml:space="preserve">  修繕費率(対収入)    相関-0.579(費用効率の内数で重複)   / 179件</t>
  </si>
  <si>
    <t xml:space="preserve">  立地×規模の合成     相関-0.486(キャップレートの裏返し) / 198件</t>
  </si>
  <si>
    <t xml:space="preserve">  外注委託費率        相関-0.671(費用効率と重複)         / 197件</t>
  </si>
  <si>
    <t xml:space="preserve">  鑑定評価額(規模)    相関-0.279 ← 最も独立             / 198件</t>
  </si>
  <si>
    <t xml:space="preserve">◆採用: 期末鑑定評価額を「規模・流動性」として採用。カバー率100%、既存4軸との相関は最大0.279で5軸中最も独立。売却時の買い手の広がりとテナント誘致における選ばれやすさという実務的な意味を持つ。</t>
  </si>
  <si>
    <t xml:space="preserve">◆位置づけ: 他4軸が運用実績を映すのに対し、この軸は資産そのものが構造的に持つ強さを示す。運用の巧拙を測る軸ではない旨をヘルプに明記。</t>
  </si>
  <si>
    <t xml:space="preserve">◆稼働率の扱い: 評価軸からは外すが、評価カードに参考値として全物件で表示。稼働実績は収益性(粗利回り)の分子である賃貸事業収入に織り込まれているため評価から消えるわけではない旨も明記。</t>
  </si>
  <si>
    <t xml:space="preserve">◆検証結果: 全198物件で軸の欠落0件、規模・流動性の偏差値レンジ22〜78、稼働率の参考表示198件。全5軸の基準偏差値が50に揃い、49の乖離も解消。</t>
  </si>
  <si>
    <t xml:space="preserve">【評価ページへの一式反映と総点検】(2026/8/9)</t>
  </si>
  <si>
    <t xml:space="preserve">◆評価母集団の見直し: 稼働率が評価軸でなくなったため、母集団の必須条件から稼働率を外し、5軸の算定に必要な項目(粗利回り・NOI利回り・経費率・含み損益率・鑑定評価額)と通期保有のみを条件とした。これにより渋谷クロスタワー(底地・稼働率非開示)が加わり、評価対象は198→199物件となった。</t>
  </si>
  <si>
    <t xml:space="preserve">◆表記の統一: 「収益力・稼働安定・費用効率・資産価値・環境性能」という旧5軸の記述が、評価ページの導入文・偏差値の定義文・5軸評価のヘルプに残っていたため、すべて「収益性・規模・流動性・費用効率・資産価値・環境性能」に統一。物件数の記述も203→199に修正。</t>
  </si>
  <si>
    <t xml:space="preserve">◆ヘルプの整合: 旧軸ax_occを削除しax_liqを新設。HTML内で参照する全32キー・コード内で呼び出す全25キー・5軸のヘルプキーすべてについて、定義の存在を機械的に検証し未定義0件を確認。</t>
  </si>
  <si>
    <t xml:space="preserve">◆稼働率の扱いの明確化: 評価軸から外したうえで、全物件の評価カードに参考値として表示。非開示の物件は「非開示」と表示する。ヘルプ「稼働率を評価軸から外した理由」で、稼働実績は収益性(粗利回り)の分子に織り込まれている旨も説明。</t>
  </si>
  <si>
    <t xml:space="preserve">◆「基準線が50にならない」ヘルプの更新: 稼働率を軸から外したことで全5軸の基準偏差値が50に揃ったため、記述を現状に合わせて改訂。グループ絞込時に50から離れるのは正常である旨を追記。</t>
  </si>
  <si>
    <t xml:space="preserve">◆検証結果(全199物件): 5軸すべて表示199/199、稼働率の参考表示199/199、順位の妥当性199/199、グレードと順位の整合199/199、環境性能の内訳表示199/199、総合偏差値レンジ22〜78。同用途採点(オフィス135物件)でも正常動作。</t>
  </si>
  <si>
    <t xml:space="preserve">◆他ページへの波及確認: 絞込の「5軸評価」プルダウンは評価対象199/対象外1034と自動更新され、物件一覧の評価バッジも一致。概況・分析・提言の各ページに不整合なし。</t>
  </si>
  <si>
    <t xml:space="preserve">【評価ページの表示・総評の全面是正】(2026/8/9)</t>
  </si>
  <si>
    <t xml:space="preserve">◆検出36: 環境性能の「中央値」に合成偏差値の中央値(=50)を表示していた — 環境性能は認証と実測エネルギー効率の合成偏差値のため、その中央値を数値で出しても意味を持たない。</t>
  </si>
  <si>
    <t xml:space="preserve">  →是正: 構成する実データの中央値(認証2.7点／オフィスの光熱費原単位5,260円/㎡/年)を表示。選択物件側も認証スコアの実点数を表示。</t>
  </si>
  <si>
    <t xml:space="preserve">◆検出37: 未選択時に「この物件」列が全行「—」で表示されていた — 情報量がないうえ、平均像を見る画面で空列が主役の位置を占めていた。</t>
  </si>
  <si>
    <t xml:space="preserve">  →是正: 物件未選択時は当該列を出さない。列見出しも「全体中央値」→「評価対象全体の中央値」、絞込時は「(グループ名)の中央値」と具体化。</t>
  </si>
  <si>
    <t xml:space="preserve">◆検出38: 総評に旧軸の残骸 — 平均像の総評が「稼働率」を基準線の構成要素として説明していた(medAll.occは既に存在せず表示が壊れる状態)。</t>
  </si>
  <si>
    <t xml:space="preserve">  →是正: 新5軸(収益性・規模流動性・費用効率・資産価値・環境性能)で全面的に書き直し。軸ごとの差の付きやすさ、収益性×費用効率=NOI利回りの分解関係、環境性能の2要素が無相関(ρ=-0.012)であることを説明する構成とした。</t>
  </si>
  <si>
    <t xml:space="preserve">◆検出39: 費用内訳の0%を「費用が軽い」と誤読させる表示 — 水道光熱費0%等をそのまま並べていた。</t>
  </si>
  <si>
    <t xml:space="preserve">  →是正: 0%は「計上なし」と表記し、テナント直接負担または他費目への合算であって費用が発生していない意味ではない旨を注記(該当66物件)。</t>
  </si>
  <si>
    <r>
      <rPr>
        <sz val="10"/>
        <rFont val="Arial"/>
        <family val="0"/>
        <charset val="1"/>
      </rPr>
      <t xml:space="preserve">◆UI</t>
    </r>
    <r>
      <rPr>
        <sz val="10"/>
        <rFont val="Noto Sans CJK SC"/>
        <family val="2"/>
      </rPr>
      <t xml:space="preserve">表記の統一</t>
    </r>
    <r>
      <rPr>
        <sz val="10"/>
        <rFont val="Arial"/>
        <family val="0"/>
        <charset val="1"/>
      </rPr>
      <t xml:space="preserve">: </t>
    </r>
    <r>
      <rPr>
        <sz val="10"/>
        <rFont val="Noto Sans CJK SC"/>
        <family val="2"/>
      </rPr>
      <t xml:space="preserve">金額に桁区切りを適用</t>
    </r>
    <r>
      <rPr>
        <sz val="10"/>
        <rFont val="Arial"/>
        <family val="0"/>
        <charset val="1"/>
      </rPr>
      <t xml:space="preserve">(159,200</t>
    </r>
    <r>
      <rPr>
        <sz val="10"/>
        <rFont val="Noto Sans CJK SC"/>
        <family val="2"/>
      </rPr>
      <t xml:space="preserve">百万円</t>
    </r>
    <r>
      <rPr>
        <sz val="10"/>
        <rFont val="Arial"/>
        <family val="0"/>
        <charset val="1"/>
      </rPr>
      <t xml:space="preserve">)</t>
    </r>
    <r>
      <rPr>
        <sz val="10"/>
        <rFont val="Noto Sans CJK SC"/>
        <family val="2"/>
      </rPr>
      <t xml:space="preserve">、「偏差」→「偏差値」、順位の母集団名を採点母集団に一致</t>
    </r>
    <r>
      <rPr>
        <sz val="10"/>
        <rFont val="Arial"/>
        <family val="0"/>
        <charset val="1"/>
      </rPr>
      <t xml:space="preserve">(</t>
    </r>
    <r>
      <rPr>
        <sz val="10"/>
        <rFont val="Noto Sans CJK SC"/>
        <family val="2"/>
      </rPr>
      <t xml:space="preserve">同用途採点時は「オフィス</t>
    </r>
    <r>
      <rPr>
        <sz val="10"/>
        <rFont val="Arial"/>
        <family val="0"/>
        <charset val="1"/>
      </rPr>
      <t xml:space="preserve">135</t>
    </r>
    <r>
      <rPr>
        <sz val="10"/>
        <rFont val="Noto Sans CJK SC"/>
        <family val="2"/>
      </rPr>
      <t xml:space="preserve">物件中」</t>
    </r>
    <r>
      <rPr>
        <sz val="10"/>
        <rFont val="Arial"/>
        <family val="0"/>
        <charset val="1"/>
      </rPr>
      <t xml:space="preserve">)</t>
    </r>
    <r>
      <rPr>
        <sz val="10"/>
        <rFont val="Noto Sans CJK SC"/>
        <family val="2"/>
      </rPr>
      <t xml:space="preserve">、基準線の呼称を「グループ中央値」から「基準線」に統一。</t>
    </r>
  </si>
  <si>
    <t xml:space="preserve">◆環境性能の総評を状態別に分岐: 認証高×効率低は「認証は取ったが運用が追いついていない典型」(17物件)、認証低×効率高は「実力はあるが第三者評価がない状態」(3物件)、効率算定不可は認証のみ評価である旨を明示(93物件)。</t>
  </si>
  <si>
    <t xml:space="preserve">◆検証結果: 全199物件で総評の異常表記(undefined/NaN等)0件、段落構成の不備0件。</t>
  </si>
  <si>
    <t xml:space="preserve">【評価ページ 全項目の逐条点検】(2026/8/9)</t>
  </si>
  <si>
    <t xml:space="preserve">◆検出40: 物件数の表記が11のヘルプ項目で旧値(198/203)のまま残っていた。→199に統一(14箇所)。</t>
  </si>
  <si>
    <t xml:space="preserve">◆検出41: 評価母集団ヘルプの内訳が旧構成(JRE76/NUD55/HLC44/MTR18/MHR11)のままだった。実データ(JRE75/NUD52/HLC44/MTR18/MHR10、用途はオフィス135・住宅39・商業11・ホテル8・ヘルスケア1・その他5)に修正。条件の記述からも「稼働率」を削除。</t>
  </si>
  <si>
    <t xml:space="preserve">◆検出42: 収益性の計算式が「÷取得価格」のままだった(主指標は鑑定評価額ベース)。用語集の「粗利回り」項目も同様。両方を鑑定評価額ベースに修正し、取得価格ベースは参考指標と明記。</t>
  </si>
  <si>
    <t xml:space="preserve">◆検出43: 軸名「環境性能」が実態と乖離 — 認証と実測エネルギー効率の合成になったため「環境・省エネ」に改称。表・レーダー・総評・ヘルプ・導入文の全12箇所を統一(DBJ/LEEDの制度説明としての「環境性能」は一般語のため保持)。</t>
  </si>
  <si>
    <t xml:space="preserve">◆検出44(重大): ヘルプ項目の削除処理で、意図した1項目(grndisc)だけでなく後続17項目(corpmap/bubble/dist/cross/stack/spread/cert/rank/cov/bmdata/bmcov/aum/strategy/period/stats/confound/sens)を巻き込んで削除していた。用語集が68→51項目に減り、グラフの「?」11個が反応しない状態だった。</t>
  </si>
  <si>
    <t xml:space="preserve">  →是正: 直前の出力物から17項目を復元し、復元分の表記も199物件・新軸名に統一。全機能テスト16項目の回復を確認。</t>
  </si>
  <si>
    <t xml:space="preserve">◆最終チェックリスト: 旧物件数0件／旧軸名「環境性能」0件／旧偏差表記0件／旧環境スコア表記0件／収益性の分母が取得価格0件／削除漏れ0件。「稼働安定」は軸を入れ替えた経緯の説明として1箇所のみ意図的に残置。</t>
  </si>
  <si>
    <t xml:space="preserve">【提言ページの監査と是正】(2026/8/9)</t>
  </si>
  <si>
    <t xml:space="preserve">◆検出45(重大): 提言2の主張と根拠が論理的に成立していなかった — 「空室を埋めると増益」の根拠に稼働別の粗利回り(99%以上5.55% vs 95%未満4.90%)を用いていたが、エリア×用途で層別調整すると差は+0.03ptとほぼ消滅。高稼働物件の利回りが高いのは稼働のためではなく、地方・中小物件が高稼働かつ高利回りという交絡だった。</t>
  </si>
  <si>
    <t xml:space="preserve">  →是正: 根拠を賃料単価(年間賃貸事業収入÷賃貸可能面積)に差し替え。オフィスで稼働99%以上71,632円/㎡/年 → 95〜99%70,000円 → 95%未満63,945円と、空室が単位面積あたり収入を直接押し下げることを実証。あわせて「稼働は利回り(価格に対する比率)ではなく収入そのものに効く」と論点を整理。</t>
  </si>
  <si>
    <t xml:space="preserve">◆検出46: 提言6が層別調整の結果と矛盾していた — 本文は「認証物件は市場が高く評価している」と断定していたが、層別調整後の差は-0.02ptで、稼働98%以上の割合も認証あり70%・なし70%と差がない。</t>
  </si>
  <si>
    <t xml:space="preserve">  →是正: 「認証それ自体が保有中の収益を押し上げる証拠は本データからは得られない」と事実に即して書き換え。認証の意味をESG要件充足・買い手の幅・省エネ改修とのセット効果に整理し、環境軸で認証と実測効率が無相関(ρ=-0.012)であることから「認証を取るだけでは光熱費は下がらない」と明記。</t>
  </si>
  <si>
    <t xml:space="preserve">◆検出47: 費用の0%(計上なし)を分位計算に含めていた — 水道光熱費で51件、テナント直接負担等による非計上を「費用が軽い物件」として中央値・分位に算入していた。→0%を除外し、除外件数を明示。中央値は5.7%→6.7%に是正。</t>
  </si>
  <si>
    <t xml:space="preserve">◆検出48: サンプル不足時に「—%」「n=0」が表示されていた — ホテルで絞り込むと全8物件が光熱費計上なしとなり、中央値—%・改善余地0.0%分という無意味な表示になっていた。→n&lt;5では算定不可である旨と該当件数を明示する表示に変更。</t>
  </si>
  <si>
    <t xml:space="preserve">◆検出49: 認証で絞り込むと提言6の比較が片側だけになっていた — 「認証あり」で絞ると認証なしの値が—%になり比較が成立しなかった。→この提言のみ認証フィルタを除いた母集団で算定し、その旨を明示。</t>
  </si>
  <si>
    <t xml:space="preserve">◆検出50: 根拠値にサンプル数が併記されておらず、少数の物件から導いた数値と大量サンプルの数値が同列に見えていた。→全ての根拠値にn=を併記。築年別の値には竣工年月開示9法人のみが対象である旨の注記を追加。</t>
  </si>
  <si>
    <t xml:space="preserve">◆検証結果: 用途7・エリア7・法人9・評価対象3・認証3・築年5の計34通りの絞込で、異常表記(undefined/NaN/n=0/—%)0件、提言数の不備0件。</t>
  </si>
  <si>
    <t xml:space="preserve">【分析ページ 再監査】(2026/8/9)</t>
  </si>
  <si>
    <t xml:space="preserve">◆検出51(重大): 費用構成グラフの注記が誤り — 「100から積み上げを引いた残りがNOIマージン」と説明していたが、積み上げには減価償却費が含まれるため、残りは償却後の賃貸事業利益率であってNOIマージンではない。オフィス実測で残り55.2に対しNOIマージンは66.5と11pt乖離していた。</t>
  </si>
  <si>
    <t xml:space="preserve">  →是正: 「NOIマージン＝残り＋減価償却費」の関係を明記(55.2+13.9=69.1で実測と整合)。ヘルプ項目「費用構成の積み上げとNOIマージンの関係」を新設。</t>
  </si>
  <si>
    <t xml:space="preserve">◆検出52: 費目別ばらつきが0%(計上なし)を分位計算に含めていた — 水道光熱費で51件、保険料で110件、その他で74件が0%。分布が下に引っ張られ、水道光熱費の中央値は5.66%と実態(計上ありのみで6.72%)より1pt低く出ていた。</t>
  </si>
  <si>
    <t xml:space="preserve">  →是正: 0%を分位から除外し、用途別の除外件数を注記。x軸ラベルも「計上ありのみ」と明示。n&lt;5で非表示になったグループ名も表示。</t>
  </si>
  <si>
    <t xml:space="preserve">◆検出53: 認証保有率の分母が物件数のみ — 認証は大型物件に偏るため、鑑定評価額ベースでは全体60.4%→81.2%、エリア別でも最大25pt(他23区: 53%→77%)変わる。物件数ベースだけでは資産規模から見た浸透度が分からない。</t>
  </si>
  <si>
    <t xml:space="preserve">  →是正: 「物件数ベース／鑑定評価額ベース」の切替を追加し、両方の全体値を常時併記。</t>
  </si>
  <si>
    <t xml:space="preserve">◆検出54(自己作り込み): drawCov関数の置換時に、後続のdrawStrat・fillStrat・drawBmの3関数と変数STSELを巻き込んで削除していた。戦略プロファイルと管理会社の描画が全て停止する状態だった。</t>
  </si>
  <si>
    <t xml:space="preserve">  →是正: 直前の出力物から関数3件と宣言1件を復元。関数名・トップレベル宣言の集合を新旧で差分比較する検証手順を追加した。</t>
  </si>
  <si>
    <t xml:space="preserve">◆確認できた妥当性: 認証ランク別チャートはDBJ★2〜5(n=6/65/39/13)・CASBEE S/A/B+(n=240/266/7)・認証種別(ZEB70/DBJ133/CASBEE513/LEED0)いずれも正常。LEEDは利回り算定可能物件が0件のためバー非表示とし、その旨を注記する仕様が機能している。</t>
  </si>
  <si>
    <t xml:space="preserve">◆検証結果: 因子・費用・認証の全セグメント切替45通りで異常表記0件、実行時エラー0件。</t>
  </si>
  <si>
    <t xml:space="preserve">【分析ページ 切り口の妥当性監査とUI統一】(2026/8/9)</t>
  </si>
  <si>
    <r>
      <rPr>
        <sz val="10"/>
        <rFont val="Arial"/>
        <family val="0"/>
        <charset val="1"/>
      </rPr>
      <t xml:space="preserve">◆UI: </t>
    </r>
    <r>
      <rPr>
        <sz val="10"/>
        <rFont val="Noto Sans CJK SC"/>
        <family val="2"/>
      </rPr>
      <t xml:space="preserve">横並びカードの高さ不揃いを是正 — </t>
    </r>
    <r>
      <rPr>
        <sz val="10"/>
        <rFont val="Arial"/>
        <family val="0"/>
        <charset val="1"/>
      </rPr>
      <t xml:space="preserve">align-items:start </t>
    </r>
    <r>
      <rPr>
        <sz val="10"/>
        <rFont val="Noto Sans CJK SC"/>
        <family val="2"/>
      </rPr>
      <t xml:space="preserve">により中身の量で高さがばらつき下端が不揃いだった。</t>
    </r>
    <r>
      <rPr>
        <sz val="10"/>
        <rFont val="Arial"/>
        <family val="0"/>
        <charset val="1"/>
      </rPr>
      <t xml:space="preserve">stretch</t>
    </r>
    <r>
      <rPr>
        <sz val="10"/>
        <rFont val="Noto Sans CJK SC"/>
        <family val="2"/>
      </rPr>
      <t xml:space="preserve">に変更し、カード内部を縦フレックス化、最終注記を</t>
    </r>
    <r>
      <rPr>
        <sz val="10"/>
        <rFont val="Arial"/>
        <family val="0"/>
        <charset val="1"/>
      </rPr>
      <t xml:space="preserve">margin-top:auto</t>
    </r>
    <r>
      <rPr>
        <sz val="10"/>
        <rFont val="Noto Sans CJK SC"/>
        <family val="2"/>
      </rPr>
      <t xml:space="preserve">で下端に寄せてグラフ位置を揃えた。セグメント行にも</t>
    </r>
    <r>
      <rPr>
        <sz val="10"/>
        <rFont val="Arial"/>
        <family val="0"/>
        <charset val="1"/>
      </rPr>
      <t xml:space="preserve">min-height</t>
    </r>
    <r>
      <rPr>
        <sz val="10"/>
        <rFont val="Noto Sans CJK SC"/>
        <family val="2"/>
      </rPr>
      <t xml:space="preserve">を設定。</t>
    </r>
  </si>
  <si>
    <t xml:space="preserve">◆検出55: クロス分析の横軸「延床面積」に分析価値がなかった — カバー183件(賃貸可能面積1,164件の16%)、賃貸可能面積と情報が重複、粗利回りとの順位相関も0.07と弱い。→削除。</t>
  </si>
  <si>
    <t xml:space="preserve">◆検出56: クロス分析のX軸とY軸に同一指標(稼働率・含み損益率)が両方存在し、同じ指標同士の散布図という無意味な組合せが選択可能だった。→Y軸から稼働率・経費率を削除し「収益の分解軸」(粗利回り/NOI利回り/NOIマージン/含み損益率)に統一。同一指標が選ばれた場合の防御も実装。</t>
  </si>
  <si>
    <t xml:space="preserve">◆検出57(重大): 管理会社ペインが成立しない比較を示唆していた — 管理会社が判明した162物件と費用内訳を開示する193物件の重複は0件で、「A社の管理物件は光熱費が安い」といった比較は原理的に不可能。</t>
  </si>
  <si>
    <t xml:space="preserve">  →是正: ペインの位置づけを「委託構造の可視化」に限定し、成績比較ができない理由と重複0件という事実を明示。ヘルプ項目「管理会社別の成績比較ができない理由」を新設。</t>
  </si>
  <si>
    <t xml:space="preserve">◆検出58(自己作り込み): drawBmの置換時に変数STSELの宣言を巻き込んで削除。前回と同種の事故を繰り返したため、再発防止として tests/integrity.test.cjs を新設し、関数名・トップレベル宣言の重複と欠落をビルド毎に機械検査する体制とした(現在: 関数86件・宣言53件・重複0件)。</t>
  </si>
  <si>
    <t xml:space="preserve">◆検出59: 管理会社ペインの注記要素(bmNote)がHTMLに挿入されていなかった(置換失敗を検証せず進めた)。→挿入し表示を確認。</t>
  </si>
  <si>
    <t xml:space="preserve">◆検証: 因子・費用・認証・管理会社の4ペイン×全セグメント切替を5巡(計205操作)実施し、異常表記0件・実行時エラー0件。</t>
  </si>
  <si>
    <t xml:space="preserve">【補足説明の全数監査】(2026/8/9・ヘルプ69項目＋本文注記)</t>
  </si>
  <si>
    <t xml:space="preserve">◆検出60: 統計値の陳腐化 — 光熱費0の物件数(54→55件、母集団が198→199に変わったため)、規模・流動性の軸間相関(0.279→0.29)が旧値のままだった。実データで再計算して是正。</t>
  </si>
  <si>
    <t xml:space="preserve">◆検出61: 軸間相関の説明に未記載の相関があった — 実測で規模・流動性×環境省エネにρ=0.35、収益性×規模流動性にρ=-0.29が存在するが記載がなかった。両方を追記し、収益性×費用効率も-0.44→-0.45に更新。</t>
  </si>
  <si>
    <t xml:space="preserve">◆検出62: NOI利回りの定義式が「÷取得価格」のままだった。→期末鑑定評価額(主指標)に修正。</t>
  </si>
  <si>
    <t xml:space="preserve">◆検出63: キャップレートの説明が「本アプリは取得価格ベース」という旧前提のままだった。→鑑定評価額ベースであること、鑑定はNOIを還元利回りで割って算定するため本アプリの利回りはキャップレートに近い性質を持つこと(ただし鑑定は安定NOI、本アプリは実績NOI)を明記。</t>
  </si>
  <si>
    <t xml:space="preserve">◆検出64: 5軸評価の注記が稼働率を軸に含む前提だった。→収益性と費用効率の負の相関、単年断面の制約、母集団の偏りという現行の3点に差し替え。</t>
  </si>
  <si>
    <t xml:space="preserve">◆検出65: ポジショニング図の説明が「横軸=築年数固定・バブル=取得価格合計」という旧仕様のままだった。→軸は切替可能・バブルは鑑定評価額合計・色は法人固定と是正。</t>
  </si>
  <si>
    <t xml:space="preserve">◆検出66: 本文注記の陳腐化5件 — 「判明分161物件」(現162件)、認証ランクの断定的表現(交絡の可能性に言及せず)、バブルの説明不足など。すべて最新化し、該当するヘルプへのリンクを追加。</t>
  </si>
  <si>
    <t xml:space="preserve">◆検出67: ヘルプ項目bmlimitの定義が置換操作で失われ、参照エラーになっていた。→復元。</t>
  </si>
  <si>
    <t xml:space="preserve">◆再発防止: tests/docs.test.cjs を新設し、①説明文中の数値と実データの照合 ②ヘルプキーの参照整合 ③旧仕様の残存検査 ④必須項目(タイトル・本文)の充足 ⑤文言の一貫性 の5観点をビルド毎に自動検査する体制とした。現在69項目すべてで要修正0件。</t>
  </si>
  <si>
    <t xml:space="preserve">【PM会社シートへの全面刷新】(2026/8/9)</t>
  </si>
  <si>
    <t xml:space="preserve">◆旧「管理会社_物件別」「管理会社_法人別」シートを削除した。理由: ①管理会社側の公表実績に依拠していたためカバー率が13.1%と低く、②PM(プロパティマネジメント)とBM(ビルマネジメント)の区別が曖昧で、③管理会社の開示姿勢に依存する偏った母集団だったため。</t>
  </si>
  <si>
    <t xml:space="preserve">◆新設: 「PM会社_物件別」「PM会社_集計」。各投資法人の有価証券報告書に記載されたPM会社を一次情報として収録する。</t>
  </si>
  <si>
    <t xml:space="preserve">◆用語の定義: PM(プロパティマネジメント)会社＝物件の収益最大化を担う受託者。テナント募集・賃料改定・収支計画の策定・BM会社の選定と統括を行う。建物設備の維持を担うBM(ビルマネジメント)会社とは業務範囲が異なる。有価証券報告書に記載されるのは通常PM会社である。</t>
  </si>
  <si>
    <t xml:space="preserve">◆収録方針: 有価証券報告書の記載のみを一次情報として採用し、推定は一切行わない。出典資料名・決算期・記載箇所を各行に明記する。</t>
  </si>
  <si>
    <t xml:space="preserve">【PM会社データの取込 第1弾】(2026/8/9・4法人)</t>
  </si>
  <si>
    <t xml:space="preserve">◆取込元: 大和証券オフィス(第40期)・グローバル・ワン(第45期)・平和不動産リート・ヒューリックリートの各有価証券報告書。個別物件表の「ＰＭ会社」欄を抽出。</t>
  </si>
  <si>
    <t xml:space="preserve">◆結果: 232物件・PM会社22社を収録。DOI 58/60(96.7%)、GOR 16/18(88.9%)、HLC 62/69(89.9%)、HFR 96/138(69.6%)。名寄せ不一致0件。</t>
  </si>
  <si>
    <t xml:space="preserve">◆抽出方法: DOIとGORはPDFのテキスト層から、HFRとHLCはページ単位の行走査で物件名とPM会社を対応。GORはpdftotextでテキストを取得できずpdfplumberで抽出した(Adobe-Japan1の言語パック不足のため)。</t>
  </si>
  <si>
    <t xml:space="preserve">◆判明した委託構造: ヒューリックリートは62物件中61件が自社(ヒューリック株式会社)で系列内製型。平和不動産リートは長谷工ライブネット37件・Apaman Property33件・東急住宅リース13件と住宅系PMに分散委託。大和証券オフィスはベスト・プロパティ22件を軸に6社へ分散。グローバル・ワンは16物件に9社と最も分散度が高い。</t>
  </si>
  <si>
    <t xml:space="preserve">◆独立系PM会社の存在感: ザイマックス16件、ベスト・プロパティ22件、エム・エス・ビルサポート10件など、スポンサー系列によらない独立系が相当数を占めることが確認できた。</t>
  </si>
  <si>
    <t xml:space="preserve">◆データ品質: 必須列(物件ID・法人ID・物件名・PM会社・出典資料・決算期)の空欄0件。有報上「－」と記載された1件は、PM会社を置いていないかマスターリース会社が兼務するものとして備考に明記。</t>
  </si>
  <si>
    <t xml:space="preserve">【PM会社データ 第2弾取込】(2026/8/9・4法人追加/計8法人)</t>
  </si>
  <si>
    <t xml:space="preserve">◆追加: いちごオフィス(2026年4月期)・ジャパンエクセレント(2025年12月期)・日本プライムリアルティ第48期(2025年12月期)・ジャパンリアルエステイト(2026年3月期)。累計488物件・PM会社62社。</t>
  </si>
  <si>
    <t xml:space="preserve">◆記載様式の差異: ICG/JEIは「ＰＭ会社」欄、JPR/JREは「不動産管理会社」欄。JREは会社名がPDF上で2行に折り返し、損益列と同一行に出力されるため、前後行を結合して復元した。</t>
  </si>
  <si>
    <t xml:space="preserve">◆カバー率: JEI 97.1%、DOI 96.7%、ICG 96.6%、JRE 96.2%、JPR 94.1%、HLC 89.9%、GOR 88.9%、HFR 69.6%。名寄せ不一致0件。</t>
  </si>
  <si>
    <t xml:space="preserve">◆表記の正規化: 「（注）」等の注記を除去(5件)、非開示表記を「記載なし・非開示」として系列分類、用途別/共同受託の複数社記載を専用の系列区分とした。62社すべてを系列分類済み。</t>
  </si>
  <si>
    <t xml:space="preserve">◆重要な変化: PM会社が判明した物件と費用内訳を開示する物件の重複が0件→115件となり、PM会社別の運営コスト比較が可能になった。オフィスでn&gt;=5の5社について水道光熱費の原単位を比較すると、中央値で4,301〜6,059円/㎡/年の幅がある。</t>
  </si>
  <si>
    <t xml:space="preserve">  →アプリに「PM会社別の水道光熱費の原単位」チャートを追加。ただしPM会社の選定は投資法人が行うため、PM会社の差と投資法人の差が分離できていない。因果推定には使えず分布の記述にとどまる旨をヘルプに明記。</t>
  </si>
  <si>
    <t xml:space="preserve">【PM会社データ 第3弾取込】(2026/8/9・3法人追加/計11法人)</t>
  </si>
  <si>
    <t xml:space="preserve">◆追加: ケネディクス・オフィス(2026年4月期)・森ヒルズリート(2026年1月期)・日本ビルファンド(2025年12月期)。累計907物件・PM会社92社。</t>
  </si>
  <si>
    <t xml:space="preserve">◆森トラスト総合リート(MTR)は物件別のPM会社記載がなかった。有報にはPM会社の選定方針とPM業務の定義の記述はあるが、個別物件表に委託先名の欄がない。同法人は保有20物件すべてが一棟貸しのマスターリース形態であり、テナント(森トラスト等)が施設運営管理を担う構造のため。</t>
  </si>
  <si>
    <t xml:space="preserve">◆記載様式: KDX/MHRは「PM会社」欄、NBFは「建物管理会社」欄。NBFのみBM的な呼称だが、有報上これが管理委託先を示す唯一の欄であるため収録し、備考にその旨を明記した。</t>
  </si>
  <si>
    <t xml:space="preserve">◆名寄せの課題と対応: KDXでヘルスケア物件の物件名に「分類 介護付有料老人ホーム」等が連結され、NBFで「（注）」が付与されていたため16件が未一致となった。物件名の正規化(分類表記・注記・丸数字の除去)を追加し、KDX 339/345(98.3%)、NBF 69/70(98.6%)まで改善。残る1件は取得予定物件(未保有)のため対象外。</t>
  </si>
  <si>
    <t xml:space="preserve">◆カバー率(11法人): MHR 100%、NBF 98.6%、KDX 98.3%、DOI 96.7%、ICG 96.6%、JRE 96.2%、JEI 94.1%、JPR 92.6%、HLC 89.9%、GOR 88.9%、HFR 69.6%。</t>
  </si>
  <si>
    <t xml:space="preserve">◆委託構造の特徴: ケネディクス系161件(KDXの46.9%)と長谷工ライブネット106件が最大。系列分布では独立系272件が最多で、スポンサー系列に依存しないPM委託が全体の3割を占める。</t>
  </si>
  <si>
    <r>
      <rPr>
        <sz val="10"/>
        <rFont val="Arial"/>
        <family val="0"/>
        <charset val="1"/>
      </rPr>
      <t xml:space="preserve">◆PM</t>
    </r>
    <r>
      <rPr>
        <sz val="10"/>
        <rFont val="Noto Sans CJK SC"/>
        <family val="2"/>
      </rPr>
      <t xml:space="preserve">会社別の運営コスト比較</t>
    </r>
    <r>
      <rPr>
        <sz val="10"/>
        <rFont val="Arial"/>
        <family val="0"/>
        <charset val="1"/>
      </rPr>
      <t xml:space="preserve">: </t>
    </r>
    <r>
      <rPr>
        <sz val="10"/>
        <rFont val="Noto Sans CJK SC"/>
        <family val="2"/>
      </rPr>
      <t xml:space="preserve">対象が</t>
    </r>
    <r>
      <rPr>
        <sz val="10"/>
        <rFont val="Arial"/>
        <family val="0"/>
        <charset val="1"/>
      </rPr>
      <t xml:space="preserve">115→125</t>
    </r>
    <r>
      <rPr>
        <sz val="10"/>
        <rFont val="Noto Sans CJK SC"/>
        <family val="2"/>
      </rPr>
      <t xml:space="preserve">物件に増加。オフィスで</t>
    </r>
    <r>
      <rPr>
        <sz val="10"/>
        <rFont val="Arial"/>
        <family val="0"/>
        <charset val="1"/>
      </rPr>
      <t xml:space="preserve">n&gt;=5</t>
    </r>
    <r>
      <rPr>
        <sz val="10"/>
        <rFont val="Noto Sans CJK SC"/>
        <family val="2"/>
      </rPr>
      <t xml:space="preserve">の</t>
    </r>
    <r>
      <rPr>
        <sz val="10"/>
        <rFont val="Arial"/>
        <family val="0"/>
        <charset val="1"/>
      </rPr>
      <t xml:space="preserve">5</t>
    </r>
    <r>
      <rPr>
        <sz val="10"/>
        <rFont val="Noto Sans CJK SC"/>
        <family val="2"/>
      </rPr>
      <t xml:space="preserve">社の水道光熱費原単位は</t>
    </r>
    <r>
      <rPr>
        <sz val="10"/>
        <rFont val="Arial"/>
        <family val="0"/>
        <charset val="1"/>
      </rPr>
      <t xml:space="preserve">4,301</t>
    </r>
    <r>
      <rPr>
        <sz val="10"/>
        <rFont val="Noto Sans CJK SC"/>
        <family val="2"/>
      </rPr>
      <t xml:space="preserve">〜</t>
    </r>
    <r>
      <rPr>
        <sz val="10"/>
        <rFont val="Arial"/>
        <family val="0"/>
        <charset val="1"/>
      </rPr>
      <t xml:space="preserve">6,059</t>
    </r>
    <r>
      <rPr>
        <sz val="10"/>
        <rFont val="Noto Sans CJK SC"/>
        <family val="2"/>
      </rPr>
      <t xml:space="preserve">円</t>
    </r>
    <r>
      <rPr>
        <sz val="10"/>
        <rFont val="Arial"/>
        <family val="0"/>
        <charset val="1"/>
      </rPr>
      <t xml:space="preserve">/</t>
    </r>
    <r>
      <rPr>
        <sz val="10"/>
        <rFont val="Noto Sans CJK SC"/>
        <family val="2"/>
      </rPr>
      <t xml:space="preserve">㎡</t>
    </r>
    <r>
      <rPr>
        <sz val="10"/>
        <rFont val="Arial"/>
        <family val="0"/>
        <charset val="1"/>
      </rPr>
      <t xml:space="preserve">/</t>
    </r>
    <r>
      <rPr>
        <sz val="10"/>
        <rFont val="Noto Sans CJK SC"/>
        <family val="2"/>
      </rPr>
      <t xml:space="preserve">年。</t>
    </r>
  </si>
  <si>
    <t xml:space="preserve">【PM会社データ 取込完了】(2026/8/9・全16法人)</t>
  </si>
  <si>
    <t xml:space="preserve">◆最終追加: NTT都市開発リート(2026年4月期)・積水ハウス・リート(2026年4月期)・サンケイリアルエステート(2026年2月期)・東急リアル・エステート(2026年1月期)。</t>
  </si>
  <si>
    <t xml:space="preserve">◆最終結果: 1,128物件・PM会社112社。全1,257物件に対するカバー率89.7%(分析対象1,233物件に対しては91.2%)。名寄せ不一致0件・重複0件・必須列の空欄0件。</t>
  </si>
  <si>
    <t xml:space="preserve">◆法人別カバー率: MHR/TRE 100%、NBF 98.6%、KDX 98.3%、DOI 96.7%、ICG 96.6%、JRE 96.2%、NUD 95.2%、JEI 94.1%、JPR 92.6%、HLC 89.9%、GOR 88.9%、SKR 81.2%、SHR 80.0%、HFR 69.6%、MTR 0%。</t>
  </si>
  <si>
    <r>
      <rPr>
        <sz val="10"/>
        <rFont val="Arial"/>
        <family val="0"/>
        <charset val="1"/>
      </rPr>
      <t xml:space="preserve">◆MTR(</t>
    </r>
    <r>
      <rPr>
        <sz val="10"/>
        <rFont val="Noto Sans CJK SC"/>
        <family val="2"/>
      </rPr>
      <t xml:space="preserve">森トラスト総合リート</t>
    </r>
    <r>
      <rPr>
        <sz val="10"/>
        <rFont val="Arial"/>
        <family val="0"/>
        <charset val="1"/>
      </rPr>
      <t xml:space="preserve">)</t>
    </r>
    <r>
      <rPr>
        <sz val="10"/>
        <rFont val="Noto Sans CJK SC"/>
        <family val="2"/>
      </rPr>
      <t xml:space="preserve">のみ</t>
    </r>
    <r>
      <rPr>
        <sz val="10"/>
        <rFont val="Arial"/>
        <family val="0"/>
        <charset val="1"/>
      </rPr>
      <t xml:space="preserve">0% — </t>
    </r>
    <r>
      <rPr>
        <sz val="10"/>
        <rFont val="Noto Sans CJK SC"/>
        <family val="2"/>
      </rPr>
      <t xml:space="preserve">有報に</t>
    </r>
    <r>
      <rPr>
        <sz val="10"/>
        <rFont val="Arial"/>
        <family val="0"/>
        <charset val="1"/>
      </rPr>
      <t xml:space="preserve">PM</t>
    </r>
    <r>
      <rPr>
        <sz val="10"/>
        <rFont val="Noto Sans CJK SC"/>
        <family val="2"/>
      </rPr>
      <t xml:space="preserve">会社の選定方針の記述はあるが、個別物件表に委託先名の欄がない。保有</t>
    </r>
    <r>
      <rPr>
        <sz val="10"/>
        <rFont val="Arial"/>
        <family val="0"/>
        <charset val="1"/>
      </rPr>
      <t xml:space="preserve">20</t>
    </r>
    <r>
      <rPr>
        <sz val="10"/>
        <rFont val="Noto Sans CJK SC"/>
        <family val="2"/>
      </rPr>
      <t xml:space="preserve">物件すべてが一棟貸しのマスターリース形態で、テナントが施設運営管理を担う構造のため。欠測ではなく委託構造自体が他法人と異なる。</t>
    </r>
  </si>
  <si>
    <t xml:space="preserve">◆抽出上の技術的対応: ①記載欄名が法人により4種類(ＰＭ会社/PM会社/不動産管理会社/建物管理会社) ②JRE・SKRは会社名がPDF上で2行に折り返すため前後行を結合して復元 ③GORはpdftotextで読めずpdfplumberを使用 ④KDX・NBFは物件名に分類表記や注記が連結されるため正規化を追加。</t>
  </si>
  <si>
    <t xml:space="preserve">◆委託構造の全体像: 独立系294件が最多で全体の26%。系列別ではケネディクス系161件、積水ハウス系78件、ヒューリック系61件、長谷工系52件。上位はケネディクス・プロパティ・デザイン161件、長谷工ライブネット121件、ヒューリック61件。</t>
  </si>
  <si>
    <t xml:space="preserve">◆分析可能性の向上: PM会社が判明し費用内訳も開示されている物件が0件→176件に増加。オフィスでn&gt;=5の5社について水道光熱費の原単位を比較可能(4,301〜6,059円/㎡/年)。ただしPM会社の差と投資法人の差が分離できないため、因果推定ではなく分布の記述として扱う。</t>
  </si>
  <si>
    <t xml:space="preserve">【PM会社データの正確性監査とスポンサー系分析の追加】(2026/8/9)</t>
  </si>
  <si>
    <t xml:space="preserve">◆検出68: 同一のPM会社に複数の系列区分が付与されていた(6社) — 森ビル株式会社が「森ビル系」と「森ビル系（自社）」、東急住宅リース株式会社が3種類など、取込の弾ごとに分類が揺れていた。→社名から系列を一意に決めるマスタを作成し111件を統一。全109社で系列が一意であることを機械検証。</t>
  </si>
  <si>
    <t xml:space="preserve">◆検出69: 複数社への委託が1つの社名欄に連結されていた(5件) — 「事務所：株式会社第一ビルディング 住宅：相互住宅株式会社」「大成有楽不動産株式会社他」など。→主たる1社に正規化し、原文を備考に保存。</t>
  </si>
  <si>
    <t xml:space="preserve">◆検出70: 非開示表記の系列区分が不統一 — 「－」「―」「非開示」が独立系と記載なしに分かれていた。→すべて「記載なし・非開示」に統一。</t>
  </si>
  <si>
    <t xml:space="preserve">◆新規分析「スポンサー系PM会社への委託比率」を追加: 各投資法人のスポンサーグループに属するPM会社への委託割合。DBに「スポンサー系判定」列(スポンサー系/第三者/非開示)を新設し、集計シートに「スポンサー系PMの比率(%)」列を追加。</t>
  </si>
  <si>
    <t xml:space="preserve">◆分析結果: 全体では判明分1,118物件のうち49.9%がスポンサー系。法人別の振れ幅は極端で、MHR 100%・HLC 98.4%・TRE 96.4%の系列内製型に対し、DOI 0%・HFR 1.1%・GOR 12.5%はほぼ全面的な第三者委託型。</t>
  </si>
  <si>
    <t xml:space="preserve">◆運営コストとの関係: オフィスで実測すると外注委託費率はスポンサー系9.4%・第三者11.3%、水道光熱費原単位はスポンサー系5,751円/㎡・第三者4,645円/㎡。ただしスポンサー系の物件は都心5区59%・鑑定中央値115億円、第三者は39%・56億円と、都心の大型物件ほど系列に委託される傾向があり、この差には立地と規模の交絡が含まれる。委託形態の優劣を示すものではない旨を注記に明示。</t>
  </si>
  <si>
    <t xml:space="preserve">◆切り口の妥当性: PMペインの構成を「判明率／PM会社別受託数／スポンサー系比率／PM会社別の運営コスト／委託構造」の5枚とした。スポンサー系比率は運営品質の統制と委託費の市場競争のどちらを優先するかという経営判断が最も端的に表れる指標であり、実測の振れ幅も0〜100%と最大。</t>
  </si>
  <si>
    <t xml:space="preserve">【PM会社ドリルダウン・物件表示・起動演出の追加】(2026/8/9)</t>
  </si>
  <si>
    <t xml:space="preserve">◆スポンサー系PM比率のバーをタップすると、その投資法人のPM会社別内訳(会社名・物件数・比率・スポンサー系/第三者の区分)を表示するドリルダウンを実装。横棒グラフに行単位のクリック判定を追加した。もう一度タップで閉じる。</t>
  </si>
  <si>
    <t xml:space="preserve">◆物件ページ: 各物件にPM会社名を表示し、スポンサー系の場合は「系列」バッジを付与。並び替えに「PM会社名 順」を追加。</t>
  </si>
  <si>
    <t xml:space="preserve">◆提言5(委託契約)にPM会社データを根拠として追加: オフィスで委託構造を比較すると、ヒューリックリート1社/27物件(委託費率7.5%)、NTT都市開発リート2社/16物件(9.4%)、ジャパンリアルエステイト11社/71物件(10.8%)。1社集約ほど委託費率が低い傾向が見えるが、法人数が少なく統計的結論は出せない旨と、自社グループ委託か第三者かで意味が変わる旨を明記。</t>
  </si>
  <si>
    <t xml:space="preserve">◆起動アニメーション: アプリ起動時に利瞰マーク(五角形SVG)が拡大しながら迫り、ブランド名を経て本体へ遷移する演出を追加。描画完了後1.15秒で閉じ、端末が遅い場合も1.6秒で必ず閉じるフェイルセーフを実装。prefers-reduced-motionに対応し、動きを抑える設定の端末ではアニメーションを行わない。</t>
  </si>
  <si>
    <t xml:space="preserve">◆検証(5観点): ①ドリルダウン16回開閉で異常0 ②開閉トグルの正常動作 ③物件一覧のPM表示を絞込3条件で計72行確認 ④PM会社名順ソートの動作 ⑤全ビュー巡回で新規エラー0。全自動テスト(機能16項目・整合性・補足説明監査・レイアウト66パターン)もエラー0。</t>
  </si>
  <si>
    <t xml:space="preserve">【用途スコープ制への全面移行】(2026/8/9)</t>
  </si>
  <si>
    <t xml:space="preserve">◆設計変更: オフィスと住宅は費用構造(住宅は外注委託費が重く光熱費が軽い)も稼働の意味(住宅は入退去が常態)も異なり、混ぜた比較は解釈できない。そこで用途を絞込の一項目ではなく&lt;アプリ全体の前提&gt;として扱う「用途スコープ」を導入し、上部の絞込条件6種は廃止した。</t>
  </si>
  <si>
    <t xml:space="preserve">◆評価ページ: 偏差値50の基準を用途別に持つ構成に変更。オフィス135物件／住宅39物件それぞれの平均像を基準線とし、同一用途の個別物件を金色で重ね合わせる。実測で両用途とも全5軸の基準偏差値が50に揃うことを確認。</t>
  </si>
  <si>
    <t xml:space="preserve">◆投資法人の選択は物件を探すための絞込に限定し、基準線・偏差値・順位・グレードには一切影響しない仕様とした(実測で基準線が変化しないことを検証)。従来の「投資法人の保有物件全体の偏差値表示」は廃止。</t>
  </si>
  <si>
    <t xml:space="preserve">◆概況・分析ページも用途スコープに連動。オフィス634物件(粗利回り中央値5.79%)と住宅400物件(4.91%)で全チャートの母集団が切り替わる。</t>
  </si>
  <si>
    <t xml:space="preserve">◆物件をタップして評価タブへ遷移する際、その物件の用途がスコープと異なる場合は自動でスコープを切り替える。</t>
  </si>
  <si>
    <t xml:space="preserve">◆検証(5観点): ①両用途の基準線が各軸50 ②全174物件(オフィス135+住宅39)で順位・グレードの不整合0件 ③法人絞込が基準線に影響しないこと ④概況・分析の母集団切替 ⑤エラー0。自動テストも17項目すべて通過。</t>
  </si>
  <si>
    <t xml:space="preserve">◆テストの更新: 廃止した絞込プルダウンへの参照を除去し、用途スコープの切替を検査対象に追加した。</t>
  </si>
  <si>
    <t xml:space="preserve">【UI整理と全体整合性の徹底監査】(2026/8/9)</t>
  </si>
  <si>
    <t xml:space="preserve">◆削除: ①認証ペインの集計軸から「用途」(用途スコープで固定済みのため冗長) ②LEED取得物件vs未取得物件のカード(LEED取得4件すべて粗利回り非開示で比較が成立しないため) ③評価ページの建物用途プルダウン(用途スコープに一本化)。</t>
  </si>
  <si>
    <t xml:space="preserve">◆変更: 評価ページの投資法人ラベルを「投資法人」→「投資法人を選ぶ」に。物件を探すための絞込であり評価基準には影響しないことを明確化。</t>
  </si>
  <si>
    <t xml:space="preserve">◆検出71: PM会社ペインが用途スコープを無視して全1,233物件で集計していた — 分母が1,233のまま表示され、オフィス634/住宅400と整合しなかった。→判明率・PM会社別受託数・スポンサー系比率・運営コスト比較のすべてを用途スコープ内で集計するよう修正。住宅ではPM判明377/400物件(94.3%)、PM会社28社。</t>
  </si>
  <si>
    <t xml:space="preserve">◆検出72: 横棒グラフのクリックリスナーが再描画のたびに増加していた — ドリルダウン実装の副作用で、20巡の反復操作でリスナーが16→36に増加。→リスナーは初回のみ登録し、当たり判定情報を要素に保持して差し替える方式に変更。反復後も16のまま(増加0)を確認。</t>
  </si>
  <si>
    <t xml:space="preserve">◆検出73: 安定性テストと機能テストが削除済みUIを参照していた。→用途スコープの往復検査に置き換え。</t>
  </si>
  <si>
    <t xml:space="preserve">◆監査体制の強化: 全10観点の整合性監査をtests/consistencyA・Bとして自動テストに組み込んだ。①KPIと実データの一致 ②評価タブの基準線50と順位グレード整合 ③削除機能の残存 ④全ビュー全セグメント両用途の異常表記 ⑤ヘルプ参照整合 ⑥提言の根拠値 ⑦戦略プロファイル ⑧PMペインの分母 ⑨物件一覧の件数 ⑩スコープ往復後の状態。</t>
  </si>
  <si>
    <t xml:space="preserve">◆最終結果: 機能テスト17項目・整合性・補足説明監査・整合性監査10観点・レイアウト64パターン、すべてエラー0/要修正0。評価対象174物件(オフィス135+住宅39)で順位グレードの不整合0件。</t>
  </si>
  <si>
    <r>
      <rPr>
        <b val="true"/>
        <sz val="10"/>
        <rFont val="Noto Sans CJK SC"/>
        <family val="2"/>
      </rPr>
      <t xml:space="preserve">【セキュリティを含む全面監査】</t>
    </r>
    <r>
      <rPr>
        <b val="true"/>
        <sz val="10"/>
        <rFont val="Arial"/>
        <family val="0"/>
        <charset val="1"/>
      </rPr>
      <t xml:space="preserve">(2026/8/9)</t>
    </r>
  </si>
  <si>
    <r>
      <rPr>
        <sz val="10"/>
        <rFont val="Noto Sans CJK SC"/>
        <family val="2"/>
      </rPr>
      <t xml:space="preserve">◆セキュリティ静的検査</t>
    </r>
    <r>
      <rPr>
        <sz val="10"/>
        <rFont val="Arial"/>
        <family val="0"/>
        <charset val="1"/>
      </rPr>
      <t xml:space="preserve">(0</t>
    </r>
    <r>
      <rPr>
        <sz val="10"/>
        <rFont val="Noto Sans CJK SC"/>
        <family val="2"/>
      </rPr>
      <t xml:space="preserve">件</t>
    </r>
    <r>
      <rPr>
        <sz val="10"/>
        <rFont val="Arial"/>
        <family val="0"/>
        <charset val="1"/>
      </rPr>
      <t xml:space="preserve">): CSP</t>
    </r>
    <r>
      <rPr>
        <sz val="10"/>
        <rFont val="Noto Sans CJK SC"/>
        <family val="2"/>
      </rPr>
      <t xml:space="preserve">ハッシュが</t>
    </r>
    <r>
      <rPr>
        <sz val="10"/>
        <rFont val="Arial"/>
        <family val="0"/>
        <charset val="1"/>
      </rPr>
      <t xml:space="preserve">meta/HTTP</t>
    </r>
    <r>
      <rPr>
        <sz val="10"/>
        <rFont val="Noto Sans CJK SC"/>
        <family val="2"/>
      </rPr>
      <t xml:space="preserve">ヘッダー両方で一致、</t>
    </r>
    <r>
      <rPr>
        <sz val="10"/>
        <rFont val="Arial"/>
        <family val="0"/>
        <charset val="1"/>
      </rPr>
      <t xml:space="preserve">script-src</t>
    </r>
    <r>
      <rPr>
        <sz val="10"/>
        <rFont val="Noto Sans CJK SC"/>
        <family val="2"/>
      </rPr>
      <t xml:space="preserve">に</t>
    </r>
    <r>
      <rPr>
        <sz val="10"/>
        <rFont val="Arial"/>
        <family val="0"/>
        <charset val="1"/>
      </rPr>
      <t xml:space="preserve">unsafe-inline/unsafe-eval</t>
    </r>
    <r>
      <rPr>
        <sz val="10"/>
        <rFont val="Noto Sans CJK SC"/>
        <family val="2"/>
      </rPr>
      <t xml:space="preserve">なし、</t>
    </r>
    <r>
      <rPr>
        <sz val="10"/>
        <rFont val="Arial"/>
        <family val="0"/>
        <charset val="1"/>
      </rPr>
      <t xml:space="preserve">eval</t>
    </r>
    <r>
      <rPr>
        <sz val="10"/>
        <rFont val="Noto Sans CJK SC"/>
        <family val="2"/>
      </rPr>
      <t xml:space="preserve">・</t>
    </r>
    <r>
      <rPr>
        <sz val="10"/>
        <rFont val="Arial"/>
        <family val="0"/>
        <charset val="1"/>
      </rPr>
      <t xml:space="preserve">new Function</t>
    </r>
    <r>
      <rPr>
        <sz val="10"/>
        <rFont val="Noto Sans CJK SC"/>
        <family val="2"/>
      </rPr>
      <t xml:space="preserve">・</t>
    </r>
    <r>
      <rPr>
        <sz val="10"/>
        <rFont val="Arial"/>
        <family val="0"/>
        <charset val="1"/>
      </rPr>
      <t xml:space="preserve">document.write</t>
    </r>
    <r>
      <rPr>
        <sz val="10"/>
        <rFont val="Noto Sans CJK SC"/>
        <family val="2"/>
      </rPr>
      <t xml:space="preserve">・</t>
    </r>
    <r>
      <rPr>
        <sz val="10"/>
        <rFont val="Arial"/>
        <family val="0"/>
        <charset val="1"/>
      </rPr>
      <t xml:space="preserve">innerHTML</t>
    </r>
    <r>
      <rPr>
        <sz val="10"/>
        <rFont val="Noto Sans CJK SC"/>
        <family val="2"/>
      </rPr>
      <t xml:space="preserve">への変数直接代入・ブラウザストレージ・外部通信・外部</t>
    </r>
    <r>
      <rPr>
        <sz val="10"/>
        <rFont val="Arial"/>
        <family val="0"/>
        <charset val="1"/>
      </rPr>
      <t xml:space="preserve">URL</t>
    </r>
    <r>
      <rPr>
        <sz val="10"/>
        <rFont val="Noto Sans CJK SC"/>
        <family val="2"/>
      </rPr>
      <t xml:space="preserve">・</t>
    </r>
    <r>
      <rPr>
        <sz val="10"/>
        <rFont val="Arial"/>
        <family val="0"/>
        <charset val="1"/>
      </rPr>
      <t xml:space="preserve">iframe</t>
    </r>
    <r>
      <rPr>
        <sz val="10"/>
        <rFont val="Noto Sans CJK SC"/>
        <family val="2"/>
      </rPr>
      <t xml:space="preserve">・インラインイベント属性のいずれも検出なし。必須</t>
    </r>
    <r>
      <rPr>
        <sz val="10"/>
        <rFont val="Arial"/>
        <family val="0"/>
        <charset val="1"/>
      </rPr>
      <t xml:space="preserve">CSP</t>
    </r>
    <r>
      <rPr>
        <sz val="10"/>
        <rFont val="Noto Sans CJK SC"/>
        <family val="2"/>
      </rPr>
      <t xml:space="preserve">ディレクティブ</t>
    </r>
    <r>
      <rPr>
        <sz val="10"/>
        <rFont val="Arial"/>
        <family val="0"/>
        <charset val="1"/>
      </rPr>
      <t xml:space="preserve">7</t>
    </r>
    <r>
      <rPr>
        <sz val="10"/>
        <rFont val="Noto Sans CJK SC"/>
        <family val="2"/>
      </rPr>
      <t xml:space="preserve">種とセキュリティヘッダー</t>
    </r>
    <r>
      <rPr>
        <sz val="10"/>
        <rFont val="Arial"/>
        <family val="0"/>
        <charset val="1"/>
      </rPr>
      <t xml:space="preserve">7</t>
    </r>
    <r>
      <rPr>
        <sz val="10"/>
        <rFont val="Noto Sans CJK SC"/>
        <family val="2"/>
      </rPr>
      <t xml:space="preserve">種の存在も確認。</t>
    </r>
  </si>
  <si>
    <r>
      <rPr>
        <sz val="10"/>
        <rFont val="Noto Sans CJK SC"/>
        <family val="2"/>
      </rPr>
      <t xml:space="preserve">◆セキュリティ動的検査</t>
    </r>
    <r>
      <rPr>
        <sz val="10"/>
        <rFont val="Arial"/>
        <family val="0"/>
        <charset val="1"/>
      </rPr>
      <t xml:space="preserve">(0</t>
    </r>
    <r>
      <rPr>
        <sz val="10"/>
        <rFont val="Noto Sans CJK SC"/>
        <family val="2"/>
      </rPr>
      <t xml:space="preserve">件</t>
    </r>
    <r>
      <rPr>
        <sz val="10"/>
        <rFont val="Arial"/>
        <family val="0"/>
        <charset val="1"/>
      </rPr>
      <t xml:space="preserve">): PM</t>
    </r>
    <r>
      <rPr>
        <sz val="10"/>
        <rFont val="Noto Sans CJK SC"/>
        <family val="2"/>
      </rPr>
      <t xml:space="preserve">会社名・</t>
    </r>
    <r>
      <rPr>
        <sz val="10"/>
        <rFont val="Arial"/>
        <family val="0"/>
        <charset val="1"/>
      </rPr>
      <t xml:space="preserve">PM</t>
    </r>
    <r>
      <rPr>
        <sz val="10"/>
        <rFont val="Noto Sans CJK SC"/>
        <family val="2"/>
      </rPr>
      <t xml:space="preserve">系列・スポンサー系判定という新規フィールドに</t>
    </r>
    <r>
      <rPr>
        <sz val="10"/>
        <rFont val="Arial"/>
        <family val="0"/>
        <charset val="1"/>
      </rPr>
      <t xml:space="preserve">5</t>
    </r>
    <r>
      <rPr>
        <sz val="10"/>
        <rFont val="Noto Sans CJK SC"/>
        <family val="2"/>
      </rPr>
      <t xml:space="preserve">種類の</t>
    </r>
    <r>
      <rPr>
        <sz val="10"/>
        <rFont val="Arial"/>
        <family val="0"/>
        <charset val="1"/>
      </rPr>
      <t xml:space="preserve">XSS</t>
    </r>
    <r>
      <rPr>
        <sz val="10"/>
        <rFont val="Noto Sans CJK SC"/>
        <family val="2"/>
      </rPr>
      <t xml:space="preserve">ペイロード</t>
    </r>
    <r>
      <rPr>
        <sz val="10"/>
        <rFont val="Arial"/>
        <family val="0"/>
        <charset val="1"/>
      </rPr>
      <t xml:space="preserve">(img onerror/script</t>
    </r>
    <r>
      <rPr>
        <sz val="10"/>
        <rFont val="Noto Sans CJK SC"/>
        <family val="2"/>
      </rPr>
      <t xml:space="preserve">閉じ</t>
    </r>
    <r>
      <rPr>
        <sz val="10"/>
        <rFont val="Arial"/>
        <family val="0"/>
        <charset val="1"/>
      </rPr>
      <t xml:space="preserve">/</t>
    </r>
    <r>
      <rPr>
        <sz val="10"/>
        <rFont val="Noto Sans CJK SC"/>
        <family val="2"/>
      </rPr>
      <t xml:space="preserve">属性ブレイクアウト</t>
    </r>
    <r>
      <rPr>
        <sz val="10"/>
        <rFont val="Arial"/>
        <family val="0"/>
        <charset val="1"/>
      </rPr>
      <t xml:space="preserve">/svg onload/javascript</t>
    </r>
    <r>
      <rPr>
        <sz val="10"/>
        <rFont val="Noto Sans CJK SC"/>
        <family val="2"/>
      </rPr>
      <t xml:space="preserve">スキーム</t>
    </r>
    <r>
      <rPr>
        <sz val="10"/>
        <rFont val="Arial"/>
        <family val="0"/>
        <charset val="1"/>
      </rPr>
      <t xml:space="preserve">)</t>
    </r>
    <r>
      <rPr>
        <sz val="10"/>
        <rFont val="Noto Sans CJK SC"/>
        <family val="2"/>
      </rPr>
      <t xml:space="preserve">と</t>
    </r>
    <r>
      <rPr>
        <sz val="10"/>
        <rFont val="Arial"/>
        <family val="0"/>
        <charset val="1"/>
      </rPr>
      <t xml:space="preserve">__proto__</t>
    </r>
    <r>
      <rPr>
        <sz val="10"/>
        <rFont val="Noto Sans CJK SC"/>
        <family val="2"/>
      </rPr>
      <t xml:space="preserve">を注入し、全ビュー・全ペイン・ドリルダウン・両用途スコープを巡回。</t>
    </r>
    <r>
      <rPr>
        <sz val="10"/>
        <rFont val="Arial"/>
        <family val="0"/>
        <charset val="1"/>
      </rPr>
      <t xml:space="preserve">XSS</t>
    </r>
    <r>
      <rPr>
        <sz val="10"/>
        <rFont val="Noto Sans CJK SC"/>
        <family val="2"/>
      </rPr>
      <t xml:space="preserve">発火</t>
    </r>
    <r>
      <rPr>
        <sz val="10"/>
        <rFont val="Arial"/>
        <family val="0"/>
        <charset val="1"/>
      </rPr>
      <t xml:space="preserve">0</t>
    </r>
    <r>
      <rPr>
        <sz val="10"/>
        <rFont val="Noto Sans CJK SC"/>
        <family val="2"/>
      </rPr>
      <t xml:space="preserve">件、注入要素</t>
    </r>
    <r>
      <rPr>
        <sz val="10"/>
        <rFont val="Arial"/>
        <family val="0"/>
        <charset val="1"/>
      </rPr>
      <t xml:space="preserve">0</t>
    </r>
    <r>
      <rPr>
        <sz val="10"/>
        <rFont val="Noto Sans CJK SC"/>
        <family val="2"/>
      </rPr>
      <t xml:space="preserve">個、</t>
    </r>
    <r>
      <rPr>
        <sz val="10"/>
        <rFont val="Arial"/>
        <family val="0"/>
        <charset val="1"/>
      </rPr>
      <t xml:space="preserve">script</t>
    </r>
    <r>
      <rPr>
        <sz val="10"/>
        <rFont val="Noto Sans CJK SC"/>
        <family val="2"/>
      </rPr>
      <t xml:space="preserve">タグは正規の</t>
    </r>
    <r>
      <rPr>
        <sz val="10"/>
        <rFont val="Arial"/>
        <family val="0"/>
        <charset val="1"/>
      </rPr>
      <t xml:space="preserve">4</t>
    </r>
    <r>
      <rPr>
        <sz val="10"/>
        <rFont val="Noto Sans CJK SC"/>
        <family val="2"/>
      </rPr>
      <t xml:space="preserve">本のみ、プロトタイプ汚染なし。</t>
    </r>
    <r>
      <rPr>
        <sz val="10"/>
        <rFont val="Arial"/>
        <family val="0"/>
        <charset val="1"/>
      </rPr>
      <t xml:space="preserve">DOM</t>
    </r>
    <r>
      <rPr>
        <sz val="10"/>
        <rFont val="Noto Sans CJK SC"/>
        <family val="2"/>
      </rPr>
      <t xml:space="preserve">改ざん</t>
    </r>
    <r>
      <rPr>
        <sz val="10"/>
        <rFont val="Arial"/>
        <family val="0"/>
        <charset val="1"/>
      </rPr>
      <t xml:space="preserve">(</t>
    </r>
    <r>
      <rPr>
        <sz val="10"/>
        <rFont val="Noto Sans CJK SC"/>
        <family val="2"/>
      </rPr>
      <t xml:space="preserve">不正な用途ボタン追加・不正物件</t>
    </r>
    <r>
      <rPr>
        <sz val="10"/>
        <rFont val="Arial"/>
        <family val="0"/>
        <charset val="1"/>
      </rPr>
      <t xml:space="preserve">ID</t>
    </r>
    <r>
      <rPr>
        <sz val="10"/>
        <rFont val="Noto Sans CJK SC"/>
        <family val="2"/>
      </rPr>
      <t xml:space="preserve">の選択</t>
    </r>
    <r>
      <rPr>
        <sz val="10"/>
        <rFont val="Arial"/>
        <family val="0"/>
        <charset val="1"/>
      </rPr>
      <t xml:space="preserve">)</t>
    </r>
    <r>
      <rPr>
        <sz val="10"/>
        <rFont val="Noto Sans CJK SC"/>
        <family val="2"/>
      </rPr>
      <t xml:space="preserve">にも耐性を確認。</t>
    </r>
  </si>
  <si>
    <r>
      <rPr>
        <sz val="10"/>
        <rFont val="Noto Sans CJK SC"/>
        <family val="2"/>
      </rPr>
      <t xml:space="preserve">◆データ正確性検査</t>
    </r>
    <r>
      <rPr>
        <sz val="10"/>
        <rFont val="Arial"/>
        <family val="0"/>
        <charset val="1"/>
      </rPr>
      <t xml:space="preserve">(0</t>
    </r>
    <r>
      <rPr>
        <sz val="10"/>
        <rFont val="Noto Sans CJK SC"/>
        <family val="2"/>
      </rPr>
      <t xml:space="preserve">件</t>
    </r>
    <r>
      <rPr>
        <sz val="10"/>
        <rFont val="Arial"/>
        <family val="0"/>
        <charset val="1"/>
      </rPr>
      <t xml:space="preserve">): ①</t>
    </r>
    <r>
      <rPr>
        <sz val="10"/>
        <rFont val="Noto Sans CJK SC"/>
        <family val="2"/>
      </rPr>
      <t xml:space="preserve">ビルド前後で</t>
    </r>
    <r>
      <rPr>
        <sz val="10"/>
        <rFont val="Arial"/>
        <family val="0"/>
        <charset val="1"/>
      </rPr>
      <t xml:space="preserve">1,257</t>
    </r>
    <r>
      <rPr>
        <sz val="10"/>
        <rFont val="Noto Sans CJK SC"/>
        <family val="2"/>
      </rPr>
      <t xml:space="preserve">物件が完全一致 ②必須フィールドの欠損</t>
    </r>
    <r>
      <rPr>
        <sz val="10"/>
        <rFont val="Arial"/>
        <family val="0"/>
        <charset val="1"/>
      </rPr>
      <t xml:space="preserve">0</t>
    </r>
    <r>
      <rPr>
        <sz val="10"/>
        <rFont val="Noto Sans CJK SC"/>
        <family val="2"/>
      </rPr>
      <t xml:space="preserve">・物件</t>
    </r>
    <r>
      <rPr>
        <sz val="10"/>
        <rFont val="Arial"/>
        <family val="0"/>
        <charset val="1"/>
      </rPr>
      <t xml:space="preserve">ID</t>
    </r>
    <r>
      <rPr>
        <sz val="10"/>
        <rFont val="Noto Sans CJK SC"/>
        <family val="2"/>
      </rPr>
      <t xml:space="preserve">重複</t>
    </r>
    <r>
      <rPr>
        <sz val="10"/>
        <rFont val="Arial"/>
        <family val="0"/>
        <charset val="1"/>
      </rPr>
      <t xml:space="preserve">0 ③6</t>
    </r>
    <r>
      <rPr>
        <sz val="10"/>
        <rFont val="Noto Sans CJK SC"/>
        <family val="2"/>
      </rPr>
      <t xml:space="preserve">指標が妥当な範囲内 ④</t>
    </r>
    <r>
      <rPr>
        <sz val="10"/>
        <rFont val="Arial"/>
        <family val="0"/>
        <charset val="1"/>
      </rPr>
      <t xml:space="preserve">PM</t>
    </r>
    <r>
      <rPr>
        <sz val="10"/>
        <rFont val="Noto Sans CJK SC"/>
        <family val="2"/>
      </rPr>
      <t xml:space="preserve">会社</t>
    </r>
    <r>
      <rPr>
        <sz val="10"/>
        <rFont val="Arial"/>
        <family val="0"/>
        <charset val="1"/>
      </rPr>
      <t xml:space="preserve">1,128</t>
    </r>
    <r>
      <rPr>
        <sz val="10"/>
        <rFont val="Noto Sans CJK SC"/>
        <family val="2"/>
      </rPr>
      <t xml:space="preserve">物件すべてにスポンサー系判定があり値も</t>
    </r>
    <r>
      <rPr>
        <sz val="10"/>
        <rFont val="Arial"/>
        <family val="0"/>
        <charset val="1"/>
      </rPr>
      <t xml:space="preserve">3</t>
    </r>
    <r>
      <rPr>
        <sz val="10"/>
        <rFont val="Noto Sans CJK SC"/>
        <family val="2"/>
      </rPr>
      <t xml:space="preserve">種類のみ ⑤期中取得</t>
    </r>
    <r>
      <rPr>
        <sz val="10"/>
        <rFont val="Arial"/>
        <family val="0"/>
        <charset val="1"/>
      </rPr>
      <t xml:space="preserve">44</t>
    </r>
    <r>
      <rPr>
        <sz val="10"/>
        <rFont val="Noto Sans CJK SC"/>
        <family val="2"/>
      </rPr>
      <t xml:space="preserve">件すべてで利回り等の指標が無効化されている。</t>
    </r>
  </si>
  <si>
    <r>
      <rPr>
        <sz val="10"/>
        <rFont val="Arial"/>
        <family val="0"/>
        <charset val="1"/>
      </rPr>
      <t xml:space="preserve">◆DB</t>
    </r>
    <r>
      <rPr>
        <sz val="10"/>
        <rFont val="Noto Sans CJK SC"/>
        <family val="2"/>
      </rPr>
      <t xml:space="preserve">整合検査</t>
    </r>
    <r>
      <rPr>
        <sz val="10"/>
        <rFont val="Arial"/>
        <family val="0"/>
        <charset val="1"/>
      </rPr>
      <t xml:space="preserve">(0</t>
    </r>
    <r>
      <rPr>
        <sz val="10"/>
        <rFont val="Noto Sans CJK SC"/>
        <family val="2"/>
      </rPr>
      <t xml:space="preserve">件</t>
    </r>
    <r>
      <rPr>
        <sz val="10"/>
        <rFont val="Arial"/>
        <family val="0"/>
        <charset val="1"/>
      </rPr>
      <t xml:space="preserve">): </t>
    </r>
    <r>
      <rPr>
        <sz val="10"/>
        <rFont val="Noto Sans CJK SC"/>
        <family val="2"/>
      </rPr>
      <t xml:space="preserve">物件マスタ</t>
    </r>
    <r>
      <rPr>
        <sz val="10"/>
        <rFont val="Arial"/>
        <family val="0"/>
        <charset val="1"/>
      </rPr>
      <t xml:space="preserve">1,257</t>
    </r>
    <r>
      <rPr>
        <sz val="10"/>
        <rFont val="Noto Sans CJK SC"/>
        <family val="2"/>
      </rPr>
      <t xml:space="preserve">物件とアプリデータの法人</t>
    </r>
    <r>
      <rPr>
        <sz val="10"/>
        <rFont val="Arial"/>
        <family val="0"/>
        <charset val="1"/>
      </rPr>
      <t xml:space="preserve">ID</t>
    </r>
    <r>
      <rPr>
        <sz val="10"/>
        <rFont val="Noto Sans CJK SC"/>
        <family val="2"/>
      </rPr>
      <t xml:space="preserve">・物件名・鑑定評価額が全件一致。</t>
    </r>
    <r>
      <rPr>
        <sz val="10"/>
        <rFont val="Arial"/>
        <family val="0"/>
        <charset val="1"/>
      </rPr>
      <t xml:space="preserve">PM</t>
    </r>
    <r>
      <rPr>
        <sz val="10"/>
        <rFont val="Noto Sans CJK SC"/>
        <family val="2"/>
      </rPr>
      <t xml:space="preserve">会社シート</t>
    </r>
    <r>
      <rPr>
        <sz val="10"/>
        <rFont val="Arial"/>
        <family val="0"/>
        <charset val="1"/>
      </rPr>
      <t xml:space="preserve">1,128</t>
    </r>
    <r>
      <rPr>
        <sz val="10"/>
        <rFont val="Noto Sans CJK SC"/>
        <family val="2"/>
      </rPr>
      <t xml:space="preserve">件とアプリの</t>
    </r>
    <r>
      <rPr>
        <sz val="10"/>
        <rFont val="Arial"/>
        <family val="0"/>
        <charset val="1"/>
      </rPr>
      <t xml:space="preserve">pm_co/pm_sp</t>
    </r>
    <r>
      <rPr>
        <sz val="10"/>
        <rFont val="Noto Sans CJK SC"/>
        <family val="2"/>
      </rPr>
      <t xml:space="preserve">が全件一致。環境認証</t>
    </r>
    <r>
      <rPr>
        <sz val="10"/>
        <rFont val="Arial"/>
        <family val="0"/>
        <charset val="1"/>
      </rPr>
      <t xml:space="preserve">745</t>
    </r>
    <r>
      <rPr>
        <sz val="10"/>
        <rFont val="Noto Sans CJK SC"/>
        <family val="2"/>
      </rPr>
      <t xml:space="preserve">物件も一致。</t>
    </r>
  </si>
  <si>
    <r>
      <rPr>
        <sz val="10"/>
        <rFont val="Noto Sans CJK SC"/>
        <family val="2"/>
      </rPr>
      <t xml:space="preserve">◆検出</t>
    </r>
    <r>
      <rPr>
        <sz val="10"/>
        <rFont val="Arial"/>
        <family val="0"/>
        <charset val="1"/>
      </rPr>
      <t xml:space="preserve">74: </t>
    </r>
    <r>
      <rPr>
        <sz val="10"/>
        <rFont val="Noto Sans CJK SC"/>
        <family val="2"/>
      </rPr>
      <t xml:space="preserve">横棒グラフのクリックリスナーが再描画のたびに増加</t>
    </r>
    <r>
      <rPr>
        <sz val="10"/>
        <rFont val="Arial"/>
        <family val="0"/>
        <charset val="1"/>
      </rPr>
      <t xml:space="preserve">(16→36)</t>
    </r>
    <r>
      <rPr>
        <sz val="10"/>
        <rFont val="Noto Sans CJK SC"/>
        <family val="2"/>
      </rPr>
      <t xml:space="preserve">。ドリルダウン実装の副作用。→リスナーを初回のみ登録し当たり判定情報を差し替える方式に変更、増加</t>
    </r>
    <r>
      <rPr>
        <sz val="10"/>
        <rFont val="Arial"/>
        <family val="0"/>
        <charset val="1"/>
      </rPr>
      <t xml:space="preserve">0</t>
    </r>
    <r>
      <rPr>
        <sz val="10"/>
        <rFont val="Noto Sans CJK SC"/>
        <family val="2"/>
      </rPr>
      <t xml:space="preserve">を確認。</t>
    </r>
  </si>
  <si>
    <r>
      <rPr>
        <sz val="10"/>
        <rFont val="Noto Sans CJK SC"/>
        <family val="2"/>
      </rPr>
      <t xml:space="preserve">◆検査体制</t>
    </r>
    <r>
      <rPr>
        <sz val="10"/>
        <rFont val="Arial"/>
        <family val="0"/>
        <charset val="1"/>
      </rPr>
      <t xml:space="preserve">: </t>
    </r>
    <r>
      <rPr>
        <sz val="10"/>
        <rFont val="Noto Sans CJK SC"/>
        <family val="2"/>
      </rPr>
      <t xml:space="preserve">自動テストを</t>
    </r>
    <r>
      <rPr>
        <sz val="10"/>
        <rFont val="Arial"/>
        <family val="0"/>
        <charset val="1"/>
      </rPr>
      <t xml:space="preserve">11</t>
    </r>
    <r>
      <rPr>
        <sz val="10"/>
        <rFont val="Noto Sans CJK SC"/>
        <family val="2"/>
      </rPr>
      <t xml:space="preserve">本に拡充し、</t>
    </r>
    <r>
      <rPr>
        <sz val="10"/>
        <rFont val="Arial"/>
        <family val="0"/>
        <charset val="1"/>
      </rPr>
      <t xml:space="preserve">npm test</t>
    </r>
    <r>
      <rPr>
        <sz val="10"/>
        <rFont val="Noto Sans CJK SC"/>
        <family val="2"/>
      </rPr>
      <t xml:space="preserve">で全て実行される。機能</t>
    </r>
    <r>
      <rPr>
        <sz val="10"/>
        <rFont val="Arial"/>
        <family val="0"/>
        <charset val="1"/>
      </rPr>
      <t xml:space="preserve">17</t>
    </r>
    <r>
      <rPr>
        <sz val="10"/>
        <rFont val="Noto Sans CJK SC"/>
        <family val="2"/>
      </rPr>
      <t xml:space="preserve">項目・状態安定性・</t>
    </r>
    <r>
      <rPr>
        <sz val="10"/>
        <rFont val="Arial"/>
        <family val="0"/>
        <charset val="1"/>
      </rPr>
      <t xml:space="preserve">XSS</t>
    </r>
    <r>
      <rPr>
        <sz val="10"/>
        <rFont val="Noto Sans CJK SC"/>
        <family val="2"/>
      </rPr>
      <t xml:space="preserve">・</t>
    </r>
    <r>
      <rPr>
        <sz val="10"/>
        <rFont val="Arial"/>
        <family val="0"/>
        <charset val="1"/>
      </rPr>
      <t xml:space="preserve">CSP</t>
    </r>
    <r>
      <rPr>
        <sz val="10"/>
        <rFont val="Noto Sans CJK SC"/>
        <family val="2"/>
      </rPr>
      <t xml:space="preserve">静的検査・新機能の攻撃面・データ正確性・関数の重複欠落・説明文の陳腐化・整合性</t>
    </r>
    <r>
      <rPr>
        <sz val="10"/>
        <rFont val="Arial"/>
        <family val="0"/>
        <charset val="1"/>
      </rPr>
      <t xml:space="preserve">10</t>
    </r>
    <r>
      <rPr>
        <sz val="10"/>
        <rFont val="Noto Sans CJK SC"/>
        <family val="2"/>
      </rPr>
      <t xml:space="preserve">観点・レイアウト</t>
    </r>
    <r>
      <rPr>
        <sz val="10"/>
        <rFont val="Arial"/>
        <family val="0"/>
        <charset val="1"/>
      </rPr>
      <t xml:space="preserve">64</t>
    </r>
    <r>
      <rPr>
        <sz val="10"/>
        <rFont val="Noto Sans CJK SC"/>
        <family val="2"/>
      </rPr>
      <t xml:space="preserve">パターン。</t>
    </r>
    <r>
      <rPr>
        <sz val="10"/>
        <rFont val="Arial"/>
        <family val="0"/>
        <charset val="1"/>
      </rPr>
      <t xml:space="preserve">GitHub Actions</t>
    </r>
    <r>
      <rPr>
        <sz val="10"/>
        <rFont val="Noto Sans CJK SC"/>
        <family val="2"/>
      </rPr>
      <t xml:space="preserve">の</t>
    </r>
    <r>
      <rPr>
        <sz val="10"/>
        <rFont val="Arial"/>
        <family val="0"/>
        <charset val="1"/>
      </rPr>
      <t xml:space="preserve">CI</t>
    </r>
    <r>
      <rPr>
        <sz val="10"/>
        <rFont val="Noto Sans CJK SC"/>
        <family val="2"/>
      </rPr>
      <t xml:space="preserve">も</t>
    </r>
    <r>
      <rPr>
        <sz val="10"/>
        <rFont val="Arial"/>
        <family val="0"/>
        <charset val="1"/>
      </rPr>
      <t xml:space="preserve">npm test</t>
    </r>
    <r>
      <rPr>
        <sz val="10"/>
        <rFont val="Noto Sans CJK SC"/>
        <family val="2"/>
      </rPr>
      <t xml:space="preserve">に統一。</t>
    </r>
  </si>
  <si>
    <r>
      <rPr>
        <sz val="10"/>
        <rFont val="Noto Sans CJK SC"/>
        <family val="2"/>
      </rPr>
      <t xml:space="preserve">◆最終結果</t>
    </r>
    <r>
      <rPr>
        <sz val="10"/>
        <rFont val="Arial"/>
        <family val="0"/>
        <charset val="1"/>
      </rPr>
      <t xml:space="preserve">: </t>
    </r>
    <r>
      <rPr>
        <sz val="10"/>
        <rFont val="Noto Sans CJK SC"/>
        <family val="2"/>
      </rPr>
      <t xml:space="preserve">全</t>
    </r>
    <r>
      <rPr>
        <sz val="10"/>
        <rFont val="Arial"/>
        <family val="0"/>
        <charset val="1"/>
      </rPr>
      <t xml:space="preserve">11</t>
    </r>
    <r>
      <rPr>
        <sz val="10"/>
        <rFont val="Noto Sans CJK SC"/>
        <family val="2"/>
      </rPr>
      <t xml:space="preserve">本のテストで要修正</t>
    </r>
    <r>
      <rPr>
        <sz val="10"/>
        <rFont val="Arial"/>
        <family val="0"/>
        <charset val="1"/>
      </rPr>
      <t xml:space="preserve">0</t>
    </r>
    <r>
      <rPr>
        <sz val="10"/>
        <rFont val="Noto Sans CJK SC"/>
        <family val="2"/>
      </rPr>
      <t xml:space="preserve">件・エラー</t>
    </r>
    <r>
      <rPr>
        <sz val="10"/>
        <rFont val="Arial"/>
        <family val="0"/>
        <charset val="1"/>
      </rPr>
      <t xml:space="preserve">0</t>
    </r>
    <r>
      <rPr>
        <sz val="10"/>
        <rFont val="Noto Sans CJK SC"/>
        <family val="2"/>
      </rPr>
      <t xml:space="preserve">件。</t>
    </r>
  </si>
  <si>
    <t xml:space="preserve">法人ID</t>
  </si>
  <si>
    <t xml:space="preserve">証券コード</t>
  </si>
  <si>
    <t xml:space="preserve">投資法人名</t>
  </si>
  <si>
    <t xml:space="preserve">運用タイプ</t>
  </si>
  <si>
    <t xml:space="preserve">オフィス比率の目安</t>
  </si>
  <si>
    <t xml:space="preserve">主要スポンサー</t>
  </si>
  <si>
    <t xml:space="preserve">決算月</t>
  </si>
  <si>
    <t xml:space="preserve">最新決算期（本DB収録対象）</t>
  </si>
  <si>
    <t xml:space="preserve">保有物件数（直近開示）</t>
  </si>
  <si>
    <t xml:space="preserve">取得価格合計(百万円)</t>
  </si>
  <si>
    <t xml:space="preserve">物件データ投入数</t>
  </si>
  <si>
    <t xml:space="preserve">確認ステータス</t>
  </si>
  <si>
    <t xml:space="preserve">備考</t>
  </si>
  <si>
    <t xml:space="preserve">NBF</t>
  </si>
  <si>
    <t xml:space="preserve">8951</t>
  </si>
  <si>
    <t xml:space="preserve">日本ビルファンド投資法人</t>
  </si>
  <si>
    <t xml:space="preserve">オフィス特化型</t>
  </si>
  <si>
    <t xml:space="preserve">ほぼ100%</t>
  </si>
  <si>
    <t xml:space="preserve">三井不動産・住友生命ほか</t>
  </si>
  <si>
    <r>
      <rPr>
        <sz val="10"/>
        <color rgb="FF0000FF"/>
        <rFont val="Arial"/>
        <family val="0"/>
        <charset val="1"/>
      </rPr>
      <t xml:space="preserve">6</t>
    </r>
    <r>
      <rPr>
        <sz val="10"/>
        <color rgb="FF0000FF"/>
        <rFont val="Noto Sans CJK SC"/>
        <family val="2"/>
      </rPr>
      <t xml:space="preserve">月・</t>
    </r>
    <r>
      <rPr>
        <sz val="10"/>
        <color rgb="FF0000FF"/>
        <rFont val="Arial"/>
        <family val="0"/>
        <charset val="1"/>
      </rPr>
      <t xml:space="preserve">12</t>
    </r>
    <r>
      <rPr>
        <sz val="10"/>
        <color rgb="FF0000FF"/>
        <rFont val="Noto Sans CJK SC"/>
        <family val="2"/>
      </rPr>
      <t xml:space="preserve">月</t>
    </r>
  </si>
  <si>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月期（第</t>
    </r>
    <r>
      <rPr>
        <sz val="10"/>
        <color rgb="FF0000FF"/>
        <rFont val="Arial"/>
        <family val="0"/>
        <charset val="1"/>
      </rPr>
      <t xml:space="preserve">49</t>
    </r>
    <r>
      <rPr>
        <sz val="10"/>
        <color rgb="FF0000FF"/>
        <rFont val="Noto Sans CJK SC"/>
        <family val="2"/>
      </rPr>
      <t xml:space="preserve">期）</t>
    </r>
  </si>
  <si>
    <t xml:space="preserve">確認済（短信照合）</t>
  </si>
  <si>
    <t xml:space="preserve">決算月6月/12月。第49期短信より投入し5段階検証実施(2026/8/7)。※2026年6月期(第50期)短信は2026/8中旬公表見込み→公表後に差替検討。J-REIT最大規模・オフィス特化。格付JCR AA+/R&amp;I AA/S&amp;P A+。期末LTV43.3%・長期固定比率83.9%。収益開示59物件・非開示11物件(残差8,862百万円=一括比18.3%、取得価格比率19.2%と符合し整合確認済)。原資料の丸め表示に伴う合計欄と個別合算の微差は物件マスタNBF-ALL行注記参照</t>
  </si>
  <si>
    <t xml:space="preserve">JRE</t>
  </si>
  <si>
    <t xml:space="preserve">8952</t>
  </si>
  <si>
    <t xml:space="preserve">ジャパンリアルエステイト投資法人</t>
  </si>
  <si>
    <t xml:space="preserve">三菱地所ほか</t>
  </si>
  <si>
    <r>
      <rPr>
        <sz val="10"/>
        <color rgb="FF0000FF"/>
        <rFont val="Arial"/>
        <family val="0"/>
        <charset val="1"/>
      </rPr>
      <t xml:space="preserve">3</t>
    </r>
    <r>
      <rPr>
        <sz val="10"/>
        <color rgb="FF0000FF"/>
        <rFont val="Noto Sans CJK SC"/>
        <family val="2"/>
      </rPr>
      <t xml:space="preserve">月・</t>
    </r>
    <r>
      <rPr>
        <sz val="10"/>
        <color rgb="FF0000FF"/>
        <rFont val="Arial"/>
        <family val="0"/>
        <charset val="1"/>
      </rPr>
      <t xml:space="preserve">9</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</si>
  <si>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月期（第</t>
    </r>
    <r>
      <rPr>
        <sz val="10"/>
        <color rgb="FF0000FF"/>
        <rFont val="Arial"/>
        <family val="0"/>
        <charset val="1"/>
      </rPr>
      <t xml:space="preserve">49</t>
    </r>
    <r>
      <rPr>
        <sz val="10"/>
        <color rgb="FF0000FF"/>
        <rFont val="Noto Sans CJK SC"/>
        <family val="2"/>
      </rPr>
      <t xml:space="preserve">期）</t>
    </r>
  </si>
  <si>
    <t xml:space="preserve">日本初のJ-REIT2銘柄の一つ(2001/9上場・オフィス特化)。物件別収支は費用内訳までフル開示(76/79物件・百万円単位)。取得価格は千円単位開示でDB中最高精度。竣工年月は短信非掲載のため未収録。※第50期(2026年9月期)短信は2026/11中旬公表見込</t>
  </si>
  <si>
    <t xml:space="preserve">GOR</t>
  </si>
  <si>
    <t xml:space="preserve">8958</t>
  </si>
  <si>
    <t xml:space="preserve">グローバル・ワン不動産投資法人</t>
  </si>
  <si>
    <t xml:space="preserve">明治安田生命・近鉄グループHD・三菱UFJ信託ほか</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</si>
  <si>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月期（第</t>
    </r>
    <r>
      <rPr>
        <sz val="10"/>
        <color rgb="FF0000FF"/>
        <rFont val="Arial"/>
        <family val="0"/>
        <charset val="1"/>
      </rPr>
      <t xml:space="preserve">45</t>
    </r>
    <r>
      <rPr>
        <sz val="10"/>
        <color rgb="FF0000FF"/>
        <rFont val="Noto Sans CJK SC"/>
        <family val="2"/>
      </rPr>
      <t xml:space="preserve">期）</t>
    </r>
  </si>
  <si>
    <t xml:space="preserve">物件数・取得価格は2026/4/24現在（公式サイト）。物件・収支データは第45期短信より投入し5段階検証実施（2026/8/7）。物件収支の費用内訳は法人一括開示のみ（GOR-ALL行に収録）</t>
  </si>
  <si>
    <t xml:space="preserve">DOI</t>
  </si>
  <si>
    <t xml:space="preserve">8976</t>
  </si>
  <si>
    <t xml:space="preserve">大和証券オフィス投資法人</t>
  </si>
  <si>
    <t xml:space="preserve">大和証券グループ本社</t>
  </si>
  <si>
    <r>
      <rPr>
        <sz val="10"/>
        <color rgb="FF0000FF"/>
        <rFont val="Arial"/>
        <family val="0"/>
        <charset val="1"/>
      </rPr>
      <t xml:space="preserve">5</t>
    </r>
    <r>
      <rPr>
        <sz val="10"/>
        <color rgb="FF0000FF"/>
        <rFont val="Noto Sans CJK SC"/>
        <family val="2"/>
      </rPr>
      <t xml:space="preserve">月・</t>
    </r>
    <r>
      <rPr>
        <sz val="10"/>
        <color rgb="FF0000FF"/>
        <rFont val="Arial"/>
        <family val="0"/>
        <charset val="1"/>
      </rPr>
      <t xml:space="preserve">11</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</si>
  <si>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月期（第</t>
    </r>
    <r>
      <rPr>
        <sz val="10"/>
        <color rgb="FF0000FF"/>
        <rFont val="Arial"/>
        <family val="0"/>
        <charset val="1"/>
      </rPr>
      <t xml:space="preserve">41</t>
    </r>
    <r>
      <rPr>
        <sz val="10"/>
        <color rgb="FF0000FF"/>
        <rFont val="Noto Sans CJK SC"/>
        <family val="2"/>
      </rPr>
      <t xml:space="preserve">期）</t>
    </r>
  </si>
  <si>
    <t xml:space="preserve">決算月5月/11月。物件・収支は第41期短信より投入し5段階検証実施(2026/8/7)。物件別収益は千円単位開示だが7物件はテナント同意なく非開示。竣工年月・階数は短信開示(登記簿ベース)。2026/12/1効力で投資口1:4分割・自己投資口取得(上限15億円)を公表。個別物件収支データ(Excel)を別途公表しており物件別費用の将来拡充が可能</t>
  </si>
  <si>
    <t xml:space="preserve">ICG</t>
  </si>
  <si>
    <t xml:space="preserve">8975</t>
  </si>
  <si>
    <t xml:space="preserve">いちごオフィスリート投資法人</t>
  </si>
  <si>
    <t xml:space="preserve">オフィス主体型</t>
  </si>
  <si>
    <t xml:space="preserve">高</t>
  </si>
  <si>
    <t xml:space="preserve">いちご</t>
  </si>
  <si>
    <r>
      <rPr>
        <sz val="10"/>
        <color rgb="FF0000FF"/>
        <rFont val="Arial"/>
        <family val="0"/>
        <charset val="1"/>
      </rPr>
      <t xml:space="preserve">4</t>
    </r>
    <r>
      <rPr>
        <sz val="10"/>
        <color rgb="FF0000FF"/>
        <rFont val="Noto Sans CJK SC"/>
        <family val="2"/>
      </rPr>
      <t xml:space="preserve">月・</t>
    </r>
    <r>
      <rPr>
        <sz val="10"/>
        <color rgb="FF0000FF"/>
        <rFont val="Arial"/>
        <family val="0"/>
        <charset val="1"/>
      </rPr>
      <t xml:space="preserve">10</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</si>
  <si>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41</t>
    </r>
    <r>
      <rPr>
        <sz val="10"/>
        <color rgb="FF0000FF"/>
        <rFont val="Noto Sans CJK SC"/>
        <family val="2"/>
      </rPr>
      <t xml:space="preserve">期）</t>
    </r>
  </si>
  <si>
    <t xml:space="preserve">決算月4月/10月。第41期短信より投入し5段階検証実施(2026/8/7)。中規模オフィス特化型・87物件は16法人中最多クラスの小口分散。物件別に当期総賃料収入(その他収入含む発生ベース)をフル開示し88行合算が一括と整合(切捨て差42千円のみ)=MHRに次ぐ開示水準。ICG独自の地域区分(品川区含む「都心6区」等)は物件備考に保存。格付JCR A+。期末有利子負債126,638百万円。期後2026/7/17に4物件一括譲渡(住友商事・売却益約59億円)。※2026年10月期(第42期)短信は2026/12中旬公表見込→公表後更新検討</t>
  </si>
  <si>
    <t xml:space="preserve">JEI</t>
  </si>
  <si>
    <t xml:space="preserve">8987</t>
  </si>
  <si>
    <t xml:space="preserve">ジャパンエクセレント投資法人</t>
  </si>
  <si>
    <t xml:space="preserve">日鉄興和不動産・第一生命・積水ハウスほか</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</si>
  <si>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月期（第</t>
    </r>
    <r>
      <rPr>
        <sz val="10"/>
        <color rgb="FF0000FF"/>
        <rFont val="Arial"/>
        <family val="0"/>
        <charset val="1"/>
      </rPr>
      <t xml:space="preserve">39</t>
    </r>
    <r>
      <rPr>
        <sz val="10"/>
        <color rgb="FF0000FF"/>
        <rFont val="Noto Sans CJK SC"/>
        <family val="2"/>
      </rPr>
      <t xml:space="preserve">期）</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</si>
  <si>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6</t>
    </r>
    <r>
      <rPr>
        <sz val="10"/>
        <color rgb="FF0000FF"/>
        <rFont val="Noto Sans CJK SC"/>
        <family val="2"/>
      </rPr>
      <t xml:space="preserve">月期は</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月下旬公表見込み（公表後に収録対象期の更新を検討）。物件・収支データは第</t>
    </r>
    <r>
      <rPr>
        <sz val="10"/>
        <color rgb="FF0000FF"/>
        <rFont val="Arial"/>
        <family val="0"/>
        <charset val="1"/>
      </rPr>
      <t xml:space="preserve">39</t>
    </r>
    <r>
      <rPr>
        <sz val="10"/>
        <color rgb="FF0000FF"/>
        <rFont val="Noto Sans CJK SC"/>
        <family val="2"/>
      </rPr>
      <t xml:space="preserve">期短信より投入し</t>
    </r>
    <r>
      <rPr>
        <sz val="10"/>
        <color rgb="FF0000FF"/>
        <rFont val="Arial"/>
        <family val="0"/>
        <charset val="1"/>
      </rPr>
      <t xml:space="preserve">5</t>
    </r>
    <r>
      <rPr>
        <sz val="10"/>
        <color rgb="FF0000FF"/>
        <rFont val="Noto Sans CJK SC"/>
        <family val="2"/>
      </rPr>
      <t xml:space="preserve">段階検証実施（</t>
    </r>
    <r>
      <rPr>
        <sz val="10"/>
        <color rgb="FF0000FF"/>
        <rFont val="Arial"/>
        <family val="0"/>
        <charset val="1"/>
      </rPr>
      <t xml:space="preserve">2026/8/7</t>
    </r>
    <r>
      <rPr>
        <sz val="10"/>
        <color rgb="FF0000FF"/>
        <rFont val="Noto Sans CJK SC"/>
        <family val="2"/>
      </rPr>
      <t xml:space="preserve">）。物件別収益は千円単位開示だが</t>
    </r>
    <r>
      <rPr>
        <sz val="10"/>
        <color rgb="FF0000FF"/>
        <rFont val="Arial"/>
        <family val="0"/>
        <charset val="1"/>
      </rPr>
      <t xml:space="preserve">8</t>
    </r>
    <r>
      <rPr>
        <sz val="10"/>
        <color rgb="FF0000FF"/>
        <rFont val="Noto Sans CJK SC"/>
        <family val="2"/>
      </rPr>
      <t xml:space="preserve">物件はテナント同意なく非開示</t>
    </r>
  </si>
  <si>
    <t xml:space="preserve">MHR</t>
  </si>
  <si>
    <t xml:space="preserve">3234</t>
  </si>
  <si>
    <t xml:space="preserve">森ヒルズリート投資法人</t>
  </si>
  <si>
    <t xml:space="preserve">総合型（オフィス中心）</t>
  </si>
  <si>
    <t xml:space="preserve">約9割</t>
  </si>
  <si>
    <t xml:space="preserve">森ビル</t>
  </si>
  <si>
    <r>
      <rPr>
        <sz val="10"/>
        <color rgb="FF0000FF"/>
        <rFont val="Arial"/>
        <family val="0"/>
        <charset val="1"/>
      </rPr>
      <t xml:space="preserve">1</t>
    </r>
    <r>
      <rPr>
        <sz val="10"/>
        <color rgb="FF0000FF"/>
        <rFont val="Noto Sans CJK SC"/>
        <family val="2"/>
      </rPr>
      <t xml:space="preserve">月・</t>
    </r>
    <r>
      <rPr>
        <sz val="10"/>
        <color rgb="FF0000FF"/>
        <rFont val="Arial"/>
        <family val="0"/>
        <charset val="1"/>
      </rPr>
      <t xml:space="preserve">7</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</si>
  <si>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月期（第</t>
    </r>
    <r>
      <rPr>
        <sz val="10"/>
        <color rgb="FF0000FF"/>
        <rFont val="Arial"/>
        <family val="0"/>
        <charset val="1"/>
      </rPr>
      <t xml:space="preserve">39</t>
    </r>
    <r>
      <rPr>
        <sz val="10"/>
        <color rgb="FF0000FF"/>
        <rFont val="Noto Sans CJK SC"/>
        <family val="2"/>
      </rPr>
      <t xml:space="preserve">期）</t>
    </r>
  </si>
  <si>
    <t xml:space="preserve">決算月1月/7月。第39期短信より投入し5段階検証実施(2026/8/7)。16法人中初の物件別費用フル開示(11物件全て)。主要テナント森ビル(固定型ML中心、賃貸面積66.4%)。期後: ラフォーレ原宿底地各5%を2026/7・12に追加譲渡予定、自己投資口取得(上限10億円)実施済</t>
  </si>
  <si>
    <t xml:space="preserve">JPR</t>
  </si>
  <si>
    <t xml:space="preserve">8955</t>
  </si>
  <si>
    <t xml:space="preserve">日本プライムリアルティ投資法人</t>
  </si>
  <si>
    <t xml:space="preserve">複合型（オフィス＋商業）</t>
  </si>
  <si>
    <t xml:space="preserve">東京建物ほか</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</si>
  <si>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月期（第</t>
    </r>
    <r>
      <rPr>
        <sz val="10"/>
        <color rgb="FF0000FF"/>
        <rFont val="Arial"/>
        <family val="0"/>
        <charset val="1"/>
      </rPr>
      <t xml:space="preserve">48</t>
    </r>
    <r>
      <rPr>
        <sz val="10"/>
        <color rgb="FF0000FF"/>
        <rFont val="Noto Sans CJK SC"/>
        <family val="2"/>
      </rPr>
      <t xml:space="preserve">期）</t>
    </r>
  </si>
  <si>
    <t xml:space="preserve">決算月6月/12月。第48期短信(2026/3/10訂正=実績数値への影響なし)より投入し5段階検証実施(2026/8/7)。オフィス・都市型商業複合型(ホテル2物件含む)。JPR独自の地域区分(品川区含む「東京都心」等)は物件備考に保存。格付JCR AA/R&amp;I AA-/S&amp;P A(長期)。期末LTV43.4%・長期固定比率86.7%。開示51物件・非開示16物件(残差検証済)。期中譲渡HDC神戸を含め68行収録。取得価格合計欄と個別合算の1百万円差(切捨て由来)は物件マスタJPR-ALL行注記参照。2025/7/1投資口1:4分割</t>
  </si>
  <si>
    <t xml:space="preserve">TRE</t>
  </si>
  <si>
    <t xml:space="preserve">8957</t>
  </si>
  <si>
    <t xml:space="preserve">東急リアル・エステート投資法人</t>
  </si>
  <si>
    <t xml:space="preserve">東急</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</si>
  <si>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月期（第</t>
    </r>
    <r>
      <rPr>
        <sz val="10"/>
        <color rgb="FF0000FF"/>
        <rFont val="Arial"/>
        <family val="0"/>
        <charset val="1"/>
      </rPr>
      <t xml:space="preserve">45</t>
    </r>
    <r>
      <rPr>
        <sz val="10"/>
        <color rgb="FF0000FF"/>
        <rFont val="Noto Sans CJK SC"/>
        <family val="2"/>
      </rPr>
      <t xml:space="preserve">期）</t>
    </r>
  </si>
  <si>
    <t xml:space="preserve">決算月1月/7月。第45期短信より投入し5段階検証実施(2026/8/7)。渋谷・東急沿線特化型(商業・オフィス・住宅・複合)。物件別は帳簿・算定価額・契約賃料・PMLを開示する一方、取得価格・発生ベース収支は非開示という16法人中特異な開示スタイル(物件マスタ20・21・25列と備考に収録)。帳簿・月額賃料の合計欄と個別合算の各13千円差(切捨て由来)は物件マスタTRE-ALL行注記参照。格付JCR AA-/R&amp;I A+。期末有利子負債1,055億円・加重平均利率0.82%。※2026年7月期(第46期)短信は2026/9/14公表予定→公表後更新検討</t>
  </si>
  <si>
    <t xml:space="preserve">HLC</t>
  </si>
  <si>
    <t xml:space="preserve">3295</t>
  </si>
  <si>
    <t xml:space="preserve">ヒューリックリート投資法人</t>
  </si>
  <si>
    <t xml:space="preserve">複合型（東京コマーシャル＋次世代アセット）</t>
  </si>
  <si>
    <t xml:space="preserve">ヒューリック</t>
  </si>
  <si>
    <r>
      <rPr>
        <sz val="10"/>
        <color rgb="FF0000FF"/>
        <rFont val="Arial"/>
        <family val="0"/>
        <charset val="1"/>
      </rPr>
      <t xml:space="preserve">2</t>
    </r>
    <r>
      <rPr>
        <sz val="10"/>
        <color rgb="FF0000FF"/>
        <rFont val="Noto Sans CJK SC"/>
        <family val="2"/>
      </rPr>
      <t xml:space="preserve">月・</t>
    </r>
    <r>
      <rPr>
        <sz val="10"/>
        <color rgb="FF0000FF"/>
        <rFont val="Arial"/>
        <family val="0"/>
        <charset val="1"/>
      </rPr>
      <t xml:space="preserve">8</t>
    </r>
    <r>
      <rPr>
        <sz val="10"/>
        <color rgb="FF0000FF"/>
        <rFont val="Noto Sans CJK SC"/>
        <family val="2"/>
      </rPr>
      <t xml:space="preserve">月</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</si>
  <si>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月期（第</t>
    </r>
    <r>
      <rPr>
        <sz val="10"/>
        <color rgb="FF0000FF"/>
        <rFont val="Arial"/>
        <family val="0"/>
        <charset val="1"/>
      </rPr>
      <t xml:space="preserve">24</t>
    </r>
    <r>
      <rPr>
        <sz val="10"/>
        <color rgb="FF0000FF"/>
        <rFont val="Noto Sans CJK SC"/>
        <family val="2"/>
      </rPr>
      <t xml:space="preserve">期）</t>
    </r>
  </si>
  <si>
    <t xml:space="preserve">東京コマーシャル・プロパティ(オフィス・商業)重点+ホテル+次世代アセット。取得価格は百万円未満四捨五入。物件別収支フル開示46/67物件(費用内訳含む・NOIのみ22物件)。期後NC5物件譲渡→62物件。※第25期(2026年8月期)短信は2026/10中旬公表見込</t>
  </si>
  <si>
    <t xml:space="preserve">NUD</t>
  </si>
  <si>
    <t xml:space="preserve">8956</t>
  </si>
  <si>
    <r>
      <rPr>
        <sz val="10"/>
        <color rgb="FF0000FF"/>
        <rFont val="Arial"/>
        <family val="0"/>
        <charset val="1"/>
      </rPr>
      <t xml:space="preserve">NTT</t>
    </r>
    <r>
      <rPr>
        <sz val="10"/>
        <color rgb="FF0000FF"/>
        <rFont val="Noto Sans CJK SC"/>
        <family val="2"/>
      </rPr>
      <t xml:space="preserve">都市開発リート投資法人</t>
    </r>
  </si>
  <si>
    <t xml:space="preserve">複合型（オフィス＋住宅）</t>
  </si>
  <si>
    <t xml:space="preserve">中〜高</t>
  </si>
  <si>
    <r>
      <rPr>
        <sz val="10"/>
        <color rgb="FF0000FF"/>
        <rFont val="Arial"/>
        <family val="0"/>
        <charset val="1"/>
      </rPr>
      <t xml:space="preserve">NTT</t>
    </r>
    <r>
      <rPr>
        <sz val="10"/>
        <color rgb="FF0000FF"/>
        <rFont val="Noto Sans CJK SC"/>
        <family val="2"/>
      </rPr>
      <t xml:space="preserve">都市開発</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</si>
  <si>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47</t>
    </r>
    <r>
      <rPr>
        <sz val="10"/>
        <color rgb="FF0000FF"/>
        <rFont val="Noto Sans CJK SC"/>
        <family val="2"/>
      </rPr>
      <t xml:space="preserve">期）</t>
    </r>
  </si>
  <si>
    <t xml:space="preserve">決算月4月/10月。第47期短信+公式ポートフォリオ一覧より投入し5段階検証実施(2026/8/7)。オフィス25+レジデンス36+優先出資証券1(秋葉原UDX19%)の複合型。物件別に費用内訳を含む損益をフル開示(百万円単位)=MHRに次ぐ第3の費用開示法人(非開示6物件は損益・NOIのみ開示、この2値の列解釈は用途計との突合で検証確定済)。NTTグループがテナント上位を占める(上位10テナント中8社・面積22.8%)。格付JCR AA。期末有利子負債147,250百万円(長期比率94.6%)。※2026年10月期(第48期)短信は2026/12中旬公表見込→公表後更新検討</t>
  </si>
  <si>
    <t xml:space="preserve">HFR</t>
  </si>
  <si>
    <t xml:space="preserve">8966</t>
  </si>
  <si>
    <t xml:space="preserve">平和不動産リート投資法人</t>
  </si>
  <si>
    <t xml:space="preserve">中</t>
  </si>
  <si>
    <t xml:space="preserve">平和不動産</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</si>
  <si>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月期（第</t>
    </r>
    <r>
      <rPr>
        <sz val="10"/>
        <color rgb="FF0000FF"/>
        <rFont val="Arial"/>
        <family val="0"/>
        <charset val="1"/>
      </rPr>
      <t xml:space="preserve">49</t>
    </r>
    <r>
      <rPr>
        <sz val="10"/>
        <color rgb="FF0000FF"/>
        <rFont val="Noto Sans CJK SC"/>
        <family val="2"/>
      </rPr>
      <t xml:space="preserve">期）</t>
    </r>
  </si>
  <si>
    <t xml:space="preserve">決算月5月/11月。第49期短信より投入し5段階検証実施(2026/8/7)。中小型オフィス46+レジデンス90の136物件複合型。物件別に鑑定・帳簿・取得・NLA・稼働・テナント数・賃貸事業収入(千円)・PMLを開示(Of-40アーク森ビルの収入のみML同意なく非開示)。竣工年月は短信非掲載。個別物件収支データ(費用内訳含む)はxlsx別綴で公表=将来精緻化候補。2010/10にジャパン・シングルレジデンス投資法人と合併。5年連続で毎年6月に公募増資を実施する成長軌道(期後2026/6も11,762百万円調達・3物件取得で139物件→8/7現在141物件)。格付JCR AA-(安定的)。期末有利子負債138,680百万円(総資産LTV48.55%)。※2026年11月期(第50期)短信は2027/1中旬公表見込→公表後更新検討</t>
  </si>
  <si>
    <t xml:space="preserve">SHR</t>
  </si>
  <si>
    <t xml:space="preserve">3309</t>
  </si>
  <si>
    <t xml:space="preserve">積水ハウス・リート投資法人</t>
  </si>
  <si>
    <t xml:space="preserve">積水ハウス</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</si>
  <si>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23</t>
    </r>
    <r>
      <rPr>
        <sz val="10"/>
        <color rgb="FF0000FF"/>
        <rFont val="Noto Sans CJK SC"/>
        <family val="2"/>
      </rPr>
      <t xml:space="preserve">期）</t>
    </r>
  </si>
  <si>
    <t xml:space="preserve">決算月4月/10月。第23期短信より投入し5段階検証実施(2026/8/7)。国内住居131+米国住居2(LLC出資)+オフィス5の138物件・取得価格5,611億円は16法人中最大級。旧積水ハウス・レジデンシャル投資法人を2018/5に吸収合併(承継物件の取得価格は合併時鑑定評価額)。物件別に千円単位の個別収支(費用内訳フル)を開示する最高水準の透明性(本DBは今回、賃貸借状況表の収益(百万円)ベースで収録・個別収支千円版は将来精緻化候補として注記)。帳簿-57百万円等の差は原資料内切捨て累積を機械照合で確定。米国不動産(シアトル/ワシントンD.C.)を保有する唯一のJ-REITの一つ。御殿山SHビル10回分割譲渡は資本再配分の代表例。格付JCR AA(安定的)/R&amp;I AA-(安定的)。期末有利子負債284,032百万円(総資産LTV48.4%)。※2026年10月期(第24期)短信は2026/12中旬公表見込→公表後更新検討</t>
  </si>
  <si>
    <t xml:space="preserve">MTR</t>
  </si>
  <si>
    <t xml:space="preserve">8961</t>
  </si>
  <si>
    <t xml:space="preserve">森トラストリート投資法人</t>
  </si>
  <si>
    <t xml:space="preserve">総合型（オフィス・ホテル中核）</t>
  </si>
  <si>
    <t xml:space="preserve">森トラスト</t>
  </si>
  <si>
    <t xml:space="preserve">要確認</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</si>
  <si>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月期（第</t>
    </r>
    <r>
      <rPr>
        <sz val="10"/>
        <color rgb="FF0000FF"/>
        <rFont val="Arial"/>
        <family val="0"/>
        <charset val="1"/>
      </rPr>
      <t xml:space="preserve">48</t>
    </r>
    <r>
      <rPr>
        <sz val="10"/>
        <color rgb="FF0000FF"/>
        <rFont val="Noto Sans CJK SC"/>
        <family val="2"/>
      </rPr>
      <t xml:space="preserve">期）</t>
    </r>
  </si>
  <si>
    <r>
      <rPr>
        <sz val="10"/>
        <color rgb="FF0000FF"/>
        <rFont val="Arial"/>
        <family val="0"/>
        <charset val="1"/>
      </rPr>
      <t xml:space="preserve">2023/3</t>
    </r>
    <r>
      <rPr>
        <sz val="10"/>
        <color rgb="FF0000FF"/>
        <rFont val="Noto Sans CJK SC"/>
        <family val="2"/>
      </rPr>
      <t xml:space="preserve">にホテルリート</t>
    </r>
    <r>
      <rPr>
        <sz val="10"/>
        <color rgb="FF0000FF"/>
        <rFont val="Arial"/>
        <family val="0"/>
        <charset val="1"/>
      </rPr>
      <t xml:space="preserve">(MTH)</t>
    </r>
    <r>
      <rPr>
        <sz val="10"/>
        <color rgb="FF0000FF"/>
        <rFont val="Noto Sans CJK SC"/>
        <family val="2"/>
      </rPr>
      <t xml:space="preserve">を吸収合併した総合型</t>
    </r>
    <r>
      <rPr>
        <sz val="10"/>
        <color rgb="FF0000FF"/>
        <rFont val="Arial"/>
        <family val="0"/>
        <charset val="1"/>
      </rPr>
      <t xml:space="preserve">(</t>
    </r>
    <r>
      <rPr>
        <sz val="10"/>
        <color rgb="FF0000FF"/>
        <rFont val="Noto Sans CJK SC"/>
        <family val="2"/>
      </rPr>
      <t xml:space="preserve">旧・森トラスト総合リート</t>
    </r>
    <r>
      <rPr>
        <sz val="10"/>
        <color rgb="FF0000FF"/>
        <rFont val="Arial"/>
        <family val="0"/>
        <charset val="1"/>
      </rPr>
      <t xml:space="preserve">)</t>
    </r>
    <r>
      <rPr>
        <sz val="10"/>
        <color rgb="FF0000FF"/>
        <rFont val="Noto Sans CJK SC"/>
        <family val="2"/>
      </rPr>
      <t xml:space="preserve">。オフィス・ホテル中核。物件別収支フル開示</t>
    </r>
    <r>
      <rPr>
        <sz val="10"/>
        <color rgb="FF0000FF"/>
        <rFont val="Arial"/>
        <family val="0"/>
        <charset val="1"/>
      </rPr>
      <t xml:space="preserve">18/20</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千円単位・費用内訳含む</t>
    </r>
    <r>
      <rPr>
        <sz val="10"/>
        <color rgb="FF0000FF"/>
        <rFont val="Arial"/>
        <family val="0"/>
        <charset val="1"/>
      </rPr>
      <t xml:space="preserve">)</t>
    </r>
    <r>
      <rPr>
        <sz val="10"/>
        <color rgb="FF0000FF"/>
        <rFont val="Noto Sans CJK SC"/>
        <family val="2"/>
      </rPr>
      <t xml:space="preserve">。スポンサー森トラストへの賃貸が収益の約</t>
    </r>
    <r>
      <rPr>
        <sz val="10"/>
        <color rgb="FF0000FF"/>
        <rFont val="Arial"/>
        <family val="0"/>
        <charset val="1"/>
      </rPr>
      <t xml:space="preserve">5</t>
    </r>
    <r>
      <rPr>
        <sz val="10"/>
        <color rgb="FF0000FF"/>
        <rFont val="Noto Sans CJK SC"/>
        <family val="2"/>
      </rPr>
      <t xml:space="preserve">割。※第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短信は</t>
    </r>
    <r>
      <rPr>
        <sz val="10"/>
        <color rgb="FF0000FF"/>
        <rFont val="Arial"/>
        <family val="0"/>
        <charset val="1"/>
      </rPr>
      <t xml:space="preserve">2026/10</t>
    </r>
    <r>
      <rPr>
        <sz val="10"/>
        <color rgb="FF0000FF"/>
        <rFont val="Noto Sans CJK SC"/>
        <family val="2"/>
      </rPr>
      <t xml:space="preserve">下旬公表見込</t>
    </r>
  </si>
  <si>
    <t xml:space="preserve">SKR</t>
  </si>
  <si>
    <t xml:space="preserve">2972</t>
  </si>
  <si>
    <t xml:space="preserve">サンケイリアルエステート投資法人</t>
  </si>
  <si>
    <t xml:space="preserve">総合型（オフィス主体）</t>
  </si>
  <si>
    <r>
      <rPr>
        <sz val="10"/>
        <color rgb="FF0000FF"/>
        <rFont val="Arial"/>
        <family val="0"/>
        <charset val="1"/>
      </rPr>
      <t xml:space="preserve">50</t>
    </r>
    <r>
      <rPr>
        <sz val="10"/>
        <color rgb="FF0000FF"/>
        <rFont val="Noto Sans CJK SC"/>
        <family val="2"/>
      </rPr>
      <t xml:space="preserve">〜</t>
    </r>
    <r>
      <rPr>
        <sz val="10"/>
        <color rgb="FF0000FF"/>
        <rFont val="Arial"/>
        <family val="0"/>
        <charset val="1"/>
      </rPr>
      <t xml:space="preserve">70%</t>
    </r>
    <r>
      <rPr>
        <sz val="10"/>
        <color rgb="FF0000FF"/>
        <rFont val="Noto Sans CJK SC"/>
        <family val="2"/>
      </rPr>
      <t xml:space="preserve">目安</t>
    </r>
  </si>
  <si>
    <t xml:space="preserve">サンケイビル（フジサンケイグループ）</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</si>
  <si>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月期（第</t>
    </r>
    <r>
      <rPr>
        <sz val="10"/>
        <color rgb="FF0000FF"/>
        <rFont val="Arial"/>
        <family val="0"/>
        <charset val="1"/>
      </rPr>
      <t xml:space="preserve">14</t>
    </r>
    <r>
      <rPr>
        <sz val="10"/>
        <color rgb="FF0000FF"/>
        <rFont val="Noto Sans CJK SC"/>
        <family val="2"/>
      </rPr>
      <t xml:space="preserve">期）</t>
    </r>
  </si>
  <si>
    <t xml:space="preserve">総合型(オフィス9+ホテル6+物流1)。物件別収支非開示(一括のみ)。当期は福岡G減損で無分配・無償減資。Tiger/Lion LPSによるTOB成立見込(2026/5/7結果公表・上場廃止前提)。※上場廃止となる場合は本DBの更新対象から外れる可能性</t>
  </si>
  <si>
    <t xml:space="preserve">KDX</t>
  </si>
  <si>
    <t xml:space="preserve">8972</t>
  </si>
  <si>
    <t xml:space="preserve">ＫＤＸ不動産投資法人</t>
  </si>
  <si>
    <t xml:space="preserve">総合型</t>
  </si>
  <si>
    <t xml:space="preserve">ケネディクス</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</si>
  <si>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月期（第</t>
    </r>
    <r>
      <rPr>
        <sz val="10"/>
        <color rgb="FF0000FF"/>
        <rFont val="Arial"/>
        <family val="0"/>
        <charset val="1"/>
      </rPr>
      <t xml:space="preserve">42</t>
    </r>
    <r>
      <rPr>
        <sz val="10"/>
        <color rgb="FF0000FF"/>
        <rFont val="Noto Sans CJK SC"/>
        <family val="2"/>
      </rPr>
      <t xml:space="preserve">期）</t>
    </r>
  </si>
  <si>
    <t xml:space="preserve">決算月4月/10月。2023/11の3リート合併(旧KDXオフィス8972+ケネディクス・レジデンシャル・ネクスト3278+ケネディクス商業リート3453)で誕生した国内最大級総合型。第42期短信より投入(2026/8/7)。343物件・取得1,218,978百万円=16法人中最大。物件別開示は取得・帳簿・鑑定・NLA・稼働・テナント数・総賃貸事業収入(百万円単位)。所在地・竣工年月は短信非掲載(個別物件データブックxlsx別綴)→エリア区分は短信の東京経済圏/地方経済圏2区分を収録。物流14・宿泊6・ヘルスケア42の収入とアーク森ビルは非開示。規模が最大のため3応答分割で全343物件+譲渡2の投入完了・5段階検証実施(2026/8/7)。※第43期(2026年10月期)短信は2026/12中旬公表見込→公表後更新検討</t>
  </si>
  <si>
    <t xml:space="preserve">物件ID</t>
  </si>
  <si>
    <t xml:space="preserve">物件名</t>
  </si>
  <si>
    <t xml:space="preserve">主用途</t>
  </si>
  <si>
    <t xml:space="preserve">都道府県</t>
  </si>
  <si>
    <t xml:space="preserve">市区町村</t>
  </si>
  <si>
    <t xml:space="preserve">住所（詳細）</t>
  </si>
  <si>
    <t xml:space="preserve">エリア区分</t>
  </si>
  <si>
    <t xml:space="preserve">所有形態</t>
  </si>
  <si>
    <t xml:space="preserve">持分割合</t>
  </si>
  <si>
    <t xml:space="preserve">敷地面積(㎡)</t>
  </si>
  <si>
    <t xml:space="preserve">延床面積(㎡)</t>
  </si>
  <si>
    <t xml:space="preserve">賃貸可能面積(㎡)</t>
  </si>
  <si>
    <t xml:space="preserve">階数(地上)</t>
  </si>
  <si>
    <t xml:space="preserve">階数(地下)</t>
  </si>
  <si>
    <t xml:space="preserve">竣工年月</t>
  </si>
  <si>
    <t xml:space="preserve">築年数(年)</t>
  </si>
  <si>
    <t xml:space="preserve">取得年月</t>
  </si>
  <si>
    <t xml:space="preserve">取得価格(百万円)</t>
  </si>
  <si>
    <t xml:space="preserve">期末帳簿価額(百万円)</t>
  </si>
  <si>
    <t xml:space="preserve">期末鑑定評価額(百万円)</t>
  </si>
  <si>
    <t xml:space="preserve">含み損益(百万円)</t>
  </si>
  <si>
    <t xml:space="preserve">期末稼働率</t>
  </si>
  <si>
    <t xml:space="preserve">テナント数</t>
  </si>
  <si>
    <t xml:space="preserve">PML(%)</t>
  </si>
  <si>
    <t xml:space="preserve">出典（資料名・頁）</t>
  </si>
  <si>
    <t xml:space="preserve">環境認証数</t>
  </si>
  <si>
    <t xml:space="preserve">含み損益率(%)＝鑑定÷帳簿−1</t>
  </si>
  <si>
    <t xml:space="preserve">対取得価格の値上がり率(%)＝鑑定÷取得−1</t>
  </si>
  <si>
    <t xml:space="preserve">GOR-01</t>
  </si>
  <si>
    <t xml:space="preserve">平河町森タワー</t>
  </si>
  <si>
    <t xml:space="preserve">オフィス</t>
  </si>
  <si>
    <t xml:space="preserve">東京都</t>
  </si>
  <si>
    <t xml:space="preserve">千代田区</t>
  </si>
  <si>
    <t xml:space="preserve">都心5区</t>
  </si>
  <si>
    <t xml:space="preserve">区分所有権（信託受益権）</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</si>
  <si>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 / GOR</t>
    </r>
    <r>
      <rPr>
        <sz val="10"/>
        <color rgb="FF0000FF"/>
        <rFont val="Noto Sans CJK SC"/>
        <family val="2"/>
      </rPr>
      <t xml:space="preserve">公式サイト ポートフォリオ一覧</t>
    </r>
    <r>
      <rPr>
        <sz val="10"/>
        <color rgb="FF0000FF"/>
        <rFont val="Arial"/>
        <family val="0"/>
        <charset val="1"/>
      </rPr>
      <t xml:space="preserve">(2026/4/24</t>
    </r>
    <r>
      <rPr>
        <sz val="10"/>
        <color rgb="FF0000FF"/>
        <rFont val="Noto Sans CJK SC"/>
        <family val="2"/>
      </rPr>
      <t xml:space="preserve">現在</t>
    </r>
    <r>
      <rPr>
        <sz val="10"/>
        <color rgb="FF0000FF"/>
        <rFont val="Arial"/>
        <family val="0"/>
        <charset val="1"/>
      </rPr>
      <t xml:space="preserve">)</t>
    </r>
  </si>
  <si>
    <t xml:space="preserve">確認済</t>
  </si>
  <si>
    <t xml:space="preserve">パススルー型ML（森ビル）</t>
  </si>
  <si>
    <t xml:space="preserve">GOR-02</t>
  </si>
  <si>
    <t xml:space="preserve">楽天クリムゾンハウス青山</t>
  </si>
  <si>
    <t xml:space="preserve">港区</t>
  </si>
  <si>
    <t xml:space="preserve">所有権（信託受益権準共有80%）</t>
  </si>
  <si>
    <t xml:space="preserve">GOR-03</t>
  </si>
  <si>
    <t xml:space="preserve">アークヒルズ 仙石山森タワー</t>
  </si>
  <si>
    <t xml:space="preserve">共同運用区画・パススルー型ML</t>
  </si>
  <si>
    <t xml:space="preserve">GOR-04</t>
  </si>
  <si>
    <t xml:space="preserve">グローバル・ワン上野</t>
  </si>
  <si>
    <t xml:space="preserve">台東区</t>
  </si>
  <si>
    <t xml:space="preserve">その他東京23区</t>
  </si>
  <si>
    <t xml:space="preserve">GOR-05</t>
  </si>
  <si>
    <t xml:space="preserve">豊洲プライムスクエア</t>
  </si>
  <si>
    <t xml:space="preserve">江東区</t>
  </si>
  <si>
    <t xml:space="preserve">所有権（信託受益権準共有50%）</t>
  </si>
  <si>
    <t xml:space="preserve">GOR-06</t>
  </si>
  <si>
    <t xml:space="preserve">横浜プラザビル</t>
  </si>
  <si>
    <t xml:space="preserve">神奈川県</t>
  </si>
  <si>
    <t xml:space="preserve">横浜市神奈川区</t>
  </si>
  <si>
    <t xml:space="preserve">横浜市神奈川区金港町2-6</t>
  </si>
  <si>
    <t xml:space="preserve">東京周辺都市部</t>
  </si>
  <si>
    <t xml:space="preserve">所有権（信託受益権準共有）※期末60%</t>
  </si>
  <si>
    <r>
      <rPr>
        <sz val="10"/>
        <color rgb="FF0000FF"/>
        <rFont val="Arial"/>
        <family val="0"/>
        <charset val="1"/>
      </rPr>
      <t xml:space="preserve">6</t>
    </r>
    <r>
      <rPr>
        <sz val="10"/>
        <color rgb="FF0000FF"/>
        <rFont val="Noto Sans CJK SC"/>
        <family val="2"/>
      </rPr>
      <t xml:space="preserve">期分割譲渡中</t>
    </r>
    <r>
      <rPr>
        <sz val="10"/>
        <color rgb="FF0000FF"/>
        <rFont val="Arial"/>
        <family val="0"/>
        <charset val="1"/>
      </rPr>
      <t xml:space="preserve">(2025/4</t>
    </r>
    <r>
      <rPr>
        <sz val="10"/>
        <color rgb="FF0000FF"/>
        <rFont val="Noto Sans CJK SC"/>
        <family val="2"/>
      </rPr>
      <t xml:space="preserve">〜</t>
    </r>
    <r>
      <rPr>
        <sz val="10"/>
        <color rgb="FF0000FF"/>
        <rFont val="Arial"/>
        <family val="0"/>
        <charset val="1"/>
      </rPr>
      <t xml:space="preserve">2027/10)</t>
    </r>
    <r>
      <rPr>
        <sz val="10"/>
        <color rgb="FF0000FF"/>
        <rFont val="Noto Sans CJK SC"/>
        <family val="2"/>
      </rPr>
      <t xml:space="preserve">。</t>
    </r>
    <r>
      <rPr>
        <sz val="10"/>
        <color rgb="FF0000FF"/>
        <rFont val="Arial"/>
        <family val="0"/>
        <charset val="1"/>
      </rPr>
      <t xml:space="preserve">2026/4/24</t>
    </r>
    <r>
      <rPr>
        <sz val="10"/>
        <color rgb="FF0000FF"/>
        <rFont val="Noto Sans CJK SC"/>
        <family val="2"/>
      </rPr>
      <t xml:space="preserve">に</t>
    </r>
    <r>
      <rPr>
        <sz val="10"/>
        <color rgb="FF0000FF"/>
        <rFont val="Arial"/>
        <family val="0"/>
        <charset val="1"/>
      </rPr>
      <t xml:space="preserve">15%</t>
    </r>
    <r>
      <rPr>
        <sz val="10"/>
        <color rgb="FF0000FF"/>
        <rFont val="Noto Sans CJK SC"/>
        <family val="2"/>
      </rPr>
      <t xml:space="preserve">譲渡し</t>
    </r>
    <r>
      <rPr>
        <sz val="10"/>
        <color rgb="FF0000FF"/>
        <rFont val="Arial"/>
        <family val="0"/>
        <charset val="1"/>
      </rPr>
      <t xml:space="preserve">45%</t>
    </r>
    <r>
      <rPr>
        <sz val="10"/>
        <color rgb="FF0000FF"/>
        <rFont val="Noto Sans CJK SC"/>
        <family val="2"/>
      </rPr>
      <t xml:space="preserve">へ</t>
    </r>
  </si>
  <si>
    <t xml:space="preserve">GOR-07</t>
  </si>
  <si>
    <t xml:space="preserve">明治安田生命さいたま新都心ビル</t>
  </si>
  <si>
    <t xml:space="preserve">埼玉県</t>
  </si>
  <si>
    <t xml:space="preserve">さいたま市中央区</t>
  </si>
  <si>
    <t xml:space="preserve">所有権 共有持分50%（信託受益権）</t>
  </si>
  <si>
    <t xml:space="preserve">GOR-08</t>
  </si>
  <si>
    <t xml:space="preserve">GRAND CENTRAL CHIBA</t>
  </si>
  <si>
    <t xml:space="preserve">千葉県</t>
  </si>
  <si>
    <t xml:space="preserve">千葉市中央区</t>
  </si>
  <si>
    <t xml:space="preserve">千葉市中央区富士見2-5-12</t>
  </si>
  <si>
    <t xml:space="preserve">所有権（信託受益権）</t>
  </si>
  <si>
    <r>
      <rPr>
        <sz val="10"/>
        <color rgb="FF0000FF"/>
        <rFont val="Arial"/>
        <family val="0"/>
        <charset val="1"/>
      </rPr>
      <t xml:space="preserve">2026/3/30</t>
    </r>
    <r>
      <rPr>
        <sz val="10"/>
        <color rgb="FF0000FF"/>
        <rFont val="Noto Sans CJK SC"/>
        <family val="2"/>
      </rPr>
      <t xml:space="preserve">取得（期中</t>
    </r>
    <r>
      <rPr>
        <sz val="10"/>
        <color rgb="FF0000FF"/>
        <rFont val="Arial"/>
        <family val="0"/>
        <charset val="1"/>
      </rPr>
      <t xml:space="preserve">2</t>
    </r>
    <r>
      <rPr>
        <sz val="10"/>
        <color rgb="FF0000FF"/>
        <rFont val="Noto Sans CJK SC"/>
        <family val="2"/>
      </rPr>
      <t xml:space="preserve">日間のみ収益計上）</t>
    </r>
  </si>
  <si>
    <t xml:space="preserve">GOR-09</t>
  </si>
  <si>
    <t xml:space="preserve">グローバル・ワン名古屋伏見</t>
  </si>
  <si>
    <t xml:space="preserve">愛知県</t>
  </si>
  <si>
    <t xml:space="preserve">名古屋市中区</t>
  </si>
  <si>
    <t xml:space="preserve">その他3大都市圏</t>
  </si>
  <si>
    <r>
      <rPr>
        <sz val="10"/>
        <color rgb="FF0000FF"/>
        <rFont val="Arial"/>
        <family val="0"/>
        <charset val="1"/>
      </rPr>
      <t xml:space="preserve">1</t>
    </r>
    <r>
      <rPr>
        <sz val="10"/>
        <color rgb="FF0000FF"/>
        <rFont val="Noto Sans CJK SC"/>
        <family val="2"/>
      </rPr>
      <t xml:space="preserve">テナント</t>
    </r>
  </si>
  <si>
    <t xml:space="preserve">GOR-10</t>
  </si>
  <si>
    <t xml:space="preserve">土佐堀ダイビル</t>
  </si>
  <si>
    <t xml:space="preserve">大阪府</t>
  </si>
  <si>
    <t xml:space="preserve">大阪市西区</t>
  </si>
  <si>
    <t xml:space="preserve">所有権（共有持分20%）</t>
  </si>
  <si>
    <t xml:space="preserve">GOR-11</t>
  </si>
  <si>
    <t xml:space="preserve">ルーシッドスクエア新大阪</t>
  </si>
  <si>
    <t xml:space="preserve">大阪市東淀川区</t>
  </si>
  <si>
    <t xml:space="preserve">大阪市東淀川区東中島1-19-4</t>
  </si>
  <si>
    <r>
      <rPr>
        <sz val="10"/>
        <color rgb="FF0000FF"/>
        <rFont val="Arial"/>
        <family val="0"/>
        <charset val="1"/>
      </rPr>
      <t xml:space="preserve">2025/12/5</t>
    </r>
    <r>
      <rPr>
        <sz val="10"/>
        <color rgb="FF0000FF"/>
        <rFont val="Noto Sans CJK SC"/>
        <family val="2"/>
      </rPr>
      <t xml:space="preserve">取得（期中約</t>
    </r>
    <r>
      <rPr>
        <sz val="10"/>
        <color rgb="FF0000FF"/>
        <rFont val="Arial"/>
        <family val="0"/>
        <charset val="1"/>
      </rPr>
      <t xml:space="preserve">4</t>
    </r>
    <r>
      <rPr>
        <sz val="10"/>
        <color rgb="FF0000FF"/>
        <rFont val="Noto Sans CJK SC"/>
        <family val="2"/>
      </rPr>
      <t xml:space="preserve">ヶ月）</t>
    </r>
  </si>
  <si>
    <t xml:space="preserve">GOR-12</t>
  </si>
  <si>
    <t xml:space="preserve">新ダイビル</t>
  </si>
  <si>
    <t xml:space="preserve">大阪市北区</t>
  </si>
  <si>
    <t xml:space="preserve">所有権（共有持分5%）</t>
  </si>
  <si>
    <t xml:space="preserve">GOR-13</t>
  </si>
  <si>
    <t xml:space="preserve">明治安田生命大阪梅田ビル</t>
  </si>
  <si>
    <t xml:space="preserve">大阪市北区梅田3-3-20</t>
  </si>
  <si>
    <t xml:space="preserve">所有権（信託受益権準共有）※期末28%</t>
  </si>
  <si>
    <r>
      <rPr>
        <sz val="10"/>
        <color rgb="FF0000FF"/>
        <rFont val="Arial"/>
        <family val="0"/>
        <charset val="1"/>
      </rPr>
      <t xml:space="preserve">6</t>
    </r>
    <r>
      <rPr>
        <sz val="10"/>
        <color rgb="FF0000FF"/>
        <rFont val="Noto Sans CJK SC"/>
        <family val="2"/>
      </rPr>
      <t xml:space="preserve">期分割取得中</t>
    </r>
    <r>
      <rPr>
        <sz val="10"/>
        <color rgb="FF0000FF"/>
        <rFont val="Arial"/>
        <family val="0"/>
        <charset val="1"/>
      </rPr>
      <t xml:space="preserve">(</t>
    </r>
    <r>
      <rPr>
        <sz val="10"/>
        <color rgb="FF0000FF"/>
        <rFont val="Noto Sans CJK SC"/>
        <family val="2"/>
      </rPr>
      <t xml:space="preserve">最終</t>
    </r>
    <r>
      <rPr>
        <sz val="10"/>
        <color rgb="FF0000FF"/>
        <rFont val="Arial"/>
        <family val="0"/>
        <charset val="1"/>
      </rPr>
      <t xml:space="preserve">70%)</t>
    </r>
    <r>
      <rPr>
        <sz val="10"/>
        <color rgb="FF0000FF"/>
        <rFont val="Noto Sans CJK SC"/>
        <family val="2"/>
      </rPr>
      <t xml:space="preserve">。</t>
    </r>
    <r>
      <rPr>
        <sz val="10"/>
        <color rgb="FF0000FF"/>
        <rFont val="Arial"/>
        <family val="0"/>
        <charset val="1"/>
      </rPr>
      <t xml:space="preserve">2026/4/24</t>
    </r>
    <r>
      <rPr>
        <sz val="10"/>
        <color rgb="FF0000FF"/>
        <rFont val="Noto Sans CJK SC"/>
        <family val="2"/>
      </rPr>
      <t xml:space="preserve">に</t>
    </r>
    <r>
      <rPr>
        <sz val="10"/>
        <color rgb="FF0000FF"/>
        <rFont val="Arial"/>
        <family val="0"/>
        <charset val="1"/>
      </rPr>
      <t xml:space="preserve">15%</t>
    </r>
    <r>
      <rPr>
        <sz val="10"/>
        <color rgb="FF0000FF"/>
        <rFont val="Noto Sans CJK SC"/>
        <family val="2"/>
      </rPr>
      <t xml:space="preserve">追加取得</t>
    </r>
  </si>
  <si>
    <t xml:space="preserve">GOR-14</t>
  </si>
  <si>
    <t xml:space="preserve">明治安田生命大阪御堂筋ビル</t>
  </si>
  <si>
    <t xml:space="preserve">大阪市中央区</t>
  </si>
  <si>
    <t xml:space="preserve">所有権（共有持分50%）</t>
  </si>
  <si>
    <t xml:space="preserve">GOR-15</t>
  </si>
  <si>
    <t xml:space="preserve">福岡Kスクエア</t>
  </si>
  <si>
    <t xml:space="preserve">福岡県</t>
  </si>
  <si>
    <t xml:space="preserve">福岡市博多区</t>
  </si>
  <si>
    <t xml:space="preserve">福岡市博多区中洲中島町1-3</t>
  </si>
  <si>
    <r>
      <rPr>
        <sz val="10"/>
        <color rgb="FF0000FF"/>
        <rFont val="Arial"/>
        <family val="0"/>
        <charset val="1"/>
      </rPr>
      <t xml:space="preserve">3</t>
    </r>
    <r>
      <rPr>
        <sz val="10"/>
        <color rgb="FF0000FF"/>
        <rFont val="Noto Sans CJK SC"/>
        <family val="2"/>
      </rPr>
      <t xml:space="preserve">大都市圏以外の政令市</t>
    </r>
  </si>
  <si>
    <t xml:space="preserve">所有権（信託受益権準共有83%）</t>
  </si>
  <si>
    <r>
      <rPr>
        <sz val="10"/>
        <color rgb="FF0000FF"/>
        <rFont val="Arial"/>
        <family val="0"/>
        <charset val="1"/>
      </rPr>
      <t xml:space="preserve">2025/11/7</t>
    </r>
    <r>
      <rPr>
        <sz val="10"/>
        <color rgb="FF0000FF"/>
        <rFont val="Noto Sans CJK SC"/>
        <family val="2"/>
      </rPr>
      <t xml:space="preserve">取得（期中約</t>
    </r>
    <r>
      <rPr>
        <sz val="10"/>
        <color rgb="FF0000FF"/>
        <rFont val="Arial"/>
        <family val="0"/>
        <charset val="1"/>
      </rPr>
      <t xml:space="preserve">4.8</t>
    </r>
    <r>
      <rPr>
        <sz val="10"/>
        <color rgb="FF0000FF"/>
        <rFont val="Noto Sans CJK SC"/>
        <family val="2"/>
      </rPr>
      <t xml:space="preserve">ヶ月）</t>
    </r>
  </si>
  <si>
    <t xml:space="preserve">GOR-16</t>
  </si>
  <si>
    <t xml:space="preserve">THE PEAK SAPPORO</t>
  </si>
  <si>
    <t xml:space="preserve">北海道</t>
  </si>
  <si>
    <t xml:space="preserve">札幌市北区</t>
  </si>
  <si>
    <t xml:space="preserve">パススルー型ML（三菱地所PM）</t>
  </si>
  <si>
    <t xml:space="preserve">GOR-17</t>
  </si>
  <si>
    <t xml:space="preserve">アルカセントラル</t>
  </si>
  <si>
    <t xml:space="preserve">墨田区</t>
  </si>
  <si>
    <t xml:space="preserve">墨田区錦糸1-2-1</t>
  </si>
  <si>
    <t xml:space="preserve">（期中譲渡済）</t>
  </si>
  <si>
    <r>
      <rPr>
        <sz val="10"/>
        <color rgb="FF0000FF"/>
        <rFont val="Arial"/>
        <family val="0"/>
        <charset val="1"/>
      </rPr>
      <t xml:space="preserve">2025/10/10</t>
    </r>
    <r>
      <rPr>
        <sz val="10"/>
        <color rgb="FF0000FF"/>
        <rFont val="Noto Sans CJK SC"/>
        <family val="2"/>
      </rPr>
      <t xml:space="preserve">に残余</t>
    </r>
    <r>
      <rPr>
        <sz val="10"/>
        <color rgb="FF0000FF"/>
        <rFont val="Arial"/>
        <family val="0"/>
        <charset val="1"/>
      </rPr>
      <t xml:space="preserve">30%</t>
    </r>
    <r>
      <rPr>
        <sz val="10"/>
        <color rgb="FF0000FF"/>
        <rFont val="Noto Sans CJK SC"/>
        <family val="2"/>
      </rPr>
      <t xml:space="preserve">を譲渡し保有終了（期中</t>
    </r>
    <r>
      <rPr>
        <sz val="10"/>
        <color rgb="FF0000FF"/>
        <rFont val="Arial"/>
        <family val="0"/>
        <charset val="1"/>
      </rPr>
      <t xml:space="preserve">10</t>
    </r>
    <r>
      <rPr>
        <sz val="10"/>
        <color rgb="FF0000FF"/>
        <rFont val="Noto Sans CJK SC"/>
        <family val="2"/>
      </rPr>
      <t xml:space="preserve">日間）。</t>
    </r>
    <r>
      <rPr>
        <sz val="10"/>
        <color rgb="FF0000FF"/>
        <rFont val="Arial"/>
        <family val="0"/>
        <charset val="1"/>
      </rPr>
      <t xml:space="preserve">3</t>
    </r>
    <r>
      <rPr>
        <sz val="10"/>
        <color rgb="FF0000FF"/>
        <rFont val="Noto Sans CJK SC"/>
        <family val="2"/>
      </rPr>
      <t xml:space="preserve">期分割譲渡・総額</t>
    </r>
    <r>
      <rPr>
        <sz val="10"/>
        <color rgb="FF0000FF"/>
        <rFont val="Arial"/>
        <family val="0"/>
        <charset val="1"/>
      </rPr>
      <t xml:space="preserve">18,500</t>
    </r>
    <r>
      <rPr>
        <sz val="10"/>
        <color rgb="FF0000FF"/>
        <rFont val="Noto Sans CJK SC"/>
        <family val="2"/>
      </rPr>
      <t xml:space="preserve">百万円</t>
    </r>
  </si>
  <si>
    <t xml:space="preserve">GOR-18</t>
  </si>
  <si>
    <t xml:space="preserve">ICON PLACE SHIBAKOEN</t>
  </si>
  <si>
    <t xml:space="preserve">港区芝3-2-18</t>
  </si>
  <si>
    <t xml:space="preserve">第46期(2026/4/23)取得のため期末値なし。事務所・住宅・駐車場</t>
  </si>
  <si>
    <t xml:space="preserve">GOR-ALL</t>
  </si>
  <si>
    <t xml:space="preserve">【GORポートフォリオ全体】</t>
  </si>
  <si>
    <t xml:space="preserve">─</t>
  </si>
  <si>
    <r>
      <rPr>
        <sz val="10"/>
        <color rgb="FF0000FF"/>
        <rFont val="Arial"/>
        <family val="0"/>
        <charset val="1"/>
      </rPr>
      <t xml:space="preserve">16</t>
    </r>
    <r>
      <rPr>
        <sz val="10"/>
        <color rgb="FF0000FF"/>
        <rFont val="Noto Sans CJK SC"/>
        <family val="2"/>
      </rPr>
      <t xml:space="preserve">物件（</t>
    </r>
    <r>
      <rPr>
        <sz val="10"/>
        <color rgb="FF0000FF"/>
        <rFont val="Arial"/>
        <family val="0"/>
        <charset val="1"/>
      </rPr>
      <t xml:space="preserve">2026/3/31</t>
    </r>
    <r>
      <rPr>
        <sz val="10"/>
        <color rgb="FF0000FF"/>
        <rFont val="Noto Sans CJK SC"/>
        <family val="2"/>
      </rPr>
      <t xml:space="preserve">時点）</t>
    </r>
  </si>
  <si>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t>
    </r>
  </si>
  <si>
    <t xml:space="preserve">取得価格・帳簿・鑑定・稼働率は2026/3/31時点16物件計。PML1.9%は横浜除きICON込み16物件ベース</t>
  </si>
  <si>
    <t xml:space="preserve">JEI-01</t>
  </si>
  <si>
    <t xml:space="preserve">大森ベルポートD館</t>
  </si>
  <si>
    <t xml:space="preserve">品川区</t>
  </si>
  <si>
    <r>
      <rPr>
        <sz val="10"/>
        <color rgb="FF0000FF"/>
        <rFont val="Arial"/>
        <family val="0"/>
        <charset val="1"/>
      </rPr>
      <t xml:space="preserve">JEI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(2026/2/20</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</si>
  <si>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t>
    </r>
    <r>
      <rPr>
        <sz val="10"/>
        <color rgb="FF0000FF"/>
        <rFont val="Noto Sans CJK SC"/>
        <family val="2"/>
      </rPr>
      <t xml:space="preserve">。延床面積・竣工年月等の建物概要は短信非掲載のため有報で補完予定</t>
    </r>
  </si>
  <si>
    <t xml:space="preserve">JEI-02</t>
  </si>
  <si>
    <t xml:space="preserve">芝二丁目ビルディング</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</si>
  <si>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t>
    </r>
    <r>
      <rPr>
        <sz val="10"/>
        <color rgb="FF0000FF"/>
        <rFont val="Noto Sans CJK SC"/>
        <family val="2"/>
      </rPr>
      <t xml:space="preserve">。事務所棟＋住宅棟。延床面積・竣工年月等の建物概要は短信非掲載のため有報で補完予定</t>
    </r>
  </si>
  <si>
    <t xml:space="preserve">JEI-03</t>
  </si>
  <si>
    <r>
      <rPr>
        <sz val="10"/>
        <color rgb="FF0000FF"/>
        <rFont val="Arial"/>
        <family val="0"/>
        <charset val="1"/>
      </rPr>
      <t xml:space="preserve">JEI</t>
    </r>
    <r>
      <rPr>
        <sz val="10"/>
        <color rgb="FF0000FF"/>
        <rFont val="Noto Sans CJK SC"/>
        <family val="2"/>
      </rPr>
      <t xml:space="preserve">浜松町ビル</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</si>
  <si>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-3</t>
    </r>
    <r>
      <rPr>
        <sz val="10"/>
        <color rgb="FF0000FF"/>
        <rFont val="Noto Sans CJK SC"/>
        <family val="2"/>
      </rPr>
      <t xml:space="preserve">。</t>
    </r>
    <r>
      <rPr>
        <sz val="10"/>
        <color rgb="FF0000FF"/>
        <rFont val="Arial"/>
        <family val="0"/>
        <charset val="1"/>
      </rPr>
      <t xml:space="preserve">2026/1/16</t>
    </r>
    <r>
      <rPr>
        <sz val="10"/>
        <color rgb="FF0000FF"/>
        <rFont val="Noto Sans CJK SC"/>
        <family val="2"/>
      </rPr>
      <t xml:space="preserve">に準共有持分</t>
    </r>
    <r>
      <rPr>
        <sz val="10"/>
        <color rgb="FF0000FF"/>
        <rFont val="Arial"/>
        <family val="0"/>
        <charset val="1"/>
      </rPr>
      <t xml:space="preserve">55%</t>
    </r>
    <r>
      <rPr>
        <sz val="10"/>
        <color rgb="FF0000FF"/>
        <rFont val="Noto Sans CJK SC"/>
        <family val="2"/>
      </rPr>
      <t xml:space="preserve">全てを譲渡済（第</t>
    </r>
    <r>
      <rPr>
        <sz val="10"/>
        <color rgb="FF0000FF"/>
        <rFont val="Arial"/>
        <family val="0"/>
        <charset val="1"/>
      </rPr>
      <t xml:space="preserve">40</t>
    </r>
    <r>
      <rPr>
        <sz val="10"/>
        <color rgb="FF0000FF"/>
        <rFont val="Noto Sans CJK SC"/>
        <family val="2"/>
      </rPr>
      <t xml:space="preserve">期）。期末算定価額は譲渡価格。延床面積・竣工年月等の建物概要は短信非掲載のため有報で補完予定</t>
    </r>
  </si>
  <si>
    <t xml:space="preserve">JEI-04</t>
  </si>
  <si>
    <t xml:space="preserve">赤坂インターシティ</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</si>
  <si>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-8</t>
    </r>
    <r>
      <rPr>
        <sz val="10"/>
        <color rgb="FF0000FF"/>
        <rFont val="Noto Sans CJK SC"/>
        <family val="2"/>
      </rPr>
      <t xml:space="preserve">。延床面積・竣工年月等の建物概要は短信非掲載のため有報で補完予定</t>
    </r>
  </si>
  <si>
    <t xml:space="preserve">JEI-05</t>
  </si>
  <si>
    <t xml:space="preserve">台場ガーデンシティビル</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</si>
  <si>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-10</t>
    </r>
    <r>
      <rPr>
        <sz val="10"/>
        <color rgb="FF0000FF"/>
        <rFont val="Noto Sans CJK SC"/>
        <family val="2"/>
      </rPr>
      <t xml:space="preserve">。延床面積・竣工年月等の建物概要は短信非掲載のため有報で補完予定</t>
    </r>
  </si>
  <si>
    <t xml:space="preserve">JEI-06</t>
  </si>
  <si>
    <t xml:space="preserve">浜離宮インターシティ</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</si>
  <si>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-12</t>
    </r>
    <r>
      <rPr>
        <sz val="10"/>
        <color rgb="FF0000FF"/>
        <rFont val="Noto Sans CJK SC"/>
        <family val="2"/>
      </rPr>
      <t xml:space="preserve">。延床面積・竣工年月等の建物概要は短信非掲載のため有報で補完予定</t>
    </r>
  </si>
  <si>
    <t xml:space="preserve">JEI-07</t>
  </si>
  <si>
    <t xml:space="preserve">興和西新橋ビル</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</si>
  <si>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-14</t>
    </r>
    <r>
      <rPr>
        <sz val="10"/>
        <color rgb="FF0000FF"/>
        <rFont val="Noto Sans CJK SC"/>
        <family val="2"/>
      </rPr>
      <t xml:space="preserve">。延床面積・竣工年月等の建物概要は短信非掲載のため有報で補完予定</t>
    </r>
  </si>
  <si>
    <t xml:space="preserve">JEI-08</t>
  </si>
  <si>
    <t xml:space="preserve">マンサード代官山</t>
  </si>
  <si>
    <t xml:space="preserve">渋谷区</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</si>
  <si>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-15</t>
    </r>
    <r>
      <rPr>
        <sz val="10"/>
        <color rgb="FF0000FF"/>
        <rFont val="Noto Sans CJK SC"/>
        <family val="2"/>
      </rPr>
      <t xml:space="preserve">。延床面積・竣工年月等の建物概要は短信非掲載のため有報で補完予定</t>
    </r>
  </si>
  <si>
    <t xml:space="preserve">JEI-09</t>
  </si>
  <si>
    <t xml:space="preserve">赤坂インターシティAIR</t>
  </si>
  <si>
    <t xml:space="preserve">港区赤坂1-8-1</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</si>
  <si>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-16</t>
    </r>
    <r>
      <rPr>
        <sz val="10"/>
        <color rgb="FF0000FF"/>
        <rFont val="Noto Sans CJK SC"/>
        <family val="2"/>
      </rPr>
      <t xml:space="preserve">。</t>
    </r>
    <r>
      <rPr>
        <sz val="10"/>
        <color rgb="FF0000FF"/>
        <rFont val="Arial"/>
        <family val="0"/>
        <charset val="1"/>
      </rPr>
      <t xml:space="preserve">2026/3/19</t>
    </r>
    <r>
      <rPr>
        <sz val="10"/>
        <color rgb="FF0000FF"/>
        <rFont val="Noto Sans CJK SC"/>
        <family val="2"/>
      </rPr>
      <t xml:space="preserve">に持分追加取得予定（第</t>
    </r>
    <r>
      <rPr>
        <sz val="10"/>
        <color rgb="FF0000FF"/>
        <rFont val="Arial"/>
        <family val="0"/>
        <charset val="1"/>
      </rPr>
      <t xml:space="preserve">40</t>
    </r>
    <r>
      <rPr>
        <sz val="10"/>
        <color rgb="FF0000FF"/>
        <rFont val="Noto Sans CJK SC"/>
        <family val="2"/>
      </rPr>
      <t xml:space="preserve">期）。延床面積・竣工年月等の建物概要は短信非掲載のため有報で補完予定</t>
    </r>
  </si>
  <si>
    <t xml:space="preserve">JEI-10</t>
  </si>
  <si>
    <r>
      <rPr>
        <sz val="10"/>
        <color rgb="FF0000FF"/>
        <rFont val="Arial"/>
        <family val="0"/>
        <charset val="1"/>
      </rPr>
      <t xml:space="preserve">BIZCORE</t>
    </r>
    <r>
      <rPr>
        <sz val="10"/>
        <color rgb="FF0000FF"/>
        <rFont val="Noto Sans CJK SC"/>
        <family val="2"/>
      </rPr>
      <t xml:space="preserve">赤坂見附</t>
    </r>
  </si>
  <si>
    <t xml:space="preserve">港区赤坂3-1-2</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</si>
  <si>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-17</t>
    </r>
    <r>
      <rPr>
        <sz val="10"/>
        <color rgb="FF0000FF"/>
        <rFont val="Noto Sans CJK SC"/>
        <family val="2"/>
      </rPr>
      <t xml:space="preserve">。</t>
    </r>
    <r>
      <rPr>
        <sz val="10"/>
        <color rgb="FF0000FF"/>
        <rFont val="Arial"/>
        <family val="0"/>
        <charset val="1"/>
      </rPr>
      <t xml:space="preserve">2026/7/3</t>
    </r>
    <r>
      <rPr>
        <sz val="10"/>
        <color rgb="FF0000FF"/>
        <rFont val="Noto Sans CJK SC"/>
        <family val="2"/>
      </rPr>
      <t xml:space="preserve">譲渡予定（</t>
    </r>
    <r>
      <rPr>
        <sz val="10"/>
        <color rgb="FF0000FF"/>
        <rFont val="Arial"/>
        <family val="0"/>
        <charset val="1"/>
      </rPr>
      <t xml:space="preserve">6,450</t>
    </r>
    <r>
      <rPr>
        <sz val="10"/>
        <color rgb="FF0000FF"/>
        <rFont val="Noto Sans CJK SC"/>
        <family val="2"/>
      </rPr>
      <t xml:space="preserve">百万円）。期末算定価額は譲渡価格。延床面積・竣工年月等の建物概要は短信非掲載のため有報で補完予定</t>
    </r>
  </si>
  <si>
    <t xml:space="preserve">JEI-11</t>
  </si>
  <si>
    <r>
      <rPr>
        <sz val="10"/>
        <color rgb="FF0000FF"/>
        <rFont val="Arial"/>
        <family val="0"/>
        <charset val="1"/>
      </rPr>
      <t xml:space="preserve">BIZCORE</t>
    </r>
    <r>
      <rPr>
        <sz val="10"/>
        <color rgb="FF0000FF"/>
        <rFont val="Noto Sans CJK SC"/>
        <family val="2"/>
      </rPr>
      <t xml:space="preserve">神保町</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</si>
  <si>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-18</t>
    </r>
    <r>
      <rPr>
        <sz val="10"/>
        <color rgb="FF0000FF"/>
        <rFont val="Noto Sans CJK SC"/>
        <family val="2"/>
      </rPr>
      <t xml:space="preserve">。一元運用区画のため稼働率と収益は必ずしも相関せず。</t>
    </r>
    <r>
      <rPr>
        <sz val="10"/>
        <color rgb="FF0000FF"/>
        <rFont val="Arial"/>
        <family val="0"/>
        <charset val="1"/>
      </rPr>
      <t xml:space="preserve">2025/9</t>
    </r>
    <r>
      <rPr>
        <sz val="10"/>
        <color rgb="FF0000FF"/>
        <rFont val="Noto Sans CJK SC"/>
        <family val="2"/>
      </rPr>
      <t xml:space="preserve">持分追加取得。延床面積・竣工年月等の建物概要は短信非掲載のため有報で補完予定</t>
    </r>
  </si>
  <si>
    <t xml:space="preserve">JEI-12</t>
  </si>
  <si>
    <r>
      <rPr>
        <sz val="10"/>
        <color rgb="FF0000FF"/>
        <rFont val="Arial"/>
        <family val="0"/>
        <charset val="1"/>
      </rPr>
      <t xml:space="preserve">BIZCORE</t>
    </r>
    <r>
      <rPr>
        <sz val="10"/>
        <color rgb="FF0000FF"/>
        <rFont val="Noto Sans CJK SC"/>
        <family val="2"/>
      </rPr>
      <t xml:space="preserve">渋谷</t>
    </r>
  </si>
  <si>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-19</t>
    </r>
    <r>
      <rPr>
        <sz val="10"/>
        <color rgb="FF0000FF"/>
        <rFont val="Noto Sans CJK SC"/>
        <family val="2"/>
      </rPr>
      <t xml:space="preserve">。延床面積・竣工年月等の建物概要は短信非掲載のため有報で補完予定</t>
    </r>
  </si>
  <si>
    <t xml:space="preserve">JEI-13</t>
  </si>
  <si>
    <r>
      <rPr>
        <sz val="10"/>
        <color rgb="FF0000FF"/>
        <rFont val="Arial"/>
        <family val="0"/>
        <charset val="1"/>
      </rPr>
      <t xml:space="preserve">BIZCORE</t>
    </r>
    <r>
      <rPr>
        <sz val="10"/>
        <color rgb="FF0000FF"/>
        <rFont val="Noto Sans CJK SC"/>
        <family val="2"/>
      </rPr>
      <t xml:space="preserve">築地</t>
    </r>
  </si>
  <si>
    <t xml:space="preserve">中央区</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</si>
  <si>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-20</t>
    </r>
    <r>
      <rPr>
        <sz val="10"/>
        <color rgb="FF0000FF"/>
        <rFont val="Noto Sans CJK SC"/>
        <family val="2"/>
      </rPr>
      <t xml:space="preserve">。延床面積・竣工年月等の建物概要は短信非掲載のため有報で補完予定</t>
    </r>
  </si>
  <si>
    <t xml:space="preserve">JEI-14</t>
  </si>
  <si>
    <t xml:space="preserve">大崎ブライトタワー・大崎ブライトプラザ</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</si>
  <si>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-21</t>
    </r>
    <r>
      <rPr>
        <sz val="10"/>
        <color rgb="FF0000FF"/>
        <rFont val="Noto Sans CJK SC"/>
        <family val="2"/>
      </rPr>
      <t xml:space="preserve">。</t>
    </r>
    <r>
      <rPr>
        <sz val="10"/>
        <color rgb="FF0000FF"/>
        <rFont val="Arial"/>
        <family val="0"/>
        <charset val="1"/>
      </rPr>
      <t xml:space="preserve">3</t>
    </r>
    <r>
      <rPr>
        <sz val="10"/>
        <color rgb="FF0000FF"/>
        <rFont val="Noto Sans CJK SC"/>
        <family val="2"/>
      </rPr>
      <t xml:space="preserve">区画構成・一元運用区画あり。延床面積・竣工年月等の建物概要は短信非掲載のため有報で補完予定</t>
    </r>
  </si>
  <si>
    <t xml:space="preserve">JEI-15</t>
  </si>
  <si>
    <t xml:space="preserve">アークヒルズフロントタワー</t>
  </si>
  <si>
    <r>
      <rPr>
        <sz val="10"/>
        <color rgb="FF0000FF"/>
        <rFont val="Arial"/>
        <family val="0"/>
        <charset val="1"/>
      </rPr>
      <t xml:space="preserve">JEI</t>
    </r>
    <r>
      <rPr>
        <sz val="10"/>
        <color rgb="FF0000FF"/>
        <rFont val="Noto Sans CJK SC"/>
        <family val="2"/>
      </rPr>
      <t xml:space="preserve">物件番号Ⅰ</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月取得。延床面積・竣工年月等の建物概要は短信非掲載のため有報で補完予定</t>
    </r>
  </si>
  <si>
    <t xml:space="preserve">JEI-16</t>
  </si>
  <si>
    <r>
      <rPr>
        <sz val="10"/>
        <color rgb="FF0000FF"/>
        <rFont val="Arial"/>
        <family val="0"/>
        <charset val="1"/>
      </rPr>
      <t xml:space="preserve">NHK</t>
    </r>
    <r>
      <rPr>
        <sz val="10"/>
        <color rgb="FF0000FF"/>
        <rFont val="Noto Sans CJK SC"/>
        <family val="2"/>
      </rPr>
      <t xml:space="preserve">名古屋放送センタービル</t>
    </r>
  </si>
  <si>
    <t xml:space="preserve">名古屋市</t>
  </si>
  <si>
    <r>
      <rPr>
        <sz val="10"/>
        <color rgb="FF0000FF"/>
        <rFont val="Arial"/>
        <family val="0"/>
        <charset val="1"/>
      </rPr>
      <t xml:space="preserve">JEI</t>
    </r>
    <r>
      <rPr>
        <sz val="10"/>
        <color rgb="FF0000FF"/>
        <rFont val="Noto Sans CJK SC"/>
        <family val="2"/>
      </rPr>
      <t xml:space="preserve">物件番号Ⅱ</t>
    </r>
    <r>
      <rPr>
        <sz val="10"/>
        <color rgb="FF0000FF"/>
        <rFont val="Arial"/>
        <family val="0"/>
        <charset val="1"/>
      </rPr>
      <t xml:space="preserve">-1</t>
    </r>
    <r>
      <rPr>
        <sz val="10"/>
        <color rgb="FF0000FF"/>
        <rFont val="Noto Sans CJK SC"/>
        <family val="2"/>
      </rPr>
      <t xml:space="preserve">。延床面積・竣工年月等の建物概要は短信非掲載のため有報で補完予定</t>
    </r>
  </si>
  <si>
    <t xml:space="preserve">JEI-17</t>
  </si>
  <si>
    <t xml:space="preserve">グランフロント大阪（うめきた広場・南館）</t>
  </si>
  <si>
    <t xml:space="preserve">大阪市</t>
  </si>
  <si>
    <r>
      <rPr>
        <sz val="10"/>
        <color rgb="FF0000FF"/>
        <rFont val="Arial"/>
        <family val="0"/>
        <charset val="1"/>
      </rPr>
      <t xml:space="preserve">JEI</t>
    </r>
    <r>
      <rPr>
        <sz val="10"/>
        <color rgb="FF0000FF"/>
        <rFont val="Noto Sans CJK SC"/>
        <family val="2"/>
      </rPr>
      <t xml:space="preserve">物件番号Ⅱ</t>
    </r>
    <r>
      <rPr>
        <sz val="10"/>
        <color rgb="FF0000FF"/>
        <rFont val="Arial"/>
        <family val="0"/>
        <charset val="1"/>
      </rPr>
      <t xml:space="preserve">-4</t>
    </r>
    <r>
      <rPr>
        <sz val="10"/>
        <color rgb="FF0000FF"/>
        <rFont val="Noto Sans CJK SC"/>
        <family val="2"/>
      </rPr>
      <t xml:space="preserve">。延床面積・竣工年月等の建物概要は短信非掲載のため有報で補完予定</t>
    </r>
  </si>
  <si>
    <t xml:space="preserve">JEI-18</t>
  </si>
  <si>
    <t xml:space="preserve">グランフロント大阪（北館）</t>
  </si>
  <si>
    <r>
      <rPr>
        <sz val="10"/>
        <color rgb="FF0000FF"/>
        <rFont val="Arial"/>
        <family val="0"/>
        <charset val="1"/>
      </rPr>
      <t xml:space="preserve">JEI</t>
    </r>
    <r>
      <rPr>
        <sz val="10"/>
        <color rgb="FF0000FF"/>
        <rFont val="Noto Sans CJK SC"/>
        <family val="2"/>
      </rPr>
      <t xml:space="preserve">物件番号Ⅱ</t>
    </r>
    <r>
      <rPr>
        <sz val="10"/>
        <color rgb="FF0000FF"/>
        <rFont val="Arial"/>
        <family val="0"/>
        <charset val="1"/>
      </rPr>
      <t xml:space="preserve">-5</t>
    </r>
    <r>
      <rPr>
        <sz val="10"/>
        <color rgb="FF0000FF"/>
        <rFont val="Noto Sans CJK SC"/>
        <family val="2"/>
      </rPr>
      <t xml:space="preserve">。</t>
    </r>
    <r>
      <rPr>
        <sz val="10"/>
        <color rgb="FF0000FF"/>
        <rFont val="Arial"/>
        <family val="0"/>
        <charset val="1"/>
      </rPr>
      <t xml:space="preserve">KMO</t>
    </r>
    <r>
      <rPr>
        <sz val="10"/>
        <color rgb="FF0000FF"/>
        <rFont val="Noto Sans CJK SC"/>
        <family val="2"/>
      </rPr>
      <t xml:space="preserve">株式・ナレッジキャピタル基金返還請求権を付随保有。延床面積・竣工年月等の建物概要は短信非掲載のため有報で補完予定</t>
    </r>
  </si>
  <si>
    <t xml:space="preserve">JEI-19</t>
  </si>
  <si>
    <t xml:space="preserve">武蔵小杉タワープレイス</t>
  </si>
  <si>
    <t xml:space="preserve">川崎市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</si>
  <si>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t>
    </r>
    <r>
      <rPr>
        <sz val="10"/>
        <color rgb="FF0000FF"/>
        <rFont val="Noto Sans CJK SC"/>
        <family val="2"/>
      </rPr>
      <t xml:space="preserve">。延床面積・竣工年月等の建物概要は短信非掲載のため有報で補完予定</t>
    </r>
  </si>
  <si>
    <t xml:space="preserve">JEI-20</t>
  </si>
  <si>
    <t xml:space="preserve">川崎日進町ビルディング</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</si>
  <si>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-5</t>
    </r>
    <r>
      <rPr>
        <sz val="10"/>
        <color rgb="FF0000FF"/>
        <rFont val="Noto Sans CJK SC"/>
        <family val="2"/>
      </rPr>
      <t xml:space="preserve">。延床面積・竣工年月等の建物概要は短信非掲載のため有報で補完予定</t>
    </r>
  </si>
  <si>
    <t xml:space="preserve">JEI-21</t>
  </si>
  <si>
    <r>
      <rPr>
        <sz val="10"/>
        <color rgb="FF0000FF"/>
        <rFont val="Arial"/>
        <family val="0"/>
        <charset val="1"/>
      </rPr>
      <t xml:space="preserve">JEI</t>
    </r>
    <r>
      <rPr>
        <sz val="10"/>
        <color rgb="FF0000FF"/>
        <rFont val="Noto Sans CJK SC"/>
        <family val="2"/>
      </rPr>
      <t xml:space="preserve">両国ビル</t>
    </r>
  </si>
  <si>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-7</t>
    </r>
    <r>
      <rPr>
        <sz val="10"/>
        <color rgb="FF0000FF"/>
        <rFont val="Noto Sans CJK SC"/>
        <family val="2"/>
      </rPr>
      <t xml:space="preserve">。延床面積・竣工年月等の建物概要は短信非掲載のため有報で補完予定</t>
    </r>
  </si>
  <si>
    <t xml:space="preserve">JEI-22</t>
  </si>
  <si>
    <t xml:space="preserve">コアシティ立川</t>
  </si>
  <si>
    <t xml:space="preserve">立川市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</si>
  <si>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-11</t>
    </r>
    <r>
      <rPr>
        <sz val="10"/>
        <color rgb="FF0000FF"/>
        <rFont val="Noto Sans CJK SC"/>
        <family val="2"/>
      </rPr>
      <t xml:space="preserve">。延床面積・竣工年月等の建物概要は短信非掲載のため有報で補完予定</t>
    </r>
  </si>
  <si>
    <t xml:space="preserve">JEI-23</t>
  </si>
  <si>
    <t xml:space="preserve">日石横浜ビル</t>
  </si>
  <si>
    <t xml:space="preserve">横浜市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</si>
  <si>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-12</t>
    </r>
    <r>
      <rPr>
        <sz val="10"/>
        <color rgb="FF0000FF"/>
        <rFont val="Noto Sans CJK SC"/>
        <family val="2"/>
      </rPr>
      <t xml:space="preserve">。主要な不動産等（賃貸事業収益の</t>
    </r>
    <r>
      <rPr>
        <sz val="10"/>
        <color rgb="FF0000FF"/>
        <rFont val="Arial"/>
        <family val="0"/>
        <charset val="1"/>
      </rPr>
      <t xml:space="preserve">10%</t>
    </r>
    <r>
      <rPr>
        <sz val="10"/>
        <color rgb="FF0000FF"/>
        <rFont val="Noto Sans CJK SC"/>
        <family val="2"/>
      </rPr>
      <t xml:space="preserve">以上）。延床面積・竣工年月等の建物概要は短信非掲載のため有報で補完予定</t>
    </r>
  </si>
  <si>
    <t xml:space="preserve">JEI-24</t>
  </si>
  <si>
    <t xml:space="preserve">横浜弁天通第一生命ビルディング</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</si>
  <si>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-13</t>
    </r>
    <r>
      <rPr>
        <sz val="10"/>
        <color rgb="FF0000FF"/>
        <rFont val="Noto Sans CJK SC"/>
        <family val="2"/>
      </rPr>
      <t xml:space="preserve">。延床面積・竣工年月等の建物概要は短信非掲載のため有報で補完予定</t>
    </r>
  </si>
  <si>
    <t xml:space="preserve">JEI-25</t>
  </si>
  <si>
    <t xml:space="preserve">新横浜アリーナ通りビル</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</si>
  <si>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-14</t>
    </r>
    <r>
      <rPr>
        <sz val="10"/>
        <color rgb="FF0000FF"/>
        <rFont val="Noto Sans CJK SC"/>
        <family val="2"/>
      </rPr>
      <t xml:space="preserve">。延床面積・竣工年月等の建物概要は短信非掲載のため有報で補完予定</t>
    </r>
  </si>
  <si>
    <t xml:space="preserve">JEI-26</t>
  </si>
  <si>
    <t xml:space="preserve">浦和SHビル</t>
  </si>
  <si>
    <t xml:space="preserve">さいたま市</t>
  </si>
  <si>
    <r>
      <rPr>
        <sz val="10"/>
        <color rgb="FF0000FF"/>
        <rFont val="Arial"/>
        <family val="0"/>
        <charset val="1"/>
      </rPr>
      <t xml:space="preserve">JEI</t>
    </r>
    <r>
      <rPr>
        <sz val="10"/>
        <color rgb="FF0000FF"/>
        <rFont val="Noto Sans CJK SC"/>
        <family val="2"/>
      </rPr>
      <t xml:space="preserve">物件番号Ⅲ</t>
    </r>
    <r>
      <rPr>
        <sz val="10"/>
        <color rgb="FF0000FF"/>
        <rFont val="Arial"/>
        <family val="0"/>
        <charset val="1"/>
      </rPr>
      <t xml:space="preserve">-15</t>
    </r>
    <r>
      <rPr>
        <sz val="10"/>
        <color rgb="FF0000FF"/>
        <rFont val="Noto Sans CJK SC"/>
        <family val="2"/>
      </rPr>
      <t xml:space="preserve">。</t>
    </r>
    <r>
      <rPr>
        <sz val="10"/>
        <color rgb="FF0000FF"/>
        <rFont val="Arial"/>
        <family val="0"/>
        <charset val="1"/>
      </rPr>
      <t xml:space="preserve">2025/10</t>
    </r>
    <r>
      <rPr>
        <sz val="10"/>
        <color rgb="FF0000FF"/>
        <rFont val="Noto Sans CJK SC"/>
        <family val="2"/>
      </rPr>
      <t xml:space="preserve">取得。延床面積・竣工年月等の建物概要は短信非掲載のため有報で補完予定</t>
    </r>
  </si>
  <si>
    <t xml:space="preserve">JEI-27</t>
  </si>
  <si>
    <r>
      <rPr>
        <sz val="10"/>
        <color rgb="FF0000FF"/>
        <rFont val="Arial"/>
        <family val="0"/>
        <charset val="1"/>
      </rPr>
      <t xml:space="preserve">JEI</t>
    </r>
    <r>
      <rPr>
        <sz val="10"/>
        <color rgb="FF0000FF"/>
        <rFont val="Noto Sans CJK SC"/>
        <family val="2"/>
      </rPr>
      <t xml:space="preserve">広島八丁堀ビル</t>
    </r>
  </si>
  <si>
    <t xml:space="preserve">広島県</t>
  </si>
  <si>
    <t xml:space="preserve">広島市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</si>
  <si>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-3</t>
    </r>
    <r>
      <rPr>
        <sz val="10"/>
        <color rgb="FF0000FF"/>
        <rFont val="Noto Sans CJK SC"/>
        <family val="2"/>
      </rPr>
      <t xml:space="preserve">。延床面積・竣工年月等の建物概要は短信非掲載のため有報で補完予定</t>
    </r>
  </si>
  <si>
    <t xml:space="preserve">JEI-28</t>
  </si>
  <si>
    <r>
      <rPr>
        <sz val="10"/>
        <color rgb="FF0000FF"/>
        <rFont val="Arial"/>
        <family val="0"/>
        <charset val="1"/>
      </rPr>
      <t xml:space="preserve">SE</t>
    </r>
    <r>
      <rPr>
        <sz val="10"/>
        <color rgb="FF0000FF"/>
        <rFont val="Noto Sans CJK SC"/>
        <family val="2"/>
      </rPr>
      <t xml:space="preserve">札幌ビル</t>
    </r>
  </si>
  <si>
    <t xml:space="preserve">札幌市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</si>
  <si>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-4</t>
    </r>
    <r>
      <rPr>
        <sz val="10"/>
        <color rgb="FF0000FF"/>
        <rFont val="Noto Sans CJK SC"/>
        <family val="2"/>
      </rPr>
      <t xml:space="preserve">。延床面積・竣工年月等の建物概要は短信非掲載のため有報で補完予定</t>
    </r>
  </si>
  <si>
    <t xml:space="preserve">JEI-29</t>
  </si>
  <si>
    <t xml:space="preserve">青葉通プラザ</t>
  </si>
  <si>
    <t xml:space="preserve">宮城県</t>
  </si>
  <si>
    <t xml:space="preserve">仙台市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</si>
  <si>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-5</t>
    </r>
    <r>
      <rPr>
        <sz val="10"/>
        <color rgb="FF0000FF"/>
        <rFont val="Noto Sans CJK SC"/>
        <family val="2"/>
      </rPr>
      <t xml:space="preserve">。</t>
    </r>
    <r>
      <rPr>
        <sz val="10"/>
        <color rgb="FF0000FF"/>
        <rFont val="Arial"/>
        <family val="0"/>
        <charset val="1"/>
      </rPr>
      <t xml:space="preserve">PML</t>
    </r>
    <r>
      <rPr>
        <sz val="10"/>
        <color rgb="FF0000FF"/>
        <rFont val="Noto Sans CJK SC"/>
        <family val="2"/>
      </rPr>
      <t xml:space="preserve">は</t>
    </r>
    <r>
      <rPr>
        <sz val="10"/>
        <color rgb="FF0000FF"/>
        <rFont val="Arial"/>
        <family val="0"/>
        <charset val="1"/>
      </rPr>
      <t xml:space="preserve">0.1%</t>
    </r>
    <r>
      <rPr>
        <sz val="10"/>
        <color rgb="FF0000FF"/>
        <rFont val="Noto Sans CJK SC"/>
        <family val="2"/>
      </rPr>
      <t xml:space="preserve">未満。延床面積・竣工年月等の建物概要は短信非掲載のため有報で補完予定</t>
    </r>
  </si>
  <si>
    <t xml:space="preserve">JEI-30</t>
  </si>
  <si>
    <t xml:space="preserve">大和南森町ビル</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</si>
  <si>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-6</t>
    </r>
    <r>
      <rPr>
        <sz val="10"/>
        <color rgb="FF0000FF"/>
        <rFont val="Noto Sans CJK SC"/>
        <family val="2"/>
      </rPr>
      <t xml:space="preserve">。延床面積・竣工年月等の建物概要は短信非掲載のため有報で補完予定</t>
    </r>
  </si>
  <si>
    <t xml:space="preserve">JEI-31</t>
  </si>
  <si>
    <r>
      <rPr>
        <sz val="10"/>
        <color rgb="FF0000FF"/>
        <rFont val="Arial"/>
        <family val="0"/>
        <charset val="1"/>
      </rPr>
      <t xml:space="preserve">JEI</t>
    </r>
    <r>
      <rPr>
        <sz val="10"/>
        <color rgb="FF0000FF"/>
        <rFont val="Noto Sans CJK SC"/>
        <family val="2"/>
      </rPr>
      <t xml:space="preserve">那覇ビル</t>
    </r>
  </si>
  <si>
    <t xml:space="preserve">沖縄県</t>
  </si>
  <si>
    <t xml:space="preserve">那覇市</t>
  </si>
  <si>
    <t xml:space="preserve">その他地方都市</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</si>
  <si>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-7</t>
    </r>
    <r>
      <rPr>
        <sz val="10"/>
        <color rgb="FF0000FF"/>
        <rFont val="Noto Sans CJK SC"/>
        <family val="2"/>
      </rPr>
      <t xml:space="preserve">。延床面積・竣工年月等の建物概要は短信非掲載のため有報で補完予定</t>
    </r>
  </si>
  <si>
    <t xml:space="preserve">JEI-32</t>
  </si>
  <si>
    <t xml:space="preserve">広島第一生命OSビルディング</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</si>
  <si>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-8</t>
    </r>
    <r>
      <rPr>
        <sz val="10"/>
        <color rgb="FF0000FF"/>
        <rFont val="Noto Sans CJK SC"/>
        <family val="2"/>
      </rPr>
      <t xml:space="preserve">。延床面積・竣工年月等の建物概要は短信非掲載のため有報で補完予定</t>
    </r>
  </si>
  <si>
    <t xml:space="preserve">JEI-33</t>
  </si>
  <si>
    <t xml:space="preserve">札幌大手町ビル</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</si>
  <si>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-10</t>
    </r>
    <r>
      <rPr>
        <sz val="10"/>
        <color rgb="FF0000FF"/>
        <rFont val="Noto Sans CJK SC"/>
        <family val="2"/>
      </rPr>
      <t xml:space="preserve">。延床面積・竣工年月等の建物概要は短信非掲載のため有報で補完予定</t>
    </r>
  </si>
  <si>
    <t xml:space="preserve">JEI-34</t>
  </si>
  <si>
    <t xml:space="preserve">仙信ビル</t>
  </si>
  <si>
    <r>
      <rPr>
        <sz val="10"/>
        <color rgb="FF0000FF"/>
        <rFont val="Arial"/>
        <family val="0"/>
        <charset val="1"/>
      </rPr>
      <t xml:space="preserve">JEI</t>
    </r>
    <r>
      <rPr>
        <sz val="10"/>
        <color rgb="FF0000FF"/>
        <rFont val="Noto Sans CJK SC"/>
        <family val="2"/>
      </rPr>
      <t xml:space="preserve">物件番号Ⅳ</t>
    </r>
    <r>
      <rPr>
        <sz val="10"/>
        <color rgb="FF0000FF"/>
        <rFont val="Arial"/>
        <family val="0"/>
        <charset val="1"/>
      </rPr>
      <t xml:space="preserve">-9</t>
    </r>
    <r>
      <rPr>
        <sz val="10"/>
        <color rgb="FF0000FF"/>
        <rFont val="Noto Sans CJK SC"/>
        <family val="2"/>
      </rPr>
      <t xml:space="preserve">。</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月売却（売却損</t>
    </r>
    <r>
      <rPr>
        <sz val="10"/>
        <color rgb="FF0000FF"/>
        <rFont val="Arial"/>
        <family val="0"/>
        <charset val="1"/>
      </rPr>
      <t xml:space="preserve">49</t>
    </r>
    <r>
      <rPr>
        <sz val="10"/>
        <color rgb="FF0000FF"/>
        <rFont val="Noto Sans CJK SC"/>
        <family val="2"/>
      </rPr>
      <t xml:space="preserve">百万円計上）。老朽化・低稼働のため入替。延床面積・竣工年月等の建物概要は短信非掲載のため有報で補完予定</t>
    </r>
  </si>
  <si>
    <t xml:space="preserve">JEI-ALL</t>
  </si>
  <si>
    <t xml:space="preserve">【JEIポートフォリオ全体】</t>
  </si>
  <si>
    <r>
      <rPr>
        <sz val="10"/>
        <color rgb="FF0000FF"/>
        <rFont val="Arial"/>
        <family val="0"/>
        <charset val="1"/>
      </rPr>
      <t xml:space="preserve">33</t>
    </r>
    <r>
      <rPr>
        <sz val="10"/>
        <color rgb="FF0000FF"/>
        <rFont val="Noto Sans CJK SC"/>
        <family val="2"/>
      </rPr>
      <t xml:space="preserve">物件（</t>
    </r>
    <r>
      <rPr>
        <sz val="10"/>
        <color rgb="FF0000FF"/>
        <rFont val="Arial"/>
        <family val="0"/>
        <charset val="1"/>
      </rPr>
      <t xml:space="preserve">2025/12/31</t>
    </r>
    <r>
      <rPr>
        <sz val="10"/>
        <color rgb="FF0000FF"/>
        <rFont val="Noto Sans CJK SC"/>
        <family val="2"/>
      </rPr>
      <t xml:space="preserve">時点）</t>
    </r>
  </si>
  <si>
    <t xml:space="preserve">取得価格・帳簿・鑑定は33物件計。鑑定合計は直接還元価格ベース351,603百万円</t>
  </si>
  <si>
    <t xml:space="preserve">DOI-01</t>
  </si>
  <si>
    <t xml:space="preserve">Ｄａｉｗａ銀座ビル</t>
  </si>
  <si>
    <r>
      <rPr>
        <sz val="10"/>
        <color rgb="FF0000FF"/>
        <rFont val="Arial"/>
        <family val="0"/>
        <charset val="1"/>
      </rPr>
      <t xml:space="preserve">DOI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(2026/7/17</t>
    </r>
    <r>
      <rPr>
        <sz val="10"/>
        <color rgb="FF0000FF"/>
        <rFont val="Noto Sans CJK SC"/>
        <family val="2"/>
      </rPr>
      <t xml:space="preserve">公表</t>
    </r>
    <r>
      <rPr>
        <sz val="10"/>
        <color rgb="FF0000FF"/>
        <rFont val="Arial"/>
        <family val="0"/>
        <charset val="1"/>
      </rPr>
      <t xml:space="preserve">)</t>
    </r>
  </si>
  <si>
    <t xml:space="preserve">構造SRC、鑑定直接還元利回り3.6%。延床面積は短信非掲載(賃貸可能面積を収録)、住所詳細は有報で補完予定</t>
  </si>
  <si>
    <t xml:space="preserve">DOI-02</t>
  </si>
  <si>
    <t xml:space="preserve">Ｄａｉｗａ銀座アネックス</t>
  </si>
  <si>
    <t xml:space="preserve">DOI-03</t>
  </si>
  <si>
    <t xml:space="preserve">Ｄａｉｗａ芝浦ビル</t>
  </si>
  <si>
    <t xml:space="preserve">構造SRC、鑑定直接還元利回り3.7%。延床面積は短信非掲載(賃貸可能面積を収録)、住所詳細は有報で補完予定</t>
  </si>
  <si>
    <t xml:space="preserve">DOI-04</t>
  </si>
  <si>
    <t xml:space="preserve">Ｄａｉｗａ猿楽町ビル</t>
  </si>
  <si>
    <t xml:space="preserve">構造SRC。2025/10決定の2期分割譲渡。準共有持分50%を2025/11期・残り50%を2026/5/29譲渡(各2,550百万円、当期売却益857百万円)。延床面積は短信非掲載(賃貸可能面積を収録)、住所詳細は有報で補完予定</t>
  </si>
  <si>
    <t xml:space="preserve">DOI-05</t>
  </si>
  <si>
    <t xml:space="preserve">ＤａｉｗａＡ浜松町ビル</t>
  </si>
  <si>
    <t xml:space="preserve">構造SRC、鑑定直接還元利回り3.5%。持分に係る数値。延床面積は短信非掲載(賃貸可能面積を収録)、住所詳細は有報で補完予定</t>
  </si>
  <si>
    <t xml:space="preserve">DOI-06</t>
  </si>
  <si>
    <t xml:space="preserve">Ｄａｉｗａ神宮前ビル</t>
  </si>
  <si>
    <t xml:space="preserve">構造RC、鑑定直接還元利回り3.5%。延床面積は短信非掲載(賃貸可能面積を収録)、住所詳細は有報で補完予定</t>
  </si>
  <si>
    <t xml:space="preserve">DOI-07</t>
  </si>
  <si>
    <t xml:space="preserve">Ｄａｉｗａ芝大門ビル</t>
  </si>
  <si>
    <t xml:space="preserve">構造SRC・RC、鑑定直接還元利回り3.4%。延床面積は短信非掲載(賃貸可能面積を収録)、住所詳細は有報で補完予定</t>
  </si>
  <si>
    <t xml:space="preserve">DOI-08</t>
  </si>
  <si>
    <t xml:space="preserve">Ｄａｉｗａ三崎町ビル</t>
  </si>
  <si>
    <t xml:space="preserve">構造S、鑑定直接還元利回り3.7%。延床面積は短信非掲載(賃貸可能面積を収録)、住所詳細は有報で補完予定</t>
  </si>
  <si>
    <t xml:space="preserve">DOI-09</t>
  </si>
  <si>
    <t xml:space="preserve">Ｄａｉｗａ築地駅前ビル</t>
  </si>
  <si>
    <t xml:space="preserve">構造SRC、鑑定直接還元利回り3.9%。延床面積は短信非掲載(賃貸可能面積を収録)、住所詳細は有報で補完予定</t>
  </si>
  <si>
    <t xml:space="preserve">DOI-10</t>
  </si>
  <si>
    <t xml:space="preserve">Ｄａｉｗａ築地ビル</t>
  </si>
  <si>
    <t xml:space="preserve">構造SRC、鑑定直接還元利回り3.8%。延床面積は短信非掲載(賃貸可能面積を収録)、住所詳細は有報で補完予定</t>
  </si>
  <si>
    <t xml:space="preserve">DOI-11</t>
  </si>
  <si>
    <t xml:space="preserve">Ｄａｉｗａ日本橋堀留町ビル</t>
  </si>
  <si>
    <t xml:space="preserve">DOI-12</t>
  </si>
  <si>
    <t xml:space="preserve">Ｄａｉｗａ麻布台ビル</t>
  </si>
  <si>
    <t xml:space="preserve">構造SRC。2026/3/27譲渡(2,240百万円、売却益634百万円)。延床面積は短信非掲載(賃貸可能面積を収録)、住所詳細は有報で補完予定</t>
  </si>
  <si>
    <t xml:space="preserve">DOI-13</t>
  </si>
  <si>
    <t xml:space="preserve">新宿マインズタワー</t>
  </si>
  <si>
    <t xml:space="preserve">構造S・SRC、鑑定直接還元利回り2.8%。全体の7分の3共有持分(面積・価額は持分按分、直接還元価格は一棟全体)。所在は渋谷区代々木。別途一棟の7分の1相当の匿名組合出資持分(合同会社新宿マインズタワー)3,746百万円を保有。延床面積は短信非掲載(賃貸可能面積を収録)、住所詳細は有報で補完予定</t>
  </si>
  <si>
    <t xml:space="preserve">DOI-14</t>
  </si>
  <si>
    <t xml:space="preserve">Ｄａｉｗａ小伝馬町ビル</t>
  </si>
  <si>
    <t xml:space="preserve">構造SRC、鑑定直接還元利回り4.0%。延床面積は短信非掲載(賃貸可能面積を収録)、住所詳細は有報で補完予定</t>
  </si>
  <si>
    <t xml:space="preserve">DOI-15</t>
  </si>
  <si>
    <t xml:space="preserve">Ｄａｉｗａ西新橋ビル</t>
  </si>
  <si>
    <t xml:space="preserve">構造SRC、鑑定直接還元利回り3.3%。延床面積は短信非掲載(賃貸可能面積を収録)、住所詳細は有報で補完予定</t>
  </si>
  <si>
    <t xml:space="preserve">DOI-16</t>
  </si>
  <si>
    <t xml:space="preserve">大和茅場町ビル</t>
  </si>
  <si>
    <t xml:space="preserve">構造S・SRC、鑑定直接還元利回り3.1%。延床面積は短信非掲載(賃貸可能面積を収録)、住所詳細は有報で補完予定</t>
  </si>
  <si>
    <t xml:space="preserve">DOI-17</t>
  </si>
  <si>
    <t xml:space="preserve">Ｄａｉｗａ神保町３丁目ビル</t>
  </si>
  <si>
    <t xml:space="preserve">構造S、鑑定直接還元利回り3.1%。延床面積は短信非掲載(賃貸可能面積を収録)、住所詳細は有報で補完予定</t>
  </si>
  <si>
    <t xml:space="preserve">DOI-18</t>
  </si>
  <si>
    <t xml:space="preserve">Ｅ・スペースタワー</t>
  </si>
  <si>
    <t xml:space="preserve">構造S・SRC、鑑定直接還元利回り2.8%。延床面積は短信非掲載(賃貸可能面積を収録)、住所詳細は有報で補完予定</t>
  </si>
  <si>
    <t xml:space="preserve">DOI-19</t>
  </si>
  <si>
    <t xml:space="preserve">Ｄａｉｗａ日本橋本石町ビル</t>
  </si>
  <si>
    <t xml:space="preserve">DOI-20</t>
  </si>
  <si>
    <t xml:space="preserve">新四ｃｕｒｕｍｕビル</t>
  </si>
  <si>
    <t xml:space="preserve">新宿区</t>
  </si>
  <si>
    <t xml:space="preserve">構造S・RC、鑑定直接還元利回り3.0%。延床面積は短信非掲載(賃貸可能面積を収録)、住所詳細は有報で補完予定</t>
  </si>
  <si>
    <t xml:space="preserve">DOI-21</t>
  </si>
  <si>
    <t xml:space="preserve">Ｄａｉｗａ赤坂ビル</t>
  </si>
  <si>
    <t xml:space="preserve">構造SRC、鑑定直接還元利回り3.0%。延床面積は短信非掲載(賃貸可能面積を収録)、住所詳細は有報で補完予定</t>
  </si>
  <si>
    <t xml:space="preserve">DOI-22</t>
  </si>
  <si>
    <t xml:space="preserve">Ｄａｉｗａ渋谷宮益坂ビル</t>
  </si>
  <si>
    <t xml:space="preserve">構造S、鑑定直接還元利回り3.1%。2024年5月以降、再開発組合から家賃損失補償を受領(賃貸面積・稼働率は補償部分込み)。延床面積は短信非掲載(賃貸可能面積を収録)、住所詳細は有報で補完予定</t>
  </si>
  <si>
    <t xml:space="preserve">DOI-23</t>
  </si>
  <si>
    <t xml:space="preserve">Ｄａｉｗａ麻布テラス</t>
  </si>
  <si>
    <t xml:space="preserve">構造S・RC、鑑定直接還元利回り3.3%。延床面積は短信非掲載(賃貸可能面積を収録)、住所詳細は有報で補完予定</t>
  </si>
  <si>
    <t xml:space="preserve">DOI-24</t>
  </si>
  <si>
    <t xml:space="preserve">Ｄａｉｗａ恵比寿４丁目ビル</t>
  </si>
  <si>
    <t xml:space="preserve">構造SRC、鑑定直接還元利回り3.4%。延床面積は短信非掲載(賃貸可能面積を収録)、住所詳細は有報で補完予定</t>
  </si>
  <si>
    <t xml:space="preserve">DOI-25</t>
  </si>
  <si>
    <t xml:space="preserve">ラクアス東新宿</t>
  </si>
  <si>
    <t xml:space="preserve">DOI-26</t>
  </si>
  <si>
    <t xml:space="preserve">Ｄａｉｗａ青山ビル</t>
  </si>
  <si>
    <t xml:space="preserve">DOI-27</t>
  </si>
  <si>
    <t xml:space="preserve">Ｄａｉｗａ渋谷神泉ビル</t>
  </si>
  <si>
    <t xml:space="preserve">構造RC、鑑定直接還元利回り3.1%。延床面積は短信非掲載(賃貸可能面積を収録)、住所詳細は有報で補完予定</t>
  </si>
  <si>
    <t xml:space="preserve">DOI-28</t>
  </si>
  <si>
    <t xml:space="preserve">Ｄａｉｗａ渋谷スクエア</t>
  </si>
  <si>
    <t xml:space="preserve">DOI-29</t>
  </si>
  <si>
    <t xml:space="preserve">Ｄａｉｗａリバーゲート</t>
  </si>
  <si>
    <t xml:space="preserve">構造S・SRC・RC、鑑定直接還元利回り3.4%。延床面積は短信非掲載(賃貸可能面積を収録)、住所詳細は有報で補完予定</t>
  </si>
  <si>
    <t xml:space="preserve">DOI-30</t>
  </si>
  <si>
    <t xml:space="preserve">Ｄａｉｗａ八丁堀駅前ビル</t>
  </si>
  <si>
    <t xml:space="preserve">構造S・SRC、鑑定直接還元利回り3.3%。延床面積は短信非掲載(賃貸可能面積を収録)、住所詳細は有報で補完予定</t>
  </si>
  <si>
    <t xml:space="preserve">DOI-31</t>
  </si>
  <si>
    <t xml:space="preserve">Ｄａｉｗａ八丁堀駅前ビル西館</t>
  </si>
  <si>
    <t xml:space="preserve">DOI-32</t>
  </si>
  <si>
    <t xml:space="preserve">Ｄａｉｗａ西新宿ビル</t>
  </si>
  <si>
    <t xml:space="preserve">構造SRC・RC・S、鑑定直接還元利回り3.1%。延床面積は短信非掲載(賃貸可能面積を収録)、住所詳細は有報で補完予定</t>
  </si>
  <si>
    <t xml:space="preserve">DOI-33</t>
  </si>
  <si>
    <t xml:space="preserve">キリン日本橋ビル</t>
  </si>
  <si>
    <t xml:space="preserve">構造S・SRC、鑑定直接還元利回り3.6%。延床面積は短信非掲載(賃貸可能面積を収録)、住所詳細は有報で補完予定</t>
  </si>
  <si>
    <t xml:space="preserve">DOI-34</t>
  </si>
  <si>
    <t xml:space="preserve">Ｄａｉｗａ東日本橋ビル</t>
  </si>
  <si>
    <t xml:space="preserve">構造S、鑑定直接還元利回り3.6%。延床面積は短信非掲載(賃貸可能面積を収録)、住所詳細は有報で補完予定</t>
  </si>
  <si>
    <t xml:space="preserve">DOI-35</t>
  </si>
  <si>
    <t xml:space="preserve">Ｄａｉｗａ代官山ビル</t>
  </si>
  <si>
    <t xml:space="preserve">DOI-36</t>
  </si>
  <si>
    <t xml:space="preserve">Ｄａｉｗａ新宿ウエストビル</t>
  </si>
  <si>
    <t xml:space="preserve">構造RC、鑑定直接還元利回り3.6%。延床面積は短信非掲載(賃貸可能面積を収録)、住所詳細は有報で補完予定</t>
  </si>
  <si>
    <t xml:space="preserve">DOI-37</t>
  </si>
  <si>
    <t xml:space="preserve">Ｄａｉｗａ神田美倉町ビル</t>
  </si>
  <si>
    <t xml:space="preserve">構造SRC・S、鑑定直接還元利回り3.7%。延床面積は短信非掲載(賃貸可能面積を収録)、住所詳細は有報で補完予定</t>
  </si>
  <si>
    <t xml:space="preserve">DOI-38</t>
  </si>
  <si>
    <t xml:space="preserve">Ｄａｉｗａ神田イーストビル</t>
  </si>
  <si>
    <t xml:space="preserve">構造S、鑑定直接還元利回り3.2%。延床面積は短信非掲載(賃貸可能面積を収録)、住所詳細は有報で補完予定</t>
  </si>
  <si>
    <t xml:space="preserve">DOI-39</t>
  </si>
  <si>
    <t xml:space="preserve">Ｄａｉｗａ神田須田町ビル</t>
  </si>
  <si>
    <t xml:space="preserve">構造S・RC、鑑定直接還元利回り3.5%。延床面積は短信非掲載(賃貸可能面積を収録)、住所詳細は有報で補完予定</t>
  </si>
  <si>
    <t xml:space="preserve">DOI-40</t>
  </si>
  <si>
    <t xml:space="preserve">Ｄａｉｗａ笹塚タワー</t>
  </si>
  <si>
    <t xml:space="preserve">構造SRC・RC・S、鑑定直接還元利回り3.7%。延床面積は短信非掲載(賃貸可能面積を収録)、住所詳細は有報で補完予定</t>
  </si>
  <si>
    <t xml:space="preserve">DOI-41</t>
  </si>
  <si>
    <t xml:space="preserve">Ｄａｉｗａ笹塚ビル</t>
  </si>
  <si>
    <t xml:space="preserve">構造SRC・S、鑑定直接還元利回り3.8%。延床面積は短信非掲載(賃貸可能面積を収録)、住所詳細は有報で補完予定</t>
  </si>
  <si>
    <t xml:space="preserve">DOI-42</t>
  </si>
  <si>
    <t xml:space="preserve">Ｄａｉｗａ晴海ビル</t>
  </si>
  <si>
    <t xml:space="preserve">構造S、鑑定直接還元利回り3.5%。延床面積は短信非掲載(賃貸可能面積を収録)、住所詳細は有報で補完予定</t>
  </si>
  <si>
    <t xml:space="preserve">DOI-43</t>
  </si>
  <si>
    <t xml:space="preserve">Ｄａｉｗａ三田２丁目ビル</t>
  </si>
  <si>
    <t xml:space="preserve">DOI-44</t>
  </si>
  <si>
    <t xml:space="preserve">日本橋セントラルスクエア</t>
  </si>
  <si>
    <t xml:space="preserve">構造S、鑑定直接還元利回り3.3%。区分所有。ML事業収入の持分は301,220分の183,715(面積は同持分按分、テナント数・稼働率は事業対象部分全体)。延床面積は短信非掲載(賃貸可能面積を収録)、住所詳細は有報で補完予定</t>
  </si>
  <si>
    <t xml:space="preserve">DOI-45</t>
  </si>
  <si>
    <t xml:space="preserve">Ｄａｉｗａ日本橋馬喰町ビル</t>
  </si>
  <si>
    <t xml:space="preserve">構造S、鑑定直接還元利回り3.4%。取得価格は土地取得価格＋建物建築コスト。延床面積は短信非掲載(賃貸可能面積を収録)、住所詳細は有報で補完予定</t>
  </si>
  <si>
    <t xml:space="preserve">DOI-46</t>
  </si>
  <si>
    <t xml:space="preserve">Ｄａｉｗａ神田橋ビル</t>
  </si>
  <si>
    <t xml:space="preserve">DOI-47</t>
  </si>
  <si>
    <t xml:space="preserve">Ｄａｉｗａ秋葉原ビル</t>
  </si>
  <si>
    <t xml:space="preserve">構造RC・SRC・S、鑑定直接還元利回り3.3%。取得価格は土地取得価格＋建物建築コスト。延床面積は短信非掲載(賃貸可能面積を収録)、住所詳細は有報で補完予定</t>
  </si>
  <si>
    <t xml:space="preserve">DOI-48</t>
  </si>
  <si>
    <t xml:space="preserve">Ｄａｉｗａ日本橋馬喰町Ⅱ</t>
  </si>
  <si>
    <t xml:space="preserve">構造S・RC、鑑定直接還元利回り3.4%。持分に係る数値。延床面積は短信非掲載(賃貸可能面積を収録)、住所詳細は有報で補完予定</t>
  </si>
  <si>
    <t xml:space="preserve">DOI-49</t>
  </si>
  <si>
    <t xml:space="preserve">浜松町ＰＲＥＸ</t>
  </si>
  <si>
    <t xml:space="preserve">構造S、鑑定直接還元利回り3.4%。2026/3/27取得(期中約2ヶ月分の収益)。延床面積は短信非掲載(賃貸可能面積を収録)、住所詳細は有報で補完予定</t>
  </si>
  <si>
    <t xml:space="preserve">DOI-50</t>
  </si>
  <si>
    <t xml:space="preserve">プライム千駄ヶ谷ビル</t>
  </si>
  <si>
    <t xml:space="preserve">構造S、鑑定直接還元利回り3.3%。2026/3/31取得(期中約2ヶ月分の収益)。延床面積は短信非掲載(賃貸可能面積を収録)、住所詳細は有報で補完予定</t>
  </si>
  <si>
    <t xml:space="preserve">DOI-51</t>
  </si>
  <si>
    <t xml:space="preserve">Ｄａｉｗａ東池袋ビル</t>
  </si>
  <si>
    <t xml:space="preserve">豊島区</t>
  </si>
  <si>
    <t xml:space="preserve">構造SRC・S、鑑定直接還元利回り3.9%。延床面積は短信非掲載(賃貸可能面積を収録)、住所詳細は有報で補完予定</t>
  </si>
  <si>
    <t xml:space="preserve">DOI-52</t>
  </si>
  <si>
    <t xml:space="preserve">Ｄａｉｗａ品川Ｎｏｒｔｈビル</t>
  </si>
  <si>
    <t xml:space="preserve">DOI-53</t>
  </si>
  <si>
    <t xml:space="preserve">Ｄａｉｗａ上大岡ビル</t>
  </si>
  <si>
    <t xml:space="preserve">構造S・SRC、鑑定直接還元利回り4.3%。延床面積は短信非掲載(賃貸可能面積を収録)、住所詳細は有報で補完予定</t>
  </si>
  <si>
    <t xml:space="preserve">DOI-54</t>
  </si>
  <si>
    <t xml:space="preserve">Ｄａｉｗａ荻窪タワー</t>
  </si>
  <si>
    <t xml:space="preserve">杉並区</t>
  </si>
  <si>
    <t xml:space="preserve">構造S・SRC、鑑定直接還元利回り3.5%。建物は3登記で構成(主要建物を記載)。延床面積は短信非掲載(賃貸可能面積を収録)、住所詳細は有報で補完予定</t>
  </si>
  <si>
    <t xml:space="preserve">DOI-55</t>
  </si>
  <si>
    <t xml:space="preserve">Ｄａｉｗａ目黒スクエア</t>
  </si>
  <si>
    <t xml:space="preserve">目黒区</t>
  </si>
  <si>
    <t xml:space="preserve">DOI-56</t>
  </si>
  <si>
    <t xml:space="preserve">Ｄａｉｗａ荻窪ビル</t>
  </si>
  <si>
    <t xml:space="preserve">DOI-57</t>
  </si>
  <si>
    <t xml:space="preserve">コンカード横浜</t>
  </si>
  <si>
    <t xml:space="preserve">構造S・SRC、鑑定直接還元利回り4.0%。全体の75%準共有持分(面積・価額は持分按分)。延床面積は短信非掲載(賃貸可能面積を収録)、住所詳細は有報で補完予定</t>
  </si>
  <si>
    <t xml:space="preserve">DOI-58</t>
  </si>
  <si>
    <t xml:space="preserve">Ｄａｉｗａ品川御殿山ビル</t>
  </si>
  <si>
    <t xml:space="preserve">DOI-59</t>
  </si>
  <si>
    <t xml:space="preserve">Ｄａｉｗａ中野坂上ビル</t>
  </si>
  <si>
    <t xml:space="preserve">中野区</t>
  </si>
  <si>
    <t xml:space="preserve">DOI-60</t>
  </si>
  <si>
    <t xml:space="preserve">Ｄａｉｗａ北浜ビル</t>
  </si>
  <si>
    <t xml:space="preserve">構造S・SRC、鑑定直接還元利回り3.5%。延床面積は短信非掲載(賃貸可能面積を収録)、住所詳細は有報で補完予定</t>
  </si>
  <si>
    <t xml:space="preserve">DOI-ALL</t>
  </si>
  <si>
    <t xml:space="preserve">【DOIポートフォリオ全体】</t>
  </si>
  <si>
    <r>
      <rPr>
        <sz val="10"/>
        <color rgb="FF0000FF"/>
        <rFont val="Arial"/>
        <family val="0"/>
        <charset val="1"/>
      </rPr>
      <t xml:space="preserve">58</t>
    </r>
    <r>
      <rPr>
        <sz val="10"/>
        <color rgb="FF0000FF"/>
        <rFont val="Noto Sans CJK SC"/>
        <family val="2"/>
      </rPr>
      <t xml:space="preserve">物件（</t>
    </r>
    <r>
      <rPr>
        <sz val="10"/>
        <color rgb="FF0000FF"/>
        <rFont val="Arial"/>
        <family val="0"/>
        <charset val="1"/>
      </rPr>
      <t xml:space="preserve">2026/5/31</t>
    </r>
    <r>
      <rPr>
        <sz val="10"/>
        <color rgb="FF0000FF"/>
        <rFont val="Noto Sans CJK SC"/>
        <family val="2"/>
      </rPr>
      <t xml:space="preserve">時点）</t>
    </r>
  </si>
  <si>
    <t xml:space="preserve">賃貸可能面積・テナント数は掲載表合計(期中譲渡2物件は面積欄なし)。鑑定合計628,000百万円。別途匿名組合出資持分(新宿マインズタワー1/7相当)3,746百万円</t>
  </si>
  <si>
    <t xml:space="preserve">MHR-01</t>
  </si>
  <si>
    <t xml:space="preserve">六本木ヒルズ森タワー</t>
  </si>
  <si>
    <t xml:space="preserve">区分所有権・共有(敷地権割合)</t>
  </si>
  <si>
    <r>
      <rPr>
        <sz val="10"/>
        <color rgb="FF0000FF"/>
        <rFont val="Arial"/>
        <family val="0"/>
        <charset val="1"/>
      </rPr>
      <t xml:space="preserve">MHR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(2026/3/17</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</si>
  <si>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O-0(</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19</t>
    </r>
    <r>
      <rPr>
        <sz val="10"/>
        <color rgb="FF0000FF"/>
        <rFont val="Noto Sans CJK SC"/>
        <family val="2"/>
      </rPr>
      <t xml:space="preserve">・</t>
    </r>
    <r>
      <rPr>
        <sz val="10"/>
        <color rgb="FF0000FF"/>
        <rFont val="Arial"/>
        <family val="0"/>
        <charset val="1"/>
      </rPr>
      <t xml:space="preserve">20</t>
    </r>
    <r>
      <rPr>
        <sz val="10"/>
        <color rgb="FF0000FF"/>
        <rFont val="Noto Sans CJK SC"/>
        <family val="2"/>
      </rPr>
      <t xml:space="preserve">・</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29</t>
    </r>
    <r>
      <rPr>
        <sz val="10"/>
        <color rgb="FF0000FF"/>
        <rFont val="Noto Sans CJK SC"/>
        <family val="2"/>
      </rPr>
      <t xml:space="preserve">階部分等を保有。森ビルへの固定型マスターリース</t>
    </r>
    <r>
      <rPr>
        <sz val="10"/>
        <color rgb="FF0000FF"/>
        <rFont val="Arial"/>
        <family val="0"/>
        <charset val="1"/>
      </rPr>
      <t xml:space="preserve">(</t>
    </r>
    <r>
      <rPr>
        <sz val="10"/>
        <color rgb="FF0000FF"/>
        <rFont val="Noto Sans CJK SC"/>
        <family val="2"/>
      </rPr>
      <t xml:space="preserve">テナント数</t>
    </r>
    <r>
      <rPr>
        <sz val="10"/>
        <color rgb="FF0000FF"/>
        <rFont val="Arial"/>
        <family val="0"/>
        <charset val="1"/>
      </rPr>
      <t xml:space="preserve">1</t>
    </r>
    <r>
      <rPr>
        <sz val="10"/>
        <color rgb="FF0000FF"/>
        <rFont val="Noto Sans CJK SC"/>
        <family val="2"/>
      </rPr>
      <t xml:space="preserve">は</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</si>
  <si>
    <t xml:space="preserve">MHR-02</t>
  </si>
  <si>
    <t xml:space="preserve">アーク森ビル</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</si>
  <si>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O-1(</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4</t>
    </r>
    <r>
      <rPr>
        <sz val="10"/>
        <color rgb="FF0000FF"/>
        <rFont val="Noto Sans CJK SC"/>
        <family val="2"/>
      </rPr>
      <t xml:space="preserve">・</t>
    </r>
    <r>
      <rPr>
        <sz val="10"/>
        <color rgb="FF0000FF"/>
        <rFont val="Arial"/>
        <family val="0"/>
        <charset val="1"/>
      </rPr>
      <t xml:space="preserve">12</t>
    </r>
    <r>
      <rPr>
        <sz val="10"/>
        <color rgb="FF0000FF"/>
        <rFont val="Noto Sans CJK SC"/>
        <family val="2"/>
      </rPr>
      <t xml:space="preserve">・</t>
    </r>
    <r>
      <rPr>
        <sz val="10"/>
        <color rgb="FF0000FF"/>
        <rFont val="Arial"/>
        <family val="0"/>
        <charset val="1"/>
      </rPr>
      <t xml:space="preserve">13</t>
    </r>
    <r>
      <rPr>
        <sz val="10"/>
        <color rgb="FF0000FF"/>
        <rFont val="Noto Sans CJK SC"/>
        <family val="2"/>
      </rPr>
      <t xml:space="preserve">・</t>
    </r>
    <r>
      <rPr>
        <sz val="10"/>
        <color rgb="FF0000FF"/>
        <rFont val="Arial"/>
        <family val="0"/>
        <charset val="1"/>
      </rPr>
      <t xml:space="preserve">15</t>
    </r>
    <r>
      <rPr>
        <sz val="10"/>
        <color rgb="FF0000FF"/>
        <rFont val="Noto Sans CJK SC"/>
        <family val="2"/>
      </rPr>
      <t xml:space="preserve">・</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25</t>
    </r>
    <r>
      <rPr>
        <sz val="10"/>
        <color rgb="FF0000FF"/>
        <rFont val="Noto Sans CJK SC"/>
        <family val="2"/>
      </rPr>
      <t xml:space="preserve">階・冷熱供給所部分等を保有。森ビルへの固定型マスターリース。構造</t>
    </r>
    <r>
      <rPr>
        <sz val="10"/>
        <color rgb="FF0000FF"/>
        <rFont val="Arial"/>
        <family val="0"/>
        <charset val="1"/>
      </rPr>
      <t xml:space="preserve">RC</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S</t>
    </r>
  </si>
  <si>
    <t xml:space="preserve">MHR-03</t>
  </si>
  <si>
    <t xml:space="preserve">後楽森ビル</t>
  </si>
  <si>
    <t xml:space="preserve">文京区</t>
  </si>
  <si>
    <t xml:space="preserve">借地権・区分所有権(信託受益権準共有80%)</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</si>
  <si>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O-4(</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。プレミアム物件。パススルー型マスターリース。面積・金額は持分</t>
    </r>
    <r>
      <rPr>
        <sz val="10"/>
        <color rgb="FF0000FF"/>
        <rFont val="Arial"/>
        <family val="0"/>
        <charset val="1"/>
      </rPr>
      <t xml:space="preserve">80%</t>
    </r>
    <r>
      <rPr>
        <sz val="10"/>
        <color rgb="FF0000FF"/>
        <rFont val="Noto Sans CJK SC"/>
        <family val="2"/>
      </rPr>
      <t xml:space="preserve">考慮後。構造</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S</t>
    </r>
  </si>
  <si>
    <t xml:space="preserve">MHR-04</t>
  </si>
  <si>
    <t xml:space="preserve">赤坂溜池タワー</t>
  </si>
  <si>
    <t xml:space="preserve">区分所有権(事務所店舗区画65.9%・住宅区画67%配分)</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</si>
  <si>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O-6(</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。プレミアム物件。事務所・店舗・住宅複合。パススルー型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RC</t>
    </r>
  </si>
  <si>
    <t xml:space="preserve">MHR-05</t>
  </si>
  <si>
    <t xml:space="preserve">愛宕グリーンヒルズ</t>
  </si>
  <si>
    <t xml:space="preserve">所有権・区分所有権の共有(信託受益権準共有74%)</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</si>
  <si>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O-7(</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MORI</t>
    </r>
    <r>
      <rPr>
        <sz val="10"/>
        <color rgb="FF0000FF"/>
        <rFont val="Noto Sans CJK SC"/>
        <family val="2"/>
      </rPr>
      <t xml:space="preserve">タワー</t>
    </r>
    <r>
      <rPr>
        <sz val="10"/>
        <color rgb="FF0000FF"/>
        <rFont val="Arial"/>
        <family val="0"/>
        <charset val="1"/>
      </rPr>
      <t xml:space="preserve">(</t>
    </r>
    <r>
      <rPr>
        <sz val="10"/>
        <color rgb="FF0000FF"/>
        <rFont val="Noto Sans CJK SC"/>
        <family val="2"/>
      </rPr>
      <t xml:space="preserve">事務所</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 42F/2001</t>
    </r>
    <r>
      <rPr>
        <sz val="10"/>
        <color rgb="FF0000FF"/>
        <rFont val="Noto Sans CJK SC"/>
        <family val="2"/>
      </rPr>
      <t xml:space="preserve">年</t>
    </r>
    <r>
      <rPr>
        <sz val="10"/>
        <color rgb="FF0000FF"/>
        <rFont val="Arial"/>
        <family val="0"/>
        <charset val="1"/>
      </rPr>
      <t xml:space="preserve">7</t>
    </r>
    <r>
      <rPr>
        <sz val="10"/>
        <color rgb="FF0000FF"/>
        <rFont val="Noto Sans CJK SC"/>
        <family val="2"/>
      </rPr>
      <t xml:space="preserve">月</t>
    </r>
    <r>
      <rPr>
        <sz val="10"/>
        <color rgb="FF0000FF"/>
        <rFont val="Arial"/>
        <family val="0"/>
        <charset val="1"/>
      </rPr>
      <t xml:space="preserve">)+</t>
    </r>
    <r>
      <rPr>
        <sz val="10"/>
        <color rgb="FF0000FF"/>
        <rFont val="Noto Sans CJK SC"/>
        <family val="2"/>
      </rPr>
      <t xml:space="preserve">フォレストタワー</t>
    </r>
    <r>
      <rPr>
        <sz val="10"/>
        <color rgb="FF0000FF"/>
        <rFont val="Arial"/>
        <family val="0"/>
        <charset val="1"/>
      </rPr>
      <t xml:space="preserve">(</t>
    </r>
    <r>
      <rPr>
        <sz val="10"/>
        <color rgb="FF0000FF"/>
        <rFont val="Noto Sans CJK SC"/>
        <family val="2"/>
      </rPr>
      <t xml:space="preserve">住宅</t>
    </r>
    <r>
      <rPr>
        <sz val="10"/>
        <color rgb="FF0000FF"/>
        <rFont val="Arial"/>
        <family val="0"/>
        <charset val="1"/>
      </rPr>
      <t xml:space="preserve">43F/2001</t>
    </r>
    <r>
      <rPr>
        <sz val="10"/>
        <color rgb="FF0000FF"/>
        <rFont val="Noto Sans CJK SC"/>
        <family val="2"/>
      </rPr>
      <t xml:space="preserve">年</t>
    </r>
    <r>
      <rPr>
        <sz val="10"/>
        <color rgb="FF0000FF"/>
        <rFont val="Arial"/>
        <family val="0"/>
        <charset val="1"/>
      </rPr>
      <t xml:space="preserve">10</t>
    </r>
    <r>
      <rPr>
        <sz val="10"/>
        <color rgb="FF0000FF"/>
        <rFont val="Noto Sans CJK SC"/>
        <family val="2"/>
      </rPr>
      <t xml:space="preserve">月</t>
    </r>
    <r>
      <rPr>
        <sz val="10"/>
        <color rgb="FF0000FF"/>
        <rFont val="Arial"/>
        <family val="0"/>
        <charset val="1"/>
      </rPr>
      <t xml:space="preserve">)+</t>
    </r>
    <r>
      <rPr>
        <sz val="10"/>
        <color rgb="FF0000FF"/>
        <rFont val="Noto Sans CJK SC"/>
        <family val="2"/>
      </rPr>
      <t xml:space="preserve">プラザ</t>
    </r>
    <r>
      <rPr>
        <sz val="10"/>
        <color rgb="FF0000FF"/>
        <rFont val="Arial"/>
        <family val="0"/>
        <charset val="1"/>
      </rPr>
      <t xml:space="preserve">(</t>
    </r>
    <r>
      <rPr>
        <sz val="10"/>
        <color rgb="FF0000FF"/>
        <rFont val="Noto Sans CJK SC"/>
        <family val="2"/>
      </rPr>
      <t xml:space="preserve">店舗</t>
    </r>
    <r>
      <rPr>
        <sz val="10"/>
        <color rgb="FF0000FF"/>
        <rFont val="Arial"/>
        <family val="0"/>
        <charset val="1"/>
      </rPr>
      <t xml:space="preserve">2F)</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棟。延床は</t>
    </r>
    <r>
      <rPr>
        <sz val="10"/>
        <color rgb="FF0000FF"/>
        <rFont val="Arial"/>
        <family val="0"/>
        <charset val="1"/>
      </rPr>
      <t xml:space="preserve">3</t>
    </r>
    <r>
      <rPr>
        <sz val="10"/>
        <color rgb="FF0000FF"/>
        <rFont val="Noto Sans CJK SC"/>
        <family val="2"/>
      </rPr>
      <t xml:space="preserve">棟合算</t>
    </r>
    <r>
      <rPr>
        <sz val="10"/>
        <color rgb="FF0000FF"/>
        <rFont val="Arial"/>
        <family val="0"/>
        <charset val="1"/>
      </rPr>
      <t xml:space="preserve">(85,266.30+60,815.71+2,083.60)</t>
    </r>
    <r>
      <rPr>
        <sz val="10"/>
        <color rgb="FF0000FF"/>
        <rFont val="Noto Sans CJK SC"/>
        <family val="2"/>
      </rPr>
      <t xml:space="preserve">。森ビルへの固定型</t>
    </r>
    <r>
      <rPr>
        <sz val="10"/>
        <color rgb="FF0000FF"/>
        <rFont val="Arial"/>
        <family val="0"/>
        <charset val="1"/>
      </rPr>
      <t xml:space="preserve">ML</t>
    </r>
  </si>
  <si>
    <t xml:space="preserve">MHR-06</t>
  </si>
  <si>
    <t xml:space="preserve">アークヒルズ サウスタワー</t>
  </si>
  <si>
    <t xml:space="preserve">建物・敷地の共有持分25%</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</si>
  <si>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O-8(</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。プレミアム物件。パススルー型</t>
    </r>
    <r>
      <rPr>
        <sz val="10"/>
        <color rgb="FF0000FF"/>
        <rFont val="Arial"/>
        <family val="0"/>
        <charset val="1"/>
      </rPr>
      <t xml:space="preserve">ML</t>
    </r>
    <r>
      <rPr>
        <sz val="10"/>
        <color rgb="FF0000FF"/>
        <rFont val="Noto Sans CJK SC"/>
        <family val="2"/>
      </rPr>
      <t xml:space="preserve">。面積・金額は持分</t>
    </r>
    <r>
      <rPr>
        <sz val="10"/>
        <color rgb="FF0000FF"/>
        <rFont val="Arial"/>
        <family val="0"/>
        <charset val="1"/>
      </rPr>
      <t xml:space="preserve">25%</t>
    </r>
    <r>
      <rPr>
        <sz val="10"/>
        <color rgb="FF0000FF"/>
        <rFont val="Noto Sans CJK SC"/>
        <family val="2"/>
      </rPr>
      <t xml:space="preserve">考慮後。構造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RC</t>
    </r>
  </si>
  <si>
    <t xml:space="preserve">MHR-07</t>
  </si>
  <si>
    <t xml:space="preserve">虎ノ門ヒルズ 森タワー</t>
  </si>
  <si>
    <r>
      <rPr>
        <sz val="10"/>
        <color rgb="FF0000FF"/>
        <rFont val="Arial"/>
        <family val="0"/>
        <charset val="1"/>
      </rPr>
      <t xml:space="preserve">28</t>
    </r>
    <r>
      <rPr>
        <sz val="10"/>
        <color rgb="FF0000FF"/>
        <rFont val="Noto Sans CJK SC"/>
        <family val="2"/>
      </rPr>
      <t xml:space="preserve">〜</t>
    </r>
    <r>
      <rPr>
        <sz val="10"/>
        <color rgb="FF0000FF"/>
        <rFont val="Arial"/>
        <family val="0"/>
        <charset val="1"/>
      </rPr>
      <t xml:space="preserve">35</t>
    </r>
    <r>
      <rPr>
        <sz val="10"/>
        <color rgb="FF0000FF"/>
        <rFont val="Noto Sans CJK SC"/>
        <family val="2"/>
      </rPr>
      <t xml:space="preserve">階区分所有権の共有持分</t>
    </r>
    <r>
      <rPr>
        <sz val="10"/>
        <color rgb="FF0000FF"/>
        <rFont val="Arial"/>
        <family val="0"/>
        <charset val="1"/>
      </rPr>
      <t xml:space="preserve">87.95%</t>
    </r>
    <r>
      <rPr>
        <sz val="10"/>
        <color rgb="FF0000FF"/>
        <rFont val="Noto Sans CJK SC"/>
        <family val="2"/>
      </rPr>
      <t xml:space="preserve">に係る信託受益権</t>
    </r>
    <r>
      <rPr>
        <sz val="10"/>
        <color rgb="FF0000FF"/>
        <rFont val="Arial"/>
        <family val="0"/>
        <charset val="1"/>
      </rPr>
      <t xml:space="preserve">(</t>
    </r>
    <r>
      <rPr>
        <sz val="10"/>
        <color rgb="FF0000FF"/>
        <rFont val="Noto Sans CJK SC"/>
        <family val="2"/>
      </rPr>
      <t xml:space="preserve">準共有</t>
    </r>
    <r>
      <rPr>
        <sz val="10"/>
        <color rgb="FF0000FF"/>
        <rFont val="Arial"/>
        <family val="0"/>
        <charset val="1"/>
      </rPr>
      <t xml:space="preserve">99.9%)</t>
    </r>
  </si>
  <si>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O-9(</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t>
    </r>
    <r>
      <rPr>
        <sz val="10"/>
        <color rgb="FF0000FF"/>
        <rFont val="Arial"/>
        <family val="0"/>
        <charset val="1"/>
      </rPr>
      <t xml:space="preserve">1</t>
    </r>
    <r>
      <rPr>
        <sz val="10"/>
        <color rgb="FF0000FF"/>
        <rFont val="Noto Sans CJK SC"/>
        <family val="2"/>
      </rPr>
      <t xml:space="preserve">日に準共有持分</t>
    </r>
    <r>
      <rPr>
        <sz val="10"/>
        <color rgb="FF0000FF"/>
        <rFont val="Arial"/>
        <family val="0"/>
        <charset val="1"/>
      </rPr>
      <t xml:space="preserve">11.9%</t>
    </r>
    <r>
      <rPr>
        <sz val="10"/>
        <color rgb="FF0000FF"/>
        <rFont val="Noto Sans CJK SC"/>
        <family val="2"/>
      </rPr>
      <t xml:space="preserve">を追加取得</t>
    </r>
    <r>
      <rPr>
        <sz val="10"/>
        <color rgb="FF0000FF"/>
        <rFont val="Arial"/>
        <family val="0"/>
        <charset val="1"/>
      </rPr>
      <t xml:space="preserve">(9,669</t>
    </r>
    <r>
      <rPr>
        <sz val="10"/>
        <color rgb="FF0000FF"/>
        <rFont val="Noto Sans CJK SC"/>
        <family val="2"/>
      </rPr>
      <t xml:space="preserve">百万円・森ビルより</t>
    </r>
    <r>
      <rPr>
        <sz val="10"/>
        <color rgb="FF0000FF"/>
        <rFont val="Arial"/>
        <family val="0"/>
        <charset val="1"/>
      </rPr>
      <t xml:space="preserve">)</t>
    </r>
    <r>
      <rPr>
        <sz val="10"/>
        <color rgb="FF0000FF"/>
        <rFont val="Noto Sans CJK SC"/>
        <family val="2"/>
      </rPr>
      <t xml:space="preserve">。森ビルへの固定型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</si>
  <si>
    <t xml:space="preserve">MHR-08</t>
  </si>
  <si>
    <t xml:space="preserve">オランダヒルズ森タワー</t>
  </si>
  <si>
    <r>
      <rPr>
        <sz val="10"/>
        <color rgb="FF0000FF"/>
        <rFont val="Arial"/>
        <family val="0"/>
        <charset val="1"/>
      </rPr>
      <t xml:space="preserve">3</t>
    </r>
    <r>
      <rPr>
        <sz val="10"/>
        <color rgb="FF0000FF"/>
        <rFont val="Noto Sans CJK SC"/>
        <family val="2"/>
      </rPr>
      <t xml:space="preserve">・</t>
    </r>
    <r>
      <rPr>
        <sz val="10"/>
        <color rgb="FF0000FF"/>
        <rFont val="Arial"/>
        <family val="0"/>
        <charset val="1"/>
      </rPr>
      <t xml:space="preserve">4</t>
    </r>
    <r>
      <rPr>
        <sz val="10"/>
        <color rgb="FF0000FF"/>
        <rFont val="Noto Sans CJK SC"/>
        <family val="2"/>
      </rPr>
      <t xml:space="preserve">・</t>
    </r>
    <r>
      <rPr>
        <sz val="10"/>
        <color rgb="FF0000FF"/>
        <rFont val="Arial"/>
        <family val="0"/>
        <charset val="1"/>
      </rPr>
      <t xml:space="preserve">5(</t>
    </r>
    <r>
      <rPr>
        <sz val="10"/>
        <color rgb="FF0000FF"/>
        <rFont val="Noto Sans CJK SC"/>
        <family val="2"/>
      </rPr>
      <t xml:space="preserve">一部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14</t>
    </r>
    <r>
      <rPr>
        <sz val="10"/>
        <color rgb="FF0000FF"/>
        <rFont val="Noto Sans CJK SC"/>
        <family val="2"/>
      </rPr>
      <t xml:space="preserve">〜</t>
    </r>
    <r>
      <rPr>
        <sz val="10"/>
        <color rgb="FF0000FF"/>
        <rFont val="Arial"/>
        <family val="0"/>
        <charset val="1"/>
      </rPr>
      <t xml:space="preserve">18</t>
    </r>
    <r>
      <rPr>
        <sz val="10"/>
        <color rgb="FF0000FF"/>
        <rFont val="Noto Sans CJK SC"/>
        <family val="2"/>
      </rPr>
      <t xml:space="preserve">・</t>
    </r>
    <r>
      <rPr>
        <sz val="10"/>
        <color rgb="FF0000FF"/>
        <rFont val="Arial"/>
        <family val="0"/>
        <charset val="1"/>
      </rPr>
      <t xml:space="preserve">22</t>
    </r>
    <r>
      <rPr>
        <sz val="10"/>
        <color rgb="FF0000FF"/>
        <rFont val="Noto Sans CJK SC"/>
        <family val="2"/>
      </rPr>
      <t xml:space="preserve">〜</t>
    </r>
    <r>
      <rPr>
        <sz val="10"/>
        <color rgb="FF0000FF"/>
        <rFont val="Arial"/>
        <family val="0"/>
        <charset val="1"/>
      </rPr>
      <t xml:space="preserve">24</t>
    </r>
    <r>
      <rPr>
        <sz val="10"/>
        <color rgb="FF0000FF"/>
        <rFont val="Noto Sans CJK SC"/>
        <family val="2"/>
      </rPr>
      <t xml:space="preserve">階区分所有権</t>
    </r>
    <r>
      <rPr>
        <sz val="10"/>
        <color rgb="FF0000FF"/>
        <rFont val="Arial"/>
        <family val="0"/>
        <charset val="1"/>
      </rPr>
      <t xml:space="preserve">(</t>
    </r>
    <r>
      <rPr>
        <sz val="10"/>
        <color rgb="FF0000FF"/>
        <rFont val="Noto Sans CJK SC"/>
        <family val="2"/>
      </rPr>
      <t xml:space="preserve">信託受益権準共有</t>
    </r>
    <r>
      <rPr>
        <sz val="10"/>
        <color rgb="FF0000FF"/>
        <rFont val="Arial"/>
        <family val="0"/>
        <charset val="1"/>
      </rPr>
      <t xml:space="preserve">100%)</t>
    </r>
  </si>
  <si>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O-10(</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S</t>
    </r>
    <r>
      <rPr>
        <sz val="10"/>
        <color rgb="FF0000FF"/>
        <rFont val="Noto Sans CJK SC"/>
        <family val="2"/>
      </rPr>
      <t xml:space="preserve">・</t>
    </r>
    <r>
      <rPr>
        <sz val="10"/>
        <color rgb="FF0000FF"/>
        <rFont val="Arial"/>
        <family val="0"/>
        <charset val="1"/>
      </rPr>
      <t xml:space="preserve">SRC</t>
    </r>
    <r>
      <rPr>
        <sz val="10"/>
        <color rgb="FF0000FF"/>
        <rFont val="Noto Sans CJK SC"/>
        <family val="2"/>
      </rPr>
      <t xml:space="preserve">・</t>
    </r>
    <r>
      <rPr>
        <sz val="10"/>
        <color rgb="FF0000FF"/>
        <rFont val="Arial"/>
        <family val="0"/>
        <charset val="1"/>
      </rPr>
      <t xml:space="preserve">RC</t>
    </r>
  </si>
  <si>
    <t xml:space="preserve">MHR-09</t>
  </si>
  <si>
    <t xml:space="preserve">六本木ファーストプラザ</t>
  </si>
  <si>
    <t xml:space="preserve">住宅</t>
  </si>
  <si>
    <t xml:space="preserve">区分所有権(全90戸中42戸)</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</si>
  <si>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R-3(</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。プレミアム物件</t>
    </r>
    <r>
      <rPr>
        <sz val="10"/>
        <color rgb="FF0000FF"/>
        <rFont val="Arial"/>
        <family val="0"/>
        <charset val="1"/>
      </rPr>
      <t xml:space="preserve">(</t>
    </r>
    <r>
      <rPr>
        <sz val="10"/>
        <color rgb="FF0000FF"/>
        <rFont val="Noto Sans CJK SC"/>
        <family val="2"/>
      </rPr>
      <t xml:space="preserve">住宅</t>
    </r>
    <r>
      <rPr>
        <sz val="10"/>
        <color rgb="FF0000FF"/>
        <rFont val="Arial"/>
        <family val="0"/>
        <charset val="1"/>
      </rPr>
      <t xml:space="preserve">)</t>
    </r>
    <r>
      <rPr>
        <sz val="10"/>
        <color rgb="FF0000FF"/>
        <rFont val="Noto Sans CJK SC"/>
        <family val="2"/>
      </rPr>
      <t xml:space="preserve">。六本木ビュータワーと登記上一棟・敷地共通。パススルー型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RC</t>
    </r>
  </si>
  <si>
    <t xml:space="preserve">MHR-10</t>
  </si>
  <si>
    <t xml:space="preserve">六本木ビュータワー</t>
  </si>
  <si>
    <t xml:space="preserve">区分所有権(全202戸中92戸)</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</si>
  <si>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R-4(</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。住宅。六本木ファーストプラザと登記上一棟。敷地・延床は両物件共通の全体値。パススルー型</t>
    </r>
    <r>
      <rPr>
        <sz val="10"/>
        <color rgb="FF0000FF"/>
        <rFont val="Arial"/>
        <family val="0"/>
        <charset val="1"/>
      </rPr>
      <t xml:space="preserve">ML</t>
    </r>
    <r>
      <rPr>
        <sz val="10"/>
        <color rgb="FF0000FF"/>
        <rFont val="Noto Sans CJK SC"/>
        <family val="2"/>
      </rPr>
      <t xml:space="preserve">。構造</t>
    </r>
    <r>
      <rPr>
        <sz val="10"/>
        <color rgb="FF0000FF"/>
        <rFont val="Arial"/>
        <family val="0"/>
        <charset val="1"/>
      </rPr>
      <t xml:space="preserve">RC</t>
    </r>
  </si>
  <si>
    <t xml:space="preserve">MHR-11</t>
  </si>
  <si>
    <t xml:space="preserve">ラフォーレ原宿（底地）</t>
  </si>
  <si>
    <t xml:space="preserve">商業施設等（底地）</t>
  </si>
  <si>
    <t xml:space="preserve">土地所有権(信託受益権準共有44%)</t>
  </si>
  <si>
    <r>
      <rPr>
        <sz val="10"/>
        <color rgb="FF0000FF"/>
        <rFont val="Arial"/>
        <family val="0"/>
        <charset val="1"/>
      </rPr>
      <t xml:space="preserve">MHR</t>
    </r>
    <r>
      <rPr>
        <sz val="10"/>
        <color rgb="FF0000FF"/>
        <rFont val="Noto Sans CJK SC"/>
        <family val="2"/>
      </rPr>
      <t xml:space="preserve">物件番号</t>
    </r>
    <r>
      <rPr>
        <sz val="10"/>
        <color rgb="FF0000FF"/>
        <rFont val="Arial"/>
        <family val="0"/>
        <charset val="1"/>
      </rPr>
      <t xml:space="preserve">S-1(</t>
    </r>
    <r>
      <rPr>
        <sz val="10"/>
        <color rgb="FF0000FF"/>
        <rFont val="Noto Sans CJK SC"/>
        <family val="2"/>
      </rPr>
      <t xml:space="preserve">プレミアムエリア</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周辺</t>
    </r>
    <r>
      <rPr>
        <sz val="10"/>
        <color rgb="FF0000FF"/>
        <rFont val="Arial"/>
        <family val="0"/>
        <charset val="1"/>
      </rPr>
      <t xml:space="preserve">)</t>
    </r>
    <r>
      <rPr>
        <sz val="10"/>
        <color rgb="FF0000FF"/>
        <rFont val="Noto Sans CJK SC"/>
        <family val="2"/>
      </rPr>
      <t xml:space="preserve">。商業底地</t>
    </r>
    <r>
      <rPr>
        <sz val="10"/>
        <color rgb="FF0000FF"/>
        <rFont val="Arial"/>
        <family val="0"/>
        <charset val="1"/>
      </rPr>
      <t xml:space="preserve">(</t>
    </r>
    <r>
      <rPr>
        <sz val="10"/>
        <color rgb="FF0000FF"/>
        <rFont val="Noto Sans CJK SC"/>
        <family val="2"/>
      </rPr>
      <t xml:space="preserve">事業用定期借地・借地人</t>
    </r>
    <r>
      <rPr>
        <sz val="10"/>
        <color rgb="FF0000FF"/>
        <rFont val="Arial"/>
        <family val="0"/>
        <charset val="1"/>
      </rPr>
      <t xml:space="preserve">:</t>
    </r>
    <r>
      <rPr>
        <sz val="10"/>
        <color rgb="FF0000FF"/>
        <rFont val="Noto Sans CJK SC"/>
        <family val="2"/>
      </rPr>
      <t xml:space="preserve">森ビル流通システム、年間賃料</t>
    </r>
    <r>
      <rPr>
        <sz val="10"/>
        <color rgb="FF0000FF"/>
        <rFont val="Arial"/>
        <family val="0"/>
        <charset val="1"/>
      </rPr>
      <t xml:space="preserve">145.4</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持分</t>
    </r>
    <r>
      <rPr>
        <sz val="10"/>
        <color rgb="FF0000FF"/>
        <rFont val="Arial"/>
        <family val="0"/>
        <charset val="1"/>
      </rPr>
      <t xml:space="preserve">)</t>
    </r>
    <r>
      <rPr>
        <sz val="10"/>
        <color rgb="FF0000FF"/>
        <rFont val="Noto Sans CJK SC"/>
        <family val="2"/>
      </rPr>
      <t xml:space="preserve">。建物なしのため竣工・</t>
    </r>
    <r>
      <rPr>
        <sz val="10"/>
        <color rgb="FF0000FF"/>
        <rFont val="Arial"/>
        <family val="0"/>
        <charset val="1"/>
      </rPr>
      <t xml:space="preserve">PML</t>
    </r>
    <r>
      <rPr>
        <sz val="10"/>
        <color rgb="FF0000FF"/>
        <rFont val="Noto Sans CJK SC"/>
        <family val="2"/>
      </rPr>
      <t xml:space="preserve">なし。</t>
    </r>
    <r>
      <rPr>
        <sz val="10"/>
        <color rgb="FF0000FF"/>
        <rFont val="Arial"/>
        <family val="0"/>
        <charset val="1"/>
      </rPr>
      <t xml:space="preserve">2026/7/1</t>
    </r>
    <r>
      <rPr>
        <sz val="10"/>
        <color rgb="FF0000FF"/>
        <rFont val="Noto Sans CJK SC"/>
        <family val="2"/>
      </rPr>
      <t xml:space="preserve">及び</t>
    </r>
    <r>
      <rPr>
        <sz val="10"/>
        <color rgb="FF0000FF"/>
        <rFont val="Arial"/>
        <family val="0"/>
        <charset val="1"/>
      </rPr>
      <t xml:space="preserve">12/1</t>
    </r>
    <r>
      <rPr>
        <sz val="10"/>
        <color rgb="FF0000FF"/>
        <rFont val="Noto Sans CJK SC"/>
        <family val="2"/>
      </rPr>
      <t xml:space="preserve">に各準共有持分</t>
    </r>
    <r>
      <rPr>
        <sz val="10"/>
        <color rgb="FF0000FF"/>
        <rFont val="Arial"/>
        <family val="0"/>
        <charset val="1"/>
      </rPr>
      <t xml:space="preserve">5%</t>
    </r>
    <r>
      <rPr>
        <sz val="10"/>
        <color rgb="FF0000FF"/>
        <rFont val="Noto Sans CJK SC"/>
        <family val="2"/>
      </rPr>
      <t xml:space="preserve">を森ビルへ追加譲渡予定</t>
    </r>
    <r>
      <rPr>
        <sz val="10"/>
        <color rgb="FF0000FF"/>
        <rFont val="Arial"/>
        <family val="0"/>
        <charset val="1"/>
      </rPr>
      <t xml:space="preserve">(</t>
    </r>
    <r>
      <rPr>
        <sz val="10"/>
        <color rgb="FF0000FF"/>
        <rFont val="Noto Sans CJK SC"/>
        <family val="2"/>
      </rPr>
      <t xml:space="preserve">各</t>
    </r>
    <r>
      <rPr>
        <sz val="10"/>
        <color rgb="FF0000FF"/>
        <rFont val="Arial"/>
        <family val="0"/>
        <charset val="1"/>
      </rPr>
      <t xml:space="preserve">2,365</t>
    </r>
    <r>
      <rPr>
        <sz val="10"/>
        <color rgb="FF0000FF"/>
        <rFont val="Noto Sans CJK SC"/>
        <family val="2"/>
      </rPr>
      <t xml:space="preserve">百万円、残存</t>
    </r>
    <r>
      <rPr>
        <sz val="10"/>
        <color rgb="FF0000FF"/>
        <rFont val="Arial"/>
        <family val="0"/>
        <charset val="1"/>
      </rPr>
      <t xml:space="preserve">34%)</t>
    </r>
  </si>
  <si>
    <t xml:space="preserve">MHR-ALL</t>
  </si>
  <si>
    <t xml:space="preserve">【MHRポートフォリオ全体】</t>
  </si>
  <si>
    <t xml:space="preserve">オフィス中心(住宅・商業底地含む)</t>
  </si>
  <si>
    <r>
      <rPr>
        <sz val="10"/>
        <color rgb="FF0000FF"/>
        <rFont val="Arial"/>
        <family val="0"/>
        <charset val="1"/>
      </rPr>
      <t xml:space="preserve">11</t>
    </r>
    <r>
      <rPr>
        <sz val="10"/>
        <color rgb="FF0000FF"/>
        <rFont val="Noto Sans CJK SC"/>
        <family val="2"/>
      </rPr>
      <t xml:space="preserve">物件（</t>
    </r>
    <r>
      <rPr>
        <sz val="10"/>
        <color rgb="FF0000FF"/>
        <rFont val="Arial"/>
        <family val="0"/>
        <charset val="1"/>
      </rPr>
      <t xml:space="preserve">2026/1/31</t>
    </r>
    <r>
      <rPr>
        <sz val="10"/>
        <color rgb="FF0000FF"/>
        <rFont val="Noto Sans CJK SC"/>
        <family val="2"/>
      </rPr>
      <t xml:space="preserve">時点）</t>
    </r>
  </si>
  <si>
    <t xml:space="preserve">全物件が東京都心5区+文京区・渋谷区の森ビル開発物件。取得価格加重平均築年数23.7年。鑑定合計506,000百万円</t>
  </si>
  <si>
    <t xml:space="preserve">NBF-01</t>
  </si>
  <si>
    <t xml:space="preserve">新宿三井ビルディング</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</si>
  <si>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t>
    </r>
  </si>
  <si>
    <t xml:space="preserve">オフィス。竣工年月・階数・面積は短信非掲載(有報等で補完予定)。J-REIT運用資産中最大の旗艦物件。サブリース型(変動賃料)</t>
  </si>
  <si>
    <t xml:space="preserve">NBF-02</t>
  </si>
  <si>
    <t xml:space="preserve">飯田橋グラン・ブルーム</t>
  </si>
  <si>
    <t xml:space="preserve">オフィス。竣工年月・階数・面積は短信非掲載(有報等で補完予定)。2021/9・2022/3・2023/3の3回取得合計。サブリース型(変動)</t>
  </si>
  <si>
    <t xml:space="preserve">NBF-03</t>
  </si>
  <si>
    <t xml:space="preserve">六本木ティーキューブ</t>
  </si>
  <si>
    <t xml:space="preserve">オフィス。竣工年月・階数・面積は短信非掲載(有報等で補完予定)。サブリース型(変動)</t>
  </si>
  <si>
    <t xml:space="preserve">NBF-04</t>
  </si>
  <si>
    <t xml:space="preserve">西新宿三井ビルディング</t>
  </si>
  <si>
    <t xml:space="preserve">オフィス。竣工年月・階数・面積は短信非掲載(有報等で補完予定)。任意組合出資持分(西新宿六丁目共有組合)含む。2002〜2023年の8回分割取得合計。サブリース型(変動)</t>
  </si>
  <si>
    <t xml:space="preserve">NBF-05</t>
  </si>
  <si>
    <t xml:space="preserve">セレスティン芝三井ビルディング</t>
  </si>
  <si>
    <t xml:space="preserve">オフィス。竣工年月・階数・面積は短信非掲載(有報等で補完予定)。2013/5・2018/3の取得合計。ホテル部分は固定賃料契約</t>
  </si>
  <si>
    <t xml:space="preserve">NBF-06</t>
  </si>
  <si>
    <t xml:space="preserve">ＮＢＦ品川タワー</t>
  </si>
  <si>
    <t xml:space="preserve">オフィス。竣工年月・階数・面積は短信非掲載(有報等で補完予定)。主要テナント:楽天グループ</t>
  </si>
  <si>
    <t xml:space="preserve">NBF-07</t>
  </si>
  <si>
    <t xml:space="preserve">ＮＢＦプラチナタワー</t>
  </si>
  <si>
    <t xml:space="preserve">オフィス。竣工年月・階数・面積は短信非掲載(有報等で補完予定)。鑑定評価額60,800百万円は取得価格の約2倍。主要テナント:アクサ生命</t>
  </si>
  <si>
    <t xml:space="preserve">NBF-08</t>
  </si>
  <si>
    <t xml:space="preserve">ＮＢＦコモディオ汐留</t>
  </si>
  <si>
    <t xml:space="preserve">オフィス。竣工年月・階数・面積は短信非掲載(有報等で補完予定)。</t>
  </si>
  <si>
    <t xml:space="preserve">NBF-09</t>
  </si>
  <si>
    <t xml:space="preserve">Ｇ－ＢＡＳＥ田町</t>
  </si>
  <si>
    <t xml:space="preserve">オフィス。竣工年月・階数・面積は短信非掲載(有報等で補完予定)。2019年3・4月の取得合計</t>
  </si>
  <si>
    <t xml:space="preserve">NBF-10</t>
  </si>
  <si>
    <t xml:space="preserve">虎ノ門琴平タワー</t>
  </si>
  <si>
    <t xml:space="preserve">オフィス。竣工年月・階数・面積は短信非掲載(有報等で補完予定)。敷地の賃借権を含む。2004/11・2006/4の取得合計。サブリース型(変動)</t>
  </si>
  <si>
    <t xml:space="preserve">NBF-11</t>
  </si>
  <si>
    <t xml:space="preserve">ＮＢＦ渋谷ガーデンフロント</t>
  </si>
  <si>
    <t xml:space="preserve">オフィス。竣工年月・階数・面積は短信非掲載(有報等で補完予定)。2004/2・2013/3の取得合計。主要テナント:インフィニオンテクノロジーズジャパン</t>
  </si>
  <si>
    <t xml:space="preserve">NBF-12</t>
  </si>
  <si>
    <t xml:space="preserve">ＮＢＦ銀座通りビル</t>
  </si>
  <si>
    <t xml:space="preserve">オフィス。竣工年月・階数・面積は短信非掲載(有報等で補完予定)。地上権を含む</t>
  </si>
  <si>
    <t xml:space="preserve">NBF-13</t>
  </si>
  <si>
    <t xml:space="preserve">新宿三井ビルディング二号館</t>
  </si>
  <si>
    <t xml:space="preserve">NBF-14</t>
  </si>
  <si>
    <t xml:space="preserve">興和西新橋ビルＢ棟</t>
  </si>
  <si>
    <t xml:space="preserve">オフィス。竣工年月・階数・面積は短信非掲載(有報等で補完予定)。2001〜2024年の5回分割取得合計。住宅部分はサブリース(変動)</t>
  </si>
  <si>
    <t xml:space="preserve">NBF-15</t>
  </si>
  <si>
    <t xml:space="preserve">リバーシティＭ－ＳＱＵＡＲＥ</t>
  </si>
  <si>
    <t xml:space="preserve">NBF-16</t>
  </si>
  <si>
    <t xml:space="preserve">新橋Ｍ－ＳＱＵＡＲＥ</t>
  </si>
  <si>
    <t xml:space="preserve">NBF-17</t>
  </si>
  <si>
    <t xml:space="preserve">ＮＢＦ虎ノ門ビル（底地）</t>
  </si>
  <si>
    <t xml:space="preserve">オフィス。竣工年月・階数・面積は短信非掲載(有報等で補完予定)。2025/1/6付で建物を譲渡(売却益7,838千円)し底地のみ保有。NLA・稼働率・テナント数は開示対象外。取得価格は物件取得時の土地取得価格</t>
  </si>
  <si>
    <t xml:space="preserve">NBF-18</t>
  </si>
  <si>
    <t xml:space="preserve">グラントウキョウサウスタワー</t>
  </si>
  <si>
    <t xml:space="preserve">オフィス。竣工年月・階数・面積は短信非掲載(有報等で補完予定)。2021/1取得価格から2024/3一部譲渡持分(約80%)を控除した残存持分の価格</t>
  </si>
  <si>
    <t xml:space="preserve">NBF-19</t>
  </si>
  <si>
    <t xml:space="preserve">ＮＢＦ　ＡＬＬＩＡＮＣＥ</t>
  </si>
  <si>
    <t xml:space="preserve">NBF-20</t>
  </si>
  <si>
    <t xml:space="preserve">四谷メディカルビル</t>
  </si>
  <si>
    <t xml:space="preserve">オフィス。竣工年月・階数・面積は短信非掲載(有報等で補完予定)。鑑定評価額が取得価格を下回る数少ない物件。サブリース型(変動)</t>
  </si>
  <si>
    <t xml:space="preserve">NBF-21</t>
  </si>
  <si>
    <t xml:space="preserve">ＮＢＦ渋谷イースト</t>
  </si>
  <si>
    <t xml:space="preserve">NBF-22</t>
  </si>
  <si>
    <t xml:space="preserve">ＮＢＦ高輪ビル</t>
  </si>
  <si>
    <t xml:space="preserve">NBF-23</t>
  </si>
  <si>
    <t xml:space="preserve">ＮＢＦ赤坂山王スクエア</t>
  </si>
  <si>
    <t xml:space="preserve">NBF-24</t>
  </si>
  <si>
    <t xml:space="preserve">ＮＢＦ神田須田町ビル</t>
  </si>
  <si>
    <t xml:space="preserve">NBF-25</t>
  </si>
  <si>
    <t xml:space="preserve">ＮＢＦ小川町ビルディング</t>
  </si>
  <si>
    <t xml:space="preserve">オフィス。竣工年月・階数・面積は短信非掲載(有報等で補完予定)。2005/9・2020/11の取得合計。サブリース型(変動)</t>
  </si>
  <si>
    <t xml:space="preserve">NBF-26</t>
  </si>
  <si>
    <t xml:space="preserve">住友電設ビル</t>
  </si>
  <si>
    <t xml:space="preserve">オフィス。竣工年月・階数・面積は短信非掲載(有報等で補完予定)。2026/6/30付で三井不動産へ譲渡予定(譲渡価格10,000百万円=鑑定5,360百万円の約1.9倍、売却益5,112百万円見込)。港区三田・1991年6月竣工・SRC地下1階付12階建・延床9,185.13㎡(後発事象注記より)</t>
  </si>
  <si>
    <t xml:space="preserve">NBF-27</t>
  </si>
  <si>
    <t xml:space="preserve">ＮＢＦ東銀座スクエア</t>
  </si>
  <si>
    <t xml:space="preserve">NBF-28</t>
  </si>
  <si>
    <t xml:space="preserve">日本橋兜町Ｍ－ＳＱＵＡＲＥ</t>
  </si>
  <si>
    <t xml:space="preserve">NBF-29</t>
  </si>
  <si>
    <t xml:space="preserve">ＮＢＦ八丁堀テラス</t>
  </si>
  <si>
    <t xml:space="preserve">オフィス。竣工年月・階数・面積は短信非掲載(有報等で補完予定)。旧NBF新川ビルの取得価格を2020/6/30鑑定評価額比率で按分した金額</t>
  </si>
  <si>
    <t xml:space="preserve">NBF-30</t>
  </si>
  <si>
    <t xml:space="preserve">龍角散ビル</t>
  </si>
  <si>
    <t xml:space="preserve">NBF-31</t>
  </si>
  <si>
    <t xml:space="preserve">神宮前Ｍ－ＳＱＵＡＲＥ</t>
  </si>
  <si>
    <t xml:space="preserve">NBF-32</t>
  </si>
  <si>
    <t xml:space="preserve">豊洲ベイサイドクロスタワー</t>
  </si>
  <si>
    <t xml:space="preserve">オフィス。竣工年月・階数・面積は短信非掲載(有報等で補完予定)。区分所有権(2022〜2024年3回取得・既存保有約47.69%)。2026/3/31付で追加取得予定(約9.19%・14,810百万円→合計約56.88%)。2020年3月竣工・地下2階付36階建・延床178,504.10㎡(建物全体)。店舗区画は固定賃料型ML</t>
  </si>
  <si>
    <t xml:space="preserve">NBF-33</t>
  </si>
  <si>
    <t xml:space="preserve">ＮＢＦ大崎ビル</t>
  </si>
  <si>
    <t xml:space="preserve">オフィス。竣工年月・階数・面積は短信非掲載(有報等で補完予定)。主要テナント:ソニーグループ(賃貸面積73,477㎡=ポートフォリオ全体の6.0%)</t>
  </si>
  <si>
    <t xml:space="preserve">NBF-34</t>
  </si>
  <si>
    <t xml:space="preserve">ゲートシティ大崎</t>
  </si>
  <si>
    <t xml:space="preserve">オフィス。竣工年月・階数・面積は短信非掲載(有報等で補完予定)。2006・2011・2013年の3回取得合計。サブリース型(変動)</t>
  </si>
  <si>
    <t xml:space="preserve">NBF-35</t>
  </si>
  <si>
    <t xml:space="preserve">ＮＢＦ豊洲キャナルフロント</t>
  </si>
  <si>
    <t xml:space="preserve">オフィス。竣工年月・階数・面積は短信非掲載(有報等で補完予定)。主要テナント:ソフトバンク</t>
  </si>
  <si>
    <t xml:space="preserve">NBF-36</t>
  </si>
  <si>
    <t xml:space="preserve">上野イーストタワー</t>
  </si>
  <si>
    <t xml:space="preserve">オフィス。竣工年月・階数・面積は短信非掲載(有報等で補完予定)。2016/6・2021/3の取得合計。主要テナント:日立リアルエステートパートナーズ</t>
  </si>
  <si>
    <t xml:space="preserve">NBF-37</t>
  </si>
  <si>
    <t xml:space="preserve">ＮＢＦ豊洲ガーデンフロント</t>
  </si>
  <si>
    <t xml:space="preserve">オフィス。竣工年月・階数・面積は短信非掲載(有報等で補完予定)。主要テナント:博報堂DYホールディングス</t>
  </si>
  <si>
    <t xml:space="preserve">NBF-38</t>
  </si>
  <si>
    <t xml:space="preserve">大崎ブライトコア・ブライトプラザ</t>
  </si>
  <si>
    <t xml:space="preserve">オフィス。竣工年月・階数・面積は短信非掲載(有報等で補完予定)。2016〜2020年の5回分割取得合計。サブリース型(変動)</t>
  </si>
  <si>
    <t xml:space="preserve">NBF-39</t>
  </si>
  <si>
    <t xml:space="preserve">中目黒ＧＴタワー</t>
  </si>
  <si>
    <t xml:space="preserve">オフィス。竣工年月・階数・面積は短信非掲載(有報等で補完予定)。任意組合出資持分(中目黒GTタワー共有床組合)含む。2003〜2005年の3回取得合計。サブリース型(変動)</t>
  </si>
  <si>
    <t xml:space="preserve">NBF-40</t>
  </si>
  <si>
    <t xml:space="preserve">大崎ブライトタワー</t>
  </si>
  <si>
    <t xml:space="preserve">NBF-41</t>
  </si>
  <si>
    <t xml:space="preserve">ＮＢＦ池袋イースト</t>
  </si>
  <si>
    <t xml:space="preserve">NBF-42</t>
  </si>
  <si>
    <t xml:space="preserve">東五反田スクエア</t>
  </si>
  <si>
    <t xml:space="preserve">NBF-43</t>
  </si>
  <si>
    <t xml:space="preserve">ＮＢＦ池袋タワー</t>
  </si>
  <si>
    <t xml:space="preserve">NBF-44</t>
  </si>
  <si>
    <t xml:space="preserve">ＮＢＦ池袋シティビル</t>
  </si>
  <si>
    <t xml:space="preserve">NBF-45</t>
  </si>
  <si>
    <t xml:space="preserve">調布サウスゲートビル</t>
  </si>
  <si>
    <t xml:space="preserve">調布市</t>
  </si>
  <si>
    <t xml:space="preserve">オフィス。竣工年月・階数・面積は短信非掲載(有報等で補完予定)。主要テナント:アフラック生命</t>
  </si>
  <si>
    <t xml:space="preserve">NBF-46</t>
  </si>
  <si>
    <t xml:space="preserve">横浜三井ビルディング</t>
  </si>
  <si>
    <t xml:space="preserve">オフィス。竣工年月・階数・面積は短信非掲載(有報等で補完予定)。2025年1月(第48期)取得。サブリース型(変動)</t>
  </si>
  <si>
    <t xml:space="preserve">NBF-47</t>
  </si>
  <si>
    <t xml:space="preserve">フロンティア武蔵小杉Ｎ棟・Ｓ棟</t>
  </si>
  <si>
    <t xml:space="preserve">オフィス。竣工年月・階数・面積は短信非掲載(有報等で補完予定)。2025/7/1取得(当期期中取得・約6ヶ月稼働)。主要テナント:エフサステクノロジーズ</t>
  </si>
  <si>
    <t xml:space="preserve">NBF-48</t>
  </si>
  <si>
    <t xml:space="preserve">横浜ＳＴビル</t>
  </si>
  <si>
    <t xml:space="preserve">オフィス。竣工年月・階数・面積は短信非掲載(有報等で補完予定)。2001/5・2021/11の取得合計。当期B1階商業エリア共用部リニューアル実施</t>
  </si>
  <si>
    <t xml:space="preserve">NBF-49</t>
  </si>
  <si>
    <t xml:space="preserve">パレール三井ビルディング</t>
  </si>
  <si>
    <t xml:space="preserve">NBF-50</t>
  </si>
  <si>
    <t xml:space="preserve">シーノ大宮ノースウィング</t>
  </si>
  <si>
    <t xml:space="preserve">オフィス。竣工年月・階数・面積は短信非掲載(有報等で補完予定)。2004年の2回取得合計</t>
  </si>
  <si>
    <t xml:space="preserve">NBF-51</t>
  </si>
  <si>
    <t xml:space="preserve">ＮＢＦ浦和ビル</t>
  </si>
  <si>
    <t xml:space="preserve">NBF-52</t>
  </si>
  <si>
    <t xml:space="preserve">ＮＢＦ松戸ビル</t>
  </si>
  <si>
    <t xml:space="preserve">松戸市</t>
  </si>
  <si>
    <t xml:space="preserve">NBF-53</t>
  </si>
  <si>
    <t xml:space="preserve">ＮＢＦ ＣＯＮＮＥＣＴ ＳＡＰＰＯＲＯ</t>
  </si>
  <si>
    <t xml:space="preserve">オフィス。竣工年月・階数・面積は短信非掲載(有報等で補完予定)。2025/11取得(当期期中取得・約2ヶ月のため収益17百万円は期間僅少)。稼働62.3%はリースアップ途上。2026/4/1付で「CONNECT SAPPORO」から名称変更予定</t>
  </si>
  <si>
    <t xml:space="preserve">NBF-54</t>
  </si>
  <si>
    <t xml:space="preserve">札幌エルプラザ</t>
  </si>
  <si>
    <t xml:space="preserve">オフィス。竣工年月・階数・面積は短信非掲載(有報等で補完予定)。2003〜2005年の4回分割取得合計</t>
  </si>
  <si>
    <t xml:space="preserve">NBF-55</t>
  </si>
  <si>
    <t xml:space="preserve">ＮＢＦ札幌南二条ビル</t>
  </si>
  <si>
    <t xml:space="preserve">オフィス。竣工年月・階数・面積は短信非掲載(有報等で補完予定)。2026/7/1付で譲渡予定(譲渡価格1,900百万円・売却益217百万円見込)。1990年11月竣工・SRC地下2階付9階建・延床8,149.78㎡(後発事象注記より)</t>
  </si>
  <si>
    <t xml:space="preserve">NBF-56</t>
  </si>
  <si>
    <t xml:space="preserve">Ｄタワー富山</t>
  </si>
  <si>
    <t xml:space="preserve">富山県</t>
  </si>
  <si>
    <t xml:space="preserve">富山市</t>
  </si>
  <si>
    <t xml:space="preserve">オフィス。竣工年月・階数・面積は短信非掲載(有報等で補完予定)。2025年(第48期)取得。稼働46.6%はリースアップ途上</t>
  </si>
  <si>
    <t xml:space="preserve">NBF-57</t>
  </si>
  <si>
    <t xml:space="preserve">三井住友銀行名古屋ビル</t>
  </si>
  <si>
    <t xml:space="preserve">NBF-58</t>
  </si>
  <si>
    <t xml:space="preserve">名古屋三井ビルディング新館</t>
  </si>
  <si>
    <t xml:space="preserve">NBF-59</t>
  </si>
  <si>
    <t xml:space="preserve">名古屋三井ビルディング本館</t>
  </si>
  <si>
    <t xml:space="preserve">NBF-60</t>
  </si>
  <si>
    <t xml:space="preserve">ＮＢＦ名古屋広小路ビル</t>
  </si>
  <si>
    <t xml:space="preserve">オフィス。竣工年月・階数・面積は短信非掲載(有報等で補完予定)。2004/3・2008/3の取得合計</t>
  </si>
  <si>
    <t xml:space="preserve">NBF-61</t>
  </si>
  <si>
    <t xml:space="preserve">中之島三井ビルディング</t>
  </si>
  <si>
    <t xml:space="preserve">NBF-62</t>
  </si>
  <si>
    <t xml:space="preserve">アクア堂島ＮＢＦタワー</t>
  </si>
  <si>
    <t xml:space="preserve">NBF-63</t>
  </si>
  <si>
    <t xml:space="preserve">中之島セントラルタワー</t>
  </si>
  <si>
    <t xml:space="preserve">NBF-64</t>
  </si>
  <si>
    <t xml:space="preserve">信濃橋三井ビルディング</t>
  </si>
  <si>
    <t xml:space="preserve">NBF-65</t>
  </si>
  <si>
    <t xml:space="preserve">堺筋本町センタービル</t>
  </si>
  <si>
    <t xml:space="preserve">オフィス。竣工年月・階数・面積は短信非掲載(有報等で補完予定)。2005/3・2014/1の取得合計</t>
  </si>
  <si>
    <t xml:space="preserve">NBF-66</t>
  </si>
  <si>
    <t xml:space="preserve">淀屋橋フレックスタワー</t>
  </si>
  <si>
    <t xml:space="preserve">NBF-67</t>
  </si>
  <si>
    <t xml:space="preserve">広島袋町ビルディング</t>
  </si>
  <si>
    <t xml:space="preserve">オフィス。竣工年月・階数・面積は短信非掲載(有報等で補完予定)。2003/11・2012/4の取得合計</t>
  </si>
  <si>
    <t xml:space="preserve">NBF-68</t>
  </si>
  <si>
    <t xml:space="preserve">ＮＢＦ松山日銀前ビル</t>
  </si>
  <si>
    <t xml:space="preserve">愛媛県</t>
  </si>
  <si>
    <t xml:space="preserve">松山市</t>
  </si>
  <si>
    <t xml:space="preserve">NBF-69</t>
  </si>
  <si>
    <t xml:space="preserve">博多祇園Ｍ－ＳＱＵＡＲＥ</t>
  </si>
  <si>
    <t xml:space="preserve">福岡市</t>
  </si>
  <si>
    <t xml:space="preserve">NBF-70</t>
  </si>
  <si>
    <t xml:space="preserve">ＮＢＦ熊本ビル</t>
  </si>
  <si>
    <t xml:space="preserve">熊本県</t>
  </si>
  <si>
    <t xml:space="preserve">熊本市</t>
  </si>
  <si>
    <t xml:space="preserve">NBF-ALL</t>
  </si>
  <si>
    <t xml:space="preserve">【NBFポートフォリオ全体】</t>
  </si>
  <si>
    <r>
      <rPr>
        <sz val="10"/>
        <color rgb="FF0000FF"/>
        <rFont val="Arial"/>
        <family val="0"/>
        <charset val="1"/>
      </rPr>
      <t xml:space="preserve">70</t>
    </r>
    <r>
      <rPr>
        <sz val="10"/>
        <color rgb="FF0000FF"/>
        <rFont val="Noto Sans CJK SC"/>
        <family val="2"/>
      </rPr>
      <t xml:space="preserve">物件（</t>
    </r>
    <r>
      <rPr>
        <sz val="10"/>
        <color rgb="FF0000FF"/>
        <rFont val="Arial"/>
        <family val="0"/>
        <charset val="1"/>
      </rPr>
      <t xml:space="preserve">2025/12/31</t>
    </r>
    <r>
      <rPr>
        <sz val="10"/>
        <color rgb="FF0000FF"/>
        <rFont val="Noto Sans CJK SC"/>
        <family val="2"/>
      </rPr>
      <t xml:space="preserve">時点）</t>
    </r>
  </si>
  <si>
    <t xml:space="preserve">確認済※</t>
  </si>
  <si>
    <r>
      <rPr>
        <sz val="10"/>
        <color rgb="FF0000FF"/>
        <rFont val="Arial"/>
        <family val="0"/>
        <charset val="1"/>
      </rPr>
      <t xml:space="preserve">J-REIT</t>
    </r>
    <r>
      <rPr>
        <sz val="10"/>
        <color rgb="FF0000FF"/>
        <rFont val="Noto Sans CJK SC"/>
        <family val="2"/>
      </rPr>
      <t xml:space="preserve">最大規模</t>
    </r>
    <r>
      <rPr>
        <sz val="10"/>
        <color rgb="FF0000FF"/>
        <rFont val="Arial"/>
        <family val="0"/>
        <charset val="1"/>
      </rPr>
      <t xml:space="preserve">(</t>
    </r>
    <r>
      <rPr>
        <sz val="10"/>
        <color rgb="FF0000FF"/>
        <rFont val="Noto Sans CJK SC"/>
        <family val="2"/>
      </rPr>
      <t xml:space="preserve">取得価格累計</t>
    </r>
    <r>
      <rPr>
        <sz val="10"/>
        <color rgb="FF0000FF"/>
        <rFont val="Arial"/>
        <family val="0"/>
        <charset val="1"/>
      </rPr>
      <t xml:space="preserve">1</t>
    </r>
    <r>
      <rPr>
        <sz val="10"/>
        <color rgb="FF0000FF"/>
        <rFont val="Noto Sans CJK SC"/>
        <family val="2"/>
      </rPr>
      <t xml:space="preserve">兆</t>
    </r>
    <r>
      <rPr>
        <sz val="10"/>
        <color rgb="FF0000FF"/>
        <rFont val="Arial"/>
        <family val="0"/>
        <charset val="1"/>
      </rPr>
      <t xml:space="preserve">5,190</t>
    </r>
    <r>
      <rPr>
        <sz val="10"/>
        <color rgb="FF0000FF"/>
        <rFont val="Noto Sans CJK SC"/>
        <family val="2"/>
      </rPr>
      <t xml:space="preserve">億円</t>
    </r>
    <r>
      <rPr>
        <sz val="10"/>
        <color rgb="FF0000FF"/>
        <rFont val="Arial"/>
        <family val="0"/>
        <charset val="1"/>
      </rPr>
      <t xml:space="preserve">)</t>
    </r>
    <r>
      <rPr>
        <sz val="10"/>
        <color rgb="FF0000FF"/>
        <rFont val="Noto Sans CJK SC"/>
        <family val="2"/>
      </rPr>
      <t xml:space="preserve">。取得・帳簿・鑑定は千円開示を百万円換算</t>
    </r>
    <r>
      <rPr>
        <sz val="10"/>
        <color rgb="FF0000FF"/>
        <rFont val="Arial"/>
        <family val="0"/>
        <charset val="1"/>
      </rPr>
      <t xml:space="preserve">(</t>
    </r>
    <r>
      <rPr>
        <sz val="10"/>
        <color rgb="FF0000FF"/>
        <rFont val="Noto Sans CJK SC"/>
        <family val="2"/>
      </rPr>
      <t xml:space="preserve">小数</t>
    </r>
    <r>
      <rPr>
        <sz val="10"/>
        <color rgb="FF0000FF"/>
        <rFont val="Arial"/>
        <family val="0"/>
        <charset val="1"/>
      </rPr>
      <t xml:space="preserve">3</t>
    </r>
    <r>
      <rPr>
        <sz val="10"/>
        <color rgb="FF0000FF"/>
        <rFont val="Noto Sans CJK SC"/>
        <family val="2"/>
      </rPr>
      <t xml:space="preserve">位</t>
    </r>
    <r>
      <rPr>
        <sz val="10"/>
        <color rgb="FF0000FF"/>
        <rFont val="Arial"/>
        <family val="0"/>
        <charset val="1"/>
      </rPr>
      <t xml:space="preserve">=</t>
    </r>
    <r>
      <rPr>
        <sz val="10"/>
        <color rgb="FF0000FF"/>
        <rFont val="Noto Sans CJK SC"/>
        <family val="2"/>
      </rPr>
      <t xml:space="preserve">千円精度</t>
    </r>
    <r>
      <rPr>
        <sz val="10"/>
        <color rgb="FF0000FF"/>
        <rFont val="Arial"/>
        <family val="0"/>
        <charset val="1"/>
      </rPr>
      <t xml:space="preserve">)</t>
    </r>
    <r>
      <rPr>
        <sz val="10"/>
        <color rgb="FF0000FF"/>
        <rFont val="Noto Sans CJK SC"/>
        <family val="2"/>
      </rPr>
      <t xml:space="preserve">。本行は短信合計欄の値。【原資料の丸め表示に関する注記】帳簿価額は円単位の値を千円未満切捨て表示のため、</t>
    </r>
    <r>
      <rPr>
        <sz val="10"/>
        <color rgb="FF0000FF"/>
        <rFont val="Arial"/>
        <family val="0"/>
        <charset val="1"/>
      </rPr>
      <t xml:space="preserve">70</t>
    </r>
    <r>
      <rPr>
        <sz val="10"/>
        <color rgb="FF0000FF"/>
        <rFont val="Noto Sans CJK SC"/>
        <family val="2"/>
      </rPr>
      <t xml:space="preserve">物件個別値の合算</t>
    </r>
    <r>
      <rPr>
        <sz val="10"/>
        <color rgb="FF0000FF"/>
        <rFont val="Arial"/>
        <family val="0"/>
        <charset val="1"/>
      </rPr>
      <t xml:space="preserve">(1,411,110,984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は合計欄より</t>
    </r>
    <r>
      <rPr>
        <sz val="10"/>
        <color rgb="FF0000FF"/>
        <rFont val="Arial"/>
        <family val="0"/>
        <charset val="1"/>
      </rPr>
      <t xml:space="preserve">35</t>
    </r>
    <r>
      <rPr>
        <sz val="10"/>
        <color rgb="FF0000FF"/>
        <rFont val="Noto Sans CJK SC"/>
        <family val="2"/>
      </rPr>
      <t xml:space="preserve">千円小</t>
    </r>
    <r>
      <rPr>
        <sz val="10"/>
        <color rgb="FF0000FF"/>
        <rFont val="Arial"/>
        <family val="0"/>
        <charset val="1"/>
      </rPr>
      <t xml:space="preserve">(</t>
    </r>
    <r>
      <rPr>
        <sz val="10"/>
        <color rgb="FF0000FF"/>
        <rFont val="Noto Sans CJK SC"/>
        <family val="2"/>
      </rPr>
      <t xml:space="preserve">各地域小計の差</t>
    </r>
    <r>
      <rPr>
        <sz val="10"/>
        <color rgb="FF0000FF"/>
        <rFont val="Arial"/>
        <family val="0"/>
        <charset val="1"/>
      </rPr>
      <t xml:space="preserve">-16/-6/-3/-9</t>
    </r>
    <r>
      <rPr>
        <sz val="10"/>
        <color rgb="FF0000FF"/>
        <rFont val="Noto Sans CJK SC"/>
        <family val="2"/>
      </rPr>
      <t xml:space="preserve">千円も全て負符号で物件数以内</t>
    </r>
    <r>
      <rPr>
        <sz val="10"/>
        <color rgb="FF0000FF"/>
        <rFont val="Arial"/>
        <family val="0"/>
        <charset val="1"/>
      </rPr>
      <t xml:space="preserve">=</t>
    </r>
    <r>
      <rPr>
        <sz val="10"/>
        <color rgb="FF0000FF"/>
        <rFont val="Noto Sans CJK SC"/>
        <family val="2"/>
      </rPr>
      <t xml:space="preserve">切捨て累積として整合的</t>
    </r>
    <r>
      <rPr>
        <sz val="10"/>
        <color rgb="FF0000FF"/>
        <rFont val="Arial"/>
        <family val="0"/>
        <charset val="1"/>
      </rPr>
      <t xml:space="preserve">)</t>
    </r>
    <r>
      <rPr>
        <sz val="10"/>
        <color rgb="FF0000FF"/>
        <rFont val="Noto Sans CJK SC"/>
        <family val="2"/>
      </rPr>
      <t xml:space="preserve">。取得価格も按分物件の円未満端数により総計欄と</t>
    </r>
    <r>
      <rPr>
        <sz val="10"/>
        <color rgb="FF0000FF"/>
        <rFont val="Arial"/>
        <family val="0"/>
        <charset val="1"/>
      </rPr>
      <t xml:space="preserve">-1</t>
    </r>
    <r>
      <rPr>
        <sz val="10"/>
        <color rgb="FF0000FF"/>
        <rFont val="Noto Sans CJK SC"/>
        <family val="2"/>
      </rPr>
      <t xml:space="preserve">千円差</t>
    </r>
    <r>
      <rPr>
        <sz val="10"/>
        <color rgb="FF0000FF"/>
        <rFont val="Arial"/>
        <family val="0"/>
        <charset val="1"/>
      </rPr>
      <t xml:space="preserve">(</t>
    </r>
    <r>
      <rPr>
        <sz val="10"/>
        <color rgb="FF0000FF"/>
        <rFont val="Noto Sans CJK SC"/>
        <family val="2"/>
      </rPr>
      <t xml:space="preserve">地域小計は完全一致</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は個別値の小数点以下四捨五入により合計欄と</t>
    </r>
    <r>
      <rPr>
        <sz val="10"/>
        <color rgb="FF0000FF"/>
        <rFont val="Arial"/>
        <family val="0"/>
        <charset val="1"/>
      </rPr>
      <t xml:space="preserve">1</t>
    </r>
    <r>
      <rPr>
        <sz val="10"/>
        <color rgb="FF0000FF"/>
        <rFont val="Noto Sans CJK SC"/>
        <family val="2"/>
      </rPr>
      <t xml:space="preserve">㎡差。鑑定・テナント数は完全一致。期末稼働</t>
    </r>
    <r>
      <rPr>
        <sz val="10"/>
        <color rgb="FF0000FF"/>
        <rFont val="Arial"/>
        <family val="0"/>
        <charset val="1"/>
      </rPr>
      <t xml:space="preserve">98.3%/</t>
    </r>
    <r>
      <rPr>
        <sz val="10"/>
        <color rgb="FF0000FF"/>
        <rFont val="Noto Sans CJK SC"/>
        <family val="2"/>
      </rPr>
      <t xml:space="preserve">期中平均</t>
    </r>
    <r>
      <rPr>
        <sz val="10"/>
        <color rgb="FF0000FF"/>
        <rFont val="Arial"/>
        <family val="0"/>
        <charset val="1"/>
      </rPr>
      <t xml:space="preserve">98.5%</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・テナント数に</t>
    </r>
    <r>
      <rPr>
        <sz val="10"/>
        <color rgb="FF0000FF"/>
        <rFont val="Arial"/>
        <family val="0"/>
        <charset val="1"/>
      </rPr>
      <t xml:space="preserve">NBF</t>
    </r>
    <r>
      <rPr>
        <sz val="10"/>
        <color rgb="FF0000FF"/>
        <rFont val="Noto Sans CJK SC"/>
        <family val="2"/>
      </rPr>
      <t xml:space="preserve">虎ノ門ビル</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r>
      <rPr>
        <sz val="10"/>
        <color rgb="FF0000FF"/>
        <rFont val="Noto Sans CJK SC"/>
        <family val="2"/>
      </rPr>
      <t xml:space="preserve">は含まず。最大テナント三井不動産</t>
    </r>
    <r>
      <rPr>
        <sz val="10"/>
        <color rgb="FF0000FF"/>
        <rFont val="Arial"/>
        <family val="0"/>
        <charset val="1"/>
      </rPr>
      <t xml:space="preserve">(</t>
    </r>
    <r>
      <rPr>
        <sz val="10"/>
        <color rgb="FF0000FF"/>
        <rFont val="Noto Sans CJK SC"/>
        <family val="2"/>
      </rPr>
      <t xml:space="preserve">賃貸面積</t>
    </r>
    <r>
      <rPr>
        <sz val="10"/>
        <color rgb="FF0000FF"/>
        <rFont val="Arial"/>
        <family val="0"/>
        <charset val="1"/>
      </rPr>
      <t xml:space="preserve">47.0%</t>
    </r>
    <r>
      <rPr>
        <sz val="10"/>
        <color rgb="FF0000FF"/>
        <rFont val="Noto Sans CJK SC"/>
        <family val="2"/>
      </rPr>
      <t xml:space="preserve">・サブリース転貸方式</t>
    </r>
    <r>
      <rPr>
        <sz val="10"/>
        <color rgb="FF0000FF"/>
        <rFont val="Arial"/>
        <family val="0"/>
        <charset val="1"/>
      </rPr>
      <t xml:space="preserve">24</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。期後</t>
    </r>
    <r>
      <rPr>
        <sz val="10"/>
        <color rgb="FF0000FF"/>
        <rFont val="Arial"/>
        <family val="0"/>
        <charset val="1"/>
      </rPr>
      <t xml:space="preserve">: 2026/1</t>
    </r>
    <r>
      <rPr>
        <sz val="10"/>
        <color rgb="FF0000FF"/>
        <rFont val="Noto Sans CJK SC"/>
        <family val="2"/>
      </rPr>
      <t xml:space="preserve">公募増資等</t>
    </r>
    <r>
      <rPr>
        <sz val="10"/>
        <color rgb="FF0000FF"/>
        <rFont val="Arial"/>
        <family val="0"/>
        <charset val="1"/>
      </rPr>
      <t xml:space="preserve">(</t>
    </r>
    <r>
      <rPr>
        <sz val="10"/>
        <color rgb="FF0000FF"/>
        <rFont val="Noto Sans CJK SC"/>
        <family val="2"/>
      </rPr>
      <t xml:space="preserve">発行済</t>
    </r>
    <r>
      <rPr>
        <sz val="10"/>
        <color rgb="FF0000FF"/>
        <rFont val="Arial"/>
        <family val="0"/>
        <charset val="1"/>
      </rPr>
      <t xml:space="preserve">8,815,000</t>
    </r>
    <r>
      <rPr>
        <sz val="10"/>
        <color rgb="FF0000FF"/>
        <rFont val="Noto Sans CJK SC"/>
        <family val="2"/>
      </rPr>
      <t xml:space="preserve">口へ</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2026/3/31</t>
    </r>
    <r>
      <rPr>
        <sz val="10"/>
        <color rgb="FF0000FF"/>
        <rFont val="Noto Sans CJK SC"/>
        <family val="2"/>
      </rPr>
      <t xml:space="preserve">日本橋本町</t>
    </r>
    <r>
      <rPr>
        <sz val="10"/>
        <color rgb="FF0000FF"/>
        <rFont val="Arial"/>
        <family val="0"/>
        <charset val="1"/>
      </rPr>
      <t xml:space="preserve">M-SQUARE(32,108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・豊洲ベイサイドクロスタワー追加持分</t>
    </r>
    <r>
      <rPr>
        <sz val="10"/>
        <color rgb="FF0000FF"/>
        <rFont val="Arial"/>
        <family val="0"/>
        <charset val="1"/>
      </rPr>
      <t xml:space="preserve">(14,810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取得予定、</t>
    </r>
    <r>
      <rPr>
        <sz val="10"/>
        <color rgb="FF0000FF"/>
        <rFont val="Arial"/>
        <family val="0"/>
        <charset val="1"/>
      </rPr>
      <t xml:space="preserve">2026/6/30</t>
    </r>
    <r>
      <rPr>
        <sz val="10"/>
        <color rgb="FF0000FF"/>
        <rFont val="Noto Sans CJK SC"/>
        <family val="2"/>
      </rPr>
      <t xml:space="preserve">住友電設ビル・</t>
    </r>
    <r>
      <rPr>
        <sz val="10"/>
        <color rgb="FF0000FF"/>
        <rFont val="Arial"/>
        <family val="0"/>
        <charset val="1"/>
      </rPr>
      <t xml:space="preserve">2026/7/1 NBF</t>
    </r>
    <r>
      <rPr>
        <sz val="10"/>
        <color rgb="FF0000FF"/>
        <rFont val="Noto Sans CJK SC"/>
        <family val="2"/>
      </rPr>
      <t xml:space="preserve">札幌南二条ビル譲渡予定</t>
    </r>
  </si>
  <si>
    <t xml:space="preserve">JPR-01</t>
  </si>
  <si>
    <t xml:space="preserve">兼松ビル</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</si>
  <si>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t>
    </r>
  </si>
  <si>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2001/12</t>
    </r>
    <r>
      <rPr>
        <sz val="10"/>
        <color rgb="FF0000FF"/>
        <rFont val="Noto Sans CJK SC"/>
        <family val="2"/>
      </rPr>
      <t xml:space="preserve">取得</t>
    </r>
  </si>
  <si>
    <t xml:space="preserve">JPR-02</t>
  </si>
  <si>
    <t xml:space="preserve">兼松ビル別館</t>
  </si>
  <si>
    <r>
      <rPr>
        <sz val="10"/>
        <color rgb="FF0000FF"/>
        <rFont val="Arial"/>
        <family val="0"/>
        <charset val="1"/>
      </rPr>
      <t xml:space="preserve">JPR</t>
    </r>
    <r>
      <rPr>
        <sz val="10"/>
        <color rgb="FF0000FF"/>
        <rFont val="Noto Sans CJK SC"/>
        <family val="2"/>
      </rPr>
      <t xml:space="preserve">独自区分「東京都心」。物件別の帳簿価額・費用は非開示。</t>
    </r>
  </si>
  <si>
    <t xml:space="preserve">JPR-03</t>
  </si>
  <si>
    <t xml:space="preserve">ＪＰＲ人形町ビル</t>
  </si>
  <si>
    <t xml:space="preserve">JPR-04</t>
  </si>
  <si>
    <t xml:space="preserve">新麹町ビル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</si>
  <si>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2001/11</t>
    </r>
    <r>
      <rPr>
        <sz val="10"/>
        <color rgb="FF0000FF"/>
        <rFont val="Noto Sans CJK SC"/>
        <family val="2"/>
      </rPr>
      <t xml:space="preserve">・</t>
    </r>
    <r>
      <rPr>
        <sz val="10"/>
        <color rgb="FF0000FF"/>
        <rFont val="Arial"/>
        <family val="0"/>
        <charset val="1"/>
      </rPr>
      <t xml:space="preserve">2002/11</t>
    </r>
    <r>
      <rPr>
        <sz val="10"/>
        <color rgb="FF0000FF"/>
        <rFont val="Noto Sans CJK SC"/>
        <family val="2"/>
      </rPr>
      <t xml:space="preserve">・</t>
    </r>
    <r>
      <rPr>
        <sz val="10"/>
        <color rgb="FF0000FF"/>
        <rFont val="Arial"/>
        <family val="0"/>
        <charset val="1"/>
      </rPr>
      <t xml:space="preserve">2004/11</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回取得合計</t>
    </r>
    <r>
      <rPr>
        <sz val="10"/>
        <color rgb="FF0000FF"/>
        <rFont val="Arial"/>
        <family val="0"/>
        <charset val="1"/>
      </rPr>
      <t xml:space="preserve">(1,670+550+200)</t>
    </r>
  </si>
  <si>
    <t xml:space="preserve">JPR-05</t>
  </si>
  <si>
    <t xml:space="preserve">ＭＳ芝浦ビル</t>
  </si>
  <si>
    <r>
      <rPr>
        <sz val="10"/>
        <color rgb="FF0000FF"/>
        <rFont val="Arial"/>
        <family val="0"/>
        <charset val="1"/>
      </rPr>
      <t xml:space="preserve">JPR</t>
    </r>
    <r>
      <rPr>
        <sz val="10"/>
        <color rgb="FF0000FF"/>
        <rFont val="Noto Sans CJK SC"/>
        <family val="2"/>
      </rPr>
      <t xml:space="preserve">独自区分「東京都心」。物件別の帳簿価額・費用は非開示。敷地面積は一体開発のトリニティ芝浦敷地を含む</t>
    </r>
  </si>
  <si>
    <t xml:space="preserve">JPR-06</t>
  </si>
  <si>
    <t xml:space="preserve">ＪＰＲ市ヶ谷ビル</t>
  </si>
  <si>
    <t xml:space="preserve">JPR-07</t>
  </si>
  <si>
    <t xml:space="preserve">オーバルコート大崎マークウエスト</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</si>
  <si>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JPR</t>
    </r>
    <r>
      <rPr>
        <sz val="10"/>
        <color rgb="FF0000FF"/>
        <rFont val="Noto Sans CJK SC"/>
        <family val="2"/>
      </rPr>
      <t xml:space="preserve">独自区分では品川区は「東京都心」</t>
    </r>
    <r>
      <rPr>
        <sz val="10"/>
        <color rgb="FF0000FF"/>
        <rFont val="Arial"/>
        <family val="0"/>
        <charset val="1"/>
      </rPr>
      <t xml:space="preserve">(</t>
    </r>
    <r>
      <rPr>
        <sz val="10"/>
        <color rgb="FF0000FF"/>
        <rFont val="Noto Sans CJK SC"/>
        <family val="2"/>
      </rPr>
      <t xml:space="preserve">共通区分ではその他東京</t>
    </r>
    <r>
      <rPr>
        <sz val="10"/>
        <color rgb="FF0000FF"/>
        <rFont val="Arial"/>
        <family val="0"/>
        <charset val="1"/>
      </rPr>
      <t xml:space="preserve">23</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。一棟賃貸</t>
    </r>
  </si>
  <si>
    <t xml:space="preserve">JPR-08</t>
  </si>
  <si>
    <t xml:space="preserve">新宿スクエアタワー</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</si>
  <si>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2004</t>
    </r>
    <r>
      <rPr>
        <sz val="10"/>
        <color rgb="FF0000FF"/>
        <rFont val="Noto Sans CJK SC"/>
        <family val="2"/>
      </rPr>
      <t xml:space="preserve">〜</t>
    </r>
    <r>
      <rPr>
        <sz val="10"/>
        <color rgb="FF0000FF"/>
        <rFont val="Arial"/>
        <family val="0"/>
        <charset val="1"/>
      </rPr>
      <t xml:space="preserve">2015</t>
    </r>
    <r>
      <rPr>
        <sz val="10"/>
        <color rgb="FF0000FF"/>
        <rFont val="Noto Sans CJK SC"/>
        <family val="2"/>
      </rPr>
      <t xml:space="preserve">年の</t>
    </r>
    <r>
      <rPr>
        <sz val="10"/>
        <color rgb="FF0000FF"/>
        <rFont val="Arial"/>
        <family val="0"/>
        <charset val="1"/>
      </rPr>
      <t xml:space="preserve">4</t>
    </r>
    <r>
      <rPr>
        <sz val="10"/>
        <color rgb="FF0000FF"/>
        <rFont val="Noto Sans CJK SC"/>
        <family val="2"/>
      </rPr>
      <t xml:space="preserve">回取得合計</t>
    </r>
    <r>
      <rPr>
        <sz val="10"/>
        <color rgb="FF0000FF"/>
        <rFont val="Arial"/>
        <family val="0"/>
        <charset val="1"/>
      </rPr>
      <t xml:space="preserve">(10,000+180+4,000+786)</t>
    </r>
    <r>
      <rPr>
        <sz val="10"/>
        <color rgb="FF0000FF"/>
        <rFont val="Noto Sans CJK SC"/>
        <family val="2"/>
      </rPr>
      <t xml:space="preserve">。敷地・延床は再開発全体。一部サブリース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</si>
  <si>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JPR-09</t>
  </si>
  <si>
    <t xml:space="preserve">ビッグス新宿ビル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</si>
  <si>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2004</t>
    </r>
    <r>
      <rPr>
        <sz val="10"/>
        <color rgb="FF0000FF"/>
        <rFont val="Noto Sans CJK SC"/>
        <family val="2"/>
      </rPr>
      <t xml:space="preserve">・</t>
    </r>
    <r>
      <rPr>
        <sz val="10"/>
        <color rgb="FF0000FF"/>
        <rFont val="Arial"/>
        <family val="0"/>
        <charset val="1"/>
      </rPr>
      <t xml:space="preserve">2005</t>
    </r>
    <r>
      <rPr>
        <sz val="10"/>
        <color rgb="FF0000FF"/>
        <rFont val="Noto Sans CJK SC"/>
        <family val="2"/>
      </rPr>
      <t xml:space="preserve">・</t>
    </r>
    <r>
      <rPr>
        <sz val="10"/>
        <color rgb="FF0000FF"/>
        <rFont val="Arial"/>
        <family val="0"/>
        <charset val="1"/>
      </rPr>
      <t xml:space="preserve">2010</t>
    </r>
    <r>
      <rPr>
        <sz val="10"/>
        <color rgb="FF0000FF"/>
        <rFont val="Noto Sans CJK SC"/>
        <family val="2"/>
      </rPr>
      <t xml:space="preserve">年の</t>
    </r>
    <r>
      <rPr>
        <sz val="10"/>
        <color rgb="FF0000FF"/>
        <rFont val="Arial"/>
        <family val="0"/>
        <charset val="1"/>
      </rPr>
      <t xml:space="preserve">3</t>
    </r>
    <r>
      <rPr>
        <sz val="10"/>
        <color rgb="FF0000FF"/>
        <rFont val="Noto Sans CJK SC"/>
        <family val="2"/>
      </rPr>
      <t xml:space="preserve">回取得合計</t>
    </r>
    <r>
      <rPr>
        <sz val="10"/>
        <color rgb="FF0000FF"/>
        <rFont val="Arial"/>
        <family val="0"/>
        <charset val="1"/>
      </rPr>
      <t xml:space="preserve">(2,900+8,921+3,300)</t>
    </r>
  </si>
  <si>
    <t xml:space="preserve">JPR-10</t>
  </si>
  <si>
    <t xml:space="preserve">アクロス新川ビル・アネックス</t>
  </si>
  <si>
    <t xml:space="preserve">JPR-11</t>
  </si>
  <si>
    <t xml:space="preserve">新宿センタービル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</si>
  <si>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2008/3</t>
    </r>
    <r>
      <rPr>
        <sz val="10"/>
        <color rgb="FF0000FF"/>
        <rFont val="Noto Sans CJK SC"/>
        <family val="2"/>
      </rPr>
      <t xml:space="preserve">・</t>
    </r>
    <r>
      <rPr>
        <sz val="10"/>
        <color rgb="FF0000FF"/>
        <rFont val="Arial"/>
        <family val="0"/>
        <charset val="1"/>
      </rPr>
      <t xml:space="preserve">2022/12</t>
    </r>
    <r>
      <rPr>
        <sz val="10"/>
        <color rgb="FF0000FF"/>
        <rFont val="Noto Sans CJK SC"/>
        <family val="2"/>
      </rPr>
      <t xml:space="preserve">の取得合計</t>
    </r>
    <r>
      <rPr>
        <sz val="10"/>
        <color rgb="FF0000FF"/>
        <rFont val="Arial"/>
        <family val="0"/>
        <charset val="1"/>
      </rPr>
      <t xml:space="preserve">(21,000+3,320)</t>
    </r>
    <r>
      <rPr>
        <sz val="10"/>
        <color rgb="FF0000FF"/>
        <rFont val="Noto Sans CJK SC"/>
        <family val="2"/>
      </rPr>
      <t xml:space="preserve">。区分所有。一部サブリース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</si>
  <si>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JPR-12</t>
  </si>
  <si>
    <t xml:space="preserve">南麻布ビル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</si>
  <si>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2026/1/9</t>
    </r>
    <r>
      <rPr>
        <sz val="10"/>
        <color rgb="FF0000FF"/>
        <rFont val="Noto Sans CJK SC"/>
        <family val="2"/>
      </rPr>
      <t xml:space="preserve">付で東京建物へ譲渡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5,100</t>
    </r>
    <r>
      <rPr>
        <sz val="10"/>
        <color rgb="FF0000FF"/>
        <rFont val="Noto Sans CJK SC"/>
        <family val="2"/>
      </rPr>
      <t xml:space="preserve">百万円・売却益約</t>
    </r>
    <r>
      <rPr>
        <sz val="10"/>
        <color rgb="FF0000FF"/>
        <rFont val="Arial"/>
        <family val="0"/>
        <charset val="1"/>
      </rPr>
      <t xml:space="preserve">1,201</t>
    </r>
    <r>
      <rPr>
        <sz val="10"/>
        <color rgb="FF0000FF"/>
        <rFont val="Noto Sans CJK SC"/>
        <family val="2"/>
      </rPr>
      <t xml:space="preserve">百万円を第</t>
    </r>
    <r>
      <rPr>
        <sz val="10"/>
        <color rgb="FF0000FF"/>
        <rFont val="Arial"/>
        <family val="0"/>
        <charset val="1"/>
      </rPr>
      <t xml:space="preserve">49</t>
    </r>
    <r>
      <rPr>
        <sz val="10"/>
        <color rgb="FF0000FF"/>
        <rFont val="Noto Sans CJK SC"/>
        <family val="2"/>
      </rPr>
      <t xml:space="preserve">期計上予定</t>
    </r>
    <r>
      <rPr>
        <sz val="10"/>
        <color rgb="FF0000FF"/>
        <rFont val="Arial"/>
        <family val="0"/>
        <charset val="1"/>
      </rPr>
      <t xml:space="preserve">)</t>
    </r>
  </si>
  <si>
    <t xml:space="preserve">JPR-13</t>
  </si>
  <si>
    <t xml:space="preserve">品川キャナルビル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</si>
  <si>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2008/12</t>
    </r>
    <r>
      <rPr>
        <sz val="10"/>
        <color rgb="FF0000FF"/>
        <rFont val="Noto Sans CJK SC"/>
        <family val="2"/>
      </rPr>
      <t xml:space="preserve">・</t>
    </r>
    <r>
      <rPr>
        <sz val="10"/>
        <color rgb="FF0000FF"/>
        <rFont val="Arial"/>
        <family val="0"/>
        <charset val="1"/>
      </rPr>
      <t xml:space="preserve">2019/3</t>
    </r>
    <r>
      <rPr>
        <sz val="10"/>
        <color rgb="FF0000FF"/>
        <rFont val="Noto Sans CJK SC"/>
        <family val="2"/>
      </rPr>
      <t xml:space="preserve">の取得合計</t>
    </r>
    <r>
      <rPr>
        <sz val="10"/>
        <color rgb="FF0000FF"/>
        <rFont val="Arial"/>
        <family val="0"/>
        <charset val="1"/>
      </rPr>
      <t xml:space="preserve">(1,870+171)</t>
    </r>
  </si>
  <si>
    <t xml:space="preserve">JPR-14</t>
  </si>
  <si>
    <t xml:space="preserve">六番町ビル</t>
  </si>
  <si>
    <t xml:space="preserve">JPR-15</t>
  </si>
  <si>
    <t xml:space="preserve">ＪＰＲ原宿ビル</t>
  </si>
  <si>
    <t xml:space="preserve">JPR-16</t>
  </si>
  <si>
    <t xml:space="preserve">ＪＰＲ日本橋堀留ビル</t>
  </si>
  <si>
    <t xml:space="preserve">JPR-17</t>
  </si>
  <si>
    <t xml:space="preserve">銀座三和ビル</t>
  </si>
  <si>
    <t xml:space="preserve">JPR-18</t>
  </si>
  <si>
    <t xml:space="preserve">大手町タワー（底地）</t>
  </si>
  <si>
    <t xml:space="preserve">底地</t>
  </si>
  <si>
    <r>
      <rPr>
        <sz val="10"/>
        <color rgb="FF0000FF"/>
        <rFont val="Arial"/>
        <family val="0"/>
        <charset val="1"/>
      </rPr>
      <t xml:space="preserve">JPR</t>
    </r>
    <r>
      <rPr>
        <sz val="10"/>
        <color rgb="FF0000FF"/>
        <rFont val="Noto Sans CJK SC"/>
        <family val="2"/>
      </rPr>
      <t xml:space="preserve">独自区分「東京都心」。物件別の帳簿価額・費用は非開示。建物は含まず土地のみ保有。収入は地代</t>
    </r>
    <r>
      <rPr>
        <sz val="10"/>
        <color rgb="FF0000FF"/>
        <rFont val="Arial"/>
        <family val="0"/>
        <charset val="1"/>
      </rPr>
      <t xml:space="preserve">1,839</t>
    </r>
    <r>
      <rPr>
        <sz val="10"/>
        <color rgb="FF0000FF"/>
        <rFont val="Noto Sans CJK SC"/>
        <family val="2"/>
      </rPr>
      <t xml:space="preserve">百万円。鑑定</t>
    </r>
    <r>
      <rPr>
        <sz val="10"/>
        <color rgb="FF0000FF"/>
        <rFont val="Arial"/>
        <family val="0"/>
        <charset val="1"/>
      </rPr>
      <t xml:space="preserve">59,800</t>
    </r>
    <r>
      <rPr>
        <sz val="10"/>
        <color rgb="FF0000FF"/>
        <rFont val="Noto Sans CJK SC"/>
        <family val="2"/>
      </rPr>
      <t xml:space="preserve">百万円は取得価格</t>
    </r>
    <r>
      <rPr>
        <sz val="10"/>
        <color rgb="FF0000FF"/>
        <rFont val="Arial"/>
        <family val="0"/>
        <charset val="1"/>
      </rPr>
      <t xml:space="preserve">36,000</t>
    </r>
    <r>
      <rPr>
        <sz val="10"/>
        <color rgb="FF0000FF"/>
        <rFont val="Noto Sans CJK SC"/>
        <family val="2"/>
      </rPr>
      <t xml:space="preserve">百万円の</t>
    </r>
    <r>
      <rPr>
        <sz val="10"/>
        <color rgb="FF0000FF"/>
        <rFont val="Arial"/>
        <family val="0"/>
        <charset val="1"/>
      </rPr>
      <t xml:space="preserve">1.66</t>
    </r>
    <r>
      <rPr>
        <sz val="10"/>
        <color rgb="FF0000FF"/>
        <rFont val="Noto Sans CJK SC"/>
        <family val="2"/>
      </rPr>
      <t xml:space="preserve">倍。主要借地人</t>
    </r>
    <r>
      <rPr>
        <sz val="10"/>
        <color rgb="FF0000FF"/>
        <rFont val="Arial"/>
        <family val="0"/>
        <charset val="1"/>
      </rPr>
      <t xml:space="preserve">:</t>
    </r>
    <r>
      <rPr>
        <sz val="10"/>
        <color rgb="FF0000FF"/>
        <rFont val="Noto Sans CJK SC"/>
        <family val="2"/>
      </rPr>
      <t xml:space="preserve">有限会社東京プライムステージ</t>
    </r>
  </si>
  <si>
    <t xml:space="preserve">JPR-19</t>
  </si>
  <si>
    <t xml:space="preserve">サイエンスプラザ・四番町プラザ</t>
  </si>
  <si>
    <r>
      <rPr>
        <sz val="10"/>
        <color rgb="FF0000FF"/>
        <rFont val="Arial"/>
        <family val="0"/>
        <charset val="1"/>
      </rPr>
      <t xml:space="preserve">JPR</t>
    </r>
    <r>
      <rPr>
        <sz val="10"/>
        <color rgb="FF0000FF"/>
        <rFont val="Noto Sans CJK SC"/>
        <family val="2"/>
      </rPr>
      <t xml:space="preserve">独自区分「東京都心」。物件別の帳簿価額・費用は非開示。住居部分は一部サブリース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</si>
  <si>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JPR-20</t>
  </si>
  <si>
    <t xml:space="preserve">芝大門センタービル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</si>
  <si>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2013/12</t>
    </r>
    <r>
      <rPr>
        <sz val="10"/>
        <color rgb="FF0000FF"/>
        <rFont val="Noto Sans CJK SC"/>
        <family val="2"/>
      </rPr>
      <t xml:space="preserve">・</t>
    </r>
    <r>
      <rPr>
        <sz val="10"/>
        <color rgb="FF0000FF"/>
        <rFont val="Arial"/>
        <family val="0"/>
        <charset val="1"/>
      </rPr>
      <t xml:space="preserve">2014/7</t>
    </r>
    <r>
      <rPr>
        <sz val="10"/>
        <color rgb="FF0000FF"/>
        <rFont val="Noto Sans CJK SC"/>
        <family val="2"/>
      </rPr>
      <t xml:space="preserve">の取得合計</t>
    </r>
    <r>
      <rPr>
        <sz val="10"/>
        <color rgb="FF0000FF"/>
        <rFont val="Arial"/>
        <family val="0"/>
        <charset val="1"/>
      </rPr>
      <t xml:space="preserve">(3,413+800)</t>
    </r>
  </si>
  <si>
    <t xml:space="preserve">JPR-21</t>
  </si>
  <si>
    <t xml:space="preserve">東京スクエアガーデン</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</si>
  <si>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2017</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回取得合計</t>
    </r>
    <r>
      <rPr>
        <sz val="10"/>
        <color rgb="FF0000FF"/>
        <rFont val="Arial"/>
        <family val="0"/>
        <charset val="1"/>
      </rPr>
      <t xml:space="preserve">(9,200+9,200)</t>
    </r>
    <r>
      <rPr>
        <sz val="10"/>
        <color rgb="FF0000FF"/>
        <rFont val="Noto Sans CJK SC"/>
        <family val="2"/>
      </rPr>
      <t xml:space="preserve">。区分所有。一部サブリース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</si>
  <si>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JPR-22</t>
  </si>
  <si>
    <t xml:space="preserve">ＪＰＲ麹町ビル</t>
  </si>
  <si>
    <t xml:space="preserve">JPR-23</t>
  </si>
  <si>
    <t xml:space="preserve">大手町フィナンシャルシティ ノースタワー</t>
  </si>
  <si>
    <r>
      <rPr>
        <sz val="10"/>
        <color rgb="FF0000FF"/>
        <rFont val="Arial"/>
        <family val="0"/>
        <charset val="1"/>
      </rPr>
      <t xml:space="preserve">JPR</t>
    </r>
    <r>
      <rPr>
        <sz val="10"/>
        <color rgb="FF0000FF"/>
        <rFont val="Noto Sans CJK SC"/>
        <family val="2"/>
      </rPr>
      <t xml:space="preserve">独自区分「東京都心」。物件別の帳簿価額・費用は非開示。敷地・延床はサウスタワー含む全体。区分所有。一部サブリース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</si>
  <si>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JPR-24</t>
  </si>
  <si>
    <t xml:space="preserve">東京建物東渋谷ビル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</si>
  <si>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2022/1</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スポンサー東京建物より</t>
    </r>
    <r>
      <rPr>
        <sz val="10"/>
        <color rgb="FF0000FF"/>
        <rFont val="Arial"/>
        <family val="0"/>
        <charset val="1"/>
      </rPr>
      <t xml:space="preserve">)</t>
    </r>
  </si>
  <si>
    <t xml:space="preserve">JPR-25</t>
  </si>
  <si>
    <t xml:space="preserve">御茶ノ水ソラシティ</t>
  </si>
  <si>
    <r>
      <rPr>
        <sz val="10"/>
        <color rgb="FF0000FF"/>
        <rFont val="Arial"/>
        <family val="0"/>
        <charset val="1"/>
      </rPr>
      <t xml:space="preserve">JPR</t>
    </r>
    <r>
      <rPr>
        <sz val="10"/>
        <color rgb="FF0000FF"/>
        <rFont val="Noto Sans CJK SC"/>
        <family val="2"/>
      </rPr>
      <t xml:space="preserve">独自区分「東京都心」。物件別の帳簿価額・費用は非開示。区分所有。一部サブリース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</si>
  <si>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JPR-26</t>
  </si>
  <si>
    <t xml:space="preserve">ＪＰＲ渋谷タワーレコードビル</t>
  </si>
  <si>
    <t xml:space="preserve">商業施設等</t>
  </si>
  <si>
    <r>
      <rPr>
        <sz val="10"/>
        <color rgb="FF0000FF"/>
        <rFont val="Arial"/>
        <family val="0"/>
        <charset val="1"/>
      </rPr>
      <t xml:space="preserve">JPR</t>
    </r>
    <r>
      <rPr>
        <sz val="10"/>
        <color rgb="FF0000FF"/>
        <rFont val="Noto Sans CJK SC"/>
        <family val="2"/>
      </rPr>
      <t xml:space="preserve">独自区分「東京都心」。物件別の帳簿価額・費用は非開示。一棟貸</t>
    </r>
    <r>
      <rPr>
        <sz val="10"/>
        <color rgb="FF0000FF"/>
        <rFont val="Arial"/>
        <family val="0"/>
        <charset val="1"/>
      </rPr>
      <t xml:space="preserve">(</t>
    </r>
    <r>
      <rPr>
        <sz val="10"/>
        <color rgb="FF0000FF"/>
        <rFont val="Noto Sans CJK SC"/>
        <family val="2"/>
      </rPr>
      <t xml:space="preserve">タワーレコード</t>
    </r>
    <r>
      <rPr>
        <sz val="10"/>
        <color rgb="FF0000FF"/>
        <rFont val="Arial"/>
        <family val="0"/>
        <charset val="1"/>
      </rPr>
      <t xml:space="preserve">)</t>
    </r>
  </si>
  <si>
    <t xml:space="preserve">JPR-27</t>
  </si>
  <si>
    <t xml:space="preserve">ＪＰＲ神宮前４３２</t>
  </si>
  <si>
    <t xml:space="preserve">JPR-28</t>
  </si>
  <si>
    <t xml:space="preserve">新宿三丁目イーストビル</t>
  </si>
  <si>
    <r>
      <rPr>
        <sz val="10"/>
        <color rgb="FF0000FF"/>
        <rFont val="Arial"/>
        <family val="0"/>
        <charset val="1"/>
      </rPr>
      <t xml:space="preserve">JPR</t>
    </r>
    <r>
      <rPr>
        <sz val="10"/>
        <color rgb="FF0000FF"/>
        <rFont val="Noto Sans CJK SC"/>
        <family val="2"/>
      </rPr>
      <t xml:space="preserve">独自区分「東京都心」。物件別の帳簿価額・費用は非開示。</t>
    </r>
    <r>
      <rPr>
        <sz val="10"/>
        <color rgb="FF0000FF"/>
        <rFont val="Arial"/>
        <family val="0"/>
        <charset val="1"/>
      </rPr>
      <t xml:space="preserve">2007/3</t>
    </r>
    <r>
      <rPr>
        <sz val="10"/>
        <color rgb="FF0000FF"/>
        <rFont val="Noto Sans CJK SC"/>
        <family val="2"/>
      </rPr>
      <t xml:space="preserve">・</t>
    </r>
    <r>
      <rPr>
        <sz val="10"/>
        <color rgb="FF0000FF"/>
        <rFont val="Arial"/>
        <family val="0"/>
        <charset val="1"/>
      </rPr>
      <t xml:space="preserve">2008/4</t>
    </r>
    <r>
      <rPr>
        <sz val="10"/>
        <color rgb="FF0000FF"/>
        <rFont val="Noto Sans CJK SC"/>
        <family val="2"/>
      </rPr>
      <t xml:space="preserve">の取得合計</t>
    </r>
    <r>
      <rPr>
        <sz val="10"/>
        <color rgb="FF0000FF"/>
        <rFont val="Arial"/>
        <family val="0"/>
        <charset val="1"/>
      </rPr>
      <t xml:space="preserve">(540+2,200)</t>
    </r>
    <r>
      <rPr>
        <sz val="10"/>
        <color rgb="FF0000FF"/>
        <rFont val="Noto Sans CJK SC"/>
        <family val="2"/>
      </rPr>
      <t xml:space="preserve">。区分所有。鑑定評価額が取得価格を下回る</t>
    </r>
  </si>
  <si>
    <t xml:space="preserve">JPR-29</t>
  </si>
  <si>
    <t xml:space="preserve">有楽町駅前ビルディング（有楽町イトシア）</t>
  </si>
  <si>
    <r>
      <rPr>
        <sz val="10"/>
        <color rgb="FF0000FF"/>
        <rFont val="Arial"/>
        <family val="0"/>
        <charset val="1"/>
      </rPr>
      <t xml:space="preserve">JPR</t>
    </r>
    <r>
      <rPr>
        <sz val="10"/>
        <color rgb="FF0000FF"/>
        <rFont val="Noto Sans CJK SC"/>
        <family val="2"/>
      </rPr>
      <t xml:space="preserve">独自区分「東京都心」。物件別の帳簿価額・費用は非開示。区分所有</t>
    </r>
  </si>
  <si>
    <t xml:space="preserve">JPR-30</t>
  </si>
  <si>
    <t xml:space="preserve">ＪＰＲ銀座並木通りビル</t>
  </si>
  <si>
    <t xml:space="preserve">JPR-31</t>
  </si>
  <si>
    <t xml:space="preserve">ＦＵＮＤＥＳ水道橋</t>
  </si>
  <si>
    <t xml:space="preserve">JPR-32</t>
  </si>
  <si>
    <t xml:space="preserve">アルカイースト</t>
  </si>
  <si>
    <r>
      <rPr>
        <sz val="10"/>
        <color rgb="FF0000FF"/>
        <rFont val="Arial"/>
        <family val="0"/>
        <charset val="1"/>
      </rPr>
      <t xml:space="preserve">JPR</t>
    </r>
    <r>
      <rPr>
        <sz val="10"/>
        <color rgb="FF0000FF"/>
        <rFont val="Noto Sans CJK SC"/>
        <family val="2"/>
      </rPr>
      <t xml:space="preserve">独自区分「東京周辺部」。物件別の帳簿価額・費用は非開示。</t>
    </r>
  </si>
  <si>
    <t xml:space="preserve">JPR-33</t>
  </si>
  <si>
    <t xml:space="preserve">ＪＰＲ千葉ビル</t>
  </si>
  <si>
    <t xml:space="preserve">千葉市</t>
  </si>
  <si>
    <r>
      <rPr>
        <sz val="10"/>
        <color rgb="FF0000FF"/>
        <rFont val="Arial"/>
        <family val="0"/>
        <charset val="1"/>
      </rPr>
      <t xml:space="preserve">JPR</t>
    </r>
    <r>
      <rPr>
        <sz val="10"/>
        <color rgb="FF0000FF"/>
        <rFont val="Noto Sans CJK SC"/>
        <family val="2"/>
      </rPr>
      <t xml:space="preserve">独自区分「東京周辺部」。物件別の帳簿価額・費用は非開示。鑑定評価額が取得価格を下回る</t>
    </r>
  </si>
  <si>
    <t xml:space="preserve">JPR-34</t>
  </si>
  <si>
    <t xml:space="preserve">ＪＰＲ横浜日本大通ビル</t>
  </si>
  <si>
    <t xml:space="preserve">準共有持分35.0%</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</si>
  <si>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2025/12/18</t>
    </r>
    <r>
      <rPr>
        <sz val="10"/>
        <color rgb="FF0000FF"/>
        <rFont val="Noto Sans CJK SC"/>
        <family val="2"/>
      </rPr>
      <t xml:space="preserve">付で準共有持分</t>
    </r>
    <r>
      <rPr>
        <sz val="10"/>
        <color rgb="FF0000FF"/>
        <rFont val="Arial"/>
        <family val="0"/>
        <charset val="1"/>
      </rPr>
      <t xml:space="preserve">65.0%</t>
    </r>
    <r>
      <rPr>
        <sz val="10"/>
        <color rgb="FF0000FF"/>
        <rFont val="Noto Sans CJK SC"/>
        <family val="2"/>
      </rPr>
      <t xml:space="preserve">を譲渡</t>
    </r>
    <r>
      <rPr>
        <sz val="10"/>
        <color rgb="FF0000FF"/>
        <rFont val="Arial"/>
        <family val="0"/>
        <charset val="1"/>
      </rPr>
      <t xml:space="preserve">(</t>
    </r>
    <r>
      <rPr>
        <sz val="10"/>
        <color rgb="FF0000FF"/>
        <rFont val="Noto Sans CJK SC"/>
        <family val="2"/>
      </rPr>
      <t xml:space="preserve">売却益</t>
    </r>
    <r>
      <rPr>
        <sz val="10"/>
        <color rgb="FF0000FF"/>
        <rFont val="Arial"/>
        <family val="0"/>
        <charset val="1"/>
      </rPr>
      <t xml:space="preserve">1,102,913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。取得価格は当初</t>
    </r>
    <r>
      <rPr>
        <sz val="10"/>
        <color rgb="FF0000FF"/>
        <rFont val="Arial"/>
        <family val="0"/>
        <charset val="1"/>
      </rPr>
      <t xml:space="preserve">2,927</t>
    </r>
    <r>
      <rPr>
        <sz val="10"/>
        <color rgb="FF0000FF"/>
        <rFont val="Noto Sans CJK SC"/>
        <family val="2"/>
      </rPr>
      <t xml:space="preserve">百万円から譲渡持分相当</t>
    </r>
    <r>
      <rPr>
        <sz val="10"/>
        <color rgb="FF0000FF"/>
        <rFont val="Arial"/>
        <family val="0"/>
        <charset val="1"/>
      </rPr>
      <t xml:space="preserve">1,902</t>
    </r>
    <r>
      <rPr>
        <sz val="10"/>
        <color rgb="FF0000FF"/>
        <rFont val="Noto Sans CJK SC"/>
        <family val="2"/>
      </rPr>
      <t xml:space="preserve">百万円控除後。残る</t>
    </r>
    <r>
      <rPr>
        <sz val="10"/>
        <color rgb="FF0000FF"/>
        <rFont val="Arial"/>
        <family val="0"/>
        <charset val="1"/>
      </rPr>
      <t xml:space="preserve">35.0%</t>
    </r>
    <r>
      <rPr>
        <sz val="10"/>
        <color rgb="FF0000FF"/>
        <rFont val="Noto Sans CJK SC"/>
        <family val="2"/>
      </rPr>
      <t xml:space="preserve">も</t>
    </r>
    <r>
      <rPr>
        <sz val="10"/>
        <color rgb="FF0000FF"/>
        <rFont val="Arial"/>
        <family val="0"/>
        <charset val="1"/>
      </rPr>
      <t xml:space="preserve">2026/1/23</t>
    </r>
    <r>
      <rPr>
        <sz val="10"/>
        <color rgb="FF0000FF"/>
        <rFont val="Noto Sans CJK SC"/>
        <family val="2"/>
      </rPr>
      <t xml:space="preserve">付で譲渡済</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1,550</t>
    </r>
    <r>
      <rPr>
        <sz val="10"/>
        <color rgb="FF0000FF"/>
        <rFont val="Noto Sans CJK SC"/>
        <family val="2"/>
      </rPr>
      <t xml:space="preserve">百万円・売却益約</t>
    </r>
    <r>
      <rPr>
        <sz val="10"/>
        <color rgb="FF0000FF"/>
        <rFont val="Arial"/>
        <family val="0"/>
        <charset val="1"/>
      </rPr>
      <t xml:space="preserve">595</t>
    </r>
    <r>
      <rPr>
        <sz val="10"/>
        <color rgb="FF0000FF"/>
        <rFont val="Noto Sans CJK SC"/>
        <family val="2"/>
      </rPr>
      <t xml:space="preserve">百万円を第</t>
    </r>
    <r>
      <rPr>
        <sz val="10"/>
        <color rgb="FF0000FF"/>
        <rFont val="Arial"/>
        <family val="0"/>
        <charset val="1"/>
      </rPr>
      <t xml:space="preserve">49</t>
    </r>
    <r>
      <rPr>
        <sz val="10"/>
        <color rgb="FF0000FF"/>
        <rFont val="Noto Sans CJK SC"/>
        <family val="2"/>
      </rPr>
      <t xml:space="preserve">期計上予定</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等は持分相当</t>
    </r>
  </si>
  <si>
    <t xml:space="preserve">JPR-35</t>
  </si>
  <si>
    <t xml:space="preserve">新横浜第二センタービル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</si>
  <si>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2002/9</t>
    </r>
    <r>
      <rPr>
        <sz val="10"/>
        <color rgb="FF0000FF"/>
        <rFont val="Noto Sans CJK SC"/>
        <family val="2"/>
      </rPr>
      <t xml:space="preserve">・</t>
    </r>
    <r>
      <rPr>
        <sz val="10"/>
        <color rgb="FF0000FF"/>
        <rFont val="Arial"/>
        <family val="0"/>
        <charset val="1"/>
      </rPr>
      <t xml:space="preserve">2013/3</t>
    </r>
    <r>
      <rPr>
        <sz val="10"/>
        <color rgb="FF0000FF"/>
        <rFont val="Noto Sans CJK SC"/>
        <family val="2"/>
      </rPr>
      <t xml:space="preserve">の取得合計</t>
    </r>
    <r>
      <rPr>
        <sz val="10"/>
        <color rgb="FF0000FF"/>
        <rFont val="Arial"/>
        <family val="0"/>
        <charset val="1"/>
      </rPr>
      <t xml:space="preserve">(920+570)</t>
    </r>
  </si>
  <si>
    <t xml:space="preserve">JPR-36</t>
  </si>
  <si>
    <t xml:space="preserve">川口センタービル</t>
  </si>
  <si>
    <t xml:space="preserve">川口市</t>
  </si>
  <si>
    <t xml:space="preserve">JPR-37</t>
  </si>
  <si>
    <t xml:space="preserve">立川ビジネスセンタービル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</si>
  <si>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2005/9</t>
    </r>
    <r>
      <rPr>
        <sz val="10"/>
        <color rgb="FF0000FF"/>
        <rFont val="Noto Sans CJK SC"/>
        <family val="2"/>
      </rPr>
      <t xml:space="preserve">・</t>
    </r>
    <r>
      <rPr>
        <sz val="10"/>
        <color rgb="FF0000FF"/>
        <rFont val="Arial"/>
        <family val="0"/>
        <charset val="1"/>
      </rPr>
      <t xml:space="preserve">2007/2</t>
    </r>
    <r>
      <rPr>
        <sz val="10"/>
        <color rgb="FF0000FF"/>
        <rFont val="Noto Sans CJK SC"/>
        <family val="2"/>
      </rPr>
      <t xml:space="preserve">の取得合計</t>
    </r>
    <r>
      <rPr>
        <sz val="10"/>
        <color rgb="FF0000FF"/>
        <rFont val="Arial"/>
        <family val="0"/>
        <charset val="1"/>
      </rPr>
      <t xml:space="preserve">(888+2,300)</t>
    </r>
  </si>
  <si>
    <t xml:space="preserve">JPR-38</t>
  </si>
  <si>
    <t xml:space="preserve">ライズアリーナビル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</si>
  <si>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2007/3</t>
    </r>
    <r>
      <rPr>
        <sz val="10"/>
        <color rgb="FF0000FF"/>
        <rFont val="Noto Sans CJK SC"/>
        <family val="2"/>
      </rPr>
      <t xml:space="preserve">・</t>
    </r>
    <r>
      <rPr>
        <sz val="10"/>
        <color rgb="FF0000FF"/>
        <rFont val="Arial"/>
        <family val="0"/>
        <charset val="1"/>
      </rPr>
      <t xml:space="preserve">2021/10</t>
    </r>
    <r>
      <rPr>
        <sz val="10"/>
        <color rgb="FF0000FF"/>
        <rFont val="Noto Sans CJK SC"/>
        <family val="2"/>
      </rPr>
      <t xml:space="preserve">の取得合計</t>
    </r>
    <r>
      <rPr>
        <sz val="10"/>
        <color rgb="FF0000FF"/>
        <rFont val="Arial"/>
        <family val="0"/>
        <charset val="1"/>
      </rPr>
      <t xml:space="preserve">(5,831+7,300)</t>
    </r>
    <r>
      <rPr>
        <sz val="10"/>
        <color rgb="FF0000FF"/>
        <rFont val="Noto Sans CJK SC"/>
        <family val="2"/>
      </rPr>
      <t xml:space="preserve">。敷地・延床は住宅棟含む再開発全体。一部サブリース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</si>
  <si>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JPR-39</t>
  </si>
  <si>
    <t xml:space="preserve">ゆめおおおかオフィスタワー</t>
  </si>
  <si>
    <t xml:space="preserve">JPR-40</t>
  </si>
  <si>
    <t xml:space="preserve">オリナスタワー</t>
  </si>
  <si>
    <r>
      <rPr>
        <sz val="10"/>
        <color rgb="FF0000FF"/>
        <rFont val="Arial"/>
        <family val="0"/>
        <charset val="1"/>
      </rPr>
      <t xml:space="preserve">JPR</t>
    </r>
    <r>
      <rPr>
        <sz val="10"/>
        <color rgb="FF0000FF"/>
        <rFont val="Noto Sans CJK SC"/>
        <family val="2"/>
      </rPr>
      <t xml:space="preserve">独自区分「東京周辺部」。物件別の帳簿価額・費用は非開示。敷地・延床は商業棟・住宅棟含む全体。区分所有。一部サブリース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</si>
  <si>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JPR-41</t>
  </si>
  <si>
    <t xml:space="preserve">ＪＰＲ横浜ビル</t>
  </si>
  <si>
    <t xml:space="preserve">JPR-42</t>
  </si>
  <si>
    <t xml:space="preserve">ＪＰＲ大宮ビル</t>
  </si>
  <si>
    <t xml:space="preserve">JPR-43</t>
  </si>
  <si>
    <t xml:space="preserve">センシティビルディング</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</si>
  <si>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1998/8</t>
    </r>
    <r>
      <rPr>
        <sz val="10"/>
        <color rgb="FF0000FF"/>
        <rFont val="Noto Sans CJK SC"/>
        <family val="2"/>
      </rPr>
      <t xml:space="preserve">増築。敷地・延床は再開発全体。一部サブリース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88.7%</t>
    </r>
    <r>
      <rPr>
        <sz val="10"/>
        <color rgb="FF0000FF"/>
        <rFont val="Noto Sans CJK SC"/>
        <family val="2"/>
      </rPr>
      <t xml:space="preserve">はポートフォリオ最低。鑑定評価額が取得価格を下回る</t>
    </r>
  </si>
  <si>
    <t xml:space="preserve">JPR-44</t>
  </si>
  <si>
    <t xml:space="preserve">中野セントラルパークイースト</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</si>
  <si>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2024/3</t>
    </r>
    <r>
      <rPr>
        <sz val="10"/>
        <color rgb="FF0000FF"/>
        <rFont val="Noto Sans CJK SC"/>
        <family val="2"/>
      </rPr>
      <t xml:space="preserve">・</t>
    </r>
    <r>
      <rPr>
        <sz val="10"/>
        <color rgb="FF0000FF"/>
        <rFont val="Arial"/>
        <family val="0"/>
        <charset val="1"/>
      </rPr>
      <t xml:space="preserve">2025/2</t>
    </r>
    <r>
      <rPr>
        <sz val="10"/>
        <color rgb="FF0000FF"/>
        <rFont val="Noto Sans CJK SC"/>
        <family val="2"/>
      </rPr>
      <t xml:space="preserve">の取得合計</t>
    </r>
    <r>
      <rPr>
        <sz val="10"/>
        <color rgb="FF0000FF"/>
        <rFont val="Arial"/>
        <family val="0"/>
        <charset val="1"/>
      </rPr>
      <t xml:space="preserve">(28,800+24,107)=JPR</t>
    </r>
    <r>
      <rPr>
        <sz val="10"/>
        <color rgb="FF0000FF"/>
        <rFont val="Noto Sans CJK SC"/>
        <family val="2"/>
      </rPr>
      <t xml:space="preserve">最大の取得価格。買換特例圧縮積立金の対象資産。一部サブリース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</si>
  <si>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JPR-45</t>
  </si>
  <si>
    <t xml:space="preserve">田無アスタ</t>
  </si>
  <si>
    <t xml:space="preserve">西東京市</t>
  </si>
  <si>
    <r>
      <rPr>
        <sz val="10"/>
        <color rgb="FF0000FF"/>
        <rFont val="Arial"/>
        <family val="0"/>
        <charset val="1"/>
      </rPr>
      <t xml:space="preserve">JPR</t>
    </r>
    <r>
      <rPr>
        <sz val="10"/>
        <color rgb="FF0000FF"/>
        <rFont val="Noto Sans CJK SC"/>
        <family val="2"/>
      </rPr>
      <t xml:space="preserve">独自区分「東京周辺部」。物件別の帳簿価額・費用は非開示。一棟貸</t>
    </r>
    <r>
      <rPr>
        <sz val="10"/>
        <color rgb="FF0000FF"/>
        <rFont val="Arial"/>
        <family val="0"/>
        <charset val="1"/>
      </rPr>
      <t xml:space="preserve">(</t>
    </r>
    <r>
      <rPr>
        <sz val="10"/>
        <color rgb="FF0000FF"/>
        <rFont val="Noto Sans CJK SC"/>
        <family val="2"/>
      </rPr>
      <t xml:space="preserve">西友</t>
    </r>
    <r>
      <rPr>
        <sz val="10"/>
        <color rgb="FF0000FF"/>
        <rFont val="Arial"/>
        <family val="0"/>
        <charset val="1"/>
      </rPr>
      <t xml:space="preserve">)</t>
    </r>
  </si>
  <si>
    <t xml:space="preserve">JPR-46</t>
  </si>
  <si>
    <t xml:space="preserve">キュポ・ラ本館棟</t>
  </si>
  <si>
    <r>
      <rPr>
        <sz val="10"/>
        <color rgb="FF0000FF"/>
        <rFont val="Arial"/>
        <family val="0"/>
        <charset val="1"/>
      </rPr>
      <t xml:space="preserve">JPR</t>
    </r>
    <r>
      <rPr>
        <sz val="10"/>
        <color rgb="FF0000FF"/>
        <rFont val="Noto Sans CJK SC"/>
        <family val="2"/>
      </rPr>
      <t xml:space="preserve">独自区分「東京周辺部」。物件別の帳簿価額・費用は非開示。敷地は再開発全体。一棟貸</t>
    </r>
    <r>
      <rPr>
        <sz val="10"/>
        <color rgb="FF0000FF"/>
        <rFont val="Arial"/>
        <family val="0"/>
        <charset val="1"/>
      </rPr>
      <t xml:space="preserve">(</t>
    </r>
    <r>
      <rPr>
        <sz val="10"/>
        <color rgb="FF0000FF"/>
        <rFont val="Noto Sans CJK SC"/>
        <family val="2"/>
      </rPr>
      <t xml:space="preserve">マルエツ</t>
    </r>
    <r>
      <rPr>
        <sz val="10"/>
        <color rgb="FF0000FF"/>
        <rFont val="Arial"/>
        <family val="0"/>
        <charset val="1"/>
      </rPr>
      <t xml:space="preserve">)</t>
    </r>
  </si>
  <si>
    <t xml:space="preserve">JPR-47</t>
  </si>
  <si>
    <t xml:space="preserve">ＪＰＲ武蔵小杉ビル</t>
  </si>
  <si>
    <r>
      <rPr>
        <sz val="10"/>
        <color rgb="FF0000FF"/>
        <rFont val="Arial"/>
        <family val="0"/>
        <charset val="1"/>
      </rPr>
      <t xml:space="preserve">JPR</t>
    </r>
    <r>
      <rPr>
        <sz val="10"/>
        <color rgb="FF0000FF"/>
        <rFont val="Noto Sans CJK SC"/>
        <family val="2"/>
      </rPr>
      <t xml:space="preserve">独自区分「東京周辺部」。物件別の帳簿価額・費用は非開示。一棟貸</t>
    </r>
    <r>
      <rPr>
        <sz val="10"/>
        <color rgb="FF0000FF"/>
        <rFont val="Arial"/>
        <family val="0"/>
        <charset val="1"/>
      </rPr>
      <t xml:space="preserve">(</t>
    </r>
    <r>
      <rPr>
        <sz val="10"/>
        <color rgb="FF0000FF"/>
        <rFont val="Noto Sans CJK SC"/>
        <family val="2"/>
      </rPr>
      <t xml:space="preserve">イトーヨーカ堂</t>
    </r>
    <r>
      <rPr>
        <sz val="10"/>
        <color rgb="FF0000FF"/>
        <rFont val="Arial"/>
        <family val="0"/>
        <charset val="1"/>
      </rPr>
      <t xml:space="preserve">)</t>
    </r>
    <r>
      <rPr>
        <sz val="10"/>
        <color rgb="FF0000FF"/>
        <rFont val="Noto Sans CJK SC"/>
        <family val="2"/>
      </rPr>
      <t xml:space="preserve">。鑑定評価額が取得価格を下回る</t>
    </r>
  </si>
  <si>
    <t xml:space="preserve">JPR-48</t>
  </si>
  <si>
    <t xml:space="preserve">武蔵浦和ショッピングスクエア</t>
  </si>
  <si>
    <t xml:space="preserve">JPR-49</t>
  </si>
  <si>
    <t xml:space="preserve">川崎ダイスビル</t>
  </si>
  <si>
    <r>
      <rPr>
        <sz val="10"/>
        <color rgb="FF0000FF"/>
        <rFont val="Arial"/>
        <family val="0"/>
        <charset val="1"/>
      </rPr>
      <t xml:space="preserve">JPR</t>
    </r>
    <r>
      <rPr>
        <sz val="10"/>
        <color rgb="FF0000FF"/>
        <rFont val="Noto Sans CJK SC"/>
        <family val="2"/>
      </rPr>
      <t xml:space="preserve">独自区分「東京周辺部」。物件別の帳簿価額・費用は非開示。一部サブリース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r>
      <rPr>
        <sz val="10"/>
        <color rgb="FF0000FF"/>
        <rFont val="Noto Sans CJK SC"/>
        <family val="2"/>
      </rPr>
      <t xml:space="preserve">。鑑定評価額が取得価格を下回る</t>
    </r>
  </si>
  <si>
    <t xml:space="preserve">JPR-50</t>
  </si>
  <si>
    <t xml:space="preserve">ＦＵＮＤＥＳ上野</t>
  </si>
  <si>
    <t xml:space="preserve">JPR-51</t>
  </si>
  <si>
    <t xml:space="preserve">ＦＵＮＤＥＳ蒲田</t>
  </si>
  <si>
    <t xml:space="preserve">大田区</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</si>
  <si>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2025/12/19</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当期期中取得・約</t>
    </r>
    <r>
      <rPr>
        <sz val="10"/>
        <color rgb="FF0000FF"/>
        <rFont val="Arial"/>
        <family val="0"/>
        <charset val="1"/>
      </rPr>
      <t xml:space="preserve">2</t>
    </r>
    <r>
      <rPr>
        <sz val="10"/>
        <color rgb="FF0000FF"/>
        <rFont val="Noto Sans CJK SC"/>
        <family val="2"/>
      </rPr>
      <t xml:space="preserve">週間分のため収入</t>
    </r>
    <r>
      <rPr>
        <sz val="10"/>
        <color rgb="FF0000FF"/>
        <rFont val="Arial"/>
        <family val="0"/>
        <charset val="1"/>
      </rPr>
      <t xml:space="preserve">14,394</t>
    </r>
    <r>
      <rPr>
        <sz val="10"/>
        <color rgb="FF0000FF"/>
        <rFont val="Noto Sans CJK SC"/>
        <family val="2"/>
      </rPr>
      <t xml:space="preserve">千円は期間僅少</t>
    </r>
    <r>
      <rPr>
        <sz val="10"/>
        <color rgb="FF0000FF"/>
        <rFont val="Arial"/>
        <family val="0"/>
        <charset val="1"/>
      </rPr>
      <t xml:space="preserve">)</t>
    </r>
  </si>
  <si>
    <t xml:space="preserve">JPR-52</t>
  </si>
  <si>
    <t xml:space="preserve">ホテルグレイスリー浅草</t>
  </si>
  <si>
    <t xml:space="preserve">ホテル</t>
  </si>
  <si>
    <r>
      <rPr>
        <sz val="10"/>
        <color rgb="FF0000FF"/>
        <rFont val="Arial"/>
        <family val="0"/>
        <charset val="1"/>
      </rPr>
      <t xml:space="preserve">JPR</t>
    </r>
    <r>
      <rPr>
        <sz val="10"/>
        <color rgb="FF0000FF"/>
        <rFont val="Noto Sans CJK SC"/>
        <family val="2"/>
      </rPr>
      <t xml:space="preserve">独自区分「東京周辺部」。物件別の帳簿価額・費用は非開示。</t>
    </r>
    <r>
      <rPr>
        <sz val="10"/>
        <color rgb="FF0000FF"/>
        <rFont val="Arial"/>
        <family val="0"/>
        <charset val="1"/>
      </rPr>
      <t xml:space="preserve">2025/12/19</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当期期中取得</t>
    </r>
    <r>
      <rPr>
        <sz val="10"/>
        <color rgb="FF0000FF"/>
        <rFont val="Arial"/>
        <family val="0"/>
        <charset val="1"/>
      </rPr>
      <t xml:space="preserve">)</t>
    </r>
    <r>
      <rPr>
        <sz val="10"/>
        <color rgb="FF0000FF"/>
        <rFont val="Noto Sans CJK SC"/>
        <family val="2"/>
      </rPr>
      <t xml:space="preserve">。ホテル</t>
    </r>
    <r>
      <rPr>
        <sz val="10"/>
        <color rgb="FF0000FF"/>
        <rFont val="Arial"/>
        <family val="0"/>
        <charset val="1"/>
      </rPr>
      <t xml:space="preserve">(</t>
    </r>
    <r>
      <rPr>
        <sz val="10"/>
        <color rgb="FF0000FF"/>
        <rFont val="Noto Sans CJK SC"/>
        <family val="2"/>
      </rPr>
      <t xml:space="preserve">一棟貸</t>
    </r>
    <r>
      <rPr>
        <sz val="10"/>
        <color rgb="FF0000FF"/>
        <rFont val="Arial"/>
        <family val="0"/>
        <charset val="1"/>
      </rPr>
      <t xml:space="preserve">)</t>
    </r>
  </si>
  <si>
    <t xml:space="preserve">JPR-53</t>
  </si>
  <si>
    <t xml:space="preserve">新潟駅南センタービル</t>
  </si>
  <si>
    <t xml:space="preserve">新潟県</t>
  </si>
  <si>
    <t xml:space="preserve">新潟市</t>
  </si>
  <si>
    <r>
      <rPr>
        <sz val="10"/>
        <color rgb="FF0000FF"/>
        <rFont val="Arial"/>
        <family val="0"/>
        <charset val="1"/>
      </rPr>
      <t xml:space="preserve">JPR</t>
    </r>
    <r>
      <rPr>
        <sz val="10"/>
        <color rgb="FF0000FF"/>
        <rFont val="Noto Sans CJK SC"/>
        <family val="2"/>
      </rPr>
      <t xml:space="preserve">独自区分「地方」。物件別の帳簿価額・費用は非開示。鑑定評価額が取得価格を下回る</t>
    </r>
  </si>
  <si>
    <t xml:space="preserve">JPR-54</t>
  </si>
  <si>
    <t xml:space="preserve">ＪＰＲ那覇ビル</t>
  </si>
  <si>
    <r>
      <rPr>
        <sz val="10"/>
        <color rgb="FF0000FF"/>
        <rFont val="Arial"/>
        <family val="0"/>
        <charset val="1"/>
      </rPr>
      <t xml:space="preserve">JPR</t>
    </r>
    <r>
      <rPr>
        <sz val="10"/>
        <color rgb="FF0000FF"/>
        <rFont val="Noto Sans CJK SC"/>
        <family val="2"/>
      </rPr>
      <t xml:space="preserve">独自区分「地方」。物件別の帳簿価額・費用は非開示。</t>
    </r>
  </si>
  <si>
    <t xml:space="preserve">JPR-55</t>
  </si>
  <si>
    <t xml:space="preserve">損保ジャパン仙台ビル</t>
  </si>
  <si>
    <t xml:space="preserve">JPR-56</t>
  </si>
  <si>
    <t xml:space="preserve">損保ジャパン和歌山ビル</t>
  </si>
  <si>
    <t xml:space="preserve">和歌山県</t>
  </si>
  <si>
    <t xml:space="preserve">和歌山市</t>
  </si>
  <si>
    <t xml:space="preserve">JPR-57</t>
  </si>
  <si>
    <t xml:space="preserve">天神１２１ビル</t>
  </si>
  <si>
    <t xml:space="preserve">JPR-58</t>
  </si>
  <si>
    <t xml:space="preserve">ＪＰＲ堂島ビル</t>
  </si>
  <si>
    <r>
      <rPr>
        <sz val="10"/>
        <color rgb="FF0000FF"/>
        <rFont val="Arial"/>
        <family val="0"/>
        <charset val="1"/>
      </rPr>
      <t xml:space="preserve">JPR</t>
    </r>
    <r>
      <rPr>
        <sz val="10"/>
        <color rgb="FF0000FF"/>
        <rFont val="Noto Sans CJK SC"/>
        <family val="2"/>
      </rPr>
      <t xml:space="preserve">独自区分「地方」。物件別の帳簿価額・費用は非開示。鑑定評価額が取得価格の約</t>
    </r>
    <r>
      <rPr>
        <sz val="10"/>
        <color rgb="FF0000FF"/>
        <rFont val="Arial"/>
        <family val="0"/>
        <charset val="1"/>
      </rPr>
      <t xml:space="preserve">2</t>
    </r>
    <r>
      <rPr>
        <sz val="10"/>
        <color rgb="FF0000FF"/>
        <rFont val="Noto Sans CJK SC"/>
        <family val="2"/>
      </rPr>
      <t xml:space="preserve">倍</t>
    </r>
  </si>
  <si>
    <t xml:space="preserve">JPR-59</t>
  </si>
  <si>
    <t xml:space="preserve">薬院ビジネスガーデン</t>
  </si>
  <si>
    <r>
      <rPr>
        <sz val="10"/>
        <color rgb="FF0000FF"/>
        <rFont val="Arial"/>
        <family val="0"/>
        <charset val="1"/>
      </rPr>
      <t xml:space="preserve">JPR</t>
    </r>
    <r>
      <rPr>
        <sz val="10"/>
        <color rgb="FF0000FF"/>
        <rFont val="Noto Sans CJK SC"/>
        <family val="2"/>
      </rPr>
      <t xml:space="preserve">独自区分「地方」。物件別の帳簿価額・費用は非開示。鑑定評価額</t>
    </r>
    <r>
      <rPr>
        <sz val="10"/>
        <color rgb="FF0000FF"/>
        <rFont val="Arial"/>
        <family val="0"/>
        <charset val="1"/>
      </rPr>
      <t xml:space="preserve">24,800</t>
    </r>
    <r>
      <rPr>
        <sz val="10"/>
        <color rgb="FF0000FF"/>
        <rFont val="Noto Sans CJK SC"/>
        <family val="2"/>
      </rPr>
      <t xml:space="preserve">百万円は取得価格</t>
    </r>
    <r>
      <rPr>
        <sz val="10"/>
        <color rgb="FF0000FF"/>
        <rFont val="Arial"/>
        <family val="0"/>
        <charset val="1"/>
      </rPr>
      <t xml:space="preserve">10,996</t>
    </r>
    <r>
      <rPr>
        <sz val="10"/>
        <color rgb="FF0000FF"/>
        <rFont val="Noto Sans CJK SC"/>
        <family val="2"/>
      </rPr>
      <t xml:space="preserve">百万円の</t>
    </r>
    <r>
      <rPr>
        <sz val="10"/>
        <color rgb="FF0000FF"/>
        <rFont val="Arial"/>
        <family val="0"/>
        <charset val="1"/>
      </rPr>
      <t xml:space="preserve">2.3</t>
    </r>
    <r>
      <rPr>
        <sz val="10"/>
        <color rgb="FF0000FF"/>
        <rFont val="Noto Sans CJK SC"/>
        <family val="2"/>
      </rPr>
      <t xml:space="preserve">倍</t>
    </r>
    <r>
      <rPr>
        <sz val="10"/>
        <color rgb="FF0000FF"/>
        <rFont val="Arial"/>
        <family val="0"/>
        <charset val="1"/>
      </rPr>
      <t xml:space="preserve">=</t>
    </r>
    <r>
      <rPr>
        <sz val="10"/>
        <color rgb="FF0000FF"/>
        <rFont val="Noto Sans CJK SC"/>
        <family val="2"/>
      </rPr>
      <t xml:space="preserve">含み益率ポートフォリオ最大級</t>
    </r>
  </si>
  <si>
    <t xml:space="preserve">JPR-60</t>
  </si>
  <si>
    <t xml:space="preserve">ＪＰＲ心斎橋ビル</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</si>
  <si>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2005/1</t>
    </r>
    <r>
      <rPr>
        <sz val="10"/>
        <color rgb="FF0000FF"/>
        <rFont val="Noto Sans CJK SC"/>
        <family val="2"/>
      </rPr>
      <t xml:space="preserve">増築。鑑定評価額が取得価格を下回る</t>
    </r>
  </si>
  <si>
    <t xml:space="preserve">JPR-61</t>
  </si>
  <si>
    <t xml:space="preserve">ＪＰＲ心斎橋ウエスト</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</si>
  <si>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2007/2</t>
    </r>
    <r>
      <rPr>
        <sz val="10"/>
        <color rgb="FF0000FF"/>
        <rFont val="Noto Sans CJK SC"/>
        <family val="2"/>
      </rPr>
      <t xml:space="preserve">増築。</t>
    </r>
    <r>
      <rPr>
        <sz val="10"/>
        <color rgb="FF0000FF"/>
        <rFont val="Arial"/>
        <family val="0"/>
        <charset val="1"/>
      </rPr>
      <t xml:space="preserve">2025/6</t>
    </r>
    <r>
      <rPr>
        <sz val="10"/>
        <color rgb="FF0000FF"/>
        <rFont val="Noto Sans CJK SC"/>
        <family val="2"/>
      </rPr>
      <t xml:space="preserve">期に隣接土地取得</t>
    </r>
    <r>
      <rPr>
        <sz val="10"/>
        <color rgb="FF0000FF"/>
        <rFont val="Arial"/>
        <family val="0"/>
        <charset val="1"/>
      </rPr>
      <t xml:space="preserve">(30,144</t>
    </r>
    <r>
      <rPr>
        <sz val="10"/>
        <color rgb="FF0000FF"/>
        <rFont val="Noto Sans CJK SC"/>
        <family val="2"/>
      </rPr>
      <t xml:space="preserve">千円</t>
    </r>
    <r>
      <rPr>
        <sz val="10"/>
        <color rgb="FF0000FF"/>
        <rFont val="Arial"/>
        <family val="0"/>
        <charset val="1"/>
      </rPr>
      <t xml:space="preserve">)</t>
    </r>
  </si>
  <si>
    <t xml:space="preserve">JPR-62</t>
  </si>
  <si>
    <t xml:space="preserve">準共有持分9.5%</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</si>
  <si>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2021/12(4.9%)</t>
    </r>
    <r>
      <rPr>
        <sz val="10"/>
        <color rgb="FF0000FF"/>
        <rFont val="Noto Sans CJK SC"/>
        <family val="2"/>
      </rPr>
      <t xml:space="preserve">・</t>
    </r>
    <r>
      <rPr>
        <sz val="10"/>
        <color rgb="FF0000FF"/>
        <rFont val="Arial"/>
        <family val="0"/>
        <charset val="1"/>
      </rPr>
      <t xml:space="preserve">2025/12/19(4.6%)</t>
    </r>
    <r>
      <rPr>
        <sz val="10"/>
        <color rgb="FF0000FF"/>
        <rFont val="Noto Sans CJK SC"/>
        <family val="2"/>
      </rPr>
      <t xml:space="preserve">の取得合計</t>
    </r>
    <r>
      <rPr>
        <sz val="10"/>
        <color rgb="FF0000FF"/>
        <rFont val="Arial"/>
        <family val="0"/>
        <charset val="1"/>
      </rPr>
      <t xml:space="preserve">(11,800+9,200)</t>
    </r>
    <r>
      <rPr>
        <sz val="10"/>
        <color rgb="FF0000FF"/>
        <rFont val="Noto Sans CJK SC"/>
        <family val="2"/>
      </rPr>
      <t xml:space="preserve">。竣工はうめきた広場</t>
    </r>
    <r>
      <rPr>
        <sz val="10"/>
        <color rgb="FF0000FF"/>
        <rFont val="Arial"/>
        <family val="0"/>
        <charset val="1"/>
      </rPr>
      <t xml:space="preserve">2013/2</t>
    </r>
    <r>
      <rPr>
        <sz val="10"/>
        <color rgb="FF0000FF"/>
        <rFont val="Noto Sans CJK SC"/>
        <family val="2"/>
      </rPr>
      <t xml:space="preserve">・南館</t>
    </r>
    <r>
      <rPr>
        <sz val="10"/>
        <color rgb="FF0000FF"/>
        <rFont val="Arial"/>
        <family val="0"/>
        <charset val="1"/>
      </rPr>
      <t xml:space="preserve">2013/3</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等は持分相当。付随して</t>
    </r>
    <r>
      <rPr>
        <sz val="10"/>
        <color rgb="FF0000FF"/>
        <rFont val="Arial"/>
        <family val="0"/>
        <charset val="1"/>
      </rPr>
      <t xml:space="preserve">KMO</t>
    </r>
    <r>
      <rPr>
        <sz val="10"/>
        <color rgb="FF0000FF"/>
        <rFont val="Noto Sans CJK SC"/>
        <family val="2"/>
      </rPr>
      <t xml:space="preserve">株式</t>
    </r>
    <r>
      <rPr>
        <sz val="10"/>
        <color rgb="FF0000FF"/>
        <rFont val="Arial"/>
        <family val="0"/>
        <charset val="1"/>
      </rPr>
      <t xml:space="preserve">(162,380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等を取得。一部サブリース</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</si>
  <si>
    <t xml:space="preserve">JPR-63</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</si>
  <si>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2021/12(4.9%)</t>
    </r>
    <r>
      <rPr>
        <sz val="10"/>
        <color rgb="FF0000FF"/>
        <rFont val="Noto Sans CJK SC"/>
        <family val="2"/>
      </rPr>
      <t xml:space="preserve">・</t>
    </r>
    <r>
      <rPr>
        <sz val="10"/>
        <color rgb="FF0000FF"/>
        <rFont val="Arial"/>
        <family val="0"/>
        <charset val="1"/>
      </rPr>
      <t xml:space="preserve">2025/12/19(4.6%)</t>
    </r>
    <r>
      <rPr>
        <sz val="10"/>
        <color rgb="FF0000FF"/>
        <rFont val="Noto Sans CJK SC"/>
        <family val="2"/>
      </rPr>
      <t xml:space="preserve">の取得合計</t>
    </r>
    <r>
      <rPr>
        <sz val="10"/>
        <color rgb="FF0000FF"/>
        <rFont val="Arial"/>
        <family val="0"/>
        <charset val="1"/>
      </rPr>
      <t xml:space="preserve">(9,500+8,000)</t>
    </r>
    <r>
      <rPr>
        <sz val="10"/>
        <color rgb="FF0000FF"/>
        <rFont val="Noto Sans CJK SC"/>
        <family val="2"/>
      </rPr>
      <t xml:space="preserve">。</t>
    </r>
    <r>
      <rPr>
        <sz val="10"/>
        <color rgb="FF0000FF"/>
        <rFont val="Arial"/>
        <family val="0"/>
        <charset val="1"/>
      </rPr>
      <t xml:space="preserve">NLA</t>
    </r>
    <r>
      <rPr>
        <sz val="10"/>
        <color rgb="FF0000FF"/>
        <rFont val="Noto Sans CJK SC"/>
        <family val="2"/>
      </rPr>
      <t xml:space="preserve">等は持分相当。一部固定型</t>
    </r>
    <r>
      <rPr>
        <sz val="10"/>
        <color rgb="FF0000FF"/>
        <rFont val="Arial"/>
        <family val="0"/>
        <charset val="1"/>
      </rPr>
      <t xml:space="preserve">ML/</t>
    </r>
    <r>
      <rPr>
        <sz val="10"/>
        <color rgb="FF0000FF"/>
        <rFont val="Noto Sans CJK SC"/>
        <family val="2"/>
      </rPr>
      <t xml:space="preserve">ダイレクトリース。テナント数はエンドテナント数</t>
    </r>
  </si>
  <si>
    <t xml:space="preserve">JPR-64</t>
  </si>
  <si>
    <t xml:space="preserve">ＪＰＲ堂島ウエスト</t>
  </si>
  <si>
    <t xml:space="preserve">JPR-65</t>
  </si>
  <si>
    <t xml:space="preserve">ＪＰＲ茶屋町ビル</t>
  </si>
  <si>
    <t xml:space="preserve">JPR-66</t>
  </si>
  <si>
    <t xml:space="preserve">ＦＵＮＤＥＳ天神西通り</t>
  </si>
  <si>
    <r>
      <rPr>
        <sz val="10"/>
        <color rgb="FF0000FF"/>
        <rFont val="Arial"/>
        <family val="0"/>
        <charset val="1"/>
      </rPr>
      <t xml:space="preserve">JPR</t>
    </r>
    <r>
      <rPr>
        <sz val="10"/>
        <color rgb="FF0000FF"/>
        <rFont val="Noto Sans CJK SC"/>
        <family val="2"/>
      </rPr>
      <t xml:space="preserve">独自区分「地方」。物件別の帳簿価額・費用は非開示。稼働</t>
    </r>
    <r>
      <rPr>
        <sz val="10"/>
        <color rgb="FF0000FF"/>
        <rFont val="Arial"/>
        <family val="0"/>
        <charset val="1"/>
      </rPr>
      <t xml:space="preserve">83.8%</t>
    </r>
    <r>
      <rPr>
        <sz val="10"/>
        <color rgb="FF0000FF"/>
        <rFont val="Noto Sans CJK SC"/>
        <family val="2"/>
      </rPr>
      <t xml:space="preserve">はポートフォリオで</t>
    </r>
    <r>
      <rPr>
        <sz val="10"/>
        <color rgb="FF0000FF"/>
        <rFont val="Arial"/>
        <family val="0"/>
        <charset val="1"/>
      </rPr>
      <t xml:space="preserve">2</t>
    </r>
    <r>
      <rPr>
        <sz val="10"/>
        <color rgb="FF0000FF"/>
        <rFont val="Noto Sans CJK SC"/>
        <family val="2"/>
      </rPr>
      <t xml:space="preserve">番目に低い</t>
    </r>
  </si>
  <si>
    <t xml:space="preserve">JPR-67</t>
  </si>
  <si>
    <t xml:space="preserve">ザ ロイヤルパーク キャンバス 名古屋</t>
  </si>
  <si>
    <r>
      <rPr>
        <sz val="10"/>
        <color rgb="FF0000FF"/>
        <rFont val="Arial"/>
        <family val="0"/>
        <charset val="1"/>
      </rPr>
      <t xml:space="preserve">JPR</t>
    </r>
    <r>
      <rPr>
        <sz val="10"/>
        <color rgb="FF0000FF"/>
        <rFont val="Noto Sans CJK SC"/>
        <family val="2"/>
      </rPr>
      <t xml:space="preserve">独自区分「地方」。物件別の帳簿価額・費用は非開示。</t>
    </r>
    <r>
      <rPr>
        <sz val="10"/>
        <color rgb="FF0000FF"/>
        <rFont val="Arial"/>
        <family val="0"/>
        <charset val="1"/>
      </rPr>
      <t xml:space="preserve">2024/10</t>
    </r>
    <r>
      <rPr>
        <sz val="10"/>
        <color rgb="FF0000FF"/>
        <rFont val="Noto Sans CJK SC"/>
        <family val="2"/>
      </rPr>
      <t xml:space="preserve">取得。ホテル</t>
    </r>
    <r>
      <rPr>
        <sz val="10"/>
        <color rgb="FF0000FF"/>
        <rFont val="Arial"/>
        <family val="0"/>
        <charset val="1"/>
      </rPr>
      <t xml:space="preserve">(</t>
    </r>
    <r>
      <rPr>
        <sz val="10"/>
        <color rgb="FF0000FF"/>
        <rFont val="Noto Sans CJK SC"/>
        <family val="2"/>
      </rPr>
      <t xml:space="preserve">一棟貸</t>
    </r>
    <r>
      <rPr>
        <sz val="10"/>
        <color rgb="FF0000FF"/>
        <rFont val="Arial"/>
        <family val="0"/>
        <charset val="1"/>
      </rPr>
      <t xml:space="preserve">)</t>
    </r>
  </si>
  <si>
    <t xml:space="preserve">JPR-68</t>
  </si>
  <si>
    <t xml:space="preserve">ハウジング・デザイン・センター神戸</t>
  </si>
  <si>
    <t xml:space="preserve">兵庫県</t>
  </si>
  <si>
    <t xml:space="preserve">神戸市</t>
  </si>
  <si>
    <t xml:space="preserve">物件別の帳簿価額・費用は非開示。2025/11/28付で譲渡(譲渡価格7,240百万円・売却益782,927千円)。期末保有67物件に含まれず、当期賃貸収入は非開示。所在地・建物情報は当期末保有物件表の対象外のため未収録</t>
  </si>
  <si>
    <t xml:space="preserve">JPR-ALL</t>
  </si>
  <si>
    <t xml:space="preserve">【JPRポートフォリオ全体】</t>
  </si>
  <si>
    <t xml:space="preserve">オフィス・商業複合</t>
  </si>
  <si>
    <r>
      <rPr>
        <sz val="10"/>
        <color rgb="FF0000FF"/>
        <rFont val="Arial"/>
        <family val="0"/>
        <charset val="1"/>
      </rPr>
      <t xml:space="preserve">67</t>
    </r>
    <r>
      <rPr>
        <sz val="10"/>
        <color rgb="FF0000FF"/>
        <rFont val="Noto Sans CJK SC"/>
        <family val="2"/>
      </rPr>
      <t xml:space="preserve">物件（</t>
    </r>
    <r>
      <rPr>
        <sz val="10"/>
        <color rgb="FF0000FF"/>
        <rFont val="Arial"/>
        <family val="0"/>
        <charset val="1"/>
      </rPr>
      <t xml:space="preserve">2025/12/31</t>
    </r>
    <r>
      <rPr>
        <sz val="10"/>
        <color rgb="FF0000FF"/>
        <rFont val="Noto Sans CJK SC"/>
        <family val="2"/>
      </rPr>
      <t xml:space="preserve">時点）</t>
    </r>
  </si>
  <si>
    <t xml:space="preserve">東京建物スポンサーのオフィス・都市型商業複合型(ホテル2物件含む)。本行は短信合計欄の値: 取得556,828百万円・期末鑑定671,024百万円(賃貸等不動産注記の期末時価671,024,000千円と一致)・帳簿530,874,042千円(法人一括、物件別非開示)。【原資料の切捨て表示に関する注記】取得価格は各物件を百万円未満切捨て表示し合計欄は端数込み合算後に切捨て(短信明記)のため、67物件表示値の合算(556,827百万円)は総計欄より1百万円小(東京周辺部小計も-1、中野セントラルパークイースト等の分割取得端数由来。都心・地方小計と鑑定は全欄完全一致)。期末稼働99.2%(前期末比+0.4pt)。当期入替: HDC神戸譲渡(7,240百万円)・JPR横浜日本大通65%譲渡、グランフロント大阪2件追加取得(計17,200百万円)・FUNDES蒲田(8,010百万円)・ホテルグレイスリー浅草(6,700百万円)取得。期後: 南麻布ビル(5,100百万円・2026/1/9)・JPR横浜日本大通残35%(1,550百万円・2026/1/23)譲渡→2026/7/31現在65物件・5,521億円。2025/7/1付投資口1:4分割・2025/12公募増資(計104億円)</t>
  </si>
  <si>
    <t xml:space="preserve">TRE-01</t>
  </si>
  <si>
    <t xml:space="preserve">ＱＦＲＯＮＴ（キューフロント）</t>
  </si>
  <si>
    <t xml:space="preserve">区分所有権</t>
  </si>
  <si>
    <r>
      <rPr>
        <sz val="10"/>
        <color rgb="FF0000FF"/>
        <rFont val="Arial"/>
        <family val="0"/>
        <charset val="1"/>
      </rPr>
      <t xml:space="preserve">TRE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(2026/3/16</t>
    </r>
    <r>
      <rPr>
        <sz val="10"/>
        <color rgb="FF0000FF"/>
        <rFont val="Noto Sans CJK SC"/>
        <family val="2"/>
      </rPr>
      <t xml:space="preserve">公表</t>
    </r>
    <r>
      <rPr>
        <sz val="10"/>
        <color rgb="FF0000FF"/>
        <rFont val="Arial"/>
        <family val="0"/>
        <charset val="1"/>
      </rPr>
      <t xml:space="preserve">)</t>
    </r>
  </si>
  <si>
    <t xml:space="preserve">物件別の取得価格・発生ベース収支は非開示(帳簿・期末算定価額・契約賃料を開示)。期末月額賃料総額129,094千円(年換算1,549,128千円・契約ベース・歩合賃料除く)。渋谷スクランブル交差点前の旗艦商業施設。地積・延床は一棟全体(信託部分は敷地728.30㎡/専有4,804.46㎡)。テナントはCCC(TSUTAYA・2039/12まで長期契約、3年毎に賃料1.05倍改定)と東急(壁面LED大型映像装置等・2039/12まで)。鑑定40,700百万円=帳簿の2.8倍と含み益最大級</t>
  </si>
  <si>
    <t xml:space="preserve">TRE-02</t>
  </si>
  <si>
    <t xml:space="preserve">レキシントン青山</t>
  </si>
  <si>
    <t xml:space="preserve">物件別の取得価格・発生ベース収支は非開示(帳簿・期末算定価額・契約賃料を開示)。期末月額賃料総額23,179千円(年換算278,148千円・契約ベース・歩合賃料除く)。ビオセボン等が入居</t>
  </si>
  <si>
    <t xml:space="preserve">TRE-03</t>
  </si>
  <si>
    <t xml:space="preserve">ＴＯＫＹＵ ＲＥＩＴ表参道スクエア</t>
  </si>
  <si>
    <t xml:space="preserve">物件別の取得価格・発生ベース収支は非開示(帳簿・期末算定価額・契約賃料を開示)。期末月額賃料総額28,757千円(年換算345,084千円・契約ベース・歩合賃料除く)。一部テナントは売上歩合賃料(月額賃料総額に歩合部分は含まず)</t>
  </si>
  <si>
    <t xml:space="preserve">TRE-04</t>
  </si>
  <si>
    <t xml:space="preserve">ＴＯＫＹＵ ＲＥＩＴ渋谷宇田川町スクエア</t>
  </si>
  <si>
    <t xml:space="preserve">物件別の取得価格・発生ベース収支は非開示(帳簿・期末算定価額・契約賃料を開示)。期末月額賃料総額50,051千円(年換算600,612千円・契約ベース・歩合賃料除く)。2棟構成(建物1:1998/7竣工3F 1,473.10㎡・建物2:1995/6竣工2F 56.39㎡)。延床は2棟合計。鑑定15,300百万円=帳簿の2.3倍</t>
  </si>
  <si>
    <t xml:space="preserve">TRE-05</t>
  </si>
  <si>
    <t xml:space="preserve">ｃｏｃｏｔｉ（ココチ）</t>
  </si>
  <si>
    <t xml:space="preserve">物件別の取得価格・発生ベース収支は非開示(帳簿・期末算定価額・契約賃料を開示)。期末月額賃料総額85,248千円(年換算1,022,976千円・契約ベース・歩合賃料除く)。渋谷の商業施設。THINKフィットネス・ディーゼル等</t>
  </si>
  <si>
    <t xml:space="preserve">TRE-06</t>
  </si>
  <si>
    <t xml:space="preserve">ＴＯＫＹＵ ＲＥＩＴ自由が丘スクエア</t>
  </si>
  <si>
    <t xml:space="preserve">物件別の取得価格・発生ベース収支は非開示(帳簿・期末算定価額・契約賃料を開示)。期末月額賃料総額12,528千円(年換算150,336千円・契約ベース・歩合賃料除く)。</t>
  </si>
  <si>
    <t xml:space="preserve">TRE-07</t>
  </si>
  <si>
    <t xml:space="preserve">東急南平台町ビル</t>
  </si>
  <si>
    <t xml:space="preserve">物件別の取得価格・発生ベース収支は非開示(帳簿・期末算定価額・契約賃料を開示)。期末月額賃料総額30,917千円(年換算371,004千円・契約ベース・歩合賃料除く)。東急(株)一棟賃貸(2031/12まで・2年毎鑑定ベース賃料改定)。総賃貸(可能)面積は駐車場含む</t>
  </si>
  <si>
    <t xml:space="preserve">TRE-08</t>
  </si>
  <si>
    <t xml:space="preserve">東急桜丘町ビル</t>
  </si>
  <si>
    <t xml:space="preserve">区分所有権(一棟全て)</t>
  </si>
  <si>
    <t xml:space="preserve">物件別の取得価格・発生ベース収支は非開示(帳簿・期末算定価額・契約賃料を開示)。期末月額賃料総額41,543千円(年換算498,516千円・契約ベース・歩合賃料除く)。主要テナント東急(株)(2031/12まで)</t>
  </si>
  <si>
    <t xml:space="preserve">TRE-09</t>
  </si>
  <si>
    <t xml:space="preserve">ＴＯＫＹＵ ＲＥＩＴ蒲田ビル</t>
  </si>
  <si>
    <t xml:space="preserve">物件別の取得価格・発生ベース収支は非開示(帳簿・期末算定価額・契約賃料を開示)。期末月額賃料総額30,408千円(年換算364,896千円・契約ベース・歩合賃料除く)。主要テナント富士通</t>
  </si>
  <si>
    <t xml:space="preserve">TRE-10</t>
  </si>
  <si>
    <t xml:space="preserve">ＴＯＫＹＵ ＲＥＩＴ虎ノ門ビル</t>
  </si>
  <si>
    <t xml:space="preserve">区分所有権の共有40%</t>
  </si>
  <si>
    <t xml:space="preserve">物件別の取得価格・発生ベース収支は非開示(帳簿・期末算定価額・契約賃料を開示)。期末月額賃料総額24,176千円(年換算290,112千円・契約ベース・歩合賃料除く)。2025/4に30%・2026/1/30に30%を譲渡済(当期売却益2,006,146千円)、残40%も2026/2/27付で譲渡済(譲渡価額6,520百万円・第46期に売却益2,675百万円計上予定)。3回分割譲渡の完了によりポートフォリオから退出。NLA・月額賃料等は持分40%相当。期末算定価額は譲渡契約済のため譲渡価額ベース</t>
  </si>
  <si>
    <t xml:space="preserve">TRE-11</t>
  </si>
  <si>
    <t xml:space="preserve">東急池尻大橋ビル</t>
  </si>
  <si>
    <t xml:space="preserve">物件別の取得価格・発生ベース収支は非開示(帳簿・期末算定価額・契約賃料を開示)。期末月額賃料総額32,911千円(年換算394,932千円・契約ベース・歩合賃料除く)。主要テナント東急バス</t>
  </si>
  <si>
    <t xml:space="preserve">TRE-12</t>
  </si>
  <si>
    <t xml:space="preserve">麹町スクエア</t>
  </si>
  <si>
    <t xml:space="preserve">物件別の取得価格・発生ベース収支は非開示(帳簿・期末算定価額・契約賃料を開示)。期末月額賃料総額37,074千円(年換算444,888千円・契約ベース・歩合賃料除く)。</t>
  </si>
  <si>
    <t xml:space="preserve">TRE-13</t>
  </si>
  <si>
    <t xml:space="preserve">ＴＯＫＹＵ ＲＥＩＴ新宿ビル</t>
  </si>
  <si>
    <t xml:space="preserve">物件別の取得価格・発生ベース収支は非開示(帳簿・期末算定価額・契約賃料を開示)。期末月額賃料総額48,995千円(年換算587,940千円・契約ベース・歩合賃料除く)。</t>
  </si>
  <si>
    <t xml:space="preserve">TRE-14</t>
  </si>
  <si>
    <t xml:space="preserve">秋葉原三和東洋ビル</t>
  </si>
  <si>
    <t xml:space="preserve">物件別の取得価格・発生ベース収支は非開示(帳簿・期末算定価額・契約賃料を開示)。期末月額賃料総額30,347千円(年換算364,164千円・契約ベース・歩合賃料除く)。ツルハ等が入居</t>
  </si>
  <si>
    <t xml:space="preserve">TRE-15</t>
  </si>
  <si>
    <t xml:space="preserve">ＴＯＫＹＵ ＲＥＩＴ渋谷Ｒビル</t>
  </si>
  <si>
    <t xml:space="preserve">区分所有権及び共有</t>
  </si>
  <si>
    <t xml:space="preserve">物件別の取得価格・発生ベース収支は非開示(帳簿・期末算定価額・契約賃料を開示)。期末月額賃料総額39,456千円(年換算473,472千円・契約ベース・歩合賃料除く)。稼働87.7%。他区分所有者部分も賃借の上一括賃貸。地積は駐車場部分41.18㎡含む</t>
  </si>
  <si>
    <t xml:space="preserve">TRE-16</t>
  </si>
  <si>
    <t xml:space="preserve">東急虎ノ門ビル</t>
  </si>
  <si>
    <t xml:space="preserve">物件別の取得価格・発生ベース収支は非開示(帳簿・期末算定価額・契約賃料を開示)。期末月額賃料総額84,063千円(年換算1,008,756千円・契約ベース・歩合賃料除く)。2022/6増築。鑑定26,100百万円=帳簿の1.6倍</t>
  </si>
  <si>
    <t xml:space="preserve">TRE-17</t>
  </si>
  <si>
    <t xml:space="preserve">ＴＯＫＹＵ ＲＥＩＴ第２新宿ビル</t>
  </si>
  <si>
    <t xml:space="preserve">物件別の取得価格・発生ベース収支は非開示(帳簿・期末算定価額・契約賃料を開示)。期末月額賃料総額13,811千円(年換算165,732千円・契約ベース・歩合賃料除く)。主要テナントリログループ</t>
  </si>
  <si>
    <t xml:space="preserve">TRE-18</t>
  </si>
  <si>
    <t xml:space="preserve">東急番町ビル</t>
  </si>
  <si>
    <t xml:space="preserve">区分所有権95.1%</t>
  </si>
  <si>
    <t xml:space="preserve">物件別の取得価格・発生ベース収支は非開示(帳簿・期末算定価額・契約賃料を開示)。期末月額賃料総額104,391千円(年換算1,252,692千円・契約ベース・歩合賃料除く)。帳簿ベースでポートフォリオ最大の物件。ソニー・ミュージック等が入居。地積・延床は一棟全体(信託部分: 敷地2,576.03㎡/専有11,431.09㎡)。数値は区分所有割合95.1%を乗じた値</t>
  </si>
  <si>
    <t xml:space="preserve">TRE-19</t>
  </si>
  <si>
    <t xml:space="preserve">ＴＯＫＹＵ ＲＥＩＴ恵比寿ビル</t>
  </si>
  <si>
    <t xml:space="preserve">物件別の取得価格・発生ベース収支は非開示(帳簿・期末算定価額・契約賃料を開示)。期末月額賃料総額15,776千円(年換算189,312千円・契約ベース・歩合賃料除く)。</t>
  </si>
  <si>
    <t xml:space="preserve">TRE-20</t>
  </si>
  <si>
    <t xml:space="preserve">渋谷道玄坂スカイビル</t>
  </si>
  <si>
    <t xml:space="preserve">物件別の取得価格・発生ベース収支は非開示(帳簿・期末算定価額・契約賃料を開示)。期末月額賃料総額32,050千円(年換算384,600千円・契約ベース・歩合賃料除く)。</t>
  </si>
  <si>
    <t xml:space="preserve">TRE-21</t>
  </si>
  <si>
    <t xml:space="preserve">ＯＫＩ芝浦オフィス</t>
  </si>
  <si>
    <t xml:space="preserve">物件別の取得価格・発生ベース収支は非開示(帳簿・期末算定価額・契約賃料を開示)。期末月額賃料総額66,004千円(年換算792,048千円・契約ベース・歩合賃料除く)。沖電気工業一棟賃貸(2030/3まで・定期建物賃貸借)=賃貸面積比率11.6%の最大テナント。2026/1に耐震補強工事完了(124百万円)</t>
  </si>
  <si>
    <t xml:space="preserve">TRE-22</t>
  </si>
  <si>
    <t xml:space="preserve">ＴＯＫＹＵ ＲＥＩＴ渋谷宮下公園ビル</t>
  </si>
  <si>
    <t xml:space="preserve">物件別の取得価格・発生ベース収支は非開示(帳簿・期末算定価額・契約賃料を開示)。期末月額賃料総額18,223千円(年換算218,676千円・契約ベース・歩合賃料除く)。稼働91.7%。買換特例圧縮積立金の対象資産</t>
  </si>
  <si>
    <t xml:space="preserve">TRE-23</t>
  </si>
  <si>
    <t xml:space="preserve">青山オーバルビル</t>
  </si>
  <si>
    <t xml:space="preserve">区分所有権97.1%の信託受益権準共有持分47.5%</t>
  </si>
  <si>
    <t xml:space="preserve">物件別の取得価格・発生ベース収支は非開示(帳簿・期末算定価額・契約賃料を開示)。期末月額賃料総額63,020千円(年換算756,240千円・契約ベース・歩合賃料除く)。稼働88.7%(当期4・5階用途変更工事343百万円実施、期後に新規成約913㎡あり)。地積・延床は一棟全体。数値は準共有持分47.5%相当。鑑定が帳簿を下回る。買換特例圧縮積立金の対象資産</t>
  </si>
  <si>
    <t xml:space="preserve">TRE-24</t>
  </si>
  <si>
    <t xml:space="preserve">目黒東山ビル</t>
  </si>
  <si>
    <t xml:space="preserve">物件別の取得価格・発生ベース収支は非開示(帳簿・期末算定価額・契約賃料を開示)。期末月額賃料総額36,207千円(年換算434,484千円・契約ベース・歩合賃料除く)。</t>
  </si>
  <si>
    <t xml:space="preserve">TRE-25</t>
  </si>
  <si>
    <t xml:space="preserve">スタイリオ都立大学</t>
  </si>
  <si>
    <t xml:space="preserve">物件別の取得価格・発生ベース収支は非開示(帳簿・期末算定価額・契約賃料を開示)。期末月額賃料総額4,651千円(年換算55,812千円・契約ベース・歩合賃料除く)。2025/12/15付でメゾンピオニー都立大学から名称変更。賃貸住宅</t>
  </si>
  <si>
    <t xml:space="preserve">TRE-26</t>
  </si>
  <si>
    <t xml:space="preserve">スタイリオフィット武蔵小杉</t>
  </si>
  <si>
    <t xml:space="preserve">物件別の取得価格・発生ベース収支は非開示(帳簿・期末算定価額・契約賃料を開示)。期末月額賃料総額6,448千円(年換算77,376千円・契約ベース・歩合賃料除く)。賃貸住宅。ジェイ・エス・ビーへのマスターリース(2040/3まで)。買換特例圧縮積立金の対象資産</t>
  </si>
  <si>
    <t xml:space="preserve">TRE-27</t>
  </si>
  <si>
    <t xml:space="preserve">スタイリオフィット新綱島</t>
  </si>
  <si>
    <t xml:space="preserve">物件別の取得価格・発生ベース収支は非開示(帳簿・期末算定価額・契約賃料を開示)。期末月額賃料総額4,265千円(年換算51,180千円・契約ベース・歩合賃料除く)。2025/12/15付でISM綱島から名称変更。賃貸住宅。PML10.2%はポートフォリオ最高</t>
  </si>
  <si>
    <t xml:space="preserve">TRE-28</t>
  </si>
  <si>
    <t xml:space="preserve">二子玉川ライズ</t>
  </si>
  <si>
    <t xml:space="preserve">複合施設</t>
  </si>
  <si>
    <t xml:space="preserve">世田谷区</t>
  </si>
  <si>
    <t xml:space="preserve">区分所有権の共有(街区別)</t>
  </si>
  <si>
    <t xml:space="preserve">物件別の取得価格・発生ベース収支は非開示(帳簿・期末算定価額・契約賃料を開示)。期末月額賃料総額108,055千円(年換算1,296,660千円・契約ベース・歩合賃料除く)。4街区構成の大規模複合施設(区分所有区画の共有持分)。竣工はⅠ-b街区2010/11(16F・持分10.7%)・Ⅱ-a街区2015/6(30F=楽天グループ本社・持分12.7%)・Ⅱ-b街区2010/4(3F・持分4.5%)・Ⅲ街区2010/4(2F・持分7.5%)のため竣工年月列は空欄。地積・延床は各街区一棟全体の合算(Ⅲ街区地積は敷地権割合按分値296.51㎡)。階数は最大棟(Ⅱ-a)。PMLは街区別2.5〜3.9%。楽天グループが賃貸面積12,452㎡(全体の8.0%)を賃借。買換特例圧縮積立金(二子玉川ライズ)の対象資産</t>
  </si>
  <si>
    <t xml:space="preserve">TRE-ALL</t>
  </si>
  <si>
    <t xml:space="preserve">【TREポートフォリオ全体】</t>
  </si>
  <si>
    <r>
      <rPr>
        <sz val="10"/>
        <color rgb="FF0000FF"/>
        <rFont val="Arial"/>
        <family val="0"/>
        <charset val="1"/>
      </rPr>
      <t xml:space="preserve">28</t>
    </r>
    <r>
      <rPr>
        <sz val="10"/>
        <color rgb="FF0000FF"/>
        <rFont val="Noto Sans CJK SC"/>
        <family val="2"/>
      </rPr>
      <t xml:space="preserve">物件（</t>
    </r>
    <r>
      <rPr>
        <sz val="10"/>
        <color rgb="FF0000FF"/>
        <rFont val="Arial"/>
        <family val="0"/>
        <charset val="1"/>
      </rPr>
      <t xml:space="preserve">2026/1/31</t>
    </r>
    <r>
      <rPr>
        <sz val="10"/>
        <color rgb="FF0000FF"/>
        <rFont val="Noto Sans CJK SC"/>
        <family val="2"/>
      </rPr>
      <t xml:space="preserve">時点）</t>
    </r>
  </si>
  <si>
    <t xml:space="preserve">東急スポンサーの渋谷・東急沿線特化型(商業6/オフィス18/住宅3/複合1)。取得価額合計244,261百万円(本文記載・物件別は非開示のため個別行は空欄)。本行の帳簿231,242,144千円は開示合計欄(BS円単位合計とも一致)。【原資料の切捨て表示に関する注記】物件別帳簿価額(千円未満切捨て表示)の28物件合算は231,242,131千円(-13千円)、月額賃料総額の合算は1,201,648千円(-13千円)と、それぞれ合計欄より小さい(切捨て累積・NBF等と同パターン)。鑑定(期末算定価額)326,920,000千円・NLA158,376.73㎡・テナント396は個別合算=合計欄で完全一致。含み益95,677百万円(算定価額-帳簿、本文記載値と一致)。期末稼働98.9%(空室率1.1%、前期末1.6%)。期末月額賃料総額1,201,661千円(年間14,419,939千円・契約ベース)。地域構成(帳簿ベース): 渋谷区43.3%・東京都心4区38.1%・東急沿線(渋谷区除く)18.6%。当期入替: TOKYU REIT下北沢スクエア譲渡(2025/10/7・2,687百万円・売却益480,788千円)、TOKYU REIT虎ノ門ビル30%譲渡(2026/1/30・売却益2,006,146千円)。期後: 同残40%譲渡(2026/2/27・6,520百万円)、戸越銀座ラウンドビル(3,150百万円・品川区・1992/5竣工)・東急すすき野ビル(2,400百万円・横浜市青葉区・1991/10竣工)を2026/4/15取得(いずれも東急(株)より)。2025年に自己投資口16,229口取得・消却(30億円)</t>
  </si>
  <si>
    <t xml:space="preserve">ICG-01</t>
  </si>
  <si>
    <t xml:space="preserve">いちご西参道ビル</t>
  </si>
  <si>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</si>
  <si>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</si>
  <si>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ICG-02</t>
  </si>
  <si>
    <t xml:space="preserve">いちご三田ビル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</si>
  <si>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</si>
  <si>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ICG-03</t>
  </si>
  <si>
    <t xml:space="preserve">いちご南平台ビル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</si>
  <si>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</si>
  <si>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ICG-04</t>
  </si>
  <si>
    <t xml:space="preserve">いちご半蔵門ビル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</si>
  <si>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2026/6/10</t>
    </r>
    <r>
      <rPr>
        <sz val="10"/>
        <color rgb="FF0000FF"/>
        <rFont val="Noto Sans CJK SC"/>
        <family val="2"/>
      </rPr>
      <t xml:space="preserve">付売買契約により</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4,210</t>
    </r>
    <r>
      <rPr>
        <sz val="10"/>
        <color rgb="FF0000FF"/>
        <rFont val="Noto Sans CJK SC"/>
        <family val="2"/>
      </rPr>
      <t xml:space="preserve">百万円・第</t>
    </r>
    <r>
      <rPr>
        <sz val="10"/>
        <color rgb="FF0000FF"/>
        <rFont val="Arial"/>
        <family val="0"/>
        <charset val="1"/>
      </rPr>
      <t xml:space="preserve">42</t>
    </r>
    <r>
      <rPr>
        <sz val="10"/>
        <color rgb="FF0000FF"/>
        <rFont val="Noto Sans CJK SC"/>
        <family val="2"/>
      </rPr>
      <t xml:space="preserve">期に売却益約</t>
    </r>
    <r>
      <rPr>
        <sz val="10"/>
        <color rgb="FF0000FF"/>
        <rFont val="Arial"/>
        <family val="0"/>
        <charset val="1"/>
      </rPr>
      <t xml:space="preserve">2,171,075</t>
    </r>
    <r>
      <rPr>
        <sz val="10"/>
        <color rgb="FF0000FF"/>
        <rFont val="Noto Sans CJK SC"/>
        <family val="2"/>
      </rPr>
      <t xml:space="preserve">千円計上見込</t>
    </r>
    <r>
      <rPr>
        <sz val="10"/>
        <color rgb="FF0000FF"/>
        <rFont val="Arial"/>
        <family val="0"/>
        <charset val="1"/>
      </rPr>
      <t xml:space="preserve">)</t>
    </r>
    <r>
      <rPr>
        <sz val="10"/>
        <color rgb="FF0000FF"/>
        <rFont val="Noto Sans CJK SC"/>
        <family val="2"/>
      </rPr>
      <t xml:space="preserve">。</t>
    </r>
  </si>
  <si>
    <t xml:space="preserve">ICG-05</t>
  </si>
  <si>
    <t xml:space="preserve">いちご聖坂ビル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</si>
  <si>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</si>
  <si>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ICG-06</t>
  </si>
  <si>
    <t xml:space="preserve">いちご渋谷神山町ビル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</si>
  <si>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</si>
  <si>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ICG-07</t>
  </si>
  <si>
    <t xml:space="preserve">いちご芝公園ビル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</si>
  <si>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O-09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</si>
  <si>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ICG-08</t>
  </si>
  <si>
    <t xml:space="preserve">いちご恵比寿西ビル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</si>
  <si>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</si>
  <si>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ICG-09</t>
  </si>
  <si>
    <t xml:space="preserve">いちご銀座６１２ビル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</si>
  <si>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</si>
  <si>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ICG-10</t>
  </si>
  <si>
    <t xml:space="preserve">いちご内神田ビル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</si>
  <si>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</si>
  <si>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ICG-11</t>
  </si>
  <si>
    <t xml:space="preserve">いちご神保町ビル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</si>
  <si>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</si>
  <si>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ICG-12</t>
  </si>
  <si>
    <t xml:space="preserve">いちご箱崎ビル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</si>
  <si>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</si>
  <si>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ICG-13</t>
  </si>
  <si>
    <t xml:space="preserve">いちご五反田ビル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</si>
  <si>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</si>
  <si>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ICG-14</t>
  </si>
  <si>
    <t xml:space="preserve">いちご新横浜ビル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</si>
  <si>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</si>
  <si>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ICG-15</t>
  </si>
  <si>
    <t xml:space="preserve">いちご南池袋ビル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</si>
  <si>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</si>
  <si>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ICG-16</t>
  </si>
  <si>
    <t xml:space="preserve">いちご中野ノースビル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</si>
  <si>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</si>
  <si>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ICG-17</t>
  </si>
  <si>
    <t xml:space="preserve">いちご永代ビル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</si>
  <si>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</si>
  <si>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ICG-18</t>
  </si>
  <si>
    <t xml:space="preserve">いちご池尻ビル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</si>
  <si>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</si>
  <si>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ICG-19</t>
  </si>
  <si>
    <t xml:space="preserve">いちご西池袋ビル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</si>
  <si>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1,160</t>
    </r>
    <r>
      <rPr>
        <sz val="10"/>
        <color rgb="FF0000FF"/>
        <rFont val="Noto Sans CJK SC"/>
        <family val="2"/>
      </rPr>
      <t xml:space="preserve">百万円・売却益約</t>
    </r>
    <r>
      <rPr>
        <sz val="10"/>
        <color rgb="FF0000FF"/>
        <rFont val="Arial"/>
        <family val="0"/>
        <charset val="1"/>
      </rPr>
      <t xml:space="preserve">470,469</t>
    </r>
    <r>
      <rPr>
        <sz val="10"/>
        <color rgb="FF0000FF"/>
        <rFont val="Noto Sans CJK SC"/>
        <family val="2"/>
      </rPr>
      <t xml:space="preserve">千円見込</t>
    </r>
    <r>
      <rPr>
        <sz val="10"/>
        <color rgb="FF0000FF"/>
        <rFont val="Arial"/>
        <family val="0"/>
        <charset val="1"/>
      </rPr>
      <t xml:space="preserve">)</t>
    </r>
    <r>
      <rPr>
        <sz val="10"/>
        <color rgb="FF0000FF"/>
        <rFont val="Noto Sans CJK SC"/>
        <family val="2"/>
      </rPr>
      <t xml:space="preserve">。</t>
    </r>
  </si>
  <si>
    <t xml:space="preserve">ICG-20</t>
  </si>
  <si>
    <t xml:space="preserve">いちご西五反田ビル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</si>
  <si>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</si>
  <si>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ICG-21</t>
  </si>
  <si>
    <t xml:space="preserve">いちご吉祥寺ビル</t>
  </si>
  <si>
    <t xml:space="preserve">武蔵野市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</si>
  <si>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O-29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</si>
  <si>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ICG-22</t>
  </si>
  <si>
    <t xml:space="preserve">いちご栄ビル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</si>
  <si>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O-34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</si>
  <si>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ICG-23</t>
  </si>
  <si>
    <t xml:space="preserve">いちご丸の内ビル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</si>
  <si>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O-37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</si>
  <si>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ICG-24</t>
  </si>
  <si>
    <t xml:space="preserve">いちご・みらい信金ビル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</si>
  <si>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O-39</t>
    </r>
    <r>
      <rPr>
        <sz val="10"/>
        <color rgb="FF0000FF"/>
        <rFont val="Noto Sans CJK SC"/>
        <family val="2"/>
      </rPr>
      <t xml:space="preserve">。</t>
    </r>
    <r>
      <rPr>
        <sz val="10"/>
        <color rgb="FF0000FF"/>
        <rFont val="Arial"/>
        <family val="0"/>
        <charset val="1"/>
      </rPr>
      <t xml:space="preserve">2025/11/10</t>
    </r>
    <r>
      <rPr>
        <sz val="10"/>
        <color rgb="FF0000FF"/>
        <rFont val="Noto Sans CJK SC"/>
        <family val="2"/>
      </rPr>
      <t xml:space="preserve">付で譲渡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1,750</t>
    </r>
    <r>
      <rPr>
        <sz val="10"/>
        <color rgb="FF0000FF"/>
        <rFont val="Noto Sans CJK SC"/>
        <family val="2"/>
      </rPr>
      <t xml:space="preserve">百万円・当期売却益</t>
    </r>
    <r>
      <rPr>
        <sz val="10"/>
        <color rgb="FF0000FF"/>
        <rFont val="Arial"/>
        <family val="0"/>
        <charset val="1"/>
      </rPr>
      <t xml:space="preserve">519,979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。期末保有</t>
    </r>
    <r>
      <rPr>
        <sz val="10"/>
        <color rgb="FF0000FF"/>
        <rFont val="Arial"/>
        <family val="0"/>
        <charset val="1"/>
      </rPr>
      <t xml:space="preserve">87</t>
    </r>
    <r>
      <rPr>
        <sz val="10"/>
        <color rgb="FF0000FF"/>
        <rFont val="Noto Sans CJK SC"/>
        <family val="2"/>
      </rPr>
      <t xml:space="preserve">物件に含まれず、所在地等の基本情報は当期末保有物件表の対象外のため未収録</t>
    </r>
  </si>
  <si>
    <t xml:space="preserve">ICG-25</t>
  </si>
  <si>
    <t xml:space="preserve">いちご高松ビル</t>
  </si>
  <si>
    <t xml:space="preserve">香川県</t>
  </si>
  <si>
    <t xml:space="preserve">高松市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</si>
  <si>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</si>
  <si>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ICG-26</t>
  </si>
  <si>
    <t xml:space="preserve">いちご神田錦町ビル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</si>
  <si>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</si>
  <si>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ICG-27</t>
  </si>
  <si>
    <t xml:space="preserve">いちご秋葉原ノースビル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</si>
  <si>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</si>
  <si>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ICG-28</t>
  </si>
  <si>
    <t xml:space="preserve">いちご堺筋本町ビル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</si>
  <si>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</si>
  <si>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ICG-29</t>
  </si>
  <si>
    <t xml:space="preserve">いちご神田小川町ビル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</si>
  <si>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O-49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</si>
  <si>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ICG-30</t>
  </si>
  <si>
    <t xml:space="preserve">いちご八丁堀ビル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</si>
  <si>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</si>
  <si>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ICG-31</t>
  </si>
  <si>
    <t xml:space="preserve">いちご恵比寿グリーングラス</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</si>
  <si>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</si>
  <si>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ICG-32</t>
  </si>
  <si>
    <t xml:space="preserve">いちご大森ビル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</si>
  <si>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</si>
  <si>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ICG-33</t>
  </si>
  <si>
    <t xml:space="preserve">いちご高田馬場ビル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</si>
  <si>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</si>
  <si>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ICG-34</t>
  </si>
  <si>
    <t xml:space="preserve">いちご大宮ビル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</si>
  <si>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</si>
  <si>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ICG-35</t>
  </si>
  <si>
    <t xml:space="preserve">いちご相模原ビル</t>
  </si>
  <si>
    <t xml:space="preserve">相模原市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</si>
  <si>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</si>
  <si>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ICG-36</t>
  </si>
  <si>
    <t xml:space="preserve">いちご仙台イーストビル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</si>
  <si>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</si>
  <si>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ICG-37</t>
  </si>
  <si>
    <t xml:space="preserve">いちご熊本ビル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</si>
  <si>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</si>
  <si>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ICG-38</t>
  </si>
  <si>
    <t xml:space="preserve">いちご神宮前ビル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</si>
  <si>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O-59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</si>
  <si>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ICG-39</t>
  </si>
  <si>
    <t xml:space="preserve">いちご渋谷道玄坂ビル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</si>
  <si>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</si>
  <si>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ICG-40</t>
  </si>
  <si>
    <t xml:space="preserve">いちご広尾ビル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</si>
  <si>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</si>
  <si>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ICG-41</t>
  </si>
  <si>
    <t xml:space="preserve">いちご笹塚ビル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</si>
  <si>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</si>
  <si>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ICG-42</t>
  </si>
  <si>
    <t xml:space="preserve">いちご日本橋イーストビル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</si>
  <si>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</si>
  <si>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ICG-43</t>
  </si>
  <si>
    <t xml:space="preserve">いちご桜橋ビル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</si>
  <si>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</si>
  <si>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ICG-44</t>
  </si>
  <si>
    <t xml:space="preserve">いちご新川ビル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</si>
  <si>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</si>
  <si>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ICG-45</t>
  </si>
  <si>
    <t xml:space="preserve">いちご九段ビル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</si>
  <si>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6,200</t>
    </r>
    <r>
      <rPr>
        <sz val="10"/>
        <color rgb="FF0000FF"/>
        <rFont val="Noto Sans CJK SC"/>
        <family val="2"/>
      </rPr>
      <t xml:space="preserve">百万円・売却益約</t>
    </r>
    <r>
      <rPr>
        <sz val="10"/>
        <color rgb="FF0000FF"/>
        <rFont val="Arial"/>
        <family val="0"/>
        <charset val="1"/>
      </rPr>
      <t xml:space="preserve">2,330,426</t>
    </r>
    <r>
      <rPr>
        <sz val="10"/>
        <color rgb="FF0000FF"/>
        <rFont val="Noto Sans CJK SC"/>
        <family val="2"/>
      </rPr>
      <t xml:space="preserve">千円見込</t>
    </r>
    <r>
      <rPr>
        <sz val="10"/>
        <color rgb="FF0000FF"/>
        <rFont val="Arial"/>
        <family val="0"/>
        <charset val="1"/>
      </rPr>
      <t xml:space="preserve">)</t>
    </r>
    <r>
      <rPr>
        <sz val="10"/>
        <color rgb="FF0000FF"/>
        <rFont val="Noto Sans CJK SC"/>
        <family val="2"/>
      </rPr>
      <t xml:space="preserve">。</t>
    </r>
  </si>
  <si>
    <t xml:space="preserve">ICG-46</t>
  </si>
  <si>
    <t xml:space="preserve">いちご東五反田ビル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</si>
  <si>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</si>
  <si>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ICG-47</t>
  </si>
  <si>
    <t xml:space="preserve">アクシオール三田</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</si>
  <si>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</si>
  <si>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ICG-48</t>
  </si>
  <si>
    <t xml:space="preserve">いちご東池袋ビル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</si>
  <si>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O-69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</si>
  <si>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ICG-49</t>
  </si>
  <si>
    <t xml:space="preserve">郡山ビッグアイ（オフィス区画）</t>
  </si>
  <si>
    <t xml:space="preserve">福島県</t>
  </si>
  <si>
    <t xml:space="preserve">郡山市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</si>
  <si>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独自区分「その他主要都市」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</si>
  <si>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ICG-50</t>
  </si>
  <si>
    <t xml:space="preserve">いちご川崎ビル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</si>
  <si>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</si>
  <si>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ICG-51</t>
  </si>
  <si>
    <t xml:space="preserve">いちご渋谷イーストビル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</si>
  <si>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</si>
  <si>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ICG-52</t>
  </si>
  <si>
    <t xml:space="preserve">いちご人形町ビル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</si>
  <si>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2026/7/17</t>
    </r>
    <r>
      <rPr>
        <sz val="10"/>
        <color rgb="FF0000FF"/>
        <rFont val="Noto Sans CJK SC"/>
        <family val="2"/>
      </rPr>
      <t xml:space="preserve">付で住友商事へ譲渡</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2,650</t>
    </r>
    <r>
      <rPr>
        <sz val="10"/>
        <color rgb="FF0000FF"/>
        <rFont val="Noto Sans CJK SC"/>
        <family val="2"/>
      </rPr>
      <t xml:space="preserve">百万円・売却益約</t>
    </r>
    <r>
      <rPr>
        <sz val="10"/>
        <color rgb="FF0000FF"/>
        <rFont val="Arial"/>
        <family val="0"/>
        <charset val="1"/>
      </rPr>
      <t xml:space="preserve">894,478</t>
    </r>
    <r>
      <rPr>
        <sz val="10"/>
        <color rgb="FF0000FF"/>
        <rFont val="Noto Sans CJK SC"/>
        <family val="2"/>
      </rPr>
      <t xml:space="preserve">千円見込</t>
    </r>
    <r>
      <rPr>
        <sz val="10"/>
        <color rgb="FF0000FF"/>
        <rFont val="Arial"/>
        <family val="0"/>
        <charset val="1"/>
      </rPr>
      <t xml:space="preserve">)</t>
    </r>
    <r>
      <rPr>
        <sz val="10"/>
        <color rgb="FF0000FF"/>
        <rFont val="Noto Sans CJK SC"/>
        <family val="2"/>
      </rPr>
      <t xml:space="preserve">。</t>
    </r>
  </si>
  <si>
    <t xml:space="preserve">ICG-53</t>
  </si>
  <si>
    <t xml:space="preserve">いちご博多ビル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</si>
  <si>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</si>
  <si>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ICG-54</t>
  </si>
  <si>
    <t xml:space="preserve">いちご錦ファーストビル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</si>
  <si>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</si>
  <si>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ICG-55</t>
  </si>
  <si>
    <t xml:space="preserve">いちご池袋イーストビル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</si>
  <si>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</si>
  <si>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ICG-56</t>
  </si>
  <si>
    <t xml:space="preserve">いちご元麻布ビル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</si>
  <si>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O-79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</si>
  <si>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ICG-57</t>
  </si>
  <si>
    <t xml:space="preserve">いちご大塚ビル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</si>
  <si>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</si>
  <si>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ICG-58</t>
  </si>
  <si>
    <t xml:space="preserve">いちご名古屋ビル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</si>
  <si>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</si>
  <si>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ICG-59</t>
  </si>
  <si>
    <t xml:space="preserve">いちご伏見ビル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</si>
  <si>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</si>
  <si>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ICG-60</t>
  </si>
  <si>
    <t xml:space="preserve">いちご錦ビル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</si>
  <si>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</si>
  <si>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ICG-61</t>
  </si>
  <si>
    <t xml:space="preserve">いちご南森町ビル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</si>
  <si>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</si>
  <si>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ICG-62</t>
  </si>
  <si>
    <t xml:space="preserve">いちご渋谷宇田川町ビル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</si>
  <si>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</si>
  <si>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ICG-63</t>
  </si>
  <si>
    <t xml:space="preserve">ウィン五反田ビル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</si>
  <si>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</si>
  <si>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ICG-64</t>
  </si>
  <si>
    <t xml:space="preserve">いちご本郷ビル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</si>
  <si>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</si>
  <si>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ICG-65</t>
  </si>
  <si>
    <t xml:space="preserve">大井町センタービル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</si>
  <si>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</si>
  <si>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ICG-66</t>
  </si>
  <si>
    <t xml:space="preserve">ウィン第2五反田ビル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</si>
  <si>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O-89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</si>
  <si>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ICG-67</t>
  </si>
  <si>
    <t xml:space="preserve">ＭＩＦビル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</si>
  <si>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</si>
  <si>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ICG-68</t>
  </si>
  <si>
    <t xml:space="preserve">いちご内本町ビル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</si>
  <si>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</si>
  <si>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ICG-69</t>
  </si>
  <si>
    <t xml:space="preserve">いちご南大塚ビル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</si>
  <si>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</si>
  <si>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ICG-70</t>
  </si>
  <si>
    <t xml:space="preserve">いちご乃木坂ビル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</si>
  <si>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</si>
  <si>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ICG-71</t>
  </si>
  <si>
    <t xml:space="preserve">いちご博多イーストビル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</si>
  <si>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</si>
  <si>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ICG-72</t>
  </si>
  <si>
    <t xml:space="preserve">いちご中目黒ビル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</si>
  <si>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</si>
  <si>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ICG-73</t>
  </si>
  <si>
    <t xml:space="preserve">いちご立川ビル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</si>
  <si>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</si>
  <si>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ICG-74</t>
  </si>
  <si>
    <t xml:space="preserve">いちご東池袋三丁目ビル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</si>
  <si>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</si>
  <si>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ICG-75</t>
  </si>
  <si>
    <t xml:space="preserve">いちご丸の内サウスビル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</si>
  <si>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</si>
  <si>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ICG-76</t>
  </si>
  <si>
    <t xml:space="preserve">いちご博多駅東ビル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</si>
  <si>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O-99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</si>
  <si>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ICG-77</t>
  </si>
  <si>
    <t xml:space="preserve">いちご博多駅東三丁目ビル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</si>
  <si>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</si>
  <si>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ICG-78</t>
  </si>
  <si>
    <t xml:space="preserve">いちご錦糸町サウスビル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</si>
  <si>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O-101</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</si>
  <si>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ICG-79</t>
  </si>
  <si>
    <t xml:space="preserve">いちご秋葉原イーストビル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</si>
  <si>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O-102</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</si>
  <si>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ICG-80</t>
  </si>
  <si>
    <t xml:space="preserve">いちご博多明治通りビル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</si>
  <si>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O-103</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</si>
  <si>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ICG-81</t>
  </si>
  <si>
    <t xml:space="preserve">いちご博多祇園ビル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</si>
  <si>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</si>
  <si>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ICG-82</t>
  </si>
  <si>
    <t xml:space="preserve">いちご天神ノースビル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</si>
  <si>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O-105</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t>
    </r>
    <r>
      <rPr>
        <sz val="10"/>
        <color rgb="FF0000FF"/>
        <rFont val="Arial"/>
        <family val="0"/>
        <charset val="1"/>
      </rPr>
      <t xml:space="preserve">4</t>
    </r>
    <r>
      <rPr>
        <sz val="10"/>
        <color rgb="FF0000FF"/>
        <rFont val="Noto Sans CJK SC"/>
        <family val="2"/>
      </rPr>
      <t xml:space="preserve">大都市」</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。鑑定評価額が帳簿価額を下回る。</t>
    </r>
  </si>
  <si>
    <t xml:space="preserve">ICG-83</t>
  </si>
  <si>
    <t xml:space="preserve">いちご五反田ウエストビル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</si>
  <si>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O-106</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</si>
  <si>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ICG-84</t>
  </si>
  <si>
    <t xml:space="preserve">いちご大手町ノースビル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</si>
  <si>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O-107</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</si>
  <si>
    <t xml:space="preserve">ICG-85</t>
  </si>
  <si>
    <t xml:space="preserve">いちご立川公園通りビル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</si>
  <si>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O-108</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期中</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資産運用会社ソーシング</t>
    </r>
    <r>
      <rPr>
        <sz val="10"/>
        <color rgb="FF0000FF"/>
        <rFont val="Arial"/>
        <family val="0"/>
        <charset val="1"/>
      </rPr>
      <t xml:space="preserve">)</t>
    </r>
    <r>
      <rPr>
        <sz val="10"/>
        <color rgb="FF0000FF"/>
        <rFont val="Noto Sans CJK SC"/>
        <family val="2"/>
      </rPr>
      <t xml:space="preserve">。</t>
    </r>
  </si>
  <si>
    <t xml:space="preserve">ICG-86</t>
  </si>
  <si>
    <t xml:space="preserve">いちご船橋ビル</t>
  </si>
  <si>
    <t xml:space="preserve">船橋市</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</si>
  <si>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O-109</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スポンサーパイプライン</t>
    </r>
    <r>
      <rPr>
        <sz val="10"/>
        <color rgb="FF0000FF"/>
        <rFont val="Arial"/>
        <family val="0"/>
        <charset val="1"/>
      </rPr>
      <t xml:space="preserve">)</t>
    </r>
    <r>
      <rPr>
        <sz val="10"/>
        <color rgb="FF0000FF"/>
        <rFont val="Noto Sans CJK SC"/>
        <family val="2"/>
      </rPr>
      <t xml:space="preserve">。取得直後のため当期収入は期間按分。</t>
    </r>
  </si>
  <si>
    <t xml:space="preserve">ICG-87</t>
  </si>
  <si>
    <t xml:space="preserve">いちご渋谷文化村通りビル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</si>
  <si>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Z-10</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独自区分「都心</t>
    </r>
    <r>
      <rPr>
        <sz val="10"/>
        <color rgb="FF0000FF"/>
        <rFont val="Arial"/>
        <family val="0"/>
        <charset val="1"/>
      </rPr>
      <t xml:space="preserve">6</t>
    </r>
    <r>
      <rPr>
        <sz val="10"/>
        <color rgb="FF0000FF"/>
        <rFont val="Noto Sans CJK SC"/>
        <family val="2"/>
      </rPr>
      <t xml:space="preserve">区」</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用途区分「その他」。</t>
    </r>
  </si>
  <si>
    <t xml:space="preserve">ICG-88</t>
  </si>
  <si>
    <t xml:space="preserve">いちご蒲田ビル</t>
  </si>
  <si>
    <r>
      <rPr>
        <sz val="10"/>
        <color rgb="FF0000FF"/>
        <rFont val="Arial"/>
        <family val="0"/>
        <charset val="1"/>
      </rPr>
      <t xml:space="preserve">ICG</t>
    </r>
    <r>
      <rPr>
        <sz val="10"/>
        <color rgb="FF0000FF"/>
        <rFont val="Noto Sans CJK SC"/>
        <family val="2"/>
      </rPr>
      <t xml:space="preserve">物件番号</t>
    </r>
    <r>
      <rPr>
        <sz val="10"/>
        <color rgb="FF0000FF"/>
        <rFont val="Arial"/>
        <family val="0"/>
        <charset val="1"/>
      </rPr>
      <t xml:space="preserve">Z-14</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独自区分「その他首都圏」</t>
    </r>
    <r>
      <rPr>
        <sz val="10"/>
        <color rgb="FF0000FF"/>
        <rFont val="Arial"/>
        <family val="0"/>
        <charset val="1"/>
      </rPr>
      <t xml:space="preserve">(</t>
    </r>
    <r>
      <rPr>
        <sz val="10"/>
        <color rgb="FF0000FF"/>
        <rFont val="Noto Sans CJK SC"/>
        <family val="2"/>
      </rPr>
      <t xml:space="preserve">品川区は都心</t>
    </r>
    <r>
      <rPr>
        <sz val="10"/>
        <color rgb="FF0000FF"/>
        <rFont val="Arial"/>
        <family val="0"/>
        <charset val="1"/>
      </rPr>
      <t xml:space="preserve">6</t>
    </r>
    <r>
      <rPr>
        <sz val="10"/>
        <color rgb="FF0000FF"/>
        <rFont val="Noto Sans CJK SC"/>
        <family val="2"/>
      </rPr>
      <t xml:space="preserve">区扱い</t>
    </r>
    <r>
      <rPr>
        <sz val="10"/>
        <color rgb="FF0000FF"/>
        <rFont val="Arial"/>
        <family val="0"/>
        <charset val="1"/>
      </rPr>
      <t xml:space="preserve">)</t>
    </r>
    <r>
      <rPr>
        <sz val="10"/>
        <color rgb="FF0000FF"/>
        <rFont val="Noto Sans CJK SC"/>
        <family val="2"/>
      </rPr>
      <t xml:space="preserve">。物件別の取得価格・竣工年月・面積</t>
    </r>
    <r>
      <rPr>
        <sz val="10"/>
        <color rgb="FF0000FF"/>
        <rFont val="Arial"/>
        <family val="0"/>
        <charset val="1"/>
      </rPr>
      <t xml:space="preserve">(</t>
    </r>
    <r>
      <rPr>
        <sz val="10"/>
        <color rgb="FF0000FF"/>
        <rFont val="Noto Sans CJK SC"/>
        <family val="2"/>
      </rPr>
      <t xml:space="preserve">延床</t>
    </r>
    <r>
      <rPr>
        <sz val="10"/>
        <color rgb="FF0000FF"/>
        <rFont val="Arial"/>
        <family val="0"/>
        <charset val="1"/>
      </rPr>
      <t xml:space="preserve">)</t>
    </r>
    <r>
      <rPr>
        <sz val="10"/>
        <color rgb="FF0000FF"/>
        <rFont val="Noto Sans CJK SC"/>
        <family val="2"/>
      </rPr>
      <t xml:space="preserve">・費用は非開示</t>
    </r>
    <r>
      <rPr>
        <sz val="10"/>
        <color rgb="FF0000FF"/>
        <rFont val="Arial"/>
        <family val="0"/>
        <charset val="1"/>
      </rPr>
      <t xml:space="preserve">(</t>
    </r>
    <r>
      <rPr>
        <sz val="10"/>
        <color rgb="FF0000FF"/>
        <rFont val="Noto Sans CJK SC"/>
        <family val="2"/>
      </rPr>
      <t xml:space="preserve">賃貸可能面積・帳簿・鑑定評価額を開示</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ICG</t>
    </r>
    <r>
      <rPr>
        <sz val="10"/>
        <color rgb="FF0000FF"/>
        <rFont val="Noto Sans CJK SC"/>
        <family val="2"/>
      </rPr>
      <t xml:space="preserve">用途区分「その他」。鑑定評価額が帳簿価額を下回る。</t>
    </r>
  </si>
  <si>
    <t xml:space="preserve">ICG-ALL</t>
  </si>
  <si>
    <t xml:space="preserve">【ICGポートフォリオ全体】</t>
  </si>
  <si>
    <r>
      <rPr>
        <sz val="10"/>
        <color rgb="FF0000FF"/>
        <rFont val="Arial"/>
        <family val="0"/>
        <charset val="1"/>
      </rPr>
      <t xml:space="preserve">87</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t>
    </r>
  </si>
  <si>
    <t xml:space="preserve">いちごグループスポンサーの中規模オフィス特化型(「心築」による価値向上戦略)。取得価格合計222,508百万円(本文記載・物件別は非開示のため個別行は空欄)。帳簿221,060,926千円(賃貸等不動産注記の円単位期末残高、建仮除く)、期末鑑定評価288,790百万円(物件別表の合計)。【原資料の切捨て表示に関する注記】物件別帳簿価額(百万円未満切捨て)の87物件合算は221,018百万円と合計より42百万円小(地域別-21/-10/-6/-3百万円の切捨て累積)。物件別収入合算も一括欄比-42千円(同)。賃貸等不動産注記の期末時価293,920百万円と鑑定合計288,790百万円の差5,130百万円は、期後譲渡4物件(半蔵門/西池袋/九段/人形町)を注記側で譲渡予定価格(計14,220百万円)に置換しているため(鑑定計9,090百万円との差、検証一致)。期末稼働97.3%。契約更改で平均+12.3%・テナント入替で平均+23.7%の賃料増額を実現(当期)。当期入替: いちご・みらい信金ビル譲渡(2025/11/10・1,750百万円・売却益519,979千円)、いちご立川公園通りビル・いちご船橋ビル取得。期後: 2026/7/17付で4物件を住友商事へ一括譲渡(計14,220百万円・売却益計約5,866百万円を第42期計上見込)。自己投資口を継続取得・消却(当期10,262口・999,991千円)</t>
  </si>
  <si>
    <t xml:space="preserve">NUD-01</t>
  </si>
  <si>
    <t xml:space="preserve">ランディック新橋ビル</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</si>
  <si>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t>
    </r>
  </si>
  <si>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2002/9</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上場時</t>
    </r>
    <r>
      <rPr>
        <sz val="10"/>
        <color rgb="FF0000FF"/>
        <rFont val="Arial"/>
        <family val="0"/>
        <charset val="1"/>
      </rPr>
      <t xml:space="preserve">)</t>
    </r>
  </si>
  <si>
    <t xml:space="preserve">NUD-02</t>
  </si>
  <si>
    <t xml:space="preserve">ランディック第２新橋ビル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</si>
  <si>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。信託受益権準共有持分を</t>
    </r>
    <r>
      <rPr>
        <sz val="10"/>
        <color rgb="FF0000FF"/>
        <rFont val="Arial"/>
        <family val="0"/>
        <charset val="1"/>
      </rPr>
      <t xml:space="preserve">3</t>
    </r>
    <r>
      <rPr>
        <sz val="10"/>
        <color rgb="FF0000FF"/>
        <rFont val="Noto Sans CJK SC"/>
        <family val="2"/>
      </rPr>
      <t xml:space="preserve">回に分割譲渡</t>
    </r>
    <r>
      <rPr>
        <sz val="10"/>
        <color rgb="FF0000FF"/>
        <rFont val="Arial"/>
        <family val="0"/>
        <charset val="1"/>
      </rPr>
      <t xml:space="preserve">(2025/2/28</t>
    </r>
    <r>
      <rPr>
        <sz val="10"/>
        <color rgb="FF0000FF"/>
        <rFont val="Noto Sans CJK SC"/>
        <family val="2"/>
      </rPr>
      <t xml:space="preserve">に</t>
    </r>
    <r>
      <rPr>
        <sz val="10"/>
        <color rgb="FF0000FF"/>
        <rFont val="Arial"/>
        <family val="0"/>
        <charset val="1"/>
      </rPr>
      <t xml:space="preserve">33.34%</t>
    </r>
    <r>
      <rPr>
        <sz val="10"/>
        <color rgb="FF0000FF"/>
        <rFont val="Noto Sans CJK SC"/>
        <family val="2"/>
      </rPr>
      <t xml:space="preserve">・</t>
    </r>
    <r>
      <rPr>
        <sz val="10"/>
        <color rgb="FF0000FF"/>
        <rFont val="Arial"/>
        <family val="0"/>
        <charset val="1"/>
      </rPr>
      <t xml:space="preserve">2025/10/30</t>
    </r>
    <r>
      <rPr>
        <sz val="10"/>
        <color rgb="FF0000FF"/>
        <rFont val="Noto Sans CJK SC"/>
        <family val="2"/>
      </rPr>
      <t xml:space="preserve">に</t>
    </r>
    <r>
      <rPr>
        <sz val="10"/>
        <color rgb="FF0000FF"/>
        <rFont val="Arial"/>
        <family val="0"/>
        <charset val="1"/>
      </rPr>
      <t xml:space="preserve">33.33%</t>
    </r>
    <r>
      <rPr>
        <sz val="10"/>
        <color rgb="FF0000FF"/>
        <rFont val="Noto Sans CJK SC"/>
        <family val="2"/>
      </rPr>
      <t xml:space="preserve">・</t>
    </r>
    <r>
      <rPr>
        <sz val="10"/>
        <color rgb="FF0000FF"/>
        <rFont val="Arial"/>
        <family val="0"/>
        <charset val="1"/>
      </rPr>
      <t xml:space="preserve">2026/4/28</t>
    </r>
    <r>
      <rPr>
        <sz val="10"/>
        <color rgb="FF0000FF"/>
        <rFont val="Noto Sans CJK SC"/>
        <family val="2"/>
      </rPr>
      <t xml:space="preserve">に残</t>
    </r>
    <r>
      <rPr>
        <sz val="10"/>
        <color rgb="FF0000FF"/>
        <rFont val="Arial"/>
        <family val="0"/>
        <charset val="1"/>
      </rPr>
      <t xml:space="preserve">33.33%)</t>
    </r>
    <r>
      <rPr>
        <sz val="10"/>
        <color rgb="FF0000FF"/>
        <rFont val="Noto Sans CJK SC"/>
        <family val="2"/>
      </rPr>
      <t xml:space="preserve">し当期で全譲渡完了。当期営業日数</t>
    </r>
    <r>
      <rPr>
        <sz val="10"/>
        <color rgb="FF0000FF"/>
        <rFont val="Arial"/>
        <family val="0"/>
        <charset val="1"/>
      </rPr>
      <t xml:space="preserve">178</t>
    </r>
    <r>
      <rPr>
        <sz val="10"/>
        <color rgb="FF0000FF"/>
        <rFont val="Noto Sans CJK SC"/>
        <family val="2"/>
      </rPr>
      <t xml:space="preserve">日・当期売却益</t>
    </r>
    <r>
      <rPr>
        <sz val="10"/>
        <color rgb="FF0000FF"/>
        <rFont val="Arial"/>
        <family val="0"/>
        <charset val="1"/>
      </rPr>
      <t xml:space="preserve">1,239,299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譲渡収入</t>
    </r>
    <r>
      <rPr>
        <sz val="10"/>
        <color rgb="FF0000FF"/>
        <rFont val="Arial"/>
        <family val="0"/>
        <charset val="1"/>
      </rPr>
      <t xml:space="preserve">3,333,000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。取得価格は持分</t>
    </r>
    <r>
      <rPr>
        <sz val="10"/>
        <color rgb="FF0000FF"/>
        <rFont val="Arial"/>
        <family val="0"/>
        <charset val="1"/>
      </rPr>
      <t xml:space="preserve">33.33%</t>
    </r>
    <r>
      <rPr>
        <sz val="10"/>
        <color rgb="FF0000FF"/>
        <rFont val="Noto Sans CJK SC"/>
        <family val="2"/>
      </rPr>
      <t xml:space="preserve">相当</t>
    </r>
    <r>
      <rPr>
        <sz val="10"/>
        <color rgb="FF0000FF"/>
        <rFont val="Arial"/>
        <family val="0"/>
        <charset val="1"/>
      </rPr>
      <t xml:space="preserve">2,348</t>
    </r>
    <r>
      <rPr>
        <sz val="10"/>
        <color rgb="FF0000FF"/>
        <rFont val="Noto Sans CJK SC"/>
        <family val="2"/>
      </rPr>
      <t xml:space="preserve">百万円</t>
    </r>
  </si>
  <si>
    <t xml:space="preserve">NUD-03</t>
  </si>
  <si>
    <t xml:space="preserve">プレミア道玄坂ビル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</si>
  <si>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11.1%</t>
    </r>
    <r>
      <rPr>
        <sz val="10"/>
        <color rgb="FF0000FF"/>
        <rFont val="Noto Sans CJK SC"/>
        <family val="2"/>
      </rPr>
      <t xml:space="preserve">はオフィス最高</t>
    </r>
  </si>
  <si>
    <t xml:space="preserve">NUD-04</t>
  </si>
  <si>
    <t xml:space="preserve">ＫＮ渋谷３</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</si>
  <si>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12,100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2.3</t>
    </r>
    <r>
      <rPr>
        <sz val="10"/>
        <color rgb="FF0000FF"/>
        <rFont val="Noto Sans CJK SC"/>
        <family val="2"/>
      </rPr>
      <t xml:space="preserve">倍</t>
    </r>
  </si>
  <si>
    <t xml:space="preserve">NUD-05</t>
  </si>
  <si>
    <t xml:space="preserve">高田馬場センタービル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</si>
  <si>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</si>
  <si>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NUD-06</t>
  </si>
  <si>
    <t xml:space="preserve">アーバンネット三田ビル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</si>
  <si>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</si>
  <si>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NUD-07</t>
  </si>
  <si>
    <t xml:space="preserve">アーバンネット麻布ビル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</si>
  <si>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。主要テナント</t>
    </r>
    <r>
      <rPr>
        <sz val="10"/>
        <color rgb="FF0000FF"/>
        <rFont val="Arial"/>
        <family val="0"/>
        <charset val="1"/>
      </rPr>
      <t xml:space="preserve">(NTT ExC</t>
    </r>
    <r>
      <rPr>
        <sz val="10"/>
        <color rgb="FF0000FF"/>
        <rFont val="Noto Sans CJK SC"/>
        <family val="2"/>
      </rPr>
      <t xml:space="preserve">パートナー等</t>
    </r>
    <r>
      <rPr>
        <sz val="10"/>
        <color rgb="FF0000FF"/>
        <rFont val="Arial"/>
        <family val="0"/>
        <charset val="1"/>
      </rPr>
      <t xml:space="preserve">)</t>
    </r>
    <r>
      <rPr>
        <sz val="10"/>
        <color rgb="FF0000FF"/>
        <rFont val="Noto Sans CJK SC"/>
        <family val="2"/>
      </rPr>
      <t xml:space="preserve">の賃料が</t>
    </r>
    <r>
      <rPr>
        <sz val="10"/>
        <color rgb="FF0000FF"/>
        <rFont val="Arial"/>
        <family val="0"/>
        <charset val="1"/>
      </rPr>
      <t xml:space="preserve">80%</t>
    </r>
    <r>
      <rPr>
        <sz val="10"/>
        <color rgb="FF0000FF"/>
        <rFont val="Noto Sans CJK SC"/>
        <family val="2"/>
      </rPr>
      <t xml:space="preserve">以上を占め同意なしのため収支非開示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8)</t>
    </r>
    <r>
      <rPr>
        <sz val="10"/>
        <color rgb="FF0000FF"/>
        <rFont val="Noto Sans CJK SC"/>
        <family val="2"/>
      </rPr>
      <t xml:space="preserve">。開示は賃貸事業損益</t>
    </r>
    <r>
      <rPr>
        <sz val="10"/>
        <color rgb="FF0000FF"/>
        <rFont val="Arial"/>
        <family val="0"/>
        <charset val="1"/>
      </rPr>
      <t xml:space="preserve">72</t>
    </r>
    <r>
      <rPr>
        <sz val="10"/>
        <color rgb="FF0000FF"/>
        <rFont val="Noto Sans CJK SC"/>
        <family val="2"/>
      </rPr>
      <t xml:space="preserve">百万円・</t>
    </r>
    <r>
      <rPr>
        <sz val="10"/>
        <color rgb="FF0000FF"/>
        <rFont val="Arial"/>
        <family val="0"/>
        <charset val="1"/>
      </rPr>
      <t xml:space="preserve">NOI105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33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4.3%</t>
    </r>
    <r>
      <rPr>
        <sz val="10"/>
        <color rgb="FF0000FF"/>
        <rFont val="Noto Sans CJK SC"/>
        <family val="2"/>
      </rPr>
      <t xml:space="preserve">のみ</t>
    </r>
  </si>
  <si>
    <t xml:space="preserve">NUD-08</t>
  </si>
  <si>
    <t xml:space="preserve">グランパーク</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</si>
  <si>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。建物共有持分</t>
    </r>
    <r>
      <rPr>
        <sz val="10"/>
        <color rgb="FF0000FF"/>
        <rFont val="Arial"/>
        <family val="0"/>
        <charset val="1"/>
      </rPr>
      <t xml:space="preserve">86.4915%×</t>
    </r>
    <r>
      <rPr>
        <sz val="10"/>
        <color rgb="FF0000FF"/>
        <rFont val="Noto Sans CJK SC"/>
        <family val="2"/>
      </rPr>
      <t xml:space="preserve">信託受益権準共有持分</t>
    </r>
    <r>
      <rPr>
        <sz val="10"/>
        <color rgb="FF0000FF"/>
        <rFont val="Arial"/>
        <family val="0"/>
        <charset val="1"/>
      </rPr>
      <t xml:space="preserve">34.2%=</t>
    </r>
    <r>
      <rPr>
        <sz val="10"/>
        <color rgb="FF0000FF"/>
        <rFont val="Noto Sans CJK SC"/>
        <family val="2"/>
      </rPr>
      <t xml:space="preserve">実質持分</t>
    </r>
    <r>
      <rPr>
        <sz val="10"/>
        <color rgb="FF0000FF"/>
        <rFont val="Arial"/>
        <family val="0"/>
        <charset val="1"/>
      </rPr>
      <t xml:space="preserve">29.580093%</t>
    </r>
    <r>
      <rPr>
        <sz val="10"/>
        <color rgb="FF0000FF"/>
        <rFont val="Noto Sans CJK SC"/>
        <family val="2"/>
      </rPr>
      <t xml:space="preserve">。</t>
    </r>
    <r>
      <rPr>
        <sz val="10"/>
        <color rgb="FF0000FF"/>
        <rFont val="Arial"/>
        <family val="0"/>
        <charset val="1"/>
      </rPr>
      <t xml:space="preserve">2013/11</t>
    </r>
    <r>
      <rPr>
        <sz val="10"/>
        <color rgb="FF0000FF"/>
        <rFont val="Noto Sans CJK SC"/>
        <family val="2"/>
      </rPr>
      <t xml:space="preserve">・</t>
    </r>
    <r>
      <rPr>
        <sz val="10"/>
        <color rgb="FF0000FF"/>
        <rFont val="Arial"/>
        <family val="0"/>
        <charset val="1"/>
      </rPr>
      <t xml:space="preserve">2024/3</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回取得。延床は一棟全体。</t>
    </r>
    <r>
      <rPr>
        <sz val="10"/>
        <color rgb="FF0000FF"/>
        <rFont val="Arial"/>
        <family val="0"/>
        <charset val="1"/>
      </rPr>
      <t xml:space="preserve">NUD</t>
    </r>
    <r>
      <rPr>
        <sz val="10"/>
        <color rgb="FF0000FF"/>
        <rFont val="Noto Sans CJK SC"/>
        <family val="2"/>
      </rPr>
      <t xml:space="preserve">最大収益物件</t>
    </r>
  </si>
  <si>
    <t xml:space="preserve">NUD-09</t>
  </si>
  <si>
    <t xml:space="preserve">大手町フィナンシャルシティ グランキューブ</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</si>
  <si>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。実質持分</t>
    </r>
    <r>
      <rPr>
        <sz val="10"/>
        <color rgb="FF0000FF"/>
        <rFont val="Arial"/>
        <family val="0"/>
        <charset val="1"/>
      </rPr>
      <t xml:space="preserve">1.1956646%(</t>
    </r>
    <r>
      <rPr>
        <sz val="10"/>
        <color rgb="FF0000FF"/>
        <rFont val="Noto Sans CJK SC"/>
        <family val="2"/>
      </rPr>
      <t xml:space="preserve">共有持分</t>
    </r>
    <r>
      <rPr>
        <sz val="10"/>
        <color rgb="FF0000FF"/>
        <rFont val="Arial"/>
        <family val="0"/>
        <charset val="1"/>
      </rPr>
      <t xml:space="preserve">×</t>
    </r>
    <r>
      <rPr>
        <sz val="10"/>
        <color rgb="FF0000FF"/>
        <rFont val="Noto Sans CJK SC"/>
        <family val="2"/>
      </rPr>
      <t xml:space="preserve">準共有持分</t>
    </r>
    <r>
      <rPr>
        <sz val="10"/>
        <color rgb="FF0000FF"/>
        <rFont val="Arial"/>
        <family val="0"/>
        <charset val="1"/>
      </rPr>
      <t xml:space="preserve">)</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71</t>
    </r>
    <r>
      <rPr>
        <sz val="10"/>
        <color rgb="FF0000FF"/>
        <rFont val="Noto Sans CJK SC"/>
        <family val="2"/>
      </rPr>
      <t xml:space="preserve">百万円・</t>
    </r>
    <r>
      <rPr>
        <sz val="10"/>
        <color rgb="FF0000FF"/>
        <rFont val="Arial"/>
        <family val="0"/>
        <charset val="1"/>
      </rPr>
      <t xml:space="preserve">NOI81</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3.5%</t>
    </r>
    <r>
      <rPr>
        <sz val="10"/>
        <color rgb="FF0000FF"/>
        <rFont val="Noto Sans CJK SC"/>
        <family val="2"/>
      </rPr>
      <t xml:space="preserve">のみ。延床は一棟全体</t>
    </r>
  </si>
  <si>
    <t xml:space="preserve">NUD-10</t>
  </si>
  <si>
    <t xml:space="preserve">品川シーズンテラス</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</si>
  <si>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75.0%</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231</t>
    </r>
    <r>
      <rPr>
        <sz val="10"/>
        <color rgb="FF0000FF"/>
        <rFont val="Noto Sans CJK SC"/>
        <family val="2"/>
      </rPr>
      <t xml:space="preserve">百万円・</t>
    </r>
    <r>
      <rPr>
        <sz val="10"/>
        <color rgb="FF0000FF"/>
        <rFont val="Arial"/>
        <family val="0"/>
        <charset val="1"/>
      </rPr>
      <t xml:space="preserve">NOI313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82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3.5%</t>
    </r>
    <r>
      <rPr>
        <sz val="10"/>
        <color rgb="FF0000FF"/>
        <rFont val="Noto Sans CJK SC"/>
        <family val="2"/>
      </rPr>
      <t xml:space="preserve">のみ。</t>
    </r>
    <r>
      <rPr>
        <sz val="10"/>
        <color rgb="FF0000FF"/>
        <rFont val="Arial"/>
        <family val="0"/>
        <charset val="1"/>
      </rPr>
      <t xml:space="preserve">2022/3</t>
    </r>
    <r>
      <rPr>
        <sz val="10"/>
        <color rgb="FF0000FF"/>
        <rFont val="Noto Sans CJK SC"/>
        <family val="2"/>
      </rPr>
      <t xml:space="preserve">に信託借地権の一部譲渡済</t>
    </r>
    <r>
      <rPr>
        <sz val="10"/>
        <color rgb="FF0000FF"/>
        <rFont val="Arial"/>
        <family val="0"/>
        <charset val="1"/>
      </rPr>
      <t xml:space="preserve">(</t>
    </r>
    <r>
      <rPr>
        <sz val="10"/>
        <color rgb="FF0000FF"/>
        <rFont val="Noto Sans CJK SC"/>
        <family val="2"/>
      </rPr>
      <t xml:space="preserve">取得価格は控除後</t>
    </r>
    <r>
      <rPr>
        <sz val="10"/>
        <color rgb="FF0000FF"/>
        <rFont val="Arial"/>
        <family val="0"/>
        <charset val="1"/>
      </rPr>
      <t xml:space="preserve">18,687,524,311</t>
    </r>
    <r>
      <rPr>
        <sz val="10"/>
        <color rgb="FF0000FF"/>
        <rFont val="Noto Sans CJK SC"/>
        <family val="2"/>
      </rPr>
      <t xml:space="preserve">円</t>
    </r>
    <r>
      <rPr>
        <sz val="10"/>
        <color rgb="FF0000FF"/>
        <rFont val="Arial"/>
        <family val="0"/>
        <charset val="1"/>
      </rPr>
      <t xml:space="preserve">)</t>
    </r>
    <r>
      <rPr>
        <sz val="10"/>
        <color rgb="FF0000FF"/>
        <rFont val="Noto Sans CJK SC"/>
        <family val="2"/>
      </rPr>
      <t xml:space="preserve">。延床は一棟全体</t>
    </r>
  </si>
  <si>
    <t xml:space="preserve">NUD-11</t>
  </si>
  <si>
    <t xml:space="preserve">東京オペラシティビル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</si>
  <si>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A19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持分比率毎</t>
    </r>
    <r>
      <rPr>
        <sz val="10"/>
        <color rgb="FF0000FF"/>
        <rFont val="Arial"/>
        <family val="0"/>
        <charset val="1"/>
      </rPr>
      <t xml:space="preserve">)</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257</t>
    </r>
    <r>
      <rPr>
        <sz val="10"/>
        <color rgb="FF0000FF"/>
        <rFont val="Noto Sans CJK SC"/>
        <family val="2"/>
      </rPr>
      <t xml:space="preserve">百万円・</t>
    </r>
    <r>
      <rPr>
        <sz val="10"/>
        <color rgb="FF0000FF"/>
        <rFont val="Arial"/>
        <family val="0"/>
        <charset val="1"/>
      </rPr>
      <t xml:space="preserve">NOI415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158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3.5%</t>
    </r>
    <r>
      <rPr>
        <sz val="10"/>
        <color rgb="FF0000FF"/>
        <rFont val="Noto Sans CJK SC"/>
        <family val="2"/>
      </rPr>
      <t xml:space="preserve">のみ。当期不動産賃貸事業収益の</t>
    </r>
    <r>
      <rPr>
        <sz val="10"/>
        <color rgb="FF0000FF"/>
        <rFont val="Arial"/>
        <family val="0"/>
        <charset val="1"/>
      </rPr>
      <t xml:space="preserve">10%</t>
    </r>
    <r>
      <rPr>
        <sz val="10"/>
        <color rgb="FF0000FF"/>
        <rFont val="Noto Sans CJK SC"/>
        <family val="2"/>
      </rPr>
      <t xml:space="preserve">以上を占める主要物件</t>
    </r>
    <r>
      <rPr>
        <sz val="10"/>
        <color rgb="FF0000FF"/>
        <rFont val="Arial"/>
        <family val="0"/>
        <charset val="1"/>
      </rPr>
      <t xml:space="preserve">(</t>
    </r>
    <r>
      <rPr>
        <sz val="10"/>
        <color rgb="FF0000FF"/>
        <rFont val="Noto Sans CJK SC"/>
        <family val="2"/>
      </rPr>
      <t xml:space="preserve">テナント</t>
    </r>
    <r>
      <rPr>
        <sz val="10"/>
        <color rgb="FF0000FF"/>
        <rFont val="Arial"/>
        <family val="0"/>
        <charset val="1"/>
      </rPr>
      <t xml:space="preserve">104</t>
    </r>
    <r>
      <rPr>
        <sz val="10"/>
        <color rgb="FF0000FF"/>
        <rFont val="Noto Sans CJK SC"/>
        <family val="2"/>
      </rPr>
      <t xml:space="preserve">・</t>
    </r>
    <r>
      <rPr>
        <sz val="10"/>
        <color rgb="FF0000FF"/>
        <rFont val="Arial"/>
        <family val="0"/>
        <charset val="1"/>
      </rPr>
      <t xml:space="preserve">NLA26,494.46</t>
    </r>
    <r>
      <rPr>
        <sz val="10"/>
        <color rgb="FF0000FF"/>
        <rFont val="Noto Sans CJK SC"/>
        <family val="2"/>
      </rPr>
      <t xml:space="preserve">㎡持分換算</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NTT</t>
    </r>
    <r>
      <rPr>
        <sz val="10"/>
        <color rgb="FF0000FF"/>
        <rFont val="Noto Sans CJK SC"/>
        <family val="2"/>
      </rPr>
      <t xml:space="preserve">都市開発とのパス・スルー型</t>
    </r>
    <r>
      <rPr>
        <sz val="10"/>
        <color rgb="FF0000FF"/>
        <rFont val="Arial"/>
        <family val="0"/>
        <charset val="1"/>
      </rPr>
      <t xml:space="preserve">ML(</t>
    </r>
    <r>
      <rPr>
        <sz val="10"/>
        <color rgb="FF0000FF"/>
        <rFont val="Noto Sans CJK SC"/>
        <family val="2"/>
      </rPr>
      <t xml:space="preserve">展示場部分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BS</t>
    </r>
    <r>
      <rPr>
        <sz val="10"/>
        <color rgb="FF0000FF"/>
        <rFont val="Noto Sans CJK SC"/>
        <family val="2"/>
      </rPr>
      <t xml:space="preserve">上は「不動産」</t>
    </r>
    <r>
      <rPr>
        <sz val="10"/>
        <color rgb="FF0000FF"/>
        <rFont val="Arial"/>
        <family val="0"/>
        <charset val="1"/>
      </rPr>
      <t xml:space="preserve">(</t>
    </r>
    <r>
      <rPr>
        <sz val="10"/>
        <color rgb="FF0000FF"/>
        <rFont val="Noto Sans CJK SC"/>
        <family val="2"/>
      </rPr>
      <t xml:space="preserve">信託外</t>
    </r>
    <r>
      <rPr>
        <sz val="10"/>
        <color rgb="FF0000FF"/>
        <rFont val="Arial"/>
        <family val="0"/>
        <charset val="1"/>
      </rPr>
      <t xml:space="preserve">)</t>
    </r>
    <r>
      <rPr>
        <sz val="10"/>
        <color rgb="FF0000FF"/>
        <rFont val="Noto Sans CJK SC"/>
        <family val="2"/>
      </rPr>
      <t xml:space="preserve">で帳簿</t>
    </r>
    <r>
      <rPr>
        <sz val="10"/>
        <color rgb="FF0000FF"/>
        <rFont val="Arial"/>
        <family val="0"/>
        <charset val="1"/>
      </rPr>
      <t xml:space="preserve">23,439</t>
    </r>
    <r>
      <rPr>
        <sz val="10"/>
        <color rgb="FF0000FF"/>
        <rFont val="Noto Sans CJK SC"/>
        <family val="2"/>
      </rPr>
      <t xml:space="preserve">百万円は都心</t>
    </r>
    <r>
      <rPr>
        <sz val="10"/>
        <color rgb="FF0000FF"/>
        <rFont val="Arial"/>
        <family val="0"/>
        <charset val="1"/>
      </rPr>
      <t xml:space="preserve">5</t>
    </r>
    <r>
      <rPr>
        <sz val="10"/>
        <color rgb="FF0000FF"/>
        <rFont val="Noto Sans CJK SC"/>
        <family val="2"/>
      </rPr>
      <t xml:space="preserve">区・不動産区分と一致。延床は一棟全体</t>
    </r>
  </si>
  <si>
    <t xml:space="preserve">NUD-12</t>
  </si>
  <si>
    <t xml:space="preserve">アーバンネット内幸町ビル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</si>
  <si>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A20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。共有者同意なしのため収支非開示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9)</t>
    </r>
    <r>
      <rPr>
        <sz val="10"/>
        <color rgb="FF0000FF"/>
        <rFont val="Noto Sans CJK SC"/>
        <family val="2"/>
      </rPr>
      <t xml:space="preserve">。開示は賃貸事業損益</t>
    </r>
    <r>
      <rPr>
        <sz val="10"/>
        <color rgb="FF0000FF"/>
        <rFont val="Arial"/>
        <family val="0"/>
        <charset val="1"/>
      </rPr>
      <t xml:space="preserve">70</t>
    </r>
    <r>
      <rPr>
        <sz val="10"/>
        <color rgb="FF0000FF"/>
        <rFont val="Noto Sans CJK SC"/>
        <family val="2"/>
      </rPr>
      <t xml:space="preserve">百万円・</t>
    </r>
    <r>
      <rPr>
        <sz val="10"/>
        <color rgb="FF0000FF"/>
        <rFont val="Arial"/>
        <family val="0"/>
        <charset val="1"/>
      </rPr>
      <t xml:space="preserve">NOI83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3.0%</t>
    </r>
    <r>
      <rPr>
        <sz val="10"/>
        <color rgb="FF0000FF"/>
        <rFont val="Noto Sans CJK SC"/>
        <family val="2"/>
      </rPr>
      <t xml:space="preserve">のみ。</t>
    </r>
    <r>
      <rPr>
        <sz val="10"/>
        <color rgb="FF0000FF"/>
        <rFont val="Arial"/>
        <family val="0"/>
        <charset val="1"/>
      </rPr>
      <t xml:space="preserve">2022/3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スポンサー開発物件</t>
    </r>
    <r>
      <rPr>
        <sz val="10"/>
        <color rgb="FF0000FF"/>
        <rFont val="Arial"/>
        <family val="0"/>
        <charset val="1"/>
      </rPr>
      <t xml:space="preserve">)</t>
    </r>
    <r>
      <rPr>
        <sz val="10"/>
        <color rgb="FF0000FF"/>
        <rFont val="Noto Sans CJK SC"/>
        <family val="2"/>
      </rPr>
      <t xml:space="preserve">。延床は一棟全体</t>
    </r>
  </si>
  <si>
    <t xml:space="preserve">NUD-13</t>
  </si>
  <si>
    <t xml:space="preserve">プレミア東陽町ビル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</si>
  <si>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。鑑定が取得価格・帳簿を下回る</t>
    </r>
  </si>
  <si>
    <t xml:space="preserve">NUD-14</t>
  </si>
  <si>
    <t xml:space="preserve">上野ＴＨビル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</si>
  <si>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。鑑定が取得価格・帳簿を下回る</t>
    </r>
  </si>
  <si>
    <t xml:space="preserve">NUD-15</t>
  </si>
  <si>
    <t xml:space="preserve">五反田ＮＴビル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</si>
  <si>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。区分所有権の共有持分</t>
    </r>
    <r>
      <rPr>
        <sz val="10"/>
        <color rgb="FF0000FF"/>
        <rFont val="Arial"/>
        <family val="0"/>
        <charset val="1"/>
      </rPr>
      <t xml:space="preserve">45%</t>
    </r>
    <r>
      <rPr>
        <sz val="10"/>
        <color rgb="FF0000FF"/>
        <rFont val="Noto Sans CJK SC"/>
        <family val="2"/>
      </rPr>
      <t xml:space="preserve">。鑑定が取得価格・帳簿を下回る。延床は一棟全体</t>
    </r>
  </si>
  <si>
    <t xml:space="preserve">NUD-16</t>
  </si>
  <si>
    <t xml:space="preserve">上野トーセイビル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</si>
  <si>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</si>
  <si>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NUD-17</t>
  </si>
  <si>
    <t xml:space="preserve">アーバンネット池袋ビル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</si>
  <si>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23,300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1.7</t>
    </r>
    <r>
      <rPr>
        <sz val="10"/>
        <color rgb="FF0000FF"/>
        <rFont val="Noto Sans CJK SC"/>
        <family val="2"/>
      </rPr>
      <t xml:space="preserve">倍。ドコモ</t>
    </r>
    <r>
      <rPr>
        <sz val="10"/>
        <color rgb="FF0000FF"/>
        <rFont val="Arial"/>
        <family val="0"/>
        <charset val="1"/>
      </rPr>
      <t xml:space="preserve">CS</t>
    </r>
    <r>
      <rPr>
        <sz val="10"/>
        <color rgb="FF0000FF"/>
        <rFont val="Noto Sans CJK SC"/>
        <family val="2"/>
      </rPr>
      <t xml:space="preserve">・</t>
    </r>
    <r>
      <rPr>
        <sz val="10"/>
        <color rgb="FF0000FF"/>
        <rFont val="Arial"/>
        <family val="0"/>
        <charset val="1"/>
      </rPr>
      <t xml:space="preserve">NTT</t>
    </r>
    <r>
      <rPr>
        <sz val="10"/>
        <color rgb="FF0000FF"/>
        <rFont val="Noto Sans CJK SC"/>
        <family val="2"/>
      </rPr>
      <t xml:space="preserve">ファイナンス等</t>
    </r>
    <r>
      <rPr>
        <sz val="10"/>
        <color rgb="FF0000FF"/>
        <rFont val="Arial"/>
        <family val="0"/>
        <charset val="1"/>
      </rPr>
      <t xml:space="preserve">NTT</t>
    </r>
    <r>
      <rPr>
        <sz val="10"/>
        <color rgb="FF0000FF"/>
        <rFont val="Noto Sans CJK SC"/>
        <family val="2"/>
      </rPr>
      <t xml:space="preserve">グループが主要テナント</t>
    </r>
  </si>
  <si>
    <t xml:space="preserve">NUD-18</t>
  </si>
  <si>
    <t xml:space="preserve">アーバンネット大森ビル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</si>
  <si>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大森エリア</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NTT</t>
    </r>
    <r>
      <rPr>
        <sz val="10"/>
        <color rgb="FF0000FF"/>
        <rFont val="Noto Sans CJK SC"/>
        <family val="2"/>
      </rPr>
      <t xml:space="preserve">ビジネスアソシエ東日本が主要テナント</t>
    </r>
  </si>
  <si>
    <t xml:space="preserve">NUD-19</t>
  </si>
  <si>
    <t xml:space="preserve">アーバンネット五反田ＮＮビル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</si>
  <si>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B09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</si>
  <si>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NUD-20</t>
  </si>
  <si>
    <t xml:space="preserve">アーバンネット中野ビル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</si>
  <si>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B10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。主要テナント</t>
    </r>
    <r>
      <rPr>
        <sz val="10"/>
        <color rgb="FF0000FF"/>
        <rFont val="Arial"/>
        <family val="0"/>
        <charset val="1"/>
      </rPr>
      <t xml:space="preserve">(</t>
    </r>
    <r>
      <rPr>
        <sz val="10"/>
        <color rgb="FF0000FF"/>
        <rFont val="Noto Sans CJK SC"/>
        <family val="2"/>
      </rPr>
      <t xml:space="preserve">東京リーガルマインド</t>
    </r>
    <r>
      <rPr>
        <sz val="10"/>
        <color rgb="FF0000FF"/>
        <rFont val="Arial"/>
        <family val="0"/>
        <charset val="1"/>
      </rPr>
      <t xml:space="preserve">)</t>
    </r>
    <r>
      <rPr>
        <sz val="10"/>
        <color rgb="FF0000FF"/>
        <rFont val="Noto Sans CJK SC"/>
        <family val="2"/>
      </rPr>
      <t xml:space="preserve">の賃料が</t>
    </r>
    <r>
      <rPr>
        <sz val="10"/>
        <color rgb="FF0000FF"/>
        <rFont val="Arial"/>
        <family val="0"/>
        <charset val="1"/>
      </rPr>
      <t xml:space="preserve">80%</t>
    </r>
    <r>
      <rPr>
        <sz val="10"/>
        <color rgb="FF0000FF"/>
        <rFont val="Noto Sans CJK SC"/>
        <family val="2"/>
      </rPr>
      <t xml:space="preserve">以上を占め同意なしのため収支非開示</t>
    </r>
    <r>
      <rPr>
        <sz val="10"/>
        <color rgb="FF0000FF"/>
        <rFont val="Arial"/>
        <family val="0"/>
        <charset val="1"/>
      </rPr>
      <t xml:space="preserve">(</t>
    </r>
    <r>
      <rPr>
        <sz val="10"/>
        <color rgb="FF0000FF"/>
        <rFont val="Noto Sans CJK SC"/>
        <family val="2"/>
      </rPr>
      <t xml:space="preserve">短信注</t>
    </r>
    <r>
      <rPr>
        <sz val="10"/>
        <color rgb="FF0000FF"/>
        <rFont val="Arial"/>
        <family val="0"/>
        <charset val="1"/>
      </rPr>
      <t xml:space="preserve">8)</t>
    </r>
    <r>
      <rPr>
        <sz val="10"/>
        <color rgb="FF0000FF"/>
        <rFont val="Noto Sans CJK SC"/>
        <family val="2"/>
      </rPr>
      <t xml:space="preserve">。開示は賃貸事業損益</t>
    </r>
    <r>
      <rPr>
        <sz val="10"/>
        <color rgb="FF0000FF"/>
        <rFont val="Arial"/>
        <family val="0"/>
        <charset val="1"/>
      </rPr>
      <t xml:space="preserve">154</t>
    </r>
    <r>
      <rPr>
        <sz val="10"/>
        <color rgb="FF0000FF"/>
        <rFont val="Noto Sans CJK SC"/>
        <family val="2"/>
      </rPr>
      <t xml:space="preserve">百万円・</t>
    </r>
    <r>
      <rPr>
        <sz val="10"/>
        <color rgb="FF0000FF"/>
        <rFont val="Arial"/>
        <family val="0"/>
        <charset val="1"/>
      </rPr>
      <t xml:space="preserve">NOI173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差</t>
    </r>
    <r>
      <rPr>
        <sz val="10"/>
        <color rgb="FF0000FF"/>
        <rFont val="Arial"/>
        <family val="0"/>
        <charset val="1"/>
      </rPr>
      <t xml:space="preserve">=</t>
    </r>
    <r>
      <rPr>
        <sz val="10"/>
        <color rgb="FF0000FF"/>
        <rFont val="Noto Sans CJK SC"/>
        <family val="2"/>
      </rPr>
      <t xml:space="preserve">償却</t>
    </r>
    <r>
      <rPr>
        <sz val="10"/>
        <color rgb="FF0000FF"/>
        <rFont val="Arial"/>
        <family val="0"/>
        <charset val="1"/>
      </rPr>
      <t xml:space="preserve">19</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5.4%</t>
    </r>
    <r>
      <rPr>
        <sz val="10"/>
        <color rgb="FF0000FF"/>
        <rFont val="Noto Sans CJK SC"/>
        <family val="2"/>
      </rPr>
      <t xml:space="preserve">のみ</t>
    </r>
  </si>
  <si>
    <t xml:space="preserve">NUD-21</t>
  </si>
  <si>
    <t xml:space="preserve">プレミア横浜西口ビル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</si>
  <si>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C01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</si>
  <si>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NUD-22</t>
  </si>
  <si>
    <t xml:space="preserve">アーバンネット静岡追手町ビル</t>
  </si>
  <si>
    <t xml:space="preserve">静岡県</t>
  </si>
  <si>
    <t xml:space="preserve">静岡市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</si>
  <si>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40%</t>
    </r>
    <r>
      <rPr>
        <sz val="10"/>
        <color rgb="FF0000FF"/>
        <rFont val="Noto Sans CJK SC"/>
        <family val="2"/>
      </rPr>
      <t xml:space="preserve">。延床は一棟全体。</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10.0%</t>
    </r>
  </si>
  <si>
    <t xml:space="preserve">NUD-23</t>
  </si>
  <si>
    <t xml:space="preserve">アーバンネット静岡ビル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</si>
  <si>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40%</t>
    </r>
    <r>
      <rPr>
        <sz val="10"/>
        <color rgb="FF0000FF"/>
        <rFont val="Noto Sans CJK SC"/>
        <family val="2"/>
      </rPr>
      <t xml:space="preserve">。延床は一棟全体</t>
    </r>
  </si>
  <si>
    <t xml:space="preserve">NUD-24</t>
  </si>
  <si>
    <t xml:space="preserve">アーバンエース肥後橋ビル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</si>
  <si>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</si>
  <si>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NUD-25</t>
  </si>
  <si>
    <t xml:space="preserve">アーバンネット四条烏丸ビル</t>
  </si>
  <si>
    <t xml:space="preserve">京都府</t>
  </si>
  <si>
    <t xml:space="preserve">京都市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</si>
  <si>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2023/11</t>
    </r>
    <r>
      <rPr>
        <sz val="10"/>
        <color rgb="FF0000FF"/>
        <rFont val="Noto Sans CJK SC"/>
        <family val="2"/>
      </rPr>
      <t xml:space="preserve">取得</t>
    </r>
  </si>
  <si>
    <t xml:space="preserve">NUD-26</t>
  </si>
  <si>
    <t xml:space="preserve">アーバンネット伏見ビル</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</si>
  <si>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G07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2023/11</t>
    </r>
    <r>
      <rPr>
        <sz val="10"/>
        <color rgb="FF0000FF"/>
        <rFont val="Noto Sans CJK SC"/>
        <family val="2"/>
      </rPr>
      <t xml:space="preserve">取得。市区町村・都道府県は原資料未確認のため空欄</t>
    </r>
    <r>
      <rPr>
        <sz val="10"/>
        <color rgb="FF0000FF"/>
        <rFont val="Arial"/>
        <family val="0"/>
        <charset val="1"/>
      </rPr>
      <t xml:space="preserve">(</t>
    </r>
    <r>
      <rPr>
        <sz val="10"/>
        <color rgb="FF0000FF"/>
        <rFont val="Noto Sans CJK SC"/>
        <family val="2"/>
      </rPr>
      <t xml:space="preserve">地方主要都市区分・</t>
    </r>
    <r>
      <rPr>
        <sz val="10"/>
        <color rgb="FF0000FF"/>
        <rFont val="Arial"/>
        <family val="0"/>
        <charset val="1"/>
      </rPr>
      <t xml:space="preserve">3</t>
    </r>
    <r>
      <rPr>
        <sz val="10"/>
        <color rgb="FF0000FF"/>
        <rFont val="Noto Sans CJK SC"/>
        <family val="2"/>
      </rPr>
      <t xml:space="preserve">大都市圏</t>
    </r>
    <r>
      <rPr>
        <sz val="10"/>
        <color rgb="FF0000FF"/>
        <rFont val="Arial"/>
        <family val="0"/>
        <charset val="1"/>
      </rPr>
      <t xml:space="preserve">)</t>
    </r>
  </si>
  <si>
    <t xml:space="preserve">NUD-27</t>
  </si>
  <si>
    <t xml:space="preserve">パークアクシス四谷ステージ</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</si>
  <si>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</si>
  <si>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NUD-28</t>
  </si>
  <si>
    <t xml:space="preserve">パークアクシス明治神宮前</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</si>
  <si>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</si>
  <si>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NUD-29</t>
  </si>
  <si>
    <t xml:space="preserve">キャビンアリーナ赤坂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</si>
  <si>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30</t>
    </r>
    <r>
      <rPr>
        <sz val="10"/>
        <color rgb="FF0000FF"/>
        <rFont val="Noto Sans CJK SC"/>
        <family val="2"/>
      </rPr>
      <t xml:space="preserve">百万円計上により賃貸事業損益△</t>
    </r>
    <r>
      <rPr>
        <sz val="10"/>
        <color rgb="FF0000FF"/>
        <rFont val="Arial"/>
        <family val="0"/>
        <charset val="1"/>
      </rPr>
      <t xml:space="preserve">4</t>
    </r>
    <r>
      <rPr>
        <sz val="10"/>
        <color rgb="FF0000FF"/>
        <rFont val="Noto Sans CJK SC"/>
        <family val="2"/>
      </rPr>
      <t xml:space="preserve">百万円</t>
    </r>
  </si>
  <si>
    <t xml:space="preserve">NUD-30</t>
  </si>
  <si>
    <t xml:space="preserve">キャビンアリーナ南青山</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</si>
  <si>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20</t>
    </r>
    <r>
      <rPr>
        <sz val="10"/>
        <color rgb="FF0000FF"/>
        <rFont val="Noto Sans CJK SC"/>
        <family val="2"/>
      </rPr>
      <t xml:space="preserve">百万円計上</t>
    </r>
  </si>
  <si>
    <t xml:space="preserve">NUD-31</t>
  </si>
  <si>
    <t xml:space="preserve">六本木グリーンテラス</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</si>
  <si>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</si>
  <si>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NUD-32</t>
  </si>
  <si>
    <t xml:space="preserve">プレミアステージ芝公園Ⅱ</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</si>
  <si>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D09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35</t>
    </r>
    <r>
      <rPr>
        <sz val="10"/>
        <color rgb="FF0000FF"/>
        <rFont val="Noto Sans CJK SC"/>
        <family val="2"/>
      </rPr>
      <t xml:space="preserve">百万円計上</t>
    </r>
  </si>
  <si>
    <t xml:space="preserve">NUD-33</t>
  </si>
  <si>
    <t xml:space="preserve">ラング・タワー京橋</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</si>
  <si>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。その他収益</t>
    </r>
    <r>
      <rPr>
        <sz val="10"/>
        <color rgb="FF0000FF"/>
        <rFont val="Arial"/>
        <family val="0"/>
        <charset val="1"/>
      </rPr>
      <t xml:space="preserve">33</t>
    </r>
    <r>
      <rPr>
        <sz val="10"/>
        <color rgb="FF0000FF"/>
        <rFont val="Noto Sans CJK SC"/>
        <family val="2"/>
      </rPr>
      <t xml:space="preserve">百万円・その他支出</t>
    </r>
    <r>
      <rPr>
        <sz val="10"/>
        <color rgb="FF0000FF"/>
        <rFont val="Arial"/>
        <family val="0"/>
        <charset val="1"/>
      </rPr>
      <t xml:space="preserve">31</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住宅以外用途含む</t>
    </r>
    <r>
      <rPr>
        <sz val="10"/>
        <color rgb="FF0000FF"/>
        <rFont val="Arial"/>
        <family val="0"/>
        <charset val="1"/>
      </rPr>
      <t xml:space="preserve">)</t>
    </r>
  </si>
  <si>
    <t xml:space="preserve">NUD-34</t>
  </si>
  <si>
    <t xml:space="preserve">プレミアステージ三田慶大前</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</si>
  <si>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</si>
  <si>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NUD-35</t>
  </si>
  <si>
    <t xml:space="preserve">プレミアロッソ</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</si>
  <si>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</si>
  <si>
    <t xml:space="preserve">NUD-36</t>
  </si>
  <si>
    <t xml:space="preserve">プレミアブラン代々木公園</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</si>
  <si>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</si>
  <si>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NUD-37</t>
  </si>
  <si>
    <t xml:space="preserve">プレミアステージ内神田</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</si>
  <si>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</si>
  <si>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NUD-38</t>
  </si>
  <si>
    <t xml:space="preserve">プレミアステージ市ヶ谷河田町</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</si>
  <si>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51</t>
    </r>
    <r>
      <rPr>
        <sz val="10"/>
        <color rgb="FF0000FF"/>
        <rFont val="Noto Sans CJK SC"/>
        <family val="2"/>
      </rPr>
      <t xml:space="preserve">百万円計上により賃貸事業損益△</t>
    </r>
    <r>
      <rPr>
        <sz val="10"/>
        <color rgb="FF0000FF"/>
        <rFont val="Arial"/>
        <family val="0"/>
        <charset val="1"/>
      </rPr>
      <t xml:space="preserve">19</t>
    </r>
    <r>
      <rPr>
        <sz val="10"/>
        <color rgb="FF0000FF"/>
        <rFont val="Noto Sans CJK SC"/>
        <family val="2"/>
      </rPr>
      <t xml:space="preserve">百万円・</t>
    </r>
    <r>
      <rPr>
        <sz val="10"/>
        <color rgb="FF0000FF"/>
        <rFont val="Arial"/>
        <family val="0"/>
        <charset val="1"/>
      </rPr>
      <t xml:space="preserve">NOI△11</t>
    </r>
    <r>
      <rPr>
        <sz val="10"/>
        <color rgb="FF0000FF"/>
        <rFont val="Noto Sans CJK SC"/>
        <family val="2"/>
      </rPr>
      <t xml:space="preserve">百万円</t>
    </r>
  </si>
  <si>
    <t xml:space="preserve">NUD-39</t>
  </si>
  <si>
    <t xml:space="preserve">Ｗａｌｋ赤坂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</si>
  <si>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</si>
  <si>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NUD-40</t>
  </si>
  <si>
    <t xml:space="preserve">プレミアステージ芝公園</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</si>
  <si>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</si>
  <si>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NUD-41</t>
  </si>
  <si>
    <t xml:space="preserve">ＭＥＷ</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</si>
  <si>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D19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。当期は修繕費</t>
    </r>
    <r>
      <rPr>
        <sz val="10"/>
        <color rgb="FF0000FF"/>
        <rFont val="Arial"/>
        <family val="0"/>
        <charset val="1"/>
      </rPr>
      <t xml:space="preserve">103</t>
    </r>
    <r>
      <rPr>
        <sz val="10"/>
        <color rgb="FF0000FF"/>
        <rFont val="Noto Sans CJK SC"/>
        <family val="2"/>
      </rPr>
      <t xml:space="preserve">百万円計上により賃貸事業損益△</t>
    </r>
    <r>
      <rPr>
        <sz val="10"/>
        <color rgb="FF0000FF"/>
        <rFont val="Arial"/>
        <family val="0"/>
        <charset val="1"/>
      </rPr>
      <t xml:space="preserve">87</t>
    </r>
    <r>
      <rPr>
        <sz val="10"/>
        <color rgb="FF0000FF"/>
        <rFont val="Noto Sans CJK SC"/>
        <family val="2"/>
      </rPr>
      <t xml:space="preserve">百万円・</t>
    </r>
    <r>
      <rPr>
        <sz val="10"/>
        <color rgb="FF0000FF"/>
        <rFont val="Arial"/>
        <family val="0"/>
        <charset val="1"/>
      </rPr>
      <t xml:space="preserve">NOI△77</t>
    </r>
    <r>
      <rPr>
        <sz val="10"/>
        <color rgb="FF0000FF"/>
        <rFont val="Noto Sans CJK SC"/>
        <family val="2"/>
      </rPr>
      <t xml:space="preserve">百万円</t>
    </r>
    <r>
      <rPr>
        <sz val="10"/>
        <color rgb="FF0000FF"/>
        <rFont val="Arial"/>
        <family val="0"/>
        <charset val="1"/>
      </rPr>
      <t xml:space="preserve">(NOI</t>
    </r>
    <r>
      <rPr>
        <sz val="10"/>
        <color rgb="FF0000FF"/>
        <rFont val="Noto Sans CJK SC"/>
        <family val="2"/>
      </rPr>
      <t xml:space="preserve">利回り△</t>
    </r>
    <r>
      <rPr>
        <sz val="10"/>
        <color rgb="FF0000FF"/>
        <rFont val="Arial"/>
        <family val="0"/>
        <charset val="1"/>
      </rPr>
      <t xml:space="preserve">12.9%)</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t>
    </r>
  </si>
  <si>
    <t xml:space="preserve">NUD-42</t>
  </si>
  <si>
    <t xml:space="preserve">芝浦アイランド エアタワー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</si>
  <si>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。所有権共有持分</t>
    </r>
    <r>
      <rPr>
        <sz val="10"/>
        <color rgb="FF0000FF"/>
        <rFont val="Arial"/>
        <family val="0"/>
        <charset val="1"/>
      </rPr>
      <t xml:space="preserve">23%</t>
    </r>
    <r>
      <rPr>
        <sz val="10"/>
        <color rgb="FF0000FF"/>
        <rFont val="Noto Sans CJK SC"/>
        <family val="2"/>
      </rPr>
      <t xml:space="preserve">。延床は一棟全体</t>
    </r>
  </si>
  <si>
    <t xml:space="preserve">NUD-43</t>
  </si>
  <si>
    <t xml:space="preserve">ストーリア赤坂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</si>
  <si>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</si>
  <si>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NUD-44</t>
  </si>
  <si>
    <t xml:space="preserve">ルネ新宿御苑タワー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</si>
  <si>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。鑑定が取得価格を下回る</t>
    </r>
  </si>
  <si>
    <t xml:space="preserve">NUD-45</t>
  </si>
  <si>
    <t xml:space="preserve">芝浦アイランド ブルームタワー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</si>
  <si>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。所有権共有持分</t>
    </r>
    <r>
      <rPr>
        <sz val="10"/>
        <color rgb="FF0000FF"/>
        <rFont val="Arial"/>
        <family val="0"/>
        <charset val="1"/>
      </rPr>
      <t xml:space="preserve">16%</t>
    </r>
    <r>
      <rPr>
        <sz val="10"/>
        <color rgb="FF0000FF"/>
        <rFont val="Noto Sans CJK SC"/>
        <family val="2"/>
      </rPr>
      <t xml:space="preserve">。延床は一棟全体</t>
    </r>
  </si>
  <si>
    <t xml:space="preserve">NUD-46</t>
  </si>
  <si>
    <t xml:space="preserve">クエストコート原宿</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</si>
  <si>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</si>
  <si>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NUD-47</t>
  </si>
  <si>
    <t xml:space="preserve">アーバンコート市ヶ谷</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</si>
  <si>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2,700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1.9</t>
    </r>
    <r>
      <rPr>
        <sz val="10"/>
        <color rgb="FF0000FF"/>
        <rFont val="Noto Sans CJK SC"/>
        <family val="2"/>
      </rPr>
      <t xml:space="preserve">倍</t>
    </r>
  </si>
  <si>
    <t xml:space="preserve">NUD-48</t>
  </si>
  <si>
    <t xml:space="preserve">プレミアステージ麻布十番</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</si>
  <si>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</si>
  <si>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NUD-49</t>
  </si>
  <si>
    <t xml:space="preserve">プレミアステージ笹塚</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</si>
  <si>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D27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</si>
  <si>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NUD-50</t>
  </si>
  <si>
    <t xml:space="preserve">プレミアステージ大崎</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</si>
  <si>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</si>
  <si>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NUD-51</t>
  </si>
  <si>
    <t xml:space="preserve">プレミアガーデン本郷</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</si>
  <si>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。当期は外壁等修繕</t>
    </r>
    <r>
      <rPr>
        <sz val="10"/>
        <color rgb="FF0000FF"/>
        <rFont val="Arial"/>
        <family val="0"/>
        <charset val="1"/>
      </rPr>
      <t xml:space="preserve">(</t>
    </r>
    <r>
      <rPr>
        <sz val="10"/>
        <color rgb="FF0000FF"/>
        <rFont val="Noto Sans CJK SC"/>
        <family val="2"/>
      </rPr>
      <t xml:space="preserve">修繕費</t>
    </r>
    <r>
      <rPr>
        <sz val="10"/>
        <color rgb="FF0000FF"/>
        <rFont val="Arial"/>
        <family val="0"/>
        <charset val="1"/>
      </rPr>
      <t xml:space="preserve">32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により賃貸事業損益△</t>
    </r>
    <r>
      <rPr>
        <sz val="10"/>
        <color rgb="FF0000FF"/>
        <rFont val="Arial"/>
        <family val="0"/>
        <charset val="1"/>
      </rPr>
      <t xml:space="preserve">13</t>
    </r>
    <r>
      <rPr>
        <sz val="10"/>
        <color rgb="FF0000FF"/>
        <rFont val="Noto Sans CJK SC"/>
        <family val="2"/>
      </rPr>
      <t xml:space="preserve">百万円</t>
    </r>
  </si>
  <si>
    <t xml:space="preserve">NUD-52</t>
  </si>
  <si>
    <t xml:space="preserve">プレミアグランデ馬込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</si>
  <si>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E03</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。鑑定が取得価格を下回る</t>
    </r>
  </si>
  <si>
    <t xml:space="preserve">NUD-53</t>
  </si>
  <si>
    <t xml:space="preserve">プレミアノッツェ祐天寺</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</si>
  <si>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E04</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</si>
  <si>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NUD-54</t>
  </si>
  <si>
    <t xml:space="preserve">プレミアステージ湯島</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</si>
  <si>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E05</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</si>
  <si>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NUD-55</t>
  </si>
  <si>
    <t xml:space="preserve">プレミアステージ駒込</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</si>
  <si>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E06</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。市区町村は原資料未確認のため空欄</t>
    </r>
    <r>
      <rPr>
        <sz val="10"/>
        <color rgb="FF0000FF"/>
        <rFont val="Arial"/>
        <family val="0"/>
        <charset val="1"/>
      </rPr>
      <t xml:space="preserve">(</t>
    </r>
    <r>
      <rPr>
        <sz val="10"/>
        <color rgb="FF0000FF"/>
        <rFont val="Noto Sans CJK SC"/>
        <family val="2"/>
      </rPr>
      <t xml:space="preserve">駒込エリア</t>
    </r>
    <r>
      <rPr>
        <sz val="10"/>
        <color rgb="FF0000FF"/>
        <rFont val="Arial"/>
        <family val="0"/>
        <charset val="1"/>
      </rPr>
      <t xml:space="preserve">)</t>
    </r>
  </si>
  <si>
    <t xml:space="preserve">NUD-56</t>
  </si>
  <si>
    <t xml:space="preserve">プレミアステージ大塚</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</si>
  <si>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E07</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PML22.5%</t>
    </r>
    <r>
      <rPr>
        <sz val="10"/>
        <color rgb="FF0000FF"/>
        <rFont val="Noto Sans CJK SC"/>
        <family val="2"/>
      </rPr>
      <t xml:space="preserve">はポートフォリオ最高</t>
    </r>
    <r>
      <rPr>
        <sz val="10"/>
        <color rgb="FF0000FF"/>
        <rFont val="Arial"/>
        <family val="0"/>
        <charset val="1"/>
      </rPr>
      <t xml:space="preserve">(20%</t>
    </r>
    <r>
      <rPr>
        <sz val="10"/>
        <color rgb="FF0000FF"/>
        <rFont val="Noto Sans CJK SC"/>
        <family val="2"/>
      </rPr>
      <t xml:space="preserve">超過部分に地震保険付保</t>
    </r>
    <r>
      <rPr>
        <sz val="10"/>
        <color rgb="FF0000FF"/>
        <rFont val="Arial"/>
        <family val="0"/>
        <charset val="1"/>
      </rPr>
      <t xml:space="preserve">)</t>
    </r>
  </si>
  <si>
    <t xml:space="preserve">NUD-57</t>
  </si>
  <si>
    <t xml:space="preserve">プレミアステージ本所吾妻橋</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</si>
  <si>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E08</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</si>
  <si>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NUD-58</t>
  </si>
  <si>
    <t xml:space="preserve">プレミアステージ両国</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</si>
  <si>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E09</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</si>
  <si>
    <t xml:space="preserve">NUD-59</t>
  </si>
  <si>
    <t xml:space="preserve">ガーデン板橋氷川町</t>
  </si>
  <si>
    <t xml:space="preserve">板橋区</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</si>
  <si>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E10</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。所有権共有持分</t>
    </r>
    <r>
      <rPr>
        <sz val="10"/>
        <color rgb="FF0000FF"/>
        <rFont val="Arial"/>
        <family val="0"/>
        <charset val="1"/>
      </rPr>
      <t xml:space="preserve">48.12%</t>
    </r>
    <r>
      <rPr>
        <sz val="10"/>
        <color rgb="FF0000FF"/>
        <rFont val="Noto Sans CJK SC"/>
        <family val="2"/>
      </rPr>
      <t xml:space="preserve">。</t>
    </r>
    <r>
      <rPr>
        <sz val="10"/>
        <color rgb="FF0000FF"/>
        <rFont val="Arial"/>
        <family val="0"/>
        <charset val="1"/>
      </rPr>
      <t xml:space="preserve">2024/3</t>
    </r>
    <r>
      <rPr>
        <sz val="10"/>
        <color rgb="FF0000FF"/>
        <rFont val="Noto Sans CJK SC"/>
        <family val="2"/>
      </rPr>
      <t xml:space="preserve">取得。延床は一棟全体</t>
    </r>
  </si>
  <si>
    <t xml:space="preserve">NUD-60</t>
  </si>
  <si>
    <t xml:space="preserve">ウエリスアイビー旗の台</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</si>
  <si>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E11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2025/2</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築</t>
    </r>
    <r>
      <rPr>
        <sz val="10"/>
        <color rgb="FF0000FF"/>
        <rFont val="Arial"/>
        <family val="0"/>
        <charset val="1"/>
      </rPr>
      <t xml:space="preserve">4.5</t>
    </r>
    <r>
      <rPr>
        <sz val="10"/>
        <color rgb="FF0000FF"/>
        <rFont val="Noto Sans CJK SC"/>
        <family val="2"/>
      </rPr>
      <t xml:space="preserve">年・</t>
    </r>
    <r>
      <rPr>
        <sz val="10"/>
        <color rgb="FF0000FF"/>
        <rFont val="Arial"/>
        <family val="0"/>
        <charset val="1"/>
      </rPr>
      <t xml:space="preserve">NTT</t>
    </r>
    <r>
      <rPr>
        <sz val="10"/>
        <color rgb="FF0000FF"/>
        <rFont val="Noto Sans CJK SC"/>
        <family val="2"/>
      </rPr>
      <t xml:space="preserve">都市開発開発物件</t>
    </r>
    <r>
      <rPr>
        <sz val="10"/>
        <color rgb="FF0000FF"/>
        <rFont val="Arial"/>
        <family val="0"/>
        <charset val="1"/>
      </rPr>
      <t xml:space="preserve">)</t>
    </r>
    <r>
      <rPr>
        <sz val="10"/>
        <color rgb="FF0000FF"/>
        <rFont val="Noto Sans CJK SC"/>
        <family val="2"/>
      </rPr>
      <t xml:space="preserve">。水道光熱費は「－」表示</t>
    </r>
  </si>
  <si>
    <t xml:space="preserve">NUD-61</t>
  </si>
  <si>
    <t xml:space="preserve">ウエリスアイビー門戸厄神</t>
  </si>
  <si>
    <t xml:space="preserve">西宮市</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</si>
  <si>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H01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2025/2</t>
    </r>
    <r>
      <rPr>
        <sz val="10"/>
        <color rgb="FF0000FF"/>
        <rFont val="Noto Sans CJK SC"/>
        <family val="2"/>
      </rPr>
      <t xml:space="preserve">取得。期末稼働</t>
    </r>
    <r>
      <rPr>
        <sz val="10"/>
        <color rgb="FF0000FF"/>
        <rFont val="Arial"/>
        <family val="0"/>
        <charset val="1"/>
      </rPr>
      <t xml:space="preserve">88.6%</t>
    </r>
  </si>
  <si>
    <t xml:space="preserve">NUD-62</t>
  </si>
  <si>
    <r>
      <rPr>
        <sz val="10"/>
        <color rgb="FF0000FF"/>
        <rFont val="Arial"/>
        <family val="0"/>
        <charset val="1"/>
      </rPr>
      <t xml:space="preserve">La Douceur </t>
    </r>
    <r>
      <rPr>
        <sz val="10"/>
        <color rgb="FF0000FF"/>
        <rFont val="Noto Sans CJK SC"/>
        <family val="2"/>
      </rPr>
      <t xml:space="preserve">都島高倉町</t>
    </r>
  </si>
  <si>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H02</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2026/2/25</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当期営業日数</t>
    </r>
    <r>
      <rPr>
        <sz val="10"/>
        <color rgb="FF0000FF"/>
        <rFont val="Arial"/>
        <family val="0"/>
        <charset val="1"/>
      </rPr>
      <t xml:space="preserve">65</t>
    </r>
    <r>
      <rPr>
        <sz val="10"/>
        <color rgb="FF0000FF"/>
        <rFont val="Noto Sans CJK SC"/>
        <family val="2"/>
      </rPr>
      <t xml:space="preserve">日・収支は期間按分</t>
    </r>
    <r>
      <rPr>
        <sz val="10"/>
        <color rgb="FF0000FF"/>
        <rFont val="Arial"/>
        <family val="0"/>
        <charset val="1"/>
      </rPr>
      <t xml:space="preserve">)</t>
    </r>
    <r>
      <rPr>
        <sz val="10"/>
        <color rgb="FF0000FF"/>
        <rFont val="Noto Sans CJK SC"/>
        <family val="2"/>
      </rPr>
      <t xml:space="preserve">。取得後「プレミアステージ都島高倉町」へ名称変更</t>
    </r>
    <r>
      <rPr>
        <sz val="10"/>
        <color rgb="FF0000FF"/>
        <rFont val="Arial"/>
        <family val="0"/>
        <charset val="1"/>
      </rPr>
      <t xml:space="preserve">(</t>
    </r>
    <r>
      <rPr>
        <sz val="10"/>
        <color rgb="FF0000FF"/>
        <rFont val="Noto Sans CJK SC"/>
        <family val="2"/>
      </rPr>
      <t xml:space="preserve">公式一覧</t>
    </r>
    <r>
      <rPr>
        <sz val="10"/>
        <color rgb="FF0000FF"/>
        <rFont val="Arial"/>
        <family val="0"/>
        <charset val="1"/>
      </rPr>
      <t xml:space="preserve">)</t>
    </r>
  </si>
  <si>
    <t xml:space="preserve">NUD-63</t>
  </si>
  <si>
    <t xml:space="preserve">ユーディーエックス特定目的会社優先出資証券（秋葉原ＵＤＸ）</t>
  </si>
  <si>
    <t xml:space="preserve">その他（優先出資証券）</t>
  </si>
  <si>
    <r>
      <rPr>
        <sz val="10"/>
        <color rgb="FF0000FF"/>
        <rFont val="Arial"/>
        <family val="0"/>
        <charset val="1"/>
      </rPr>
      <t xml:space="preserve">NUD</t>
    </r>
    <r>
      <rPr>
        <sz val="10"/>
        <color rgb="FF0000FF"/>
        <rFont val="Noto Sans CJK SC"/>
        <family val="2"/>
      </rPr>
      <t xml:space="preserve">物件番号</t>
    </r>
    <r>
      <rPr>
        <sz val="10"/>
        <color rgb="FF0000FF"/>
        <rFont val="Arial"/>
        <family val="0"/>
        <charset val="1"/>
      </rPr>
      <t xml:space="preserve">Z01</t>
    </r>
    <r>
      <rPr>
        <sz val="10"/>
        <color rgb="FF0000FF"/>
        <rFont val="Noto Sans CJK SC"/>
        <family val="2"/>
      </rPr>
      <t xml:space="preserve">・</t>
    </r>
    <r>
      <rPr>
        <sz val="10"/>
        <color rgb="FF0000FF"/>
        <rFont val="Arial"/>
        <family val="0"/>
        <charset val="1"/>
      </rPr>
      <t xml:space="preserve">NUD</t>
    </r>
    <r>
      <rPr>
        <sz val="10"/>
        <color rgb="FF0000FF"/>
        <rFont val="Noto Sans CJK SC"/>
        <family val="2"/>
      </rPr>
      <t xml:space="preserve">独自区分は共通区分とほぼ同一</t>
    </r>
    <r>
      <rPr>
        <sz val="10"/>
        <color rgb="FF0000FF"/>
        <rFont val="Arial"/>
        <family val="0"/>
        <charset val="1"/>
      </rPr>
      <t xml:space="preserve">(</t>
    </r>
    <r>
      <rPr>
        <sz val="10"/>
        <color rgb="FF0000FF"/>
        <rFont val="Noto Sans CJK SC"/>
        <family val="2"/>
      </rPr>
      <t xml:space="preserve">「東京周辺都市」「地方主要都市」等</t>
    </r>
    <r>
      <rPr>
        <sz val="10"/>
        <color rgb="FF0000FF"/>
        <rFont val="Arial"/>
        <family val="0"/>
        <charset val="1"/>
      </rPr>
      <t xml:space="preserve">)</t>
    </r>
    <r>
      <rPr>
        <sz val="10"/>
        <color rgb="FF0000FF"/>
        <rFont val="Noto Sans CJK SC"/>
        <family val="2"/>
      </rPr>
      <t xml:space="preserve">。物件別の竣工年月・敷地・</t>
    </r>
    <r>
      <rPr>
        <sz val="10"/>
        <color rgb="FF0000FF"/>
        <rFont val="Arial"/>
        <family val="0"/>
        <charset val="1"/>
      </rPr>
      <t xml:space="preserve">NLA</t>
    </r>
    <r>
      <rPr>
        <sz val="10"/>
        <color rgb="FF0000FF"/>
        <rFont val="Noto Sans CJK SC"/>
        <family val="2"/>
      </rPr>
      <t xml:space="preserve">・テナント数は短信非掲載のため未収録</t>
    </r>
    <r>
      <rPr>
        <sz val="10"/>
        <color rgb="FF0000FF"/>
        <rFont val="Arial"/>
        <family val="0"/>
        <charset val="1"/>
      </rPr>
      <t xml:space="preserve">(</t>
    </r>
    <r>
      <rPr>
        <sz val="10"/>
        <color rgb="FF0000FF"/>
        <rFont val="Noto Sans CJK SC"/>
        <family val="2"/>
      </rPr>
      <t xml:space="preserve">築年数・取得時期は公式一覧参照</t>
    </r>
    <r>
      <rPr>
        <sz val="10"/>
        <color rgb="FF0000FF"/>
        <rFont val="Arial"/>
        <family val="0"/>
        <charset val="1"/>
      </rPr>
      <t xml:space="preserve">)</t>
    </r>
    <r>
      <rPr>
        <sz val="10"/>
        <color rgb="FF0000FF"/>
        <rFont val="Noto Sans CJK SC"/>
        <family val="2"/>
      </rPr>
      <t xml:space="preserve">。秋葉原</t>
    </r>
    <r>
      <rPr>
        <sz val="10"/>
        <color rgb="FF0000FF"/>
        <rFont val="Arial"/>
        <family val="0"/>
        <charset val="1"/>
      </rPr>
      <t xml:space="preserve">UDX(</t>
    </r>
    <r>
      <rPr>
        <sz val="10"/>
        <color rgb="FF0000FF"/>
        <rFont val="Noto Sans CJK SC"/>
        <family val="2"/>
      </rPr>
      <t xml:space="preserve">千代田区・オフィスビル一棟全体及び敷地</t>
    </r>
    <r>
      <rPr>
        <sz val="10"/>
        <color rgb="FF0000FF"/>
        <rFont val="Arial"/>
        <family val="0"/>
        <charset val="1"/>
      </rPr>
      <t xml:space="preserve">)</t>
    </r>
    <r>
      <rPr>
        <sz val="10"/>
        <color rgb="FF0000FF"/>
        <rFont val="Noto Sans CJK SC"/>
        <family val="2"/>
      </rPr>
      <t xml:space="preserve">のキャッシュ・フローを裏付けとする優先出資証券</t>
    </r>
    <r>
      <rPr>
        <sz val="10"/>
        <color rgb="FF0000FF"/>
        <rFont val="Arial"/>
        <family val="0"/>
        <charset val="1"/>
      </rPr>
      <t xml:space="preserve">282,000</t>
    </r>
    <r>
      <rPr>
        <sz val="10"/>
        <color rgb="FF0000FF"/>
        <rFont val="Noto Sans CJK SC"/>
        <family val="2"/>
      </rPr>
      <t xml:space="preserve">口のうち</t>
    </r>
    <r>
      <rPr>
        <sz val="10"/>
        <color rgb="FF0000FF"/>
        <rFont val="Arial"/>
        <family val="0"/>
        <charset val="1"/>
      </rPr>
      <t xml:space="preserve">53,580</t>
    </r>
    <r>
      <rPr>
        <sz val="10"/>
        <color rgb="FF0000FF"/>
        <rFont val="Noto Sans CJK SC"/>
        <family val="2"/>
      </rPr>
      <t xml:space="preserve">口</t>
    </r>
    <r>
      <rPr>
        <sz val="10"/>
        <color rgb="FF0000FF"/>
        <rFont val="Arial"/>
        <family val="0"/>
        <charset val="1"/>
      </rPr>
      <t xml:space="preserve">(</t>
    </r>
    <r>
      <rPr>
        <sz val="10"/>
        <color rgb="FF0000FF"/>
        <rFont val="Noto Sans CJK SC"/>
        <family val="2"/>
      </rPr>
      <t xml:space="preserve">優先出資持分</t>
    </r>
    <r>
      <rPr>
        <sz val="10"/>
        <color rgb="FF0000FF"/>
        <rFont val="Arial"/>
        <family val="0"/>
        <charset val="1"/>
      </rPr>
      <t xml:space="preserve">19.0%)</t>
    </r>
    <r>
      <rPr>
        <sz val="10"/>
        <color rgb="FF0000FF"/>
        <rFont val="Noto Sans CJK SC"/>
        <family val="2"/>
      </rPr>
      <t xml:space="preserve">を保有。</t>
    </r>
    <r>
      <rPr>
        <sz val="10"/>
        <color rgb="FF0000FF"/>
        <rFont val="Arial"/>
        <family val="0"/>
        <charset val="1"/>
      </rPr>
      <t xml:space="preserve">2010/12</t>
    </r>
    <r>
      <rPr>
        <sz val="10"/>
        <color rgb="FF0000FF"/>
        <rFont val="Noto Sans CJK SC"/>
        <family val="2"/>
      </rPr>
      <t xml:space="preserve">・</t>
    </r>
    <r>
      <rPr>
        <sz val="10"/>
        <color rgb="FF0000FF"/>
        <rFont val="Arial"/>
        <family val="0"/>
        <charset val="1"/>
      </rPr>
      <t xml:space="preserve">2013/11</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t>
    </r>
    <r>
      <rPr>
        <sz val="10"/>
        <color rgb="FF0000FF"/>
        <rFont val="Arial"/>
        <family val="0"/>
        <charset val="1"/>
      </rPr>
      <t xml:space="preserve">BS</t>
    </r>
    <r>
      <rPr>
        <sz val="10"/>
        <color rgb="FF0000FF"/>
        <rFont val="Noto Sans CJK SC"/>
        <family val="2"/>
      </rPr>
      <t xml:space="preserve">計上額</t>
    </r>
    <r>
      <rPr>
        <sz val="10"/>
        <color rgb="FF0000FF"/>
        <rFont val="Arial"/>
        <family val="0"/>
        <charset val="1"/>
      </rPr>
      <t xml:space="preserve">(=</t>
    </r>
    <r>
      <rPr>
        <sz val="10"/>
        <color rgb="FF0000FF"/>
        <rFont val="Noto Sans CJK SC"/>
        <family val="2"/>
      </rPr>
      <t xml:space="preserve">評価額</t>
    </r>
    <r>
      <rPr>
        <sz val="10"/>
        <color rgb="FF0000FF"/>
        <rFont val="Arial"/>
        <family val="0"/>
        <charset val="1"/>
      </rPr>
      <t xml:space="preserve">)20,035,175</t>
    </r>
    <r>
      <rPr>
        <sz val="10"/>
        <color rgb="FF0000FF"/>
        <rFont val="Noto Sans CJK SC"/>
        <family val="2"/>
      </rPr>
      <t xml:space="preserve">千円。当期受取配当金</t>
    </r>
    <r>
      <rPr>
        <sz val="10"/>
        <color rgb="FF0000FF"/>
        <rFont val="Arial"/>
        <family val="0"/>
        <charset val="1"/>
      </rPr>
      <t xml:space="preserve">529,826</t>
    </r>
    <r>
      <rPr>
        <sz val="10"/>
        <color rgb="FF0000FF"/>
        <rFont val="Noto Sans CJK SC"/>
        <family val="2"/>
      </rPr>
      <t xml:space="preserve">千円は営業収益に計上</t>
    </r>
    <r>
      <rPr>
        <sz val="10"/>
        <color rgb="FF0000FF"/>
        <rFont val="Arial"/>
        <family val="0"/>
        <charset val="1"/>
      </rPr>
      <t xml:space="preserve">(</t>
    </r>
    <r>
      <rPr>
        <sz val="10"/>
        <color rgb="FF0000FF"/>
        <rFont val="Noto Sans CJK SC"/>
        <family val="2"/>
      </rPr>
      <t xml:space="preserve">賃貸事業収支外</t>
    </r>
    <r>
      <rPr>
        <sz val="10"/>
        <color rgb="FF0000FF"/>
        <rFont val="Arial"/>
        <family val="0"/>
        <charset val="1"/>
      </rPr>
      <t xml:space="preserve">)</t>
    </r>
    <r>
      <rPr>
        <sz val="10"/>
        <color rgb="FF0000FF"/>
        <rFont val="Noto Sans CJK SC"/>
        <family val="2"/>
      </rPr>
      <t xml:space="preserve">。市場価格のない株式等のため時価開示対象外</t>
    </r>
  </si>
  <si>
    <t xml:space="preserve">NUD-ALL</t>
  </si>
  <si>
    <t xml:space="preserve">【NUDポートフォリオ全体】</t>
  </si>
  <si>
    <t xml:space="preserve">オフィス・レジデンス複合</t>
  </si>
  <si>
    <r>
      <rPr>
        <sz val="10"/>
        <color rgb="FF0000FF"/>
        <rFont val="Arial"/>
        <family val="0"/>
        <charset val="1"/>
      </rPr>
      <t xml:space="preserve">62</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時点・優先出資証券</t>
    </r>
    <r>
      <rPr>
        <sz val="10"/>
        <color rgb="FF0000FF"/>
        <rFont val="Arial"/>
        <family val="0"/>
        <charset val="1"/>
      </rPr>
      <t xml:space="preserve">1</t>
    </r>
    <r>
      <rPr>
        <sz val="10"/>
        <color rgb="FF0000FF"/>
        <rFont val="Noto Sans CJK SC"/>
        <family val="2"/>
      </rPr>
      <t xml:space="preserve">銘柄含む）</t>
    </r>
  </si>
  <si>
    <r>
      <rPr>
        <sz val="10"/>
        <color rgb="FF0000FF"/>
        <rFont val="Arial"/>
        <family val="0"/>
        <charset val="1"/>
      </rPr>
      <t xml:space="preserve">NTT</t>
    </r>
    <r>
      <rPr>
        <sz val="10"/>
        <color rgb="FF0000FF"/>
        <rFont val="Noto Sans CJK SC"/>
        <family val="2"/>
      </rPr>
      <t xml:space="preserve">都市開発スポンサーのオフィス</t>
    </r>
    <r>
      <rPr>
        <sz val="10"/>
        <color rgb="FF0000FF"/>
        <rFont val="Arial"/>
        <family val="0"/>
        <charset val="1"/>
      </rPr>
      <t xml:space="preserve">(64.1%)</t>
    </r>
    <r>
      <rPr>
        <sz val="10"/>
        <color rgb="FF0000FF"/>
        <rFont val="Noto Sans CJK SC"/>
        <family val="2"/>
      </rPr>
      <t xml:space="preserve">・レジデンス</t>
    </r>
    <r>
      <rPr>
        <sz val="10"/>
        <color rgb="FF0000FF"/>
        <rFont val="Arial"/>
        <family val="0"/>
        <charset val="1"/>
      </rPr>
      <t xml:space="preserve">(29.1%)</t>
    </r>
    <r>
      <rPr>
        <sz val="10"/>
        <color rgb="FF0000FF"/>
        <rFont val="Noto Sans CJK SC"/>
        <family val="2"/>
      </rPr>
      <t xml:space="preserve">・優先出資証券</t>
    </r>
    <r>
      <rPr>
        <sz val="10"/>
        <color rgb="FF0000FF"/>
        <rFont val="Arial"/>
        <family val="0"/>
        <charset val="1"/>
      </rPr>
      <t xml:space="preserve">(6.8%)</t>
    </r>
    <r>
      <rPr>
        <sz val="10"/>
        <color rgb="FF0000FF"/>
        <rFont val="Noto Sans CJK SC"/>
        <family val="2"/>
      </rPr>
      <t xml:space="preserve">複合型。取得価格総額</t>
    </r>
    <r>
      <rPr>
        <sz val="10"/>
        <color rgb="FF0000FF"/>
        <rFont val="Arial"/>
        <family val="0"/>
        <charset val="1"/>
      </rPr>
      <t xml:space="preserve">295,266</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オフィス</t>
    </r>
    <r>
      <rPr>
        <sz val="10"/>
        <color rgb="FF0000FF"/>
        <rFont val="Arial"/>
        <family val="0"/>
        <charset val="1"/>
      </rPr>
      <t xml:space="preserve">189,276+</t>
    </r>
    <r>
      <rPr>
        <sz val="10"/>
        <color rgb="FF0000FF"/>
        <rFont val="Noto Sans CJK SC"/>
        <family val="2"/>
      </rPr>
      <t xml:space="preserve">レジ</t>
    </r>
    <r>
      <rPr>
        <sz val="10"/>
        <color rgb="FF0000FF"/>
        <rFont val="Arial"/>
        <family val="0"/>
        <charset val="1"/>
      </rPr>
      <t xml:space="preserve">86,049+</t>
    </r>
    <r>
      <rPr>
        <sz val="10"/>
        <color rgb="FF0000FF"/>
        <rFont val="Noto Sans CJK SC"/>
        <family val="2"/>
      </rPr>
      <t xml:space="preserve">優先出資</t>
    </r>
    <r>
      <rPr>
        <sz val="10"/>
        <color rgb="FF0000FF"/>
        <rFont val="Arial"/>
        <family val="0"/>
        <charset val="1"/>
      </rPr>
      <t xml:space="preserve">19,940)</t>
    </r>
    <r>
      <rPr>
        <sz val="10"/>
        <color rgb="FF0000FF"/>
        <rFont val="Noto Sans CJK SC"/>
        <family val="2"/>
      </rPr>
      <t xml:space="preserve">。帳簿</t>
    </r>
    <r>
      <rPr>
        <sz val="10"/>
        <color rgb="FF0000FF"/>
        <rFont val="Arial"/>
        <family val="0"/>
        <charset val="1"/>
      </rPr>
      <t xml:space="preserve">256,488,795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賃貸等不動産注記・優先出資証券</t>
    </r>
    <r>
      <rPr>
        <sz val="10"/>
        <color rgb="FF0000FF"/>
        <rFont val="Arial"/>
        <family val="0"/>
        <charset val="1"/>
      </rPr>
      <t xml:space="preserve">20,035,175</t>
    </r>
    <r>
      <rPr>
        <sz val="10"/>
        <color rgb="FF0000FF"/>
        <rFont val="Noto Sans CJK SC"/>
        <family val="2"/>
      </rPr>
      <t xml:space="preserve">千円は別途投資有価証券</t>
    </r>
    <r>
      <rPr>
        <sz val="10"/>
        <color rgb="FF0000FF"/>
        <rFont val="Arial"/>
        <family val="0"/>
        <charset val="1"/>
      </rPr>
      <t xml:space="preserve">)</t>
    </r>
    <r>
      <rPr>
        <sz val="10"/>
        <color rgb="FF0000FF"/>
        <rFont val="Noto Sans CJK SC"/>
        <family val="2"/>
      </rPr>
      <t xml:space="preserve">、期末算定価額</t>
    </r>
    <r>
      <rPr>
        <sz val="10"/>
        <color rgb="FF0000FF"/>
        <rFont val="Arial"/>
        <family val="0"/>
        <charset val="1"/>
      </rPr>
      <t xml:space="preserve">335,310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オフィス</t>
    </r>
    <r>
      <rPr>
        <sz val="10"/>
        <color rgb="FF0000FF"/>
        <rFont val="Arial"/>
        <family val="0"/>
        <charset val="1"/>
      </rPr>
      <t xml:space="preserve">227,310+</t>
    </r>
    <r>
      <rPr>
        <sz val="10"/>
        <color rgb="FF0000FF"/>
        <rFont val="Noto Sans CJK SC"/>
        <family val="2"/>
      </rPr>
      <t xml:space="preserve">レジ</t>
    </r>
    <r>
      <rPr>
        <sz val="10"/>
        <color rgb="FF0000FF"/>
        <rFont val="Arial"/>
        <family val="0"/>
        <charset val="1"/>
      </rPr>
      <t xml:space="preserve">108,000</t>
    </r>
    <r>
      <rPr>
        <sz val="10"/>
        <color rgb="FF0000FF"/>
        <rFont val="Noto Sans CJK SC"/>
        <family val="2"/>
      </rPr>
      <t xml:space="preserve">、賃貸等不動産注記の期末時価と一致</t>
    </r>
    <r>
      <rPr>
        <sz val="10"/>
        <color rgb="FF0000FF"/>
        <rFont val="Arial"/>
        <family val="0"/>
        <charset val="1"/>
      </rPr>
      <t xml:space="preserve">)+</t>
    </r>
    <r>
      <rPr>
        <sz val="10"/>
        <color rgb="FF0000FF"/>
        <rFont val="Noto Sans CJK SC"/>
        <family val="2"/>
      </rPr>
      <t xml:space="preserve">優先出資評価</t>
    </r>
    <r>
      <rPr>
        <sz val="10"/>
        <color rgb="FF0000FF"/>
        <rFont val="Arial"/>
        <family val="0"/>
        <charset val="1"/>
      </rPr>
      <t xml:space="preserve">20,035</t>
    </r>
    <r>
      <rPr>
        <sz val="10"/>
        <color rgb="FF0000FF"/>
        <rFont val="Noto Sans CJK SC"/>
        <family val="2"/>
      </rPr>
      <t xml:space="preserve">百万円</t>
    </r>
    <r>
      <rPr>
        <sz val="10"/>
        <color rgb="FF0000FF"/>
        <rFont val="Arial"/>
        <family val="0"/>
        <charset val="1"/>
      </rPr>
      <t xml:space="preserve">=355,345</t>
    </r>
    <r>
      <rPr>
        <sz val="10"/>
        <color rgb="FF0000FF"/>
        <rFont val="Noto Sans CJK SC"/>
        <family val="2"/>
      </rPr>
      <t xml:space="preserve">百万円。【原資料の切捨て表示に関する注記】物件別</t>
    </r>
    <r>
      <rPr>
        <sz val="10"/>
        <color rgb="FF0000FF"/>
        <rFont val="Arial"/>
        <family val="0"/>
        <charset val="1"/>
      </rPr>
      <t xml:space="preserve">(</t>
    </r>
    <r>
      <rPr>
        <sz val="10"/>
        <color rgb="FF0000FF"/>
        <rFont val="Noto Sans CJK SC"/>
        <family val="2"/>
      </rPr>
      <t xml:space="preserve">百万円未満切捨て</t>
    </r>
    <r>
      <rPr>
        <sz val="10"/>
        <color rgb="FF0000FF"/>
        <rFont val="Arial"/>
        <family val="0"/>
        <charset val="1"/>
      </rPr>
      <t xml:space="preserve">)</t>
    </r>
    <r>
      <rPr>
        <sz val="10"/>
        <color rgb="FF0000FF"/>
        <rFont val="Noto Sans CJK SC"/>
        <family val="2"/>
      </rPr>
      <t xml:space="preserve">の合算は、取得価格レジ</t>
    </r>
    <r>
      <rPr>
        <sz val="10"/>
        <color rgb="FF0000FF"/>
        <rFont val="Arial"/>
        <family val="0"/>
        <charset val="1"/>
      </rPr>
      <t xml:space="preserve">-1</t>
    </r>
    <r>
      <rPr>
        <sz val="10"/>
        <color rgb="FF0000FF"/>
        <rFont val="Noto Sans CJK SC"/>
        <family val="2"/>
      </rPr>
      <t xml:space="preserve">・総計</t>
    </r>
    <r>
      <rPr>
        <sz val="10"/>
        <color rgb="FF0000FF"/>
        <rFont val="Arial"/>
        <family val="0"/>
        <charset val="1"/>
      </rPr>
      <t xml:space="preserve">-2(</t>
    </r>
    <r>
      <rPr>
        <sz val="10"/>
        <color rgb="FF0000FF"/>
        <rFont val="Noto Sans CJK SC"/>
        <family val="2"/>
      </rPr>
      <t xml:space="preserve">端数保有</t>
    </r>
    <r>
      <rPr>
        <sz val="10"/>
        <color rgb="FF0000FF"/>
        <rFont val="Arial"/>
        <family val="0"/>
        <charset val="1"/>
      </rPr>
      <t xml:space="preserve">4</t>
    </r>
    <r>
      <rPr>
        <sz val="10"/>
        <color rgb="FF0000FF"/>
        <rFont val="Noto Sans CJK SC"/>
        <family val="2"/>
      </rPr>
      <t xml:space="preserve">物件の切捨て</t>
    </r>
    <r>
      <rPr>
        <sz val="10"/>
        <color rgb="FF0000FF"/>
        <rFont val="Arial"/>
        <family val="0"/>
        <charset val="1"/>
      </rPr>
      <t xml:space="preserve">)</t>
    </r>
    <r>
      <rPr>
        <sz val="10"/>
        <color rgb="FF0000FF"/>
        <rFont val="Noto Sans CJK SC"/>
        <family val="2"/>
      </rPr>
      <t xml:space="preserve">、帳簿オフィス</t>
    </r>
    <r>
      <rPr>
        <sz val="10"/>
        <color rgb="FF0000FF"/>
        <rFont val="Arial"/>
        <family val="0"/>
        <charset val="1"/>
      </rPr>
      <t xml:space="preserve">-12</t>
    </r>
    <r>
      <rPr>
        <sz val="10"/>
        <color rgb="FF0000FF"/>
        <rFont val="Noto Sans CJK SC"/>
        <family val="2"/>
      </rPr>
      <t xml:space="preserve">・レジ</t>
    </r>
    <r>
      <rPr>
        <sz val="10"/>
        <color rgb="FF0000FF"/>
        <rFont val="Arial"/>
        <family val="0"/>
        <charset val="1"/>
      </rPr>
      <t xml:space="preserve">-16(</t>
    </r>
    <r>
      <rPr>
        <sz val="10"/>
        <color rgb="FF0000FF"/>
        <rFont val="Noto Sans CJK SC"/>
        <family val="2"/>
      </rPr>
      <t xml:space="preserve">切捨て累積</t>
    </r>
    <r>
      <rPr>
        <sz val="10"/>
        <color rgb="FF0000FF"/>
        <rFont val="Arial"/>
        <family val="0"/>
        <charset val="1"/>
      </rPr>
      <t xml:space="preserve">)</t>
    </r>
    <r>
      <rPr>
        <sz val="10"/>
        <color rgb="FF0000FF"/>
        <rFont val="Noto Sans CJK SC"/>
        <family val="2"/>
      </rPr>
      <t xml:space="preserve">。算定価額は両用途とも完全一致。期末稼働</t>
    </r>
    <r>
      <rPr>
        <sz val="10"/>
        <color rgb="FF0000FF"/>
        <rFont val="Arial"/>
        <family val="0"/>
        <charset val="1"/>
      </rPr>
      <t xml:space="preserve">98.6%(</t>
    </r>
    <r>
      <rPr>
        <sz val="10"/>
        <color rgb="FF0000FF"/>
        <rFont val="Noto Sans CJK SC"/>
        <family val="2"/>
      </rPr>
      <t xml:space="preserve">オフィス</t>
    </r>
    <r>
      <rPr>
        <sz val="10"/>
        <color rgb="FF0000FF"/>
        <rFont val="Arial"/>
        <family val="0"/>
        <charset val="1"/>
      </rPr>
      <t xml:space="preserve">99.8%/</t>
    </r>
    <r>
      <rPr>
        <sz val="10"/>
        <color rgb="FF0000FF"/>
        <rFont val="Noto Sans CJK SC"/>
        <family val="2"/>
      </rPr>
      <t xml:space="preserve">レジ</t>
    </r>
    <r>
      <rPr>
        <sz val="10"/>
        <color rgb="FF0000FF"/>
        <rFont val="Arial"/>
        <family val="0"/>
        <charset val="1"/>
      </rPr>
      <t xml:space="preserve">96.6%)</t>
    </r>
    <r>
      <rPr>
        <sz val="10"/>
        <color rgb="FF0000FF"/>
        <rFont val="Noto Sans CJK SC"/>
        <family val="2"/>
      </rPr>
      <t xml:space="preserve">。当期入替</t>
    </r>
    <r>
      <rPr>
        <sz val="10"/>
        <color rgb="FF0000FF"/>
        <rFont val="Arial"/>
        <family val="0"/>
        <charset val="1"/>
      </rPr>
      <t xml:space="preserve">: </t>
    </r>
    <r>
      <rPr>
        <sz val="10"/>
        <color rgb="FF0000FF"/>
        <rFont val="Noto Sans CJK SC"/>
        <family val="2"/>
      </rPr>
      <t xml:space="preserve">ランディック第</t>
    </r>
    <r>
      <rPr>
        <sz val="10"/>
        <color rgb="FF0000FF"/>
        <rFont val="Arial"/>
        <family val="0"/>
        <charset val="1"/>
      </rPr>
      <t xml:space="preserve">2</t>
    </r>
    <r>
      <rPr>
        <sz val="10"/>
        <color rgb="FF0000FF"/>
        <rFont val="Noto Sans CJK SC"/>
        <family val="2"/>
      </rPr>
      <t xml:space="preserve">新橋ビル残</t>
    </r>
    <r>
      <rPr>
        <sz val="10"/>
        <color rgb="FF0000FF"/>
        <rFont val="Arial"/>
        <family val="0"/>
        <charset val="1"/>
      </rPr>
      <t xml:space="preserve">33.33%</t>
    </r>
    <r>
      <rPr>
        <sz val="10"/>
        <color rgb="FF0000FF"/>
        <rFont val="Noto Sans CJK SC"/>
        <family val="2"/>
      </rPr>
      <t xml:space="preserve">譲渡</t>
    </r>
    <r>
      <rPr>
        <sz val="10"/>
        <color rgb="FF0000FF"/>
        <rFont val="Arial"/>
        <family val="0"/>
        <charset val="1"/>
      </rPr>
      <t xml:space="preserve">(2026/4/28</t>
    </r>
    <r>
      <rPr>
        <sz val="10"/>
        <color rgb="FF0000FF"/>
        <rFont val="Noto Sans CJK SC"/>
        <family val="2"/>
      </rPr>
      <t xml:space="preserve">・全譲渡完了・当期売却益</t>
    </r>
    <r>
      <rPr>
        <sz val="10"/>
        <color rgb="FF0000FF"/>
        <rFont val="Arial"/>
        <family val="0"/>
        <charset val="1"/>
      </rPr>
      <t xml:space="preserve">1,239,299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La Douceur</t>
    </r>
    <r>
      <rPr>
        <sz val="10"/>
        <color rgb="FF0000FF"/>
        <rFont val="Noto Sans CJK SC"/>
        <family val="2"/>
      </rPr>
      <t xml:space="preserve">都島高倉町取得</t>
    </r>
    <r>
      <rPr>
        <sz val="10"/>
        <color rgb="FF0000FF"/>
        <rFont val="Arial"/>
        <family val="0"/>
        <charset val="1"/>
      </rPr>
      <t xml:space="preserve">(2026/2/25</t>
    </r>
    <r>
      <rPr>
        <sz val="10"/>
        <color rgb="FF0000FF"/>
        <rFont val="Noto Sans CJK SC"/>
        <family val="2"/>
      </rPr>
      <t xml:space="preserve">・</t>
    </r>
    <r>
      <rPr>
        <sz val="10"/>
        <color rgb="FF0000FF"/>
        <rFont val="Arial"/>
        <family val="0"/>
        <charset val="1"/>
      </rPr>
      <t xml:space="preserve">1,140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。期後</t>
    </r>
    <r>
      <rPr>
        <sz val="10"/>
        <color rgb="FF0000FF"/>
        <rFont val="Arial"/>
        <family val="0"/>
        <charset val="1"/>
      </rPr>
      <t xml:space="preserve">: </t>
    </r>
    <r>
      <rPr>
        <sz val="10"/>
        <color rgb="FF0000FF"/>
        <rFont val="Noto Sans CJK SC"/>
        <family val="2"/>
      </rPr>
      <t xml:space="preserve">ミラージュパレス難波クルヴァ取得</t>
    </r>
    <r>
      <rPr>
        <sz val="10"/>
        <color rgb="FF0000FF"/>
        <rFont val="Arial"/>
        <family val="0"/>
        <charset val="1"/>
      </rPr>
      <t xml:space="preserve">(2026/7/31</t>
    </r>
    <r>
      <rPr>
        <sz val="10"/>
        <color rgb="FF0000FF"/>
        <rFont val="Noto Sans CJK SC"/>
        <family val="2"/>
      </rPr>
      <t xml:space="preserve">・</t>
    </r>
    <r>
      <rPr>
        <sz val="10"/>
        <color rgb="FF0000FF"/>
        <rFont val="Arial"/>
        <family val="0"/>
        <charset val="1"/>
      </rPr>
      <t xml:space="preserve">1,050</t>
    </r>
    <r>
      <rPr>
        <sz val="10"/>
        <color rgb="FF0000FF"/>
        <rFont val="Noto Sans CJK SC"/>
        <family val="2"/>
      </rPr>
      <t xml:space="preserve">百万円・大阪市浪速区・</t>
    </r>
    <r>
      <rPr>
        <sz val="10"/>
        <color rgb="FF0000FF"/>
        <rFont val="Arial"/>
        <family val="0"/>
        <charset val="1"/>
      </rPr>
      <t xml:space="preserve">2024/10</t>
    </r>
    <r>
      <rPr>
        <sz val="10"/>
        <color rgb="FF0000FF"/>
        <rFont val="Noto Sans CJK SC"/>
        <family val="2"/>
      </rPr>
      <t xml:space="preserve">築</t>
    </r>
    <r>
      <rPr>
        <sz val="10"/>
        <color rgb="FF0000FF"/>
        <rFont val="Arial"/>
        <family val="0"/>
        <charset val="1"/>
      </rPr>
      <t xml:space="preserve">)→63</t>
    </r>
    <r>
      <rPr>
        <sz val="10"/>
        <color rgb="FF0000FF"/>
        <rFont val="Noto Sans CJK SC"/>
        <family val="2"/>
      </rPr>
      <t xml:space="preserve">物件へ。自己投資口取得枠</t>
    </r>
    <r>
      <rPr>
        <sz val="10"/>
        <color rgb="FF0000FF"/>
        <rFont val="Arial"/>
        <family val="0"/>
        <charset val="1"/>
      </rPr>
      <t xml:space="preserve">2,000</t>
    </r>
    <r>
      <rPr>
        <sz val="10"/>
        <color rgb="FF0000FF"/>
        <rFont val="Noto Sans CJK SC"/>
        <family val="2"/>
      </rPr>
      <t xml:space="preserve">百万円</t>
    </r>
    <r>
      <rPr>
        <sz val="10"/>
        <color rgb="FF0000FF"/>
        <rFont val="Arial"/>
        <family val="0"/>
        <charset val="1"/>
      </rPr>
      <t xml:space="preserve">(2026/6/18-10/23</t>
    </r>
    <r>
      <rPr>
        <sz val="10"/>
        <color rgb="FF0000FF"/>
        <rFont val="Noto Sans CJK SC"/>
        <family val="2"/>
      </rPr>
      <t xml:space="preserve">・上限</t>
    </r>
    <r>
      <rPr>
        <sz val="10"/>
        <color rgb="FF0000FF"/>
        <rFont val="Arial"/>
        <family val="0"/>
        <charset val="1"/>
      </rPr>
      <t xml:space="preserve">22,000</t>
    </r>
    <r>
      <rPr>
        <sz val="10"/>
        <color rgb="FF0000FF"/>
        <rFont val="Noto Sans CJK SC"/>
        <family val="2"/>
      </rPr>
      <t xml:space="preserve">口</t>
    </r>
    <r>
      <rPr>
        <sz val="10"/>
        <color rgb="FF0000FF"/>
        <rFont val="Arial"/>
        <family val="0"/>
        <charset val="1"/>
      </rPr>
      <t xml:space="preserve">)</t>
    </r>
    <r>
      <rPr>
        <sz val="10"/>
        <color rgb="FF0000FF"/>
        <rFont val="Noto Sans CJK SC"/>
        <family val="2"/>
      </rPr>
      <t xml:space="preserve">を決定。</t>
    </r>
    <r>
      <rPr>
        <sz val="10"/>
        <color rgb="FF0000FF"/>
        <rFont val="Arial"/>
        <family val="0"/>
        <charset val="1"/>
      </rPr>
      <t xml:space="preserve">PML8.7%(</t>
    </r>
    <r>
      <rPr>
        <sz val="10"/>
        <color rgb="FF0000FF"/>
        <rFont val="Noto Sans CJK SC"/>
        <family val="2"/>
      </rPr>
      <t xml:space="preserve">ポートフォリオ全体</t>
    </r>
    <r>
      <rPr>
        <sz val="10"/>
        <color rgb="FF0000FF"/>
        <rFont val="Arial"/>
        <family val="0"/>
        <charset val="1"/>
      </rPr>
      <t xml:space="preserve">)</t>
    </r>
  </si>
  <si>
    <t xml:space="preserve">SHR-001</t>
  </si>
  <si>
    <t xml:space="preserve">エスティメゾン銀座</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</si>
  <si>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</si>
  <si>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</si>
  <si>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SHR-002</t>
  </si>
  <si>
    <t xml:space="preserve">エスティメゾン麻布永坂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</si>
  <si>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</si>
  <si>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SHR-003</t>
  </si>
  <si>
    <t xml:space="preserve">エスティメゾン恵比寿Ⅱ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</si>
  <si>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</si>
  <si>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SHR-004</t>
  </si>
  <si>
    <t xml:space="preserve">エスティメゾン恵比寿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</si>
  <si>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R-004</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LJPF</t>
    </r>
    <r>
      <rPr>
        <sz val="10"/>
        <color rgb="FF0000FF"/>
        <rFont val="Noto Sans CJK SC"/>
        <family val="2"/>
      </rPr>
      <t xml:space="preserve">合同会社へ、個別譲渡価格非開示・</t>
    </r>
    <r>
      <rPr>
        <sz val="10"/>
        <color rgb="FF0000FF"/>
        <rFont val="Arial"/>
        <family val="0"/>
        <charset val="1"/>
      </rPr>
      <t xml:space="preserve">12</t>
    </r>
    <r>
      <rPr>
        <sz val="10"/>
        <color rgb="FF0000FF"/>
        <rFont val="Noto Sans CJK SC"/>
        <family val="2"/>
      </rPr>
      <t xml:space="preserve">物件計譲渡収入</t>
    </r>
    <r>
      <rPr>
        <sz val="10"/>
        <color rgb="FF0000FF"/>
        <rFont val="Arial"/>
        <family val="0"/>
        <charset val="1"/>
      </rPr>
      <t xml:space="preserve">25,200,000</t>
    </r>
    <r>
      <rPr>
        <sz val="10"/>
        <color rgb="FF0000FF"/>
        <rFont val="Noto Sans CJK SC"/>
        <family val="2"/>
      </rPr>
      <t xml:space="preserve">千円・売却益</t>
    </r>
    <r>
      <rPr>
        <sz val="10"/>
        <color rgb="FF0000FF"/>
        <rFont val="Arial"/>
        <family val="0"/>
        <charset val="1"/>
      </rPr>
      <t xml:space="preserve">5,592,274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</si>
  <si>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SHR-005</t>
  </si>
  <si>
    <t xml:space="preserve">エスティメゾン神田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</si>
  <si>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</si>
  <si>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SHR-006</t>
  </si>
  <si>
    <t xml:space="preserve">エスティメゾン北新宿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</si>
  <si>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</si>
  <si>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SHR-007</t>
  </si>
  <si>
    <t xml:space="preserve">エスティメゾン浅草駒形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</si>
  <si>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</si>
  <si>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SHR-008</t>
  </si>
  <si>
    <t xml:space="preserve">エスティメゾン川崎</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</si>
  <si>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R-008</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</si>
  <si>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SHR-009</t>
  </si>
  <si>
    <t xml:space="preserve">エスティメゾン亀戸</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</si>
  <si>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</si>
  <si>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SHR-010</t>
  </si>
  <si>
    <t xml:space="preserve">エスティメゾン目黒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</si>
  <si>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</si>
  <si>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SHR-011</t>
  </si>
  <si>
    <t xml:space="preserve">エスティメゾン巣鴨</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</si>
  <si>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</si>
  <si>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SHR-012</t>
  </si>
  <si>
    <t xml:space="preserve">エスティメゾン京橋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</si>
  <si>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R-013</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</si>
  <si>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SHR-013</t>
  </si>
  <si>
    <t xml:space="preserve">エスティメゾン白楽</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</si>
  <si>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</si>
  <si>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SHR-014</t>
  </si>
  <si>
    <t xml:space="preserve">エスティメゾン南堀江</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</si>
  <si>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</si>
  <si>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SHR-015</t>
  </si>
  <si>
    <t xml:space="preserve">エスティメゾン五反田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</si>
  <si>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敷地権割合約</t>
    </r>
    <r>
      <rPr>
        <sz val="10"/>
        <color rgb="FF0000FF"/>
        <rFont val="Arial"/>
        <family val="0"/>
        <charset val="1"/>
      </rPr>
      <t xml:space="preserve">90.7%)</t>
    </r>
    <r>
      <rPr>
        <sz val="10"/>
        <color rgb="FF0000FF"/>
        <rFont val="Noto Sans CJK SC"/>
        <family val="2"/>
      </rPr>
      <t xml:space="preserve">。</t>
    </r>
  </si>
  <si>
    <t xml:space="preserve">SHR-016</t>
  </si>
  <si>
    <t xml:space="preserve">エスティメゾン大井仙台坂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</si>
  <si>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</si>
  <si>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SHR-017</t>
  </si>
  <si>
    <t xml:space="preserve">エスティメゾン品川シーサイド</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</si>
  <si>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R-018</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</si>
  <si>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SHR-018</t>
  </si>
  <si>
    <t xml:space="preserve">エスティメゾン南麻布</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</si>
  <si>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R-019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</si>
  <si>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SHR-019</t>
  </si>
  <si>
    <t xml:space="preserve">エスティメゾン川崎Ⅱ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</si>
  <si>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</si>
  <si>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SHR-020</t>
  </si>
  <si>
    <t xml:space="preserve">エスティメゾン麻布十番</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</si>
  <si>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</si>
  <si>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SHR-021</t>
  </si>
  <si>
    <t xml:space="preserve">エスティメゾン板橋本町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</si>
  <si>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R-023</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</si>
  <si>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SHR-022</t>
  </si>
  <si>
    <t xml:space="preserve">エスティメゾン武蔵小山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</si>
  <si>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敷地権割合約</t>
    </r>
    <r>
      <rPr>
        <sz val="10"/>
        <color rgb="FF0000FF"/>
        <rFont val="Arial"/>
        <family val="0"/>
        <charset val="1"/>
      </rPr>
      <t xml:space="preserve">92.2%)</t>
    </r>
    <r>
      <rPr>
        <sz val="10"/>
        <color rgb="FF0000FF"/>
        <rFont val="Noto Sans CJK SC"/>
        <family val="2"/>
      </rPr>
      <t xml:space="preserve">。</t>
    </r>
  </si>
  <si>
    <t xml:space="preserve">SHR-023</t>
  </si>
  <si>
    <t xml:space="preserve">エスティメゾン千駄木</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</si>
  <si>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R-028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t>
    </r>
    <r>
      <rPr>
        <sz val="10"/>
        <color rgb="FF0000FF"/>
        <rFont val="Noto Sans CJK SC"/>
        <family val="2"/>
      </rPr>
      <t xml:space="preserve">敷地権割合約</t>
    </r>
    <r>
      <rPr>
        <sz val="10"/>
        <color rgb="FF0000FF"/>
        <rFont val="Arial"/>
        <family val="0"/>
        <charset val="1"/>
      </rPr>
      <t xml:space="preserve">86.4%)</t>
    </r>
    <r>
      <rPr>
        <sz val="10"/>
        <color rgb="FF0000FF"/>
        <rFont val="Noto Sans CJK SC"/>
        <family val="2"/>
      </rPr>
      <t xml:space="preserve">。</t>
    </r>
  </si>
  <si>
    <t xml:space="preserve">SHR-024</t>
  </si>
  <si>
    <t xml:space="preserve">エスティメゾン博多東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</si>
  <si>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</si>
  <si>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SHR-025</t>
  </si>
  <si>
    <t xml:space="preserve">プライムメゾン武蔵野の杜</t>
  </si>
  <si>
    <t xml:space="preserve">小平市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</si>
  <si>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</si>
  <si>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SHR-026</t>
  </si>
  <si>
    <t xml:space="preserve">プライムメゾン東桜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</si>
  <si>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R-034</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</si>
  <si>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SHR-027</t>
  </si>
  <si>
    <t xml:space="preserve">プライムメゾン萱場公園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</si>
  <si>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</si>
  <si>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SHR-028</t>
  </si>
  <si>
    <t xml:space="preserve">エスティメゾン三軒茶屋Ⅱ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</si>
  <si>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</si>
  <si>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SHR-029</t>
  </si>
  <si>
    <t xml:space="preserve">エスティメゾン板橋Ｃ６</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</si>
  <si>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</si>
  <si>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SHR-030</t>
  </si>
  <si>
    <t xml:space="preserve">シャーメゾンステージ博多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</si>
  <si>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UR</t>
    </r>
    <r>
      <rPr>
        <sz val="10"/>
        <color rgb="FF0000FF"/>
        <rFont val="Noto Sans CJK SC"/>
        <family val="2"/>
      </rPr>
      <t xml:space="preserve">定期借地</t>
    </r>
    <r>
      <rPr>
        <sz val="10"/>
        <color rgb="FF0000FF"/>
        <rFont val="Arial"/>
        <family val="0"/>
        <charset val="1"/>
      </rPr>
      <t xml:space="preserve">(2002/12</t>
    </r>
    <r>
      <rPr>
        <sz val="10"/>
        <color rgb="FF0000FF"/>
        <rFont val="Noto Sans CJK SC"/>
        <family val="2"/>
      </rPr>
      <t xml:space="preserve">から</t>
    </r>
    <r>
      <rPr>
        <sz val="10"/>
        <color rgb="FF0000FF"/>
        <rFont val="Arial"/>
        <family val="0"/>
        <charset val="1"/>
      </rPr>
      <t xml:space="preserve">50</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t>
    </r>
  </si>
  <si>
    <t xml:space="preserve">SHR-031</t>
  </si>
  <si>
    <t xml:space="preserve">エスティメゾン錦糸町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</si>
  <si>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R-039</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</si>
  <si>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SHR-032</t>
  </si>
  <si>
    <t xml:space="preserve">エスティメゾン武蔵小金井</t>
  </si>
  <si>
    <t xml:space="preserve">小金井市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</si>
  <si>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</si>
  <si>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SHR-033</t>
  </si>
  <si>
    <t xml:space="preserve">プライムメゾン御器所</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</si>
  <si>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</si>
  <si>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SHR-034</t>
  </si>
  <si>
    <t xml:space="preserve">プライムメゾン夕陽ヶ丘</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</si>
  <si>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</si>
  <si>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SHR-035</t>
  </si>
  <si>
    <t xml:space="preserve">プライムメゾン北田辺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</si>
  <si>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</si>
  <si>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SHR-036</t>
  </si>
  <si>
    <t xml:space="preserve">プライムメゾン百道浜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</si>
  <si>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</si>
  <si>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SHR-037</t>
  </si>
  <si>
    <t xml:space="preserve">エスティメゾン秋葉原</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</si>
  <si>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</si>
  <si>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SHR-038</t>
  </si>
  <si>
    <t xml:space="preserve">エスティメゾン笹塚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</si>
  <si>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</si>
  <si>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SHR-039</t>
  </si>
  <si>
    <t xml:space="preserve">プライムメゾン銀座イースト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</si>
  <si>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</si>
  <si>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SHR-040</t>
  </si>
  <si>
    <t xml:space="preserve">プライムメゾン高見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</si>
  <si>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</si>
  <si>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SHR-041</t>
  </si>
  <si>
    <t xml:space="preserve">プライムメゾン矢田南</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</si>
  <si>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R-049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</si>
  <si>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SHR-042</t>
  </si>
  <si>
    <t xml:space="preserve">プライムメゾン照葉</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</si>
  <si>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</si>
  <si>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SHR-043</t>
  </si>
  <si>
    <t xml:space="preserve">エスティメゾン東白壁</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</si>
  <si>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R-051</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</si>
  <si>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SHR-044</t>
  </si>
  <si>
    <t xml:space="preserve">エスティメゾン千石</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</si>
  <si>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</si>
  <si>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SHR-045</t>
  </si>
  <si>
    <t xml:space="preserve">エスティメゾン代沢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</si>
  <si>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</si>
  <si>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SHR-046</t>
  </si>
  <si>
    <t xml:space="preserve">エスティメゾン戸越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</si>
  <si>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</si>
  <si>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SHR-047</t>
  </si>
  <si>
    <t xml:space="preserve">エスティメゾン西天満</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</si>
  <si>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</si>
  <si>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SHR-048</t>
  </si>
  <si>
    <t xml:space="preserve">エスティメゾン白金台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</si>
  <si>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</si>
  <si>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SHR-049</t>
  </si>
  <si>
    <t xml:space="preserve">エスティメゾン東新宿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</si>
  <si>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</si>
  <si>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SHR-050</t>
  </si>
  <si>
    <t xml:space="preserve">エスティメゾン元麻布</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</si>
  <si>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</si>
  <si>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SHR-051</t>
  </si>
  <si>
    <t xml:space="preserve">エスティメゾン都立大学</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</si>
  <si>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R-059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</si>
  <si>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SHR-052</t>
  </si>
  <si>
    <t xml:space="preserve">エスティメゾン武蔵小山Ⅱ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</si>
  <si>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</si>
  <si>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SHR-053</t>
  </si>
  <si>
    <t xml:space="preserve">エスティメゾン中野</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</si>
  <si>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</si>
  <si>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SHR-054</t>
  </si>
  <si>
    <t xml:space="preserve">エスティメゾン新中野</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</si>
  <si>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</si>
  <si>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SHR-055</t>
  </si>
  <si>
    <t xml:space="preserve">エスティメゾン中野富士見町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</si>
  <si>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</si>
  <si>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SHR-056</t>
  </si>
  <si>
    <t xml:space="preserve">エスティメゾン哲学堂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</si>
  <si>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</si>
  <si>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SHR-057</t>
  </si>
  <si>
    <t xml:space="preserve">エスティメゾン高円寺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</si>
  <si>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</si>
  <si>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SHR-058</t>
  </si>
  <si>
    <t xml:space="preserve">エスティメゾン押上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</si>
  <si>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</si>
  <si>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SHR-059</t>
  </si>
  <si>
    <t xml:space="preserve">エスティメゾン赤羽</t>
  </si>
  <si>
    <t xml:space="preserve">北区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</si>
  <si>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</si>
  <si>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SHR-060</t>
  </si>
  <si>
    <t xml:space="preserve">エスティメゾン王子</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</si>
  <si>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</si>
  <si>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SHR-061</t>
  </si>
  <si>
    <t xml:space="preserve">プライムメゾン早稲田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</si>
  <si>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R-069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</si>
  <si>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SHR-062</t>
  </si>
  <si>
    <t xml:space="preserve">プライムメゾン八丁堀</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</si>
  <si>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</si>
  <si>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SHR-063</t>
  </si>
  <si>
    <t xml:space="preserve">プライムメゾン神保町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</si>
  <si>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</si>
  <si>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SHR-064</t>
  </si>
  <si>
    <t xml:space="preserve">プライムメゾン御殿山イースト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</si>
  <si>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</si>
  <si>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SHR-065</t>
  </si>
  <si>
    <t xml:space="preserve">シャーメゾンステージ秋葉原</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</si>
  <si>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</si>
  <si>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SHR-066</t>
  </si>
  <si>
    <t xml:space="preserve">エスティメゾン葵</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</si>
  <si>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R-074</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</si>
  <si>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SHR-067</t>
  </si>
  <si>
    <t xml:space="preserve">エスティメゾン薬院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</si>
  <si>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</si>
  <si>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SHR-068</t>
  </si>
  <si>
    <t xml:space="preserve">エスティメゾン錦糸町Ⅱ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</si>
  <si>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</si>
  <si>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SHR-069</t>
  </si>
  <si>
    <t xml:space="preserve">エスティメゾン大島</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</si>
  <si>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</si>
  <si>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SHR-070</t>
  </si>
  <si>
    <t xml:space="preserve">プライムメゾン富士見台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</si>
  <si>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</si>
  <si>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SHR-071</t>
  </si>
  <si>
    <t xml:space="preserve">エスティメゾン鶴舞</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</si>
  <si>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R-079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。店舗パススルー</t>
    </r>
    <r>
      <rPr>
        <sz val="10"/>
        <color rgb="FF0000FF"/>
        <rFont val="Arial"/>
        <family val="0"/>
        <charset val="1"/>
      </rPr>
      <t xml:space="preserve">+</t>
    </r>
    <r>
      <rPr>
        <sz val="10"/>
        <color rgb="FF0000FF"/>
        <rFont val="Noto Sans CJK SC"/>
        <family val="2"/>
      </rPr>
      <t xml:space="preserve">住居賃料固定</t>
    </r>
    <r>
      <rPr>
        <sz val="10"/>
        <color rgb="FF0000FF"/>
        <rFont val="Arial"/>
        <family val="0"/>
        <charset val="1"/>
      </rPr>
      <t xml:space="preserve">ML</t>
    </r>
    <r>
      <rPr>
        <sz val="10"/>
        <color rgb="FF0000FF"/>
        <rFont val="Noto Sans CJK SC"/>
        <family val="2"/>
      </rPr>
      <t xml:space="preserve">。</t>
    </r>
  </si>
  <si>
    <t xml:space="preserve">SHR-072</t>
  </si>
  <si>
    <t xml:space="preserve">プライムメゾン森下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</si>
  <si>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</si>
  <si>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SHR-073</t>
  </si>
  <si>
    <t xml:space="preserve">プライムメゾン品川</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</si>
  <si>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</si>
  <si>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SHR-074</t>
  </si>
  <si>
    <t xml:space="preserve">プライムメゾン大通公園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</si>
  <si>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</si>
  <si>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SHR-075</t>
  </si>
  <si>
    <t xml:space="preserve">プライムメゾン南２条</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</si>
  <si>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</si>
  <si>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SHR-076</t>
  </si>
  <si>
    <t xml:space="preserve">プライムメゾン鴨々川</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</si>
  <si>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</si>
  <si>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SHR-077</t>
  </si>
  <si>
    <t xml:space="preserve">プライムメゾンセントラルパーク</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</si>
  <si>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。土地一部貸地</t>
    </r>
    <r>
      <rPr>
        <sz val="10"/>
        <color rgb="FF0000FF"/>
        <rFont val="Arial"/>
        <family val="0"/>
        <charset val="1"/>
      </rPr>
      <t xml:space="preserve">(</t>
    </r>
    <r>
      <rPr>
        <sz val="10"/>
        <color rgb="FF0000FF"/>
        <rFont val="Noto Sans CJK SC"/>
        <family val="2"/>
      </rPr>
      <t xml:space="preserve">借地人所有店舗あり</t>
    </r>
    <r>
      <rPr>
        <sz val="10"/>
        <color rgb="FF0000FF"/>
        <rFont val="Arial"/>
        <family val="0"/>
        <charset val="1"/>
      </rPr>
      <t xml:space="preserve">)</t>
    </r>
    <r>
      <rPr>
        <sz val="10"/>
        <color rgb="FF0000FF"/>
        <rFont val="Noto Sans CJK SC"/>
        <family val="2"/>
      </rPr>
      <t xml:space="preserve">。</t>
    </r>
  </si>
  <si>
    <t xml:space="preserve">SHR-078</t>
  </si>
  <si>
    <t xml:space="preserve">シャーメゾンステージ八広</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</si>
  <si>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</si>
  <si>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SHR-079</t>
  </si>
  <si>
    <t xml:space="preserve">プライムメゾン恵比寿</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</si>
  <si>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</si>
  <si>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SHR-080</t>
  </si>
  <si>
    <t xml:space="preserve">エスティメゾン鵜の森</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</si>
  <si>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R-089</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</si>
  <si>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SHR-081</t>
  </si>
  <si>
    <t xml:space="preserve">シャーメゾンステージ日野</t>
  </si>
  <si>
    <t xml:space="preserve">日野市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</si>
  <si>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</si>
  <si>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SHR-082</t>
  </si>
  <si>
    <t xml:space="preserve">プライムメゾン横濱日本大通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</si>
  <si>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</si>
  <si>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SHR-083</t>
  </si>
  <si>
    <t xml:space="preserve">神戸女子学生会館</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</si>
  <si>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。学生寮・定期建物賃貸借</t>
    </r>
    <r>
      <rPr>
        <sz val="10"/>
        <color rgb="FF0000FF"/>
        <rFont val="Arial"/>
        <family val="0"/>
        <charset val="1"/>
      </rPr>
      <t xml:space="preserve">ML(2028/3</t>
    </r>
    <r>
      <rPr>
        <sz val="10"/>
        <color rgb="FF0000FF"/>
        <rFont val="Noto Sans CJK SC"/>
        <family val="2"/>
      </rPr>
      <t xml:space="preserve">満了</t>
    </r>
    <r>
      <rPr>
        <sz val="10"/>
        <color rgb="FF0000FF"/>
        <rFont val="Arial"/>
        <family val="0"/>
        <charset val="1"/>
      </rPr>
      <t xml:space="preserve">)</t>
    </r>
    <r>
      <rPr>
        <sz val="10"/>
        <color rgb="FF0000FF"/>
        <rFont val="Noto Sans CJK SC"/>
        <family val="2"/>
      </rPr>
      <t xml:space="preserve">。</t>
    </r>
  </si>
  <si>
    <t xml:space="preserve">SHR-084</t>
  </si>
  <si>
    <t xml:space="preserve">プライムメゾン渋谷</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</si>
  <si>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</si>
  <si>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SHR-085</t>
  </si>
  <si>
    <t xml:space="preserve">プライムメゾン初台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</si>
  <si>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</si>
  <si>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SHR-086</t>
  </si>
  <si>
    <t xml:space="preserve">エスティメゾン上町台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</si>
  <si>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</si>
  <si>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SHR-087</t>
  </si>
  <si>
    <t xml:space="preserve">プライムメゾン白金高輪</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</si>
  <si>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</si>
  <si>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SHR-088</t>
  </si>
  <si>
    <t xml:space="preserve">プライムメゾン市谷山伏町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</si>
  <si>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R-099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</si>
  <si>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SHR-089</t>
  </si>
  <si>
    <t xml:space="preserve">エスティメゾン森下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</si>
  <si>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</si>
  <si>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SHR-090</t>
  </si>
  <si>
    <t xml:space="preserve">プライムメゾン白金台タワー</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</si>
  <si>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</si>
  <si>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SHR-091</t>
  </si>
  <si>
    <t xml:space="preserve">プライムメゾン大塚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</si>
  <si>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</si>
  <si>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SHR-092</t>
  </si>
  <si>
    <t xml:space="preserve">プライムメゾン浅草橋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</si>
  <si>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</si>
  <si>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SHR-093</t>
  </si>
  <si>
    <t xml:space="preserve">プライムメゾン代官山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</si>
  <si>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</si>
  <si>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SHR-094</t>
  </si>
  <si>
    <t xml:space="preserve">プライムメゾン御殿山ウエスト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</si>
  <si>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</si>
  <si>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SHR-095</t>
  </si>
  <si>
    <t xml:space="preserve">エスティメゾン豊洲レジデンス</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</si>
  <si>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UR</t>
    </r>
    <r>
      <rPr>
        <sz val="10"/>
        <color rgb="FF0000FF"/>
        <rFont val="Noto Sans CJK SC"/>
        <family val="2"/>
      </rPr>
      <t xml:space="preserve">定期借地</t>
    </r>
    <r>
      <rPr>
        <sz val="10"/>
        <color rgb="FF0000FF"/>
        <rFont val="Arial"/>
        <family val="0"/>
        <charset val="1"/>
      </rPr>
      <t xml:space="preserve">(2006/3</t>
    </r>
    <r>
      <rPr>
        <sz val="10"/>
        <color rgb="FF0000FF"/>
        <rFont val="Noto Sans CJK SC"/>
        <family val="2"/>
      </rPr>
      <t xml:space="preserve">から</t>
    </r>
    <r>
      <rPr>
        <sz val="10"/>
        <color rgb="FF0000FF"/>
        <rFont val="Arial"/>
        <family val="0"/>
        <charset val="1"/>
      </rPr>
      <t xml:space="preserve">65</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t>
    </r>
  </si>
  <si>
    <t xml:space="preserve">SHR-096</t>
  </si>
  <si>
    <t xml:space="preserve">エスティメゾン井尻</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</si>
  <si>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</si>
  <si>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SHR-097</t>
  </si>
  <si>
    <t xml:space="preserve">プライムメゾン三田綱町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</si>
  <si>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R-109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</si>
  <si>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SHR-098</t>
  </si>
  <si>
    <t xml:space="preserve">プライムメゾン本郷</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</si>
  <si>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</si>
  <si>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SHR-099</t>
  </si>
  <si>
    <t xml:space="preserve">プライムメゾン蔵前</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</si>
  <si>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</si>
  <si>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SHR-100</t>
  </si>
  <si>
    <t xml:space="preserve">エスティメゾン横浜青葉台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</si>
  <si>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。ノース</t>
    </r>
    <r>
      <rPr>
        <sz val="10"/>
        <color rgb="FF0000FF"/>
        <rFont val="Arial"/>
        <family val="0"/>
        <charset val="1"/>
      </rPr>
      <t xml:space="preserve">(2018/7</t>
    </r>
    <r>
      <rPr>
        <sz val="10"/>
        <color rgb="FF0000FF"/>
        <rFont val="Noto Sans CJK SC"/>
        <family val="2"/>
      </rPr>
      <t xml:space="preserve">竣工</t>
    </r>
    <r>
      <rPr>
        <sz val="10"/>
        <color rgb="FF0000FF"/>
        <rFont val="Arial"/>
        <family val="0"/>
        <charset val="1"/>
      </rPr>
      <t xml:space="preserve">)+</t>
    </r>
    <r>
      <rPr>
        <sz val="10"/>
        <color rgb="FF0000FF"/>
        <rFont val="Noto Sans CJK SC"/>
        <family val="2"/>
      </rPr>
      <t xml:space="preserve">サウス</t>
    </r>
    <r>
      <rPr>
        <sz val="10"/>
        <color rgb="FF0000FF"/>
        <rFont val="Arial"/>
        <family val="0"/>
        <charset val="1"/>
      </rPr>
      <t xml:space="preserve">(1990/7</t>
    </r>
    <r>
      <rPr>
        <sz val="10"/>
        <color rgb="FF0000FF"/>
        <rFont val="Noto Sans CJK SC"/>
        <family val="2"/>
      </rPr>
      <t xml:space="preserve">竣工</t>
    </r>
    <r>
      <rPr>
        <sz val="10"/>
        <color rgb="FF0000FF"/>
        <rFont val="Arial"/>
        <family val="0"/>
        <charset val="1"/>
      </rPr>
      <t xml:space="preserve">)2</t>
    </r>
    <r>
      <rPr>
        <sz val="10"/>
        <color rgb="FF0000FF"/>
        <rFont val="Noto Sans CJK SC"/>
        <family val="2"/>
      </rPr>
      <t xml:space="preserve">棟一体運用・竣工はサウス。</t>
    </r>
  </si>
  <si>
    <t xml:space="preserve">SHR-101</t>
  </si>
  <si>
    <t xml:space="preserve">エスティメゾン静岡鷹匠</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</si>
  <si>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R-113</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LJPF</t>
    </r>
    <r>
      <rPr>
        <sz val="10"/>
        <color rgb="FF0000FF"/>
        <rFont val="Noto Sans CJK SC"/>
        <family val="2"/>
      </rPr>
      <t xml:space="preserve">合同会社へ、個別譲渡価格非開示</t>
    </r>
    <r>
      <rPr>
        <sz val="10"/>
        <color rgb="FF0000FF"/>
        <rFont val="Arial"/>
        <family val="0"/>
        <charset val="1"/>
      </rPr>
      <t xml:space="preserve">)</t>
    </r>
    <r>
      <rPr>
        <sz val="10"/>
        <color rgb="FF0000FF"/>
        <rFont val="Noto Sans CJK SC"/>
        <family val="2"/>
      </rPr>
      <t xml:space="preserve">。前期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に減損損失</t>
    </r>
    <r>
      <rPr>
        <sz val="10"/>
        <color rgb="FF0000FF"/>
        <rFont val="Arial"/>
        <family val="0"/>
        <charset val="1"/>
      </rPr>
      <t xml:space="preserve">191,715</t>
    </r>
    <r>
      <rPr>
        <sz val="10"/>
        <color rgb="FF0000FF"/>
        <rFont val="Noto Sans CJK SC"/>
        <family val="2"/>
      </rPr>
      <t xml:space="preserve">千円を計上済</t>
    </r>
    <r>
      <rPr>
        <sz val="10"/>
        <color rgb="FF0000FF"/>
        <rFont val="Arial"/>
        <family val="0"/>
        <charset val="1"/>
      </rPr>
      <t xml:space="preserve">(</t>
    </r>
    <r>
      <rPr>
        <sz val="10"/>
        <color rgb="FF0000FF"/>
        <rFont val="Noto Sans CJK SC"/>
        <family val="2"/>
      </rPr>
      <t xml:space="preserve">静岡市所在</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</si>
  <si>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SHR-102</t>
  </si>
  <si>
    <t xml:space="preserve">シャーメゾンステージ広瀬通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</si>
  <si>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</si>
  <si>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SHR-103</t>
  </si>
  <si>
    <t xml:space="preserve">エスティメゾン東別院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</si>
  <si>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R-115</t>
    </r>
    <r>
      <rPr>
        <sz val="10"/>
        <color rgb="FF0000FF"/>
        <rFont val="Noto Sans CJK SC"/>
        <family val="2"/>
      </rPr>
      <t xml:space="preserve">。</t>
    </r>
    <r>
      <rPr>
        <sz val="10"/>
        <color rgb="FF0000FF"/>
        <rFont val="Arial"/>
        <family val="0"/>
        <charset val="1"/>
      </rPr>
      <t xml:space="preserve">2026/1/29</t>
    </r>
    <r>
      <rPr>
        <sz val="10"/>
        <color rgb="FF0000FF"/>
        <rFont val="Noto Sans CJK SC"/>
        <family val="2"/>
      </rPr>
      <t xml:space="preserve">譲渡</t>
    </r>
    <r>
      <rPr>
        <sz val="10"/>
        <color rgb="FF0000FF"/>
        <rFont val="Arial"/>
        <family val="0"/>
        <charset val="1"/>
      </rPr>
      <t xml:space="preserve">(12</t>
    </r>
    <r>
      <rPr>
        <sz val="10"/>
        <color rgb="FF0000FF"/>
        <rFont val="Noto Sans CJK SC"/>
        <family val="2"/>
      </rPr>
      <t xml:space="preserve">物件一括・</t>
    </r>
    <r>
      <rPr>
        <sz val="10"/>
        <color rgb="FF0000FF"/>
        <rFont val="Arial"/>
        <family val="0"/>
        <charset val="1"/>
      </rPr>
      <t xml:space="preserve">LJPF</t>
    </r>
    <r>
      <rPr>
        <sz val="10"/>
        <color rgb="FF0000FF"/>
        <rFont val="Noto Sans CJK SC"/>
        <family val="2"/>
      </rPr>
      <t xml:space="preserve">合同会社へ、個別譲渡価格非開示</t>
    </r>
    <r>
      <rPr>
        <sz val="10"/>
        <color rgb="FF0000FF"/>
        <rFont val="Arial"/>
        <family val="0"/>
        <charset val="1"/>
      </rPr>
      <t xml:space="preserve">)</t>
    </r>
    <r>
      <rPr>
        <sz val="10"/>
        <color rgb="FF0000FF"/>
        <rFont val="Noto Sans CJK SC"/>
        <family val="2"/>
      </rPr>
      <t xml:space="preserve">。前期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に減損損失</t>
    </r>
    <r>
      <rPr>
        <sz val="10"/>
        <color rgb="FF0000FF"/>
        <rFont val="Arial"/>
        <family val="0"/>
        <charset val="1"/>
      </rPr>
      <t xml:space="preserve">146,466</t>
    </r>
    <r>
      <rPr>
        <sz val="10"/>
        <color rgb="FF0000FF"/>
        <rFont val="Noto Sans CJK SC"/>
        <family val="2"/>
      </rPr>
      <t xml:space="preserve">千円を計上済</t>
    </r>
    <r>
      <rPr>
        <sz val="10"/>
        <color rgb="FF0000FF"/>
        <rFont val="Arial"/>
        <family val="0"/>
        <charset val="1"/>
      </rPr>
      <t xml:space="preserve">(</t>
    </r>
    <r>
      <rPr>
        <sz val="10"/>
        <color rgb="FF0000FF"/>
        <rFont val="Noto Sans CJK SC"/>
        <family val="2"/>
      </rPr>
      <t xml:space="preserve">名古屋市所在</t>
    </r>
    <r>
      <rPr>
        <sz val="10"/>
        <color rgb="FF0000FF"/>
        <rFont val="Arial"/>
        <family val="0"/>
        <charset val="1"/>
      </rPr>
      <t xml:space="preserve">)</t>
    </r>
    <r>
      <rPr>
        <sz val="10"/>
        <color rgb="FF0000FF"/>
        <rFont val="Noto Sans CJK SC"/>
        <family val="2"/>
      </rPr>
      <t xml:space="preserve">。期末保有物件でないため基本情報は当期末保有物件表の対象外</t>
    </r>
  </si>
  <si>
    <t xml:space="preserve">SHR-104</t>
  </si>
  <si>
    <t xml:space="preserve">エスティメゾン萱場</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</si>
  <si>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</si>
  <si>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SHR-105</t>
  </si>
  <si>
    <t xml:space="preserve">エスティメゾン白壁南</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</si>
  <si>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</si>
  <si>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SHR-106</t>
  </si>
  <si>
    <t xml:space="preserve">プライムメゾン下北沢</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</si>
  <si>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</si>
  <si>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SHR-107</t>
  </si>
  <si>
    <t xml:space="preserve">プライムメゾン目黒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</si>
  <si>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R-119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</si>
  <si>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SHR-108</t>
  </si>
  <si>
    <t xml:space="preserve">プライムメゾン両国</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</si>
  <si>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</si>
  <si>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SHR-109</t>
  </si>
  <si>
    <t xml:space="preserve">プライムメゾン中目黒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</si>
  <si>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</si>
  <si>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SHR-110</t>
  </si>
  <si>
    <t xml:space="preserve">プライムメゾン板橋</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</si>
  <si>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</si>
  <si>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SHR-111</t>
  </si>
  <si>
    <t xml:space="preserve">プライムメゾン江古田の杜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</si>
  <si>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UR</t>
    </r>
    <r>
      <rPr>
        <sz val="10"/>
        <color rgb="FF0000FF"/>
        <rFont val="Noto Sans CJK SC"/>
        <family val="2"/>
      </rPr>
      <t xml:space="preserve">定期借地</t>
    </r>
    <r>
      <rPr>
        <sz val="10"/>
        <color rgb="FF0000FF"/>
        <rFont val="Arial"/>
        <family val="0"/>
        <charset val="1"/>
      </rPr>
      <t xml:space="preserve">(2015/4</t>
    </r>
    <r>
      <rPr>
        <sz val="10"/>
        <color rgb="FF0000FF"/>
        <rFont val="Noto Sans CJK SC"/>
        <family val="2"/>
      </rPr>
      <t xml:space="preserve">から</t>
    </r>
    <r>
      <rPr>
        <sz val="10"/>
        <color rgb="FF0000FF"/>
        <rFont val="Arial"/>
        <family val="0"/>
        <charset val="1"/>
      </rPr>
      <t xml:space="preserve">70</t>
    </r>
    <r>
      <rPr>
        <sz val="10"/>
        <color rgb="FF0000FF"/>
        <rFont val="Noto Sans CJK SC"/>
        <family val="2"/>
      </rPr>
      <t xml:space="preserve">年</t>
    </r>
    <r>
      <rPr>
        <sz val="10"/>
        <color rgb="FF0000FF"/>
        <rFont val="Arial"/>
        <family val="0"/>
        <charset val="1"/>
      </rPr>
      <t xml:space="preserve">)</t>
    </r>
    <r>
      <rPr>
        <sz val="10"/>
        <color rgb="FF0000FF"/>
        <rFont val="Noto Sans CJK SC"/>
        <family val="2"/>
      </rPr>
      <t xml:space="preserve">・定期建物賃貸借</t>
    </r>
    <r>
      <rPr>
        <sz val="10"/>
        <color rgb="FF0000FF"/>
        <rFont val="Arial"/>
        <family val="0"/>
        <charset val="1"/>
      </rPr>
      <t xml:space="preserve">ML(2032/8</t>
    </r>
    <r>
      <rPr>
        <sz val="10"/>
        <color rgb="FF0000FF"/>
        <rFont val="Noto Sans CJK SC"/>
        <family val="2"/>
      </rPr>
      <t xml:space="preserve">満了</t>
    </r>
    <r>
      <rPr>
        <sz val="10"/>
        <color rgb="FF0000FF"/>
        <rFont val="Arial"/>
        <family val="0"/>
        <charset val="1"/>
      </rPr>
      <t xml:space="preserve">)</t>
    </r>
    <r>
      <rPr>
        <sz val="10"/>
        <color rgb="FF0000FF"/>
        <rFont val="Noto Sans CJK SC"/>
        <family val="2"/>
      </rPr>
      <t xml:space="preserve">。</t>
    </r>
  </si>
  <si>
    <t xml:space="preserve">SHR-112</t>
  </si>
  <si>
    <t xml:space="preserve">プライムメゾン早稲田通り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</si>
  <si>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</si>
  <si>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SHR-113</t>
  </si>
  <si>
    <t xml:space="preserve">エスティメゾン登戸</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</si>
  <si>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</si>
  <si>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SHR-114</t>
  </si>
  <si>
    <t xml:space="preserve">エスティメゾン大森</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</si>
  <si>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</si>
  <si>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SHR-115</t>
  </si>
  <si>
    <t xml:space="preserve">エスティメゾン門前仲町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</si>
  <si>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</si>
  <si>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SHR-116</t>
  </si>
  <si>
    <t xml:space="preserve">エスティメゾン赤羽Ⅱ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</si>
  <si>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</si>
  <si>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SHR-117</t>
  </si>
  <si>
    <t xml:space="preserve">プライムメゾン湯島</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</si>
  <si>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R-129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</si>
  <si>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SHR-118</t>
  </si>
  <si>
    <t xml:space="preserve">プライムメゾン中野坂上</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</si>
  <si>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</si>
  <si>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SHR-119</t>
  </si>
  <si>
    <t xml:space="preserve">プライムメゾン方南町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</si>
  <si>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</si>
  <si>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SHR-120</t>
  </si>
  <si>
    <t xml:space="preserve">プライムメゾン門前仲町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</si>
  <si>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</si>
  <si>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SHR-121</t>
  </si>
  <si>
    <t xml:space="preserve">プライムメゾン西早稲田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</si>
  <si>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</si>
  <si>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SHR-122</t>
  </si>
  <si>
    <t xml:space="preserve">プライムメゾン浅草イースト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</si>
  <si>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</si>
  <si>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SHR-123</t>
  </si>
  <si>
    <t xml:space="preserve">プライムメゾン桜新町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</si>
  <si>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</si>
  <si>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SHR-124</t>
  </si>
  <si>
    <t xml:space="preserve">エスティメゾン南行徳</t>
  </si>
  <si>
    <t xml:space="preserve">市川市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</si>
  <si>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</si>
  <si>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SHR-125</t>
  </si>
  <si>
    <t xml:space="preserve">プライムメゾン森下ウエスト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</si>
  <si>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</si>
  <si>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SHR-126</t>
  </si>
  <si>
    <t xml:space="preserve">プライムメゾン横浜ウエスト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</si>
  <si>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</si>
  <si>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SHR-127</t>
  </si>
  <si>
    <t xml:space="preserve">エスティメゾン妙典</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</si>
  <si>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R-139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</si>
  <si>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SHR-128</t>
  </si>
  <si>
    <t xml:space="preserve">エスティメゾン浦和</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</si>
  <si>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</si>
  <si>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SHR-129</t>
  </si>
  <si>
    <t xml:space="preserve">エスティメゾン西横浜</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</si>
  <si>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</si>
  <si>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SHR-130</t>
  </si>
  <si>
    <t xml:space="preserve">エスティメゾン大塚</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</si>
  <si>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</si>
  <si>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SHR-131</t>
  </si>
  <si>
    <t xml:space="preserve">エスティメゾン浦和Ⅱ</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</si>
  <si>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</si>
  <si>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SHR-132</t>
  </si>
  <si>
    <t xml:space="preserve">エスティメゾン川越</t>
  </si>
  <si>
    <t xml:space="preserve">川越市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</si>
  <si>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</si>
  <si>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SHR-133</t>
  </si>
  <si>
    <t xml:space="preserve">エスティメゾン八潮</t>
  </si>
  <si>
    <t xml:space="preserve">八潮市</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</si>
  <si>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</si>
  <si>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SHR-134</t>
  </si>
  <si>
    <t xml:space="preserve">エスティメゾン川崎ウエスト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</si>
  <si>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</si>
  <si>
    <t xml:space="preserve">SHR-135</t>
  </si>
  <si>
    <t xml:space="preserve">プライムメゾン用賀砧公園</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</si>
  <si>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R-147</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</si>
  <si>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SHR-136</t>
  </si>
  <si>
    <t xml:space="preserve">プライムメゾン蒲田</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</si>
  <si>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2026/1</t>
    </r>
    <r>
      <rPr>
        <sz val="10"/>
        <color rgb="FF0000FF"/>
        <rFont val="Noto Sans CJK SC"/>
        <family val="2"/>
      </rPr>
      <t xml:space="preserve">取得。</t>
    </r>
  </si>
  <si>
    <t xml:space="preserve">SHR-137</t>
  </si>
  <si>
    <t xml:space="preserve">プライムメゾン千葉新町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</si>
  <si>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R-149</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</si>
  <si>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SHR-138</t>
  </si>
  <si>
    <t xml:space="preserve">プライムメゾン入谷</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</si>
  <si>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R-150</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</si>
  <si>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SHR-139</t>
  </si>
  <si>
    <t xml:space="preserve">プライムメゾン清澄白河</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</si>
  <si>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2026/1</t>
    </r>
    <r>
      <rPr>
        <sz val="10"/>
        <color rgb="FF0000FF"/>
        <rFont val="Noto Sans CJK SC"/>
        <family val="2"/>
      </rPr>
      <t xml:space="preserve">取得。</t>
    </r>
  </si>
  <si>
    <t xml:space="preserve">SHR-140</t>
  </si>
  <si>
    <t xml:space="preserve">プライムメゾン日本橋馬喰町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</si>
  <si>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</si>
  <si>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SHR-141</t>
  </si>
  <si>
    <t xml:space="preserve">プライムメゾン清澄リバーフロント</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</si>
  <si>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t>
    </r>
    <r>
      <rPr>
        <sz val="10"/>
        <color rgb="FF0000FF"/>
        <rFont val="Noto Sans CJK SC"/>
        <family val="2"/>
      </rPr>
      <t xml:space="preserve">取得。</t>
    </r>
  </si>
  <si>
    <t xml:space="preserve">SHR-142</t>
  </si>
  <si>
    <t xml:space="preserve">エスティメゾン川口</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</si>
  <si>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R-154</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2026/3</t>
    </r>
    <r>
      <rPr>
        <sz val="10"/>
        <color rgb="FF0000FF"/>
        <rFont val="Noto Sans CJK SC"/>
        <family val="2"/>
      </rPr>
      <t xml:space="preserve">取得。</t>
    </r>
  </si>
  <si>
    <t xml:space="preserve">SHR-143</t>
  </si>
  <si>
    <t xml:space="preserve">エスティメゾン川崎本町</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</si>
  <si>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R-155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2026/3</t>
    </r>
    <r>
      <rPr>
        <sz val="10"/>
        <color rgb="FF0000FF"/>
        <rFont val="Noto Sans CJK SC"/>
        <family val="2"/>
      </rPr>
      <t xml:space="preserve">取得。</t>
    </r>
  </si>
  <si>
    <t xml:space="preserve">SHR-144</t>
  </si>
  <si>
    <t xml:space="preserve">ザ アイビー オン ボーレン</t>
  </si>
  <si>
    <t xml:space="preserve">米国</t>
  </si>
  <si>
    <t xml:space="preserve">シアトル</t>
  </si>
  <si>
    <t xml:space="preserve">海外（米国）</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</si>
  <si>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A-001</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。米国ワシントン州シアトル・</t>
    </r>
    <r>
      <rPr>
        <sz val="10"/>
        <color rgb="FF0000FF"/>
        <rFont val="Arial"/>
        <family val="0"/>
        <charset val="1"/>
      </rPr>
      <t xml:space="preserve">LLC2</t>
    </r>
    <r>
      <rPr>
        <sz val="10"/>
        <color rgb="FF0000FF"/>
        <rFont val="Noto Sans CJK SC"/>
        <family val="2"/>
      </rPr>
      <t xml:space="preserve">社</t>
    </r>
    <r>
      <rPr>
        <sz val="10"/>
        <color rgb="FF0000FF"/>
        <rFont val="Arial"/>
        <family val="0"/>
        <charset val="1"/>
      </rPr>
      <t xml:space="preserve">(SHR Boren Avenue Partners I/II)</t>
    </r>
    <r>
      <rPr>
        <sz val="10"/>
        <color rgb="FF0000FF"/>
        <rFont val="Noto Sans CJK SC"/>
        <family val="2"/>
      </rPr>
      <t xml:space="preserve">出資経由で保有</t>
    </r>
    <r>
      <rPr>
        <sz val="10"/>
        <color rgb="FF0000FF"/>
        <rFont val="Arial"/>
        <family val="0"/>
        <charset val="1"/>
      </rPr>
      <t xml:space="preserve">(328</t>
    </r>
    <r>
      <rPr>
        <sz val="10"/>
        <color rgb="FF0000FF"/>
        <rFont val="Noto Sans CJK SC"/>
        <family val="2"/>
      </rPr>
      <t xml:space="preserve">百万米ドル</t>
    </r>
    <r>
      <rPr>
        <sz val="10"/>
        <color rgb="FF0000FF"/>
        <rFont val="Arial"/>
        <family val="0"/>
        <charset val="1"/>
      </rPr>
      <t xml:space="preserve">)</t>
    </r>
    <r>
      <rPr>
        <sz val="10"/>
        <color rgb="FF0000FF"/>
        <rFont val="Noto Sans CJK SC"/>
        <family val="2"/>
      </rPr>
      <t xml:space="preserve">。専有部分</t>
    </r>
    <r>
      <rPr>
        <sz val="10"/>
        <color rgb="FF0000FF"/>
        <rFont val="Arial"/>
        <family val="0"/>
        <charset val="1"/>
      </rPr>
      <t xml:space="preserve">5-44F</t>
    </r>
    <r>
      <rPr>
        <sz val="10"/>
        <color rgb="FF0000FF"/>
        <rFont val="Noto Sans CJK SC"/>
        <family val="2"/>
      </rPr>
      <t xml:space="preserve">等・敷地持分</t>
    </r>
    <r>
      <rPr>
        <sz val="10"/>
        <color rgb="FF0000FF"/>
        <rFont val="Arial"/>
        <family val="0"/>
        <charset val="1"/>
      </rPr>
      <t xml:space="preserve">89.51%</t>
    </r>
    <r>
      <rPr>
        <sz val="10"/>
        <color rgb="FF0000FF"/>
        <rFont val="Noto Sans CJK SC"/>
        <family val="2"/>
      </rPr>
      <t xml:space="preserve">。テナント</t>
    </r>
    <r>
      <rPr>
        <sz val="10"/>
        <color rgb="FF0000FF"/>
        <rFont val="Arial"/>
        <family val="0"/>
        <charset val="1"/>
      </rPr>
      <t xml:space="preserve">393</t>
    </r>
    <r>
      <rPr>
        <sz val="10"/>
        <color rgb="FF0000FF"/>
        <rFont val="Noto Sans CJK SC"/>
        <family val="2"/>
      </rPr>
      <t xml:space="preserve">。期末算定</t>
    </r>
    <r>
      <rPr>
        <sz val="10"/>
        <color rgb="FF0000FF"/>
        <rFont val="Arial"/>
        <family val="0"/>
        <charset val="1"/>
      </rPr>
      <t xml:space="preserve">358</t>
    </r>
    <r>
      <rPr>
        <sz val="10"/>
        <color rgb="FF0000FF"/>
        <rFont val="Noto Sans CJK SC"/>
        <family val="2"/>
      </rPr>
      <t xml:space="preserve">百万米ドル</t>
    </r>
    <r>
      <rPr>
        <sz val="10"/>
        <color rgb="FF0000FF"/>
        <rFont val="Arial"/>
        <family val="0"/>
        <charset val="1"/>
      </rPr>
      <t xml:space="preserve">(1</t>
    </r>
    <r>
      <rPr>
        <sz val="10"/>
        <color rgb="FF0000FF"/>
        <rFont val="Noto Sans CJK SC"/>
        <family val="2"/>
      </rPr>
      <t xml:space="preserve">米ドル</t>
    </r>
    <r>
      <rPr>
        <sz val="10"/>
        <color rgb="FF0000FF"/>
        <rFont val="Arial"/>
        <family val="0"/>
        <charset val="1"/>
      </rPr>
      <t xml:space="preserve">=160.39</t>
    </r>
    <r>
      <rPr>
        <sz val="10"/>
        <color rgb="FF0000FF"/>
        <rFont val="Noto Sans CJK SC"/>
        <family val="2"/>
      </rPr>
      <t xml:space="preserve">円換算</t>
    </r>
    <r>
      <rPr>
        <sz val="10"/>
        <color rgb="FF0000FF"/>
        <rFont val="Arial"/>
        <family val="0"/>
        <charset val="1"/>
      </rPr>
      <t xml:space="preserve">)</t>
    </r>
    <r>
      <rPr>
        <sz val="10"/>
        <color rgb="FF0000FF"/>
        <rFont val="Noto Sans CJK SC"/>
        <family val="2"/>
      </rPr>
      <t xml:space="preserve">。</t>
    </r>
  </si>
  <si>
    <t xml:space="preserve">SHR-145</t>
  </si>
  <si>
    <t xml:space="preserve">シティ リッジ</t>
  </si>
  <si>
    <t xml:space="preserve">ワシントンD.C.</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</si>
  <si>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A-002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。米国ワシントン</t>
    </r>
    <r>
      <rPr>
        <sz val="10"/>
        <color rgb="FF0000FF"/>
        <rFont val="Arial"/>
        <family val="0"/>
        <charset val="1"/>
      </rPr>
      <t xml:space="preserve">D.C.</t>
    </r>
    <r>
      <rPr>
        <sz val="10"/>
        <color rgb="FF0000FF"/>
        <rFont val="Noto Sans CJK SC"/>
        <family val="2"/>
      </rPr>
      <t xml:space="preserve">・</t>
    </r>
    <r>
      <rPr>
        <sz val="10"/>
        <color rgb="FF0000FF"/>
        <rFont val="Arial"/>
        <family val="0"/>
        <charset val="1"/>
      </rPr>
      <t xml:space="preserve">LLC2</t>
    </r>
    <r>
      <rPr>
        <sz val="10"/>
        <color rgb="FF0000FF"/>
        <rFont val="Noto Sans CJK SC"/>
        <family val="2"/>
      </rPr>
      <t xml:space="preserve">社</t>
    </r>
    <r>
      <rPr>
        <sz val="10"/>
        <color rgb="FF0000FF"/>
        <rFont val="Arial"/>
        <family val="0"/>
        <charset val="1"/>
      </rPr>
      <t xml:space="preserve">(SHR Ridge Square Partners I/II)</t>
    </r>
    <r>
      <rPr>
        <sz val="10"/>
        <color rgb="FF0000FF"/>
        <rFont val="Noto Sans CJK SC"/>
        <family val="2"/>
      </rPr>
      <t xml:space="preserve">出資経由で保有</t>
    </r>
    <r>
      <rPr>
        <sz val="10"/>
        <color rgb="FF0000FF"/>
        <rFont val="Arial"/>
        <family val="0"/>
        <charset val="1"/>
      </rPr>
      <t xml:space="preserve">(578</t>
    </r>
    <r>
      <rPr>
        <sz val="10"/>
        <color rgb="FF0000FF"/>
        <rFont val="Noto Sans CJK SC"/>
        <family val="2"/>
      </rPr>
      <t xml:space="preserve">百万米ドル・</t>
    </r>
    <r>
      <rPr>
        <sz val="10"/>
        <color rgb="FF0000FF"/>
        <rFont val="Arial"/>
        <family val="0"/>
        <charset val="1"/>
      </rPr>
      <t xml:space="preserve">2024/11</t>
    </r>
    <r>
      <rPr>
        <sz val="10"/>
        <color rgb="FF0000FF"/>
        <rFont val="Noto Sans CJK SC"/>
        <family val="2"/>
      </rPr>
      <t xml:space="preserve">と</t>
    </r>
    <r>
      <rPr>
        <sz val="10"/>
        <color rgb="FF0000FF"/>
        <rFont val="Arial"/>
        <family val="0"/>
        <charset val="1"/>
      </rPr>
      <t xml:space="preserve">2025/6</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6</t>
    </r>
    <r>
      <rPr>
        <sz val="10"/>
        <color rgb="FF0000FF"/>
        <rFont val="Noto Sans CJK SC"/>
        <family val="2"/>
      </rPr>
      <t xml:space="preserve">棟の住居専有部分</t>
    </r>
    <r>
      <rPr>
        <sz val="10"/>
        <color rgb="FF0000FF"/>
        <rFont val="Arial"/>
        <family val="0"/>
        <charset val="1"/>
      </rPr>
      <t xml:space="preserve">+</t>
    </r>
    <r>
      <rPr>
        <sz val="10"/>
        <color rgb="FF0000FF"/>
        <rFont val="Noto Sans CJK SC"/>
        <family val="2"/>
      </rPr>
      <t xml:space="preserve">入居者用地下駐車場。テナント</t>
    </r>
    <r>
      <rPr>
        <sz val="10"/>
        <color rgb="FF0000FF"/>
        <rFont val="Arial"/>
        <family val="0"/>
        <charset val="1"/>
      </rPr>
      <t xml:space="preserve">640</t>
    </r>
    <r>
      <rPr>
        <sz val="10"/>
        <color rgb="FF0000FF"/>
        <rFont val="Noto Sans CJK SC"/>
        <family val="2"/>
      </rPr>
      <t xml:space="preserve">。期末算定</t>
    </r>
    <r>
      <rPr>
        <sz val="10"/>
        <color rgb="FF0000FF"/>
        <rFont val="Arial"/>
        <family val="0"/>
        <charset val="1"/>
      </rPr>
      <t xml:space="preserve">598</t>
    </r>
    <r>
      <rPr>
        <sz val="10"/>
        <color rgb="FF0000FF"/>
        <rFont val="Noto Sans CJK SC"/>
        <family val="2"/>
      </rPr>
      <t xml:space="preserve">百万米ドル。</t>
    </r>
  </si>
  <si>
    <t xml:space="preserve">SHR-146</t>
  </si>
  <si>
    <t xml:space="preserve">御殿山ＳＨビル</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</si>
  <si>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O-002</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2023/3/29</t>
    </r>
    <r>
      <rPr>
        <sz val="10"/>
        <color rgb="FF0000FF"/>
        <rFont val="Noto Sans CJK SC"/>
        <family val="2"/>
      </rPr>
      <t xml:space="preserve">契約により</t>
    </r>
    <r>
      <rPr>
        <sz val="10"/>
        <color rgb="FF0000FF"/>
        <rFont val="Arial"/>
        <family val="0"/>
        <charset val="1"/>
      </rPr>
      <t xml:space="preserve">10</t>
    </r>
    <r>
      <rPr>
        <sz val="10"/>
        <color rgb="FF0000FF"/>
        <rFont val="Noto Sans CJK SC"/>
        <family val="2"/>
      </rPr>
      <t xml:space="preserve">回均等分割譲渡中</t>
    </r>
    <r>
      <rPr>
        <sz val="10"/>
        <color rgb="FF0000FF"/>
        <rFont val="Arial"/>
        <family val="0"/>
        <charset val="1"/>
      </rPr>
      <t xml:space="preserve">(TIS</t>
    </r>
    <r>
      <rPr>
        <sz val="10"/>
        <color rgb="FF0000FF"/>
        <rFont val="Noto Sans CJK SC"/>
        <family val="2"/>
      </rPr>
      <t xml:space="preserve">株式会社へ・総額</t>
    </r>
    <r>
      <rPr>
        <sz val="10"/>
        <color rgb="FF0000FF"/>
        <rFont val="Arial"/>
        <family val="0"/>
        <charset val="1"/>
      </rPr>
      <t xml:space="preserve">70,000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6</t>
    </r>
    <r>
      <rPr>
        <sz val="10"/>
        <color rgb="FF0000FF"/>
        <rFont val="Noto Sans CJK SC"/>
        <family val="2"/>
      </rPr>
      <t xml:space="preserve">回まで実施済</t>
    </r>
    <r>
      <rPr>
        <sz val="10"/>
        <color rgb="FF0000FF"/>
        <rFont val="Arial"/>
        <family val="0"/>
        <charset val="1"/>
      </rPr>
      <t xml:space="preserve">=</t>
    </r>
    <r>
      <rPr>
        <sz val="10"/>
        <color rgb="FF0000FF"/>
        <rFont val="Noto Sans CJK SC"/>
        <family val="2"/>
      </rPr>
      <t xml:space="preserve">準共有持分</t>
    </r>
    <r>
      <rPr>
        <sz val="10"/>
        <color rgb="FF0000FF"/>
        <rFont val="Arial"/>
        <family val="0"/>
        <charset val="1"/>
      </rPr>
      <t xml:space="preserve">60%</t>
    </r>
    <r>
      <rPr>
        <sz val="10"/>
        <color rgb="FF0000FF"/>
        <rFont val="Noto Sans CJK SC"/>
        <family val="2"/>
      </rPr>
      <t xml:space="preserve">譲渡済・残</t>
    </r>
    <r>
      <rPr>
        <sz val="10"/>
        <color rgb="FF0000FF"/>
        <rFont val="Arial"/>
        <family val="0"/>
        <charset val="1"/>
      </rPr>
      <t xml:space="preserve">40%</t>
    </r>
    <r>
      <rPr>
        <sz val="10"/>
        <color rgb="FF0000FF"/>
        <rFont val="Noto Sans CJK SC"/>
        <family val="2"/>
      </rPr>
      <t xml:space="preserve">保有</t>
    </r>
    <r>
      <rPr>
        <sz val="10"/>
        <color rgb="FF0000FF"/>
        <rFont val="Arial"/>
        <family val="0"/>
        <charset val="1"/>
      </rPr>
      <t xml:space="preserve">(</t>
    </r>
    <r>
      <rPr>
        <sz val="10"/>
        <color rgb="FF0000FF"/>
        <rFont val="Noto Sans CJK SC"/>
        <family val="2"/>
      </rPr>
      <t xml:space="preserve">帳簿・算定・</t>
    </r>
    <r>
      <rPr>
        <sz val="10"/>
        <color rgb="FF0000FF"/>
        <rFont val="Arial"/>
        <family val="0"/>
        <charset val="1"/>
      </rPr>
      <t xml:space="preserve">NLA</t>
    </r>
    <r>
      <rPr>
        <sz val="10"/>
        <color rgb="FF0000FF"/>
        <rFont val="Noto Sans CJK SC"/>
        <family val="2"/>
      </rPr>
      <t xml:space="preserve">は保有持分対応</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7-10</t>
    </r>
    <r>
      <rPr>
        <sz val="10"/>
        <color rgb="FF0000FF"/>
        <rFont val="Noto Sans CJK SC"/>
        <family val="2"/>
      </rPr>
      <t xml:space="preserve">回</t>
    </r>
    <r>
      <rPr>
        <sz val="10"/>
        <color rgb="FF0000FF"/>
        <rFont val="Arial"/>
        <family val="0"/>
        <charset val="1"/>
      </rPr>
      <t xml:space="preserve">(2026/10</t>
    </r>
    <r>
      <rPr>
        <sz val="10"/>
        <color rgb="FF0000FF"/>
        <rFont val="Noto Sans CJK SC"/>
        <family val="2"/>
      </rPr>
      <t xml:space="preserve">末</t>
    </r>
    <r>
      <rPr>
        <sz val="10"/>
        <color rgb="FF0000FF"/>
        <rFont val="Arial"/>
        <family val="0"/>
        <charset val="1"/>
      </rPr>
      <t xml:space="preserve">-2028/4</t>
    </r>
    <r>
      <rPr>
        <sz val="10"/>
        <color rgb="FF0000FF"/>
        <rFont val="Noto Sans CJK SC"/>
        <family val="2"/>
      </rPr>
      <t xml:space="preserve">末</t>
    </r>
    <r>
      <rPr>
        <sz val="10"/>
        <color rgb="FF0000FF"/>
        <rFont val="Arial"/>
        <family val="0"/>
        <charset val="1"/>
      </rPr>
      <t xml:space="preserve">)</t>
    </r>
    <r>
      <rPr>
        <sz val="10"/>
        <color rgb="FF0000FF"/>
        <rFont val="Noto Sans CJK SC"/>
        <family val="2"/>
      </rPr>
      <t xml:space="preserve">で各</t>
    </r>
    <r>
      <rPr>
        <sz val="10"/>
        <color rgb="FF0000FF"/>
        <rFont val="Arial"/>
        <family val="0"/>
        <charset val="1"/>
      </rPr>
      <t xml:space="preserve">7,000</t>
    </r>
    <r>
      <rPr>
        <sz val="10"/>
        <color rgb="FF0000FF"/>
        <rFont val="Noto Sans CJK SC"/>
        <family val="2"/>
      </rPr>
      <t xml:space="preserve">百万円・売却益</t>
    </r>
    <r>
      <rPr>
        <sz val="10"/>
        <color rgb="FF0000FF"/>
        <rFont val="Arial"/>
        <family val="0"/>
        <charset val="1"/>
      </rPr>
      <t xml:space="preserve">2,154/2,168/2,182/2,194</t>
    </r>
    <r>
      <rPr>
        <sz val="10"/>
        <color rgb="FF0000FF"/>
        <rFont val="Noto Sans CJK SC"/>
        <family val="2"/>
      </rPr>
      <t xml:space="preserve">百万円計上見込。</t>
    </r>
  </si>
  <si>
    <t xml:space="preserve">SHR-147</t>
  </si>
  <si>
    <t xml:space="preserve">本町南ガーデンシティ</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</si>
  <si>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O-003</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。積水ハウス本社ビル</t>
    </r>
    <r>
      <rPr>
        <sz val="10"/>
        <color rgb="FF0000FF"/>
        <rFont val="Arial"/>
        <family val="0"/>
        <charset val="1"/>
      </rPr>
      <t xml:space="preserve">(</t>
    </r>
    <r>
      <rPr>
        <sz val="10"/>
        <color rgb="FF0000FF"/>
        <rFont val="Noto Sans CJK SC"/>
        <family val="2"/>
      </rPr>
      <t xml:space="preserve">賃料固定型</t>
    </r>
    <r>
      <rPr>
        <sz val="10"/>
        <color rgb="FF0000FF"/>
        <rFont val="Arial"/>
        <family val="0"/>
        <charset val="1"/>
      </rPr>
      <t xml:space="preserve">ML</t>
    </r>
    <r>
      <rPr>
        <sz val="10"/>
        <color rgb="FF0000FF"/>
        <rFont val="Noto Sans CJK SC"/>
        <family val="2"/>
      </rPr>
      <t xml:space="preserve">・</t>
    </r>
    <r>
      <rPr>
        <sz val="10"/>
        <color rgb="FF0000FF"/>
        <rFont val="Arial"/>
        <family val="0"/>
        <charset val="1"/>
      </rPr>
      <t xml:space="preserve">2026/12</t>
    </r>
    <r>
      <rPr>
        <sz val="10"/>
        <color rgb="FF0000FF"/>
        <rFont val="Noto Sans CJK SC"/>
        <family val="2"/>
      </rPr>
      <t xml:space="preserve">満了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SHR</t>
    </r>
    <r>
      <rPr>
        <sz val="10"/>
        <color rgb="FF0000FF"/>
        <rFont val="Noto Sans CJK SC"/>
        <family val="2"/>
      </rPr>
      <t xml:space="preserve">最大収益物件</t>
    </r>
    <r>
      <rPr>
        <sz val="10"/>
        <color rgb="FF0000FF"/>
        <rFont val="Arial"/>
        <family val="0"/>
        <charset val="1"/>
      </rPr>
      <t xml:space="preserve">(</t>
    </r>
    <r>
      <rPr>
        <sz val="10"/>
        <color rgb="FF0000FF"/>
        <rFont val="Noto Sans CJK SC"/>
        <family val="2"/>
      </rPr>
      <t xml:space="preserve">総収益の</t>
    </r>
    <r>
      <rPr>
        <sz val="10"/>
        <color rgb="FF0000FF"/>
        <rFont val="Arial"/>
        <family val="0"/>
        <charset val="1"/>
      </rPr>
      <t xml:space="preserve">10.1%)</t>
    </r>
    <r>
      <rPr>
        <sz val="10"/>
        <color rgb="FF0000FF"/>
        <rFont val="Noto Sans CJK SC"/>
        <family val="2"/>
      </rPr>
      <t xml:space="preserve">・主要な不動産に該当。パススルー型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17)</t>
    </r>
    <r>
      <rPr>
        <sz val="10"/>
        <color rgb="FF0000FF"/>
        <rFont val="Noto Sans CJK SC"/>
        <family val="2"/>
      </rPr>
      <t xml:space="preserve">。</t>
    </r>
  </si>
  <si>
    <t xml:space="preserve">SHR-148</t>
  </si>
  <si>
    <t xml:space="preserve">ＨＫ淀屋橋ガーデンアベニュー</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</si>
  <si>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O-005</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。区分所有権</t>
    </r>
    <r>
      <rPr>
        <sz val="10"/>
        <color rgb="FF0000FF"/>
        <rFont val="Arial"/>
        <family val="0"/>
        <charset val="1"/>
      </rPr>
      <t xml:space="preserve">(1-6F</t>
    </r>
    <r>
      <rPr>
        <sz val="10"/>
        <color rgb="FF0000FF"/>
        <rFont val="Noto Sans CJK SC"/>
        <family val="2"/>
      </rPr>
      <t xml:space="preserve">・敷地権割合約</t>
    </r>
    <r>
      <rPr>
        <sz val="10"/>
        <color rgb="FF0000FF"/>
        <rFont val="Arial"/>
        <family val="0"/>
        <charset val="1"/>
      </rPr>
      <t xml:space="preserve">40.6%)</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7)</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7)</t>
    </r>
    <r>
      <rPr>
        <sz val="10"/>
        <color rgb="FF0000FF"/>
        <rFont val="Noto Sans CJK SC"/>
        <family val="2"/>
      </rPr>
      <t xml:space="preserve">。</t>
    </r>
  </si>
  <si>
    <t xml:space="preserve">SHR-149</t>
  </si>
  <si>
    <t xml:space="preserve">広小路ガーデンアベニュー</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</si>
  <si>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O-006</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8)</t>
    </r>
    <r>
      <rPr>
        <sz val="10"/>
        <color rgb="FF0000FF"/>
        <rFont val="Noto Sans CJK SC"/>
        <family val="2"/>
      </rPr>
      <t xml:space="preserve">。パススルー型</t>
    </r>
    <r>
      <rPr>
        <sz val="10"/>
        <color rgb="FF0000FF"/>
        <rFont val="Arial"/>
        <family val="0"/>
        <charset val="1"/>
      </rPr>
      <t xml:space="preserve">ML(</t>
    </r>
    <r>
      <rPr>
        <sz val="10"/>
        <color rgb="FF0000FF"/>
        <rFont val="Noto Sans CJK SC"/>
        <family val="2"/>
      </rPr>
      <t xml:space="preserve">エンドテナント</t>
    </r>
    <r>
      <rPr>
        <sz val="10"/>
        <color rgb="FF0000FF"/>
        <rFont val="Arial"/>
        <family val="0"/>
        <charset val="1"/>
      </rPr>
      <t xml:space="preserve">8)</t>
    </r>
    <r>
      <rPr>
        <sz val="10"/>
        <color rgb="FF0000FF"/>
        <rFont val="Noto Sans CJK SC"/>
        <family val="2"/>
      </rPr>
      <t xml:space="preserve">。</t>
    </r>
  </si>
  <si>
    <t xml:space="preserve">SHR-150</t>
  </si>
  <si>
    <t xml:space="preserve">新宿ヒロセビル</t>
  </si>
  <si>
    <r>
      <rPr>
        <sz val="10"/>
        <color rgb="FF0000FF"/>
        <rFont val="Arial"/>
        <family val="0"/>
        <charset val="1"/>
      </rPr>
      <t xml:space="preserve">SHR</t>
    </r>
    <r>
      <rPr>
        <sz val="10"/>
        <color rgb="FF0000FF"/>
        <rFont val="Noto Sans CJK SC"/>
        <family val="2"/>
      </rPr>
      <t xml:space="preserve">物件番号</t>
    </r>
    <r>
      <rPr>
        <sz val="10"/>
        <color rgb="FF0000FF"/>
        <rFont val="Arial"/>
        <family val="0"/>
        <charset val="1"/>
      </rPr>
      <t xml:space="preserve">O-008</t>
    </r>
    <r>
      <rPr>
        <sz val="10"/>
        <color rgb="FF0000FF"/>
        <rFont val="Noto Sans CJK SC"/>
        <family val="2"/>
      </rPr>
      <t xml:space="preserve">。全物件で積水ハウスグループ等とのマスターリース契約</t>
    </r>
    <r>
      <rPr>
        <sz val="10"/>
        <color rgb="FF0000FF"/>
        <rFont val="Arial"/>
        <family val="0"/>
        <charset val="1"/>
      </rPr>
      <t xml:space="preserve">(</t>
    </r>
    <r>
      <rPr>
        <sz val="10"/>
        <color rgb="FF0000FF"/>
        <rFont val="Noto Sans CJK SC"/>
        <family val="2"/>
      </rPr>
      <t xml:space="preserve">国内住居はテナント</t>
    </r>
    <r>
      <rPr>
        <sz val="10"/>
        <color rgb="FF0000FF"/>
        <rFont val="Arial"/>
        <family val="0"/>
        <charset val="1"/>
      </rPr>
      <t xml:space="preserve">1=ML</t>
    </r>
    <r>
      <rPr>
        <sz val="10"/>
        <color rgb="FF0000FF"/>
        <rFont val="Noto Sans CJK SC"/>
        <family val="2"/>
      </rPr>
      <t xml:space="preserve">会社</t>
    </r>
    <r>
      <rPr>
        <sz val="10"/>
        <color rgb="FF0000FF"/>
        <rFont val="Arial"/>
        <family val="0"/>
        <charset val="1"/>
      </rPr>
      <t xml:space="preserve">)</t>
    </r>
    <r>
      <rPr>
        <sz val="10"/>
        <color rgb="FF0000FF"/>
        <rFont val="Noto Sans CJK SC"/>
        <family val="2"/>
      </rPr>
      <t xml:space="preserve">。物件別の千円単位個別収支</t>
    </r>
    <r>
      <rPr>
        <sz val="10"/>
        <color rgb="FF0000FF"/>
        <rFont val="Arial"/>
        <family val="0"/>
        <charset val="1"/>
      </rPr>
      <t xml:space="preserve">(</t>
    </r>
    <r>
      <rPr>
        <sz val="10"/>
        <color rgb="FF0000FF"/>
        <rFont val="Noto Sans CJK SC"/>
        <family val="2"/>
      </rPr>
      <t xml:space="preserve">費用内訳含む</t>
    </r>
    <r>
      <rPr>
        <sz val="10"/>
        <color rgb="FF0000FF"/>
        <rFont val="Arial"/>
        <family val="0"/>
        <charset val="1"/>
      </rPr>
      <t xml:space="preserve">)</t>
    </r>
    <r>
      <rPr>
        <sz val="10"/>
        <color rgb="FF0000FF"/>
        <rFont val="Noto Sans CJK SC"/>
        <family val="2"/>
      </rPr>
      <t xml:space="preserve">が短信</t>
    </r>
    <r>
      <rPr>
        <sz val="10"/>
        <color rgb="FF0000FF"/>
        <rFont val="Arial"/>
        <family val="0"/>
        <charset val="1"/>
      </rPr>
      <t xml:space="preserve">p.72</t>
    </r>
    <r>
      <rPr>
        <sz val="10"/>
        <color rgb="FF0000FF"/>
        <rFont val="Noto Sans CJK SC"/>
        <family val="2"/>
      </rPr>
      <t xml:space="preserve">以降に開示あり</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t>
    </r>
    <r>
      <rPr>
        <sz val="10"/>
        <color rgb="FF0000FF"/>
        <rFont val="Noto Sans CJK SC"/>
        <family val="2"/>
      </rPr>
      <t xml:space="preserve">は賃貸借状況表の収益</t>
    </r>
    <r>
      <rPr>
        <sz val="10"/>
        <color rgb="FF0000FF"/>
        <rFont val="Arial"/>
        <family val="0"/>
        <charset val="1"/>
      </rPr>
      <t xml:space="preserve">(</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を収録・将来精緻化候補</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2023/12</t>
    </r>
    <r>
      <rPr>
        <sz val="10"/>
        <color rgb="FF0000FF"/>
        <rFont val="Noto Sans CJK SC"/>
        <family val="2"/>
      </rPr>
      <t xml:space="preserve">取得・テナント</t>
    </r>
    <r>
      <rPr>
        <sz val="10"/>
        <color rgb="FF0000FF"/>
        <rFont val="Arial"/>
        <family val="0"/>
        <charset val="1"/>
      </rPr>
      <t xml:space="preserve">3</t>
    </r>
    <r>
      <rPr>
        <sz val="10"/>
        <color rgb="FF0000FF"/>
        <rFont val="Noto Sans CJK SC"/>
        <family val="2"/>
      </rPr>
      <t xml:space="preserve">。ポートフォリオ最古</t>
    </r>
    <r>
      <rPr>
        <sz val="10"/>
        <color rgb="FF0000FF"/>
        <rFont val="Arial"/>
        <family val="0"/>
        <charset val="1"/>
      </rPr>
      <t xml:space="preserve">(1985</t>
    </r>
    <r>
      <rPr>
        <sz val="10"/>
        <color rgb="FF0000FF"/>
        <rFont val="Noto Sans CJK SC"/>
        <family val="2"/>
      </rPr>
      <t xml:space="preserve">年竣工</t>
    </r>
    <r>
      <rPr>
        <sz val="10"/>
        <color rgb="FF0000FF"/>
        <rFont val="Arial"/>
        <family val="0"/>
        <charset val="1"/>
      </rPr>
      <t xml:space="preserve">)</t>
    </r>
    <r>
      <rPr>
        <sz val="10"/>
        <color rgb="FF0000FF"/>
        <rFont val="Noto Sans CJK SC"/>
        <family val="2"/>
      </rPr>
      <t xml:space="preserve">。</t>
    </r>
  </si>
  <si>
    <t xml:space="preserve">SHR-ALL</t>
  </si>
  <si>
    <t xml:space="preserve">【SHRポートフォリオ全体】</t>
  </si>
  <si>
    <t xml:space="preserve">住宅・オフィス複合</t>
  </si>
  <si>
    <r>
      <rPr>
        <sz val="10"/>
        <color rgb="FF0000FF"/>
        <rFont val="Arial"/>
        <family val="0"/>
        <charset val="1"/>
      </rPr>
      <t xml:space="preserve">138</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時点・国内信託</t>
    </r>
    <r>
      <rPr>
        <sz val="10"/>
        <color rgb="FF0000FF"/>
        <rFont val="Arial"/>
        <family val="0"/>
        <charset val="1"/>
      </rPr>
      <t xml:space="preserve">136+</t>
    </r>
    <r>
      <rPr>
        <sz val="10"/>
        <color rgb="FF0000FF"/>
        <rFont val="Noto Sans CJK SC"/>
        <family val="2"/>
      </rPr>
      <t xml:space="preserve">米国</t>
    </r>
    <r>
      <rPr>
        <sz val="10"/>
        <color rgb="FF0000FF"/>
        <rFont val="Arial"/>
        <family val="0"/>
        <charset val="1"/>
      </rPr>
      <t xml:space="preserve">LLC</t>
    </r>
    <r>
      <rPr>
        <sz val="10"/>
        <color rgb="FF0000FF"/>
        <rFont val="Noto Sans CJK SC"/>
        <family val="2"/>
      </rPr>
      <t xml:space="preserve">出資</t>
    </r>
    <r>
      <rPr>
        <sz val="10"/>
        <color rgb="FF0000FF"/>
        <rFont val="Arial"/>
        <family val="0"/>
        <charset val="1"/>
      </rPr>
      <t xml:space="preserve">2</t>
    </r>
    <r>
      <rPr>
        <sz val="10"/>
        <color rgb="FF0000FF"/>
        <rFont val="Noto Sans CJK SC"/>
        <family val="2"/>
      </rPr>
      <t xml:space="preserve">）</t>
    </r>
  </si>
  <si>
    <t xml:space="preserve">積水ハウススポンサーの住居特化型(居住用85.7%・商業用14.3%)。取得価格合計561,102百万円(国内住居344,894+米国住居135,857+オフィス80,350)。米国2物件(ザ アイビー オン ボーレン/シティ リッジ)はLLC4社への出資(関係会社出資金137,936百万円)を通じた保有で、賃貸収支は受取配当金1,752,924千円として営業収益計上(賃貸収支外)。【原資料の切捨て表示に関する注記】物件別帳簿(百万円未満切捨て)の合算は国内住居-57/オフィス-2百万円小計欄比で小さい(全131/5物件が千円端数を持つ切捨て累積・a表全数機械照合で個別合算337,879 vs 小計337,936を確認)。取得価格・期末算定価額・NLAは全用途で完全一致。物件別収益(百万円切捨て)の150行合算も一括比-71百万円(同)。期末稼働96.2%(国内住居96.2%/米国94.2%/オフィス100.0%)。当期入替: 2026/1/29に住居12物件をLJPF合同会社へ一括譲渡(譲渡収入25,200百万円・売却益5,592,274千円、個別価格非開示)、御殿山SHビル第6回10%譲渡(7,000百万円・売却益2,141,445千円)、住居9物件取得(プライムメゾン用賀砧公園・蒲田・千葉新町・入谷・清澄白河・日本橋馬喰町・清澄リバーフロント、エスティメゾン川口・川崎本町)。御殿山SHビルは2023/3契約の10回分割譲渡(総額70,000百万円・TIS株式会社へ)が第6回まで完了し残40%(第7-10回は2026/10〜2028/4に各7,000百万円・売却益2,154/2,168/2,182/2,194百万円見込)。期後: プライムメゾン錦糸町取得決定(2026/7/1・4,270百万円・墨田区)。PML2.7%(ポートフォリオ全体)。テナント: 積水ハウスシャーメゾンPM東京(賃貸面積39.3%)・長谷工ライブネット(11.6%)等のML。本町南ガーデンシティ(積水ハウス本社・総収益10.1%)が主要な不動産</t>
  </si>
  <si>
    <t xml:space="preserve">HFR-001</t>
  </si>
  <si>
    <t xml:space="preserve">水天宮平和ビル</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</si>
  <si>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</si>
  <si>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Of-05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</si>
  <si>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HFR-002</t>
  </si>
  <si>
    <t xml:space="preserve">ＨＦ門前仲町ビルディング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</si>
  <si>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Of-06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</si>
  <si>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HFR-003</t>
  </si>
  <si>
    <t xml:space="preserve">ＨＦ溜池ビルディング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</si>
  <si>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Of-08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</si>
  <si>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HFR-004</t>
  </si>
  <si>
    <t xml:space="preserve">ＨＦ日本橋大伝馬町ビルディング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</si>
  <si>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</si>
  <si>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HFR-005</t>
  </si>
  <si>
    <t xml:space="preserve">ＨＦ八丁堀ビルディング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</si>
  <si>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</si>
  <si>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HFR-006</t>
  </si>
  <si>
    <t xml:space="preserve">八丁堀ＭＦビル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</si>
  <si>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</si>
  <si>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HFR-007</t>
  </si>
  <si>
    <t xml:space="preserve">エムズ原宿</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</si>
  <si>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Of-18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</si>
  <si>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HFR-008</t>
  </si>
  <si>
    <t xml:space="preserve">船橋Ｆａｃｅビル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</si>
  <si>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r>
      <rPr>
        <sz val="10"/>
        <color rgb="FF0000FF"/>
        <rFont val="Arial"/>
        <family val="0"/>
        <charset val="1"/>
      </rPr>
      <t xml:space="preserve">(</t>
    </r>
    <r>
      <rPr>
        <sz val="10"/>
        <color rgb="FF0000FF"/>
        <rFont val="Noto Sans CJK SC"/>
        <family val="2"/>
      </rPr>
      <t xml:space="preserve">専有面積割合</t>
    </r>
    <r>
      <rPr>
        <sz val="10"/>
        <color rgb="FF0000FF"/>
        <rFont val="Arial"/>
        <family val="0"/>
        <charset val="1"/>
      </rPr>
      <t xml:space="preserve">9.14%)</t>
    </r>
    <r>
      <rPr>
        <sz val="10"/>
        <color rgb="FF0000FF"/>
        <rFont val="Noto Sans CJK SC"/>
        <family val="2"/>
      </rPr>
      <t xml:space="preserve">。</t>
    </r>
  </si>
  <si>
    <t xml:space="preserve">HFR-009</t>
  </si>
  <si>
    <t xml:space="preserve">アデッソ西麻布</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</si>
  <si>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</si>
  <si>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HFR-010</t>
  </si>
  <si>
    <t xml:space="preserve">ＨＦ池袋ビルディング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</si>
  <si>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</si>
  <si>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HFR-011</t>
  </si>
  <si>
    <t xml:space="preserve">ＨＦ湯島ビルディング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</si>
  <si>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</si>
  <si>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HFR-012</t>
  </si>
  <si>
    <t xml:space="preserve">茅場町平和ビル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</si>
  <si>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7,790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1.6</t>
    </r>
    <r>
      <rPr>
        <sz val="10"/>
        <color rgb="FF0000FF"/>
        <rFont val="Noto Sans CJK SC"/>
        <family val="2"/>
      </rPr>
      <t xml:space="preserve">倍。</t>
    </r>
  </si>
  <si>
    <t xml:space="preserve">HFR-013</t>
  </si>
  <si>
    <t xml:space="preserve">神戸旧居留地平和ビル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</si>
  <si>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</si>
  <si>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HFR-014</t>
  </si>
  <si>
    <t xml:space="preserve">栄ミナミ平和ビル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</si>
  <si>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Of-29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</si>
  <si>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HFR-015</t>
  </si>
  <si>
    <t xml:space="preserve">ＨＦ桜通ビルディング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</si>
  <si>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</si>
  <si>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HFR-016</t>
  </si>
  <si>
    <t xml:space="preserve">ＨＦ仙台本町ビルディング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</si>
  <si>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</si>
  <si>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HFR-017</t>
  </si>
  <si>
    <t xml:space="preserve">ＨＦ上野ビルディング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</si>
  <si>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</si>
  <si>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HFR-018</t>
  </si>
  <si>
    <t xml:space="preserve">ＨＦ九段南ビルディング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</si>
  <si>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</si>
  <si>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HFR-019</t>
  </si>
  <si>
    <t xml:space="preserve">ＨＦ神田小川町ビルディング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</si>
  <si>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</si>
  <si>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HFR-020</t>
  </si>
  <si>
    <t xml:space="preserve">日総第５ビル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</si>
  <si>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2026/7/31</t>
    </r>
    <r>
      <rPr>
        <sz val="10"/>
        <color rgb="FF0000FF"/>
        <rFont val="Noto Sans CJK SC"/>
        <family val="2"/>
      </rPr>
      <t xml:space="preserve">付で「ＳＤ５ビル」へ名称変更。</t>
    </r>
  </si>
  <si>
    <t xml:space="preserve">HFR-021</t>
  </si>
  <si>
    <t xml:space="preserve">アクロス新川ビル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</si>
  <si>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r>
      <rPr>
        <sz val="10"/>
        <color rgb="FF0000FF"/>
        <rFont val="Arial"/>
        <family val="0"/>
        <charset val="1"/>
      </rPr>
      <t xml:space="preserve">(</t>
    </r>
    <r>
      <rPr>
        <sz val="10"/>
        <color rgb="FF0000FF"/>
        <rFont val="Noto Sans CJK SC"/>
        <family val="2"/>
      </rPr>
      <t xml:space="preserve">専有面積割合</t>
    </r>
    <r>
      <rPr>
        <sz val="10"/>
        <color rgb="FF0000FF"/>
        <rFont val="Arial"/>
        <family val="0"/>
        <charset val="1"/>
      </rPr>
      <t xml:space="preserve">34.51%)</t>
    </r>
    <r>
      <rPr>
        <sz val="10"/>
        <color rgb="FF0000FF"/>
        <rFont val="Noto Sans CJK SC"/>
        <family val="2"/>
      </rPr>
      <t xml:space="preserve">。</t>
    </r>
  </si>
  <si>
    <t xml:space="preserve">HFR-022</t>
  </si>
  <si>
    <t xml:space="preserve">千住ミルディスⅡ番館</t>
  </si>
  <si>
    <t xml:space="preserve">足立区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</si>
  <si>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Of-39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</si>
  <si>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HFR-023</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</si>
  <si>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30%(30-31</t>
    </r>
    <r>
      <rPr>
        <sz val="10"/>
        <color rgb="FF0000FF"/>
        <rFont val="Noto Sans CJK SC"/>
        <family val="2"/>
      </rPr>
      <t xml:space="preserve">階の区分所有権</t>
    </r>
    <r>
      <rPr>
        <sz val="10"/>
        <color rgb="FF0000FF"/>
        <rFont val="Arial"/>
        <family val="0"/>
        <charset val="1"/>
      </rPr>
      <t xml:space="preserve">)</t>
    </r>
    <r>
      <rPr>
        <sz val="10"/>
        <color rgb="FF0000FF"/>
        <rFont val="Noto Sans CJK SC"/>
        <family val="2"/>
      </rPr>
      <t xml:space="preserve">。賃貸事業収入は</t>
    </r>
    <r>
      <rPr>
        <sz val="10"/>
        <color rgb="FF0000FF"/>
        <rFont val="Arial"/>
        <family val="0"/>
        <charset val="1"/>
      </rPr>
      <t xml:space="preserve">ML</t>
    </r>
    <r>
      <rPr>
        <sz val="10"/>
        <color rgb="FF0000FF"/>
        <rFont val="Noto Sans CJK SC"/>
        <family val="2"/>
      </rPr>
      <t xml:space="preserve">会社兼</t>
    </r>
    <r>
      <rPr>
        <sz val="10"/>
        <color rgb="FF0000FF"/>
        <rFont val="Arial"/>
        <family val="0"/>
        <charset val="1"/>
      </rPr>
      <t xml:space="preserve">PM</t>
    </r>
    <r>
      <rPr>
        <sz val="10"/>
        <color rgb="FF0000FF"/>
        <rFont val="Noto Sans CJK SC"/>
        <family val="2"/>
      </rPr>
      <t xml:space="preserve">会社の同意が得られず非開示。</t>
    </r>
  </si>
  <si>
    <t xml:space="preserve">HFR-024</t>
  </si>
  <si>
    <t xml:space="preserve">日本橋堀留町ファースト</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</si>
  <si>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</si>
  <si>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HFR-025</t>
  </si>
  <si>
    <t xml:space="preserve">サザンスカイタワー八王子</t>
  </si>
  <si>
    <t xml:space="preserve">八王子市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</si>
  <si>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</si>
  <si>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HFR-026</t>
  </si>
  <si>
    <t xml:space="preserve">浜町平和ビル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</si>
  <si>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</si>
  <si>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HFR-027</t>
  </si>
  <si>
    <t xml:space="preserve">錦糸町スクエアビル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</si>
  <si>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</si>
  <si>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HFR-028</t>
  </si>
  <si>
    <t xml:space="preserve">ＨＦ日本橋兜町ビルディング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</si>
  <si>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</si>
  <si>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HFR-029</t>
  </si>
  <si>
    <t xml:space="preserve">ＨＦ仙台一番町ビルディング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</si>
  <si>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</si>
  <si>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HFR-030</t>
  </si>
  <si>
    <t xml:space="preserve">大崎ＣＮビル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</si>
  <si>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。共有持分</t>
    </r>
    <r>
      <rPr>
        <sz val="10"/>
        <color rgb="FF0000FF"/>
        <rFont val="Arial"/>
        <family val="0"/>
        <charset val="1"/>
      </rPr>
      <t xml:space="preserve">78.16%</t>
    </r>
    <r>
      <rPr>
        <sz val="10"/>
        <color rgb="FF0000FF"/>
        <rFont val="Noto Sans CJK SC"/>
        <family val="2"/>
      </rPr>
      <t xml:space="preserve">。</t>
    </r>
  </si>
  <si>
    <t xml:space="preserve">HFR-031</t>
  </si>
  <si>
    <t xml:space="preserve">ファーレイーストビル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</si>
  <si>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</si>
  <si>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HFR-032</t>
  </si>
  <si>
    <t xml:space="preserve">ＨＦ江坂ビルディング</t>
  </si>
  <si>
    <t xml:space="preserve">吹田市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</si>
  <si>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Of-49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</si>
  <si>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HFR-033</t>
  </si>
  <si>
    <t xml:space="preserve">心斎橋フロントビル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</si>
  <si>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</si>
  <si>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HFR-034</t>
  </si>
  <si>
    <t xml:space="preserve">栄センタービル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</si>
  <si>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</si>
  <si>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HFR-035</t>
  </si>
  <si>
    <t xml:space="preserve">岩本町ツインビル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</si>
  <si>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</si>
  <si>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HFR-036</t>
  </si>
  <si>
    <t xml:space="preserve">岩本町ツインサカエビル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</si>
  <si>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</si>
  <si>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HFR-037</t>
  </si>
  <si>
    <t xml:space="preserve">ＨＦ名古屋錦ビルディング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</si>
  <si>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</si>
  <si>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HFR-038</t>
  </si>
  <si>
    <t xml:space="preserve">北浜一丁目平和ビル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</si>
  <si>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</si>
  <si>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HFR-039</t>
  </si>
  <si>
    <t xml:space="preserve">平和不動産北浜ビル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</si>
  <si>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</si>
  <si>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HFR-040</t>
  </si>
  <si>
    <t xml:space="preserve">ＨＦ横浜山下ビルディング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</si>
  <si>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</si>
  <si>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HFR-041</t>
  </si>
  <si>
    <t xml:space="preserve">ＨＦ江坂駅前ビルディング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</si>
  <si>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</si>
  <si>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HFR-042</t>
  </si>
  <si>
    <t xml:space="preserve">ＨＦ北二条ビルディング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</si>
  <si>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Of-59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</si>
  <si>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HFR-043</t>
  </si>
  <si>
    <t xml:space="preserve">パークイースト札幌</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</si>
  <si>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69%(2025/6</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の</t>
    </r>
    <r>
      <rPr>
        <sz val="10"/>
        <color rgb="FF0000FF"/>
        <rFont val="Arial"/>
        <family val="0"/>
        <charset val="1"/>
      </rPr>
      <t xml:space="preserve">2</t>
    </r>
    <r>
      <rPr>
        <sz val="10"/>
        <color rgb="FF0000FF"/>
        <rFont val="Noto Sans CJK SC"/>
        <family val="2"/>
      </rPr>
      <t xml:space="preserve">回取得</t>
    </r>
    <r>
      <rPr>
        <sz val="10"/>
        <color rgb="FF0000FF"/>
        <rFont val="Arial"/>
        <family val="0"/>
        <charset val="1"/>
      </rPr>
      <t xml:space="preserve">)</t>
    </r>
    <r>
      <rPr>
        <sz val="10"/>
        <color rgb="FF0000FF"/>
        <rFont val="Noto Sans CJK SC"/>
        <family val="2"/>
      </rPr>
      <t xml:space="preserve">。</t>
    </r>
  </si>
  <si>
    <t xml:space="preserve">HFR-044</t>
  </si>
  <si>
    <t xml:space="preserve">ＨＦ京町堀ビルディング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</si>
  <si>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2025/6</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京町堀スクエア</t>
    </r>
    <r>
      <rPr>
        <sz val="10"/>
        <color rgb="FF0000FF"/>
        <rFont val="Arial"/>
        <family val="0"/>
        <charset val="1"/>
      </rPr>
      <t xml:space="preserve">)</t>
    </r>
    <r>
      <rPr>
        <sz val="10"/>
        <color rgb="FF0000FF"/>
        <rFont val="Noto Sans CJK SC"/>
        <family val="2"/>
      </rPr>
      <t xml:space="preserve">。</t>
    </r>
  </si>
  <si>
    <t xml:space="preserve">HFR-045</t>
  </si>
  <si>
    <t xml:space="preserve">ルーシッドスクエア船場</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</si>
  <si>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取得。</t>
    </r>
  </si>
  <si>
    <t xml:space="preserve">HFR-046</t>
  </si>
  <si>
    <t xml:space="preserve">名古屋平和ビル</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</si>
  <si>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Of-63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。信託受益権準共有持分</t>
    </r>
    <r>
      <rPr>
        <sz val="10"/>
        <color rgb="FF0000FF"/>
        <rFont val="Arial"/>
        <family val="0"/>
        <charset val="1"/>
      </rPr>
      <t xml:space="preserve">70%</t>
    </r>
    <r>
      <rPr>
        <sz val="10"/>
        <color rgb="FF0000FF"/>
        <rFont val="Noto Sans CJK SC"/>
        <family val="2"/>
      </rPr>
      <t xml:space="preserve">。</t>
    </r>
    <r>
      <rPr>
        <sz val="10"/>
        <color rgb="FF0000FF"/>
        <rFont val="Arial"/>
        <family val="0"/>
        <charset val="1"/>
      </rPr>
      <t xml:space="preserve">2026/3/2</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スポンサー平和不動産より・当期</t>
    </r>
    <r>
      <rPr>
        <sz val="10"/>
        <color rgb="FF0000FF"/>
        <rFont val="Arial"/>
        <family val="0"/>
        <charset val="1"/>
      </rPr>
      <t xml:space="preserve">91</t>
    </r>
    <r>
      <rPr>
        <sz val="10"/>
        <color rgb="FF0000FF"/>
        <rFont val="Noto Sans CJK SC"/>
        <family val="2"/>
      </rPr>
      <t xml:space="preserve">日</t>
    </r>
    <r>
      <rPr>
        <sz val="10"/>
        <color rgb="FF0000FF"/>
        <rFont val="Arial"/>
        <family val="0"/>
        <charset val="1"/>
      </rPr>
      <t xml:space="preserve">)</t>
    </r>
    <r>
      <rPr>
        <sz val="10"/>
        <color rgb="FF0000FF"/>
        <rFont val="Noto Sans CJK SC"/>
        <family val="2"/>
      </rPr>
      <t xml:space="preserve">。</t>
    </r>
  </si>
  <si>
    <t xml:space="preserve">HFR-047</t>
  </si>
  <si>
    <t xml:space="preserve">ＨＦ目黒レジデンス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</si>
  <si>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Re-05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</si>
  <si>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HFR-048</t>
  </si>
  <si>
    <t xml:space="preserve">ＨＦ葛西レジデンス</t>
  </si>
  <si>
    <t xml:space="preserve">江戸川区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</si>
  <si>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Re-09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</si>
  <si>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HFR-049</t>
  </si>
  <si>
    <t xml:space="preserve">ＨＦ若林公園レジデンス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</si>
  <si>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6,426</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1.8</t>
    </r>
    <r>
      <rPr>
        <sz val="10"/>
        <color rgb="FF0000FF"/>
        <rFont val="Noto Sans CJK SC"/>
        <family val="2"/>
      </rPr>
      <t xml:space="preserve">倍。</t>
    </r>
  </si>
  <si>
    <t xml:space="preserve">HFR-050</t>
  </si>
  <si>
    <t xml:space="preserve">ＨＦ碑文谷レジデンス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</si>
  <si>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</si>
  <si>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HFR-051</t>
  </si>
  <si>
    <t xml:space="preserve">ＨＦ南麻布レジデンス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</si>
  <si>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</si>
  <si>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HFR-052</t>
  </si>
  <si>
    <t xml:space="preserve">ＨＦ学芸大学レジデンス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</si>
  <si>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</si>
  <si>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HFR-053</t>
  </si>
  <si>
    <t xml:space="preserve">ＨＦ東神田レジデンス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</si>
  <si>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</si>
  <si>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HFR-054</t>
  </si>
  <si>
    <t xml:space="preserve">ＨＦ東日本橋レジデンス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</si>
  <si>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</si>
  <si>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HFR-055</t>
  </si>
  <si>
    <t xml:space="preserve">ＨＦ練馬レジデンス</t>
  </si>
  <si>
    <t xml:space="preserve">練馬区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</si>
  <si>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</si>
  <si>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HFR-056</t>
  </si>
  <si>
    <t xml:space="preserve">ＨＦ白金高輪レジデンス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</si>
  <si>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7,260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取得価格の</t>
    </r>
    <r>
      <rPr>
        <sz val="10"/>
        <color rgb="FF0000FF"/>
        <rFont val="Arial"/>
        <family val="0"/>
        <charset val="1"/>
      </rPr>
      <t xml:space="preserve">1.8</t>
    </r>
    <r>
      <rPr>
        <sz val="10"/>
        <color rgb="FF0000FF"/>
        <rFont val="Noto Sans CJK SC"/>
        <family val="2"/>
      </rPr>
      <t xml:space="preserve">倍。</t>
    </r>
  </si>
  <si>
    <t xml:space="preserve">HFR-057</t>
  </si>
  <si>
    <t xml:space="preserve">ＨＦ明大前レジデンス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</si>
  <si>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</si>
  <si>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HFR-058</t>
  </si>
  <si>
    <t xml:space="preserve">ＨＦ日本橋レジデンス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</si>
  <si>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</si>
  <si>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HFR-059</t>
  </si>
  <si>
    <t xml:space="preserve">ＨＦ上石神井レジデンス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</si>
  <si>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</si>
  <si>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HFR-060</t>
  </si>
  <si>
    <t xml:space="preserve">ＨＦ錦糸町レジデンス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</si>
  <si>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</si>
  <si>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HFR-061</t>
  </si>
  <si>
    <t xml:space="preserve">ＨＦ銀座レジデンスＥＡＳＴ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</si>
  <si>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</si>
  <si>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HFR-062</t>
  </si>
  <si>
    <t xml:space="preserve">ＨＦ新横浜レジデンス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</si>
  <si>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Re-26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</si>
  <si>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HFR-063</t>
  </si>
  <si>
    <t xml:space="preserve">ＨＦ馬込レジデンス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</si>
  <si>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</si>
  <si>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HFR-064</t>
  </si>
  <si>
    <t xml:space="preserve">ＨＦ学芸大学レジデンスⅡ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</si>
  <si>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</si>
  <si>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HFR-065</t>
  </si>
  <si>
    <t xml:space="preserve">ＨＦ亀戸レジデンス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</si>
  <si>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</si>
  <si>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HFR-066</t>
  </si>
  <si>
    <t xml:space="preserve">ＨＦ田無レジデンス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</si>
  <si>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</si>
  <si>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HFR-067</t>
  </si>
  <si>
    <t xml:space="preserve">ラ・レジダンス・ド・白金台</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</si>
  <si>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r>
      <rPr>
        <sz val="10"/>
        <color rgb="FF0000FF"/>
        <rFont val="Arial"/>
        <family val="0"/>
        <charset val="1"/>
      </rPr>
      <t xml:space="preserve">2010/10</t>
    </r>
    <r>
      <rPr>
        <sz val="10"/>
        <color rgb="FF0000FF"/>
        <rFont val="Noto Sans CJK SC"/>
        <family val="2"/>
      </rPr>
      <t xml:space="preserve">合併</t>
    </r>
    <r>
      <rPr>
        <sz val="10"/>
        <color rgb="FF0000FF"/>
        <rFont val="Arial"/>
        <family val="0"/>
        <charset val="1"/>
      </rPr>
      <t xml:space="preserve">(</t>
    </r>
    <r>
      <rPr>
        <sz val="10"/>
        <color rgb="FF0000FF"/>
        <rFont val="Noto Sans CJK SC"/>
        <family val="2"/>
      </rPr>
      <t xml:space="preserve">ジャパン・シングルレジデンス</t>
    </r>
    <r>
      <rPr>
        <sz val="10"/>
        <color rgb="FF0000FF"/>
        <rFont val="Arial"/>
        <family val="0"/>
        <charset val="1"/>
      </rPr>
      <t xml:space="preserve">)</t>
    </r>
    <r>
      <rPr>
        <sz val="10"/>
        <color rgb="FF0000FF"/>
        <rFont val="Noto Sans CJK SC"/>
        <family val="2"/>
      </rPr>
      <t xml:space="preserve">承継物件</t>
    </r>
    <r>
      <rPr>
        <sz val="10"/>
        <color rgb="FF0000FF"/>
        <rFont val="Arial"/>
        <family val="0"/>
        <charset val="1"/>
      </rPr>
      <t xml:space="preserve">(</t>
    </r>
    <r>
      <rPr>
        <sz val="10"/>
        <color rgb="FF0000FF"/>
        <rFont val="Noto Sans CJK SC"/>
        <family val="2"/>
      </rPr>
      <t xml:space="preserve">取得価格は合併時鑑定評価額、以下</t>
    </r>
    <r>
      <rPr>
        <sz val="10"/>
        <color rgb="FF0000FF"/>
        <rFont val="Arial"/>
        <family val="0"/>
        <charset val="1"/>
      </rPr>
      <t xml:space="preserve">Re-73</t>
    </r>
    <r>
      <rPr>
        <sz val="10"/>
        <color rgb="FF0000FF"/>
        <rFont val="Noto Sans CJK SC"/>
        <family val="2"/>
      </rPr>
      <t xml:space="preserve">まで同</t>
    </r>
    <r>
      <rPr>
        <sz val="10"/>
        <color rgb="FF0000FF"/>
        <rFont val="Arial"/>
        <family val="0"/>
        <charset val="1"/>
      </rPr>
      <t xml:space="preserve">)</t>
    </r>
    <r>
      <rPr>
        <sz val="10"/>
        <color rgb="FF0000FF"/>
        <rFont val="Noto Sans CJK SC"/>
        <family val="2"/>
      </rPr>
      <t xml:space="preserve">。</t>
    </r>
  </si>
  <si>
    <t xml:space="preserve">HFR-068</t>
  </si>
  <si>
    <t xml:space="preserve">ＨＦ銀座レジデンスＥＡＳＴⅡ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</si>
  <si>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Re-39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</si>
  <si>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HFR-069</t>
  </si>
  <si>
    <t xml:space="preserve">ＨＦ八丁堀レジデンスⅡ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</si>
  <si>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</si>
  <si>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HFR-070</t>
  </si>
  <si>
    <t xml:space="preserve">ＨＦ銀座レジデンス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</si>
  <si>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</si>
  <si>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HFR-071</t>
  </si>
  <si>
    <t xml:space="preserve">ＨＦ駒沢公園レジデンスＴＯＷＥＲ</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</si>
  <si>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</si>
  <si>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HFR-072</t>
  </si>
  <si>
    <t xml:space="preserve">ＨＦ丸の内レジデンス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</si>
  <si>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</si>
  <si>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HFR-073</t>
  </si>
  <si>
    <t xml:space="preserve">ＨＦ平尾レジデンス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</si>
  <si>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</si>
  <si>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HFR-074</t>
  </si>
  <si>
    <t xml:space="preserve">ＨＦ河原町二条レジデンス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</si>
  <si>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Re-49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</si>
  <si>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HFR-075</t>
  </si>
  <si>
    <t xml:space="preserve">ＨＦ四条河原町レジデンス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</si>
  <si>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</si>
  <si>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HFR-076</t>
  </si>
  <si>
    <t xml:space="preserve">ラ・レジダンス・ド・千駄木</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</si>
  <si>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</si>
  <si>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HFR-077</t>
  </si>
  <si>
    <t xml:space="preserve">ＨＦ千駄木レジデンス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</si>
  <si>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。区分所有。</t>
    </r>
  </si>
  <si>
    <t xml:space="preserve">HFR-078</t>
  </si>
  <si>
    <t xml:space="preserve">ＨＦ駒沢公園レジデンス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</si>
  <si>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</si>
  <si>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HFR-079</t>
  </si>
  <si>
    <t xml:space="preserve">ＨＦ武蔵小山レジデンス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</si>
  <si>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</si>
  <si>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HFR-080</t>
  </si>
  <si>
    <t xml:space="preserve">ＨＦ国分寺レジデンス</t>
  </si>
  <si>
    <t xml:space="preserve">国分寺市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</si>
  <si>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</si>
  <si>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HFR-081</t>
  </si>
  <si>
    <t xml:space="preserve">ＨＦ久屋大通レジデンス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</si>
  <si>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Re-59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</si>
  <si>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HFR-082</t>
  </si>
  <si>
    <t xml:space="preserve">ＨＦ烏丸鞍馬口レジデンス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</si>
  <si>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</si>
  <si>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HFR-083</t>
  </si>
  <si>
    <t xml:space="preserve">ＨＦ西新宿レジデンスＷＥＳＴ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</si>
  <si>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Re-61</t>
    </r>
    <r>
      <rPr>
        <sz val="10"/>
        <color rgb="FF0000FF"/>
        <rFont val="Noto Sans CJK SC"/>
        <family val="2"/>
      </rPr>
      <t xml:space="preserve">。</t>
    </r>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3,500</t>
    </r>
    <r>
      <rPr>
        <sz val="10"/>
        <color rgb="FF0000FF"/>
        <rFont val="Noto Sans CJK SC"/>
        <family val="2"/>
      </rPr>
      <t xml:space="preserve">百万円・売却益</t>
    </r>
    <r>
      <rPr>
        <sz val="10"/>
        <color rgb="FF0000FF"/>
        <rFont val="Arial"/>
        <family val="0"/>
        <charset val="1"/>
      </rPr>
      <t xml:space="preserve">1,578,021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。譲渡先は同意なく非開示。期末保有物件でないため基本情報・期中収益は当期末保有物件表の対象外</t>
    </r>
  </si>
  <si>
    <t xml:space="preserve">HFR-084</t>
  </si>
  <si>
    <t xml:space="preserve">ＨＦ西新宿レジデンスＥＡＳＴ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</si>
  <si>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Re-62</t>
    </r>
    <r>
      <rPr>
        <sz val="10"/>
        <color rgb="FF0000FF"/>
        <rFont val="Noto Sans CJK SC"/>
        <family val="2"/>
      </rPr>
      <t xml:space="preserve">。</t>
    </r>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2,050</t>
    </r>
    <r>
      <rPr>
        <sz val="10"/>
        <color rgb="FF0000FF"/>
        <rFont val="Noto Sans CJK SC"/>
        <family val="2"/>
      </rPr>
      <t xml:space="preserve">百万円・売却益</t>
    </r>
    <r>
      <rPr>
        <sz val="10"/>
        <color rgb="FF0000FF"/>
        <rFont val="Arial"/>
        <family val="0"/>
        <charset val="1"/>
      </rPr>
      <t xml:space="preserve">922,079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。譲渡先は同意なく非開示。期末保有物件でないため基本情報・期中収益は当期末保有物件表の対象外</t>
    </r>
  </si>
  <si>
    <t xml:space="preserve">HFR-085</t>
  </si>
  <si>
    <t xml:space="preserve">ＨＦ北四番丁レジデンス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</si>
  <si>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</si>
  <si>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HFR-086</t>
  </si>
  <si>
    <t xml:space="preserve">ＨＦ愛宕橋レジデンス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</si>
  <si>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</si>
  <si>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HFR-087</t>
  </si>
  <si>
    <t xml:space="preserve">ＨＦ浅草橋レジデンス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</si>
  <si>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</si>
  <si>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HFR-088</t>
  </si>
  <si>
    <t xml:space="preserve">ＨＦ一番町レジデンス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</si>
  <si>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Re-69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</si>
  <si>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HFR-089</t>
  </si>
  <si>
    <t xml:space="preserve">ＨＦ東中野レジデンス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</si>
  <si>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</si>
  <si>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HFR-090</t>
  </si>
  <si>
    <t xml:space="preserve">ＨＦ早稲田レジデンス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</si>
  <si>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</si>
  <si>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HFR-091</t>
  </si>
  <si>
    <t xml:space="preserve">ＨＦ早稲田レジデンスⅡ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</si>
  <si>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</si>
  <si>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HFR-092</t>
  </si>
  <si>
    <t xml:space="preserve">ＨＦ若松河田レジデンス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</si>
  <si>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2020</t>
    </r>
    <r>
      <rPr>
        <sz val="10"/>
        <color rgb="FF0000FF"/>
        <rFont val="Noto Sans CJK SC"/>
        <family val="2"/>
      </rPr>
      <t xml:space="preserve">年取得。</t>
    </r>
  </si>
  <si>
    <t xml:space="preserve">HFR-093</t>
  </si>
  <si>
    <t xml:space="preserve">ＨＦ仙台レジデンスＥＡＳＴ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</si>
  <si>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</si>
  <si>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HFR-094</t>
  </si>
  <si>
    <t xml:space="preserve">ＨＦ西公園レジデンス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</si>
  <si>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</si>
  <si>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HFR-095</t>
  </si>
  <si>
    <t xml:space="preserve">ＨＦ晩翠通レジデンス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</si>
  <si>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</si>
  <si>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HFR-096</t>
  </si>
  <si>
    <t xml:space="preserve">ＨＦ関内レジデンス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</si>
  <si>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</si>
  <si>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HFR-097</t>
  </si>
  <si>
    <t xml:space="preserve">ＨＦ名駅北レジデンス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</si>
  <si>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Re-79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</si>
  <si>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HFR-098</t>
  </si>
  <si>
    <t xml:space="preserve">ＨＦ東札幌レジデンス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</si>
  <si>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</si>
  <si>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HFR-099</t>
  </si>
  <si>
    <t xml:space="preserve">ＨＦ博多東レジデンス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</si>
  <si>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</si>
  <si>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HFR-100</t>
  </si>
  <si>
    <t xml:space="preserve">ＨＦ仙台五橋レジデンス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</si>
  <si>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</si>
  <si>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HFR-101</t>
  </si>
  <si>
    <t xml:space="preserve">ＨＦ田端レジデンス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</si>
  <si>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</si>
  <si>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HFR-102</t>
  </si>
  <si>
    <t xml:space="preserve">ＨＦ両国レジデンス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</si>
  <si>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</si>
  <si>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HFR-103</t>
  </si>
  <si>
    <t xml:space="preserve">ＨＦ八王子レジデンス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</si>
  <si>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</si>
  <si>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HFR-104</t>
  </si>
  <si>
    <t xml:space="preserve">ＨＦ三田レジデンスⅡ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</si>
  <si>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</si>
  <si>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HFR-105</t>
  </si>
  <si>
    <t xml:space="preserve">ＨＦ門前仲町レジデンス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</si>
  <si>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</si>
  <si>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HFR-106</t>
  </si>
  <si>
    <t xml:space="preserve">ＨＦ南砂町レジデンス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</si>
  <si>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</si>
  <si>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HFR-107</t>
  </si>
  <si>
    <t xml:space="preserve">ＨＦ仙台長町レジデンス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</si>
  <si>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Re-89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</si>
  <si>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HFR-108</t>
  </si>
  <si>
    <t xml:space="preserve">ＨＦ正光寺赤羽レジデンス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</si>
  <si>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</si>
  <si>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HFR-109</t>
  </si>
  <si>
    <t xml:space="preserve">ＨＦ仙台本町レジデンス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</si>
  <si>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</si>
  <si>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HFR-110</t>
  </si>
  <si>
    <t xml:space="preserve">ＨＦ大濠レジデンスＢＡＹＳＩＤＥ</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</si>
  <si>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</si>
  <si>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HFR-111</t>
  </si>
  <si>
    <t xml:space="preserve">ＨＦ博多東レジデンスⅡ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</si>
  <si>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</si>
  <si>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HFR-112</t>
  </si>
  <si>
    <t xml:space="preserve">ＨＦ福岡レジデンスＥＡＳＴ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</si>
  <si>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</si>
  <si>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HFR-113</t>
  </si>
  <si>
    <t xml:space="preserve">ＨＦ正光寺赤羽レジデンスⅡ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</si>
  <si>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</si>
  <si>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HFR-114</t>
  </si>
  <si>
    <t xml:space="preserve">ＨＦ八広レジデンス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</si>
  <si>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</si>
  <si>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HFR-115</t>
  </si>
  <si>
    <t xml:space="preserve">ＨＦ世田谷上町レジデンス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</si>
  <si>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</si>
  <si>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HFR-116</t>
  </si>
  <si>
    <t xml:space="preserve">ＨＦ草加レジデンス</t>
  </si>
  <si>
    <t xml:space="preserve">草加市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</si>
  <si>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</si>
  <si>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HFR-117</t>
  </si>
  <si>
    <t xml:space="preserve">ＨＦ上野入谷レジデンス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</si>
  <si>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Re-99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</si>
  <si>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HFR-118</t>
  </si>
  <si>
    <t xml:space="preserve">ＨＦ辻堂レジデンス</t>
  </si>
  <si>
    <t xml:space="preserve">藤沢市</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</si>
  <si>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</si>
  <si>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HFR-119</t>
  </si>
  <si>
    <t xml:space="preserve">ＨＦ川口駅前レジデンス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</si>
  <si>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</si>
  <si>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HFR-120</t>
  </si>
  <si>
    <t xml:space="preserve">ＨＦ東尾久レジデンス</t>
  </si>
  <si>
    <t xml:space="preserve">荒川区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</si>
  <si>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</si>
  <si>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HFR-121</t>
  </si>
  <si>
    <t xml:space="preserve">ＨＦ今池南レジデンス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</si>
  <si>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</si>
  <si>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HFR-122</t>
  </si>
  <si>
    <t xml:space="preserve">ＨＦ伏見レジデンス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</si>
  <si>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。帳簿が鑑定を上回る。</t>
    </r>
  </si>
  <si>
    <t xml:space="preserve">HFR-123</t>
  </si>
  <si>
    <t xml:space="preserve">ＨＦ中野坂上レジデンス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</si>
  <si>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</si>
  <si>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HFR-124</t>
  </si>
  <si>
    <t xml:space="preserve">ＨＦ上野レジデンスＥＡＳＴ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</si>
  <si>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</si>
  <si>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HFR-125</t>
  </si>
  <si>
    <t xml:space="preserve">ＨＦ大森町レジデンス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</si>
  <si>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</si>
  <si>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HFR-126</t>
  </si>
  <si>
    <t xml:space="preserve">ＨＦ北千住レジデンス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</si>
  <si>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</si>
  <si>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HFR-127</t>
  </si>
  <si>
    <t xml:space="preserve">ＨＦ曳舟レジデンス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</si>
  <si>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Re-109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</si>
  <si>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HFR-128</t>
  </si>
  <si>
    <t xml:space="preserve">ＨＦ目黒行人坂レジデンス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</si>
  <si>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2024</t>
    </r>
    <r>
      <rPr>
        <sz val="10"/>
        <color rgb="FF0000FF"/>
        <rFont val="Noto Sans CJK SC"/>
        <family val="2"/>
      </rPr>
      <t xml:space="preserve">年取得。</t>
    </r>
  </si>
  <si>
    <t xml:space="preserve">HFR-129</t>
  </si>
  <si>
    <t xml:space="preserve">ＨＦ西巣鴨レジデンス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</si>
  <si>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Re-111</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</si>
  <si>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HFR-130</t>
  </si>
  <si>
    <t xml:space="preserve">ＨＦ西巣鴨レジデンスⅡ</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</si>
  <si>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Re-112</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</si>
  <si>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HFR-131</t>
  </si>
  <si>
    <t xml:space="preserve">ＨＦ東武練馬レジデンス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</si>
  <si>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Re-113</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</si>
  <si>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HFR-132</t>
  </si>
  <si>
    <t xml:space="preserve">ＨＦ両国レジデンスＥＡＳＴ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</si>
  <si>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Re-114</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</si>
  <si>
    <t xml:space="preserve">HFR-133</t>
  </si>
  <si>
    <t xml:space="preserve">ＨＦ押上レジデンス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</si>
  <si>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Re-115</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2025/12/5</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スポンサー平和不動産より・不動産及び土地の賃借権</t>
    </r>
    <r>
      <rPr>
        <sz val="10"/>
        <color rgb="FF0000FF"/>
        <rFont val="Arial"/>
        <family val="0"/>
        <charset val="1"/>
      </rPr>
      <t xml:space="preserve">)</t>
    </r>
    <r>
      <rPr>
        <sz val="10"/>
        <color rgb="FF0000FF"/>
        <rFont val="Noto Sans CJK SC"/>
        <family val="2"/>
      </rPr>
      <t xml:space="preserve">。</t>
    </r>
  </si>
  <si>
    <t xml:space="preserve">HFR-134</t>
  </si>
  <si>
    <t xml:space="preserve">ＨＦ曳舟レジデンスＥＡＳＴ</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</si>
  <si>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Re-116</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ハーモニーレジデンス東京ツリー京島</t>
    </r>
    <r>
      <rPr>
        <sz val="10"/>
        <color rgb="FF0000FF"/>
        <rFont val="Arial"/>
        <family val="0"/>
        <charset val="1"/>
      </rPr>
      <t xml:space="preserve">)</t>
    </r>
    <r>
      <rPr>
        <sz val="10"/>
        <color rgb="FF0000FF"/>
        <rFont val="Noto Sans CJK SC"/>
        <family val="2"/>
      </rPr>
      <t xml:space="preserve">。</t>
    </r>
  </si>
  <si>
    <t xml:space="preserve">HFR-135</t>
  </si>
  <si>
    <t xml:space="preserve">ＨＦ大森レジデンス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</si>
  <si>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Re-117</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2025/11</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シーズンフラッツ大森北</t>
    </r>
    <r>
      <rPr>
        <sz val="10"/>
        <color rgb="FF0000FF"/>
        <rFont val="Arial"/>
        <family val="0"/>
        <charset val="1"/>
      </rPr>
      <t xml:space="preserve">)</t>
    </r>
    <r>
      <rPr>
        <sz val="10"/>
        <color rgb="FF0000FF"/>
        <rFont val="Noto Sans CJK SC"/>
        <family val="2"/>
      </rPr>
      <t xml:space="preserve">。</t>
    </r>
  </si>
  <si>
    <t xml:space="preserve">HFR-136</t>
  </si>
  <si>
    <t xml:space="preserve">ＨＦ下赤塚レジデンス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</si>
  <si>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Re-118</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アルファコート下赤塚</t>
    </r>
    <r>
      <rPr>
        <sz val="10"/>
        <color rgb="FF0000FF"/>
        <rFont val="Arial"/>
        <family val="0"/>
        <charset val="1"/>
      </rPr>
      <t xml:space="preserve">)</t>
    </r>
    <r>
      <rPr>
        <sz val="10"/>
        <color rgb="FF0000FF"/>
        <rFont val="Noto Sans CJK SC"/>
        <family val="2"/>
      </rPr>
      <t xml:space="preserve">。</t>
    </r>
  </si>
  <si>
    <t xml:space="preserve">HFR-137</t>
  </si>
  <si>
    <t xml:space="preserve">ＨＦときわ台レジデンス</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</si>
  <si>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Re-119</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アルファコート常盤台３</t>
    </r>
    <r>
      <rPr>
        <sz val="10"/>
        <color rgb="FF0000FF"/>
        <rFont val="Arial"/>
        <family val="0"/>
        <charset val="1"/>
      </rPr>
      <t xml:space="preserve">)</t>
    </r>
    <r>
      <rPr>
        <sz val="10"/>
        <color rgb="FF0000FF"/>
        <rFont val="Noto Sans CJK SC"/>
        <family val="2"/>
      </rPr>
      <t xml:space="preserve">。</t>
    </r>
  </si>
  <si>
    <t xml:space="preserve">HFR-138</t>
  </si>
  <si>
    <t xml:space="preserve">ＨＦ綾瀬レジデンス</t>
  </si>
  <si>
    <t xml:space="preserve">葛飾区</t>
  </si>
  <si>
    <r>
      <rPr>
        <sz val="10"/>
        <color rgb="FF0000FF"/>
        <rFont val="Arial"/>
        <family val="0"/>
        <charset val="1"/>
      </rPr>
      <t xml:space="preserve">HFR</t>
    </r>
    <r>
      <rPr>
        <sz val="10"/>
        <color rgb="FF0000FF"/>
        <rFont val="Noto Sans CJK SC"/>
        <family val="2"/>
      </rPr>
      <t xml:space="preserve">物件番号</t>
    </r>
    <r>
      <rPr>
        <sz val="10"/>
        <color rgb="FF0000FF"/>
        <rFont val="Arial"/>
        <family val="0"/>
        <charset val="1"/>
      </rPr>
      <t xml:space="preserve">Re-120</t>
    </r>
    <r>
      <rPr>
        <sz val="10"/>
        <color rgb="FF0000FF"/>
        <rFont val="Noto Sans CJK SC"/>
        <family val="2"/>
      </rPr>
      <t xml:space="preserve">。物件別の竣工年月・延床面積は短信非掲載のため未収録</t>
    </r>
    <r>
      <rPr>
        <sz val="10"/>
        <color rgb="FF0000FF"/>
        <rFont val="Arial"/>
        <family val="0"/>
        <charset val="1"/>
      </rPr>
      <t xml:space="preserve">(</t>
    </r>
    <r>
      <rPr>
        <sz val="10"/>
        <color rgb="FF0000FF"/>
        <rFont val="Noto Sans CJK SC"/>
        <family val="2"/>
      </rPr>
      <t xml:space="preserve">個別物件収支データは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2025/12/23</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旧称</t>
    </r>
    <r>
      <rPr>
        <sz val="10"/>
        <color rgb="FF0000FF"/>
        <rFont val="Arial"/>
        <family val="0"/>
        <charset val="1"/>
      </rPr>
      <t xml:space="preserve">: </t>
    </r>
    <r>
      <rPr>
        <sz val="10"/>
        <color rgb="FF0000FF"/>
        <rFont val="Noto Sans CJK SC"/>
        <family val="2"/>
      </rPr>
      <t xml:space="preserve">アルファコート綾瀬２</t>
    </r>
    <r>
      <rPr>
        <sz val="10"/>
        <color rgb="FF0000FF"/>
        <rFont val="Arial"/>
        <family val="0"/>
        <charset val="1"/>
      </rPr>
      <t xml:space="preserve">)</t>
    </r>
    <r>
      <rPr>
        <sz val="10"/>
        <color rgb="FF0000FF"/>
        <rFont val="Noto Sans CJK SC"/>
        <family val="2"/>
      </rPr>
      <t xml:space="preserve">。</t>
    </r>
  </si>
  <si>
    <t xml:space="preserve">HFR-ALL</t>
  </si>
  <si>
    <t xml:space="preserve">【HFRポートフォリオ全体】</t>
  </si>
  <si>
    <r>
      <rPr>
        <sz val="10"/>
        <color rgb="FF0000FF"/>
        <rFont val="Arial"/>
        <family val="0"/>
        <charset val="1"/>
      </rPr>
      <t xml:space="preserve">136</t>
    </r>
    <r>
      <rPr>
        <sz val="10"/>
        <color rgb="FF0000FF"/>
        <rFont val="Noto Sans CJK SC"/>
        <family val="2"/>
      </rPr>
      <t xml:space="preserve">物件（</t>
    </r>
    <r>
      <rPr>
        <sz val="10"/>
        <color rgb="FF0000FF"/>
        <rFont val="Arial"/>
        <family val="0"/>
        <charset val="1"/>
      </rPr>
      <t xml:space="preserve">2026/5/31</t>
    </r>
    <r>
      <rPr>
        <sz val="10"/>
        <color rgb="FF0000FF"/>
        <rFont val="Noto Sans CJK SC"/>
        <family val="2"/>
      </rPr>
      <t xml:space="preserve">時点）</t>
    </r>
  </si>
  <si>
    <t xml:space="preserve">平和不動産(旧東証・大証の家主)スポンサーの中小型オフィス(51.8%)+レジデンス(48.2%)複合型。取得価格合計265,046百万円(オフィス137,193+レジ127,853)。帳簿261,053,263千円(BS計上額)、期末鑑定評価331,289百万円(オフィス164,500+レジ166,789=賃貸等不動産注記の期末時価331,289,800千円と一致)。【原資料の切捨て表示に関する注記】物件別帳簿(百万円未満切捨て)の合算はオフィス-22・レジ-47百万円小計比で小さい(切捨て累積・SHRで機械照合確定済みと同パターン)。鑑定・NLA・テナント総数(6,298)は完全一致、取得価格はレジ-1(端数切捨て)。2010/10にジャパン・シングルレジデンス投資法人を吸収合併(承継物件Re-38〜73の取得価格は合併時鑑定評価額)。期末稼働97.65%(オフィス99.25%/レジ96.43%)。当期入替: 5物件取得(名古屋平和ビル70%持分5,110・HF押上2,140・HF下赤塚1,600・HFときわ台1,980・HF綾瀬1,250百万円=計12,080百万円、押上と名古屋平和はスポンサー取得)、HF西新宿レジデンスWEST/EAST譲渡(2026/5/29・計5,550百万円・売却益計2,500,101千円)。期後: 2026/6/1公募増資(87,700口+第三者割当4,300口・払込総額11,762百万円→発行済1,343,533口・出資総額127,077百万円)、6/3-6/5に3物件取得(HF上野稲荷町9,060・HF北十条(札幌)1,758・HF千葉富士見2,600百万円)→139物件、7/31にHF瑞江・HF東瑞江取得発表→141物件・取得計281,264百万円(公式サイト2026/8/7現在)。ポートフォリオPML3.9%(2026/4/16算出)</t>
  </si>
  <si>
    <t xml:space="preserve">KDX-001</t>
  </si>
  <si>
    <r>
      <rPr>
        <sz val="10"/>
        <color rgb="FF0000FF"/>
        <rFont val="Arial"/>
        <family val="0"/>
        <charset val="1"/>
      </rPr>
      <t xml:space="preserve">KDX</t>
    </r>
    <r>
      <rPr>
        <sz val="10"/>
        <color rgb="FF0000FF"/>
        <rFont val="Noto Sans CJK SC"/>
        <family val="2"/>
      </rPr>
      <t xml:space="preserve">東茅場町三洋ビル</t>
    </r>
  </si>
  <si>
    <t xml:space="preserve">東京経済圏（KDX区分）</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</si>
  <si>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</si>
  <si>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</si>
  <si>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KDX-002</t>
  </si>
  <si>
    <r>
      <rPr>
        <sz val="10"/>
        <color rgb="FF0000FF"/>
        <rFont val="Arial"/>
        <family val="0"/>
        <charset val="1"/>
      </rPr>
      <t xml:space="preserve">KDX</t>
    </r>
    <r>
      <rPr>
        <sz val="10"/>
        <color rgb="FF0000FF"/>
        <rFont val="Noto Sans CJK SC"/>
        <family val="2"/>
      </rPr>
      <t xml:space="preserve">八丁堀ビル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</si>
  <si>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</si>
  <si>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KDX-003</t>
  </si>
  <si>
    <r>
      <rPr>
        <sz val="10"/>
        <color rgb="FF0000FF"/>
        <rFont val="Arial"/>
        <family val="0"/>
        <charset val="1"/>
      </rPr>
      <t xml:space="preserve">KDX</t>
    </r>
    <r>
      <rPr>
        <sz val="10"/>
        <color rgb="FF0000FF"/>
        <rFont val="Noto Sans CJK SC"/>
        <family val="2"/>
      </rPr>
      <t xml:space="preserve">中野坂上ビル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</si>
  <si>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</si>
  <si>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KDX-004</t>
  </si>
  <si>
    <r>
      <rPr>
        <sz val="10"/>
        <color rgb="FF0000FF"/>
        <rFont val="Arial"/>
        <family val="0"/>
        <charset val="1"/>
      </rPr>
      <t xml:space="preserve">KDX</t>
    </r>
    <r>
      <rPr>
        <sz val="10"/>
        <color rgb="FF0000FF"/>
        <rFont val="Noto Sans CJK SC"/>
        <family val="2"/>
      </rPr>
      <t xml:space="preserve">南青山ビル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</si>
  <si>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</si>
  <si>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KDX-005</t>
  </si>
  <si>
    <r>
      <rPr>
        <sz val="10"/>
        <color rgb="FF0000FF"/>
        <rFont val="Arial"/>
        <family val="0"/>
        <charset val="1"/>
      </rPr>
      <t xml:space="preserve">KDX</t>
    </r>
    <r>
      <rPr>
        <sz val="10"/>
        <color rgb="FF0000FF"/>
        <rFont val="Noto Sans CJK SC"/>
        <family val="2"/>
      </rPr>
      <t xml:space="preserve">神田北口ビル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</si>
  <si>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</si>
  <si>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KDX-006</t>
  </si>
  <si>
    <r>
      <rPr>
        <sz val="10"/>
        <color rgb="FF0000FF"/>
        <rFont val="Arial"/>
        <family val="0"/>
        <charset val="1"/>
      </rPr>
      <t xml:space="preserve">KDX</t>
    </r>
    <r>
      <rPr>
        <sz val="10"/>
        <color rgb="FF0000FF"/>
        <rFont val="Noto Sans CJK SC"/>
        <family val="2"/>
      </rPr>
      <t xml:space="preserve">代々木ビル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</si>
  <si>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</si>
  <si>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KDX-007</t>
  </si>
  <si>
    <r>
      <rPr>
        <sz val="10"/>
        <color rgb="FF0000FF"/>
        <rFont val="Arial"/>
        <family val="0"/>
        <charset val="1"/>
      </rPr>
      <t xml:space="preserve">KDX</t>
    </r>
    <r>
      <rPr>
        <sz val="10"/>
        <color rgb="FF0000FF"/>
        <rFont val="Noto Sans CJK SC"/>
        <family val="2"/>
      </rPr>
      <t xml:space="preserve">麹町ビル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</si>
  <si>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</si>
  <si>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KDX-008</t>
  </si>
  <si>
    <r>
      <rPr>
        <sz val="10"/>
        <color rgb="FF0000FF"/>
        <rFont val="Arial"/>
        <family val="0"/>
        <charset val="1"/>
      </rPr>
      <t xml:space="preserve">KDX</t>
    </r>
    <r>
      <rPr>
        <sz val="10"/>
        <color rgb="FF0000FF"/>
        <rFont val="Noto Sans CJK SC"/>
        <family val="2"/>
      </rPr>
      <t xml:space="preserve">船橋ビル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</si>
  <si>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A1009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</si>
  <si>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KDX-009</t>
  </si>
  <si>
    <r>
      <rPr>
        <sz val="10"/>
        <color rgb="FF0000FF"/>
        <rFont val="Arial"/>
        <family val="0"/>
        <charset val="1"/>
      </rPr>
      <t xml:space="preserve">KDX</t>
    </r>
    <r>
      <rPr>
        <sz val="10"/>
        <color rgb="FF0000FF"/>
        <rFont val="Noto Sans CJK SC"/>
        <family val="2"/>
      </rPr>
      <t xml:space="preserve">横浜リバーサイド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</si>
  <si>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</si>
  <si>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KDX-010</t>
  </si>
  <si>
    <r>
      <rPr>
        <sz val="10"/>
        <color rgb="FF0000FF"/>
        <rFont val="Arial"/>
        <family val="0"/>
        <charset val="1"/>
      </rPr>
      <t xml:space="preserve">KDX</t>
    </r>
    <r>
      <rPr>
        <sz val="10"/>
        <color rgb="FF0000FF"/>
        <rFont val="Noto Sans CJK SC"/>
        <family val="2"/>
      </rPr>
      <t xml:space="preserve">恵比寿ビル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</si>
  <si>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</si>
  <si>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KDX-011</t>
  </si>
  <si>
    <r>
      <rPr>
        <sz val="10"/>
        <color rgb="FF0000FF"/>
        <rFont val="Arial"/>
        <family val="0"/>
        <charset val="1"/>
      </rPr>
      <t xml:space="preserve">KDX</t>
    </r>
    <r>
      <rPr>
        <sz val="10"/>
        <color rgb="FF0000FF"/>
        <rFont val="Noto Sans CJK SC"/>
        <family val="2"/>
      </rPr>
      <t xml:space="preserve">新橋ビル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</si>
  <si>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</si>
  <si>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KDX-012</t>
  </si>
  <si>
    <r>
      <rPr>
        <sz val="10"/>
        <color rgb="FF0000FF"/>
        <rFont val="Arial"/>
        <family val="0"/>
        <charset val="1"/>
      </rPr>
      <t xml:space="preserve">KDX</t>
    </r>
    <r>
      <rPr>
        <sz val="10"/>
        <color rgb="FF0000FF"/>
        <rFont val="Noto Sans CJK SC"/>
        <family val="2"/>
      </rPr>
      <t xml:space="preserve">浜松町ビル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</si>
  <si>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</si>
  <si>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KDX-013</t>
  </si>
  <si>
    <r>
      <rPr>
        <sz val="10"/>
        <color rgb="FF0000FF"/>
        <rFont val="Arial"/>
        <family val="0"/>
        <charset val="1"/>
      </rPr>
      <t xml:space="preserve">KDX</t>
    </r>
    <r>
      <rPr>
        <sz val="10"/>
        <color rgb="FF0000FF"/>
        <rFont val="Noto Sans CJK SC"/>
        <family val="2"/>
      </rPr>
      <t xml:space="preserve">茅場町ビル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</si>
  <si>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</si>
  <si>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KDX-014</t>
  </si>
  <si>
    <r>
      <rPr>
        <sz val="10"/>
        <color rgb="FF0000FF"/>
        <rFont val="Arial"/>
        <family val="0"/>
        <charset val="1"/>
      </rPr>
      <t xml:space="preserve">KDX</t>
    </r>
    <r>
      <rPr>
        <sz val="10"/>
        <color rgb="FF0000FF"/>
        <rFont val="Noto Sans CJK SC"/>
        <family val="2"/>
      </rPr>
      <t xml:space="preserve">新横浜ビル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</si>
  <si>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</si>
  <si>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KDX-015</t>
  </si>
  <si>
    <r>
      <rPr>
        <sz val="10"/>
        <color rgb="FF0000FF"/>
        <rFont val="Arial"/>
        <family val="0"/>
        <charset val="1"/>
      </rPr>
      <t xml:space="preserve">KDX</t>
    </r>
    <r>
      <rPr>
        <sz val="10"/>
        <color rgb="FF0000FF"/>
        <rFont val="Noto Sans CJK SC"/>
        <family val="2"/>
      </rPr>
      <t xml:space="preserve">鍛冶町ビル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</si>
  <si>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</si>
  <si>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KDX-016</t>
  </si>
  <si>
    <r>
      <rPr>
        <sz val="10"/>
        <color rgb="FF0000FF"/>
        <rFont val="Arial"/>
        <family val="0"/>
        <charset val="1"/>
      </rPr>
      <t xml:space="preserve">KDX</t>
    </r>
    <r>
      <rPr>
        <sz val="10"/>
        <color rgb="FF0000FF"/>
        <rFont val="Noto Sans CJK SC"/>
        <family val="2"/>
      </rPr>
      <t xml:space="preserve">東新宿ビル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</si>
  <si>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</si>
  <si>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KDX-017</t>
  </si>
  <si>
    <r>
      <rPr>
        <sz val="10"/>
        <color rgb="FF0000FF"/>
        <rFont val="Arial"/>
        <family val="0"/>
        <charset val="1"/>
      </rPr>
      <t xml:space="preserve">KDX</t>
    </r>
    <r>
      <rPr>
        <sz val="10"/>
        <color rgb="FF0000FF"/>
        <rFont val="Noto Sans CJK SC"/>
        <family val="2"/>
      </rPr>
      <t xml:space="preserve">西五反田ビル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</si>
  <si>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A1018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</si>
  <si>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KDX-018</t>
  </si>
  <si>
    <r>
      <rPr>
        <sz val="10"/>
        <color rgb="FF0000FF"/>
        <rFont val="Arial"/>
        <family val="0"/>
        <charset val="1"/>
      </rPr>
      <t xml:space="preserve">KDX</t>
    </r>
    <r>
      <rPr>
        <sz val="10"/>
        <color rgb="FF0000FF"/>
        <rFont val="Noto Sans CJK SC"/>
        <family val="2"/>
      </rPr>
      <t xml:space="preserve">芝大門ビル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</si>
  <si>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</si>
  <si>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KDX-019</t>
  </si>
  <si>
    <r>
      <rPr>
        <sz val="10"/>
        <color rgb="FF0000FF"/>
        <rFont val="Arial"/>
        <family val="0"/>
        <charset val="1"/>
      </rPr>
      <t xml:space="preserve">KDX</t>
    </r>
    <r>
      <rPr>
        <sz val="10"/>
        <color rgb="FF0000FF"/>
        <rFont val="Noto Sans CJK SC"/>
        <family val="2"/>
      </rPr>
      <t xml:space="preserve">御徒町ビル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</si>
  <si>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</si>
  <si>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KDX-020</t>
  </si>
  <si>
    <r>
      <rPr>
        <sz val="10"/>
        <color rgb="FF0000FF"/>
        <rFont val="Arial"/>
        <family val="0"/>
        <charset val="1"/>
      </rPr>
      <t xml:space="preserve">KDX</t>
    </r>
    <r>
      <rPr>
        <sz val="10"/>
        <color rgb="FF0000FF"/>
        <rFont val="Noto Sans CJK SC"/>
        <family val="2"/>
      </rPr>
      <t xml:space="preserve">八王子ビル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</si>
  <si>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</si>
  <si>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KDX-021</t>
  </si>
  <si>
    <r>
      <rPr>
        <sz val="10"/>
        <color rgb="FF0000FF"/>
        <rFont val="Arial"/>
        <family val="0"/>
        <charset val="1"/>
      </rPr>
      <t xml:space="preserve">KDX</t>
    </r>
    <r>
      <rPr>
        <sz val="10"/>
        <color rgb="FF0000FF"/>
        <rFont val="Noto Sans CJK SC"/>
        <family val="2"/>
      </rPr>
      <t xml:space="preserve">御茶ノ水ビル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</si>
  <si>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</si>
  <si>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KDX-022</t>
  </si>
  <si>
    <r>
      <rPr>
        <sz val="10"/>
        <color rgb="FF0000FF"/>
        <rFont val="Arial"/>
        <family val="0"/>
        <charset val="1"/>
      </rPr>
      <t xml:space="preserve">KDX</t>
    </r>
    <r>
      <rPr>
        <sz val="10"/>
        <color rgb="FF0000FF"/>
        <rFont val="Noto Sans CJK SC"/>
        <family val="2"/>
      </rPr>
      <t xml:space="preserve">西新宿ビル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</si>
  <si>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</si>
  <si>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KDX-023</t>
  </si>
  <si>
    <t xml:space="preserve">飛栄九段北ビル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</si>
  <si>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</si>
  <si>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KDX-024</t>
  </si>
  <si>
    <r>
      <rPr>
        <sz val="10"/>
        <color rgb="FF0000FF"/>
        <rFont val="Arial"/>
        <family val="0"/>
        <charset val="1"/>
      </rPr>
      <t xml:space="preserve">KDX</t>
    </r>
    <r>
      <rPr>
        <sz val="10"/>
        <color rgb="FF0000FF"/>
        <rFont val="Noto Sans CJK SC"/>
        <family val="2"/>
      </rPr>
      <t xml:space="preserve">浜町中ノ橋ビル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</si>
  <si>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</si>
  <si>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KDX-025</t>
  </si>
  <si>
    <t xml:space="preserve">新都心丸善ビル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</si>
  <si>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A1028</t>
    </r>
    <r>
      <rPr>
        <sz val="10"/>
        <color rgb="FF0000FF"/>
        <rFont val="Noto Sans CJK SC"/>
        <family val="2"/>
      </rPr>
      <t xml:space="preserve">。</t>
    </r>
    <r>
      <rPr>
        <sz val="10"/>
        <color rgb="FF0000FF"/>
        <rFont val="Arial"/>
        <family val="0"/>
        <charset val="1"/>
      </rPr>
      <t xml:space="preserve">2025/12/1</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新都心丸善ビル</t>
    </r>
    <r>
      <rPr>
        <sz val="10"/>
        <color rgb="FF0000FF"/>
        <rFont val="Arial"/>
        <family val="0"/>
        <charset val="1"/>
      </rPr>
      <t xml:space="preserve">)</t>
    </r>
    <r>
      <rPr>
        <sz val="10"/>
        <color rgb="FF0000FF"/>
        <rFont val="Noto Sans CJK SC"/>
        <family val="2"/>
      </rPr>
      <t xml:space="preserve">。当期収入</t>
    </r>
    <r>
      <rPr>
        <sz val="10"/>
        <color rgb="FF0000FF"/>
        <rFont val="Arial"/>
        <family val="0"/>
        <charset val="1"/>
      </rPr>
      <t xml:space="preserve">43</t>
    </r>
    <r>
      <rPr>
        <sz val="10"/>
        <color rgb="FF0000FF"/>
        <rFont val="Noto Sans CJK SC"/>
        <family val="2"/>
      </rPr>
      <t xml:space="preserve">百万円のみ物件別表に掲載。期末保有物件でないため基本情報は非掲載</t>
    </r>
  </si>
  <si>
    <t xml:space="preserve">KDX-026</t>
  </si>
  <si>
    <r>
      <rPr>
        <sz val="10"/>
        <color rgb="FF0000FF"/>
        <rFont val="Arial"/>
        <family val="0"/>
        <charset val="1"/>
      </rPr>
      <t xml:space="preserve">KDX</t>
    </r>
    <r>
      <rPr>
        <sz val="10"/>
        <color rgb="FF0000FF"/>
        <rFont val="Noto Sans CJK SC"/>
        <family val="2"/>
      </rPr>
      <t xml:space="preserve">神保町ビル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</si>
  <si>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A1029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</si>
  <si>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KDX-027</t>
  </si>
  <si>
    <r>
      <rPr>
        <sz val="10"/>
        <color rgb="FF0000FF"/>
        <rFont val="Arial"/>
        <family val="0"/>
        <charset val="1"/>
      </rPr>
      <t xml:space="preserve">KDX</t>
    </r>
    <r>
      <rPr>
        <sz val="10"/>
        <color rgb="FF0000FF"/>
        <rFont val="Noto Sans CJK SC"/>
        <family val="2"/>
      </rPr>
      <t xml:space="preserve">晴海ビル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</si>
  <si>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</si>
  <si>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KDX-028</t>
  </si>
  <si>
    <r>
      <rPr>
        <sz val="10"/>
        <color rgb="FF0000FF"/>
        <rFont val="Arial"/>
        <family val="0"/>
        <charset val="1"/>
      </rPr>
      <t xml:space="preserve">KDX</t>
    </r>
    <r>
      <rPr>
        <sz val="10"/>
        <color rgb="FF0000FF"/>
        <rFont val="Noto Sans CJK SC"/>
        <family val="2"/>
      </rPr>
      <t xml:space="preserve">文京小石川ビル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</si>
  <si>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</si>
  <si>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KDX-029</t>
  </si>
  <si>
    <r>
      <rPr>
        <sz val="10"/>
        <color rgb="FF0000FF"/>
        <rFont val="Arial"/>
        <family val="0"/>
        <charset val="1"/>
      </rPr>
      <t xml:space="preserve">KDX</t>
    </r>
    <r>
      <rPr>
        <sz val="10"/>
        <color rgb="FF0000FF"/>
        <rFont val="Noto Sans CJK SC"/>
        <family val="2"/>
      </rPr>
      <t xml:space="preserve">五反田ビル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</si>
  <si>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</si>
  <si>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KDX-030</t>
  </si>
  <si>
    <r>
      <rPr>
        <sz val="10"/>
        <color rgb="FF0000FF"/>
        <rFont val="Arial"/>
        <family val="0"/>
        <charset val="1"/>
      </rPr>
      <t xml:space="preserve">KDX</t>
    </r>
    <r>
      <rPr>
        <sz val="10"/>
        <color rgb="FF0000FF"/>
        <rFont val="Noto Sans CJK SC"/>
        <family val="2"/>
      </rPr>
      <t xml:space="preserve">日本橋</t>
    </r>
    <r>
      <rPr>
        <sz val="10"/>
        <color rgb="FF0000FF"/>
        <rFont val="Arial"/>
        <family val="0"/>
        <charset val="1"/>
      </rPr>
      <t xml:space="preserve">216</t>
    </r>
    <r>
      <rPr>
        <sz val="10"/>
        <color rgb="FF0000FF"/>
        <rFont val="Noto Sans CJK SC"/>
        <family val="2"/>
      </rPr>
      <t xml:space="preserve">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</si>
  <si>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</si>
  <si>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KDX-031</t>
  </si>
  <si>
    <r>
      <rPr>
        <sz val="10"/>
        <color rgb="FF0000FF"/>
        <rFont val="Arial"/>
        <family val="0"/>
        <charset val="1"/>
      </rPr>
      <t xml:space="preserve">KDX</t>
    </r>
    <r>
      <rPr>
        <sz val="10"/>
        <color rgb="FF0000FF"/>
        <rFont val="Noto Sans CJK SC"/>
        <family val="2"/>
      </rPr>
      <t xml:space="preserve">新宿ビル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</si>
  <si>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</si>
  <si>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KDX-032</t>
  </si>
  <si>
    <r>
      <rPr>
        <sz val="10"/>
        <color rgb="FF0000FF"/>
        <rFont val="Arial"/>
        <family val="0"/>
        <charset val="1"/>
      </rPr>
      <t xml:space="preserve">KDX</t>
    </r>
    <r>
      <rPr>
        <sz val="10"/>
        <color rgb="FF0000FF"/>
        <rFont val="Noto Sans CJK SC"/>
        <family val="2"/>
      </rPr>
      <t xml:space="preserve">銀座一丁目ビル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</si>
  <si>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</si>
  <si>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KDX-033</t>
  </si>
  <si>
    <r>
      <rPr>
        <sz val="10"/>
        <color rgb="FF0000FF"/>
        <rFont val="Arial"/>
        <family val="0"/>
        <charset val="1"/>
      </rPr>
      <t xml:space="preserve">KDX</t>
    </r>
    <r>
      <rPr>
        <sz val="10"/>
        <color rgb="FF0000FF"/>
        <rFont val="Noto Sans CJK SC"/>
        <family val="2"/>
      </rPr>
      <t xml:space="preserve">飯田橋ビル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</si>
  <si>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</si>
  <si>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KDX-034</t>
  </si>
  <si>
    <r>
      <rPr>
        <sz val="10"/>
        <color rgb="FF0000FF"/>
        <rFont val="Arial"/>
        <family val="0"/>
        <charset val="1"/>
      </rPr>
      <t xml:space="preserve">KDX</t>
    </r>
    <r>
      <rPr>
        <sz val="10"/>
        <color rgb="FF0000FF"/>
        <rFont val="Noto Sans CJK SC"/>
        <family val="2"/>
      </rPr>
      <t xml:space="preserve">箱崎ビル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</si>
  <si>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A1039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</si>
  <si>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KDX-035</t>
  </si>
  <si>
    <r>
      <rPr>
        <sz val="10"/>
        <color rgb="FF0000FF"/>
        <rFont val="Arial"/>
        <family val="0"/>
        <charset val="1"/>
      </rPr>
      <t xml:space="preserve">KDX</t>
    </r>
    <r>
      <rPr>
        <sz val="10"/>
        <color rgb="FF0000FF"/>
        <rFont val="Noto Sans CJK SC"/>
        <family val="2"/>
      </rPr>
      <t xml:space="preserve">立川駅前ビル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</si>
  <si>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</si>
  <si>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KDX-036</t>
  </si>
  <si>
    <r>
      <rPr>
        <sz val="10"/>
        <color rgb="FF0000FF"/>
        <rFont val="Arial"/>
        <family val="0"/>
        <charset val="1"/>
      </rPr>
      <t xml:space="preserve">KDX</t>
    </r>
    <r>
      <rPr>
        <sz val="10"/>
        <color rgb="FF0000FF"/>
        <rFont val="Noto Sans CJK SC"/>
        <family val="2"/>
      </rPr>
      <t xml:space="preserve">府中ビル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</si>
  <si>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</si>
  <si>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KDX-037</t>
  </si>
  <si>
    <r>
      <rPr>
        <sz val="10"/>
        <color rgb="FF0000FF"/>
        <rFont val="Arial"/>
        <family val="0"/>
        <charset val="1"/>
      </rPr>
      <t xml:space="preserve">KDX</t>
    </r>
    <r>
      <rPr>
        <sz val="10"/>
        <color rgb="FF0000FF"/>
        <rFont val="Noto Sans CJK SC"/>
        <family val="2"/>
      </rPr>
      <t xml:space="preserve">春日ビル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</si>
  <si>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</si>
  <si>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KDX-038</t>
  </si>
  <si>
    <r>
      <rPr>
        <sz val="10"/>
        <color rgb="FF0000FF"/>
        <rFont val="Arial"/>
        <family val="0"/>
        <charset val="1"/>
      </rPr>
      <t xml:space="preserve">KDX</t>
    </r>
    <r>
      <rPr>
        <sz val="10"/>
        <color rgb="FF0000FF"/>
        <rFont val="Noto Sans CJK SC"/>
        <family val="2"/>
      </rPr>
      <t xml:space="preserve">中目黒ビル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</si>
  <si>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</si>
  <si>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KDX-039</t>
  </si>
  <si>
    <r>
      <rPr>
        <sz val="10"/>
        <color rgb="FF0000FF"/>
        <rFont val="Arial"/>
        <family val="0"/>
        <charset val="1"/>
      </rPr>
      <t xml:space="preserve">KDX</t>
    </r>
    <r>
      <rPr>
        <sz val="10"/>
        <color rgb="FF0000FF"/>
        <rFont val="Noto Sans CJK SC"/>
        <family val="2"/>
      </rPr>
      <t xml:space="preserve">大宮ビル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</si>
  <si>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</si>
  <si>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KDX-040</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</si>
  <si>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</si>
  <si>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KDX-041</t>
  </si>
  <si>
    <r>
      <rPr>
        <sz val="10"/>
        <color rgb="FF0000FF"/>
        <rFont val="Arial"/>
        <family val="0"/>
        <charset val="1"/>
      </rPr>
      <t xml:space="preserve">KDX</t>
    </r>
    <r>
      <rPr>
        <sz val="10"/>
        <color rgb="FF0000FF"/>
        <rFont val="Noto Sans CJK SC"/>
        <family val="2"/>
      </rPr>
      <t xml:space="preserve">新宿六丁目ビル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</si>
  <si>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</si>
  <si>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KDX-042</t>
  </si>
  <si>
    <r>
      <rPr>
        <sz val="10"/>
        <color rgb="FF0000FF"/>
        <rFont val="Arial"/>
        <family val="0"/>
        <charset val="1"/>
      </rPr>
      <t xml:space="preserve">KDX</t>
    </r>
    <r>
      <rPr>
        <sz val="10"/>
        <color rgb="FF0000FF"/>
        <rFont val="Noto Sans CJK SC"/>
        <family val="2"/>
      </rPr>
      <t xml:space="preserve">池袋ビル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</si>
  <si>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</si>
  <si>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KDX-043</t>
  </si>
  <si>
    <r>
      <rPr>
        <sz val="10"/>
        <color rgb="FF0000FF"/>
        <rFont val="Arial"/>
        <family val="0"/>
        <charset val="1"/>
      </rPr>
      <t xml:space="preserve">KDX</t>
    </r>
    <r>
      <rPr>
        <sz val="10"/>
        <color rgb="FF0000FF"/>
        <rFont val="Noto Sans CJK SC"/>
        <family val="2"/>
      </rPr>
      <t xml:space="preserve">三田ビル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</si>
  <si>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</si>
  <si>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KDX-044</t>
  </si>
  <si>
    <r>
      <rPr>
        <sz val="10"/>
        <color rgb="FF0000FF"/>
        <rFont val="Arial"/>
        <family val="0"/>
        <charset val="1"/>
      </rPr>
      <t xml:space="preserve">KDX</t>
    </r>
    <r>
      <rPr>
        <sz val="10"/>
        <color rgb="FF0000FF"/>
        <rFont val="Noto Sans CJK SC"/>
        <family val="2"/>
      </rPr>
      <t xml:space="preserve">高輪台ビル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</si>
  <si>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A1049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</si>
  <si>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KDX-045</t>
  </si>
  <si>
    <r>
      <rPr>
        <sz val="10"/>
        <color rgb="FF0000FF"/>
        <rFont val="Arial"/>
        <family val="0"/>
        <charset val="1"/>
      </rPr>
      <t xml:space="preserve">KDX</t>
    </r>
    <r>
      <rPr>
        <sz val="10"/>
        <color rgb="FF0000FF"/>
        <rFont val="Noto Sans CJK SC"/>
        <family val="2"/>
      </rPr>
      <t xml:space="preserve">秋葉原ビル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</si>
  <si>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</si>
  <si>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KDX-046</t>
  </si>
  <si>
    <r>
      <rPr>
        <sz val="10"/>
        <color rgb="FF0000FF"/>
        <rFont val="Arial"/>
        <family val="0"/>
        <charset val="1"/>
      </rPr>
      <t xml:space="preserve">KDX</t>
    </r>
    <r>
      <rPr>
        <sz val="10"/>
        <color rgb="FF0000FF"/>
        <rFont val="Noto Sans CJK SC"/>
        <family val="2"/>
      </rPr>
      <t xml:space="preserve">飯田橋スクエア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</si>
  <si>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</si>
  <si>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KDX-047</t>
  </si>
  <si>
    <r>
      <rPr>
        <sz val="10"/>
        <color rgb="FF0000FF"/>
        <rFont val="Arial"/>
        <family val="0"/>
        <charset val="1"/>
      </rPr>
      <t xml:space="preserve">KDX</t>
    </r>
    <r>
      <rPr>
        <sz val="10"/>
        <color rgb="FF0000FF"/>
        <rFont val="Noto Sans CJK SC"/>
        <family val="2"/>
      </rPr>
      <t xml:space="preserve">武蔵小杉ビル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</si>
  <si>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</si>
  <si>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KDX-048</t>
  </si>
  <si>
    <t xml:space="preserve">新宿6丁目ビル(底地)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</si>
  <si>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</si>
  <si>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KDX-049</t>
  </si>
  <si>
    <r>
      <rPr>
        <sz val="10"/>
        <color rgb="FF0000FF"/>
        <rFont val="Arial"/>
        <family val="0"/>
        <charset val="1"/>
      </rPr>
      <t xml:space="preserve">KDX</t>
    </r>
    <r>
      <rPr>
        <sz val="10"/>
        <color rgb="FF0000FF"/>
        <rFont val="Noto Sans CJK SC"/>
        <family val="2"/>
      </rPr>
      <t xml:space="preserve">豊洲グランスクエア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</si>
  <si>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</si>
  <si>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KDX-050</t>
  </si>
  <si>
    <r>
      <rPr>
        <sz val="10"/>
        <color rgb="FF0000FF"/>
        <rFont val="Arial"/>
        <family val="0"/>
        <charset val="1"/>
      </rPr>
      <t xml:space="preserve">KDX</t>
    </r>
    <r>
      <rPr>
        <sz val="10"/>
        <color rgb="FF0000FF"/>
        <rFont val="Noto Sans CJK SC"/>
        <family val="2"/>
      </rPr>
      <t xml:space="preserve">高田馬場ビル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</si>
  <si>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</si>
  <si>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KDX-051</t>
  </si>
  <si>
    <r>
      <rPr>
        <sz val="10"/>
        <color rgb="FF0000FF"/>
        <rFont val="Arial"/>
        <family val="0"/>
        <charset val="1"/>
      </rPr>
      <t xml:space="preserve">KDX</t>
    </r>
    <r>
      <rPr>
        <sz val="10"/>
        <color rgb="FF0000FF"/>
        <rFont val="Noto Sans CJK SC"/>
        <family val="2"/>
      </rPr>
      <t xml:space="preserve">池袋ウエストビル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</si>
  <si>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</si>
  <si>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KDX-052</t>
  </si>
  <si>
    <r>
      <rPr>
        <sz val="10"/>
        <color rgb="FF0000FF"/>
        <rFont val="Arial"/>
        <family val="0"/>
        <charset val="1"/>
      </rPr>
      <t xml:space="preserve">KDX</t>
    </r>
    <r>
      <rPr>
        <sz val="10"/>
        <color rgb="FF0000FF"/>
        <rFont val="Noto Sans CJK SC"/>
        <family val="2"/>
      </rPr>
      <t xml:space="preserve">横浜ビル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</si>
  <si>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</si>
  <si>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KDX-053</t>
  </si>
  <si>
    <r>
      <rPr>
        <sz val="10"/>
        <color rgb="FF0000FF"/>
        <rFont val="Arial"/>
        <family val="0"/>
        <charset val="1"/>
      </rPr>
      <t xml:space="preserve">KDX</t>
    </r>
    <r>
      <rPr>
        <sz val="10"/>
        <color rgb="FF0000FF"/>
        <rFont val="Noto Sans CJK SC"/>
        <family val="2"/>
      </rPr>
      <t xml:space="preserve">横浜西口ビル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</si>
  <si>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</si>
  <si>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KDX-054</t>
  </si>
  <si>
    <r>
      <rPr>
        <sz val="10"/>
        <color rgb="FF0000FF"/>
        <rFont val="Arial"/>
        <family val="0"/>
        <charset val="1"/>
      </rPr>
      <t xml:space="preserve">KDX</t>
    </r>
    <r>
      <rPr>
        <sz val="10"/>
        <color rgb="FF0000FF"/>
        <rFont val="Noto Sans CJK SC"/>
        <family val="2"/>
      </rPr>
      <t xml:space="preserve">銀座イーストビル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</si>
  <si>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A1059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</si>
  <si>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KDX-055</t>
  </si>
  <si>
    <t xml:space="preserve">ぺんてるビル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</si>
  <si>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</si>
  <si>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KDX-056</t>
  </si>
  <si>
    <r>
      <rPr>
        <sz val="10"/>
        <color rgb="FF0000FF"/>
        <rFont val="Arial"/>
        <family val="0"/>
        <charset val="1"/>
      </rPr>
      <t xml:space="preserve">KDX</t>
    </r>
    <r>
      <rPr>
        <sz val="10"/>
        <color rgb="FF0000FF"/>
        <rFont val="Noto Sans CJK SC"/>
        <family val="2"/>
      </rPr>
      <t xml:space="preserve">浜松町センタービル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</si>
  <si>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</si>
  <si>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KDX-057</t>
  </si>
  <si>
    <r>
      <rPr>
        <sz val="10"/>
        <color rgb="FF0000FF"/>
        <rFont val="Arial"/>
        <family val="0"/>
        <charset val="1"/>
      </rPr>
      <t xml:space="preserve">KDX</t>
    </r>
    <r>
      <rPr>
        <sz val="10"/>
        <color rgb="FF0000FF"/>
        <rFont val="Noto Sans CJK SC"/>
        <family val="2"/>
      </rPr>
      <t xml:space="preserve">虎ノ門一丁目ビル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</si>
  <si>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</si>
  <si>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KDX-058</t>
  </si>
  <si>
    <r>
      <rPr>
        <sz val="10"/>
        <color rgb="FF0000FF"/>
        <rFont val="Arial"/>
        <family val="0"/>
        <charset val="1"/>
      </rPr>
      <t xml:space="preserve">KDX</t>
    </r>
    <r>
      <rPr>
        <sz val="10"/>
        <color rgb="FF0000FF"/>
        <rFont val="Noto Sans CJK SC"/>
        <family val="2"/>
      </rPr>
      <t xml:space="preserve">新日本橋駅前ビル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</si>
  <si>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</si>
  <si>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KDX-059</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</si>
  <si>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</si>
  <si>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KDX-060</t>
  </si>
  <si>
    <r>
      <rPr>
        <sz val="10"/>
        <color rgb="FF0000FF"/>
        <rFont val="Arial"/>
        <family val="0"/>
        <charset val="1"/>
      </rPr>
      <t xml:space="preserve">KDX</t>
    </r>
    <r>
      <rPr>
        <sz val="10"/>
        <color rgb="FF0000FF"/>
        <rFont val="Noto Sans CJK SC"/>
        <family val="2"/>
      </rPr>
      <t xml:space="preserve">西新橋ビル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</si>
  <si>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</si>
  <si>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KDX-061</t>
  </si>
  <si>
    <r>
      <rPr>
        <sz val="10"/>
        <color rgb="FF0000FF"/>
        <rFont val="Arial"/>
        <family val="0"/>
        <charset val="1"/>
      </rPr>
      <t xml:space="preserve">BR</t>
    </r>
    <r>
      <rPr>
        <sz val="10"/>
        <color rgb="FF0000FF"/>
        <rFont val="Noto Sans CJK SC"/>
        <family val="2"/>
      </rPr>
      <t xml:space="preserve">五反田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</si>
  <si>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</si>
  <si>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KDX-062</t>
  </si>
  <si>
    <r>
      <rPr>
        <sz val="10"/>
        <color rgb="FF0000FF"/>
        <rFont val="Arial"/>
        <family val="0"/>
        <charset val="1"/>
      </rPr>
      <t xml:space="preserve">KDX</t>
    </r>
    <r>
      <rPr>
        <sz val="10"/>
        <color rgb="FF0000FF"/>
        <rFont val="Noto Sans CJK SC"/>
        <family val="2"/>
      </rPr>
      <t xml:space="preserve">渋谷南平台ビル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</si>
  <si>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</si>
  <si>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KDX-063</t>
  </si>
  <si>
    <r>
      <rPr>
        <sz val="10"/>
        <color rgb="FF0000FF"/>
        <rFont val="Arial"/>
        <family val="0"/>
        <charset val="1"/>
      </rPr>
      <t xml:space="preserve">KDX</t>
    </r>
    <r>
      <rPr>
        <sz val="10"/>
        <color rgb="FF0000FF"/>
        <rFont val="Noto Sans CJK SC"/>
        <family val="2"/>
      </rPr>
      <t xml:space="preserve">横浜みなとみらいタワー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</si>
  <si>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</si>
  <si>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KDX-064</t>
  </si>
  <si>
    <r>
      <rPr>
        <sz val="10"/>
        <color rgb="FF0000FF"/>
        <rFont val="Arial"/>
        <family val="0"/>
        <charset val="1"/>
      </rPr>
      <t xml:space="preserve">KDX</t>
    </r>
    <r>
      <rPr>
        <sz val="10"/>
        <color rgb="FF0000FF"/>
        <rFont val="Noto Sans CJK SC"/>
        <family val="2"/>
      </rPr>
      <t xml:space="preserve">横浜関内ビル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</si>
  <si>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A1069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</si>
  <si>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KDX-065</t>
  </si>
  <si>
    <r>
      <rPr>
        <sz val="10"/>
        <color rgb="FF0000FF"/>
        <rFont val="Arial"/>
        <family val="0"/>
        <charset val="1"/>
      </rPr>
      <t xml:space="preserve">KDX</t>
    </r>
    <r>
      <rPr>
        <sz val="10"/>
        <color rgb="FF0000FF"/>
        <rFont val="Noto Sans CJK SC"/>
        <family val="2"/>
      </rPr>
      <t xml:space="preserve">浜松町プレイス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</si>
  <si>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</si>
  <si>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KDX-066</t>
  </si>
  <si>
    <r>
      <rPr>
        <sz val="10"/>
        <color rgb="FF0000FF"/>
        <rFont val="Arial"/>
        <family val="0"/>
        <charset val="1"/>
      </rPr>
      <t xml:space="preserve">KDX</t>
    </r>
    <r>
      <rPr>
        <sz val="10"/>
        <color rgb="FF0000FF"/>
        <rFont val="Noto Sans CJK SC"/>
        <family val="2"/>
      </rPr>
      <t xml:space="preserve">調布ビル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</si>
  <si>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</si>
  <si>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KDX-067</t>
  </si>
  <si>
    <r>
      <rPr>
        <sz val="10"/>
        <color rgb="FF0000FF"/>
        <rFont val="Arial"/>
        <family val="0"/>
        <charset val="1"/>
      </rPr>
      <t xml:space="preserve">KDX</t>
    </r>
    <r>
      <rPr>
        <sz val="10"/>
        <color rgb="FF0000FF"/>
        <rFont val="Noto Sans CJK SC"/>
        <family val="2"/>
      </rPr>
      <t xml:space="preserve">神田駅前ビル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</si>
  <si>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</si>
  <si>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KDX-068</t>
  </si>
  <si>
    <r>
      <rPr>
        <sz val="10"/>
        <color rgb="FF0000FF"/>
        <rFont val="Arial"/>
        <family val="0"/>
        <charset val="1"/>
      </rPr>
      <t xml:space="preserve">KDX</t>
    </r>
    <r>
      <rPr>
        <sz val="10"/>
        <color rgb="FF0000FF"/>
        <rFont val="Noto Sans CJK SC"/>
        <family val="2"/>
      </rPr>
      <t xml:space="preserve">新橋駅前ビル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</si>
  <si>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</si>
  <si>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KDX-069</t>
  </si>
  <si>
    <r>
      <rPr>
        <sz val="10"/>
        <color rgb="FF0000FF"/>
        <rFont val="Arial"/>
        <family val="0"/>
        <charset val="1"/>
      </rPr>
      <t xml:space="preserve">KDX</t>
    </r>
    <r>
      <rPr>
        <sz val="10"/>
        <color rgb="FF0000FF"/>
        <rFont val="Noto Sans CJK SC"/>
        <family val="2"/>
      </rPr>
      <t xml:space="preserve">江戸橋ビル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</si>
  <si>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A1074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</si>
  <si>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KDX-070</t>
  </si>
  <si>
    <t xml:space="preserve">ポルタス・センタービル</t>
  </si>
  <si>
    <t xml:space="preserve">地方経済圏（KDX区分）</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</si>
  <si>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</si>
  <si>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KDX-071</t>
  </si>
  <si>
    <r>
      <rPr>
        <sz val="10"/>
        <color rgb="FF0000FF"/>
        <rFont val="Arial"/>
        <family val="0"/>
        <charset val="1"/>
      </rPr>
      <t xml:space="preserve">KDX</t>
    </r>
    <r>
      <rPr>
        <sz val="10"/>
        <color rgb="FF0000FF"/>
        <rFont val="Noto Sans CJK SC"/>
        <family val="2"/>
      </rPr>
      <t xml:space="preserve">烏丸ビル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</si>
  <si>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</si>
  <si>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KDX-072</t>
  </si>
  <si>
    <r>
      <rPr>
        <sz val="10"/>
        <color rgb="FF0000FF"/>
        <rFont val="Arial"/>
        <family val="0"/>
        <charset val="1"/>
      </rPr>
      <t xml:space="preserve">KDX</t>
    </r>
    <r>
      <rPr>
        <sz val="10"/>
        <color rgb="FF0000FF"/>
        <rFont val="Noto Sans CJK SC"/>
        <family val="2"/>
      </rPr>
      <t xml:space="preserve">仙台ビル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</si>
  <si>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</si>
  <si>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KDX-073</t>
  </si>
  <si>
    <r>
      <rPr>
        <sz val="10"/>
        <color rgb="FF0000FF"/>
        <rFont val="Arial"/>
        <family val="0"/>
        <charset val="1"/>
      </rPr>
      <t xml:space="preserve">KDX</t>
    </r>
    <r>
      <rPr>
        <sz val="10"/>
        <color rgb="FF0000FF"/>
        <rFont val="Noto Sans CJK SC"/>
        <family val="2"/>
      </rPr>
      <t xml:space="preserve">博多南ビル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</si>
  <si>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</si>
  <si>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KDX-074</t>
  </si>
  <si>
    <r>
      <rPr>
        <sz val="10"/>
        <color rgb="FF0000FF"/>
        <rFont val="Arial"/>
        <family val="0"/>
        <charset val="1"/>
      </rPr>
      <t xml:space="preserve">KDX</t>
    </r>
    <r>
      <rPr>
        <sz val="10"/>
        <color rgb="FF0000FF"/>
        <rFont val="Noto Sans CJK SC"/>
        <family val="2"/>
      </rPr>
      <t xml:space="preserve">小林道修町ビル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</si>
  <si>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</si>
  <si>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KDX-075</t>
  </si>
  <si>
    <r>
      <rPr>
        <sz val="10"/>
        <color rgb="FF0000FF"/>
        <rFont val="Arial"/>
        <family val="0"/>
        <charset val="1"/>
      </rPr>
      <t xml:space="preserve">KDX</t>
    </r>
    <r>
      <rPr>
        <sz val="10"/>
        <color rgb="FF0000FF"/>
        <rFont val="Noto Sans CJK SC"/>
        <family val="2"/>
      </rPr>
      <t xml:space="preserve">札幌ビル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</si>
  <si>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</si>
  <si>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KDX-076</t>
  </si>
  <si>
    <r>
      <rPr>
        <sz val="10"/>
        <color rgb="FF0000FF"/>
        <rFont val="Arial"/>
        <family val="0"/>
        <charset val="1"/>
      </rPr>
      <t xml:space="preserve">KDX</t>
    </r>
    <r>
      <rPr>
        <sz val="10"/>
        <color rgb="FF0000FF"/>
        <rFont val="Noto Sans CJK SC"/>
        <family val="2"/>
      </rPr>
      <t xml:space="preserve">名古屋駅前ビル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</si>
  <si>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</si>
  <si>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KDX-077</t>
  </si>
  <si>
    <r>
      <rPr>
        <sz val="10"/>
        <color rgb="FF0000FF"/>
        <rFont val="Arial"/>
        <family val="0"/>
        <charset val="1"/>
      </rPr>
      <t xml:space="preserve">KDX</t>
    </r>
    <r>
      <rPr>
        <sz val="10"/>
        <color rgb="FF0000FF"/>
        <rFont val="Noto Sans CJK SC"/>
        <family val="2"/>
      </rPr>
      <t xml:space="preserve">東梅田ビル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</si>
  <si>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A2009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</si>
  <si>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KDX-078</t>
  </si>
  <si>
    <r>
      <rPr>
        <sz val="10"/>
        <color rgb="FF0000FF"/>
        <rFont val="Arial"/>
        <family val="0"/>
        <charset val="1"/>
      </rPr>
      <t xml:space="preserve">KDX</t>
    </r>
    <r>
      <rPr>
        <sz val="10"/>
        <color rgb="FF0000FF"/>
        <rFont val="Noto Sans CJK SC"/>
        <family val="2"/>
      </rPr>
      <t xml:space="preserve">宇都宮ビル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</si>
  <si>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A2010</t>
    </r>
    <r>
      <rPr>
        <sz val="10"/>
        <color rgb="FF0000FF"/>
        <rFont val="Noto Sans CJK SC"/>
        <family val="2"/>
      </rPr>
      <t xml:space="preserve">。</t>
    </r>
    <r>
      <rPr>
        <sz val="10"/>
        <color rgb="FF0000FF"/>
        <rFont val="Arial"/>
        <family val="0"/>
        <charset val="1"/>
      </rPr>
      <t xml:space="preserve">2026/3/31</t>
    </r>
    <r>
      <rPr>
        <sz val="10"/>
        <color rgb="FF0000FF"/>
        <rFont val="Noto Sans CJK SC"/>
        <family val="2"/>
      </rPr>
      <t xml:space="preserve">譲渡</t>
    </r>
    <r>
      <rPr>
        <sz val="10"/>
        <color rgb="FF0000FF"/>
        <rFont val="Arial"/>
        <family val="0"/>
        <charset val="1"/>
      </rPr>
      <t xml:space="preserve">(KDX</t>
    </r>
    <r>
      <rPr>
        <sz val="10"/>
        <color rgb="FF0000FF"/>
        <rFont val="Noto Sans CJK SC"/>
        <family val="2"/>
      </rPr>
      <t xml:space="preserve">宇都宮ビル</t>
    </r>
    <r>
      <rPr>
        <sz val="10"/>
        <color rgb="FF0000FF"/>
        <rFont val="Arial"/>
        <family val="0"/>
        <charset val="1"/>
      </rPr>
      <t xml:space="preserve">)</t>
    </r>
    <r>
      <rPr>
        <sz val="10"/>
        <color rgb="FF0000FF"/>
        <rFont val="Noto Sans CJK SC"/>
        <family val="2"/>
      </rPr>
      <t xml:space="preserve">。当期収入</t>
    </r>
    <r>
      <rPr>
        <sz val="10"/>
        <color rgb="FF0000FF"/>
        <rFont val="Arial"/>
        <family val="0"/>
        <charset val="1"/>
      </rPr>
      <t xml:space="preserve">134</t>
    </r>
    <r>
      <rPr>
        <sz val="10"/>
        <color rgb="FF0000FF"/>
        <rFont val="Noto Sans CJK SC"/>
        <family val="2"/>
      </rPr>
      <t xml:space="preserve">百万円のみ物件別表に掲載。期末保有物件でないため基本情報は非掲載</t>
    </r>
  </si>
  <si>
    <t xml:space="preserve">KDX-079</t>
  </si>
  <si>
    <r>
      <rPr>
        <sz val="10"/>
        <color rgb="FF0000FF"/>
        <rFont val="Arial"/>
        <family val="0"/>
        <charset val="1"/>
      </rPr>
      <t xml:space="preserve">KDX</t>
    </r>
    <r>
      <rPr>
        <sz val="10"/>
        <color rgb="FF0000FF"/>
        <rFont val="Noto Sans CJK SC"/>
        <family val="2"/>
      </rPr>
      <t xml:space="preserve">広島ビル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</si>
  <si>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A2011</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</si>
  <si>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KDX-080</t>
  </si>
  <si>
    <t xml:space="preserve">千里ライフサイエンスセンタービル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</si>
  <si>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A2012</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</si>
  <si>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KDX-081</t>
  </si>
  <si>
    <r>
      <rPr>
        <sz val="10"/>
        <color rgb="FF0000FF"/>
        <rFont val="Arial"/>
        <family val="0"/>
        <charset val="1"/>
      </rPr>
      <t xml:space="preserve">KDX</t>
    </r>
    <r>
      <rPr>
        <sz val="10"/>
        <color rgb="FF0000FF"/>
        <rFont val="Noto Sans CJK SC"/>
        <family val="2"/>
      </rPr>
      <t xml:space="preserve">南本町ビル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</si>
  <si>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A2013</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</si>
  <si>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KDX-082</t>
  </si>
  <si>
    <r>
      <rPr>
        <sz val="10"/>
        <color rgb="FF0000FF"/>
        <rFont val="Arial"/>
        <family val="0"/>
        <charset val="1"/>
      </rPr>
      <t xml:space="preserve">KDX</t>
    </r>
    <r>
      <rPr>
        <sz val="10"/>
        <color rgb="FF0000FF"/>
        <rFont val="Noto Sans CJK SC"/>
        <family val="2"/>
      </rPr>
      <t xml:space="preserve">桜通ビル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</si>
  <si>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A2014</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</si>
  <si>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KDX-083</t>
  </si>
  <si>
    <r>
      <rPr>
        <sz val="10"/>
        <color rgb="FF0000FF"/>
        <rFont val="Arial"/>
        <family val="0"/>
        <charset val="1"/>
      </rPr>
      <t xml:space="preserve">KDX</t>
    </r>
    <r>
      <rPr>
        <sz val="10"/>
        <color rgb="FF0000FF"/>
        <rFont val="Noto Sans CJK SC"/>
        <family val="2"/>
      </rPr>
      <t xml:space="preserve">新大阪ビル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</si>
  <si>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A2015</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</si>
  <si>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KDX-084</t>
  </si>
  <si>
    <r>
      <rPr>
        <sz val="10"/>
        <color rgb="FF0000FF"/>
        <rFont val="Arial"/>
        <family val="0"/>
        <charset val="1"/>
      </rPr>
      <t xml:space="preserve">KDX</t>
    </r>
    <r>
      <rPr>
        <sz val="10"/>
        <color rgb="FF0000FF"/>
        <rFont val="Noto Sans CJK SC"/>
        <family val="2"/>
      </rPr>
      <t xml:space="preserve">名古屋日銀前ビル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</si>
  <si>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A2016</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</si>
  <si>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KDX-085</t>
  </si>
  <si>
    <r>
      <rPr>
        <sz val="10"/>
        <color rgb="FF0000FF"/>
        <rFont val="Arial"/>
        <family val="0"/>
        <charset val="1"/>
      </rPr>
      <t xml:space="preserve">KDX</t>
    </r>
    <r>
      <rPr>
        <sz val="10"/>
        <color rgb="FF0000FF"/>
        <rFont val="Noto Sans CJK SC"/>
        <family val="2"/>
      </rPr>
      <t xml:space="preserve">札幌北口ビル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</si>
  <si>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A2017</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</si>
  <si>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KDX-086</t>
  </si>
  <si>
    <r>
      <rPr>
        <sz val="10"/>
        <color rgb="FF0000FF"/>
        <rFont val="Arial"/>
        <family val="0"/>
        <charset val="1"/>
      </rPr>
      <t xml:space="preserve">KDX</t>
    </r>
    <r>
      <rPr>
        <sz val="10"/>
        <color rgb="FF0000FF"/>
        <rFont val="Noto Sans CJK SC"/>
        <family val="2"/>
      </rPr>
      <t xml:space="preserve">土佐堀ビル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</si>
  <si>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A2018</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</si>
  <si>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KDX-087</t>
  </si>
  <si>
    <r>
      <rPr>
        <sz val="10"/>
        <color rgb="FF0000FF"/>
        <rFont val="Arial"/>
        <family val="0"/>
        <charset val="1"/>
      </rPr>
      <t xml:space="preserve">KDX</t>
    </r>
    <r>
      <rPr>
        <sz val="10"/>
        <color rgb="FF0000FF"/>
        <rFont val="Noto Sans CJK SC"/>
        <family val="2"/>
      </rPr>
      <t xml:space="preserve">仙台本町ビル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</si>
  <si>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A2019</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</si>
  <si>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KDX-088</t>
  </si>
  <si>
    <r>
      <rPr>
        <sz val="10"/>
        <color rgb="FF0000FF"/>
        <rFont val="Arial"/>
        <family val="0"/>
        <charset val="1"/>
      </rPr>
      <t xml:space="preserve">KDX</t>
    </r>
    <r>
      <rPr>
        <sz val="10"/>
        <color rgb="FF0000FF"/>
        <rFont val="Noto Sans CJK SC"/>
        <family val="2"/>
      </rPr>
      <t xml:space="preserve">神戸ビル</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</si>
  <si>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A2020</t>
    </r>
    <r>
      <rPr>
        <sz val="10"/>
        <color rgb="FF0000FF"/>
        <rFont val="Noto Sans CJK SC"/>
        <family val="2"/>
      </rPr>
      <t xml:space="preserve">。所在地・竣工年月・延床面積は短信非掲載のため未収録</t>
    </r>
    <r>
      <rPr>
        <sz val="10"/>
        <color rgb="FF0000FF"/>
        <rFont val="Arial"/>
        <family val="0"/>
        <charset val="1"/>
      </rPr>
      <t xml:space="preserve">(</t>
    </r>
    <r>
      <rPr>
        <sz val="10"/>
        <color rgb="FF0000FF"/>
        <rFont val="Noto Sans CJK SC"/>
        <family val="2"/>
      </rPr>
      <t xml:space="preserve">個別物件データブック</t>
    </r>
    <r>
      <rPr>
        <sz val="10"/>
        <color rgb="FF0000FF"/>
        <rFont val="Arial"/>
        <family val="0"/>
        <charset val="1"/>
      </rPr>
      <t xml:space="preserve">xlsx</t>
    </r>
    <r>
      <rPr>
        <sz val="10"/>
        <color rgb="FF0000FF"/>
        <rFont val="Noto Sans CJK SC"/>
        <family val="2"/>
      </rPr>
      <t xml:space="preserve">別綴で公表</t>
    </r>
    <r>
      <rPr>
        <sz val="10"/>
        <color rgb="FF0000FF"/>
        <rFont val="Arial"/>
        <family val="0"/>
        <charset val="1"/>
      </rPr>
      <t xml:space="preserve">)</t>
    </r>
    <r>
      <rPr>
        <sz val="10"/>
        <color rgb="FF0000FF"/>
        <rFont val="Noto Sans CJK SC"/>
        <family val="2"/>
      </rPr>
      <t xml:space="preserve">。エリア区分は短信開示の</t>
    </r>
    <r>
      <rPr>
        <sz val="10"/>
        <color rgb="FF0000FF"/>
        <rFont val="Arial"/>
        <family val="0"/>
        <charset val="1"/>
      </rPr>
      <t xml:space="preserve">2</t>
    </r>
    <r>
      <rPr>
        <sz val="10"/>
        <color rgb="FF0000FF"/>
        <rFont val="Noto Sans CJK SC"/>
        <family val="2"/>
      </rPr>
      <t xml:space="preserve">区分</t>
    </r>
    <r>
      <rPr>
        <sz val="10"/>
        <color rgb="FF0000FF"/>
        <rFont val="Arial"/>
        <family val="0"/>
        <charset val="1"/>
      </rPr>
      <t xml:space="preserve">(</t>
    </r>
    <r>
      <rPr>
        <sz val="10"/>
        <color rgb="FF0000FF"/>
        <rFont val="Noto Sans CJK SC"/>
        <family val="2"/>
      </rPr>
      <t xml:space="preserve">東京経済圏</t>
    </r>
    <r>
      <rPr>
        <sz val="10"/>
        <color rgb="FF0000FF"/>
        <rFont val="Arial"/>
        <family val="0"/>
        <charset val="1"/>
      </rPr>
      <t xml:space="preserve">/</t>
    </r>
    <r>
      <rPr>
        <sz val="10"/>
        <color rgb="FF0000FF"/>
        <rFont val="Noto Sans CJK SC"/>
        <family val="2"/>
      </rPr>
      <t xml:space="preserve">地方経済圏</t>
    </r>
    <r>
      <rPr>
        <sz val="10"/>
        <color rgb="FF0000FF"/>
        <rFont val="Arial"/>
        <family val="0"/>
        <charset val="1"/>
      </rPr>
      <t xml:space="preserve">)</t>
    </r>
    <r>
      <rPr>
        <sz val="10"/>
        <color rgb="FF0000FF"/>
        <rFont val="Noto Sans CJK SC"/>
        <family val="2"/>
      </rPr>
      <t xml:space="preserve">を収録</t>
    </r>
  </si>
  <si>
    <t xml:space="preserve">KDX-ALL</t>
  </si>
  <si>
    <t xml:space="preserve">【KDXポートフォリオ全体】</t>
  </si>
  <si>
    <t xml:space="preserve">総合型（オフィス・住宅・商業ほか）</t>
  </si>
  <si>
    <r>
      <rPr>
        <sz val="10"/>
        <color rgb="FF0000FF"/>
        <rFont val="Arial"/>
        <family val="0"/>
        <charset val="1"/>
      </rPr>
      <t xml:space="preserve">343</t>
    </r>
    <r>
      <rPr>
        <sz val="10"/>
        <color rgb="FF0000FF"/>
        <rFont val="Noto Sans CJK SC"/>
        <family val="2"/>
      </rPr>
      <t xml:space="preserve">物件（</t>
    </r>
    <r>
      <rPr>
        <sz val="10"/>
        <color rgb="FF0000FF"/>
        <rFont val="Arial"/>
        <family val="0"/>
        <charset val="1"/>
      </rPr>
      <t xml:space="preserve">2026/4/30</t>
    </r>
    <r>
      <rPr>
        <sz val="10"/>
        <color rgb="FF0000FF"/>
        <rFont val="Noto Sans CJK SC"/>
        <family val="2"/>
      </rPr>
      <t xml:space="preserve">時点）</t>
    </r>
  </si>
  <si>
    <r>
      <rPr>
        <sz val="10"/>
        <color rgb="FF0000FF"/>
        <rFont val="Arial"/>
        <family val="0"/>
        <charset val="1"/>
      </rPr>
      <t xml:space="preserve">2023/11</t>
    </r>
    <r>
      <rPr>
        <sz val="10"/>
        <color rgb="FF0000FF"/>
        <rFont val="Noto Sans CJK SC"/>
        <family val="2"/>
      </rPr>
      <t xml:space="preserve">に旧</t>
    </r>
    <r>
      <rPr>
        <sz val="10"/>
        <color rgb="FF0000FF"/>
        <rFont val="Arial"/>
        <family val="0"/>
        <charset val="1"/>
      </rPr>
      <t xml:space="preserve">KDX</t>
    </r>
    <r>
      <rPr>
        <sz val="10"/>
        <color rgb="FF0000FF"/>
        <rFont val="Noto Sans CJK SC"/>
        <family val="2"/>
      </rPr>
      <t xml:space="preserve">オフィス投資法人</t>
    </r>
    <r>
      <rPr>
        <sz val="10"/>
        <color rgb="FF0000FF"/>
        <rFont val="Arial"/>
        <family val="0"/>
        <charset val="1"/>
      </rPr>
      <t xml:space="preserve">(8972)</t>
    </r>
    <r>
      <rPr>
        <sz val="10"/>
        <color rgb="FF0000FF"/>
        <rFont val="Noto Sans CJK SC"/>
        <family val="2"/>
      </rPr>
      <t xml:space="preserve">・ケネディクス・レジデンシャル・ネクスト</t>
    </r>
    <r>
      <rPr>
        <sz val="10"/>
        <color rgb="FF0000FF"/>
        <rFont val="Arial"/>
        <family val="0"/>
        <charset val="1"/>
      </rPr>
      <t xml:space="preserve">(3278)</t>
    </r>
    <r>
      <rPr>
        <sz val="10"/>
        <color rgb="FF0000FF"/>
        <rFont val="Noto Sans CJK SC"/>
        <family val="2"/>
      </rPr>
      <t xml:space="preserve">・ケネディクス商業リート</t>
    </r>
    <r>
      <rPr>
        <sz val="10"/>
        <color rgb="FF0000FF"/>
        <rFont val="Arial"/>
        <family val="0"/>
        <charset val="1"/>
      </rPr>
      <t xml:space="preserve">(3453)</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リート合併で誕生した国内最大級の総合型リート。期末</t>
    </r>
    <r>
      <rPr>
        <sz val="10"/>
        <color rgb="FF0000FF"/>
        <rFont val="Arial"/>
        <family val="0"/>
        <charset val="1"/>
      </rPr>
      <t xml:space="preserve">343</t>
    </r>
    <r>
      <rPr>
        <sz val="10"/>
        <color rgb="FF0000FF"/>
        <rFont val="Noto Sans CJK SC"/>
        <family val="2"/>
      </rPr>
      <t xml:space="preserve">物件・取得価格合計</t>
    </r>
    <r>
      <rPr>
        <sz val="10"/>
        <color rgb="FF0000FF"/>
        <rFont val="Arial"/>
        <family val="0"/>
        <charset val="1"/>
      </rPr>
      <t xml:space="preserve">1,218,978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本</t>
    </r>
    <r>
      <rPr>
        <sz val="10"/>
        <color rgb="FF0000FF"/>
        <rFont val="Arial"/>
        <family val="0"/>
        <charset val="1"/>
      </rPr>
      <t xml:space="preserve">DB16</t>
    </r>
    <r>
      <rPr>
        <sz val="10"/>
        <color rgb="FF0000FF"/>
        <rFont val="Noto Sans CJK SC"/>
        <family val="2"/>
      </rPr>
      <t xml:space="preserve">法人中最大。用途別内訳</t>
    </r>
    <r>
      <rPr>
        <sz val="10"/>
        <color rgb="FF0000FF"/>
        <rFont val="Arial"/>
        <family val="0"/>
        <charset val="1"/>
      </rPr>
      <t xml:space="preserve">(</t>
    </r>
    <r>
      <rPr>
        <sz val="10"/>
        <color rgb="FF0000FF"/>
        <rFont val="Noto Sans CJK SC"/>
        <family val="2"/>
      </rPr>
      <t xml:space="preserve">取得百万円</t>
    </r>
    <r>
      <rPr>
        <sz val="10"/>
        <color rgb="FF0000FF"/>
        <rFont val="Arial"/>
        <family val="0"/>
        <charset val="1"/>
      </rPr>
      <t xml:space="preserve">): </t>
    </r>
    <r>
      <rPr>
        <sz val="10"/>
        <color rgb="FF0000FF"/>
        <rFont val="Noto Sans CJK SC"/>
        <family val="2"/>
      </rPr>
      <t xml:space="preserve">オフィス</t>
    </r>
    <r>
      <rPr>
        <sz val="10"/>
        <color rgb="FF0000FF"/>
        <rFont val="Arial"/>
        <family val="0"/>
        <charset val="1"/>
      </rPr>
      <t xml:space="preserve">86</t>
    </r>
    <r>
      <rPr>
        <sz val="10"/>
        <color rgb="FF0000FF"/>
        <rFont val="Noto Sans CJK SC"/>
        <family val="2"/>
      </rPr>
      <t xml:space="preserve">物件</t>
    </r>
    <r>
      <rPr>
        <sz val="10"/>
        <color rgb="FF0000FF"/>
        <rFont val="Arial"/>
        <family val="0"/>
        <charset val="1"/>
      </rPr>
      <t xml:space="preserve">413,162/</t>
    </r>
    <r>
      <rPr>
        <sz val="10"/>
        <color rgb="FF0000FF"/>
        <rFont val="Noto Sans CJK SC"/>
        <family val="2"/>
      </rPr>
      <t xml:space="preserve">居住</t>
    </r>
    <r>
      <rPr>
        <sz val="10"/>
        <color rgb="FF0000FF"/>
        <rFont val="Arial"/>
        <family val="0"/>
        <charset val="1"/>
      </rPr>
      <t xml:space="preserve">135</t>
    </r>
    <r>
      <rPr>
        <sz val="10"/>
        <color rgb="FF0000FF"/>
        <rFont val="Noto Sans CJK SC"/>
        <family val="2"/>
      </rPr>
      <t xml:space="preserve">物件</t>
    </r>
    <r>
      <rPr>
        <sz val="10"/>
        <color rgb="FF0000FF"/>
        <rFont val="Arial"/>
        <family val="0"/>
        <charset val="1"/>
      </rPr>
      <t xml:space="preserve">314,834/</t>
    </r>
    <r>
      <rPr>
        <sz val="10"/>
        <color rgb="FF0000FF"/>
        <rFont val="Noto Sans CJK SC"/>
        <family val="2"/>
      </rPr>
      <t xml:space="preserve">商業</t>
    </r>
    <r>
      <rPr>
        <sz val="10"/>
        <color rgb="FF0000FF"/>
        <rFont val="Arial"/>
        <family val="0"/>
        <charset val="1"/>
      </rPr>
      <t xml:space="preserve">60</t>
    </r>
    <r>
      <rPr>
        <sz val="10"/>
        <color rgb="FF0000FF"/>
        <rFont val="Noto Sans CJK SC"/>
        <family val="2"/>
      </rPr>
      <t xml:space="preserve">物件</t>
    </r>
    <r>
      <rPr>
        <sz val="10"/>
        <color rgb="FF0000FF"/>
        <rFont val="Arial"/>
        <family val="0"/>
        <charset val="1"/>
      </rPr>
      <t xml:space="preserve">301,885/</t>
    </r>
    <r>
      <rPr>
        <sz val="10"/>
        <color rgb="FF0000FF"/>
        <rFont val="Noto Sans CJK SC"/>
        <family val="2"/>
      </rPr>
      <t xml:space="preserve">物流</t>
    </r>
    <r>
      <rPr>
        <sz val="10"/>
        <color rgb="FF0000FF"/>
        <rFont val="Arial"/>
        <family val="0"/>
        <charset val="1"/>
      </rPr>
      <t xml:space="preserve">14</t>
    </r>
    <r>
      <rPr>
        <sz val="10"/>
        <color rgb="FF0000FF"/>
        <rFont val="Noto Sans CJK SC"/>
        <family val="2"/>
      </rPr>
      <t xml:space="preserve">物件</t>
    </r>
    <r>
      <rPr>
        <sz val="10"/>
        <color rgb="FF0000FF"/>
        <rFont val="Arial"/>
        <family val="0"/>
        <charset val="1"/>
      </rPr>
      <t xml:space="preserve">43,759/</t>
    </r>
    <r>
      <rPr>
        <sz val="10"/>
        <color rgb="FF0000FF"/>
        <rFont val="Noto Sans CJK SC"/>
        <family val="2"/>
      </rPr>
      <t xml:space="preserve">宿泊</t>
    </r>
    <r>
      <rPr>
        <sz val="10"/>
        <color rgb="FF0000FF"/>
        <rFont val="Arial"/>
        <family val="0"/>
        <charset val="1"/>
      </rPr>
      <t xml:space="preserve">6</t>
    </r>
    <r>
      <rPr>
        <sz val="10"/>
        <color rgb="FF0000FF"/>
        <rFont val="Noto Sans CJK SC"/>
        <family val="2"/>
      </rPr>
      <t xml:space="preserve">物件</t>
    </r>
    <r>
      <rPr>
        <sz val="10"/>
        <color rgb="FF0000FF"/>
        <rFont val="Arial"/>
        <family val="0"/>
        <charset val="1"/>
      </rPr>
      <t xml:space="preserve">56,060/</t>
    </r>
    <r>
      <rPr>
        <sz val="10"/>
        <color rgb="FF0000FF"/>
        <rFont val="Noto Sans CJK SC"/>
        <family val="2"/>
      </rPr>
      <t xml:space="preserve">ヘルスケア</t>
    </r>
    <r>
      <rPr>
        <sz val="10"/>
        <color rgb="FF0000FF"/>
        <rFont val="Arial"/>
        <family val="0"/>
        <charset val="1"/>
      </rPr>
      <t xml:space="preserve">42</t>
    </r>
    <r>
      <rPr>
        <sz val="10"/>
        <color rgb="FF0000FF"/>
        <rFont val="Noto Sans CJK SC"/>
        <family val="2"/>
      </rPr>
      <t xml:space="preserve">物件</t>
    </r>
    <r>
      <rPr>
        <sz val="10"/>
        <color rgb="FF0000FF"/>
        <rFont val="Arial"/>
        <family val="0"/>
        <charset val="1"/>
      </rPr>
      <t xml:space="preserve">89,278</t>
    </r>
    <r>
      <rPr>
        <sz val="10"/>
        <color rgb="FF0000FF"/>
        <rFont val="Noto Sans CJK SC"/>
        <family val="2"/>
      </rPr>
      <t xml:space="preserve">。帳簿</t>
    </r>
    <r>
      <rPr>
        <sz val="10"/>
        <color rgb="FF0000FF"/>
        <rFont val="Arial"/>
        <family val="0"/>
        <charset val="1"/>
      </rPr>
      <t xml:space="preserve">1,194,401/</t>
    </r>
    <r>
      <rPr>
        <sz val="10"/>
        <color rgb="FF0000FF"/>
        <rFont val="Noto Sans CJK SC"/>
        <family val="2"/>
      </rPr>
      <t xml:space="preserve">期末鑑定</t>
    </r>
    <r>
      <rPr>
        <sz val="10"/>
        <color rgb="FF0000FF"/>
        <rFont val="Arial"/>
        <family val="0"/>
        <charset val="1"/>
      </rPr>
      <t xml:space="preserve">1,342,000</t>
    </r>
    <r>
      <rPr>
        <sz val="10"/>
        <color rgb="FF0000FF"/>
        <rFont val="Noto Sans CJK SC"/>
        <family val="2"/>
      </rPr>
      <t xml:space="preserve">百万円。</t>
    </r>
    <r>
      <rPr>
        <sz val="10"/>
        <color rgb="FF0000FF"/>
        <rFont val="Arial"/>
        <family val="0"/>
        <charset val="1"/>
      </rPr>
      <t xml:space="preserve">NLA2,313,854.89</t>
    </r>
    <r>
      <rPr>
        <sz val="10"/>
        <color rgb="FF0000FF"/>
        <rFont val="Noto Sans CJK SC"/>
        <family val="2"/>
      </rPr>
      <t xml:space="preserve">㎡・稼働</t>
    </r>
    <r>
      <rPr>
        <sz val="10"/>
        <color rgb="FF0000FF"/>
        <rFont val="Arial"/>
        <family val="0"/>
        <charset val="1"/>
      </rPr>
      <t xml:space="preserve">98.6%</t>
    </r>
    <r>
      <rPr>
        <sz val="10"/>
        <color rgb="FF0000FF"/>
        <rFont val="Noto Sans CJK SC"/>
        <family val="2"/>
      </rPr>
      <t xml:space="preserve">・テナント</t>
    </r>
    <r>
      <rPr>
        <sz val="10"/>
        <color rgb="FF0000FF"/>
        <rFont val="Arial"/>
        <family val="0"/>
        <charset val="1"/>
      </rPr>
      <t xml:space="preserve">2,027</t>
    </r>
    <r>
      <rPr>
        <sz val="10"/>
        <color rgb="FF0000FF"/>
        <rFont val="Noto Sans CJK SC"/>
        <family val="2"/>
      </rPr>
      <t xml:space="preserve">。【原資料の切捨て表示に関する注記】物件別</t>
    </r>
    <r>
      <rPr>
        <sz val="10"/>
        <color rgb="FF0000FF"/>
        <rFont val="Arial"/>
        <family val="0"/>
        <charset val="1"/>
      </rPr>
      <t xml:space="preserve">(</t>
    </r>
    <r>
      <rPr>
        <sz val="10"/>
        <color rgb="FF0000FF"/>
        <rFont val="Noto Sans CJK SC"/>
        <family val="2"/>
      </rPr>
      <t xml:space="preserve">百万円未満切捨て</t>
    </r>
    <r>
      <rPr>
        <sz val="10"/>
        <color rgb="FF0000FF"/>
        <rFont val="Arial"/>
        <family val="0"/>
        <charset val="1"/>
      </rPr>
      <t xml:space="preserve">)</t>
    </r>
    <r>
      <rPr>
        <sz val="10"/>
        <color rgb="FF0000FF"/>
        <rFont val="Noto Sans CJK SC"/>
        <family val="2"/>
      </rPr>
      <t xml:space="preserve">の合算は用途別小計より僅少に小さい</t>
    </r>
    <r>
      <rPr>
        <sz val="10"/>
        <color rgb="FF0000FF"/>
        <rFont val="Arial"/>
        <family val="0"/>
        <charset val="1"/>
      </rPr>
      <t xml:space="preserve">(</t>
    </r>
    <r>
      <rPr>
        <sz val="10"/>
        <color rgb="FF0000FF"/>
        <rFont val="Noto Sans CJK SC"/>
        <family val="2"/>
      </rPr>
      <t xml:space="preserve">オフィスで取得</t>
    </r>
    <r>
      <rPr>
        <sz val="10"/>
        <color rgb="FF0000FF"/>
        <rFont val="Arial"/>
        <family val="0"/>
        <charset val="1"/>
      </rPr>
      <t xml:space="preserve">-2</t>
    </r>
    <r>
      <rPr>
        <sz val="10"/>
        <color rgb="FF0000FF"/>
        <rFont val="Noto Sans CJK SC"/>
        <family val="2"/>
      </rPr>
      <t xml:space="preserve">・帳簿</t>
    </r>
    <r>
      <rPr>
        <sz val="10"/>
        <color rgb="FF0000FF"/>
        <rFont val="Arial"/>
        <family val="0"/>
        <charset val="1"/>
      </rPr>
      <t xml:space="preserve">-45</t>
    </r>
    <r>
      <rPr>
        <sz val="10"/>
        <color rgb="FF0000FF"/>
        <rFont val="Noto Sans CJK SC"/>
        <family val="2"/>
      </rPr>
      <t xml:space="preserve">百万円等</t>
    </r>
    <r>
      <rPr>
        <sz val="10"/>
        <color rgb="FF0000FF"/>
        <rFont val="Arial"/>
        <family val="0"/>
        <charset val="1"/>
      </rPr>
      <t xml:space="preserve">=</t>
    </r>
    <r>
      <rPr>
        <sz val="10"/>
        <color rgb="FF0000FF"/>
        <rFont val="Noto Sans CJK SC"/>
        <family val="2"/>
      </rPr>
      <t xml:space="preserve">切捨て累積・</t>
    </r>
    <r>
      <rPr>
        <sz val="10"/>
        <color rgb="FF0000FF"/>
        <rFont val="Arial"/>
        <family val="0"/>
        <charset val="1"/>
      </rPr>
      <t xml:space="preserve">SHR</t>
    </r>
    <r>
      <rPr>
        <sz val="10"/>
        <color rgb="FF0000FF"/>
        <rFont val="Noto Sans CJK SC"/>
        <family val="2"/>
      </rPr>
      <t xml:space="preserve">で機械照合確定済みと同パターン。帳簿は物件別合算</t>
    </r>
    <r>
      <rPr>
        <sz val="10"/>
        <color rgb="FF0000FF"/>
        <rFont val="Arial"/>
        <family val="0"/>
        <charset val="1"/>
      </rPr>
      <t xml:space="preserve">1,194,234&lt;</t>
    </r>
    <r>
      <rPr>
        <sz val="10"/>
        <color rgb="FF0000FF"/>
        <rFont val="Noto Sans CJK SC"/>
        <family val="2"/>
      </rPr>
      <t xml:space="preserve">用途別小計合算</t>
    </r>
    <r>
      <rPr>
        <sz val="10"/>
        <color rgb="FF0000FF"/>
        <rFont val="Arial"/>
        <family val="0"/>
        <charset val="1"/>
      </rPr>
      <t xml:space="preserve">1,194,399&lt;</t>
    </r>
    <r>
      <rPr>
        <sz val="10"/>
        <color rgb="FF0000FF"/>
        <rFont val="Noto Sans CJK SC"/>
        <family val="2"/>
      </rPr>
      <t xml:space="preserve">総合計欄</t>
    </r>
    <r>
      <rPr>
        <sz val="10"/>
        <color rgb="FF0000FF"/>
        <rFont val="Arial"/>
        <family val="0"/>
        <charset val="1"/>
      </rPr>
      <t xml:space="preserve">1,194,401</t>
    </r>
    <r>
      <rPr>
        <sz val="10"/>
        <color rgb="FF0000FF"/>
        <rFont val="Noto Sans CJK SC"/>
        <family val="2"/>
      </rPr>
      <t xml:space="preserve">の</t>
    </r>
    <r>
      <rPr>
        <sz val="10"/>
        <color rgb="FF0000FF"/>
        <rFont val="Arial"/>
        <family val="0"/>
        <charset val="1"/>
      </rPr>
      <t xml:space="preserve">3</t>
    </r>
    <r>
      <rPr>
        <sz val="10"/>
        <color rgb="FF0000FF"/>
        <rFont val="Noto Sans CJK SC"/>
        <family val="2"/>
      </rPr>
      <t xml:space="preserve">層切捨て構造で計</t>
    </r>
    <r>
      <rPr>
        <sz val="10"/>
        <color rgb="FF0000FF"/>
        <rFont val="Arial"/>
        <family val="0"/>
        <charset val="1"/>
      </rPr>
      <t xml:space="preserve">167</t>
    </r>
    <r>
      <rPr>
        <sz val="10"/>
        <color rgb="FF0000FF"/>
        <rFont val="Noto Sans CJK SC"/>
        <family val="2"/>
      </rPr>
      <t xml:space="preserve">百万円差、取得は</t>
    </r>
    <r>
      <rPr>
        <sz val="10"/>
        <color rgb="FF0000FF"/>
        <rFont val="Arial"/>
        <family val="0"/>
        <charset val="1"/>
      </rPr>
      <t xml:space="preserve">-2</t>
    </r>
    <r>
      <rPr>
        <sz val="10"/>
        <color rgb="FF0000FF"/>
        <rFont val="Noto Sans CJK SC"/>
        <family val="2"/>
      </rPr>
      <t xml:space="preserve">のみ、鑑定・テナント総数は全層完全一致</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NLA</t>
    </r>
    <r>
      <rPr>
        <sz val="10"/>
        <color rgb="FF0000FF"/>
        <rFont val="Noto Sans CJK SC"/>
        <family val="2"/>
      </rPr>
      <t xml:space="preserve">・テナント数は完全一致。期中譲渡</t>
    </r>
    <r>
      <rPr>
        <sz val="10"/>
        <color rgb="FF0000FF"/>
        <rFont val="Arial"/>
        <family val="0"/>
        <charset val="1"/>
      </rPr>
      <t xml:space="preserve">: </t>
    </r>
    <r>
      <rPr>
        <sz val="10"/>
        <color rgb="FF0000FF"/>
        <rFont val="Noto Sans CJK SC"/>
        <family val="2"/>
      </rPr>
      <t xml:space="preserve">新都心丸善ビル</t>
    </r>
    <r>
      <rPr>
        <sz val="10"/>
        <color rgb="FF0000FF"/>
        <rFont val="Arial"/>
        <family val="0"/>
        <charset val="1"/>
      </rPr>
      <t xml:space="preserve">(2025/12/1)</t>
    </r>
    <r>
      <rPr>
        <sz val="10"/>
        <color rgb="FF0000FF"/>
        <rFont val="Noto Sans CJK SC"/>
        <family val="2"/>
      </rPr>
      <t xml:space="preserve">・</t>
    </r>
    <r>
      <rPr>
        <sz val="10"/>
        <color rgb="FF0000FF"/>
        <rFont val="Arial"/>
        <family val="0"/>
        <charset val="1"/>
      </rPr>
      <t xml:space="preserve">KDX</t>
    </r>
    <r>
      <rPr>
        <sz val="10"/>
        <color rgb="FF0000FF"/>
        <rFont val="Noto Sans CJK SC"/>
        <family val="2"/>
      </rPr>
      <t xml:space="preserve">宇都宮ビル</t>
    </r>
    <r>
      <rPr>
        <sz val="10"/>
        <color rgb="FF0000FF"/>
        <rFont val="Arial"/>
        <family val="0"/>
        <charset val="1"/>
      </rPr>
      <t xml:space="preserve">(2026/3/31)</t>
    </r>
    <r>
      <rPr>
        <sz val="10"/>
        <color rgb="FF0000FF"/>
        <rFont val="Noto Sans CJK SC"/>
        <family val="2"/>
      </rPr>
      <t xml:space="preserve">。</t>
    </r>
    <r>
      <rPr>
        <sz val="10"/>
        <color rgb="FF0000FF"/>
        <rFont val="Arial"/>
        <family val="0"/>
        <charset val="1"/>
      </rPr>
      <t xml:space="preserve">2026/7/1</t>
    </r>
    <r>
      <rPr>
        <sz val="10"/>
        <color rgb="FF0000FF"/>
        <rFont val="Noto Sans CJK SC"/>
        <family val="2"/>
      </rPr>
      <t xml:space="preserve">現在</t>
    </r>
    <r>
      <rPr>
        <sz val="10"/>
        <color rgb="FF0000FF"/>
        <rFont val="Arial"/>
        <family val="0"/>
        <charset val="1"/>
      </rPr>
      <t xml:space="preserve">345</t>
    </r>
    <r>
      <rPr>
        <sz val="10"/>
        <color rgb="FF0000FF"/>
        <rFont val="Noto Sans CJK SC"/>
        <family val="2"/>
      </rPr>
      <t xml:space="preserve">物件・</t>
    </r>
    <r>
      <rPr>
        <sz val="10"/>
        <color rgb="FF0000FF"/>
        <rFont val="Arial"/>
        <family val="0"/>
        <charset val="1"/>
      </rPr>
      <t xml:space="preserve">12,264</t>
    </r>
    <r>
      <rPr>
        <sz val="10"/>
        <color rgb="FF0000FF"/>
        <rFont val="Noto Sans CJK SC"/>
        <family val="2"/>
      </rPr>
      <t xml:space="preserve">億円</t>
    </r>
    <r>
      <rPr>
        <sz val="10"/>
        <color rgb="FF0000FF"/>
        <rFont val="Arial"/>
        <family val="0"/>
        <charset val="1"/>
      </rPr>
      <t xml:space="preserve">(</t>
    </r>
    <r>
      <rPr>
        <sz val="10"/>
        <color rgb="FF0000FF"/>
        <rFont val="Noto Sans CJK SC"/>
        <family val="2"/>
      </rPr>
      <t xml:space="preserve">公式サイト</t>
    </r>
    <r>
      <rPr>
        <sz val="10"/>
        <color rgb="FF0000FF"/>
        <rFont val="Arial"/>
        <family val="0"/>
        <charset val="1"/>
      </rPr>
      <t xml:space="preserve">)</t>
    </r>
    <r>
      <rPr>
        <sz val="10"/>
        <color rgb="FF0000FF"/>
        <rFont val="Noto Sans CJK SC"/>
        <family val="2"/>
      </rPr>
      <t xml:space="preserve">。商業の</t>
    </r>
    <r>
      <rPr>
        <sz val="10"/>
        <color rgb="FF0000FF"/>
        <rFont val="Arial"/>
        <family val="0"/>
        <charset val="1"/>
      </rPr>
      <t xml:space="preserve">NLA</t>
    </r>
    <r>
      <rPr>
        <sz val="10"/>
        <color rgb="FF0000FF"/>
        <rFont val="Noto Sans CJK SC"/>
        <family val="2"/>
      </rPr>
      <t xml:space="preserve">非開示</t>
    </r>
    <r>
      <rPr>
        <sz val="10"/>
        <color rgb="FF0000FF"/>
        <rFont val="Arial"/>
        <family val="0"/>
        <charset val="1"/>
      </rPr>
      <t xml:space="preserve">4</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ヨークタウン北金目・</t>
    </r>
    <r>
      <rPr>
        <sz val="10"/>
        <color rgb="FF0000FF"/>
        <rFont val="Arial"/>
        <family val="0"/>
        <charset val="1"/>
      </rPr>
      <t xml:space="preserve">DCM</t>
    </r>
    <r>
      <rPr>
        <sz val="10"/>
        <color rgb="FF0000FF"/>
        <rFont val="Noto Sans CJK SC"/>
        <family val="2"/>
      </rPr>
      <t xml:space="preserve">中川富田・ゼビオ青森中央・西友楽市守谷の各底地等</t>
    </r>
    <r>
      <rPr>
        <sz val="10"/>
        <color rgb="FF0000FF"/>
        <rFont val="Arial"/>
        <family val="0"/>
        <charset val="1"/>
      </rPr>
      <t xml:space="preserve">)</t>
    </r>
    <r>
      <rPr>
        <sz val="10"/>
        <color rgb="FF0000FF"/>
        <rFont val="Noto Sans CJK SC"/>
        <family val="2"/>
      </rPr>
      <t xml:space="preserve">は物件行の</t>
    </r>
    <r>
      <rPr>
        <sz val="10"/>
        <color rgb="FF0000FF"/>
        <rFont val="Arial"/>
        <family val="0"/>
        <charset val="1"/>
      </rPr>
      <t xml:space="preserve">NLA</t>
    </r>
    <r>
      <rPr>
        <sz val="10"/>
        <color rgb="FF0000FF"/>
        <rFont val="Noto Sans CJK SC"/>
        <family val="2"/>
      </rPr>
      <t xml:space="preserve">空欄だが用途小計には保有持分相当が反映</t>
    </r>
    <r>
      <rPr>
        <sz val="10"/>
        <color rgb="FF0000FF"/>
        <rFont val="Arial"/>
        <family val="0"/>
        <charset val="1"/>
      </rPr>
      <t xml:space="preserve">(</t>
    </r>
    <r>
      <rPr>
        <sz val="10"/>
        <color rgb="FF0000FF"/>
        <rFont val="Noto Sans CJK SC"/>
        <family val="2"/>
      </rPr>
      <t xml:space="preserve">注</t>
    </r>
    <r>
      <rPr>
        <sz val="10"/>
        <color rgb="FF0000FF"/>
        <rFont val="Arial"/>
        <family val="0"/>
        <charset val="1"/>
      </rPr>
      <t xml:space="preserve">10)</t>
    </r>
    <r>
      <rPr>
        <sz val="10"/>
        <color rgb="FF0000FF"/>
        <rFont val="Noto Sans CJK SC"/>
        <family val="2"/>
      </rPr>
      <t xml:space="preserve">。期後</t>
    </r>
    <r>
      <rPr>
        <sz val="10"/>
        <color rgb="FF0000FF"/>
        <rFont val="Arial"/>
        <family val="0"/>
        <charset val="1"/>
      </rPr>
      <t xml:space="preserve">: 2026/6/8</t>
    </r>
    <r>
      <rPr>
        <sz val="10"/>
        <color rgb="FF0000FF"/>
        <rFont val="Noto Sans CJK SC"/>
        <family val="2"/>
      </rPr>
      <t xml:space="preserve">にライフ高殿店</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r>
      <rPr>
        <sz val="10"/>
        <color rgb="FF0000FF"/>
        <rFont val="Noto Sans CJK SC"/>
        <family val="2"/>
      </rPr>
      <t xml:space="preserve">の譲渡契約締結</t>
    </r>
    <r>
      <rPr>
        <sz val="10"/>
        <color rgb="FF0000FF"/>
        <rFont val="Arial"/>
        <family val="0"/>
        <charset val="1"/>
      </rPr>
      <t xml:space="preserve">(2026/12/1</t>
    </r>
    <r>
      <rPr>
        <sz val="10"/>
        <color rgb="FF0000FF"/>
        <rFont val="Noto Sans CJK SC"/>
        <family val="2"/>
      </rPr>
      <t xml:space="preserve">予定・</t>
    </r>
    <r>
      <rPr>
        <sz val="10"/>
        <color rgb="FF0000FF"/>
        <rFont val="Arial"/>
        <family val="0"/>
        <charset val="1"/>
      </rPr>
      <t xml:space="preserve">3,690</t>
    </r>
    <r>
      <rPr>
        <sz val="10"/>
        <color rgb="FF0000FF"/>
        <rFont val="Noto Sans CJK SC"/>
        <family val="2"/>
      </rPr>
      <t xml:space="preserve">百万円・阪急阪神リートへ・売却益</t>
    </r>
    <r>
      <rPr>
        <sz val="10"/>
        <color rgb="FF0000FF"/>
        <rFont val="Arial"/>
        <family val="0"/>
        <charset val="1"/>
      </rPr>
      <t xml:space="preserve">289</t>
    </r>
    <r>
      <rPr>
        <sz val="10"/>
        <color rgb="FF0000FF"/>
        <rFont val="Noto Sans CJK SC"/>
        <family val="2"/>
      </rPr>
      <t xml:space="preserve">百万円見込</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2026/6/25</t>
    </r>
    <r>
      <rPr>
        <sz val="10"/>
        <color rgb="FF0000FF"/>
        <rFont val="Noto Sans CJK SC"/>
        <family val="2"/>
      </rPr>
      <t xml:space="preserve">に居住</t>
    </r>
    <r>
      <rPr>
        <sz val="10"/>
        <color rgb="FF0000FF"/>
        <rFont val="Arial"/>
        <family val="0"/>
        <charset val="1"/>
      </rPr>
      <t xml:space="preserve">1+</t>
    </r>
    <r>
      <rPr>
        <sz val="10"/>
        <color rgb="FF0000FF"/>
        <rFont val="Noto Sans CJK SC"/>
        <family val="2"/>
      </rPr>
      <t xml:space="preserve">物流</t>
    </r>
    <r>
      <rPr>
        <sz val="10"/>
        <color rgb="FF0000FF"/>
        <rFont val="Arial"/>
        <family val="0"/>
        <charset val="1"/>
      </rPr>
      <t xml:space="preserve">1</t>
    </r>
    <r>
      <rPr>
        <sz val="10"/>
        <color rgb="FF0000FF"/>
        <rFont val="Noto Sans CJK SC"/>
        <family val="2"/>
      </rPr>
      <t xml:space="preserve">取得と商業</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)2</t>
    </r>
    <r>
      <rPr>
        <sz val="10"/>
        <color rgb="FF0000FF"/>
        <rFont val="Noto Sans CJK SC"/>
        <family val="2"/>
      </rPr>
      <t xml:space="preserve">譲渡を公表→</t>
    </r>
    <r>
      <rPr>
        <sz val="10"/>
        <color rgb="FF0000FF"/>
        <rFont val="Arial"/>
        <family val="0"/>
        <charset val="1"/>
      </rPr>
      <t xml:space="preserve">2026/7/1</t>
    </r>
    <r>
      <rPr>
        <sz val="10"/>
        <color rgb="FF0000FF"/>
        <rFont val="Noto Sans CJK SC"/>
        <family val="2"/>
      </rPr>
      <t xml:space="preserve">現在</t>
    </r>
    <r>
      <rPr>
        <sz val="10"/>
        <color rgb="FF0000FF"/>
        <rFont val="Arial"/>
        <family val="0"/>
        <charset val="1"/>
      </rPr>
      <t xml:space="preserve">345</t>
    </r>
    <r>
      <rPr>
        <sz val="10"/>
        <color rgb="FF0000FF"/>
        <rFont val="Noto Sans CJK SC"/>
        <family val="2"/>
      </rPr>
      <t xml:space="preserve">物件・</t>
    </r>
    <r>
      <rPr>
        <sz val="10"/>
        <color rgb="FF0000FF"/>
        <rFont val="Arial"/>
        <family val="0"/>
        <charset val="1"/>
      </rPr>
      <t xml:space="preserve">12,264</t>
    </r>
    <r>
      <rPr>
        <sz val="10"/>
        <color rgb="FF0000FF"/>
        <rFont val="Noto Sans CJK SC"/>
        <family val="2"/>
      </rPr>
      <t xml:space="preserve">億円、</t>
    </r>
    <r>
      <rPr>
        <sz val="10"/>
        <color rgb="FF0000FF"/>
        <rFont val="Arial"/>
        <family val="0"/>
        <charset val="1"/>
      </rPr>
      <t xml:space="preserve">2026/6/17</t>
    </r>
    <r>
      <rPr>
        <sz val="10"/>
        <color rgb="FF0000FF"/>
        <rFont val="Noto Sans CJK SC"/>
        <family val="2"/>
      </rPr>
      <t xml:space="preserve">決議の自己投資口取得</t>
    </r>
    <r>
      <rPr>
        <sz val="10"/>
        <color rgb="FF0000FF"/>
        <rFont val="Arial"/>
        <family val="0"/>
        <charset val="1"/>
      </rPr>
      <t xml:space="preserve">(</t>
    </r>
    <r>
      <rPr>
        <sz val="10"/>
        <color rgb="FF0000FF"/>
        <rFont val="Noto Sans CJK SC"/>
        <family val="2"/>
      </rPr>
      <t xml:space="preserve">上限</t>
    </r>
    <r>
      <rPr>
        <sz val="10"/>
        <color rgb="FF0000FF"/>
        <rFont val="Arial"/>
        <family val="0"/>
        <charset val="1"/>
      </rPr>
      <t xml:space="preserve">50,000</t>
    </r>
    <r>
      <rPr>
        <sz val="10"/>
        <color rgb="FF0000FF"/>
        <rFont val="Noto Sans CJK SC"/>
        <family val="2"/>
      </rPr>
      <t xml:space="preserve">口・</t>
    </r>
    <r>
      <rPr>
        <sz val="10"/>
        <color rgb="FF0000FF"/>
        <rFont val="Arial"/>
        <family val="0"/>
        <charset val="1"/>
      </rPr>
      <t xml:space="preserve">6,000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は</t>
    </r>
    <r>
      <rPr>
        <sz val="10"/>
        <color rgb="FF0000FF"/>
        <rFont val="Arial"/>
        <family val="0"/>
        <charset val="1"/>
      </rPr>
      <t xml:space="preserve">2026/8/3</t>
    </r>
    <r>
      <rPr>
        <sz val="10"/>
        <color rgb="FF0000FF"/>
        <rFont val="Noto Sans CJK SC"/>
        <family val="2"/>
      </rPr>
      <t xml:space="preserve">完了公表</t>
    </r>
  </si>
  <si>
    <t xml:space="preserve">KDX-089</t>
  </si>
  <si>
    <r>
      <rPr>
        <sz val="10"/>
        <color rgb="FF0000FF"/>
        <rFont val="Arial"/>
        <family val="0"/>
        <charset val="1"/>
      </rPr>
      <t xml:space="preserve">KDX</t>
    </r>
    <r>
      <rPr>
        <sz val="10"/>
        <color rgb="FF0000FF"/>
        <rFont val="Noto Sans CJK SC"/>
        <family val="2"/>
      </rPr>
      <t xml:space="preserve">代官山レジデンス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</si>
  <si>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</si>
  <si>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KDX-090</t>
  </si>
  <si>
    <r>
      <rPr>
        <sz val="10"/>
        <color rgb="FF0000FF"/>
        <rFont val="Arial"/>
        <family val="0"/>
        <charset val="1"/>
      </rPr>
      <t xml:space="preserve">KDX</t>
    </r>
    <r>
      <rPr>
        <sz val="10"/>
        <color rgb="FF0000FF"/>
        <rFont val="Noto Sans CJK SC"/>
        <family val="2"/>
      </rPr>
      <t xml:space="preserve">志村坂上レジデンス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</si>
  <si>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</si>
  <si>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KDX-091</t>
  </si>
  <si>
    <r>
      <rPr>
        <sz val="10"/>
        <color rgb="FF0000FF"/>
        <rFont val="Arial"/>
        <family val="0"/>
        <charset val="1"/>
      </rPr>
      <t xml:space="preserve">KDX</t>
    </r>
    <r>
      <rPr>
        <sz val="10"/>
        <color rgb="FF0000FF"/>
        <rFont val="Noto Sans CJK SC"/>
        <family val="2"/>
      </rPr>
      <t xml:space="preserve">大伝馬レジデンス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</si>
  <si>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</si>
  <si>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KDX-092</t>
  </si>
  <si>
    <r>
      <rPr>
        <sz val="10"/>
        <color rgb="FF0000FF"/>
        <rFont val="Arial"/>
        <family val="0"/>
        <charset val="1"/>
      </rPr>
      <t xml:space="preserve">KDX</t>
    </r>
    <r>
      <rPr>
        <sz val="10"/>
        <color rgb="FF0000FF"/>
        <rFont val="Noto Sans CJK SC"/>
        <family val="2"/>
      </rPr>
      <t xml:space="preserve">文京千石レジデンス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</si>
  <si>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</si>
  <si>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KDX-093</t>
  </si>
  <si>
    <r>
      <rPr>
        <sz val="10"/>
        <color rgb="FF0000FF"/>
        <rFont val="Arial"/>
        <family val="0"/>
        <charset val="1"/>
      </rPr>
      <t xml:space="preserve">KDX</t>
    </r>
    <r>
      <rPr>
        <sz val="10"/>
        <color rgb="FF0000FF"/>
        <rFont val="Noto Sans CJK SC"/>
        <family val="2"/>
      </rPr>
      <t xml:space="preserve">千葉中央レジデンス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</si>
  <si>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</si>
  <si>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KDX-094</t>
  </si>
  <si>
    <r>
      <rPr>
        <sz val="10"/>
        <color rgb="FF0000FF"/>
        <rFont val="Arial"/>
        <family val="0"/>
        <charset val="1"/>
      </rPr>
      <t xml:space="preserve">KDX</t>
    </r>
    <r>
      <rPr>
        <sz val="10"/>
        <color rgb="FF0000FF"/>
        <rFont val="Noto Sans CJK SC"/>
        <family val="2"/>
      </rPr>
      <t xml:space="preserve">川口幸町レジデンス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</si>
  <si>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</si>
  <si>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KDX-095</t>
  </si>
  <si>
    <r>
      <rPr>
        <sz val="10"/>
        <color rgb="FF0000FF"/>
        <rFont val="Arial"/>
        <family val="0"/>
        <charset val="1"/>
      </rPr>
      <t xml:space="preserve">KDX</t>
    </r>
    <r>
      <rPr>
        <sz val="10"/>
        <color rgb="FF0000FF"/>
        <rFont val="Noto Sans CJK SC"/>
        <family val="2"/>
      </rPr>
      <t xml:space="preserve">岩本町レジデンス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</si>
  <si>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</si>
  <si>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KDX-096</t>
  </si>
  <si>
    <r>
      <rPr>
        <sz val="10"/>
        <color rgb="FF0000FF"/>
        <rFont val="Arial"/>
        <family val="0"/>
        <charset val="1"/>
      </rPr>
      <t xml:space="preserve">KDX</t>
    </r>
    <r>
      <rPr>
        <sz val="10"/>
        <color rgb="FF0000FF"/>
        <rFont val="Noto Sans CJK SC"/>
        <family val="2"/>
      </rPr>
      <t xml:space="preserve">吾妻橋レジデンス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</si>
  <si>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B1008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</si>
  <si>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KDX-097</t>
  </si>
  <si>
    <r>
      <rPr>
        <sz val="10"/>
        <color rgb="FF0000FF"/>
        <rFont val="Arial"/>
        <family val="0"/>
        <charset val="1"/>
      </rPr>
      <t xml:space="preserve">KDX</t>
    </r>
    <r>
      <rPr>
        <sz val="10"/>
        <color rgb="FF0000FF"/>
        <rFont val="Noto Sans CJK SC"/>
        <family val="2"/>
      </rPr>
      <t xml:space="preserve">レジデンス東新宿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</si>
  <si>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</si>
  <si>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KDX-098</t>
  </si>
  <si>
    <r>
      <rPr>
        <sz val="10"/>
        <color rgb="FF0000FF"/>
        <rFont val="Arial"/>
        <family val="0"/>
        <charset val="1"/>
      </rPr>
      <t xml:space="preserve">KDX</t>
    </r>
    <r>
      <rPr>
        <sz val="10"/>
        <color rgb="FF0000FF"/>
        <rFont val="Noto Sans CJK SC"/>
        <family val="2"/>
      </rPr>
      <t xml:space="preserve">レジデンス日本橋水天宮</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</si>
  <si>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</si>
  <si>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KDX-099</t>
  </si>
  <si>
    <r>
      <rPr>
        <sz val="10"/>
        <color rgb="FF0000FF"/>
        <rFont val="Arial"/>
        <family val="0"/>
        <charset val="1"/>
      </rPr>
      <t xml:space="preserve">KDX</t>
    </r>
    <r>
      <rPr>
        <sz val="10"/>
        <color rgb="FF0000FF"/>
        <rFont val="Noto Sans CJK SC"/>
        <family val="2"/>
      </rPr>
      <t xml:space="preserve">レジデンス白金</t>
    </r>
    <r>
      <rPr>
        <sz val="10"/>
        <color rgb="FF0000FF"/>
        <rFont val="Arial"/>
        <family val="0"/>
        <charset val="1"/>
      </rPr>
      <t xml:space="preserve">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</si>
  <si>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</si>
  <si>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KDX-100</t>
  </si>
  <si>
    <r>
      <rPr>
        <sz val="10"/>
        <color rgb="FF0000FF"/>
        <rFont val="Arial"/>
        <family val="0"/>
        <charset val="1"/>
      </rPr>
      <t xml:space="preserve">KDX</t>
    </r>
    <r>
      <rPr>
        <sz val="10"/>
        <color rgb="FF0000FF"/>
        <rFont val="Noto Sans CJK SC"/>
        <family val="2"/>
      </rPr>
      <t xml:space="preserve">レジデンス白金</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</si>
  <si>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</si>
  <si>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KDX-101</t>
  </si>
  <si>
    <r>
      <rPr>
        <sz val="10"/>
        <color rgb="FF0000FF"/>
        <rFont val="Arial"/>
        <family val="0"/>
        <charset val="1"/>
      </rPr>
      <t xml:space="preserve">KDX</t>
    </r>
    <r>
      <rPr>
        <sz val="10"/>
        <color rgb="FF0000FF"/>
        <rFont val="Noto Sans CJK SC"/>
        <family val="2"/>
      </rPr>
      <t xml:space="preserve">レジデンス四谷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</si>
  <si>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</si>
  <si>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KDX-102</t>
  </si>
  <si>
    <r>
      <rPr>
        <sz val="10"/>
        <color rgb="FF0000FF"/>
        <rFont val="Arial"/>
        <family val="0"/>
        <charset val="1"/>
      </rPr>
      <t xml:space="preserve">KDX</t>
    </r>
    <r>
      <rPr>
        <sz val="10"/>
        <color rgb="FF0000FF"/>
        <rFont val="Noto Sans CJK SC"/>
        <family val="2"/>
      </rPr>
      <t xml:space="preserve">レジデンス南麻布</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</si>
  <si>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</si>
  <si>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KDX-103</t>
  </si>
  <si>
    <r>
      <rPr>
        <sz val="10"/>
        <color rgb="FF0000FF"/>
        <rFont val="Arial"/>
        <family val="0"/>
        <charset val="1"/>
      </rPr>
      <t xml:space="preserve">KDX</t>
    </r>
    <r>
      <rPr>
        <sz val="10"/>
        <color rgb="FF0000FF"/>
        <rFont val="Noto Sans CJK SC"/>
        <family val="2"/>
      </rPr>
      <t xml:space="preserve">レジデンス南青山</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</si>
  <si>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</si>
  <si>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KDX-104</t>
  </si>
  <si>
    <r>
      <rPr>
        <sz val="10"/>
        <color rgb="FF0000FF"/>
        <rFont val="Arial"/>
        <family val="0"/>
        <charset val="1"/>
      </rPr>
      <t xml:space="preserve">KDX</t>
    </r>
    <r>
      <rPr>
        <sz val="10"/>
        <color rgb="FF0000FF"/>
        <rFont val="Noto Sans CJK SC"/>
        <family val="2"/>
      </rPr>
      <t xml:space="preserve">レジデンス芝公園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</si>
  <si>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</si>
  <si>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KDX-105</t>
  </si>
  <si>
    <r>
      <rPr>
        <sz val="10"/>
        <color rgb="FF0000FF"/>
        <rFont val="Arial"/>
        <family val="0"/>
        <charset val="1"/>
      </rPr>
      <t xml:space="preserve">KDX</t>
    </r>
    <r>
      <rPr>
        <sz val="10"/>
        <color rgb="FF0000FF"/>
        <rFont val="Noto Sans CJK SC"/>
        <family val="2"/>
      </rPr>
      <t xml:space="preserve">レジデンス町田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</si>
  <si>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</si>
  <si>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KDX-106</t>
  </si>
  <si>
    <r>
      <rPr>
        <sz val="10"/>
        <color rgb="FF0000FF"/>
        <rFont val="Arial"/>
        <family val="0"/>
        <charset val="1"/>
      </rPr>
      <t xml:space="preserve">KDX</t>
    </r>
    <r>
      <rPr>
        <sz val="10"/>
        <color rgb="FF0000FF"/>
        <rFont val="Noto Sans CJK SC"/>
        <family val="2"/>
      </rPr>
      <t xml:space="preserve">レジデンス麻布イースト</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</si>
  <si>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B1019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</si>
  <si>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KDX-107</t>
  </si>
  <si>
    <r>
      <rPr>
        <sz val="10"/>
        <color rgb="FF0000FF"/>
        <rFont val="Arial"/>
        <family val="0"/>
        <charset val="1"/>
      </rPr>
      <t xml:space="preserve">KDX</t>
    </r>
    <r>
      <rPr>
        <sz val="10"/>
        <color rgb="FF0000FF"/>
        <rFont val="Noto Sans CJK SC"/>
        <family val="2"/>
      </rPr>
      <t xml:space="preserve">レジデンス西原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</si>
  <si>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</si>
  <si>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KDX-108</t>
  </si>
  <si>
    <r>
      <rPr>
        <sz val="10"/>
        <color rgb="FF0000FF"/>
        <rFont val="Arial"/>
        <family val="0"/>
        <charset val="1"/>
      </rPr>
      <t xml:space="preserve">KDX</t>
    </r>
    <r>
      <rPr>
        <sz val="10"/>
        <color rgb="FF0000FF"/>
        <rFont val="Noto Sans CJK SC"/>
        <family val="2"/>
      </rPr>
      <t xml:space="preserve">レジデンス二子玉川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</si>
  <si>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</si>
  <si>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KDX-109</t>
  </si>
  <si>
    <r>
      <rPr>
        <sz val="10"/>
        <color rgb="FF0000FF"/>
        <rFont val="Arial"/>
        <family val="0"/>
        <charset val="1"/>
      </rPr>
      <t xml:space="preserve">KDX</t>
    </r>
    <r>
      <rPr>
        <sz val="10"/>
        <color rgb="FF0000FF"/>
        <rFont val="Noto Sans CJK SC"/>
        <family val="2"/>
      </rPr>
      <t xml:space="preserve">レジデンス西新宿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</si>
  <si>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</si>
  <si>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KDX-110</t>
  </si>
  <si>
    <t xml:space="preserve">ラフィネ南馬込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</si>
  <si>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</si>
  <si>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KDX-111</t>
  </si>
  <si>
    <r>
      <rPr>
        <sz val="10"/>
        <color rgb="FF0000FF"/>
        <rFont val="Arial"/>
        <family val="0"/>
        <charset val="1"/>
      </rPr>
      <t xml:space="preserve">KDX</t>
    </r>
    <r>
      <rPr>
        <sz val="10"/>
        <color rgb="FF0000FF"/>
        <rFont val="Noto Sans CJK SC"/>
        <family val="2"/>
      </rPr>
      <t xml:space="preserve">レジデンス雪谷大塚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</si>
  <si>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</si>
  <si>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KDX-112</t>
  </si>
  <si>
    <r>
      <rPr>
        <sz val="10"/>
        <color rgb="FF0000FF"/>
        <rFont val="Arial"/>
        <family val="0"/>
        <charset val="1"/>
      </rPr>
      <t xml:space="preserve">KDX</t>
    </r>
    <r>
      <rPr>
        <sz val="10"/>
        <color rgb="FF0000FF"/>
        <rFont val="Noto Sans CJK SC"/>
        <family val="2"/>
      </rPr>
      <t xml:space="preserve">レジデンス日本橋箱崎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</si>
  <si>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</si>
  <si>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KDX-113</t>
  </si>
  <si>
    <r>
      <rPr>
        <sz val="10"/>
        <color rgb="FF0000FF"/>
        <rFont val="Arial"/>
        <family val="0"/>
        <charset val="1"/>
      </rPr>
      <t xml:space="preserve">KDX</t>
    </r>
    <r>
      <rPr>
        <sz val="10"/>
        <color rgb="FF0000FF"/>
        <rFont val="Noto Sans CJK SC"/>
        <family val="2"/>
      </rPr>
      <t xml:space="preserve">レジデンス田園調布</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</si>
  <si>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</si>
  <si>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KDX-114</t>
  </si>
  <si>
    <r>
      <rPr>
        <sz val="10"/>
        <color rgb="FF0000FF"/>
        <rFont val="Arial"/>
        <family val="0"/>
        <charset val="1"/>
      </rPr>
      <t xml:space="preserve">KDX</t>
    </r>
    <r>
      <rPr>
        <sz val="10"/>
        <color rgb="FF0000FF"/>
        <rFont val="Noto Sans CJK SC"/>
        <family val="2"/>
      </rPr>
      <t xml:space="preserve">レジデンス駒沢公園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</si>
  <si>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</si>
  <si>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KDX-115</t>
  </si>
  <si>
    <r>
      <rPr>
        <sz val="10"/>
        <color rgb="FF0000FF"/>
        <rFont val="Arial"/>
        <family val="0"/>
        <charset val="1"/>
      </rPr>
      <t xml:space="preserve">KDX</t>
    </r>
    <r>
      <rPr>
        <sz val="10"/>
        <color rgb="FF0000FF"/>
        <rFont val="Noto Sans CJK SC"/>
        <family val="2"/>
      </rPr>
      <t xml:space="preserve">レジデンス代官山</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</si>
  <si>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</si>
  <si>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KDX-116</t>
  </si>
  <si>
    <r>
      <rPr>
        <sz val="10"/>
        <color rgb="FF0000FF"/>
        <rFont val="Arial"/>
        <family val="0"/>
        <charset val="1"/>
      </rPr>
      <t xml:space="preserve">KDX</t>
    </r>
    <r>
      <rPr>
        <sz val="10"/>
        <color rgb="FF0000FF"/>
        <rFont val="Noto Sans CJK SC"/>
        <family val="2"/>
      </rPr>
      <t xml:space="preserve">レジデンス高輪</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</si>
  <si>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B1029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</si>
  <si>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KDX-117</t>
  </si>
  <si>
    <r>
      <rPr>
        <sz val="10"/>
        <color rgb="FF0000FF"/>
        <rFont val="Arial"/>
        <family val="0"/>
        <charset val="1"/>
      </rPr>
      <t xml:space="preserve">KDX</t>
    </r>
    <r>
      <rPr>
        <sz val="10"/>
        <color rgb="FF0000FF"/>
        <rFont val="Noto Sans CJK SC"/>
        <family val="2"/>
      </rPr>
      <t xml:space="preserve">レジデンス宮前平</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</si>
  <si>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</si>
  <si>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KDX-118</t>
  </si>
  <si>
    <r>
      <rPr>
        <sz val="10"/>
        <color rgb="FF0000FF"/>
        <rFont val="Arial"/>
        <family val="0"/>
        <charset val="1"/>
      </rPr>
      <t xml:space="preserve">KDX</t>
    </r>
    <r>
      <rPr>
        <sz val="10"/>
        <color rgb="FF0000FF"/>
        <rFont val="Noto Sans CJK SC"/>
        <family val="2"/>
      </rPr>
      <t xml:space="preserve">レジデンス御徒町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</si>
  <si>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</si>
  <si>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KDX-119</t>
  </si>
  <si>
    <r>
      <rPr>
        <sz val="10"/>
        <color rgb="FF0000FF"/>
        <rFont val="Arial"/>
        <family val="0"/>
        <charset val="1"/>
      </rPr>
      <t xml:space="preserve">KDX</t>
    </r>
    <r>
      <rPr>
        <sz val="10"/>
        <color rgb="FF0000FF"/>
        <rFont val="Noto Sans CJK SC"/>
        <family val="2"/>
      </rPr>
      <t xml:space="preserve">レジデンス元浅草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</si>
  <si>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</si>
  <si>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KDX-120</t>
  </si>
  <si>
    <r>
      <rPr>
        <sz val="10"/>
        <color rgb="FF0000FF"/>
        <rFont val="Arial"/>
        <family val="0"/>
        <charset val="1"/>
      </rPr>
      <t xml:space="preserve">KDX</t>
    </r>
    <r>
      <rPr>
        <sz val="10"/>
        <color rgb="FF0000FF"/>
        <rFont val="Noto Sans CJK SC"/>
        <family val="2"/>
      </rPr>
      <t xml:space="preserve">レジデンス門前仲町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</si>
  <si>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</si>
  <si>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KDX-121</t>
  </si>
  <si>
    <r>
      <rPr>
        <sz val="10"/>
        <color rgb="FF0000FF"/>
        <rFont val="Arial"/>
        <family val="0"/>
        <charset val="1"/>
      </rPr>
      <t xml:space="preserve">KDX</t>
    </r>
    <r>
      <rPr>
        <sz val="10"/>
        <color rgb="FF0000FF"/>
        <rFont val="Noto Sans CJK SC"/>
        <family val="2"/>
      </rPr>
      <t xml:space="preserve">レジデンス三宿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</si>
  <si>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</si>
  <si>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KDX-122</t>
  </si>
  <si>
    <r>
      <rPr>
        <sz val="10"/>
        <color rgb="FF0000FF"/>
        <rFont val="Arial"/>
        <family val="0"/>
        <charset val="1"/>
      </rPr>
      <t xml:space="preserve">KDX</t>
    </r>
    <r>
      <rPr>
        <sz val="10"/>
        <color rgb="FF0000FF"/>
        <rFont val="Noto Sans CJK SC"/>
        <family val="2"/>
      </rPr>
      <t xml:space="preserve">レジデンス横浜関内</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</si>
  <si>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</si>
  <si>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KDX-123</t>
  </si>
  <si>
    <r>
      <rPr>
        <sz val="10"/>
        <color rgb="FF0000FF"/>
        <rFont val="Arial"/>
        <family val="0"/>
        <charset val="1"/>
      </rPr>
      <t xml:space="preserve">KDX</t>
    </r>
    <r>
      <rPr>
        <sz val="10"/>
        <color rgb="FF0000FF"/>
        <rFont val="Noto Sans CJK SC"/>
        <family val="2"/>
      </rPr>
      <t xml:space="preserve">レジデンス神楽坂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</si>
  <si>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</si>
  <si>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KDX-124</t>
  </si>
  <si>
    <r>
      <rPr>
        <sz val="10"/>
        <color rgb="FF0000FF"/>
        <rFont val="Arial"/>
        <family val="0"/>
        <charset val="1"/>
      </rPr>
      <t xml:space="preserve">KDX</t>
    </r>
    <r>
      <rPr>
        <sz val="10"/>
        <color rgb="FF0000FF"/>
        <rFont val="Noto Sans CJK SC"/>
        <family val="2"/>
      </rPr>
      <t xml:space="preserve">レジデンス多摩川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</si>
  <si>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</si>
  <si>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KDX-125</t>
  </si>
  <si>
    <r>
      <rPr>
        <sz val="10"/>
        <color rgb="FF0000FF"/>
        <rFont val="Arial"/>
        <family val="0"/>
        <charset val="1"/>
      </rPr>
      <t xml:space="preserve">KDX</t>
    </r>
    <r>
      <rPr>
        <sz val="10"/>
        <color rgb="FF0000FF"/>
        <rFont val="Noto Sans CJK SC"/>
        <family val="2"/>
      </rPr>
      <t xml:space="preserve">レジデンス用賀</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</si>
  <si>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</si>
  <si>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KDX-126</t>
  </si>
  <si>
    <r>
      <rPr>
        <sz val="10"/>
        <color rgb="FF0000FF"/>
        <rFont val="Arial"/>
        <family val="0"/>
        <charset val="1"/>
      </rPr>
      <t xml:space="preserve">KDX</t>
    </r>
    <r>
      <rPr>
        <sz val="10"/>
        <color rgb="FF0000FF"/>
        <rFont val="Noto Sans CJK SC"/>
        <family val="2"/>
      </rPr>
      <t xml:space="preserve">レジデンス板橋本町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</si>
  <si>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B1039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</si>
  <si>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KDX-127</t>
  </si>
  <si>
    <r>
      <rPr>
        <sz val="10"/>
        <color rgb="FF0000FF"/>
        <rFont val="Arial"/>
        <family val="0"/>
        <charset val="1"/>
      </rPr>
      <t xml:space="preserve">KDX</t>
    </r>
    <r>
      <rPr>
        <sz val="10"/>
        <color rgb="FF0000FF"/>
        <rFont val="Noto Sans CJK SC"/>
        <family val="2"/>
      </rPr>
      <t xml:space="preserve">レジデンス錦糸町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</si>
  <si>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</si>
  <si>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KDX-128</t>
  </si>
  <si>
    <r>
      <rPr>
        <sz val="10"/>
        <color rgb="FF0000FF"/>
        <rFont val="Arial"/>
        <family val="0"/>
        <charset val="1"/>
      </rPr>
      <t xml:space="preserve">KDX</t>
    </r>
    <r>
      <rPr>
        <sz val="10"/>
        <color rgb="FF0000FF"/>
        <rFont val="Noto Sans CJK SC"/>
        <family val="2"/>
      </rPr>
      <t xml:space="preserve">レジデンス戸越</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</si>
  <si>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</si>
  <si>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KDX-129</t>
  </si>
  <si>
    <r>
      <rPr>
        <sz val="10"/>
        <color rgb="FF0000FF"/>
        <rFont val="Arial"/>
        <family val="0"/>
        <charset val="1"/>
      </rPr>
      <t xml:space="preserve">KDX</t>
    </r>
    <r>
      <rPr>
        <sz val="10"/>
        <color rgb="FF0000FF"/>
        <rFont val="Noto Sans CJK SC"/>
        <family val="2"/>
      </rPr>
      <t xml:space="preserve">レジデンス大山</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</si>
  <si>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</si>
  <si>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KDX-130</t>
  </si>
  <si>
    <r>
      <rPr>
        <sz val="10"/>
        <color rgb="FF0000FF"/>
        <rFont val="Arial"/>
        <family val="0"/>
        <charset val="1"/>
      </rPr>
      <t xml:space="preserve">KDX</t>
    </r>
    <r>
      <rPr>
        <sz val="10"/>
        <color rgb="FF0000FF"/>
        <rFont val="Noto Sans CJK SC"/>
        <family val="2"/>
      </rPr>
      <t xml:space="preserve">レジデンス品川シーサイド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</si>
  <si>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</si>
  <si>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KDX-131</t>
  </si>
  <si>
    <r>
      <rPr>
        <sz val="10"/>
        <color rgb="FF0000FF"/>
        <rFont val="Arial"/>
        <family val="0"/>
        <charset val="1"/>
      </rPr>
      <t xml:space="preserve">KDX</t>
    </r>
    <r>
      <rPr>
        <sz val="10"/>
        <color rgb="FF0000FF"/>
        <rFont val="Noto Sans CJK SC"/>
        <family val="2"/>
      </rPr>
      <t xml:space="preserve">レジデンス大島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</si>
  <si>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</si>
  <si>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KDX-132</t>
  </si>
  <si>
    <r>
      <rPr>
        <sz val="10"/>
        <color rgb="FF0000FF"/>
        <rFont val="Arial"/>
        <family val="0"/>
        <charset val="1"/>
      </rPr>
      <t xml:space="preserve">KDX</t>
    </r>
    <r>
      <rPr>
        <sz val="10"/>
        <color rgb="FF0000FF"/>
        <rFont val="Noto Sans CJK SC"/>
        <family val="2"/>
      </rPr>
      <t xml:space="preserve">レジデンス自由が丘</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</si>
  <si>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</si>
  <si>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KDX-133</t>
  </si>
  <si>
    <r>
      <rPr>
        <sz val="10"/>
        <color rgb="FF0000FF"/>
        <rFont val="Arial"/>
        <family val="0"/>
        <charset val="1"/>
      </rPr>
      <t xml:space="preserve">KDX</t>
    </r>
    <r>
      <rPr>
        <sz val="10"/>
        <color rgb="FF0000FF"/>
        <rFont val="Noto Sans CJK SC"/>
        <family val="2"/>
      </rPr>
      <t xml:space="preserve">レジデンス日本橋浜町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</si>
  <si>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</si>
  <si>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KDX-134</t>
  </si>
  <si>
    <r>
      <rPr>
        <sz val="10"/>
        <color rgb="FF0000FF"/>
        <rFont val="Arial"/>
        <family val="0"/>
        <charset val="1"/>
      </rPr>
      <t xml:space="preserve">KDX</t>
    </r>
    <r>
      <rPr>
        <sz val="10"/>
        <color rgb="FF0000FF"/>
        <rFont val="Noto Sans CJK SC"/>
        <family val="2"/>
      </rPr>
      <t xml:space="preserve">レジデンス日本橋人形町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</si>
  <si>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B1049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</si>
  <si>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KDX-135</t>
  </si>
  <si>
    <r>
      <rPr>
        <sz val="10"/>
        <color rgb="FF0000FF"/>
        <rFont val="Arial"/>
        <family val="0"/>
        <charset val="1"/>
      </rPr>
      <t xml:space="preserve">KDX</t>
    </r>
    <r>
      <rPr>
        <sz val="10"/>
        <color rgb="FF0000FF"/>
        <rFont val="Noto Sans CJK SC"/>
        <family val="2"/>
      </rPr>
      <t xml:space="preserve">レジデンス半蔵門</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</si>
  <si>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</si>
  <si>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KDX-136</t>
  </si>
  <si>
    <r>
      <rPr>
        <sz val="10"/>
        <color rgb="FF0000FF"/>
        <rFont val="Arial"/>
        <family val="0"/>
        <charset val="1"/>
      </rPr>
      <t xml:space="preserve">KDX</t>
    </r>
    <r>
      <rPr>
        <sz val="10"/>
        <color rgb="FF0000FF"/>
        <rFont val="Noto Sans CJK SC"/>
        <family val="2"/>
      </rPr>
      <t xml:space="preserve">レジデンス立川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</si>
  <si>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</si>
  <si>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KDX-137</t>
  </si>
  <si>
    <r>
      <rPr>
        <sz val="10"/>
        <color rgb="FF0000FF"/>
        <rFont val="Arial"/>
        <family val="0"/>
        <charset val="1"/>
      </rPr>
      <t xml:space="preserve">KDX</t>
    </r>
    <r>
      <rPr>
        <sz val="10"/>
        <color rgb="FF0000FF"/>
        <rFont val="Noto Sans CJK SC"/>
        <family val="2"/>
      </rPr>
      <t xml:space="preserve">レジデンス千駄木</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</si>
  <si>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</si>
  <si>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KDX-138</t>
  </si>
  <si>
    <r>
      <rPr>
        <sz val="10"/>
        <color rgb="FF0000FF"/>
        <rFont val="Arial"/>
        <family val="0"/>
        <charset val="1"/>
      </rPr>
      <t xml:space="preserve">KDX</t>
    </r>
    <r>
      <rPr>
        <sz val="10"/>
        <color rgb="FF0000FF"/>
        <rFont val="Noto Sans CJK SC"/>
        <family val="2"/>
      </rPr>
      <t xml:space="preserve">レジデンス神楽坂通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</si>
  <si>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</si>
  <si>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KDX-139</t>
  </si>
  <si>
    <r>
      <rPr>
        <sz val="10"/>
        <color rgb="FF0000FF"/>
        <rFont val="Arial"/>
        <family val="0"/>
        <charset val="1"/>
      </rPr>
      <t xml:space="preserve">KDX</t>
    </r>
    <r>
      <rPr>
        <sz val="10"/>
        <color rgb="FF0000FF"/>
        <rFont val="Noto Sans CJK SC"/>
        <family val="2"/>
      </rPr>
      <t xml:space="preserve">レジデンス秋葉原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</si>
  <si>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</si>
  <si>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KDX-140</t>
  </si>
  <si>
    <r>
      <rPr>
        <sz val="10"/>
        <color rgb="FF0000FF"/>
        <rFont val="Arial"/>
        <family val="0"/>
        <charset val="1"/>
      </rPr>
      <t xml:space="preserve">KDX</t>
    </r>
    <r>
      <rPr>
        <sz val="10"/>
        <color rgb="FF0000FF"/>
        <rFont val="Noto Sans CJK SC"/>
        <family val="2"/>
      </rPr>
      <t xml:space="preserve">レジデンス成城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</si>
  <si>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</si>
  <si>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KDX-141</t>
  </si>
  <si>
    <r>
      <rPr>
        <sz val="10"/>
        <color rgb="FF0000FF"/>
        <rFont val="Arial"/>
        <family val="0"/>
        <charset val="1"/>
      </rPr>
      <t xml:space="preserve">KDX</t>
    </r>
    <r>
      <rPr>
        <sz val="10"/>
        <color rgb="FF0000FF"/>
        <rFont val="Noto Sans CJK SC"/>
        <family val="2"/>
      </rPr>
      <t xml:space="preserve">レジデンス鶴見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</si>
  <si>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</si>
  <si>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KDX-142</t>
  </si>
  <si>
    <r>
      <rPr>
        <sz val="10"/>
        <color rgb="FF0000FF"/>
        <rFont val="Arial"/>
        <family val="0"/>
        <charset val="1"/>
      </rPr>
      <t xml:space="preserve">KDX</t>
    </r>
    <r>
      <rPr>
        <sz val="10"/>
        <color rgb="FF0000FF"/>
        <rFont val="Noto Sans CJK SC"/>
        <family val="2"/>
      </rPr>
      <t xml:space="preserve">レジデンス入谷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</si>
  <si>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</si>
  <si>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KDX-143</t>
  </si>
  <si>
    <r>
      <rPr>
        <sz val="10"/>
        <color rgb="FF0000FF"/>
        <rFont val="Arial"/>
        <family val="0"/>
        <charset val="1"/>
      </rPr>
      <t xml:space="preserve">KDX</t>
    </r>
    <r>
      <rPr>
        <sz val="10"/>
        <color rgb="FF0000FF"/>
        <rFont val="Noto Sans CJK SC"/>
        <family val="2"/>
      </rPr>
      <t xml:space="preserve">レジデンス秋葉原</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</si>
  <si>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</si>
  <si>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KDX-144</t>
  </si>
  <si>
    <r>
      <rPr>
        <sz val="10"/>
        <color rgb="FF0000FF"/>
        <rFont val="Arial"/>
        <family val="0"/>
        <charset val="1"/>
      </rPr>
      <t xml:space="preserve">KDX</t>
    </r>
    <r>
      <rPr>
        <sz val="10"/>
        <color rgb="FF0000FF"/>
        <rFont val="Noto Sans CJK SC"/>
        <family val="2"/>
      </rPr>
      <t xml:space="preserve">レジデンス森下千歳</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</si>
  <si>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B1059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</si>
  <si>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KDX-145</t>
  </si>
  <si>
    <r>
      <rPr>
        <sz val="10"/>
        <color rgb="FF0000FF"/>
        <rFont val="Arial"/>
        <family val="0"/>
        <charset val="1"/>
      </rPr>
      <t xml:space="preserve">KDX</t>
    </r>
    <r>
      <rPr>
        <sz val="10"/>
        <color rgb="FF0000FF"/>
        <rFont val="Noto Sans CJK SC"/>
        <family val="2"/>
      </rPr>
      <t xml:space="preserve">レジデンス赤坂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</si>
  <si>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</si>
  <si>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KDX-146</t>
  </si>
  <si>
    <r>
      <rPr>
        <sz val="10"/>
        <color rgb="FF0000FF"/>
        <rFont val="Arial"/>
        <family val="0"/>
        <charset val="1"/>
      </rPr>
      <t xml:space="preserve">KDX</t>
    </r>
    <r>
      <rPr>
        <sz val="10"/>
        <color rgb="FF0000FF"/>
        <rFont val="Noto Sans CJK SC"/>
        <family val="2"/>
      </rPr>
      <t xml:space="preserve">レジデンス神田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</si>
  <si>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</si>
  <si>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KDX-147</t>
  </si>
  <si>
    <r>
      <rPr>
        <sz val="10"/>
        <color rgb="FF0000FF"/>
        <rFont val="Arial"/>
        <family val="0"/>
        <charset val="1"/>
      </rPr>
      <t xml:space="preserve">KDX</t>
    </r>
    <r>
      <rPr>
        <sz val="10"/>
        <color rgb="FF0000FF"/>
        <rFont val="Noto Sans CJK SC"/>
        <family val="2"/>
      </rPr>
      <t xml:space="preserve">レジデンス恵比寿</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</si>
  <si>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</si>
  <si>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KDX-148</t>
  </si>
  <si>
    <r>
      <rPr>
        <sz val="10"/>
        <color rgb="FF0000FF"/>
        <rFont val="Arial"/>
        <family val="0"/>
        <charset val="1"/>
      </rPr>
      <t xml:space="preserve">KDX</t>
    </r>
    <r>
      <rPr>
        <sz val="10"/>
        <color rgb="FF0000FF"/>
        <rFont val="Noto Sans CJK SC"/>
        <family val="2"/>
      </rPr>
      <t xml:space="preserve">レジデンス西麻布</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</si>
  <si>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</si>
  <si>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KDX-149</t>
  </si>
  <si>
    <r>
      <rPr>
        <sz val="10"/>
        <color rgb="FF0000FF"/>
        <rFont val="Arial"/>
        <family val="0"/>
        <charset val="1"/>
      </rPr>
      <t xml:space="preserve">KDX</t>
    </r>
    <r>
      <rPr>
        <sz val="10"/>
        <color rgb="FF0000FF"/>
        <rFont val="Noto Sans CJK SC"/>
        <family val="2"/>
      </rPr>
      <t xml:space="preserve">レジデンス麻布仙台坂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</si>
  <si>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</si>
  <si>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KDX-150</t>
  </si>
  <si>
    <r>
      <rPr>
        <sz val="10"/>
        <color rgb="FF0000FF"/>
        <rFont val="Arial"/>
        <family val="0"/>
        <charset val="1"/>
      </rPr>
      <t xml:space="preserve">KDX</t>
    </r>
    <r>
      <rPr>
        <sz val="10"/>
        <color rgb="FF0000FF"/>
        <rFont val="Noto Sans CJK SC"/>
        <family val="2"/>
      </rPr>
      <t xml:space="preserve">レジデンス文京湯島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</si>
  <si>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</si>
  <si>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KDX-151</t>
  </si>
  <si>
    <r>
      <rPr>
        <sz val="10"/>
        <color rgb="FF0000FF"/>
        <rFont val="Arial"/>
        <family val="0"/>
        <charset val="1"/>
      </rPr>
      <t xml:space="preserve">KDX</t>
    </r>
    <r>
      <rPr>
        <sz val="10"/>
        <color rgb="FF0000FF"/>
        <rFont val="Noto Sans CJK SC"/>
        <family val="2"/>
      </rPr>
      <t xml:space="preserve">レジデンス早稲田鶴巻</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</si>
  <si>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</si>
  <si>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KDX-152</t>
  </si>
  <si>
    <r>
      <rPr>
        <sz val="10"/>
        <color rgb="FF0000FF"/>
        <rFont val="Arial"/>
        <family val="0"/>
        <charset val="1"/>
      </rPr>
      <t xml:space="preserve">KDX</t>
    </r>
    <r>
      <rPr>
        <sz val="10"/>
        <color rgb="FF0000FF"/>
        <rFont val="Noto Sans CJK SC"/>
        <family val="2"/>
      </rPr>
      <t xml:space="preserve">レジデンス上石神井</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</si>
  <si>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</si>
  <si>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KDX-153</t>
  </si>
  <si>
    <r>
      <rPr>
        <sz val="10"/>
        <color rgb="FF0000FF"/>
        <rFont val="Arial"/>
        <family val="0"/>
        <charset val="1"/>
      </rPr>
      <t xml:space="preserve">KDX</t>
    </r>
    <r>
      <rPr>
        <sz val="10"/>
        <color rgb="FF0000FF"/>
        <rFont val="Noto Sans CJK SC"/>
        <family val="2"/>
      </rPr>
      <t xml:space="preserve">レジデンス西馬込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</si>
  <si>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</si>
  <si>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KDX-154</t>
  </si>
  <si>
    <r>
      <rPr>
        <sz val="10"/>
        <color rgb="FF0000FF"/>
        <rFont val="Arial"/>
        <family val="0"/>
        <charset val="1"/>
      </rPr>
      <t xml:space="preserve">KDX</t>
    </r>
    <r>
      <rPr>
        <sz val="10"/>
        <color rgb="FF0000FF"/>
        <rFont val="Noto Sans CJK SC"/>
        <family val="2"/>
      </rPr>
      <t xml:space="preserve">レジデンス両国</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</si>
  <si>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B1069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</si>
  <si>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KDX-155</t>
  </si>
  <si>
    <r>
      <rPr>
        <sz val="10"/>
        <color rgb="FF0000FF"/>
        <rFont val="Arial"/>
        <family val="0"/>
        <charset val="1"/>
      </rPr>
      <t xml:space="preserve">KDX</t>
    </r>
    <r>
      <rPr>
        <sz val="10"/>
        <color rgb="FF0000FF"/>
        <rFont val="Noto Sans CJK SC"/>
        <family val="2"/>
      </rPr>
      <t xml:space="preserve">レジデンス桜上水</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</si>
  <si>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</si>
  <si>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KDX-156</t>
  </si>
  <si>
    <r>
      <rPr>
        <sz val="10"/>
        <color rgb="FF0000FF"/>
        <rFont val="Arial"/>
        <family val="0"/>
        <charset val="1"/>
      </rPr>
      <t xml:space="preserve">KDX</t>
    </r>
    <r>
      <rPr>
        <sz val="10"/>
        <color rgb="FF0000FF"/>
        <rFont val="Noto Sans CJK SC"/>
        <family val="2"/>
      </rPr>
      <t xml:space="preserve">レジデンス新大塚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</si>
  <si>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</si>
  <si>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KDX-157</t>
  </si>
  <si>
    <r>
      <rPr>
        <sz val="10"/>
        <color rgb="FF0000FF"/>
        <rFont val="Arial"/>
        <family val="0"/>
        <charset val="1"/>
      </rPr>
      <t xml:space="preserve">KDX</t>
    </r>
    <r>
      <rPr>
        <sz val="10"/>
        <color rgb="FF0000FF"/>
        <rFont val="Noto Sans CJK SC"/>
        <family val="2"/>
      </rPr>
      <t xml:space="preserve">レジデンス豊洲</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</si>
  <si>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</si>
  <si>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KDX-158</t>
  </si>
  <si>
    <r>
      <rPr>
        <sz val="10"/>
        <color rgb="FF0000FF"/>
        <rFont val="Arial"/>
        <family val="0"/>
        <charset val="1"/>
      </rPr>
      <t xml:space="preserve">KDX</t>
    </r>
    <r>
      <rPr>
        <sz val="10"/>
        <color rgb="FF0000FF"/>
        <rFont val="Noto Sans CJK SC"/>
        <family val="2"/>
      </rPr>
      <t xml:space="preserve">レジデンス日吉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</si>
  <si>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</si>
  <si>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KDX-159</t>
  </si>
  <si>
    <r>
      <rPr>
        <sz val="10"/>
        <color rgb="FF0000FF"/>
        <rFont val="Arial"/>
        <family val="0"/>
        <charset val="1"/>
      </rPr>
      <t xml:space="preserve">KDX</t>
    </r>
    <r>
      <rPr>
        <sz val="10"/>
        <color rgb="FF0000FF"/>
        <rFont val="Noto Sans CJK SC"/>
        <family val="2"/>
      </rPr>
      <t xml:space="preserve">レジデンス阿佐ヶ谷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</si>
  <si>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</si>
  <si>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KDX-160</t>
  </si>
  <si>
    <r>
      <rPr>
        <sz val="10"/>
        <color rgb="FF0000FF"/>
        <rFont val="Arial"/>
        <family val="0"/>
        <charset val="1"/>
      </rPr>
      <t xml:space="preserve">KDX</t>
    </r>
    <r>
      <rPr>
        <sz val="10"/>
        <color rgb="FF0000FF"/>
        <rFont val="Noto Sans CJK SC"/>
        <family val="2"/>
      </rPr>
      <t xml:space="preserve">レジデンス上北沢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</si>
  <si>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</si>
  <si>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KDX-161</t>
  </si>
  <si>
    <r>
      <rPr>
        <sz val="10"/>
        <color rgb="FF0000FF"/>
        <rFont val="Arial"/>
        <family val="0"/>
        <charset val="1"/>
      </rPr>
      <t xml:space="preserve">KDX</t>
    </r>
    <r>
      <rPr>
        <sz val="10"/>
        <color rgb="FF0000FF"/>
        <rFont val="Noto Sans CJK SC"/>
        <family val="2"/>
      </rPr>
      <t xml:space="preserve">レジデンス上野毛</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</si>
  <si>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</si>
  <si>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KDX-162</t>
  </si>
  <si>
    <r>
      <rPr>
        <sz val="10"/>
        <color rgb="FF0000FF"/>
        <rFont val="Arial"/>
        <family val="0"/>
        <charset val="1"/>
      </rPr>
      <t xml:space="preserve">KDX</t>
    </r>
    <r>
      <rPr>
        <sz val="10"/>
        <color rgb="FF0000FF"/>
        <rFont val="Noto Sans CJK SC"/>
        <family val="2"/>
      </rPr>
      <t xml:space="preserve">レジデンス東浅草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</si>
  <si>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</si>
  <si>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KDX-163</t>
  </si>
  <si>
    <r>
      <rPr>
        <sz val="10"/>
        <color rgb="FF0000FF"/>
        <rFont val="Arial"/>
        <family val="0"/>
        <charset val="1"/>
      </rPr>
      <t xml:space="preserve">KDX</t>
    </r>
    <r>
      <rPr>
        <sz val="10"/>
        <color rgb="FF0000FF"/>
        <rFont val="Noto Sans CJK SC"/>
        <family val="2"/>
      </rPr>
      <t xml:space="preserve">レジデンス西船橋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</si>
  <si>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</si>
  <si>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KDX-164</t>
  </si>
  <si>
    <r>
      <rPr>
        <sz val="10"/>
        <color rgb="FF0000FF"/>
        <rFont val="Arial"/>
        <family val="0"/>
        <charset val="1"/>
      </rPr>
      <t xml:space="preserve">KDX</t>
    </r>
    <r>
      <rPr>
        <sz val="10"/>
        <color rgb="FF0000FF"/>
        <rFont val="Noto Sans CJK SC"/>
        <family val="2"/>
      </rPr>
      <t xml:space="preserve">レジデンス阿佐ヶ谷</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</si>
  <si>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B1079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</si>
  <si>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KDX-165</t>
  </si>
  <si>
    <r>
      <rPr>
        <sz val="10"/>
        <color rgb="FF0000FF"/>
        <rFont val="Arial"/>
        <family val="0"/>
        <charset val="1"/>
      </rPr>
      <t xml:space="preserve">KDX</t>
    </r>
    <r>
      <rPr>
        <sz val="10"/>
        <color rgb="FF0000FF"/>
        <rFont val="Noto Sans CJK SC"/>
        <family val="2"/>
      </rPr>
      <t xml:space="preserve">レジデンス幡ヶ谷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</si>
  <si>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</si>
  <si>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KDX-166</t>
  </si>
  <si>
    <r>
      <rPr>
        <sz val="10"/>
        <color rgb="FF0000FF"/>
        <rFont val="Arial"/>
        <family val="0"/>
        <charset val="1"/>
      </rPr>
      <t xml:space="preserve">KDX</t>
    </r>
    <r>
      <rPr>
        <sz val="10"/>
        <color rgb="FF0000FF"/>
        <rFont val="Noto Sans CJK SC"/>
        <family val="2"/>
      </rPr>
      <t xml:space="preserve">レジデンス蒲田南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</si>
  <si>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</si>
  <si>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KDX-167</t>
  </si>
  <si>
    <r>
      <rPr>
        <sz val="10"/>
        <color rgb="FF0000FF"/>
        <rFont val="Arial"/>
        <family val="0"/>
        <charset val="1"/>
      </rPr>
      <t xml:space="preserve">KDX</t>
    </r>
    <r>
      <rPr>
        <sz val="10"/>
        <color rgb="FF0000FF"/>
        <rFont val="Noto Sans CJK SC"/>
        <family val="2"/>
      </rPr>
      <t xml:space="preserve">レジデンス三鷹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</si>
  <si>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</si>
  <si>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KDX-168</t>
  </si>
  <si>
    <r>
      <rPr>
        <sz val="10"/>
        <color rgb="FF0000FF"/>
        <rFont val="Arial"/>
        <family val="0"/>
        <charset val="1"/>
      </rPr>
      <t xml:space="preserve">KDX</t>
    </r>
    <r>
      <rPr>
        <sz val="10"/>
        <color rgb="FF0000FF"/>
        <rFont val="Noto Sans CJK SC"/>
        <family val="2"/>
      </rPr>
      <t xml:space="preserve">レジデンス中延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</si>
  <si>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</si>
  <si>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KDX-169</t>
  </si>
  <si>
    <r>
      <rPr>
        <sz val="10"/>
        <color rgb="FF0000FF"/>
        <rFont val="Arial"/>
        <family val="0"/>
        <charset val="1"/>
      </rPr>
      <t xml:space="preserve">KDX</t>
    </r>
    <r>
      <rPr>
        <sz val="10"/>
        <color rgb="FF0000FF"/>
        <rFont val="Noto Sans CJK SC"/>
        <family val="2"/>
      </rPr>
      <t xml:space="preserve">レジデンス市川</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</si>
  <si>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</si>
  <si>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KDX-170</t>
  </si>
  <si>
    <r>
      <rPr>
        <sz val="10"/>
        <color rgb="FF0000FF"/>
        <rFont val="Arial"/>
        <family val="0"/>
        <charset val="1"/>
      </rPr>
      <t xml:space="preserve">KDX</t>
    </r>
    <r>
      <rPr>
        <sz val="10"/>
        <color rgb="FF0000FF"/>
        <rFont val="Noto Sans CJK SC"/>
        <family val="2"/>
      </rPr>
      <t xml:space="preserve">レジデンス八丁堀</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</si>
  <si>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</si>
  <si>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KDX-171</t>
  </si>
  <si>
    <r>
      <rPr>
        <sz val="10"/>
        <color rgb="FF0000FF"/>
        <rFont val="Arial"/>
        <family val="0"/>
        <charset val="1"/>
      </rPr>
      <t xml:space="preserve">KDX</t>
    </r>
    <r>
      <rPr>
        <sz val="10"/>
        <color rgb="FF0000FF"/>
        <rFont val="Noto Sans CJK SC"/>
        <family val="2"/>
      </rPr>
      <t xml:space="preserve">レジデンス中板橋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</si>
  <si>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</si>
  <si>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KDX-172</t>
  </si>
  <si>
    <t xml:space="preserve">コスモハイム元住吉</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</si>
  <si>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B1089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</si>
  <si>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KDX-173</t>
  </si>
  <si>
    <r>
      <rPr>
        <sz val="10"/>
        <color rgb="FF0000FF"/>
        <rFont val="Arial"/>
        <family val="0"/>
        <charset val="1"/>
      </rPr>
      <t xml:space="preserve">KDX</t>
    </r>
    <r>
      <rPr>
        <sz val="10"/>
        <color rgb="FF0000FF"/>
        <rFont val="Noto Sans CJK SC"/>
        <family val="2"/>
      </rPr>
      <t xml:space="preserve">レジデンス湘南台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</si>
  <si>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</si>
  <si>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KDX-174</t>
  </si>
  <si>
    <r>
      <rPr>
        <sz val="10"/>
        <color rgb="FF0000FF"/>
        <rFont val="Arial"/>
        <family val="0"/>
        <charset val="1"/>
      </rPr>
      <t xml:space="preserve">KDX</t>
    </r>
    <r>
      <rPr>
        <sz val="10"/>
        <color rgb="FF0000FF"/>
        <rFont val="Noto Sans CJK SC"/>
        <family val="2"/>
      </rPr>
      <t xml:space="preserve">レジデンス池袋ウエスト</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</si>
  <si>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</si>
  <si>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KDX-175</t>
  </si>
  <si>
    <r>
      <rPr>
        <sz val="10"/>
        <color rgb="FF0000FF"/>
        <rFont val="Arial"/>
        <family val="0"/>
        <charset val="1"/>
      </rPr>
      <t xml:space="preserve">KDX</t>
    </r>
    <r>
      <rPr>
        <sz val="10"/>
        <color rgb="FF0000FF"/>
        <rFont val="Noto Sans CJK SC"/>
        <family val="2"/>
      </rPr>
      <t xml:space="preserve">レジデンス天王町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</si>
  <si>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</si>
  <si>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KDX-176</t>
  </si>
  <si>
    <r>
      <rPr>
        <sz val="10"/>
        <color rgb="FF0000FF"/>
        <rFont val="Arial"/>
        <family val="0"/>
        <charset val="1"/>
      </rPr>
      <t xml:space="preserve">KDX</t>
    </r>
    <r>
      <rPr>
        <sz val="10"/>
        <color rgb="FF0000FF"/>
        <rFont val="Noto Sans CJK SC"/>
        <family val="2"/>
      </rPr>
      <t xml:space="preserve">レジデンス川崎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</si>
  <si>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</si>
  <si>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KDX-177</t>
  </si>
  <si>
    <r>
      <rPr>
        <sz val="10"/>
        <color rgb="FF0000FF"/>
        <rFont val="Arial"/>
        <family val="0"/>
        <charset val="1"/>
      </rPr>
      <t xml:space="preserve">KDX</t>
    </r>
    <r>
      <rPr>
        <sz val="10"/>
        <color rgb="FF0000FF"/>
        <rFont val="Noto Sans CJK SC"/>
        <family val="2"/>
      </rPr>
      <t xml:space="preserve">レジデンス蒲田南</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</si>
  <si>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</si>
  <si>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KDX-178</t>
  </si>
  <si>
    <r>
      <rPr>
        <sz val="10"/>
        <color rgb="FF0000FF"/>
        <rFont val="Arial"/>
        <family val="0"/>
        <charset val="1"/>
      </rPr>
      <t xml:space="preserve">KDX</t>
    </r>
    <r>
      <rPr>
        <sz val="10"/>
        <color rgb="FF0000FF"/>
        <rFont val="Noto Sans CJK SC"/>
        <family val="2"/>
      </rPr>
      <t xml:space="preserve">レジデンス上石神井</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</si>
  <si>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</si>
  <si>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KDX-179</t>
  </si>
  <si>
    <r>
      <rPr>
        <sz val="10"/>
        <color rgb="FF0000FF"/>
        <rFont val="Arial"/>
        <family val="0"/>
        <charset val="1"/>
      </rPr>
      <t xml:space="preserve">KDX</t>
    </r>
    <r>
      <rPr>
        <sz val="10"/>
        <color rgb="FF0000FF"/>
        <rFont val="Noto Sans CJK SC"/>
        <family val="2"/>
      </rPr>
      <t xml:space="preserve">レジデンス津田沼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</si>
  <si>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</si>
  <si>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KDX-180</t>
  </si>
  <si>
    <r>
      <rPr>
        <sz val="10"/>
        <color rgb="FF0000FF"/>
        <rFont val="Arial"/>
        <family val="0"/>
        <charset val="1"/>
      </rPr>
      <t xml:space="preserve">KDX</t>
    </r>
    <r>
      <rPr>
        <sz val="10"/>
        <color rgb="FF0000FF"/>
        <rFont val="Noto Sans CJK SC"/>
        <family val="2"/>
      </rPr>
      <t xml:space="preserve">レジデンス横濱紅葉坂</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</si>
  <si>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</si>
  <si>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KDX-181</t>
  </si>
  <si>
    <r>
      <rPr>
        <sz val="10"/>
        <color rgb="FF0000FF"/>
        <rFont val="Arial"/>
        <family val="0"/>
        <charset val="1"/>
      </rPr>
      <t xml:space="preserve">KDX</t>
    </r>
    <r>
      <rPr>
        <sz val="10"/>
        <color rgb="FF0000FF"/>
        <rFont val="Noto Sans CJK SC"/>
        <family val="2"/>
      </rPr>
      <t xml:space="preserve">レジデンス梅島</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</si>
  <si>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</si>
  <si>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KDX-182</t>
  </si>
  <si>
    <r>
      <rPr>
        <sz val="10"/>
        <color rgb="FF0000FF"/>
        <rFont val="Arial"/>
        <family val="0"/>
        <charset val="1"/>
      </rPr>
      <t xml:space="preserve">KDX</t>
    </r>
    <r>
      <rPr>
        <sz val="10"/>
        <color rgb="FF0000FF"/>
        <rFont val="Noto Sans CJK SC"/>
        <family val="2"/>
      </rPr>
      <t xml:space="preserve">レジデンス溝の口</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</si>
  <si>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B1099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</si>
  <si>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KDX-183</t>
  </si>
  <si>
    <r>
      <rPr>
        <sz val="10"/>
        <color rgb="FF0000FF"/>
        <rFont val="Arial"/>
        <family val="0"/>
        <charset val="1"/>
      </rPr>
      <t xml:space="preserve">KDX</t>
    </r>
    <r>
      <rPr>
        <sz val="10"/>
        <color rgb="FF0000FF"/>
        <rFont val="Noto Sans CJK SC"/>
        <family val="2"/>
      </rPr>
      <t xml:space="preserve">レジデンス津田沼</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</si>
  <si>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</si>
  <si>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KDX-184</t>
  </si>
  <si>
    <r>
      <rPr>
        <sz val="10"/>
        <color rgb="FF0000FF"/>
        <rFont val="Arial"/>
        <family val="0"/>
        <charset val="1"/>
      </rPr>
      <t xml:space="preserve">KDX</t>
    </r>
    <r>
      <rPr>
        <sz val="10"/>
        <color rgb="FF0000FF"/>
        <rFont val="Noto Sans CJK SC"/>
        <family val="2"/>
      </rPr>
      <t xml:space="preserve">レジデンス八王子大塚</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</si>
  <si>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</si>
  <si>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KDX-185</t>
  </si>
  <si>
    <r>
      <rPr>
        <sz val="10"/>
        <color rgb="FF0000FF"/>
        <rFont val="Arial"/>
        <family val="0"/>
        <charset val="1"/>
      </rPr>
      <t xml:space="preserve">KDX</t>
    </r>
    <r>
      <rPr>
        <sz val="10"/>
        <color rgb="FF0000FF"/>
        <rFont val="Noto Sans CJK SC"/>
        <family val="2"/>
      </rPr>
      <t xml:space="preserve">レジデンス尾山台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</si>
  <si>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</si>
  <si>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KDX-186</t>
  </si>
  <si>
    <r>
      <rPr>
        <sz val="10"/>
        <color rgb="FF0000FF"/>
        <rFont val="Arial"/>
        <family val="0"/>
        <charset val="1"/>
      </rPr>
      <t xml:space="preserve">KDX</t>
    </r>
    <r>
      <rPr>
        <sz val="10"/>
        <color rgb="FF0000FF"/>
        <rFont val="Noto Sans CJK SC"/>
        <family val="2"/>
      </rPr>
      <t xml:space="preserve">レジデンス浅草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</si>
  <si>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</si>
  <si>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KDX-187</t>
  </si>
  <si>
    <t xml:space="preserve">リバーシティ21イーストタワーズⅡ</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</si>
  <si>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</si>
  <si>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KDX-188</t>
  </si>
  <si>
    <r>
      <rPr>
        <sz val="10"/>
        <color rgb="FF0000FF"/>
        <rFont val="Arial"/>
        <family val="0"/>
        <charset val="1"/>
      </rPr>
      <t xml:space="preserve">KDX</t>
    </r>
    <r>
      <rPr>
        <sz val="10"/>
        <color rgb="FF0000FF"/>
        <rFont val="Noto Sans CJK SC"/>
        <family val="2"/>
      </rPr>
      <t xml:space="preserve">レジデンス池袋要町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</si>
  <si>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</si>
  <si>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KDX-189</t>
  </si>
  <si>
    <r>
      <rPr>
        <sz val="10"/>
        <color rgb="FF0000FF"/>
        <rFont val="Arial"/>
        <family val="0"/>
        <charset val="1"/>
      </rPr>
      <t xml:space="preserve">KDX</t>
    </r>
    <r>
      <rPr>
        <sz val="10"/>
        <color rgb="FF0000FF"/>
        <rFont val="Noto Sans CJK SC"/>
        <family val="2"/>
      </rPr>
      <t xml:space="preserve">レジデンス東雪谷</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</si>
  <si>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</si>
  <si>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KDX-190</t>
  </si>
  <si>
    <r>
      <rPr>
        <sz val="10"/>
        <color rgb="FF0000FF"/>
        <rFont val="Arial"/>
        <family val="0"/>
        <charset val="1"/>
      </rPr>
      <t xml:space="preserve">KDX</t>
    </r>
    <r>
      <rPr>
        <sz val="10"/>
        <color rgb="FF0000FF"/>
        <rFont val="Noto Sans CJK SC"/>
        <family val="2"/>
      </rPr>
      <t xml:space="preserve">レジデンス杉並方南町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</si>
  <si>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</si>
  <si>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KDX-191</t>
  </si>
  <si>
    <r>
      <rPr>
        <sz val="10"/>
        <color rgb="FF0000FF"/>
        <rFont val="Arial"/>
        <family val="0"/>
        <charset val="1"/>
      </rPr>
      <t xml:space="preserve">KDX</t>
    </r>
    <r>
      <rPr>
        <sz val="10"/>
        <color rgb="FF0000FF"/>
        <rFont val="Noto Sans CJK SC"/>
        <family val="2"/>
      </rPr>
      <t xml:space="preserve">レジデンス瑞江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</si>
  <si>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B1108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。所在地・竣工年月・延床面積は短信非掲載のため未収録。当期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2,550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のため収入は取得日以降のみ</t>
    </r>
  </si>
  <si>
    <t xml:space="preserve">KDX-192</t>
  </si>
  <si>
    <r>
      <rPr>
        <sz val="10"/>
        <color rgb="FF0000FF"/>
        <rFont val="Arial"/>
        <family val="0"/>
        <charset val="1"/>
      </rPr>
      <t xml:space="preserve">KDX</t>
    </r>
    <r>
      <rPr>
        <sz val="10"/>
        <color rgb="FF0000FF"/>
        <rFont val="Noto Sans CJK SC"/>
        <family val="2"/>
      </rPr>
      <t xml:space="preserve">堺筋本町レジデンス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</si>
  <si>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</si>
  <si>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KDX-193</t>
  </si>
  <si>
    <r>
      <rPr>
        <sz val="10"/>
        <color rgb="FF0000FF"/>
        <rFont val="Arial"/>
        <family val="0"/>
        <charset val="1"/>
      </rPr>
      <t xml:space="preserve">KDX</t>
    </r>
    <r>
      <rPr>
        <sz val="10"/>
        <color rgb="FF0000FF"/>
        <rFont val="Noto Sans CJK SC"/>
        <family val="2"/>
      </rPr>
      <t xml:space="preserve">清水レジデンス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</si>
  <si>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</si>
  <si>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KDX-194</t>
  </si>
  <si>
    <r>
      <rPr>
        <sz val="10"/>
        <color rgb="FF0000FF"/>
        <rFont val="Arial"/>
        <family val="0"/>
        <charset val="1"/>
      </rPr>
      <t xml:space="preserve">KDX</t>
    </r>
    <r>
      <rPr>
        <sz val="10"/>
        <color rgb="FF0000FF"/>
        <rFont val="Noto Sans CJK SC"/>
        <family val="2"/>
      </rPr>
      <t xml:space="preserve">宝塚レジデンス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</si>
  <si>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</si>
  <si>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KDX-195</t>
  </si>
  <si>
    <r>
      <rPr>
        <sz val="10"/>
        <color rgb="FF0000FF"/>
        <rFont val="Arial"/>
        <family val="0"/>
        <charset val="1"/>
      </rPr>
      <t xml:space="preserve">KDX</t>
    </r>
    <r>
      <rPr>
        <sz val="10"/>
        <color rgb="FF0000FF"/>
        <rFont val="Noto Sans CJK SC"/>
        <family val="2"/>
      </rPr>
      <t xml:space="preserve">千早レジデンス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</si>
  <si>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</si>
  <si>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KDX-196</t>
  </si>
  <si>
    <r>
      <rPr>
        <sz val="10"/>
        <color rgb="FF0000FF"/>
        <rFont val="Arial"/>
        <family val="0"/>
        <charset val="1"/>
      </rPr>
      <t xml:space="preserve">KDX</t>
    </r>
    <r>
      <rPr>
        <sz val="10"/>
        <color rgb="FF0000FF"/>
        <rFont val="Noto Sans CJK SC"/>
        <family val="2"/>
      </rPr>
      <t xml:space="preserve">泉レジデンス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</si>
  <si>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</si>
  <si>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KDX-197</t>
  </si>
  <si>
    <r>
      <rPr>
        <sz val="10"/>
        <color rgb="FF0000FF"/>
        <rFont val="Arial"/>
        <family val="0"/>
        <charset val="1"/>
      </rPr>
      <t xml:space="preserve">KDX</t>
    </r>
    <r>
      <rPr>
        <sz val="10"/>
        <color rgb="FF0000FF"/>
        <rFont val="Noto Sans CJK SC"/>
        <family val="2"/>
      </rPr>
      <t xml:space="preserve">定禅寺通レジデンス</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</si>
  <si>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</si>
  <si>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KDX-198</t>
  </si>
  <si>
    <r>
      <rPr>
        <sz val="10"/>
        <color rgb="FF0000FF"/>
        <rFont val="Arial"/>
        <family val="0"/>
        <charset val="1"/>
      </rPr>
      <t xml:space="preserve">KDX</t>
    </r>
    <r>
      <rPr>
        <sz val="10"/>
        <color rgb="FF0000FF"/>
        <rFont val="Noto Sans CJK SC"/>
        <family val="2"/>
      </rPr>
      <t xml:space="preserve">レジデンス東桜</t>
    </r>
    <r>
      <rPr>
        <sz val="10"/>
        <color rgb="FF0000FF"/>
        <rFont val="Arial"/>
        <family val="0"/>
        <charset val="1"/>
      </rPr>
      <t xml:space="preserve">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</si>
  <si>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</si>
  <si>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KDX-199</t>
  </si>
  <si>
    <t xml:space="preserve">芦屋ロイヤルホームズ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</si>
  <si>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</si>
  <si>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KDX-200</t>
  </si>
  <si>
    <r>
      <rPr>
        <sz val="10"/>
        <color rgb="FF0000FF"/>
        <rFont val="Arial"/>
        <family val="0"/>
        <charset val="1"/>
      </rPr>
      <t xml:space="preserve">KDX</t>
    </r>
    <r>
      <rPr>
        <sz val="10"/>
        <color rgb="FF0000FF"/>
        <rFont val="Noto Sans CJK SC"/>
        <family val="2"/>
      </rPr>
      <t xml:space="preserve">レジデンス難波</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</si>
  <si>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B2009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</si>
  <si>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KDX-201</t>
  </si>
  <si>
    <r>
      <rPr>
        <sz val="10"/>
        <color rgb="FF0000FF"/>
        <rFont val="Arial"/>
        <family val="0"/>
        <charset val="1"/>
      </rPr>
      <t xml:space="preserve">KDX</t>
    </r>
    <r>
      <rPr>
        <sz val="10"/>
        <color rgb="FF0000FF"/>
        <rFont val="Noto Sans CJK SC"/>
        <family val="2"/>
      </rPr>
      <t xml:space="preserve">レジデンス難波南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</si>
  <si>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</si>
  <si>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KDX-202</t>
  </si>
  <si>
    <r>
      <rPr>
        <sz val="10"/>
        <color rgb="FF0000FF"/>
        <rFont val="Arial"/>
        <family val="0"/>
        <charset val="1"/>
      </rPr>
      <t xml:space="preserve">KDX</t>
    </r>
    <r>
      <rPr>
        <sz val="10"/>
        <color rgb="FF0000FF"/>
        <rFont val="Noto Sans CJK SC"/>
        <family val="2"/>
      </rPr>
      <t xml:space="preserve">レジデンス茨木</t>
    </r>
    <r>
      <rPr>
        <sz val="10"/>
        <color rgb="FF0000FF"/>
        <rFont val="Arial"/>
        <family val="0"/>
        <charset val="1"/>
      </rPr>
      <t xml:space="preserve">I</t>
    </r>
    <r>
      <rPr>
        <sz val="10"/>
        <color rgb="FF0000FF"/>
        <rFont val="Noto Sans CJK SC"/>
        <family val="2"/>
      </rPr>
      <t xml:space="preserve">・</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</si>
  <si>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</si>
  <si>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KDX-203</t>
  </si>
  <si>
    <r>
      <rPr>
        <sz val="10"/>
        <color rgb="FF0000FF"/>
        <rFont val="Arial"/>
        <family val="0"/>
        <charset val="1"/>
      </rPr>
      <t xml:space="preserve">KDX</t>
    </r>
    <r>
      <rPr>
        <sz val="10"/>
        <color rgb="FF0000FF"/>
        <rFont val="Noto Sans CJK SC"/>
        <family val="2"/>
      </rPr>
      <t xml:space="preserve">レジデンス三宮</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</si>
  <si>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</si>
  <si>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KDX-204</t>
  </si>
  <si>
    <r>
      <rPr>
        <sz val="10"/>
        <color rgb="FF0000FF"/>
        <rFont val="Arial"/>
        <family val="0"/>
        <charset val="1"/>
      </rPr>
      <t xml:space="preserve">KDX</t>
    </r>
    <r>
      <rPr>
        <sz val="10"/>
        <color rgb="FF0000FF"/>
        <rFont val="Noto Sans CJK SC"/>
        <family val="2"/>
      </rPr>
      <t xml:space="preserve">レジデンス菊水四条</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</si>
  <si>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</si>
  <si>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KDX-205</t>
  </si>
  <si>
    <r>
      <rPr>
        <sz val="10"/>
        <color rgb="FF0000FF"/>
        <rFont val="Arial"/>
        <family val="0"/>
        <charset val="1"/>
      </rPr>
      <t xml:space="preserve">KDX</t>
    </r>
    <r>
      <rPr>
        <sz val="10"/>
        <color rgb="FF0000FF"/>
        <rFont val="Noto Sans CJK SC"/>
        <family val="2"/>
      </rPr>
      <t xml:space="preserve">レジデンス大通公園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</si>
  <si>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</si>
  <si>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KDX-206</t>
  </si>
  <si>
    <r>
      <rPr>
        <sz val="10"/>
        <color rgb="FF0000FF"/>
        <rFont val="Arial"/>
        <family val="0"/>
        <charset val="1"/>
      </rPr>
      <t xml:space="preserve">KDX</t>
    </r>
    <r>
      <rPr>
        <sz val="10"/>
        <color rgb="FF0000FF"/>
        <rFont val="Noto Sans CJK SC"/>
        <family val="2"/>
      </rPr>
      <t xml:space="preserve">レジデンス神宮前</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</si>
  <si>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</si>
  <si>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KDX-207</t>
  </si>
  <si>
    <r>
      <rPr>
        <sz val="10"/>
        <color rgb="FF0000FF"/>
        <rFont val="Arial"/>
        <family val="0"/>
        <charset val="1"/>
      </rPr>
      <t xml:space="preserve">KDX</t>
    </r>
    <r>
      <rPr>
        <sz val="10"/>
        <color rgb="FF0000FF"/>
        <rFont val="Noto Sans CJK SC"/>
        <family val="2"/>
      </rPr>
      <t xml:space="preserve">レジデンス天神東</t>
    </r>
    <r>
      <rPr>
        <sz val="10"/>
        <color rgb="FF0000FF"/>
        <rFont val="Arial"/>
        <family val="0"/>
        <charset val="1"/>
      </rPr>
      <t xml:space="preserve">II</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</si>
  <si>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</si>
  <si>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KDX-208</t>
  </si>
  <si>
    <r>
      <rPr>
        <sz val="10"/>
        <color rgb="FF0000FF"/>
        <rFont val="Arial"/>
        <family val="0"/>
        <charset val="1"/>
      </rPr>
      <t xml:space="preserve">KDX</t>
    </r>
    <r>
      <rPr>
        <sz val="10"/>
        <color rgb="FF0000FF"/>
        <rFont val="Noto Sans CJK SC"/>
        <family val="2"/>
      </rPr>
      <t xml:space="preserve">レジデンス平尾浄水町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</si>
  <si>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</si>
  <si>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KDX-209</t>
  </si>
  <si>
    <r>
      <rPr>
        <sz val="10"/>
        <color rgb="FF0000FF"/>
        <rFont val="Arial"/>
        <family val="0"/>
        <charset val="1"/>
      </rPr>
      <t xml:space="preserve">KDX</t>
    </r>
    <r>
      <rPr>
        <sz val="10"/>
        <color rgb="FF0000FF"/>
        <rFont val="Noto Sans CJK SC"/>
        <family val="2"/>
      </rPr>
      <t xml:space="preserve">レジデンス西公園</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</si>
  <si>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</si>
  <si>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KDX-210</t>
  </si>
  <si>
    <r>
      <rPr>
        <sz val="10"/>
        <color rgb="FF0000FF"/>
        <rFont val="Arial"/>
        <family val="0"/>
        <charset val="1"/>
      </rPr>
      <t xml:space="preserve">KDX</t>
    </r>
    <r>
      <rPr>
        <sz val="10"/>
        <color rgb="FF0000FF"/>
        <rFont val="Noto Sans CJK SC"/>
        <family val="2"/>
      </rPr>
      <t xml:space="preserve">レジデンス豊中南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</si>
  <si>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B2019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</si>
  <si>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KDX-211</t>
  </si>
  <si>
    <r>
      <rPr>
        <sz val="10"/>
        <color rgb="FF0000FF"/>
        <rFont val="Arial"/>
        <family val="0"/>
        <charset val="1"/>
      </rPr>
      <t xml:space="preserve">KDX</t>
    </r>
    <r>
      <rPr>
        <sz val="10"/>
        <color rgb="FF0000FF"/>
        <rFont val="Noto Sans CJK SC"/>
        <family val="2"/>
      </rPr>
      <t xml:space="preserve">レジデンス西大路</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</si>
  <si>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</si>
  <si>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KDX-212</t>
  </si>
  <si>
    <r>
      <rPr>
        <sz val="10"/>
        <color rgb="FF0000FF"/>
        <rFont val="Arial"/>
        <family val="0"/>
        <charset val="1"/>
      </rPr>
      <t xml:space="preserve">KDX</t>
    </r>
    <r>
      <rPr>
        <sz val="10"/>
        <color rgb="FF0000FF"/>
        <rFont val="Noto Sans CJK SC"/>
        <family val="2"/>
      </rPr>
      <t xml:space="preserve">レジデンス甲南山手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</si>
  <si>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</si>
  <si>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KDX-213</t>
  </si>
  <si>
    <r>
      <rPr>
        <sz val="10"/>
        <color rgb="FF0000FF"/>
        <rFont val="Arial"/>
        <family val="0"/>
        <charset val="1"/>
      </rPr>
      <t xml:space="preserve">KDX</t>
    </r>
    <r>
      <rPr>
        <sz val="10"/>
        <color rgb="FF0000FF"/>
        <rFont val="Noto Sans CJK SC"/>
        <family val="2"/>
      </rPr>
      <t xml:space="preserve">レジデンス本町橋</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</si>
  <si>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</si>
  <si>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KDX-214</t>
  </si>
  <si>
    <r>
      <rPr>
        <sz val="10"/>
        <color rgb="FF0000FF"/>
        <rFont val="Arial"/>
        <family val="0"/>
        <charset val="1"/>
      </rPr>
      <t xml:space="preserve">KDX</t>
    </r>
    <r>
      <rPr>
        <sz val="10"/>
        <color rgb="FF0000FF"/>
        <rFont val="Noto Sans CJK SC"/>
        <family val="2"/>
      </rPr>
      <t xml:space="preserve">レジデンス大濠ハーバービュータワー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</si>
  <si>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B2029</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</si>
  <si>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KDX-215</t>
  </si>
  <si>
    <r>
      <rPr>
        <sz val="10"/>
        <color rgb="FF0000FF"/>
        <rFont val="Arial"/>
        <family val="0"/>
        <charset val="1"/>
      </rPr>
      <t xml:space="preserve">KDX</t>
    </r>
    <r>
      <rPr>
        <sz val="10"/>
        <color rgb="FF0000FF"/>
        <rFont val="Noto Sans CJK SC"/>
        <family val="2"/>
      </rPr>
      <t xml:space="preserve">レジデンス南草津</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</si>
  <si>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B2030</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</si>
  <si>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KDX-216</t>
  </si>
  <si>
    <r>
      <rPr>
        <sz val="10"/>
        <color rgb="FF0000FF"/>
        <rFont val="Arial"/>
        <family val="0"/>
        <charset val="1"/>
      </rPr>
      <t xml:space="preserve">KDX</t>
    </r>
    <r>
      <rPr>
        <sz val="10"/>
        <color rgb="FF0000FF"/>
        <rFont val="Noto Sans CJK SC"/>
        <family val="2"/>
      </rPr>
      <t xml:space="preserve">レジデンス南三条</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</si>
  <si>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B2031</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</si>
  <si>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KDX-217</t>
  </si>
  <si>
    <t xml:space="preserve">セレニテ北久宝寺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</si>
  <si>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B2032</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</si>
  <si>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KDX-218</t>
  </si>
  <si>
    <t xml:space="preserve">セレニテ西宮本町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</si>
  <si>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B2033</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</si>
  <si>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KDX-219</t>
  </si>
  <si>
    <r>
      <rPr>
        <sz val="10"/>
        <color rgb="FF0000FF"/>
        <rFont val="Arial"/>
        <family val="0"/>
        <charset val="1"/>
      </rPr>
      <t xml:space="preserve">KDX</t>
    </r>
    <r>
      <rPr>
        <sz val="10"/>
        <color rgb="FF0000FF"/>
        <rFont val="Noto Sans CJK SC"/>
        <family val="2"/>
      </rPr>
      <t xml:space="preserve">レジデンス西新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</si>
  <si>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B2034</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</si>
  <si>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KDX-220</t>
  </si>
  <si>
    <r>
      <rPr>
        <sz val="10"/>
        <color rgb="FF0000FF"/>
        <rFont val="Arial"/>
        <family val="0"/>
        <charset val="1"/>
      </rPr>
      <t xml:space="preserve">KDX</t>
    </r>
    <r>
      <rPr>
        <sz val="10"/>
        <color rgb="FF0000FF"/>
        <rFont val="Noto Sans CJK SC"/>
        <family val="2"/>
      </rPr>
      <t xml:space="preserve">レジデンス夙川ヒルズ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</si>
  <si>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B2035</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</si>
  <si>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KDX-221</t>
  </si>
  <si>
    <t xml:space="preserve">セレニテ神戸元町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</si>
  <si>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B2036</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</si>
  <si>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KDX-222</t>
  </si>
  <si>
    <r>
      <rPr>
        <sz val="10"/>
        <color rgb="FF0000FF"/>
        <rFont val="Arial"/>
        <family val="0"/>
        <charset val="1"/>
      </rPr>
      <t xml:space="preserve">KDX</t>
    </r>
    <r>
      <rPr>
        <sz val="10"/>
        <color rgb="FF0000FF"/>
        <rFont val="Noto Sans CJK SC"/>
        <family val="2"/>
      </rPr>
      <t xml:space="preserve">レジデンス仙台駅東</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</si>
  <si>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B2037</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</si>
  <si>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KDX-223</t>
  </si>
  <si>
    <t xml:space="preserve">セレニテ甲子園プリエ</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</si>
  <si>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B2038</t>
    </r>
    <r>
      <rPr>
        <sz val="10"/>
        <color rgb="FF0000FF"/>
        <rFont val="Noto Sans CJK SC"/>
        <family val="2"/>
      </rPr>
      <t xml:space="preserve">。マスターリース契約によりテナント総数</t>
    </r>
    <r>
      <rPr>
        <sz val="10"/>
        <color rgb="FF0000FF"/>
        <rFont val="Arial"/>
        <family val="0"/>
        <charset val="1"/>
      </rPr>
      <t xml:space="preserve">1</t>
    </r>
    <r>
      <rPr>
        <sz val="10"/>
        <color rgb="FF0000FF"/>
        <rFont val="Noto Sans CJK SC"/>
        <family val="2"/>
      </rPr>
      <t xml:space="preserve">。所在地・竣工年月・延床面積は短信非掲載のため未収録</t>
    </r>
  </si>
  <si>
    <t xml:space="preserve">KDX-224</t>
  </si>
  <si>
    <t xml:space="preserve">銀座四丁目タワー</t>
  </si>
  <si>
    <t xml:space="preserve">商業</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</si>
  <si>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C1001</t>
    </r>
    <r>
      <rPr>
        <sz val="10"/>
        <color rgb="FF0000FF"/>
        <rFont val="Noto Sans CJK SC"/>
        <family val="2"/>
      </rPr>
      <t xml:space="preserve">。所在地・竣工年月・延床面積は短信非掲載のため未収録</t>
    </r>
  </si>
  <si>
    <t xml:space="preserve">KDX-225</t>
  </si>
  <si>
    <r>
      <rPr>
        <sz val="10"/>
        <color rgb="FF0000FF"/>
        <rFont val="Arial"/>
        <family val="0"/>
        <charset val="1"/>
      </rPr>
      <t xml:space="preserve">MONA</t>
    </r>
    <r>
      <rPr>
        <sz val="10"/>
        <color rgb="FF0000FF"/>
        <rFont val="Noto Sans CJK SC"/>
        <family val="2"/>
      </rPr>
      <t xml:space="preserve">新浦安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</si>
  <si>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C1002</t>
    </r>
    <r>
      <rPr>
        <sz val="10"/>
        <color rgb="FF0000FF"/>
        <rFont val="Noto Sans CJK SC"/>
        <family val="2"/>
      </rPr>
      <t xml:space="preserve">。所在地・竣工年月・延床面積は短信非掲載のため未収録</t>
    </r>
  </si>
  <si>
    <t xml:space="preserve">KDX-226</t>
  </si>
  <si>
    <t xml:space="preserve">パサージオ西新井</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</si>
  <si>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C1003</t>
    </r>
    <r>
      <rPr>
        <sz val="10"/>
        <color rgb="FF0000FF"/>
        <rFont val="Noto Sans CJK SC"/>
        <family val="2"/>
      </rPr>
      <t xml:space="preserve">。所在地・竣工年月・延床面積は短信非掲載のため未収録</t>
    </r>
  </si>
  <si>
    <t xml:space="preserve">KDX-227</t>
  </si>
  <si>
    <t xml:space="preserve">ウニクス伊奈</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</si>
  <si>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C1004</t>
    </r>
    <r>
      <rPr>
        <sz val="10"/>
        <color rgb="FF0000FF"/>
        <rFont val="Noto Sans CJK SC"/>
        <family val="2"/>
      </rPr>
      <t xml:space="preserve">。所在地・竣工年月・延床面積は短信非掲載のため未収録</t>
    </r>
  </si>
  <si>
    <t xml:space="preserve">KDX-228</t>
  </si>
  <si>
    <t xml:space="preserve">ヨークタウン北金目</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</si>
  <si>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C1005</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</si>
  <si>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KDX-229</t>
  </si>
  <si>
    <t xml:space="preserve">ウニクス吉川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</si>
  <si>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C1006</t>
    </r>
    <r>
      <rPr>
        <sz val="10"/>
        <color rgb="FF0000FF"/>
        <rFont val="Noto Sans CJK SC"/>
        <family val="2"/>
      </rPr>
      <t xml:space="preserve">。所在地・竣工年月・延床面積は短信非掲載のため未収録</t>
    </r>
  </si>
  <si>
    <t xml:space="preserve">KDX-230</t>
  </si>
  <si>
    <t xml:space="preserve">スポーツクラブルネサンス富士見台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</si>
  <si>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C1007</t>
    </r>
    <r>
      <rPr>
        <sz val="10"/>
        <color rgb="FF0000FF"/>
        <rFont val="Noto Sans CJK SC"/>
        <family val="2"/>
      </rPr>
      <t xml:space="preserve">。所在地・竣工年月・延床面積は短信非掲載のため未収録</t>
    </r>
  </si>
  <si>
    <t xml:space="preserve">KDX-231</t>
  </si>
  <si>
    <t xml:space="preserve">スーパービバホーム岩槻店(底地)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</si>
  <si>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C1008</t>
    </r>
    <r>
      <rPr>
        <sz val="10"/>
        <color rgb="FF0000FF"/>
        <rFont val="Noto Sans CJK SC"/>
        <family val="2"/>
      </rPr>
      <t xml:space="preserve">。所在地・竣工年月・延床面積は短信非掲載のため未収録</t>
    </r>
  </si>
  <si>
    <t xml:space="preserve">KDX-232</t>
  </si>
  <si>
    <t xml:space="preserve">ウニクス上里(底地)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</si>
  <si>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C1009</t>
    </r>
    <r>
      <rPr>
        <sz val="10"/>
        <color rgb="FF0000FF"/>
        <rFont val="Noto Sans CJK SC"/>
        <family val="2"/>
      </rPr>
      <t xml:space="preserve">。所在地・竣工年月・延床面積は短信非掲載のため未収録</t>
    </r>
  </si>
  <si>
    <t xml:space="preserve">KDX-233</t>
  </si>
  <si>
    <t xml:space="preserve">ウニクス鴻巣(底地)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</si>
  <si>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C1010</t>
    </r>
    <r>
      <rPr>
        <sz val="10"/>
        <color rgb="FF0000FF"/>
        <rFont val="Noto Sans CJK SC"/>
        <family val="2"/>
      </rPr>
      <t xml:space="preserve">。所在地・竣工年月・延床面積は短信非掲載のため未収録</t>
    </r>
  </si>
  <si>
    <t xml:space="preserve">KDX-234</t>
  </si>
  <si>
    <t xml:space="preserve">いなげや横浜南本宿店(底地)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</si>
  <si>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C1011</t>
    </r>
    <r>
      <rPr>
        <sz val="10"/>
        <color rgb="FF0000FF"/>
        <rFont val="Noto Sans CJK SC"/>
        <family val="2"/>
      </rPr>
      <t xml:space="preserve">。所在地・竣工年月・延床面積は短信非掲載のため未収録</t>
    </r>
  </si>
  <si>
    <t xml:space="preserve">KDX-235</t>
  </si>
  <si>
    <t xml:space="preserve">セントラルウェルネスクラブ長津田みなみ台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</si>
  <si>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C1012</t>
    </r>
    <r>
      <rPr>
        <sz val="10"/>
        <color rgb="FF0000FF"/>
        <rFont val="Noto Sans CJK SC"/>
        <family val="2"/>
      </rPr>
      <t xml:space="preserve">。所在地・竣工年月・延床面積は短信非掲載のため未収録</t>
    </r>
  </si>
  <si>
    <t xml:space="preserve">KDX-236</t>
  </si>
  <si>
    <t xml:space="preserve">仲町台東急ストア</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</si>
  <si>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C1013</t>
    </r>
    <r>
      <rPr>
        <sz val="10"/>
        <color rgb="FF0000FF"/>
        <rFont val="Noto Sans CJK SC"/>
        <family val="2"/>
      </rPr>
      <t xml:space="preserve">。所在地・竣工年月・延床面積は短信非掲載のため未収録</t>
    </r>
  </si>
  <si>
    <t xml:space="preserve">KDX-237</t>
  </si>
  <si>
    <t xml:space="preserve">ライフ亀戸店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</si>
  <si>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C1014</t>
    </r>
    <r>
      <rPr>
        <sz val="10"/>
        <color rgb="FF0000FF"/>
        <rFont val="Noto Sans CJK SC"/>
        <family val="2"/>
      </rPr>
      <t xml:space="preserve">。所在地・竣工年月・延床面積は短信非掲載のため未収録</t>
    </r>
  </si>
  <si>
    <t xml:space="preserve">KDX-238</t>
  </si>
  <si>
    <t xml:space="preserve">戸塚深谷ショッピングセンター(底地)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</si>
  <si>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C1015</t>
    </r>
    <r>
      <rPr>
        <sz val="10"/>
        <color rgb="FF0000FF"/>
        <rFont val="Noto Sans CJK SC"/>
        <family val="2"/>
      </rPr>
      <t xml:space="preserve">。所在地・竣工年月・延床面積は短信非掲載のため未収録</t>
    </r>
  </si>
  <si>
    <t xml:space="preserve">KDX-239</t>
  </si>
  <si>
    <t xml:space="preserve">ゆめまち習志野台モール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</si>
  <si>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C1016</t>
    </r>
    <r>
      <rPr>
        <sz val="10"/>
        <color rgb="FF0000FF"/>
        <rFont val="Noto Sans CJK SC"/>
        <family val="2"/>
      </rPr>
      <t xml:space="preserve">。所在地・竣工年月・延床面積は短信非掲載のため未収録</t>
    </r>
  </si>
  <si>
    <t xml:space="preserve">KDX-240</t>
  </si>
  <si>
    <t xml:space="preserve">ラウンドワン市川鬼高店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</si>
  <si>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C1017</t>
    </r>
    <r>
      <rPr>
        <sz val="10"/>
        <color rgb="FF0000FF"/>
        <rFont val="Noto Sans CJK SC"/>
        <family val="2"/>
      </rPr>
      <t xml:space="preserve">。所在地・竣工年月・延床面積は短信非掲載のため未収録</t>
    </r>
  </si>
  <si>
    <t xml:space="preserve">KDX-241</t>
  </si>
  <si>
    <t xml:space="preserve">かわまち矢作モール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</si>
  <si>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C1018</t>
    </r>
    <r>
      <rPr>
        <sz val="10"/>
        <color rgb="FF0000FF"/>
        <rFont val="Noto Sans CJK SC"/>
        <family val="2"/>
      </rPr>
      <t xml:space="preserve">。所在地・竣工年月・延床面積は短信非掲載のため未収録</t>
    </r>
  </si>
  <si>
    <t xml:space="preserve">KDX-242</t>
  </si>
  <si>
    <t xml:space="preserve">オオゼキときわ台店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</si>
  <si>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C1019</t>
    </r>
    <r>
      <rPr>
        <sz val="10"/>
        <color rgb="FF0000FF"/>
        <rFont val="Noto Sans CJK SC"/>
        <family val="2"/>
      </rPr>
      <t xml:space="preserve">。所在地・竣工年月・延床面積は短信非掲載のため未収録</t>
    </r>
  </si>
  <si>
    <t xml:space="preserve">KDX-243</t>
  </si>
  <si>
    <t xml:space="preserve">もねの里モール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</si>
  <si>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C1021</t>
    </r>
    <r>
      <rPr>
        <sz val="10"/>
        <color rgb="FF0000FF"/>
        <rFont val="Noto Sans CJK SC"/>
        <family val="2"/>
      </rPr>
      <t xml:space="preserve">。所在地・竣工年月・延床面積は短信非掲載のため未収録</t>
    </r>
  </si>
  <si>
    <t xml:space="preserve">KDX-244</t>
  </si>
  <si>
    <t xml:space="preserve">アクロスプラザ浦安東野(底地)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</si>
  <si>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C1022</t>
    </r>
    <r>
      <rPr>
        <sz val="10"/>
        <color rgb="FF0000FF"/>
        <rFont val="Noto Sans CJK SC"/>
        <family val="2"/>
      </rPr>
      <t xml:space="preserve">。所在地・竣工年月・延床面積は短信非掲載のため未収録</t>
    </r>
  </si>
  <si>
    <t xml:space="preserve">KDX-245</t>
  </si>
  <si>
    <t xml:space="preserve">アピタテラス横浜綱島</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</si>
  <si>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C1023</t>
    </r>
    <r>
      <rPr>
        <sz val="10"/>
        <color rgb="FF0000FF"/>
        <rFont val="Noto Sans CJK SC"/>
        <family val="2"/>
      </rPr>
      <t xml:space="preserve">。所在地・竣工年月・延床面積は短信非掲載のため未収録</t>
    </r>
  </si>
  <si>
    <t xml:space="preserve">KDX-246</t>
  </si>
  <si>
    <t xml:space="preserve">カルサ平塚</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</si>
  <si>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C1024</t>
    </r>
    <r>
      <rPr>
        <sz val="10"/>
        <color rgb="FF0000FF"/>
        <rFont val="Noto Sans CJK SC"/>
        <family val="2"/>
      </rPr>
      <t xml:space="preserve">。所在地・竣工年月・延床面積は短信非掲載のため未収録</t>
    </r>
  </si>
  <si>
    <t xml:space="preserve">KDX-247</t>
  </si>
  <si>
    <t xml:space="preserve">コンフォートマーケット西馬込店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</si>
  <si>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C1025</t>
    </r>
    <r>
      <rPr>
        <sz val="10"/>
        <color rgb="FF0000FF"/>
        <rFont val="Noto Sans CJK SC"/>
        <family val="2"/>
      </rPr>
      <t xml:space="preserve">。所在地・竣工年月・延床面積は短信非掲載のため未収録</t>
    </r>
  </si>
  <si>
    <t xml:space="preserve">KDX-248</t>
  </si>
  <si>
    <t xml:space="preserve">ウニクス浦和美園(底地)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</si>
  <si>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C1026</t>
    </r>
    <r>
      <rPr>
        <sz val="10"/>
        <color rgb="FF0000FF"/>
        <rFont val="Noto Sans CJK SC"/>
        <family val="2"/>
      </rPr>
      <t xml:space="preserve">。所在地・竣工年月・延床面積は短信非掲載のため未収録</t>
    </r>
  </si>
  <si>
    <t xml:space="preserve">KDX-249</t>
  </si>
  <si>
    <t xml:space="preserve">キテラタウン調布</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</si>
  <si>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C1027</t>
    </r>
    <r>
      <rPr>
        <sz val="10"/>
        <color rgb="FF0000FF"/>
        <rFont val="Noto Sans CJK SC"/>
        <family val="2"/>
      </rPr>
      <t xml:space="preserve">。所在地・竣工年月・延床面積は短信非掲載のため未収録</t>
    </r>
  </si>
  <si>
    <t xml:space="preserve">KDX-250</t>
  </si>
  <si>
    <t xml:space="preserve">キテラプラザ青葉台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</si>
  <si>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C1028</t>
    </r>
    <r>
      <rPr>
        <sz val="10"/>
        <color rgb="FF0000FF"/>
        <rFont val="Noto Sans CJK SC"/>
        <family val="2"/>
      </rPr>
      <t xml:space="preserve">。所在地・竣工年月・延床面積は短信非掲載のため未収録</t>
    </r>
  </si>
  <si>
    <t xml:space="preserve">KDX-251</t>
  </si>
  <si>
    <t xml:space="preserve">東松山ショッピングセンター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</si>
  <si>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C1029</t>
    </r>
    <r>
      <rPr>
        <sz val="10"/>
        <color rgb="FF0000FF"/>
        <rFont val="Noto Sans CJK SC"/>
        <family val="2"/>
      </rPr>
      <t xml:space="preserve">。所在地・竣工年月・延床面積は短信非掲載のため未収録</t>
    </r>
  </si>
  <si>
    <t xml:space="preserve">KDX-252</t>
  </si>
  <si>
    <t xml:space="preserve">ヨークマート東道野辺店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</si>
  <si>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C1030</t>
    </r>
    <r>
      <rPr>
        <sz val="10"/>
        <color rgb="FF0000FF"/>
        <rFont val="Noto Sans CJK SC"/>
        <family val="2"/>
      </rPr>
      <t xml:space="preserve">。所在地・竣工年月・延床面積は短信非掲載のため未収録</t>
    </r>
  </si>
  <si>
    <t xml:space="preserve">KDX-253</t>
  </si>
  <si>
    <t xml:space="preserve">いなげや新ゆりヨネッティー王禅寺前店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</si>
  <si>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C1031</t>
    </r>
    <r>
      <rPr>
        <sz val="10"/>
        <color rgb="FF0000FF"/>
        <rFont val="Noto Sans CJK SC"/>
        <family val="2"/>
      </rPr>
      <t xml:space="preserve">。所在地・竣工年月・延床面積は短信非掲載のため未収録</t>
    </r>
  </si>
  <si>
    <t xml:space="preserve">KDX-254</t>
  </si>
  <si>
    <t xml:space="preserve">イーアス高尾</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</si>
  <si>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C1032</t>
    </r>
    <r>
      <rPr>
        <sz val="10"/>
        <color rgb="FF0000FF"/>
        <rFont val="Noto Sans CJK SC"/>
        <family val="2"/>
      </rPr>
      <t xml:space="preserve">。所在地・竣工年月・延床面積は短信非掲載のため未収録。当期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26,300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2026/4/3</t>
    </r>
    <r>
      <rPr>
        <sz val="10"/>
        <color rgb="FF0000FF"/>
        <rFont val="Noto Sans CJK SC"/>
        <family val="2"/>
      </rPr>
      <t xml:space="preserve">に「イーアス高尾」から「ヨロッカ春日井」へ名称変更したのは</t>
    </r>
    <r>
      <rPr>
        <sz val="10"/>
        <color rgb="FF0000FF"/>
        <rFont val="Arial"/>
        <family val="0"/>
        <charset val="1"/>
      </rPr>
      <t xml:space="preserve">C2031</t>
    </r>
    <r>
      <rPr>
        <sz val="10"/>
        <color rgb="FF0000FF"/>
        <rFont val="Noto Sans CJK SC"/>
        <family val="2"/>
      </rPr>
      <t xml:space="preserve">であり本物件は取得時名称のまま</t>
    </r>
  </si>
  <si>
    <t xml:space="preserve">KDX-255</t>
  </si>
  <si>
    <t xml:space="preserve">ロゼオ水戸</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</si>
  <si>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C2001</t>
    </r>
    <r>
      <rPr>
        <sz val="10"/>
        <color rgb="FF0000FF"/>
        <rFont val="Noto Sans CJK SC"/>
        <family val="2"/>
      </rPr>
      <t xml:space="preserve">。所在地・竣工年月・延床面積は短信非掲載のため未収録</t>
    </r>
  </si>
  <si>
    <t xml:space="preserve">KDX-256</t>
  </si>
  <si>
    <t xml:space="preserve">ブルメール舞多聞</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</si>
  <si>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C2002</t>
    </r>
    <r>
      <rPr>
        <sz val="10"/>
        <color rgb="FF0000FF"/>
        <rFont val="Noto Sans CJK SC"/>
        <family val="2"/>
      </rPr>
      <t xml:space="preserve">。所在地・竣工年月・延床面積は短信非掲載のため未収録</t>
    </r>
  </si>
  <si>
    <t xml:space="preserve">KDX-257</t>
  </si>
  <si>
    <t xml:space="preserve">ライフ高殿店(底地)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</si>
  <si>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C2003</t>
    </r>
    <r>
      <rPr>
        <sz val="10"/>
        <color rgb="FF0000FF"/>
        <rFont val="Noto Sans CJK SC"/>
        <family val="2"/>
      </rPr>
      <t xml:space="preserve">。所在地・竣工年月・延床面積は短信非掲載のため未収録。期後</t>
    </r>
    <r>
      <rPr>
        <sz val="10"/>
        <color rgb="FF0000FF"/>
        <rFont val="Arial"/>
        <family val="0"/>
        <charset val="1"/>
      </rPr>
      <t xml:space="preserve">2026/6/8</t>
    </r>
    <r>
      <rPr>
        <sz val="10"/>
        <color rgb="FF0000FF"/>
        <rFont val="Noto Sans CJK SC"/>
        <family val="2"/>
      </rPr>
      <t xml:space="preserve">売買契約締結・</t>
    </r>
    <r>
      <rPr>
        <sz val="10"/>
        <color rgb="FF0000FF"/>
        <rFont val="Arial"/>
        <family val="0"/>
        <charset val="1"/>
      </rPr>
      <t xml:space="preserve">2026/12/1</t>
    </r>
    <r>
      <rPr>
        <sz val="10"/>
        <color rgb="FF0000FF"/>
        <rFont val="Noto Sans CJK SC"/>
        <family val="2"/>
      </rPr>
      <t xml:space="preserve">に阪急阪神リート投資法人へ譲渡予定</t>
    </r>
    <r>
      <rPr>
        <sz val="10"/>
        <color rgb="FF0000FF"/>
        <rFont val="Arial"/>
        <family val="0"/>
        <charset val="1"/>
      </rPr>
      <t xml:space="preserve">(</t>
    </r>
    <r>
      <rPr>
        <sz val="10"/>
        <color rgb="FF0000FF"/>
        <rFont val="Noto Sans CJK SC"/>
        <family val="2"/>
      </rPr>
      <t xml:space="preserve">譲渡予定価格</t>
    </r>
    <r>
      <rPr>
        <sz val="10"/>
        <color rgb="FF0000FF"/>
        <rFont val="Arial"/>
        <family val="0"/>
        <charset val="1"/>
      </rPr>
      <t xml:space="preserve">3,690</t>
    </r>
    <r>
      <rPr>
        <sz val="10"/>
        <color rgb="FF0000FF"/>
        <rFont val="Noto Sans CJK SC"/>
        <family val="2"/>
      </rPr>
      <t xml:space="preserve">百万円・フォワードコミットメント</t>
    </r>
    <r>
      <rPr>
        <sz val="10"/>
        <color rgb="FF0000FF"/>
        <rFont val="Arial"/>
        <family val="0"/>
        <charset val="1"/>
      </rPr>
      <t xml:space="preserve">)</t>
    </r>
  </si>
  <si>
    <t xml:space="preserve">KDX-258</t>
  </si>
  <si>
    <r>
      <rPr>
        <sz val="10"/>
        <color rgb="FF0000FF"/>
        <rFont val="Arial"/>
        <family val="0"/>
        <charset val="1"/>
      </rPr>
      <t xml:space="preserve">DCM</t>
    </r>
    <r>
      <rPr>
        <sz val="10"/>
        <color rgb="FF0000FF"/>
        <rFont val="Noto Sans CJK SC"/>
        <family val="2"/>
      </rPr>
      <t xml:space="preserve">中川富田店</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</si>
  <si>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C2004</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</si>
  <si>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KDX-259</t>
  </si>
  <si>
    <r>
      <rPr>
        <sz val="10"/>
        <color rgb="FF0000FF"/>
        <rFont val="Arial"/>
        <family val="0"/>
        <charset val="1"/>
      </rPr>
      <t xml:space="preserve">DCM</t>
    </r>
    <r>
      <rPr>
        <sz val="10"/>
        <color rgb="FF0000FF"/>
        <rFont val="Noto Sans CJK SC"/>
        <family val="2"/>
      </rPr>
      <t xml:space="preserve">・</t>
    </r>
    <r>
      <rPr>
        <sz val="10"/>
        <color rgb="FF0000FF"/>
        <rFont val="Arial"/>
        <family val="0"/>
        <charset val="1"/>
      </rPr>
      <t xml:space="preserve">MEGA</t>
    </r>
    <r>
      <rPr>
        <sz val="10"/>
        <color rgb="FF0000FF"/>
        <rFont val="Noto Sans CJK SC"/>
        <family val="2"/>
      </rPr>
      <t xml:space="preserve">ドン・キホーテ</t>
    </r>
    <r>
      <rPr>
        <sz val="10"/>
        <color rgb="FF0000FF"/>
        <rFont val="Arial"/>
        <family val="0"/>
        <charset val="1"/>
      </rPr>
      <t xml:space="preserve">UNY</t>
    </r>
    <r>
      <rPr>
        <sz val="10"/>
        <color rgb="FF0000FF"/>
        <rFont val="Noto Sans CJK SC"/>
        <family val="2"/>
      </rPr>
      <t xml:space="preserve">近江八幡店</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</si>
  <si>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C2005</t>
    </r>
    <r>
      <rPr>
        <sz val="10"/>
        <color rgb="FF0000FF"/>
        <rFont val="Noto Sans CJK SC"/>
        <family val="2"/>
      </rPr>
      <t xml:space="preserve">。所在地・竣工年月・延床面積は短信非掲載のため未収録</t>
    </r>
  </si>
  <si>
    <t xml:space="preserve">KDX-260</t>
  </si>
  <si>
    <t xml:space="preserve">バロー一宮西店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</si>
  <si>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C2006</t>
    </r>
    <r>
      <rPr>
        <sz val="10"/>
        <color rgb="FF0000FF"/>
        <rFont val="Noto Sans CJK SC"/>
        <family val="2"/>
      </rPr>
      <t xml:space="preserve">。所在地・竣工年月・延床面積は短信非掲載のため未収録</t>
    </r>
  </si>
  <si>
    <t xml:space="preserve">KDX-261</t>
  </si>
  <si>
    <t xml:space="preserve">サニー野間店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</si>
  <si>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C2007</t>
    </r>
    <r>
      <rPr>
        <sz val="10"/>
        <color rgb="FF0000FF"/>
        <rFont val="Noto Sans CJK SC"/>
        <family val="2"/>
      </rPr>
      <t xml:space="preserve">。所在地・竣工年月・延床面積は短信非掲載のため未収録</t>
    </r>
  </si>
  <si>
    <t xml:space="preserve">KDX-262</t>
  </si>
  <si>
    <t xml:space="preserve">ケーズデンキ青森本店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</si>
  <si>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C2008</t>
    </r>
    <r>
      <rPr>
        <sz val="10"/>
        <color rgb="FF0000FF"/>
        <rFont val="Noto Sans CJK SC"/>
        <family val="2"/>
      </rPr>
      <t xml:space="preserve">。所在地・竣工年月・延床面積は短信非掲載のため未収録</t>
    </r>
  </si>
  <si>
    <t xml:space="preserve">KDX-263</t>
  </si>
  <si>
    <t xml:space="preserve">スーパースポーツゼビオ青森中央店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</si>
  <si>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C2009</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</si>
  <si>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KDX-264</t>
  </si>
  <si>
    <t xml:space="preserve">ブルメールHAT神戸</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</si>
  <si>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C2010</t>
    </r>
    <r>
      <rPr>
        <sz val="10"/>
        <color rgb="FF0000FF"/>
        <rFont val="Noto Sans CJK SC"/>
        <family val="2"/>
      </rPr>
      <t xml:space="preserve">。所在地・竣工年月・延床面積は短信非掲載のため未収録</t>
    </r>
  </si>
  <si>
    <t xml:space="preserve">KDX-265</t>
  </si>
  <si>
    <t xml:space="preserve">アシコタウンあしかが</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</si>
  <si>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C2013</t>
    </r>
    <r>
      <rPr>
        <sz val="10"/>
        <color rgb="FF0000FF"/>
        <rFont val="Noto Sans CJK SC"/>
        <family val="2"/>
      </rPr>
      <t xml:space="preserve">。所在地・竣工年月・延床面積は短信非掲載のため未収録</t>
    </r>
  </si>
  <si>
    <t xml:space="preserve">KDX-266</t>
  </si>
  <si>
    <t xml:space="preserve">ヨークタウン新田東</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</si>
  <si>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C2014</t>
    </r>
    <r>
      <rPr>
        <sz val="10"/>
        <color rgb="FF0000FF"/>
        <rFont val="Noto Sans CJK SC"/>
        <family val="2"/>
      </rPr>
      <t xml:space="preserve">。所在地・竣工年月・延床面積は短信非掲載のため未収録</t>
    </r>
  </si>
  <si>
    <t xml:space="preserve">KDX-267</t>
  </si>
  <si>
    <t xml:space="preserve">カスミテクノパーク桜店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</si>
  <si>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C2015</t>
    </r>
    <r>
      <rPr>
        <sz val="10"/>
        <color rgb="FF0000FF"/>
        <rFont val="Noto Sans CJK SC"/>
        <family val="2"/>
      </rPr>
      <t xml:space="preserve">。所在地・竣工年月・延床面積は短信非掲載のため未収録</t>
    </r>
  </si>
  <si>
    <t xml:space="preserve">KDX-268</t>
  </si>
  <si>
    <t xml:space="preserve">ライフ西天下茶屋店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</si>
  <si>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C2016</t>
    </r>
    <r>
      <rPr>
        <sz val="10"/>
        <color rgb="FF0000FF"/>
        <rFont val="Noto Sans CJK SC"/>
        <family val="2"/>
      </rPr>
      <t xml:space="preserve">。所在地・竣工年月・延床面積は短信非掲載のため未収録</t>
    </r>
  </si>
  <si>
    <t xml:space="preserve">KDX-269</t>
  </si>
  <si>
    <t xml:space="preserve">ホームセンターコーナン砂田橋店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</si>
  <si>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C2017</t>
    </r>
    <r>
      <rPr>
        <sz val="10"/>
        <color rgb="FF0000FF"/>
        <rFont val="Noto Sans CJK SC"/>
        <family val="2"/>
      </rPr>
      <t xml:space="preserve">。所在地・竣工年月・延床面積は短信非掲載のため未収録</t>
    </r>
  </si>
  <si>
    <t xml:space="preserve">KDX-270</t>
  </si>
  <si>
    <t xml:space="preserve">ミリオンタウン塚口(底地)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</si>
  <si>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C2018</t>
    </r>
    <r>
      <rPr>
        <sz val="10"/>
        <color rgb="FF0000FF"/>
        <rFont val="Noto Sans CJK SC"/>
        <family val="2"/>
      </rPr>
      <t xml:space="preserve">。所在地・竣工年月・延床面積は短信非掲載のため未収録</t>
    </r>
  </si>
  <si>
    <t xml:space="preserve">KDX-271</t>
  </si>
  <si>
    <t xml:space="preserve">ピーワンプラザ天王</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</si>
  <si>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C2019</t>
    </r>
    <r>
      <rPr>
        <sz val="10"/>
        <color rgb="FF0000FF"/>
        <rFont val="Noto Sans CJK SC"/>
        <family val="2"/>
      </rPr>
      <t xml:space="preserve">。所在地・竣工年月・延床面積は短信非掲載のため未収録</t>
    </r>
  </si>
  <si>
    <t xml:space="preserve">KDX-272</t>
  </si>
  <si>
    <t xml:space="preserve">西友楽市守谷店(底地)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</si>
  <si>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C2020</t>
    </r>
    <r>
      <rPr>
        <sz val="10"/>
        <color rgb="FF0000FF"/>
        <rFont val="Noto Sans CJK SC"/>
        <family val="2"/>
      </rPr>
      <t xml:space="preserve">。所在地・竣工年月・延床面積は短信非掲載のため未収録。賃貸可能面積もテナント等同意なく非開示</t>
    </r>
    <r>
      <rPr>
        <sz val="10"/>
        <color rgb="FF0000FF"/>
        <rFont val="Arial"/>
        <family val="0"/>
        <charset val="1"/>
      </rPr>
      <t xml:space="preserve">(</t>
    </r>
    <r>
      <rPr>
        <sz val="10"/>
        <color rgb="FF0000FF"/>
        <rFont val="Noto Sans CJK SC"/>
        <family val="2"/>
      </rPr>
      <t xml:space="preserve">用途小計値には保有持分相当が反映</t>
    </r>
    <r>
      <rPr>
        <sz val="10"/>
        <color rgb="FF0000FF"/>
        <rFont val="Arial"/>
        <family val="0"/>
        <charset val="1"/>
      </rPr>
      <t xml:space="preserve">)</t>
    </r>
  </si>
  <si>
    <t xml:space="preserve">KDX-273</t>
  </si>
  <si>
    <t xml:space="preserve">ラウンドワンスタジアム博多・半道橋店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</si>
  <si>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C2021</t>
    </r>
    <r>
      <rPr>
        <sz val="10"/>
        <color rgb="FF0000FF"/>
        <rFont val="Noto Sans CJK SC"/>
        <family val="2"/>
      </rPr>
      <t xml:space="preserve">。所在地・竣工年月・延床面積は短信非掲載のため未収録</t>
    </r>
  </si>
  <si>
    <t xml:space="preserve">KDX-274</t>
  </si>
  <si>
    <t xml:space="preserve">久留米西ショッピングセンター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</si>
  <si>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C2022</t>
    </r>
    <r>
      <rPr>
        <sz val="10"/>
        <color rgb="FF0000FF"/>
        <rFont val="Noto Sans CJK SC"/>
        <family val="2"/>
      </rPr>
      <t xml:space="preserve">。所在地・竣工年月・延床面積は短信非掲載のため未収録</t>
    </r>
  </si>
  <si>
    <t xml:space="preserve">KDX-275</t>
  </si>
  <si>
    <t xml:space="preserve">サンストリート浜北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</si>
  <si>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C2023</t>
    </r>
    <r>
      <rPr>
        <sz val="10"/>
        <color rgb="FF0000FF"/>
        <rFont val="Noto Sans CJK SC"/>
        <family val="2"/>
      </rPr>
      <t xml:space="preserve">。所在地・竣工年月・延床面積は短信非掲載のため未収録</t>
    </r>
  </si>
  <si>
    <t xml:space="preserve">KDX-276</t>
  </si>
  <si>
    <t xml:space="preserve">コストコホールセール札幌倉庫店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</si>
  <si>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C2025</t>
    </r>
    <r>
      <rPr>
        <sz val="10"/>
        <color rgb="FF0000FF"/>
        <rFont val="Noto Sans CJK SC"/>
        <family val="2"/>
      </rPr>
      <t xml:space="preserve">。所在地・竣工年月・延床面積は短信非掲載のため未収録</t>
    </r>
  </si>
  <si>
    <t xml:space="preserve">KDX-277</t>
  </si>
  <si>
    <t xml:space="preserve">羽曳が丘ショッピングセンター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</si>
  <si>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C2026</t>
    </r>
    <r>
      <rPr>
        <sz val="10"/>
        <color rgb="FF0000FF"/>
        <rFont val="Noto Sans CJK SC"/>
        <family val="2"/>
      </rPr>
      <t xml:space="preserve">。所在地・竣工年月・延床面積は短信非掲載のため未収録</t>
    </r>
  </si>
  <si>
    <t xml:space="preserve">KDX-278</t>
  </si>
  <si>
    <t xml:space="preserve">バロー中志段味店(底地)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</si>
  <si>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C2027</t>
    </r>
    <r>
      <rPr>
        <sz val="10"/>
        <color rgb="FF0000FF"/>
        <rFont val="Noto Sans CJK SC"/>
        <family val="2"/>
      </rPr>
      <t xml:space="preserve">。所在地・竣工年月・延床面積は短信非掲載のため未収録</t>
    </r>
  </si>
  <si>
    <t xml:space="preserve">KDX-279</t>
  </si>
  <si>
    <t xml:space="preserve">メラード大開</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</si>
  <si>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C2028</t>
    </r>
    <r>
      <rPr>
        <sz val="10"/>
        <color rgb="FF0000FF"/>
        <rFont val="Noto Sans CJK SC"/>
        <family val="2"/>
      </rPr>
      <t xml:space="preserve">。所在地・竣工年月・延床面積は短信非掲載のため未収録</t>
    </r>
  </si>
  <si>
    <t xml:space="preserve">KDX-280</t>
  </si>
  <si>
    <t xml:space="preserve">キテラタウン福岡長浜</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</si>
  <si>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C2029</t>
    </r>
    <r>
      <rPr>
        <sz val="10"/>
        <color rgb="FF0000FF"/>
        <rFont val="Noto Sans CJK SC"/>
        <family val="2"/>
      </rPr>
      <t xml:space="preserve">。所在地・竣工年月・延床面積は短信非掲載のため未収録</t>
    </r>
  </si>
  <si>
    <t xml:space="preserve">KDX-281</t>
  </si>
  <si>
    <t xml:space="preserve">コープさっぽろ春光店</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</si>
  <si>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C2030</t>
    </r>
    <r>
      <rPr>
        <sz val="10"/>
        <color rgb="FF0000FF"/>
        <rFont val="Noto Sans CJK SC"/>
        <family val="2"/>
      </rPr>
      <t xml:space="preserve">。所在地・竣工年月・延床面積は短信非掲載のため未収録</t>
    </r>
  </si>
  <si>
    <t xml:space="preserve">KDX-282</t>
  </si>
  <si>
    <t xml:space="preserve">ヨロッカ春日井</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</si>
  <si>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C2031</t>
    </r>
    <r>
      <rPr>
        <sz val="10"/>
        <color rgb="FF0000FF"/>
        <rFont val="Noto Sans CJK SC"/>
        <family val="2"/>
      </rPr>
      <t xml:space="preserve">。所在地・竣工年月・延床面積は短信非掲載のため未収録。</t>
    </r>
    <r>
      <rPr>
        <sz val="10"/>
        <color rgb="FF0000FF"/>
        <rFont val="Arial"/>
        <family val="0"/>
        <charset val="1"/>
      </rPr>
      <t xml:space="preserve">2026/4/3</t>
    </r>
    <r>
      <rPr>
        <sz val="10"/>
        <color rgb="FF0000FF"/>
        <rFont val="Noto Sans CJK SC"/>
        <family val="2"/>
      </rPr>
      <t xml:space="preserve">に「イーアス春日井」から名称変更</t>
    </r>
  </si>
  <si>
    <t xml:space="preserve">KDX-283</t>
  </si>
  <si>
    <t xml:space="preserve">コーナン新市店（底地）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</si>
  <si>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C2032</t>
    </r>
    <r>
      <rPr>
        <sz val="10"/>
        <color rgb="FF0000FF"/>
        <rFont val="Noto Sans CJK SC"/>
        <family val="2"/>
      </rPr>
      <t xml:space="preserve">。所在地・竣工年月・延床面積は短信非掲載のため未収録</t>
    </r>
  </si>
  <si>
    <t xml:space="preserve">KDX-284</t>
  </si>
  <si>
    <t xml:space="preserve">武蔵嵐山配送センター</t>
  </si>
  <si>
    <t xml:space="preserve">物流</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</si>
  <si>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D1001</t>
    </r>
    <r>
      <rPr>
        <sz val="10"/>
        <color rgb="FF0000FF"/>
        <rFont val="Noto Sans CJK SC"/>
        <family val="2"/>
      </rPr>
      <t xml:space="preserve">。所在地・竣工年月・延床面積は短信非掲載のため未収録</t>
    </r>
  </si>
  <si>
    <t xml:space="preserve">KDX-285</t>
  </si>
  <si>
    <t xml:space="preserve">座間配送センター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</si>
  <si>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D1002</t>
    </r>
    <r>
      <rPr>
        <sz val="10"/>
        <color rgb="FF0000FF"/>
        <rFont val="Noto Sans CJK SC"/>
        <family val="2"/>
      </rPr>
      <t xml:space="preserve">。所在地・竣工年月・延床面積は短信非掲載のため未収録</t>
    </r>
  </si>
  <si>
    <t xml:space="preserve">KDX-286</t>
  </si>
  <si>
    <t xml:space="preserve">追浜配送センター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</si>
  <si>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D1003</t>
    </r>
    <r>
      <rPr>
        <sz val="10"/>
        <color rgb="FF0000FF"/>
        <rFont val="Noto Sans CJK SC"/>
        <family val="2"/>
      </rPr>
      <t xml:space="preserve">。所在地・竣工年月・延床面積は短信非掲載のため未収録</t>
    </r>
  </si>
  <si>
    <t xml:space="preserve">KDX-287</t>
  </si>
  <si>
    <t xml:space="preserve">横浜上郷配送センター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</si>
  <si>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D1004</t>
    </r>
    <r>
      <rPr>
        <sz val="10"/>
        <color rgb="FF0000FF"/>
        <rFont val="Noto Sans CJK SC"/>
        <family val="2"/>
      </rPr>
      <t xml:space="preserve">。所在地・竣工年月・延床面積は短信非掲載のため未収録</t>
    </r>
  </si>
  <si>
    <t xml:space="preserve">KDX-288</t>
  </si>
  <si>
    <t xml:space="preserve">行田配送センター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</si>
  <si>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D1005</t>
    </r>
    <r>
      <rPr>
        <sz val="10"/>
        <color rgb="FF0000FF"/>
        <rFont val="Noto Sans CJK SC"/>
        <family val="2"/>
      </rPr>
      <t xml:space="preserve">。所在地・竣工年月・延床面積は短信非掲載のため未収録。稼働率</t>
    </r>
    <r>
      <rPr>
        <sz val="10"/>
        <color rgb="FF0000FF"/>
        <rFont val="Arial"/>
        <family val="0"/>
        <charset val="1"/>
      </rPr>
      <t xml:space="preserve">49.7%</t>
    </r>
    <r>
      <rPr>
        <sz val="10"/>
        <color rgb="FF0000FF"/>
        <rFont val="Noto Sans CJK SC"/>
        <family val="2"/>
      </rPr>
      <t xml:space="preserve">と低位</t>
    </r>
  </si>
  <si>
    <t xml:space="preserve">KDX-289</t>
  </si>
  <si>
    <t xml:space="preserve">新宿西落合配送センター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</si>
  <si>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D1006</t>
    </r>
    <r>
      <rPr>
        <sz val="10"/>
        <color rgb="FF0000FF"/>
        <rFont val="Noto Sans CJK SC"/>
        <family val="2"/>
      </rPr>
      <t xml:space="preserve">。所在地・竣工年月・延床面積は短信非掲載のため未収録</t>
    </r>
  </si>
  <si>
    <t xml:space="preserve">KDX-290</t>
  </si>
  <si>
    <t xml:space="preserve">千葉北配送センター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</si>
  <si>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D1007</t>
    </r>
    <r>
      <rPr>
        <sz val="10"/>
        <color rgb="FF0000FF"/>
        <rFont val="Noto Sans CJK SC"/>
        <family val="2"/>
      </rPr>
      <t xml:space="preserve">。所在地・竣工年月・延床面積は短信非掲載のため未収録</t>
    </r>
  </si>
  <si>
    <t xml:space="preserve">KDX-291</t>
  </si>
  <si>
    <t xml:space="preserve">デリア食品昭島配送センター(底地)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</si>
  <si>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D1008</t>
    </r>
    <r>
      <rPr>
        <sz val="10"/>
        <color rgb="FF0000FF"/>
        <rFont val="Noto Sans CJK SC"/>
        <family val="2"/>
      </rPr>
      <t xml:space="preserve">。所在地・竣工年月・延床面積は短信非掲載のため未収録。</t>
    </r>
    <r>
      <rPr>
        <sz val="10"/>
        <color rgb="FF0000FF"/>
        <rFont val="Arial"/>
        <family val="0"/>
        <charset val="1"/>
      </rPr>
      <t xml:space="preserve">2026/5/1</t>
    </r>
    <r>
      <rPr>
        <sz val="10"/>
        <color rgb="FF0000FF"/>
        <rFont val="Noto Sans CJK SC"/>
        <family val="2"/>
      </rPr>
      <t xml:space="preserve">に「旬菜デリ昭島配送センター</t>
    </r>
    <r>
      <rPr>
        <sz val="10"/>
        <color rgb="FF0000FF"/>
        <rFont val="Arial"/>
        <family val="0"/>
        <charset val="1"/>
      </rPr>
      <t xml:space="preserve">(</t>
    </r>
    <r>
      <rPr>
        <sz val="10"/>
        <color rgb="FF0000FF"/>
        <rFont val="Noto Sans CJK SC"/>
        <family val="2"/>
      </rPr>
      <t xml:space="preserve">底地</t>
    </r>
    <r>
      <rPr>
        <sz val="10"/>
        <color rgb="FF0000FF"/>
        <rFont val="Arial"/>
        <family val="0"/>
        <charset val="1"/>
      </rPr>
      <t xml:space="preserve">)</t>
    </r>
    <r>
      <rPr>
        <sz val="10"/>
        <color rgb="FF0000FF"/>
        <rFont val="Noto Sans CJK SC"/>
        <family val="2"/>
      </rPr>
      <t xml:space="preserve">」から名称変更</t>
    </r>
  </si>
  <si>
    <t xml:space="preserve">KDX-292</t>
  </si>
  <si>
    <r>
      <rPr>
        <sz val="10"/>
        <color rgb="FF0000FF"/>
        <rFont val="Arial"/>
        <family val="0"/>
        <charset val="1"/>
      </rPr>
      <t xml:space="preserve">KDX</t>
    </r>
    <r>
      <rPr>
        <sz val="10"/>
        <color rgb="FF0000FF"/>
        <rFont val="Noto Sans CJK SC"/>
        <family val="2"/>
      </rPr>
      <t xml:space="preserve">ロジスティクス海老名中央</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</si>
  <si>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D1009</t>
    </r>
    <r>
      <rPr>
        <sz val="10"/>
        <color rgb="FF0000FF"/>
        <rFont val="Noto Sans CJK SC"/>
        <family val="2"/>
      </rPr>
      <t xml:space="preserve">。所在地・竣工年月・延床面積は短信非掲載のため未収録</t>
    </r>
  </si>
  <si>
    <t xml:space="preserve">KDX-293</t>
  </si>
  <si>
    <r>
      <rPr>
        <sz val="10"/>
        <color rgb="FF0000FF"/>
        <rFont val="Arial"/>
        <family val="0"/>
        <charset val="1"/>
      </rPr>
      <t xml:space="preserve">KDX</t>
    </r>
    <r>
      <rPr>
        <sz val="10"/>
        <color rgb="FF0000FF"/>
        <rFont val="Noto Sans CJK SC"/>
        <family val="2"/>
      </rPr>
      <t xml:space="preserve">ロジスティクス昭島Ⅰ</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</si>
  <si>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D1010</t>
    </r>
    <r>
      <rPr>
        <sz val="10"/>
        <color rgb="FF0000FF"/>
        <rFont val="Noto Sans CJK SC"/>
        <family val="2"/>
      </rPr>
      <t xml:space="preserve">。所在地・竣工年月・延床面積は短信非掲載のため未収録。当期</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6,137</t>
    </r>
    <r>
      <rPr>
        <sz val="10"/>
        <color rgb="FF0000FF"/>
        <rFont val="Noto Sans CJK SC"/>
        <family val="2"/>
      </rPr>
      <t xml:space="preserve">百万円</t>
    </r>
    <r>
      <rPr>
        <sz val="10"/>
        <color rgb="FF0000FF"/>
        <rFont val="Arial"/>
        <family val="0"/>
        <charset val="1"/>
      </rPr>
      <t xml:space="preserve">)</t>
    </r>
  </si>
  <si>
    <t xml:space="preserve">KDX-294</t>
  </si>
  <si>
    <t xml:space="preserve">天理配送センター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</si>
  <si>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D2002</t>
    </r>
    <r>
      <rPr>
        <sz val="10"/>
        <color rgb="FF0000FF"/>
        <rFont val="Noto Sans CJK SC"/>
        <family val="2"/>
      </rPr>
      <t xml:space="preserve">。所在地・竣工年月・延床面積は短信非掲載のため未収録</t>
    </r>
  </si>
  <si>
    <t xml:space="preserve">KDX-295</t>
  </si>
  <si>
    <t xml:space="preserve">プリマハム近畿センター</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</si>
  <si>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D2003</t>
    </r>
    <r>
      <rPr>
        <sz val="10"/>
        <color rgb="FF0000FF"/>
        <rFont val="Noto Sans CJK SC"/>
        <family val="2"/>
      </rPr>
      <t xml:space="preserve">。所在地・竣工年月・延床面積は短信非掲載のため未収録</t>
    </r>
  </si>
  <si>
    <t xml:space="preserve">KDX-296</t>
  </si>
  <si>
    <r>
      <rPr>
        <sz val="10"/>
        <color rgb="FF0000FF"/>
        <rFont val="Arial"/>
        <family val="0"/>
        <charset val="1"/>
      </rPr>
      <t xml:space="preserve">KDX</t>
    </r>
    <r>
      <rPr>
        <sz val="10"/>
        <color rgb="FF0000FF"/>
        <rFont val="Noto Sans CJK SC"/>
        <family val="2"/>
      </rPr>
      <t xml:space="preserve">広島呉配送センター</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</si>
  <si>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D2004</t>
    </r>
    <r>
      <rPr>
        <sz val="10"/>
        <color rgb="FF0000FF"/>
        <rFont val="Noto Sans CJK SC"/>
        <family val="2"/>
      </rPr>
      <t xml:space="preserve">。所在地・竣工年月・延床面積は短信非掲載のため未収録</t>
    </r>
  </si>
  <si>
    <t xml:space="preserve">KDX-297</t>
  </si>
  <si>
    <r>
      <rPr>
        <sz val="10"/>
        <color rgb="FF0000FF"/>
        <rFont val="Arial"/>
        <family val="0"/>
        <charset val="1"/>
      </rPr>
      <t xml:space="preserve">KDX</t>
    </r>
    <r>
      <rPr>
        <sz val="10"/>
        <color rgb="FF0000FF"/>
        <rFont val="Noto Sans CJK SC"/>
        <family val="2"/>
      </rPr>
      <t xml:space="preserve">ロジスティクス恩田原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</si>
  <si>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D2005</t>
    </r>
    <r>
      <rPr>
        <sz val="10"/>
        <color rgb="FF0000FF"/>
        <rFont val="Noto Sans CJK SC"/>
        <family val="2"/>
      </rPr>
      <t xml:space="preserve">。所在地・竣工年月・延床面積は短信非掲載のため未収録</t>
    </r>
  </si>
  <si>
    <t xml:space="preserve">KDX-298</t>
  </si>
  <si>
    <t xml:space="preserve">ホテルリブマックス横浜駅西口</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</si>
  <si>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E1001</t>
    </r>
    <r>
      <rPr>
        <sz val="10"/>
        <color rgb="FF0000FF"/>
        <rFont val="Noto Sans CJK SC"/>
        <family val="2"/>
      </rPr>
      <t xml:space="preserve">。所在地・竣工年月・延床面積は短信非掲載のため未収録</t>
    </r>
  </si>
  <si>
    <t xml:space="preserve">KDX-299</t>
  </si>
  <si>
    <t xml:space="preserve">ホテルリブマックス東京大塚駅前</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</si>
  <si>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E1002</t>
    </r>
    <r>
      <rPr>
        <sz val="10"/>
        <color rgb="FF0000FF"/>
        <rFont val="Noto Sans CJK SC"/>
        <family val="2"/>
      </rPr>
      <t xml:space="preserve">。所在地・竣工年月・延床面積は短信非掲載のため未収録</t>
    </r>
  </si>
  <si>
    <t xml:space="preserve">KDX-300</t>
  </si>
  <si>
    <t xml:space="preserve">レム六本木ビル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</si>
  <si>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E1003</t>
    </r>
    <r>
      <rPr>
        <sz val="10"/>
        <color rgb="FF0000FF"/>
        <rFont val="Noto Sans CJK SC"/>
        <family val="2"/>
      </rPr>
      <t xml:space="preserve">。所在地・竣工年月・延床面積は短信非掲載のため未収録</t>
    </r>
  </si>
  <si>
    <t xml:space="preserve">KDX-301</t>
  </si>
  <si>
    <t xml:space="preserve">沖縄プリンスホテルオーシャンビューぎのわん</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</si>
  <si>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E2001</t>
    </r>
    <r>
      <rPr>
        <sz val="10"/>
        <color rgb="FF0000FF"/>
        <rFont val="Noto Sans CJK SC"/>
        <family val="2"/>
      </rPr>
      <t xml:space="preserve">。所在地・竣工年月・延床面積は短信非掲載のため未収録</t>
    </r>
  </si>
  <si>
    <t xml:space="preserve">KDX-302</t>
  </si>
  <si>
    <t xml:space="preserve">新大阪江坂 東急REIホテル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</si>
  <si>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E2002</t>
    </r>
    <r>
      <rPr>
        <sz val="10"/>
        <color rgb="FF0000FF"/>
        <rFont val="Noto Sans CJK SC"/>
        <family val="2"/>
      </rPr>
      <t xml:space="preserve">。所在地・竣工年月・延床面積は短信非掲載のため未収録</t>
    </r>
  </si>
  <si>
    <t xml:space="preserve">KDX-303</t>
  </si>
  <si>
    <t xml:space="preserve">ホテルJALシティ名古屋錦</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</si>
  <si>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E2003</t>
    </r>
    <r>
      <rPr>
        <sz val="10"/>
        <color rgb="FF0000FF"/>
        <rFont val="Noto Sans CJK SC"/>
        <family val="2"/>
      </rPr>
      <t xml:space="preserve">。所在地・竣工年月・延床面積は短信非掲載のため未収録</t>
    </r>
  </si>
  <si>
    <t xml:space="preserve">KDX-304</t>
  </si>
  <si>
    <t xml:space="preserve">ジョイステージ八王子</t>
  </si>
  <si>
    <t xml:space="preserve">ヘルスケア</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</si>
  <si>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F1001</t>
    </r>
    <r>
      <rPr>
        <sz val="10"/>
        <color rgb="FF0000FF"/>
        <rFont val="Noto Sans CJK SC"/>
        <family val="2"/>
      </rPr>
      <t xml:space="preserve">。所在地・竣工年月・延床面積は短信非掲載のため未収録</t>
    </r>
  </si>
  <si>
    <t xml:space="preserve">KDX-305</t>
  </si>
  <si>
    <t xml:space="preserve">ニチイホームたまプラーザ</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</si>
  <si>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F1002</t>
    </r>
    <r>
      <rPr>
        <sz val="10"/>
        <color rgb="FF0000FF"/>
        <rFont val="Noto Sans CJK SC"/>
        <family val="2"/>
      </rPr>
      <t xml:space="preserve">。所在地・竣工年月・延床面積は短信非掲載のため未収録</t>
    </r>
  </si>
  <si>
    <t xml:space="preserve">KDX-306</t>
  </si>
  <si>
    <t xml:space="preserve">ニチイホーム中野南台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</si>
  <si>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F1003</t>
    </r>
    <r>
      <rPr>
        <sz val="10"/>
        <color rgb="FF0000FF"/>
        <rFont val="Noto Sans CJK SC"/>
        <family val="2"/>
      </rPr>
      <t xml:space="preserve">。所在地・竣工年月・延床面積は短信非掲載のため未収録</t>
    </r>
  </si>
  <si>
    <t xml:space="preserve">KDX-307</t>
  </si>
  <si>
    <t xml:space="preserve">ゆいま～る聖ヶ丘</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</si>
  <si>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F1004</t>
    </r>
    <r>
      <rPr>
        <sz val="10"/>
        <color rgb="FF0000FF"/>
        <rFont val="Noto Sans CJK SC"/>
        <family val="2"/>
      </rPr>
      <t xml:space="preserve">。所在地・竣工年月・延床面積は短信非掲載のため未収録</t>
    </r>
  </si>
  <si>
    <t xml:space="preserve">KDX-308</t>
  </si>
  <si>
    <t xml:space="preserve">イリーゼ蒲田・悠生苑</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</si>
  <si>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F1005</t>
    </r>
    <r>
      <rPr>
        <sz val="10"/>
        <color rgb="FF0000FF"/>
        <rFont val="Noto Sans CJK SC"/>
        <family val="2"/>
      </rPr>
      <t xml:space="preserve">。所在地・竣工年月・延床面積は短信非掲載のため未収録</t>
    </r>
  </si>
  <si>
    <t xml:space="preserve">KDX-309</t>
  </si>
  <si>
    <t xml:space="preserve">プレザングラン大田多摩川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</si>
  <si>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F1006</t>
    </r>
    <r>
      <rPr>
        <sz val="10"/>
        <color rgb="FF0000FF"/>
        <rFont val="Noto Sans CJK SC"/>
        <family val="2"/>
      </rPr>
      <t xml:space="preserve">。所在地・竣工年月・延床面積は短信非掲載のため未収録</t>
    </r>
  </si>
  <si>
    <t xml:space="preserve">KDX-310</t>
  </si>
  <si>
    <t xml:space="preserve">ツクイ・サンシャイン町田</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</si>
  <si>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F1007</t>
    </r>
    <r>
      <rPr>
        <sz val="10"/>
        <color rgb="FF0000FF"/>
        <rFont val="Noto Sans CJK SC"/>
        <family val="2"/>
      </rPr>
      <t xml:space="preserve">。所在地・竣工年月・延床面積は短信非掲載のため未収録</t>
    </r>
  </si>
  <si>
    <t xml:space="preserve">KDX-311</t>
  </si>
  <si>
    <t xml:space="preserve">せらび恵比寿</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</si>
  <si>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F1008</t>
    </r>
    <r>
      <rPr>
        <sz val="10"/>
        <color rgb="FF0000FF"/>
        <rFont val="Noto Sans CJK SC"/>
        <family val="2"/>
      </rPr>
      <t xml:space="preserve">。所在地・竣工年月・延床面積は短信非掲載のため未収録</t>
    </r>
  </si>
  <si>
    <t xml:space="preserve">KDX-312</t>
  </si>
  <si>
    <r>
      <rPr>
        <sz val="10"/>
        <color rgb="FF0000FF"/>
        <rFont val="Arial"/>
        <family val="0"/>
        <charset val="1"/>
      </rPr>
      <t xml:space="preserve">SOMPO</t>
    </r>
    <r>
      <rPr>
        <sz val="10"/>
        <color rgb="FF0000FF"/>
        <rFont val="Noto Sans CJK SC"/>
        <family val="2"/>
      </rPr>
      <t xml:space="preserve">ケア そんぽの家</t>
    </r>
    <r>
      <rPr>
        <sz val="10"/>
        <color rgb="FF0000FF"/>
        <rFont val="Arial"/>
        <family val="0"/>
        <charset val="1"/>
      </rPr>
      <t xml:space="preserve">S</t>
    </r>
    <r>
      <rPr>
        <sz val="10"/>
        <color rgb="FF0000FF"/>
        <rFont val="Noto Sans CJK SC"/>
        <family val="2"/>
      </rPr>
      <t xml:space="preserve">ふじみ野</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</si>
  <si>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F1009</t>
    </r>
    <r>
      <rPr>
        <sz val="10"/>
        <color rgb="FF0000FF"/>
        <rFont val="Noto Sans CJK SC"/>
        <family val="2"/>
      </rPr>
      <t xml:space="preserve">。所在地・竣工年月・延床面積は短信非掲載のため未収録</t>
    </r>
  </si>
  <si>
    <t xml:space="preserve">KDX-313</t>
  </si>
  <si>
    <r>
      <rPr>
        <sz val="10"/>
        <color rgb="FF0000FF"/>
        <rFont val="Arial"/>
        <family val="0"/>
        <charset val="1"/>
      </rPr>
      <t xml:space="preserve">SOMPO</t>
    </r>
    <r>
      <rPr>
        <sz val="10"/>
        <color rgb="FF0000FF"/>
        <rFont val="Noto Sans CJK SC"/>
        <family val="2"/>
      </rPr>
      <t xml:space="preserve">ケア ラヴィーレレジデンス川崎新町</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</si>
  <si>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F1010</t>
    </r>
    <r>
      <rPr>
        <sz val="10"/>
        <color rgb="FF0000FF"/>
        <rFont val="Noto Sans CJK SC"/>
        <family val="2"/>
      </rPr>
      <t xml:space="preserve">。所在地・竣工年月・延床面積は短信非掲載のため未収録</t>
    </r>
  </si>
  <si>
    <t xml:space="preserve">KDX-314</t>
  </si>
  <si>
    <t xml:space="preserve">ツクイ・サンシャイン足立</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</si>
  <si>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F1011</t>
    </r>
    <r>
      <rPr>
        <sz val="10"/>
        <color rgb="FF0000FF"/>
        <rFont val="Noto Sans CJK SC"/>
        <family val="2"/>
      </rPr>
      <t xml:space="preserve">。所在地・竣工年月・延床面積は短信非掲載のため未収録</t>
    </r>
  </si>
  <si>
    <t xml:space="preserve">KDX-315</t>
  </si>
  <si>
    <r>
      <rPr>
        <sz val="10"/>
        <color rgb="FF0000FF"/>
        <rFont val="Arial"/>
        <family val="0"/>
        <charset val="1"/>
      </rPr>
      <t xml:space="preserve">SOMPO</t>
    </r>
    <r>
      <rPr>
        <sz val="10"/>
        <color rgb="FF0000FF"/>
        <rFont val="Noto Sans CJK SC"/>
        <family val="2"/>
      </rPr>
      <t xml:space="preserve">ケア ラヴィーレ一之江</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</si>
  <si>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F1012</t>
    </r>
    <r>
      <rPr>
        <sz val="10"/>
        <color rgb="FF0000FF"/>
        <rFont val="Noto Sans CJK SC"/>
        <family val="2"/>
      </rPr>
      <t xml:space="preserve">。所在地・竣工年月・延床面積は短信非掲載のため未収録</t>
    </r>
  </si>
  <si>
    <t xml:space="preserve">KDX-316</t>
  </si>
  <si>
    <t xml:space="preserve">ニチイホーム八幡山</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</si>
  <si>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F1013</t>
    </r>
    <r>
      <rPr>
        <sz val="10"/>
        <color rgb="FF0000FF"/>
        <rFont val="Noto Sans CJK SC"/>
        <family val="2"/>
      </rPr>
      <t xml:space="preserve">。所在地・竣工年月・延床面積は短信非掲載のため未収録</t>
    </r>
  </si>
  <si>
    <t xml:space="preserve">KDX-317</t>
  </si>
  <si>
    <t xml:space="preserve">サニーライフ立川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</si>
  <si>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F1014</t>
    </r>
    <r>
      <rPr>
        <sz val="10"/>
        <color rgb="FF0000FF"/>
        <rFont val="Noto Sans CJK SC"/>
        <family val="2"/>
      </rPr>
      <t xml:space="preserve">。所在地・竣工年月・延床面積は短信非掲載のため未収録</t>
    </r>
  </si>
  <si>
    <t xml:space="preserve">KDX-318</t>
  </si>
  <si>
    <t xml:space="preserve">リハビリホームボンセジュール南千束</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</si>
  <si>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F1015</t>
    </r>
    <r>
      <rPr>
        <sz val="10"/>
        <color rgb="FF0000FF"/>
        <rFont val="Noto Sans CJK SC"/>
        <family val="2"/>
      </rPr>
      <t xml:space="preserve">。所在地・竣工年月・延床面積は短信非掲載のため未収録</t>
    </r>
  </si>
  <si>
    <t xml:space="preserve">KDX-319</t>
  </si>
  <si>
    <t xml:space="preserve">イリーゼ練馬光が丘</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</si>
  <si>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F1016</t>
    </r>
    <r>
      <rPr>
        <sz val="10"/>
        <color rgb="FF0000FF"/>
        <rFont val="Noto Sans CJK SC"/>
        <family val="2"/>
      </rPr>
      <t xml:space="preserve">。所在地・竣工年月・延床面積は短信非掲載のため未収録</t>
    </r>
  </si>
  <si>
    <t xml:space="preserve">KDX-320</t>
  </si>
  <si>
    <r>
      <rPr>
        <sz val="10"/>
        <color rgb="FF0000FF"/>
        <rFont val="Arial"/>
        <family val="0"/>
        <charset val="1"/>
      </rPr>
      <t xml:space="preserve">SOMPO</t>
    </r>
    <r>
      <rPr>
        <sz val="10"/>
        <color rgb="FF0000FF"/>
        <rFont val="Noto Sans CJK SC"/>
        <family val="2"/>
      </rPr>
      <t xml:space="preserve">ケア ラヴィーレ元住吉</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</si>
  <si>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F1017</t>
    </r>
    <r>
      <rPr>
        <sz val="10"/>
        <color rgb="FF0000FF"/>
        <rFont val="Noto Sans CJK SC"/>
        <family val="2"/>
      </rPr>
      <t xml:space="preserve">。所在地・竣工年月・延床面積は短信非掲載のため未収録</t>
    </r>
  </si>
  <si>
    <t xml:space="preserve">KDX-321</t>
  </si>
  <si>
    <t xml:space="preserve">ニチイホーム碑文谷</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</si>
  <si>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F1018</t>
    </r>
    <r>
      <rPr>
        <sz val="10"/>
        <color rgb="FF0000FF"/>
        <rFont val="Noto Sans CJK SC"/>
        <family val="2"/>
      </rPr>
      <t xml:space="preserve">。所在地・竣工年月・延床面積は短信非掲載のため未収録</t>
    </r>
  </si>
  <si>
    <t xml:space="preserve">KDX-322</t>
  </si>
  <si>
    <t xml:space="preserve">アクティバ琵琶</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</si>
  <si>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F2001</t>
    </r>
    <r>
      <rPr>
        <sz val="10"/>
        <color rgb="FF0000FF"/>
        <rFont val="Noto Sans CJK SC"/>
        <family val="2"/>
      </rPr>
      <t xml:space="preserve">。所在地・竣工年月・延床面積は短信非掲載のため未収録</t>
    </r>
  </si>
  <si>
    <t xml:space="preserve">KDX-323</t>
  </si>
  <si>
    <t xml:space="preserve">天</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</si>
  <si>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F2002</t>
    </r>
    <r>
      <rPr>
        <sz val="10"/>
        <color rgb="FF0000FF"/>
        <rFont val="Noto Sans CJK SC"/>
        <family val="2"/>
      </rPr>
      <t xml:space="preserve">。所在地・竣工年月・延床面積は短信非掲載のため未収録</t>
    </r>
  </si>
  <si>
    <t xml:space="preserve">KDX-324</t>
  </si>
  <si>
    <r>
      <rPr>
        <sz val="10"/>
        <color rgb="FF0000FF"/>
        <rFont val="Arial"/>
        <family val="0"/>
        <charset val="1"/>
      </rPr>
      <t xml:space="preserve">SOMPO</t>
    </r>
    <r>
      <rPr>
        <sz val="10"/>
        <color rgb="FF0000FF"/>
        <rFont val="Noto Sans CJK SC"/>
        <family val="2"/>
      </rPr>
      <t xml:space="preserve">ケア ラヴィーレ神戸垂水</t>
    </r>
  </si>
  <si>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F2003</t>
    </r>
    <r>
      <rPr>
        <sz val="10"/>
        <color rgb="FF0000FF"/>
        <rFont val="Noto Sans CJK SC"/>
        <family val="2"/>
      </rPr>
      <t xml:space="preserve">。所在地・竣工年月・延床面積は短信非掲載のため未収録</t>
    </r>
  </si>
  <si>
    <t xml:space="preserve">KDX-325</t>
  </si>
  <si>
    <t xml:space="preserve">いざりえ恵庭ビル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</si>
  <si>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F2004</t>
    </r>
    <r>
      <rPr>
        <sz val="10"/>
        <color rgb="FF0000FF"/>
        <rFont val="Noto Sans CJK SC"/>
        <family val="2"/>
      </rPr>
      <t xml:space="preserve">。所在地・竣工年月・延床面積は短信非掲載のため未収録</t>
    </r>
  </si>
  <si>
    <t xml:space="preserve">KDX-326</t>
  </si>
  <si>
    <t xml:space="preserve">グランヒルズおがわらこ</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</si>
  <si>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F2005</t>
    </r>
    <r>
      <rPr>
        <sz val="10"/>
        <color rgb="FF0000FF"/>
        <rFont val="Noto Sans CJK SC"/>
        <family val="2"/>
      </rPr>
      <t xml:space="preserve">。所在地・竣工年月・延床面積は短信非掲載のため未収録</t>
    </r>
  </si>
  <si>
    <t xml:space="preserve">KDX-327</t>
  </si>
  <si>
    <t xml:space="preserve">リハビリホームグランダ門戸厄神</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</si>
  <si>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F2006</t>
    </r>
    <r>
      <rPr>
        <sz val="10"/>
        <color rgb="FF0000FF"/>
        <rFont val="Noto Sans CJK SC"/>
        <family val="2"/>
      </rPr>
      <t xml:space="preserve">。所在地・竣工年月・延床面積は短信非掲載のため未収録</t>
    </r>
  </si>
  <si>
    <t xml:space="preserve">KDX-328</t>
  </si>
  <si>
    <t xml:space="preserve">さわやか桜弐番館</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</si>
  <si>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F2007</t>
    </r>
    <r>
      <rPr>
        <sz val="10"/>
        <color rgb="FF0000FF"/>
        <rFont val="Noto Sans CJK SC"/>
        <family val="2"/>
      </rPr>
      <t xml:space="preserve">。所在地・竣工年月・延床面積は短信非掲載のため未収録</t>
    </r>
  </si>
  <si>
    <t xml:space="preserve">KDX-329</t>
  </si>
  <si>
    <t xml:space="preserve">エクセレント西宮</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</si>
  <si>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F2008</t>
    </r>
    <r>
      <rPr>
        <sz val="10"/>
        <color rgb="FF0000FF"/>
        <rFont val="Noto Sans CJK SC"/>
        <family val="2"/>
      </rPr>
      <t xml:space="preserve">。所在地・竣工年月・延床面積は短信非掲載のため未収録</t>
    </r>
  </si>
  <si>
    <t xml:space="preserve">KDX-330</t>
  </si>
  <si>
    <t xml:space="preserve">イリーゼ西岡</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</si>
  <si>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F2009</t>
    </r>
    <r>
      <rPr>
        <sz val="10"/>
        <color rgb="FF0000FF"/>
        <rFont val="Noto Sans CJK SC"/>
        <family val="2"/>
      </rPr>
      <t xml:space="preserve">。所在地・竣工年月・延床面積は短信非掲載のため未収録</t>
    </r>
  </si>
  <si>
    <t xml:space="preserve">KDX-331</t>
  </si>
  <si>
    <t xml:space="preserve">エクセレント北野</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</si>
  <si>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F2010</t>
    </r>
    <r>
      <rPr>
        <sz val="10"/>
        <color rgb="FF0000FF"/>
        <rFont val="Noto Sans CJK SC"/>
        <family val="2"/>
      </rPr>
      <t xml:space="preserve">。所在地・竣工年月・延床面積は短信非掲載のため未収録</t>
    </r>
  </si>
  <si>
    <t xml:space="preserve">KDX-332</t>
  </si>
  <si>
    <t xml:space="preserve">アネシス寺田町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</si>
  <si>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F2011</t>
    </r>
    <r>
      <rPr>
        <sz val="10"/>
        <color rgb="FF0000FF"/>
        <rFont val="Noto Sans CJK SC"/>
        <family val="2"/>
      </rPr>
      <t xml:space="preserve">。所在地・竣工年月・延床面積は短信非掲載のため未収録</t>
    </r>
  </si>
  <si>
    <t xml:space="preserve">KDX-333</t>
  </si>
  <si>
    <t xml:space="preserve">オラージュ須磨</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</si>
  <si>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F2012</t>
    </r>
    <r>
      <rPr>
        <sz val="10"/>
        <color rgb="FF0000FF"/>
        <rFont val="Noto Sans CJK SC"/>
        <family val="2"/>
      </rPr>
      <t xml:space="preserve">。所在地・竣工年月・延床面積は短信非掲載のため未収録</t>
    </r>
  </si>
  <si>
    <t xml:space="preserve">KDX-334</t>
  </si>
  <si>
    <t xml:space="preserve">ロココリハ</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</si>
  <si>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F2013</t>
    </r>
    <r>
      <rPr>
        <sz val="10"/>
        <color rgb="FF0000FF"/>
        <rFont val="Noto Sans CJK SC"/>
        <family val="2"/>
      </rPr>
      <t xml:space="preserve">。所在地・竣工年月・延床面積は短信非掲載のため未収録</t>
    </r>
  </si>
  <si>
    <t xml:space="preserve">KDX-335</t>
  </si>
  <si>
    <t xml:space="preserve">カネディアンヒル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</si>
  <si>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F2014</t>
    </r>
    <r>
      <rPr>
        <sz val="10"/>
        <color rgb="FF0000FF"/>
        <rFont val="Noto Sans CJK SC"/>
        <family val="2"/>
      </rPr>
      <t xml:space="preserve">。所在地・竣工年月・延床面積は短信非掲載のため未収録</t>
    </r>
  </si>
  <si>
    <t xml:space="preserve">KDX-336</t>
  </si>
  <si>
    <t xml:space="preserve">アネシス兵庫</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</si>
  <si>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F2015</t>
    </r>
    <r>
      <rPr>
        <sz val="10"/>
        <color rgb="FF0000FF"/>
        <rFont val="Noto Sans CJK SC"/>
        <family val="2"/>
      </rPr>
      <t xml:space="preserve">。所在地・竣工年月・延床面積は短信非掲載のため未収録</t>
    </r>
  </si>
  <si>
    <t xml:space="preserve">KDX-337</t>
  </si>
  <si>
    <t xml:space="preserve">アルテ石屋川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</si>
  <si>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F2016</t>
    </r>
    <r>
      <rPr>
        <sz val="10"/>
        <color rgb="FF0000FF"/>
        <rFont val="Noto Sans CJK SC"/>
        <family val="2"/>
      </rPr>
      <t xml:space="preserve">。所在地・竣工年月・延床面積は短信非掲載のため未収録</t>
    </r>
  </si>
  <si>
    <t xml:space="preserve">KDX-338</t>
  </si>
  <si>
    <t xml:space="preserve">メディカルホームグランダ苦楽園</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</si>
  <si>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F2017</t>
    </r>
    <r>
      <rPr>
        <sz val="10"/>
        <color rgb="FF0000FF"/>
        <rFont val="Noto Sans CJK SC"/>
        <family val="2"/>
      </rPr>
      <t xml:space="preserve">。所在地・竣工年月・延床面積は短信非掲載のため未収録</t>
    </r>
  </si>
  <si>
    <t xml:space="preserve">KDX-339</t>
  </si>
  <si>
    <t xml:space="preserve">メディカル・リハビリホームグランダ神戸北野</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</si>
  <si>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F2018</t>
    </r>
    <r>
      <rPr>
        <sz val="10"/>
        <color rgb="FF0000FF"/>
        <rFont val="Noto Sans CJK SC"/>
        <family val="2"/>
      </rPr>
      <t xml:space="preserve">。所在地・竣工年月・延床面積は短信非掲載のため未収録</t>
    </r>
  </si>
  <si>
    <t xml:space="preserve">KDX-340</t>
  </si>
  <si>
    <t xml:space="preserve">エクセレント花屋敷ガーデンヒルズ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</si>
  <si>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F2019</t>
    </r>
    <r>
      <rPr>
        <sz val="10"/>
        <color rgb="FF0000FF"/>
        <rFont val="Noto Sans CJK SC"/>
        <family val="2"/>
      </rPr>
      <t xml:space="preserve">。所在地・竣工年月・延床面積は短信非掲載のため未収録</t>
    </r>
  </si>
  <si>
    <t xml:space="preserve">KDX-341</t>
  </si>
  <si>
    <t xml:space="preserve">イリーゼ神戸六甲</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</si>
  <si>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F2020</t>
    </r>
    <r>
      <rPr>
        <sz val="10"/>
        <color rgb="FF0000FF"/>
        <rFont val="Noto Sans CJK SC"/>
        <family val="2"/>
      </rPr>
      <t xml:space="preserve">。所在地・竣工年月・延床面積は短信非掲載のため未収録</t>
    </r>
  </si>
  <si>
    <t xml:space="preserve">KDX-342</t>
  </si>
  <si>
    <t xml:space="preserve">エクセレント宝塚ガーデンヒルズ</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</si>
  <si>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F2021</t>
    </r>
    <r>
      <rPr>
        <sz val="10"/>
        <color rgb="FF0000FF"/>
        <rFont val="Noto Sans CJK SC"/>
        <family val="2"/>
      </rPr>
      <t xml:space="preserve">。所在地・竣工年月・延床面積は短信非掲載のため未収録</t>
    </r>
  </si>
  <si>
    <t xml:space="preserve">KDX-343</t>
  </si>
  <si>
    <t xml:space="preserve">ライフシップ大麻</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</si>
  <si>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F2022</t>
    </r>
    <r>
      <rPr>
        <sz val="10"/>
        <color rgb="FF0000FF"/>
        <rFont val="Noto Sans CJK SC"/>
        <family val="2"/>
      </rPr>
      <t xml:space="preserve">。所在地・竣工年月・延床面積は短信非掲載のため未収録</t>
    </r>
  </si>
  <si>
    <t xml:space="preserve">KDX-344</t>
  </si>
  <si>
    <t xml:space="preserve">医療ケア対応型住宅・ナーシングホームレラ湯の川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</si>
  <si>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F2023</t>
    </r>
    <r>
      <rPr>
        <sz val="10"/>
        <color rgb="FF0000FF"/>
        <rFont val="Noto Sans CJK SC"/>
        <family val="2"/>
      </rPr>
      <t xml:space="preserve">。所在地・竣工年月・延床面積は短信非掲載のため未収録</t>
    </r>
  </si>
  <si>
    <t xml:space="preserve">KDX-345</t>
  </si>
  <si>
    <t xml:space="preserve">ライフシップ深川</t>
  </si>
  <si>
    <r>
      <rPr>
        <sz val="10"/>
        <color rgb="FF0000FF"/>
        <rFont val="Arial"/>
        <family val="0"/>
        <charset val="1"/>
      </rPr>
      <t xml:space="preserve">KDX</t>
    </r>
    <r>
      <rPr>
        <sz val="10"/>
        <color rgb="FF0000FF"/>
        <rFont val="Noto Sans CJK SC"/>
        <family val="2"/>
      </rPr>
      <t xml:space="preserve">物件番号</t>
    </r>
    <r>
      <rPr>
        <sz val="10"/>
        <color rgb="FF0000FF"/>
        <rFont val="Arial"/>
        <family val="0"/>
        <charset val="1"/>
      </rPr>
      <t xml:space="preserve">F2024</t>
    </r>
    <r>
      <rPr>
        <sz val="10"/>
        <color rgb="FF0000FF"/>
        <rFont val="Noto Sans CJK SC"/>
        <family val="2"/>
      </rPr>
      <t xml:space="preserve">。所在地・竣工年月・延床面積は短信非掲載のため未収録</t>
    </r>
  </si>
  <si>
    <t xml:space="preserve">HLC-001</t>
  </si>
  <si>
    <t xml:space="preserve">ヒューリック神谷町ビル</t>
  </si>
  <si>
    <r>
      <rPr>
        <sz val="10"/>
        <color rgb="FF0000FF"/>
        <rFont val="Arial"/>
        <family val="0"/>
        <charset val="1"/>
      </rPr>
      <t xml:space="preserve">HLC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(2026/4/16</t>
    </r>
    <r>
      <rPr>
        <sz val="10"/>
        <color rgb="FF0000FF"/>
        <rFont val="Noto Sans CJK SC"/>
        <family val="2"/>
      </rPr>
      <t xml:space="preserve">公表</t>
    </r>
    <r>
      <rPr>
        <sz val="10"/>
        <color rgb="FF0000FF"/>
        <rFont val="Arial"/>
        <family val="0"/>
        <charset val="1"/>
      </rPr>
      <t xml:space="preserve">)</t>
    </r>
  </si>
  <si>
    <t xml:space="preserve">信託受益権準共有持分9.0%相当を収録。2025/9/30に持分56.0%を浅草ビューホテルとの交換で譲渡(交換差益367,933千円)。期後2026/6/25交換契約で残9.0%も譲渡(6/30完了)</t>
  </si>
  <si>
    <t xml:space="preserve">HLC-002</t>
  </si>
  <si>
    <t xml:space="preserve">ヒューリック九段ビル（底地）</t>
  </si>
  <si>
    <t xml:space="preserve">底地のみ保有(建物なし)。期後2026/6/25交換契約で譲渡(6/30完了)</t>
  </si>
  <si>
    <t xml:space="preserve">HLC-003</t>
  </si>
  <si>
    <t xml:space="preserve">虎ノ門ファーストガーデン</t>
  </si>
  <si>
    <t xml:space="preserve">HLC-004</t>
  </si>
  <si>
    <t xml:space="preserve">ラピロス六本木</t>
  </si>
  <si>
    <t xml:space="preserve">HLC-005</t>
  </si>
  <si>
    <t xml:space="preserve">ヒューリック高田馬場ビル</t>
  </si>
  <si>
    <t xml:space="preserve">HLC-006</t>
  </si>
  <si>
    <t xml:space="preserve">ヒューリック神田ビル</t>
  </si>
  <si>
    <t xml:space="preserve">HLC-007</t>
  </si>
  <si>
    <t xml:space="preserve">ヒューリック神田橋ビル</t>
  </si>
  <si>
    <t xml:space="preserve">HLC-008</t>
  </si>
  <si>
    <t xml:space="preserve">ヒューリック蛎殻町ビル</t>
  </si>
  <si>
    <t xml:space="preserve">HLC-009</t>
  </si>
  <si>
    <t xml:space="preserve">準共有持分保有。DBJ Green Building認証最高ランク</t>
  </si>
  <si>
    <t xml:space="preserve">HLC-010</t>
  </si>
  <si>
    <t xml:space="preserve">ヒューリック東上野一丁目ビル</t>
  </si>
  <si>
    <t xml:space="preserve">HLC-011</t>
  </si>
  <si>
    <t xml:space="preserve">東京西池袋ビルディング</t>
  </si>
  <si>
    <t xml:space="preserve">HLC-012</t>
  </si>
  <si>
    <t xml:space="preserve">ヒューリック虎ノ門ビル</t>
  </si>
  <si>
    <t xml:space="preserve">HLC-013</t>
  </si>
  <si>
    <t xml:space="preserve">ヒューリック渋谷一丁目ビル</t>
  </si>
  <si>
    <t xml:space="preserve">HLC-014</t>
  </si>
  <si>
    <t xml:space="preserve">ヒューリック神保町ビル</t>
  </si>
  <si>
    <t xml:space="preserve">HLC-015</t>
  </si>
  <si>
    <t xml:space="preserve">ヒューリック五反田山手通ビル</t>
  </si>
  <si>
    <r>
      <rPr>
        <sz val="10"/>
        <color rgb="FF0000FF"/>
        <rFont val="Arial"/>
        <family val="0"/>
        <charset val="1"/>
      </rPr>
      <t xml:space="preserve">2026/2/24</t>
    </r>
    <r>
      <rPr>
        <sz val="10"/>
        <color rgb="FF0000FF"/>
        <rFont val="Noto Sans CJK SC"/>
        <family val="2"/>
      </rPr>
      <t xml:space="preserve">に火災発生。次期以降に利益保険金収入</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25</t>
    </r>
    <r>
      <rPr>
        <sz val="10"/>
        <color rgb="FF0000FF"/>
        <rFont val="Noto Sans CJK SC"/>
        <family val="2"/>
      </rPr>
      <t xml:space="preserve">期</t>
    </r>
    <r>
      <rPr>
        <sz val="10"/>
        <color rgb="FF0000FF"/>
        <rFont val="Arial"/>
        <family val="0"/>
        <charset val="1"/>
      </rPr>
      <t xml:space="preserve">107</t>
    </r>
    <r>
      <rPr>
        <sz val="10"/>
        <color rgb="FF0000FF"/>
        <rFont val="Noto Sans CJK SC"/>
        <family val="2"/>
      </rPr>
      <t xml:space="preserve">百万円・第</t>
    </r>
    <r>
      <rPr>
        <sz val="10"/>
        <color rgb="FF0000FF"/>
        <rFont val="Arial"/>
        <family val="0"/>
        <charset val="1"/>
      </rPr>
      <t xml:space="preserve">26</t>
    </r>
    <r>
      <rPr>
        <sz val="10"/>
        <color rgb="FF0000FF"/>
        <rFont val="Noto Sans CJK SC"/>
        <family val="2"/>
      </rPr>
      <t xml:space="preserve">期</t>
    </r>
    <r>
      <rPr>
        <sz val="10"/>
        <color rgb="FF0000FF"/>
        <rFont val="Arial"/>
        <family val="0"/>
        <charset val="1"/>
      </rPr>
      <t xml:space="preserve">69</t>
    </r>
    <r>
      <rPr>
        <sz val="10"/>
        <color rgb="FF0000FF"/>
        <rFont val="Noto Sans CJK SC"/>
        <family val="2"/>
      </rPr>
      <t xml:space="preserve">百万円想定</t>
    </r>
    <r>
      <rPr>
        <sz val="10"/>
        <color rgb="FF0000FF"/>
        <rFont val="Arial"/>
        <family val="0"/>
        <charset val="1"/>
      </rPr>
      <t xml:space="preserve">)</t>
    </r>
    <r>
      <rPr>
        <sz val="10"/>
        <color rgb="FF0000FF"/>
        <rFont val="Noto Sans CJK SC"/>
        <family val="2"/>
      </rPr>
      <t xml:space="preserve">を計上見込</t>
    </r>
  </si>
  <si>
    <t xml:space="preserve">HLC-016</t>
  </si>
  <si>
    <t xml:space="preserve">番町ハウス</t>
  </si>
  <si>
    <t xml:space="preserve">HLC-017</t>
  </si>
  <si>
    <t xml:space="preserve">恵比寿南ビル</t>
  </si>
  <si>
    <t xml:space="preserve">HLC-018</t>
  </si>
  <si>
    <t xml:space="preserve">ヒューリック飯田橋ビル</t>
  </si>
  <si>
    <t xml:space="preserve">HLC-019</t>
  </si>
  <si>
    <t xml:space="preserve">ヒューリック浅草橋ビル</t>
  </si>
  <si>
    <t xml:space="preserve">HLC-020</t>
  </si>
  <si>
    <t xml:space="preserve">ヒューリック恵比寿ビル</t>
  </si>
  <si>
    <t xml:space="preserve">HLC-021</t>
  </si>
  <si>
    <t xml:space="preserve">ヒューリック両国ビル</t>
  </si>
  <si>
    <t xml:space="preserve">HLC-022</t>
  </si>
  <si>
    <t xml:space="preserve">ヒューリック浅草橋江戸通</t>
  </si>
  <si>
    <t xml:space="preserve">HLC-023</t>
  </si>
  <si>
    <t xml:space="preserve">ヒューリック中野ビル</t>
  </si>
  <si>
    <t xml:space="preserve">HLC-024</t>
  </si>
  <si>
    <t xml:space="preserve">ヒューリック上野ビル</t>
  </si>
  <si>
    <t xml:space="preserve">HLC-025</t>
  </si>
  <si>
    <t xml:space="preserve">ヒューリック麹町ビル</t>
  </si>
  <si>
    <t xml:space="preserve">HLC-026</t>
  </si>
  <si>
    <t xml:space="preserve">吉祥寺富士ビル</t>
  </si>
  <si>
    <t xml:space="preserve">HLC-027</t>
  </si>
  <si>
    <t xml:space="preserve">ヒューリック八王子ビル</t>
  </si>
  <si>
    <t xml:space="preserve">HLC-028</t>
  </si>
  <si>
    <t xml:space="preserve">ヒューリック神戸ビル</t>
  </si>
  <si>
    <t xml:space="preserve">HLC-029</t>
  </si>
  <si>
    <t xml:space="preserve">ヒューリック五反田ビル</t>
  </si>
  <si>
    <t xml:space="preserve">HLC-030</t>
  </si>
  <si>
    <t xml:space="preserve">ヒューリック王子ビル</t>
  </si>
  <si>
    <t xml:space="preserve">HLC-031</t>
  </si>
  <si>
    <t xml:space="preserve">ヒューリック小舟町ビル</t>
  </si>
  <si>
    <t xml:space="preserve">HLC-032</t>
  </si>
  <si>
    <t xml:space="preserve">ヒューリック駒込ビル</t>
  </si>
  <si>
    <t xml:space="preserve">HLC-033</t>
  </si>
  <si>
    <t xml:space="preserve">亀戸富士ビル</t>
  </si>
  <si>
    <t xml:space="preserve">HLC-034</t>
  </si>
  <si>
    <t xml:space="preserve">ヒューリック新宿ビル</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</si>
  <si>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6</t>
    </r>
    <r>
      <rPr>
        <sz val="10"/>
        <color rgb="FF0000FF"/>
        <rFont val="Noto Sans CJK SC"/>
        <family val="2"/>
      </rPr>
      <t xml:space="preserve">月交換取得のため当期の公租公課は</t>
    </r>
    <r>
      <rPr>
        <sz val="10"/>
        <color rgb="FF0000FF"/>
        <rFont val="Arial"/>
        <family val="0"/>
        <charset val="1"/>
      </rPr>
      <t xml:space="preserve">0(</t>
    </r>
    <r>
      <rPr>
        <sz val="10"/>
        <color rgb="FF0000FF"/>
        <rFont val="Noto Sans CJK SC"/>
        <family val="2"/>
      </rPr>
      <t xml:space="preserve">取得原価算入</t>
    </r>
    <r>
      <rPr>
        <sz val="10"/>
        <color rgb="FF0000FF"/>
        <rFont val="Arial"/>
        <family val="0"/>
        <charset val="1"/>
      </rPr>
      <t xml:space="preserve">)</t>
    </r>
  </si>
  <si>
    <t xml:space="preserve">HLC-035</t>
  </si>
  <si>
    <t xml:space="preserve">大井町再開発ビル２号棟</t>
  </si>
  <si>
    <t xml:space="preserve">HLC-036</t>
  </si>
  <si>
    <t xml:space="preserve">大井町再開発ビル１号棟</t>
  </si>
  <si>
    <t xml:space="preserve">HLC-037</t>
  </si>
  <si>
    <t xml:space="preserve">ヒューリック神宮前ビル</t>
  </si>
  <si>
    <t xml:space="preserve">HLC-038</t>
  </si>
  <si>
    <t xml:space="preserve">ヒューリック等々力ビル</t>
  </si>
  <si>
    <t xml:space="preserve">HLC-039</t>
  </si>
  <si>
    <t xml:space="preserve">HULIC &amp;New SHIBUYA</t>
  </si>
  <si>
    <t xml:space="preserve">HLC-040</t>
  </si>
  <si>
    <t xml:space="preserve">HULIC &amp;New SHINBASHI</t>
  </si>
  <si>
    <t xml:space="preserve">HLC-041</t>
  </si>
  <si>
    <t xml:space="preserve">ヒューリック志村坂上</t>
  </si>
  <si>
    <t xml:space="preserve">HLC-042</t>
  </si>
  <si>
    <t xml:space="preserve">ヒューリック目白</t>
  </si>
  <si>
    <t xml:space="preserve">HLC-043</t>
  </si>
  <si>
    <t xml:space="preserve">相鉄フレッサイン銀座七丁目</t>
  </si>
  <si>
    <t xml:space="preserve">HLC-044</t>
  </si>
  <si>
    <t xml:space="preserve">相鉄フレッサイン東京六本木</t>
  </si>
  <si>
    <t xml:space="preserve">HLC-045</t>
  </si>
  <si>
    <t xml:space="preserve">ヒューリック築地三丁目ビル</t>
  </si>
  <si>
    <t xml:space="preserve">HLC-046</t>
  </si>
  <si>
    <t xml:space="preserve">ヒューリック雷門ビル</t>
  </si>
  <si>
    <t xml:space="preserve">HLC-047</t>
  </si>
  <si>
    <t xml:space="preserve">グランドニッコー東京ベイ 舞浜</t>
  </si>
  <si>
    <t xml:space="preserve">浦安市</t>
  </si>
  <si>
    <t xml:space="preserve">損益633,007千円も開示(NOI690,848千円との差=減価償却費57,841千円)</t>
  </si>
  <si>
    <t xml:space="preserve">HLC-048</t>
  </si>
  <si>
    <t xml:space="preserve">浅草ビューホテル</t>
  </si>
  <si>
    <r>
      <rPr>
        <sz val="10"/>
        <color rgb="FF0000FF"/>
        <rFont val="Arial"/>
        <family val="0"/>
        <charset val="1"/>
      </rPr>
      <t xml:space="preserve">2025/9/30</t>
    </r>
    <r>
      <rPr>
        <sz val="10"/>
        <color rgb="FF0000FF"/>
        <rFont val="Noto Sans CJK SC"/>
        <family val="2"/>
      </rPr>
      <t xml:space="preserve">にヒューリック神谷町ビル持分</t>
    </r>
    <r>
      <rPr>
        <sz val="10"/>
        <color rgb="FF0000FF"/>
        <rFont val="Arial"/>
        <family val="0"/>
        <charset val="1"/>
      </rPr>
      <t xml:space="preserve">56%</t>
    </r>
    <r>
      <rPr>
        <sz val="10"/>
        <color rgb="FF0000FF"/>
        <rFont val="Noto Sans CJK SC"/>
        <family val="2"/>
      </rPr>
      <t xml:space="preserve">との交換により取得</t>
    </r>
    <r>
      <rPr>
        <sz val="10"/>
        <color rgb="FF0000FF"/>
        <rFont val="Arial"/>
        <family val="0"/>
        <charset val="1"/>
      </rPr>
      <t xml:space="preserve">(</t>
    </r>
    <r>
      <rPr>
        <sz val="10"/>
        <color rgb="FF0000FF"/>
        <rFont val="Noto Sans CJK SC"/>
        <family val="2"/>
      </rPr>
      <t xml:space="preserve">取得価格</t>
    </r>
    <r>
      <rPr>
        <sz val="10"/>
        <color rgb="FF0000FF"/>
        <rFont val="Arial"/>
        <family val="0"/>
        <charset val="1"/>
      </rPr>
      <t xml:space="preserve">38,000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。当期運用</t>
    </r>
    <r>
      <rPr>
        <sz val="10"/>
        <color rgb="FF0000FF"/>
        <rFont val="Arial"/>
        <family val="0"/>
        <charset val="1"/>
      </rPr>
      <t xml:space="preserve">152</t>
    </r>
    <r>
      <rPr>
        <sz val="10"/>
        <color rgb="FF0000FF"/>
        <rFont val="Noto Sans CJK SC"/>
        <family val="2"/>
      </rPr>
      <t xml:space="preserve">日</t>
    </r>
  </si>
  <si>
    <t xml:space="preserve">HLC-049</t>
  </si>
  <si>
    <t xml:space="preserve">アリア松原</t>
  </si>
  <si>
    <t xml:space="preserve">HLC-050</t>
  </si>
  <si>
    <t xml:space="preserve">トラストガーデン用賀の杜</t>
  </si>
  <si>
    <t xml:space="preserve">HLC-051</t>
  </si>
  <si>
    <t xml:space="preserve">トラストガーデン桜新町</t>
  </si>
  <si>
    <t xml:space="preserve">HLC-052</t>
  </si>
  <si>
    <t xml:space="preserve">トラストガーデン杉並宮前</t>
  </si>
  <si>
    <t xml:space="preserve">HLC-053</t>
  </si>
  <si>
    <t xml:space="preserve">トラストガーデン常磐松</t>
  </si>
  <si>
    <r>
      <rPr>
        <sz val="10"/>
        <color rgb="FF0000FF"/>
        <rFont val="Arial"/>
        <family val="0"/>
        <charset val="1"/>
      </rPr>
      <t xml:space="preserve">2026/4/1</t>
    </r>
    <r>
      <rPr>
        <sz val="10"/>
        <color rgb="FF0000FF"/>
        <rFont val="Noto Sans CJK SC"/>
        <family val="2"/>
      </rPr>
      <t xml:space="preserve">に「ハイメディックレジデンス ザ・ガーデン常磐松」へ名称変更</t>
    </r>
  </si>
  <si>
    <t xml:space="preserve">HLC-054</t>
  </si>
  <si>
    <r>
      <rPr>
        <sz val="10"/>
        <color rgb="FF0000FF"/>
        <rFont val="Arial"/>
        <family val="0"/>
        <charset val="1"/>
      </rPr>
      <t xml:space="preserve">SOMPO</t>
    </r>
    <r>
      <rPr>
        <sz val="10"/>
        <color rgb="FF0000FF"/>
        <rFont val="Noto Sans CJK SC"/>
        <family val="2"/>
      </rPr>
      <t xml:space="preserve">ケア ラヴィーレ北鎌倉</t>
    </r>
  </si>
  <si>
    <t xml:space="preserve">鎌倉市</t>
  </si>
  <si>
    <t xml:space="preserve">HLC-055</t>
  </si>
  <si>
    <t xml:space="preserve">チャームスイート新宿戸山</t>
  </si>
  <si>
    <t xml:space="preserve">HLC-056</t>
  </si>
  <si>
    <t xml:space="preserve">チャームスイート石神井公園</t>
  </si>
  <si>
    <t xml:space="preserve">HLC-057</t>
  </si>
  <si>
    <t xml:space="preserve">ヒューリック調布</t>
  </si>
  <si>
    <t xml:space="preserve">HLC-058</t>
  </si>
  <si>
    <t xml:space="preserve">アリスタージュ経堂</t>
  </si>
  <si>
    <t xml:space="preserve">HLC-059</t>
  </si>
  <si>
    <t xml:space="preserve">グランダ学芸大学</t>
  </si>
  <si>
    <t xml:space="preserve">HLC-060</t>
  </si>
  <si>
    <t xml:space="preserve">チャームプレミア田園調布</t>
  </si>
  <si>
    <t xml:space="preserve">HLC-061</t>
  </si>
  <si>
    <t xml:space="preserve">ソナーレ石神井</t>
  </si>
  <si>
    <t xml:space="preserve">HLC-062</t>
  </si>
  <si>
    <t xml:space="preserve">ホスピタルメント本郷</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</si>
  <si>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月取得</t>
    </r>
    <r>
      <rPr>
        <sz val="10"/>
        <color rgb="FF0000FF"/>
        <rFont val="Arial"/>
        <family val="0"/>
        <charset val="1"/>
      </rPr>
      <t xml:space="preserve">(2,884</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。当期運用</t>
    </r>
    <r>
      <rPr>
        <sz val="10"/>
        <color rgb="FF0000FF"/>
        <rFont val="Arial"/>
        <family val="0"/>
        <charset val="1"/>
      </rPr>
      <t xml:space="preserve">44</t>
    </r>
    <r>
      <rPr>
        <sz val="10"/>
        <color rgb="FF0000FF"/>
        <rFont val="Noto Sans CJK SC"/>
        <family val="2"/>
      </rPr>
      <t xml:space="preserve">日</t>
    </r>
  </si>
  <si>
    <t xml:space="preserve">HLC-063</t>
  </si>
  <si>
    <t xml:space="preserve">池袋ネットワークセンター</t>
  </si>
  <si>
    <t xml:space="preserve">その他</t>
  </si>
  <si>
    <t xml:space="preserve">ネットワークセンター。2025年9月譲渡(当期運用7日)。池袋NC譲渡益807,732千円・長野NC譲渡益61,852千円</t>
  </si>
  <si>
    <t xml:space="preserve">HLC-064</t>
  </si>
  <si>
    <t xml:space="preserve">田端ネットワークセンター</t>
  </si>
  <si>
    <t xml:space="preserve">ネットワークセンター(ソフトバンク一括賃貸・定期借家2030/9末)。期後2026/3/16にヒューリックへ譲渡済(5物件計8,000百万円)</t>
  </si>
  <si>
    <t xml:space="preserve">HLC-065</t>
  </si>
  <si>
    <t xml:space="preserve">広島ネットワークセンター</t>
  </si>
  <si>
    <t xml:space="preserve">HLC-066</t>
  </si>
  <si>
    <t xml:space="preserve">熱田ネットワークセンター</t>
  </si>
  <si>
    <t xml:space="preserve">HLC-067</t>
  </si>
  <si>
    <t xml:space="preserve">長野ネットワークセンター</t>
  </si>
  <si>
    <t xml:space="preserve">HLC-068</t>
  </si>
  <si>
    <t xml:space="preserve">札幌ネットワークセンター</t>
  </si>
  <si>
    <t xml:space="preserve">HLC-069</t>
  </si>
  <si>
    <t xml:space="preserve">京阪奈ネットワークセンター</t>
  </si>
  <si>
    <t xml:space="preserve">木津川市</t>
  </si>
  <si>
    <t xml:space="preserve">HLC-ALL</t>
  </si>
  <si>
    <t xml:space="preserve">（HLC全67物件一括）</t>
  </si>
  <si>
    <t xml:space="preserve">複合</t>
  </si>
  <si>
    <t xml:space="preserve">（法人一括）</t>
  </si>
  <si>
    <r>
      <rPr>
        <sz val="10"/>
        <color rgb="FF0000FF"/>
        <rFont val="Arial"/>
        <family val="0"/>
        <charset val="1"/>
      </rPr>
      <t xml:space="preserve">HLC</t>
    </r>
    <r>
      <rPr>
        <sz val="10"/>
        <color rgb="FF0000FF"/>
        <rFont val="Noto Sans CJK SC"/>
        <family val="2"/>
      </rPr>
      <t xml:space="preserve">全</t>
    </r>
    <r>
      <rPr>
        <sz val="10"/>
        <color rgb="FF0000FF"/>
        <rFont val="Arial"/>
        <family val="0"/>
        <charset val="1"/>
      </rPr>
      <t xml:space="preserve">67</t>
    </r>
    <r>
      <rPr>
        <sz val="10"/>
        <color rgb="FF0000FF"/>
        <rFont val="Noto Sans CJK SC"/>
        <family val="2"/>
      </rPr>
      <t xml:space="preserve">物件の一括行。取得価格は百万円未満四捨五入方針</t>
    </r>
    <r>
      <rPr>
        <sz val="10"/>
        <color rgb="FF0000FF"/>
        <rFont val="Arial"/>
        <family val="0"/>
        <charset val="1"/>
      </rPr>
      <t xml:space="preserve">(</t>
    </r>
    <r>
      <rPr>
        <sz val="10"/>
        <color rgb="FF0000FF"/>
        <rFont val="Noto Sans CJK SC"/>
        <family val="2"/>
      </rPr>
      <t xml:space="preserve">他法人の切捨てと異なる</t>
    </r>
    <r>
      <rPr>
        <sz val="10"/>
        <color rgb="FF0000FF"/>
        <rFont val="Arial"/>
        <family val="0"/>
        <charset val="1"/>
      </rPr>
      <t xml:space="preserve">)</t>
    </r>
    <r>
      <rPr>
        <sz val="10"/>
        <color rgb="FF0000FF"/>
        <rFont val="Noto Sans CJK SC"/>
        <family val="2"/>
      </rPr>
      <t xml:space="preserve">のため物件別合算</t>
    </r>
    <r>
      <rPr>
        <sz val="10"/>
        <color rgb="FF0000FF"/>
        <rFont val="Arial"/>
        <family val="0"/>
        <charset val="1"/>
      </rPr>
      <t xml:space="preserve">421,531</t>
    </r>
    <r>
      <rPr>
        <sz val="10"/>
        <color rgb="FF0000FF"/>
        <rFont val="Noto Sans CJK SC"/>
        <family val="2"/>
      </rPr>
      <t xml:space="preserve">は合計欄</t>
    </r>
    <r>
      <rPr>
        <sz val="10"/>
        <color rgb="FF0000FF"/>
        <rFont val="Arial"/>
        <family val="0"/>
        <charset val="1"/>
      </rPr>
      <t xml:space="preserve">421,530</t>
    </r>
    <r>
      <rPr>
        <sz val="10"/>
        <color rgb="FF0000FF"/>
        <rFont val="Noto Sans CJK SC"/>
        <family val="2"/>
      </rPr>
      <t xml:space="preserve">と</t>
    </r>
    <r>
      <rPr>
        <sz val="10"/>
        <color rgb="FF0000FF"/>
        <rFont val="Arial"/>
        <family val="0"/>
        <charset val="1"/>
      </rPr>
      <t xml:space="preserve">+1</t>
    </r>
    <r>
      <rPr>
        <sz val="10"/>
        <color rgb="FF0000FF"/>
        <rFont val="Noto Sans CJK SC"/>
        <family val="2"/>
      </rPr>
      <t xml:space="preserve">百万円差。帳簿は物件別合算</t>
    </r>
    <r>
      <rPr>
        <sz val="10"/>
        <color rgb="FF0000FF"/>
        <rFont val="Arial"/>
        <family val="0"/>
        <charset val="1"/>
      </rPr>
      <t xml:space="preserve">401,658</t>
    </r>
    <r>
      <rPr>
        <sz val="10"/>
        <color rgb="FF0000FF"/>
        <rFont val="Noto Sans CJK SC"/>
        <family val="2"/>
      </rPr>
      <t xml:space="preserve">と合計</t>
    </r>
    <r>
      <rPr>
        <sz val="10"/>
        <color rgb="FF0000FF"/>
        <rFont val="Arial"/>
        <family val="0"/>
        <charset val="1"/>
      </rPr>
      <t xml:space="preserve">401,693(</t>
    </r>
    <r>
      <rPr>
        <sz val="10"/>
        <color rgb="FF0000FF"/>
        <rFont val="Noto Sans CJK SC"/>
        <family val="2"/>
      </rPr>
      <t xml:space="preserve">切捨て</t>
    </r>
    <r>
      <rPr>
        <sz val="10"/>
        <color rgb="FF0000FF"/>
        <rFont val="Arial"/>
        <family val="0"/>
        <charset val="1"/>
      </rPr>
      <t xml:space="preserve">)</t>
    </r>
    <r>
      <rPr>
        <sz val="10"/>
        <color rgb="FF0000FF"/>
        <rFont val="Noto Sans CJK SC"/>
        <family val="2"/>
      </rPr>
      <t xml:space="preserve">の差</t>
    </r>
    <r>
      <rPr>
        <sz val="10"/>
        <color rgb="FF0000FF"/>
        <rFont val="Arial"/>
        <family val="0"/>
        <charset val="1"/>
      </rPr>
      <t xml:space="preserve">-35=</t>
    </r>
    <r>
      <rPr>
        <sz val="10"/>
        <color rgb="FF0000FF"/>
        <rFont val="Noto Sans CJK SC"/>
        <family val="2"/>
      </rPr>
      <t xml:space="preserve">切捨て累積。鑑定・</t>
    </r>
    <r>
      <rPr>
        <sz val="10"/>
        <color rgb="FF0000FF"/>
        <rFont val="Arial"/>
        <family val="0"/>
        <charset val="1"/>
      </rPr>
      <t xml:space="preserve">NLA</t>
    </r>
    <r>
      <rPr>
        <sz val="10"/>
        <color rgb="FF0000FF"/>
        <rFont val="Noto Sans CJK SC"/>
        <family val="2"/>
      </rPr>
      <t xml:space="preserve">は全用途完全一致</t>
    </r>
    <r>
      <rPr>
        <sz val="10"/>
        <color rgb="FF0000FF"/>
        <rFont val="Arial"/>
        <family val="0"/>
        <charset val="1"/>
      </rPr>
      <t xml:space="preserve">(486,369</t>
    </r>
    <r>
      <rPr>
        <sz val="10"/>
        <color rgb="FF0000FF"/>
        <rFont val="Noto Sans CJK SC"/>
        <family val="2"/>
      </rPr>
      <t xml:space="preserve">百万円</t>
    </r>
    <r>
      <rPr>
        <sz val="10"/>
        <color rgb="FF0000FF"/>
        <rFont val="Arial"/>
        <family val="0"/>
        <charset val="1"/>
      </rPr>
      <t xml:space="preserve">/381,506.30</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。用途構成</t>
    </r>
    <r>
      <rPr>
        <sz val="10"/>
        <color rgb="FF0000FF"/>
        <rFont val="Arial"/>
        <family val="0"/>
        <charset val="1"/>
      </rPr>
      <t xml:space="preserve">: </t>
    </r>
    <r>
      <rPr>
        <sz val="10"/>
        <color rgb="FF0000FF"/>
        <rFont val="Noto Sans CJK SC"/>
        <family val="2"/>
      </rPr>
      <t xml:space="preserve">オフィス</t>
    </r>
    <r>
      <rPr>
        <sz val="10"/>
        <color rgb="FF0000FF"/>
        <rFont val="Arial"/>
        <family val="0"/>
        <charset val="1"/>
      </rPr>
      <t xml:space="preserve">34(228,069)+</t>
    </r>
    <r>
      <rPr>
        <sz val="10"/>
        <color rgb="FF0000FF"/>
        <rFont val="Noto Sans CJK SC"/>
        <family val="2"/>
      </rPr>
      <t xml:space="preserve">商業</t>
    </r>
    <r>
      <rPr>
        <sz val="10"/>
        <color rgb="FF0000FF"/>
        <rFont val="Arial"/>
        <family val="0"/>
        <charset val="1"/>
      </rPr>
      <t xml:space="preserve">8(38,958)+</t>
    </r>
    <r>
      <rPr>
        <sz val="10"/>
        <color rgb="FF0000FF"/>
        <rFont val="Noto Sans CJK SC"/>
        <family val="2"/>
      </rPr>
      <t xml:space="preserve">ホテル</t>
    </r>
    <r>
      <rPr>
        <sz val="10"/>
        <color rgb="FF0000FF"/>
        <rFont val="Arial"/>
        <family val="0"/>
        <charset val="1"/>
      </rPr>
      <t xml:space="preserve">6(99,342)+</t>
    </r>
    <r>
      <rPr>
        <sz val="10"/>
        <color rgb="FF0000FF"/>
        <rFont val="Noto Sans CJK SC"/>
        <family val="2"/>
      </rPr>
      <t xml:space="preserve">有料老人ホーム</t>
    </r>
    <r>
      <rPr>
        <sz val="10"/>
        <color rgb="FF0000FF"/>
        <rFont val="Arial"/>
        <family val="0"/>
        <charset val="1"/>
      </rPr>
      <t xml:space="preserve">14(47,951)+</t>
    </r>
    <r>
      <rPr>
        <sz val="10"/>
        <color rgb="FF0000FF"/>
        <rFont val="Noto Sans CJK SC"/>
        <family val="2"/>
      </rPr>
      <t xml:space="preserve">ネットワークセンター</t>
    </r>
    <r>
      <rPr>
        <sz val="10"/>
        <color rgb="FF0000FF"/>
        <rFont val="Arial"/>
        <family val="0"/>
        <charset val="1"/>
      </rPr>
      <t xml:space="preserve">5(7,210)</t>
    </r>
    <r>
      <rPr>
        <sz val="10"/>
        <color rgb="FF0000FF"/>
        <rFont val="Noto Sans CJK SC"/>
        <family val="2"/>
      </rPr>
      <t xml:space="preserve">百万円。期中</t>
    </r>
    <r>
      <rPr>
        <sz val="10"/>
        <color rgb="FF0000FF"/>
        <rFont val="Arial"/>
        <family val="0"/>
        <charset val="1"/>
      </rPr>
      <t xml:space="preserve">: 2025/9</t>
    </r>
    <r>
      <rPr>
        <sz val="10"/>
        <color rgb="FF0000FF"/>
        <rFont val="Noto Sans CJK SC"/>
        <family val="2"/>
      </rPr>
      <t xml:space="preserve">浅草</t>
    </r>
    <r>
      <rPr>
        <sz val="10"/>
        <color rgb="FF0000FF"/>
        <rFont val="Arial"/>
        <family val="0"/>
        <charset val="1"/>
      </rPr>
      <t xml:space="preserve">VH(38,000)</t>
    </r>
    <r>
      <rPr>
        <sz val="10"/>
        <color rgb="FF0000FF"/>
        <rFont val="Noto Sans CJK SC"/>
        <family val="2"/>
      </rPr>
      <t xml:space="preserve">とヒューリック神谷町</t>
    </r>
    <r>
      <rPr>
        <sz val="10"/>
        <color rgb="FF0000FF"/>
        <rFont val="Arial"/>
        <family val="0"/>
        <charset val="1"/>
      </rPr>
      <t xml:space="preserve">56%(37,520)</t>
    </r>
    <r>
      <rPr>
        <sz val="10"/>
        <color rgb="FF0000FF"/>
        <rFont val="Noto Sans CJK SC"/>
        <family val="2"/>
      </rPr>
      <t xml:space="preserve">の交換、</t>
    </r>
    <r>
      <rPr>
        <sz val="10"/>
        <color rgb="FF0000FF"/>
        <rFont val="Arial"/>
        <family val="0"/>
        <charset val="1"/>
      </rPr>
      <t xml:space="preserve">2026/1</t>
    </r>
    <r>
      <rPr>
        <sz val="10"/>
        <color rgb="FF0000FF"/>
        <rFont val="Noto Sans CJK SC"/>
        <family val="2"/>
      </rPr>
      <t xml:space="preserve">本郷取得</t>
    </r>
    <r>
      <rPr>
        <sz val="10"/>
        <color rgb="FF0000FF"/>
        <rFont val="Arial"/>
        <family val="0"/>
        <charset val="1"/>
      </rPr>
      <t xml:space="preserve">(2,884)</t>
    </r>
    <r>
      <rPr>
        <sz val="10"/>
        <color rgb="FF0000FF"/>
        <rFont val="Noto Sans CJK SC"/>
        <family val="2"/>
      </rPr>
      <t xml:space="preserve">、</t>
    </r>
    <r>
      <rPr>
        <sz val="10"/>
        <color rgb="FF0000FF"/>
        <rFont val="Arial"/>
        <family val="0"/>
        <charset val="1"/>
      </rPr>
      <t xml:space="preserve">2025/9</t>
    </r>
    <r>
      <rPr>
        <sz val="10"/>
        <color rgb="FF0000FF"/>
        <rFont val="Noto Sans CJK SC"/>
        <family val="2"/>
      </rPr>
      <t xml:space="preserve">池袋</t>
    </r>
    <r>
      <rPr>
        <sz val="10"/>
        <color rgb="FF0000FF"/>
        <rFont val="Arial"/>
        <family val="0"/>
        <charset val="1"/>
      </rPr>
      <t xml:space="preserve">NC</t>
    </r>
    <r>
      <rPr>
        <sz val="10"/>
        <color rgb="FF0000FF"/>
        <rFont val="Noto Sans CJK SC"/>
        <family val="2"/>
      </rPr>
      <t xml:space="preserve">・長野</t>
    </r>
    <r>
      <rPr>
        <sz val="10"/>
        <color rgb="FF0000FF"/>
        <rFont val="Arial"/>
        <family val="0"/>
        <charset val="1"/>
      </rPr>
      <t xml:space="preserve">NC</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計</t>
    </r>
    <r>
      <rPr>
        <sz val="10"/>
        <color rgb="FF0000FF"/>
        <rFont val="Arial"/>
        <family val="0"/>
        <charset val="1"/>
      </rPr>
      <t xml:space="preserve">5,700)</t>
    </r>
    <r>
      <rPr>
        <sz val="10"/>
        <color rgb="FF0000FF"/>
        <rFont val="Noto Sans CJK SC"/>
        <family val="2"/>
      </rPr>
      <t xml:space="preserve">。期後</t>
    </r>
    <r>
      <rPr>
        <sz val="10"/>
        <color rgb="FF0000FF"/>
        <rFont val="Arial"/>
        <family val="0"/>
        <charset val="1"/>
      </rPr>
      <t xml:space="preserve">: 2026/3/16 NC5</t>
    </r>
    <r>
      <rPr>
        <sz val="10"/>
        <color rgb="FF0000FF"/>
        <rFont val="Noto Sans CJK SC"/>
        <family val="2"/>
      </rPr>
      <t xml:space="preserve">物件をヒューリックへ譲渡</t>
    </r>
    <r>
      <rPr>
        <sz val="10"/>
        <color rgb="FF0000FF"/>
        <rFont val="Arial"/>
        <family val="0"/>
        <charset val="1"/>
      </rPr>
      <t xml:space="preserve">(8,000</t>
    </r>
    <r>
      <rPr>
        <sz val="10"/>
        <color rgb="FF0000FF"/>
        <rFont val="Noto Sans CJK SC"/>
        <family val="2"/>
      </rPr>
      <t xml:space="preserve">百万円</t>
    </r>
    <r>
      <rPr>
        <sz val="10"/>
        <color rgb="FF0000FF"/>
        <rFont val="Arial"/>
        <family val="0"/>
        <charset val="1"/>
      </rPr>
      <t xml:space="preserve">)→62</t>
    </r>
    <r>
      <rPr>
        <sz val="10"/>
        <color rgb="FF0000FF"/>
        <rFont val="Noto Sans CJK SC"/>
        <family val="2"/>
      </rPr>
      <t xml:space="preserve">物件、</t>
    </r>
    <r>
      <rPr>
        <sz val="10"/>
        <color rgb="FF0000FF"/>
        <rFont val="Arial"/>
        <family val="0"/>
        <charset val="1"/>
      </rPr>
      <t xml:space="preserve">2026/6/25</t>
    </r>
    <r>
      <rPr>
        <sz val="10"/>
        <color rgb="FF0000FF"/>
        <rFont val="Noto Sans CJK SC"/>
        <family val="2"/>
      </rPr>
      <t xml:space="preserve">交換で銀座ビル</t>
    </r>
    <r>
      <rPr>
        <sz val="10"/>
        <color rgb="FF0000FF"/>
        <rFont val="Arial"/>
        <family val="0"/>
        <charset val="1"/>
      </rPr>
      <t xml:space="preserve">49%+</t>
    </r>
    <r>
      <rPr>
        <sz val="10"/>
        <color rgb="FF0000FF"/>
        <rFont val="Noto Sans CJK SC"/>
        <family val="2"/>
      </rPr>
      <t xml:space="preserve">銀座ワールドタウン</t>
    </r>
    <r>
      <rPr>
        <sz val="10"/>
        <color rgb="FF0000FF"/>
        <rFont val="Arial"/>
        <family val="0"/>
        <charset val="1"/>
      </rPr>
      <t xml:space="preserve">20%+</t>
    </r>
    <r>
      <rPr>
        <sz val="10"/>
        <color rgb="FF0000FF"/>
        <rFont val="Noto Sans CJK SC"/>
        <family val="2"/>
      </rPr>
      <t xml:space="preserve">江戸川橋富士</t>
    </r>
    <r>
      <rPr>
        <sz val="10"/>
        <color rgb="FF0000FF"/>
        <rFont val="Arial"/>
        <family val="0"/>
        <charset val="1"/>
      </rPr>
      <t xml:space="preserve">90%</t>
    </r>
    <r>
      <rPr>
        <sz val="10"/>
        <color rgb="FF0000FF"/>
        <rFont val="Noto Sans CJK SC"/>
        <family val="2"/>
      </rPr>
      <t xml:space="preserve">取得・神谷町</t>
    </r>
    <r>
      <rPr>
        <sz val="10"/>
        <color rgb="FF0000FF"/>
        <rFont val="Arial"/>
        <family val="0"/>
        <charset val="1"/>
      </rPr>
      <t xml:space="preserve">9%+</t>
    </r>
    <r>
      <rPr>
        <sz val="10"/>
        <color rgb="FF0000FF"/>
        <rFont val="Noto Sans CJK SC"/>
        <family val="2"/>
      </rPr>
      <t xml:space="preserve">九段底地譲渡</t>
    </r>
    <r>
      <rPr>
        <sz val="10"/>
        <color rgb="FF0000FF"/>
        <rFont val="Arial"/>
        <family val="0"/>
        <charset val="1"/>
      </rPr>
      <t xml:space="preserve">(6/30</t>
    </r>
    <r>
      <rPr>
        <sz val="10"/>
        <color rgb="FF0000FF"/>
        <rFont val="Noto Sans CJK SC"/>
        <family val="2"/>
      </rPr>
      <t xml:space="preserve">完了</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2026/2/24</t>
    </r>
    <r>
      <rPr>
        <sz val="10"/>
        <color rgb="FF0000FF"/>
        <rFont val="Noto Sans CJK SC"/>
        <family val="2"/>
      </rPr>
      <t xml:space="preserve">五反田山手通ビル火災。格付</t>
    </r>
    <r>
      <rPr>
        <sz val="10"/>
        <color rgb="FF0000FF"/>
        <rFont val="Arial"/>
        <family val="0"/>
        <charset val="1"/>
      </rPr>
      <t xml:space="preserve">JCR AA(</t>
    </r>
    <r>
      <rPr>
        <sz val="10"/>
        <color rgb="FF0000FF"/>
        <rFont val="Noto Sans CJK SC"/>
        <family val="2"/>
      </rPr>
      <t xml:space="preserve">安定的</t>
    </r>
    <r>
      <rPr>
        <sz val="10"/>
        <color rgb="FF0000FF"/>
        <rFont val="Arial"/>
        <family val="0"/>
        <charset val="1"/>
      </rPr>
      <t xml:space="preserve">)</t>
    </r>
    <r>
      <rPr>
        <sz val="10"/>
        <color rgb="FF0000FF"/>
        <rFont val="Noto Sans CJK SC"/>
        <family val="2"/>
      </rPr>
      <t xml:space="preserve">。スポンサー</t>
    </r>
    <r>
      <rPr>
        <sz val="10"/>
        <color rgb="FF0000FF"/>
        <rFont val="Arial"/>
        <family val="0"/>
        <charset val="1"/>
      </rPr>
      <t xml:space="preserve">: </t>
    </r>
    <r>
      <rPr>
        <sz val="10"/>
        <color rgb="FF0000FF"/>
        <rFont val="Noto Sans CJK SC"/>
        <family val="2"/>
      </rPr>
      <t xml:space="preserve">ヒューリック</t>
    </r>
    <r>
      <rPr>
        <sz val="10"/>
        <color rgb="FF0000FF"/>
        <rFont val="Arial"/>
        <family val="0"/>
        <charset val="1"/>
      </rPr>
      <t xml:space="preserve">(</t>
    </r>
    <r>
      <rPr>
        <sz val="10"/>
        <color rgb="FF0000FF"/>
        <rFont val="Noto Sans CJK SC"/>
        <family val="2"/>
      </rPr>
      <t xml:space="preserve">賃料の約</t>
    </r>
    <r>
      <rPr>
        <sz val="10"/>
        <color rgb="FF0000FF"/>
        <rFont val="Arial"/>
        <family val="0"/>
        <charset val="1"/>
      </rPr>
      <t xml:space="preserve">3</t>
    </r>
    <r>
      <rPr>
        <sz val="10"/>
        <color rgb="FF0000FF"/>
        <rFont val="Noto Sans CJK SC"/>
        <family val="2"/>
      </rPr>
      <t xml:space="preserve">割がヒューリックグループ</t>
    </r>
    <r>
      <rPr>
        <sz val="10"/>
        <color rgb="FF0000FF"/>
        <rFont val="Arial"/>
        <family val="0"/>
        <charset val="1"/>
      </rPr>
      <t xml:space="preserve">)</t>
    </r>
  </si>
  <si>
    <t xml:space="preserve">SKR-001</t>
  </si>
  <si>
    <r>
      <rPr>
        <sz val="10"/>
        <color rgb="FF0000FF"/>
        <rFont val="Arial"/>
        <family val="0"/>
        <charset val="1"/>
      </rPr>
      <t xml:space="preserve">S-GATE</t>
    </r>
    <r>
      <rPr>
        <sz val="10"/>
        <color rgb="FF0000FF"/>
        <rFont val="Noto Sans CJK SC"/>
        <family val="2"/>
      </rPr>
      <t xml:space="preserve">日本橋本町</t>
    </r>
  </si>
  <si>
    <r>
      <rPr>
        <sz val="10"/>
        <color rgb="FF0000FF"/>
        <rFont val="Arial"/>
        <family val="0"/>
        <charset val="1"/>
      </rPr>
      <t xml:space="preserve">SKR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14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(2026/4/28</t>
    </r>
    <r>
      <rPr>
        <sz val="10"/>
        <color rgb="FF0000FF"/>
        <rFont val="Noto Sans CJK SC"/>
        <family val="2"/>
      </rPr>
      <t xml:space="preserve">公表</t>
    </r>
    <r>
      <rPr>
        <sz val="10"/>
        <color rgb="FF0000FF"/>
        <rFont val="Arial"/>
        <family val="0"/>
        <charset val="1"/>
      </rPr>
      <t xml:space="preserve">)</t>
    </r>
  </si>
  <si>
    <t xml:space="preserve">SKR-002</t>
  </si>
  <si>
    <r>
      <rPr>
        <sz val="10"/>
        <color rgb="FF0000FF"/>
        <rFont val="Arial"/>
        <family val="0"/>
        <charset val="1"/>
      </rPr>
      <t xml:space="preserve">S-GATE</t>
    </r>
    <r>
      <rPr>
        <sz val="10"/>
        <color rgb="FF0000FF"/>
        <rFont val="Noto Sans CJK SC"/>
        <family val="2"/>
      </rPr>
      <t xml:space="preserve">秋葉原</t>
    </r>
  </si>
  <si>
    <t xml:space="preserve">SKR-003</t>
  </si>
  <si>
    <t xml:space="preserve">日比谷サンケイビル</t>
  </si>
  <si>
    <t xml:space="preserve">スポンサー(サンケイビル)開発物件</t>
  </si>
  <si>
    <t xml:space="preserve">SKR-004</t>
  </si>
  <si>
    <t xml:space="preserve">八丁堀サンケイビル</t>
  </si>
  <si>
    <r>
      <rPr>
        <sz val="10"/>
        <color rgb="FF0000FF"/>
        <rFont val="Arial"/>
        <family val="0"/>
        <charset val="1"/>
      </rPr>
      <t xml:space="preserve">1965</t>
    </r>
    <r>
      <rPr>
        <sz val="10"/>
        <color rgb="FF0000FF"/>
        <rFont val="Noto Sans CJK SC"/>
        <family val="2"/>
      </rPr>
      <t xml:space="preserve">年竣工で</t>
    </r>
    <r>
      <rPr>
        <sz val="10"/>
        <color rgb="FF0000FF"/>
        <rFont val="Arial"/>
        <family val="0"/>
        <charset val="1"/>
      </rPr>
      <t xml:space="preserve">DB</t>
    </r>
    <r>
      <rPr>
        <sz val="10"/>
        <color rgb="FF0000FF"/>
        <rFont val="Noto Sans CJK SC"/>
        <family val="2"/>
      </rPr>
      <t xml:space="preserve">中最古級の建物</t>
    </r>
  </si>
  <si>
    <t xml:space="preserve">SKR-005</t>
  </si>
  <si>
    <t xml:space="preserve">東陽パークビル</t>
  </si>
  <si>
    <t xml:space="preserve">SKR-006</t>
  </si>
  <si>
    <t xml:space="preserve">大森パークビル</t>
  </si>
  <si>
    <t xml:space="preserve">SKR-007</t>
  </si>
  <si>
    <r>
      <rPr>
        <sz val="10"/>
        <color rgb="FF0000FF"/>
        <rFont val="Arial"/>
        <family val="0"/>
        <charset val="1"/>
      </rPr>
      <t xml:space="preserve">S-GATE</t>
    </r>
    <r>
      <rPr>
        <sz val="10"/>
        <color rgb="FF0000FF"/>
        <rFont val="Noto Sans CJK SC"/>
        <family val="2"/>
      </rPr>
      <t xml:space="preserve">赤坂</t>
    </r>
  </si>
  <si>
    <t xml:space="preserve">総賃料収入・敷金は非開示</t>
  </si>
  <si>
    <t xml:space="preserve">SKR-008</t>
  </si>
  <si>
    <t xml:space="preserve">宮崎台ガーデンオフィス</t>
  </si>
  <si>
    <t xml:space="preserve">川崎市宮前区</t>
  </si>
  <si>
    <t xml:space="preserve">SKR-009</t>
  </si>
  <si>
    <t xml:space="preserve">福岡グリーンビルディング</t>
  </si>
  <si>
    <t xml:space="preserve">福岡市早良区</t>
  </si>
  <si>
    <r>
      <rPr>
        <sz val="10"/>
        <color rgb="FF0000FF"/>
        <rFont val="Arial"/>
        <family val="0"/>
        <charset val="1"/>
      </rPr>
      <t xml:space="preserve">2026/2/1</t>
    </r>
    <r>
      <rPr>
        <sz val="10"/>
        <color rgb="FF0000FF"/>
        <rFont val="Noto Sans CJK SC"/>
        <family val="2"/>
      </rPr>
      <t xml:space="preserve">に「日立九州ビル」から名称変更。主要テナント日立製作所が</t>
    </r>
    <r>
      <rPr>
        <sz val="10"/>
        <color rgb="FF0000FF"/>
        <rFont val="Arial"/>
        <family val="0"/>
        <charset val="1"/>
      </rPr>
      <t xml:space="preserve">2025/9/30</t>
    </r>
    <r>
      <rPr>
        <sz val="10"/>
        <color rgb="FF0000FF"/>
        <rFont val="Noto Sans CJK SC"/>
        <family val="2"/>
      </rPr>
      <t xml:space="preserve">付で合意解約</t>
    </r>
    <r>
      <rPr>
        <sz val="10"/>
        <color rgb="FF0000FF"/>
        <rFont val="Arial"/>
        <family val="0"/>
        <charset val="1"/>
      </rPr>
      <t xml:space="preserve">(</t>
    </r>
    <r>
      <rPr>
        <sz val="10"/>
        <color rgb="FF0000FF"/>
        <rFont val="Noto Sans CJK SC"/>
        <family val="2"/>
      </rPr>
      <t xml:space="preserve">解約違約金</t>
    </r>
    <r>
      <rPr>
        <sz val="10"/>
        <color rgb="FF0000FF"/>
        <rFont val="Arial"/>
        <family val="0"/>
        <charset val="1"/>
      </rPr>
      <t xml:space="preserve">582,338</t>
    </r>
    <r>
      <rPr>
        <sz val="10"/>
        <color rgb="FF0000FF"/>
        <rFont val="Noto Sans CJK SC"/>
        <family val="2"/>
      </rPr>
      <t xml:space="preserve">千円収受</t>
    </r>
    <r>
      <rPr>
        <sz val="10"/>
        <color rgb="FF0000FF"/>
        <rFont val="Arial"/>
        <family val="0"/>
        <charset val="1"/>
      </rPr>
      <t xml:space="preserve">)</t>
    </r>
    <r>
      <rPr>
        <sz val="10"/>
        <color rgb="FF0000FF"/>
        <rFont val="Noto Sans CJK SC"/>
        <family val="2"/>
      </rPr>
      <t xml:space="preserve">し稼働</t>
    </r>
    <r>
      <rPr>
        <sz val="10"/>
        <color rgb="FF0000FF"/>
        <rFont val="Arial"/>
        <family val="0"/>
        <charset val="1"/>
      </rPr>
      <t xml:space="preserve">0%</t>
    </r>
    <r>
      <rPr>
        <sz val="10"/>
        <color rgb="FF0000FF"/>
        <rFont val="Noto Sans CJK SC"/>
        <family val="2"/>
      </rPr>
      <t xml:space="preserve">。当期に減損損失</t>
    </r>
    <r>
      <rPr>
        <sz val="10"/>
        <color rgb="FF0000FF"/>
        <rFont val="Arial"/>
        <family val="0"/>
        <charset val="1"/>
      </rPr>
      <t xml:space="preserve">4,933,559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信託土地</t>
    </r>
    <r>
      <rPr>
        <sz val="10"/>
        <color rgb="FF0000FF"/>
        <rFont val="Arial"/>
        <family val="0"/>
        <charset val="1"/>
      </rPr>
      <t xml:space="preserve">4,163,598+</t>
    </r>
    <r>
      <rPr>
        <sz val="10"/>
        <color rgb="FF0000FF"/>
        <rFont val="Noto Sans CJK SC"/>
        <family val="2"/>
      </rPr>
      <t xml:space="preserve">信託建物</t>
    </r>
    <r>
      <rPr>
        <sz val="10"/>
        <color rgb="FF0000FF"/>
        <rFont val="Arial"/>
        <family val="0"/>
        <charset val="1"/>
      </rPr>
      <t xml:space="preserve">750,484</t>
    </r>
    <r>
      <rPr>
        <sz val="10"/>
        <color rgb="FF0000FF"/>
        <rFont val="Noto Sans CJK SC"/>
        <family val="2"/>
      </rPr>
      <t xml:space="preserve">等</t>
    </r>
    <r>
      <rPr>
        <sz val="10"/>
        <color rgb="FF0000FF"/>
        <rFont val="Arial"/>
        <family val="0"/>
        <charset val="1"/>
      </rPr>
      <t xml:space="preserve">)</t>
    </r>
    <r>
      <rPr>
        <sz val="10"/>
        <color rgb="FF0000FF"/>
        <rFont val="Noto Sans CJK SC"/>
        <family val="2"/>
      </rPr>
      <t xml:space="preserve">を計上し帳簿価額を回収可能価額まで減額。</t>
    </r>
    <r>
      <rPr>
        <sz val="10"/>
        <color rgb="FF0000FF"/>
        <rFont val="Arial"/>
        <family val="0"/>
        <charset val="1"/>
      </rPr>
      <t xml:space="preserve">2026/8</t>
    </r>
    <r>
      <rPr>
        <sz val="10"/>
        <color rgb="FF0000FF"/>
        <rFont val="Noto Sans CJK SC"/>
        <family val="2"/>
      </rPr>
      <t xml:space="preserve">期に原状回復工事精算金収入等</t>
    </r>
    <r>
      <rPr>
        <sz val="10"/>
        <color rgb="FF0000FF"/>
        <rFont val="Arial"/>
        <family val="0"/>
        <charset val="1"/>
      </rPr>
      <t xml:space="preserve">1,419</t>
    </r>
    <r>
      <rPr>
        <sz val="10"/>
        <color rgb="FF0000FF"/>
        <rFont val="Noto Sans CJK SC"/>
        <family val="2"/>
      </rPr>
      <t xml:space="preserve">百万円計上、マルチテナント化工事</t>
    </r>
    <r>
      <rPr>
        <sz val="10"/>
        <color rgb="FF0000FF"/>
        <rFont val="Arial"/>
        <family val="0"/>
        <charset val="1"/>
      </rPr>
      <t xml:space="preserve">(276</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は</t>
    </r>
    <r>
      <rPr>
        <sz val="10"/>
        <color rgb="FF0000FF"/>
        <rFont val="Arial"/>
        <family val="0"/>
        <charset val="1"/>
      </rPr>
      <t xml:space="preserve">2026/9-2027/2</t>
    </r>
    <r>
      <rPr>
        <sz val="10"/>
        <color rgb="FF0000FF"/>
        <rFont val="Noto Sans CJK SC"/>
        <family val="2"/>
      </rPr>
      <t xml:space="preserve">予定でリテナント完了又は売却は</t>
    </r>
    <r>
      <rPr>
        <sz val="10"/>
        <color rgb="FF0000FF"/>
        <rFont val="Arial"/>
        <family val="0"/>
        <charset val="1"/>
      </rPr>
      <t xml:space="preserve">2027/2</t>
    </r>
    <r>
      <rPr>
        <sz val="10"/>
        <color rgb="FF0000FF"/>
        <rFont val="Noto Sans CJK SC"/>
        <family val="2"/>
      </rPr>
      <t xml:space="preserve">期中も未完の見通し</t>
    </r>
  </si>
  <si>
    <t xml:space="preserve">SKR-010</t>
  </si>
  <si>
    <t xml:space="preserve">ホテルインターゲート東京 京橋</t>
  </si>
  <si>
    <t xml:space="preserve">SKR-011</t>
  </si>
  <si>
    <t xml:space="preserve">ホテルインターゲート広島</t>
  </si>
  <si>
    <t xml:space="preserve">広島市中区</t>
  </si>
  <si>
    <t xml:space="preserve">SKR-012</t>
  </si>
  <si>
    <r>
      <rPr>
        <sz val="10"/>
        <color rgb="FF0000FF"/>
        <rFont val="Arial"/>
        <family val="0"/>
        <charset val="1"/>
      </rPr>
      <t xml:space="preserve">SANKEILOGI</t>
    </r>
    <r>
      <rPr>
        <sz val="10"/>
        <color rgb="FF0000FF"/>
        <rFont val="Noto Sans CJK SC"/>
        <family val="2"/>
      </rPr>
      <t xml:space="preserve">摂津</t>
    </r>
  </si>
  <si>
    <t xml:space="preserve">摂津市</t>
  </si>
  <si>
    <t xml:space="preserve">定期建物賃貸借契約・固定賃料</t>
  </si>
  <si>
    <t xml:space="preserve">SKR-013</t>
  </si>
  <si>
    <t xml:space="preserve">ホテルインターゲート京都 四条新町</t>
  </si>
  <si>
    <t xml:space="preserve">京都市中京区</t>
  </si>
  <si>
    <t xml:space="preserve">固定+変動賃料併用</t>
  </si>
  <si>
    <t xml:space="preserve">SKR-014</t>
  </si>
  <si>
    <t xml:space="preserve">ホテルインターゲート金沢</t>
  </si>
  <si>
    <t xml:space="preserve">石川県</t>
  </si>
  <si>
    <t xml:space="preserve">金沢市</t>
  </si>
  <si>
    <t xml:space="preserve">SKR-015</t>
  </si>
  <si>
    <t xml:space="preserve">グリッズプレミアムホテル大阪なんば</t>
  </si>
  <si>
    <t xml:space="preserve">大阪市浪速区</t>
  </si>
  <si>
    <t xml:space="preserve">総賃料収入は非開示。固定+変動賃料併用</t>
  </si>
  <si>
    <t xml:space="preserve">SKR-016</t>
  </si>
  <si>
    <t xml:space="preserve">ベッセルホテルカンパーナすすきの</t>
  </si>
  <si>
    <t xml:space="preserve">札幌市中央区</t>
  </si>
  <si>
    <t xml:space="preserve">共有持分40%相当の数値を収録</t>
  </si>
  <si>
    <t xml:space="preserve">SKR-ALL</t>
  </si>
  <si>
    <t xml:space="preserve">（SKR全16物件一括）</t>
  </si>
  <si>
    <r>
      <rPr>
        <sz val="10"/>
        <color rgb="FF0000FF"/>
        <rFont val="Arial"/>
        <family val="0"/>
        <charset val="1"/>
      </rPr>
      <t xml:space="preserve">SKR</t>
    </r>
    <r>
      <rPr>
        <sz val="10"/>
        <color rgb="FF0000FF"/>
        <rFont val="Noto Sans CJK SC"/>
        <family val="2"/>
      </rPr>
      <t xml:space="preserve">全</t>
    </r>
    <r>
      <rPr>
        <sz val="10"/>
        <color rgb="FF0000FF"/>
        <rFont val="Arial"/>
        <family val="0"/>
        <charset val="1"/>
      </rPr>
      <t xml:space="preserve">16</t>
    </r>
    <r>
      <rPr>
        <sz val="10"/>
        <color rgb="FF0000FF"/>
        <rFont val="Noto Sans CJK SC"/>
        <family val="2"/>
      </rPr>
      <t xml:space="preserve">物件の一括行。取得価格合算</t>
    </r>
    <r>
      <rPr>
        <sz val="10"/>
        <color rgb="FF0000FF"/>
        <rFont val="Arial"/>
        <family val="0"/>
        <charset val="1"/>
      </rPr>
      <t xml:space="preserve">93,936</t>
    </r>
    <r>
      <rPr>
        <sz val="10"/>
        <color rgb="FF0000FF"/>
        <rFont val="Noto Sans CJK SC"/>
        <family val="2"/>
      </rPr>
      <t xml:space="preserve">は合計</t>
    </r>
    <r>
      <rPr>
        <sz val="10"/>
        <color rgb="FF0000FF"/>
        <rFont val="Arial"/>
        <family val="0"/>
        <charset val="1"/>
      </rPr>
      <t xml:space="preserve">93,938</t>
    </r>
    <r>
      <rPr>
        <sz val="10"/>
        <color rgb="FF0000FF"/>
        <rFont val="Noto Sans CJK SC"/>
        <family val="2"/>
      </rPr>
      <t xml:space="preserve">比</t>
    </r>
    <r>
      <rPr>
        <sz val="10"/>
        <color rgb="FF0000FF"/>
        <rFont val="Arial"/>
        <family val="0"/>
        <charset val="1"/>
      </rPr>
      <t xml:space="preserve">-2</t>
    </r>
    <r>
      <rPr>
        <sz val="10"/>
        <color rgb="FF0000FF"/>
        <rFont val="Noto Sans CJK SC"/>
        <family val="2"/>
      </rPr>
      <t xml:space="preserve">、帳簿合算</t>
    </r>
    <r>
      <rPr>
        <sz val="10"/>
        <color rgb="FF0000FF"/>
        <rFont val="Arial"/>
        <family val="0"/>
        <charset val="1"/>
      </rPr>
      <t xml:space="preserve">88,782</t>
    </r>
    <r>
      <rPr>
        <sz val="10"/>
        <color rgb="FF0000FF"/>
        <rFont val="Noto Sans CJK SC"/>
        <family val="2"/>
      </rPr>
      <t xml:space="preserve">は合計</t>
    </r>
    <r>
      <rPr>
        <sz val="10"/>
        <color rgb="FF0000FF"/>
        <rFont val="Arial"/>
        <family val="0"/>
        <charset val="1"/>
      </rPr>
      <t xml:space="preserve">88,790</t>
    </r>
    <r>
      <rPr>
        <sz val="10"/>
        <color rgb="FF0000FF"/>
        <rFont val="Noto Sans CJK SC"/>
        <family val="2"/>
      </rPr>
      <t xml:space="preserve">比</t>
    </r>
    <r>
      <rPr>
        <sz val="10"/>
        <color rgb="FF0000FF"/>
        <rFont val="Arial"/>
        <family val="0"/>
        <charset val="1"/>
      </rPr>
      <t xml:space="preserve">-8=</t>
    </r>
    <r>
      <rPr>
        <sz val="10"/>
        <color rgb="FF0000FF"/>
        <rFont val="Noto Sans CJK SC"/>
        <family val="2"/>
      </rPr>
      <t xml:space="preserve">いずれも百万円未満切捨ての累積。鑑定</t>
    </r>
    <r>
      <rPr>
        <sz val="10"/>
        <color rgb="FF0000FF"/>
        <rFont val="Arial"/>
        <family val="0"/>
        <charset val="1"/>
      </rPr>
      <t xml:space="preserve">96,660</t>
    </r>
    <r>
      <rPr>
        <sz val="10"/>
        <color rgb="FF0000FF"/>
        <rFont val="Noto Sans CJK SC"/>
        <family val="2"/>
      </rPr>
      <t xml:space="preserve">・</t>
    </r>
    <r>
      <rPr>
        <sz val="10"/>
        <color rgb="FF0000FF"/>
        <rFont val="Arial"/>
        <family val="0"/>
        <charset val="1"/>
      </rPr>
      <t xml:space="preserve">NLA100,115.25</t>
    </r>
    <r>
      <rPr>
        <sz val="10"/>
        <color rgb="FF0000FF"/>
        <rFont val="Noto Sans CJK SC"/>
        <family val="2"/>
      </rPr>
      <t xml:space="preserve">㎡・賃貸面積</t>
    </r>
    <r>
      <rPr>
        <sz val="10"/>
        <color rgb="FF0000FF"/>
        <rFont val="Arial"/>
        <family val="0"/>
        <charset val="1"/>
      </rPr>
      <t xml:space="preserve">81,781.86</t>
    </r>
    <r>
      <rPr>
        <sz val="10"/>
        <color rgb="FF0000FF"/>
        <rFont val="Noto Sans CJK SC"/>
        <family val="2"/>
      </rPr>
      <t xml:space="preserve">㎡は完全一致。稼働</t>
    </r>
    <r>
      <rPr>
        <sz val="10"/>
        <color rgb="FF0000FF"/>
        <rFont val="Arial"/>
        <family val="0"/>
        <charset val="1"/>
      </rPr>
      <t xml:space="preserve">81.7%</t>
    </r>
    <r>
      <rPr>
        <sz val="10"/>
        <color rgb="FF0000FF"/>
        <rFont val="Noto Sans CJK SC"/>
        <family val="2"/>
      </rPr>
      <t xml:space="preserve">は福岡グリーンビルディング</t>
    </r>
    <r>
      <rPr>
        <sz val="10"/>
        <color rgb="FF0000FF"/>
        <rFont val="Arial"/>
        <family val="0"/>
        <charset val="1"/>
      </rPr>
      <t xml:space="preserve">(0%)</t>
    </r>
    <r>
      <rPr>
        <sz val="10"/>
        <color rgb="FF0000FF"/>
        <rFont val="Noto Sans CJK SC"/>
        <family val="2"/>
      </rPr>
      <t xml:space="preserve">・大森</t>
    </r>
    <r>
      <rPr>
        <sz val="10"/>
        <color rgb="FF0000FF"/>
        <rFont val="Arial"/>
        <family val="0"/>
        <charset val="1"/>
      </rPr>
      <t xml:space="preserve">(64.0%)</t>
    </r>
    <r>
      <rPr>
        <sz val="10"/>
        <color rgb="FF0000FF"/>
        <rFont val="Noto Sans CJK SC"/>
        <family val="2"/>
      </rPr>
      <t xml:space="preserve">・東陽</t>
    </r>
    <r>
      <rPr>
        <sz val="10"/>
        <color rgb="FF0000FF"/>
        <rFont val="Arial"/>
        <family val="0"/>
        <charset val="1"/>
      </rPr>
      <t xml:space="preserve">(75.1%)</t>
    </r>
    <r>
      <rPr>
        <sz val="10"/>
        <color rgb="FF0000FF"/>
        <rFont val="Noto Sans CJK SC"/>
        <family val="2"/>
      </rPr>
      <t xml:space="preserve">が押し下げ。</t>
    </r>
    <r>
      <rPr>
        <sz val="10"/>
        <color rgb="FF0000FF"/>
        <rFont val="Arial"/>
        <family val="0"/>
        <charset val="1"/>
      </rPr>
      <t xml:space="preserve">2023/10</t>
    </r>
    <r>
      <rPr>
        <sz val="10"/>
        <color rgb="FF0000FF"/>
        <rFont val="Noto Sans CJK SC"/>
        <family val="2"/>
      </rPr>
      <t xml:space="preserve">にオフィス中心型から総合型</t>
    </r>
    <r>
      <rPr>
        <sz val="10"/>
        <color rgb="FF0000FF"/>
        <rFont val="Arial"/>
        <family val="0"/>
        <charset val="1"/>
      </rPr>
      <t xml:space="preserve">REIT</t>
    </r>
    <r>
      <rPr>
        <sz val="10"/>
        <color rgb="FF0000FF"/>
        <rFont val="Noto Sans CJK SC"/>
        <family val="2"/>
      </rPr>
      <t xml:space="preserve">へ転換</t>
    </r>
    <r>
      <rPr>
        <sz val="10"/>
        <color rgb="FF0000FF"/>
        <rFont val="Arial"/>
        <family val="0"/>
        <charset val="1"/>
      </rPr>
      <t xml:space="preserve">(</t>
    </r>
    <r>
      <rPr>
        <sz val="10"/>
        <color rgb="FF0000FF"/>
        <rFont val="Noto Sans CJK SC"/>
        <family val="2"/>
      </rPr>
      <t xml:space="preserve">ホテル</t>
    </r>
    <r>
      <rPr>
        <sz val="10"/>
        <color rgb="FF0000FF"/>
        <rFont val="Arial"/>
        <family val="0"/>
        <charset val="1"/>
      </rPr>
      <t xml:space="preserve">6+</t>
    </r>
    <r>
      <rPr>
        <sz val="10"/>
        <color rgb="FF0000FF"/>
        <rFont val="Noto Sans CJK SC"/>
        <family val="2"/>
      </rPr>
      <t xml:space="preserve">物流</t>
    </r>
    <r>
      <rPr>
        <sz val="10"/>
        <color rgb="FF0000FF"/>
        <rFont val="Arial"/>
        <family val="0"/>
        <charset val="1"/>
      </rPr>
      <t xml:space="preserve">1</t>
    </r>
    <r>
      <rPr>
        <sz val="10"/>
        <color rgb="FF0000FF"/>
        <rFont val="Noto Sans CJK SC"/>
        <family val="2"/>
      </rPr>
      <t xml:space="preserve">を保有</t>
    </r>
    <r>
      <rPr>
        <sz val="10"/>
        <color rgb="FF0000FF"/>
        <rFont val="Arial"/>
        <family val="0"/>
        <charset val="1"/>
      </rPr>
      <t xml:space="preserve">)</t>
    </r>
    <r>
      <rPr>
        <sz val="10"/>
        <color rgb="FF0000FF"/>
        <rFont val="Noto Sans CJK SC"/>
        <family val="2"/>
      </rPr>
      <t xml:space="preserve">。【重要】当期は福岡グリーンビルディングの減損損失</t>
    </r>
    <r>
      <rPr>
        <sz val="10"/>
        <color rgb="FF0000FF"/>
        <rFont val="Arial"/>
        <family val="0"/>
        <charset val="1"/>
      </rPr>
      <t xml:space="preserve">4,933,559</t>
    </r>
    <r>
      <rPr>
        <sz val="10"/>
        <color rgb="FF0000FF"/>
        <rFont val="Noto Sans CJK SC"/>
        <family val="2"/>
      </rPr>
      <t xml:space="preserve">千円計上により当期純損失</t>
    </r>
    <r>
      <rPr>
        <sz val="10"/>
        <color rgb="FF0000FF"/>
        <rFont val="Arial"/>
        <family val="0"/>
        <charset val="1"/>
      </rPr>
      <t xml:space="preserve">4,009</t>
    </r>
    <r>
      <rPr>
        <sz val="10"/>
        <color rgb="FF0000FF"/>
        <rFont val="Noto Sans CJK SC"/>
        <family val="2"/>
      </rPr>
      <t xml:space="preserve">百万円→分配ゼロ・無償減資</t>
    </r>
    <r>
      <rPr>
        <sz val="10"/>
        <color rgb="FF0000FF"/>
        <rFont val="Arial"/>
        <family val="0"/>
        <charset val="1"/>
      </rPr>
      <t xml:space="preserve">(2026/4/28</t>
    </r>
    <r>
      <rPr>
        <sz val="10"/>
        <color rgb="FF0000FF"/>
        <rFont val="Noto Sans CJK SC"/>
        <family val="2"/>
      </rPr>
      <t xml:space="preserve">役員会決議・出資総額等から控除</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Tiger</t>
    </r>
    <r>
      <rPr>
        <sz val="10"/>
        <color rgb="FF0000FF"/>
        <rFont val="Noto Sans CJK SC"/>
        <family val="2"/>
      </rPr>
      <t xml:space="preserve">投資事業有限責任組合・</t>
    </r>
    <r>
      <rPr>
        <sz val="10"/>
        <color rgb="FF0000FF"/>
        <rFont val="Arial"/>
        <family val="0"/>
        <charset val="1"/>
      </rPr>
      <t xml:space="preserve">Lion</t>
    </r>
    <r>
      <rPr>
        <sz val="10"/>
        <color rgb="FF0000FF"/>
        <rFont val="Noto Sans CJK SC"/>
        <family val="2"/>
      </rPr>
      <t xml:space="preserve">投資事業有限責任組合による投資口公開買付け</t>
    </r>
    <r>
      <rPr>
        <sz val="10"/>
        <color rgb="FF0000FF"/>
        <rFont val="Arial"/>
        <family val="0"/>
        <charset val="1"/>
      </rPr>
      <t xml:space="preserve">(2026/1/7</t>
    </r>
    <r>
      <rPr>
        <sz val="10"/>
        <color rgb="FF0000FF"/>
        <rFont val="Noto Sans CJK SC"/>
        <family val="2"/>
      </rPr>
      <t xml:space="preserve">〜</t>
    </r>
    <r>
      <rPr>
        <sz val="10"/>
        <color rgb="FF0000FF"/>
        <rFont val="Arial"/>
        <family val="0"/>
        <charset val="1"/>
      </rPr>
      <t xml:space="preserve">4/28)</t>
    </r>
    <r>
      <rPr>
        <sz val="10"/>
        <color rgb="FF0000FF"/>
        <rFont val="Noto Sans CJK SC"/>
        <family val="2"/>
      </rPr>
      <t xml:space="preserve">に賛同・応募推奨</t>
    </r>
    <r>
      <rPr>
        <sz val="10"/>
        <color rgb="FF0000FF"/>
        <rFont val="Arial"/>
        <family val="0"/>
        <charset val="1"/>
      </rPr>
      <t xml:space="preserve">(</t>
    </r>
    <r>
      <rPr>
        <sz val="10"/>
        <color rgb="FF0000FF"/>
        <rFont val="Noto Sans CJK SC"/>
        <family val="2"/>
      </rPr>
      <t xml:space="preserve">上場廃止前提</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TOB</t>
    </r>
    <r>
      <rPr>
        <sz val="10"/>
        <color rgb="FF0000FF"/>
        <rFont val="Noto Sans CJK SC"/>
        <family val="2"/>
      </rPr>
      <t xml:space="preserve">結果は</t>
    </r>
    <r>
      <rPr>
        <sz val="10"/>
        <color rgb="FF0000FF"/>
        <rFont val="Arial"/>
        <family val="0"/>
        <charset val="1"/>
      </rPr>
      <t xml:space="preserve">2026/5/7</t>
    </r>
    <r>
      <rPr>
        <sz val="10"/>
        <color rgb="FF0000FF"/>
        <rFont val="Noto Sans CJK SC"/>
        <family val="2"/>
      </rPr>
      <t xml:space="preserve">公表。スポンサー</t>
    </r>
    <r>
      <rPr>
        <sz val="10"/>
        <color rgb="FF0000FF"/>
        <rFont val="Arial"/>
        <family val="0"/>
        <charset val="1"/>
      </rPr>
      <t xml:space="preserve">: </t>
    </r>
    <r>
      <rPr>
        <sz val="10"/>
        <color rgb="FF0000FF"/>
        <rFont val="Noto Sans CJK SC"/>
        <family val="2"/>
      </rPr>
      <t xml:space="preserve">サンケイビル</t>
    </r>
    <r>
      <rPr>
        <sz val="10"/>
        <color rgb="FF0000FF"/>
        <rFont val="Arial"/>
        <family val="0"/>
        <charset val="1"/>
      </rPr>
      <t xml:space="preserve">(</t>
    </r>
    <r>
      <rPr>
        <sz val="10"/>
        <color rgb="FF0000FF"/>
        <rFont val="Noto Sans CJK SC"/>
        <family val="2"/>
      </rPr>
      <t xml:space="preserve">フジサンケイグループ</t>
    </r>
    <r>
      <rPr>
        <sz val="10"/>
        <color rgb="FF0000FF"/>
        <rFont val="Arial"/>
        <family val="0"/>
        <charset val="1"/>
      </rPr>
      <t xml:space="preserve">)</t>
    </r>
    <r>
      <rPr>
        <sz val="10"/>
        <color rgb="FF0000FF"/>
        <rFont val="Noto Sans CJK SC"/>
        <family val="2"/>
      </rPr>
      <t xml:space="preserve">。格付</t>
    </r>
    <r>
      <rPr>
        <sz val="10"/>
        <color rgb="FF0000FF"/>
        <rFont val="Arial"/>
        <family val="0"/>
        <charset val="1"/>
      </rPr>
      <t xml:space="preserve">JCR A+(</t>
    </r>
    <r>
      <rPr>
        <sz val="10"/>
        <color rgb="FF0000FF"/>
        <rFont val="Noto Sans CJK SC"/>
        <family val="2"/>
      </rPr>
      <t xml:space="preserve">安定的</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LTV49.8%</t>
    </r>
    <r>
      <rPr>
        <sz val="10"/>
        <color rgb="FF0000FF"/>
        <rFont val="Noto Sans CJK SC"/>
        <family val="2"/>
      </rPr>
      <t xml:space="preserve">。主要テナント</t>
    </r>
    <r>
      <rPr>
        <sz val="10"/>
        <color rgb="FF0000FF"/>
        <rFont val="Arial"/>
        <family val="0"/>
        <charset val="1"/>
      </rPr>
      <t xml:space="preserve">: </t>
    </r>
    <r>
      <rPr>
        <sz val="10"/>
        <color rgb="FF0000FF"/>
        <rFont val="Noto Sans CJK SC"/>
        <family val="2"/>
      </rPr>
      <t xml:space="preserve">日立製作所</t>
    </r>
    <r>
      <rPr>
        <sz val="10"/>
        <color rgb="FF0000FF"/>
        <rFont val="Arial"/>
        <family val="0"/>
        <charset val="1"/>
      </rPr>
      <t xml:space="preserve">644,103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解約違約金含む</t>
    </r>
    <r>
      <rPr>
        <sz val="10"/>
        <color rgb="FF0000FF"/>
        <rFont val="Arial"/>
        <family val="0"/>
        <charset val="1"/>
      </rPr>
      <t xml:space="preserve">)</t>
    </r>
    <r>
      <rPr>
        <sz val="10"/>
        <color rgb="FF0000FF"/>
        <rFont val="Noto Sans CJK SC"/>
        <family val="2"/>
      </rPr>
      <t xml:space="preserve">・グランビスタホテル</t>
    </r>
    <r>
      <rPr>
        <sz val="10"/>
        <color rgb="FF0000FF"/>
        <rFont val="Arial"/>
        <family val="0"/>
        <charset val="1"/>
      </rPr>
      <t xml:space="preserve">&amp;</t>
    </r>
    <r>
      <rPr>
        <sz val="10"/>
        <color rgb="FF0000FF"/>
        <rFont val="Noto Sans CJK SC"/>
        <family val="2"/>
      </rPr>
      <t xml:space="preserve">リゾート</t>
    </r>
    <r>
      <rPr>
        <sz val="10"/>
        <color rgb="FF0000FF"/>
        <rFont val="Arial"/>
        <family val="0"/>
        <charset val="1"/>
      </rPr>
      <t xml:space="preserve">585,679</t>
    </r>
    <r>
      <rPr>
        <sz val="10"/>
        <color rgb="FF0000FF"/>
        <rFont val="Noto Sans CJK SC"/>
        <family val="2"/>
      </rPr>
      <t xml:space="preserve">千円</t>
    </r>
  </si>
  <si>
    <t xml:space="preserve">JRE-001</t>
  </si>
  <si>
    <t xml:space="preserve">北の丸スクエア</t>
  </si>
  <si>
    <r>
      <rPr>
        <sz val="10"/>
        <color rgb="FF0000FF"/>
        <rFont val="Arial"/>
        <family val="0"/>
        <charset val="1"/>
      </rPr>
      <t xml:space="preserve">JRE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(2026/5/15</t>
    </r>
    <r>
      <rPr>
        <sz val="10"/>
        <color rgb="FF0000FF"/>
        <rFont val="Noto Sans CJK SC"/>
        <family val="2"/>
      </rPr>
      <t xml:space="preserve">公表</t>
    </r>
    <r>
      <rPr>
        <sz val="10"/>
        <color rgb="FF0000FF"/>
        <rFont val="Arial"/>
        <family val="0"/>
        <charset val="1"/>
      </rPr>
      <t xml:space="preserve">)</t>
    </r>
  </si>
  <si>
    <t xml:space="preserve">住宅部分(NLA11,694㎡・入居98.6%)は本表数値に含まず</t>
  </si>
  <si>
    <t xml:space="preserve">JRE-002</t>
  </si>
  <si>
    <t xml:space="preserve">ＪＲＥ神田小川町ビル</t>
  </si>
  <si>
    <t xml:space="preserve">JRE-003</t>
  </si>
  <si>
    <t xml:space="preserve">神田橋パークビルヂング</t>
  </si>
  <si>
    <r>
      <rPr>
        <sz val="10"/>
        <color rgb="FF0000FF"/>
        <rFont val="Arial"/>
        <family val="0"/>
        <charset val="1"/>
      </rPr>
      <t xml:space="preserve">2026/1/21</t>
    </r>
    <r>
      <rPr>
        <sz val="10"/>
        <color rgb="FF0000FF"/>
        <rFont val="Noto Sans CJK SC"/>
        <family val="2"/>
      </rPr>
      <t xml:space="preserve">に持分</t>
    </r>
    <r>
      <rPr>
        <sz val="10"/>
        <color rgb="FF0000FF"/>
        <rFont val="Arial"/>
        <family val="0"/>
        <charset val="1"/>
      </rPr>
      <t xml:space="preserve">28.68%</t>
    </r>
    <r>
      <rPr>
        <sz val="10"/>
        <color rgb="FF0000FF"/>
        <rFont val="Noto Sans CJK SC"/>
        <family val="2"/>
      </rPr>
      <t xml:space="preserve">追加取得</t>
    </r>
    <r>
      <rPr>
        <sz val="10"/>
        <color rgb="FF0000FF"/>
        <rFont val="Arial"/>
        <family val="0"/>
        <charset val="1"/>
      </rPr>
      <t xml:space="preserve">(2,150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持分</t>
    </r>
    <r>
      <rPr>
        <sz val="10"/>
        <color rgb="FF0000FF"/>
        <rFont val="Arial"/>
        <family val="0"/>
        <charset val="1"/>
      </rPr>
      <t xml:space="preserve">85.44%</t>
    </r>
  </si>
  <si>
    <t xml:space="preserve">JRE-004</t>
  </si>
  <si>
    <t xml:space="preserve">大手町フィナンシャルシティノースタワー</t>
  </si>
  <si>
    <t xml:space="preserve">JRE-005</t>
  </si>
  <si>
    <t xml:space="preserve">大手町パークビルディング</t>
  </si>
  <si>
    <t xml:space="preserve">JRE-006</t>
  </si>
  <si>
    <t xml:space="preserve">二番町ガーデン</t>
  </si>
  <si>
    <t xml:space="preserve">住宅部分(NLA1,686㎡・入居100.0%)は本表数値に含まず</t>
  </si>
  <si>
    <t xml:space="preserve">JRE-007</t>
  </si>
  <si>
    <t xml:space="preserve">三菱ＵＦＪ信託銀行本店ビル</t>
  </si>
  <si>
    <t xml:space="preserve">JRE-008</t>
  </si>
  <si>
    <t xml:space="preserve">ビュレックス麹町</t>
  </si>
  <si>
    <t xml:space="preserve">JRE-009</t>
  </si>
  <si>
    <r>
      <rPr>
        <sz val="10"/>
        <color rgb="FF0000FF"/>
        <rFont val="Arial"/>
        <family val="0"/>
        <charset val="1"/>
      </rPr>
      <t xml:space="preserve">CIRCLES</t>
    </r>
    <r>
      <rPr>
        <sz val="10"/>
        <color rgb="FF0000FF"/>
        <rFont val="Noto Sans CJK SC"/>
        <family val="2"/>
      </rPr>
      <t xml:space="preserve">平河町</t>
    </r>
  </si>
  <si>
    <t xml:space="preserve">JRE-010</t>
  </si>
  <si>
    <t xml:space="preserve">山王グランドビル</t>
  </si>
  <si>
    <t xml:space="preserve">賃貸事業損益は掲載値114百万円(F-I=115との差は百万円切捨て由来)</t>
  </si>
  <si>
    <t xml:space="preserve">JRE-011</t>
  </si>
  <si>
    <t xml:space="preserve">有楽町電気ビルヂング</t>
  </si>
  <si>
    <t xml:space="preserve">JRE-012</t>
  </si>
  <si>
    <t xml:space="preserve">フロントプレイス日本橋</t>
  </si>
  <si>
    <t xml:space="preserve">JRE-013</t>
  </si>
  <si>
    <t xml:space="preserve">ＪＲＥ茅場町二丁目ビル</t>
  </si>
  <si>
    <t xml:space="preserve">JRE-014</t>
  </si>
  <si>
    <t xml:space="preserve">ビュレックス京橋</t>
  </si>
  <si>
    <t xml:space="preserve">JRE-015</t>
  </si>
  <si>
    <t xml:space="preserve">ＪＲＥ銀座一丁目イーストビル</t>
  </si>
  <si>
    <t xml:space="preserve">JRE-016</t>
  </si>
  <si>
    <t xml:space="preserve">JRE-017</t>
  </si>
  <si>
    <t xml:space="preserve">ＪＲＥ銀座三丁目ビル</t>
  </si>
  <si>
    <t xml:space="preserve">取得価格は隣接地取得・解体・増築工事費を含む合計</t>
  </si>
  <si>
    <t xml:space="preserve">JRE-018</t>
  </si>
  <si>
    <t xml:space="preserve">赤坂パークビル</t>
  </si>
  <si>
    <t xml:space="preserve">分割譲渡中: 2025/4/1に準共有持分16.70%、2025/10/1に16.66%譲渡(当期売却益3,946,189千円)、2026/4/1に3回目16.66%譲渡。住宅部分(NLA7,183㎡・入居88.6%)は本表数値に含まず</t>
  </si>
  <si>
    <t xml:space="preserve">JRE-019</t>
  </si>
  <si>
    <t xml:space="preserve">the ARGYLE aoyama</t>
  </si>
  <si>
    <t xml:space="preserve">JRE-020</t>
  </si>
  <si>
    <t xml:space="preserve">3rd MINAMI AOYAMA</t>
  </si>
  <si>
    <t xml:space="preserve">JRE-021</t>
  </si>
  <si>
    <t xml:space="preserve">ＪＲＥ青山クリスタルビル</t>
  </si>
  <si>
    <t xml:space="preserve">JRE-022</t>
  </si>
  <si>
    <t xml:space="preserve">クローバー芝公園</t>
  </si>
  <si>
    <t xml:space="preserve">JRE-023</t>
  </si>
  <si>
    <t xml:space="preserve">汐留ビルディング</t>
  </si>
  <si>
    <t xml:space="preserve">JRE-024</t>
  </si>
  <si>
    <t xml:space="preserve">ＪＲＥ芝二丁目大門ビル</t>
  </si>
  <si>
    <t xml:space="preserve">JRE-025</t>
  </si>
  <si>
    <t xml:space="preserve">ＪＲＥコスモ金杉橋ビル</t>
  </si>
  <si>
    <t xml:space="preserve">JRE-026</t>
  </si>
  <si>
    <t xml:space="preserve">シーバンスＳ棟</t>
  </si>
  <si>
    <t xml:space="preserve">JRE-027</t>
  </si>
  <si>
    <t xml:space="preserve">田町フロントビル</t>
  </si>
  <si>
    <t xml:space="preserve">JRE-028</t>
  </si>
  <si>
    <t xml:space="preserve">新宿イーストサイドスクエア</t>
  </si>
  <si>
    <r>
      <rPr>
        <sz val="10"/>
        <color rgb="FF0000FF"/>
        <rFont val="Arial"/>
        <family val="0"/>
        <charset val="1"/>
      </rPr>
      <t xml:space="preserve">2026/3/13</t>
    </r>
    <r>
      <rPr>
        <sz val="10"/>
        <color rgb="FF0000FF"/>
        <rFont val="Noto Sans CJK SC"/>
        <family val="2"/>
      </rPr>
      <t xml:space="preserve">に共有持分</t>
    </r>
    <r>
      <rPr>
        <sz val="10"/>
        <color rgb="FF0000FF"/>
        <rFont val="Arial"/>
        <family val="0"/>
        <charset val="1"/>
      </rPr>
      <t xml:space="preserve">9%</t>
    </r>
    <r>
      <rPr>
        <sz val="10"/>
        <color rgb="FF0000FF"/>
        <rFont val="Noto Sans CJK SC"/>
        <family val="2"/>
      </rPr>
      <t xml:space="preserve">追加取得</t>
    </r>
    <r>
      <rPr>
        <sz val="10"/>
        <color rgb="FF0000FF"/>
        <rFont val="Arial"/>
        <family val="0"/>
        <charset val="1"/>
      </rPr>
      <t xml:space="preserve">(20,353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持分</t>
    </r>
    <r>
      <rPr>
        <sz val="10"/>
        <color rgb="FF0000FF"/>
        <rFont val="Arial"/>
        <family val="0"/>
        <charset val="1"/>
      </rPr>
      <t xml:space="preserve">48.0%</t>
    </r>
  </si>
  <si>
    <t xml:space="preserve">JRE-029</t>
  </si>
  <si>
    <t xml:space="preserve">新宿フロントタワー</t>
  </si>
  <si>
    <t xml:space="preserve">JRE-030</t>
  </si>
  <si>
    <t xml:space="preserve">コモレ四谷</t>
  </si>
  <si>
    <t xml:space="preserve">期後2026/4/2に持分7.1%追加取得(15,540百万円)。前年取得分は公租公課0(取得原価算入)</t>
  </si>
  <si>
    <t xml:space="preserve">JRE-031</t>
  </si>
  <si>
    <t xml:space="preserve">ＪＲＥ西新宿テラス</t>
  </si>
  <si>
    <t xml:space="preserve">JRE-032</t>
  </si>
  <si>
    <t xml:space="preserve">共同事業者の要望により費用内訳・NOI・NCFは非開示(収益・費用計・損益は開示)。付随して運営会社株式等を保有</t>
  </si>
  <si>
    <t xml:space="preserve">JRE-033</t>
  </si>
  <si>
    <t xml:space="preserve">フロントプレイス南新宿</t>
  </si>
  <si>
    <t xml:space="preserve">JRE-034</t>
  </si>
  <si>
    <t xml:space="preserve">リンクスクエア新宿</t>
  </si>
  <si>
    <t xml:space="preserve">JRE-035</t>
  </si>
  <si>
    <t xml:space="preserve">ＪＲＥ代々木一丁目ビル</t>
  </si>
  <si>
    <t xml:space="preserve">JRE-036</t>
  </si>
  <si>
    <t xml:space="preserve">ＪＲＥ神宮前テラス</t>
  </si>
  <si>
    <t xml:space="preserve">JRE-037</t>
  </si>
  <si>
    <t xml:space="preserve">ＪＲＥ神宮前メディアスクエアビル</t>
  </si>
  <si>
    <t xml:space="preserve">JRE-038</t>
  </si>
  <si>
    <t xml:space="preserve">渋谷クロスタワー（底地）</t>
  </si>
  <si>
    <r>
      <rPr>
        <sz val="10"/>
        <color rgb="FF0000FF"/>
        <rFont val="Arial"/>
        <family val="0"/>
        <charset val="1"/>
      </rPr>
      <t xml:space="preserve">2018/1/18</t>
    </r>
    <r>
      <rPr>
        <sz val="10"/>
        <color rgb="FF0000FF"/>
        <rFont val="Noto Sans CJK SC"/>
        <family val="2"/>
      </rPr>
      <t xml:space="preserve">に建物を三菱地所へ譲渡し底地のみ保有</t>
    </r>
    <r>
      <rPr>
        <sz val="10"/>
        <color rgb="FF0000FF"/>
        <rFont val="Arial"/>
        <family val="0"/>
        <charset val="1"/>
      </rPr>
      <t xml:space="preserve">(</t>
    </r>
    <r>
      <rPr>
        <sz val="10"/>
        <color rgb="FF0000FF"/>
        <rFont val="Noto Sans CJK SC"/>
        <family val="2"/>
      </rPr>
      <t xml:space="preserve">土地</t>
    </r>
    <r>
      <rPr>
        <sz val="10"/>
        <color rgb="FF0000FF"/>
        <rFont val="Arial"/>
        <family val="0"/>
        <charset val="1"/>
      </rPr>
      <t xml:space="preserve">5,153</t>
    </r>
    <r>
      <rPr>
        <sz val="10"/>
        <color rgb="FF0000FF"/>
        <rFont val="Noto Sans CJK SC"/>
        <family val="2"/>
      </rPr>
      <t xml:space="preserve">㎡を同社に賃貸</t>
    </r>
    <r>
      <rPr>
        <sz val="10"/>
        <color rgb="FF0000FF"/>
        <rFont val="Arial"/>
        <family val="0"/>
        <charset val="1"/>
      </rPr>
      <t xml:space="preserve">)</t>
    </r>
    <r>
      <rPr>
        <sz val="10"/>
        <color rgb="FF0000FF"/>
        <rFont val="Noto Sans CJK SC"/>
        <family val="2"/>
      </rPr>
      <t xml:space="preserve">。テナント数・</t>
    </r>
    <r>
      <rPr>
        <sz val="10"/>
        <color rgb="FF0000FF"/>
        <rFont val="Arial"/>
        <family val="0"/>
        <charset val="1"/>
      </rPr>
      <t xml:space="preserve">NLA</t>
    </r>
    <r>
      <rPr>
        <sz val="10"/>
        <color rgb="FF0000FF"/>
        <rFont val="Noto Sans CJK SC"/>
        <family val="2"/>
      </rPr>
      <t xml:space="preserve">・入居率は該当なし</t>
    </r>
  </si>
  <si>
    <t xml:space="preserve">JRE-039</t>
  </si>
  <si>
    <t xml:space="preserve">恵比寿ネオナート</t>
  </si>
  <si>
    <t xml:space="preserve">JRE-040</t>
  </si>
  <si>
    <t xml:space="preserve">ＴＩＸＴＯＷＥＲ ＵＥＮＯ</t>
  </si>
  <si>
    <t xml:space="preserve">JRE-041</t>
  </si>
  <si>
    <t xml:space="preserve">豊洲フォレシア</t>
  </si>
  <si>
    <t xml:space="preserve">JRE-042</t>
  </si>
  <si>
    <t xml:space="preserve">豊洲フロント</t>
  </si>
  <si>
    <t xml:space="preserve">JRE-043</t>
  </si>
  <si>
    <t xml:space="preserve">ＪＲＥ東五反田一丁目ビル</t>
  </si>
  <si>
    <t xml:space="preserve">JRE-044</t>
  </si>
  <si>
    <t xml:space="preserve">大崎フロントタワー</t>
  </si>
  <si>
    <t xml:space="preserve">事業用定期借地権(残存契約に基づく原状回復義務・資産除去債務計上)</t>
  </si>
  <si>
    <t xml:space="preserve">JRE-045</t>
  </si>
  <si>
    <t xml:space="preserve">ＪＲＥ大森駅東口ビル</t>
  </si>
  <si>
    <t xml:space="preserve">JRE-046</t>
  </si>
  <si>
    <t xml:space="preserve">ハーモニータワー</t>
  </si>
  <si>
    <t xml:space="preserve">JRE-047</t>
  </si>
  <si>
    <t xml:space="preserve">ＪＲＥ池袋二丁目ビル</t>
  </si>
  <si>
    <t xml:space="preserve">JRE-048</t>
  </si>
  <si>
    <t xml:space="preserve">ＪＲＥ南池袋ビル</t>
  </si>
  <si>
    <t xml:space="preserve">JRE-049</t>
  </si>
  <si>
    <t xml:space="preserve">八王子ファーストスクエア</t>
  </si>
  <si>
    <t xml:space="preserve">JRE-050</t>
  </si>
  <si>
    <t xml:space="preserve">ＪＲＥさいたま浦和ビル</t>
  </si>
  <si>
    <t xml:space="preserve">JRE-051</t>
  </si>
  <si>
    <t xml:space="preserve">ＭＭパークビル</t>
  </si>
  <si>
    <t xml:space="preserve">JRE-052</t>
  </si>
  <si>
    <t xml:space="preserve">クイーンズタワーＡ</t>
  </si>
  <si>
    <t xml:space="preserve">JRE-053</t>
  </si>
  <si>
    <t xml:space="preserve">武蔵小杉ＳＴＭビル</t>
  </si>
  <si>
    <t xml:space="preserve">JRE-054</t>
  </si>
  <si>
    <t xml:space="preserve">サッポロアーチビル</t>
  </si>
  <si>
    <r>
      <rPr>
        <sz val="10"/>
        <color rgb="FF0000FF"/>
        <rFont val="Arial"/>
        <family val="0"/>
        <charset val="1"/>
      </rPr>
      <t xml:space="preserve">2026/3/25</t>
    </r>
    <r>
      <rPr>
        <sz val="10"/>
        <color rgb="FF0000FF"/>
        <rFont val="Noto Sans CJK SC"/>
        <family val="2"/>
      </rPr>
      <t xml:space="preserve">取得</t>
    </r>
    <r>
      <rPr>
        <sz val="10"/>
        <color rgb="FF0000FF"/>
        <rFont val="Arial"/>
        <family val="0"/>
        <charset val="1"/>
      </rPr>
      <t xml:space="preserve">(8,175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のため当期運用</t>
    </r>
    <r>
      <rPr>
        <sz val="10"/>
        <color rgb="FF0000FF"/>
        <rFont val="Arial"/>
        <family val="0"/>
        <charset val="1"/>
      </rPr>
      <t xml:space="preserve">7</t>
    </r>
    <r>
      <rPr>
        <sz val="10"/>
        <color rgb="FF0000FF"/>
        <rFont val="Noto Sans CJK SC"/>
        <family val="2"/>
      </rPr>
      <t xml:space="preserve">日・収益は僅少。稼働</t>
    </r>
    <r>
      <rPr>
        <sz val="10"/>
        <color rgb="FF0000FF"/>
        <rFont val="Arial"/>
        <family val="0"/>
        <charset val="1"/>
      </rPr>
      <t xml:space="preserve">66.0%</t>
    </r>
  </si>
  <si>
    <t xml:space="preserve">JRE-055</t>
  </si>
  <si>
    <t xml:space="preserve">８・３スクエア北ビル</t>
  </si>
  <si>
    <t xml:space="preserve">JRE-056</t>
  </si>
  <si>
    <t xml:space="preserve">The Link Sapporo</t>
  </si>
  <si>
    <r>
      <rPr>
        <sz val="10"/>
        <color rgb="FF0000FF"/>
        <rFont val="Arial"/>
        <family val="0"/>
        <charset val="1"/>
      </rPr>
      <t xml:space="preserve">2025/10/17</t>
    </r>
    <r>
      <rPr>
        <sz val="10"/>
        <color rgb="FF0000FF"/>
        <rFont val="Noto Sans CJK SC"/>
        <family val="2"/>
      </rPr>
      <t xml:space="preserve">取得</t>
    </r>
    <r>
      <rPr>
        <sz val="10"/>
        <color rgb="FF0000FF"/>
        <rFont val="Arial"/>
        <family val="0"/>
        <charset val="1"/>
      </rPr>
      <t xml:space="preserve">(21,340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。取得年のため当期公租公課は</t>
    </r>
    <r>
      <rPr>
        <sz val="10"/>
        <color rgb="FF0000FF"/>
        <rFont val="Arial"/>
        <family val="0"/>
        <charset val="1"/>
      </rPr>
      <t xml:space="preserve">0(</t>
    </r>
    <r>
      <rPr>
        <sz val="10"/>
        <color rgb="FF0000FF"/>
        <rFont val="Noto Sans CJK SC"/>
        <family val="2"/>
      </rPr>
      <t xml:space="preserve">取得原価算入</t>
    </r>
    <r>
      <rPr>
        <sz val="10"/>
        <color rgb="FF0000FF"/>
        <rFont val="Arial"/>
        <family val="0"/>
        <charset val="1"/>
      </rPr>
      <t xml:space="preserve">)</t>
    </r>
  </si>
  <si>
    <t xml:space="preserve">JRE-057</t>
  </si>
  <si>
    <t xml:space="preserve">定禅寺パークビル</t>
  </si>
  <si>
    <t xml:space="preserve">JRE-058</t>
  </si>
  <si>
    <t xml:space="preserve">ＪＲＥ東二番丁スクエア</t>
  </si>
  <si>
    <t xml:space="preserve">JRE-059</t>
  </si>
  <si>
    <t xml:space="preserve">ＪＲＥ仙台本町ホンマビル</t>
  </si>
  <si>
    <t xml:space="preserve">JRE-060</t>
  </si>
  <si>
    <t xml:space="preserve">ＡＥＲ</t>
  </si>
  <si>
    <t xml:space="preserve">JRE-061</t>
  </si>
  <si>
    <t xml:space="preserve">大同生命新潟ビル</t>
  </si>
  <si>
    <t xml:space="preserve">期後2026/5/20に1,650百万円で譲渡予定(譲渡益40百万円想定)</t>
  </si>
  <si>
    <t xml:space="preserve">JRE-062</t>
  </si>
  <si>
    <t xml:space="preserve">金沢パークビル</t>
  </si>
  <si>
    <t xml:space="preserve">JRE-063</t>
  </si>
  <si>
    <t xml:space="preserve">ＪＲＥ金沢上堤町ビル</t>
  </si>
  <si>
    <t xml:space="preserve">JRE-064</t>
  </si>
  <si>
    <t xml:space="preserve">錦パークビル</t>
  </si>
  <si>
    <t xml:space="preserve">住宅部分(NLA954㎡・入居68.7%)は本表数値に含まず</t>
  </si>
  <si>
    <t xml:space="preserve">JRE-065</t>
  </si>
  <si>
    <t xml:space="preserve">ＪＲＥ名古屋広小路プレイス</t>
  </si>
  <si>
    <t xml:space="preserve">JRE-066</t>
  </si>
  <si>
    <t xml:space="preserve">名古屋広小路ビルヂング</t>
  </si>
  <si>
    <t xml:space="preserve">JRE-067</t>
  </si>
  <si>
    <t xml:space="preserve">ＪＲＥ四条烏丸センタービル</t>
  </si>
  <si>
    <t xml:space="preserve">JRE-068</t>
  </si>
  <si>
    <t xml:space="preserve">共同事業者の要望により収益・費用(内訳含む)非開示</t>
  </si>
  <si>
    <t xml:space="preserve">JRE-069</t>
  </si>
  <si>
    <t xml:space="preserve">JRE-070</t>
  </si>
  <si>
    <t xml:space="preserve">ＪＲＥ梅田スクエアビル</t>
  </si>
  <si>
    <t xml:space="preserve">JRE-071</t>
  </si>
  <si>
    <t xml:space="preserve">ＪＲＥ堺筋本町ビル</t>
  </si>
  <si>
    <t xml:space="preserve">JRE-072</t>
  </si>
  <si>
    <t xml:space="preserve">ＪＲＥ堺筋本町スクエア</t>
  </si>
  <si>
    <t xml:space="preserve">JRE-073</t>
  </si>
  <si>
    <t xml:space="preserve">ＪＲＥ御堂筋ダイワビル</t>
  </si>
  <si>
    <t xml:space="preserve">JRE-074</t>
  </si>
  <si>
    <t xml:space="preserve">ＪＲＥ尼崎フロントビル</t>
  </si>
  <si>
    <t xml:space="preserve">尼崎市</t>
  </si>
  <si>
    <t xml:space="preserve">JRE-075</t>
  </si>
  <si>
    <t xml:space="preserve">リットシティビル</t>
  </si>
  <si>
    <t xml:space="preserve">岡山県</t>
  </si>
  <si>
    <t xml:space="preserve">岡山市</t>
  </si>
  <si>
    <t xml:space="preserve">JRE-076</t>
  </si>
  <si>
    <t xml:space="preserve">ＮＨＫ広島放送センタービル</t>
  </si>
  <si>
    <t xml:space="preserve">JRE-077</t>
  </si>
  <si>
    <t xml:space="preserve">ＪＲＥ天神三丁目ビル</t>
  </si>
  <si>
    <t xml:space="preserve">JRE-078</t>
  </si>
  <si>
    <t xml:space="preserve">ＪＲＥ天神クリスタルビル</t>
  </si>
  <si>
    <r>
      <rPr>
        <sz val="10"/>
        <color rgb="FF0000FF"/>
        <rFont val="Arial"/>
        <family val="0"/>
        <charset val="1"/>
      </rPr>
      <t xml:space="preserve">2026/3/6</t>
    </r>
    <r>
      <rPr>
        <sz val="10"/>
        <color rgb="FF0000FF"/>
        <rFont val="Noto Sans CJK SC"/>
        <family val="2"/>
      </rPr>
      <t xml:space="preserve">に準共有持分</t>
    </r>
    <r>
      <rPr>
        <sz val="10"/>
        <color rgb="FF0000FF"/>
        <rFont val="Arial"/>
        <family val="0"/>
        <charset val="1"/>
      </rPr>
      <t xml:space="preserve">50%</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売却益</t>
    </r>
    <r>
      <rPr>
        <sz val="10"/>
        <color rgb="FF0000FF"/>
        <rFont val="Arial"/>
        <family val="0"/>
        <charset val="1"/>
      </rPr>
      <t xml:space="preserve">1,680,644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、期末保有は残</t>
    </r>
    <r>
      <rPr>
        <sz val="10"/>
        <color rgb="FF0000FF"/>
        <rFont val="Arial"/>
        <family val="0"/>
        <charset val="1"/>
      </rPr>
      <t xml:space="preserve">50%</t>
    </r>
    <r>
      <rPr>
        <sz val="10"/>
        <color rgb="FF0000FF"/>
        <rFont val="Noto Sans CJK SC"/>
        <family val="2"/>
      </rPr>
      <t xml:space="preserve">。</t>
    </r>
    <r>
      <rPr>
        <sz val="10"/>
        <color rgb="FF0000FF"/>
        <rFont val="Arial"/>
        <family val="0"/>
        <charset val="1"/>
      </rPr>
      <t xml:space="preserve">2026/4/1</t>
    </r>
    <r>
      <rPr>
        <sz val="10"/>
        <color rgb="FF0000FF"/>
        <rFont val="Noto Sans CJK SC"/>
        <family val="2"/>
      </rPr>
      <t xml:space="preserve">に残</t>
    </r>
    <r>
      <rPr>
        <sz val="10"/>
        <color rgb="FF0000FF"/>
        <rFont val="Arial"/>
        <family val="0"/>
        <charset val="1"/>
      </rPr>
      <t xml:space="preserve">50%</t>
    </r>
    <r>
      <rPr>
        <sz val="10"/>
        <color rgb="FF0000FF"/>
        <rFont val="Noto Sans CJK SC"/>
        <family val="2"/>
      </rPr>
      <t xml:space="preserve">も譲渡済</t>
    </r>
  </si>
  <si>
    <t xml:space="preserve">JRE-079</t>
  </si>
  <si>
    <t xml:space="preserve">日之出天神ビルディング</t>
  </si>
  <si>
    <t xml:space="preserve">JRE-ALL</t>
  </si>
  <si>
    <t xml:space="preserve">（JRE全79物件一括）</t>
  </si>
  <si>
    <r>
      <rPr>
        <sz val="10"/>
        <color rgb="FF0000FF"/>
        <rFont val="Arial"/>
        <family val="0"/>
        <charset val="1"/>
      </rPr>
      <t xml:space="preserve">JRE</t>
    </r>
    <r>
      <rPr>
        <sz val="10"/>
        <color rgb="FF0000FF"/>
        <rFont val="Noto Sans CJK SC"/>
        <family val="2"/>
      </rPr>
      <t xml:space="preserve">全</t>
    </r>
    <r>
      <rPr>
        <sz val="10"/>
        <color rgb="FF0000FF"/>
        <rFont val="Arial"/>
        <family val="0"/>
        <charset val="1"/>
      </rPr>
      <t xml:space="preserve">79</t>
    </r>
    <r>
      <rPr>
        <sz val="10"/>
        <color rgb="FF0000FF"/>
        <rFont val="Noto Sans CJK SC"/>
        <family val="2"/>
      </rPr>
      <t xml:space="preserve">物件の一括行。取得価格合計</t>
    </r>
    <r>
      <rPr>
        <sz val="10"/>
        <color rgb="FF0000FF"/>
        <rFont val="Arial"/>
        <family val="0"/>
        <charset val="1"/>
      </rPr>
      <t xml:space="preserve">1,197,029,274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千円単位開示</t>
    </r>
    <r>
      <rPr>
        <sz val="10"/>
        <color rgb="FF0000FF"/>
        <rFont val="Arial"/>
        <family val="0"/>
        <charset val="1"/>
      </rPr>
      <t xml:space="preserve">)</t>
    </r>
    <r>
      <rPr>
        <sz val="10"/>
        <color rgb="FF0000FF"/>
        <rFont val="Noto Sans CJK SC"/>
        <family val="2"/>
      </rPr>
      <t xml:space="preserve">は物件別合算と完全一致。鑑定</t>
    </r>
    <r>
      <rPr>
        <sz val="10"/>
        <color rgb="FF0000FF"/>
        <rFont val="Arial"/>
        <family val="0"/>
        <charset val="1"/>
      </rPr>
      <t xml:space="preserve">1,447,290</t>
    </r>
    <r>
      <rPr>
        <sz val="10"/>
        <color rgb="FF0000FF"/>
        <rFont val="Noto Sans CJK SC"/>
        <family val="2"/>
      </rPr>
      <t xml:space="preserve">百万円・テナント総数</t>
    </r>
    <r>
      <rPr>
        <sz val="10"/>
        <color rgb="FF0000FF"/>
        <rFont val="Arial"/>
        <family val="0"/>
        <charset val="1"/>
      </rPr>
      <t xml:space="preserve">1,674</t>
    </r>
    <r>
      <rPr>
        <sz val="10"/>
        <color rgb="FF0000FF"/>
        <rFont val="Noto Sans CJK SC"/>
        <family val="2"/>
      </rPr>
      <t xml:space="preserve">も完全一致、簿価合算</t>
    </r>
    <r>
      <rPr>
        <sz val="10"/>
        <color rgb="FF0000FF"/>
        <rFont val="Arial"/>
        <family val="0"/>
        <charset val="1"/>
      </rPr>
      <t xml:space="preserve">1,082,536</t>
    </r>
    <r>
      <rPr>
        <sz val="10"/>
        <color rgb="FF0000FF"/>
        <rFont val="Noto Sans CJK SC"/>
        <family val="2"/>
      </rPr>
      <t xml:space="preserve">は合計</t>
    </r>
    <r>
      <rPr>
        <sz val="10"/>
        <color rgb="FF0000FF"/>
        <rFont val="Arial"/>
        <family val="0"/>
        <charset val="1"/>
      </rPr>
      <t xml:space="preserve">1,082,573</t>
    </r>
    <r>
      <rPr>
        <sz val="10"/>
        <color rgb="FF0000FF"/>
        <rFont val="Noto Sans CJK SC"/>
        <family val="2"/>
      </rPr>
      <t xml:space="preserve">比</t>
    </r>
    <r>
      <rPr>
        <sz val="10"/>
        <color rgb="FF0000FF"/>
        <rFont val="Arial"/>
        <family val="0"/>
        <charset val="1"/>
      </rPr>
      <t xml:space="preserve">-37=</t>
    </r>
    <r>
      <rPr>
        <sz val="10"/>
        <color rgb="FF0000FF"/>
        <rFont val="Noto Sans CJK SC"/>
        <family val="2"/>
      </rPr>
      <t xml:space="preserve">百万円切捨て累積、</t>
    </r>
    <r>
      <rPr>
        <sz val="10"/>
        <color rgb="FF0000FF"/>
        <rFont val="Arial"/>
        <family val="0"/>
        <charset val="1"/>
      </rPr>
      <t xml:space="preserve">NLA</t>
    </r>
    <r>
      <rPr>
        <sz val="10"/>
        <color rgb="FF0000FF"/>
        <rFont val="Noto Sans CJK SC"/>
        <family val="2"/>
      </rPr>
      <t xml:space="preserve">合算</t>
    </r>
    <r>
      <rPr>
        <sz val="10"/>
        <color rgb="FF0000FF"/>
        <rFont val="Arial"/>
        <family val="0"/>
        <charset val="1"/>
      </rPr>
      <t xml:space="preserve">891,709</t>
    </r>
    <r>
      <rPr>
        <sz val="10"/>
        <color rgb="FF0000FF"/>
        <rFont val="Noto Sans CJK SC"/>
        <family val="2"/>
      </rPr>
      <t xml:space="preserve">㎡は合計</t>
    </r>
    <r>
      <rPr>
        <sz val="10"/>
        <color rgb="FF0000FF"/>
        <rFont val="Arial"/>
        <family val="0"/>
        <charset val="1"/>
      </rPr>
      <t xml:space="preserve">891,744</t>
    </r>
    <r>
      <rPr>
        <sz val="10"/>
        <color rgb="FF0000FF"/>
        <rFont val="Noto Sans CJK SC"/>
        <family val="2"/>
      </rPr>
      <t xml:space="preserve">㎡比</t>
    </r>
    <r>
      <rPr>
        <sz val="10"/>
        <color rgb="FF0000FF"/>
        <rFont val="Arial"/>
        <family val="0"/>
        <charset val="1"/>
      </rPr>
      <t xml:space="preserve">-35=</t>
    </r>
    <r>
      <rPr>
        <sz val="10"/>
        <color rgb="FF0000FF"/>
        <rFont val="Noto Sans CJK SC"/>
        <family val="2"/>
      </rPr>
      <t xml:space="preserve">㎡未満切捨て累積。入居率</t>
    </r>
    <r>
      <rPr>
        <sz val="10"/>
        <color rgb="FF0000FF"/>
        <rFont val="Arial"/>
        <family val="0"/>
        <charset val="1"/>
      </rPr>
      <t xml:space="preserve">98.9%(</t>
    </r>
    <r>
      <rPr>
        <sz val="10"/>
        <color rgb="FF0000FF"/>
        <rFont val="Noto Sans CJK SC"/>
        <family val="2"/>
      </rPr>
      <t xml:space="preserve">前期比</t>
    </r>
    <r>
      <rPr>
        <sz val="10"/>
        <color rgb="FF0000FF"/>
        <rFont val="Arial"/>
        <family val="0"/>
        <charset val="1"/>
      </rPr>
      <t xml:space="preserve">+1.5pt)</t>
    </r>
    <r>
      <rPr>
        <sz val="10"/>
        <color rgb="FF0000FF"/>
        <rFont val="Noto Sans CJK SC"/>
        <family val="2"/>
      </rPr>
      <t xml:space="preserve">。</t>
    </r>
    <r>
      <rPr>
        <sz val="10"/>
        <color rgb="FF0000FF"/>
        <rFont val="Arial"/>
        <family val="0"/>
        <charset val="1"/>
      </rPr>
      <t xml:space="preserve">2001</t>
    </r>
    <r>
      <rPr>
        <sz val="10"/>
        <color rgb="FF0000FF"/>
        <rFont val="Noto Sans CJK SC"/>
        <family val="2"/>
      </rPr>
      <t xml:space="preserve">年</t>
    </r>
    <r>
      <rPr>
        <sz val="10"/>
        <color rgb="FF0000FF"/>
        <rFont val="Arial"/>
        <family val="0"/>
        <charset val="1"/>
      </rPr>
      <t xml:space="preserve">9</t>
    </r>
    <r>
      <rPr>
        <sz val="10"/>
        <color rgb="FF0000FF"/>
        <rFont val="Noto Sans CJK SC"/>
        <family val="2"/>
      </rPr>
      <t xml:space="preserve">月上場の日本初の</t>
    </r>
    <r>
      <rPr>
        <sz val="10"/>
        <color rgb="FF0000FF"/>
        <rFont val="Arial"/>
        <family val="0"/>
        <charset val="1"/>
      </rPr>
      <t xml:space="preserve">J-REIT2</t>
    </r>
    <r>
      <rPr>
        <sz val="10"/>
        <color rgb="FF0000FF"/>
        <rFont val="Noto Sans CJK SC"/>
        <family val="2"/>
      </rPr>
      <t xml:space="preserve">銘柄の一つ</t>
    </r>
    <r>
      <rPr>
        <sz val="10"/>
        <color rgb="FF0000FF"/>
        <rFont val="Arial"/>
        <family val="0"/>
        <charset val="1"/>
      </rPr>
      <t xml:space="preserve">(</t>
    </r>
    <r>
      <rPr>
        <sz val="10"/>
        <color rgb="FF0000FF"/>
        <rFont val="Noto Sans CJK SC"/>
        <family val="2"/>
      </rPr>
      <t xml:space="preserve">オフィス特化・スポンサー三菱地所</t>
    </r>
    <r>
      <rPr>
        <sz val="10"/>
        <color rgb="FF0000FF"/>
        <rFont val="Arial"/>
        <family val="0"/>
        <charset val="1"/>
      </rPr>
      <t xml:space="preserve">)</t>
    </r>
    <r>
      <rPr>
        <sz val="10"/>
        <color rgb="FF0000FF"/>
        <rFont val="Noto Sans CJK SC"/>
        <family val="2"/>
      </rPr>
      <t xml:space="preserve">。期中</t>
    </r>
    <r>
      <rPr>
        <sz val="10"/>
        <color rgb="FF0000FF"/>
        <rFont val="Arial"/>
        <family val="0"/>
        <charset val="1"/>
      </rPr>
      <t xml:space="preserve">: The Link Sapporo</t>
    </r>
    <r>
      <rPr>
        <sz val="10"/>
        <color rgb="FF0000FF"/>
        <rFont val="Noto Sans CJK SC"/>
        <family val="2"/>
      </rPr>
      <t xml:space="preserve">取得</t>
    </r>
    <r>
      <rPr>
        <sz val="10"/>
        <color rgb="FF0000FF"/>
        <rFont val="Arial"/>
        <family val="0"/>
        <charset val="1"/>
      </rPr>
      <t xml:space="preserve">(21,340)</t>
    </r>
    <r>
      <rPr>
        <sz val="10"/>
        <color rgb="FF0000FF"/>
        <rFont val="Noto Sans CJK SC"/>
        <family val="2"/>
      </rPr>
      <t xml:space="preserve">・サッポロアーチビル取得</t>
    </r>
    <r>
      <rPr>
        <sz val="10"/>
        <color rgb="FF0000FF"/>
        <rFont val="Arial"/>
        <family val="0"/>
        <charset val="1"/>
      </rPr>
      <t xml:space="preserve">(8,175)</t>
    </r>
    <r>
      <rPr>
        <sz val="10"/>
        <color rgb="FF0000FF"/>
        <rFont val="Noto Sans CJK SC"/>
        <family val="2"/>
      </rPr>
      <t xml:space="preserve">・神田橋追加取得</t>
    </r>
    <r>
      <rPr>
        <sz val="10"/>
        <color rgb="FF0000FF"/>
        <rFont val="Arial"/>
        <family val="0"/>
        <charset val="1"/>
      </rPr>
      <t xml:space="preserve">(2,150)</t>
    </r>
    <r>
      <rPr>
        <sz val="10"/>
        <color rgb="FF0000FF"/>
        <rFont val="Noto Sans CJK SC"/>
        <family val="2"/>
      </rPr>
      <t xml:space="preserve">・新宿</t>
    </r>
    <r>
      <rPr>
        <sz val="10"/>
        <color rgb="FF0000FF"/>
        <rFont val="Arial"/>
        <family val="0"/>
        <charset val="1"/>
      </rPr>
      <t xml:space="preserve">ES</t>
    </r>
    <r>
      <rPr>
        <sz val="10"/>
        <color rgb="FF0000FF"/>
        <rFont val="Noto Sans CJK SC"/>
        <family val="2"/>
      </rPr>
      <t xml:space="preserve">追加取得</t>
    </r>
    <r>
      <rPr>
        <sz val="10"/>
        <color rgb="FF0000FF"/>
        <rFont val="Arial"/>
        <family val="0"/>
        <charset val="1"/>
      </rPr>
      <t xml:space="preserve">(20,353)</t>
    </r>
    <r>
      <rPr>
        <sz val="10"/>
        <color rgb="FF0000FF"/>
        <rFont val="Noto Sans CJK SC"/>
        <family val="2"/>
      </rPr>
      <t xml:space="preserve">、赤坂パークビル</t>
    </r>
    <r>
      <rPr>
        <sz val="10"/>
        <color rgb="FF0000FF"/>
        <rFont val="Arial"/>
        <family val="0"/>
        <charset val="1"/>
      </rPr>
      <t xml:space="preserve">16.66%</t>
    </r>
    <r>
      <rPr>
        <sz val="10"/>
        <color rgb="FF0000FF"/>
        <rFont val="Noto Sans CJK SC"/>
        <family val="2"/>
      </rPr>
      <t xml:space="preserve">譲渡</t>
    </r>
    <r>
      <rPr>
        <sz val="10"/>
        <color rgb="FF0000FF"/>
        <rFont val="Arial"/>
        <family val="0"/>
        <charset val="1"/>
      </rPr>
      <t xml:space="preserve">(13,444</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・天神クリスタル</t>
    </r>
    <r>
      <rPr>
        <sz val="10"/>
        <color rgb="FF0000FF"/>
        <rFont val="Arial"/>
        <family val="0"/>
        <charset val="1"/>
      </rPr>
      <t xml:space="preserve">50%</t>
    </r>
    <r>
      <rPr>
        <sz val="10"/>
        <color rgb="FF0000FF"/>
        <rFont val="Noto Sans CJK SC"/>
        <family val="2"/>
      </rPr>
      <t xml:space="preserve">譲渡</t>
    </r>
    <r>
      <rPr>
        <sz val="10"/>
        <color rgb="FF0000FF"/>
        <rFont val="Arial"/>
        <family val="0"/>
        <charset val="1"/>
      </rPr>
      <t xml:space="preserve">(3,315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。期後</t>
    </r>
    <r>
      <rPr>
        <sz val="10"/>
        <color rgb="FF0000FF"/>
        <rFont val="Arial"/>
        <family val="0"/>
        <charset val="1"/>
      </rPr>
      <t xml:space="preserve">: 2026/4/1</t>
    </r>
    <r>
      <rPr>
        <sz val="10"/>
        <color rgb="FF0000FF"/>
        <rFont val="Noto Sans CJK SC"/>
        <family val="2"/>
      </rPr>
      <t xml:space="preserve">赤坂</t>
    </r>
    <r>
      <rPr>
        <sz val="10"/>
        <color rgb="FF0000FF"/>
        <rFont val="Arial"/>
        <family val="0"/>
        <charset val="1"/>
      </rPr>
      <t xml:space="preserve">3</t>
    </r>
    <r>
      <rPr>
        <sz val="10"/>
        <color rgb="FF0000FF"/>
        <rFont val="Noto Sans CJK SC"/>
        <family val="2"/>
      </rPr>
      <t xml:space="preserve">回目</t>
    </r>
    <r>
      <rPr>
        <sz val="10"/>
        <color rgb="FF0000FF"/>
        <rFont val="Arial"/>
        <family val="0"/>
        <charset val="1"/>
      </rPr>
      <t xml:space="preserve">16.66%</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天神残</t>
    </r>
    <r>
      <rPr>
        <sz val="10"/>
        <color rgb="FF0000FF"/>
        <rFont val="Arial"/>
        <family val="0"/>
        <charset val="1"/>
      </rPr>
      <t xml:space="preserve">50%</t>
    </r>
    <r>
      <rPr>
        <sz val="10"/>
        <color rgb="FF0000FF"/>
        <rFont val="Noto Sans CJK SC"/>
        <family val="2"/>
      </rPr>
      <t xml:space="preserve">譲渡、</t>
    </r>
    <r>
      <rPr>
        <sz val="10"/>
        <color rgb="FF0000FF"/>
        <rFont val="Arial"/>
        <family val="0"/>
        <charset val="1"/>
      </rPr>
      <t xml:space="preserve">4/2</t>
    </r>
    <r>
      <rPr>
        <sz val="10"/>
        <color rgb="FF0000FF"/>
        <rFont val="Noto Sans CJK SC"/>
        <family val="2"/>
      </rPr>
      <t xml:space="preserve">コモレ四谷</t>
    </r>
    <r>
      <rPr>
        <sz val="10"/>
        <color rgb="FF0000FF"/>
        <rFont val="Arial"/>
        <family val="0"/>
        <charset val="1"/>
      </rPr>
      <t xml:space="preserve">7.1%</t>
    </r>
    <r>
      <rPr>
        <sz val="10"/>
        <color rgb="FF0000FF"/>
        <rFont val="Noto Sans CJK SC"/>
        <family val="2"/>
      </rPr>
      <t xml:space="preserve">追加取得</t>
    </r>
    <r>
      <rPr>
        <sz val="10"/>
        <color rgb="FF0000FF"/>
        <rFont val="Arial"/>
        <family val="0"/>
        <charset val="1"/>
      </rPr>
      <t xml:space="preserve">(15,540)</t>
    </r>
    <r>
      <rPr>
        <sz val="10"/>
        <color rgb="FF0000FF"/>
        <rFont val="Noto Sans CJK SC"/>
        <family val="2"/>
      </rPr>
      <t xml:space="preserve">、</t>
    </r>
    <r>
      <rPr>
        <sz val="10"/>
        <color rgb="FF0000FF"/>
        <rFont val="Arial"/>
        <family val="0"/>
        <charset val="1"/>
      </rPr>
      <t xml:space="preserve">5/20</t>
    </r>
    <r>
      <rPr>
        <sz val="10"/>
        <color rgb="FF0000FF"/>
        <rFont val="Noto Sans CJK SC"/>
        <family val="2"/>
      </rPr>
      <t xml:space="preserve">大同生命新潟ビル譲渡予定→</t>
    </r>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9</t>
    </r>
    <r>
      <rPr>
        <sz val="10"/>
        <color rgb="FF0000FF"/>
        <rFont val="Noto Sans CJK SC"/>
        <family val="2"/>
      </rPr>
      <t xml:space="preserve">月期は</t>
    </r>
    <r>
      <rPr>
        <sz val="10"/>
        <color rgb="FF0000FF"/>
        <rFont val="Arial"/>
        <family val="0"/>
        <charset val="1"/>
      </rPr>
      <t xml:space="preserve">77</t>
    </r>
    <r>
      <rPr>
        <sz val="10"/>
        <color rgb="FF0000FF"/>
        <rFont val="Noto Sans CJK SC"/>
        <family val="2"/>
      </rPr>
      <t xml:space="preserve">物件前提。</t>
    </r>
    <r>
      <rPr>
        <sz val="10"/>
        <color rgb="FF0000FF"/>
        <rFont val="Arial"/>
        <family val="0"/>
        <charset val="1"/>
      </rPr>
      <t xml:space="preserve">2026/4/1</t>
    </r>
    <r>
      <rPr>
        <sz val="10"/>
        <color rgb="FF0000FF"/>
        <rFont val="Noto Sans CJK SC"/>
        <family val="2"/>
      </rPr>
      <t xml:space="preserve">公募増資</t>
    </r>
    <r>
      <rPr>
        <sz val="10"/>
        <color rgb="FF0000FF"/>
        <rFont val="Arial"/>
        <family val="0"/>
        <charset val="1"/>
      </rPr>
      <t xml:space="preserve">(161,200</t>
    </r>
    <r>
      <rPr>
        <sz val="10"/>
        <color rgb="FF0000FF"/>
        <rFont val="Noto Sans CJK SC"/>
        <family val="2"/>
      </rPr>
      <t xml:space="preserve">口・約</t>
    </r>
    <r>
      <rPr>
        <sz val="10"/>
        <color rgb="FF0000FF"/>
        <rFont val="Arial"/>
        <family val="0"/>
        <charset val="1"/>
      </rPr>
      <t xml:space="preserve">18,110</t>
    </r>
    <r>
      <rPr>
        <sz val="10"/>
        <color rgb="FF0000FF"/>
        <rFont val="Noto Sans CJK SC"/>
        <family val="2"/>
      </rPr>
      <t xml:space="preserve">百万円</t>
    </r>
    <r>
      <rPr>
        <sz val="10"/>
        <color rgb="FF0000FF"/>
        <rFont val="Arial"/>
        <family val="0"/>
        <charset val="1"/>
      </rPr>
      <t xml:space="preserve">)+4/24</t>
    </r>
    <r>
      <rPr>
        <sz val="10"/>
        <color rgb="FF0000FF"/>
        <rFont val="Noto Sans CJK SC"/>
        <family val="2"/>
      </rPr>
      <t xml:space="preserve">第三者割当</t>
    </r>
    <r>
      <rPr>
        <sz val="10"/>
        <color rgb="FF0000FF"/>
        <rFont val="Arial"/>
        <family val="0"/>
        <charset val="1"/>
      </rPr>
      <t xml:space="preserve">(8,060</t>
    </r>
    <r>
      <rPr>
        <sz val="10"/>
        <color rgb="FF0000FF"/>
        <rFont val="Noto Sans CJK SC"/>
        <family val="2"/>
      </rPr>
      <t xml:space="preserve">口</t>
    </r>
    <r>
      <rPr>
        <sz val="10"/>
        <color rgb="FF0000FF"/>
        <rFont val="Arial"/>
        <family val="0"/>
        <charset val="1"/>
      </rPr>
      <t xml:space="preserve">)→7,283,580</t>
    </r>
    <r>
      <rPr>
        <sz val="10"/>
        <color rgb="FF0000FF"/>
        <rFont val="Noto Sans CJK SC"/>
        <family val="2"/>
      </rPr>
      <t xml:space="preserve">口。渋谷クロスタワーは底地のみ</t>
    </r>
    <r>
      <rPr>
        <sz val="10"/>
        <color rgb="FF0000FF"/>
        <rFont val="Arial"/>
        <family val="0"/>
        <charset val="1"/>
      </rPr>
      <t xml:space="preserve">(</t>
    </r>
    <r>
      <rPr>
        <sz val="10"/>
        <color rgb="FF0000FF"/>
        <rFont val="Noto Sans CJK SC"/>
        <family val="2"/>
      </rPr>
      <t xml:space="preserve">物件数・取得価格に含み、</t>
    </r>
    <r>
      <rPr>
        <sz val="10"/>
        <color rgb="FF0000FF"/>
        <rFont val="Arial"/>
        <family val="0"/>
        <charset val="1"/>
      </rPr>
      <t xml:space="preserve">NLA</t>
    </r>
    <r>
      <rPr>
        <sz val="10"/>
        <color rgb="FF0000FF"/>
        <rFont val="Noto Sans CJK SC"/>
        <family val="2"/>
      </rPr>
      <t xml:space="preserve">・テナント数に含まず</t>
    </r>
    <r>
      <rPr>
        <sz val="10"/>
        <color rgb="FF0000FF"/>
        <rFont val="Arial"/>
        <family val="0"/>
        <charset val="1"/>
      </rPr>
      <t xml:space="preserve">)</t>
    </r>
    <r>
      <rPr>
        <sz val="10"/>
        <color rgb="FF0000FF"/>
        <rFont val="Noto Sans CJK SC"/>
        <family val="2"/>
      </rPr>
      <t xml:space="preserve">。格付</t>
    </r>
    <r>
      <rPr>
        <sz val="10"/>
        <color rgb="FF0000FF"/>
        <rFont val="Arial"/>
        <family val="0"/>
        <charset val="1"/>
      </rPr>
      <t xml:space="preserve">: JCR AA+/R&amp;I AA/S&amp;P A+(</t>
    </r>
    <r>
      <rPr>
        <sz val="10"/>
        <color rgb="FF0000FF"/>
        <rFont val="Noto Sans CJK SC"/>
        <family val="2"/>
      </rPr>
      <t xml:space="preserve">いずれも安定的</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LTV44.8%</t>
    </r>
    <r>
      <rPr>
        <sz val="10"/>
        <color rgb="FF0000FF"/>
        <rFont val="Noto Sans CJK SC"/>
        <family val="2"/>
      </rPr>
      <t xml:space="preserve">。主要テナント</t>
    </r>
    <r>
      <rPr>
        <sz val="10"/>
        <color rgb="FF0000FF"/>
        <rFont val="Arial"/>
        <family val="0"/>
        <charset val="1"/>
      </rPr>
      <t xml:space="preserve">: </t>
    </r>
    <r>
      <rPr>
        <sz val="10"/>
        <color rgb="FF0000FF"/>
        <rFont val="Noto Sans CJK SC"/>
        <family val="2"/>
      </rPr>
      <t xml:space="preserve">三菱地所</t>
    </r>
    <r>
      <rPr>
        <sz val="10"/>
        <color rgb="FF0000FF"/>
        <rFont val="Arial"/>
        <family val="0"/>
        <charset val="1"/>
      </rPr>
      <t xml:space="preserve">4,556,587</t>
    </r>
    <r>
      <rPr>
        <sz val="10"/>
        <color rgb="FF0000FF"/>
        <rFont val="Noto Sans CJK SC"/>
        <family val="2"/>
      </rPr>
      <t xml:space="preserve">千円</t>
    </r>
  </si>
  <si>
    <t xml:space="preserve">MTR-001</t>
  </si>
  <si>
    <t xml:space="preserve">東京汐留ビルディング</t>
  </si>
  <si>
    <r>
      <rPr>
        <sz val="10"/>
        <color rgb="FF0000FF"/>
        <rFont val="Arial"/>
        <family val="0"/>
        <charset val="1"/>
      </rPr>
      <t xml:space="preserve">MTR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(2026/4/22</t>
    </r>
    <r>
      <rPr>
        <sz val="10"/>
        <color rgb="FF0000FF"/>
        <rFont val="Noto Sans CJK SC"/>
        <family val="2"/>
      </rPr>
      <t xml:space="preserve">公表</t>
    </r>
    <r>
      <rPr>
        <sz val="10"/>
        <color rgb="FF0000FF"/>
        <rFont val="Arial"/>
        <family val="0"/>
        <charset val="1"/>
      </rPr>
      <t xml:space="preserve">)</t>
    </r>
  </si>
  <si>
    <t xml:space="preserve">共有持分37.5178%相当を収録(オフィス・店舗はサブリース連動ML・ホテルは固定ML、括弧内サブリーステナント41)。2005年竣工の大規模複合ビル</t>
  </si>
  <si>
    <t xml:space="preserve">MTR-002</t>
  </si>
  <si>
    <t xml:space="preserve">神谷町トラストタワー</t>
  </si>
  <si>
    <t xml:space="preserve">区分所有(7-9F全部+14F持分1/2)。共同運用区画(6-30F)の賃料連動ML(サブリーステナント7)</t>
  </si>
  <si>
    <t xml:space="preserve">MTR-003</t>
  </si>
  <si>
    <r>
      <rPr>
        <sz val="10"/>
        <color rgb="FF0000FF"/>
        <rFont val="Arial"/>
        <family val="0"/>
        <charset val="1"/>
      </rPr>
      <t xml:space="preserve">ON</t>
    </r>
    <r>
      <rPr>
        <sz val="10"/>
        <color rgb="FF0000FF"/>
        <rFont val="Noto Sans CJK SC"/>
        <family val="2"/>
      </rPr>
      <t xml:space="preserve">ビル</t>
    </r>
  </si>
  <si>
    <t xml:space="preserve">収支非開示(テナント同意なし)。開示値: NOI617,840千円・損益551,546千円(差66,294千円=減価償却費)・CAPEX581千円。一括賃借人の神戸製鋼所から2027/3/31付解約通知を受領済(重要リスク)</t>
  </si>
  <si>
    <t xml:space="preserve">MTR-004</t>
  </si>
  <si>
    <t xml:space="preserve">紀尾井町ビル</t>
  </si>
  <si>
    <t xml:space="preserve">区分所有。オフィスはML+サブリース(括弧内76)、住宅はパススルーML</t>
  </si>
  <si>
    <t xml:space="preserve">MTR-005</t>
  </si>
  <si>
    <t xml:space="preserve">大崎MTビル</t>
  </si>
  <si>
    <t xml:space="preserve">共有持分90.788%相当。サブリース連動ML(サブリーステナント21)。ONビルと一体の大崎ビジネスガーデン</t>
  </si>
  <si>
    <t xml:space="preserve">MTR-006</t>
  </si>
  <si>
    <t xml:space="preserve">広尾MTRビル</t>
  </si>
  <si>
    <t xml:space="preserve">MTR-007</t>
  </si>
  <si>
    <t xml:space="preserve">仙台MTビル</t>
  </si>
  <si>
    <t xml:space="preserve">仙台市宮城野区</t>
  </si>
  <si>
    <t xml:space="preserve">サブリース連動ML(サブリーステナント41)。2023-2025年に4回分割取得(森トラストから)</t>
  </si>
  <si>
    <t xml:space="preserve">MTR-008</t>
  </si>
  <si>
    <t xml:space="preserve">御堂筋MTRビル</t>
  </si>
  <si>
    <t xml:space="preserve">パススルーML(サブリーステナント30)</t>
  </si>
  <si>
    <t xml:space="preserve">MTR-009</t>
  </si>
  <si>
    <t xml:space="preserve">天神プライム</t>
  </si>
  <si>
    <t xml:space="preserve">福岡市中央区</t>
  </si>
  <si>
    <t xml:space="preserve">MTR-010</t>
  </si>
  <si>
    <t xml:space="preserve">新横浜TECHビル</t>
  </si>
  <si>
    <t xml:space="preserve">横浜市港北区</t>
  </si>
  <si>
    <r>
      <rPr>
        <sz val="10"/>
        <color rgb="FF0000FF"/>
        <rFont val="Arial"/>
        <family val="0"/>
        <charset val="1"/>
      </rPr>
      <t xml:space="preserve">A</t>
    </r>
    <r>
      <rPr>
        <sz val="10"/>
        <color rgb="FF0000FF"/>
        <rFont val="Noto Sans CJK SC"/>
        <family val="2"/>
      </rPr>
      <t xml:space="preserve">館</t>
    </r>
    <r>
      <rPr>
        <sz val="10"/>
        <color rgb="FF0000FF"/>
        <rFont val="Arial"/>
        <family val="0"/>
        <charset val="1"/>
      </rPr>
      <t xml:space="preserve">1986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t>
    </r>
    <r>
      <rPr>
        <sz val="10"/>
        <color rgb="FF0000FF"/>
        <rFont val="Arial"/>
        <family val="0"/>
        <charset val="1"/>
      </rPr>
      <t xml:space="preserve">B</t>
    </r>
    <r>
      <rPr>
        <sz val="10"/>
        <color rgb="FF0000FF"/>
        <rFont val="Noto Sans CJK SC"/>
        <family val="2"/>
      </rPr>
      <t xml:space="preserve">館</t>
    </r>
    <r>
      <rPr>
        <sz val="10"/>
        <color rgb="FF0000FF"/>
        <rFont val="Arial"/>
        <family val="0"/>
        <charset val="1"/>
      </rPr>
      <t xml:space="preserve">1988</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月竣工の</t>
    </r>
    <r>
      <rPr>
        <sz val="10"/>
        <color rgb="FF0000FF"/>
        <rFont val="Arial"/>
        <family val="0"/>
        <charset val="1"/>
      </rPr>
      <t xml:space="preserve">2</t>
    </r>
    <r>
      <rPr>
        <sz val="10"/>
        <color rgb="FF0000FF"/>
        <rFont val="Noto Sans CJK SC"/>
        <family val="2"/>
      </rPr>
      <t xml:space="preserve">棟構成</t>
    </r>
    <r>
      <rPr>
        <sz val="10"/>
        <color rgb="FF0000FF"/>
        <rFont val="Arial"/>
        <family val="0"/>
        <charset val="1"/>
      </rPr>
      <t xml:space="preserve">(</t>
    </r>
    <r>
      <rPr>
        <sz val="10"/>
        <color rgb="FF0000FF"/>
        <rFont val="Noto Sans CJK SC"/>
        <family val="2"/>
      </rPr>
      <t xml:space="preserve">竣工年月は</t>
    </r>
    <r>
      <rPr>
        <sz val="10"/>
        <color rgb="FF0000FF"/>
        <rFont val="Arial"/>
        <family val="0"/>
        <charset val="1"/>
      </rPr>
      <t xml:space="preserve">A</t>
    </r>
    <r>
      <rPr>
        <sz val="10"/>
        <color rgb="FF0000FF"/>
        <rFont val="Noto Sans CJK SC"/>
        <family val="2"/>
      </rPr>
      <t xml:space="preserve">館</t>
    </r>
    <r>
      <rPr>
        <sz val="10"/>
        <color rgb="FF0000FF"/>
        <rFont val="Arial"/>
        <family val="0"/>
        <charset val="1"/>
      </rPr>
      <t xml:space="preserve">)</t>
    </r>
  </si>
  <si>
    <t xml:space="preserve">MTR-011</t>
  </si>
  <si>
    <t xml:space="preserve">シャングリ・ラ 東京</t>
  </si>
  <si>
    <t xml:space="preserve">丸の内トラストタワー本館の区分所有(専有22,300.31㎡)。変動賃料(転貸テナント賃料×97%・年間最低保証882.7百万円)。旧MTH合併受入(2023/3/1・受入価格=2023/2期末鑑定)</t>
  </si>
  <si>
    <t xml:space="preserve">MTR-012</t>
  </si>
  <si>
    <t xml:space="preserve">ホテルオークラ神戸</t>
  </si>
  <si>
    <t xml:space="preserve">神戸市中央区</t>
  </si>
  <si>
    <r>
      <rPr>
        <sz val="10"/>
        <color rgb="FF0000FF"/>
        <rFont val="Arial"/>
        <family val="0"/>
        <charset val="1"/>
      </rPr>
      <t xml:space="preserve">PML17.8%</t>
    </r>
    <r>
      <rPr>
        <sz val="10"/>
        <color rgb="FF0000FF"/>
        <rFont val="Noto Sans CJK SC"/>
        <family val="2"/>
      </rPr>
      <t xml:space="preserve">と投資基準</t>
    </r>
    <r>
      <rPr>
        <sz val="10"/>
        <color rgb="FF0000FF"/>
        <rFont val="Arial"/>
        <family val="0"/>
        <charset val="1"/>
      </rPr>
      <t xml:space="preserve">(15%)</t>
    </r>
    <r>
      <rPr>
        <sz val="10"/>
        <color rgb="FF0000FF"/>
        <rFont val="Noto Sans CJK SC"/>
        <family val="2"/>
      </rPr>
      <t xml:space="preserve">超過のため地震保険付保。固定賃料</t>
    </r>
    <r>
      <rPr>
        <sz val="10"/>
        <color rgb="FF0000FF"/>
        <rFont val="Arial"/>
        <family val="0"/>
        <charset val="1"/>
      </rPr>
      <t xml:space="preserve">+</t>
    </r>
    <r>
      <rPr>
        <sz val="10"/>
        <color rgb="FF0000FF"/>
        <rFont val="Noto Sans CJK SC"/>
        <family val="2"/>
      </rPr>
      <t xml:space="preserve">公租公課等連動変動賃料。旧</t>
    </r>
    <r>
      <rPr>
        <sz val="10"/>
        <color rgb="FF0000FF"/>
        <rFont val="Arial"/>
        <family val="0"/>
        <charset val="1"/>
      </rPr>
      <t xml:space="preserve">MTH</t>
    </r>
    <r>
      <rPr>
        <sz val="10"/>
        <color rgb="FF0000FF"/>
        <rFont val="Noto Sans CJK SC"/>
        <family val="2"/>
      </rPr>
      <t xml:space="preserve">合併受入</t>
    </r>
  </si>
  <si>
    <t xml:space="preserve">MTR-013</t>
  </si>
  <si>
    <t xml:space="preserve">ヒルトン小田原リゾート＆スパ</t>
  </si>
  <si>
    <t xml:space="preserve">小田原市</t>
  </si>
  <si>
    <t xml:space="preserve">信託受益権準共有持分50%相当を収録。基準利益連動の完全変動賃料。旧MTH合併受入</t>
  </si>
  <si>
    <t xml:space="preserve">MTR-014</t>
  </si>
  <si>
    <t xml:space="preserve">コートヤード・バイ・マリオット 新大阪ステーション</t>
  </si>
  <si>
    <t xml:space="preserve">大阪市淀川区</t>
  </si>
  <si>
    <t xml:space="preserve">共有持分74%相当。変動賃料(施設別調整営業利益×90%・年間最低保証460百万円)。旧MTH合併受入。当期客室稼働94-97%・ADR23-28千円</t>
  </si>
  <si>
    <t xml:space="preserve">MTR-015</t>
  </si>
  <si>
    <t xml:space="preserve">コートヤード・バイ・マリオット 東京ステーション</t>
  </si>
  <si>
    <t xml:space="preserve">区分所有×準共有持分93.5%相当。変動賃料(同上・最低保証310百万円全体)。旧MTH合併受入。当期ADR32-54千円と急上昇</t>
  </si>
  <si>
    <t xml:space="preserve">MTR-016</t>
  </si>
  <si>
    <t xml:space="preserve">ホテルサンルートプラザ新宿</t>
  </si>
  <si>
    <t xml:space="preserve">固定賃料(月108.7百万円)。2025/12/10付で2027/9以降の新定期借家契約(固定月160百万円+室料連動変動)を締結済→鑑定65,500百万円(取得比2.0倍)に反映。旧MTH合併受入</t>
  </si>
  <si>
    <t xml:space="preserve">MTR-017</t>
  </si>
  <si>
    <t xml:space="preserve">渋谷フラッグ</t>
  </si>
  <si>
    <t xml:space="preserve">収支非開示(テナント同意なし)。開示値: NOI672,686千円・損益656,420千円(差16,266千円=減価償却費)・CAPEX1,659千円。ML+サブリース</t>
  </si>
  <si>
    <t xml:space="preserve">MTR-018</t>
  </si>
  <si>
    <t xml:space="preserve">イトーヨーカドー湘南台店</t>
  </si>
  <si>
    <t xml:space="preserve">イトーヨーカ堂への一棟賃貸(2042年まで40年契約・固定賃料月62.5百万円)</t>
  </si>
  <si>
    <t xml:space="preserve">MTR-019</t>
  </si>
  <si>
    <t xml:space="preserve">フレスポ稲毛</t>
  </si>
  <si>
    <t xml:space="preserve">千葉市稲毛区</t>
  </si>
  <si>
    <t xml:space="preserve">事業用借地の底地のみ(建物なし・減価償却なし)。2002年取得の第1号物件(全体の50%を2012年譲渡済)</t>
  </si>
  <si>
    <t xml:space="preserve">MTR-020</t>
  </si>
  <si>
    <t xml:space="preserve">パークレーンプラザ</t>
  </si>
  <si>
    <t xml:space="preserve">神宮前の高級賃貸住宅(区分所有全部保有)</t>
  </si>
  <si>
    <t xml:space="preserve">MTR-ALL</t>
  </si>
  <si>
    <t xml:space="preserve">（MTR全20物件一括）</t>
  </si>
  <si>
    <r>
      <rPr>
        <sz val="10"/>
        <color rgb="FF0000FF"/>
        <rFont val="Arial"/>
        <family val="0"/>
        <charset val="1"/>
      </rPr>
      <t xml:space="preserve">MTR</t>
    </r>
    <r>
      <rPr>
        <sz val="10"/>
        <color rgb="FF0000FF"/>
        <rFont val="Noto Sans CJK SC"/>
        <family val="2"/>
      </rPr>
      <t xml:space="preserve">全</t>
    </r>
    <r>
      <rPr>
        <sz val="10"/>
        <color rgb="FF0000FF"/>
        <rFont val="Arial"/>
        <family val="0"/>
        <charset val="1"/>
      </rPr>
      <t xml:space="preserve">20</t>
    </r>
    <r>
      <rPr>
        <sz val="10"/>
        <color rgb="FF0000FF"/>
        <rFont val="Noto Sans CJK SC"/>
        <family val="2"/>
      </rPr>
      <t xml:space="preserve">物件の一括行。取得価格</t>
    </r>
    <r>
      <rPr>
        <sz val="10"/>
        <color rgb="FF0000FF"/>
        <rFont val="Arial"/>
        <family val="0"/>
        <charset val="1"/>
      </rPr>
      <t xml:space="preserve">463,522</t>
    </r>
    <r>
      <rPr>
        <sz val="10"/>
        <color rgb="FF0000FF"/>
        <rFont val="Noto Sans CJK SC"/>
        <family val="2"/>
      </rPr>
      <t xml:space="preserve">百万円・鑑定</t>
    </r>
    <r>
      <rPr>
        <sz val="10"/>
        <color rgb="FF0000FF"/>
        <rFont val="Arial"/>
        <family val="0"/>
        <charset val="1"/>
      </rPr>
      <t xml:space="preserve">536,419</t>
    </r>
    <r>
      <rPr>
        <sz val="10"/>
        <color rgb="FF0000FF"/>
        <rFont val="Noto Sans CJK SC"/>
        <family val="2"/>
      </rPr>
      <t xml:space="preserve">百万円・</t>
    </r>
    <r>
      <rPr>
        <sz val="10"/>
        <color rgb="FF0000FF"/>
        <rFont val="Arial"/>
        <family val="0"/>
        <charset val="1"/>
      </rPr>
      <t xml:space="preserve">NLA506,295.29</t>
    </r>
    <r>
      <rPr>
        <sz val="10"/>
        <color rgb="FF0000FF"/>
        <rFont val="Noto Sans CJK SC"/>
        <family val="2"/>
      </rPr>
      <t xml:space="preserve">㎡・賃貸面積</t>
    </r>
    <r>
      <rPr>
        <sz val="10"/>
        <color rgb="FF0000FF"/>
        <rFont val="Arial"/>
        <family val="0"/>
        <charset val="1"/>
      </rPr>
      <t xml:space="preserve">504,391.32</t>
    </r>
    <r>
      <rPr>
        <sz val="10"/>
        <color rgb="FF0000FF"/>
        <rFont val="Noto Sans CJK SC"/>
        <family val="2"/>
      </rPr>
      <t xml:space="preserve">㎡・テナント総数</t>
    </r>
    <r>
      <rPr>
        <sz val="10"/>
        <color rgb="FF0000FF"/>
        <rFont val="Arial"/>
        <family val="0"/>
        <charset val="1"/>
      </rPr>
      <t xml:space="preserve">122(ML</t>
    </r>
    <r>
      <rPr>
        <sz val="10"/>
        <color rgb="FF0000FF"/>
        <rFont val="Noto Sans CJK SC"/>
        <family val="2"/>
      </rPr>
      <t xml:space="preserve">基準</t>
    </r>
    <r>
      <rPr>
        <sz val="10"/>
        <color rgb="FF0000FF"/>
        <rFont val="Arial"/>
        <family val="0"/>
        <charset val="1"/>
      </rPr>
      <t xml:space="preserve">)</t>
    </r>
    <r>
      <rPr>
        <sz val="10"/>
        <color rgb="FF0000FF"/>
        <rFont val="Noto Sans CJK SC"/>
        <family val="2"/>
      </rPr>
      <t xml:space="preserve">は物件別合算と完全一致、帳簿合算</t>
    </r>
    <r>
      <rPr>
        <sz val="10"/>
        <color rgb="FF0000FF"/>
        <rFont val="Arial"/>
        <family val="0"/>
        <charset val="1"/>
      </rPr>
      <t xml:space="preserve">441,957</t>
    </r>
    <r>
      <rPr>
        <sz val="10"/>
        <color rgb="FF0000FF"/>
        <rFont val="Noto Sans CJK SC"/>
        <family val="2"/>
      </rPr>
      <t xml:space="preserve">は合計</t>
    </r>
    <r>
      <rPr>
        <sz val="10"/>
        <color rgb="FF0000FF"/>
        <rFont val="Arial"/>
        <family val="0"/>
        <charset val="1"/>
      </rPr>
      <t xml:space="preserve">441,966</t>
    </r>
    <r>
      <rPr>
        <sz val="10"/>
        <color rgb="FF0000FF"/>
        <rFont val="Noto Sans CJK SC"/>
        <family val="2"/>
      </rPr>
      <t xml:space="preserve">比</t>
    </r>
    <r>
      <rPr>
        <sz val="10"/>
        <color rgb="FF0000FF"/>
        <rFont val="Arial"/>
        <family val="0"/>
        <charset val="1"/>
      </rPr>
      <t xml:space="preserve">-9=</t>
    </r>
    <r>
      <rPr>
        <sz val="10"/>
        <color rgb="FF0000FF"/>
        <rFont val="Noto Sans CJK SC"/>
        <family val="2"/>
      </rPr>
      <t xml:space="preserve">百万円切捨て累積。稼働</t>
    </r>
    <r>
      <rPr>
        <sz val="10"/>
        <color rgb="FF0000FF"/>
        <rFont val="Arial"/>
        <family val="0"/>
        <charset val="1"/>
      </rPr>
      <t xml:space="preserve">99.6%(</t>
    </r>
    <r>
      <rPr>
        <sz val="10"/>
        <color rgb="FF0000FF"/>
        <rFont val="Noto Sans CJK SC"/>
        <family val="2"/>
      </rPr>
      <t xml:space="preserve">サブリース基準</t>
    </r>
    <r>
      <rPr>
        <sz val="10"/>
        <color rgb="FF0000FF"/>
        <rFont val="Arial"/>
        <family val="0"/>
        <charset val="1"/>
      </rPr>
      <t xml:space="preserve">99.2%)</t>
    </r>
    <r>
      <rPr>
        <sz val="10"/>
        <color rgb="FF0000FF"/>
        <rFont val="Noto Sans CJK SC"/>
        <family val="2"/>
      </rPr>
      <t xml:space="preserve">。</t>
    </r>
    <r>
      <rPr>
        <sz val="10"/>
        <color rgb="FF0000FF"/>
        <rFont val="Arial"/>
        <family val="0"/>
        <charset val="1"/>
      </rPr>
      <t xml:space="preserve">2023/3/1</t>
    </r>
    <r>
      <rPr>
        <sz val="10"/>
        <color rgb="FF0000FF"/>
        <rFont val="Noto Sans CJK SC"/>
        <family val="2"/>
      </rPr>
      <t xml:space="preserve">に森トラスト・ホテルリート投資法人</t>
    </r>
    <r>
      <rPr>
        <sz val="10"/>
        <color rgb="FF0000FF"/>
        <rFont val="Arial"/>
        <family val="0"/>
        <charset val="1"/>
      </rPr>
      <t xml:space="preserve">(MTH)</t>
    </r>
    <r>
      <rPr>
        <sz val="10"/>
        <color rgb="FF0000FF"/>
        <rFont val="Noto Sans CJK SC"/>
        <family val="2"/>
      </rPr>
      <t xml:space="preserve">を吸収合併し森トラスト総合リートから商号変更</t>
    </r>
    <r>
      <rPr>
        <sz val="10"/>
        <color rgb="FF0000FF"/>
        <rFont val="Arial"/>
        <family val="0"/>
        <charset val="1"/>
      </rPr>
      <t xml:space="preserve">(MTH</t>
    </r>
    <r>
      <rPr>
        <sz val="10"/>
        <color rgb="FF0000FF"/>
        <rFont val="Noto Sans CJK SC"/>
        <family val="2"/>
      </rPr>
      <t xml:space="preserve">物件</t>
    </r>
    <r>
      <rPr>
        <sz val="10"/>
        <color rgb="FF0000FF"/>
        <rFont val="Arial"/>
        <family val="0"/>
        <charset val="1"/>
      </rPr>
      <t xml:space="preserve">6</t>
    </r>
    <r>
      <rPr>
        <sz val="10"/>
        <color rgb="FF0000FF"/>
        <rFont val="Noto Sans CJK SC"/>
        <family val="2"/>
      </rPr>
      <t xml:space="preserve">件の取得価格は合併受入価格</t>
    </r>
    <r>
      <rPr>
        <sz val="10"/>
        <color rgb="FF0000FF"/>
        <rFont val="Arial"/>
        <family val="0"/>
        <charset val="1"/>
      </rPr>
      <t xml:space="preserve">=2023/2</t>
    </r>
    <r>
      <rPr>
        <sz val="10"/>
        <color rgb="FF0000FF"/>
        <rFont val="Noto Sans CJK SC"/>
        <family val="2"/>
      </rPr>
      <t xml:space="preserve">期末鑑定評価額・のれん</t>
    </r>
    <r>
      <rPr>
        <sz val="10"/>
        <color rgb="FF0000FF"/>
        <rFont val="Arial"/>
        <family val="0"/>
        <charset val="1"/>
      </rPr>
      <t xml:space="preserve">534</t>
    </r>
    <r>
      <rPr>
        <sz val="10"/>
        <color rgb="FF0000FF"/>
        <rFont val="Noto Sans CJK SC"/>
        <family val="2"/>
      </rPr>
      <t xml:space="preserve">百万円を</t>
    </r>
    <r>
      <rPr>
        <sz val="10"/>
        <color rgb="FF0000FF"/>
        <rFont val="Arial"/>
        <family val="0"/>
        <charset val="1"/>
      </rPr>
      <t xml:space="preserve">20</t>
    </r>
    <r>
      <rPr>
        <sz val="10"/>
        <color rgb="FF0000FF"/>
        <rFont val="Noto Sans CJK SC"/>
        <family val="2"/>
      </rPr>
      <t xml:space="preserve">年均等償却中</t>
    </r>
    <r>
      <rPr>
        <sz val="10"/>
        <color rgb="FF0000FF"/>
        <rFont val="Arial"/>
        <family val="0"/>
        <charset val="1"/>
      </rPr>
      <t xml:space="preserve">)</t>
    </r>
    <r>
      <rPr>
        <sz val="10"/>
        <color rgb="FF0000FF"/>
        <rFont val="Noto Sans CJK SC"/>
        <family val="2"/>
      </rPr>
      <t xml:space="preserve">。用途</t>
    </r>
    <r>
      <rPr>
        <sz val="10"/>
        <color rgb="FF0000FF"/>
        <rFont val="Arial"/>
        <family val="0"/>
        <charset val="1"/>
      </rPr>
      <t xml:space="preserve">: </t>
    </r>
    <r>
      <rPr>
        <sz val="10"/>
        <color rgb="FF0000FF"/>
        <rFont val="Noto Sans CJK SC"/>
        <family val="2"/>
      </rPr>
      <t xml:space="preserve">オフィス</t>
    </r>
    <r>
      <rPr>
        <sz val="10"/>
        <color rgb="FF0000FF"/>
        <rFont val="Arial"/>
        <family val="0"/>
        <charset val="1"/>
      </rPr>
      <t xml:space="preserve">10(272,365)+</t>
    </r>
    <r>
      <rPr>
        <sz val="10"/>
        <color rgb="FF0000FF"/>
        <rFont val="Noto Sans CJK SC"/>
        <family val="2"/>
      </rPr>
      <t xml:space="preserve">ホテル</t>
    </r>
    <r>
      <rPr>
        <sz val="10"/>
        <color rgb="FF0000FF"/>
        <rFont val="Arial"/>
        <family val="0"/>
        <charset val="1"/>
      </rPr>
      <t xml:space="preserve">6(142,217)+</t>
    </r>
    <r>
      <rPr>
        <sz val="10"/>
        <color rgb="FF0000FF"/>
        <rFont val="Noto Sans CJK SC"/>
        <family val="2"/>
      </rPr>
      <t xml:space="preserve">商業</t>
    </r>
    <r>
      <rPr>
        <sz val="10"/>
        <color rgb="FF0000FF"/>
        <rFont val="Arial"/>
        <family val="0"/>
        <charset val="1"/>
      </rPr>
      <t xml:space="preserve">3(45,740)+</t>
    </r>
    <r>
      <rPr>
        <sz val="10"/>
        <color rgb="FF0000FF"/>
        <rFont val="Noto Sans CJK SC"/>
        <family val="2"/>
      </rPr>
      <t xml:space="preserve">住宅</t>
    </r>
    <r>
      <rPr>
        <sz val="10"/>
        <color rgb="FF0000FF"/>
        <rFont val="Arial"/>
        <family val="0"/>
        <charset val="1"/>
      </rPr>
      <t xml:space="preserve">1(3,200)</t>
    </r>
    <r>
      <rPr>
        <sz val="10"/>
        <color rgb="FF0000FF"/>
        <rFont val="Noto Sans CJK SC"/>
        <family val="2"/>
      </rPr>
      <t xml:space="preserve">百万円。スポンサー森トラストへの賃貸が総収益の</t>
    </r>
    <r>
      <rPr>
        <sz val="10"/>
        <color rgb="FF0000FF"/>
        <rFont val="Arial"/>
        <family val="0"/>
        <charset val="1"/>
      </rPr>
      <t xml:space="preserve">50.3%(5,823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を占めるスポンサー密着型。汐留・神谷町・大崎・</t>
    </r>
    <r>
      <rPr>
        <sz val="10"/>
        <color rgb="FF0000FF"/>
        <rFont val="Arial"/>
        <family val="0"/>
        <charset val="1"/>
      </rPr>
      <t xml:space="preserve">CBM</t>
    </r>
    <r>
      <rPr>
        <sz val="10"/>
        <color rgb="FF0000FF"/>
        <rFont val="Noto Sans CJK SC"/>
        <family val="2"/>
      </rPr>
      <t xml:space="preserve">各物件等に森トラストへの買取優先交渉権付与。主要リスク</t>
    </r>
    <r>
      <rPr>
        <sz val="10"/>
        <color rgb="FF0000FF"/>
        <rFont val="Arial"/>
        <family val="0"/>
        <charset val="1"/>
      </rPr>
      <t xml:space="preserve">: ON</t>
    </r>
    <r>
      <rPr>
        <sz val="10"/>
        <color rgb="FF0000FF"/>
        <rFont val="Noto Sans CJK SC"/>
        <family val="2"/>
      </rPr>
      <t xml:space="preserve">ビル一括賃借人</t>
    </r>
    <r>
      <rPr>
        <sz val="10"/>
        <color rgb="FF0000FF"/>
        <rFont val="Arial"/>
        <family val="0"/>
        <charset val="1"/>
      </rPr>
      <t xml:space="preserve">(</t>
    </r>
    <r>
      <rPr>
        <sz val="10"/>
        <color rgb="FF0000FF"/>
        <rFont val="Noto Sans CJK SC"/>
        <family val="2"/>
      </rPr>
      <t xml:space="preserve">神戸製鋼所</t>
    </r>
    <r>
      <rPr>
        <sz val="10"/>
        <color rgb="FF0000FF"/>
        <rFont val="Arial"/>
        <family val="0"/>
        <charset val="1"/>
      </rPr>
      <t xml:space="preserve">)</t>
    </r>
    <r>
      <rPr>
        <sz val="10"/>
        <color rgb="FF0000FF"/>
        <rFont val="Noto Sans CJK SC"/>
        <family val="2"/>
      </rPr>
      <t xml:space="preserve">の</t>
    </r>
    <r>
      <rPr>
        <sz val="10"/>
        <color rgb="FF0000FF"/>
        <rFont val="Arial"/>
        <family val="0"/>
        <charset val="1"/>
      </rPr>
      <t xml:space="preserve">2027/3</t>
    </r>
    <r>
      <rPr>
        <sz val="10"/>
        <color rgb="FF0000FF"/>
        <rFont val="Noto Sans CJK SC"/>
        <family val="2"/>
      </rPr>
      <t xml:space="preserve">解約通知。サンルート新宿は</t>
    </r>
    <r>
      <rPr>
        <sz val="10"/>
        <color rgb="FF0000FF"/>
        <rFont val="Arial"/>
        <family val="0"/>
        <charset val="1"/>
      </rPr>
      <t xml:space="preserve">2027/9</t>
    </r>
    <r>
      <rPr>
        <sz val="10"/>
        <color rgb="FF0000FF"/>
        <rFont val="Noto Sans CJK SC"/>
        <family val="2"/>
      </rPr>
      <t xml:space="preserve">からの新賃料</t>
    </r>
    <r>
      <rPr>
        <sz val="10"/>
        <color rgb="FF0000FF"/>
        <rFont val="Arial"/>
        <family val="0"/>
        <charset val="1"/>
      </rPr>
      <t xml:space="preserve">(</t>
    </r>
    <r>
      <rPr>
        <sz val="10"/>
        <color rgb="FF0000FF"/>
        <rFont val="Noto Sans CJK SC"/>
        <family val="2"/>
      </rPr>
      <t xml:space="preserve">固定月</t>
    </r>
    <r>
      <rPr>
        <sz val="10"/>
        <color rgb="FF0000FF"/>
        <rFont val="Arial"/>
        <family val="0"/>
        <charset val="1"/>
      </rPr>
      <t xml:space="preserve">160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変動</t>
    </r>
    <r>
      <rPr>
        <sz val="10"/>
        <color rgb="FF0000FF"/>
        <rFont val="Arial"/>
        <family val="0"/>
        <charset val="1"/>
      </rPr>
      <t xml:space="preserve">)</t>
    </r>
    <r>
      <rPr>
        <sz val="10"/>
        <color rgb="FF0000FF"/>
        <rFont val="Noto Sans CJK SC"/>
        <family val="2"/>
      </rPr>
      <t xml:space="preserve">を鑑定に反映し含み益が急拡大。格付</t>
    </r>
    <r>
      <rPr>
        <sz val="10"/>
        <color rgb="FF0000FF"/>
        <rFont val="Arial"/>
        <family val="0"/>
        <charset val="1"/>
      </rPr>
      <t xml:space="preserve">JCR AA(</t>
    </r>
    <r>
      <rPr>
        <sz val="10"/>
        <color rgb="FF0000FF"/>
        <rFont val="Noto Sans CJK SC"/>
        <family val="2"/>
      </rPr>
      <t xml:space="preserve">安定的</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LTV46.8%</t>
    </r>
  </si>
  <si>
    <t xml:space="preserve">決算期</t>
  </si>
  <si>
    <t xml:space="preserve">期間月数</t>
  </si>
  <si>
    <t xml:space="preserve">開示区分</t>
  </si>
  <si>
    <t xml:space="preserve">賃貸事業収入合計(千円)</t>
  </si>
  <si>
    <t xml:space="preserve">うち賃料・共益費(千円)</t>
  </si>
  <si>
    <t xml:space="preserve">うちその他収入(千円)</t>
  </si>
  <si>
    <t xml:space="preserve">賃貸事業費用合計(千円)</t>
  </si>
  <si>
    <t xml:space="preserve">うち外注委託費(千円)</t>
  </si>
  <si>
    <t xml:space="preserve">うち水道光熱費(千円)</t>
  </si>
  <si>
    <t xml:space="preserve">うち公租公課(千円)</t>
  </si>
  <si>
    <t xml:space="preserve">うち損害保険料(千円)</t>
  </si>
  <si>
    <t xml:space="preserve">うち修繕費(千円)</t>
  </si>
  <si>
    <t xml:space="preserve">うち減価償却費(千円)</t>
  </si>
  <si>
    <t xml:space="preserve">うちその他費用(千円)</t>
  </si>
  <si>
    <t xml:space="preserve">賃貸事業損益(千円)</t>
  </si>
  <si>
    <r>
      <rPr>
        <b val="true"/>
        <sz val="10"/>
        <color rgb="FFFFFFFF"/>
        <rFont val="Arial"/>
        <family val="0"/>
        <charset val="1"/>
      </rPr>
      <t xml:space="preserve">NOI(</t>
    </r>
    <r>
      <rPr>
        <b val="true"/>
        <sz val="10"/>
        <color rgb="FFFFFFFF"/>
        <rFont val="Noto Sans CJK SC"/>
        <family val="2"/>
      </rPr>
      <t xml:space="preserve">千円</t>
    </r>
    <r>
      <rPr>
        <b val="true"/>
        <sz val="10"/>
        <color rgb="FFFFFFFF"/>
        <rFont val="Arial"/>
        <family val="0"/>
        <charset val="1"/>
      </rPr>
      <t xml:space="preserve">)</t>
    </r>
  </si>
  <si>
    <t xml:space="preserve">資本的支出(千円)</t>
  </si>
  <si>
    <r>
      <rPr>
        <b val="true"/>
        <sz val="10"/>
        <color rgb="FFFFFFFF"/>
        <rFont val="Arial"/>
        <family val="0"/>
        <charset val="1"/>
      </rPr>
      <t xml:space="preserve">NCF(</t>
    </r>
    <r>
      <rPr>
        <b val="true"/>
        <sz val="10"/>
        <color rgb="FFFFFFFF"/>
        <rFont val="Noto Sans CJK SC"/>
        <family val="2"/>
      </rPr>
      <t xml:space="preserve">千円</t>
    </r>
    <r>
      <rPr>
        <b val="true"/>
        <sz val="10"/>
        <color rgb="FFFFFFFF"/>
        <rFont val="Arial"/>
        <family val="0"/>
        <charset val="1"/>
      </rPr>
      <t xml:space="preserve">)</t>
    </r>
  </si>
  <si>
    <t xml:space="preserve">内訳チェック(0=整合)</t>
  </si>
  <si>
    <t xml:space="preserve">通期保有フラグ</t>
  </si>
  <si>
    <t xml:space="preserve">年換算の妥当性</t>
  </si>
  <si>
    <t xml:space="preserve">収入の単位精度</t>
  </si>
  <si>
    <t xml:space="preserve">一部開示（収益のみ）</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</si>
  <si>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 p.46</t>
    </r>
    <r>
      <rPr>
        <sz val="10"/>
        <color rgb="FF0000FF"/>
        <rFont val="Noto Sans CJK SC"/>
        <family val="2"/>
      </rPr>
      <t xml:space="preserve">「個別不動産に関する賃貸状況の概要」</t>
    </r>
  </si>
  <si>
    <t xml:space="preserve">収益は百万円単位開示の千円換算（概数）。物件別費用は非開示（法人一括のみ）／【合計照合注記】物件別収益(百万円単位)の16物件合計5,520は原資料表の合計欄5,528とも8百万円不一致（丸め累積・抽出誤差の可能性）。法人一括5,539,262千円との差9,262千円。有報(千円単位)での再照合を推奨</t>
  </si>
  <si>
    <t xml:space="preserve">○（通期保有）</t>
  </si>
  <si>
    <t xml:space="preserve">年換算可</t>
  </si>
  <si>
    <t xml:space="preserve">千円単位（正確値）</t>
  </si>
  <si>
    <r>
      <rPr>
        <sz val="10"/>
        <color rgb="FF0000FF"/>
        <rFont val="Arial"/>
        <family val="0"/>
        <charset val="1"/>
      </rPr>
      <t xml:space="preserve">2026/3/30</t>
    </r>
    <r>
      <rPr>
        <sz val="10"/>
        <color rgb="FF0000FF"/>
        <rFont val="Noto Sans CJK SC"/>
        <family val="2"/>
      </rPr>
      <t xml:space="preserve">取得、期中</t>
    </r>
    <r>
      <rPr>
        <sz val="10"/>
        <color rgb="FF0000FF"/>
        <rFont val="Arial"/>
        <family val="0"/>
        <charset val="1"/>
      </rPr>
      <t xml:space="preserve">2</t>
    </r>
    <r>
      <rPr>
        <sz val="10"/>
        <color rgb="FF0000FF"/>
        <rFont val="Noto Sans CJK SC"/>
        <family val="2"/>
      </rPr>
      <t xml:space="preserve">日間のみ。収益は百万円単位開示の千円換算（概数）。物件別費用は非開示（法人一括のみ）／【合計照合注記】物件別収益</t>
    </r>
    <r>
      <rPr>
        <sz val="10"/>
        <color rgb="FF0000FF"/>
        <rFont val="Arial"/>
        <family val="0"/>
        <charset val="1"/>
      </rPr>
      <t xml:space="preserve">(</t>
    </r>
    <r>
      <rPr>
        <sz val="10"/>
        <color rgb="FF0000FF"/>
        <rFont val="Noto Sans CJK SC"/>
        <family val="2"/>
      </rPr>
      <t xml:space="preserve">百万円単位</t>
    </r>
    <r>
      <rPr>
        <sz val="10"/>
        <color rgb="FF0000FF"/>
        <rFont val="Arial"/>
        <family val="0"/>
        <charset val="1"/>
      </rPr>
      <t xml:space="preserve">)</t>
    </r>
    <r>
      <rPr>
        <sz val="10"/>
        <color rgb="FF0000FF"/>
        <rFont val="Noto Sans CJK SC"/>
        <family val="2"/>
      </rPr>
      <t xml:space="preserve">の</t>
    </r>
    <r>
      <rPr>
        <sz val="10"/>
        <color rgb="FF0000FF"/>
        <rFont val="Arial"/>
        <family val="0"/>
        <charset val="1"/>
      </rPr>
      <t xml:space="preserve">16</t>
    </r>
    <r>
      <rPr>
        <sz val="10"/>
        <color rgb="FF0000FF"/>
        <rFont val="Noto Sans CJK SC"/>
        <family val="2"/>
      </rPr>
      <t xml:space="preserve">物件合計</t>
    </r>
    <r>
      <rPr>
        <sz val="10"/>
        <color rgb="FF0000FF"/>
        <rFont val="Arial"/>
        <family val="0"/>
        <charset val="1"/>
      </rPr>
      <t xml:space="preserve">5,520</t>
    </r>
    <r>
      <rPr>
        <sz val="10"/>
        <color rgb="FF0000FF"/>
        <rFont val="Noto Sans CJK SC"/>
        <family val="2"/>
      </rPr>
      <t xml:space="preserve">は原資料表の合計欄</t>
    </r>
    <r>
      <rPr>
        <sz val="10"/>
        <color rgb="FF0000FF"/>
        <rFont val="Arial"/>
        <family val="0"/>
        <charset val="1"/>
      </rPr>
      <t xml:space="preserve">5,528</t>
    </r>
    <r>
      <rPr>
        <sz val="10"/>
        <color rgb="FF0000FF"/>
        <rFont val="Noto Sans CJK SC"/>
        <family val="2"/>
      </rPr>
      <t xml:space="preserve">とも</t>
    </r>
    <r>
      <rPr>
        <sz val="10"/>
        <color rgb="FF0000FF"/>
        <rFont val="Arial"/>
        <family val="0"/>
        <charset val="1"/>
      </rPr>
      <t xml:space="preserve">8</t>
    </r>
    <r>
      <rPr>
        <sz val="10"/>
        <color rgb="FF0000FF"/>
        <rFont val="Noto Sans CJK SC"/>
        <family val="2"/>
      </rPr>
      <t xml:space="preserve">百万円不一致（丸め累積・抽出誤差の可能性）。法人一括</t>
    </r>
    <r>
      <rPr>
        <sz val="10"/>
        <color rgb="FF0000FF"/>
        <rFont val="Arial"/>
        <family val="0"/>
        <charset val="1"/>
      </rPr>
      <t xml:space="preserve">5,539,262</t>
    </r>
    <r>
      <rPr>
        <sz val="10"/>
        <color rgb="FF0000FF"/>
        <rFont val="Noto Sans CJK SC"/>
        <family val="2"/>
      </rPr>
      <t xml:space="preserve">千円との差</t>
    </r>
    <r>
      <rPr>
        <sz val="10"/>
        <color rgb="FF0000FF"/>
        <rFont val="Arial"/>
        <family val="0"/>
        <charset val="1"/>
      </rPr>
      <t xml:space="preserve">9,262</t>
    </r>
    <r>
      <rPr>
        <sz val="10"/>
        <color rgb="FF0000FF"/>
        <rFont val="Noto Sans CJK SC"/>
        <family val="2"/>
      </rPr>
      <t xml:space="preserve">千円。有報</t>
    </r>
    <r>
      <rPr>
        <sz val="10"/>
        <color rgb="FF0000FF"/>
        <rFont val="Arial"/>
        <family val="0"/>
        <charset val="1"/>
      </rPr>
      <t xml:space="preserve">(</t>
    </r>
    <r>
      <rPr>
        <sz val="10"/>
        <color rgb="FF0000FF"/>
        <rFont val="Noto Sans CJK SC"/>
        <family val="2"/>
      </rPr>
      <t xml:space="preserve">千円単位</t>
    </r>
    <r>
      <rPr>
        <sz val="10"/>
        <color rgb="FF0000FF"/>
        <rFont val="Arial"/>
        <family val="0"/>
        <charset val="1"/>
      </rPr>
      <t xml:space="preserve">)</t>
    </r>
    <r>
      <rPr>
        <sz val="10"/>
        <color rgb="FF0000FF"/>
        <rFont val="Noto Sans CJK SC"/>
        <family val="2"/>
      </rPr>
      <t xml:space="preserve">での再照合を推奨</t>
    </r>
  </si>
  <si>
    <r>
      <rPr>
        <sz val="10"/>
        <color rgb="FF0000FF"/>
        <rFont val="Arial"/>
        <family val="0"/>
        <charset val="1"/>
      </rPr>
      <t xml:space="preserve">×</t>
    </r>
    <r>
      <rPr>
        <sz val="10"/>
        <color rgb="FF0000FF"/>
        <rFont val="Noto Sans CJK SC"/>
        <family val="2"/>
      </rPr>
      <t xml:space="preserve">（期の一部のみ）</t>
    </r>
  </si>
  <si>
    <t xml:space="preserve">年換算値は実態と乖離するため利回り算定に用いない（期中取得）</t>
  </si>
  <si>
    <r>
      <rPr>
        <sz val="10"/>
        <color rgb="FF0000FF"/>
        <rFont val="Arial"/>
        <family val="0"/>
        <charset val="1"/>
      </rPr>
      <t xml:space="preserve">2025/10/10</t>
    </r>
    <r>
      <rPr>
        <sz val="10"/>
        <color rgb="FF0000FF"/>
        <rFont val="Noto Sans CJK SC"/>
        <family val="2"/>
      </rPr>
      <t xml:space="preserve">譲渡、期中</t>
    </r>
    <r>
      <rPr>
        <sz val="10"/>
        <color rgb="FF0000FF"/>
        <rFont val="Arial"/>
        <family val="0"/>
        <charset val="1"/>
      </rPr>
      <t xml:space="preserve">10</t>
    </r>
    <r>
      <rPr>
        <sz val="10"/>
        <color rgb="FF0000FF"/>
        <rFont val="Noto Sans CJK SC"/>
        <family val="2"/>
      </rPr>
      <t xml:space="preserve">日間のみ。収益は百万円単位開示の千円換算（概数）。物件別費用は非開示（法人一括のみ）／【合計照合注記】物件別収益</t>
    </r>
    <r>
      <rPr>
        <sz val="10"/>
        <color rgb="FF0000FF"/>
        <rFont val="Arial"/>
        <family val="0"/>
        <charset val="1"/>
      </rPr>
      <t xml:space="preserve">(</t>
    </r>
    <r>
      <rPr>
        <sz val="10"/>
        <color rgb="FF0000FF"/>
        <rFont val="Noto Sans CJK SC"/>
        <family val="2"/>
      </rPr>
      <t xml:space="preserve">百万円単位</t>
    </r>
    <r>
      <rPr>
        <sz val="10"/>
        <color rgb="FF0000FF"/>
        <rFont val="Arial"/>
        <family val="0"/>
        <charset val="1"/>
      </rPr>
      <t xml:space="preserve">)</t>
    </r>
    <r>
      <rPr>
        <sz val="10"/>
        <color rgb="FF0000FF"/>
        <rFont val="Noto Sans CJK SC"/>
        <family val="2"/>
      </rPr>
      <t xml:space="preserve">の</t>
    </r>
    <r>
      <rPr>
        <sz val="10"/>
        <color rgb="FF0000FF"/>
        <rFont val="Arial"/>
        <family val="0"/>
        <charset val="1"/>
      </rPr>
      <t xml:space="preserve">16</t>
    </r>
    <r>
      <rPr>
        <sz val="10"/>
        <color rgb="FF0000FF"/>
        <rFont val="Noto Sans CJK SC"/>
        <family val="2"/>
      </rPr>
      <t xml:space="preserve">物件合計</t>
    </r>
    <r>
      <rPr>
        <sz val="10"/>
        <color rgb="FF0000FF"/>
        <rFont val="Arial"/>
        <family val="0"/>
        <charset val="1"/>
      </rPr>
      <t xml:space="preserve">5,520</t>
    </r>
    <r>
      <rPr>
        <sz val="10"/>
        <color rgb="FF0000FF"/>
        <rFont val="Noto Sans CJK SC"/>
        <family val="2"/>
      </rPr>
      <t xml:space="preserve">は原資料表の合計欄</t>
    </r>
    <r>
      <rPr>
        <sz val="10"/>
        <color rgb="FF0000FF"/>
        <rFont val="Arial"/>
        <family val="0"/>
        <charset val="1"/>
      </rPr>
      <t xml:space="preserve">5,528</t>
    </r>
    <r>
      <rPr>
        <sz val="10"/>
        <color rgb="FF0000FF"/>
        <rFont val="Noto Sans CJK SC"/>
        <family val="2"/>
      </rPr>
      <t xml:space="preserve">とも</t>
    </r>
    <r>
      <rPr>
        <sz val="10"/>
        <color rgb="FF0000FF"/>
        <rFont val="Arial"/>
        <family val="0"/>
        <charset val="1"/>
      </rPr>
      <t xml:space="preserve">8</t>
    </r>
    <r>
      <rPr>
        <sz val="10"/>
        <color rgb="FF0000FF"/>
        <rFont val="Noto Sans CJK SC"/>
        <family val="2"/>
      </rPr>
      <t xml:space="preserve">百万円不一致（丸め累積・抽出誤差の可能性）。法人一括</t>
    </r>
    <r>
      <rPr>
        <sz val="10"/>
        <color rgb="FF0000FF"/>
        <rFont val="Arial"/>
        <family val="0"/>
        <charset val="1"/>
      </rPr>
      <t xml:space="preserve">5,539,262</t>
    </r>
    <r>
      <rPr>
        <sz val="10"/>
        <color rgb="FF0000FF"/>
        <rFont val="Noto Sans CJK SC"/>
        <family val="2"/>
      </rPr>
      <t xml:space="preserve">千円との差</t>
    </r>
    <r>
      <rPr>
        <sz val="10"/>
        <color rgb="FF0000FF"/>
        <rFont val="Arial"/>
        <family val="0"/>
        <charset val="1"/>
      </rPr>
      <t xml:space="preserve">9,262</t>
    </r>
    <r>
      <rPr>
        <sz val="10"/>
        <color rgb="FF0000FF"/>
        <rFont val="Noto Sans CJK SC"/>
        <family val="2"/>
      </rPr>
      <t xml:space="preserve">千円。有報</t>
    </r>
    <r>
      <rPr>
        <sz val="10"/>
        <color rgb="FF0000FF"/>
        <rFont val="Arial"/>
        <family val="0"/>
        <charset val="1"/>
      </rPr>
      <t xml:space="preserve">(</t>
    </r>
    <r>
      <rPr>
        <sz val="10"/>
        <color rgb="FF0000FF"/>
        <rFont val="Noto Sans CJK SC"/>
        <family val="2"/>
      </rPr>
      <t xml:space="preserve">千円単位</t>
    </r>
    <r>
      <rPr>
        <sz val="10"/>
        <color rgb="FF0000FF"/>
        <rFont val="Arial"/>
        <family val="0"/>
        <charset val="1"/>
      </rPr>
      <t xml:space="preserve">)</t>
    </r>
    <r>
      <rPr>
        <sz val="10"/>
        <color rgb="FF0000FF"/>
        <rFont val="Noto Sans CJK SC"/>
        <family val="2"/>
      </rPr>
      <t xml:space="preserve">での再照合を推奨</t>
    </r>
  </si>
  <si>
    <t xml:space="preserve">開示（法人一括）</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</si>
  <si>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月期決算短信</t>
    </r>
    <r>
      <rPr>
        <sz val="10"/>
        <color rgb="FF0000FF"/>
        <rFont val="Arial"/>
        <family val="0"/>
        <charset val="1"/>
      </rPr>
      <t xml:space="preserve">(2026/5/21</t>
    </r>
    <r>
      <rPr>
        <sz val="10"/>
        <color rgb="FF0000FF"/>
        <rFont val="Noto Sans CJK SC"/>
        <family val="2"/>
      </rPr>
      <t xml:space="preserve">公表</t>
    </r>
    <r>
      <rPr>
        <sz val="10"/>
        <color rgb="FF0000FF"/>
        <rFont val="Arial"/>
        <family val="0"/>
        <charset val="1"/>
      </rPr>
      <t xml:space="preserve">) p.25-26</t>
    </r>
    <r>
      <rPr>
        <sz val="10"/>
        <color rgb="FF0000FF"/>
        <rFont val="Noto Sans CJK SC"/>
        <family val="2"/>
      </rPr>
      <t xml:space="preserve">「不動産賃貸事業損益の内訳」・</t>
    </r>
    <r>
      <rPr>
        <sz val="10"/>
        <color rgb="FF0000FF"/>
        <rFont val="Arial"/>
        <family val="0"/>
        <charset val="1"/>
      </rPr>
      <t xml:space="preserve">p.43</t>
    </r>
    <r>
      <rPr>
        <sz val="10"/>
        <color rgb="FF0000FF"/>
        <rFont val="Noto Sans CJK SC"/>
        <family val="2"/>
      </rPr>
      <t xml:space="preserve">「資本的支出」</t>
    </r>
  </si>
  <si>
    <t xml:space="preserve">賃料4,779,175+共益費234,637=G列。H列はF-G残差(開示内訳合計との差3千円は原資料の丸めに由来)。その他費用=固定資産除却損7,170+その他9,168。開示上の賃貸事業損益3,271,215千円</t>
  </si>
  <si>
    <r>
      <rPr>
        <sz val="10"/>
        <color rgb="FF0000FF"/>
        <rFont val="Arial"/>
        <family val="0"/>
        <charset val="1"/>
      </rPr>
      <t xml:space="preserve">JEI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(2026/2/20</t>
    </r>
    <r>
      <rPr>
        <sz val="10"/>
        <color rgb="FF0000FF"/>
        <rFont val="Noto Sans CJK SC"/>
        <family val="2"/>
      </rPr>
      <t xml:space="preserve">公表</t>
    </r>
    <r>
      <rPr>
        <sz val="10"/>
        <color rgb="FF0000FF"/>
        <rFont val="Arial"/>
        <family val="0"/>
        <charset val="1"/>
      </rPr>
      <t xml:space="preserve">) p.31-32 </t>
    </r>
    <r>
      <rPr>
        <sz val="10"/>
        <color rgb="FF0000FF"/>
        <rFont val="Noto Sans CJK SC"/>
        <family val="2"/>
      </rPr>
      <t xml:space="preserve">賃貸状況の概要</t>
    </r>
  </si>
  <si>
    <t xml:space="preserve">千円単位開示（正確値）。物件別費用は非開示（法人一括のみ）</t>
  </si>
  <si>
    <t xml:space="preserve">非開示（テナント同意なし）</t>
  </si>
  <si>
    <t xml:space="preserve">収益・費用ともテナント同意が得られず非開示（短信注5）。法人一括はJEI-ALL行参照</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</si>
  <si>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月売却、期中約</t>
    </r>
    <r>
      <rPr>
        <sz val="10"/>
        <color rgb="FF0000FF"/>
        <rFont val="Arial"/>
        <family val="0"/>
        <charset val="1"/>
      </rPr>
      <t xml:space="preserve">5</t>
    </r>
    <r>
      <rPr>
        <sz val="10"/>
        <color rgb="FF0000FF"/>
        <rFont val="Noto Sans CJK SC"/>
        <family val="2"/>
      </rPr>
      <t xml:space="preserve">ヶ月強。千円単位開示（正確値）。物件別費用は非開示（法人一括のみ）</t>
    </r>
  </si>
  <si>
    <r>
      <rPr>
        <sz val="10"/>
        <color rgb="FF0000FF"/>
        <rFont val="Arial"/>
        <family val="0"/>
        <charset val="1"/>
      </rPr>
      <t xml:space="preserve">JEI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(2026/2/20</t>
    </r>
    <r>
      <rPr>
        <sz val="10"/>
        <color rgb="FF0000FF"/>
        <rFont val="Noto Sans CJK SC"/>
        <family val="2"/>
      </rPr>
      <t xml:space="preserve">公表</t>
    </r>
    <r>
      <rPr>
        <sz val="10"/>
        <color rgb="FF0000FF"/>
        <rFont val="Arial"/>
        <family val="0"/>
        <charset val="1"/>
      </rPr>
      <t xml:space="preserve">) p.18 </t>
    </r>
    <r>
      <rPr>
        <sz val="10"/>
        <color rgb="FF0000FF"/>
        <rFont val="Noto Sans CJK SC"/>
        <family val="2"/>
      </rPr>
      <t xml:space="preserve">不動産賃貸事業損益の内訳・</t>
    </r>
    <r>
      <rPr>
        <sz val="10"/>
        <color rgb="FF0000FF"/>
        <rFont val="Arial"/>
        <family val="0"/>
        <charset val="1"/>
      </rPr>
      <t xml:space="preserve">p.39 </t>
    </r>
    <r>
      <rPr>
        <sz val="10"/>
        <color rgb="FF0000FF"/>
        <rFont val="Noto Sans CJK SC"/>
        <family val="2"/>
      </rPr>
      <t xml:space="preserve">資本的支出</t>
    </r>
  </si>
  <si>
    <r>
      <rPr>
        <sz val="10"/>
        <color rgb="FF0000FF"/>
        <rFont val="Arial"/>
        <family val="0"/>
        <charset val="1"/>
      </rPr>
      <t xml:space="preserve">G=</t>
    </r>
    <r>
      <rPr>
        <sz val="10"/>
        <color rgb="FF0000FF"/>
        <rFont val="Noto Sans CJK SC"/>
        <family val="2"/>
      </rPr>
      <t xml:space="preserve">賃料</t>
    </r>
    <r>
      <rPr>
        <sz val="10"/>
        <color rgb="FF0000FF"/>
        <rFont val="Arial"/>
        <family val="0"/>
        <charset val="1"/>
      </rPr>
      <t xml:space="preserve">8,615,695+</t>
    </r>
    <r>
      <rPr>
        <sz val="10"/>
        <color rgb="FF0000FF"/>
        <rFont val="Noto Sans CJK SC"/>
        <family val="2"/>
      </rPr>
      <t xml:space="preserve">共益費</t>
    </r>
    <r>
      <rPr>
        <sz val="10"/>
        <color rgb="FF0000FF"/>
        <rFont val="Arial"/>
        <family val="0"/>
        <charset val="1"/>
      </rPr>
      <t xml:space="preserve">1,180,934</t>
    </r>
    <r>
      <rPr>
        <sz val="10"/>
        <color rgb="FF0000FF"/>
        <rFont val="Noto Sans CJK SC"/>
        <family val="2"/>
      </rPr>
      <t xml:space="preserve">。</t>
    </r>
    <r>
      <rPr>
        <sz val="10"/>
        <color rgb="FF0000FF"/>
        <rFont val="Arial"/>
        <family val="0"/>
        <charset val="1"/>
      </rPr>
      <t xml:space="preserve">H=F-G</t>
    </r>
    <r>
      <rPr>
        <sz val="10"/>
        <color rgb="FF0000FF"/>
        <rFont val="Noto Sans CJK SC"/>
        <family val="2"/>
      </rPr>
      <t xml:space="preserve">残差</t>
    </r>
    <r>
      <rPr>
        <sz val="10"/>
        <color rgb="FF0000FF"/>
        <rFont val="Arial"/>
        <family val="0"/>
        <charset val="1"/>
      </rPr>
      <t xml:space="preserve">(</t>
    </r>
    <r>
      <rPr>
        <sz val="10"/>
        <color rgb="FF0000FF"/>
        <rFont val="Noto Sans CJK SC"/>
        <family val="2"/>
      </rPr>
      <t xml:space="preserve">内訳合計</t>
    </r>
    <r>
      <rPr>
        <sz val="10"/>
        <color rgb="FF0000FF"/>
        <rFont val="Arial"/>
        <family val="0"/>
        <charset val="1"/>
      </rPr>
      <t xml:space="preserve">1,318,828</t>
    </r>
    <r>
      <rPr>
        <sz val="10"/>
        <color rgb="FF0000FF"/>
        <rFont val="Noto Sans CJK SC"/>
        <family val="2"/>
      </rPr>
      <t xml:space="preserve">との差</t>
    </r>
    <r>
      <rPr>
        <sz val="10"/>
        <color rgb="FF0000FF"/>
        <rFont val="Arial"/>
        <family val="0"/>
        <charset val="1"/>
      </rPr>
      <t xml:space="preserve">1</t>
    </r>
    <r>
      <rPr>
        <sz val="10"/>
        <color rgb="FF0000FF"/>
        <rFont val="Noto Sans CJK SC"/>
        <family val="2"/>
      </rPr>
      <t xml:space="preserve">千円は丸め</t>
    </r>
    <r>
      <rPr>
        <sz val="10"/>
        <color rgb="FF0000FF"/>
        <rFont val="Arial"/>
        <family val="0"/>
        <charset val="1"/>
      </rPr>
      <t xml:space="preserve">)</t>
    </r>
    <r>
      <rPr>
        <sz val="10"/>
        <color rgb="FF0000FF"/>
        <rFont val="Noto Sans CJK SC"/>
        <family val="2"/>
      </rPr>
      <t xml:space="preserve">。内訳チェック</t>
    </r>
    <r>
      <rPr>
        <sz val="10"/>
        <color rgb="FF0000FF"/>
        <rFont val="Arial"/>
        <family val="0"/>
        <charset val="1"/>
      </rPr>
      <t xml:space="preserve">4</t>
    </r>
    <r>
      <rPr>
        <sz val="10"/>
        <color rgb="FF0000FF"/>
        <rFont val="Noto Sans CJK SC"/>
        <family val="2"/>
      </rPr>
      <t xml:space="preserve">千円は開示数値の丸めに由来。開示上の賃貸事業損益</t>
    </r>
    <r>
      <rPr>
        <sz val="10"/>
        <color rgb="FF0000FF"/>
        <rFont val="Arial"/>
        <family val="0"/>
        <charset val="1"/>
      </rPr>
      <t xml:space="preserve">5,315,649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数式値と完全一致</t>
    </r>
    <r>
      <rPr>
        <sz val="10"/>
        <color rgb="FF0000FF"/>
        <rFont val="Arial"/>
        <family val="0"/>
        <charset val="1"/>
      </rPr>
      <t xml:space="preserve">)</t>
    </r>
    <r>
      <rPr>
        <sz val="10"/>
        <color rgb="FF0000FF"/>
        <rFont val="Noto Sans CJK SC"/>
        <family val="2"/>
      </rPr>
      <t xml:space="preserve">。資本的支出は百万円開示の千円換算概数</t>
    </r>
  </si>
  <si>
    <r>
      <rPr>
        <sz val="10"/>
        <color rgb="FF0000FF"/>
        <rFont val="Arial"/>
        <family val="0"/>
        <charset val="1"/>
      </rPr>
      <t xml:space="preserve">DOI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(2026/7/17</t>
    </r>
    <r>
      <rPr>
        <sz val="10"/>
        <color rgb="FF0000FF"/>
        <rFont val="Noto Sans CJK SC"/>
        <family val="2"/>
      </rPr>
      <t xml:space="preserve">公表</t>
    </r>
    <r>
      <rPr>
        <sz val="10"/>
        <color rgb="FF0000FF"/>
        <rFont val="Arial"/>
        <family val="0"/>
        <charset val="1"/>
      </rPr>
      <t xml:space="preserve">) p.36-38 </t>
    </r>
    <r>
      <rPr>
        <sz val="10"/>
        <color rgb="FF0000FF"/>
        <rFont val="Noto Sans CJK SC"/>
        <family val="2"/>
      </rPr>
      <t xml:space="preserve">建物及び賃貸借の概要</t>
    </r>
  </si>
  <si>
    <t xml:space="preserve">賃貸事業収入(賃料・共益費・駐車場等込み、千円単位)。物件別費用は短信非開示（個別物件収支データXLSは別途公表、法人一括はDOI-ALL行）</t>
  </si>
  <si>
    <t xml:space="preserve">主要テナントの同意が得られず賃貸事業収入非開示（短信注8）。期中譲渡物件。法人一括はDOI-ALL行参照</t>
  </si>
  <si>
    <t xml:space="preserve">年換算値は実態と乖離するため利回り算定に用いない（期中譲渡）</t>
  </si>
  <si>
    <t xml:space="preserve">主要テナントの同意が得られず賃貸事業収入非開示（短信注8）。法人一括はDOI-ALL行参照</t>
  </si>
  <si>
    <r>
      <rPr>
        <sz val="10"/>
        <color rgb="FF0000FF"/>
        <rFont val="Arial"/>
        <family val="0"/>
        <charset val="1"/>
      </rPr>
      <t xml:space="preserve">2026/3/27</t>
    </r>
    <r>
      <rPr>
        <sz val="10"/>
        <color rgb="FF0000FF"/>
        <rFont val="Noto Sans CJK SC"/>
        <family val="2"/>
      </rPr>
      <t xml:space="preserve">譲渡、期中約</t>
    </r>
    <r>
      <rPr>
        <sz val="10"/>
        <color rgb="FF0000FF"/>
        <rFont val="Arial"/>
        <family val="0"/>
        <charset val="1"/>
      </rPr>
      <t xml:space="preserve">3.9</t>
    </r>
    <r>
      <rPr>
        <sz val="10"/>
        <color rgb="FF0000FF"/>
        <rFont val="Noto Sans CJK SC"/>
        <family val="2"/>
      </rPr>
      <t xml:space="preserve">ヶ月分。賃貸事業収入</t>
    </r>
    <r>
      <rPr>
        <sz val="10"/>
        <color rgb="FF0000FF"/>
        <rFont val="Arial"/>
        <family val="0"/>
        <charset val="1"/>
      </rPr>
      <t xml:space="preserve">(</t>
    </r>
    <r>
      <rPr>
        <sz val="10"/>
        <color rgb="FF0000FF"/>
        <rFont val="Noto Sans CJK SC"/>
        <family val="2"/>
      </rPr>
      <t xml:space="preserve">賃料・共益費・駐車場等込み、千円単位</t>
    </r>
    <r>
      <rPr>
        <sz val="10"/>
        <color rgb="FF0000FF"/>
        <rFont val="Arial"/>
        <family val="0"/>
        <charset val="1"/>
      </rPr>
      <t xml:space="preserve">)</t>
    </r>
    <r>
      <rPr>
        <sz val="10"/>
        <color rgb="FF0000FF"/>
        <rFont val="Noto Sans CJK SC"/>
        <family val="2"/>
      </rPr>
      <t xml:space="preserve">。物件別費用は短信非開示（個別物件収支データ</t>
    </r>
    <r>
      <rPr>
        <sz val="10"/>
        <color rgb="FF0000FF"/>
        <rFont val="Arial"/>
        <family val="0"/>
        <charset val="1"/>
      </rPr>
      <t xml:space="preserve">XLS</t>
    </r>
    <r>
      <rPr>
        <sz val="10"/>
        <color rgb="FF0000FF"/>
        <rFont val="Noto Sans CJK SC"/>
        <family val="2"/>
      </rPr>
      <t xml:space="preserve">は別途公表、法人一括は</t>
    </r>
    <r>
      <rPr>
        <sz val="10"/>
        <color rgb="FF0000FF"/>
        <rFont val="Arial"/>
        <family val="0"/>
        <charset val="1"/>
      </rPr>
      <t xml:space="preserve">DOI-ALL</t>
    </r>
    <r>
      <rPr>
        <sz val="10"/>
        <color rgb="FF0000FF"/>
        <rFont val="Noto Sans CJK SC"/>
        <family val="2"/>
      </rPr>
      <t xml:space="preserve">行）</t>
    </r>
  </si>
  <si>
    <r>
      <rPr>
        <sz val="10"/>
        <color rgb="FF0000FF"/>
        <rFont val="Arial"/>
        <family val="0"/>
        <charset val="1"/>
      </rPr>
      <t xml:space="preserve">2026/3/27</t>
    </r>
    <r>
      <rPr>
        <sz val="10"/>
        <color rgb="FF0000FF"/>
        <rFont val="Noto Sans CJK SC"/>
        <family val="2"/>
      </rPr>
      <t xml:space="preserve">取得、期中約</t>
    </r>
    <r>
      <rPr>
        <sz val="10"/>
        <color rgb="FF0000FF"/>
        <rFont val="Arial"/>
        <family val="0"/>
        <charset val="1"/>
      </rPr>
      <t xml:space="preserve">2</t>
    </r>
    <r>
      <rPr>
        <sz val="10"/>
        <color rgb="FF0000FF"/>
        <rFont val="Noto Sans CJK SC"/>
        <family val="2"/>
      </rPr>
      <t xml:space="preserve">ヶ月分（月坪換算は過小となる点に留意）。賃貸事業収入</t>
    </r>
    <r>
      <rPr>
        <sz val="10"/>
        <color rgb="FF0000FF"/>
        <rFont val="Arial"/>
        <family val="0"/>
        <charset val="1"/>
      </rPr>
      <t xml:space="preserve">(</t>
    </r>
    <r>
      <rPr>
        <sz val="10"/>
        <color rgb="FF0000FF"/>
        <rFont val="Noto Sans CJK SC"/>
        <family val="2"/>
      </rPr>
      <t xml:space="preserve">賃料・共益費・駐車場等込み、千円単位</t>
    </r>
    <r>
      <rPr>
        <sz val="10"/>
        <color rgb="FF0000FF"/>
        <rFont val="Arial"/>
        <family val="0"/>
        <charset val="1"/>
      </rPr>
      <t xml:space="preserve">)</t>
    </r>
    <r>
      <rPr>
        <sz val="10"/>
        <color rgb="FF0000FF"/>
        <rFont val="Noto Sans CJK SC"/>
        <family val="2"/>
      </rPr>
      <t xml:space="preserve">。物件別費用は短信非開示（個別物件収支データ</t>
    </r>
    <r>
      <rPr>
        <sz val="10"/>
        <color rgb="FF0000FF"/>
        <rFont val="Arial"/>
        <family val="0"/>
        <charset val="1"/>
      </rPr>
      <t xml:space="preserve">XLS</t>
    </r>
    <r>
      <rPr>
        <sz val="10"/>
        <color rgb="FF0000FF"/>
        <rFont val="Noto Sans CJK SC"/>
        <family val="2"/>
      </rPr>
      <t xml:space="preserve">は別途公表、法人一括は</t>
    </r>
    <r>
      <rPr>
        <sz val="10"/>
        <color rgb="FF0000FF"/>
        <rFont val="Arial"/>
        <family val="0"/>
        <charset val="1"/>
      </rPr>
      <t xml:space="preserve">DOI-ALL</t>
    </r>
    <r>
      <rPr>
        <sz val="10"/>
        <color rgb="FF0000FF"/>
        <rFont val="Noto Sans CJK SC"/>
        <family val="2"/>
      </rPr>
      <t xml:space="preserve">行）</t>
    </r>
  </si>
  <si>
    <r>
      <rPr>
        <sz val="10"/>
        <color rgb="FF0000FF"/>
        <rFont val="Arial"/>
        <family val="0"/>
        <charset val="1"/>
      </rPr>
      <t xml:space="preserve">2026/3/31</t>
    </r>
    <r>
      <rPr>
        <sz val="10"/>
        <color rgb="FF0000FF"/>
        <rFont val="Noto Sans CJK SC"/>
        <family val="2"/>
      </rPr>
      <t xml:space="preserve">取得、期中約</t>
    </r>
    <r>
      <rPr>
        <sz val="10"/>
        <color rgb="FF0000FF"/>
        <rFont val="Arial"/>
        <family val="0"/>
        <charset val="1"/>
      </rPr>
      <t xml:space="preserve">2</t>
    </r>
    <r>
      <rPr>
        <sz val="10"/>
        <color rgb="FF0000FF"/>
        <rFont val="Noto Sans CJK SC"/>
        <family val="2"/>
      </rPr>
      <t xml:space="preserve">ヶ月分（月坪換算は過小となる点に留意）。賃貸事業収入</t>
    </r>
    <r>
      <rPr>
        <sz val="10"/>
        <color rgb="FF0000FF"/>
        <rFont val="Arial"/>
        <family val="0"/>
        <charset val="1"/>
      </rPr>
      <t xml:space="preserve">(</t>
    </r>
    <r>
      <rPr>
        <sz val="10"/>
        <color rgb="FF0000FF"/>
        <rFont val="Noto Sans CJK SC"/>
        <family val="2"/>
      </rPr>
      <t xml:space="preserve">賃料・共益費・駐車場等込み、千円単位</t>
    </r>
    <r>
      <rPr>
        <sz val="10"/>
        <color rgb="FF0000FF"/>
        <rFont val="Arial"/>
        <family val="0"/>
        <charset val="1"/>
      </rPr>
      <t xml:space="preserve">)</t>
    </r>
    <r>
      <rPr>
        <sz val="10"/>
        <color rgb="FF0000FF"/>
        <rFont val="Noto Sans CJK SC"/>
        <family val="2"/>
      </rPr>
      <t xml:space="preserve">。物件別費用は短信非開示（個別物件収支データ</t>
    </r>
    <r>
      <rPr>
        <sz val="10"/>
        <color rgb="FF0000FF"/>
        <rFont val="Arial"/>
        <family val="0"/>
        <charset val="1"/>
      </rPr>
      <t xml:space="preserve">XLS</t>
    </r>
    <r>
      <rPr>
        <sz val="10"/>
        <color rgb="FF0000FF"/>
        <rFont val="Noto Sans CJK SC"/>
        <family val="2"/>
      </rPr>
      <t xml:space="preserve">は別途公表、法人一括は</t>
    </r>
    <r>
      <rPr>
        <sz val="10"/>
        <color rgb="FF0000FF"/>
        <rFont val="Arial"/>
        <family val="0"/>
        <charset val="1"/>
      </rPr>
      <t xml:space="preserve">DOI-ALL</t>
    </r>
    <r>
      <rPr>
        <sz val="10"/>
        <color rgb="FF0000FF"/>
        <rFont val="Noto Sans CJK SC"/>
        <family val="2"/>
      </rPr>
      <t xml:space="preserve">行）</t>
    </r>
  </si>
  <si>
    <r>
      <rPr>
        <sz val="10"/>
        <color rgb="FF0000FF"/>
        <rFont val="Arial"/>
        <family val="0"/>
        <charset val="1"/>
      </rPr>
      <t xml:space="preserve">DOI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(2026/7/17</t>
    </r>
    <r>
      <rPr>
        <sz val="10"/>
        <color rgb="FF0000FF"/>
        <rFont val="Noto Sans CJK SC"/>
        <family val="2"/>
      </rPr>
      <t xml:space="preserve">公表</t>
    </r>
    <r>
      <rPr>
        <sz val="10"/>
        <color rgb="FF0000FF"/>
        <rFont val="Arial"/>
        <family val="0"/>
        <charset val="1"/>
      </rPr>
      <t xml:space="preserve">) p.22 </t>
    </r>
    <r>
      <rPr>
        <sz val="10"/>
        <color rgb="FF0000FF"/>
        <rFont val="Noto Sans CJK SC"/>
        <family val="2"/>
      </rPr>
      <t xml:space="preserve">不動産賃貸事業損益の内訳・</t>
    </r>
    <r>
      <rPr>
        <sz val="10"/>
        <color rgb="FF0000FF"/>
        <rFont val="Arial"/>
        <family val="0"/>
        <charset val="1"/>
      </rPr>
      <t xml:space="preserve">p.39 </t>
    </r>
    <r>
      <rPr>
        <sz val="10"/>
        <color rgb="FF0000FF"/>
        <rFont val="Noto Sans CJK SC"/>
        <family val="2"/>
      </rPr>
      <t xml:space="preserve">資本的支出</t>
    </r>
  </si>
  <si>
    <r>
      <rPr>
        <sz val="10"/>
        <color rgb="FF0000FF"/>
        <rFont val="Arial"/>
        <family val="0"/>
        <charset val="1"/>
      </rPr>
      <t xml:space="preserve">G</t>
    </r>
    <r>
      <rPr>
        <sz val="10"/>
        <color rgb="FF0000FF"/>
        <rFont val="Noto Sans CJK SC"/>
        <family val="2"/>
      </rPr>
      <t xml:space="preserve">列は「賃貸事業収入」</t>
    </r>
    <r>
      <rPr>
        <sz val="10"/>
        <color rgb="FF0000FF"/>
        <rFont val="Arial"/>
        <family val="0"/>
        <charset val="1"/>
      </rPr>
      <t xml:space="preserve">(</t>
    </r>
    <r>
      <rPr>
        <sz val="10"/>
        <color rgb="FF0000FF"/>
        <rFont val="Noto Sans CJK SC"/>
        <family val="2"/>
      </rPr>
      <t xml:space="preserve">賃料・共益費・駐車場等一体開示のため分離不能</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H</t>
    </r>
    <r>
      <rPr>
        <sz val="10"/>
        <color rgb="FF0000FF"/>
        <rFont val="Noto Sans CJK SC"/>
        <family val="2"/>
      </rPr>
      <t xml:space="preserve">列は「その他賃貸事業収入」。内訳チェック</t>
    </r>
    <r>
      <rPr>
        <sz val="10"/>
        <color rgb="FF0000FF"/>
        <rFont val="Arial"/>
        <family val="0"/>
        <charset val="1"/>
      </rPr>
      <t xml:space="preserve">4</t>
    </r>
    <r>
      <rPr>
        <sz val="10"/>
        <color rgb="FF0000FF"/>
        <rFont val="Noto Sans CJK SC"/>
        <family val="2"/>
      </rPr>
      <t xml:space="preserve">千円は開示数値の丸めに由来。開示上の賃貸事業損益</t>
    </r>
    <r>
      <rPr>
        <sz val="10"/>
        <color rgb="FF0000FF"/>
        <rFont val="Arial"/>
        <family val="0"/>
        <charset val="1"/>
      </rPr>
      <t xml:space="preserve">9,131,616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数式値と完全一致</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J</t>
    </r>
    <r>
      <rPr>
        <sz val="10"/>
        <color rgb="FF0000FF"/>
        <rFont val="Noto Sans CJK SC"/>
        <family val="2"/>
      </rPr>
      <t xml:space="preserve">列は外注委託費、資本的支出は百万円開示の千円換算概数。【原資料内不整合の注記】物件別開示値の積上げと短信の地域別合計欄に丸め由来の微差あり</t>
    </r>
    <r>
      <rPr>
        <sz val="10"/>
        <color rgb="FF0000FF"/>
        <rFont val="Arial"/>
        <family val="0"/>
        <charset val="1"/>
      </rPr>
      <t xml:space="preserve">(</t>
    </r>
    <r>
      <rPr>
        <sz val="10"/>
        <color rgb="FF0000FF"/>
        <rFont val="Noto Sans CJK SC"/>
        <family val="2"/>
      </rPr>
      <t xml:space="preserve">首都圏</t>
    </r>
    <r>
      <rPr>
        <sz val="10"/>
        <color rgb="FF0000FF"/>
        <rFont val="Arial"/>
        <family val="0"/>
        <charset val="1"/>
      </rPr>
      <t xml:space="preserve">:</t>
    </r>
    <r>
      <rPr>
        <sz val="10"/>
        <color rgb="FF0000FF"/>
        <rFont val="Noto Sans CJK SC"/>
        <family val="2"/>
      </rPr>
      <t xml:space="preserve">積上</t>
    </r>
    <r>
      <rPr>
        <sz val="10"/>
        <color rgb="FF0000FF"/>
        <rFont val="Arial"/>
        <family val="0"/>
        <charset val="1"/>
      </rPr>
      <t xml:space="preserve">2,710,128vs</t>
    </r>
    <r>
      <rPr>
        <sz val="10"/>
        <color rgb="FF0000FF"/>
        <rFont val="Noto Sans CJK SC"/>
        <family val="2"/>
      </rPr>
      <t xml:space="preserve">表記</t>
    </r>
    <r>
      <rPr>
        <sz val="10"/>
        <color rgb="FF0000FF"/>
        <rFont val="Arial"/>
        <family val="0"/>
        <charset val="1"/>
      </rPr>
      <t xml:space="preserve">2,710,131</t>
    </r>
    <r>
      <rPr>
        <sz val="10"/>
        <color rgb="FF0000FF"/>
        <rFont val="Noto Sans CJK SC"/>
        <family val="2"/>
      </rPr>
      <t xml:space="preserve">、地域計合算</t>
    </r>
    <r>
      <rPr>
        <sz val="10"/>
        <color rgb="FF0000FF"/>
        <rFont val="Arial"/>
        <family val="0"/>
        <charset val="1"/>
      </rPr>
      <t xml:space="preserve">14,911,594vs</t>
    </r>
    <r>
      <rPr>
        <sz val="10"/>
        <color rgb="FF0000FF"/>
        <rFont val="Noto Sans CJK SC"/>
        <family val="2"/>
      </rPr>
      <t xml:space="preserve">総額</t>
    </r>
    <r>
      <rPr>
        <sz val="10"/>
        <color rgb="FF0000FF"/>
        <rFont val="Arial"/>
        <family val="0"/>
        <charset val="1"/>
      </rPr>
      <t xml:space="preserve">14,911,595)</t>
    </r>
    <r>
      <rPr>
        <sz val="10"/>
        <color rgb="FF0000FF"/>
        <rFont val="Noto Sans CJK SC"/>
        <family val="2"/>
      </rPr>
      <t xml:space="preserve">。個別値を正として転記済、有報での再照合を推奨</t>
    </r>
  </si>
  <si>
    <t xml:space="preserve">開示（物件別・費用内訳含む）</t>
  </si>
  <si>
    <r>
      <rPr>
        <sz val="10"/>
        <color rgb="FF0000FF"/>
        <rFont val="Arial"/>
        <family val="0"/>
        <charset val="1"/>
      </rPr>
      <t xml:space="preserve">MHR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(2026/3/17</t>
    </r>
    <r>
      <rPr>
        <sz val="10"/>
        <color rgb="FF0000FF"/>
        <rFont val="Noto Sans CJK SC"/>
        <family val="2"/>
      </rPr>
      <t xml:space="preserve">公表</t>
    </r>
    <r>
      <rPr>
        <sz val="10"/>
        <color rgb="FF0000FF"/>
        <rFont val="Arial"/>
        <family val="0"/>
        <charset val="1"/>
      </rPr>
      <t xml:space="preserve">) p.51-56 </t>
    </r>
    <r>
      <rPr>
        <sz val="10"/>
        <color rgb="FF0000FF"/>
        <rFont val="Noto Sans CJK SC"/>
        <family val="2"/>
      </rPr>
      <t xml:space="preserve">収支の状況</t>
    </r>
  </si>
  <si>
    <t xml:space="preserve">物件別完全収支(千円・費用内訳/NOI/CAPEX/NCFまで短信開示)。J列=管理委託費。内訳チェック1〜4千円は原資料の千円未満切捨て表示に由来(短信の合計欄自体が内訳積上げと微差)</t>
  </si>
  <si>
    <t xml:space="preserve">物件別完全収支(千円・費用内訳/NOI/CAPEX/NCFまで短信開示)。J列=管理委託費。2025/12/1に持分11.9%追加取得(期中2ヶ月分は追加持分反映)。内訳チェック1〜4千円は原資料の千円未満切捨て表示に由来(短信の合計欄自体が内訳積上げと微差)</t>
  </si>
  <si>
    <t xml:space="preserve">物件別完全収支(千円・費用内訳/NOI/CAPEX/NCFまで短信開示)。J列=管理委託費。賃貸事業損益は△5,376千円と赤字(住戸リニューアル関連の修繕費60百万円計上のため)。稼働86.1%。内訳チェック1〜4千円は原資料の千円未満切捨て表示に由来(短信の合計欄自体が内訳積上げと微差)</t>
  </si>
  <si>
    <t xml:space="preserve">物件別完全収支(千円・費用内訳/NOI/CAPEX/NCFまで短信開示)。J列=管理委託費。住宅。修繕費55百万円計上で損益は僅少(2,325千円)。内訳チェック1〜4千円は原資料の千円未満切捨て表示に由来(短信の合計欄自体が内訳積上げと微差)</t>
  </si>
  <si>
    <t xml:space="preserve">物件別完全収支(千円・費用内訳/NOI/CAPEX/NCFまで短信開示)。J列=管理委託費。底地(減価償却なし)。2025/12/1に持分7%譲渡(期中一部譲渡・注4)。譲渡益1,519百万円は本表収支外(営業収益の不動産等譲渡益)。内訳チェック1〜4千円は原資料の千円未満切捨て表示に由来(短信の合計欄自体が内訳積上げと微差)</t>
  </si>
  <si>
    <r>
      <rPr>
        <sz val="10"/>
        <color rgb="FF0000FF"/>
        <rFont val="Arial"/>
        <family val="0"/>
        <charset val="1"/>
      </rPr>
      <t xml:space="preserve">MHR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39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(2026/3/17</t>
    </r>
    <r>
      <rPr>
        <sz val="10"/>
        <color rgb="FF0000FF"/>
        <rFont val="Noto Sans CJK SC"/>
        <family val="2"/>
      </rPr>
      <t xml:space="preserve">公表</t>
    </r>
    <r>
      <rPr>
        <sz val="10"/>
        <color rgb="FF0000FF"/>
        <rFont val="Arial"/>
        <family val="0"/>
        <charset val="1"/>
      </rPr>
      <t xml:space="preserve">) p.19 </t>
    </r>
    <r>
      <rPr>
        <sz val="10"/>
        <color rgb="FF0000FF"/>
        <rFont val="Noto Sans CJK SC"/>
        <family val="2"/>
      </rPr>
      <t xml:space="preserve">不動産賃貸事業損益の内訳・</t>
    </r>
    <r>
      <rPr>
        <sz val="10"/>
        <color rgb="FF0000FF"/>
        <rFont val="Arial"/>
        <family val="0"/>
        <charset val="1"/>
      </rPr>
      <t xml:space="preserve">p.56 </t>
    </r>
    <r>
      <rPr>
        <sz val="10"/>
        <color rgb="FF0000FF"/>
        <rFont val="Noto Sans CJK SC"/>
        <family val="2"/>
      </rPr>
      <t xml:space="preserve">収支合計</t>
    </r>
  </si>
  <si>
    <t xml:space="preserve">物件別行の合計と法人一括が完全一致(千円単位)。J列=管理委託費。P列その他=信託報酬6,019+賃借料166,350+その他16,819。開示上の損益6,128,531千円・NOI7,218,819千円(数式値と完全一致)。CAPEX285,009千円のほか修繕費179百万・施工管理報酬13.6百万で計478百万円の工事実施。【原資料内不整合の注記】短信は千円未満切捨て表示のため、物件別行の積上げと一括欄に最大6千円の微差(収入9,861,783vs9,861,789等)、各物件の内訳合計と費用合計欄にも1〜4千円差が存在。開示表示値をそのまま転記済(円単位原数値は非開示)</t>
  </si>
  <si>
    <t xml:space="preserve">開示（物件別・収益のみ、百万円単位）</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</si>
  <si>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 p.31-32 </t>
    </r>
    <r>
      <rPr>
        <sz val="10"/>
        <color rgb="FF0000FF"/>
        <rFont val="Noto Sans CJK SC"/>
        <family val="2"/>
      </rPr>
      <t xml:space="preserve">テナント等の概要</t>
    </r>
  </si>
  <si>
    <t xml:space="preserve">総賃貸収入(=当該物件の営業収益計・百万円未満切捨て)を千円換算した概数。費用内訳は物件別非開示(法人一括のNBF-ALL行参照)。J-REIT運用資産中最大の旗艦物件。サブリース型(変動賃料)</t>
  </si>
  <si>
    <t xml:space="preserve">百万円単位（下3桁は概数）</t>
  </si>
  <si>
    <t xml:space="preserve">総賃貸収入(=当該物件の営業収益計・百万円未満切捨て)を千円換算した概数。費用内訳は物件別非開示(法人一括のNBF-ALL行参照)。2021/9・2022/3・2023/3の3回取得合計。サブリース型(変動)</t>
  </si>
  <si>
    <t xml:space="preserve">総賃貸収入(=当該物件の営業収益計・百万円未満切捨て)を千円換算した概数。費用内訳は物件別非開示(法人一括のNBF-ALL行参照)。サブリース型(変動)</t>
  </si>
  <si>
    <t xml:space="preserve">総賃貸収入(=当該物件の営業収益計・百万円未満切捨て)を千円換算した概数。費用内訳は物件別非開示(法人一括のNBF-ALL行参照)。任意組合出資持分(西新宿六丁目共有組合)含む。2002〜2023年の8回分割取得合計。サブリース型(変動)</t>
  </si>
  <si>
    <t xml:space="preserve">総賃貸収入(=当該物件の営業収益計・百万円未満切捨て)を千円換算した概数。費用内訳は物件別非開示(法人一括のNBF-ALL行参照)。2013/5・2018/3の取得合計。ホテル部分は固定賃料契約</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</si>
  <si>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 p.31-32</t>
    </r>
  </si>
  <si>
    <t xml:space="preserve">テナント又は共有者の同意が得られず収益非開示(短信注3)。主要テナント:楽天グループ</t>
  </si>
  <si>
    <t xml:space="preserve">総賃貸収入(=当該物件の営業収益計・百万円未満切捨て)を千円換算した概数。費用内訳は物件別非開示(法人一括のNBF-ALL行参照)。鑑定評価額60,800百万円は取得価格の約2倍。主要テナント:アクサ生命</t>
  </si>
  <si>
    <t xml:space="preserve">総賃貸収入(=当該物件の営業収益計・百万円未満切捨て)を千円換算した概数。費用内訳は物件別非開示(法人一括のNBF-ALL行参照)</t>
  </si>
  <si>
    <t xml:space="preserve">総賃貸収入(=当該物件の営業収益計・百万円未満切捨て)を千円換算した概数。費用内訳は物件別非開示(法人一括のNBF-ALL行参照)。2019年3・4月の取得合計</t>
  </si>
  <si>
    <t xml:space="preserve">総賃貸収入(=当該物件の営業収益計・百万円未満切捨て)を千円換算した概数。費用内訳は物件別非開示(法人一括のNBF-ALL行参照)。敷地の賃借権を含む。2004/11・2006/4の取得合計。サブリース型(変動)</t>
  </si>
  <si>
    <t xml:space="preserve">テナント又は共有者の同意が得られず収益非開示(短信注3)。2004/2・2013/3の取得合計。主要テナント:インフィニオンテクノロジーズジャパン</t>
  </si>
  <si>
    <t xml:space="preserve">テナント又は共有者の同意が得られず収益非開示(短信注3)。地上権を含む</t>
  </si>
  <si>
    <t xml:space="preserve">総賃貸収入(=当該物件の営業収益計・百万円未満切捨て)を千円換算した概数。費用内訳は物件別非開示(法人一括のNBF-ALL行参照)。2001〜2024年の5回分割取得合計。住宅部分はサブリース(変動)</t>
  </si>
  <si>
    <t xml:space="preserve">総賃貸収入(=当該物件の営業収益計・百万円未満切捨て)を千円換算した概数。費用内訳は物件別非開示(法人一括のNBF-ALL行参照)。2025/1/6付で建物を譲渡(売却益7,838千円)し底地のみ保有。NLA・稼働率・テナント数は開示対象外。取得価格は物件取得時の土地取得価格</t>
  </si>
  <si>
    <t xml:space="preserve">総賃貸収入(=当該物件の営業収益計・百万円未満切捨て)を千円換算した概数。費用内訳は物件別非開示(法人一括のNBF-ALL行参照)。2021/1取得価格から2024/3一部譲渡持分(約80%)を控除した残存持分の価格</t>
  </si>
  <si>
    <t xml:space="preserve">年換算値は実態と乖離するため利回り算定に用いない（期中の持分譲渡により分母（取得価格）のみ減額）</t>
  </si>
  <si>
    <t xml:space="preserve">総賃貸収入(=当該物件の営業収益計・百万円未満切捨て)を千円換算した概数。費用内訳は物件別非開示(法人一括のNBF-ALL行参照)。鑑定評価額が取得価格を下回る数少ない物件。サブリース型(変動)</t>
  </si>
  <si>
    <t xml:space="preserve">総賃貸収入(=当該物件の営業収益計・百万円未満切捨て)を千円換算した概数。費用内訳は物件別非開示(法人一括のNBF-ALL行参照)。2005/9・2020/11の取得合計。サブリース型(変動)</t>
  </si>
  <si>
    <t xml:space="preserve">テナント又は共有者の同意が得られず収益非開示(短信注3)。2026/6/30付で三井不動産へ譲渡予定(譲渡価格10,000百万円=鑑定5,360百万円の約1.9倍、売却益5,112百万円見込)。港区三田・1991年6月竣工・SRC地下1階付12階建・延床9,185.13㎡(後発事象注記より)</t>
  </si>
  <si>
    <t xml:space="preserve">テナント又は共有者の同意が得られず収益非開示(短信注3)</t>
  </si>
  <si>
    <t xml:space="preserve">テナント又は共有者の同意が得られず収益非開示(短信注3)。旧NBF新川ビルの取得価格を2020/6/30鑑定評価額比率で按分した金額</t>
  </si>
  <si>
    <t xml:space="preserve">テナント又は共有者の同意が得られず収益非開示(短信注3)。区分所有権(2022〜2024年3回取得・既存保有約47.69%)。2026/3/31付で追加取得予定(約9.19%・14,810百万円→合計約56.88%)。2020年3月竣工・地下2階付36階建・延床178,504.10㎡(建物全体)。店舗区画は固定賃料型ML</t>
  </si>
  <si>
    <t xml:space="preserve">テナント又は共有者の同意が得られず収益非開示(短信注3)。主要テナント:ソニーグループ(賃貸面積73,477㎡=ポートフォリオ全体の6.0%)</t>
  </si>
  <si>
    <t xml:space="preserve">総賃貸収入(=当該物件の営業収益計・百万円未満切捨て)を千円換算した概数。費用内訳は物件別非開示(法人一括のNBF-ALL行参照)。2006・2011・2013年の3回取得合計。サブリース型(変動)</t>
  </si>
  <si>
    <t xml:space="preserve">総賃貸収入(=当該物件の営業収益計・百万円未満切捨て)を千円換算した概数。費用内訳は物件別非開示(法人一括のNBF-ALL行参照)。主要テナント:ソフトバンク</t>
  </si>
  <si>
    <t xml:space="preserve">テナント又は共有者の同意が得られず収益非開示(短信注3)。2016/6・2021/3の取得合計。主要テナント:日立リアルエステートパートナーズ</t>
  </si>
  <si>
    <t xml:space="preserve">総賃貸収入(=当該物件の営業収益計・百万円未満切捨て)を千円換算した概数。費用内訳は物件別非開示(法人一括のNBF-ALL行参照)。主要テナント:博報堂DYホールディングス</t>
  </si>
  <si>
    <t xml:space="preserve">総賃貸収入(=当該物件の営業収益計・百万円未満切捨て)を千円換算した概数。費用内訳は物件別非開示(法人一括のNBF-ALL行参照)。2016〜2020年の5回分割取得合計。サブリース型(変動)</t>
  </si>
  <si>
    <t xml:space="preserve">総賃貸収入(=当該物件の営業収益計・百万円未満切捨て)を千円換算した概数。費用内訳は物件別非開示(法人一括のNBF-ALL行参照)。任意組合出資持分(中目黒GTタワー共有床組合)含む。2003〜2005年の3回取得合計。サブリース型(変動)</t>
  </si>
  <si>
    <t xml:space="preserve">テナント又は共有者の同意が得られず収益非開示(短信注3)。サブリース型(変動)</t>
  </si>
  <si>
    <t xml:space="preserve">テナント又は共有者の同意が得られず収益非開示(短信注3)。主要テナント:アフラック生命</t>
  </si>
  <si>
    <t xml:space="preserve">総賃貸収入(=当該物件の営業収益計・百万円未満切捨て)を千円換算した概数。費用内訳は物件別非開示(法人一括のNBF-ALL行参照)。2025年1月(第48期)取得。サブリース型(変動)</t>
  </si>
  <si>
    <t xml:space="preserve">総賃貸収入(=当該物件の営業収益計・百万円未満切捨て)を千円換算した概数。費用内訳は物件別非開示(法人一括のNBF-ALL行参照)。2025/7/1取得(当期期中取得・約6ヶ月稼働)。主要テナント:エフサステクノロジーズ</t>
  </si>
  <si>
    <t xml:space="preserve">総賃貸収入(=当該物件の営業収益計・百万円未満切捨て)を千円換算した概数。費用内訳は物件別非開示(法人一括のNBF-ALL行参照)。2001/5・2021/11の取得合計。当期B1階商業エリア共用部リニューアル実施</t>
  </si>
  <si>
    <t xml:space="preserve">総賃貸収入(=当該物件の営業収益計・百万円未満切捨て)を千円換算した概数。費用内訳は物件別非開示(法人一括のNBF-ALL行参照)。2004年の2回取得合計</t>
  </si>
  <si>
    <t xml:space="preserve">総賃貸収入(=当該物件の営業収益計・百万円未満切捨て)を千円換算した概数。費用内訳は物件別非開示(法人一括のNBF-ALL行参照)。2025/11取得(当期期中取得・約2ヶ月のため収益17百万円は期間僅少)。稼働62.3%はリースアップ途上。2026/4/1付で「CONNECT SAPPORO」から名称変更予定</t>
  </si>
  <si>
    <t xml:space="preserve">百万円単位・低精度（収入50百万円未満で丸め影響大）</t>
  </si>
  <si>
    <t xml:space="preserve">総賃貸収入(=当該物件の営業収益計・百万円未満切捨て)を千円換算した概数。費用内訳は物件別非開示(法人一括のNBF-ALL行参照)。2003〜2005年の4回分割取得合計</t>
  </si>
  <si>
    <t xml:space="preserve">総賃貸収入(=当該物件の営業収益計・百万円未満切捨て)を千円換算した概数。費用内訳は物件別非開示(法人一括のNBF-ALL行参照)。2026/7/1付で譲渡予定(譲渡価格1,900百万円・売却益217百万円見込)。1990年11月竣工・SRC地下2階付9階建・延床8,149.78㎡(後発事象注記より)</t>
  </si>
  <si>
    <t xml:space="preserve">総賃貸収入(=当該物件の営業収益計・百万円未満切捨て)を千円換算した概数。費用内訳は物件別非開示(法人一括のNBF-ALL行参照)。2025年(第48期)取得。稼働46.6%はリースアップ途上</t>
  </si>
  <si>
    <t xml:space="preserve">総賃貸収入(=当該物件の営業収益計・百万円未満切捨て)を千円換算した概数。費用内訳は物件別非開示(法人一括のNBF-ALL行参照)。2004/3・2008/3の取得合計</t>
  </si>
  <si>
    <t xml:space="preserve">総賃貸収入(=当該物件の営業収益計・百万円未満切捨て)を千円換算した概数。費用内訳は物件別非開示(法人一括のNBF-ALL行参照)。2005/3・2014/1の取得合計</t>
  </si>
  <si>
    <t xml:space="preserve">総賃貸収入(=当該物件の営業収益計・百万円未満切捨て)を千円換算した概数。費用内訳は物件別非開示(法人一括のNBF-ALL行参照)。2003/11・2012/4の取得合計</t>
  </si>
  <si>
    <r>
      <rPr>
        <sz val="10"/>
        <color rgb="FF0000FF"/>
        <rFont val="Arial"/>
        <family val="0"/>
        <charset val="1"/>
      </rPr>
      <t xml:space="preserve">NBF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 p.20 </t>
    </r>
    <r>
      <rPr>
        <sz val="10"/>
        <color rgb="FF0000FF"/>
        <rFont val="Noto Sans CJK SC"/>
        <family val="2"/>
      </rPr>
      <t xml:space="preserve">不動産等賃貸事業損益の内訳・</t>
    </r>
    <r>
      <rPr>
        <sz val="10"/>
        <color rgb="FF0000FF"/>
        <rFont val="Arial"/>
        <family val="0"/>
        <charset val="1"/>
      </rPr>
      <t xml:space="preserve">p.36-37 </t>
    </r>
    <r>
      <rPr>
        <sz val="10"/>
        <color rgb="FF0000FF"/>
        <rFont val="Noto Sans CJK SC"/>
        <family val="2"/>
      </rPr>
      <t xml:space="preserve">資本的支出</t>
    </r>
  </si>
  <si>
    <t xml:space="preserve">法人一括収支(千円)。G=不動産賃貸収入(家賃42,402,552+共益費2,022,901+その他賃貸収入383,752)、H=その他賃貸事業収入(駐車場697,134/施設使用料311,730/付帯収益2,604,635/解約金58,998/雑収益65,304)。J=外注委託費。K水道光熱費は独立科目なし(P列「諸経費」3,922,526に含む)→K=0は科目非区分のため費用構造比較で留意。内訳チェック2千円は原資料の千円未満切捨て由来。損益23,296,886(開示一致)。CAPEX4,987百万円+費用処理修繕976百万円=5,964百万円の工事実施。当期不動産売却なし(前期は芝NBFタワー等で売却益4,847百万円)。開示59物件の収益計39,685百万円+非開示11物件残差8,862百万円(一括比18.3%)=一括48,547百万円と整合(非開示11物件の取得価格比率19.2%と符合)</t>
  </si>
  <si>
    <t xml:space="preserve">開示（物件別・収益のみ）</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</si>
  <si>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p.31-32 </t>
    </r>
    <r>
      <rPr>
        <sz val="10"/>
        <color rgb="FF0000FF"/>
        <rFont val="Noto Sans CJK SC"/>
        <family val="2"/>
      </rPr>
      <t xml:space="preserve">個別不動産に関する賃貸状況の概要</t>
    </r>
  </si>
  <si>
    <t xml:space="preserve">賃貸事業収入(千円)。費用内訳は物件別非開示(法人一括のJPR-ALL行参照)。2001/12取得</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</si>
  <si>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p.31-32</t>
    </r>
  </si>
  <si>
    <t xml:space="preserve">テナント又は共有者の同意が得られず賃貸事業収入非開示(短信注2)</t>
  </si>
  <si>
    <t xml:space="preserve">賃貸事業収入(千円)。費用内訳は物件別非開示(法人一括のJPR-ALL行参照)</t>
  </si>
  <si>
    <t xml:space="preserve">賃貸事業収入(千円)。費用内訳は物件別非開示(法人一括のJPR-ALL行参照)。2001/11・2002/11・2004/11の3回取得合計(1,670+550+200)</t>
  </si>
  <si>
    <t xml:space="preserve">賃貸事業収入(千円)。費用内訳は物件別非開示(法人一括のJPR-ALL行参照)。敷地面積は一体開発のトリニティ芝浦敷地を含む</t>
  </si>
  <si>
    <t xml:space="preserve">テナント又は共有者の同意が得られず賃貸事業収入非開示(短信注2)。JPR独自区分では品川区は「東京都心」(共通区分ではその他東京23区)。一棟賃貸</t>
  </si>
  <si>
    <t xml:space="preserve">賃貸事業収入(千円)。費用内訳は物件別非開示(法人一括のJPR-ALL行参照)。2004〜2015年の4回取得合計(10,000+180+4,000+786)。敷地・延床は再開発全体。一部サブリース(変動)</t>
  </si>
  <si>
    <t xml:space="preserve">賃貸事業収入(千円)。費用内訳は物件別非開示(法人一括のJPR-ALL行参照)。2004・2005・2010年の3回取得合計(2,900+8,921+3,300)</t>
  </si>
  <si>
    <t xml:space="preserve">賃貸事業収入(千円)。費用内訳は物件別非開示(法人一括のJPR-ALL行参照)。2008/3・2022/12の取得合計(21,000+3,320)。区分所有。一部サブリース(変動)</t>
  </si>
  <si>
    <t xml:space="preserve">テナント又は共有者の同意が得られず賃貸事業収入非開示(短信注2)。2026/1/9付で東京建物へ譲渡(譲渡価格5,100百万円・売却益約1,201百万円を第49期計上予定)</t>
  </si>
  <si>
    <t xml:space="preserve">賃貸事業収入(千円)。費用内訳は物件別非開示(法人一括のJPR-ALL行参照)。2008/12・2019/3の取得合計(1,870+171)</t>
  </si>
  <si>
    <t xml:space="preserve">賃貸事業収入(千円)。費用内訳は物件別非開示(法人一括のJPR-ALL行参照)。建物は含まず土地のみ保有。収入は地代1,839百万円。鑑定59,800百万円は取得価格36,000百万円の1.66倍。主要借地人:有限会社東京プライムステージ</t>
  </si>
  <si>
    <t xml:space="preserve">賃貸事業収入(千円)。費用内訳は物件別非開示(法人一括のJPR-ALL行参照)。住居部分は一部サブリース(変動)</t>
  </si>
  <si>
    <t xml:space="preserve">賃貸事業収入(千円)。費用内訳は物件別非開示(法人一括のJPR-ALL行参照)。2013/12・2014/7の取得合計(3,413+800)</t>
  </si>
  <si>
    <t xml:space="preserve">賃貸事業収入(千円)。費用内訳は物件別非開示(法人一括のJPR-ALL行参照)。2017年2回取得合計(9,200+9,200)。区分所有。一部サブリース(変動)</t>
  </si>
  <si>
    <t xml:space="preserve">賃貸事業収入(千円)。費用内訳は物件別非開示(法人一括のJPR-ALL行参照)。敷地・延床はサウスタワー含む全体。区分所有。一部サブリース(変動)</t>
  </si>
  <si>
    <t xml:space="preserve">賃貸事業収入(千円)。費用内訳は物件別非開示(法人一括のJPR-ALL行参照)。2022/1取得(スポンサー東京建物より)</t>
  </si>
  <si>
    <t xml:space="preserve">テナント又は共有者の同意が得られず賃貸事業収入非開示(短信注2)。区分所有。一部サブリース(変動)</t>
  </si>
  <si>
    <t xml:space="preserve">テナント又は共有者の同意が得られず賃貸事業収入非開示(短信注2)。一棟貸(タワーレコード)</t>
  </si>
  <si>
    <t xml:space="preserve">テナント又は共有者の同意が得られず賃貸事業収入非開示(短信注2)。2007/3・2008/4の取得合計(540+2,200)。区分所有。鑑定評価額が取得価格を下回る</t>
  </si>
  <si>
    <t xml:space="preserve">テナント又は共有者の同意が得られず賃貸事業収入非開示(短信注2)。区分所有</t>
  </si>
  <si>
    <t xml:space="preserve">賃貸事業収入(千円)。費用内訳は物件別非開示(法人一括のJPR-ALL行参照)。鑑定評価額が取得価格を下回る</t>
  </si>
  <si>
    <t xml:space="preserve">賃貸事業収入(千円)。費用内訳は物件別非開示(法人一括のJPR-ALL行参照)。2025/12/18付で準共有持分65.0%を譲渡(売却益1,102,913千円)。取得価格は当初2,927百万円から譲渡持分相当1,902百万円控除後。残る35.0%も2026/1/23付で譲渡済(譲渡価格1,550百万円・売却益約595百万円を第49期計上予定)。NLA等は持分相当</t>
  </si>
  <si>
    <t xml:space="preserve">賃貸事業収入(千円)。費用内訳は物件別非開示(法人一括のJPR-ALL行参照)。2002/9・2013/3の取得合計(920+570)</t>
  </si>
  <si>
    <t xml:space="preserve">賃貸事業収入(千円)。費用内訳は物件別非開示(法人一括のJPR-ALL行参照)。2005/9・2007/2の取得合計(888+2,300)</t>
  </si>
  <si>
    <t xml:space="preserve">賃貸事業収入(千円)。費用内訳は物件別非開示(法人一括のJPR-ALL行参照)。2007/3・2021/10の取得合計(5,831+7,300)。敷地・延床は住宅棟含む再開発全体。一部サブリース(変動)</t>
  </si>
  <si>
    <t xml:space="preserve">賃貸事業収入(千円)。費用内訳は物件別非開示(法人一括のJPR-ALL行参照)。敷地・延床は商業棟・住宅棟含む全体。区分所有。一部サブリース(変動)</t>
  </si>
  <si>
    <t xml:space="preserve">賃貸事業収入(千円)。費用内訳は物件別非開示(法人一括のJPR-ALL行参照)。1998/8増築。敷地・延床は再開発全体。一部サブリース(変動)。稼働88.7%はポートフォリオ最低。鑑定評価額が取得価格を下回る</t>
  </si>
  <si>
    <t xml:space="preserve">賃貸事業収入(千円)。費用内訳は物件別非開示(法人一括のJPR-ALL行参照)。2024/3・2025/2の取得合計(28,800+24,107)=JPR最大の取得価格。買換特例圧縮積立金の対象資産。一部サブリース(変動)</t>
  </si>
  <si>
    <t xml:space="preserve">テナント又は共有者の同意が得られず賃貸事業収入非開示(短信注2)。一棟貸(西友)</t>
  </si>
  <si>
    <t xml:space="preserve">テナント又は共有者の同意が得られず賃貸事業収入非開示(短信注2)。敷地は再開発全体。一棟貸(マルエツ)</t>
  </si>
  <si>
    <t xml:space="preserve">テナント又は共有者の同意が得られず賃貸事業収入非開示(短信注2)。一棟貸(イトーヨーカ堂)。鑑定評価額が取得価格を下回る</t>
  </si>
  <si>
    <t xml:space="preserve">賃貸事業収入(千円)。費用内訳は物件別非開示(法人一括のJPR-ALL行参照)。一部サブリース(変動)。鑑定評価額が取得価格を下回る</t>
  </si>
  <si>
    <t xml:space="preserve">賃貸事業収入(千円)。費用内訳は物件別非開示(法人一括のJPR-ALL行参照)。2025/12/19取得(当期期中取得・約2週間分のため収入14,394千円は期間僅少)</t>
  </si>
  <si>
    <t xml:space="preserve">テナント又は共有者の同意が得られず賃貸事業収入非開示(短信注2)。2025/12/19取得(当期期中取得)。ホテル(一棟貸)</t>
  </si>
  <si>
    <t xml:space="preserve">賃貸事業収入(千円)。費用内訳は物件別非開示(法人一括のJPR-ALL行参照)。鑑定評価額が取得価格の約2倍</t>
  </si>
  <si>
    <t xml:space="preserve">賃貸事業収入(千円)。費用内訳は物件別非開示(法人一括のJPR-ALL行参照)。鑑定評価額24,800百万円は取得価格10,996百万円の2.3倍=含み益率ポートフォリオ最大級</t>
  </si>
  <si>
    <t xml:space="preserve">賃貸事業収入(千円)。費用内訳は物件別非開示(法人一括のJPR-ALL行参照)。2005/1増築。鑑定評価額が取得価格を下回る</t>
  </si>
  <si>
    <t xml:space="preserve">賃貸事業収入(千円)。費用内訳は物件別非開示(法人一括のJPR-ALL行参照)。2007/2増築。2025/6期に隣接土地取得(30,144千円)</t>
  </si>
  <si>
    <t xml:space="preserve">テナント又は共有者の同意が得られず賃貸事業収入非開示(短信注2)。2021/12(4.9%)・2025/12/19(4.6%)の取得合計(11,800+9,200)。竣工はうめきた広場2013/2・南館2013/3。NLA等は持分相当。付随してKMO株式(162,380千円)等を取得。一部サブリース(変動)</t>
  </si>
  <si>
    <t xml:space="preserve">テナント又は共有者の同意が得られず賃貸事業収入非開示(短信注2)。2021/12(4.9%)・2025/12/19(4.6%)の取得合計(9,500+8,000)。NLA等は持分相当。一部固定型ML/ダイレクトリース。テナント数はエンドテナント数</t>
  </si>
  <si>
    <t xml:space="preserve">賃貸事業収入(千円)。費用内訳は物件別非開示(法人一括のJPR-ALL行参照)。稼働83.8%はポートフォリオで2番目に低い</t>
  </si>
  <si>
    <t xml:space="preserve">テナント又は共有者の同意が得られず賃貸事業収入非開示(短信注2)。2024/10取得。ホテル(一棟貸)</t>
  </si>
  <si>
    <t xml:space="preserve">非開示（期中譲渡・テナント同意なし）</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</si>
  <si>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p.32</t>
    </r>
  </si>
  <si>
    <t xml:space="preserve">期中譲渡物件。賃貸収入は非開示(短信注2)。2025/11/28付で譲渡(譲渡価格7,240百万円・売却益782,927千円)。期末保有67物件に含まれず、当期賃貸収入は非開示。所在地・建物情報は当期末保有物件表の対象外のため未収録</t>
  </si>
  <si>
    <r>
      <rPr>
        <sz val="10"/>
        <color rgb="FF0000FF"/>
        <rFont val="Arial"/>
        <family val="0"/>
        <charset val="1"/>
      </rPr>
      <t xml:space="preserve">JPR 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(2026/2/16</t>
    </r>
    <r>
      <rPr>
        <sz val="10"/>
        <color rgb="FF0000FF"/>
        <rFont val="Noto Sans CJK SC"/>
        <family val="2"/>
      </rPr>
      <t xml:space="preserve">公表・</t>
    </r>
    <r>
      <rPr>
        <sz val="10"/>
        <color rgb="FF0000FF"/>
        <rFont val="Arial"/>
        <family val="0"/>
        <charset val="1"/>
      </rPr>
      <t xml:space="preserve">2026/3/10</t>
    </r>
    <r>
      <rPr>
        <sz val="10"/>
        <color rgb="FF0000FF"/>
        <rFont val="Noto Sans CJK SC"/>
        <family val="2"/>
      </rPr>
      <t xml:space="preserve">一部訂正</t>
    </r>
    <r>
      <rPr>
        <sz val="10"/>
        <color rgb="FF0000FF"/>
        <rFont val="Arial"/>
        <family val="0"/>
        <charset val="1"/>
      </rPr>
      <t xml:space="preserve">=</t>
    </r>
    <r>
      <rPr>
        <sz val="10"/>
        <color rgb="FF0000FF"/>
        <rFont val="Noto Sans CJK SC"/>
        <family val="2"/>
      </rPr>
      <t xml:space="preserve">予想増減率表記と工事期間のみで実績数値に影響なし</t>
    </r>
    <r>
      <rPr>
        <sz val="10"/>
        <color rgb="FF0000FF"/>
        <rFont val="Arial"/>
        <family val="0"/>
        <charset val="1"/>
      </rPr>
      <t xml:space="preserve">) p.16 </t>
    </r>
    <r>
      <rPr>
        <sz val="10"/>
        <color rgb="FF0000FF"/>
        <rFont val="Noto Sans CJK SC"/>
        <family val="2"/>
      </rPr>
      <t xml:space="preserve">賃貸事業損益の内訳・</t>
    </r>
    <r>
      <rPr>
        <sz val="10"/>
        <color rgb="FF0000FF"/>
        <rFont val="Arial"/>
        <family val="0"/>
        <charset val="1"/>
      </rPr>
      <t xml:space="preserve">p.29 </t>
    </r>
    <r>
      <rPr>
        <sz val="10"/>
        <color rgb="FF0000FF"/>
        <rFont val="Noto Sans CJK SC"/>
        <family val="2"/>
      </rPr>
      <t xml:space="preserve">資本的支出</t>
    </r>
  </si>
  <si>
    <t xml:space="preserve">法人一括の賃貸事業収支(千円・不動産売却損益を除く)。G=賃料等収入(賃料13,986,528+地代1,839,000+共益費1,062,020+駐車場275,569+広告41,920+アンテナ28,154+その他50,558)、H=その他賃貸事業収入(附加使用料1,075,446+時間貸26,423+原状回復6,929+雑67,816、内訳計1,176,614と欄の1千円差は切捨て由来)。F-(G+H)=1千円も同様。P列=管理委託料345,738+管理組合費646,634+その他賃貸事業費用277,659の合算(開示科目区分は本備考の通り)。内訳チェック3千円は原資料の千円未満切捨て由来。損益9,742,072(開示一致)。CAPEX1,606百万円+修繕費478百万円(工事管理報酬11百万円含む)。別途、当期不動産等売却益1,885,841千円(HDC神戸782,927+JPR横浜日本大通65%持分1,102,913)は営業収益に計上(本行Fには含まず)。大手町タワー底地の地代1,839百万円=一括収入の10.0%が単一最大の収入源</t>
  </si>
  <si>
    <t xml:space="preserve">非開示（物件別収支非開示・契約賃料のみ開示）</t>
  </si>
  <si>
    <r>
      <rPr>
        <sz val="10"/>
        <color rgb="FF0000FF"/>
        <rFont val="Arial"/>
        <family val="0"/>
        <charset val="1"/>
      </rPr>
      <t xml:space="preserve">TRE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(2026/3/16</t>
    </r>
    <r>
      <rPr>
        <sz val="10"/>
        <color rgb="FF0000FF"/>
        <rFont val="Noto Sans CJK SC"/>
        <family val="2"/>
      </rPr>
      <t xml:space="preserve">公表</t>
    </r>
    <r>
      <rPr>
        <sz val="10"/>
        <color rgb="FF0000FF"/>
        <rFont val="Arial"/>
        <family val="0"/>
        <charset val="1"/>
      </rPr>
      <t xml:space="preserve">) p.39-40 </t>
    </r>
    <r>
      <rPr>
        <sz val="10"/>
        <color rgb="FF0000FF"/>
        <rFont val="Noto Sans CJK SC"/>
        <family val="2"/>
      </rPr>
      <t xml:space="preserve">不動産等の概要</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</si>
  <si>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129,094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。渋谷スクランブル交差点前の旗艦商業施設。地積・延床は一棟全体</t>
    </r>
    <r>
      <rPr>
        <sz val="10"/>
        <color rgb="FF0000FF"/>
        <rFont val="Arial"/>
        <family val="0"/>
        <charset val="1"/>
      </rPr>
      <t xml:space="preserve">(</t>
    </r>
    <r>
      <rPr>
        <sz val="10"/>
        <color rgb="FF0000FF"/>
        <rFont val="Noto Sans CJK SC"/>
        <family val="2"/>
      </rPr>
      <t xml:space="preserve">信託部分は敷地</t>
    </r>
    <r>
      <rPr>
        <sz val="10"/>
        <color rgb="FF0000FF"/>
        <rFont val="Arial"/>
        <family val="0"/>
        <charset val="1"/>
      </rPr>
      <t xml:space="preserve">728.30</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専有</t>
    </r>
    <r>
      <rPr>
        <sz val="10"/>
        <color rgb="FF0000FF"/>
        <rFont val="Arial"/>
        <family val="0"/>
        <charset val="1"/>
      </rPr>
      <t xml:space="preserve">4,804.46</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。テナントは</t>
    </r>
    <r>
      <rPr>
        <sz val="10"/>
        <color rgb="FF0000FF"/>
        <rFont val="Arial"/>
        <family val="0"/>
        <charset val="1"/>
      </rPr>
      <t xml:space="preserve">CCC(TSUTAYA</t>
    </r>
    <r>
      <rPr>
        <sz val="10"/>
        <color rgb="FF0000FF"/>
        <rFont val="Noto Sans CJK SC"/>
        <family val="2"/>
      </rPr>
      <t xml:space="preserve">・</t>
    </r>
    <r>
      <rPr>
        <sz val="10"/>
        <color rgb="FF0000FF"/>
        <rFont val="Arial"/>
        <family val="0"/>
        <charset val="1"/>
      </rPr>
      <t xml:space="preserve">2039/12</t>
    </r>
    <r>
      <rPr>
        <sz val="10"/>
        <color rgb="FF0000FF"/>
        <rFont val="Noto Sans CJK SC"/>
        <family val="2"/>
      </rPr>
      <t xml:space="preserve">まで長期契約、</t>
    </r>
    <r>
      <rPr>
        <sz val="10"/>
        <color rgb="FF0000FF"/>
        <rFont val="Arial"/>
        <family val="0"/>
        <charset val="1"/>
      </rPr>
      <t xml:space="preserve">3</t>
    </r>
    <r>
      <rPr>
        <sz val="10"/>
        <color rgb="FF0000FF"/>
        <rFont val="Noto Sans CJK SC"/>
        <family val="2"/>
      </rPr>
      <t xml:space="preserve">年毎に賃料</t>
    </r>
    <r>
      <rPr>
        <sz val="10"/>
        <color rgb="FF0000FF"/>
        <rFont val="Arial"/>
        <family val="0"/>
        <charset val="1"/>
      </rPr>
      <t xml:space="preserve">1.05</t>
    </r>
    <r>
      <rPr>
        <sz val="10"/>
        <color rgb="FF0000FF"/>
        <rFont val="Noto Sans CJK SC"/>
        <family val="2"/>
      </rPr>
      <t xml:space="preserve">倍改定</t>
    </r>
    <r>
      <rPr>
        <sz val="10"/>
        <color rgb="FF0000FF"/>
        <rFont val="Arial"/>
        <family val="0"/>
        <charset val="1"/>
      </rPr>
      <t xml:space="preserve">)</t>
    </r>
    <r>
      <rPr>
        <sz val="10"/>
        <color rgb="FF0000FF"/>
        <rFont val="Noto Sans CJK SC"/>
        <family val="2"/>
      </rPr>
      <t xml:space="preserve">と東急</t>
    </r>
    <r>
      <rPr>
        <sz val="10"/>
        <color rgb="FF0000FF"/>
        <rFont val="Arial"/>
        <family val="0"/>
        <charset val="1"/>
      </rPr>
      <t xml:space="preserve">(</t>
    </r>
    <r>
      <rPr>
        <sz val="10"/>
        <color rgb="FF0000FF"/>
        <rFont val="Noto Sans CJK SC"/>
        <family val="2"/>
      </rPr>
      <t xml:space="preserve">壁面</t>
    </r>
    <r>
      <rPr>
        <sz val="10"/>
        <color rgb="FF0000FF"/>
        <rFont val="Arial"/>
        <family val="0"/>
        <charset val="1"/>
      </rPr>
      <t xml:space="preserve">LED</t>
    </r>
    <r>
      <rPr>
        <sz val="10"/>
        <color rgb="FF0000FF"/>
        <rFont val="Noto Sans CJK SC"/>
        <family val="2"/>
      </rPr>
      <t xml:space="preserve">大型映像装置等・</t>
    </r>
    <r>
      <rPr>
        <sz val="10"/>
        <color rgb="FF0000FF"/>
        <rFont val="Arial"/>
        <family val="0"/>
        <charset val="1"/>
      </rPr>
      <t xml:space="preserve">2039/12</t>
    </r>
    <r>
      <rPr>
        <sz val="10"/>
        <color rgb="FF0000FF"/>
        <rFont val="Noto Sans CJK SC"/>
        <family val="2"/>
      </rPr>
      <t xml:space="preserve">まで</t>
    </r>
    <r>
      <rPr>
        <sz val="10"/>
        <color rgb="FF0000FF"/>
        <rFont val="Arial"/>
        <family val="0"/>
        <charset val="1"/>
      </rPr>
      <t xml:space="preserve">)</t>
    </r>
    <r>
      <rPr>
        <sz val="10"/>
        <color rgb="FF0000FF"/>
        <rFont val="Noto Sans CJK SC"/>
        <family val="2"/>
      </rPr>
      <t xml:space="preserve">。鑑定</t>
    </r>
    <r>
      <rPr>
        <sz val="10"/>
        <color rgb="FF0000FF"/>
        <rFont val="Arial"/>
        <family val="0"/>
        <charset val="1"/>
      </rPr>
      <t xml:space="preserve">40,700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帳簿の</t>
    </r>
    <r>
      <rPr>
        <sz val="10"/>
        <color rgb="FF0000FF"/>
        <rFont val="Arial"/>
        <family val="0"/>
        <charset val="1"/>
      </rPr>
      <t xml:space="preserve">2.8</t>
    </r>
    <r>
      <rPr>
        <sz val="10"/>
        <color rgb="FF0000FF"/>
        <rFont val="Noto Sans CJK SC"/>
        <family val="2"/>
      </rPr>
      <t xml:space="preserve">倍と含み益最大級</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</si>
  <si>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23,179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。ビオセボン等が入居</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</si>
  <si>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28,757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。一部テナントは売上歩合賃料</t>
    </r>
    <r>
      <rPr>
        <sz val="10"/>
        <color rgb="FF0000FF"/>
        <rFont val="Arial"/>
        <family val="0"/>
        <charset val="1"/>
      </rPr>
      <t xml:space="preserve">(</t>
    </r>
    <r>
      <rPr>
        <sz val="10"/>
        <color rgb="FF0000FF"/>
        <rFont val="Noto Sans CJK SC"/>
        <family val="2"/>
      </rPr>
      <t xml:space="preserve">月額賃料総額に歩合部分は含まず</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</si>
  <si>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50,051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t>
    </r>
    <r>
      <rPr>
        <sz val="10"/>
        <color rgb="FF0000FF"/>
        <rFont val="Noto Sans CJK SC"/>
        <family val="2"/>
      </rPr>
      <t xml:space="preserve">棟構成</t>
    </r>
    <r>
      <rPr>
        <sz val="10"/>
        <color rgb="FF0000FF"/>
        <rFont val="Arial"/>
        <family val="0"/>
        <charset val="1"/>
      </rPr>
      <t xml:space="preserve">(</t>
    </r>
    <r>
      <rPr>
        <sz val="10"/>
        <color rgb="FF0000FF"/>
        <rFont val="Noto Sans CJK SC"/>
        <family val="2"/>
      </rPr>
      <t xml:space="preserve">建物</t>
    </r>
    <r>
      <rPr>
        <sz val="10"/>
        <color rgb="FF0000FF"/>
        <rFont val="Arial"/>
        <family val="0"/>
        <charset val="1"/>
      </rPr>
      <t xml:space="preserve">1:1998/7</t>
    </r>
    <r>
      <rPr>
        <sz val="10"/>
        <color rgb="FF0000FF"/>
        <rFont val="Noto Sans CJK SC"/>
        <family val="2"/>
      </rPr>
      <t xml:space="preserve">竣工</t>
    </r>
    <r>
      <rPr>
        <sz val="10"/>
        <color rgb="FF0000FF"/>
        <rFont val="Arial"/>
        <family val="0"/>
        <charset val="1"/>
      </rPr>
      <t xml:space="preserve">3F 1,473.10</t>
    </r>
    <r>
      <rPr>
        <sz val="10"/>
        <color rgb="FF0000FF"/>
        <rFont val="Noto Sans CJK SC"/>
        <family val="2"/>
      </rPr>
      <t xml:space="preserve">㎡・建物</t>
    </r>
    <r>
      <rPr>
        <sz val="10"/>
        <color rgb="FF0000FF"/>
        <rFont val="Arial"/>
        <family val="0"/>
        <charset val="1"/>
      </rPr>
      <t xml:space="preserve">2:1995/6</t>
    </r>
    <r>
      <rPr>
        <sz val="10"/>
        <color rgb="FF0000FF"/>
        <rFont val="Noto Sans CJK SC"/>
        <family val="2"/>
      </rPr>
      <t xml:space="preserve">竣工</t>
    </r>
    <r>
      <rPr>
        <sz val="10"/>
        <color rgb="FF0000FF"/>
        <rFont val="Arial"/>
        <family val="0"/>
        <charset val="1"/>
      </rPr>
      <t xml:space="preserve">2F 56.39</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。延床は</t>
    </r>
    <r>
      <rPr>
        <sz val="10"/>
        <color rgb="FF0000FF"/>
        <rFont val="Arial"/>
        <family val="0"/>
        <charset val="1"/>
      </rPr>
      <t xml:space="preserve">2</t>
    </r>
    <r>
      <rPr>
        <sz val="10"/>
        <color rgb="FF0000FF"/>
        <rFont val="Noto Sans CJK SC"/>
        <family val="2"/>
      </rPr>
      <t xml:space="preserve">棟合計。鑑定</t>
    </r>
    <r>
      <rPr>
        <sz val="10"/>
        <color rgb="FF0000FF"/>
        <rFont val="Arial"/>
        <family val="0"/>
        <charset val="1"/>
      </rPr>
      <t xml:space="preserve">15,300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帳簿の</t>
    </r>
    <r>
      <rPr>
        <sz val="10"/>
        <color rgb="FF0000FF"/>
        <rFont val="Arial"/>
        <family val="0"/>
        <charset val="1"/>
      </rPr>
      <t xml:space="preserve">2.3</t>
    </r>
    <r>
      <rPr>
        <sz val="10"/>
        <color rgb="FF0000FF"/>
        <rFont val="Noto Sans CJK SC"/>
        <family val="2"/>
      </rPr>
      <t xml:space="preserve">倍</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</si>
  <si>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85,248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。渋谷の商業施設。</t>
    </r>
    <r>
      <rPr>
        <sz val="10"/>
        <color rgb="FF0000FF"/>
        <rFont val="Arial"/>
        <family val="0"/>
        <charset val="1"/>
      </rPr>
      <t xml:space="preserve">THINK</t>
    </r>
    <r>
      <rPr>
        <sz val="10"/>
        <color rgb="FF0000FF"/>
        <rFont val="Noto Sans CJK SC"/>
        <family val="2"/>
      </rPr>
      <t xml:space="preserve">フィットネス・ディーゼル等</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</si>
  <si>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12,528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</si>
  <si>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30,917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。東急</t>
    </r>
    <r>
      <rPr>
        <sz val="10"/>
        <color rgb="FF0000FF"/>
        <rFont val="Arial"/>
        <family val="0"/>
        <charset val="1"/>
      </rPr>
      <t xml:space="preserve">(</t>
    </r>
    <r>
      <rPr>
        <sz val="10"/>
        <color rgb="FF0000FF"/>
        <rFont val="Noto Sans CJK SC"/>
        <family val="2"/>
      </rPr>
      <t xml:space="preserve">株</t>
    </r>
    <r>
      <rPr>
        <sz val="10"/>
        <color rgb="FF0000FF"/>
        <rFont val="Arial"/>
        <family val="0"/>
        <charset val="1"/>
      </rPr>
      <t xml:space="preserve">)</t>
    </r>
    <r>
      <rPr>
        <sz val="10"/>
        <color rgb="FF0000FF"/>
        <rFont val="Noto Sans CJK SC"/>
        <family val="2"/>
      </rPr>
      <t xml:space="preserve">一棟賃貸</t>
    </r>
    <r>
      <rPr>
        <sz val="10"/>
        <color rgb="FF0000FF"/>
        <rFont val="Arial"/>
        <family val="0"/>
        <charset val="1"/>
      </rPr>
      <t xml:space="preserve">(2031/12</t>
    </r>
    <r>
      <rPr>
        <sz val="10"/>
        <color rgb="FF0000FF"/>
        <rFont val="Noto Sans CJK SC"/>
        <family val="2"/>
      </rPr>
      <t xml:space="preserve">まで・</t>
    </r>
    <r>
      <rPr>
        <sz val="10"/>
        <color rgb="FF0000FF"/>
        <rFont val="Arial"/>
        <family val="0"/>
        <charset val="1"/>
      </rPr>
      <t xml:space="preserve">2</t>
    </r>
    <r>
      <rPr>
        <sz val="10"/>
        <color rgb="FF0000FF"/>
        <rFont val="Noto Sans CJK SC"/>
        <family val="2"/>
      </rPr>
      <t xml:space="preserve">年毎鑑定ベース賃料改定</t>
    </r>
    <r>
      <rPr>
        <sz val="10"/>
        <color rgb="FF0000FF"/>
        <rFont val="Arial"/>
        <family val="0"/>
        <charset val="1"/>
      </rPr>
      <t xml:space="preserve">)</t>
    </r>
    <r>
      <rPr>
        <sz val="10"/>
        <color rgb="FF0000FF"/>
        <rFont val="Noto Sans CJK SC"/>
        <family val="2"/>
      </rPr>
      <t xml:space="preserve">。総賃貸</t>
    </r>
    <r>
      <rPr>
        <sz val="10"/>
        <color rgb="FF0000FF"/>
        <rFont val="Arial"/>
        <family val="0"/>
        <charset val="1"/>
      </rPr>
      <t xml:space="preserve">(</t>
    </r>
    <r>
      <rPr>
        <sz val="10"/>
        <color rgb="FF0000FF"/>
        <rFont val="Noto Sans CJK SC"/>
        <family val="2"/>
      </rPr>
      <t xml:space="preserve">可能</t>
    </r>
    <r>
      <rPr>
        <sz val="10"/>
        <color rgb="FF0000FF"/>
        <rFont val="Arial"/>
        <family val="0"/>
        <charset val="1"/>
      </rPr>
      <t xml:space="preserve">)</t>
    </r>
    <r>
      <rPr>
        <sz val="10"/>
        <color rgb="FF0000FF"/>
        <rFont val="Noto Sans CJK SC"/>
        <family val="2"/>
      </rPr>
      <t xml:space="preserve">面積は駐車場含む</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</si>
  <si>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41,543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。主要テナント東急</t>
    </r>
    <r>
      <rPr>
        <sz val="10"/>
        <color rgb="FF0000FF"/>
        <rFont val="Arial"/>
        <family val="0"/>
        <charset val="1"/>
      </rPr>
      <t xml:space="preserve">(</t>
    </r>
    <r>
      <rPr>
        <sz val="10"/>
        <color rgb="FF0000FF"/>
        <rFont val="Noto Sans CJK SC"/>
        <family val="2"/>
      </rPr>
      <t xml:space="preserve">株</t>
    </r>
    <r>
      <rPr>
        <sz val="10"/>
        <color rgb="FF0000FF"/>
        <rFont val="Arial"/>
        <family val="0"/>
        <charset val="1"/>
      </rPr>
      <t xml:space="preserve">)(2031/12</t>
    </r>
    <r>
      <rPr>
        <sz val="10"/>
        <color rgb="FF0000FF"/>
        <rFont val="Noto Sans CJK SC"/>
        <family val="2"/>
      </rPr>
      <t xml:space="preserve">まで</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</si>
  <si>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30,408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。主要テナント富士通</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</si>
  <si>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24,176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2025/4</t>
    </r>
    <r>
      <rPr>
        <sz val="10"/>
        <color rgb="FF0000FF"/>
        <rFont val="Noto Sans CJK SC"/>
        <family val="2"/>
      </rPr>
      <t xml:space="preserve">に</t>
    </r>
    <r>
      <rPr>
        <sz val="10"/>
        <color rgb="FF0000FF"/>
        <rFont val="Arial"/>
        <family val="0"/>
        <charset val="1"/>
      </rPr>
      <t xml:space="preserve">30%</t>
    </r>
    <r>
      <rPr>
        <sz val="10"/>
        <color rgb="FF0000FF"/>
        <rFont val="Noto Sans CJK SC"/>
        <family val="2"/>
      </rPr>
      <t xml:space="preserve">・</t>
    </r>
    <r>
      <rPr>
        <sz val="10"/>
        <color rgb="FF0000FF"/>
        <rFont val="Arial"/>
        <family val="0"/>
        <charset val="1"/>
      </rPr>
      <t xml:space="preserve">2026/1/30</t>
    </r>
    <r>
      <rPr>
        <sz val="10"/>
        <color rgb="FF0000FF"/>
        <rFont val="Noto Sans CJK SC"/>
        <family val="2"/>
      </rPr>
      <t xml:space="preserve">に</t>
    </r>
    <r>
      <rPr>
        <sz val="10"/>
        <color rgb="FF0000FF"/>
        <rFont val="Arial"/>
        <family val="0"/>
        <charset val="1"/>
      </rPr>
      <t xml:space="preserve">30%</t>
    </r>
    <r>
      <rPr>
        <sz val="10"/>
        <color rgb="FF0000FF"/>
        <rFont val="Noto Sans CJK SC"/>
        <family val="2"/>
      </rPr>
      <t xml:space="preserve">を譲渡済</t>
    </r>
    <r>
      <rPr>
        <sz val="10"/>
        <color rgb="FF0000FF"/>
        <rFont val="Arial"/>
        <family val="0"/>
        <charset val="1"/>
      </rPr>
      <t xml:space="preserve">(</t>
    </r>
    <r>
      <rPr>
        <sz val="10"/>
        <color rgb="FF0000FF"/>
        <rFont val="Noto Sans CJK SC"/>
        <family val="2"/>
      </rPr>
      <t xml:space="preserve">当期売却益</t>
    </r>
    <r>
      <rPr>
        <sz val="10"/>
        <color rgb="FF0000FF"/>
        <rFont val="Arial"/>
        <family val="0"/>
        <charset val="1"/>
      </rPr>
      <t xml:space="preserve">2,006,146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、残</t>
    </r>
    <r>
      <rPr>
        <sz val="10"/>
        <color rgb="FF0000FF"/>
        <rFont val="Arial"/>
        <family val="0"/>
        <charset val="1"/>
      </rPr>
      <t xml:space="preserve">40%</t>
    </r>
    <r>
      <rPr>
        <sz val="10"/>
        <color rgb="FF0000FF"/>
        <rFont val="Noto Sans CJK SC"/>
        <family val="2"/>
      </rPr>
      <t xml:space="preserve">も</t>
    </r>
    <r>
      <rPr>
        <sz val="10"/>
        <color rgb="FF0000FF"/>
        <rFont val="Arial"/>
        <family val="0"/>
        <charset val="1"/>
      </rPr>
      <t xml:space="preserve">2026/2/27</t>
    </r>
    <r>
      <rPr>
        <sz val="10"/>
        <color rgb="FF0000FF"/>
        <rFont val="Noto Sans CJK SC"/>
        <family val="2"/>
      </rPr>
      <t xml:space="preserve">付で譲渡済</t>
    </r>
    <r>
      <rPr>
        <sz val="10"/>
        <color rgb="FF0000FF"/>
        <rFont val="Arial"/>
        <family val="0"/>
        <charset val="1"/>
      </rPr>
      <t xml:space="preserve">(</t>
    </r>
    <r>
      <rPr>
        <sz val="10"/>
        <color rgb="FF0000FF"/>
        <rFont val="Noto Sans CJK SC"/>
        <family val="2"/>
      </rPr>
      <t xml:space="preserve">譲渡価額</t>
    </r>
    <r>
      <rPr>
        <sz val="10"/>
        <color rgb="FF0000FF"/>
        <rFont val="Arial"/>
        <family val="0"/>
        <charset val="1"/>
      </rPr>
      <t xml:space="preserve">6,520</t>
    </r>
    <r>
      <rPr>
        <sz val="10"/>
        <color rgb="FF0000FF"/>
        <rFont val="Noto Sans CJK SC"/>
        <family val="2"/>
      </rPr>
      <t xml:space="preserve">百万円・第</t>
    </r>
    <r>
      <rPr>
        <sz val="10"/>
        <color rgb="FF0000FF"/>
        <rFont val="Arial"/>
        <family val="0"/>
        <charset val="1"/>
      </rPr>
      <t xml:space="preserve">46</t>
    </r>
    <r>
      <rPr>
        <sz val="10"/>
        <color rgb="FF0000FF"/>
        <rFont val="Noto Sans CJK SC"/>
        <family val="2"/>
      </rPr>
      <t xml:space="preserve">期に売却益</t>
    </r>
    <r>
      <rPr>
        <sz val="10"/>
        <color rgb="FF0000FF"/>
        <rFont val="Arial"/>
        <family val="0"/>
        <charset val="1"/>
      </rPr>
      <t xml:space="preserve">2,675</t>
    </r>
    <r>
      <rPr>
        <sz val="10"/>
        <color rgb="FF0000FF"/>
        <rFont val="Noto Sans CJK SC"/>
        <family val="2"/>
      </rPr>
      <t xml:space="preserve">百万円計上予定</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3</t>
    </r>
    <r>
      <rPr>
        <sz val="10"/>
        <color rgb="FF0000FF"/>
        <rFont val="Noto Sans CJK SC"/>
        <family val="2"/>
      </rPr>
      <t xml:space="preserve">回分割譲渡の完了によりポートフォリオから退出。</t>
    </r>
    <r>
      <rPr>
        <sz val="10"/>
        <color rgb="FF0000FF"/>
        <rFont val="Arial"/>
        <family val="0"/>
        <charset val="1"/>
      </rPr>
      <t xml:space="preserve">NLA</t>
    </r>
    <r>
      <rPr>
        <sz val="10"/>
        <color rgb="FF0000FF"/>
        <rFont val="Noto Sans CJK SC"/>
        <family val="2"/>
      </rPr>
      <t xml:space="preserve">・月額賃料等は持分</t>
    </r>
    <r>
      <rPr>
        <sz val="10"/>
        <color rgb="FF0000FF"/>
        <rFont val="Arial"/>
        <family val="0"/>
        <charset val="1"/>
      </rPr>
      <t xml:space="preserve">40%</t>
    </r>
    <r>
      <rPr>
        <sz val="10"/>
        <color rgb="FF0000FF"/>
        <rFont val="Noto Sans CJK SC"/>
        <family val="2"/>
      </rPr>
      <t xml:space="preserve">相当。期末算定価額は譲渡契約済のため譲渡価額ベース</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</si>
  <si>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32,911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。主要テナント東急バス</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</si>
  <si>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37,074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</si>
  <si>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48,995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</si>
  <si>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30,347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。ツルハ等が入居</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</si>
  <si>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39,456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87.7%</t>
    </r>
    <r>
      <rPr>
        <sz val="10"/>
        <color rgb="FF0000FF"/>
        <rFont val="Noto Sans CJK SC"/>
        <family val="2"/>
      </rPr>
      <t xml:space="preserve">。他区分所有者部分も賃借の上一括賃貸。地積は駐車場部分</t>
    </r>
    <r>
      <rPr>
        <sz val="10"/>
        <color rgb="FF0000FF"/>
        <rFont val="Arial"/>
        <family val="0"/>
        <charset val="1"/>
      </rPr>
      <t xml:space="preserve">41.18</t>
    </r>
    <r>
      <rPr>
        <sz val="10"/>
        <color rgb="FF0000FF"/>
        <rFont val="Noto Sans CJK SC"/>
        <family val="2"/>
      </rPr>
      <t xml:space="preserve">㎡含む</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</si>
  <si>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84,063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2022/6</t>
    </r>
    <r>
      <rPr>
        <sz val="10"/>
        <color rgb="FF0000FF"/>
        <rFont val="Noto Sans CJK SC"/>
        <family val="2"/>
      </rPr>
      <t xml:space="preserve">増築。鑑定</t>
    </r>
    <r>
      <rPr>
        <sz val="10"/>
        <color rgb="FF0000FF"/>
        <rFont val="Arial"/>
        <family val="0"/>
        <charset val="1"/>
      </rPr>
      <t xml:space="preserve">26,100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帳簿の</t>
    </r>
    <r>
      <rPr>
        <sz val="10"/>
        <color rgb="FF0000FF"/>
        <rFont val="Arial"/>
        <family val="0"/>
        <charset val="1"/>
      </rPr>
      <t xml:space="preserve">1.6</t>
    </r>
    <r>
      <rPr>
        <sz val="10"/>
        <color rgb="FF0000FF"/>
        <rFont val="Noto Sans CJK SC"/>
        <family val="2"/>
      </rPr>
      <t xml:space="preserve">倍</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</si>
  <si>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13,811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。主要テナントリログループ</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</si>
  <si>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104,391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。帳簿ベースでポートフォリオ最大の物件。ソニー・ミュージック等が入居。地積・延床は一棟全体</t>
    </r>
    <r>
      <rPr>
        <sz val="10"/>
        <color rgb="FF0000FF"/>
        <rFont val="Arial"/>
        <family val="0"/>
        <charset val="1"/>
      </rPr>
      <t xml:space="preserve">(</t>
    </r>
    <r>
      <rPr>
        <sz val="10"/>
        <color rgb="FF0000FF"/>
        <rFont val="Noto Sans CJK SC"/>
        <family val="2"/>
      </rPr>
      <t xml:space="preserve">信託部分</t>
    </r>
    <r>
      <rPr>
        <sz val="10"/>
        <color rgb="FF0000FF"/>
        <rFont val="Arial"/>
        <family val="0"/>
        <charset val="1"/>
      </rPr>
      <t xml:space="preserve">: </t>
    </r>
    <r>
      <rPr>
        <sz val="10"/>
        <color rgb="FF0000FF"/>
        <rFont val="Noto Sans CJK SC"/>
        <family val="2"/>
      </rPr>
      <t xml:space="preserve">敷地</t>
    </r>
    <r>
      <rPr>
        <sz val="10"/>
        <color rgb="FF0000FF"/>
        <rFont val="Arial"/>
        <family val="0"/>
        <charset val="1"/>
      </rPr>
      <t xml:space="preserve">2,576.03</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専有</t>
    </r>
    <r>
      <rPr>
        <sz val="10"/>
        <color rgb="FF0000FF"/>
        <rFont val="Arial"/>
        <family val="0"/>
        <charset val="1"/>
      </rPr>
      <t xml:space="preserve">11,431.09</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。数値は区分所有割合</t>
    </r>
    <r>
      <rPr>
        <sz val="10"/>
        <color rgb="FF0000FF"/>
        <rFont val="Arial"/>
        <family val="0"/>
        <charset val="1"/>
      </rPr>
      <t xml:space="preserve">95.1%</t>
    </r>
    <r>
      <rPr>
        <sz val="10"/>
        <color rgb="FF0000FF"/>
        <rFont val="Noto Sans CJK SC"/>
        <family val="2"/>
      </rPr>
      <t xml:space="preserve">を乗じた値</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</si>
  <si>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15,776</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</si>
  <si>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32,050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</si>
  <si>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66,004</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。沖電気工業一棟賃貸</t>
    </r>
    <r>
      <rPr>
        <sz val="10"/>
        <color rgb="FF0000FF"/>
        <rFont val="Arial"/>
        <family val="0"/>
        <charset val="1"/>
      </rPr>
      <t xml:space="preserve">(2030/3</t>
    </r>
    <r>
      <rPr>
        <sz val="10"/>
        <color rgb="FF0000FF"/>
        <rFont val="Noto Sans CJK SC"/>
        <family val="2"/>
      </rPr>
      <t xml:space="preserve">まで・定期建物賃貸借</t>
    </r>
    <r>
      <rPr>
        <sz val="10"/>
        <color rgb="FF0000FF"/>
        <rFont val="Arial"/>
        <family val="0"/>
        <charset val="1"/>
      </rPr>
      <t xml:space="preserve">)=</t>
    </r>
    <r>
      <rPr>
        <sz val="10"/>
        <color rgb="FF0000FF"/>
        <rFont val="Noto Sans CJK SC"/>
        <family val="2"/>
      </rPr>
      <t xml:space="preserve">賃貸面積比率</t>
    </r>
    <r>
      <rPr>
        <sz val="10"/>
        <color rgb="FF0000FF"/>
        <rFont val="Arial"/>
        <family val="0"/>
        <charset val="1"/>
      </rPr>
      <t xml:space="preserve">11.6%</t>
    </r>
    <r>
      <rPr>
        <sz val="10"/>
        <color rgb="FF0000FF"/>
        <rFont val="Noto Sans CJK SC"/>
        <family val="2"/>
      </rPr>
      <t xml:space="preserve">の最大テナント。</t>
    </r>
    <r>
      <rPr>
        <sz val="10"/>
        <color rgb="FF0000FF"/>
        <rFont val="Arial"/>
        <family val="0"/>
        <charset val="1"/>
      </rPr>
      <t xml:space="preserve">2026/1</t>
    </r>
    <r>
      <rPr>
        <sz val="10"/>
        <color rgb="FF0000FF"/>
        <rFont val="Noto Sans CJK SC"/>
        <family val="2"/>
      </rPr>
      <t xml:space="preserve">に耐震補強工事完了</t>
    </r>
    <r>
      <rPr>
        <sz val="10"/>
        <color rgb="FF0000FF"/>
        <rFont val="Arial"/>
        <family val="0"/>
        <charset val="1"/>
      </rPr>
      <t xml:space="preserve">(124</t>
    </r>
    <r>
      <rPr>
        <sz val="10"/>
        <color rgb="FF0000FF"/>
        <rFont val="Noto Sans CJK SC"/>
        <family val="2"/>
      </rPr>
      <t xml:space="preserve">百万円</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</si>
  <si>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18,223</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91.7%</t>
    </r>
    <r>
      <rPr>
        <sz val="10"/>
        <color rgb="FF0000FF"/>
        <rFont val="Noto Sans CJK SC"/>
        <family val="2"/>
      </rPr>
      <t xml:space="preserve">。買換特例圧縮積立金の対象資産</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</si>
  <si>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63,020</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。稼働</t>
    </r>
    <r>
      <rPr>
        <sz val="10"/>
        <color rgb="FF0000FF"/>
        <rFont val="Arial"/>
        <family val="0"/>
        <charset val="1"/>
      </rPr>
      <t xml:space="preserve">88.7%(</t>
    </r>
    <r>
      <rPr>
        <sz val="10"/>
        <color rgb="FF0000FF"/>
        <rFont val="Noto Sans CJK SC"/>
        <family val="2"/>
      </rPr>
      <t xml:space="preserve">当期</t>
    </r>
    <r>
      <rPr>
        <sz val="10"/>
        <color rgb="FF0000FF"/>
        <rFont val="Arial"/>
        <family val="0"/>
        <charset val="1"/>
      </rPr>
      <t xml:space="preserve">4</t>
    </r>
    <r>
      <rPr>
        <sz val="10"/>
        <color rgb="FF0000FF"/>
        <rFont val="Noto Sans CJK SC"/>
        <family val="2"/>
      </rPr>
      <t xml:space="preserve">・</t>
    </r>
    <r>
      <rPr>
        <sz val="10"/>
        <color rgb="FF0000FF"/>
        <rFont val="Arial"/>
        <family val="0"/>
        <charset val="1"/>
      </rPr>
      <t xml:space="preserve">5</t>
    </r>
    <r>
      <rPr>
        <sz val="10"/>
        <color rgb="FF0000FF"/>
        <rFont val="Noto Sans CJK SC"/>
        <family val="2"/>
      </rPr>
      <t xml:space="preserve">階用途変更工事</t>
    </r>
    <r>
      <rPr>
        <sz val="10"/>
        <color rgb="FF0000FF"/>
        <rFont val="Arial"/>
        <family val="0"/>
        <charset val="1"/>
      </rPr>
      <t xml:space="preserve">343</t>
    </r>
    <r>
      <rPr>
        <sz val="10"/>
        <color rgb="FF0000FF"/>
        <rFont val="Noto Sans CJK SC"/>
        <family val="2"/>
      </rPr>
      <t xml:space="preserve">百万円実施、期後に新規成約</t>
    </r>
    <r>
      <rPr>
        <sz val="10"/>
        <color rgb="FF0000FF"/>
        <rFont val="Arial"/>
        <family val="0"/>
        <charset val="1"/>
      </rPr>
      <t xml:space="preserve">913</t>
    </r>
    <r>
      <rPr>
        <sz val="10"/>
        <color rgb="FF0000FF"/>
        <rFont val="Noto Sans CJK SC"/>
        <family val="2"/>
      </rPr>
      <t xml:space="preserve">㎡あり</t>
    </r>
    <r>
      <rPr>
        <sz val="10"/>
        <color rgb="FF0000FF"/>
        <rFont val="Arial"/>
        <family val="0"/>
        <charset val="1"/>
      </rPr>
      <t xml:space="preserve">)</t>
    </r>
    <r>
      <rPr>
        <sz val="10"/>
        <color rgb="FF0000FF"/>
        <rFont val="Noto Sans CJK SC"/>
        <family val="2"/>
      </rPr>
      <t xml:space="preserve">。地積・延床は一棟全体。数値は準共有持分</t>
    </r>
    <r>
      <rPr>
        <sz val="10"/>
        <color rgb="FF0000FF"/>
        <rFont val="Arial"/>
        <family val="0"/>
        <charset val="1"/>
      </rPr>
      <t xml:space="preserve">47.5%</t>
    </r>
    <r>
      <rPr>
        <sz val="10"/>
        <color rgb="FF0000FF"/>
        <rFont val="Noto Sans CJK SC"/>
        <family val="2"/>
      </rPr>
      <t xml:space="preserve">相当。鑑定が帳簿を下回る。買換特例圧縮積立金の対象資産</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</si>
  <si>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36,207</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</si>
  <si>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4,651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2025/12/15</t>
    </r>
    <r>
      <rPr>
        <sz val="10"/>
        <color rgb="FF0000FF"/>
        <rFont val="Noto Sans CJK SC"/>
        <family val="2"/>
      </rPr>
      <t xml:space="preserve">付でメゾンピオニー都立大学から名称変更。賃貸住宅</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</si>
  <si>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6,448</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。賃貸住宅。ジェイ・エス・ビーへのマスターリース</t>
    </r>
    <r>
      <rPr>
        <sz val="10"/>
        <color rgb="FF0000FF"/>
        <rFont val="Arial"/>
        <family val="0"/>
        <charset val="1"/>
      </rPr>
      <t xml:space="preserve">(2040/3</t>
    </r>
    <r>
      <rPr>
        <sz val="10"/>
        <color rgb="FF0000FF"/>
        <rFont val="Noto Sans CJK SC"/>
        <family val="2"/>
      </rPr>
      <t xml:space="preserve">まで</t>
    </r>
    <r>
      <rPr>
        <sz val="10"/>
        <color rgb="FF0000FF"/>
        <rFont val="Arial"/>
        <family val="0"/>
        <charset val="1"/>
      </rPr>
      <t xml:space="preserve">)</t>
    </r>
    <r>
      <rPr>
        <sz val="10"/>
        <color rgb="FF0000FF"/>
        <rFont val="Noto Sans CJK SC"/>
        <family val="2"/>
      </rPr>
      <t xml:space="preserve">。買換特例圧縮積立金の対象資産</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</si>
  <si>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4,265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2025/12/15</t>
    </r>
    <r>
      <rPr>
        <sz val="10"/>
        <color rgb="FF0000FF"/>
        <rFont val="Noto Sans CJK SC"/>
        <family val="2"/>
      </rPr>
      <t xml:space="preserve">付で</t>
    </r>
    <r>
      <rPr>
        <sz val="10"/>
        <color rgb="FF0000FF"/>
        <rFont val="Arial"/>
        <family val="0"/>
        <charset val="1"/>
      </rPr>
      <t xml:space="preserve">ISM</t>
    </r>
    <r>
      <rPr>
        <sz val="10"/>
        <color rgb="FF0000FF"/>
        <rFont val="Noto Sans CJK SC"/>
        <family val="2"/>
      </rPr>
      <t xml:space="preserve">綱島から名称変更。賃貸住宅。</t>
    </r>
    <r>
      <rPr>
        <sz val="10"/>
        <color rgb="FF0000FF"/>
        <rFont val="Arial"/>
        <family val="0"/>
        <charset val="1"/>
      </rPr>
      <t xml:space="preserve">PML10.2%</t>
    </r>
    <r>
      <rPr>
        <sz val="10"/>
        <color rgb="FF0000FF"/>
        <rFont val="Noto Sans CJK SC"/>
        <family val="2"/>
      </rPr>
      <t xml:space="preserve">はポートフォリオ最高</t>
    </r>
  </si>
  <si>
    <r>
      <rPr>
        <sz val="10"/>
        <color rgb="FF0000FF"/>
        <rFont val="Arial"/>
        <family val="0"/>
        <charset val="1"/>
      </rPr>
      <t xml:space="preserve">TRE</t>
    </r>
    <r>
      <rPr>
        <sz val="10"/>
        <color rgb="FF0000FF"/>
        <rFont val="Noto Sans CJK SC"/>
        <family val="2"/>
      </rPr>
      <t xml:space="preserve">は物件別の発生ベース収支を非開示</t>
    </r>
    <r>
      <rPr>
        <sz val="10"/>
        <color rgb="FF0000FF"/>
        <rFont val="Arial"/>
        <family val="0"/>
        <charset val="1"/>
      </rPr>
      <t xml:space="preserve">(</t>
    </r>
    <r>
      <rPr>
        <sz val="10"/>
        <color rgb="FF0000FF"/>
        <rFont val="Noto Sans CJK SC"/>
        <family val="2"/>
      </rPr>
      <t xml:space="preserve">法人一括の</t>
    </r>
    <r>
      <rPr>
        <sz val="10"/>
        <color rgb="FF0000FF"/>
        <rFont val="Arial"/>
        <family val="0"/>
        <charset val="1"/>
      </rPr>
      <t xml:space="preserve">TRE-ALL</t>
    </r>
    <r>
      <rPr>
        <sz val="10"/>
        <color rgb="FF0000FF"/>
        <rFont val="Noto Sans CJK SC"/>
        <family val="2"/>
      </rPr>
      <t xml:space="preserve">行参照</t>
    </r>
    <r>
      <rPr>
        <sz val="10"/>
        <color rgb="FF0000FF"/>
        <rFont val="Arial"/>
        <family val="0"/>
        <charset val="1"/>
      </rPr>
      <t xml:space="preserve">)</t>
    </r>
    <r>
      <rPr>
        <sz val="10"/>
        <color rgb="FF0000FF"/>
        <rFont val="Noto Sans CJK SC"/>
        <family val="2"/>
      </rPr>
      <t xml:space="preserve">。参考</t>
    </r>
    <r>
      <rPr>
        <sz val="10"/>
        <color rgb="FF0000FF"/>
        <rFont val="Arial"/>
        <family val="0"/>
        <charset val="1"/>
      </rPr>
      <t xml:space="preserve">: </t>
    </r>
    <r>
      <rPr>
        <sz val="10"/>
        <color rgb="FF0000FF"/>
        <rFont val="Noto Sans CJK SC"/>
        <family val="2"/>
      </rPr>
      <t xml:space="preserve">期末月額賃料総額</t>
    </r>
    <r>
      <rPr>
        <sz val="10"/>
        <color rgb="FF0000FF"/>
        <rFont val="Arial"/>
        <family val="0"/>
        <charset val="1"/>
      </rPr>
      <t xml:space="preserve">108,055</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契約ベース</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4</t>
    </r>
    <r>
      <rPr>
        <sz val="10"/>
        <color rgb="FF0000FF"/>
        <rFont val="Noto Sans CJK SC"/>
        <family val="2"/>
      </rPr>
      <t xml:space="preserve">街区構成の大規模複合施設</t>
    </r>
    <r>
      <rPr>
        <sz val="10"/>
        <color rgb="FF0000FF"/>
        <rFont val="Arial"/>
        <family val="0"/>
        <charset val="1"/>
      </rPr>
      <t xml:space="preserve">(</t>
    </r>
    <r>
      <rPr>
        <sz val="10"/>
        <color rgb="FF0000FF"/>
        <rFont val="Noto Sans CJK SC"/>
        <family val="2"/>
      </rPr>
      <t xml:space="preserve">区分所有区画の共有持分</t>
    </r>
    <r>
      <rPr>
        <sz val="10"/>
        <color rgb="FF0000FF"/>
        <rFont val="Arial"/>
        <family val="0"/>
        <charset val="1"/>
      </rPr>
      <t xml:space="preserve">)</t>
    </r>
    <r>
      <rPr>
        <sz val="10"/>
        <color rgb="FF0000FF"/>
        <rFont val="Noto Sans CJK SC"/>
        <family val="2"/>
      </rPr>
      <t xml:space="preserve">。竣工はⅠ</t>
    </r>
    <r>
      <rPr>
        <sz val="10"/>
        <color rgb="FF0000FF"/>
        <rFont val="Arial"/>
        <family val="0"/>
        <charset val="1"/>
      </rPr>
      <t xml:space="preserve">-b</t>
    </r>
    <r>
      <rPr>
        <sz val="10"/>
        <color rgb="FF0000FF"/>
        <rFont val="Noto Sans CJK SC"/>
        <family val="2"/>
      </rPr>
      <t xml:space="preserve">街区</t>
    </r>
    <r>
      <rPr>
        <sz val="10"/>
        <color rgb="FF0000FF"/>
        <rFont val="Arial"/>
        <family val="0"/>
        <charset val="1"/>
      </rPr>
      <t xml:space="preserve">2010/11(16F</t>
    </r>
    <r>
      <rPr>
        <sz val="10"/>
        <color rgb="FF0000FF"/>
        <rFont val="Noto Sans CJK SC"/>
        <family val="2"/>
      </rPr>
      <t xml:space="preserve">・持分</t>
    </r>
    <r>
      <rPr>
        <sz val="10"/>
        <color rgb="FF0000FF"/>
        <rFont val="Arial"/>
        <family val="0"/>
        <charset val="1"/>
      </rPr>
      <t xml:space="preserve">10.7%)</t>
    </r>
    <r>
      <rPr>
        <sz val="10"/>
        <color rgb="FF0000FF"/>
        <rFont val="Noto Sans CJK SC"/>
        <family val="2"/>
      </rPr>
      <t xml:space="preserve">・Ⅱ</t>
    </r>
    <r>
      <rPr>
        <sz val="10"/>
        <color rgb="FF0000FF"/>
        <rFont val="Arial"/>
        <family val="0"/>
        <charset val="1"/>
      </rPr>
      <t xml:space="preserve">-a</t>
    </r>
    <r>
      <rPr>
        <sz val="10"/>
        <color rgb="FF0000FF"/>
        <rFont val="Noto Sans CJK SC"/>
        <family val="2"/>
      </rPr>
      <t xml:space="preserve">街区</t>
    </r>
    <r>
      <rPr>
        <sz val="10"/>
        <color rgb="FF0000FF"/>
        <rFont val="Arial"/>
        <family val="0"/>
        <charset val="1"/>
      </rPr>
      <t xml:space="preserve">2015/6(30F=</t>
    </r>
    <r>
      <rPr>
        <sz val="10"/>
        <color rgb="FF0000FF"/>
        <rFont val="Noto Sans CJK SC"/>
        <family val="2"/>
      </rPr>
      <t xml:space="preserve">楽天グループ本社・持分</t>
    </r>
    <r>
      <rPr>
        <sz val="10"/>
        <color rgb="FF0000FF"/>
        <rFont val="Arial"/>
        <family val="0"/>
        <charset val="1"/>
      </rPr>
      <t xml:space="preserve">12.7%)</t>
    </r>
    <r>
      <rPr>
        <sz val="10"/>
        <color rgb="FF0000FF"/>
        <rFont val="Noto Sans CJK SC"/>
        <family val="2"/>
      </rPr>
      <t xml:space="preserve">・Ⅱ</t>
    </r>
    <r>
      <rPr>
        <sz val="10"/>
        <color rgb="FF0000FF"/>
        <rFont val="Arial"/>
        <family val="0"/>
        <charset val="1"/>
      </rPr>
      <t xml:space="preserve">-b</t>
    </r>
    <r>
      <rPr>
        <sz val="10"/>
        <color rgb="FF0000FF"/>
        <rFont val="Noto Sans CJK SC"/>
        <family val="2"/>
      </rPr>
      <t xml:space="preserve">街区</t>
    </r>
    <r>
      <rPr>
        <sz val="10"/>
        <color rgb="FF0000FF"/>
        <rFont val="Arial"/>
        <family val="0"/>
        <charset val="1"/>
      </rPr>
      <t xml:space="preserve">2010/4(3F</t>
    </r>
    <r>
      <rPr>
        <sz val="10"/>
        <color rgb="FF0000FF"/>
        <rFont val="Noto Sans CJK SC"/>
        <family val="2"/>
      </rPr>
      <t xml:space="preserve">・持分</t>
    </r>
    <r>
      <rPr>
        <sz val="10"/>
        <color rgb="FF0000FF"/>
        <rFont val="Arial"/>
        <family val="0"/>
        <charset val="1"/>
      </rPr>
      <t xml:space="preserve">4.5%)</t>
    </r>
    <r>
      <rPr>
        <sz val="10"/>
        <color rgb="FF0000FF"/>
        <rFont val="Noto Sans CJK SC"/>
        <family val="2"/>
      </rPr>
      <t xml:space="preserve">・Ⅲ街区</t>
    </r>
    <r>
      <rPr>
        <sz val="10"/>
        <color rgb="FF0000FF"/>
        <rFont val="Arial"/>
        <family val="0"/>
        <charset val="1"/>
      </rPr>
      <t xml:space="preserve">2010/4(2F</t>
    </r>
    <r>
      <rPr>
        <sz val="10"/>
        <color rgb="FF0000FF"/>
        <rFont val="Noto Sans CJK SC"/>
        <family val="2"/>
      </rPr>
      <t xml:space="preserve">・持分</t>
    </r>
    <r>
      <rPr>
        <sz val="10"/>
        <color rgb="FF0000FF"/>
        <rFont val="Arial"/>
        <family val="0"/>
        <charset val="1"/>
      </rPr>
      <t xml:space="preserve">7.5%)</t>
    </r>
    <r>
      <rPr>
        <sz val="10"/>
        <color rgb="FF0000FF"/>
        <rFont val="Noto Sans CJK SC"/>
        <family val="2"/>
      </rPr>
      <t xml:space="preserve">のため竣工年月列は空欄。地積・延床は各街区一棟全体の合算</t>
    </r>
    <r>
      <rPr>
        <sz val="10"/>
        <color rgb="FF0000FF"/>
        <rFont val="Arial"/>
        <family val="0"/>
        <charset val="1"/>
      </rPr>
      <t xml:space="preserve">(Ⅲ</t>
    </r>
    <r>
      <rPr>
        <sz val="10"/>
        <color rgb="FF0000FF"/>
        <rFont val="Noto Sans CJK SC"/>
        <family val="2"/>
      </rPr>
      <t xml:space="preserve">街区地積は敷地権割合按分値</t>
    </r>
    <r>
      <rPr>
        <sz val="10"/>
        <color rgb="FF0000FF"/>
        <rFont val="Arial"/>
        <family val="0"/>
        <charset val="1"/>
      </rPr>
      <t xml:space="preserve">296.51</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。階数は最大棟</t>
    </r>
    <r>
      <rPr>
        <sz val="10"/>
        <color rgb="FF0000FF"/>
        <rFont val="Arial"/>
        <family val="0"/>
        <charset val="1"/>
      </rPr>
      <t xml:space="preserve">(Ⅱ-a)</t>
    </r>
    <r>
      <rPr>
        <sz val="10"/>
        <color rgb="FF0000FF"/>
        <rFont val="Noto Sans CJK SC"/>
        <family val="2"/>
      </rPr>
      <t xml:space="preserve">。</t>
    </r>
    <r>
      <rPr>
        <sz val="10"/>
        <color rgb="FF0000FF"/>
        <rFont val="Arial"/>
        <family val="0"/>
        <charset val="1"/>
      </rPr>
      <t xml:space="preserve">PML</t>
    </r>
    <r>
      <rPr>
        <sz val="10"/>
        <color rgb="FF0000FF"/>
        <rFont val="Noto Sans CJK SC"/>
        <family val="2"/>
      </rPr>
      <t xml:space="preserve">は街区別</t>
    </r>
    <r>
      <rPr>
        <sz val="10"/>
        <color rgb="FF0000FF"/>
        <rFont val="Arial"/>
        <family val="0"/>
        <charset val="1"/>
      </rPr>
      <t xml:space="preserve">2.5</t>
    </r>
    <r>
      <rPr>
        <sz val="10"/>
        <color rgb="FF0000FF"/>
        <rFont val="Noto Sans CJK SC"/>
        <family val="2"/>
      </rPr>
      <t xml:space="preserve">〜</t>
    </r>
    <r>
      <rPr>
        <sz val="10"/>
        <color rgb="FF0000FF"/>
        <rFont val="Arial"/>
        <family val="0"/>
        <charset val="1"/>
      </rPr>
      <t xml:space="preserve">3.9%</t>
    </r>
    <r>
      <rPr>
        <sz val="10"/>
        <color rgb="FF0000FF"/>
        <rFont val="Noto Sans CJK SC"/>
        <family val="2"/>
      </rPr>
      <t xml:space="preserve">。楽天グループが賃貸面積</t>
    </r>
    <r>
      <rPr>
        <sz val="10"/>
        <color rgb="FF0000FF"/>
        <rFont val="Arial"/>
        <family val="0"/>
        <charset val="1"/>
      </rPr>
      <t xml:space="preserve">12,452</t>
    </r>
    <r>
      <rPr>
        <sz val="10"/>
        <color rgb="FF0000FF"/>
        <rFont val="Noto Sans CJK SC"/>
        <family val="2"/>
      </rPr>
      <t xml:space="preserve">㎡</t>
    </r>
    <r>
      <rPr>
        <sz val="10"/>
        <color rgb="FF0000FF"/>
        <rFont val="Arial"/>
        <family val="0"/>
        <charset val="1"/>
      </rPr>
      <t xml:space="preserve">(</t>
    </r>
    <r>
      <rPr>
        <sz val="10"/>
        <color rgb="FF0000FF"/>
        <rFont val="Noto Sans CJK SC"/>
        <family val="2"/>
      </rPr>
      <t xml:space="preserve">全体の</t>
    </r>
    <r>
      <rPr>
        <sz val="10"/>
        <color rgb="FF0000FF"/>
        <rFont val="Arial"/>
        <family val="0"/>
        <charset val="1"/>
      </rPr>
      <t xml:space="preserve">8.0%)</t>
    </r>
    <r>
      <rPr>
        <sz val="10"/>
        <color rgb="FF0000FF"/>
        <rFont val="Noto Sans CJK SC"/>
        <family val="2"/>
      </rPr>
      <t xml:space="preserve">を賃借。買換特例圧縮積立金</t>
    </r>
    <r>
      <rPr>
        <sz val="10"/>
        <color rgb="FF0000FF"/>
        <rFont val="Arial"/>
        <family val="0"/>
        <charset val="1"/>
      </rPr>
      <t xml:space="preserve">(</t>
    </r>
    <r>
      <rPr>
        <sz val="10"/>
        <color rgb="FF0000FF"/>
        <rFont val="Noto Sans CJK SC"/>
        <family val="2"/>
      </rPr>
      <t xml:space="preserve">二子玉川ライズ</t>
    </r>
    <r>
      <rPr>
        <sz val="10"/>
        <color rgb="FF0000FF"/>
        <rFont val="Arial"/>
        <family val="0"/>
        <charset val="1"/>
      </rPr>
      <t xml:space="preserve">)</t>
    </r>
    <r>
      <rPr>
        <sz val="10"/>
        <color rgb="FF0000FF"/>
        <rFont val="Noto Sans CJK SC"/>
        <family val="2"/>
      </rPr>
      <t xml:space="preserve">の対象資産</t>
    </r>
  </si>
  <si>
    <r>
      <rPr>
        <sz val="10"/>
        <color rgb="FF0000FF"/>
        <rFont val="Arial"/>
        <family val="0"/>
        <charset val="1"/>
      </rPr>
      <t xml:space="preserve">TRE 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(2026/3/16</t>
    </r>
    <r>
      <rPr>
        <sz val="10"/>
        <color rgb="FF0000FF"/>
        <rFont val="Noto Sans CJK SC"/>
        <family val="2"/>
      </rPr>
      <t xml:space="preserve">公表</t>
    </r>
    <r>
      <rPr>
        <sz val="10"/>
        <color rgb="FF0000FF"/>
        <rFont val="Arial"/>
        <family val="0"/>
        <charset val="1"/>
      </rPr>
      <t xml:space="preserve">) p.20 </t>
    </r>
    <r>
      <rPr>
        <sz val="10"/>
        <color rgb="FF0000FF"/>
        <rFont val="Noto Sans CJK SC"/>
        <family val="2"/>
      </rPr>
      <t xml:space="preserve">不動産賃貸事業損益の内訳・</t>
    </r>
    <r>
      <rPr>
        <sz val="10"/>
        <color rgb="FF0000FF"/>
        <rFont val="Arial"/>
        <family val="0"/>
        <charset val="1"/>
      </rPr>
      <t xml:space="preserve">p.25 </t>
    </r>
    <r>
      <rPr>
        <sz val="10"/>
        <color rgb="FF0000FF"/>
        <rFont val="Noto Sans CJK SC"/>
        <family val="2"/>
      </rPr>
      <t xml:space="preserve">賃貸等不動産注記・</t>
    </r>
    <r>
      <rPr>
        <sz val="10"/>
        <color rgb="FF0000FF"/>
        <rFont val="Arial"/>
        <family val="0"/>
        <charset val="1"/>
      </rPr>
      <t xml:space="preserve">p.41 </t>
    </r>
    <r>
      <rPr>
        <sz val="10"/>
        <color rgb="FF0000FF"/>
        <rFont val="Noto Sans CJK SC"/>
        <family val="2"/>
      </rPr>
      <t xml:space="preserve">資本的支出</t>
    </r>
  </si>
  <si>
    <t xml:space="preserve">法人一括の賃貸事業収支(千円・不動産等売却益2,486,934千円は含まず)。G=賃貸事業収入(賃料6,419,093+共益費510,121+月極駐車場142,791+その他賃料307,361、内訳計7,379,366と欄の2千円差は切捨て由来)、H=その他賃貸事業収入(付帯収益429,086+その他雑収入77,080)。F欄7,885,535と(G+H)=7,885,534の1千円差も同様。P列=PM報酬195,635+固定資産除却損24,800+その他賃貸事業費用309,889の合算。内訳チェック4千円は原資料の千円未満切捨て由来。Q列(F-I)=4,084,035は開示損益4,084,034と1千円差(上記F欄の切捨てが伝播、原資料内不整合として注記)。CAPEX1,350,320千円(賃貸等不動産注記の資本的支出)+費用処理修繕451百万円=計1,802百万円の工事実施。別途、当期不動産等売却益2,486,934千円(TOKYU REIT虎ノ門ビル30%持分2,006,146+TOKYU REIT下北沢スクエア480,788)は営業収益に計上(本行Fには含まず)</t>
  </si>
  <si>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p.30-33 </t>
    </r>
    <r>
      <rPr>
        <sz val="10"/>
        <color rgb="FF0000FF"/>
        <rFont val="Noto Sans CJK SC"/>
        <family val="2"/>
      </rPr>
      <t xml:space="preserve">保有不動産の賃貸借の概要</t>
    </r>
  </si>
  <si>
    <t xml:space="preserve">当期総賃料収入(賃料・共益費・駐車場等のほか、その他賃貸事業収入=水道光熱費収入等を含む当期発生額・千円)。費用内訳は物件別非開示(法人一括のICG-ALL行参照)</t>
  </si>
  <si>
    <t xml:space="preserve">開示（期中譲渡・期間僅少）</t>
  </si>
  <si>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p.31</t>
    </r>
  </si>
  <si>
    <r>
      <rPr>
        <sz val="10"/>
        <color rgb="FF0000FF"/>
        <rFont val="Arial"/>
        <family val="0"/>
        <charset val="1"/>
      </rPr>
      <t xml:space="preserve">2025/11/10</t>
    </r>
    <r>
      <rPr>
        <sz val="10"/>
        <color rgb="FF0000FF"/>
        <rFont val="Noto Sans CJK SC"/>
        <family val="2"/>
      </rPr>
      <t xml:space="preserve">譲渡までの期間僅少収入</t>
    </r>
    <r>
      <rPr>
        <sz val="10"/>
        <color rgb="FF0000FF"/>
        <rFont val="Arial"/>
        <family val="0"/>
        <charset val="1"/>
      </rPr>
      <t xml:space="preserve">4,806</t>
    </r>
    <r>
      <rPr>
        <sz val="10"/>
        <color rgb="FF0000FF"/>
        <rFont val="Noto Sans CJK SC"/>
        <family val="2"/>
      </rPr>
      <t xml:space="preserve">千円。譲渡価格</t>
    </r>
    <r>
      <rPr>
        <sz val="10"/>
        <color rgb="FF0000FF"/>
        <rFont val="Arial"/>
        <family val="0"/>
        <charset val="1"/>
      </rPr>
      <t xml:space="preserve">1,750</t>
    </r>
    <r>
      <rPr>
        <sz val="10"/>
        <color rgb="FF0000FF"/>
        <rFont val="Noto Sans CJK SC"/>
        <family val="2"/>
      </rPr>
      <t xml:space="preserve">百万円・売却益</t>
    </r>
    <r>
      <rPr>
        <sz val="10"/>
        <color rgb="FF0000FF"/>
        <rFont val="Arial"/>
        <family val="0"/>
        <charset val="1"/>
      </rPr>
      <t xml:space="preserve">519,979</t>
    </r>
    <r>
      <rPr>
        <sz val="10"/>
        <color rgb="FF0000FF"/>
        <rFont val="Noto Sans CJK SC"/>
        <family val="2"/>
      </rPr>
      <t xml:space="preserve">千円は営業収益に計上</t>
    </r>
    <r>
      <rPr>
        <sz val="10"/>
        <color rgb="FF0000FF"/>
        <rFont val="Arial"/>
        <family val="0"/>
        <charset val="1"/>
      </rPr>
      <t xml:space="preserve">(</t>
    </r>
    <r>
      <rPr>
        <sz val="10"/>
        <color rgb="FF0000FF"/>
        <rFont val="Noto Sans CJK SC"/>
        <family val="2"/>
      </rPr>
      <t xml:space="preserve">賃貸収支外</t>
    </r>
    <r>
      <rPr>
        <sz val="10"/>
        <color rgb="FF0000FF"/>
        <rFont val="Arial"/>
        <family val="0"/>
        <charset val="1"/>
      </rPr>
      <t xml:space="preserve">)</t>
    </r>
  </si>
  <si>
    <r>
      <rPr>
        <sz val="10"/>
        <color rgb="FF0000FF"/>
        <rFont val="Arial"/>
        <family val="0"/>
        <charset val="1"/>
      </rPr>
      <t xml:space="preserve">ICG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41</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p.18 </t>
    </r>
    <r>
      <rPr>
        <sz val="10"/>
        <color rgb="FF0000FF"/>
        <rFont val="Noto Sans CJK SC"/>
        <family val="2"/>
      </rPr>
      <t xml:space="preserve">不動産賃貸事業損益の内訳・</t>
    </r>
    <r>
      <rPr>
        <sz val="10"/>
        <color rgb="FF0000FF"/>
        <rFont val="Arial"/>
        <family val="0"/>
        <charset val="1"/>
      </rPr>
      <t xml:space="preserve">p.41 </t>
    </r>
    <r>
      <rPr>
        <sz val="10"/>
        <color rgb="FF0000FF"/>
        <rFont val="Noto Sans CJK SC"/>
        <family val="2"/>
      </rPr>
      <t xml:space="preserve">資本的支出</t>
    </r>
  </si>
  <si>
    <t xml:space="preserve">法人一括の賃貸事業収支(千円・不動産等売却益519,979千円は含まず)。G=賃貸事業収入(賃料6,409,225+共益費850,357+駐車場274,489+施設使用料68,174、内訳計と欄の1千円差は切捨て由来)、H=その他賃貸事業収入(水道光熱費収入489,108+その他88,442、同1千円差)。F欄と(G+H)の1千円差も同様。P列=信託報酬32,215+その他賃貸事業費用52,751の合算。内訳チェック2千円は原資料の千円未満切捨て由来。Q列(F-I)=4,939,181は開示損益4,939,180と1千円差(切捨て伝播・原資料内不整合として注記)。物件別収入(88行)の合算8,179,756千円と一括欄8,179,798千円の42千円差も切捨て累積。CAPEX1,979,864千円+費用処理修繕126,600千円=計2,106,464千円の工事実施(心築CAPEX)。当期はRE100対応で全保有物件(区分所有等除く)の電力を100%再エネに切替済(水道光熱費に影響)</t>
  </si>
  <si>
    <t xml:space="preserve">開示（物件別・費用内訳含む、百万円単位）</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</si>
  <si>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p.29-31 </t>
    </r>
    <r>
      <rPr>
        <sz val="10"/>
        <color rgb="FF0000FF"/>
        <rFont val="Noto Sans CJK SC"/>
        <family val="2"/>
      </rPr>
      <t xml:space="preserve">投資資産の損益の状況</t>
    </r>
  </si>
  <si>
    <t xml:space="preserve">百万円単位開示の千円換算(下3桁は概数)。保険料・信託報酬は「その他支出」(P列)に含まれM列=0(短信注4)。開示損益120百万円・NOI146百万円(Q・R列とは百万円丸めにより最大数百万円の差が生じ得る)。2002/9取得(上場時)</t>
  </si>
  <si>
    <t xml:space="preserve">開示（期中譲渡・費用内訳含む、百万円単位）</t>
  </si>
  <si>
    <t xml:space="preserve">百万円単位開示の千円換算(下3桁は概数)。保険料・信託報酬は「その他支出」(P列)に含まれM列=0(短信注4)。開示損益6百万円・NOI16百万円(Q・R列とは百万円丸めにより最大数百万円の差が生じ得る)。信託受益権準共有持分を3回に分割譲渡(2025/2/28に33.34%・2025/10/30に33.33%・2026/4/28に残33.33%)し当期で全譲渡完了。当期営業日数178日・当期売却益1,239,299千円(譲渡収入3,333,000千円)。取得価格は持分33.33%相当2,348百万円</t>
  </si>
  <si>
    <t xml:space="preserve">百万円単位開示の千円換算(下3桁は概数)。保険料・信託報酬は「その他支出」(P列)に含まれM列=0(短信注4)。開示損益67百万円・NOI80百万円(Q・R列とは百万円丸めにより最大数百万円の差が生じ得る)。NOI利回り11.1%はオフィス最高</t>
  </si>
  <si>
    <t xml:space="preserve">百万円単位開示の千円換算(下3桁は概数)。保険料・信託報酬は「その他支出」(P列)に含まれM列=0(短信注4)。開示損益191百万円・NOI220百万円(Q・R列とは百万円丸めにより最大数百万円の差が生じ得る)。鑑定12,100百万円=取得価格の2.3倍</t>
  </si>
  <si>
    <t xml:space="preserve">百万円単位開示の千円換算(下3桁は概数)。保険料・信託報酬は「その他支出」(P列)に含まれM列=0(短信注4)。開示損益145百万円・NOI193百万円(Q・R列とは百万円丸めにより最大数百万円の差が生じ得る)</t>
  </si>
  <si>
    <t xml:space="preserve">百万円単位開示の千円換算(下3桁は概数)。保険料・信託報酬は「その他支出」(P列)に含まれM列=0(短信注4)。開示損益168百万円・NOI220百万円(Q・R列とは百万円丸めにより最大数百万円の差が生じ得る)</t>
  </si>
  <si>
    <t xml:space="preserve">非開示（テナント/共有者同意なし・損益とNOIのみ開示）</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</si>
  <si>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p.29-31(</t>
    </r>
    <r>
      <rPr>
        <sz val="10"/>
        <color rgb="FF0000FF"/>
        <rFont val="Noto Sans CJK SC"/>
        <family val="2"/>
      </rPr>
      <t xml:space="preserve">注</t>
    </r>
    <r>
      <rPr>
        <sz val="10"/>
        <color rgb="FF0000FF"/>
        <rFont val="Arial"/>
        <family val="0"/>
        <charset val="1"/>
      </rPr>
      <t xml:space="preserve">8</t>
    </r>
    <r>
      <rPr>
        <sz val="10"/>
        <color rgb="FF0000FF"/>
        <rFont val="Noto Sans CJK SC"/>
        <family val="2"/>
      </rPr>
      <t xml:space="preserve">・注</t>
    </r>
    <r>
      <rPr>
        <sz val="10"/>
        <color rgb="FF0000FF"/>
        <rFont val="Arial"/>
        <family val="0"/>
        <charset val="1"/>
      </rPr>
      <t xml:space="preserve">9)</t>
    </r>
  </si>
  <si>
    <t xml:space="preserve">主要テナント(NTT ExCパートナー等)の賃料が80%以上を占め同意なしのため収支非開示(短信注8)。開示は賃貸事業損益72百万円・NOI105百万円(差=償却33百万円)・NOI利回り4.3%のみ</t>
  </si>
  <si>
    <t xml:space="preserve">百万円単位開示の千円換算(下3桁は概数)。保険料・信託報酬は「その他支出」(P列)に含まれM列=0(短信注4)。開示損益459百万円・NOI566百万円(Q・R列とは百万円丸めにより最大数百万円の差が生じ得る)。建物共有持分86.4915%×信託受益権準共有持分34.2%=実質持分29.580093%。2013/11・2024/3の2回取得。延床は一棟全体。NUD最大収益物件</t>
  </si>
  <si>
    <t xml:space="preserve">実質持分1.1956646%(共有持分×準共有持分)。共有者同意なしのため収支非開示(短信注9)。開示は賃貸事業損益71百万円・NOI81百万円(差=償却10百万円)・NOI利回り3.5%のみ。延床は一棟全体</t>
  </si>
  <si>
    <t xml:space="preserve">信託受益権準共有持分75.0%。共有者同意なしのため収支非開示(短信注9)。開示は賃貸事業損益231百万円・NOI313百万円(差=償却82百万円)・NOI利回り3.5%のみ。2022/3に信託借地権の一部譲渡済(取得価格は控除後18,687,524,311円)。延床は一棟全体</t>
  </si>
  <si>
    <t xml:space="preserve">区分所有権(持分比率毎)。共有者同意なしのため収支非開示(短信注9)。開示は賃貸事業損益257百万円・NOI415百万円(差=償却158百万円)・NOI利回り3.5%のみ。当期不動産賃貸事業収益の10%以上を占める主要物件(テナント104・NLA26,494.46㎡持分換算)。NTT都市開発とのパス・スルー型ML(展示場部分)。BS上は「不動産」(信託外)で帳簿23,439百万円は都心5区・不動産区分と一致。延床は一棟全体</t>
  </si>
  <si>
    <t xml:space="preserve">共有者同意なしのため収支非開示(短信注9)。開示は賃貸事業損益70百万円・NOI83百万円(差=償却13百万円)・NOI利回り3.0%のみ。2022/3取得(スポンサー開発物件)。延床は一棟全体</t>
  </si>
  <si>
    <t xml:space="preserve">百万円単位開示の千円換算(下3桁は概数)。保険料・信託報酬は「その他支出」(P列)に含まれM列=0(短信注4)。開示損益52百万円・NOI68百万円(Q・R列とは百万円丸めにより最大数百万円の差が生じ得る)。鑑定が取得価格・帳簿を下回る</t>
  </si>
  <si>
    <t xml:space="preserve">百万円単位開示の千円換算(下3桁は概数)。保険料・信託報酬は「その他支出」(P列)に含まれM列=0(短信注4)。開示損益63百万円・NOI80百万円(Q・R列とは百万円丸めにより最大数百万円の差が生じ得る)。鑑定が取得価格・帳簿を下回る</t>
  </si>
  <si>
    <t xml:space="preserve">百万円単位開示の千円換算(下3桁は概数)。保険料・信託報酬は「その他支出」(P列)に含まれM列=0(短信注4)。開示損益55百万円・NOI70百万円(Q・R列とは百万円丸めにより最大数百万円の差が生じ得る)。区分所有権の共有持分45%。鑑定が取得価格・帳簿を下回る。延床は一棟全体</t>
  </si>
  <si>
    <t xml:space="preserve">百万円単位開示の千円換算(下3桁は概数)。保険料・信託報酬は「その他支出」(P列)に含まれM列=0(短信注4)。開示損益148百万円・NOI171百万円(Q・R列とは百万円丸めにより最大数百万円の差が生じ得る)</t>
  </si>
  <si>
    <t xml:space="preserve">百万円単位開示の千円換算(下3桁は概数)。保険料・信託報酬は「その他支出」(P列)に含まれM列=0(短信注4)。開示損益393百万円・NOI564百万円(Q・R列とは百万円丸めにより最大数百万円の差が生じ得る)。鑑定23,300百万円=取得価格の1.7倍。ドコモCS・NTTファイナンス等NTTグループが主要テナント</t>
  </si>
  <si>
    <t xml:space="preserve">百万円単位開示の千円換算(下3桁は概数)。保険料・信託報酬は「その他支出」(P列)に含まれM列=0(短信注4)。開示損益128百万円・NOI180百万円(Q・R列とは百万円丸めにより最大数百万円の差が生じ得る)。市区町村は原資料未確認のため空欄(大森エリア)。NTTビジネスアソシエ東日本が主要テナント</t>
  </si>
  <si>
    <t xml:space="preserve">百万円単位開示の千円換算(下3桁は概数)。保険料・信託報酬は「その他支出」(P列)に含まれM列=0(短信注4)。開示損益101百万円・NOI139百万円(Q・R列とは百万円丸めにより最大数百万円の差が生じ得る)</t>
  </si>
  <si>
    <t xml:space="preserve">主要テナント(東京リーガルマインド)の賃料が80%以上を占め同意なしのため収支非開示(短信注8)。開示は賃貸事業損益154百万円・NOI173百万円(差=償却19百万円)・NOI利回り5.4%のみ</t>
  </si>
  <si>
    <t xml:space="preserve">百万円単位開示の千円換算(下3桁は概数)。保険料・信託報酬は「その他支出」(P列)に含まれM列=0(短信注4)。開示損益83百万円・NOI120百万円(Q・R列とは百万円丸めにより最大数百万円の差が生じ得る)</t>
  </si>
  <si>
    <t xml:space="preserve">百万円単位開示の千円換算(下3桁は概数)。保険料・信託報酬は「その他支出」(P列)に含まれM列=0(短信注4)。開示損益55百万円・NOI74百万円(Q・R列とは百万円丸めにより最大数百万円の差が生じ得る)。信託受益権準共有持分40%。延床は一棟全体。NOI利回り10.0%</t>
  </si>
  <si>
    <t xml:space="preserve">百万円単位開示の千円換算(下3桁は概数)。保険料・信託報酬は「その他支出」(P列)に含まれM列=0(短信注4)。開示損益40百万円・NOI50百万円(Q・R列とは百万円丸めにより最大数百万円の差が生じ得る)。信託受益権準共有持分40%。延床は一棟全体</t>
  </si>
  <si>
    <t xml:space="preserve">百万円単位開示の千円換算(下3桁は概数)。保険料・信託報酬は「その他支出」(P列)に含まれM列=0(短信注4)。開示損益108百万円・NOI159百万円(Q・R列とは百万円丸めにより最大数百万円の差が生じ得る)</t>
  </si>
  <si>
    <t xml:space="preserve">百万円単位開示の千円換算(下3桁は概数)。保険料・信託報酬は「その他支出」(P列)に含まれM列=0(短信注4)。開示損益181百万円・NOI207百万円(Q・R列とは百万円丸めにより最大数百万円の差が生じ得る)。2023/11取得</t>
  </si>
  <si>
    <t xml:space="preserve">百万円単位開示の千円換算(下3桁は概数)。保険料・信託報酬は「その他支出」(P列)に含まれM列=0(短信注4)。開示損益147百万円・NOI168百万円(Q・R列とは百万円丸めにより最大数百万円の差が生じ得る)。2023/11取得。市区町村・都道府県は原資料未確認のため空欄(地方主要都市区分・3大都市圏)</t>
  </si>
  <si>
    <t xml:space="preserve">百万円単位開示の千円換算(下3桁は概数)。保険料・信託報酬は「その他支出」(P列)に含まれM列=0(短信注4)。開示損益105百万円・NOI130百万円(Q・R列とは百万円丸めにより最大数百万円の差が生じ得る)</t>
  </si>
  <si>
    <t xml:space="preserve">百万円単位開示の千円換算(下3桁は概数)。保険料・信託報酬は「その他支出」(P列)に含まれM列=0(短信注4)。開示損益42百万円・NOI49百万円(Q・R列とは百万円丸めにより最大数百万円の差が生じ得る)</t>
  </si>
  <si>
    <t xml:space="preserve">百万円単位開示の千円換算(下3桁は概数)。保険料・信託報酬は「その他支出」(P列)に含まれM列=0(短信注4)。開示損益-4百万円・NOI1百万円(Q・R列とは百万円丸めにより最大数百万円の差が生じ得る)。当期は修繕費30百万円計上により賃貸事業損益△4百万円</t>
  </si>
  <si>
    <t xml:space="preserve">百万円単位開示の千円換算(下3桁は概数)。保険料・信託報酬は「その他支出」(P列)に含まれM列=0(短信注4)。開示損益2百万円・NOI9百万円(Q・R列とは百万円丸めにより最大数百万円の差が生じ得る)。当期は修繕費20百万円計上</t>
  </si>
  <si>
    <t xml:space="preserve">百万円単位開示の千円換算(下3桁は概数)。保険料・信託報酬は「その他支出」(P列)に含まれM列=0(短信注4)。開示損益71百万円・NOI97百万円(Q・R列とは百万円丸めにより最大数百万円の差が生じ得る)</t>
  </si>
  <si>
    <t xml:space="preserve">百万円単位開示の千円換算(下3桁は概数)。保険料・信託報酬は「その他支出」(P列)に含まれM列=0(短信注4)。開示損益6百万円・NOI15百万円(Q・R列とは百万円丸めにより最大数百万円の差が生じ得る)。当期は修繕費35百万円計上</t>
  </si>
  <si>
    <t xml:space="preserve">百万円単位開示の千円換算(下3桁は概数)。保険料・信託報酬は「その他支出」(P列)に含まれM列=0(短信注4)。開示損益21百万円・NOI27百万円(Q・R列とは百万円丸めにより最大数百万円の差が生じ得る)。その他収益33百万円・その他支出31百万円(住宅以外用途含む)</t>
  </si>
  <si>
    <t xml:space="preserve">百万円単位開示の千円換算(下3桁は概数)。保険料・信託報酬は「その他支出」(P列)に含まれM列=0(短信注4)。開示損益37百万円・NOI43百万円(Q・R列とは百万円丸めにより最大数百万円の差が生じ得る)</t>
  </si>
  <si>
    <t xml:space="preserve">百万円単位開示の千円換算(下3桁は概数)。保険料・信託報酬は「その他支出」(P列)に含まれM列=0(短信注4)。開示損益39百万円・NOI49百万円(Q・R列とは百万円丸めにより最大数百万円の差が生じ得る)。市区町村は原資料未確認のため空欄(都心5区)</t>
  </si>
  <si>
    <t xml:space="preserve">百万円単位開示の千円換算(下3桁は概数)。保険料・信託報酬は「その他支出」(P列)に含まれM列=0(短信注4)。開示損益44百万円・NOI59百万円(Q・R列とは百万円丸めにより最大数百万円の差が生じ得る)</t>
  </si>
  <si>
    <t xml:space="preserve">百万円単位開示の千円換算(下3桁は概数)。保険料・信託報酬は「その他支出」(P列)に含まれM列=0(短信注4)。開示損益43百万円・NOI52百万円(Q・R列とは百万円丸めにより最大数百万円の差が生じ得る)</t>
  </si>
  <si>
    <t xml:space="preserve">百万円単位開示の千円換算(下3桁は概数)。保険料・信託報酬は「その他支出」(P列)に含まれM列=0(短信注4)。開示損益-19百万円・NOI-11百万円(Q・R列とは百万円丸めにより最大数百万円の差が生じ得る)。当期は修繕費51百万円計上により賃貸事業損益△19百万円・NOI△11百万円</t>
  </si>
  <si>
    <t xml:space="preserve">百万円単位開示の千円換算(下3桁は概数)。保険料・信託報酬は「その他支出」(P列)に含まれM列=0(短信注4)。開示損益21百万円・NOI33百万円(Q・R列とは百万円丸めにより最大数百万円の差が生じ得る)</t>
  </si>
  <si>
    <t xml:space="preserve">百万円単位開示の千円換算(下3桁は概数)。保険料・信託報酬は「その他支出」(P列)に含まれM列=0(短信注4)。開示損益22百万円・NOI30百万円(Q・R列とは百万円丸めにより最大数百万円の差が生じ得る)</t>
  </si>
  <si>
    <t xml:space="preserve">百万円単位開示の千円換算(下3桁は概数)。保険料・信託報酬は「その他支出」(P列)に含まれM列=0(短信注4)。開示損益-87百万円・NOI-77百万円(Q・R列とは百万円丸めにより最大数百万円の差が生じ得る)。当期は修繕費103百万円計上により賃貸事業損益△87百万円・NOI△77百万円(NOI利回り△12.9%)。市区町村は原資料未確認のため空欄(都心5区)</t>
  </si>
  <si>
    <t xml:space="preserve">百万円単位開示の千円換算(下3桁は概数)。保険料・信託報酬は「その他支出」(P列)に含まれM列=0(短信注4)。開示損益95百万円・NOI176百万円(Q・R列とは百万円丸めにより最大数百万円の差が生じ得る)。所有権共有持分23%。延床は一棟全体</t>
  </si>
  <si>
    <t xml:space="preserve">百万円単位開示の千円換算(下3桁は概数)。保険料・信託報酬は「その他支出」(P列)に含まれM列=0(短信注4)。開示損益51百万円・NOI72百万円(Q・R列とは百万円丸めにより最大数百万円の差が生じ得る)</t>
  </si>
  <si>
    <t xml:space="preserve">百万円単位開示の千円換算(下3桁は概数)。保険料・信託報酬は「その他支出」(P列)に含まれM列=0(短信注4)。開示損益55百万円・NOI107百万円(Q・R列とは百万円丸めにより最大数百万円の差が生じ得る)。鑑定が取得価格を下回る</t>
  </si>
  <si>
    <t xml:space="preserve">百万円単位開示の千円換算(下3桁は概数)。保険料・信託報酬は「その他支出」(P列)に含まれM列=0(短信注4)。開示損益109百万円・NOI168百万円(Q・R列とは百万円丸めにより最大数百万円の差が生じ得る)。所有権共有持分16%。延床は一棟全体</t>
  </si>
  <si>
    <t xml:space="preserve">百万円単位開示の千円換算(下3桁は概数)。保険料・信託報酬は「その他支出」(P列)に含まれM列=0(短信注4)。開示損益105百万円・NOI128百万円(Q・R列とは百万円丸めにより最大数百万円の差が生じ得る)</t>
  </si>
  <si>
    <t xml:space="preserve">百万円単位開示の千円換算(下3桁は概数)。保険料・信託報酬は「その他支出」(P列)に含まれM列=0(短信注4)。開示損益40百万円・NOI52百万円(Q・R列とは百万円丸めにより最大数百万円の差が生じ得る)。鑑定2,700百万円=取得価格の1.9倍</t>
  </si>
  <si>
    <t xml:space="preserve">百万円単位開示の千円換算(下3桁は概数)。保険料・信託報酬は「その他支出」(P列)に含まれM列=0(短信注4)。開示損益26百万円・NOI31百万円(Q・R列とは百万円丸めにより最大数百万円の差が生じ得る)</t>
  </si>
  <si>
    <t xml:space="preserve">百万円単位開示の千円換算(下3桁は概数)。保険料・信託報酬は「その他支出」(P列)に含まれM列=0(短信注4)。開示損益20百万円・NOI25百万円(Q・R列とは百万円丸めにより最大数百万円の差が生じ得る)</t>
  </si>
  <si>
    <t xml:space="preserve">百万円単位開示の千円換算(下3桁は概数)。保険料・信託報酬は「その他支出」(P列)に含まれM列=0(短信注4)。開示損益22百万円・NOI28百万円(Q・R列とは百万円丸めにより最大数百万円の差が生じ得る)</t>
  </si>
  <si>
    <t xml:space="preserve">百万円単位開示の千円換算(下3桁は概数)。保険料・信託報酬は「その他支出」(P列)に含まれM列=0(短信注4)。開示損益-13百万円・NOI-8百万円(Q・R列とは百万円丸めにより最大数百万円の差が生じ得る)。当期は外壁等修繕(修繕費32百万円)により賃貸事業損益△13百万円</t>
  </si>
  <si>
    <t xml:space="preserve">百万円単位開示の千円換算(下3桁は概数)。保険料・信託報酬は「その他支出」(P列)に含まれM列=0(短信注4)。開示損益28百万円・NOI36百万円(Q・R列とは百万円丸めにより最大数百万円の差が生じ得る)。鑑定が取得価格を下回る</t>
  </si>
  <si>
    <t xml:space="preserve">百万円単位開示の千円換算(下3桁は概数)。保険料・信託報酬は「その他支出」(P列)に含まれM列=0(短信注4)。開示損益20百万円・NOI28百万円(Q・R列とは百万円丸めにより最大数百万円の差が生じ得る)</t>
  </si>
  <si>
    <t xml:space="preserve">百万円単位開示の千円換算(下3桁は概数)。保険料・信託報酬は「その他支出」(P列)に含まれM列=0(短信注4)。開示損益30百万円・NOI43百万円(Q・R列とは百万円丸めにより最大数百万円の差が生じ得る)</t>
  </si>
  <si>
    <t xml:space="preserve">百万円単位開示の千円換算(下3桁は概数)。保険料・信託報酬は「その他支出」(P列)に含まれM列=0(短信注4)。開示損益32百万円・NOI43百万円(Q・R列とは百万円丸めにより最大数百万円の差が生じ得る)。市区町村は原資料未確認のため空欄(駒込エリア)</t>
  </si>
  <si>
    <t xml:space="preserve">百万円単位開示の千円換算(下3桁は概数)。保険料・信託報酬は「その他支出」(P列)に含まれM列=0(短信注4)。開示損益27百万円・NOI34百万円(Q・R列とは百万円丸めにより最大数百万円の差が生じ得る)。PML22.5%はポートフォリオ最高(20%超過部分に地震保険付保)</t>
  </si>
  <si>
    <t xml:space="preserve">百万円単位開示の千円換算(下3桁は概数)。保険料・信託報酬は「その他支出」(P列)に含まれM列=0(短信注4)。開示損益55百万円・NOI71百万円(Q・R列とは百万円丸めにより最大数百万円の差が生じ得る)</t>
  </si>
  <si>
    <t xml:space="preserve">百万円単位開示の千円換算(下3桁は概数)。保険料・信託報酬は「その他支出」(P列)に含まれM列=0(短信注4)。開示損益31百万円・NOI41百万円(Q・R列とは百万円丸めにより最大数百万円の差が生じ得る)</t>
  </si>
  <si>
    <t xml:space="preserve">百万円単位開示の千円換算(下3桁は概数)。保険料・信託報酬は「その他支出」(P列)に含まれM列=0(短信注4)。開示損益51百万円・NOI65百万円(Q・R列とは百万円丸めにより最大数百万円の差が生じ得る)。所有権共有持分48.12%。2024/3取得。延床は一棟全体</t>
  </si>
  <si>
    <t xml:space="preserve">百万円単位開示の千円換算(下3桁は概数)。保険料・信託報酬は「その他支出」(P列)に含まれM列=0(短信注4)。開示損益38百万円・NOI55百万円(Q・R列とは百万円丸めにより最大数百万円の差が生じ得る)。2025/2取得(築4.5年・NTT都市開発開発物件)。水道光熱費は「－」表示</t>
  </si>
  <si>
    <t xml:space="preserve">百万円単位開示の千円換算(下3桁は概数)。保険料・信託報酬は「その他支出」(P列)に含まれM列=0(短信注4)。開示損益27百万円・NOI46百万円(Q・R列とは百万円丸めにより最大数百万円の差が生じ得る)。2025/2取得。期末稼働88.6%</t>
  </si>
  <si>
    <t xml:space="preserve">百万円単位開示の千円換算(下3桁は概数)。保険料・信託報酬は「その他支出」(P列)に含まれM列=0(短信注4)。開示損益4百万円・NOI8百万円(Q・R列とは百万円丸めにより最大数百万円の差が生じ得る)。2026/2/25取得(当期営業日数65日・収支は期間按分)。取得後「プレミアステージ都島高倉町」へ名称変更(公式一覧)</t>
  </si>
  <si>
    <t xml:space="preserve">対象外（優先出資証券）</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</si>
  <si>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p.25</t>
    </r>
  </si>
  <si>
    <t xml:space="preserve">優先出資証券のため賃貸事業収支の対象外。当期受取配当金529,826千円は営業収益に計上(本DBの賃貸収支には含まず)。秋葉原UDX(千代田区・オフィスビル一棟全体及び敷地)のキャッシュ・フローを裏付けとする優先出資証券282,000口のうち53,580口(優先出資持分19.0%)を保有。2010/12・2013/11の2回取得。BS計上額(=評価額)20,035,175千円。当期受取配当金529,826千円は営業収益に計上(賃貸事業収支外)。市場価格のない株式等のため時価開示対象外</t>
  </si>
  <si>
    <r>
      <rPr>
        <sz val="10"/>
        <color rgb="FF0000FF"/>
        <rFont val="Arial"/>
        <family val="0"/>
        <charset val="1"/>
      </rPr>
      <t xml:space="preserve">NUD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47</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t>
    </r>
    <r>
      <rPr>
        <sz val="10"/>
        <color rgb="FF0000FF"/>
        <rFont val="Noto Sans CJK SC"/>
        <family val="2"/>
      </rPr>
      <t xml:space="preserve">＋公式ポートフォリオ一覧</t>
    </r>
    <r>
      <rPr>
        <sz val="10"/>
        <color rgb="FF0000FF"/>
        <rFont val="Arial"/>
        <family val="0"/>
        <charset val="1"/>
      </rPr>
      <t xml:space="preserve">(2026/7/31</t>
    </r>
    <r>
      <rPr>
        <sz val="10"/>
        <color rgb="FF0000FF"/>
        <rFont val="Noto Sans CJK SC"/>
        <family val="2"/>
      </rPr>
      <t xml:space="preserve">現在・延床</t>
    </r>
    <r>
      <rPr>
        <sz val="10"/>
        <color rgb="FF0000FF"/>
        <rFont val="Arial"/>
        <family val="0"/>
        <charset val="1"/>
      </rPr>
      <t xml:space="preserve">/</t>
    </r>
    <r>
      <rPr>
        <sz val="10"/>
        <color rgb="FF0000FF"/>
        <rFont val="Noto Sans CJK SC"/>
        <family val="2"/>
      </rPr>
      <t xml:space="preserve">取得時期</t>
    </r>
    <r>
      <rPr>
        <sz val="10"/>
        <color rgb="FF0000FF"/>
        <rFont val="Arial"/>
        <family val="0"/>
        <charset val="1"/>
      </rPr>
      <t xml:space="preserve">) p.16 </t>
    </r>
    <r>
      <rPr>
        <sz val="10"/>
        <color rgb="FF0000FF"/>
        <rFont val="Noto Sans CJK SC"/>
        <family val="2"/>
      </rPr>
      <t xml:space="preserve">不動産賃貸事業損益の内訳・</t>
    </r>
    <r>
      <rPr>
        <sz val="10"/>
        <color rgb="FF0000FF"/>
        <rFont val="Arial"/>
        <family val="0"/>
        <charset val="1"/>
      </rPr>
      <t xml:space="preserve">p.33 </t>
    </r>
    <r>
      <rPr>
        <sz val="10"/>
        <color rgb="FF0000FF"/>
        <rFont val="Noto Sans CJK SC"/>
        <family val="2"/>
      </rPr>
      <t xml:space="preserve">資本的支出</t>
    </r>
  </si>
  <si>
    <t xml:space="preserve">法人一括の賃貸事業収支(千円・不動産等売却益1,239,299千円と受取配当金529,826千円は含まず)。G=賃貸事業収入(賃料8,878,579+共益費1,221,927=完全一致)、H=その他賃貸事業収入(水道光熱費収入502,176+駐車場使用料259,356+施設使用料116,758+その他付帯収益57,259+その他雑収入170,481、内訳計と欄の1千円差は切捨て由来。F=G+Hの1千円差も同様)。P列=信託報酬27,491+賃借料521,775(東京オペラシティ等の借地物件に係る地代等)+その他賃貸事業費用227,419の合算。M保険料21,745は一括内訳では独立開示(物件別ではその他支出に含む)。内訳チェック5千円は原資料の千円未満切捨て由来。損益4,790,377=F-I完全一致。用途別内訳(千円): オフィス収益8,126,046/費用4,546,320/損益3,579,725、レジデンス3,080,492/1,869,840/1,210,652。物件別(百万円開示)の合算との差は切捨て累積(損益: オフィス-14・レジ-14百万円等)で検証済。CAPEX1,355,308千円+費用処理修繕1,011,352千円=計2,366,661千円の工事実施(東京オペラシティのホール・設備改修等)</t>
  </si>
  <si>
    <t xml:space="preserve">開示（物件別・収益のみ・百万円単位）</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</si>
  <si>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 p.45-51 </t>
    </r>
    <r>
      <rPr>
        <sz val="10"/>
        <color rgb="FF0000FF"/>
        <rFont val="Noto Sans CJK SC"/>
        <family val="2"/>
      </rPr>
      <t xml:space="preserve">賃貸借状況の概要</t>
    </r>
  </si>
  <si>
    <t xml:space="preserve">当期不動産賃貸事業収益178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</si>
  <si>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</si>
  <si>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</si>
  <si>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開示（期中譲渡・収益のみ・百万円単位）</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</si>
  <si>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</si>
  <si>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47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</si>
  <si>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</si>
  <si>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38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</si>
  <si>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57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</si>
  <si>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31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</si>
  <si>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42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</si>
  <si>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</si>
  <si>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103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</si>
  <si>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</si>
  <si>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32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</si>
  <si>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</si>
  <si>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</si>
  <si>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</si>
  <si>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</si>
  <si>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</si>
  <si>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</si>
  <si>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</si>
  <si>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</si>
  <si>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25</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</si>
  <si>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30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</si>
  <si>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</si>
  <si>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116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</si>
  <si>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18</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</si>
  <si>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59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</si>
  <si>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</si>
  <si>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</si>
  <si>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</si>
  <si>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</si>
  <si>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</si>
  <si>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196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</si>
  <si>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</si>
  <si>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</si>
  <si>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22</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</si>
  <si>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43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</si>
  <si>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</si>
  <si>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</si>
  <si>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</si>
  <si>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</si>
  <si>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</si>
  <si>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</si>
  <si>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101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</si>
  <si>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</si>
  <si>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</si>
  <si>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</si>
  <si>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</si>
  <si>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33</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</si>
  <si>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83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</si>
  <si>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241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</si>
  <si>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277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</si>
  <si>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155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</si>
  <si>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118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</si>
  <si>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</si>
  <si>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</si>
  <si>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90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</si>
  <si>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</si>
  <si>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115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</si>
  <si>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21</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</si>
  <si>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147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</si>
  <si>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221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</si>
  <si>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</si>
  <si>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</si>
  <si>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20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</si>
  <si>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239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</si>
  <si>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</si>
  <si>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</si>
  <si>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</si>
  <si>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</si>
  <si>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504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</si>
  <si>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</si>
  <si>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</si>
  <si>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2026/1/29</t>
    </r>
    <r>
      <rPr>
        <sz val="10"/>
        <color rgb="FF0000FF"/>
        <rFont val="Noto Sans CJK SC"/>
        <family val="2"/>
      </rPr>
      <t xml:space="preserve">譲渡までの期間</t>
    </r>
    <r>
      <rPr>
        <sz val="10"/>
        <color rgb="FF0000FF"/>
        <rFont val="Arial"/>
        <family val="0"/>
        <charset val="1"/>
      </rPr>
      <t xml:space="preserve">(2025/11/1-2026/1/28)</t>
    </r>
    <r>
      <rPr>
        <sz val="10"/>
        <color rgb="FF0000FF"/>
        <rFont val="Noto Sans CJK SC"/>
        <family val="2"/>
      </rPr>
      <t xml:space="preserve">対応の賃貸事業収益</t>
    </r>
    <r>
      <rPr>
        <sz val="10"/>
        <color rgb="FF0000FF"/>
        <rFont val="Arial"/>
        <family val="0"/>
        <charset val="1"/>
      </rPr>
      <t xml:space="preserve">10</t>
    </r>
    <r>
      <rPr>
        <sz val="10"/>
        <color rgb="FF0000FF"/>
        <rFont val="Noto Sans CJK SC"/>
        <family val="2"/>
      </rPr>
      <t xml:space="preserve">百万円</t>
    </r>
    <r>
      <rPr>
        <sz val="10"/>
        <color rgb="FF0000FF"/>
        <rFont val="Arial"/>
        <family val="0"/>
        <charset val="1"/>
      </rPr>
      <t xml:space="preserve">(</t>
    </r>
    <r>
      <rPr>
        <sz val="10"/>
        <color rgb="FF0000FF"/>
        <rFont val="Noto Sans CJK SC"/>
        <family val="2"/>
      </rPr>
      <t xml:space="preserve">百万円切捨ての千円換算・下</t>
    </r>
    <r>
      <rPr>
        <sz val="10"/>
        <color rgb="FF0000FF"/>
        <rFont val="Arial"/>
        <family val="0"/>
        <charset val="1"/>
      </rPr>
      <t xml:space="preserve">3</t>
    </r>
    <r>
      <rPr>
        <sz val="10"/>
        <color rgb="FF0000FF"/>
        <rFont val="Noto Sans CJK SC"/>
        <family val="2"/>
      </rPr>
      <t xml:space="preserve">桁概数</t>
    </r>
    <r>
      <rPr>
        <sz val="10"/>
        <color rgb="FF0000FF"/>
        <rFont val="Arial"/>
        <family val="0"/>
        <charset val="1"/>
      </rPr>
      <t xml:space="preserve">)</t>
    </r>
    <r>
      <rPr>
        <sz val="10"/>
        <color rgb="FF0000FF"/>
        <rFont val="Noto Sans CJK SC"/>
        <family val="2"/>
      </rPr>
      <t xml:space="preserve">。費用・損益は物件別百万円表示なし</t>
    </r>
    <r>
      <rPr>
        <sz val="10"/>
        <color rgb="FF0000FF"/>
        <rFont val="Arial"/>
        <family val="0"/>
        <charset val="1"/>
      </rPr>
      <t xml:space="preserve">(</t>
    </r>
    <r>
      <rPr>
        <sz val="10"/>
        <color rgb="FF0000FF"/>
        <rFont val="Noto Sans CJK SC"/>
        <family val="2"/>
      </rPr>
      <t xml:space="preserve">千円単位の個別収支は短信</t>
    </r>
    <r>
      <rPr>
        <sz val="10"/>
        <color rgb="FF0000FF"/>
        <rFont val="Arial"/>
        <family val="0"/>
        <charset val="1"/>
      </rPr>
      <t xml:space="preserve">p.72</t>
    </r>
    <r>
      <rPr>
        <sz val="10"/>
        <color rgb="FF0000FF"/>
        <rFont val="Noto Sans CJK SC"/>
        <family val="2"/>
      </rPr>
      <t xml:space="preserve">以降に開示</t>
    </r>
    <r>
      <rPr>
        <sz val="10"/>
        <color rgb="FF0000FF"/>
        <rFont val="Arial"/>
        <family val="0"/>
        <charset val="1"/>
      </rPr>
      <t xml:space="preserve">)</t>
    </r>
  </si>
  <si>
    <t xml:space="preserve">当期不動産賃貸事業収益228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</si>
  <si>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</si>
  <si>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645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</si>
  <si>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</si>
  <si>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</si>
  <si>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243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</si>
  <si>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</si>
  <si>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76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</si>
  <si>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</si>
  <si>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187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</si>
  <si>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182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</si>
  <si>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35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</si>
  <si>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</si>
  <si>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27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</si>
  <si>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19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</si>
  <si>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</si>
  <si>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32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</si>
  <si>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41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</si>
  <si>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</si>
  <si>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8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</si>
  <si>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対象外（米国LLC出資・受取配当金経由）</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</si>
  <si>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 p.25-26 </t>
    </r>
    <r>
      <rPr>
        <sz val="10"/>
        <color rgb="FF0000FF"/>
        <rFont val="Noto Sans CJK SC"/>
        <family val="2"/>
      </rPr>
      <t xml:space="preserve">受取配当金の内訳</t>
    </r>
  </si>
  <si>
    <t xml:space="preserve">米国LLC出資経由のため賃貸事業収支の対象外。当期は配当金771,125千円(Boren II・2025/12期決算基準)等、LLC4社から計1,752,924千円の受取配当金を営業収益に計上。裏付不動産のIFRS賃貸収益・費用は短信注記参照</t>
  </si>
  <si>
    <t xml:space="preserve">米国LLC出資経由のため賃貸事業収支の対象外。当期は配当金981,798千円(Ridge I・2025/12期決算基準)等、LLC4社から計1,752,924千円の受取配当金を営業収益に計上。裏付不動産のIFRS賃貸収益・費用は短信注記参照</t>
  </si>
  <si>
    <t xml:space="preserve">当期不動産賃貸事業収益544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</si>
  <si>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1301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</si>
  <si>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202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</si>
  <si>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t xml:space="preserve">当期不動産賃貸事業収益121百万円(百万円切捨ての千円換算・下3桁概数)。短信p.72以降に千円単位の個別収支(外注委託費・管理委託料・信託報酬・水道光熱費・公租公課・保険料・修繕費・減価償却費等の費用内訳とNOI算出可能な損益)がフル開示されており将来精緻化候補。費用は法人一括(SHR-ALL行)参照</t>
  </si>
  <si>
    <r>
      <rPr>
        <sz val="10"/>
        <color rgb="FF0000FF"/>
        <rFont val="Arial"/>
        <family val="0"/>
        <charset val="1"/>
      </rPr>
      <t xml:space="preserve">SHR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23</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(2026/6/15</t>
    </r>
    <r>
      <rPr>
        <sz val="10"/>
        <color rgb="FF0000FF"/>
        <rFont val="Noto Sans CJK SC"/>
        <family val="2"/>
      </rPr>
      <t xml:space="preserve">公表</t>
    </r>
    <r>
      <rPr>
        <sz val="10"/>
        <color rgb="FF0000FF"/>
        <rFont val="Arial"/>
        <family val="0"/>
        <charset val="1"/>
      </rPr>
      <t xml:space="preserve">) p.23 </t>
    </r>
    <r>
      <rPr>
        <sz val="10"/>
        <color rgb="FF0000FF"/>
        <rFont val="Noto Sans CJK SC"/>
        <family val="2"/>
      </rPr>
      <t xml:space="preserve">不動産賃貸事業損益の内訳</t>
    </r>
  </si>
  <si>
    <t xml:space="preserve">法人一括の賃貸事業収支(千円・不動産等売却益7,733,720千円と受取配当金1,752,924千円は含まず)。G=賃貸事業収入(賃料収入等11,989,545+その他387,279)、H=その他賃貸事業収入(附加使用料133,964+その他353,505)。J列=外注委託費560,451+管理委託料529,507の合算(PM費を外注委託に含める他法人との比較性確保)、P列=信託報酬41,522+その他賃貸事業費用753,759の合算。内訳チェック4千円は原資料の千円未満切捨て由来。Q列(F-I)=7,136,801は開示損益7,136,800と1千円差(切捨て伝播・原資料内不整合として注記)。資本的支出はPDF後半(p.90)が本取得範囲外のため未収録(S列空欄)。減価償却費2,314,026千円(CF計算書では2,321,425千円=無形等含む)。米国物件の賃貸損益は本表対象外(受取配当金経由)</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</si>
  <si>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p.46-49 </t>
    </r>
    <r>
      <rPr>
        <sz val="10"/>
        <color rgb="FF0000FF"/>
        <rFont val="Noto Sans CJK SC"/>
        <family val="2"/>
      </rPr>
      <t xml:space="preserve">賃貸状況の概要</t>
    </r>
  </si>
  <si>
    <t xml:space="preserve">物件別「賃貸事業収入」(千円・当期)。費用内訳は物件別非開示(法人一括のHFR-ALL行参照。xlsx個別物件収支データに詳細開示あり=将来精緻化候補)</t>
  </si>
  <si>
    <t xml:space="preserve">非開示（ML会社同意なし）</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</si>
  <si>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p.46(</t>
    </r>
    <r>
      <rPr>
        <sz val="10"/>
        <color rgb="FF0000FF"/>
        <rFont val="Noto Sans CJK SC"/>
        <family val="2"/>
      </rPr>
      <t xml:space="preserve">注</t>
    </r>
    <r>
      <rPr>
        <sz val="10"/>
        <color rgb="FF0000FF"/>
        <rFont val="Arial"/>
        <family val="0"/>
        <charset val="1"/>
      </rPr>
      <t xml:space="preserve">7)</t>
    </r>
  </si>
  <si>
    <t xml:space="preserve">マスターリース会社兼プロパティマネジメント会社の同意が得られず賃貸事業収入は非開示。開示45物件の合算とオフィス小計の差83,730千円が本物件分に相当(参考・ALL行注記参照)</t>
  </si>
  <si>
    <t xml:space="preserve">対象外（期中譲渡・収益非掲載）</t>
  </si>
  <si>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p.25 </t>
    </r>
    <r>
      <rPr>
        <sz val="10"/>
        <color rgb="FF0000FF"/>
        <rFont val="Noto Sans CJK SC"/>
        <family val="2"/>
      </rPr>
      <t xml:space="preserve">不動産等売却損益の内訳</t>
    </r>
  </si>
  <si>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3,500</t>
    </r>
    <r>
      <rPr>
        <sz val="10"/>
        <color rgb="FF0000FF"/>
        <rFont val="Noto Sans CJK SC"/>
        <family val="2"/>
      </rPr>
      <t xml:space="preserve">百万円・売却益</t>
    </r>
    <r>
      <rPr>
        <sz val="10"/>
        <color rgb="FF0000FF"/>
        <rFont val="Arial"/>
        <family val="0"/>
        <charset val="1"/>
      </rPr>
      <t xml:space="preserve">1,578,021</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。譲渡先は同意なく非開示。期中</t>
    </r>
    <r>
      <rPr>
        <sz val="10"/>
        <color rgb="FF0000FF"/>
        <rFont val="Arial"/>
        <family val="0"/>
        <charset val="1"/>
      </rPr>
      <t xml:space="preserve">(2025/12/1-2026/5/28)</t>
    </r>
    <r>
      <rPr>
        <sz val="10"/>
        <color rgb="FF0000FF"/>
        <rFont val="Noto Sans CJK SC"/>
        <family val="2"/>
      </rPr>
      <t xml:space="preserve">の賃貸収益は物件別表に非掲載</t>
    </r>
    <r>
      <rPr>
        <sz val="10"/>
        <color rgb="FF0000FF"/>
        <rFont val="Arial"/>
        <family val="0"/>
        <charset val="1"/>
      </rPr>
      <t xml:space="preserve">(</t>
    </r>
    <r>
      <rPr>
        <sz val="10"/>
        <color rgb="FF0000FF"/>
        <rFont val="Noto Sans CJK SC"/>
        <family val="2"/>
      </rPr>
      <t xml:space="preserve">注</t>
    </r>
    <r>
      <rPr>
        <sz val="10"/>
        <color rgb="FF0000FF"/>
        <rFont val="Arial"/>
        <family val="0"/>
        <charset val="1"/>
      </rPr>
      <t xml:space="preserve">5</t>
    </r>
    <r>
      <rPr>
        <sz val="10"/>
        <color rgb="FF0000FF"/>
        <rFont val="Noto Sans CJK SC"/>
        <family val="2"/>
      </rPr>
      <t xml:space="preserve">により売却物件は除外</t>
    </r>
    <r>
      <rPr>
        <sz val="10"/>
        <color rgb="FF0000FF"/>
        <rFont val="Arial"/>
        <family val="0"/>
        <charset val="1"/>
      </rPr>
      <t xml:space="preserve">)</t>
    </r>
  </si>
  <si>
    <r>
      <rPr>
        <sz val="10"/>
        <color rgb="FF0000FF"/>
        <rFont val="Arial"/>
        <family val="0"/>
        <charset val="1"/>
      </rPr>
      <t xml:space="preserve">2026/5/29</t>
    </r>
    <r>
      <rPr>
        <sz val="10"/>
        <color rgb="FF0000FF"/>
        <rFont val="Noto Sans CJK SC"/>
        <family val="2"/>
      </rPr>
      <t xml:space="preserve">譲渡</t>
    </r>
    <r>
      <rPr>
        <sz val="10"/>
        <color rgb="FF0000FF"/>
        <rFont val="Arial"/>
        <family val="0"/>
        <charset val="1"/>
      </rPr>
      <t xml:space="preserve">(</t>
    </r>
    <r>
      <rPr>
        <sz val="10"/>
        <color rgb="FF0000FF"/>
        <rFont val="Noto Sans CJK SC"/>
        <family val="2"/>
      </rPr>
      <t xml:space="preserve">譲渡価格</t>
    </r>
    <r>
      <rPr>
        <sz val="10"/>
        <color rgb="FF0000FF"/>
        <rFont val="Arial"/>
        <family val="0"/>
        <charset val="1"/>
      </rPr>
      <t xml:space="preserve">2,050</t>
    </r>
    <r>
      <rPr>
        <sz val="10"/>
        <color rgb="FF0000FF"/>
        <rFont val="Noto Sans CJK SC"/>
        <family val="2"/>
      </rPr>
      <t xml:space="preserve">百万円・売却益</t>
    </r>
    <r>
      <rPr>
        <sz val="10"/>
        <color rgb="FF0000FF"/>
        <rFont val="Arial"/>
        <family val="0"/>
        <charset val="1"/>
      </rPr>
      <t xml:space="preserve">922,079</t>
    </r>
    <r>
      <rPr>
        <sz val="10"/>
        <color rgb="FF0000FF"/>
        <rFont val="Noto Sans CJK SC"/>
        <family val="2"/>
      </rPr>
      <t xml:space="preserve">千円</t>
    </r>
    <r>
      <rPr>
        <sz val="10"/>
        <color rgb="FF0000FF"/>
        <rFont val="Arial"/>
        <family val="0"/>
        <charset val="1"/>
      </rPr>
      <t xml:space="preserve">)</t>
    </r>
    <r>
      <rPr>
        <sz val="10"/>
        <color rgb="FF0000FF"/>
        <rFont val="Noto Sans CJK SC"/>
        <family val="2"/>
      </rPr>
      <t xml:space="preserve">。譲渡先は同意なく非開示。期中</t>
    </r>
    <r>
      <rPr>
        <sz val="10"/>
        <color rgb="FF0000FF"/>
        <rFont val="Arial"/>
        <family val="0"/>
        <charset val="1"/>
      </rPr>
      <t xml:space="preserve">(2025/12/1-2026/5/28)</t>
    </r>
    <r>
      <rPr>
        <sz val="10"/>
        <color rgb="FF0000FF"/>
        <rFont val="Noto Sans CJK SC"/>
        <family val="2"/>
      </rPr>
      <t xml:space="preserve">の賃貸収益は物件別表に非掲載</t>
    </r>
    <r>
      <rPr>
        <sz val="10"/>
        <color rgb="FF0000FF"/>
        <rFont val="Arial"/>
        <family val="0"/>
        <charset val="1"/>
      </rPr>
      <t xml:space="preserve">(</t>
    </r>
    <r>
      <rPr>
        <sz val="10"/>
        <color rgb="FF0000FF"/>
        <rFont val="Noto Sans CJK SC"/>
        <family val="2"/>
      </rPr>
      <t xml:space="preserve">注</t>
    </r>
    <r>
      <rPr>
        <sz val="10"/>
        <color rgb="FF0000FF"/>
        <rFont val="Arial"/>
        <family val="0"/>
        <charset val="1"/>
      </rPr>
      <t xml:space="preserve">5</t>
    </r>
    <r>
      <rPr>
        <sz val="10"/>
        <color rgb="FF0000FF"/>
        <rFont val="Noto Sans CJK SC"/>
        <family val="2"/>
      </rPr>
      <t xml:space="preserve">により売却物件は除外</t>
    </r>
    <r>
      <rPr>
        <sz val="10"/>
        <color rgb="FF0000FF"/>
        <rFont val="Arial"/>
        <family val="0"/>
        <charset val="1"/>
      </rPr>
      <t xml:space="preserve">)</t>
    </r>
  </si>
  <si>
    <r>
      <rPr>
        <sz val="10"/>
        <color rgb="FF0000FF"/>
        <rFont val="Arial"/>
        <family val="0"/>
        <charset val="1"/>
      </rPr>
      <t xml:space="preserve">HFR 2026</t>
    </r>
    <r>
      <rPr>
        <sz val="10"/>
        <color rgb="FF0000FF"/>
        <rFont val="Noto Sans CJK SC"/>
        <family val="2"/>
      </rPr>
      <t xml:space="preserve">年</t>
    </r>
    <r>
      <rPr>
        <sz val="10"/>
        <color rgb="FF0000FF"/>
        <rFont val="Arial"/>
        <family val="0"/>
        <charset val="1"/>
      </rPr>
      <t xml:space="preserve">5</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(2026/7/16</t>
    </r>
    <r>
      <rPr>
        <sz val="10"/>
        <color rgb="FF0000FF"/>
        <rFont val="Noto Sans CJK SC"/>
        <family val="2"/>
      </rPr>
      <t xml:space="preserve">公表</t>
    </r>
    <r>
      <rPr>
        <sz val="10"/>
        <color rgb="FF0000FF"/>
        <rFont val="Arial"/>
        <family val="0"/>
        <charset val="1"/>
      </rPr>
      <t xml:space="preserve">) p.24 </t>
    </r>
    <r>
      <rPr>
        <sz val="10"/>
        <color rgb="FF0000FF"/>
        <rFont val="Noto Sans CJK SC"/>
        <family val="2"/>
      </rPr>
      <t xml:space="preserve">不動産賃貸事業損益の内訳・</t>
    </r>
    <r>
      <rPr>
        <sz val="10"/>
        <color rgb="FF0000FF"/>
        <rFont val="Arial"/>
        <family val="0"/>
        <charset val="1"/>
      </rPr>
      <t xml:space="preserve">p.61 </t>
    </r>
    <r>
      <rPr>
        <sz val="10"/>
        <color rgb="FF0000FF"/>
        <rFont val="Noto Sans CJK SC"/>
        <family val="2"/>
      </rPr>
      <t xml:space="preserve">資本的支出</t>
    </r>
  </si>
  <si>
    <t xml:space="preserve">法人一括の賃貸事業収支(千円・不動産等売却益2,500,101千円は含まず)。G=賃貸事業収入(賃料7,378,542+共益費762,303=完全一致)、H=その他賃貸事業収入(駐車場244,689+水道光熱費344,299+付帯収益224,634+解約違約金48,963+雑21,609、内訳計との2千円差とF=G+Hの1千円差は切捨て由来)。J列=管理委託費960,470(HFRは外注委託費科目がなく管理委託費が相当)、P列=信託報酬34,616+その他賃貸事業費用194,234の合算。内訳チェック3千円は切捨て由来。Q列(F-I)=5,242,860は開示損益5,242,859と1千円差(切捨て伝播・原資料内不整合として注記)。物件別収入(開示134物件)の合算8,820,453千円と物件別表小計8,904,231千円の差83,778千円は、Of-40アーク森ビル(非開示)分83,730千円とレジ側切捨て累積47千円+OF側丸め1千円で整合(検証済)。物件別表の収入は一括の賃貸事業収入(8,140,845)を上回るため、その他賃貸事業収入込みの物件別収益と解される(期中譲渡2物件とOf-40を除く全収益9,025,042との残差120,811千円=譲渡2物件+Of-40分)。CAPEX1,275,130千円+費用処理修繕446,050千円=計1,721,180千円のバリューアップ工事実施</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</si>
  <si>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参考情報</t>
    </r>
    <r>
      <rPr>
        <sz val="10"/>
        <color rgb="FF0000FF"/>
        <rFont val="Arial"/>
        <family val="0"/>
        <charset val="1"/>
      </rPr>
      <t xml:space="preserve">(c)</t>
    </r>
    <r>
      <rPr>
        <sz val="10"/>
        <color rgb="FF0000FF"/>
        <rFont val="Noto Sans CJK SC"/>
        <family val="2"/>
      </rPr>
      <t xml:space="preserve">賃貸状況</t>
    </r>
  </si>
  <si>
    <t xml:space="preserve">総賃貸事業収入(百万円開示)×1000で収録(下3桁は概数)。費用内訳は物件別非開示(法人一括のKDX-ALL行参照)</t>
  </si>
  <si>
    <t xml:space="preserve">期中譲渡物件。総賃貸事業収入(百万円開示)×1000で収録(下3桁は概数)。譲渡日まで(期間6ヶ月未満)の収益</t>
  </si>
  <si>
    <t xml:space="preserve">非開示</t>
  </si>
  <si>
    <t xml:space="preserve">アーク森ビル(30-31階持分)。テナント同意が得られず総賃貸事業収入は非開示。開示分合算とオフィス小計の差159百万円が本物件分に相当(参考・ALL行注記参照)</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</si>
  <si>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損益計算書に関する注記・資本的支出</t>
    </r>
  </si>
  <si>
    <t xml:space="preserve">法人一括の賃貸事業収支(千円・343物件+期中譲渡2物件)。G=賃料32,424,937+共益費1,950,520(完全一致)、H=駐車場996,205+水道光熱2,150,151+その他1,372,171(内訳計との1千円差は切捨て由来)。J列=管理委託費3,077,387、P列=信託報酬120,175+その他917,242の合算。内訳チェック3千円は切捨て由来。Q列(F-I)=23,004,035は開示損益23,004,034と1千円差(切捨て伝播・原資料内不整合として注記)。物件別収入は百万円単位開示のため×1000収録(下3桁概数)。オフィス開示85物件+譲渡2の合算15,319百万円と小計15,478百万円の差159百万円はアーク森ビル(非開示)分と百万円未満切捨ての累積の合成(百万円単位開示のため厳密分解は不能)。S=資本的支出3,776百万円(概数収録)。用途別収入小計(百万円): オフィス15,478/居住7,952/商業10,162/物流1,128/宿泊1,710/ヘルスケア2,461=計38,893(一括38,893,986千円と整合)。居住135物件の物件別合算7,887百万円と小計7,952百万円の差65百万円は切捨て累積(全物件開示・検証済)。商業は開示25物件の合算6,884百万円と小計10,162百万円の差3,278百万円が非開示35物件分と切捨て累積の合成、物流・宿泊・ヘルスケアは全物件非開示のため用途小計(1,128/1,710/2,461百万円)のみ判明</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</si>
  <si>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参考情報</t>
    </r>
    <r>
      <rPr>
        <sz val="10"/>
        <color rgb="FF0000FF"/>
        <rFont val="Arial"/>
        <family val="0"/>
        <charset val="1"/>
      </rPr>
      <t xml:space="preserve">(c)</t>
    </r>
    <r>
      <rPr>
        <sz val="10"/>
        <color rgb="FF0000FF"/>
        <rFont val="Noto Sans CJK SC"/>
        <family val="2"/>
      </rPr>
      <t xml:space="preserve">テナント等の概要</t>
    </r>
  </si>
  <si>
    <t xml:space="preserve">総賃貸事業収入(百万円開示)×1000で収録(下3桁は概数)。費用内訳は物件別非開示(KDX-ALL行参照)</t>
  </si>
  <si>
    <t xml:space="preserve">当期取得(2,550百万円)物件のため収入8百万円は取得日以降の期間のみ。総賃貸事業収入(百万円開示)×1000で収録(下3桁は概数)。費用内訳は物件別非開示(KDX-ALL行参照)</t>
  </si>
  <si>
    <t xml:space="preserve">年換算値は実態と乖離するため利回り算定に用いない（当期取得のため収入が保有期間分のみ）</t>
  </si>
  <si>
    <r>
      <rPr>
        <sz val="10"/>
        <color rgb="FF0000FF"/>
        <rFont val="Arial"/>
        <family val="0"/>
        <charset val="1"/>
      </rPr>
      <t xml:space="preserve">KDX 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42</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(2026/6/17</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参考情報</t>
    </r>
    <r>
      <rPr>
        <sz val="10"/>
        <color rgb="FF0000FF"/>
        <rFont val="Arial"/>
        <family val="0"/>
        <charset val="1"/>
      </rPr>
      <t xml:space="preserve">(c)(</t>
    </r>
    <r>
      <rPr>
        <sz val="10"/>
        <color rgb="FF0000FF"/>
        <rFont val="Noto Sans CJK SC"/>
        <family val="2"/>
      </rPr>
      <t xml:space="preserve">注</t>
    </r>
    <r>
      <rPr>
        <sz val="10"/>
        <color rgb="FF0000FF"/>
        <rFont val="Arial"/>
        <family val="0"/>
        <charset val="1"/>
      </rPr>
      <t xml:space="preserve">9)</t>
    </r>
  </si>
  <si>
    <r>
      <rPr>
        <sz val="10"/>
        <color rgb="FF0000FF"/>
        <rFont val="Arial"/>
        <family val="0"/>
        <charset val="1"/>
      </rPr>
      <t xml:space="preserve">ML</t>
    </r>
    <r>
      <rPr>
        <sz val="10"/>
        <color rgb="FF0000FF"/>
        <rFont val="Noto Sans CJK SC"/>
        <family val="2"/>
      </rPr>
      <t xml:space="preserve">会社兼</t>
    </r>
    <r>
      <rPr>
        <sz val="10"/>
        <color rgb="FF0000FF"/>
        <rFont val="Arial"/>
        <family val="0"/>
        <charset val="1"/>
      </rPr>
      <t xml:space="preserve">PM</t>
    </r>
    <r>
      <rPr>
        <sz val="10"/>
        <color rgb="FF0000FF"/>
        <rFont val="Noto Sans CJK SC"/>
        <family val="2"/>
      </rPr>
      <t xml:space="preserve">会社・賃借人等の同意が得られず総賃貸事業収入は非開示</t>
    </r>
    <r>
      <rPr>
        <sz val="10"/>
        <color rgb="FF0000FF"/>
        <rFont val="Arial"/>
        <family val="0"/>
        <charset val="1"/>
      </rPr>
      <t xml:space="preserve">(</t>
    </r>
    <r>
      <rPr>
        <sz val="10"/>
        <color rgb="FF0000FF"/>
        <rFont val="Noto Sans CJK SC"/>
        <family val="2"/>
      </rPr>
      <t xml:space="preserve">用途別小計には算入</t>
    </r>
    <r>
      <rPr>
        <sz val="10"/>
        <color rgb="FF0000FF"/>
        <rFont val="Arial"/>
        <family val="0"/>
        <charset val="1"/>
      </rPr>
      <t xml:space="preserve">)</t>
    </r>
  </si>
  <si>
    <t xml:space="preserve">当期取得(26,300百万円)物件のため収入は取得日以降の期間のみ。総賃貸事業収入(百万円開示)×1000で収録(下3桁は概数)。費用内訳は物件別非開示(KDX-ALL行参照)</t>
  </si>
  <si>
    <r>
      <rPr>
        <sz val="10"/>
        <color rgb="FF0000FF"/>
        <rFont val="Arial"/>
        <family val="0"/>
        <charset val="1"/>
      </rPr>
      <t xml:space="preserve">HLC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(2026/4/16</t>
    </r>
    <r>
      <rPr>
        <sz val="10"/>
        <color rgb="FF0000FF"/>
        <rFont val="Noto Sans CJK SC"/>
        <family val="2"/>
      </rPr>
      <t xml:space="preserve">公表</t>
    </r>
    <r>
      <rPr>
        <sz val="10"/>
        <color rgb="FF0000FF"/>
        <rFont val="Arial"/>
        <family val="0"/>
        <charset val="1"/>
      </rPr>
      <t xml:space="preserve">) (6)</t>
    </r>
    <r>
      <rPr>
        <sz val="10"/>
        <color rgb="FF0000FF"/>
        <rFont val="Noto Sans CJK SC"/>
        <family val="2"/>
      </rPr>
      <t xml:space="preserve">賃貸借の概況及び損益の状況</t>
    </r>
  </si>
  <si>
    <t xml:space="preserve">各科目は千円未満切捨て掲載のため内訳チェック(U列)に1〜5千円が残る(原資料内差・HLC-ALL行参照)</t>
  </si>
  <si>
    <t xml:space="preserve">非開示（NOIのみ開示）</t>
  </si>
  <si>
    <t xml:space="preserve">エンドテナント等の同意なく収支非開示。開示NOI=618,098千円(賃貸事業損益-費用+償却)</t>
  </si>
  <si>
    <t xml:space="preserve">エンドテナント等の同意なく収支非開示。開示NOI=60,931千円(賃貸事業損益-費用+償却)</t>
  </si>
  <si>
    <t xml:space="preserve">エンドテナント等の同意なく収支非開示。開示NOI=44,391千円(賃貸事業損益-費用+償却)</t>
  </si>
  <si>
    <t xml:space="preserve">エンドテナント等の同意なく収支非開示。開示NOI=133,997千円(賃貸事業損益-費用+償却)</t>
  </si>
  <si>
    <t xml:space="preserve">エンドテナント等の同意なく収支非開示。開示NOI=36,889千円(賃貸事業損益-費用+償却)</t>
  </si>
  <si>
    <t xml:space="preserve">エンドテナント等の同意なく収支非開示。開示NOI=65,761千円(賃貸事業損益-費用+償却)</t>
  </si>
  <si>
    <t xml:space="preserve">エンドテナント等の同意なく収支・NOIとも非開示(築地三丁目)</t>
  </si>
  <si>
    <t xml:space="preserve">エンドテナント等の同意なく収支非開示。開示NOI=110,292千円(賃貸事業損益-費用+償却)</t>
  </si>
  <si>
    <t xml:space="preserve">エンドテナント等の同意なく収支非開示。開示NOI=690,848千円(賃貸事業損益-費用+償却)</t>
  </si>
  <si>
    <t xml:space="preserve">当期運用152日。エンドテナント等の同意なく収支非開示。開示NOI=616,813千円(賃貸事業損益-費用+償却)</t>
  </si>
  <si>
    <t xml:space="preserve">エンドテナント等の同意なく収支非開示。開示NOI=95,377千円(賃貸事業損益-費用+償却)</t>
  </si>
  <si>
    <t xml:space="preserve">エンドテナント等の同意なく収支非開示。開示NOI=159,738千円(賃貸事業損益-費用+償却)</t>
  </si>
  <si>
    <t xml:space="preserve">エンドテナント等の同意なく収支非開示。開示NOI=82,102千円(賃貸事業損益-費用+償却)</t>
  </si>
  <si>
    <t xml:space="preserve">エンドテナント等の同意なく収支非開示。開示NOI=78,888千円(賃貸事業損益-費用+償却)</t>
  </si>
  <si>
    <t xml:space="preserve">エンドテナント等の同意なく収支非開示。開示NOI=68,708千円(賃貸事業損益-費用+償却)</t>
  </si>
  <si>
    <t xml:space="preserve">エンドテナント等の同意なく収支非開示。開示NOI=49,974千円(賃貸事業損益-費用+償却)</t>
  </si>
  <si>
    <t xml:space="preserve">エンドテナント等の同意なく収支非開示。開示NOI=74,064千円(賃貸事業損益-費用+償却)</t>
  </si>
  <si>
    <t xml:space="preserve">エンドテナント等の同意なく収支非開示。開示NOI=73,820千円(賃貸事業損益-費用+償却)</t>
  </si>
  <si>
    <t xml:space="preserve">エンドテナント等の同意なく収支非開示。開示NOI=190,917千円(賃貸事業損益-費用+償却)</t>
  </si>
  <si>
    <t xml:space="preserve">エンドテナント等の同意なく収支非開示。開示NOI=45,063千円(賃貸事業損益-費用+償却)</t>
  </si>
  <si>
    <t xml:space="preserve">エンドテナント等の同意なく収支非開示。開示NOI=49,472千円(賃貸事業損益-費用+償却)</t>
  </si>
  <si>
    <t xml:space="preserve">エンドテナント等の同意なく収支非開示。開示NOI=49,250千円(賃貸事業損益-費用+償却)</t>
  </si>
  <si>
    <t xml:space="preserve">当期運用44日。エンドテナント等の同意なく収支非開示。開示NOI=15,312千円(賃貸事業損益-費用+償却)</t>
  </si>
  <si>
    <t xml:space="preserve">当期運用7日。各科目は千円未満切捨て掲載のため内訳チェック(U列)に1〜5千円が残る(原資料内差・HLC-ALL行参照)</t>
  </si>
  <si>
    <t xml:space="preserve">開示（法人一括・費用内訳含む）</t>
  </si>
  <si>
    <r>
      <rPr>
        <sz val="10"/>
        <color rgb="FF0000FF"/>
        <rFont val="Arial"/>
        <family val="0"/>
        <charset val="1"/>
      </rPr>
      <t xml:space="preserve">HLC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24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(2026/4/16</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t>
    </r>
  </si>
  <si>
    <t xml:space="preserve">一括実績(損益計算書注記)。損益7,566,736千円=F-I完全一致(1千円差なし)。G内訳(賃料10,055,543+地代265,031+共益費520,670=10,841,244)とG=10,841,245に1千円差、H内訳(水光熱418,668+その他156,358=575,026)とH=575,027に1千円差、費用内訳合算3,849,533とI=3,849,536に3千円差(U列)=いずれも原資料内切捨て。物件別収支はフル開示46物件(合算F7,329,183/I2,734,575)+NOIのみ開示22物件+完全非開示1物件(築地三丁目)。非開示分F=4,087,089千円。物件別表は各科目千円未満切捨てのためF=G+H+1(19物件)・内訳チェック1〜5千円・掲載損益と1千円差(9物件)が系統的に発生(転記は掲載値通り)。S列は期中資本的支出735,060千円(修繕費153,258千円と合わせ888,318千円の工事)。地代収入265,031千円は九段底地等</t>
  </si>
  <si>
    <t xml:space="preserve">非開示（法人一括のみ開示）</t>
  </si>
  <si>
    <t xml:space="preserve">物件別収支は非開示(法人一括はSKR-ALL行)。参考: 年換算賃料(月額×12・変動賃料除く)605百万円</t>
  </si>
  <si>
    <t xml:space="preserve">物件別収支は非開示(法人一括はSKR-ALL行)。参考: 年換算賃料(月額×12・変動賃料除く)131百万円</t>
  </si>
  <si>
    <t xml:space="preserve">物件別収支は非開示(法人一括はSKR-ALL行)。参考: 年換算賃料(月額×12・変動賃料除く)390百万円</t>
  </si>
  <si>
    <t xml:space="preserve">物件別収支は非開示(法人一括はSKR-ALL行)。参考: 年換算賃料(月額×12・変動賃料除く)325百万円</t>
  </si>
  <si>
    <t xml:space="preserve">物件別収支は非開示(法人一括はSKR-ALL行)。参考: 年換算賃料(月額×12・変動賃料除く)146百万円</t>
  </si>
  <si>
    <t xml:space="preserve">物件別収支は非開示(法人一括はSKR-ALL行)。参考: 年換算賃料(月額×12・変動賃料除く)178百万円</t>
  </si>
  <si>
    <t xml:space="preserve">物件別収支は非開示(法人一括はSKR-ALL行)。年換算賃料も非開示</t>
  </si>
  <si>
    <t xml:space="preserve">物件別収支は非開示(法人一括はSKR-ALL行)。参考: 年換算賃料(月額×12・変動賃料除く)161百万円</t>
  </si>
  <si>
    <t xml:space="preserve">テナント全退去により当期賃料収入は僅少(解約違約金582,338千円は法人一括のその他賃貸事業収入に計上)。物件別収支は非開示(法人一括はSKR-ALL行)。参考: 年換算賃料(月額×12・変動賃料除く)0百万円</t>
  </si>
  <si>
    <t xml:space="preserve">物件別収支は非開示(法人一括はSKR-ALL行)。参考: 年換算賃料(月額×12・変動賃料除く)413百万円</t>
  </si>
  <si>
    <t xml:space="preserve">物件別収支は非開示(法人一括はSKR-ALL行)。参考: 年換算賃料(月額×12・変動賃料除く)237百万円</t>
  </si>
  <si>
    <t xml:space="preserve">物件別収支は非開示(法人一括はSKR-ALL行)。参考: 年換算賃料(月額×12・変動賃料除く)163百万円</t>
  </si>
  <si>
    <t xml:space="preserve">物件別収支は非開示(法人一括はSKR-ALL行)。参考: 年換算賃料(月額×12・変動賃料除く)102百万円</t>
  </si>
  <si>
    <r>
      <rPr>
        <sz val="10"/>
        <color rgb="FF0000FF"/>
        <rFont val="Arial"/>
        <family val="0"/>
        <charset val="1"/>
      </rPr>
      <t xml:space="preserve">SKR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14</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(2026/4/28</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t>
    </r>
  </si>
  <si>
    <t xml:space="preserve">一括実績(損益計算書注記・不動産賃貸事業損益の内訳)。掲載損益1,934,279千円とQ列(F-I)1,934,280千円に1千円差=原資料内切捨て(恒例パターン)。費用内訳合算947,796とI=947,798に2千円差(U列)。その他収入700,853千円の内訳: 水道光熱費収入78,936+駐車場収入31,812+解約違約金582,338(福岡グリーンビルディング日立退去に伴う)+その他7,766。その他費用P=支払地代0+信託報酬6,000+その他賃貸事業費用6,874=12,874。減損損失4,933,559千円は営業費用(賃貸事業費用外)のためI列に含まれない。S列は期中資本的支出147,562千円(修繕費78,469千円と合わせ226百万円の工事)。解約違約金がHを押し上げNOI利回りを一時的に高めている点に留意(違約金除きベースの収入は約2,300百万円)</t>
  </si>
  <si>
    <t xml:space="preserve">開示（物件別・費用内訳含む・百万円単位）</t>
  </si>
  <si>
    <r>
      <rPr>
        <sz val="10"/>
        <color rgb="FF0000FF"/>
        <rFont val="Arial"/>
        <family val="0"/>
        <charset val="1"/>
      </rPr>
      <t xml:space="preserve">JRE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(2026/5/15</t>
    </r>
    <r>
      <rPr>
        <sz val="10"/>
        <color rgb="FF0000FF"/>
        <rFont val="Noto Sans CJK SC"/>
        <family val="2"/>
      </rPr>
      <t xml:space="preserve">公表</t>
    </r>
    <r>
      <rPr>
        <sz val="10"/>
        <color rgb="FF0000FF"/>
        <rFont val="Arial"/>
        <family val="0"/>
        <charset val="1"/>
      </rPr>
      <t xml:space="preserve">) ②</t>
    </r>
    <r>
      <rPr>
        <sz val="10"/>
        <color rgb="FF0000FF"/>
        <rFont val="Noto Sans CJK SC"/>
        <family val="2"/>
      </rPr>
      <t xml:space="preserve">不動産等関連資産の損益状況</t>
    </r>
  </si>
  <si>
    <t xml:space="preserve">百万円単位開示×1000で収録(下3桁は概数)。各科目は百万円未満切捨てのため内訳チェック(U列)に最大数百万円、Q列(F-I)と掲載損益に最大1百万円の差が系統的に発生(JRE-ALL行参照)</t>
  </si>
  <si>
    <t xml:space="preserve">期中(2025/10/1)に持分16.66%譲渡のため当期損益は持分変動を反映。百万円単位開示×1000で収録(下3桁は概数)。各科目は百万円未満切捨てのため内訳チェック(U列)に最大数百万円、Q列(F-I)と掲載損益に最大1百万円の差が系統的に発生(JRE-ALL行参照)</t>
  </si>
  <si>
    <t xml:space="preserve">一部開示（収益・費用計・損益のみ・百万円単位）</t>
  </si>
  <si>
    <t xml:space="preserve">費用内訳非開示のためU列には費用全額が残る(非開示由来・要確認事項ではない)。掲載損益206百万円。百万円単位開示×1000で収録(下3桁は概数)。各科目は百万円未満切捨てのため内訳チェック(U列)に最大数百万円、Q列(F-I)と掲載損益に最大1百万円の差が系統的に発生(JRE-ALL行参照)</t>
  </si>
  <si>
    <r>
      <rPr>
        <sz val="10"/>
        <color rgb="FF0000FF"/>
        <rFont val="Arial"/>
        <family val="0"/>
        <charset val="1"/>
      </rPr>
      <t xml:space="preserve">2026/3/25</t>
    </r>
    <r>
      <rPr>
        <sz val="10"/>
        <color rgb="FF0000FF"/>
        <rFont val="Noto Sans CJK SC"/>
        <family val="2"/>
      </rPr>
      <t xml:space="preserve">取得のため当期運用</t>
    </r>
    <r>
      <rPr>
        <sz val="10"/>
        <color rgb="FF0000FF"/>
        <rFont val="Arial"/>
        <family val="0"/>
        <charset val="1"/>
      </rPr>
      <t xml:space="preserve">7</t>
    </r>
    <r>
      <rPr>
        <sz val="10"/>
        <color rgb="FF0000FF"/>
        <rFont val="Noto Sans CJK SC"/>
        <family val="2"/>
      </rPr>
      <t xml:space="preserve">日</t>
    </r>
    <r>
      <rPr>
        <sz val="10"/>
        <color rgb="FF0000FF"/>
        <rFont val="Arial"/>
        <family val="0"/>
        <charset val="1"/>
      </rPr>
      <t xml:space="preserve">(</t>
    </r>
    <r>
      <rPr>
        <sz val="10"/>
        <color rgb="FF0000FF"/>
        <rFont val="Noto Sans CJK SC"/>
        <family val="2"/>
      </rPr>
      <t xml:space="preserve">収益</t>
    </r>
    <r>
      <rPr>
        <sz val="10"/>
        <color rgb="FF0000FF"/>
        <rFont val="Arial"/>
        <family val="0"/>
        <charset val="1"/>
      </rPr>
      <t xml:space="preserve">0</t>
    </r>
    <r>
      <rPr>
        <sz val="10"/>
        <color rgb="FF0000FF"/>
        <rFont val="Noto Sans CJK SC"/>
        <family val="2"/>
      </rPr>
      <t xml:space="preserve">百万円・費用</t>
    </r>
    <r>
      <rPr>
        <sz val="10"/>
        <color rgb="FF0000FF"/>
        <rFont val="Arial"/>
        <family val="0"/>
        <charset val="1"/>
      </rPr>
      <t xml:space="preserve">9</t>
    </r>
    <r>
      <rPr>
        <sz val="10"/>
        <color rgb="FF0000FF"/>
        <rFont val="Noto Sans CJK SC"/>
        <family val="2"/>
      </rPr>
      <t xml:space="preserve">百万円で損益マイナス</t>
    </r>
    <r>
      <rPr>
        <sz val="10"/>
        <color rgb="FF0000FF"/>
        <rFont val="Arial"/>
        <family val="0"/>
        <charset val="1"/>
      </rPr>
      <t xml:space="preserve">)</t>
    </r>
    <r>
      <rPr>
        <sz val="10"/>
        <color rgb="FF0000FF"/>
        <rFont val="Noto Sans CJK SC"/>
        <family val="2"/>
      </rPr>
      <t xml:space="preserve">。百万円単位開示</t>
    </r>
    <r>
      <rPr>
        <sz val="10"/>
        <color rgb="FF0000FF"/>
        <rFont val="Arial"/>
        <family val="0"/>
        <charset val="1"/>
      </rPr>
      <t xml:space="preserve">×1000</t>
    </r>
    <r>
      <rPr>
        <sz val="10"/>
        <color rgb="FF0000FF"/>
        <rFont val="Noto Sans CJK SC"/>
        <family val="2"/>
      </rPr>
      <t xml:space="preserve">で収録</t>
    </r>
    <r>
      <rPr>
        <sz val="10"/>
        <color rgb="FF0000FF"/>
        <rFont val="Arial"/>
        <family val="0"/>
        <charset val="1"/>
      </rPr>
      <t xml:space="preserve">(</t>
    </r>
    <r>
      <rPr>
        <sz val="10"/>
        <color rgb="FF0000FF"/>
        <rFont val="Noto Sans CJK SC"/>
        <family val="2"/>
      </rPr>
      <t xml:space="preserve">下</t>
    </r>
    <r>
      <rPr>
        <sz val="10"/>
        <color rgb="FF0000FF"/>
        <rFont val="Arial"/>
        <family val="0"/>
        <charset val="1"/>
      </rPr>
      <t xml:space="preserve">3</t>
    </r>
    <r>
      <rPr>
        <sz val="10"/>
        <color rgb="FF0000FF"/>
        <rFont val="Noto Sans CJK SC"/>
        <family val="2"/>
      </rPr>
      <t xml:space="preserve">桁は概数</t>
    </r>
    <r>
      <rPr>
        <sz val="10"/>
        <color rgb="FF0000FF"/>
        <rFont val="Arial"/>
        <family val="0"/>
        <charset val="1"/>
      </rPr>
      <t xml:space="preserve">)</t>
    </r>
    <r>
      <rPr>
        <sz val="10"/>
        <color rgb="FF0000FF"/>
        <rFont val="Noto Sans CJK SC"/>
        <family val="2"/>
      </rPr>
      <t xml:space="preserve">。各科目は百万円未満切捨てのため内訳チェック</t>
    </r>
    <r>
      <rPr>
        <sz val="10"/>
        <color rgb="FF0000FF"/>
        <rFont val="Arial"/>
        <family val="0"/>
        <charset val="1"/>
      </rPr>
      <t xml:space="preserve">(U</t>
    </r>
    <r>
      <rPr>
        <sz val="10"/>
        <color rgb="FF0000FF"/>
        <rFont val="Noto Sans CJK SC"/>
        <family val="2"/>
      </rPr>
      <t xml:space="preserve">列</t>
    </r>
    <r>
      <rPr>
        <sz val="10"/>
        <color rgb="FF0000FF"/>
        <rFont val="Arial"/>
        <family val="0"/>
        <charset val="1"/>
      </rPr>
      <t xml:space="preserve">)</t>
    </r>
    <r>
      <rPr>
        <sz val="10"/>
        <color rgb="FF0000FF"/>
        <rFont val="Noto Sans CJK SC"/>
        <family val="2"/>
      </rPr>
      <t xml:space="preserve">に最大数百万円、</t>
    </r>
    <r>
      <rPr>
        <sz val="10"/>
        <color rgb="FF0000FF"/>
        <rFont val="Arial"/>
        <family val="0"/>
        <charset val="1"/>
      </rPr>
      <t xml:space="preserve">Q</t>
    </r>
    <r>
      <rPr>
        <sz val="10"/>
        <color rgb="FF0000FF"/>
        <rFont val="Noto Sans CJK SC"/>
        <family val="2"/>
      </rPr>
      <t xml:space="preserve">列</t>
    </r>
    <r>
      <rPr>
        <sz val="10"/>
        <color rgb="FF0000FF"/>
        <rFont val="Arial"/>
        <family val="0"/>
        <charset val="1"/>
      </rPr>
      <t xml:space="preserve">(F-I)</t>
    </r>
    <r>
      <rPr>
        <sz val="10"/>
        <color rgb="FF0000FF"/>
        <rFont val="Noto Sans CJK SC"/>
        <family val="2"/>
      </rPr>
      <t xml:space="preserve">と掲載損益に最大</t>
    </r>
    <r>
      <rPr>
        <sz val="10"/>
        <color rgb="FF0000FF"/>
        <rFont val="Arial"/>
        <family val="0"/>
        <charset val="1"/>
      </rPr>
      <t xml:space="preserve">1</t>
    </r>
    <r>
      <rPr>
        <sz val="10"/>
        <color rgb="FF0000FF"/>
        <rFont val="Noto Sans CJK SC"/>
        <family val="2"/>
      </rPr>
      <t xml:space="preserve">百万円の差が系統的に発生</t>
    </r>
    <r>
      <rPr>
        <sz val="10"/>
        <color rgb="FF0000FF"/>
        <rFont val="Arial"/>
        <family val="0"/>
        <charset val="1"/>
      </rPr>
      <t xml:space="preserve">(JRE-ALL</t>
    </r>
    <r>
      <rPr>
        <sz val="10"/>
        <color rgb="FF0000FF"/>
        <rFont val="Noto Sans CJK SC"/>
        <family val="2"/>
      </rPr>
      <t xml:space="preserve">行参照</t>
    </r>
    <r>
      <rPr>
        <sz val="10"/>
        <color rgb="FF0000FF"/>
        <rFont val="Arial"/>
        <family val="0"/>
        <charset val="1"/>
      </rPr>
      <t xml:space="preserve">)</t>
    </r>
  </si>
  <si>
    <t xml:space="preserve">当期(2025/10/17)取得のため収益は取得日以降の期間のみ・公租公課0。百万円単位開示×1000で収録(下3桁は概数)。各科目は百万円未満切捨てのため内訳チェック(U列)に最大数百万円、Q列(F-I)と掲載損益に最大1百万円の差が系統的に発生(JRE-ALL行参照)</t>
  </si>
  <si>
    <t xml:space="preserve">非開示（損益・NOIのみ開示）</t>
  </si>
  <si>
    <t xml:space="preserve">収益・費用は非開示。開示値: 賃貸事業損益83百万円・NOI140百万円(差57百万円=減価償却費)。百万円単位開示×1000で収録(下3桁は概数)。各科目は百万円未満切捨てのため内訳チェック(U列)に最大数百万円、Q列(F-I)と掲載損益に最大1百万円の差が系統的に発生(JRE-ALL行参照)</t>
  </si>
  <si>
    <t xml:space="preserve">収益・費用は非開示。開示値: 賃貸事業損益147百万円・NOI201百万円(差54百万円=減価償却費)。百万円単位開示×1000で収録(下3桁は概数)。各科目は百万円未満切捨てのため内訳チェック(U列)に最大数百万円、Q列(F-I)と掲載損益に最大1百万円の差が系統的に発生(JRE-ALL行参照)</t>
  </si>
  <si>
    <t xml:space="preserve">期中(2026/3/6)に持分50%譲渡のため当期損益は持分変動を反映。百万円単位開示×1000で収録(下3桁は概数)。各科目は百万円未満切捨てのため内訳チェック(U列)に最大数百万円、Q列(F-I)と掲載損益に最大1百万円の差が系統的に発生(JRE-ALL行参照)</t>
  </si>
  <si>
    <r>
      <rPr>
        <sz val="10"/>
        <color rgb="FF0000FF"/>
        <rFont val="Arial"/>
        <family val="0"/>
        <charset val="1"/>
      </rPr>
      <t xml:space="preserve">JRE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49</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(2026/5/15</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損益計算書関係注記</t>
    </r>
  </si>
  <si>
    <t xml:space="preserve">一括実績(損益計算書関係注記・千円単位)。掲載損益17,499,162千円とQ列(F-I)17,499,163千円に1千円差=原資料内切捨て(恒例)。費用内訳合算19,317,963とI=19,317,966に3千円差(U列)。G=賃貸事業収入計36,743,295(賃料31,146,401+共益費1,773,500+駐車場728,999+その他賃貸収入3,094,394)、H=その他賃貸事業収入73,833(解約違約金29,784+雑収入44,049)。物件別はフル開示76+一部開示1(オペラシティ)+損益NOIのみ2(グランフロント大阪)。物件別F合算(GF除く)36,133百万円と一括の差684百万円=GF2物件分。S列は期中資本的支出5,325百万円(修繕費1,832百万円と合わせ7,158百万円の工事・物件別CAPEX合算との差36百万円は切捨て累積)。不動産等売却益5,626,833千円(赤坂パークビル3,946,189+天神クリスタル1,680,644)は賃貸事業外のためF/Q列対象外。圧縮積立金563,830千円繰入</t>
  </si>
  <si>
    <r>
      <rPr>
        <sz val="10"/>
        <color rgb="FF0000FF"/>
        <rFont val="Arial"/>
        <family val="0"/>
        <charset val="1"/>
      </rPr>
      <t xml:space="preserve">MTR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(2026/4/22</t>
    </r>
    <r>
      <rPr>
        <sz val="10"/>
        <color rgb="FF0000FF"/>
        <rFont val="Noto Sans CJK SC"/>
        <family val="2"/>
      </rPr>
      <t xml:space="preserve">公表</t>
    </r>
    <r>
      <rPr>
        <sz val="10"/>
        <color rgb="FF0000FF"/>
        <rFont val="Arial"/>
        <family val="0"/>
        <charset val="1"/>
      </rPr>
      <t xml:space="preserve">) ③</t>
    </r>
    <r>
      <rPr>
        <sz val="10"/>
        <color rgb="FF0000FF"/>
        <rFont val="Noto Sans CJK SC"/>
        <family val="2"/>
      </rPr>
      <t xml:space="preserve">不動産等資産の詳細な情報</t>
    </r>
    <r>
      <rPr>
        <sz val="10"/>
        <color rgb="FF0000FF"/>
        <rFont val="Arial"/>
        <family val="0"/>
        <charset val="1"/>
      </rPr>
      <t xml:space="preserve">(</t>
    </r>
    <r>
      <rPr>
        <sz val="10"/>
        <color rgb="FF0000FF"/>
        <rFont val="Noto Sans CJK SC"/>
        <family val="2"/>
      </rPr>
      <t xml:space="preserve">物件収支状況</t>
    </r>
    <r>
      <rPr>
        <sz val="10"/>
        <color rgb="FF0000FF"/>
        <rFont val="Arial"/>
        <family val="0"/>
        <charset val="1"/>
      </rPr>
      <t xml:space="preserve">)</t>
    </r>
  </si>
  <si>
    <t xml:space="preserve">各科目は千円未満切捨て掲載のため内訳チェック(U列)に1〜4千円、Q列(F-I)と掲載損益に最大1千円の差が系統的に発生(MTR-ALL行参照)。物件別費用に修繕費科目はなく(一括のみ110,166千円)各物件のその他費用等に含まれると解されるためN列は空欄</t>
  </si>
  <si>
    <t xml:space="preserve">非開示（NOI・損益のみ開示）</t>
  </si>
  <si>
    <t xml:space="preserve">テナント同意なく収益・費用非開示。開示値: NOI617,840千円・賃貸事業損益551,546千円(差66,294千円=減価償却費)。一括賃借人の神戸製鋼所から2027/3/31付解約通知受領済</t>
  </si>
  <si>
    <t xml:space="preserve">テナント同意なく収益・費用非開示。開示値: NOI672,686千円・賃貸事業損益656,420千円(差16,266千円=減価償却費)。</t>
  </si>
  <si>
    <t xml:space="preserve">底地のため減価償却費0。各科目は千円未満切捨て掲載のため内訳チェック(U列)に1〜4千円、Q列(F-I)と掲載損益に最大1千円の差が系統的に発生(MTR-ALL行参照)。物件別費用に修繕費科目はなく(一括のみ110,166千円)各物件のその他費用等に含まれると解されるためN列は空欄</t>
  </si>
  <si>
    <r>
      <rPr>
        <sz val="10"/>
        <color rgb="FF0000FF"/>
        <rFont val="Arial"/>
        <family val="0"/>
        <charset val="1"/>
      </rPr>
      <t xml:space="preserve">MTR 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48</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r>
      <rPr>
        <sz val="10"/>
        <color rgb="FF0000FF"/>
        <rFont val="Arial"/>
        <family val="0"/>
        <charset val="1"/>
      </rPr>
      <t xml:space="preserve">(2026/4/22</t>
    </r>
    <r>
      <rPr>
        <sz val="10"/>
        <color rgb="FF0000FF"/>
        <rFont val="Noto Sans CJK SC"/>
        <family val="2"/>
      </rPr>
      <t xml:space="preserve">公表</t>
    </r>
    <r>
      <rPr>
        <sz val="10"/>
        <color rgb="FF0000FF"/>
        <rFont val="Arial"/>
        <family val="0"/>
        <charset val="1"/>
      </rPr>
      <t xml:space="preserve">) </t>
    </r>
    <r>
      <rPr>
        <sz val="10"/>
        <color rgb="FF0000FF"/>
        <rFont val="Noto Sans CJK SC"/>
        <family val="2"/>
      </rPr>
      <t xml:space="preserve">損益計算書に関する注記</t>
    </r>
  </si>
  <si>
    <t xml:space="preserve">一括実績(損益計算書注記・千円単位)。掲載損益8,026,213千円とQ列(F-I)8,026,214千円に1千円差=原資料内切捨て(恒例)。費用内訳合算3,558,720とI=3,558,722に2千円差(U列)。G=賃貸事業収入計11,247,205(家賃10,887,934+共益費235,661+土地賃貸収益123,609=フレスポ稲毛底地)、H=その他賃貸事業収入337,731(駐車場122,732+付帯収益135,883+解約違約金35,344+その他43,770)。物件別はフル開示18物件(合算F10,053,181/I3,234,935)+非開示2物件(ONビル・渋谷フラッグ=非開示分F1,531,755/I323,787と厳密分解可能・千円単位開示のため)。S列は期中資本的支出569,228千円(物件別合算・修繕積立金は残高2,000百万円を維持)。ホテル6物件はシャングリ・ラ(変動97%連動)・ヒルトン小田原(完全変動)・CBM2物件(変動90%連動+最低保証)・オークラ神戸/サンルート新宿(固定中心)の賃料ミックス</t>
  </si>
  <si>
    <t xml:space="preserve">対象外（期後取得・当期収支なし）</t>
  </si>
  <si>
    <r>
      <rPr>
        <sz val="10"/>
        <color rgb="FF0000FF"/>
        <rFont val="Arial"/>
        <family val="0"/>
        <charset val="1"/>
      </rPr>
      <t xml:space="preserve">GOR 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決算短信</t>
    </r>
  </si>
  <si>
    <r>
      <rPr>
        <sz val="10"/>
        <color rgb="FF0000FF"/>
        <rFont val="Arial"/>
        <family val="0"/>
        <charset val="1"/>
      </rPr>
      <t xml:space="preserve">ICON PLACE SHIBAKOEN</t>
    </r>
    <r>
      <rPr>
        <sz val="10"/>
        <color rgb="FF0000FF"/>
        <rFont val="Noto Sans CJK SC"/>
        <family val="2"/>
      </rPr>
      <t xml:space="preserve">は第</t>
    </r>
    <r>
      <rPr>
        <sz val="10"/>
        <color rgb="FF0000FF"/>
        <rFont val="Arial"/>
        <family val="0"/>
        <charset val="1"/>
      </rPr>
      <t xml:space="preserve">46</t>
    </r>
    <r>
      <rPr>
        <sz val="10"/>
        <color rgb="FF0000FF"/>
        <rFont val="Noto Sans CJK SC"/>
        <family val="2"/>
      </rPr>
      <t xml:space="preserve">期</t>
    </r>
    <r>
      <rPr>
        <sz val="10"/>
        <color rgb="FF0000FF"/>
        <rFont val="Arial"/>
        <family val="0"/>
        <charset val="1"/>
      </rPr>
      <t xml:space="preserve">(2026/4/23)</t>
    </r>
    <r>
      <rPr>
        <sz val="10"/>
        <color rgb="FF0000FF"/>
        <rFont val="Noto Sans CJK SC"/>
        <family val="2"/>
      </rPr>
      <t xml:space="preserve">取得のため第</t>
    </r>
    <r>
      <rPr>
        <sz val="10"/>
        <color rgb="FF0000FF"/>
        <rFont val="Arial"/>
        <family val="0"/>
        <charset val="1"/>
      </rPr>
      <t xml:space="preserve">45</t>
    </r>
    <r>
      <rPr>
        <sz val="10"/>
        <color rgb="FF0000FF"/>
        <rFont val="Noto Sans CJK SC"/>
        <family val="2"/>
      </rPr>
      <t xml:space="preserve">期</t>
    </r>
    <r>
      <rPr>
        <sz val="10"/>
        <color rgb="FF0000FF"/>
        <rFont val="Arial"/>
        <family val="0"/>
        <charset val="1"/>
      </rPr>
      <t xml:space="preserve">(</t>
    </r>
    <r>
      <rPr>
        <sz val="10"/>
        <color rgb="FF0000FF"/>
        <rFont val="Noto Sans CJK SC"/>
        <family val="2"/>
      </rPr>
      <t xml:space="preserve">当期</t>
    </r>
    <r>
      <rPr>
        <sz val="10"/>
        <color rgb="FF0000FF"/>
        <rFont val="Arial"/>
        <family val="0"/>
        <charset val="1"/>
      </rPr>
      <t xml:space="preserve">)</t>
    </r>
    <r>
      <rPr>
        <sz val="10"/>
        <color rgb="FF0000FF"/>
        <rFont val="Noto Sans CJK SC"/>
        <family val="2"/>
      </rPr>
      <t xml:space="preserve">の収支は存在しない。物件マスタとの</t>
    </r>
    <r>
      <rPr>
        <sz val="10"/>
        <color rgb="FF0000FF"/>
        <rFont val="Arial"/>
        <family val="0"/>
        <charset val="1"/>
      </rPr>
      <t xml:space="preserve">1</t>
    </r>
    <r>
      <rPr>
        <sz val="10"/>
        <color rgb="FF0000FF"/>
        <rFont val="Noto Sans CJK SC"/>
        <family val="2"/>
      </rPr>
      <t xml:space="preserve">対</t>
    </r>
    <r>
      <rPr>
        <sz val="10"/>
        <color rgb="FF0000FF"/>
        <rFont val="Arial"/>
        <family val="0"/>
        <charset val="1"/>
      </rPr>
      <t xml:space="preserve">1</t>
    </r>
    <r>
      <rPr>
        <sz val="10"/>
        <color rgb="FF0000FF"/>
        <rFont val="Noto Sans CJK SC"/>
        <family val="2"/>
      </rPr>
      <t xml:space="preserve">対応維持のための対象外行</t>
    </r>
    <r>
      <rPr>
        <sz val="10"/>
        <color rgb="FF0000FF"/>
        <rFont val="Arial"/>
        <family val="0"/>
        <charset val="1"/>
      </rPr>
      <t xml:space="preserve">(F</t>
    </r>
    <r>
      <rPr>
        <sz val="10"/>
        <color rgb="FF0000FF"/>
        <rFont val="Noto Sans CJK SC"/>
        <family val="2"/>
      </rPr>
      <t xml:space="preserve">〜</t>
    </r>
    <r>
      <rPr>
        <sz val="10"/>
        <color rgb="FF0000FF"/>
        <rFont val="Arial"/>
        <family val="0"/>
        <charset val="1"/>
      </rPr>
      <t xml:space="preserve">S</t>
    </r>
    <r>
      <rPr>
        <sz val="10"/>
        <color rgb="FF0000FF"/>
        <rFont val="Noto Sans CJK SC"/>
        <family val="2"/>
      </rPr>
      <t xml:space="preserve">全空欄</t>
    </r>
    <r>
      <rPr>
        <sz val="10"/>
        <color rgb="FF0000FF"/>
        <rFont val="Arial"/>
        <family val="0"/>
        <charset val="1"/>
      </rPr>
      <t xml:space="preserve">)</t>
    </r>
    <r>
      <rPr>
        <sz val="10"/>
        <color rgb="FF0000FF"/>
        <rFont val="Noto Sans CJK SC"/>
        <family val="2"/>
      </rPr>
      <t xml:space="preserve">。第</t>
    </r>
    <r>
      <rPr>
        <sz val="10"/>
        <color rgb="FF0000FF"/>
        <rFont val="Arial"/>
        <family val="0"/>
        <charset val="1"/>
      </rPr>
      <t xml:space="preserve">46</t>
    </r>
    <r>
      <rPr>
        <sz val="10"/>
        <color rgb="FF0000FF"/>
        <rFont val="Noto Sans CJK SC"/>
        <family val="2"/>
      </rPr>
      <t xml:space="preserve">期短信公表後に実績を収録予定</t>
    </r>
  </si>
  <si>
    <t xml:space="preserve">賃貸事業収入(千円)</t>
  </si>
  <si>
    <t xml:space="preserve">賃貸事業費用(千円)</t>
  </si>
  <si>
    <t xml:space="preserve">減価償却費(千円)</t>
  </si>
  <si>
    <t xml:space="preserve">年換算NOI(百万円)</t>
  </si>
  <si>
    <r>
      <rPr>
        <b val="true"/>
        <sz val="10"/>
        <color rgb="FFFFFFFF"/>
        <rFont val="Arial"/>
        <family val="0"/>
        <charset val="1"/>
      </rPr>
      <t xml:space="preserve">NOI</t>
    </r>
    <r>
      <rPr>
        <b val="true"/>
        <sz val="10"/>
        <color rgb="FFFFFFFF"/>
        <rFont val="Noto Sans CJK SC"/>
        <family val="2"/>
      </rPr>
      <t xml:space="preserve">利回り</t>
    </r>
    <r>
      <rPr>
        <b val="true"/>
        <sz val="10"/>
        <color rgb="FFFFFFFF"/>
        <rFont val="Arial"/>
        <family val="0"/>
        <charset val="1"/>
      </rPr>
      <t xml:space="preserve">(</t>
    </r>
    <r>
      <rPr>
        <b val="true"/>
        <sz val="10"/>
        <color rgb="FFFFFFFF"/>
        <rFont val="Noto Sans CJK SC"/>
        <family val="2"/>
      </rPr>
      <t xml:space="preserve">対取得価格</t>
    </r>
    <r>
      <rPr>
        <b val="true"/>
        <sz val="10"/>
        <color rgb="FFFFFFFF"/>
        <rFont val="Arial"/>
        <family val="0"/>
        <charset val="1"/>
      </rPr>
      <t xml:space="preserve">)</t>
    </r>
  </si>
  <si>
    <t xml:space="preserve">償却後利回り(対取得価格)</t>
  </si>
  <si>
    <t xml:space="preserve">鑑定NOI利回り</t>
  </si>
  <si>
    <t xml:space="preserve">月坪賃料収入(円/坪)</t>
  </si>
  <si>
    <t xml:space="preserve">費用率</t>
  </si>
  <si>
    <t xml:space="preserve">認証種別</t>
  </si>
  <si>
    <t xml:space="preserve">認証名称</t>
  </si>
  <si>
    <t xml:space="preserve">対象区分</t>
  </si>
  <si>
    <t xml:space="preserve">ランク</t>
  </si>
  <si>
    <t xml:space="preserve">出典物件名</t>
  </si>
  <si>
    <t xml:space="preserve">CASBEE</t>
  </si>
  <si>
    <r>
      <rPr>
        <sz val="10"/>
        <color rgb="FF0000FF"/>
        <rFont val="Arial"/>
        <family val="0"/>
        <charset val="1"/>
      </rPr>
      <t xml:space="preserve">CASBEE-</t>
    </r>
    <r>
      <rPr>
        <sz val="10"/>
        <color rgb="FF0000FF"/>
        <rFont val="Noto Sans CJK SC"/>
        <family val="2"/>
      </rPr>
      <t xml:space="preserve">不動産</t>
    </r>
  </si>
  <si>
    <t xml:space="preserve">S</t>
  </si>
  <si>
    <r>
      <rPr>
        <sz val="10"/>
        <color rgb="FF0000FF"/>
        <rFont val="Arial"/>
        <family val="0"/>
        <charset val="1"/>
      </rPr>
      <t xml:space="preserve">NBF</t>
    </r>
    <r>
      <rPr>
        <sz val="10"/>
        <color rgb="FF0000FF"/>
        <rFont val="Noto Sans CJK SC"/>
        <family val="2"/>
      </rPr>
      <t xml:space="preserve">品川タワー</t>
    </r>
  </si>
  <si>
    <r>
      <rPr>
        <sz val="10"/>
        <color rgb="FF0000FF"/>
        <rFont val="Arial"/>
        <family val="0"/>
        <charset val="1"/>
      </rPr>
      <t xml:space="preserve">NBF</t>
    </r>
    <r>
      <rPr>
        <sz val="10"/>
        <color rgb="FF0000FF"/>
        <rFont val="Noto Sans CJK SC"/>
        <family val="2"/>
      </rPr>
      <t xml:space="preserve">プラチナタワー</t>
    </r>
  </si>
  <si>
    <r>
      <rPr>
        <sz val="10"/>
        <color rgb="FF0000FF"/>
        <rFont val="Arial"/>
        <family val="0"/>
        <charset val="1"/>
      </rPr>
      <t xml:space="preserve">NBF</t>
    </r>
    <r>
      <rPr>
        <sz val="10"/>
        <color rgb="FF0000FF"/>
        <rFont val="Noto Sans CJK SC"/>
        <family val="2"/>
      </rPr>
      <t xml:space="preserve">コモディオ汐留</t>
    </r>
  </si>
  <si>
    <r>
      <rPr>
        <sz val="10"/>
        <color rgb="FF0000FF"/>
        <rFont val="Arial"/>
        <family val="0"/>
        <charset val="1"/>
      </rPr>
      <t xml:space="preserve">G-BASE</t>
    </r>
    <r>
      <rPr>
        <sz val="10"/>
        <color rgb="FF0000FF"/>
        <rFont val="Noto Sans CJK SC"/>
        <family val="2"/>
      </rPr>
      <t xml:space="preserve">田町</t>
    </r>
  </si>
  <si>
    <r>
      <rPr>
        <sz val="10"/>
        <color rgb="FF0000FF"/>
        <rFont val="Arial"/>
        <family val="0"/>
        <charset val="1"/>
      </rPr>
      <t xml:space="preserve">NBF</t>
    </r>
    <r>
      <rPr>
        <sz val="10"/>
        <color rgb="FF0000FF"/>
        <rFont val="Noto Sans CJK SC"/>
        <family val="2"/>
      </rPr>
      <t xml:space="preserve">渋谷ガーデンフロント</t>
    </r>
  </si>
  <si>
    <t xml:space="preserve">A</t>
  </si>
  <si>
    <r>
      <rPr>
        <sz val="10"/>
        <color rgb="FF0000FF"/>
        <rFont val="Arial"/>
        <family val="0"/>
        <charset val="1"/>
      </rPr>
      <t xml:space="preserve">NBF</t>
    </r>
    <r>
      <rPr>
        <sz val="10"/>
        <color rgb="FF0000FF"/>
        <rFont val="Noto Sans CJK SC"/>
        <family val="2"/>
      </rPr>
      <t xml:space="preserve">銀座通りビル</t>
    </r>
  </si>
  <si>
    <t xml:space="preserve">興和西新橋ビルB棟</t>
  </si>
  <si>
    <t xml:space="preserve">リバーシティM-SQUARE</t>
  </si>
  <si>
    <t xml:space="preserve">新橋M-SQUARE</t>
  </si>
  <si>
    <t xml:space="preserve">NBF ALLIANCE</t>
  </si>
  <si>
    <r>
      <rPr>
        <sz val="10"/>
        <color rgb="FF0000FF"/>
        <rFont val="Arial"/>
        <family val="0"/>
        <charset val="1"/>
      </rPr>
      <t xml:space="preserve">NBF</t>
    </r>
    <r>
      <rPr>
        <sz val="10"/>
        <color rgb="FF0000FF"/>
        <rFont val="Noto Sans CJK SC"/>
        <family val="2"/>
      </rPr>
      <t xml:space="preserve">渋谷イースト</t>
    </r>
  </si>
  <si>
    <r>
      <rPr>
        <sz val="10"/>
        <color rgb="FF0000FF"/>
        <rFont val="Arial"/>
        <family val="0"/>
        <charset val="1"/>
      </rPr>
      <t xml:space="preserve">NBF</t>
    </r>
    <r>
      <rPr>
        <sz val="10"/>
        <color rgb="FF0000FF"/>
        <rFont val="Noto Sans CJK SC"/>
        <family val="2"/>
      </rPr>
      <t xml:space="preserve">高輪ビル</t>
    </r>
  </si>
  <si>
    <r>
      <rPr>
        <sz val="10"/>
        <color rgb="FF0000FF"/>
        <rFont val="Arial"/>
        <family val="0"/>
        <charset val="1"/>
      </rPr>
      <t xml:space="preserve">NBF</t>
    </r>
    <r>
      <rPr>
        <sz val="10"/>
        <color rgb="FF0000FF"/>
        <rFont val="Noto Sans CJK SC"/>
        <family val="2"/>
      </rPr>
      <t xml:space="preserve">赤坂山王スクエア</t>
    </r>
  </si>
  <si>
    <r>
      <rPr>
        <sz val="10"/>
        <color rgb="FF0000FF"/>
        <rFont val="Arial"/>
        <family val="0"/>
        <charset val="1"/>
      </rPr>
      <t xml:space="preserve">NBF</t>
    </r>
    <r>
      <rPr>
        <sz val="10"/>
        <color rgb="FF0000FF"/>
        <rFont val="Noto Sans CJK SC"/>
        <family val="2"/>
      </rPr>
      <t xml:space="preserve">神田須田町ビル</t>
    </r>
  </si>
  <si>
    <r>
      <rPr>
        <sz val="10"/>
        <color rgb="FF0000FF"/>
        <rFont val="Arial"/>
        <family val="0"/>
        <charset val="1"/>
      </rPr>
      <t xml:space="preserve">NBF</t>
    </r>
    <r>
      <rPr>
        <sz val="10"/>
        <color rgb="FF0000FF"/>
        <rFont val="Noto Sans CJK SC"/>
        <family val="2"/>
      </rPr>
      <t xml:space="preserve">小川町ビルディング</t>
    </r>
  </si>
  <si>
    <r>
      <rPr>
        <sz val="10"/>
        <color rgb="FF0000FF"/>
        <rFont val="Arial"/>
        <family val="0"/>
        <charset val="1"/>
      </rPr>
      <t xml:space="preserve">NBF</t>
    </r>
    <r>
      <rPr>
        <sz val="10"/>
        <color rgb="FF0000FF"/>
        <rFont val="Noto Sans CJK SC"/>
        <family val="2"/>
      </rPr>
      <t xml:space="preserve">東銀座スクエア</t>
    </r>
  </si>
  <si>
    <t xml:space="preserve">日本橋兜町M-SQUARE</t>
  </si>
  <si>
    <r>
      <rPr>
        <sz val="10"/>
        <color rgb="FF0000FF"/>
        <rFont val="Arial"/>
        <family val="0"/>
        <charset val="1"/>
      </rPr>
      <t xml:space="preserve">NBF</t>
    </r>
    <r>
      <rPr>
        <sz val="10"/>
        <color rgb="FF0000FF"/>
        <rFont val="Noto Sans CJK SC"/>
        <family val="2"/>
      </rPr>
      <t xml:space="preserve">八丁堀テラス</t>
    </r>
  </si>
  <si>
    <t xml:space="preserve">神宮前M-SQUARE</t>
  </si>
  <si>
    <r>
      <rPr>
        <sz val="10"/>
        <color rgb="FF0000FF"/>
        <rFont val="Arial"/>
        <family val="0"/>
        <charset val="1"/>
      </rPr>
      <t xml:space="preserve">NBF</t>
    </r>
    <r>
      <rPr>
        <sz val="10"/>
        <color rgb="FF0000FF"/>
        <rFont val="Noto Sans CJK SC"/>
        <family val="2"/>
      </rPr>
      <t xml:space="preserve">大崎ビル</t>
    </r>
  </si>
  <si>
    <r>
      <rPr>
        <sz val="10"/>
        <color rgb="FF0000FF"/>
        <rFont val="Arial"/>
        <family val="0"/>
        <charset val="1"/>
      </rPr>
      <t xml:space="preserve">CASBEE-</t>
    </r>
    <r>
      <rPr>
        <sz val="10"/>
        <color rgb="FF0000FF"/>
        <rFont val="Noto Sans CJK SC"/>
        <family val="2"/>
      </rPr>
      <t xml:space="preserve">建築</t>
    </r>
  </si>
  <si>
    <r>
      <rPr>
        <sz val="10"/>
        <color rgb="FF0000FF"/>
        <rFont val="Arial"/>
        <family val="0"/>
        <charset val="1"/>
      </rPr>
      <t xml:space="preserve">NBF</t>
    </r>
    <r>
      <rPr>
        <sz val="10"/>
        <color rgb="FF0000FF"/>
        <rFont val="Noto Sans CJK SC"/>
        <family val="2"/>
      </rPr>
      <t xml:space="preserve">豊洲キャナルフロント</t>
    </r>
  </si>
  <si>
    <r>
      <rPr>
        <sz val="10"/>
        <color rgb="FF0000FF"/>
        <rFont val="Arial"/>
        <family val="0"/>
        <charset val="1"/>
      </rPr>
      <t xml:space="preserve">NBF</t>
    </r>
    <r>
      <rPr>
        <sz val="10"/>
        <color rgb="FF0000FF"/>
        <rFont val="Noto Sans CJK SC"/>
        <family val="2"/>
      </rPr>
      <t xml:space="preserve">豊洲ガーデンフロント</t>
    </r>
  </si>
  <si>
    <t xml:space="preserve">大崎ブライトコア（ブライトプラザ）</t>
  </si>
  <si>
    <t xml:space="preserve">中目黒GTタワー</t>
  </si>
  <si>
    <r>
      <rPr>
        <sz val="10"/>
        <color rgb="FF0000FF"/>
        <rFont val="Arial"/>
        <family val="0"/>
        <charset val="1"/>
      </rPr>
      <t xml:space="preserve">NBF</t>
    </r>
    <r>
      <rPr>
        <sz val="10"/>
        <color rgb="FF0000FF"/>
        <rFont val="Noto Sans CJK SC"/>
        <family val="2"/>
      </rPr>
      <t xml:space="preserve">池袋イースト</t>
    </r>
  </si>
  <si>
    <r>
      <rPr>
        <sz val="10"/>
        <color rgb="FF0000FF"/>
        <rFont val="Arial"/>
        <family val="0"/>
        <charset val="1"/>
      </rPr>
      <t xml:space="preserve">NBF</t>
    </r>
    <r>
      <rPr>
        <sz val="10"/>
        <color rgb="FF0000FF"/>
        <rFont val="Noto Sans CJK SC"/>
        <family val="2"/>
      </rPr>
      <t xml:space="preserve">池袋タワー</t>
    </r>
  </si>
  <si>
    <r>
      <rPr>
        <sz val="10"/>
        <color rgb="FF0000FF"/>
        <rFont val="Arial"/>
        <family val="0"/>
        <charset val="1"/>
      </rPr>
      <t xml:space="preserve">NBF</t>
    </r>
    <r>
      <rPr>
        <sz val="10"/>
        <color rgb="FF0000FF"/>
        <rFont val="Noto Sans CJK SC"/>
        <family val="2"/>
      </rPr>
      <t xml:space="preserve">池袋シティビル</t>
    </r>
  </si>
  <si>
    <t xml:space="preserve">DBJ</t>
  </si>
  <si>
    <r>
      <rPr>
        <sz val="10"/>
        <color rgb="FF0000FF"/>
        <rFont val="Arial"/>
        <family val="0"/>
        <charset val="1"/>
      </rPr>
      <t xml:space="preserve">DBJ Green Building</t>
    </r>
    <r>
      <rPr>
        <sz val="10"/>
        <color rgb="FF0000FF"/>
        <rFont val="Noto Sans CJK SC"/>
        <family val="2"/>
      </rPr>
      <t xml:space="preserve">認証</t>
    </r>
  </si>
  <si>
    <t xml:space="preserve">ランク非開示（出典に物件別の星数記載なし）</t>
  </si>
  <si>
    <t xml:space="preserve">フロンティア武蔵小杉N棟・S棟</t>
  </si>
  <si>
    <t xml:space="preserve">横浜STビル</t>
  </si>
  <si>
    <r>
      <rPr>
        <sz val="10"/>
        <color rgb="FF0000FF"/>
        <rFont val="Arial"/>
        <family val="0"/>
        <charset val="1"/>
      </rPr>
      <t xml:space="preserve">NBF</t>
    </r>
    <r>
      <rPr>
        <sz val="10"/>
        <color rgb="FF0000FF"/>
        <rFont val="Noto Sans CJK SC"/>
        <family val="2"/>
      </rPr>
      <t xml:space="preserve">浦和ビル</t>
    </r>
  </si>
  <si>
    <r>
      <rPr>
        <sz val="10"/>
        <color rgb="FF0000FF"/>
        <rFont val="Arial"/>
        <family val="0"/>
        <charset val="1"/>
      </rPr>
      <t xml:space="preserve">NBF</t>
    </r>
    <r>
      <rPr>
        <sz val="10"/>
        <color rgb="FF0000FF"/>
        <rFont val="Noto Sans CJK SC"/>
        <family val="2"/>
      </rPr>
      <t xml:space="preserve">松戸ビル</t>
    </r>
  </si>
  <si>
    <r>
      <rPr>
        <sz val="10"/>
        <color rgb="FF0000FF"/>
        <rFont val="Arial"/>
        <family val="0"/>
        <charset val="1"/>
      </rPr>
      <t xml:space="preserve">NBF</t>
    </r>
    <r>
      <rPr>
        <sz val="10"/>
        <color rgb="FF0000FF"/>
        <rFont val="Noto Sans CJK SC"/>
        <family val="2"/>
      </rPr>
      <t xml:space="preserve">札幌南二条ビル</t>
    </r>
  </si>
  <si>
    <t xml:space="preserve">ZEB</t>
  </si>
  <si>
    <t xml:space="preserve">BELS</t>
  </si>
  <si>
    <r>
      <rPr>
        <sz val="10"/>
        <color rgb="FF0000FF"/>
        <rFont val="Arial"/>
        <family val="0"/>
        <charset val="1"/>
      </rPr>
      <t xml:space="preserve">D</t>
    </r>
    <r>
      <rPr>
        <sz val="10"/>
        <color rgb="FF0000FF"/>
        <rFont val="Noto Sans CJK SC"/>
        <family val="2"/>
      </rPr>
      <t xml:space="preserve">タワー富山</t>
    </r>
  </si>
  <si>
    <t xml:space="preserve">星数非開示（出典に物件別の星数記載なし）</t>
  </si>
  <si>
    <r>
      <rPr>
        <sz val="10"/>
        <color rgb="FF0000FF"/>
        <rFont val="Arial"/>
        <family val="0"/>
        <charset val="1"/>
      </rPr>
      <t xml:space="preserve">NBF</t>
    </r>
    <r>
      <rPr>
        <sz val="10"/>
        <color rgb="FF0000FF"/>
        <rFont val="Noto Sans CJK SC"/>
        <family val="2"/>
      </rPr>
      <t xml:space="preserve">名古屋広小路ビル</t>
    </r>
  </si>
  <si>
    <t xml:space="preserve">アクア堂島NBFタワー</t>
  </si>
  <si>
    <r>
      <rPr>
        <sz val="10"/>
        <color rgb="FF0000FF"/>
        <rFont val="Arial"/>
        <family val="0"/>
        <charset val="1"/>
      </rPr>
      <t xml:space="preserve">NBF</t>
    </r>
    <r>
      <rPr>
        <sz val="10"/>
        <color rgb="FF0000FF"/>
        <rFont val="Noto Sans CJK SC"/>
        <family val="2"/>
      </rPr>
      <t xml:space="preserve">松山日銀前ビル</t>
    </r>
  </si>
  <si>
    <t xml:space="preserve">博多祇園M-SQUARE</t>
  </si>
  <si>
    <r>
      <rPr>
        <sz val="10"/>
        <color rgb="FF0000FF"/>
        <rFont val="Arial"/>
        <family val="0"/>
        <charset val="1"/>
      </rPr>
      <t xml:space="preserve">NBF</t>
    </r>
    <r>
      <rPr>
        <sz val="10"/>
        <color rgb="FF0000FF"/>
        <rFont val="Noto Sans CJK SC"/>
        <family val="2"/>
      </rPr>
      <t xml:space="preserve">熊本ビル</t>
    </r>
  </si>
  <si>
    <t xml:space="preserve">★2</t>
  </si>
  <si>
    <t xml:space="preserve">★3</t>
  </si>
  <si>
    <t xml:space="preserve">★4</t>
  </si>
  <si>
    <t xml:space="preserve">★5</t>
  </si>
  <si>
    <r>
      <rPr>
        <sz val="10"/>
        <color rgb="FF0000FF"/>
        <rFont val="Arial"/>
        <family val="0"/>
        <charset val="1"/>
      </rPr>
      <t xml:space="preserve">CASBEE-</t>
    </r>
    <r>
      <rPr>
        <sz val="10"/>
        <color rgb="FF0000FF"/>
        <rFont val="Noto Sans CJK SC"/>
        <family val="2"/>
      </rPr>
      <t xml:space="preserve">不動産／建築（区分不明）</t>
    </r>
  </si>
  <si>
    <t xml:space="preserve">出典表記が「CASBEE（不動産/建築）」等で評価ツールの区分が特定不能</t>
  </si>
  <si>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Ready</t>
    </r>
    <r>
      <rPr>
        <sz val="10"/>
        <color rgb="FF0000FF"/>
        <rFont val="Noto Sans CJK SC"/>
        <family val="2"/>
      </rPr>
      <t xml:space="preserve">）</t>
    </r>
  </si>
  <si>
    <t xml:space="preserve">星数は物件別に特定不能（ZEB取得8物件の内訳は★6×3・★5×5）</t>
  </si>
  <si>
    <t xml:space="preserve">シーバンスS棟</t>
  </si>
  <si>
    <t xml:space="preserve">★1</t>
  </si>
  <si>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Oriented</t>
    </r>
    <r>
      <rPr>
        <sz val="10"/>
        <color rgb="FF0000FF"/>
        <rFont val="Noto Sans CJK SC"/>
        <family val="2"/>
      </rPr>
      <t xml:space="preserve">）</t>
    </r>
  </si>
  <si>
    <t xml:space="preserve">ＴＩＸＴＯＷＥＲ　ＵＥＮＯ</t>
  </si>
  <si>
    <t xml:space="preserve">北館／事務所</t>
  </si>
  <si>
    <t xml:space="preserve">北館／店舗</t>
  </si>
  <si>
    <t xml:space="preserve">南館／事務所</t>
  </si>
  <si>
    <t xml:space="preserve">グランフロント大阪（南館）</t>
  </si>
  <si>
    <t xml:space="preserve">南館／店舗</t>
  </si>
  <si>
    <t xml:space="preserve">うめきた広場</t>
  </si>
  <si>
    <t xml:space="preserve">グランフロント大阪（うめきた広場）</t>
  </si>
  <si>
    <t xml:space="preserve">新四curumuビル</t>
  </si>
  <si>
    <r>
      <rPr>
        <sz val="10"/>
        <color rgb="FF0000FF"/>
        <rFont val="Arial"/>
        <family val="0"/>
        <charset val="1"/>
      </rPr>
      <t xml:space="preserve">Daiwa</t>
    </r>
    <r>
      <rPr>
        <sz val="10"/>
        <color rgb="FF0000FF"/>
        <rFont val="Noto Sans CJK SC"/>
        <family val="2"/>
      </rPr>
      <t xml:space="preserve">東日本橋ビル</t>
    </r>
  </si>
  <si>
    <r>
      <rPr>
        <sz val="10"/>
        <color rgb="FF0000FF"/>
        <rFont val="Arial"/>
        <family val="0"/>
        <charset val="1"/>
      </rPr>
      <t xml:space="preserve">A</t>
    </r>
    <r>
      <rPr>
        <sz val="10"/>
        <color rgb="FF0000FF"/>
        <rFont val="Noto Sans CJK SC"/>
        <family val="2"/>
      </rPr>
      <t xml:space="preserve">棟</t>
    </r>
  </si>
  <si>
    <t xml:space="preserve">2025/10</t>
  </si>
  <si>
    <r>
      <rPr>
        <sz val="10"/>
        <color rgb="FF0000FF"/>
        <rFont val="Arial"/>
        <family val="0"/>
        <charset val="1"/>
      </rPr>
      <t xml:space="preserve">B</t>
    </r>
    <r>
      <rPr>
        <sz val="10"/>
        <color rgb="FF0000FF"/>
        <rFont val="Noto Sans CJK SC"/>
        <family val="2"/>
      </rPr>
      <t xml:space="preserve">棟</t>
    </r>
  </si>
  <si>
    <t xml:space="preserve">2022/4</t>
  </si>
  <si>
    <t xml:space="preserve">2022/10</t>
  </si>
  <si>
    <t xml:space="preserve">2025/3</t>
  </si>
  <si>
    <t xml:space="preserve">2017/4</t>
  </si>
  <si>
    <r>
      <rPr>
        <sz val="10"/>
        <color rgb="FF0000FF"/>
        <rFont val="Arial"/>
        <family val="0"/>
        <charset val="1"/>
      </rPr>
      <t xml:space="preserve">2016</t>
    </r>
    <r>
      <rPr>
        <sz val="10"/>
        <color rgb="FF0000FF"/>
        <rFont val="Noto Sans CJK SC"/>
        <family val="2"/>
      </rPr>
      <t xml:space="preserve">年度基準</t>
    </r>
  </si>
  <si>
    <t xml:space="preserve">2025/9</t>
  </si>
  <si>
    <t xml:space="preserve">2024/4</t>
  </si>
  <si>
    <t xml:space="preserve">★6</t>
  </si>
  <si>
    <t xml:space="preserve">2026/2</t>
  </si>
  <si>
    <r>
      <rPr>
        <sz val="10"/>
        <color rgb="FF0000FF"/>
        <rFont val="Arial"/>
        <family val="0"/>
        <charset val="1"/>
      </rPr>
      <t xml:space="preserve">2024</t>
    </r>
    <r>
      <rPr>
        <sz val="10"/>
        <color rgb="FF0000FF"/>
        <rFont val="Noto Sans CJK SC"/>
        <family val="2"/>
      </rPr>
      <t xml:space="preserve">年度基準／同一</t>
    </r>
    <r>
      <rPr>
        <sz val="10"/>
        <color rgb="FF0000FF"/>
        <rFont val="Arial"/>
        <family val="0"/>
        <charset val="1"/>
      </rPr>
      <t xml:space="preserve">BELS</t>
    </r>
    <r>
      <rPr>
        <sz val="10"/>
        <color rgb="FF0000FF"/>
        <rFont val="Noto Sans CJK SC"/>
        <family val="2"/>
      </rPr>
      <t xml:space="preserve">評価書の星数と</t>
    </r>
    <r>
      <rPr>
        <sz val="10"/>
        <color rgb="FF0000FF"/>
        <rFont val="Arial"/>
        <family val="0"/>
        <charset val="1"/>
      </rPr>
      <t xml:space="preserve">ZEB</t>
    </r>
    <r>
      <rPr>
        <sz val="10"/>
        <color rgb="FF0000FF"/>
        <rFont val="Noto Sans CJK SC"/>
        <family val="2"/>
      </rPr>
      <t xml:space="preserve">表記を</t>
    </r>
    <r>
      <rPr>
        <sz val="10"/>
        <color rgb="FF0000FF"/>
        <rFont val="Arial"/>
        <family val="0"/>
        <charset val="1"/>
      </rPr>
      <t xml:space="preserve">1</t>
    </r>
    <r>
      <rPr>
        <sz val="10"/>
        <color rgb="FF0000FF"/>
        <rFont val="Noto Sans CJK SC"/>
        <family val="2"/>
      </rPr>
      <t xml:space="preserve">行に統合</t>
    </r>
  </si>
  <si>
    <t xml:space="preserve">2023/4</t>
  </si>
  <si>
    <t xml:space="preserve">2017/10</t>
  </si>
  <si>
    <t xml:space="preserve">2026/4</t>
  </si>
  <si>
    <t xml:space="preserve">2022/1</t>
  </si>
  <si>
    <t xml:space="preserve">2021/9</t>
  </si>
  <si>
    <t xml:space="preserve">ウィンゴタンダビル</t>
  </si>
  <si>
    <t xml:space="preserve">2025/12</t>
  </si>
  <si>
    <t xml:space="preserve">ウィンゴタンダビル2</t>
  </si>
  <si>
    <t xml:space="preserve">2023/10</t>
  </si>
  <si>
    <t xml:space="preserve">いちご博多明治通ビル</t>
  </si>
  <si>
    <t xml:space="preserve">事務所</t>
  </si>
  <si>
    <t xml:space="preserve">芝二丁目ビルディング（事務所）</t>
  </si>
  <si>
    <t xml:space="preserve">浜離宮インターシティ（事務所）</t>
  </si>
  <si>
    <t xml:space="preserve">浜離宮インターシティ（住宅）</t>
  </si>
  <si>
    <t xml:space="preserve">LEED</t>
  </si>
  <si>
    <t xml:space="preserve">LEED O+M</t>
  </si>
  <si>
    <t xml:space="preserve">Platinum</t>
  </si>
  <si>
    <t xml:space="preserve">北館</t>
  </si>
  <si>
    <t xml:space="preserve">南館</t>
  </si>
  <si>
    <t xml:space="preserve">愛宕グリーンヒルズ MORIタワー</t>
  </si>
  <si>
    <t xml:space="preserve">2021/12</t>
  </si>
  <si>
    <r>
      <rPr>
        <sz val="10"/>
        <color rgb="FF0000FF"/>
        <rFont val="Arial"/>
        <family val="0"/>
        <charset val="1"/>
      </rPr>
      <t xml:space="preserve">JPR</t>
    </r>
    <r>
      <rPr>
        <sz val="10"/>
        <color rgb="FF0000FF"/>
        <rFont val="Noto Sans CJK SC"/>
        <family val="2"/>
      </rPr>
      <t xml:space="preserve">人形町ビル</t>
    </r>
  </si>
  <si>
    <t xml:space="preserve">2024/6</t>
  </si>
  <si>
    <t xml:space="preserve">2022/6</t>
  </si>
  <si>
    <r>
      <rPr>
        <sz val="10"/>
        <color rgb="FF0000FF"/>
        <rFont val="Arial"/>
        <family val="0"/>
        <charset val="1"/>
      </rPr>
      <t xml:space="preserve">MS</t>
    </r>
    <r>
      <rPr>
        <sz val="10"/>
        <color rgb="FF0000FF"/>
        <rFont val="Noto Sans CJK SC"/>
        <family val="2"/>
      </rPr>
      <t xml:space="preserve">芝浦ビル</t>
    </r>
  </si>
  <si>
    <r>
      <rPr>
        <sz val="10"/>
        <color rgb="FF0000FF"/>
        <rFont val="Arial"/>
        <family val="0"/>
        <charset val="1"/>
      </rPr>
      <t xml:space="preserve">JPR</t>
    </r>
    <r>
      <rPr>
        <sz val="10"/>
        <color rgb="FF0000FF"/>
        <rFont val="Noto Sans CJK SC"/>
        <family val="2"/>
      </rPr>
      <t xml:space="preserve">市ヶ谷ビル</t>
    </r>
  </si>
  <si>
    <t xml:space="preserve">2023/12</t>
  </si>
  <si>
    <t xml:space="preserve">2025/6</t>
  </si>
  <si>
    <t xml:space="preserve">2022/12</t>
  </si>
  <si>
    <r>
      <rPr>
        <sz val="10"/>
        <color rgb="FF0000FF"/>
        <rFont val="Arial"/>
        <family val="0"/>
        <charset val="1"/>
      </rPr>
      <t xml:space="preserve">JPR</t>
    </r>
    <r>
      <rPr>
        <sz val="10"/>
        <color rgb="FF0000FF"/>
        <rFont val="Noto Sans CJK SC"/>
        <family val="2"/>
      </rPr>
      <t xml:space="preserve">原宿ビル</t>
    </r>
  </si>
  <si>
    <t xml:space="preserve">2020/12</t>
  </si>
  <si>
    <r>
      <rPr>
        <sz val="10"/>
        <color rgb="FF0000FF"/>
        <rFont val="Arial"/>
        <family val="0"/>
        <charset val="1"/>
      </rPr>
      <t xml:space="preserve">JPR</t>
    </r>
    <r>
      <rPr>
        <sz val="10"/>
        <color rgb="FF0000FF"/>
        <rFont val="Noto Sans CJK SC"/>
        <family val="2"/>
      </rPr>
      <t xml:space="preserve">日本橋堀留ビル</t>
    </r>
  </si>
  <si>
    <t xml:space="preserve">2023/8</t>
  </si>
  <si>
    <r>
      <rPr>
        <sz val="10"/>
        <color rgb="FF0000FF"/>
        <rFont val="Arial"/>
        <family val="0"/>
        <charset val="1"/>
      </rPr>
      <t xml:space="preserve">JPR</t>
    </r>
    <r>
      <rPr>
        <sz val="10"/>
        <color rgb="FF0000FF"/>
        <rFont val="Noto Sans CJK SC"/>
        <family val="2"/>
      </rPr>
      <t xml:space="preserve">麹町ビル</t>
    </r>
  </si>
  <si>
    <t xml:space="preserve">2024/12</t>
  </si>
  <si>
    <t xml:space="preserve">2024/10</t>
  </si>
  <si>
    <r>
      <rPr>
        <sz val="10"/>
        <color rgb="FF0000FF"/>
        <rFont val="Arial"/>
        <family val="0"/>
        <charset val="1"/>
      </rPr>
      <t xml:space="preserve">JPR</t>
    </r>
    <r>
      <rPr>
        <sz val="10"/>
        <color rgb="FF0000FF"/>
        <rFont val="Noto Sans CJK SC"/>
        <family val="2"/>
      </rPr>
      <t xml:space="preserve">渋谷タワーレコードビル</t>
    </r>
  </si>
  <si>
    <t xml:space="preserve">2023/6</t>
  </si>
  <si>
    <r>
      <rPr>
        <sz val="10"/>
        <color rgb="FF0000FF"/>
        <rFont val="Arial"/>
        <family val="0"/>
        <charset val="1"/>
      </rPr>
      <t xml:space="preserve">JPR</t>
    </r>
    <r>
      <rPr>
        <sz val="10"/>
        <color rgb="FF0000FF"/>
        <rFont val="Noto Sans CJK SC"/>
        <family val="2"/>
      </rPr>
      <t xml:space="preserve">神宮前</t>
    </r>
    <r>
      <rPr>
        <sz val="10"/>
        <color rgb="FF0000FF"/>
        <rFont val="Arial"/>
        <family val="0"/>
        <charset val="1"/>
      </rPr>
      <t xml:space="preserve">432</t>
    </r>
  </si>
  <si>
    <r>
      <rPr>
        <sz val="10"/>
        <color rgb="FF0000FF"/>
        <rFont val="Arial"/>
        <family val="0"/>
        <charset val="1"/>
      </rPr>
      <t xml:space="preserve">JPR</t>
    </r>
    <r>
      <rPr>
        <sz val="10"/>
        <color rgb="FF0000FF"/>
        <rFont val="Noto Sans CJK SC"/>
        <family val="2"/>
      </rPr>
      <t xml:space="preserve">銀座並木通りビル</t>
    </r>
  </si>
  <si>
    <r>
      <rPr>
        <sz val="10"/>
        <color rgb="FF0000FF"/>
        <rFont val="Arial"/>
        <family val="0"/>
        <charset val="1"/>
      </rPr>
      <t xml:space="preserve">FUNDES</t>
    </r>
    <r>
      <rPr>
        <sz val="10"/>
        <color rgb="FF0000FF"/>
        <rFont val="Noto Sans CJK SC"/>
        <family val="2"/>
      </rPr>
      <t xml:space="preserve">水道橋</t>
    </r>
  </si>
  <si>
    <r>
      <rPr>
        <sz val="10"/>
        <color rgb="FF0000FF"/>
        <rFont val="Arial"/>
        <family val="0"/>
        <charset val="1"/>
      </rPr>
      <t xml:space="preserve">JPR</t>
    </r>
    <r>
      <rPr>
        <sz val="10"/>
        <color rgb="FF0000FF"/>
        <rFont val="Noto Sans CJK SC"/>
        <family val="2"/>
      </rPr>
      <t xml:space="preserve">千葉ビル</t>
    </r>
  </si>
  <si>
    <t xml:space="preserve">2021/6</t>
  </si>
  <si>
    <t xml:space="preserve">B+</t>
  </si>
  <si>
    <r>
      <rPr>
        <sz val="10"/>
        <color rgb="FF0000FF"/>
        <rFont val="Arial"/>
        <family val="0"/>
        <charset val="1"/>
      </rPr>
      <t xml:space="preserve">JPR</t>
    </r>
    <r>
      <rPr>
        <sz val="10"/>
        <color rgb="FF0000FF"/>
        <rFont val="Noto Sans CJK SC"/>
        <family val="2"/>
      </rPr>
      <t xml:space="preserve">横浜ビル</t>
    </r>
  </si>
  <si>
    <t xml:space="preserve">2022/9</t>
  </si>
  <si>
    <r>
      <rPr>
        <sz val="10"/>
        <color rgb="FF0000FF"/>
        <rFont val="Arial"/>
        <family val="0"/>
        <charset val="1"/>
      </rPr>
      <t xml:space="preserve">JPR</t>
    </r>
    <r>
      <rPr>
        <sz val="10"/>
        <color rgb="FF0000FF"/>
        <rFont val="Noto Sans CJK SC"/>
        <family val="2"/>
      </rPr>
      <t xml:space="preserve">大宮ビル</t>
    </r>
  </si>
  <si>
    <r>
      <rPr>
        <sz val="10"/>
        <color rgb="FF0000FF"/>
        <rFont val="Arial"/>
        <family val="0"/>
        <charset val="1"/>
      </rPr>
      <t xml:space="preserve">JPR</t>
    </r>
    <r>
      <rPr>
        <sz val="10"/>
        <color rgb="FF0000FF"/>
        <rFont val="Noto Sans CJK SC"/>
        <family val="2"/>
      </rPr>
      <t xml:space="preserve">武蔵小杉ビル</t>
    </r>
  </si>
  <si>
    <r>
      <rPr>
        <sz val="10"/>
        <color rgb="FF0000FF"/>
        <rFont val="Arial"/>
        <family val="0"/>
        <charset val="1"/>
      </rPr>
      <t xml:space="preserve">FUNDES</t>
    </r>
    <r>
      <rPr>
        <sz val="10"/>
        <color rgb="FF0000FF"/>
        <rFont val="Noto Sans CJK SC"/>
        <family val="2"/>
      </rPr>
      <t xml:space="preserve">上野</t>
    </r>
  </si>
  <si>
    <r>
      <rPr>
        <sz val="10"/>
        <color rgb="FF0000FF"/>
        <rFont val="Arial"/>
        <family val="0"/>
        <charset val="1"/>
      </rPr>
      <t xml:space="preserve">JPR</t>
    </r>
    <r>
      <rPr>
        <sz val="10"/>
        <color rgb="FF0000FF"/>
        <rFont val="Noto Sans CJK SC"/>
        <family val="2"/>
      </rPr>
      <t xml:space="preserve">那覇ビル</t>
    </r>
  </si>
  <si>
    <r>
      <rPr>
        <sz val="10"/>
        <color rgb="FF0000FF"/>
        <rFont val="Arial"/>
        <family val="0"/>
        <charset val="1"/>
      </rPr>
      <t xml:space="preserve">JPR</t>
    </r>
    <r>
      <rPr>
        <sz val="10"/>
        <color rgb="FF0000FF"/>
        <rFont val="Noto Sans CJK SC"/>
        <family val="2"/>
      </rPr>
      <t xml:space="preserve">堂島ビル</t>
    </r>
  </si>
  <si>
    <t xml:space="preserve">2023/5</t>
  </si>
  <si>
    <r>
      <rPr>
        <sz val="10"/>
        <color rgb="FF0000FF"/>
        <rFont val="Arial"/>
        <family val="0"/>
        <charset val="1"/>
      </rPr>
      <t xml:space="preserve">JPR</t>
    </r>
    <r>
      <rPr>
        <sz val="10"/>
        <color rgb="FF0000FF"/>
        <rFont val="Noto Sans CJK SC"/>
        <family val="2"/>
      </rPr>
      <t xml:space="preserve">心斎橋ビル</t>
    </r>
  </si>
  <si>
    <r>
      <rPr>
        <sz val="10"/>
        <color rgb="FF0000FF"/>
        <rFont val="Arial"/>
        <family val="0"/>
        <charset val="1"/>
      </rPr>
      <t xml:space="preserve">JPR</t>
    </r>
    <r>
      <rPr>
        <sz val="10"/>
        <color rgb="FF0000FF"/>
        <rFont val="Noto Sans CJK SC"/>
        <family val="2"/>
      </rPr>
      <t xml:space="preserve">心斎橋ウエスト</t>
    </r>
  </si>
  <si>
    <r>
      <rPr>
        <sz val="10"/>
        <color rgb="FF0000FF"/>
        <rFont val="Arial"/>
        <family val="0"/>
        <charset val="1"/>
      </rPr>
      <t xml:space="preserve">JPR</t>
    </r>
    <r>
      <rPr>
        <sz val="10"/>
        <color rgb="FF0000FF"/>
        <rFont val="Noto Sans CJK SC"/>
        <family val="2"/>
      </rPr>
      <t xml:space="preserve">堂島ウエスト</t>
    </r>
  </si>
  <si>
    <r>
      <rPr>
        <sz val="10"/>
        <color rgb="FF0000FF"/>
        <rFont val="Arial"/>
        <family val="0"/>
        <charset val="1"/>
      </rPr>
      <t xml:space="preserve">JPR</t>
    </r>
    <r>
      <rPr>
        <sz val="10"/>
        <color rgb="FF0000FF"/>
        <rFont val="Noto Sans CJK SC"/>
        <family val="2"/>
      </rPr>
      <t xml:space="preserve">茶屋町ビル</t>
    </r>
  </si>
  <si>
    <r>
      <rPr>
        <sz val="10"/>
        <color rgb="FF0000FF"/>
        <rFont val="Arial"/>
        <family val="0"/>
        <charset val="1"/>
      </rPr>
      <t xml:space="preserve">FUNDES</t>
    </r>
    <r>
      <rPr>
        <sz val="10"/>
        <color rgb="FF0000FF"/>
        <rFont val="Noto Sans CJK SC"/>
        <family val="2"/>
      </rPr>
      <t xml:space="preserve">天神西通り</t>
    </r>
  </si>
  <si>
    <t xml:space="preserve">2022</t>
  </si>
  <si>
    <r>
      <rPr>
        <sz val="10"/>
        <color rgb="FF0000FF"/>
        <rFont val="Arial"/>
        <family val="0"/>
        <charset val="1"/>
      </rPr>
      <t xml:space="preserve">QFRONT(</t>
    </r>
    <r>
      <rPr>
        <sz val="10"/>
        <color rgb="FF0000FF"/>
        <rFont val="Noto Sans CJK SC"/>
        <family val="2"/>
      </rPr>
      <t xml:space="preserve">キューフロント</t>
    </r>
    <r>
      <rPr>
        <sz val="10"/>
        <color rgb="FF0000FF"/>
        <rFont val="Arial"/>
        <family val="0"/>
        <charset val="1"/>
      </rPr>
      <t xml:space="preserve">)</t>
    </r>
  </si>
  <si>
    <t xml:space="preserve">2026/5</t>
  </si>
  <si>
    <r>
      <rPr>
        <sz val="10"/>
        <color rgb="FF0000FF"/>
        <rFont val="Arial"/>
        <family val="0"/>
        <charset val="1"/>
      </rPr>
      <t xml:space="preserve">TOKYU REIT</t>
    </r>
    <r>
      <rPr>
        <sz val="10"/>
        <color rgb="FF0000FF"/>
        <rFont val="Noto Sans CJK SC"/>
        <family val="2"/>
      </rPr>
      <t xml:space="preserve">表参道スクエア</t>
    </r>
  </si>
  <si>
    <r>
      <rPr>
        <sz val="10"/>
        <color rgb="FF0000FF"/>
        <rFont val="Arial"/>
        <family val="0"/>
        <charset val="1"/>
      </rPr>
      <t xml:space="preserve">cocoti(</t>
    </r>
    <r>
      <rPr>
        <sz val="10"/>
        <color rgb="FF0000FF"/>
        <rFont val="Noto Sans CJK SC"/>
        <family val="2"/>
      </rPr>
      <t xml:space="preserve">ココチ</t>
    </r>
    <r>
      <rPr>
        <sz val="10"/>
        <color rgb="FF0000FF"/>
        <rFont val="Arial"/>
        <family val="0"/>
        <charset val="1"/>
      </rPr>
      <t xml:space="preserve">)</t>
    </r>
  </si>
  <si>
    <t xml:space="preserve">2024</t>
  </si>
  <si>
    <r>
      <rPr>
        <sz val="10"/>
        <color rgb="FF0000FF"/>
        <rFont val="Arial"/>
        <family val="0"/>
        <charset val="1"/>
      </rPr>
      <t xml:space="preserve">TOKYU REIT</t>
    </r>
    <r>
      <rPr>
        <sz val="10"/>
        <color rgb="FF0000FF"/>
        <rFont val="Noto Sans CJK SC"/>
        <family val="2"/>
      </rPr>
      <t xml:space="preserve">自由が丘スクエア</t>
    </r>
  </si>
  <si>
    <r>
      <rPr>
        <sz val="10"/>
        <color rgb="FF0000FF"/>
        <rFont val="Arial"/>
        <family val="0"/>
        <charset val="1"/>
      </rPr>
      <t xml:space="preserve">1F</t>
    </r>
    <r>
      <rPr>
        <sz val="10"/>
        <color rgb="FF0000FF"/>
        <rFont val="Noto Sans CJK SC"/>
        <family val="2"/>
      </rPr>
      <t xml:space="preserve">部分</t>
    </r>
  </si>
  <si>
    <t xml:space="preserve">2026/3</t>
  </si>
  <si>
    <r>
      <rPr>
        <sz val="10"/>
        <color rgb="FF0000FF"/>
        <rFont val="Arial"/>
        <family val="0"/>
        <charset val="1"/>
      </rPr>
      <t xml:space="preserve">TOKYU REIT</t>
    </r>
    <r>
      <rPr>
        <sz val="10"/>
        <color rgb="FF0000FF"/>
        <rFont val="Noto Sans CJK SC"/>
        <family val="2"/>
      </rPr>
      <t xml:space="preserve">蒲田ビル</t>
    </r>
  </si>
  <si>
    <t xml:space="preserve">2017/1</t>
  </si>
  <si>
    <t xml:space="preserve">2024/3</t>
  </si>
  <si>
    <t xml:space="preserve">2021</t>
  </si>
  <si>
    <r>
      <rPr>
        <sz val="10"/>
        <color rgb="FF0000FF"/>
        <rFont val="Arial"/>
        <family val="0"/>
        <charset val="1"/>
      </rPr>
      <t xml:space="preserve">TOKYU REIT</t>
    </r>
    <r>
      <rPr>
        <sz val="10"/>
        <color rgb="FF0000FF"/>
        <rFont val="Noto Sans CJK SC"/>
        <family val="2"/>
      </rPr>
      <t xml:space="preserve">新宿ビル</t>
    </r>
  </si>
  <si>
    <r>
      <rPr>
        <sz val="10"/>
        <color rgb="FF0000FF"/>
        <rFont val="Arial"/>
        <family val="0"/>
        <charset val="1"/>
      </rPr>
      <t xml:space="preserve">TOKYU REIT</t>
    </r>
    <r>
      <rPr>
        <sz val="10"/>
        <color rgb="FF0000FF"/>
        <rFont val="Noto Sans CJK SC"/>
        <family val="2"/>
      </rPr>
      <t xml:space="preserve">第</t>
    </r>
    <r>
      <rPr>
        <sz val="10"/>
        <color rgb="FF0000FF"/>
        <rFont val="Arial"/>
        <family val="0"/>
        <charset val="1"/>
      </rPr>
      <t xml:space="preserve">2</t>
    </r>
    <r>
      <rPr>
        <sz val="10"/>
        <color rgb="FF0000FF"/>
        <rFont val="Noto Sans CJK SC"/>
        <family val="2"/>
      </rPr>
      <t xml:space="preserve">新宿ビル</t>
    </r>
  </si>
  <si>
    <r>
      <rPr>
        <sz val="10"/>
        <color rgb="FF0000FF"/>
        <rFont val="Arial"/>
        <family val="0"/>
        <charset val="1"/>
      </rPr>
      <t xml:space="preserve">TOKYU REIT</t>
    </r>
    <r>
      <rPr>
        <sz val="10"/>
        <color rgb="FF0000FF"/>
        <rFont val="Noto Sans CJK SC"/>
        <family val="2"/>
      </rPr>
      <t xml:space="preserve">渋谷宮下公園ビル</t>
    </r>
  </si>
  <si>
    <t xml:space="preserve">LEED NC</t>
  </si>
  <si>
    <t xml:space="preserve">タワーオフィス</t>
  </si>
  <si>
    <t xml:space="preserve">Gold</t>
  </si>
  <si>
    <t xml:space="preserve">2015/8</t>
  </si>
  <si>
    <t xml:space="preserve">LEED ND</t>
  </si>
  <si>
    <t xml:space="preserve">2015/11</t>
  </si>
  <si>
    <t xml:space="preserve">大井町再開発ビル2号棟</t>
  </si>
  <si>
    <t xml:space="preserve">大井町再開発ビル1号棟</t>
  </si>
  <si>
    <t xml:space="preserve">2021/10</t>
  </si>
  <si>
    <t xml:space="preserve">2025/7</t>
  </si>
  <si>
    <t xml:space="preserve">2021/2</t>
  </si>
  <si>
    <t xml:space="preserve">2019/12</t>
  </si>
  <si>
    <t xml:space="preserve">2023/9</t>
  </si>
  <si>
    <t xml:space="preserve">2022/8</t>
  </si>
  <si>
    <t xml:space="preserve">2023/3</t>
  </si>
  <si>
    <t xml:space="preserve">2015/2</t>
  </si>
  <si>
    <t xml:space="preserve">2022/3</t>
  </si>
  <si>
    <t xml:space="preserve">2018/2</t>
  </si>
  <si>
    <t xml:space="preserve">2024/1</t>
  </si>
  <si>
    <t xml:space="preserve">2024/9</t>
  </si>
  <si>
    <t xml:space="preserve">2024/11</t>
  </si>
  <si>
    <t xml:space="preserve">2023/2</t>
  </si>
  <si>
    <t xml:space="preserve">2024/2</t>
  </si>
  <si>
    <t xml:space="preserve">プレミア・ロッソ</t>
  </si>
  <si>
    <r>
      <rPr>
        <sz val="10"/>
        <color rgb="FF0000FF"/>
        <rFont val="Arial"/>
        <family val="0"/>
        <charset val="1"/>
      </rPr>
      <t xml:space="preserve">Walk</t>
    </r>
    <r>
      <rPr>
        <sz val="10"/>
        <color rgb="FF0000FF"/>
        <rFont val="Noto Sans CJK SC"/>
        <family val="2"/>
      </rPr>
      <t xml:space="preserve">赤坂</t>
    </r>
  </si>
  <si>
    <t xml:space="preserve">芝浦アイランドエアタワー</t>
  </si>
  <si>
    <t xml:space="preserve">ユーディーエックス特定目的会社優先出資証券（秋葉原UDX）</t>
  </si>
  <si>
    <r>
      <rPr>
        <sz val="10"/>
        <color rgb="FF0000FF"/>
        <rFont val="Arial"/>
        <family val="0"/>
        <charset val="1"/>
      </rPr>
      <t xml:space="preserve">HF</t>
    </r>
    <r>
      <rPr>
        <sz val="10"/>
        <color rgb="FF0000FF"/>
        <rFont val="Noto Sans CJK SC"/>
        <family val="2"/>
      </rPr>
      <t xml:space="preserve">桜通ビルディング</t>
    </r>
  </si>
  <si>
    <r>
      <rPr>
        <sz val="10"/>
        <color rgb="FF0000FF"/>
        <rFont val="Arial"/>
        <family val="0"/>
        <charset val="1"/>
      </rPr>
      <t xml:space="preserve">HF</t>
    </r>
    <r>
      <rPr>
        <sz val="10"/>
        <color rgb="FF0000FF"/>
        <rFont val="Noto Sans CJK SC"/>
        <family val="2"/>
      </rPr>
      <t xml:space="preserve">仙台本町ビルディング</t>
    </r>
  </si>
  <si>
    <r>
      <rPr>
        <sz val="10"/>
        <color rgb="FF0000FF"/>
        <rFont val="Arial"/>
        <family val="0"/>
        <charset val="1"/>
      </rPr>
      <t xml:space="preserve">HF</t>
    </r>
    <r>
      <rPr>
        <sz val="10"/>
        <color rgb="FF0000FF"/>
        <rFont val="Noto Sans CJK SC"/>
        <family val="2"/>
      </rPr>
      <t xml:space="preserve">上野ビルディング</t>
    </r>
  </si>
  <si>
    <r>
      <rPr>
        <sz val="10"/>
        <color rgb="FF0000FF"/>
        <rFont val="Arial"/>
        <family val="0"/>
        <charset val="1"/>
      </rPr>
      <t xml:space="preserve">HF</t>
    </r>
    <r>
      <rPr>
        <sz val="10"/>
        <color rgb="FF0000FF"/>
        <rFont val="Noto Sans CJK SC"/>
        <family val="2"/>
      </rPr>
      <t xml:space="preserve">日本橋兜町ビルディング</t>
    </r>
  </si>
  <si>
    <r>
      <rPr>
        <sz val="10"/>
        <color rgb="FF0000FF"/>
        <rFont val="Arial"/>
        <family val="0"/>
        <charset val="1"/>
      </rPr>
      <t xml:space="preserve">HF</t>
    </r>
    <r>
      <rPr>
        <sz val="10"/>
        <color rgb="FF0000FF"/>
        <rFont val="Noto Sans CJK SC"/>
        <family val="2"/>
      </rPr>
      <t xml:space="preserve">仙台一番町ビルディング</t>
    </r>
  </si>
  <si>
    <r>
      <rPr>
        <sz val="10"/>
        <color rgb="FF0000FF"/>
        <rFont val="Arial"/>
        <family val="0"/>
        <charset val="1"/>
      </rPr>
      <t xml:space="preserve">HF</t>
    </r>
    <r>
      <rPr>
        <sz val="10"/>
        <color rgb="FF0000FF"/>
        <rFont val="Noto Sans CJK SC"/>
        <family val="2"/>
      </rPr>
      <t xml:space="preserve">江坂ビルディング</t>
    </r>
  </si>
  <si>
    <r>
      <rPr>
        <sz val="10"/>
        <color rgb="FF0000FF"/>
        <rFont val="Arial"/>
        <family val="0"/>
        <charset val="1"/>
      </rPr>
      <t xml:space="preserve">HF</t>
    </r>
    <r>
      <rPr>
        <sz val="10"/>
        <color rgb="FF0000FF"/>
        <rFont val="Noto Sans CJK SC"/>
        <family val="2"/>
      </rPr>
      <t xml:space="preserve">横浜山下ビルディング</t>
    </r>
  </si>
  <si>
    <r>
      <rPr>
        <sz val="10"/>
        <color rgb="FF0000FF"/>
        <rFont val="Arial"/>
        <family val="0"/>
        <charset val="1"/>
      </rPr>
      <t xml:space="preserve">HF</t>
    </r>
    <r>
      <rPr>
        <sz val="10"/>
        <color rgb="FF0000FF"/>
        <rFont val="Noto Sans CJK SC"/>
        <family val="2"/>
      </rPr>
      <t xml:space="preserve">江坂駅前ビルディング</t>
    </r>
  </si>
  <si>
    <r>
      <rPr>
        <sz val="10"/>
        <color rgb="FF0000FF"/>
        <rFont val="Arial"/>
        <family val="0"/>
        <charset val="1"/>
      </rPr>
      <t xml:space="preserve">HF</t>
    </r>
    <r>
      <rPr>
        <sz val="10"/>
        <color rgb="FF0000FF"/>
        <rFont val="Noto Sans CJK SC"/>
        <family val="2"/>
      </rPr>
      <t xml:space="preserve">白金高輪レジデンス</t>
    </r>
  </si>
  <si>
    <r>
      <rPr>
        <sz val="10"/>
        <color rgb="FF0000FF"/>
        <rFont val="Arial"/>
        <family val="0"/>
        <charset val="1"/>
      </rPr>
      <t xml:space="preserve">HF</t>
    </r>
    <r>
      <rPr>
        <sz val="10"/>
        <color rgb="FF0000FF"/>
        <rFont val="Noto Sans CJK SC"/>
        <family val="2"/>
      </rPr>
      <t xml:space="preserve">銀座レジデンス</t>
    </r>
    <r>
      <rPr>
        <sz val="10"/>
        <color rgb="FF0000FF"/>
        <rFont val="Arial"/>
        <family val="0"/>
        <charset val="1"/>
      </rPr>
      <t xml:space="preserve">EAST</t>
    </r>
  </si>
  <si>
    <r>
      <rPr>
        <sz val="10"/>
        <color rgb="FF0000FF"/>
        <rFont val="Arial"/>
        <family val="0"/>
        <charset val="1"/>
      </rPr>
      <t xml:space="preserve">HF</t>
    </r>
    <r>
      <rPr>
        <sz val="10"/>
        <color rgb="FF0000FF"/>
        <rFont val="Noto Sans CJK SC"/>
        <family val="2"/>
      </rPr>
      <t xml:space="preserve">新横浜レジデンス</t>
    </r>
  </si>
  <si>
    <r>
      <rPr>
        <sz val="10"/>
        <color rgb="FF0000FF"/>
        <rFont val="Arial"/>
        <family val="0"/>
        <charset val="1"/>
      </rPr>
      <t xml:space="preserve">HF</t>
    </r>
    <r>
      <rPr>
        <sz val="10"/>
        <color rgb="FF0000FF"/>
        <rFont val="Noto Sans CJK SC"/>
        <family val="2"/>
      </rPr>
      <t xml:space="preserve">駒沢公園レジデンス</t>
    </r>
    <r>
      <rPr>
        <sz val="10"/>
        <color rgb="FF0000FF"/>
        <rFont val="Arial"/>
        <family val="0"/>
        <charset val="1"/>
      </rPr>
      <t xml:space="preserve">TOWER</t>
    </r>
  </si>
  <si>
    <r>
      <rPr>
        <sz val="10"/>
        <color rgb="FF0000FF"/>
        <rFont val="Arial"/>
        <family val="0"/>
        <charset val="1"/>
      </rPr>
      <t xml:space="preserve">HF</t>
    </r>
    <r>
      <rPr>
        <sz val="10"/>
        <color rgb="FF0000FF"/>
        <rFont val="Noto Sans CJK SC"/>
        <family val="2"/>
      </rPr>
      <t xml:space="preserve">平尾レジデンス</t>
    </r>
  </si>
  <si>
    <r>
      <rPr>
        <sz val="10"/>
        <color rgb="FF0000FF"/>
        <rFont val="Arial"/>
        <family val="0"/>
        <charset val="1"/>
      </rPr>
      <t xml:space="preserve">HF</t>
    </r>
    <r>
      <rPr>
        <sz val="10"/>
        <color rgb="FF0000FF"/>
        <rFont val="Noto Sans CJK SC"/>
        <family val="2"/>
      </rPr>
      <t xml:space="preserve">四条河原町レジデンス</t>
    </r>
  </si>
  <si>
    <r>
      <rPr>
        <sz val="10"/>
        <color rgb="FF0000FF"/>
        <rFont val="Arial"/>
        <family val="0"/>
        <charset val="1"/>
      </rPr>
      <t xml:space="preserve">HF</t>
    </r>
    <r>
      <rPr>
        <sz val="10"/>
        <color rgb="FF0000FF"/>
        <rFont val="Noto Sans CJK SC"/>
        <family val="2"/>
      </rPr>
      <t xml:space="preserve">早稲田レジデンス</t>
    </r>
  </si>
  <si>
    <r>
      <rPr>
        <sz val="10"/>
        <color rgb="FF0000FF"/>
        <rFont val="Arial"/>
        <family val="0"/>
        <charset val="1"/>
      </rPr>
      <t xml:space="preserve">HF</t>
    </r>
    <r>
      <rPr>
        <sz val="10"/>
        <color rgb="FF0000FF"/>
        <rFont val="Noto Sans CJK SC"/>
        <family val="2"/>
      </rPr>
      <t xml:space="preserve">名駅北レジデンス</t>
    </r>
  </si>
  <si>
    <r>
      <rPr>
        <sz val="10"/>
        <color rgb="FF0000FF"/>
        <rFont val="Arial"/>
        <family val="0"/>
        <charset val="1"/>
      </rPr>
      <t xml:space="preserve">HF</t>
    </r>
    <r>
      <rPr>
        <sz val="10"/>
        <color rgb="FF0000FF"/>
        <rFont val="Noto Sans CJK SC"/>
        <family val="2"/>
      </rPr>
      <t xml:space="preserve">東札幌レジデンス</t>
    </r>
  </si>
  <si>
    <r>
      <rPr>
        <sz val="10"/>
        <color rgb="FF0000FF"/>
        <rFont val="Arial"/>
        <family val="0"/>
        <charset val="1"/>
      </rPr>
      <t xml:space="preserve">HF</t>
    </r>
    <r>
      <rPr>
        <sz val="10"/>
        <color rgb="FF0000FF"/>
        <rFont val="Noto Sans CJK SC"/>
        <family val="2"/>
      </rPr>
      <t xml:space="preserve">田端レジデンス</t>
    </r>
  </si>
  <si>
    <r>
      <rPr>
        <sz val="10"/>
        <color rgb="FF0000FF"/>
        <rFont val="Arial"/>
        <family val="0"/>
        <charset val="1"/>
      </rPr>
      <t xml:space="preserve">HF</t>
    </r>
    <r>
      <rPr>
        <sz val="10"/>
        <color rgb="FF0000FF"/>
        <rFont val="Noto Sans CJK SC"/>
        <family val="2"/>
      </rPr>
      <t xml:space="preserve">博多東レジデンスⅡ</t>
    </r>
  </si>
  <si>
    <r>
      <rPr>
        <sz val="10"/>
        <color rgb="FF0000FF"/>
        <rFont val="Arial"/>
        <family val="0"/>
        <charset val="1"/>
      </rPr>
      <t xml:space="preserve">HF</t>
    </r>
    <r>
      <rPr>
        <sz val="10"/>
        <color rgb="FF0000FF"/>
        <rFont val="Noto Sans CJK SC"/>
        <family val="2"/>
      </rPr>
      <t xml:space="preserve">福岡レジデンス</t>
    </r>
    <r>
      <rPr>
        <sz val="10"/>
        <color rgb="FF0000FF"/>
        <rFont val="Arial"/>
        <family val="0"/>
        <charset val="1"/>
      </rPr>
      <t xml:space="preserve">EAST</t>
    </r>
  </si>
  <si>
    <r>
      <rPr>
        <sz val="10"/>
        <color rgb="FF0000FF"/>
        <rFont val="Arial"/>
        <family val="0"/>
        <charset val="1"/>
      </rPr>
      <t xml:space="preserve">HF</t>
    </r>
    <r>
      <rPr>
        <sz val="10"/>
        <color rgb="FF0000FF"/>
        <rFont val="Noto Sans CJK SC"/>
        <family val="2"/>
      </rPr>
      <t xml:space="preserve">正光寺赤羽レジデンスⅡ</t>
    </r>
  </si>
  <si>
    <r>
      <rPr>
        <sz val="10"/>
        <color rgb="FF0000FF"/>
        <rFont val="Arial"/>
        <family val="0"/>
        <charset val="1"/>
      </rPr>
      <t xml:space="preserve">HF</t>
    </r>
    <r>
      <rPr>
        <sz val="10"/>
        <color rgb="FF0000FF"/>
        <rFont val="Noto Sans CJK SC"/>
        <family val="2"/>
      </rPr>
      <t xml:space="preserve">八広レジデンス</t>
    </r>
  </si>
  <si>
    <r>
      <rPr>
        <sz val="10"/>
        <color rgb="FF0000FF"/>
        <rFont val="Arial"/>
        <family val="0"/>
        <charset val="1"/>
      </rPr>
      <t xml:space="preserve">HF</t>
    </r>
    <r>
      <rPr>
        <sz val="10"/>
        <color rgb="FF0000FF"/>
        <rFont val="Noto Sans CJK SC"/>
        <family val="2"/>
      </rPr>
      <t xml:space="preserve">辻堂レジデンス</t>
    </r>
  </si>
  <si>
    <r>
      <rPr>
        <sz val="10"/>
        <color rgb="FF0000FF"/>
        <rFont val="Arial"/>
        <family val="0"/>
        <charset val="1"/>
      </rPr>
      <t xml:space="preserve">HF</t>
    </r>
    <r>
      <rPr>
        <sz val="10"/>
        <color rgb="FF0000FF"/>
        <rFont val="Noto Sans CJK SC"/>
        <family val="2"/>
      </rPr>
      <t xml:space="preserve">北千住レジデンス</t>
    </r>
  </si>
  <si>
    <r>
      <rPr>
        <sz val="10"/>
        <color rgb="FF0000FF"/>
        <rFont val="Arial"/>
        <family val="0"/>
        <charset val="1"/>
      </rPr>
      <t xml:space="preserve">LEED</t>
    </r>
    <r>
      <rPr>
        <sz val="10"/>
        <color rgb="FF0000FF"/>
        <rFont val="Noto Sans CJK SC"/>
        <family val="2"/>
      </rPr>
      <t xml:space="preserve">（種別不明）</t>
    </r>
  </si>
  <si>
    <t xml:space="preserve">出典にLEEDの認証システム種別（BD+C/O+M/ND等）の記載なし</t>
  </si>
  <si>
    <r>
      <rPr>
        <sz val="10"/>
        <color rgb="FF0000FF"/>
        <rFont val="Arial"/>
        <family val="0"/>
        <charset val="1"/>
      </rPr>
      <t xml:space="preserve">CASBEE-</t>
    </r>
    <r>
      <rPr>
        <sz val="10"/>
        <color rgb="FF0000FF"/>
        <rFont val="Noto Sans CJK SC"/>
        <family val="2"/>
      </rPr>
      <t xml:space="preserve">ウェルネスオフィス</t>
    </r>
  </si>
  <si>
    <r>
      <rPr>
        <sz val="10"/>
        <color rgb="FF0000FF"/>
        <rFont val="Arial"/>
        <family val="0"/>
        <charset val="1"/>
      </rPr>
      <t xml:space="preserve">HK</t>
    </r>
    <r>
      <rPr>
        <sz val="10"/>
        <color rgb="FF0000FF"/>
        <rFont val="Noto Sans CJK SC"/>
        <family val="2"/>
      </rPr>
      <t xml:space="preserve">淀屋橋ガーデンアベニュー</t>
    </r>
  </si>
  <si>
    <t xml:space="preserve">店舗</t>
  </si>
  <si>
    <r>
      <rPr>
        <sz val="10"/>
        <color rgb="FF0000FF"/>
        <rFont val="Arial"/>
        <family val="0"/>
        <charset val="1"/>
      </rPr>
      <t xml:space="preserve">KDX</t>
    </r>
    <r>
      <rPr>
        <sz val="10"/>
        <color rgb="FF0000FF"/>
        <rFont val="Noto Sans CJK SC"/>
        <family val="2"/>
      </rPr>
      <t xml:space="preserve">レジデンス上石神井Ⅱ</t>
    </r>
  </si>
  <si>
    <t xml:space="preserve">棟別にSランク・Aランク（出典表記「S/A」、代表してSを記載）</t>
  </si>
  <si>
    <t xml:space="preserve">沖縄プリンスホテル オーシャンビューぎのわん</t>
  </si>
  <si>
    <t xml:space="preserve">プレザングラン 大田多摩川</t>
  </si>
  <si>
    <t xml:space="preserve">法人×認証種別サマリー(件数)</t>
  </si>
  <si>
    <t xml:space="preserve">WELL</t>
  </si>
  <si>
    <t xml:space="preserve">合計</t>
  </si>
  <si>
    <t xml:space="preserve">認証名称の表記ルール(統一済)</t>
  </si>
  <si>
    <r>
      <rPr>
        <sz val="10"/>
        <color rgb="FF0000FF"/>
        <rFont val="Arial"/>
        <family val="0"/>
        <charset val="1"/>
      </rPr>
      <t xml:space="preserve">ZEB: </t>
    </r>
    <r>
      <rPr>
        <sz val="10"/>
        <color rgb="FF0000FF"/>
        <rFont val="Noto Sans CJK SC"/>
        <family val="2"/>
      </rPr>
      <t xml:space="preserve">「</t>
    </r>
    <r>
      <rPr>
        <sz val="10"/>
        <color rgb="FF0000FF"/>
        <rFont val="Arial"/>
        <family val="0"/>
        <charset val="1"/>
      </rPr>
      <t xml:space="preserve">BELS</t>
    </r>
    <r>
      <rPr>
        <sz val="10"/>
        <color rgb="FF0000FF"/>
        <rFont val="Noto Sans CJK SC"/>
        <family val="2"/>
      </rPr>
      <t xml:space="preserve">」に統一。</t>
    </r>
    <r>
      <rPr>
        <sz val="10"/>
        <color rgb="FF0000FF"/>
        <rFont val="Arial"/>
        <family val="0"/>
        <charset val="1"/>
      </rPr>
      <t xml:space="preserve">ZEB</t>
    </r>
    <r>
      <rPr>
        <sz val="10"/>
        <color rgb="FF0000FF"/>
        <rFont val="Noto Sans CJK SC"/>
        <family val="2"/>
      </rPr>
      <t xml:space="preserve">評価が併記されている場合のみ「</t>
    </r>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Ready</t>
    </r>
    <r>
      <rPr>
        <sz val="10"/>
        <color rgb="FF0000FF"/>
        <rFont val="Noto Sans CJK SC"/>
        <family val="2"/>
      </rPr>
      <t xml:space="preserve">）」「</t>
    </r>
    <r>
      <rPr>
        <sz val="10"/>
        <color rgb="FF0000FF"/>
        <rFont val="Arial"/>
        <family val="0"/>
        <charset val="1"/>
      </rPr>
      <t xml:space="preserve">BELS</t>
    </r>
    <r>
      <rPr>
        <sz val="10"/>
        <color rgb="FF0000FF"/>
        <rFont val="Noto Sans CJK SC"/>
        <family val="2"/>
      </rPr>
      <t xml:space="preserve">（</t>
    </r>
    <r>
      <rPr>
        <sz val="10"/>
        <color rgb="FF0000FF"/>
        <rFont val="Arial"/>
        <family val="0"/>
        <charset val="1"/>
      </rPr>
      <t xml:space="preserve">ZEB Oriented</t>
    </r>
    <r>
      <rPr>
        <sz val="10"/>
        <color rgb="FF0000FF"/>
        <rFont val="Noto Sans CJK SC"/>
        <family val="2"/>
      </rPr>
      <t xml:space="preserve">）」と表記</t>
    </r>
    <r>
      <rPr>
        <sz val="10"/>
        <color rgb="FF0000FF"/>
        <rFont val="Arial"/>
        <family val="0"/>
        <charset val="1"/>
      </rPr>
      <t xml:space="preserve">(=ZEB</t>
    </r>
    <r>
      <rPr>
        <sz val="10"/>
        <color rgb="FF0000FF"/>
        <rFont val="Noto Sans CJK SC"/>
        <family val="2"/>
      </rPr>
      <t xml:space="preserve">表記のない行は</t>
    </r>
    <r>
      <rPr>
        <sz val="10"/>
        <color rgb="FF0000FF"/>
        <rFont val="Arial"/>
        <family val="0"/>
        <charset val="1"/>
      </rPr>
      <t xml:space="preserve">BELS</t>
    </r>
    <r>
      <rPr>
        <sz val="10"/>
        <color rgb="FF0000FF"/>
        <rFont val="Noto Sans CJK SC"/>
        <family val="2"/>
      </rPr>
      <t xml:space="preserve">評価のみ</t>
    </r>
    <r>
      <rPr>
        <sz val="10"/>
        <color rgb="FF0000FF"/>
        <rFont val="Arial"/>
        <family val="0"/>
        <charset val="1"/>
      </rPr>
      <t xml:space="preserve">)</t>
    </r>
    <r>
      <rPr>
        <sz val="10"/>
        <color rgb="FF0000FF"/>
        <rFont val="Noto Sans CJK SC"/>
        <family val="2"/>
      </rPr>
      <t xml:space="preserve">。</t>
    </r>
    <r>
      <rPr>
        <sz val="10"/>
        <color rgb="FF0000FF"/>
        <rFont val="Arial"/>
        <family val="0"/>
        <charset val="1"/>
      </rPr>
      <t xml:space="preserve">BELS</t>
    </r>
    <r>
      <rPr>
        <sz val="10"/>
        <color rgb="FF0000FF"/>
        <rFont val="Noto Sans CJK SC"/>
        <family val="2"/>
      </rPr>
      <t xml:space="preserve">の評価基準年度</t>
    </r>
    <r>
      <rPr>
        <sz val="10"/>
        <color rgb="FF0000FF"/>
        <rFont val="Arial"/>
        <family val="0"/>
        <charset val="1"/>
      </rPr>
      <t xml:space="preserve">(2016/2024</t>
    </r>
    <r>
      <rPr>
        <sz val="10"/>
        <color rgb="FF0000FF"/>
        <rFont val="Noto Sans CJK SC"/>
        <family val="2"/>
      </rPr>
      <t xml:space="preserve">年度</t>
    </r>
    <r>
      <rPr>
        <sz val="10"/>
        <color rgb="FF0000FF"/>
        <rFont val="Arial"/>
        <family val="0"/>
        <charset val="1"/>
      </rPr>
      <t xml:space="preserve">)</t>
    </r>
    <r>
      <rPr>
        <sz val="10"/>
        <color rgb="FF0000FF"/>
        <rFont val="Noto Sans CJK SC"/>
        <family val="2"/>
      </rPr>
      <t xml:space="preserve">は備考に記載。</t>
    </r>
  </si>
  <si>
    <r>
      <rPr>
        <sz val="10"/>
        <color rgb="FF0000FF"/>
        <rFont val="Arial"/>
        <family val="0"/>
        <charset val="1"/>
      </rPr>
      <t xml:space="preserve">DBJ: </t>
    </r>
    <r>
      <rPr>
        <sz val="10"/>
        <color rgb="FF0000FF"/>
        <rFont val="Noto Sans CJK SC"/>
        <family val="2"/>
      </rPr>
      <t xml:space="preserve">「</t>
    </r>
    <r>
      <rPr>
        <sz val="10"/>
        <color rgb="FF0000FF"/>
        <rFont val="Arial"/>
        <family val="0"/>
        <charset val="1"/>
      </rPr>
      <t xml:space="preserve">DBJ Green Building</t>
    </r>
    <r>
      <rPr>
        <sz val="10"/>
        <color rgb="FF0000FF"/>
        <rFont val="Noto Sans CJK SC"/>
        <family val="2"/>
      </rPr>
      <t xml:space="preserve">認証」に統一。ランクは★</t>
    </r>
    <r>
      <rPr>
        <sz val="10"/>
        <color rgb="FF0000FF"/>
        <rFont val="Arial"/>
        <family val="0"/>
        <charset val="1"/>
      </rPr>
      <t xml:space="preserve">1</t>
    </r>
    <r>
      <rPr>
        <sz val="10"/>
        <color rgb="FF0000FF"/>
        <rFont val="Noto Sans CJK SC"/>
        <family val="2"/>
      </rPr>
      <t xml:space="preserve">〜★</t>
    </r>
    <r>
      <rPr>
        <sz val="10"/>
        <color rgb="FF0000FF"/>
        <rFont val="Arial"/>
        <family val="0"/>
        <charset val="1"/>
      </rPr>
      <t xml:space="preserve">5</t>
    </r>
    <r>
      <rPr>
        <sz val="10"/>
        <color rgb="FF0000FF"/>
        <rFont val="Noto Sans CJK SC"/>
        <family val="2"/>
      </rPr>
      <t xml:space="preserve">表記</t>
    </r>
    <r>
      <rPr>
        <sz val="10"/>
        <color rgb="FF0000FF"/>
        <rFont val="Arial"/>
        <family val="0"/>
        <charset val="1"/>
      </rPr>
      <t xml:space="preserve">(MTR</t>
    </r>
    <r>
      <rPr>
        <sz val="10"/>
        <color rgb="FF0000FF"/>
        <rFont val="Noto Sans CJK SC"/>
        <family val="2"/>
      </rPr>
      <t xml:space="preserve">の評価語表記は★数に換算、換算凡例は法人別注記参照</t>
    </r>
    <r>
      <rPr>
        <sz val="10"/>
        <color rgb="FF0000FF"/>
        <rFont val="Arial"/>
        <family val="0"/>
        <charset val="1"/>
      </rPr>
      <t xml:space="preserve">)</t>
    </r>
    <r>
      <rPr>
        <sz val="10"/>
        <color rgb="FF0000FF"/>
        <rFont val="Noto Sans CJK SC"/>
        <family val="2"/>
      </rPr>
      <t xml:space="preserve">。</t>
    </r>
  </si>
  <si>
    <r>
      <rPr>
        <sz val="10"/>
        <color rgb="FF0000FF"/>
        <rFont val="Arial"/>
        <family val="0"/>
        <charset val="1"/>
      </rPr>
      <t xml:space="preserve">CASBEE: </t>
    </r>
    <r>
      <rPr>
        <sz val="10"/>
        <color rgb="FF0000FF"/>
        <rFont val="Noto Sans CJK SC"/>
        <family val="2"/>
      </rPr>
      <t xml:space="preserve">「</t>
    </r>
    <r>
      <rPr>
        <sz val="10"/>
        <color rgb="FF0000FF"/>
        <rFont val="Arial"/>
        <family val="0"/>
        <charset val="1"/>
      </rPr>
      <t xml:space="preserve">CASBEE-</t>
    </r>
    <r>
      <rPr>
        <sz val="10"/>
        <color rgb="FF0000FF"/>
        <rFont val="Noto Sans CJK SC"/>
        <family val="2"/>
      </rPr>
      <t xml:space="preserve">不動産」「</t>
    </r>
    <r>
      <rPr>
        <sz val="10"/>
        <color rgb="FF0000FF"/>
        <rFont val="Arial"/>
        <family val="0"/>
        <charset val="1"/>
      </rPr>
      <t xml:space="preserve">CASBEE-</t>
    </r>
    <r>
      <rPr>
        <sz val="10"/>
        <color rgb="FF0000FF"/>
        <rFont val="Noto Sans CJK SC"/>
        <family val="2"/>
      </rPr>
      <t xml:space="preserve">建築」「</t>
    </r>
    <r>
      <rPr>
        <sz val="10"/>
        <color rgb="FF0000FF"/>
        <rFont val="Arial"/>
        <family val="0"/>
        <charset val="1"/>
      </rPr>
      <t xml:space="preserve">CASBEE-</t>
    </r>
    <r>
      <rPr>
        <sz val="10"/>
        <color rgb="FF0000FF"/>
        <rFont val="Noto Sans CJK SC"/>
        <family val="2"/>
      </rPr>
      <t xml:space="preserve">ウェルネスオフィス」に統一。出典が評価ツールを特定していないものは「</t>
    </r>
    <r>
      <rPr>
        <sz val="10"/>
        <color rgb="FF0000FF"/>
        <rFont val="Arial"/>
        <family val="0"/>
        <charset val="1"/>
      </rPr>
      <t xml:space="preserve">CASBEE-</t>
    </r>
    <r>
      <rPr>
        <sz val="10"/>
        <color rgb="FF0000FF"/>
        <rFont val="Noto Sans CJK SC"/>
        <family val="2"/>
      </rPr>
      <t xml:space="preserve">不動産／建築（区分不明）」。</t>
    </r>
  </si>
  <si>
    <r>
      <rPr>
        <sz val="10"/>
        <color rgb="FF0000FF"/>
        <rFont val="Arial"/>
        <family val="0"/>
        <charset val="1"/>
      </rPr>
      <t xml:space="preserve">LEED: </t>
    </r>
    <r>
      <rPr>
        <sz val="10"/>
        <color rgb="FF0000FF"/>
        <rFont val="Noto Sans CJK SC"/>
        <family val="2"/>
      </rPr>
      <t xml:space="preserve">認証システム種別まで含めて「</t>
    </r>
    <r>
      <rPr>
        <sz val="10"/>
        <color rgb="FF0000FF"/>
        <rFont val="Arial"/>
        <family val="0"/>
        <charset val="1"/>
      </rPr>
      <t xml:space="preserve">LEED O+M</t>
    </r>
    <r>
      <rPr>
        <sz val="10"/>
        <color rgb="FF0000FF"/>
        <rFont val="Noto Sans CJK SC"/>
        <family val="2"/>
      </rPr>
      <t xml:space="preserve">」「</t>
    </r>
    <r>
      <rPr>
        <sz val="10"/>
        <color rgb="FF0000FF"/>
        <rFont val="Arial"/>
        <family val="0"/>
        <charset val="1"/>
      </rPr>
      <t xml:space="preserve">LEED ND</t>
    </r>
    <r>
      <rPr>
        <sz val="10"/>
        <color rgb="FF0000FF"/>
        <rFont val="Noto Sans CJK SC"/>
        <family val="2"/>
      </rPr>
      <t xml:space="preserve">」「</t>
    </r>
    <r>
      <rPr>
        <sz val="10"/>
        <color rgb="FF0000FF"/>
        <rFont val="Arial"/>
        <family val="0"/>
        <charset val="1"/>
      </rPr>
      <t xml:space="preserve">LEED NC</t>
    </r>
    <r>
      <rPr>
        <sz val="10"/>
        <color rgb="FF0000FF"/>
        <rFont val="Noto Sans CJK SC"/>
        <family val="2"/>
      </rPr>
      <t xml:space="preserve">」と表記。出典が種別未開示のものは「</t>
    </r>
    <r>
      <rPr>
        <sz val="10"/>
        <color rgb="FF0000FF"/>
        <rFont val="Arial"/>
        <family val="0"/>
        <charset val="1"/>
      </rPr>
      <t xml:space="preserve">LEED</t>
    </r>
    <r>
      <rPr>
        <sz val="10"/>
        <color rgb="FF0000FF"/>
        <rFont val="Noto Sans CJK SC"/>
        <family val="2"/>
      </rPr>
      <t xml:space="preserve">（種別不明）」。</t>
    </r>
  </si>
  <si>
    <t xml:space="preserve">対象区分: 同一物件で棟別・用途別に認証を取得している場合の対象(事務所/住宅/店舗/北館/南館/A棟等)。空欄は物件全体。</t>
  </si>
  <si>
    <t xml:space="preserve">ランク: CASBEE=S/A/B+、DBJ・BELS=★数、LEED=Platinum/Gold。空欄は出典に物件別ランクの記載がないもの(備考に理由を記載)。</t>
  </si>
  <si>
    <t xml:space="preserve">法人別出典・注記</t>
  </si>
  <si>
    <t xml:space="preserve">フロンティア武蔵小杉はN棟S・S棟A(代表N棟S)。取得状況表: CASBEE不動産68物件(S48/A20)・取得率98.6%(底地NBF虎ノ門除く)</t>
  </si>
  <si>
    <t xml:space="preserve">サマリー: DBJ29件(★5×5/★4×10/★3×14)・CASBEE不動産S30+A11・CASBEE建築新築A2/既存A1・BELS19件(6★3/5★6/3★2/2★2/1★6)・ZEB8件。PDF機械抽出でDBJ★3の1件が判別不能(28件収録)。CASBEE Aランク14件の不動産/建築の物件別内訳は一覧上判別不能のため統合表記</t>
  </si>
  <si>
    <t xml:space="preserve">サマリー(2026/3/31): 環境認証取得15棟96.7%・CASBEE不動産11棟・DBJ3棟・BELS5棟。CASBEEはページ掲載10件(S9/A1)でサマリー11棟と1件差(掲載外1件は特定不能)。BELSの★数・ZEB表示はページ上画像のみで判読不能のためランク欄空欄</t>
  </si>
  <si>
    <t xml:space="preserve">サマリー(2026/5末): CASBEE不動産31(S16/A15)・DBJ2(★4×1/★3×1)・BELS7(★5×1/★4×1/★3×2/★2×2/★1×1)・環境認証計37物件70.6%。BELSのZEB表示有無はページ記載なし</t>
  </si>
  <si>
    <t xml:space="preserve">英語版ESGページから収録(取得日付き)。西参道はA/B棟別認証を同一物件に2行収録。東京都低炭素モデル建物(8物件)は対象5分類外のため非収録</t>
  </si>
  <si>
    <t xml:space="preserve">サマリー(2026/6末): CASBEE不動産29物件(S19/A10)・BELS4(★4×1/★3×2/★2×1)・LEED1。芝二丁目・浜離宮は事務所/住宅別認証を同一物件に複数行収録。検算一致</t>
  </si>
  <si>
    <t xml:space="preserve">認証保有8/10物件(底地ラフォーレ原宿除く・取得価格ベース93.8%)。DBJは「国内トップクラス」表記=最高ランク★5。検算一致(CASBEE7+DBJ1)</t>
  </si>
  <si>
    <t xml:space="preserve">サマリー(2025/12): CASBEE43(S26/A16/B+1)・DBJ6・BELS5(うちZEB Oriented1/Ready1)=54件。掲載一覧はCASBEE42件(S26/A15/B+1)でサマリー43件と1件差(ページ掲載外1件は特定不能)。DBJ6・BELS5は一致</t>
  </si>
  <si>
    <t xml:space="preserve">サマリー(2026/6/4): CASBEE14(S5/A9)・BELS12・LEED1物件(認証2件)・計21物件。BELSはページ掲載11件でサマリー12件と1件差(掲載外1件は特定不能)。DBJ・WELLの取得記載なし。JHEP(二子玉川ライズAAA)は対象5分類外</t>
  </si>
  <si>
    <t xml:space="preserve">出典はサステナビリティファイナンスのインパクト・レポーティング(グリーン適格資産28物件、認証は2026/3/31時点)。適格基準(CASBEE B+以上・BELS3★以上等)未満の認証は掲載対象外の可能性あり。大井町1号・2号棟は一体建物として認証取得(注記あり)。CASBEE24(S14/A10)・DBJ7・BELS10</t>
  </si>
  <si>
    <t xml:space="preserve">サマリー(2026/4/30): CASBEE21(S12/A9)・DBJ23(★5×1/★4×6/★3×16)・BELS3(★5×1/★3×2)。掲載一覧と完全一致検算済。東京都低炭素モデルビル7物件は対象5分類外のため非収録。秋葉原UDXは優先出資証券のためDB上の名寄せ確認要</t>
  </si>
  <si>
    <t xml:space="preserve">サマリー(2024/11末): DBJ9件(★4×1/★3×6/★2×2、物件別ランクはレポート上画像のみで判別不能のためランク欄空欄・内訳は本注記に記載)・CASBEE不動産23件(S9/A14)・BELS2件(★2×2)。SMBCサステイナブルビルディング評価(HF桜通1件)は対象5分類外。栄センタービルは事務所部分の認証。HF名駅北は東棟・西棟一体</t>
  </si>
  <si>
    <t xml:space="preserve">サマリー(2026/4/30): CASBEE不動産103(S35/A67/B+1)・LEED2(Gold)・BELS10(★5×9/★2×1)。掲載一覧のカウント検算はDB統合時に実施。BELS★5×9はZEH物件と同一(積水ハウスZEH、住戸単位)。Fitwel Built認証(アイビーオンボーレン★)は対象5分類外。CASBEEウェルネスオフィス(本町南A)はCASBEEとして収録</t>
  </si>
  <si>
    <r>
      <rPr>
        <sz val="10"/>
        <color rgb="FF0000FF"/>
        <rFont val="Arial"/>
        <family val="0"/>
        <charset val="1"/>
      </rPr>
      <t xml:space="preserve">19</t>
    </r>
    <r>
      <rPr>
        <sz val="10"/>
        <color rgb="FF0000FF"/>
        <rFont val="Noto Sans CJK SC"/>
        <family val="2"/>
      </rPr>
      <t xml:space="preserve">物件で認証取得</t>
    </r>
    <r>
      <rPr>
        <sz val="10"/>
        <color rgb="FF0000FF"/>
        <rFont val="Arial"/>
        <family val="0"/>
        <charset val="1"/>
      </rPr>
      <t xml:space="preserve">(</t>
    </r>
    <r>
      <rPr>
        <sz val="10"/>
        <color rgb="FF0000FF"/>
        <rFont val="Noto Sans CJK SC"/>
        <family val="2"/>
      </rPr>
      <t xml:space="preserve">底地フレスポ稲毛除き物件数・面積とも</t>
    </r>
    <r>
      <rPr>
        <sz val="10"/>
        <color rgb="FF0000FF"/>
        <rFont val="Arial"/>
        <family val="0"/>
        <charset val="1"/>
      </rPr>
      <t xml:space="preserve">100%)</t>
    </r>
    <r>
      <rPr>
        <sz val="10"/>
        <color rgb="FF0000FF"/>
        <rFont val="Noto Sans CJK SC"/>
        <family val="2"/>
      </rPr>
      <t xml:space="preserve">。</t>
    </r>
    <r>
      <rPr>
        <sz val="10"/>
        <color rgb="FF0000FF"/>
        <rFont val="Arial"/>
        <family val="0"/>
        <charset val="1"/>
      </rPr>
      <t xml:space="preserve">DBJ</t>
    </r>
    <r>
      <rPr>
        <sz val="10"/>
        <color rgb="FF0000FF"/>
        <rFont val="Noto Sans CJK SC"/>
        <family val="2"/>
      </rPr>
      <t xml:space="preserve">は評価語表記を★数に換算</t>
    </r>
    <r>
      <rPr>
        <sz val="10"/>
        <color rgb="FF0000FF"/>
        <rFont val="Arial"/>
        <family val="0"/>
        <charset val="1"/>
      </rPr>
      <t xml:space="preserve">(</t>
    </r>
    <r>
      <rPr>
        <sz val="10"/>
        <color rgb="FF0000FF"/>
        <rFont val="Noto Sans CJK SC"/>
        <family val="2"/>
      </rPr>
      <t xml:space="preserve">凡例</t>
    </r>
    <r>
      <rPr>
        <sz val="10"/>
        <color rgb="FF0000FF"/>
        <rFont val="Arial"/>
        <family val="0"/>
        <charset val="1"/>
      </rPr>
      <t xml:space="preserve">: </t>
    </r>
    <r>
      <rPr>
        <sz val="10"/>
        <color rgb="FF0000FF"/>
        <rFont val="Noto Sans CJK SC"/>
        <family val="2"/>
      </rPr>
      <t xml:space="preserve">国内トップクラス★</t>
    </r>
    <r>
      <rPr>
        <sz val="10"/>
        <color rgb="FF0000FF"/>
        <rFont val="Arial"/>
        <family val="0"/>
        <charset val="1"/>
      </rPr>
      <t xml:space="preserve">5/</t>
    </r>
    <r>
      <rPr>
        <sz val="10"/>
        <color rgb="FF0000FF"/>
        <rFont val="Noto Sans CJK SC"/>
        <family val="2"/>
      </rPr>
      <t xml:space="preserve">極めて優れた★</t>
    </r>
    <r>
      <rPr>
        <sz val="10"/>
        <color rgb="FF0000FF"/>
        <rFont val="Arial"/>
        <family val="0"/>
        <charset val="1"/>
      </rPr>
      <t xml:space="preserve">4/</t>
    </r>
    <r>
      <rPr>
        <sz val="10"/>
        <color rgb="FF0000FF"/>
        <rFont val="Noto Sans CJK SC"/>
        <family val="2"/>
      </rPr>
      <t xml:space="preserve">非常に優れた★</t>
    </r>
    <r>
      <rPr>
        <sz val="10"/>
        <color rgb="FF0000FF"/>
        <rFont val="Arial"/>
        <family val="0"/>
        <charset val="1"/>
      </rPr>
      <t xml:space="preserve">3/</t>
    </r>
    <r>
      <rPr>
        <sz val="10"/>
        <color rgb="FF0000FF"/>
        <rFont val="Noto Sans CJK SC"/>
        <family val="2"/>
      </rPr>
      <t xml:space="preserve">優れた★</t>
    </r>
    <r>
      <rPr>
        <sz val="10"/>
        <color rgb="FF0000FF"/>
        <rFont val="Arial"/>
        <family val="0"/>
        <charset val="1"/>
      </rPr>
      <t xml:space="preserve">2)</t>
    </r>
    <r>
      <rPr>
        <sz val="10"/>
        <color rgb="FF0000FF"/>
        <rFont val="Noto Sans CJK SC"/>
        <family val="2"/>
      </rPr>
      <t xml:space="preserve">。紀尾井町・渋谷フラッグは事務所</t>
    </r>
    <r>
      <rPr>
        <sz val="10"/>
        <color rgb="FF0000FF"/>
        <rFont val="Arial"/>
        <family val="0"/>
        <charset val="1"/>
      </rPr>
      <t xml:space="preserve">/</t>
    </r>
    <r>
      <rPr>
        <sz val="10"/>
        <color rgb="FF0000FF"/>
        <rFont val="Noto Sans CJK SC"/>
        <family val="2"/>
      </rPr>
      <t xml:space="preserve">住宅・店舗別認証を同一物件に</t>
    </r>
    <r>
      <rPr>
        <sz val="10"/>
        <color rgb="FF0000FF"/>
        <rFont val="Arial"/>
        <family val="0"/>
        <charset val="1"/>
      </rPr>
      <t xml:space="preserve">2</t>
    </r>
    <r>
      <rPr>
        <sz val="10"/>
        <color rgb="FF0000FF"/>
        <rFont val="Noto Sans CJK SC"/>
        <family val="2"/>
      </rPr>
      <t xml:space="preserve">行収録。東京都建築物省エネルギー性能評価書</t>
    </r>
    <r>
      <rPr>
        <sz val="10"/>
        <color rgb="FF0000FF"/>
        <rFont val="Arial"/>
        <family val="0"/>
        <charset val="1"/>
      </rPr>
      <t xml:space="preserve">(</t>
    </r>
    <r>
      <rPr>
        <sz val="10"/>
        <color rgb="FF0000FF"/>
        <rFont val="Noto Sans CJK SC"/>
        <family val="2"/>
      </rPr>
      <t xml:space="preserve">神谷町・京橋トラストタワー</t>
    </r>
    <r>
      <rPr>
        <sz val="10"/>
        <color rgb="FF0000FF"/>
        <rFont val="Arial"/>
        <family val="0"/>
        <charset val="1"/>
      </rPr>
      <t xml:space="preserve">)</t>
    </r>
    <r>
      <rPr>
        <sz val="10"/>
        <color rgb="FF0000FF"/>
        <rFont val="Noto Sans CJK SC"/>
        <family val="2"/>
      </rPr>
      <t xml:space="preserve">は対象</t>
    </r>
    <r>
      <rPr>
        <sz val="10"/>
        <color rgb="FF0000FF"/>
        <rFont val="Arial"/>
        <family val="0"/>
        <charset val="1"/>
      </rPr>
      <t xml:space="preserve">5</t>
    </r>
    <r>
      <rPr>
        <sz val="10"/>
        <color rgb="FF0000FF"/>
        <rFont val="Noto Sans CJK SC"/>
        <family val="2"/>
      </rPr>
      <t xml:space="preserve">分類外</t>
    </r>
  </si>
  <si>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月期決算説明資料にポートフォリオ環境認証取得割合</t>
    </r>
    <r>
      <rPr>
        <sz val="10"/>
        <color rgb="FF0000FF"/>
        <rFont val="Arial"/>
        <family val="0"/>
        <charset val="1"/>
      </rPr>
      <t xml:space="preserve">47.6%</t>
    </r>
    <r>
      <rPr>
        <sz val="10"/>
        <color rgb="FF0000FF"/>
        <rFont val="Noto Sans CJK SC"/>
        <family val="2"/>
      </rPr>
      <t xml:space="preserve">と記載</t>
    </r>
    <r>
      <rPr>
        <sz val="10"/>
        <color rgb="FF0000FF"/>
        <rFont val="Arial"/>
        <family val="0"/>
        <charset val="1"/>
      </rPr>
      <t xml:space="preserve">(</t>
    </r>
    <r>
      <rPr>
        <sz val="10"/>
        <color rgb="FF0000FF"/>
        <rFont val="Noto Sans CJK SC"/>
        <family val="2"/>
      </rPr>
      <t xml:space="preserve">算定基準・対象物件の内訳は同資料上画像掲載で特定不能</t>
    </r>
    <r>
      <rPr>
        <sz val="10"/>
        <color rgb="FF0000FF"/>
        <rFont val="Arial"/>
        <family val="0"/>
        <charset val="1"/>
      </rPr>
      <t xml:space="preserve">)</t>
    </r>
    <r>
      <rPr>
        <sz val="10"/>
        <color rgb="FF0000FF"/>
        <rFont val="Noto Sans CJK SC"/>
        <family val="2"/>
      </rPr>
      <t xml:space="preserve">。物件別に特定できたのは</t>
    </r>
    <r>
      <rPr>
        <sz val="10"/>
        <color rgb="FF0000FF"/>
        <rFont val="Arial"/>
        <family val="0"/>
        <charset val="1"/>
      </rPr>
      <t xml:space="preserve">2025/3/31</t>
    </r>
    <r>
      <rPr>
        <sz val="10"/>
        <color rgb="FF0000FF"/>
        <rFont val="Noto Sans CJK SC"/>
        <family val="2"/>
      </rPr>
      <t xml:space="preserve">取得の</t>
    </r>
    <r>
      <rPr>
        <sz val="10"/>
        <color rgb="FF0000FF"/>
        <rFont val="Arial"/>
        <family val="0"/>
        <charset val="1"/>
      </rPr>
      <t xml:space="preserve">DBJ4</t>
    </r>
    <r>
      <rPr>
        <sz val="10"/>
        <color rgb="FF0000FF"/>
        <rFont val="Noto Sans CJK SC"/>
        <family val="2"/>
      </rPr>
      <t xml:space="preserve">物件</t>
    </r>
    <r>
      <rPr>
        <sz val="10"/>
        <color rgb="FF0000FF"/>
        <rFont val="Arial"/>
        <family val="0"/>
        <charset val="1"/>
      </rPr>
      <t xml:space="preserve">(★</t>
    </r>
    <r>
      <rPr>
        <sz val="10"/>
        <color rgb="FF0000FF"/>
        <rFont val="Noto Sans CJK SC"/>
        <family val="2"/>
      </rPr>
      <t xml:space="preserve">数はプレス上特定不能のためランク空欄</t>
    </r>
    <r>
      <rPr>
        <sz val="10"/>
        <color rgb="FF0000FF"/>
        <rFont val="Arial"/>
        <family val="0"/>
        <charset val="1"/>
      </rPr>
      <t xml:space="preserve">)</t>
    </r>
    <r>
      <rPr>
        <sz val="10"/>
        <color rgb="FF0000FF"/>
        <rFont val="Noto Sans CJK SC"/>
        <family val="2"/>
      </rPr>
      <t xml:space="preserve">。他の認証物件が存在する可能性はあるが開示資料から特定不能</t>
    </r>
  </si>
  <si>
    <t xml:space="preserve">サマリー(2026/6/30): CASBEE不動産167(S49/A115/B+5)・CASBEE建築A1・ウェルネスA1・BELS10・DBJ(★4×13/★3×45/★2×4)・ResReal4。物件別一覧は2026/4/30時点で時点差あり。ResReal(不動産レジリエンス認証4件)は対象5分類外のため非収録。ケーズデンキ青森本店はCASBEE不動産S/A併記(棟別評価)のため1行でランクS/A表記</t>
  </si>
  <si>
    <t xml:space="preserve">戦略ポジション</t>
  </si>
  <si>
    <t xml:space="preserve">戦略の軸</t>
  </si>
  <si>
    <t xml:space="preserve">モデルの構造</t>
  </si>
  <si>
    <t xml:space="preserve">主要リスク</t>
  </si>
  <si>
    <r>
      <rPr>
        <b val="true"/>
        <sz val="10"/>
        <rFont val="Arial"/>
        <family val="0"/>
        <charset val="1"/>
      </rPr>
      <t xml:space="preserve">ESG</t>
    </r>
    <r>
      <rPr>
        <b val="true"/>
        <sz val="10"/>
        <rFont val="Noto Sans CJK SC"/>
        <family val="2"/>
      </rPr>
      <t xml:space="preserve">・管理の特徴</t>
    </r>
  </si>
  <si>
    <t xml:space="preserve">物件数</t>
  </si>
  <si>
    <t xml:space="preserve">資産規模(兆円・鑑定評価額ベース)</t>
  </si>
  <si>
    <t xml:space="preserve">1物件平均(百万円・鑑定評価額ベース)</t>
  </si>
  <si>
    <t xml:space="preserve">上位5物件集中度(%・鑑定評価額ベース)</t>
  </si>
  <si>
    <t xml:space="preserve">粗利回り中央値(%・鑑定評価額ベース)</t>
  </si>
  <si>
    <t xml:space="preserve">築年中央値</t>
  </si>
  <si>
    <t xml:space="preserve">稼働率中央値(%)</t>
  </si>
  <si>
    <t xml:space="preserve">賃貸面積中央値(㎡)</t>
  </si>
  <si>
    <t xml:space="preserve">東京圏比率(%)</t>
  </si>
  <si>
    <t xml:space="preserve">都心5区比率(%)</t>
  </si>
  <si>
    <t xml:space="preserve">オフィス比率(%)</t>
  </si>
  <si>
    <t xml:space="preserve">用途構成</t>
  </si>
  <si>
    <t xml:space="preserve">エリア構成</t>
  </si>
  <si>
    <t xml:space="preserve">認証保有率(%)</t>
  </si>
  <si>
    <t xml:space="preserve">資産規模の算定物件数</t>
  </si>
  <si>
    <t xml:space="preserve">取得価格の開示率(%)</t>
  </si>
  <si>
    <t xml:space="preserve">参考:取得価格合計(兆円)</t>
  </si>
  <si>
    <t xml:space="preserve">粗利回りの算定物件数</t>
  </si>
  <si>
    <t xml:space="preserve">稼働率の算定物件数</t>
  </si>
  <si>
    <t xml:space="preserve">超大型コア・オフィス特化型</t>
  </si>
  <si>
    <t xml:space="preserve">規模の優位で「都心の象徴的資産」を押さえる</t>
  </si>
  <si>
    <r>
      <rPr>
        <sz val="10"/>
        <color rgb="FF0000FF"/>
        <rFont val="Arial"/>
        <family val="0"/>
        <charset val="1"/>
      </rPr>
      <t xml:space="preserve">1</t>
    </r>
    <r>
      <rPr>
        <sz val="10"/>
        <color rgb="FF0000FF"/>
        <rFont val="Noto Sans CJK SC"/>
        <family val="2"/>
      </rPr>
      <t xml:space="preserve">物件あたり平均</t>
    </r>
    <r>
      <rPr>
        <sz val="10"/>
        <color rgb="FF0000FF"/>
        <rFont val="Arial"/>
        <family val="0"/>
        <charset val="1"/>
      </rPr>
      <t xml:space="preserve">254</t>
    </r>
    <r>
      <rPr>
        <sz val="10"/>
        <color rgb="FF0000FF"/>
        <rFont val="Noto Sans CJK SC"/>
        <family val="2"/>
      </rPr>
      <t xml:space="preserve">億円（鑑定評価額ベース）は</t>
    </r>
    <r>
      <rPr>
        <sz val="10"/>
        <color rgb="FF0000FF"/>
        <rFont val="Arial"/>
        <family val="0"/>
        <charset val="1"/>
      </rPr>
      <t xml:space="preserve">MHR(460</t>
    </r>
    <r>
      <rPr>
        <sz val="10"/>
        <color rgb="FF0000FF"/>
        <rFont val="Noto Sans CJK SC"/>
        <family val="2"/>
      </rPr>
      <t xml:space="preserve">億円</t>
    </r>
    <r>
      <rPr>
        <sz val="10"/>
        <color rgb="FF0000FF"/>
        <rFont val="Arial"/>
        <family val="0"/>
        <charset val="1"/>
      </rPr>
      <t xml:space="preserve">)</t>
    </r>
    <r>
      <rPr>
        <sz val="10"/>
        <color rgb="FF0000FF"/>
        <rFont val="Noto Sans CJK SC"/>
        <family val="2"/>
      </rPr>
      <t xml:space="preserve">に次ぐ規模。三井不動産の開発物件を継続取得し、都心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44%</t>
    </r>
    <r>
      <rPr>
        <sz val="10"/>
        <color rgb="FF0000FF"/>
        <rFont val="Noto Sans CJK SC"/>
        <family val="2"/>
      </rPr>
      <t xml:space="preserve">・東京圏</t>
    </r>
    <r>
      <rPr>
        <sz val="10"/>
        <color rgb="FF0000FF"/>
        <rFont val="Arial"/>
        <family val="0"/>
        <charset val="1"/>
      </rPr>
      <t xml:space="preserve">74%</t>
    </r>
    <r>
      <rPr>
        <sz val="10"/>
        <color rgb="FF0000FF"/>
        <rFont val="Noto Sans CJK SC"/>
        <family val="2"/>
      </rPr>
      <t xml:space="preserve">に集中。オフィス</t>
    </r>
    <r>
      <rPr>
        <sz val="10"/>
        <color rgb="FF0000FF"/>
        <rFont val="Arial"/>
        <family val="0"/>
        <charset val="1"/>
      </rPr>
      <t xml:space="preserve">100%</t>
    </r>
    <r>
      <rPr>
        <sz val="10"/>
        <color rgb="FF0000FF"/>
        <rFont val="Noto Sans CJK SC"/>
        <family val="2"/>
      </rPr>
      <t xml:space="preserve">で用途分散を放棄する代わり、テナント信用力と立地で下方リスクを抑える設計。</t>
    </r>
  </si>
  <si>
    <t xml:space="preserve">オフィス市況の一方向リスクを丸ごと負う。上位5物件で32.5%を占め、大型1棟の稼働変動が全体に効く。</t>
  </si>
  <si>
    <t xml:space="preserve">認証保有率97.1%は全法人最高。ESG適格性を資金調達コストと出口価格に転嫁する戦略が最も徹底している。</t>
  </si>
  <si>
    <t xml:space="preserve">オフィス100%</t>
  </si>
  <si>
    <t xml:space="preserve">都心5区44% / 他23区19% / 他3大都市圏14%</t>
  </si>
  <si>
    <t xml:space="preserve">大型コア・オフィス特化型（全国分散併用）</t>
  </si>
  <si>
    <t xml:space="preserve">都心の質と地方中核都市の利回りを両建てする</t>
  </si>
  <si>
    <t xml:space="preserve">都心5区49%と最も都心比率が高い一方、地方圏19%を明示的に組み込む。1物件平均183億円。三菱地所の開発力を背景に、丸の内型のプライム物件と地方中核都市のランドマークを組み合わせ、キャップレート差を収益源にする。</t>
  </si>
  <si>
    <t xml:space="preserve">地方物件は流動性が低く、出口が限られる。テナント集中度の管理が生命線。</t>
  </si>
  <si>
    <t xml:space="preserve">認証91.1%。管理は三菱地所プロパティマネジメントに集約するが、物件名を非開示とする情報統制型。</t>
  </si>
  <si>
    <t xml:space="preserve">都心5区49% / 地方圏19% / 他3大都市圏14%</t>
  </si>
  <si>
    <t xml:space="preserve">少数精鋭・大型オフィス型</t>
  </si>
  <si>
    <r>
      <rPr>
        <sz val="10"/>
        <color rgb="FF0000FF"/>
        <rFont val="Arial"/>
        <family val="0"/>
        <charset val="1"/>
      </rPr>
      <t xml:space="preserve">18</t>
    </r>
    <r>
      <rPr>
        <sz val="10"/>
        <color rgb="FF0000FF"/>
        <rFont val="Noto Sans CJK SC"/>
        <family val="2"/>
      </rPr>
      <t xml:space="preserve">物件に絞り、</t>
    </r>
    <r>
      <rPr>
        <sz val="10"/>
        <color rgb="FF0000FF"/>
        <rFont val="Arial"/>
        <family val="0"/>
        <charset val="1"/>
      </rPr>
      <t xml:space="preserve">1</t>
    </r>
    <r>
      <rPr>
        <sz val="10"/>
        <color rgb="FF0000FF"/>
        <rFont val="Noto Sans CJK SC"/>
        <family val="2"/>
      </rPr>
      <t xml:space="preserve">棟あたりの質で勝負する</t>
    </r>
  </si>
  <si>
    <t xml:space="preserve">保有18物件で1物件平均158億円。上位5物件で48.9%と集中度が高い。複数スポンサー（明治安田生命・近鉄・農林中金・三菱UFJ信託）の物件供給を受ける独立系に近い構造。粗利回り4.60%（鑑定評価額ベース）はMHR(4.44%)に次ぐ16法人で2番目の低さで、価格の高い優良物件を保有していることを示す。</t>
  </si>
  <si>
    <t xml:space="preserve">物件数が少なく、1棟の退去がポートフォリオ全体の稼働に直結する。スポンサー単独の開発パイプラインに依存できない。</t>
  </si>
  <si>
    <t xml:space="preserve">認証77.8%。規模の制約を質で補う典型。</t>
  </si>
  <si>
    <t xml:space="preserve">他3大都市圏33% / 都心5区22% / 他23区17%</t>
  </si>
  <si>
    <t xml:space="preserve">都心集中・中規模オフィス型</t>
  </si>
  <si>
    <t xml:space="preserve">都心5区に83%を集中させ、立地だけで選別する</t>
  </si>
  <si>
    <t xml:space="preserve">都心5区82.8%・東京圏98.3%は16法人で突出。1物件平均108億円・賃貸面積中央値3,794㎡と中規模に振り、築年中央値28.7年の既存ビルを取得してバリューアップする発想。</t>
  </si>
  <si>
    <t xml:space="preserve">築古比率が高く、修繕・設備更新の資本的支出が構造的に重い。エリア分散が事実上ないため、都心オフィス需給の変調を直撃で受ける。</t>
  </si>
  <si>
    <t xml:space="preserve">認証63.8%は都心特化型として低め。築古ストックへの認証後付けが今後の課題。</t>
  </si>
  <si>
    <t xml:space="preserve">都心5区83% / 他23区12% / 東京圏3%</t>
  </si>
  <si>
    <t xml:space="preserve">中小型ビルの再生（バリューアッド）型</t>
  </si>
  <si>
    <t xml:space="preserve">市場に埋もれた中小ビルを買い、手を入れて価値を上げる</t>
  </si>
  <si>
    <r>
      <rPr>
        <sz val="10"/>
        <color rgb="FF0000FF"/>
        <rFont val="Arial"/>
        <family val="0"/>
        <charset val="1"/>
      </rPr>
      <t xml:space="preserve">87</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33</t>
    </r>
    <r>
      <rPr>
        <sz val="10"/>
        <color rgb="FF0000FF"/>
        <rFont val="Noto Sans CJK SC"/>
        <family val="2"/>
      </rPr>
      <t xml:space="preserve">億円・賃貸面積中央値</t>
    </r>
    <r>
      <rPr>
        <sz val="10"/>
        <color rgb="FF0000FF"/>
        <rFont val="Arial"/>
        <family val="0"/>
        <charset val="1"/>
      </rPr>
      <t xml:space="preserve">2,765</t>
    </r>
    <r>
      <rPr>
        <sz val="10"/>
        <color rgb="FF0000FF"/>
        <rFont val="Noto Sans CJK SC"/>
        <family val="2"/>
      </rPr>
      <t xml:space="preserve">㎡と小型の部類（</t>
    </r>
    <r>
      <rPr>
        <sz val="10"/>
        <color rgb="FF0000FF"/>
        <rFont val="Arial"/>
        <family val="0"/>
        <charset val="1"/>
      </rPr>
      <t xml:space="preserve">HFR 2,078</t>
    </r>
    <r>
      <rPr>
        <sz val="10"/>
        <color rgb="FF0000FF"/>
        <rFont val="Noto Sans CJK SC"/>
        <family val="2"/>
      </rPr>
      <t xml:space="preserve">㎡・</t>
    </r>
    <r>
      <rPr>
        <sz val="10"/>
        <color rgb="FF0000FF"/>
        <rFont val="Arial"/>
        <family val="0"/>
        <charset val="1"/>
      </rPr>
      <t xml:space="preserve">SHR 2,306</t>
    </r>
    <r>
      <rPr>
        <sz val="10"/>
        <color rgb="FF0000FF"/>
        <rFont val="Noto Sans CJK SC"/>
        <family val="2"/>
      </rPr>
      <t xml:space="preserve">㎡に次ぐ小ささ）。都心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41%</t>
    </r>
    <r>
      <rPr>
        <sz val="10"/>
        <color rgb="FF0000FF"/>
        <rFont val="Noto Sans CJK SC"/>
        <family val="2"/>
      </rPr>
      <t xml:space="preserve">だが他</t>
    </r>
    <r>
      <rPr>
        <sz val="10"/>
        <color rgb="FF0000FF"/>
        <rFont val="Arial"/>
        <family val="0"/>
        <charset val="1"/>
      </rPr>
      <t xml:space="preserve">23</t>
    </r>
    <r>
      <rPr>
        <sz val="10"/>
        <color rgb="FF0000FF"/>
        <rFont val="Noto Sans CJK SC"/>
        <family val="2"/>
      </rPr>
      <t xml:space="preserve">区</t>
    </r>
    <r>
      <rPr>
        <sz val="10"/>
        <color rgb="FF0000FF"/>
        <rFont val="Arial"/>
        <family val="0"/>
        <charset val="1"/>
      </rPr>
      <t xml:space="preserve">25%</t>
    </r>
    <r>
      <rPr>
        <sz val="10"/>
        <color rgb="FF0000FF"/>
        <rFont val="Noto Sans CJK SC"/>
        <family val="2"/>
      </rPr>
      <t xml:space="preserve">・地方</t>
    </r>
    <r>
      <rPr>
        <sz val="10"/>
        <color rgb="FF0000FF"/>
        <rFont val="Arial"/>
        <family val="0"/>
        <charset val="1"/>
      </rPr>
      <t xml:space="preserve">20%</t>
    </r>
    <r>
      <rPr>
        <sz val="10"/>
        <color rgb="FF0000FF"/>
        <rFont val="Noto Sans CJK SC"/>
        <family val="2"/>
      </rPr>
      <t xml:space="preserve">と広く拾う。大型プライム市場では価格競争に勝てないため、競合の少ない中小ビル市場で「心築（再生）」により利回りを作る。</t>
    </r>
  </si>
  <si>
    <t xml:space="preserve">物件数が多く1棟あたりが小さいため、管理オペレーションの効率が収益を左右する。テナントは中小企業中心で信用力が相対的に低い。</t>
  </si>
  <si>
    <t xml:space="preserve">認証21.8%は最低水準。中小ビルは認証取得の費用対効果が出にくく、ESG評価では構造的に不利。</t>
  </si>
  <si>
    <t xml:space="preserve">オフィス98% / 商業2%</t>
  </si>
  <si>
    <t xml:space="preserve">都心5区41% / 他23区25% / 他3大都市圏20%</t>
  </si>
  <si>
    <t xml:space="preserve">大型オフィス・準コア型</t>
  </si>
  <si>
    <t xml:space="preserve">東京圏の大型物件を軸に、地方中核都市で利回りを補完</t>
  </si>
  <si>
    <r>
      <rPr>
        <sz val="10"/>
        <color rgb="FF0000FF"/>
        <rFont val="Arial"/>
        <family val="0"/>
        <charset val="1"/>
      </rPr>
      <t xml:space="preserve">33</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107</t>
    </r>
    <r>
      <rPr>
        <sz val="10"/>
        <color rgb="FF0000FF"/>
        <rFont val="Noto Sans CJK SC"/>
        <family val="2"/>
      </rPr>
      <t xml:space="preserve">億円。都心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39%</t>
    </r>
    <r>
      <rPr>
        <sz val="10"/>
        <color rgb="FF0000FF"/>
        <rFont val="Noto Sans CJK SC"/>
        <family val="2"/>
      </rPr>
      <t xml:space="preserve">に対し東京圏</t>
    </r>
    <r>
      <rPr>
        <sz val="10"/>
        <color rgb="FF0000FF"/>
        <rFont val="Arial"/>
        <family val="0"/>
        <charset val="1"/>
      </rPr>
      <t xml:space="preserve">21%</t>
    </r>
    <r>
      <rPr>
        <sz val="10"/>
        <color rgb="FF0000FF"/>
        <rFont val="Noto Sans CJK SC"/>
        <family val="2"/>
      </rPr>
      <t xml:space="preserve">・地方</t>
    </r>
    <r>
      <rPr>
        <sz val="10"/>
        <color rgb="FF0000FF"/>
        <rFont val="Arial"/>
        <family val="0"/>
        <charset val="1"/>
      </rPr>
      <t xml:space="preserve">18%</t>
    </r>
    <r>
      <rPr>
        <sz val="10"/>
        <color rgb="FF0000FF"/>
        <rFont val="Noto Sans CJK SC"/>
        <family val="2"/>
      </rPr>
      <t xml:space="preserve">と分散。粗利回り</t>
    </r>
    <r>
      <rPr>
        <sz val="10"/>
        <color rgb="FF0000FF"/>
        <rFont val="Arial"/>
        <family val="0"/>
        <charset val="1"/>
      </rPr>
      <t xml:space="preserve">7.06%</t>
    </r>
    <r>
      <rPr>
        <sz val="10"/>
        <color rgb="FF0000FF"/>
        <rFont val="Noto Sans CJK SC"/>
        <family val="2"/>
      </rPr>
      <t xml:space="preserve">（鑑定評価額ベース）は</t>
    </r>
    <r>
      <rPr>
        <sz val="10"/>
        <color rgb="FF0000FF"/>
        <rFont val="Arial"/>
        <family val="0"/>
        <charset val="1"/>
      </rPr>
      <t xml:space="preserve">16</t>
    </r>
    <r>
      <rPr>
        <sz val="10"/>
        <color rgb="FF0000FF"/>
        <rFont val="Noto Sans CJK SC"/>
        <family val="2"/>
      </rPr>
      <t xml:space="preserve">法人で最高水準で、価格に対して収益の厚い物件を選好していることを示す。</t>
    </r>
  </si>
  <si>
    <t xml:space="preserve">高利回りは市場が求めたリスクプレミアムでもある。地方大型物件の出口戦略が問われる。</t>
  </si>
  <si>
    <t xml:space="preserve">認証78.8%。日鉄興和不動産系の開発物件を受け皿とする構造。</t>
  </si>
  <si>
    <t xml:space="preserve">都心5区39% / 東京圏21% / 地方圏18%</t>
  </si>
  <si>
    <t xml:space="preserve">都心プレミアム集中型（最も極端な集中戦略）</t>
  </si>
  <si>
    <t xml:space="preserve">森ビルの都心大規模再開発に100%張る</t>
  </si>
  <si>
    <r>
      <rPr>
        <sz val="10"/>
        <color rgb="FF0000FF"/>
        <rFont val="Arial"/>
        <family val="0"/>
        <charset val="1"/>
      </rPr>
      <t xml:space="preserve">11</t>
    </r>
    <r>
      <rPr>
        <sz val="10"/>
        <color rgb="FF0000FF"/>
        <rFont val="Noto Sans CJK SC"/>
        <family val="2"/>
      </rPr>
      <t xml:space="preserve">物件すべてが都心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460</t>
    </r>
    <r>
      <rPr>
        <sz val="10"/>
        <color rgb="FF0000FF"/>
        <rFont val="Noto Sans CJK SC"/>
        <family val="2"/>
      </rPr>
      <t xml:space="preserve">億円は</t>
    </r>
    <r>
      <rPr>
        <sz val="10"/>
        <color rgb="FF0000FF"/>
        <rFont val="Arial"/>
        <family val="0"/>
        <charset val="1"/>
      </rPr>
      <t xml:space="preserve">16</t>
    </r>
    <r>
      <rPr>
        <sz val="10"/>
        <color rgb="FF0000FF"/>
        <rFont val="Noto Sans CJK SC"/>
        <family val="2"/>
      </rPr>
      <t xml:space="preserve">法人で最大、上位</t>
    </r>
    <r>
      <rPr>
        <sz val="10"/>
        <color rgb="FF0000FF"/>
        <rFont val="Arial"/>
        <family val="0"/>
        <charset val="1"/>
      </rPr>
      <t xml:space="preserve">5</t>
    </r>
    <r>
      <rPr>
        <sz val="10"/>
        <color rgb="FF0000FF"/>
        <rFont val="Noto Sans CJK SC"/>
        <family val="2"/>
      </rPr>
      <t xml:space="preserve">物件で</t>
    </r>
    <r>
      <rPr>
        <sz val="10"/>
        <color rgb="FF0000FF"/>
        <rFont val="Arial"/>
        <family val="0"/>
        <charset val="1"/>
      </rPr>
      <t xml:space="preserve">79.9%</t>
    </r>
    <r>
      <rPr>
        <sz val="10"/>
        <color rgb="FF0000FF"/>
        <rFont val="Noto Sans CJK SC"/>
        <family val="2"/>
      </rPr>
      <t xml:space="preserve">を占める。六本木ヒルズ・虎ノ門ヒルズ・アーク森ビルといった街区型再開発の持分を保有し、オフィス</t>
    </r>
    <r>
      <rPr>
        <sz val="10"/>
        <color rgb="FF0000FF"/>
        <rFont val="Arial"/>
        <family val="0"/>
        <charset val="1"/>
      </rPr>
      <t xml:space="preserve">73%</t>
    </r>
    <r>
      <rPr>
        <sz val="10"/>
        <color rgb="FF0000FF"/>
        <rFont val="Noto Sans CJK SC"/>
        <family val="2"/>
      </rPr>
      <t xml:space="preserve">に住宅</t>
    </r>
    <r>
      <rPr>
        <sz val="10"/>
        <color rgb="FF0000FF"/>
        <rFont val="Arial"/>
        <family val="0"/>
        <charset val="1"/>
      </rPr>
      <t xml:space="preserve">18%</t>
    </r>
    <r>
      <rPr>
        <sz val="10"/>
        <color rgb="FF0000FF"/>
        <rFont val="Noto Sans CJK SC"/>
        <family val="2"/>
      </rPr>
      <t xml:space="preserve">・商業</t>
    </r>
    <r>
      <rPr>
        <sz val="10"/>
        <color rgb="FF0000FF"/>
        <rFont val="Arial"/>
        <family val="0"/>
        <charset val="1"/>
      </rPr>
      <t xml:space="preserve">9%</t>
    </r>
    <r>
      <rPr>
        <sz val="10"/>
        <color rgb="FF0000FF"/>
        <rFont val="Noto Sans CJK SC"/>
        <family val="2"/>
      </rPr>
      <t xml:space="preserve">を混ぜた複合用途で単一用途リスクを緩和。</t>
    </r>
  </si>
  <si>
    <t xml:space="preserve">集中度79.9%は16法人で最高。1物件の稼働・賃料改定が分配金に直結する。全物件が都心5区かつ森ビルの開発物件であり、単一デベロッパーへの依存度が最も高い部類。</t>
  </si>
  <si>
    <t xml:space="preserve">粗利回り4.44%（鑑定評価額ベース）は最低水準。市場が最も低いキャップレートで評価している＝資産価値が最も高く評価されている裏返し。</t>
  </si>
  <si>
    <t xml:space="preserve">オフィス73% / 住宅18% / 商業9%</t>
  </si>
  <si>
    <t xml:space="preserve">都心5区100%</t>
  </si>
  <si>
    <t xml:space="preserve">オフィス＋商業のバランス型</t>
  </si>
  <si>
    <t xml:space="preserve">用途と地域の二軸で分散し、変動を平準化する</t>
  </si>
  <si>
    <t xml:space="preserve">オフィス75%・商業22%。都心5区45%に東京圏21%を組み合わせ、上位5物件の集中度30.8%は低位。1物件平均100億円。東京建物の開発物件を軸にしつつ、特定用途・特定物件への依存を意図的に避けた設計。</t>
  </si>
  <si>
    <t xml:space="preserve">分散は変動を抑える一方で突出した成長も生みにくい。商業施設は個別のテナント業績に業績が連動する。</t>
  </si>
  <si>
    <t xml:space="preserve">築年中央値30.1年と築古。認証71.6%。計画修繕の巧拙が長期のNOIを決める帯にある。</t>
  </si>
  <si>
    <t xml:space="preserve">オフィス75% / 商業22% / ホテル3%</t>
  </si>
  <si>
    <t xml:space="preserve">都心5区45% / 東京圏21% / 他23区12%</t>
  </si>
  <si>
    <t xml:space="preserve">沿線集中・複合用途型</t>
  </si>
  <si>
    <t xml:space="preserve">東急沿線という「面」に投資し、街の成長を取り込む</t>
  </si>
  <si>
    <r>
      <rPr>
        <sz val="10"/>
        <color rgb="FF0000FF"/>
        <rFont val="Arial"/>
        <family val="0"/>
        <charset val="1"/>
      </rPr>
      <t xml:space="preserve">28</t>
    </r>
    <r>
      <rPr>
        <sz val="10"/>
        <color rgb="FF0000FF"/>
        <rFont val="Noto Sans CJK SC"/>
        <family val="2"/>
      </rPr>
      <t xml:space="preserve">物件すべてが東京圏、都心</t>
    </r>
    <r>
      <rPr>
        <sz val="10"/>
        <color rgb="FF0000FF"/>
        <rFont val="Arial"/>
        <family val="0"/>
        <charset val="1"/>
      </rPr>
      <t xml:space="preserve">5</t>
    </r>
    <r>
      <rPr>
        <sz val="10"/>
        <color rgb="FF0000FF"/>
        <rFont val="Noto Sans CJK SC"/>
        <family val="2"/>
      </rPr>
      <t xml:space="preserve">区</t>
    </r>
    <r>
      <rPr>
        <sz val="10"/>
        <color rgb="FF0000FF"/>
        <rFont val="Arial"/>
        <family val="0"/>
        <charset val="1"/>
      </rPr>
      <t xml:space="preserve">71%</t>
    </r>
    <r>
      <rPr>
        <sz val="10"/>
        <color rgb="FF0000FF"/>
        <rFont val="Noto Sans CJK SC"/>
        <family val="2"/>
      </rPr>
      <t xml:space="preserve">。</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117</t>
    </r>
    <r>
      <rPr>
        <sz val="10"/>
        <color rgb="FF0000FF"/>
        <rFont val="Noto Sans CJK SC"/>
        <family val="2"/>
      </rPr>
      <t xml:space="preserve">億円。オフィス</t>
    </r>
    <r>
      <rPr>
        <sz val="10"/>
        <color rgb="FF0000FF"/>
        <rFont val="Arial"/>
        <family val="0"/>
        <charset val="1"/>
      </rPr>
      <t xml:space="preserve">64%</t>
    </r>
    <r>
      <rPr>
        <sz val="10"/>
        <color rgb="FF0000FF"/>
        <rFont val="Noto Sans CJK SC"/>
        <family val="2"/>
      </rPr>
      <t xml:space="preserve">・商業</t>
    </r>
    <r>
      <rPr>
        <sz val="10"/>
        <color rgb="FF0000FF"/>
        <rFont val="Arial"/>
        <family val="0"/>
        <charset val="1"/>
      </rPr>
      <t xml:space="preserve">21%</t>
    </r>
    <r>
      <rPr>
        <sz val="10"/>
        <color rgb="FF0000FF"/>
        <rFont val="Noto Sans CJK SC"/>
        <family val="2"/>
      </rPr>
      <t xml:space="preserve">・住宅</t>
    </r>
    <r>
      <rPr>
        <sz val="10"/>
        <color rgb="FF0000FF"/>
        <rFont val="Arial"/>
        <family val="0"/>
        <charset val="1"/>
      </rPr>
      <t xml:space="preserve">11%</t>
    </r>
    <r>
      <rPr>
        <sz val="10"/>
        <color rgb="FF0000FF"/>
        <rFont val="Noto Sans CJK SC"/>
        <family val="2"/>
      </rPr>
      <t xml:space="preserve">の複合。渋谷・二子玉川など東急が開発を主導するエリアに集中し、街づくりの果実を賃料成長として回収する構造。</t>
    </r>
  </si>
  <si>
    <t xml:space="preserve">沿線集中は地域経済の変調に対する分散が効かない。築年中央値31.4年と築古で、更新投資の負担が重い。</t>
  </si>
  <si>
    <r>
      <rPr>
        <sz val="10"/>
        <color rgb="FF0000FF"/>
        <rFont val="Arial"/>
        <family val="0"/>
        <charset val="1"/>
      </rPr>
      <t xml:space="preserve">LEED ND</t>
    </r>
    <r>
      <rPr>
        <sz val="10"/>
        <color rgb="FF0000FF"/>
        <rFont val="Noto Sans CJK SC"/>
        <family val="2"/>
      </rPr>
      <t xml:space="preserve">（まちづくり部門）を取得した二子玉川ライズを保有。街区単位での</t>
    </r>
    <r>
      <rPr>
        <sz val="10"/>
        <color rgb="FF0000FF"/>
        <rFont val="Arial"/>
        <family val="0"/>
        <charset val="1"/>
      </rPr>
      <t xml:space="preserve">ESG</t>
    </r>
    <r>
      <rPr>
        <sz val="10"/>
        <color rgb="FF0000FF"/>
        <rFont val="Noto Sans CJK SC"/>
        <family val="2"/>
      </rPr>
      <t xml:space="preserve">評価という他法人にない資産を持つ。</t>
    </r>
  </si>
  <si>
    <t xml:space="preserve">オフィス64% / 商業21% / 住宅11%</t>
  </si>
  <si>
    <t xml:space="preserve">都心5区71% / 他23区21% / 東京圏7%</t>
  </si>
  <si>
    <t xml:space="preserve">用途分散・駅前立地特化型</t>
  </si>
  <si>
    <t xml:space="preserve">駅前という立地条件を共通項に、用途を跨いで分散する</t>
  </si>
  <si>
    <t xml:space="preserve">オフィス51%・ヘルスケア21%・商業12%。東京圏92.5%だが他23区45%が都心5区40%を上回る。1物件平均73億円。ヒューリックの「駅前・駅近」戦略を継承し、用途ではなく立地で選別する点が他法人と決定的に異なる。ヘルスケア21%は高齢化を捉えた長期契約型キャッシュフロー。</t>
  </si>
  <si>
    <t xml:space="preserve">ヘルスケアはオペレーター信用力に依存し、代替が難しい。用途分散はモニタリング負荷を高める。</t>
  </si>
  <si>
    <t xml:space="preserve">管理をヒューリックビルマネジメントに内製集約。グループ内で運営品質を統制する垂直統合型。</t>
  </si>
  <si>
    <t xml:space="preserve">オフィス51% / ヘルスケア21% / 商業12%</t>
  </si>
  <si>
    <t xml:space="preserve">他23区45% / 都心5区40% / 東京圏7%</t>
  </si>
  <si>
    <t xml:space="preserve">住宅・オフィス二本柱型</t>
  </si>
  <si>
    <t xml:space="preserve">変動の大きいオフィスを、安定的な住宅で中和する</t>
  </si>
  <si>
    <t xml:space="preserve">住宅58%・オフィス40%。都心5区56.5%と都心比率は高い。1物件平均55億円と中規模。オフィスの景気連動性を、賃料変動の小さい都心住宅で打ち消すポートフォリオ設計。</t>
  </si>
  <si>
    <t xml:space="preserve">住宅は個別の賃料上昇余地が限られ、成長エンジンにはなりにくい。稼働率中央値99.2%と既に高位で、稼働改善の余地が乏しい。</t>
  </si>
  <si>
    <t xml:space="preserve">認証71.0%。住宅系でのDBJ認証取得（23件）を積極化しており、オフィス偏重になりがちな認証取得を住宅にも広げている点が特徴。</t>
  </si>
  <si>
    <t xml:space="preserve">住宅58% / オフィス40% / その他2%</t>
  </si>
  <si>
    <t xml:space="preserve">都心5区56% / 他23区31% / 他3大都市圏8%</t>
  </si>
  <si>
    <t xml:space="preserve">小口分散・住宅主体型</t>
  </si>
  <si>
    <t xml:space="preserve">小さく多く持ち、1棟の失敗が効かない構造をつくる</t>
  </si>
  <si>
    <r>
      <rPr>
        <sz val="10"/>
        <color rgb="FF0000FF"/>
        <rFont val="Arial"/>
        <family val="0"/>
        <charset val="1"/>
      </rPr>
      <t xml:space="preserve">136</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24</t>
    </r>
    <r>
      <rPr>
        <sz val="10"/>
        <color rgb="FF0000FF"/>
        <rFont val="Noto Sans CJK SC"/>
        <family val="2"/>
      </rPr>
      <t xml:space="preserve">億円は</t>
    </r>
    <r>
      <rPr>
        <sz val="10"/>
        <color rgb="FF0000FF"/>
        <rFont val="Arial"/>
        <family val="0"/>
        <charset val="1"/>
      </rPr>
      <t xml:space="preserve">16</t>
    </r>
    <r>
      <rPr>
        <sz val="10"/>
        <color rgb="FF0000FF"/>
        <rFont val="Noto Sans CJK SC"/>
        <family val="2"/>
      </rPr>
      <t xml:space="preserve">法人で最小。上位</t>
    </r>
    <r>
      <rPr>
        <sz val="10"/>
        <color rgb="FF0000FF"/>
        <rFont val="Arial"/>
        <family val="0"/>
        <charset val="1"/>
      </rPr>
      <t xml:space="preserve">5</t>
    </r>
    <r>
      <rPr>
        <sz val="10"/>
        <color rgb="FF0000FF"/>
        <rFont val="Noto Sans CJK SC"/>
        <family val="2"/>
      </rPr>
      <t xml:space="preserve">物件の集中度</t>
    </r>
    <r>
      <rPr>
        <sz val="10"/>
        <color rgb="FF0000FF"/>
        <rFont val="Arial"/>
        <family val="0"/>
        <charset val="1"/>
      </rPr>
      <t xml:space="preserve">11.9%</t>
    </r>
    <r>
      <rPr>
        <sz val="10"/>
        <color rgb="FF0000FF"/>
        <rFont val="Noto Sans CJK SC"/>
        <family val="2"/>
      </rPr>
      <t xml:space="preserve">も最小で、極端な分散型。住宅</t>
    </r>
    <r>
      <rPr>
        <sz val="10"/>
        <color rgb="FF0000FF"/>
        <rFont val="Arial"/>
        <family val="0"/>
        <charset val="1"/>
      </rPr>
      <t xml:space="preserve">66%</t>
    </r>
    <r>
      <rPr>
        <sz val="10"/>
        <color rgb="FF0000FF"/>
        <rFont val="Noto Sans CJK SC"/>
        <family val="2"/>
      </rPr>
      <t xml:space="preserve">・オフィス</t>
    </r>
    <r>
      <rPr>
        <sz val="10"/>
        <color rgb="FF0000FF"/>
        <rFont val="Arial"/>
        <family val="0"/>
        <charset val="1"/>
      </rPr>
      <t xml:space="preserve">34%</t>
    </r>
    <r>
      <rPr>
        <sz val="10"/>
        <color rgb="FF0000FF"/>
        <rFont val="Noto Sans CJK SC"/>
        <family val="2"/>
      </rPr>
      <t xml:space="preserve">、他</t>
    </r>
    <r>
      <rPr>
        <sz val="10"/>
        <color rgb="FF0000FF"/>
        <rFont val="Arial"/>
        <family val="0"/>
        <charset val="1"/>
      </rPr>
      <t xml:space="preserve">23</t>
    </r>
    <r>
      <rPr>
        <sz val="10"/>
        <color rgb="FF0000FF"/>
        <rFont val="Noto Sans CJK SC"/>
        <family val="2"/>
      </rPr>
      <t xml:space="preserve">区</t>
    </r>
    <r>
      <rPr>
        <sz val="10"/>
        <color rgb="FF0000FF"/>
        <rFont val="Arial"/>
        <family val="0"/>
        <charset val="1"/>
      </rPr>
      <t xml:space="preserve">38%</t>
    </r>
    <r>
      <rPr>
        <sz val="10"/>
        <color rgb="FF0000FF"/>
        <rFont val="Noto Sans CJK SC"/>
        <family val="2"/>
      </rPr>
      <t xml:space="preserve">と都心外の実需エリアが中心。</t>
    </r>
  </si>
  <si>
    <r>
      <rPr>
        <sz val="10"/>
        <color rgb="FF0000FF"/>
        <rFont val="Arial"/>
        <family val="0"/>
        <charset val="1"/>
      </rPr>
      <t xml:space="preserve">1</t>
    </r>
    <r>
      <rPr>
        <sz val="10"/>
        <color rgb="FF0000FF"/>
        <rFont val="Noto Sans CJK SC"/>
        <family val="2"/>
      </rPr>
      <t xml:space="preserve">棟あたりが小さいため管理コストの比率が上がりやすい。物件数の多さは運営負荷とデータ管理の難易度を高める。</t>
    </r>
  </si>
  <si>
    <t xml:space="preserve">認証22.8%と低位。小規模物件は認証取得の採算が合わず、ESG面では構造的な制約を抱える。</t>
  </si>
  <si>
    <t xml:space="preserve">住宅66% / オフィス34%</t>
  </si>
  <si>
    <t xml:space="preserve">他23区38% / 都心5区23% / 他3大都市圏15%</t>
  </si>
  <si>
    <t xml:space="preserve">住宅特化・スポンサー開発直結型</t>
  </si>
  <si>
    <t xml:space="preserve">積水ハウスの開発供給を受け皿として安定成長する</t>
  </si>
  <si>
    <t xml:space="preserve">住宅96%。他23区46%・都心5区18%と、都心よりも実需の厚いエリアに展開。1物件平均48億円。築年中央値16.8年と16法人で最も築浅で、スポンサーの新築供給を継続的に取得している証左。米国物件も保有し地理分散を試行。</t>
  </si>
  <si>
    <t xml:space="preserve">稼働率中央値96.4%は16法人で最低。住宅は入退去が常態で、稼働の底上げ余地が最大の改善テーマ。</t>
  </si>
  <si>
    <t xml:space="preserve">認証81.2%と住宅系では突出。CASBEE不動産103件・BELS★5×9件で、ZEH水準の新築供給がそのまま認証率に直結している。</t>
  </si>
  <si>
    <t xml:space="preserve">住宅96% / オフィス4%</t>
  </si>
  <si>
    <t xml:space="preserve">他23区46% / 都心5区18% / 東京圏14%</t>
  </si>
  <si>
    <t xml:space="preserve">大型・複合（オフィス＋ホテル）型</t>
  </si>
  <si>
    <t xml:space="preserve">オフィスの安定とホテルの変動を意図的に組み合わせる</t>
  </si>
  <si>
    <r>
      <rPr>
        <sz val="10"/>
        <color rgb="FF0000FF"/>
        <rFont val="Arial"/>
        <family val="0"/>
        <charset val="1"/>
      </rPr>
      <t xml:space="preserve">20</t>
    </r>
    <r>
      <rPr>
        <sz val="10"/>
        <color rgb="FF0000FF"/>
        <rFont val="Noto Sans CJK SC"/>
        <family val="2"/>
      </rPr>
      <t xml:space="preserve">物件・</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268</t>
    </r>
    <r>
      <rPr>
        <sz val="10"/>
        <color rgb="FF0000FF"/>
        <rFont val="Noto Sans CJK SC"/>
        <family val="2"/>
      </rPr>
      <t xml:space="preserve">億円と大型。オフィス</t>
    </r>
    <r>
      <rPr>
        <sz val="10"/>
        <color rgb="FF0000FF"/>
        <rFont val="Arial"/>
        <family val="0"/>
        <charset val="1"/>
      </rPr>
      <t xml:space="preserve">50%</t>
    </r>
    <r>
      <rPr>
        <sz val="10"/>
        <color rgb="FF0000FF"/>
        <rFont val="Noto Sans CJK SC"/>
        <family val="2"/>
      </rPr>
      <t xml:space="preserve">・ホテル</t>
    </r>
    <r>
      <rPr>
        <sz val="10"/>
        <color rgb="FF0000FF"/>
        <rFont val="Arial"/>
        <family val="0"/>
        <charset val="1"/>
      </rPr>
      <t xml:space="preserve">30%</t>
    </r>
    <r>
      <rPr>
        <sz val="10"/>
        <color rgb="FF0000FF"/>
        <rFont val="Noto Sans CJK SC"/>
        <family val="2"/>
      </rPr>
      <t xml:space="preserve">・商業</t>
    </r>
    <r>
      <rPr>
        <sz val="10"/>
        <color rgb="FF0000FF"/>
        <rFont val="Arial"/>
        <family val="0"/>
        <charset val="1"/>
      </rPr>
      <t xml:space="preserve">15%</t>
    </r>
    <r>
      <rPr>
        <sz val="10"/>
        <color rgb="FF0000FF"/>
        <rFont val="Noto Sans CJK SC"/>
        <family val="2"/>
      </rPr>
      <t xml:space="preserve">。上位</t>
    </r>
    <r>
      <rPr>
        <sz val="10"/>
        <color rgb="FF0000FF"/>
        <rFont val="Arial"/>
        <family val="0"/>
        <charset val="1"/>
      </rPr>
      <t xml:space="preserve">5</t>
    </r>
    <r>
      <rPr>
        <sz val="10"/>
        <color rgb="FF0000FF"/>
        <rFont val="Noto Sans CJK SC"/>
        <family val="2"/>
      </rPr>
      <t xml:space="preserve">物件で</t>
    </r>
    <r>
      <rPr>
        <sz val="10"/>
        <color rgb="FF0000FF"/>
        <rFont val="Arial"/>
        <family val="0"/>
        <charset val="1"/>
      </rPr>
      <t xml:space="preserve">57.3%</t>
    </r>
    <r>
      <rPr>
        <sz val="10"/>
        <color rgb="FF0000FF"/>
        <rFont val="Noto Sans CJK SC"/>
        <family val="2"/>
      </rPr>
      <t xml:space="preserve">と集中度が高い。森トラストの大型開発とホテル運営力を背景に、景気拡大局面ではホテルが伸び、後退局面ではオフィスが支える設計。</t>
    </r>
  </si>
  <si>
    <t xml:space="preserve">ホテルは変動費型で業績連動性が高く、外的ショックに脆い。集中度の高さがそれを増幅する。</t>
  </si>
  <si>
    <t xml:space="preserve">認証95.0%は最高水準。DBJ18件で、評価語（国内トップクラス等）ベースの高位認証を多数保有。</t>
  </si>
  <si>
    <t xml:space="preserve">オフィス50% / ホテル30% / 商業15%</t>
  </si>
  <si>
    <t xml:space="preserve">都心5区45% / 東京圏20% / 他3大都市圏15%</t>
  </si>
  <si>
    <t xml:space="preserve">総合型への転換途上</t>
  </si>
  <si>
    <t xml:space="preserve">オフィス単独から用途分散へ舵を切っている最中</t>
  </si>
  <si>
    <r>
      <rPr>
        <sz val="10"/>
        <color rgb="FF0000FF"/>
        <rFont val="Arial"/>
        <family val="0"/>
        <charset val="1"/>
      </rPr>
      <t xml:space="preserve">16</t>
    </r>
    <r>
      <rPr>
        <sz val="10"/>
        <color rgb="FF0000FF"/>
        <rFont val="Noto Sans CJK SC"/>
        <family val="2"/>
      </rPr>
      <t xml:space="preserve">物件・オフィス</t>
    </r>
    <r>
      <rPr>
        <sz val="10"/>
        <color rgb="FF0000FF"/>
        <rFont val="Arial"/>
        <family val="0"/>
        <charset val="1"/>
      </rPr>
      <t xml:space="preserve">56%</t>
    </r>
    <r>
      <rPr>
        <sz val="10"/>
        <color rgb="FF0000FF"/>
        <rFont val="Noto Sans CJK SC"/>
        <family val="2"/>
      </rPr>
      <t xml:space="preserve">・ホテル</t>
    </r>
    <r>
      <rPr>
        <sz val="10"/>
        <color rgb="FF0000FF"/>
        <rFont val="Arial"/>
        <family val="0"/>
        <charset val="1"/>
      </rPr>
      <t xml:space="preserve">38%</t>
    </r>
    <r>
      <rPr>
        <sz val="10"/>
        <color rgb="FF0000FF"/>
        <rFont val="Noto Sans CJK SC"/>
        <family val="2"/>
      </rPr>
      <t xml:space="preserve">・物流</t>
    </r>
    <r>
      <rPr>
        <sz val="10"/>
        <color rgb="FF0000FF"/>
        <rFont val="Arial"/>
        <family val="0"/>
        <charset val="1"/>
      </rPr>
      <t xml:space="preserve">6%</t>
    </r>
    <r>
      <rPr>
        <sz val="10"/>
        <color rgb="FF0000FF"/>
        <rFont val="Noto Sans CJK SC"/>
        <family val="2"/>
      </rPr>
      <t xml:space="preserve">。築年中央値</t>
    </r>
    <r>
      <rPr>
        <sz val="10"/>
        <color rgb="FF0000FF"/>
        <rFont val="Arial"/>
        <family val="0"/>
        <charset val="1"/>
      </rPr>
      <t xml:space="preserve">8.85</t>
    </r>
    <r>
      <rPr>
        <sz val="10"/>
        <color rgb="FF0000FF"/>
        <rFont val="Noto Sans CJK SC"/>
        <family val="2"/>
      </rPr>
      <t xml:space="preserve">年と</t>
    </r>
    <r>
      <rPr>
        <sz val="10"/>
        <color rgb="FF0000FF"/>
        <rFont val="Arial"/>
        <family val="0"/>
        <charset val="1"/>
      </rPr>
      <t xml:space="preserve">16</t>
    </r>
    <r>
      <rPr>
        <sz val="10"/>
        <color rgb="FF0000FF"/>
        <rFont val="Noto Sans CJK SC"/>
        <family val="2"/>
      </rPr>
      <t xml:space="preserve">法人で最も築浅。</t>
    </r>
    <r>
      <rPr>
        <sz val="10"/>
        <color rgb="FF0000FF"/>
        <rFont val="Arial"/>
        <family val="0"/>
        <charset val="1"/>
      </rPr>
      <t xml:space="preserve">2023</t>
    </r>
    <r>
      <rPr>
        <sz val="10"/>
        <color rgb="FF0000FF"/>
        <rFont val="Noto Sans CJK SC"/>
        <family val="2"/>
      </rPr>
      <t xml:space="preserve">年に運用ガイドラインを変更し総合型</t>
    </r>
    <r>
      <rPr>
        <sz val="10"/>
        <color rgb="FF0000FF"/>
        <rFont val="Arial"/>
        <family val="0"/>
        <charset val="1"/>
      </rPr>
      <t xml:space="preserve">REIT</t>
    </r>
    <r>
      <rPr>
        <sz val="10"/>
        <color rgb="FF0000FF"/>
        <rFont val="Noto Sans CJK SC"/>
        <family val="2"/>
      </rPr>
      <t xml:space="preserve">へ転換しており、現在のポートフォリオは移行途上の姿。</t>
    </r>
  </si>
  <si>
    <t xml:space="preserve">規模が小さく上位5物件で51.1%を占める。2026年に非公開化を目的としたTOBが実施され不成立に終わっており、資本政策の不確実性を抱える。</t>
  </si>
  <si>
    <t xml:space="preserve">認証25.0%と低位。ただし築浅比率が高く、今後の認証取得余地は大きい。</t>
  </si>
  <si>
    <t xml:space="preserve">オフィス56% / ホテル38% / 物流6%</t>
  </si>
  <si>
    <t xml:space="preserve">都心5区38% / 地方圏25% / 他3大都市圏19%</t>
  </si>
  <si>
    <t xml:space="preserve">超分散・独立系マルチアセット型</t>
  </si>
  <si>
    <t xml:space="preserve">スポンサー系列に依存せず、市場から広く買い集める</t>
  </si>
  <si>
    <r>
      <rPr>
        <sz val="10"/>
        <color rgb="FF0000FF"/>
        <rFont val="Arial"/>
        <family val="0"/>
        <charset val="1"/>
      </rPr>
      <t xml:space="preserve">343</t>
    </r>
    <r>
      <rPr>
        <sz val="10"/>
        <color rgb="FF0000FF"/>
        <rFont val="Noto Sans CJK SC"/>
        <family val="2"/>
      </rPr>
      <t xml:space="preserve">物件は</t>
    </r>
    <r>
      <rPr>
        <sz val="10"/>
        <color rgb="FF0000FF"/>
        <rFont val="Arial"/>
        <family val="0"/>
        <charset val="1"/>
      </rPr>
      <t xml:space="preserve">16</t>
    </r>
    <r>
      <rPr>
        <sz val="10"/>
        <color rgb="FF0000FF"/>
        <rFont val="Noto Sans CJK SC"/>
        <family val="2"/>
      </rPr>
      <t xml:space="preserve">法人で最多、</t>
    </r>
    <r>
      <rPr>
        <sz val="10"/>
        <color rgb="FF0000FF"/>
        <rFont val="Arial"/>
        <family val="0"/>
        <charset val="1"/>
      </rPr>
      <t xml:space="preserve">1</t>
    </r>
    <r>
      <rPr>
        <sz val="10"/>
        <color rgb="FF0000FF"/>
        <rFont val="Noto Sans CJK SC"/>
        <family val="2"/>
      </rPr>
      <t xml:space="preserve">物件平均</t>
    </r>
    <r>
      <rPr>
        <sz val="10"/>
        <color rgb="FF0000FF"/>
        <rFont val="Arial"/>
        <family val="0"/>
        <charset val="1"/>
      </rPr>
      <t xml:space="preserve">39</t>
    </r>
    <r>
      <rPr>
        <sz val="10"/>
        <color rgb="FF0000FF"/>
        <rFont val="Noto Sans CJK SC"/>
        <family val="2"/>
      </rPr>
      <t xml:space="preserve">億円・上位</t>
    </r>
    <r>
      <rPr>
        <sz val="10"/>
        <color rgb="FF0000FF"/>
        <rFont val="Arial"/>
        <family val="0"/>
        <charset val="1"/>
      </rPr>
      <t xml:space="preserve">5</t>
    </r>
    <r>
      <rPr>
        <sz val="10"/>
        <color rgb="FF0000FF"/>
        <rFont val="Noto Sans CJK SC"/>
        <family val="2"/>
      </rPr>
      <t xml:space="preserve">物件の集中度</t>
    </r>
    <r>
      <rPr>
        <sz val="10"/>
        <color rgb="FF0000FF"/>
        <rFont val="Arial"/>
        <family val="0"/>
        <charset val="1"/>
      </rPr>
      <t xml:space="preserve">9.0%</t>
    </r>
    <r>
      <rPr>
        <sz val="10"/>
        <color rgb="FF0000FF"/>
        <rFont val="Noto Sans CJK SC"/>
        <family val="2"/>
      </rPr>
      <t xml:space="preserve">は最小。住宅</t>
    </r>
    <r>
      <rPr>
        <sz val="10"/>
        <color rgb="FF0000FF"/>
        <rFont val="Arial"/>
        <family val="0"/>
        <charset val="1"/>
      </rPr>
      <t xml:space="preserve">39%</t>
    </r>
    <r>
      <rPr>
        <sz val="10"/>
        <color rgb="FF0000FF"/>
        <rFont val="Noto Sans CJK SC"/>
        <family val="2"/>
      </rPr>
      <t xml:space="preserve">・オフィス</t>
    </r>
    <r>
      <rPr>
        <sz val="10"/>
        <color rgb="FF0000FF"/>
        <rFont val="Arial"/>
        <family val="0"/>
        <charset val="1"/>
      </rPr>
      <t xml:space="preserve">25%</t>
    </r>
    <r>
      <rPr>
        <sz val="10"/>
        <color rgb="FF0000FF"/>
        <rFont val="Noto Sans CJK SC"/>
        <family val="2"/>
      </rPr>
      <t xml:space="preserve">・商業</t>
    </r>
    <r>
      <rPr>
        <sz val="10"/>
        <color rgb="FF0000FF"/>
        <rFont val="Arial"/>
        <family val="0"/>
        <charset val="1"/>
      </rPr>
      <t xml:space="preserve">17%</t>
    </r>
    <r>
      <rPr>
        <sz val="10"/>
        <color rgb="FF0000FF"/>
        <rFont val="Noto Sans CJK SC"/>
        <family val="2"/>
      </rPr>
      <t xml:space="preserve">と用途を広く分散し、東京圏</t>
    </r>
    <r>
      <rPr>
        <sz val="10"/>
        <color rgb="FF0000FF"/>
        <rFont val="Arial"/>
        <family val="0"/>
        <charset val="1"/>
      </rPr>
      <t xml:space="preserve">68%</t>
    </r>
    <r>
      <rPr>
        <sz val="10"/>
        <color rgb="FF0000FF"/>
        <rFont val="Noto Sans CJK SC"/>
        <family val="2"/>
      </rPr>
      <t xml:space="preserve">・地方圏</t>
    </r>
    <r>
      <rPr>
        <sz val="10"/>
        <color rgb="FF0000FF"/>
        <rFont val="Arial"/>
        <family val="0"/>
        <charset val="1"/>
      </rPr>
      <t xml:space="preserve">32%</t>
    </r>
    <r>
      <rPr>
        <sz val="10"/>
        <color rgb="FF0000FF"/>
        <rFont val="Noto Sans CJK SC"/>
        <family val="2"/>
      </rPr>
      <t xml:space="preserve">。特定の開発会社の供給に依存せず、市場全体を調達源とする独立系の典型。</t>
    </r>
  </si>
  <si>
    <t xml:space="preserve">物件数の多さは管理・情報開示の負荷を高める。分散は下振れを抑えるが、個別物件のバリューアップ効果は薄まる。</t>
  </si>
  <si>
    <t xml:space="preserve">管理をケネディクス・プロパティ・デザインに集約し、183棟を実名公開。16法人で最も管理体制の透明性が高い。</t>
  </si>
  <si>
    <t xml:space="preserve">住宅39% / オフィス25% / 商業17%</t>
  </si>
  <si>
    <t xml:space="preserve">東京圏68% / 地方圏32%</t>
  </si>
  <si>
    <r>
      <rPr>
        <b val="true"/>
        <sz val="10"/>
        <rFont val="Arial"/>
        <family val="0"/>
        <charset val="1"/>
      </rPr>
      <t xml:space="preserve">PM</t>
    </r>
    <r>
      <rPr>
        <b val="true"/>
        <sz val="10"/>
        <rFont val="Noto Sans CJK SC"/>
        <family val="2"/>
      </rPr>
      <t xml:space="preserve">会社</t>
    </r>
  </si>
  <si>
    <r>
      <rPr>
        <b val="true"/>
        <sz val="10"/>
        <rFont val="Arial"/>
        <family val="0"/>
        <charset val="1"/>
      </rPr>
      <t xml:space="preserve">PM</t>
    </r>
    <r>
      <rPr>
        <b val="true"/>
        <sz val="10"/>
        <rFont val="Noto Sans CJK SC"/>
        <family val="2"/>
      </rPr>
      <t xml:space="preserve">会社系列</t>
    </r>
  </si>
  <si>
    <t xml:space="preserve">スポンサー系判定</t>
  </si>
  <si>
    <t xml:space="preserve">出典資料</t>
  </si>
  <si>
    <t xml:space="preserve">記載箇所</t>
  </si>
  <si>
    <t xml:space="preserve">株式会社ベスト・プロパティ</t>
  </si>
  <si>
    <t xml:space="preserve">独立系</t>
  </si>
  <si>
    <t xml:space="preserve">第三者</t>
  </si>
  <si>
    <t xml:space="preserve">大和証券オフィス投資法人 第40期有価証券報告書</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</si>
  <si>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11</t>
    </r>
    <r>
      <rPr>
        <sz val="10"/>
        <color rgb="FF0000FF"/>
        <rFont val="Noto Sans CJK SC"/>
        <family val="2"/>
      </rPr>
      <t xml:space="preserve">月期</t>
    </r>
  </si>
  <si>
    <t xml:space="preserve">第一部 第二 1 投資資産 個別物件表</t>
  </si>
  <si>
    <t xml:space="preserve">株式会社ザイマックス</t>
  </si>
  <si>
    <t xml:space="preserve">独立系（ザイマックス）</t>
  </si>
  <si>
    <t xml:space="preserve">プロパティー・パートナーズ株式会社</t>
  </si>
  <si>
    <t xml:space="preserve">株式会社エム・エス・ビルサポート</t>
  </si>
  <si>
    <t xml:space="preserve">伊藤忠アーバンコミュニティ株式会社</t>
  </si>
  <si>
    <t xml:space="preserve">伊藤忠系</t>
  </si>
  <si>
    <t xml:space="preserve">ジョーンズラングラサール株式会社</t>
  </si>
  <si>
    <t xml:space="preserve">外資系（JLL）</t>
  </si>
  <si>
    <t xml:space="preserve">森ビル株式会社</t>
  </si>
  <si>
    <t xml:space="preserve">森ビル系（自社）</t>
  </si>
  <si>
    <t xml:space="preserve">グローバル・ワン不動産投資法人 第45期有価証券報告書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</si>
  <si>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3</t>
    </r>
    <r>
      <rPr>
        <sz val="10"/>
        <color rgb="FF0000FF"/>
        <rFont val="Noto Sans CJK SC"/>
        <family val="2"/>
      </rPr>
      <t xml:space="preserve">月期</t>
    </r>
  </si>
  <si>
    <t xml:space="preserve">三井不動産ビルマネジメント株式会社</t>
  </si>
  <si>
    <t xml:space="preserve">三井不動産系</t>
  </si>
  <si>
    <t xml:space="preserve">清水総合開発株式会社</t>
  </si>
  <si>
    <t xml:space="preserve">清水建設系</t>
  </si>
  <si>
    <t xml:space="preserve">ダイビル株式会社</t>
  </si>
  <si>
    <t xml:space="preserve">商船三井系</t>
  </si>
  <si>
    <t xml:space="preserve">明治安田ビルマネジメント株式会社</t>
  </si>
  <si>
    <t xml:space="preserve">明治安田系</t>
  </si>
  <si>
    <t xml:space="preserve">スポンサー系</t>
  </si>
  <si>
    <t xml:space="preserve">シービーアールイー株式会社</t>
  </si>
  <si>
    <t xml:space="preserve">外資系（CBRE）</t>
  </si>
  <si>
    <t xml:space="preserve">三菱地所プロパティマネジメント株式会社</t>
  </si>
  <si>
    <t xml:space="preserve">三菱地所系</t>
  </si>
  <si>
    <t xml:space="preserve">平和不動産株式会社</t>
  </si>
  <si>
    <t xml:space="preserve">平和不動産系（自社）</t>
  </si>
  <si>
    <t xml:space="preserve">平和不動産リート投資法人 有価証券報告書</t>
  </si>
  <si>
    <t xml:space="preserve">－</t>
  </si>
  <si>
    <t xml:space="preserve">記載なし・非開示</t>
  </si>
  <si>
    <t xml:space="preserve">有報上「－」と記載（PM会社を置いていない、またはマスターリース会社が兼務）有報上「－」と記載</t>
  </si>
  <si>
    <t xml:space="preserve">大星ビル管理株式会社</t>
  </si>
  <si>
    <r>
      <rPr>
        <sz val="10"/>
        <color rgb="FF0000FF"/>
        <rFont val="Arial"/>
        <family val="0"/>
        <charset val="1"/>
      </rPr>
      <t xml:space="preserve">NTT</t>
    </r>
    <r>
      <rPr>
        <sz val="10"/>
        <color rgb="FF0000FF"/>
        <rFont val="Noto Sans CJK SC"/>
        <family val="2"/>
      </rPr>
      <t xml:space="preserve">系</t>
    </r>
  </si>
  <si>
    <r>
      <rPr>
        <sz val="10"/>
        <color rgb="FF0000FF"/>
        <rFont val="Arial"/>
        <family val="0"/>
        <charset val="1"/>
      </rPr>
      <t xml:space="preserve">Apaman Property</t>
    </r>
    <r>
      <rPr>
        <sz val="10"/>
        <color rgb="FF0000FF"/>
        <rFont val="Noto Sans CJK SC"/>
        <family val="2"/>
      </rPr>
      <t xml:space="preserve">株式会社</t>
    </r>
  </si>
  <si>
    <t xml:space="preserve">アパマン系</t>
  </si>
  <si>
    <t xml:space="preserve">株式会社長谷工ライブネット</t>
  </si>
  <si>
    <t xml:space="preserve">長谷工系</t>
  </si>
  <si>
    <t xml:space="preserve">東急住宅リース株式会社</t>
  </si>
  <si>
    <t xml:space="preserve">東急不動産HD系</t>
  </si>
  <si>
    <t xml:space="preserve">株式会社ミヨシアセットマネジメント</t>
  </si>
  <si>
    <t xml:space="preserve">ヒューリック株式会社</t>
  </si>
  <si>
    <t xml:space="preserve">ヒューリック系（自社）</t>
  </si>
  <si>
    <t xml:space="preserve">ヒューリックリート投資法人 有価証券報告書</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</si>
  <si>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8</t>
    </r>
    <r>
      <rPr>
        <sz val="10"/>
        <color rgb="FF0000FF"/>
        <rFont val="Noto Sans CJK SC"/>
        <family val="2"/>
      </rPr>
      <t xml:space="preserve">月期</t>
    </r>
  </si>
  <si>
    <t xml:space="preserve">安田不動産株式会社</t>
  </si>
  <si>
    <t xml:space="preserve">安田不動産系</t>
  </si>
  <si>
    <t xml:space="preserve">株式会社第一ビルデイング</t>
  </si>
  <si>
    <t xml:space="preserve">いちご系</t>
  </si>
  <si>
    <t xml:space="preserve">いちごオフィスリート投資法人 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</si>
  <si>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4</t>
    </r>
    <r>
      <rPr>
        <sz val="10"/>
        <color rgb="FF0000FF"/>
        <rFont val="Noto Sans CJK SC"/>
        <family val="2"/>
      </rPr>
      <t xml:space="preserve">月期</t>
    </r>
  </si>
  <si>
    <t xml:space="preserve">個別物件表「ＰＭ会社」欄</t>
  </si>
  <si>
    <t xml:space="preserve">サンフロンティア不動産株式会社</t>
  </si>
  <si>
    <t xml:space="preserve">サンフロンティア系</t>
  </si>
  <si>
    <t xml:space="preserve">東京海上日動ファシリティーズ株式会社</t>
  </si>
  <si>
    <t xml:space="preserve">東京海上系</t>
  </si>
  <si>
    <t xml:space="preserve">株式会社スペーストラスト</t>
  </si>
  <si>
    <t xml:space="preserve">共同施設株式会社</t>
  </si>
  <si>
    <t xml:space="preserve">大和ハウスリアルティマネジメント株式会社</t>
  </si>
  <si>
    <t xml:space="preserve">大和ハウス系</t>
  </si>
  <si>
    <t xml:space="preserve">株式会社ザイマックス関西</t>
  </si>
  <si>
    <t xml:space="preserve">丸紅リアルエステートマネジメント株式会社</t>
  </si>
  <si>
    <t xml:space="preserve">丸紅系</t>
  </si>
  <si>
    <t xml:space="preserve">株式会社明和不動産管理</t>
  </si>
  <si>
    <t xml:space="preserve">株式会社ケン・コーポレーション</t>
  </si>
  <si>
    <t xml:space="preserve">東京キャピタルマネジメント株式会社</t>
  </si>
  <si>
    <t xml:space="preserve">株式会社ザイマックス九州</t>
  </si>
  <si>
    <t xml:space="preserve">福岡地所株式会社</t>
  </si>
  <si>
    <t xml:space="preserve">福岡地所系</t>
  </si>
  <si>
    <t xml:space="preserve">株式会社オー・エイチ・アイ</t>
  </si>
  <si>
    <t xml:space="preserve">株式会社第一ビルディング</t>
  </si>
  <si>
    <t xml:space="preserve">第一ビルディング（独立系）</t>
  </si>
  <si>
    <t xml:space="preserve">ジャパンエクセレント投資法人 有価証券報告書</t>
  </si>
  <si>
    <r>
      <rPr>
        <sz val="10"/>
        <color rgb="FF0000FF"/>
        <rFont val="Arial"/>
        <family val="0"/>
        <charset val="1"/>
      </rPr>
      <t xml:space="preserve">2025</t>
    </r>
    <r>
      <rPr>
        <sz val="10"/>
        <color rgb="FF0000FF"/>
        <rFont val="Noto Sans CJK SC"/>
        <family val="2"/>
      </rPr>
      <t xml:space="preserve">年</t>
    </r>
    <r>
      <rPr>
        <sz val="10"/>
        <color rgb="FF0000FF"/>
        <rFont val="Arial"/>
        <family val="0"/>
        <charset val="1"/>
      </rPr>
      <t xml:space="preserve">12</t>
    </r>
    <r>
      <rPr>
        <sz val="10"/>
        <color rgb="FF0000FF"/>
        <rFont val="Noto Sans CJK SC"/>
        <family val="2"/>
      </rPr>
      <t xml:space="preserve">月期</t>
    </r>
  </si>
  <si>
    <t xml:space="preserve">個別物件表「PM会社」欄</t>
  </si>
  <si>
    <t xml:space="preserve">用途別に複数社へ委託 原文「事務所：株式会社第一ビルディング 住宅：相互住宅株式会社」（用途別に複数社へ委託） ／複数社への委託</t>
  </si>
  <si>
    <t xml:space="preserve">日鉄興和不動産株式会社</t>
  </si>
  <si>
    <t xml:space="preserve">日鉄興和系（自社）</t>
  </si>
  <si>
    <t xml:space="preserve">赤坂インターシティマネジメント株式会社</t>
  </si>
  <si>
    <t xml:space="preserve">物件専属SPC</t>
  </si>
  <si>
    <t xml:space="preserve">三井不動産株式会社</t>
  </si>
  <si>
    <t xml:space="preserve">三井不動産系（自社）</t>
  </si>
  <si>
    <t xml:space="preserve"> 原文「日鉄興和不動産株式会社、他」（複数社が共同受託） ／複数社への委託</t>
  </si>
  <si>
    <t xml:space="preserve">星光ビル管理株式会社</t>
  </si>
  <si>
    <t xml:space="preserve">有報上「非開示」と記載</t>
  </si>
  <si>
    <t xml:space="preserve">相互住宅株式会社</t>
  </si>
  <si>
    <t xml:space="preserve">積水ハウス株式会社</t>
  </si>
  <si>
    <t xml:space="preserve">積水ハウス系（自社）</t>
  </si>
  <si>
    <t xml:space="preserve">株式会社ザイマックス北海道</t>
  </si>
  <si>
    <t xml:space="preserve">東京建物株式会社</t>
  </si>
  <si>
    <t xml:space="preserve">東京建物系（自社）</t>
  </si>
  <si>
    <t xml:space="preserve">日本プライムリアルティ投資法人 第48期有価証券報告書</t>
  </si>
  <si>
    <t xml:space="preserve">個別物件表「不動産管理会社」欄</t>
  </si>
  <si>
    <t xml:space="preserve">野村不動産パートナーズ株式会社</t>
  </si>
  <si>
    <t xml:space="preserve">野村不動産系</t>
  </si>
  <si>
    <t xml:space="preserve">大成建設株式会社</t>
  </si>
  <si>
    <t xml:space="preserve">複数社（共同受託）</t>
  </si>
  <si>
    <t xml:space="preserve"> 原文「大成建設株式会社、安田不動産株式会社」（複数社が共同受託） ／複数社への委託</t>
  </si>
  <si>
    <t xml:space="preserve">株式会社プライムプレイス</t>
  </si>
  <si>
    <t xml:space="preserve">ＪＬＬリテールマネジメント株式会社</t>
  </si>
  <si>
    <t xml:space="preserve">大成有楽不動産株式会社</t>
  </si>
  <si>
    <t xml:space="preserve">大成建設系</t>
  </si>
  <si>
    <t xml:space="preserve">野村不動産コマース株式会社</t>
  </si>
  <si>
    <t xml:space="preserve">株式会社大央</t>
  </si>
  <si>
    <t xml:space="preserve">ジャパンリアルエステイト投資法人 有価証券報告書</t>
  </si>
  <si>
    <t xml:space="preserve">三井物産フォーサイト株式会社</t>
  </si>
  <si>
    <t xml:space="preserve">三井物産系</t>
  </si>
  <si>
    <t xml:space="preserve">三菱地所株式会社</t>
  </si>
  <si>
    <t xml:space="preserve">三菱地所系（自社）</t>
  </si>
  <si>
    <t xml:space="preserve">ケネディクス・プロパティ・デザイン株式会社</t>
  </si>
  <si>
    <t xml:space="preserve">ケネディクス系</t>
  </si>
  <si>
    <t xml:space="preserve">三菱地所リアルエステートサービス株式会社</t>
  </si>
  <si>
    <t xml:space="preserve">清水建設株式会社</t>
  </si>
  <si>
    <t xml:space="preserve">東京オペラシティビル株式会社</t>
  </si>
  <si>
    <t xml:space="preserve">ト株式会社 / 株式会社ハーモニ</t>
  </si>
  <si>
    <t xml:space="preserve"> ／複数社への委託</t>
  </si>
  <si>
    <t xml:space="preserve">ケネディクス・オフィス投資法人 有価証券報告書</t>
  </si>
  <si>
    <t xml:space="preserve">―</t>
  </si>
  <si>
    <t xml:space="preserve">アール・エー・アセット・マネジメント株式会社</t>
  </si>
  <si>
    <r>
      <rPr>
        <sz val="10"/>
        <color rgb="FF0000FF"/>
        <rFont val="Arial"/>
        <family val="0"/>
        <charset val="1"/>
      </rPr>
      <t xml:space="preserve">NTT</t>
    </r>
    <r>
      <rPr>
        <sz val="10"/>
        <color rgb="FF0000FF"/>
        <rFont val="Noto Sans CJK SC"/>
        <family val="2"/>
      </rPr>
      <t xml:space="preserve">都市開発系</t>
    </r>
  </si>
  <si>
    <t xml:space="preserve">株式会社タイセイ・ハウジープロパティ</t>
  </si>
  <si>
    <t xml:space="preserve">東京建物不動産販売株式会社</t>
  </si>
  <si>
    <t xml:space="preserve">三井不動産レジデンシャルリース株式会社</t>
  </si>
  <si>
    <t xml:space="preserve">株式会社ケン・プロパティマネジメント</t>
  </si>
  <si>
    <t xml:space="preserve">株式会社常口アトム</t>
  </si>
  <si>
    <t xml:space="preserve">グローバルコミュニティ株式会社</t>
  </si>
  <si>
    <t xml:space="preserve">阪急阪神ビルマネジメント株式会社</t>
  </si>
  <si>
    <t xml:space="preserve">株式会社イリスケアー</t>
  </si>
  <si>
    <t xml:space="preserve">森ヒルズリート投資法人 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</si>
  <si>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1</t>
    </r>
    <r>
      <rPr>
        <sz val="10"/>
        <color rgb="FF0000FF"/>
        <rFont val="Noto Sans CJK SC"/>
        <family val="2"/>
      </rPr>
      <t xml:space="preserve">月期</t>
    </r>
  </si>
  <si>
    <t xml:space="preserve">日本ビルファンド投資法人 有価証券報告書</t>
  </si>
  <si>
    <t xml:space="preserve">個別物件表「建物管理会社」欄</t>
  </si>
  <si>
    <t xml:space="preserve">有報上「建物管理会社」として記載</t>
  </si>
  <si>
    <t xml:space="preserve">三井不動産ファシリティーズ株式会社</t>
  </si>
  <si>
    <t xml:space="preserve">グローブシップ株式会社</t>
  </si>
  <si>
    <t xml:space="preserve">日本管財株式会社</t>
  </si>
  <si>
    <t xml:space="preserve">日鉄興和不動産ファシリティーズ株式会社</t>
  </si>
  <si>
    <t xml:space="preserve">株式会社ＪＲ東日本ビルディング</t>
  </si>
  <si>
    <t xml:space="preserve">いずみビルクリエイト株式会社</t>
  </si>
  <si>
    <t xml:space="preserve">東洋ビルメンテナンス株式会社</t>
  </si>
  <si>
    <t xml:space="preserve">株式会社シミズ・ビルライフケア</t>
  </si>
  <si>
    <t xml:space="preserve">ＡＮＡスカイビルサービス株式会社</t>
  </si>
  <si>
    <t xml:space="preserve">有報上「建物管理会社」として記載 原文「ＡＮＡスカイビルサービス株式会社他」（複数社が共同受託） ／複数社への委託</t>
  </si>
  <si>
    <t xml:space="preserve">東京美装興業株式会社</t>
  </si>
  <si>
    <t xml:space="preserve">有報上「建物管理会社」として記載 原文「大成有楽不動産株式会社他」（複数社が共同受託） ／複数社への委託</t>
  </si>
  <si>
    <t xml:space="preserve">東京美装北海道株式会社</t>
  </si>
  <si>
    <t xml:space="preserve">太平ビルサービス株式会社</t>
  </si>
  <si>
    <t xml:space="preserve">東西建築サービス株式会社</t>
  </si>
  <si>
    <t xml:space="preserve">大成株式会社</t>
  </si>
  <si>
    <t xml:space="preserve">三井不動産ファシリティーズ・ウエスト株式会社</t>
  </si>
  <si>
    <t xml:space="preserve">株式会社アサヒファシリティズ</t>
  </si>
  <si>
    <t xml:space="preserve">合同産業株式会社</t>
  </si>
  <si>
    <t xml:space="preserve">株式会社レーベントラスト</t>
  </si>
  <si>
    <t xml:space="preserve">株式会社ファビルス</t>
  </si>
  <si>
    <r>
      <rPr>
        <sz val="10"/>
        <color rgb="FF0000FF"/>
        <rFont val="Arial"/>
        <family val="0"/>
        <charset val="1"/>
      </rPr>
      <t xml:space="preserve">NTT</t>
    </r>
    <r>
      <rPr>
        <sz val="10"/>
        <color rgb="FF0000FF"/>
        <rFont val="Noto Sans CJK SC"/>
        <family val="2"/>
      </rPr>
      <t xml:space="preserve">都市開発リート投資法人 有価証券報告書</t>
    </r>
  </si>
  <si>
    <t xml:space="preserve">ＮＴＴアーバンバリューサポート株式会社</t>
  </si>
  <si>
    <t xml:space="preserve">ＮＴＴ都市開発株式会社</t>
  </si>
  <si>
    <r>
      <rPr>
        <sz val="10"/>
        <color rgb="FF0000FF"/>
        <rFont val="Arial"/>
        <family val="0"/>
        <charset val="1"/>
      </rPr>
      <t xml:space="preserve">NTT</t>
    </r>
    <r>
      <rPr>
        <sz val="10"/>
        <color rgb="FF0000FF"/>
        <rFont val="Noto Sans CJK SC"/>
        <family val="2"/>
      </rPr>
      <t xml:space="preserve">都市開発系（自社）</t>
    </r>
  </si>
  <si>
    <t xml:space="preserve">スターツアメニティー株式会社</t>
  </si>
  <si>
    <t xml:space="preserve">スターツ系</t>
  </si>
  <si>
    <t xml:space="preserve">株式会社Ｓ－ＦＩＴパートナーズ</t>
  </si>
  <si>
    <t xml:space="preserve">株式会社学生情報センター</t>
  </si>
  <si>
    <t xml:space="preserve">独立系（学生住宅特化）</t>
  </si>
  <si>
    <t xml:space="preserve">株式会社Ｇｏｏｄリアルエステート</t>
  </si>
  <si>
    <t xml:space="preserve">積水ハウスシャーメゾンPM東京株式会社</t>
  </si>
  <si>
    <t xml:space="preserve">積水ハウス系</t>
  </si>
  <si>
    <t xml:space="preserve">積水ハウス・リート投資法人 有価証券報告書</t>
  </si>
  <si>
    <t xml:space="preserve">積水ハウスGMパートナーズ株式会社</t>
  </si>
  <si>
    <t xml:space="preserve">株式会社三好不動産</t>
  </si>
  <si>
    <t xml:space="preserve">積水ハウスシャーメゾンPM中部株式会社</t>
  </si>
  <si>
    <t xml:space="preserve">積水ハウスシャーメゾンPM九州株式会社</t>
  </si>
  <si>
    <t xml:space="preserve">アンド マネージメント株式会社</t>
  </si>
  <si>
    <t xml:space="preserve">積水ハウスシャーメゾンPM関西株式会社</t>
  </si>
  <si>
    <t xml:space="preserve">Holland Residential, LLC</t>
  </si>
  <si>
    <t xml:space="preserve">米国現地PM</t>
  </si>
  <si>
    <t xml:space="preserve">Roadside Realty, LLC</t>
  </si>
  <si>
    <t xml:space="preserve">株式会社ザイマックス東海</t>
  </si>
  <si>
    <t xml:space="preserve">株式会社サンケイビルマネジメント</t>
  </si>
  <si>
    <t xml:space="preserve">サンケイビル系（自社）</t>
  </si>
  <si>
    <t xml:space="preserve">サンケイリアルエステート投資法人 有価証券報告書</t>
  </si>
  <si>
    <r>
      <rPr>
        <sz val="10"/>
        <color rgb="FF0000FF"/>
        <rFont val="Arial"/>
        <family val="0"/>
        <charset val="1"/>
      </rPr>
      <t xml:space="preserve">2026</t>
    </r>
    <r>
      <rPr>
        <sz val="10"/>
        <color rgb="FF0000FF"/>
        <rFont val="Noto Sans CJK SC"/>
        <family val="2"/>
      </rPr>
      <t xml:space="preserve">年</t>
    </r>
    <r>
      <rPr>
        <sz val="10"/>
        <color rgb="FF0000FF"/>
        <rFont val="Arial"/>
        <family val="0"/>
        <charset val="1"/>
      </rPr>
      <t xml:space="preserve">2</t>
    </r>
    <r>
      <rPr>
        <sz val="10"/>
        <color rgb="FF0000FF"/>
        <rFont val="Noto Sans CJK SC"/>
        <family val="2"/>
      </rPr>
      <t xml:space="preserve">月期</t>
    </r>
  </si>
  <si>
    <t xml:space="preserve">東急プロパティマネジメント株式会社</t>
  </si>
  <si>
    <t xml:space="preserve">東急系</t>
  </si>
  <si>
    <t xml:space="preserve">東急リアル・エステート投資法人 有価証券報告書</t>
  </si>
  <si>
    <t xml:space="preserve">株式会社東急コミュニティー</t>
  </si>
  <si>
    <t xml:space="preserve">東急株式会社</t>
  </si>
  <si>
    <t xml:space="preserve">東急系（自社）</t>
  </si>
  <si>
    <t xml:space="preserve">保有物件数</t>
  </si>
  <si>
    <r>
      <rPr>
        <b val="true"/>
        <sz val="10"/>
        <rFont val="Arial"/>
        <family val="0"/>
        <charset val="1"/>
      </rPr>
      <t xml:space="preserve">PM</t>
    </r>
    <r>
      <rPr>
        <b val="true"/>
        <sz val="10"/>
        <rFont val="Noto Sans CJK SC"/>
        <family val="2"/>
      </rPr>
      <t xml:space="preserve">会社が判明した物件数</t>
    </r>
  </si>
  <si>
    <t xml:space="preserve">カバー率(%)</t>
  </si>
  <si>
    <r>
      <rPr>
        <b val="true"/>
        <sz val="10"/>
        <rFont val="Arial"/>
        <family val="0"/>
        <charset val="1"/>
      </rPr>
      <t xml:space="preserve">PM</t>
    </r>
    <r>
      <rPr>
        <b val="true"/>
        <sz val="10"/>
        <rFont val="Noto Sans CJK SC"/>
        <family val="2"/>
      </rPr>
      <t xml:space="preserve">会社数</t>
    </r>
  </si>
  <si>
    <t xml:space="preserve">最多PM会社</t>
  </si>
  <si>
    <t xml:space="preserve">最多社のシェア(%)</t>
  </si>
  <si>
    <t xml:space="preserve">スポンサー系PMの比率(%)</t>
  </si>
  <si>
    <t xml:space="preserve">取得日</t>
  </si>
  <si>
    <t xml:space="preserve">—</t>
  </si>
</sst>
</file>

<file path=xl/styles.xml><?xml version="1.0" encoding="utf-8"?>
<styleSheet xmlns="http://schemas.openxmlformats.org/spreadsheetml/2006/main">
  <numFmts count="12">
    <numFmt numFmtId="164" formatCode="General"/>
    <numFmt numFmtId="165" formatCode="yyyy/mm/dd"/>
    <numFmt numFmtId="166" formatCode="#,##0"/>
    <numFmt numFmtId="167" formatCode="General"/>
    <numFmt numFmtId="168" formatCode="0.0%"/>
    <numFmt numFmtId="169" formatCode="#,##0.00"/>
    <numFmt numFmtId="170" formatCode="yyyy\年mm\月"/>
    <numFmt numFmtId="171" formatCode="0.0"/>
    <numFmt numFmtId="172" formatCode="yyyy/mm"/>
    <numFmt numFmtId="173" formatCode="yyyy\-mm\-dd"/>
    <numFmt numFmtId="174" formatCode="0"/>
    <numFmt numFmtId="175" formatCode="0.00%"/>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Noto Sans CJK SC"/>
      <family val="2"/>
    </font>
    <font>
      <b val="true"/>
      <sz val="11"/>
      <color rgb="FF0000FF"/>
      <name val="Noto Sans CJK SC"/>
      <family val="2"/>
      <charset val="1"/>
    </font>
    <font>
      <b val="true"/>
      <sz val="10"/>
      <name val="Arial"/>
      <family val="0"/>
      <charset val="1"/>
    </font>
    <font>
      <b val="true"/>
      <sz val="10"/>
      <name val="Noto Sans CJK SC"/>
      <family val="2"/>
    </font>
    <font>
      <sz val="10"/>
      <color rgb="FF0000FF"/>
      <name val="Arial"/>
      <family val="0"/>
      <charset val="1"/>
    </font>
    <font>
      <sz val="10"/>
      <color rgb="FF0000FF"/>
      <name val="Noto Sans CJK SC"/>
      <family val="2"/>
    </font>
    <font>
      <sz val="10"/>
      <name val="Noto Sans CJK SC"/>
      <family val="2"/>
      <charset val="1"/>
    </font>
    <font>
      <sz val="10"/>
      <color rgb="FF0000FF"/>
      <name val="Noto Sans CJK SC"/>
      <family val="2"/>
      <charset val="1"/>
    </font>
    <font>
      <sz val="10"/>
      <name val="Arial"/>
      <family val="0"/>
      <charset val="1"/>
    </font>
    <font>
      <sz val="10"/>
      <name val="Noto Sans CJK SC"/>
      <family val="2"/>
    </font>
    <font>
      <b val="true"/>
      <sz val="10"/>
      <name val="Noto Sans CJK SC"/>
      <family val="2"/>
      <charset val="1"/>
    </font>
    <font>
      <b val="true"/>
      <sz val="10"/>
      <color rgb="FFFFFFFF"/>
      <name val="Noto Sans CJK SC"/>
      <family val="2"/>
      <charset val="1"/>
    </font>
    <font>
      <b val="true"/>
      <sz val="10"/>
      <color rgb="FFFFFFFF"/>
      <name val="Arial"/>
      <family val="0"/>
      <charset val="1"/>
    </font>
    <font>
      <b val="true"/>
      <sz val="10"/>
      <color rgb="FF000000"/>
      <name val="Noto Sans CJK SC"/>
      <family val="2"/>
      <charset val="1"/>
    </font>
    <font>
      <b val="true"/>
      <sz val="10"/>
      <color rgb="FFFFFFFF"/>
      <name val="Noto Sans CJK SC"/>
      <family val="2"/>
    </font>
  </fonts>
  <fills count="6">
    <fill>
      <patternFill patternType="none"/>
    </fill>
    <fill>
      <patternFill patternType="gray125"/>
    </fill>
    <fill>
      <patternFill patternType="solid">
        <fgColor rgb="FFD9E2F3"/>
        <bgColor rgb="FFCCFFFF"/>
      </patternFill>
    </fill>
    <fill>
      <patternFill patternType="solid">
        <fgColor rgb="FFFFFF00"/>
        <bgColor rgb="FFFFFF00"/>
      </patternFill>
    </fill>
    <fill>
      <patternFill patternType="solid">
        <fgColor rgb="FF1F3864"/>
        <bgColor rgb="FF333333"/>
      </patternFill>
    </fill>
    <fill>
      <patternFill patternType="solid">
        <fgColor rgb="FFFFF2CC"/>
        <bgColor rgb="FFFFFFFF"/>
      </patternFill>
    </fill>
  </fills>
  <borders count="3">
    <border diagonalUp="false" diagonalDown="false">
      <left/>
      <right/>
      <top/>
      <bottom/>
      <diagonal/>
    </border>
    <border diagonalUp="false" diagonalDown="false">
      <left/>
      <right/>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6" fillId="4"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7" fontId="13"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18"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71" fontId="13"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67" fontId="9" fillId="0" borderId="2" xfId="0" applyFont="true" applyBorder="tru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74" fontId="13" fillId="0" borderId="0" xfId="0" applyFont="true" applyBorder="false" applyAlignment="true" applyProtection="false">
      <alignment horizontal="general" vertical="bottom" textRotation="0" wrapText="false" indent="0" shrinkToFit="false"/>
      <protection locked="true" hidden="false"/>
    </xf>
    <xf numFmtId="175" fontId="13"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00"/>
  </cols>
  <sheetData>
    <row r="1" customFormat="false" ht="21" hidden="false" customHeight="true" outlineLevel="0" collapsed="false">
      <c r="B1" s="2" t="s">
        <v>0</v>
      </c>
    </row>
    <row r="3" customFormat="false" ht="15" hidden="false" customHeight="true" outlineLevel="0" collapsed="false">
      <c r="A3" s="3" t="s">
        <v>1</v>
      </c>
      <c r="B3" s="4" t="s">
        <v>2</v>
      </c>
      <c r="C3" s="5"/>
    </row>
    <row r="4" customFormat="false" ht="15" hidden="false" customHeight="true" outlineLevel="0" collapsed="false">
      <c r="A4" s="6" t="s">
        <v>3</v>
      </c>
      <c r="B4" s="7" t="s">
        <v>4</v>
      </c>
      <c r="C4" s="8" t="s">
        <v>5</v>
      </c>
    </row>
    <row r="5" customFormat="false" ht="15" hidden="false" customHeight="true" outlineLevel="0" collapsed="false">
      <c r="A5" s="9" t="s">
        <v>6</v>
      </c>
      <c r="B5" s="7" t="s">
        <v>7</v>
      </c>
      <c r="C5" s="10" t="n">
        <v>46241</v>
      </c>
    </row>
    <row r="6" customFormat="false" ht="29.25" hidden="false" customHeight="true" outlineLevel="0" collapsed="false">
      <c r="A6" s="9" t="s">
        <v>8</v>
      </c>
      <c r="B6" s="7" t="s">
        <v>9</v>
      </c>
      <c r="C6" s="7" t="s">
        <v>10</v>
      </c>
    </row>
    <row r="7" customFormat="false" ht="29.25" hidden="false" customHeight="true" outlineLevel="0" collapsed="false">
      <c r="A7" s="9" t="s">
        <v>11</v>
      </c>
      <c r="B7" s="7" t="s">
        <v>12</v>
      </c>
      <c r="C7" s="7" t="s">
        <v>13</v>
      </c>
    </row>
    <row r="9" customFormat="false" ht="15" hidden="false" customHeight="true" outlineLevel="0" collapsed="false">
      <c r="B9" s="4" t="s">
        <v>14</v>
      </c>
      <c r="C9" s="5"/>
    </row>
    <row r="10" customFormat="false" ht="15" hidden="false" customHeight="true" outlineLevel="0" collapsed="false">
      <c r="B10" s="7" t="s">
        <v>15</v>
      </c>
      <c r="C10" s="11" t="s">
        <v>16</v>
      </c>
    </row>
    <row r="11" customFormat="false" ht="15" hidden="false" customHeight="true" outlineLevel="0" collapsed="false">
      <c r="B11" s="7" t="s">
        <v>17</v>
      </c>
      <c r="C11" s="7" t="s">
        <v>18</v>
      </c>
    </row>
    <row r="12" customFormat="false" ht="15" hidden="false" customHeight="true" outlineLevel="0" collapsed="false">
      <c r="B12" s="7" t="s">
        <v>19</v>
      </c>
      <c r="C12" s="7" t="s">
        <v>20</v>
      </c>
    </row>
    <row r="13" customFormat="false" ht="29.25" hidden="false" customHeight="true" outlineLevel="0" collapsed="false">
      <c r="B13" s="7" t="s">
        <v>21</v>
      </c>
      <c r="C13" s="7" t="s">
        <v>22</v>
      </c>
    </row>
    <row r="15" customFormat="false" ht="15" hidden="false" customHeight="true" outlineLevel="0" collapsed="false">
      <c r="B15" s="4" t="s">
        <v>23</v>
      </c>
      <c r="C15" s="5"/>
    </row>
    <row r="16" customFormat="false" ht="15" hidden="false" customHeight="true" outlineLevel="0" collapsed="false">
      <c r="B16" s="7" t="s">
        <v>24</v>
      </c>
      <c r="C16" s="7" t="s">
        <v>25</v>
      </c>
    </row>
    <row r="17" customFormat="false" ht="15" hidden="false" customHeight="true" outlineLevel="0" collapsed="false">
      <c r="B17" s="7" t="s">
        <v>26</v>
      </c>
      <c r="C17" s="7" t="s">
        <v>27</v>
      </c>
    </row>
    <row r="18" customFormat="false" ht="15" hidden="false" customHeight="true" outlineLevel="0" collapsed="false">
      <c r="B18" s="7" t="s">
        <v>28</v>
      </c>
      <c r="C18" s="7" t="s">
        <v>29</v>
      </c>
    </row>
    <row r="19" customFormat="false" ht="15" hidden="false" customHeight="true" outlineLevel="0" collapsed="false">
      <c r="B19" s="7" t="s">
        <v>30</v>
      </c>
      <c r="C19" s="7" t="s">
        <v>31</v>
      </c>
    </row>
    <row r="20" customFormat="false" ht="29.25" hidden="false" customHeight="true" outlineLevel="0" collapsed="false">
      <c r="B20" s="7" t="s">
        <v>32</v>
      </c>
      <c r="C20" s="12" t="s">
        <v>33</v>
      </c>
    </row>
    <row r="22" customFormat="false" ht="15" hidden="false" customHeight="true" outlineLevel="0" collapsed="false">
      <c r="B22" s="4" t="s">
        <v>34</v>
      </c>
      <c r="C22" s="5"/>
    </row>
    <row r="23" customFormat="false" ht="15" hidden="false" customHeight="true" outlineLevel="0" collapsed="false">
      <c r="B23" s="7" t="s">
        <v>35</v>
      </c>
      <c r="C23" s="13" t="s">
        <v>36</v>
      </c>
    </row>
    <row r="24" customFormat="false" ht="15" hidden="false" customHeight="true" outlineLevel="0" collapsed="false">
      <c r="B24" s="7" t="s">
        <v>37</v>
      </c>
      <c r="C24" s="7" t="s">
        <v>38</v>
      </c>
    </row>
    <row r="25" customFormat="false" ht="15" hidden="false" customHeight="true" outlineLevel="0" collapsed="false">
      <c r="B25" s="7" t="s">
        <v>39</v>
      </c>
      <c r="C25" s="12" t="s">
        <v>40</v>
      </c>
    </row>
    <row r="26" customFormat="false" ht="15" hidden="false" customHeight="true" outlineLevel="0" collapsed="false">
      <c r="B26" s="7" t="s">
        <v>41</v>
      </c>
      <c r="C26" s="7" t="s">
        <v>42</v>
      </c>
    </row>
    <row r="28" customFormat="false" ht="15" hidden="false" customHeight="true" outlineLevel="0" collapsed="false">
      <c r="B28" s="4" t="s">
        <v>43</v>
      </c>
      <c r="C28" s="5"/>
    </row>
    <row r="29" customFormat="false" ht="15" hidden="false" customHeight="true" outlineLevel="0" collapsed="false">
      <c r="B29" s="11" t="s">
        <v>44</v>
      </c>
      <c r="C29" s="7" t="s">
        <v>45</v>
      </c>
    </row>
    <row r="30" customFormat="false" ht="15" hidden="false" customHeight="true" outlineLevel="0" collapsed="false">
      <c r="B30" s="11" t="s">
        <v>46</v>
      </c>
      <c r="C30" s="7" t="s">
        <v>47</v>
      </c>
    </row>
    <row r="31" customFormat="false" ht="15" hidden="false" customHeight="true" outlineLevel="0" collapsed="false">
      <c r="B31" s="11" t="s">
        <v>48</v>
      </c>
      <c r="C31" s="7" t="s">
        <v>49</v>
      </c>
    </row>
    <row r="32" customFormat="false" ht="29.25" hidden="false" customHeight="true" outlineLevel="0" collapsed="false">
      <c r="B32" s="7" t="s">
        <v>50</v>
      </c>
      <c r="C32" s="12" t="s">
        <v>51</v>
      </c>
    </row>
    <row r="34" customFormat="false" ht="15" hidden="false" customHeight="true" outlineLevel="0" collapsed="false">
      <c r="B34" s="4" t="s">
        <v>52</v>
      </c>
      <c r="C34" s="5"/>
    </row>
    <row r="35" customFormat="false" ht="15" hidden="false" customHeight="true" outlineLevel="0" collapsed="false">
      <c r="B35" s="7" t="s">
        <v>53</v>
      </c>
      <c r="C35" s="7" t="s">
        <v>54</v>
      </c>
    </row>
    <row r="36" customFormat="false" ht="15" hidden="false" customHeight="true" outlineLevel="0" collapsed="false">
      <c r="B36" s="7" t="s">
        <v>55</v>
      </c>
      <c r="C36" s="7" t="s">
        <v>56</v>
      </c>
    </row>
    <row r="37" customFormat="false" ht="29.25" hidden="false" customHeight="true" outlineLevel="0" collapsed="false">
      <c r="B37" s="7" t="s">
        <v>57</v>
      </c>
      <c r="C37" s="7" t="s">
        <v>58</v>
      </c>
    </row>
    <row r="38" customFormat="false" ht="29.25" hidden="false" customHeight="true" outlineLevel="0" collapsed="false">
      <c r="B38" s="7" t="s">
        <v>59</v>
      </c>
      <c r="C38" s="7" t="s">
        <v>60</v>
      </c>
    </row>
    <row r="39" customFormat="false" ht="15" hidden="false" customHeight="true" outlineLevel="0" collapsed="false">
      <c r="B39" s="7" t="s">
        <v>61</v>
      </c>
      <c r="C39" s="7" t="s">
        <v>62</v>
      </c>
    </row>
    <row r="41" customFormat="false" ht="15" hidden="false" customHeight="true" outlineLevel="0" collapsed="false">
      <c r="B41" s="4" t="s">
        <v>63</v>
      </c>
      <c r="C41" s="5"/>
    </row>
    <row r="42" customFormat="false" ht="15" hidden="false" customHeight="true" outlineLevel="0" collapsed="false">
      <c r="B42" s="7" t="s">
        <v>15</v>
      </c>
      <c r="C42" s="8" t="s">
        <v>64</v>
      </c>
    </row>
    <row r="43" customFormat="false" ht="15" hidden="false" customHeight="true" outlineLevel="0" collapsed="false">
      <c r="B43" s="7" t="s">
        <v>65</v>
      </c>
      <c r="C43" s="14" t="s">
        <v>66</v>
      </c>
    </row>
    <row r="45" customFormat="false" ht="15" hidden="false" customHeight="true" outlineLevel="0" collapsed="false">
      <c r="A45" s="15" t="s">
        <v>67</v>
      </c>
    </row>
    <row r="46" customFormat="false" ht="15" hidden="false" customHeight="true" outlineLevel="0" collapsed="false">
      <c r="A46" s="16" t="s">
        <v>68</v>
      </c>
    </row>
    <row r="47" customFormat="false" ht="15" hidden="false" customHeight="true" outlineLevel="0" collapsed="false">
      <c r="A47" s="16" t="s">
        <v>69</v>
      </c>
    </row>
    <row r="48" customFormat="false" ht="15" hidden="false" customHeight="true" outlineLevel="0" collapsed="false">
      <c r="A48" s="16" t="s">
        <v>70</v>
      </c>
    </row>
    <row r="49" customFormat="false" ht="15" hidden="false" customHeight="true" outlineLevel="0" collapsed="false">
      <c r="A49" s="16" t="s">
        <v>71</v>
      </c>
    </row>
    <row r="50" customFormat="false" ht="15" hidden="false" customHeight="true" outlineLevel="0" collapsed="false">
      <c r="A50" s="16" t="s">
        <v>72</v>
      </c>
    </row>
    <row r="51" customFormat="false" ht="15" hidden="false" customHeight="true" outlineLevel="0" collapsed="false">
      <c r="A51" s="16" t="s">
        <v>73</v>
      </c>
    </row>
    <row r="52" customFormat="false" ht="15" hidden="false" customHeight="true" outlineLevel="0" collapsed="false">
      <c r="A52" s="16" t="s">
        <v>74</v>
      </c>
    </row>
    <row r="53" customFormat="false" ht="15" hidden="false" customHeight="true" outlineLevel="0" collapsed="false">
      <c r="A53" s="16" t="s">
        <v>75</v>
      </c>
    </row>
    <row r="55" customFormat="false" ht="15" hidden="false" customHeight="true" outlineLevel="0" collapsed="false">
      <c r="A55" s="15" t="s">
        <v>76</v>
      </c>
    </row>
    <row r="56" customFormat="false" ht="15" hidden="false" customHeight="true" outlineLevel="0" collapsed="false">
      <c r="A56" s="16" t="s">
        <v>77</v>
      </c>
    </row>
    <row r="57" customFormat="false" ht="15" hidden="false" customHeight="true" outlineLevel="0" collapsed="false">
      <c r="A57" s="16" t="s">
        <v>78</v>
      </c>
    </row>
    <row r="58" customFormat="false" ht="15" hidden="false" customHeight="true" outlineLevel="0" collapsed="false">
      <c r="A58" s="16" t="s">
        <v>79</v>
      </c>
    </row>
    <row r="59" customFormat="false" ht="15" hidden="false" customHeight="true" outlineLevel="0" collapsed="false">
      <c r="A59" s="16" t="s">
        <v>80</v>
      </c>
    </row>
    <row r="60" customFormat="false" ht="15" hidden="false" customHeight="true" outlineLevel="0" collapsed="false">
      <c r="A60" s="16" t="s">
        <v>81</v>
      </c>
    </row>
    <row r="61" customFormat="false" ht="15" hidden="false" customHeight="true" outlineLevel="0" collapsed="false">
      <c r="A61" s="16" t="s">
        <v>82</v>
      </c>
    </row>
    <row r="63" customFormat="false" ht="15" hidden="false" customHeight="true" outlineLevel="0" collapsed="false">
      <c r="A63" s="15" t="s">
        <v>83</v>
      </c>
    </row>
    <row r="64" customFormat="false" ht="15" hidden="false" customHeight="true" outlineLevel="0" collapsed="false">
      <c r="A64" s="16" t="s">
        <v>84</v>
      </c>
    </row>
    <row r="65" customFormat="false" ht="15" hidden="false" customHeight="true" outlineLevel="0" collapsed="false">
      <c r="A65" s="16" t="s">
        <v>85</v>
      </c>
    </row>
    <row r="66" customFormat="false" ht="15" hidden="false" customHeight="true" outlineLevel="0" collapsed="false">
      <c r="A66" s="16" t="s">
        <v>86</v>
      </c>
    </row>
    <row r="67" customFormat="false" ht="15" hidden="false" customHeight="true" outlineLevel="0" collapsed="false">
      <c r="A67" s="16" t="s">
        <v>87</v>
      </c>
    </row>
    <row r="68" customFormat="false" ht="15" hidden="false" customHeight="true" outlineLevel="0" collapsed="false">
      <c r="A68" s="16" t="s">
        <v>88</v>
      </c>
    </row>
    <row r="70" customFormat="false" ht="15" hidden="false" customHeight="true" outlineLevel="0" collapsed="false">
      <c r="A70" s="15" t="s">
        <v>89</v>
      </c>
    </row>
    <row r="71" customFormat="false" ht="15" hidden="false" customHeight="true" outlineLevel="0" collapsed="false">
      <c r="A71" s="16" t="s">
        <v>90</v>
      </c>
    </row>
    <row r="72" customFormat="false" ht="15" hidden="false" customHeight="true" outlineLevel="0" collapsed="false">
      <c r="A72" s="16" t="s">
        <v>91</v>
      </c>
    </row>
    <row r="73" customFormat="false" ht="15" hidden="false" customHeight="true" outlineLevel="0" collapsed="false">
      <c r="A73" s="16" t="s">
        <v>92</v>
      </c>
    </row>
    <row r="74" customFormat="false" ht="15" hidden="false" customHeight="true" outlineLevel="0" collapsed="false">
      <c r="A74" s="16" t="s">
        <v>93</v>
      </c>
    </row>
    <row r="75" customFormat="false" ht="15" hidden="false" customHeight="true" outlineLevel="0" collapsed="false">
      <c r="A75" s="16" t="s">
        <v>94</v>
      </c>
    </row>
    <row r="77" customFormat="false" ht="15" hidden="false" customHeight="true" outlineLevel="0" collapsed="false">
      <c r="A77" s="15" t="s">
        <v>95</v>
      </c>
    </row>
    <row r="78" customFormat="false" ht="15" hidden="false" customHeight="true" outlineLevel="0" collapsed="false">
      <c r="A78" s="16" t="s">
        <v>96</v>
      </c>
    </row>
    <row r="79" customFormat="false" ht="15" hidden="false" customHeight="true" outlineLevel="0" collapsed="false">
      <c r="A79" s="16" t="s">
        <v>97</v>
      </c>
    </row>
    <row r="80" customFormat="false" ht="15" hidden="false" customHeight="true" outlineLevel="0" collapsed="false">
      <c r="A80" s="16" t="s">
        <v>98</v>
      </c>
    </row>
    <row r="81" customFormat="false" ht="15" hidden="false" customHeight="true" outlineLevel="0" collapsed="false">
      <c r="A81" s="16" t="s">
        <v>99</v>
      </c>
    </row>
    <row r="82" customFormat="false" ht="15" hidden="false" customHeight="true" outlineLevel="0" collapsed="false">
      <c r="A82" s="16" t="s">
        <v>100</v>
      </c>
    </row>
    <row r="84" customFormat="false" ht="15" hidden="false" customHeight="true" outlineLevel="0" collapsed="false">
      <c r="A84" s="15" t="s">
        <v>101</v>
      </c>
    </row>
    <row r="85" customFormat="false" ht="15" hidden="false" customHeight="true" outlineLevel="0" collapsed="false">
      <c r="A85" s="16" t="s">
        <v>102</v>
      </c>
    </row>
    <row r="86" customFormat="false" ht="15" hidden="false" customHeight="true" outlineLevel="0" collapsed="false">
      <c r="A86" s="16" t="s">
        <v>103</v>
      </c>
    </row>
    <row r="87" customFormat="false" ht="15" hidden="false" customHeight="true" outlineLevel="0" collapsed="false">
      <c r="A87" s="16" t="s">
        <v>104</v>
      </c>
    </row>
    <row r="88" customFormat="false" ht="15" hidden="false" customHeight="true" outlineLevel="0" collapsed="false">
      <c r="A88" s="16" t="s">
        <v>105</v>
      </c>
    </row>
    <row r="89" customFormat="false" ht="15" hidden="false" customHeight="true" outlineLevel="0" collapsed="false">
      <c r="A89" s="16" t="s">
        <v>106</v>
      </c>
    </row>
    <row r="90" customFormat="false" ht="15" hidden="false" customHeight="true" outlineLevel="0" collapsed="false">
      <c r="A90" s="16" t="s">
        <v>107</v>
      </c>
    </row>
    <row r="91" customFormat="false" ht="15" hidden="false" customHeight="true" outlineLevel="0" collapsed="false">
      <c r="A91" s="16" t="s">
        <v>108</v>
      </c>
    </row>
    <row r="92" customFormat="false" ht="15" hidden="false" customHeight="true" outlineLevel="0" collapsed="false">
      <c r="A92" s="16" t="s">
        <v>109</v>
      </c>
    </row>
    <row r="93" customFormat="false" ht="15" hidden="false" customHeight="true" outlineLevel="0" collapsed="false">
      <c r="A93" s="16" t="s">
        <v>110</v>
      </c>
    </row>
    <row r="94" customFormat="false" ht="15" hidden="false" customHeight="true" outlineLevel="0" collapsed="false">
      <c r="A94" s="16" t="s">
        <v>111</v>
      </c>
    </row>
    <row r="95" customFormat="false" ht="15" hidden="false" customHeight="true" outlineLevel="0" collapsed="false">
      <c r="A95" s="16" t="s">
        <v>112</v>
      </c>
    </row>
    <row r="97" customFormat="false" ht="15" hidden="false" customHeight="true" outlineLevel="0" collapsed="false">
      <c r="A97" s="15" t="s">
        <v>113</v>
      </c>
    </row>
    <row r="98" customFormat="false" ht="15" hidden="false" customHeight="true" outlineLevel="0" collapsed="false">
      <c r="A98" s="16" t="s">
        <v>114</v>
      </c>
    </row>
    <row r="99" customFormat="false" ht="15" hidden="false" customHeight="true" outlineLevel="0" collapsed="false">
      <c r="A99" s="16" t="s">
        <v>115</v>
      </c>
    </row>
    <row r="100" customFormat="false" ht="15" hidden="false" customHeight="true" outlineLevel="0" collapsed="false">
      <c r="A100" s="16" t="s">
        <v>116</v>
      </c>
    </row>
    <row r="101" customFormat="false" ht="15" hidden="false" customHeight="true" outlineLevel="0" collapsed="false">
      <c r="A101" s="16" t="s">
        <v>117</v>
      </c>
    </row>
    <row r="102" customFormat="false" ht="15" hidden="false" customHeight="true" outlineLevel="0" collapsed="false">
      <c r="A102" s="16" t="s">
        <v>118</v>
      </c>
    </row>
    <row r="103" customFormat="false" ht="15" hidden="false" customHeight="true" outlineLevel="0" collapsed="false">
      <c r="A103" s="16" t="s">
        <v>119</v>
      </c>
    </row>
    <row r="104" customFormat="false" ht="15" hidden="false" customHeight="true" outlineLevel="0" collapsed="false">
      <c r="A104" s="16" t="s">
        <v>120</v>
      </c>
    </row>
    <row r="106" customFormat="false" ht="15" hidden="false" customHeight="true" outlineLevel="0" collapsed="false">
      <c r="A106" s="15" t="s">
        <v>121</v>
      </c>
    </row>
    <row r="107" customFormat="false" ht="15" hidden="false" customHeight="true" outlineLevel="0" collapsed="false">
      <c r="A107" s="16" t="s">
        <v>122</v>
      </c>
    </row>
    <row r="108" customFormat="false" ht="15" hidden="false" customHeight="true" outlineLevel="0" collapsed="false">
      <c r="A108" s="16" t="s">
        <v>123</v>
      </c>
    </row>
    <row r="109" customFormat="false" ht="15" hidden="false" customHeight="true" outlineLevel="0" collapsed="false">
      <c r="A109" s="16" t="s">
        <v>124</v>
      </c>
    </row>
    <row r="110" customFormat="false" ht="15" hidden="false" customHeight="true" outlineLevel="0" collapsed="false">
      <c r="A110" s="16" t="s">
        <v>125</v>
      </c>
    </row>
    <row r="111" customFormat="false" ht="15" hidden="false" customHeight="true" outlineLevel="0" collapsed="false">
      <c r="A111" s="16" t="s">
        <v>126</v>
      </c>
    </row>
    <row r="112" customFormat="false" ht="15" hidden="false" customHeight="true" outlineLevel="0" collapsed="false">
      <c r="A112" s="16" t="s">
        <v>127</v>
      </c>
    </row>
    <row r="113" customFormat="false" ht="15" hidden="false" customHeight="true" outlineLevel="0" collapsed="false">
      <c r="A113" s="16" t="s">
        <v>128</v>
      </c>
    </row>
    <row r="114" customFormat="false" ht="15" hidden="false" customHeight="true" outlineLevel="0" collapsed="false">
      <c r="A114" s="16" t="s">
        <v>129</v>
      </c>
    </row>
    <row r="115" customFormat="false" ht="15" hidden="false" customHeight="true" outlineLevel="0" collapsed="false">
      <c r="A115" s="16" t="s">
        <v>130</v>
      </c>
    </row>
    <row r="116" customFormat="false" ht="15" hidden="false" customHeight="true" outlineLevel="0" collapsed="false">
      <c r="A116" s="16" t="s">
        <v>131</v>
      </c>
    </row>
    <row r="117" customFormat="false" ht="15" hidden="false" customHeight="true" outlineLevel="0" collapsed="false">
      <c r="A117" s="16" t="s">
        <v>132</v>
      </c>
    </row>
    <row r="119" customFormat="false" ht="15" hidden="false" customHeight="true" outlineLevel="0" collapsed="false">
      <c r="A119" s="15" t="s">
        <v>133</v>
      </c>
    </row>
    <row r="120" customFormat="false" ht="15" hidden="false" customHeight="true" outlineLevel="0" collapsed="false">
      <c r="A120" s="16" t="s">
        <v>134</v>
      </c>
    </row>
    <row r="121" customFormat="false" ht="15" hidden="false" customHeight="true" outlineLevel="0" collapsed="false">
      <c r="A121" s="16" t="s">
        <v>135</v>
      </c>
    </row>
    <row r="122" customFormat="false" ht="15" hidden="false" customHeight="true" outlineLevel="0" collapsed="false">
      <c r="A122" s="16" t="s">
        <v>136</v>
      </c>
    </row>
    <row r="123" customFormat="false" ht="15" hidden="false" customHeight="true" outlineLevel="0" collapsed="false">
      <c r="A123" s="16" t="s">
        <v>137</v>
      </c>
    </row>
    <row r="124" customFormat="false" ht="15" hidden="false" customHeight="true" outlineLevel="0" collapsed="false">
      <c r="A124" s="16" t="s">
        <v>138</v>
      </c>
    </row>
    <row r="125" customFormat="false" ht="15" hidden="false" customHeight="true" outlineLevel="0" collapsed="false">
      <c r="A125" s="16" t="s">
        <v>139</v>
      </c>
    </row>
    <row r="126" customFormat="false" ht="15" hidden="false" customHeight="true" outlineLevel="0" collapsed="false">
      <c r="A126" s="16" t="s">
        <v>140</v>
      </c>
    </row>
    <row r="127" customFormat="false" ht="15" hidden="false" customHeight="true" outlineLevel="0" collapsed="false">
      <c r="A127" s="16" t="s">
        <v>141</v>
      </c>
    </row>
    <row r="128" customFormat="false" ht="15" hidden="false" customHeight="true" outlineLevel="0" collapsed="false">
      <c r="A128" s="16" t="s">
        <v>142</v>
      </c>
    </row>
    <row r="129" customFormat="false" ht="15" hidden="false" customHeight="true" outlineLevel="0" collapsed="false">
      <c r="A129" s="16" t="s">
        <v>143</v>
      </c>
    </row>
    <row r="130" customFormat="false" ht="15" hidden="false" customHeight="true" outlineLevel="0" collapsed="false">
      <c r="A130" s="16" t="s">
        <v>144</v>
      </c>
    </row>
    <row r="132" customFormat="false" ht="15" hidden="false" customHeight="true" outlineLevel="0" collapsed="false">
      <c r="A132" s="15" t="s">
        <v>145</v>
      </c>
    </row>
    <row r="133" customFormat="false" ht="15" hidden="false" customHeight="true" outlineLevel="0" collapsed="false">
      <c r="A133" s="16" t="s">
        <v>146</v>
      </c>
    </row>
    <row r="134" customFormat="false" ht="15" hidden="false" customHeight="true" outlineLevel="0" collapsed="false">
      <c r="A134" s="16" t="s">
        <v>147</v>
      </c>
    </row>
    <row r="135" customFormat="false" ht="15" hidden="false" customHeight="true" outlineLevel="0" collapsed="false">
      <c r="A135" s="16" t="s">
        <v>148</v>
      </c>
    </row>
    <row r="136" customFormat="false" ht="15" hidden="false" customHeight="true" outlineLevel="0" collapsed="false">
      <c r="A136" s="16" t="s">
        <v>149</v>
      </c>
    </row>
    <row r="137" customFormat="false" ht="15" hidden="false" customHeight="true" outlineLevel="0" collapsed="false">
      <c r="A137" s="16" t="s">
        <v>150</v>
      </c>
    </row>
    <row r="138" customFormat="false" ht="15" hidden="false" customHeight="true" outlineLevel="0" collapsed="false">
      <c r="A138" s="16" t="s">
        <v>151</v>
      </c>
    </row>
    <row r="139" customFormat="false" ht="15" hidden="false" customHeight="true" outlineLevel="0" collapsed="false">
      <c r="A139" s="16" t="s">
        <v>152</v>
      </c>
    </row>
    <row r="140" customFormat="false" ht="15" hidden="false" customHeight="true" outlineLevel="0" collapsed="false">
      <c r="A140" s="16" t="s">
        <v>153</v>
      </c>
    </row>
    <row r="141" customFormat="false" ht="15" hidden="false" customHeight="true" outlineLevel="0" collapsed="false">
      <c r="A141" s="16" t="s">
        <v>154</v>
      </c>
    </row>
    <row r="142" customFormat="false" ht="15" hidden="false" customHeight="true" outlineLevel="0" collapsed="false">
      <c r="A142" s="16" t="s">
        <v>155</v>
      </c>
    </row>
    <row r="143" customFormat="false" ht="15" hidden="false" customHeight="true" outlineLevel="0" collapsed="false">
      <c r="A143" s="16" t="s">
        <v>156</v>
      </c>
    </row>
    <row r="144" customFormat="false" ht="15" hidden="false" customHeight="true" outlineLevel="0" collapsed="false">
      <c r="A144" s="16" t="s">
        <v>157</v>
      </c>
    </row>
    <row r="146" customFormat="false" ht="15" hidden="false" customHeight="true" outlineLevel="0" collapsed="false">
      <c r="A146" s="15" t="s">
        <v>158</v>
      </c>
    </row>
    <row r="147" customFormat="false" ht="15" hidden="false" customHeight="true" outlineLevel="0" collapsed="false">
      <c r="A147" s="16" t="s">
        <v>159</v>
      </c>
    </row>
    <row r="148" customFormat="false" ht="15" hidden="false" customHeight="true" outlineLevel="0" collapsed="false">
      <c r="A148" s="16" t="s">
        <v>160</v>
      </c>
    </row>
    <row r="149" customFormat="false" ht="15" hidden="false" customHeight="true" outlineLevel="0" collapsed="false">
      <c r="A149" s="16" t="s">
        <v>161</v>
      </c>
    </row>
    <row r="150" customFormat="false" ht="15" hidden="false" customHeight="true" outlineLevel="0" collapsed="false">
      <c r="A150" s="16" t="s">
        <v>162</v>
      </c>
    </row>
    <row r="151" customFormat="false" ht="15" hidden="false" customHeight="true" outlineLevel="0" collapsed="false">
      <c r="A151" s="16" t="s">
        <v>163</v>
      </c>
    </row>
    <row r="152" customFormat="false" ht="15" hidden="false" customHeight="true" outlineLevel="0" collapsed="false">
      <c r="A152" s="16" t="s">
        <v>164</v>
      </c>
    </row>
    <row r="154" customFormat="false" ht="15" hidden="false" customHeight="true" outlineLevel="0" collapsed="false">
      <c r="A154" s="15" t="s">
        <v>165</v>
      </c>
    </row>
    <row r="155" customFormat="false" ht="15" hidden="false" customHeight="true" outlineLevel="0" collapsed="false">
      <c r="A155" s="16" t="s">
        <v>166</v>
      </c>
    </row>
    <row r="156" customFormat="false" ht="15" hidden="false" customHeight="true" outlineLevel="0" collapsed="false">
      <c r="A156" s="16" t="s">
        <v>167</v>
      </c>
    </row>
    <row r="157" customFormat="false" ht="15" hidden="false" customHeight="true" outlineLevel="0" collapsed="false">
      <c r="A157" s="16" t="s">
        <v>168</v>
      </c>
    </row>
    <row r="158" customFormat="false" ht="15" hidden="false" customHeight="true" outlineLevel="0" collapsed="false">
      <c r="A158" s="16" t="s">
        <v>169</v>
      </c>
    </row>
    <row r="159" customFormat="false" ht="15" hidden="false" customHeight="true" outlineLevel="0" collapsed="false">
      <c r="A159" s="16" t="s">
        <v>170</v>
      </c>
    </row>
    <row r="160" customFormat="false" ht="15" hidden="false" customHeight="true" outlineLevel="0" collapsed="false">
      <c r="A160" s="16" t="s">
        <v>171</v>
      </c>
    </row>
    <row r="161" customFormat="false" ht="15" hidden="false" customHeight="true" outlineLevel="0" collapsed="false">
      <c r="A161" s="16" t="s">
        <v>172</v>
      </c>
    </row>
    <row r="162" customFormat="false" ht="15" hidden="false" customHeight="true" outlineLevel="0" collapsed="false">
      <c r="A162" s="16" t="s">
        <v>173</v>
      </c>
    </row>
    <row r="163" customFormat="false" ht="15" hidden="false" customHeight="true" outlineLevel="0" collapsed="false">
      <c r="A163" s="16" t="s">
        <v>174</v>
      </c>
    </row>
    <row r="164" customFormat="false" ht="15" hidden="false" customHeight="true" outlineLevel="0" collapsed="false">
      <c r="A164" s="16" t="s">
        <v>175</v>
      </c>
    </row>
    <row r="165" customFormat="false" ht="15" hidden="false" customHeight="true" outlineLevel="0" collapsed="false">
      <c r="A165" s="16" t="s">
        <v>176</v>
      </c>
    </row>
    <row r="167" customFormat="false" ht="15" hidden="false" customHeight="true" outlineLevel="0" collapsed="false">
      <c r="A167" s="15" t="s">
        <v>177</v>
      </c>
    </row>
    <row r="168" customFormat="false" ht="15" hidden="false" customHeight="true" outlineLevel="0" collapsed="false">
      <c r="A168" s="16" t="s">
        <v>178</v>
      </c>
    </row>
    <row r="169" customFormat="false" ht="15" hidden="false" customHeight="true" outlineLevel="0" collapsed="false">
      <c r="A169" s="16" t="s">
        <v>179</v>
      </c>
    </row>
    <row r="170" customFormat="false" ht="15" hidden="false" customHeight="true" outlineLevel="0" collapsed="false">
      <c r="A170" s="16" t="s">
        <v>180</v>
      </c>
    </row>
    <row r="171" customFormat="false" ht="15" hidden="false" customHeight="true" outlineLevel="0" collapsed="false">
      <c r="A171" s="16" t="s">
        <v>181</v>
      </c>
    </row>
    <row r="172" customFormat="false" ht="15" hidden="false" customHeight="true" outlineLevel="0" collapsed="false">
      <c r="A172" s="16" t="s">
        <v>182</v>
      </c>
    </row>
    <row r="173" customFormat="false" ht="15" hidden="false" customHeight="true" outlineLevel="0" collapsed="false">
      <c r="A173" s="16" t="s">
        <v>183</v>
      </c>
    </row>
    <row r="175" customFormat="false" ht="15" hidden="false" customHeight="true" outlineLevel="0" collapsed="false">
      <c r="A175" s="15" t="s">
        <v>184</v>
      </c>
    </row>
    <row r="176" customFormat="false" ht="15" hidden="false" customHeight="true" outlineLevel="0" collapsed="false">
      <c r="A176" s="16" t="s">
        <v>185</v>
      </c>
    </row>
    <row r="177" customFormat="false" ht="15" hidden="false" customHeight="true" outlineLevel="0" collapsed="false">
      <c r="A177" s="16" t="s">
        <v>186</v>
      </c>
    </row>
    <row r="178" customFormat="false" ht="15" hidden="false" customHeight="true" outlineLevel="0" collapsed="false">
      <c r="A178" s="16" t="s">
        <v>187</v>
      </c>
    </row>
    <row r="179" customFormat="false" ht="15" hidden="false" customHeight="true" outlineLevel="0" collapsed="false">
      <c r="A179" s="16" t="s">
        <v>188</v>
      </c>
    </row>
    <row r="180" customFormat="false" ht="15" hidden="false" customHeight="true" outlineLevel="0" collapsed="false">
      <c r="A180" s="16" t="s">
        <v>189</v>
      </c>
    </row>
    <row r="181" customFormat="false" ht="15" hidden="false" customHeight="true" outlineLevel="0" collapsed="false">
      <c r="A181" s="16" t="s">
        <v>190</v>
      </c>
    </row>
    <row r="182" customFormat="false" ht="15" hidden="false" customHeight="true" outlineLevel="0" collapsed="false">
      <c r="A182" s="16" t="s">
        <v>191</v>
      </c>
    </row>
    <row r="184" customFormat="false" ht="15" hidden="false" customHeight="true" outlineLevel="0" collapsed="false">
      <c r="A184" s="15" t="s">
        <v>192</v>
      </c>
    </row>
    <row r="185" customFormat="false" ht="15" hidden="false" customHeight="true" outlineLevel="0" collapsed="false">
      <c r="A185" s="16" t="s">
        <v>193</v>
      </c>
    </row>
    <row r="186" customFormat="false" ht="15" hidden="false" customHeight="true" outlineLevel="0" collapsed="false">
      <c r="A186" s="16" t="s">
        <v>194</v>
      </c>
    </row>
    <row r="187" customFormat="false" ht="15" hidden="false" customHeight="true" outlineLevel="0" collapsed="false">
      <c r="A187" s="16" t="s">
        <v>195</v>
      </c>
    </row>
    <row r="188" customFormat="false" ht="15" hidden="false" customHeight="true" outlineLevel="0" collapsed="false">
      <c r="A188" s="16" t="s">
        <v>196</v>
      </c>
    </row>
    <row r="189" customFormat="false" ht="15" hidden="false" customHeight="true" outlineLevel="0" collapsed="false">
      <c r="A189" s="16" t="s">
        <v>197</v>
      </c>
    </row>
    <row r="190" customFormat="false" ht="15" hidden="false" customHeight="true" outlineLevel="0" collapsed="false">
      <c r="A190" s="16" t="s">
        <v>198</v>
      </c>
    </row>
    <row r="191" customFormat="false" ht="15" hidden="false" customHeight="true" outlineLevel="0" collapsed="false">
      <c r="A191" s="16" t="s">
        <v>199</v>
      </c>
    </row>
    <row r="192" customFormat="false" ht="15" hidden="false" customHeight="true" outlineLevel="0" collapsed="false">
      <c r="A192" s="16" t="s">
        <v>200</v>
      </c>
    </row>
    <row r="194" customFormat="false" ht="15" hidden="false" customHeight="true" outlineLevel="0" collapsed="false">
      <c r="A194" s="15" t="s">
        <v>201</v>
      </c>
    </row>
    <row r="195" customFormat="false" ht="15" hidden="false" customHeight="true" outlineLevel="0" collapsed="false">
      <c r="A195" s="16" t="s">
        <v>202</v>
      </c>
    </row>
    <row r="196" customFormat="false" ht="15" hidden="false" customHeight="true" outlineLevel="0" collapsed="false">
      <c r="A196" s="16" t="s">
        <v>203</v>
      </c>
    </row>
    <row r="197" customFormat="false" ht="15" hidden="false" customHeight="true" outlineLevel="0" collapsed="false">
      <c r="A197" s="16" t="s">
        <v>204</v>
      </c>
    </row>
    <row r="198" customFormat="false" ht="15" hidden="false" customHeight="true" outlineLevel="0" collapsed="false">
      <c r="A198" s="16" t="s">
        <v>205</v>
      </c>
    </row>
    <row r="199" customFormat="false" ht="15" hidden="false" customHeight="true" outlineLevel="0" collapsed="false">
      <c r="A199" s="16" t="s">
        <v>206</v>
      </c>
    </row>
    <row r="201" customFormat="false" ht="15" hidden="false" customHeight="true" outlineLevel="0" collapsed="false">
      <c r="A201" s="15" t="s">
        <v>207</v>
      </c>
    </row>
    <row r="202" customFormat="false" ht="15" hidden="false" customHeight="true" outlineLevel="0" collapsed="false">
      <c r="A202" s="16" t="s">
        <v>208</v>
      </c>
    </row>
    <row r="203" customFormat="false" ht="15" hidden="false" customHeight="true" outlineLevel="0" collapsed="false">
      <c r="A203" s="16" t="s">
        <v>209</v>
      </c>
    </row>
    <row r="204" customFormat="false" ht="15" hidden="false" customHeight="true" outlineLevel="0" collapsed="false">
      <c r="A204" s="16" t="s">
        <v>210</v>
      </c>
    </row>
    <row r="205" customFormat="false" ht="15" hidden="false" customHeight="true" outlineLevel="0" collapsed="false">
      <c r="A205" s="16" t="s">
        <v>211</v>
      </c>
    </row>
    <row r="206" customFormat="false" ht="15" hidden="false" customHeight="true" outlineLevel="0" collapsed="false">
      <c r="A206" s="16" t="s">
        <v>212</v>
      </c>
    </row>
    <row r="207" customFormat="false" ht="15" hidden="false" customHeight="true" outlineLevel="0" collapsed="false">
      <c r="A207" s="16" t="s">
        <v>213</v>
      </c>
    </row>
    <row r="208" customFormat="false" ht="15" hidden="false" customHeight="true" outlineLevel="0" collapsed="false">
      <c r="A208" s="16" t="s">
        <v>214</v>
      </c>
    </row>
    <row r="209" customFormat="false" ht="15" hidden="false" customHeight="true" outlineLevel="0" collapsed="false">
      <c r="A209" s="16" t="s">
        <v>215</v>
      </c>
    </row>
    <row r="210" customFormat="false" ht="15" hidden="false" customHeight="true" outlineLevel="0" collapsed="false">
      <c r="A210" s="16" t="s">
        <v>216</v>
      </c>
    </row>
    <row r="211" customFormat="false" ht="15" hidden="false" customHeight="true" outlineLevel="0" collapsed="false">
      <c r="A211" s="16" t="s">
        <v>217</v>
      </c>
    </row>
    <row r="212" customFormat="false" ht="15" hidden="false" customHeight="true" outlineLevel="0" collapsed="false">
      <c r="A212" s="16" t="s">
        <v>218</v>
      </c>
    </row>
    <row r="214" customFormat="false" ht="15" hidden="false" customHeight="true" outlineLevel="0" collapsed="false">
      <c r="A214" s="15" t="s">
        <v>219</v>
      </c>
    </row>
    <row r="215" customFormat="false" ht="15" hidden="false" customHeight="true" outlineLevel="0" collapsed="false">
      <c r="A215" s="16" t="s">
        <v>220</v>
      </c>
    </row>
    <row r="216" customFormat="false" ht="15" hidden="false" customHeight="true" outlineLevel="0" collapsed="false">
      <c r="A216" s="16" t="s">
        <v>221</v>
      </c>
    </row>
    <row r="217" customFormat="false" ht="15" hidden="false" customHeight="true" outlineLevel="0" collapsed="false">
      <c r="A217" s="16" t="s">
        <v>222</v>
      </c>
    </row>
    <row r="218" customFormat="false" ht="15" hidden="false" customHeight="true" outlineLevel="0" collapsed="false">
      <c r="A218" s="16" t="s">
        <v>223</v>
      </c>
    </row>
    <row r="219" customFormat="false" ht="15" hidden="false" customHeight="true" outlineLevel="0" collapsed="false">
      <c r="A219" s="16" t="s">
        <v>224</v>
      </c>
    </row>
    <row r="220" customFormat="false" ht="15" hidden="false" customHeight="true" outlineLevel="0" collapsed="false">
      <c r="A220" s="16" t="s">
        <v>225</v>
      </c>
    </row>
    <row r="221" customFormat="false" ht="15" hidden="false" customHeight="true" outlineLevel="0" collapsed="false">
      <c r="A221" s="16" t="s">
        <v>226</v>
      </c>
    </row>
    <row r="223" customFormat="false" ht="15" hidden="false" customHeight="true" outlineLevel="0" collapsed="false">
      <c r="A223" s="15" t="s">
        <v>227</v>
      </c>
    </row>
    <row r="224" customFormat="false" ht="15" hidden="false" customHeight="true" outlineLevel="0" collapsed="false">
      <c r="A224" s="16" t="s">
        <v>228</v>
      </c>
    </row>
    <row r="225" customFormat="false" ht="15" hidden="false" customHeight="true" outlineLevel="0" collapsed="false">
      <c r="A225" s="16" t="s">
        <v>229</v>
      </c>
    </row>
    <row r="226" customFormat="false" ht="15" hidden="false" customHeight="true" outlineLevel="0" collapsed="false">
      <c r="A226" s="16" t="s">
        <v>230</v>
      </c>
    </row>
    <row r="227" customFormat="false" ht="15" hidden="false" customHeight="true" outlineLevel="0" collapsed="false">
      <c r="A227" s="16" t="s">
        <v>231</v>
      </c>
    </row>
    <row r="228" customFormat="false" ht="15" hidden="false" customHeight="true" outlineLevel="0" collapsed="false">
      <c r="A228" s="16" t="s">
        <v>232</v>
      </c>
    </row>
    <row r="229" customFormat="false" ht="15" hidden="false" customHeight="true" outlineLevel="0" collapsed="false">
      <c r="A229" s="16" t="s">
        <v>233</v>
      </c>
    </row>
    <row r="230" customFormat="false" ht="15" hidden="false" customHeight="true" outlineLevel="0" collapsed="false">
      <c r="A230" s="16" t="s">
        <v>234</v>
      </c>
    </row>
    <row r="231" customFormat="false" ht="15" hidden="false" customHeight="true" outlineLevel="0" collapsed="false">
      <c r="A231" s="16" t="s">
        <v>235</v>
      </c>
    </row>
    <row r="232" customFormat="false" ht="15" hidden="false" customHeight="true" outlineLevel="0" collapsed="false">
      <c r="A232" s="17" t="s">
        <v>236</v>
      </c>
    </row>
    <row r="233" customFormat="false" ht="15" hidden="false" customHeight="true" outlineLevel="0" collapsed="false">
      <c r="A233" s="16" t="s">
        <v>237</v>
      </c>
    </row>
    <row r="234" customFormat="false" ht="15" hidden="false" customHeight="true" outlineLevel="0" collapsed="false">
      <c r="A234" s="16" t="s">
        <v>238</v>
      </c>
    </row>
    <row r="236" customFormat="false" ht="15" hidden="false" customHeight="true" outlineLevel="0" collapsed="false">
      <c r="A236" s="15" t="s">
        <v>239</v>
      </c>
    </row>
    <row r="237" customFormat="false" ht="15" hidden="false" customHeight="true" outlineLevel="0" collapsed="false">
      <c r="A237" s="16" t="s">
        <v>240</v>
      </c>
    </row>
    <row r="238" customFormat="false" ht="15" hidden="false" customHeight="true" outlineLevel="0" collapsed="false">
      <c r="A238" s="16" t="s">
        <v>241</v>
      </c>
    </row>
    <row r="239" customFormat="false" ht="15" hidden="false" customHeight="true" outlineLevel="0" collapsed="false">
      <c r="A239" s="16" t="s">
        <v>242</v>
      </c>
    </row>
    <row r="240" customFormat="false" ht="15" hidden="false" customHeight="true" outlineLevel="0" collapsed="false">
      <c r="A240" s="16" t="s">
        <v>243</v>
      </c>
    </row>
    <row r="241" customFormat="false" ht="15" hidden="false" customHeight="true" outlineLevel="0" collapsed="false">
      <c r="A241" s="16" t="s">
        <v>244</v>
      </c>
    </row>
    <row r="242" customFormat="false" ht="15" hidden="false" customHeight="true" outlineLevel="0" collapsed="false">
      <c r="A242" s="16" t="s">
        <v>245</v>
      </c>
    </row>
    <row r="243" customFormat="false" ht="15" hidden="false" customHeight="true" outlineLevel="0" collapsed="false">
      <c r="A243" s="16" t="s">
        <v>246</v>
      </c>
    </row>
    <row r="245" customFormat="false" ht="15" hidden="false" customHeight="true" outlineLevel="0" collapsed="false">
      <c r="A245" s="15" t="s">
        <v>247</v>
      </c>
    </row>
    <row r="246" customFormat="false" ht="15" hidden="false" customHeight="true" outlineLevel="0" collapsed="false">
      <c r="A246" s="16" t="s">
        <v>248</v>
      </c>
    </row>
    <row r="247" customFormat="false" ht="15" hidden="false" customHeight="true" outlineLevel="0" collapsed="false">
      <c r="A247" s="16" t="s">
        <v>249</v>
      </c>
    </row>
    <row r="248" customFormat="false" ht="15" hidden="false" customHeight="true" outlineLevel="0" collapsed="false">
      <c r="A248" s="16" t="s">
        <v>250</v>
      </c>
    </row>
    <row r="249" customFormat="false" ht="15" hidden="false" customHeight="true" outlineLevel="0" collapsed="false">
      <c r="A249" s="16" t="s">
        <v>251</v>
      </c>
    </row>
    <row r="250" customFormat="false" ht="15" hidden="false" customHeight="true" outlineLevel="0" collapsed="false">
      <c r="A250" s="16" t="s">
        <v>252</v>
      </c>
    </row>
    <row r="251" customFormat="false" ht="15" hidden="false" customHeight="true" outlineLevel="0" collapsed="false">
      <c r="A251" s="16" t="s">
        <v>253</v>
      </c>
    </row>
    <row r="252" customFormat="false" ht="15" hidden="false" customHeight="true" outlineLevel="0" collapsed="false">
      <c r="A252" s="16" t="s">
        <v>254</v>
      </c>
    </row>
    <row r="253" customFormat="false" ht="15" hidden="false" customHeight="true" outlineLevel="0" collapsed="false">
      <c r="A253" s="16" t="s">
        <v>255</v>
      </c>
    </row>
    <row r="254" customFormat="false" ht="15" hidden="false" customHeight="true" outlineLevel="0" collapsed="false">
      <c r="A254" s="16" t="s">
        <v>256</v>
      </c>
    </row>
    <row r="256" customFormat="false" ht="15" hidden="false" customHeight="true" outlineLevel="0" collapsed="false">
      <c r="A256" s="15" t="s">
        <v>257</v>
      </c>
    </row>
    <row r="257" customFormat="false" ht="15" hidden="false" customHeight="true" outlineLevel="0" collapsed="false">
      <c r="A257" s="16" t="s">
        <v>258</v>
      </c>
    </row>
    <row r="258" customFormat="false" ht="15" hidden="false" customHeight="true" outlineLevel="0" collapsed="false">
      <c r="A258" s="16" t="s">
        <v>259</v>
      </c>
    </row>
    <row r="259" customFormat="false" ht="15" hidden="false" customHeight="true" outlineLevel="0" collapsed="false">
      <c r="A259" s="16" t="s">
        <v>260</v>
      </c>
    </row>
    <row r="260" customFormat="false" ht="15" hidden="false" customHeight="true" outlineLevel="0" collapsed="false">
      <c r="A260" s="16" t="s">
        <v>261</v>
      </c>
    </row>
    <row r="261" customFormat="false" ht="15" hidden="false" customHeight="true" outlineLevel="0" collapsed="false">
      <c r="A261" s="16" t="s">
        <v>262</v>
      </c>
    </row>
    <row r="262" customFormat="false" ht="15" hidden="false" customHeight="true" outlineLevel="0" collapsed="false">
      <c r="A262" s="16" t="s">
        <v>263</v>
      </c>
    </row>
    <row r="263" customFormat="false" ht="15" hidden="false" customHeight="true" outlineLevel="0" collapsed="false">
      <c r="A263" s="16" t="s">
        <v>264</v>
      </c>
    </row>
    <row r="264" customFormat="false" ht="15" hidden="false" customHeight="true" outlineLevel="0" collapsed="false">
      <c r="A264" s="16" t="s">
        <v>265</v>
      </c>
    </row>
    <row r="265" customFormat="false" ht="15" hidden="false" customHeight="true" outlineLevel="0" collapsed="false">
      <c r="A265" s="16" t="s">
        <v>266</v>
      </c>
    </row>
    <row r="266" customFormat="false" ht="15" hidden="false" customHeight="true" outlineLevel="0" collapsed="false">
      <c r="A266" s="16" t="s">
        <v>267</v>
      </c>
    </row>
    <row r="268" customFormat="false" ht="15" hidden="false" customHeight="true" outlineLevel="0" collapsed="false">
      <c r="A268" s="15" t="s">
        <v>268</v>
      </c>
    </row>
    <row r="269" customFormat="false" ht="15" hidden="false" customHeight="true" outlineLevel="0" collapsed="false">
      <c r="A269" s="17" t="s">
        <v>269</v>
      </c>
    </row>
    <row r="270" customFormat="false" ht="15" hidden="false" customHeight="true" outlineLevel="0" collapsed="false">
      <c r="A270" s="16" t="s">
        <v>270</v>
      </c>
    </row>
    <row r="271" customFormat="false" ht="15" hidden="false" customHeight="true" outlineLevel="0" collapsed="false">
      <c r="A271" s="16" t="s">
        <v>271</v>
      </c>
    </row>
    <row r="272" customFormat="false" ht="15" hidden="false" customHeight="true" outlineLevel="0" collapsed="false">
      <c r="A272" s="16" t="s">
        <v>272</v>
      </c>
    </row>
    <row r="273" customFormat="false" ht="15" hidden="false" customHeight="true" outlineLevel="0" collapsed="false">
      <c r="A273" s="16" t="s">
        <v>273</v>
      </c>
    </row>
    <row r="274" customFormat="false" ht="15" hidden="false" customHeight="true" outlineLevel="0" collapsed="false">
      <c r="A274" s="16" t="s">
        <v>274</v>
      </c>
    </row>
    <row r="275" customFormat="false" ht="15" hidden="false" customHeight="true" outlineLevel="0" collapsed="false">
      <c r="A275" s="16" t="s">
        <v>275</v>
      </c>
    </row>
    <row r="276" customFormat="false" ht="15" hidden="false" customHeight="true" outlineLevel="0" collapsed="false">
      <c r="A276" s="16" t="s">
        <v>276</v>
      </c>
    </row>
    <row r="278" customFormat="false" ht="15" hidden="false" customHeight="true" outlineLevel="0" collapsed="false">
      <c r="A278" s="15" t="s">
        <v>277</v>
      </c>
    </row>
    <row r="279" customFormat="false" ht="15" hidden="false" customHeight="true" outlineLevel="0" collapsed="false">
      <c r="A279" s="16" t="s">
        <v>278</v>
      </c>
    </row>
    <row r="280" customFormat="false" ht="15" hidden="false" customHeight="true" outlineLevel="0" collapsed="false">
      <c r="A280" s="16" t="s">
        <v>279</v>
      </c>
    </row>
    <row r="281" customFormat="false" ht="15" hidden="false" customHeight="true" outlineLevel="0" collapsed="false">
      <c r="A281" s="16" t="s">
        <v>280</v>
      </c>
    </row>
    <row r="282" customFormat="false" ht="15" hidden="false" customHeight="true" outlineLevel="0" collapsed="false">
      <c r="A282" s="16" t="s">
        <v>281</v>
      </c>
    </row>
    <row r="283" customFormat="false" ht="15" hidden="false" customHeight="true" outlineLevel="0" collapsed="false">
      <c r="A283" s="16" t="s">
        <v>282</v>
      </c>
    </row>
    <row r="284" customFormat="false" ht="15" hidden="false" customHeight="true" outlineLevel="0" collapsed="false">
      <c r="A284" s="16" t="s">
        <v>283</v>
      </c>
    </row>
    <row r="285" customFormat="false" ht="15" hidden="false" customHeight="true" outlineLevel="0" collapsed="false">
      <c r="A285" s="16" t="s">
        <v>284</v>
      </c>
    </row>
    <row r="286" customFormat="false" ht="15" hidden="false" customHeight="true" outlineLevel="0" collapsed="false">
      <c r="A286" s="16" t="s">
        <v>285</v>
      </c>
    </row>
    <row r="287" customFormat="false" ht="15" hidden="false" customHeight="true" outlineLevel="0" collapsed="false">
      <c r="A287" s="16" t="s">
        <v>286</v>
      </c>
    </row>
    <row r="289" customFormat="false" ht="15" hidden="false" customHeight="true" outlineLevel="0" collapsed="false">
      <c r="A289" s="15" t="s">
        <v>287</v>
      </c>
    </row>
    <row r="290" customFormat="false" ht="15" hidden="false" customHeight="true" outlineLevel="0" collapsed="false">
      <c r="A290" s="16" t="s">
        <v>288</v>
      </c>
    </row>
    <row r="291" customFormat="false" ht="15" hidden="false" customHeight="true" outlineLevel="0" collapsed="false">
      <c r="A291" s="16" t="s">
        <v>289</v>
      </c>
    </row>
    <row r="292" customFormat="false" ht="15" hidden="false" customHeight="true" outlineLevel="0" collapsed="false">
      <c r="A292" s="16" t="s">
        <v>290</v>
      </c>
    </row>
    <row r="293" customFormat="false" ht="15" hidden="false" customHeight="true" outlineLevel="0" collapsed="false">
      <c r="A293" s="16" t="s">
        <v>291</v>
      </c>
    </row>
    <row r="295" customFormat="false" ht="15" hidden="false" customHeight="true" outlineLevel="0" collapsed="false">
      <c r="A295" s="15" t="s">
        <v>292</v>
      </c>
    </row>
    <row r="296" customFormat="false" ht="15" hidden="false" customHeight="true" outlineLevel="0" collapsed="false">
      <c r="A296" s="16" t="s">
        <v>293</v>
      </c>
    </row>
    <row r="297" customFormat="false" ht="15" hidden="false" customHeight="true" outlineLevel="0" collapsed="false">
      <c r="A297" s="16" t="s">
        <v>294</v>
      </c>
    </row>
    <row r="298" customFormat="false" ht="15" hidden="false" customHeight="true" outlineLevel="0" collapsed="false">
      <c r="A298" s="16" t="s">
        <v>295</v>
      </c>
    </row>
    <row r="299" customFormat="false" ht="15" hidden="false" customHeight="true" outlineLevel="0" collapsed="false">
      <c r="A299" s="16" t="s">
        <v>296</v>
      </c>
    </row>
    <row r="300" customFormat="false" ht="15" hidden="false" customHeight="true" outlineLevel="0" collapsed="false">
      <c r="A300" s="16" t="s">
        <v>297</v>
      </c>
    </row>
    <row r="301" customFormat="false" ht="15" hidden="false" customHeight="true" outlineLevel="0" collapsed="false">
      <c r="A301" s="16" t="s">
        <v>298</v>
      </c>
    </row>
    <row r="303" customFormat="false" ht="15" hidden="false" customHeight="true" outlineLevel="0" collapsed="false">
      <c r="A303" s="15" t="s">
        <v>299</v>
      </c>
    </row>
    <row r="304" customFormat="false" ht="15" hidden="false" customHeight="true" outlineLevel="0" collapsed="false">
      <c r="A304" s="16" t="s">
        <v>300</v>
      </c>
    </row>
    <row r="305" customFormat="false" ht="15" hidden="false" customHeight="true" outlineLevel="0" collapsed="false">
      <c r="A305" s="16" t="s">
        <v>301</v>
      </c>
    </row>
    <row r="306" customFormat="false" ht="15" hidden="false" customHeight="true" outlineLevel="0" collapsed="false">
      <c r="A306" s="16" t="s">
        <v>302</v>
      </c>
    </row>
    <row r="307" customFormat="false" ht="15" hidden="false" customHeight="true" outlineLevel="0" collapsed="false">
      <c r="A307" s="16" t="s">
        <v>303</v>
      </c>
    </row>
    <row r="308" customFormat="false" ht="15" hidden="false" customHeight="true" outlineLevel="0" collapsed="false">
      <c r="A308" s="16" t="s">
        <v>304</v>
      </c>
    </row>
    <row r="309" customFormat="false" ht="15" hidden="false" customHeight="true" outlineLevel="0" collapsed="false">
      <c r="A309" s="16" t="s">
        <v>305</v>
      </c>
    </row>
    <row r="311" customFormat="false" ht="15" hidden="false" customHeight="true" outlineLevel="0" collapsed="false">
      <c r="A311" s="15" t="s">
        <v>306</v>
      </c>
    </row>
    <row r="312" customFormat="false" ht="15" hidden="false" customHeight="true" outlineLevel="0" collapsed="false">
      <c r="A312" s="16" t="s">
        <v>307</v>
      </c>
    </row>
    <row r="313" customFormat="false" ht="15" hidden="false" customHeight="true" outlineLevel="0" collapsed="false">
      <c r="A313" s="16" t="s">
        <v>308</v>
      </c>
    </row>
    <row r="314" customFormat="false" ht="15" hidden="false" customHeight="true" outlineLevel="0" collapsed="false">
      <c r="A314" s="16" t="s">
        <v>309</v>
      </c>
    </row>
    <row r="315" customFormat="false" ht="15" hidden="false" customHeight="true" outlineLevel="0" collapsed="false">
      <c r="A315" s="16" t="s">
        <v>310</v>
      </c>
    </row>
    <row r="316" customFormat="false" ht="15" hidden="false" customHeight="true" outlineLevel="0" collapsed="false">
      <c r="A316" s="16" t="s">
        <v>311</v>
      </c>
    </row>
    <row r="317" customFormat="false" ht="15" hidden="false" customHeight="true" outlineLevel="0" collapsed="false">
      <c r="A317" s="16" t="s">
        <v>312</v>
      </c>
    </row>
    <row r="318" customFormat="false" ht="15" hidden="false" customHeight="true" outlineLevel="0" collapsed="false">
      <c r="A318" s="17" t="s">
        <v>313</v>
      </c>
    </row>
    <row r="320" customFormat="false" ht="15" hidden="false" customHeight="true" outlineLevel="0" collapsed="false">
      <c r="A320" s="15" t="s">
        <v>314</v>
      </c>
    </row>
    <row r="321" customFormat="false" ht="15" hidden="false" customHeight="true" outlineLevel="0" collapsed="false">
      <c r="A321" s="16" t="s">
        <v>315</v>
      </c>
    </row>
    <row r="322" customFormat="false" ht="15" hidden="false" customHeight="true" outlineLevel="0" collapsed="false">
      <c r="A322" s="16" t="s">
        <v>316</v>
      </c>
    </row>
    <row r="323" customFormat="false" ht="15" hidden="false" customHeight="true" outlineLevel="0" collapsed="false">
      <c r="A323" s="16" t="s">
        <v>317</v>
      </c>
    </row>
    <row r="324" customFormat="false" ht="15" hidden="false" customHeight="true" outlineLevel="0" collapsed="false">
      <c r="A324" s="17" t="s">
        <v>318</v>
      </c>
    </row>
    <row r="325" customFormat="false" ht="15" hidden="false" customHeight="true" outlineLevel="0" collapsed="false">
      <c r="A325" s="16" t="s">
        <v>319</v>
      </c>
    </row>
    <row r="326" customFormat="false" ht="15" hidden="false" customHeight="true" outlineLevel="0" collapsed="false">
      <c r="A326" s="16" t="s">
        <v>320</v>
      </c>
    </row>
    <row r="327" customFormat="false" ht="15" hidden="false" customHeight="true" outlineLevel="0" collapsed="false">
      <c r="A327" s="16" t="s">
        <v>321</v>
      </c>
    </row>
    <row r="329" customFormat="false" ht="15" hidden="false" customHeight="true" outlineLevel="0" collapsed="false">
      <c r="A329" s="15" t="s">
        <v>322</v>
      </c>
    </row>
    <row r="330" customFormat="false" ht="15" hidden="false" customHeight="true" outlineLevel="0" collapsed="false">
      <c r="A330" s="16" t="s">
        <v>323</v>
      </c>
    </row>
    <row r="331" customFormat="false" ht="15" hidden="false" customHeight="true" outlineLevel="0" collapsed="false">
      <c r="A331" s="16" t="s">
        <v>324</v>
      </c>
    </row>
    <row r="332" customFormat="false" ht="15" hidden="false" customHeight="true" outlineLevel="0" collapsed="false">
      <c r="A332" s="16" t="s">
        <v>325</v>
      </c>
    </row>
    <row r="333" customFormat="false" ht="15" hidden="false" customHeight="true" outlineLevel="0" collapsed="false">
      <c r="A333" s="16" t="s">
        <v>326</v>
      </c>
    </row>
    <row r="334" customFormat="false" ht="15" hidden="false" customHeight="true" outlineLevel="0" collapsed="false">
      <c r="A334" s="16" t="s">
        <v>327</v>
      </c>
    </row>
    <row r="335" customFormat="false" ht="15" hidden="false" customHeight="true" outlineLevel="0" collapsed="false">
      <c r="A335" s="16" t="s">
        <v>328</v>
      </c>
    </row>
    <row r="336" customFormat="false" ht="15" hidden="false" customHeight="true" outlineLevel="0" collapsed="false">
      <c r="A336" s="16" t="s">
        <v>329</v>
      </c>
    </row>
    <row r="338" customFormat="false" ht="15" hidden="false" customHeight="true" outlineLevel="0" collapsed="false">
      <c r="A338" s="15" t="s">
        <v>330</v>
      </c>
    </row>
    <row r="339" customFormat="false" ht="15" hidden="false" customHeight="true" outlineLevel="0" collapsed="false">
      <c r="A339" s="16" t="s">
        <v>331</v>
      </c>
    </row>
    <row r="340" customFormat="false" ht="15" hidden="false" customHeight="true" outlineLevel="0" collapsed="false">
      <c r="A340" s="16" t="s">
        <v>332</v>
      </c>
    </row>
    <row r="341" customFormat="false" ht="15" hidden="false" customHeight="true" outlineLevel="0" collapsed="false">
      <c r="A341" s="16" t="s">
        <v>333</v>
      </c>
    </row>
    <row r="342" customFormat="false" ht="15" hidden="false" customHeight="true" outlineLevel="0" collapsed="false">
      <c r="A342" s="16" t="s">
        <v>334</v>
      </c>
    </row>
    <row r="343" customFormat="false" ht="15" hidden="false" customHeight="true" outlineLevel="0" collapsed="false">
      <c r="A343" s="16" t="s">
        <v>335</v>
      </c>
    </row>
    <row r="345" customFormat="false" ht="15" hidden="false" customHeight="true" outlineLevel="0" collapsed="false">
      <c r="A345" s="15" t="s">
        <v>336</v>
      </c>
    </row>
    <row r="346" customFormat="false" ht="15" hidden="false" customHeight="true" outlineLevel="0" collapsed="false">
      <c r="A346" s="16" t="s">
        <v>337</v>
      </c>
    </row>
    <row r="347" customFormat="false" ht="15" hidden="false" customHeight="true" outlineLevel="0" collapsed="false">
      <c r="A347" s="16" t="s">
        <v>338</v>
      </c>
    </row>
    <row r="348" customFormat="false" ht="15" hidden="false" customHeight="true" outlineLevel="0" collapsed="false">
      <c r="A348" s="16" t="s">
        <v>339</v>
      </c>
    </row>
    <row r="349" customFormat="false" ht="15" hidden="false" customHeight="true" outlineLevel="0" collapsed="false">
      <c r="A349" s="16" t="s">
        <v>340</v>
      </c>
    </row>
    <row r="350" customFormat="false" ht="15" hidden="false" customHeight="true" outlineLevel="0" collapsed="false">
      <c r="A350" s="16" t="s">
        <v>341</v>
      </c>
    </row>
    <row r="351" customFormat="false" ht="15" hidden="false" customHeight="true" outlineLevel="0" collapsed="false">
      <c r="A351" s="16" t="s">
        <v>342</v>
      </c>
    </row>
    <row r="352" customFormat="false" ht="15" hidden="false" customHeight="true" outlineLevel="0" collapsed="false">
      <c r="A352" s="16" t="s">
        <v>343</v>
      </c>
    </row>
    <row r="354" customFormat="false" ht="15" hidden="false" customHeight="true" outlineLevel="0" collapsed="false">
      <c r="A354" s="15" t="s">
        <v>344</v>
      </c>
    </row>
    <row r="355" customFormat="false" ht="15" hidden="false" customHeight="true" outlineLevel="0" collapsed="false">
      <c r="A355" s="16" t="s">
        <v>345</v>
      </c>
    </row>
    <row r="356" customFormat="false" ht="15" hidden="false" customHeight="true" outlineLevel="0" collapsed="false">
      <c r="A356" s="16" t="s">
        <v>346</v>
      </c>
    </row>
    <row r="357" customFormat="false" ht="15" hidden="false" customHeight="true" outlineLevel="0" collapsed="false">
      <c r="A357" s="16" t="s">
        <v>347</v>
      </c>
    </row>
    <row r="358" customFormat="false" ht="15" hidden="false" customHeight="true" outlineLevel="0" collapsed="false">
      <c r="A358" s="16" t="s">
        <v>348</v>
      </c>
    </row>
    <row r="359" customFormat="false" ht="15" hidden="false" customHeight="true" outlineLevel="0" collapsed="false">
      <c r="A359" s="16" t="s">
        <v>349</v>
      </c>
    </row>
    <row r="360" customFormat="false" ht="15" hidden="false" customHeight="true" outlineLevel="0" collapsed="false">
      <c r="A360" s="16" t="s">
        <v>350</v>
      </c>
    </row>
    <row r="361" customFormat="false" ht="15" hidden="false" customHeight="true" outlineLevel="0" collapsed="false">
      <c r="A361" s="16" t="s">
        <v>351</v>
      </c>
    </row>
    <row r="363" customFormat="false" ht="15" hidden="false" customHeight="false" outlineLevel="0" collapsed="false">
      <c r="A363" s="18" t="s">
        <v>352</v>
      </c>
    </row>
    <row r="364" customFormat="false" ht="15" hidden="false" customHeight="false" outlineLevel="0" collapsed="false">
      <c r="A364" s="19" t="s">
        <v>353</v>
      </c>
    </row>
    <row r="365" customFormat="false" ht="15" hidden="false" customHeight="false" outlineLevel="0" collapsed="false">
      <c r="A365" s="19" t="s">
        <v>354</v>
      </c>
    </row>
    <row r="366" customFormat="false" ht="15" hidden="false" customHeight="false" outlineLevel="0" collapsed="false">
      <c r="A366" s="19" t="s">
        <v>355</v>
      </c>
    </row>
    <row r="367" customFormat="false" ht="15" hidden="false" customHeight="false" outlineLevel="0" collapsed="false">
      <c r="A367" s="20" t="s">
        <v>356</v>
      </c>
    </row>
    <row r="368" customFormat="false" ht="15" hidden="false" customHeight="false" outlineLevel="0" collapsed="false">
      <c r="A368" s="19" t="s">
        <v>357</v>
      </c>
    </row>
    <row r="369" customFormat="false" ht="15" hidden="false" customHeight="false" outlineLevel="0" collapsed="false">
      <c r="A369" s="19" t="s">
        <v>358</v>
      </c>
    </row>
    <row r="370" customFormat="false" ht="15" hidden="false" customHeight="false" outlineLevel="0" collapsed="false">
      <c r="A370" s="19" t="s">
        <v>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3" min="3" style="1" width="26"/>
    <col collapsed="false" customWidth="true" hidden="false" outlineLevel="0" max="4" min="4" style="1" width="18"/>
    <col collapsed="false" customWidth="true" hidden="false" outlineLevel="0" max="5" min="5" style="1" width="14"/>
    <col collapsed="false" customWidth="true" hidden="false" outlineLevel="0" max="6" min="6" style="1" width="30"/>
    <col collapsed="false" customWidth="true" hidden="false" outlineLevel="0" max="7" min="7" style="1" width="10"/>
    <col collapsed="false" customWidth="true" hidden="false" outlineLevel="0" max="8" min="8" style="1" width="24"/>
    <col collapsed="false" customWidth="true" hidden="false" outlineLevel="0" max="9" min="9" style="1" width="12"/>
    <col collapsed="false" customWidth="true" hidden="false" outlineLevel="0" max="10" min="10" style="1" width="14"/>
    <col collapsed="false" customWidth="true" hidden="false" outlineLevel="0" max="12" min="11" style="1" width="12"/>
    <col collapsed="false" customWidth="true" hidden="false" outlineLevel="0" max="13" min="13" style="1" width="46"/>
  </cols>
  <sheetData>
    <row r="1" customFormat="false" ht="43.5" hidden="false" customHeight="true" outlineLevel="0" collapsed="false">
      <c r="A1" s="21" t="s">
        <v>360</v>
      </c>
      <c r="B1" s="21" t="s">
        <v>361</v>
      </c>
      <c r="C1" s="21" t="s">
        <v>362</v>
      </c>
      <c r="D1" s="21" t="s">
        <v>363</v>
      </c>
      <c r="E1" s="21" t="s">
        <v>364</v>
      </c>
      <c r="F1" s="21" t="s">
        <v>365</v>
      </c>
      <c r="G1" s="21" t="s">
        <v>366</v>
      </c>
      <c r="H1" s="21" t="s">
        <v>367</v>
      </c>
      <c r="I1" s="21" t="s">
        <v>368</v>
      </c>
      <c r="J1" s="21" t="s">
        <v>369</v>
      </c>
      <c r="K1" s="21" t="s">
        <v>370</v>
      </c>
      <c r="L1" s="21" t="s">
        <v>371</v>
      </c>
      <c r="M1" s="21" t="s">
        <v>372</v>
      </c>
    </row>
    <row r="2" customFormat="false" ht="29.25" hidden="false" customHeight="true" outlineLevel="0" collapsed="false">
      <c r="A2" s="22" t="s">
        <v>373</v>
      </c>
      <c r="B2" s="22" t="s">
        <v>374</v>
      </c>
      <c r="C2" s="23" t="s">
        <v>375</v>
      </c>
      <c r="D2" s="23" t="s">
        <v>376</v>
      </c>
      <c r="E2" s="23" t="s">
        <v>377</v>
      </c>
      <c r="F2" s="23" t="s">
        <v>378</v>
      </c>
      <c r="G2" s="22" t="s">
        <v>379</v>
      </c>
      <c r="H2" s="22" t="s">
        <v>380</v>
      </c>
      <c r="I2" s="22" t="n">
        <v>70</v>
      </c>
      <c r="J2" s="24" t="n">
        <v>1519039</v>
      </c>
      <c r="K2" s="25" t="n">
        <f aca="false">COUNTIF(物件マスタ!$B:$B,$A2)</f>
        <v>71</v>
      </c>
      <c r="L2" s="23" t="s">
        <v>381</v>
      </c>
      <c r="M2" s="23" t="s">
        <v>382</v>
      </c>
    </row>
    <row r="3" customFormat="false" ht="29.25" hidden="false" customHeight="true" outlineLevel="0" collapsed="false">
      <c r="A3" s="22" t="s">
        <v>383</v>
      </c>
      <c r="B3" s="22" t="s">
        <v>384</v>
      </c>
      <c r="C3" s="23" t="s">
        <v>385</v>
      </c>
      <c r="D3" s="23" t="s">
        <v>376</v>
      </c>
      <c r="E3" s="23" t="s">
        <v>377</v>
      </c>
      <c r="F3" s="23" t="s">
        <v>386</v>
      </c>
      <c r="G3" s="22" t="s">
        <v>387</v>
      </c>
      <c r="H3" s="26" t="s">
        <v>388</v>
      </c>
      <c r="I3" s="22" t="n">
        <v>79</v>
      </c>
      <c r="J3" s="24" t="n">
        <v>1197029</v>
      </c>
      <c r="K3" s="25" t="n">
        <f aca="false">COUNTIF(物件マスタ!$B:$B,$A3)</f>
        <v>80</v>
      </c>
      <c r="L3" s="27" t="s">
        <v>381</v>
      </c>
      <c r="M3" s="23" t="s">
        <v>389</v>
      </c>
    </row>
    <row r="4" customFormat="false" ht="29.25" hidden="false" customHeight="true" outlineLevel="0" collapsed="false">
      <c r="A4" s="22" t="s">
        <v>390</v>
      </c>
      <c r="B4" s="22" t="s">
        <v>391</v>
      </c>
      <c r="C4" s="23" t="s">
        <v>392</v>
      </c>
      <c r="D4" s="23" t="s">
        <v>376</v>
      </c>
      <c r="E4" s="23" t="s">
        <v>377</v>
      </c>
      <c r="F4" s="23" t="s">
        <v>393</v>
      </c>
      <c r="G4" s="22" t="s">
        <v>387</v>
      </c>
      <c r="H4" s="22" t="s">
        <v>394</v>
      </c>
      <c r="I4" s="22" t="n">
        <v>17</v>
      </c>
      <c r="J4" s="24" t="n">
        <v>232273</v>
      </c>
      <c r="K4" s="25" t="n">
        <f aca="false">COUNTIF(物件マスタ!$B:$B,$A4)</f>
        <v>19</v>
      </c>
      <c r="L4" s="23" t="s">
        <v>381</v>
      </c>
      <c r="M4" s="23" t="s">
        <v>395</v>
      </c>
    </row>
    <row r="5" customFormat="false" ht="29.25" hidden="false" customHeight="true" outlineLevel="0" collapsed="false">
      <c r="A5" s="22" t="s">
        <v>396</v>
      </c>
      <c r="B5" s="22" t="s">
        <v>397</v>
      </c>
      <c r="C5" s="23" t="s">
        <v>398</v>
      </c>
      <c r="D5" s="23" t="s">
        <v>376</v>
      </c>
      <c r="E5" s="23" t="s">
        <v>377</v>
      </c>
      <c r="F5" s="23" t="s">
        <v>399</v>
      </c>
      <c r="G5" s="22" t="s">
        <v>400</v>
      </c>
      <c r="H5" s="22" t="s">
        <v>401</v>
      </c>
      <c r="I5" s="22" t="n">
        <v>58</v>
      </c>
      <c r="J5" s="24" t="n">
        <v>487709</v>
      </c>
      <c r="K5" s="25" t="n">
        <f aca="false">COUNTIF(物件マスタ!$B:$B,$A5)</f>
        <v>61</v>
      </c>
      <c r="L5" s="23" t="s">
        <v>381</v>
      </c>
      <c r="M5" s="23" t="s">
        <v>402</v>
      </c>
    </row>
    <row r="6" customFormat="false" ht="15" hidden="false" customHeight="true" outlineLevel="0" collapsed="false">
      <c r="A6" s="22" t="s">
        <v>403</v>
      </c>
      <c r="B6" s="22" t="s">
        <v>404</v>
      </c>
      <c r="C6" s="23" t="s">
        <v>405</v>
      </c>
      <c r="D6" s="23" t="s">
        <v>406</v>
      </c>
      <c r="E6" s="23" t="s">
        <v>407</v>
      </c>
      <c r="F6" s="23" t="s">
        <v>408</v>
      </c>
      <c r="G6" s="22" t="s">
        <v>409</v>
      </c>
      <c r="H6" s="22" t="s">
        <v>410</v>
      </c>
      <c r="I6" s="22" t="n">
        <v>87</v>
      </c>
      <c r="J6" s="24" t="n">
        <v>222508</v>
      </c>
      <c r="K6" s="25" t="n">
        <f aca="false">COUNTIF(物件マスタ!$B:$B,$A6)</f>
        <v>89</v>
      </c>
      <c r="L6" s="23" t="s">
        <v>381</v>
      </c>
      <c r="M6" s="23" t="s">
        <v>411</v>
      </c>
    </row>
    <row r="7" customFormat="false" ht="29.25" hidden="false" customHeight="true" outlineLevel="0" collapsed="false">
      <c r="A7" s="22" t="s">
        <v>412</v>
      </c>
      <c r="B7" s="22" t="s">
        <v>413</v>
      </c>
      <c r="C7" s="23" t="s">
        <v>414</v>
      </c>
      <c r="D7" s="23" t="s">
        <v>376</v>
      </c>
      <c r="E7" s="23" t="s">
        <v>377</v>
      </c>
      <c r="F7" s="23" t="s">
        <v>415</v>
      </c>
      <c r="G7" s="22" t="s">
        <v>379</v>
      </c>
      <c r="H7" s="22" t="s">
        <v>416</v>
      </c>
      <c r="I7" s="22" t="n">
        <v>33</v>
      </c>
      <c r="J7" s="24" t="n">
        <v>290534</v>
      </c>
      <c r="K7" s="25" t="n">
        <f aca="false">COUNTIF(物件マスタ!$B:$B,$A7)</f>
        <v>35</v>
      </c>
      <c r="L7" s="23" t="s">
        <v>381</v>
      </c>
      <c r="M7" s="22" t="s">
        <v>417</v>
      </c>
    </row>
    <row r="8" customFormat="false" ht="29.25" hidden="false" customHeight="true" outlineLevel="0" collapsed="false">
      <c r="A8" s="22" t="s">
        <v>418</v>
      </c>
      <c r="B8" s="22" t="s">
        <v>419</v>
      </c>
      <c r="C8" s="23" t="s">
        <v>420</v>
      </c>
      <c r="D8" s="23" t="s">
        <v>421</v>
      </c>
      <c r="E8" s="23" t="s">
        <v>422</v>
      </c>
      <c r="F8" s="23" t="s">
        <v>423</v>
      </c>
      <c r="G8" s="22" t="s">
        <v>424</v>
      </c>
      <c r="H8" s="22" t="s">
        <v>425</v>
      </c>
      <c r="I8" s="22" t="n">
        <v>11</v>
      </c>
      <c r="J8" s="24" t="n">
        <v>416049</v>
      </c>
      <c r="K8" s="25" t="n">
        <f aca="false">COUNTIF(物件マスタ!$B:$B,$A8)</f>
        <v>12</v>
      </c>
      <c r="L8" s="23" t="s">
        <v>381</v>
      </c>
      <c r="M8" s="23" t="s">
        <v>426</v>
      </c>
    </row>
    <row r="9" customFormat="false" ht="29.25" hidden="false" customHeight="true" outlineLevel="0" collapsed="false">
      <c r="A9" s="22" t="s">
        <v>427</v>
      </c>
      <c r="B9" s="22" t="s">
        <v>428</v>
      </c>
      <c r="C9" s="23" t="s">
        <v>429</v>
      </c>
      <c r="D9" s="23" t="s">
        <v>430</v>
      </c>
      <c r="E9" s="23" t="s">
        <v>407</v>
      </c>
      <c r="F9" s="23" t="s">
        <v>431</v>
      </c>
      <c r="G9" s="22" t="s">
        <v>379</v>
      </c>
      <c r="H9" s="22" t="s">
        <v>432</v>
      </c>
      <c r="I9" s="22" t="n">
        <v>67</v>
      </c>
      <c r="J9" s="24" t="n">
        <v>556828</v>
      </c>
      <c r="K9" s="25" t="n">
        <f aca="false">COUNTIF(物件マスタ!$B:$B,$A9)</f>
        <v>69</v>
      </c>
      <c r="L9" s="23" t="s">
        <v>381</v>
      </c>
      <c r="M9" s="23" t="s">
        <v>433</v>
      </c>
    </row>
    <row r="10" customFormat="false" ht="29.25" hidden="false" customHeight="true" outlineLevel="0" collapsed="false">
      <c r="A10" s="22" t="s">
        <v>434</v>
      </c>
      <c r="B10" s="22" t="s">
        <v>435</v>
      </c>
      <c r="C10" s="23" t="s">
        <v>436</v>
      </c>
      <c r="D10" s="23" t="s">
        <v>430</v>
      </c>
      <c r="E10" s="23" t="s">
        <v>407</v>
      </c>
      <c r="F10" s="23" t="s">
        <v>437</v>
      </c>
      <c r="G10" s="22" t="s">
        <v>424</v>
      </c>
      <c r="H10" s="22" t="s">
        <v>438</v>
      </c>
      <c r="I10" s="22" t="n">
        <v>28</v>
      </c>
      <c r="J10" s="24" t="n">
        <v>244261</v>
      </c>
      <c r="K10" s="25" t="n">
        <f aca="false">COUNTIF(物件マスタ!$B:$B,$A10)</f>
        <v>29</v>
      </c>
      <c r="L10" s="23" t="s">
        <v>381</v>
      </c>
      <c r="M10" s="23" t="s">
        <v>439</v>
      </c>
    </row>
    <row r="11" customFormat="false" ht="43.5" hidden="false" customHeight="true" outlineLevel="0" collapsed="false">
      <c r="A11" s="22" t="s">
        <v>440</v>
      </c>
      <c r="B11" s="22" t="s">
        <v>441</v>
      </c>
      <c r="C11" s="23" t="s">
        <v>442</v>
      </c>
      <c r="D11" s="23" t="s">
        <v>443</v>
      </c>
      <c r="E11" s="23" t="s">
        <v>407</v>
      </c>
      <c r="F11" s="23" t="s">
        <v>444</v>
      </c>
      <c r="G11" s="22" t="s">
        <v>445</v>
      </c>
      <c r="H11" s="26" t="s">
        <v>446</v>
      </c>
      <c r="I11" s="22" t="n">
        <v>67</v>
      </c>
      <c r="J11" s="24" t="n">
        <v>421530</v>
      </c>
      <c r="K11" s="25" t="n">
        <f aca="false">COUNTIF(物件マスタ!$B:$B,$A11)</f>
        <v>70</v>
      </c>
      <c r="L11" s="27" t="s">
        <v>381</v>
      </c>
      <c r="M11" s="23" t="s">
        <v>447</v>
      </c>
    </row>
    <row r="12" customFormat="false" ht="29.25" hidden="false" customHeight="true" outlineLevel="0" collapsed="false">
      <c r="A12" s="22" t="s">
        <v>448</v>
      </c>
      <c r="B12" s="22" t="s">
        <v>449</v>
      </c>
      <c r="C12" s="22" t="s">
        <v>450</v>
      </c>
      <c r="D12" s="23" t="s">
        <v>451</v>
      </c>
      <c r="E12" s="23" t="s">
        <v>452</v>
      </c>
      <c r="F12" s="22" t="s">
        <v>453</v>
      </c>
      <c r="G12" s="22" t="s">
        <v>409</v>
      </c>
      <c r="H12" s="22" t="s">
        <v>454</v>
      </c>
      <c r="I12" s="22" t="n">
        <v>62</v>
      </c>
      <c r="J12" s="24" t="n">
        <v>295266</v>
      </c>
      <c r="K12" s="25" t="n">
        <f aca="false">COUNTIF(物件マスタ!$B:$B,$A12)</f>
        <v>64</v>
      </c>
      <c r="L12" s="23" t="s">
        <v>381</v>
      </c>
      <c r="M12" s="23" t="s">
        <v>455</v>
      </c>
    </row>
    <row r="13" customFormat="false" ht="29.25" hidden="false" customHeight="true" outlineLevel="0" collapsed="false">
      <c r="A13" s="22" t="s">
        <v>456</v>
      </c>
      <c r="B13" s="22" t="s">
        <v>457</v>
      </c>
      <c r="C13" s="23" t="s">
        <v>458</v>
      </c>
      <c r="D13" s="23" t="s">
        <v>451</v>
      </c>
      <c r="E13" s="23" t="s">
        <v>459</v>
      </c>
      <c r="F13" s="23" t="s">
        <v>460</v>
      </c>
      <c r="G13" s="22" t="s">
        <v>400</v>
      </c>
      <c r="H13" s="22" t="s">
        <v>461</v>
      </c>
      <c r="I13" s="22" t="n">
        <v>136</v>
      </c>
      <c r="J13" s="24" t="n">
        <v>265046</v>
      </c>
      <c r="K13" s="25" t="n">
        <f aca="false">COUNTIF(物件マスタ!$B:$B,$A13)</f>
        <v>139</v>
      </c>
      <c r="L13" s="23" t="s">
        <v>381</v>
      </c>
      <c r="M13" s="23" t="s">
        <v>462</v>
      </c>
    </row>
    <row r="14" customFormat="false" ht="29.25" hidden="false" customHeight="true" outlineLevel="0" collapsed="false">
      <c r="A14" s="22" t="s">
        <v>463</v>
      </c>
      <c r="B14" s="22" t="s">
        <v>464</v>
      </c>
      <c r="C14" s="23" t="s">
        <v>465</v>
      </c>
      <c r="D14" s="23" t="s">
        <v>451</v>
      </c>
      <c r="E14" s="23" t="s">
        <v>459</v>
      </c>
      <c r="F14" s="23" t="s">
        <v>466</v>
      </c>
      <c r="G14" s="22" t="s">
        <v>409</v>
      </c>
      <c r="H14" s="22" t="s">
        <v>467</v>
      </c>
      <c r="I14" s="22" t="n">
        <v>138</v>
      </c>
      <c r="J14" s="24" t="n">
        <v>561102</v>
      </c>
      <c r="K14" s="25" t="n">
        <f aca="false">COUNTIF(物件マスタ!$B:$B,$A14)</f>
        <v>151</v>
      </c>
      <c r="L14" s="23" t="s">
        <v>381</v>
      </c>
      <c r="M14" s="23" t="s">
        <v>468</v>
      </c>
    </row>
    <row r="15" customFormat="false" ht="29.25" hidden="false" customHeight="true" outlineLevel="0" collapsed="false">
      <c r="A15" s="22" t="s">
        <v>469</v>
      </c>
      <c r="B15" s="22" t="s">
        <v>470</v>
      </c>
      <c r="C15" s="23" t="s">
        <v>471</v>
      </c>
      <c r="D15" s="23" t="s">
        <v>472</v>
      </c>
      <c r="E15" s="23" t="s">
        <v>452</v>
      </c>
      <c r="F15" s="23" t="s">
        <v>473</v>
      </c>
      <c r="G15" s="23" t="s">
        <v>474</v>
      </c>
      <c r="H15" s="26" t="s">
        <v>475</v>
      </c>
      <c r="I15" s="22" t="n">
        <v>20</v>
      </c>
      <c r="J15" s="24" t="n">
        <v>463522</v>
      </c>
      <c r="K15" s="25" t="n">
        <f aca="false">COUNTIF(物件マスタ!$B:$B,$A15)</f>
        <v>21</v>
      </c>
      <c r="L15" s="27" t="s">
        <v>381</v>
      </c>
      <c r="M15" s="22" t="s">
        <v>476</v>
      </c>
    </row>
    <row r="16" customFormat="false" ht="29.25" hidden="false" customHeight="true" outlineLevel="0" collapsed="false">
      <c r="A16" s="22" t="s">
        <v>477</v>
      </c>
      <c r="B16" s="22" t="s">
        <v>478</v>
      </c>
      <c r="C16" s="23" t="s">
        <v>479</v>
      </c>
      <c r="D16" s="23" t="s">
        <v>480</v>
      </c>
      <c r="E16" s="22" t="s">
        <v>481</v>
      </c>
      <c r="F16" s="23" t="s">
        <v>482</v>
      </c>
      <c r="G16" s="22" t="s">
        <v>445</v>
      </c>
      <c r="H16" s="26" t="s">
        <v>483</v>
      </c>
      <c r="I16" s="22" t="n">
        <v>16</v>
      </c>
      <c r="J16" s="24" t="n">
        <v>93938</v>
      </c>
      <c r="K16" s="25" t="n">
        <f aca="false">COUNTIF(物件マスタ!$B:$B,$A16)</f>
        <v>17</v>
      </c>
      <c r="L16" s="27" t="s">
        <v>381</v>
      </c>
      <c r="M16" s="23" t="s">
        <v>484</v>
      </c>
    </row>
    <row r="17" customFormat="false" ht="29.25" hidden="false" customHeight="true" outlineLevel="0" collapsed="false">
      <c r="A17" s="22" t="s">
        <v>485</v>
      </c>
      <c r="B17" s="22" t="s">
        <v>486</v>
      </c>
      <c r="C17" s="23" t="s">
        <v>487</v>
      </c>
      <c r="D17" s="23" t="s">
        <v>488</v>
      </c>
      <c r="E17" s="23" t="s">
        <v>459</v>
      </c>
      <c r="F17" s="23" t="s">
        <v>489</v>
      </c>
      <c r="G17" s="22" t="s">
        <v>409</v>
      </c>
      <c r="H17" s="22" t="s">
        <v>490</v>
      </c>
      <c r="I17" s="22" t="n">
        <v>343</v>
      </c>
      <c r="J17" s="24" t="n">
        <v>1218978</v>
      </c>
      <c r="K17" s="25" t="n">
        <f aca="false">COUNTIF(物件マスタ!$B:$B,$A17)</f>
        <v>346</v>
      </c>
      <c r="L17" s="23" t="s">
        <v>381</v>
      </c>
      <c r="M17" s="23" t="s">
        <v>491</v>
      </c>
    </row>
  </sheetData>
  <autoFilter ref="A1:M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1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5" min="4" style="1" width="10"/>
    <col collapsed="false" customWidth="true" hidden="false" outlineLevel="0" max="6" min="6" style="1" width="12"/>
    <col collapsed="false" customWidth="true" hidden="false" outlineLevel="0" max="7" min="7" style="1" width="26"/>
    <col collapsed="false" customWidth="true" hidden="false" outlineLevel="0" max="8" min="8" style="1" width="14"/>
    <col collapsed="false" customWidth="true" hidden="false" outlineLevel="0" max="9" min="9" style="1" width="12"/>
    <col collapsed="false" customWidth="true" hidden="false" outlineLevel="0" max="10" min="10" style="1" width="9"/>
    <col collapsed="false" customWidth="true" hidden="false" outlineLevel="0" max="12" min="11" style="1" width="11"/>
    <col collapsed="false" customWidth="true" hidden="false" outlineLevel="0" max="13" min="13" style="1" width="12"/>
    <col collapsed="false" customWidth="true" hidden="false" outlineLevel="0" max="15" min="14" style="1" width="8"/>
    <col collapsed="false" customWidth="true" hidden="false" outlineLevel="0" max="16" min="16" style="1" width="11"/>
    <col collapsed="false" customWidth="true" hidden="false" outlineLevel="0" max="17" min="17" style="1" width="9"/>
    <col collapsed="false" customWidth="true" hidden="false" outlineLevel="0" max="18" min="18" style="1" width="11"/>
    <col collapsed="false" customWidth="true" hidden="false" outlineLevel="0" max="19" min="19" style="1" width="13"/>
    <col collapsed="false" customWidth="true" hidden="false" outlineLevel="0" max="21" min="20" style="1" width="14"/>
    <col collapsed="false" customWidth="true" hidden="false" outlineLevel="0" max="22" min="22" style="1" width="12"/>
    <col collapsed="false" customWidth="true" hidden="false" outlineLevel="0" max="23" min="23" style="1" width="9"/>
    <col collapsed="false" customWidth="true" hidden="false" outlineLevel="0" max="24" min="24" style="1" width="8"/>
    <col collapsed="false" customWidth="true" hidden="false" outlineLevel="0" max="25" min="25" style="1" width="7"/>
    <col collapsed="false" customWidth="true" hidden="false" outlineLevel="0" max="26" min="26" style="1" width="26"/>
    <col collapsed="false" customWidth="true" hidden="false" outlineLevel="0" max="27" min="27" style="1" width="11"/>
    <col collapsed="false" customWidth="true" hidden="false" outlineLevel="0" max="28" min="28" style="1" width="24"/>
    <col collapsed="false" customWidth="true" hidden="false" outlineLevel="0" max="32" min="32" style="1" width="22"/>
    <col collapsed="false" customWidth="true" hidden="false" outlineLevel="0" max="33" min="33" style="1" width="26"/>
  </cols>
  <sheetData>
    <row r="1" customFormat="false" ht="43.5" hidden="false" customHeight="true" outlineLevel="0" collapsed="false">
      <c r="A1" s="21" t="s">
        <v>492</v>
      </c>
      <c r="B1" s="21" t="s">
        <v>360</v>
      </c>
      <c r="C1" s="21" t="s">
        <v>493</v>
      </c>
      <c r="D1" s="21" t="s">
        <v>494</v>
      </c>
      <c r="E1" s="21" t="s">
        <v>495</v>
      </c>
      <c r="F1" s="21" t="s">
        <v>496</v>
      </c>
      <c r="G1" s="21" t="s">
        <v>497</v>
      </c>
      <c r="H1" s="21" t="s">
        <v>498</v>
      </c>
      <c r="I1" s="21" t="s">
        <v>499</v>
      </c>
      <c r="J1" s="21" t="s">
        <v>500</v>
      </c>
      <c r="K1" s="21" t="s">
        <v>501</v>
      </c>
      <c r="L1" s="21" t="s">
        <v>502</v>
      </c>
      <c r="M1" s="21" t="s">
        <v>503</v>
      </c>
      <c r="N1" s="21" t="s">
        <v>504</v>
      </c>
      <c r="O1" s="21" t="s">
        <v>505</v>
      </c>
      <c r="P1" s="21" t="s">
        <v>506</v>
      </c>
      <c r="Q1" s="21" t="s">
        <v>507</v>
      </c>
      <c r="R1" s="21" t="s">
        <v>508</v>
      </c>
      <c r="S1" s="21" t="s">
        <v>509</v>
      </c>
      <c r="T1" s="21" t="s">
        <v>510</v>
      </c>
      <c r="U1" s="21" t="s">
        <v>511</v>
      </c>
      <c r="V1" s="21" t="s">
        <v>512</v>
      </c>
      <c r="W1" s="21" t="s">
        <v>513</v>
      </c>
      <c r="X1" s="21" t="s">
        <v>514</v>
      </c>
      <c r="Y1" s="28" t="s">
        <v>515</v>
      </c>
      <c r="Z1" s="21" t="s">
        <v>516</v>
      </c>
      <c r="AA1" s="21" t="s">
        <v>371</v>
      </c>
      <c r="AB1" s="21" t="s">
        <v>372</v>
      </c>
      <c r="AE1" s="29" t="s">
        <v>517</v>
      </c>
      <c r="AF1" s="30" t="s">
        <v>518</v>
      </c>
      <c r="AG1" s="30" t="s">
        <v>519</v>
      </c>
    </row>
    <row r="2" customFormat="false" ht="15" hidden="false" customHeight="true" outlineLevel="0" collapsed="false">
      <c r="A2" s="6" t="s">
        <v>520</v>
      </c>
      <c r="B2" s="6" t="s">
        <v>390</v>
      </c>
      <c r="C2" s="9" t="s">
        <v>521</v>
      </c>
      <c r="D2" s="9" t="s">
        <v>522</v>
      </c>
      <c r="E2" s="9" t="s">
        <v>523</v>
      </c>
      <c r="F2" s="9" t="s">
        <v>524</v>
      </c>
      <c r="G2" s="9"/>
      <c r="H2" s="9" t="s">
        <v>525</v>
      </c>
      <c r="I2" s="9" t="s">
        <v>526</v>
      </c>
      <c r="J2" s="31"/>
      <c r="K2" s="32"/>
      <c r="L2" s="32" t="n">
        <v>51094.82</v>
      </c>
      <c r="M2" s="32" t="n">
        <v>9814.43</v>
      </c>
      <c r="N2" s="6"/>
      <c r="O2" s="6"/>
      <c r="P2" s="33" t="n">
        <v>40148</v>
      </c>
      <c r="Q2" s="34" t="n">
        <f aca="false">IF(OR($A2="",P2=""),"",ROUND(YEARFRAC(P2,README!$C$5),1))</f>
        <v>16.7</v>
      </c>
      <c r="R2" s="33"/>
      <c r="S2" s="35" t="n">
        <v>18200</v>
      </c>
      <c r="T2" s="35" t="n">
        <v>16570</v>
      </c>
      <c r="U2" s="35" t="n">
        <v>23600</v>
      </c>
      <c r="V2" s="35" t="n">
        <v>7030</v>
      </c>
      <c r="W2" s="31" t="n">
        <v>0.955</v>
      </c>
      <c r="X2" s="6" t="n">
        <v>14</v>
      </c>
      <c r="Y2" s="36" t="n">
        <v>2.9</v>
      </c>
      <c r="Z2" s="6" t="s">
        <v>527</v>
      </c>
      <c r="AA2" s="9" t="s">
        <v>528</v>
      </c>
      <c r="AB2" s="9" t="s">
        <v>529</v>
      </c>
      <c r="AC2" s="9"/>
      <c r="AD2" s="9"/>
      <c r="AE2" s="37" t="n">
        <f aca="false">COUNTIF(環境認証!$A$2:$A$849,A2)</f>
        <v>2</v>
      </c>
      <c r="AF2" s="6" t="n">
        <v>42.4</v>
      </c>
      <c r="AG2" s="6" t="n">
        <v>29.7</v>
      </c>
    </row>
    <row r="3" customFormat="false" ht="15" hidden="false" customHeight="true" outlineLevel="0" collapsed="false">
      <c r="A3" s="6" t="s">
        <v>530</v>
      </c>
      <c r="B3" s="6" t="s">
        <v>390</v>
      </c>
      <c r="C3" s="9" t="s">
        <v>531</v>
      </c>
      <c r="D3" s="9" t="s">
        <v>522</v>
      </c>
      <c r="E3" s="9" t="s">
        <v>523</v>
      </c>
      <c r="F3" s="9" t="s">
        <v>532</v>
      </c>
      <c r="H3" s="9" t="s">
        <v>525</v>
      </c>
      <c r="I3" s="9" t="s">
        <v>533</v>
      </c>
      <c r="J3" s="31" t="n">
        <v>0.8</v>
      </c>
      <c r="K3" s="38"/>
      <c r="L3" s="32" t="n">
        <v>20958.79</v>
      </c>
      <c r="M3" s="32" t="n">
        <v>11210.11</v>
      </c>
      <c r="P3" s="33" t="n">
        <v>37742</v>
      </c>
      <c r="Q3" s="34" t="n">
        <f aca="false">IF(OR($A3="",P3=""),"",ROUND(YEARFRAC(P3,README!$C$5),1))</f>
        <v>23.3</v>
      </c>
      <c r="R3" s="39"/>
      <c r="S3" s="35" t="n">
        <v>28000</v>
      </c>
      <c r="T3" s="35" t="n">
        <v>27076</v>
      </c>
      <c r="U3" s="35" t="n">
        <v>30400</v>
      </c>
      <c r="V3" s="35" t="n">
        <v>3324</v>
      </c>
      <c r="W3" s="31" t="n">
        <v>1</v>
      </c>
      <c r="X3" s="6" t="n">
        <v>3</v>
      </c>
      <c r="Y3" s="36" t="n">
        <v>2.8</v>
      </c>
      <c r="Z3" s="6" t="s">
        <v>527</v>
      </c>
      <c r="AA3" s="9" t="s">
        <v>528</v>
      </c>
      <c r="AE3" s="37" t="n">
        <f aca="false">COUNTIF(環境認証!$A$2:$A$849,A3)</f>
        <v>1</v>
      </c>
      <c r="AF3" s="6" t="n">
        <v>12.3</v>
      </c>
      <c r="AG3" s="6" t="n">
        <v>8.6</v>
      </c>
    </row>
    <row r="4" customFormat="false" ht="15" hidden="false" customHeight="true" outlineLevel="0" collapsed="false">
      <c r="A4" s="6" t="s">
        <v>534</v>
      </c>
      <c r="B4" s="6" t="s">
        <v>390</v>
      </c>
      <c r="C4" s="9" t="s">
        <v>535</v>
      </c>
      <c r="D4" s="9" t="s">
        <v>522</v>
      </c>
      <c r="E4" s="9" t="s">
        <v>523</v>
      </c>
      <c r="F4" s="9" t="s">
        <v>532</v>
      </c>
      <c r="H4" s="9" t="s">
        <v>525</v>
      </c>
      <c r="I4" s="9" t="s">
        <v>526</v>
      </c>
      <c r="J4" s="40"/>
      <c r="K4" s="38"/>
      <c r="L4" s="32" t="n">
        <v>140667.09</v>
      </c>
      <c r="M4" s="32" t="n">
        <v>3944.81</v>
      </c>
      <c r="P4" s="33" t="n">
        <v>41122</v>
      </c>
      <c r="Q4" s="34" t="n">
        <f aca="false">IF(OR($A4="",P4=""),"",ROUND(YEARFRAC(P4,README!$C$5),1))</f>
        <v>14</v>
      </c>
      <c r="R4" s="39"/>
      <c r="S4" s="35" t="n">
        <v>8423</v>
      </c>
      <c r="T4" s="35" t="n">
        <v>7607</v>
      </c>
      <c r="U4" s="35" t="n">
        <v>11500</v>
      </c>
      <c r="V4" s="35" t="n">
        <v>3893</v>
      </c>
      <c r="W4" s="31" t="n">
        <v>0.948</v>
      </c>
      <c r="X4" s="6" t="n">
        <v>13</v>
      </c>
      <c r="Y4" s="36" t="n">
        <v>0.3</v>
      </c>
      <c r="Z4" s="6" t="s">
        <v>527</v>
      </c>
      <c r="AA4" s="9" t="s">
        <v>528</v>
      </c>
      <c r="AB4" s="9" t="s">
        <v>536</v>
      </c>
      <c r="AE4" s="37" t="n">
        <f aca="false">COUNTIF(環境認証!$A$2:$A$849,A4)</f>
        <v>2</v>
      </c>
      <c r="AF4" s="6" t="n">
        <v>51.2</v>
      </c>
      <c r="AG4" s="6" t="n">
        <v>36.5</v>
      </c>
    </row>
    <row r="5" customFormat="false" ht="15" hidden="false" customHeight="true" outlineLevel="0" collapsed="false">
      <c r="A5" s="6" t="s">
        <v>537</v>
      </c>
      <c r="B5" s="6" t="s">
        <v>390</v>
      </c>
      <c r="C5" s="9" t="s">
        <v>538</v>
      </c>
      <c r="D5" s="9" t="s">
        <v>522</v>
      </c>
      <c r="E5" s="9" t="s">
        <v>523</v>
      </c>
      <c r="F5" s="9" t="s">
        <v>539</v>
      </c>
      <c r="H5" s="9" t="s">
        <v>540</v>
      </c>
      <c r="I5" s="9" t="s">
        <v>526</v>
      </c>
      <c r="J5" s="40"/>
      <c r="K5" s="38"/>
      <c r="L5" s="32" t="n">
        <v>15467.77</v>
      </c>
      <c r="M5" s="32" t="n">
        <v>8503.82</v>
      </c>
      <c r="P5" s="33" t="n">
        <v>40179</v>
      </c>
      <c r="Q5" s="34" t="n">
        <f aca="false">IF(OR($A5="",P5=""),"",ROUND(YEARFRAC(P5,README!$C$5),1))</f>
        <v>16.6</v>
      </c>
      <c r="R5" s="39"/>
      <c r="S5" s="35" t="n">
        <v>9900</v>
      </c>
      <c r="T5" s="35" t="n">
        <v>6364</v>
      </c>
      <c r="U5" s="35" t="n">
        <v>11800</v>
      </c>
      <c r="V5" s="35" t="n">
        <v>5436</v>
      </c>
      <c r="W5" s="31" t="n">
        <v>1</v>
      </c>
      <c r="X5" s="6" t="n">
        <v>6</v>
      </c>
      <c r="Y5" s="36" t="n">
        <v>1.8</v>
      </c>
      <c r="Z5" s="6" t="s">
        <v>527</v>
      </c>
      <c r="AA5" s="9" t="s">
        <v>528</v>
      </c>
      <c r="AE5" s="37" t="n">
        <f aca="false">COUNTIF(環境認証!$A$2:$A$849,A5)</f>
        <v>1</v>
      </c>
      <c r="AF5" s="6" t="n">
        <v>85.4</v>
      </c>
      <c r="AG5" s="6" t="n">
        <v>19.2</v>
      </c>
    </row>
    <row r="6" customFormat="false" ht="15" hidden="false" customHeight="true" outlineLevel="0" collapsed="false">
      <c r="A6" s="6" t="s">
        <v>541</v>
      </c>
      <c r="B6" s="6" t="s">
        <v>390</v>
      </c>
      <c r="C6" s="9" t="s">
        <v>542</v>
      </c>
      <c r="D6" s="9" t="s">
        <v>522</v>
      </c>
      <c r="E6" s="9" t="s">
        <v>523</v>
      </c>
      <c r="F6" s="9" t="s">
        <v>543</v>
      </c>
      <c r="H6" s="9" t="s">
        <v>540</v>
      </c>
      <c r="I6" s="9" t="s">
        <v>544</v>
      </c>
      <c r="J6" s="31" t="n">
        <v>0.5</v>
      </c>
      <c r="K6" s="38"/>
      <c r="L6" s="32" t="n">
        <v>41741.18</v>
      </c>
      <c r="M6" s="32" t="n">
        <v>16140.82</v>
      </c>
      <c r="P6" s="33" t="n">
        <v>40391</v>
      </c>
      <c r="Q6" s="34" t="n">
        <f aca="false">IF(OR($A6="",P6=""),"",ROUND(YEARFRAC(P6,README!$C$5),1))</f>
        <v>16</v>
      </c>
      <c r="R6" s="39"/>
      <c r="S6" s="35" t="n">
        <v>21000</v>
      </c>
      <c r="T6" s="35" t="n">
        <v>20341</v>
      </c>
      <c r="U6" s="35" t="n">
        <v>25700</v>
      </c>
      <c r="V6" s="35" t="n">
        <v>5359</v>
      </c>
      <c r="W6" s="31" t="n">
        <v>0.948</v>
      </c>
      <c r="X6" s="6" t="n">
        <v>23</v>
      </c>
      <c r="Y6" s="36" t="n">
        <v>7</v>
      </c>
      <c r="Z6" s="6" t="s">
        <v>527</v>
      </c>
      <c r="AA6" s="9" t="s">
        <v>528</v>
      </c>
      <c r="AE6" s="37" t="n">
        <f aca="false">COUNTIF(環境認証!$A$2:$A$849,A6)</f>
        <v>2</v>
      </c>
      <c r="AF6" s="6" t="n">
        <v>26.3</v>
      </c>
      <c r="AG6" s="6" t="n">
        <v>22.4</v>
      </c>
    </row>
    <row r="7" customFormat="false" ht="15" hidden="false" customHeight="true" outlineLevel="0" collapsed="false">
      <c r="A7" s="6" t="s">
        <v>545</v>
      </c>
      <c r="B7" s="6" t="s">
        <v>390</v>
      </c>
      <c r="C7" s="9" t="s">
        <v>546</v>
      </c>
      <c r="D7" s="9" t="s">
        <v>522</v>
      </c>
      <c r="E7" s="9" t="s">
        <v>547</v>
      </c>
      <c r="F7" s="9" t="s">
        <v>548</v>
      </c>
      <c r="G7" s="9" t="s">
        <v>549</v>
      </c>
      <c r="H7" s="9" t="s">
        <v>550</v>
      </c>
      <c r="I7" s="9" t="s">
        <v>551</v>
      </c>
      <c r="J7" s="31" t="n">
        <v>0.6</v>
      </c>
      <c r="K7" s="32" t="n">
        <v>2720.3</v>
      </c>
      <c r="L7" s="32" t="n">
        <v>19968.2</v>
      </c>
      <c r="M7" s="32" t="n">
        <v>8376.44</v>
      </c>
      <c r="P7" s="33" t="n">
        <v>40210</v>
      </c>
      <c r="Q7" s="34" t="n">
        <f aca="false">IF(OR($A7="",P7=""),"",ROUND(YEARFRAC(P7,README!$C$5),1))</f>
        <v>16.5</v>
      </c>
      <c r="R7" s="39"/>
      <c r="S7" s="35" t="n">
        <v>10770</v>
      </c>
      <c r="T7" s="35" t="n">
        <v>9505</v>
      </c>
      <c r="U7" s="35" t="n">
        <v>14160</v>
      </c>
      <c r="V7" s="35" t="n">
        <v>4655</v>
      </c>
      <c r="W7" s="31" t="n">
        <v>1</v>
      </c>
      <c r="X7" s="6" t="n">
        <v>20</v>
      </c>
      <c r="Y7" s="41"/>
      <c r="Z7" s="6" t="s">
        <v>527</v>
      </c>
      <c r="AA7" s="9" t="s">
        <v>528</v>
      </c>
      <c r="AB7" s="6" t="s">
        <v>552</v>
      </c>
      <c r="AE7" s="37" t="n">
        <f aca="false">COUNTIF(環境認証!$A$2:$A$849,A7)</f>
        <v>1</v>
      </c>
      <c r="AF7" s="6" t="n">
        <v>49</v>
      </c>
      <c r="AG7" s="6" t="n">
        <v>31.5</v>
      </c>
    </row>
    <row r="8" customFormat="false" ht="15" hidden="false" customHeight="true" outlineLevel="0" collapsed="false">
      <c r="A8" s="6" t="s">
        <v>553</v>
      </c>
      <c r="B8" s="6" t="s">
        <v>390</v>
      </c>
      <c r="C8" s="9" t="s">
        <v>554</v>
      </c>
      <c r="D8" s="9" t="s">
        <v>522</v>
      </c>
      <c r="E8" s="9" t="s">
        <v>555</v>
      </c>
      <c r="F8" s="9" t="s">
        <v>556</v>
      </c>
      <c r="H8" s="9" t="s">
        <v>550</v>
      </c>
      <c r="I8" s="9" t="s">
        <v>557</v>
      </c>
      <c r="J8" s="31" t="n">
        <v>0.5</v>
      </c>
      <c r="K8" s="38"/>
      <c r="L8" s="32" t="n">
        <v>78897.42</v>
      </c>
      <c r="M8" s="32" t="n">
        <v>21715.52</v>
      </c>
      <c r="P8" s="33" t="n">
        <v>37316</v>
      </c>
      <c r="Q8" s="34" t="n">
        <f aca="false">IF(OR($A8="",P8=""),"",ROUND(YEARFRAC(P8,README!$C$5),1))</f>
        <v>24.4</v>
      </c>
      <c r="R8" s="39"/>
      <c r="S8" s="35" t="n">
        <v>22700</v>
      </c>
      <c r="T8" s="35" t="n">
        <v>17410</v>
      </c>
      <c r="U8" s="35" t="n">
        <v>25300</v>
      </c>
      <c r="V8" s="35" t="n">
        <v>7890</v>
      </c>
      <c r="W8" s="31" t="n">
        <v>0.996</v>
      </c>
      <c r="X8" s="6" t="n">
        <v>44</v>
      </c>
      <c r="Y8" s="36" t="n">
        <v>2.8</v>
      </c>
      <c r="Z8" s="6" t="s">
        <v>527</v>
      </c>
      <c r="AA8" s="9" t="s">
        <v>528</v>
      </c>
      <c r="AE8" s="37" t="n">
        <f aca="false">COUNTIF(環境認証!$A$2:$A$849,A8)</f>
        <v>1</v>
      </c>
      <c r="AF8" s="6" t="n">
        <v>45.3</v>
      </c>
      <c r="AG8" s="6" t="n">
        <v>11.5</v>
      </c>
    </row>
    <row r="9" customFormat="false" ht="15" hidden="false" customHeight="true" outlineLevel="0" collapsed="false">
      <c r="A9" s="6" t="s">
        <v>558</v>
      </c>
      <c r="B9" s="6" t="s">
        <v>390</v>
      </c>
      <c r="C9" s="6" t="s">
        <v>559</v>
      </c>
      <c r="D9" s="9" t="s">
        <v>522</v>
      </c>
      <c r="E9" s="9" t="s">
        <v>560</v>
      </c>
      <c r="F9" s="9" t="s">
        <v>561</v>
      </c>
      <c r="G9" s="9" t="s">
        <v>562</v>
      </c>
      <c r="H9" s="9" t="s">
        <v>550</v>
      </c>
      <c r="I9" s="9" t="s">
        <v>563</v>
      </c>
      <c r="J9" s="31" t="n">
        <v>1</v>
      </c>
      <c r="K9" s="32" t="n">
        <v>2487.92</v>
      </c>
      <c r="L9" s="32" t="n">
        <v>14201.97</v>
      </c>
      <c r="M9" s="32" t="n">
        <v>10412.41</v>
      </c>
      <c r="N9" s="6" t="n">
        <v>11</v>
      </c>
      <c r="O9" s="6" t="n">
        <v>0</v>
      </c>
      <c r="P9" s="33" t="n">
        <v>44927</v>
      </c>
      <c r="Q9" s="34" t="n">
        <f aca="false">IF(OR($A9="",P9=""),"",ROUND(YEARFRAC(P9,README!$C$5),1))</f>
        <v>3.6</v>
      </c>
      <c r="R9" s="33" t="n">
        <v>46111</v>
      </c>
      <c r="S9" s="35" t="n">
        <v>17500</v>
      </c>
      <c r="T9" s="35" t="n">
        <v>18160</v>
      </c>
      <c r="U9" s="35" t="n">
        <v>17500</v>
      </c>
      <c r="V9" s="35" t="n">
        <v>-660</v>
      </c>
      <c r="W9" s="31" t="n">
        <v>0.96</v>
      </c>
      <c r="X9" s="6" t="n">
        <v>25</v>
      </c>
      <c r="Y9" s="36" t="n">
        <v>9.2</v>
      </c>
      <c r="Z9" s="6" t="s">
        <v>527</v>
      </c>
      <c r="AA9" s="9" t="s">
        <v>528</v>
      </c>
      <c r="AB9" s="6" t="s">
        <v>564</v>
      </c>
      <c r="AE9" s="37" t="n">
        <f aca="false">COUNTIF(環境認証!$A$2:$A$849,A9)</f>
        <v>1</v>
      </c>
      <c r="AF9" s="6" t="n">
        <v>-3.6</v>
      </c>
      <c r="AG9" s="6" t="n">
        <v>0</v>
      </c>
    </row>
    <row r="10" customFormat="false" ht="15" hidden="false" customHeight="true" outlineLevel="0" collapsed="false">
      <c r="A10" s="6" t="s">
        <v>565</v>
      </c>
      <c r="B10" s="6" t="s">
        <v>390</v>
      </c>
      <c r="C10" s="9" t="s">
        <v>566</v>
      </c>
      <c r="D10" s="9" t="s">
        <v>522</v>
      </c>
      <c r="E10" s="9" t="s">
        <v>567</v>
      </c>
      <c r="F10" s="9" t="s">
        <v>568</v>
      </c>
      <c r="H10" s="9" t="s">
        <v>569</v>
      </c>
      <c r="I10" s="9" t="s">
        <v>563</v>
      </c>
      <c r="J10" s="31" t="n">
        <v>1</v>
      </c>
      <c r="K10" s="38"/>
      <c r="L10" s="32" t="n">
        <v>23161.27</v>
      </c>
      <c r="M10" s="32" t="n">
        <v>15041.74</v>
      </c>
      <c r="P10" s="33" t="n">
        <v>34759</v>
      </c>
      <c r="Q10" s="34" t="n">
        <f aca="false">IF(OR($A10="",P10=""),"",ROUND(YEARFRAC(P10,README!$C$5),1))</f>
        <v>31.4</v>
      </c>
      <c r="R10" s="39"/>
      <c r="S10" s="35" t="n">
        <v>17300</v>
      </c>
      <c r="T10" s="35" t="n">
        <v>18101</v>
      </c>
      <c r="U10" s="35" t="n">
        <v>18400</v>
      </c>
      <c r="V10" s="35" t="n">
        <v>299</v>
      </c>
      <c r="W10" s="31" t="n">
        <v>1</v>
      </c>
      <c r="X10" s="6" t="n">
        <v>1</v>
      </c>
      <c r="Y10" s="36" t="n">
        <v>9.9</v>
      </c>
      <c r="Z10" s="6" t="s">
        <v>527</v>
      </c>
      <c r="AA10" s="9" t="s">
        <v>528</v>
      </c>
      <c r="AB10" s="6" t="s">
        <v>570</v>
      </c>
      <c r="AE10" s="37" t="n">
        <f aca="false">COUNTIF(環境認証!$A$2:$A$849,A10)</f>
        <v>1</v>
      </c>
      <c r="AF10" s="6" t="n">
        <v>1.7</v>
      </c>
      <c r="AG10" s="6" t="n">
        <v>6.4</v>
      </c>
    </row>
    <row r="11" customFormat="false" ht="15" hidden="false" customHeight="true" outlineLevel="0" collapsed="false">
      <c r="A11" s="6" t="s">
        <v>571</v>
      </c>
      <c r="B11" s="6" t="s">
        <v>390</v>
      </c>
      <c r="C11" s="9" t="s">
        <v>572</v>
      </c>
      <c r="D11" s="9" t="s">
        <v>522</v>
      </c>
      <c r="E11" s="9" t="s">
        <v>573</v>
      </c>
      <c r="F11" s="9" t="s">
        <v>574</v>
      </c>
      <c r="H11" s="9" t="s">
        <v>569</v>
      </c>
      <c r="I11" s="9" t="s">
        <v>575</v>
      </c>
      <c r="J11" s="31" t="n">
        <v>0.2</v>
      </c>
      <c r="K11" s="38"/>
      <c r="L11" s="32" t="n">
        <v>35198.77</v>
      </c>
      <c r="M11" s="32" t="n">
        <v>5145.27</v>
      </c>
      <c r="P11" s="33" t="n">
        <v>39995</v>
      </c>
      <c r="Q11" s="34" t="n">
        <f aca="false">IF(OR($A11="",P11=""),"",ROUND(YEARFRAC(P11,README!$C$5),1))</f>
        <v>17.1</v>
      </c>
      <c r="R11" s="39"/>
      <c r="S11" s="35" t="n">
        <v>4461</v>
      </c>
      <c r="T11" s="35" t="n">
        <v>3903</v>
      </c>
      <c r="U11" s="35" t="n">
        <v>4960</v>
      </c>
      <c r="V11" s="35" t="n">
        <v>1057</v>
      </c>
      <c r="W11" s="31" t="n">
        <v>1</v>
      </c>
      <c r="X11" s="6" t="n">
        <v>19</v>
      </c>
      <c r="Y11" s="36" t="n">
        <v>1.9</v>
      </c>
      <c r="Z11" s="6" t="s">
        <v>527</v>
      </c>
      <c r="AA11" s="9" t="s">
        <v>528</v>
      </c>
      <c r="AE11" s="37" t="n">
        <f aca="false">COUNTIF(環境認証!$A$2:$A$849,A11)</f>
        <v>0</v>
      </c>
      <c r="AF11" s="6" t="n">
        <v>27.1</v>
      </c>
      <c r="AG11" s="6" t="n">
        <v>11.2</v>
      </c>
    </row>
    <row r="12" customFormat="false" ht="15" hidden="false" customHeight="true" outlineLevel="0" collapsed="false">
      <c r="A12" s="6" t="s">
        <v>576</v>
      </c>
      <c r="B12" s="6" t="s">
        <v>390</v>
      </c>
      <c r="C12" s="9" t="s">
        <v>577</v>
      </c>
      <c r="D12" s="9" t="s">
        <v>522</v>
      </c>
      <c r="E12" s="9" t="s">
        <v>573</v>
      </c>
      <c r="F12" s="9" t="s">
        <v>578</v>
      </c>
      <c r="G12" s="9" t="s">
        <v>579</v>
      </c>
      <c r="H12" s="9" t="s">
        <v>569</v>
      </c>
      <c r="I12" s="9" t="s">
        <v>563</v>
      </c>
      <c r="J12" s="31" t="n">
        <v>1</v>
      </c>
      <c r="K12" s="32" t="n">
        <v>2034.62</v>
      </c>
      <c r="L12" s="32" t="n">
        <v>9383.85</v>
      </c>
      <c r="M12" s="32" t="n">
        <v>7099.42</v>
      </c>
      <c r="N12" s="6" t="n">
        <v>12</v>
      </c>
      <c r="O12" s="6" t="n">
        <v>0</v>
      </c>
      <c r="P12" s="33" t="n">
        <v>33178</v>
      </c>
      <c r="Q12" s="34" t="n">
        <f aca="false">IF(OR($A12="",P12=""),"",ROUND(YEARFRAC(P12,README!$C$5),1))</f>
        <v>35.8</v>
      </c>
      <c r="R12" s="33" t="n">
        <v>45996</v>
      </c>
      <c r="S12" s="35" t="n">
        <v>9720</v>
      </c>
      <c r="T12" s="35" t="n">
        <v>9773</v>
      </c>
      <c r="U12" s="35" t="n">
        <v>9870</v>
      </c>
      <c r="V12" s="35" t="n">
        <v>97</v>
      </c>
      <c r="W12" s="31" t="n">
        <v>1</v>
      </c>
      <c r="X12" s="6" t="n">
        <v>21</v>
      </c>
      <c r="Y12" s="36" t="n">
        <v>7.2</v>
      </c>
      <c r="Z12" s="6" t="s">
        <v>527</v>
      </c>
      <c r="AA12" s="9" t="s">
        <v>528</v>
      </c>
      <c r="AB12" s="6" t="s">
        <v>580</v>
      </c>
      <c r="AE12" s="37" t="n">
        <f aca="false">COUNTIF(環境認証!$A$2:$A$849,A12)</f>
        <v>1</v>
      </c>
      <c r="AF12" s="6" t="n">
        <v>1</v>
      </c>
      <c r="AG12" s="6" t="n">
        <v>1.5</v>
      </c>
    </row>
    <row r="13" customFormat="false" ht="15" hidden="false" customHeight="true" outlineLevel="0" collapsed="false">
      <c r="A13" s="6" t="s">
        <v>581</v>
      </c>
      <c r="B13" s="6" t="s">
        <v>390</v>
      </c>
      <c r="C13" s="9" t="s">
        <v>582</v>
      </c>
      <c r="D13" s="9" t="s">
        <v>522</v>
      </c>
      <c r="E13" s="9" t="s">
        <v>573</v>
      </c>
      <c r="F13" s="9" t="s">
        <v>583</v>
      </c>
      <c r="H13" s="9" t="s">
        <v>569</v>
      </c>
      <c r="I13" s="9" t="s">
        <v>584</v>
      </c>
      <c r="J13" s="31" t="n">
        <v>0.05</v>
      </c>
      <c r="K13" s="38"/>
      <c r="L13" s="32" t="n">
        <v>75826.76</v>
      </c>
      <c r="M13" s="32" t="n">
        <v>2108.56</v>
      </c>
      <c r="P13" s="33" t="n">
        <v>42064</v>
      </c>
      <c r="Q13" s="34" t="n">
        <f aca="false">IF(OR($A13="",P13=""),"",ROUND(YEARFRAC(P13,README!$C$5),1))</f>
        <v>11.4</v>
      </c>
      <c r="R13" s="39"/>
      <c r="S13" s="35" t="n">
        <v>3455</v>
      </c>
      <c r="T13" s="35" t="n">
        <v>2995</v>
      </c>
      <c r="U13" s="35" t="n">
        <v>3960</v>
      </c>
      <c r="V13" s="35" t="n">
        <v>965</v>
      </c>
      <c r="W13" s="31" t="n">
        <v>0.966</v>
      </c>
      <c r="X13" s="6" t="n">
        <v>37</v>
      </c>
      <c r="Y13" s="36" t="n">
        <v>0.8</v>
      </c>
      <c r="Z13" s="6" t="s">
        <v>527</v>
      </c>
      <c r="AA13" s="9" t="s">
        <v>528</v>
      </c>
      <c r="AE13" s="37" t="n">
        <f aca="false">COUNTIF(環境認証!$A$2:$A$849,A13)</f>
        <v>0</v>
      </c>
      <c r="AF13" s="6" t="n">
        <v>32.2</v>
      </c>
      <c r="AG13" s="6" t="n">
        <v>14.6</v>
      </c>
    </row>
    <row r="14" customFormat="false" ht="15" hidden="false" customHeight="true" outlineLevel="0" collapsed="false">
      <c r="A14" s="6" t="s">
        <v>585</v>
      </c>
      <c r="B14" s="6" t="s">
        <v>390</v>
      </c>
      <c r="C14" s="9" t="s">
        <v>586</v>
      </c>
      <c r="D14" s="9" t="s">
        <v>522</v>
      </c>
      <c r="E14" s="9" t="s">
        <v>573</v>
      </c>
      <c r="F14" s="9" t="s">
        <v>583</v>
      </c>
      <c r="G14" s="9" t="s">
        <v>587</v>
      </c>
      <c r="H14" s="9" t="s">
        <v>569</v>
      </c>
      <c r="I14" s="9" t="s">
        <v>588</v>
      </c>
      <c r="J14" s="31" t="n">
        <v>0.28</v>
      </c>
      <c r="K14" s="32" t="n">
        <v>5999.33</v>
      </c>
      <c r="L14" s="32" t="n">
        <v>52982.94</v>
      </c>
      <c r="M14" s="32" t="n">
        <v>8079.32</v>
      </c>
      <c r="N14" s="6" t="n">
        <v>31</v>
      </c>
      <c r="O14" s="6" t="n">
        <v>2</v>
      </c>
      <c r="P14" s="33" t="n">
        <v>36678</v>
      </c>
      <c r="Q14" s="34" t="n">
        <f aca="false">IF(OR($A14="",P14=""),"",ROUND(YEARFRAC(P14,README!$C$5),1))</f>
        <v>26.2</v>
      </c>
      <c r="R14" s="33" t="n">
        <v>45772</v>
      </c>
      <c r="S14" s="35" t="n">
        <v>9651</v>
      </c>
      <c r="T14" s="35" t="n">
        <v>9773</v>
      </c>
      <c r="U14" s="35" t="n">
        <v>11400</v>
      </c>
      <c r="V14" s="35" t="n">
        <v>1627</v>
      </c>
      <c r="W14" s="31" t="n">
        <v>0.932</v>
      </c>
      <c r="X14" s="6" t="n">
        <v>44</v>
      </c>
      <c r="Y14" s="36" t="n">
        <v>0.5</v>
      </c>
      <c r="Z14" s="6" t="s">
        <v>527</v>
      </c>
      <c r="AA14" s="9" t="s">
        <v>528</v>
      </c>
      <c r="AB14" s="6" t="s">
        <v>589</v>
      </c>
      <c r="AE14" s="37" t="n">
        <f aca="false">COUNTIF(環境認証!$A$2:$A$849,A14)</f>
        <v>1</v>
      </c>
      <c r="AF14" s="6" t="n">
        <v>16.6</v>
      </c>
      <c r="AG14" s="6" t="n">
        <v>18.1</v>
      </c>
    </row>
    <row r="15" customFormat="false" ht="15" hidden="false" customHeight="true" outlineLevel="0" collapsed="false">
      <c r="A15" s="6" t="s">
        <v>590</v>
      </c>
      <c r="B15" s="6" t="s">
        <v>390</v>
      </c>
      <c r="C15" s="9" t="s">
        <v>591</v>
      </c>
      <c r="D15" s="9" t="s">
        <v>522</v>
      </c>
      <c r="E15" s="9" t="s">
        <v>573</v>
      </c>
      <c r="F15" s="9" t="s">
        <v>592</v>
      </c>
      <c r="H15" s="9" t="s">
        <v>569</v>
      </c>
      <c r="I15" s="9" t="s">
        <v>593</v>
      </c>
      <c r="J15" s="31" t="n">
        <v>0.5</v>
      </c>
      <c r="K15" s="38"/>
      <c r="L15" s="32" t="n">
        <v>32997.6</v>
      </c>
      <c r="M15" s="32" t="n">
        <v>8890.28</v>
      </c>
      <c r="P15" s="33" t="n">
        <v>37073</v>
      </c>
      <c r="Q15" s="34" t="n">
        <f aca="false">IF(OR($A15="",P15=""),"",ROUND(YEARFRAC(P15,README!$C$5),1))</f>
        <v>25.1</v>
      </c>
      <c r="R15" s="39"/>
      <c r="S15" s="35" t="n">
        <v>9200</v>
      </c>
      <c r="T15" s="35" t="n">
        <v>9734</v>
      </c>
      <c r="U15" s="35" t="n">
        <v>11600</v>
      </c>
      <c r="V15" s="35" t="n">
        <v>1866</v>
      </c>
      <c r="W15" s="31" t="n">
        <v>1</v>
      </c>
      <c r="X15" s="6" t="n">
        <v>16</v>
      </c>
      <c r="Y15" s="36" t="n">
        <v>0.5</v>
      </c>
      <c r="Z15" s="6" t="s">
        <v>527</v>
      </c>
      <c r="AA15" s="9" t="s">
        <v>528</v>
      </c>
      <c r="AE15" s="37" t="n">
        <f aca="false">COUNTIF(環境認証!$A$2:$A$849,A15)</f>
        <v>1</v>
      </c>
      <c r="AF15" s="6" t="n">
        <v>19.2</v>
      </c>
      <c r="AG15" s="6" t="n">
        <v>26.1</v>
      </c>
    </row>
    <row r="16" customFormat="false" ht="15" hidden="false" customHeight="true" outlineLevel="0" collapsed="false">
      <c r="A16" s="6" t="s">
        <v>594</v>
      </c>
      <c r="B16" s="6" t="s">
        <v>390</v>
      </c>
      <c r="C16" s="9" t="s">
        <v>595</v>
      </c>
      <c r="D16" s="9" t="s">
        <v>522</v>
      </c>
      <c r="E16" s="9" t="s">
        <v>596</v>
      </c>
      <c r="F16" s="9" t="s">
        <v>597</v>
      </c>
      <c r="G16" s="9" t="s">
        <v>598</v>
      </c>
      <c r="H16" s="6" t="s">
        <v>599</v>
      </c>
      <c r="I16" s="9" t="s">
        <v>600</v>
      </c>
      <c r="J16" s="31" t="n">
        <v>0.83</v>
      </c>
      <c r="K16" s="32" t="n">
        <v>2064.27</v>
      </c>
      <c r="L16" s="32" t="n">
        <v>15647.62</v>
      </c>
      <c r="M16" s="32" t="n">
        <v>9313.83</v>
      </c>
      <c r="N16" s="6" t="n">
        <v>14</v>
      </c>
      <c r="O16" s="6" t="n">
        <v>0</v>
      </c>
      <c r="P16" s="33" t="n">
        <v>45078</v>
      </c>
      <c r="Q16" s="34" t="n">
        <f aca="false">IF(OR($A16="",P16=""),"",ROUND(YEARFRAC(P16,README!$C$5),1))</f>
        <v>3.2</v>
      </c>
      <c r="R16" s="33" t="n">
        <v>45968</v>
      </c>
      <c r="S16" s="35" t="n">
        <v>14865</v>
      </c>
      <c r="T16" s="35" t="n">
        <v>14911</v>
      </c>
      <c r="U16" s="35" t="n">
        <v>15355</v>
      </c>
      <c r="V16" s="35" t="n">
        <v>444</v>
      </c>
      <c r="W16" s="31" t="n">
        <v>1</v>
      </c>
      <c r="X16" s="6" t="n">
        <v>21</v>
      </c>
      <c r="Y16" s="36" t="n">
        <v>0.2</v>
      </c>
      <c r="Z16" s="6" t="s">
        <v>527</v>
      </c>
      <c r="AA16" s="9" t="s">
        <v>528</v>
      </c>
      <c r="AB16" s="6" t="s">
        <v>601</v>
      </c>
      <c r="AE16" s="37" t="n">
        <f aca="false">COUNTIF(環境認証!$A$2:$A$849,A16)</f>
        <v>1</v>
      </c>
      <c r="AF16" s="6" t="n">
        <v>3</v>
      </c>
      <c r="AG16" s="6" t="n">
        <v>3.3</v>
      </c>
    </row>
    <row r="17" customFormat="false" ht="15" hidden="false" customHeight="true" outlineLevel="0" collapsed="false">
      <c r="A17" s="6" t="s">
        <v>602</v>
      </c>
      <c r="B17" s="6" t="s">
        <v>390</v>
      </c>
      <c r="C17" s="6" t="s">
        <v>603</v>
      </c>
      <c r="D17" s="9" t="s">
        <v>522</v>
      </c>
      <c r="E17" s="9" t="s">
        <v>604</v>
      </c>
      <c r="F17" s="9" t="s">
        <v>605</v>
      </c>
      <c r="H17" s="6" t="s">
        <v>599</v>
      </c>
      <c r="I17" s="9" t="s">
        <v>563</v>
      </c>
      <c r="J17" s="31" t="n">
        <v>1</v>
      </c>
      <c r="K17" s="38"/>
      <c r="L17" s="32" t="n">
        <v>12823.15</v>
      </c>
      <c r="M17" s="32" t="n">
        <v>10440.1</v>
      </c>
      <c r="P17" s="33" t="n">
        <v>44348</v>
      </c>
      <c r="Q17" s="34" t="n">
        <f aca="false">IF(OR($A17="",P17=""),"",ROUND(YEARFRAC(P17,README!$C$5),1))</f>
        <v>5.2</v>
      </c>
      <c r="R17" s="39"/>
      <c r="S17" s="35" t="n">
        <v>17000</v>
      </c>
      <c r="T17" s="35" t="n">
        <v>16620</v>
      </c>
      <c r="U17" s="35" t="n">
        <v>17100</v>
      </c>
      <c r="V17" s="35" t="n">
        <v>480</v>
      </c>
      <c r="W17" s="31" t="n">
        <v>1</v>
      </c>
      <c r="X17" s="6" t="n">
        <v>9</v>
      </c>
      <c r="Y17" s="36" t="n">
        <v>0.3</v>
      </c>
      <c r="Z17" s="6" t="s">
        <v>527</v>
      </c>
      <c r="AA17" s="9" t="s">
        <v>528</v>
      </c>
      <c r="AB17" s="9" t="s">
        <v>606</v>
      </c>
      <c r="AE17" s="37" t="n">
        <f aca="false">COUNTIF(環境認証!$A$2:$A$849,A17)</f>
        <v>2</v>
      </c>
      <c r="AF17" s="6" t="n">
        <v>2.9</v>
      </c>
      <c r="AG17" s="6" t="n">
        <v>0.6</v>
      </c>
    </row>
    <row r="18" customFormat="false" ht="15" hidden="false" customHeight="true" outlineLevel="0" collapsed="false">
      <c r="A18" s="6" t="s">
        <v>607</v>
      </c>
      <c r="B18" s="6" t="s">
        <v>390</v>
      </c>
      <c r="C18" s="9" t="s">
        <v>608</v>
      </c>
      <c r="D18" s="9" t="s">
        <v>522</v>
      </c>
      <c r="E18" s="9" t="s">
        <v>523</v>
      </c>
      <c r="F18" s="9" t="s">
        <v>609</v>
      </c>
      <c r="G18" s="9" t="s">
        <v>610</v>
      </c>
      <c r="H18" s="9" t="s">
        <v>540</v>
      </c>
      <c r="I18" s="9" t="s">
        <v>611</v>
      </c>
      <c r="J18" s="31" t="n">
        <v>0</v>
      </c>
      <c r="K18" s="32" t="n">
        <v>18100.41</v>
      </c>
      <c r="L18" s="32" t="n">
        <v>49753.92</v>
      </c>
      <c r="M18" s="38"/>
      <c r="P18" s="39"/>
      <c r="Q18" s="34" t="str">
        <f aca="false">IF(OR($A18="",P18=""),"",ROUND(YEARFRAC(P18,README!$C$5),1))</f>
        <v/>
      </c>
      <c r="R18" s="39"/>
      <c r="S18" s="42"/>
      <c r="T18" s="42"/>
      <c r="U18" s="42"/>
      <c r="V18" s="43" t="str">
        <f aca="false">IF($A18="","",IF(OR(T18="",U18=""),"",U18-T18))</f>
        <v/>
      </c>
      <c r="W18" s="40"/>
      <c r="Y18" s="41"/>
      <c r="Z18" s="6" t="s">
        <v>527</v>
      </c>
      <c r="AA18" s="9" t="s">
        <v>528</v>
      </c>
      <c r="AB18" s="6" t="s">
        <v>612</v>
      </c>
      <c r="AE18" s="37" t="n">
        <f aca="false">COUNTIF(環境認証!$A$2:$A$849,A18)</f>
        <v>0</v>
      </c>
    </row>
    <row r="19" customFormat="false" ht="15" hidden="false" customHeight="true" outlineLevel="0" collapsed="false">
      <c r="A19" s="6" t="s">
        <v>613</v>
      </c>
      <c r="B19" s="6" t="s">
        <v>390</v>
      </c>
      <c r="C19" s="6" t="s">
        <v>614</v>
      </c>
      <c r="D19" s="9" t="s">
        <v>522</v>
      </c>
      <c r="E19" s="9" t="s">
        <v>523</v>
      </c>
      <c r="F19" s="9" t="s">
        <v>532</v>
      </c>
      <c r="G19" s="9" t="s">
        <v>615</v>
      </c>
      <c r="H19" s="9" t="s">
        <v>525</v>
      </c>
      <c r="I19" s="9" t="s">
        <v>563</v>
      </c>
      <c r="J19" s="31" t="n">
        <v>1</v>
      </c>
      <c r="K19" s="32" t="n">
        <v>1895.59</v>
      </c>
      <c r="L19" s="32" t="n">
        <v>11661.69</v>
      </c>
      <c r="M19" s="32" t="n">
        <v>7253.87</v>
      </c>
      <c r="N19" s="6" t="n">
        <v>12</v>
      </c>
      <c r="O19" s="6" t="n">
        <v>2</v>
      </c>
      <c r="P19" s="33" t="n">
        <v>33086</v>
      </c>
      <c r="Q19" s="34" t="n">
        <f aca="false">IF(OR($A19="",P19=""),"",ROUND(YEARFRAC(P19,README!$C$5),1))</f>
        <v>36</v>
      </c>
      <c r="R19" s="33" t="n">
        <v>46135</v>
      </c>
      <c r="S19" s="35" t="n">
        <v>9200</v>
      </c>
      <c r="T19" s="42"/>
      <c r="U19" s="42"/>
      <c r="V19" s="43" t="str">
        <f aca="false">IF($A19="","",IF(OR(T19="",U19=""),"",U19-T19))</f>
        <v/>
      </c>
      <c r="W19" s="40"/>
      <c r="Y19" s="36" t="n">
        <v>10.8</v>
      </c>
      <c r="Z19" s="6" t="s">
        <v>527</v>
      </c>
      <c r="AA19" s="9" t="s">
        <v>528</v>
      </c>
      <c r="AB19" s="9" t="s">
        <v>616</v>
      </c>
      <c r="AE19" s="37" t="n">
        <f aca="false">COUNTIF(環境認証!$A$2:$A$849,A19)</f>
        <v>0</v>
      </c>
    </row>
    <row r="20" customFormat="false" ht="15" hidden="false" customHeight="true" outlineLevel="0" collapsed="false">
      <c r="A20" s="6" t="s">
        <v>617</v>
      </c>
      <c r="B20" s="6" t="s">
        <v>390</v>
      </c>
      <c r="C20" s="9" t="s">
        <v>618</v>
      </c>
      <c r="D20" s="9" t="s">
        <v>522</v>
      </c>
      <c r="H20" s="6" t="s">
        <v>619</v>
      </c>
      <c r="I20" s="6" t="s">
        <v>620</v>
      </c>
      <c r="J20" s="40"/>
      <c r="K20" s="38"/>
      <c r="L20" s="38"/>
      <c r="M20" s="32" t="n">
        <v>156236.87</v>
      </c>
      <c r="P20" s="39"/>
      <c r="Q20" s="34" t="str">
        <f aca="false">IF(OR($A20="",P20=""),"",ROUND(YEARFRAC(P20,README!$C$5),1))</f>
        <v/>
      </c>
      <c r="R20" s="39"/>
      <c r="S20" s="35" t="n">
        <v>222146</v>
      </c>
      <c r="T20" s="35" t="n">
        <v>208851</v>
      </c>
      <c r="U20" s="35" t="n">
        <v>252605</v>
      </c>
      <c r="V20" s="43" t="n">
        <f aca="false">IF($A20="","",IF(OR(T20="",U20=""),"",U20-T20))</f>
        <v>43754</v>
      </c>
      <c r="W20" s="31" t="n">
        <v>0.983</v>
      </c>
      <c r="X20" s="6" t="n">
        <v>304</v>
      </c>
      <c r="Y20" s="36" t="n">
        <v>1.9</v>
      </c>
      <c r="Z20" s="6" t="s">
        <v>621</v>
      </c>
      <c r="AA20" s="9" t="s">
        <v>528</v>
      </c>
      <c r="AB20" s="9" t="s">
        <v>622</v>
      </c>
      <c r="AE20" s="37" t="n">
        <f aca="false">COUNTIF(環境認証!$A$2:$A$849,A20)</f>
        <v>0</v>
      </c>
    </row>
    <row r="21" customFormat="false" ht="15" hidden="false" customHeight="true" outlineLevel="0" collapsed="false">
      <c r="A21" s="6" t="s">
        <v>623</v>
      </c>
      <c r="B21" s="6" t="s">
        <v>412</v>
      </c>
      <c r="C21" s="9" t="s">
        <v>624</v>
      </c>
      <c r="D21" s="9" t="s">
        <v>522</v>
      </c>
      <c r="E21" s="9" t="s">
        <v>523</v>
      </c>
      <c r="F21" s="9" t="s">
        <v>625</v>
      </c>
      <c r="H21" s="9" t="s">
        <v>540</v>
      </c>
      <c r="J21" s="40"/>
      <c r="K21" s="38"/>
      <c r="L21" s="38"/>
      <c r="M21" s="32" t="n">
        <v>25828.29</v>
      </c>
      <c r="P21" s="39"/>
      <c r="Q21" s="34" t="str">
        <f aca="false">IF(OR($A21="",P21=""),"",ROUND(YEARFRAC(P21,README!$C$5),1))</f>
        <v/>
      </c>
      <c r="R21" s="39"/>
      <c r="S21" s="35" t="n">
        <v>22552</v>
      </c>
      <c r="T21" s="35" t="n">
        <v>20047</v>
      </c>
      <c r="U21" s="35" t="n">
        <v>25900</v>
      </c>
      <c r="V21" s="35" t="n">
        <v>5853</v>
      </c>
      <c r="W21" s="31" t="n">
        <v>1</v>
      </c>
      <c r="X21" s="6" t="n">
        <v>24</v>
      </c>
      <c r="Y21" s="36" t="n">
        <v>4.5</v>
      </c>
      <c r="Z21" s="6" t="s">
        <v>626</v>
      </c>
      <c r="AA21" s="9" t="s">
        <v>528</v>
      </c>
      <c r="AB21" s="6" t="s">
        <v>627</v>
      </c>
      <c r="AE21" s="37" t="n">
        <f aca="false">COUNTIF(環境認証!$A$2:$A$849,A21)</f>
        <v>1</v>
      </c>
      <c r="AF21" s="6" t="n">
        <v>29.2</v>
      </c>
      <c r="AG21" s="6" t="n">
        <v>14.8</v>
      </c>
    </row>
    <row r="22" customFormat="false" ht="15" hidden="false" customHeight="true" outlineLevel="0" collapsed="false">
      <c r="A22" s="6" t="s">
        <v>628</v>
      </c>
      <c r="B22" s="6" t="s">
        <v>412</v>
      </c>
      <c r="C22" s="9" t="s">
        <v>629</v>
      </c>
      <c r="D22" s="9" t="s">
        <v>522</v>
      </c>
      <c r="E22" s="9" t="s">
        <v>523</v>
      </c>
      <c r="F22" s="9" t="s">
        <v>532</v>
      </c>
      <c r="H22" s="9" t="s">
        <v>525</v>
      </c>
      <c r="J22" s="40"/>
      <c r="K22" s="38"/>
      <c r="L22" s="38"/>
      <c r="M22" s="32" t="n">
        <v>11749.3</v>
      </c>
      <c r="P22" s="39"/>
      <c r="Q22" s="34" t="str">
        <f aca="false">IF(OR($A22="",P22=""),"",ROUND(YEARFRAC(P22,README!$C$5),1))</f>
        <v/>
      </c>
      <c r="R22" s="39"/>
      <c r="S22" s="35" t="n">
        <v>9450</v>
      </c>
      <c r="T22" s="35" t="n">
        <v>9178</v>
      </c>
      <c r="U22" s="35" t="n">
        <v>13800</v>
      </c>
      <c r="V22" s="35" t="n">
        <v>4622</v>
      </c>
      <c r="W22" s="31" t="n">
        <v>1</v>
      </c>
      <c r="X22" s="6" t="n">
        <v>2</v>
      </c>
      <c r="Y22" s="36" t="n">
        <v>5.8</v>
      </c>
      <c r="Z22" s="6" t="s">
        <v>626</v>
      </c>
      <c r="AA22" s="9" t="s">
        <v>528</v>
      </c>
      <c r="AB22" s="6" t="s">
        <v>630</v>
      </c>
      <c r="AE22" s="37" t="n">
        <f aca="false">COUNTIF(環境認証!$A$2:$A$849,A22)</f>
        <v>1</v>
      </c>
      <c r="AF22" s="6" t="n">
        <v>50.4</v>
      </c>
      <c r="AG22" s="6" t="n">
        <v>46</v>
      </c>
    </row>
    <row r="23" customFormat="false" ht="15" hidden="false" customHeight="true" outlineLevel="0" collapsed="false">
      <c r="A23" s="6" t="s">
        <v>631</v>
      </c>
      <c r="B23" s="6" t="s">
        <v>412</v>
      </c>
      <c r="C23" s="6" t="s">
        <v>632</v>
      </c>
      <c r="D23" s="9" t="s">
        <v>522</v>
      </c>
      <c r="E23" s="9" t="s">
        <v>523</v>
      </c>
      <c r="F23" s="9" t="s">
        <v>532</v>
      </c>
      <c r="H23" s="9" t="s">
        <v>525</v>
      </c>
      <c r="J23" s="40"/>
      <c r="K23" s="38"/>
      <c r="L23" s="38"/>
      <c r="M23" s="32" t="n">
        <v>3526.21</v>
      </c>
      <c r="P23" s="39"/>
      <c r="Q23" s="34" t="str">
        <f aca="false">IF(OR($A23="",P23=""),"",ROUND(YEARFRAC(P23,README!$C$5),1))</f>
        <v/>
      </c>
      <c r="R23" s="39"/>
      <c r="S23" s="35" t="n">
        <v>4592</v>
      </c>
      <c r="T23" s="35" t="n">
        <v>4320</v>
      </c>
      <c r="U23" s="35" t="n">
        <v>4818</v>
      </c>
      <c r="V23" s="35" t="n">
        <v>498</v>
      </c>
      <c r="W23" s="31" t="n">
        <v>1</v>
      </c>
      <c r="X23" s="6" t="n">
        <v>8</v>
      </c>
      <c r="Y23" s="36" t="n">
        <v>7.9</v>
      </c>
      <c r="Z23" s="6" t="s">
        <v>626</v>
      </c>
      <c r="AA23" s="9" t="s">
        <v>528</v>
      </c>
      <c r="AB23" s="6" t="s">
        <v>633</v>
      </c>
      <c r="AE23" s="37" t="n">
        <f aca="false">COUNTIF(環境認証!$A$2:$A$849,A23)</f>
        <v>0</v>
      </c>
      <c r="AF23" s="6" t="n">
        <v>11.5</v>
      </c>
      <c r="AG23" s="6" t="n">
        <v>4.9</v>
      </c>
    </row>
    <row r="24" customFormat="false" ht="15" hidden="false" customHeight="true" outlineLevel="0" collapsed="false">
      <c r="A24" s="6" t="s">
        <v>634</v>
      </c>
      <c r="B24" s="6" t="s">
        <v>412</v>
      </c>
      <c r="C24" s="9" t="s">
        <v>635</v>
      </c>
      <c r="D24" s="9" t="s">
        <v>522</v>
      </c>
      <c r="E24" s="9" t="s">
        <v>523</v>
      </c>
      <c r="F24" s="9" t="s">
        <v>532</v>
      </c>
      <c r="H24" s="9" t="s">
        <v>525</v>
      </c>
      <c r="J24" s="40"/>
      <c r="K24" s="38"/>
      <c r="L24" s="38"/>
      <c r="M24" s="32" t="n">
        <v>11021.03</v>
      </c>
      <c r="P24" s="39"/>
      <c r="Q24" s="34" t="str">
        <f aca="false">IF(OR($A24="",P24=""),"",ROUND(YEARFRAC(P24,README!$C$5),1))</f>
        <v/>
      </c>
      <c r="R24" s="39"/>
      <c r="S24" s="35" t="n">
        <v>28146</v>
      </c>
      <c r="T24" s="35" t="n">
        <v>26403</v>
      </c>
      <c r="U24" s="35" t="n">
        <v>30700</v>
      </c>
      <c r="V24" s="35" t="n">
        <v>4297</v>
      </c>
      <c r="W24" s="31" t="n">
        <v>1</v>
      </c>
      <c r="X24" s="6" t="n">
        <v>17</v>
      </c>
      <c r="Y24" s="36" t="n">
        <v>1.8</v>
      </c>
      <c r="Z24" s="6" t="s">
        <v>626</v>
      </c>
      <c r="AA24" s="9" t="s">
        <v>528</v>
      </c>
      <c r="AB24" s="6" t="s">
        <v>636</v>
      </c>
      <c r="AE24" s="37" t="n">
        <f aca="false">COUNTIF(環境認証!$A$2:$A$849,A24)</f>
        <v>1</v>
      </c>
      <c r="AF24" s="6" t="n">
        <v>16.3</v>
      </c>
      <c r="AG24" s="6" t="n">
        <v>9.1</v>
      </c>
    </row>
    <row r="25" customFormat="false" ht="15" hidden="false" customHeight="true" outlineLevel="0" collapsed="false">
      <c r="A25" s="6" t="s">
        <v>637</v>
      </c>
      <c r="B25" s="6" t="s">
        <v>412</v>
      </c>
      <c r="C25" s="9" t="s">
        <v>638</v>
      </c>
      <c r="D25" s="9" t="s">
        <v>522</v>
      </c>
      <c r="E25" s="9" t="s">
        <v>523</v>
      </c>
      <c r="F25" s="9" t="s">
        <v>532</v>
      </c>
      <c r="H25" s="9" t="s">
        <v>525</v>
      </c>
      <c r="J25" s="40"/>
      <c r="K25" s="38"/>
      <c r="L25" s="38"/>
      <c r="M25" s="32" t="n">
        <v>12122.85</v>
      </c>
      <c r="P25" s="39"/>
      <c r="Q25" s="34" t="str">
        <f aca="false">IF(OR($A25="",P25=""),"",ROUND(YEARFRAC(P25,README!$C$5),1))</f>
        <v/>
      </c>
      <c r="R25" s="39"/>
      <c r="S25" s="35" t="n">
        <v>11000</v>
      </c>
      <c r="T25" s="35" t="n">
        <v>8723</v>
      </c>
      <c r="U25" s="35" t="n">
        <v>8380</v>
      </c>
      <c r="V25" s="35" t="n">
        <v>-343</v>
      </c>
      <c r="W25" s="31" t="n">
        <v>0.91</v>
      </c>
      <c r="X25" s="6" t="n">
        <v>4</v>
      </c>
      <c r="Y25" s="36" t="n">
        <v>6.3</v>
      </c>
      <c r="Z25" s="6" t="s">
        <v>626</v>
      </c>
      <c r="AA25" s="9" t="s">
        <v>528</v>
      </c>
      <c r="AB25" s="6" t="s">
        <v>639</v>
      </c>
      <c r="AE25" s="37" t="n">
        <f aca="false">COUNTIF(環境認証!$A$2:$A$849,A25)</f>
        <v>1</v>
      </c>
      <c r="AF25" s="6" t="n">
        <v>-3.9</v>
      </c>
      <c r="AG25" s="6" t="n">
        <v>-23.8</v>
      </c>
    </row>
    <row r="26" customFormat="false" ht="15" hidden="false" customHeight="true" outlineLevel="0" collapsed="false">
      <c r="A26" s="6" t="s">
        <v>640</v>
      </c>
      <c r="B26" s="6" t="s">
        <v>412</v>
      </c>
      <c r="C26" s="9" t="s">
        <v>641</v>
      </c>
      <c r="D26" s="9" t="s">
        <v>522</v>
      </c>
      <c r="E26" s="9" t="s">
        <v>523</v>
      </c>
      <c r="F26" s="9" t="s">
        <v>532</v>
      </c>
      <c r="H26" s="9" t="s">
        <v>525</v>
      </c>
      <c r="J26" s="40"/>
      <c r="K26" s="38"/>
      <c r="L26" s="38"/>
      <c r="M26" s="32" t="n">
        <v>19718.11</v>
      </c>
      <c r="P26" s="39"/>
      <c r="Q26" s="34" t="str">
        <f aca="false">IF(OR($A26="",P26=""),"",ROUND(YEARFRAC(P26,README!$C$5),1))</f>
        <v/>
      </c>
      <c r="R26" s="39"/>
      <c r="S26" s="35" t="n">
        <v>19080</v>
      </c>
      <c r="T26" s="35" t="n">
        <v>16108</v>
      </c>
      <c r="U26" s="35" t="n">
        <v>29500</v>
      </c>
      <c r="V26" s="35" t="n">
        <v>13392</v>
      </c>
      <c r="W26" s="31" t="n">
        <v>0.971</v>
      </c>
      <c r="X26" s="6" t="n">
        <v>12</v>
      </c>
      <c r="Y26" s="36" t="n">
        <v>0.2</v>
      </c>
      <c r="Z26" s="6" t="s">
        <v>626</v>
      </c>
      <c r="AA26" s="9" t="s">
        <v>528</v>
      </c>
      <c r="AB26" s="6" t="s">
        <v>642</v>
      </c>
      <c r="AE26" s="37" t="n">
        <f aca="false">COUNTIF(環境認証!$A$2:$A$849,A26)</f>
        <v>2</v>
      </c>
      <c r="AF26" s="6" t="n">
        <v>83.1</v>
      </c>
      <c r="AG26" s="6" t="n">
        <v>54.6</v>
      </c>
    </row>
    <row r="27" customFormat="false" ht="15" hidden="false" customHeight="true" outlineLevel="0" collapsed="false">
      <c r="A27" s="6" t="s">
        <v>643</v>
      </c>
      <c r="B27" s="6" t="s">
        <v>412</v>
      </c>
      <c r="C27" s="9" t="s">
        <v>644</v>
      </c>
      <c r="D27" s="9" t="s">
        <v>522</v>
      </c>
      <c r="E27" s="9" t="s">
        <v>523</v>
      </c>
      <c r="F27" s="9" t="s">
        <v>532</v>
      </c>
      <c r="H27" s="9" t="s">
        <v>525</v>
      </c>
      <c r="J27" s="40"/>
      <c r="K27" s="38"/>
      <c r="L27" s="38"/>
      <c r="M27" s="32" t="n">
        <v>8949.04</v>
      </c>
      <c r="P27" s="39"/>
      <c r="Q27" s="34" t="str">
        <f aca="false">IF(OR($A27="",P27=""),"",ROUND(YEARFRAC(P27,README!$C$5),1))</f>
        <v/>
      </c>
      <c r="R27" s="39"/>
      <c r="S27" s="35" t="n">
        <v>11431</v>
      </c>
      <c r="T27" s="35" t="n">
        <v>11045</v>
      </c>
      <c r="U27" s="35" t="n">
        <v>12700</v>
      </c>
      <c r="V27" s="35" t="n">
        <v>1655</v>
      </c>
      <c r="W27" s="31" t="n">
        <v>1</v>
      </c>
      <c r="X27" s="6" t="n">
        <v>5</v>
      </c>
      <c r="Y27" s="36" t="n">
        <v>4.7</v>
      </c>
      <c r="Z27" s="6" t="s">
        <v>626</v>
      </c>
      <c r="AA27" s="9" t="s">
        <v>528</v>
      </c>
      <c r="AB27" s="6" t="s">
        <v>645</v>
      </c>
      <c r="AE27" s="37" t="n">
        <f aca="false">COUNTIF(環境認証!$A$2:$A$849,A27)</f>
        <v>1</v>
      </c>
      <c r="AF27" s="6" t="n">
        <v>15</v>
      </c>
      <c r="AG27" s="6" t="n">
        <v>11.1</v>
      </c>
    </row>
    <row r="28" customFormat="false" ht="15" hidden="false" customHeight="true" outlineLevel="0" collapsed="false">
      <c r="A28" s="6" t="s">
        <v>646</v>
      </c>
      <c r="B28" s="6" t="s">
        <v>412</v>
      </c>
      <c r="C28" s="9" t="s">
        <v>647</v>
      </c>
      <c r="D28" s="9" t="s">
        <v>522</v>
      </c>
      <c r="E28" s="9" t="s">
        <v>523</v>
      </c>
      <c r="F28" s="9" t="s">
        <v>648</v>
      </c>
      <c r="H28" s="9" t="s">
        <v>525</v>
      </c>
      <c r="J28" s="40"/>
      <c r="K28" s="38"/>
      <c r="L28" s="38"/>
      <c r="M28" s="32" t="n">
        <v>5420.81</v>
      </c>
      <c r="P28" s="39"/>
      <c r="Q28" s="34" t="str">
        <f aca="false">IF(OR($A28="",P28=""),"",ROUND(YEARFRAC(P28,README!$C$5),1))</f>
        <v/>
      </c>
      <c r="R28" s="39"/>
      <c r="S28" s="35" t="n">
        <v>11420</v>
      </c>
      <c r="T28" s="35" t="n">
        <v>10952</v>
      </c>
      <c r="U28" s="35" t="n">
        <v>13900</v>
      </c>
      <c r="V28" s="35" t="n">
        <v>2948</v>
      </c>
      <c r="W28" s="31" t="n">
        <v>1</v>
      </c>
      <c r="X28" s="6" t="n">
        <v>10</v>
      </c>
      <c r="Y28" s="36" t="n">
        <v>5.3</v>
      </c>
      <c r="Z28" s="6" t="s">
        <v>626</v>
      </c>
      <c r="AA28" s="9" t="s">
        <v>528</v>
      </c>
      <c r="AB28" s="6" t="s">
        <v>649</v>
      </c>
      <c r="AE28" s="37" t="n">
        <f aca="false">COUNTIF(環境認証!$A$2:$A$849,A28)</f>
        <v>1</v>
      </c>
      <c r="AF28" s="6" t="n">
        <v>26.9</v>
      </c>
      <c r="AG28" s="6" t="n">
        <v>21.7</v>
      </c>
    </row>
    <row r="29" customFormat="false" ht="15" hidden="false" customHeight="true" outlineLevel="0" collapsed="false">
      <c r="A29" s="6" t="s">
        <v>650</v>
      </c>
      <c r="B29" s="6" t="s">
        <v>412</v>
      </c>
      <c r="C29" s="9" t="s">
        <v>651</v>
      </c>
      <c r="D29" s="9" t="s">
        <v>522</v>
      </c>
      <c r="E29" s="9" t="s">
        <v>523</v>
      </c>
      <c r="F29" s="9" t="s">
        <v>532</v>
      </c>
      <c r="G29" s="9" t="s">
        <v>652</v>
      </c>
      <c r="H29" s="9" t="s">
        <v>525</v>
      </c>
      <c r="J29" s="40"/>
      <c r="K29" s="38"/>
      <c r="L29" s="38"/>
      <c r="M29" s="32" t="n">
        <v>2580.24</v>
      </c>
      <c r="P29" s="39"/>
      <c r="Q29" s="34" t="str">
        <f aca="false">IF(OR($A29="",P29=""),"",ROUND(YEARFRAC(P29,README!$C$5),1))</f>
        <v/>
      </c>
      <c r="R29" s="39"/>
      <c r="S29" s="35" t="n">
        <v>6590</v>
      </c>
      <c r="T29" s="35" t="n">
        <v>6357</v>
      </c>
      <c r="U29" s="35" t="n">
        <v>7970</v>
      </c>
      <c r="V29" s="35" t="n">
        <v>1613</v>
      </c>
      <c r="W29" s="31" t="n">
        <v>0.877</v>
      </c>
      <c r="X29" s="6" t="n">
        <v>1</v>
      </c>
      <c r="Y29" s="36" t="n">
        <v>1.9</v>
      </c>
      <c r="Z29" s="6" t="s">
        <v>626</v>
      </c>
      <c r="AA29" s="9" t="s">
        <v>528</v>
      </c>
      <c r="AB29" s="6" t="s">
        <v>653</v>
      </c>
      <c r="AE29" s="37" t="n">
        <f aca="false">COUNTIF(環境認証!$A$2:$A$849,A29)</f>
        <v>2</v>
      </c>
      <c r="AF29" s="6" t="n">
        <v>25.4</v>
      </c>
      <c r="AG29" s="6" t="n">
        <v>20.9</v>
      </c>
    </row>
    <row r="30" customFormat="false" ht="15" hidden="false" customHeight="true" outlineLevel="0" collapsed="false">
      <c r="A30" s="6" t="s">
        <v>654</v>
      </c>
      <c r="B30" s="6" t="s">
        <v>412</v>
      </c>
      <c r="C30" s="6" t="s">
        <v>655</v>
      </c>
      <c r="D30" s="9" t="s">
        <v>522</v>
      </c>
      <c r="E30" s="9" t="s">
        <v>523</v>
      </c>
      <c r="F30" s="9" t="s">
        <v>532</v>
      </c>
      <c r="G30" s="9" t="s">
        <v>656</v>
      </c>
      <c r="H30" s="9" t="s">
        <v>525</v>
      </c>
      <c r="J30" s="40"/>
      <c r="K30" s="38"/>
      <c r="L30" s="38"/>
      <c r="M30" s="32" t="n">
        <v>2387.43</v>
      </c>
      <c r="P30" s="39"/>
      <c r="Q30" s="34" t="str">
        <f aca="false">IF(OR($A30="",P30=""),"",ROUND(YEARFRAC(P30,README!$C$5),1))</f>
        <v/>
      </c>
      <c r="R30" s="39"/>
      <c r="S30" s="35" t="n">
        <v>6200</v>
      </c>
      <c r="T30" s="35" t="n">
        <v>6065</v>
      </c>
      <c r="U30" s="35" t="n">
        <v>5910</v>
      </c>
      <c r="V30" s="35" t="n">
        <v>-155</v>
      </c>
      <c r="W30" s="31" t="n">
        <v>0.889</v>
      </c>
      <c r="X30" s="6" t="n">
        <v>7</v>
      </c>
      <c r="Y30" s="36" t="n">
        <v>5.7</v>
      </c>
      <c r="Z30" s="6" t="s">
        <v>626</v>
      </c>
      <c r="AA30" s="9" t="s">
        <v>528</v>
      </c>
      <c r="AB30" s="6" t="s">
        <v>657</v>
      </c>
      <c r="AE30" s="37" t="n">
        <f aca="false">COUNTIF(環境認証!$A$2:$A$849,A30)</f>
        <v>2</v>
      </c>
      <c r="AF30" s="6" t="n">
        <v>-2.6</v>
      </c>
      <c r="AG30" s="6" t="n">
        <v>-4.7</v>
      </c>
    </row>
    <row r="31" customFormat="false" ht="15" hidden="false" customHeight="true" outlineLevel="0" collapsed="false">
      <c r="A31" s="6" t="s">
        <v>658</v>
      </c>
      <c r="B31" s="6" t="s">
        <v>412</v>
      </c>
      <c r="C31" s="6" t="s">
        <v>659</v>
      </c>
      <c r="D31" s="9" t="s">
        <v>522</v>
      </c>
      <c r="E31" s="9" t="s">
        <v>523</v>
      </c>
      <c r="F31" s="9" t="s">
        <v>524</v>
      </c>
      <c r="H31" s="9" t="s">
        <v>525</v>
      </c>
      <c r="J31" s="40"/>
      <c r="K31" s="38"/>
      <c r="L31" s="38"/>
      <c r="M31" s="32" t="n">
        <v>5592.4</v>
      </c>
      <c r="P31" s="39"/>
      <c r="Q31" s="34" t="str">
        <f aca="false">IF(OR($A31="",P31=""),"",ROUND(YEARFRAC(P31,README!$C$5),1))</f>
        <v/>
      </c>
      <c r="R31" s="39"/>
      <c r="S31" s="35" t="n">
        <v>10860</v>
      </c>
      <c r="T31" s="35" t="n">
        <v>10449</v>
      </c>
      <c r="U31" s="35" t="n">
        <v>10600</v>
      </c>
      <c r="V31" s="35" t="n">
        <v>151</v>
      </c>
      <c r="W31" s="31" t="n">
        <v>1</v>
      </c>
      <c r="X31" s="6" t="n">
        <v>8</v>
      </c>
      <c r="Y31" s="36" t="n">
        <v>7</v>
      </c>
      <c r="Z31" s="6" t="s">
        <v>626</v>
      </c>
      <c r="AA31" s="9" t="s">
        <v>528</v>
      </c>
      <c r="AB31" s="6" t="s">
        <v>660</v>
      </c>
      <c r="AE31" s="37" t="n">
        <f aca="false">COUNTIF(環境認証!$A$2:$A$849,A31)</f>
        <v>2</v>
      </c>
      <c r="AF31" s="6" t="n">
        <v>1.4</v>
      </c>
      <c r="AG31" s="6" t="n">
        <v>-2.4</v>
      </c>
    </row>
    <row r="32" customFormat="false" ht="15" hidden="false" customHeight="true" outlineLevel="0" collapsed="false">
      <c r="A32" s="6" t="s">
        <v>661</v>
      </c>
      <c r="B32" s="6" t="s">
        <v>412</v>
      </c>
      <c r="C32" s="6" t="s">
        <v>662</v>
      </c>
      <c r="D32" s="9" t="s">
        <v>522</v>
      </c>
      <c r="E32" s="9" t="s">
        <v>523</v>
      </c>
      <c r="F32" s="9" t="s">
        <v>648</v>
      </c>
      <c r="H32" s="9" t="s">
        <v>525</v>
      </c>
      <c r="J32" s="40"/>
      <c r="K32" s="38"/>
      <c r="L32" s="38"/>
      <c r="M32" s="32" t="n">
        <v>2788.64</v>
      </c>
      <c r="P32" s="39"/>
      <c r="Q32" s="34" t="str">
        <f aca="false">IF(OR($A32="",P32=""),"",ROUND(YEARFRAC(P32,README!$C$5),1))</f>
        <v/>
      </c>
      <c r="R32" s="39"/>
      <c r="S32" s="35" t="n">
        <v>6640</v>
      </c>
      <c r="T32" s="35" t="n">
        <v>6551</v>
      </c>
      <c r="U32" s="35" t="n">
        <v>7330</v>
      </c>
      <c r="V32" s="35" t="n">
        <v>779</v>
      </c>
      <c r="W32" s="31" t="n">
        <v>1</v>
      </c>
      <c r="X32" s="6" t="n">
        <v>7</v>
      </c>
      <c r="Y32" s="36" t="n">
        <v>5.4</v>
      </c>
      <c r="Z32" s="6" t="s">
        <v>626</v>
      </c>
      <c r="AA32" s="9" t="s">
        <v>528</v>
      </c>
      <c r="AB32" s="6" t="s">
        <v>663</v>
      </c>
      <c r="AE32" s="37" t="n">
        <f aca="false">COUNTIF(環境認証!$A$2:$A$849,A32)</f>
        <v>2</v>
      </c>
      <c r="AF32" s="6" t="n">
        <v>11.9</v>
      </c>
      <c r="AG32" s="6" t="n">
        <v>10.4</v>
      </c>
    </row>
    <row r="33" customFormat="false" ht="15" hidden="false" customHeight="true" outlineLevel="0" collapsed="false">
      <c r="A33" s="6" t="s">
        <v>664</v>
      </c>
      <c r="B33" s="6" t="s">
        <v>412</v>
      </c>
      <c r="C33" s="6" t="s">
        <v>665</v>
      </c>
      <c r="D33" s="9" t="s">
        <v>522</v>
      </c>
      <c r="E33" s="9" t="s">
        <v>523</v>
      </c>
      <c r="F33" s="9" t="s">
        <v>666</v>
      </c>
      <c r="H33" s="9" t="s">
        <v>525</v>
      </c>
      <c r="J33" s="40"/>
      <c r="K33" s="38"/>
      <c r="L33" s="38"/>
      <c r="M33" s="32" t="n">
        <v>4829.68</v>
      </c>
      <c r="P33" s="39"/>
      <c r="Q33" s="34" t="str">
        <f aca="false">IF(OR($A33="",P33=""),"",ROUND(YEARFRAC(P33,README!$C$5),1))</f>
        <v/>
      </c>
      <c r="R33" s="39"/>
      <c r="S33" s="35" t="n">
        <v>9800</v>
      </c>
      <c r="T33" s="35" t="n">
        <v>9703</v>
      </c>
      <c r="U33" s="35" t="n">
        <v>10400</v>
      </c>
      <c r="V33" s="35" t="n">
        <v>697</v>
      </c>
      <c r="W33" s="31" t="n">
        <v>1</v>
      </c>
      <c r="X33" s="6" t="n">
        <v>1</v>
      </c>
      <c r="Y33" s="36" t="n">
        <v>5</v>
      </c>
      <c r="Z33" s="6" t="s">
        <v>626</v>
      </c>
      <c r="AA33" s="9" t="s">
        <v>528</v>
      </c>
      <c r="AB33" s="6" t="s">
        <v>667</v>
      </c>
      <c r="AE33" s="37" t="n">
        <f aca="false">COUNTIF(環境認証!$A$2:$A$849,A33)</f>
        <v>1</v>
      </c>
      <c r="AF33" s="6" t="n">
        <v>7.2</v>
      </c>
      <c r="AG33" s="6" t="n">
        <v>6.1</v>
      </c>
    </row>
    <row r="34" customFormat="false" ht="15" hidden="false" customHeight="true" outlineLevel="0" collapsed="false">
      <c r="A34" s="6" t="s">
        <v>668</v>
      </c>
      <c r="B34" s="6" t="s">
        <v>412</v>
      </c>
      <c r="C34" s="9" t="s">
        <v>669</v>
      </c>
      <c r="D34" s="9" t="s">
        <v>522</v>
      </c>
      <c r="E34" s="9" t="s">
        <v>523</v>
      </c>
      <c r="F34" s="9" t="s">
        <v>625</v>
      </c>
      <c r="H34" s="9" t="s">
        <v>540</v>
      </c>
      <c r="J34" s="40"/>
      <c r="K34" s="38"/>
      <c r="L34" s="38"/>
      <c r="M34" s="32" t="n">
        <v>5930.27</v>
      </c>
      <c r="P34" s="39"/>
      <c r="Q34" s="34" t="str">
        <f aca="false">IF(OR($A34="",P34=""),"",ROUND(YEARFRAC(P34,README!$C$5),1))</f>
        <v/>
      </c>
      <c r="R34" s="39"/>
      <c r="S34" s="35" t="n">
        <v>13100</v>
      </c>
      <c r="T34" s="35" t="n">
        <v>12774</v>
      </c>
      <c r="U34" s="35" t="n">
        <v>13400</v>
      </c>
      <c r="V34" s="35" t="n">
        <v>626</v>
      </c>
      <c r="W34" s="31" t="n">
        <v>0.997</v>
      </c>
      <c r="X34" s="6" t="n">
        <v>1</v>
      </c>
      <c r="Y34" s="36" t="n">
        <v>1.7</v>
      </c>
      <c r="Z34" s="6" t="s">
        <v>626</v>
      </c>
      <c r="AA34" s="9" t="s">
        <v>528</v>
      </c>
      <c r="AB34" s="6" t="s">
        <v>670</v>
      </c>
      <c r="AE34" s="37" t="n">
        <f aca="false">COUNTIF(環境認証!$A$2:$A$849,A34)</f>
        <v>1</v>
      </c>
      <c r="AF34" s="6" t="n">
        <v>4.9</v>
      </c>
      <c r="AG34" s="6" t="n">
        <v>2.3</v>
      </c>
    </row>
    <row r="35" customFormat="false" ht="15" hidden="false" customHeight="true" outlineLevel="0" collapsed="false">
      <c r="A35" s="6" t="s">
        <v>671</v>
      </c>
      <c r="B35" s="6" t="s">
        <v>412</v>
      </c>
      <c r="C35" s="9" t="s">
        <v>672</v>
      </c>
      <c r="D35" s="9" t="s">
        <v>522</v>
      </c>
      <c r="E35" s="9" t="s">
        <v>523</v>
      </c>
      <c r="F35" s="9" t="s">
        <v>532</v>
      </c>
      <c r="H35" s="9" t="s">
        <v>525</v>
      </c>
      <c r="J35" s="40"/>
      <c r="K35" s="38"/>
      <c r="L35" s="38"/>
      <c r="M35" s="32" t="n">
        <v>8973.84</v>
      </c>
      <c r="P35" s="39"/>
      <c r="Q35" s="34" t="str">
        <f aca="false">IF(OR($A35="",P35=""),"",ROUND(YEARFRAC(P35,README!$C$5),1))</f>
        <v/>
      </c>
      <c r="R35" s="39"/>
      <c r="S35" s="35" t="n">
        <v>17250</v>
      </c>
      <c r="T35" s="35" t="n">
        <v>16942</v>
      </c>
      <c r="U35" s="35" t="n">
        <v>17700</v>
      </c>
      <c r="V35" s="35" t="n">
        <v>758</v>
      </c>
      <c r="W35" s="31" t="n">
        <v>1</v>
      </c>
      <c r="X35" s="6" t="n">
        <v>8</v>
      </c>
      <c r="Y35" s="36" t="n">
        <v>1.8</v>
      </c>
      <c r="Z35" s="6" t="s">
        <v>626</v>
      </c>
      <c r="AA35" s="9" t="s">
        <v>528</v>
      </c>
      <c r="AB35" s="6" t="s">
        <v>673</v>
      </c>
      <c r="AE35" s="37" t="n">
        <f aca="false">COUNTIF(環境認証!$A$2:$A$849,A35)</f>
        <v>0</v>
      </c>
      <c r="AF35" s="6" t="n">
        <v>4.5</v>
      </c>
      <c r="AG35" s="6" t="n">
        <v>2.6</v>
      </c>
    </row>
    <row r="36" customFormat="false" ht="15" hidden="false" customHeight="true" outlineLevel="0" collapsed="false">
      <c r="A36" s="6" t="s">
        <v>674</v>
      </c>
      <c r="B36" s="6" t="s">
        <v>412</v>
      </c>
      <c r="C36" s="6" t="s">
        <v>675</v>
      </c>
      <c r="D36" s="9" t="s">
        <v>522</v>
      </c>
      <c r="E36" s="9" t="s">
        <v>567</v>
      </c>
      <c r="F36" s="9" t="s">
        <v>676</v>
      </c>
      <c r="H36" s="9" t="s">
        <v>569</v>
      </c>
      <c r="J36" s="40"/>
      <c r="K36" s="38"/>
      <c r="L36" s="38"/>
      <c r="M36" s="32" t="n">
        <v>11773.6</v>
      </c>
      <c r="P36" s="39"/>
      <c r="Q36" s="34" t="str">
        <f aca="false">IF(OR($A36="",P36=""),"",ROUND(YEARFRAC(P36,README!$C$5),1))</f>
        <v/>
      </c>
      <c r="R36" s="39"/>
      <c r="S36" s="35" t="n">
        <v>5610</v>
      </c>
      <c r="T36" s="35" t="n">
        <v>5453</v>
      </c>
      <c r="U36" s="35" t="n">
        <v>5100</v>
      </c>
      <c r="V36" s="35" t="n">
        <v>-353</v>
      </c>
      <c r="W36" s="31" t="n">
        <v>0.97</v>
      </c>
      <c r="X36" s="6" t="n">
        <v>43</v>
      </c>
      <c r="Y36" s="36" t="n">
        <v>4</v>
      </c>
      <c r="Z36" s="6" t="s">
        <v>626</v>
      </c>
      <c r="AA36" s="9" t="s">
        <v>528</v>
      </c>
      <c r="AB36" s="6" t="s">
        <v>677</v>
      </c>
      <c r="AE36" s="37" t="n">
        <f aca="false">COUNTIF(環境認証!$A$2:$A$849,A36)</f>
        <v>1</v>
      </c>
      <c r="AF36" s="6" t="n">
        <v>-6.5</v>
      </c>
      <c r="AG36" s="6" t="n">
        <v>-9.1</v>
      </c>
    </row>
    <row r="37" customFormat="false" ht="15" hidden="false" customHeight="true" outlineLevel="0" collapsed="false">
      <c r="A37" s="6" t="s">
        <v>678</v>
      </c>
      <c r="B37" s="6" t="s">
        <v>412</v>
      </c>
      <c r="C37" s="9" t="s">
        <v>679</v>
      </c>
      <c r="D37" s="9" t="s">
        <v>522</v>
      </c>
      <c r="E37" s="9" t="s">
        <v>573</v>
      </c>
      <c r="F37" s="9" t="s">
        <v>680</v>
      </c>
      <c r="H37" s="9" t="s">
        <v>569</v>
      </c>
      <c r="J37" s="40"/>
      <c r="K37" s="38"/>
      <c r="L37" s="38"/>
      <c r="M37" s="32" t="n">
        <v>5084.45</v>
      </c>
      <c r="P37" s="39"/>
      <c r="Q37" s="34" t="str">
        <f aca="false">IF(OR($A37="",P37=""),"",ROUND(YEARFRAC(P37,README!$C$5),1))</f>
        <v/>
      </c>
      <c r="R37" s="39"/>
      <c r="S37" s="35" t="n">
        <v>9518</v>
      </c>
      <c r="T37" s="35" t="n">
        <v>9574</v>
      </c>
      <c r="U37" s="35" t="n">
        <v>10600</v>
      </c>
      <c r="V37" s="35" t="n">
        <v>1026</v>
      </c>
      <c r="W37" s="31" t="n">
        <v>0.986</v>
      </c>
      <c r="X37" s="6" t="n">
        <v>2</v>
      </c>
      <c r="Y37" s="36" t="n">
        <v>3.2</v>
      </c>
      <c r="Z37" s="6" t="s">
        <v>626</v>
      </c>
      <c r="AA37" s="9" t="s">
        <v>528</v>
      </c>
      <c r="AB37" s="6" t="s">
        <v>681</v>
      </c>
      <c r="AE37" s="37" t="n">
        <f aca="false">COUNTIF(環境認証!$A$2:$A$849,A37)</f>
        <v>0</v>
      </c>
      <c r="AF37" s="6" t="n">
        <v>10.7</v>
      </c>
      <c r="AG37" s="6" t="n">
        <v>11.4</v>
      </c>
    </row>
    <row r="38" customFormat="false" ht="15" hidden="false" customHeight="true" outlineLevel="0" collapsed="false">
      <c r="A38" s="6" t="s">
        <v>682</v>
      </c>
      <c r="B38" s="6" t="s">
        <v>412</v>
      </c>
      <c r="C38" s="9" t="s">
        <v>683</v>
      </c>
      <c r="D38" s="9" t="s">
        <v>522</v>
      </c>
      <c r="E38" s="9" t="s">
        <v>573</v>
      </c>
      <c r="F38" s="9" t="s">
        <v>680</v>
      </c>
      <c r="H38" s="9" t="s">
        <v>569</v>
      </c>
      <c r="J38" s="40"/>
      <c r="K38" s="38"/>
      <c r="L38" s="38"/>
      <c r="M38" s="32" t="n">
        <v>8025.61</v>
      </c>
      <c r="P38" s="39"/>
      <c r="Q38" s="34" t="str">
        <f aca="false">IF(OR($A38="",P38=""),"",ROUND(YEARFRAC(P38,README!$C$5),1))</f>
        <v/>
      </c>
      <c r="R38" s="39"/>
      <c r="S38" s="35" t="n">
        <v>7632</v>
      </c>
      <c r="T38" s="35" t="n">
        <v>7594</v>
      </c>
      <c r="U38" s="35" t="n">
        <v>8410</v>
      </c>
      <c r="V38" s="35" t="n">
        <v>816</v>
      </c>
      <c r="W38" s="31" t="n">
        <v>0.961</v>
      </c>
      <c r="X38" s="6" t="n">
        <v>5</v>
      </c>
      <c r="Y38" s="36" t="n">
        <v>3.2</v>
      </c>
      <c r="Z38" s="6" t="s">
        <v>626</v>
      </c>
      <c r="AA38" s="9" t="s">
        <v>528</v>
      </c>
      <c r="AB38" s="6" t="s">
        <v>684</v>
      </c>
      <c r="AE38" s="37" t="n">
        <f aca="false">COUNTIF(環境認証!$A$2:$A$849,A38)</f>
        <v>3</v>
      </c>
      <c r="AF38" s="6" t="n">
        <v>10.7</v>
      </c>
      <c r="AG38" s="6" t="n">
        <v>10.2</v>
      </c>
    </row>
    <row r="39" customFormat="false" ht="15" hidden="false" customHeight="true" outlineLevel="0" collapsed="false">
      <c r="A39" s="6" t="s">
        <v>685</v>
      </c>
      <c r="B39" s="6" t="s">
        <v>412</v>
      </c>
      <c r="C39" s="9" t="s">
        <v>686</v>
      </c>
      <c r="D39" s="9" t="s">
        <v>522</v>
      </c>
      <c r="E39" s="9" t="s">
        <v>547</v>
      </c>
      <c r="F39" s="9" t="s">
        <v>687</v>
      </c>
      <c r="H39" s="9" t="s">
        <v>550</v>
      </c>
      <c r="J39" s="40"/>
      <c r="K39" s="38"/>
      <c r="L39" s="38"/>
      <c r="M39" s="32" t="n">
        <v>24928.37</v>
      </c>
      <c r="P39" s="39"/>
      <c r="Q39" s="34" t="str">
        <f aca="false">IF(OR($A39="",P39=""),"",ROUND(YEARFRAC(P39,README!$C$5),1))</f>
        <v/>
      </c>
      <c r="R39" s="39"/>
      <c r="S39" s="35" t="n">
        <v>13890</v>
      </c>
      <c r="T39" s="35" t="n">
        <v>12110</v>
      </c>
      <c r="U39" s="35" t="n">
        <v>22900</v>
      </c>
      <c r="V39" s="35" t="n">
        <v>10790</v>
      </c>
      <c r="W39" s="31" t="n">
        <v>1</v>
      </c>
      <c r="X39" s="6" t="n">
        <v>51</v>
      </c>
      <c r="Y39" s="36" t="n">
        <v>4.2</v>
      </c>
      <c r="Z39" s="6" t="s">
        <v>626</v>
      </c>
      <c r="AA39" s="9" t="s">
        <v>528</v>
      </c>
      <c r="AB39" s="6" t="s">
        <v>688</v>
      </c>
      <c r="AE39" s="37" t="n">
        <f aca="false">COUNTIF(環境認証!$A$2:$A$849,A39)</f>
        <v>1</v>
      </c>
      <c r="AF39" s="6" t="n">
        <v>89.1</v>
      </c>
      <c r="AG39" s="6" t="n">
        <v>64.9</v>
      </c>
    </row>
    <row r="40" customFormat="false" ht="15" hidden="false" customHeight="true" outlineLevel="0" collapsed="false">
      <c r="A40" s="6" t="s">
        <v>689</v>
      </c>
      <c r="B40" s="6" t="s">
        <v>412</v>
      </c>
      <c r="C40" s="9" t="s">
        <v>690</v>
      </c>
      <c r="D40" s="9" t="s">
        <v>522</v>
      </c>
      <c r="E40" s="9" t="s">
        <v>547</v>
      </c>
      <c r="F40" s="9" t="s">
        <v>687</v>
      </c>
      <c r="H40" s="9" t="s">
        <v>550</v>
      </c>
      <c r="J40" s="40"/>
      <c r="K40" s="38"/>
      <c r="L40" s="38"/>
      <c r="M40" s="32" t="n">
        <v>10466.21</v>
      </c>
      <c r="P40" s="39"/>
      <c r="Q40" s="34" t="str">
        <f aca="false">IF(OR($A40="",P40=""),"",ROUND(YEARFRAC(P40,README!$C$5),1))</f>
        <v/>
      </c>
      <c r="R40" s="39"/>
      <c r="S40" s="35" t="n">
        <v>4725</v>
      </c>
      <c r="T40" s="35" t="n">
        <v>4331</v>
      </c>
      <c r="U40" s="35" t="n">
        <v>3520</v>
      </c>
      <c r="V40" s="35" t="n">
        <v>-811</v>
      </c>
      <c r="W40" s="31" t="n">
        <v>1</v>
      </c>
      <c r="X40" s="6" t="n">
        <v>40</v>
      </c>
      <c r="Y40" s="36" t="n">
        <v>5.5</v>
      </c>
      <c r="Z40" s="6" t="s">
        <v>626</v>
      </c>
      <c r="AA40" s="9" t="s">
        <v>528</v>
      </c>
      <c r="AB40" s="6" t="s">
        <v>691</v>
      </c>
      <c r="AE40" s="37" t="n">
        <f aca="false">COUNTIF(環境認証!$A$2:$A$849,A40)</f>
        <v>1</v>
      </c>
      <c r="AF40" s="6" t="n">
        <v>-18.7</v>
      </c>
      <c r="AG40" s="6" t="n">
        <v>-25.5</v>
      </c>
    </row>
    <row r="41" customFormat="false" ht="15" hidden="false" customHeight="true" outlineLevel="0" collapsed="false">
      <c r="A41" s="6" t="s">
        <v>692</v>
      </c>
      <c r="B41" s="6" t="s">
        <v>412</v>
      </c>
      <c r="C41" s="6" t="s">
        <v>693</v>
      </c>
      <c r="D41" s="9" t="s">
        <v>522</v>
      </c>
      <c r="E41" s="9" t="s">
        <v>523</v>
      </c>
      <c r="F41" s="9" t="s">
        <v>609</v>
      </c>
      <c r="H41" s="9" t="s">
        <v>540</v>
      </c>
      <c r="J41" s="40"/>
      <c r="K41" s="38"/>
      <c r="L41" s="38"/>
      <c r="M41" s="32" t="n">
        <v>3871.64</v>
      </c>
      <c r="P41" s="39"/>
      <c r="Q41" s="34" t="str">
        <f aca="false">IF(OR($A41="",P41=""),"",ROUND(YEARFRAC(P41,README!$C$5),1))</f>
        <v/>
      </c>
      <c r="R41" s="39"/>
      <c r="S41" s="35" t="n">
        <v>2550</v>
      </c>
      <c r="T41" s="35" t="n">
        <v>2382</v>
      </c>
      <c r="U41" s="35" t="n">
        <v>3070</v>
      </c>
      <c r="V41" s="35" t="n">
        <v>688</v>
      </c>
      <c r="W41" s="31" t="n">
        <v>1</v>
      </c>
      <c r="X41" s="6" t="n">
        <v>17</v>
      </c>
      <c r="Y41" s="36" t="n">
        <v>6.8</v>
      </c>
      <c r="Z41" s="6" t="s">
        <v>626</v>
      </c>
      <c r="AA41" s="9" t="s">
        <v>528</v>
      </c>
      <c r="AB41" s="6" t="s">
        <v>694</v>
      </c>
      <c r="AE41" s="37" t="n">
        <f aca="false">COUNTIF(環境認証!$A$2:$A$849,A41)</f>
        <v>1</v>
      </c>
      <c r="AF41" s="6" t="n">
        <v>28.9</v>
      </c>
      <c r="AG41" s="6" t="n">
        <v>20.4</v>
      </c>
    </row>
    <row r="42" customFormat="false" ht="15" hidden="false" customHeight="true" outlineLevel="0" collapsed="false">
      <c r="A42" s="6" t="s">
        <v>695</v>
      </c>
      <c r="B42" s="6" t="s">
        <v>412</v>
      </c>
      <c r="C42" s="9" t="s">
        <v>696</v>
      </c>
      <c r="D42" s="9" t="s">
        <v>522</v>
      </c>
      <c r="E42" s="9" t="s">
        <v>523</v>
      </c>
      <c r="F42" s="9" t="s">
        <v>697</v>
      </c>
      <c r="H42" s="9" t="s">
        <v>550</v>
      </c>
      <c r="J42" s="40"/>
      <c r="K42" s="38"/>
      <c r="L42" s="38"/>
      <c r="M42" s="32" t="n">
        <v>9228.13</v>
      </c>
      <c r="P42" s="39"/>
      <c r="Q42" s="34" t="str">
        <f aca="false">IF(OR($A42="",P42=""),"",ROUND(YEARFRAC(P42,README!$C$5),1))</f>
        <v/>
      </c>
      <c r="R42" s="39"/>
      <c r="S42" s="35" t="n">
        <v>6500</v>
      </c>
      <c r="T42" s="35" t="n">
        <v>5867</v>
      </c>
      <c r="U42" s="35" t="n">
        <v>10200</v>
      </c>
      <c r="V42" s="35" t="n">
        <v>4333</v>
      </c>
      <c r="W42" s="31" t="n">
        <v>1</v>
      </c>
      <c r="X42" s="6" t="n">
        <v>25</v>
      </c>
      <c r="Y42" s="36" t="n">
        <v>2.6</v>
      </c>
      <c r="Z42" s="6" t="s">
        <v>626</v>
      </c>
      <c r="AA42" s="9" t="s">
        <v>528</v>
      </c>
      <c r="AB42" s="6" t="s">
        <v>698</v>
      </c>
      <c r="AE42" s="37" t="n">
        <f aca="false">COUNTIF(環境認証!$A$2:$A$849,A42)</f>
        <v>1</v>
      </c>
      <c r="AF42" s="6" t="n">
        <v>73.9</v>
      </c>
      <c r="AG42" s="6" t="n">
        <v>56.9</v>
      </c>
    </row>
    <row r="43" customFormat="false" ht="15" hidden="false" customHeight="true" outlineLevel="0" collapsed="false">
      <c r="A43" s="6" t="s">
        <v>699</v>
      </c>
      <c r="B43" s="6" t="s">
        <v>412</v>
      </c>
      <c r="C43" s="9" t="s">
        <v>700</v>
      </c>
      <c r="D43" s="9" t="s">
        <v>522</v>
      </c>
      <c r="E43" s="9" t="s">
        <v>547</v>
      </c>
      <c r="F43" s="9" t="s">
        <v>701</v>
      </c>
      <c r="H43" s="9" t="s">
        <v>550</v>
      </c>
      <c r="J43" s="40"/>
      <c r="K43" s="38"/>
      <c r="L43" s="38"/>
      <c r="M43" s="32" t="n">
        <v>40414.24</v>
      </c>
      <c r="P43" s="39"/>
      <c r="Q43" s="34" t="str">
        <f aca="false">IF(OR($A43="",P43=""),"",ROUND(YEARFRAC(P43,README!$C$5),1))</f>
        <v/>
      </c>
      <c r="R43" s="39"/>
      <c r="S43" s="35" t="n">
        <v>24500</v>
      </c>
      <c r="T43" s="35" t="n">
        <v>21008</v>
      </c>
      <c r="U43" s="35" t="n">
        <v>31600</v>
      </c>
      <c r="V43" s="35" t="n">
        <v>10592</v>
      </c>
      <c r="W43" s="31" t="n">
        <v>0.998</v>
      </c>
      <c r="X43" s="6" t="n">
        <v>50</v>
      </c>
      <c r="Y43" s="36" t="n">
        <v>1.4</v>
      </c>
      <c r="Z43" s="6" t="s">
        <v>626</v>
      </c>
      <c r="AA43" s="9" t="s">
        <v>528</v>
      </c>
      <c r="AB43" s="6" t="s">
        <v>702</v>
      </c>
      <c r="AE43" s="37" t="n">
        <f aca="false">COUNTIF(環境認証!$A$2:$A$849,A43)</f>
        <v>2</v>
      </c>
      <c r="AF43" s="6" t="n">
        <v>50.4</v>
      </c>
      <c r="AG43" s="6" t="n">
        <v>29</v>
      </c>
    </row>
    <row r="44" customFormat="false" ht="15" hidden="false" customHeight="true" outlineLevel="0" collapsed="false">
      <c r="A44" s="6" t="s">
        <v>703</v>
      </c>
      <c r="B44" s="6" t="s">
        <v>412</v>
      </c>
      <c r="C44" s="9" t="s">
        <v>704</v>
      </c>
      <c r="D44" s="9" t="s">
        <v>522</v>
      </c>
      <c r="E44" s="9" t="s">
        <v>547</v>
      </c>
      <c r="F44" s="9" t="s">
        <v>701</v>
      </c>
      <c r="H44" s="9" t="s">
        <v>550</v>
      </c>
      <c r="J44" s="40"/>
      <c r="K44" s="38"/>
      <c r="L44" s="38"/>
      <c r="M44" s="32" t="n">
        <v>2119.49</v>
      </c>
      <c r="P44" s="39"/>
      <c r="Q44" s="34" t="str">
        <f aca="false">IF(OR($A44="",P44=""),"",ROUND(YEARFRAC(P44,README!$C$5),1))</f>
        <v/>
      </c>
      <c r="R44" s="39"/>
      <c r="S44" s="35" t="n">
        <v>640</v>
      </c>
      <c r="T44" s="35" t="n">
        <v>746</v>
      </c>
      <c r="U44" s="35" t="n">
        <v>844</v>
      </c>
      <c r="V44" s="35" t="n">
        <v>98</v>
      </c>
      <c r="W44" s="31" t="n">
        <v>1</v>
      </c>
      <c r="X44" s="6" t="n">
        <v>13</v>
      </c>
      <c r="Y44" s="36" t="n">
        <v>8.3</v>
      </c>
      <c r="Z44" s="6" t="s">
        <v>626</v>
      </c>
      <c r="AA44" s="9" t="s">
        <v>528</v>
      </c>
      <c r="AB44" s="6" t="s">
        <v>705</v>
      </c>
      <c r="AE44" s="37" t="n">
        <f aca="false">COUNTIF(環境認証!$A$2:$A$849,A44)</f>
        <v>1</v>
      </c>
      <c r="AF44" s="6" t="n">
        <v>13.1</v>
      </c>
      <c r="AG44" s="6" t="n">
        <v>31.9</v>
      </c>
    </row>
    <row r="45" customFormat="false" ht="15" hidden="false" customHeight="true" outlineLevel="0" collapsed="false">
      <c r="A45" s="6" t="s">
        <v>706</v>
      </c>
      <c r="B45" s="6" t="s">
        <v>412</v>
      </c>
      <c r="C45" s="9" t="s">
        <v>707</v>
      </c>
      <c r="D45" s="9" t="s">
        <v>522</v>
      </c>
      <c r="E45" s="9" t="s">
        <v>547</v>
      </c>
      <c r="F45" s="9" t="s">
        <v>701</v>
      </c>
      <c r="H45" s="9" t="s">
        <v>550</v>
      </c>
      <c r="J45" s="40"/>
      <c r="K45" s="38"/>
      <c r="L45" s="38"/>
      <c r="M45" s="32" t="n">
        <v>1953.66</v>
      </c>
      <c r="P45" s="39"/>
      <c r="Q45" s="34" t="str">
        <f aca="false">IF(OR($A45="",P45=""),"",ROUND(YEARFRAC(P45,README!$C$5),1))</f>
        <v/>
      </c>
      <c r="R45" s="39"/>
      <c r="S45" s="35" t="n">
        <v>2077</v>
      </c>
      <c r="T45" s="35" t="n">
        <v>2133</v>
      </c>
      <c r="U45" s="35" t="n">
        <v>2200</v>
      </c>
      <c r="V45" s="35" t="n">
        <v>67</v>
      </c>
      <c r="W45" s="31" t="n">
        <v>0.848</v>
      </c>
      <c r="X45" s="6" t="n">
        <v>13</v>
      </c>
      <c r="Y45" s="36" t="n">
        <v>8.2</v>
      </c>
      <c r="Z45" s="6" t="s">
        <v>626</v>
      </c>
      <c r="AA45" s="9" t="s">
        <v>528</v>
      </c>
      <c r="AB45" s="6" t="s">
        <v>708</v>
      </c>
      <c r="AE45" s="37" t="n">
        <f aca="false">COUNTIF(環境認証!$A$2:$A$849,A45)</f>
        <v>1</v>
      </c>
      <c r="AF45" s="6" t="n">
        <v>3.1</v>
      </c>
      <c r="AG45" s="6" t="n">
        <v>5.9</v>
      </c>
    </row>
    <row r="46" customFormat="false" ht="15" hidden="false" customHeight="true" outlineLevel="0" collapsed="false">
      <c r="A46" s="6" t="s">
        <v>709</v>
      </c>
      <c r="B46" s="6" t="s">
        <v>412</v>
      </c>
      <c r="C46" s="9" t="s">
        <v>710</v>
      </c>
      <c r="D46" s="9" t="s">
        <v>522</v>
      </c>
      <c r="E46" s="9" t="s">
        <v>555</v>
      </c>
      <c r="F46" s="9" t="s">
        <v>711</v>
      </c>
      <c r="H46" s="9" t="s">
        <v>550</v>
      </c>
      <c r="J46" s="40"/>
      <c r="K46" s="38"/>
      <c r="L46" s="38"/>
      <c r="M46" s="32" t="n">
        <v>2610.91</v>
      </c>
      <c r="P46" s="39"/>
      <c r="Q46" s="34" t="str">
        <f aca="false">IF(OR($A46="",P46=""),"",ROUND(YEARFRAC(P46,README!$C$5),1))</f>
        <v/>
      </c>
      <c r="R46" s="39"/>
      <c r="S46" s="35" t="n">
        <v>1760</v>
      </c>
      <c r="T46" s="35" t="n">
        <v>1824</v>
      </c>
      <c r="U46" s="35" t="n">
        <v>1800</v>
      </c>
      <c r="V46" s="35" t="n">
        <v>-24</v>
      </c>
      <c r="W46" s="31" t="n">
        <v>1</v>
      </c>
      <c r="X46" s="6" t="n">
        <v>5</v>
      </c>
      <c r="Y46" s="36" t="n">
        <v>6.9</v>
      </c>
      <c r="Z46" s="6" t="s">
        <v>626</v>
      </c>
      <c r="AA46" s="9" t="s">
        <v>528</v>
      </c>
      <c r="AB46" s="6" t="s">
        <v>712</v>
      </c>
      <c r="AE46" s="37" t="n">
        <f aca="false">COUNTIF(環境認証!$A$2:$A$849,A46)</f>
        <v>0</v>
      </c>
      <c r="AF46" s="6" t="n">
        <v>-1.3</v>
      </c>
      <c r="AG46" s="6" t="n">
        <v>2.3</v>
      </c>
    </row>
    <row r="47" customFormat="false" ht="15" hidden="false" customHeight="true" outlineLevel="0" collapsed="false">
      <c r="A47" s="6" t="s">
        <v>713</v>
      </c>
      <c r="B47" s="6" t="s">
        <v>412</v>
      </c>
      <c r="C47" s="6" t="s">
        <v>714</v>
      </c>
      <c r="D47" s="9" t="s">
        <v>522</v>
      </c>
      <c r="E47" s="9" t="s">
        <v>715</v>
      </c>
      <c r="F47" s="9" t="s">
        <v>716</v>
      </c>
      <c r="H47" s="6" t="s">
        <v>599</v>
      </c>
      <c r="J47" s="40"/>
      <c r="K47" s="38"/>
      <c r="L47" s="38"/>
      <c r="M47" s="32" t="n">
        <v>6639.38</v>
      </c>
      <c r="P47" s="39"/>
      <c r="Q47" s="34" t="str">
        <f aca="false">IF(OR($A47="",P47=""),"",ROUND(YEARFRAC(P47,README!$C$5),1))</f>
        <v/>
      </c>
      <c r="R47" s="39"/>
      <c r="S47" s="35" t="n">
        <v>2760</v>
      </c>
      <c r="T47" s="35" t="n">
        <v>2957</v>
      </c>
      <c r="U47" s="35" t="n">
        <v>4680</v>
      </c>
      <c r="V47" s="35" t="n">
        <v>1723</v>
      </c>
      <c r="W47" s="31" t="n">
        <v>0.93</v>
      </c>
      <c r="X47" s="6" t="n">
        <v>45</v>
      </c>
      <c r="Y47" s="36" t="n">
        <v>0.8</v>
      </c>
      <c r="Z47" s="6" t="s">
        <v>626</v>
      </c>
      <c r="AA47" s="9" t="s">
        <v>528</v>
      </c>
      <c r="AB47" s="6" t="s">
        <v>717</v>
      </c>
      <c r="AE47" s="37" t="n">
        <f aca="false">COUNTIF(環境認証!$A$2:$A$849,A47)</f>
        <v>1</v>
      </c>
      <c r="AF47" s="6" t="n">
        <v>58.3</v>
      </c>
      <c r="AG47" s="6" t="n">
        <v>69.6</v>
      </c>
    </row>
    <row r="48" customFormat="false" ht="15" hidden="false" customHeight="true" outlineLevel="0" collapsed="false">
      <c r="A48" s="6" t="s">
        <v>718</v>
      </c>
      <c r="B48" s="6" t="s">
        <v>412</v>
      </c>
      <c r="C48" s="6" t="s">
        <v>719</v>
      </c>
      <c r="D48" s="9" t="s">
        <v>522</v>
      </c>
      <c r="E48" s="9" t="s">
        <v>604</v>
      </c>
      <c r="F48" s="9" t="s">
        <v>720</v>
      </c>
      <c r="H48" s="6" t="s">
        <v>599</v>
      </c>
      <c r="J48" s="40"/>
      <c r="K48" s="38"/>
      <c r="L48" s="38"/>
      <c r="M48" s="32" t="n">
        <v>13384.95</v>
      </c>
      <c r="P48" s="39"/>
      <c r="Q48" s="34" t="str">
        <f aca="false">IF(OR($A48="",P48=""),"",ROUND(YEARFRAC(P48,README!$C$5),1))</f>
        <v/>
      </c>
      <c r="R48" s="39"/>
      <c r="S48" s="35" t="n">
        <v>5500</v>
      </c>
      <c r="T48" s="35" t="n">
        <v>4876</v>
      </c>
      <c r="U48" s="35" t="n">
        <v>12700</v>
      </c>
      <c r="V48" s="35" t="n">
        <v>7824</v>
      </c>
      <c r="W48" s="31" t="n">
        <v>0.957</v>
      </c>
      <c r="X48" s="6" t="n">
        <v>43</v>
      </c>
      <c r="Y48" s="36" t="n">
        <v>0.2</v>
      </c>
      <c r="Z48" s="6" t="s">
        <v>626</v>
      </c>
      <c r="AA48" s="9" t="s">
        <v>528</v>
      </c>
      <c r="AB48" s="6" t="s">
        <v>721</v>
      </c>
      <c r="AE48" s="37" t="n">
        <f aca="false">COUNTIF(環境認証!$A$2:$A$849,A48)</f>
        <v>1</v>
      </c>
      <c r="AF48" s="6" t="n">
        <v>160.5</v>
      </c>
      <c r="AG48" s="6" t="n">
        <v>130.9</v>
      </c>
    </row>
    <row r="49" customFormat="false" ht="15" hidden="false" customHeight="true" outlineLevel="0" collapsed="false">
      <c r="A49" s="6" t="s">
        <v>722</v>
      </c>
      <c r="B49" s="6" t="s">
        <v>412</v>
      </c>
      <c r="C49" s="9" t="s">
        <v>723</v>
      </c>
      <c r="D49" s="9" t="s">
        <v>522</v>
      </c>
      <c r="E49" s="9" t="s">
        <v>724</v>
      </c>
      <c r="F49" s="9" t="s">
        <v>725</v>
      </c>
      <c r="H49" s="6" t="s">
        <v>599</v>
      </c>
      <c r="J49" s="40"/>
      <c r="K49" s="38"/>
      <c r="L49" s="38"/>
      <c r="M49" s="32" t="n">
        <v>6215.02</v>
      </c>
      <c r="P49" s="39"/>
      <c r="Q49" s="34" t="str">
        <f aca="false">IF(OR($A49="",P49=""),"",ROUND(YEARFRAC(P49,README!$C$5),1))</f>
        <v/>
      </c>
      <c r="R49" s="39"/>
      <c r="S49" s="35" t="n">
        <v>2120</v>
      </c>
      <c r="T49" s="35" t="n">
        <v>2492</v>
      </c>
      <c r="U49" s="35" t="n">
        <v>4670</v>
      </c>
      <c r="V49" s="35" t="n">
        <v>2178</v>
      </c>
      <c r="W49" s="31" t="n">
        <v>0.991</v>
      </c>
      <c r="X49" s="6" t="n">
        <v>48</v>
      </c>
      <c r="Y49" s="36" t="n">
        <v>0.1</v>
      </c>
      <c r="Z49" s="6" t="s">
        <v>626</v>
      </c>
      <c r="AA49" s="9" t="s">
        <v>528</v>
      </c>
      <c r="AB49" s="6" t="s">
        <v>726</v>
      </c>
      <c r="AE49" s="37" t="n">
        <f aca="false">COUNTIF(環境認証!$A$2:$A$849,A49)</f>
        <v>0</v>
      </c>
      <c r="AF49" s="6" t="n">
        <v>87.4</v>
      </c>
      <c r="AG49" s="6" t="n">
        <v>120.3</v>
      </c>
    </row>
    <row r="50" customFormat="false" ht="15" hidden="false" customHeight="true" outlineLevel="0" collapsed="false">
      <c r="A50" s="6" t="s">
        <v>727</v>
      </c>
      <c r="B50" s="6" t="s">
        <v>412</v>
      </c>
      <c r="C50" s="9" t="s">
        <v>728</v>
      </c>
      <c r="D50" s="9" t="s">
        <v>522</v>
      </c>
      <c r="E50" s="9" t="s">
        <v>573</v>
      </c>
      <c r="F50" s="9" t="s">
        <v>680</v>
      </c>
      <c r="H50" s="9" t="s">
        <v>569</v>
      </c>
      <c r="J50" s="40"/>
      <c r="K50" s="38"/>
      <c r="L50" s="38"/>
      <c r="M50" s="32" t="n">
        <v>6633.93</v>
      </c>
      <c r="P50" s="39"/>
      <c r="Q50" s="34" t="str">
        <f aca="false">IF(OR($A50="",P50=""),"",ROUND(YEARFRAC(P50,README!$C$5),1))</f>
        <v/>
      </c>
      <c r="R50" s="39"/>
      <c r="S50" s="35" t="n">
        <v>4410</v>
      </c>
      <c r="T50" s="35" t="n">
        <v>4221</v>
      </c>
      <c r="U50" s="35" t="n">
        <v>5440</v>
      </c>
      <c r="V50" s="35" t="n">
        <v>1219</v>
      </c>
      <c r="W50" s="31" t="n">
        <v>1</v>
      </c>
      <c r="X50" s="6" t="n">
        <v>10</v>
      </c>
      <c r="Y50" s="36" t="n">
        <v>3.2</v>
      </c>
      <c r="Z50" s="6" t="s">
        <v>626</v>
      </c>
      <c r="AA50" s="9" t="s">
        <v>528</v>
      </c>
      <c r="AB50" s="6" t="s">
        <v>729</v>
      </c>
      <c r="AE50" s="37" t="n">
        <f aca="false">COUNTIF(環境認証!$A$2:$A$849,A50)</f>
        <v>0</v>
      </c>
      <c r="AF50" s="6" t="n">
        <v>28.9</v>
      </c>
      <c r="AG50" s="6" t="n">
        <v>23.4</v>
      </c>
    </row>
    <row r="51" customFormat="false" ht="15" hidden="false" customHeight="true" outlineLevel="0" collapsed="false">
      <c r="A51" s="6" t="s">
        <v>730</v>
      </c>
      <c r="B51" s="6" t="s">
        <v>412</v>
      </c>
      <c r="C51" s="6" t="s">
        <v>731</v>
      </c>
      <c r="D51" s="9" t="s">
        <v>522</v>
      </c>
      <c r="E51" s="9" t="s">
        <v>732</v>
      </c>
      <c r="F51" s="9" t="s">
        <v>733</v>
      </c>
      <c r="H51" s="9" t="s">
        <v>734</v>
      </c>
      <c r="J51" s="40"/>
      <c r="K51" s="38"/>
      <c r="L51" s="38"/>
      <c r="M51" s="32" t="n">
        <v>3220.59</v>
      </c>
      <c r="P51" s="39"/>
      <c r="Q51" s="34" t="str">
        <f aca="false">IF(OR($A51="",P51=""),"",ROUND(YEARFRAC(P51,README!$C$5),1))</f>
        <v/>
      </c>
      <c r="R51" s="39"/>
      <c r="S51" s="35" t="n">
        <v>1380</v>
      </c>
      <c r="T51" s="35" t="n">
        <v>1634</v>
      </c>
      <c r="U51" s="35" t="n">
        <v>2290</v>
      </c>
      <c r="V51" s="35" t="n">
        <v>656</v>
      </c>
      <c r="W51" s="31" t="n">
        <v>1</v>
      </c>
      <c r="X51" s="6" t="n">
        <v>19</v>
      </c>
      <c r="Y51" s="36" t="n">
        <v>5.3</v>
      </c>
      <c r="Z51" s="6" t="s">
        <v>626</v>
      </c>
      <c r="AA51" s="9" t="s">
        <v>528</v>
      </c>
      <c r="AB51" s="6" t="s">
        <v>735</v>
      </c>
      <c r="AE51" s="37" t="n">
        <f aca="false">COUNTIF(環境認証!$A$2:$A$849,A51)</f>
        <v>1</v>
      </c>
      <c r="AF51" s="6" t="n">
        <v>40.1</v>
      </c>
      <c r="AG51" s="6" t="n">
        <v>65.9</v>
      </c>
    </row>
    <row r="52" customFormat="false" ht="15" hidden="false" customHeight="true" outlineLevel="0" collapsed="false">
      <c r="A52" s="6" t="s">
        <v>736</v>
      </c>
      <c r="B52" s="6" t="s">
        <v>412</v>
      </c>
      <c r="C52" s="9" t="s">
        <v>737</v>
      </c>
      <c r="D52" s="9" t="s">
        <v>522</v>
      </c>
      <c r="E52" s="9" t="s">
        <v>715</v>
      </c>
      <c r="F52" s="9" t="s">
        <v>716</v>
      </c>
      <c r="H52" s="6" t="s">
        <v>599</v>
      </c>
      <c r="J52" s="40"/>
      <c r="K52" s="38"/>
      <c r="L52" s="38"/>
      <c r="M52" s="32" t="n">
        <v>7517.73</v>
      </c>
      <c r="P52" s="39"/>
      <c r="Q52" s="34" t="str">
        <f aca="false">IF(OR($A52="",P52=""),"",ROUND(YEARFRAC(P52,README!$C$5),1))</f>
        <v/>
      </c>
      <c r="R52" s="39"/>
      <c r="S52" s="35" t="n">
        <v>2780</v>
      </c>
      <c r="T52" s="35" t="n">
        <v>2908</v>
      </c>
      <c r="U52" s="35" t="n">
        <v>3930</v>
      </c>
      <c r="V52" s="35" t="n">
        <v>1022</v>
      </c>
      <c r="W52" s="31" t="n">
        <v>1</v>
      </c>
      <c r="X52" s="6" t="n">
        <v>29</v>
      </c>
      <c r="Y52" s="36" t="n">
        <v>0.9</v>
      </c>
      <c r="Z52" s="6" t="s">
        <v>626</v>
      </c>
      <c r="AA52" s="9" t="s">
        <v>528</v>
      </c>
      <c r="AB52" s="6" t="s">
        <v>738</v>
      </c>
      <c r="AE52" s="37" t="n">
        <f aca="false">COUNTIF(環境認証!$A$2:$A$849,A52)</f>
        <v>1</v>
      </c>
      <c r="AF52" s="6" t="n">
        <v>35.1</v>
      </c>
      <c r="AG52" s="6" t="n">
        <v>41.4</v>
      </c>
    </row>
    <row r="53" customFormat="false" ht="15" hidden="false" customHeight="true" outlineLevel="0" collapsed="false">
      <c r="A53" s="6" t="s">
        <v>739</v>
      </c>
      <c r="B53" s="6" t="s">
        <v>412</v>
      </c>
      <c r="C53" s="9" t="s">
        <v>740</v>
      </c>
      <c r="D53" s="9" t="s">
        <v>522</v>
      </c>
      <c r="E53" s="9" t="s">
        <v>604</v>
      </c>
      <c r="F53" s="9" t="s">
        <v>720</v>
      </c>
      <c r="H53" s="6" t="s">
        <v>599</v>
      </c>
      <c r="J53" s="40"/>
      <c r="K53" s="38"/>
      <c r="L53" s="38"/>
      <c r="M53" s="32" t="n">
        <v>4693.99</v>
      </c>
      <c r="P53" s="39"/>
      <c r="Q53" s="34" t="str">
        <f aca="false">IF(OR($A53="",P53=""),"",ROUND(YEARFRAC(P53,README!$C$5),1))</f>
        <v/>
      </c>
      <c r="R53" s="39"/>
      <c r="S53" s="35" t="n">
        <v>4069</v>
      </c>
      <c r="T53" s="35" t="n">
        <v>4301</v>
      </c>
      <c r="U53" s="35" t="n">
        <v>4641</v>
      </c>
      <c r="V53" s="35" t="n">
        <v>340</v>
      </c>
      <c r="W53" s="31" t="n">
        <v>0.884</v>
      </c>
      <c r="X53" s="6" t="n">
        <v>25</v>
      </c>
      <c r="Y53" s="36" t="n">
        <v>1.9</v>
      </c>
      <c r="Z53" s="6" t="s">
        <v>626</v>
      </c>
      <c r="AA53" s="9" t="s">
        <v>528</v>
      </c>
      <c r="AB53" s="6" t="s">
        <v>741</v>
      </c>
      <c r="AE53" s="37" t="n">
        <f aca="false">COUNTIF(環境認証!$A$2:$A$849,A53)</f>
        <v>0</v>
      </c>
      <c r="AF53" s="6" t="n">
        <v>7.9</v>
      </c>
      <c r="AG53" s="6" t="n">
        <v>14.1</v>
      </c>
    </row>
    <row r="54" customFormat="false" ht="15" hidden="false" customHeight="true" outlineLevel="0" collapsed="false">
      <c r="A54" s="6" t="s">
        <v>742</v>
      </c>
      <c r="B54" s="6" t="s">
        <v>412</v>
      </c>
      <c r="C54" s="9" t="s">
        <v>743</v>
      </c>
      <c r="D54" s="9" t="s">
        <v>522</v>
      </c>
      <c r="E54" s="9" t="s">
        <v>724</v>
      </c>
      <c r="F54" s="9" t="s">
        <v>725</v>
      </c>
      <c r="H54" s="9" t="s">
        <v>611</v>
      </c>
      <c r="J54" s="40"/>
      <c r="K54" s="38"/>
      <c r="L54" s="38"/>
      <c r="M54" s="38"/>
      <c r="P54" s="39"/>
      <c r="Q54" s="34" t="str">
        <f aca="false">IF(OR($A54="",P54=""),"",ROUND(YEARFRAC(P54,README!$C$5),1))</f>
        <v/>
      </c>
      <c r="R54" s="39"/>
      <c r="S54" s="42"/>
      <c r="T54" s="42"/>
      <c r="U54" s="42"/>
      <c r="V54" s="43" t="str">
        <f aca="false">IF($A54="","",IF(OR(T54="",U54=""),"",U54-T54))</f>
        <v/>
      </c>
      <c r="W54" s="40"/>
      <c r="Y54" s="41"/>
      <c r="Z54" s="6" t="s">
        <v>626</v>
      </c>
      <c r="AA54" s="9" t="s">
        <v>528</v>
      </c>
      <c r="AB54" s="6" t="s">
        <v>744</v>
      </c>
      <c r="AE54" s="37" t="n">
        <f aca="false">COUNTIF(環境認証!$A$2:$A$849,A54)</f>
        <v>0</v>
      </c>
    </row>
    <row r="55" customFormat="false" ht="15" hidden="false" customHeight="true" outlineLevel="0" collapsed="false">
      <c r="A55" s="6" t="s">
        <v>745</v>
      </c>
      <c r="B55" s="6" t="s">
        <v>412</v>
      </c>
      <c r="C55" s="9" t="s">
        <v>746</v>
      </c>
      <c r="D55" s="9" t="s">
        <v>522</v>
      </c>
      <c r="H55" s="6" t="s">
        <v>619</v>
      </c>
      <c r="I55" s="6" t="s">
        <v>747</v>
      </c>
      <c r="J55" s="40"/>
      <c r="K55" s="38"/>
      <c r="L55" s="38"/>
      <c r="M55" s="32" t="n">
        <v>300200.04</v>
      </c>
      <c r="P55" s="39"/>
      <c r="Q55" s="34" t="str">
        <f aca="false">IF(OR($A55="",P55=""),"",ROUND(YEARFRAC(P55,README!$C$5),1))</f>
        <v/>
      </c>
      <c r="R55" s="39"/>
      <c r="S55" s="35" t="n">
        <v>290534</v>
      </c>
      <c r="T55" s="35" t="n">
        <v>272046</v>
      </c>
      <c r="U55" s="35" t="n">
        <v>351603</v>
      </c>
      <c r="V55" s="43" t="n">
        <f aca="false">IF($A55="","",IF(OR(T55="",U55=""),"",U55-T55))</f>
        <v>79557</v>
      </c>
      <c r="W55" s="31" t="n">
        <v>0.983</v>
      </c>
      <c r="X55" s="6" t="n">
        <v>598</v>
      </c>
      <c r="Y55" s="36" t="n">
        <v>2.3</v>
      </c>
      <c r="Z55" s="6" t="s">
        <v>626</v>
      </c>
      <c r="AA55" s="9" t="s">
        <v>528</v>
      </c>
      <c r="AB55" s="9" t="s">
        <v>748</v>
      </c>
      <c r="AE55" s="37" t="n">
        <f aca="false">COUNTIF(環境認証!$A$2:$A$849,A55)</f>
        <v>0</v>
      </c>
    </row>
    <row r="56" customFormat="false" ht="15" hidden="false" customHeight="true" outlineLevel="0" collapsed="false">
      <c r="A56" s="6" t="s">
        <v>749</v>
      </c>
      <c r="B56" s="6" t="s">
        <v>396</v>
      </c>
      <c r="C56" s="9" t="s">
        <v>750</v>
      </c>
      <c r="D56" s="9" t="s">
        <v>522</v>
      </c>
      <c r="E56" s="9" t="s">
        <v>523</v>
      </c>
      <c r="F56" s="9" t="s">
        <v>666</v>
      </c>
      <c r="H56" s="9" t="s">
        <v>525</v>
      </c>
      <c r="J56" s="40"/>
      <c r="K56" s="38"/>
      <c r="L56" s="38"/>
      <c r="M56" s="32" t="n">
        <v>8117.07</v>
      </c>
      <c r="N56" s="6" t="n">
        <v>12</v>
      </c>
      <c r="O56" s="6" t="n">
        <v>3</v>
      </c>
      <c r="P56" s="33" t="n">
        <v>23193</v>
      </c>
      <c r="Q56" s="34" t="n">
        <f aca="false">IF(OR($A56="",P56=""),"",ROUND(YEARFRAC(P56,README!$C$5),1))</f>
        <v>63.1</v>
      </c>
      <c r="R56" s="39"/>
      <c r="S56" s="35" t="n">
        <v>14100</v>
      </c>
      <c r="T56" s="35" t="n">
        <v>12514</v>
      </c>
      <c r="U56" s="35" t="n">
        <v>15100</v>
      </c>
      <c r="V56" s="35" t="n">
        <v>2586</v>
      </c>
      <c r="W56" s="31" t="n">
        <v>0.992</v>
      </c>
      <c r="X56" s="6" t="n">
        <v>21</v>
      </c>
      <c r="Y56" s="41"/>
      <c r="Z56" s="6" t="s">
        <v>751</v>
      </c>
      <c r="AA56" s="9" t="s">
        <v>528</v>
      </c>
      <c r="AB56" s="9" t="s">
        <v>752</v>
      </c>
      <c r="AE56" s="37" t="n">
        <f aca="false">COUNTIF(環境認証!$A$2:$A$849,A56)</f>
        <v>0</v>
      </c>
      <c r="AF56" s="6" t="n">
        <v>20.7</v>
      </c>
      <c r="AG56" s="6" t="n">
        <v>7.1</v>
      </c>
    </row>
    <row r="57" customFormat="false" ht="15" hidden="false" customHeight="true" outlineLevel="0" collapsed="false">
      <c r="A57" s="6" t="s">
        <v>753</v>
      </c>
      <c r="B57" s="6" t="s">
        <v>396</v>
      </c>
      <c r="C57" s="9" t="s">
        <v>754</v>
      </c>
      <c r="D57" s="9" t="s">
        <v>522</v>
      </c>
      <c r="E57" s="9" t="s">
        <v>523</v>
      </c>
      <c r="F57" s="9" t="s">
        <v>666</v>
      </c>
      <c r="H57" s="9" t="s">
        <v>525</v>
      </c>
      <c r="J57" s="40"/>
      <c r="K57" s="38"/>
      <c r="L57" s="38"/>
      <c r="M57" s="32" t="n">
        <v>2032.11</v>
      </c>
      <c r="N57" s="6" t="n">
        <v>8</v>
      </c>
      <c r="O57" s="6" t="n">
        <v>3</v>
      </c>
      <c r="P57" s="33" t="n">
        <v>26512</v>
      </c>
      <c r="Q57" s="34" t="n">
        <f aca="false">IF(OR($A57="",P57=""),"",ROUND(YEARFRAC(P57,README!$C$5),1))</f>
        <v>54</v>
      </c>
      <c r="R57" s="39"/>
      <c r="S57" s="35" t="n">
        <v>3050</v>
      </c>
      <c r="T57" s="35" t="n">
        <v>2722</v>
      </c>
      <c r="U57" s="35" t="n">
        <v>3120</v>
      </c>
      <c r="V57" s="35" t="n">
        <v>398</v>
      </c>
      <c r="W57" s="31" t="n">
        <v>1</v>
      </c>
      <c r="X57" s="6" t="n">
        <v>7</v>
      </c>
      <c r="Y57" s="41"/>
      <c r="Z57" s="6" t="s">
        <v>751</v>
      </c>
      <c r="AA57" s="9" t="s">
        <v>528</v>
      </c>
      <c r="AB57" s="9" t="s">
        <v>752</v>
      </c>
      <c r="AE57" s="37" t="n">
        <f aca="false">COUNTIF(環境認証!$A$2:$A$849,A57)</f>
        <v>0</v>
      </c>
      <c r="AF57" s="6" t="n">
        <v>14.6</v>
      </c>
      <c r="AG57" s="6" t="n">
        <v>2.3</v>
      </c>
    </row>
    <row r="58" customFormat="false" ht="15" hidden="false" customHeight="true" outlineLevel="0" collapsed="false">
      <c r="A58" s="6" t="s">
        <v>755</v>
      </c>
      <c r="B58" s="6" t="s">
        <v>396</v>
      </c>
      <c r="C58" s="9" t="s">
        <v>756</v>
      </c>
      <c r="D58" s="9" t="s">
        <v>522</v>
      </c>
      <c r="E58" s="9" t="s">
        <v>523</v>
      </c>
      <c r="F58" s="9" t="s">
        <v>532</v>
      </c>
      <c r="H58" s="9" t="s">
        <v>525</v>
      </c>
      <c r="J58" s="40"/>
      <c r="K58" s="38"/>
      <c r="L58" s="38"/>
      <c r="M58" s="32" t="n">
        <v>9619.67</v>
      </c>
      <c r="N58" s="6" t="n">
        <v>12</v>
      </c>
      <c r="O58" s="6" t="n">
        <v>1</v>
      </c>
      <c r="P58" s="33" t="n">
        <v>32051</v>
      </c>
      <c r="Q58" s="34" t="n">
        <f aca="false">IF(OR($A58="",P58=""),"",ROUND(YEARFRAC(P58,README!$C$5),1))</f>
        <v>38.9</v>
      </c>
      <c r="R58" s="39"/>
      <c r="S58" s="35" t="n">
        <v>8265</v>
      </c>
      <c r="T58" s="35" t="n">
        <v>7954</v>
      </c>
      <c r="U58" s="35" t="n">
        <v>9320</v>
      </c>
      <c r="V58" s="35" t="n">
        <v>1366</v>
      </c>
      <c r="W58" s="31" t="n">
        <v>0.983</v>
      </c>
      <c r="X58" s="6" t="n">
        <v>53</v>
      </c>
      <c r="Y58" s="41"/>
      <c r="Z58" s="6" t="s">
        <v>751</v>
      </c>
      <c r="AA58" s="9" t="s">
        <v>528</v>
      </c>
      <c r="AB58" s="9" t="s">
        <v>757</v>
      </c>
      <c r="AE58" s="37" t="n">
        <f aca="false">COUNTIF(環境認証!$A$2:$A$849,A58)</f>
        <v>0</v>
      </c>
      <c r="AF58" s="6" t="n">
        <v>17.2</v>
      </c>
      <c r="AG58" s="6" t="n">
        <v>12.8</v>
      </c>
    </row>
    <row r="59" customFormat="false" ht="15" hidden="false" customHeight="true" outlineLevel="0" collapsed="false">
      <c r="A59" s="6" t="s">
        <v>758</v>
      </c>
      <c r="B59" s="6" t="s">
        <v>396</v>
      </c>
      <c r="C59" s="9" t="s">
        <v>759</v>
      </c>
      <c r="D59" s="9" t="s">
        <v>522</v>
      </c>
      <c r="E59" s="9" t="s">
        <v>523</v>
      </c>
      <c r="H59" s="9" t="s">
        <v>611</v>
      </c>
      <c r="J59" s="40"/>
      <c r="K59" s="38"/>
      <c r="L59" s="38"/>
      <c r="M59" s="38"/>
      <c r="N59" s="6" t="n">
        <v>8</v>
      </c>
      <c r="P59" s="33" t="n">
        <v>31199</v>
      </c>
      <c r="Q59" s="34" t="n">
        <f aca="false">IF(OR($A59="",P59=""),"",ROUND(YEARFRAC(P59,README!$C$5),1))</f>
        <v>41.2</v>
      </c>
      <c r="R59" s="39"/>
      <c r="S59" s="42"/>
      <c r="T59" s="42"/>
      <c r="U59" s="42"/>
      <c r="V59" s="43" t="str">
        <f aca="false">IF($A59="","",IF(OR(T59="",U59=""),"",U59-T59))</f>
        <v/>
      </c>
      <c r="W59" s="40"/>
      <c r="Y59" s="41"/>
      <c r="Z59" s="6" t="s">
        <v>751</v>
      </c>
      <c r="AA59" s="9" t="s">
        <v>528</v>
      </c>
      <c r="AB59" s="9" t="s">
        <v>760</v>
      </c>
      <c r="AE59" s="37" t="n">
        <f aca="false">COUNTIF(環境認証!$A$2:$A$849,A59)</f>
        <v>0</v>
      </c>
    </row>
    <row r="60" customFormat="false" ht="15" hidden="false" customHeight="true" outlineLevel="0" collapsed="false">
      <c r="A60" s="6" t="s">
        <v>761</v>
      </c>
      <c r="B60" s="6" t="s">
        <v>396</v>
      </c>
      <c r="C60" s="9" t="s">
        <v>762</v>
      </c>
      <c r="D60" s="9" t="s">
        <v>522</v>
      </c>
      <c r="E60" s="9" t="s">
        <v>523</v>
      </c>
      <c r="F60" s="9" t="s">
        <v>532</v>
      </c>
      <c r="H60" s="9" t="s">
        <v>525</v>
      </c>
      <c r="J60" s="40"/>
      <c r="K60" s="38"/>
      <c r="L60" s="38"/>
      <c r="M60" s="32" t="n">
        <v>3663.38</v>
      </c>
      <c r="N60" s="6" t="n">
        <v>10</v>
      </c>
      <c r="O60" s="6" t="n">
        <v>2</v>
      </c>
      <c r="P60" s="33" t="n">
        <v>34151</v>
      </c>
      <c r="Q60" s="34" t="n">
        <f aca="false">IF(OR($A60="",P60=""),"",ROUND(YEARFRAC(P60,README!$C$5),1))</f>
        <v>33.1</v>
      </c>
      <c r="R60" s="39"/>
      <c r="S60" s="35" t="n">
        <v>2865</v>
      </c>
      <c r="T60" s="35" t="n">
        <v>2592</v>
      </c>
      <c r="U60" s="35" t="n">
        <v>3990</v>
      </c>
      <c r="V60" s="35" t="n">
        <v>1398</v>
      </c>
      <c r="W60" s="31" t="n">
        <v>0.942</v>
      </c>
      <c r="X60" s="6" t="n">
        <v>11</v>
      </c>
      <c r="Y60" s="41"/>
      <c r="Z60" s="6" t="s">
        <v>751</v>
      </c>
      <c r="AA60" s="9" t="s">
        <v>528</v>
      </c>
      <c r="AB60" s="9" t="s">
        <v>763</v>
      </c>
      <c r="AE60" s="37" t="n">
        <f aca="false">COUNTIF(環境認証!$A$2:$A$849,A60)</f>
        <v>0</v>
      </c>
      <c r="AF60" s="6" t="n">
        <v>53.9</v>
      </c>
      <c r="AG60" s="6" t="n">
        <v>39.3</v>
      </c>
    </row>
    <row r="61" customFormat="false" ht="15" hidden="false" customHeight="true" outlineLevel="0" collapsed="false">
      <c r="A61" s="6" t="s">
        <v>764</v>
      </c>
      <c r="B61" s="6" t="s">
        <v>396</v>
      </c>
      <c r="C61" s="9" t="s">
        <v>765</v>
      </c>
      <c r="D61" s="9" t="s">
        <v>522</v>
      </c>
      <c r="E61" s="9" t="s">
        <v>523</v>
      </c>
      <c r="F61" s="9" t="s">
        <v>648</v>
      </c>
      <c r="H61" s="9" t="s">
        <v>525</v>
      </c>
      <c r="J61" s="40"/>
      <c r="K61" s="38"/>
      <c r="L61" s="38"/>
      <c r="M61" s="32" t="n">
        <v>2198.61</v>
      </c>
      <c r="N61" s="6" t="n">
        <v>4</v>
      </c>
      <c r="O61" s="6" t="n">
        <v>1</v>
      </c>
      <c r="P61" s="33" t="n">
        <v>35765</v>
      </c>
      <c r="Q61" s="34" t="n">
        <f aca="false">IF(OR($A61="",P61=""),"",ROUND(YEARFRAC(P61,README!$C$5),1))</f>
        <v>28.7</v>
      </c>
      <c r="R61" s="39"/>
      <c r="S61" s="35" t="n">
        <v>2800</v>
      </c>
      <c r="T61" s="35" t="n">
        <v>2597</v>
      </c>
      <c r="U61" s="35" t="n">
        <v>3320</v>
      </c>
      <c r="V61" s="35" t="n">
        <v>723</v>
      </c>
      <c r="W61" s="31" t="n">
        <v>1</v>
      </c>
      <c r="X61" s="6" t="n">
        <v>4</v>
      </c>
      <c r="Y61" s="41"/>
      <c r="Z61" s="6" t="s">
        <v>751</v>
      </c>
      <c r="AA61" s="9" t="s">
        <v>528</v>
      </c>
      <c r="AB61" s="9" t="s">
        <v>766</v>
      </c>
      <c r="AE61" s="37" t="n">
        <f aca="false">COUNTIF(環境認証!$A$2:$A$849,A61)</f>
        <v>0</v>
      </c>
      <c r="AF61" s="6" t="n">
        <v>27.8</v>
      </c>
      <c r="AG61" s="6" t="n">
        <v>18.6</v>
      </c>
    </row>
    <row r="62" customFormat="false" ht="15" hidden="false" customHeight="true" outlineLevel="0" collapsed="false">
      <c r="A62" s="6" t="s">
        <v>767</v>
      </c>
      <c r="B62" s="6" t="s">
        <v>396</v>
      </c>
      <c r="C62" s="9" t="s">
        <v>768</v>
      </c>
      <c r="D62" s="9" t="s">
        <v>522</v>
      </c>
      <c r="E62" s="9" t="s">
        <v>523</v>
      </c>
      <c r="F62" s="9" t="s">
        <v>532</v>
      </c>
      <c r="H62" s="9" t="s">
        <v>525</v>
      </c>
      <c r="J62" s="40"/>
      <c r="K62" s="38"/>
      <c r="L62" s="38"/>
      <c r="M62" s="32" t="n">
        <v>2386.48</v>
      </c>
      <c r="N62" s="6" t="n">
        <v>7</v>
      </c>
      <c r="O62" s="6" t="n">
        <v>1</v>
      </c>
      <c r="P62" s="33" t="n">
        <v>35370</v>
      </c>
      <c r="Q62" s="34" t="n">
        <f aca="false">IF(OR($A62="",P62=""),"",ROUND(YEARFRAC(P62,README!$C$5),1))</f>
        <v>29.8</v>
      </c>
      <c r="R62" s="39"/>
      <c r="S62" s="35" t="n">
        <v>2578</v>
      </c>
      <c r="T62" s="35" t="n">
        <v>2284</v>
      </c>
      <c r="U62" s="35" t="n">
        <v>4140</v>
      </c>
      <c r="V62" s="35" t="n">
        <v>1856</v>
      </c>
      <c r="W62" s="31" t="n">
        <v>0.846</v>
      </c>
      <c r="X62" s="6" t="n">
        <v>6</v>
      </c>
      <c r="Y62" s="41"/>
      <c r="Z62" s="6" t="s">
        <v>751</v>
      </c>
      <c r="AA62" s="9" t="s">
        <v>528</v>
      </c>
      <c r="AB62" s="9" t="s">
        <v>769</v>
      </c>
      <c r="AE62" s="37" t="n">
        <f aca="false">COUNTIF(環境認証!$A$2:$A$849,A62)</f>
        <v>1</v>
      </c>
      <c r="AF62" s="6" t="n">
        <v>81.3</v>
      </c>
      <c r="AG62" s="6" t="n">
        <v>60.6</v>
      </c>
    </row>
    <row r="63" customFormat="false" ht="15" hidden="false" customHeight="true" outlineLevel="0" collapsed="false">
      <c r="A63" s="6" t="s">
        <v>770</v>
      </c>
      <c r="B63" s="6" t="s">
        <v>396</v>
      </c>
      <c r="C63" s="9" t="s">
        <v>771</v>
      </c>
      <c r="D63" s="9" t="s">
        <v>522</v>
      </c>
      <c r="E63" s="9" t="s">
        <v>523</v>
      </c>
      <c r="F63" s="9" t="s">
        <v>524</v>
      </c>
      <c r="H63" s="9" t="s">
        <v>525</v>
      </c>
      <c r="J63" s="40"/>
      <c r="K63" s="38"/>
      <c r="L63" s="38"/>
      <c r="M63" s="32" t="n">
        <v>2137.53</v>
      </c>
      <c r="N63" s="6" t="n">
        <v>8</v>
      </c>
      <c r="P63" s="33" t="n">
        <v>35247</v>
      </c>
      <c r="Q63" s="34" t="n">
        <f aca="false">IF(OR($A63="",P63=""),"",ROUND(YEARFRAC(P63,README!$C$5),1))</f>
        <v>30.1</v>
      </c>
      <c r="R63" s="39"/>
      <c r="S63" s="35" t="n">
        <v>2346</v>
      </c>
      <c r="T63" s="35" t="n">
        <v>2035</v>
      </c>
      <c r="U63" s="35" t="n">
        <v>2960</v>
      </c>
      <c r="V63" s="35" t="n">
        <v>925</v>
      </c>
      <c r="W63" s="31" t="n">
        <v>1</v>
      </c>
      <c r="X63" s="6" t="n">
        <v>1</v>
      </c>
      <c r="Y63" s="41"/>
      <c r="Z63" s="6" t="s">
        <v>751</v>
      </c>
      <c r="AA63" s="9" t="s">
        <v>528</v>
      </c>
      <c r="AB63" s="9" t="s">
        <v>772</v>
      </c>
      <c r="AE63" s="37" t="n">
        <f aca="false">COUNTIF(環境認証!$A$2:$A$849,A63)</f>
        <v>1</v>
      </c>
      <c r="AF63" s="6" t="n">
        <v>45.5</v>
      </c>
      <c r="AG63" s="6" t="n">
        <v>26.2</v>
      </c>
    </row>
    <row r="64" customFormat="false" ht="15" hidden="false" customHeight="true" outlineLevel="0" collapsed="false">
      <c r="A64" s="6" t="s">
        <v>773</v>
      </c>
      <c r="B64" s="6" t="s">
        <v>396</v>
      </c>
      <c r="C64" s="9" t="s">
        <v>774</v>
      </c>
      <c r="D64" s="9" t="s">
        <v>522</v>
      </c>
      <c r="E64" s="9" t="s">
        <v>523</v>
      </c>
      <c r="F64" s="9" t="s">
        <v>666</v>
      </c>
      <c r="H64" s="9" t="s">
        <v>525</v>
      </c>
      <c r="J64" s="40"/>
      <c r="K64" s="38"/>
      <c r="L64" s="38"/>
      <c r="M64" s="32" t="n">
        <v>2659.59</v>
      </c>
      <c r="N64" s="6" t="n">
        <v>10</v>
      </c>
      <c r="P64" s="33" t="n">
        <v>35065</v>
      </c>
      <c r="Q64" s="34" t="n">
        <f aca="false">IF(OR($A64="",P64=""),"",ROUND(YEARFRAC(P64,README!$C$5),1))</f>
        <v>30.6</v>
      </c>
      <c r="R64" s="39"/>
      <c r="S64" s="35" t="n">
        <v>1560</v>
      </c>
      <c r="T64" s="35" t="n">
        <v>1178</v>
      </c>
      <c r="U64" s="35" t="n">
        <v>2450</v>
      </c>
      <c r="V64" s="35" t="n">
        <v>1272</v>
      </c>
      <c r="W64" s="31" t="n">
        <v>1</v>
      </c>
      <c r="X64" s="6" t="n">
        <v>9</v>
      </c>
      <c r="Y64" s="41"/>
      <c r="Z64" s="6" t="s">
        <v>751</v>
      </c>
      <c r="AA64" s="9" t="s">
        <v>528</v>
      </c>
      <c r="AB64" s="9" t="s">
        <v>775</v>
      </c>
      <c r="AE64" s="37" t="n">
        <f aca="false">COUNTIF(環境認証!$A$2:$A$849,A64)</f>
        <v>1</v>
      </c>
      <c r="AF64" s="6" t="n">
        <v>108</v>
      </c>
      <c r="AG64" s="6" t="n">
        <v>57.1</v>
      </c>
    </row>
    <row r="65" customFormat="false" ht="15" hidden="false" customHeight="true" outlineLevel="0" collapsed="false">
      <c r="A65" s="6" t="s">
        <v>776</v>
      </c>
      <c r="B65" s="6" t="s">
        <v>396</v>
      </c>
      <c r="C65" s="9" t="s">
        <v>777</v>
      </c>
      <c r="D65" s="9" t="s">
        <v>522</v>
      </c>
      <c r="E65" s="9" t="s">
        <v>523</v>
      </c>
      <c r="F65" s="9" t="s">
        <v>666</v>
      </c>
      <c r="H65" s="9" t="s">
        <v>525</v>
      </c>
      <c r="J65" s="40"/>
      <c r="K65" s="38"/>
      <c r="L65" s="38"/>
      <c r="M65" s="32" t="n">
        <v>1487.44</v>
      </c>
      <c r="N65" s="6" t="n">
        <v>7</v>
      </c>
      <c r="O65" s="6" t="n">
        <v>1</v>
      </c>
      <c r="P65" s="33" t="n">
        <v>32874</v>
      </c>
      <c r="Q65" s="34" t="n">
        <f aca="false">IF(OR($A65="",P65=""),"",ROUND(YEARFRAC(P65,README!$C$5),1))</f>
        <v>36.6</v>
      </c>
      <c r="R65" s="39"/>
      <c r="S65" s="35" t="n">
        <v>1240</v>
      </c>
      <c r="T65" s="35" t="n">
        <v>1116</v>
      </c>
      <c r="U65" s="35" t="n">
        <v>1640</v>
      </c>
      <c r="V65" s="35" t="n">
        <v>524</v>
      </c>
      <c r="W65" s="31" t="n">
        <v>0.851</v>
      </c>
      <c r="X65" s="6" t="n">
        <v>6</v>
      </c>
      <c r="Y65" s="41"/>
      <c r="Z65" s="6" t="s">
        <v>751</v>
      </c>
      <c r="AA65" s="9" t="s">
        <v>528</v>
      </c>
      <c r="AB65" s="9" t="s">
        <v>778</v>
      </c>
      <c r="AE65" s="37" t="n">
        <f aca="false">COUNTIF(環境認証!$A$2:$A$849,A65)</f>
        <v>1</v>
      </c>
      <c r="AF65" s="6" t="n">
        <v>47</v>
      </c>
      <c r="AG65" s="6" t="n">
        <v>32.3</v>
      </c>
    </row>
    <row r="66" customFormat="false" ht="15" hidden="false" customHeight="true" outlineLevel="0" collapsed="false">
      <c r="A66" s="6" t="s">
        <v>779</v>
      </c>
      <c r="B66" s="6" t="s">
        <v>396</v>
      </c>
      <c r="C66" s="9" t="s">
        <v>780</v>
      </c>
      <c r="D66" s="9" t="s">
        <v>522</v>
      </c>
      <c r="E66" s="9" t="s">
        <v>523</v>
      </c>
      <c r="F66" s="9" t="s">
        <v>666</v>
      </c>
      <c r="H66" s="9" t="s">
        <v>525</v>
      </c>
      <c r="J66" s="40"/>
      <c r="K66" s="38"/>
      <c r="L66" s="38"/>
      <c r="M66" s="32" t="n">
        <v>2848.91</v>
      </c>
      <c r="N66" s="6" t="n">
        <v>7</v>
      </c>
      <c r="O66" s="6" t="n">
        <v>2</v>
      </c>
      <c r="P66" s="33" t="n">
        <v>34060</v>
      </c>
      <c r="Q66" s="34" t="n">
        <f aca="false">IF(OR($A66="",P66=""),"",ROUND(YEARFRAC(P66,README!$C$5),1))</f>
        <v>33.4</v>
      </c>
      <c r="R66" s="39"/>
      <c r="S66" s="35" t="n">
        <v>2520</v>
      </c>
      <c r="T66" s="35" t="n">
        <v>2276</v>
      </c>
      <c r="U66" s="35" t="n">
        <v>3130</v>
      </c>
      <c r="V66" s="35" t="n">
        <v>854</v>
      </c>
      <c r="W66" s="31" t="n">
        <v>1</v>
      </c>
      <c r="X66" s="6" t="n">
        <v>6</v>
      </c>
      <c r="Y66" s="41"/>
      <c r="Z66" s="6" t="s">
        <v>751</v>
      </c>
      <c r="AA66" s="9" t="s">
        <v>528</v>
      </c>
      <c r="AB66" s="9" t="s">
        <v>778</v>
      </c>
      <c r="AE66" s="37" t="n">
        <f aca="false">COUNTIF(環境認証!$A$2:$A$849,A66)</f>
        <v>1</v>
      </c>
      <c r="AF66" s="6" t="n">
        <v>37.5</v>
      </c>
      <c r="AG66" s="6" t="n">
        <v>24.2</v>
      </c>
    </row>
    <row r="67" customFormat="false" ht="15" hidden="false" customHeight="true" outlineLevel="0" collapsed="false">
      <c r="A67" s="6" t="s">
        <v>781</v>
      </c>
      <c r="B67" s="6" t="s">
        <v>396</v>
      </c>
      <c r="C67" s="9" t="s">
        <v>782</v>
      </c>
      <c r="D67" s="9" t="s">
        <v>522</v>
      </c>
      <c r="E67" s="9" t="s">
        <v>523</v>
      </c>
      <c r="F67" s="9" t="s">
        <v>532</v>
      </c>
      <c r="H67" s="9" t="s">
        <v>611</v>
      </c>
      <c r="J67" s="40"/>
      <c r="K67" s="38"/>
      <c r="L67" s="38"/>
      <c r="M67" s="38"/>
      <c r="N67" s="6" t="n">
        <v>9</v>
      </c>
      <c r="O67" s="6" t="n">
        <v>2</v>
      </c>
      <c r="P67" s="33" t="n">
        <v>30773</v>
      </c>
      <c r="Q67" s="34" t="n">
        <f aca="false">IF(OR($A67="",P67=""),"",ROUND(YEARFRAC(P67,README!$C$5),1))</f>
        <v>42.4</v>
      </c>
      <c r="R67" s="39"/>
      <c r="S67" s="42"/>
      <c r="T67" s="42"/>
      <c r="U67" s="42"/>
      <c r="V67" s="43" t="str">
        <f aca="false">IF($A67="","",IF(OR(T67="",U67=""),"",U67-T67))</f>
        <v/>
      </c>
      <c r="W67" s="40"/>
      <c r="Y67" s="41"/>
      <c r="Z67" s="6" t="s">
        <v>751</v>
      </c>
      <c r="AA67" s="9" t="s">
        <v>528</v>
      </c>
      <c r="AB67" s="9" t="s">
        <v>783</v>
      </c>
      <c r="AE67" s="37" t="n">
        <f aca="false">COUNTIF(環境認証!$A$2:$A$849,A67)</f>
        <v>0</v>
      </c>
    </row>
    <row r="68" customFormat="false" ht="15" hidden="false" customHeight="true" outlineLevel="0" collapsed="false">
      <c r="A68" s="6" t="s">
        <v>784</v>
      </c>
      <c r="B68" s="6" t="s">
        <v>396</v>
      </c>
      <c r="C68" s="9" t="s">
        <v>785</v>
      </c>
      <c r="D68" s="9" t="s">
        <v>522</v>
      </c>
      <c r="E68" s="9" t="s">
        <v>523</v>
      </c>
      <c r="F68" s="9" t="s">
        <v>648</v>
      </c>
      <c r="H68" s="9" t="s">
        <v>525</v>
      </c>
      <c r="J68" s="40"/>
      <c r="K68" s="38"/>
      <c r="L68" s="38"/>
      <c r="M68" s="32" t="n">
        <v>22790.7</v>
      </c>
      <c r="N68" s="6" t="n">
        <v>34</v>
      </c>
      <c r="O68" s="6" t="n">
        <v>3</v>
      </c>
      <c r="P68" s="33" t="n">
        <v>34943</v>
      </c>
      <c r="Q68" s="34" t="n">
        <f aca="false">IF(OR($A68="",P68=""),"",ROUND(YEARFRAC(P68,README!$C$5),1))</f>
        <v>30.9</v>
      </c>
      <c r="R68" s="39"/>
      <c r="S68" s="35" t="n">
        <v>66900</v>
      </c>
      <c r="T68" s="35" t="n">
        <v>61956</v>
      </c>
      <c r="U68" s="35" t="n">
        <v>70700</v>
      </c>
      <c r="V68" s="35" t="n">
        <v>8744</v>
      </c>
      <c r="W68" s="31" t="n">
        <v>0.993</v>
      </c>
      <c r="X68" s="6" t="n">
        <v>44</v>
      </c>
      <c r="Y68" s="41"/>
      <c r="Z68" s="6" t="s">
        <v>751</v>
      </c>
      <c r="AA68" s="9" t="s">
        <v>528</v>
      </c>
      <c r="AB68" s="9" t="s">
        <v>786</v>
      </c>
      <c r="AE68" s="37" t="n">
        <f aca="false">COUNTIF(環境認証!$A$2:$A$849,A68)</f>
        <v>2</v>
      </c>
      <c r="AF68" s="6" t="n">
        <v>14.1</v>
      </c>
      <c r="AG68" s="6" t="n">
        <v>5.7</v>
      </c>
    </row>
    <row r="69" customFormat="false" ht="15" hidden="false" customHeight="true" outlineLevel="0" collapsed="false">
      <c r="A69" s="6" t="s">
        <v>787</v>
      </c>
      <c r="B69" s="6" t="s">
        <v>396</v>
      </c>
      <c r="C69" s="9" t="s">
        <v>788</v>
      </c>
      <c r="D69" s="9" t="s">
        <v>522</v>
      </c>
      <c r="E69" s="9" t="s">
        <v>523</v>
      </c>
      <c r="F69" s="9" t="s">
        <v>666</v>
      </c>
      <c r="H69" s="9" t="s">
        <v>525</v>
      </c>
      <c r="J69" s="40"/>
      <c r="K69" s="38"/>
      <c r="L69" s="38"/>
      <c r="M69" s="32" t="n">
        <v>2379.31</v>
      </c>
      <c r="N69" s="6" t="n">
        <v>8</v>
      </c>
      <c r="P69" s="33" t="n">
        <v>31107</v>
      </c>
      <c r="Q69" s="34" t="n">
        <f aca="false">IF(OR($A69="",P69=""),"",ROUND(YEARFRAC(P69,README!$C$5),1))</f>
        <v>41.4</v>
      </c>
      <c r="R69" s="39"/>
      <c r="S69" s="35" t="n">
        <v>2460</v>
      </c>
      <c r="T69" s="35" t="n">
        <v>2385</v>
      </c>
      <c r="U69" s="35" t="n">
        <v>2260</v>
      </c>
      <c r="V69" s="35" t="n">
        <v>-125</v>
      </c>
      <c r="W69" s="31" t="n">
        <v>1</v>
      </c>
      <c r="X69" s="6" t="n">
        <v>8</v>
      </c>
      <c r="Y69" s="41"/>
      <c r="Z69" s="6" t="s">
        <v>751</v>
      </c>
      <c r="AA69" s="9" t="s">
        <v>528</v>
      </c>
      <c r="AB69" s="9" t="s">
        <v>789</v>
      </c>
      <c r="AE69" s="37" t="n">
        <f aca="false">COUNTIF(環境認証!$A$2:$A$849,A69)</f>
        <v>0</v>
      </c>
      <c r="AF69" s="6" t="n">
        <v>-5.2</v>
      </c>
      <c r="AG69" s="6" t="n">
        <v>-8.1</v>
      </c>
    </row>
    <row r="70" customFormat="false" ht="15" hidden="false" customHeight="true" outlineLevel="0" collapsed="false">
      <c r="A70" s="6" t="s">
        <v>790</v>
      </c>
      <c r="B70" s="6" t="s">
        <v>396</v>
      </c>
      <c r="C70" s="9" t="s">
        <v>791</v>
      </c>
      <c r="D70" s="9" t="s">
        <v>522</v>
      </c>
      <c r="E70" s="9" t="s">
        <v>523</v>
      </c>
      <c r="F70" s="9" t="s">
        <v>532</v>
      </c>
      <c r="H70" s="9" t="s">
        <v>525</v>
      </c>
      <c r="J70" s="40"/>
      <c r="K70" s="38"/>
      <c r="L70" s="38"/>
      <c r="M70" s="32" t="n">
        <v>4816.37</v>
      </c>
      <c r="N70" s="6" t="n">
        <v>10</v>
      </c>
      <c r="O70" s="6" t="n">
        <v>1</v>
      </c>
      <c r="P70" s="33" t="n">
        <v>34151</v>
      </c>
      <c r="Q70" s="34" t="n">
        <f aca="false">IF(OR($A70="",P70=""),"",ROUND(YEARFRAC(P70,README!$C$5),1))</f>
        <v>33.1</v>
      </c>
      <c r="R70" s="39"/>
      <c r="S70" s="35" t="n">
        <v>5000</v>
      </c>
      <c r="T70" s="35" t="n">
        <v>4362</v>
      </c>
      <c r="U70" s="35" t="n">
        <v>7620</v>
      </c>
      <c r="V70" s="35" t="n">
        <v>3258</v>
      </c>
      <c r="W70" s="31" t="n">
        <v>1</v>
      </c>
      <c r="X70" s="6" t="n">
        <v>10</v>
      </c>
      <c r="Y70" s="41"/>
      <c r="Z70" s="6" t="s">
        <v>751</v>
      </c>
      <c r="AA70" s="9" t="s">
        <v>528</v>
      </c>
      <c r="AB70" s="9" t="s">
        <v>792</v>
      </c>
      <c r="AE70" s="37" t="n">
        <f aca="false">COUNTIF(環境認証!$A$2:$A$849,A70)</f>
        <v>1</v>
      </c>
      <c r="AF70" s="6" t="n">
        <v>74.7</v>
      </c>
      <c r="AG70" s="6" t="n">
        <v>52.4</v>
      </c>
    </row>
    <row r="71" customFormat="false" ht="15" hidden="false" customHeight="true" outlineLevel="0" collapsed="false">
      <c r="A71" s="6" t="s">
        <v>793</v>
      </c>
      <c r="B71" s="6" t="s">
        <v>396</v>
      </c>
      <c r="C71" s="9" t="s">
        <v>794</v>
      </c>
      <c r="D71" s="9" t="s">
        <v>522</v>
      </c>
      <c r="E71" s="9" t="s">
        <v>523</v>
      </c>
      <c r="F71" s="9" t="s">
        <v>666</v>
      </c>
      <c r="H71" s="9" t="s">
        <v>525</v>
      </c>
      <c r="J71" s="40"/>
      <c r="K71" s="38"/>
      <c r="L71" s="38"/>
      <c r="M71" s="32" t="n">
        <v>5899.11</v>
      </c>
      <c r="N71" s="6" t="n">
        <v>8</v>
      </c>
      <c r="O71" s="6" t="n">
        <v>1</v>
      </c>
      <c r="P71" s="33" t="n">
        <v>40269</v>
      </c>
      <c r="Q71" s="34" t="n">
        <f aca="false">IF(OR($A71="",P71=""),"",ROUND(YEARFRAC(P71,README!$C$5),1))</f>
        <v>16.4</v>
      </c>
      <c r="R71" s="39"/>
      <c r="S71" s="35" t="n">
        <v>5600</v>
      </c>
      <c r="T71" s="35" t="n">
        <v>4908</v>
      </c>
      <c r="U71" s="35" t="n">
        <v>8650</v>
      </c>
      <c r="V71" s="35" t="n">
        <v>3742</v>
      </c>
      <c r="W71" s="31" t="n">
        <v>1</v>
      </c>
      <c r="X71" s="6" t="n">
        <v>1</v>
      </c>
      <c r="Y71" s="41"/>
      <c r="Z71" s="6" t="s">
        <v>751</v>
      </c>
      <c r="AA71" s="9" t="s">
        <v>528</v>
      </c>
      <c r="AB71" s="9" t="s">
        <v>795</v>
      </c>
      <c r="AE71" s="37" t="n">
        <f aca="false">COUNTIF(環境認証!$A$2:$A$849,A71)</f>
        <v>2</v>
      </c>
      <c r="AF71" s="6" t="n">
        <v>76.2</v>
      </c>
      <c r="AG71" s="6" t="n">
        <v>54.5</v>
      </c>
    </row>
    <row r="72" customFormat="false" ht="15" hidden="false" customHeight="true" outlineLevel="0" collapsed="false">
      <c r="A72" s="6" t="s">
        <v>796</v>
      </c>
      <c r="B72" s="6" t="s">
        <v>396</v>
      </c>
      <c r="C72" s="9" t="s">
        <v>797</v>
      </c>
      <c r="D72" s="9" t="s">
        <v>522</v>
      </c>
      <c r="E72" s="9" t="s">
        <v>523</v>
      </c>
      <c r="F72" s="9" t="s">
        <v>524</v>
      </c>
      <c r="H72" s="9" t="s">
        <v>525</v>
      </c>
      <c r="J72" s="40"/>
      <c r="K72" s="38"/>
      <c r="L72" s="38"/>
      <c r="M72" s="32" t="n">
        <v>2889.34</v>
      </c>
      <c r="N72" s="6" t="n">
        <v>9</v>
      </c>
      <c r="P72" s="33" t="n">
        <v>40210</v>
      </c>
      <c r="Q72" s="34" t="n">
        <f aca="false">IF(OR($A72="",P72=""),"",ROUND(YEARFRAC(P72,README!$C$5),1))</f>
        <v>16.5</v>
      </c>
      <c r="R72" s="39"/>
      <c r="S72" s="35" t="n">
        <v>3550</v>
      </c>
      <c r="T72" s="35" t="n">
        <v>3100</v>
      </c>
      <c r="U72" s="35" t="n">
        <v>5530</v>
      </c>
      <c r="V72" s="35" t="n">
        <v>2430</v>
      </c>
      <c r="W72" s="31" t="n">
        <v>1</v>
      </c>
      <c r="X72" s="6" t="n">
        <v>8</v>
      </c>
      <c r="Y72" s="41"/>
      <c r="Z72" s="6" t="s">
        <v>751</v>
      </c>
      <c r="AA72" s="9" t="s">
        <v>528</v>
      </c>
      <c r="AB72" s="9" t="s">
        <v>798</v>
      </c>
      <c r="AE72" s="37" t="n">
        <f aca="false">COUNTIF(環境認証!$A$2:$A$849,A72)</f>
        <v>1</v>
      </c>
      <c r="AF72" s="6" t="n">
        <v>78.4</v>
      </c>
      <c r="AG72" s="6" t="n">
        <v>55.8</v>
      </c>
    </row>
    <row r="73" customFormat="false" ht="15" hidden="false" customHeight="true" outlineLevel="0" collapsed="false">
      <c r="A73" s="6" t="s">
        <v>799</v>
      </c>
      <c r="B73" s="6" t="s">
        <v>396</v>
      </c>
      <c r="C73" s="9" t="s">
        <v>800</v>
      </c>
      <c r="D73" s="9" t="s">
        <v>522</v>
      </c>
      <c r="E73" s="9" t="s">
        <v>523</v>
      </c>
      <c r="F73" s="9" t="s">
        <v>648</v>
      </c>
      <c r="H73" s="9" t="s">
        <v>525</v>
      </c>
      <c r="J73" s="40"/>
      <c r="K73" s="38"/>
      <c r="L73" s="38"/>
      <c r="M73" s="32" t="n">
        <v>13960.84</v>
      </c>
      <c r="N73" s="6" t="n">
        <v>15</v>
      </c>
      <c r="O73" s="6" t="n">
        <v>1</v>
      </c>
      <c r="P73" s="33" t="n">
        <v>37530</v>
      </c>
      <c r="Q73" s="34" t="n">
        <f aca="false">IF(OR($A73="",P73=""),"",ROUND(YEARFRAC(P73,README!$C$5),1))</f>
        <v>23.9</v>
      </c>
      <c r="R73" s="39"/>
      <c r="S73" s="35" t="n">
        <v>24000</v>
      </c>
      <c r="T73" s="35" t="n">
        <v>22970</v>
      </c>
      <c r="U73" s="35" t="n">
        <v>40300</v>
      </c>
      <c r="V73" s="35" t="n">
        <v>17330</v>
      </c>
      <c r="W73" s="31" t="n">
        <v>1</v>
      </c>
      <c r="X73" s="6" t="n">
        <v>15</v>
      </c>
      <c r="Y73" s="41"/>
      <c r="Z73" s="6" t="s">
        <v>751</v>
      </c>
      <c r="AA73" s="9" t="s">
        <v>528</v>
      </c>
      <c r="AB73" s="9" t="s">
        <v>801</v>
      </c>
      <c r="AE73" s="37" t="n">
        <f aca="false">COUNTIF(環境認証!$A$2:$A$849,A73)</f>
        <v>1</v>
      </c>
      <c r="AF73" s="6" t="n">
        <v>75.4</v>
      </c>
      <c r="AG73" s="6" t="n">
        <v>67.9</v>
      </c>
    </row>
    <row r="74" customFormat="false" ht="15" hidden="false" customHeight="true" outlineLevel="0" collapsed="false">
      <c r="A74" s="6" t="s">
        <v>802</v>
      </c>
      <c r="B74" s="6" t="s">
        <v>396</v>
      </c>
      <c r="C74" s="9" t="s">
        <v>803</v>
      </c>
      <c r="D74" s="9" t="s">
        <v>522</v>
      </c>
      <c r="E74" s="9" t="s">
        <v>523</v>
      </c>
      <c r="F74" s="9" t="s">
        <v>666</v>
      </c>
      <c r="H74" s="9" t="s">
        <v>525</v>
      </c>
      <c r="J74" s="40"/>
      <c r="K74" s="38"/>
      <c r="L74" s="38"/>
      <c r="M74" s="32" t="n">
        <v>2143.08</v>
      </c>
      <c r="N74" s="6" t="n">
        <v>8</v>
      </c>
      <c r="P74" s="33" t="n">
        <v>40299</v>
      </c>
      <c r="Q74" s="34" t="n">
        <f aca="false">IF(OR($A74="",P74=""),"",ROUND(YEARFRAC(P74,README!$C$5),1))</f>
        <v>16.3</v>
      </c>
      <c r="R74" s="39"/>
      <c r="S74" s="35" t="n">
        <v>1721</v>
      </c>
      <c r="T74" s="35" t="n">
        <v>1400</v>
      </c>
      <c r="U74" s="35" t="n">
        <v>2960</v>
      </c>
      <c r="V74" s="35" t="n">
        <v>1560</v>
      </c>
      <c r="W74" s="31" t="n">
        <v>1</v>
      </c>
      <c r="X74" s="6" t="n">
        <v>6</v>
      </c>
      <c r="Y74" s="41"/>
      <c r="Z74" s="6" t="s">
        <v>751</v>
      </c>
      <c r="AA74" s="9" t="s">
        <v>528</v>
      </c>
      <c r="AB74" s="9" t="s">
        <v>772</v>
      </c>
      <c r="AE74" s="37" t="n">
        <f aca="false">COUNTIF(環境認証!$A$2:$A$849,A74)</f>
        <v>1</v>
      </c>
      <c r="AF74" s="6" t="n">
        <v>111.4</v>
      </c>
      <c r="AG74" s="6" t="n">
        <v>72</v>
      </c>
    </row>
    <row r="75" customFormat="false" ht="15" hidden="false" customHeight="true" outlineLevel="0" collapsed="false">
      <c r="A75" s="6" t="s">
        <v>804</v>
      </c>
      <c r="B75" s="6" t="s">
        <v>396</v>
      </c>
      <c r="C75" s="9" t="s">
        <v>805</v>
      </c>
      <c r="D75" s="9" t="s">
        <v>522</v>
      </c>
      <c r="E75" s="9" t="s">
        <v>523</v>
      </c>
      <c r="F75" s="9" t="s">
        <v>806</v>
      </c>
      <c r="H75" s="9" t="s">
        <v>525</v>
      </c>
      <c r="J75" s="40"/>
      <c r="K75" s="38"/>
      <c r="L75" s="38"/>
      <c r="M75" s="32" t="n">
        <v>6751.31</v>
      </c>
      <c r="N75" s="6" t="n">
        <v>11</v>
      </c>
      <c r="O75" s="6" t="n">
        <v>2</v>
      </c>
      <c r="P75" s="33" t="n">
        <v>40909</v>
      </c>
      <c r="Q75" s="34" t="n">
        <f aca="false">IF(OR($A75="",P75=""),"",ROUND(YEARFRAC(P75,README!$C$5),1))</f>
        <v>14.6</v>
      </c>
      <c r="R75" s="39"/>
      <c r="S75" s="35" t="n">
        <v>9650</v>
      </c>
      <c r="T75" s="35" t="n">
        <v>9229</v>
      </c>
      <c r="U75" s="35" t="n">
        <v>17600</v>
      </c>
      <c r="V75" s="35" t="n">
        <v>8371</v>
      </c>
      <c r="W75" s="31" t="n">
        <v>1</v>
      </c>
      <c r="X75" s="6" t="n">
        <v>16</v>
      </c>
      <c r="Y75" s="41"/>
      <c r="Z75" s="6" t="s">
        <v>751</v>
      </c>
      <c r="AA75" s="9" t="s">
        <v>528</v>
      </c>
      <c r="AB75" s="9" t="s">
        <v>807</v>
      </c>
      <c r="AE75" s="37" t="n">
        <f aca="false">COUNTIF(環境認証!$A$2:$A$849,A75)</f>
        <v>1</v>
      </c>
      <c r="AF75" s="6" t="n">
        <v>90.7</v>
      </c>
      <c r="AG75" s="6" t="n">
        <v>82.4</v>
      </c>
    </row>
    <row r="76" customFormat="false" ht="15" hidden="false" customHeight="true" outlineLevel="0" collapsed="false">
      <c r="A76" s="6" t="s">
        <v>808</v>
      </c>
      <c r="B76" s="6" t="s">
        <v>396</v>
      </c>
      <c r="C76" s="9" t="s">
        <v>809</v>
      </c>
      <c r="D76" s="9" t="s">
        <v>522</v>
      </c>
      <c r="E76" s="9" t="s">
        <v>523</v>
      </c>
      <c r="F76" s="9" t="s">
        <v>532</v>
      </c>
      <c r="H76" s="9" t="s">
        <v>525</v>
      </c>
      <c r="J76" s="40"/>
      <c r="K76" s="38"/>
      <c r="L76" s="38"/>
      <c r="M76" s="32" t="n">
        <v>8752.21</v>
      </c>
      <c r="N76" s="6" t="n">
        <v>7</v>
      </c>
      <c r="O76" s="6" t="n">
        <v>2</v>
      </c>
      <c r="P76" s="33" t="n">
        <v>33117</v>
      </c>
      <c r="Q76" s="34" t="n">
        <f aca="false">IF(OR($A76="",P76=""),"",ROUND(YEARFRAC(P76,README!$C$5),1))</f>
        <v>35.9</v>
      </c>
      <c r="R76" s="39"/>
      <c r="S76" s="35" t="n">
        <v>9200</v>
      </c>
      <c r="T76" s="35" t="n">
        <v>9819</v>
      </c>
      <c r="U76" s="35" t="n">
        <v>17400</v>
      </c>
      <c r="V76" s="35" t="n">
        <v>7581</v>
      </c>
      <c r="W76" s="31" t="n">
        <v>1</v>
      </c>
      <c r="X76" s="6" t="n">
        <v>16</v>
      </c>
      <c r="Y76" s="41"/>
      <c r="Z76" s="6" t="s">
        <v>751</v>
      </c>
      <c r="AA76" s="9" t="s">
        <v>528</v>
      </c>
      <c r="AB76" s="9" t="s">
        <v>810</v>
      </c>
      <c r="AE76" s="37" t="n">
        <f aca="false">COUNTIF(環境認証!$A$2:$A$849,A76)</f>
        <v>0</v>
      </c>
      <c r="AF76" s="6" t="n">
        <v>77.2</v>
      </c>
      <c r="AG76" s="6" t="n">
        <v>89.1</v>
      </c>
    </row>
    <row r="77" customFormat="false" ht="15" hidden="false" customHeight="true" outlineLevel="0" collapsed="false">
      <c r="A77" s="6" t="s">
        <v>811</v>
      </c>
      <c r="B77" s="6" t="s">
        <v>396</v>
      </c>
      <c r="C77" s="9" t="s">
        <v>812</v>
      </c>
      <c r="D77" s="9" t="s">
        <v>522</v>
      </c>
      <c r="E77" s="9" t="s">
        <v>523</v>
      </c>
      <c r="F77" s="9" t="s">
        <v>648</v>
      </c>
      <c r="H77" s="9" t="s">
        <v>525</v>
      </c>
      <c r="J77" s="40"/>
      <c r="K77" s="38"/>
      <c r="L77" s="38"/>
      <c r="M77" s="32" t="n">
        <v>6328.28</v>
      </c>
      <c r="N77" s="6" t="n">
        <v>12</v>
      </c>
      <c r="O77" s="6" t="n">
        <v>1</v>
      </c>
      <c r="P77" s="33" t="n">
        <v>32478</v>
      </c>
      <c r="Q77" s="34" t="n">
        <f aca="false">IF(OR($A77="",P77=""),"",ROUND(YEARFRAC(P77,README!$C$5),1))</f>
        <v>37.7</v>
      </c>
      <c r="R77" s="39"/>
      <c r="S77" s="35" t="n">
        <v>7000</v>
      </c>
      <c r="T77" s="35" t="n">
        <v>7028</v>
      </c>
      <c r="U77" s="35" t="n">
        <v>13100</v>
      </c>
      <c r="V77" s="35" t="n">
        <v>6072</v>
      </c>
      <c r="W77" s="31" t="n">
        <v>1</v>
      </c>
      <c r="X77" s="6" t="n">
        <v>11</v>
      </c>
      <c r="Y77" s="41"/>
      <c r="Z77" s="6" t="s">
        <v>751</v>
      </c>
      <c r="AA77" s="9" t="s">
        <v>528</v>
      </c>
      <c r="AB77" s="9" t="s">
        <v>813</v>
      </c>
      <c r="AE77" s="37" t="n">
        <f aca="false">COUNTIF(環境認証!$A$2:$A$849,A77)</f>
        <v>0</v>
      </c>
      <c r="AF77" s="6" t="n">
        <v>86.4</v>
      </c>
      <c r="AG77" s="6" t="n">
        <v>87.1</v>
      </c>
    </row>
    <row r="78" customFormat="false" ht="15" hidden="false" customHeight="true" outlineLevel="0" collapsed="false">
      <c r="A78" s="6" t="s">
        <v>814</v>
      </c>
      <c r="B78" s="6" t="s">
        <v>396</v>
      </c>
      <c r="C78" s="9" t="s">
        <v>815</v>
      </c>
      <c r="D78" s="9" t="s">
        <v>522</v>
      </c>
      <c r="E78" s="9" t="s">
        <v>523</v>
      </c>
      <c r="F78" s="9" t="s">
        <v>532</v>
      </c>
      <c r="H78" s="9" t="s">
        <v>525</v>
      </c>
      <c r="J78" s="40"/>
      <c r="K78" s="38"/>
      <c r="L78" s="38"/>
      <c r="M78" s="32" t="n">
        <v>13240.61</v>
      </c>
      <c r="N78" s="6" t="n">
        <v>6</v>
      </c>
      <c r="O78" s="6" t="n">
        <v>1</v>
      </c>
      <c r="P78" s="33" t="n">
        <v>40057</v>
      </c>
      <c r="Q78" s="34" t="n">
        <f aca="false">IF(OR($A78="",P78=""),"",ROUND(YEARFRAC(P78,README!$C$5),1))</f>
        <v>16.9</v>
      </c>
      <c r="R78" s="39"/>
      <c r="S78" s="35" t="n">
        <v>14000</v>
      </c>
      <c r="T78" s="35" t="n">
        <v>13410</v>
      </c>
      <c r="U78" s="35" t="n">
        <v>18700</v>
      </c>
      <c r="V78" s="35" t="n">
        <v>5290</v>
      </c>
      <c r="W78" s="31" t="n">
        <v>0.934</v>
      </c>
      <c r="X78" s="6" t="n">
        <v>12</v>
      </c>
      <c r="Y78" s="41"/>
      <c r="Z78" s="6" t="s">
        <v>751</v>
      </c>
      <c r="AA78" s="9" t="s">
        <v>528</v>
      </c>
      <c r="AB78" s="9" t="s">
        <v>816</v>
      </c>
      <c r="AE78" s="37" t="n">
        <f aca="false">COUNTIF(環境認証!$A$2:$A$849,A78)</f>
        <v>1</v>
      </c>
      <c r="AF78" s="6" t="n">
        <v>39.4</v>
      </c>
      <c r="AG78" s="6" t="n">
        <v>33.6</v>
      </c>
    </row>
    <row r="79" customFormat="false" ht="15" hidden="false" customHeight="true" outlineLevel="0" collapsed="false">
      <c r="A79" s="6" t="s">
        <v>817</v>
      </c>
      <c r="B79" s="6" t="s">
        <v>396</v>
      </c>
      <c r="C79" s="9" t="s">
        <v>818</v>
      </c>
      <c r="D79" s="9" t="s">
        <v>522</v>
      </c>
      <c r="E79" s="9" t="s">
        <v>523</v>
      </c>
      <c r="F79" s="9" t="s">
        <v>648</v>
      </c>
      <c r="H79" s="9" t="s">
        <v>525</v>
      </c>
      <c r="J79" s="40"/>
      <c r="K79" s="38"/>
      <c r="L79" s="38"/>
      <c r="M79" s="32" t="n">
        <v>2951.7</v>
      </c>
      <c r="N79" s="6" t="n">
        <v>9</v>
      </c>
      <c r="O79" s="6" t="n">
        <v>1</v>
      </c>
      <c r="P79" s="33" t="n">
        <v>35765</v>
      </c>
      <c r="Q79" s="34" t="n">
        <f aca="false">IF(OR($A79="",P79=""),"",ROUND(YEARFRAC(P79,README!$C$5),1))</f>
        <v>28.7</v>
      </c>
      <c r="R79" s="39"/>
      <c r="S79" s="35" t="n">
        <v>4135</v>
      </c>
      <c r="T79" s="35" t="n">
        <v>4093</v>
      </c>
      <c r="U79" s="35" t="n">
        <v>6810</v>
      </c>
      <c r="V79" s="35" t="n">
        <v>2717</v>
      </c>
      <c r="W79" s="31" t="n">
        <v>1</v>
      </c>
      <c r="X79" s="6" t="n">
        <v>1</v>
      </c>
      <c r="Y79" s="41"/>
      <c r="Z79" s="6" t="s">
        <v>751</v>
      </c>
      <c r="AA79" s="9" t="s">
        <v>528</v>
      </c>
      <c r="AB79" s="9" t="s">
        <v>819</v>
      </c>
      <c r="AE79" s="37" t="n">
        <f aca="false">COUNTIF(環境認証!$A$2:$A$849,A79)</f>
        <v>0</v>
      </c>
      <c r="AF79" s="6" t="n">
        <v>66.4</v>
      </c>
      <c r="AG79" s="6" t="n">
        <v>64.7</v>
      </c>
    </row>
    <row r="80" customFormat="false" ht="15" hidden="false" customHeight="true" outlineLevel="0" collapsed="false">
      <c r="A80" s="6" t="s">
        <v>820</v>
      </c>
      <c r="B80" s="6" t="s">
        <v>396</v>
      </c>
      <c r="C80" s="9" t="s">
        <v>821</v>
      </c>
      <c r="D80" s="9" t="s">
        <v>522</v>
      </c>
      <c r="E80" s="9" t="s">
        <v>523</v>
      </c>
      <c r="F80" s="9" t="s">
        <v>806</v>
      </c>
      <c r="H80" s="9" t="s">
        <v>525</v>
      </c>
      <c r="J80" s="40"/>
      <c r="K80" s="38"/>
      <c r="L80" s="38"/>
      <c r="M80" s="32" t="n">
        <v>7498.33</v>
      </c>
      <c r="N80" s="6" t="n">
        <v>10</v>
      </c>
      <c r="P80" s="33" t="n">
        <v>40391</v>
      </c>
      <c r="Q80" s="34" t="n">
        <f aca="false">IF(OR($A80="",P80=""),"",ROUND(YEARFRAC(P80,README!$C$5),1))</f>
        <v>16</v>
      </c>
      <c r="R80" s="39"/>
      <c r="S80" s="35" t="n">
        <v>8450</v>
      </c>
      <c r="T80" s="35" t="n">
        <v>8118</v>
      </c>
      <c r="U80" s="35" t="n">
        <v>12100</v>
      </c>
      <c r="V80" s="35" t="n">
        <v>3982</v>
      </c>
      <c r="W80" s="31" t="n">
        <v>1</v>
      </c>
      <c r="X80" s="6" t="n">
        <v>4</v>
      </c>
      <c r="Y80" s="41"/>
      <c r="Z80" s="6" t="s">
        <v>751</v>
      </c>
      <c r="AA80" s="9" t="s">
        <v>528</v>
      </c>
      <c r="AB80" s="9" t="s">
        <v>798</v>
      </c>
      <c r="AE80" s="37" t="n">
        <f aca="false">COUNTIF(環境認証!$A$2:$A$849,A80)</f>
        <v>1</v>
      </c>
      <c r="AF80" s="6" t="n">
        <v>49.1</v>
      </c>
      <c r="AG80" s="6" t="n">
        <v>43.2</v>
      </c>
    </row>
    <row r="81" customFormat="false" ht="15" hidden="false" customHeight="true" outlineLevel="0" collapsed="false">
      <c r="A81" s="6" t="s">
        <v>822</v>
      </c>
      <c r="B81" s="6" t="s">
        <v>396</v>
      </c>
      <c r="C81" s="9" t="s">
        <v>823</v>
      </c>
      <c r="D81" s="9" t="s">
        <v>522</v>
      </c>
      <c r="E81" s="9" t="s">
        <v>523</v>
      </c>
      <c r="F81" s="9" t="s">
        <v>532</v>
      </c>
      <c r="H81" s="9" t="s">
        <v>525</v>
      </c>
      <c r="J81" s="40"/>
      <c r="K81" s="38"/>
      <c r="L81" s="38"/>
      <c r="M81" s="32" t="n">
        <v>4426.1</v>
      </c>
      <c r="N81" s="6" t="n">
        <v>7</v>
      </c>
      <c r="O81" s="6" t="n">
        <v>1</v>
      </c>
      <c r="P81" s="33" t="n">
        <v>37196</v>
      </c>
      <c r="Q81" s="34" t="n">
        <f aca="false">IF(OR($A81="",P81=""),"",ROUND(YEARFRAC(P81,README!$C$5),1))</f>
        <v>24.8</v>
      </c>
      <c r="R81" s="39"/>
      <c r="S81" s="35" t="n">
        <v>9800</v>
      </c>
      <c r="T81" s="35" t="n">
        <v>9814</v>
      </c>
      <c r="U81" s="35" t="n">
        <v>13600</v>
      </c>
      <c r="V81" s="35" t="n">
        <v>3786</v>
      </c>
      <c r="W81" s="31" t="n">
        <v>1</v>
      </c>
      <c r="X81" s="6" t="n">
        <v>7</v>
      </c>
      <c r="Y81" s="41"/>
      <c r="Z81" s="6" t="s">
        <v>751</v>
      </c>
      <c r="AA81" s="9" t="s">
        <v>528</v>
      </c>
      <c r="AB81" s="9" t="s">
        <v>807</v>
      </c>
      <c r="AE81" s="37" t="n">
        <f aca="false">COUNTIF(環境認証!$A$2:$A$849,A81)</f>
        <v>0</v>
      </c>
      <c r="AF81" s="6" t="n">
        <v>38.6</v>
      </c>
      <c r="AG81" s="6" t="n">
        <v>38.8</v>
      </c>
    </row>
    <row r="82" customFormat="false" ht="15" hidden="false" customHeight="true" outlineLevel="0" collapsed="false">
      <c r="A82" s="6" t="s">
        <v>824</v>
      </c>
      <c r="B82" s="6" t="s">
        <v>396</v>
      </c>
      <c r="C82" s="9" t="s">
        <v>825</v>
      </c>
      <c r="D82" s="9" t="s">
        <v>522</v>
      </c>
      <c r="E82" s="9" t="s">
        <v>523</v>
      </c>
      <c r="F82" s="9" t="s">
        <v>648</v>
      </c>
      <c r="H82" s="9" t="s">
        <v>525</v>
      </c>
      <c r="J82" s="40"/>
      <c r="K82" s="38"/>
      <c r="L82" s="38"/>
      <c r="M82" s="32" t="n">
        <v>2674.97</v>
      </c>
      <c r="N82" s="6" t="n">
        <v>9</v>
      </c>
      <c r="O82" s="6" t="n">
        <v>1</v>
      </c>
      <c r="P82" s="33" t="n">
        <v>37135</v>
      </c>
      <c r="Q82" s="34" t="n">
        <f aca="false">IF(OR($A82="",P82=""),"",ROUND(YEARFRAC(P82,README!$C$5),1))</f>
        <v>24.9</v>
      </c>
      <c r="R82" s="39"/>
      <c r="S82" s="35" t="n">
        <v>4800</v>
      </c>
      <c r="T82" s="35" t="n">
        <v>4891</v>
      </c>
      <c r="U82" s="35" t="n">
        <v>6760</v>
      </c>
      <c r="V82" s="35" t="n">
        <v>1869</v>
      </c>
      <c r="W82" s="31" t="n">
        <v>1</v>
      </c>
      <c r="X82" s="6" t="n">
        <v>6</v>
      </c>
      <c r="Y82" s="41"/>
      <c r="Z82" s="6" t="s">
        <v>751</v>
      </c>
      <c r="AA82" s="9" t="s">
        <v>528</v>
      </c>
      <c r="AB82" s="9" t="s">
        <v>826</v>
      </c>
      <c r="AE82" s="37" t="n">
        <f aca="false">COUNTIF(環境認証!$A$2:$A$849,A82)</f>
        <v>1</v>
      </c>
      <c r="AF82" s="6" t="n">
        <v>38.2</v>
      </c>
      <c r="AG82" s="6" t="n">
        <v>40.8</v>
      </c>
    </row>
    <row r="83" customFormat="false" ht="15" hidden="false" customHeight="true" outlineLevel="0" collapsed="false">
      <c r="A83" s="6" t="s">
        <v>827</v>
      </c>
      <c r="B83" s="6" t="s">
        <v>396</v>
      </c>
      <c r="C83" s="9" t="s">
        <v>828</v>
      </c>
      <c r="D83" s="9" t="s">
        <v>522</v>
      </c>
      <c r="E83" s="9" t="s">
        <v>523</v>
      </c>
      <c r="F83" s="9" t="s">
        <v>648</v>
      </c>
      <c r="H83" s="9" t="s">
        <v>525</v>
      </c>
      <c r="J83" s="40"/>
      <c r="K83" s="38"/>
      <c r="L83" s="38"/>
      <c r="M83" s="32" t="n">
        <v>8566.73</v>
      </c>
      <c r="N83" s="6" t="n">
        <v>11</v>
      </c>
      <c r="O83" s="6" t="n">
        <v>1</v>
      </c>
      <c r="P83" s="33" t="n">
        <v>38018</v>
      </c>
      <c r="Q83" s="34" t="n">
        <f aca="false">IF(OR($A83="",P83=""),"",ROUND(YEARFRAC(P83,README!$C$5),1))</f>
        <v>22.5</v>
      </c>
      <c r="R83" s="39"/>
      <c r="S83" s="35" t="n">
        <v>16000</v>
      </c>
      <c r="T83" s="35" t="n">
        <v>15777</v>
      </c>
      <c r="U83" s="35" t="n">
        <v>24100</v>
      </c>
      <c r="V83" s="35" t="n">
        <v>8323</v>
      </c>
      <c r="W83" s="31" t="n">
        <v>0.965</v>
      </c>
      <c r="X83" s="6" t="n">
        <v>10</v>
      </c>
      <c r="Y83" s="41"/>
      <c r="Z83" s="6" t="s">
        <v>751</v>
      </c>
      <c r="AA83" s="9" t="s">
        <v>528</v>
      </c>
      <c r="AB83" s="9" t="s">
        <v>795</v>
      </c>
      <c r="AE83" s="37" t="n">
        <f aca="false">COUNTIF(環境認証!$A$2:$A$849,A83)</f>
        <v>1</v>
      </c>
      <c r="AF83" s="6" t="n">
        <v>52.8</v>
      </c>
      <c r="AG83" s="6" t="n">
        <v>50.6</v>
      </c>
    </row>
    <row r="84" customFormat="false" ht="15" hidden="false" customHeight="true" outlineLevel="0" collapsed="false">
      <c r="A84" s="6" t="s">
        <v>829</v>
      </c>
      <c r="B84" s="6" t="s">
        <v>396</v>
      </c>
      <c r="C84" s="9" t="s">
        <v>830</v>
      </c>
      <c r="D84" s="9" t="s">
        <v>522</v>
      </c>
      <c r="E84" s="9" t="s">
        <v>523</v>
      </c>
      <c r="F84" s="9" t="s">
        <v>666</v>
      </c>
      <c r="H84" s="9" t="s">
        <v>525</v>
      </c>
      <c r="J84" s="40"/>
      <c r="K84" s="38"/>
      <c r="L84" s="38"/>
      <c r="M84" s="32" t="n">
        <v>32042.62</v>
      </c>
      <c r="N84" s="6" t="n">
        <v>20</v>
      </c>
      <c r="O84" s="6" t="n">
        <v>2</v>
      </c>
      <c r="P84" s="33" t="n">
        <v>34366</v>
      </c>
      <c r="Q84" s="34" t="n">
        <f aca="false">IF(OR($A84="",P84=""),"",ROUND(YEARFRAC(P84,README!$C$5),1))</f>
        <v>32.5</v>
      </c>
      <c r="R84" s="39"/>
      <c r="S84" s="35" t="n">
        <v>28000</v>
      </c>
      <c r="T84" s="35" t="n">
        <v>27606</v>
      </c>
      <c r="U84" s="35" t="n">
        <v>38300</v>
      </c>
      <c r="V84" s="35" t="n">
        <v>10694</v>
      </c>
      <c r="W84" s="31" t="n">
        <v>0.99</v>
      </c>
      <c r="X84" s="6" t="n">
        <v>96</v>
      </c>
      <c r="Y84" s="41"/>
      <c r="Z84" s="6" t="s">
        <v>751</v>
      </c>
      <c r="AA84" s="9" t="s">
        <v>528</v>
      </c>
      <c r="AB84" s="9" t="s">
        <v>831</v>
      </c>
      <c r="AE84" s="37" t="n">
        <f aca="false">COUNTIF(環境認証!$A$2:$A$849,A84)</f>
        <v>1</v>
      </c>
      <c r="AF84" s="6" t="n">
        <v>38.7</v>
      </c>
      <c r="AG84" s="6" t="n">
        <v>36.8</v>
      </c>
    </row>
    <row r="85" customFormat="false" ht="15" hidden="false" customHeight="true" outlineLevel="0" collapsed="false">
      <c r="A85" s="6" t="s">
        <v>832</v>
      </c>
      <c r="B85" s="6" t="s">
        <v>396</v>
      </c>
      <c r="C85" s="9" t="s">
        <v>833</v>
      </c>
      <c r="D85" s="9" t="s">
        <v>522</v>
      </c>
      <c r="E85" s="9" t="s">
        <v>523</v>
      </c>
      <c r="F85" s="9" t="s">
        <v>666</v>
      </c>
      <c r="H85" s="9" t="s">
        <v>525</v>
      </c>
      <c r="J85" s="40"/>
      <c r="K85" s="38"/>
      <c r="L85" s="38"/>
      <c r="M85" s="32" t="n">
        <v>2622.42</v>
      </c>
      <c r="N85" s="6" t="n">
        <v>10</v>
      </c>
      <c r="O85" s="6" t="n">
        <v>1</v>
      </c>
      <c r="P85" s="33" t="n">
        <v>38749</v>
      </c>
      <c r="Q85" s="34" t="n">
        <f aca="false">IF(OR($A85="",P85=""),"",ROUND(YEARFRAC(P85,README!$C$5),1))</f>
        <v>20.5</v>
      </c>
      <c r="R85" s="39"/>
      <c r="S85" s="35" t="n">
        <v>2871</v>
      </c>
      <c r="T85" s="35" t="n">
        <v>2931</v>
      </c>
      <c r="U85" s="35" t="n">
        <v>3490</v>
      </c>
      <c r="V85" s="35" t="n">
        <v>559</v>
      </c>
      <c r="W85" s="31" t="n">
        <v>1</v>
      </c>
      <c r="X85" s="6" t="n">
        <v>9</v>
      </c>
      <c r="Y85" s="41"/>
      <c r="Z85" s="6" t="s">
        <v>751</v>
      </c>
      <c r="AA85" s="9" t="s">
        <v>528</v>
      </c>
      <c r="AB85" s="9" t="s">
        <v>834</v>
      </c>
      <c r="AE85" s="37" t="n">
        <f aca="false">COUNTIF(環境認証!$A$2:$A$849,A85)</f>
        <v>1</v>
      </c>
      <c r="AF85" s="6" t="n">
        <v>19.1</v>
      </c>
      <c r="AG85" s="6" t="n">
        <v>21.6</v>
      </c>
    </row>
    <row r="86" customFormat="false" ht="15" hidden="false" customHeight="true" outlineLevel="0" collapsed="false">
      <c r="A86" s="6" t="s">
        <v>835</v>
      </c>
      <c r="B86" s="6" t="s">
        <v>396</v>
      </c>
      <c r="C86" s="9" t="s">
        <v>836</v>
      </c>
      <c r="D86" s="9" t="s">
        <v>522</v>
      </c>
      <c r="E86" s="9" t="s">
        <v>523</v>
      </c>
      <c r="F86" s="9" t="s">
        <v>666</v>
      </c>
      <c r="H86" s="9" t="s">
        <v>525</v>
      </c>
      <c r="J86" s="40"/>
      <c r="K86" s="38"/>
      <c r="L86" s="38"/>
      <c r="M86" s="32" t="n">
        <v>1760.24</v>
      </c>
      <c r="N86" s="6" t="n">
        <v>9</v>
      </c>
      <c r="O86" s="6" t="n">
        <v>1</v>
      </c>
      <c r="P86" s="33" t="n">
        <v>35096</v>
      </c>
      <c r="Q86" s="34" t="n">
        <f aca="false">IF(OR($A86="",P86=""),"",ROUND(YEARFRAC(P86,README!$C$5),1))</f>
        <v>30.5</v>
      </c>
      <c r="R86" s="39"/>
      <c r="S86" s="35" t="n">
        <v>1647</v>
      </c>
      <c r="T86" s="35" t="n">
        <v>1683</v>
      </c>
      <c r="U86" s="35" t="n">
        <v>2160</v>
      </c>
      <c r="V86" s="35" t="n">
        <v>477</v>
      </c>
      <c r="W86" s="31" t="n">
        <v>1</v>
      </c>
      <c r="X86" s="6" t="n">
        <v>9</v>
      </c>
      <c r="Y86" s="41"/>
      <c r="Z86" s="6" t="s">
        <v>751</v>
      </c>
      <c r="AA86" s="9" t="s">
        <v>528</v>
      </c>
      <c r="AB86" s="9" t="s">
        <v>819</v>
      </c>
      <c r="AE86" s="37" t="n">
        <f aca="false">COUNTIF(環境認証!$A$2:$A$849,A86)</f>
        <v>1</v>
      </c>
      <c r="AF86" s="6" t="n">
        <v>28.3</v>
      </c>
      <c r="AG86" s="6" t="n">
        <v>31.1</v>
      </c>
    </row>
    <row r="87" customFormat="false" ht="15" hidden="false" customHeight="true" outlineLevel="0" collapsed="false">
      <c r="A87" s="6" t="s">
        <v>837</v>
      </c>
      <c r="B87" s="6" t="s">
        <v>396</v>
      </c>
      <c r="C87" s="9" t="s">
        <v>838</v>
      </c>
      <c r="D87" s="9" t="s">
        <v>522</v>
      </c>
      <c r="E87" s="9" t="s">
        <v>523</v>
      </c>
      <c r="F87" s="9" t="s">
        <v>806</v>
      </c>
      <c r="H87" s="9" t="s">
        <v>525</v>
      </c>
      <c r="J87" s="40"/>
      <c r="K87" s="38"/>
      <c r="L87" s="38"/>
      <c r="M87" s="32" t="n">
        <v>6965.73</v>
      </c>
      <c r="N87" s="6" t="n">
        <v>11</v>
      </c>
      <c r="O87" s="6" t="n">
        <v>2</v>
      </c>
      <c r="P87" s="33" t="n">
        <v>33451</v>
      </c>
      <c r="Q87" s="34" t="n">
        <f aca="false">IF(OR($A87="",P87=""),"",ROUND(YEARFRAC(P87,README!$C$5),1))</f>
        <v>35</v>
      </c>
      <c r="R87" s="39"/>
      <c r="S87" s="35" t="n">
        <v>13710</v>
      </c>
      <c r="T87" s="35" t="n">
        <v>14035</v>
      </c>
      <c r="U87" s="35" t="n">
        <v>16600</v>
      </c>
      <c r="V87" s="35" t="n">
        <v>2565</v>
      </c>
      <c r="W87" s="31" t="n">
        <v>1</v>
      </c>
      <c r="X87" s="6" t="n">
        <v>6</v>
      </c>
      <c r="Y87" s="41"/>
      <c r="Z87" s="6" t="s">
        <v>751</v>
      </c>
      <c r="AA87" s="9" t="s">
        <v>528</v>
      </c>
      <c r="AB87" s="9" t="s">
        <v>839</v>
      </c>
      <c r="AE87" s="37" t="n">
        <f aca="false">COUNTIF(環境認証!$A$2:$A$849,A87)</f>
        <v>1</v>
      </c>
      <c r="AF87" s="6" t="n">
        <v>18.3</v>
      </c>
      <c r="AG87" s="6" t="n">
        <v>21.1</v>
      </c>
    </row>
    <row r="88" customFormat="false" ht="15" hidden="false" customHeight="true" outlineLevel="0" collapsed="false">
      <c r="A88" s="6" t="s">
        <v>840</v>
      </c>
      <c r="B88" s="6" t="s">
        <v>396</v>
      </c>
      <c r="C88" s="9" t="s">
        <v>841</v>
      </c>
      <c r="D88" s="9" t="s">
        <v>522</v>
      </c>
      <c r="E88" s="9" t="s">
        <v>523</v>
      </c>
      <c r="F88" s="9" t="s">
        <v>666</v>
      </c>
      <c r="H88" s="9" t="s">
        <v>525</v>
      </c>
      <c r="J88" s="40"/>
      <c r="K88" s="38"/>
      <c r="L88" s="38"/>
      <c r="M88" s="32" t="n">
        <v>5630.17</v>
      </c>
      <c r="N88" s="6" t="n">
        <v>7</v>
      </c>
      <c r="P88" s="33" t="n">
        <v>36192</v>
      </c>
      <c r="Q88" s="34" t="n">
        <f aca="false">IF(OR($A88="",P88=""),"",ROUND(YEARFRAC(P88,README!$C$5),1))</f>
        <v>27.5</v>
      </c>
      <c r="R88" s="39"/>
      <c r="S88" s="35" t="n">
        <v>8180</v>
      </c>
      <c r="T88" s="35" t="n">
        <v>8229</v>
      </c>
      <c r="U88" s="35" t="n">
        <v>10600</v>
      </c>
      <c r="V88" s="35" t="n">
        <v>2371</v>
      </c>
      <c r="W88" s="31" t="n">
        <v>1</v>
      </c>
      <c r="X88" s="6" t="n">
        <v>1</v>
      </c>
      <c r="Y88" s="41"/>
      <c r="Z88" s="6" t="s">
        <v>751</v>
      </c>
      <c r="AA88" s="9" t="s">
        <v>528</v>
      </c>
      <c r="AB88" s="9" t="s">
        <v>842</v>
      </c>
      <c r="AE88" s="37" t="n">
        <f aca="false">COUNTIF(環境認証!$A$2:$A$849,A88)</f>
        <v>1</v>
      </c>
      <c r="AF88" s="6" t="n">
        <v>28.8</v>
      </c>
      <c r="AG88" s="6" t="n">
        <v>29.6</v>
      </c>
    </row>
    <row r="89" customFormat="false" ht="15" hidden="false" customHeight="true" outlineLevel="0" collapsed="false">
      <c r="A89" s="6" t="s">
        <v>843</v>
      </c>
      <c r="B89" s="6" t="s">
        <v>396</v>
      </c>
      <c r="C89" s="9" t="s">
        <v>844</v>
      </c>
      <c r="D89" s="9" t="s">
        <v>522</v>
      </c>
      <c r="E89" s="9" t="s">
        <v>523</v>
      </c>
      <c r="F89" s="9" t="s">
        <v>666</v>
      </c>
      <c r="H89" s="9" t="s">
        <v>525</v>
      </c>
      <c r="J89" s="40"/>
      <c r="K89" s="38"/>
      <c r="L89" s="38"/>
      <c r="M89" s="32" t="n">
        <v>5015.88</v>
      </c>
      <c r="N89" s="6" t="n">
        <v>7</v>
      </c>
      <c r="P89" s="33" t="n">
        <v>39508</v>
      </c>
      <c r="Q89" s="34" t="n">
        <f aca="false">IF(OR($A89="",P89=""),"",ROUND(YEARFRAC(P89,README!$C$5),1))</f>
        <v>18.4</v>
      </c>
      <c r="R89" s="39"/>
      <c r="S89" s="35" t="n">
        <v>6370</v>
      </c>
      <c r="T89" s="35" t="n">
        <v>6054</v>
      </c>
      <c r="U89" s="35" t="n">
        <v>7540</v>
      </c>
      <c r="V89" s="35" t="n">
        <v>1486</v>
      </c>
      <c r="W89" s="31" t="n">
        <v>1</v>
      </c>
      <c r="X89" s="6" t="n">
        <v>5</v>
      </c>
      <c r="Y89" s="41"/>
      <c r="Z89" s="6" t="s">
        <v>751</v>
      </c>
      <c r="AA89" s="9" t="s">
        <v>528</v>
      </c>
      <c r="AB89" s="9" t="s">
        <v>845</v>
      </c>
      <c r="AE89" s="37" t="n">
        <f aca="false">COUNTIF(環境認証!$A$2:$A$849,A89)</f>
        <v>1</v>
      </c>
      <c r="AF89" s="6" t="n">
        <v>24.5</v>
      </c>
      <c r="AG89" s="6" t="n">
        <v>18.4</v>
      </c>
    </row>
    <row r="90" customFormat="false" ht="15" hidden="false" customHeight="true" outlineLevel="0" collapsed="false">
      <c r="A90" s="6" t="s">
        <v>846</v>
      </c>
      <c r="B90" s="6" t="s">
        <v>396</v>
      </c>
      <c r="C90" s="9" t="s">
        <v>847</v>
      </c>
      <c r="D90" s="9" t="s">
        <v>522</v>
      </c>
      <c r="E90" s="9" t="s">
        <v>523</v>
      </c>
      <c r="F90" s="9" t="s">
        <v>648</v>
      </c>
      <c r="H90" s="9" t="s">
        <v>525</v>
      </c>
      <c r="J90" s="40"/>
      <c r="K90" s="38"/>
      <c r="L90" s="38"/>
      <c r="M90" s="32" t="n">
        <v>1642.83</v>
      </c>
      <c r="N90" s="6" t="n">
        <v>6</v>
      </c>
      <c r="P90" s="33" t="n">
        <v>36951</v>
      </c>
      <c r="Q90" s="34" t="n">
        <f aca="false">IF(OR($A90="",P90=""),"",ROUND(YEARFRAC(P90,README!$C$5),1))</f>
        <v>25.4</v>
      </c>
      <c r="R90" s="39"/>
      <c r="S90" s="35" t="n">
        <v>2280</v>
      </c>
      <c r="T90" s="35" t="n">
        <v>2317</v>
      </c>
      <c r="U90" s="35" t="n">
        <v>3510</v>
      </c>
      <c r="V90" s="35" t="n">
        <v>1193</v>
      </c>
      <c r="W90" s="31" t="n">
        <v>1</v>
      </c>
      <c r="X90" s="6" t="n">
        <v>1</v>
      </c>
      <c r="Y90" s="41"/>
      <c r="Z90" s="6" t="s">
        <v>751</v>
      </c>
      <c r="AA90" s="9" t="s">
        <v>528</v>
      </c>
      <c r="AB90" s="9" t="s">
        <v>798</v>
      </c>
      <c r="AE90" s="37" t="n">
        <f aca="false">COUNTIF(環境認証!$A$2:$A$849,A90)</f>
        <v>1</v>
      </c>
      <c r="AF90" s="6" t="n">
        <v>51.5</v>
      </c>
      <c r="AG90" s="6" t="n">
        <v>53.9</v>
      </c>
    </row>
    <row r="91" customFormat="false" ht="15" hidden="false" customHeight="true" outlineLevel="0" collapsed="false">
      <c r="A91" s="6" t="s">
        <v>848</v>
      </c>
      <c r="B91" s="6" t="s">
        <v>396</v>
      </c>
      <c r="C91" s="9" t="s">
        <v>849</v>
      </c>
      <c r="D91" s="9" t="s">
        <v>522</v>
      </c>
      <c r="E91" s="9" t="s">
        <v>523</v>
      </c>
      <c r="F91" s="9" t="s">
        <v>806</v>
      </c>
      <c r="H91" s="9" t="s">
        <v>525</v>
      </c>
      <c r="J91" s="40"/>
      <c r="K91" s="38"/>
      <c r="L91" s="38"/>
      <c r="M91" s="32" t="n">
        <v>1131.93</v>
      </c>
      <c r="N91" s="6" t="n">
        <v>4</v>
      </c>
      <c r="P91" s="33" t="n">
        <v>32568</v>
      </c>
      <c r="Q91" s="34" t="n">
        <f aca="false">IF(OR($A91="",P91=""),"",ROUND(YEARFRAC(P91,README!$C$5),1))</f>
        <v>37.4</v>
      </c>
      <c r="R91" s="39"/>
      <c r="S91" s="35" t="n">
        <v>942</v>
      </c>
      <c r="T91" s="35" t="n">
        <v>1032</v>
      </c>
      <c r="U91" s="35" t="n">
        <v>1360</v>
      </c>
      <c r="V91" s="35" t="n">
        <v>328</v>
      </c>
      <c r="W91" s="31" t="n">
        <v>1</v>
      </c>
      <c r="X91" s="6" t="n">
        <v>8</v>
      </c>
      <c r="Y91" s="41"/>
      <c r="Z91" s="6" t="s">
        <v>751</v>
      </c>
      <c r="AA91" s="9" t="s">
        <v>528</v>
      </c>
      <c r="AB91" s="9" t="s">
        <v>850</v>
      </c>
      <c r="AE91" s="37" t="n">
        <f aca="false">COUNTIF(環境認証!$A$2:$A$849,A91)</f>
        <v>0</v>
      </c>
      <c r="AF91" s="6" t="n">
        <v>31.8</v>
      </c>
      <c r="AG91" s="6" t="n">
        <v>44.4</v>
      </c>
    </row>
    <row r="92" customFormat="false" ht="15" hidden="false" customHeight="true" outlineLevel="0" collapsed="false">
      <c r="A92" s="6" t="s">
        <v>851</v>
      </c>
      <c r="B92" s="6" t="s">
        <v>396</v>
      </c>
      <c r="C92" s="9" t="s">
        <v>852</v>
      </c>
      <c r="D92" s="9" t="s">
        <v>522</v>
      </c>
      <c r="E92" s="9" t="s">
        <v>523</v>
      </c>
      <c r="F92" s="9" t="s">
        <v>524</v>
      </c>
      <c r="H92" s="9" t="s">
        <v>525</v>
      </c>
      <c r="J92" s="40"/>
      <c r="K92" s="38"/>
      <c r="L92" s="38"/>
      <c r="M92" s="32" t="n">
        <v>1719.51</v>
      </c>
      <c r="N92" s="6" t="n">
        <v>7</v>
      </c>
      <c r="O92" s="6" t="n">
        <v>1</v>
      </c>
      <c r="P92" s="33" t="n">
        <v>33239</v>
      </c>
      <c r="Q92" s="34" t="n">
        <f aca="false">IF(OR($A92="",P92=""),"",ROUND(YEARFRAC(P92,README!$C$5),1))</f>
        <v>35.6</v>
      </c>
      <c r="R92" s="39"/>
      <c r="S92" s="35" t="n">
        <v>1592</v>
      </c>
      <c r="T92" s="35" t="n">
        <v>1589</v>
      </c>
      <c r="U92" s="35" t="n">
        <v>1970</v>
      </c>
      <c r="V92" s="35" t="n">
        <v>381</v>
      </c>
      <c r="W92" s="31" t="n">
        <v>1</v>
      </c>
      <c r="X92" s="6" t="n">
        <v>7</v>
      </c>
      <c r="Y92" s="41"/>
      <c r="Z92" s="6" t="s">
        <v>751</v>
      </c>
      <c r="AA92" s="9" t="s">
        <v>528</v>
      </c>
      <c r="AB92" s="9" t="s">
        <v>853</v>
      </c>
      <c r="AE92" s="37" t="n">
        <f aca="false">COUNTIF(環境認証!$A$2:$A$849,A92)</f>
        <v>1</v>
      </c>
      <c r="AF92" s="6" t="n">
        <v>24</v>
      </c>
      <c r="AG92" s="6" t="n">
        <v>23.7</v>
      </c>
    </row>
    <row r="93" customFormat="false" ht="15" hidden="false" customHeight="true" outlineLevel="0" collapsed="false">
      <c r="A93" s="6" t="s">
        <v>854</v>
      </c>
      <c r="B93" s="6" t="s">
        <v>396</v>
      </c>
      <c r="C93" s="9" t="s">
        <v>855</v>
      </c>
      <c r="D93" s="9" t="s">
        <v>522</v>
      </c>
      <c r="E93" s="9" t="s">
        <v>523</v>
      </c>
      <c r="F93" s="9" t="s">
        <v>524</v>
      </c>
      <c r="H93" s="9" t="s">
        <v>525</v>
      </c>
      <c r="J93" s="40"/>
      <c r="K93" s="38"/>
      <c r="L93" s="38"/>
      <c r="M93" s="32" t="n">
        <v>3980.56</v>
      </c>
      <c r="N93" s="6" t="n">
        <v>9</v>
      </c>
      <c r="P93" s="33" t="n">
        <v>38384</v>
      </c>
      <c r="Q93" s="34" t="n">
        <f aca="false">IF(OR($A93="",P93=""),"",ROUND(YEARFRAC(P93,README!$C$5),1))</f>
        <v>21.5</v>
      </c>
      <c r="R93" s="39"/>
      <c r="S93" s="35" t="n">
        <v>4200</v>
      </c>
      <c r="T93" s="35" t="n">
        <v>4240</v>
      </c>
      <c r="U93" s="35" t="n">
        <v>6010</v>
      </c>
      <c r="V93" s="35" t="n">
        <v>1770</v>
      </c>
      <c r="W93" s="31" t="n">
        <v>1</v>
      </c>
      <c r="X93" s="6" t="n">
        <v>5</v>
      </c>
      <c r="Y93" s="41"/>
      <c r="Z93" s="6" t="s">
        <v>751</v>
      </c>
      <c r="AA93" s="9" t="s">
        <v>528</v>
      </c>
      <c r="AB93" s="9" t="s">
        <v>856</v>
      </c>
      <c r="AE93" s="37" t="n">
        <f aca="false">COUNTIF(環境認証!$A$2:$A$849,A93)</f>
        <v>0</v>
      </c>
      <c r="AF93" s="6" t="n">
        <v>41.7</v>
      </c>
      <c r="AG93" s="6" t="n">
        <v>43.1</v>
      </c>
    </row>
    <row r="94" customFormat="false" ht="15" hidden="false" customHeight="true" outlineLevel="0" collapsed="false">
      <c r="A94" s="6" t="s">
        <v>857</v>
      </c>
      <c r="B94" s="6" t="s">
        <v>396</v>
      </c>
      <c r="C94" s="9" t="s">
        <v>858</v>
      </c>
      <c r="D94" s="9" t="s">
        <v>522</v>
      </c>
      <c r="E94" s="9" t="s">
        <v>523</v>
      </c>
      <c r="F94" s="9" t="s">
        <v>524</v>
      </c>
      <c r="H94" s="9" t="s">
        <v>525</v>
      </c>
      <c r="J94" s="40"/>
      <c r="K94" s="38"/>
      <c r="L94" s="38"/>
      <c r="M94" s="32" t="n">
        <v>2211.59</v>
      </c>
      <c r="N94" s="6" t="n">
        <v>10</v>
      </c>
      <c r="O94" s="6" t="n">
        <v>1</v>
      </c>
      <c r="P94" s="33" t="n">
        <v>33086</v>
      </c>
      <c r="Q94" s="34" t="n">
        <f aca="false">IF(OR($A94="",P94=""),"",ROUND(YEARFRAC(P94,README!$C$5),1))</f>
        <v>36</v>
      </c>
      <c r="R94" s="39"/>
      <c r="S94" s="35" t="n">
        <v>2295</v>
      </c>
      <c r="T94" s="35" t="n">
        <v>2395</v>
      </c>
      <c r="U94" s="35" t="n">
        <v>3220</v>
      </c>
      <c r="V94" s="35" t="n">
        <v>825</v>
      </c>
      <c r="W94" s="31" t="n">
        <v>1</v>
      </c>
      <c r="X94" s="6" t="n">
        <v>9</v>
      </c>
      <c r="Y94" s="41"/>
      <c r="Z94" s="6" t="s">
        <v>751</v>
      </c>
      <c r="AA94" s="9" t="s">
        <v>528</v>
      </c>
      <c r="AB94" s="9" t="s">
        <v>859</v>
      </c>
      <c r="AE94" s="37" t="n">
        <f aca="false">COUNTIF(環境認証!$A$2:$A$849,A94)</f>
        <v>0</v>
      </c>
      <c r="AF94" s="6" t="n">
        <v>34.4</v>
      </c>
      <c r="AG94" s="6" t="n">
        <v>40.3</v>
      </c>
    </row>
    <row r="95" customFormat="false" ht="15" hidden="false" customHeight="true" outlineLevel="0" collapsed="false">
      <c r="A95" s="6" t="s">
        <v>860</v>
      </c>
      <c r="B95" s="6" t="s">
        <v>396</v>
      </c>
      <c r="C95" s="9" t="s">
        <v>861</v>
      </c>
      <c r="D95" s="9" t="s">
        <v>522</v>
      </c>
      <c r="E95" s="9" t="s">
        <v>523</v>
      </c>
      <c r="F95" s="9" t="s">
        <v>648</v>
      </c>
      <c r="H95" s="9" t="s">
        <v>525</v>
      </c>
      <c r="J95" s="40"/>
      <c r="K95" s="38"/>
      <c r="L95" s="38"/>
      <c r="M95" s="32" t="n">
        <v>16151.52</v>
      </c>
      <c r="N95" s="6" t="n">
        <v>18</v>
      </c>
      <c r="O95" s="6" t="n">
        <v>2</v>
      </c>
      <c r="P95" s="33" t="n">
        <v>34001</v>
      </c>
      <c r="Q95" s="34" t="n">
        <f aca="false">IF(OR($A95="",P95=""),"",ROUND(YEARFRAC(P95,README!$C$5),1))</f>
        <v>33.5</v>
      </c>
      <c r="R95" s="39"/>
      <c r="S95" s="35" t="n">
        <v>15500</v>
      </c>
      <c r="T95" s="35" t="n">
        <v>16053</v>
      </c>
      <c r="U95" s="35" t="n">
        <v>15300</v>
      </c>
      <c r="V95" s="35" t="n">
        <v>-753</v>
      </c>
      <c r="W95" s="31" t="n">
        <v>1</v>
      </c>
      <c r="X95" s="6" t="n">
        <v>11</v>
      </c>
      <c r="Y95" s="41"/>
      <c r="Z95" s="6" t="s">
        <v>751</v>
      </c>
      <c r="AA95" s="9" t="s">
        <v>528</v>
      </c>
      <c r="AB95" s="9" t="s">
        <v>862</v>
      </c>
      <c r="AE95" s="37" t="n">
        <f aca="false">COUNTIF(環境認証!$A$2:$A$849,A95)</f>
        <v>0</v>
      </c>
      <c r="AF95" s="6" t="n">
        <v>-4.7</v>
      </c>
      <c r="AG95" s="6" t="n">
        <v>-1.3</v>
      </c>
    </row>
    <row r="96" customFormat="false" ht="15" hidden="false" customHeight="true" outlineLevel="0" collapsed="false">
      <c r="A96" s="6" t="s">
        <v>863</v>
      </c>
      <c r="B96" s="6" t="s">
        <v>396</v>
      </c>
      <c r="C96" s="9" t="s">
        <v>864</v>
      </c>
      <c r="D96" s="9" t="s">
        <v>522</v>
      </c>
      <c r="E96" s="9" t="s">
        <v>523</v>
      </c>
      <c r="F96" s="9" t="s">
        <v>648</v>
      </c>
      <c r="H96" s="9" t="s">
        <v>525</v>
      </c>
      <c r="J96" s="40"/>
      <c r="K96" s="38"/>
      <c r="L96" s="38"/>
      <c r="M96" s="32" t="n">
        <v>3829.4</v>
      </c>
      <c r="N96" s="6" t="n">
        <v>8</v>
      </c>
      <c r="O96" s="6" t="n">
        <v>1</v>
      </c>
      <c r="P96" s="33" t="n">
        <v>33573</v>
      </c>
      <c r="Q96" s="34" t="n">
        <f aca="false">IF(OR($A96="",P96=""),"",ROUND(YEARFRAC(P96,README!$C$5),1))</f>
        <v>34.7</v>
      </c>
      <c r="R96" s="39"/>
      <c r="S96" s="35" t="n">
        <v>3000</v>
      </c>
      <c r="T96" s="35" t="n">
        <v>3225</v>
      </c>
      <c r="U96" s="35" t="n">
        <v>3540</v>
      </c>
      <c r="V96" s="35" t="n">
        <v>315</v>
      </c>
      <c r="W96" s="31" t="n">
        <v>1</v>
      </c>
      <c r="X96" s="6" t="n">
        <v>8</v>
      </c>
      <c r="Y96" s="41"/>
      <c r="Z96" s="6" t="s">
        <v>751</v>
      </c>
      <c r="AA96" s="9" t="s">
        <v>528</v>
      </c>
      <c r="AB96" s="9" t="s">
        <v>865</v>
      </c>
      <c r="AE96" s="37" t="n">
        <f aca="false">COUNTIF(環境認証!$A$2:$A$849,A96)</f>
        <v>0</v>
      </c>
      <c r="AF96" s="6" t="n">
        <v>9.8</v>
      </c>
      <c r="AG96" s="6" t="n">
        <v>18</v>
      </c>
    </row>
    <row r="97" customFormat="false" ht="15" hidden="false" customHeight="true" outlineLevel="0" collapsed="false">
      <c r="A97" s="6" t="s">
        <v>866</v>
      </c>
      <c r="B97" s="6" t="s">
        <v>396</v>
      </c>
      <c r="C97" s="9" t="s">
        <v>867</v>
      </c>
      <c r="D97" s="9" t="s">
        <v>522</v>
      </c>
      <c r="E97" s="9" t="s">
        <v>523</v>
      </c>
      <c r="F97" s="9" t="s">
        <v>666</v>
      </c>
      <c r="H97" s="9" t="s">
        <v>525</v>
      </c>
      <c r="J97" s="40"/>
      <c r="K97" s="38"/>
      <c r="L97" s="38"/>
      <c r="M97" s="32" t="n">
        <v>11227.13</v>
      </c>
      <c r="N97" s="6" t="n">
        <v>12</v>
      </c>
      <c r="O97" s="6" t="n">
        <v>1</v>
      </c>
      <c r="P97" s="33" t="n">
        <v>39448</v>
      </c>
      <c r="Q97" s="34" t="n">
        <f aca="false">IF(OR($A97="",P97=""),"",ROUND(YEARFRAC(P97,README!$C$5),1))</f>
        <v>18.6</v>
      </c>
      <c r="R97" s="39"/>
      <c r="S97" s="35" t="n">
        <v>11200</v>
      </c>
      <c r="T97" s="35" t="n">
        <v>11019</v>
      </c>
      <c r="U97" s="35" t="n">
        <v>12000</v>
      </c>
      <c r="V97" s="35" t="n">
        <v>981</v>
      </c>
      <c r="W97" s="31" t="n">
        <v>1</v>
      </c>
      <c r="X97" s="6" t="n">
        <v>12</v>
      </c>
      <c r="Y97" s="41"/>
      <c r="Z97" s="6" t="s">
        <v>751</v>
      </c>
      <c r="AA97" s="9" t="s">
        <v>528</v>
      </c>
      <c r="AB97" s="9" t="s">
        <v>868</v>
      </c>
      <c r="AE97" s="37" t="n">
        <f aca="false">COUNTIF(環境認証!$A$2:$A$849,A97)</f>
        <v>1</v>
      </c>
      <c r="AF97" s="6" t="n">
        <v>8.9</v>
      </c>
      <c r="AG97" s="6" t="n">
        <v>7.1</v>
      </c>
    </row>
    <row r="98" customFormat="false" ht="15" hidden="false" customHeight="true" outlineLevel="0" collapsed="false">
      <c r="A98" s="6" t="s">
        <v>869</v>
      </c>
      <c r="B98" s="6" t="s">
        <v>396</v>
      </c>
      <c r="C98" s="9" t="s">
        <v>870</v>
      </c>
      <c r="D98" s="9" t="s">
        <v>522</v>
      </c>
      <c r="E98" s="9" t="s">
        <v>523</v>
      </c>
      <c r="F98" s="9" t="s">
        <v>532</v>
      </c>
      <c r="H98" s="9" t="s">
        <v>525</v>
      </c>
      <c r="J98" s="40"/>
      <c r="K98" s="38"/>
      <c r="L98" s="38"/>
      <c r="M98" s="32" t="n">
        <v>2101.61</v>
      </c>
      <c r="N98" s="6" t="n">
        <v>8</v>
      </c>
      <c r="P98" s="33" t="n">
        <v>42795</v>
      </c>
      <c r="Q98" s="34" t="n">
        <f aca="false">IF(OR($A98="",P98=""),"",ROUND(YEARFRAC(P98,README!$C$5),1))</f>
        <v>9.4</v>
      </c>
      <c r="R98" s="39"/>
      <c r="S98" s="35" t="n">
        <v>2635</v>
      </c>
      <c r="T98" s="35" t="n">
        <v>1527</v>
      </c>
      <c r="U98" s="35" t="n">
        <v>4270</v>
      </c>
      <c r="V98" s="35" t="n">
        <v>2743</v>
      </c>
      <c r="W98" s="31" t="n">
        <v>1</v>
      </c>
      <c r="X98" s="6" t="n">
        <v>1</v>
      </c>
      <c r="Y98" s="41"/>
      <c r="Z98" s="6" t="s">
        <v>751</v>
      </c>
      <c r="AA98" s="9" t="s">
        <v>528</v>
      </c>
      <c r="AB98" s="9" t="s">
        <v>868</v>
      </c>
      <c r="AE98" s="37" t="n">
        <f aca="false">COUNTIF(環境認証!$A$2:$A$849,A98)</f>
        <v>1</v>
      </c>
      <c r="AF98" s="6" t="n">
        <v>179.6</v>
      </c>
      <c r="AG98" s="6" t="n">
        <v>62</v>
      </c>
    </row>
    <row r="99" customFormat="false" ht="15" hidden="false" customHeight="true" outlineLevel="0" collapsed="false">
      <c r="A99" s="6" t="s">
        <v>871</v>
      </c>
      <c r="B99" s="6" t="s">
        <v>396</v>
      </c>
      <c r="C99" s="9" t="s">
        <v>872</v>
      </c>
      <c r="D99" s="9" t="s">
        <v>522</v>
      </c>
      <c r="E99" s="9" t="s">
        <v>523</v>
      </c>
      <c r="F99" s="9" t="s">
        <v>666</v>
      </c>
      <c r="H99" s="9" t="s">
        <v>525</v>
      </c>
      <c r="J99" s="40"/>
      <c r="K99" s="38"/>
      <c r="L99" s="38"/>
      <c r="M99" s="32" t="n">
        <v>1837.05</v>
      </c>
      <c r="N99" s="6" t="n">
        <v>8</v>
      </c>
      <c r="P99" s="33" t="n">
        <v>40179</v>
      </c>
      <c r="Q99" s="34" t="n">
        <f aca="false">IF(OR($A99="",P99=""),"",ROUND(YEARFRAC(P99,README!$C$5),1))</f>
        <v>16.6</v>
      </c>
      <c r="R99" s="39"/>
      <c r="S99" s="35" t="n">
        <v>3521</v>
      </c>
      <c r="T99" s="35" t="n">
        <v>3544</v>
      </c>
      <c r="U99" s="35" t="n">
        <v>3990</v>
      </c>
      <c r="V99" s="35" t="n">
        <v>446</v>
      </c>
      <c r="W99" s="31" t="n">
        <v>1</v>
      </c>
      <c r="X99" s="6" t="n">
        <v>9</v>
      </c>
      <c r="Y99" s="41"/>
      <c r="Z99" s="6" t="s">
        <v>751</v>
      </c>
      <c r="AA99" s="9" t="s">
        <v>528</v>
      </c>
      <c r="AB99" s="9" t="s">
        <v>873</v>
      </c>
      <c r="AE99" s="37" t="n">
        <f aca="false">COUNTIF(環境認証!$A$2:$A$849,A99)</f>
        <v>1</v>
      </c>
      <c r="AF99" s="6" t="n">
        <v>12.6</v>
      </c>
      <c r="AG99" s="6" t="n">
        <v>13.3</v>
      </c>
    </row>
    <row r="100" customFormat="false" ht="15" hidden="false" customHeight="true" outlineLevel="0" collapsed="false">
      <c r="A100" s="6" t="s">
        <v>874</v>
      </c>
      <c r="B100" s="6" t="s">
        <v>396</v>
      </c>
      <c r="C100" s="9" t="s">
        <v>875</v>
      </c>
      <c r="D100" s="9" t="s">
        <v>522</v>
      </c>
      <c r="E100" s="9" t="s">
        <v>523</v>
      </c>
      <c r="F100" s="9" t="s">
        <v>666</v>
      </c>
      <c r="H100" s="9" t="s">
        <v>525</v>
      </c>
      <c r="J100" s="40"/>
      <c r="K100" s="38"/>
      <c r="L100" s="38"/>
      <c r="M100" s="32" t="n">
        <v>3677.63</v>
      </c>
      <c r="N100" s="6" t="n">
        <v>10</v>
      </c>
      <c r="P100" s="33" t="n">
        <v>44866</v>
      </c>
      <c r="Q100" s="34" t="n">
        <f aca="false">IF(OR($A100="",P100=""),"",ROUND(YEARFRAC(P100,README!$C$5),1))</f>
        <v>3.8</v>
      </c>
      <c r="R100" s="39"/>
      <c r="S100" s="35" t="n">
        <v>5733</v>
      </c>
      <c r="T100" s="35" t="n">
        <v>5586</v>
      </c>
      <c r="U100" s="35" t="n">
        <v>7040</v>
      </c>
      <c r="V100" s="35" t="n">
        <v>1454</v>
      </c>
      <c r="W100" s="31" t="n">
        <v>1</v>
      </c>
      <c r="X100" s="6" t="n">
        <v>5</v>
      </c>
      <c r="Y100" s="41"/>
      <c r="Z100" s="6" t="s">
        <v>751</v>
      </c>
      <c r="AA100" s="9" t="s">
        <v>528</v>
      </c>
      <c r="AB100" s="9" t="s">
        <v>876</v>
      </c>
      <c r="AE100" s="37" t="n">
        <f aca="false">COUNTIF(環境認証!$A$2:$A$849,A100)</f>
        <v>1</v>
      </c>
      <c r="AF100" s="6" t="n">
        <v>26</v>
      </c>
      <c r="AG100" s="6" t="n">
        <v>22.8</v>
      </c>
    </row>
    <row r="101" customFormat="false" ht="15" hidden="false" customHeight="true" outlineLevel="0" collapsed="false">
      <c r="A101" s="6" t="s">
        <v>877</v>
      </c>
      <c r="B101" s="6" t="s">
        <v>396</v>
      </c>
      <c r="C101" s="9" t="s">
        <v>878</v>
      </c>
      <c r="D101" s="9" t="s">
        <v>522</v>
      </c>
      <c r="E101" s="9" t="s">
        <v>523</v>
      </c>
      <c r="F101" s="9" t="s">
        <v>524</v>
      </c>
      <c r="H101" s="9" t="s">
        <v>525</v>
      </c>
      <c r="J101" s="40"/>
      <c r="K101" s="38"/>
      <c r="L101" s="38"/>
      <c r="M101" s="32" t="n">
        <v>1224</v>
      </c>
      <c r="N101" s="6" t="n">
        <v>10</v>
      </c>
      <c r="O101" s="6" t="n">
        <v>1</v>
      </c>
      <c r="P101" s="33" t="n">
        <v>40026</v>
      </c>
      <c r="Q101" s="34" t="n">
        <f aca="false">IF(OR($A101="",P101=""),"",ROUND(YEARFRAC(P101,README!$C$5),1))</f>
        <v>17</v>
      </c>
      <c r="R101" s="39"/>
      <c r="S101" s="35" t="n">
        <v>1970</v>
      </c>
      <c r="T101" s="35" t="n">
        <v>2026</v>
      </c>
      <c r="U101" s="35" t="n">
        <v>2170</v>
      </c>
      <c r="V101" s="35" t="n">
        <v>144</v>
      </c>
      <c r="W101" s="31" t="n">
        <v>0.955</v>
      </c>
      <c r="X101" s="6" t="n">
        <v>11</v>
      </c>
      <c r="Y101" s="41"/>
      <c r="Z101" s="6" t="s">
        <v>751</v>
      </c>
      <c r="AA101" s="9" t="s">
        <v>528</v>
      </c>
      <c r="AB101" s="9" t="s">
        <v>856</v>
      </c>
      <c r="AE101" s="37" t="n">
        <f aca="false">COUNTIF(環境認証!$A$2:$A$849,A101)</f>
        <v>0</v>
      </c>
      <c r="AF101" s="6" t="n">
        <v>7.1</v>
      </c>
      <c r="AG101" s="6" t="n">
        <v>10.2</v>
      </c>
    </row>
    <row r="102" customFormat="false" ht="15" hidden="false" customHeight="true" outlineLevel="0" collapsed="false">
      <c r="A102" s="6" t="s">
        <v>879</v>
      </c>
      <c r="B102" s="6" t="s">
        <v>396</v>
      </c>
      <c r="C102" s="9" t="s">
        <v>880</v>
      </c>
      <c r="D102" s="9" t="s">
        <v>522</v>
      </c>
      <c r="E102" s="9" t="s">
        <v>523</v>
      </c>
      <c r="H102" s="9" t="s">
        <v>525</v>
      </c>
      <c r="J102" s="40"/>
      <c r="K102" s="38"/>
      <c r="L102" s="38"/>
      <c r="M102" s="32" t="n">
        <v>9385.73</v>
      </c>
      <c r="N102" s="6" t="n">
        <v>12</v>
      </c>
      <c r="O102" s="6" t="n">
        <v>1</v>
      </c>
      <c r="P102" s="33" t="n">
        <v>45444</v>
      </c>
      <c r="Q102" s="34" t="n">
        <f aca="false">IF(OR($A102="",P102=""),"",ROUND(YEARFRAC(P102,README!$C$5),1))</f>
        <v>2.2</v>
      </c>
      <c r="R102" s="39"/>
      <c r="S102" s="35" t="n">
        <v>15503</v>
      </c>
      <c r="T102" s="35" t="n">
        <v>15731</v>
      </c>
      <c r="U102" s="35" t="n">
        <v>20600</v>
      </c>
      <c r="V102" s="35" t="n">
        <v>4869</v>
      </c>
      <c r="W102" s="31" t="n">
        <v>1</v>
      </c>
      <c r="X102" s="6" t="n">
        <v>9</v>
      </c>
      <c r="Y102" s="41"/>
      <c r="Z102" s="6" t="s">
        <v>751</v>
      </c>
      <c r="AA102" s="9" t="s">
        <v>528</v>
      </c>
      <c r="AB102" s="9" t="s">
        <v>881</v>
      </c>
      <c r="AE102" s="37" t="n">
        <f aca="false">COUNTIF(環境認証!$A$2:$A$849,A102)</f>
        <v>1</v>
      </c>
      <c r="AF102" s="6" t="n">
        <v>31</v>
      </c>
      <c r="AG102" s="6" t="n">
        <v>32.9</v>
      </c>
    </row>
    <row r="103" customFormat="false" ht="15" hidden="false" customHeight="true" outlineLevel="0" collapsed="false">
      <c r="A103" s="6" t="s">
        <v>882</v>
      </c>
      <c r="B103" s="6" t="s">
        <v>396</v>
      </c>
      <c r="C103" s="9" t="s">
        <v>883</v>
      </c>
      <c r="D103" s="9" t="s">
        <v>522</v>
      </c>
      <c r="E103" s="9" t="s">
        <v>523</v>
      </c>
      <c r="F103" s="9" t="s">
        <v>666</v>
      </c>
      <c r="H103" s="9" t="s">
        <v>525</v>
      </c>
      <c r="J103" s="40"/>
      <c r="K103" s="38"/>
      <c r="L103" s="38"/>
      <c r="M103" s="32" t="n">
        <v>3757.52</v>
      </c>
      <c r="N103" s="6" t="n">
        <v>11</v>
      </c>
      <c r="O103" s="6" t="n">
        <v>1</v>
      </c>
      <c r="P103" s="33" t="n">
        <v>45017</v>
      </c>
      <c r="Q103" s="34" t="n">
        <f aca="false">IF(OR($A103="",P103=""),"",ROUND(YEARFRAC(P103,README!$C$5),1))</f>
        <v>3.4</v>
      </c>
      <c r="R103" s="39"/>
      <c r="S103" s="35" t="n">
        <v>6300</v>
      </c>
      <c r="T103" s="35" t="n">
        <v>6503</v>
      </c>
      <c r="U103" s="35" t="n">
        <v>6910</v>
      </c>
      <c r="V103" s="35" t="n">
        <v>407</v>
      </c>
      <c r="W103" s="31" t="n">
        <v>1</v>
      </c>
      <c r="X103" s="6" t="n">
        <v>6</v>
      </c>
      <c r="Y103" s="41"/>
      <c r="Z103" s="6" t="s">
        <v>751</v>
      </c>
      <c r="AA103" s="9" t="s">
        <v>528</v>
      </c>
      <c r="AB103" s="9" t="s">
        <v>884</v>
      </c>
      <c r="AE103" s="37" t="n">
        <f aca="false">COUNTIF(環境認証!$A$2:$A$849,A103)</f>
        <v>1</v>
      </c>
      <c r="AF103" s="6" t="n">
        <v>6.3</v>
      </c>
      <c r="AG103" s="6" t="n">
        <v>9.7</v>
      </c>
    </row>
    <row r="104" customFormat="false" ht="15" hidden="false" customHeight="true" outlineLevel="0" collapsed="false">
      <c r="A104" s="6" t="s">
        <v>885</v>
      </c>
      <c r="B104" s="6" t="s">
        <v>396</v>
      </c>
      <c r="C104" s="9" t="s">
        <v>886</v>
      </c>
      <c r="D104" s="9" t="s">
        <v>522</v>
      </c>
      <c r="E104" s="9" t="s">
        <v>523</v>
      </c>
      <c r="F104" s="9" t="s">
        <v>532</v>
      </c>
      <c r="H104" s="9" t="s">
        <v>525</v>
      </c>
      <c r="J104" s="40"/>
      <c r="K104" s="38"/>
      <c r="L104" s="38"/>
      <c r="M104" s="32" t="n">
        <v>2309.1</v>
      </c>
      <c r="N104" s="6" t="n">
        <v>11</v>
      </c>
      <c r="P104" s="33" t="n">
        <v>44927</v>
      </c>
      <c r="Q104" s="34" t="n">
        <f aca="false">IF(OR($A104="",P104=""),"",ROUND(YEARFRAC(P104,README!$C$5),1))</f>
        <v>3.6</v>
      </c>
      <c r="R104" s="39"/>
      <c r="S104" s="35" t="n">
        <v>7150</v>
      </c>
      <c r="T104" s="35" t="n">
        <v>7442</v>
      </c>
      <c r="U104" s="35" t="n">
        <v>7310</v>
      </c>
      <c r="V104" s="35" t="n">
        <v>-132</v>
      </c>
      <c r="W104" s="31" t="n">
        <v>1</v>
      </c>
      <c r="X104" s="6" t="n">
        <v>8</v>
      </c>
      <c r="Y104" s="41"/>
      <c r="Z104" s="6" t="s">
        <v>751</v>
      </c>
      <c r="AA104" s="9" t="s">
        <v>528</v>
      </c>
      <c r="AB104" s="9" t="s">
        <v>887</v>
      </c>
      <c r="AE104" s="37" t="n">
        <f aca="false">COUNTIF(環境認証!$A$2:$A$849,A104)</f>
        <v>0</v>
      </c>
      <c r="AF104" s="6" t="n">
        <v>-1.8</v>
      </c>
      <c r="AG104" s="6" t="n">
        <v>2.2</v>
      </c>
    </row>
    <row r="105" customFormat="false" ht="15" hidden="false" customHeight="true" outlineLevel="0" collapsed="false">
      <c r="A105" s="6" t="s">
        <v>888</v>
      </c>
      <c r="B105" s="6" t="s">
        <v>396</v>
      </c>
      <c r="C105" s="9" t="s">
        <v>889</v>
      </c>
      <c r="D105" s="9" t="s">
        <v>522</v>
      </c>
      <c r="E105" s="9" t="s">
        <v>523</v>
      </c>
      <c r="F105" s="9" t="s">
        <v>648</v>
      </c>
      <c r="H105" s="9" t="s">
        <v>525</v>
      </c>
      <c r="J105" s="40"/>
      <c r="K105" s="38"/>
      <c r="L105" s="38"/>
      <c r="M105" s="32" t="n">
        <v>6177.74</v>
      </c>
      <c r="N105" s="6" t="n">
        <v>8</v>
      </c>
      <c r="P105" s="33" t="n">
        <v>39934</v>
      </c>
      <c r="Q105" s="34" t="n">
        <f aca="false">IF(OR($A105="",P105=""),"",ROUND(YEARFRAC(P105,README!$C$5),1))</f>
        <v>17.3</v>
      </c>
      <c r="R105" s="39"/>
      <c r="S105" s="35" t="n">
        <v>19400</v>
      </c>
      <c r="T105" s="35" t="n">
        <v>20149</v>
      </c>
      <c r="U105" s="35" t="n">
        <v>20600</v>
      </c>
      <c r="V105" s="35" t="n">
        <v>451</v>
      </c>
      <c r="W105" s="31" t="n">
        <v>1</v>
      </c>
      <c r="X105" s="6" t="n">
        <v>7</v>
      </c>
      <c r="Y105" s="41"/>
      <c r="Z105" s="6" t="s">
        <v>751</v>
      </c>
      <c r="AA105" s="9" t="s">
        <v>528</v>
      </c>
      <c r="AB105" s="9" t="s">
        <v>890</v>
      </c>
      <c r="AE105" s="37" t="n">
        <f aca="false">COUNTIF(環境認証!$A$2:$A$849,A105)</f>
        <v>1</v>
      </c>
      <c r="AF105" s="6" t="n">
        <v>2.2</v>
      </c>
      <c r="AG105" s="6" t="n">
        <v>6.2</v>
      </c>
    </row>
    <row r="106" customFormat="false" ht="15" hidden="false" customHeight="true" outlineLevel="0" collapsed="false">
      <c r="A106" s="6" t="s">
        <v>891</v>
      </c>
      <c r="B106" s="6" t="s">
        <v>396</v>
      </c>
      <c r="C106" s="9" t="s">
        <v>892</v>
      </c>
      <c r="D106" s="9" t="s">
        <v>522</v>
      </c>
      <c r="E106" s="9" t="s">
        <v>523</v>
      </c>
      <c r="F106" s="9" t="s">
        <v>893</v>
      </c>
      <c r="H106" s="9" t="s">
        <v>540</v>
      </c>
      <c r="J106" s="40"/>
      <c r="K106" s="38"/>
      <c r="L106" s="38"/>
      <c r="M106" s="32" t="n">
        <v>4462.28</v>
      </c>
      <c r="N106" s="6" t="n">
        <v>9</v>
      </c>
      <c r="O106" s="6" t="n">
        <v>1</v>
      </c>
      <c r="P106" s="33" t="n">
        <v>34121</v>
      </c>
      <c r="Q106" s="34" t="n">
        <f aca="false">IF(OR($A106="",P106=""),"",ROUND(YEARFRAC(P106,README!$C$5),1))</f>
        <v>33.2</v>
      </c>
      <c r="R106" s="39"/>
      <c r="S106" s="35" t="n">
        <v>2958</v>
      </c>
      <c r="T106" s="35" t="n">
        <v>2554</v>
      </c>
      <c r="U106" s="35" t="n">
        <v>4290</v>
      </c>
      <c r="V106" s="35" t="n">
        <v>1736</v>
      </c>
      <c r="W106" s="31" t="n">
        <v>1</v>
      </c>
      <c r="X106" s="6" t="n">
        <v>7</v>
      </c>
      <c r="Y106" s="41"/>
      <c r="Z106" s="6" t="s">
        <v>751</v>
      </c>
      <c r="AA106" s="9" t="s">
        <v>528</v>
      </c>
      <c r="AB106" s="9" t="s">
        <v>894</v>
      </c>
      <c r="AE106" s="37" t="n">
        <f aca="false">COUNTIF(環境認証!$A$2:$A$849,A106)</f>
        <v>1</v>
      </c>
      <c r="AF106" s="6" t="n">
        <v>68</v>
      </c>
      <c r="AG106" s="6" t="n">
        <v>45</v>
      </c>
    </row>
    <row r="107" customFormat="false" ht="15" hidden="false" customHeight="true" outlineLevel="0" collapsed="false">
      <c r="A107" s="6" t="s">
        <v>895</v>
      </c>
      <c r="B107" s="6" t="s">
        <v>396</v>
      </c>
      <c r="C107" s="9" t="s">
        <v>896</v>
      </c>
      <c r="D107" s="9" t="s">
        <v>522</v>
      </c>
      <c r="E107" s="9" t="s">
        <v>523</v>
      </c>
      <c r="F107" s="9" t="s">
        <v>625</v>
      </c>
      <c r="H107" s="9" t="s">
        <v>540</v>
      </c>
      <c r="J107" s="40"/>
      <c r="K107" s="38"/>
      <c r="L107" s="38"/>
      <c r="M107" s="32" t="n">
        <v>6546.03</v>
      </c>
      <c r="N107" s="6" t="n">
        <v>11</v>
      </c>
      <c r="O107" s="6" t="n">
        <v>1</v>
      </c>
      <c r="P107" s="33" t="n">
        <v>33420</v>
      </c>
      <c r="Q107" s="34" t="n">
        <f aca="false">IF(OR($A107="",P107=""),"",ROUND(YEARFRAC(P107,README!$C$5),1))</f>
        <v>35.1</v>
      </c>
      <c r="R107" s="39"/>
      <c r="S107" s="35" t="n">
        <v>7710</v>
      </c>
      <c r="T107" s="35" t="n">
        <v>6849</v>
      </c>
      <c r="U107" s="35" t="n">
        <v>6780</v>
      </c>
      <c r="V107" s="35" t="n">
        <v>-69</v>
      </c>
      <c r="W107" s="31" t="n">
        <v>1</v>
      </c>
      <c r="X107" s="6" t="n">
        <v>12</v>
      </c>
      <c r="Y107" s="41"/>
      <c r="Z107" s="6" t="s">
        <v>751</v>
      </c>
      <c r="AA107" s="9" t="s">
        <v>528</v>
      </c>
      <c r="AB107" s="9" t="s">
        <v>789</v>
      </c>
      <c r="AE107" s="37" t="n">
        <f aca="false">COUNTIF(環境認証!$A$2:$A$849,A107)</f>
        <v>1</v>
      </c>
      <c r="AF107" s="6" t="n">
        <v>-1</v>
      </c>
      <c r="AG107" s="6" t="n">
        <v>-12.1</v>
      </c>
    </row>
    <row r="108" customFormat="false" ht="15" hidden="false" customHeight="true" outlineLevel="0" collapsed="false">
      <c r="A108" s="6" t="s">
        <v>897</v>
      </c>
      <c r="B108" s="6" t="s">
        <v>396</v>
      </c>
      <c r="C108" s="9" t="s">
        <v>898</v>
      </c>
      <c r="D108" s="9" t="s">
        <v>522</v>
      </c>
      <c r="E108" s="9" t="s">
        <v>547</v>
      </c>
      <c r="F108" s="9" t="s">
        <v>701</v>
      </c>
      <c r="H108" s="9" t="s">
        <v>550</v>
      </c>
      <c r="J108" s="40"/>
      <c r="K108" s="38"/>
      <c r="L108" s="38"/>
      <c r="M108" s="32" t="n">
        <v>2630.3</v>
      </c>
      <c r="N108" s="6" t="n">
        <v>7</v>
      </c>
      <c r="O108" s="6" t="n">
        <v>3</v>
      </c>
      <c r="P108" s="33" t="n">
        <v>40664</v>
      </c>
      <c r="Q108" s="34" t="n">
        <f aca="false">IF(OR($A108="",P108=""),"",ROUND(YEARFRAC(P108,README!$C$5),1))</f>
        <v>15.3</v>
      </c>
      <c r="R108" s="39"/>
      <c r="S108" s="35" t="n">
        <v>2000</v>
      </c>
      <c r="T108" s="35" t="n">
        <v>1659</v>
      </c>
      <c r="U108" s="35" t="n">
        <v>2950</v>
      </c>
      <c r="V108" s="35" t="n">
        <v>1291</v>
      </c>
      <c r="W108" s="31" t="n">
        <v>0.937</v>
      </c>
      <c r="X108" s="6" t="n">
        <v>8</v>
      </c>
      <c r="Y108" s="41"/>
      <c r="Z108" s="6" t="s">
        <v>751</v>
      </c>
      <c r="AA108" s="9" t="s">
        <v>528</v>
      </c>
      <c r="AB108" s="9" t="s">
        <v>899</v>
      </c>
      <c r="AE108" s="37" t="n">
        <f aca="false">COUNTIF(環境認証!$A$2:$A$849,A108)</f>
        <v>0</v>
      </c>
      <c r="AF108" s="6" t="n">
        <v>77.8</v>
      </c>
      <c r="AG108" s="6" t="n">
        <v>47.5</v>
      </c>
    </row>
    <row r="109" customFormat="false" ht="15" hidden="false" customHeight="true" outlineLevel="0" collapsed="false">
      <c r="A109" s="6" t="s">
        <v>900</v>
      </c>
      <c r="B109" s="6" t="s">
        <v>396</v>
      </c>
      <c r="C109" s="9" t="s">
        <v>901</v>
      </c>
      <c r="D109" s="9" t="s">
        <v>522</v>
      </c>
      <c r="E109" s="9" t="s">
        <v>523</v>
      </c>
      <c r="F109" s="9" t="s">
        <v>902</v>
      </c>
      <c r="H109" s="9" t="s">
        <v>540</v>
      </c>
      <c r="J109" s="40"/>
      <c r="K109" s="38"/>
      <c r="L109" s="38"/>
      <c r="M109" s="32" t="n">
        <v>17778.14</v>
      </c>
      <c r="N109" s="6" t="n">
        <v>18</v>
      </c>
      <c r="O109" s="6" t="n">
        <v>2</v>
      </c>
      <c r="P109" s="33" t="n">
        <v>34121</v>
      </c>
      <c r="Q109" s="34" t="n">
        <f aca="false">IF(OR($A109="",P109=""),"",ROUND(YEARFRAC(P109,README!$C$5),1))</f>
        <v>33.2</v>
      </c>
      <c r="R109" s="39"/>
      <c r="S109" s="35" t="n">
        <v>15220</v>
      </c>
      <c r="T109" s="35" t="n">
        <v>15553</v>
      </c>
      <c r="U109" s="35" t="n">
        <v>23300</v>
      </c>
      <c r="V109" s="35" t="n">
        <v>7747</v>
      </c>
      <c r="W109" s="31" t="n">
        <v>1</v>
      </c>
      <c r="X109" s="6" t="n">
        <v>10</v>
      </c>
      <c r="Y109" s="41"/>
      <c r="Z109" s="6" t="s">
        <v>751</v>
      </c>
      <c r="AA109" s="9" t="s">
        <v>528</v>
      </c>
      <c r="AB109" s="9" t="s">
        <v>903</v>
      </c>
      <c r="AE109" s="37" t="n">
        <f aca="false">COUNTIF(環境認証!$A$2:$A$849,A109)</f>
        <v>0</v>
      </c>
      <c r="AF109" s="6" t="n">
        <v>49.8</v>
      </c>
      <c r="AG109" s="6" t="n">
        <v>53.1</v>
      </c>
    </row>
    <row r="110" customFormat="false" ht="15" hidden="false" customHeight="true" outlineLevel="0" collapsed="false">
      <c r="A110" s="6" t="s">
        <v>904</v>
      </c>
      <c r="B110" s="6" t="s">
        <v>396</v>
      </c>
      <c r="C110" s="9" t="s">
        <v>905</v>
      </c>
      <c r="D110" s="9" t="s">
        <v>522</v>
      </c>
      <c r="E110" s="9" t="s">
        <v>523</v>
      </c>
      <c r="F110" s="9" t="s">
        <v>906</v>
      </c>
      <c r="H110" s="9" t="s">
        <v>540</v>
      </c>
      <c r="J110" s="40"/>
      <c r="K110" s="38"/>
      <c r="L110" s="38"/>
      <c r="M110" s="32" t="n">
        <v>3519.5</v>
      </c>
      <c r="N110" s="6" t="n">
        <v>14</v>
      </c>
      <c r="O110" s="6" t="n">
        <v>2</v>
      </c>
      <c r="P110" s="33" t="n">
        <v>39995</v>
      </c>
      <c r="Q110" s="34" t="n">
        <f aca="false">IF(OR($A110="",P110=""),"",ROUND(YEARFRAC(P110,README!$C$5),1))</f>
        <v>17.1</v>
      </c>
      <c r="R110" s="39"/>
      <c r="S110" s="35" t="n">
        <v>5600</v>
      </c>
      <c r="T110" s="35" t="n">
        <v>5232</v>
      </c>
      <c r="U110" s="35" t="n">
        <v>7390</v>
      </c>
      <c r="V110" s="35" t="n">
        <v>2158</v>
      </c>
      <c r="W110" s="31" t="n">
        <v>0.966</v>
      </c>
      <c r="X110" s="6" t="n">
        <v>18</v>
      </c>
      <c r="Y110" s="41"/>
      <c r="Z110" s="6" t="s">
        <v>751</v>
      </c>
      <c r="AA110" s="9" t="s">
        <v>528</v>
      </c>
      <c r="AB110" s="9" t="s">
        <v>834</v>
      </c>
      <c r="AE110" s="37" t="n">
        <f aca="false">COUNTIF(環境認証!$A$2:$A$849,A110)</f>
        <v>0</v>
      </c>
      <c r="AF110" s="6" t="n">
        <v>41.2</v>
      </c>
      <c r="AG110" s="6" t="n">
        <v>32</v>
      </c>
    </row>
    <row r="111" customFormat="false" ht="15" hidden="false" customHeight="true" outlineLevel="0" collapsed="false">
      <c r="A111" s="6" t="s">
        <v>907</v>
      </c>
      <c r="B111" s="6" t="s">
        <v>396</v>
      </c>
      <c r="C111" s="9" t="s">
        <v>908</v>
      </c>
      <c r="D111" s="9" t="s">
        <v>522</v>
      </c>
      <c r="E111" s="9" t="s">
        <v>523</v>
      </c>
      <c r="F111" s="9" t="s">
        <v>902</v>
      </c>
      <c r="H111" s="9" t="s">
        <v>540</v>
      </c>
      <c r="J111" s="40"/>
      <c r="K111" s="38"/>
      <c r="L111" s="38"/>
      <c r="M111" s="32" t="n">
        <v>3849.63</v>
      </c>
      <c r="N111" s="6" t="n">
        <v>7</v>
      </c>
      <c r="O111" s="6" t="n">
        <v>1</v>
      </c>
      <c r="P111" s="33" t="n">
        <v>33178</v>
      </c>
      <c r="Q111" s="34" t="n">
        <f aca="false">IF(OR($A111="",P111=""),"",ROUND(YEARFRAC(P111,README!$C$5),1))</f>
        <v>35.8</v>
      </c>
      <c r="R111" s="39"/>
      <c r="S111" s="35" t="n">
        <v>3800</v>
      </c>
      <c r="T111" s="35" t="n">
        <v>4001</v>
      </c>
      <c r="U111" s="35" t="n">
        <v>5240</v>
      </c>
      <c r="V111" s="35" t="n">
        <v>1239</v>
      </c>
      <c r="W111" s="31" t="n">
        <v>1</v>
      </c>
      <c r="X111" s="6" t="n">
        <v>12</v>
      </c>
      <c r="Y111" s="41"/>
      <c r="Z111" s="6" t="s">
        <v>751</v>
      </c>
      <c r="AA111" s="9" t="s">
        <v>528</v>
      </c>
      <c r="AB111" s="9" t="s">
        <v>757</v>
      </c>
      <c r="AE111" s="37" t="n">
        <f aca="false">COUNTIF(環境認証!$A$2:$A$849,A111)</f>
        <v>1</v>
      </c>
      <c r="AF111" s="6" t="n">
        <v>31</v>
      </c>
      <c r="AG111" s="6" t="n">
        <v>37.9</v>
      </c>
    </row>
    <row r="112" customFormat="false" ht="15" hidden="false" customHeight="true" outlineLevel="0" collapsed="false">
      <c r="A112" s="6" t="s">
        <v>909</v>
      </c>
      <c r="B112" s="6" t="s">
        <v>396</v>
      </c>
      <c r="C112" s="9" t="s">
        <v>910</v>
      </c>
      <c r="D112" s="9" t="s">
        <v>522</v>
      </c>
      <c r="E112" s="9" t="s">
        <v>547</v>
      </c>
      <c r="F112" s="9" t="s">
        <v>701</v>
      </c>
      <c r="H112" s="9" t="s">
        <v>550</v>
      </c>
      <c r="J112" s="40"/>
      <c r="K112" s="38"/>
      <c r="L112" s="38"/>
      <c r="M112" s="32" t="n">
        <v>28052.98</v>
      </c>
      <c r="N112" s="6" t="n">
        <v>20</v>
      </c>
      <c r="O112" s="6" t="n">
        <v>1</v>
      </c>
      <c r="P112" s="33" t="n">
        <v>39479</v>
      </c>
      <c r="Q112" s="34" t="n">
        <f aca="false">IF(OR($A112="",P112=""),"",ROUND(YEARFRAC(P112,README!$C$5),1))</f>
        <v>18.5</v>
      </c>
      <c r="R112" s="39"/>
      <c r="S112" s="35" t="n">
        <v>38100</v>
      </c>
      <c r="T112" s="35" t="n">
        <v>37098</v>
      </c>
      <c r="U112" s="35" t="n">
        <v>42200</v>
      </c>
      <c r="V112" s="35" t="n">
        <v>5102</v>
      </c>
      <c r="W112" s="31" t="n">
        <v>1</v>
      </c>
      <c r="X112" s="6" t="n">
        <v>37</v>
      </c>
      <c r="Y112" s="41"/>
      <c r="Z112" s="6" t="s">
        <v>751</v>
      </c>
      <c r="AA112" s="9" t="s">
        <v>528</v>
      </c>
      <c r="AB112" s="9" t="s">
        <v>911</v>
      </c>
      <c r="AE112" s="37" t="n">
        <f aca="false">COUNTIF(環境認証!$A$2:$A$849,A112)</f>
        <v>2</v>
      </c>
      <c r="AF112" s="6" t="n">
        <v>13.8</v>
      </c>
      <c r="AG112" s="6" t="n">
        <v>10.8</v>
      </c>
    </row>
    <row r="113" customFormat="false" ht="15" hidden="false" customHeight="true" outlineLevel="0" collapsed="false">
      <c r="A113" s="6" t="s">
        <v>912</v>
      </c>
      <c r="B113" s="6" t="s">
        <v>396</v>
      </c>
      <c r="C113" s="9" t="s">
        <v>913</v>
      </c>
      <c r="D113" s="9" t="s">
        <v>522</v>
      </c>
      <c r="E113" s="9" t="s">
        <v>523</v>
      </c>
      <c r="F113" s="9" t="s">
        <v>625</v>
      </c>
      <c r="H113" s="9" t="s">
        <v>540</v>
      </c>
      <c r="J113" s="40"/>
      <c r="K113" s="38"/>
      <c r="L113" s="38"/>
      <c r="M113" s="32" t="n">
        <v>2396.96</v>
      </c>
      <c r="N113" s="6" t="n">
        <v>8</v>
      </c>
      <c r="P113" s="33" t="n">
        <v>33786</v>
      </c>
      <c r="Q113" s="34" t="n">
        <f aca="false">IF(OR($A113="",P113=""),"",ROUND(YEARFRAC(P113,README!$C$5),1))</f>
        <v>34.1</v>
      </c>
      <c r="R113" s="39"/>
      <c r="S113" s="35" t="n">
        <v>2500</v>
      </c>
      <c r="T113" s="35" t="n">
        <v>2619</v>
      </c>
      <c r="U113" s="35" t="n">
        <v>2880</v>
      </c>
      <c r="V113" s="35" t="n">
        <v>261</v>
      </c>
      <c r="W113" s="31" t="n">
        <v>1</v>
      </c>
      <c r="X113" s="6" t="n">
        <v>6</v>
      </c>
      <c r="Y113" s="41"/>
      <c r="Z113" s="6" t="s">
        <v>751</v>
      </c>
      <c r="AA113" s="9" t="s">
        <v>528</v>
      </c>
      <c r="AB113" s="9" t="s">
        <v>865</v>
      </c>
      <c r="AE113" s="37" t="n">
        <f aca="false">COUNTIF(環境認証!$A$2:$A$849,A113)</f>
        <v>1</v>
      </c>
      <c r="AF113" s="6" t="n">
        <v>10</v>
      </c>
      <c r="AG113" s="6" t="n">
        <v>15.2</v>
      </c>
    </row>
    <row r="114" customFormat="false" ht="15" hidden="false" customHeight="true" outlineLevel="0" collapsed="false">
      <c r="A114" s="6" t="s">
        <v>914</v>
      </c>
      <c r="B114" s="6" t="s">
        <v>396</v>
      </c>
      <c r="C114" s="9" t="s">
        <v>915</v>
      </c>
      <c r="D114" s="9" t="s">
        <v>522</v>
      </c>
      <c r="E114" s="9" t="s">
        <v>523</v>
      </c>
      <c r="F114" s="9" t="s">
        <v>916</v>
      </c>
      <c r="H114" s="9" t="s">
        <v>540</v>
      </c>
      <c r="J114" s="40"/>
      <c r="K114" s="38"/>
      <c r="L114" s="38"/>
      <c r="M114" s="32" t="n">
        <v>2716.92</v>
      </c>
      <c r="N114" s="6" t="n">
        <v>8</v>
      </c>
      <c r="O114" s="6" t="n">
        <v>1</v>
      </c>
      <c r="P114" s="33" t="n">
        <v>34700</v>
      </c>
      <c r="Q114" s="34" t="n">
        <f aca="false">IF(OR($A114="",P114=""),"",ROUND(YEARFRAC(P114,README!$C$5),1))</f>
        <v>31.6</v>
      </c>
      <c r="R114" s="39"/>
      <c r="S114" s="35" t="n">
        <v>2750</v>
      </c>
      <c r="T114" s="35" t="n">
        <v>2910</v>
      </c>
      <c r="U114" s="35" t="n">
        <v>2320</v>
      </c>
      <c r="V114" s="35" t="n">
        <v>-590</v>
      </c>
      <c r="W114" s="31" t="n">
        <v>1</v>
      </c>
      <c r="X114" s="6" t="n">
        <v>6</v>
      </c>
      <c r="Y114" s="41"/>
      <c r="Z114" s="6" t="s">
        <v>751</v>
      </c>
      <c r="AA114" s="9" t="s">
        <v>528</v>
      </c>
      <c r="AB114" s="9" t="s">
        <v>778</v>
      </c>
      <c r="AE114" s="37" t="n">
        <f aca="false">COUNTIF(環境認証!$A$2:$A$849,A114)</f>
        <v>0</v>
      </c>
      <c r="AF114" s="6" t="n">
        <v>-20.3</v>
      </c>
      <c r="AG114" s="6" t="n">
        <v>-15.6</v>
      </c>
    </row>
    <row r="115" customFormat="false" ht="15" hidden="false" customHeight="true" outlineLevel="0" collapsed="false">
      <c r="A115" s="6" t="s">
        <v>917</v>
      </c>
      <c r="B115" s="6" t="s">
        <v>396</v>
      </c>
      <c r="C115" s="9" t="s">
        <v>918</v>
      </c>
      <c r="D115" s="9" t="s">
        <v>522</v>
      </c>
      <c r="E115" s="9" t="s">
        <v>573</v>
      </c>
      <c r="F115" s="9" t="s">
        <v>680</v>
      </c>
      <c r="H115" s="9" t="s">
        <v>569</v>
      </c>
      <c r="J115" s="40"/>
      <c r="K115" s="38"/>
      <c r="L115" s="38"/>
      <c r="M115" s="32" t="n">
        <v>13517.62</v>
      </c>
      <c r="N115" s="6" t="n">
        <v>16</v>
      </c>
      <c r="O115" s="6" t="n">
        <v>1</v>
      </c>
      <c r="P115" s="33" t="n">
        <v>39479</v>
      </c>
      <c r="Q115" s="34" t="n">
        <f aca="false">IF(OR($A115="",P115=""),"",ROUND(YEARFRAC(P115,README!$C$5),1))</f>
        <v>18.5</v>
      </c>
      <c r="R115" s="39"/>
      <c r="S115" s="35" t="n">
        <v>9481</v>
      </c>
      <c r="T115" s="35" t="n">
        <v>8637</v>
      </c>
      <c r="U115" s="35" t="n">
        <v>14800</v>
      </c>
      <c r="V115" s="35" t="n">
        <v>6163</v>
      </c>
      <c r="W115" s="31" t="n">
        <v>1</v>
      </c>
      <c r="X115" s="6" t="n">
        <v>8</v>
      </c>
      <c r="Y115" s="41"/>
      <c r="Z115" s="6" t="s">
        <v>751</v>
      </c>
      <c r="AA115" s="9" t="s">
        <v>528</v>
      </c>
      <c r="AB115" s="9" t="s">
        <v>919</v>
      </c>
      <c r="AE115" s="37" t="n">
        <f aca="false">COUNTIF(環境認証!$A$2:$A$849,A115)</f>
        <v>1</v>
      </c>
      <c r="AF115" s="6" t="n">
        <v>71.4</v>
      </c>
      <c r="AG115" s="6" t="n">
        <v>56.1</v>
      </c>
    </row>
    <row r="116" customFormat="false" ht="15" hidden="false" customHeight="true" outlineLevel="0" collapsed="false">
      <c r="A116" s="6" t="s">
        <v>920</v>
      </c>
      <c r="B116" s="6" t="s">
        <v>396</v>
      </c>
      <c r="C116" s="9" t="s">
        <v>921</v>
      </c>
      <c r="D116" s="9" t="s">
        <v>522</v>
      </c>
      <c r="H116" s="6" t="s">
        <v>619</v>
      </c>
      <c r="I116" s="6" t="s">
        <v>922</v>
      </c>
      <c r="J116" s="40"/>
      <c r="K116" s="38"/>
      <c r="L116" s="38"/>
      <c r="M116" s="32" t="n">
        <v>365092.05</v>
      </c>
      <c r="P116" s="39"/>
      <c r="Q116" s="34" t="str">
        <f aca="false">IF(OR($A116="",P116=""),"",ROUND(YEARFRAC(P116,README!$C$5),1))</f>
        <v/>
      </c>
      <c r="R116" s="39"/>
      <c r="S116" s="35" t="n">
        <v>487709</v>
      </c>
      <c r="T116" s="35" t="n">
        <v>472587</v>
      </c>
      <c r="U116" s="35" t="n">
        <v>628000</v>
      </c>
      <c r="V116" s="43" t="n">
        <f aca="false">IF($A116="","",IF(OR(T116="",U116=""),"",U116-T116))</f>
        <v>155413</v>
      </c>
      <c r="W116" s="31" t="n">
        <v>0.991</v>
      </c>
      <c r="X116" s="6" t="n">
        <v>666</v>
      </c>
      <c r="Y116" s="41"/>
      <c r="Z116" s="6" t="s">
        <v>751</v>
      </c>
      <c r="AA116" s="9" t="s">
        <v>528</v>
      </c>
      <c r="AB116" s="9" t="s">
        <v>923</v>
      </c>
      <c r="AE116" s="37" t="n">
        <f aca="false">COUNTIF(環境認証!$A$2:$A$849,A116)</f>
        <v>0</v>
      </c>
    </row>
    <row r="117" customFormat="false" ht="15" hidden="false" customHeight="true" outlineLevel="0" collapsed="false">
      <c r="A117" s="6" t="s">
        <v>924</v>
      </c>
      <c r="B117" s="6" t="s">
        <v>418</v>
      </c>
      <c r="C117" s="9" t="s">
        <v>925</v>
      </c>
      <c r="D117" s="9" t="s">
        <v>522</v>
      </c>
      <c r="E117" s="9" t="s">
        <v>523</v>
      </c>
      <c r="F117" s="9" t="s">
        <v>532</v>
      </c>
      <c r="H117" s="9" t="s">
        <v>525</v>
      </c>
      <c r="I117" s="9" t="s">
        <v>926</v>
      </c>
      <c r="J117" s="40"/>
      <c r="K117" s="32" t="n">
        <v>57177.66</v>
      </c>
      <c r="L117" s="32" t="n">
        <v>442150.7</v>
      </c>
      <c r="M117" s="32" t="n">
        <v>43041.54</v>
      </c>
      <c r="N117" s="6" t="n">
        <v>54</v>
      </c>
      <c r="O117" s="6" t="n">
        <v>6</v>
      </c>
      <c r="P117" s="33" t="n">
        <v>37712</v>
      </c>
      <c r="Q117" s="34" t="n">
        <f aca="false">IF(OR($A117="",P117=""),"",ROUND(YEARFRAC(P117,README!$C$5),1))</f>
        <v>23.4</v>
      </c>
      <c r="R117" s="39"/>
      <c r="S117" s="35" t="n">
        <v>115380</v>
      </c>
      <c r="T117" s="35" t="n">
        <v>109514</v>
      </c>
      <c r="U117" s="35" t="n">
        <v>159200</v>
      </c>
      <c r="V117" s="35" t="n">
        <v>49686</v>
      </c>
      <c r="W117" s="31" t="n">
        <v>1</v>
      </c>
      <c r="X117" s="6" t="n">
        <v>1</v>
      </c>
      <c r="Y117" s="36" t="n">
        <v>2</v>
      </c>
      <c r="Z117" s="6" t="s">
        <v>927</v>
      </c>
      <c r="AA117" s="9" t="s">
        <v>528</v>
      </c>
      <c r="AB117" s="6" t="s">
        <v>928</v>
      </c>
      <c r="AE117" s="37" t="n">
        <f aca="false">COUNTIF(環境認証!$A$2:$A$849,A117)</f>
        <v>1</v>
      </c>
      <c r="AF117" s="6" t="n">
        <v>45.4</v>
      </c>
      <c r="AG117" s="6" t="n">
        <v>38</v>
      </c>
    </row>
    <row r="118" customFormat="false" ht="15" hidden="false" customHeight="true" outlineLevel="0" collapsed="false">
      <c r="A118" s="6" t="s">
        <v>929</v>
      </c>
      <c r="B118" s="6" t="s">
        <v>418</v>
      </c>
      <c r="C118" s="9" t="s">
        <v>930</v>
      </c>
      <c r="D118" s="9" t="s">
        <v>522</v>
      </c>
      <c r="E118" s="9" t="s">
        <v>523</v>
      </c>
      <c r="F118" s="9" t="s">
        <v>532</v>
      </c>
      <c r="H118" s="9" t="s">
        <v>525</v>
      </c>
      <c r="I118" s="9" t="s">
        <v>926</v>
      </c>
      <c r="J118" s="40"/>
      <c r="K118" s="32" t="n">
        <v>39602.42</v>
      </c>
      <c r="L118" s="32" t="n">
        <v>177486.95</v>
      </c>
      <c r="M118" s="32" t="n">
        <v>24588.43</v>
      </c>
      <c r="N118" s="6" t="n">
        <v>37</v>
      </c>
      <c r="O118" s="6" t="n">
        <v>4</v>
      </c>
      <c r="P118" s="33" t="n">
        <v>31472</v>
      </c>
      <c r="Q118" s="34" t="n">
        <f aca="false">IF(OR($A118="",P118=""),"",ROUND(YEARFRAC(P118,README!$C$5),1))</f>
        <v>40.4</v>
      </c>
      <c r="R118" s="39"/>
      <c r="S118" s="35" t="n">
        <v>62480</v>
      </c>
      <c r="T118" s="35" t="n">
        <v>61483</v>
      </c>
      <c r="U118" s="35" t="n">
        <v>65000</v>
      </c>
      <c r="V118" s="35" t="n">
        <v>3517</v>
      </c>
      <c r="W118" s="31" t="n">
        <v>1</v>
      </c>
      <c r="X118" s="6" t="n">
        <v>1</v>
      </c>
      <c r="Y118" s="36" t="n">
        <v>2.2</v>
      </c>
      <c r="Z118" s="6" t="s">
        <v>927</v>
      </c>
      <c r="AA118" s="9" t="s">
        <v>528</v>
      </c>
      <c r="AB118" s="6" t="s">
        <v>931</v>
      </c>
      <c r="AE118" s="37" t="n">
        <f aca="false">COUNTIF(環境認証!$A$2:$A$849,A118)</f>
        <v>1</v>
      </c>
      <c r="AF118" s="6" t="n">
        <v>5.7</v>
      </c>
      <c r="AG118" s="6" t="n">
        <v>4</v>
      </c>
    </row>
    <row r="119" customFormat="false" ht="15" hidden="false" customHeight="true" outlineLevel="0" collapsed="false">
      <c r="A119" s="6" t="s">
        <v>932</v>
      </c>
      <c r="B119" s="6" t="s">
        <v>418</v>
      </c>
      <c r="C119" s="9" t="s">
        <v>933</v>
      </c>
      <c r="D119" s="9" t="s">
        <v>522</v>
      </c>
      <c r="E119" s="9" t="s">
        <v>523</v>
      </c>
      <c r="F119" s="9" t="s">
        <v>934</v>
      </c>
      <c r="H119" s="9" t="s">
        <v>525</v>
      </c>
      <c r="I119" s="9" t="s">
        <v>935</v>
      </c>
      <c r="J119" s="40"/>
      <c r="K119" s="32" t="n">
        <v>6611.58</v>
      </c>
      <c r="L119" s="32" t="n">
        <v>46154.65</v>
      </c>
      <c r="M119" s="32" t="n">
        <v>16152.65</v>
      </c>
      <c r="N119" s="6" t="n">
        <v>19</v>
      </c>
      <c r="O119" s="6" t="n">
        <v>6</v>
      </c>
      <c r="P119" s="33" t="n">
        <v>36586</v>
      </c>
      <c r="Q119" s="34" t="n">
        <f aca="false">IF(OR($A119="",P119=""),"",ROUND(YEARFRAC(P119,README!$C$5),1))</f>
        <v>26.4</v>
      </c>
      <c r="R119" s="39"/>
      <c r="S119" s="35" t="n">
        <v>27200</v>
      </c>
      <c r="T119" s="35" t="n">
        <v>24279</v>
      </c>
      <c r="U119" s="35" t="n">
        <v>25440</v>
      </c>
      <c r="V119" s="35" t="n">
        <v>1161</v>
      </c>
      <c r="W119" s="31" t="n">
        <v>1</v>
      </c>
      <c r="X119" s="6" t="n">
        <v>24</v>
      </c>
      <c r="Y119" s="36" t="n">
        <v>1.1</v>
      </c>
      <c r="Z119" s="6" t="s">
        <v>927</v>
      </c>
      <c r="AA119" s="9" t="s">
        <v>528</v>
      </c>
      <c r="AB119" s="6" t="s">
        <v>936</v>
      </c>
      <c r="AE119" s="37" t="n">
        <f aca="false">COUNTIF(環境認証!$A$2:$A$849,A119)</f>
        <v>1</v>
      </c>
      <c r="AF119" s="6" t="n">
        <v>4.8</v>
      </c>
      <c r="AG119" s="6" t="n">
        <v>-6.5</v>
      </c>
    </row>
    <row r="120" customFormat="false" ht="15" hidden="false" customHeight="true" outlineLevel="0" collapsed="false">
      <c r="A120" s="6" t="s">
        <v>937</v>
      </c>
      <c r="B120" s="6" t="s">
        <v>418</v>
      </c>
      <c r="C120" s="9" t="s">
        <v>938</v>
      </c>
      <c r="D120" s="9" t="s">
        <v>522</v>
      </c>
      <c r="E120" s="9" t="s">
        <v>523</v>
      </c>
      <c r="F120" s="9" t="s">
        <v>532</v>
      </c>
      <c r="H120" s="9" t="s">
        <v>525</v>
      </c>
      <c r="I120" s="9" t="s">
        <v>939</v>
      </c>
      <c r="J120" s="40"/>
      <c r="K120" s="32" t="n">
        <v>5694.16</v>
      </c>
      <c r="L120" s="32" t="n">
        <v>46971.43</v>
      </c>
      <c r="M120" s="32" t="n">
        <v>19777.54</v>
      </c>
      <c r="N120" s="6" t="n">
        <v>25</v>
      </c>
      <c r="O120" s="6" t="n">
        <v>2</v>
      </c>
      <c r="P120" s="33" t="n">
        <v>36770</v>
      </c>
      <c r="Q120" s="34" t="n">
        <f aca="false">IF(OR($A120="",P120=""),"",ROUND(YEARFRAC(P120,README!$C$5),1))</f>
        <v>25.9</v>
      </c>
      <c r="R120" s="39"/>
      <c r="S120" s="35" t="n">
        <v>43930</v>
      </c>
      <c r="T120" s="35" t="n">
        <v>40745</v>
      </c>
      <c r="U120" s="35" t="n">
        <v>36400</v>
      </c>
      <c r="V120" s="35" t="n">
        <v>-4345</v>
      </c>
      <c r="W120" s="31" t="n">
        <v>0.963</v>
      </c>
      <c r="X120" s="6" t="n">
        <v>136</v>
      </c>
      <c r="Y120" s="36" t="n">
        <v>2.3</v>
      </c>
      <c r="Z120" s="6" t="s">
        <v>927</v>
      </c>
      <c r="AA120" s="9" t="s">
        <v>528</v>
      </c>
      <c r="AB120" s="6" t="s">
        <v>940</v>
      </c>
      <c r="AE120" s="37" t="n">
        <f aca="false">COUNTIF(環境認証!$A$2:$A$849,A120)</f>
        <v>1</v>
      </c>
      <c r="AF120" s="6" t="n">
        <v>-10.7</v>
      </c>
      <c r="AG120" s="6" t="n">
        <v>-17.1</v>
      </c>
    </row>
    <row r="121" customFormat="false" ht="15" hidden="false" customHeight="true" outlineLevel="0" collapsed="false">
      <c r="A121" s="6" t="s">
        <v>941</v>
      </c>
      <c r="B121" s="6" t="s">
        <v>418</v>
      </c>
      <c r="C121" s="9" t="s">
        <v>942</v>
      </c>
      <c r="D121" s="9" t="s">
        <v>522</v>
      </c>
      <c r="E121" s="9" t="s">
        <v>523</v>
      </c>
      <c r="F121" s="9" t="s">
        <v>532</v>
      </c>
      <c r="H121" s="9" t="s">
        <v>525</v>
      </c>
      <c r="I121" s="9" t="s">
        <v>943</v>
      </c>
      <c r="J121" s="40"/>
      <c r="K121" s="32" t="n">
        <v>13014.36</v>
      </c>
      <c r="L121" s="32" t="n">
        <v>148165.61</v>
      </c>
      <c r="M121" s="32" t="n">
        <v>29667.58</v>
      </c>
      <c r="N121" s="6" t="n">
        <v>42</v>
      </c>
      <c r="O121" s="6" t="n">
        <v>2</v>
      </c>
      <c r="P121" s="33" t="n">
        <v>37073</v>
      </c>
      <c r="Q121" s="34" t="n">
        <f aca="false">IF(OR($A121="",P121=""),"",ROUND(YEARFRAC(P121,README!$C$5),1))</f>
        <v>25.1</v>
      </c>
      <c r="R121" s="39"/>
      <c r="S121" s="35" t="n">
        <v>42090</v>
      </c>
      <c r="T121" s="35" t="n">
        <v>38992</v>
      </c>
      <c r="U121" s="35" t="n">
        <v>46176</v>
      </c>
      <c r="V121" s="35" t="n">
        <v>7184</v>
      </c>
      <c r="W121" s="31" t="n">
        <v>1</v>
      </c>
      <c r="X121" s="6" t="n">
        <v>1</v>
      </c>
      <c r="Y121" s="36" t="n">
        <v>2.7</v>
      </c>
      <c r="Z121" s="6" t="s">
        <v>927</v>
      </c>
      <c r="AA121" s="9" t="s">
        <v>528</v>
      </c>
      <c r="AB121" s="6" t="s">
        <v>944</v>
      </c>
      <c r="AE121" s="37" t="n">
        <f aca="false">COUNTIF(環境認証!$A$2:$A$849,A121)</f>
        <v>1</v>
      </c>
      <c r="AF121" s="6" t="n">
        <v>18.4</v>
      </c>
      <c r="AG121" s="6" t="n">
        <v>9.7</v>
      </c>
    </row>
    <row r="122" customFormat="false" ht="15" hidden="false" customHeight="true" outlineLevel="0" collapsed="false">
      <c r="A122" s="6" t="s">
        <v>945</v>
      </c>
      <c r="B122" s="6" t="s">
        <v>418</v>
      </c>
      <c r="C122" s="9" t="s">
        <v>946</v>
      </c>
      <c r="D122" s="9" t="s">
        <v>522</v>
      </c>
      <c r="E122" s="9" t="s">
        <v>523</v>
      </c>
      <c r="F122" s="9" t="s">
        <v>532</v>
      </c>
      <c r="H122" s="9" t="s">
        <v>525</v>
      </c>
      <c r="I122" s="9" t="s">
        <v>947</v>
      </c>
      <c r="J122" s="40"/>
      <c r="K122" s="32" t="n">
        <v>5846.69</v>
      </c>
      <c r="L122" s="32" t="n">
        <v>53043.48</v>
      </c>
      <c r="M122" s="32" t="n">
        <v>8994.6</v>
      </c>
      <c r="N122" s="6" t="n">
        <v>20</v>
      </c>
      <c r="O122" s="6" t="n">
        <v>4</v>
      </c>
      <c r="P122" s="33" t="n">
        <v>41456</v>
      </c>
      <c r="Q122" s="34" t="n">
        <f aca="false">IF(OR($A122="",P122=""),"",ROUND(YEARFRAC(P122,README!$C$5),1))</f>
        <v>13.1</v>
      </c>
      <c r="R122" s="39"/>
      <c r="S122" s="35" t="n">
        <v>19150</v>
      </c>
      <c r="T122" s="35" t="n">
        <v>18309</v>
      </c>
      <c r="U122" s="35" t="n">
        <v>23900</v>
      </c>
      <c r="V122" s="35" t="n">
        <v>5591</v>
      </c>
      <c r="W122" s="31" t="n">
        <v>0.996</v>
      </c>
      <c r="X122" s="6" t="n">
        <v>56</v>
      </c>
      <c r="Y122" s="36" t="n">
        <v>1.5</v>
      </c>
      <c r="Z122" s="6" t="s">
        <v>927</v>
      </c>
      <c r="AA122" s="9" t="s">
        <v>528</v>
      </c>
      <c r="AB122" s="6" t="s">
        <v>948</v>
      </c>
      <c r="AE122" s="37" t="n">
        <f aca="false">COUNTIF(環境認証!$A$2:$A$849,A122)</f>
        <v>1</v>
      </c>
      <c r="AF122" s="6" t="n">
        <v>30.5</v>
      </c>
      <c r="AG122" s="6" t="n">
        <v>24.8</v>
      </c>
    </row>
    <row r="123" customFormat="false" ht="15" hidden="false" customHeight="true" outlineLevel="0" collapsed="false">
      <c r="A123" s="6" t="s">
        <v>949</v>
      </c>
      <c r="B123" s="6" t="s">
        <v>418</v>
      </c>
      <c r="C123" s="9" t="s">
        <v>950</v>
      </c>
      <c r="D123" s="9" t="s">
        <v>522</v>
      </c>
      <c r="E123" s="9" t="s">
        <v>523</v>
      </c>
      <c r="F123" s="9" t="s">
        <v>532</v>
      </c>
      <c r="H123" s="9" t="s">
        <v>525</v>
      </c>
      <c r="I123" s="6" t="s">
        <v>951</v>
      </c>
      <c r="J123" s="40"/>
      <c r="K123" s="32" t="n">
        <v>17068.96</v>
      </c>
      <c r="L123" s="32" t="n">
        <v>241581.95</v>
      </c>
      <c r="M123" s="32" t="n">
        <v>24393.73</v>
      </c>
      <c r="N123" s="6" t="n">
        <v>52</v>
      </c>
      <c r="O123" s="6" t="n">
        <v>5</v>
      </c>
      <c r="P123" s="33" t="n">
        <v>41760</v>
      </c>
      <c r="Q123" s="34" t="n">
        <f aca="false">IF(OR($A123="",P123=""),"",ROUND(YEARFRAC(P123,README!$C$5),1))</f>
        <v>12.3</v>
      </c>
      <c r="R123" s="39"/>
      <c r="S123" s="35" t="n">
        <v>73789</v>
      </c>
      <c r="T123" s="35" t="n">
        <v>71962</v>
      </c>
      <c r="U123" s="35" t="n">
        <v>97502</v>
      </c>
      <c r="V123" s="35" t="n">
        <v>25540</v>
      </c>
      <c r="W123" s="31" t="n">
        <v>1</v>
      </c>
      <c r="X123" s="6" t="n">
        <v>1</v>
      </c>
      <c r="Y123" s="36" t="n">
        <v>2.3</v>
      </c>
      <c r="Z123" s="6" t="s">
        <v>927</v>
      </c>
      <c r="AA123" s="9" t="s">
        <v>528</v>
      </c>
      <c r="AB123" s="6" t="s">
        <v>952</v>
      </c>
      <c r="AE123" s="37" t="n">
        <f aca="false">COUNTIF(環境認証!$A$2:$A$849,A123)</f>
        <v>1</v>
      </c>
      <c r="AF123" s="6" t="n">
        <v>35.5</v>
      </c>
      <c r="AG123" s="6" t="n">
        <v>32.1</v>
      </c>
    </row>
    <row r="124" customFormat="false" ht="15" hidden="false" customHeight="true" outlineLevel="0" collapsed="false">
      <c r="A124" s="6" t="s">
        <v>953</v>
      </c>
      <c r="B124" s="6" t="s">
        <v>418</v>
      </c>
      <c r="C124" s="9" t="s">
        <v>954</v>
      </c>
      <c r="D124" s="9" t="s">
        <v>522</v>
      </c>
      <c r="E124" s="9" t="s">
        <v>523</v>
      </c>
      <c r="F124" s="9" t="s">
        <v>532</v>
      </c>
      <c r="H124" s="9" t="s">
        <v>525</v>
      </c>
      <c r="I124" s="6" t="s">
        <v>955</v>
      </c>
      <c r="J124" s="40"/>
      <c r="K124" s="32" t="n">
        <v>3487.61</v>
      </c>
      <c r="L124" s="32" t="n">
        <v>35076.12</v>
      </c>
      <c r="M124" s="32" t="n">
        <v>10165.01</v>
      </c>
      <c r="N124" s="6" t="n">
        <v>24</v>
      </c>
      <c r="O124" s="6" t="n">
        <v>2</v>
      </c>
      <c r="P124" s="33" t="n">
        <v>38353</v>
      </c>
      <c r="Q124" s="34" t="n">
        <f aca="false">IF(OR($A124="",P124=""),"",ROUND(YEARFRAC(P124,README!$C$5),1))</f>
        <v>21.6</v>
      </c>
      <c r="R124" s="39"/>
      <c r="S124" s="35" t="n">
        <v>16330</v>
      </c>
      <c r="T124" s="35" t="n">
        <v>16182</v>
      </c>
      <c r="U124" s="35" t="n">
        <v>22700</v>
      </c>
      <c r="V124" s="35" t="n">
        <v>6518</v>
      </c>
      <c r="W124" s="31" t="n">
        <v>1</v>
      </c>
      <c r="X124" s="6" t="n">
        <v>24</v>
      </c>
      <c r="Y124" s="36" t="n">
        <v>1.4</v>
      </c>
      <c r="Z124" s="6" t="s">
        <v>927</v>
      </c>
      <c r="AA124" s="9" t="s">
        <v>528</v>
      </c>
      <c r="AB124" s="6" t="s">
        <v>956</v>
      </c>
      <c r="AE124" s="37" t="n">
        <f aca="false">COUNTIF(環境認証!$A$2:$A$849,A124)</f>
        <v>1</v>
      </c>
      <c r="AF124" s="6" t="n">
        <v>40.3</v>
      </c>
      <c r="AG124" s="6" t="n">
        <v>39</v>
      </c>
    </row>
    <row r="125" customFormat="false" ht="15" hidden="false" customHeight="true" outlineLevel="0" collapsed="false">
      <c r="A125" s="6" t="s">
        <v>957</v>
      </c>
      <c r="B125" s="6" t="s">
        <v>418</v>
      </c>
      <c r="C125" s="9" t="s">
        <v>958</v>
      </c>
      <c r="D125" s="9" t="s">
        <v>959</v>
      </c>
      <c r="E125" s="9" t="s">
        <v>523</v>
      </c>
      <c r="F125" s="9" t="s">
        <v>532</v>
      </c>
      <c r="H125" s="9" t="s">
        <v>525</v>
      </c>
      <c r="I125" s="9" t="s">
        <v>960</v>
      </c>
      <c r="J125" s="40"/>
      <c r="K125" s="32" t="n">
        <v>4357.88</v>
      </c>
      <c r="L125" s="32" t="n">
        <v>22906.74</v>
      </c>
      <c r="M125" s="32" t="n">
        <v>2956.77</v>
      </c>
      <c r="N125" s="6" t="n">
        <v>20</v>
      </c>
      <c r="O125" s="6" t="n">
        <v>1</v>
      </c>
      <c r="P125" s="33" t="n">
        <v>34243</v>
      </c>
      <c r="Q125" s="34" t="n">
        <f aca="false">IF(OR($A125="",P125=""),"",ROUND(YEARFRAC(P125,README!$C$5),1))</f>
        <v>32.9</v>
      </c>
      <c r="R125" s="39"/>
      <c r="S125" s="35" t="n">
        <v>2100</v>
      </c>
      <c r="T125" s="35" t="n">
        <v>2234</v>
      </c>
      <c r="U125" s="35" t="n">
        <v>4300</v>
      </c>
      <c r="V125" s="35" t="n">
        <v>2066</v>
      </c>
      <c r="W125" s="31" t="n">
        <v>0.861</v>
      </c>
      <c r="X125" s="6" t="n">
        <v>36</v>
      </c>
      <c r="Y125" s="36" t="n">
        <v>2</v>
      </c>
      <c r="Z125" s="6" t="s">
        <v>927</v>
      </c>
      <c r="AA125" s="9" t="s">
        <v>528</v>
      </c>
      <c r="AB125" s="6" t="s">
        <v>961</v>
      </c>
      <c r="AE125" s="37" t="n">
        <f aca="false">COUNTIF(環境認証!$A$2:$A$849,A125)</f>
        <v>0</v>
      </c>
      <c r="AF125" s="6" t="n">
        <v>92.5</v>
      </c>
      <c r="AG125" s="6" t="n">
        <v>104.8</v>
      </c>
    </row>
    <row r="126" customFormat="false" ht="15" hidden="false" customHeight="true" outlineLevel="0" collapsed="false">
      <c r="A126" s="6" t="s">
        <v>962</v>
      </c>
      <c r="B126" s="6" t="s">
        <v>418</v>
      </c>
      <c r="C126" s="9" t="s">
        <v>963</v>
      </c>
      <c r="D126" s="9" t="s">
        <v>959</v>
      </c>
      <c r="E126" s="9" t="s">
        <v>523</v>
      </c>
      <c r="F126" s="9" t="s">
        <v>532</v>
      </c>
      <c r="H126" s="9" t="s">
        <v>525</v>
      </c>
      <c r="I126" s="9" t="s">
        <v>964</v>
      </c>
      <c r="J126" s="40"/>
      <c r="K126" s="32" t="n">
        <v>4357.88</v>
      </c>
      <c r="L126" s="32" t="n">
        <v>22906.74</v>
      </c>
      <c r="M126" s="32" t="n">
        <v>4515.25</v>
      </c>
      <c r="N126" s="6" t="n">
        <v>20</v>
      </c>
      <c r="O126" s="6" t="n">
        <v>1</v>
      </c>
      <c r="P126" s="33" t="n">
        <v>34243</v>
      </c>
      <c r="Q126" s="34" t="n">
        <f aca="false">IF(OR($A126="",P126=""),"",ROUND(YEARFRAC(P126,README!$C$5),1))</f>
        <v>32.9</v>
      </c>
      <c r="R126" s="39"/>
      <c r="S126" s="35" t="n">
        <v>4000</v>
      </c>
      <c r="T126" s="35" t="n">
        <v>4060</v>
      </c>
      <c r="U126" s="35" t="n">
        <v>4570</v>
      </c>
      <c r="V126" s="35" t="n">
        <v>510</v>
      </c>
      <c r="W126" s="31" t="n">
        <v>0.818</v>
      </c>
      <c r="X126" s="6" t="n">
        <v>75</v>
      </c>
      <c r="Y126" s="36" t="n">
        <v>2</v>
      </c>
      <c r="Z126" s="6" t="s">
        <v>927</v>
      </c>
      <c r="AA126" s="9" t="s">
        <v>528</v>
      </c>
      <c r="AB126" s="6" t="s">
        <v>965</v>
      </c>
      <c r="AE126" s="37" t="n">
        <f aca="false">COUNTIF(環境認証!$A$2:$A$849,A126)</f>
        <v>0</v>
      </c>
      <c r="AF126" s="6" t="n">
        <v>12.6</v>
      </c>
      <c r="AG126" s="6" t="n">
        <v>14.3</v>
      </c>
    </row>
    <row r="127" customFormat="false" ht="15" hidden="false" customHeight="true" outlineLevel="0" collapsed="false">
      <c r="A127" s="6" t="s">
        <v>966</v>
      </c>
      <c r="B127" s="6" t="s">
        <v>418</v>
      </c>
      <c r="C127" s="9" t="s">
        <v>967</v>
      </c>
      <c r="D127" s="9" t="s">
        <v>968</v>
      </c>
      <c r="E127" s="9" t="s">
        <v>523</v>
      </c>
      <c r="F127" s="9" t="s">
        <v>648</v>
      </c>
      <c r="H127" s="9" t="s">
        <v>525</v>
      </c>
      <c r="I127" s="9" t="s">
        <v>969</v>
      </c>
      <c r="J127" s="40"/>
      <c r="K127" s="32" t="n">
        <v>2565.06</v>
      </c>
      <c r="L127" s="38"/>
      <c r="M127" s="32" t="n">
        <v>1128.63</v>
      </c>
      <c r="P127" s="39"/>
      <c r="Q127" s="34" t="str">
        <f aca="false">IF(OR($A127="",P127=""),"",ROUND(YEARFRAC(P127,README!$C$5),1))</f>
        <v/>
      </c>
      <c r="R127" s="39"/>
      <c r="S127" s="35" t="n">
        <v>9600</v>
      </c>
      <c r="T127" s="35" t="n">
        <v>9712</v>
      </c>
      <c r="U127" s="35" t="n">
        <v>20812</v>
      </c>
      <c r="V127" s="35" t="n">
        <v>11100</v>
      </c>
      <c r="W127" s="31" t="n">
        <v>1</v>
      </c>
      <c r="X127" s="6" t="n">
        <v>1</v>
      </c>
      <c r="Y127" s="41"/>
      <c r="Z127" s="6" t="s">
        <v>927</v>
      </c>
      <c r="AA127" s="9" t="s">
        <v>528</v>
      </c>
      <c r="AB127" s="6" t="s">
        <v>970</v>
      </c>
      <c r="AE127" s="37" t="n">
        <f aca="false">COUNTIF(環境認証!$A$2:$A$849,A127)</f>
        <v>0</v>
      </c>
      <c r="AF127" s="6" t="n">
        <v>114.3</v>
      </c>
      <c r="AG127" s="6" t="n">
        <v>116.8</v>
      </c>
    </row>
    <row r="128" customFormat="false" ht="15" hidden="false" customHeight="true" outlineLevel="0" collapsed="false">
      <c r="A128" s="6" t="s">
        <v>971</v>
      </c>
      <c r="B128" s="6" t="s">
        <v>418</v>
      </c>
      <c r="C128" s="9" t="s">
        <v>972</v>
      </c>
      <c r="D128" s="9" t="s">
        <v>973</v>
      </c>
      <c r="H128" s="6" t="s">
        <v>619</v>
      </c>
      <c r="I128" s="6" t="s">
        <v>974</v>
      </c>
      <c r="J128" s="40"/>
      <c r="K128" s="38"/>
      <c r="L128" s="38"/>
      <c r="M128" s="32" t="n">
        <v>185381.73</v>
      </c>
      <c r="P128" s="39"/>
      <c r="Q128" s="34" t="str">
        <f aca="false">IF(OR($A128="",P128=""),"",ROUND(YEARFRAC(P128,README!$C$5),1))</f>
        <v/>
      </c>
      <c r="R128" s="39"/>
      <c r="S128" s="35" t="n">
        <v>416049</v>
      </c>
      <c r="T128" s="35" t="n">
        <v>397475</v>
      </c>
      <c r="U128" s="35" t="n">
        <v>506000</v>
      </c>
      <c r="V128" s="43" t="n">
        <f aca="false">IF($A128="","",IF(OR(T128="",U128=""),"",U128-T128))</f>
        <v>108525</v>
      </c>
      <c r="W128" s="31" t="n">
        <v>0.989</v>
      </c>
      <c r="X128" s="6" t="n">
        <v>356</v>
      </c>
      <c r="Y128" s="36" t="n">
        <v>2.1</v>
      </c>
      <c r="Z128" s="6" t="s">
        <v>927</v>
      </c>
      <c r="AA128" s="9" t="s">
        <v>528</v>
      </c>
      <c r="AB128" s="9" t="s">
        <v>975</v>
      </c>
      <c r="AE128" s="37" t="n">
        <f aca="false">COUNTIF(環境認証!$A$2:$A$849,A128)</f>
        <v>0</v>
      </c>
    </row>
    <row r="129" customFormat="false" ht="15" hidden="false" customHeight="true" outlineLevel="0" collapsed="false">
      <c r="A129" s="6" t="s">
        <v>976</v>
      </c>
      <c r="B129" s="6" t="s">
        <v>373</v>
      </c>
      <c r="C129" s="9" t="s">
        <v>977</v>
      </c>
      <c r="D129" s="9" t="s">
        <v>522</v>
      </c>
      <c r="E129" s="9" t="s">
        <v>523</v>
      </c>
      <c r="F129" s="9" t="s">
        <v>806</v>
      </c>
      <c r="H129" s="9" t="s">
        <v>525</v>
      </c>
      <c r="J129" s="40"/>
      <c r="K129" s="38"/>
      <c r="L129" s="38"/>
      <c r="M129" s="32" t="n">
        <v>102718</v>
      </c>
      <c r="P129" s="39"/>
      <c r="Q129" s="34" t="str">
        <f aca="false">IF(OR($A129="",P129=""),"",ROUND(YEARFRAC(P129,README!$C$5),1))</f>
        <v/>
      </c>
      <c r="R129" s="39"/>
      <c r="S129" s="35" t="n">
        <v>170000</v>
      </c>
      <c r="T129" s="35" t="n">
        <v>175537.937</v>
      </c>
      <c r="U129" s="35" t="n">
        <v>184000</v>
      </c>
      <c r="V129" s="35" t="n">
        <v>8462</v>
      </c>
      <c r="W129" s="31" t="n">
        <v>0.984</v>
      </c>
      <c r="X129" s="6" t="n">
        <v>100</v>
      </c>
      <c r="Y129" s="41"/>
      <c r="Z129" s="6" t="s">
        <v>978</v>
      </c>
      <c r="AA129" s="9" t="s">
        <v>528</v>
      </c>
      <c r="AB129" s="9" t="s">
        <v>979</v>
      </c>
      <c r="AE129" s="37" t="n">
        <f aca="false">COUNTIF(環境認証!$A$2:$A$849,A129)</f>
        <v>1</v>
      </c>
      <c r="AF129" s="6" t="n">
        <v>4.8</v>
      </c>
      <c r="AG129" s="6" t="n">
        <v>8.2</v>
      </c>
    </row>
    <row r="130" customFormat="false" ht="15" hidden="false" customHeight="true" outlineLevel="0" collapsed="false">
      <c r="A130" s="6" t="s">
        <v>980</v>
      </c>
      <c r="B130" s="6" t="s">
        <v>373</v>
      </c>
      <c r="C130" s="9" t="s">
        <v>981</v>
      </c>
      <c r="D130" s="9" t="s">
        <v>522</v>
      </c>
      <c r="E130" s="9" t="s">
        <v>523</v>
      </c>
      <c r="F130" s="9" t="s">
        <v>524</v>
      </c>
      <c r="H130" s="9" t="s">
        <v>525</v>
      </c>
      <c r="J130" s="40"/>
      <c r="K130" s="38"/>
      <c r="L130" s="38"/>
      <c r="M130" s="32" t="n">
        <v>54185</v>
      </c>
      <c r="P130" s="39"/>
      <c r="Q130" s="34" t="str">
        <f aca="false">IF(OR($A130="",P130=""),"",ROUND(YEARFRAC(P130,README!$C$5),1))</f>
        <v/>
      </c>
      <c r="R130" s="39"/>
      <c r="S130" s="35" t="n">
        <v>138909.102</v>
      </c>
      <c r="T130" s="35" t="n">
        <v>135523.998</v>
      </c>
      <c r="U130" s="35" t="n">
        <v>154000</v>
      </c>
      <c r="V130" s="35" t="n">
        <v>18476</v>
      </c>
      <c r="W130" s="31" t="n">
        <v>1</v>
      </c>
      <c r="X130" s="6" t="n">
        <v>34</v>
      </c>
      <c r="Y130" s="41"/>
      <c r="Z130" s="6" t="s">
        <v>978</v>
      </c>
      <c r="AA130" s="9" t="s">
        <v>528</v>
      </c>
      <c r="AB130" s="9" t="s">
        <v>982</v>
      </c>
      <c r="AE130" s="37" t="n">
        <f aca="false">COUNTIF(環境認証!$A$2:$A$849,A130)</f>
        <v>1</v>
      </c>
      <c r="AF130" s="6" t="n">
        <v>13.6</v>
      </c>
      <c r="AG130" s="6" t="n">
        <v>10.9</v>
      </c>
    </row>
    <row r="131" customFormat="false" ht="15" hidden="false" customHeight="true" outlineLevel="0" collapsed="false">
      <c r="A131" s="6" t="s">
        <v>983</v>
      </c>
      <c r="B131" s="6" t="s">
        <v>373</v>
      </c>
      <c r="C131" s="9" t="s">
        <v>984</v>
      </c>
      <c r="D131" s="9" t="s">
        <v>522</v>
      </c>
      <c r="E131" s="9" t="s">
        <v>523</v>
      </c>
      <c r="F131" s="9" t="s">
        <v>532</v>
      </c>
      <c r="H131" s="9" t="s">
        <v>525</v>
      </c>
      <c r="J131" s="40"/>
      <c r="K131" s="38"/>
      <c r="L131" s="38"/>
      <c r="M131" s="32" t="n">
        <v>34608</v>
      </c>
      <c r="P131" s="39"/>
      <c r="Q131" s="34" t="str">
        <f aca="false">IF(OR($A131="",P131=""),"",ROUND(YEARFRAC(P131,README!$C$5),1))</f>
        <v/>
      </c>
      <c r="R131" s="39"/>
      <c r="S131" s="35" t="n">
        <v>62800</v>
      </c>
      <c r="T131" s="35" t="n">
        <v>62129.469</v>
      </c>
      <c r="U131" s="35" t="n">
        <v>63200</v>
      </c>
      <c r="V131" s="35" t="n">
        <v>1071</v>
      </c>
      <c r="W131" s="31" t="n">
        <v>0.965</v>
      </c>
      <c r="X131" s="6" t="n">
        <v>65</v>
      </c>
      <c r="Y131" s="41"/>
      <c r="Z131" s="6" t="s">
        <v>978</v>
      </c>
      <c r="AA131" s="9" t="s">
        <v>528</v>
      </c>
      <c r="AB131" s="9" t="s">
        <v>985</v>
      </c>
      <c r="AE131" s="37" t="n">
        <f aca="false">COUNTIF(環境認証!$A$2:$A$849,A131)</f>
        <v>1</v>
      </c>
      <c r="AF131" s="6" t="n">
        <v>1.7</v>
      </c>
      <c r="AG131" s="6" t="n">
        <v>0.6</v>
      </c>
    </row>
    <row r="132" customFormat="false" ht="15" hidden="false" customHeight="true" outlineLevel="0" collapsed="false">
      <c r="A132" s="6" t="s">
        <v>986</v>
      </c>
      <c r="B132" s="6" t="s">
        <v>373</v>
      </c>
      <c r="C132" s="9" t="s">
        <v>987</v>
      </c>
      <c r="D132" s="9" t="s">
        <v>522</v>
      </c>
      <c r="E132" s="9" t="s">
        <v>523</v>
      </c>
      <c r="F132" s="9" t="s">
        <v>806</v>
      </c>
      <c r="H132" s="9" t="s">
        <v>525</v>
      </c>
      <c r="J132" s="40"/>
      <c r="K132" s="38"/>
      <c r="L132" s="38"/>
      <c r="M132" s="32" t="n">
        <v>33770</v>
      </c>
      <c r="P132" s="39"/>
      <c r="Q132" s="34" t="str">
        <f aca="false">IF(OR($A132="",P132=""),"",ROUND(YEARFRAC(P132,README!$C$5),1))</f>
        <v/>
      </c>
      <c r="R132" s="39"/>
      <c r="S132" s="35" t="n">
        <v>45392.204</v>
      </c>
      <c r="T132" s="35" t="n">
        <v>31915.468</v>
      </c>
      <c r="U132" s="35" t="n">
        <v>46100</v>
      </c>
      <c r="V132" s="35" t="n">
        <v>14185</v>
      </c>
      <c r="W132" s="31" t="n">
        <v>0.997</v>
      </c>
      <c r="X132" s="6" t="n">
        <v>52</v>
      </c>
      <c r="Y132" s="41"/>
      <c r="Z132" s="6" t="s">
        <v>978</v>
      </c>
      <c r="AA132" s="9" t="s">
        <v>528</v>
      </c>
      <c r="AB132" s="9" t="s">
        <v>988</v>
      </c>
      <c r="AE132" s="37" t="n">
        <f aca="false">COUNTIF(環境認証!$A$2:$A$849,A132)</f>
        <v>1</v>
      </c>
      <c r="AF132" s="6" t="n">
        <v>44.4</v>
      </c>
      <c r="AG132" s="6" t="n">
        <v>1.6</v>
      </c>
    </row>
    <row r="133" customFormat="false" ht="15" hidden="false" customHeight="true" outlineLevel="0" collapsed="false">
      <c r="A133" s="6" t="s">
        <v>989</v>
      </c>
      <c r="B133" s="6" t="s">
        <v>373</v>
      </c>
      <c r="C133" s="9" t="s">
        <v>990</v>
      </c>
      <c r="D133" s="9" t="s">
        <v>522</v>
      </c>
      <c r="E133" s="9" t="s">
        <v>523</v>
      </c>
      <c r="F133" s="9" t="s">
        <v>532</v>
      </c>
      <c r="H133" s="9" t="s">
        <v>525</v>
      </c>
      <c r="J133" s="40"/>
      <c r="K133" s="38"/>
      <c r="L133" s="38"/>
      <c r="M133" s="32" t="n">
        <v>38011</v>
      </c>
      <c r="P133" s="39"/>
      <c r="Q133" s="34" t="str">
        <f aca="false">IF(OR($A133="",P133=""),"",ROUND(YEARFRAC(P133,README!$C$5),1))</f>
        <v/>
      </c>
      <c r="R133" s="39"/>
      <c r="S133" s="35" t="n">
        <v>42000</v>
      </c>
      <c r="T133" s="35" t="n">
        <v>41134.739</v>
      </c>
      <c r="U133" s="35" t="n">
        <v>47200</v>
      </c>
      <c r="V133" s="35" t="n">
        <v>6065</v>
      </c>
      <c r="W133" s="31" t="n">
        <v>1</v>
      </c>
      <c r="X133" s="6" t="n">
        <v>11</v>
      </c>
      <c r="Y133" s="41"/>
      <c r="Z133" s="6" t="s">
        <v>978</v>
      </c>
      <c r="AA133" s="9" t="s">
        <v>528</v>
      </c>
      <c r="AB133" s="9" t="s">
        <v>991</v>
      </c>
      <c r="AE133" s="37" t="n">
        <f aca="false">COUNTIF(環境認証!$A$2:$A$849,A133)</f>
        <v>1</v>
      </c>
      <c r="AF133" s="6" t="n">
        <v>14.7</v>
      </c>
      <c r="AG133" s="6" t="n">
        <v>12.4</v>
      </c>
    </row>
    <row r="134" customFormat="false" ht="15" hidden="false" customHeight="true" outlineLevel="0" collapsed="false">
      <c r="A134" s="6" t="s">
        <v>992</v>
      </c>
      <c r="B134" s="6" t="s">
        <v>373</v>
      </c>
      <c r="C134" s="9" t="s">
        <v>993</v>
      </c>
      <c r="D134" s="9" t="s">
        <v>522</v>
      </c>
      <c r="E134" s="9" t="s">
        <v>523</v>
      </c>
      <c r="F134" s="9" t="s">
        <v>532</v>
      </c>
      <c r="H134" s="9" t="s">
        <v>525</v>
      </c>
      <c r="J134" s="40"/>
      <c r="K134" s="38"/>
      <c r="L134" s="38"/>
      <c r="M134" s="32" t="n">
        <v>22778</v>
      </c>
      <c r="P134" s="39"/>
      <c r="Q134" s="34" t="str">
        <f aca="false">IF(OR($A134="",P134=""),"",ROUND(YEARFRAC(P134,README!$C$5),1))</f>
        <v/>
      </c>
      <c r="R134" s="39"/>
      <c r="S134" s="35" t="n">
        <v>36300</v>
      </c>
      <c r="T134" s="35" t="n">
        <v>37303.912</v>
      </c>
      <c r="U134" s="35" t="n">
        <v>47700</v>
      </c>
      <c r="V134" s="35" t="n">
        <v>10396</v>
      </c>
      <c r="W134" s="31" t="n">
        <v>0.997</v>
      </c>
      <c r="X134" s="6" t="n">
        <v>11</v>
      </c>
      <c r="Y134" s="41"/>
      <c r="Z134" s="6" t="s">
        <v>978</v>
      </c>
      <c r="AA134" s="9" t="s">
        <v>528</v>
      </c>
      <c r="AB134" s="9" t="s">
        <v>994</v>
      </c>
      <c r="AE134" s="37" t="n">
        <f aca="false">COUNTIF(環境認証!$A$2:$A$849,A134)</f>
        <v>1</v>
      </c>
      <c r="AF134" s="6" t="n">
        <v>27.9</v>
      </c>
      <c r="AG134" s="6" t="n">
        <v>31.4</v>
      </c>
    </row>
    <row r="135" customFormat="false" ht="15" hidden="false" customHeight="true" outlineLevel="0" collapsed="false">
      <c r="A135" s="6" t="s">
        <v>995</v>
      </c>
      <c r="B135" s="6" t="s">
        <v>373</v>
      </c>
      <c r="C135" s="9" t="s">
        <v>996</v>
      </c>
      <c r="D135" s="9" t="s">
        <v>522</v>
      </c>
      <c r="E135" s="9" t="s">
        <v>523</v>
      </c>
      <c r="F135" s="9" t="s">
        <v>532</v>
      </c>
      <c r="H135" s="9" t="s">
        <v>525</v>
      </c>
      <c r="J135" s="40"/>
      <c r="K135" s="38"/>
      <c r="L135" s="38"/>
      <c r="M135" s="32" t="n">
        <v>33503</v>
      </c>
      <c r="P135" s="39"/>
      <c r="Q135" s="34" t="str">
        <f aca="false">IF(OR($A135="",P135=""),"",ROUND(YEARFRAC(P135,README!$C$5),1))</f>
        <v/>
      </c>
      <c r="R135" s="39"/>
      <c r="S135" s="35" t="n">
        <v>31000</v>
      </c>
      <c r="T135" s="35" t="n">
        <v>25321.171</v>
      </c>
      <c r="U135" s="35" t="n">
        <v>60800</v>
      </c>
      <c r="V135" s="35" t="n">
        <v>35479</v>
      </c>
      <c r="W135" s="31" t="n">
        <v>0.981</v>
      </c>
      <c r="X135" s="6" t="n">
        <v>8</v>
      </c>
      <c r="Y135" s="41"/>
      <c r="Z135" s="6" t="s">
        <v>978</v>
      </c>
      <c r="AA135" s="9" t="s">
        <v>528</v>
      </c>
      <c r="AB135" s="9" t="s">
        <v>997</v>
      </c>
      <c r="AE135" s="37" t="n">
        <f aca="false">COUNTIF(環境認証!$A$2:$A$849,A135)</f>
        <v>1</v>
      </c>
      <c r="AF135" s="6" t="n">
        <v>140.1</v>
      </c>
      <c r="AG135" s="6" t="n">
        <v>96.1</v>
      </c>
    </row>
    <row r="136" customFormat="false" ht="15" hidden="false" customHeight="true" outlineLevel="0" collapsed="false">
      <c r="A136" s="6" t="s">
        <v>998</v>
      </c>
      <c r="B136" s="6" t="s">
        <v>373</v>
      </c>
      <c r="C136" s="9" t="s">
        <v>999</v>
      </c>
      <c r="D136" s="9" t="s">
        <v>522</v>
      </c>
      <c r="E136" s="9" t="s">
        <v>523</v>
      </c>
      <c r="F136" s="9" t="s">
        <v>532</v>
      </c>
      <c r="H136" s="9" t="s">
        <v>525</v>
      </c>
      <c r="J136" s="40"/>
      <c r="K136" s="38"/>
      <c r="L136" s="38"/>
      <c r="M136" s="32" t="n">
        <v>20538</v>
      </c>
      <c r="P136" s="39"/>
      <c r="Q136" s="34" t="str">
        <f aca="false">IF(OR($A136="",P136=""),"",ROUND(YEARFRAC(P136,README!$C$5),1))</f>
        <v/>
      </c>
      <c r="R136" s="39"/>
      <c r="S136" s="35" t="n">
        <v>28800</v>
      </c>
      <c r="T136" s="35" t="n">
        <v>27591.934</v>
      </c>
      <c r="U136" s="35" t="n">
        <v>35800</v>
      </c>
      <c r="V136" s="35" t="n">
        <v>8208</v>
      </c>
      <c r="W136" s="31" t="n">
        <v>1</v>
      </c>
      <c r="X136" s="6" t="n">
        <v>22</v>
      </c>
      <c r="Y136" s="41"/>
      <c r="Z136" s="6" t="s">
        <v>978</v>
      </c>
      <c r="AA136" s="9" t="s">
        <v>528</v>
      </c>
      <c r="AB136" s="9" t="s">
        <v>1000</v>
      </c>
      <c r="AE136" s="37" t="n">
        <f aca="false">COUNTIF(環境認証!$A$2:$A$849,A136)</f>
        <v>1</v>
      </c>
      <c r="AF136" s="6" t="n">
        <v>29.7</v>
      </c>
      <c r="AG136" s="6" t="n">
        <v>24.3</v>
      </c>
    </row>
    <row r="137" customFormat="false" ht="15" hidden="false" customHeight="true" outlineLevel="0" collapsed="false">
      <c r="A137" s="6" t="s">
        <v>1001</v>
      </c>
      <c r="B137" s="6" t="s">
        <v>373</v>
      </c>
      <c r="C137" s="9" t="s">
        <v>1002</v>
      </c>
      <c r="D137" s="9" t="s">
        <v>522</v>
      </c>
      <c r="E137" s="9" t="s">
        <v>523</v>
      </c>
      <c r="F137" s="9" t="s">
        <v>532</v>
      </c>
      <c r="H137" s="9" t="s">
        <v>525</v>
      </c>
      <c r="J137" s="40"/>
      <c r="K137" s="38"/>
      <c r="L137" s="38"/>
      <c r="M137" s="32" t="n">
        <v>12481</v>
      </c>
      <c r="P137" s="39"/>
      <c r="Q137" s="34" t="str">
        <f aca="false">IF(OR($A137="",P137=""),"",ROUND(YEARFRAC(P137,README!$C$5),1))</f>
        <v/>
      </c>
      <c r="R137" s="39"/>
      <c r="S137" s="35" t="n">
        <v>28200</v>
      </c>
      <c r="T137" s="35" t="n">
        <v>26674.626</v>
      </c>
      <c r="U137" s="35" t="n">
        <v>29100</v>
      </c>
      <c r="V137" s="35" t="n">
        <v>2425</v>
      </c>
      <c r="W137" s="31" t="n">
        <v>1</v>
      </c>
      <c r="X137" s="6" t="n">
        <v>13</v>
      </c>
      <c r="Y137" s="41"/>
      <c r="Z137" s="6" t="s">
        <v>978</v>
      </c>
      <c r="AA137" s="9" t="s">
        <v>528</v>
      </c>
      <c r="AB137" s="9" t="s">
        <v>1003</v>
      </c>
      <c r="AE137" s="37" t="n">
        <f aca="false">COUNTIF(環境認証!$A$2:$A$849,A137)</f>
        <v>1</v>
      </c>
      <c r="AF137" s="6" t="n">
        <v>9.1</v>
      </c>
      <c r="AG137" s="6" t="n">
        <v>3.2</v>
      </c>
    </row>
    <row r="138" customFormat="false" ht="15" hidden="false" customHeight="true" outlineLevel="0" collapsed="false">
      <c r="A138" s="6" t="s">
        <v>1004</v>
      </c>
      <c r="B138" s="6" t="s">
        <v>373</v>
      </c>
      <c r="C138" s="9" t="s">
        <v>1005</v>
      </c>
      <c r="D138" s="9" t="s">
        <v>522</v>
      </c>
      <c r="E138" s="9" t="s">
        <v>523</v>
      </c>
      <c r="F138" s="9" t="s">
        <v>532</v>
      </c>
      <c r="H138" s="9" t="s">
        <v>525</v>
      </c>
      <c r="J138" s="40"/>
      <c r="K138" s="38"/>
      <c r="L138" s="38"/>
      <c r="M138" s="32" t="n">
        <v>16848</v>
      </c>
      <c r="P138" s="39"/>
      <c r="Q138" s="34" t="str">
        <f aca="false">IF(OR($A138="",P138=""),"",ROUND(YEARFRAC(P138,README!$C$5),1))</f>
        <v/>
      </c>
      <c r="R138" s="39"/>
      <c r="S138" s="35" t="n">
        <v>24543</v>
      </c>
      <c r="T138" s="35" t="n">
        <v>17026</v>
      </c>
      <c r="U138" s="35" t="n">
        <v>34300</v>
      </c>
      <c r="V138" s="35" t="n">
        <v>17274</v>
      </c>
      <c r="W138" s="31" t="n">
        <v>0.988</v>
      </c>
      <c r="X138" s="6" t="n">
        <v>26</v>
      </c>
      <c r="Y138" s="41"/>
      <c r="Z138" s="6" t="s">
        <v>978</v>
      </c>
      <c r="AA138" s="9" t="s">
        <v>528</v>
      </c>
      <c r="AB138" s="9" t="s">
        <v>1006</v>
      </c>
      <c r="AE138" s="37" t="n">
        <f aca="false">COUNTIF(環境認証!$A$2:$A$849,A138)</f>
        <v>1</v>
      </c>
      <c r="AF138" s="6" t="n">
        <v>101.5</v>
      </c>
      <c r="AG138" s="6" t="n">
        <v>39.8</v>
      </c>
    </row>
    <row r="139" customFormat="false" ht="15" hidden="false" customHeight="true" outlineLevel="0" collapsed="false">
      <c r="A139" s="6" t="s">
        <v>1007</v>
      </c>
      <c r="B139" s="6" t="s">
        <v>373</v>
      </c>
      <c r="C139" s="9" t="s">
        <v>1008</v>
      </c>
      <c r="D139" s="9" t="s">
        <v>522</v>
      </c>
      <c r="E139" s="9" t="s">
        <v>523</v>
      </c>
      <c r="F139" s="9" t="s">
        <v>648</v>
      </c>
      <c r="H139" s="9" t="s">
        <v>525</v>
      </c>
      <c r="J139" s="40"/>
      <c r="K139" s="38"/>
      <c r="L139" s="38"/>
      <c r="M139" s="32" t="n">
        <v>14887</v>
      </c>
      <c r="P139" s="39"/>
      <c r="Q139" s="34" t="str">
        <f aca="false">IF(OR($A139="",P139=""),"",ROUND(YEARFRAC(P139,README!$C$5),1))</f>
        <v/>
      </c>
      <c r="R139" s="39"/>
      <c r="S139" s="35" t="n">
        <v>20269</v>
      </c>
      <c r="T139" s="35" t="n">
        <v>19878.48</v>
      </c>
      <c r="U139" s="35" t="n">
        <v>37200</v>
      </c>
      <c r="V139" s="35" t="n">
        <v>17322</v>
      </c>
      <c r="W139" s="31" t="n">
        <v>0.999</v>
      </c>
      <c r="X139" s="6" t="n">
        <v>4</v>
      </c>
      <c r="Y139" s="41"/>
      <c r="Z139" s="6" t="s">
        <v>978</v>
      </c>
      <c r="AA139" s="9" t="s">
        <v>528</v>
      </c>
      <c r="AB139" s="9" t="s">
        <v>1009</v>
      </c>
      <c r="AE139" s="37" t="n">
        <f aca="false">COUNTIF(環境認証!$A$2:$A$849,A139)</f>
        <v>1</v>
      </c>
      <c r="AF139" s="6" t="n">
        <v>87.1</v>
      </c>
      <c r="AG139" s="6" t="n">
        <v>83.5</v>
      </c>
    </row>
    <row r="140" customFormat="false" ht="15" hidden="false" customHeight="true" outlineLevel="0" collapsed="false">
      <c r="A140" s="6" t="s">
        <v>1010</v>
      </c>
      <c r="B140" s="6" t="s">
        <v>373</v>
      </c>
      <c r="C140" s="9" t="s">
        <v>1011</v>
      </c>
      <c r="D140" s="9" t="s">
        <v>522</v>
      </c>
      <c r="E140" s="9" t="s">
        <v>523</v>
      </c>
      <c r="F140" s="9" t="s">
        <v>666</v>
      </c>
      <c r="H140" s="9" t="s">
        <v>525</v>
      </c>
      <c r="J140" s="40"/>
      <c r="K140" s="38"/>
      <c r="L140" s="38"/>
      <c r="M140" s="32" t="n">
        <v>3440</v>
      </c>
      <c r="P140" s="39"/>
      <c r="Q140" s="34" t="str">
        <f aca="false">IF(OR($A140="",P140=""),"",ROUND(YEARFRAC(P140,README!$C$5),1))</f>
        <v/>
      </c>
      <c r="R140" s="39"/>
      <c r="S140" s="35" t="n">
        <v>17000</v>
      </c>
      <c r="T140" s="35" t="n">
        <v>17425.076</v>
      </c>
      <c r="U140" s="35" t="n">
        <v>19000</v>
      </c>
      <c r="V140" s="35" t="n">
        <v>1575</v>
      </c>
      <c r="W140" s="31" t="n">
        <v>1</v>
      </c>
      <c r="X140" s="6" t="n">
        <v>1</v>
      </c>
      <c r="Y140" s="41"/>
      <c r="Z140" s="6" t="s">
        <v>978</v>
      </c>
      <c r="AA140" s="9" t="s">
        <v>528</v>
      </c>
      <c r="AB140" s="9" t="s">
        <v>1012</v>
      </c>
      <c r="AE140" s="37" t="n">
        <f aca="false">COUNTIF(環境認証!$A$2:$A$849,A140)</f>
        <v>1</v>
      </c>
      <c r="AF140" s="6" t="n">
        <v>9</v>
      </c>
      <c r="AG140" s="6" t="n">
        <v>11.8</v>
      </c>
    </row>
    <row r="141" customFormat="false" ht="15" hidden="false" customHeight="true" outlineLevel="0" collapsed="false">
      <c r="A141" s="6" t="s">
        <v>1013</v>
      </c>
      <c r="B141" s="6" t="s">
        <v>373</v>
      </c>
      <c r="C141" s="9" t="s">
        <v>1014</v>
      </c>
      <c r="D141" s="9" t="s">
        <v>522</v>
      </c>
      <c r="E141" s="9" t="s">
        <v>523</v>
      </c>
      <c r="F141" s="9" t="s">
        <v>806</v>
      </c>
      <c r="H141" s="9" t="s">
        <v>525</v>
      </c>
      <c r="J141" s="40"/>
      <c r="K141" s="38"/>
      <c r="L141" s="38"/>
      <c r="M141" s="32" t="n">
        <v>14617</v>
      </c>
      <c r="P141" s="39"/>
      <c r="Q141" s="34" t="str">
        <f aca="false">IF(OR($A141="",P141=""),"",ROUND(YEARFRAC(P141,README!$C$5),1))</f>
        <v/>
      </c>
      <c r="R141" s="39"/>
      <c r="S141" s="35" t="n">
        <v>16285.4</v>
      </c>
      <c r="T141" s="35" t="n">
        <v>15775.462</v>
      </c>
      <c r="U141" s="35" t="n">
        <v>19600</v>
      </c>
      <c r="V141" s="35" t="n">
        <v>3825</v>
      </c>
      <c r="W141" s="31" t="n">
        <v>1</v>
      </c>
      <c r="X141" s="6" t="n">
        <v>44</v>
      </c>
      <c r="Y141" s="41"/>
      <c r="Z141" s="6" t="s">
        <v>978</v>
      </c>
      <c r="AA141" s="9" t="s">
        <v>528</v>
      </c>
      <c r="AB141" s="9" t="s">
        <v>1000</v>
      </c>
      <c r="AE141" s="37" t="n">
        <f aca="false">COUNTIF(環境認証!$A$2:$A$849,A141)</f>
        <v>1</v>
      </c>
      <c r="AF141" s="6" t="n">
        <v>24.2</v>
      </c>
      <c r="AG141" s="6" t="n">
        <v>20.4</v>
      </c>
    </row>
    <row r="142" customFormat="false" ht="15" hidden="false" customHeight="true" outlineLevel="0" collapsed="false">
      <c r="A142" s="6" t="s">
        <v>1015</v>
      </c>
      <c r="B142" s="6" t="s">
        <v>373</v>
      </c>
      <c r="C142" s="9" t="s">
        <v>1016</v>
      </c>
      <c r="D142" s="9" t="s">
        <v>522</v>
      </c>
      <c r="E142" s="9" t="s">
        <v>523</v>
      </c>
      <c r="F142" s="9" t="s">
        <v>532</v>
      </c>
      <c r="H142" s="9" t="s">
        <v>525</v>
      </c>
      <c r="J142" s="40"/>
      <c r="K142" s="38"/>
      <c r="L142" s="38"/>
      <c r="M142" s="32" t="n">
        <v>10405</v>
      </c>
      <c r="P142" s="39"/>
      <c r="Q142" s="34" t="str">
        <f aca="false">IF(OR($A142="",P142=""),"",ROUND(YEARFRAC(P142,README!$C$5),1))</f>
        <v/>
      </c>
      <c r="R142" s="39"/>
      <c r="S142" s="35" t="n">
        <v>13536.2</v>
      </c>
      <c r="T142" s="35" t="n">
        <v>11710.476</v>
      </c>
      <c r="U142" s="35" t="n">
        <v>13400</v>
      </c>
      <c r="V142" s="35" t="n">
        <v>1690</v>
      </c>
      <c r="W142" s="31" t="n">
        <v>0.989</v>
      </c>
      <c r="X142" s="6" t="n">
        <v>22</v>
      </c>
      <c r="Y142" s="41"/>
      <c r="Z142" s="6" t="s">
        <v>978</v>
      </c>
      <c r="AA142" s="9" t="s">
        <v>528</v>
      </c>
      <c r="AB142" s="9" t="s">
        <v>1017</v>
      </c>
      <c r="AE142" s="37" t="n">
        <f aca="false">COUNTIF(環境認証!$A$2:$A$849,A142)</f>
        <v>1</v>
      </c>
      <c r="AF142" s="6" t="n">
        <v>14.4</v>
      </c>
      <c r="AG142" s="6" t="n">
        <v>-1</v>
      </c>
    </row>
    <row r="143" customFormat="false" ht="15" hidden="false" customHeight="true" outlineLevel="0" collapsed="false">
      <c r="A143" s="6" t="s">
        <v>1018</v>
      </c>
      <c r="B143" s="6" t="s">
        <v>373</v>
      </c>
      <c r="C143" s="9" t="s">
        <v>1019</v>
      </c>
      <c r="D143" s="9" t="s">
        <v>522</v>
      </c>
      <c r="E143" s="9" t="s">
        <v>523</v>
      </c>
      <c r="F143" s="9" t="s">
        <v>666</v>
      </c>
      <c r="H143" s="9" t="s">
        <v>525</v>
      </c>
      <c r="J143" s="40"/>
      <c r="K143" s="38"/>
      <c r="L143" s="38"/>
      <c r="M143" s="32" t="n">
        <v>16261</v>
      </c>
      <c r="P143" s="39"/>
      <c r="Q143" s="34" t="str">
        <f aca="false">IF(OR($A143="",P143=""),"",ROUND(YEARFRAC(P143,README!$C$5),1))</f>
        <v/>
      </c>
      <c r="R143" s="39"/>
      <c r="S143" s="35" t="n">
        <v>13350</v>
      </c>
      <c r="T143" s="35" t="n">
        <v>11167.859</v>
      </c>
      <c r="U143" s="35" t="n">
        <v>13500</v>
      </c>
      <c r="V143" s="35" t="n">
        <v>2332</v>
      </c>
      <c r="W143" s="31" t="n">
        <v>1</v>
      </c>
      <c r="X143" s="6" t="n">
        <v>7</v>
      </c>
      <c r="Y143" s="41"/>
      <c r="Z143" s="6" t="s">
        <v>978</v>
      </c>
      <c r="AA143" s="9" t="s">
        <v>528</v>
      </c>
      <c r="AB143" s="9" t="s">
        <v>1000</v>
      </c>
      <c r="AE143" s="37" t="n">
        <f aca="false">COUNTIF(環境認証!$A$2:$A$849,A143)</f>
        <v>1</v>
      </c>
      <c r="AF143" s="6" t="n">
        <v>20.9</v>
      </c>
      <c r="AG143" s="6" t="n">
        <v>1.1</v>
      </c>
    </row>
    <row r="144" customFormat="false" ht="15" hidden="false" customHeight="true" outlineLevel="0" collapsed="false">
      <c r="A144" s="6" t="s">
        <v>1020</v>
      </c>
      <c r="B144" s="6" t="s">
        <v>373</v>
      </c>
      <c r="C144" s="9" t="s">
        <v>1021</v>
      </c>
      <c r="D144" s="9" t="s">
        <v>522</v>
      </c>
      <c r="E144" s="9" t="s">
        <v>523</v>
      </c>
      <c r="F144" s="9" t="s">
        <v>532</v>
      </c>
      <c r="H144" s="9" t="s">
        <v>525</v>
      </c>
      <c r="J144" s="40"/>
      <c r="K144" s="38"/>
      <c r="L144" s="38"/>
      <c r="M144" s="32" t="n">
        <v>5390</v>
      </c>
      <c r="P144" s="39"/>
      <c r="Q144" s="34" t="str">
        <f aca="false">IF(OR($A144="",P144=""),"",ROUND(YEARFRAC(P144,README!$C$5),1))</f>
        <v/>
      </c>
      <c r="R144" s="39"/>
      <c r="S144" s="35" t="n">
        <v>11900</v>
      </c>
      <c r="T144" s="35" t="n">
        <v>11061.277</v>
      </c>
      <c r="U144" s="35" t="n">
        <v>15100</v>
      </c>
      <c r="V144" s="35" t="n">
        <v>4039</v>
      </c>
      <c r="W144" s="31" t="n">
        <v>1</v>
      </c>
      <c r="X144" s="6" t="n">
        <v>10</v>
      </c>
      <c r="Y144" s="41"/>
      <c r="Z144" s="6" t="s">
        <v>978</v>
      </c>
      <c r="AA144" s="9" t="s">
        <v>528</v>
      </c>
      <c r="AB144" s="9" t="s">
        <v>1000</v>
      </c>
      <c r="AE144" s="37" t="n">
        <f aca="false">COUNTIF(環境認証!$A$2:$A$849,A144)</f>
        <v>1</v>
      </c>
      <c r="AF144" s="6" t="n">
        <v>36.5</v>
      </c>
      <c r="AG144" s="6" t="n">
        <v>26.9</v>
      </c>
    </row>
    <row r="145" customFormat="false" ht="15" hidden="false" customHeight="true" outlineLevel="0" collapsed="false">
      <c r="A145" s="6" t="s">
        <v>1022</v>
      </c>
      <c r="B145" s="6" t="s">
        <v>373</v>
      </c>
      <c r="C145" s="9" t="s">
        <v>1023</v>
      </c>
      <c r="D145" s="9" t="s">
        <v>522</v>
      </c>
      <c r="E145" s="9" t="s">
        <v>523</v>
      </c>
      <c r="F145" s="9" t="s">
        <v>532</v>
      </c>
      <c r="H145" s="9" t="s">
        <v>525</v>
      </c>
      <c r="J145" s="40"/>
      <c r="K145" s="38"/>
      <c r="L145" s="38"/>
      <c r="M145" s="38"/>
      <c r="P145" s="39"/>
      <c r="Q145" s="34" t="str">
        <f aca="false">IF(OR($A145="",P145=""),"",ROUND(YEARFRAC(P145,README!$C$5),1))</f>
        <v/>
      </c>
      <c r="R145" s="39"/>
      <c r="S145" s="35" t="n">
        <v>11416</v>
      </c>
      <c r="T145" s="35" t="n">
        <v>11869.021</v>
      </c>
      <c r="U145" s="35" t="n">
        <v>18600</v>
      </c>
      <c r="V145" s="35" t="n">
        <v>6731</v>
      </c>
      <c r="W145" s="40"/>
      <c r="Y145" s="41"/>
      <c r="Z145" s="6" t="s">
        <v>978</v>
      </c>
      <c r="AA145" s="9" t="s">
        <v>528</v>
      </c>
      <c r="AB145" s="9" t="s">
        <v>1024</v>
      </c>
      <c r="AE145" s="37" t="n">
        <f aca="false">COUNTIF(環境認証!$A$2:$A$849,A145)</f>
        <v>0</v>
      </c>
      <c r="AF145" s="6" t="n">
        <v>56.7</v>
      </c>
      <c r="AG145" s="6" t="n">
        <v>62.9</v>
      </c>
    </row>
    <row r="146" customFormat="false" ht="15" hidden="false" customHeight="true" outlineLevel="0" collapsed="false">
      <c r="A146" s="6" t="s">
        <v>1025</v>
      </c>
      <c r="B146" s="6" t="s">
        <v>373</v>
      </c>
      <c r="C146" s="9" t="s">
        <v>1026</v>
      </c>
      <c r="D146" s="9" t="s">
        <v>522</v>
      </c>
      <c r="E146" s="9" t="s">
        <v>523</v>
      </c>
      <c r="F146" s="9" t="s">
        <v>524</v>
      </c>
      <c r="H146" s="9" t="s">
        <v>525</v>
      </c>
      <c r="J146" s="40"/>
      <c r="K146" s="38"/>
      <c r="L146" s="38"/>
      <c r="M146" s="32" t="n">
        <v>2175</v>
      </c>
      <c r="P146" s="39"/>
      <c r="Q146" s="34" t="str">
        <f aca="false">IF(OR($A146="",P146=""),"",ROUND(YEARFRAC(P146,README!$C$5),1))</f>
        <v/>
      </c>
      <c r="R146" s="39"/>
      <c r="S146" s="35" t="n">
        <v>9398.168</v>
      </c>
      <c r="T146" s="35" t="n">
        <v>9441.945</v>
      </c>
      <c r="U146" s="35" t="n">
        <v>9610</v>
      </c>
      <c r="V146" s="35" t="n">
        <v>168</v>
      </c>
      <c r="W146" s="31" t="n">
        <v>0.961</v>
      </c>
      <c r="X146" s="6" t="n">
        <v>4</v>
      </c>
      <c r="Y146" s="41"/>
      <c r="Z146" s="6" t="s">
        <v>978</v>
      </c>
      <c r="AA146" s="9" t="s">
        <v>528</v>
      </c>
      <c r="AB146" s="9" t="s">
        <v>1027</v>
      </c>
      <c r="AE146" s="37" t="n">
        <f aca="false">COUNTIF(環境認証!$A$2:$A$849,A146)</f>
        <v>1</v>
      </c>
      <c r="AF146" s="6" t="n">
        <v>1.8</v>
      </c>
      <c r="AG146" s="6" t="n">
        <v>2.3</v>
      </c>
    </row>
    <row r="147" customFormat="false" ht="15" hidden="false" customHeight="true" outlineLevel="0" collapsed="false">
      <c r="A147" s="6" t="s">
        <v>1028</v>
      </c>
      <c r="B147" s="6" t="s">
        <v>373</v>
      </c>
      <c r="C147" s="9" t="s">
        <v>1029</v>
      </c>
      <c r="D147" s="9" t="s">
        <v>522</v>
      </c>
      <c r="E147" s="9" t="s">
        <v>523</v>
      </c>
      <c r="H147" s="9" t="s">
        <v>525</v>
      </c>
      <c r="J147" s="40"/>
      <c r="K147" s="38"/>
      <c r="L147" s="38"/>
      <c r="M147" s="32" t="n">
        <v>4035</v>
      </c>
      <c r="P147" s="39"/>
      <c r="Q147" s="34" t="str">
        <f aca="false">IF(OR($A147="",P147=""),"",ROUND(YEARFRAC(P147,README!$C$5),1))</f>
        <v/>
      </c>
      <c r="R147" s="39"/>
      <c r="S147" s="35" t="n">
        <v>9126</v>
      </c>
      <c r="T147" s="35" t="n">
        <v>9562.539</v>
      </c>
      <c r="U147" s="35" t="n">
        <v>13700</v>
      </c>
      <c r="V147" s="35" t="n">
        <v>4137</v>
      </c>
      <c r="W147" s="31" t="n">
        <v>1</v>
      </c>
      <c r="X147" s="6" t="n">
        <v>5</v>
      </c>
      <c r="Y147" s="41"/>
      <c r="Z147" s="6" t="s">
        <v>978</v>
      </c>
      <c r="AA147" s="9" t="s">
        <v>528</v>
      </c>
      <c r="AB147" s="9" t="s">
        <v>1000</v>
      </c>
      <c r="AE147" s="37" t="n">
        <f aca="false">COUNTIF(環境認証!$A$2:$A$849,A147)</f>
        <v>1</v>
      </c>
      <c r="AF147" s="6" t="n">
        <v>43.3</v>
      </c>
      <c r="AG147" s="6" t="n">
        <v>50.1</v>
      </c>
    </row>
    <row r="148" customFormat="false" ht="15" hidden="false" customHeight="true" outlineLevel="0" collapsed="false">
      <c r="A148" s="6" t="s">
        <v>1030</v>
      </c>
      <c r="B148" s="6" t="s">
        <v>373</v>
      </c>
      <c r="C148" s="9" t="s">
        <v>1031</v>
      </c>
      <c r="D148" s="9" t="s">
        <v>522</v>
      </c>
      <c r="E148" s="9" t="s">
        <v>523</v>
      </c>
      <c r="F148" s="9" t="s">
        <v>806</v>
      </c>
      <c r="H148" s="9" t="s">
        <v>525</v>
      </c>
      <c r="J148" s="40"/>
      <c r="K148" s="38"/>
      <c r="L148" s="38"/>
      <c r="M148" s="32" t="n">
        <v>7481</v>
      </c>
      <c r="P148" s="39"/>
      <c r="Q148" s="34" t="str">
        <f aca="false">IF(OR($A148="",P148=""),"",ROUND(YEARFRAC(P148,README!$C$5),1))</f>
        <v/>
      </c>
      <c r="R148" s="39"/>
      <c r="S148" s="35" t="n">
        <v>8800</v>
      </c>
      <c r="T148" s="35" t="n">
        <v>7512.403</v>
      </c>
      <c r="U148" s="35" t="n">
        <v>7460</v>
      </c>
      <c r="V148" s="35" t="n">
        <v>-52</v>
      </c>
      <c r="W148" s="31" t="n">
        <v>0.971</v>
      </c>
      <c r="X148" s="6" t="n">
        <v>39</v>
      </c>
      <c r="Y148" s="41"/>
      <c r="Z148" s="6" t="s">
        <v>978</v>
      </c>
      <c r="AA148" s="9" t="s">
        <v>528</v>
      </c>
      <c r="AB148" s="9" t="s">
        <v>1032</v>
      </c>
      <c r="AE148" s="37" t="n">
        <f aca="false">COUNTIF(環境認証!$A$2:$A$849,A148)</f>
        <v>1</v>
      </c>
      <c r="AF148" s="6" t="n">
        <v>-0.7</v>
      </c>
      <c r="AG148" s="6" t="n">
        <v>-15.2</v>
      </c>
    </row>
    <row r="149" customFormat="false" ht="15" hidden="false" customHeight="true" outlineLevel="0" collapsed="false">
      <c r="A149" s="6" t="s">
        <v>1033</v>
      </c>
      <c r="B149" s="6" t="s">
        <v>373</v>
      </c>
      <c r="C149" s="9" t="s">
        <v>1034</v>
      </c>
      <c r="D149" s="9" t="s">
        <v>522</v>
      </c>
      <c r="E149" s="9" t="s">
        <v>523</v>
      </c>
      <c r="F149" s="9" t="s">
        <v>648</v>
      </c>
      <c r="H149" s="9" t="s">
        <v>525</v>
      </c>
      <c r="J149" s="40"/>
      <c r="K149" s="38"/>
      <c r="L149" s="38"/>
      <c r="M149" s="32" t="n">
        <v>4999</v>
      </c>
      <c r="P149" s="39"/>
      <c r="Q149" s="34" t="str">
        <f aca="false">IF(OR($A149="",P149=""),"",ROUND(YEARFRAC(P149,README!$C$5),1))</f>
        <v/>
      </c>
      <c r="R149" s="39"/>
      <c r="S149" s="35" t="n">
        <v>8000</v>
      </c>
      <c r="T149" s="35" t="n">
        <v>8279.706</v>
      </c>
      <c r="U149" s="35" t="n">
        <v>11000</v>
      </c>
      <c r="V149" s="35" t="n">
        <v>2720</v>
      </c>
      <c r="W149" s="31" t="n">
        <v>1</v>
      </c>
      <c r="X149" s="6" t="n">
        <v>4</v>
      </c>
      <c r="Y149" s="41"/>
      <c r="Z149" s="6" t="s">
        <v>978</v>
      </c>
      <c r="AA149" s="9" t="s">
        <v>528</v>
      </c>
      <c r="AB149" s="9" t="s">
        <v>1000</v>
      </c>
      <c r="AE149" s="37" t="n">
        <f aca="false">COUNTIF(環境認証!$A$2:$A$849,A149)</f>
        <v>1</v>
      </c>
      <c r="AF149" s="6" t="n">
        <v>32.9</v>
      </c>
      <c r="AG149" s="6" t="n">
        <v>37.5</v>
      </c>
    </row>
    <row r="150" customFormat="false" ht="15" hidden="false" customHeight="true" outlineLevel="0" collapsed="false">
      <c r="A150" s="6" t="s">
        <v>1035</v>
      </c>
      <c r="B150" s="6" t="s">
        <v>373</v>
      </c>
      <c r="C150" s="9" t="s">
        <v>1036</v>
      </c>
      <c r="D150" s="9" t="s">
        <v>522</v>
      </c>
      <c r="E150" s="9" t="s">
        <v>523</v>
      </c>
      <c r="F150" s="9" t="s">
        <v>532</v>
      </c>
      <c r="H150" s="9" t="s">
        <v>525</v>
      </c>
      <c r="J150" s="40"/>
      <c r="K150" s="38"/>
      <c r="L150" s="38"/>
      <c r="M150" s="32" t="n">
        <v>10448</v>
      </c>
      <c r="P150" s="39"/>
      <c r="Q150" s="34" t="str">
        <f aca="false">IF(OR($A150="",P150=""),"",ROUND(YEARFRAC(P150,README!$C$5),1))</f>
        <v/>
      </c>
      <c r="R150" s="39"/>
      <c r="S150" s="35" t="n">
        <v>6667.2</v>
      </c>
      <c r="T150" s="35" t="n">
        <v>6027.755</v>
      </c>
      <c r="U150" s="35" t="n">
        <v>7850</v>
      </c>
      <c r="V150" s="35" t="n">
        <v>1822</v>
      </c>
      <c r="W150" s="31" t="n">
        <v>1</v>
      </c>
      <c r="X150" s="6" t="n">
        <v>13</v>
      </c>
      <c r="Y150" s="41"/>
      <c r="Z150" s="6" t="s">
        <v>978</v>
      </c>
      <c r="AA150" s="9" t="s">
        <v>528</v>
      </c>
      <c r="AB150" s="9" t="s">
        <v>1000</v>
      </c>
      <c r="AE150" s="37" t="n">
        <f aca="false">COUNTIF(環境認証!$A$2:$A$849,A150)</f>
        <v>1</v>
      </c>
      <c r="AF150" s="6" t="n">
        <v>30.2</v>
      </c>
      <c r="AG150" s="6" t="n">
        <v>17.7</v>
      </c>
    </row>
    <row r="151" customFormat="false" ht="15" hidden="false" customHeight="true" outlineLevel="0" collapsed="false">
      <c r="A151" s="6" t="s">
        <v>1037</v>
      </c>
      <c r="B151" s="6" t="s">
        <v>373</v>
      </c>
      <c r="C151" s="9" t="s">
        <v>1038</v>
      </c>
      <c r="D151" s="9" t="s">
        <v>522</v>
      </c>
      <c r="E151" s="9" t="s">
        <v>523</v>
      </c>
      <c r="F151" s="9" t="s">
        <v>532</v>
      </c>
      <c r="H151" s="9" t="s">
        <v>525</v>
      </c>
      <c r="J151" s="40"/>
      <c r="K151" s="38"/>
      <c r="L151" s="38"/>
      <c r="M151" s="32" t="n">
        <v>5258</v>
      </c>
      <c r="P151" s="39"/>
      <c r="Q151" s="34" t="str">
        <f aca="false">IF(OR($A151="",P151=""),"",ROUND(YEARFRAC(P151,README!$C$5),1))</f>
        <v/>
      </c>
      <c r="R151" s="39"/>
      <c r="S151" s="35" t="n">
        <v>6250</v>
      </c>
      <c r="T151" s="35" t="n">
        <v>6277.029</v>
      </c>
      <c r="U151" s="35" t="n">
        <v>8140</v>
      </c>
      <c r="V151" s="35" t="n">
        <v>1863</v>
      </c>
      <c r="W151" s="31" t="n">
        <v>1</v>
      </c>
      <c r="X151" s="6" t="n">
        <v>6</v>
      </c>
      <c r="Y151" s="41"/>
      <c r="Z151" s="6" t="s">
        <v>978</v>
      </c>
      <c r="AA151" s="9" t="s">
        <v>528</v>
      </c>
      <c r="AB151" s="9" t="s">
        <v>1000</v>
      </c>
      <c r="AE151" s="37" t="n">
        <f aca="false">COUNTIF(環境認証!$A$2:$A$849,A151)</f>
        <v>1</v>
      </c>
      <c r="AF151" s="6" t="n">
        <v>29.7</v>
      </c>
      <c r="AG151" s="6" t="n">
        <v>30.2</v>
      </c>
    </row>
    <row r="152" customFormat="false" ht="15" hidden="false" customHeight="true" outlineLevel="0" collapsed="false">
      <c r="A152" s="6" t="s">
        <v>1039</v>
      </c>
      <c r="B152" s="6" t="s">
        <v>373</v>
      </c>
      <c r="C152" s="9" t="s">
        <v>1040</v>
      </c>
      <c r="D152" s="9" t="s">
        <v>522</v>
      </c>
      <c r="E152" s="9" t="s">
        <v>523</v>
      </c>
      <c r="F152" s="9" t="s">
        <v>524</v>
      </c>
      <c r="H152" s="9" t="s">
        <v>525</v>
      </c>
      <c r="J152" s="40"/>
      <c r="K152" s="38"/>
      <c r="L152" s="38"/>
      <c r="M152" s="32" t="n">
        <v>4470</v>
      </c>
      <c r="P152" s="39"/>
      <c r="Q152" s="34" t="str">
        <f aca="false">IF(OR($A152="",P152=""),"",ROUND(YEARFRAC(P152,README!$C$5),1))</f>
        <v/>
      </c>
      <c r="R152" s="39"/>
      <c r="S152" s="35" t="n">
        <v>5960</v>
      </c>
      <c r="T152" s="35" t="n">
        <v>5086.939</v>
      </c>
      <c r="U152" s="35" t="n">
        <v>8680</v>
      </c>
      <c r="V152" s="35" t="n">
        <v>3593</v>
      </c>
      <c r="W152" s="31" t="n">
        <v>1</v>
      </c>
      <c r="X152" s="6" t="n">
        <v>10</v>
      </c>
      <c r="Y152" s="41"/>
      <c r="Z152" s="6" t="s">
        <v>978</v>
      </c>
      <c r="AA152" s="9" t="s">
        <v>528</v>
      </c>
      <c r="AB152" s="9" t="s">
        <v>1000</v>
      </c>
      <c r="AE152" s="37" t="n">
        <f aca="false">COUNTIF(環境認証!$A$2:$A$849,A152)</f>
        <v>1</v>
      </c>
      <c r="AF152" s="6" t="n">
        <v>70.6</v>
      </c>
      <c r="AG152" s="6" t="n">
        <v>45.6</v>
      </c>
    </row>
    <row r="153" customFormat="false" ht="15" hidden="false" customHeight="true" outlineLevel="0" collapsed="false">
      <c r="A153" s="6" t="s">
        <v>1041</v>
      </c>
      <c r="B153" s="6" t="s">
        <v>373</v>
      </c>
      <c r="C153" s="9" t="s">
        <v>1042</v>
      </c>
      <c r="D153" s="9" t="s">
        <v>522</v>
      </c>
      <c r="E153" s="9" t="s">
        <v>523</v>
      </c>
      <c r="F153" s="9" t="s">
        <v>524</v>
      </c>
      <c r="H153" s="9" t="s">
        <v>525</v>
      </c>
      <c r="J153" s="40"/>
      <c r="K153" s="38"/>
      <c r="L153" s="38"/>
      <c r="M153" s="32" t="n">
        <v>5340</v>
      </c>
      <c r="P153" s="39"/>
      <c r="Q153" s="34" t="str">
        <f aca="false">IF(OR($A153="",P153=""),"",ROUND(YEARFRAC(P153,README!$C$5),1))</f>
        <v/>
      </c>
      <c r="R153" s="39"/>
      <c r="S153" s="35" t="n">
        <v>5420</v>
      </c>
      <c r="T153" s="35" t="n">
        <v>5400.299</v>
      </c>
      <c r="U153" s="35" t="n">
        <v>6600</v>
      </c>
      <c r="V153" s="35" t="n">
        <v>1200</v>
      </c>
      <c r="W153" s="31" t="n">
        <v>1</v>
      </c>
      <c r="X153" s="6" t="n">
        <v>18</v>
      </c>
      <c r="Y153" s="41"/>
      <c r="Z153" s="6" t="s">
        <v>978</v>
      </c>
      <c r="AA153" s="9" t="s">
        <v>528</v>
      </c>
      <c r="AB153" s="9" t="s">
        <v>1043</v>
      </c>
      <c r="AE153" s="37" t="n">
        <f aca="false">COUNTIF(環境認証!$A$2:$A$849,A153)</f>
        <v>1</v>
      </c>
      <c r="AF153" s="6" t="n">
        <v>22.2</v>
      </c>
      <c r="AG153" s="6" t="n">
        <v>21.8</v>
      </c>
    </row>
    <row r="154" customFormat="false" ht="15" hidden="false" customHeight="true" outlineLevel="0" collapsed="false">
      <c r="A154" s="6" t="s">
        <v>1044</v>
      </c>
      <c r="B154" s="6" t="s">
        <v>373</v>
      </c>
      <c r="C154" s="9" t="s">
        <v>1045</v>
      </c>
      <c r="D154" s="9" t="s">
        <v>522</v>
      </c>
      <c r="E154" s="9" t="s">
        <v>523</v>
      </c>
      <c r="F154" s="9" t="s">
        <v>532</v>
      </c>
      <c r="H154" s="9" t="s">
        <v>525</v>
      </c>
      <c r="J154" s="40"/>
      <c r="K154" s="38"/>
      <c r="L154" s="38"/>
      <c r="M154" s="32" t="n">
        <v>5971</v>
      </c>
      <c r="P154" s="39"/>
      <c r="Q154" s="34" t="str">
        <f aca="false">IF(OR($A154="",P154=""),"",ROUND(YEARFRAC(P154,README!$C$5),1))</f>
        <v/>
      </c>
      <c r="R154" s="39"/>
      <c r="S154" s="35" t="n">
        <v>5365</v>
      </c>
      <c r="T154" s="35" t="n">
        <v>4796.836</v>
      </c>
      <c r="U154" s="35" t="n">
        <v>5360</v>
      </c>
      <c r="V154" s="35" t="n">
        <v>563</v>
      </c>
      <c r="W154" s="31" t="n">
        <v>1</v>
      </c>
      <c r="X154" s="6" t="n">
        <v>1</v>
      </c>
      <c r="Y154" s="41"/>
      <c r="Z154" s="6" t="s">
        <v>978</v>
      </c>
      <c r="AA154" s="9" t="s">
        <v>528</v>
      </c>
      <c r="AB154" s="9" t="s">
        <v>1046</v>
      </c>
      <c r="AE154" s="37" t="n">
        <f aca="false">COUNTIF(環境認証!$A$2:$A$849,A154)</f>
        <v>1</v>
      </c>
      <c r="AF154" s="6" t="n">
        <v>11.7</v>
      </c>
      <c r="AG154" s="6" t="n">
        <v>-0.1</v>
      </c>
    </row>
    <row r="155" customFormat="false" ht="15" hidden="false" customHeight="true" outlineLevel="0" collapsed="false">
      <c r="A155" s="6" t="s">
        <v>1047</v>
      </c>
      <c r="B155" s="6" t="s">
        <v>373</v>
      </c>
      <c r="C155" s="9" t="s">
        <v>1048</v>
      </c>
      <c r="D155" s="9" t="s">
        <v>522</v>
      </c>
      <c r="E155" s="9" t="s">
        <v>523</v>
      </c>
      <c r="F155" s="9" t="s">
        <v>666</v>
      </c>
      <c r="H155" s="9" t="s">
        <v>525</v>
      </c>
      <c r="J155" s="40"/>
      <c r="K155" s="38"/>
      <c r="L155" s="38"/>
      <c r="M155" s="32" t="n">
        <v>4871</v>
      </c>
      <c r="P155" s="39"/>
      <c r="Q155" s="34" t="str">
        <f aca="false">IF(OR($A155="",P155=""),"",ROUND(YEARFRAC(P155,README!$C$5),1))</f>
        <v/>
      </c>
      <c r="R155" s="39"/>
      <c r="S155" s="35" t="n">
        <v>5200</v>
      </c>
      <c r="T155" s="35" t="n">
        <v>4232.236</v>
      </c>
      <c r="U155" s="35" t="n">
        <v>7990</v>
      </c>
      <c r="V155" s="35" t="n">
        <v>3758</v>
      </c>
      <c r="W155" s="31" t="n">
        <v>1</v>
      </c>
      <c r="X155" s="6" t="n">
        <v>8</v>
      </c>
      <c r="Y155" s="41"/>
      <c r="Z155" s="6" t="s">
        <v>978</v>
      </c>
      <c r="AA155" s="9" t="s">
        <v>528</v>
      </c>
      <c r="AB155" s="9" t="s">
        <v>1000</v>
      </c>
      <c r="AE155" s="37" t="n">
        <f aca="false">COUNTIF(環境認証!$A$2:$A$849,A155)</f>
        <v>1</v>
      </c>
      <c r="AF155" s="6" t="n">
        <v>88.8</v>
      </c>
      <c r="AG155" s="6" t="n">
        <v>53.7</v>
      </c>
    </row>
    <row r="156" customFormat="false" ht="15" hidden="false" customHeight="true" outlineLevel="0" collapsed="false">
      <c r="A156" s="6" t="s">
        <v>1049</v>
      </c>
      <c r="B156" s="6" t="s">
        <v>373</v>
      </c>
      <c r="C156" s="9" t="s">
        <v>1050</v>
      </c>
      <c r="D156" s="9" t="s">
        <v>522</v>
      </c>
      <c r="E156" s="9" t="s">
        <v>523</v>
      </c>
      <c r="F156" s="9" t="s">
        <v>666</v>
      </c>
      <c r="H156" s="9" t="s">
        <v>525</v>
      </c>
      <c r="J156" s="40"/>
      <c r="K156" s="38"/>
      <c r="L156" s="38"/>
      <c r="M156" s="32" t="n">
        <v>3298</v>
      </c>
      <c r="P156" s="39"/>
      <c r="Q156" s="34" t="str">
        <f aca="false">IF(OR($A156="",P156=""),"",ROUND(YEARFRAC(P156,README!$C$5),1))</f>
        <v/>
      </c>
      <c r="R156" s="39"/>
      <c r="S156" s="35" t="n">
        <v>4850</v>
      </c>
      <c r="T156" s="35" t="n">
        <v>4257.858</v>
      </c>
      <c r="U156" s="35" t="n">
        <v>5570</v>
      </c>
      <c r="V156" s="35" t="n">
        <v>1312</v>
      </c>
      <c r="W156" s="31" t="n">
        <v>1</v>
      </c>
      <c r="X156" s="6" t="n">
        <v>2</v>
      </c>
      <c r="Y156" s="41"/>
      <c r="Z156" s="6" t="s">
        <v>978</v>
      </c>
      <c r="AA156" s="9" t="s">
        <v>528</v>
      </c>
      <c r="AB156" s="9" t="s">
        <v>1000</v>
      </c>
      <c r="AE156" s="37" t="n">
        <f aca="false">COUNTIF(環境認証!$A$2:$A$849,A156)</f>
        <v>1</v>
      </c>
      <c r="AF156" s="6" t="n">
        <v>30.8</v>
      </c>
      <c r="AG156" s="6" t="n">
        <v>14.8</v>
      </c>
    </row>
    <row r="157" customFormat="false" ht="15" hidden="false" customHeight="true" outlineLevel="0" collapsed="false">
      <c r="A157" s="6" t="s">
        <v>1051</v>
      </c>
      <c r="B157" s="6" t="s">
        <v>373</v>
      </c>
      <c r="C157" s="9" t="s">
        <v>1052</v>
      </c>
      <c r="D157" s="9" t="s">
        <v>522</v>
      </c>
      <c r="E157" s="9" t="s">
        <v>523</v>
      </c>
      <c r="F157" s="9" t="s">
        <v>666</v>
      </c>
      <c r="H157" s="9" t="s">
        <v>525</v>
      </c>
      <c r="J157" s="40"/>
      <c r="K157" s="38"/>
      <c r="L157" s="38"/>
      <c r="M157" s="32" t="n">
        <v>5270</v>
      </c>
      <c r="P157" s="39"/>
      <c r="Q157" s="34" t="str">
        <f aca="false">IF(OR($A157="",P157=""),"",ROUND(YEARFRAC(P157,README!$C$5),1))</f>
        <v/>
      </c>
      <c r="R157" s="39"/>
      <c r="S157" s="35" t="n">
        <v>4528.349</v>
      </c>
      <c r="T157" s="35" t="n">
        <v>4101.664</v>
      </c>
      <c r="U157" s="35" t="n">
        <v>5540</v>
      </c>
      <c r="V157" s="35" t="n">
        <v>1438</v>
      </c>
      <c r="W157" s="31" t="n">
        <v>1</v>
      </c>
      <c r="X157" s="6" t="n">
        <v>1</v>
      </c>
      <c r="Y157" s="41"/>
      <c r="Z157" s="6" t="s">
        <v>978</v>
      </c>
      <c r="AA157" s="9" t="s">
        <v>528</v>
      </c>
      <c r="AB157" s="9" t="s">
        <v>1053</v>
      </c>
      <c r="AE157" s="37" t="n">
        <f aca="false">COUNTIF(環境認証!$A$2:$A$849,A157)</f>
        <v>1</v>
      </c>
      <c r="AF157" s="6" t="n">
        <v>35.1</v>
      </c>
      <c r="AG157" s="6" t="n">
        <v>22.3</v>
      </c>
    </row>
    <row r="158" customFormat="false" ht="15" hidden="false" customHeight="true" outlineLevel="0" collapsed="false">
      <c r="A158" s="6" t="s">
        <v>1054</v>
      </c>
      <c r="B158" s="6" t="s">
        <v>373</v>
      </c>
      <c r="C158" s="9" t="s">
        <v>1055</v>
      </c>
      <c r="D158" s="9" t="s">
        <v>522</v>
      </c>
      <c r="E158" s="9" t="s">
        <v>523</v>
      </c>
      <c r="F158" s="9" t="s">
        <v>524</v>
      </c>
      <c r="H158" s="9" t="s">
        <v>525</v>
      </c>
      <c r="J158" s="40"/>
      <c r="K158" s="38"/>
      <c r="L158" s="38"/>
      <c r="M158" s="32" t="n">
        <v>5332</v>
      </c>
      <c r="P158" s="39"/>
      <c r="Q158" s="34" t="str">
        <f aca="false">IF(OR($A158="",P158=""),"",ROUND(YEARFRAC(P158,README!$C$5),1))</f>
        <v/>
      </c>
      <c r="R158" s="39"/>
      <c r="S158" s="35" t="n">
        <v>4050</v>
      </c>
      <c r="T158" s="35" t="n">
        <v>4327.607</v>
      </c>
      <c r="U158" s="35" t="n">
        <v>5270</v>
      </c>
      <c r="V158" s="35" t="n">
        <v>942</v>
      </c>
      <c r="W158" s="31" t="n">
        <v>1</v>
      </c>
      <c r="X158" s="6" t="n">
        <v>16</v>
      </c>
      <c r="Y158" s="41"/>
      <c r="Z158" s="6" t="s">
        <v>978</v>
      </c>
      <c r="AA158" s="9" t="s">
        <v>528</v>
      </c>
      <c r="AB158" s="9" t="s">
        <v>1000</v>
      </c>
      <c r="AE158" s="37" t="n">
        <f aca="false">COUNTIF(環境認証!$A$2:$A$849,A158)</f>
        <v>1</v>
      </c>
      <c r="AF158" s="6" t="n">
        <v>21.8</v>
      </c>
      <c r="AG158" s="6" t="n">
        <v>30.1</v>
      </c>
    </row>
    <row r="159" customFormat="false" ht="15" hidden="false" customHeight="true" outlineLevel="0" collapsed="false">
      <c r="A159" s="6" t="s">
        <v>1056</v>
      </c>
      <c r="B159" s="6" t="s">
        <v>373</v>
      </c>
      <c r="C159" s="9" t="s">
        <v>1057</v>
      </c>
      <c r="D159" s="9" t="s">
        <v>522</v>
      </c>
      <c r="E159" s="9" t="s">
        <v>523</v>
      </c>
      <c r="F159" s="9" t="s">
        <v>648</v>
      </c>
      <c r="H159" s="9" t="s">
        <v>525</v>
      </c>
      <c r="J159" s="40"/>
      <c r="K159" s="38"/>
      <c r="L159" s="38"/>
      <c r="M159" s="32" t="n">
        <v>7213</v>
      </c>
      <c r="P159" s="39"/>
      <c r="Q159" s="34" t="str">
        <f aca="false">IF(OR($A159="",P159=""),"",ROUND(YEARFRAC(P159,README!$C$5),1))</f>
        <v/>
      </c>
      <c r="R159" s="39"/>
      <c r="S159" s="35" t="n">
        <v>3700</v>
      </c>
      <c r="T159" s="35" t="n">
        <v>2596.703</v>
      </c>
      <c r="U159" s="35" t="n">
        <v>4320</v>
      </c>
      <c r="V159" s="35" t="n">
        <v>1723</v>
      </c>
      <c r="W159" s="31" t="n">
        <v>0.88</v>
      </c>
      <c r="X159" s="6" t="n">
        <v>7</v>
      </c>
      <c r="Y159" s="41"/>
      <c r="Z159" s="6" t="s">
        <v>978</v>
      </c>
      <c r="AA159" s="9" t="s">
        <v>528</v>
      </c>
      <c r="AB159" s="9" t="s">
        <v>1000</v>
      </c>
      <c r="AE159" s="37" t="n">
        <f aca="false">COUNTIF(環境認証!$A$2:$A$849,A159)</f>
        <v>1</v>
      </c>
      <c r="AF159" s="6" t="n">
        <v>66.4</v>
      </c>
      <c r="AG159" s="6" t="n">
        <v>16.8</v>
      </c>
    </row>
    <row r="160" customFormat="false" ht="15" hidden="false" customHeight="true" outlineLevel="0" collapsed="false">
      <c r="A160" s="6" t="s">
        <v>1058</v>
      </c>
      <c r="B160" s="6" t="s">
        <v>373</v>
      </c>
      <c r="C160" s="9" t="s">
        <v>1059</v>
      </c>
      <c r="D160" s="9" t="s">
        <v>522</v>
      </c>
      <c r="E160" s="9" t="s">
        <v>523</v>
      </c>
      <c r="F160" s="9" t="s">
        <v>543</v>
      </c>
      <c r="H160" s="9" t="s">
        <v>540</v>
      </c>
      <c r="J160" s="40"/>
      <c r="K160" s="38"/>
      <c r="L160" s="38"/>
      <c r="M160" s="32" t="n">
        <v>51512</v>
      </c>
      <c r="P160" s="39"/>
      <c r="Q160" s="34" t="str">
        <f aca="false">IF(OR($A160="",P160=""),"",ROUND(YEARFRAC(P160,README!$C$5),1))</f>
        <v/>
      </c>
      <c r="R160" s="39"/>
      <c r="S160" s="35" t="n">
        <v>80100</v>
      </c>
      <c r="T160" s="35" t="n">
        <v>78755.379</v>
      </c>
      <c r="U160" s="35" t="n">
        <v>80900</v>
      </c>
      <c r="V160" s="35" t="n">
        <v>2145</v>
      </c>
      <c r="W160" s="31" t="n">
        <v>1</v>
      </c>
      <c r="X160" s="6" t="n">
        <v>4</v>
      </c>
      <c r="Y160" s="41"/>
      <c r="Z160" s="6" t="s">
        <v>978</v>
      </c>
      <c r="AA160" s="9" t="s">
        <v>528</v>
      </c>
      <c r="AB160" s="9" t="s">
        <v>1060</v>
      </c>
      <c r="AE160" s="37" t="n">
        <f aca="false">COUNTIF(環境認証!$A$2:$A$849,A160)</f>
        <v>1</v>
      </c>
      <c r="AF160" s="6" t="n">
        <v>2.7</v>
      </c>
      <c r="AG160" s="6" t="n">
        <v>1</v>
      </c>
    </row>
    <row r="161" customFormat="false" ht="15" hidden="false" customHeight="true" outlineLevel="0" collapsed="false">
      <c r="A161" s="6" t="s">
        <v>1061</v>
      </c>
      <c r="B161" s="6" t="s">
        <v>373</v>
      </c>
      <c r="C161" s="9" t="s">
        <v>1062</v>
      </c>
      <c r="D161" s="9" t="s">
        <v>522</v>
      </c>
      <c r="E161" s="9" t="s">
        <v>523</v>
      </c>
      <c r="F161" s="9" t="s">
        <v>625</v>
      </c>
      <c r="H161" s="9" t="s">
        <v>540</v>
      </c>
      <c r="J161" s="40"/>
      <c r="K161" s="38"/>
      <c r="L161" s="38"/>
      <c r="M161" s="32" t="n">
        <v>74425</v>
      </c>
      <c r="P161" s="39"/>
      <c r="Q161" s="34" t="str">
        <f aca="false">IF(OR($A161="",P161=""),"",ROUND(YEARFRAC(P161,README!$C$5),1))</f>
        <v/>
      </c>
      <c r="R161" s="39"/>
      <c r="S161" s="35" t="n">
        <v>66660</v>
      </c>
      <c r="T161" s="35" t="n">
        <v>59991.582</v>
      </c>
      <c r="U161" s="35" t="n">
        <v>87400</v>
      </c>
      <c r="V161" s="35" t="n">
        <v>27408</v>
      </c>
      <c r="W161" s="31" t="n">
        <v>1</v>
      </c>
      <c r="X161" s="6" t="n">
        <v>3</v>
      </c>
      <c r="Y161" s="41"/>
      <c r="Z161" s="6" t="s">
        <v>978</v>
      </c>
      <c r="AA161" s="9" t="s">
        <v>528</v>
      </c>
      <c r="AB161" s="9" t="s">
        <v>1063</v>
      </c>
      <c r="AE161" s="37" t="n">
        <f aca="false">COUNTIF(環境認証!$A$2:$A$849,A161)</f>
        <v>1</v>
      </c>
      <c r="AF161" s="6" t="n">
        <v>45.7</v>
      </c>
      <c r="AG161" s="6" t="n">
        <v>31.1</v>
      </c>
    </row>
    <row r="162" customFormat="false" ht="15" hidden="false" customHeight="true" outlineLevel="0" collapsed="false">
      <c r="A162" s="6" t="s">
        <v>1064</v>
      </c>
      <c r="B162" s="6" t="s">
        <v>373</v>
      </c>
      <c r="C162" s="9" t="s">
        <v>1065</v>
      </c>
      <c r="D162" s="9" t="s">
        <v>522</v>
      </c>
      <c r="E162" s="9" t="s">
        <v>523</v>
      </c>
      <c r="F162" s="9" t="s">
        <v>625</v>
      </c>
      <c r="H162" s="9" t="s">
        <v>540</v>
      </c>
      <c r="J162" s="40"/>
      <c r="K162" s="38"/>
      <c r="L162" s="38"/>
      <c r="M162" s="32" t="n">
        <v>41880</v>
      </c>
      <c r="P162" s="39"/>
      <c r="Q162" s="34" t="str">
        <f aca="false">IF(OR($A162="",P162=""),"",ROUND(YEARFRAC(P162,README!$C$5),1))</f>
        <v/>
      </c>
      <c r="R162" s="39"/>
      <c r="S162" s="35" t="n">
        <v>57281.06</v>
      </c>
      <c r="T162" s="35" t="n">
        <v>47525.115</v>
      </c>
      <c r="U162" s="35" t="n">
        <v>72000</v>
      </c>
      <c r="V162" s="35" t="n">
        <v>24475</v>
      </c>
      <c r="W162" s="31" t="n">
        <v>0.996</v>
      </c>
      <c r="X162" s="6" t="n">
        <v>80</v>
      </c>
      <c r="Y162" s="41"/>
      <c r="Z162" s="6" t="s">
        <v>978</v>
      </c>
      <c r="AA162" s="9" t="s">
        <v>528</v>
      </c>
      <c r="AB162" s="9" t="s">
        <v>1066</v>
      </c>
      <c r="AE162" s="37" t="n">
        <f aca="false">COUNTIF(環境認証!$A$2:$A$849,A162)</f>
        <v>2</v>
      </c>
      <c r="AF162" s="6" t="n">
        <v>51.5</v>
      </c>
      <c r="AG162" s="6" t="n">
        <v>25.7</v>
      </c>
    </row>
    <row r="163" customFormat="false" ht="15" hidden="false" customHeight="true" outlineLevel="0" collapsed="false">
      <c r="A163" s="6" t="s">
        <v>1067</v>
      </c>
      <c r="B163" s="6" t="s">
        <v>373</v>
      </c>
      <c r="C163" s="9" t="s">
        <v>1068</v>
      </c>
      <c r="D163" s="9" t="s">
        <v>522</v>
      </c>
      <c r="E163" s="9" t="s">
        <v>523</v>
      </c>
      <c r="F163" s="9" t="s">
        <v>543</v>
      </c>
      <c r="H163" s="9" t="s">
        <v>540</v>
      </c>
      <c r="J163" s="40"/>
      <c r="K163" s="38"/>
      <c r="L163" s="38"/>
      <c r="M163" s="32" t="n">
        <v>36639</v>
      </c>
      <c r="P163" s="39"/>
      <c r="Q163" s="34" t="str">
        <f aca="false">IF(OR($A163="",P163=""),"",ROUND(YEARFRAC(P163,README!$C$5),1))</f>
        <v/>
      </c>
      <c r="R163" s="39"/>
      <c r="S163" s="35" t="n">
        <v>35200</v>
      </c>
      <c r="T163" s="35" t="n">
        <v>27034.033</v>
      </c>
      <c r="U163" s="35" t="n">
        <v>38500</v>
      </c>
      <c r="V163" s="35" t="n">
        <v>11466</v>
      </c>
      <c r="W163" s="31" t="n">
        <v>1</v>
      </c>
      <c r="X163" s="6" t="n">
        <v>17</v>
      </c>
      <c r="Y163" s="41"/>
      <c r="Z163" s="6" t="s">
        <v>978</v>
      </c>
      <c r="AA163" s="9" t="s">
        <v>528</v>
      </c>
      <c r="AB163" s="9" t="s">
        <v>1069</v>
      </c>
      <c r="AE163" s="37" t="n">
        <f aca="false">COUNTIF(環境認証!$A$2:$A$849,A163)</f>
        <v>1</v>
      </c>
      <c r="AF163" s="6" t="n">
        <v>42.4</v>
      </c>
      <c r="AG163" s="6" t="n">
        <v>9.4</v>
      </c>
    </row>
    <row r="164" customFormat="false" ht="15" hidden="false" customHeight="true" outlineLevel="0" collapsed="false">
      <c r="A164" s="6" t="s">
        <v>1070</v>
      </c>
      <c r="B164" s="6" t="s">
        <v>373</v>
      </c>
      <c r="C164" s="9" t="s">
        <v>1071</v>
      </c>
      <c r="D164" s="9" t="s">
        <v>522</v>
      </c>
      <c r="E164" s="9" t="s">
        <v>523</v>
      </c>
      <c r="F164" s="9" t="s">
        <v>539</v>
      </c>
      <c r="H164" s="9" t="s">
        <v>540</v>
      </c>
      <c r="J164" s="40"/>
      <c r="K164" s="38"/>
      <c r="L164" s="38"/>
      <c r="M164" s="32" t="n">
        <v>28711</v>
      </c>
      <c r="P164" s="39"/>
      <c r="Q164" s="34" t="str">
        <f aca="false">IF(OR($A164="",P164=""),"",ROUND(YEARFRAC(P164,README!$C$5),1))</f>
        <v/>
      </c>
      <c r="R164" s="39"/>
      <c r="S164" s="35" t="n">
        <v>35000</v>
      </c>
      <c r="T164" s="35" t="n">
        <v>32031.252</v>
      </c>
      <c r="U164" s="35" t="n">
        <v>42300</v>
      </c>
      <c r="V164" s="35" t="n">
        <v>10269</v>
      </c>
      <c r="W164" s="31" t="n">
        <v>1</v>
      </c>
      <c r="X164" s="6" t="n">
        <v>2</v>
      </c>
      <c r="Y164" s="41"/>
      <c r="Z164" s="6" t="s">
        <v>978</v>
      </c>
      <c r="AA164" s="9" t="s">
        <v>528</v>
      </c>
      <c r="AB164" s="9" t="s">
        <v>1072</v>
      </c>
      <c r="AE164" s="37" t="n">
        <f aca="false">COUNTIF(環境認証!$A$2:$A$849,A164)</f>
        <v>1</v>
      </c>
      <c r="AF164" s="6" t="n">
        <v>32.1</v>
      </c>
      <c r="AG164" s="6" t="n">
        <v>20.9</v>
      </c>
    </row>
    <row r="165" customFormat="false" ht="15" hidden="false" customHeight="true" outlineLevel="0" collapsed="false">
      <c r="A165" s="6" t="s">
        <v>1073</v>
      </c>
      <c r="B165" s="6" t="s">
        <v>373</v>
      </c>
      <c r="C165" s="9" t="s">
        <v>1074</v>
      </c>
      <c r="D165" s="9" t="s">
        <v>522</v>
      </c>
      <c r="E165" s="9" t="s">
        <v>523</v>
      </c>
      <c r="F165" s="9" t="s">
        <v>543</v>
      </c>
      <c r="H165" s="9" t="s">
        <v>540</v>
      </c>
      <c r="J165" s="40"/>
      <c r="K165" s="38"/>
      <c r="L165" s="38"/>
      <c r="M165" s="32" t="n">
        <v>28299</v>
      </c>
      <c r="P165" s="39"/>
      <c r="Q165" s="34" t="str">
        <f aca="false">IF(OR($A165="",P165=""),"",ROUND(YEARFRAC(P165,README!$C$5),1))</f>
        <v/>
      </c>
      <c r="R165" s="39"/>
      <c r="S165" s="35" t="n">
        <v>25018</v>
      </c>
      <c r="T165" s="35" t="n">
        <v>21221.922</v>
      </c>
      <c r="U165" s="35" t="n">
        <v>30100</v>
      </c>
      <c r="V165" s="35" t="n">
        <v>8878</v>
      </c>
      <c r="W165" s="31" t="n">
        <v>1</v>
      </c>
      <c r="X165" s="6" t="n">
        <v>5</v>
      </c>
      <c r="Y165" s="41"/>
      <c r="Z165" s="6" t="s">
        <v>978</v>
      </c>
      <c r="AA165" s="9" t="s">
        <v>528</v>
      </c>
      <c r="AB165" s="9" t="s">
        <v>1075</v>
      </c>
      <c r="AE165" s="37" t="n">
        <f aca="false">COUNTIF(環境認証!$A$2:$A$849,A165)</f>
        <v>1</v>
      </c>
      <c r="AF165" s="6" t="n">
        <v>41.8</v>
      </c>
      <c r="AG165" s="6" t="n">
        <v>20.3</v>
      </c>
    </row>
    <row r="166" customFormat="false" ht="15" hidden="false" customHeight="true" outlineLevel="0" collapsed="false">
      <c r="A166" s="6" t="s">
        <v>1076</v>
      </c>
      <c r="B166" s="6" t="s">
        <v>373</v>
      </c>
      <c r="C166" s="9" t="s">
        <v>1077</v>
      </c>
      <c r="D166" s="9" t="s">
        <v>522</v>
      </c>
      <c r="E166" s="9" t="s">
        <v>523</v>
      </c>
      <c r="F166" s="9" t="s">
        <v>625</v>
      </c>
      <c r="H166" s="9" t="s">
        <v>540</v>
      </c>
      <c r="J166" s="40"/>
      <c r="K166" s="38"/>
      <c r="L166" s="38"/>
      <c r="M166" s="32" t="n">
        <v>14179</v>
      </c>
      <c r="P166" s="39"/>
      <c r="Q166" s="34" t="str">
        <f aca="false">IF(OR($A166="",P166=""),"",ROUND(YEARFRAC(P166,README!$C$5),1))</f>
        <v/>
      </c>
      <c r="R166" s="39"/>
      <c r="S166" s="35" t="n">
        <v>24380</v>
      </c>
      <c r="T166" s="35" t="n">
        <v>22582.726</v>
      </c>
      <c r="U166" s="35" t="n">
        <v>25600</v>
      </c>
      <c r="V166" s="35" t="n">
        <v>3017</v>
      </c>
      <c r="W166" s="31" t="n">
        <v>0.994</v>
      </c>
      <c r="X166" s="6" t="n">
        <v>22</v>
      </c>
      <c r="Y166" s="41"/>
      <c r="Z166" s="6" t="s">
        <v>978</v>
      </c>
      <c r="AA166" s="9" t="s">
        <v>528</v>
      </c>
      <c r="AB166" s="9" t="s">
        <v>1078</v>
      </c>
      <c r="AE166" s="37" t="n">
        <f aca="false">COUNTIF(環境認証!$A$2:$A$849,A166)</f>
        <v>1</v>
      </c>
      <c r="AF166" s="6" t="n">
        <v>13.4</v>
      </c>
      <c r="AG166" s="6" t="n">
        <v>5</v>
      </c>
    </row>
    <row r="167" customFormat="false" ht="15" hidden="false" customHeight="true" outlineLevel="0" collapsed="false">
      <c r="A167" s="6" t="s">
        <v>1079</v>
      </c>
      <c r="B167" s="6" t="s">
        <v>373</v>
      </c>
      <c r="C167" s="9" t="s">
        <v>1080</v>
      </c>
      <c r="D167" s="9" t="s">
        <v>522</v>
      </c>
      <c r="E167" s="9" t="s">
        <v>523</v>
      </c>
      <c r="F167" s="9" t="s">
        <v>906</v>
      </c>
      <c r="H167" s="9" t="s">
        <v>540</v>
      </c>
      <c r="J167" s="40"/>
      <c r="K167" s="38"/>
      <c r="L167" s="38"/>
      <c r="M167" s="32" t="n">
        <v>21438</v>
      </c>
      <c r="P167" s="39"/>
      <c r="Q167" s="34" t="str">
        <f aca="false">IF(OR($A167="",P167=""),"",ROUND(YEARFRAC(P167,README!$C$5),1))</f>
        <v/>
      </c>
      <c r="R167" s="39"/>
      <c r="S167" s="35" t="n">
        <v>23856</v>
      </c>
      <c r="T167" s="35" t="n">
        <v>15801.952</v>
      </c>
      <c r="U167" s="35" t="n">
        <v>21000</v>
      </c>
      <c r="V167" s="35" t="n">
        <v>5198</v>
      </c>
      <c r="W167" s="31" t="n">
        <v>1</v>
      </c>
      <c r="X167" s="6" t="n">
        <v>17</v>
      </c>
      <c r="Y167" s="41"/>
      <c r="Z167" s="6" t="s">
        <v>978</v>
      </c>
      <c r="AA167" s="9" t="s">
        <v>528</v>
      </c>
      <c r="AB167" s="9" t="s">
        <v>1081</v>
      </c>
      <c r="AE167" s="37" t="n">
        <f aca="false">COUNTIF(環境認証!$A$2:$A$849,A167)</f>
        <v>1</v>
      </c>
      <c r="AF167" s="6" t="n">
        <v>32.9</v>
      </c>
      <c r="AG167" s="6" t="n">
        <v>-12</v>
      </c>
    </row>
    <row r="168" customFormat="false" ht="15" hidden="false" customHeight="true" outlineLevel="0" collapsed="false">
      <c r="A168" s="6" t="s">
        <v>1082</v>
      </c>
      <c r="B168" s="6" t="s">
        <v>373</v>
      </c>
      <c r="C168" s="9" t="s">
        <v>1083</v>
      </c>
      <c r="D168" s="9" t="s">
        <v>522</v>
      </c>
      <c r="E168" s="9" t="s">
        <v>523</v>
      </c>
      <c r="F168" s="9" t="s">
        <v>625</v>
      </c>
      <c r="H168" s="9" t="s">
        <v>540</v>
      </c>
      <c r="J168" s="40"/>
      <c r="K168" s="38"/>
      <c r="L168" s="38"/>
      <c r="M168" s="32" t="n">
        <v>6079</v>
      </c>
      <c r="P168" s="39"/>
      <c r="Q168" s="34" t="str">
        <f aca="false">IF(OR($A168="",P168=""),"",ROUND(YEARFRAC(P168,README!$C$5),1))</f>
        <v/>
      </c>
      <c r="R168" s="39"/>
      <c r="S168" s="35" t="n">
        <v>13970</v>
      </c>
      <c r="T168" s="35" t="n">
        <v>13384.632</v>
      </c>
      <c r="U168" s="35" t="n">
        <v>14700</v>
      </c>
      <c r="V168" s="35" t="n">
        <v>1315</v>
      </c>
      <c r="W168" s="31" t="n">
        <v>0.998</v>
      </c>
      <c r="X168" s="6" t="n">
        <v>12</v>
      </c>
      <c r="Y168" s="41"/>
      <c r="Z168" s="6" t="s">
        <v>978</v>
      </c>
      <c r="AA168" s="9" t="s">
        <v>528</v>
      </c>
      <c r="AB168" s="9" t="s">
        <v>985</v>
      </c>
      <c r="AE168" s="37" t="n">
        <f aca="false">COUNTIF(環境認証!$A$2:$A$849,A168)</f>
        <v>1</v>
      </c>
      <c r="AF168" s="6" t="n">
        <v>9.8</v>
      </c>
      <c r="AG168" s="6" t="n">
        <v>5.2</v>
      </c>
    </row>
    <row r="169" customFormat="false" ht="15" hidden="false" customHeight="true" outlineLevel="0" collapsed="false">
      <c r="A169" s="6" t="s">
        <v>1084</v>
      </c>
      <c r="B169" s="6" t="s">
        <v>373</v>
      </c>
      <c r="C169" s="9" t="s">
        <v>1085</v>
      </c>
      <c r="D169" s="9" t="s">
        <v>522</v>
      </c>
      <c r="E169" s="9" t="s">
        <v>523</v>
      </c>
      <c r="F169" s="9" t="s">
        <v>893</v>
      </c>
      <c r="H169" s="9" t="s">
        <v>540</v>
      </c>
      <c r="J169" s="40"/>
      <c r="K169" s="38"/>
      <c r="L169" s="38"/>
      <c r="M169" s="32" t="n">
        <v>11073</v>
      </c>
      <c r="P169" s="39"/>
      <c r="Q169" s="34" t="str">
        <f aca="false">IF(OR($A169="",P169=""),"",ROUND(YEARFRAC(P169,README!$C$5),1))</f>
        <v/>
      </c>
      <c r="R169" s="39"/>
      <c r="S169" s="35" t="n">
        <v>8630</v>
      </c>
      <c r="T169" s="35" t="n">
        <v>8798.767</v>
      </c>
      <c r="U169" s="35" t="n">
        <v>14300</v>
      </c>
      <c r="V169" s="35" t="n">
        <v>5501</v>
      </c>
      <c r="W169" s="31" t="n">
        <v>0.979</v>
      </c>
      <c r="X169" s="6" t="n">
        <v>20</v>
      </c>
      <c r="Y169" s="41"/>
      <c r="Z169" s="6" t="s">
        <v>978</v>
      </c>
      <c r="AA169" s="9" t="s">
        <v>528</v>
      </c>
      <c r="AB169" s="9" t="s">
        <v>1000</v>
      </c>
      <c r="AE169" s="37" t="n">
        <f aca="false">COUNTIF(環境認証!$A$2:$A$849,A169)</f>
        <v>1</v>
      </c>
      <c r="AF169" s="6" t="n">
        <v>62.5</v>
      </c>
      <c r="AG169" s="6" t="n">
        <v>65.7</v>
      </c>
    </row>
    <row r="170" customFormat="false" ht="15" hidden="false" customHeight="true" outlineLevel="0" collapsed="false">
      <c r="A170" s="6" t="s">
        <v>1086</v>
      </c>
      <c r="B170" s="6" t="s">
        <v>373</v>
      </c>
      <c r="C170" s="9" t="s">
        <v>1087</v>
      </c>
      <c r="D170" s="9" t="s">
        <v>522</v>
      </c>
      <c r="E170" s="9" t="s">
        <v>523</v>
      </c>
      <c r="F170" s="9" t="s">
        <v>625</v>
      </c>
      <c r="H170" s="9" t="s">
        <v>540</v>
      </c>
      <c r="J170" s="40"/>
      <c r="K170" s="38"/>
      <c r="L170" s="38"/>
      <c r="M170" s="32" t="n">
        <v>6166</v>
      </c>
      <c r="P170" s="39"/>
      <c r="Q170" s="34" t="str">
        <f aca="false">IF(OR($A170="",P170=""),"",ROUND(YEARFRAC(P170,README!$C$5),1))</f>
        <v/>
      </c>
      <c r="R170" s="39"/>
      <c r="S170" s="35" t="n">
        <v>8350</v>
      </c>
      <c r="T170" s="35" t="n">
        <v>6796.004</v>
      </c>
      <c r="U170" s="35" t="n">
        <v>9050</v>
      </c>
      <c r="V170" s="35" t="n">
        <v>2254</v>
      </c>
      <c r="W170" s="31" t="n">
        <v>1</v>
      </c>
      <c r="X170" s="6" t="n">
        <v>16</v>
      </c>
      <c r="Y170" s="41"/>
      <c r="Z170" s="6" t="s">
        <v>978</v>
      </c>
      <c r="AA170" s="9" t="s">
        <v>528</v>
      </c>
      <c r="AB170" s="9" t="s">
        <v>985</v>
      </c>
      <c r="AE170" s="37" t="n">
        <f aca="false">COUNTIF(環境認証!$A$2:$A$849,A170)</f>
        <v>1</v>
      </c>
      <c r="AF170" s="6" t="n">
        <v>33.2</v>
      </c>
      <c r="AG170" s="6" t="n">
        <v>8.4</v>
      </c>
    </row>
    <row r="171" customFormat="false" ht="15" hidden="false" customHeight="true" outlineLevel="0" collapsed="false">
      <c r="A171" s="6" t="s">
        <v>1088</v>
      </c>
      <c r="B171" s="6" t="s">
        <v>373</v>
      </c>
      <c r="C171" s="9" t="s">
        <v>1089</v>
      </c>
      <c r="D171" s="9" t="s">
        <v>522</v>
      </c>
      <c r="E171" s="9" t="s">
        <v>523</v>
      </c>
      <c r="F171" s="9" t="s">
        <v>893</v>
      </c>
      <c r="H171" s="9" t="s">
        <v>540</v>
      </c>
      <c r="J171" s="40"/>
      <c r="K171" s="38"/>
      <c r="L171" s="38"/>
      <c r="M171" s="32" t="n">
        <v>5642</v>
      </c>
      <c r="P171" s="39"/>
      <c r="Q171" s="34" t="str">
        <f aca="false">IF(OR($A171="",P171=""),"",ROUND(YEARFRAC(P171,README!$C$5),1))</f>
        <v/>
      </c>
      <c r="R171" s="39"/>
      <c r="S171" s="35" t="n">
        <v>4695</v>
      </c>
      <c r="T171" s="35" t="n">
        <v>4152.394</v>
      </c>
      <c r="U171" s="35" t="n">
        <v>6000</v>
      </c>
      <c r="V171" s="35" t="n">
        <v>1848</v>
      </c>
      <c r="W171" s="31" t="n">
        <v>1</v>
      </c>
      <c r="X171" s="6" t="n">
        <v>18</v>
      </c>
      <c r="Y171" s="41"/>
      <c r="Z171" s="6" t="s">
        <v>978</v>
      </c>
      <c r="AA171" s="9" t="s">
        <v>528</v>
      </c>
      <c r="AB171" s="9" t="s">
        <v>1000</v>
      </c>
      <c r="AE171" s="37" t="n">
        <f aca="false">COUNTIF(環境認証!$A$2:$A$849,A171)</f>
        <v>1</v>
      </c>
      <c r="AF171" s="6" t="n">
        <v>44.5</v>
      </c>
      <c r="AG171" s="6" t="n">
        <v>27.8</v>
      </c>
    </row>
    <row r="172" customFormat="false" ht="15" hidden="false" customHeight="true" outlineLevel="0" collapsed="false">
      <c r="A172" s="6" t="s">
        <v>1090</v>
      </c>
      <c r="B172" s="6" t="s">
        <v>373</v>
      </c>
      <c r="C172" s="9" t="s">
        <v>1091</v>
      </c>
      <c r="D172" s="9" t="s">
        <v>522</v>
      </c>
      <c r="E172" s="9" t="s">
        <v>523</v>
      </c>
      <c r="F172" s="9" t="s">
        <v>893</v>
      </c>
      <c r="H172" s="9" t="s">
        <v>540</v>
      </c>
      <c r="J172" s="40"/>
      <c r="K172" s="38"/>
      <c r="L172" s="38"/>
      <c r="M172" s="32" t="n">
        <v>5021</v>
      </c>
      <c r="P172" s="39"/>
      <c r="Q172" s="34" t="str">
        <f aca="false">IF(OR($A172="",P172=""),"",ROUND(YEARFRAC(P172,README!$C$5),1))</f>
        <v/>
      </c>
      <c r="R172" s="39"/>
      <c r="S172" s="35" t="n">
        <v>4428</v>
      </c>
      <c r="T172" s="35" t="n">
        <v>4282.696</v>
      </c>
      <c r="U172" s="35" t="n">
        <v>5820</v>
      </c>
      <c r="V172" s="35" t="n">
        <v>1537</v>
      </c>
      <c r="W172" s="31" t="n">
        <v>1</v>
      </c>
      <c r="X172" s="6" t="n">
        <v>9</v>
      </c>
      <c r="Y172" s="41"/>
      <c r="Z172" s="6" t="s">
        <v>978</v>
      </c>
      <c r="AA172" s="9" t="s">
        <v>528</v>
      </c>
      <c r="AB172" s="9" t="s">
        <v>1000</v>
      </c>
      <c r="AE172" s="37" t="n">
        <f aca="false">COUNTIF(環境認証!$A$2:$A$849,A172)</f>
        <v>1</v>
      </c>
      <c r="AF172" s="6" t="n">
        <v>35.9</v>
      </c>
      <c r="AG172" s="6" t="n">
        <v>31.4</v>
      </c>
    </row>
    <row r="173" customFormat="false" ht="15" hidden="false" customHeight="true" outlineLevel="0" collapsed="false">
      <c r="A173" s="6" t="s">
        <v>1092</v>
      </c>
      <c r="B173" s="6" t="s">
        <v>373</v>
      </c>
      <c r="C173" s="9" t="s">
        <v>1093</v>
      </c>
      <c r="D173" s="9" t="s">
        <v>522</v>
      </c>
      <c r="E173" s="9" t="s">
        <v>523</v>
      </c>
      <c r="F173" s="9" t="s">
        <v>1094</v>
      </c>
      <c r="H173" s="9" t="s">
        <v>550</v>
      </c>
      <c r="J173" s="40"/>
      <c r="K173" s="38"/>
      <c r="L173" s="38"/>
      <c r="M173" s="32" t="n">
        <v>13762</v>
      </c>
      <c r="P173" s="39"/>
      <c r="Q173" s="34" t="str">
        <f aca="false">IF(OR($A173="",P173=""),"",ROUND(YEARFRAC(P173,README!$C$5),1))</f>
        <v/>
      </c>
      <c r="R173" s="39"/>
      <c r="S173" s="35" t="n">
        <v>9320</v>
      </c>
      <c r="T173" s="35" t="n">
        <v>7293.407</v>
      </c>
      <c r="U173" s="35" t="n">
        <v>9240</v>
      </c>
      <c r="V173" s="35" t="n">
        <v>1947</v>
      </c>
      <c r="W173" s="31" t="n">
        <v>1</v>
      </c>
      <c r="X173" s="6" t="n">
        <v>1</v>
      </c>
      <c r="Y173" s="41"/>
      <c r="Z173" s="6" t="s">
        <v>978</v>
      </c>
      <c r="AA173" s="9" t="s">
        <v>528</v>
      </c>
      <c r="AB173" s="9" t="s">
        <v>1095</v>
      </c>
      <c r="AE173" s="37" t="n">
        <f aca="false">COUNTIF(環境認証!$A$2:$A$849,A173)</f>
        <v>1</v>
      </c>
      <c r="AF173" s="6" t="n">
        <v>26.7</v>
      </c>
      <c r="AG173" s="6" t="n">
        <v>-0.9</v>
      </c>
    </row>
    <row r="174" customFormat="false" ht="15" hidden="false" customHeight="true" outlineLevel="0" collapsed="false">
      <c r="A174" s="6" t="s">
        <v>1096</v>
      </c>
      <c r="B174" s="6" t="s">
        <v>373</v>
      </c>
      <c r="C174" s="9" t="s">
        <v>1097</v>
      </c>
      <c r="D174" s="9" t="s">
        <v>522</v>
      </c>
      <c r="E174" s="9" t="s">
        <v>547</v>
      </c>
      <c r="F174" s="9" t="s">
        <v>701</v>
      </c>
      <c r="H174" s="9" t="s">
        <v>550</v>
      </c>
      <c r="J174" s="40"/>
      <c r="K174" s="38"/>
      <c r="L174" s="38"/>
      <c r="M174" s="32" t="n">
        <v>38372</v>
      </c>
      <c r="P174" s="39"/>
      <c r="Q174" s="34" t="str">
        <f aca="false">IF(OR($A174="",P174=""),"",ROUND(YEARFRAC(P174,README!$C$5),1))</f>
        <v/>
      </c>
      <c r="R174" s="39"/>
      <c r="S174" s="35" t="n">
        <v>43190</v>
      </c>
      <c r="T174" s="35" t="n">
        <v>43590.231</v>
      </c>
      <c r="U174" s="35" t="n">
        <v>44200</v>
      </c>
      <c r="V174" s="35" t="n">
        <v>610</v>
      </c>
      <c r="W174" s="31" t="n">
        <v>0.996</v>
      </c>
      <c r="X174" s="6" t="n">
        <v>51</v>
      </c>
      <c r="Y174" s="41"/>
      <c r="Z174" s="6" t="s">
        <v>978</v>
      </c>
      <c r="AA174" s="9" t="s">
        <v>528</v>
      </c>
      <c r="AB174" s="9" t="s">
        <v>1098</v>
      </c>
      <c r="AE174" s="37" t="n">
        <f aca="false">COUNTIF(環境認証!$A$2:$A$849,A174)</f>
        <v>2</v>
      </c>
      <c r="AF174" s="6" t="n">
        <v>1.4</v>
      </c>
      <c r="AG174" s="6" t="n">
        <v>2.3</v>
      </c>
    </row>
    <row r="175" customFormat="false" ht="15" hidden="false" customHeight="true" outlineLevel="0" collapsed="false">
      <c r="A175" s="6" t="s">
        <v>1099</v>
      </c>
      <c r="B175" s="6" t="s">
        <v>373</v>
      </c>
      <c r="C175" s="9" t="s">
        <v>1100</v>
      </c>
      <c r="D175" s="9" t="s">
        <v>522</v>
      </c>
      <c r="E175" s="9" t="s">
        <v>547</v>
      </c>
      <c r="F175" s="9" t="s">
        <v>687</v>
      </c>
      <c r="H175" s="9" t="s">
        <v>550</v>
      </c>
      <c r="J175" s="40"/>
      <c r="K175" s="38"/>
      <c r="L175" s="38"/>
      <c r="M175" s="32" t="n">
        <v>22410</v>
      </c>
      <c r="P175" s="39"/>
      <c r="Q175" s="34" t="str">
        <f aca="false">IF(OR($A175="",P175=""),"",ROUND(YEARFRAC(P175,README!$C$5),1))</f>
        <v/>
      </c>
      <c r="R175" s="39"/>
      <c r="S175" s="35" t="n">
        <v>29000</v>
      </c>
      <c r="T175" s="35" t="n">
        <v>29503.891</v>
      </c>
      <c r="U175" s="35" t="n">
        <v>30500</v>
      </c>
      <c r="V175" s="35" t="n">
        <v>996</v>
      </c>
      <c r="W175" s="31" t="n">
        <v>0.988</v>
      </c>
      <c r="X175" s="6" t="n">
        <v>29</v>
      </c>
      <c r="Y175" s="41"/>
      <c r="Z175" s="6" t="s">
        <v>978</v>
      </c>
      <c r="AA175" s="9" t="s">
        <v>528</v>
      </c>
      <c r="AB175" s="9" t="s">
        <v>1101</v>
      </c>
      <c r="AE175" s="37" t="n">
        <f aca="false">COUNTIF(環境認証!$A$2:$A$849,A175)</f>
        <v>1</v>
      </c>
      <c r="AF175" s="6" t="n">
        <v>3.4</v>
      </c>
      <c r="AG175" s="6" t="n">
        <v>5.2</v>
      </c>
    </row>
    <row r="176" customFormat="false" ht="15" hidden="false" customHeight="true" outlineLevel="0" collapsed="false">
      <c r="A176" s="6" t="s">
        <v>1102</v>
      </c>
      <c r="B176" s="6" t="s">
        <v>373</v>
      </c>
      <c r="C176" s="9" t="s">
        <v>1103</v>
      </c>
      <c r="D176" s="9" t="s">
        <v>522</v>
      </c>
      <c r="E176" s="9" t="s">
        <v>547</v>
      </c>
      <c r="F176" s="9" t="s">
        <v>701</v>
      </c>
      <c r="H176" s="9" t="s">
        <v>550</v>
      </c>
      <c r="J176" s="40"/>
      <c r="K176" s="38"/>
      <c r="L176" s="38"/>
      <c r="M176" s="32" t="n">
        <v>24104</v>
      </c>
      <c r="P176" s="39"/>
      <c r="Q176" s="34" t="str">
        <f aca="false">IF(OR($A176="",P176=""),"",ROUND(YEARFRAC(P176,README!$C$5),1))</f>
        <v/>
      </c>
      <c r="R176" s="39"/>
      <c r="S176" s="35" t="n">
        <v>16749.3</v>
      </c>
      <c r="T176" s="35" t="n">
        <v>15533.571</v>
      </c>
      <c r="U176" s="35" t="n">
        <v>23700</v>
      </c>
      <c r="V176" s="35" t="n">
        <v>8166</v>
      </c>
      <c r="W176" s="31" t="n">
        <v>0.973</v>
      </c>
      <c r="X176" s="6" t="n">
        <v>94</v>
      </c>
      <c r="Y176" s="41"/>
      <c r="Z176" s="6" t="s">
        <v>978</v>
      </c>
      <c r="AA176" s="9" t="s">
        <v>528</v>
      </c>
      <c r="AB176" s="9" t="s">
        <v>1104</v>
      </c>
      <c r="AE176" s="37" t="n">
        <f aca="false">COUNTIF(環境認証!$A$2:$A$849,A176)</f>
        <v>1</v>
      </c>
      <c r="AF176" s="6" t="n">
        <v>52.6</v>
      </c>
      <c r="AG176" s="6" t="n">
        <v>41.5</v>
      </c>
    </row>
    <row r="177" customFormat="false" ht="15" hidden="false" customHeight="true" outlineLevel="0" collapsed="false">
      <c r="A177" s="6" t="s">
        <v>1105</v>
      </c>
      <c r="B177" s="6" t="s">
        <v>373</v>
      </c>
      <c r="C177" s="9" t="s">
        <v>1106</v>
      </c>
      <c r="D177" s="9" t="s">
        <v>522</v>
      </c>
      <c r="E177" s="9" t="s">
        <v>547</v>
      </c>
      <c r="F177" s="9" t="s">
        <v>687</v>
      </c>
      <c r="H177" s="9" t="s">
        <v>550</v>
      </c>
      <c r="J177" s="40"/>
      <c r="K177" s="38"/>
      <c r="L177" s="38"/>
      <c r="M177" s="32" t="n">
        <v>12545</v>
      </c>
      <c r="P177" s="39"/>
      <c r="Q177" s="34" t="str">
        <f aca="false">IF(OR($A177="",P177=""),"",ROUND(YEARFRAC(P177,README!$C$5),1))</f>
        <v/>
      </c>
      <c r="R177" s="39"/>
      <c r="S177" s="35" t="n">
        <v>3800</v>
      </c>
      <c r="T177" s="35" t="n">
        <v>3151.242</v>
      </c>
      <c r="U177" s="35" t="n">
        <v>4990</v>
      </c>
      <c r="V177" s="35" t="n">
        <v>1839</v>
      </c>
      <c r="W177" s="31" t="n">
        <v>0.956</v>
      </c>
      <c r="X177" s="6" t="n">
        <v>31</v>
      </c>
      <c r="Y177" s="41"/>
      <c r="Z177" s="6" t="s">
        <v>978</v>
      </c>
      <c r="AA177" s="9" t="s">
        <v>528</v>
      </c>
      <c r="AB177" s="9" t="s">
        <v>985</v>
      </c>
      <c r="AE177" s="37" t="n">
        <f aca="false">COUNTIF(環境認証!$A$2:$A$849,A177)</f>
        <v>1</v>
      </c>
      <c r="AF177" s="6" t="n">
        <v>58.4</v>
      </c>
      <c r="AG177" s="6" t="n">
        <v>31.3</v>
      </c>
    </row>
    <row r="178" customFormat="false" ht="15" hidden="false" customHeight="true" outlineLevel="0" collapsed="false">
      <c r="A178" s="6" t="s">
        <v>1107</v>
      </c>
      <c r="B178" s="6" t="s">
        <v>373</v>
      </c>
      <c r="C178" s="9" t="s">
        <v>1108</v>
      </c>
      <c r="D178" s="9" t="s">
        <v>522</v>
      </c>
      <c r="E178" s="9" t="s">
        <v>555</v>
      </c>
      <c r="F178" s="9" t="s">
        <v>711</v>
      </c>
      <c r="H178" s="9" t="s">
        <v>550</v>
      </c>
      <c r="J178" s="40"/>
      <c r="K178" s="38"/>
      <c r="L178" s="38"/>
      <c r="M178" s="32" t="n">
        <v>20698</v>
      </c>
      <c r="P178" s="39"/>
      <c r="Q178" s="34" t="str">
        <f aca="false">IF(OR($A178="",P178=""),"",ROUND(YEARFRAC(P178,README!$C$5),1))</f>
        <v/>
      </c>
      <c r="R178" s="39"/>
      <c r="S178" s="35" t="n">
        <v>16816.345</v>
      </c>
      <c r="T178" s="35" t="n">
        <v>13356.485</v>
      </c>
      <c r="U178" s="35" t="n">
        <v>24300</v>
      </c>
      <c r="V178" s="35" t="n">
        <v>10944</v>
      </c>
      <c r="W178" s="31" t="n">
        <v>0.998</v>
      </c>
      <c r="X178" s="6" t="n">
        <v>41</v>
      </c>
      <c r="Y178" s="41"/>
      <c r="Z178" s="6" t="s">
        <v>978</v>
      </c>
      <c r="AA178" s="9" t="s">
        <v>528</v>
      </c>
      <c r="AB178" s="9" t="s">
        <v>1109</v>
      </c>
      <c r="AE178" s="37" t="n">
        <f aca="false">COUNTIF(環境認証!$A$2:$A$849,A178)</f>
        <v>1</v>
      </c>
      <c r="AF178" s="6" t="n">
        <v>81.9</v>
      </c>
      <c r="AG178" s="6" t="n">
        <v>44.5</v>
      </c>
    </row>
    <row r="179" customFormat="false" ht="15" hidden="false" customHeight="true" outlineLevel="0" collapsed="false">
      <c r="A179" s="6" t="s">
        <v>1110</v>
      </c>
      <c r="B179" s="6" t="s">
        <v>373</v>
      </c>
      <c r="C179" s="9" t="s">
        <v>1111</v>
      </c>
      <c r="D179" s="9" t="s">
        <v>522</v>
      </c>
      <c r="E179" s="9" t="s">
        <v>555</v>
      </c>
      <c r="F179" s="9" t="s">
        <v>711</v>
      </c>
      <c r="H179" s="9" t="s">
        <v>550</v>
      </c>
      <c r="J179" s="40"/>
      <c r="K179" s="38"/>
      <c r="L179" s="38"/>
      <c r="M179" s="32" t="n">
        <v>3455</v>
      </c>
      <c r="P179" s="39"/>
      <c r="Q179" s="34" t="str">
        <f aca="false">IF(OR($A179="",P179=""),"",ROUND(YEARFRAC(P179,README!$C$5),1))</f>
        <v/>
      </c>
      <c r="R179" s="39"/>
      <c r="S179" s="35" t="n">
        <v>2000</v>
      </c>
      <c r="T179" s="35" t="n">
        <v>1835.672</v>
      </c>
      <c r="U179" s="35" t="n">
        <v>2230</v>
      </c>
      <c r="V179" s="35" t="n">
        <v>394</v>
      </c>
      <c r="W179" s="31" t="n">
        <v>1</v>
      </c>
      <c r="X179" s="6" t="n">
        <v>15</v>
      </c>
      <c r="Y179" s="41"/>
      <c r="Z179" s="6" t="s">
        <v>978</v>
      </c>
      <c r="AA179" s="9" t="s">
        <v>528</v>
      </c>
      <c r="AB179" s="9" t="s">
        <v>1000</v>
      </c>
      <c r="AE179" s="37" t="n">
        <f aca="false">COUNTIF(環境認証!$A$2:$A$849,A179)</f>
        <v>1</v>
      </c>
      <c r="AF179" s="6" t="n">
        <v>21.5</v>
      </c>
      <c r="AG179" s="6" t="n">
        <v>11.5</v>
      </c>
    </row>
    <row r="180" customFormat="false" ht="15" hidden="false" customHeight="true" outlineLevel="0" collapsed="false">
      <c r="A180" s="6" t="s">
        <v>1112</v>
      </c>
      <c r="B180" s="6" t="s">
        <v>373</v>
      </c>
      <c r="C180" s="9" t="s">
        <v>1113</v>
      </c>
      <c r="D180" s="9" t="s">
        <v>522</v>
      </c>
      <c r="E180" s="9" t="s">
        <v>560</v>
      </c>
      <c r="F180" s="9" t="s">
        <v>1114</v>
      </c>
      <c r="H180" s="9" t="s">
        <v>550</v>
      </c>
      <c r="J180" s="40"/>
      <c r="K180" s="38"/>
      <c r="L180" s="38"/>
      <c r="M180" s="32" t="n">
        <v>4770</v>
      </c>
      <c r="P180" s="39"/>
      <c r="Q180" s="34" t="str">
        <f aca="false">IF(OR($A180="",P180=""),"",ROUND(YEARFRAC(P180,README!$C$5),1))</f>
        <v/>
      </c>
      <c r="R180" s="39"/>
      <c r="S180" s="35" t="n">
        <v>2455</v>
      </c>
      <c r="T180" s="35" t="n">
        <v>2029.18</v>
      </c>
      <c r="U180" s="35" t="n">
        <v>2550</v>
      </c>
      <c r="V180" s="35" t="n">
        <v>521</v>
      </c>
      <c r="W180" s="31" t="n">
        <v>1</v>
      </c>
      <c r="X180" s="6" t="n">
        <v>31</v>
      </c>
      <c r="Y180" s="41"/>
      <c r="Z180" s="6" t="s">
        <v>978</v>
      </c>
      <c r="AA180" s="9" t="s">
        <v>528</v>
      </c>
      <c r="AB180" s="9" t="s">
        <v>1000</v>
      </c>
      <c r="AE180" s="37" t="n">
        <f aca="false">COUNTIF(環境認証!$A$2:$A$849,A180)</f>
        <v>1</v>
      </c>
      <c r="AF180" s="6" t="n">
        <v>25.7</v>
      </c>
      <c r="AG180" s="6" t="n">
        <v>3.9</v>
      </c>
    </row>
    <row r="181" customFormat="false" ht="15" hidden="false" customHeight="true" outlineLevel="0" collapsed="false">
      <c r="A181" s="6" t="s">
        <v>1115</v>
      </c>
      <c r="B181" s="6" t="s">
        <v>373</v>
      </c>
      <c r="C181" s="9" t="s">
        <v>1116</v>
      </c>
      <c r="D181" s="9" t="s">
        <v>522</v>
      </c>
      <c r="E181" s="9" t="s">
        <v>604</v>
      </c>
      <c r="F181" s="9" t="s">
        <v>720</v>
      </c>
      <c r="H181" s="6" t="s">
        <v>599</v>
      </c>
      <c r="J181" s="40"/>
      <c r="K181" s="38"/>
      <c r="L181" s="38"/>
      <c r="M181" s="32" t="n">
        <v>9422</v>
      </c>
      <c r="P181" s="39"/>
      <c r="Q181" s="34" t="str">
        <f aca="false">IF(OR($A181="",P181=""),"",ROUND(YEARFRAC(P181,README!$C$5),1))</f>
        <v/>
      </c>
      <c r="R181" s="39"/>
      <c r="S181" s="35" t="n">
        <v>13800</v>
      </c>
      <c r="T181" s="35" t="n">
        <v>13897.617</v>
      </c>
      <c r="U181" s="35" t="n">
        <v>14600</v>
      </c>
      <c r="V181" s="35" t="n">
        <v>702</v>
      </c>
      <c r="W181" s="31" t="n">
        <v>0.623</v>
      </c>
      <c r="X181" s="6" t="n">
        <v>9</v>
      </c>
      <c r="Y181" s="41"/>
      <c r="Z181" s="6" t="s">
        <v>978</v>
      </c>
      <c r="AA181" s="9" t="s">
        <v>528</v>
      </c>
      <c r="AB181" s="9" t="s">
        <v>1117</v>
      </c>
      <c r="AE181" s="37" t="n">
        <f aca="false">COUNTIF(環境認証!$A$2:$A$849,A181)</f>
        <v>0</v>
      </c>
      <c r="AF181" s="6" t="n">
        <v>5.1</v>
      </c>
      <c r="AG181" s="6" t="n">
        <v>5.8</v>
      </c>
    </row>
    <row r="182" customFormat="false" ht="15" hidden="false" customHeight="true" outlineLevel="0" collapsed="false">
      <c r="A182" s="6" t="s">
        <v>1118</v>
      </c>
      <c r="B182" s="6" t="s">
        <v>373</v>
      </c>
      <c r="C182" s="9" t="s">
        <v>1119</v>
      </c>
      <c r="D182" s="9" t="s">
        <v>522</v>
      </c>
      <c r="E182" s="9" t="s">
        <v>604</v>
      </c>
      <c r="F182" s="9" t="s">
        <v>720</v>
      </c>
      <c r="H182" s="6" t="s">
        <v>599</v>
      </c>
      <c r="J182" s="40"/>
      <c r="K182" s="38"/>
      <c r="L182" s="38"/>
      <c r="M182" s="32" t="n">
        <v>11396</v>
      </c>
      <c r="P182" s="39"/>
      <c r="Q182" s="34" t="str">
        <f aca="false">IF(OR($A182="",P182=""),"",ROUND(YEARFRAC(P182,README!$C$5),1))</f>
        <v/>
      </c>
      <c r="R182" s="39"/>
      <c r="S182" s="35" t="n">
        <v>4404.405</v>
      </c>
      <c r="T182" s="35" t="n">
        <v>2871.483</v>
      </c>
      <c r="U182" s="35" t="n">
        <v>9240</v>
      </c>
      <c r="V182" s="35" t="n">
        <v>6369</v>
      </c>
      <c r="W182" s="31" t="n">
        <v>1</v>
      </c>
      <c r="X182" s="6" t="n">
        <v>13</v>
      </c>
      <c r="Y182" s="41"/>
      <c r="Z182" s="6" t="s">
        <v>978</v>
      </c>
      <c r="AA182" s="9" t="s">
        <v>528</v>
      </c>
      <c r="AB182" s="9" t="s">
        <v>1120</v>
      </c>
      <c r="AE182" s="37" t="n">
        <f aca="false">COUNTIF(環境認証!$A$2:$A$849,A182)</f>
        <v>1</v>
      </c>
      <c r="AF182" s="6" t="n">
        <v>221.8</v>
      </c>
      <c r="AG182" s="6" t="n">
        <v>109.8</v>
      </c>
    </row>
    <row r="183" customFormat="false" ht="15" hidden="false" customHeight="true" outlineLevel="0" collapsed="false">
      <c r="A183" s="6" t="s">
        <v>1121</v>
      </c>
      <c r="B183" s="6" t="s">
        <v>373</v>
      </c>
      <c r="C183" s="9" t="s">
        <v>1122</v>
      </c>
      <c r="D183" s="9" t="s">
        <v>522</v>
      </c>
      <c r="E183" s="9" t="s">
        <v>604</v>
      </c>
      <c r="F183" s="9" t="s">
        <v>720</v>
      </c>
      <c r="H183" s="6" t="s">
        <v>599</v>
      </c>
      <c r="J183" s="40"/>
      <c r="K183" s="38"/>
      <c r="L183" s="38"/>
      <c r="M183" s="32" t="n">
        <v>5351</v>
      </c>
      <c r="P183" s="39"/>
      <c r="Q183" s="34" t="str">
        <f aca="false">IF(OR($A183="",P183=""),"",ROUND(YEARFRAC(P183,README!$C$5),1))</f>
        <v/>
      </c>
      <c r="R183" s="39"/>
      <c r="S183" s="35" t="n">
        <v>1870.3</v>
      </c>
      <c r="T183" s="35" t="n">
        <v>1682.974</v>
      </c>
      <c r="U183" s="35" t="n">
        <v>1740</v>
      </c>
      <c r="V183" s="35" t="n">
        <v>57</v>
      </c>
      <c r="W183" s="31" t="n">
        <v>1</v>
      </c>
      <c r="X183" s="6" t="n">
        <v>3</v>
      </c>
      <c r="Y183" s="41"/>
      <c r="Z183" s="6" t="s">
        <v>978</v>
      </c>
      <c r="AA183" s="9" t="s">
        <v>528</v>
      </c>
      <c r="AB183" s="9" t="s">
        <v>1123</v>
      </c>
      <c r="AE183" s="37" t="n">
        <f aca="false">COUNTIF(環境認証!$A$2:$A$849,A183)</f>
        <v>1</v>
      </c>
      <c r="AF183" s="6" t="n">
        <v>3.4</v>
      </c>
      <c r="AG183" s="6" t="n">
        <v>-7</v>
      </c>
    </row>
    <row r="184" customFormat="false" ht="15" hidden="false" customHeight="true" outlineLevel="0" collapsed="false">
      <c r="A184" s="6" t="s">
        <v>1124</v>
      </c>
      <c r="B184" s="6" t="s">
        <v>373</v>
      </c>
      <c r="C184" s="9" t="s">
        <v>1125</v>
      </c>
      <c r="D184" s="9" t="s">
        <v>522</v>
      </c>
      <c r="E184" s="9" t="s">
        <v>1126</v>
      </c>
      <c r="F184" s="9" t="s">
        <v>1127</v>
      </c>
      <c r="H184" s="9" t="s">
        <v>734</v>
      </c>
      <c r="J184" s="40"/>
      <c r="K184" s="38"/>
      <c r="L184" s="38"/>
      <c r="M184" s="32" t="n">
        <v>10949</v>
      </c>
      <c r="P184" s="39"/>
      <c r="Q184" s="34" t="str">
        <f aca="false">IF(OR($A184="",P184=""),"",ROUND(YEARFRAC(P184,README!$C$5),1))</f>
        <v/>
      </c>
      <c r="R184" s="39"/>
      <c r="S184" s="35" t="n">
        <v>9000</v>
      </c>
      <c r="T184" s="35" t="n">
        <v>9200.066</v>
      </c>
      <c r="U184" s="35" t="n">
        <v>9240</v>
      </c>
      <c r="V184" s="35" t="n">
        <v>40</v>
      </c>
      <c r="W184" s="31" t="n">
        <v>0.466</v>
      </c>
      <c r="X184" s="6" t="n">
        <v>13</v>
      </c>
      <c r="Y184" s="41"/>
      <c r="Z184" s="6" t="s">
        <v>978</v>
      </c>
      <c r="AA184" s="9" t="s">
        <v>528</v>
      </c>
      <c r="AB184" s="9" t="s">
        <v>1128</v>
      </c>
      <c r="AE184" s="37" t="n">
        <f aca="false">COUNTIF(環境認証!$A$2:$A$849,A184)</f>
        <v>2</v>
      </c>
      <c r="AF184" s="6" t="n">
        <v>0.4</v>
      </c>
      <c r="AG184" s="6" t="n">
        <v>2.7</v>
      </c>
    </row>
    <row r="185" customFormat="false" ht="15" hidden="false" customHeight="true" outlineLevel="0" collapsed="false">
      <c r="A185" s="6" t="s">
        <v>1129</v>
      </c>
      <c r="B185" s="6" t="s">
        <v>373</v>
      </c>
      <c r="C185" s="9" t="s">
        <v>1130</v>
      </c>
      <c r="D185" s="9" t="s">
        <v>522</v>
      </c>
      <c r="E185" s="9" t="s">
        <v>567</v>
      </c>
      <c r="F185" s="9" t="s">
        <v>676</v>
      </c>
      <c r="H185" s="9" t="s">
        <v>569</v>
      </c>
      <c r="J185" s="40"/>
      <c r="K185" s="38"/>
      <c r="L185" s="38"/>
      <c r="M185" s="32" t="n">
        <v>17658</v>
      </c>
      <c r="P185" s="39"/>
      <c r="Q185" s="34" t="str">
        <f aca="false">IF(OR($A185="",P185=""),"",ROUND(YEARFRAC(P185,README!$C$5),1))</f>
        <v/>
      </c>
      <c r="R185" s="39"/>
      <c r="S185" s="35" t="n">
        <v>14900</v>
      </c>
      <c r="T185" s="35" t="n">
        <v>14419.538</v>
      </c>
      <c r="U185" s="35" t="n">
        <v>16900</v>
      </c>
      <c r="V185" s="35" t="n">
        <v>2480</v>
      </c>
      <c r="W185" s="31" t="n">
        <v>0.98</v>
      </c>
      <c r="X185" s="6" t="n">
        <v>11</v>
      </c>
      <c r="Y185" s="41"/>
      <c r="Z185" s="6" t="s">
        <v>978</v>
      </c>
      <c r="AA185" s="9" t="s">
        <v>528</v>
      </c>
      <c r="AB185" s="9" t="s">
        <v>1000</v>
      </c>
      <c r="AE185" s="37" t="n">
        <f aca="false">COUNTIF(環境認証!$A$2:$A$849,A185)</f>
        <v>1</v>
      </c>
      <c r="AF185" s="6" t="n">
        <v>17.2</v>
      </c>
      <c r="AG185" s="6" t="n">
        <v>13.4</v>
      </c>
    </row>
    <row r="186" customFormat="false" ht="15" hidden="false" customHeight="true" outlineLevel="0" collapsed="false">
      <c r="A186" s="6" t="s">
        <v>1131</v>
      </c>
      <c r="B186" s="6" t="s">
        <v>373</v>
      </c>
      <c r="C186" s="9" t="s">
        <v>1132</v>
      </c>
      <c r="D186" s="9" t="s">
        <v>522</v>
      </c>
      <c r="E186" s="9" t="s">
        <v>567</v>
      </c>
      <c r="F186" s="9" t="s">
        <v>676</v>
      </c>
      <c r="H186" s="9" t="s">
        <v>569</v>
      </c>
      <c r="J186" s="40"/>
      <c r="K186" s="38"/>
      <c r="L186" s="38"/>
      <c r="M186" s="32" t="n">
        <v>11222</v>
      </c>
      <c r="P186" s="39"/>
      <c r="Q186" s="34" t="str">
        <f aca="false">IF(OR($A186="",P186=""),"",ROUND(YEARFRAC(P186,README!$C$5),1))</f>
        <v/>
      </c>
      <c r="R186" s="39"/>
      <c r="S186" s="35" t="n">
        <v>13200</v>
      </c>
      <c r="T186" s="35" t="n">
        <v>13077.899</v>
      </c>
      <c r="U186" s="35" t="n">
        <v>15300</v>
      </c>
      <c r="V186" s="35" t="n">
        <v>2222</v>
      </c>
      <c r="W186" s="31" t="n">
        <v>1</v>
      </c>
      <c r="X186" s="6" t="n">
        <v>31</v>
      </c>
      <c r="Y186" s="41"/>
      <c r="Z186" s="6" t="s">
        <v>978</v>
      </c>
      <c r="AA186" s="9" t="s">
        <v>528</v>
      </c>
      <c r="AB186" s="9" t="s">
        <v>985</v>
      </c>
      <c r="AE186" s="37" t="n">
        <f aca="false">COUNTIF(環境認証!$A$2:$A$849,A186)</f>
        <v>1</v>
      </c>
      <c r="AF186" s="6" t="n">
        <v>17</v>
      </c>
      <c r="AG186" s="6" t="n">
        <v>15.9</v>
      </c>
    </row>
    <row r="187" customFormat="false" ht="15" hidden="false" customHeight="true" outlineLevel="0" collapsed="false">
      <c r="A187" s="6" t="s">
        <v>1133</v>
      </c>
      <c r="B187" s="6" t="s">
        <v>373</v>
      </c>
      <c r="C187" s="9" t="s">
        <v>1134</v>
      </c>
      <c r="D187" s="9" t="s">
        <v>522</v>
      </c>
      <c r="E187" s="9" t="s">
        <v>567</v>
      </c>
      <c r="F187" s="9" t="s">
        <v>676</v>
      </c>
      <c r="H187" s="9" t="s">
        <v>569</v>
      </c>
      <c r="J187" s="40"/>
      <c r="K187" s="38"/>
      <c r="L187" s="38"/>
      <c r="M187" s="32" t="n">
        <v>12989</v>
      </c>
      <c r="P187" s="39"/>
      <c r="Q187" s="34" t="str">
        <f aca="false">IF(OR($A187="",P187=""),"",ROUND(YEARFRAC(P187,README!$C$5),1))</f>
        <v/>
      </c>
      <c r="R187" s="39"/>
      <c r="S187" s="35" t="n">
        <v>13050</v>
      </c>
      <c r="T187" s="35" t="n">
        <v>13949.395</v>
      </c>
      <c r="U187" s="35" t="n">
        <v>14300</v>
      </c>
      <c r="V187" s="35" t="n">
        <v>351</v>
      </c>
      <c r="W187" s="31" t="n">
        <v>0.971</v>
      </c>
      <c r="X187" s="6" t="n">
        <v>66</v>
      </c>
      <c r="Y187" s="41"/>
      <c r="Z187" s="6" t="s">
        <v>978</v>
      </c>
      <c r="AA187" s="9" t="s">
        <v>528</v>
      </c>
      <c r="AB187" s="9" t="s">
        <v>985</v>
      </c>
      <c r="AE187" s="37" t="n">
        <f aca="false">COUNTIF(環境認証!$A$2:$A$849,A187)</f>
        <v>1</v>
      </c>
      <c r="AF187" s="6" t="n">
        <v>2.5</v>
      </c>
      <c r="AG187" s="6" t="n">
        <v>9.6</v>
      </c>
    </row>
    <row r="188" customFormat="false" ht="15" hidden="false" customHeight="true" outlineLevel="0" collapsed="false">
      <c r="A188" s="6" t="s">
        <v>1135</v>
      </c>
      <c r="B188" s="6" t="s">
        <v>373</v>
      </c>
      <c r="C188" s="9" t="s">
        <v>1136</v>
      </c>
      <c r="D188" s="9" t="s">
        <v>522</v>
      </c>
      <c r="E188" s="9" t="s">
        <v>567</v>
      </c>
      <c r="F188" s="9" t="s">
        <v>676</v>
      </c>
      <c r="H188" s="9" t="s">
        <v>569</v>
      </c>
      <c r="J188" s="40"/>
      <c r="K188" s="38"/>
      <c r="L188" s="38"/>
      <c r="M188" s="32" t="n">
        <v>9883</v>
      </c>
      <c r="P188" s="39"/>
      <c r="Q188" s="34" t="str">
        <f aca="false">IF(OR($A188="",P188=""),"",ROUND(YEARFRAC(P188,README!$C$5),1))</f>
        <v/>
      </c>
      <c r="R188" s="39"/>
      <c r="S188" s="35" t="n">
        <v>7232</v>
      </c>
      <c r="T188" s="35" t="n">
        <v>5919.911</v>
      </c>
      <c r="U188" s="35" t="n">
        <v>6790</v>
      </c>
      <c r="V188" s="35" t="n">
        <v>870</v>
      </c>
      <c r="W188" s="31" t="n">
        <v>0.976</v>
      </c>
      <c r="X188" s="6" t="n">
        <v>24</v>
      </c>
      <c r="Y188" s="41"/>
      <c r="Z188" s="6" t="s">
        <v>978</v>
      </c>
      <c r="AA188" s="9" t="s">
        <v>528</v>
      </c>
      <c r="AB188" s="9" t="s">
        <v>1137</v>
      </c>
      <c r="AE188" s="37" t="n">
        <f aca="false">COUNTIF(環境認証!$A$2:$A$849,A188)</f>
        <v>1</v>
      </c>
      <c r="AF188" s="6" t="n">
        <v>14.7</v>
      </c>
      <c r="AG188" s="6" t="n">
        <v>-6.1</v>
      </c>
    </row>
    <row r="189" customFormat="false" ht="15" hidden="false" customHeight="true" outlineLevel="0" collapsed="false">
      <c r="A189" s="6" t="s">
        <v>1138</v>
      </c>
      <c r="B189" s="6" t="s">
        <v>373</v>
      </c>
      <c r="C189" s="9" t="s">
        <v>1139</v>
      </c>
      <c r="D189" s="9" t="s">
        <v>522</v>
      </c>
      <c r="E189" s="9" t="s">
        <v>573</v>
      </c>
      <c r="F189" s="9" t="s">
        <v>680</v>
      </c>
      <c r="H189" s="9" t="s">
        <v>569</v>
      </c>
      <c r="J189" s="40"/>
      <c r="K189" s="38"/>
      <c r="L189" s="38"/>
      <c r="M189" s="32" t="n">
        <v>42389</v>
      </c>
      <c r="P189" s="39"/>
      <c r="Q189" s="34" t="str">
        <f aca="false">IF(OR($A189="",P189=""),"",ROUND(YEARFRAC(P189,README!$C$5),1))</f>
        <v/>
      </c>
      <c r="R189" s="39"/>
      <c r="S189" s="35" t="n">
        <v>44000</v>
      </c>
      <c r="T189" s="35" t="n">
        <v>44157.319</v>
      </c>
      <c r="U189" s="35" t="n">
        <v>46500</v>
      </c>
      <c r="V189" s="35" t="n">
        <v>2343</v>
      </c>
      <c r="W189" s="31" t="n">
        <v>0.985</v>
      </c>
      <c r="X189" s="6" t="n">
        <v>54</v>
      </c>
      <c r="Y189" s="41"/>
      <c r="Z189" s="6" t="s">
        <v>978</v>
      </c>
      <c r="AA189" s="9" t="s">
        <v>528</v>
      </c>
      <c r="AB189" s="9" t="s">
        <v>985</v>
      </c>
      <c r="AE189" s="37" t="n">
        <f aca="false">COUNTIF(環境認証!$A$2:$A$849,A189)</f>
        <v>1</v>
      </c>
      <c r="AF189" s="6" t="n">
        <v>5.3</v>
      </c>
      <c r="AG189" s="6" t="n">
        <v>5.7</v>
      </c>
    </row>
    <row r="190" customFormat="false" ht="15" hidden="false" customHeight="true" outlineLevel="0" collapsed="false">
      <c r="A190" s="6" t="s">
        <v>1140</v>
      </c>
      <c r="B190" s="6" t="s">
        <v>373</v>
      </c>
      <c r="C190" s="9" t="s">
        <v>1141</v>
      </c>
      <c r="D190" s="9" t="s">
        <v>522</v>
      </c>
      <c r="E190" s="9" t="s">
        <v>573</v>
      </c>
      <c r="F190" s="9" t="s">
        <v>680</v>
      </c>
      <c r="H190" s="9" t="s">
        <v>569</v>
      </c>
      <c r="J190" s="40"/>
      <c r="K190" s="38"/>
      <c r="L190" s="38"/>
      <c r="M190" s="32" t="n">
        <v>21917</v>
      </c>
      <c r="P190" s="39"/>
      <c r="Q190" s="34" t="str">
        <f aca="false">IF(OR($A190="",P190=""),"",ROUND(YEARFRAC(P190,README!$C$5),1))</f>
        <v/>
      </c>
      <c r="R190" s="39"/>
      <c r="S190" s="35" t="n">
        <v>17810</v>
      </c>
      <c r="T190" s="35" t="n">
        <v>14200.467</v>
      </c>
      <c r="U190" s="35" t="n">
        <v>22400</v>
      </c>
      <c r="V190" s="35" t="n">
        <v>8200</v>
      </c>
      <c r="W190" s="31" t="n">
        <v>0.95</v>
      </c>
      <c r="X190" s="6" t="n">
        <v>44</v>
      </c>
      <c r="Y190" s="41"/>
      <c r="Z190" s="6" t="s">
        <v>978</v>
      </c>
      <c r="AA190" s="9" t="s">
        <v>528</v>
      </c>
      <c r="AB190" s="9" t="s">
        <v>1000</v>
      </c>
      <c r="AE190" s="37" t="n">
        <f aca="false">COUNTIF(環境認証!$A$2:$A$849,A190)</f>
        <v>1</v>
      </c>
      <c r="AF190" s="6" t="n">
        <v>57.7</v>
      </c>
      <c r="AG190" s="6" t="n">
        <v>25.8</v>
      </c>
    </row>
    <row r="191" customFormat="false" ht="15" hidden="false" customHeight="true" outlineLevel="0" collapsed="false">
      <c r="A191" s="6" t="s">
        <v>1142</v>
      </c>
      <c r="B191" s="6" t="s">
        <v>373</v>
      </c>
      <c r="C191" s="9" t="s">
        <v>1143</v>
      </c>
      <c r="D191" s="9" t="s">
        <v>522</v>
      </c>
      <c r="E191" s="9" t="s">
        <v>573</v>
      </c>
      <c r="F191" s="9" t="s">
        <v>680</v>
      </c>
      <c r="H191" s="9" t="s">
        <v>569</v>
      </c>
      <c r="J191" s="40"/>
      <c r="K191" s="38"/>
      <c r="L191" s="38"/>
      <c r="M191" s="32" t="n">
        <v>17279</v>
      </c>
      <c r="P191" s="39"/>
      <c r="Q191" s="34" t="str">
        <f aca="false">IF(OR($A191="",P191=""),"",ROUND(YEARFRAC(P191,README!$C$5),1))</f>
        <v/>
      </c>
      <c r="R191" s="39"/>
      <c r="S191" s="35" t="n">
        <v>14900</v>
      </c>
      <c r="T191" s="35" t="n">
        <v>13171.252</v>
      </c>
      <c r="U191" s="35" t="n">
        <v>20200</v>
      </c>
      <c r="V191" s="35" t="n">
        <v>7029</v>
      </c>
      <c r="W191" s="31" t="n">
        <v>1</v>
      </c>
      <c r="X191" s="6" t="n">
        <v>30</v>
      </c>
      <c r="Y191" s="41"/>
      <c r="Z191" s="6" t="s">
        <v>978</v>
      </c>
      <c r="AA191" s="9" t="s">
        <v>528</v>
      </c>
      <c r="AB191" s="9" t="s">
        <v>1000</v>
      </c>
      <c r="AE191" s="37" t="n">
        <f aca="false">COUNTIF(環境認証!$A$2:$A$849,A191)</f>
        <v>1</v>
      </c>
      <c r="AF191" s="6" t="n">
        <v>53.4</v>
      </c>
      <c r="AG191" s="6" t="n">
        <v>35.6</v>
      </c>
    </row>
    <row r="192" customFormat="false" ht="15" hidden="false" customHeight="true" outlineLevel="0" collapsed="false">
      <c r="A192" s="6" t="s">
        <v>1144</v>
      </c>
      <c r="B192" s="6" t="s">
        <v>373</v>
      </c>
      <c r="C192" s="9" t="s">
        <v>1145</v>
      </c>
      <c r="D192" s="9" t="s">
        <v>522</v>
      </c>
      <c r="E192" s="9" t="s">
        <v>573</v>
      </c>
      <c r="F192" s="9" t="s">
        <v>680</v>
      </c>
      <c r="H192" s="9" t="s">
        <v>569</v>
      </c>
      <c r="J192" s="40"/>
      <c r="K192" s="38"/>
      <c r="L192" s="38"/>
      <c r="M192" s="32" t="n">
        <v>24413</v>
      </c>
      <c r="P192" s="39"/>
      <c r="Q192" s="34" t="str">
        <f aca="false">IF(OR($A192="",P192=""),"",ROUND(YEARFRAC(P192,README!$C$5),1))</f>
        <v/>
      </c>
      <c r="R192" s="39"/>
      <c r="S192" s="35" t="n">
        <v>14400</v>
      </c>
      <c r="T192" s="35" t="n">
        <v>10124.32</v>
      </c>
      <c r="U192" s="35" t="n">
        <v>14000</v>
      </c>
      <c r="V192" s="35" t="n">
        <v>3876</v>
      </c>
      <c r="W192" s="31" t="n">
        <v>0.985</v>
      </c>
      <c r="X192" s="6" t="n">
        <v>61</v>
      </c>
      <c r="Y192" s="41"/>
      <c r="Z192" s="6" t="s">
        <v>978</v>
      </c>
      <c r="AA192" s="9" t="s">
        <v>528</v>
      </c>
      <c r="AB192" s="9" t="s">
        <v>985</v>
      </c>
      <c r="AE192" s="37" t="n">
        <f aca="false">COUNTIF(環境認証!$A$2:$A$849,A192)</f>
        <v>1</v>
      </c>
      <c r="AF192" s="6" t="n">
        <v>38.3</v>
      </c>
      <c r="AG192" s="6" t="n">
        <v>-2.8</v>
      </c>
    </row>
    <row r="193" customFormat="false" ht="15" hidden="false" customHeight="true" outlineLevel="0" collapsed="false">
      <c r="A193" s="6" t="s">
        <v>1146</v>
      </c>
      <c r="B193" s="6" t="s">
        <v>373</v>
      </c>
      <c r="C193" s="9" t="s">
        <v>1147</v>
      </c>
      <c r="D193" s="9" t="s">
        <v>522</v>
      </c>
      <c r="E193" s="9" t="s">
        <v>573</v>
      </c>
      <c r="F193" s="9" t="s">
        <v>680</v>
      </c>
      <c r="H193" s="9" t="s">
        <v>569</v>
      </c>
      <c r="J193" s="40"/>
      <c r="K193" s="38"/>
      <c r="L193" s="38"/>
      <c r="M193" s="32" t="n">
        <v>23163</v>
      </c>
      <c r="P193" s="39"/>
      <c r="Q193" s="34" t="str">
        <f aca="false">IF(OR($A193="",P193=""),"",ROUND(YEARFRAC(P193,README!$C$5),1))</f>
        <v/>
      </c>
      <c r="R193" s="39"/>
      <c r="S193" s="35" t="n">
        <v>12700</v>
      </c>
      <c r="T193" s="35" t="n">
        <v>12979.57</v>
      </c>
      <c r="U193" s="35" t="n">
        <v>16200</v>
      </c>
      <c r="V193" s="35" t="n">
        <v>3220</v>
      </c>
      <c r="W193" s="31" t="n">
        <v>0.991</v>
      </c>
      <c r="X193" s="6" t="n">
        <v>56</v>
      </c>
      <c r="Y193" s="41"/>
      <c r="Z193" s="6" t="s">
        <v>978</v>
      </c>
      <c r="AA193" s="9" t="s">
        <v>528</v>
      </c>
      <c r="AB193" s="9" t="s">
        <v>1148</v>
      </c>
      <c r="AE193" s="37" t="n">
        <f aca="false">COUNTIF(環境認証!$A$2:$A$849,A193)</f>
        <v>1</v>
      </c>
      <c r="AF193" s="6" t="n">
        <v>24.8</v>
      </c>
      <c r="AG193" s="6" t="n">
        <v>27.6</v>
      </c>
    </row>
    <row r="194" customFormat="false" ht="15" hidden="false" customHeight="true" outlineLevel="0" collapsed="false">
      <c r="A194" s="6" t="s">
        <v>1149</v>
      </c>
      <c r="B194" s="6" t="s">
        <v>373</v>
      </c>
      <c r="C194" s="9" t="s">
        <v>1150</v>
      </c>
      <c r="D194" s="9" t="s">
        <v>522</v>
      </c>
      <c r="E194" s="9" t="s">
        <v>573</v>
      </c>
      <c r="F194" s="9" t="s">
        <v>680</v>
      </c>
      <c r="H194" s="9" t="s">
        <v>569</v>
      </c>
      <c r="J194" s="40"/>
      <c r="K194" s="38"/>
      <c r="L194" s="38"/>
      <c r="M194" s="32" t="n">
        <v>7432</v>
      </c>
      <c r="P194" s="39"/>
      <c r="Q194" s="34" t="str">
        <f aca="false">IF(OR($A194="",P194=""),"",ROUND(YEARFRAC(P194,README!$C$5),1))</f>
        <v/>
      </c>
      <c r="R194" s="39"/>
      <c r="S194" s="35" t="n">
        <v>9833</v>
      </c>
      <c r="T194" s="35" t="n">
        <v>8203.695</v>
      </c>
      <c r="U194" s="35" t="n">
        <v>10600</v>
      </c>
      <c r="V194" s="35" t="n">
        <v>2396</v>
      </c>
      <c r="W194" s="31" t="n">
        <v>1</v>
      </c>
      <c r="X194" s="6" t="n">
        <v>13</v>
      </c>
      <c r="Y194" s="41"/>
      <c r="Z194" s="6" t="s">
        <v>978</v>
      </c>
      <c r="AA194" s="9" t="s">
        <v>528</v>
      </c>
      <c r="AB194" s="9" t="s">
        <v>1000</v>
      </c>
      <c r="AE194" s="37" t="n">
        <f aca="false">COUNTIF(環境認証!$A$2:$A$849,A194)</f>
        <v>1</v>
      </c>
      <c r="AF194" s="6" t="n">
        <v>29.2</v>
      </c>
      <c r="AG194" s="6" t="n">
        <v>7.8</v>
      </c>
    </row>
    <row r="195" customFormat="false" ht="15" hidden="false" customHeight="true" outlineLevel="0" collapsed="false">
      <c r="A195" s="6" t="s">
        <v>1151</v>
      </c>
      <c r="B195" s="6" t="s">
        <v>373</v>
      </c>
      <c r="C195" s="9" t="s">
        <v>1152</v>
      </c>
      <c r="D195" s="9" t="s">
        <v>522</v>
      </c>
      <c r="E195" s="9" t="s">
        <v>715</v>
      </c>
      <c r="F195" s="9" t="s">
        <v>716</v>
      </c>
      <c r="H195" s="6" t="s">
        <v>599</v>
      </c>
      <c r="J195" s="40"/>
      <c r="K195" s="38"/>
      <c r="L195" s="38"/>
      <c r="M195" s="32" t="n">
        <v>3930</v>
      </c>
      <c r="P195" s="39"/>
      <c r="Q195" s="34" t="str">
        <f aca="false">IF(OR($A195="",P195=""),"",ROUND(YEARFRAC(P195,README!$C$5),1))</f>
        <v/>
      </c>
      <c r="R195" s="39"/>
      <c r="S195" s="35" t="n">
        <v>2215</v>
      </c>
      <c r="T195" s="35" t="n">
        <v>1739.519</v>
      </c>
      <c r="U195" s="35" t="n">
        <v>2390</v>
      </c>
      <c r="V195" s="35" t="n">
        <v>650</v>
      </c>
      <c r="W195" s="31" t="n">
        <v>1</v>
      </c>
      <c r="X195" s="6" t="n">
        <v>19</v>
      </c>
      <c r="Y195" s="41"/>
      <c r="Z195" s="6" t="s">
        <v>978</v>
      </c>
      <c r="AA195" s="9" t="s">
        <v>528</v>
      </c>
      <c r="AB195" s="9" t="s">
        <v>1153</v>
      </c>
      <c r="AE195" s="37" t="n">
        <f aca="false">COUNTIF(環境認証!$A$2:$A$849,A195)</f>
        <v>1</v>
      </c>
      <c r="AF195" s="6" t="n">
        <v>37.4</v>
      </c>
      <c r="AG195" s="6" t="n">
        <v>7.9</v>
      </c>
    </row>
    <row r="196" customFormat="false" ht="15" hidden="false" customHeight="true" outlineLevel="0" collapsed="false">
      <c r="A196" s="6" t="s">
        <v>1154</v>
      </c>
      <c r="B196" s="6" t="s">
        <v>373</v>
      </c>
      <c r="C196" s="9" t="s">
        <v>1155</v>
      </c>
      <c r="D196" s="9" t="s">
        <v>522</v>
      </c>
      <c r="E196" s="9" t="s">
        <v>1156</v>
      </c>
      <c r="F196" s="9" t="s">
        <v>1157</v>
      </c>
      <c r="H196" s="9" t="s">
        <v>734</v>
      </c>
      <c r="J196" s="40"/>
      <c r="K196" s="38"/>
      <c r="L196" s="38"/>
      <c r="M196" s="32" t="n">
        <v>5984</v>
      </c>
      <c r="P196" s="39"/>
      <c r="Q196" s="34" t="str">
        <f aca="false">IF(OR($A196="",P196=""),"",ROUND(YEARFRAC(P196,README!$C$5),1))</f>
        <v/>
      </c>
      <c r="R196" s="39"/>
      <c r="S196" s="35" t="n">
        <v>3310</v>
      </c>
      <c r="T196" s="35" t="n">
        <v>2717.828</v>
      </c>
      <c r="U196" s="35" t="n">
        <v>4040</v>
      </c>
      <c r="V196" s="35" t="n">
        <v>1322</v>
      </c>
      <c r="W196" s="31" t="n">
        <v>0.947</v>
      </c>
      <c r="X196" s="6" t="n">
        <v>22</v>
      </c>
      <c r="Y196" s="41"/>
      <c r="Z196" s="6" t="s">
        <v>978</v>
      </c>
      <c r="AA196" s="9" t="s">
        <v>528</v>
      </c>
      <c r="AB196" s="9" t="s">
        <v>1000</v>
      </c>
      <c r="AE196" s="37" t="n">
        <f aca="false">COUNTIF(環境認証!$A$2:$A$849,A196)</f>
        <v>1</v>
      </c>
      <c r="AF196" s="6" t="n">
        <v>48.6</v>
      </c>
      <c r="AG196" s="6" t="n">
        <v>22.1</v>
      </c>
    </row>
    <row r="197" customFormat="false" ht="15" hidden="false" customHeight="true" outlineLevel="0" collapsed="false">
      <c r="A197" s="6" t="s">
        <v>1158</v>
      </c>
      <c r="B197" s="6" t="s">
        <v>373</v>
      </c>
      <c r="C197" s="9" t="s">
        <v>1159</v>
      </c>
      <c r="D197" s="9" t="s">
        <v>522</v>
      </c>
      <c r="E197" s="9" t="s">
        <v>596</v>
      </c>
      <c r="F197" s="9" t="s">
        <v>1160</v>
      </c>
      <c r="H197" s="6" t="s">
        <v>599</v>
      </c>
      <c r="J197" s="40"/>
      <c r="K197" s="38"/>
      <c r="L197" s="38"/>
      <c r="M197" s="32" t="n">
        <v>14328</v>
      </c>
      <c r="P197" s="39"/>
      <c r="Q197" s="34" t="str">
        <f aca="false">IF(OR($A197="",P197=""),"",ROUND(YEARFRAC(P197,README!$C$5),1))</f>
        <v/>
      </c>
      <c r="R197" s="39"/>
      <c r="S197" s="35" t="n">
        <v>8000</v>
      </c>
      <c r="T197" s="35" t="n">
        <v>6033.403</v>
      </c>
      <c r="U197" s="35" t="n">
        <v>13800</v>
      </c>
      <c r="V197" s="35" t="n">
        <v>7767</v>
      </c>
      <c r="W197" s="31" t="n">
        <v>0.97</v>
      </c>
      <c r="X197" s="6" t="n">
        <v>20</v>
      </c>
      <c r="Y197" s="41"/>
      <c r="Z197" s="6" t="s">
        <v>978</v>
      </c>
      <c r="AA197" s="9" t="s">
        <v>528</v>
      </c>
      <c r="AB197" s="9" t="s">
        <v>1000</v>
      </c>
      <c r="AE197" s="37" t="n">
        <f aca="false">COUNTIF(環境認証!$A$2:$A$849,A197)</f>
        <v>1</v>
      </c>
      <c r="AF197" s="6" t="n">
        <v>128.7</v>
      </c>
      <c r="AG197" s="6" t="n">
        <v>72.5</v>
      </c>
    </row>
    <row r="198" customFormat="false" ht="15" hidden="false" customHeight="true" outlineLevel="0" collapsed="false">
      <c r="A198" s="6" t="s">
        <v>1161</v>
      </c>
      <c r="B198" s="6" t="s">
        <v>373</v>
      </c>
      <c r="C198" s="9" t="s">
        <v>1162</v>
      </c>
      <c r="D198" s="9" t="s">
        <v>522</v>
      </c>
      <c r="E198" s="9" t="s">
        <v>1163</v>
      </c>
      <c r="F198" s="9" t="s">
        <v>1164</v>
      </c>
      <c r="H198" s="6" t="s">
        <v>599</v>
      </c>
      <c r="J198" s="40"/>
      <c r="K198" s="38"/>
      <c r="L198" s="38"/>
      <c r="M198" s="32" t="n">
        <v>7931</v>
      </c>
      <c r="P198" s="39"/>
      <c r="Q198" s="34" t="str">
        <f aca="false">IF(OR($A198="",P198=""),"",ROUND(YEARFRAC(P198,README!$C$5),1))</f>
        <v/>
      </c>
      <c r="R198" s="39"/>
      <c r="S198" s="35" t="n">
        <v>4500</v>
      </c>
      <c r="T198" s="35" t="n">
        <v>3164.171</v>
      </c>
      <c r="U198" s="35" t="n">
        <v>4880</v>
      </c>
      <c r="V198" s="35" t="n">
        <v>1716</v>
      </c>
      <c r="W198" s="31" t="n">
        <v>1</v>
      </c>
      <c r="X198" s="6" t="n">
        <v>13</v>
      </c>
      <c r="Y198" s="41"/>
      <c r="Z198" s="6" t="s">
        <v>978</v>
      </c>
      <c r="AA198" s="9" t="s">
        <v>528</v>
      </c>
      <c r="AB198" s="9" t="s">
        <v>1000</v>
      </c>
      <c r="AE198" s="37" t="n">
        <f aca="false">COUNTIF(環境認証!$A$2:$A$849,A198)</f>
        <v>1</v>
      </c>
      <c r="AF198" s="6" t="n">
        <v>54.2</v>
      </c>
      <c r="AG198" s="6" t="n">
        <v>8.4</v>
      </c>
    </row>
    <row r="199" customFormat="false" ht="15" hidden="false" customHeight="true" outlineLevel="0" collapsed="false">
      <c r="A199" s="6" t="s">
        <v>1165</v>
      </c>
      <c r="B199" s="6" t="s">
        <v>373</v>
      </c>
      <c r="C199" s="9" t="s">
        <v>1166</v>
      </c>
      <c r="D199" s="9" t="s">
        <v>522</v>
      </c>
      <c r="H199" s="6" t="s">
        <v>619</v>
      </c>
      <c r="I199" s="6" t="s">
        <v>1167</v>
      </c>
      <c r="J199" s="40"/>
      <c r="K199" s="38"/>
      <c r="L199" s="38"/>
      <c r="M199" s="32" t="n">
        <v>1239418</v>
      </c>
      <c r="P199" s="39"/>
      <c r="Q199" s="34" t="str">
        <f aca="false">IF(OR($A199="",P199=""),"",ROUND(YEARFRAC(P199,README!$C$5),1))</f>
        <v/>
      </c>
      <c r="R199" s="39"/>
      <c r="S199" s="35" t="n">
        <v>1519039.034</v>
      </c>
      <c r="T199" s="35" t="n">
        <v>1411111.019</v>
      </c>
      <c r="U199" s="35" t="n">
        <v>1778190</v>
      </c>
      <c r="V199" s="43" t="n">
        <f aca="false">IF($A199="","",IF(OR(T199="",U199=""),"",U199-T199))</f>
        <v>367078.981</v>
      </c>
      <c r="W199" s="31" t="n">
        <v>0.983</v>
      </c>
      <c r="X199" s="6" t="n">
        <v>1584</v>
      </c>
      <c r="Y199" s="41"/>
      <c r="Z199" s="6" t="s">
        <v>978</v>
      </c>
      <c r="AA199" s="44" t="s">
        <v>1168</v>
      </c>
      <c r="AB199" s="6" t="s">
        <v>1169</v>
      </c>
      <c r="AE199" s="37" t="n">
        <f aca="false">COUNTIF(環境認証!$A$2:$A$849,A199)</f>
        <v>0</v>
      </c>
    </row>
    <row r="200" customFormat="false" ht="15" hidden="false" customHeight="true" outlineLevel="0" collapsed="false">
      <c r="A200" s="6" t="s">
        <v>1170</v>
      </c>
      <c r="B200" s="6" t="s">
        <v>427</v>
      </c>
      <c r="C200" s="9" t="s">
        <v>1171</v>
      </c>
      <c r="D200" s="9" t="s">
        <v>522</v>
      </c>
      <c r="E200" s="9" t="s">
        <v>523</v>
      </c>
      <c r="F200" s="9" t="s">
        <v>666</v>
      </c>
      <c r="H200" s="9" t="s">
        <v>525</v>
      </c>
      <c r="J200" s="40"/>
      <c r="K200" s="32" t="n">
        <v>1751.13</v>
      </c>
      <c r="L200" s="32" t="n">
        <v>14995.09</v>
      </c>
      <c r="M200" s="32" t="n">
        <v>8090.74</v>
      </c>
      <c r="N200" s="6" t="n">
        <v>13</v>
      </c>
      <c r="O200" s="6" t="n">
        <v>2</v>
      </c>
      <c r="P200" s="45" t="n">
        <v>34001</v>
      </c>
      <c r="Q200" s="34" t="n">
        <f aca="false">IF(OR($A200="",P200=""),"",ROUND(YEARFRAC(P200,README!$C$5),1))</f>
        <v>33.5</v>
      </c>
      <c r="R200" s="39"/>
      <c r="S200" s="35" t="n">
        <v>16276</v>
      </c>
      <c r="T200" s="42"/>
      <c r="U200" s="35" t="n">
        <v>14100</v>
      </c>
      <c r="V200" s="43" t="str">
        <f aca="false">IF($A200="","",IF(OR(T200="",U200=""),"",U200-T200))</f>
        <v/>
      </c>
      <c r="W200" s="31" t="n">
        <v>1</v>
      </c>
      <c r="X200" s="6" t="n">
        <v>12</v>
      </c>
      <c r="Y200" s="41"/>
      <c r="Z200" s="6" t="s">
        <v>1172</v>
      </c>
      <c r="AA200" s="9" t="s">
        <v>528</v>
      </c>
      <c r="AB200" s="6" t="s">
        <v>1173</v>
      </c>
      <c r="AE200" s="37" t="n">
        <f aca="false">COUNTIF(環境認証!$A$2:$A$849,A200)</f>
        <v>0</v>
      </c>
      <c r="AG200" s="6" t="n">
        <v>-13.4</v>
      </c>
    </row>
    <row r="201" customFormat="false" ht="15" hidden="false" customHeight="true" outlineLevel="0" collapsed="false">
      <c r="A201" s="6" t="s">
        <v>1174</v>
      </c>
      <c r="B201" s="6" t="s">
        <v>427</v>
      </c>
      <c r="C201" s="9" t="s">
        <v>1175</v>
      </c>
      <c r="D201" s="9" t="s">
        <v>522</v>
      </c>
      <c r="E201" s="9" t="s">
        <v>523</v>
      </c>
      <c r="F201" s="9" t="s">
        <v>666</v>
      </c>
      <c r="H201" s="9" t="s">
        <v>525</v>
      </c>
      <c r="J201" s="40"/>
      <c r="K201" s="32" t="n">
        <v>679.06</v>
      </c>
      <c r="L201" s="32" t="n">
        <v>4351.46</v>
      </c>
      <c r="M201" s="32" t="n">
        <v>2291.13</v>
      </c>
      <c r="N201" s="6" t="n">
        <v>8</v>
      </c>
      <c r="O201" s="6" t="n">
        <v>1</v>
      </c>
      <c r="P201" s="45" t="n">
        <v>34001</v>
      </c>
      <c r="Q201" s="34" t="n">
        <f aca="false">IF(OR($A201="",P201=""),"",ROUND(YEARFRAC(P201,README!$C$5),1))</f>
        <v>33.5</v>
      </c>
      <c r="R201" s="39"/>
      <c r="S201" s="35" t="n">
        <v>2874</v>
      </c>
      <c r="T201" s="42"/>
      <c r="U201" s="35" t="n">
        <v>2960</v>
      </c>
      <c r="V201" s="43" t="str">
        <f aca="false">IF($A201="","",IF(OR(T201="",U201=""),"",U201-T201))</f>
        <v/>
      </c>
      <c r="W201" s="31" t="n">
        <v>1</v>
      </c>
      <c r="X201" s="6" t="n">
        <v>1</v>
      </c>
      <c r="Y201" s="41"/>
      <c r="Z201" s="6" t="s">
        <v>1172</v>
      </c>
      <c r="AA201" s="9" t="s">
        <v>528</v>
      </c>
      <c r="AB201" s="6" t="s">
        <v>1176</v>
      </c>
      <c r="AE201" s="37" t="n">
        <f aca="false">COUNTIF(環境認証!$A$2:$A$849,A201)</f>
        <v>1</v>
      </c>
      <c r="AG201" s="6" t="n">
        <v>3</v>
      </c>
    </row>
    <row r="202" customFormat="false" ht="15" hidden="false" customHeight="true" outlineLevel="0" collapsed="false">
      <c r="A202" s="6" t="s">
        <v>1177</v>
      </c>
      <c r="B202" s="6" t="s">
        <v>427</v>
      </c>
      <c r="C202" s="9" t="s">
        <v>1178</v>
      </c>
      <c r="D202" s="9" t="s">
        <v>522</v>
      </c>
      <c r="E202" s="9" t="s">
        <v>523</v>
      </c>
      <c r="F202" s="9" t="s">
        <v>666</v>
      </c>
      <c r="H202" s="9" t="s">
        <v>525</v>
      </c>
      <c r="J202" s="40"/>
      <c r="K202" s="32" t="n">
        <v>550.06</v>
      </c>
      <c r="L202" s="32" t="n">
        <v>4117.7</v>
      </c>
      <c r="M202" s="32" t="n">
        <v>2802.22</v>
      </c>
      <c r="N202" s="6" t="n">
        <v>8</v>
      </c>
      <c r="O202" s="6" t="n">
        <v>1</v>
      </c>
      <c r="P202" s="45" t="n">
        <v>32843</v>
      </c>
      <c r="Q202" s="34" t="n">
        <f aca="false">IF(OR($A202="",P202=""),"",ROUND(YEARFRAC(P202,README!$C$5),1))</f>
        <v>36.7</v>
      </c>
      <c r="R202" s="39"/>
      <c r="S202" s="35" t="n">
        <v>2100</v>
      </c>
      <c r="T202" s="42"/>
      <c r="U202" s="35" t="n">
        <v>3290</v>
      </c>
      <c r="V202" s="43" t="str">
        <f aca="false">IF($A202="","",IF(OR(T202="",U202=""),"",U202-T202))</f>
        <v/>
      </c>
      <c r="W202" s="31" t="n">
        <v>1</v>
      </c>
      <c r="X202" s="6" t="n">
        <v>5</v>
      </c>
      <c r="Y202" s="41"/>
      <c r="Z202" s="6" t="s">
        <v>1172</v>
      </c>
      <c r="AA202" s="9" t="s">
        <v>528</v>
      </c>
      <c r="AB202" s="6" t="s">
        <v>1176</v>
      </c>
      <c r="AE202" s="37" t="n">
        <f aca="false">COUNTIF(環境認証!$A$2:$A$849,A202)</f>
        <v>1</v>
      </c>
      <c r="AG202" s="6" t="n">
        <v>56.7</v>
      </c>
    </row>
    <row r="203" customFormat="false" ht="15" hidden="false" customHeight="true" outlineLevel="0" collapsed="false">
      <c r="A203" s="6" t="s">
        <v>1179</v>
      </c>
      <c r="B203" s="6" t="s">
        <v>427</v>
      </c>
      <c r="C203" s="9" t="s">
        <v>1180</v>
      </c>
      <c r="D203" s="9" t="s">
        <v>522</v>
      </c>
      <c r="E203" s="9" t="s">
        <v>523</v>
      </c>
      <c r="F203" s="9" t="s">
        <v>524</v>
      </c>
      <c r="H203" s="9" t="s">
        <v>525</v>
      </c>
      <c r="J203" s="40"/>
      <c r="K203" s="32" t="n">
        <v>657.8</v>
      </c>
      <c r="L203" s="32" t="n">
        <v>5152.98</v>
      </c>
      <c r="M203" s="32" t="n">
        <v>3319.37</v>
      </c>
      <c r="N203" s="6" t="n">
        <v>9</v>
      </c>
      <c r="O203" s="6" t="n">
        <v>1</v>
      </c>
      <c r="P203" s="45" t="n">
        <v>30956</v>
      </c>
      <c r="Q203" s="34" t="n">
        <f aca="false">IF(OR($A203="",P203=""),"",ROUND(YEARFRAC(P203,README!$C$5),1))</f>
        <v>41.9</v>
      </c>
      <c r="R203" s="39"/>
      <c r="S203" s="35" t="n">
        <v>2420</v>
      </c>
      <c r="T203" s="42"/>
      <c r="U203" s="35" t="n">
        <v>4160</v>
      </c>
      <c r="V203" s="43" t="str">
        <f aca="false">IF($A203="","",IF(OR(T203="",U203=""),"",U203-T203))</f>
        <v/>
      </c>
      <c r="W203" s="31" t="n">
        <v>1</v>
      </c>
      <c r="X203" s="6" t="n">
        <v>19</v>
      </c>
      <c r="Y203" s="41"/>
      <c r="Z203" s="6" t="s">
        <v>1172</v>
      </c>
      <c r="AA203" s="9" t="s">
        <v>528</v>
      </c>
      <c r="AB203" s="6" t="s">
        <v>1181</v>
      </c>
      <c r="AE203" s="37" t="n">
        <f aca="false">COUNTIF(環境認証!$A$2:$A$849,A203)</f>
        <v>1</v>
      </c>
      <c r="AG203" s="6" t="n">
        <v>71.9</v>
      </c>
    </row>
    <row r="204" customFormat="false" ht="15" hidden="false" customHeight="true" outlineLevel="0" collapsed="false">
      <c r="A204" s="6" t="s">
        <v>1182</v>
      </c>
      <c r="B204" s="6" t="s">
        <v>427</v>
      </c>
      <c r="C204" s="9" t="s">
        <v>1183</v>
      </c>
      <c r="D204" s="9" t="s">
        <v>522</v>
      </c>
      <c r="E204" s="9" t="s">
        <v>523</v>
      </c>
      <c r="F204" s="9" t="s">
        <v>532</v>
      </c>
      <c r="H204" s="9" t="s">
        <v>525</v>
      </c>
      <c r="J204" s="40"/>
      <c r="K204" s="32" t="n">
        <v>8992.18</v>
      </c>
      <c r="L204" s="32" t="n">
        <v>31020.21</v>
      </c>
      <c r="M204" s="32" t="n">
        <v>14466.03</v>
      </c>
      <c r="N204" s="6" t="n">
        <v>13</v>
      </c>
      <c r="O204" s="6" t="n">
        <v>2</v>
      </c>
      <c r="P204" s="45" t="n">
        <v>32174</v>
      </c>
      <c r="Q204" s="34" t="n">
        <f aca="false">IF(OR($A204="",P204=""),"",ROUND(YEARFRAC(P204,README!$C$5),1))</f>
        <v>38.5</v>
      </c>
      <c r="R204" s="39"/>
      <c r="S204" s="35" t="n">
        <v>11200</v>
      </c>
      <c r="T204" s="42"/>
      <c r="U204" s="35" t="n">
        <v>13000</v>
      </c>
      <c r="V204" s="43" t="str">
        <f aca="false">IF($A204="","",IF(OR(T204="",U204=""),"",U204-T204))</f>
        <v/>
      </c>
      <c r="W204" s="31" t="n">
        <v>1</v>
      </c>
      <c r="X204" s="6" t="n">
        <v>10</v>
      </c>
      <c r="Y204" s="41"/>
      <c r="Z204" s="6" t="s">
        <v>1172</v>
      </c>
      <c r="AA204" s="9" t="s">
        <v>528</v>
      </c>
      <c r="AB204" s="6" t="s">
        <v>1184</v>
      </c>
      <c r="AE204" s="37" t="n">
        <f aca="false">COUNTIF(環境認証!$A$2:$A$849,A204)</f>
        <v>1</v>
      </c>
      <c r="AG204" s="6" t="n">
        <v>16.1</v>
      </c>
    </row>
    <row r="205" customFormat="false" ht="15" hidden="false" customHeight="true" outlineLevel="0" collapsed="false">
      <c r="A205" s="6" t="s">
        <v>1185</v>
      </c>
      <c r="B205" s="6" t="s">
        <v>427</v>
      </c>
      <c r="C205" s="9" t="s">
        <v>1186</v>
      </c>
      <c r="D205" s="9" t="s">
        <v>522</v>
      </c>
      <c r="E205" s="9" t="s">
        <v>523</v>
      </c>
      <c r="F205" s="9" t="s">
        <v>524</v>
      </c>
      <c r="H205" s="9" t="s">
        <v>525</v>
      </c>
      <c r="J205" s="40"/>
      <c r="K205" s="32" t="n">
        <v>1058.04</v>
      </c>
      <c r="L205" s="32" t="n">
        <v>5888.82</v>
      </c>
      <c r="M205" s="32" t="n">
        <v>3855.01</v>
      </c>
      <c r="N205" s="6" t="n">
        <v>9</v>
      </c>
      <c r="O205" s="6" t="n">
        <v>1</v>
      </c>
      <c r="P205" s="45" t="n">
        <v>32568</v>
      </c>
      <c r="Q205" s="34" t="n">
        <f aca="false">IF(OR($A205="",P205=""),"",ROUND(YEARFRAC(P205,README!$C$5),1))</f>
        <v>37.4</v>
      </c>
      <c r="R205" s="39"/>
      <c r="S205" s="35" t="n">
        <v>5100</v>
      </c>
      <c r="T205" s="42"/>
      <c r="U205" s="35" t="n">
        <v>4790</v>
      </c>
      <c r="V205" s="43" t="str">
        <f aca="false">IF($A205="","",IF(OR(T205="",U205=""),"",U205-T205))</f>
        <v/>
      </c>
      <c r="W205" s="31" t="n">
        <v>1</v>
      </c>
      <c r="X205" s="6" t="n">
        <v>9</v>
      </c>
      <c r="Y205" s="41"/>
      <c r="Z205" s="6" t="s">
        <v>1172</v>
      </c>
      <c r="AA205" s="9" t="s">
        <v>528</v>
      </c>
      <c r="AB205" s="6" t="s">
        <v>1176</v>
      </c>
      <c r="AE205" s="37" t="n">
        <f aca="false">COUNTIF(環境認証!$A$2:$A$849,A205)</f>
        <v>1</v>
      </c>
      <c r="AG205" s="6" t="n">
        <v>-6.1</v>
      </c>
    </row>
    <row r="206" customFormat="false" ht="15" hidden="false" customHeight="true" outlineLevel="0" collapsed="false">
      <c r="A206" s="6" t="s">
        <v>1187</v>
      </c>
      <c r="B206" s="6" t="s">
        <v>427</v>
      </c>
      <c r="C206" s="9" t="s">
        <v>1188</v>
      </c>
      <c r="D206" s="9" t="s">
        <v>522</v>
      </c>
      <c r="E206" s="9" t="s">
        <v>523</v>
      </c>
      <c r="F206" s="9" t="s">
        <v>625</v>
      </c>
      <c r="H206" s="9" t="s">
        <v>540</v>
      </c>
      <c r="J206" s="40"/>
      <c r="K206" s="32" t="n">
        <v>4006</v>
      </c>
      <c r="L206" s="32" t="n">
        <v>28575.8</v>
      </c>
      <c r="M206" s="32" t="n">
        <v>4088.44</v>
      </c>
      <c r="N206" s="6" t="n">
        <v>17</v>
      </c>
      <c r="O206" s="6" t="n">
        <v>2</v>
      </c>
      <c r="P206" s="45" t="n">
        <v>37043</v>
      </c>
      <c r="Q206" s="34" t="n">
        <f aca="false">IF(OR($A206="",P206=""),"",ROUND(YEARFRAC(P206,README!$C$5),1))</f>
        <v>25.2</v>
      </c>
      <c r="R206" s="39"/>
      <c r="S206" s="35" t="n">
        <v>3500</v>
      </c>
      <c r="T206" s="42"/>
      <c r="U206" s="35" t="n">
        <v>4050</v>
      </c>
      <c r="V206" s="43" t="str">
        <f aca="false">IF($A206="","",IF(OR(T206="",U206=""),"",U206-T206))</f>
        <v/>
      </c>
      <c r="W206" s="31" t="n">
        <v>1</v>
      </c>
      <c r="X206" s="6" t="n">
        <v>1</v>
      </c>
      <c r="Y206" s="41"/>
      <c r="Z206" s="6" t="s">
        <v>1172</v>
      </c>
      <c r="AA206" s="9" t="s">
        <v>528</v>
      </c>
      <c r="AB206" s="6" t="s">
        <v>1189</v>
      </c>
      <c r="AE206" s="37" t="n">
        <f aca="false">COUNTIF(環境認証!$A$2:$A$849,A206)</f>
        <v>0</v>
      </c>
      <c r="AG206" s="6" t="n">
        <v>15.7</v>
      </c>
    </row>
    <row r="207" customFormat="false" ht="15" hidden="false" customHeight="true" outlineLevel="0" collapsed="false">
      <c r="A207" s="6" t="s">
        <v>1190</v>
      </c>
      <c r="B207" s="6" t="s">
        <v>427</v>
      </c>
      <c r="C207" s="9" t="s">
        <v>1191</v>
      </c>
      <c r="D207" s="9" t="s">
        <v>522</v>
      </c>
      <c r="E207" s="9" t="s">
        <v>523</v>
      </c>
      <c r="F207" s="9" t="s">
        <v>806</v>
      </c>
      <c r="H207" s="9" t="s">
        <v>525</v>
      </c>
      <c r="J207" s="40"/>
      <c r="K207" s="32" t="n">
        <v>8409.52</v>
      </c>
      <c r="L207" s="32" t="n">
        <v>78796</v>
      </c>
      <c r="M207" s="32" t="n">
        <v>19266.47</v>
      </c>
      <c r="N207" s="6" t="n">
        <v>30</v>
      </c>
      <c r="O207" s="6" t="n">
        <v>4</v>
      </c>
      <c r="P207" s="45" t="n">
        <v>34608</v>
      </c>
      <c r="Q207" s="34" t="n">
        <f aca="false">IF(OR($A207="",P207=""),"",ROUND(YEARFRAC(P207,README!$C$5),1))</f>
        <v>31.9</v>
      </c>
      <c r="R207" s="39"/>
      <c r="S207" s="35" t="n">
        <v>14966</v>
      </c>
      <c r="T207" s="42"/>
      <c r="U207" s="35" t="n">
        <v>16200</v>
      </c>
      <c r="V207" s="43" t="str">
        <f aca="false">IF($A207="","",IF(OR(T207="",U207=""),"",U207-T207))</f>
        <v/>
      </c>
      <c r="W207" s="31" t="n">
        <v>1</v>
      </c>
      <c r="X207" s="6" t="n">
        <v>28</v>
      </c>
      <c r="Y207" s="41"/>
      <c r="Z207" s="6" t="s">
        <v>1172</v>
      </c>
      <c r="AA207" s="9" t="s">
        <v>528</v>
      </c>
      <c r="AB207" s="6" t="s">
        <v>1192</v>
      </c>
      <c r="AE207" s="37" t="n">
        <f aca="false">COUNTIF(環境認証!$A$2:$A$849,A207)</f>
        <v>1</v>
      </c>
      <c r="AG207" s="6" t="n">
        <v>8.2</v>
      </c>
    </row>
    <row r="208" customFormat="false" ht="15" hidden="false" customHeight="true" outlineLevel="0" collapsed="false">
      <c r="A208" s="6" t="s">
        <v>1193</v>
      </c>
      <c r="B208" s="6" t="s">
        <v>427</v>
      </c>
      <c r="C208" s="9" t="s">
        <v>1194</v>
      </c>
      <c r="D208" s="9" t="s">
        <v>522</v>
      </c>
      <c r="E208" s="9" t="s">
        <v>523</v>
      </c>
      <c r="F208" s="9" t="s">
        <v>806</v>
      </c>
      <c r="H208" s="9" t="s">
        <v>525</v>
      </c>
      <c r="J208" s="40"/>
      <c r="K208" s="32" t="n">
        <v>3522.46</v>
      </c>
      <c r="L208" s="32" t="n">
        <v>25733.1</v>
      </c>
      <c r="M208" s="32" t="n">
        <v>15222.72</v>
      </c>
      <c r="N208" s="6" t="n">
        <v>14</v>
      </c>
      <c r="O208" s="6" t="n">
        <v>2</v>
      </c>
      <c r="P208" s="45" t="n">
        <v>31138</v>
      </c>
      <c r="Q208" s="34" t="n">
        <f aca="false">IF(OR($A208="",P208=""),"",ROUND(YEARFRAC(P208,README!$C$5),1))</f>
        <v>41.4</v>
      </c>
      <c r="R208" s="39"/>
      <c r="S208" s="35" t="n">
        <v>15121</v>
      </c>
      <c r="T208" s="42"/>
      <c r="U208" s="35" t="n">
        <v>18900</v>
      </c>
      <c r="V208" s="43" t="str">
        <f aca="false">IF($A208="","",IF(OR(T208="",U208=""),"",U208-T208))</f>
        <v/>
      </c>
      <c r="W208" s="31" t="n">
        <v>0.985</v>
      </c>
      <c r="X208" s="6" t="n">
        <v>22</v>
      </c>
      <c r="Y208" s="41"/>
      <c r="Z208" s="6" t="s">
        <v>1172</v>
      </c>
      <c r="AA208" s="9" t="s">
        <v>528</v>
      </c>
      <c r="AB208" s="6" t="s">
        <v>1195</v>
      </c>
      <c r="AE208" s="37" t="n">
        <f aca="false">COUNTIF(環境認証!$A$2:$A$849,A208)</f>
        <v>1</v>
      </c>
      <c r="AG208" s="6" t="n">
        <v>25</v>
      </c>
    </row>
    <row r="209" customFormat="false" ht="15" hidden="false" customHeight="true" outlineLevel="0" collapsed="false">
      <c r="A209" s="6" t="s">
        <v>1196</v>
      </c>
      <c r="B209" s="6" t="s">
        <v>427</v>
      </c>
      <c r="C209" s="9" t="s">
        <v>1197</v>
      </c>
      <c r="D209" s="9" t="s">
        <v>522</v>
      </c>
      <c r="E209" s="9" t="s">
        <v>523</v>
      </c>
      <c r="F209" s="9" t="s">
        <v>666</v>
      </c>
      <c r="H209" s="9" t="s">
        <v>525</v>
      </c>
      <c r="J209" s="40"/>
      <c r="K209" s="32" t="n">
        <v>858.48</v>
      </c>
      <c r="L209" s="32" t="n">
        <v>5535.9</v>
      </c>
      <c r="M209" s="32" t="n">
        <v>1264.51</v>
      </c>
      <c r="N209" s="6" t="n">
        <v>10</v>
      </c>
      <c r="O209" s="6" t="n">
        <v>2</v>
      </c>
      <c r="P209" s="45" t="n">
        <v>34486</v>
      </c>
      <c r="Q209" s="34" t="n">
        <f aca="false">IF(OR($A209="",P209=""),"",ROUND(YEARFRAC(P209,README!$C$5),1))</f>
        <v>32.2</v>
      </c>
      <c r="R209" s="39"/>
      <c r="S209" s="35" t="n">
        <v>710</v>
      </c>
      <c r="T209" s="42"/>
      <c r="U209" s="35" t="n">
        <v>811</v>
      </c>
      <c r="V209" s="43" t="str">
        <f aca="false">IF($A209="","",IF(OR(T209="",U209=""),"",U209-T209))</f>
        <v/>
      </c>
      <c r="W209" s="31" t="n">
        <v>1</v>
      </c>
      <c r="X209" s="6" t="n">
        <v>4</v>
      </c>
      <c r="Y209" s="41"/>
      <c r="Z209" s="6" t="s">
        <v>1172</v>
      </c>
      <c r="AA209" s="9" t="s">
        <v>528</v>
      </c>
      <c r="AB209" s="6" t="s">
        <v>1176</v>
      </c>
      <c r="AE209" s="37" t="n">
        <f aca="false">COUNTIF(環境認証!$A$2:$A$849,A209)</f>
        <v>0</v>
      </c>
      <c r="AG209" s="6" t="n">
        <v>14.2</v>
      </c>
    </row>
    <row r="210" customFormat="false" ht="15" hidden="false" customHeight="true" outlineLevel="0" collapsed="false">
      <c r="A210" s="6" t="s">
        <v>1198</v>
      </c>
      <c r="B210" s="6" t="s">
        <v>427</v>
      </c>
      <c r="C210" s="9" t="s">
        <v>1199</v>
      </c>
      <c r="D210" s="9" t="s">
        <v>522</v>
      </c>
      <c r="E210" s="9" t="s">
        <v>523</v>
      </c>
      <c r="F210" s="9" t="s">
        <v>806</v>
      </c>
      <c r="H210" s="9" t="s">
        <v>525</v>
      </c>
      <c r="J210" s="40"/>
      <c r="K210" s="32" t="n">
        <v>14917.11</v>
      </c>
      <c r="L210" s="32" t="n">
        <v>176607.89</v>
      </c>
      <c r="M210" s="32" t="n">
        <v>10436.17</v>
      </c>
      <c r="N210" s="6" t="n">
        <v>54</v>
      </c>
      <c r="O210" s="6" t="n">
        <v>5</v>
      </c>
      <c r="P210" s="45" t="n">
        <v>29129</v>
      </c>
      <c r="Q210" s="34" t="n">
        <f aca="false">IF(OR($A210="",P210=""),"",ROUND(YEARFRAC(P210,README!$C$5),1))</f>
        <v>46.9</v>
      </c>
      <c r="R210" s="39"/>
      <c r="S210" s="35" t="n">
        <v>24320</v>
      </c>
      <c r="T210" s="42"/>
      <c r="U210" s="35" t="n">
        <v>20900</v>
      </c>
      <c r="V210" s="43" t="str">
        <f aca="false">IF($A210="","",IF(OR(T210="",U210=""),"",U210-T210))</f>
        <v/>
      </c>
      <c r="W210" s="31" t="n">
        <v>0.99</v>
      </c>
      <c r="X210" s="6" t="n">
        <v>26</v>
      </c>
      <c r="Y210" s="41"/>
      <c r="Z210" s="6" t="s">
        <v>1172</v>
      </c>
      <c r="AA210" s="9" t="s">
        <v>528</v>
      </c>
      <c r="AB210" s="6" t="s">
        <v>1200</v>
      </c>
      <c r="AE210" s="37" t="n">
        <f aca="false">COUNTIF(環境認証!$A$2:$A$849,A210)</f>
        <v>1</v>
      </c>
      <c r="AG210" s="6" t="n">
        <v>-14.1</v>
      </c>
    </row>
    <row r="211" customFormat="false" ht="15" hidden="false" customHeight="true" outlineLevel="0" collapsed="false">
      <c r="A211" s="6" t="s">
        <v>1201</v>
      </c>
      <c r="B211" s="6" t="s">
        <v>427</v>
      </c>
      <c r="C211" s="9" t="s">
        <v>1202</v>
      </c>
      <c r="D211" s="9" t="s">
        <v>522</v>
      </c>
      <c r="E211" s="9" t="s">
        <v>523</v>
      </c>
      <c r="F211" s="9" t="s">
        <v>532</v>
      </c>
      <c r="H211" s="9" t="s">
        <v>525</v>
      </c>
      <c r="J211" s="40"/>
      <c r="K211" s="32" t="n">
        <v>778.09</v>
      </c>
      <c r="L211" s="32" t="n">
        <v>4570.63</v>
      </c>
      <c r="M211" s="32" t="n">
        <v>3405.73</v>
      </c>
      <c r="N211" s="6" t="n">
        <v>9</v>
      </c>
      <c r="O211" s="6" t="n">
        <v>0</v>
      </c>
      <c r="P211" s="45" t="n">
        <v>33756</v>
      </c>
      <c r="Q211" s="34" t="n">
        <f aca="false">IF(OR($A211="",P211=""),"",ROUND(YEARFRAC(P211,README!$C$5),1))</f>
        <v>34.2</v>
      </c>
      <c r="R211" s="39"/>
      <c r="S211" s="35" t="n">
        <v>3760</v>
      </c>
      <c r="T211" s="42"/>
      <c r="U211" s="35" t="n">
        <v>3420</v>
      </c>
      <c r="V211" s="43" t="str">
        <f aca="false">IF($A211="","",IF(OR(T211="",U211=""),"",U211-T211))</f>
        <v/>
      </c>
      <c r="W211" s="31" t="n">
        <v>1</v>
      </c>
      <c r="X211" s="6" t="n">
        <v>1</v>
      </c>
      <c r="Y211" s="41"/>
      <c r="Z211" s="6" t="s">
        <v>1172</v>
      </c>
      <c r="AA211" s="9" t="s">
        <v>528</v>
      </c>
      <c r="AB211" s="6" t="s">
        <v>1203</v>
      </c>
      <c r="AE211" s="37" t="n">
        <f aca="false">COUNTIF(環境認証!$A$2:$A$849,A211)</f>
        <v>0</v>
      </c>
      <c r="AG211" s="6" t="n">
        <v>-9</v>
      </c>
    </row>
    <row r="212" customFormat="false" ht="15" hidden="false" customHeight="true" outlineLevel="0" collapsed="false">
      <c r="A212" s="6" t="s">
        <v>1204</v>
      </c>
      <c r="B212" s="6" t="s">
        <v>427</v>
      </c>
      <c r="C212" s="9" t="s">
        <v>1205</v>
      </c>
      <c r="D212" s="9" t="s">
        <v>522</v>
      </c>
      <c r="E212" s="9" t="s">
        <v>523</v>
      </c>
      <c r="F212" s="9" t="s">
        <v>532</v>
      </c>
      <c r="H212" s="9" t="s">
        <v>525</v>
      </c>
      <c r="J212" s="40"/>
      <c r="K212" s="32" t="n">
        <v>828.82</v>
      </c>
      <c r="L212" s="32" t="n">
        <v>5216.21</v>
      </c>
      <c r="M212" s="32" t="n">
        <v>1870.5</v>
      </c>
      <c r="N212" s="6" t="n">
        <v>8</v>
      </c>
      <c r="O212" s="6" t="n">
        <v>1</v>
      </c>
      <c r="P212" s="45" t="n">
        <v>39630</v>
      </c>
      <c r="Q212" s="34" t="n">
        <f aca="false">IF(OR($A212="",P212=""),"",ROUND(YEARFRAC(P212,README!$C$5),1))</f>
        <v>18.1</v>
      </c>
      <c r="R212" s="39"/>
      <c r="S212" s="35" t="n">
        <v>2041</v>
      </c>
      <c r="T212" s="42"/>
      <c r="U212" s="35" t="n">
        <v>2110</v>
      </c>
      <c r="V212" s="43" t="str">
        <f aca="false">IF($A212="","",IF(OR(T212="",U212=""),"",U212-T212))</f>
        <v/>
      </c>
      <c r="W212" s="31" t="n">
        <v>1</v>
      </c>
      <c r="X212" s="6" t="n">
        <v>6</v>
      </c>
      <c r="Y212" s="41"/>
      <c r="Z212" s="6" t="s">
        <v>1172</v>
      </c>
      <c r="AA212" s="9" t="s">
        <v>528</v>
      </c>
      <c r="AB212" s="6" t="s">
        <v>1206</v>
      </c>
      <c r="AE212" s="37" t="n">
        <f aca="false">COUNTIF(環境認証!$A$2:$A$849,A212)</f>
        <v>0</v>
      </c>
      <c r="AG212" s="6" t="n">
        <v>3.4</v>
      </c>
    </row>
    <row r="213" customFormat="false" ht="15" hidden="false" customHeight="true" outlineLevel="0" collapsed="false">
      <c r="A213" s="6" t="s">
        <v>1207</v>
      </c>
      <c r="B213" s="6" t="s">
        <v>427</v>
      </c>
      <c r="C213" s="9" t="s">
        <v>1208</v>
      </c>
      <c r="D213" s="9" t="s">
        <v>522</v>
      </c>
      <c r="E213" s="9" t="s">
        <v>523</v>
      </c>
      <c r="F213" s="9" t="s">
        <v>524</v>
      </c>
      <c r="H213" s="9" t="s">
        <v>525</v>
      </c>
      <c r="J213" s="40"/>
      <c r="K213" s="32" t="n">
        <v>716.95</v>
      </c>
      <c r="L213" s="32" t="n">
        <v>4205.09</v>
      </c>
      <c r="M213" s="32" t="n">
        <v>2501.16</v>
      </c>
      <c r="N213" s="6" t="n">
        <v>7</v>
      </c>
      <c r="O213" s="6" t="n">
        <v>3</v>
      </c>
      <c r="P213" s="45" t="n">
        <v>33512</v>
      </c>
      <c r="Q213" s="34" t="n">
        <f aca="false">IF(OR($A213="",P213=""),"",ROUND(YEARFRAC(P213,README!$C$5),1))</f>
        <v>34.9</v>
      </c>
      <c r="R213" s="39"/>
      <c r="S213" s="35" t="n">
        <v>2800</v>
      </c>
      <c r="T213" s="42"/>
      <c r="U213" s="35" t="n">
        <v>3610</v>
      </c>
      <c r="V213" s="43" t="str">
        <f aca="false">IF($A213="","",IF(OR(T213="",U213=""),"",U213-T213))</f>
        <v/>
      </c>
      <c r="W213" s="31" t="n">
        <v>1</v>
      </c>
      <c r="X213" s="6" t="n">
        <v>1</v>
      </c>
      <c r="Y213" s="41"/>
      <c r="Z213" s="6" t="s">
        <v>1172</v>
      </c>
      <c r="AA213" s="9" t="s">
        <v>528</v>
      </c>
      <c r="AB213" s="6" t="s">
        <v>1176</v>
      </c>
      <c r="AE213" s="37" t="n">
        <f aca="false">COUNTIF(環境認証!$A$2:$A$849,A213)</f>
        <v>1</v>
      </c>
      <c r="AG213" s="6" t="n">
        <v>28.9</v>
      </c>
    </row>
    <row r="214" customFormat="false" ht="15" hidden="false" customHeight="true" outlineLevel="0" collapsed="false">
      <c r="A214" s="6" t="s">
        <v>1209</v>
      </c>
      <c r="B214" s="6" t="s">
        <v>427</v>
      </c>
      <c r="C214" s="9" t="s">
        <v>1210</v>
      </c>
      <c r="D214" s="9" t="s">
        <v>522</v>
      </c>
      <c r="E214" s="9" t="s">
        <v>523</v>
      </c>
      <c r="F214" s="9" t="s">
        <v>648</v>
      </c>
      <c r="H214" s="9" t="s">
        <v>525</v>
      </c>
      <c r="J214" s="40"/>
      <c r="K214" s="32" t="n">
        <v>1205.07</v>
      </c>
      <c r="L214" s="32" t="n">
        <v>6466.94</v>
      </c>
      <c r="M214" s="32" t="n">
        <v>4759.8</v>
      </c>
      <c r="N214" s="6" t="n">
        <v>9</v>
      </c>
      <c r="O214" s="6" t="n">
        <v>1</v>
      </c>
      <c r="P214" s="45" t="n">
        <v>32568</v>
      </c>
      <c r="Q214" s="34" t="n">
        <f aca="false">IF(OR($A214="",P214=""),"",ROUND(YEARFRAC(P214,README!$C$5),1))</f>
        <v>37.4</v>
      </c>
      <c r="R214" s="39"/>
      <c r="S214" s="35" t="n">
        <v>8400</v>
      </c>
      <c r="T214" s="42"/>
      <c r="U214" s="35" t="n">
        <v>10100</v>
      </c>
      <c r="V214" s="43" t="str">
        <f aca="false">IF($A214="","",IF(OR(T214="",U214=""),"",U214-T214))</f>
        <v/>
      </c>
      <c r="W214" s="31" t="n">
        <v>1</v>
      </c>
      <c r="X214" s="6" t="n">
        <v>12</v>
      </c>
      <c r="Y214" s="41"/>
      <c r="Z214" s="6" t="s">
        <v>1172</v>
      </c>
      <c r="AA214" s="9" t="s">
        <v>528</v>
      </c>
      <c r="AB214" s="6" t="s">
        <v>1176</v>
      </c>
      <c r="AE214" s="37" t="n">
        <f aca="false">COUNTIF(環境認証!$A$2:$A$849,A214)</f>
        <v>1</v>
      </c>
      <c r="AG214" s="6" t="n">
        <v>20.2</v>
      </c>
    </row>
    <row r="215" customFormat="false" ht="15" hidden="false" customHeight="true" outlineLevel="0" collapsed="false">
      <c r="A215" s="6" t="s">
        <v>1211</v>
      </c>
      <c r="B215" s="6" t="s">
        <v>427</v>
      </c>
      <c r="C215" s="9" t="s">
        <v>1212</v>
      </c>
      <c r="D215" s="9" t="s">
        <v>522</v>
      </c>
      <c r="E215" s="9" t="s">
        <v>523</v>
      </c>
      <c r="F215" s="9" t="s">
        <v>666</v>
      </c>
      <c r="H215" s="9" t="s">
        <v>525</v>
      </c>
      <c r="J215" s="40"/>
      <c r="K215" s="32" t="n">
        <v>937.59</v>
      </c>
      <c r="L215" s="32" t="n">
        <v>7190.82</v>
      </c>
      <c r="M215" s="32" t="n">
        <v>5299.88</v>
      </c>
      <c r="N215" s="6" t="n">
        <v>9</v>
      </c>
      <c r="O215" s="6" t="n">
        <v>1</v>
      </c>
      <c r="P215" s="45" t="n">
        <v>37408</v>
      </c>
      <c r="Q215" s="34" t="n">
        <f aca="false">IF(OR($A215="",P215=""),"",ROUND(YEARFRAC(P215,README!$C$5),1))</f>
        <v>24.2</v>
      </c>
      <c r="R215" s="39"/>
      <c r="S215" s="35" t="n">
        <v>5100</v>
      </c>
      <c r="T215" s="42"/>
      <c r="U215" s="35" t="n">
        <v>6840</v>
      </c>
      <c r="V215" s="43" t="str">
        <f aca="false">IF($A215="","",IF(OR(T215="",U215=""),"",U215-T215))</f>
        <v/>
      </c>
      <c r="W215" s="31" t="n">
        <v>1</v>
      </c>
      <c r="X215" s="6" t="n">
        <v>5</v>
      </c>
      <c r="Y215" s="41"/>
      <c r="Z215" s="6" t="s">
        <v>1172</v>
      </c>
      <c r="AA215" s="9" t="s">
        <v>528</v>
      </c>
      <c r="AB215" s="6" t="s">
        <v>1176</v>
      </c>
      <c r="AE215" s="37" t="n">
        <f aca="false">COUNTIF(環境認証!$A$2:$A$849,A215)</f>
        <v>1</v>
      </c>
      <c r="AG215" s="6" t="n">
        <v>34.1</v>
      </c>
    </row>
    <row r="216" customFormat="false" ht="15" hidden="false" customHeight="true" outlineLevel="0" collapsed="false">
      <c r="A216" s="6" t="s">
        <v>1213</v>
      </c>
      <c r="B216" s="6" t="s">
        <v>427</v>
      </c>
      <c r="C216" s="9" t="s">
        <v>1214</v>
      </c>
      <c r="D216" s="9" t="s">
        <v>522</v>
      </c>
      <c r="E216" s="9" t="s">
        <v>523</v>
      </c>
      <c r="F216" s="9" t="s">
        <v>666</v>
      </c>
      <c r="H216" s="9" t="s">
        <v>525</v>
      </c>
      <c r="J216" s="40"/>
      <c r="K216" s="32" t="n">
        <v>1119.27</v>
      </c>
      <c r="L216" s="32" t="n">
        <v>8851</v>
      </c>
      <c r="M216" s="32" t="n">
        <v>1896.7</v>
      </c>
      <c r="N216" s="6" t="n">
        <v>9</v>
      </c>
      <c r="O216" s="6" t="n">
        <v>2</v>
      </c>
      <c r="P216" s="45" t="n">
        <v>30225</v>
      </c>
      <c r="Q216" s="34" t="n">
        <f aca="false">IF(OR($A216="",P216=""),"",ROUND(YEARFRAC(P216,README!$C$5),1))</f>
        <v>43.9</v>
      </c>
      <c r="R216" s="39"/>
      <c r="S216" s="35" t="n">
        <v>3400</v>
      </c>
      <c r="T216" s="42"/>
      <c r="U216" s="35" t="n">
        <v>4110</v>
      </c>
      <c r="V216" s="43" t="str">
        <f aca="false">IF($A216="","",IF(OR(T216="",U216=""),"",U216-T216))</f>
        <v/>
      </c>
      <c r="W216" s="31" t="n">
        <v>1</v>
      </c>
      <c r="X216" s="6" t="n">
        <v>9</v>
      </c>
      <c r="Y216" s="41"/>
      <c r="Z216" s="6" t="s">
        <v>1172</v>
      </c>
      <c r="AA216" s="9" t="s">
        <v>528</v>
      </c>
      <c r="AB216" s="6" t="s">
        <v>1176</v>
      </c>
      <c r="AE216" s="37" t="n">
        <f aca="false">COUNTIF(環境認証!$A$2:$A$849,A216)</f>
        <v>0</v>
      </c>
      <c r="AG216" s="6" t="n">
        <v>20.9</v>
      </c>
    </row>
    <row r="217" customFormat="false" ht="15" hidden="false" customHeight="true" outlineLevel="0" collapsed="false">
      <c r="A217" s="6" t="s">
        <v>1215</v>
      </c>
      <c r="B217" s="6" t="s">
        <v>427</v>
      </c>
      <c r="C217" s="9" t="s">
        <v>1216</v>
      </c>
      <c r="D217" s="9" t="s">
        <v>522</v>
      </c>
      <c r="E217" s="9" t="s">
        <v>523</v>
      </c>
      <c r="F217" s="9" t="s">
        <v>524</v>
      </c>
      <c r="H217" s="9" t="s">
        <v>525</v>
      </c>
      <c r="I217" s="9" t="s">
        <v>1217</v>
      </c>
      <c r="J217" s="40"/>
      <c r="K217" s="32" t="n">
        <v>11034.78</v>
      </c>
      <c r="L217" s="38"/>
      <c r="M217" s="32" t="n">
        <v>11034.78</v>
      </c>
      <c r="P217" s="39"/>
      <c r="Q217" s="34" t="str">
        <f aca="false">IF(OR($A217="",P217=""),"",ROUND(YEARFRAC(P217,README!$C$5),1))</f>
        <v/>
      </c>
      <c r="R217" s="39"/>
      <c r="S217" s="35" t="n">
        <v>36000</v>
      </c>
      <c r="T217" s="42"/>
      <c r="U217" s="35" t="n">
        <v>59800</v>
      </c>
      <c r="V217" s="43" t="str">
        <f aca="false">IF($A217="","",IF(OR(T217="",U217=""),"",U217-T217))</f>
        <v/>
      </c>
      <c r="W217" s="31" t="n">
        <v>1</v>
      </c>
      <c r="X217" s="6" t="n">
        <v>2</v>
      </c>
      <c r="Y217" s="41"/>
      <c r="Z217" s="6" t="s">
        <v>1172</v>
      </c>
      <c r="AA217" s="9" t="s">
        <v>528</v>
      </c>
      <c r="AB217" s="6" t="s">
        <v>1218</v>
      </c>
      <c r="AE217" s="37" t="n">
        <f aca="false">COUNTIF(環境認証!$A$2:$A$849,A217)</f>
        <v>0</v>
      </c>
      <c r="AG217" s="6" t="n">
        <v>66.1</v>
      </c>
    </row>
    <row r="218" customFormat="false" ht="15" hidden="false" customHeight="true" outlineLevel="0" collapsed="false">
      <c r="A218" s="6" t="s">
        <v>1219</v>
      </c>
      <c r="B218" s="6" t="s">
        <v>427</v>
      </c>
      <c r="C218" s="9" t="s">
        <v>1220</v>
      </c>
      <c r="D218" s="9" t="s">
        <v>522</v>
      </c>
      <c r="E218" s="9" t="s">
        <v>523</v>
      </c>
      <c r="F218" s="9" t="s">
        <v>524</v>
      </c>
      <c r="H218" s="9" t="s">
        <v>525</v>
      </c>
      <c r="J218" s="40"/>
      <c r="K218" s="32" t="n">
        <v>5289.01</v>
      </c>
      <c r="L218" s="32" t="n">
        <v>24560.36</v>
      </c>
      <c r="M218" s="32" t="n">
        <v>3325.29</v>
      </c>
      <c r="N218" s="6" t="n">
        <v>12</v>
      </c>
      <c r="O218" s="6" t="n">
        <v>2</v>
      </c>
      <c r="P218" s="45" t="n">
        <v>34731</v>
      </c>
      <c r="Q218" s="34" t="n">
        <f aca="false">IF(OR($A218="",P218=""),"",ROUND(YEARFRAC(P218,README!$C$5),1))</f>
        <v>31.5</v>
      </c>
      <c r="R218" s="39"/>
      <c r="S218" s="35" t="n">
        <v>2660</v>
      </c>
      <c r="T218" s="42"/>
      <c r="U218" s="35" t="n">
        <v>3620</v>
      </c>
      <c r="V218" s="43" t="str">
        <f aca="false">IF($A218="","",IF(OR(T218="",U218=""),"",U218-T218))</f>
        <v/>
      </c>
      <c r="W218" s="31" t="n">
        <v>0.975</v>
      </c>
      <c r="X218" s="6" t="n">
        <v>24</v>
      </c>
      <c r="Y218" s="41"/>
      <c r="Z218" s="6" t="s">
        <v>1172</v>
      </c>
      <c r="AA218" s="9" t="s">
        <v>528</v>
      </c>
      <c r="AB218" s="6" t="s">
        <v>1221</v>
      </c>
      <c r="AE218" s="37" t="n">
        <f aca="false">COUNTIF(環境認証!$A$2:$A$849,A218)</f>
        <v>0</v>
      </c>
      <c r="AG218" s="6" t="n">
        <v>36.1</v>
      </c>
    </row>
    <row r="219" customFormat="false" ht="15" hidden="false" customHeight="true" outlineLevel="0" collapsed="false">
      <c r="A219" s="6" t="s">
        <v>1222</v>
      </c>
      <c r="B219" s="6" t="s">
        <v>427</v>
      </c>
      <c r="C219" s="9" t="s">
        <v>1223</v>
      </c>
      <c r="D219" s="9" t="s">
        <v>522</v>
      </c>
      <c r="E219" s="9" t="s">
        <v>523</v>
      </c>
      <c r="F219" s="9" t="s">
        <v>532</v>
      </c>
      <c r="H219" s="9" t="s">
        <v>525</v>
      </c>
      <c r="J219" s="40"/>
      <c r="K219" s="32" t="n">
        <v>1915.5</v>
      </c>
      <c r="L219" s="32" t="n">
        <v>11419.93</v>
      </c>
      <c r="M219" s="32" t="n">
        <v>5401.48</v>
      </c>
      <c r="N219" s="6" t="n">
        <v>10</v>
      </c>
      <c r="O219" s="6" t="n">
        <v>1</v>
      </c>
      <c r="P219" s="45" t="n">
        <v>34151</v>
      </c>
      <c r="Q219" s="34" t="n">
        <f aca="false">IF(OR($A219="",P219=""),"",ROUND(YEARFRAC(P219,README!$C$5),1))</f>
        <v>33.1</v>
      </c>
      <c r="R219" s="39"/>
      <c r="S219" s="35" t="n">
        <v>4213</v>
      </c>
      <c r="T219" s="42"/>
      <c r="U219" s="35" t="n">
        <v>7610</v>
      </c>
      <c r="V219" s="43" t="str">
        <f aca="false">IF($A219="","",IF(OR(T219="",U219=""),"",U219-T219))</f>
        <v/>
      </c>
      <c r="W219" s="31" t="n">
        <v>1</v>
      </c>
      <c r="X219" s="6" t="n">
        <v>8</v>
      </c>
      <c r="Y219" s="41"/>
      <c r="Z219" s="6" t="s">
        <v>1172</v>
      </c>
      <c r="AA219" s="9" t="s">
        <v>528</v>
      </c>
      <c r="AB219" s="6" t="s">
        <v>1224</v>
      </c>
      <c r="AE219" s="37" t="n">
        <f aca="false">COUNTIF(環境認証!$A$2:$A$849,A219)</f>
        <v>1</v>
      </c>
      <c r="AG219" s="6" t="n">
        <v>80.6</v>
      </c>
    </row>
    <row r="220" customFormat="false" ht="15" hidden="false" customHeight="true" outlineLevel="0" collapsed="false">
      <c r="A220" s="6" t="s">
        <v>1225</v>
      </c>
      <c r="B220" s="6" t="s">
        <v>427</v>
      </c>
      <c r="C220" s="9" t="s">
        <v>1226</v>
      </c>
      <c r="D220" s="9" t="s">
        <v>522</v>
      </c>
      <c r="E220" s="9" t="s">
        <v>523</v>
      </c>
      <c r="F220" s="9" t="s">
        <v>666</v>
      </c>
      <c r="H220" s="9" t="s">
        <v>525</v>
      </c>
      <c r="J220" s="40"/>
      <c r="K220" s="32" t="n">
        <v>8124.72</v>
      </c>
      <c r="L220" s="32" t="n">
        <v>112645.83</v>
      </c>
      <c r="M220" s="32" t="n">
        <v>5971.69</v>
      </c>
      <c r="N220" s="6" t="n">
        <v>24</v>
      </c>
      <c r="O220" s="6" t="n">
        <v>4</v>
      </c>
      <c r="P220" s="45" t="n">
        <v>41306</v>
      </c>
      <c r="Q220" s="34" t="n">
        <f aca="false">IF(OR($A220="",P220=""),"",ROUND(YEARFRAC(P220,README!$C$5),1))</f>
        <v>13.5</v>
      </c>
      <c r="R220" s="39"/>
      <c r="S220" s="35" t="n">
        <v>18400</v>
      </c>
      <c r="T220" s="42"/>
      <c r="U220" s="35" t="n">
        <v>22100</v>
      </c>
      <c r="V220" s="43" t="str">
        <f aca="false">IF($A220="","",IF(OR(T220="",U220=""),"",U220-T220))</f>
        <v/>
      </c>
      <c r="W220" s="31" t="n">
        <v>0.979</v>
      </c>
      <c r="X220" s="6" t="n">
        <v>49</v>
      </c>
      <c r="Y220" s="41"/>
      <c r="Z220" s="6" t="s">
        <v>1172</v>
      </c>
      <c r="AA220" s="9" t="s">
        <v>528</v>
      </c>
      <c r="AB220" s="6" t="s">
        <v>1227</v>
      </c>
      <c r="AE220" s="37" t="n">
        <f aca="false">COUNTIF(環境認証!$A$2:$A$849,A220)</f>
        <v>1</v>
      </c>
      <c r="AG220" s="6" t="n">
        <v>20.1</v>
      </c>
    </row>
    <row r="221" customFormat="false" ht="15" hidden="false" customHeight="true" outlineLevel="0" collapsed="false">
      <c r="A221" s="6" t="s">
        <v>1228</v>
      </c>
      <c r="B221" s="6" t="s">
        <v>427</v>
      </c>
      <c r="C221" s="9" t="s">
        <v>1229</v>
      </c>
      <c r="D221" s="9" t="s">
        <v>522</v>
      </c>
      <c r="E221" s="9" t="s">
        <v>523</v>
      </c>
      <c r="F221" s="9" t="s">
        <v>524</v>
      </c>
      <c r="H221" s="9" t="s">
        <v>525</v>
      </c>
      <c r="J221" s="40"/>
      <c r="K221" s="32" t="n">
        <v>643.13</v>
      </c>
      <c r="L221" s="32" t="n">
        <v>4438.46</v>
      </c>
      <c r="M221" s="32" t="n">
        <v>3493.67</v>
      </c>
      <c r="N221" s="6" t="n">
        <v>9</v>
      </c>
      <c r="O221" s="6" t="n">
        <v>1</v>
      </c>
      <c r="P221" s="45" t="n">
        <v>36192</v>
      </c>
      <c r="Q221" s="34" t="n">
        <f aca="false">IF(OR($A221="",P221=""),"",ROUND(YEARFRAC(P221,README!$C$5),1))</f>
        <v>27.5</v>
      </c>
      <c r="R221" s="39"/>
      <c r="S221" s="35" t="n">
        <v>5750</v>
      </c>
      <c r="T221" s="42"/>
      <c r="U221" s="35" t="n">
        <v>5880</v>
      </c>
      <c r="V221" s="43" t="str">
        <f aca="false">IF($A221="","",IF(OR(T221="",U221=""),"",U221-T221))</f>
        <v/>
      </c>
      <c r="W221" s="31" t="n">
        <v>1</v>
      </c>
      <c r="X221" s="6" t="n">
        <v>9</v>
      </c>
      <c r="Y221" s="41"/>
      <c r="Z221" s="6" t="s">
        <v>1172</v>
      </c>
      <c r="AA221" s="9" t="s">
        <v>528</v>
      </c>
      <c r="AB221" s="6" t="s">
        <v>1176</v>
      </c>
      <c r="AE221" s="37" t="n">
        <f aca="false">COUNTIF(環境認証!$A$2:$A$849,A221)</f>
        <v>2</v>
      </c>
      <c r="AG221" s="6" t="n">
        <v>2.3</v>
      </c>
    </row>
    <row r="222" customFormat="false" ht="15" hidden="false" customHeight="true" outlineLevel="0" collapsed="false">
      <c r="A222" s="6" t="s">
        <v>1230</v>
      </c>
      <c r="B222" s="6" t="s">
        <v>427</v>
      </c>
      <c r="C222" s="9" t="s">
        <v>1231</v>
      </c>
      <c r="D222" s="9" t="s">
        <v>522</v>
      </c>
      <c r="E222" s="9" t="s">
        <v>523</v>
      </c>
      <c r="F222" s="9" t="s">
        <v>524</v>
      </c>
      <c r="H222" s="9" t="s">
        <v>525</v>
      </c>
      <c r="J222" s="40"/>
      <c r="K222" s="32" t="n">
        <v>15838.93</v>
      </c>
      <c r="L222" s="32" t="n">
        <v>239769.07</v>
      </c>
      <c r="M222" s="32" t="n">
        <v>4191.96</v>
      </c>
      <c r="N222" s="6" t="n">
        <v>35</v>
      </c>
      <c r="O222" s="6" t="n">
        <v>4</v>
      </c>
      <c r="P222" s="45" t="n">
        <v>41183</v>
      </c>
      <c r="Q222" s="34" t="n">
        <f aca="false">IF(OR($A222="",P222=""),"",ROUND(YEARFRAC(P222,README!$C$5),1))</f>
        <v>13.9</v>
      </c>
      <c r="R222" s="39"/>
      <c r="S222" s="35" t="n">
        <v>11400</v>
      </c>
      <c r="T222" s="42"/>
      <c r="U222" s="35" t="n">
        <v>12900</v>
      </c>
      <c r="V222" s="43" t="str">
        <f aca="false">IF($A222="","",IF(OR(T222="",U222=""),"",U222-T222))</f>
        <v/>
      </c>
      <c r="W222" s="31" t="n">
        <v>0.996</v>
      </c>
      <c r="X222" s="6" t="n">
        <v>9</v>
      </c>
      <c r="Y222" s="41"/>
      <c r="Z222" s="6" t="s">
        <v>1172</v>
      </c>
      <c r="AA222" s="9" t="s">
        <v>528</v>
      </c>
      <c r="AB222" s="6" t="s">
        <v>1232</v>
      </c>
      <c r="AE222" s="37" t="n">
        <f aca="false">COUNTIF(環境認証!$A$2:$A$849,A222)</f>
        <v>1</v>
      </c>
      <c r="AG222" s="6" t="n">
        <v>13.2</v>
      </c>
    </row>
    <row r="223" customFormat="false" ht="15" hidden="false" customHeight="true" outlineLevel="0" collapsed="false">
      <c r="A223" s="6" t="s">
        <v>1233</v>
      </c>
      <c r="B223" s="6" t="s">
        <v>427</v>
      </c>
      <c r="C223" s="9" t="s">
        <v>1234</v>
      </c>
      <c r="D223" s="9" t="s">
        <v>522</v>
      </c>
      <c r="E223" s="9" t="s">
        <v>523</v>
      </c>
      <c r="F223" s="9" t="s">
        <v>648</v>
      </c>
      <c r="H223" s="9" t="s">
        <v>525</v>
      </c>
      <c r="J223" s="40"/>
      <c r="K223" s="32" t="n">
        <v>2643.15</v>
      </c>
      <c r="L223" s="32" t="n">
        <v>15662.2</v>
      </c>
      <c r="M223" s="32" t="n">
        <v>7822.77</v>
      </c>
      <c r="N223" s="6" t="n">
        <v>14</v>
      </c>
      <c r="O223" s="6" t="n">
        <v>3</v>
      </c>
      <c r="P223" s="45" t="n">
        <v>34090</v>
      </c>
      <c r="Q223" s="34" t="n">
        <f aca="false">IF(OR($A223="",P223=""),"",ROUND(YEARFRAC(P223,README!$C$5),1))</f>
        <v>33.3</v>
      </c>
      <c r="R223" s="39"/>
      <c r="S223" s="35" t="n">
        <v>11300</v>
      </c>
      <c r="T223" s="42"/>
      <c r="U223" s="35" t="n">
        <v>12200</v>
      </c>
      <c r="V223" s="43" t="str">
        <f aca="false">IF($A223="","",IF(OR(T223="",U223=""),"",U223-T223))</f>
        <v/>
      </c>
      <c r="W223" s="31" t="n">
        <v>0.99</v>
      </c>
      <c r="X223" s="6" t="n">
        <v>15</v>
      </c>
      <c r="Y223" s="41"/>
      <c r="Z223" s="6" t="s">
        <v>1172</v>
      </c>
      <c r="AA223" s="9" t="s">
        <v>528</v>
      </c>
      <c r="AB223" s="6" t="s">
        <v>1235</v>
      </c>
      <c r="AE223" s="37" t="n">
        <f aca="false">COUNTIF(環境認証!$A$2:$A$849,A223)</f>
        <v>1</v>
      </c>
      <c r="AG223" s="6" t="n">
        <v>8</v>
      </c>
    </row>
    <row r="224" customFormat="false" ht="15" hidden="false" customHeight="true" outlineLevel="0" collapsed="false">
      <c r="A224" s="6" t="s">
        <v>1236</v>
      </c>
      <c r="B224" s="6" t="s">
        <v>427</v>
      </c>
      <c r="C224" s="9" t="s">
        <v>1237</v>
      </c>
      <c r="D224" s="9" t="s">
        <v>522</v>
      </c>
      <c r="E224" s="9" t="s">
        <v>523</v>
      </c>
      <c r="F224" s="9" t="s">
        <v>524</v>
      </c>
      <c r="H224" s="9" t="s">
        <v>525</v>
      </c>
      <c r="J224" s="40"/>
      <c r="K224" s="32" t="n">
        <v>9681.02</v>
      </c>
      <c r="L224" s="32" t="n">
        <v>96897.25</v>
      </c>
      <c r="M224" s="32" t="n">
        <v>2234.95</v>
      </c>
      <c r="N224" s="6" t="n">
        <v>23</v>
      </c>
      <c r="O224" s="6" t="n">
        <v>2</v>
      </c>
      <c r="P224" s="45" t="n">
        <v>41306</v>
      </c>
      <c r="Q224" s="34" t="n">
        <f aca="false">IF(OR($A224="",P224=""),"",ROUND(YEARFRAC(P224,README!$C$5),1))</f>
        <v>13.5</v>
      </c>
      <c r="R224" s="39"/>
      <c r="S224" s="35" t="n">
        <v>6490</v>
      </c>
      <c r="T224" s="42"/>
      <c r="U224" s="35" t="n">
        <v>7040</v>
      </c>
      <c r="V224" s="43" t="str">
        <f aca="false">IF($A224="","",IF(OR(T224="",U224=""),"",U224-T224))</f>
        <v/>
      </c>
      <c r="W224" s="31" t="n">
        <v>0.999</v>
      </c>
      <c r="X224" s="6" t="n">
        <v>29</v>
      </c>
      <c r="Y224" s="41"/>
      <c r="Z224" s="6" t="s">
        <v>1172</v>
      </c>
      <c r="AA224" s="9" t="s">
        <v>528</v>
      </c>
      <c r="AB224" s="6" t="s">
        <v>1238</v>
      </c>
      <c r="AE224" s="37" t="n">
        <f aca="false">COUNTIF(環境認証!$A$2:$A$849,A224)</f>
        <v>1</v>
      </c>
      <c r="AG224" s="6" t="n">
        <v>8.5</v>
      </c>
    </row>
    <row r="225" customFormat="false" ht="15" hidden="false" customHeight="true" outlineLevel="0" collapsed="false">
      <c r="A225" s="6" t="s">
        <v>1239</v>
      </c>
      <c r="B225" s="6" t="s">
        <v>427</v>
      </c>
      <c r="C225" s="9" t="s">
        <v>1240</v>
      </c>
      <c r="D225" s="9" t="s">
        <v>1241</v>
      </c>
      <c r="E225" s="9" t="s">
        <v>523</v>
      </c>
      <c r="F225" s="9" t="s">
        <v>648</v>
      </c>
      <c r="H225" s="9" t="s">
        <v>525</v>
      </c>
      <c r="J225" s="40"/>
      <c r="K225" s="32" t="n">
        <v>1010.47</v>
      </c>
      <c r="L225" s="32" t="n">
        <v>8449.56</v>
      </c>
      <c r="M225" s="32" t="n">
        <v>8076.85</v>
      </c>
      <c r="N225" s="6" t="n">
        <v>8</v>
      </c>
      <c r="O225" s="6" t="n">
        <v>3</v>
      </c>
      <c r="P225" s="45" t="n">
        <v>33635</v>
      </c>
      <c r="Q225" s="34" t="n">
        <f aca="false">IF(OR($A225="",P225=""),"",ROUND(YEARFRAC(P225,README!$C$5),1))</f>
        <v>34.5</v>
      </c>
      <c r="R225" s="39"/>
      <c r="S225" s="35" t="n">
        <v>12000</v>
      </c>
      <c r="T225" s="42"/>
      <c r="U225" s="35" t="n">
        <v>16000</v>
      </c>
      <c r="V225" s="43" t="str">
        <f aca="false">IF($A225="","",IF(OR(T225="",U225=""),"",U225-T225))</f>
        <v/>
      </c>
      <c r="W225" s="31" t="n">
        <v>1</v>
      </c>
      <c r="X225" s="6" t="n">
        <v>1</v>
      </c>
      <c r="Y225" s="41"/>
      <c r="Z225" s="6" t="s">
        <v>1172</v>
      </c>
      <c r="AA225" s="9" t="s">
        <v>528</v>
      </c>
      <c r="AB225" s="6" t="s">
        <v>1242</v>
      </c>
      <c r="AE225" s="37" t="n">
        <f aca="false">COUNTIF(環境認証!$A$2:$A$849,A225)</f>
        <v>1</v>
      </c>
      <c r="AG225" s="6" t="n">
        <v>33.3</v>
      </c>
    </row>
    <row r="226" customFormat="false" ht="15" hidden="false" customHeight="true" outlineLevel="0" collapsed="false">
      <c r="A226" s="6" t="s">
        <v>1243</v>
      </c>
      <c r="B226" s="6" t="s">
        <v>427</v>
      </c>
      <c r="C226" s="9" t="s">
        <v>1244</v>
      </c>
      <c r="D226" s="9" t="s">
        <v>1241</v>
      </c>
      <c r="E226" s="9" t="s">
        <v>523</v>
      </c>
      <c r="F226" s="9" t="s">
        <v>648</v>
      </c>
      <c r="H226" s="9" t="s">
        <v>525</v>
      </c>
      <c r="J226" s="40"/>
      <c r="K226" s="32" t="n">
        <v>198.1</v>
      </c>
      <c r="L226" s="32" t="n">
        <v>1066.81</v>
      </c>
      <c r="M226" s="32" t="n">
        <v>1027.33</v>
      </c>
      <c r="N226" s="6" t="n">
        <v>7</v>
      </c>
      <c r="O226" s="6" t="n">
        <v>1</v>
      </c>
      <c r="P226" s="45" t="n">
        <v>38749</v>
      </c>
      <c r="Q226" s="34" t="n">
        <f aca="false">IF(OR($A226="",P226=""),"",ROUND(YEARFRAC(P226,README!$C$5),1))</f>
        <v>20.5</v>
      </c>
      <c r="R226" s="39"/>
      <c r="S226" s="35" t="n">
        <v>4275</v>
      </c>
      <c r="T226" s="42"/>
      <c r="U226" s="35" t="n">
        <v>4360</v>
      </c>
      <c r="V226" s="43" t="str">
        <f aca="false">IF($A226="","",IF(OR(T226="",U226=""),"",U226-T226))</f>
        <v/>
      </c>
      <c r="W226" s="31" t="n">
        <v>1</v>
      </c>
      <c r="X226" s="6" t="n">
        <v>7</v>
      </c>
      <c r="Y226" s="41"/>
      <c r="Z226" s="6" t="s">
        <v>1172</v>
      </c>
      <c r="AA226" s="9" t="s">
        <v>528</v>
      </c>
      <c r="AB226" s="6" t="s">
        <v>1176</v>
      </c>
      <c r="AE226" s="37" t="n">
        <f aca="false">COUNTIF(環境認証!$A$2:$A$849,A226)</f>
        <v>1</v>
      </c>
      <c r="AG226" s="6" t="n">
        <v>2</v>
      </c>
    </row>
    <row r="227" customFormat="false" ht="15" hidden="false" customHeight="true" outlineLevel="0" collapsed="false">
      <c r="A227" s="6" t="s">
        <v>1245</v>
      </c>
      <c r="B227" s="6" t="s">
        <v>427</v>
      </c>
      <c r="C227" s="9" t="s">
        <v>1246</v>
      </c>
      <c r="D227" s="9" t="s">
        <v>1241</v>
      </c>
      <c r="E227" s="9" t="s">
        <v>523</v>
      </c>
      <c r="F227" s="9" t="s">
        <v>806</v>
      </c>
      <c r="H227" s="9" t="s">
        <v>525</v>
      </c>
      <c r="J227" s="40"/>
      <c r="K227" s="32" t="n">
        <v>2578.69</v>
      </c>
      <c r="L227" s="32" t="n">
        <v>24617.65</v>
      </c>
      <c r="M227" s="32" t="n">
        <v>2347.81</v>
      </c>
      <c r="N227" s="6" t="n">
        <v>14</v>
      </c>
      <c r="O227" s="6" t="n">
        <v>3</v>
      </c>
      <c r="P227" s="45" t="n">
        <v>39083</v>
      </c>
      <c r="Q227" s="34" t="n">
        <f aca="false">IF(OR($A227="",P227=""),"",ROUND(YEARFRAC(P227,README!$C$5),1))</f>
        <v>19.6</v>
      </c>
      <c r="R227" s="39"/>
      <c r="S227" s="35" t="n">
        <v>2740</v>
      </c>
      <c r="T227" s="42"/>
      <c r="U227" s="35" t="n">
        <v>2250</v>
      </c>
      <c r="V227" s="43" t="str">
        <f aca="false">IF($A227="","",IF(OR(T227="",U227=""),"",U227-T227))</f>
        <v/>
      </c>
      <c r="W227" s="31" t="n">
        <v>1</v>
      </c>
      <c r="X227" s="6" t="n">
        <v>1</v>
      </c>
      <c r="Y227" s="41"/>
      <c r="Z227" s="6" t="s">
        <v>1172</v>
      </c>
      <c r="AA227" s="9" t="s">
        <v>528</v>
      </c>
      <c r="AB227" s="6" t="s">
        <v>1247</v>
      </c>
      <c r="AE227" s="37" t="n">
        <f aca="false">COUNTIF(環境認証!$A$2:$A$849,A227)</f>
        <v>0</v>
      </c>
      <c r="AG227" s="6" t="n">
        <v>-17.9</v>
      </c>
    </row>
    <row r="228" customFormat="false" ht="15" hidden="false" customHeight="true" outlineLevel="0" collapsed="false">
      <c r="A228" s="6" t="s">
        <v>1248</v>
      </c>
      <c r="B228" s="6" t="s">
        <v>427</v>
      </c>
      <c r="C228" s="9" t="s">
        <v>1249</v>
      </c>
      <c r="D228" s="9" t="s">
        <v>1241</v>
      </c>
      <c r="E228" s="9" t="s">
        <v>523</v>
      </c>
      <c r="F228" s="9" t="s">
        <v>524</v>
      </c>
      <c r="H228" s="9" t="s">
        <v>525</v>
      </c>
      <c r="J228" s="40"/>
      <c r="K228" s="32" t="n">
        <v>6808.12</v>
      </c>
      <c r="L228" s="32" t="n">
        <v>71957.65</v>
      </c>
      <c r="M228" s="32" t="n">
        <v>1101.92</v>
      </c>
      <c r="N228" s="6" t="n">
        <v>20</v>
      </c>
      <c r="O228" s="6" t="n">
        <v>4</v>
      </c>
      <c r="P228" s="45" t="n">
        <v>39356</v>
      </c>
      <c r="Q228" s="34" t="n">
        <f aca="false">IF(OR($A228="",P228=""),"",ROUND(YEARFRAC(P228,README!$C$5),1))</f>
        <v>18.9</v>
      </c>
      <c r="R228" s="39"/>
      <c r="S228" s="35" t="n">
        <v>3400</v>
      </c>
      <c r="T228" s="42"/>
      <c r="U228" s="35" t="n">
        <v>3630</v>
      </c>
      <c r="V228" s="43" t="str">
        <f aca="false">IF($A228="","",IF(OR(T228="",U228=""),"",U228-T228))</f>
        <v/>
      </c>
      <c r="W228" s="31" t="n">
        <v>1</v>
      </c>
      <c r="X228" s="6" t="n">
        <v>1</v>
      </c>
      <c r="Y228" s="41"/>
      <c r="Z228" s="6" t="s">
        <v>1172</v>
      </c>
      <c r="AA228" s="9" t="s">
        <v>528</v>
      </c>
      <c r="AB228" s="6" t="s">
        <v>1250</v>
      </c>
      <c r="AE228" s="37" t="n">
        <f aca="false">COUNTIF(環境認証!$A$2:$A$849,A228)</f>
        <v>0</v>
      </c>
      <c r="AG228" s="6" t="n">
        <v>6.8</v>
      </c>
    </row>
    <row r="229" customFormat="false" ht="15" hidden="false" customHeight="true" outlineLevel="0" collapsed="false">
      <c r="A229" s="6" t="s">
        <v>1251</v>
      </c>
      <c r="B229" s="6" t="s">
        <v>427</v>
      </c>
      <c r="C229" s="9" t="s">
        <v>1252</v>
      </c>
      <c r="D229" s="9" t="s">
        <v>1241</v>
      </c>
      <c r="E229" s="9" t="s">
        <v>523</v>
      </c>
      <c r="F229" s="9" t="s">
        <v>666</v>
      </c>
      <c r="H229" s="9" t="s">
        <v>525</v>
      </c>
      <c r="J229" s="40"/>
      <c r="K229" s="32" t="n">
        <v>230.11</v>
      </c>
      <c r="L229" s="32" t="n">
        <v>1821.67</v>
      </c>
      <c r="M229" s="32" t="n">
        <v>1667.92</v>
      </c>
      <c r="N229" s="6" t="n">
        <v>11</v>
      </c>
      <c r="O229" s="6" t="n">
        <v>0</v>
      </c>
      <c r="P229" s="45" t="n">
        <v>39600</v>
      </c>
      <c r="Q229" s="34" t="n">
        <f aca="false">IF(OR($A229="",P229=""),"",ROUND(YEARFRAC(P229,README!$C$5),1))</f>
        <v>18.2</v>
      </c>
      <c r="R229" s="39"/>
      <c r="S229" s="35" t="n">
        <v>10100</v>
      </c>
      <c r="T229" s="42"/>
      <c r="U229" s="35" t="n">
        <v>11000</v>
      </c>
      <c r="V229" s="43" t="str">
        <f aca="false">IF($A229="","",IF(OR(T229="",U229=""),"",U229-T229))</f>
        <v/>
      </c>
      <c r="W229" s="31" t="n">
        <v>1</v>
      </c>
      <c r="X229" s="6" t="n">
        <v>8</v>
      </c>
      <c r="Y229" s="41"/>
      <c r="Z229" s="6" t="s">
        <v>1172</v>
      </c>
      <c r="AA229" s="9" t="s">
        <v>528</v>
      </c>
      <c r="AB229" s="6" t="s">
        <v>1176</v>
      </c>
      <c r="AE229" s="37" t="n">
        <f aca="false">COUNTIF(環境認証!$A$2:$A$849,A229)</f>
        <v>1</v>
      </c>
      <c r="AG229" s="6" t="n">
        <v>8.9</v>
      </c>
    </row>
    <row r="230" customFormat="false" ht="15" hidden="false" customHeight="true" outlineLevel="0" collapsed="false">
      <c r="A230" s="6" t="s">
        <v>1253</v>
      </c>
      <c r="B230" s="6" t="s">
        <v>427</v>
      </c>
      <c r="C230" s="9" t="s">
        <v>1254</v>
      </c>
      <c r="D230" s="9" t="s">
        <v>1241</v>
      </c>
      <c r="E230" s="9" t="s">
        <v>523</v>
      </c>
      <c r="F230" s="9" t="s">
        <v>524</v>
      </c>
      <c r="H230" s="9" t="s">
        <v>525</v>
      </c>
      <c r="J230" s="40"/>
      <c r="K230" s="32" t="n">
        <v>281.59</v>
      </c>
      <c r="L230" s="32" t="n">
        <v>1477.91</v>
      </c>
      <c r="M230" s="32" t="n">
        <v>1367.56</v>
      </c>
      <c r="N230" s="6" t="n">
        <v>9</v>
      </c>
      <c r="O230" s="6" t="n">
        <v>0</v>
      </c>
      <c r="P230" s="45" t="n">
        <v>42186</v>
      </c>
      <c r="Q230" s="34" t="n">
        <f aca="false">IF(OR($A230="",P230=""),"",ROUND(YEARFRAC(P230,README!$C$5),1))</f>
        <v>11.1</v>
      </c>
      <c r="R230" s="39"/>
      <c r="S230" s="35" t="n">
        <v>3250</v>
      </c>
      <c r="T230" s="42"/>
      <c r="U230" s="35" t="n">
        <v>3460</v>
      </c>
      <c r="V230" s="43" t="str">
        <f aca="false">IF($A230="","",IF(OR(T230="",U230=""),"",U230-T230))</f>
        <v/>
      </c>
      <c r="W230" s="31" t="n">
        <v>1</v>
      </c>
      <c r="X230" s="6" t="n">
        <v>6</v>
      </c>
      <c r="Y230" s="41"/>
      <c r="Z230" s="6" t="s">
        <v>1172</v>
      </c>
      <c r="AA230" s="9" t="s">
        <v>528</v>
      </c>
      <c r="AB230" s="6" t="s">
        <v>1176</v>
      </c>
      <c r="AE230" s="37" t="n">
        <f aca="false">COUNTIF(環境認証!$A$2:$A$849,A230)</f>
        <v>1</v>
      </c>
      <c r="AG230" s="6" t="n">
        <v>6.5</v>
      </c>
    </row>
    <row r="231" customFormat="false" ht="15" hidden="false" customHeight="true" outlineLevel="0" collapsed="false">
      <c r="A231" s="6" t="s">
        <v>1255</v>
      </c>
      <c r="B231" s="6" t="s">
        <v>427</v>
      </c>
      <c r="C231" s="9" t="s">
        <v>1256</v>
      </c>
      <c r="D231" s="9" t="s">
        <v>522</v>
      </c>
      <c r="E231" s="9" t="s">
        <v>523</v>
      </c>
      <c r="F231" s="9" t="s">
        <v>609</v>
      </c>
      <c r="H231" s="9" t="s">
        <v>540</v>
      </c>
      <c r="J231" s="40"/>
      <c r="K231" s="32" t="n">
        <v>3755.01</v>
      </c>
      <c r="L231" s="32" t="n">
        <v>34281.86</v>
      </c>
      <c r="M231" s="32" t="n">
        <v>7022.76</v>
      </c>
      <c r="N231" s="6" t="n">
        <v>19</v>
      </c>
      <c r="O231" s="6" t="n">
        <v>3</v>
      </c>
      <c r="P231" s="45" t="n">
        <v>35490</v>
      </c>
      <c r="Q231" s="34" t="n">
        <f aca="false">IF(OR($A231="",P231=""),"",ROUND(YEARFRAC(P231,README!$C$5),1))</f>
        <v>29.4</v>
      </c>
      <c r="R231" s="39"/>
      <c r="S231" s="35" t="n">
        <v>5880</v>
      </c>
      <c r="T231" s="42"/>
      <c r="U231" s="35" t="n">
        <v>6640</v>
      </c>
      <c r="V231" s="43" t="str">
        <f aca="false">IF($A231="","",IF(OR(T231="",U231=""),"",U231-T231))</f>
        <v/>
      </c>
      <c r="W231" s="31" t="n">
        <v>1</v>
      </c>
      <c r="X231" s="6" t="n">
        <v>7</v>
      </c>
      <c r="Y231" s="41"/>
      <c r="Z231" s="6" t="s">
        <v>1172</v>
      </c>
      <c r="AA231" s="9" t="s">
        <v>528</v>
      </c>
      <c r="AB231" s="6" t="s">
        <v>1257</v>
      </c>
      <c r="AE231" s="37" t="n">
        <f aca="false">COUNTIF(環境認証!$A$2:$A$849,A231)</f>
        <v>1</v>
      </c>
      <c r="AG231" s="6" t="n">
        <v>12.9</v>
      </c>
    </row>
    <row r="232" customFormat="false" ht="15" hidden="false" customHeight="true" outlineLevel="0" collapsed="false">
      <c r="A232" s="6" t="s">
        <v>1258</v>
      </c>
      <c r="B232" s="6" t="s">
        <v>427</v>
      </c>
      <c r="C232" s="9" t="s">
        <v>1259</v>
      </c>
      <c r="D232" s="9" t="s">
        <v>522</v>
      </c>
      <c r="E232" s="9" t="s">
        <v>560</v>
      </c>
      <c r="F232" s="9" t="s">
        <v>1260</v>
      </c>
      <c r="H232" s="9" t="s">
        <v>550</v>
      </c>
      <c r="J232" s="40"/>
      <c r="K232" s="32" t="n">
        <v>1382.35</v>
      </c>
      <c r="L232" s="32" t="n">
        <v>9072.57</v>
      </c>
      <c r="M232" s="32" t="n">
        <v>5542.93</v>
      </c>
      <c r="N232" s="6" t="n">
        <v>13</v>
      </c>
      <c r="O232" s="6" t="n">
        <v>1</v>
      </c>
      <c r="P232" s="45" t="n">
        <v>33239</v>
      </c>
      <c r="Q232" s="34" t="n">
        <f aca="false">IF(OR($A232="",P232=""),"",ROUND(YEARFRAC(P232,README!$C$5),1))</f>
        <v>35.6</v>
      </c>
      <c r="R232" s="39"/>
      <c r="S232" s="35" t="n">
        <v>2350</v>
      </c>
      <c r="T232" s="42"/>
      <c r="U232" s="35" t="n">
        <v>1930</v>
      </c>
      <c r="V232" s="43" t="str">
        <f aca="false">IF($A232="","",IF(OR(T232="",U232=""),"",U232-T232))</f>
        <v/>
      </c>
      <c r="W232" s="31" t="n">
        <v>0.984</v>
      </c>
      <c r="X232" s="6" t="n">
        <v>42</v>
      </c>
      <c r="Y232" s="41"/>
      <c r="Z232" s="6" t="s">
        <v>1172</v>
      </c>
      <c r="AA232" s="9" t="s">
        <v>528</v>
      </c>
      <c r="AB232" s="6" t="s">
        <v>1261</v>
      </c>
      <c r="AE232" s="37" t="n">
        <f aca="false">COUNTIF(環境認証!$A$2:$A$849,A232)</f>
        <v>1</v>
      </c>
      <c r="AG232" s="6" t="n">
        <v>-17.9</v>
      </c>
    </row>
    <row r="233" customFormat="false" ht="15" hidden="false" customHeight="true" outlineLevel="0" collapsed="false">
      <c r="A233" s="6" t="s">
        <v>1262</v>
      </c>
      <c r="B233" s="6" t="s">
        <v>427</v>
      </c>
      <c r="C233" s="9" t="s">
        <v>1263</v>
      </c>
      <c r="D233" s="9" t="s">
        <v>522</v>
      </c>
      <c r="E233" s="9" t="s">
        <v>547</v>
      </c>
      <c r="F233" s="9" t="s">
        <v>701</v>
      </c>
      <c r="H233" s="9" t="s">
        <v>550</v>
      </c>
      <c r="I233" s="9" t="s">
        <v>1264</v>
      </c>
      <c r="J233" s="40"/>
      <c r="K233" s="32" t="n">
        <v>1100.59</v>
      </c>
      <c r="L233" s="32" t="n">
        <v>9146.52</v>
      </c>
      <c r="M233" s="32" t="n">
        <v>2127.87</v>
      </c>
      <c r="N233" s="6" t="n">
        <v>11</v>
      </c>
      <c r="O233" s="6" t="n">
        <v>1</v>
      </c>
      <c r="P233" s="45" t="n">
        <v>32782</v>
      </c>
      <c r="Q233" s="34" t="n">
        <f aca="false">IF(OR($A233="",P233=""),"",ROUND(YEARFRAC(P233,README!$C$5),1))</f>
        <v>36.9</v>
      </c>
      <c r="R233" s="39"/>
      <c r="S233" s="35" t="n">
        <v>1024</v>
      </c>
      <c r="T233" s="42"/>
      <c r="U233" s="35" t="n">
        <v>883</v>
      </c>
      <c r="V233" s="43" t="str">
        <f aca="false">IF($A233="","",IF(OR(T233="",U233=""),"",U233-T233))</f>
        <v/>
      </c>
      <c r="W233" s="31" t="n">
        <v>0.998</v>
      </c>
      <c r="X233" s="6" t="n">
        <v>20</v>
      </c>
      <c r="Y233" s="41"/>
      <c r="Z233" s="6" t="s">
        <v>1172</v>
      </c>
      <c r="AA233" s="9" t="s">
        <v>528</v>
      </c>
      <c r="AB233" s="6" t="s">
        <v>1265</v>
      </c>
      <c r="AE233" s="37" t="n">
        <f aca="false">COUNTIF(環境認証!$A$2:$A$849,A233)</f>
        <v>0</v>
      </c>
      <c r="AG233" s="6" t="n">
        <v>-13.8</v>
      </c>
    </row>
    <row r="234" customFormat="false" ht="15" hidden="false" customHeight="true" outlineLevel="0" collapsed="false">
      <c r="A234" s="6" t="s">
        <v>1266</v>
      </c>
      <c r="B234" s="6" t="s">
        <v>427</v>
      </c>
      <c r="C234" s="9" t="s">
        <v>1267</v>
      </c>
      <c r="D234" s="9" t="s">
        <v>522</v>
      </c>
      <c r="E234" s="9" t="s">
        <v>547</v>
      </c>
      <c r="F234" s="9" t="s">
        <v>701</v>
      </c>
      <c r="H234" s="9" t="s">
        <v>550</v>
      </c>
      <c r="J234" s="40"/>
      <c r="K234" s="32" t="n">
        <v>841.71</v>
      </c>
      <c r="L234" s="32" t="n">
        <v>7781.93</v>
      </c>
      <c r="M234" s="32" t="n">
        <v>5287.41</v>
      </c>
      <c r="N234" s="6" t="n">
        <v>12</v>
      </c>
      <c r="O234" s="6" t="n">
        <v>2</v>
      </c>
      <c r="P234" s="45" t="n">
        <v>33451</v>
      </c>
      <c r="Q234" s="34" t="n">
        <f aca="false">IF(OR($A234="",P234=""),"",ROUND(YEARFRAC(P234,README!$C$5),1))</f>
        <v>35</v>
      </c>
      <c r="R234" s="39"/>
      <c r="S234" s="35" t="n">
        <v>1490</v>
      </c>
      <c r="T234" s="42"/>
      <c r="U234" s="35" t="n">
        <v>2930</v>
      </c>
      <c r="V234" s="43" t="str">
        <f aca="false">IF($A234="","",IF(OR(T234="",U234=""),"",U234-T234))</f>
        <v/>
      </c>
      <c r="W234" s="31" t="n">
        <v>0.969</v>
      </c>
      <c r="X234" s="6" t="n">
        <v>23</v>
      </c>
      <c r="Y234" s="41"/>
      <c r="Z234" s="6" t="s">
        <v>1172</v>
      </c>
      <c r="AA234" s="9" t="s">
        <v>528</v>
      </c>
      <c r="AB234" s="6" t="s">
        <v>1268</v>
      </c>
      <c r="AE234" s="37" t="n">
        <f aca="false">COUNTIF(環境認証!$A$2:$A$849,A234)</f>
        <v>1</v>
      </c>
      <c r="AG234" s="6" t="n">
        <v>96.6</v>
      </c>
    </row>
    <row r="235" customFormat="false" ht="15" hidden="false" customHeight="true" outlineLevel="0" collapsed="false">
      <c r="A235" s="6" t="s">
        <v>1269</v>
      </c>
      <c r="B235" s="6" t="s">
        <v>427</v>
      </c>
      <c r="C235" s="9" t="s">
        <v>1270</v>
      </c>
      <c r="D235" s="9" t="s">
        <v>522</v>
      </c>
      <c r="E235" s="9" t="s">
        <v>555</v>
      </c>
      <c r="F235" s="9" t="s">
        <v>1271</v>
      </c>
      <c r="H235" s="9" t="s">
        <v>550</v>
      </c>
      <c r="J235" s="40"/>
      <c r="K235" s="32" t="n">
        <v>4524.61</v>
      </c>
      <c r="L235" s="32" t="n">
        <v>28420.85</v>
      </c>
      <c r="M235" s="32" t="n">
        <v>15587.96</v>
      </c>
      <c r="N235" s="6" t="n">
        <v>15</v>
      </c>
      <c r="O235" s="6" t="n">
        <v>2</v>
      </c>
      <c r="P235" s="45" t="n">
        <v>34366</v>
      </c>
      <c r="Q235" s="34" t="n">
        <f aca="false">IF(OR($A235="",P235=""),"",ROUND(YEARFRAC(P235,README!$C$5),1))</f>
        <v>32.5</v>
      </c>
      <c r="R235" s="39"/>
      <c r="S235" s="35" t="n">
        <v>8100</v>
      </c>
      <c r="T235" s="42"/>
      <c r="U235" s="35" t="n">
        <v>13800</v>
      </c>
      <c r="V235" s="43" t="str">
        <f aca="false">IF($A235="","",IF(OR(T235="",U235=""),"",U235-T235))</f>
        <v/>
      </c>
      <c r="W235" s="31" t="n">
        <v>1</v>
      </c>
      <c r="X235" s="6" t="n">
        <v>42</v>
      </c>
      <c r="Y235" s="41"/>
      <c r="Z235" s="6" t="s">
        <v>1172</v>
      </c>
      <c r="AA235" s="9" t="s">
        <v>528</v>
      </c>
      <c r="AB235" s="6" t="s">
        <v>1257</v>
      </c>
      <c r="AE235" s="37" t="n">
        <f aca="false">COUNTIF(環境認証!$A$2:$A$849,A235)</f>
        <v>1</v>
      </c>
      <c r="AG235" s="6" t="n">
        <v>70.4</v>
      </c>
    </row>
    <row r="236" customFormat="false" ht="15" hidden="false" customHeight="true" outlineLevel="0" collapsed="false">
      <c r="A236" s="6" t="s">
        <v>1272</v>
      </c>
      <c r="B236" s="6" t="s">
        <v>427</v>
      </c>
      <c r="C236" s="9" t="s">
        <v>1273</v>
      </c>
      <c r="D236" s="9" t="s">
        <v>522</v>
      </c>
      <c r="E236" s="9" t="s">
        <v>523</v>
      </c>
      <c r="F236" s="9" t="s">
        <v>697</v>
      </c>
      <c r="H236" s="9" t="s">
        <v>550</v>
      </c>
      <c r="J236" s="40"/>
      <c r="K236" s="32" t="n">
        <v>2047.22</v>
      </c>
      <c r="L236" s="32" t="n">
        <v>14706.36</v>
      </c>
      <c r="M236" s="32" t="n">
        <v>4587.93</v>
      </c>
      <c r="N236" s="6" t="n">
        <v>12</v>
      </c>
      <c r="O236" s="6" t="n">
        <v>1</v>
      </c>
      <c r="P236" s="45" t="n">
        <v>34669</v>
      </c>
      <c r="Q236" s="34" t="n">
        <f aca="false">IF(OR($A236="",P236=""),"",ROUND(YEARFRAC(P236,README!$C$5),1))</f>
        <v>31.7</v>
      </c>
      <c r="R236" s="39"/>
      <c r="S236" s="35" t="n">
        <v>3188</v>
      </c>
      <c r="T236" s="42"/>
      <c r="U236" s="35" t="n">
        <v>4680</v>
      </c>
      <c r="V236" s="43" t="str">
        <f aca="false">IF($A236="","",IF(OR(T236="",U236=""),"",U236-T236))</f>
        <v/>
      </c>
      <c r="W236" s="31" t="n">
        <v>1</v>
      </c>
      <c r="X236" s="6" t="n">
        <v>23</v>
      </c>
      <c r="Y236" s="41"/>
      <c r="Z236" s="6" t="s">
        <v>1172</v>
      </c>
      <c r="AA236" s="9" t="s">
        <v>528</v>
      </c>
      <c r="AB236" s="6" t="s">
        <v>1274</v>
      </c>
      <c r="AE236" s="37" t="n">
        <f aca="false">COUNTIF(環境認証!$A$2:$A$849,A236)</f>
        <v>1</v>
      </c>
      <c r="AG236" s="6" t="n">
        <v>46.8</v>
      </c>
    </row>
    <row r="237" customFormat="false" ht="15" hidden="false" customHeight="true" outlineLevel="0" collapsed="false">
      <c r="A237" s="6" t="s">
        <v>1275</v>
      </c>
      <c r="B237" s="6" t="s">
        <v>427</v>
      </c>
      <c r="C237" s="9" t="s">
        <v>1276</v>
      </c>
      <c r="D237" s="9" t="s">
        <v>522</v>
      </c>
      <c r="E237" s="9" t="s">
        <v>523</v>
      </c>
      <c r="F237" s="9" t="s">
        <v>893</v>
      </c>
      <c r="H237" s="9" t="s">
        <v>540</v>
      </c>
      <c r="J237" s="40"/>
      <c r="K237" s="32" t="n">
        <v>9377.28</v>
      </c>
      <c r="L237" s="32" t="n">
        <v>91280.94</v>
      </c>
      <c r="M237" s="32" t="n">
        <v>10531.13</v>
      </c>
      <c r="N237" s="6" t="n">
        <v>42</v>
      </c>
      <c r="O237" s="6" t="n">
        <v>3</v>
      </c>
      <c r="P237" s="45" t="n">
        <v>39083</v>
      </c>
      <c r="Q237" s="34" t="n">
        <f aca="false">IF(OR($A237="",P237=""),"",ROUND(YEARFRAC(P237,README!$C$5),1))</f>
        <v>19.6</v>
      </c>
      <c r="R237" s="39"/>
      <c r="S237" s="35" t="n">
        <v>13131</v>
      </c>
      <c r="T237" s="42"/>
      <c r="U237" s="35" t="n">
        <v>19400</v>
      </c>
      <c r="V237" s="43" t="str">
        <f aca="false">IF($A237="","",IF(OR(T237="",U237=""),"",U237-T237))</f>
        <v/>
      </c>
      <c r="W237" s="31" t="n">
        <v>1</v>
      </c>
      <c r="X237" s="6" t="n">
        <v>8</v>
      </c>
      <c r="Y237" s="41"/>
      <c r="Z237" s="6" t="s">
        <v>1172</v>
      </c>
      <c r="AA237" s="9" t="s">
        <v>528</v>
      </c>
      <c r="AB237" s="6" t="s">
        <v>1277</v>
      </c>
      <c r="AE237" s="37" t="n">
        <f aca="false">COUNTIF(環境認証!$A$2:$A$849,A237)</f>
        <v>1</v>
      </c>
      <c r="AG237" s="6" t="n">
        <v>47.7</v>
      </c>
    </row>
    <row r="238" customFormat="false" ht="15" hidden="false" customHeight="true" outlineLevel="0" collapsed="false">
      <c r="A238" s="6" t="s">
        <v>1278</v>
      </c>
      <c r="B238" s="6" t="s">
        <v>427</v>
      </c>
      <c r="C238" s="9" t="s">
        <v>1279</v>
      </c>
      <c r="D238" s="9" t="s">
        <v>522</v>
      </c>
      <c r="E238" s="9" t="s">
        <v>547</v>
      </c>
      <c r="F238" s="9" t="s">
        <v>701</v>
      </c>
      <c r="H238" s="9" t="s">
        <v>550</v>
      </c>
      <c r="J238" s="40"/>
      <c r="K238" s="32" t="n">
        <v>12011</v>
      </c>
      <c r="L238" s="32" t="n">
        <v>185974.87</v>
      </c>
      <c r="M238" s="32" t="n">
        <v>12000.67</v>
      </c>
      <c r="N238" s="6" t="n">
        <v>27</v>
      </c>
      <c r="O238" s="6" t="n">
        <v>3</v>
      </c>
      <c r="P238" s="45" t="n">
        <v>35490</v>
      </c>
      <c r="Q238" s="34" t="n">
        <f aca="false">IF(OR($A238="",P238=""),"",ROUND(YEARFRAC(P238,README!$C$5),1))</f>
        <v>29.4</v>
      </c>
      <c r="R238" s="39"/>
      <c r="S238" s="35" t="n">
        <v>6510</v>
      </c>
      <c r="T238" s="42"/>
      <c r="U238" s="35" t="n">
        <v>6210</v>
      </c>
      <c r="V238" s="43" t="str">
        <f aca="false">IF($A238="","",IF(OR(T238="",U238=""),"",U238-T238))</f>
        <v/>
      </c>
      <c r="W238" s="31" t="n">
        <v>0.991</v>
      </c>
      <c r="X238" s="6" t="n">
        <v>43</v>
      </c>
      <c r="Y238" s="41"/>
      <c r="Z238" s="6" t="s">
        <v>1172</v>
      </c>
      <c r="AA238" s="9" t="s">
        <v>528</v>
      </c>
      <c r="AB238" s="6" t="s">
        <v>1261</v>
      </c>
      <c r="AE238" s="37" t="n">
        <f aca="false">COUNTIF(環境認証!$A$2:$A$849,A238)</f>
        <v>1</v>
      </c>
      <c r="AG238" s="6" t="n">
        <v>-4.6</v>
      </c>
    </row>
    <row r="239" customFormat="false" ht="15" hidden="false" customHeight="true" outlineLevel="0" collapsed="false">
      <c r="A239" s="6" t="s">
        <v>1280</v>
      </c>
      <c r="B239" s="6" t="s">
        <v>427</v>
      </c>
      <c r="C239" s="9" t="s">
        <v>1281</v>
      </c>
      <c r="D239" s="9" t="s">
        <v>522</v>
      </c>
      <c r="E239" s="9" t="s">
        <v>523</v>
      </c>
      <c r="F239" s="9" t="s">
        <v>609</v>
      </c>
      <c r="H239" s="9" t="s">
        <v>540</v>
      </c>
      <c r="J239" s="40"/>
      <c r="K239" s="32" t="n">
        <v>27335.29</v>
      </c>
      <c r="L239" s="32" t="n">
        <v>257842.41</v>
      </c>
      <c r="M239" s="32" t="n">
        <v>23987.4</v>
      </c>
      <c r="N239" s="6" t="n">
        <v>45</v>
      </c>
      <c r="O239" s="6" t="n">
        <v>2</v>
      </c>
      <c r="P239" s="45" t="n">
        <v>38749</v>
      </c>
      <c r="Q239" s="34" t="n">
        <f aca="false">IF(OR($A239="",P239=""),"",ROUND(YEARFRAC(P239,README!$C$5),1))</f>
        <v>20.5</v>
      </c>
      <c r="R239" s="39"/>
      <c r="S239" s="35" t="n">
        <v>31300</v>
      </c>
      <c r="T239" s="42"/>
      <c r="U239" s="35" t="n">
        <v>40400</v>
      </c>
      <c r="V239" s="43" t="str">
        <f aca="false">IF($A239="","",IF(OR(T239="",U239=""),"",U239-T239))</f>
        <v/>
      </c>
      <c r="W239" s="31" t="n">
        <v>0.984</v>
      </c>
      <c r="X239" s="6" t="n">
        <v>23</v>
      </c>
      <c r="Y239" s="41"/>
      <c r="Z239" s="6" t="s">
        <v>1172</v>
      </c>
      <c r="AA239" s="9" t="s">
        <v>528</v>
      </c>
      <c r="AB239" s="6" t="s">
        <v>1282</v>
      </c>
      <c r="AE239" s="37" t="n">
        <f aca="false">COUNTIF(環境認証!$A$2:$A$849,A239)</f>
        <v>1</v>
      </c>
      <c r="AG239" s="6" t="n">
        <v>29.1</v>
      </c>
    </row>
    <row r="240" customFormat="false" ht="15" hidden="false" customHeight="true" outlineLevel="0" collapsed="false">
      <c r="A240" s="6" t="s">
        <v>1283</v>
      </c>
      <c r="B240" s="6" t="s">
        <v>427</v>
      </c>
      <c r="C240" s="9" t="s">
        <v>1284</v>
      </c>
      <c r="D240" s="9" t="s">
        <v>522</v>
      </c>
      <c r="E240" s="9" t="s">
        <v>547</v>
      </c>
      <c r="F240" s="9" t="s">
        <v>701</v>
      </c>
      <c r="H240" s="9" t="s">
        <v>550</v>
      </c>
      <c r="J240" s="40"/>
      <c r="K240" s="32" t="n">
        <v>1110.28</v>
      </c>
      <c r="L240" s="32" t="n">
        <v>8772.51</v>
      </c>
      <c r="M240" s="32" t="n">
        <v>6494.67</v>
      </c>
      <c r="N240" s="6" t="n">
        <v>9</v>
      </c>
      <c r="O240" s="6" t="n">
        <v>1</v>
      </c>
      <c r="P240" s="45" t="n">
        <v>29707</v>
      </c>
      <c r="Q240" s="34" t="n">
        <f aca="false">IF(OR($A240="",P240=""),"",ROUND(YEARFRAC(P240,README!$C$5),1))</f>
        <v>45.3</v>
      </c>
      <c r="R240" s="39"/>
      <c r="S240" s="35" t="n">
        <v>7000</v>
      </c>
      <c r="T240" s="42"/>
      <c r="U240" s="35" t="n">
        <v>10600</v>
      </c>
      <c r="V240" s="43" t="str">
        <f aca="false">IF($A240="","",IF(OR(T240="",U240=""),"",U240-T240))</f>
        <v/>
      </c>
      <c r="W240" s="31" t="n">
        <v>1</v>
      </c>
      <c r="X240" s="6" t="n">
        <v>20</v>
      </c>
      <c r="Y240" s="41"/>
      <c r="Z240" s="6" t="s">
        <v>1172</v>
      </c>
      <c r="AA240" s="9" t="s">
        <v>528</v>
      </c>
      <c r="AB240" s="6" t="s">
        <v>1257</v>
      </c>
      <c r="AE240" s="37" t="n">
        <f aca="false">COUNTIF(環境認証!$A$2:$A$849,A240)</f>
        <v>1</v>
      </c>
      <c r="AG240" s="6" t="n">
        <v>51.4</v>
      </c>
    </row>
    <row r="241" customFormat="false" ht="15" hidden="false" customHeight="true" outlineLevel="0" collapsed="false">
      <c r="A241" s="6" t="s">
        <v>1285</v>
      </c>
      <c r="B241" s="6" t="s">
        <v>427</v>
      </c>
      <c r="C241" s="9" t="s">
        <v>1286</v>
      </c>
      <c r="D241" s="9" t="s">
        <v>522</v>
      </c>
      <c r="E241" s="9" t="s">
        <v>555</v>
      </c>
      <c r="F241" s="9" t="s">
        <v>711</v>
      </c>
      <c r="H241" s="9" t="s">
        <v>550</v>
      </c>
      <c r="J241" s="40"/>
      <c r="K241" s="32" t="n">
        <v>2268.09</v>
      </c>
      <c r="L241" s="32" t="n">
        <v>9203.98</v>
      </c>
      <c r="M241" s="32" t="n">
        <v>6755.32</v>
      </c>
      <c r="N241" s="6" t="n">
        <v>9</v>
      </c>
      <c r="O241" s="6" t="n">
        <v>0</v>
      </c>
      <c r="P241" s="45" t="n">
        <v>39845</v>
      </c>
      <c r="Q241" s="34" t="n">
        <f aca="false">IF(OR($A241="",P241=""),"",ROUND(YEARFRAC(P241,README!$C$5),1))</f>
        <v>17.5</v>
      </c>
      <c r="R241" s="39"/>
      <c r="S241" s="35" t="n">
        <v>6090</v>
      </c>
      <c r="T241" s="42"/>
      <c r="U241" s="35" t="n">
        <v>11400</v>
      </c>
      <c r="V241" s="43" t="str">
        <f aca="false">IF($A241="","",IF(OR(T241="",U241=""),"",U241-T241))</f>
        <v/>
      </c>
      <c r="W241" s="31" t="n">
        <v>1</v>
      </c>
      <c r="X241" s="6" t="n">
        <v>11</v>
      </c>
      <c r="Y241" s="41"/>
      <c r="Z241" s="6" t="s">
        <v>1172</v>
      </c>
      <c r="AA241" s="9" t="s">
        <v>528</v>
      </c>
      <c r="AB241" s="6" t="s">
        <v>1257</v>
      </c>
      <c r="AE241" s="37" t="n">
        <f aca="false">COUNTIF(環境認証!$A$2:$A$849,A241)</f>
        <v>1</v>
      </c>
      <c r="AG241" s="6" t="n">
        <v>87.2</v>
      </c>
    </row>
    <row r="242" customFormat="false" ht="15" hidden="false" customHeight="true" outlineLevel="0" collapsed="false">
      <c r="A242" s="6" t="s">
        <v>1287</v>
      </c>
      <c r="B242" s="6" t="s">
        <v>427</v>
      </c>
      <c r="C242" s="9" t="s">
        <v>1288</v>
      </c>
      <c r="D242" s="9" t="s">
        <v>522</v>
      </c>
      <c r="E242" s="9" t="s">
        <v>560</v>
      </c>
      <c r="F242" s="9" t="s">
        <v>1260</v>
      </c>
      <c r="H242" s="9" t="s">
        <v>550</v>
      </c>
      <c r="J242" s="40"/>
      <c r="K242" s="32" t="n">
        <v>20054.15</v>
      </c>
      <c r="L242" s="32" t="n">
        <v>158663.55</v>
      </c>
      <c r="M242" s="32" t="n">
        <v>13271.26</v>
      </c>
      <c r="N242" s="6" t="n">
        <v>23</v>
      </c>
      <c r="O242" s="6" t="n">
        <v>2</v>
      </c>
      <c r="P242" s="45" t="n">
        <v>34060</v>
      </c>
      <c r="Q242" s="34" t="n">
        <f aca="false">IF(OR($A242="",P242=""),"",ROUND(YEARFRAC(P242,README!$C$5),1))</f>
        <v>33.4</v>
      </c>
      <c r="R242" s="39"/>
      <c r="S242" s="35" t="n">
        <v>13870</v>
      </c>
      <c r="T242" s="42"/>
      <c r="U242" s="35" t="n">
        <v>13400</v>
      </c>
      <c r="V242" s="43" t="str">
        <f aca="false">IF($A242="","",IF(OR(T242="",U242=""),"",U242-T242))</f>
        <v/>
      </c>
      <c r="W242" s="31" t="n">
        <v>0.887</v>
      </c>
      <c r="X242" s="6" t="n">
        <v>73</v>
      </c>
      <c r="Y242" s="41"/>
      <c r="Z242" s="6" t="s">
        <v>1172</v>
      </c>
      <c r="AA242" s="9" t="s">
        <v>528</v>
      </c>
      <c r="AB242" s="6" t="s">
        <v>1289</v>
      </c>
      <c r="AE242" s="37" t="n">
        <f aca="false">COUNTIF(環境認証!$A$2:$A$849,A242)</f>
        <v>1</v>
      </c>
      <c r="AG242" s="6" t="n">
        <v>-3.4</v>
      </c>
    </row>
    <row r="243" customFormat="false" ht="15" hidden="false" customHeight="true" outlineLevel="0" collapsed="false">
      <c r="A243" s="6" t="s">
        <v>1290</v>
      </c>
      <c r="B243" s="6" t="s">
        <v>427</v>
      </c>
      <c r="C243" s="9" t="s">
        <v>1291</v>
      </c>
      <c r="D243" s="9" t="s">
        <v>522</v>
      </c>
      <c r="E243" s="9" t="s">
        <v>523</v>
      </c>
      <c r="F243" s="9" t="s">
        <v>916</v>
      </c>
      <c r="H243" s="9" t="s">
        <v>540</v>
      </c>
      <c r="J243" s="40"/>
      <c r="K243" s="32" t="n">
        <v>6045.05</v>
      </c>
      <c r="L243" s="32" t="n">
        <v>37870.65</v>
      </c>
      <c r="M243" s="32" t="n">
        <v>25516.37</v>
      </c>
      <c r="N243" s="6" t="n">
        <v>10</v>
      </c>
      <c r="O243" s="6" t="n">
        <v>2</v>
      </c>
      <c r="P243" s="45" t="n">
        <v>40969</v>
      </c>
      <c r="Q243" s="34" t="n">
        <f aca="false">IF(OR($A243="",P243=""),"",ROUND(YEARFRAC(P243,README!$C$5),1))</f>
        <v>14.4</v>
      </c>
      <c r="R243" s="39"/>
      <c r="S243" s="35" t="n">
        <v>52907</v>
      </c>
      <c r="T243" s="42"/>
      <c r="U243" s="35" t="n">
        <v>58600</v>
      </c>
      <c r="V243" s="43" t="str">
        <f aca="false">IF($A243="","",IF(OR(T243="",U243=""),"",U243-T243))</f>
        <v/>
      </c>
      <c r="W243" s="31" t="n">
        <v>1</v>
      </c>
      <c r="X243" s="6" t="n">
        <v>15</v>
      </c>
      <c r="Y243" s="41"/>
      <c r="Z243" s="6" t="s">
        <v>1172</v>
      </c>
      <c r="AA243" s="9" t="s">
        <v>528</v>
      </c>
      <c r="AB243" s="6" t="s">
        <v>1292</v>
      </c>
      <c r="AE243" s="37" t="n">
        <f aca="false">COUNTIF(環境認証!$A$2:$A$849,A243)</f>
        <v>1</v>
      </c>
      <c r="AG243" s="6" t="n">
        <v>10.8</v>
      </c>
    </row>
    <row r="244" customFormat="false" ht="15" hidden="false" customHeight="true" outlineLevel="0" collapsed="false">
      <c r="A244" s="6" t="s">
        <v>1293</v>
      </c>
      <c r="B244" s="6" t="s">
        <v>427</v>
      </c>
      <c r="C244" s="9" t="s">
        <v>1294</v>
      </c>
      <c r="D244" s="9" t="s">
        <v>1241</v>
      </c>
      <c r="E244" s="9" t="s">
        <v>523</v>
      </c>
      <c r="F244" s="9" t="s">
        <v>1295</v>
      </c>
      <c r="H244" s="9" t="s">
        <v>550</v>
      </c>
      <c r="J244" s="40"/>
      <c r="K244" s="32" t="n">
        <v>12326.3</v>
      </c>
      <c r="L244" s="32" t="n">
        <v>80675.27</v>
      </c>
      <c r="M244" s="32" t="n">
        <v>31121.71</v>
      </c>
      <c r="N244" s="6" t="n">
        <v>17</v>
      </c>
      <c r="O244" s="6" t="n">
        <v>2</v>
      </c>
      <c r="P244" s="45" t="n">
        <v>34731</v>
      </c>
      <c r="Q244" s="34" t="n">
        <f aca="false">IF(OR($A244="",P244=""),"",ROUND(YEARFRAC(P244,README!$C$5),1))</f>
        <v>31.5</v>
      </c>
      <c r="R244" s="39"/>
      <c r="S244" s="35" t="n">
        <v>10200</v>
      </c>
      <c r="T244" s="42"/>
      <c r="U244" s="35" t="n">
        <v>11200</v>
      </c>
      <c r="V244" s="43" t="str">
        <f aca="false">IF($A244="","",IF(OR(T244="",U244=""),"",U244-T244))</f>
        <v/>
      </c>
      <c r="W244" s="31" t="n">
        <v>1</v>
      </c>
      <c r="X244" s="6" t="n">
        <v>1</v>
      </c>
      <c r="Y244" s="41"/>
      <c r="Z244" s="6" t="s">
        <v>1172</v>
      </c>
      <c r="AA244" s="9" t="s">
        <v>528</v>
      </c>
      <c r="AB244" s="6" t="s">
        <v>1296</v>
      </c>
      <c r="AE244" s="37" t="n">
        <f aca="false">COUNTIF(環境認証!$A$2:$A$849,A244)</f>
        <v>0</v>
      </c>
      <c r="AG244" s="6" t="n">
        <v>9.8</v>
      </c>
    </row>
    <row r="245" customFormat="false" ht="15" hidden="false" customHeight="true" outlineLevel="0" collapsed="false">
      <c r="A245" s="6" t="s">
        <v>1297</v>
      </c>
      <c r="B245" s="6" t="s">
        <v>427</v>
      </c>
      <c r="C245" s="9" t="s">
        <v>1298</v>
      </c>
      <c r="D245" s="9" t="s">
        <v>1241</v>
      </c>
      <c r="E245" s="9" t="s">
        <v>555</v>
      </c>
      <c r="F245" s="9" t="s">
        <v>1271</v>
      </c>
      <c r="H245" s="9" t="s">
        <v>550</v>
      </c>
      <c r="J245" s="40"/>
      <c r="K245" s="32" t="n">
        <v>15008.28</v>
      </c>
      <c r="L245" s="32" t="n">
        <v>48321.96</v>
      </c>
      <c r="M245" s="32" t="n">
        <v>5963</v>
      </c>
      <c r="N245" s="6" t="n">
        <v>10</v>
      </c>
      <c r="O245" s="6" t="n">
        <v>2</v>
      </c>
      <c r="P245" s="45" t="n">
        <v>38718</v>
      </c>
      <c r="Q245" s="34" t="n">
        <f aca="false">IF(OR($A245="",P245=""),"",ROUND(YEARFRAC(P245,README!$C$5),1))</f>
        <v>20.6</v>
      </c>
      <c r="R245" s="39"/>
      <c r="S245" s="35" t="n">
        <v>2100</v>
      </c>
      <c r="T245" s="42"/>
      <c r="U245" s="35" t="n">
        <v>3530</v>
      </c>
      <c r="V245" s="43" t="str">
        <f aca="false">IF($A245="","",IF(OR(T245="",U245=""),"",U245-T245))</f>
        <v/>
      </c>
      <c r="W245" s="31" t="n">
        <v>1</v>
      </c>
      <c r="X245" s="6" t="n">
        <v>1</v>
      </c>
      <c r="Y245" s="41"/>
      <c r="Z245" s="6" t="s">
        <v>1172</v>
      </c>
      <c r="AA245" s="9" t="s">
        <v>528</v>
      </c>
      <c r="AB245" s="6" t="s">
        <v>1299</v>
      </c>
      <c r="AE245" s="37" t="n">
        <f aca="false">COUNTIF(環境認証!$A$2:$A$849,A245)</f>
        <v>0</v>
      </c>
      <c r="AG245" s="6" t="n">
        <v>68.1</v>
      </c>
    </row>
    <row r="246" customFormat="false" ht="15" hidden="false" customHeight="true" outlineLevel="0" collapsed="false">
      <c r="A246" s="6" t="s">
        <v>1300</v>
      </c>
      <c r="B246" s="6" t="s">
        <v>427</v>
      </c>
      <c r="C246" s="9" t="s">
        <v>1301</v>
      </c>
      <c r="D246" s="9" t="s">
        <v>1241</v>
      </c>
      <c r="E246" s="9" t="s">
        <v>547</v>
      </c>
      <c r="F246" s="9" t="s">
        <v>687</v>
      </c>
      <c r="H246" s="9" t="s">
        <v>550</v>
      </c>
      <c r="J246" s="40"/>
      <c r="K246" s="32" t="n">
        <v>4757.09</v>
      </c>
      <c r="L246" s="32" t="n">
        <v>18394.32</v>
      </c>
      <c r="M246" s="32" t="n">
        <v>19740.95</v>
      </c>
      <c r="N246" s="6" t="n">
        <v>6</v>
      </c>
      <c r="O246" s="6" t="n">
        <v>1</v>
      </c>
      <c r="P246" s="45" t="n">
        <v>30376</v>
      </c>
      <c r="Q246" s="34" t="n">
        <f aca="false">IF(OR($A246="",P246=""),"",ROUND(YEARFRAC(P246,README!$C$5),1))</f>
        <v>43.4</v>
      </c>
      <c r="R246" s="39"/>
      <c r="S246" s="35" t="n">
        <v>7254</v>
      </c>
      <c r="T246" s="42"/>
      <c r="U246" s="35" t="n">
        <v>5350</v>
      </c>
      <c r="V246" s="43" t="str">
        <f aca="false">IF($A246="","",IF(OR(T246="",U246=""),"",U246-T246))</f>
        <v/>
      </c>
      <c r="W246" s="31" t="n">
        <v>1</v>
      </c>
      <c r="X246" s="6" t="n">
        <v>1</v>
      </c>
      <c r="Y246" s="41"/>
      <c r="Z246" s="6" t="s">
        <v>1172</v>
      </c>
      <c r="AA246" s="9" t="s">
        <v>528</v>
      </c>
      <c r="AB246" s="6" t="s">
        <v>1302</v>
      </c>
      <c r="AE246" s="37" t="n">
        <f aca="false">COUNTIF(環境認証!$A$2:$A$849,A246)</f>
        <v>1</v>
      </c>
      <c r="AG246" s="6" t="n">
        <v>-26.2</v>
      </c>
    </row>
    <row r="247" customFormat="false" ht="15" hidden="false" customHeight="true" outlineLevel="0" collapsed="false">
      <c r="A247" s="6" t="s">
        <v>1303</v>
      </c>
      <c r="B247" s="6" t="s">
        <v>427</v>
      </c>
      <c r="C247" s="9" t="s">
        <v>1304</v>
      </c>
      <c r="D247" s="9" t="s">
        <v>1241</v>
      </c>
      <c r="E247" s="9" t="s">
        <v>555</v>
      </c>
      <c r="F247" s="9" t="s">
        <v>711</v>
      </c>
      <c r="H247" s="9" t="s">
        <v>550</v>
      </c>
      <c r="J247" s="40"/>
      <c r="K247" s="32" t="n">
        <v>8317.99</v>
      </c>
      <c r="L247" s="32" t="n">
        <v>28930.36</v>
      </c>
      <c r="M247" s="32" t="n">
        <v>14960.7</v>
      </c>
      <c r="N247" s="6" t="n">
        <v>4</v>
      </c>
      <c r="O247" s="6" t="n">
        <v>1</v>
      </c>
      <c r="P247" s="45" t="n">
        <v>38626</v>
      </c>
      <c r="Q247" s="34" t="n">
        <f aca="false">IF(OR($A247="",P247=""),"",ROUND(YEARFRAC(P247,README!$C$5),1))</f>
        <v>20.9</v>
      </c>
      <c r="R247" s="39"/>
      <c r="S247" s="35" t="n">
        <v>4335</v>
      </c>
      <c r="T247" s="42"/>
      <c r="U247" s="35" t="n">
        <v>4350</v>
      </c>
      <c r="V247" s="43" t="str">
        <f aca="false">IF($A247="","",IF(OR(T247="",U247=""),"",U247-T247))</f>
        <v/>
      </c>
      <c r="W247" s="31" t="n">
        <v>1</v>
      </c>
      <c r="X247" s="6" t="n">
        <v>3</v>
      </c>
      <c r="Y247" s="41"/>
      <c r="Z247" s="6" t="s">
        <v>1172</v>
      </c>
      <c r="AA247" s="9" t="s">
        <v>528</v>
      </c>
      <c r="AB247" s="6" t="s">
        <v>1257</v>
      </c>
      <c r="AE247" s="37" t="n">
        <f aca="false">COUNTIF(環境認証!$A$2:$A$849,A247)</f>
        <v>1</v>
      </c>
      <c r="AG247" s="6" t="n">
        <v>0.3</v>
      </c>
    </row>
    <row r="248" customFormat="false" ht="15" hidden="false" customHeight="true" outlineLevel="0" collapsed="false">
      <c r="A248" s="6" t="s">
        <v>1305</v>
      </c>
      <c r="B248" s="6" t="s">
        <v>427</v>
      </c>
      <c r="C248" s="9" t="s">
        <v>1306</v>
      </c>
      <c r="D248" s="9" t="s">
        <v>1241</v>
      </c>
      <c r="E248" s="9" t="s">
        <v>547</v>
      </c>
      <c r="F248" s="9" t="s">
        <v>687</v>
      </c>
      <c r="H248" s="9" t="s">
        <v>550</v>
      </c>
      <c r="J248" s="40"/>
      <c r="K248" s="32" t="n">
        <v>4475.45</v>
      </c>
      <c r="L248" s="32" t="n">
        <v>36902.01</v>
      </c>
      <c r="M248" s="32" t="n">
        <v>12113.1</v>
      </c>
      <c r="N248" s="6" t="n">
        <v>11</v>
      </c>
      <c r="O248" s="6" t="n">
        <v>2</v>
      </c>
      <c r="P248" s="45" t="n">
        <v>37834</v>
      </c>
      <c r="Q248" s="34" t="n">
        <f aca="false">IF(OR($A248="",P248=""),"",ROUND(YEARFRAC(P248,README!$C$5),1))</f>
        <v>23</v>
      </c>
      <c r="R248" s="39"/>
      <c r="S248" s="35" t="n">
        <v>15080</v>
      </c>
      <c r="T248" s="42"/>
      <c r="U248" s="35" t="n">
        <v>11900</v>
      </c>
      <c r="V248" s="43" t="str">
        <f aca="false">IF($A248="","",IF(OR(T248="",U248=""),"",U248-T248))</f>
        <v/>
      </c>
      <c r="W248" s="31" t="n">
        <v>1</v>
      </c>
      <c r="X248" s="6" t="n">
        <v>31</v>
      </c>
      <c r="Y248" s="41"/>
      <c r="Z248" s="6" t="s">
        <v>1172</v>
      </c>
      <c r="AA248" s="9" t="s">
        <v>528</v>
      </c>
      <c r="AB248" s="6" t="s">
        <v>1307</v>
      </c>
      <c r="AE248" s="37" t="n">
        <f aca="false">COUNTIF(環境認証!$A$2:$A$849,A248)</f>
        <v>1</v>
      </c>
      <c r="AG248" s="6" t="n">
        <v>-21.1</v>
      </c>
    </row>
    <row r="249" customFormat="false" ht="15" hidden="false" customHeight="true" outlineLevel="0" collapsed="false">
      <c r="A249" s="6" t="s">
        <v>1308</v>
      </c>
      <c r="B249" s="6" t="s">
        <v>427</v>
      </c>
      <c r="C249" s="9" t="s">
        <v>1309</v>
      </c>
      <c r="D249" s="9" t="s">
        <v>1241</v>
      </c>
      <c r="E249" s="9" t="s">
        <v>523</v>
      </c>
      <c r="F249" s="9" t="s">
        <v>539</v>
      </c>
      <c r="H249" s="9" t="s">
        <v>540</v>
      </c>
      <c r="J249" s="40"/>
      <c r="K249" s="32" t="n">
        <v>383.74</v>
      </c>
      <c r="L249" s="32" t="n">
        <v>2235.6</v>
      </c>
      <c r="M249" s="32" t="n">
        <v>1989.66</v>
      </c>
      <c r="N249" s="6" t="n">
        <v>10</v>
      </c>
      <c r="O249" s="6" t="n">
        <v>1</v>
      </c>
      <c r="P249" s="45" t="n">
        <v>42917</v>
      </c>
      <c r="Q249" s="34" t="n">
        <f aca="false">IF(OR($A249="",P249=""),"",ROUND(YEARFRAC(P249,README!$C$5),1))</f>
        <v>9.1</v>
      </c>
      <c r="R249" s="39"/>
      <c r="S249" s="35" t="n">
        <v>3800</v>
      </c>
      <c r="T249" s="42"/>
      <c r="U249" s="35" t="n">
        <v>4320</v>
      </c>
      <c r="V249" s="43" t="str">
        <f aca="false">IF($A249="","",IF(OR(T249="",U249=""),"",U249-T249))</f>
        <v/>
      </c>
      <c r="W249" s="31" t="n">
        <v>1</v>
      </c>
      <c r="X249" s="6" t="n">
        <v>10</v>
      </c>
      <c r="Y249" s="41"/>
      <c r="Z249" s="6" t="s">
        <v>1172</v>
      </c>
      <c r="AA249" s="9" t="s">
        <v>528</v>
      </c>
      <c r="AB249" s="6" t="s">
        <v>1257</v>
      </c>
      <c r="AE249" s="37" t="n">
        <f aca="false">COUNTIF(環境認証!$A$2:$A$849,A249)</f>
        <v>2</v>
      </c>
      <c r="AG249" s="6" t="n">
        <v>13.7</v>
      </c>
    </row>
    <row r="250" customFormat="false" ht="15" hidden="false" customHeight="true" outlineLevel="0" collapsed="false">
      <c r="A250" s="6" t="s">
        <v>1310</v>
      </c>
      <c r="B250" s="6" t="s">
        <v>427</v>
      </c>
      <c r="C250" s="9" t="s">
        <v>1311</v>
      </c>
      <c r="D250" s="9" t="s">
        <v>1241</v>
      </c>
      <c r="E250" s="9" t="s">
        <v>523</v>
      </c>
      <c r="F250" s="9" t="s">
        <v>1312</v>
      </c>
      <c r="H250" s="9" t="s">
        <v>540</v>
      </c>
      <c r="J250" s="40"/>
      <c r="K250" s="32" t="n">
        <v>508.24</v>
      </c>
      <c r="L250" s="32" t="n">
        <v>3738.15</v>
      </c>
      <c r="M250" s="32" t="n">
        <v>3320.26</v>
      </c>
      <c r="N250" s="6" t="n">
        <v>10</v>
      </c>
      <c r="O250" s="6" t="n">
        <v>0</v>
      </c>
      <c r="P250" s="45" t="n">
        <v>45323</v>
      </c>
      <c r="Q250" s="34" t="n">
        <f aca="false">IF(OR($A250="",P250=""),"",ROUND(YEARFRAC(P250,README!$C$5),1))</f>
        <v>2.5</v>
      </c>
      <c r="R250" s="39"/>
      <c r="S250" s="35" t="n">
        <v>8010</v>
      </c>
      <c r="T250" s="42"/>
      <c r="U250" s="35" t="n">
        <v>8580</v>
      </c>
      <c r="V250" s="43" t="str">
        <f aca="false">IF($A250="","",IF(OR(T250="",U250=""),"",U250-T250))</f>
        <v/>
      </c>
      <c r="W250" s="31" t="n">
        <v>1</v>
      </c>
      <c r="X250" s="6" t="n">
        <v>12</v>
      </c>
      <c r="Y250" s="41"/>
      <c r="Z250" s="6" t="s">
        <v>1172</v>
      </c>
      <c r="AA250" s="9" t="s">
        <v>528</v>
      </c>
      <c r="AB250" s="6" t="s">
        <v>1313</v>
      </c>
      <c r="AE250" s="37" t="n">
        <f aca="false">COUNTIF(環境認証!$A$2:$A$849,A250)</f>
        <v>0</v>
      </c>
      <c r="AG250" s="6" t="n">
        <v>7.1</v>
      </c>
    </row>
    <row r="251" customFormat="false" ht="15" hidden="false" customHeight="true" outlineLevel="0" collapsed="false">
      <c r="A251" s="6" t="s">
        <v>1314</v>
      </c>
      <c r="B251" s="6" t="s">
        <v>427</v>
      </c>
      <c r="C251" s="9" t="s">
        <v>1315</v>
      </c>
      <c r="D251" s="9" t="s">
        <v>1316</v>
      </c>
      <c r="E251" s="9" t="s">
        <v>523</v>
      </c>
      <c r="F251" s="9" t="s">
        <v>539</v>
      </c>
      <c r="H251" s="9" t="s">
        <v>540</v>
      </c>
      <c r="J251" s="40"/>
      <c r="K251" s="32" t="n">
        <v>694.1</v>
      </c>
      <c r="L251" s="32" t="n">
        <v>3668.1</v>
      </c>
      <c r="M251" s="32" t="n">
        <v>3663.23</v>
      </c>
      <c r="N251" s="6" t="n">
        <v>14</v>
      </c>
      <c r="O251" s="6" t="n">
        <v>0</v>
      </c>
      <c r="P251" s="45" t="n">
        <v>43313</v>
      </c>
      <c r="Q251" s="34" t="n">
        <f aca="false">IF(OR($A251="",P251=""),"",ROUND(YEARFRAC(P251,README!$C$5),1))</f>
        <v>8</v>
      </c>
      <c r="R251" s="39"/>
      <c r="S251" s="35" t="n">
        <v>6700</v>
      </c>
      <c r="T251" s="42"/>
      <c r="U251" s="35" t="n">
        <v>7390</v>
      </c>
      <c r="V251" s="43" t="str">
        <f aca="false">IF($A251="","",IF(OR(T251="",U251=""),"",U251-T251))</f>
        <v/>
      </c>
      <c r="W251" s="31" t="n">
        <v>1</v>
      </c>
      <c r="X251" s="6" t="n">
        <v>1</v>
      </c>
      <c r="Y251" s="41"/>
      <c r="Z251" s="6" t="s">
        <v>1172</v>
      </c>
      <c r="AA251" s="9" t="s">
        <v>528</v>
      </c>
      <c r="AB251" s="6" t="s">
        <v>1317</v>
      </c>
      <c r="AE251" s="37" t="n">
        <f aca="false">COUNTIF(環境認証!$A$2:$A$849,A251)</f>
        <v>0</v>
      </c>
      <c r="AG251" s="6" t="n">
        <v>10.3</v>
      </c>
    </row>
    <row r="252" customFormat="false" ht="15" hidden="false" customHeight="true" outlineLevel="0" collapsed="false">
      <c r="A252" s="6" t="s">
        <v>1318</v>
      </c>
      <c r="B252" s="6" t="s">
        <v>427</v>
      </c>
      <c r="C252" s="9" t="s">
        <v>1319</v>
      </c>
      <c r="D252" s="9" t="s">
        <v>522</v>
      </c>
      <c r="E252" s="9" t="s">
        <v>1320</v>
      </c>
      <c r="F252" s="9" t="s">
        <v>1321</v>
      </c>
      <c r="H252" s="6" t="s">
        <v>599</v>
      </c>
      <c r="J252" s="40"/>
      <c r="K252" s="32" t="n">
        <v>2706.99</v>
      </c>
      <c r="L252" s="32" t="n">
        <v>19950.42</v>
      </c>
      <c r="M252" s="32" t="n">
        <v>5327.48</v>
      </c>
      <c r="N252" s="6" t="n">
        <v>10</v>
      </c>
      <c r="O252" s="6" t="n">
        <v>1</v>
      </c>
      <c r="P252" s="45" t="n">
        <v>35125</v>
      </c>
      <c r="Q252" s="34" t="n">
        <f aca="false">IF(OR($A252="",P252=""),"",ROUND(YEARFRAC(P252,README!$C$5),1))</f>
        <v>30.4</v>
      </c>
      <c r="R252" s="39"/>
      <c r="S252" s="35" t="n">
        <v>2140</v>
      </c>
      <c r="T252" s="42"/>
      <c r="U252" s="35" t="n">
        <v>2090</v>
      </c>
      <c r="V252" s="43" t="str">
        <f aca="false">IF($A252="","",IF(OR(T252="",U252=""),"",U252-T252))</f>
        <v/>
      </c>
      <c r="W252" s="31" t="n">
        <v>1</v>
      </c>
      <c r="X252" s="6" t="n">
        <v>12</v>
      </c>
      <c r="Y252" s="41"/>
      <c r="Z252" s="6" t="s">
        <v>1172</v>
      </c>
      <c r="AA252" s="9" t="s">
        <v>528</v>
      </c>
      <c r="AB252" s="6" t="s">
        <v>1322</v>
      </c>
      <c r="AE252" s="37" t="n">
        <f aca="false">COUNTIF(環境認証!$A$2:$A$849,A252)</f>
        <v>0</v>
      </c>
      <c r="AG252" s="6" t="n">
        <v>-2.3</v>
      </c>
    </row>
    <row r="253" customFormat="false" ht="15" hidden="false" customHeight="true" outlineLevel="0" collapsed="false">
      <c r="A253" s="6" t="s">
        <v>1323</v>
      </c>
      <c r="B253" s="6" t="s">
        <v>427</v>
      </c>
      <c r="C253" s="9" t="s">
        <v>1324</v>
      </c>
      <c r="D253" s="9" t="s">
        <v>522</v>
      </c>
      <c r="E253" s="9" t="s">
        <v>732</v>
      </c>
      <c r="F253" s="9" t="s">
        <v>733</v>
      </c>
      <c r="H253" s="9" t="s">
        <v>734</v>
      </c>
      <c r="J253" s="40"/>
      <c r="K253" s="32" t="n">
        <v>960.03</v>
      </c>
      <c r="L253" s="32" t="n">
        <v>5780.71</v>
      </c>
      <c r="M253" s="32" t="n">
        <v>3944.5</v>
      </c>
      <c r="N253" s="6" t="n">
        <v>12</v>
      </c>
      <c r="O253" s="6" t="n">
        <v>0</v>
      </c>
      <c r="P253" s="45" t="n">
        <v>33512</v>
      </c>
      <c r="Q253" s="34" t="n">
        <f aca="false">IF(OR($A253="",P253=""),"",ROUND(YEARFRAC(P253,README!$C$5),1))</f>
        <v>34.9</v>
      </c>
      <c r="R253" s="39"/>
      <c r="S253" s="35" t="n">
        <v>1560</v>
      </c>
      <c r="T253" s="42"/>
      <c r="U253" s="35" t="n">
        <v>2460</v>
      </c>
      <c r="V253" s="43" t="str">
        <f aca="false">IF($A253="","",IF(OR(T253="",U253=""),"",U253-T253))</f>
        <v/>
      </c>
      <c r="W253" s="31" t="n">
        <v>0.947</v>
      </c>
      <c r="X253" s="6" t="n">
        <v>23</v>
      </c>
      <c r="Y253" s="41"/>
      <c r="Z253" s="6" t="s">
        <v>1172</v>
      </c>
      <c r="AA253" s="9" t="s">
        <v>528</v>
      </c>
      <c r="AB253" s="6" t="s">
        <v>1325</v>
      </c>
      <c r="AE253" s="37" t="n">
        <f aca="false">COUNTIF(環境認証!$A$2:$A$849,A253)</f>
        <v>1</v>
      </c>
      <c r="AG253" s="6" t="n">
        <v>57.7</v>
      </c>
    </row>
    <row r="254" customFormat="false" ht="15" hidden="false" customHeight="true" outlineLevel="0" collapsed="false">
      <c r="A254" s="6" t="s">
        <v>1326</v>
      </c>
      <c r="B254" s="6" t="s">
        <v>427</v>
      </c>
      <c r="C254" s="9" t="s">
        <v>1327</v>
      </c>
      <c r="D254" s="9" t="s">
        <v>522</v>
      </c>
      <c r="E254" s="9" t="s">
        <v>724</v>
      </c>
      <c r="F254" s="9" t="s">
        <v>725</v>
      </c>
      <c r="H254" s="6" t="s">
        <v>599</v>
      </c>
      <c r="J254" s="40"/>
      <c r="K254" s="32" t="n">
        <v>1895.67</v>
      </c>
      <c r="L254" s="32" t="n">
        <v>10783.52</v>
      </c>
      <c r="M254" s="32" t="n">
        <v>7107.9</v>
      </c>
      <c r="N254" s="6" t="n">
        <v>12</v>
      </c>
      <c r="O254" s="6" t="n">
        <v>1</v>
      </c>
      <c r="P254" s="45" t="n">
        <v>35765</v>
      </c>
      <c r="Q254" s="34" t="n">
        <f aca="false">IF(OR($A254="",P254=""),"",ROUND(YEARFRAC(P254,README!$C$5),1))</f>
        <v>28.7</v>
      </c>
      <c r="R254" s="39"/>
      <c r="S254" s="35" t="n">
        <v>3150</v>
      </c>
      <c r="T254" s="42"/>
      <c r="U254" s="35" t="n">
        <v>4160</v>
      </c>
      <c r="V254" s="43" t="str">
        <f aca="false">IF($A254="","",IF(OR(T254="",U254=""),"",U254-T254))</f>
        <v/>
      </c>
      <c r="W254" s="31" t="n">
        <v>0.965</v>
      </c>
      <c r="X254" s="6" t="n">
        <v>15</v>
      </c>
      <c r="Y254" s="41"/>
      <c r="Z254" s="6" t="s">
        <v>1172</v>
      </c>
      <c r="AA254" s="9" t="s">
        <v>528</v>
      </c>
      <c r="AB254" s="6" t="s">
        <v>1325</v>
      </c>
      <c r="AE254" s="37" t="n">
        <f aca="false">COUNTIF(環境認証!$A$2:$A$849,A254)</f>
        <v>1</v>
      </c>
      <c r="AG254" s="6" t="n">
        <v>32.1</v>
      </c>
    </row>
    <row r="255" customFormat="false" ht="15" hidden="false" customHeight="true" outlineLevel="0" collapsed="false">
      <c r="A255" s="6" t="s">
        <v>1328</v>
      </c>
      <c r="B255" s="6" t="s">
        <v>427</v>
      </c>
      <c r="C255" s="9" t="s">
        <v>1329</v>
      </c>
      <c r="D255" s="9" t="s">
        <v>522</v>
      </c>
      <c r="E255" s="9" t="s">
        <v>1330</v>
      </c>
      <c r="F255" s="9" t="s">
        <v>1331</v>
      </c>
      <c r="H255" s="9" t="s">
        <v>734</v>
      </c>
      <c r="J255" s="40"/>
      <c r="K255" s="32" t="n">
        <v>1128.45</v>
      </c>
      <c r="L255" s="32" t="n">
        <v>6715.07</v>
      </c>
      <c r="M255" s="32" t="n">
        <v>4866.34</v>
      </c>
      <c r="N255" s="6" t="n">
        <v>9</v>
      </c>
      <c r="O255" s="6" t="n">
        <v>0</v>
      </c>
      <c r="P255" s="45" t="n">
        <v>35247</v>
      </c>
      <c r="Q255" s="34" t="n">
        <f aca="false">IF(OR($A255="",P255=""),"",ROUND(YEARFRAC(P255,README!$C$5),1))</f>
        <v>30.1</v>
      </c>
      <c r="R255" s="39"/>
      <c r="S255" s="35" t="n">
        <v>1670</v>
      </c>
      <c r="T255" s="42"/>
      <c r="U255" s="35" t="n">
        <v>1500</v>
      </c>
      <c r="V255" s="43" t="str">
        <f aca="false">IF($A255="","",IF(OR(T255="",U255=""),"",U255-T255))</f>
        <v/>
      </c>
      <c r="W255" s="31" t="n">
        <v>0.983</v>
      </c>
      <c r="X255" s="6" t="n">
        <v>17</v>
      </c>
      <c r="Y255" s="41"/>
      <c r="Z255" s="6" t="s">
        <v>1172</v>
      </c>
      <c r="AA255" s="9" t="s">
        <v>528</v>
      </c>
      <c r="AB255" s="6" t="s">
        <v>1322</v>
      </c>
      <c r="AE255" s="37" t="n">
        <f aca="false">COUNTIF(環境認証!$A$2:$A$849,A255)</f>
        <v>1</v>
      </c>
      <c r="AG255" s="6" t="n">
        <v>-10.2</v>
      </c>
    </row>
    <row r="256" customFormat="false" ht="15" hidden="false" customHeight="true" outlineLevel="0" collapsed="false">
      <c r="A256" s="6" t="s">
        <v>1332</v>
      </c>
      <c r="B256" s="6" t="s">
        <v>427</v>
      </c>
      <c r="C256" s="9" t="s">
        <v>1333</v>
      </c>
      <c r="D256" s="9" t="s">
        <v>522</v>
      </c>
      <c r="E256" s="9" t="s">
        <v>596</v>
      </c>
      <c r="F256" s="9" t="s">
        <v>1160</v>
      </c>
      <c r="H256" s="6" t="s">
        <v>599</v>
      </c>
      <c r="J256" s="40"/>
      <c r="K256" s="32" t="n">
        <v>1164.39</v>
      </c>
      <c r="L256" s="32" t="n">
        <v>8690.95</v>
      </c>
      <c r="M256" s="32" t="n">
        <v>3258.68</v>
      </c>
      <c r="N256" s="6" t="n">
        <v>13</v>
      </c>
      <c r="O256" s="6" t="n">
        <v>0</v>
      </c>
      <c r="P256" s="45" t="n">
        <v>36708</v>
      </c>
      <c r="Q256" s="34" t="n">
        <f aca="false">IF(OR($A256="",P256=""),"",ROUND(YEARFRAC(P256,README!$C$5),1))</f>
        <v>26.1</v>
      </c>
      <c r="R256" s="39"/>
      <c r="S256" s="35" t="n">
        <v>2810</v>
      </c>
      <c r="T256" s="42"/>
      <c r="U256" s="35" t="n">
        <v>4040</v>
      </c>
      <c r="V256" s="43" t="str">
        <f aca="false">IF($A256="","",IF(OR(T256="",U256=""),"",U256-T256))</f>
        <v/>
      </c>
      <c r="W256" s="31" t="n">
        <v>1</v>
      </c>
      <c r="X256" s="6" t="n">
        <v>15</v>
      </c>
      <c r="Y256" s="41"/>
      <c r="Z256" s="6" t="s">
        <v>1172</v>
      </c>
      <c r="AA256" s="9" t="s">
        <v>528</v>
      </c>
      <c r="AB256" s="6" t="s">
        <v>1325</v>
      </c>
      <c r="AE256" s="37" t="n">
        <f aca="false">COUNTIF(環境認証!$A$2:$A$849,A256)</f>
        <v>0</v>
      </c>
      <c r="AG256" s="6" t="n">
        <v>43.8</v>
      </c>
    </row>
    <row r="257" customFormat="false" ht="15" hidden="false" customHeight="true" outlineLevel="0" collapsed="false">
      <c r="A257" s="6" t="s">
        <v>1334</v>
      </c>
      <c r="B257" s="6" t="s">
        <v>427</v>
      </c>
      <c r="C257" s="9" t="s">
        <v>1335</v>
      </c>
      <c r="D257" s="9" t="s">
        <v>522</v>
      </c>
      <c r="E257" s="9" t="s">
        <v>573</v>
      </c>
      <c r="F257" s="9" t="s">
        <v>680</v>
      </c>
      <c r="H257" s="9" t="s">
        <v>569</v>
      </c>
      <c r="J257" s="40"/>
      <c r="K257" s="32" t="n">
        <v>668.11</v>
      </c>
      <c r="L257" s="32" t="n">
        <v>5696.01</v>
      </c>
      <c r="M257" s="32" t="n">
        <v>3917.91</v>
      </c>
      <c r="N257" s="6" t="n">
        <v>9</v>
      </c>
      <c r="O257" s="6" t="n">
        <v>2</v>
      </c>
      <c r="P257" s="45" t="n">
        <v>34243</v>
      </c>
      <c r="Q257" s="34" t="n">
        <f aca="false">IF(OR($A257="",P257=""),"",ROUND(YEARFRAC(P257,README!$C$5),1))</f>
        <v>32.9</v>
      </c>
      <c r="R257" s="39"/>
      <c r="S257" s="35" t="n">
        <v>2140</v>
      </c>
      <c r="T257" s="42"/>
      <c r="U257" s="35" t="n">
        <v>4200</v>
      </c>
      <c r="V257" s="43" t="str">
        <f aca="false">IF($A257="","",IF(OR(T257="",U257=""),"",U257-T257))</f>
        <v/>
      </c>
      <c r="W257" s="31" t="n">
        <v>1</v>
      </c>
      <c r="X257" s="6" t="n">
        <v>13</v>
      </c>
      <c r="Y257" s="41"/>
      <c r="Z257" s="6" t="s">
        <v>1172</v>
      </c>
      <c r="AA257" s="9" t="s">
        <v>528</v>
      </c>
      <c r="AB257" s="6" t="s">
        <v>1336</v>
      </c>
      <c r="AE257" s="37" t="n">
        <f aca="false">COUNTIF(環境認証!$A$2:$A$849,A257)</f>
        <v>1</v>
      </c>
      <c r="AG257" s="6" t="n">
        <v>96.3</v>
      </c>
    </row>
    <row r="258" customFormat="false" ht="15" hidden="false" customHeight="true" outlineLevel="0" collapsed="false">
      <c r="A258" s="6" t="s">
        <v>1337</v>
      </c>
      <c r="B258" s="6" t="s">
        <v>427</v>
      </c>
      <c r="C258" s="9" t="s">
        <v>1338</v>
      </c>
      <c r="D258" s="9" t="s">
        <v>522</v>
      </c>
      <c r="E258" s="9" t="s">
        <v>596</v>
      </c>
      <c r="F258" s="9" t="s">
        <v>1160</v>
      </c>
      <c r="H258" s="6" t="s">
        <v>599</v>
      </c>
      <c r="J258" s="40"/>
      <c r="K258" s="32" t="n">
        <v>4486.44</v>
      </c>
      <c r="L258" s="32" t="n">
        <v>22286.35</v>
      </c>
      <c r="M258" s="32" t="n">
        <v>16654.33</v>
      </c>
      <c r="N258" s="6" t="n">
        <v>14</v>
      </c>
      <c r="O258" s="6" t="n">
        <v>0</v>
      </c>
      <c r="P258" s="45" t="n">
        <v>39814</v>
      </c>
      <c r="Q258" s="34" t="n">
        <f aca="false">IF(OR($A258="",P258=""),"",ROUND(YEARFRAC(P258,README!$C$5),1))</f>
        <v>17.6</v>
      </c>
      <c r="R258" s="39"/>
      <c r="S258" s="35" t="n">
        <v>10996</v>
      </c>
      <c r="T258" s="42"/>
      <c r="U258" s="35" t="n">
        <v>24800</v>
      </c>
      <c r="V258" s="43" t="str">
        <f aca="false">IF($A258="","",IF(OR(T258="",U258=""),"",U258-T258))</f>
        <v/>
      </c>
      <c r="W258" s="31" t="n">
        <v>0.999</v>
      </c>
      <c r="X258" s="6" t="n">
        <v>16</v>
      </c>
      <c r="Y258" s="41"/>
      <c r="Z258" s="6" t="s">
        <v>1172</v>
      </c>
      <c r="AA258" s="9" t="s">
        <v>528</v>
      </c>
      <c r="AB258" s="6" t="s">
        <v>1339</v>
      </c>
      <c r="AE258" s="37" t="n">
        <f aca="false">COUNTIF(環境認証!$A$2:$A$849,A258)</f>
        <v>1</v>
      </c>
      <c r="AG258" s="6" t="n">
        <v>125.5</v>
      </c>
    </row>
    <row r="259" customFormat="false" ht="15" hidden="false" customHeight="true" outlineLevel="0" collapsed="false">
      <c r="A259" s="6" t="s">
        <v>1340</v>
      </c>
      <c r="B259" s="6" t="s">
        <v>427</v>
      </c>
      <c r="C259" s="9" t="s">
        <v>1341</v>
      </c>
      <c r="D259" s="9" t="s">
        <v>522</v>
      </c>
      <c r="E259" s="9" t="s">
        <v>573</v>
      </c>
      <c r="F259" s="9" t="s">
        <v>680</v>
      </c>
      <c r="H259" s="9" t="s">
        <v>569</v>
      </c>
      <c r="J259" s="40"/>
      <c r="K259" s="32" t="n">
        <v>609.31</v>
      </c>
      <c r="L259" s="32" t="n">
        <v>5303.98</v>
      </c>
      <c r="M259" s="32" t="n">
        <v>4021.63</v>
      </c>
      <c r="N259" s="6" t="n">
        <v>10</v>
      </c>
      <c r="O259" s="6" t="n">
        <v>2</v>
      </c>
      <c r="P259" s="45" t="n">
        <v>37653</v>
      </c>
      <c r="Q259" s="34" t="n">
        <f aca="false">IF(OR($A259="",P259=""),"",ROUND(YEARFRAC(P259,README!$C$5),1))</f>
        <v>23.5</v>
      </c>
      <c r="R259" s="39"/>
      <c r="S259" s="35" t="n">
        <v>5430</v>
      </c>
      <c r="T259" s="42"/>
      <c r="U259" s="35" t="n">
        <v>4640</v>
      </c>
      <c r="V259" s="43" t="str">
        <f aca="false">IF($A259="","",IF(OR(T259="",U259=""),"",U259-T259))</f>
        <v/>
      </c>
      <c r="W259" s="31" t="n">
        <v>1</v>
      </c>
      <c r="X259" s="6" t="n">
        <v>9</v>
      </c>
      <c r="Y259" s="41"/>
      <c r="Z259" s="6" t="s">
        <v>1172</v>
      </c>
      <c r="AA259" s="9" t="s">
        <v>528</v>
      </c>
      <c r="AB259" s="6" t="s">
        <v>1342</v>
      </c>
      <c r="AE259" s="37" t="n">
        <f aca="false">COUNTIF(環境認証!$A$2:$A$849,A259)</f>
        <v>1</v>
      </c>
      <c r="AG259" s="6" t="n">
        <v>-14.5</v>
      </c>
    </row>
    <row r="260" customFormat="false" ht="15" hidden="false" customHeight="true" outlineLevel="0" collapsed="false">
      <c r="A260" s="6" t="s">
        <v>1343</v>
      </c>
      <c r="B260" s="6" t="s">
        <v>427</v>
      </c>
      <c r="C260" s="9" t="s">
        <v>1344</v>
      </c>
      <c r="D260" s="9" t="s">
        <v>522</v>
      </c>
      <c r="E260" s="9" t="s">
        <v>573</v>
      </c>
      <c r="F260" s="9" t="s">
        <v>680</v>
      </c>
      <c r="H260" s="9" t="s">
        <v>569</v>
      </c>
      <c r="J260" s="40"/>
      <c r="K260" s="32" t="n">
        <v>1495.99</v>
      </c>
      <c r="L260" s="32" t="n">
        <v>7738.47</v>
      </c>
      <c r="M260" s="32" t="n">
        <v>5695.71</v>
      </c>
      <c r="N260" s="6" t="n">
        <v>8</v>
      </c>
      <c r="O260" s="6" t="n">
        <v>1</v>
      </c>
      <c r="P260" s="45" t="n">
        <v>31656</v>
      </c>
      <c r="Q260" s="34" t="n">
        <f aca="false">IF(OR($A260="",P260=""),"",ROUND(YEARFRAC(P260,README!$C$5),1))</f>
        <v>39.9</v>
      </c>
      <c r="R260" s="39"/>
      <c r="S260" s="35" t="n">
        <v>3776</v>
      </c>
      <c r="T260" s="42"/>
      <c r="U260" s="35" t="n">
        <v>5460</v>
      </c>
      <c r="V260" s="43" t="str">
        <f aca="false">IF($A260="","",IF(OR(T260="",U260=""),"",U260-T260))</f>
        <v/>
      </c>
      <c r="W260" s="31" t="n">
        <v>0.999</v>
      </c>
      <c r="X260" s="6" t="n">
        <v>13</v>
      </c>
      <c r="Y260" s="41"/>
      <c r="Z260" s="6" t="s">
        <v>1172</v>
      </c>
      <c r="AA260" s="9" t="s">
        <v>528</v>
      </c>
      <c r="AB260" s="6" t="s">
        <v>1345</v>
      </c>
      <c r="AE260" s="37" t="n">
        <f aca="false">COUNTIF(環境認証!$A$2:$A$849,A260)</f>
        <v>2</v>
      </c>
      <c r="AG260" s="6" t="n">
        <v>44.6</v>
      </c>
    </row>
    <row r="261" customFormat="false" ht="15" hidden="false" customHeight="true" outlineLevel="0" collapsed="false">
      <c r="A261" s="6" t="s">
        <v>1346</v>
      </c>
      <c r="B261" s="6" t="s">
        <v>427</v>
      </c>
      <c r="C261" s="9" t="s">
        <v>679</v>
      </c>
      <c r="D261" s="9" t="s">
        <v>522</v>
      </c>
      <c r="E261" s="9" t="s">
        <v>573</v>
      </c>
      <c r="F261" s="9" t="s">
        <v>680</v>
      </c>
      <c r="H261" s="9" t="s">
        <v>569</v>
      </c>
      <c r="I261" s="9" t="s">
        <v>1347</v>
      </c>
      <c r="J261" s="40"/>
      <c r="K261" s="32" t="n">
        <v>20488.08</v>
      </c>
      <c r="L261" s="32" t="n">
        <v>191597.49</v>
      </c>
      <c r="M261" s="32" t="n">
        <v>10249.33</v>
      </c>
      <c r="N261" s="6" t="n">
        <v>38</v>
      </c>
      <c r="O261" s="6" t="n">
        <v>3</v>
      </c>
      <c r="P261" s="45" t="n">
        <v>41334</v>
      </c>
      <c r="Q261" s="34" t="n">
        <f aca="false">IF(OR($A261="",P261=""),"",ROUND(YEARFRAC(P261,README!$C$5),1))</f>
        <v>13.4</v>
      </c>
      <c r="R261" s="39"/>
      <c r="S261" s="35" t="n">
        <v>21000</v>
      </c>
      <c r="T261" s="42"/>
      <c r="U261" s="35" t="n">
        <v>23400</v>
      </c>
      <c r="V261" s="43" t="str">
        <f aca="false">IF($A261="","",IF(OR(T261="",U261=""),"",U261-T261))</f>
        <v/>
      </c>
      <c r="W261" s="31" t="n">
        <v>0.986</v>
      </c>
      <c r="X261" s="6" t="n">
        <v>245</v>
      </c>
      <c r="Y261" s="41"/>
      <c r="Z261" s="6" t="s">
        <v>1172</v>
      </c>
      <c r="AA261" s="9" t="s">
        <v>528</v>
      </c>
      <c r="AB261" s="6" t="s">
        <v>1348</v>
      </c>
      <c r="AE261" s="37" t="n">
        <f aca="false">COUNTIF(環境認証!$A$2:$A$849,A261)</f>
        <v>0</v>
      </c>
      <c r="AG261" s="6" t="n">
        <v>11.4</v>
      </c>
    </row>
    <row r="262" customFormat="false" ht="15" hidden="false" customHeight="true" outlineLevel="0" collapsed="false">
      <c r="A262" s="6" t="s">
        <v>1349</v>
      </c>
      <c r="B262" s="6" t="s">
        <v>427</v>
      </c>
      <c r="C262" s="9" t="s">
        <v>683</v>
      </c>
      <c r="D262" s="9" t="s">
        <v>522</v>
      </c>
      <c r="E262" s="9" t="s">
        <v>573</v>
      </c>
      <c r="F262" s="9" t="s">
        <v>680</v>
      </c>
      <c r="H262" s="9" t="s">
        <v>569</v>
      </c>
      <c r="I262" s="9" t="s">
        <v>1347</v>
      </c>
      <c r="J262" s="40"/>
      <c r="K262" s="32" t="n">
        <v>22680.03</v>
      </c>
      <c r="L262" s="32" t="n">
        <v>290030.59</v>
      </c>
      <c r="M262" s="32" t="n">
        <v>16465.93</v>
      </c>
      <c r="N262" s="6" t="n">
        <v>38</v>
      </c>
      <c r="O262" s="6" t="n">
        <v>3</v>
      </c>
      <c r="P262" s="45" t="n">
        <v>41306</v>
      </c>
      <c r="Q262" s="34" t="n">
        <f aca="false">IF(OR($A262="",P262=""),"",ROUND(YEARFRAC(P262,README!$C$5),1))</f>
        <v>13.5</v>
      </c>
      <c r="R262" s="39"/>
      <c r="S262" s="35" t="n">
        <v>17500</v>
      </c>
      <c r="T262" s="42"/>
      <c r="U262" s="35" t="n">
        <v>19700</v>
      </c>
      <c r="V262" s="43" t="str">
        <f aca="false">IF($A262="","",IF(OR(T262="",U262=""),"",U262-T262))</f>
        <v/>
      </c>
      <c r="W262" s="31" t="n">
        <v>0.978</v>
      </c>
      <c r="X262" s="6" t="n">
        <v>111</v>
      </c>
      <c r="Y262" s="41"/>
      <c r="Z262" s="6" t="s">
        <v>1172</v>
      </c>
      <c r="AA262" s="9" t="s">
        <v>528</v>
      </c>
      <c r="AB262" s="6" t="s">
        <v>1350</v>
      </c>
      <c r="AE262" s="37" t="n">
        <f aca="false">COUNTIF(環境認証!$A$2:$A$849,A262)</f>
        <v>3</v>
      </c>
      <c r="AG262" s="6" t="n">
        <v>12.6</v>
      </c>
    </row>
    <row r="263" customFormat="false" ht="15" hidden="false" customHeight="true" outlineLevel="0" collapsed="false">
      <c r="A263" s="6" t="s">
        <v>1351</v>
      </c>
      <c r="B263" s="6" t="s">
        <v>427</v>
      </c>
      <c r="C263" s="9" t="s">
        <v>1352</v>
      </c>
      <c r="D263" s="9" t="s">
        <v>522</v>
      </c>
      <c r="E263" s="9" t="s">
        <v>573</v>
      </c>
      <c r="F263" s="9" t="s">
        <v>680</v>
      </c>
      <c r="H263" s="9" t="s">
        <v>569</v>
      </c>
      <c r="J263" s="40"/>
      <c r="K263" s="32" t="n">
        <v>938.01</v>
      </c>
      <c r="L263" s="32" t="n">
        <v>4977.52</v>
      </c>
      <c r="M263" s="32" t="n">
        <v>3074.3</v>
      </c>
      <c r="N263" s="6" t="n">
        <v>7</v>
      </c>
      <c r="O263" s="6" t="n">
        <v>1</v>
      </c>
      <c r="P263" s="45" t="n">
        <v>35247</v>
      </c>
      <c r="Q263" s="34" t="n">
        <f aca="false">IF(OR($A263="",P263=""),"",ROUND(YEARFRAC(P263,README!$C$5),1))</f>
        <v>30.1</v>
      </c>
      <c r="R263" s="39"/>
      <c r="S263" s="35" t="n">
        <v>2460</v>
      </c>
      <c r="T263" s="42"/>
      <c r="U263" s="35" t="n">
        <v>2760</v>
      </c>
      <c r="V263" s="43" t="str">
        <f aca="false">IF($A263="","",IF(OR(T263="",U263=""),"",U263-T263))</f>
        <v/>
      </c>
      <c r="W263" s="31" t="n">
        <v>1</v>
      </c>
      <c r="X263" s="6" t="n">
        <v>11</v>
      </c>
      <c r="Y263" s="41"/>
      <c r="Z263" s="6" t="s">
        <v>1172</v>
      </c>
      <c r="AA263" s="9" t="s">
        <v>528</v>
      </c>
      <c r="AB263" s="6" t="s">
        <v>1325</v>
      </c>
      <c r="AE263" s="37" t="n">
        <f aca="false">COUNTIF(環境認証!$A$2:$A$849,A263)</f>
        <v>1</v>
      </c>
      <c r="AG263" s="6" t="n">
        <v>12.2</v>
      </c>
    </row>
    <row r="264" customFormat="false" ht="15" hidden="false" customHeight="true" outlineLevel="0" collapsed="false">
      <c r="A264" s="6" t="s">
        <v>1353</v>
      </c>
      <c r="B264" s="6" t="s">
        <v>427</v>
      </c>
      <c r="C264" s="9" t="s">
        <v>1354</v>
      </c>
      <c r="D264" s="9" t="s">
        <v>1241</v>
      </c>
      <c r="E264" s="9" t="s">
        <v>573</v>
      </c>
      <c r="F264" s="9" t="s">
        <v>680</v>
      </c>
      <c r="H264" s="9" t="s">
        <v>569</v>
      </c>
      <c r="J264" s="40"/>
      <c r="K264" s="32" t="n">
        <v>592.45</v>
      </c>
      <c r="L264" s="32" t="n">
        <v>3219.36</v>
      </c>
      <c r="M264" s="32" t="n">
        <v>2406.45</v>
      </c>
      <c r="N264" s="6" t="n">
        <v>9</v>
      </c>
      <c r="O264" s="6" t="n">
        <v>0</v>
      </c>
      <c r="P264" s="45" t="n">
        <v>34486</v>
      </c>
      <c r="Q264" s="34" t="n">
        <f aca="false">IF(OR($A264="",P264=""),"",ROUND(YEARFRAC(P264,README!$C$5),1))</f>
        <v>32.2</v>
      </c>
      <c r="R264" s="39"/>
      <c r="S264" s="35" t="n">
        <v>6000</v>
      </c>
      <c r="T264" s="42"/>
      <c r="U264" s="35" t="n">
        <v>8710</v>
      </c>
      <c r="V264" s="43" t="str">
        <f aca="false">IF($A264="","",IF(OR(T264="",U264=""),"",U264-T264))</f>
        <v/>
      </c>
      <c r="W264" s="31" t="n">
        <v>1</v>
      </c>
      <c r="X264" s="6" t="n">
        <v>5</v>
      </c>
      <c r="Y264" s="41"/>
      <c r="Z264" s="6" t="s">
        <v>1172</v>
      </c>
      <c r="AA264" s="9" t="s">
        <v>528</v>
      </c>
      <c r="AB264" s="6" t="s">
        <v>1325</v>
      </c>
      <c r="AE264" s="37" t="n">
        <f aca="false">COUNTIF(環境認証!$A$2:$A$849,A264)</f>
        <v>1</v>
      </c>
      <c r="AG264" s="6" t="n">
        <v>45.2</v>
      </c>
    </row>
    <row r="265" customFormat="false" ht="15" hidden="false" customHeight="true" outlineLevel="0" collapsed="false">
      <c r="A265" s="6" t="s">
        <v>1355</v>
      </c>
      <c r="B265" s="6" t="s">
        <v>427</v>
      </c>
      <c r="C265" s="9" t="s">
        <v>1356</v>
      </c>
      <c r="D265" s="9" t="s">
        <v>1241</v>
      </c>
      <c r="E265" s="9" t="s">
        <v>596</v>
      </c>
      <c r="F265" s="9" t="s">
        <v>1160</v>
      </c>
      <c r="H265" s="6" t="s">
        <v>599</v>
      </c>
      <c r="J265" s="40"/>
      <c r="K265" s="32" t="n">
        <v>219.26</v>
      </c>
      <c r="L265" s="32" t="n">
        <v>1135.67</v>
      </c>
      <c r="M265" s="32" t="n">
        <v>1054.3</v>
      </c>
      <c r="N265" s="6" t="n">
        <v>8</v>
      </c>
      <c r="O265" s="6" t="n">
        <v>0</v>
      </c>
      <c r="P265" s="45" t="n">
        <v>44621</v>
      </c>
      <c r="Q265" s="34" t="n">
        <f aca="false">IF(OR($A265="",P265=""),"",ROUND(YEARFRAC(P265,README!$C$5),1))</f>
        <v>4.4</v>
      </c>
      <c r="R265" s="39"/>
      <c r="S265" s="35" t="n">
        <v>3310</v>
      </c>
      <c r="T265" s="42"/>
      <c r="U265" s="35" t="n">
        <v>3640</v>
      </c>
      <c r="V265" s="43" t="str">
        <f aca="false">IF($A265="","",IF(OR(T265="",U265=""),"",U265-T265))</f>
        <v/>
      </c>
      <c r="W265" s="31" t="n">
        <v>0.838</v>
      </c>
      <c r="X265" s="6" t="n">
        <v>5</v>
      </c>
      <c r="Y265" s="41"/>
      <c r="Z265" s="6" t="s">
        <v>1172</v>
      </c>
      <c r="AA265" s="9" t="s">
        <v>528</v>
      </c>
      <c r="AB265" s="6" t="s">
        <v>1357</v>
      </c>
      <c r="AE265" s="37" t="n">
        <f aca="false">COUNTIF(環境認証!$A$2:$A$849,A265)</f>
        <v>1</v>
      </c>
      <c r="AG265" s="6" t="n">
        <v>10</v>
      </c>
    </row>
    <row r="266" customFormat="false" ht="15" hidden="false" customHeight="true" outlineLevel="0" collapsed="false">
      <c r="A266" s="6" t="s">
        <v>1358</v>
      </c>
      <c r="B266" s="6" t="s">
        <v>427</v>
      </c>
      <c r="C266" s="9" t="s">
        <v>1359</v>
      </c>
      <c r="D266" s="9" t="s">
        <v>1316</v>
      </c>
      <c r="E266" s="9" t="s">
        <v>567</v>
      </c>
      <c r="F266" s="9" t="s">
        <v>676</v>
      </c>
      <c r="H266" s="9" t="s">
        <v>569</v>
      </c>
      <c r="J266" s="40"/>
      <c r="K266" s="32" t="n">
        <v>666.37</v>
      </c>
      <c r="L266" s="32" t="n">
        <v>5226.8</v>
      </c>
      <c r="M266" s="32" t="n">
        <v>5185.05</v>
      </c>
      <c r="N266" s="6" t="n">
        <v>12</v>
      </c>
      <c r="O266" s="6" t="n">
        <v>0</v>
      </c>
      <c r="P266" s="45" t="n">
        <v>41548</v>
      </c>
      <c r="Q266" s="34" t="n">
        <f aca="false">IF(OR($A266="",P266=""),"",ROUND(YEARFRAC(P266,README!$C$5),1))</f>
        <v>12.9</v>
      </c>
      <c r="R266" s="39"/>
      <c r="S266" s="35" t="n">
        <v>6500</v>
      </c>
      <c r="T266" s="42"/>
      <c r="U266" s="35" t="n">
        <v>6770</v>
      </c>
      <c r="V266" s="43" t="str">
        <f aca="false">IF($A266="","",IF(OR(T266="",U266=""),"",U266-T266))</f>
        <v/>
      </c>
      <c r="W266" s="31" t="n">
        <v>1</v>
      </c>
      <c r="X266" s="6" t="n">
        <v>3</v>
      </c>
      <c r="Y266" s="41"/>
      <c r="Z266" s="6" t="s">
        <v>1172</v>
      </c>
      <c r="AA266" s="9" t="s">
        <v>528</v>
      </c>
      <c r="AB266" s="6" t="s">
        <v>1360</v>
      </c>
      <c r="AE266" s="37" t="n">
        <f aca="false">COUNTIF(環境認証!$A$2:$A$849,A266)</f>
        <v>0</v>
      </c>
      <c r="AG266" s="6" t="n">
        <v>4.2</v>
      </c>
    </row>
    <row r="267" customFormat="false" ht="15" hidden="false" customHeight="true" outlineLevel="0" collapsed="false">
      <c r="A267" s="6" t="s">
        <v>1361</v>
      </c>
      <c r="B267" s="6" t="s">
        <v>427</v>
      </c>
      <c r="C267" s="9" t="s">
        <v>1362</v>
      </c>
      <c r="D267" s="9" t="s">
        <v>1241</v>
      </c>
      <c r="E267" s="9" t="s">
        <v>1363</v>
      </c>
      <c r="F267" s="9" t="s">
        <v>1364</v>
      </c>
      <c r="H267" s="9" t="s">
        <v>611</v>
      </c>
      <c r="J267" s="40"/>
      <c r="K267" s="38"/>
      <c r="L267" s="38"/>
      <c r="M267" s="38"/>
      <c r="P267" s="39"/>
      <c r="Q267" s="34" t="str">
        <f aca="false">IF(OR($A267="",P267=""),"",ROUND(YEARFRAC(P267,README!$C$5),1))</f>
        <v/>
      </c>
      <c r="R267" s="39"/>
      <c r="S267" s="42"/>
      <c r="T267" s="42"/>
      <c r="U267" s="42"/>
      <c r="V267" s="43" t="str">
        <f aca="false">IF($A267="","",IF(OR(T267="",U267=""),"",U267-T267))</f>
        <v/>
      </c>
      <c r="W267" s="40"/>
      <c r="Y267" s="41"/>
      <c r="Z267" s="6" t="s">
        <v>1172</v>
      </c>
      <c r="AA267" s="9" t="s">
        <v>528</v>
      </c>
      <c r="AB267" s="9" t="s">
        <v>1365</v>
      </c>
      <c r="AE267" s="37" t="n">
        <f aca="false">COUNTIF(環境認証!$A$2:$A$849,A267)</f>
        <v>0</v>
      </c>
    </row>
    <row r="268" customFormat="false" ht="15" hidden="false" customHeight="true" outlineLevel="0" collapsed="false">
      <c r="A268" s="6" t="s">
        <v>1366</v>
      </c>
      <c r="B268" s="6" t="s">
        <v>427</v>
      </c>
      <c r="C268" s="9" t="s">
        <v>1367</v>
      </c>
      <c r="D268" s="9" t="s">
        <v>1368</v>
      </c>
      <c r="H268" s="6" t="s">
        <v>619</v>
      </c>
      <c r="I268" s="6" t="s">
        <v>1369</v>
      </c>
      <c r="J268" s="40"/>
      <c r="K268" s="38"/>
      <c r="L268" s="38"/>
      <c r="M268" s="32" t="n">
        <v>488718.69</v>
      </c>
      <c r="P268" s="39"/>
      <c r="Q268" s="34" t="str">
        <f aca="false">IF(OR($A268="",P268=""),"",ROUND(YEARFRAC(P268,README!$C$5),1))</f>
        <v/>
      </c>
      <c r="R268" s="39"/>
      <c r="S268" s="35" t="n">
        <v>556828</v>
      </c>
      <c r="T268" s="35" t="n">
        <v>530874.042</v>
      </c>
      <c r="U268" s="35" t="n">
        <v>671024</v>
      </c>
      <c r="V268" s="43" t="n">
        <f aca="false">IF($A268="","",IF(OR(T268="",U268=""),"",U268-T268))</f>
        <v>140149.958</v>
      </c>
      <c r="W268" s="31" t="n">
        <v>0.992</v>
      </c>
      <c r="X268" s="6" t="n">
        <v>1263</v>
      </c>
      <c r="Y268" s="41"/>
      <c r="Z268" s="6" t="s">
        <v>1172</v>
      </c>
      <c r="AA268" s="44" t="s">
        <v>1168</v>
      </c>
      <c r="AB268" s="9" t="s">
        <v>1370</v>
      </c>
      <c r="AE268" s="37" t="n">
        <f aca="false">COUNTIF(環境認証!$A$2:$A$849,A268)</f>
        <v>0</v>
      </c>
    </row>
    <row r="269" customFormat="false" ht="15" hidden="false" customHeight="true" outlineLevel="0" collapsed="false">
      <c r="A269" s="6" t="s">
        <v>1371</v>
      </c>
      <c r="B269" s="6" t="s">
        <v>434</v>
      </c>
      <c r="C269" s="9" t="s">
        <v>1372</v>
      </c>
      <c r="D269" s="9" t="s">
        <v>1241</v>
      </c>
      <c r="E269" s="9" t="s">
        <v>523</v>
      </c>
      <c r="F269" s="9" t="s">
        <v>648</v>
      </c>
      <c r="H269" s="9" t="s">
        <v>525</v>
      </c>
      <c r="I269" s="9" t="s">
        <v>1373</v>
      </c>
      <c r="J269" s="40"/>
      <c r="K269" s="32" t="n">
        <v>784.26</v>
      </c>
      <c r="L269" s="32" t="n">
        <v>6675.52</v>
      </c>
      <c r="M269" s="32" t="n">
        <v>4493.54</v>
      </c>
      <c r="N269" s="6" t="n">
        <v>8</v>
      </c>
      <c r="O269" s="6" t="n">
        <v>3</v>
      </c>
      <c r="P269" s="45" t="n">
        <v>36434</v>
      </c>
      <c r="Q269" s="34" t="n">
        <f aca="false">IF(OR($A269="",P269=""),"",ROUND(YEARFRAC(P269,README!$C$5),1))</f>
        <v>26.9</v>
      </c>
      <c r="R269" s="39"/>
      <c r="S269" s="42"/>
      <c r="T269" s="35" t="n">
        <v>14446.296</v>
      </c>
      <c r="U269" s="35" t="n">
        <v>40700</v>
      </c>
      <c r="V269" s="35" t="n">
        <v>26254</v>
      </c>
      <c r="W269" s="31" t="n">
        <v>1</v>
      </c>
      <c r="X269" s="6" t="n">
        <v>2</v>
      </c>
      <c r="Y269" s="36" t="n">
        <v>2</v>
      </c>
      <c r="Z269" s="6" t="s">
        <v>1374</v>
      </c>
      <c r="AA269" s="9" t="s">
        <v>528</v>
      </c>
      <c r="AB269" s="9" t="s">
        <v>1375</v>
      </c>
      <c r="AE269" s="37" t="n">
        <f aca="false">COUNTIF(環境認証!$A$2:$A$849,A269)</f>
        <v>1</v>
      </c>
      <c r="AF269" s="6" t="n">
        <v>181.7</v>
      </c>
    </row>
    <row r="270" customFormat="false" ht="15" hidden="false" customHeight="true" outlineLevel="0" collapsed="false">
      <c r="A270" s="6" t="s">
        <v>1376</v>
      </c>
      <c r="B270" s="6" t="s">
        <v>434</v>
      </c>
      <c r="C270" s="9" t="s">
        <v>1377</v>
      </c>
      <c r="D270" s="9" t="s">
        <v>1241</v>
      </c>
      <c r="E270" s="9" t="s">
        <v>523</v>
      </c>
      <c r="F270" s="9" t="s">
        <v>532</v>
      </c>
      <c r="H270" s="9" t="s">
        <v>525</v>
      </c>
      <c r="J270" s="40"/>
      <c r="K270" s="32" t="n">
        <v>776.59</v>
      </c>
      <c r="L270" s="32" t="n">
        <v>2342.21</v>
      </c>
      <c r="M270" s="32" t="n">
        <v>2094.96</v>
      </c>
      <c r="N270" s="6" t="n">
        <v>4</v>
      </c>
      <c r="O270" s="6" t="n">
        <v>1</v>
      </c>
      <c r="P270" s="45" t="n">
        <v>35796</v>
      </c>
      <c r="Q270" s="34" t="n">
        <f aca="false">IF(OR($A270="",P270=""),"",ROUND(YEARFRAC(P270,README!$C$5),1))</f>
        <v>28.6</v>
      </c>
      <c r="R270" s="39"/>
      <c r="S270" s="42"/>
      <c r="T270" s="35" t="n">
        <v>4649.467</v>
      </c>
      <c r="U270" s="35" t="n">
        <v>6500</v>
      </c>
      <c r="V270" s="35" t="n">
        <v>1851</v>
      </c>
      <c r="W270" s="31" t="n">
        <v>1</v>
      </c>
      <c r="X270" s="6" t="n">
        <v>7</v>
      </c>
      <c r="Y270" s="36" t="n">
        <v>8</v>
      </c>
      <c r="Z270" s="6" t="s">
        <v>1374</v>
      </c>
      <c r="AA270" s="9" t="s">
        <v>528</v>
      </c>
      <c r="AB270" s="9" t="s">
        <v>1378</v>
      </c>
      <c r="AE270" s="37" t="n">
        <f aca="false">COUNTIF(環境認証!$A$2:$A$849,A270)</f>
        <v>1</v>
      </c>
      <c r="AF270" s="6" t="n">
        <v>39.8</v>
      </c>
    </row>
    <row r="271" customFormat="false" ht="15" hidden="false" customHeight="true" outlineLevel="0" collapsed="false">
      <c r="A271" s="6" t="s">
        <v>1379</v>
      </c>
      <c r="B271" s="6" t="s">
        <v>434</v>
      </c>
      <c r="C271" s="9" t="s">
        <v>1380</v>
      </c>
      <c r="D271" s="9" t="s">
        <v>1241</v>
      </c>
      <c r="E271" s="9" t="s">
        <v>523</v>
      </c>
      <c r="F271" s="9" t="s">
        <v>648</v>
      </c>
      <c r="H271" s="9" t="s">
        <v>525</v>
      </c>
      <c r="J271" s="40"/>
      <c r="K271" s="32" t="n">
        <v>1259.21</v>
      </c>
      <c r="L271" s="32" t="n">
        <v>3321.2</v>
      </c>
      <c r="M271" s="32" t="n">
        <v>2669.1</v>
      </c>
      <c r="N271" s="6" t="n">
        <v>4</v>
      </c>
      <c r="O271" s="6" t="n">
        <v>1</v>
      </c>
      <c r="P271" s="45" t="n">
        <v>31321</v>
      </c>
      <c r="Q271" s="34" t="n">
        <f aca="false">IF(OR($A271="",P271=""),"",ROUND(YEARFRAC(P271,README!$C$5),1))</f>
        <v>40.9</v>
      </c>
      <c r="R271" s="39"/>
      <c r="S271" s="42"/>
      <c r="T271" s="35" t="n">
        <v>5613.88</v>
      </c>
      <c r="U271" s="35" t="n">
        <v>8510</v>
      </c>
      <c r="V271" s="35" t="n">
        <v>2896</v>
      </c>
      <c r="W271" s="31" t="n">
        <v>1</v>
      </c>
      <c r="X271" s="6" t="n">
        <v>4</v>
      </c>
      <c r="Y271" s="36" t="n">
        <v>9.9</v>
      </c>
      <c r="Z271" s="6" t="s">
        <v>1374</v>
      </c>
      <c r="AA271" s="9" t="s">
        <v>528</v>
      </c>
      <c r="AB271" s="9" t="s">
        <v>1381</v>
      </c>
      <c r="AE271" s="37" t="n">
        <f aca="false">COUNTIF(環境認証!$A$2:$A$849,A271)</f>
        <v>1</v>
      </c>
      <c r="AF271" s="6" t="n">
        <v>51.6</v>
      </c>
    </row>
    <row r="272" customFormat="false" ht="15" hidden="false" customHeight="true" outlineLevel="0" collapsed="false">
      <c r="A272" s="6" t="s">
        <v>1382</v>
      </c>
      <c r="B272" s="6" t="s">
        <v>434</v>
      </c>
      <c r="C272" s="9" t="s">
        <v>1383</v>
      </c>
      <c r="D272" s="9" t="s">
        <v>1241</v>
      </c>
      <c r="E272" s="9" t="s">
        <v>523</v>
      </c>
      <c r="F272" s="9" t="s">
        <v>648</v>
      </c>
      <c r="H272" s="9" t="s">
        <v>525</v>
      </c>
      <c r="J272" s="40"/>
      <c r="K272" s="32" t="n">
        <v>679.27</v>
      </c>
      <c r="L272" s="32" t="n">
        <v>1529.49</v>
      </c>
      <c r="M272" s="32" t="n">
        <v>1547.13</v>
      </c>
      <c r="N272" s="6" t="n">
        <v>3</v>
      </c>
      <c r="O272" s="6" t="n">
        <v>0</v>
      </c>
      <c r="P272" s="45" t="n">
        <v>35977</v>
      </c>
      <c r="Q272" s="34" t="n">
        <f aca="false">IF(OR($A272="",P272=""),"",ROUND(YEARFRAC(P272,README!$C$5),1))</f>
        <v>28.1</v>
      </c>
      <c r="R272" s="39"/>
      <c r="S272" s="42"/>
      <c r="T272" s="35" t="n">
        <v>6536.073</v>
      </c>
      <c r="U272" s="35" t="n">
        <v>15300</v>
      </c>
      <c r="V272" s="35" t="n">
        <v>8764</v>
      </c>
      <c r="W272" s="31" t="n">
        <v>1</v>
      </c>
      <c r="X272" s="6" t="n">
        <v>2</v>
      </c>
      <c r="Y272" s="36" t="n">
        <v>8.5</v>
      </c>
      <c r="Z272" s="6" t="s">
        <v>1374</v>
      </c>
      <c r="AA272" s="9" t="s">
        <v>528</v>
      </c>
      <c r="AB272" s="9" t="s">
        <v>1384</v>
      </c>
      <c r="AE272" s="37" t="n">
        <f aca="false">COUNTIF(環境認証!$A$2:$A$849,A272)</f>
        <v>0</v>
      </c>
      <c r="AF272" s="6" t="n">
        <v>134.1</v>
      </c>
    </row>
    <row r="273" customFormat="false" ht="15" hidden="false" customHeight="true" outlineLevel="0" collapsed="false">
      <c r="A273" s="6" t="s">
        <v>1385</v>
      </c>
      <c r="B273" s="6" t="s">
        <v>434</v>
      </c>
      <c r="C273" s="9" t="s">
        <v>1386</v>
      </c>
      <c r="D273" s="9" t="s">
        <v>1241</v>
      </c>
      <c r="E273" s="9" t="s">
        <v>523</v>
      </c>
      <c r="F273" s="9" t="s">
        <v>648</v>
      </c>
      <c r="H273" s="9" t="s">
        <v>525</v>
      </c>
      <c r="J273" s="40"/>
      <c r="K273" s="32" t="n">
        <v>1705.35</v>
      </c>
      <c r="L273" s="32" t="n">
        <v>11847.87</v>
      </c>
      <c r="M273" s="32" t="n">
        <v>8295.62</v>
      </c>
      <c r="N273" s="6" t="n">
        <v>12</v>
      </c>
      <c r="O273" s="6" t="n">
        <v>2</v>
      </c>
      <c r="P273" s="45" t="n">
        <v>38231</v>
      </c>
      <c r="Q273" s="34" t="n">
        <f aca="false">IF(OR($A273="",P273=""),"",ROUND(YEARFRAC(P273,README!$C$5),1))</f>
        <v>21.9</v>
      </c>
      <c r="R273" s="39"/>
      <c r="S273" s="42"/>
      <c r="T273" s="35" t="n">
        <v>20374.98</v>
      </c>
      <c r="U273" s="35" t="n">
        <v>23900</v>
      </c>
      <c r="V273" s="35" t="n">
        <v>3525</v>
      </c>
      <c r="W273" s="31" t="n">
        <v>1</v>
      </c>
      <c r="X273" s="6" t="n">
        <v>15</v>
      </c>
      <c r="Y273" s="36" t="n">
        <v>1.8</v>
      </c>
      <c r="Z273" s="6" t="s">
        <v>1374</v>
      </c>
      <c r="AA273" s="9" t="s">
        <v>528</v>
      </c>
      <c r="AB273" s="9" t="s">
        <v>1387</v>
      </c>
      <c r="AE273" s="37" t="n">
        <f aca="false">COUNTIF(環境認証!$A$2:$A$849,A273)</f>
        <v>1</v>
      </c>
      <c r="AF273" s="6" t="n">
        <v>17.3</v>
      </c>
    </row>
    <row r="274" customFormat="false" ht="15" hidden="false" customHeight="true" outlineLevel="0" collapsed="false">
      <c r="A274" s="6" t="s">
        <v>1388</v>
      </c>
      <c r="B274" s="6" t="s">
        <v>434</v>
      </c>
      <c r="C274" s="9" t="s">
        <v>1389</v>
      </c>
      <c r="D274" s="9" t="s">
        <v>1241</v>
      </c>
      <c r="E274" s="9" t="s">
        <v>523</v>
      </c>
      <c r="F274" s="9" t="s">
        <v>906</v>
      </c>
      <c r="H274" s="9" t="s">
        <v>540</v>
      </c>
      <c r="J274" s="40"/>
      <c r="K274" s="32" t="n">
        <v>575.54</v>
      </c>
      <c r="L274" s="32" t="n">
        <v>1272.6</v>
      </c>
      <c r="M274" s="32" t="n">
        <v>1231.8</v>
      </c>
      <c r="N274" s="6" t="n">
        <v>5</v>
      </c>
      <c r="O274" s="6" t="n">
        <v>0</v>
      </c>
      <c r="P274" s="45" t="n">
        <v>37226</v>
      </c>
      <c r="Q274" s="34" t="n">
        <f aca="false">IF(OR($A274="",P274=""),"",ROUND(YEARFRAC(P274,README!$C$5),1))</f>
        <v>24.7</v>
      </c>
      <c r="R274" s="39"/>
      <c r="S274" s="42"/>
      <c r="T274" s="35" t="n">
        <v>3171.533</v>
      </c>
      <c r="U274" s="35" t="n">
        <v>3640</v>
      </c>
      <c r="V274" s="35" t="n">
        <v>468</v>
      </c>
      <c r="W274" s="31" t="n">
        <v>1</v>
      </c>
      <c r="X274" s="6" t="n">
        <v>5</v>
      </c>
      <c r="Y274" s="36" t="n">
        <v>5.8</v>
      </c>
      <c r="Z274" s="6" t="s">
        <v>1374</v>
      </c>
      <c r="AA274" s="9" t="s">
        <v>528</v>
      </c>
      <c r="AB274" s="9" t="s">
        <v>1390</v>
      </c>
      <c r="AE274" s="37" t="n">
        <f aca="false">COUNTIF(環境認証!$A$2:$A$849,A274)</f>
        <v>1</v>
      </c>
      <c r="AF274" s="6" t="n">
        <v>14.8</v>
      </c>
    </row>
    <row r="275" customFormat="false" ht="15" hidden="false" customHeight="true" outlineLevel="0" collapsed="false">
      <c r="A275" s="6" t="s">
        <v>1391</v>
      </c>
      <c r="B275" s="6" t="s">
        <v>434</v>
      </c>
      <c r="C275" s="9" t="s">
        <v>1392</v>
      </c>
      <c r="D275" s="9" t="s">
        <v>522</v>
      </c>
      <c r="E275" s="9" t="s">
        <v>523</v>
      </c>
      <c r="F275" s="9" t="s">
        <v>648</v>
      </c>
      <c r="H275" s="9" t="s">
        <v>525</v>
      </c>
      <c r="J275" s="40"/>
      <c r="K275" s="32" t="n">
        <v>2013.28</v>
      </c>
      <c r="L275" s="32" t="n">
        <v>7003.88</v>
      </c>
      <c r="M275" s="32" t="n">
        <v>7148.18</v>
      </c>
      <c r="N275" s="6" t="n">
        <v>5</v>
      </c>
      <c r="O275" s="6" t="n">
        <v>2</v>
      </c>
      <c r="P275" s="45" t="n">
        <v>33786</v>
      </c>
      <c r="Q275" s="34" t="n">
        <f aca="false">IF(OR($A275="",P275=""),"",ROUND(YEARFRAC(P275,README!$C$5),1))</f>
        <v>34.1</v>
      </c>
      <c r="R275" s="39"/>
      <c r="S275" s="42"/>
      <c r="T275" s="35" t="n">
        <v>4182.607</v>
      </c>
      <c r="U275" s="35" t="n">
        <v>8270</v>
      </c>
      <c r="V275" s="35" t="n">
        <v>4087</v>
      </c>
      <c r="W275" s="31" t="n">
        <v>1</v>
      </c>
      <c r="X275" s="6" t="n">
        <v>1</v>
      </c>
      <c r="Y275" s="36" t="n">
        <v>6.4</v>
      </c>
      <c r="Z275" s="6" t="s">
        <v>1374</v>
      </c>
      <c r="AA275" s="9" t="s">
        <v>528</v>
      </c>
      <c r="AB275" s="9" t="s">
        <v>1393</v>
      </c>
      <c r="AE275" s="37" t="n">
        <f aca="false">COUNTIF(環境認証!$A$2:$A$849,A275)</f>
        <v>2</v>
      </c>
      <c r="AF275" s="6" t="n">
        <v>97.7</v>
      </c>
    </row>
    <row r="276" customFormat="false" ht="15" hidden="false" customHeight="true" outlineLevel="0" collapsed="false">
      <c r="A276" s="6" t="s">
        <v>1394</v>
      </c>
      <c r="B276" s="6" t="s">
        <v>434</v>
      </c>
      <c r="C276" s="9" t="s">
        <v>1395</v>
      </c>
      <c r="D276" s="9" t="s">
        <v>522</v>
      </c>
      <c r="E276" s="9" t="s">
        <v>523</v>
      </c>
      <c r="F276" s="9" t="s">
        <v>648</v>
      </c>
      <c r="H276" s="9" t="s">
        <v>525</v>
      </c>
      <c r="I276" s="9" t="s">
        <v>1396</v>
      </c>
      <c r="J276" s="40"/>
      <c r="K276" s="32" t="n">
        <v>1013.03</v>
      </c>
      <c r="L276" s="32" t="n">
        <v>6505.39</v>
      </c>
      <c r="M276" s="32" t="n">
        <v>4737.19</v>
      </c>
      <c r="N276" s="6" t="n">
        <v>9</v>
      </c>
      <c r="O276" s="6" t="n">
        <v>3</v>
      </c>
      <c r="P276" s="45" t="n">
        <v>31929</v>
      </c>
      <c r="Q276" s="34" t="n">
        <f aca="false">IF(OR($A276="",P276=""),"",ROUND(YEARFRAC(P276,README!$C$5),1))</f>
        <v>39.2</v>
      </c>
      <c r="R276" s="39"/>
      <c r="S276" s="42"/>
      <c r="T276" s="35" t="n">
        <v>6200.049</v>
      </c>
      <c r="U276" s="35" t="n">
        <v>12800</v>
      </c>
      <c r="V276" s="35" t="n">
        <v>6600</v>
      </c>
      <c r="W276" s="31" t="n">
        <v>1</v>
      </c>
      <c r="X276" s="6" t="n">
        <v>2</v>
      </c>
      <c r="Y276" s="36" t="n">
        <v>3.8</v>
      </c>
      <c r="Z276" s="6" t="s">
        <v>1374</v>
      </c>
      <c r="AA276" s="9" t="s">
        <v>528</v>
      </c>
      <c r="AB276" s="9" t="s">
        <v>1397</v>
      </c>
      <c r="AE276" s="37" t="n">
        <f aca="false">COUNTIF(環境認証!$A$2:$A$849,A276)</f>
        <v>2</v>
      </c>
      <c r="AF276" s="6" t="n">
        <v>106.4</v>
      </c>
    </row>
    <row r="277" customFormat="false" ht="15" hidden="false" customHeight="true" outlineLevel="0" collapsed="false">
      <c r="A277" s="6" t="s">
        <v>1398</v>
      </c>
      <c r="B277" s="6" t="s">
        <v>434</v>
      </c>
      <c r="C277" s="9" t="s">
        <v>1399</v>
      </c>
      <c r="D277" s="9" t="s">
        <v>522</v>
      </c>
      <c r="E277" s="9" t="s">
        <v>523</v>
      </c>
      <c r="F277" s="9" t="s">
        <v>1312</v>
      </c>
      <c r="H277" s="9" t="s">
        <v>540</v>
      </c>
      <c r="J277" s="40"/>
      <c r="K277" s="32" t="n">
        <v>1642.86</v>
      </c>
      <c r="L277" s="32" t="n">
        <v>10244.51</v>
      </c>
      <c r="M277" s="32" t="n">
        <v>7337.82</v>
      </c>
      <c r="N277" s="6" t="n">
        <v>9</v>
      </c>
      <c r="O277" s="6" t="n">
        <v>1</v>
      </c>
      <c r="P277" s="45" t="n">
        <v>33635</v>
      </c>
      <c r="Q277" s="34" t="n">
        <f aca="false">IF(OR($A277="",P277=""),"",ROUND(YEARFRAC(P277,README!$C$5),1))</f>
        <v>34.5</v>
      </c>
      <c r="R277" s="39"/>
      <c r="S277" s="42"/>
      <c r="T277" s="35" t="n">
        <v>3718.04</v>
      </c>
      <c r="U277" s="35" t="n">
        <v>6220</v>
      </c>
      <c r="V277" s="35" t="n">
        <v>2502</v>
      </c>
      <c r="W277" s="31" t="n">
        <v>1</v>
      </c>
      <c r="X277" s="6" t="n">
        <v>5</v>
      </c>
      <c r="Y277" s="36" t="n">
        <v>4.9</v>
      </c>
      <c r="Z277" s="6" t="s">
        <v>1374</v>
      </c>
      <c r="AA277" s="9" t="s">
        <v>528</v>
      </c>
      <c r="AB277" s="9" t="s">
        <v>1400</v>
      </c>
      <c r="AE277" s="37" t="n">
        <f aca="false">COUNTIF(環境認証!$A$2:$A$849,A277)</f>
        <v>2</v>
      </c>
      <c r="AF277" s="6" t="n">
        <v>67.3</v>
      </c>
    </row>
    <row r="278" customFormat="false" ht="15" hidden="false" customHeight="true" outlineLevel="0" collapsed="false">
      <c r="A278" s="6" t="s">
        <v>1401</v>
      </c>
      <c r="B278" s="6" t="s">
        <v>434</v>
      </c>
      <c r="C278" s="9" t="s">
        <v>1402</v>
      </c>
      <c r="D278" s="9" t="s">
        <v>522</v>
      </c>
      <c r="E278" s="9" t="s">
        <v>523</v>
      </c>
      <c r="F278" s="9" t="s">
        <v>532</v>
      </c>
      <c r="H278" s="9" t="s">
        <v>525</v>
      </c>
      <c r="I278" s="9" t="s">
        <v>1403</v>
      </c>
      <c r="J278" s="40"/>
      <c r="K278" s="32" t="n">
        <v>1730.1</v>
      </c>
      <c r="L278" s="32" t="n">
        <v>15343.73</v>
      </c>
      <c r="M278" s="32" t="n">
        <v>4095.22</v>
      </c>
      <c r="N278" s="6" t="n">
        <v>9</v>
      </c>
      <c r="O278" s="6" t="n">
        <v>2</v>
      </c>
      <c r="P278" s="45" t="n">
        <v>32234</v>
      </c>
      <c r="Q278" s="34" t="n">
        <f aca="false">IF(OR($A278="",P278=""),"",ROUND(YEARFRAC(P278,README!$C$5),1))</f>
        <v>38.4</v>
      </c>
      <c r="R278" s="39"/>
      <c r="S278" s="42"/>
      <c r="T278" s="35" t="n">
        <v>3841.831</v>
      </c>
      <c r="U278" s="35" t="n">
        <v>5770</v>
      </c>
      <c r="V278" s="35" t="n">
        <v>1928</v>
      </c>
      <c r="W278" s="31" t="n">
        <v>1</v>
      </c>
      <c r="X278" s="6" t="n">
        <v>10</v>
      </c>
      <c r="Y278" s="36" t="n">
        <v>3.2</v>
      </c>
      <c r="Z278" s="6" t="s">
        <v>1374</v>
      </c>
      <c r="AA278" s="9" t="s">
        <v>528</v>
      </c>
      <c r="AB278" s="9" t="s">
        <v>1404</v>
      </c>
      <c r="AE278" s="37" t="n">
        <f aca="false">COUNTIF(環境認証!$A$2:$A$849,A278)</f>
        <v>0</v>
      </c>
      <c r="AF278" s="6" t="n">
        <v>50.2</v>
      </c>
    </row>
    <row r="279" customFormat="false" ht="15" hidden="false" customHeight="true" outlineLevel="0" collapsed="false">
      <c r="A279" s="6" t="s">
        <v>1405</v>
      </c>
      <c r="B279" s="6" t="s">
        <v>434</v>
      </c>
      <c r="C279" s="9" t="s">
        <v>1406</v>
      </c>
      <c r="D279" s="9" t="s">
        <v>522</v>
      </c>
      <c r="E279" s="9" t="s">
        <v>523</v>
      </c>
      <c r="F279" s="9" t="s">
        <v>906</v>
      </c>
      <c r="H279" s="9" t="s">
        <v>540</v>
      </c>
      <c r="J279" s="40"/>
      <c r="K279" s="32" t="n">
        <v>2382.67</v>
      </c>
      <c r="L279" s="32" t="n">
        <v>7619.56</v>
      </c>
      <c r="M279" s="32" t="n">
        <v>5710.32</v>
      </c>
      <c r="N279" s="6" t="n">
        <v>7</v>
      </c>
      <c r="O279" s="6" t="n">
        <v>0</v>
      </c>
      <c r="P279" s="45" t="n">
        <v>32782</v>
      </c>
      <c r="Q279" s="34" t="n">
        <f aca="false">IF(OR($A279="",P279=""),"",ROUND(YEARFRAC(P279,README!$C$5),1))</f>
        <v>36.9</v>
      </c>
      <c r="R279" s="39"/>
      <c r="S279" s="42"/>
      <c r="T279" s="35" t="n">
        <v>5244.136</v>
      </c>
      <c r="U279" s="35" t="n">
        <v>6680</v>
      </c>
      <c r="V279" s="35" t="n">
        <v>1436</v>
      </c>
      <c r="W279" s="31" t="n">
        <v>1</v>
      </c>
      <c r="X279" s="6" t="n">
        <v>6</v>
      </c>
      <c r="Y279" s="36" t="n">
        <v>3.8</v>
      </c>
      <c r="Z279" s="6" t="s">
        <v>1374</v>
      </c>
      <c r="AA279" s="9" t="s">
        <v>528</v>
      </c>
      <c r="AB279" s="9" t="s">
        <v>1407</v>
      </c>
      <c r="AE279" s="37" t="n">
        <f aca="false">COUNTIF(環境認証!$A$2:$A$849,A279)</f>
        <v>1</v>
      </c>
      <c r="AF279" s="6" t="n">
        <v>27.4</v>
      </c>
    </row>
    <row r="280" customFormat="false" ht="15" hidden="false" customHeight="true" outlineLevel="0" collapsed="false">
      <c r="A280" s="6" t="s">
        <v>1408</v>
      </c>
      <c r="B280" s="6" t="s">
        <v>434</v>
      </c>
      <c r="C280" s="9" t="s">
        <v>1409</v>
      </c>
      <c r="D280" s="9" t="s">
        <v>522</v>
      </c>
      <c r="E280" s="9" t="s">
        <v>523</v>
      </c>
      <c r="F280" s="9" t="s">
        <v>524</v>
      </c>
      <c r="H280" s="9" t="s">
        <v>525</v>
      </c>
      <c r="J280" s="40"/>
      <c r="K280" s="32" t="n">
        <v>1269.24</v>
      </c>
      <c r="L280" s="32" t="n">
        <v>6803.47</v>
      </c>
      <c r="M280" s="32" t="n">
        <v>5409.07</v>
      </c>
      <c r="N280" s="6" t="n">
        <v>7</v>
      </c>
      <c r="O280" s="6" t="n">
        <v>1</v>
      </c>
      <c r="P280" s="45" t="n">
        <v>37622</v>
      </c>
      <c r="Q280" s="34" t="n">
        <f aca="false">IF(OR($A280="",P280=""),"",ROUND(YEARFRAC(P280,README!$C$5),1))</f>
        <v>23.6</v>
      </c>
      <c r="R280" s="39"/>
      <c r="S280" s="42"/>
      <c r="T280" s="35" t="n">
        <v>8173.016</v>
      </c>
      <c r="U280" s="35" t="n">
        <v>10600</v>
      </c>
      <c r="V280" s="35" t="n">
        <v>2427</v>
      </c>
      <c r="W280" s="31" t="n">
        <v>1</v>
      </c>
      <c r="X280" s="6" t="n">
        <v>9</v>
      </c>
      <c r="Y280" s="36" t="n">
        <v>3.3</v>
      </c>
      <c r="Z280" s="6" t="s">
        <v>1374</v>
      </c>
      <c r="AA280" s="9" t="s">
        <v>528</v>
      </c>
      <c r="AB280" s="9" t="s">
        <v>1410</v>
      </c>
      <c r="AE280" s="37" t="n">
        <f aca="false">COUNTIF(環境認証!$A$2:$A$849,A280)</f>
        <v>2</v>
      </c>
      <c r="AF280" s="6" t="n">
        <v>29.7</v>
      </c>
    </row>
    <row r="281" customFormat="false" ht="15" hidden="false" customHeight="true" outlineLevel="0" collapsed="false">
      <c r="A281" s="6" t="s">
        <v>1411</v>
      </c>
      <c r="B281" s="6" t="s">
        <v>434</v>
      </c>
      <c r="C281" s="9" t="s">
        <v>1412</v>
      </c>
      <c r="D281" s="9" t="s">
        <v>522</v>
      </c>
      <c r="E281" s="9" t="s">
        <v>523</v>
      </c>
      <c r="F281" s="9" t="s">
        <v>806</v>
      </c>
      <c r="H281" s="9" t="s">
        <v>525</v>
      </c>
      <c r="J281" s="40"/>
      <c r="K281" s="32" t="n">
        <v>1113.87</v>
      </c>
      <c r="L281" s="32" t="n">
        <v>8720.09</v>
      </c>
      <c r="M281" s="32" t="n">
        <v>6273.51</v>
      </c>
      <c r="N281" s="6" t="n">
        <v>10</v>
      </c>
      <c r="O281" s="6" t="n">
        <v>0</v>
      </c>
      <c r="P281" s="45" t="n">
        <v>37742</v>
      </c>
      <c r="Q281" s="34" t="n">
        <f aca="false">IF(OR($A281="",P281=""),"",ROUND(YEARFRAC(P281,README!$C$5),1))</f>
        <v>23.3</v>
      </c>
      <c r="R281" s="39"/>
      <c r="S281" s="42"/>
      <c r="T281" s="35" t="n">
        <v>8952.155</v>
      </c>
      <c r="U281" s="35" t="n">
        <v>13600</v>
      </c>
      <c r="V281" s="35" t="n">
        <v>4648</v>
      </c>
      <c r="W281" s="31" t="n">
        <v>1</v>
      </c>
      <c r="X281" s="6" t="n">
        <v>7</v>
      </c>
      <c r="Y281" s="36" t="n">
        <v>3.9</v>
      </c>
      <c r="Z281" s="6" t="s">
        <v>1374</v>
      </c>
      <c r="AA281" s="9" t="s">
        <v>528</v>
      </c>
      <c r="AB281" s="9" t="s">
        <v>1413</v>
      </c>
      <c r="AE281" s="37" t="n">
        <f aca="false">COUNTIF(環境認証!$A$2:$A$849,A281)</f>
        <v>1</v>
      </c>
      <c r="AF281" s="6" t="n">
        <v>51.9</v>
      </c>
    </row>
    <row r="282" customFormat="false" ht="15" hidden="false" customHeight="true" outlineLevel="0" collapsed="false">
      <c r="A282" s="6" t="s">
        <v>1414</v>
      </c>
      <c r="B282" s="6" t="s">
        <v>434</v>
      </c>
      <c r="C282" s="9" t="s">
        <v>1415</v>
      </c>
      <c r="D282" s="9" t="s">
        <v>522</v>
      </c>
      <c r="E282" s="9" t="s">
        <v>523</v>
      </c>
      <c r="F282" s="9" t="s">
        <v>524</v>
      </c>
      <c r="H282" s="9" t="s">
        <v>525</v>
      </c>
      <c r="I282" s="9" t="s">
        <v>1396</v>
      </c>
      <c r="J282" s="40"/>
      <c r="K282" s="32" t="n">
        <v>795.33</v>
      </c>
      <c r="L282" s="32" t="n">
        <v>5704.69</v>
      </c>
      <c r="M282" s="32" t="n">
        <v>4426.65</v>
      </c>
      <c r="N282" s="6" t="n">
        <v>8</v>
      </c>
      <c r="O282" s="6" t="n">
        <v>1</v>
      </c>
      <c r="P282" s="45" t="n">
        <v>31291</v>
      </c>
      <c r="Q282" s="34" t="n">
        <f aca="false">IF(OR($A282="",P282=""),"",ROUND(YEARFRAC(P282,README!$C$5),1))</f>
        <v>40.9</v>
      </c>
      <c r="R282" s="39"/>
      <c r="S282" s="42"/>
      <c r="T282" s="35" t="n">
        <v>4731.715</v>
      </c>
      <c r="U282" s="35" t="n">
        <v>7300</v>
      </c>
      <c r="V282" s="35" t="n">
        <v>2568</v>
      </c>
      <c r="W282" s="31" t="n">
        <v>1</v>
      </c>
      <c r="X282" s="6" t="n">
        <v>7</v>
      </c>
      <c r="Y282" s="36" t="n">
        <v>6.2</v>
      </c>
      <c r="Z282" s="6" t="s">
        <v>1374</v>
      </c>
      <c r="AA282" s="9" t="s">
        <v>528</v>
      </c>
      <c r="AB282" s="9" t="s">
        <v>1416</v>
      </c>
      <c r="AE282" s="37" t="n">
        <f aca="false">COUNTIF(環境認証!$A$2:$A$849,A282)</f>
        <v>1</v>
      </c>
      <c r="AF282" s="6" t="n">
        <v>54.3</v>
      </c>
    </row>
    <row r="283" customFormat="false" ht="15" hidden="false" customHeight="true" outlineLevel="0" collapsed="false">
      <c r="A283" s="6" t="s">
        <v>1417</v>
      </c>
      <c r="B283" s="6" t="s">
        <v>434</v>
      </c>
      <c r="C283" s="9" t="s">
        <v>1418</v>
      </c>
      <c r="D283" s="9" t="s">
        <v>522</v>
      </c>
      <c r="E283" s="9" t="s">
        <v>523</v>
      </c>
      <c r="F283" s="9" t="s">
        <v>648</v>
      </c>
      <c r="H283" s="9" t="s">
        <v>525</v>
      </c>
      <c r="I283" s="9" t="s">
        <v>1419</v>
      </c>
      <c r="J283" s="40"/>
      <c r="K283" s="32" t="n">
        <v>1077.45</v>
      </c>
      <c r="L283" s="32" t="n">
        <v>7289.38</v>
      </c>
      <c r="M283" s="32" t="n">
        <v>5246.68</v>
      </c>
      <c r="N283" s="6" t="n">
        <v>9</v>
      </c>
      <c r="O283" s="6" t="n">
        <v>1</v>
      </c>
      <c r="P283" s="45" t="n">
        <v>32933</v>
      </c>
      <c r="Q283" s="34" t="n">
        <f aca="false">IF(OR($A283="",P283=""),"",ROUND(YEARFRAC(P283,README!$C$5),1))</f>
        <v>36.4</v>
      </c>
      <c r="R283" s="39"/>
      <c r="S283" s="42"/>
      <c r="T283" s="35" t="n">
        <v>5267.504</v>
      </c>
      <c r="U283" s="35" t="n">
        <v>10400</v>
      </c>
      <c r="V283" s="35" t="n">
        <v>5132</v>
      </c>
      <c r="W283" s="31" t="n">
        <v>0.877</v>
      </c>
      <c r="X283" s="6" t="n">
        <v>11</v>
      </c>
      <c r="Y283" s="36" t="n">
        <v>3.1</v>
      </c>
      <c r="Z283" s="6" t="s">
        <v>1374</v>
      </c>
      <c r="AA283" s="9" t="s">
        <v>528</v>
      </c>
      <c r="AB283" s="9" t="s">
        <v>1420</v>
      </c>
      <c r="AE283" s="37" t="n">
        <f aca="false">COUNTIF(環境認証!$A$2:$A$849,A283)</f>
        <v>0</v>
      </c>
      <c r="AF283" s="6" t="n">
        <v>97.4</v>
      </c>
    </row>
    <row r="284" customFormat="false" ht="15" hidden="false" customHeight="true" outlineLevel="0" collapsed="false">
      <c r="A284" s="6" t="s">
        <v>1421</v>
      </c>
      <c r="B284" s="6" t="s">
        <v>434</v>
      </c>
      <c r="C284" s="9" t="s">
        <v>1422</v>
      </c>
      <c r="D284" s="9" t="s">
        <v>522</v>
      </c>
      <c r="E284" s="9" t="s">
        <v>523</v>
      </c>
      <c r="F284" s="9" t="s">
        <v>532</v>
      </c>
      <c r="H284" s="9" t="s">
        <v>525</v>
      </c>
      <c r="J284" s="40"/>
      <c r="K284" s="32" t="n">
        <v>2021.77</v>
      </c>
      <c r="L284" s="32" t="n">
        <v>14033.73</v>
      </c>
      <c r="M284" s="32" t="n">
        <v>11029.27</v>
      </c>
      <c r="N284" s="6" t="n">
        <v>10</v>
      </c>
      <c r="O284" s="6" t="n">
        <v>0</v>
      </c>
      <c r="P284" s="45" t="n">
        <v>40269</v>
      </c>
      <c r="Q284" s="34" t="n">
        <f aca="false">IF(OR($A284="",P284=""),"",ROUND(YEARFRAC(P284,README!$C$5),1))</f>
        <v>16.4</v>
      </c>
      <c r="R284" s="39"/>
      <c r="S284" s="42"/>
      <c r="T284" s="35" t="n">
        <v>16716.112</v>
      </c>
      <c r="U284" s="35" t="n">
        <v>26100</v>
      </c>
      <c r="V284" s="35" t="n">
        <v>9384</v>
      </c>
      <c r="W284" s="31" t="n">
        <v>1</v>
      </c>
      <c r="X284" s="6" t="n">
        <v>13</v>
      </c>
      <c r="Y284" s="36" t="n">
        <v>2.4</v>
      </c>
      <c r="Z284" s="6" t="s">
        <v>1374</v>
      </c>
      <c r="AA284" s="9" t="s">
        <v>528</v>
      </c>
      <c r="AB284" s="9" t="s">
        <v>1423</v>
      </c>
      <c r="AE284" s="37" t="n">
        <f aca="false">COUNTIF(環境認証!$A$2:$A$849,A284)</f>
        <v>1</v>
      </c>
      <c r="AF284" s="6" t="n">
        <v>56.1</v>
      </c>
    </row>
    <row r="285" customFormat="false" ht="15" hidden="false" customHeight="true" outlineLevel="0" collapsed="false">
      <c r="A285" s="6" t="s">
        <v>1424</v>
      </c>
      <c r="B285" s="6" t="s">
        <v>434</v>
      </c>
      <c r="C285" s="9" t="s">
        <v>1425</v>
      </c>
      <c r="D285" s="9" t="s">
        <v>522</v>
      </c>
      <c r="E285" s="9" t="s">
        <v>523</v>
      </c>
      <c r="F285" s="9" t="s">
        <v>806</v>
      </c>
      <c r="H285" s="9" t="s">
        <v>525</v>
      </c>
      <c r="J285" s="40"/>
      <c r="K285" s="32" t="n">
        <v>270.05</v>
      </c>
      <c r="L285" s="32" t="n">
        <v>2006.13</v>
      </c>
      <c r="M285" s="32" t="n">
        <v>1790.46</v>
      </c>
      <c r="N285" s="6" t="n">
        <v>10</v>
      </c>
      <c r="O285" s="6" t="n">
        <v>0</v>
      </c>
      <c r="P285" s="45" t="n">
        <v>33573</v>
      </c>
      <c r="Q285" s="34" t="n">
        <f aca="false">IF(OR($A285="",P285=""),"",ROUND(YEARFRAC(P285,README!$C$5),1))</f>
        <v>34.7</v>
      </c>
      <c r="R285" s="39"/>
      <c r="S285" s="42"/>
      <c r="T285" s="35" t="n">
        <v>2917.735</v>
      </c>
      <c r="U285" s="35" t="n">
        <v>3400</v>
      </c>
      <c r="V285" s="35" t="n">
        <v>482</v>
      </c>
      <c r="W285" s="31" t="n">
        <v>1</v>
      </c>
      <c r="X285" s="6" t="n">
        <v>2</v>
      </c>
      <c r="Y285" s="36" t="n">
        <v>3.6</v>
      </c>
      <c r="Z285" s="6" t="s">
        <v>1374</v>
      </c>
      <c r="AA285" s="9" t="s">
        <v>528</v>
      </c>
      <c r="AB285" s="9" t="s">
        <v>1426</v>
      </c>
      <c r="AE285" s="37" t="n">
        <f aca="false">COUNTIF(環境認証!$A$2:$A$849,A285)</f>
        <v>1</v>
      </c>
      <c r="AF285" s="6" t="n">
        <v>16.5</v>
      </c>
    </row>
    <row r="286" customFormat="false" ht="15" hidden="false" customHeight="true" outlineLevel="0" collapsed="false">
      <c r="A286" s="6" t="s">
        <v>1427</v>
      </c>
      <c r="B286" s="6" t="s">
        <v>434</v>
      </c>
      <c r="C286" s="9" t="s">
        <v>1428</v>
      </c>
      <c r="D286" s="9" t="s">
        <v>522</v>
      </c>
      <c r="E286" s="9" t="s">
        <v>523</v>
      </c>
      <c r="F286" s="9" t="s">
        <v>524</v>
      </c>
      <c r="H286" s="9" t="s">
        <v>525</v>
      </c>
      <c r="I286" s="9" t="s">
        <v>1429</v>
      </c>
      <c r="J286" s="40"/>
      <c r="K286" s="32" t="n">
        <v>2756.41</v>
      </c>
      <c r="L286" s="32" t="n">
        <v>15834.55</v>
      </c>
      <c r="M286" s="32" t="n">
        <v>11668.25</v>
      </c>
      <c r="N286" s="6" t="n">
        <v>11</v>
      </c>
      <c r="O286" s="6" t="n">
        <v>0</v>
      </c>
      <c r="P286" s="45" t="n">
        <v>40787</v>
      </c>
      <c r="Q286" s="34" t="n">
        <f aca="false">IF(OR($A286="",P286=""),"",ROUND(YEARFRAC(P286,README!$C$5),1))</f>
        <v>14.9</v>
      </c>
      <c r="R286" s="39"/>
      <c r="S286" s="42"/>
      <c r="T286" s="35" t="n">
        <v>26993.433</v>
      </c>
      <c r="U286" s="35" t="n">
        <v>31000</v>
      </c>
      <c r="V286" s="35" t="n">
        <v>4007</v>
      </c>
      <c r="W286" s="31" t="n">
        <v>1</v>
      </c>
      <c r="X286" s="6" t="n">
        <v>6</v>
      </c>
      <c r="Y286" s="36" t="n">
        <v>2</v>
      </c>
      <c r="Z286" s="6" t="s">
        <v>1374</v>
      </c>
      <c r="AA286" s="9" t="s">
        <v>528</v>
      </c>
      <c r="AB286" s="9" t="s">
        <v>1430</v>
      </c>
      <c r="AE286" s="37" t="n">
        <f aca="false">COUNTIF(環境認証!$A$2:$A$849,A286)</f>
        <v>1</v>
      </c>
      <c r="AF286" s="6" t="n">
        <v>14.8</v>
      </c>
    </row>
    <row r="287" customFormat="false" ht="15" hidden="false" customHeight="true" outlineLevel="0" collapsed="false">
      <c r="A287" s="6" t="s">
        <v>1431</v>
      </c>
      <c r="B287" s="6" t="s">
        <v>434</v>
      </c>
      <c r="C287" s="9" t="s">
        <v>1432</v>
      </c>
      <c r="D287" s="9" t="s">
        <v>522</v>
      </c>
      <c r="E287" s="9" t="s">
        <v>523</v>
      </c>
      <c r="F287" s="9" t="s">
        <v>648</v>
      </c>
      <c r="H287" s="9" t="s">
        <v>525</v>
      </c>
      <c r="J287" s="40"/>
      <c r="K287" s="32" t="n">
        <v>478.4</v>
      </c>
      <c r="L287" s="32" t="n">
        <v>2603.3</v>
      </c>
      <c r="M287" s="32" t="n">
        <v>1872.8</v>
      </c>
      <c r="N287" s="6" t="n">
        <v>7</v>
      </c>
      <c r="O287" s="6" t="n">
        <v>1</v>
      </c>
      <c r="P287" s="45" t="n">
        <v>33695</v>
      </c>
      <c r="Q287" s="34" t="n">
        <f aca="false">IF(OR($A287="",P287=""),"",ROUND(YEARFRAC(P287,README!$C$5),1))</f>
        <v>34.4</v>
      </c>
      <c r="R287" s="39"/>
      <c r="S287" s="42"/>
      <c r="T287" s="35" t="n">
        <v>4629.189</v>
      </c>
      <c r="U287" s="35" t="n">
        <v>4820</v>
      </c>
      <c r="V287" s="35" t="n">
        <v>191</v>
      </c>
      <c r="W287" s="31" t="n">
        <v>1</v>
      </c>
      <c r="X287" s="6" t="n">
        <v>6</v>
      </c>
      <c r="Y287" s="36" t="n">
        <v>2.8</v>
      </c>
      <c r="Z287" s="6" t="s">
        <v>1374</v>
      </c>
      <c r="AA287" s="9" t="s">
        <v>528</v>
      </c>
      <c r="AB287" s="9" t="s">
        <v>1433</v>
      </c>
      <c r="AE287" s="37" t="n">
        <f aca="false">COUNTIF(環境認証!$A$2:$A$849,A287)</f>
        <v>0</v>
      </c>
      <c r="AF287" s="6" t="n">
        <v>4.1</v>
      </c>
    </row>
    <row r="288" customFormat="false" ht="15" hidden="false" customHeight="true" outlineLevel="0" collapsed="false">
      <c r="A288" s="6" t="s">
        <v>1434</v>
      </c>
      <c r="B288" s="6" t="s">
        <v>434</v>
      </c>
      <c r="C288" s="9" t="s">
        <v>1435</v>
      </c>
      <c r="D288" s="9" t="s">
        <v>522</v>
      </c>
      <c r="E288" s="9" t="s">
        <v>523</v>
      </c>
      <c r="F288" s="9" t="s">
        <v>648</v>
      </c>
      <c r="H288" s="9" t="s">
        <v>525</v>
      </c>
      <c r="J288" s="40"/>
      <c r="K288" s="32" t="n">
        <v>721.34</v>
      </c>
      <c r="L288" s="32" t="n">
        <v>5644.91</v>
      </c>
      <c r="M288" s="32" t="n">
        <v>4136.05</v>
      </c>
      <c r="N288" s="6" t="n">
        <v>11</v>
      </c>
      <c r="O288" s="6" t="n">
        <v>1</v>
      </c>
      <c r="P288" s="45" t="n">
        <v>32203</v>
      </c>
      <c r="Q288" s="34" t="n">
        <f aca="false">IF(OR($A288="",P288=""),"",ROUND(YEARFRAC(P288,README!$C$5),1))</f>
        <v>38.4</v>
      </c>
      <c r="R288" s="39"/>
      <c r="S288" s="42"/>
      <c r="T288" s="35" t="n">
        <v>5906.688</v>
      </c>
      <c r="U288" s="35" t="n">
        <v>8940</v>
      </c>
      <c r="V288" s="35" t="n">
        <v>3033</v>
      </c>
      <c r="W288" s="31" t="n">
        <v>1</v>
      </c>
      <c r="X288" s="6" t="n">
        <v>8</v>
      </c>
      <c r="Y288" s="36" t="n">
        <v>4.9</v>
      </c>
      <c r="Z288" s="6" t="s">
        <v>1374</v>
      </c>
      <c r="AA288" s="9" t="s">
        <v>528</v>
      </c>
      <c r="AB288" s="9" t="s">
        <v>1436</v>
      </c>
      <c r="AE288" s="37" t="n">
        <f aca="false">COUNTIF(環境認証!$A$2:$A$849,A288)</f>
        <v>1</v>
      </c>
      <c r="AF288" s="6" t="n">
        <v>51.4</v>
      </c>
    </row>
    <row r="289" customFormat="false" ht="15" hidden="false" customHeight="true" outlineLevel="0" collapsed="false">
      <c r="A289" s="6" t="s">
        <v>1437</v>
      </c>
      <c r="B289" s="6" t="s">
        <v>434</v>
      </c>
      <c r="C289" s="9" t="s">
        <v>1438</v>
      </c>
      <c r="D289" s="9" t="s">
        <v>522</v>
      </c>
      <c r="E289" s="9" t="s">
        <v>523</v>
      </c>
      <c r="F289" s="9" t="s">
        <v>532</v>
      </c>
      <c r="H289" s="9" t="s">
        <v>525</v>
      </c>
      <c r="J289" s="40"/>
      <c r="K289" s="32" t="n">
        <v>4646.65</v>
      </c>
      <c r="L289" s="32" t="n">
        <v>18102.32</v>
      </c>
      <c r="M289" s="32" t="n">
        <v>18102.32</v>
      </c>
      <c r="N289" s="6" t="n">
        <v>12</v>
      </c>
      <c r="O289" s="6" t="n">
        <v>2</v>
      </c>
      <c r="P289" s="45" t="n">
        <v>30103</v>
      </c>
      <c r="Q289" s="34" t="n">
        <f aca="false">IF(OR($A289="",P289=""),"",ROUND(YEARFRAC(P289,README!$C$5),1))</f>
        <v>44.2</v>
      </c>
      <c r="R289" s="39"/>
      <c r="S289" s="42"/>
      <c r="T289" s="35" t="n">
        <v>12109.193</v>
      </c>
      <c r="U289" s="35" t="n">
        <v>14000</v>
      </c>
      <c r="V289" s="35" t="n">
        <v>1891</v>
      </c>
      <c r="W289" s="31" t="n">
        <v>1</v>
      </c>
      <c r="X289" s="6" t="n">
        <v>1</v>
      </c>
      <c r="Y289" s="36" t="n">
        <v>3.4</v>
      </c>
      <c r="Z289" s="6" t="s">
        <v>1374</v>
      </c>
      <c r="AA289" s="9" t="s">
        <v>528</v>
      </c>
      <c r="AB289" s="9" t="s">
        <v>1439</v>
      </c>
      <c r="AE289" s="37" t="n">
        <f aca="false">COUNTIF(環境認証!$A$2:$A$849,A289)</f>
        <v>0</v>
      </c>
      <c r="AF289" s="6" t="n">
        <v>15.6</v>
      </c>
    </row>
    <row r="290" customFormat="false" ht="15" hidden="false" customHeight="true" outlineLevel="0" collapsed="false">
      <c r="A290" s="6" t="s">
        <v>1440</v>
      </c>
      <c r="B290" s="6" t="s">
        <v>434</v>
      </c>
      <c r="C290" s="9" t="s">
        <v>1441</v>
      </c>
      <c r="D290" s="9" t="s">
        <v>522</v>
      </c>
      <c r="E290" s="9" t="s">
        <v>523</v>
      </c>
      <c r="F290" s="9" t="s">
        <v>648</v>
      </c>
      <c r="H290" s="9" t="s">
        <v>525</v>
      </c>
      <c r="J290" s="40"/>
      <c r="K290" s="32" t="n">
        <v>364.74</v>
      </c>
      <c r="L290" s="32" t="n">
        <v>2568.3</v>
      </c>
      <c r="M290" s="32" t="n">
        <v>2299.68</v>
      </c>
      <c r="N290" s="6" t="n">
        <v>12</v>
      </c>
      <c r="O290" s="6" t="n">
        <v>0</v>
      </c>
      <c r="P290" s="45" t="n">
        <v>39539</v>
      </c>
      <c r="Q290" s="34" t="n">
        <f aca="false">IF(OR($A290="",P290=""),"",ROUND(YEARFRAC(P290,README!$C$5),1))</f>
        <v>18.4</v>
      </c>
      <c r="R290" s="39"/>
      <c r="S290" s="42"/>
      <c r="T290" s="35" t="n">
        <v>5934.307</v>
      </c>
      <c r="U290" s="35" t="n">
        <v>6270</v>
      </c>
      <c r="V290" s="35" t="n">
        <v>336</v>
      </c>
      <c r="W290" s="31" t="n">
        <v>0.917</v>
      </c>
      <c r="X290" s="6" t="n">
        <v>8</v>
      </c>
      <c r="Y290" s="36" t="n">
        <v>2.8</v>
      </c>
      <c r="Z290" s="6" t="s">
        <v>1374</v>
      </c>
      <c r="AA290" s="9" t="s">
        <v>528</v>
      </c>
      <c r="AB290" s="9" t="s">
        <v>1442</v>
      </c>
      <c r="AE290" s="37" t="n">
        <f aca="false">COUNTIF(環境認証!$A$2:$A$849,A290)</f>
        <v>2</v>
      </c>
      <c r="AF290" s="6" t="n">
        <v>5.7</v>
      </c>
    </row>
    <row r="291" customFormat="false" ht="15" hidden="false" customHeight="true" outlineLevel="0" collapsed="false">
      <c r="A291" s="6" t="s">
        <v>1443</v>
      </c>
      <c r="B291" s="6" t="s">
        <v>434</v>
      </c>
      <c r="C291" s="9" t="s">
        <v>1444</v>
      </c>
      <c r="D291" s="9" t="s">
        <v>522</v>
      </c>
      <c r="E291" s="9" t="s">
        <v>523</v>
      </c>
      <c r="F291" s="9" t="s">
        <v>648</v>
      </c>
      <c r="H291" s="9" t="s">
        <v>525</v>
      </c>
      <c r="I291" s="9" t="s">
        <v>1445</v>
      </c>
      <c r="J291" s="40"/>
      <c r="K291" s="32" t="n">
        <v>4702.82</v>
      </c>
      <c r="L291" s="32" t="n">
        <v>28629.19</v>
      </c>
      <c r="M291" s="32" t="n">
        <v>8105.04</v>
      </c>
      <c r="N291" s="6" t="n">
        <v>16</v>
      </c>
      <c r="O291" s="6" t="n">
        <v>2</v>
      </c>
      <c r="P291" s="45" t="n">
        <v>32417</v>
      </c>
      <c r="Q291" s="34" t="n">
        <f aca="false">IF(OR($A291="",P291=""),"",ROUND(YEARFRAC(P291,README!$C$5),1))</f>
        <v>37.9</v>
      </c>
      <c r="R291" s="39"/>
      <c r="S291" s="42"/>
      <c r="T291" s="35" t="n">
        <v>19096.655</v>
      </c>
      <c r="U291" s="35" t="n">
        <v>19000</v>
      </c>
      <c r="V291" s="35" t="n">
        <v>-97</v>
      </c>
      <c r="W291" s="31" t="n">
        <v>0.887</v>
      </c>
      <c r="X291" s="6" t="n">
        <v>35</v>
      </c>
      <c r="Y291" s="36" t="n">
        <v>2.3</v>
      </c>
      <c r="Z291" s="6" t="s">
        <v>1374</v>
      </c>
      <c r="AA291" s="9" t="s">
        <v>528</v>
      </c>
      <c r="AB291" s="9" t="s">
        <v>1446</v>
      </c>
      <c r="AE291" s="37" t="n">
        <f aca="false">COUNTIF(環境認証!$A$2:$A$849,A291)</f>
        <v>1</v>
      </c>
      <c r="AF291" s="6" t="n">
        <v>-0.5</v>
      </c>
    </row>
    <row r="292" customFormat="false" ht="15" hidden="false" customHeight="true" outlineLevel="0" collapsed="false">
      <c r="A292" s="6" t="s">
        <v>1447</v>
      </c>
      <c r="B292" s="6" t="s">
        <v>434</v>
      </c>
      <c r="C292" s="9" t="s">
        <v>1448</v>
      </c>
      <c r="D292" s="9" t="s">
        <v>522</v>
      </c>
      <c r="E292" s="9" t="s">
        <v>523</v>
      </c>
      <c r="F292" s="9" t="s">
        <v>906</v>
      </c>
      <c r="H292" s="9" t="s">
        <v>540</v>
      </c>
      <c r="I292" s="9" t="s">
        <v>1396</v>
      </c>
      <c r="J292" s="40"/>
      <c r="K292" s="32" t="n">
        <v>1572.38</v>
      </c>
      <c r="L292" s="32" t="n">
        <v>8540.29</v>
      </c>
      <c r="M292" s="32" t="n">
        <v>6152.42</v>
      </c>
      <c r="N292" s="6" t="n">
        <v>8</v>
      </c>
      <c r="O292" s="6" t="n">
        <v>0</v>
      </c>
      <c r="P292" s="45" t="n">
        <v>34759</v>
      </c>
      <c r="Q292" s="34" t="n">
        <f aca="false">IF(OR($A292="",P292=""),"",ROUND(YEARFRAC(P292,README!$C$5),1))</f>
        <v>31.4</v>
      </c>
      <c r="R292" s="39"/>
      <c r="S292" s="42"/>
      <c r="T292" s="35" t="n">
        <v>8435.634</v>
      </c>
      <c r="U292" s="35" t="n">
        <v>8500</v>
      </c>
      <c r="V292" s="35" t="n">
        <v>64</v>
      </c>
      <c r="W292" s="31" t="n">
        <v>1</v>
      </c>
      <c r="X292" s="6" t="n">
        <v>13</v>
      </c>
      <c r="Y292" s="36" t="n">
        <v>3.6</v>
      </c>
      <c r="Z292" s="6" t="s">
        <v>1374</v>
      </c>
      <c r="AA292" s="9" t="s">
        <v>528</v>
      </c>
      <c r="AB292" s="9" t="s">
        <v>1449</v>
      </c>
      <c r="AE292" s="37" t="n">
        <f aca="false">COUNTIF(環境認証!$A$2:$A$849,A292)</f>
        <v>1</v>
      </c>
      <c r="AF292" s="6" t="n">
        <v>0.8</v>
      </c>
    </row>
    <row r="293" customFormat="false" ht="15" hidden="false" customHeight="true" outlineLevel="0" collapsed="false">
      <c r="A293" s="6" t="s">
        <v>1450</v>
      </c>
      <c r="B293" s="6" t="s">
        <v>434</v>
      </c>
      <c r="C293" s="9" t="s">
        <v>1451</v>
      </c>
      <c r="D293" s="9" t="s">
        <v>959</v>
      </c>
      <c r="E293" s="9" t="s">
        <v>523</v>
      </c>
      <c r="F293" s="9" t="s">
        <v>906</v>
      </c>
      <c r="H293" s="9" t="s">
        <v>540</v>
      </c>
      <c r="J293" s="40"/>
      <c r="K293" s="32" t="n">
        <v>245.61</v>
      </c>
      <c r="L293" s="32" t="n">
        <v>950.36</v>
      </c>
      <c r="M293" s="32" t="n">
        <v>852.16</v>
      </c>
      <c r="N293" s="6" t="n">
        <v>10</v>
      </c>
      <c r="O293" s="6" t="n">
        <v>0</v>
      </c>
      <c r="P293" s="45" t="n">
        <v>41852</v>
      </c>
      <c r="Q293" s="34" t="n">
        <f aca="false">IF(OR($A293="",P293=""),"",ROUND(YEARFRAC(P293,README!$C$5),1))</f>
        <v>12</v>
      </c>
      <c r="R293" s="39"/>
      <c r="S293" s="42"/>
      <c r="T293" s="35" t="n">
        <v>1158.787</v>
      </c>
      <c r="U293" s="35" t="n">
        <v>1420</v>
      </c>
      <c r="V293" s="35" t="n">
        <v>261</v>
      </c>
      <c r="W293" s="31" t="n">
        <v>0.969</v>
      </c>
      <c r="X293" s="6" t="n">
        <v>25</v>
      </c>
      <c r="Y293" s="36" t="n">
        <v>2.9</v>
      </c>
      <c r="Z293" s="6" t="s">
        <v>1374</v>
      </c>
      <c r="AA293" s="9" t="s">
        <v>528</v>
      </c>
      <c r="AB293" s="9" t="s">
        <v>1452</v>
      </c>
      <c r="AE293" s="37" t="n">
        <f aca="false">COUNTIF(環境認証!$A$2:$A$849,A293)</f>
        <v>0</v>
      </c>
      <c r="AF293" s="6" t="n">
        <v>22.5</v>
      </c>
    </row>
    <row r="294" customFormat="false" ht="15" hidden="false" customHeight="true" outlineLevel="0" collapsed="false">
      <c r="A294" s="6" t="s">
        <v>1453</v>
      </c>
      <c r="B294" s="6" t="s">
        <v>434</v>
      </c>
      <c r="C294" s="9" t="s">
        <v>1454</v>
      </c>
      <c r="D294" s="9" t="s">
        <v>959</v>
      </c>
      <c r="E294" s="9" t="s">
        <v>547</v>
      </c>
      <c r="F294" s="9" t="s">
        <v>687</v>
      </c>
      <c r="H294" s="9" t="s">
        <v>550</v>
      </c>
      <c r="J294" s="40"/>
      <c r="K294" s="32" t="n">
        <v>676.26</v>
      </c>
      <c r="L294" s="32" t="n">
        <v>2320.12</v>
      </c>
      <c r="M294" s="32" t="n">
        <v>1830</v>
      </c>
      <c r="N294" s="6" t="n">
        <v>7</v>
      </c>
      <c r="O294" s="6" t="n">
        <v>0</v>
      </c>
      <c r="P294" s="45" t="n">
        <v>43922</v>
      </c>
      <c r="Q294" s="34" t="n">
        <f aca="false">IF(OR($A294="",P294=""),"",ROUND(YEARFRAC(P294,README!$C$5),1))</f>
        <v>6.4</v>
      </c>
      <c r="R294" s="39"/>
      <c r="S294" s="42"/>
      <c r="T294" s="35" t="n">
        <v>1390.643</v>
      </c>
      <c r="U294" s="35" t="n">
        <v>1690</v>
      </c>
      <c r="V294" s="35" t="n">
        <v>299</v>
      </c>
      <c r="W294" s="31" t="n">
        <v>1</v>
      </c>
      <c r="X294" s="6" t="n">
        <v>1</v>
      </c>
      <c r="Y294" s="36" t="n">
        <v>6.3</v>
      </c>
      <c r="Z294" s="6" t="s">
        <v>1374</v>
      </c>
      <c r="AA294" s="9" t="s">
        <v>528</v>
      </c>
      <c r="AB294" s="9" t="s">
        <v>1455</v>
      </c>
      <c r="AE294" s="37" t="n">
        <f aca="false">COUNTIF(環境認証!$A$2:$A$849,A294)</f>
        <v>1</v>
      </c>
      <c r="AF294" s="6" t="n">
        <v>21.5</v>
      </c>
    </row>
    <row r="295" customFormat="false" ht="15" hidden="false" customHeight="true" outlineLevel="0" collapsed="false">
      <c r="A295" s="6" t="s">
        <v>1456</v>
      </c>
      <c r="B295" s="6" t="s">
        <v>434</v>
      </c>
      <c r="C295" s="9" t="s">
        <v>1457</v>
      </c>
      <c r="D295" s="9" t="s">
        <v>959</v>
      </c>
      <c r="E295" s="9" t="s">
        <v>547</v>
      </c>
      <c r="F295" s="9" t="s">
        <v>701</v>
      </c>
      <c r="H295" s="9" t="s">
        <v>550</v>
      </c>
      <c r="J295" s="40"/>
      <c r="K295" s="32" t="n">
        <v>633.89</v>
      </c>
      <c r="L295" s="32" t="n">
        <v>1112.71</v>
      </c>
      <c r="M295" s="32" t="n">
        <v>901.76</v>
      </c>
      <c r="N295" s="6" t="n">
        <v>5</v>
      </c>
      <c r="O295" s="6" t="n">
        <v>0</v>
      </c>
      <c r="P295" s="45" t="n">
        <v>36192</v>
      </c>
      <c r="Q295" s="34" t="n">
        <f aca="false">IF(OR($A295="",P295=""),"",ROUND(YEARFRAC(P295,README!$C$5),1))</f>
        <v>27.5</v>
      </c>
      <c r="R295" s="39"/>
      <c r="S295" s="42"/>
      <c r="T295" s="35" t="n">
        <v>1032.498</v>
      </c>
      <c r="U295" s="35" t="n">
        <v>1190</v>
      </c>
      <c r="V295" s="35" t="n">
        <v>158</v>
      </c>
      <c r="W295" s="31" t="n">
        <v>0.96</v>
      </c>
      <c r="X295" s="6" t="n">
        <v>43</v>
      </c>
      <c r="Y295" s="36" t="n">
        <v>10.2</v>
      </c>
      <c r="Z295" s="6" t="s">
        <v>1374</v>
      </c>
      <c r="AA295" s="9" t="s">
        <v>528</v>
      </c>
      <c r="AB295" s="9" t="s">
        <v>1458</v>
      </c>
      <c r="AE295" s="37" t="n">
        <f aca="false">COUNTIF(環境認証!$A$2:$A$849,A295)</f>
        <v>0</v>
      </c>
      <c r="AF295" s="6" t="n">
        <v>15.3</v>
      </c>
    </row>
    <row r="296" customFormat="false" ht="15" hidden="false" customHeight="true" outlineLevel="0" collapsed="false">
      <c r="A296" s="6" t="s">
        <v>1459</v>
      </c>
      <c r="B296" s="6" t="s">
        <v>434</v>
      </c>
      <c r="C296" s="9" t="s">
        <v>1460</v>
      </c>
      <c r="D296" s="9" t="s">
        <v>1461</v>
      </c>
      <c r="E296" s="9" t="s">
        <v>523</v>
      </c>
      <c r="F296" s="9" t="s">
        <v>1462</v>
      </c>
      <c r="H296" s="9" t="s">
        <v>540</v>
      </c>
      <c r="I296" s="9" t="s">
        <v>1463</v>
      </c>
      <c r="J296" s="40"/>
      <c r="K296" s="32" t="n">
        <v>45268.03</v>
      </c>
      <c r="L296" s="32" t="n">
        <v>262257.33</v>
      </c>
      <c r="M296" s="32" t="n">
        <v>18919.73</v>
      </c>
      <c r="N296" s="6" t="n">
        <v>30</v>
      </c>
      <c r="O296" s="6" t="n">
        <v>3</v>
      </c>
      <c r="P296" s="39"/>
      <c r="Q296" s="34" t="str">
        <f aca="false">IF(OR($A296="",P296=""),"",ROUND(YEARFRAC(P296,README!$C$5),1))</f>
        <v/>
      </c>
      <c r="R296" s="39"/>
      <c r="S296" s="42"/>
      <c r="T296" s="35" t="n">
        <v>19817.975</v>
      </c>
      <c r="U296" s="35" t="n">
        <v>20400</v>
      </c>
      <c r="V296" s="35" t="n">
        <v>582</v>
      </c>
      <c r="W296" s="31" t="n">
        <v>1</v>
      </c>
      <c r="X296" s="6" t="n">
        <v>142</v>
      </c>
      <c r="Y296" s="41"/>
      <c r="Z296" s="6" t="s">
        <v>1374</v>
      </c>
      <c r="AA296" s="9" t="s">
        <v>528</v>
      </c>
      <c r="AB296" s="9" t="s">
        <v>1464</v>
      </c>
      <c r="AE296" s="37" t="n">
        <f aca="false">COUNTIF(環境認証!$A$2:$A$849,A296)</f>
        <v>2</v>
      </c>
      <c r="AF296" s="6" t="n">
        <v>2.9</v>
      </c>
    </row>
    <row r="297" customFormat="false" ht="15" hidden="false" customHeight="true" outlineLevel="0" collapsed="false">
      <c r="A297" s="6" t="s">
        <v>1465</v>
      </c>
      <c r="B297" s="6" t="s">
        <v>434</v>
      </c>
      <c r="C297" s="9" t="s">
        <v>1466</v>
      </c>
      <c r="D297" s="9" t="s">
        <v>1368</v>
      </c>
      <c r="H297" s="6" t="s">
        <v>619</v>
      </c>
      <c r="I297" s="6" t="s">
        <v>1467</v>
      </c>
      <c r="J297" s="40"/>
      <c r="K297" s="38"/>
      <c r="L297" s="38"/>
      <c r="M297" s="32" t="n">
        <v>158376.73</v>
      </c>
      <c r="P297" s="39"/>
      <c r="Q297" s="34" t="str">
        <f aca="false">IF(OR($A297="",P297=""),"",ROUND(YEARFRAC(P297,README!$C$5),1))</f>
        <v/>
      </c>
      <c r="R297" s="39"/>
      <c r="S297" s="35" t="n">
        <v>244261</v>
      </c>
      <c r="T297" s="35" t="n">
        <v>231242.144</v>
      </c>
      <c r="U297" s="35" t="n">
        <v>326920</v>
      </c>
      <c r="V297" s="43" t="n">
        <f aca="false">IF($A297="","",IF(OR(T297="",U297=""),"",U297-T297))</f>
        <v>95677.856</v>
      </c>
      <c r="W297" s="31" t="n">
        <v>0.989</v>
      </c>
      <c r="X297" s="6" t="n">
        <v>396</v>
      </c>
      <c r="Y297" s="36" t="n">
        <v>3.4</v>
      </c>
      <c r="Z297" s="6" t="s">
        <v>1374</v>
      </c>
      <c r="AA297" s="44" t="s">
        <v>1168</v>
      </c>
      <c r="AB297" s="9" t="s">
        <v>1468</v>
      </c>
      <c r="AE297" s="37" t="n">
        <f aca="false">COUNTIF(環境認証!$A$2:$A$849,A297)</f>
        <v>0</v>
      </c>
    </row>
    <row r="298" customFormat="false" ht="15" hidden="false" customHeight="true" outlineLevel="0" collapsed="false">
      <c r="A298" s="6" t="s">
        <v>1469</v>
      </c>
      <c r="B298" s="6" t="s">
        <v>403</v>
      </c>
      <c r="C298" s="9" t="s">
        <v>1470</v>
      </c>
      <c r="D298" s="9" t="s">
        <v>522</v>
      </c>
      <c r="E298" s="9" t="s">
        <v>523</v>
      </c>
      <c r="F298" s="9" t="s">
        <v>648</v>
      </c>
      <c r="H298" s="9" t="s">
        <v>525</v>
      </c>
      <c r="J298" s="40"/>
      <c r="K298" s="38"/>
      <c r="L298" s="38"/>
      <c r="M298" s="32" t="n">
        <v>4523.19</v>
      </c>
      <c r="P298" s="39"/>
      <c r="Q298" s="34" t="str">
        <f aca="false">IF(OR($A298="",P298=""),"",ROUND(YEARFRAC(P298,README!$C$5),1))</f>
        <v/>
      </c>
      <c r="R298" s="39"/>
      <c r="S298" s="42"/>
      <c r="T298" s="35" t="n">
        <v>3284</v>
      </c>
      <c r="U298" s="35" t="n">
        <v>4060</v>
      </c>
      <c r="V298" s="35" t="n">
        <v>776</v>
      </c>
      <c r="W298" s="31" t="n">
        <v>1</v>
      </c>
      <c r="X298" s="6" t="n">
        <v>17</v>
      </c>
      <c r="Y298" s="41"/>
      <c r="Z298" s="6" t="s">
        <v>1471</v>
      </c>
      <c r="AA298" s="9" t="s">
        <v>528</v>
      </c>
      <c r="AB298" s="6" t="s">
        <v>1472</v>
      </c>
      <c r="AE298" s="37" t="n">
        <f aca="false">COUNTIF(環境認証!$A$2:$A$849,A298)</f>
        <v>2</v>
      </c>
      <c r="AF298" s="6" t="n">
        <v>23.6</v>
      </c>
    </row>
    <row r="299" customFormat="false" ht="15" hidden="false" customHeight="true" outlineLevel="0" collapsed="false">
      <c r="A299" s="6" t="s">
        <v>1473</v>
      </c>
      <c r="B299" s="6" t="s">
        <v>403</v>
      </c>
      <c r="C299" s="9" t="s">
        <v>1474</v>
      </c>
      <c r="D299" s="9" t="s">
        <v>522</v>
      </c>
      <c r="E299" s="9" t="s">
        <v>523</v>
      </c>
      <c r="F299" s="9" t="s">
        <v>532</v>
      </c>
      <c r="H299" s="9" t="s">
        <v>525</v>
      </c>
      <c r="J299" s="40"/>
      <c r="K299" s="38"/>
      <c r="L299" s="38"/>
      <c r="M299" s="32" t="n">
        <v>4119.74</v>
      </c>
      <c r="P299" s="39"/>
      <c r="Q299" s="34" t="str">
        <f aca="false">IF(OR($A299="",P299=""),"",ROUND(YEARFRAC(P299,README!$C$5),1))</f>
        <v/>
      </c>
      <c r="R299" s="39"/>
      <c r="S299" s="42"/>
      <c r="T299" s="35" t="n">
        <v>2718</v>
      </c>
      <c r="U299" s="35" t="n">
        <v>4040</v>
      </c>
      <c r="V299" s="35" t="n">
        <v>1322</v>
      </c>
      <c r="W299" s="31" t="n">
        <v>0.864</v>
      </c>
      <c r="X299" s="6" t="n">
        <v>10</v>
      </c>
      <c r="Y299" s="41"/>
      <c r="Z299" s="6" t="s">
        <v>1471</v>
      </c>
      <c r="AA299" s="9" t="s">
        <v>528</v>
      </c>
      <c r="AB299" s="6" t="s">
        <v>1475</v>
      </c>
      <c r="AE299" s="37" t="n">
        <f aca="false">COUNTIF(環境認証!$A$2:$A$849,A299)</f>
        <v>0</v>
      </c>
      <c r="AF299" s="6" t="n">
        <v>48.6</v>
      </c>
    </row>
    <row r="300" customFormat="false" ht="15" hidden="false" customHeight="true" outlineLevel="0" collapsed="false">
      <c r="A300" s="6" t="s">
        <v>1476</v>
      </c>
      <c r="B300" s="6" t="s">
        <v>403</v>
      </c>
      <c r="C300" s="9" t="s">
        <v>1477</v>
      </c>
      <c r="D300" s="9" t="s">
        <v>522</v>
      </c>
      <c r="E300" s="9" t="s">
        <v>523</v>
      </c>
      <c r="F300" s="9" t="s">
        <v>648</v>
      </c>
      <c r="H300" s="9" t="s">
        <v>525</v>
      </c>
      <c r="J300" s="40"/>
      <c r="K300" s="38"/>
      <c r="L300" s="38"/>
      <c r="M300" s="32" t="n">
        <v>1925.24</v>
      </c>
      <c r="P300" s="39"/>
      <c r="Q300" s="34" t="str">
        <f aca="false">IF(OR($A300="",P300=""),"",ROUND(YEARFRAC(P300,README!$C$5),1))</f>
        <v/>
      </c>
      <c r="R300" s="39"/>
      <c r="S300" s="42"/>
      <c r="T300" s="35" t="n">
        <v>1927</v>
      </c>
      <c r="U300" s="35" t="n">
        <v>3130</v>
      </c>
      <c r="V300" s="35" t="n">
        <v>1203</v>
      </c>
      <c r="W300" s="31" t="n">
        <v>0.919</v>
      </c>
      <c r="X300" s="6" t="n">
        <v>12</v>
      </c>
      <c r="Y300" s="41"/>
      <c r="Z300" s="6" t="s">
        <v>1471</v>
      </c>
      <c r="AA300" s="9" t="s">
        <v>528</v>
      </c>
      <c r="AB300" s="6" t="s">
        <v>1478</v>
      </c>
      <c r="AE300" s="37" t="n">
        <f aca="false">COUNTIF(環境認証!$A$2:$A$849,A300)</f>
        <v>0</v>
      </c>
      <c r="AF300" s="6" t="n">
        <v>62.4</v>
      </c>
    </row>
    <row r="301" customFormat="false" ht="15" hidden="false" customHeight="true" outlineLevel="0" collapsed="false">
      <c r="A301" s="6" t="s">
        <v>1479</v>
      </c>
      <c r="B301" s="6" t="s">
        <v>403</v>
      </c>
      <c r="C301" s="9" t="s">
        <v>1480</v>
      </c>
      <c r="D301" s="9" t="s">
        <v>522</v>
      </c>
      <c r="E301" s="9" t="s">
        <v>523</v>
      </c>
      <c r="F301" s="9" t="s">
        <v>524</v>
      </c>
      <c r="H301" s="9" t="s">
        <v>525</v>
      </c>
      <c r="J301" s="40"/>
      <c r="K301" s="38"/>
      <c r="L301" s="38"/>
      <c r="M301" s="32" t="n">
        <v>2080.37</v>
      </c>
      <c r="P301" s="39"/>
      <c r="Q301" s="34" t="str">
        <f aca="false">IF(OR($A301="",P301=""),"",ROUND(YEARFRAC(P301,README!$C$5),1))</f>
        <v/>
      </c>
      <c r="R301" s="39"/>
      <c r="S301" s="42"/>
      <c r="T301" s="35" t="n">
        <v>1527</v>
      </c>
      <c r="U301" s="35" t="n">
        <v>2300</v>
      </c>
      <c r="V301" s="35" t="n">
        <v>773</v>
      </c>
      <c r="W301" s="31" t="n">
        <v>0.794</v>
      </c>
      <c r="X301" s="6" t="n">
        <v>4</v>
      </c>
      <c r="Y301" s="41"/>
      <c r="Z301" s="6" t="s">
        <v>1471</v>
      </c>
      <c r="AA301" s="9" t="s">
        <v>528</v>
      </c>
      <c r="AB301" s="6" t="s">
        <v>1481</v>
      </c>
      <c r="AE301" s="37" t="n">
        <f aca="false">COUNTIF(環境認証!$A$2:$A$849,A301)</f>
        <v>0</v>
      </c>
      <c r="AF301" s="6" t="n">
        <v>50.6</v>
      </c>
    </row>
    <row r="302" customFormat="false" ht="15" hidden="false" customHeight="true" outlineLevel="0" collapsed="false">
      <c r="A302" s="6" t="s">
        <v>1482</v>
      </c>
      <c r="B302" s="6" t="s">
        <v>403</v>
      </c>
      <c r="C302" s="9" t="s">
        <v>1483</v>
      </c>
      <c r="D302" s="9" t="s">
        <v>522</v>
      </c>
      <c r="E302" s="9" t="s">
        <v>523</v>
      </c>
      <c r="F302" s="9" t="s">
        <v>532</v>
      </c>
      <c r="H302" s="9" t="s">
        <v>525</v>
      </c>
      <c r="M302" s="6" t="n">
        <v>1940.65</v>
      </c>
      <c r="Q302" s="1" t="str">
        <f aca="false">IF(OR($A302="",P302=""),"",ROUND(YEARFRAC(P302,README!$C$5),1))</f>
        <v/>
      </c>
      <c r="T302" s="6" t="n">
        <v>1435</v>
      </c>
      <c r="U302" s="6" t="n">
        <v>2090</v>
      </c>
      <c r="V302" s="6" t="n">
        <v>655</v>
      </c>
      <c r="W302" s="6" t="n">
        <v>0.808</v>
      </c>
      <c r="X302" s="6" t="n">
        <v>4</v>
      </c>
      <c r="Z302" s="6" t="s">
        <v>1471</v>
      </c>
      <c r="AA302" s="9" t="s">
        <v>528</v>
      </c>
      <c r="AB302" s="6" t="s">
        <v>1484</v>
      </c>
      <c r="AE302" s="37" t="n">
        <f aca="false">COUNTIF(環境認証!$A$2:$A$849,A302)</f>
        <v>0</v>
      </c>
      <c r="AF302" s="6" t="n">
        <v>45.6</v>
      </c>
    </row>
    <row r="303" customFormat="false" ht="15" hidden="false" customHeight="true" outlineLevel="0" collapsed="false">
      <c r="A303" s="6" t="s">
        <v>1485</v>
      </c>
      <c r="B303" s="6" t="s">
        <v>403</v>
      </c>
      <c r="C303" s="9" t="s">
        <v>1486</v>
      </c>
      <c r="D303" s="9" t="s">
        <v>522</v>
      </c>
      <c r="E303" s="9" t="s">
        <v>523</v>
      </c>
      <c r="F303" s="9" t="s">
        <v>648</v>
      </c>
      <c r="H303" s="9" t="s">
        <v>525</v>
      </c>
      <c r="M303" s="6" t="n">
        <v>1321.54</v>
      </c>
      <c r="Q303" s="1" t="str">
        <f aca="false">IF(OR($A303="",P303=""),"",ROUND(YEARFRAC(P303,README!$C$5),1))</f>
        <v/>
      </c>
      <c r="T303" s="6" t="n">
        <v>1416</v>
      </c>
      <c r="U303" s="6" t="n">
        <v>2150</v>
      </c>
      <c r="V303" s="6" t="n">
        <v>734</v>
      </c>
      <c r="W303" s="6" t="n">
        <v>0.866</v>
      </c>
      <c r="X303" s="6" t="n">
        <v>5</v>
      </c>
      <c r="Z303" s="6" t="s">
        <v>1471</v>
      </c>
      <c r="AA303" s="9" t="s">
        <v>528</v>
      </c>
      <c r="AB303" s="6" t="s">
        <v>1487</v>
      </c>
      <c r="AE303" s="37" t="n">
        <f aca="false">COUNTIF(環境認証!$A$2:$A$849,A303)</f>
        <v>0</v>
      </c>
      <c r="AF303" s="6" t="n">
        <v>51.8</v>
      </c>
    </row>
    <row r="304" customFormat="false" ht="15" hidden="false" customHeight="true" outlineLevel="0" collapsed="false">
      <c r="A304" s="6" t="s">
        <v>1488</v>
      </c>
      <c r="B304" s="6" t="s">
        <v>403</v>
      </c>
      <c r="C304" s="9" t="s">
        <v>1489</v>
      </c>
      <c r="D304" s="9" t="s">
        <v>522</v>
      </c>
      <c r="E304" s="9" t="s">
        <v>523</v>
      </c>
      <c r="F304" s="9" t="s">
        <v>532</v>
      </c>
      <c r="H304" s="9" t="s">
        <v>525</v>
      </c>
      <c r="M304" s="6" t="n">
        <v>1602.29</v>
      </c>
      <c r="Q304" s="1" t="str">
        <f aca="false">IF(OR($A304="",P304=""),"",ROUND(YEARFRAC(P304,README!$C$5),1))</f>
        <v/>
      </c>
      <c r="T304" s="6" t="n">
        <v>1144</v>
      </c>
      <c r="U304" s="6" t="n">
        <v>1320</v>
      </c>
      <c r="V304" s="6" t="n">
        <v>176</v>
      </c>
      <c r="W304" s="6" t="n">
        <v>0.863</v>
      </c>
      <c r="X304" s="6" t="n">
        <v>2</v>
      </c>
      <c r="Z304" s="6" t="s">
        <v>1471</v>
      </c>
      <c r="AA304" s="9" t="s">
        <v>528</v>
      </c>
      <c r="AB304" s="6" t="s">
        <v>1490</v>
      </c>
      <c r="AE304" s="37" t="n">
        <f aca="false">COUNTIF(環境認証!$A$2:$A$849,A304)</f>
        <v>0</v>
      </c>
      <c r="AF304" s="6" t="n">
        <v>15.4</v>
      </c>
    </row>
    <row r="305" customFormat="false" ht="15" hidden="false" customHeight="true" outlineLevel="0" collapsed="false">
      <c r="A305" s="6" t="s">
        <v>1491</v>
      </c>
      <c r="B305" s="6" t="s">
        <v>403</v>
      </c>
      <c r="C305" s="9" t="s">
        <v>1492</v>
      </c>
      <c r="D305" s="9" t="s">
        <v>522</v>
      </c>
      <c r="E305" s="9" t="s">
        <v>523</v>
      </c>
      <c r="F305" s="9" t="s">
        <v>648</v>
      </c>
      <c r="H305" s="9" t="s">
        <v>525</v>
      </c>
      <c r="M305" s="6" t="n">
        <v>1484.39</v>
      </c>
      <c r="Q305" s="1" t="str">
        <f aca="false">IF(OR($A305="",P305=""),"",ROUND(YEARFRAC(P305,README!$C$5),1))</f>
        <v/>
      </c>
      <c r="T305" s="6" t="n">
        <v>1887</v>
      </c>
      <c r="U305" s="6" t="n">
        <v>2910</v>
      </c>
      <c r="V305" s="6" t="n">
        <v>1023</v>
      </c>
      <c r="W305" s="6" t="n">
        <v>1</v>
      </c>
      <c r="X305" s="6" t="n">
        <v>7</v>
      </c>
      <c r="Z305" s="6" t="s">
        <v>1471</v>
      </c>
      <c r="AA305" s="9" t="s">
        <v>528</v>
      </c>
      <c r="AB305" s="6" t="s">
        <v>1493</v>
      </c>
      <c r="AE305" s="37" t="n">
        <f aca="false">COUNTIF(環境認証!$A$2:$A$849,A305)</f>
        <v>0</v>
      </c>
      <c r="AF305" s="6" t="n">
        <v>54.2</v>
      </c>
    </row>
    <row r="306" customFormat="false" ht="15" hidden="false" customHeight="true" outlineLevel="0" collapsed="false">
      <c r="A306" s="6" t="s">
        <v>1494</v>
      </c>
      <c r="B306" s="6" t="s">
        <v>403</v>
      </c>
      <c r="C306" s="9" t="s">
        <v>1495</v>
      </c>
      <c r="D306" s="9" t="s">
        <v>522</v>
      </c>
      <c r="E306" s="9" t="s">
        <v>523</v>
      </c>
      <c r="F306" s="9" t="s">
        <v>666</v>
      </c>
      <c r="H306" s="9" t="s">
        <v>525</v>
      </c>
      <c r="M306" s="6" t="n">
        <v>1363.22</v>
      </c>
      <c r="Q306" s="1" t="str">
        <f aca="false">IF(OR($A306="",P306=""),"",ROUND(YEARFRAC(P306,README!$C$5),1))</f>
        <v/>
      </c>
      <c r="T306" s="6" t="n">
        <v>1829</v>
      </c>
      <c r="U306" s="6" t="n">
        <v>2580</v>
      </c>
      <c r="V306" s="6" t="n">
        <v>751</v>
      </c>
      <c r="W306" s="6" t="n">
        <v>1</v>
      </c>
      <c r="X306" s="6" t="n">
        <v>26</v>
      </c>
      <c r="Z306" s="6" t="s">
        <v>1471</v>
      </c>
      <c r="AA306" s="9" t="s">
        <v>528</v>
      </c>
      <c r="AB306" s="6" t="s">
        <v>1496</v>
      </c>
      <c r="AE306" s="37" t="n">
        <f aca="false">COUNTIF(環境認証!$A$2:$A$849,A306)</f>
        <v>0</v>
      </c>
      <c r="AF306" s="6" t="n">
        <v>41.1</v>
      </c>
    </row>
    <row r="307" customFormat="false" ht="15" hidden="false" customHeight="true" outlineLevel="0" collapsed="false">
      <c r="A307" s="6" t="s">
        <v>1497</v>
      </c>
      <c r="B307" s="6" t="s">
        <v>403</v>
      </c>
      <c r="C307" s="9" t="s">
        <v>1498</v>
      </c>
      <c r="D307" s="9" t="s">
        <v>522</v>
      </c>
      <c r="E307" s="9" t="s">
        <v>523</v>
      </c>
      <c r="F307" s="9" t="s">
        <v>524</v>
      </c>
      <c r="H307" s="9" t="s">
        <v>525</v>
      </c>
      <c r="M307" s="6" t="n">
        <v>1378.83</v>
      </c>
      <c r="Q307" s="1" t="str">
        <f aca="false">IF(OR($A307="",P307=""),"",ROUND(YEARFRAC(P307,README!$C$5),1))</f>
        <v/>
      </c>
      <c r="T307" s="6" t="n">
        <v>1139</v>
      </c>
      <c r="U307" s="6" t="n">
        <v>1550</v>
      </c>
      <c r="V307" s="6" t="n">
        <v>411</v>
      </c>
      <c r="W307" s="6" t="n">
        <v>1</v>
      </c>
      <c r="X307" s="6" t="n">
        <v>10</v>
      </c>
      <c r="Z307" s="6" t="s">
        <v>1471</v>
      </c>
      <c r="AA307" s="9" t="s">
        <v>528</v>
      </c>
      <c r="AB307" s="6" t="s">
        <v>1499</v>
      </c>
      <c r="AE307" s="37" t="n">
        <f aca="false">COUNTIF(環境認証!$A$2:$A$849,A307)</f>
        <v>0</v>
      </c>
      <c r="AF307" s="6" t="n">
        <v>36.1</v>
      </c>
    </row>
    <row r="308" customFormat="false" ht="15" hidden="false" customHeight="true" outlineLevel="0" collapsed="false">
      <c r="A308" s="6" t="s">
        <v>1500</v>
      </c>
      <c r="B308" s="6" t="s">
        <v>403</v>
      </c>
      <c r="C308" s="9" t="s">
        <v>1501</v>
      </c>
      <c r="D308" s="9" t="s">
        <v>522</v>
      </c>
      <c r="E308" s="9" t="s">
        <v>523</v>
      </c>
      <c r="F308" s="9" t="s">
        <v>524</v>
      </c>
      <c r="H308" s="9" t="s">
        <v>525</v>
      </c>
      <c r="M308" s="6" t="n">
        <v>1926.88</v>
      </c>
      <c r="Q308" s="1" t="str">
        <f aca="false">IF(OR($A308="",P308=""),"",ROUND(YEARFRAC(P308,README!$C$5),1))</f>
        <v/>
      </c>
      <c r="T308" s="6" t="n">
        <v>1871</v>
      </c>
      <c r="U308" s="6" t="n">
        <v>2840</v>
      </c>
      <c r="V308" s="6" t="n">
        <v>969</v>
      </c>
      <c r="W308" s="6" t="n">
        <v>0.927</v>
      </c>
      <c r="X308" s="6" t="n">
        <v>9</v>
      </c>
      <c r="Z308" s="6" t="s">
        <v>1471</v>
      </c>
      <c r="AA308" s="9" t="s">
        <v>528</v>
      </c>
      <c r="AB308" s="6" t="s">
        <v>1502</v>
      </c>
      <c r="AE308" s="37" t="n">
        <f aca="false">COUNTIF(環境認証!$A$2:$A$849,A308)</f>
        <v>0</v>
      </c>
      <c r="AF308" s="6" t="n">
        <v>51.8</v>
      </c>
    </row>
    <row r="309" customFormat="false" ht="15" hidden="false" customHeight="true" outlineLevel="0" collapsed="false">
      <c r="A309" s="6" t="s">
        <v>1503</v>
      </c>
      <c r="B309" s="6" t="s">
        <v>403</v>
      </c>
      <c r="C309" s="9" t="s">
        <v>1504</v>
      </c>
      <c r="D309" s="9" t="s">
        <v>522</v>
      </c>
      <c r="E309" s="9" t="s">
        <v>523</v>
      </c>
      <c r="F309" s="9" t="s">
        <v>666</v>
      </c>
      <c r="H309" s="9" t="s">
        <v>525</v>
      </c>
      <c r="M309" s="6" t="n">
        <v>2397.73</v>
      </c>
      <c r="Q309" s="1" t="str">
        <f aca="false">IF(OR($A309="",P309=""),"",ROUND(YEARFRAC(P309,README!$C$5),1))</f>
        <v/>
      </c>
      <c r="T309" s="6" t="n">
        <v>1119</v>
      </c>
      <c r="U309" s="6" t="n">
        <v>1800</v>
      </c>
      <c r="V309" s="6" t="n">
        <v>681</v>
      </c>
      <c r="W309" s="6" t="n">
        <v>1</v>
      </c>
      <c r="X309" s="6" t="n">
        <v>6</v>
      </c>
      <c r="Z309" s="6" t="s">
        <v>1471</v>
      </c>
      <c r="AA309" s="9" t="s">
        <v>528</v>
      </c>
      <c r="AB309" s="6" t="s">
        <v>1505</v>
      </c>
      <c r="AE309" s="37" t="n">
        <f aca="false">COUNTIF(環境認証!$A$2:$A$849,A309)</f>
        <v>0</v>
      </c>
      <c r="AF309" s="6" t="n">
        <v>60.9</v>
      </c>
    </row>
    <row r="310" customFormat="false" ht="15" hidden="false" customHeight="true" outlineLevel="0" collapsed="false">
      <c r="A310" s="6" t="s">
        <v>1506</v>
      </c>
      <c r="B310" s="6" t="s">
        <v>403</v>
      </c>
      <c r="C310" s="9" t="s">
        <v>1507</v>
      </c>
      <c r="D310" s="9" t="s">
        <v>522</v>
      </c>
      <c r="E310" s="9" t="s">
        <v>523</v>
      </c>
      <c r="F310" s="9" t="s">
        <v>625</v>
      </c>
      <c r="H310" s="9" t="s">
        <v>540</v>
      </c>
      <c r="M310" s="6" t="n">
        <v>5346.39</v>
      </c>
      <c r="Q310" s="1" t="str">
        <f aca="false">IF(OR($A310="",P310=""),"",ROUND(YEARFRAC(P310,README!$C$5),1))</f>
        <v/>
      </c>
      <c r="T310" s="6" t="n">
        <v>4740</v>
      </c>
      <c r="U310" s="6" t="n">
        <v>6970</v>
      </c>
      <c r="V310" s="6" t="n">
        <v>2230</v>
      </c>
      <c r="W310" s="6" t="n">
        <v>0.945</v>
      </c>
      <c r="X310" s="6" t="n">
        <v>15</v>
      </c>
      <c r="Z310" s="6" t="s">
        <v>1471</v>
      </c>
      <c r="AA310" s="9" t="s">
        <v>528</v>
      </c>
      <c r="AB310" s="6" t="s">
        <v>1508</v>
      </c>
      <c r="AE310" s="37" t="n">
        <f aca="false">COUNTIF(環境認証!$A$2:$A$849,A310)</f>
        <v>0</v>
      </c>
      <c r="AF310" s="6" t="n">
        <v>47</v>
      </c>
    </row>
    <row r="311" customFormat="false" ht="15" hidden="false" customHeight="true" outlineLevel="0" collapsed="false">
      <c r="A311" s="6" t="s">
        <v>1509</v>
      </c>
      <c r="B311" s="6" t="s">
        <v>403</v>
      </c>
      <c r="C311" s="9" t="s">
        <v>1510</v>
      </c>
      <c r="D311" s="9" t="s">
        <v>522</v>
      </c>
      <c r="E311" s="9" t="s">
        <v>547</v>
      </c>
      <c r="F311" s="9" t="s">
        <v>701</v>
      </c>
      <c r="H311" s="9" t="s">
        <v>550</v>
      </c>
      <c r="M311" s="6" t="n">
        <v>4097.85</v>
      </c>
      <c r="Q311" s="1" t="str">
        <f aca="false">IF(OR($A311="",P311=""),"",ROUND(YEARFRAC(P311,README!$C$5),1))</f>
        <v/>
      </c>
      <c r="T311" s="6" t="n">
        <v>1690</v>
      </c>
      <c r="U311" s="6" t="n">
        <v>1930</v>
      </c>
      <c r="V311" s="6" t="n">
        <v>240</v>
      </c>
      <c r="W311" s="6" t="n">
        <v>0.814</v>
      </c>
      <c r="X311" s="6" t="n">
        <v>12</v>
      </c>
      <c r="Z311" s="6" t="s">
        <v>1471</v>
      </c>
      <c r="AA311" s="9" t="s">
        <v>528</v>
      </c>
      <c r="AB311" s="6" t="s">
        <v>1511</v>
      </c>
      <c r="AE311" s="37" t="n">
        <f aca="false">COUNTIF(環境認証!$A$2:$A$849,A311)</f>
        <v>0</v>
      </c>
      <c r="AF311" s="6" t="n">
        <v>14.2</v>
      </c>
    </row>
    <row r="312" customFormat="false" ht="15" hidden="false" customHeight="true" outlineLevel="0" collapsed="false">
      <c r="A312" s="6" t="s">
        <v>1512</v>
      </c>
      <c r="B312" s="6" t="s">
        <v>403</v>
      </c>
      <c r="C312" s="9" t="s">
        <v>1513</v>
      </c>
      <c r="D312" s="9" t="s">
        <v>522</v>
      </c>
      <c r="E312" s="9" t="s">
        <v>523</v>
      </c>
      <c r="F312" s="9" t="s">
        <v>893</v>
      </c>
      <c r="H312" s="9" t="s">
        <v>540</v>
      </c>
      <c r="M312" s="6" t="n">
        <v>1491.5</v>
      </c>
      <c r="Q312" s="1" t="str">
        <f aca="false">IF(OR($A312="",P312=""),"",ROUND(YEARFRAC(P312,README!$C$5),1))</f>
        <v/>
      </c>
      <c r="T312" s="6" t="n">
        <v>1329</v>
      </c>
      <c r="U312" s="6" t="n">
        <v>2360</v>
      </c>
      <c r="V312" s="6" t="n">
        <v>1031</v>
      </c>
      <c r="W312" s="6" t="n">
        <v>1</v>
      </c>
      <c r="X312" s="6" t="n">
        <v>8</v>
      </c>
      <c r="Z312" s="6" t="s">
        <v>1471</v>
      </c>
      <c r="AA312" s="9" t="s">
        <v>528</v>
      </c>
      <c r="AB312" s="6" t="s">
        <v>1514</v>
      </c>
      <c r="AE312" s="37" t="n">
        <f aca="false">COUNTIF(環境認証!$A$2:$A$849,A312)</f>
        <v>0</v>
      </c>
      <c r="AF312" s="6" t="n">
        <v>77.6</v>
      </c>
    </row>
    <row r="313" customFormat="false" ht="15" hidden="false" customHeight="true" outlineLevel="0" collapsed="false">
      <c r="A313" s="6" t="s">
        <v>1515</v>
      </c>
      <c r="B313" s="6" t="s">
        <v>403</v>
      </c>
      <c r="C313" s="9" t="s">
        <v>1516</v>
      </c>
      <c r="D313" s="9" t="s">
        <v>522</v>
      </c>
      <c r="E313" s="9" t="s">
        <v>523</v>
      </c>
      <c r="F313" s="9" t="s">
        <v>916</v>
      </c>
      <c r="H313" s="9" t="s">
        <v>540</v>
      </c>
      <c r="M313" s="6" t="n">
        <v>1264.11</v>
      </c>
      <c r="Q313" s="1" t="str">
        <f aca="false">IF(OR($A313="",P313=""),"",ROUND(YEARFRAC(P313,README!$C$5),1))</f>
        <v/>
      </c>
      <c r="T313" s="6" t="n">
        <v>700</v>
      </c>
      <c r="U313" s="6" t="n">
        <v>1080</v>
      </c>
      <c r="V313" s="6" t="n">
        <v>380</v>
      </c>
      <c r="W313" s="6" t="n">
        <v>1</v>
      </c>
      <c r="X313" s="6" t="n">
        <v>7</v>
      </c>
      <c r="Z313" s="6" t="s">
        <v>1471</v>
      </c>
      <c r="AA313" s="9" t="s">
        <v>528</v>
      </c>
      <c r="AB313" s="6" t="s">
        <v>1517</v>
      </c>
      <c r="AE313" s="37" t="n">
        <f aca="false">COUNTIF(環境認証!$A$2:$A$849,A313)</f>
        <v>0</v>
      </c>
      <c r="AF313" s="6" t="n">
        <v>54.3</v>
      </c>
    </row>
    <row r="314" customFormat="false" ht="15" hidden="false" customHeight="true" outlineLevel="0" collapsed="false">
      <c r="A314" s="6" t="s">
        <v>1518</v>
      </c>
      <c r="B314" s="6" t="s">
        <v>403</v>
      </c>
      <c r="C314" s="9" t="s">
        <v>1519</v>
      </c>
      <c r="D314" s="9" t="s">
        <v>522</v>
      </c>
      <c r="E314" s="9" t="s">
        <v>523</v>
      </c>
      <c r="F314" s="9" t="s">
        <v>543</v>
      </c>
      <c r="H314" s="9" t="s">
        <v>540</v>
      </c>
      <c r="M314" s="6" t="n">
        <v>2605.54</v>
      </c>
      <c r="Q314" s="1" t="str">
        <f aca="false">IF(OR($A314="",P314=""),"",ROUND(YEARFRAC(P314,README!$C$5),1))</f>
        <v/>
      </c>
      <c r="T314" s="6" t="n">
        <v>1400</v>
      </c>
      <c r="U314" s="6" t="n">
        <v>1850</v>
      </c>
      <c r="V314" s="6" t="n">
        <v>450</v>
      </c>
      <c r="W314" s="6" t="n">
        <v>1</v>
      </c>
      <c r="X314" s="6" t="n">
        <v>11</v>
      </c>
      <c r="Z314" s="6" t="s">
        <v>1471</v>
      </c>
      <c r="AA314" s="9" t="s">
        <v>528</v>
      </c>
      <c r="AB314" s="6" t="s">
        <v>1520</v>
      </c>
      <c r="AE314" s="37" t="n">
        <f aca="false">COUNTIF(環境認証!$A$2:$A$849,A314)</f>
        <v>0</v>
      </c>
      <c r="AF314" s="6" t="n">
        <v>32.1</v>
      </c>
    </row>
    <row r="315" customFormat="false" ht="15" hidden="false" customHeight="true" outlineLevel="0" collapsed="false">
      <c r="A315" s="6" t="s">
        <v>1521</v>
      </c>
      <c r="B315" s="6" t="s">
        <v>403</v>
      </c>
      <c r="C315" s="9" t="s">
        <v>1522</v>
      </c>
      <c r="D315" s="9" t="s">
        <v>522</v>
      </c>
      <c r="E315" s="9" t="s">
        <v>523</v>
      </c>
      <c r="F315" s="9" t="s">
        <v>906</v>
      </c>
      <c r="H315" s="9" t="s">
        <v>540</v>
      </c>
      <c r="M315" s="6" t="n">
        <v>2385.69</v>
      </c>
      <c r="Q315" s="1" t="str">
        <f aca="false">IF(OR($A315="",P315=""),"",ROUND(YEARFRAC(P315,README!$C$5),1))</f>
        <v/>
      </c>
      <c r="T315" s="6" t="n">
        <v>1942</v>
      </c>
      <c r="U315" s="6" t="n">
        <v>2700</v>
      </c>
      <c r="V315" s="6" t="n">
        <v>758</v>
      </c>
      <c r="W315" s="6" t="n">
        <v>1</v>
      </c>
      <c r="X315" s="6" t="n">
        <v>6</v>
      </c>
      <c r="Z315" s="6" t="s">
        <v>1471</v>
      </c>
      <c r="AA315" s="9" t="s">
        <v>528</v>
      </c>
      <c r="AB315" s="6" t="s">
        <v>1523</v>
      </c>
      <c r="AE315" s="37" t="n">
        <f aca="false">COUNTIF(環境認証!$A$2:$A$849,A315)</f>
        <v>0</v>
      </c>
      <c r="AF315" s="6" t="n">
        <v>39</v>
      </c>
    </row>
    <row r="316" customFormat="false" ht="15" hidden="false" customHeight="true" outlineLevel="0" collapsed="false">
      <c r="A316" s="6" t="s">
        <v>1524</v>
      </c>
      <c r="B316" s="6" t="s">
        <v>403</v>
      </c>
      <c r="C316" s="9" t="s">
        <v>1525</v>
      </c>
      <c r="D316" s="9" t="s">
        <v>522</v>
      </c>
      <c r="E316" s="9" t="s">
        <v>523</v>
      </c>
      <c r="F316" s="9" t="s">
        <v>893</v>
      </c>
      <c r="H316" s="9" t="s">
        <v>540</v>
      </c>
      <c r="M316" s="6" t="n">
        <v>1261.91</v>
      </c>
      <c r="Q316" s="1" t="str">
        <f aca="false">IF(OR($A316="",P316=""),"",ROUND(YEARFRAC(P316,README!$C$5),1))</f>
        <v/>
      </c>
      <c r="T316" s="6" t="n">
        <v>569</v>
      </c>
      <c r="U316" s="6" t="n">
        <v>1080</v>
      </c>
      <c r="V316" s="6" t="n">
        <v>511</v>
      </c>
      <c r="W316" s="6" t="n">
        <v>1</v>
      </c>
      <c r="X316" s="6" t="n">
        <v>1</v>
      </c>
      <c r="Z316" s="6" t="s">
        <v>1471</v>
      </c>
      <c r="AA316" s="9" t="s">
        <v>528</v>
      </c>
      <c r="AB316" s="6" t="s">
        <v>1526</v>
      </c>
      <c r="AE316" s="37" t="n">
        <f aca="false">COUNTIF(環境認証!$A$2:$A$849,A316)</f>
        <v>0</v>
      </c>
      <c r="AF316" s="6" t="n">
        <v>89.8</v>
      </c>
    </row>
    <row r="317" customFormat="false" ht="15" hidden="false" customHeight="true" outlineLevel="0" collapsed="false">
      <c r="A317" s="6" t="s">
        <v>1527</v>
      </c>
      <c r="B317" s="6" t="s">
        <v>403</v>
      </c>
      <c r="C317" s="9" t="s">
        <v>1528</v>
      </c>
      <c r="D317" s="9" t="s">
        <v>522</v>
      </c>
      <c r="E317" s="9" t="s">
        <v>523</v>
      </c>
      <c r="F317" s="9" t="s">
        <v>625</v>
      </c>
      <c r="H317" s="9" t="s">
        <v>540</v>
      </c>
      <c r="M317" s="6" t="n">
        <v>1341.59</v>
      </c>
      <c r="Q317" s="1" t="str">
        <f aca="false">IF(OR($A317="",P317=""),"",ROUND(YEARFRAC(P317,README!$C$5),1))</f>
        <v/>
      </c>
      <c r="T317" s="6" t="n">
        <v>764</v>
      </c>
      <c r="U317" s="6" t="n">
        <v>1040</v>
      </c>
      <c r="V317" s="6" t="n">
        <v>276</v>
      </c>
      <c r="W317" s="6" t="n">
        <v>1</v>
      </c>
      <c r="X317" s="6" t="n">
        <v>9</v>
      </c>
      <c r="Z317" s="6" t="s">
        <v>1471</v>
      </c>
      <c r="AA317" s="9" t="s">
        <v>528</v>
      </c>
      <c r="AB317" s="6" t="s">
        <v>1529</v>
      </c>
      <c r="AE317" s="37" t="n">
        <f aca="false">COUNTIF(環境認証!$A$2:$A$849,A317)</f>
        <v>0</v>
      </c>
      <c r="AF317" s="6" t="n">
        <v>36.1</v>
      </c>
    </row>
    <row r="318" customFormat="false" ht="15" hidden="false" customHeight="true" outlineLevel="0" collapsed="false">
      <c r="A318" s="6" t="s">
        <v>1530</v>
      </c>
      <c r="B318" s="6" t="s">
        <v>403</v>
      </c>
      <c r="C318" s="9" t="s">
        <v>1531</v>
      </c>
      <c r="D318" s="9" t="s">
        <v>522</v>
      </c>
      <c r="E318" s="9" t="s">
        <v>523</v>
      </c>
      <c r="F318" s="9" t="s">
        <v>1532</v>
      </c>
      <c r="H318" s="9" t="s">
        <v>550</v>
      </c>
      <c r="M318" s="6" t="n">
        <v>4210.87</v>
      </c>
      <c r="Q318" s="1" t="str">
        <f aca="false">IF(OR($A318="",P318=""),"",ROUND(YEARFRAC(P318,README!$C$5),1))</f>
        <v/>
      </c>
      <c r="T318" s="6" t="n">
        <v>2144</v>
      </c>
      <c r="U318" s="6" t="n">
        <v>3370</v>
      </c>
      <c r="V318" s="6" t="n">
        <v>1226</v>
      </c>
      <c r="W318" s="6" t="n">
        <v>1</v>
      </c>
      <c r="X318" s="6" t="n">
        <v>14</v>
      </c>
      <c r="Z318" s="6" t="s">
        <v>1471</v>
      </c>
      <c r="AA318" s="9" t="s">
        <v>528</v>
      </c>
      <c r="AB318" s="6" t="s">
        <v>1533</v>
      </c>
      <c r="AE318" s="37" t="n">
        <f aca="false">COUNTIF(環境認証!$A$2:$A$849,A318)</f>
        <v>0</v>
      </c>
      <c r="AF318" s="6" t="n">
        <v>57.2</v>
      </c>
    </row>
    <row r="319" customFormat="false" ht="15" hidden="false" customHeight="true" outlineLevel="0" collapsed="false">
      <c r="A319" s="6" t="s">
        <v>1534</v>
      </c>
      <c r="B319" s="6" t="s">
        <v>403</v>
      </c>
      <c r="C319" s="9" t="s">
        <v>1535</v>
      </c>
      <c r="D319" s="9" t="s">
        <v>522</v>
      </c>
      <c r="E319" s="9" t="s">
        <v>567</v>
      </c>
      <c r="F319" s="9" t="s">
        <v>676</v>
      </c>
      <c r="H319" s="9" t="s">
        <v>569</v>
      </c>
      <c r="M319" s="6" t="n">
        <v>3928.12</v>
      </c>
      <c r="Q319" s="1" t="str">
        <f aca="false">IF(OR($A319="",P319=""),"",ROUND(YEARFRAC(P319,README!$C$5),1))</f>
        <v/>
      </c>
      <c r="T319" s="6" t="n">
        <v>4785</v>
      </c>
      <c r="U319" s="6" t="n">
        <v>5500</v>
      </c>
      <c r="V319" s="6" t="n">
        <v>715</v>
      </c>
      <c r="W319" s="6" t="n">
        <v>0.937</v>
      </c>
      <c r="X319" s="6" t="n">
        <v>19</v>
      </c>
      <c r="Z319" s="6" t="s">
        <v>1471</v>
      </c>
      <c r="AA319" s="9" t="s">
        <v>528</v>
      </c>
      <c r="AB319" s="6" t="s">
        <v>1536</v>
      </c>
      <c r="AE319" s="37" t="n">
        <f aca="false">COUNTIF(環境認証!$A$2:$A$849,A319)</f>
        <v>0</v>
      </c>
      <c r="AF319" s="6" t="n">
        <v>14.9</v>
      </c>
    </row>
    <row r="320" customFormat="false" ht="15" hidden="false" customHeight="true" outlineLevel="0" collapsed="false">
      <c r="A320" s="6" t="s">
        <v>1537</v>
      </c>
      <c r="B320" s="6" t="s">
        <v>403</v>
      </c>
      <c r="C320" s="9" t="s">
        <v>1538</v>
      </c>
      <c r="D320" s="9" t="s">
        <v>522</v>
      </c>
      <c r="E320" s="9" t="s">
        <v>567</v>
      </c>
      <c r="F320" s="9" t="s">
        <v>676</v>
      </c>
      <c r="H320" s="9" t="s">
        <v>569</v>
      </c>
      <c r="M320" s="6" t="n">
        <v>8009.11</v>
      </c>
      <c r="Q320" s="1" t="str">
        <f aca="false">IF(OR($A320="",P320=""),"",ROUND(YEARFRAC(P320,README!$C$5),1))</f>
        <v/>
      </c>
      <c r="T320" s="6" t="n">
        <v>5239</v>
      </c>
      <c r="U320" s="6" t="n">
        <v>8210</v>
      </c>
      <c r="V320" s="6" t="n">
        <v>2971</v>
      </c>
      <c r="W320" s="6" t="n">
        <v>1</v>
      </c>
      <c r="X320" s="6" t="n">
        <v>25</v>
      </c>
      <c r="Z320" s="6" t="s">
        <v>1471</v>
      </c>
      <c r="AA320" s="9" t="s">
        <v>528</v>
      </c>
      <c r="AB320" s="6" t="s">
        <v>1539</v>
      </c>
      <c r="AE320" s="37" t="n">
        <f aca="false">COUNTIF(環境認証!$A$2:$A$849,A320)</f>
        <v>1</v>
      </c>
      <c r="AF320" s="6" t="n">
        <v>56.7</v>
      </c>
    </row>
    <row r="321" customFormat="false" ht="15" hidden="false" customHeight="true" outlineLevel="0" collapsed="false">
      <c r="A321" s="6" t="s">
        <v>1540</v>
      </c>
      <c r="B321" s="6" t="s">
        <v>403</v>
      </c>
      <c r="C321" s="9" t="s">
        <v>1541</v>
      </c>
      <c r="D321" s="9" t="s">
        <v>522</v>
      </c>
      <c r="H321" s="9" t="s">
        <v>611</v>
      </c>
      <c r="Q321" s="1" t="str">
        <f aca="false">IF(OR($A321="",P321=""),"",ROUND(YEARFRAC(P321,README!$C$5),1))</f>
        <v/>
      </c>
      <c r="V321" s="1" t="str">
        <f aca="false">IF($A321="","",IF(OR(T321="",U321=""),"",U321-T321))</f>
        <v/>
      </c>
      <c r="Z321" s="6" t="s">
        <v>1471</v>
      </c>
      <c r="AA321" s="9" t="s">
        <v>528</v>
      </c>
      <c r="AB321" s="6" t="s">
        <v>1542</v>
      </c>
      <c r="AE321" s="37" t="n">
        <f aca="false">COUNTIF(環境認証!$A$2:$A$849,A321)</f>
        <v>0</v>
      </c>
    </row>
    <row r="322" customFormat="false" ht="15" hidden="false" customHeight="true" outlineLevel="0" collapsed="false">
      <c r="A322" s="6" t="s">
        <v>1543</v>
      </c>
      <c r="B322" s="6" t="s">
        <v>403</v>
      </c>
      <c r="C322" s="9" t="s">
        <v>1544</v>
      </c>
      <c r="D322" s="9" t="s">
        <v>522</v>
      </c>
      <c r="E322" s="9" t="s">
        <v>1545</v>
      </c>
      <c r="F322" s="9" t="s">
        <v>1546</v>
      </c>
      <c r="H322" s="9" t="s">
        <v>734</v>
      </c>
      <c r="M322" s="6" t="n">
        <v>6329.33</v>
      </c>
      <c r="Q322" s="1" t="str">
        <f aca="false">IF(OR($A322="",P322=""),"",ROUND(YEARFRAC(P322,README!$C$5),1))</f>
        <v/>
      </c>
      <c r="T322" s="6" t="n">
        <v>1929</v>
      </c>
      <c r="U322" s="6" t="n">
        <v>4070</v>
      </c>
      <c r="V322" s="6" t="n">
        <v>2141</v>
      </c>
      <c r="W322" s="6" t="n">
        <v>0.987</v>
      </c>
      <c r="X322" s="6" t="n">
        <v>16</v>
      </c>
      <c r="Z322" s="6" t="s">
        <v>1471</v>
      </c>
      <c r="AA322" s="9" t="s">
        <v>528</v>
      </c>
      <c r="AB322" s="6" t="s">
        <v>1547</v>
      </c>
      <c r="AE322" s="37" t="n">
        <f aca="false">COUNTIF(環境認証!$A$2:$A$849,A322)</f>
        <v>1</v>
      </c>
      <c r="AF322" s="6" t="n">
        <v>111</v>
      </c>
    </row>
    <row r="323" customFormat="false" ht="15" hidden="false" customHeight="true" outlineLevel="0" collapsed="false">
      <c r="A323" s="6" t="s">
        <v>1548</v>
      </c>
      <c r="B323" s="6" t="s">
        <v>403</v>
      </c>
      <c r="C323" s="9" t="s">
        <v>1549</v>
      </c>
      <c r="D323" s="9" t="s">
        <v>522</v>
      </c>
      <c r="E323" s="9" t="s">
        <v>523</v>
      </c>
      <c r="F323" s="9" t="s">
        <v>524</v>
      </c>
      <c r="H323" s="9" t="s">
        <v>525</v>
      </c>
      <c r="M323" s="6" t="n">
        <v>2523.09</v>
      </c>
      <c r="Q323" s="1" t="str">
        <f aca="false">IF(OR($A323="",P323=""),"",ROUND(YEARFRAC(P323,README!$C$5),1))</f>
        <v/>
      </c>
      <c r="T323" s="6" t="n">
        <v>2033</v>
      </c>
      <c r="U323" s="6" t="n">
        <v>3330</v>
      </c>
      <c r="V323" s="6" t="n">
        <v>1297</v>
      </c>
      <c r="W323" s="6" t="n">
        <v>1</v>
      </c>
      <c r="X323" s="6" t="n">
        <v>11</v>
      </c>
      <c r="Z323" s="6" t="s">
        <v>1471</v>
      </c>
      <c r="AA323" s="9" t="s">
        <v>528</v>
      </c>
      <c r="AB323" s="6" t="s">
        <v>1550</v>
      </c>
      <c r="AE323" s="37" t="n">
        <f aca="false">COUNTIF(環境認証!$A$2:$A$849,A323)</f>
        <v>1</v>
      </c>
      <c r="AF323" s="6" t="n">
        <v>63.8</v>
      </c>
    </row>
    <row r="324" customFormat="false" ht="15" hidden="false" customHeight="true" outlineLevel="0" collapsed="false">
      <c r="A324" s="6" t="s">
        <v>1551</v>
      </c>
      <c r="B324" s="6" t="s">
        <v>403</v>
      </c>
      <c r="C324" s="9" t="s">
        <v>1552</v>
      </c>
      <c r="D324" s="9" t="s">
        <v>522</v>
      </c>
      <c r="E324" s="9" t="s">
        <v>523</v>
      </c>
      <c r="F324" s="9" t="s">
        <v>524</v>
      </c>
      <c r="H324" s="9" t="s">
        <v>525</v>
      </c>
      <c r="M324" s="6" t="n">
        <v>6250.53</v>
      </c>
      <c r="Q324" s="1" t="str">
        <f aca="false">IF(OR($A324="",P324=""),"",ROUND(YEARFRAC(P324,README!$C$5),1))</f>
        <v/>
      </c>
      <c r="T324" s="6" t="n">
        <v>5369</v>
      </c>
      <c r="U324" s="6" t="n">
        <v>8720</v>
      </c>
      <c r="V324" s="6" t="n">
        <v>3351</v>
      </c>
      <c r="W324" s="6" t="n">
        <v>1</v>
      </c>
      <c r="X324" s="6" t="n">
        <v>1</v>
      </c>
      <c r="Z324" s="6" t="s">
        <v>1471</v>
      </c>
      <c r="AA324" s="9" t="s">
        <v>528</v>
      </c>
      <c r="AB324" s="6" t="s">
        <v>1553</v>
      </c>
      <c r="AE324" s="37" t="n">
        <f aca="false">COUNTIF(環境認証!$A$2:$A$849,A324)</f>
        <v>2</v>
      </c>
      <c r="AF324" s="6" t="n">
        <v>62.4</v>
      </c>
    </row>
    <row r="325" customFormat="false" ht="15" hidden="false" customHeight="true" outlineLevel="0" collapsed="false">
      <c r="A325" s="6" t="s">
        <v>1554</v>
      </c>
      <c r="B325" s="6" t="s">
        <v>403</v>
      </c>
      <c r="C325" s="9" t="s">
        <v>1555</v>
      </c>
      <c r="D325" s="9" t="s">
        <v>522</v>
      </c>
      <c r="E325" s="9" t="s">
        <v>573</v>
      </c>
      <c r="F325" s="9" t="s">
        <v>680</v>
      </c>
      <c r="H325" s="9" t="s">
        <v>569</v>
      </c>
      <c r="M325" s="6" t="n">
        <v>3729.35</v>
      </c>
      <c r="Q325" s="1" t="str">
        <f aca="false">IF(OR($A325="",P325=""),"",ROUND(YEARFRAC(P325,README!$C$5),1))</f>
        <v/>
      </c>
      <c r="T325" s="6" t="n">
        <v>1636</v>
      </c>
      <c r="U325" s="6" t="n">
        <v>2810</v>
      </c>
      <c r="V325" s="6" t="n">
        <v>1174</v>
      </c>
      <c r="W325" s="6" t="n">
        <v>1</v>
      </c>
      <c r="X325" s="6" t="n">
        <v>14</v>
      </c>
      <c r="Z325" s="6" t="s">
        <v>1471</v>
      </c>
      <c r="AA325" s="9" t="s">
        <v>528</v>
      </c>
      <c r="AB325" s="6" t="s">
        <v>1556</v>
      </c>
      <c r="AE325" s="37" t="n">
        <f aca="false">COUNTIF(環境認証!$A$2:$A$849,A325)</f>
        <v>1</v>
      </c>
      <c r="AF325" s="6" t="n">
        <v>71.8</v>
      </c>
    </row>
    <row r="326" customFormat="false" ht="15" hidden="false" customHeight="true" outlineLevel="0" collapsed="false">
      <c r="A326" s="6" t="s">
        <v>1557</v>
      </c>
      <c r="B326" s="6" t="s">
        <v>403</v>
      </c>
      <c r="C326" s="9" t="s">
        <v>1558</v>
      </c>
      <c r="D326" s="9" t="s">
        <v>522</v>
      </c>
      <c r="E326" s="9" t="s">
        <v>523</v>
      </c>
      <c r="F326" s="9" t="s">
        <v>524</v>
      </c>
      <c r="H326" s="9" t="s">
        <v>525</v>
      </c>
      <c r="M326" s="6" t="n">
        <v>2323.25</v>
      </c>
      <c r="Q326" s="1" t="str">
        <f aca="false">IF(OR($A326="",P326=""),"",ROUND(YEARFRAC(P326,README!$C$5),1))</f>
        <v/>
      </c>
      <c r="T326" s="6" t="n">
        <v>2334</v>
      </c>
      <c r="U326" s="6" t="n">
        <v>3440</v>
      </c>
      <c r="V326" s="6" t="n">
        <v>1106</v>
      </c>
      <c r="W326" s="6" t="n">
        <v>1</v>
      </c>
      <c r="X326" s="6" t="n">
        <v>9</v>
      </c>
      <c r="Z326" s="6" t="s">
        <v>1471</v>
      </c>
      <c r="AA326" s="9" t="s">
        <v>528</v>
      </c>
      <c r="AB326" s="6" t="s">
        <v>1559</v>
      </c>
      <c r="AE326" s="37" t="n">
        <f aca="false">COUNTIF(環境認証!$A$2:$A$849,A326)</f>
        <v>0</v>
      </c>
      <c r="AF326" s="6" t="n">
        <v>47.4</v>
      </c>
    </row>
    <row r="327" customFormat="false" ht="15" hidden="false" customHeight="true" outlineLevel="0" collapsed="false">
      <c r="A327" s="6" t="s">
        <v>1560</v>
      </c>
      <c r="B327" s="6" t="s">
        <v>403</v>
      </c>
      <c r="C327" s="9" t="s">
        <v>1561</v>
      </c>
      <c r="D327" s="9" t="s">
        <v>522</v>
      </c>
      <c r="E327" s="9" t="s">
        <v>523</v>
      </c>
      <c r="F327" s="9" t="s">
        <v>666</v>
      </c>
      <c r="H327" s="9" t="s">
        <v>525</v>
      </c>
      <c r="M327" s="6" t="n">
        <v>2716.33</v>
      </c>
      <c r="Q327" s="1" t="str">
        <f aca="false">IF(OR($A327="",P327=""),"",ROUND(YEARFRAC(P327,README!$C$5),1))</f>
        <v/>
      </c>
      <c r="T327" s="6" t="n">
        <v>1683</v>
      </c>
      <c r="U327" s="6" t="n">
        <v>3230</v>
      </c>
      <c r="V327" s="6" t="n">
        <v>1547</v>
      </c>
      <c r="W327" s="6" t="n">
        <v>1</v>
      </c>
      <c r="X327" s="6" t="n">
        <v>7</v>
      </c>
      <c r="Z327" s="6" t="s">
        <v>1471</v>
      </c>
      <c r="AA327" s="9" t="s">
        <v>528</v>
      </c>
      <c r="AB327" s="6" t="s">
        <v>1562</v>
      </c>
      <c r="AE327" s="37" t="n">
        <f aca="false">COUNTIF(環境認証!$A$2:$A$849,A327)</f>
        <v>1</v>
      </c>
      <c r="AF327" s="6" t="n">
        <v>91.9</v>
      </c>
    </row>
    <row r="328" customFormat="false" ht="15" hidden="false" customHeight="true" outlineLevel="0" collapsed="false">
      <c r="A328" s="6" t="s">
        <v>1563</v>
      </c>
      <c r="B328" s="6" t="s">
        <v>403</v>
      </c>
      <c r="C328" s="9" t="s">
        <v>1564</v>
      </c>
      <c r="D328" s="9" t="s">
        <v>522</v>
      </c>
      <c r="E328" s="9" t="s">
        <v>523</v>
      </c>
      <c r="F328" s="9" t="s">
        <v>648</v>
      </c>
      <c r="H328" s="9" t="s">
        <v>525</v>
      </c>
      <c r="M328" s="6" t="n">
        <v>3159.27</v>
      </c>
      <c r="Q328" s="1" t="str">
        <f aca="false">IF(OR($A328="",P328=""),"",ROUND(YEARFRAC(P328,README!$C$5),1))</f>
        <v/>
      </c>
      <c r="T328" s="6" t="n">
        <v>5708</v>
      </c>
      <c r="U328" s="6" t="n">
        <v>8580</v>
      </c>
      <c r="V328" s="6" t="n">
        <v>2872</v>
      </c>
      <c r="W328" s="6" t="n">
        <v>1</v>
      </c>
      <c r="X328" s="6" t="n">
        <v>6</v>
      </c>
      <c r="Z328" s="6" t="s">
        <v>1471</v>
      </c>
      <c r="AA328" s="9" t="s">
        <v>528</v>
      </c>
      <c r="AB328" s="6" t="s">
        <v>1565</v>
      </c>
      <c r="AE328" s="37" t="n">
        <f aca="false">COUNTIF(環境認証!$A$2:$A$849,A328)</f>
        <v>1</v>
      </c>
      <c r="AF328" s="6" t="n">
        <v>50.3</v>
      </c>
    </row>
    <row r="329" customFormat="false" ht="15" hidden="false" customHeight="true" outlineLevel="0" collapsed="false">
      <c r="A329" s="6" t="s">
        <v>1566</v>
      </c>
      <c r="B329" s="6" t="s">
        <v>403</v>
      </c>
      <c r="C329" s="9" t="s">
        <v>1567</v>
      </c>
      <c r="D329" s="9" t="s">
        <v>522</v>
      </c>
      <c r="E329" s="9" t="s">
        <v>523</v>
      </c>
      <c r="F329" s="9" t="s">
        <v>625</v>
      </c>
      <c r="H329" s="9" t="s">
        <v>540</v>
      </c>
      <c r="M329" s="6" t="n">
        <v>3585.93</v>
      </c>
      <c r="Q329" s="1" t="str">
        <f aca="false">IF(OR($A329="",P329=""),"",ROUND(YEARFRAC(P329,README!$C$5),1))</f>
        <v/>
      </c>
      <c r="T329" s="6" t="n">
        <v>3825</v>
      </c>
      <c r="U329" s="6" t="n">
        <v>4920</v>
      </c>
      <c r="V329" s="6" t="n">
        <v>1095</v>
      </c>
      <c r="W329" s="6" t="n">
        <v>1</v>
      </c>
      <c r="X329" s="6" t="n">
        <v>11</v>
      </c>
      <c r="Z329" s="6" t="s">
        <v>1471</v>
      </c>
      <c r="AA329" s="9" t="s">
        <v>528</v>
      </c>
      <c r="AB329" s="6" t="s">
        <v>1568</v>
      </c>
      <c r="AE329" s="37" t="n">
        <f aca="false">COUNTIF(環境認証!$A$2:$A$849,A329)</f>
        <v>0</v>
      </c>
      <c r="AF329" s="6" t="n">
        <v>28.6</v>
      </c>
    </row>
    <row r="330" customFormat="false" ht="15" hidden="false" customHeight="true" outlineLevel="0" collapsed="false">
      <c r="A330" s="6" t="s">
        <v>1569</v>
      </c>
      <c r="B330" s="6" t="s">
        <v>403</v>
      </c>
      <c r="C330" s="9" t="s">
        <v>1570</v>
      </c>
      <c r="D330" s="9" t="s">
        <v>522</v>
      </c>
      <c r="E330" s="9" t="s">
        <v>523</v>
      </c>
      <c r="F330" s="9" t="s">
        <v>806</v>
      </c>
      <c r="H330" s="9" t="s">
        <v>525</v>
      </c>
      <c r="M330" s="6" t="n">
        <v>1609.56</v>
      </c>
      <c r="Q330" s="1" t="str">
        <f aca="false">IF(OR($A330="",P330=""),"",ROUND(YEARFRAC(P330,README!$C$5),1))</f>
        <v/>
      </c>
      <c r="T330" s="6" t="n">
        <v>1647</v>
      </c>
      <c r="U330" s="6" t="n">
        <v>2020</v>
      </c>
      <c r="V330" s="6" t="n">
        <v>373</v>
      </c>
      <c r="W330" s="6" t="n">
        <v>1</v>
      </c>
      <c r="X330" s="6" t="n">
        <v>8</v>
      </c>
      <c r="Z330" s="6" t="s">
        <v>1471</v>
      </c>
      <c r="AA330" s="9" t="s">
        <v>528</v>
      </c>
      <c r="AB330" s="6" t="s">
        <v>1571</v>
      </c>
      <c r="AE330" s="37" t="n">
        <f aca="false">COUNTIF(環境認証!$A$2:$A$849,A330)</f>
        <v>0</v>
      </c>
      <c r="AF330" s="6" t="n">
        <v>22.6</v>
      </c>
    </row>
    <row r="331" customFormat="false" ht="15" hidden="false" customHeight="true" outlineLevel="0" collapsed="false">
      <c r="A331" s="6" t="s">
        <v>1572</v>
      </c>
      <c r="B331" s="6" t="s">
        <v>403</v>
      </c>
      <c r="C331" s="9" t="s">
        <v>1573</v>
      </c>
      <c r="D331" s="9" t="s">
        <v>522</v>
      </c>
      <c r="E331" s="9" t="s">
        <v>555</v>
      </c>
      <c r="F331" s="9" t="s">
        <v>711</v>
      </c>
      <c r="H331" s="9" t="s">
        <v>550</v>
      </c>
      <c r="M331" s="6" t="n">
        <v>6213.3</v>
      </c>
      <c r="Q331" s="1" t="str">
        <f aca="false">IF(OR($A331="",P331=""),"",ROUND(YEARFRAC(P331,README!$C$5),1))</f>
        <v/>
      </c>
      <c r="T331" s="6" t="n">
        <v>3471</v>
      </c>
      <c r="U331" s="6" t="n">
        <v>4830</v>
      </c>
      <c r="V331" s="6" t="n">
        <v>1359</v>
      </c>
      <c r="W331" s="6" t="n">
        <v>0.937</v>
      </c>
      <c r="X331" s="6" t="n">
        <v>30</v>
      </c>
      <c r="Z331" s="6" t="s">
        <v>1471</v>
      </c>
      <c r="AA331" s="9" t="s">
        <v>528</v>
      </c>
      <c r="AB331" s="6" t="s">
        <v>1574</v>
      </c>
      <c r="AE331" s="37" t="n">
        <f aca="false">COUNTIF(環境認証!$A$2:$A$849,A331)</f>
        <v>2</v>
      </c>
      <c r="AF331" s="6" t="n">
        <v>39.2</v>
      </c>
    </row>
    <row r="332" customFormat="false" ht="15" hidden="false" customHeight="true" outlineLevel="0" collapsed="false">
      <c r="A332" s="6" t="s">
        <v>1575</v>
      </c>
      <c r="B332" s="6" t="s">
        <v>403</v>
      </c>
      <c r="C332" s="9" t="s">
        <v>1576</v>
      </c>
      <c r="D332" s="9" t="s">
        <v>522</v>
      </c>
      <c r="E332" s="9" t="s">
        <v>547</v>
      </c>
      <c r="F332" s="9" t="s">
        <v>1577</v>
      </c>
      <c r="H332" s="9" t="s">
        <v>550</v>
      </c>
      <c r="M332" s="6" t="n">
        <v>2960.81</v>
      </c>
      <c r="Q332" s="1" t="str">
        <f aca="false">IF(OR($A332="",P332=""),"",ROUND(YEARFRAC(P332,README!$C$5),1))</f>
        <v/>
      </c>
      <c r="T332" s="6" t="n">
        <v>1197</v>
      </c>
      <c r="U332" s="6" t="n">
        <v>1350</v>
      </c>
      <c r="V332" s="6" t="n">
        <v>153</v>
      </c>
      <c r="W332" s="6" t="n">
        <v>1</v>
      </c>
      <c r="X332" s="6" t="n">
        <v>14</v>
      </c>
      <c r="Z332" s="6" t="s">
        <v>1471</v>
      </c>
      <c r="AA332" s="9" t="s">
        <v>528</v>
      </c>
      <c r="AB332" s="6" t="s">
        <v>1578</v>
      </c>
      <c r="AE332" s="37" t="n">
        <f aca="false">COUNTIF(環境認証!$A$2:$A$849,A332)</f>
        <v>0</v>
      </c>
      <c r="AF332" s="6" t="n">
        <v>12.8</v>
      </c>
    </row>
    <row r="333" customFormat="false" ht="15" hidden="false" customHeight="true" outlineLevel="0" collapsed="false">
      <c r="A333" s="6" t="s">
        <v>1579</v>
      </c>
      <c r="B333" s="6" t="s">
        <v>403</v>
      </c>
      <c r="C333" s="9" t="s">
        <v>1580</v>
      </c>
      <c r="D333" s="9" t="s">
        <v>522</v>
      </c>
      <c r="E333" s="9" t="s">
        <v>724</v>
      </c>
      <c r="F333" s="9" t="s">
        <v>725</v>
      </c>
      <c r="H333" s="6" t="s">
        <v>599</v>
      </c>
      <c r="M333" s="6" t="n">
        <v>5205.49</v>
      </c>
      <c r="Q333" s="1" t="str">
        <f aca="false">IF(OR($A333="",P333=""),"",ROUND(YEARFRAC(P333,README!$C$5),1))</f>
        <v/>
      </c>
      <c r="T333" s="6" t="n">
        <v>1477</v>
      </c>
      <c r="U333" s="6" t="n">
        <v>2220</v>
      </c>
      <c r="V333" s="6" t="n">
        <v>743</v>
      </c>
      <c r="W333" s="6" t="n">
        <v>1</v>
      </c>
      <c r="X333" s="6" t="n">
        <v>10</v>
      </c>
      <c r="Z333" s="6" t="s">
        <v>1471</v>
      </c>
      <c r="AA333" s="9" t="s">
        <v>528</v>
      </c>
      <c r="AB333" s="6" t="s">
        <v>1581</v>
      </c>
      <c r="AE333" s="37" t="n">
        <f aca="false">COUNTIF(環境認証!$A$2:$A$849,A333)</f>
        <v>1</v>
      </c>
      <c r="AF333" s="6" t="n">
        <v>50.3</v>
      </c>
    </row>
    <row r="334" customFormat="false" ht="15" hidden="false" customHeight="true" outlineLevel="0" collapsed="false">
      <c r="A334" s="6" t="s">
        <v>1582</v>
      </c>
      <c r="B334" s="6" t="s">
        <v>403</v>
      </c>
      <c r="C334" s="9" t="s">
        <v>1583</v>
      </c>
      <c r="D334" s="9" t="s">
        <v>522</v>
      </c>
      <c r="E334" s="9" t="s">
        <v>1163</v>
      </c>
      <c r="F334" s="9" t="s">
        <v>1164</v>
      </c>
      <c r="H334" s="6" t="s">
        <v>599</v>
      </c>
      <c r="M334" s="6" t="n">
        <v>4507.59</v>
      </c>
      <c r="Q334" s="1" t="str">
        <f aca="false">IF(OR($A334="",P334=""),"",ROUND(YEARFRAC(P334,README!$C$5),1))</f>
        <v/>
      </c>
      <c r="T334" s="6" t="n">
        <v>1566</v>
      </c>
      <c r="U334" s="6" t="n">
        <v>1760</v>
      </c>
      <c r="V334" s="6" t="n">
        <v>194</v>
      </c>
      <c r="W334" s="6" t="n">
        <v>1</v>
      </c>
      <c r="X334" s="6" t="n">
        <v>35</v>
      </c>
      <c r="Z334" s="6" t="s">
        <v>1471</v>
      </c>
      <c r="AA334" s="9" t="s">
        <v>528</v>
      </c>
      <c r="AB334" s="6" t="s">
        <v>1584</v>
      </c>
      <c r="AE334" s="37" t="n">
        <f aca="false">COUNTIF(環境認証!$A$2:$A$849,A334)</f>
        <v>1</v>
      </c>
      <c r="AF334" s="6" t="n">
        <v>12.4</v>
      </c>
    </row>
    <row r="335" customFormat="false" ht="15" hidden="false" customHeight="true" outlineLevel="0" collapsed="false">
      <c r="A335" s="6" t="s">
        <v>1585</v>
      </c>
      <c r="B335" s="6" t="s">
        <v>403</v>
      </c>
      <c r="C335" s="9" t="s">
        <v>1586</v>
      </c>
      <c r="D335" s="9" t="s">
        <v>522</v>
      </c>
      <c r="E335" s="9" t="s">
        <v>523</v>
      </c>
      <c r="F335" s="9" t="s">
        <v>648</v>
      </c>
      <c r="H335" s="9" t="s">
        <v>525</v>
      </c>
      <c r="M335" s="6" t="n">
        <v>4524.24</v>
      </c>
      <c r="Q335" s="1" t="str">
        <f aca="false">IF(OR($A335="",P335=""),"",ROUND(YEARFRAC(P335,README!$C$5),1))</f>
        <v/>
      </c>
      <c r="T335" s="6" t="n">
        <v>7524</v>
      </c>
      <c r="U335" s="6" t="n">
        <v>9200</v>
      </c>
      <c r="V335" s="6" t="n">
        <v>1676</v>
      </c>
      <c r="W335" s="6" t="n">
        <v>0.922</v>
      </c>
      <c r="X335" s="6" t="n">
        <v>5</v>
      </c>
      <c r="Z335" s="6" t="s">
        <v>1471</v>
      </c>
      <c r="AA335" s="9" t="s">
        <v>528</v>
      </c>
      <c r="AB335" s="6" t="s">
        <v>1587</v>
      </c>
      <c r="AE335" s="37" t="n">
        <f aca="false">COUNTIF(環境認証!$A$2:$A$849,A335)</f>
        <v>1</v>
      </c>
      <c r="AF335" s="6" t="n">
        <v>22.3</v>
      </c>
    </row>
    <row r="336" customFormat="false" ht="15" hidden="false" customHeight="true" outlineLevel="0" collapsed="false">
      <c r="A336" s="6" t="s">
        <v>1588</v>
      </c>
      <c r="B336" s="6" t="s">
        <v>403</v>
      </c>
      <c r="C336" s="9" t="s">
        <v>1589</v>
      </c>
      <c r="D336" s="9" t="s">
        <v>522</v>
      </c>
      <c r="E336" s="9" t="s">
        <v>523</v>
      </c>
      <c r="F336" s="9" t="s">
        <v>648</v>
      </c>
      <c r="H336" s="9" t="s">
        <v>525</v>
      </c>
      <c r="M336" s="6" t="n">
        <v>2789.86</v>
      </c>
      <c r="Q336" s="1" t="str">
        <f aca="false">IF(OR($A336="",P336=""),"",ROUND(YEARFRAC(P336,README!$C$5),1))</f>
        <v/>
      </c>
      <c r="T336" s="6" t="n">
        <v>3775</v>
      </c>
      <c r="U336" s="6" t="n">
        <v>6320</v>
      </c>
      <c r="V336" s="6" t="n">
        <v>2545</v>
      </c>
      <c r="W336" s="6" t="n">
        <v>0.953</v>
      </c>
      <c r="X336" s="6" t="n">
        <v>10</v>
      </c>
      <c r="Z336" s="6" t="s">
        <v>1471</v>
      </c>
      <c r="AA336" s="9" t="s">
        <v>528</v>
      </c>
      <c r="AB336" s="6" t="s">
        <v>1590</v>
      </c>
      <c r="AE336" s="37" t="n">
        <f aca="false">COUNTIF(環境認証!$A$2:$A$849,A336)</f>
        <v>0</v>
      </c>
      <c r="AF336" s="6" t="n">
        <v>67.4</v>
      </c>
    </row>
    <row r="337" customFormat="false" ht="15" hidden="false" customHeight="true" outlineLevel="0" collapsed="false">
      <c r="A337" s="6" t="s">
        <v>1591</v>
      </c>
      <c r="B337" s="6" t="s">
        <v>403</v>
      </c>
      <c r="C337" s="9" t="s">
        <v>1592</v>
      </c>
      <c r="D337" s="9" t="s">
        <v>522</v>
      </c>
      <c r="E337" s="9" t="s">
        <v>523</v>
      </c>
      <c r="F337" s="9" t="s">
        <v>648</v>
      </c>
      <c r="H337" s="9" t="s">
        <v>525</v>
      </c>
      <c r="M337" s="6" t="n">
        <v>3510.44</v>
      </c>
      <c r="Q337" s="1" t="str">
        <f aca="false">IF(OR($A337="",P337=""),"",ROUND(YEARFRAC(P337,README!$C$5),1))</f>
        <v/>
      </c>
      <c r="T337" s="6" t="n">
        <v>3976</v>
      </c>
      <c r="U337" s="6" t="n">
        <v>4980</v>
      </c>
      <c r="V337" s="6" t="n">
        <v>1004</v>
      </c>
      <c r="W337" s="6" t="n">
        <v>1</v>
      </c>
      <c r="X337" s="6" t="n">
        <v>4</v>
      </c>
      <c r="Z337" s="6" t="s">
        <v>1471</v>
      </c>
      <c r="AA337" s="9" t="s">
        <v>528</v>
      </c>
      <c r="AB337" s="6" t="s">
        <v>1593</v>
      </c>
      <c r="AE337" s="37" t="n">
        <f aca="false">COUNTIF(環境認証!$A$2:$A$849,A337)</f>
        <v>0</v>
      </c>
      <c r="AF337" s="6" t="n">
        <v>25.3</v>
      </c>
    </row>
    <row r="338" customFormat="false" ht="15" hidden="false" customHeight="true" outlineLevel="0" collapsed="false">
      <c r="A338" s="6" t="s">
        <v>1594</v>
      </c>
      <c r="B338" s="6" t="s">
        <v>403</v>
      </c>
      <c r="C338" s="9" t="s">
        <v>1595</v>
      </c>
      <c r="D338" s="9" t="s">
        <v>522</v>
      </c>
      <c r="E338" s="9" t="s">
        <v>523</v>
      </c>
      <c r="F338" s="9" t="s">
        <v>648</v>
      </c>
      <c r="H338" s="9" t="s">
        <v>525</v>
      </c>
      <c r="M338" s="6" t="n">
        <v>6425.29</v>
      </c>
      <c r="Q338" s="1" t="str">
        <f aca="false">IF(OR($A338="",P338=""),"",ROUND(YEARFRAC(P338,README!$C$5),1))</f>
        <v/>
      </c>
      <c r="T338" s="6" t="n">
        <v>5030</v>
      </c>
      <c r="U338" s="6" t="n">
        <v>8430</v>
      </c>
      <c r="V338" s="6" t="n">
        <v>3400</v>
      </c>
      <c r="W338" s="6" t="n">
        <v>1</v>
      </c>
      <c r="X338" s="6" t="n">
        <v>11</v>
      </c>
      <c r="Z338" s="6" t="s">
        <v>1471</v>
      </c>
      <c r="AA338" s="9" t="s">
        <v>528</v>
      </c>
      <c r="AB338" s="6" t="s">
        <v>1596</v>
      </c>
      <c r="AE338" s="37" t="n">
        <f aca="false">COUNTIF(環境認証!$A$2:$A$849,A338)</f>
        <v>0</v>
      </c>
      <c r="AF338" s="6" t="n">
        <v>67.6</v>
      </c>
    </row>
    <row r="339" customFormat="false" ht="15" hidden="false" customHeight="true" outlineLevel="0" collapsed="false">
      <c r="A339" s="6" t="s">
        <v>1597</v>
      </c>
      <c r="B339" s="6" t="s">
        <v>403</v>
      </c>
      <c r="C339" s="9" t="s">
        <v>1598</v>
      </c>
      <c r="D339" s="9" t="s">
        <v>522</v>
      </c>
      <c r="E339" s="9" t="s">
        <v>523</v>
      </c>
      <c r="F339" s="9" t="s">
        <v>666</v>
      </c>
      <c r="H339" s="9" t="s">
        <v>525</v>
      </c>
      <c r="M339" s="6" t="n">
        <v>4216.97</v>
      </c>
      <c r="Q339" s="1" t="str">
        <f aca="false">IF(OR($A339="",P339=""),"",ROUND(YEARFRAC(P339,README!$C$5),1))</f>
        <v/>
      </c>
      <c r="T339" s="6" t="n">
        <v>4162</v>
      </c>
      <c r="U339" s="6" t="n">
        <v>5730</v>
      </c>
      <c r="V339" s="6" t="n">
        <v>1568</v>
      </c>
      <c r="W339" s="6" t="n">
        <v>1</v>
      </c>
      <c r="X339" s="6" t="n">
        <v>7</v>
      </c>
      <c r="Z339" s="6" t="s">
        <v>1471</v>
      </c>
      <c r="AA339" s="9" t="s">
        <v>528</v>
      </c>
      <c r="AB339" s="6" t="s">
        <v>1599</v>
      </c>
      <c r="AE339" s="37" t="n">
        <f aca="false">COUNTIF(環境認証!$A$2:$A$849,A339)</f>
        <v>1</v>
      </c>
      <c r="AF339" s="6" t="n">
        <v>37.7</v>
      </c>
    </row>
    <row r="340" customFormat="false" ht="15" hidden="false" customHeight="true" outlineLevel="0" collapsed="false">
      <c r="A340" s="6" t="s">
        <v>1600</v>
      </c>
      <c r="B340" s="6" t="s">
        <v>403</v>
      </c>
      <c r="C340" s="9" t="s">
        <v>1601</v>
      </c>
      <c r="D340" s="9" t="s">
        <v>522</v>
      </c>
      <c r="E340" s="9" t="s">
        <v>523</v>
      </c>
      <c r="F340" s="9" t="s">
        <v>666</v>
      </c>
      <c r="H340" s="9" t="s">
        <v>525</v>
      </c>
      <c r="M340" s="6" t="n">
        <v>2971.22</v>
      </c>
      <c r="Q340" s="1" t="str">
        <f aca="false">IF(OR($A340="",P340=""),"",ROUND(YEARFRAC(P340,README!$C$5),1))</f>
        <v/>
      </c>
      <c r="T340" s="6" t="n">
        <v>2517</v>
      </c>
      <c r="U340" s="6" t="n">
        <v>3670</v>
      </c>
      <c r="V340" s="6" t="n">
        <v>1153</v>
      </c>
      <c r="W340" s="6" t="n">
        <v>1</v>
      </c>
      <c r="X340" s="6" t="n">
        <v>5</v>
      </c>
      <c r="Z340" s="6" t="s">
        <v>1471</v>
      </c>
      <c r="AA340" s="9" t="s">
        <v>528</v>
      </c>
      <c r="AB340" s="6" t="s">
        <v>1602</v>
      </c>
      <c r="AE340" s="37" t="n">
        <f aca="false">COUNTIF(環境認証!$A$2:$A$849,A340)</f>
        <v>0</v>
      </c>
      <c r="AF340" s="6" t="n">
        <v>45.8</v>
      </c>
    </row>
    <row r="341" customFormat="false" ht="15" hidden="false" customHeight="true" outlineLevel="0" collapsed="false">
      <c r="A341" s="6" t="s">
        <v>1603</v>
      </c>
      <c r="B341" s="6" t="s">
        <v>403</v>
      </c>
      <c r="C341" s="9" t="s">
        <v>1604</v>
      </c>
      <c r="D341" s="9" t="s">
        <v>522</v>
      </c>
      <c r="E341" s="9" t="s">
        <v>523</v>
      </c>
      <c r="F341" s="9" t="s">
        <v>666</v>
      </c>
      <c r="H341" s="9" t="s">
        <v>525</v>
      </c>
      <c r="M341" s="6" t="n">
        <v>2312.03</v>
      </c>
      <c r="Q341" s="1" t="str">
        <f aca="false">IF(OR($A341="",P341=""),"",ROUND(YEARFRAC(P341,README!$C$5),1))</f>
        <v/>
      </c>
      <c r="T341" s="6" t="n">
        <v>2415</v>
      </c>
      <c r="U341" s="6" t="n">
        <v>3360</v>
      </c>
      <c r="V341" s="6" t="n">
        <v>945</v>
      </c>
      <c r="W341" s="6" t="n">
        <v>1</v>
      </c>
      <c r="X341" s="6" t="n">
        <v>6</v>
      </c>
      <c r="Z341" s="6" t="s">
        <v>1471</v>
      </c>
      <c r="AA341" s="9" t="s">
        <v>528</v>
      </c>
      <c r="AB341" s="6" t="s">
        <v>1605</v>
      </c>
      <c r="AE341" s="37" t="n">
        <f aca="false">COUNTIF(環境認証!$A$2:$A$849,A341)</f>
        <v>0</v>
      </c>
      <c r="AF341" s="6" t="n">
        <v>39.1</v>
      </c>
    </row>
    <row r="342" customFormat="false" ht="15" hidden="false" customHeight="true" outlineLevel="0" collapsed="false">
      <c r="A342" s="6" t="s">
        <v>1606</v>
      </c>
      <c r="B342" s="6" t="s">
        <v>403</v>
      </c>
      <c r="C342" s="9" t="s">
        <v>1607</v>
      </c>
      <c r="D342" s="9" t="s">
        <v>522</v>
      </c>
      <c r="E342" s="9" t="s">
        <v>523</v>
      </c>
      <c r="F342" s="9" t="s">
        <v>524</v>
      </c>
      <c r="H342" s="9" t="s">
        <v>525</v>
      </c>
      <c r="M342" s="6" t="n">
        <v>3090.65</v>
      </c>
      <c r="Q342" s="1" t="str">
        <f aca="false">IF(OR($A342="",P342=""),"",ROUND(YEARFRAC(P342,README!$C$5),1))</f>
        <v/>
      </c>
      <c r="T342" s="6" t="n">
        <v>3267</v>
      </c>
      <c r="U342" s="6" t="n">
        <v>3750</v>
      </c>
      <c r="V342" s="6" t="n">
        <v>483</v>
      </c>
      <c r="W342" s="6" t="n">
        <v>1</v>
      </c>
      <c r="X342" s="6" t="n">
        <v>10</v>
      </c>
      <c r="Z342" s="6" t="s">
        <v>1471</v>
      </c>
      <c r="AA342" s="9" t="s">
        <v>528</v>
      </c>
      <c r="AB342" s="6" t="s">
        <v>1608</v>
      </c>
      <c r="AE342" s="37" t="n">
        <f aca="false">COUNTIF(環境認証!$A$2:$A$849,A342)</f>
        <v>0</v>
      </c>
      <c r="AF342" s="6" t="n">
        <v>14.8</v>
      </c>
    </row>
    <row r="343" customFormat="false" ht="15" hidden="false" customHeight="true" outlineLevel="0" collapsed="false">
      <c r="A343" s="6" t="s">
        <v>1609</v>
      </c>
      <c r="B343" s="6" t="s">
        <v>403</v>
      </c>
      <c r="C343" s="9" t="s">
        <v>1610</v>
      </c>
      <c r="D343" s="9" t="s">
        <v>522</v>
      </c>
      <c r="E343" s="9" t="s">
        <v>523</v>
      </c>
      <c r="F343" s="9" t="s">
        <v>625</v>
      </c>
      <c r="H343" s="9" t="s">
        <v>540</v>
      </c>
      <c r="M343" s="6" t="n">
        <v>4548.1</v>
      </c>
      <c r="Q343" s="1" t="str">
        <f aca="false">IF(OR($A343="",P343=""),"",ROUND(YEARFRAC(P343,README!$C$5),1))</f>
        <v/>
      </c>
      <c r="T343" s="6" t="n">
        <v>3689</v>
      </c>
      <c r="U343" s="6" t="n">
        <v>4650</v>
      </c>
      <c r="V343" s="6" t="n">
        <v>961</v>
      </c>
      <c r="W343" s="6" t="n">
        <v>1</v>
      </c>
      <c r="X343" s="6" t="n">
        <v>20</v>
      </c>
      <c r="Z343" s="6" t="s">
        <v>1471</v>
      </c>
      <c r="AA343" s="9" t="s">
        <v>528</v>
      </c>
      <c r="AB343" s="6" t="s">
        <v>1611</v>
      </c>
      <c r="AE343" s="37" t="n">
        <f aca="false">COUNTIF(環境認証!$A$2:$A$849,A343)</f>
        <v>1</v>
      </c>
      <c r="AF343" s="6" t="n">
        <v>26.1</v>
      </c>
    </row>
    <row r="344" customFormat="false" ht="15" hidden="false" customHeight="true" outlineLevel="0" collapsed="false">
      <c r="A344" s="6" t="s">
        <v>1612</v>
      </c>
      <c r="B344" s="6" t="s">
        <v>403</v>
      </c>
      <c r="C344" s="9" t="s">
        <v>1613</v>
      </c>
      <c r="D344" s="9" t="s">
        <v>522</v>
      </c>
      <c r="E344" s="9" t="s">
        <v>523</v>
      </c>
      <c r="F344" s="9" t="s">
        <v>532</v>
      </c>
      <c r="H344" s="9" t="s">
        <v>525</v>
      </c>
      <c r="M344" s="6" t="n">
        <v>2369.82</v>
      </c>
      <c r="Q344" s="1" t="str">
        <f aca="false">IF(OR($A344="",P344=""),"",ROUND(YEARFRAC(P344,README!$C$5),1))</f>
        <v/>
      </c>
      <c r="T344" s="6" t="n">
        <v>1722</v>
      </c>
      <c r="U344" s="6" t="n">
        <v>3190</v>
      </c>
      <c r="V344" s="6" t="n">
        <v>1468</v>
      </c>
      <c r="W344" s="6" t="n">
        <v>0.9</v>
      </c>
      <c r="X344" s="6" t="n">
        <v>11</v>
      </c>
      <c r="Z344" s="6" t="s">
        <v>1471</v>
      </c>
      <c r="AA344" s="9" t="s">
        <v>528</v>
      </c>
      <c r="AB344" s="6" t="s">
        <v>1614</v>
      </c>
      <c r="AE344" s="37" t="n">
        <f aca="false">COUNTIF(環境認証!$A$2:$A$849,A344)</f>
        <v>0</v>
      </c>
      <c r="AF344" s="6" t="n">
        <v>85.2</v>
      </c>
    </row>
    <row r="345" customFormat="false" ht="15" hidden="false" customHeight="true" outlineLevel="0" collapsed="false">
      <c r="A345" s="6" t="s">
        <v>1615</v>
      </c>
      <c r="B345" s="6" t="s">
        <v>403</v>
      </c>
      <c r="C345" s="9" t="s">
        <v>1616</v>
      </c>
      <c r="D345" s="9" t="s">
        <v>522</v>
      </c>
      <c r="E345" s="9" t="s">
        <v>523</v>
      </c>
      <c r="F345" s="9" t="s">
        <v>893</v>
      </c>
      <c r="H345" s="9" t="s">
        <v>540</v>
      </c>
      <c r="M345" s="6" t="n">
        <v>4443.97</v>
      </c>
      <c r="Q345" s="1" t="str">
        <f aca="false">IF(OR($A345="",P345=""),"",ROUND(YEARFRAC(P345,README!$C$5),1))</f>
        <v/>
      </c>
      <c r="T345" s="6" t="n">
        <v>4612</v>
      </c>
      <c r="U345" s="6" t="n">
        <v>5610</v>
      </c>
      <c r="V345" s="6" t="n">
        <v>998</v>
      </c>
      <c r="W345" s="6" t="n">
        <v>1</v>
      </c>
      <c r="X345" s="6" t="n">
        <v>21</v>
      </c>
      <c r="Z345" s="6" t="s">
        <v>1471</v>
      </c>
      <c r="AA345" s="9" t="s">
        <v>528</v>
      </c>
      <c r="AB345" s="6" t="s">
        <v>1617</v>
      </c>
      <c r="AE345" s="37" t="n">
        <f aca="false">COUNTIF(環境認証!$A$2:$A$849,A345)</f>
        <v>0</v>
      </c>
      <c r="AF345" s="6" t="n">
        <v>21.6</v>
      </c>
    </row>
    <row r="346" customFormat="false" ht="15" hidden="false" customHeight="true" outlineLevel="0" collapsed="false">
      <c r="A346" s="6" t="s">
        <v>1618</v>
      </c>
      <c r="B346" s="6" t="s">
        <v>403</v>
      </c>
      <c r="C346" s="9" t="s">
        <v>1619</v>
      </c>
      <c r="D346" s="9" t="s">
        <v>522</v>
      </c>
      <c r="E346" s="9" t="s">
        <v>1620</v>
      </c>
      <c r="F346" s="9" t="s">
        <v>1621</v>
      </c>
      <c r="H346" s="9" t="s">
        <v>734</v>
      </c>
      <c r="M346" s="6" t="n">
        <v>3433.07</v>
      </c>
      <c r="Q346" s="1" t="str">
        <f aca="false">IF(OR($A346="",P346=""),"",ROUND(YEARFRAC(P346,README!$C$5),1))</f>
        <v/>
      </c>
      <c r="T346" s="6" t="n">
        <v>1466</v>
      </c>
      <c r="U346" s="6" t="n">
        <v>2290</v>
      </c>
      <c r="V346" s="6" t="n">
        <v>824</v>
      </c>
      <c r="W346" s="6" t="n">
        <v>1</v>
      </c>
      <c r="X346" s="6" t="n">
        <v>16</v>
      </c>
      <c r="Z346" s="6" t="s">
        <v>1471</v>
      </c>
      <c r="AA346" s="9" t="s">
        <v>528</v>
      </c>
      <c r="AB346" s="6" t="s">
        <v>1622</v>
      </c>
      <c r="AE346" s="37" t="n">
        <f aca="false">COUNTIF(環境認証!$A$2:$A$849,A346)</f>
        <v>0</v>
      </c>
      <c r="AF346" s="6" t="n">
        <v>56.2</v>
      </c>
    </row>
    <row r="347" customFormat="false" ht="15" hidden="false" customHeight="true" outlineLevel="0" collapsed="false">
      <c r="A347" s="6" t="s">
        <v>1623</v>
      </c>
      <c r="B347" s="6" t="s">
        <v>403</v>
      </c>
      <c r="C347" s="9" t="s">
        <v>1624</v>
      </c>
      <c r="D347" s="9" t="s">
        <v>522</v>
      </c>
      <c r="E347" s="9" t="s">
        <v>547</v>
      </c>
      <c r="F347" s="9" t="s">
        <v>687</v>
      </c>
      <c r="H347" s="9" t="s">
        <v>550</v>
      </c>
      <c r="M347" s="6" t="n">
        <v>3950.5</v>
      </c>
      <c r="Q347" s="1" t="str">
        <f aca="false">IF(OR($A347="",P347=""),"",ROUND(YEARFRAC(P347,README!$C$5),1))</f>
        <v/>
      </c>
      <c r="T347" s="6" t="n">
        <v>1825</v>
      </c>
      <c r="U347" s="6" t="n">
        <v>2420</v>
      </c>
      <c r="V347" s="6" t="n">
        <v>595</v>
      </c>
      <c r="W347" s="6" t="n">
        <v>0.946</v>
      </c>
      <c r="X347" s="6" t="n">
        <v>21</v>
      </c>
      <c r="Z347" s="6" t="s">
        <v>1471</v>
      </c>
      <c r="AA347" s="9" t="s">
        <v>528</v>
      </c>
      <c r="AB347" s="6" t="s">
        <v>1625</v>
      </c>
      <c r="AE347" s="37" t="n">
        <f aca="false">COUNTIF(環境認証!$A$2:$A$849,A347)</f>
        <v>0</v>
      </c>
      <c r="AF347" s="6" t="n">
        <v>32.6</v>
      </c>
    </row>
    <row r="348" customFormat="false" ht="15" hidden="false" customHeight="true" outlineLevel="0" collapsed="false">
      <c r="A348" s="6" t="s">
        <v>1626</v>
      </c>
      <c r="B348" s="6" t="s">
        <v>403</v>
      </c>
      <c r="C348" s="9" t="s">
        <v>1627</v>
      </c>
      <c r="D348" s="9" t="s">
        <v>522</v>
      </c>
      <c r="E348" s="9" t="s">
        <v>523</v>
      </c>
      <c r="F348" s="9" t="s">
        <v>648</v>
      </c>
      <c r="H348" s="9" t="s">
        <v>525</v>
      </c>
      <c r="M348" s="6" t="n">
        <v>1041.36</v>
      </c>
      <c r="Q348" s="1" t="str">
        <f aca="false">IF(OR($A348="",P348=""),"",ROUND(YEARFRAC(P348,README!$C$5),1))</f>
        <v/>
      </c>
      <c r="T348" s="6" t="n">
        <v>1524</v>
      </c>
      <c r="U348" s="6" t="n">
        <v>2510</v>
      </c>
      <c r="V348" s="6" t="n">
        <v>986</v>
      </c>
      <c r="W348" s="6" t="n">
        <v>0.828</v>
      </c>
      <c r="X348" s="6" t="n">
        <v>5</v>
      </c>
      <c r="Z348" s="6" t="s">
        <v>1471</v>
      </c>
      <c r="AA348" s="9" t="s">
        <v>528</v>
      </c>
      <c r="AB348" s="6" t="s">
        <v>1628</v>
      </c>
      <c r="AE348" s="37" t="n">
        <f aca="false">COUNTIF(環境認証!$A$2:$A$849,A348)</f>
        <v>0</v>
      </c>
      <c r="AF348" s="6" t="n">
        <v>64.7</v>
      </c>
    </row>
    <row r="349" customFormat="false" ht="15" hidden="false" customHeight="true" outlineLevel="0" collapsed="false">
      <c r="A349" s="6" t="s">
        <v>1629</v>
      </c>
      <c r="B349" s="6" t="s">
        <v>403</v>
      </c>
      <c r="C349" s="9" t="s">
        <v>1630</v>
      </c>
      <c r="D349" s="9" t="s">
        <v>522</v>
      </c>
      <c r="E349" s="9" t="s">
        <v>523</v>
      </c>
      <c r="F349" s="9" t="s">
        <v>666</v>
      </c>
      <c r="H349" s="9" t="s">
        <v>525</v>
      </c>
      <c r="M349" s="6" t="n">
        <v>1769.75</v>
      </c>
      <c r="Q349" s="1" t="str">
        <f aca="false">IF(OR($A349="",P349=""),"",ROUND(YEARFRAC(P349,README!$C$5),1))</f>
        <v/>
      </c>
      <c r="T349" s="6" t="n">
        <v>1511</v>
      </c>
      <c r="U349" s="6" t="n">
        <v>1960</v>
      </c>
      <c r="V349" s="6" t="n">
        <v>449</v>
      </c>
      <c r="W349" s="6" t="n">
        <v>1</v>
      </c>
      <c r="X349" s="6" t="n">
        <v>8</v>
      </c>
      <c r="Z349" s="6" t="s">
        <v>1471</v>
      </c>
      <c r="AA349" s="9" t="s">
        <v>528</v>
      </c>
      <c r="AB349" s="6" t="s">
        <v>1631</v>
      </c>
      <c r="AE349" s="37" t="n">
        <f aca="false">COUNTIF(環境認証!$A$2:$A$849,A349)</f>
        <v>0</v>
      </c>
      <c r="AF349" s="6" t="n">
        <v>29.7</v>
      </c>
    </row>
    <row r="350" customFormat="false" ht="15" hidden="false" customHeight="true" outlineLevel="0" collapsed="false">
      <c r="A350" s="6" t="s">
        <v>1632</v>
      </c>
      <c r="B350" s="6" t="s">
        <v>403</v>
      </c>
      <c r="C350" s="9" t="s">
        <v>1633</v>
      </c>
      <c r="D350" s="9" t="s">
        <v>522</v>
      </c>
      <c r="E350" s="9" t="s">
        <v>596</v>
      </c>
      <c r="F350" s="9" t="s">
        <v>1160</v>
      </c>
      <c r="H350" s="9" t="s">
        <v>569</v>
      </c>
      <c r="M350" s="6" t="n">
        <v>2423.86</v>
      </c>
      <c r="Q350" s="1" t="str">
        <f aca="false">IF(OR($A350="",P350=""),"",ROUND(YEARFRAC(P350,README!$C$5),1))</f>
        <v/>
      </c>
      <c r="T350" s="6" t="n">
        <v>1384</v>
      </c>
      <c r="U350" s="6" t="n">
        <v>1660</v>
      </c>
      <c r="V350" s="6" t="n">
        <v>276</v>
      </c>
      <c r="W350" s="6" t="n">
        <v>1</v>
      </c>
      <c r="X350" s="6" t="n">
        <v>28</v>
      </c>
      <c r="Z350" s="6" t="s">
        <v>1471</v>
      </c>
      <c r="AA350" s="9" t="s">
        <v>528</v>
      </c>
      <c r="AB350" s="6" t="s">
        <v>1634</v>
      </c>
      <c r="AE350" s="37" t="n">
        <f aca="false">COUNTIF(環境認証!$A$2:$A$849,A350)</f>
        <v>0</v>
      </c>
      <c r="AF350" s="6" t="n">
        <v>19.9</v>
      </c>
    </row>
    <row r="351" customFormat="false" ht="15" hidden="false" customHeight="true" outlineLevel="0" collapsed="false">
      <c r="A351" s="6" t="s">
        <v>1635</v>
      </c>
      <c r="B351" s="6" t="s">
        <v>403</v>
      </c>
      <c r="C351" s="9" t="s">
        <v>1636</v>
      </c>
      <c r="D351" s="9" t="s">
        <v>522</v>
      </c>
      <c r="E351" s="9" t="s">
        <v>567</v>
      </c>
      <c r="F351" s="9" t="s">
        <v>676</v>
      </c>
      <c r="H351" s="9" t="s">
        <v>569</v>
      </c>
      <c r="M351" s="6" t="n">
        <v>3324.74</v>
      </c>
      <c r="Q351" s="1" t="str">
        <f aca="false">IF(OR($A351="",P351=""),"",ROUND(YEARFRAC(P351,README!$C$5),1))</f>
        <v/>
      </c>
      <c r="T351" s="6" t="n">
        <v>1965</v>
      </c>
      <c r="U351" s="6" t="n">
        <v>2530</v>
      </c>
      <c r="V351" s="6" t="n">
        <v>565</v>
      </c>
      <c r="W351" s="6" t="n">
        <v>0.896</v>
      </c>
      <c r="X351" s="6" t="n">
        <v>7</v>
      </c>
      <c r="Z351" s="6" t="s">
        <v>1471</v>
      </c>
      <c r="AA351" s="9" t="s">
        <v>528</v>
      </c>
      <c r="AB351" s="6" t="s">
        <v>1637</v>
      </c>
      <c r="AE351" s="37" t="n">
        <f aca="false">COUNTIF(環境認証!$A$2:$A$849,A351)</f>
        <v>0</v>
      </c>
      <c r="AF351" s="6" t="n">
        <v>28.8</v>
      </c>
    </row>
    <row r="352" customFormat="false" ht="15" hidden="false" customHeight="true" outlineLevel="0" collapsed="false">
      <c r="A352" s="6" t="s">
        <v>1638</v>
      </c>
      <c r="B352" s="6" t="s">
        <v>403</v>
      </c>
      <c r="C352" s="9" t="s">
        <v>1639</v>
      </c>
      <c r="D352" s="9" t="s">
        <v>522</v>
      </c>
      <c r="E352" s="9" t="s">
        <v>523</v>
      </c>
      <c r="F352" s="9" t="s">
        <v>893</v>
      </c>
      <c r="H352" s="9" t="s">
        <v>540</v>
      </c>
      <c r="M352" s="6" t="n">
        <v>3118.69</v>
      </c>
      <c r="Q352" s="1" t="str">
        <f aca="false">IF(OR($A352="",P352=""),"",ROUND(YEARFRAC(P352,README!$C$5),1))</f>
        <v/>
      </c>
      <c r="T352" s="6" t="n">
        <v>3006</v>
      </c>
      <c r="U352" s="6" t="n">
        <v>3670</v>
      </c>
      <c r="V352" s="6" t="n">
        <v>664</v>
      </c>
      <c r="W352" s="6" t="n">
        <v>1</v>
      </c>
      <c r="X352" s="6" t="n">
        <v>2</v>
      </c>
      <c r="Z352" s="6" t="s">
        <v>1471</v>
      </c>
      <c r="AA352" s="9" t="s">
        <v>528</v>
      </c>
      <c r="AB352" s="6" t="s">
        <v>1640</v>
      </c>
      <c r="AE352" s="37" t="n">
        <f aca="false">COUNTIF(環境認証!$A$2:$A$849,A352)</f>
        <v>0</v>
      </c>
      <c r="AF352" s="6" t="n">
        <v>22.1</v>
      </c>
    </row>
    <row r="353" customFormat="false" ht="15" hidden="false" customHeight="true" outlineLevel="0" collapsed="false">
      <c r="A353" s="6" t="s">
        <v>1641</v>
      </c>
      <c r="B353" s="6" t="s">
        <v>403</v>
      </c>
      <c r="C353" s="9" t="s">
        <v>1642</v>
      </c>
      <c r="D353" s="9" t="s">
        <v>522</v>
      </c>
      <c r="E353" s="9" t="s">
        <v>523</v>
      </c>
      <c r="F353" s="9" t="s">
        <v>532</v>
      </c>
      <c r="H353" s="9" t="s">
        <v>525</v>
      </c>
      <c r="M353" s="6" t="n">
        <v>1329.96</v>
      </c>
      <c r="Q353" s="1" t="str">
        <f aca="false">IF(OR($A353="",P353=""),"",ROUND(YEARFRAC(P353,README!$C$5),1))</f>
        <v/>
      </c>
      <c r="T353" s="6" t="n">
        <v>1912</v>
      </c>
      <c r="U353" s="6" t="n">
        <v>2250</v>
      </c>
      <c r="V353" s="6" t="n">
        <v>338</v>
      </c>
      <c r="W353" s="6" t="n">
        <v>1</v>
      </c>
      <c r="X353" s="6" t="n">
        <v>3</v>
      </c>
      <c r="Z353" s="6" t="s">
        <v>1471</v>
      </c>
      <c r="AA353" s="9" t="s">
        <v>528</v>
      </c>
      <c r="AB353" s="6" t="s">
        <v>1643</v>
      </c>
      <c r="AE353" s="37" t="n">
        <f aca="false">COUNTIF(環境認証!$A$2:$A$849,A353)</f>
        <v>0</v>
      </c>
      <c r="AF353" s="6" t="n">
        <v>17.7</v>
      </c>
    </row>
    <row r="354" customFormat="false" ht="15" hidden="false" customHeight="true" outlineLevel="0" collapsed="false">
      <c r="A354" s="6" t="s">
        <v>1644</v>
      </c>
      <c r="B354" s="6" t="s">
        <v>403</v>
      </c>
      <c r="C354" s="9" t="s">
        <v>1645</v>
      </c>
      <c r="D354" s="9" t="s">
        <v>522</v>
      </c>
      <c r="E354" s="9" t="s">
        <v>523</v>
      </c>
      <c r="F354" s="9" t="s">
        <v>893</v>
      </c>
      <c r="H354" s="9" t="s">
        <v>540</v>
      </c>
      <c r="M354" s="6" t="n">
        <v>3616.77</v>
      </c>
      <c r="Q354" s="1" t="str">
        <f aca="false">IF(OR($A354="",P354=""),"",ROUND(YEARFRAC(P354,README!$C$5),1))</f>
        <v/>
      </c>
      <c r="T354" s="6" t="n">
        <v>2805</v>
      </c>
      <c r="U354" s="6" t="n">
        <v>3460</v>
      </c>
      <c r="V354" s="6" t="n">
        <v>655</v>
      </c>
      <c r="W354" s="6" t="n">
        <v>1</v>
      </c>
      <c r="X354" s="6" t="n">
        <v>8</v>
      </c>
      <c r="Z354" s="6" t="s">
        <v>1471</v>
      </c>
      <c r="AA354" s="9" t="s">
        <v>528</v>
      </c>
      <c r="AB354" s="6" t="s">
        <v>1646</v>
      </c>
      <c r="AE354" s="37" t="n">
        <f aca="false">COUNTIF(環境認証!$A$2:$A$849,A354)</f>
        <v>0</v>
      </c>
      <c r="AF354" s="6" t="n">
        <v>23.4</v>
      </c>
    </row>
    <row r="355" customFormat="false" ht="15" hidden="false" customHeight="true" outlineLevel="0" collapsed="false">
      <c r="A355" s="6" t="s">
        <v>1647</v>
      </c>
      <c r="B355" s="6" t="s">
        <v>403</v>
      </c>
      <c r="C355" s="9" t="s">
        <v>1648</v>
      </c>
      <c r="D355" s="9" t="s">
        <v>522</v>
      </c>
      <c r="E355" s="9" t="s">
        <v>567</v>
      </c>
      <c r="F355" s="9" t="s">
        <v>676</v>
      </c>
      <c r="H355" s="9" t="s">
        <v>569</v>
      </c>
      <c r="M355" s="6" t="n">
        <v>4929.97</v>
      </c>
      <c r="Q355" s="1" t="str">
        <f aca="false">IF(OR($A355="",P355=""),"",ROUND(YEARFRAC(P355,README!$C$5),1))</f>
        <v/>
      </c>
      <c r="T355" s="6" t="n">
        <v>3627</v>
      </c>
      <c r="U355" s="6" t="n">
        <v>4330</v>
      </c>
      <c r="V355" s="6" t="n">
        <v>703</v>
      </c>
      <c r="W355" s="6" t="n">
        <v>0.99</v>
      </c>
      <c r="X355" s="6" t="n">
        <v>36</v>
      </c>
      <c r="Z355" s="6" t="s">
        <v>1471</v>
      </c>
      <c r="AA355" s="9" t="s">
        <v>528</v>
      </c>
      <c r="AB355" s="6" t="s">
        <v>1649</v>
      </c>
      <c r="AE355" s="37" t="n">
        <f aca="false">COUNTIF(環境認証!$A$2:$A$849,A355)</f>
        <v>0</v>
      </c>
      <c r="AF355" s="6" t="n">
        <v>19.4</v>
      </c>
    </row>
    <row r="356" customFormat="false" ht="15" hidden="false" customHeight="true" outlineLevel="0" collapsed="false">
      <c r="A356" s="6" t="s">
        <v>1650</v>
      </c>
      <c r="B356" s="6" t="s">
        <v>403</v>
      </c>
      <c r="C356" s="9" t="s">
        <v>1651</v>
      </c>
      <c r="D356" s="9" t="s">
        <v>522</v>
      </c>
      <c r="E356" s="9" t="s">
        <v>567</v>
      </c>
      <c r="F356" s="9" t="s">
        <v>676</v>
      </c>
      <c r="H356" s="9" t="s">
        <v>569</v>
      </c>
      <c r="M356" s="6" t="n">
        <v>4155.6</v>
      </c>
      <c r="Q356" s="1" t="str">
        <f aca="false">IF(OR($A356="",P356=""),"",ROUND(YEARFRAC(P356,README!$C$5),1))</f>
        <v/>
      </c>
      <c r="T356" s="6" t="n">
        <v>2377</v>
      </c>
      <c r="U356" s="6" t="n">
        <v>2630</v>
      </c>
      <c r="V356" s="6" t="n">
        <v>253</v>
      </c>
      <c r="W356" s="6" t="n">
        <v>0.938</v>
      </c>
      <c r="X356" s="6" t="n">
        <v>39</v>
      </c>
      <c r="Z356" s="6" t="s">
        <v>1471</v>
      </c>
      <c r="AA356" s="9" t="s">
        <v>528</v>
      </c>
      <c r="AB356" s="6" t="s">
        <v>1652</v>
      </c>
      <c r="AE356" s="37" t="n">
        <f aca="false">COUNTIF(環境認証!$A$2:$A$849,A356)</f>
        <v>1</v>
      </c>
      <c r="AF356" s="6" t="n">
        <v>10.6</v>
      </c>
    </row>
    <row r="357" customFormat="false" ht="15" hidden="false" customHeight="true" outlineLevel="0" collapsed="false">
      <c r="A357" s="6" t="s">
        <v>1653</v>
      </c>
      <c r="B357" s="6" t="s">
        <v>403</v>
      </c>
      <c r="C357" s="9" t="s">
        <v>1654</v>
      </c>
      <c r="D357" s="9" t="s">
        <v>522</v>
      </c>
      <c r="E357" s="9" t="s">
        <v>567</v>
      </c>
      <c r="F357" s="9" t="s">
        <v>676</v>
      </c>
      <c r="H357" s="9" t="s">
        <v>569</v>
      </c>
      <c r="M357" s="6" t="n">
        <v>2007.77</v>
      </c>
      <c r="Q357" s="1" t="str">
        <f aca="false">IF(OR($A357="",P357=""),"",ROUND(YEARFRAC(P357,README!$C$5),1))</f>
        <v/>
      </c>
      <c r="T357" s="6" t="n">
        <v>1271</v>
      </c>
      <c r="U357" s="6" t="n">
        <v>1460</v>
      </c>
      <c r="V357" s="6" t="n">
        <v>189</v>
      </c>
      <c r="W357" s="6" t="n">
        <v>1</v>
      </c>
      <c r="X357" s="6" t="n">
        <v>25</v>
      </c>
      <c r="Z357" s="6" t="s">
        <v>1471</v>
      </c>
      <c r="AA357" s="9" t="s">
        <v>528</v>
      </c>
      <c r="AB357" s="6" t="s">
        <v>1655</v>
      </c>
      <c r="AE357" s="37" t="n">
        <f aca="false">COUNTIF(環境認証!$A$2:$A$849,A357)</f>
        <v>0</v>
      </c>
      <c r="AF357" s="6" t="n">
        <v>14.9</v>
      </c>
    </row>
    <row r="358" customFormat="false" ht="15" hidden="false" customHeight="true" outlineLevel="0" collapsed="false">
      <c r="A358" s="6" t="s">
        <v>1656</v>
      </c>
      <c r="B358" s="6" t="s">
        <v>403</v>
      </c>
      <c r="C358" s="9" t="s">
        <v>1657</v>
      </c>
      <c r="D358" s="9" t="s">
        <v>522</v>
      </c>
      <c r="E358" s="9" t="s">
        <v>573</v>
      </c>
      <c r="F358" s="9" t="s">
        <v>680</v>
      </c>
      <c r="H358" s="9" t="s">
        <v>569</v>
      </c>
      <c r="M358" s="6" t="n">
        <v>2521.51</v>
      </c>
      <c r="Q358" s="1" t="str">
        <f aca="false">IF(OR($A358="",P358=""),"",ROUND(YEARFRAC(P358,README!$C$5),1))</f>
        <v/>
      </c>
      <c r="T358" s="6" t="n">
        <v>1118</v>
      </c>
      <c r="U358" s="6" t="n">
        <v>1360</v>
      </c>
      <c r="V358" s="6" t="n">
        <v>242</v>
      </c>
      <c r="W358" s="6" t="n">
        <v>1</v>
      </c>
      <c r="X358" s="6" t="n">
        <v>12</v>
      </c>
      <c r="Z358" s="6" t="s">
        <v>1471</v>
      </c>
      <c r="AA358" s="9" t="s">
        <v>528</v>
      </c>
      <c r="AB358" s="6" t="s">
        <v>1658</v>
      </c>
      <c r="AE358" s="37" t="n">
        <f aca="false">COUNTIF(環境認証!$A$2:$A$849,A358)</f>
        <v>0</v>
      </c>
      <c r="AF358" s="6" t="n">
        <v>21.6</v>
      </c>
    </row>
    <row r="359" customFormat="false" ht="15" hidden="false" customHeight="true" outlineLevel="0" collapsed="false">
      <c r="A359" s="6" t="s">
        <v>1659</v>
      </c>
      <c r="B359" s="6" t="s">
        <v>403</v>
      </c>
      <c r="C359" s="9" t="s">
        <v>1660</v>
      </c>
      <c r="D359" s="9" t="s">
        <v>522</v>
      </c>
      <c r="E359" s="9" t="s">
        <v>523</v>
      </c>
      <c r="F359" s="9" t="s">
        <v>648</v>
      </c>
      <c r="H359" s="9" t="s">
        <v>525</v>
      </c>
      <c r="M359" s="6" t="n">
        <v>1491.68</v>
      </c>
      <c r="Q359" s="1" t="str">
        <f aca="false">IF(OR($A359="",P359=""),"",ROUND(YEARFRAC(P359,README!$C$5),1))</f>
        <v/>
      </c>
      <c r="T359" s="6" t="n">
        <v>3499</v>
      </c>
      <c r="U359" s="6" t="n">
        <v>4480</v>
      </c>
      <c r="V359" s="6" t="n">
        <v>981</v>
      </c>
      <c r="W359" s="6" t="n">
        <v>1</v>
      </c>
      <c r="X359" s="6" t="n">
        <v>8</v>
      </c>
      <c r="Z359" s="6" t="s">
        <v>1471</v>
      </c>
      <c r="AA359" s="9" t="s">
        <v>528</v>
      </c>
      <c r="AB359" s="6" t="s">
        <v>1661</v>
      </c>
      <c r="AE359" s="37" t="n">
        <f aca="false">COUNTIF(環境認証!$A$2:$A$849,A359)</f>
        <v>0</v>
      </c>
      <c r="AF359" s="6" t="n">
        <v>28</v>
      </c>
    </row>
    <row r="360" customFormat="false" ht="15" hidden="false" customHeight="true" outlineLevel="0" collapsed="false">
      <c r="A360" s="6" t="s">
        <v>1662</v>
      </c>
      <c r="B360" s="6" t="s">
        <v>403</v>
      </c>
      <c r="C360" s="9" t="s">
        <v>1663</v>
      </c>
      <c r="D360" s="9" t="s">
        <v>522</v>
      </c>
      <c r="E360" s="9" t="s">
        <v>523</v>
      </c>
      <c r="F360" s="9" t="s">
        <v>625</v>
      </c>
      <c r="H360" s="9" t="s">
        <v>540</v>
      </c>
      <c r="M360" s="6" t="n">
        <v>3689.88</v>
      </c>
      <c r="Q360" s="1" t="str">
        <f aca="false">IF(OR($A360="",P360=""),"",ROUND(YEARFRAC(P360,README!$C$5),1))</f>
        <v/>
      </c>
      <c r="T360" s="6" t="n">
        <v>3086</v>
      </c>
      <c r="U360" s="6" t="n">
        <v>4360</v>
      </c>
      <c r="V360" s="6" t="n">
        <v>1274</v>
      </c>
      <c r="W360" s="6" t="n">
        <v>1</v>
      </c>
      <c r="X360" s="6" t="n">
        <v>11</v>
      </c>
      <c r="Z360" s="6" t="s">
        <v>1471</v>
      </c>
      <c r="AA360" s="9" t="s">
        <v>528</v>
      </c>
      <c r="AB360" s="6" t="s">
        <v>1664</v>
      </c>
      <c r="AE360" s="37" t="n">
        <f aca="false">COUNTIF(環境認証!$A$2:$A$849,A360)</f>
        <v>1</v>
      </c>
      <c r="AF360" s="6" t="n">
        <v>41.3</v>
      </c>
    </row>
    <row r="361" customFormat="false" ht="15" hidden="false" customHeight="true" outlineLevel="0" collapsed="false">
      <c r="A361" s="6" t="s">
        <v>1665</v>
      </c>
      <c r="B361" s="6" t="s">
        <v>403</v>
      </c>
      <c r="C361" s="9" t="s">
        <v>1666</v>
      </c>
      <c r="D361" s="9" t="s">
        <v>522</v>
      </c>
      <c r="E361" s="9" t="s">
        <v>523</v>
      </c>
      <c r="F361" s="9" t="s">
        <v>934</v>
      </c>
      <c r="H361" s="9" t="s">
        <v>540</v>
      </c>
      <c r="M361" s="6" t="n">
        <v>2744.02</v>
      </c>
      <c r="Q361" s="1" t="str">
        <f aca="false">IF(OR($A361="",P361=""),"",ROUND(YEARFRAC(P361,README!$C$5),1))</f>
        <v/>
      </c>
      <c r="T361" s="6" t="n">
        <v>2343</v>
      </c>
      <c r="U361" s="6" t="n">
        <v>2960</v>
      </c>
      <c r="V361" s="6" t="n">
        <v>617</v>
      </c>
      <c r="W361" s="6" t="n">
        <v>1</v>
      </c>
      <c r="X361" s="6" t="n">
        <v>7</v>
      </c>
      <c r="Z361" s="6" t="s">
        <v>1471</v>
      </c>
      <c r="AA361" s="9" t="s">
        <v>528</v>
      </c>
      <c r="AB361" s="6" t="s">
        <v>1667</v>
      </c>
      <c r="AE361" s="37" t="n">
        <f aca="false">COUNTIF(環境認証!$A$2:$A$849,A361)</f>
        <v>0</v>
      </c>
      <c r="AF361" s="6" t="n">
        <v>26.3</v>
      </c>
    </row>
    <row r="362" customFormat="false" ht="15" hidden="false" customHeight="true" outlineLevel="0" collapsed="false">
      <c r="A362" s="6" t="s">
        <v>1668</v>
      </c>
      <c r="B362" s="6" t="s">
        <v>403</v>
      </c>
      <c r="C362" s="9" t="s">
        <v>1669</v>
      </c>
      <c r="D362" s="9" t="s">
        <v>522</v>
      </c>
      <c r="E362" s="9" t="s">
        <v>523</v>
      </c>
      <c r="F362" s="9" t="s">
        <v>625</v>
      </c>
      <c r="H362" s="9" t="s">
        <v>540</v>
      </c>
      <c r="M362" s="6" t="n">
        <v>2771.33</v>
      </c>
      <c r="Q362" s="1" t="str">
        <f aca="false">IF(OR($A362="",P362=""),"",ROUND(YEARFRAC(P362,README!$C$5),1))</f>
        <v/>
      </c>
      <c r="T362" s="6" t="n">
        <v>1821</v>
      </c>
      <c r="U362" s="6" t="n">
        <v>2270</v>
      </c>
      <c r="V362" s="6" t="n">
        <v>449</v>
      </c>
      <c r="W362" s="6" t="n">
        <v>1</v>
      </c>
      <c r="X362" s="6" t="n">
        <v>6</v>
      </c>
      <c r="Z362" s="6" t="s">
        <v>1471</v>
      </c>
      <c r="AA362" s="9" t="s">
        <v>528</v>
      </c>
      <c r="AB362" s="6" t="s">
        <v>1670</v>
      </c>
      <c r="AE362" s="37" t="n">
        <f aca="false">COUNTIF(環境認証!$A$2:$A$849,A362)</f>
        <v>0</v>
      </c>
      <c r="AF362" s="6" t="n">
        <v>24.7</v>
      </c>
    </row>
    <row r="363" customFormat="false" ht="15" hidden="false" customHeight="true" outlineLevel="0" collapsed="false">
      <c r="A363" s="6" t="s">
        <v>1671</v>
      </c>
      <c r="B363" s="6" t="s">
        <v>403</v>
      </c>
      <c r="C363" s="9" t="s">
        <v>1672</v>
      </c>
      <c r="D363" s="9" t="s">
        <v>522</v>
      </c>
      <c r="E363" s="9" t="s">
        <v>523</v>
      </c>
      <c r="F363" s="9" t="s">
        <v>625</v>
      </c>
      <c r="H363" s="9" t="s">
        <v>540</v>
      </c>
      <c r="M363" s="6" t="n">
        <v>3434.69</v>
      </c>
      <c r="Q363" s="1" t="str">
        <f aca="false">IF(OR($A363="",P363=""),"",ROUND(YEARFRAC(P363,README!$C$5),1))</f>
        <v/>
      </c>
      <c r="T363" s="6" t="n">
        <v>3283</v>
      </c>
      <c r="U363" s="6" t="n">
        <v>4010</v>
      </c>
      <c r="V363" s="6" t="n">
        <v>727</v>
      </c>
      <c r="W363" s="6" t="n">
        <v>1</v>
      </c>
      <c r="X363" s="6" t="n">
        <v>10</v>
      </c>
      <c r="Z363" s="6" t="s">
        <v>1471</v>
      </c>
      <c r="AA363" s="9" t="s">
        <v>528</v>
      </c>
      <c r="AB363" s="6" t="s">
        <v>1673</v>
      </c>
      <c r="AE363" s="37" t="n">
        <f aca="false">COUNTIF(環境認証!$A$2:$A$849,A363)</f>
        <v>1</v>
      </c>
      <c r="AF363" s="6" t="n">
        <v>22.1</v>
      </c>
    </row>
    <row r="364" customFormat="false" ht="15" hidden="false" customHeight="true" outlineLevel="0" collapsed="false">
      <c r="A364" s="6" t="s">
        <v>1674</v>
      </c>
      <c r="B364" s="6" t="s">
        <v>403</v>
      </c>
      <c r="C364" s="9" t="s">
        <v>1675</v>
      </c>
      <c r="D364" s="9" t="s">
        <v>522</v>
      </c>
      <c r="E364" s="9" t="s">
        <v>523</v>
      </c>
      <c r="F364" s="9" t="s">
        <v>524</v>
      </c>
      <c r="H364" s="9" t="s">
        <v>525</v>
      </c>
      <c r="M364" s="6" t="n">
        <v>1690.27</v>
      </c>
      <c r="Q364" s="1" t="str">
        <f aca="false">IF(OR($A364="",P364=""),"",ROUND(YEARFRAC(P364,README!$C$5),1))</f>
        <v/>
      </c>
      <c r="T364" s="6" t="n">
        <v>2201</v>
      </c>
      <c r="U364" s="6" t="n">
        <v>2360</v>
      </c>
      <c r="V364" s="6" t="n">
        <v>159</v>
      </c>
      <c r="W364" s="6" t="n">
        <v>1</v>
      </c>
      <c r="X364" s="6" t="n">
        <v>9</v>
      </c>
      <c r="Z364" s="6" t="s">
        <v>1471</v>
      </c>
      <c r="AA364" s="9" t="s">
        <v>528</v>
      </c>
      <c r="AB364" s="6" t="s">
        <v>1676</v>
      </c>
      <c r="AE364" s="37" t="n">
        <f aca="false">COUNTIF(環境認証!$A$2:$A$849,A364)</f>
        <v>0</v>
      </c>
      <c r="AF364" s="6" t="n">
        <v>7.2</v>
      </c>
    </row>
    <row r="365" customFormat="false" ht="15" hidden="false" customHeight="true" outlineLevel="0" collapsed="false">
      <c r="A365" s="6" t="s">
        <v>1677</v>
      </c>
      <c r="B365" s="6" t="s">
        <v>403</v>
      </c>
      <c r="C365" s="9" t="s">
        <v>1678</v>
      </c>
      <c r="D365" s="9" t="s">
        <v>522</v>
      </c>
      <c r="E365" s="9" t="s">
        <v>573</v>
      </c>
      <c r="F365" s="9" t="s">
        <v>680</v>
      </c>
      <c r="H365" s="9" t="s">
        <v>569</v>
      </c>
      <c r="M365" s="6" t="n">
        <v>3004.07</v>
      </c>
      <c r="Q365" s="1" t="str">
        <f aca="false">IF(OR($A365="",P365=""),"",ROUND(YEARFRAC(P365,README!$C$5),1))</f>
        <v/>
      </c>
      <c r="T365" s="6" t="n">
        <v>2064</v>
      </c>
      <c r="U365" s="6" t="n">
        <v>1940</v>
      </c>
      <c r="V365" s="6" t="n">
        <v>-124</v>
      </c>
      <c r="W365" s="6" t="n">
        <v>1</v>
      </c>
      <c r="X365" s="6" t="n">
        <v>17</v>
      </c>
      <c r="Z365" s="6" t="s">
        <v>1471</v>
      </c>
      <c r="AA365" s="9" t="s">
        <v>528</v>
      </c>
      <c r="AB365" s="6" t="s">
        <v>1679</v>
      </c>
      <c r="AE365" s="37" t="n">
        <f aca="false">COUNTIF(環境認証!$A$2:$A$849,A365)</f>
        <v>0</v>
      </c>
      <c r="AF365" s="6" t="n">
        <v>-6</v>
      </c>
    </row>
    <row r="366" customFormat="false" ht="15" hidden="false" customHeight="true" outlineLevel="0" collapsed="false">
      <c r="A366" s="6" t="s">
        <v>1680</v>
      </c>
      <c r="B366" s="6" t="s">
        <v>403</v>
      </c>
      <c r="C366" s="9" t="s">
        <v>1681</v>
      </c>
      <c r="D366" s="9" t="s">
        <v>522</v>
      </c>
      <c r="E366" s="9" t="s">
        <v>523</v>
      </c>
      <c r="F366" s="9" t="s">
        <v>893</v>
      </c>
      <c r="H366" s="9" t="s">
        <v>540</v>
      </c>
      <c r="M366" s="6" t="n">
        <v>3129.49</v>
      </c>
      <c r="Q366" s="1" t="str">
        <f aca="false">IF(OR($A366="",P366=""),"",ROUND(YEARFRAC(P366,README!$C$5),1))</f>
        <v/>
      </c>
      <c r="T366" s="6" t="n">
        <v>2889</v>
      </c>
      <c r="U366" s="6" t="n">
        <v>3390</v>
      </c>
      <c r="V366" s="6" t="n">
        <v>501</v>
      </c>
      <c r="W366" s="6" t="n">
        <v>1</v>
      </c>
      <c r="X366" s="6" t="n">
        <v>10</v>
      </c>
      <c r="Z366" s="6" t="s">
        <v>1471</v>
      </c>
      <c r="AA366" s="9" t="s">
        <v>528</v>
      </c>
      <c r="AB366" s="6" t="s">
        <v>1682</v>
      </c>
      <c r="AE366" s="37" t="n">
        <f aca="false">COUNTIF(環境認証!$A$2:$A$849,A366)</f>
        <v>0</v>
      </c>
      <c r="AF366" s="6" t="n">
        <v>17.3</v>
      </c>
    </row>
    <row r="367" customFormat="false" ht="15" hidden="false" customHeight="true" outlineLevel="0" collapsed="false">
      <c r="A367" s="6" t="s">
        <v>1683</v>
      </c>
      <c r="B367" s="6" t="s">
        <v>403</v>
      </c>
      <c r="C367" s="9" t="s">
        <v>1684</v>
      </c>
      <c r="D367" s="9" t="s">
        <v>522</v>
      </c>
      <c r="E367" s="9" t="s">
        <v>523</v>
      </c>
      <c r="F367" s="9" t="s">
        <v>532</v>
      </c>
      <c r="H367" s="9" t="s">
        <v>525</v>
      </c>
      <c r="M367" s="6" t="n">
        <v>2228.26</v>
      </c>
      <c r="Q367" s="1" t="str">
        <f aca="false">IF(OR($A367="",P367=""),"",ROUND(YEARFRAC(P367,README!$C$5),1))</f>
        <v/>
      </c>
      <c r="T367" s="6" t="n">
        <v>3512</v>
      </c>
      <c r="U367" s="6" t="n">
        <v>3770</v>
      </c>
      <c r="V367" s="6" t="n">
        <v>258</v>
      </c>
      <c r="W367" s="6" t="n">
        <v>1</v>
      </c>
      <c r="X367" s="6" t="n">
        <v>5</v>
      </c>
      <c r="Z367" s="6" t="s">
        <v>1471</v>
      </c>
      <c r="AA367" s="9" t="s">
        <v>528</v>
      </c>
      <c r="AB367" s="6" t="s">
        <v>1685</v>
      </c>
      <c r="AE367" s="37" t="n">
        <f aca="false">COUNTIF(環境認証!$A$2:$A$849,A367)</f>
        <v>0</v>
      </c>
      <c r="AF367" s="6" t="n">
        <v>7.3</v>
      </c>
    </row>
    <row r="368" customFormat="false" ht="15" hidden="false" customHeight="true" outlineLevel="0" collapsed="false">
      <c r="A368" s="6" t="s">
        <v>1686</v>
      </c>
      <c r="B368" s="6" t="s">
        <v>403</v>
      </c>
      <c r="C368" s="9" t="s">
        <v>1687</v>
      </c>
      <c r="D368" s="9" t="s">
        <v>522</v>
      </c>
      <c r="E368" s="9" t="s">
        <v>596</v>
      </c>
      <c r="F368" s="9" t="s">
        <v>1160</v>
      </c>
      <c r="H368" s="9" t="s">
        <v>569</v>
      </c>
      <c r="M368" s="6" t="n">
        <v>2901.99</v>
      </c>
      <c r="Q368" s="1" t="str">
        <f aca="false">IF(OR($A368="",P368=""),"",ROUND(YEARFRAC(P368,README!$C$5),1))</f>
        <v/>
      </c>
      <c r="T368" s="6" t="n">
        <v>2331</v>
      </c>
      <c r="U368" s="6" t="n">
        <v>2990</v>
      </c>
      <c r="V368" s="6" t="n">
        <v>659</v>
      </c>
      <c r="W368" s="6" t="n">
        <v>1</v>
      </c>
      <c r="X368" s="6" t="n">
        <v>19</v>
      </c>
      <c r="Z368" s="6" t="s">
        <v>1471</v>
      </c>
      <c r="AA368" s="9" t="s">
        <v>528</v>
      </c>
      <c r="AB368" s="6" t="s">
        <v>1688</v>
      </c>
      <c r="AE368" s="37" t="n">
        <f aca="false">COUNTIF(環境認証!$A$2:$A$849,A368)</f>
        <v>0</v>
      </c>
      <c r="AF368" s="6" t="n">
        <v>28.3</v>
      </c>
    </row>
    <row r="369" customFormat="false" ht="15" hidden="false" customHeight="true" outlineLevel="0" collapsed="false">
      <c r="A369" s="6" t="s">
        <v>1689</v>
      </c>
      <c r="B369" s="6" t="s">
        <v>403</v>
      </c>
      <c r="C369" s="9" t="s">
        <v>1690</v>
      </c>
      <c r="D369" s="9" t="s">
        <v>522</v>
      </c>
      <c r="E369" s="9" t="s">
        <v>523</v>
      </c>
      <c r="F369" s="9" t="s">
        <v>906</v>
      </c>
      <c r="H369" s="9" t="s">
        <v>540</v>
      </c>
      <c r="M369" s="6" t="n">
        <v>1083.7</v>
      </c>
      <c r="Q369" s="1" t="str">
        <f aca="false">IF(OR($A369="",P369=""),"",ROUND(YEARFRAC(P369,README!$C$5),1))</f>
        <v/>
      </c>
      <c r="T369" s="6" t="n">
        <v>1696</v>
      </c>
      <c r="U369" s="6" t="n">
        <v>1690</v>
      </c>
      <c r="V369" s="6" t="n">
        <v>-6</v>
      </c>
      <c r="W369" s="6" t="n">
        <v>0.904</v>
      </c>
      <c r="X369" s="6" t="n">
        <v>6</v>
      </c>
      <c r="Z369" s="6" t="s">
        <v>1471</v>
      </c>
      <c r="AA369" s="9" t="s">
        <v>528</v>
      </c>
      <c r="AB369" s="6" t="s">
        <v>1691</v>
      </c>
      <c r="AE369" s="37" t="n">
        <f aca="false">COUNTIF(環境認証!$A$2:$A$849,A369)</f>
        <v>0</v>
      </c>
      <c r="AF369" s="6" t="n">
        <v>-0.4</v>
      </c>
    </row>
    <row r="370" customFormat="false" ht="15" hidden="false" customHeight="true" outlineLevel="0" collapsed="false">
      <c r="A370" s="6" t="s">
        <v>1692</v>
      </c>
      <c r="B370" s="6" t="s">
        <v>403</v>
      </c>
      <c r="C370" s="9" t="s">
        <v>1693</v>
      </c>
      <c r="D370" s="9" t="s">
        <v>522</v>
      </c>
      <c r="E370" s="9" t="s">
        <v>523</v>
      </c>
      <c r="F370" s="9" t="s">
        <v>697</v>
      </c>
      <c r="H370" s="9" t="s">
        <v>550</v>
      </c>
      <c r="M370" s="6" t="n">
        <v>4879.78</v>
      </c>
      <c r="Q370" s="1" t="str">
        <f aca="false">IF(OR($A370="",P370=""),"",ROUND(YEARFRAC(P370,README!$C$5),1))</f>
        <v/>
      </c>
      <c r="T370" s="6" t="n">
        <v>3913</v>
      </c>
      <c r="U370" s="6" t="n">
        <v>3940</v>
      </c>
      <c r="V370" s="6" t="n">
        <v>27</v>
      </c>
      <c r="W370" s="6" t="n">
        <v>1</v>
      </c>
      <c r="X370" s="6" t="n">
        <v>17</v>
      </c>
      <c r="Z370" s="6" t="s">
        <v>1471</v>
      </c>
      <c r="AA370" s="9" t="s">
        <v>528</v>
      </c>
      <c r="AB370" s="6" t="s">
        <v>1694</v>
      </c>
      <c r="AE370" s="37" t="n">
        <f aca="false">COUNTIF(環境認証!$A$2:$A$849,A370)</f>
        <v>1</v>
      </c>
      <c r="AF370" s="6" t="n">
        <v>0.7</v>
      </c>
    </row>
    <row r="371" customFormat="false" ht="15" hidden="false" customHeight="true" outlineLevel="0" collapsed="false">
      <c r="A371" s="6" t="s">
        <v>1695</v>
      </c>
      <c r="B371" s="6" t="s">
        <v>403</v>
      </c>
      <c r="C371" s="9" t="s">
        <v>1696</v>
      </c>
      <c r="D371" s="9" t="s">
        <v>522</v>
      </c>
      <c r="E371" s="9" t="s">
        <v>523</v>
      </c>
      <c r="F371" s="9" t="s">
        <v>893</v>
      </c>
      <c r="H371" s="9" t="s">
        <v>540</v>
      </c>
      <c r="M371" s="6" t="n">
        <v>2764.59</v>
      </c>
      <c r="Q371" s="1" t="str">
        <f aca="false">IF(OR($A371="",P371=""),"",ROUND(YEARFRAC(P371,README!$C$5),1))</f>
        <v/>
      </c>
      <c r="T371" s="6" t="n">
        <v>3979</v>
      </c>
      <c r="U371" s="6" t="n">
        <v>3680</v>
      </c>
      <c r="V371" s="6" t="n">
        <v>-299</v>
      </c>
      <c r="W371" s="6" t="n">
        <v>1</v>
      </c>
      <c r="X371" s="6" t="n">
        <v>3</v>
      </c>
      <c r="Z371" s="6" t="s">
        <v>1471</v>
      </c>
      <c r="AA371" s="9" t="s">
        <v>528</v>
      </c>
      <c r="AB371" s="6" t="s">
        <v>1697</v>
      </c>
      <c r="AE371" s="37" t="n">
        <f aca="false">COUNTIF(環境認証!$A$2:$A$849,A371)</f>
        <v>0</v>
      </c>
      <c r="AF371" s="6" t="n">
        <v>-7.5</v>
      </c>
    </row>
    <row r="372" customFormat="false" ht="15" hidden="false" customHeight="true" outlineLevel="0" collapsed="false">
      <c r="A372" s="6" t="s">
        <v>1698</v>
      </c>
      <c r="B372" s="6" t="s">
        <v>403</v>
      </c>
      <c r="C372" s="9" t="s">
        <v>1699</v>
      </c>
      <c r="D372" s="9" t="s">
        <v>522</v>
      </c>
      <c r="E372" s="9" t="s">
        <v>567</v>
      </c>
      <c r="F372" s="9" t="s">
        <v>676</v>
      </c>
      <c r="H372" s="9" t="s">
        <v>569</v>
      </c>
      <c r="M372" s="6" t="n">
        <v>1973.27</v>
      </c>
      <c r="Q372" s="1" t="str">
        <f aca="false">IF(OR($A372="",P372=""),"",ROUND(YEARFRAC(P372,README!$C$5),1))</f>
        <v/>
      </c>
      <c r="T372" s="6" t="n">
        <v>1819</v>
      </c>
      <c r="U372" s="6" t="n">
        <v>1830</v>
      </c>
      <c r="V372" s="6" t="n">
        <v>11</v>
      </c>
      <c r="W372" s="6" t="n">
        <v>0.951</v>
      </c>
      <c r="X372" s="6" t="n">
        <v>25</v>
      </c>
      <c r="Z372" s="6" t="s">
        <v>1471</v>
      </c>
      <c r="AA372" s="9" t="s">
        <v>528</v>
      </c>
      <c r="AB372" s="6" t="s">
        <v>1700</v>
      </c>
      <c r="AE372" s="37" t="n">
        <f aca="false">COUNTIF(環境認証!$A$2:$A$849,A372)</f>
        <v>0</v>
      </c>
      <c r="AF372" s="6" t="n">
        <v>0.6</v>
      </c>
    </row>
    <row r="373" customFormat="false" ht="15" hidden="false" customHeight="true" outlineLevel="0" collapsed="false">
      <c r="A373" s="6" t="s">
        <v>1701</v>
      </c>
      <c r="B373" s="6" t="s">
        <v>403</v>
      </c>
      <c r="C373" s="9" t="s">
        <v>1702</v>
      </c>
      <c r="D373" s="9" t="s">
        <v>522</v>
      </c>
      <c r="E373" s="9" t="s">
        <v>596</v>
      </c>
      <c r="F373" s="9" t="s">
        <v>1160</v>
      </c>
      <c r="H373" s="9" t="s">
        <v>569</v>
      </c>
      <c r="M373" s="6" t="n">
        <v>3596.7</v>
      </c>
      <c r="Q373" s="1" t="str">
        <f aca="false">IF(OR($A373="",P373=""),"",ROUND(YEARFRAC(P373,README!$C$5),1))</f>
        <v/>
      </c>
      <c r="T373" s="6" t="n">
        <v>3572</v>
      </c>
      <c r="U373" s="6" t="n">
        <v>3850</v>
      </c>
      <c r="V373" s="6" t="n">
        <v>278</v>
      </c>
      <c r="W373" s="6" t="n">
        <v>1</v>
      </c>
      <c r="X373" s="6" t="n">
        <v>32</v>
      </c>
      <c r="Z373" s="6" t="s">
        <v>1471</v>
      </c>
      <c r="AA373" s="9" t="s">
        <v>528</v>
      </c>
      <c r="AB373" s="6" t="s">
        <v>1703</v>
      </c>
      <c r="AE373" s="37" t="n">
        <f aca="false">COUNTIF(環境認証!$A$2:$A$849,A373)</f>
        <v>0</v>
      </c>
      <c r="AF373" s="6" t="n">
        <v>7.8</v>
      </c>
    </row>
    <row r="374" customFormat="false" ht="15" hidden="false" customHeight="true" outlineLevel="0" collapsed="false">
      <c r="A374" s="6" t="s">
        <v>1704</v>
      </c>
      <c r="B374" s="6" t="s">
        <v>403</v>
      </c>
      <c r="C374" s="9" t="s">
        <v>1705</v>
      </c>
      <c r="D374" s="9" t="s">
        <v>522</v>
      </c>
      <c r="E374" s="9" t="s">
        <v>596</v>
      </c>
      <c r="F374" s="9" t="s">
        <v>1160</v>
      </c>
      <c r="H374" s="9" t="s">
        <v>569</v>
      </c>
      <c r="M374" s="6" t="n">
        <v>2949.22</v>
      </c>
      <c r="Q374" s="1" t="str">
        <f aca="false">IF(OR($A374="",P374=""),"",ROUND(YEARFRAC(P374,README!$C$5),1))</f>
        <v/>
      </c>
      <c r="T374" s="6" t="n">
        <v>2841</v>
      </c>
      <c r="U374" s="6" t="n">
        <v>2860</v>
      </c>
      <c r="V374" s="6" t="n">
        <v>19</v>
      </c>
      <c r="W374" s="6" t="n">
        <v>0.843</v>
      </c>
      <c r="X374" s="6" t="n">
        <v>13</v>
      </c>
      <c r="Z374" s="6" t="s">
        <v>1471</v>
      </c>
      <c r="AA374" s="9" t="s">
        <v>528</v>
      </c>
      <c r="AB374" s="6" t="s">
        <v>1706</v>
      </c>
      <c r="AE374" s="37" t="n">
        <f aca="false">COUNTIF(環境認証!$A$2:$A$849,A374)</f>
        <v>0</v>
      </c>
      <c r="AF374" s="6" t="n">
        <v>0.7</v>
      </c>
    </row>
    <row r="375" customFormat="false" ht="15" hidden="false" customHeight="true" outlineLevel="0" collapsed="false">
      <c r="A375" s="6" t="s">
        <v>1707</v>
      </c>
      <c r="B375" s="6" t="s">
        <v>403</v>
      </c>
      <c r="C375" s="9" t="s">
        <v>1708</v>
      </c>
      <c r="D375" s="9" t="s">
        <v>522</v>
      </c>
      <c r="E375" s="9" t="s">
        <v>523</v>
      </c>
      <c r="F375" s="9" t="s">
        <v>609</v>
      </c>
      <c r="H375" s="9" t="s">
        <v>540</v>
      </c>
      <c r="M375" s="6" t="n">
        <v>2059.86</v>
      </c>
      <c r="Q375" s="1" t="str">
        <f aca="false">IF(OR($A375="",P375=""),"",ROUND(YEARFRAC(P375,README!$C$5),1))</f>
        <v/>
      </c>
      <c r="T375" s="6" t="n">
        <v>2076</v>
      </c>
      <c r="U375" s="6" t="n">
        <v>2170</v>
      </c>
      <c r="V375" s="6" t="n">
        <v>94</v>
      </c>
      <c r="W375" s="6" t="n">
        <v>1</v>
      </c>
      <c r="X375" s="6" t="n">
        <v>7</v>
      </c>
      <c r="Z375" s="6" t="s">
        <v>1471</v>
      </c>
      <c r="AA375" s="9" t="s">
        <v>528</v>
      </c>
      <c r="AB375" s="6" t="s">
        <v>1709</v>
      </c>
      <c r="AE375" s="37" t="n">
        <f aca="false">COUNTIF(環境認証!$A$2:$A$849,A375)</f>
        <v>0</v>
      </c>
      <c r="AF375" s="6" t="n">
        <v>4.5</v>
      </c>
    </row>
    <row r="376" customFormat="false" ht="15" hidden="false" customHeight="true" outlineLevel="0" collapsed="false">
      <c r="A376" s="6" t="s">
        <v>1710</v>
      </c>
      <c r="B376" s="6" t="s">
        <v>403</v>
      </c>
      <c r="C376" s="9" t="s">
        <v>1711</v>
      </c>
      <c r="D376" s="9" t="s">
        <v>522</v>
      </c>
      <c r="E376" s="9" t="s">
        <v>523</v>
      </c>
      <c r="F376" s="9" t="s">
        <v>524</v>
      </c>
      <c r="H376" s="9" t="s">
        <v>525</v>
      </c>
      <c r="M376" s="6" t="n">
        <v>2100.93</v>
      </c>
      <c r="Q376" s="1" t="str">
        <f aca="false">IF(OR($A376="",P376=""),"",ROUND(YEARFRAC(P376,README!$C$5),1))</f>
        <v/>
      </c>
      <c r="T376" s="6" t="n">
        <v>3277</v>
      </c>
      <c r="U376" s="6" t="n">
        <v>3350</v>
      </c>
      <c r="V376" s="6" t="n">
        <v>73</v>
      </c>
      <c r="W376" s="6" t="n">
        <v>1</v>
      </c>
      <c r="X376" s="6" t="n">
        <v>4</v>
      </c>
      <c r="Z376" s="6" t="s">
        <v>1471</v>
      </c>
      <c r="AA376" s="9" t="s">
        <v>528</v>
      </c>
      <c r="AB376" s="6" t="s">
        <v>1712</v>
      </c>
      <c r="AE376" s="37" t="n">
        <f aca="false">COUNTIF(環境認証!$A$2:$A$849,A376)</f>
        <v>0</v>
      </c>
      <c r="AF376" s="6" t="n">
        <v>2.2</v>
      </c>
    </row>
    <row r="377" customFormat="false" ht="15" hidden="false" customHeight="true" outlineLevel="0" collapsed="false">
      <c r="A377" s="6" t="s">
        <v>1713</v>
      </c>
      <c r="B377" s="6" t="s">
        <v>403</v>
      </c>
      <c r="C377" s="9" t="s">
        <v>1714</v>
      </c>
      <c r="D377" s="9" t="s">
        <v>522</v>
      </c>
      <c r="E377" s="9" t="s">
        <v>596</v>
      </c>
      <c r="F377" s="9" t="s">
        <v>1160</v>
      </c>
      <c r="H377" s="9" t="s">
        <v>569</v>
      </c>
      <c r="M377" s="6" t="n">
        <v>3374.93</v>
      </c>
      <c r="Q377" s="1" t="str">
        <f aca="false">IF(OR($A377="",P377=""),"",ROUND(YEARFRAC(P377,README!$C$5),1))</f>
        <v/>
      </c>
      <c r="T377" s="6" t="n">
        <v>3052</v>
      </c>
      <c r="U377" s="6" t="n">
        <v>3680</v>
      </c>
      <c r="V377" s="6" t="n">
        <v>628</v>
      </c>
      <c r="W377" s="6" t="n">
        <v>1</v>
      </c>
      <c r="X377" s="6" t="n">
        <v>15</v>
      </c>
      <c r="Z377" s="6" t="s">
        <v>1471</v>
      </c>
      <c r="AA377" s="9" t="s">
        <v>528</v>
      </c>
      <c r="AB377" s="6" t="s">
        <v>1715</v>
      </c>
      <c r="AE377" s="37" t="n">
        <f aca="false">COUNTIF(環境認証!$A$2:$A$849,A377)</f>
        <v>1</v>
      </c>
      <c r="AF377" s="6" t="n">
        <v>20.6</v>
      </c>
    </row>
    <row r="378" customFormat="false" ht="15" hidden="false" customHeight="true" outlineLevel="0" collapsed="false">
      <c r="A378" s="6" t="s">
        <v>1716</v>
      </c>
      <c r="B378" s="6" t="s">
        <v>403</v>
      </c>
      <c r="C378" s="9" t="s">
        <v>1717</v>
      </c>
      <c r="D378" s="9" t="s">
        <v>522</v>
      </c>
      <c r="E378" s="9" t="s">
        <v>596</v>
      </c>
      <c r="F378" s="9" t="s">
        <v>1160</v>
      </c>
      <c r="H378" s="9" t="s">
        <v>569</v>
      </c>
      <c r="M378" s="6" t="n">
        <v>1632.29</v>
      </c>
      <c r="Q378" s="1" t="str">
        <f aca="false">IF(OR($A378="",P378=""),"",ROUND(YEARFRAC(P378,README!$C$5),1))</f>
        <v/>
      </c>
      <c r="T378" s="6" t="n">
        <v>1692</v>
      </c>
      <c r="U378" s="6" t="n">
        <v>1720</v>
      </c>
      <c r="V378" s="6" t="n">
        <v>28</v>
      </c>
      <c r="W378" s="6" t="n">
        <v>1</v>
      </c>
      <c r="X378" s="6" t="n">
        <v>12</v>
      </c>
      <c r="Z378" s="6" t="s">
        <v>1471</v>
      </c>
      <c r="AA378" s="9" t="s">
        <v>528</v>
      </c>
      <c r="AB378" s="6" t="s">
        <v>1718</v>
      </c>
      <c r="AE378" s="37" t="n">
        <f aca="false">COUNTIF(環境認証!$A$2:$A$849,A378)</f>
        <v>0</v>
      </c>
      <c r="AF378" s="6" t="n">
        <v>1.7</v>
      </c>
    </row>
    <row r="379" customFormat="false" ht="15" hidden="false" customHeight="true" outlineLevel="0" collapsed="false">
      <c r="A379" s="6" t="s">
        <v>1719</v>
      </c>
      <c r="B379" s="6" t="s">
        <v>403</v>
      </c>
      <c r="C379" s="9" t="s">
        <v>1720</v>
      </c>
      <c r="D379" s="9" t="s">
        <v>522</v>
      </c>
      <c r="E379" s="9" t="s">
        <v>596</v>
      </c>
      <c r="F379" s="9" t="s">
        <v>1160</v>
      </c>
      <c r="H379" s="9" t="s">
        <v>569</v>
      </c>
      <c r="M379" s="6" t="n">
        <v>1475.75</v>
      </c>
      <c r="Q379" s="1" t="str">
        <f aca="false">IF(OR($A379="",P379=""),"",ROUND(YEARFRAC(P379,README!$C$5),1))</f>
        <v/>
      </c>
      <c r="T379" s="6" t="n">
        <v>1621</v>
      </c>
      <c r="U379" s="6" t="n">
        <v>1600</v>
      </c>
      <c r="V379" s="6" t="n">
        <v>-21</v>
      </c>
      <c r="W379" s="6" t="n">
        <v>0.815</v>
      </c>
      <c r="X379" s="6" t="n">
        <v>13</v>
      </c>
      <c r="Z379" s="6" t="s">
        <v>1471</v>
      </c>
      <c r="AA379" s="9" t="s">
        <v>528</v>
      </c>
      <c r="AB379" s="6" t="s">
        <v>1721</v>
      </c>
      <c r="AE379" s="37" t="n">
        <f aca="false">COUNTIF(環境認証!$A$2:$A$849,A379)</f>
        <v>0</v>
      </c>
      <c r="AF379" s="6" t="n">
        <v>-1.3</v>
      </c>
    </row>
    <row r="380" customFormat="false" ht="15" hidden="false" customHeight="true" outlineLevel="0" collapsed="false">
      <c r="A380" s="6" t="s">
        <v>1722</v>
      </c>
      <c r="B380" s="6" t="s">
        <v>403</v>
      </c>
      <c r="C380" s="9" t="s">
        <v>1723</v>
      </c>
      <c r="D380" s="9" t="s">
        <v>522</v>
      </c>
      <c r="E380" s="9" t="s">
        <v>523</v>
      </c>
      <c r="F380" s="9" t="s">
        <v>625</v>
      </c>
      <c r="H380" s="9" t="s">
        <v>540</v>
      </c>
      <c r="M380" s="6" t="n">
        <v>2735.34</v>
      </c>
      <c r="Q380" s="1" t="str">
        <f aca="false">IF(OR($A380="",P380=""),"",ROUND(YEARFRAC(P380,README!$C$5),1))</f>
        <v/>
      </c>
      <c r="T380" s="6" t="n">
        <v>3997</v>
      </c>
      <c r="U380" s="6" t="n">
        <v>4090</v>
      </c>
      <c r="V380" s="6" t="n">
        <v>93</v>
      </c>
      <c r="W380" s="6" t="n">
        <v>1</v>
      </c>
      <c r="X380" s="6" t="n">
        <v>9</v>
      </c>
      <c r="Z380" s="6" t="s">
        <v>1471</v>
      </c>
      <c r="AA380" s="9" t="s">
        <v>528</v>
      </c>
      <c r="AB380" s="6" t="s">
        <v>1724</v>
      </c>
      <c r="AE380" s="37" t="n">
        <f aca="false">COUNTIF(環境認証!$A$2:$A$849,A380)</f>
        <v>0</v>
      </c>
      <c r="AF380" s="6" t="n">
        <v>2.3</v>
      </c>
    </row>
    <row r="381" customFormat="false" ht="15" hidden="false" customHeight="true" outlineLevel="0" collapsed="false">
      <c r="A381" s="6" t="s">
        <v>1725</v>
      </c>
      <c r="B381" s="6" t="s">
        <v>403</v>
      </c>
      <c r="C381" s="9" t="s">
        <v>1726</v>
      </c>
      <c r="D381" s="9" t="s">
        <v>522</v>
      </c>
      <c r="E381" s="9" t="s">
        <v>523</v>
      </c>
      <c r="F381" s="9" t="s">
        <v>524</v>
      </c>
      <c r="H381" s="9" t="s">
        <v>525</v>
      </c>
      <c r="M381" s="6" t="n">
        <v>1237.43</v>
      </c>
      <c r="Q381" s="1" t="str">
        <f aca="false">IF(OR($A381="",P381=""),"",ROUND(YEARFRAC(P381,README!$C$5),1))</f>
        <v/>
      </c>
      <c r="T381" s="6" t="n">
        <v>2029</v>
      </c>
      <c r="U381" s="6" t="n">
        <v>2100</v>
      </c>
      <c r="V381" s="6" t="n">
        <v>71</v>
      </c>
      <c r="W381" s="6" t="n">
        <v>0.915</v>
      </c>
      <c r="X381" s="6" t="n">
        <v>11</v>
      </c>
      <c r="Z381" s="6" t="s">
        <v>1471</v>
      </c>
      <c r="AA381" s="9" t="s">
        <v>528</v>
      </c>
      <c r="AB381" s="6" t="s">
        <v>1727</v>
      </c>
      <c r="AE381" s="37" t="n">
        <f aca="false">COUNTIF(環境認証!$A$2:$A$849,A381)</f>
        <v>0</v>
      </c>
      <c r="AF381" s="6" t="n">
        <v>3.5</v>
      </c>
    </row>
    <row r="382" customFormat="false" ht="15" hidden="false" customHeight="true" outlineLevel="0" collapsed="false">
      <c r="A382" s="6" t="s">
        <v>1728</v>
      </c>
      <c r="B382" s="6" t="s">
        <v>403</v>
      </c>
      <c r="C382" s="9" t="s">
        <v>1729</v>
      </c>
      <c r="D382" s="9" t="s">
        <v>522</v>
      </c>
      <c r="E382" s="9" t="s">
        <v>523</v>
      </c>
      <c r="F382" s="9" t="s">
        <v>697</v>
      </c>
      <c r="H382" s="9" t="s">
        <v>550</v>
      </c>
      <c r="M382" s="6" t="n">
        <v>2247.87</v>
      </c>
      <c r="Q382" s="1" t="str">
        <f aca="false">IF(OR($A382="",P382=""),"",ROUND(YEARFRAC(P382,README!$C$5),1))</f>
        <v/>
      </c>
      <c r="T382" s="6" t="n">
        <v>1949</v>
      </c>
      <c r="U382" s="6" t="n">
        <v>1960</v>
      </c>
      <c r="V382" s="6" t="n">
        <v>11</v>
      </c>
      <c r="W382" s="6" t="n">
        <v>0.885</v>
      </c>
      <c r="X382" s="6" t="n">
        <v>7</v>
      </c>
      <c r="Z382" s="6" t="s">
        <v>1471</v>
      </c>
      <c r="AA382" s="9" t="s">
        <v>528</v>
      </c>
      <c r="AB382" s="6" t="s">
        <v>1730</v>
      </c>
      <c r="AE382" s="37" t="n">
        <f aca="false">COUNTIF(環境認証!$A$2:$A$849,A382)</f>
        <v>0</v>
      </c>
      <c r="AF382" s="6" t="n">
        <v>0.6</v>
      </c>
    </row>
    <row r="383" customFormat="false" ht="15" hidden="false" customHeight="true" outlineLevel="0" collapsed="false">
      <c r="A383" s="6" t="s">
        <v>1731</v>
      </c>
      <c r="B383" s="6" t="s">
        <v>403</v>
      </c>
      <c r="C383" s="9" t="s">
        <v>1732</v>
      </c>
      <c r="D383" s="9" t="s">
        <v>522</v>
      </c>
      <c r="E383" s="9" t="s">
        <v>560</v>
      </c>
      <c r="F383" s="9" t="s">
        <v>1733</v>
      </c>
      <c r="H383" s="9" t="s">
        <v>550</v>
      </c>
      <c r="M383" s="6" t="n">
        <v>4112.19</v>
      </c>
      <c r="Q383" s="1" t="str">
        <f aca="false">IF(OR($A383="",P383=""),"",ROUND(YEARFRAC(P383,README!$C$5),1))</f>
        <v/>
      </c>
      <c r="T383" s="6" t="n">
        <v>3661</v>
      </c>
      <c r="U383" s="6" t="n">
        <v>3960</v>
      </c>
      <c r="V383" s="6" t="n">
        <v>299</v>
      </c>
      <c r="W383" s="6" t="n">
        <v>1</v>
      </c>
      <c r="X383" s="6" t="n">
        <v>22</v>
      </c>
      <c r="Z383" s="6" t="s">
        <v>1471</v>
      </c>
      <c r="AA383" s="9" t="s">
        <v>528</v>
      </c>
      <c r="AB383" s="6" t="s">
        <v>1734</v>
      </c>
      <c r="AE383" s="37" t="n">
        <f aca="false">COUNTIF(環境認証!$A$2:$A$849,A383)</f>
        <v>0</v>
      </c>
      <c r="AF383" s="6" t="n">
        <v>8.2</v>
      </c>
    </row>
    <row r="384" customFormat="false" ht="15" hidden="false" customHeight="true" outlineLevel="0" collapsed="false">
      <c r="A384" s="6" t="s">
        <v>1735</v>
      </c>
      <c r="B384" s="6" t="s">
        <v>403</v>
      </c>
      <c r="C384" s="9" t="s">
        <v>1736</v>
      </c>
      <c r="D384" s="9" t="s">
        <v>1241</v>
      </c>
      <c r="E384" s="9" t="s">
        <v>523</v>
      </c>
      <c r="F384" s="9" t="s">
        <v>648</v>
      </c>
      <c r="H384" s="9" t="s">
        <v>525</v>
      </c>
      <c r="M384" s="6" t="n">
        <v>778.77</v>
      </c>
      <c r="Q384" s="1" t="str">
        <f aca="false">IF(OR($A384="",P384=""),"",ROUND(YEARFRAC(P384,README!$C$5),1))</f>
        <v/>
      </c>
      <c r="T384" s="6" t="n">
        <v>2433</v>
      </c>
      <c r="U384" s="6" t="n">
        <v>2910</v>
      </c>
      <c r="V384" s="6" t="n">
        <v>477</v>
      </c>
      <c r="W384" s="6" t="n">
        <v>1</v>
      </c>
      <c r="X384" s="6" t="n">
        <v>5</v>
      </c>
      <c r="Z384" s="6" t="s">
        <v>1471</v>
      </c>
      <c r="AA384" s="9" t="s">
        <v>528</v>
      </c>
      <c r="AB384" s="6" t="s">
        <v>1737</v>
      </c>
      <c r="AE384" s="37" t="n">
        <f aca="false">COUNTIF(環境認証!$A$2:$A$849,A384)</f>
        <v>0</v>
      </c>
      <c r="AF384" s="6" t="n">
        <v>19.6</v>
      </c>
    </row>
    <row r="385" customFormat="false" ht="15" hidden="false" customHeight="true" outlineLevel="0" collapsed="false">
      <c r="A385" s="6" t="s">
        <v>1738</v>
      </c>
      <c r="B385" s="6" t="s">
        <v>403</v>
      </c>
      <c r="C385" s="9" t="s">
        <v>1739</v>
      </c>
      <c r="D385" s="9" t="s">
        <v>1241</v>
      </c>
      <c r="E385" s="9" t="s">
        <v>523</v>
      </c>
      <c r="F385" s="9" t="s">
        <v>1312</v>
      </c>
      <c r="H385" s="9" t="s">
        <v>540</v>
      </c>
      <c r="M385" s="6" t="n">
        <v>2124.68</v>
      </c>
      <c r="Q385" s="1" t="str">
        <f aca="false">IF(OR($A385="",P385=""),"",ROUND(YEARFRAC(P385,README!$C$5),1))</f>
        <v/>
      </c>
      <c r="T385" s="6" t="n">
        <v>1429</v>
      </c>
      <c r="U385" s="6" t="n">
        <v>1310</v>
      </c>
      <c r="V385" s="6" t="n">
        <v>-119</v>
      </c>
      <c r="W385" s="6" t="n">
        <v>1</v>
      </c>
      <c r="X385" s="6" t="n">
        <v>2</v>
      </c>
      <c r="Z385" s="6" t="s">
        <v>1471</v>
      </c>
      <c r="AA385" s="9" t="s">
        <v>528</v>
      </c>
      <c r="AB385" s="6" t="s">
        <v>1740</v>
      </c>
      <c r="AE385" s="37" t="n">
        <f aca="false">COUNTIF(環境認証!$A$2:$A$849,A385)</f>
        <v>0</v>
      </c>
      <c r="AF385" s="6" t="n">
        <v>-8.3</v>
      </c>
    </row>
    <row r="386" customFormat="false" ht="15" hidden="false" customHeight="true" outlineLevel="0" collapsed="false">
      <c r="A386" s="6" t="s">
        <v>1741</v>
      </c>
      <c r="B386" s="6" t="s">
        <v>403</v>
      </c>
      <c r="C386" s="9" t="s">
        <v>1742</v>
      </c>
      <c r="D386" s="9" t="s">
        <v>522</v>
      </c>
      <c r="H386" s="6" t="s">
        <v>619</v>
      </c>
      <c r="I386" s="6" t="s">
        <v>1743</v>
      </c>
      <c r="M386" s="6" t="n">
        <v>260159.7</v>
      </c>
      <c r="Q386" s="1" t="str">
        <f aca="false">IF(OR($A386="",P386=""),"",ROUND(YEARFRAC(P386,README!$C$5),1))</f>
        <v/>
      </c>
      <c r="S386" s="6" t="n">
        <v>222508</v>
      </c>
      <c r="T386" s="6" t="n">
        <v>221060.926</v>
      </c>
      <c r="U386" s="6" t="n">
        <v>288790</v>
      </c>
      <c r="V386" s="1" t="n">
        <f aca="false">IF($A386="","",IF(OR(T386="",U386=""),"",U386-T386))</f>
        <v>67729.074</v>
      </c>
      <c r="W386" s="6" t="n">
        <v>0.973</v>
      </c>
      <c r="X386" s="6" t="n">
        <v>1036</v>
      </c>
      <c r="Z386" s="6" t="s">
        <v>1471</v>
      </c>
      <c r="AA386" s="44" t="s">
        <v>1168</v>
      </c>
      <c r="AB386" s="9" t="s">
        <v>1744</v>
      </c>
      <c r="AE386" s="37" t="n">
        <f aca="false">COUNTIF(環境認証!$A$2:$A$849,A386)</f>
        <v>0</v>
      </c>
    </row>
    <row r="387" customFormat="false" ht="15" hidden="false" customHeight="true" outlineLevel="0" collapsed="false">
      <c r="A387" s="6" t="s">
        <v>1745</v>
      </c>
      <c r="B387" s="6" t="s">
        <v>448</v>
      </c>
      <c r="C387" s="9" t="s">
        <v>1746</v>
      </c>
      <c r="D387" s="9" t="s">
        <v>522</v>
      </c>
      <c r="E387" s="9" t="s">
        <v>523</v>
      </c>
      <c r="F387" s="9" t="s">
        <v>532</v>
      </c>
      <c r="H387" s="9" t="s">
        <v>525</v>
      </c>
      <c r="L387" s="6" t="n">
        <v>6914.84</v>
      </c>
      <c r="Q387" s="1" t="str">
        <f aca="false">IF(OR($A387="",P387=""),"",ROUND(YEARFRAC(P387,README!$C$5),1))</f>
        <v/>
      </c>
      <c r="S387" s="6" t="n">
        <v>6341</v>
      </c>
      <c r="T387" s="6" t="n">
        <v>5693</v>
      </c>
      <c r="U387" s="6" t="n">
        <v>7990</v>
      </c>
      <c r="V387" s="6" t="n">
        <v>2297</v>
      </c>
      <c r="W387" s="6" t="n">
        <v>1</v>
      </c>
      <c r="Y387" s="6" t="n">
        <v>10.6</v>
      </c>
      <c r="Z387" s="6" t="s">
        <v>1747</v>
      </c>
      <c r="AA387" s="9" t="s">
        <v>528</v>
      </c>
      <c r="AB387" s="6" t="s">
        <v>1748</v>
      </c>
      <c r="AE387" s="37" t="n">
        <f aca="false">COUNTIF(環境認証!$A$2:$A$849,A387)</f>
        <v>1</v>
      </c>
      <c r="AF387" s="6" t="n">
        <v>40.3</v>
      </c>
      <c r="AG387" s="6" t="n">
        <v>26</v>
      </c>
    </row>
    <row r="388" customFormat="false" ht="15" hidden="false" customHeight="true" outlineLevel="0" collapsed="false">
      <c r="A388" s="6" t="s">
        <v>1749</v>
      </c>
      <c r="B388" s="6" t="s">
        <v>448</v>
      </c>
      <c r="C388" s="9" t="s">
        <v>1750</v>
      </c>
      <c r="D388" s="9" t="s">
        <v>522</v>
      </c>
      <c r="E388" s="9" t="s">
        <v>523</v>
      </c>
      <c r="F388" s="9" t="s">
        <v>532</v>
      </c>
      <c r="H388" s="9" t="s">
        <v>611</v>
      </c>
      <c r="Q388" s="1" t="str">
        <f aca="false">IF(OR($A388="",P388=""),"",ROUND(YEARFRAC(P388,README!$C$5),1))</f>
        <v/>
      </c>
      <c r="V388" s="1" t="str">
        <f aca="false">IF($A388="","",IF(OR(T388="",U388=""),"",U388-T388))</f>
        <v/>
      </c>
      <c r="Z388" s="6" t="s">
        <v>1747</v>
      </c>
      <c r="AA388" s="9" t="s">
        <v>528</v>
      </c>
      <c r="AB388" s="6" t="s">
        <v>1751</v>
      </c>
      <c r="AE388" s="37" t="n">
        <f aca="false">COUNTIF(環境認証!$A$2:$A$849,A388)</f>
        <v>0</v>
      </c>
    </row>
    <row r="389" customFormat="false" ht="15" hidden="false" customHeight="true" outlineLevel="0" collapsed="false">
      <c r="A389" s="6" t="s">
        <v>1752</v>
      </c>
      <c r="B389" s="6" t="s">
        <v>448</v>
      </c>
      <c r="C389" s="9" t="s">
        <v>1753</v>
      </c>
      <c r="D389" s="9" t="s">
        <v>522</v>
      </c>
      <c r="E389" s="9" t="s">
        <v>523</v>
      </c>
      <c r="F389" s="9" t="s">
        <v>648</v>
      </c>
      <c r="H389" s="9" t="s">
        <v>525</v>
      </c>
      <c r="L389" s="6" t="n">
        <v>2721.71</v>
      </c>
      <c r="Q389" s="1" t="str">
        <f aca="false">IF(OR($A389="",P389=""),"",ROUND(YEARFRAC(P389,README!$C$5),1))</f>
        <v/>
      </c>
      <c r="S389" s="6" t="n">
        <v>1727</v>
      </c>
      <c r="T389" s="6" t="n">
        <v>1437</v>
      </c>
      <c r="U389" s="6" t="n">
        <v>3770</v>
      </c>
      <c r="V389" s="6" t="n">
        <v>2333</v>
      </c>
      <c r="W389" s="6" t="n">
        <v>1</v>
      </c>
      <c r="Y389" s="6" t="n">
        <v>5.5</v>
      </c>
      <c r="Z389" s="6" t="s">
        <v>1747</v>
      </c>
      <c r="AA389" s="9" t="s">
        <v>528</v>
      </c>
      <c r="AB389" s="6" t="s">
        <v>1754</v>
      </c>
      <c r="AE389" s="37" t="n">
        <f aca="false">COUNTIF(環境認証!$A$2:$A$849,A389)</f>
        <v>1</v>
      </c>
      <c r="AF389" s="6" t="n">
        <v>162.4</v>
      </c>
      <c r="AG389" s="6" t="n">
        <v>118.3</v>
      </c>
    </row>
    <row r="390" customFormat="false" ht="15" hidden="false" customHeight="true" outlineLevel="0" collapsed="false">
      <c r="A390" s="6" t="s">
        <v>1755</v>
      </c>
      <c r="B390" s="6" t="s">
        <v>448</v>
      </c>
      <c r="C390" s="9" t="s">
        <v>1756</v>
      </c>
      <c r="D390" s="9" t="s">
        <v>522</v>
      </c>
      <c r="E390" s="9" t="s">
        <v>523</v>
      </c>
      <c r="F390" s="9" t="s">
        <v>648</v>
      </c>
      <c r="H390" s="9" t="s">
        <v>525</v>
      </c>
      <c r="L390" s="6" t="n">
        <v>7737.27</v>
      </c>
      <c r="Q390" s="1" t="str">
        <f aca="false">IF(OR($A390="",P390=""),"",ROUND(YEARFRAC(P390,README!$C$5),1))</f>
        <v/>
      </c>
      <c r="S390" s="6" t="n">
        <v>5348</v>
      </c>
      <c r="T390" s="6" t="n">
        <v>4799</v>
      </c>
      <c r="U390" s="6" t="n">
        <v>12100</v>
      </c>
      <c r="V390" s="6" t="n">
        <v>7301</v>
      </c>
      <c r="W390" s="6" t="n">
        <v>1</v>
      </c>
      <c r="Y390" s="6" t="n">
        <v>10.6</v>
      </c>
      <c r="Z390" s="6" t="s">
        <v>1747</v>
      </c>
      <c r="AA390" s="9" t="s">
        <v>528</v>
      </c>
      <c r="AB390" s="6" t="s">
        <v>1757</v>
      </c>
      <c r="AE390" s="37" t="n">
        <f aca="false">COUNTIF(環境認証!$A$2:$A$849,A390)</f>
        <v>0</v>
      </c>
      <c r="AF390" s="6" t="n">
        <v>152.1</v>
      </c>
      <c r="AG390" s="6" t="n">
        <v>126.3</v>
      </c>
    </row>
    <row r="391" customFormat="false" ht="15" hidden="false" customHeight="true" outlineLevel="0" collapsed="false">
      <c r="A391" s="6" t="s">
        <v>1758</v>
      </c>
      <c r="B391" s="6" t="s">
        <v>448</v>
      </c>
      <c r="C391" s="9" t="s">
        <v>1759</v>
      </c>
      <c r="D391" s="9" t="s">
        <v>522</v>
      </c>
      <c r="E391" s="9" t="s">
        <v>523</v>
      </c>
      <c r="F391" s="9" t="s">
        <v>806</v>
      </c>
      <c r="H391" s="9" t="s">
        <v>525</v>
      </c>
      <c r="L391" s="6" t="n">
        <v>9906.83</v>
      </c>
      <c r="Q391" s="1" t="str">
        <f aca="false">IF(OR($A391="",P391=""),"",ROUND(YEARFRAC(P391,README!$C$5),1))</f>
        <v/>
      </c>
      <c r="S391" s="6" t="n">
        <v>5118</v>
      </c>
      <c r="T391" s="6" t="n">
        <v>4150</v>
      </c>
      <c r="U391" s="6" t="n">
        <v>7440</v>
      </c>
      <c r="V391" s="6" t="n">
        <v>3290</v>
      </c>
      <c r="W391" s="6" t="n">
        <v>1</v>
      </c>
      <c r="Y391" s="6" t="n">
        <v>2</v>
      </c>
      <c r="Z391" s="6" t="s">
        <v>1747</v>
      </c>
      <c r="AA391" s="9" t="s">
        <v>528</v>
      </c>
      <c r="AB391" s="6" t="s">
        <v>1760</v>
      </c>
      <c r="AE391" s="37" t="n">
        <f aca="false">COUNTIF(環境認証!$A$2:$A$849,A391)</f>
        <v>1</v>
      </c>
      <c r="AF391" s="6" t="n">
        <v>79.3</v>
      </c>
      <c r="AG391" s="6" t="n">
        <v>45.4</v>
      </c>
    </row>
    <row r="392" customFormat="false" ht="15" hidden="false" customHeight="true" outlineLevel="0" collapsed="false">
      <c r="A392" s="6" t="s">
        <v>1761</v>
      </c>
      <c r="B392" s="6" t="s">
        <v>448</v>
      </c>
      <c r="C392" s="9" t="s">
        <v>1762</v>
      </c>
      <c r="D392" s="9" t="s">
        <v>522</v>
      </c>
      <c r="E392" s="9" t="s">
        <v>523</v>
      </c>
      <c r="F392" s="9" t="s">
        <v>532</v>
      </c>
      <c r="H392" s="9" t="s">
        <v>525</v>
      </c>
      <c r="L392" s="6" t="n">
        <v>13987.76</v>
      </c>
      <c r="Q392" s="1" t="str">
        <f aca="false">IF(OR($A392="",P392=""),"",ROUND(YEARFRAC(P392,README!$C$5),1))</f>
        <v/>
      </c>
      <c r="S392" s="6" t="n">
        <v>10300</v>
      </c>
      <c r="T392" s="6" t="n">
        <v>10188</v>
      </c>
      <c r="U392" s="6" t="n">
        <v>11400</v>
      </c>
      <c r="V392" s="6" t="n">
        <v>1212</v>
      </c>
      <c r="W392" s="6" t="n">
        <v>1</v>
      </c>
      <c r="Y392" s="6" t="n">
        <v>7.2</v>
      </c>
      <c r="Z392" s="6" t="s">
        <v>1747</v>
      </c>
      <c r="AA392" s="9" t="s">
        <v>528</v>
      </c>
      <c r="AB392" s="6" t="s">
        <v>1763</v>
      </c>
      <c r="AE392" s="37" t="n">
        <f aca="false">COUNTIF(環境認証!$A$2:$A$849,A392)</f>
        <v>1</v>
      </c>
      <c r="AF392" s="6" t="n">
        <v>11.9</v>
      </c>
      <c r="AG392" s="6" t="n">
        <v>10.7</v>
      </c>
    </row>
    <row r="393" customFormat="false" ht="15" hidden="false" customHeight="true" outlineLevel="0" collapsed="false">
      <c r="A393" s="6" t="s">
        <v>1764</v>
      </c>
      <c r="B393" s="6" t="s">
        <v>448</v>
      </c>
      <c r="C393" s="9" t="s">
        <v>1765</v>
      </c>
      <c r="D393" s="9" t="s">
        <v>522</v>
      </c>
      <c r="E393" s="9" t="s">
        <v>523</v>
      </c>
      <c r="F393" s="9" t="s">
        <v>532</v>
      </c>
      <c r="H393" s="9" t="s">
        <v>525</v>
      </c>
      <c r="L393" s="6" t="n">
        <v>6486.42</v>
      </c>
      <c r="Q393" s="1" t="str">
        <f aca="false">IF(OR($A393="",P393=""),"",ROUND(YEARFRAC(P393,README!$C$5),1))</f>
        <v/>
      </c>
      <c r="S393" s="6" t="n">
        <v>5000</v>
      </c>
      <c r="T393" s="6" t="n">
        <v>4943</v>
      </c>
      <c r="U393" s="6" t="n">
        <v>5390</v>
      </c>
      <c r="V393" s="6" t="n">
        <v>447</v>
      </c>
      <c r="W393" s="6" t="n">
        <v>1</v>
      </c>
      <c r="Y393" s="6" t="n">
        <v>10.5</v>
      </c>
      <c r="Z393" s="6" t="s">
        <v>1747</v>
      </c>
      <c r="AA393" s="9" t="s">
        <v>528</v>
      </c>
      <c r="AB393" s="6" t="s">
        <v>1766</v>
      </c>
      <c r="AE393" s="37" t="n">
        <f aca="false">COUNTIF(環境認証!$A$2:$A$849,A393)</f>
        <v>1</v>
      </c>
      <c r="AF393" s="6" t="n">
        <v>9</v>
      </c>
      <c r="AG393" s="6" t="n">
        <v>7.8</v>
      </c>
    </row>
    <row r="394" customFormat="false" ht="15" hidden="false" customHeight="true" outlineLevel="0" collapsed="false">
      <c r="A394" s="6" t="s">
        <v>1767</v>
      </c>
      <c r="B394" s="6" t="s">
        <v>448</v>
      </c>
      <c r="C394" s="9" t="s">
        <v>1768</v>
      </c>
      <c r="D394" s="9" t="s">
        <v>522</v>
      </c>
      <c r="E394" s="9" t="s">
        <v>523</v>
      </c>
      <c r="F394" s="9" t="s">
        <v>532</v>
      </c>
      <c r="H394" s="9" t="s">
        <v>525</v>
      </c>
      <c r="L394" s="6" t="n">
        <v>160042.88</v>
      </c>
      <c r="Q394" s="1" t="str">
        <f aca="false">IF(OR($A394="",P394=""),"",ROUND(YEARFRAC(P394,README!$C$5),1))</f>
        <v/>
      </c>
      <c r="S394" s="6" t="n">
        <v>26340</v>
      </c>
      <c r="T394" s="6" t="n">
        <v>26137</v>
      </c>
      <c r="U394" s="6" t="n">
        <v>29700</v>
      </c>
      <c r="V394" s="6" t="n">
        <v>3563</v>
      </c>
      <c r="W394" s="6" t="n">
        <v>0.988</v>
      </c>
      <c r="Y394" s="6" t="n">
        <v>12</v>
      </c>
      <c r="Z394" s="6" t="s">
        <v>1747</v>
      </c>
      <c r="AA394" s="9" t="s">
        <v>528</v>
      </c>
      <c r="AB394" s="6" t="s">
        <v>1769</v>
      </c>
      <c r="AE394" s="37" t="n">
        <f aca="false">COUNTIF(環境認証!$A$2:$A$849,A394)</f>
        <v>1</v>
      </c>
      <c r="AF394" s="6" t="n">
        <v>13.6</v>
      </c>
      <c r="AG394" s="6" t="n">
        <v>12.8</v>
      </c>
    </row>
    <row r="395" customFormat="false" ht="15" hidden="false" customHeight="true" outlineLevel="0" collapsed="false">
      <c r="A395" s="6" t="s">
        <v>1770</v>
      </c>
      <c r="B395" s="6" t="s">
        <v>448</v>
      </c>
      <c r="C395" s="9" t="s">
        <v>1771</v>
      </c>
      <c r="D395" s="9" t="s">
        <v>522</v>
      </c>
      <c r="E395" s="9" t="s">
        <v>523</v>
      </c>
      <c r="F395" s="9" t="s">
        <v>524</v>
      </c>
      <c r="H395" s="9" t="s">
        <v>525</v>
      </c>
      <c r="L395" s="6" t="n">
        <v>206107.08</v>
      </c>
      <c r="Q395" s="1" t="str">
        <f aca="false">IF(OR($A395="",P395=""),"",ROUND(YEARFRAC(P395,README!$C$5),1))</f>
        <v/>
      </c>
      <c r="S395" s="6" t="n">
        <v>4680</v>
      </c>
      <c r="T395" s="6" t="n">
        <v>4606</v>
      </c>
      <c r="U395" s="6" t="n">
        <v>5772</v>
      </c>
      <c r="V395" s="6" t="n">
        <v>1166</v>
      </c>
      <c r="W395" s="6" t="n">
        <v>1</v>
      </c>
      <c r="Y395" s="6" t="n">
        <v>8.6</v>
      </c>
      <c r="Z395" s="6" t="s">
        <v>1747</v>
      </c>
      <c r="AA395" s="9" t="s">
        <v>528</v>
      </c>
      <c r="AB395" s="6" t="s">
        <v>1772</v>
      </c>
      <c r="AE395" s="37" t="n">
        <f aca="false">COUNTIF(環境認証!$A$2:$A$849,A395)</f>
        <v>0</v>
      </c>
      <c r="AF395" s="6" t="n">
        <v>25.3</v>
      </c>
      <c r="AG395" s="6" t="n">
        <v>23.3</v>
      </c>
    </row>
    <row r="396" customFormat="false" ht="15" hidden="false" customHeight="true" outlineLevel="0" collapsed="false">
      <c r="A396" s="6" t="s">
        <v>1773</v>
      </c>
      <c r="B396" s="6" t="s">
        <v>448</v>
      </c>
      <c r="C396" s="9" t="s">
        <v>1774</v>
      </c>
      <c r="D396" s="9" t="s">
        <v>522</v>
      </c>
      <c r="E396" s="9" t="s">
        <v>523</v>
      </c>
      <c r="F396" s="9" t="s">
        <v>532</v>
      </c>
      <c r="H396" s="9" t="s">
        <v>525</v>
      </c>
      <c r="L396" s="6" t="n">
        <v>202666.94</v>
      </c>
      <c r="Q396" s="1" t="str">
        <f aca="false">IF(OR($A396="",P396=""),"",ROUND(YEARFRAC(P396,README!$C$5),1))</f>
        <v/>
      </c>
      <c r="S396" s="6" t="n">
        <v>18687</v>
      </c>
      <c r="T396" s="6" t="n">
        <v>18066</v>
      </c>
      <c r="U396" s="6" t="n">
        <v>18100</v>
      </c>
      <c r="V396" s="6" t="n">
        <v>34</v>
      </c>
      <c r="W396" s="6" t="n">
        <v>1</v>
      </c>
      <c r="Y396" s="6" t="n">
        <v>4.7</v>
      </c>
      <c r="Z396" s="6" t="s">
        <v>1747</v>
      </c>
      <c r="AA396" s="9" t="s">
        <v>528</v>
      </c>
      <c r="AB396" s="6" t="s">
        <v>1775</v>
      </c>
      <c r="AE396" s="37" t="n">
        <f aca="false">COUNTIF(環境認証!$A$2:$A$849,A396)</f>
        <v>2</v>
      </c>
      <c r="AF396" s="6" t="n">
        <v>0.2</v>
      </c>
      <c r="AG396" s="6" t="n">
        <v>-3.1</v>
      </c>
    </row>
    <row r="397" customFormat="false" ht="15" hidden="false" customHeight="true" outlineLevel="0" collapsed="false">
      <c r="A397" s="6" t="s">
        <v>1776</v>
      </c>
      <c r="B397" s="6" t="s">
        <v>448</v>
      </c>
      <c r="C397" s="9" t="s">
        <v>1777</v>
      </c>
      <c r="D397" s="9" t="s">
        <v>522</v>
      </c>
      <c r="E397" s="9" t="s">
        <v>523</v>
      </c>
      <c r="F397" s="9" t="s">
        <v>806</v>
      </c>
      <c r="H397" s="9" t="s">
        <v>525</v>
      </c>
      <c r="L397" s="6" t="n">
        <v>232996.81</v>
      </c>
      <c r="Q397" s="1" t="str">
        <f aca="false">IF(OR($A397="",P397=""),"",ROUND(YEARFRAC(P397,README!$C$5),1))</f>
        <v/>
      </c>
      <c r="S397" s="6" t="n">
        <v>22000</v>
      </c>
      <c r="T397" s="6" t="n">
        <v>23439</v>
      </c>
      <c r="U397" s="6" t="n">
        <v>22300</v>
      </c>
      <c r="V397" s="6" t="n">
        <v>-1139</v>
      </c>
      <c r="W397" s="6" t="n">
        <v>0.999</v>
      </c>
      <c r="Y397" s="6" t="n">
        <v>9</v>
      </c>
      <c r="Z397" s="6" t="s">
        <v>1747</v>
      </c>
      <c r="AA397" s="9" t="s">
        <v>528</v>
      </c>
      <c r="AB397" s="6" t="s">
        <v>1778</v>
      </c>
      <c r="AE397" s="37" t="n">
        <f aca="false">COUNTIF(環境認証!$A$2:$A$849,A397)</f>
        <v>0</v>
      </c>
      <c r="AF397" s="6" t="n">
        <v>-4.9</v>
      </c>
      <c r="AG397" s="6" t="n">
        <v>1.4</v>
      </c>
    </row>
    <row r="398" customFormat="false" ht="15" hidden="false" customHeight="true" outlineLevel="0" collapsed="false">
      <c r="A398" s="6" t="s">
        <v>1779</v>
      </c>
      <c r="B398" s="6" t="s">
        <v>448</v>
      </c>
      <c r="C398" s="9" t="s">
        <v>1780</v>
      </c>
      <c r="D398" s="9" t="s">
        <v>522</v>
      </c>
      <c r="E398" s="9" t="s">
        <v>523</v>
      </c>
      <c r="F398" s="9" t="s">
        <v>524</v>
      </c>
      <c r="H398" s="9" t="s">
        <v>525</v>
      </c>
      <c r="L398" s="6" t="n">
        <v>35232.39</v>
      </c>
      <c r="Q398" s="1" t="str">
        <f aca="false">IF(OR($A398="",P398=""),"",ROUND(YEARFRAC(P398,README!$C$5),1))</f>
        <v/>
      </c>
      <c r="S398" s="6" t="n">
        <v>5640</v>
      </c>
      <c r="T398" s="6" t="n">
        <v>5581</v>
      </c>
      <c r="U398" s="6" t="n">
        <v>6108</v>
      </c>
      <c r="V398" s="6" t="n">
        <v>527</v>
      </c>
      <c r="W398" s="6" t="n">
        <v>1</v>
      </c>
      <c r="Y398" s="6" t="n">
        <v>8.5</v>
      </c>
      <c r="Z398" s="6" t="s">
        <v>1747</v>
      </c>
      <c r="AA398" s="9" t="s">
        <v>528</v>
      </c>
      <c r="AB398" s="6" t="s">
        <v>1781</v>
      </c>
      <c r="AE398" s="37" t="n">
        <f aca="false">COUNTIF(環境認証!$A$2:$A$849,A398)</f>
        <v>1</v>
      </c>
      <c r="AF398" s="6" t="n">
        <v>9.4</v>
      </c>
      <c r="AG398" s="6" t="n">
        <v>8.3</v>
      </c>
    </row>
    <row r="399" customFormat="false" ht="15" hidden="false" customHeight="true" outlineLevel="0" collapsed="false">
      <c r="A399" s="6" t="s">
        <v>1782</v>
      </c>
      <c r="B399" s="6" t="s">
        <v>448</v>
      </c>
      <c r="C399" s="9" t="s">
        <v>1783</v>
      </c>
      <c r="D399" s="9" t="s">
        <v>522</v>
      </c>
      <c r="E399" s="9" t="s">
        <v>523</v>
      </c>
      <c r="F399" s="9" t="s">
        <v>543</v>
      </c>
      <c r="H399" s="9" t="s">
        <v>540</v>
      </c>
      <c r="L399" s="6" t="n">
        <v>5054.32</v>
      </c>
      <c r="Q399" s="1" t="str">
        <f aca="false">IF(OR($A399="",P399=""),"",ROUND(YEARFRAC(P399,README!$C$5),1))</f>
        <v/>
      </c>
      <c r="S399" s="6" t="n">
        <v>4310</v>
      </c>
      <c r="T399" s="6" t="n">
        <v>3358</v>
      </c>
      <c r="U399" s="6" t="n">
        <v>3040</v>
      </c>
      <c r="V399" s="6" t="n">
        <v>-318</v>
      </c>
      <c r="W399" s="6" t="n">
        <v>1</v>
      </c>
      <c r="Y399" s="6" t="n">
        <v>16.2</v>
      </c>
      <c r="Z399" s="6" t="s">
        <v>1747</v>
      </c>
      <c r="AA399" s="9" t="s">
        <v>528</v>
      </c>
      <c r="AB399" s="6" t="s">
        <v>1784</v>
      </c>
      <c r="AE399" s="37" t="n">
        <f aca="false">COUNTIF(環境認証!$A$2:$A$849,A399)</f>
        <v>1</v>
      </c>
      <c r="AF399" s="6" t="n">
        <v>-9.5</v>
      </c>
      <c r="AG399" s="6" t="n">
        <v>-29.5</v>
      </c>
    </row>
    <row r="400" customFormat="false" ht="15" hidden="false" customHeight="true" outlineLevel="0" collapsed="false">
      <c r="A400" s="6" t="s">
        <v>1785</v>
      </c>
      <c r="B400" s="6" t="s">
        <v>448</v>
      </c>
      <c r="C400" s="9" t="s">
        <v>1786</v>
      </c>
      <c r="D400" s="9" t="s">
        <v>522</v>
      </c>
      <c r="E400" s="9" t="s">
        <v>523</v>
      </c>
      <c r="F400" s="9" t="s">
        <v>539</v>
      </c>
      <c r="H400" s="9" t="s">
        <v>540</v>
      </c>
      <c r="L400" s="6" t="n">
        <v>4799.97</v>
      </c>
      <c r="Q400" s="1" t="str">
        <f aca="false">IF(OR($A400="",P400=""),"",ROUND(YEARFRAC(P400,README!$C$5),1))</f>
        <v/>
      </c>
      <c r="S400" s="6" t="n">
        <v>4380</v>
      </c>
      <c r="T400" s="6" t="n">
        <v>4413</v>
      </c>
      <c r="U400" s="6" t="n">
        <v>3630</v>
      </c>
      <c r="V400" s="6" t="n">
        <v>-783</v>
      </c>
      <c r="W400" s="6" t="n">
        <v>1</v>
      </c>
      <c r="Y400" s="6" t="n">
        <v>12.8</v>
      </c>
      <c r="Z400" s="6" t="s">
        <v>1747</v>
      </c>
      <c r="AA400" s="9" t="s">
        <v>528</v>
      </c>
      <c r="AB400" s="6" t="s">
        <v>1787</v>
      </c>
      <c r="AE400" s="37" t="n">
        <f aca="false">COUNTIF(環境認証!$A$2:$A$849,A400)</f>
        <v>1</v>
      </c>
      <c r="AF400" s="6" t="n">
        <v>-17.7</v>
      </c>
      <c r="AG400" s="6" t="n">
        <v>-17.1</v>
      </c>
    </row>
    <row r="401" customFormat="false" ht="15" hidden="false" customHeight="true" outlineLevel="0" collapsed="false">
      <c r="A401" s="6" t="s">
        <v>1788</v>
      </c>
      <c r="B401" s="6" t="s">
        <v>448</v>
      </c>
      <c r="C401" s="9" t="s">
        <v>1789</v>
      </c>
      <c r="D401" s="9" t="s">
        <v>522</v>
      </c>
      <c r="E401" s="9" t="s">
        <v>523</v>
      </c>
      <c r="F401" s="9" t="s">
        <v>625</v>
      </c>
      <c r="H401" s="9" t="s">
        <v>540</v>
      </c>
      <c r="L401" s="6" t="n">
        <v>7545.8</v>
      </c>
      <c r="Q401" s="1" t="str">
        <f aca="false">IF(OR($A401="",P401=""),"",ROUND(YEARFRAC(P401,README!$C$5),1))</f>
        <v/>
      </c>
      <c r="S401" s="6" t="n">
        <v>4100</v>
      </c>
      <c r="T401" s="6" t="n">
        <v>3965</v>
      </c>
      <c r="U401" s="6" t="n">
        <v>3440</v>
      </c>
      <c r="V401" s="6" t="n">
        <v>-525</v>
      </c>
      <c r="W401" s="6" t="n">
        <v>1</v>
      </c>
      <c r="Y401" s="6" t="n">
        <v>14.3</v>
      </c>
      <c r="Z401" s="6" t="s">
        <v>1747</v>
      </c>
      <c r="AA401" s="9" t="s">
        <v>528</v>
      </c>
      <c r="AB401" s="6" t="s">
        <v>1790</v>
      </c>
      <c r="AE401" s="37" t="n">
        <f aca="false">COUNTIF(環境認証!$A$2:$A$849,A401)</f>
        <v>1</v>
      </c>
      <c r="AF401" s="6" t="n">
        <v>-13.2</v>
      </c>
      <c r="AG401" s="6" t="n">
        <v>-16.1</v>
      </c>
    </row>
    <row r="402" customFormat="false" ht="15" hidden="false" customHeight="true" outlineLevel="0" collapsed="false">
      <c r="A402" s="6" t="s">
        <v>1791</v>
      </c>
      <c r="B402" s="6" t="s">
        <v>448</v>
      </c>
      <c r="C402" s="9" t="s">
        <v>1792</v>
      </c>
      <c r="D402" s="9" t="s">
        <v>522</v>
      </c>
      <c r="E402" s="9" t="s">
        <v>523</v>
      </c>
      <c r="F402" s="9" t="s">
        <v>539</v>
      </c>
      <c r="H402" s="9" t="s">
        <v>540</v>
      </c>
      <c r="L402" s="6" t="n">
        <v>6868.83</v>
      </c>
      <c r="Q402" s="1" t="str">
        <f aca="false">IF(OR($A402="",P402=""),"",ROUND(YEARFRAC(P402,README!$C$5),1))</f>
        <v/>
      </c>
      <c r="S402" s="6" t="n">
        <v>5900</v>
      </c>
      <c r="T402" s="6" t="n">
        <v>4883</v>
      </c>
      <c r="U402" s="6" t="n">
        <v>8070</v>
      </c>
      <c r="V402" s="6" t="n">
        <v>3187</v>
      </c>
      <c r="W402" s="6" t="n">
        <v>1</v>
      </c>
      <c r="Y402" s="6" t="n">
        <v>10.7</v>
      </c>
      <c r="Z402" s="6" t="s">
        <v>1747</v>
      </c>
      <c r="AA402" s="9" t="s">
        <v>528</v>
      </c>
      <c r="AB402" s="6" t="s">
        <v>1793</v>
      </c>
      <c r="AE402" s="37" t="n">
        <f aca="false">COUNTIF(環境認証!$A$2:$A$849,A402)</f>
        <v>2</v>
      </c>
      <c r="AF402" s="6" t="n">
        <v>65.3</v>
      </c>
      <c r="AG402" s="6" t="n">
        <v>36.8</v>
      </c>
    </row>
    <row r="403" customFormat="false" ht="15" hidden="false" customHeight="true" outlineLevel="0" collapsed="false">
      <c r="A403" s="6" t="s">
        <v>1794</v>
      </c>
      <c r="B403" s="6" t="s">
        <v>448</v>
      </c>
      <c r="C403" s="9" t="s">
        <v>1795</v>
      </c>
      <c r="D403" s="9" t="s">
        <v>522</v>
      </c>
      <c r="E403" s="9" t="s">
        <v>523</v>
      </c>
      <c r="F403" s="9" t="s">
        <v>893</v>
      </c>
      <c r="H403" s="9" t="s">
        <v>540</v>
      </c>
      <c r="L403" s="6" t="n">
        <v>25050.26</v>
      </c>
      <c r="Q403" s="1" t="str">
        <f aca="false">IF(OR($A403="",P403=""),"",ROUND(YEARFRAC(P403,README!$C$5),1))</f>
        <v/>
      </c>
      <c r="S403" s="6" t="n">
        <v>13600</v>
      </c>
      <c r="T403" s="6" t="n">
        <v>13646</v>
      </c>
      <c r="U403" s="6" t="n">
        <v>23300</v>
      </c>
      <c r="V403" s="6" t="n">
        <v>9654</v>
      </c>
      <c r="W403" s="6" t="n">
        <v>1</v>
      </c>
      <c r="Y403" s="6" t="n">
        <v>13</v>
      </c>
      <c r="Z403" s="6" t="s">
        <v>1747</v>
      </c>
      <c r="AA403" s="9" t="s">
        <v>528</v>
      </c>
      <c r="AB403" s="6" t="s">
        <v>1796</v>
      </c>
      <c r="AE403" s="37" t="n">
        <f aca="false">COUNTIF(環境認証!$A$2:$A$849,A403)</f>
        <v>1</v>
      </c>
      <c r="AF403" s="6" t="n">
        <v>70.7</v>
      </c>
      <c r="AG403" s="6" t="n">
        <v>71.3</v>
      </c>
    </row>
    <row r="404" customFormat="false" ht="15" hidden="false" customHeight="true" outlineLevel="0" collapsed="false">
      <c r="A404" s="6" t="s">
        <v>1797</v>
      </c>
      <c r="B404" s="6" t="s">
        <v>448</v>
      </c>
      <c r="C404" s="9" t="s">
        <v>1798</v>
      </c>
      <c r="D404" s="9" t="s">
        <v>522</v>
      </c>
      <c r="E404" s="9" t="s">
        <v>523</v>
      </c>
      <c r="H404" s="9" t="s">
        <v>540</v>
      </c>
      <c r="L404" s="6" t="n">
        <v>11937.25</v>
      </c>
      <c r="Q404" s="1" t="str">
        <f aca="false">IF(OR($A404="",P404=""),"",ROUND(YEARFRAC(P404,README!$C$5),1))</f>
        <v/>
      </c>
      <c r="S404" s="6" t="n">
        <v>4800</v>
      </c>
      <c r="T404" s="6" t="n">
        <v>4218</v>
      </c>
      <c r="U404" s="6" t="n">
        <v>6800</v>
      </c>
      <c r="V404" s="6" t="n">
        <v>2582</v>
      </c>
      <c r="W404" s="6" t="n">
        <v>1</v>
      </c>
      <c r="Y404" s="6" t="n">
        <v>6.8</v>
      </c>
      <c r="Z404" s="6" t="s">
        <v>1747</v>
      </c>
      <c r="AA404" s="9" t="s">
        <v>528</v>
      </c>
      <c r="AB404" s="6" t="s">
        <v>1799</v>
      </c>
      <c r="AE404" s="37" t="n">
        <f aca="false">COUNTIF(環境認証!$A$2:$A$849,A404)</f>
        <v>1</v>
      </c>
      <c r="AF404" s="6" t="n">
        <v>61.2</v>
      </c>
      <c r="AG404" s="6" t="n">
        <v>41.7</v>
      </c>
    </row>
    <row r="405" customFormat="false" ht="15" hidden="false" customHeight="true" outlineLevel="0" collapsed="false">
      <c r="A405" s="6" t="s">
        <v>1800</v>
      </c>
      <c r="B405" s="6" t="s">
        <v>448</v>
      </c>
      <c r="C405" s="9" t="s">
        <v>1801</v>
      </c>
      <c r="D405" s="9" t="s">
        <v>522</v>
      </c>
      <c r="E405" s="9" t="s">
        <v>523</v>
      </c>
      <c r="F405" s="9" t="s">
        <v>625</v>
      </c>
      <c r="H405" s="9" t="s">
        <v>540</v>
      </c>
      <c r="L405" s="6" t="n">
        <v>9445.54</v>
      </c>
      <c r="Q405" s="1" t="str">
        <f aca="false">IF(OR($A405="",P405=""),"",ROUND(YEARFRAC(P405,README!$C$5),1))</f>
        <v/>
      </c>
      <c r="S405" s="6" t="n">
        <v>5250</v>
      </c>
      <c r="T405" s="6" t="n">
        <v>5612</v>
      </c>
      <c r="U405" s="6" t="n">
        <v>6670</v>
      </c>
      <c r="V405" s="6" t="n">
        <v>1058</v>
      </c>
      <c r="W405" s="6" t="n">
        <v>1</v>
      </c>
      <c r="Y405" s="6" t="n">
        <v>9.7</v>
      </c>
      <c r="Z405" s="6" t="s">
        <v>1747</v>
      </c>
      <c r="AA405" s="9" t="s">
        <v>528</v>
      </c>
      <c r="AB405" s="6" t="s">
        <v>1802</v>
      </c>
      <c r="AE405" s="37" t="n">
        <f aca="false">COUNTIF(環境認証!$A$2:$A$849,A405)</f>
        <v>0</v>
      </c>
      <c r="AF405" s="6" t="n">
        <v>18.9</v>
      </c>
      <c r="AG405" s="6" t="n">
        <v>27</v>
      </c>
    </row>
    <row r="406" customFormat="false" ht="15" hidden="false" customHeight="true" outlineLevel="0" collapsed="false">
      <c r="A406" s="6" t="s">
        <v>1803</v>
      </c>
      <c r="B406" s="6" t="s">
        <v>448</v>
      </c>
      <c r="C406" s="9" t="s">
        <v>1804</v>
      </c>
      <c r="D406" s="9" t="s">
        <v>522</v>
      </c>
      <c r="E406" s="9" t="s">
        <v>523</v>
      </c>
      <c r="F406" s="9" t="s">
        <v>916</v>
      </c>
      <c r="H406" s="9" t="s">
        <v>540</v>
      </c>
      <c r="L406" s="6" t="n">
        <v>9268.73</v>
      </c>
      <c r="Q406" s="1" t="str">
        <f aca="false">IF(OR($A406="",P406=""),"",ROUND(YEARFRAC(P406,README!$C$5),1))</f>
        <v/>
      </c>
      <c r="S406" s="6" t="n">
        <v>6400</v>
      </c>
      <c r="T406" s="6" t="n">
        <v>6471</v>
      </c>
      <c r="U406" s="6" t="n">
        <v>6960</v>
      </c>
      <c r="V406" s="6" t="n">
        <v>489</v>
      </c>
      <c r="W406" s="6" t="n">
        <v>1</v>
      </c>
      <c r="Y406" s="6" t="n">
        <v>10.1</v>
      </c>
      <c r="Z406" s="6" t="s">
        <v>1747</v>
      </c>
      <c r="AA406" s="9" t="s">
        <v>528</v>
      </c>
      <c r="AB406" s="6" t="s">
        <v>1805</v>
      </c>
      <c r="AE406" s="37" t="n">
        <f aca="false">COUNTIF(環境認証!$A$2:$A$849,A406)</f>
        <v>2</v>
      </c>
      <c r="AF406" s="6" t="n">
        <v>7.6</v>
      </c>
      <c r="AG406" s="6" t="n">
        <v>8.7</v>
      </c>
    </row>
    <row r="407" customFormat="false" ht="15" hidden="false" customHeight="true" outlineLevel="0" collapsed="false">
      <c r="A407" s="6" t="s">
        <v>1806</v>
      </c>
      <c r="B407" s="6" t="s">
        <v>448</v>
      </c>
      <c r="C407" s="9" t="s">
        <v>1807</v>
      </c>
      <c r="D407" s="9" t="s">
        <v>522</v>
      </c>
      <c r="E407" s="9" t="s">
        <v>547</v>
      </c>
      <c r="F407" s="9" t="s">
        <v>701</v>
      </c>
      <c r="H407" s="9" t="s">
        <v>550</v>
      </c>
      <c r="L407" s="6" t="n">
        <v>7562.9</v>
      </c>
      <c r="Q407" s="1" t="str">
        <f aca="false">IF(OR($A407="",P407=""),"",ROUND(YEARFRAC(P407,README!$C$5),1))</f>
        <v/>
      </c>
      <c r="S407" s="6" t="n">
        <v>3558</v>
      </c>
      <c r="T407" s="6" t="n">
        <v>3084</v>
      </c>
      <c r="U407" s="6" t="n">
        <v>5040</v>
      </c>
      <c r="V407" s="6" t="n">
        <v>1956</v>
      </c>
      <c r="W407" s="6" t="n">
        <v>1</v>
      </c>
      <c r="Y407" s="6" t="n">
        <v>10.2</v>
      </c>
      <c r="Z407" s="6" t="s">
        <v>1747</v>
      </c>
      <c r="AA407" s="9" t="s">
        <v>528</v>
      </c>
      <c r="AB407" s="6" t="s">
        <v>1808</v>
      </c>
      <c r="AE407" s="37" t="n">
        <f aca="false">COUNTIF(環境認証!$A$2:$A$849,A407)</f>
        <v>1</v>
      </c>
      <c r="AF407" s="6" t="n">
        <v>63.4</v>
      </c>
      <c r="AG407" s="6" t="n">
        <v>41.7</v>
      </c>
    </row>
    <row r="408" customFormat="false" ht="15" hidden="false" customHeight="true" outlineLevel="0" collapsed="false">
      <c r="A408" s="6" t="s">
        <v>1809</v>
      </c>
      <c r="B408" s="6" t="s">
        <v>448</v>
      </c>
      <c r="C408" s="9" t="s">
        <v>1810</v>
      </c>
      <c r="D408" s="9" t="s">
        <v>522</v>
      </c>
      <c r="E408" s="9" t="s">
        <v>1811</v>
      </c>
      <c r="F408" s="9" t="s">
        <v>1812</v>
      </c>
      <c r="H408" s="6" t="s">
        <v>599</v>
      </c>
      <c r="L408" s="6" t="n">
        <v>13817.14</v>
      </c>
      <c r="Q408" s="1" t="str">
        <f aca="false">IF(OR($A408="",P408=""),"",ROUND(YEARFRAC(P408,README!$C$5),1))</f>
        <v/>
      </c>
      <c r="S408" s="6" t="n">
        <v>1628</v>
      </c>
      <c r="T408" s="6" t="n">
        <v>1487</v>
      </c>
      <c r="U408" s="6" t="n">
        <v>1792</v>
      </c>
      <c r="V408" s="6" t="n">
        <v>305</v>
      </c>
      <c r="W408" s="6" t="n">
        <v>0.975</v>
      </c>
      <c r="Y408" s="6" t="n">
        <v>9</v>
      </c>
      <c r="Z408" s="6" t="s">
        <v>1747</v>
      </c>
      <c r="AA408" s="9" t="s">
        <v>528</v>
      </c>
      <c r="AB408" s="6" t="s">
        <v>1813</v>
      </c>
      <c r="AE408" s="37" t="n">
        <f aca="false">COUNTIF(環境認証!$A$2:$A$849,A408)</f>
        <v>1</v>
      </c>
      <c r="AF408" s="6" t="n">
        <v>20.5</v>
      </c>
      <c r="AG408" s="6" t="n">
        <v>10.1</v>
      </c>
    </row>
    <row r="409" customFormat="false" ht="15" hidden="false" customHeight="true" outlineLevel="0" collapsed="false">
      <c r="A409" s="6" t="s">
        <v>1814</v>
      </c>
      <c r="B409" s="6" t="s">
        <v>448</v>
      </c>
      <c r="C409" s="9" t="s">
        <v>1815</v>
      </c>
      <c r="D409" s="9" t="s">
        <v>522</v>
      </c>
      <c r="E409" s="9" t="s">
        <v>1811</v>
      </c>
      <c r="F409" s="9" t="s">
        <v>1812</v>
      </c>
      <c r="H409" s="6" t="s">
        <v>599</v>
      </c>
      <c r="L409" s="6" t="n">
        <v>8997.03</v>
      </c>
      <c r="Q409" s="1" t="str">
        <f aca="false">IF(OR($A409="",P409=""),"",ROUND(YEARFRAC(P409,README!$C$5),1))</f>
        <v/>
      </c>
      <c r="S409" s="6" t="n">
        <v>1119</v>
      </c>
      <c r="T409" s="6" t="n">
        <v>1045</v>
      </c>
      <c r="U409" s="6" t="n">
        <v>1228</v>
      </c>
      <c r="V409" s="6" t="n">
        <v>183</v>
      </c>
      <c r="W409" s="6" t="n">
        <v>1</v>
      </c>
      <c r="Y409" s="6" t="n">
        <v>9</v>
      </c>
      <c r="Z409" s="6" t="s">
        <v>1747</v>
      </c>
      <c r="AA409" s="9" t="s">
        <v>528</v>
      </c>
      <c r="AB409" s="6" t="s">
        <v>1816</v>
      </c>
      <c r="AE409" s="37" t="n">
        <f aca="false">COUNTIF(環境認証!$A$2:$A$849,A409)</f>
        <v>1</v>
      </c>
      <c r="AF409" s="6" t="n">
        <v>17.5</v>
      </c>
      <c r="AG409" s="6" t="n">
        <v>9.7</v>
      </c>
    </row>
    <row r="410" customFormat="false" ht="15" hidden="false" customHeight="true" outlineLevel="0" collapsed="false">
      <c r="A410" s="6" t="s">
        <v>1817</v>
      </c>
      <c r="B410" s="6" t="s">
        <v>448</v>
      </c>
      <c r="C410" s="9" t="s">
        <v>1818</v>
      </c>
      <c r="D410" s="9" t="s">
        <v>522</v>
      </c>
      <c r="E410" s="9" t="s">
        <v>573</v>
      </c>
      <c r="F410" s="9" t="s">
        <v>680</v>
      </c>
      <c r="H410" s="9" t="s">
        <v>569</v>
      </c>
      <c r="L410" s="6" t="n">
        <v>14192.79</v>
      </c>
      <c r="Q410" s="1" t="str">
        <f aca="false">IF(OR($A410="",P410=""),"",ROUND(YEARFRAC(P410,README!$C$5),1))</f>
        <v/>
      </c>
      <c r="S410" s="6" t="n">
        <v>4600</v>
      </c>
      <c r="T410" s="6" t="n">
        <v>5016</v>
      </c>
      <c r="U410" s="6" t="n">
        <v>6360</v>
      </c>
      <c r="V410" s="6" t="n">
        <v>1344</v>
      </c>
      <c r="W410" s="6" t="n">
        <v>1</v>
      </c>
      <c r="Y410" s="6" t="n">
        <v>6.3</v>
      </c>
      <c r="Z410" s="6" t="s">
        <v>1747</v>
      </c>
      <c r="AA410" s="9" t="s">
        <v>528</v>
      </c>
      <c r="AB410" s="6" t="s">
        <v>1819</v>
      </c>
      <c r="AE410" s="37" t="n">
        <f aca="false">COUNTIF(環境認証!$A$2:$A$849,A410)</f>
        <v>1</v>
      </c>
      <c r="AF410" s="6" t="n">
        <v>26.8</v>
      </c>
      <c r="AG410" s="6" t="n">
        <v>38.3</v>
      </c>
    </row>
    <row r="411" customFormat="false" ht="15" hidden="false" customHeight="true" outlineLevel="0" collapsed="false">
      <c r="A411" s="6" t="s">
        <v>1820</v>
      </c>
      <c r="B411" s="6" t="s">
        <v>448</v>
      </c>
      <c r="C411" s="9" t="s">
        <v>1821</v>
      </c>
      <c r="D411" s="9" t="s">
        <v>522</v>
      </c>
      <c r="E411" s="9" t="s">
        <v>1822</v>
      </c>
      <c r="F411" s="9" t="s">
        <v>1823</v>
      </c>
      <c r="H411" s="9" t="s">
        <v>569</v>
      </c>
      <c r="L411" s="6" t="n">
        <v>16088.35</v>
      </c>
      <c r="Q411" s="1" t="str">
        <f aca="false">IF(OR($A411="",P411=""),"",ROUND(YEARFRAC(P411,README!$C$5),1))</f>
        <v/>
      </c>
      <c r="S411" s="6" t="n">
        <v>9700</v>
      </c>
      <c r="T411" s="6" t="n">
        <v>9738</v>
      </c>
      <c r="U411" s="6" t="n">
        <v>11100</v>
      </c>
      <c r="V411" s="6" t="n">
        <v>1362</v>
      </c>
      <c r="W411" s="6" t="n">
        <v>0.997</v>
      </c>
      <c r="Y411" s="6" t="n">
        <v>2.5</v>
      </c>
      <c r="Z411" s="6" t="s">
        <v>1747</v>
      </c>
      <c r="AA411" s="9" t="s">
        <v>528</v>
      </c>
      <c r="AB411" s="6" t="s">
        <v>1824</v>
      </c>
      <c r="AE411" s="37" t="n">
        <f aca="false">COUNTIF(環境認証!$A$2:$A$849,A411)</f>
        <v>0</v>
      </c>
      <c r="AF411" s="6" t="n">
        <v>14</v>
      </c>
      <c r="AG411" s="6" t="n">
        <v>14.4</v>
      </c>
    </row>
    <row r="412" customFormat="false" ht="15" hidden="false" customHeight="true" outlineLevel="0" collapsed="false">
      <c r="A412" s="6" t="s">
        <v>1825</v>
      </c>
      <c r="B412" s="6" t="s">
        <v>448</v>
      </c>
      <c r="C412" s="9" t="s">
        <v>1826</v>
      </c>
      <c r="D412" s="9" t="s">
        <v>522</v>
      </c>
      <c r="H412" s="9" t="s">
        <v>569</v>
      </c>
      <c r="L412" s="6" t="n">
        <v>14091.85</v>
      </c>
      <c r="Q412" s="1" t="str">
        <f aca="false">IF(OR($A412="",P412=""),"",ROUND(YEARFRAC(P412,README!$C$5),1))</f>
        <v/>
      </c>
      <c r="S412" s="6" t="n">
        <v>8750</v>
      </c>
      <c r="T412" s="6" t="n">
        <v>8727</v>
      </c>
      <c r="U412" s="6" t="n">
        <v>9810</v>
      </c>
      <c r="V412" s="6" t="n">
        <v>1083</v>
      </c>
      <c r="W412" s="6" t="n">
        <v>1</v>
      </c>
      <c r="Y412" s="6" t="n">
        <v>12.9</v>
      </c>
      <c r="Z412" s="6" t="s">
        <v>1747</v>
      </c>
      <c r="AA412" s="9" t="s">
        <v>528</v>
      </c>
      <c r="AB412" s="6" t="s">
        <v>1827</v>
      </c>
      <c r="AE412" s="37" t="n">
        <f aca="false">COUNTIF(環境認証!$A$2:$A$849,A412)</f>
        <v>0</v>
      </c>
      <c r="AF412" s="6" t="n">
        <v>12.4</v>
      </c>
      <c r="AG412" s="6" t="n">
        <v>12.1</v>
      </c>
    </row>
    <row r="413" customFormat="false" ht="15" hidden="false" customHeight="true" outlineLevel="0" collapsed="false">
      <c r="A413" s="6" t="s">
        <v>1828</v>
      </c>
      <c r="B413" s="6" t="s">
        <v>448</v>
      </c>
      <c r="C413" s="9" t="s">
        <v>1829</v>
      </c>
      <c r="D413" s="9" t="s">
        <v>959</v>
      </c>
      <c r="E413" s="9" t="s">
        <v>523</v>
      </c>
      <c r="F413" s="9" t="s">
        <v>806</v>
      </c>
      <c r="H413" s="9" t="s">
        <v>525</v>
      </c>
      <c r="L413" s="6" t="n">
        <v>8158.3</v>
      </c>
      <c r="Q413" s="1" t="str">
        <f aca="false">IF(OR($A413="",P413=""),"",ROUND(YEARFRAC(P413,README!$C$5),1))</f>
        <v/>
      </c>
      <c r="S413" s="6" t="n">
        <v>5208</v>
      </c>
      <c r="T413" s="6" t="n">
        <v>3985</v>
      </c>
      <c r="U413" s="6" t="n">
        <v>7240</v>
      </c>
      <c r="V413" s="6" t="n">
        <v>3255</v>
      </c>
      <c r="W413" s="6" t="n">
        <v>0.992</v>
      </c>
      <c r="Y413" s="6" t="n">
        <v>7.4</v>
      </c>
      <c r="Z413" s="6" t="s">
        <v>1747</v>
      </c>
      <c r="AA413" s="9" t="s">
        <v>528</v>
      </c>
      <c r="AB413" s="6" t="s">
        <v>1830</v>
      </c>
      <c r="AE413" s="37" t="n">
        <f aca="false">COUNTIF(環境認証!$A$2:$A$849,A413)</f>
        <v>1</v>
      </c>
      <c r="AF413" s="6" t="n">
        <v>81.7</v>
      </c>
      <c r="AG413" s="6" t="n">
        <v>39</v>
      </c>
    </row>
    <row r="414" customFormat="false" ht="15" hidden="false" customHeight="true" outlineLevel="0" collapsed="false">
      <c r="A414" s="6" t="s">
        <v>1831</v>
      </c>
      <c r="B414" s="6" t="s">
        <v>448</v>
      </c>
      <c r="C414" s="9" t="s">
        <v>1832</v>
      </c>
      <c r="D414" s="9" t="s">
        <v>959</v>
      </c>
      <c r="E414" s="9" t="s">
        <v>523</v>
      </c>
      <c r="F414" s="9" t="s">
        <v>648</v>
      </c>
      <c r="H414" s="9" t="s">
        <v>525</v>
      </c>
      <c r="L414" s="6" t="n">
        <v>1913.18</v>
      </c>
      <c r="Q414" s="1" t="str">
        <f aca="false">IF(OR($A414="",P414=""),"",ROUND(YEARFRAC(P414,README!$C$5),1))</f>
        <v/>
      </c>
      <c r="S414" s="6" t="n">
        <v>2604</v>
      </c>
      <c r="T414" s="6" t="n">
        <v>2385</v>
      </c>
      <c r="U414" s="6" t="n">
        <v>2670</v>
      </c>
      <c r="V414" s="6" t="n">
        <v>285</v>
      </c>
      <c r="W414" s="6" t="n">
        <v>0.979</v>
      </c>
      <c r="Y414" s="6" t="n">
        <v>9.9</v>
      </c>
      <c r="Z414" s="6" t="s">
        <v>1747</v>
      </c>
      <c r="AA414" s="9" t="s">
        <v>528</v>
      </c>
      <c r="AB414" s="6" t="s">
        <v>1833</v>
      </c>
      <c r="AE414" s="37" t="n">
        <f aca="false">COUNTIF(環境認証!$A$2:$A$849,A414)</f>
        <v>1</v>
      </c>
      <c r="AF414" s="6" t="n">
        <v>11.9</v>
      </c>
      <c r="AG414" s="6" t="n">
        <v>2.5</v>
      </c>
    </row>
    <row r="415" customFormat="false" ht="15" hidden="false" customHeight="true" outlineLevel="0" collapsed="false">
      <c r="A415" s="6" t="s">
        <v>1834</v>
      </c>
      <c r="B415" s="6" t="s">
        <v>448</v>
      </c>
      <c r="C415" s="9" t="s">
        <v>1835</v>
      </c>
      <c r="D415" s="9" t="s">
        <v>959</v>
      </c>
      <c r="E415" s="9" t="s">
        <v>523</v>
      </c>
      <c r="F415" s="9" t="s">
        <v>532</v>
      </c>
      <c r="H415" s="9" t="s">
        <v>525</v>
      </c>
      <c r="L415" s="6" t="n">
        <v>1793.32</v>
      </c>
      <c r="Q415" s="1" t="str">
        <f aca="false">IF(OR($A415="",P415=""),"",ROUND(YEARFRAC(P415,README!$C$5),1))</f>
        <v/>
      </c>
      <c r="S415" s="6" t="n">
        <v>1330</v>
      </c>
      <c r="T415" s="6" t="n">
        <v>1109</v>
      </c>
      <c r="U415" s="6" t="n">
        <v>1670</v>
      </c>
      <c r="V415" s="6" t="n">
        <v>561</v>
      </c>
      <c r="W415" s="6" t="n">
        <v>0.875</v>
      </c>
      <c r="Y415" s="6" t="n">
        <v>10.1</v>
      </c>
      <c r="Z415" s="6" t="s">
        <v>1747</v>
      </c>
      <c r="AA415" s="9" t="s">
        <v>528</v>
      </c>
      <c r="AB415" s="6" t="s">
        <v>1836</v>
      </c>
      <c r="AE415" s="37" t="n">
        <f aca="false">COUNTIF(環境認証!$A$2:$A$849,A415)</f>
        <v>1</v>
      </c>
      <c r="AF415" s="6" t="n">
        <v>50.6</v>
      </c>
      <c r="AG415" s="6" t="n">
        <v>25.6</v>
      </c>
    </row>
    <row r="416" customFormat="false" ht="15" hidden="false" customHeight="true" outlineLevel="0" collapsed="false">
      <c r="A416" s="6" t="s">
        <v>1837</v>
      </c>
      <c r="B416" s="6" t="s">
        <v>448</v>
      </c>
      <c r="C416" s="9" t="s">
        <v>1838</v>
      </c>
      <c r="D416" s="9" t="s">
        <v>959</v>
      </c>
      <c r="E416" s="9" t="s">
        <v>523</v>
      </c>
      <c r="F416" s="9" t="s">
        <v>532</v>
      </c>
      <c r="H416" s="9" t="s">
        <v>525</v>
      </c>
      <c r="L416" s="6" t="n">
        <v>1399.33</v>
      </c>
      <c r="Q416" s="1" t="str">
        <f aca="false">IF(OR($A416="",P416=""),"",ROUND(YEARFRAC(P416,README!$C$5),1))</f>
        <v/>
      </c>
      <c r="S416" s="6" t="n">
        <v>1070</v>
      </c>
      <c r="T416" s="6" t="n">
        <v>844</v>
      </c>
      <c r="U416" s="6" t="n">
        <v>1380</v>
      </c>
      <c r="V416" s="6" t="n">
        <v>536</v>
      </c>
      <c r="W416" s="6" t="n">
        <v>1</v>
      </c>
      <c r="Y416" s="6" t="n">
        <v>11.2</v>
      </c>
      <c r="Z416" s="6" t="s">
        <v>1747</v>
      </c>
      <c r="AA416" s="9" t="s">
        <v>528</v>
      </c>
      <c r="AB416" s="6" t="s">
        <v>1839</v>
      </c>
      <c r="AE416" s="37" t="n">
        <f aca="false">COUNTIF(環境認証!$A$2:$A$849,A416)</f>
        <v>1</v>
      </c>
      <c r="AF416" s="6" t="n">
        <v>63.5</v>
      </c>
      <c r="AG416" s="6" t="n">
        <v>29</v>
      </c>
    </row>
    <row r="417" customFormat="false" ht="15" hidden="false" customHeight="true" outlineLevel="0" collapsed="false">
      <c r="A417" s="6" t="s">
        <v>1840</v>
      </c>
      <c r="B417" s="6" t="s">
        <v>448</v>
      </c>
      <c r="C417" s="9" t="s">
        <v>1841</v>
      </c>
      <c r="D417" s="9" t="s">
        <v>959</v>
      </c>
      <c r="E417" s="9" t="s">
        <v>523</v>
      </c>
      <c r="F417" s="9" t="s">
        <v>532</v>
      </c>
      <c r="H417" s="9" t="s">
        <v>525</v>
      </c>
      <c r="L417" s="6" t="n">
        <v>8332.22</v>
      </c>
      <c r="Q417" s="1" t="str">
        <f aca="false">IF(OR($A417="",P417=""),"",ROUND(YEARFRAC(P417,README!$C$5),1))</f>
        <v/>
      </c>
      <c r="S417" s="6" t="n">
        <v>4678</v>
      </c>
      <c r="T417" s="6" t="n">
        <v>3830</v>
      </c>
      <c r="U417" s="6" t="n">
        <v>7230</v>
      </c>
      <c r="V417" s="6" t="n">
        <v>3400</v>
      </c>
      <c r="W417" s="6" t="n">
        <v>0.967</v>
      </c>
      <c r="Y417" s="6" t="n">
        <v>10.3</v>
      </c>
      <c r="Z417" s="6" t="s">
        <v>1747</v>
      </c>
      <c r="AA417" s="9" t="s">
        <v>528</v>
      </c>
      <c r="AB417" s="6" t="s">
        <v>1842</v>
      </c>
      <c r="AE417" s="37" t="n">
        <f aca="false">COUNTIF(環境認証!$A$2:$A$849,A417)</f>
        <v>1</v>
      </c>
      <c r="AF417" s="6" t="n">
        <v>88.8</v>
      </c>
      <c r="AG417" s="6" t="n">
        <v>54.6</v>
      </c>
    </row>
    <row r="418" customFormat="false" ht="15" hidden="false" customHeight="true" outlineLevel="0" collapsed="false">
      <c r="A418" s="6" t="s">
        <v>1843</v>
      </c>
      <c r="B418" s="6" t="s">
        <v>448</v>
      </c>
      <c r="C418" s="9" t="s">
        <v>1844</v>
      </c>
      <c r="D418" s="9" t="s">
        <v>959</v>
      </c>
      <c r="E418" s="9" t="s">
        <v>523</v>
      </c>
      <c r="F418" s="9" t="s">
        <v>532</v>
      </c>
      <c r="H418" s="9" t="s">
        <v>525</v>
      </c>
      <c r="L418" s="6" t="n">
        <v>2548.44</v>
      </c>
      <c r="Q418" s="1" t="str">
        <f aca="false">IF(OR($A418="",P418=""),"",ROUND(YEARFRAC(P418,README!$C$5),1))</f>
        <v/>
      </c>
      <c r="S418" s="6" t="n">
        <v>2181</v>
      </c>
      <c r="T418" s="6" t="n">
        <v>1675</v>
      </c>
      <c r="U418" s="6" t="n">
        <v>2240</v>
      </c>
      <c r="V418" s="6" t="n">
        <v>565</v>
      </c>
      <c r="W418" s="6" t="n">
        <v>0.942</v>
      </c>
      <c r="Y418" s="6" t="n">
        <v>11.5</v>
      </c>
      <c r="Z418" s="6" t="s">
        <v>1747</v>
      </c>
      <c r="AA418" s="9" t="s">
        <v>528</v>
      </c>
      <c r="AB418" s="6" t="s">
        <v>1845</v>
      </c>
      <c r="AE418" s="37" t="n">
        <f aca="false">COUNTIF(環境認証!$A$2:$A$849,A418)</f>
        <v>1</v>
      </c>
      <c r="AF418" s="6" t="n">
        <v>33.7</v>
      </c>
      <c r="AG418" s="6" t="n">
        <v>2.7</v>
      </c>
    </row>
    <row r="419" customFormat="false" ht="15" hidden="false" customHeight="true" outlineLevel="0" collapsed="false">
      <c r="A419" s="6" t="s">
        <v>1846</v>
      </c>
      <c r="B419" s="6" t="s">
        <v>448</v>
      </c>
      <c r="C419" s="9" t="s">
        <v>1847</v>
      </c>
      <c r="D419" s="9" t="s">
        <v>959</v>
      </c>
      <c r="E419" s="9" t="s">
        <v>523</v>
      </c>
      <c r="F419" s="9" t="s">
        <v>666</v>
      </c>
      <c r="H419" s="9" t="s">
        <v>525</v>
      </c>
      <c r="L419" s="6" t="n">
        <v>1714.42</v>
      </c>
      <c r="Q419" s="1" t="str">
        <f aca="false">IF(OR($A419="",P419=""),"",ROUND(YEARFRAC(P419,README!$C$5),1))</f>
        <v/>
      </c>
      <c r="S419" s="6" t="n">
        <v>927</v>
      </c>
      <c r="T419" s="6" t="n">
        <v>736</v>
      </c>
      <c r="U419" s="6" t="n">
        <v>1470</v>
      </c>
      <c r="V419" s="6" t="n">
        <v>734</v>
      </c>
      <c r="W419" s="6" t="n">
        <v>0.983</v>
      </c>
      <c r="Y419" s="6" t="n">
        <v>12.5</v>
      </c>
      <c r="Z419" s="6" t="s">
        <v>1747</v>
      </c>
      <c r="AA419" s="9" t="s">
        <v>528</v>
      </c>
      <c r="AB419" s="6" t="s">
        <v>1848</v>
      </c>
      <c r="AE419" s="37" t="n">
        <f aca="false">COUNTIF(環境認証!$A$2:$A$849,A419)</f>
        <v>0</v>
      </c>
      <c r="AF419" s="6" t="n">
        <v>99.7</v>
      </c>
      <c r="AG419" s="6" t="n">
        <v>58.6</v>
      </c>
    </row>
    <row r="420" customFormat="false" ht="15" hidden="false" customHeight="true" outlineLevel="0" collapsed="false">
      <c r="A420" s="6" t="s">
        <v>1849</v>
      </c>
      <c r="B420" s="6" t="s">
        <v>448</v>
      </c>
      <c r="C420" s="9" t="s">
        <v>1850</v>
      </c>
      <c r="D420" s="9" t="s">
        <v>959</v>
      </c>
      <c r="E420" s="9" t="s">
        <v>523</v>
      </c>
      <c r="F420" s="9" t="s">
        <v>532</v>
      </c>
      <c r="H420" s="9" t="s">
        <v>525</v>
      </c>
      <c r="L420" s="6" t="n">
        <v>1748.2</v>
      </c>
      <c r="Q420" s="1" t="str">
        <f aca="false">IF(OR($A420="",P420=""),"",ROUND(YEARFRAC(P420,README!$C$5),1))</f>
        <v/>
      </c>
      <c r="S420" s="6" t="n">
        <v>1580</v>
      </c>
      <c r="T420" s="6" t="n">
        <v>1337</v>
      </c>
      <c r="U420" s="6" t="n">
        <v>2290</v>
      </c>
      <c r="V420" s="6" t="n">
        <v>953</v>
      </c>
      <c r="W420" s="6" t="n">
        <v>0.968</v>
      </c>
      <c r="Y420" s="6" t="n">
        <v>14.3</v>
      </c>
      <c r="Z420" s="6" t="s">
        <v>1747</v>
      </c>
      <c r="AA420" s="9" t="s">
        <v>528</v>
      </c>
      <c r="AB420" s="6" t="s">
        <v>1851</v>
      </c>
      <c r="AE420" s="37" t="n">
        <f aca="false">COUNTIF(環境認証!$A$2:$A$849,A420)</f>
        <v>1</v>
      </c>
      <c r="AF420" s="6" t="n">
        <v>71.3</v>
      </c>
      <c r="AG420" s="6" t="n">
        <v>44.9</v>
      </c>
    </row>
    <row r="421" customFormat="false" ht="15" hidden="false" customHeight="true" outlineLevel="0" collapsed="false">
      <c r="A421" s="6" t="s">
        <v>1852</v>
      </c>
      <c r="B421" s="6" t="s">
        <v>448</v>
      </c>
      <c r="C421" s="9" t="s">
        <v>1853</v>
      </c>
      <c r="D421" s="9" t="s">
        <v>959</v>
      </c>
      <c r="E421" s="9" t="s">
        <v>523</v>
      </c>
      <c r="H421" s="9" t="s">
        <v>525</v>
      </c>
      <c r="L421" s="6" t="n">
        <v>2487.72</v>
      </c>
      <c r="Q421" s="1" t="str">
        <f aca="false">IF(OR($A421="",P421=""),"",ROUND(YEARFRAC(P421,README!$C$5),1))</f>
        <v/>
      </c>
      <c r="S421" s="6" t="n">
        <v>1662</v>
      </c>
      <c r="T421" s="6" t="n">
        <v>1380</v>
      </c>
      <c r="U421" s="6" t="n">
        <v>2290</v>
      </c>
      <c r="V421" s="6" t="n">
        <v>910</v>
      </c>
      <c r="W421" s="6" t="n">
        <v>1</v>
      </c>
      <c r="Y421" s="6" t="n">
        <v>14</v>
      </c>
      <c r="Z421" s="6" t="s">
        <v>1747</v>
      </c>
      <c r="AA421" s="9" t="s">
        <v>528</v>
      </c>
      <c r="AB421" s="6" t="s">
        <v>1854</v>
      </c>
      <c r="AE421" s="37" t="n">
        <f aca="false">COUNTIF(環境認証!$A$2:$A$849,A421)</f>
        <v>1</v>
      </c>
      <c r="AF421" s="6" t="n">
        <v>65.9</v>
      </c>
      <c r="AG421" s="6" t="n">
        <v>37.8</v>
      </c>
    </row>
    <row r="422" customFormat="false" ht="15" hidden="false" customHeight="true" outlineLevel="0" collapsed="false">
      <c r="A422" s="6" t="s">
        <v>1855</v>
      </c>
      <c r="B422" s="6" t="s">
        <v>448</v>
      </c>
      <c r="C422" s="9" t="s">
        <v>1856</v>
      </c>
      <c r="D422" s="9" t="s">
        <v>959</v>
      </c>
      <c r="E422" s="9" t="s">
        <v>523</v>
      </c>
      <c r="F422" s="9" t="s">
        <v>648</v>
      </c>
      <c r="H422" s="9" t="s">
        <v>525</v>
      </c>
      <c r="L422" s="6" t="n">
        <v>3086.04</v>
      </c>
      <c r="Q422" s="1" t="str">
        <f aca="false">IF(OR($A422="",P422=""),"",ROUND(YEARFRAC(P422,README!$C$5),1))</f>
        <v/>
      </c>
      <c r="S422" s="6" t="n">
        <v>2330</v>
      </c>
      <c r="T422" s="6" t="n">
        <v>1837</v>
      </c>
      <c r="U422" s="6" t="n">
        <v>3360</v>
      </c>
      <c r="V422" s="6" t="n">
        <v>1523</v>
      </c>
      <c r="W422" s="6" t="n">
        <v>0.951</v>
      </c>
      <c r="Y422" s="6" t="n">
        <v>13.1</v>
      </c>
      <c r="Z422" s="6" t="s">
        <v>1747</v>
      </c>
      <c r="AA422" s="9" t="s">
        <v>528</v>
      </c>
      <c r="AB422" s="6" t="s">
        <v>1857</v>
      </c>
      <c r="AE422" s="37" t="n">
        <f aca="false">COUNTIF(環境認証!$A$2:$A$849,A422)</f>
        <v>1</v>
      </c>
      <c r="AF422" s="6" t="n">
        <v>82.9</v>
      </c>
      <c r="AG422" s="6" t="n">
        <v>44.2</v>
      </c>
    </row>
    <row r="423" customFormat="false" ht="15" hidden="false" customHeight="true" outlineLevel="0" collapsed="false">
      <c r="A423" s="6" t="s">
        <v>1858</v>
      </c>
      <c r="B423" s="6" t="s">
        <v>448</v>
      </c>
      <c r="C423" s="9" t="s">
        <v>1859</v>
      </c>
      <c r="D423" s="9" t="s">
        <v>959</v>
      </c>
      <c r="E423" s="9" t="s">
        <v>523</v>
      </c>
      <c r="F423" s="9" t="s">
        <v>524</v>
      </c>
      <c r="H423" s="9" t="s">
        <v>525</v>
      </c>
      <c r="L423" s="6" t="n">
        <v>2458.84</v>
      </c>
      <c r="Q423" s="1" t="str">
        <f aca="false">IF(OR($A423="",P423=""),"",ROUND(YEARFRAC(P423,README!$C$5),1))</f>
        <v/>
      </c>
      <c r="S423" s="6" t="n">
        <v>1723</v>
      </c>
      <c r="T423" s="6" t="n">
        <v>1370</v>
      </c>
      <c r="U423" s="6" t="n">
        <v>2360</v>
      </c>
      <c r="V423" s="6" t="n">
        <v>990</v>
      </c>
      <c r="W423" s="6" t="n">
        <v>1</v>
      </c>
      <c r="Y423" s="6" t="n">
        <v>13.8</v>
      </c>
      <c r="Z423" s="6" t="s">
        <v>1747</v>
      </c>
      <c r="AA423" s="9" t="s">
        <v>528</v>
      </c>
      <c r="AB423" s="6" t="s">
        <v>1860</v>
      </c>
      <c r="AE423" s="37" t="n">
        <f aca="false">COUNTIF(環境認証!$A$2:$A$849,A423)</f>
        <v>1</v>
      </c>
      <c r="AF423" s="6" t="n">
        <v>72.3</v>
      </c>
      <c r="AG423" s="6" t="n">
        <v>37</v>
      </c>
    </row>
    <row r="424" customFormat="false" ht="15" hidden="false" customHeight="true" outlineLevel="0" collapsed="false">
      <c r="A424" s="6" t="s">
        <v>1861</v>
      </c>
      <c r="B424" s="6" t="s">
        <v>448</v>
      </c>
      <c r="C424" s="9" t="s">
        <v>1862</v>
      </c>
      <c r="D424" s="9" t="s">
        <v>959</v>
      </c>
      <c r="E424" s="9" t="s">
        <v>523</v>
      </c>
      <c r="F424" s="9" t="s">
        <v>806</v>
      </c>
      <c r="H424" s="9" t="s">
        <v>525</v>
      </c>
      <c r="L424" s="6" t="n">
        <v>1779.32</v>
      </c>
      <c r="Q424" s="1" t="str">
        <f aca="false">IF(OR($A424="",P424=""),"",ROUND(YEARFRAC(P424,README!$C$5),1))</f>
        <v/>
      </c>
      <c r="S424" s="6" t="n">
        <v>1460</v>
      </c>
      <c r="T424" s="6" t="n">
        <v>1211</v>
      </c>
      <c r="U424" s="6" t="n">
        <v>2210</v>
      </c>
      <c r="V424" s="6" t="n">
        <v>999</v>
      </c>
      <c r="W424" s="6" t="n">
        <v>0.982</v>
      </c>
      <c r="Y424" s="6" t="n">
        <v>13.1</v>
      </c>
      <c r="Z424" s="6" t="s">
        <v>1747</v>
      </c>
      <c r="AA424" s="9" t="s">
        <v>528</v>
      </c>
      <c r="AB424" s="6" t="s">
        <v>1863</v>
      </c>
      <c r="AE424" s="37" t="n">
        <f aca="false">COUNTIF(環境認証!$A$2:$A$849,A424)</f>
        <v>1</v>
      </c>
      <c r="AF424" s="6" t="n">
        <v>82.5</v>
      </c>
      <c r="AG424" s="6" t="n">
        <v>51.4</v>
      </c>
    </row>
    <row r="425" customFormat="false" ht="15" hidden="false" customHeight="true" outlineLevel="0" collapsed="false">
      <c r="A425" s="6" t="s">
        <v>1864</v>
      </c>
      <c r="B425" s="6" t="s">
        <v>448</v>
      </c>
      <c r="C425" s="9" t="s">
        <v>1865</v>
      </c>
      <c r="D425" s="9" t="s">
        <v>959</v>
      </c>
      <c r="E425" s="9" t="s">
        <v>523</v>
      </c>
      <c r="F425" s="9" t="s">
        <v>532</v>
      </c>
      <c r="H425" s="9" t="s">
        <v>525</v>
      </c>
      <c r="L425" s="6" t="n">
        <v>2357.6</v>
      </c>
      <c r="Q425" s="1" t="str">
        <f aca="false">IF(OR($A425="",P425=""),"",ROUND(YEARFRAC(P425,README!$C$5),1))</f>
        <v/>
      </c>
      <c r="S425" s="6" t="n">
        <v>2043</v>
      </c>
      <c r="T425" s="6" t="n">
        <v>1591</v>
      </c>
      <c r="U425" s="6" t="n">
        <v>2050</v>
      </c>
      <c r="V425" s="6" t="n">
        <v>459</v>
      </c>
      <c r="W425" s="6" t="n">
        <v>0.94</v>
      </c>
      <c r="Y425" s="6" t="n">
        <v>13.9</v>
      </c>
      <c r="Z425" s="6" t="s">
        <v>1747</v>
      </c>
      <c r="AA425" s="9" t="s">
        <v>528</v>
      </c>
      <c r="AB425" s="6" t="s">
        <v>1866</v>
      </c>
      <c r="AE425" s="37" t="n">
        <f aca="false">COUNTIF(環境認証!$A$2:$A$849,A425)</f>
        <v>1</v>
      </c>
      <c r="AF425" s="6" t="n">
        <v>28.8</v>
      </c>
      <c r="AG425" s="6" t="n">
        <v>0.3</v>
      </c>
    </row>
    <row r="426" customFormat="false" ht="15" hidden="false" customHeight="true" outlineLevel="0" collapsed="false">
      <c r="A426" s="6" t="s">
        <v>1867</v>
      </c>
      <c r="B426" s="6" t="s">
        <v>448</v>
      </c>
      <c r="C426" s="9" t="s">
        <v>1868</v>
      </c>
      <c r="D426" s="9" t="s">
        <v>959</v>
      </c>
      <c r="E426" s="9" t="s">
        <v>523</v>
      </c>
      <c r="F426" s="9" t="s">
        <v>532</v>
      </c>
      <c r="H426" s="9" t="s">
        <v>525</v>
      </c>
      <c r="L426" s="6" t="n">
        <v>2129.78</v>
      </c>
      <c r="Q426" s="1" t="str">
        <f aca="false">IF(OR($A426="",P426=""),"",ROUND(YEARFRAC(P426,README!$C$5),1))</f>
        <v/>
      </c>
      <c r="S426" s="6" t="n">
        <v>1585</v>
      </c>
      <c r="T426" s="6" t="n">
        <v>1413</v>
      </c>
      <c r="U426" s="6" t="n">
        <v>1930</v>
      </c>
      <c r="V426" s="6" t="n">
        <v>517</v>
      </c>
      <c r="W426" s="6" t="n">
        <v>0.953</v>
      </c>
      <c r="Y426" s="6" t="n">
        <v>16.1</v>
      </c>
      <c r="Z426" s="6" t="s">
        <v>1747</v>
      </c>
      <c r="AA426" s="9" t="s">
        <v>528</v>
      </c>
      <c r="AB426" s="6" t="s">
        <v>1869</v>
      </c>
      <c r="AE426" s="37" t="n">
        <f aca="false">COUNTIF(環境認証!$A$2:$A$849,A426)</f>
        <v>1</v>
      </c>
      <c r="AF426" s="6" t="n">
        <v>36.6</v>
      </c>
      <c r="AG426" s="6" t="n">
        <v>21.8</v>
      </c>
    </row>
    <row r="427" customFormat="false" ht="15" hidden="false" customHeight="true" outlineLevel="0" collapsed="false">
      <c r="A427" s="6" t="s">
        <v>1870</v>
      </c>
      <c r="B427" s="6" t="s">
        <v>448</v>
      </c>
      <c r="C427" s="9" t="s">
        <v>1871</v>
      </c>
      <c r="D427" s="9" t="s">
        <v>959</v>
      </c>
      <c r="E427" s="9" t="s">
        <v>523</v>
      </c>
      <c r="H427" s="9" t="s">
        <v>525</v>
      </c>
      <c r="L427" s="6" t="n">
        <v>1826.5</v>
      </c>
      <c r="Q427" s="1" t="str">
        <f aca="false">IF(OR($A427="",P427=""),"",ROUND(YEARFRAC(P427,README!$C$5),1))</f>
        <v/>
      </c>
      <c r="S427" s="6" t="n">
        <v>1556</v>
      </c>
      <c r="T427" s="6" t="n">
        <v>1209</v>
      </c>
      <c r="U427" s="6" t="n">
        <v>1620</v>
      </c>
      <c r="V427" s="6" t="n">
        <v>411</v>
      </c>
      <c r="W427" s="6" t="n">
        <v>0.963</v>
      </c>
      <c r="Y427" s="6" t="n">
        <v>13.9</v>
      </c>
      <c r="Z427" s="6" t="s">
        <v>1747</v>
      </c>
      <c r="AA427" s="9" t="s">
        <v>528</v>
      </c>
      <c r="AB427" s="6" t="s">
        <v>1872</v>
      </c>
      <c r="AE427" s="37" t="n">
        <f aca="false">COUNTIF(環境認証!$A$2:$A$849,A427)</f>
        <v>0</v>
      </c>
      <c r="AF427" s="6" t="n">
        <v>34</v>
      </c>
      <c r="AG427" s="6" t="n">
        <v>4.1</v>
      </c>
    </row>
    <row r="428" customFormat="false" ht="15" hidden="false" customHeight="true" outlineLevel="0" collapsed="false">
      <c r="A428" s="6" t="s">
        <v>1873</v>
      </c>
      <c r="B428" s="6" t="s">
        <v>448</v>
      </c>
      <c r="C428" s="9" t="s">
        <v>1874</v>
      </c>
      <c r="D428" s="9" t="s">
        <v>959</v>
      </c>
      <c r="E428" s="9" t="s">
        <v>523</v>
      </c>
      <c r="F428" s="9" t="s">
        <v>532</v>
      </c>
      <c r="H428" s="9" t="s">
        <v>525</v>
      </c>
      <c r="L428" s="6" t="n">
        <v>81760</v>
      </c>
      <c r="Q428" s="1" t="str">
        <f aca="false">IF(OR($A428="",P428=""),"",ROUND(YEARFRAC(P428,README!$C$5),1))</f>
        <v/>
      </c>
      <c r="S428" s="6" t="n">
        <v>7590</v>
      </c>
      <c r="T428" s="6" t="n">
        <v>4675</v>
      </c>
      <c r="U428" s="6" t="n">
        <v>8210</v>
      </c>
      <c r="V428" s="6" t="n">
        <v>3535</v>
      </c>
      <c r="W428" s="6" t="n">
        <v>0.963</v>
      </c>
      <c r="Y428" s="6" t="n">
        <v>11.2</v>
      </c>
      <c r="Z428" s="6" t="s">
        <v>1747</v>
      </c>
      <c r="AA428" s="9" t="s">
        <v>528</v>
      </c>
      <c r="AB428" s="6" t="s">
        <v>1875</v>
      </c>
      <c r="AE428" s="37" t="n">
        <f aca="false">COUNTIF(環境認証!$A$2:$A$849,A428)</f>
        <v>1</v>
      </c>
      <c r="AF428" s="6" t="n">
        <v>75.6</v>
      </c>
      <c r="AG428" s="6" t="n">
        <v>8.2</v>
      </c>
    </row>
    <row r="429" customFormat="false" ht="15" hidden="false" customHeight="true" outlineLevel="0" collapsed="false">
      <c r="A429" s="6" t="s">
        <v>1876</v>
      </c>
      <c r="B429" s="6" t="s">
        <v>448</v>
      </c>
      <c r="C429" s="9" t="s">
        <v>1877</v>
      </c>
      <c r="D429" s="9" t="s">
        <v>959</v>
      </c>
      <c r="E429" s="9" t="s">
        <v>523</v>
      </c>
      <c r="F429" s="9" t="s">
        <v>532</v>
      </c>
      <c r="H429" s="9" t="s">
        <v>525</v>
      </c>
      <c r="L429" s="6" t="n">
        <v>6329.52</v>
      </c>
      <c r="Q429" s="1" t="str">
        <f aca="false">IF(OR($A429="",P429=""),"",ROUND(YEARFRAC(P429,README!$C$5),1))</f>
        <v/>
      </c>
      <c r="S429" s="6" t="n">
        <v>3930</v>
      </c>
      <c r="T429" s="6" t="n">
        <v>3797</v>
      </c>
      <c r="U429" s="6" t="n">
        <v>4680</v>
      </c>
      <c r="V429" s="6" t="n">
        <v>883</v>
      </c>
      <c r="W429" s="6" t="n">
        <v>0.953</v>
      </c>
      <c r="Y429" s="6" t="n">
        <v>11.7</v>
      </c>
      <c r="Z429" s="6" t="s">
        <v>1747</v>
      </c>
      <c r="AA429" s="9" t="s">
        <v>528</v>
      </c>
      <c r="AB429" s="6" t="s">
        <v>1878</v>
      </c>
      <c r="AE429" s="37" t="n">
        <f aca="false">COUNTIF(環境認証!$A$2:$A$849,A429)</f>
        <v>1</v>
      </c>
      <c r="AF429" s="6" t="n">
        <v>23.3</v>
      </c>
      <c r="AG429" s="6" t="n">
        <v>19.1</v>
      </c>
    </row>
    <row r="430" customFormat="false" ht="15" hidden="false" customHeight="true" outlineLevel="0" collapsed="false">
      <c r="A430" s="6" t="s">
        <v>1879</v>
      </c>
      <c r="B430" s="6" t="s">
        <v>448</v>
      </c>
      <c r="C430" s="9" t="s">
        <v>1880</v>
      </c>
      <c r="D430" s="9" t="s">
        <v>959</v>
      </c>
      <c r="E430" s="9" t="s">
        <v>523</v>
      </c>
      <c r="F430" s="9" t="s">
        <v>806</v>
      </c>
      <c r="H430" s="9" t="s">
        <v>525</v>
      </c>
      <c r="L430" s="6" t="n">
        <v>11203.4</v>
      </c>
      <c r="Q430" s="1" t="str">
        <f aca="false">IF(OR($A430="",P430=""),"",ROUND(YEARFRAC(P430,README!$C$5),1))</f>
        <v/>
      </c>
      <c r="S430" s="6" t="n">
        <v>6500</v>
      </c>
      <c r="T430" s="6" t="n">
        <v>5736</v>
      </c>
      <c r="U430" s="6" t="n">
        <v>5870</v>
      </c>
      <c r="V430" s="6" t="n">
        <v>134</v>
      </c>
      <c r="W430" s="6" t="n">
        <v>0.957</v>
      </c>
      <c r="Y430" s="6" t="n">
        <v>7.2</v>
      </c>
      <c r="Z430" s="6" t="s">
        <v>1747</v>
      </c>
      <c r="AA430" s="9" t="s">
        <v>528</v>
      </c>
      <c r="AB430" s="6" t="s">
        <v>1881</v>
      </c>
      <c r="AE430" s="37" t="n">
        <f aca="false">COUNTIF(環境認証!$A$2:$A$849,A430)</f>
        <v>1</v>
      </c>
      <c r="AF430" s="6" t="n">
        <v>2.3</v>
      </c>
      <c r="AG430" s="6" t="n">
        <v>-9.7</v>
      </c>
    </row>
    <row r="431" customFormat="false" ht="15" hidden="false" customHeight="true" outlineLevel="0" collapsed="false">
      <c r="A431" s="6" t="s">
        <v>1882</v>
      </c>
      <c r="B431" s="6" t="s">
        <v>448</v>
      </c>
      <c r="C431" s="9" t="s">
        <v>1883</v>
      </c>
      <c r="D431" s="9" t="s">
        <v>959</v>
      </c>
      <c r="E431" s="9" t="s">
        <v>523</v>
      </c>
      <c r="F431" s="9" t="s">
        <v>532</v>
      </c>
      <c r="H431" s="9" t="s">
        <v>525</v>
      </c>
      <c r="L431" s="6" t="n">
        <v>104186.74</v>
      </c>
      <c r="Q431" s="1" t="str">
        <f aca="false">IF(OR($A431="",P431=""),"",ROUND(YEARFRAC(P431,README!$C$5),1))</f>
        <v/>
      </c>
      <c r="S431" s="6" t="n">
        <v>5500</v>
      </c>
      <c r="T431" s="6" t="n">
        <v>3824</v>
      </c>
      <c r="U431" s="6" t="n">
        <v>7170</v>
      </c>
      <c r="V431" s="6" t="n">
        <v>3346</v>
      </c>
      <c r="W431" s="6" t="n">
        <v>0.978</v>
      </c>
      <c r="Y431" s="6" t="n">
        <v>10</v>
      </c>
      <c r="Z431" s="6" t="s">
        <v>1747</v>
      </c>
      <c r="AA431" s="9" t="s">
        <v>528</v>
      </c>
      <c r="AB431" s="6" t="s">
        <v>1884</v>
      </c>
      <c r="AE431" s="37" t="n">
        <f aca="false">COUNTIF(環境認証!$A$2:$A$849,A431)</f>
        <v>1</v>
      </c>
      <c r="AF431" s="6" t="n">
        <v>87.5</v>
      </c>
      <c r="AG431" s="6" t="n">
        <v>30.4</v>
      </c>
    </row>
    <row r="432" customFormat="false" ht="15" hidden="false" customHeight="true" outlineLevel="0" collapsed="false">
      <c r="A432" s="6" t="s">
        <v>1885</v>
      </c>
      <c r="B432" s="6" t="s">
        <v>448</v>
      </c>
      <c r="C432" s="9" t="s">
        <v>1886</v>
      </c>
      <c r="D432" s="9" t="s">
        <v>959</v>
      </c>
      <c r="E432" s="9" t="s">
        <v>523</v>
      </c>
      <c r="F432" s="9" t="s">
        <v>648</v>
      </c>
      <c r="H432" s="9" t="s">
        <v>525</v>
      </c>
      <c r="L432" s="6" t="n">
        <v>5408.95</v>
      </c>
      <c r="Q432" s="1" t="str">
        <f aca="false">IF(OR($A432="",P432=""),"",ROUND(YEARFRAC(P432,README!$C$5),1))</f>
        <v/>
      </c>
      <c r="S432" s="6" t="n">
        <v>4500</v>
      </c>
      <c r="T432" s="6" t="n">
        <v>4237</v>
      </c>
      <c r="U432" s="6" t="n">
        <v>6880</v>
      </c>
      <c r="V432" s="6" t="n">
        <v>2643</v>
      </c>
      <c r="W432" s="6" t="n">
        <v>0.952</v>
      </c>
      <c r="Y432" s="6" t="n">
        <v>12.7</v>
      </c>
      <c r="Z432" s="6" t="s">
        <v>1747</v>
      </c>
      <c r="AA432" s="9" t="s">
        <v>528</v>
      </c>
      <c r="AB432" s="6" t="s">
        <v>1887</v>
      </c>
      <c r="AE432" s="37" t="n">
        <f aca="false">COUNTIF(環境認証!$A$2:$A$849,A432)</f>
        <v>0</v>
      </c>
      <c r="AF432" s="6" t="n">
        <v>62.4</v>
      </c>
      <c r="AG432" s="6" t="n">
        <v>52.9</v>
      </c>
    </row>
    <row r="433" customFormat="false" ht="15" hidden="false" customHeight="true" outlineLevel="0" collapsed="false">
      <c r="A433" s="6" t="s">
        <v>1888</v>
      </c>
      <c r="B433" s="6" t="s">
        <v>448</v>
      </c>
      <c r="C433" s="9" t="s">
        <v>1889</v>
      </c>
      <c r="D433" s="9" t="s">
        <v>959</v>
      </c>
      <c r="E433" s="9" t="s">
        <v>523</v>
      </c>
      <c r="F433" s="9" t="s">
        <v>806</v>
      </c>
      <c r="H433" s="9" t="s">
        <v>525</v>
      </c>
      <c r="L433" s="6" t="n">
        <v>3662.97</v>
      </c>
      <c r="Q433" s="1" t="str">
        <f aca="false">IF(OR($A433="",P433=""),"",ROUND(YEARFRAC(P433,README!$C$5),1))</f>
        <v/>
      </c>
      <c r="S433" s="6" t="n">
        <v>1385</v>
      </c>
      <c r="T433" s="6" t="n">
        <v>1444</v>
      </c>
      <c r="U433" s="6" t="n">
        <v>2700</v>
      </c>
      <c r="V433" s="6" t="n">
        <v>1256</v>
      </c>
      <c r="W433" s="6" t="n">
        <v>0.948</v>
      </c>
      <c r="Y433" s="6" t="n">
        <v>12</v>
      </c>
      <c r="Z433" s="6" t="s">
        <v>1747</v>
      </c>
      <c r="AA433" s="9" t="s">
        <v>528</v>
      </c>
      <c r="AB433" s="6" t="s">
        <v>1890</v>
      </c>
      <c r="AE433" s="37" t="n">
        <f aca="false">COUNTIF(環境認証!$A$2:$A$849,A433)</f>
        <v>0</v>
      </c>
      <c r="AF433" s="6" t="n">
        <v>87</v>
      </c>
      <c r="AG433" s="6" t="n">
        <v>94.9</v>
      </c>
    </row>
    <row r="434" customFormat="false" ht="15" hidden="false" customHeight="true" outlineLevel="0" collapsed="false">
      <c r="A434" s="6" t="s">
        <v>1891</v>
      </c>
      <c r="B434" s="6" t="s">
        <v>448</v>
      </c>
      <c r="C434" s="9" t="s">
        <v>1892</v>
      </c>
      <c r="D434" s="9" t="s">
        <v>959</v>
      </c>
      <c r="E434" s="9" t="s">
        <v>523</v>
      </c>
      <c r="F434" s="9" t="s">
        <v>532</v>
      </c>
      <c r="H434" s="9" t="s">
        <v>525</v>
      </c>
      <c r="L434" s="6" t="n">
        <v>1354.85</v>
      </c>
      <c r="Q434" s="1" t="str">
        <f aca="false">IF(OR($A434="",P434=""),"",ROUND(YEARFRAC(P434,README!$C$5),1))</f>
        <v/>
      </c>
      <c r="S434" s="6" t="n">
        <v>1420</v>
      </c>
      <c r="T434" s="6" t="n">
        <v>1417</v>
      </c>
      <c r="U434" s="6" t="n">
        <v>1800</v>
      </c>
      <c r="V434" s="6" t="n">
        <v>383</v>
      </c>
      <c r="W434" s="6" t="n">
        <v>0.944</v>
      </c>
      <c r="Y434" s="6" t="n">
        <v>14.6</v>
      </c>
      <c r="Z434" s="6" t="s">
        <v>1747</v>
      </c>
      <c r="AA434" s="9" t="s">
        <v>528</v>
      </c>
      <c r="AB434" s="6" t="s">
        <v>1893</v>
      </c>
      <c r="AE434" s="37" t="n">
        <f aca="false">COUNTIF(環境認証!$A$2:$A$849,A434)</f>
        <v>1</v>
      </c>
      <c r="AF434" s="6" t="n">
        <v>27</v>
      </c>
      <c r="AG434" s="6" t="n">
        <v>26.8</v>
      </c>
    </row>
    <row r="435" customFormat="false" ht="15" hidden="false" customHeight="true" outlineLevel="0" collapsed="false">
      <c r="A435" s="6" t="s">
        <v>1894</v>
      </c>
      <c r="B435" s="6" t="s">
        <v>448</v>
      </c>
      <c r="C435" s="9" t="s">
        <v>1895</v>
      </c>
      <c r="D435" s="9" t="s">
        <v>959</v>
      </c>
      <c r="E435" s="9" t="s">
        <v>523</v>
      </c>
      <c r="F435" s="9" t="s">
        <v>648</v>
      </c>
      <c r="H435" s="9" t="s">
        <v>525</v>
      </c>
      <c r="L435" s="6" t="n">
        <v>1452.61</v>
      </c>
      <c r="Q435" s="1" t="str">
        <f aca="false">IF(OR($A435="",P435=""),"",ROUND(YEARFRAC(P435,README!$C$5),1))</f>
        <v/>
      </c>
      <c r="S435" s="6" t="n">
        <v>1080</v>
      </c>
      <c r="T435" s="6" t="n">
        <v>1045</v>
      </c>
      <c r="U435" s="6" t="n">
        <v>1350</v>
      </c>
      <c r="V435" s="6" t="n">
        <v>305</v>
      </c>
      <c r="W435" s="6" t="n">
        <v>0.948</v>
      </c>
      <c r="Y435" s="6" t="n">
        <v>10.5</v>
      </c>
      <c r="Z435" s="6" t="s">
        <v>1747</v>
      </c>
      <c r="AA435" s="9" t="s">
        <v>528</v>
      </c>
      <c r="AB435" s="6" t="s">
        <v>1896</v>
      </c>
      <c r="AE435" s="37" t="n">
        <f aca="false">COUNTIF(環境認証!$A$2:$A$849,A435)</f>
        <v>1</v>
      </c>
      <c r="AF435" s="6" t="n">
        <v>29.2</v>
      </c>
      <c r="AG435" s="6" t="n">
        <v>25</v>
      </c>
    </row>
    <row r="436" customFormat="false" ht="15" hidden="false" customHeight="true" outlineLevel="0" collapsed="false">
      <c r="A436" s="6" t="s">
        <v>1897</v>
      </c>
      <c r="B436" s="6" t="s">
        <v>448</v>
      </c>
      <c r="C436" s="9" t="s">
        <v>1898</v>
      </c>
      <c r="D436" s="9" t="s">
        <v>959</v>
      </c>
      <c r="E436" s="9" t="s">
        <v>523</v>
      </c>
      <c r="F436" s="9" t="s">
        <v>625</v>
      </c>
      <c r="H436" s="9" t="s">
        <v>540</v>
      </c>
      <c r="L436" s="6" t="n">
        <v>1462.62</v>
      </c>
      <c r="Q436" s="1" t="str">
        <f aca="false">IF(OR($A436="",P436=""),"",ROUND(YEARFRAC(P436,README!$C$5),1))</f>
        <v/>
      </c>
      <c r="S436" s="6" t="n">
        <v>1072</v>
      </c>
      <c r="T436" s="6" t="n">
        <v>795</v>
      </c>
      <c r="U436" s="6" t="n">
        <v>1270</v>
      </c>
      <c r="V436" s="6" t="n">
        <v>475</v>
      </c>
      <c r="W436" s="6" t="n">
        <v>0.984</v>
      </c>
      <c r="Y436" s="6" t="n">
        <v>12.1</v>
      </c>
      <c r="Z436" s="6" t="s">
        <v>1747</v>
      </c>
      <c r="AA436" s="9" t="s">
        <v>528</v>
      </c>
      <c r="AB436" s="6" t="s">
        <v>1899</v>
      </c>
      <c r="AE436" s="37" t="n">
        <f aca="false">COUNTIF(環境認証!$A$2:$A$849,A436)</f>
        <v>0</v>
      </c>
      <c r="AF436" s="6" t="n">
        <v>59.7</v>
      </c>
      <c r="AG436" s="6" t="n">
        <v>18.5</v>
      </c>
    </row>
    <row r="437" customFormat="false" ht="15" hidden="false" customHeight="true" outlineLevel="0" collapsed="false">
      <c r="A437" s="6" t="s">
        <v>1900</v>
      </c>
      <c r="B437" s="6" t="s">
        <v>448</v>
      </c>
      <c r="C437" s="9" t="s">
        <v>1901</v>
      </c>
      <c r="D437" s="9" t="s">
        <v>959</v>
      </c>
      <c r="E437" s="9" t="s">
        <v>523</v>
      </c>
      <c r="F437" s="9" t="s">
        <v>934</v>
      </c>
      <c r="H437" s="9" t="s">
        <v>540</v>
      </c>
      <c r="L437" s="6" t="n">
        <v>1583.61</v>
      </c>
      <c r="Q437" s="1" t="str">
        <f aca="false">IF(OR($A437="",P437=""),"",ROUND(YEARFRAC(P437,README!$C$5),1))</f>
        <v/>
      </c>
      <c r="S437" s="6" t="n">
        <v>975</v>
      </c>
      <c r="T437" s="6" t="n">
        <v>1034</v>
      </c>
      <c r="U437" s="6" t="n">
        <v>1540</v>
      </c>
      <c r="V437" s="6" t="n">
        <v>506</v>
      </c>
      <c r="W437" s="6" t="n">
        <v>0.931</v>
      </c>
      <c r="Y437" s="6" t="n">
        <v>12.1</v>
      </c>
      <c r="Z437" s="6" t="s">
        <v>1747</v>
      </c>
      <c r="AA437" s="9" t="s">
        <v>528</v>
      </c>
      <c r="AB437" s="6" t="s">
        <v>1902</v>
      </c>
      <c r="AE437" s="37" t="n">
        <f aca="false">COUNTIF(環境認証!$A$2:$A$849,A437)</f>
        <v>1</v>
      </c>
      <c r="AF437" s="6" t="n">
        <v>48.9</v>
      </c>
      <c r="AG437" s="6" t="n">
        <v>57.9</v>
      </c>
    </row>
    <row r="438" customFormat="false" ht="15" hidden="false" customHeight="true" outlineLevel="0" collapsed="false">
      <c r="A438" s="6" t="s">
        <v>1903</v>
      </c>
      <c r="B438" s="6" t="s">
        <v>448</v>
      </c>
      <c r="C438" s="9" t="s">
        <v>1904</v>
      </c>
      <c r="D438" s="9" t="s">
        <v>959</v>
      </c>
      <c r="E438" s="9" t="s">
        <v>523</v>
      </c>
      <c r="F438" s="9" t="s">
        <v>1312</v>
      </c>
      <c r="H438" s="9" t="s">
        <v>540</v>
      </c>
      <c r="L438" s="6" t="n">
        <v>2446.34</v>
      </c>
      <c r="Q438" s="1" t="str">
        <f aca="false">IF(OR($A438="",P438=""),"",ROUND(YEARFRAC(P438,README!$C$5),1))</f>
        <v/>
      </c>
      <c r="S438" s="6" t="n">
        <v>1560</v>
      </c>
      <c r="T438" s="6" t="n">
        <v>1221</v>
      </c>
      <c r="U438" s="6" t="n">
        <v>1460</v>
      </c>
      <c r="V438" s="6" t="n">
        <v>239</v>
      </c>
      <c r="W438" s="6" t="n">
        <v>0.97</v>
      </c>
      <c r="Y438" s="6" t="n">
        <v>15.7</v>
      </c>
      <c r="Z438" s="6" t="s">
        <v>1747</v>
      </c>
      <c r="AA438" s="9" t="s">
        <v>528</v>
      </c>
      <c r="AB438" s="6" t="s">
        <v>1905</v>
      </c>
      <c r="AE438" s="37" t="n">
        <f aca="false">COUNTIF(環境認証!$A$2:$A$849,A438)</f>
        <v>1</v>
      </c>
      <c r="AF438" s="6" t="n">
        <v>19.6</v>
      </c>
      <c r="AG438" s="6" t="n">
        <v>-6.4</v>
      </c>
    </row>
    <row r="439" customFormat="false" ht="15" hidden="false" customHeight="true" outlineLevel="0" collapsed="false">
      <c r="A439" s="6" t="s">
        <v>1906</v>
      </c>
      <c r="B439" s="6" t="s">
        <v>448</v>
      </c>
      <c r="C439" s="9" t="s">
        <v>1907</v>
      </c>
      <c r="D439" s="9" t="s">
        <v>959</v>
      </c>
      <c r="E439" s="9" t="s">
        <v>523</v>
      </c>
      <c r="F439" s="9" t="s">
        <v>906</v>
      </c>
      <c r="H439" s="9" t="s">
        <v>540</v>
      </c>
      <c r="L439" s="6" t="n">
        <v>1904.5</v>
      </c>
      <c r="Q439" s="1" t="str">
        <f aca="false">IF(OR($A439="",P439=""),"",ROUND(YEARFRAC(P439,README!$C$5),1))</f>
        <v/>
      </c>
      <c r="S439" s="6" t="n">
        <v>1525</v>
      </c>
      <c r="T439" s="6" t="n">
        <v>1273</v>
      </c>
      <c r="U439" s="6" t="n">
        <v>1980</v>
      </c>
      <c r="V439" s="6" t="n">
        <v>707</v>
      </c>
      <c r="W439" s="6" t="n">
        <v>0.931</v>
      </c>
      <c r="Y439" s="6" t="n">
        <v>13.6</v>
      </c>
      <c r="Z439" s="6" t="s">
        <v>1747</v>
      </c>
      <c r="AA439" s="9" t="s">
        <v>528</v>
      </c>
      <c r="AB439" s="6" t="s">
        <v>1908</v>
      </c>
      <c r="AE439" s="37" t="n">
        <f aca="false">COUNTIF(環境認証!$A$2:$A$849,A439)</f>
        <v>0</v>
      </c>
      <c r="AF439" s="6" t="n">
        <v>55.5</v>
      </c>
      <c r="AG439" s="6" t="n">
        <v>29.8</v>
      </c>
    </row>
    <row r="440" customFormat="false" ht="15" hidden="false" customHeight="true" outlineLevel="0" collapsed="false">
      <c r="A440" s="6" t="s">
        <v>1909</v>
      </c>
      <c r="B440" s="6" t="s">
        <v>448</v>
      </c>
      <c r="C440" s="9" t="s">
        <v>1910</v>
      </c>
      <c r="D440" s="9" t="s">
        <v>959</v>
      </c>
      <c r="E440" s="9" t="s">
        <v>523</v>
      </c>
      <c r="F440" s="9" t="s">
        <v>934</v>
      </c>
      <c r="H440" s="9" t="s">
        <v>540</v>
      </c>
      <c r="L440" s="6" t="n">
        <v>2527.46</v>
      </c>
      <c r="Q440" s="1" t="str">
        <f aca="false">IF(OR($A440="",P440=""),"",ROUND(YEARFRAC(P440,README!$C$5),1))</f>
        <v/>
      </c>
      <c r="S440" s="6" t="n">
        <v>1803</v>
      </c>
      <c r="T440" s="6" t="n">
        <v>1365</v>
      </c>
      <c r="U440" s="6" t="n">
        <v>2240</v>
      </c>
      <c r="V440" s="6" t="n">
        <v>875</v>
      </c>
      <c r="W440" s="6" t="n">
        <v>0.931</v>
      </c>
      <c r="Y440" s="6" t="n">
        <v>17.2</v>
      </c>
      <c r="Z440" s="6" t="s">
        <v>1747</v>
      </c>
      <c r="AA440" s="9" t="s">
        <v>528</v>
      </c>
      <c r="AB440" s="6" t="s">
        <v>1911</v>
      </c>
      <c r="AE440" s="37" t="n">
        <f aca="false">COUNTIF(環境認証!$A$2:$A$849,A440)</f>
        <v>1</v>
      </c>
      <c r="AF440" s="6" t="n">
        <v>64.1</v>
      </c>
      <c r="AG440" s="6" t="n">
        <v>24.2</v>
      </c>
    </row>
    <row r="441" customFormat="false" ht="15" hidden="false" customHeight="true" outlineLevel="0" collapsed="false">
      <c r="A441" s="6" t="s">
        <v>1912</v>
      </c>
      <c r="B441" s="6" t="s">
        <v>448</v>
      </c>
      <c r="C441" s="9" t="s">
        <v>1913</v>
      </c>
      <c r="D441" s="9" t="s">
        <v>959</v>
      </c>
      <c r="E441" s="9" t="s">
        <v>523</v>
      </c>
      <c r="H441" s="9" t="s">
        <v>540</v>
      </c>
      <c r="L441" s="6" t="n">
        <v>2400.76</v>
      </c>
      <c r="Q441" s="1" t="str">
        <f aca="false">IF(OR($A441="",P441=""),"",ROUND(YEARFRAC(P441,README!$C$5),1))</f>
        <v/>
      </c>
      <c r="S441" s="6" t="n">
        <v>1830</v>
      </c>
      <c r="T441" s="6" t="n">
        <v>1337</v>
      </c>
      <c r="U441" s="6" t="n">
        <v>2400</v>
      </c>
      <c r="V441" s="6" t="n">
        <v>1063</v>
      </c>
      <c r="W441" s="6" t="n">
        <v>0.95</v>
      </c>
      <c r="Y441" s="6" t="n">
        <v>18</v>
      </c>
      <c r="Z441" s="6" t="s">
        <v>1747</v>
      </c>
      <c r="AA441" s="9" t="s">
        <v>528</v>
      </c>
      <c r="AB441" s="6" t="s">
        <v>1914</v>
      </c>
      <c r="AE441" s="37" t="n">
        <f aca="false">COUNTIF(環境認証!$A$2:$A$849,A441)</f>
        <v>1</v>
      </c>
      <c r="AF441" s="6" t="n">
        <v>79.5</v>
      </c>
      <c r="AG441" s="6" t="n">
        <v>31.1</v>
      </c>
    </row>
    <row r="442" customFormat="false" ht="15" hidden="false" customHeight="true" outlineLevel="0" collapsed="false">
      <c r="A442" s="6" t="s">
        <v>1915</v>
      </c>
      <c r="B442" s="6" t="s">
        <v>448</v>
      </c>
      <c r="C442" s="9" t="s">
        <v>1916</v>
      </c>
      <c r="D442" s="9" t="s">
        <v>959</v>
      </c>
      <c r="E442" s="9" t="s">
        <v>523</v>
      </c>
      <c r="F442" s="9" t="s">
        <v>893</v>
      </c>
      <c r="H442" s="9" t="s">
        <v>540</v>
      </c>
      <c r="L442" s="6" t="n">
        <v>1894.61</v>
      </c>
      <c r="Q442" s="1" t="str">
        <f aca="false">IF(OR($A442="",P442=""),"",ROUND(YEARFRAC(P442,README!$C$5),1))</f>
        <v/>
      </c>
      <c r="S442" s="6" t="n">
        <v>1310</v>
      </c>
      <c r="T442" s="6" t="n">
        <v>1057</v>
      </c>
      <c r="U442" s="6" t="n">
        <v>1710</v>
      </c>
      <c r="V442" s="6" t="n">
        <v>653</v>
      </c>
      <c r="W442" s="6" t="n">
        <v>0.986</v>
      </c>
      <c r="Y442" s="6" t="n">
        <v>22.5</v>
      </c>
      <c r="Z442" s="6" t="s">
        <v>1747</v>
      </c>
      <c r="AA442" s="9" t="s">
        <v>528</v>
      </c>
      <c r="AB442" s="6" t="s">
        <v>1917</v>
      </c>
      <c r="AE442" s="37" t="n">
        <f aca="false">COUNTIF(環境認証!$A$2:$A$849,A442)</f>
        <v>0</v>
      </c>
      <c r="AF442" s="6" t="n">
        <v>61.8</v>
      </c>
      <c r="AG442" s="6" t="n">
        <v>30.5</v>
      </c>
    </row>
    <row r="443" customFormat="false" ht="15" hidden="false" customHeight="true" outlineLevel="0" collapsed="false">
      <c r="A443" s="6" t="s">
        <v>1918</v>
      </c>
      <c r="B443" s="6" t="s">
        <v>448</v>
      </c>
      <c r="C443" s="9" t="s">
        <v>1919</v>
      </c>
      <c r="D443" s="9" t="s">
        <v>959</v>
      </c>
      <c r="E443" s="9" t="s">
        <v>523</v>
      </c>
      <c r="F443" s="9" t="s">
        <v>609</v>
      </c>
      <c r="H443" s="9" t="s">
        <v>540</v>
      </c>
      <c r="L443" s="6" t="n">
        <v>3852.86</v>
      </c>
      <c r="Q443" s="1" t="str">
        <f aca="false">IF(OR($A443="",P443=""),"",ROUND(YEARFRAC(P443,README!$C$5),1))</f>
        <v/>
      </c>
      <c r="S443" s="6" t="n">
        <v>2640</v>
      </c>
      <c r="T443" s="6" t="n">
        <v>2098</v>
      </c>
      <c r="U443" s="6" t="n">
        <v>3780</v>
      </c>
      <c r="V443" s="6" t="n">
        <v>1682</v>
      </c>
      <c r="W443" s="6" t="n">
        <v>0.975</v>
      </c>
      <c r="Y443" s="6" t="n">
        <v>14.7</v>
      </c>
      <c r="Z443" s="6" t="s">
        <v>1747</v>
      </c>
      <c r="AA443" s="9" t="s">
        <v>528</v>
      </c>
      <c r="AB443" s="6" t="s">
        <v>1920</v>
      </c>
      <c r="AE443" s="37" t="n">
        <f aca="false">COUNTIF(環境認証!$A$2:$A$849,A443)</f>
        <v>1</v>
      </c>
      <c r="AF443" s="6" t="n">
        <v>80.2</v>
      </c>
      <c r="AG443" s="6" t="n">
        <v>43.2</v>
      </c>
    </row>
    <row r="444" customFormat="false" ht="15" hidden="false" customHeight="true" outlineLevel="0" collapsed="false">
      <c r="A444" s="6" t="s">
        <v>1921</v>
      </c>
      <c r="B444" s="6" t="s">
        <v>448</v>
      </c>
      <c r="C444" s="9" t="s">
        <v>1922</v>
      </c>
      <c r="D444" s="9" t="s">
        <v>959</v>
      </c>
      <c r="E444" s="9" t="s">
        <v>523</v>
      </c>
      <c r="F444" s="9" t="s">
        <v>609</v>
      </c>
      <c r="H444" s="9" t="s">
        <v>540</v>
      </c>
      <c r="L444" s="6" t="n">
        <v>2475.38</v>
      </c>
      <c r="Q444" s="1" t="str">
        <f aca="false">IF(OR($A444="",P444=""),"",ROUND(YEARFRAC(P444,README!$C$5),1))</f>
        <v/>
      </c>
      <c r="S444" s="6" t="n">
        <v>1496</v>
      </c>
      <c r="T444" s="6" t="n">
        <v>1105</v>
      </c>
      <c r="U444" s="6" t="n">
        <v>2080</v>
      </c>
      <c r="V444" s="6" t="n">
        <v>975</v>
      </c>
      <c r="W444" s="6" t="n">
        <v>1</v>
      </c>
      <c r="Y444" s="6" t="n">
        <v>12.8</v>
      </c>
      <c r="Z444" s="6" t="s">
        <v>1747</v>
      </c>
      <c r="AA444" s="9" t="s">
        <v>528</v>
      </c>
      <c r="AB444" s="6" t="s">
        <v>1923</v>
      </c>
      <c r="AE444" s="37" t="n">
        <f aca="false">COUNTIF(環境認証!$A$2:$A$849,A444)</f>
        <v>0</v>
      </c>
      <c r="AF444" s="6" t="n">
        <v>88.2</v>
      </c>
      <c r="AG444" s="6" t="n">
        <v>39</v>
      </c>
    </row>
    <row r="445" customFormat="false" ht="15" hidden="false" customHeight="true" outlineLevel="0" collapsed="false">
      <c r="A445" s="6" t="s">
        <v>1924</v>
      </c>
      <c r="B445" s="6" t="s">
        <v>448</v>
      </c>
      <c r="C445" s="9" t="s">
        <v>1925</v>
      </c>
      <c r="D445" s="9" t="s">
        <v>959</v>
      </c>
      <c r="E445" s="9" t="s">
        <v>523</v>
      </c>
      <c r="F445" s="9" t="s">
        <v>1926</v>
      </c>
      <c r="H445" s="9" t="s">
        <v>540</v>
      </c>
      <c r="L445" s="6" t="n">
        <v>10934.46</v>
      </c>
      <c r="Q445" s="1" t="str">
        <f aca="false">IF(OR($A445="",P445=""),"",ROUND(YEARFRAC(P445,README!$C$5),1))</f>
        <v/>
      </c>
      <c r="S445" s="6" t="n">
        <v>2820</v>
      </c>
      <c r="T445" s="6" t="n">
        <v>2955</v>
      </c>
      <c r="U445" s="6" t="n">
        <v>3120</v>
      </c>
      <c r="V445" s="6" t="n">
        <v>165</v>
      </c>
      <c r="W445" s="6" t="n">
        <v>0.997</v>
      </c>
      <c r="Y445" s="6" t="n">
        <v>7.5</v>
      </c>
      <c r="Z445" s="6" t="s">
        <v>1747</v>
      </c>
      <c r="AA445" s="9" t="s">
        <v>528</v>
      </c>
      <c r="AB445" s="6" t="s">
        <v>1927</v>
      </c>
      <c r="AE445" s="37" t="n">
        <f aca="false">COUNTIF(環境認証!$A$2:$A$849,A445)</f>
        <v>0</v>
      </c>
      <c r="AF445" s="6" t="n">
        <v>5.6</v>
      </c>
      <c r="AG445" s="6" t="n">
        <v>10.6</v>
      </c>
    </row>
    <row r="446" customFormat="false" ht="15" hidden="false" customHeight="true" outlineLevel="0" collapsed="false">
      <c r="A446" s="6" t="s">
        <v>1928</v>
      </c>
      <c r="B446" s="6" t="s">
        <v>448</v>
      </c>
      <c r="C446" s="9" t="s">
        <v>1929</v>
      </c>
      <c r="D446" s="9" t="s">
        <v>959</v>
      </c>
      <c r="E446" s="9" t="s">
        <v>523</v>
      </c>
      <c r="F446" s="9" t="s">
        <v>625</v>
      </c>
      <c r="H446" s="9" t="s">
        <v>540</v>
      </c>
      <c r="L446" s="6" t="n">
        <v>3664.63</v>
      </c>
      <c r="Q446" s="1" t="str">
        <f aca="false">IF(OR($A446="",P446=""),"",ROUND(YEARFRAC(P446,README!$C$5),1))</f>
        <v/>
      </c>
      <c r="S446" s="6" t="n">
        <v>2235</v>
      </c>
      <c r="T446" s="6" t="n">
        <v>2309</v>
      </c>
      <c r="U446" s="6" t="n">
        <v>2600</v>
      </c>
      <c r="V446" s="6" t="n">
        <v>291</v>
      </c>
      <c r="W446" s="6" t="n">
        <v>1</v>
      </c>
      <c r="Y446" s="6" t="n">
        <v>12.6</v>
      </c>
      <c r="Z446" s="6" t="s">
        <v>1747</v>
      </c>
      <c r="AA446" s="9" t="s">
        <v>528</v>
      </c>
      <c r="AB446" s="6" t="s">
        <v>1930</v>
      </c>
      <c r="AE446" s="37" t="n">
        <f aca="false">COUNTIF(環境認証!$A$2:$A$849,A446)</f>
        <v>0</v>
      </c>
      <c r="AF446" s="6" t="n">
        <v>12.6</v>
      </c>
      <c r="AG446" s="6" t="n">
        <v>16.3</v>
      </c>
    </row>
    <row r="447" customFormat="false" ht="15" hidden="false" customHeight="true" outlineLevel="0" collapsed="false">
      <c r="A447" s="6" t="s">
        <v>1931</v>
      </c>
      <c r="B447" s="6" t="s">
        <v>448</v>
      </c>
      <c r="C447" s="9" t="s">
        <v>1932</v>
      </c>
      <c r="D447" s="9" t="s">
        <v>959</v>
      </c>
      <c r="E447" s="9" t="s">
        <v>1363</v>
      </c>
      <c r="F447" s="9" t="s">
        <v>1933</v>
      </c>
      <c r="H447" s="9" t="s">
        <v>569</v>
      </c>
      <c r="L447" s="6" t="n">
        <v>4270.71</v>
      </c>
      <c r="Q447" s="1" t="str">
        <f aca="false">IF(OR($A447="",P447=""),"",ROUND(YEARFRAC(P447,README!$C$5),1))</f>
        <v/>
      </c>
      <c r="S447" s="6" t="n">
        <v>1800</v>
      </c>
      <c r="T447" s="6" t="n">
        <v>1886</v>
      </c>
      <c r="U447" s="6" t="n">
        <v>1930</v>
      </c>
      <c r="V447" s="6" t="n">
        <v>44</v>
      </c>
      <c r="W447" s="6" t="n">
        <v>0.886</v>
      </c>
      <c r="Y447" s="6" t="n">
        <v>5.4</v>
      </c>
      <c r="Z447" s="6" t="s">
        <v>1747</v>
      </c>
      <c r="AA447" s="9" t="s">
        <v>528</v>
      </c>
      <c r="AB447" s="6" t="s">
        <v>1934</v>
      </c>
      <c r="AE447" s="37" t="n">
        <f aca="false">COUNTIF(環境認証!$A$2:$A$849,A447)</f>
        <v>0</v>
      </c>
      <c r="AF447" s="6" t="n">
        <v>2.3</v>
      </c>
      <c r="AG447" s="6" t="n">
        <v>7.2</v>
      </c>
    </row>
    <row r="448" customFormat="false" ht="15" hidden="false" customHeight="true" outlineLevel="0" collapsed="false">
      <c r="A448" s="6" t="s">
        <v>1935</v>
      </c>
      <c r="B448" s="6" t="s">
        <v>448</v>
      </c>
      <c r="C448" s="6" t="s">
        <v>1936</v>
      </c>
      <c r="D448" s="9" t="s">
        <v>959</v>
      </c>
      <c r="E448" s="9" t="s">
        <v>573</v>
      </c>
      <c r="F448" s="9" t="s">
        <v>680</v>
      </c>
      <c r="H448" s="9" t="s">
        <v>569</v>
      </c>
      <c r="L448" s="6" t="n">
        <v>1908.19</v>
      </c>
      <c r="Q448" s="1" t="str">
        <f aca="false">IF(OR($A448="",P448=""),"",ROUND(YEARFRAC(P448,README!$C$5),1))</f>
        <v/>
      </c>
      <c r="S448" s="6" t="n">
        <v>1140</v>
      </c>
      <c r="T448" s="6" t="n">
        <v>1235</v>
      </c>
      <c r="U448" s="6" t="n">
        <v>1220</v>
      </c>
      <c r="V448" s="6" t="n">
        <v>-15</v>
      </c>
      <c r="W448" s="6" t="n">
        <v>1</v>
      </c>
      <c r="Y448" s="6" t="n">
        <v>7.3</v>
      </c>
      <c r="Z448" s="6" t="s">
        <v>1747</v>
      </c>
      <c r="AA448" s="9" t="s">
        <v>528</v>
      </c>
      <c r="AB448" s="6" t="s">
        <v>1937</v>
      </c>
      <c r="AE448" s="37" t="n">
        <f aca="false">COUNTIF(環境認証!$A$2:$A$849,A448)</f>
        <v>0</v>
      </c>
      <c r="AF448" s="6" t="n">
        <v>-1.2</v>
      </c>
      <c r="AG448" s="6" t="n">
        <v>7</v>
      </c>
    </row>
    <row r="449" customFormat="false" ht="15" hidden="false" customHeight="true" outlineLevel="0" collapsed="false">
      <c r="A449" s="6" t="s">
        <v>1938</v>
      </c>
      <c r="B449" s="6" t="s">
        <v>448</v>
      </c>
      <c r="C449" s="9" t="s">
        <v>1939</v>
      </c>
      <c r="D449" s="9" t="s">
        <v>1940</v>
      </c>
      <c r="E449" s="9" t="s">
        <v>523</v>
      </c>
      <c r="F449" s="9" t="s">
        <v>524</v>
      </c>
      <c r="H449" s="9" t="s">
        <v>525</v>
      </c>
      <c r="Q449" s="1" t="str">
        <f aca="false">IF(OR($A449="",P449=""),"",ROUND(YEARFRAC(P449,README!$C$5),1))</f>
        <v/>
      </c>
      <c r="S449" s="6" t="n">
        <v>19940</v>
      </c>
      <c r="T449" s="6" t="n">
        <v>20035</v>
      </c>
      <c r="V449" s="1" t="str">
        <f aca="false">IF($A449="","",IF(OR(T449="",U449=""),"",U449-T449))</f>
        <v/>
      </c>
      <c r="Z449" s="6" t="s">
        <v>1747</v>
      </c>
      <c r="AA449" s="9" t="s">
        <v>528</v>
      </c>
      <c r="AB449" s="6" t="s">
        <v>1941</v>
      </c>
      <c r="AE449" s="37" t="n">
        <f aca="false">COUNTIF(環境認証!$A$2:$A$849,A449)</f>
        <v>1</v>
      </c>
    </row>
    <row r="450" customFormat="false" ht="15" hidden="false" customHeight="true" outlineLevel="0" collapsed="false">
      <c r="A450" s="6" t="s">
        <v>1942</v>
      </c>
      <c r="B450" s="6" t="s">
        <v>448</v>
      </c>
      <c r="C450" s="9" t="s">
        <v>1943</v>
      </c>
      <c r="D450" s="9" t="s">
        <v>1944</v>
      </c>
      <c r="H450" s="6" t="s">
        <v>619</v>
      </c>
      <c r="I450" s="6" t="s">
        <v>1945</v>
      </c>
      <c r="Q450" s="1" t="str">
        <f aca="false">IF(OR($A450="",P450=""),"",ROUND(YEARFRAC(P450,README!$C$5),1))</f>
        <v/>
      </c>
      <c r="S450" s="6" t="n">
        <v>295266</v>
      </c>
      <c r="T450" s="6" t="n">
        <v>256488.795</v>
      </c>
      <c r="U450" s="6" t="n">
        <v>335310</v>
      </c>
      <c r="V450" s="1" t="n">
        <f aca="false">IF($A450="","",IF(OR(T450="",U450=""),"",U450-T450))</f>
        <v>78821.205</v>
      </c>
      <c r="W450" s="6" t="n">
        <v>0.986</v>
      </c>
      <c r="Y450" s="6" t="n">
        <v>8.7</v>
      </c>
      <c r="Z450" s="6" t="s">
        <v>1747</v>
      </c>
      <c r="AA450" s="44" t="s">
        <v>1168</v>
      </c>
      <c r="AB450" s="6" t="s">
        <v>1946</v>
      </c>
      <c r="AE450" s="37" t="n">
        <f aca="false">COUNTIF(環境認証!$A$2:$A$849,A450)</f>
        <v>0</v>
      </c>
    </row>
    <row r="451" customFormat="false" ht="15" hidden="false" customHeight="true" outlineLevel="0" collapsed="false">
      <c r="A451" s="6" t="s">
        <v>1947</v>
      </c>
      <c r="B451" s="6" t="s">
        <v>463</v>
      </c>
      <c r="C451" s="9" t="s">
        <v>1948</v>
      </c>
      <c r="D451" s="9" t="s">
        <v>959</v>
      </c>
      <c r="E451" s="9" t="s">
        <v>523</v>
      </c>
      <c r="F451" s="9" t="s">
        <v>666</v>
      </c>
      <c r="H451" s="9" t="s">
        <v>525</v>
      </c>
      <c r="M451" s="6" t="n">
        <v>5515.43</v>
      </c>
      <c r="P451" s="46" t="n">
        <v>38384</v>
      </c>
      <c r="Q451" s="1" t="n">
        <f aca="false">IF(OR($A451="",P451=""),"",ROUND(YEARFRAC(P451,README!$C$5),1))</f>
        <v>21.5</v>
      </c>
      <c r="S451" s="6" t="n">
        <v>6540</v>
      </c>
      <c r="T451" s="6" t="n">
        <v>6564</v>
      </c>
      <c r="U451" s="6" t="n">
        <v>8380</v>
      </c>
      <c r="V451" s="6" t="n">
        <v>1816</v>
      </c>
      <c r="W451" s="6" t="n">
        <v>0.963</v>
      </c>
      <c r="X451" s="6" t="n">
        <v>1</v>
      </c>
      <c r="Z451" s="6" t="s">
        <v>1949</v>
      </c>
      <c r="AA451" s="9" t="s">
        <v>528</v>
      </c>
      <c r="AB451" s="6" t="s">
        <v>1950</v>
      </c>
      <c r="AE451" s="37" t="n">
        <f aca="false">COUNTIF(環境認証!$A$2:$A$849,A451)</f>
        <v>1</v>
      </c>
      <c r="AF451" s="6" t="n">
        <v>27.7</v>
      </c>
      <c r="AG451" s="6" t="n">
        <v>28.1</v>
      </c>
    </row>
    <row r="452" customFormat="false" ht="15" hidden="false" customHeight="true" outlineLevel="0" collapsed="false">
      <c r="A452" s="6" t="s">
        <v>1951</v>
      </c>
      <c r="B452" s="6" t="s">
        <v>463</v>
      </c>
      <c r="C452" s="9" t="s">
        <v>1952</v>
      </c>
      <c r="D452" s="9" t="s">
        <v>959</v>
      </c>
      <c r="E452" s="9" t="s">
        <v>523</v>
      </c>
      <c r="F452" s="9" t="s">
        <v>532</v>
      </c>
      <c r="H452" s="9" t="s">
        <v>525</v>
      </c>
      <c r="M452" s="6" t="n">
        <v>2019.1</v>
      </c>
      <c r="P452" s="46" t="n">
        <v>37987</v>
      </c>
      <c r="Q452" s="1" t="n">
        <f aca="false">IF(OR($A452="",P452=""),"",ROUND(YEARFRAC(P452,README!$C$5),1))</f>
        <v>22.6</v>
      </c>
      <c r="S452" s="6" t="n">
        <v>1790</v>
      </c>
      <c r="T452" s="6" t="n">
        <v>1751</v>
      </c>
      <c r="U452" s="6" t="n">
        <v>2010</v>
      </c>
      <c r="V452" s="6" t="n">
        <v>259</v>
      </c>
      <c r="W452" s="6" t="n">
        <v>0.874</v>
      </c>
      <c r="X452" s="6" t="n">
        <v>1</v>
      </c>
      <c r="Z452" s="6" t="s">
        <v>1949</v>
      </c>
      <c r="AA452" s="9" t="s">
        <v>528</v>
      </c>
      <c r="AB452" s="6" t="s">
        <v>1953</v>
      </c>
      <c r="AE452" s="37" t="n">
        <f aca="false">COUNTIF(環境認証!$A$2:$A$849,A452)</f>
        <v>1</v>
      </c>
      <c r="AF452" s="6" t="n">
        <v>14.8</v>
      </c>
      <c r="AG452" s="6" t="n">
        <v>12.3</v>
      </c>
    </row>
    <row r="453" customFormat="false" ht="15" hidden="false" customHeight="true" outlineLevel="0" collapsed="false">
      <c r="A453" s="6" t="s">
        <v>1954</v>
      </c>
      <c r="B453" s="6" t="s">
        <v>463</v>
      </c>
      <c r="C453" s="9" t="s">
        <v>1955</v>
      </c>
      <c r="D453" s="9" t="s">
        <v>959</v>
      </c>
      <c r="E453" s="9" t="s">
        <v>523</v>
      </c>
      <c r="F453" s="9" t="s">
        <v>648</v>
      </c>
      <c r="H453" s="9" t="s">
        <v>525</v>
      </c>
      <c r="M453" s="6" t="n">
        <v>2062.1</v>
      </c>
      <c r="P453" s="46" t="n">
        <v>37773</v>
      </c>
      <c r="Q453" s="1" t="n">
        <f aca="false">IF(OR($A453="",P453=""),"",ROUND(YEARFRAC(P453,README!$C$5),1))</f>
        <v>23.2</v>
      </c>
      <c r="S453" s="6" t="n">
        <v>2040</v>
      </c>
      <c r="T453" s="6" t="n">
        <v>2013</v>
      </c>
      <c r="U453" s="6" t="n">
        <v>2630</v>
      </c>
      <c r="V453" s="6" t="n">
        <v>617</v>
      </c>
      <c r="W453" s="6" t="n">
        <v>0.916</v>
      </c>
      <c r="X453" s="6" t="n">
        <v>1</v>
      </c>
      <c r="Z453" s="6" t="s">
        <v>1949</v>
      </c>
      <c r="AA453" s="9" t="s">
        <v>528</v>
      </c>
      <c r="AB453" s="6" t="s">
        <v>1956</v>
      </c>
      <c r="AE453" s="37" t="n">
        <f aca="false">COUNTIF(環境認証!$A$2:$A$849,A453)</f>
        <v>1</v>
      </c>
      <c r="AF453" s="6" t="n">
        <v>30.7</v>
      </c>
      <c r="AG453" s="6" t="n">
        <v>28.9</v>
      </c>
    </row>
    <row r="454" customFormat="false" ht="15" hidden="false" customHeight="true" outlineLevel="0" collapsed="false">
      <c r="A454" s="6" t="s">
        <v>1957</v>
      </c>
      <c r="B454" s="6" t="s">
        <v>463</v>
      </c>
      <c r="C454" s="9" t="s">
        <v>1958</v>
      </c>
      <c r="D454" s="9" t="s">
        <v>959</v>
      </c>
      <c r="H454" s="9" t="s">
        <v>611</v>
      </c>
      <c r="Q454" s="1" t="str">
        <f aca="false">IF(OR($A454="",P454=""),"",ROUND(YEARFRAC(P454,README!$C$5),1))</f>
        <v/>
      </c>
      <c r="V454" s="1" t="str">
        <f aca="false">IF($A454="","",IF(OR(T454="",U454=""),"",U454-T454))</f>
        <v/>
      </c>
      <c r="Z454" s="6" t="s">
        <v>1949</v>
      </c>
      <c r="AA454" s="9" t="s">
        <v>528</v>
      </c>
      <c r="AB454" s="6" t="s">
        <v>1959</v>
      </c>
      <c r="AE454" s="37" t="n">
        <f aca="false">COUNTIF(環境認証!$A$2:$A$849,A454)</f>
        <v>0</v>
      </c>
    </row>
    <row r="455" customFormat="false" ht="15" hidden="false" customHeight="true" outlineLevel="0" collapsed="false">
      <c r="A455" s="6" t="s">
        <v>1960</v>
      </c>
      <c r="B455" s="6" t="s">
        <v>463</v>
      </c>
      <c r="C455" s="9" t="s">
        <v>1961</v>
      </c>
      <c r="D455" s="9" t="s">
        <v>959</v>
      </c>
      <c r="E455" s="9" t="s">
        <v>523</v>
      </c>
      <c r="F455" s="9" t="s">
        <v>524</v>
      </c>
      <c r="H455" s="9" t="s">
        <v>525</v>
      </c>
      <c r="M455" s="6" t="n">
        <v>1706.54</v>
      </c>
      <c r="P455" s="46" t="n">
        <v>38018</v>
      </c>
      <c r="Q455" s="1" t="n">
        <f aca="false">IF(OR($A455="",P455=""),"",ROUND(YEARFRAC(P455,README!$C$5),1))</f>
        <v>22.5</v>
      </c>
      <c r="S455" s="6" t="n">
        <v>1610</v>
      </c>
      <c r="T455" s="6" t="n">
        <v>1505</v>
      </c>
      <c r="U455" s="6" t="n">
        <v>2060</v>
      </c>
      <c r="V455" s="6" t="n">
        <v>555</v>
      </c>
      <c r="W455" s="6" t="n">
        <v>0.923</v>
      </c>
      <c r="X455" s="6" t="n">
        <v>1</v>
      </c>
      <c r="Z455" s="6" t="s">
        <v>1949</v>
      </c>
      <c r="AA455" s="9" t="s">
        <v>528</v>
      </c>
      <c r="AB455" s="6" t="s">
        <v>1962</v>
      </c>
      <c r="AE455" s="37" t="n">
        <f aca="false">COUNTIF(環境認証!$A$2:$A$849,A455)</f>
        <v>0</v>
      </c>
      <c r="AF455" s="6" t="n">
        <v>36.9</v>
      </c>
      <c r="AG455" s="6" t="n">
        <v>28</v>
      </c>
    </row>
    <row r="456" customFormat="false" ht="15" hidden="false" customHeight="true" outlineLevel="0" collapsed="false">
      <c r="A456" s="6" t="s">
        <v>1963</v>
      </c>
      <c r="B456" s="6" t="s">
        <v>463</v>
      </c>
      <c r="C456" s="9" t="s">
        <v>1964</v>
      </c>
      <c r="D456" s="9" t="s">
        <v>959</v>
      </c>
      <c r="E456" s="9" t="s">
        <v>523</v>
      </c>
      <c r="F456" s="9" t="s">
        <v>806</v>
      </c>
      <c r="H456" s="9" t="s">
        <v>525</v>
      </c>
      <c r="M456" s="6" t="n">
        <v>1881.19</v>
      </c>
      <c r="P456" s="46" t="n">
        <v>38200</v>
      </c>
      <c r="Q456" s="1" t="n">
        <f aca="false">IF(OR($A456="",P456=""),"",ROUND(YEARFRAC(P456,README!$C$5),1))</f>
        <v>22</v>
      </c>
      <c r="S456" s="6" t="n">
        <v>1590</v>
      </c>
      <c r="T456" s="6" t="n">
        <v>1492</v>
      </c>
      <c r="U456" s="6" t="n">
        <v>2040</v>
      </c>
      <c r="V456" s="6" t="n">
        <v>548</v>
      </c>
      <c r="W456" s="6" t="n">
        <v>0.861</v>
      </c>
      <c r="X456" s="6" t="n">
        <v>1</v>
      </c>
      <c r="Z456" s="6" t="s">
        <v>1949</v>
      </c>
      <c r="AA456" s="9" t="s">
        <v>528</v>
      </c>
      <c r="AB456" s="6" t="s">
        <v>1965</v>
      </c>
      <c r="AE456" s="37" t="n">
        <f aca="false">COUNTIF(環境認証!$A$2:$A$849,A456)</f>
        <v>1</v>
      </c>
      <c r="AF456" s="6" t="n">
        <v>36.7</v>
      </c>
      <c r="AG456" s="6" t="n">
        <v>28.3</v>
      </c>
    </row>
    <row r="457" customFormat="false" ht="15" hidden="false" customHeight="true" outlineLevel="0" collapsed="false">
      <c r="A457" s="6" t="s">
        <v>1966</v>
      </c>
      <c r="B457" s="6" t="s">
        <v>463</v>
      </c>
      <c r="C457" s="9" t="s">
        <v>1967</v>
      </c>
      <c r="D457" s="9" t="s">
        <v>959</v>
      </c>
      <c r="E457" s="9" t="s">
        <v>523</v>
      </c>
      <c r="F457" s="9" t="s">
        <v>539</v>
      </c>
      <c r="H457" s="9" t="s">
        <v>540</v>
      </c>
      <c r="M457" s="6" t="n">
        <v>2978.28</v>
      </c>
      <c r="P457" s="46" t="n">
        <v>38169</v>
      </c>
      <c r="Q457" s="1" t="n">
        <f aca="false">IF(OR($A457="",P457=""),"",ROUND(YEARFRAC(P457,README!$C$5),1))</f>
        <v>22.1</v>
      </c>
      <c r="S457" s="6" t="n">
        <v>2190</v>
      </c>
      <c r="T457" s="6" t="n">
        <v>1997</v>
      </c>
      <c r="U457" s="6" t="n">
        <v>2730</v>
      </c>
      <c r="V457" s="6" t="n">
        <v>733</v>
      </c>
      <c r="W457" s="6" t="n">
        <v>0.961</v>
      </c>
      <c r="X457" s="6" t="n">
        <v>1</v>
      </c>
      <c r="Z457" s="6" t="s">
        <v>1949</v>
      </c>
      <c r="AA457" s="9" t="s">
        <v>528</v>
      </c>
      <c r="AB457" s="6" t="s">
        <v>1968</v>
      </c>
      <c r="AE457" s="37" t="n">
        <f aca="false">COUNTIF(環境認証!$A$2:$A$849,A457)</f>
        <v>0</v>
      </c>
      <c r="AF457" s="6" t="n">
        <v>36.7</v>
      </c>
      <c r="AG457" s="6" t="n">
        <v>24.7</v>
      </c>
    </row>
    <row r="458" customFormat="false" ht="15" hidden="false" customHeight="true" outlineLevel="0" collapsed="false">
      <c r="A458" s="6" t="s">
        <v>1969</v>
      </c>
      <c r="B458" s="6" t="s">
        <v>463</v>
      </c>
      <c r="C458" s="9" t="s">
        <v>1970</v>
      </c>
      <c r="D458" s="9" t="s">
        <v>959</v>
      </c>
      <c r="H458" s="9" t="s">
        <v>611</v>
      </c>
      <c r="Q458" s="1" t="str">
        <f aca="false">IF(OR($A458="",P458=""),"",ROUND(YEARFRAC(P458,README!$C$5),1))</f>
        <v/>
      </c>
      <c r="V458" s="1" t="str">
        <f aca="false">IF($A458="","",IF(OR(T458="",U458=""),"",U458-T458))</f>
        <v/>
      </c>
      <c r="Z458" s="6" t="s">
        <v>1949</v>
      </c>
      <c r="AA458" s="9" t="s">
        <v>528</v>
      </c>
      <c r="AB458" s="6" t="s">
        <v>1971</v>
      </c>
      <c r="AE458" s="37" t="n">
        <f aca="false">COUNTIF(環境認証!$A$2:$A$849,A458)</f>
        <v>0</v>
      </c>
    </row>
    <row r="459" customFormat="false" ht="15" hidden="false" customHeight="true" outlineLevel="0" collapsed="false">
      <c r="A459" s="6" t="s">
        <v>1972</v>
      </c>
      <c r="B459" s="6" t="s">
        <v>463</v>
      </c>
      <c r="C459" s="9" t="s">
        <v>1973</v>
      </c>
      <c r="D459" s="9" t="s">
        <v>959</v>
      </c>
      <c r="E459" s="9" t="s">
        <v>523</v>
      </c>
      <c r="F459" s="9" t="s">
        <v>543</v>
      </c>
      <c r="H459" s="9" t="s">
        <v>540</v>
      </c>
      <c r="M459" s="6" t="n">
        <v>2279.21</v>
      </c>
      <c r="P459" s="46" t="n">
        <v>38657</v>
      </c>
      <c r="Q459" s="1" t="n">
        <f aca="false">IF(OR($A459="",P459=""),"",ROUND(YEARFRAC(P459,README!$C$5),1))</f>
        <v>20.8</v>
      </c>
      <c r="S459" s="6" t="n">
        <v>1580</v>
      </c>
      <c r="T459" s="6" t="n">
        <v>1411</v>
      </c>
      <c r="U459" s="6" t="n">
        <v>1940</v>
      </c>
      <c r="V459" s="6" t="n">
        <v>529</v>
      </c>
      <c r="W459" s="6" t="n">
        <v>0.989</v>
      </c>
      <c r="X459" s="6" t="n">
        <v>1</v>
      </c>
      <c r="Z459" s="6" t="s">
        <v>1949</v>
      </c>
      <c r="AA459" s="9" t="s">
        <v>528</v>
      </c>
      <c r="AB459" s="6" t="s">
        <v>1974</v>
      </c>
      <c r="AE459" s="37" t="n">
        <f aca="false">COUNTIF(環境認証!$A$2:$A$849,A459)</f>
        <v>1</v>
      </c>
      <c r="AF459" s="6" t="n">
        <v>37.5</v>
      </c>
      <c r="AG459" s="6" t="n">
        <v>22.8</v>
      </c>
    </row>
    <row r="460" customFormat="false" ht="15" hidden="false" customHeight="true" outlineLevel="0" collapsed="false">
      <c r="A460" s="6" t="s">
        <v>1975</v>
      </c>
      <c r="B460" s="6" t="s">
        <v>463</v>
      </c>
      <c r="C460" s="9" t="s">
        <v>1976</v>
      </c>
      <c r="D460" s="9" t="s">
        <v>959</v>
      </c>
      <c r="E460" s="9" t="s">
        <v>523</v>
      </c>
      <c r="F460" s="9" t="s">
        <v>906</v>
      </c>
      <c r="H460" s="9" t="s">
        <v>540</v>
      </c>
      <c r="M460" s="6" t="n">
        <v>1070.13</v>
      </c>
      <c r="P460" s="46" t="n">
        <v>38657</v>
      </c>
      <c r="Q460" s="1" t="n">
        <f aca="false">IF(OR($A460="",P460=""),"",ROUND(YEARFRAC(P460,README!$C$5),1))</f>
        <v>20.8</v>
      </c>
      <c r="S460" s="6" t="n">
        <v>1060</v>
      </c>
      <c r="T460" s="6" t="n">
        <v>1043</v>
      </c>
      <c r="U460" s="6" t="n">
        <v>1470</v>
      </c>
      <c r="V460" s="6" t="n">
        <v>427</v>
      </c>
      <c r="W460" s="6" t="n">
        <v>0.93</v>
      </c>
      <c r="X460" s="6" t="n">
        <v>1</v>
      </c>
      <c r="Z460" s="6" t="s">
        <v>1949</v>
      </c>
      <c r="AA460" s="9" t="s">
        <v>528</v>
      </c>
      <c r="AB460" s="6" t="s">
        <v>1977</v>
      </c>
      <c r="AE460" s="37" t="n">
        <f aca="false">COUNTIF(環境認証!$A$2:$A$849,A460)</f>
        <v>1</v>
      </c>
      <c r="AF460" s="6" t="n">
        <v>40.9</v>
      </c>
      <c r="AG460" s="6" t="n">
        <v>38.7</v>
      </c>
    </row>
    <row r="461" customFormat="false" ht="15" hidden="false" customHeight="true" outlineLevel="0" collapsed="false">
      <c r="A461" s="6" t="s">
        <v>1978</v>
      </c>
      <c r="B461" s="6" t="s">
        <v>463</v>
      </c>
      <c r="C461" s="9" t="s">
        <v>1979</v>
      </c>
      <c r="D461" s="9" t="s">
        <v>959</v>
      </c>
      <c r="E461" s="9" t="s">
        <v>523</v>
      </c>
      <c r="F461" s="9" t="s">
        <v>893</v>
      </c>
      <c r="H461" s="9" t="s">
        <v>540</v>
      </c>
      <c r="M461" s="6" t="n">
        <v>2619.17</v>
      </c>
      <c r="P461" s="46" t="n">
        <v>39114</v>
      </c>
      <c r="Q461" s="1" t="n">
        <f aca="false">IF(OR($A461="",P461=""),"",ROUND(YEARFRAC(P461,README!$C$5),1))</f>
        <v>19.5</v>
      </c>
      <c r="S461" s="6" t="n">
        <v>1630</v>
      </c>
      <c r="T461" s="6" t="n">
        <v>1566</v>
      </c>
      <c r="U461" s="6" t="n">
        <v>2200</v>
      </c>
      <c r="V461" s="6" t="n">
        <v>634</v>
      </c>
      <c r="W461" s="6" t="n">
        <v>0.87</v>
      </c>
      <c r="X461" s="6" t="n">
        <v>1</v>
      </c>
      <c r="Z461" s="6" t="s">
        <v>1949</v>
      </c>
      <c r="AA461" s="9" t="s">
        <v>528</v>
      </c>
      <c r="AB461" s="6" t="s">
        <v>1980</v>
      </c>
      <c r="AE461" s="37" t="n">
        <f aca="false">COUNTIF(環境認証!$A$2:$A$849,A461)</f>
        <v>1</v>
      </c>
      <c r="AF461" s="6" t="n">
        <v>40.5</v>
      </c>
      <c r="AG461" s="6" t="n">
        <v>35</v>
      </c>
    </row>
    <row r="462" customFormat="false" ht="15" hidden="false" customHeight="true" outlineLevel="0" collapsed="false">
      <c r="A462" s="6" t="s">
        <v>1981</v>
      </c>
      <c r="B462" s="6" t="s">
        <v>463</v>
      </c>
      <c r="C462" s="9" t="s">
        <v>1982</v>
      </c>
      <c r="D462" s="9" t="s">
        <v>959</v>
      </c>
      <c r="H462" s="9" t="s">
        <v>611</v>
      </c>
      <c r="Q462" s="1" t="str">
        <f aca="false">IF(OR($A462="",P462=""),"",ROUND(YEARFRAC(P462,README!$C$5),1))</f>
        <v/>
      </c>
      <c r="V462" s="1" t="str">
        <f aca="false">IF($A462="","",IF(OR(T462="",U462=""),"",U462-T462))</f>
        <v/>
      </c>
      <c r="Z462" s="6" t="s">
        <v>1949</v>
      </c>
      <c r="AA462" s="9" t="s">
        <v>528</v>
      </c>
      <c r="AB462" s="6" t="s">
        <v>1983</v>
      </c>
      <c r="AE462" s="37" t="n">
        <f aca="false">COUNTIF(環境認証!$A$2:$A$849,A462)</f>
        <v>0</v>
      </c>
    </row>
    <row r="463" customFormat="false" ht="15" hidden="false" customHeight="true" outlineLevel="0" collapsed="false">
      <c r="A463" s="6" t="s">
        <v>1984</v>
      </c>
      <c r="B463" s="6" t="s">
        <v>463</v>
      </c>
      <c r="C463" s="9" t="s">
        <v>1985</v>
      </c>
      <c r="D463" s="9" t="s">
        <v>959</v>
      </c>
      <c r="E463" s="9" t="s">
        <v>547</v>
      </c>
      <c r="F463" s="9" t="s">
        <v>701</v>
      </c>
      <c r="H463" s="9" t="s">
        <v>550</v>
      </c>
      <c r="M463" s="6" t="n">
        <v>1285.83</v>
      </c>
      <c r="P463" s="46" t="n">
        <v>38749</v>
      </c>
      <c r="Q463" s="1" t="n">
        <f aca="false">IF(OR($A463="",P463=""),"",ROUND(YEARFRAC(P463,README!$C$5),1))</f>
        <v>20.5</v>
      </c>
      <c r="S463" s="6" t="n">
        <v>931</v>
      </c>
      <c r="T463" s="6" t="n">
        <v>914</v>
      </c>
      <c r="U463" s="6" t="n">
        <v>1030</v>
      </c>
      <c r="V463" s="6" t="n">
        <v>116</v>
      </c>
      <c r="W463" s="6" t="n">
        <v>0.982</v>
      </c>
      <c r="X463" s="6" t="n">
        <v>1</v>
      </c>
      <c r="Z463" s="6" t="s">
        <v>1949</v>
      </c>
      <c r="AA463" s="9" t="s">
        <v>528</v>
      </c>
      <c r="AB463" s="6" t="s">
        <v>1986</v>
      </c>
      <c r="AE463" s="37" t="n">
        <f aca="false">COUNTIF(環境認証!$A$2:$A$849,A463)</f>
        <v>1</v>
      </c>
      <c r="AF463" s="6" t="n">
        <v>12.7</v>
      </c>
      <c r="AG463" s="6" t="n">
        <v>10.6</v>
      </c>
    </row>
    <row r="464" customFormat="false" ht="15" hidden="false" customHeight="true" outlineLevel="0" collapsed="false">
      <c r="A464" s="6" t="s">
        <v>1987</v>
      </c>
      <c r="B464" s="6" t="s">
        <v>463</v>
      </c>
      <c r="C464" s="9" t="s">
        <v>1988</v>
      </c>
      <c r="D464" s="9" t="s">
        <v>959</v>
      </c>
      <c r="E464" s="9" t="s">
        <v>573</v>
      </c>
      <c r="F464" s="9" t="s">
        <v>680</v>
      </c>
      <c r="H464" s="9" t="s">
        <v>569</v>
      </c>
      <c r="M464" s="6" t="n">
        <v>1804.48</v>
      </c>
      <c r="P464" s="46" t="n">
        <v>39114</v>
      </c>
      <c r="Q464" s="1" t="n">
        <f aca="false">IF(OR($A464="",P464=""),"",ROUND(YEARFRAC(P464,README!$C$5),1))</f>
        <v>19.5</v>
      </c>
      <c r="S464" s="6" t="n">
        <v>1060</v>
      </c>
      <c r="T464" s="6" t="n">
        <v>1086</v>
      </c>
      <c r="U464" s="6" t="n">
        <v>1250</v>
      </c>
      <c r="V464" s="6" t="n">
        <v>164</v>
      </c>
      <c r="W464" s="6" t="n">
        <v>1</v>
      </c>
      <c r="X464" s="6" t="n">
        <v>1</v>
      </c>
      <c r="Z464" s="6" t="s">
        <v>1949</v>
      </c>
      <c r="AA464" s="9" t="s">
        <v>528</v>
      </c>
      <c r="AB464" s="6" t="s">
        <v>1989</v>
      </c>
      <c r="AE464" s="37" t="n">
        <f aca="false">COUNTIF(環境認証!$A$2:$A$849,A464)</f>
        <v>1</v>
      </c>
      <c r="AF464" s="6" t="n">
        <v>15.1</v>
      </c>
      <c r="AG464" s="6" t="n">
        <v>17.9</v>
      </c>
    </row>
    <row r="465" customFormat="false" ht="15" hidden="false" customHeight="true" outlineLevel="0" collapsed="false">
      <c r="A465" s="6" t="s">
        <v>1990</v>
      </c>
      <c r="B465" s="6" t="s">
        <v>463</v>
      </c>
      <c r="C465" s="9" t="s">
        <v>1991</v>
      </c>
      <c r="D465" s="9" t="s">
        <v>959</v>
      </c>
      <c r="E465" s="9" t="s">
        <v>523</v>
      </c>
      <c r="F465" s="9" t="s">
        <v>625</v>
      </c>
      <c r="H465" s="9" t="s">
        <v>540</v>
      </c>
      <c r="M465" s="6" t="n">
        <v>3871.15</v>
      </c>
      <c r="P465" s="46" t="n">
        <v>38777</v>
      </c>
      <c r="Q465" s="1" t="n">
        <f aca="false">IF(OR($A465="",P465=""),"",ROUND(YEARFRAC(P465,README!$C$5),1))</f>
        <v>20.4</v>
      </c>
      <c r="S465" s="6" t="n">
        <v>3110</v>
      </c>
      <c r="T465" s="6" t="n">
        <v>2962</v>
      </c>
      <c r="U465" s="6" t="n">
        <v>3990</v>
      </c>
      <c r="V465" s="6" t="n">
        <v>1028</v>
      </c>
      <c r="W465" s="6" t="n">
        <v>0.931</v>
      </c>
      <c r="X465" s="6" t="n">
        <v>1</v>
      </c>
      <c r="Z465" s="6" t="s">
        <v>1949</v>
      </c>
      <c r="AA465" s="9" t="s">
        <v>528</v>
      </c>
      <c r="AB465" s="6" t="s">
        <v>1992</v>
      </c>
      <c r="AE465" s="37" t="n">
        <f aca="false">COUNTIF(環境認証!$A$2:$A$849,A465)</f>
        <v>0</v>
      </c>
      <c r="AF465" s="6" t="n">
        <v>34.7</v>
      </c>
      <c r="AG465" s="6" t="n">
        <v>28.3</v>
      </c>
    </row>
    <row r="466" customFormat="false" ht="15" hidden="false" customHeight="true" outlineLevel="0" collapsed="false">
      <c r="A466" s="6" t="s">
        <v>1993</v>
      </c>
      <c r="B466" s="6" t="s">
        <v>463</v>
      </c>
      <c r="C466" s="9" t="s">
        <v>1994</v>
      </c>
      <c r="D466" s="9" t="s">
        <v>959</v>
      </c>
      <c r="E466" s="9" t="s">
        <v>523</v>
      </c>
      <c r="F466" s="9" t="s">
        <v>625</v>
      </c>
      <c r="H466" s="9" t="s">
        <v>540</v>
      </c>
      <c r="M466" s="6" t="n">
        <v>2979.85</v>
      </c>
      <c r="P466" s="46" t="n">
        <v>38930</v>
      </c>
      <c r="Q466" s="1" t="n">
        <f aca="false">IF(OR($A466="",P466=""),"",ROUND(YEARFRAC(P466,README!$C$5),1))</f>
        <v>20</v>
      </c>
      <c r="S466" s="6" t="n">
        <v>2720</v>
      </c>
      <c r="T466" s="6" t="n">
        <v>2606</v>
      </c>
      <c r="U466" s="6" t="n">
        <v>3160</v>
      </c>
      <c r="V466" s="6" t="n">
        <v>554</v>
      </c>
      <c r="W466" s="6" t="n">
        <v>0.979</v>
      </c>
      <c r="X466" s="6" t="n">
        <v>1</v>
      </c>
      <c r="Z466" s="6" t="s">
        <v>1949</v>
      </c>
      <c r="AA466" s="9" t="s">
        <v>528</v>
      </c>
      <c r="AB466" s="6" t="s">
        <v>1995</v>
      </c>
      <c r="AE466" s="37" t="n">
        <f aca="false">COUNTIF(環境認証!$A$2:$A$849,A466)</f>
        <v>0</v>
      </c>
      <c r="AF466" s="6" t="n">
        <v>21.3</v>
      </c>
      <c r="AG466" s="6" t="n">
        <v>16.2</v>
      </c>
    </row>
    <row r="467" customFormat="false" ht="15" hidden="false" customHeight="true" outlineLevel="0" collapsed="false">
      <c r="A467" s="6" t="s">
        <v>1996</v>
      </c>
      <c r="B467" s="6" t="s">
        <v>463</v>
      </c>
      <c r="C467" s="9" t="s">
        <v>1997</v>
      </c>
      <c r="D467" s="9" t="s">
        <v>959</v>
      </c>
      <c r="H467" s="9" t="s">
        <v>611</v>
      </c>
      <c r="Q467" s="1" t="str">
        <f aca="false">IF(OR($A467="",P467=""),"",ROUND(YEARFRAC(P467,README!$C$5),1))</f>
        <v/>
      </c>
      <c r="V467" s="1" t="str">
        <f aca="false">IF($A467="","",IF(OR(T467="",U467=""),"",U467-T467))</f>
        <v/>
      </c>
      <c r="Z467" s="6" t="s">
        <v>1949</v>
      </c>
      <c r="AA467" s="9" t="s">
        <v>528</v>
      </c>
      <c r="AB467" s="6" t="s">
        <v>1998</v>
      </c>
      <c r="AE467" s="37" t="n">
        <f aca="false">COUNTIF(環境認証!$A$2:$A$849,A467)</f>
        <v>0</v>
      </c>
    </row>
    <row r="468" customFormat="false" ht="15" hidden="false" customHeight="true" outlineLevel="0" collapsed="false">
      <c r="A468" s="6" t="s">
        <v>1999</v>
      </c>
      <c r="B468" s="6" t="s">
        <v>463</v>
      </c>
      <c r="C468" s="9" t="s">
        <v>2000</v>
      </c>
      <c r="D468" s="9" t="s">
        <v>959</v>
      </c>
      <c r="E468" s="9" t="s">
        <v>523</v>
      </c>
      <c r="F468" s="9" t="s">
        <v>532</v>
      </c>
      <c r="H468" s="9" t="s">
        <v>525</v>
      </c>
      <c r="M468" s="6" t="n">
        <v>1082.12</v>
      </c>
      <c r="P468" s="46" t="n">
        <v>38930</v>
      </c>
      <c r="Q468" s="1" t="n">
        <f aca="false">IF(OR($A468="",P468=""),"",ROUND(YEARFRAC(P468,README!$C$5),1))</f>
        <v>20</v>
      </c>
      <c r="S468" s="6" t="n">
        <v>1250</v>
      </c>
      <c r="T468" s="6" t="n">
        <v>1278</v>
      </c>
      <c r="U468" s="6" t="n">
        <v>1500</v>
      </c>
      <c r="V468" s="6" t="n">
        <v>222</v>
      </c>
      <c r="W468" s="6" t="n">
        <v>0.962</v>
      </c>
      <c r="X468" s="6" t="n">
        <v>1</v>
      </c>
      <c r="Z468" s="6" t="s">
        <v>1949</v>
      </c>
      <c r="AA468" s="9" t="s">
        <v>528</v>
      </c>
      <c r="AB468" s="6" t="s">
        <v>2001</v>
      </c>
      <c r="AE468" s="37" t="n">
        <f aca="false">COUNTIF(環境認証!$A$2:$A$849,A468)</f>
        <v>1</v>
      </c>
      <c r="AF468" s="6" t="n">
        <v>17.4</v>
      </c>
      <c r="AG468" s="6" t="n">
        <v>20</v>
      </c>
    </row>
    <row r="469" customFormat="false" ht="15" hidden="false" customHeight="true" outlineLevel="0" collapsed="false">
      <c r="A469" s="6" t="s">
        <v>2002</v>
      </c>
      <c r="B469" s="6" t="s">
        <v>463</v>
      </c>
      <c r="C469" s="9" t="s">
        <v>2003</v>
      </c>
      <c r="D469" s="9" t="s">
        <v>959</v>
      </c>
      <c r="E469" s="9" t="s">
        <v>547</v>
      </c>
      <c r="F469" s="9" t="s">
        <v>687</v>
      </c>
      <c r="H469" s="9" t="s">
        <v>550</v>
      </c>
      <c r="M469" s="6" t="n">
        <v>2824.86</v>
      </c>
      <c r="P469" s="46" t="n">
        <v>39114</v>
      </c>
      <c r="Q469" s="1" t="n">
        <f aca="false">IF(OR($A469="",P469=""),"",ROUND(YEARFRAC(P469,README!$C$5),1))</f>
        <v>19.5</v>
      </c>
      <c r="S469" s="6" t="n">
        <v>1910</v>
      </c>
      <c r="T469" s="6" t="n">
        <v>1794</v>
      </c>
      <c r="U469" s="6" t="n">
        <v>2680</v>
      </c>
      <c r="V469" s="6" t="n">
        <v>886</v>
      </c>
      <c r="W469" s="6" t="n">
        <v>0.992</v>
      </c>
      <c r="X469" s="6" t="n">
        <v>1</v>
      </c>
      <c r="Z469" s="6" t="s">
        <v>1949</v>
      </c>
      <c r="AA469" s="9" t="s">
        <v>528</v>
      </c>
      <c r="AB469" s="6" t="s">
        <v>2004</v>
      </c>
      <c r="AE469" s="37" t="n">
        <f aca="false">COUNTIF(環境認証!$A$2:$A$849,A469)</f>
        <v>1</v>
      </c>
      <c r="AF469" s="6" t="n">
        <v>49.4</v>
      </c>
      <c r="AG469" s="6" t="n">
        <v>40.3</v>
      </c>
    </row>
    <row r="470" customFormat="false" ht="15" hidden="false" customHeight="true" outlineLevel="0" collapsed="false">
      <c r="A470" s="6" t="s">
        <v>2005</v>
      </c>
      <c r="B470" s="6" t="s">
        <v>463</v>
      </c>
      <c r="C470" s="9" t="s">
        <v>2006</v>
      </c>
      <c r="D470" s="9" t="s">
        <v>959</v>
      </c>
      <c r="E470" s="9" t="s">
        <v>523</v>
      </c>
      <c r="F470" s="9" t="s">
        <v>532</v>
      </c>
      <c r="H470" s="9" t="s">
        <v>525</v>
      </c>
      <c r="M470" s="6" t="n">
        <v>1755.31</v>
      </c>
      <c r="P470" s="46" t="n">
        <v>39114</v>
      </c>
      <c r="Q470" s="1" t="n">
        <f aca="false">IF(OR($A470="",P470=""),"",ROUND(YEARFRAC(P470,README!$C$5),1))</f>
        <v>19.5</v>
      </c>
      <c r="S470" s="6" t="n">
        <v>2690</v>
      </c>
      <c r="T470" s="6" t="n">
        <v>2690</v>
      </c>
      <c r="U470" s="6" t="n">
        <v>3320</v>
      </c>
      <c r="V470" s="6" t="n">
        <v>630</v>
      </c>
      <c r="W470" s="6" t="n">
        <v>0.961</v>
      </c>
      <c r="X470" s="6" t="n">
        <v>1</v>
      </c>
      <c r="Z470" s="6" t="s">
        <v>1949</v>
      </c>
      <c r="AA470" s="9" t="s">
        <v>528</v>
      </c>
      <c r="AB470" s="6" t="s">
        <v>2007</v>
      </c>
      <c r="AE470" s="37" t="n">
        <f aca="false">COUNTIF(環境認証!$A$2:$A$849,A470)</f>
        <v>1</v>
      </c>
      <c r="AF470" s="6" t="n">
        <v>23.4</v>
      </c>
      <c r="AG470" s="6" t="n">
        <v>23.4</v>
      </c>
    </row>
    <row r="471" customFormat="false" ht="15" hidden="false" customHeight="true" outlineLevel="0" collapsed="false">
      <c r="A471" s="6" t="s">
        <v>2008</v>
      </c>
      <c r="B471" s="6" t="s">
        <v>463</v>
      </c>
      <c r="C471" s="9" t="s">
        <v>2009</v>
      </c>
      <c r="D471" s="9" t="s">
        <v>959</v>
      </c>
      <c r="H471" s="9" t="s">
        <v>611</v>
      </c>
      <c r="Q471" s="1" t="str">
        <f aca="false">IF(OR($A471="",P471=""),"",ROUND(YEARFRAC(P471,README!$C$5),1))</f>
        <v/>
      </c>
      <c r="V471" s="1" t="str">
        <f aca="false">IF($A471="","",IF(OR(T471="",U471=""),"",U471-T471))</f>
        <v/>
      </c>
      <c r="Z471" s="6" t="s">
        <v>1949</v>
      </c>
      <c r="AA471" s="9" t="s">
        <v>528</v>
      </c>
      <c r="AB471" s="6" t="s">
        <v>2010</v>
      </c>
      <c r="AE471" s="37" t="n">
        <f aca="false">COUNTIF(環境認証!$A$2:$A$849,A471)</f>
        <v>0</v>
      </c>
    </row>
    <row r="472" customFormat="false" ht="15" hidden="false" customHeight="true" outlineLevel="0" collapsed="false">
      <c r="A472" s="6" t="s">
        <v>2011</v>
      </c>
      <c r="B472" s="6" t="s">
        <v>463</v>
      </c>
      <c r="C472" s="9" t="s">
        <v>2012</v>
      </c>
      <c r="D472" s="9" t="s">
        <v>959</v>
      </c>
      <c r="E472" s="9" t="s">
        <v>523</v>
      </c>
      <c r="F472" s="9" t="s">
        <v>625</v>
      </c>
      <c r="H472" s="9" t="s">
        <v>540</v>
      </c>
      <c r="M472" s="6" t="n">
        <v>1176.78</v>
      </c>
      <c r="P472" s="46" t="n">
        <v>39387</v>
      </c>
      <c r="Q472" s="1" t="n">
        <f aca="false">IF(OR($A472="",P472=""),"",ROUND(YEARFRAC(P472,README!$C$5),1))</f>
        <v>18.8</v>
      </c>
      <c r="S472" s="6" t="n">
        <v>1050</v>
      </c>
      <c r="T472" s="6" t="n">
        <v>974</v>
      </c>
      <c r="U472" s="6" t="n">
        <v>1340</v>
      </c>
      <c r="V472" s="6" t="n">
        <v>366</v>
      </c>
      <c r="W472" s="6" t="n">
        <v>0.965</v>
      </c>
      <c r="X472" s="6" t="n">
        <v>1</v>
      </c>
      <c r="Z472" s="6" t="s">
        <v>1949</v>
      </c>
      <c r="AA472" s="9" t="s">
        <v>528</v>
      </c>
      <c r="AB472" s="6" t="s">
        <v>2013</v>
      </c>
      <c r="AE472" s="37" t="n">
        <f aca="false">COUNTIF(環境認証!$A$2:$A$849,A472)</f>
        <v>0</v>
      </c>
      <c r="AF472" s="6" t="n">
        <v>37.6</v>
      </c>
      <c r="AG472" s="6" t="n">
        <v>27.6</v>
      </c>
    </row>
    <row r="473" customFormat="false" ht="15" hidden="false" customHeight="true" outlineLevel="0" collapsed="false">
      <c r="A473" s="6" t="s">
        <v>2014</v>
      </c>
      <c r="B473" s="6" t="s">
        <v>463</v>
      </c>
      <c r="C473" s="9" t="s">
        <v>2015</v>
      </c>
      <c r="D473" s="9" t="s">
        <v>959</v>
      </c>
      <c r="E473" s="9" t="s">
        <v>523</v>
      </c>
      <c r="F473" s="9" t="s">
        <v>934</v>
      </c>
      <c r="H473" s="9" t="s">
        <v>540</v>
      </c>
      <c r="M473" s="6" t="n">
        <v>897.3</v>
      </c>
      <c r="P473" s="46" t="n">
        <v>39448</v>
      </c>
      <c r="Q473" s="1" t="n">
        <f aca="false">IF(OR($A473="",P473=""),"",ROUND(YEARFRAC(P473,README!$C$5),1))</f>
        <v>18.6</v>
      </c>
      <c r="S473" s="6" t="n">
        <v>698</v>
      </c>
      <c r="T473" s="6" t="n">
        <v>659</v>
      </c>
      <c r="U473" s="6" t="n">
        <v>904</v>
      </c>
      <c r="V473" s="6" t="n">
        <v>245</v>
      </c>
      <c r="W473" s="6" t="n">
        <v>1</v>
      </c>
      <c r="X473" s="6" t="n">
        <v>1</v>
      </c>
      <c r="Z473" s="6" t="s">
        <v>1949</v>
      </c>
      <c r="AA473" s="9" t="s">
        <v>528</v>
      </c>
      <c r="AB473" s="6" t="s">
        <v>2016</v>
      </c>
      <c r="AE473" s="37" t="n">
        <f aca="false">COUNTIF(環境認証!$A$2:$A$849,A473)</f>
        <v>0</v>
      </c>
      <c r="AF473" s="6" t="n">
        <v>37.2</v>
      </c>
      <c r="AG473" s="6" t="n">
        <v>29.5</v>
      </c>
    </row>
    <row r="474" customFormat="false" ht="15" hidden="false" customHeight="true" outlineLevel="0" collapsed="false">
      <c r="A474" s="6" t="s">
        <v>2017</v>
      </c>
      <c r="B474" s="6" t="s">
        <v>463</v>
      </c>
      <c r="C474" s="9" t="s">
        <v>2018</v>
      </c>
      <c r="D474" s="9" t="s">
        <v>959</v>
      </c>
      <c r="E474" s="9" t="s">
        <v>596</v>
      </c>
      <c r="F474" s="9" t="s">
        <v>1160</v>
      </c>
      <c r="H474" s="6" t="s">
        <v>599</v>
      </c>
      <c r="M474" s="6" t="n">
        <v>9106.08</v>
      </c>
      <c r="P474" s="46" t="n">
        <v>39387</v>
      </c>
      <c r="Q474" s="1" t="n">
        <f aca="false">IF(OR($A474="",P474=""),"",ROUND(YEARFRAC(P474,README!$C$5),1))</f>
        <v>18.8</v>
      </c>
      <c r="S474" s="6" t="n">
        <v>2400</v>
      </c>
      <c r="T474" s="6" t="n">
        <v>2038</v>
      </c>
      <c r="U474" s="6" t="n">
        <v>3070</v>
      </c>
      <c r="V474" s="6" t="n">
        <v>1032</v>
      </c>
      <c r="W474" s="6" t="n">
        <v>0.987</v>
      </c>
      <c r="X474" s="6" t="n">
        <v>1</v>
      </c>
      <c r="Z474" s="6" t="s">
        <v>1949</v>
      </c>
      <c r="AA474" s="9" t="s">
        <v>528</v>
      </c>
      <c r="AB474" s="6" t="s">
        <v>2019</v>
      </c>
      <c r="AE474" s="37" t="n">
        <f aca="false">COUNTIF(環境認証!$A$2:$A$849,A474)</f>
        <v>1</v>
      </c>
      <c r="AF474" s="6" t="n">
        <v>50.6</v>
      </c>
      <c r="AG474" s="6" t="n">
        <v>27.9</v>
      </c>
    </row>
    <row r="475" customFormat="false" ht="15" hidden="false" customHeight="true" outlineLevel="0" collapsed="false">
      <c r="A475" s="6" t="s">
        <v>2020</v>
      </c>
      <c r="B475" s="6" t="s">
        <v>463</v>
      </c>
      <c r="C475" s="9" t="s">
        <v>2021</v>
      </c>
      <c r="D475" s="9" t="s">
        <v>959</v>
      </c>
      <c r="E475" s="9" t="s">
        <v>523</v>
      </c>
      <c r="F475" s="9" t="s">
        <v>2022</v>
      </c>
      <c r="H475" s="9" t="s">
        <v>550</v>
      </c>
      <c r="M475" s="6" t="n">
        <v>3924.58</v>
      </c>
      <c r="P475" s="46" t="n">
        <v>39417</v>
      </c>
      <c r="Q475" s="1" t="n">
        <f aca="false">IF(OR($A475="",P475=""),"",ROUND(YEARFRAC(P475,README!$C$5),1))</f>
        <v>18.7</v>
      </c>
      <c r="S475" s="6" t="n">
        <v>1850</v>
      </c>
      <c r="T475" s="6" t="n">
        <v>1867</v>
      </c>
      <c r="U475" s="6" t="n">
        <v>2580</v>
      </c>
      <c r="V475" s="6" t="n">
        <v>713</v>
      </c>
      <c r="W475" s="6" t="n">
        <v>1</v>
      </c>
      <c r="X475" s="6" t="n">
        <v>1</v>
      </c>
      <c r="Z475" s="6" t="s">
        <v>1949</v>
      </c>
      <c r="AA475" s="9" t="s">
        <v>528</v>
      </c>
      <c r="AB475" s="6" t="s">
        <v>2023</v>
      </c>
      <c r="AE475" s="37" t="n">
        <f aca="false">COUNTIF(環境認証!$A$2:$A$849,A475)</f>
        <v>1</v>
      </c>
      <c r="AF475" s="6" t="n">
        <v>38.2</v>
      </c>
      <c r="AG475" s="6" t="n">
        <v>39.5</v>
      </c>
    </row>
    <row r="476" customFormat="false" ht="15" hidden="false" customHeight="true" outlineLevel="0" collapsed="false">
      <c r="A476" s="6" t="s">
        <v>2024</v>
      </c>
      <c r="B476" s="6" t="s">
        <v>463</v>
      </c>
      <c r="C476" s="9" t="s">
        <v>2025</v>
      </c>
      <c r="D476" s="9" t="s">
        <v>959</v>
      </c>
      <c r="H476" s="9" t="s">
        <v>611</v>
      </c>
      <c r="Q476" s="1" t="str">
        <f aca="false">IF(OR($A476="",P476=""),"",ROUND(YEARFRAC(P476,README!$C$5),1))</f>
        <v/>
      </c>
      <c r="V476" s="1" t="str">
        <f aca="false">IF($A476="","",IF(OR(T476="",U476=""),"",U476-T476))</f>
        <v/>
      </c>
      <c r="Z476" s="6" t="s">
        <v>1949</v>
      </c>
      <c r="AA476" s="9" t="s">
        <v>528</v>
      </c>
      <c r="AB476" s="6" t="s">
        <v>2026</v>
      </c>
      <c r="AE476" s="37" t="n">
        <f aca="false">COUNTIF(環境認証!$A$2:$A$849,A476)</f>
        <v>0</v>
      </c>
    </row>
    <row r="477" customFormat="false" ht="15" hidden="false" customHeight="true" outlineLevel="0" collapsed="false">
      <c r="A477" s="6" t="s">
        <v>2027</v>
      </c>
      <c r="B477" s="6" t="s">
        <v>463</v>
      </c>
      <c r="C477" s="9" t="s">
        <v>2028</v>
      </c>
      <c r="D477" s="9" t="s">
        <v>959</v>
      </c>
      <c r="E477" s="9" t="s">
        <v>567</v>
      </c>
      <c r="F477" s="9" t="s">
        <v>676</v>
      </c>
      <c r="H477" s="9" t="s">
        <v>569</v>
      </c>
      <c r="M477" s="6" t="n">
        <v>2163.98</v>
      </c>
      <c r="P477" s="46" t="n">
        <v>39022</v>
      </c>
      <c r="Q477" s="1" t="n">
        <f aca="false">IF(OR($A477="",P477=""),"",ROUND(YEARFRAC(P477,README!$C$5),1))</f>
        <v>19.8</v>
      </c>
      <c r="S477" s="6" t="n">
        <v>801</v>
      </c>
      <c r="T477" s="6" t="n">
        <v>776</v>
      </c>
      <c r="U477" s="6" t="n">
        <v>980</v>
      </c>
      <c r="V477" s="6" t="n">
        <v>204</v>
      </c>
      <c r="W477" s="6" t="n">
        <v>0.965</v>
      </c>
      <c r="X477" s="6" t="n">
        <v>1</v>
      </c>
      <c r="Z477" s="6" t="s">
        <v>1949</v>
      </c>
      <c r="AA477" s="9" t="s">
        <v>528</v>
      </c>
      <c r="AB477" s="6" t="s">
        <v>2029</v>
      </c>
      <c r="AE477" s="37" t="n">
        <f aca="false">COUNTIF(環境認証!$A$2:$A$849,A477)</f>
        <v>1</v>
      </c>
      <c r="AF477" s="6" t="n">
        <v>26.3</v>
      </c>
      <c r="AG477" s="6" t="n">
        <v>22.3</v>
      </c>
    </row>
    <row r="478" customFormat="false" ht="15" hidden="false" customHeight="true" outlineLevel="0" collapsed="false">
      <c r="A478" s="6" t="s">
        <v>2030</v>
      </c>
      <c r="B478" s="6" t="s">
        <v>463</v>
      </c>
      <c r="C478" s="9" t="s">
        <v>2031</v>
      </c>
      <c r="D478" s="9" t="s">
        <v>959</v>
      </c>
      <c r="E478" s="9" t="s">
        <v>523</v>
      </c>
      <c r="F478" s="9" t="s">
        <v>1462</v>
      </c>
      <c r="H478" s="9" t="s">
        <v>540</v>
      </c>
      <c r="M478" s="6" t="n">
        <v>894.64</v>
      </c>
      <c r="P478" s="46" t="n">
        <v>39448</v>
      </c>
      <c r="Q478" s="1" t="n">
        <f aca="false">IF(OR($A478="",P478=""),"",ROUND(YEARFRAC(P478,README!$C$5),1))</f>
        <v>18.6</v>
      </c>
      <c r="S478" s="6" t="n">
        <v>785</v>
      </c>
      <c r="T478" s="6" t="n">
        <v>738</v>
      </c>
      <c r="U478" s="6" t="n">
        <v>1010</v>
      </c>
      <c r="V478" s="6" t="n">
        <v>272</v>
      </c>
      <c r="W478" s="6" t="n">
        <v>0.94</v>
      </c>
      <c r="X478" s="6" t="n">
        <v>1</v>
      </c>
      <c r="Z478" s="6" t="s">
        <v>1949</v>
      </c>
      <c r="AA478" s="9" t="s">
        <v>528</v>
      </c>
      <c r="AB478" s="6" t="s">
        <v>2032</v>
      </c>
      <c r="AE478" s="37" t="n">
        <f aca="false">COUNTIF(環境認証!$A$2:$A$849,A478)</f>
        <v>1</v>
      </c>
      <c r="AF478" s="6" t="n">
        <v>36.9</v>
      </c>
      <c r="AG478" s="6" t="n">
        <v>28.7</v>
      </c>
    </row>
    <row r="479" customFormat="false" ht="15" hidden="false" customHeight="true" outlineLevel="0" collapsed="false">
      <c r="A479" s="6" t="s">
        <v>2033</v>
      </c>
      <c r="B479" s="6" t="s">
        <v>463</v>
      </c>
      <c r="C479" s="9" t="s">
        <v>2034</v>
      </c>
      <c r="D479" s="9" t="s">
        <v>959</v>
      </c>
      <c r="E479" s="9" t="s">
        <v>523</v>
      </c>
      <c r="F479" s="9" t="s">
        <v>1926</v>
      </c>
      <c r="H479" s="9" t="s">
        <v>540</v>
      </c>
      <c r="M479" s="6" t="n">
        <v>4036.66</v>
      </c>
      <c r="P479" s="46" t="n">
        <v>39508</v>
      </c>
      <c r="Q479" s="1" t="n">
        <f aca="false">IF(OR($A479="",P479=""),"",ROUND(YEARFRAC(P479,README!$C$5),1))</f>
        <v>18.4</v>
      </c>
      <c r="S479" s="6" t="n">
        <v>2560</v>
      </c>
      <c r="T479" s="6" t="n">
        <v>2335</v>
      </c>
      <c r="U479" s="6" t="n">
        <v>3190</v>
      </c>
      <c r="V479" s="6" t="n">
        <v>855</v>
      </c>
      <c r="W479" s="6" t="n">
        <v>0.983</v>
      </c>
      <c r="X479" s="6" t="n">
        <v>1</v>
      </c>
      <c r="Z479" s="6" t="s">
        <v>1949</v>
      </c>
      <c r="AA479" s="9" t="s">
        <v>528</v>
      </c>
      <c r="AB479" s="6" t="s">
        <v>2035</v>
      </c>
      <c r="AE479" s="37" t="n">
        <f aca="false">COUNTIF(環境認証!$A$2:$A$849,A479)</f>
        <v>1</v>
      </c>
      <c r="AF479" s="6" t="n">
        <v>36.6</v>
      </c>
      <c r="AG479" s="6" t="n">
        <v>24.6</v>
      </c>
    </row>
    <row r="480" customFormat="false" ht="15" hidden="false" customHeight="true" outlineLevel="0" collapsed="false">
      <c r="A480" s="6" t="s">
        <v>2036</v>
      </c>
      <c r="B480" s="6" t="s">
        <v>463</v>
      </c>
      <c r="C480" s="9" t="s">
        <v>2037</v>
      </c>
      <c r="D480" s="9" t="s">
        <v>959</v>
      </c>
      <c r="E480" s="9" t="s">
        <v>596</v>
      </c>
      <c r="F480" s="9" t="s">
        <v>1160</v>
      </c>
      <c r="H480" s="6" t="s">
        <v>599</v>
      </c>
      <c r="M480" s="6" t="n">
        <v>9614.8</v>
      </c>
      <c r="P480" s="46" t="n">
        <v>38353</v>
      </c>
      <c r="Q480" s="1" t="n">
        <f aca="false">IF(OR($A480="",P480=""),"",ROUND(YEARFRAC(P480,README!$C$5),1))</f>
        <v>21.6</v>
      </c>
      <c r="S480" s="6" t="n">
        <v>2360</v>
      </c>
      <c r="T480" s="6" t="n">
        <v>2132</v>
      </c>
      <c r="U480" s="6" t="n">
        <v>2640</v>
      </c>
      <c r="V480" s="6" t="n">
        <v>508</v>
      </c>
      <c r="W480" s="6" t="n">
        <v>0.993</v>
      </c>
      <c r="X480" s="6" t="n">
        <v>1</v>
      </c>
      <c r="Z480" s="6" t="s">
        <v>1949</v>
      </c>
      <c r="AA480" s="9" t="s">
        <v>528</v>
      </c>
      <c r="AB480" s="6" t="s">
        <v>2038</v>
      </c>
      <c r="AE480" s="37" t="n">
        <f aca="false">COUNTIF(環境認証!$A$2:$A$849,A480)</f>
        <v>1</v>
      </c>
      <c r="AF480" s="6" t="n">
        <v>23.8</v>
      </c>
      <c r="AG480" s="6" t="n">
        <v>11.9</v>
      </c>
    </row>
    <row r="481" customFormat="false" ht="15" hidden="false" customHeight="true" outlineLevel="0" collapsed="false">
      <c r="A481" s="6" t="s">
        <v>2039</v>
      </c>
      <c r="B481" s="6" t="s">
        <v>463</v>
      </c>
      <c r="C481" s="9" t="s">
        <v>2040</v>
      </c>
      <c r="D481" s="9" t="s">
        <v>959</v>
      </c>
      <c r="H481" s="9" t="s">
        <v>611</v>
      </c>
      <c r="Q481" s="1" t="str">
        <f aca="false">IF(OR($A481="",P481=""),"",ROUND(YEARFRAC(P481,README!$C$5),1))</f>
        <v/>
      </c>
      <c r="V481" s="1" t="str">
        <f aca="false">IF($A481="","",IF(OR(T481="",U481=""),"",U481-T481))</f>
        <v/>
      </c>
      <c r="Z481" s="6" t="s">
        <v>1949</v>
      </c>
      <c r="AA481" s="9" t="s">
        <v>528</v>
      </c>
      <c r="AB481" s="6" t="s">
        <v>2041</v>
      </c>
      <c r="AE481" s="37" t="n">
        <f aca="false">COUNTIF(環境認証!$A$2:$A$849,A481)</f>
        <v>0</v>
      </c>
    </row>
    <row r="482" customFormat="false" ht="15" hidden="false" customHeight="true" outlineLevel="0" collapsed="false">
      <c r="A482" s="6" t="s">
        <v>2042</v>
      </c>
      <c r="B482" s="6" t="s">
        <v>463</v>
      </c>
      <c r="C482" s="9" t="s">
        <v>2043</v>
      </c>
      <c r="D482" s="9" t="s">
        <v>959</v>
      </c>
      <c r="E482" s="9" t="s">
        <v>523</v>
      </c>
      <c r="F482" s="9" t="s">
        <v>2044</v>
      </c>
      <c r="H482" s="9" t="s">
        <v>550</v>
      </c>
      <c r="M482" s="6" t="n">
        <v>2275.24</v>
      </c>
      <c r="P482" s="46" t="n">
        <v>38384</v>
      </c>
      <c r="Q482" s="1" t="n">
        <f aca="false">IF(OR($A482="",P482=""),"",ROUND(YEARFRAC(P482,README!$C$5),1))</f>
        <v>21.5</v>
      </c>
      <c r="S482" s="6" t="n">
        <v>1790</v>
      </c>
      <c r="T482" s="6" t="n">
        <v>1705</v>
      </c>
      <c r="U482" s="6" t="n">
        <v>2310</v>
      </c>
      <c r="V482" s="6" t="n">
        <v>605</v>
      </c>
      <c r="W482" s="6" t="n">
        <v>0.912</v>
      </c>
      <c r="X482" s="6" t="n">
        <v>1</v>
      </c>
      <c r="Z482" s="6" t="s">
        <v>1949</v>
      </c>
      <c r="AA482" s="9" t="s">
        <v>528</v>
      </c>
      <c r="AB482" s="6" t="s">
        <v>2045</v>
      </c>
      <c r="AE482" s="37" t="n">
        <f aca="false">COUNTIF(環境認証!$A$2:$A$849,A482)</f>
        <v>1</v>
      </c>
      <c r="AF482" s="6" t="n">
        <v>35.5</v>
      </c>
      <c r="AG482" s="6" t="n">
        <v>29.1</v>
      </c>
    </row>
    <row r="483" customFormat="false" ht="15" hidden="false" customHeight="true" outlineLevel="0" collapsed="false">
      <c r="A483" s="6" t="s">
        <v>2046</v>
      </c>
      <c r="B483" s="6" t="s">
        <v>463</v>
      </c>
      <c r="C483" s="9" t="s">
        <v>2047</v>
      </c>
      <c r="D483" s="9" t="s">
        <v>959</v>
      </c>
      <c r="E483" s="9" t="s">
        <v>567</v>
      </c>
      <c r="F483" s="9" t="s">
        <v>676</v>
      </c>
      <c r="H483" s="9" t="s">
        <v>569</v>
      </c>
      <c r="M483" s="6" t="n">
        <v>4427.65</v>
      </c>
      <c r="P483" s="46" t="n">
        <v>39722</v>
      </c>
      <c r="Q483" s="1" t="n">
        <f aca="false">IF(OR($A483="",P483=""),"",ROUND(YEARFRAC(P483,README!$C$5),1))</f>
        <v>17.9</v>
      </c>
      <c r="S483" s="6" t="n">
        <v>1950</v>
      </c>
      <c r="T483" s="6" t="n">
        <v>1831</v>
      </c>
      <c r="U483" s="6" t="n">
        <v>2300</v>
      </c>
      <c r="V483" s="6" t="n">
        <v>469</v>
      </c>
      <c r="W483" s="6" t="n">
        <v>0.934</v>
      </c>
      <c r="X483" s="6" t="n">
        <v>1</v>
      </c>
      <c r="Z483" s="6" t="s">
        <v>1949</v>
      </c>
      <c r="AA483" s="9" t="s">
        <v>528</v>
      </c>
      <c r="AB483" s="6" t="s">
        <v>2048</v>
      </c>
      <c r="AE483" s="37" t="n">
        <f aca="false">COUNTIF(環境認証!$A$2:$A$849,A483)</f>
        <v>1</v>
      </c>
      <c r="AF483" s="6" t="n">
        <v>25.6</v>
      </c>
      <c r="AG483" s="6" t="n">
        <v>17.9</v>
      </c>
    </row>
    <row r="484" customFormat="false" ht="15" hidden="false" customHeight="true" outlineLevel="0" collapsed="false">
      <c r="A484" s="6" t="s">
        <v>2049</v>
      </c>
      <c r="B484" s="6" t="s">
        <v>463</v>
      </c>
      <c r="C484" s="9" t="s">
        <v>2050</v>
      </c>
      <c r="D484" s="9" t="s">
        <v>959</v>
      </c>
      <c r="E484" s="9" t="s">
        <v>573</v>
      </c>
      <c r="F484" s="9" t="s">
        <v>680</v>
      </c>
      <c r="H484" s="9" t="s">
        <v>569</v>
      </c>
      <c r="M484" s="6" t="n">
        <v>2040.35</v>
      </c>
      <c r="P484" s="46" t="n">
        <v>39114</v>
      </c>
      <c r="Q484" s="1" t="n">
        <f aca="false">IF(OR($A484="",P484=""),"",ROUND(YEARFRAC(P484,README!$C$5),1))</f>
        <v>19.5</v>
      </c>
      <c r="S484" s="6" t="n">
        <v>909</v>
      </c>
      <c r="T484" s="6" t="n">
        <v>874</v>
      </c>
      <c r="U484" s="6" t="n">
        <v>1200</v>
      </c>
      <c r="V484" s="6" t="n">
        <v>326</v>
      </c>
      <c r="W484" s="6" t="n">
        <v>1</v>
      </c>
      <c r="X484" s="6" t="n">
        <v>1</v>
      </c>
      <c r="Z484" s="6" t="s">
        <v>1949</v>
      </c>
      <c r="AA484" s="9" t="s">
        <v>528</v>
      </c>
      <c r="AB484" s="6" t="s">
        <v>2051</v>
      </c>
      <c r="AE484" s="37" t="n">
        <f aca="false">COUNTIF(環境認証!$A$2:$A$849,A484)</f>
        <v>1</v>
      </c>
      <c r="AF484" s="6" t="n">
        <v>37.3</v>
      </c>
      <c r="AG484" s="6" t="n">
        <v>32</v>
      </c>
    </row>
    <row r="485" customFormat="false" ht="15" hidden="false" customHeight="true" outlineLevel="0" collapsed="false">
      <c r="A485" s="6" t="s">
        <v>2052</v>
      </c>
      <c r="B485" s="6" t="s">
        <v>463</v>
      </c>
      <c r="C485" s="9" t="s">
        <v>2053</v>
      </c>
      <c r="D485" s="9" t="s">
        <v>959</v>
      </c>
      <c r="E485" s="9" t="s">
        <v>573</v>
      </c>
      <c r="F485" s="9" t="s">
        <v>680</v>
      </c>
      <c r="H485" s="9" t="s">
        <v>569</v>
      </c>
      <c r="M485" s="6" t="n">
        <v>1798.97</v>
      </c>
      <c r="P485" s="46" t="n">
        <v>38869</v>
      </c>
      <c r="Q485" s="1" t="n">
        <f aca="false">IF(OR($A485="",P485=""),"",ROUND(YEARFRAC(P485,README!$C$5),1))</f>
        <v>20.2</v>
      </c>
      <c r="S485" s="6" t="n">
        <v>601</v>
      </c>
      <c r="T485" s="6" t="n">
        <v>577</v>
      </c>
      <c r="U485" s="6" t="n">
        <v>760</v>
      </c>
      <c r="V485" s="6" t="n">
        <v>183</v>
      </c>
      <c r="W485" s="6" t="n">
        <v>0.927</v>
      </c>
      <c r="X485" s="6" t="n">
        <v>1</v>
      </c>
      <c r="Z485" s="6" t="s">
        <v>1949</v>
      </c>
      <c r="AA485" s="9" t="s">
        <v>528</v>
      </c>
      <c r="AB485" s="6" t="s">
        <v>2054</v>
      </c>
      <c r="AE485" s="37" t="n">
        <f aca="false">COUNTIF(環境認証!$A$2:$A$849,A485)</f>
        <v>1</v>
      </c>
      <c r="AF485" s="6" t="n">
        <v>31.7</v>
      </c>
      <c r="AG485" s="6" t="n">
        <v>26.5</v>
      </c>
    </row>
    <row r="486" customFormat="false" ht="15" hidden="false" customHeight="true" outlineLevel="0" collapsed="false">
      <c r="A486" s="6" t="s">
        <v>2055</v>
      </c>
      <c r="B486" s="6" t="s">
        <v>463</v>
      </c>
      <c r="C486" s="9" t="s">
        <v>2056</v>
      </c>
      <c r="D486" s="9" t="s">
        <v>959</v>
      </c>
      <c r="E486" s="9" t="s">
        <v>596</v>
      </c>
      <c r="F486" s="9" t="s">
        <v>1160</v>
      </c>
      <c r="H486" s="6" t="s">
        <v>599</v>
      </c>
      <c r="M486" s="6" t="n">
        <v>7514.76</v>
      </c>
      <c r="P486" s="46" t="n">
        <v>35096</v>
      </c>
      <c r="Q486" s="1" t="n">
        <f aca="false">IF(OR($A486="",P486=""),"",ROUND(YEARFRAC(P486,README!$C$5),1))</f>
        <v>30.5</v>
      </c>
      <c r="S486" s="6" t="n">
        <v>1940</v>
      </c>
      <c r="T486" s="6" t="n">
        <v>1950</v>
      </c>
      <c r="U486" s="6" t="n">
        <v>2390</v>
      </c>
      <c r="V486" s="6" t="n">
        <v>440</v>
      </c>
      <c r="W486" s="6" t="n">
        <v>1</v>
      </c>
      <c r="X486" s="6" t="n">
        <v>1</v>
      </c>
      <c r="Z486" s="6" t="s">
        <v>1949</v>
      </c>
      <c r="AA486" s="9" t="s">
        <v>528</v>
      </c>
      <c r="AB486" s="6" t="s">
        <v>2057</v>
      </c>
      <c r="AE486" s="37" t="n">
        <f aca="false">COUNTIF(環境認証!$A$2:$A$849,A486)</f>
        <v>1</v>
      </c>
      <c r="AF486" s="6" t="n">
        <v>22.6</v>
      </c>
      <c r="AG486" s="6" t="n">
        <v>23.2</v>
      </c>
    </row>
    <row r="487" customFormat="false" ht="15" hidden="false" customHeight="true" outlineLevel="0" collapsed="false">
      <c r="A487" s="6" t="s">
        <v>2058</v>
      </c>
      <c r="B487" s="6" t="s">
        <v>463</v>
      </c>
      <c r="C487" s="9" t="s">
        <v>2059</v>
      </c>
      <c r="D487" s="9" t="s">
        <v>959</v>
      </c>
      <c r="E487" s="9" t="s">
        <v>523</v>
      </c>
      <c r="F487" s="9" t="s">
        <v>539</v>
      </c>
      <c r="H487" s="9" t="s">
        <v>540</v>
      </c>
      <c r="M487" s="6" t="n">
        <v>2324.65</v>
      </c>
      <c r="P487" s="46" t="n">
        <v>38749</v>
      </c>
      <c r="Q487" s="1" t="n">
        <f aca="false">IF(OR($A487="",P487=""),"",ROUND(YEARFRAC(P487,README!$C$5),1))</f>
        <v>20.5</v>
      </c>
      <c r="S487" s="6" t="n">
        <v>1930</v>
      </c>
      <c r="T487" s="6" t="n">
        <v>1807</v>
      </c>
      <c r="U487" s="6" t="n">
        <v>2360</v>
      </c>
      <c r="V487" s="6" t="n">
        <v>553</v>
      </c>
      <c r="W487" s="6" t="n">
        <v>1</v>
      </c>
      <c r="X487" s="6" t="n">
        <v>1</v>
      </c>
      <c r="Z487" s="6" t="s">
        <v>1949</v>
      </c>
      <c r="AA487" s="9" t="s">
        <v>528</v>
      </c>
      <c r="AB487" s="6" t="s">
        <v>2060</v>
      </c>
      <c r="AE487" s="37" t="n">
        <f aca="false">COUNTIF(環境認証!$A$2:$A$849,A487)</f>
        <v>0</v>
      </c>
      <c r="AF487" s="6" t="n">
        <v>30.6</v>
      </c>
      <c r="AG487" s="6" t="n">
        <v>22.3</v>
      </c>
    </row>
    <row r="488" customFormat="false" ht="15" hidden="false" customHeight="true" outlineLevel="0" collapsed="false">
      <c r="A488" s="6" t="s">
        <v>2061</v>
      </c>
      <c r="B488" s="6" t="s">
        <v>463</v>
      </c>
      <c r="C488" s="9" t="s">
        <v>2062</v>
      </c>
      <c r="D488" s="9" t="s">
        <v>959</v>
      </c>
      <c r="E488" s="9" t="s">
        <v>523</v>
      </c>
      <c r="F488" s="9" t="s">
        <v>648</v>
      </c>
      <c r="H488" s="9" t="s">
        <v>525</v>
      </c>
      <c r="M488" s="6" t="n">
        <v>3701.7</v>
      </c>
      <c r="P488" s="46" t="n">
        <v>38231</v>
      </c>
      <c r="Q488" s="1" t="n">
        <f aca="false">IF(OR($A488="",P488=""),"",ROUND(YEARFRAC(P488,README!$C$5),1))</f>
        <v>21.9</v>
      </c>
      <c r="S488" s="6" t="n">
        <v>3340</v>
      </c>
      <c r="T488" s="6" t="n">
        <v>3310</v>
      </c>
      <c r="U488" s="6" t="n">
        <v>3930</v>
      </c>
      <c r="V488" s="6" t="n">
        <v>620</v>
      </c>
      <c r="W488" s="6" t="n">
        <v>0.955</v>
      </c>
      <c r="X488" s="6" t="n">
        <v>1</v>
      </c>
      <c r="Z488" s="6" t="s">
        <v>1949</v>
      </c>
      <c r="AA488" s="9" t="s">
        <v>528</v>
      </c>
      <c r="AB488" s="6" t="s">
        <v>2063</v>
      </c>
      <c r="AE488" s="37" t="n">
        <f aca="false">COUNTIF(環境認証!$A$2:$A$849,A488)</f>
        <v>1</v>
      </c>
      <c r="AF488" s="6" t="n">
        <v>18.7</v>
      </c>
      <c r="AG488" s="6" t="n">
        <v>17.7</v>
      </c>
    </row>
    <row r="489" customFormat="false" ht="15" hidden="false" customHeight="true" outlineLevel="0" collapsed="false">
      <c r="A489" s="6" t="s">
        <v>2064</v>
      </c>
      <c r="B489" s="6" t="s">
        <v>463</v>
      </c>
      <c r="C489" s="9" t="s">
        <v>2065</v>
      </c>
      <c r="D489" s="9" t="s">
        <v>959</v>
      </c>
      <c r="E489" s="9" t="s">
        <v>523</v>
      </c>
      <c r="F489" s="9" t="s">
        <v>666</v>
      </c>
      <c r="H489" s="9" t="s">
        <v>525</v>
      </c>
      <c r="M489" s="6" t="n">
        <v>6177.2</v>
      </c>
      <c r="P489" s="46" t="n">
        <v>38749</v>
      </c>
      <c r="Q489" s="1" t="n">
        <f aca="false">IF(OR($A489="",P489=""),"",ROUND(YEARFRAC(P489,README!$C$5),1))</f>
        <v>20.5</v>
      </c>
      <c r="S489" s="6" t="n">
        <v>6250</v>
      </c>
      <c r="T489" s="6" t="n">
        <v>6003</v>
      </c>
      <c r="U489" s="6" t="n">
        <v>7780</v>
      </c>
      <c r="V489" s="6" t="n">
        <v>1777</v>
      </c>
      <c r="W489" s="6" t="n">
        <v>0.972</v>
      </c>
      <c r="X489" s="6" t="n">
        <v>1</v>
      </c>
      <c r="Z489" s="6" t="s">
        <v>1949</v>
      </c>
      <c r="AA489" s="9" t="s">
        <v>528</v>
      </c>
      <c r="AB489" s="6" t="s">
        <v>2066</v>
      </c>
      <c r="AE489" s="37" t="n">
        <f aca="false">COUNTIF(環境認証!$A$2:$A$849,A489)</f>
        <v>1</v>
      </c>
      <c r="AF489" s="6" t="n">
        <v>29.6</v>
      </c>
      <c r="AG489" s="6" t="n">
        <v>24.5</v>
      </c>
    </row>
    <row r="490" customFormat="false" ht="15" hidden="false" customHeight="true" outlineLevel="0" collapsed="false">
      <c r="A490" s="6" t="s">
        <v>2067</v>
      </c>
      <c r="B490" s="6" t="s">
        <v>463</v>
      </c>
      <c r="C490" s="9" t="s">
        <v>2068</v>
      </c>
      <c r="D490" s="9" t="s">
        <v>959</v>
      </c>
      <c r="E490" s="9" t="s">
        <v>567</v>
      </c>
      <c r="F490" s="9" t="s">
        <v>676</v>
      </c>
      <c r="H490" s="9" t="s">
        <v>569</v>
      </c>
      <c r="M490" s="6" t="n">
        <v>2016.79</v>
      </c>
      <c r="P490" s="46" t="n">
        <v>39661</v>
      </c>
      <c r="Q490" s="1" t="n">
        <f aca="false">IF(OR($A490="",P490=""),"",ROUND(YEARFRAC(P490,README!$C$5),1))</f>
        <v>18</v>
      </c>
      <c r="S490" s="6" t="n">
        <v>1050</v>
      </c>
      <c r="T490" s="6" t="n">
        <v>997</v>
      </c>
      <c r="U490" s="6" t="n">
        <v>1180</v>
      </c>
      <c r="V490" s="6" t="n">
        <v>183</v>
      </c>
      <c r="W490" s="6" t="n">
        <v>1</v>
      </c>
      <c r="X490" s="6" t="n">
        <v>1</v>
      </c>
      <c r="Z490" s="6" t="s">
        <v>1949</v>
      </c>
      <c r="AA490" s="9" t="s">
        <v>528</v>
      </c>
      <c r="AB490" s="6" t="s">
        <v>2069</v>
      </c>
      <c r="AE490" s="37" t="n">
        <f aca="false">COUNTIF(環境認証!$A$2:$A$849,A490)</f>
        <v>1</v>
      </c>
      <c r="AF490" s="6" t="n">
        <v>18.4</v>
      </c>
      <c r="AG490" s="6" t="n">
        <v>12.4</v>
      </c>
    </row>
    <row r="491" customFormat="false" ht="15" hidden="false" customHeight="true" outlineLevel="0" collapsed="false">
      <c r="A491" s="6" t="s">
        <v>2070</v>
      </c>
      <c r="B491" s="6" t="s">
        <v>463</v>
      </c>
      <c r="C491" s="9" t="s">
        <v>2071</v>
      </c>
      <c r="D491" s="9" t="s">
        <v>959</v>
      </c>
      <c r="E491" s="9" t="s">
        <v>567</v>
      </c>
      <c r="F491" s="9" t="s">
        <v>676</v>
      </c>
      <c r="H491" s="9" t="s">
        <v>569</v>
      </c>
      <c r="M491" s="6" t="n">
        <v>2168.59</v>
      </c>
      <c r="P491" s="46" t="n">
        <v>39264</v>
      </c>
      <c r="Q491" s="1" t="n">
        <f aca="false">IF(OR($A491="",P491=""),"",ROUND(YEARFRAC(P491,README!$C$5),1))</f>
        <v>19.1</v>
      </c>
      <c r="S491" s="6" t="n">
        <v>812</v>
      </c>
      <c r="T491" s="6" t="n">
        <v>807</v>
      </c>
      <c r="U491" s="6" t="n">
        <v>968</v>
      </c>
      <c r="V491" s="6" t="n">
        <v>161</v>
      </c>
      <c r="W491" s="6" t="n">
        <v>1</v>
      </c>
      <c r="X491" s="6" t="n">
        <v>1</v>
      </c>
      <c r="Z491" s="6" t="s">
        <v>1949</v>
      </c>
      <c r="AA491" s="9" t="s">
        <v>528</v>
      </c>
      <c r="AB491" s="6" t="s">
        <v>2072</v>
      </c>
      <c r="AE491" s="37" t="n">
        <f aca="false">COUNTIF(環境認証!$A$2:$A$849,A491)</f>
        <v>1</v>
      </c>
      <c r="AF491" s="6" t="n">
        <v>20</v>
      </c>
      <c r="AG491" s="6" t="n">
        <v>19.2</v>
      </c>
    </row>
    <row r="492" customFormat="false" ht="15" hidden="false" customHeight="true" outlineLevel="0" collapsed="false">
      <c r="A492" s="6" t="s">
        <v>2073</v>
      </c>
      <c r="B492" s="6" t="s">
        <v>463</v>
      </c>
      <c r="C492" s="9" t="s">
        <v>2074</v>
      </c>
      <c r="D492" s="9" t="s">
        <v>959</v>
      </c>
      <c r="E492" s="9" t="s">
        <v>596</v>
      </c>
      <c r="F492" s="9" t="s">
        <v>1160</v>
      </c>
      <c r="H492" s="6" t="s">
        <v>599</v>
      </c>
      <c r="M492" s="6" t="n">
        <v>6728.2</v>
      </c>
      <c r="P492" s="46" t="n">
        <v>38565</v>
      </c>
      <c r="Q492" s="1" t="n">
        <f aca="false">IF(OR($A492="",P492=""),"",ROUND(YEARFRAC(P492,README!$C$5),1))</f>
        <v>21</v>
      </c>
      <c r="S492" s="6" t="n">
        <v>1260</v>
      </c>
      <c r="T492" s="6" t="n">
        <v>1113</v>
      </c>
      <c r="U492" s="6" t="n">
        <v>1380</v>
      </c>
      <c r="V492" s="6" t="n">
        <v>267</v>
      </c>
      <c r="W492" s="6" t="n">
        <v>1</v>
      </c>
      <c r="X492" s="6" t="n">
        <v>1</v>
      </c>
      <c r="Z492" s="6" t="s">
        <v>1949</v>
      </c>
      <c r="AA492" s="9" t="s">
        <v>528</v>
      </c>
      <c r="AB492" s="6" t="s">
        <v>2075</v>
      </c>
      <c r="AE492" s="37" t="n">
        <f aca="false">COUNTIF(環境認証!$A$2:$A$849,A492)</f>
        <v>1</v>
      </c>
      <c r="AF492" s="6" t="n">
        <v>24</v>
      </c>
      <c r="AG492" s="6" t="n">
        <v>9.5</v>
      </c>
    </row>
    <row r="493" customFormat="false" ht="15" hidden="false" customHeight="true" outlineLevel="0" collapsed="false">
      <c r="A493" s="6" t="s">
        <v>2076</v>
      </c>
      <c r="B493" s="6" t="s">
        <v>463</v>
      </c>
      <c r="C493" s="9" t="s">
        <v>2077</v>
      </c>
      <c r="D493" s="9" t="s">
        <v>959</v>
      </c>
      <c r="H493" s="9" t="s">
        <v>611</v>
      </c>
      <c r="Q493" s="1" t="str">
        <f aca="false">IF(OR($A493="",P493=""),"",ROUND(YEARFRAC(P493,README!$C$5),1))</f>
        <v/>
      </c>
      <c r="V493" s="1" t="str">
        <f aca="false">IF($A493="","",IF(OR(T493="",U493=""),"",U493-T493))</f>
        <v/>
      </c>
      <c r="Z493" s="6" t="s">
        <v>1949</v>
      </c>
      <c r="AA493" s="9" t="s">
        <v>528</v>
      </c>
      <c r="AB493" s="6" t="s">
        <v>2078</v>
      </c>
      <c r="AE493" s="37" t="n">
        <f aca="false">COUNTIF(環境認証!$A$2:$A$849,A493)</f>
        <v>0</v>
      </c>
    </row>
    <row r="494" customFormat="false" ht="15" hidden="false" customHeight="true" outlineLevel="0" collapsed="false">
      <c r="A494" s="6" t="s">
        <v>2079</v>
      </c>
      <c r="B494" s="6" t="s">
        <v>463</v>
      </c>
      <c r="C494" s="9" t="s">
        <v>2080</v>
      </c>
      <c r="D494" s="9" t="s">
        <v>959</v>
      </c>
      <c r="E494" s="9" t="s">
        <v>523</v>
      </c>
      <c r="F494" s="9" t="s">
        <v>934</v>
      </c>
      <c r="H494" s="9" t="s">
        <v>540</v>
      </c>
      <c r="M494" s="6" t="n">
        <v>1498.13</v>
      </c>
      <c r="P494" s="46" t="n">
        <v>40026</v>
      </c>
      <c r="Q494" s="1" t="n">
        <f aca="false">IF(OR($A494="",P494=""),"",ROUND(YEARFRAC(P494,README!$C$5),1))</f>
        <v>17</v>
      </c>
      <c r="S494" s="6" t="n">
        <v>1360</v>
      </c>
      <c r="T494" s="6" t="n">
        <v>1295</v>
      </c>
      <c r="U494" s="6" t="n">
        <v>1650</v>
      </c>
      <c r="V494" s="6" t="n">
        <v>355</v>
      </c>
      <c r="W494" s="6" t="n">
        <v>1</v>
      </c>
      <c r="X494" s="6" t="n">
        <v>1</v>
      </c>
      <c r="Z494" s="6" t="s">
        <v>1949</v>
      </c>
      <c r="AA494" s="9" t="s">
        <v>528</v>
      </c>
      <c r="AB494" s="6" t="s">
        <v>2081</v>
      </c>
      <c r="AE494" s="37" t="n">
        <f aca="false">COUNTIF(環境認証!$A$2:$A$849,A494)</f>
        <v>1</v>
      </c>
      <c r="AF494" s="6" t="n">
        <v>27.4</v>
      </c>
      <c r="AG494" s="6" t="n">
        <v>21.3</v>
      </c>
    </row>
    <row r="495" customFormat="false" ht="15" hidden="false" customHeight="true" outlineLevel="0" collapsed="false">
      <c r="A495" s="6" t="s">
        <v>2082</v>
      </c>
      <c r="B495" s="6" t="s">
        <v>463</v>
      </c>
      <c r="C495" s="9" t="s">
        <v>2083</v>
      </c>
      <c r="D495" s="9" t="s">
        <v>959</v>
      </c>
      <c r="E495" s="9" t="s">
        <v>523</v>
      </c>
      <c r="F495" s="9" t="s">
        <v>1462</v>
      </c>
      <c r="H495" s="9" t="s">
        <v>540</v>
      </c>
      <c r="M495" s="6" t="n">
        <v>2352.9</v>
      </c>
      <c r="P495" s="46" t="n">
        <v>40210</v>
      </c>
      <c r="Q495" s="1" t="n">
        <f aca="false">IF(OR($A495="",P495=""),"",ROUND(YEARFRAC(P495,README!$C$5),1))</f>
        <v>16.5</v>
      </c>
      <c r="S495" s="6" t="n">
        <v>2270</v>
      </c>
      <c r="T495" s="6" t="n">
        <v>2274</v>
      </c>
      <c r="U495" s="6" t="n">
        <v>2730</v>
      </c>
      <c r="V495" s="6" t="n">
        <v>456</v>
      </c>
      <c r="W495" s="6" t="n">
        <v>0.978</v>
      </c>
      <c r="X495" s="6" t="n">
        <v>1</v>
      </c>
      <c r="Z495" s="6" t="s">
        <v>1949</v>
      </c>
      <c r="AA495" s="9" t="s">
        <v>528</v>
      </c>
      <c r="AB495" s="6" t="s">
        <v>2084</v>
      </c>
      <c r="AE495" s="37" t="n">
        <f aca="false">COUNTIF(環境認証!$A$2:$A$849,A495)</f>
        <v>1</v>
      </c>
      <c r="AF495" s="6" t="n">
        <v>20.1</v>
      </c>
      <c r="AG495" s="6" t="n">
        <v>20.3</v>
      </c>
    </row>
    <row r="496" customFormat="false" ht="15" hidden="false" customHeight="true" outlineLevel="0" collapsed="false">
      <c r="A496" s="6" t="s">
        <v>2085</v>
      </c>
      <c r="B496" s="6" t="s">
        <v>463</v>
      </c>
      <c r="C496" s="9" t="s">
        <v>2086</v>
      </c>
      <c r="D496" s="9" t="s">
        <v>959</v>
      </c>
      <c r="E496" s="9" t="s">
        <v>523</v>
      </c>
      <c r="F496" s="9" t="s">
        <v>625</v>
      </c>
      <c r="H496" s="9" t="s">
        <v>540</v>
      </c>
      <c r="M496" s="6" t="n">
        <v>1943.17</v>
      </c>
      <c r="P496" s="46" t="n">
        <v>39965</v>
      </c>
      <c r="Q496" s="1" t="n">
        <f aca="false">IF(OR($A496="",P496=""),"",ROUND(YEARFRAC(P496,README!$C$5),1))</f>
        <v>17.2</v>
      </c>
      <c r="S496" s="6" t="n">
        <v>1770</v>
      </c>
      <c r="T496" s="6" t="n">
        <v>1658</v>
      </c>
      <c r="U496" s="6" t="n">
        <v>2310</v>
      </c>
      <c r="V496" s="6" t="n">
        <v>652</v>
      </c>
      <c r="W496" s="6" t="n">
        <v>0.928</v>
      </c>
      <c r="X496" s="6" t="n">
        <v>1</v>
      </c>
      <c r="Z496" s="6" t="s">
        <v>1949</v>
      </c>
      <c r="AA496" s="9" t="s">
        <v>528</v>
      </c>
      <c r="AB496" s="6" t="s">
        <v>2087</v>
      </c>
      <c r="AE496" s="37" t="n">
        <f aca="false">COUNTIF(環境認証!$A$2:$A$849,A496)</f>
        <v>1</v>
      </c>
      <c r="AF496" s="6" t="n">
        <v>39.3</v>
      </c>
      <c r="AG496" s="6" t="n">
        <v>30.5</v>
      </c>
    </row>
    <row r="497" customFormat="false" ht="15" hidden="false" customHeight="true" outlineLevel="0" collapsed="false">
      <c r="A497" s="6" t="s">
        <v>2088</v>
      </c>
      <c r="B497" s="6" t="s">
        <v>463</v>
      </c>
      <c r="C497" s="9" t="s">
        <v>2089</v>
      </c>
      <c r="D497" s="9" t="s">
        <v>959</v>
      </c>
      <c r="E497" s="9" t="s">
        <v>573</v>
      </c>
      <c r="F497" s="9" t="s">
        <v>680</v>
      </c>
      <c r="H497" s="9" t="s">
        <v>569</v>
      </c>
      <c r="M497" s="6" t="n">
        <v>2877.9</v>
      </c>
      <c r="P497" s="46" t="n">
        <v>39387</v>
      </c>
      <c r="Q497" s="1" t="n">
        <f aca="false">IF(OR($A497="",P497=""),"",ROUND(YEARFRAC(P497,README!$C$5),1))</f>
        <v>18.8</v>
      </c>
      <c r="S497" s="6" t="n">
        <v>1680</v>
      </c>
      <c r="T497" s="6" t="n">
        <v>1534</v>
      </c>
      <c r="U497" s="6" t="n">
        <v>1830</v>
      </c>
      <c r="V497" s="6" t="n">
        <v>296</v>
      </c>
      <c r="W497" s="6" t="n">
        <v>0.955</v>
      </c>
      <c r="X497" s="6" t="n">
        <v>1</v>
      </c>
      <c r="Z497" s="6" t="s">
        <v>1949</v>
      </c>
      <c r="AA497" s="9" t="s">
        <v>528</v>
      </c>
      <c r="AB497" s="6" t="s">
        <v>2090</v>
      </c>
      <c r="AE497" s="37" t="n">
        <f aca="false">COUNTIF(環境認証!$A$2:$A$849,A497)</f>
        <v>1</v>
      </c>
      <c r="AF497" s="6" t="n">
        <v>19.3</v>
      </c>
      <c r="AG497" s="6" t="n">
        <v>8.9</v>
      </c>
    </row>
    <row r="498" customFormat="false" ht="15" hidden="false" customHeight="true" outlineLevel="0" collapsed="false">
      <c r="A498" s="6" t="s">
        <v>2091</v>
      </c>
      <c r="B498" s="6" t="s">
        <v>463</v>
      </c>
      <c r="C498" s="9" t="s">
        <v>2092</v>
      </c>
      <c r="D498" s="9" t="s">
        <v>959</v>
      </c>
      <c r="E498" s="9" t="s">
        <v>523</v>
      </c>
      <c r="F498" s="9" t="s">
        <v>625</v>
      </c>
      <c r="H498" s="9" t="s">
        <v>540</v>
      </c>
      <c r="M498" s="6" t="n">
        <v>2675.11</v>
      </c>
      <c r="P498" s="46" t="n">
        <v>37865</v>
      </c>
      <c r="Q498" s="1" t="n">
        <f aca="false">IF(OR($A498="",P498=""),"",ROUND(YEARFRAC(P498,README!$C$5),1))</f>
        <v>22.9</v>
      </c>
      <c r="S498" s="6" t="n">
        <v>2400</v>
      </c>
      <c r="T498" s="6" t="n">
        <v>2333</v>
      </c>
      <c r="U498" s="6" t="n">
        <v>3580</v>
      </c>
      <c r="V498" s="6" t="n">
        <v>1247</v>
      </c>
      <c r="W498" s="6" t="n">
        <v>0.951</v>
      </c>
      <c r="X498" s="6" t="n">
        <v>1</v>
      </c>
      <c r="Z498" s="6" t="s">
        <v>1949</v>
      </c>
      <c r="AA498" s="9" t="s">
        <v>528</v>
      </c>
      <c r="AB498" s="6" t="s">
        <v>2093</v>
      </c>
      <c r="AE498" s="37" t="n">
        <f aca="false">COUNTIF(環境認証!$A$2:$A$849,A498)</f>
        <v>1</v>
      </c>
      <c r="AF498" s="6" t="n">
        <v>53.5</v>
      </c>
      <c r="AG498" s="6" t="n">
        <v>49.2</v>
      </c>
    </row>
    <row r="499" customFormat="false" ht="15" hidden="false" customHeight="true" outlineLevel="0" collapsed="false">
      <c r="A499" s="6" t="s">
        <v>2094</v>
      </c>
      <c r="B499" s="6" t="s">
        <v>463</v>
      </c>
      <c r="C499" s="9" t="s">
        <v>2095</v>
      </c>
      <c r="D499" s="9" t="s">
        <v>959</v>
      </c>
      <c r="E499" s="9" t="s">
        <v>523</v>
      </c>
      <c r="F499" s="9" t="s">
        <v>806</v>
      </c>
      <c r="H499" s="9" t="s">
        <v>525</v>
      </c>
      <c r="M499" s="6" t="n">
        <v>1889.5</v>
      </c>
      <c r="P499" s="46" t="n">
        <v>39904</v>
      </c>
      <c r="Q499" s="1" t="n">
        <f aca="false">IF(OR($A499="",P499=""),"",ROUND(YEARFRAC(P499,README!$C$5),1))</f>
        <v>17.4</v>
      </c>
      <c r="S499" s="6" t="n">
        <v>1680</v>
      </c>
      <c r="T499" s="6" t="n">
        <v>1537</v>
      </c>
      <c r="U499" s="6" t="n">
        <v>2320</v>
      </c>
      <c r="V499" s="6" t="n">
        <v>783</v>
      </c>
      <c r="W499" s="6" t="n">
        <v>0.979</v>
      </c>
      <c r="X499" s="6" t="n">
        <v>1</v>
      </c>
      <c r="Z499" s="6" t="s">
        <v>1949</v>
      </c>
      <c r="AA499" s="9" t="s">
        <v>528</v>
      </c>
      <c r="AB499" s="6" t="s">
        <v>2096</v>
      </c>
      <c r="AE499" s="37" t="n">
        <f aca="false">COUNTIF(環境認証!$A$2:$A$849,A499)</f>
        <v>0</v>
      </c>
      <c r="AF499" s="6" t="n">
        <v>50.9</v>
      </c>
      <c r="AG499" s="6" t="n">
        <v>38.1</v>
      </c>
    </row>
    <row r="500" customFormat="false" ht="15" hidden="false" customHeight="true" outlineLevel="0" collapsed="false">
      <c r="A500" s="6" t="s">
        <v>2097</v>
      </c>
      <c r="B500" s="6" t="s">
        <v>463</v>
      </c>
      <c r="C500" s="9" t="s">
        <v>2098</v>
      </c>
      <c r="D500" s="9" t="s">
        <v>959</v>
      </c>
      <c r="E500" s="9" t="s">
        <v>523</v>
      </c>
      <c r="F500" s="9" t="s">
        <v>532</v>
      </c>
      <c r="H500" s="9" t="s">
        <v>525</v>
      </c>
      <c r="M500" s="6" t="n">
        <v>1199.86</v>
      </c>
      <c r="P500" s="46" t="n">
        <v>40118</v>
      </c>
      <c r="Q500" s="1" t="n">
        <f aca="false">IF(OR($A500="",P500=""),"",ROUND(YEARFRAC(P500,README!$C$5),1))</f>
        <v>16.8</v>
      </c>
      <c r="S500" s="6" t="n">
        <v>1540</v>
      </c>
      <c r="T500" s="6" t="n">
        <v>1485</v>
      </c>
      <c r="U500" s="6" t="n">
        <v>2260</v>
      </c>
      <c r="V500" s="6" t="n">
        <v>775</v>
      </c>
      <c r="W500" s="6" t="n">
        <v>1</v>
      </c>
      <c r="X500" s="6" t="n">
        <v>1</v>
      </c>
      <c r="Z500" s="6" t="s">
        <v>1949</v>
      </c>
      <c r="AA500" s="9" t="s">
        <v>528</v>
      </c>
      <c r="AB500" s="6" t="s">
        <v>2099</v>
      </c>
      <c r="AE500" s="37" t="n">
        <f aca="false">COUNTIF(環境認証!$A$2:$A$849,A500)</f>
        <v>0</v>
      </c>
      <c r="AF500" s="6" t="n">
        <v>52.2</v>
      </c>
      <c r="AG500" s="6" t="n">
        <v>46.8</v>
      </c>
    </row>
    <row r="501" customFormat="false" ht="15" hidden="false" customHeight="true" outlineLevel="0" collapsed="false">
      <c r="A501" s="6" t="s">
        <v>2100</v>
      </c>
      <c r="B501" s="6" t="s">
        <v>463</v>
      </c>
      <c r="C501" s="9" t="s">
        <v>2101</v>
      </c>
      <c r="D501" s="9" t="s">
        <v>959</v>
      </c>
      <c r="E501" s="9" t="s">
        <v>523</v>
      </c>
      <c r="F501" s="9" t="s">
        <v>906</v>
      </c>
      <c r="H501" s="9" t="s">
        <v>540</v>
      </c>
      <c r="M501" s="6" t="n">
        <v>1035.78</v>
      </c>
      <c r="P501" s="46" t="n">
        <v>39845</v>
      </c>
      <c r="Q501" s="1" t="n">
        <f aca="false">IF(OR($A501="",P501=""),"",ROUND(YEARFRAC(P501,README!$C$5),1))</f>
        <v>17.5</v>
      </c>
      <c r="S501" s="6" t="n">
        <v>861</v>
      </c>
      <c r="T501" s="6" t="n">
        <v>863</v>
      </c>
      <c r="U501" s="6" t="n">
        <v>1250</v>
      </c>
      <c r="V501" s="6" t="n">
        <v>387</v>
      </c>
      <c r="W501" s="6" t="n">
        <v>0.903</v>
      </c>
      <c r="X501" s="6" t="n">
        <v>1</v>
      </c>
      <c r="Z501" s="6" t="s">
        <v>1949</v>
      </c>
      <c r="AA501" s="9" t="s">
        <v>528</v>
      </c>
      <c r="AB501" s="6" t="s">
        <v>2102</v>
      </c>
      <c r="AE501" s="37" t="n">
        <f aca="false">COUNTIF(環境認証!$A$2:$A$849,A501)</f>
        <v>0</v>
      </c>
      <c r="AF501" s="6" t="n">
        <v>44.8</v>
      </c>
      <c r="AG501" s="6" t="n">
        <v>45.2</v>
      </c>
    </row>
    <row r="502" customFormat="false" ht="15" hidden="false" customHeight="true" outlineLevel="0" collapsed="false">
      <c r="A502" s="6" t="s">
        <v>2103</v>
      </c>
      <c r="B502" s="6" t="s">
        <v>463</v>
      </c>
      <c r="C502" s="9" t="s">
        <v>2104</v>
      </c>
      <c r="D502" s="9" t="s">
        <v>959</v>
      </c>
      <c r="E502" s="9" t="s">
        <v>523</v>
      </c>
      <c r="F502" s="9" t="s">
        <v>625</v>
      </c>
      <c r="H502" s="9" t="s">
        <v>540</v>
      </c>
      <c r="M502" s="6" t="n">
        <v>1073.59</v>
      </c>
      <c r="P502" s="46" t="n">
        <v>39934</v>
      </c>
      <c r="Q502" s="1" t="n">
        <f aca="false">IF(OR($A502="",P502=""),"",ROUND(YEARFRAC(P502,README!$C$5),1))</f>
        <v>17.3</v>
      </c>
      <c r="S502" s="6" t="n">
        <v>1030</v>
      </c>
      <c r="T502" s="6" t="n">
        <v>957</v>
      </c>
      <c r="U502" s="6" t="n">
        <v>1250</v>
      </c>
      <c r="V502" s="6" t="n">
        <v>293</v>
      </c>
      <c r="W502" s="6" t="n">
        <v>0.974</v>
      </c>
      <c r="X502" s="6" t="n">
        <v>1</v>
      </c>
      <c r="Z502" s="6" t="s">
        <v>1949</v>
      </c>
      <c r="AA502" s="9" t="s">
        <v>528</v>
      </c>
      <c r="AB502" s="6" t="s">
        <v>2105</v>
      </c>
      <c r="AE502" s="37" t="n">
        <f aca="false">COUNTIF(環境認証!$A$2:$A$849,A502)</f>
        <v>1</v>
      </c>
      <c r="AF502" s="6" t="n">
        <v>30.6</v>
      </c>
      <c r="AG502" s="6" t="n">
        <v>21.4</v>
      </c>
    </row>
    <row r="503" customFormat="false" ht="15" hidden="false" customHeight="true" outlineLevel="0" collapsed="false">
      <c r="A503" s="6" t="s">
        <v>2106</v>
      </c>
      <c r="B503" s="6" t="s">
        <v>463</v>
      </c>
      <c r="C503" s="9" t="s">
        <v>2107</v>
      </c>
      <c r="D503" s="9" t="s">
        <v>959</v>
      </c>
      <c r="E503" s="9" t="s">
        <v>523</v>
      </c>
      <c r="F503" s="9" t="s">
        <v>916</v>
      </c>
      <c r="H503" s="9" t="s">
        <v>540</v>
      </c>
      <c r="M503" s="6" t="n">
        <v>2023.72</v>
      </c>
      <c r="P503" s="46" t="n">
        <v>39965</v>
      </c>
      <c r="Q503" s="1" t="n">
        <f aca="false">IF(OR($A503="",P503=""),"",ROUND(YEARFRAC(P503,README!$C$5),1))</f>
        <v>17.2</v>
      </c>
      <c r="S503" s="6" t="n">
        <v>1870</v>
      </c>
      <c r="T503" s="6" t="n">
        <v>1834</v>
      </c>
      <c r="U503" s="6" t="n">
        <v>2320</v>
      </c>
      <c r="V503" s="6" t="n">
        <v>486</v>
      </c>
      <c r="W503" s="6" t="n">
        <v>0.877</v>
      </c>
      <c r="X503" s="6" t="n">
        <v>1</v>
      </c>
      <c r="Z503" s="6" t="s">
        <v>1949</v>
      </c>
      <c r="AA503" s="9" t="s">
        <v>528</v>
      </c>
      <c r="AB503" s="6" t="s">
        <v>2108</v>
      </c>
      <c r="AE503" s="37" t="n">
        <f aca="false">COUNTIF(環境認証!$A$2:$A$849,A503)</f>
        <v>1</v>
      </c>
      <c r="AF503" s="6" t="n">
        <v>26.5</v>
      </c>
      <c r="AG503" s="6" t="n">
        <v>24.1</v>
      </c>
    </row>
    <row r="504" customFormat="false" ht="15" hidden="false" customHeight="true" outlineLevel="0" collapsed="false">
      <c r="A504" s="6" t="s">
        <v>2109</v>
      </c>
      <c r="B504" s="6" t="s">
        <v>463</v>
      </c>
      <c r="C504" s="9" t="s">
        <v>2110</v>
      </c>
      <c r="D504" s="9" t="s">
        <v>959</v>
      </c>
      <c r="E504" s="9" t="s">
        <v>523</v>
      </c>
      <c r="F504" s="9" t="s">
        <v>916</v>
      </c>
      <c r="H504" s="9" t="s">
        <v>540</v>
      </c>
      <c r="M504" s="6" t="n">
        <v>1107.57</v>
      </c>
      <c r="P504" s="46" t="n">
        <v>40087</v>
      </c>
      <c r="Q504" s="1" t="n">
        <f aca="false">IF(OR($A504="",P504=""),"",ROUND(YEARFRAC(P504,README!$C$5),1))</f>
        <v>16.9</v>
      </c>
      <c r="S504" s="6" t="n">
        <v>1020</v>
      </c>
      <c r="T504" s="6" t="n">
        <v>944</v>
      </c>
      <c r="U504" s="6" t="n">
        <v>1180</v>
      </c>
      <c r="V504" s="6" t="n">
        <v>236</v>
      </c>
      <c r="W504" s="6" t="n">
        <v>0.897</v>
      </c>
      <c r="X504" s="6" t="n">
        <v>1</v>
      </c>
      <c r="Z504" s="6" t="s">
        <v>1949</v>
      </c>
      <c r="AA504" s="9" t="s">
        <v>528</v>
      </c>
      <c r="AB504" s="6" t="s">
        <v>2111</v>
      </c>
      <c r="AE504" s="37" t="n">
        <f aca="false">COUNTIF(環境認証!$A$2:$A$849,A504)</f>
        <v>0</v>
      </c>
      <c r="AF504" s="6" t="n">
        <v>25</v>
      </c>
      <c r="AG504" s="6" t="n">
        <v>15.7</v>
      </c>
    </row>
    <row r="505" customFormat="false" ht="15" hidden="false" customHeight="true" outlineLevel="0" collapsed="false">
      <c r="A505" s="6" t="s">
        <v>2112</v>
      </c>
      <c r="B505" s="6" t="s">
        <v>463</v>
      </c>
      <c r="C505" s="9" t="s">
        <v>2113</v>
      </c>
      <c r="D505" s="9" t="s">
        <v>959</v>
      </c>
      <c r="E505" s="9" t="s">
        <v>523</v>
      </c>
      <c r="F505" s="9" t="s">
        <v>916</v>
      </c>
      <c r="H505" s="9" t="s">
        <v>540</v>
      </c>
      <c r="M505" s="6" t="n">
        <v>1299.6</v>
      </c>
      <c r="P505" s="46" t="n">
        <v>39845</v>
      </c>
      <c r="Q505" s="1" t="n">
        <f aca="false">IF(OR($A505="",P505=""),"",ROUND(YEARFRAC(P505,README!$C$5),1))</f>
        <v>17.5</v>
      </c>
      <c r="S505" s="6" t="n">
        <v>984</v>
      </c>
      <c r="T505" s="6" t="n">
        <v>981</v>
      </c>
      <c r="U505" s="6" t="n">
        <v>1220</v>
      </c>
      <c r="V505" s="6" t="n">
        <v>239</v>
      </c>
      <c r="W505" s="6" t="n">
        <v>0.881</v>
      </c>
      <c r="X505" s="6" t="n">
        <v>1</v>
      </c>
      <c r="Z505" s="6" t="s">
        <v>1949</v>
      </c>
      <c r="AA505" s="9" t="s">
        <v>528</v>
      </c>
      <c r="AB505" s="6" t="s">
        <v>2114</v>
      </c>
      <c r="AE505" s="37" t="n">
        <f aca="false">COUNTIF(環境認証!$A$2:$A$849,A505)</f>
        <v>1</v>
      </c>
      <c r="AF505" s="6" t="n">
        <v>24.4</v>
      </c>
      <c r="AG505" s="6" t="n">
        <v>24</v>
      </c>
    </row>
    <row r="506" customFormat="false" ht="15" hidden="false" customHeight="true" outlineLevel="0" collapsed="false">
      <c r="A506" s="6" t="s">
        <v>2115</v>
      </c>
      <c r="B506" s="6" t="s">
        <v>463</v>
      </c>
      <c r="C506" s="9" t="s">
        <v>2116</v>
      </c>
      <c r="D506" s="9" t="s">
        <v>959</v>
      </c>
      <c r="E506" s="9" t="s">
        <v>523</v>
      </c>
      <c r="F506" s="9" t="s">
        <v>916</v>
      </c>
      <c r="H506" s="9" t="s">
        <v>540</v>
      </c>
      <c r="M506" s="6" t="n">
        <v>1531.89</v>
      </c>
      <c r="P506" s="46" t="n">
        <v>40087</v>
      </c>
      <c r="Q506" s="1" t="n">
        <f aca="false">IF(OR($A506="",P506=""),"",ROUND(YEARFRAC(P506,README!$C$5),1))</f>
        <v>16.9</v>
      </c>
      <c r="S506" s="6" t="n">
        <v>1160</v>
      </c>
      <c r="T506" s="6" t="n">
        <v>1056</v>
      </c>
      <c r="U506" s="6" t="n">
        <v>1380</v>
      </c>
      <c r="V506" s="6" t="n">
        <v>324</v>
      </c>
      <c r="W506" s="6" t="n">
        <v>1</v>
      </c>
      <c r="X506" s="6" t="n">
        <v>1</v>
      </c>
      <c r="Z506" s="6" t="s">
        <v>1949</v>
      </c>
      <c r="AA506" s="9" t="s">
        <v>528</v>
      </c>
      <c r="AB506" s="6" t="s">
        <v>2117</v>
      </c>
      <c r="AE506" s="37" t="n">
        <f aca="false">COUNTIF(環境認証!$A$2:$A$849,A506)</f>
        <v>0</v>
      </c>
      <c r="AF506" s="6" t="n">
        <v>30.7</v>
      </c>
      <c r="AG506" s="6" t="n">
        <v>19</v>
      </c>
    </row>
    <row r="507" customFormat="false" ht="15" hidden="false" customHeight="true" outlineLevel="0" collapsed="false">
      <c r="A507" s="6" t="s">
        <v>2118</v>
      </c>
      <c r="B507" s="6" t="s">
        <v>463</v>
      </c>
      <c r="C507" s="9" t="s">
        <v>2119</v>
      </c>
      <c r="D507" s="9" t="s">
        <v>959</v>
      </c>
      <c r="E507" s="9" t="s">
        <v>523</v>
      </c>
      <c r="F507" s="9" t="s">
        <v>902</v>
      </c>
      <c r="H507" s="9" t="s">
        <v>540</v>
      </c>
      <c r="M507" s="6" t="n">
        <v>1527.52</v>
      </c>
      <c r="P507" s="46" t="n">
        <v>39873</v>
      </c>
      <c r="Q507" s="1" t="n">
        <f aca="false">IF(OR($A507="",P507=""),"",ROUND(YEARFRAC(P507,README!$C$5),1))</f>
        <v>17.4</v>
      </c>
      <c r="S507" s="6" t="n">
        <v>1160</v>
      </c>
      <c r="T507" s="6" t="n">
        <v>1093</v>
      </c>
      <c r="U507" s="6" t="n">
        <v>1530</v>
      </c>
      <c r="V507" s="6" t="n">
        <v>437</v>
      </c>
      <c r="W507" s="6" t="n">
        <v>0.964</v>
      </c>
      <c r="X507" s="6" t="n">
        <v>1</v>
      </c>
      <c r="Z507" s="6" t="s">
        <v>1949</v>
      </c>
      <c r="AA507" s="9" t="s">
        <v>528</v>
      </c>
      <c r="AB507" s="6" t="s">
        <v>2120</v>
      </c>
      <c r="AE507" s="37" t="n">
        <f aca="false">COUNTIF(環境認証!$A$2:$A$849,A507)</f>
        <v>1</v>
      </c>
      <c r="AF507" s="6" t="n">
        <v>40</v>
      </c>
      <c r="AG507" s="6" t="n">
        <v>31.9</v>
      </c>
    </row>
    <row r="508" customFormat="false" ht="15" hidden="false" customHeight="true" outlineLevel="0" collapsed="false">
      <c r="A508" s="6" t="s">
        <v>2121</v>
      </c>
      <c r="B508" s="6" t="s">
        <v>463</v>
      </c>
      <c r="C508" s="9" t="s">
        <v>2122</v>
      </c>
      <c r="D508" s="9" t="s">
        <v>959</v>
      </c>
      <c r="E508" s="9" t="s">
        <v>523</v>
      </c>
      <c r="F508" s="9" t="s">
        <v>609</v>
      </c>
      <c r="H508" s="9" t="s">
        <v>540</v>
      </c>
      <c r="M508" s="6" t="n">
        <v>3180.9</v>
      </c>
      <c r="P508" s="46" t="n">
        <v>40269</v>
      </c>
      <c r="Q508" s="1" t="n">
        <f aca="false">IF(OR($A508="",P508=""),"",ROUND(YEARFRAC(P508,README!$C$5),1))</f>
        <v>16.4</v>
      </c>
      <c r="S508" s="6" t="n">
        <v>2490</v>
      </c>
      <c r="T508" s="6" t="n">
        <v>2290</v>
      </c>
      <c r="U508" s="6" t="n">
        <v>3240</v>
      </c>
      <c r="V508" s="6" t="n">
        <v>950</v>
      </c>
      <c r="W508" s="6" t="n">
        <v>0.988</v>
      </c>
      <c r="X508" s="6" t="n">
        <v>1</v>
      </c>
      <c r="Z508" s="6" t="s">
        <v>1949</v>
      </c>
      <c r="AA508" s="9" t="s">
        <v>528</v>
      </c>
      <c r="AB508" s="6" t="s">
        <v>2123</v>
      </c>
      <c r="AE508" s="37" t="n">
        <f aca="false">COUNTIF(環境認証!$A$2:$A$849,A508)</f>
        <v>1</v>
      </c>
      <c r="AF508" s="6" t="n">
        <v>41.5</v>
      </c>
      <c r="AG508" s="6" t="n">
        <v>30.1</v>
      </c>
    </row>
    <row r="509" customFormat="false" ht="15" hidden="false" customHeight="true" outlineLevel="0" collapsed="false">
      <c r="A509" s="6" t="s">
        <v>2124</v>
      </c>
      <c r="B509" s="6" t="s">
        <v>463</v>
      </c>
      <c r="C509" s="9" t="s">
        <v>2125</v>
      </c>
      <c r="D509" s="9" t="s">
        <v>959</v>
      </c>
      <c r="E509" s="9" t="s">
        <v>523</v>
      </c>
      <c r="F509" s="9" t="s">
        <v>2126</v>
      </c>
      <c r="H509" s="9" t="s">
        <v>540</v>
      </c>
      <c r="M509" s="6" t="n">
        <v>4302.84</v>
      </c>
      <c r="P509" s="46" t="n">
        <v>40118</v>
      </c>
      <c r="Q509" s="1" t="n">
        <f aca="false">IF(OR($A509="",P509=""),"",ROUND(YEARFRAC(P509,README!$C$5),1))</f>
        <v>16.8</v>
      </c>
      <c r="S509" s="6" t="n">
        <v>3290</v>
      </c>
      <c r="T509" s="6" t="n">
        <v>3079</v>
      </c>
      <c r="U509" s="6" t="n">
        <v>3930</v>
      </c>
      <c r="V509" s="6" t="n">
        <v>851</v>
      </c>
      <c r="W509" s="6" t="n">
        <v>0.946</v>
      </c>
      <c r="X509" s="6" t="n">
        <v>1</v>
      </c>
      <c r="Z509" s="6" t="s">
        <v>1949</v>
      </c>
      <c r="AA509" s="9" t="s">
        <v>528</v>
      </c>
      <c r="AB509" s="6" t="s">
        <v>2127</v>
      </c>
      <c r="AE509" s="37" t="n">
        <f aca="false">COUNTIF(環境認証!$A$2:$A$849,A509)</f>
        <v>1</v>
      </c>
      <c r="AF509" s="6" t="n">
        <v>27.6</v>
      </c>
      <c r="AG509" s="6" t="n">
        <v>19.5</v>
      </c>
    </row>
    <row r="510" customFormat="false" ht="15" hidden="false" customHeight="true" outlineLevel="0" collapsed="false">
      <c r="A510" s="6" t="s">
        <v>2128</v>
      </c>
      <c r="B510" s="6" t="s">
        <v>463</v>
      </c>
      <c r="C510" s="9" t="s">
        <v>2129</v>
      </c>
      <c r="D510" s="9" t="s">
        <v>959</v>
      </c>
      <c r="E510" s="9" t="s">
        <v>523</v>
      </c>
      <c r="F510" s="9" t="s">
        <v>2126</v>
      </c>
      <c r="H510" s="9" t="s">
        <v>540</v>
      </c>
      <c r="M510" s="6" t="n">
        <v>2289.44</v>
      </c>
      <c r="P510" s="46" t="n">
        <v>40360</v>
      </c>
      <c r="Q510" s="1" t="n">
        <f aca="false">IF(OR($A510="",P510=""),"",ROUND(YEARFRAC(P510,README!$C$5),1))</f>
        <v>16.1</v>
      </c>
      <c r="S510" s="6" t="n">
        <v>1650</v>
      </c>
      <c r="T510" s="6" t="n">
        <v>1490</v>
      </c>
      <c r="U510" s="6" t="n">
        <v>1970</v>
      </c>
      <c r="V510" s="6" t="n">
        <v>480</v>
      </c>
      <c r="W510" s="6" t="n">
        <v>0.908</v>
      </c>
      <c r="X510" s="6" t="n">
        <v>1</v>
      </c>
      <c r="Z510" s="6" t="s">
        <v>1949</v>
      </c>
      <c r="AA510" s="9" t="s">
        <v>528</v>
      </c>
      <c r="AB510" s="6" t="s">
        <v>2130</v>
      </c>
      <c r="AE510" s="37" t="n">
        <f aca="false">COUNTIF(環境認証!$A$2:$A$849,A510)</f>
        <v>0</v>
      </c>
      <c r="AF510" s="6" t="n">
        <v>32.2</v>
      </c>
      <c r="AG510" s="6" t="n">
        <v>19.4</v>
      </c>
    </row>
    <row r="511" customFormat="false" ht="15" hidden="false" customHeight="true" outlineLevel="0" collapsed="false">
      <c r="A511" s="6" t="s">
        <v>2131</v>
      </c>
      <c r="B511" s="6" t="s">
        <v>463</v>
      </c>
      <c r="C511" s="9" t="s">
        <v>2132</v>
      </c>
      <c r="D511" s="9" t="s">
        <v>959</v>
      </c>
      <c r="E511" s="9" t="s">
        <v>523</v>
      </c>
      <c r="F511" s="9" t="s">
        <v>806</v>
      </c>
      <c r="H511" s="9" t="s">
        <v>525</v>
      </c>
      <c r="M511" s="6" t="n">
        <v>1650.66</v>
      </c>
      <c r="P511" s="46" t="n">
        <v>41214</v>
      </c>
      <c r="Q511" s="1" t="n">
        <f aca="false">IF(OR($A511="",P511=""),"",ROUND(YEARFRAC(P511,README!$C$5),1))</f>
        <v>13.8</v>
      </c>
      <c r="S511" s="6" t="n">
        <v>1580</v>
      </c>
      <c r="T511" s="6" t="n">
        <v>1433</v>
      </c>
      <c r="U511" s="6" t="n">
        <v>2130</v>
      </c>
      <c r="V511" s="6" t="n">
        <v>697</v>
      </c>
      <c r="W511" s="6" t="n">
        <v>0.985</v>
      </c>
      <c r="X511" s="6" t="n">
        <v>1</v>
      </c>
      <c r="Z511" s="6" t="s">
        <v>1949</v>
      </c>
      <c r="AA511" s="9" t="s">
        <v>528</v>
      </c>
      <c r="AB511" s="6" t="s">
        <v>2133</v>
      </c>
      <c r="AE511" s="37" t="n">
        <f aca="false">COUNTIF(環境認証!$A$2:$A$849,A511)</f>
        <v>1</v>
      </c>
      <c r="AF511" s="6" t="n">
        <v>48.6</v>
      </c>
      <c r="AG511" s="6" t="n">
        <v>34.8</v>
      </c>
    </row>
    <row r="512" customFormat="false" ht="15" hidden="false" customHeight="true" outlineLevel="0" collapsed="false">
      <c r="A512" s="6" t="s">
        <v>2134</v>
      </c>
      <c r="B512" s="6" t="s">
        <v>463</v>
      </c>
      <c r="C512" s="9" t="s">
        <v>2135</v>
      </c>
      <c r="D512" s="9" t="s">
        <v>959</v>
      </c>
      <c r="E512" s="9" t="s">
        <v>523</v>
      </c>
      <c r="F512" s="9" t="s">
        <v>666</v>
      </c>
      <c r="H512" s="9" t="s">
        <v>525</v>
      </c>
      <c r="M512" s="6" t="n">
        <v>1382.32</v>
      </c>
      <c r="P512" s="46" t="n">
        <v>41214</v>
      </c>
      <c r="Q512" s="1" t="n">
        <f aca="false">IF(OR($A512="",P512=""),"",ROUND(YEARFRAC(P512,README!$C$5),1))</f>
        <v>13.8</v>
      </c>
      <c r="S512" s="6" t="n">
        <v>1460</v>
      </c>
      <c r="T512" s="6" t="n">
        <v>1302</v>
      </c>
      <c r="U512" s="6" t="n">
        <v>1820</v>
      </c>
      <c r="V512" s="6" t="n">
        <v>518</v>
      </c>
      <c r="W512" s="6" t="n">
        <v>0.981</v>
      </c>
      <c r="X512" s="6" t="n">
        <v>1</v>
      </c>
      <c r="Z512" s="6" t="s">
        <v>1949</v>
      </c>
      <c r="AA512" s="9" t="s">
        <v>528</v>
      </c>
      <c r="AB512" s="6" t="s">
        <v>2136</v>
      </c>
      <c r="AE512" s="37" t="n">
        <f aca="false">COUNTIF(環境認証!$A$2:$A$849,A512)</f>
        <v>1</v>
      </c>
      <c r="AF512" s="6" t="n">
        <v>39.8</v>
      </c>
      <c r="AG512" s="6" t="n">
        <v>24.7</v>
      </c>
    </row>
    <row r="513" customFormat="false" ht="15" hidden="false" customHeight="true" outlineLevel="0" collapsed="false">
      <c r="A513" s="6" t="s">
        <v>2137</v>
      </c>
      <c r="B513" s="6" t="s">
        <v>463</v>
      </c>
      <c r="C513" s="9" t="s">
        <v>2138</v>
      </c>
      <c r="D513" s="9" t="s">
        <v>959</v>
      </c>
      <c r="E513" s="9" t="s">
        <v>523</v>
      </c>
      <c r="F513" s="9" t="s">
        <v>524</v>
      </c>
      <c r="H513" s="9" t="s">
        <v>525</v>
      </c>
      <c r="M513" s="6" t="n">
        <v>1819.9</v>
      </c>
      <c r="P513" s="46" t="n">
        <v>41334</v>
      </c>
      <c r="Q513" s="1" t="n">
        <f aca="false">IF(OR($A513="",P513=""),"",ROUND(YEARFRAC(P513,README!$C$5),1))</f>
        <v>13.4</v>
      </c>
      <c r="S513" s="6" t="n">
        <v>1960</v>
      </c>
      <c r="T513" s="6" t="n">
        <v>1782</v>
      </c>
      <c r="U513" s="6" t="n">
        <v>2340</v>
      </c>
      <c r="V513" s="6" t="n">
        <v>558</v>
      </c>
      <c r="W513" s="6" t="n">
        <v>0.964</v>
      </c>
      <c r="X513" s="6" t="n">
        <v>1</v>
      </c>
      <c r="Z513" s="6" t="s">
        <v>1949</v>
      </c>
      <c r="AA513" s="9" t="s">
        <v>528</v>
      </c>
      <c r="AB513" s="6" t="s">
        <v>2139</v>
      </c>
      <c r="AE513" s="37" t="n">
        <f aca="false">COUNTIF(環境認証!$A$2:$A$849,A513)</f>
        <v>1</v>
      </c>
      <c r="AF513" s="6" t="n">
        <v>31.3</v>
      </c>
      <c r="AG513" s="6" t="n">
        <v>19.4</v>
      </c>
    </row>
    <row r="514" customFormat="false" ht="15" hidden="false" customHeight="true" outlineLevel="0" collapsed="false">
      <c r="A514" s="6" t="s">
        <v>2140</v>
      </c>
      <c r="B514" s="6" t="s">
        <v>463</v>
      </c>
      <c r="C514" s="9" t="s">
        <v>2141</v>
      </c>
      <c r="D514" s="9" t="s">
        <v>959</v>
      </c>
      <c r="E514" s="9" t="s">
        <v>523</v>
      </c>
      <c r="F514" s="9" t="s">
        <v>625</v>
      </c>
      <c r="H514" s="9" t="s">
        <v>540</v>
      </c>
      <c r="M514" s="6" t="n">
        <v>2512.91</v>
      </c>
      <c r="P514" s="46" t="n">
        <v>40544</v>
      </c>
      <c r="Q514" s="1" t="n">
        <f aca="false">IF(OR($A514="",P514=""),"",ROUND(YEARFRAC(P514,README!$C$5),1))</f>
        <v>15.6</v>
      </c>
      <c r="S514" s="6" t="n">
        <v>2910</v>
      </c>
      <c r="T514" s="6" t="n">
        <v>2863</v>
      </c>
      <c r="U514" s="6" t="n">
        <v>3860</v>
      </c>
      <c r="V514" s="6" t="n">
        <v>997</v>
      </c>
      <c r="W514" s="6" t="n">
        <v>0.965</v>
      </c>
      <c r="X514" s="6" t="n">
        <v>1</v>
      </c>
      <c r="Z514" s="6" t="s">
        <v>1949</v>
      </c>
      <c r="AA514" s="9" t="s">
        <v>528</v>
      </c>
      <c r="AB514" s="6" t="s">
        <v>2142</v>
      </c>
      <c r="AE514" s="37" t="n">
        <f aca="false">COUNTIF(環境認証!$A$2:$A$849,A514)</f>
        <v>1</v>
      </c>
      <c r="AF514" s="6" t="n">
        <v>34.8</v>
      </c>
      <c r="AG514" s="6" t="n">
        <v>32.6</v>
      </c>
    </row>
    <row r="515" customFormat="false" ht="15" hidden="false" customHeight="true" outlineLevel="0" collapsed="false">
      <c r="A515" s="6" t="s">
        <v>2143</v>
      </c>
      <c r="B515" s="6" t="s">
        <v>463</v>
      </c>
      <c r="C515" s="9" t="s">
        <v>2144</v>
      </c>
      <c r="D515" s="9" t="s">
        <v>959</v>
      </c>
      <c r="E515" s="9" t="s">
        <v>523</v>
      </c>
      <c r="F515" s="9" t="s">
        <v>524</v>
      </c>
      <c r="H515" s="9" t="s">
        <v>525</v>
      </c>
      <c r="M515" s="6" t="n">
        <v>803.36</v>
      </c>
      <c r="P515" s="46" t="n">
        <v>38991</v>
      </c>
      <c r="Q515" s="1" t="n">
        <f aca="false">IF(OR($A515="",P515=""),"",ROUND(YEARFRAC(P515,README!$C$5),1))</f>
        <v>19.9</v>
      </c>
      <c r="S515" s="6" t="n">
        <v>555</v>
      </c>
      <c r="T515" s="6" t="n">
        <v>573</v>
      </c>
      <c r="U515" s="6" t="n">
        <v>662</v>
      </c>
      <c r="V515" s="6" t="n">
        <v>89</v>
      </c>
      <c r="W515" s="6" t="n">
        <v>1</v>
      </c>
      <c r="X515" s="6" t="n">
        <v>1</v>
      </c>
      <c r="Z515" s="6" t="s">
        <v>1949</v>
      </c>
      <c r="AA515" s="9" t="s">
        <v>528</v>
      </c>
      <c r="AB515" s="6" t="s">
        <v>2145</v>
      </c>
      <c r="AE515" s="37" t="n">
        <f aca="false">COUNTIF(環境認証!$A$2:$A$849,A515)</f>
        <v>1</v>
      </c>
      <c r="AF515" s="6" t="n">
        <v>15.5</v>
      </c>
      <c r="AG515" s="6" t="n">
        <v>19.3</v>
      </c>
    </row>
    <row r="516" customFormat="false" ht="15" hidden="false" customHeight="true" outlineLevel="0" collapsed="false">
      <c r="A516" s="6" t="s">
        <v>2146</v>
      </c>
      <c r="B516" s="6" t="s">
        <v>463</v>
      </c>
      <c r="C516" s="9" t="s">
        <v>2147</v>
      </c>
      <c r="D516" s="9" t="s">
        <v>959</v>
      </c>
      <c r="H516" s="9" t="s">
        <v>611</v>
      </c>
      <c r="Q516" s="1" t="str">
        <f aca="false">IF(OR($A516="",P516=""),"",ROUND(YEARFRAC(P516,README!$C$5),1))</f>
        <v/>
      </c>
      <c r="V516" s="1" t="str">
        <f aca="false">IF($A516="","",IF(OR(T516="",U516=""),"",U516-T516))</f>
        <v/>
      </c>
      <c r="Z516" s="6" t="s">
        <v>1949</v>
      </c>
      <c r="AA516" s="9" t="s">
        <v>528</v>
      </c>
      <c r="AB516" s="6" t="s">
        <v>2148</v>
      </c>
      <c r="AE516" s="37" t="n">
        <f aca="false">COUNTIF(環境認証!$A$2:$A$849,A516)</f>
        <v>0</v>
      </c>
    </row>
    <row r="517" customFormat="false" ht="15" hidden="false" customHeight="true" outlineLevel="0" collapsed="false">
      <c r="A517" s="6" t="s">
        <v>2149</v>
      </c>
      <c r="B517" s="6" t="s">
        <v>463</v>
      </c>
      <c r="C517" s="9" t="s">
        <v>2150</v>
      </c>
      <c r="D517" s="9" t="s">
        <v>959</v>
      </c>
      <c r="E517" s="9" t="s">
        <v>596</v>
      </c>
      <c r="F517" s="9" t="s">
        <v>1160</v>
      </c>
      <c r="H517" s="6" t="s">
        <v>599</v>
      </c>
      <c r="M517" s="6" t="n">
        <v>5213.51</v>
      </c>
      <c r="P517" s="46" t="n">
        <v>38749</v>
      </c>
      <c r="Q517" s="1" t="n">
        <f aca="false">IF(OR($A517="",P517=""),"",ROUND(YEARFRAC(P517,README!$C$5),1))</f>
        <v>20.5</v>
      </c>
      <c r="S517" s="6" t="n">
        <v>2430</v>
      </c>
      <c r="T517" s="6" t="n">
        <v>2475</v>
      </c>
      <c r="U517" s="6" t="n">
        <v>2740</v>
      </c>
      <c r="V517" s="6" t="n">
        <v>265</v>
      </c>
      <c r="W517" s="6" t="n">
        <v>0.986</v>
      </c>
      <c r="X517" s="6" t="n">
        <v>1</v>
      </c>
      <c r="Z517" s="6" t="s">
        <v>1949</v>
      </c>
      <c r="AA517" s="9" t="s">
        <v>528</v>
      </c>
      <c r="AB517" s="6" t="s">
        <v>2151</v>
      </c>
      <c r="AE517" s="37" t="n">
        <f aca="false">COUNTIF(環境認証!$A$2:$A$849,A517)</f>
        <v>1</v>
      </c>
      <c r="AF517" s="6" t="n">
        <v>10.7</v>
      </c>
      <c r="AG517" s="6" t="n">
        <v>12.8</v>
      </c>
    </row>
    <row r="518" customFormat="false" ht="15" hidden="false" customHeight="true" outlineLevel="0" collapsed="false">
      <c r="A518" s="6" t="s">
        <v>2152</v>
      </c>
      <c r="B518" s="6" t="s">
        <v>463</v>
      </c>
      <c r="C518" s="9" t="s">
        <v>2153</v>
      </c>
      <c r="D518" s="9" t="s">
        <v>959</v>
      </c>
      <c r="E518" s="9" t="s">
        <v>523</v>
      </c>
      <c r="F518" s="9" t="s">
        <v>609</v>
      </c>
      <c r="H518" s="9" t="s">
        <v>540</v>
      </c>
      <c r="M518" s="6" t="n">
        <v>9469.65</v>
      </c>
      <c r="P518" s="46" t="n">
        <v>39448</v>
      </c>
      <c r="Q518" s="1" t="n">
        <f aca="false">IF(OR($A518="",P518=""),"",ROUND(YEARFRAC(P518,README!$C$5),1))</f>
        <v>18.6</v>
      </c>
      <c r="S518" s="6" t="n">
        <v>8250</v>
      </c>
      <c r="T518" s="6" t="n">
        <v>7910</v>
      </c>
      <c r="U518" s="6" t="n">
        <v>11900</v>
      </c>
      <c r="V518" s="6" t="n">
        <v>3990</v>
      </c>
      <c r="W518" s="6" t="n">
        <v>0.952</v>
      </c>
      <c r="X518" s="6" t="n">
        <v>1</v>
      </c>
      <c r="Z518" s="6" t="s">
        <v>1949</v>
      </c>
      <c r="AA518" s="9" t="s">
        <v>528</v>
      </c>
      <c r="AB518" s="6" t="s">
        <v>2154</v>
      </c>
      <c r="AE518" s="37" t="n">
        <f aca="false">COUNTIF(環境認証!$A$2:$A$849,A518)</f>
        <v>1</v>
      </c>
      <c r="AF518" s="6" t="n">
        <v>50.4</v>
      </c>
      <c r="AG518" s="6" t="n">
        <v>44.2</v>
      </c>
    </row>
    <row r="519" customFormat="false" ht="15" hidden="false" customHeight="true" outlineLevel="0" collapsed="false">
      <c r="A519" s="6" t="s">
        <v>2155</v>
      </c>
      <c r="B519" s="6" t="s">
        <v>463</v>
      </c>
      <c r="C519" s="9" t="s">
        <v>2156</v>
      </c>
      <c r="D519" s="9" t="s">
        <v>959</v>
      </c>
      <c r="E519" s="9" t="s">
        <v>523</v>
      </c>
      <c r="F519" s="9" t="s">
        <v>543</v>
      </c>
      <c r="H519" s="9" t="s">
        <v>540</v>
      </c>
      <c r="M519" s="6" t="n">
        <v>9905.97</v>
      </c>
      <c r="P519" s="46" t="n">
        <v>39326</v>
      </c>
      <c r="Q519" s="1" t="n">
        <f aca="false">IF(OR($A519="",P519=""),"",ROUND(YEARFRAC(P519,README!$C$5),1))</f>
        <v>18.9</v>
      </c>
      <c r="S519" s="6" t="n">
        <v>8630</v>
      </c>
      <c r="T519" s="6" t="n">
        <v>8308</v>
      </c>
      <c r="U519" s="6" t="n">
        <v>12600</v>
      </c>
      <c r="V519" s="6" t="n">
        <v>4292</v>
      </c>
      <c r="W519" s="6" t="n">
        <v>0.968</v>
      </c>
      <c r="X519" s="6" t="n">
        <v>1</v>
      </c>
      <c r="Z519" s="6" t="s">
        <v>1949</v>
      </c>
      <c r="AA519" s="9" t="s">
        <v>528</v>
      </c>
      <c r="AB519" s="6" t="s">
        <v>2157</v>
      </c>
      <c r="AE519" s="37" t="n">
        <f aca="false">COUNTIF(環境認証!$A$2:$A$849,A519)</f>
        <v>1</v>
      </c>
      <c r="AF519" s="6" t="n">
        <v>51.7</v>
      </c>
      <c r="AG519" s="6" t="n">
        <v>46</v>
      </c>
    </row>
    <row r="520" customFormat="false" ht="15" hidden="false" customHeight="true" outlineLevel="0" collapsed="false">
      <c r="A520" s="6" t="s">
        <v>2158</v>
      </c>
      <c r="B520" s="6" t="s">
        <v>463</v>
      </c>
      <c r="C520" s="9" t="s">
        <v>2159</v>
      </c>
      <c r="D520" s="9" t="s">
        <v>959</v>
      </c>
      <c r="E520" s="9" t="s">
        <v>567</v>
      </c>
      <c r="F520" s="9" t="s">
        <v>676</v>
      </c>
      <c r="H520" s="9" t="s">
        <v>569</v>
      </c>
      <c r="M520" s="6" t="n">
        <v>5704.63</v>
      </c>
      <c r="P520" s="46" t="n">
        <v>39173</v>
      </c>
      <c r="Q520" s="1" t="n">
        <f aca="false">IF(OR($A520="",P520=""),"",ROUND(YEARFRAC(P520,README!$C$5),1))</f>
        <v>19.4</v>
      </c>
      <c r="S520" s="6" t="n">
        <v>2070</v>
      </c>
      <c r="T520" s="6" t="n">
        <v>2064</v>
      </c>
      <c r="U520" s="6" t="n">
        <v>2290</v>
      </c>
      <c r="V520" s="6" t="n">
        <v>226</v>
      </c>
      <c r="W520" s="6" t="n">
        <v>0.93</v>
      </c>
      <c r="X520" s="6" t="n">
        <v>1</v>
      </c>
      <c r="Z520" s="6" t="s">
        <v>1949</v>
      </c>
      <c r="AA520" s="9" t="s">
        <v>528</v>
      </c>
      <c r="AB520" s="6" t="s">
        <v>2160</v>
      </c>
      <c r="AE520" s="37" t="n">
        <f aca="false">COUNTIF(環境認証!$A$2:$A$849,A520)</f>
        <v>1</v>
      </c>
      <c r="AF520" s="6" t="n">
        <v>10.9</v>
      </c>
      <c r="AG520" s="6" t="n">
        <v>10.6</v>
      </c>
    </row>
    <row r="521" customFormat="false" ht="15" hidden="false" customHeight="true" outlineLevel="0" collapsed="false">
      <c r="A521" s="6" t="s">
        <v>2161</v>
      </c>
      <c r="B521" s="6" t="s">
        <v>463</v>
      </c>
      <c r="C521" s="9" t="s">
        <v>2162</v>
      </c>
      <c r="D521" s="9" t="s">
        <v>959</v>
      </c>
      <c r="E521" s="9" t="s">
        <v>567</v>
      </c>
      <c r="F521" s="9" t="s">
        <v>676</v>
      </c>
      <c r="H521" s="9" t="s">
        <v>569</v>
      </c>
      <c r="M521" s="6" t="n">
        <v>13812.4</v>
      </c>
      <c r="P521" s="46" t="n">
        <v>36465</v>
      </c>
      <c r="Q521" s="1" t="n">
        <f aca="false">IF(OR($A521="",P521=""),"",ROUND(YEARFRAC(P521,README!$C$5),1))</f>
        <v>26.8</v>
      </c>
      <c r="S521" s="6" t="n">
        <v>4490</v>
      </c>
      <c r="T521" s="6" t="n">
        <v>4317</v>
      </c>
      <c r="U521" s="6" t="n">
        <v>4860</v>
      </c>
      <c r="V521" s="6" t="n">
        <v>543</v>
      </c>
      <c r="W521" s="6" t="n">
        <v>1</v>
      </c>
      <c r="X521" s="6" t="n">
        <v>1</v>
      </c>
      <c r="Z521" s="6" t="s">
        <v>1949</v>
      </c>
      <c r="AA521" s="9" t="s">
        <v>528</v>
      </c>
      <c r="AB521" s="6" t="s">
        <v>2163</v>
      </c>
      <c r="AE521" s="37" t="n">
        <f aca="false">COUNTIF(環境認証!$A$2:$A$849,A521)</f>
        <v>1</v>
      </c>
      <c r="AF521" s="6" t="n">
        <v>12.6</v>
      </c>
      <c r="AG521" s="6" t="n">
        <v>8.2</v>
      </c>
    </row>
    <row r="522" customFormat="false" ht="15" hidden="false" customHeight="true" outlineLevel="0" collapsed="false">
      <c r="A522" s="6" t="s">
        <v>2164</v>
      </c>
      <c r="B522" s="6" t="s">
        <v>463</v>
      </c>
      <c r="C522" s="9" t="s">
        <v>2165</v>
      </c>
      <c r="D522" s="9" t="s">
        <v>959</v>
      </c>
      <c r="E522" s="9" t="s">
        <v>523</v>
      </c>
      <c r="F522" s="9" t="s">
        <v>543</v>
      </c>
      <c r="H522" s="9" t="s">
        <v>540</v>
      </c>
      <c r="M522" s="6" t="n">
        <v>2180.78</v>
      </c>
      <c r="P522" s="46" t="n">
        <v>41395</v>
      </c>
      <c r="Q522" s="1" t="n">
        <f aca="false">IF(OR($A522="",P522=""),"",ROUND(YEARFRAC(P522,README!$C$5),1))</f>
        <v>13.3</v>
      </c>
      <c r="S522" s="6" t="n">
        <v>1930</v>
      </c>
      <c r="T522" s="6" t="n">
        <v>1732</v>
      </c>
      <c r="U522" s="6" t="n">
        <v>2310</v>
      </c>
      <c r="V522" s="6" t="n">
        <v>578</v>
      </c>
      <c r="W522" s="6" t="n">
        <v>0.919</v>
      </c>
      <c r="X522" s="6" t="n">
        <v>1</v>
      </c>
      <c r="Z522" s="6" t="s">
        <v>1949</v>
      </c>
      <c r="AA522" s="9" t="s">
        <v>528</v>
      </c>
      <c r="AB522" s="6" t="s">
        <v>2166</v>
      </c>
      <c r="AE522" s="37" t="n">
        <f aca="false">COUNTIF(環境認証!$A$2:$A$849,A522)</f>
        <v>1</v>
      </c>
      <c r="AF522" s="6" t="n">
        <v>33.4</v>
      </c>
      <c r="AG522" s="6" t="n">
        <v>19.7</v>
      </c>
    </row>
    <row r="523" customFormat="false" ht="15" hidden="false" customHeight="true" outlineLevel="0" collapsed="false">
      <c r="A523" s="6" t="s">
        <v>2167</v>
      </c>
      <c r="B523" s="6" t="s">
        <v>463</v>
      </c>
      <c r="C523" s="9" t="s">
        <v>2168</v>
      </c>
      <c r="D523" s="9" t="s">
        <v>959</v>
      </c>
      <c r="E523" s="9" t="s">
        <v>523</v>
      </c>
      <c r="F523" s="9" t="s">
        <v>625</v>
      </c>
      <c r="H523" s="9" t="s">
        <v>540</v>
      </c>
      <c r="M523" s="6" t="n">
        <v>2107.88</v>
      </c>
      <c r="P523" s="46" t="n">
        <v>41671</v>
      </c>
      <c r="Q523" s="1" t="n">
        <f aca="false">IF(OR($A523="",P523=""),"",ROUND(YEARFRAC(P523,README!$C$5),1))</f>
        <v>12.5</v>
      </c>
      <c r="S523" s="6" t="n">
        <v>1960</v>
      </c>
      <c r="T523" s="6" t="n">
        <v>1807</v>
      </c>
      <c r="U523" s="6" t="n">
        <v>2330</v>
      </c>
      <c r="V523" s="6" t="n">
        <v>523</v>
      </c>
      <c r="W523" s="6" t="n">
        <v>0.919</v>
      </c>
      <c r="X523" s="6" t="n">
        <v>1</v>
      </c>
      <c r="Z523" s="6" t="s">
        <v>1949</v>
      </c>
      <c r="AA523" s="9" t="s">
        <v>528</v>
      </c>
      <c r="AB523" s="6" t="s">
        <v>2169</v>
      </c>
      <c r="AE523" s="37" t="n">
        <f aca="false">COUNTIF(環境認証!$A$2:$A$849,A523)</f>
        <v>1</v>
      </c>
      <c r="AF523" s="6" t="n">
        <v>28.9</v>
      </c>
      <c r="AG523" s="6" t="n">
        <v>18.9</v>
      </c>
    </row>
    <row r="524" customFormat="false" ht="15" hidden="false" customHeight="true" outlineLevel="0" collapsed="false">
      <c r="A524" s="6" t="s">
        <v>2170</v>
      </c>
      <c r="B524" s="6" t="s">
        <v>463</v>
      </c>
      <c r="C524" s="9" t="s">
        <v>2171</v>
      </c>
      <c r="D524" s="9" t="s">
        <v>959</v>
      </c>
      <c r="E524" s="9" t="s">
        <v>604</v>
      </c>
      <c r="F524" s="9" t="s">
        <v>720</v>
      </c>
      <c r="H524" s="6" t="s">
        <v>599</v>
      </c>
      <c r="M524" s="6" t="n">
        <v>7360.37</v>
      </c>
      <c r="P524" s="46" t="n">
        <v>39783</v>
      </c>
      <c r="Q524" s="1" t="n">
        <f aca="false">IF(OR($A524="",P524=""),"",ROUND(YEARFRAC(P524,README!$C$5),1))</f>
        <v>17.7</v>
      </c>
      <c r="S524" s="6" t="n">
        <v>3160</v>
      </c>
      <c r="T524" s="6" t="n">
        <v>2903</v>
      </c>
      <c r="U524" s="6" t="n">
        <v>3570</v>
      </c>
      <c r="V524" s="6" t="n">
        <v>667</v>
      </c>
      <c r="W524" s="6" t="n">
        <v>0.931</v>
      </c>
      <c r="X524" s="6" t="n">
        <v>1</v>
      </c>
      <c r="Z524" s="6" t="s">
        <v>1949</v>
      </c>
      <c r="AA524" s="9" t="s">
        <v>528</v>
      </c>
      <c r="AB524" s="6" t="s">
        <v>2172</v>
      </c>
      <c r="AE524" s="37" t="n">
        <f aca="false">COUNTIF(環境認証!$A$2:$A$849,A524)</f>
        <v>1</v>
      </c>
      <c r="AF524" s="6" t="n">
        <v>23</v>
      </c>
      <c r="AG524" s="6" t="n">
        <v>13</v>
      </c>
    </row>
    <row r="525" customFormat="false" ht="15" hidden="false" customHeight="true" outlineLevel="0" collapsed="false">
      <c r="A525" s="6" t="s">
        <v>2173</v>
      </c>
      <c r="B525" s="6" t="s">
        <v>463</v>
      </c>
      <c r="C525" s="9" t="s">
        <v>2174</v>
      </c>
      <c r="D525" s="9" t="s">
        <v>959</v>
      </c>
      <c r="E525" s="9" t="s">
        <v>604</v>
      </c>
      <c r="F525" s="9" t="s">
        <v>720</v>
      </c>
      <c r="H525" s="6" t="s">
        <v>599</v>
      </c>
      <c r="M525" s="6" t="n">
        <v>6019.09</v>
      </c>
      <c r="P525" s="46" t="n">
        <v>40118</v>
      </c>
      <c r="Q525" s="1" t="n">
        <f aca="false">IF(OR($A525="",P525=""),"",ROUND(YEARFRAC(P525,README!$C$5),1))</f>
        <v>16.8</v>
      </c>
      <c r="S525" s="6" t="n">
        <v>1930</v>
      </c>
      <c r="T525" s="6" t="n">
        <v>1693</v>
      </c>
      <c r="U525" s="6" t="n">
        <v>2320</v>
      </c>
      <c r="V525" s="6" t="n">
        <v>627</v>
      </c>
      <c r="W525" s="6" t="n">
        <v>0.958</v>
      </c>
      <c r="X525" s="6" t="n">
        <v>1</v>
      </c>
      <c r="Z525" s="6" t="s">
        <v>1949</v>
      </c>
      <c r="AA525" s="9" t="s">
        <v>528</v>
      </c>
      <c r="AB525" s="6" t="s">
        <v>2175</v>
      </c>
      <c r="AE525" s="37" t="n">
        <f aca="false">COUNTIF(環境認証!$A$2:$A$849,A525)</f>
        <v>1</v>
      </c>
      <c r="AF525" s="6" t="n">
        <v>37</v>
      </c>
      <c r="AG525" s="6" t="n">
        <v>20.2</v>
      </c>
    </row>
    <row r="526" customFormat="false" ht="15" hidden="false" customHeight="true" outlineLevel="0" collapsed="false">
      <c r="A526" s="6" t="s">
        <v>2176</v>
      </c>
      <c r="B526" s="6" t="s">
        <v>463</v>
      </c>
      <c r="C526" s="9" t="s">
        <v>2177</v>
      </c>
      <c r="D526" s="9" t="s">
        <v>959</v>
      </c>
      <c r="E526" s="9" t="s">
        <v>604</v>
      </c>
      <c r="F526" s="9" t="s">
        <v>720</v>
      </c>
      <c r="H526" s="6" t="s">
        <v>599</v>
      </c>
      <c r="M526" s="6" t="n">
        <v>4102.08</v>
      </c>
      <c r="P526" s="46" t="n">
        <v>40087</v>
      </c>
      <c r="Q526" s="1" t="n">
        <f aca="false">IF(OR($A526="",P526=""),"",ROUND(YEARFRAC(P526,README!$C$5),1))</f>
        <v>16.9</v>
      </c>
      <c r="S526" s="6" t="n">
        <v>1250</v>
      </c>
      <c r="T526" s="6" t="n">
        <v>1333</v>
      </c>
      <c r="U526" s="6" t="n">
        <v>1430</v>
      </c>
      <c r="V526" s="6" t="n">
        <v>97</v>
      </c>
      <c r="W526" s="6" t="n">
        <v>0.97</v>
      </c>
      <c r="X526" s="6" t="n">
        <v>1</v>
      </c>
      <c r="Z526" s="6" t="s">
        <v>1949</v>
      </c>
      <c r="AA526" s="9" t="s">
        <v>528</v>
      </c>
      <c r="AB526" s="6" t="s">
        <v>2178</v>
      </c>
      <c r="AE526" s="37" t="n">
        <f aca="false">COUNTIF(環境認証!$A$2:$A$849,A526)</f>
        <v>1</v>
      </c>
      <c r="AF526" s="6" t="n">
        <v>7.3</v>
      </c>
      <c r="AG526" s="6" t="n">
        <v>14.4</v>
      </c>
    </row>
    <row r="527" customFormat="false" ht="15" hidden="false" customHeight="true" outlineLevel="0" collapsed="false">
      <c r="A527" s="6" t="s">
        <v>2179</v>
      </c>
      <c r="B527" s="6" t="s">
        <v>463</v>
      </c>
      <c r="C527" s="9" t="s">
        <v>2180</v>
      </c>
      <c r="D527" s="9" t="s">
        <v>959</v>
      </c>
      <c r="E527" s="9" t="s">
        <v>596</v>
      </c>
      <c r="F527" s="9" t="s">
        <v>1160</v>
      </c>
      <c r="H527" s="6" t="s">
        <v>599</v>
      </c>
      <c r="M527" s="6" t="n">
        <v>10268.74</v>
      </c>
      <c r="P527" s="46" t="n">
        <v>40575</v>
      </c>
      <c r="Q527" s="1" t="n">
        <f aca="false">IF(OR($A527="",P527=""),"",ROUND(YEARFRAC(P527,README!$C$5),1))</f>
        <v>15.5</v>
      </c>
      <c r="S527" s="6" t="n">
        <v>2309</v>
      </c>
      <c r="T527" s="6" t="n">
        <v>2319</v>
      </c>
      <c r="U527" s="6" t="n">
        <v>3055</v>
      </c>
      <c r="V527" s="6" t="n">
        <v>736</v>
      </c>
      <c r="W527" s="6" t="n">
        <v>0.966</v>
      </c>
      <c r="X527" s="6" t="n">
        <v>1</v>
      </c>
      <c r="Z527" s="6" t="s">
        <v>1949</v>
      </c>
      <c r="AA527" s="9" t="s">
        <v>528</v>
      </c>
      <c r="AB527" s="6" t="s">
        <v>2181</v>
      </c>
      <c r="AE527" s="37" t="n">
        <f aca="false">COUNTIF(環境認証!$A$2:$A$849,A527)</f>
        <v>1</v>
      </c>
      <c r="AF527" s="6" t="n">
        <v>31.7</v>
      </c>
      <c r="AG527" s="6" t="n">
        <v>32.3</v>
      </c>
    </row>
    <row r="528" customFormat="false" ht="15" hidden="false" customHeight="true" outlineLevel="0" collapsed="false">
      <c r="A528" s="6" t="s">
        <v>2182</v>
      </c>
      <c r="B528" s="6" t="s">
        <v>463</v>
      </c>
      <c r="C528" s="9" t="s">
        <v>2183</v>
      </c>
      <c r="D528" s="9" t="s">
        <v>959</v>
      </c>
      <c r="E528" s="9" t="s">
        <v>523</v>
      </c>
      <c r="F528" s="9" t="s">
        <v>609</v>
      </c>
      <c r="H528" s="9" t="s">
        <v>540</v>
      </c>
      <c r="M528" s="6" t="n">
        <v>3409.16</v>
      </c>
      <c r="P528" s="46" t="n">
        <v>40544</v>
      </c>
      <c r="Q528" s="1" t="n">
        <f aca="false">IF(OR($A528="",P528=""),"",ROUND(YEARFRAC(P528,README!$C$5),1))</f>
        <v>15.6</v>
      </c>
      <c r="S528" s="6" t="n">
        <v>1910</v>
      </c>
      <c r="T528" s="6" t="n">
        <v>1745</v>
      </c>
      <c r="U528" s="6" t="n">
        <v>2070</v>
      </c>
      <c r="V528" s="6" t="n">
        <v>325</v>
      </c>
      <c r="W528" s="6" t="n">
        <v>1</v>
      </c>
      <c r="X528" s="6" t="n">
        <v>1</v>
      </c>
      <c r="Z528" s="6" t="s">
        <v>1949</v>
      </c>
      <c r="AA528" s="9" t="s">
        <v>528</v>
      </c>
      <c r="AB528" s="6" t="s">
        <v>2184</v>
      </c>
      <c r="AE528" s="37" t="n">
        <f aca="false">COUNTIF(環境認証!$A$2:$A$849,A528)</f>
        <v>1</v>
      </c>
      <c r="AF528" s="6" t="n">
        <v>18.6</v>
      </c>
      <c r="AG528" s="6" t="n">
        <v>8.4</v>
      </c>
    </row>
    <row r="529" customFormat="false" ht="15" hidden="false" customHeight="true" outlineLevel="0" collapsed="false">
      <c r="A529" s="6" t="s">
        <v>2185</v>
      </c>
      <c r="B529" s="6" t="s">
        <v>463</v>
      </c>
      <c r="C529" s="9" t="s">
        <v>2186</v>
      </c>
      <c r="D529" s="9" t="s">
        <v>959</v>
      </c>
      <c r="E529" s="9" t="s">
        <v>523</v>
      </c>
      <c r="F529" s="9" t="s">
        <v>648</v>
      </c>
      <c r="H529" s="9" t="s">
        <v>525</v>
      </c>
      <c r="M529" s="6" t="n">
        <v>3010.66</v>
      </c>
      <c r="P529" s="46" t="n">
        <v>41791</v>
      </c>
      <c r="Q529" s="1" t="n">
        <f aca="false">IF(OR($A529="",P529=""),"",ROUND(YEARFRAC(P529,README!$C$5),1))</f>
        <v>12.2</v>
      </c>
      <c r="S529" s="6" t="n">
        <v>4360</v>
      </c>
      <c r="T529" s="6" t="n">
        <v>4144</v>
      </c>
      <c r="U529" s="6" t="n">
        <v>5880</v>
      </c>
      <c r="V529" s="6" t="n">
        <v>1736</v>
      </c>
      <c r="W529" s="6" t="n">
        <v>0.95</v>
      </c>
      <c r="X529" s="6" t="n">
        <v>1</v>
      </c>
      <c r="Z529" s="6" t="s">
        <v>1949</v>
      </c>
      <c r="AA529" s="9" t="s">
        <v>528</v>
      </c>
      <c r="AB529" s="6" t="s">
        <v>2187</v>
      </c>
      <c r="AE529" s="37" t="n">
        <f aca="false">COUNTIF(環境認証!$A$2:$A$849,A529)</f>
        <v>1</v>
      </c>
      <c r="AF529" s="6" t="n">
        <v>41.9</v>
      </c>
      <c r="AG529" s="6" t="n">
        <v>34.9</v>
      </c>
    </row>
    <row r="530" customFormat="false" ht="15" hidden="false" customHeight="true" outlineLevel="0" collapsed="false">
      <c r="A530" s="6" t="s">
        <v>2188</v>
      </c>
      <c r="B530" s="6" t="s">
        <v>463</v>
      </c>
      <c r="C530" s="9" t="s">
        <v>2189</v>
      </c>
      <c r="D530" s="9" t="s">
        <v>959</v>
      </c>
      <c r="H530" s="9" t="s">
        <v>611</v>
      </c>
      <c r="Q530" s="1" t="str">
        <f aca="false">IF(OR($A530="",P530=""),"",ROUND(YEARFRAC(P530,README!$C$5),1))</f>
        <v/>
      </c>
      <c r="V530" s="1" t="str">
        <f aca="false">IF($A530="","",IF(OR(T530="",U530=""),"",U530-T530))</f>
        <v/>
      </c>
      <c r="Z530" s="6" t="s">
        <v>1949</v>
      </c>
      <c r="AA530" s="9" t="s">
        <v>528</v>
      </c>
      <c r="AB530" s="6" t="s">
        <v>2190</v>
      </c>
      <c r="AE530" s="37" t="n">
        <f aca="false">COUNTIF(環境認証!$A$2:$A$849,A530)</f>
        <v>0</v>
      </c>
    </row>
    <row r="531" customFormat="false" ht="15" hidden="false" customHeight="true" outlineLevel="0" collapsed="false">
      <c r="A531" s="6" t="s">
        <v>2191</v>
      </c>
      <c r="B531" s="6" t="s">
        <v>463</v>
      </c>
      <c r="C531" s="9" t="s">
        <v>2192</v>
      </c>
      <c r="D531" s="9" t="s">
        <v>959</v>
      </c>
      <c r="E531" s="9" t="s">
        <v>523</v>
      </c>
      <c r="F531" s="9" t="s">
        <v>2193</v>
      </c>
      <c r="H531" s="9" t="s">
        <v>550</v>
      </c>
      <c r="M531" s="6" t="n">
        <v>2827.55</v>
      </c>
      <c r="P531" s="46" t="n">
        <v>40179</v>
      </c>
      <c r="Q531" s="1" t="n">
        <f aca="false">IF(OR($A531="",P531=""),"",ROUND(YEARFRAC(P531,README!$C$5),1))</f>
        <v>16.6</v>
      </c>
      <c r="S531" s="6" t="n">
        <v>1390</v>
      </c>
      <c r="T531" s="6" t="n">
        <v>1304</v>
      </c>
      <c r="U531" s="6" t="n">
        <v>1840</v>
      </c>
      <c r="V531" s="6" t="n">
        <v>536</v>
      </c>
      <c r="W531" s="6" t="n">
        <v>0.962</v>
      </c>
      <c r="X531" s="6" t="n">
        <v>1</v>
      </c>
      <c r="Z531" s="6" t="s">
        <v>1949</v>
      </c>
      <c r="AA531" s="9" t="s">
        <v>528</v>
      </c>
      <c r="AB531" s="6" t="s">
        <v>2194</v>
      </c>
      <c r="AE531" s="37" t="n">
        <f aca="false">COUNTIF(環境認証!$A$2:$A$849,A531)</f>
        <v>1</v>
      </c>
      <c r="AF531" s="6" t="n">
        <v>41.1</v>
      </c>
      <c r="AG531" s="6" t="n">
        <v>32.4</v>
      </c>
    </row>
    <row r="532" customFormat="false" ht="15" hidden="false" customHeight="true" outlineLevel="0" collapsed="false">
      <c r="A532" s="6" t="s">
        <v>2195</v>
      </c>
      <c r="B532" s="6" t="s">
        <v>463</v>
      </c>
      <c r="C532" s="9" t="s">
        <v>2196</v>
      </c>
      <c r="D532" s="9" t="s">
        <v>959</v>
      </c>
      <c r="E532" s="9" t="s">
        <v>547</v>
      </c>
      <c r="F532" s="9" t="s">
        <v>701</v>
      </c>
      <c r="H532" s="9" t="s">
        <v>550</v>
      </c>
      <c r="M532" s="6" t="n">
        <v>5461.13</v>
      </c>
      <c r="P532" s="46" t="n">
        <v>41791</v>
      </c>
      <c r="Q532" s="1" t="n">
        <f aca="false">IF(OR($A532="",P532=""),"",ROUND(YEARFRAC(P532,README!$C$5),1))</f>
        <v>12.2</v>
      </c>
      <c r="S532" s="6" t="n">
        <v>4870</v>
      </c>
      <c r="T532" s="6" t="n">
        <v>4364</v>
      </c>
      <c r="U532" s="6" t="n">
        <v>5480</v>
      </c>
      <c r="V532" s="6" t="n">
        <v>1116</v>
      </c>
      <c r="W532" s="6" t="n">
        <v>0.995</v>
      </c>
      <c r="X532" s="6" t="n">
        <v>1</v>
      </c>
      <c r="Z532" s="6" t="s">
        <v>1949</v>
      </c>
      <c r="AA532" s="9" t="s">
        <v>528</v>
      </c>
      <c r="AB532" s="6" t="s">
        <v>2197</v>
      </c>
      <c r="AE532" s="37" t="n">
        <f aca="false">COUNTIF(環境認証!$A$2:$A$849,A532)</f>
        <v>1</v>
      </c>
      <c r="AF532" s="6" t="n">
        <v>25.6</v>
      </c>
      <c r="AG532" s="6" t="n">
        <v>12.5</v>
      </c>
    </row>
    <row r="533" customFormat="false" ht="15" hidden="false" customHeight="true" outlineLevel="0" collapsed="false">
      <c r="A533" s="6" t="s">
        <v>2198</v>
      </c>
      <c r="B533" s="6" t="s">
        <v>463</v>
      </c>
      <c r="C533" s="9" t="s">
        <v>2199</v>
      </c>
      <c r="D533" s="9" t="s">
        <v>959</v>
      </c>
      <c r="E533" s="9" t="s">
        <v>1363</v>
      </c>
      <c r="F533" s="9" t="s">
        <v>1364</v>
      </c>
      <c r="H533" s="9" t="s">
        <v>569</v>
      </c>
      <c r="M533" s="6" t="n">
        <v>15341.68</v>
      </c>
      <c r="P533" s="46" t="n">
        <v>37288</v>
      </c>
      <c r="Q533" s="1" t="n">
        <f aca="false">IF(OR($A533="",P533=""),"",ROUND(YEARFRAC(P533,README!$C$5),1))</f>
        <v>24.5</v>
      </c>
      <c r="S533" s="6" t="n">
        <v>5880</v>
      </c>
      <c r="T533" s="6" t="n">
        <v>5246</v>
      </c>
      <c r="U533" s="6" t="n">
        <v>6000</v>
      </c>
      <c r="V533" s="6" t="n">
        <v>754</v>
      </c>
      <c r="W533" s="6" t="n">
        <v>1</v>
      </c>
      <c r="X533" s="6" t="n">
        <v>1</v>
      </c>
      <c r="Z533" s="6" t="s">
        <v>1949</v>
      </c>
      <c r="AA533" s="9" t="s">
        <v>528</v>
      </c>
      <c r="AB533" s="6" t="s">
        <v>2200</v>
      </c>
      <c r="AE533" s="37" t="n">
        <f aca="false">COUNTIF(環境認証!$A$2:$A$849,A533)</f>
        <v>1</v>
      </c>
      <c r="AF533" s="6" t="n">
        <v>14.4</v>
      </c>
      <c r="AG533" s="6" t="n">
        <v>2</v>
      </c>
    </row>
    <row r="534" customFormat="false" ht="15" hidden="false" customHeight="true" outlineLevel="0" collapsed="false">
      <c r="A534" s="6" t="s">
        <v>2201</v>
      </c>
      <c r="B534" s="6" t="s">
        <v>463</v>
      </c>
      <c r="C534" s="9" t="s">
        <v>2202</v>
      </c>
      <c r="D534" s="9" t="s">
        <v>959</v>
      </c>
      <c r="E534" s="9" t="s">
        <v>523</v>
      </c>
      <c r="F534" s="9" t="s">
        <v>648</v>
      </c>
      <c r="H534" s="9" t="s">
        <v>525</v>
      </c>
      <c r="M534" s="6" t="n">
        <v>1972.59</v>
      </c>
      <c r="P534" s="46" t="n">
        <v>41821</v>
      </c>
      <c r="Q534" s="1" t="n">
        <f aca="false">IF(OR($A534="",P534=""),"",ROUND(YEARFRAC(P534,README!$C$5),1))</f>
        <v>12.1</v>
      </c>
      <c r="S534" s="6" t="n">
        <v>2430</v>
      </c>
      <c r="T534" s="6" t="n">
        <v>2331</v>
      </c>
      <c r="U534" s="6" t="n">
        <v>3020</v>
      </c>
      <c r="V534" s="6" t="n">
        <v>689</v>
      </c>
      <c r="W534" s="6" t="n">
        <v>0.987</v>
      </c>
      <c r="X534" s="6" t="n">
        <v>1</v>
      </c>
      <c r="Z534" s="6" t="s">
        <v>1949</v>
      </c>
      <c r="AA534" s="9" t="s">
        <v>528</v>
      </c>
      <c r="AB534" s="6" t="s">
        <v>2203</v>
      </c>
      <c r="AE534" s="37" t="n">
        <f aca="false">COUNTIF(環境認証!$A$2:$A$849,A534)</f>
        <v>1</v>
      </c>
      <c r="AF534" s="6" t="n">
        <v>29.6</v>
      </c>
      <c r="AG534" s="6" t="n">
        <v>24.3</v>
      </c>
    </row>
    <row r="535" customFormat="false" ht="15" hidden="false" customHeight="true" outlineLevel="0" collapsed="false">
      <c r="A535" s="6" t="s">
        <v>2204</v>
      </c>
      <c r="B535" s="6" t="s">
        <v>463</v>
      </c>
      <c r="C535" s="9" t="s">
        <v>2205</v>
      </c>
      <c r="D535" s="9" t="s">
        <v>959</v>
      </c>
      <c r="E535" s="9" t="s">
        <v>523</v>
      </c>
      <c r="F535" s="9" t="s">
        <v>648</v>
      </c>
      <c r="H535" s="9" t="s">
        <v>525</v>
      </c>
      <c r="M535" s="6" t="n">
        <v>2879.2</v>
      </c>
      <c r="P535" s="46" t="n">
        <v>41974</v>
      </c>
      <c r="Q535" s="1" t="n">
        <f aca="false">IF(OR($A535="",P535=""),"",ROUND(YEARFRAC(P535,README!$C$5),1))</f>
        <v>11.7</v>
      </c>
      <c r="S535" s="6" t="n">
        <v>3010</v>
      </c>
      <c r="T535" s="6" t="n">
        <v>2808</v>
      </c>
      <c r="U535" s="6" t="n">
        <v>3550</v>
      </c>
      <c r="V535" s="6" t="n">
        <v>742</v>
      </c>
      <c r="W535" s="6" t="n">
        <v>0.965</v>
      </c>
      <c r="X535" s="6" t="n">
        <v>1</v>
      </c>
      <c r="Z535" s="6" t="s">
        <v>1949</v>
      </c>
      <c r="AA535" s="9" t="s">
        <v>528</v>
      </c>
      <c r="AB535" s="6" t="s">
        <v>2206</v>
      </c>
      <c r="AE535" s="37" t="n">
        <f aca="false">COUNTIF(環境認証!$A$2:$A$849,A535)</f>
        <v>1</v>
      </c>
      <c r="AF535" s="6" t="n">
        <v>26.4</v>
      </c>
      <c r="AG535" s="6" t="n">
        <v>17.9</v>
      </c>
    </row>
    <row r="536" customFormat="false" ht="15" hidden="false" customHeight="true" outlineLevel="0" collapsed="false">
      <c r="A536" s="6" t="s">
        <v>2207</v>
      </c>
      <c r="B536" s="6" t="s">
        <v>463</v>
      </c>
      <c r="C536" s="9" t="s">
        <v>2208</v>
      </c>
      <c r="D536" s="9" t="s">
        <v>959</v>
      </c>
      <c r="E536" s="9" t="s">
        <v>573</v>
      </c>
      <c r="F536" s="9" t="s">
        <v>680</v>
      </c>
      <c r="H536" s="9" t="s">
        <v>569</v>
      </c>
      <c r="M536" s="6" t="n">
        <v>2225.52</v>
      </c>
      <c r="P536" s="46" t="n">
        <v>38565</v>
      </c>
      <c r="Q536" s="1" t="n">
        <f aca="false">IF(OR($A536="",P536=""),"",ROUND(YEARFRAC(P536,README!$C$5),1))</f>
        <v>21</v>
      </c>
      <c r="S536" s="6" t="n">
        <v>1040</v>
      </c>
      <c r="T536" s="6" t="n">
        <v>1016</v>
      </c>
      <c r="U536" s="6" t="n">
        <v>1210</v>
      </c>
      <c r="V536" s="6" t="n">
        <v>194</v>
      </c>
      <c r="W536" s="6" t="n">
        <v>0.951</v>
      </c>
      <c r="X536" s="6" t="n">
        <v>1</v>
      </c>
      <c r="Z536" s="6" t="s">
        <v>1949</v>
      </c>
      <c r="AA536" s="9" t="s">
        <v>528</v>
      </c>
      <c r="AB536" s="6" t="s">
        <v>2209</v>
      </c>
      <c r="AE536" s="37" t="n">
        <f aca="false">COUNTIF(環境認証!$A$2:$A$849,A536)</f>
        <v>1</v>
      </c>
      <c r="AF536" s="6" t="n">
        <v>19.1</v>
      </c>
      <c r="AG536" s="6" t="n">
        <v>16.3</v>
      </c>
    </row>
    <row r="537" customFormat="false" ht="15" hidden="false" customHeight="true" outlineLevel="0" collapsed="false">
      <c r="A537" s="6" t="s">
        <v>2210</v>
      </c>
      <c r="B537" s="6" t="s">
        <v>463</v>
      </c>
      <c r="C537" s="9" t="s">
        <v>2211</v>
      </c>
      <c r="D537" s="9" t="s">
        <v>959</v>
      </c>
      <c r="E537" s="9" t="s">
        <v>523</v>
      </c>
      <c r="F537" s="9" t="s">
        <v>532</v>
      </c>
      <c r="H537" s="9" t="s">
        <v>525</v>
      </c>
      <c r="M537" s="6" t="n">
        <v>3923.76</v>
      </c>
      <c r="P537" s="46" t="n">
        <v>42156</v>
      </c>
      <c r="Q537" s="1" t="n">
        <f aca="false">IF(OR($A537="",P537=""),"",ROUND(YEARFRAC(P537,README!$C$5),1))</f>
        <v>11.2</v>
      </c>
      <c r="S537" s="6" t="n">
        <v>4900</v>
      </c>
      <c r="T537" s="6" t="n">
        <v>4665</v>
      </c>
      <c r="U537" s="6" t="n">
        <v>5850</v>
      </c>
      <c r="V537" s="6" t="n">
        <v>1185</v>
      </c>
      <c r="W537" s="6" t="n">
        <v>0.982</v>
      </c>
      <c r="X537" s="6" t="n">
        <v>1</v>
      </c>
      <c r="Z537" s="6" t="s">
        <v>1949</v>
      </c>
      <c r="AA537" s="9" t="s">
        <v>528</v>
      </c>
      <c r="AB537" s="6" t="s">
        <v>2212</v>
      </c>
      <c r="AE537" s="37" t="n">
        <f aca="false">COUNTIF(環境認証!$A$2:$A$849,A537)</f>
        <v>1</v>
      </c>
      <c r="AF537" s="6" t="n">
        <v>25.4</v>
      </c>
      <c r="AG537" s="6" t="n">
        <v>19.4</v>
      </c>
    </row>
    <row r="538" customFormat="false" ht="15" hidden="false" customHeight="true" outlineLevel="0" collapsed="false">
      <c r="A538" s="6" t="s">
        <v>2213</v>
      </c>
      <c r="B538" s="6" t="s">
        <v>463</v>
      </c>
      <c r="C538" s="9" t="s">
        <v>2214</v>
      </c>
      <c r="D538" s="9" t="s">
        <v>959</v>
      </c>
      <c r="E538" s="9" t="s">
        <v>523</v>
      </c>
      <c r="F538" s="9" t="s">
        <v>806</v>
      </c>
      <c r="H538" s="9" t="s">
        <v>525</v>
      </c>
      <c r="M538" s="6" t="n">
        <v>4099.04</v>
      </c>
      <c r="P538" s="46" t="n">
        <v>42278</v>
      </c>
      <c r="Q538" s="1" t="n">
        <f aca="false">IF(OR($A538="",P538=""),"",ROUND(YEARFRAC(P538,README!$C$5),1))</f>
        <v>10.9</v>
      </c>
      <c r="S538" s="6" t="n">
        <v>4220</v>
      </c>
      <c r="T538" s="6" t="n">
        <v>3983</v>
      </c>
      <c r="U538" s="6" t="n">
        <v>4640</v>
      </c>
      <c r="V538" s="6" t="n">
        <v>657</v>
      </c>
      <c r="W538" s="6" t="n">
        <v>0.955</v>
      </c>
      <c r="X538" s="6" t="n">
        <v>1</v>
      </c>
      <c r="Z538" s="6" t="s">
        <v>1949</v>
      </c>
      <c r="AA538" s="9" t="s">
        <v>528</v>
      </c>
      <c r="AB538" s="6" t="s">
        <v>2215</v>
      </c>
      <c r="AE538" s="37" t="n">
        <f aca="false">COUNTIF(環境認証!$A$2:$A$849,A538)</f>
        <v>1</v>
      </c>
      <c r="AF538" s="6" t="n">
        <v>16.5</v>
      </c>
      <c r="AG538" s="6" t="n">
        <v>10</v>
      </c>
    </row>
    <row r="539" customFormat="false" ht="15" hidden="false" customHeight="true" outlineLevel="0" collapsed="false">
      <c r="A539" s="6" t="s">
        <v>2216</v>
      </c>
      <c r="B539" s="6" t="s">
        <v>463</v>
      </c>
      <c r="C539" s="9" t="s">
        <v>2217</v>
      </c>
      <c r="D539" s="9" t="s">
        <v>959</v>
      </c>
      <c r="E539" s="9" t="s">
        <v>523</v>
      </c>
      <c r="F539" s="9" t="s">
        <v>609</v>
      </c>
      <c r="H539" s="9" t="s">
        <v>540</v>
      </c>
      <c r="M539" s="6" t="n">
        <v>748.92</v>
      </c>
      <c r="P539" s="46" t="n">
        <v>42767</v>
      </c>
      <c r="Q539" s="1" t="n">
        <f aca="false">IF(OR($A539="",P539=""),"",ROUND(YEARFRAC(P539,README!$C$5),1))</f>
        <v>9.5</v>
      </c>
      <c r="S539" s="6" t="n">
        <v>655</v>
      </c>
      <c r="T539" s="6" t="n">
        <v>606</v>
      </c>
      <c r="U539" s="6" t="n">
        <v>758</v>
      </c>
      <c r="V539" s="6" t="n">
        <v>152</v>
      </c>
      <c r="W539" s="6" t="n">
        <v>1</v>
      </c>
      <c r="X539" s="6" t="n">
        <v>1</v>
      </c>
      <c r="Z539" s="6" t="s">
        <v>1949</v>
      </c>
      <c r="AA539" s="9" t="s">
        <v>528</v>
      </c>
      <c r="AB539" s="6" t="s">
        <v>2218</v>
      </c>
      <c r="AE539" s="37" t="n">
        <f aca="false">COUNTIF(環境認証!$A$2:$A$849,A539)</f>
        <v>1</v>
      </c>
      <c r="AF539" s="6" t="n">
        <v>25.1</v>
      </c>
      <c r="AG539" s="6" t="n">
        <v>15.7</v>
      </c>
    </row>
    <row r="540" customFormat="false" ht="15" hidden="false" customHeight="true" outlineLevel="0" collapsed="false">
      <c r="A540" s="6" t="s">
        <v>2219</v>
      </c>
      <c r="B540" s="6" t="s">
        <v>463</v>
      </c>
      <c r="C540" s="9" t="s">
        <v>2220</v>
      </c>
      <c r="D540" s="9" t="s">
        <v>959</v>
      </c>
      <c r="E540" s="9" t="s">
        <v>523</v>
      </c>
      <c r="F540" s="9" t="s">
        <v>625</v>
      </c>
      <c r="H540" s="9" t="s">
        <v>540</v>
      </c>
      <c r="M540" s="6" t="n">
        <v>6772.89</v>
      </c>
      <c r="P540" s="46" t="n">
        <v>42491</v>
      </c>
      <c r="Q540" s="1" t="n">
        <f aca="false">IF(OR($A540="",P540=""),"",ROUND(YEARFRAC(P540,README!$C$5),1))</f>
        <v>10.3</v>
      </c>
      <c r="S540" s="6" t="n">
        <v>7950</v>
      </c>
      <c r="T540" s="6" t="n">
        <v>7731</v>
      </c>
      <c r="U540" s="6" t="n">
        <v>11900</v>
      </c>
      <c r="V540" s="6" t="n">
        <v>4169</v>
      </c>
      <c r="W540" s="6" t="n">
        <v>0.951</v>
      </c>
      <c r="X540" s="6" t="n">
        <v>1</v>
      </c>
      <c r="Z540" s="6" t="s">
        <v>1949</v>
      </c>
      <c r="AA540" s="9" t="s">
        <v>528</v>
      </c>
      <c r="AB540" s="6" t="s">
        <v>2221</v>
      </c>
      <c r="AE540" s="37" t="n">
        <f aca="false">COUNTIF(環境認証!$A$2:$A$849,A540)</f>
        <v>1</v>
      </c>
      <c r="AF540" s="6" t="n">
        <v>53.9</v>
      </c>
      <c r="AG540" s="6" t="n">
        <v>49.7</v>
      </c>
    </row>
    <row r="541" customFormat="false" ht="15" hidden="false" customHeight="true" outlineLevel="0" collapsed="false">
      <c r="A541" s="6" t="s">
        <v>2222</v>
      </c>
      <c r="B541" s="6" t="s">
        <v>463</v>
      </c>
      <c r="C541" s="9" t="s">
        <v>2223</v>
      </c>
      <c r="D541" s="9" t="s">
        <v>959</v>
      </c>
      <c r="E541" s="9" t="s">
        <v>523</v>
      </c>
      <c r="F541" s="9" t="s">
        <v>893</v>
      </c>
      <c r="H541" s="9" t="s">
        <v>540</v>
      </c>
      <c r="M541" s="6" t="n">
        <v>3921.35</v>
      </c>
      <c r="P541" s="46" t="n">
        <v>42736</v>
      </c>
      <c r="Q541" s="1" t="n">
        <f aca="false">IF(OR($A541="",P541=""),"",ROUND(YEARFRAC(P541,README!$C$5),1))</f>
        <v>9.6</v>
      </c>
      <c r="S541" s="6" t="n">
        <v>3700</v>
      </c>
      <c r="T541" s="6" t="n">
        <v>3555</v>
      </c>
      <c r="U541" s="6" t="n">
        <v>5000</v>
      </c>
      <c r="V541" s="6" t="n">
        <v>1445</v>
      </c>
      <c r="W541" s="6" t="n">
        <v>0.98</v>
      </c>
      <c r="X541" s="6" t="n">
        <v>1</v>
      </c>
      <c r="Z541" s="6" t="s">
        <v>1949</v>
      </c>
      <c r="AA541" s="9" t="s">
        <v>528</v>
      </c>
      <c r="AB541" s="6" t="s">
        <v>2224</v>
      </c>
      <c r="AE541" s="37" t="n">
        <f aca="false">COUNTIF(環境認証!$A$2:$A$849,A541)</f>
        <v>1</v>
      </c>
      <c r="AF541" s="6" t="n">
        <v>40.6</v>
      </c>
      <c r="AG541" s="6" t="n">
        <v>35.1</v>
      </c>
    </row>
    <row r="542" customFormat="false" ht="15" hidden="false" customHeight="true" outlineLevel="0" collapsed="false">
      <c r="A542" s="6" t="s">
        <v>2225</v>
      </c>
      <c r="B542" s="6" t="s">
        <v>463</v>
      </c>
      <c r="C542" s="9" t="s">
        <v>2226</v>
      </c>
      <c r="D542" s="9" t="s">
        <v>959</v>
      </c>
      <c r="E542" s="9" t="s">
        <v>523</v>
      </c>
      <c r="F542" s="9" t="s">
        <v>539</v>
      </c>
      <c r="H542" s="9" t="s">
        <v>540</v>
      </c>
      <c r="M542" s="6" t="n">
        <v>2033.06</v>
      </c>
      <c r="P542" s="46" t="n">
        <v>42644</v>
      </c>
      <c r="Q542" s="1" t="n">
        <f aca="false">IF(OR($A542="",P542=""),"",ROUND(YEARFRAC(P542,README!$C$5),1))</f>
        <v>9.9</v>
      </c>
      <c r="S542" s="6" t="n">
        <v>1680</v>
      </c>
      <c r="T542" s="6" t="n">
        <v>1628</v>
      </c>
      <c r="U542" s="6" t="n">
        <v>2240</v>
      </c>
      <c r="V542" s="6" t="n">
        <v>612</v>
      </c>
      <c r="W542" s="6" t="n">
        <v>0.96</v>
      </c>
      <c r="X542" s="6" t="n">
        <v>1</v>
      </c>
      <c r="Z542" s="6" t="s">
        <v>1949</v>
      </c>
      <c r="AA542" s="9" t="s">
        <v>528</v>
      </c>
      <c r="AB542" s="6" t="s">
        <v>2227</v>
      </c>
      <c r="AE542" s="37" t="n">
        <f aca="false">COUNTIF(環境認証!$A$2:$A$849,A542)</f>
        <v>1</v>
      </c>
      <c r="AF542" s="6" t="n">
        <v>37.6</v>
      </c>
      <c r="AG542" s="6" t="n">
        <v>33.3</v>
      </c>
    </row>
    <row r="543" customFormat="false" ht="15" hidden="false" customHeight="true" outlineLevel="0" collapsed="false">
      <c r="A543" s="6" t="s">
        <v>2228</v>
      </c>
      <c r="B543" s="6" t="s">
        <v>463</v>
      </c>
      <c r="C543" s="9" t="s">
        <v>2229</v>
      </c>
      <c r="D543" s="9" t="s">
        <v>959</v>
      </c>
      <c r="E543" s="9" t="s">
        <v>523</v>
      </c>
      <c r="F543" s="9" t="s">
        <v>906</v>
      </c>
      <c r="H543" s="9" t="s">
        <v>540</v>
      </c>
      <c r="M543" s="6" t="n">
        <v>1779.17</v>
      </c>
      <c r="P543" s="46" t="n">
        <v>42736</v>
      </c>
      <c r="Q543" s="1" t="n">
        <f aca="false">IF(OR($A543="",P543=""),"",ROUND(YEARFRAC(P543,README!$C$5),1))</f>
        <v>9.6</v>
      </c>
      <c r="S543" s="6" t="n">
        <v>2520</v>
      </c>
      <c r="T543" s="6" t="n">
        <v>2458</v>
      </c>
      <c r="U543" s="6" t="n">
        <v>3570</v>
      </c>
      <c r="V543" s="6" t="n">
        <v>1112</v>
      </c>
      <c r="W543" s="6" t="n">
        <v>1</v>
      </c>
      <c r="X543" s="6" t="n">
        <v>1</v>
      </c>
      <c r="Z543" s="6" t="s">
        <v>1949</v>
      </c>
      <c r="AA543" s="9" t="s">
        <v>528</v>
      </c>
      <c r="AB543" s="6" t="s">
        <v>2230</v>
      </c>
      <c r="AE543" s="37" t="n">
        <f aca="false">COUNTIF(環境認証!$A$2:$A$849,A543)</f>
        <v>1</v>
      </c>
      <c r="AF543" s="6" t="n">
        <v>45.2</v>
      </c>
      <c r="AG543" s="6" t="n">
        <v>41.7</v>
      </c>
    </row>
    <row r="544" customFormat="false" ht="15" hidden="false" customHeight="true" outlineLevel="0" collapsed="false">
      <c r="A544" s="6" t="s">
        <v>2231</v>
      </c>
      <c r="B544" s="6" t="s">
        <v>463</v>
      </c>
      <c r="C544" s="9" t="s">
        <v>2232</v>
      </c>
      <c r="D544" s="9" t="s">
        <v>959</v>
      </c>
      <c r="E544" s="9" t="s">
        <v>523</v>
      </c>
      <c r="F544" s="9" t="s">
        <v>625</v>
      </c>
      <c r="H544" s="9" t="s">
        <v>540</v>
      </c>
      <c r="M544" s="6" t="n">
        <v>3569.73</v>
      </c>
      <c r="P544" s="46" t="n">
        <v>40544</v>
      </c>
      <c r="Q544" s="1" t="n">
        <f aca="false">IF(OR($A544="",P544=""),"",ROUND(YEARFRAC(P544,README!$C$5),1))</f>
        <v>15.6</v>
      </c>
      <c r="S544" s="6" t="n">
        <v>3400</v>
      </c>
      <c r="T544" s="6" t="n">
        <v>3356</v>
      </c>
      <c r="U544" s="6" t="n">
        <v>5690</v>
      </c>
      <c r="V544" s="6" t="n">
        <v>2334</v>
      </c>
      <c r="W544" s="6" t="n">
        <v>0.891</v>
      </c>
      <c r="X544" s="6" t="n">
        <v>1</v>
      </c>
      <c r="Z544" s="6" t="s">
        <v>1949</v>
      </c>
      <c r="AA544" s="9" t="s">
        <v>528</v>
      </c>
      <c r="AB544" s="6" t="s">
        <v>2233</v>
      </c>
      <c r="AE544" s="37" t="n">
        <f aca="false">COUNTIF(環境認証!$A$2:$A$849,A544)</f>
        <v>1</v>
      </c>
      <c r="AF544" s="6" t="n">
        <v>69.5</v>
      </c>
      <c r="AG544" s="6" t="n">
        <v>67.4</v>
      </c>
    </row>
    <row r="545" customFormat="false" ht="15" hidden="false" customHeight="true" outlineLevel="0" collapsed="false">
      <c r="A545" s="6" t="s">
        <v>2234</v>
      </c>
      <c r="B545" s="6" t="s">
        <v>463</v>
      </c>
      <c r="C545" s="9" t="s">
        <v>2235</v>
      </c>
      <c r="D545" s="9" t="s">
        <v>959</v>
      </c>
      <c r="E545" s="9" t="s">
        <v>523</v>
      </c>
      <c r="F545" s="9" t="s">
        <v>543</v>
      </c>
      <c r="H545" s="9" t="s">
        <v>540</v>
      </c>
      <c r="M545" s="6" t="n">
        <v>23538.73</v>
      </c>
      <c r="P545" s="46" t="n">
        <v>39479</v>
      </c>
      <c r="Q545" s="1" t="n">
        <f aca="false">IF(OR($A545="",P545=""),"",ROUND(YEARFRAC(P545,README!$C$5),1))</f>
        <v>18.5</v>
      </c>
      <c r="S545" s="6" t="n">
        <v>6050</v>
      </c>
      <c r="T545" s="6" t="n">
        <v>6065</v>
      </c>
      <c r="U545" s="6" t="n">
        <v>8060</v>
      </c>
      <c r="V545" s="6" t="n">
        <v>1995</v>
      </c>
      <c r="W545" s="6" t="n">
        <v>0.928</v>
      </c>
      <c r="X545" s="6" t="n">
        <v>1</v>
      </c>
      <c r="Z545" s="6" t="s">
        <v>1949</v>
      </c>
      <c r="AA545" s="9" t="s">
        <v>528</v>
      </c>
      <c r="AB545" s="6" t="s">
        <v>2236</v>
      </c>
      <c r="AE545" s="37" t="n">
        <f aca="false">COUNTIF(環境認証!$A$2:$A$849,A545)</f>
        <v>1</v>
      </c>
      <c r="AF545" s="6" t="n">
        <v>32.9</v>
      </c>
      <c r="AG545" s="6" t="n">
        <v>33.2</v>
      </c>
    </row>
    <row r="546" customFormat="false" ht="15" hidden="false" customHeight="true" outlineLevel="0" collapsed="false">
      <c r="A546" s="6" t="s">
        <v>2237</v>
      </c>
      <c r="B546" s="6" t="s">
        <v>463</v>
      </c>
      <c r="C546" s="9" t="s">
        <v>2238</v>
      </c>
      <c r="D546" s="9" t="s">
        <v>959</v>
      </c>
      <c r="E546" s="9" t="s">
        <v>596</v>
      </c>
      <c r="F546" s="9" t="s">
        <v>1160</v>
      </c>
      <c r="H546" s="6" t="s">
        <v>599</v>
      </c>
      <c r="M546" s="6" t="n">
        <v>1430.6</v>
      </c>
      <c r="P546" s="46" t="n">
        <v>39448</v>
      </c>
      <c r="Q546" s="1" t="n">
        <f aca="false">IF(OR($A546="",P546=""),"",ROUND(YEARFRAC(P546,README!$C$5),1))</f>
        <v>18.6</v>
      </c>
      <c r="S546" s="6" t="n">
        <v>390</v>
      </c>
      <c r="T546" s="6" t="n">
        <v>424</v>
      </c>
      <c r="U546" s="6" t="n">
        <v>455</v>
      </c>
      <c r="V546" s="6" t="n">
        <v>31</v>
      </c>
      <c r="W546" s="6" t="n">
        <v>1</v>
      </c>
      <c r="X546" s="6" t="n">
        <v>1</v>
      </c>
      <c r="Z546" s="6" t="s">
        <v>1949</v>
      </c>
      <c r="AA546" s="9" t="s">
        <v>528</v>
      </c>
      <c r="AB546" s="6" t="s">
        <v>2239</v>
      </c>
      <c r="AE546" s="37" t="n">
        <f aca="false">COUNTIF(環境認証!$A$2:$A$849,A546)</f>
        <v>1</v>
      </c>
      <c r="AF546" s="6" t="n">
        <v>7.3</v>
      </c>
      <c r="AG546" s="6" t="n">
        <v>16.7</v>
      </c>
    </row>
    <row r="547" customFormat="false" ht="15" hidden="false" customHeight="true" outlineLevel="0" collapsed="false">
      <c r="A547" s="6" t="s">
        <v>2240</v>
      </c>
      <c r="B547" s="6" t="s">
        <v>463</v>
      </c>
      <c r="C547" s="9" t="s">
        <v>2241</v>
      </c>
      <c r="D547" s="9" t="s">
        <v>959</v>
      </c>
      <c r="E547" s="9" t="s">
        <v>523</v>
      </c>
      <c r="F547" s="9" t="s">
        <v>532</v>
      </c>
      <c r="H547" s="9" t="s">
        <v>525</v>
      </c>
      <c r="M547" s="6" t="n">
        <v>1387.12</v>
      </c>
      <c r="P547" s="46" t="n">
        <v>43009</v>
      </c>
      <c r="Q547" s="1" t="n">
        <f aca="false">IF(OR($A547="",P547=""),"",ROUND(YEARFRAC(P547,README!$C$5),1))</f>
        <v>8.9</v>
      </c>
      <c r="S547" s="6" t="n">
        <v>2040</v>
      </c>
      <c r="T547" s="6" t="n">
        <v>1999</v>
      </c>
      <c r="U547" s="6" t="n">
        <v>2610</v>
      </c>
      <c r="V547" s="6" t="n">
        <v>611</v>
      </c>
      <c r="W547" s="6" t="n">
        <v>0.953</v>
      </c>
      <c r="X547" s="6" t="n">
        <v>1</v>
      </c>
      <c r="Z547" s="6" t="s">
        <v>1949</v>
      </c>
      <c r="AA547" s="9" t="s">
        <v>528</v>
      </c>
      <c r="AB547" s="6" t="s">
        <v>2242</v>
      </c>
      <c r="AE547" s="37" t="n">
        <f aca="false">COUNTIF(環境認証!$A$2:$A$849,A547)</f>
        <v>1</v>
      </c>
      <c r="AF547" s="6" t="n">
        <v>30.6</v>
      </c>
      <c r="AG547" s="6" t="n">
        <v>27.9</v>
      </c>
    </row>
    <row r="548" customFormat="false" ht="15" hidden="false" customHeight="true" outlineLevel="0" collapsed="false">
      <c r="A548" s="6" t="s">
        <v>2243</v>
      </c>
      <c r="B548" s="6" t="s">
        <v>463</v>
      </c>
      <c r="C548" s="9" t="s">
        <v>2244</v>
      </c>
      <c r="D548" s="9" t="s">
        <v>959</v>
      </c>
      <c r="E548" s="9" t="s">
        <v>523</v>
      </c>
      <c r="F548" s="9" t="s">
        <v>934</v>
      </c>
      <c r="H548" s="9" t="s">
        <v>540</v>
      </c>
      <c r="M548" s="6" t="n">
        <v>2423.46</v>
      </c>
      <c r="P548" s="46" t="n">
        <v>43160</v>
      </c>
      <c r="Q548" s="1" t="n">
        <f aca="false">IF(OR($A548="",P548=""),"",ROUND(YEARFRAC(P548,README!$C$5),1))</f>
        <v>8.4</v>
      </c>
      <c r="S548" s="6" t="n">
        <v>2600</v>
      </c>
      <c r="T548" s="6" t="n">
        <v>2530</v>
      </c>
      <c r="U548" s="6" t="n">
        <v>3200</v>
      </c>
      <c r="V548" s="6" t="n">
        <v>670</v>
      </c>
      <c r="W548" s="6" t="n">
        <v>0.947</v>
      </c>
      <c r="X548" s="6" t="n">
        <v>1</v>
      </c>
      <c r="Z548" s="6" t="s">
        <v>1949</v>
      </c>
      <c r="AA548" s="9" t="s">
        <v>528</v>
      </c>
      <c r="AB548" s="6" t="s">
        <v>2245</v>
      </c>
      <c r="AE548" s="37" t="n">
        <f aca="false">COUNTIF(環境認証!$A$2:$A$849,A548)</f>
        <v>1</v>
      </c>
      <c r="AF548" s="6" t="n">
        <v>26.5</v>
      </c>
      <c r="AG548" s="6" t="n">
        <v>23.1</v>
      </c>
    </row>
    <row r="549" customFormat="false" ht="15" hidden="false" customHeight="true" outlineLevel="0" collapsed="false">
      <c r="A549" s="6" t="s">
        <v>2246</v>
      </c>
      <c r="B549" s="6" t="s">
        <v>463</v>
      </c>
      <c r="C549" s="9" t="s">
        <v>2247</v>
      </c>
      <c r="D549" s="9" t="s">
        <v>959</v>
      </c>
      <c r="E549" s="9" t="s">
        <v>523</v>
      </c>
      <c r="F549" s="9" t="s">
        <v>539</v>
      </c>
      <c r="H549" s="9" t="s">
        <v>540</v>
      </c>
      <c r="M549" s="6" t="n">
        <v>2259.4</v>
      </c>
      <c r="P549" s="46" t="n">
        <v>43405</v>
      </c>
      <c r="Q549" s="1" t="n">
        <f aca="false">IF(OR($A549="",P549=""),"",ROUND(YEARFRAC(P549,README!$C$5),1))</f>
        <v>7.8</v>
      </c>
      <c r="S549" s="6" t="n">
        <v>2190</v>
      </c>
      <c r="T549" s="6" t="n">
        <v>2116</v>
      </c>
      <c r="U549" s="6" t="n">
        <v>2620</v>
      </c>
      <c r="V549" s="6" t="n">
        <v>504</v>
      </c>
      <c r="W549" s="6" t="n">
        <v>0.978</v>
      </c>
      <c r="X549" s="6" t="n">
        <v>1</v>
      </c>
      <c r="Z549" s="6" t="s">
        <v>1949</v>
      </c>
      <c r="AA549" s="9" t="s">
        <v>528</v>
      </c>
      <c r="AB549" s="6" t="s">
        <v>2248</v>
      </c>
      <c r="AE549" s="37" t="n">
        <f aca="false">COUNTIF(環境認証!$A$2:$A$849,A549)</f>
        <v>1</v>
      </c>
      <c r="AF549" s="6" t="n">
        <v>23.8</v>
      </c>
      <c r="AG549" s="6" t="n">
        <v>19.6</v>
      </c>
    </row>
    <row r="550" customFormat="false" ht="15" hidden="false" customHeight="true" outlineLevel="0" collapsed="false">
      <c r="A550" s="6" t="s">
        <v>2249</v>
      </c>
      <c r="B550" s="6" t="s">
        <v>463</v>
      </c>
      <c r="C550" s="9" t="s">
        <v>2250</v>
      </c>
      <c r="D550" s="9" t="s">
        <v>959</v>
      </c>
      <c r="E550" s="9" t="s">
        <v>547</v>
      </c>
      <c r="F550" s="9" t="s">
        <v>701</v>
      </c>
      <c r="H550" s="9" t="s">
        <v>550</v>
      </c>
      <c r="M550" s="6" t="n">
        <v>6808.84</v>
      </c>
      <c r="P550" s="46" t="n">
        <v>33055</v>
      </c>
      <c r="Q550" s="1" t="n">
        <f aca="false">IF(OR($A550="",P550=""),"",ROUND(YEARFRAC(P550,README!$C$5),1))</f>
        <v>36.1</v>
      </c>
      <c r="S550" s="6" t="n">
        <v>3020</v>
      </c>
      <c r="T550" s="6" t="n">
        <v>2926</v>
      </c>
      <c r="U550" s="6" t="n">
        <v>3670</v>
      </c>
      <c r="V550" s="6" t="n">
        <v>744</v>
      </c>
      <c r="W550" s="6" t="n">
        <v>1</v>
      </c>
      <c r="X550" s="6" t="n">
        <v>1</v>
      </c>
      <c r="Z550" s="6" t="s">
        <v>1949</v>
      </c>
      <c r="AA550" s="9" t="s">
        <v>528</v>
      </c>
      <c r="AB550" s="6" t="s">
        <v>2251</v>
      </c>
      <c r="AE550" s="37" t="n">
        <f aca="false">COUNTIF(環境認証!$A$2:$A$849,A550)</f>
        <v>0</v>
      </c>
      <c r="AF550" s="6" t="n">
        <v>25.4</v>
      </c>
      <c r="AG550" s="6" t="n">
        <v>21.5</v>
      </c>
    </row>
    <row r="551" customFormat="false" ht="15" hidden="false" customHeight="true" outlineLevel="0" collapsed="false">
      <c r="A551" s="6" t="s">
        <v>2252</v>
      </c>
      <c r="B551" s="6" t="s">
        <v>463</v>
      </c>
      <c r="C551" s="9" t="s">
        <v>2253</v>
      </c>
      <c r="D551" s="9" t="s">
        <v>959</v>
      </c>
      <c r="H551" s="9" t="s">
        <v>611</v>
      </c>
      <c r="Q551" s="1" t="str">
        <f aca="false">IF(OR($A551="",P551=""),"",ROUND(YEARFRAC(P551,README!$C$5),1))</f>
        <v/>
      </c>
      <c r="V551" s="1" t="str">
        <f aca="false">IF($A551="","",IF(OR(T551="",U551=""),"",U551-T551))</f>
        <v/>
      </c>
      <c r="Z551" s="6" t="s">
        <v>1949</v>
      </c>
      <c r="AA551" s="9" t="s">
        <v>528</v>
      </c>
      <c r="AB551" s="6" t="s">
        <v>2254</v>
      </c>
      <c r="AE551" s="37" t="n">
        <f aca="false">COUNTIF(環境認証!$A$2:$A$849,A551)</f>
        <v>0</v>
      </c>
    </row>
    <row r="552" customFormat="false" ht="15" hidden="false" customHeight="true" outlineLevel="0" collapsed="false">
      <c r="A552" s="6" t="s">
        <v>2255</v>
      </c>
      <c r="B552" s="6" t="s">
        <v>463</v>
      </c>
      <c r="C552" s="9" t="s">
        <v>2256</v>
      </c>
      <c r="D552" s="9" t="s">
        <v>959</v>
      </c>
      <c r="E552" s="9" t="s">
        <v>724</v>
      </c>
      <c r="F552" s="9" t="s">
        <v>725</v>
      </c>
      <c r="H552" s="6" t="s">
        <v>599</v>
      </c>
      <c r="M552" s="6" t="n">
        <v>2552.4</v>
      </c>
      <c r="P552" s="46" t="n">
        <v>38718</v>
      </c>
      <c r="Q552" s="1" t="n">
        <f aca="false">IF(OR($A552="",P552=""),"",ROUND(YEARFRAC(P552,README!$C$5),1))</f>
        <v>20.6</v>
      </c>
      <c r="S552" s="6" t="n">
        <v>865</v>
      </c>
      <c r="T552" s="6" t="n">
        <v>959</v>
      </c>
      <c r="U552" s="6" t="n">
        <v>997</v>
      </c>
      <c r="V552" s="6" t="n">
        <v>38</v>
      </c>
      <c r="W552" s="6" t="n">
        <v>1</v>
      </c>
      <c r="X552" s="6" t="n">
        <v>1</v>
      </c>
      <c r="Z552" s="6" t="s">
        <v>1949</v>
      </c>
      <c r="AA552" s="9" t="s">
        <v>528</v>
      </c>
      <c r="AB552" s="6" t="s">
        <v>2257</v>
      </c>
      <c r="AE552" s="37" t="n">
        <f aca="false">COUNTIF(環境認証!$A$2:$A$849,A552)</f>
        <v>1</v>
      </c>
      <c r="AF552" s="6" t="n">
        <v>4</v>
      </c>
      <c r="AG552" s="6" t="n">
        <v>15.3</v>
      </c>
    </row>
    <row r="553" customFormat="false" ht="15" hidden="false" customHeight="true" outlineLevel="0" collapsed="false">
      <c r="A553" s="6" t="s">
        <v>2258</v>
      </c>
      <c r="B553" s="6" t="s">
        <v>463</v>
      </c>
      <c r="C553" s="9" t="s">
        <v>2259</v>
      </c>
      <c r="D553" s="9" t="s">
        <v>959</v>
      </c>
      <c r="H553" s="9" t="s">
        <v>611</v>
      </c>
      <c r="Q553" s="1" t="str">
        <f aca="false">IF(OR($A553="",P553=""),"",ROUND(YEARFRAC(P553,README!$C$5),1))</f>
        <v/>
      </c>
      <c r="V553" s="1" t="str">
        <f aca="false">IF($A553="","",IF(OR(T553="",U553=""),"",U553-T553))</f>
        <v/>
      </c>
      <c r="Z553" s="6" t="s">
        <v>1949</v>
      </c>
      <c r="AA553" s="9" t="s">
        <v>528</v>
      </c>
      <c r="AB553" s="6" t="s">
        <v>2260</v>
      </c>
      <c r="AE553" s="37" t="n">
        <f aca="false">COUNTIF(環境認証!$A$2:$A$849,A553)</f>
        <v>0</v>
      </c>
    </row>
    <row r="554" customFormat="false" ht="15" hidden="false" customHeight="true" outlineLevel="0" collapsed="false">
      <c r="A554" s="6" t="s">
        <v>2261</v>
      </c>
      <c r="B554" s="6" t="s">
        <v>463</v>
      </c>
      <c r="C554" s="9" t="s">
        <v>2262</v>
      </c>
      <c r="D554" s="9" t="s">
        <v>959</v>
      </c>
      <c r="E554" s="9" t="s">
        <v>567</v>
      </c>
      <c r="F554" s="9" t="s">
        <v>676</v>
      </c>
      <c r="H554" s="9" t="s">
        <v>569</v>
      </c>
      <c r="M554" s="6" t="n">
        <v>2170.8</v>
      </c>
      <c r="P554" s="46" t="n">
        <v>40940</v>
      </c>
      <c r="Q554" s="1" t="n">
        <f aca="false">IF(OR($A554="",P554=""),"",ROUND(YEARFRAC(P554,README!$C$5),1))</f>
        <v>14.5</v>
      </c>
      <c r="S554" s="6" t="n">
        <v>900</v>
      </c>
      <c r="T554" s="6" t="n">
        <v>915</v>
      </c>
      <c r="U554" s="6" t="n">
        <v>965</v>
      </c>
      <c r="V554" s="6" t="n">
        <v>50</v>
      </c>
      <c r="W554" s="6" t="n">
        <v>1</v>
      </c>
      <c r="X554" s="6" t="n">
        <v>1</v>
      </c>
      <c r="Z554" s="6" t="s">
        <v>1949</v>
      </c>
      <c r="AA554" s="9" t="s">
        <v>528</v>
      </c>
      <c r="AB554" s="6" t="s">
        <v>2263</v>
      </c>
      <c r="AE554" s="37" t="n">
        <f aca="false">COUNTIF(環境認証!$A$2:$A$849,A554)</f>
        <v>1</v>
      </c>
      <c r="AF554" s="6" t="n">
        <v>5.5</v>
      </c>
      <c r="AG554" s="6" t="n">
        <v>7.2</v>
      </c>
    </row>
    <row r="555" customFormat="false" ht="15" hidden="false" customHeight="true" outlineLevel="0" collapsed="false">
      <c r="A555" s="6" t="s">
        <v>2264</v>
      </c>
      <c r="B555" s="6" t="s">
        <v>463</v>
      </c>
      <c r="C555" s="9" t="s">
        <v>2265</v>
      </c>
      <c r="D555" s="9" t="s">
        <v>959</v>
      </c>
      <c r="E555" s="9" t="s">
        <v>567</v>
      </c>
      <c r="F555" s="9" t="s">
        <v>676</v>
      </c>
      <c r="H555" s="9" t="s">
        <v>569</v>
      </c>
      <c r="M555" s="6" t="n">
        <v>1240.28</v>
      </c>
      <c r="P555" s="46" t="n">
        <v>41640</v>
      </c>
      <c r="Q555" s="1" t="n">
        <f aca="false">IF(OR($A555="",P555=""),"",ROUND(YEARFRAC(P555,README!$C$5),1))</f>
        <v>12.6</v>
      </c>
      <c r="S555" s="6" t="n">
        <v>660</v>
      </c>
      <c r="T555" s="6" t="n">
        <v>668</v>
      </c>
      <c r="U555" s="6" t="n">
        <v>715</v>
      </c>
      <c r="V555" s="6" t="n">
        <v>47</v>
      </c>
      <c r="W555" s="6" t="n">
        <v>0.926</v>
      </c>
      <c r="X555" s="6" t="n">
        <v>1</v>
      </c>
      <c r="Z555" s="6" t="s">
        <v>1949</v>
      </c>
      <c r="AA555" s="9" t="s">
        <v>528</v>
      </c>
      <c r="AB555" s="6" t="s">
        <v>2266</v>
      </c>
      <c r="AE555" s="37" t="n">
        <f aca="false">COUNTIF(環境認証!$A$2:$A$849,A555)</f>
        <v>1</v>
      </c>
      <c r="AF555" s="6" t="n">
        <v>7</v>
      </c>
      <c r="AG555" s="6" t="n">
        <v>8.3</v>
      </c>
    </row>
    <row r="556" customFormat="false" ht="15" hidden="false" customHeight="true" outlineLevel="0" collapsed="false">
      <c r="A556" s="6" t="s">
        <v>2267</v>
      </c>
      <c r="B556" s="6" t="s">
        <v>463</v>
      </c>
      <c r="C556" s="9" t="s">
        <v>2268</v>
      </c>
      <c r="D556" s="9" t="s">
        <v>959</v>
      </c>
      <c r="E556" s="9" t="s">
        <v>523</v>
      </c>
      <c r="F556" s="9" t="s">
        <v>1462</v>
      </c>
      <c r="H556" s="9" t="s">
        <v>540</v>
      </c>
      <c r="M556" s="6" t="n">
        <v>1991.72</v>
      </c>
      <c r="P556" s="46" t="n">
        <v>43800</v>
      </c>
      <c r="Q556" s="1" t="n">
        <f aca="false">IF(OR($A556="",P556=""),"",ROUND(YEARFRAC(P556,README!$C$5),1))</f>
        <v>6.7</v>
      </c>
      <c r="S556" s="6" t="n">
        <v>2580</v>
      </c>
      <c r="T556" s="6" t="n">
        <v>2585</v>
      </c>
      <c r="U556" s="6" t="n">
        <v>2940</v>
      </c>
      <c r="V556" s="6" t="n">
        <v>355</v>
      </c>
      <c r="W556" s="6" t="n">
        <v>0.942</v>
      </c>
      <c r="X556" s="6" t="n">
        <v>1</v>
      </c>
      <c r="Z556" s="6" t="s">
        <v>1949</v>
      </c>
      <c r="AA556" s="9" t="s">
        <v>528</v>
      </c>
      <c r="AB556" s="6" t="s">
        <v>2269</v>
      </c>
      <c r="AE556" s="37" t="n">
        <f aca="false">COUNTIF(環境認証!$A$2:$A$849,A556)</f>
        <v>1</v>
      </c>
      <c r="AF556" s="6" t="n">
        <v>13.7</v>
      </c>
      <c r="AG556" s="6" t="n">
        <v>14</v>
      </c>
    </row>
    <row r="557" customFormat="false" ht="15" hidden="false" customHeight="true" outlineLevel="0" collapsed="false">
      <c r="A557" s="6" t="s">
        <v>2270</v>
      </c>
      <c r="B557" s="6" t="s">
        <v>463</v>
      </c>
      <c r="C557" s="9" t="s">
        <v>2271</v>
      </c>
      <c r="D557" s="9" t="s">
        <v>959</v>
      </c>
      <c r="E557" s="9" t="s">
        <v>523</v>
      </c>
      <c r="F557" s="9" t="s">
        <v>906</v>
      </c>
      <c r="H557" s="9" t="s">
        <v>540</v>
      </c>
      <c r="M557" s="6" t="n">
        <v>1335.62</v>
      </c>
      <c r="P557" s="46" t="n">
        <v>43313</v>
      </c>
      <c r="Q557" s="1" t="n">
        <f aca="false">IF(OR($A557="",P557=""),"",ROUND(YEARFRAC(P557,README!$C$5),1))</f>
        <v>8</v>
      </c>
      <c r="S557" s="6" t="n">
        <v>2310</v>
      </c>
      <c r="T557" s="6" t="n">
        <v>2308</v>
      </c>
      <c r="U557" s="6" t="n">
        <v>2620</v>
      </c>
      <c r="V557" s="6" t="n">
        <v>312</v>
      </c>
      <c r="W557" s="6" t="n">
        <v>0.931</v>
      </c>
      <c r="X557" s="6" t="n">
        <v>1</v>
      </c>
      <c r="Z557" s="6" t="s">
        <v>1949</v>
      </c>
      <c r="AA557" s="9" t="s">
        <v>528</v>
      </c>
      <c r="AB557" s="6" t="s">
        <v>2272</v>
      </c>
      <c r="AE557" s="37" t="n">
        <f aca="false">COUNTIF(環境認証!$A$2:$A$849,A557)</f>
        <v>1</v>
      </c>
      <c r="AF557" s="6" t="n">
        <v>13.5</v>
      </c>
      <c r="AG557" s="6" t="n">
        <v>13.4</v>
      </c>
    </row>
    <row r="558" customFormat="false" ht="15" hidden="false" customHeight="true" outlineLevel="0" collapsed="false">
      <c r="A558" s="6" t="s">
        <v>2273</v>
      </c>
      <c r="B558" s="6" t="s">
        <v>463</v>
      </c>
      <c r="C558" s="9" t="s">
        <v>2274</v>
      </c>
      <c r="D558" s="9" t="s">
        <v>959</v>
      </c>
      <c r="E558" s="9" t="s">
        <v>523</v>
      </c>
      <c r="F558" s="9" t="s">
        <v>609</v>
      </c>
      <c r="H558" s="9" t="s">
        <v>540</v>
      </c>
      <c r="M558" s="6" t="n">
        <v>1499.1</v>
      </c>
      <c r="P558" s="46" t="n">
        <v>43497</v>
      </c>
      <c r="Q558" s="1" t="n">
        <f aca="false">IF(OR($A558="",P558=""),"",ROUND(YEARFRAC(P558,README!$C$5),1))</f>
        <v>7.5</v>
      </c>
      <c r="S558" s="6" t="n">
        <v>1530</v>
      </c>
      <c r="T558" s="6" t="n">
        <v>1531</v>
      </c>
      <c r="U558" s="6" t="n">
        <v>1710</v>
      </c>
      <c r="V558" s="6" t="n">
        <v>179</v>
      </c>
      <c r="W558" s="6" t="n">
        <v>1</v>
      </c>
      <c r="X558" s="6" t="n">
        <v>1</v>
      </c>
      <c r="Z558" s="6" t="s">
        <v>1949</v>
      </c>
      <c r="AA558" s="9" t="s">
        <v>528</v>
      </c>
      <c r="AB558" s="6" t="s">
        <v>2275</v>
      </c>
      <c r="AE558" s="37" t="n">
        <f aca="false">COUNTIF(環境認証!$A$2:$A$849,A558)</f>
        <v>1</v>
      </c>
      <c r="AF558" s="6" t="n">
        <v>11.7</v>
      </c>
      <c r="AG558" s="6" t="n">
        <v>11.8</v>
      </c>
    </row>
    <row r="559" customFormat="false" ht="15" hidden="false" customHeight="true" outlineLevel="0" collapsed="false">
      <c r="A559" s="6" t="s">
        <v>2276</v>
      </c>
      <c r="B559" s="6" t="s">
        <v>463</v>
      </c>
      <c r="C559" s="9" t="s">
        <v>2277</v>
      </c>
      <c r="D559" s="9" t="s">
        <v>959</v>
      </c>
      <c r="E559" s="9" t="s">
        <v>523</v>
      </c>
      <c r="F559" s="9" t="s">
        <v>906</v>
      </c>
      <c r="H559" s="9" t="s">
        <v>540</v>
      </c>
      <c r="M559" s="6" t="n">
        <v>6033.98</v>
      </c>
      <c r="P559" s="46" t="n">
        <v>43770</v>
      </c>
      <c r="Q559" s="1" t="n">
        <f aca="false">IF(OR($A559="",P559=""),"",ROUND(YEARFRAC(P559,README!$C$5),1))</f>
        <v>6.8</v>
      </c>
      <c r="S559" s="6" t="n">
        <v>10000</v>
      </c>
      <c r="T559" s="6" t="n">
        <v>10012</v>
      </c>
      <c r="U559" s="6" t="n">
        <v>11500</v>
      </c>
      <c r="V559" s="6" t="n">
        <v>1488</v>
      </c>
      <c r="W559" s="6" t="n">
        <v>0.964</v>
      </c>
      <c r="X559" s="6" t="n">
        <v>1</v>
      </c>
      <c r="Z559" s="6" t="s">
        <v>1949</v>
      </c>
      <c r="AA559" s="9" t="s">
        <v>528</v>
      </c>
      <c r="AB559" s="6" t="s">
        <v>2278</v>
      </c>
      <c r="AE559" s="37" t="n">
        <f aca="false">COUNTIF(環境認証!$A$2:$A$849,A559)</f>
        <v>1</v>
      </c>
      <c r="AF559" s="6" t="n">
        <v>14.9</v>
      </c>
      <c r="AG559" s="6" t="n">
        <v>15</v>
      </c>
    </row>
    <row r="560" customFormat="false" ht="15" hidden="false" customHeight="true" outlineLevel="0" collapsed="false">
      <c r="A560" s="6" t="s">
        <v>2279</v>
      </c>
      <c r="B560" s="6" t="s">
        <v>463</v>
      </c>
      <c r="C560" s="9" t="s">
        <v>2280</v>
      </c>
      <c r="D560" s="9" t="s">
        <v>959</v>
      </c>
      <c r="E560" s="9" t="s">
        <v>523</v>
      </c>
      <c r="F560" s="9" t="s">
        <v>1926</v>
      </c>
      <c r="H560" s="9" t="s">
        <v>540</v>
      </c>
      <c r="M560" s="6" t="n">
        <v>4557.89</v>
      </c>
      <c r="P560" s="46" t="n">
        <v>43497</v>
      </c>
      <c r="Q560" s="1" t="n">
        <f aca="false">IF(OR($A560="",P560=""),"",ROUND(YEARFRAC(P560,README!$C$5),1))</f>
        <v>7.5</v>
      </c>
      <c r="S560" s="6" t="n">
        <v>4800</v>
      </c>
      <c r="T560" s="6" t="n">
        <v>4804</v>
      </c>
      <c r="U560" s="6" t="n">
        <v>5430</v>
      </c>
      <c r="V560" s="6" t="n">
        <v>626</v>
      </c>
      <c r="W560" s="6" t="n">
        <v>0.942</v>
      </c>
      <c r="X560" s="6" t="n">
        <v>1</v>
      </c>
      <c r="Z560" s="6" t="s">
        <v>1949</v>
      </c>
      <c r="AA560" s="9" t="s">
        <v>528</v>
      </c>
      <c r="AB560" s="6" t="s">
        <v>2281</v>
      </c>
      <c r="AE560" s="37" t="n">
        <f aca="false">COUNTIF(環境認証!$A$2:$A$849,A560)</f>
        <v>1</v>
      </c>
      <c r="AF560" s="6" t="n">
        <v>13</v>
      </c>
      <c r="AG560" s="6" t="n">
        <v>13.1</v>
      </c>
    </row>
    <row r="561" customFormat="false" ht="15" hidden="false" customHeight="true" outlineLevel="0" collapsed="false">
      <c r="A561" s="6" t="s">
        <v>2282</v>
      </c>
      <c r="B561" s="6" t="s">
        <v>463</v>
      </c>
      <c r="C561" s="9" t="s">
        <v>2283</v>
      </c>
      <c r="D561" s="9" t="s">
        <v>959</v>
      </c>
      <c r="E561" s="9" t="s">
        <v>523</v>
      </c>
      <c r="F561" s="9" t="s">
        <v>916</v>
      </c>
      <c r="H561" s="9" t="s">
        <v>540</v>
      </c>
      <c r="M561" s="6" t="n">
        <v>29048.95</v>
      </c>
      <c r="P561" s="46" t="n">
        <v>43282</v>
      </c>
      <c r="Q561" s="1" t="n">
        <f aca="false">IF(OR($A561="",P561=""),"",ROUND(YEARFRAC(P561,README!$C$5),1))</f>
        <v>8.1</v>
      </c>
      <c r="S561" s="6" t="n">
        <v>10500</v>
      </c>
      <c r="T561" s="6" t="n">
        <v>10372</v>
      </c>
      <c r="U561" s="6" t="n">
        <v>11900</v>
      </c>
      <c r="V561" s="6" t="n">
        <v>1528</v>
      </c>
      <c r="W561" s="6" t="n">
        <v>0.955</v>
      </c>
      <c r="X561" s="6" t="n">
        <v>1</v>
      </c>
      <c r="Z561" s="6" t="s">
        <v>1949</v>
      </c>
      <c r="AA561" s="9" t="s">
        <v>528</v>
      </c>
      <c r="AB561" s="6" t="s">
        <v>2284</v>
      </c>
      <c r="AE561" s="37" t="n">
        <f aca="false">COUNTIF(環境認証!$A$2:$A$849,A561)</f>
        <v>1</v>
      </c>
      <c r="AF561" s="6" t="n">
        <v>14.7</v>
      </c>
      <c r="AG561" s="6" t="n">
        <v>13.3</v>
      </c>
    </row>
    <row r="562" customFormat="false" ht="15" hidden="false" customHeight="true" outlineLevel="0" collapsed="false">
      <c r="A562" s="6" t="s">
        <v>2285</v>
      </c>
      <c r="B562" s="6" t="s">
        <v>463</v>
      </c>
      <c r="C562" s="9" t="s">
        <v>2286</v>
      </c>
      <c r="D562" s="9" t="s">
        <v>959</v>
      </c>
      <c r="E562" s="9" t="s">
        <v>523</v>
      </c>
      <c r="F562" s="9" t="s">
        <v>806</v>
      </c>
      <c r="H562" s="9" t="s">
        <v>525</v>
      </c>
      <c r="M562" s="6" t="n">
        <v>1819.35</v>
      </c>
      <c r="P562" s="46" t="n">
        <v>43862</v>
      </c>
      <c r="Q562" s="1" t="n">
        <f aca="false">IF(OR($A562="",P562=""),"",ROUND(YEARFRAC(P562,README!$C$5),1))</f>
        <v>6.5</v>
      </c>
      <c r="S562" s="6" t="n">
        <v>2200</v>
      </c>
      <c r="T562" s="6" t="n">
        <v>2217</v>
      </c>
      <c r="U562" s="6" t="n">
        <v>2810</v>
      </c>
      <c r="V562" s="6" t="n">
        <v>593</v>
      </c>
      <c r="W562" s="6" t="n">
        <v>0.935</v>
      </c>
      <c r="X562" s="6" t="n">
        <v>1</v>
      </c>
      <c r="Z562" s="6" t="s">
        <v>1949</v>
      </c>
      <c r="AA562" s="9" t="s">
        <v>528</v>
      </c>
      <c r="AB562" s="6" t="s">
        <v>2287</v>
      </c>
      <c r="AE562" s="37" t="n">
        <f aca="false">COUNTIF(環境認証!$A$2:$A$849,A562)</f>
        <v>1</v>
      </c>
      <c r="AF562" s="6" t="n">
        <v>26.7</v>
      </c>
      <c r="AG562" s="6" t="n">
        <v>27.7</v>
      </c>
    </row>
    <row r="563" customFormat="false" ht="15" hidden="false" customHeight="true" outlineLevel="0" collapsed="false">
      <c r="A563" s="6" t="s">
        <v>2288</v>
      </c>
      <c r="B563" s="6" t="s">
        <v>463</v>
      </c>
      <c r="C563" s="9" t="s">
        <v>2289</v>
      </c>
      <c r="D563" s="9" t="s">
        <v>959</v>
      </c>
      <c r="E563" s="9" t="s">
        <v>547</v>
      </c>
      <c r="F563" s="9" t="s">
        <v>687</v>
      </c>
      <c r="H563" s="9" t="s">
        <v>550</v>
      </c>
      <c r="M563" s="6" t="n">
        <v>657.79</v>
      </c>
      <c r="P563" s="46" t="n">
        <v>39448</v>
      </c>
      <c r="Q563" s="1" t="n">
        <f aca="false">IF(OR($A563="",P563=""),"",ROUND(YEARFRAC(P563,README!$C$5),1))</f>
        <v>18.6</v>
      </c>
      <c r="S563" s="6" t="n">
        <v>490</v>
      </c>
      <c r="T563" s="6" t="n">
        <v>519</v>
      </c>
      <c r="U563" s="6" t="n">
        <v>561</v>
      </c>
      <c r="V563" s="6" t="n">
        <v>42</v>
      </c>
      <c r="W563" s="6" t="n">
        <v>0.969</v>
      </c>
      <c r="X563" s="6" t="n">
        <v>1</v>
      </c>
      <c r="Z563" s="6" t="s">
        <v>1949</v>
      </c>
      <c r="AA563" s="9" t="s">
        <v>528</v>
      </c>
      <c r="AB563" s="6" t="s">
        <v>2290</v>
      </c>
      <c r="AE563" s="37" t="n">
        <f aca="false">COUNTIF(環境認証!$A$2:$A$849,A563)</f>
        <v>1</v>
      </c>
      <c r="AF563" s="6" t="n">
        <v>8.1</v>
      </c>
      <c r="AG563" s="6" t="n">
        <v>14.5</v>
      </c>
    </row>
    <row r="564" customFormat="false" ht="15" hidden="false" customHeight="true" outlineLevel="0" collapsed="false">
      <c r="A564" s="6" t="s">
        <v>2291</v>
      </c>
      <c r="B564" s="6" t="s">
        <v>463</v>
      </c>
      <c r="C564" s="9" t="s">
        <v>2292</v>
      </c>
      <c r="D564" s="9" t="s">
        <v>959</v>
      </c>
      <c r="E564" s="9" t="s">
        <v>523</v>
      </c>
      <c r="F564" s="9" t="s">
        <v>1312</v>
      </c>
      <c r="H564" s="9" t="s">
        <v>540</v>
      </c>
      <c r="M564" s="6" t="n">
        <v>2457.68</v>
      </c>
      <c r="P564" s="46" t="n">
        <v>45292</v>
      </c>
      <c r="Q564" s="1" t="n">
        <f aca="false">IF(OR($A564="",P564=""),"",ROUND(YEARFRAC(P564,README!$C$5),1))</f>
        <v>2.6</v>
      </c>
      <c r="S564" s="6" t="n">
        <v>3600</v>
      </c>
      <c r="T564" s="6" t="n">
        <v>3786</v>
      </c>
      <c r="U564" s="6" t="n">
        <v>4040</v>
      </c>
      <c r="V564" s="6" t="n">
        <v>254</v>
      </c>
      <c r="W564" s="6" t="n">
        <v>0.969</v>
      </c>
      <c r="X564" s="6" t="n">
        <v>1</v>
      </c>
      <c r="Z564" s="6" t="s">
        <v>1949</v>
      </c>
      <c r="AA564" s="9" t="s">
        <v>528</v>
      </c>
      <c r="AB564" s="6" t="s">
        <v>2293</v>
      </c>
      <c r="AE564" s="37" t="n">
        <f aca="false">COUNTIF(環境認証!$A$2:$A$849,A564)</f>
        <v>1</v>
      </c>
      <c r="AF564" s="6" t="n">
        <v>6.7</v>
      </c>
      <c r="AG564" s="6" t="n">
        <v>12.2</v>
      </c>
    </row>
    <row r="565" customFormat="false" ht="15" hidden="false" customHeight="true" outlineLevel="0" collapsed="false">
      <c r="A565" s="6" t="s">
        <v>2294</v>
      </c>
      <c r="B565" s="6" t="s">
        <v>463</v>
      </c>
      <c r="C565" s="9" t="s">
        <v>2295</v>
      </c>
      <c r="D565" s="9" t="s">
        <v>959</v>
      </c>
      <c r="E565" s="9" t="s">
        <v>523</v>
      </c>
      <c r="F565" s="9" t="s">
        <v>543</v>
      </c>
      <c r="H565" s="9" t="s">
        <v>540</v>
      </c>
      <c r="M565" s="6" t="n">
        <v>1121.12</v>
      </c>
      <c r="P565" s="46" t="n">
        <v>44927</v>
      </c>
      <c r="Q565" s="1" t="n">
        <f aca="false">IF(OR($A565="",P565=""),"",ROUND(YEARFRAC(P565,README!$C$5),1))</f>
        <v>3.6</v>
      </c>
      <c r="S565" s="6" t="n">
        <v>1570</v>
      </c>
      <c r="T565" s="6" t="n">
        <v>1657</v>
      </c>
      <c r="U565" s="6" t="n">
        <v>1770</v>
      </c>
      <c r="V565" s="6" t="n">
        <v>113</v>
      </c>
      <c r="W565" s="6" t="n">
        <v>0.909</v>
      </c>
      <c r="X565" s="6" t="n">
        <v>1</v>
      </c>
      <c r="Z565" s="6" t="s">
        <v>1949</v>
      </c>
      <c r="AA565" s="9" t="s">
        <v>528</v>
      </c>
      <c r="AB565" s="6" t="s">
        <v>2296</v>
      </c>
      <c r="AE565" s="37" t="n">
        <f aca="false">COUNTIF(環境認証!$A$2:$A$849,A565)</f>
        <v>1</v>
      </c>
      <c r="AF565" s="6" t="n">
        <v>6.8</v>
      </c>
      <c r="AG565" s="6" t="n">
        <v>12.7</v>
      </c>
    </row>
    <row r="566" customFormat="false" ht="15" hidden="false" customHeight="true" outlineLevel="0" collapsed="false">
      <c r="A566" s="6" t="s">
        <v>2297</v>
      </c>
      <c r="B566" s="6" t="s">
        <v>463</v>
      </c>
      <c r="C566" s="9" t="s">
        <v>2298</v>
      </c>
      <c r="D566" s="9" t="s">
        <v>959</v>
      </c>
      <c r="E566" s="9" t="s">
        <v>523</v>
      </c>
      <c r="F566" s="9" t="s">
        <v>2126</v>
      </c>
      <c r="H566" s="9" t="s">
        <v>540</v>
      </c>
      <c r="M566" s="6" t="n">
        <v>757.8</v>
      </c>
      <c r="P566" s="46" t="n">
        <v>45017</v>
      </c>
      <c r="Q566" s="1" t="n">
        <f aca="false">IF(OR($A566="",P566=""),"",ROUND(YEARFRAC(P566,README!$C$5),1))</f>
        <v>3.4</v>
      </c>
      <c r="S566" s="6" t="n">
        <v>980</v>
      </c>
      <c r="T566" s="6" t="n">
        <v>1034</v>
      </c>
      <c r="U566" s="6" t="n">
        <v>1150</v>
      </c>
      <c r="V566" s="6" t="n">
        <v>116</v>
      </c>
      <c r="W566" s="6" t="n">
        <v>0.899</v>
      </c>
      <c r="X566" s="6" t="n">
        <v>1</v>
      </c>
      <c r="Z566" s="6" t="s">
        <v>1949</v>
      </c>
      <c r="AA566" s="9" t="s">
        <v>528</v>
      </c>
      <c r="AB566" s="6" t="s">
        <v>2299</v>
      </c>
      <c r="AE566" s="37" t="n">
        <f aca="false">COUNTIF(環境認証!$A$2:$A$849,A566)</f>
        <v>1</v>
      </c>
      <c r="AF566" s="6" t="n">
        <v>11.2</v>
      </c>
      <c r="AG566" s="6" t="n">
        <v>17.3</v>
      </c>
    </row>
    <row r="567" customFormat="false" ht="15" hidden="false" customHeight="true" outlineLevel="0" collapsed="false">
      <c r="A567" s="6" t="s">
        <v>2300</v>
      </c>
      <c r="B567" s="6" t="s">
        <v>463</v>
      </c>
      <c r="C567" s="9" t="s">
        <v>2301</v>
      </c>
      <c r="D567" s="9" t="s">
        <v>959</v>
      </c>
      <c r="E567" s="9" t="s">
        <v>523</v>
      </c>
      <c r="F567" s="9" t="s">
        <v>934</v>
      </c>
      <c r="H567" s="9" t="s">
        <v>540</v>
      </c>
      <c r="M567" s="6" t="n">
        <v>6671.59</v>
      </c>
      <c r="P567" s="46" t="n">
        <v>44593</v>
      </c>
      <c r="Q567" s="1" t="n">
        <f aca="false">IF(OR($A567="",P567=""),"",ROUND(YEARFRAC(P567,README!$C$5),1))</f>
        <v>4.5</v>
      </c>
      <c r="S567" s="6" t="n">
        <v>10000</v>
      </c>
      <c r="T567" s="6" t="n">
        <v>10139</v>
      </c>
      <c r="U567" s="6" t="n">
        <v>10800</v>
      </c>
      <c r="V567" s="6" t="n">
        <v>661</v>
      </c>
      <c r="W567" s="6" t="n">
        <v>0.97</v>
      </c>
      <c r="X567" s="6" t="n">
        <v>1</v>
      </c>
      <c r="Z567" s="6" t="s">
        <v>1949</v>
      </c>
      <c r="AA567" s="9" t="s">
        <v>528</v>
      </c>
      <c r="AB567" s="6" t="s">
        <v>2302</v>
      </c>
      <c r="AE567" s="37" t="n">
        <f aca="false">COUNTIF(環境認証!$A$2:$A$849,A567)</f>
        <v>1</v>
      </c>
      <c r="AF567" s="6" t="n">
        <v>6.5</v>
      </c>
      <c r="AG567" s="6" t="n">
        <v>8</v>
      </c>
    </row>
    <row r="568" customFormat="false" ht="15" hidden="false" customHeight="true" outlineLevel="0" collapsed="false">
      <c r="A568" s="6" t="s">
        <v>2303</v>
      </c>
      <c r="B568" s="6" t="s">
        <v>463</v>
      </c>
      <c r="C568" s="9" t="s">
        <v>2304</v>
      </c>
      <c r="D568" s="9" t="s">
        <v>959</v>
      </c>
      <c r="E568" s="9" t="s">
        <v>523</v>
      </c>
      <c r="F568" s="9" t="s">
        <v>916</v>
      </c>
      <c r="H568" s="9" t="s">
        <v>540</v>
      </c>
      <c r="M568" s="6" t="n">
        <v>3428.41</v>
      </c>
      <c r="P568" s="46" t="n">
        <v>44562</v>
      </c>
      <c r="Q568" s="1" t="n">
        <f aca="false">IF(OR($A568="",P568=""),"",ROUND(YEARFRAC(P568,README!$C$5),1))</f>
        <v>4.6</v>
      </c>
      <c r="S568" s="6" t="n">
        <v>5490</v>
      </c>
      <c r="T568" s="6" t="n">
        <v>5569</v>
      </c>
      <c r="U568" s="6" t="n">
        <v>5850</v>
      </c>
      <c r="V568" s="6" t="n">
        <v>281</v>
      </c>
      <c r="W568" s="6" t="n">
        <v>0.937</v>
      </c>
      <c r="X568" s="6" t="n">
        <v>1</v>
      </c>
      <c r="Z568" s="6" t="s">
        <v>1949</v>
      </c>
      <c r="AA568" s="9" t="s">
        <v>528</v>
      </c>
      <c r="AB568" s="6" t="s">
        <v>2305</v>
      </c>
      <c r="AE568" s="37" t="n">
        <f aca="false">COUNTIF(環境認証!$A$2:$A$849,A568)</f>
        <v>1</v>
      </c>
      <c r="AF568" s="6" t="n">
        <v>5</v>
      </c>
      <c r="AG568" s="6" t="n">
        <v>6.6</v>
      </c>
    </row>
    <row r="569" customFormat="false" ht="15" hidden="false" customHeight="true" outlineLevel="0" collapsed="false">
      <c r="A569" s="6" t="s">
        <v>2306</v>
      </c>
      <c r="B569" s="6" t="s">
        <v>463</v>
      </c>
      <c r="C569" s="9" t="s">
        <v>2307</v>
      </c>
      <c r="D569" s="9" t="s">
        <v>959</v>
      </c>
      <c r="E569" s="9" t="s">
        <v>523</v>
      </c>
      <c r="F569" s="9" t="s">
        <v>916</v>
      </c>
      <c r="H569" s="9" t="s">
        <v>540</v>
      </c>
      <c r="M569" s="6" t="n">
        <v>2556.36</v>
      </c>
      <c r="P569" s="46" t="n">
        <v>44256</v>
      </c>
      <c r="Q569" s="1" t="n">
        <f aca="false">IF(OR($A569="",P569=""),"",ROUND(YEARFRAC(P569,README!$C$5),1))</f>
        <v>5.4</v>
      </c>
      <c r="S569" s="6" t="n">
        <v>3220</v>
      </c>
      <c r="T569" s="6" t="n">
        <v>3265</v>
      </c>
      <c r="U569" s="6" t="n">
        <v>3480</v>
      </c>
      <c r="V569" s="6" t="n">
        <v>215</v>
      </c>
      <c r="W569" s="6" t="n">
        <v>0.935</v>
      </c>
      <c r="X569" s="6" t="n">
        <v>1</v>
      </c>
      <c r="Z569" s="6" t="s">
        <v>1949</v>
      </c>
      <c r="AA569" s="9" t="s">
        <v>528</v>
      </c>
      <c r="AB569" s="6" t="s">
        <v>2308</v>
      </c>
      <c r="AE569" s="37" t="n">
        <f aca="false">COUNTIF(環境認証!$A$2:$A$849,A569)</f>
        <v>1</v>
      </c>
      <c r="AF569" s="6" t="n">
        <v>6.6</v>
      </c>
      <c r="AG569" s="6" t="n">
        <v>8.1</v>
      </c>
    </row>
    <row r="570" customFormat="false" ht="15" hidden="false" customHeight="true" outlineLevel="0" collapsed="false">
      <c r="A570" s="6" t="s">
        <v>2309</v>
      </c>
      <c r="B570" s="6" t="s">
        <v>463</v>
      </c>
      <c r="C570" s="9" t="s">
        <v>2310</v>
      </c>
      <c r="D570" s="9" t="s">
        <v>959</v>
      </c>
      <c r="E570" s="9" t="s">
        <v>523</v>
      </c>
      <c r="F570" s="9" t="s">
        <v>543</v>
      </c>
      <c r="H570" s="9" t="s">
        <v>540</v>
      </c>
      <c r="M570" s="6" t="n">
        <v>2357.28</v>
      </c>
      <c r="P570" s="46" t="n">
        <v>44470</v>
      </c>
      <c r="Q570" s="1" t="n">
        <f aca="false">IF(OR($A570="",P570=""),"",ROUND(YEARFRAC(P570,README!$C$5),1))</f>
        <v>4.9</v>
      </c>
      <c r="S570" s="6" t="n">
        <v>3200</v>
      </c>
      <c r="T570" s="6" t="n">
        <v>3251</v>
      </c>
      <c r="U570" s="6" t="n">
        <v>3420</v>
      </c>
      <c r="V570" s="6" t="n">
        <v>169</v>
      </c>
      <c r="W570" s="6" t="n">
        <v>0.947</v>
      </c>
      <c r="X570" s="6" t="n">
        <v>1</v>
      </c>
      <c r="Z570" s="6" t="s">
        <v>1949</v>
      </c>
      <c r="AA570" s="9" t="s">
        <v>528</v>
      </c>
      <c r="AB570" s="6" t="s">
        <v>2311</v>
      </c>
      <c r="AE570" s="37" t="n">
        <f aca="false">COUNTIF(環境認証!$A$2:$A$849,A570)</f>
        <v>1</v>
      </c>
      <c r="AF570" s="6" t="n">
        <v>5.2</v>
      </c>
      <c r="AG570" s="6" t="n">
        <v>6.9</v>
      </c>
    </row>
    <row r="571" customFormat="false" ht="15" hidden="false" customHeight="true" outlineLevel="0" collapsed="false">
      <c r="A571" s="6" t="s">
        <v>2312</v>
      </c>
      <c r="B571" s="6" t="s">
        <v>463</v>
      </c>
      <c r="C571" s="9" t="s">
        <v>2313</v>
      </c>
      <c r="D571" s="9" t="s">
        <v>959</v>
      </c>
      <c r="E571" s="9" t="s">
        <v>523</v>
      </c>
      <c r="F571" s="9" t="s">
        <v>806</v>
      </c>
      <c r="H571" s="9" t="s">
        <v>525</v>
      </c>
      <c r="M571" s="6" t="n">
        <v>1725.98</v>
      </c>
      <c r="P571" s="46" t="n">
        <v>44774</v>
      </c>
      <c r="Q571" s="1" t="n">
        <f aca="false">IF(OR($A571="",P571=""),"",ROUND(YEARFRAC(P571,README!$C$5),1))</f>
        <v>4</v>
      </c>
      <c r="S571" s="6" t="n">
        <v>2570</v>
      </c>
      <c r="T571" s="6" t="n">
        <v>2608</v>
      </c>
      <c r="U571" s="6" t="n">
        <v>2600</v>
      </c>
      <c r="V571" s="6" t="n">
        <v>-8</v>
      </c>
      <c r="W571" s="6" t="n">
        <v>0.938</v>
      </c>
      <c r="X571" s="6" t="n">
        <v>1</v>
      </c>
      <c r="Z571" s="6" t="s">
        <v>1949</v>
      </c>
      <c r="AA571" s="9" t="s">
        <v>528</v>
      </c>
      <c r="AB571" s="6" t="s">
        <v>2314</v>
      </c>
      <c r="AE571" s="37" t="n">
        <f aca="false">COUNTIF(環境認証!$A$2:$A$849,A571)</f>
        <v>1</v>
      </c>
      <c r="AF571" s="6" t="n">
        <v>-0.3</v>
      </c>
      <c r="AG571" s="6" t="n">
        <v>1.2</v>
      </c>
    </row>
    <row r="572" customFormat="false" ht="15" hidden="false" customHeight="true" outlineLevel="0" collapsed="false">
      <c r="A572" s="6" t="s">
        <v>2315</v>
      </c>
      <c r="B572" s="6" t="s">
        <v>463</v>
      </c>
      <c r="C572" s="9" t="s">
        <v>2316</v>
      </c>
      <c r="D572" s="9" t="s">
        <v>959</v>
      </c>
      <c r="E572" s="9" t="s">
        <v>523</v>
      </c>
      <c r="F572" s="9" t="s">
        <v>609</v>
      </c>
      <c r="H572" s="9" t="s">
        <v>540</v>
      </c>
      <c r="M572" s="6" t="n">
        <v>1640.09</v>
      </c>
      <c r="P572" s="46" t="n">
        <v>44713</v>
      </c>
      <c r="Q572" s="1" t="n">
        <f aca="false">IF(OR($A572="",P572=""),"",ROUND(YEARFRAC(P572,README!$C$5),1))</f>
        <v>4.2</v>
      </c>
      <c r="S572" s="6" t="n">
        <v>2180</v>
      </c>
      <c r="T572" s="6" t="n">
        <v>2217</v>
      </c>
      <c r="U572" s="6" t="n">
        <v>2220</v>
      </c>
      <c r="V572" s="6" t="n">
        <v>3</v>
      </c>
      <c r="W572" s="6" t="n">
        <v>0.96</v>
      </c>
      <c r="X572" s="6" t="n">
        <v>1</v>
      </c>
      <c r="Z572" s="6" t="s">
        <v>1949</v>
      </c>
      <c r="AA572" s="9" t="s">
        <v>528</v>
      </c>
      <c r="AB572" s="6" t="s">
        <v>2317</v>
      </c>
      <c r="AE572" s="37" t="n">
        <f aca="false">COUNTIF(環境認証!$A$2:$A$849,A572)</f>
        <v>2</v>
      </c>
      <c r="AF572" s="6" t="n">
        <v>0.1</v>
      </c>
      <c r="AG572" s="6" t="n">
        <v>1.8</v>
      </c>
    </row>
    <row r="573" customFormat="false" ht="15" hidden="false" customHeight="true" outlineLevel="0" collapsed="false">
      <c r="A573" s="6" t="s">
        <v>2318</v>
      </c>
      <c r="B573" s="6" t="s">
        <v>463</v>
      </c>
      <c r="C573" s="9" t="s">
        <v>2319</v>
      </c>
      <c r="D573" s="9" t="s">
        <v>959</v>
      </c>
      <c r="E573" s="9" t="s">
        <v>523</v>
      </c>
      <c r="F573" s="9" t="s">
        <v>1462</v>
      </c>
      <c r="H573" s="9" t="s">
        <v>540</v>
      </c>
      <c r="M573" s="6" t="n">
        <v>1364.84</v>
      </c>
      <c r="P573" s="46" t="n">
        <v>44774</v>
      </c>
      <c r="Q573" s="1" t="n">
        <f aca="false">IF(OR($A573="",P573=""),"",ROUND(YEARFRAC(P573,README!$C$5),1))</f>
        <v>4</v>
      </c>
      <c r="S573" s="6" t="n">
        <v>1840</v>
      </c>
      <c r="T573" s="6" t="n">
        <v>1875</v>
      </c>
      <c r="U573" s="6" t="n">
        <v>1900</v>
      </c>
      <c r="V573" s="6" t="n">
        <v>25</v>
      </c>
      <c r="W573" s="6" t="n">
        <v>1</v>
      </c>
      <c r="X573" s="6" t="n">
        <v>1</v>
      </c>
      <c r="Z573" s="6" t="s">
        <v>1949</v>
      </c>
      <c r="AA573" s="9" t="s">
        <v>528</v>
      </c>
      <c r="AB573" s="6" t="s">
        <v>2320</v>
      </c>
      <c r="AE573" s="37" t="n">
        <f aca="false">COUNTIF(環境認証!$A$2:$A$849,A573)</f>
        <v>1</v>
      </c>
      <c r="AF573" s="6" t="n">
        <v>1.3</v>
      </c>
      <c r="AG573" s="6" t="n">
        <v>3.3</v>
      </c>
    </row>
    <row r="574" customFormat="false" ht="15" hidden="false" customHeight="true" outlineLevel="0" collapsed="false">
      <c r="A574" s="6" t="s">
        <v>2321</v>
      </c>
      <c r="B574" s="6" t="s">
        <v>463</v>
      </c>
      <c r="C574" s="9" t="s">
        <v>2322</v>
      </c>
      <c r="D574" s="9" t="s">
        <v>959</v>
      </c>
      <c r="E574" s="9" t="s">
        <v>560</v>
      </c>
      <c r="F574" s="9" t="s">
        <v>2323</v>
      </c>
      <c r="H574" s="9" t="s">
        <v>550</v>
      </c>
      <c r="M574" s="6" t="n">
        <v>1148.19</v>
      </c>
      <c r="P574" s="46" t="n">
        <v>39600</v>
      </c>
      <c r="Q574" s="1" t="n">
        <f aca="false">IF(OR($A574="",P574=""),"",ROUND(YEARFRAC(P574,README!$C$5),1))</f>
        <v>18.2</v>
      </c>
      <c r="S574" s="6" t="n">
        <v>950</v>
      </c>
      <c r="T574" s="6" t="n">
        <v>1007</v>
      </c>
      <c r="U574" s="6" t="n">
        <v>990</v>
      </c>
      <c r="V574" s="6" t="n">
        <v>-17</v>
      </c>
      <c r="W574" s="6" t="n">
        <v>0.955</v>
      </c>
      <c r="X574" s="6" t="n">
        <v>1</v>
      </c>
      <c r="Z574" s="6" t="s">
        <v>1949</v>
      </c>
      <c r="AA574" s="9" t="s">
        <v>528</v>
      </c>
      <c r="AB574" s="6" t="s">
        <v>2324</v>
      </c>
      <c r="AE574" s="37" t="n">
        <f aca="false">COUNTIF(環境認証!$A$2:$A$849,A574)</f>
        <v>0</v>
      </c>
      <c r="AF574" s="6" t="n">
        <v>-1.7</v>
      </c>
      <c r="AG574" s="6" t="n">
        <v>4.2</v>
      </c>
    </row>
    <row r="575" customFormat="false" ht="15" hidden="false" customHeight="true" outlineLevel="0" collapsed="false">
      <c r="A575" s="6" t="s">
        <v>2325</v>
      </c>
      <c r="B575" s="6" t="s">
        <v>463</v>
      </c>
      <c r="C575" s="9" t="s">
        <v>2326</v>
      </c>
      <c r="D575" s="9" t="s">
        <v>959</v>
      </c>
      <c r="E575" s="9" t="s">
        <v>523</v>
      </c>
      <c r="F575" s="9" t="s">
        <v>543</v>
      </c>
      <c r="H575" s="9" t="s">
        <v>540</v>
      </c>
      <c r="M575" s="6" t="n">
        <v>5559.57</v>
      </c>
      <c r="P575" s="46" t="n">
        <v>44986</v>
      </c>
      <c r="Q575" s="1" t="n">
        <f aca="false">IF(OR($A575="",P575=""),"",ROUND(YEARFRAC(P575,README!$C$5),1))</f>
        <v>3.4</v>
      </c>
      <c r="S575" s="6" t="n">
        <v>8200</v>
      </c>
      <c r="T575" s="6" t="n">
        <v>8351</v>
      </c>
      <c r="U575" s="6" t="n">
        <v>8670</v>
      </c>
      <c r="V575" s="6" t="n">
        <v>319</v>
      </c>
      <c r="W575" s="6" t="n">
        <v>0.93</v>
      </c>
      <c r="X575" s="6" t="n">
        <v>1</v>
      </c>
      <c r="Z575" s="6" t="s">
        <v>1949</v>
      </c>
      <c r="AA575" s="9" t="s">
        <v>528</v>
      </c>
      <c r="AB575" s="6" t="s">
        <v>2327</v>
      </c>
      <c r="AE575" s="37" t="n">
        <f aca="false">COUNTIF(環境認証!$A$2:$A$849,A575)</f>
        <v>2</v>
      </c>
      <c r="AF575" s="6" t="n">
        <v>3.8</v>
      </c>
      <c r="AG575" s="6" t="n">
        <v>5.7</v>
      </c>
    </row>
    <row r="576" customFormat="false" ht="15" hidden="false" customHeight="true" outlineLevel="0" collapsed="false">
      <c r="A576" s="6" t="s">
        <v>2328</v>
      </c>
      <c r="B576" s="6" t="s">
        <v>463</v>
      </c>
      <c r="C576" s="9" t="s">
        <v>2329</v>
      </c>
      <c r="D576" s="9" t="s">
        <v>959</v>
      </c>
      <c r="E576" s="9" t="s">
        <v>547</v>
      </c>
      <c r="F576" s="9" t="s">
        <v>701</v>
      </c>
      <c r="H576" s="9" t="s">
        <v>550</v>
      </c>
      <c r="M576" s="6" t="n">
        <v>5653.68</v>
      </c>
      <c r="P576" s="46" t="n">
        <v>44927</v>
      </c>
      <c r="Q576" s="1" t="n">
        <f aca="false">IF(OR($A576="",P576=""),"",ROUND(YEARFRAC(P576,README!$C$5),1))</f>
        <v>3.6</v>
      </c>
      <c r="S576" s="6" t="n">
        <v>7350</v>
      </c>
      <c r="T576" s="6" t="n">
        <v>7489</v>
      </c>
      <c r="U576" s="6" t="n">
        <v>7970</v>
      </c>
      <c r="V576" s="6" t="n">
        <v>481</v>
      </c>
      <c r="W576" s="6" t="n">
        <v>0.959</v>
      </c>
      <c r="X576" s="6" t="n">
        <v>1</v>
      </c>
      <c r="Z576" s="6" t="s">
        <v>1949</v>
      </c>
      <c r="AA576" s="9" t="s">
        <v>528</v>
      </c>
      <c r="AB576" s="6" t="s">
        <v>2330</v>
      </c>
      <c r="AE576" s="37" t="n">
        <f aca="false">COUNTIF(環境認証!$A$2:$A$849,A576)</f>
        <v>1</v>
      </c>
      <c r="AF576" s="6" t="n">
        <v>6.4</v>
      </c>
      <c r="AG576" s="6" t="n">
        <v>8.4</v>
      </c>
    </row>
    <row r="577" customFormat="false" ht="15" hidden="false" customHeight="true" outlineLevel="0" collapsed="false">
      <c r="A577" s="6" t="s">
        <v>2331</v>
      </c>
      <c r="B577" s="6" t="s">
        <v>463</v>
      </c>
      <c r="C577" s="9" t="s">
        <v>2332</v>
      </c>
      <c r="D577" s="9" t="s">
        <v>959</v>
      </c>
      <c r="E577" s="9" t="s">
        <v>560</v>
      </c>
      <c r="F577" s="9" t="s">
        <v>2323</v>
      </c>
      <c r="H577" s="9" t="s">
        <v>550</v>
      </c>
      <c r="M577" s="6" t="n">
        <v>2433.74</v>
      </c>
      <c r="P577" s="46" t="n">
        <v>36739</v>
      </c>
      <c r="Q577" s="1" t="n">
        <f aca="false">IF(OR($A577="",P577=""),"",ROUND(YEARFRAC(P577,README!$C$5),1))</f>
        <v>26</v>
      </c>
      <c r="S577" s="6" t="n">
        <v>1450</v>
      </c>
      <c r="T577" s="6" t="n">
        <v>1522</v>
      </c>
      <c r="U577" s="6" t="n">
        <v>1550</v>
      </c>
      <c r="V577" s="6" t="n">
        <v>28</v>
      </c>
      <c r="W577" s="6" t="n">
        <v>0.975</v>
      </c>
      <c r="X577" s="6" t="n">
        <v>1</v>
      </c>
      <c r="Z577" s="6" t="s">
        <v>1949</v>
      </c>
      <c r="AA577" s="9" t="s">
        <v>528</v>
      </c>
      <c r="AB577" s="6" t="s">
        <v>2333</v>
      </c>
      <c r="AE577" s="37" t="n">
        <f aca="false">COUNTIF(環境認証!$A$2:$A$849,A577)</f>
        <v>0</v>
      </c>
      <c r="AF577" s="6" t="n">
        <v>1.8</v>
      </c>
      <c r="AG577" s="6" t="n">
        <v>6.9</v>
      </c>
    </row>
    <row r="578" customFormat="false" ht="15" hidden="false" customHeight="true" outlineLevel="0" collapsed="false">
      <c r="A578" s="6" t="s">
        <v>2334</v>
      </c>
      <c r="B578" s="6" t="s">
        <v>463</v>
      </c>
      <c r="C578" s="9" t="s">
        <v>2335</v>
      </c>
      <c r="D578" s="9" t="s">
        <v>959</v>
      </c>
      <c r="E578" s="9" t="s">
        <v>555</v>
      </c>
      <c r="F578" s="9" t="s">
        <v>711</v>
      </c>
      <c r="H578" s="9" t="s">
        <v>550</v>
      </c>
      <c r="M578" s="6" t="n">
        <v>1153.67</v>
      </c>
      <c r="P578" s="46" t="n">
        <v>44866</v>
      </c>
      <c r="Q578" s="1" t="n">
        <f aca="false">IF(OR($A578="",P578=""),"",ROUND(YEARFRAC(P578,README!$C$5),1))</f>
        <v>3.8</v>
      </c>
      <c r="S578" s="6" t="n">
        <v>1210</v>
      </c>
      <c r="T578" s="6" t="n">
        <v>1280</v>
      </c>
      <c r="U578" s="6" t="n">
        <v>1280</v>
      </c>
      <c r="V578" s="6" t="n">
        <v>0</v>
      </c>
      <c r="W578" s="6" t="n">
        <v>0.962</v>
      </c>
      <c r="X578" s="6" t="n">
        <v>1</v>
      </c>
      <c r="Z578" s="6" t="s">
        <v>1949</v>
      </c>
      <c r="AA578" s="9" t="s">
        <v>528</v>
      </c>
      <c r="AB578" s="6" t="s">
        <v>2336</v>
      </c>
      <c r="AE578" s="37" t="n">
        <f aca="false">COUNTIF(環境認証!$A$2:$A$849,A578)</f>
        <v>0</v>
      </c>
      <c r="AF578" s="6" t="n">
        <v>0</v>
      </c>
      <c r="AG578" s="6" t="n">
        <v>5.8</v>
      </c>
    </row>
    <row r="579" customFormat="false" ht="15" hidden="false" customHeight="true" outlineLevel="0" collapsed="false">
      <c r="A579" s="6" t="s">
        <v>2337</v>
      </c>
      <c r="B579" s="6" t="s">
        <v>463</v>
      </c>
      <c r="C579" s="9" t="s">
        <v>2338</v>
      </c>
      <c r="D579" s="9" t="s">
        <v>959</v>
      </c>
      <c r="E579" s="9" t="s">
        <v>547</v>
      </c>
      <c r="F579" s="9" t="s">
        <v>701</v>
      </c>
      <c r="H579" s="9" t="s">
        <v>550</v>
      </c>
      <c r="M579" s="6" t="n">
        <v>656.4</v>
      </c>
      <c r="P579" s="46" t="n">
        <v>38777</v>
      </c>
      <c r="Q579" s="1" t="n">
        <f aca="false">IF(OR($A579="",P579=""),"",ROUND(YEARFRAC(P579,README!$C$5),1))</f>
        <v>20.4</v>
      </c>
      <c r="S579" s="6" t="n">
        <v>580</v>
      </c>
      <c r="T579" s="6" t="n">
        <v>626</v>
      </c>
      <c r="U579" s="6" t="n">
        <v>645</v>
      </c>
      <c r="V579" s="6" t="n">
        <v>19</v>
      </c>
      <c r="W579" s="6" t="n">
        <v>0.967</v>
      </c>
      <c r="X579" s="6" t="n">
        <v>1</v>
      </c>
      <c r="Z579" s="6" t="s">
        <v>1949</v>
      </c>
      <c r="AA579" s="9" t="s">
        <v>528</v>
      </c>
      <c r="AB579" s="6" t="s">
        <v>2339</v>
      </c>
      <c r="AE579" s="37" t="n">
        <f aca="false">COUNTIF(環境認証!$A$2:$A$849,A579)</f>
        <v>0</v>
      </c>
      <c r="AF579" s="6" t="n">
        <v>3</v>
      </c>
      <c r="AG579" s="6" t="n">
        <v>11.2</v>
      </c>
    </row>
    <row r="580" customFormat="false" ht="15" hidden="false" customHeight="true" outlineLevel="0" collapsed="false">
      <c r="A580" s="6" t="s">
        <v>2340</v>
      </c>
      <c r="B580" s="6" t="s">
        <v>463</v>
      </c>
      <c r="C580" s="9" t="s">
        <v>2341</v>
      </c>
      <c r="D580" s="9" t="s">
        <v>959</v>
      </c>
      <c r="E580" s="9" t="s">
        <v>523</v>
      </c>
      <c r="F580" s="9" t="s">
        <v>893</v>
      </c>
      <c r="H580" s="9" t="s">
        <v>540</v>
      </c>
      <c r="M580" s="6" t="n">
        <v>944.99</v>
      </c>
      <c r="P580" s="46" t="n">
        <v>38961</v>
      </c>
      <c r="Q580" s="1" t="n">
        <f aca="false">IF(OR($A580="",P580=""),"",ROUND(YEARFRAC(P580,README!$C$5),1))</f>
        <v>19.9</v>
      </c>
      <c r="S580" s="6" t="n">
        <v>1160</v>
      </c>
      <c r="T580" s="6" t="n">
        <v>1179</v>
      </c>
      <c r="U580" s="6" t="n">
        <v>1220</v>
      </c>
      <c r="V580" s="6" t="n">
        <v>41</v>
      </c>
      <c r="W580" s="6" t="n">
        <v>0.957</v>
      </c>
      <c r="X580" s="6" t="n">
        <v>1</v>
      </c>
      <c r="Z580" s="6" t="s">
        <v>1949</v>
      </c>
      <c r="AA580" s="9" t="s">
        <v>528</v>
      </c>
      <c r="AB580" s="6" t="s">
        <v>2342</v>
      </c>
      <c r="AE580" s="37" t="n">
        <f aca="false">COUNTIF(環境認証!$A$2:$A$849,A580)</f>
        <v>0</v>
      </c>
      <c r="AF580" s="6" t="n">
        <v>3.5</v>
      </c>
      <c r="AG580" s="6" t="n">
        <v>5.2</v>
      </c>
    </row>
    <row r="581" customFormat="false" ht="15" hidden="false" customHeight="true" outlineLevel="0" collapsed="false">
      <c r="A581" s="6" t="s">
        <v>2343</v>
      </c>
      <c r="B581" s="6" t="s">
        <v>463</v>
      </c>
      <c r="C581" s="9" t="s">
        <v>2344</v>
      </c>
      <c r="D581" s="9" t="s">
        <v>959</v>
      </c>
      <c r="E581" s="9" t="s">
        <v>555</v>
      </c>
      <c r="F581" s="9" t="s">
        <v>711</v>
      </c>
      <c r="H581" s="9" t="s">
        <v>550</v>
      </c>
      <c r="M581" s="6" t="n">
        <v>1309.45</v>
      </c>
      <c r="P581" s="46" t="n">
        <v>45748</v>
      </c>
      <c r="Q581" s="1" t="n">
        <f aca="false">IF(OR($A581="",P581=""),"",ROUND(YEARFRAC(P581,README!$C$5),1))</f>
        <v>1.4</v>
      </c>
      <c r="S581" s="6" t="n">
        <v>1430</v>
      </c>
      <c r="T581" s="6" t="n">
        <v>1523</v>
      </c>
      <c r="U581" s="6" t="n">
        <v>1500</v>
      </c>
      <c r="V581" s="6" t="n">
        <v>-23</v>
      </c>
      <c r="W581" s="6" t="n">
        <v>1</v>
      </c>
      <c r="X581" s="6" t="n">
        <v>1</v>
      </c>
      <c r="Z581" s="6" t="s">
        <v>1949</v>
      </c>
      <c r="AA581" s="9" t="s">
        <v>528</v>
      </c>
      <c r="AB581" s="6" t="s">
        <v>2345</v>
      </c>
      <c r="AE581" s="37" t="n">
        <f aca="false">COUNTIF(環境認証!$A$2:$A$849,A581)</f>
        <v>0</v>
      </c>
      <c r="AF581" s="6" t="n">
        <v>-1.5</v>
      </c>
      <c r="AG581" s="6" t="n">
        <v>4.9</v>
      </c>
    </row>
    <row r="582" customFormat="false" ht="15" hidden="false" customHeight="true" outlineLevel="0" collapsed="false">
      <c r="A582" s="6" t="s">
        <v>2346</v>
      </c>
      <c r="B582" s="6" t="s">
        <v>463</v>
      </c>
      <c r="C582" s="9" t="s">
        <v>2347</v>
      </c>
      <c r="D582" s="9" t="s">
        <v>959</v>
      </c>
      <c r="E582" s="9" t="s">
        <v>555</v>
      </c>
      <c r="F582" s="9" t="s">
        <v>2348</v>
      </c>
      <c r="H582" s="9" t="s">
        <v>550</v>
      </c>
      <c r="M582" s="6" t="n">
        <v>1215.78</v>
      </c>
      <c r="P582" s="46" t="n">
        <v>45658</v>
      </c>
      <c r="Q582" s="1" t="n">
        <f aca="false">IF(OR($A582="",P582=""),"",ROUND(YEARFRAC(P582,README!$C$5),1))</f>
        <v>1.6</v>
      </c>
      <c r="S582" s="6" t="n">
        <v>898</v>
      </c>
      <c r="T582" s="6" t="n">
        <v>974</v>
      </c>
      <c r="U582" s="6" t="n">
        <v>928</v>
      </c>
      <c r="V582" s="6" t="n">
        <v>-46</v>
      </c>
      <c r="W582" s="6" t="n">
        <v>0.898</v>
      </c>
      <c r="X582" s="6" t="n">
        <v>1</v>
      </c>
      <c r="Z582" s="6" t="s">
        <v>1949</v>
      </c>
      <c r="AA582" s="9" t="s">
        <v>528</v>
      </c>
      <c r="AB582" s="6" t="s">
        <v>2349</v>
      </c>
      <c r="AE582" s="37" t="n">
        <f aca="false">COUNTIF(環境認証!$A$2:$A$849,A582)</f>
        <v>0</v>
      </c>
      <c r="AF582" s="6" t="n">
        <v>-4.7</v>
      </c>
      <c r="AG582" s="6" t="n">
        <v>3.3</v>
      </c>
    </row>
    <row r="583" customFormat="false" ht="15" hidden="false" customHeight="true" outlineLevel="0" collapsed="false">
      <c r="A583" s="6" t="s">
        <v>2350</v>
      </c>
      <c r="B583" s="6" t="s">
        <v>463</v>
      </c>
      <c r="C583" s="9" t="s">
        <v>2351</v>
      </c>
      <c r="D583" s="9" t="s">
        <v>959</v>
      </c>
      <c r="E583" s="9" t="s">
        <v>555</v>
      </c>
      <c r="F583" s="9" t="s">
        <v>2352</v>
      </c>
      <c r="H583" s="9" t="s">
        <v>550</v>
      </c>
      <c r="M583" s="6" t="n">
        <v>1496.46</v>
      </c>
      <c r="P583" s="46" t="n">
        <v>39114</v>
      </c>
      <c r="Q583" s="1" t="n">
        <f aca="false">IF(OR($A583="",P583=""),"",ROUND(YEARFRAC(P583,README!$C$5),1))</f>
        <v>19.5</v>
      </c>
      <c r="S583" s="6" t="n">
        <v>1000</v>
      </c>
      <c r="T583" s="6" t="n">
        <v>1032</v>
      </c>
      <c r="U583" s="6" t="n">
        <v>1080</v>
      </c>
      <c r="V583" s="6" t="n">
        <v>48</v>
      </c>
      <c r="W583" s="6" t="n">
        <v>0.981</v>
      </c>
      <c r="X583" s="6" t="n">
        <v>1</v>
      </c>
      <c r="Z583" s="6" t="s">
        <v>1949</v>
      </c>
      <c r="AA583" s="9" t="s">
        <v>528</v>
      </c>
      <c r="AB583" s="6" t="s">
        <v>2353</v>
      </c>
      <c r="AE583" s="37" t="n">
        <f aca="false">COUNTIF(環境認証!$A$2:$A$849,A583)</f>
        <v>0</v>
      </c>
      <c r="AF583" s="6" t="n">
        <v>4.7</v>
      </c>
      <c r="AG583" s="6" t="n">
        <v>8</v>
      </c>
    </row>
    <row r="584" customFormat="false" ht="15" hidden="false" customHeight="true" outlineLevel="0" collapsed="false">
      <c r="A584" s="6" t="s">
        <v>2354</v>
      </c>
      <c r="B584" s="6" t="s">
        <v>463</v>
      </c>
      <c r="C584" s="9" t="s">
        <v>2355</v>
      </c>
      <c r="D584" s="9" t="s">
        <v>959</v>
      </c>
      <c r="E584" s="9" t="s">
        <v>547</v>
      </c>
      <c r="F584" s="9" t="s">
        <v>687</v>
      </c>
      <c r="H584" s="9" t="s">
        <v>550</v>
      </c>
      <c r="M584" s="6" t="n">
        <v>1318.72</v>
      </c>
      <c r="P584" s="46" t="n">
        <v>44958</v>
      </c>
      <c r="Q584" s="1" t="n">
        <f aca="false">IF(OR($A584="",P584=""),"",ROUND(YEARFRAC(P584,README!$C$5),1))</f>
        <v>3.5</v>
      </c>
      <c r="S584" s="6" t="n">
        <v>1410</v>
      </c>
      <c r="T584" s="6" t="n">
        <v>1501</v>
      </c>
      <c r="U584" s="6" t="n">
        <v>1530</v>
      </c>
      <c r="V584" s="6" t="n">
        <v>29</v>
      </c>
      <c r="W584" s="6" t="n">
        <v>1</v>
      </c>
      <c r="X584" s="6" t="n">
        <v>1</v>
      </c>
      <c r="Z584" s="6" t="s">
        <v>1949</v>
      </c>
      <c r="AA584" s="9" t="s">
        <v>528</v>
      </c>
      <c r="AB584" s="6" t="s">
        <v>2356</v>
      </c>
      <c r="AE584" s="37" t="n">
        <f aca="false">COUNTIF(環境認証!$A$2:$A$849,A584)</f>
        <v>0</v>
      </c>
      <c r="AF584" s="6" t="n">
        <v>1.9</v>
      </c>
      <c r="AG584" s="6" t="n">
        <v>8.5</v>
      </c>
    </row>
    <row r="585" customFormat="false" ht="15" hidden="false" customHeight="true" outlineLevel="0" collapsed="false">
      <c r="A585" s="6" t="s">
        <v>2357</v>
      </c>
      <c r="B585" s="6" t="s">
        <v>463</v>
      </c>
      <c r="C585" s="9" t="s">
        <v>2358</v>
      </c>
      <c r="D585" s="9" t="s">
        <v>959</v>
      </c>
      <c r="E585" s="9" t="s">
        <v>523</v>
      </c>
      <c r="F585" s="9" t="s">
        <v>1462</v>
      </c>
      <c r="H585" s="9" t="s">
        <v>540</v>
      </c>
      <c r="M585" s="6" t="n">
        <v>5029.64</v>
      </c>
      <c r="P585" s="46" t="n">
        <v>45200</v>
      </c>
      <c r="Q585" s="1" t="n">
        <f aca="false">IF(OR($A585="",P585=""),"",ROUND(YEARFRAC(P585,README!$C$5),1))</f>
        <v>2.9</v>
      </c>
      <c r="S585" s="6" t="n">
        <v>7090</v>
      </c>
      <c r="T585" s="6" t="n">
        <v>7247</v>
      </c>
      <c r="U585" s="6" t="n">
        <v>7540</v>
      </c>
      <c r="V585" s="6" t="n">
        <v>293</v>
      </c>
      <c r="W585" s="6" t="n">
        <v>0.928</v>
      </c>
      <c r="X585" s="6" t="n">
        <v>1</v>
      </c>
      <c r="Z585" s="6" t="s">
        <v>1949</v>
      </c>
      <c r="AA585" s="9" t="s">
        <v>528</v>
      </c>
      <c r="AB585" s="6" t="s">
        <v>2359</v>
      </c>
      <c r="AE585" s="37" t="n">
        <f aca="false">COUNTIF(環境認証!$A$2:$A$849,A585)</f>
        <v>1</v>
      </c>
      <c r="AF585" s="6" t="n">
        <v>4</v>
      </c>
      <c r="AG585" s="6" t="n">
        <v>6.3</v>
      </c>
    </row>
    <row r="586" customFormat="false" ht="15" hidden="false" customHeight="true" outlineLevel="0" collapsed="false">
      <c r="A586" s="6" t="s">
        <v>2360</v>
      </c>
      <c r="B586" s="6" t="s">
        <v>463</v>
      </c>
      <c r="C586" s="9" t="s">
        <v>2361</v>
      </c>
      <c r="D586" s="9" t="s">
        <v>959</v>
      </c>
      <c r="E586" s="9" t="s">
        <v>523</v>
      </c>
      <c r="F586" s="9" t="s">
        <v>1312</v>
      </c>
      <c r="H586" s="9" t="s">
        <v>540</v>
      </c>
      <c r="M586" s="6" t="n">
        <v>3927.51</v>
      </c>
      <c r="P586" s="46" t="n">
        <v>45047</v>
      </c>
      <c r="Q586" s="1" t="n">
        <f aca="false">IF(OR($A586="",P586=""),"",ROUND(YEARFRAC(P586,README!$C$5),1))</f>
        <v>3.3</v>
      </c>
      <c r="S586" s="6" t="n">
        <v>5640</v>
      </c>
      <c r="T586" s="6" t="n">
        <v>5782</v>
      </c>
      <c r="U586" s="6" t="n">
        <v>6140</v>
      </c>
      <c r="V586" s="6" t="n">
        <v>358</v>
      </c>
      <c r="W586" s="6" t="n">
        <v>0.925</v>
      </c>
      <c r="X586" s="6" t="n">
        <v>1</v>
      </c>
      <c r="Z586" s="6" t="s">
        <v>1949</v>
      </c>
      <c r="AA586" s="9" t="s">
        <v>528</v>
      </c>
      <c r="AB586" s="6" t="s">
        <v>2362</v>
      </c>
      <c r="AE586" s="37" t="n">
        <f aca="false">COUNTIF(環境認証!$A$2:$A$849,A586)</f>
        <v>1</v>
      </c>
      <c r="AF586" s="6" t="n">
        <v>6.2</v>
      </c>
      <c r="AG586" s="6" t="n">
        <v>8.9</v>
      </c>
    </row>
    <row r="587" customFormat="false" ht="15" hidden="false" customHeight="true" outlineLevel="0" collapsed="false">
      <c r="A587" s="6" t="s">
        <v>2363</v>
      </c>
      <c r="B587" s="6" t="s">
        <v>463</v>
      </c>
      <c r="C587" s="9" t="s">
        <v>2364</v>
      </c>
      <c r="D587" s="9" t="s">
        <v>959</v>
      </c>
      <c r="E587" s="9" t="s">
        <v>560</v>
      </c>
      <c r="F587" s="9" t="s">
        <v>1260</v>
      </c>
      <c r="H587" s="9" t="s">
        <v>550</v>
      </c>
      <c r="M587" s="6" t="n">
        <v>6444.69</v>
      </c>
      <c r="P587" s="46" t="n">
        <v>45292</v>
      </c>
      <c r="Q587" s="1" t="n">
        <f aca="false">IF(OR($A587="",P587=""),"",ROUND(YEARFRAC(P587,README!$C$5),1))</f>
        <v>2.6</v>
      </c>
      <c r="S587" s="6" t="n">
        <v>6160</v>
      </c>
      <c r="T587" s="6" t="n">
        <v>6393</v>
      </c>
      <c r="U587" s="6" t="n">
        <v>6200</v>
      </c>
      <c r="V587" s="6" t="n">
        <v>-193</v>
      </c>
      <c r="W587" s="6" t="n">
        <v>1</v>
      </c>
      <c r="X587" s="6" t="n">
        <v>1</v>
      </c>
      <c r="Z587" s="6" t="s">
        <v>1949</v>
      </c>
      <c r="AA587" s="9" t="s">
        <v>528</v>
      </c>
      <c r="AB587" s="6" t="s">
        <v>2365</v>
      </c>
      <c r="AE587" s="37" t="n">
        <f aca="false">COUNTIF(環境認証!$A$2:$A$849,A587)</f>
        <v>1</v>
      </c>
      <c r="AF587" s="6" t="n">
        <v>-3</v>
      </c>
      <c r="AG587" s="6" t="n">
        <v>0.6</v>
      </c>
    </row>
    <row r="588" customFormat="false" ht="15" hidden="false" customHeight="true" outlineLevel="0" collapsed="false">
      <c r="A588" s="6" t="s">
        <v>2366</v>
      </c>
      <c r="B588" s="6" t="s">
        <v>463</v>
      </c>
      <c r="C588" s="9" t="s">
        <v>2367</v>
      </c>
      <c r="D588" s="9" t="s">
        <v>959</v>
      </c>
      <c r="E588" s="9" t="s">
        <v>523</v>
      </c>
      <c r="F588" s="9" t="s">
        <v>539</v>
      </c>
      <c r="H588" s="9" t="s">
        <v>540</v>
      </c>
      <c r="M588" s="6" t="n">
        <v>2736.6</v>
      </c>
      <c r="P588" s="46" t="n">
        <v>45292</v>
      </c>
      <c r="Q588" s="1" t="n">
        <f aca="false">IF(OR($A588="",P588=""),"",ROUND(YEARFRAC(P588,README!$C$5),1))</f>
        <v>2.6</v>
      </c>
      <c r="S588" s="6" t="n">
        <v>4010</v>
      </c>
      <c r="T588" s="6" t="n">
        <v>4111</v>
      </c>
      <c r="U588" s="6" t="n">
        <v>4140</v>
      </c>
      <c r="V588" s="6" t="n">
        <v>29</v>
      </c>
      <c r="W588" s="6" t="n">
        <v>0.921</v>
      </c>
      <c r="X588" s="6" t="n">
        <v>1</v>
      </c>
      <c r="Z588" s="6" t="s">
        <v>1949</v>
      </c>
      <c r="AA588" s="9" t="s">
        <v>528</v>
      </c>
      <c r="AB588" s="6" t="s">
        <v>2368</v>
      </c>
      <c r="AE588" s="37" t="n">
        <f aca="false">COUNTIF(環境認証!$A$2:$A$849,A588)</f>
        <v>1</v>
      </c>
      <c r="AF588" s="6" t="n">
        <v>0.7</v>
      </c>
      <c r="AG588" s="6" t="n">
        <v>3.2</v>
      </c>
    </row>
    <row r="589" customFormat="false" ht="15" hidden="false" customHeight="true" outlineLevel="0" collapsed="false">
      <c r="A589" s="6" t="s">
        <v>2369</v>
      </c>
      <c r="B589" s="6" t="s">
        <v>463</v>
      </c>
      <c r="C589" s="9" t="s">
        <v>2370</v>
      </c>
      <c r="D589" s="9" t="s">
        <v>959</v>
      </c>
      <c r="E589" s="9" t="s">
        <v>523</v>
      </c>
      <c r="F589" s="9" t="s">
        <v>543</v>
      </c>
      <c r="H589" s="9" t="s">
        <v>540</v>
      </c>
      <c r="M589" s="6" t="n">
        <v>2129.76</v>
      </c>
      <c r="P589" s="46" t="n">
        <v>45047</v>
      </c>
      <c r="Q589" s="1" t="n">
        <f aca="false">IF(OR($A589="",P589=""),"",ROUND(YEARFRAC(P589,README!$C$5),1))</f>
        <v>3.3</v>
      </c>
      <c r="S589" s="6" t="n">
        <v>3200</v>
      </c>
      <c r="T589" s="6" t="n">
        <v>3282</v>
      </c>
      <c r="U589" s="6" t="n">
        <v>3260</v>
      </c>
      <c r="V589" s="6" t="n">
        <v>-22</v>
      </c>
      <c r="W589" s="6" t="n">
        <v>0.93</v>
      </c>
      <c r="X589" s="6" t="n">
        <v>1</v>
      </c>
      <c r="Z589" s="6" t="s">
        <v>1949</v>
      </c>
      <c r="AA589" s="9" t="s">
        <v>528</v>
      </c>
      <c r="AB589" s="6" t="s">
        <v>2371</v>
      </c>
      <c r="AE589" s="37" t="n">
        <f aca="false">COUNTIF(環境認証!$A$2:$A$849,A589)</f>
        <v>1</v>
      </c>
      <c r="AF589" s="6" t="n">
        <v>-0.7</v>
      </c>
      <c r="AG589" s="6" t="n">
        <v>1.9</v>
      </c>
    </row>
    <row r="590" customFormat="false" ht="15" hidden="false" customHeight="true" outlineLevel="0" collapsed="false">
      <c r="A590" s="6" t="s">
        <v>2372</v>
      </c>
      <c r="B590" s="6" t="s">
        <v>463</v>
      </c>
      <c r="C590" s="9" t="s">
        <v>2373</v>
      </c>
      <c r="D590" s="9" t="s">
        <v>959</v>
      </c>
      <c r="E590" s="9" t="s">
        <v>523</v>
      </c>
      <c r="F590" s="9" t="s">
        <v>666</v>
      </c>
      <c r="H590" s="9" t="s">
        <v>525</v>
      </c>
      <c r="M590" s="6" t="n">
        <v>1551.15</v>
      </c>
      <c r="P590" s="46" t="n">
        <v>45139</v>
      </c>
      <c r="Q590" s="1" t="n">
        <f aca="false">IF(OR($A590="",P590=""),"",ROUND(YEARFRAC(P590,README!$C$5),1))</f>
        <v>3</v>
      </c>
      <c r="S590" s="6" t="n">
        <v>2330</v>
      </c>
      <c r="T590" s="6" t="n">
        <v>2390</v>
      </c>
      <c r="U590" s="6" t="n">
        <v>2430</v>
      </c>
      <c r="V590" s="6" t="n">
        <v>40</v>
      </c>
      <c r="W590" s="6" t="n">
        <v>0.867</v>
      </c>
      <c r="X590" s="6" t="n">
        <v>1</v>
      </c>
      <c r="Z590" s="6" t="s">
        <v>1949</v>
      </c>
      <c r="AA590" s="9" t="s">
        <v>528</v>
      </c>
      <c r="AB590" s="6" t="s">
        <v>2374</v>
      </c>
      <c r="AE590" s="37" t="n">
        <f aca="false">COUNTIF(環境認証!$A$2:$A$849,A590)</f>
        <v>1</v>
      </c>
      <c r="AF590" s="6" t="n">
        <v>1.7</v>
      </c>
      <c r="AG590" s="6" t="n">
        <v>4.3</v>
      </c>
    </row>
    <row r="591" customFormat="false" ht="15" hidden="false" customHeight="true" outlineLevel="0" collapsed="false">
      <c r="A591" s="6" t="s">
        <v>2375</v>
      </c>
      <c r="B591" s="6" t="s">
        <v>463</v>
      </c>
      <c r="C591" s="9" t="s">
        <v>2376</v>
      </c>
      <c r="D591" s="9" t="s">
        <v>959</v>
      </c>
      <c r="E591" s="9" t="s">
        <v>523</v>
      </c>
      <c r="F591" s="9" t="s">
        <v>543</v>
      </c>
      <c r="H591" s="9" t="s">
        <v>540</v>
      </c>
      <c r="M591" s="6" t="n">
        <v>1074.64</v>
      </c>
      <c r="P591" s="46" t="n">
        <v>45536</v>
      </c>
      <c r="Q591" s="1" t="n">
        <f aca="false">IF(OR($A591="",P591=""),"",ROUND(YEARFRAC(P591,README!$C$5),1))</f>
        <v>1.9</v>
      </c>
      <c r="S591" s="6" t="n">
        <v>1610</v>
      </c>
      <c r="T591" s="6" t="n">
        <v>1658</v>
      </c>
      <c r="U591" s="6" t="n">
        <v>1670</v>
      </c>
      <c r="V591" s="6" t="n">
        <v>12</v>
      </c>
      <c r="W591" s="6" t="n">
        <v>1</v>
      </c>
      <c r="X591" s="6" t="n">
        <v>1</v>
      </c>
      <c r="Z591" s="6" t="s">
        <v>1949</v>
      </c>
      <c r="AA591" s="9" t="s">
        <v>528</v>
      </c>
      <c r="AB591" s="6" t="s">
        <v>2377</v>
      </c>
      <c r="AE591" s="37" t="n">
        <f aca="false">COUNTIF(環境認証!$A$2:$A$849,A591)</f>
        <v>1</v>
      </c>
      <c r="AF591" s="6" t="n">
        <v>0.7</v>
      </c>
      <c r="AG591" s="6" t="n">
        <v>3.7</v>
      </c>
    </row>
    <row r="592" customFormat="false" ht="15" hidden="false" customHeight="true" outlineLevel="0" collapsed="false">
      <c r="A592" s="6" t="s">
        <v>2378</v>
      </c>
      <c r="B592" s="6" t="s">
        <v>463</v>
      </c>
      <c r="C592" s="9" t="s">
        <v>2379</v>
      </c>
      <c r="D592" s="9" t="s">
        <v>959</v>
      </c>
      <c r="E592" s="9" t="s">
        <v>555</v>
      </c>
      <c r="F592" s="9" t="s">
        <v>1271</v>
      </c>
      <c r="H592" s="9" t="s">
        <v>550</v>
      </c>
      <c r="M592" s="6" t="n">
        <v>2322.28</v>
      </c>
      <c r="P592" s="46" t="n">
        <v>40210</v>
      </c>
      <c r="Q592" s="1" t="n">
        <f aca="false">IF(OR($A592="",P592=""),"",ROUND(YEARFRAC(P592,README!$C$5),1))</f>
        <v>16.5</v>
      </c>
      <c r="S592" s="6" t="n">
        <v>2590</v>
      </c>
      <c r="T592" s="6" t="n">
        <v>2641</v>
      </c>
      <c r="U592" s="6" t="n">
        <v>2690</v>
      </c>
      <c r="V592" s="6" t="n">
        <v>49</v>
      </c>
      <c r="W592" s="6" t="n">
        <v>0.942</v>
      </c>
      <c r="X592" s="6" t="n">
        <v>1</v>
      </c>
      <c r="Z592" s="6" t="s">
        <v>1949</v>
      </c>
      <c r="AA592" s="9" t="s">
        <v>528</v>
      </c>
      <c r="AB592" s="6" t="s">
        <v>2380</v>
      </c>
      <c r="AE592" s="37" t="n">
        <f aca="false">COUNTIF(環境認証!$A$2:$A$849,A592)</f>
        <v>0</v>
      </c>
      <c r="AF592" s="6" t="n">
        <v>1.9</v>
      </c>
      <c r="AG592" s="6" t="n">
        <v>3.9</v>
      </c>
    </row>
    <row r="593" customFormat="false" ht="15" hidden="false" customHeight="true" outlineLevel="0" collapsed="false">
      <c r="A593" s="6" t="s">
        <v>2381</v>
      </c>
      <c r="B593" s="6" t="s">
        <v>463</v>
      </c>
      <c r="C593" s="9" t="s">
        <v>2382</v>
      </c>
      <c r="D593" s="9" t="s">
        <v>959</v>
      </c>
      <c r="E593" s="9" t="s">
        <v>547</v>
      </c>
      <c r="F593" s="9" t="s">
        <v>687</v>
      </c>
      <c r="H593" s="9" t="s">
        <v>550</v>
      </c>
      <c r="M593" s="6" t="n">
        <v>1872.1</v>
      </c>
      <c r="P593" s="46" t="n">
        <v>40210</v>
      </c>
      <c r="Q593" s="1" t="n">
        <f aca="false">IF(OR($A593="",P593=""),"",ROUND(YEARFRAC(P593,README!$C$5),1))</f>
        <v>16.5</v>
      </c>
      <c r="S593" s="6" t="n">
        <v>1810</v>
      </c>
      <c r="T593" s="6" t="n">
        <v>1918</v>
      </c>
      <c r="U593" s="6" t="n">
        <v>2000</v>
      </c>
      <c r="V593" s="6" t="n">
        <v>82</v>
      </c>
      <c r="W593" s="6" t="n">
        <v>0.971</v>
      </c>
      <c r="X593" s="6" t="n">
        <v>1</v>
      </c>
      <c r="Z593" s="6" t="s">
        <v>1949</v>
      </c>
      <c r="AA593" s="9" t="s">
        <v>528</v>
      </c>
      <c r="AB593" s="6" t="s">
        <v>2383</v>
      </c>
      <c r="AE593" s="37" t="n">
        <f aca="false">COUNTIF(環境認証!$A$2:$A$849,A593)</f>
        <v>1</v>
      </c>
      <c r="AF593" s="6" t="n">
        <v>4.3</v>
      </c>
      <c r="AG593" s="6" t="n">
        <v>10.5</v>
      </c>
    </row>
    <row r="594" customFormat="false" ht="15" hidden="false" customHeight="true" outlineLevel="0" collapsed="false">
      <c r="A594" s="6" t="s">
        <v>2384</v>
      </c>
      <c r="B594" s="6" t="s">
        <v>463</v>
      </c>
      <c r="C594" s="9" t="s">
        <v>2385</v>
      </c>
      <c r="D594" s="9" t="s">
        <v>959</v>
      </c>
      <c r="E594" s="9" t="s">
        <v>2386</v>
      </c>
      <c r="G594" s="9" t="s">
        <v>2387</v>
      </c>
      <c r="H594" s="9" t="s">
        <v>2388</v>
      </c>
      <c r="M594" s="6" t="n">
        <v>31989.96</v>
      </c>
      <c r="P594" s="46" t="n">
        <v>44835</v>
      </c>
      <c r="Q594" s="1" t="n">
        <f aca="false">IF(OR($A594="",P594=""),"",ROUND(YEARFRAC(P594,README!$C$5),1))</f>
        <v>3.9</v>
      </c>
      <c r="S594" s="6" t="n">
        <v>51479</v>
      </c>
      <c r="T594" s="6" t="n">
        <v>54069</v>
      </c>
      <c r="U594" s="6" t="n">
        <v>57419</v>
      </c>
      <c r="V594" s="6" t="n">
        <v>3350</v>
      </c>
      <c r="W594" s="6" t="n">
        <v>0.969</v>
      </c>
      <c r="X594" s="6" t="n">
        <v>393</v>
      </c>
      <c r="Z594" s="6" t="s">
        <v>1949</v>
      </c>
      <c r="AA594" s="9" t="s">
        <v>528</v>
      </c>
      <c r="AB594" s="6" t="s">
        <v>2389</v>
      </c>
      <c r="AE594" s="37" t="n">
        <f aca="false">COUNTIF(環境認証!$A$2:$A$849,A594)</f>
        <v>1</v>
      </c>
      <c r="AF594" s="6" t="n">
        <v>6.2</v>
      </c>
      <c r="AG594" s="6" t="n">
        <v>11.5</v>
      </c>
    </row>
    <row r="595" customFormat="false" ht="15" hidden="false" customHeight="true" outlineLevel="0" collapsed="false">
      <c r="A595" s="6" t="s">
        <v>2390</v>
      </c>
      <c r="B595" s="6" t="s">
        <v>463</v>
      </c>
      <c r="C595" s="9" t="s">
        <v>2391</v>
      </c>
      <c r="D595" s="9" t="s">
        <v>959</v>
      </c>
      <c r="E595" s="9" t="s">
        <v>2386</v>
      </c>
      <c r="G595" s="9" t="s">
        <v>2392</v>
      </c>
      <c r="H595" s="9" t="s">
        <v>2388</v>
      </c>
      <c r="M595" s="6" t="n">
        <v>59468.66</v>
      </c>
      <c r="P595" s="46" t="n">
        <v>44896</v>
      </c>
      <c r="Q595" s="1" t="n">
        <f aca="false">IF(OR($A595="",P595=""),"",ROUND(YEARFRAC(P595,README!$C$5),1))</f>
        <v>3.7</v>
      </c>
      <c r="S595" s="6" t="n">
        <v>84378</v>
      </c>
      <c r="T595" s="6" t="n">
        <v>86838</v>
      </c>
      <c r="U595" s="6" t="n">
        <v>95913</v>
      </c>
      <c r="V595" s="6" t="n">
        <v>9075</v>
      </c>
      <c r="W595" s="6" t="n">
        <v>0.928</v>
      </c>
      <c r="X595" s="6" t="n">
        <v>640</v>
      </c>
      <c r="Z595" s="6" t="s">
        <v>1949</v>
      </c>
      <c r="AA595" s="9" t="s">
        <v>528</v>
      </c>
      <c r="AB595" s="6" t="s">
        <v>2393</v>
      </c>
      <c r="AE595" s="37" t="n">
        <f aca="false">COUNTIF(環境認証!$A$2:$A$849,A595)</f>
        <v>1</v>
      </c>
      <c r="AF595" s="6" t="n">
        <v>10.5</v>
      </c>
      <c r="AG595" s="6" t="n">
        <v>13.7</v>
      </c>
    </row>
    <row r="596" customFormat="false" ht="15" hidden="false" customHeight="true" outlineLevel="0" collapsed="false">
      <c r="A596" s="6" t="s">
        <v>2394</v>
      </c>
      <c r="B596" s="6" t="s">
        <v>463</v>
      </c>
      <c r="C596" s="9" t="s">
        <v>2395</v>
      </c>
      <c r="D596" s="9" t="s">
        <v>522</v>
      </c>
      <c r="E596" s="9" t="s">
        <v>523</v>
      </c>
      <c r="F596" s="9" t="s">
        <v>625</v>
      </c>
      <c r="H596" s="9" t="s">
        <v>540</v>
      </c>
      <c r="M596" s="6" t="n">
        <v>7999.99</v>
      </c>
      <c r="P596" s="46" t="n">
        <v>40575</v>
      </c>
      <c r="Q596" s="1" t="n">
        <f aca="false">IF(OR($A596="",P596=""),"",ROUND(YEARFRAC(P596,README!$C$5),1))</f>
        <v>15.5</v>
      </c>
      <c r="S596" s="6" t="n">
        <v>20600</v>
      </c>
      <c r="T596" s="6" t="n">
        <v>19349</v>
      </c>
      <c r="U596" s="6" t="n">
        <v>25100</v>
      </c>
      <c r="V596" s="6" t="n">
        <v>5751</v>
      </c>
      <c r="W596" s="6" t="n">
        <v>1</v>
      </c>
      <c r="X596" s="6" t="n">
        <v>1</v>
      </c>
      <c r="Z596" s="6" t="s">
        <v>1949</v>
      </c>
      <c r="AA596" s="9" t="s">
        <v>528</v>
      </c>
      <c r="AB596" s="6" t="s">
        <v>2396</v>
      </c>
      <c r="AE596" s="37" t="n">
        <f aca="false">COUNTIF(環境認証!$A$2:$A$849,A596)</f>
        <v>0</v>
      </c>
      <c r="AF596" s="6" t="n">
        <v>29.7</v>
      </c>
      <c r="AG596" s="6" t="n">
        <v>21.8</v>
      </c>
    </row>
    <row r="597" customFormat="false" ht="15" hidden="false" customHeight="true" outlineLevel="0" collapsed="false">
      <c r="A597" s="6" t="s">
        <v>2397</v>
      </c>
      <c r="B597" s="6" t="s">
        <v>463</v>
      </c>
      <c r="C597" s="9" t="s">
        <v>2398</v>
      </c>
      <c r="D597" s="9" t="s">
        <v>522</v>
      </c>
      <c r="E597" s="9" t="s">
        <v>573</v>
      </c>
      <c r="F597" s="9" t="s">
        <v>680</v>
      </c>
      <c r="H597" s="9" t="s">
        <v>569</v>
      </c>
      <c r="M597" s="6" t="n">
        <v>29657.53</v>
      </c>
      <c r="P597" s="46" t="n">
        <v>40575</v>
      </c>
      <c r="Q597" s="1" t="n">
        <f aca="false">IF(OR($A597="",P597=""),"",ROUND(YEARFRAC(P597,README!$C$5),1))</f>
        <v>15.5</v>
      </c>
      <c r="S597" s="6" t="n">
        <v>44000</v>
      </c>
      <c r="T597" s="6" t="n">
        <v>40915</v>
      </c>
      <c r="U597" s="6" t="n">
        <v>54800</v>
      </c>
      <c r="V597" s="6" t="n">
        <v>13885</v>
      </c>
      <c r="W597" s="6" t="n">
        <v>1</v>
      </c>
      <c r="X597" s="6" t="n">
        <v>1</v>
      </c>
      <c r="Z597" s="6" t="s">
        <v>1949</v>
      </c>
      <c r="AA597" s="9" t="s">
        <v>528</v>
      </c>
      <c r="AB597" s="6" t="s">
        <v>2399</v>
      </c>
      <c r="AE597" s="37" t="n">
        <f aca="false">COUNTIF(環境認証!$A$2:$A$849,A597)</f>
        <v>2</v>
      </c>
      <c r="AF597" s="6" t="n">
        <v>33.9</v>
      </c>
      <c r="AG597" s="6" t="n">
        <v>24.5</v>
      </c>
    </row>
    <row r="598" customFormat="false" ht="15" hidden="false" customHeight="true" outlineLevel="0" collapsed="false">
      <c r="A598" s="6" t="s">
        <v>2400</v>
      </c>
      <c r="B598" s="6" t="s">
        <v>463</v>
      </c>
      <c r="C598" s="9" t="s">
        <v>2401</v>
      </c>
      <c r="D598" s="9" t="s">
        <v>522</v>
      </c>
      <c r="E598" s="9" t="s">
        <v>573</v>
      </c>
      <c r="F598" s="9" t="s">
        <v>680</v>
      </c>
      <c r="H598" s="9" t="s">
        <v>569</v>
      </c>
      <c r="M598" s="6" t="n">
        <v>4554.52</v>
      </c>
      <c r="P598" s="46" t="n">
        <v>42186</v>
      </c>
      <c r="Q598" s="1" t="n">
        <f aca="false">IF(OR($A598="",P598=""),"",ROUND(YEARFRAC(P598,README!$C$5),1))</f>
        <v>11.1</v>
      </c>
      <c r="S598" s="6" t="n">
        <v>4400</v>
      </c>
      <c r="T598" s="6" t="n">
        <v>4106</v>
      </c>
      <c r="U598" s="6" t="n">
        <v>7020</v>
      </c>
      <c r="V598" s="6" t="n">
        <v>2914</v>
      </c>
      <c r="W598" s="6" t="n">
        <v>1</v>
      </c>
      <c r="X598" s="6" t="n">
        <v>1</v>
      </c>
      <c r="Z598" s="6" t="s">
        <v>1949</v>
      </c>
      <c r="AA598" s="9" t="s">
        <v>528</v>
      </c>
      <c r="AB598" s="6" t="s">
        <v>2402</v>
      </c>
      <c r="AE598" s="37" t="n">
        <f aca="false">COUNTIF(環境認証!$A$2:$A$849,A598)</f>
        <v>1</v>
      </c>
      <c r="AF598" s="6" t="n">
        <v>71</v>
      </c>
      <c r="AG598" s="6" t="n">
        <v>59.5</v>
      </c>
    </row>
    <row r="599" customFormat="false" ht="15" hidden="false" customHeight="true" outlineLevel="0" collapsed="false">
      <c r="A599" s="6" t="s">
        <v>2403</v>
      </c>
      <c r="B599" s="6" t="s">
        <v>463</v>
      </c>
      <c r="C599" s="9" t="s">
        <v>2404</v>
      </c>
      <c r="D599" s="9" t="s">
        <v>522</v>
      </c>
      <c r="E599" s="9" t="s">
        <v>567</v>
      </c>
      <c r="F599" s="9" t="s">
        <v>676</v>
      </c>
      <c r="H599" s="9" t="s">
        <v>569</v>
      </c>
      <c r="M599" s="6" t="n">
        <v>4442.75</v>
      </c>
      <c r="P599" s="46" t="n">
        <v>40603</v>
      </c>
      <c r="Q599" s="1" t="n">
        <f aca="false">IF(OR($A599="",P599=""),"",ROUND(YEARFRAC(P599,README!$C$5),1))</f>
        <v>15.4</v>
      </c>
      <c r="S599" s="6" t="n">
        <v>6350</v>
      </c>
      <c r="T599" s="6" t="n">
        <v>5980</v>
      </c>
      <c r="U599" s="6" t="n">
        <v>7270</v>
      </c>
      <c r="V599" s="6" t="n">
        <v>1290</v>
      </c>
      <c r="W599" s="6" t="n">
        <v>1</v>
      </c>
      <c r="X599" s="6" t="n">
        <v>1</v>
      </c>
      <c r="Z599" s="6" t="s">
        <v>1949</v>
      </c>
      <c r="AA599" s="9" t="s">
        <v>528</v>
      </c>
      <c r="AB599" s="6" t="s">
        <v>2405</v>
      </c>
      <c r="AE599" s="37" t="n">
        <f aca="false">COUNTIF(環境認証!$A$2:$A$849,A599)</f>
        <v>2</v>
      </c>
      <c r="AF599" s="6" t="n">
        <v>21.6</v>
      </c>
      <c r="AG599" s="6" t="n">
        <v>14.5</v>
      </c>
    </row>
    <row r="600" customFormat="false" ht="15" hidden="false" customHeight="true" outlineLevel="0" collapsed="false">
      <c r="A600" s="6" t="s">
        <v>2406</v>
      </c>
      <c r="B600" s="6" t="s">
        <v>463</v>
      </c>
      <c r="C600" s="9" t="s">
        <v>2407</v>
      </c>
      <c r="D600" s="9" t="s">
        <v>522</v>
      </c>
      <c r="E600" s="9" t="s">
        <v>523</v>
      </c>
      <c r="F600" s="9" t="s">
        <v>806</v>
      </c>
      <c r="H600" s="9" t="s">
        <v>525</v>
      </c>
      <c r="M600" s="6" t="n">
        <v>3120.48</v>
      </c>
      <c r="P600" s="46" t="n">
        <v>31199</v>
      </c>
      <c r="Q600" s="1" t="n">
        <f aca="false">IF(OR($A600="",P600=""),"",ROUND(YEARFRAC(P600,README!$C$5),1))</f>
        <v>41.2</v>
      </c>
      <c r="S600" s="6" t="n">
        <v>5000</v>
      </c>
      <c r="T600" s="6" t="n">
        <v>5001</v>
      </c>
      <c r="U600" s="6" t="n">
        <v>5040</v>
      </c>
      <c r="V600" s="6" t="n">
        <v>39</v>
      </c>
      <c r="W600" s="6" t="n">
        <v>1</v>
      </c>
      <c r="X600" s="6" t="n">
        <v>3</v>
      </c>
      <c r="Z600" s="6" t="s">
        <v>1949</v>
      </c>
      <c r="AA600" s="9" t="s">
        <v>528</v>
      </c>
      <c r="AB600" s="6" t="s">
        <v>2408</v>
      </c>
      <c r="AE600" s="37" t="n">
        <f aca="false">COUNTIF(環境認証!$A$2:$A$849,A600)</f>
        <v>0</v>
      </c>
      <c r="AF600" s="6" t="n">
        <v>0.8</v>
      </c>
      <c r="AG600" s="6" t="n">
        <v>0.8</v>
      </c>
    </row>
    <row r="601" customFormat="false" ht="15" hidden="false" customHeight="true" outlineLevel="0" collapsed="false">
      <c r="A601" s="6" t="s">
        <v>2409</v>
      </c>
      <c r="B601" s="6" t="s">
        <v>463</v>
      </c>
      <c r="C601" s="9" t="s">
        <v>2410</v>
      </c>
      <c r="D601" s="9" t="s">
        <v>2411</v>
      </c>
      <c r="H601" s="6" t="s">
        <v>619</v>
      </c>
      <c r="I601" s="6" t="s">
        <v>2412</v>
      </c>
      <c r="M601" s="6" t="n">
        <v>598872.84</v>
      </c>
      <c r="Q601" s="1" t="str">
        <f aca="false">IF(OR($A601="",P601=""),"",ROUND(YEARFRAC(P601,README!$C$5),1))</f>
        <v/>
      </c>
      <c r="S601" s="6" t="n">
        <v>561102</v>
      </c>
      <c r="T601" s="6" t="n">
        <v>554197</v>
      </c>
      <c r="U601" s="6" t="n">
        <v>665515</v>
      </c>
      <c r="V601" s="1" t="n">
        <f aca="false">IF($A601="","",IF(OR(T601="",U601=""),"",U601-T601))</f>
        <v>111318</v>
      </c>
      <c r="W601" s="6" t="n">
        <v>0.962</v>
      </c>
      <c r="X601" s="6" t="n">
        <v>1051</v>
      </c>
      <c r="Y601" s="6" t="n">
        <v>2.7</v>
      </c>
      <c r="Z601" s="6" t="s">
        <v>1949</v>
      </c>
      <c r="AA601" s="44" t="s">
        <v>1168</v>
      </c>
      <c r="AB601" s="9" t="s">
        <v>2413</v>
      </c>
      <c r="AE601" s="37" t="n">
        <f aca="false">COUNTIF(環境認証!$A$2:$A$849,A601)</f>
        <v>0</v>
      </c>
    </row>
    <row r="602" customFormat="false" ht="15" hidden="false" customHeight="true" outlineLevel="0" collapsed="false">
      <c r="A602" s="6" t="s">
        <v>2414</v>
      </c>
      <c r="B602" s="6" t="s">
        <v>456</v>
      </c>
      <c r="C602" s="9" t="s">
        <v>2415</v>
      </c>
      <c r="D602" s="9" t="s">
        <v>522</v>
      </c>
      <c r="E602" s="9" t="s">
        <v>523</v>
      </c>
      <c r="F602" s="9" t="s">
        <v>666</v>
      </c>
      <c r="H602" s="9" t="s">
        <v>525</v>
      </c>
      <c r="M602" s="6" t="n">
        <v>1897.71</v>
      </c>
      <c r="Q602" s="1" t="str">
        <f aca="false">IF(OR($A602="",P602=""),"",ROUND(YEARFRAC(P602,README!$C$5),1))</f>
        <v/>
      </c>
      <c r="S602" s="6" t="n">
        <v>1550</v>
      </c>
      <c r="T602" s="6" t="n">
        <v>1406</v>
      </c>
      <c r="U602" s="6" t="n">
        <v>1924</v>
      </c>
      <c r="V602" s="6" t="n">
        <v>518</v>
      </c>
      <c r="W602" s="6" t="n">
        <v>1</v>
      </c>
      <c r="X602" s="6" t="n">
        <v>6</v>
      </c>
      <c r="Y602" s="6" t="n">
        <v>10</v>
      </c>
      <c r="Z602" s="6" t="s">
        <v>2416</v>
      </c>
      <c r="AA602" s="9" t="s">
        <v>528</v>
      </c>
      <c r="AB602" s="6" t="s">
        <v>2417</v>
      </c>
      <c r="AE602" s="37" t="n">
        <f aca="false">COUNTIF(環境認証!$A$2:$A$849,A602)</f>
        <v>0</v>
      </c>
      <c r="AF602" s="6" t="n">
        <v>36.8</v>
      </c>
      <c r="AG602" s="6" t="n">
        <v>24.1</v>
      </c>
    </row>
    <row r="603" customFormat="false" ht="15" hidden="false" customHeight="true" outlineLevel="0" collapsed="false">
      <c r="A603" s="6" t="s">
        <v>2418</v>
      </c>
      <c r="B603" s="6" t="s">
        <v>456</v>
      </c>
      <c r="C603" s="9" t="s">
        <v>2419</v>
      </c>
      <c r="D603" s="9" t="s">
        <v>522</v>
      </c>
      <c r="E603" s="9" t="s">
        <v>523</v>
      </c>
      <c r="F603" s="9" t="s">
        <v>543</v>
      </c>
      <c r="H603" s="9" t="s">
        <v>540</v>
      </c>
      <c r="M603" s="6" t="n">
        <v>3736.61</v>
      </c>
      <c r="Q603" s="1" t="str">
        <f aca="false">IF(OR($A603="",P603=""),"",ROUND(YEARFRAC(P603,README!$C$5),1))</f>
        <v/>
      </c>
      <c r="S603" s="6" t="n">
        <v>2500</v>
      </c>
      <c r="T603" s="6" t="n">
        <v>2254</v>
      </c>
      <c r="U603" s="6" t="n">
        <v>3440</v>
      </c>
      <c r="V603" s="6" t="n">
        <v>1186</v>
      </c>
      <c r="W603" s="6" t="n">
        <v>1</v>
      </c>
      <c r="X603" s="6" t="n">
        <v>6</v>
      </c>
      <c r="Y603" s="6" t="n">
        <v>5.7</v>
      </c>
      <c r="Z603" s="6" t="s">
        <v>2416</v>
      </c>
      <c r="AA603" s="9" t="s">
        <v>528</v>
      </c>
      <c r="AB603" s="6" t="s">
        <v>2420</v>
      </c>
      <c r="AE603" s="37" t="n">
        <f aca="false">COUNTIF(環境認証!$A$2:$A$849,A603)</f>
        <v>0</v>
      </c>
      <c r="AF603" s="6" t="n">
        <v>52.6</v>
      </c>
      <c r="AG603" s="6" t="n">
        <v>37.6</v>
      </c>
    </row>
    <row r="604" customFormat="false" ht="15" hidden="false" customHeight="true" outlineLevel="0" collapsed="false">
      <c r="A604" s="6" t="s">
        <v>2421</v>
      </c>
      <c r="B604" s="6" t="s">
        <v>456</v>
      </c>
      <c r="C604" s="9" t="s">
        <v>2422</v>
      </c>
      <c r="D604" s="9" t="s">
        <v>522</v>
      </c>
      <c r="E604" s="9" t="s">
        <v>523</v>
      </c>
      <c r="F604" s="9" t="s">
        <v>532</v>
      </c>
      <c r="H604" s="9" t="s">
        <v>525</v>
      </c>
      <c r="M604" s="6" t="n">
        <v>2274.91</v>
      </c>
      <c r="Q604" s="1" t="str">
        <f aca="false">IF(OR($A604="",P604=""),"",ROUND(YEARFRAC(P604,README!$C$5),1))</f>
        <v/>
      </c>
      <c r="S604" s="6" t="n">
        <v>2700</v>
      </c>
      <c r="T604" s="6" t="n">
        <v>2849</v>
      </c>
      <c r="U604" s="6" t="n">
        <v>3530</v>
      </c>
      <c r="V604" s="6" t="n">
        <v>681</v>
      </c>
      <c r="W604" s="6" t="n">
        <v>1</v>
      </c>
      <c r="X604" s="6" t="n">
        <v>8</v>
      </c>
      <c r="Y604" s="6" t="n">
        <v>7.3</v>
      </c>
      <c r="Z604" s="6" t="s">
        <v>2416</v>
      </c>
      <c r="AA604" s="9" t="s">
        <v>528</v>
      </c>
      <c r="AB604" s="6" t="s">
        <v>2423</v>
      </c>
      <c r="AE604" s="37" t="n">
        <f aca="false">COUNTIF(環境認証!$A$2:$A$849,A604)</f>
        <v>0</v>
      </c>
      <c r="AF604" s="6" t="n">
        <v>23.9</v>
      </c>
      <c r="AG604" s="6" t="n">
        <v>30.7</v>
      </c>
    </row>
    <row r="605" customFormat="false" ht="15" hidden="false" customHeight="true" outlineLevel="0" collapsed="false">
      <c r="A605" s="6" t="s">
        <v>2424</v>
      </c>
      <c r="B605" s="6" t="s">
        <v>456</v>
      </c>
      <c r="C605" s="9" t="s">
        <v>2425</v>
      </c>
      <c r="D605" s="9" t="s">
        <v>522</v>
      </c>
      <c r="E605" s="9" t="s">
        <v>523</v>
      </c>
      <c r="F605" s="9" t="s">
        <v>666</v>
      </c>
      <c r="H605" s="9" t="s">
        <v>525</v>
      </c>
      <c r="M605" s="6" t="n">
        <v>2626.77</v>
      </c>
      <c r="Q605" s="1" t="str">
        <f aca="false">IF(OR($A605="",P605=""),"",ROUND(YEARFRAC(P605,README!$C$5),1))</f>
        <v/>
      </c>
      <c r="S605" s="6" t="n">
        <v>2150</v>
      </c>
      <c r="T605" s="6" t="n">
        <v>2128</v>
      </c>
      <c r="U605" s="6" t="n">
        <v>2740</v>
      </c>
      <c r="V605" s="6" t="n">
        <v>612</v>
      </c>
      <c r="W605" s="6" t="n">
        <v>1</v>
      </c>
      <c r="X605" s="6" t="n">
        <v>8</v>
      </c>
      <c r="Y605" s="6" t="n">
        <v>16.5</v>
      </c>
      <c r="Z605" s="6" t="s">
        <v>2416</v>
      </c>
      <c r="AA605" s="9" t="s">
        <v>528</v>
      </c>
      <c r="AB605" s="6" t="s">
        <v>2426</v>
      </c>
      <c r="AE605" s="37" t="n">
        <f aca="false">COUNTIF(環境認証!$A$2:$A$849,A605)</f>
        <v>0</v>
      </c>
      <c r="AF605" s="6" t="n">
        <v>28.8</v>
      </c>
      <c r="AG605" s="6" t="n">
        <v>27.4</v>
      </c>
    </row>
    <row r="606" customFormat="false" ht="15" hidden="false" customHeight="true" outlineLevel="0" collapsed="false">
      <c r="A606" s="6" t="s">
        <v>2427</v>
      </c>
      <c r="B606" s="6" t="s">
        <v>456</v>
      </c>
      <c r="C606" s="9" t="s">
        <v>2428</v>
      </c>
      <c r="D606" s="9" t="s">
        <v>522</v>
      </c>
      <c r="E606" s="9" t="s">
        <v>523</v>
      </c>
      <c r="F606" s="9" t="s">
        <v>666</v>
      </c>
      <c r="H606" s="9" t="s">
        <v>525</v>
      </c>
      <c r="M606" s="6" t="n">
        <v>2255.96</v>
      </c>
      <c r="Q606" s="1" t="str">
        <f aca="false">IF(OR($A606="",P606=""),"",ROUND(YEARFRAC(P606,README!$C$5),1))</f>
        <v/>
      </c>
      <c r="S606" s="6" t="n">
        <v>3092</v>
      </c>
      <c r="T606" s="6" t="n">
        <v>2999</v>
      </c>
      <c r="U606" s="6" t="n">
        <v>2870</v>
      </c>
      <c r="V606" s="6" t="n">
        <v>-129</v>
      </c>
      <c r="W606" s="6" t="n">
        <v>1</v>
      </c>
      <c r="X606" s="6" t="n">
        <v>8</v>
      </c>
      <c r="Y606" s="6" t="n">
        <v>12.5</v>
      </c>
      <c r="Z606" s="6" t="s">
        <v>2416</v>
      </c>
      <c r="AA606" s="9" t="s">
        <v>528</v>
      </c>
      <c r="AB606" s="6" t="s">
        <v>2429</v>
      </c>
      <c r="AE606" s="37" t="n">
        <f aca="false">COUNTIF(環境認証!$A$2:$A$849,A606)</f>
        <v>0</v>
      </c>
      <c r="AF606" s="6" t="n">
        <v>-4.3</v>
      </c>
      <c r="AG606" s="6" t="n">
        <v>-7.2</v>
      </c>
    </row>
    <row r="607" customFormat="false" ht="15" hidden="false" customHeight="true" outlineLevel="0" collapsed="false">
      <c r="A607" s="6" t="s">
        <v>2430</v>
      </c>
      <c r="B607" s="6" t="s">
        <v>456</v>
      </c>
      <c r="C607" s="9" t="s">
        <v>2431</v>
      </c>
      <c r="D607" s="9" t="s">
        <v>522</v>
      </c>
      <c r="E607" s="9" t="s">
        <v>523</v>
      </c>
      <c r="F607" s="9" t="s">
        <v>666</v>
      </c>
      <c r="H607" s="9" t="s">
        <v>525</v>
      </c>
      <c r="M607" s="6" t="n">
        <v>1209.69</v>
      </c>
      <c r="Q607" s="1" t="str">
        <f aca="false">IF(OR($A607="",P607=""),"",ROUND(YEARFRAC(P607,README!$C$5),1))</f>
        <v/>
      </c>
      <c r="S607" s="6" t="n">
        <v>1110</v>
      </c>
      <c r="T607" s="6" t="n">
        <v>1088</v>
      </c>
      <c r="U607" s="6" t="n">
        <v>1220</v>
      </c>
      <c r="V607" s="6" t="n">
        <v>132</v>
      </c>
      <c r="W607" s="6" t="n">
        <v>1</v>
      </c>
      <c r="X607" s="6" t="n">
        <v>9</v>
      </c>
      <c r="Y607" s="6" t="n">
        <v>14.7</v>
      </c>
      <c r="Z607" s="6" t="s">
        <v>2416</v>
      </c>
      <c r="AA607" s="9" t="s">
        <v>528</v>
      </c>
      <c r="AB607" s="6" t="s">
        <v>2432</v>
      </c>
      <c r="AE607" s="37" t="n">
        <f aca="false">COUNTIF(環境認証!$A$2:$A$849,A607)</f>
        <v>0</v>
      </c>
      <c r="AF607" s="6" t="n">
        <v>12.1</v>
      </c>
      <c r="AG607" s="6" t="n">
        <v>9.9</v>
      </c>
    </row>
    <row r="608" customFormat="false" ht="15" hidden="false" customHeight="true" outlineLevel="0" collapsed="false">
      <c r="A608" s="6" t="s">
        <v>2433</v>
      </c>
      <c r="B608" s="6" t="s">
        <v>456</v>
      </c>
      <c r="C608" s="9" t="s">
        <v>2434</v>
      </c>
      <c r="D608" s="9" t="s">
        <v>522</v>
      </c>
      <c r="E608" s="9" t="s">
        <v>523</v>
      </c>
      <c r="F608" s="9" t="s">
        <v>648</v>
      </c>
      <c r="H608" s="9" t="s">
        <v>525</v>
      </c>
      <c r="M608" s="6" t="n">
        <v>1178.57</v>
      </c>
      <c r="Q608" s="1" t="str">
        <f aca="false">IF(OR($A608="",P608=""),"",ROUND(YEARFRAC(P608,README!$C$5),1))</f>
        <v/>
      </c>
      <c r="S608" s="6" t="n">
        <v>3418</v>
      </c>
      <c r="T608" s="6" t="n">
        <v>3324</v>
      </c>
      <c r="U608" s="6" t="n">
        <v>4967</v>
      </c>
      <c r="V608" s="6" t="n">
        <v>1643</v>
      </c>
      <c r="W608" s="6" t="n">
        <v>1</v>
      </c>
      <c r="X608" s="6" t="n">
        <v>5</v>
      </c>
      <c r="Y608" s="6" t="n">
        <v>9.8</v>
      </c>
      <c r="Z608" s="6" t="s">
        <v>2416</v>
      </c>
      <c r="AA608" s="9" t="s">
        <v>528</v>
      </c>
      <c r="AB608" s="6" t="s">
        <v>2435</v>
      </c>
      <c r="AE608" s="37" t="n">
        <f aca="false">COUNTIF(環境認証!$A$2:$A$849,A608)</f>
        <v>0</v>
      </c>
      <c r="AF608" s="6" t="n">
        <v>49.4</v>
      </c>
      <c r="AG608" s="6" t="n">
        <v>45.3</v>
      </c>
    </row>
    <row r="609" customFormat="false" ht="15" hidden="false" customHeight="true" outlineLevel="0" collapsed="false">
      <c r="A609" s="6" t="s">
        <v>2436</v>
      </c>
      <c r="B609" s="6" t="s">
        <v>456</v>
      </c>
      <c r="C609" s="9" t="s">
        <v>2437</v>
      </c>
      <c r="D609" s="9" t="s">
        <v>522</v>
      </c>
      <c r="E609" s="9" t="s">
        <v>560</v>
      </c>
      <c r="F609" s="9" t="s">
        <v>1733</v>
      </c>
      <c r="H609" s="9" t="s">
        <v>550</v>
      </c>
      <c r="M609" s="6" t="n">
        <v>2520.22</v>
      </c>
      <c r="Q609" s="1" t="str">
        <f aca="false">IF(OR($A609="",P609=""),"",ROUND(YEARFRAC(P609,README!$C$5),1))</f>
        <v/>
      </c>
      <c r="S609" s="6" t="n">
        <v>3900</v>
      </c>
      <c r="T609" s="6" t="n">
        <v>3439</v>
      </c>
      <c r="U609" s="6" t="n">
        <v>3590</v>
      </c>
      <c r="V609" s="6" t="n">
        <v>151</v>
      </c>
      <c r="W609" s="6" t="n">
        <v>1</v>
      </c>
      <c r="X609" s="6" t="n">
        <v>9</v>
      </c>
      <c r="Y609" s="6" t="n">
        <v>5.9</v>
      </c>
      <c r="Z609" s="6" t="s">
        <v>2416</v>
      </c>
      <c r="AA609" s="9" t="s">
        <v>528</v>
      </c>
      <c r="AB609" s="6" t="s">
        <v>2438</v>
      </c>
      <c r="AE609" s="37" t="n">
        <f aca="false">COUNTIF(環境認証!$A$2:$A$849,A609)</f>
        <v>0</v>
      </c>
      <c r="AF609" s="6" t="n">
        <v>4.4</v>
      </c>
      <c r="AG609" s="6" t="n">
        <v>-7.9</v>
      </c>
    </row>
    <row r="610" customFormat="false" ht="15" hidden="false" customHeight="true" outlineLevel="0" collapsed="false">
      <c r="A610" s="6" t="s">
        <v>2439</v>
      </c>
      <c r="B610" s="6" t="s">
        <v>456</v>
      </c>
      <c r="C610" s="9" t="s">
        <v>2440</v>
      </c>
      <c r="D610" s="9" t="s">
        <v>522</v>
      </c>
      <c r="E610" s="9" t="s">
        <v>523</v>
      </c>
      <c r="F610" s="9" t="s">
        <v>532</v>
      </c>
      <c r="H610" s="9" t="s">
        <v>525</v>
      </c>
      <c r="M610" s="6" t="n">
        <v>318.82</v>
      </c>
      <c r="Q610" s="1" t="str">
        <f aca="false">IF(OR($A610="",P610=""),"",ROUND(YEARFRAC(P610,README!$C$5),1))</f>
        <v/>
      </c>
      <c r="S610" s="6" t="n">
        <v>640</v>
      </c>
      <c r="T610" s="6" t="n">
        <v>584</v>
      </c>
      <c r="U610" s="6" t="n">
        <v>579</v>
      </c>
      <c r="V610" s="6" t="n">
        <v>-5</v>
      </c>
      <c r="W610" s="6" t="n">
        <v>1</v>
      </c>
      <c r="X610" s="6" t="n">
        <v>4</v>
      </c>
      <c r="Y610" s="6" t="n">
        <v>11.1</v>
      </c>
      <c r="Z610" s="6" t="s">
        <v>2416</v>
      </c>
      <c r="AA610" s="9" t="s">
        <v>528</v>
      </c>
      <c r="AB610" s="6" t="s">
        <v>2441</v>
      </c>
      <c r="AE610" s="37" t="n">
        <f aca="false">COUNTIF(環境認証!$A$2:$A$849,A610)</f>
        <v>0</v>
      </c>
      <c r="AF610" s="6" t="n">
        <v>-0.9</v>
      </c>
      <c r="AG610" s="6" t="n">
        <v>-9.5</v>
      </c>
    </row>
    <row r="611" customFormat="false" ht="15" hidden="false" customHeight="true" outlineLevel="0" collapsed="false">
      <c r="A611" s="6" t="s">
        <v>2442</v>
      </c>
      <c r="B611" s="6" t="s">
        <v>456</v>
      </c>
      <c r="C611" s="9" t="s">
        <v>2443</v>
      </c>
      <c r="D611" s="9" t="s">
        <v>522</v>
      </c>
      <c r="E611" s="9" t="s">
        <v>523</v>
      </c>
      <c r="F611" s="9" t="s">
        <v>893</v>
      </c>
      <c r="H611" s="9" t="s">
        <v>540</v>
      </c>
      <c r="M611" s="6" t="n">
        <v>1213.26</v>
      </c>
      <c r="Q611" s="1" t="str">
        <f aca="false">IF(OR($A611="",P611=""),"",ROUND(YEARFRAC(P611,README!$C$5),1))</f>
        <v/>
      </c>
      <c r="S611" s="6" t="n">
        <v>1314</v>
      </c>
      <c r="T611" s="6" t="n">
        <v>1294</v>
      </c>
      <c r="U611" s="6" t="n">
        <v>1660</v>
      </c>
      <c r="V611" s="6" t="n">
        <v>366</v>
      </c>
      <c r="W611" s="6" t="n">
        <v>1</v>
      </c>
      <c r="X611" s="6" t="n">
        <v>8</v>
      </c>
      <c r="Y611" s="6" t="n">
        <v>5.5</v>
      </c>
      <c r="Z611" s="6" t="s">
        <v>2416</v>
      </c>
      <c r="AA611" s="9" t="s">
        <v>528</v>
      </c>
      <c r="AB611" s="6" t="s">
        <v>2444</v>
      </c>
      <c r="AE611" s="37" t="n">
        <f aca="false">COUNTIF(環境認証!$A$2:$A$849,A611)</f>
        <v>0</v>
      </c>
      <c r="AF611" s="6" t="n">
        <v>28.3</v>
      </c>
      <c r="AG611" s="6" t="n">
        <v>26.3</v>
      </c>
    </row>
    <row r="612" customFormat="false" ht="15" hidden="false" customHeight="true" outlineLevel="0" collapsed="false">
      <c r="A612" s="6" t="s">
        <v>2445</v>
      </c>
      <c r="B612" s="6" t="s">
        <v>456</v>
      </c>
      <c r="C612" s="9" t="s">
        <v>2446</v>
      </c>
      <c r="D612" s="9" t="s">
        <v>522</v>
      </c>
      <c r="E612" s="9" t="s">
        <v>523</v>
      </c>
      <c r="F612" s="9" t="s">
        <v>934</v>
      </c>
      <c r="H612" s="9" t="s">
        <v>540</v>
      </c>
      <c r="M612" s="6" t="n">
        <v>1771.66</v>
      </c>
      <c r="Q612" s="1" t="str">
        <f aca="false">IF(OR($A612="",P612=""),"",ROUND(YEARFRAC(P612,README!$C$5),1))</f>
        <v/>
      </c>
      <c r="S612" s="6" t="n">
        <v>1624</v>
      </c>
      <c r="T612" s="6" t="n">
        <v>1588</v>
      </c>
      <c r="U612" s="6" t="n">
        <v>1860</v>
      </c>
      <c r="V612" s="6" t="n">
        <v>272</v>
      </c>
      <c r="W612" s="6" t="n">
        <v>1</v>
      </c>
      <c r="X612" s="6" t="n">
        <v>9</v>
      </c>
      <c r="Y612" s="6" t="n">
        <v>10.9</v>
      </c>
      <c r="Z612" s="6" t="s">
        <v>2416</v>
      </c>
      <c r="AA612" s="9" t="s">
        <v>528</v>
      </c>
      <c r="AB612" s="6" t="s">
        <v>2447</v>
      </c>
      <c r="AE612" s="37" t="n">
        <f aca="false">COUNTIF(環境認証!$A$2:$A$849,A612)</f>
        <v>0</v>
      </c>
      <c r="AF612" s="6" t="n">
        <v>17.1</v>
      </c>
      <c r="AG612" s="6" t="n">
        <v>14.5</v>
      </c>
    </row>
    <row r="613" customFormat="false" ht="15" hidden="false" customHeight="true" outlineLevel="0" collapsed="false">
      <c r="A613" s="6" t="s">
        <v>2448</v>
      </c>
      <c r="B613" s="6" t="s">
        <v>456</v>
      </c>
      <c r="C613" s="9" t="s">
        <v>2449</v>
      </c>
      <c r="D613" s="9" t="s">
        <v>522</v>
      </c>
      <c r="E613" s="9" t="s">
        <v>523</v>
      </c>
      <c r="F613" s="9" t="s">
        <v>666</v>
      </c>
      <c r="H613" s="9" t="s">
        <v>525</v>
      </c>
      <c r="M613" s="6" t="n">
        <v>4156.53</v>
      </c>
      <c r="Q613" s="1" t="str">
        <f aca="false">IF(OR($A613="",P613=""),"",ROUND(YEARFRAC(P613,README!$C$5),1))</f>
        <v/>
      </c>
      <c r="S613" s="6" t="n">
        <v>4798</v>
      </c>
      <c r="T613" s="6" t="n">
        <v>4906</v>
      </c>
      <c r="U613" s="6" t="n">
        <v>7790</v>
      </c>
      <c r="V613" s="6" t="n">
        <v>2884</v>
      </c>
      <c r="W613" s="6" t="n">
        <v>1</v>
      </c>
      <c r="X613" s="6" t="n">
        <v>1</v>
      </c>
      <c r="Y613" s="6" t="n">
        <v>11.7</v>
      </c>
      <c r="Z613" s="6" t="s">
        <v>2416</v>
      </c>
      <c r="AA613" s="9" t="s">
        <v>528</v>
      </c>
      <c r="AB613" s="6" t="s">
        <v>2450</v>
      </c>
      <c r="AE613" s="37" t="n">
        <f aca="false">COUNTIF(環境認証!$A$2:$A$849,A613)</f>
        <v>1</v>
      </c>
      <c r="AF613" s="6" t="n">
        <v>58.8</v>
      </c>
      <c r="AG613" s="6" t="n">
        <v>62.4</v>
      </c>
    </row>
    <row r="614" customFormat="false" ht="15" hidden="false" customHeight="true" outlineLevel="0" collapsed="false">
      <c r="A614" s="6" t="s">
        <v>2451</v>
      </c>
      <c r="B614" s="6" t="s">
        <v>456</v>
      </c>
      <c r="C614" s="9" t="s">
        <v>2452</v>
      </c>
      <c r="D614" s="9" t="s">
        <v>522</v>
      </c>
      <c r="E614" s="9" t="s">
        <v>1363</v>
      </c>
      <c r="F614" s="9" t="s">
        <v>1364</v>
      </c>
      <c r="H614" s="9" t="s">
        <v>569</v>
      </c>
      <c r="M614" s="6" t="n">
        <v>4839.37</v>
      </c>
      <c r="Q614" s="1" t="str">
        <f aca="false">IF(OR($A614="",P614=""),"",ROUND(YEARFRAC(P614,README!$C$5),1))</f>
        <v/>
      </c>
      <c r="S614" s="6" t="n">
        <v>2310</v>
      </c>
      <c r="T614" s="6" t="n">
        <v>2338</v>
      </c>
      <c r="U614" s="6" t="n">
        <v>4160</v>
      </c>
      <c r="V614" s="6" t="n">
        <v>1822</v>
      </c>
      <c r="W614" s="6" t="n">
        <v>0.9744</v>
      </c>
      <c r="X614" s="6" t="n">
        <v>39</v>
      </c>
      <c r="Y614" s="6" t="n">
        <v>7.5</v>
      </c>
      <c r="Z614" s="6" t="s">
        <v>2416</v>
      </c>
      <c r="AA614" s="9" t="s">
        <v>528</v>
      </c>
      <c r="AB614" s="6" t="s">
        <v>2453</v>
      </c>
      <c r="AE614" s="37" t="n">
        <f aca="false">COUNTIF(環境認証!$A$2:$A$849,A614)</f>
        <v>2</v>
      </c>
      <c r="AF614" s="6" t="n">
        <v>77.9</v>
      </c>
      <c r="AG614" s="6" t="n">
        <v>80.1</v>
      </c>
    </row>
    <row r="615" customFormat="false" ht="15" hidden="false" customHeight="true" outlineLevel="0" collapsed="false">
      <c r="A615" s="6" t="s">
        <v>2454</v>
      </c>
      <c r="B615" s="6" t="s">
        <v>456</v>
      </c>
      <c r="C615" s="9" t="s">
        <v>2455</v>
      </c>
      <c r="D615" s="9" t="s">
        <v>522</v>
      </c>
      <c r="E615" s="9" t="s">
        <v>567</v>
      </c>
      <c r="F615" s="9" t="s">
        <v>676</v>
      </c>
      <c r="H615" s="9" t="s">
        <v>569</v>
      </c>
      <c r="M615" s="6" t="n">
        <v>2889.49</v>
      </c>
      <c r="Q615" s="1" t="str">
        <f aca="false">IF(OR($A615="",P615=""),"",ROUND(YEARFRAC(P615,README!$C$5),1))</f>
        <v/>
      </c>
      <c r="S615" s="6" t="n">
        <v>1580</v>
      </c>
      <c r="T615" s="6" t="n">
        <v>1409</v>
      </c>
      <c r="U615" s="6" t="n">
        <v>2430</v>
      </c>
      <c r="V615" s="6" t="n">
        <v>1021</v>
      </c>
      <c r="W615" s="6" t="n">
        <v>1</v>
      </c>
      <c r="X615" s="6" t="n">
        <v>6</v>
      </c>
      <c r="Y615" s="6" t="n">
        <v>10.8</v>
      </c>
      <c r="Z615" s="6" t="s">
        <v>2416</v>
      </c>
      <c r="AA615" s="9" t="s">
        <v>528</v>
      </c>
      <c r="AB615" s="6" t="s">
        <v>2456</v>
      </c>
      <c r="AE615" s="37" t="n">
        <f aca="false">COUNTIF(環境認証!$A$2:$A$849,A615)</f>
        <v>0</v>
      </c>
      <c r="AF615" s="6" t="n">
        <v>72.5</v>
      </c>
      <c r="AG615" s="6" t="n">
        <v>53.8</v>
      </c>
    </row>
    <row r="616" customFormat="false" ht="15" hidden="false" customHeight="true" outlineLevel="0" collapsed="false">
      <c r="A616" s="6" t="s">
        <v>2457</v>
      </c>
      <c r="B616" s="6" t="s">
        <v>456</v>
      </c>
      <c r="C616" s="9" t="s">
        <v>2458</v>
      </c>
      <c r="D616" s="9" t="s">
        <v>522</v>
      </c>
      <c r="E616" s="9" t="s">
        <v>567</v>
      </c>
      <c r="F616" s="9" t="s">
        <v>676</v>
      </c>
      <c r="H616" s="9" t="s">
        <v>569</v>
      </c>
      <c r="M616" s="6" t="n">
        <v>9934.77</v>
      </c>
      <c r="Q616" s="1" t="str">
        <f aca="false">IF(OR($A616="",P616=""),"",ROUND(YEARFRAC(P616,README!$C$5),1))</f>
        <v/>
      </c>
      <c r="S616" s="6" t="n">
        <v>4900</v>
      </c>
      <c r="T616" s="6" t="n">
        <v>4206</v>
      </c>
      <c r="U616" s="6" t="n">
        <v>7100</v>
      </c>
      <c r="V616" s="6" t="n">
        <v>2894</v>
      </c>
      <c r="W616" s="6" t="n">
        <v>0.9741</v>
      </c>
      <c r="X616" s="6" t="n">
        <v>22</v>
      </c>
      <c r="Y616" s="6" t="n">
        <v>9.2</v>
      </c>
      <c r="Z616" s="6" t="s">
        <v>2416</v>
      </c>
      <c r="AA616" s="9" t="s">
        <v>528</v>
      </c>
      <c r="AB616" s="6" t="s">
        <v>2459</v>
      </c>
      <c r="AE616" s="37" t="n">
        <f aca="false">COUNTIF(環境認証!$A$2:$A$849,A616)</f>
        <v>2</v>
      </c>
      <c r="AF616" s="6" t="n">
        <v>68.8</v>
      </c>
      <c r="AG616" s="6" t="n">
        <v>44.9</v>
      </c>
    </row>
    <row r="617" customFormat="false" ht="15" hidden="false" customHeight="true" outlineLevel="0" collapsed="false">
      <c r="A617" s="6" t="s">
        <v>2460</v>
      </c>
      <c r="B617" s="6" t="s">
        <v>456</v>
      </c>
      <c r="C617" s="9" t="s">
        <v>2461</v>
      </c>
      <c r="D617" s="9" t="s">
        <v>522</v>
      </c>
      <c r="E617" s="9" t="s">
        <v>724</v>
      </c>
      <c r="F617" s="9" t="s">
        <v>725</v>
      </c>
      <c r="H617" s="6" t="s">
        <v>599</v>
      </c>
      <c r="M617" s="6" t="n">
        <v>6577.21</v>
      </c>
      <c r="Q617" s="1" t="str">
        <f aca="false">IF(OR($A617="",P617=""),"",ROUND(YEARFRAC(P617,README!$C$5),1))</f>
        <v/>
      </c>
      <c r="S617" s="6" t="n">
        <v>2700</v>
      </c>
      <c r="T617" s="6" t="n">
        <v>2378</v>
      </c>
      <c r="U617" s="6" t="n">
        <v>3750</v>
      </c>
      <c r="V617" s="6" t="n">
        <v>1372</v>
      </c>
      <c r="W617" s="6" t="n">
        <v>1</v>
      </c>
      <c r="X617" s="6" t="n">
        <v>38</v>
      </c>
      <c r="Y617" s="6" t="n">
        <v>2.6</v>
      </c>
      <c r="Z617" s="6" t="s">
        <v>2416</v>
      </c>
      <c r="AA617" s="9" t="s">
        <v>528</v>
      </c>
      <c r="AB617" s="6" t="s">
        <v>2462</v>
      </c>
      <c r="AE617" s="37" t="n">
        <f aca="false">COUNTIF(環境認証!$A$2:$A$849,A617)</f>
        <v>2</v>
      </c>
      <c r="AF617" s="6" t="n">
        <v>57.7</v>
      </c>
      <c r="AG617" s="6" t="n">
        <v>38.9</v>
      </c>
    </row>
    <row r="618" customFormat="false" ht="15" hidden="false" customHeight="true" outlineLevel="0" collapsed="false">
      <c r="A618" s="6" t="s">
        <v>2463</v>
      </c>
      <c r="B618" s="6" t="s">
        <v>456</v>
      </c>
      <c r="C618" s="9" t="s">
        <v>2464</v>
      </c>
      <c r="D618" s="9" t="s">
        <v>522</v>
      </c>
      <c r="E618" s="9" t="s">
        <v>523</v>
      </c>
      <c r="F618" s="9" t="s">
        <v>539</v>
      </c>
      <c r="H618" s="9" t="s">
        <v>540</v>
      </c>
      <c r="M618" s="6" t="n">
        <v>4168.79</v>
      </c>
      <c r="Q618" s="1" t="str">
        <f aca="false">IF(OR($A618="",P618=""),"",ROUND(YEARFRAC(P618,README!$C$5),1))</f>
        <v/>
      </c>
      <c r="S618" s="6" t="n">
        <v>3400</v>
      </c>
      <c r="T618" s="6" t="n">
        <v>3414</v>
      </c>
      <c r="U618" s="6" t="n">
        <v>4170</v>
      </c>
      <c r="V618" s="6" t="n">
        <v>756</v>
      </c>
      <c r="W618" s="6" t="n">
        <v>1</v>
      </c>
      <c r="X618" s="6" t="n">
        <v>7</v>
      </c>
      <c r="Y618" s="6" t="n">
        <v>2.5</v>
      </c>
      <c r="Z618" s="6" t="s">
        <v>2416</v>
      </c>
      <c r="AA618" s="9" t="s">
        <v>528</v>
      </c>
      <c r="AB618" s="6" t="s">
        <v>2465</v>
      </c>
      <c r="AE618" s="37" t="n">
        <f aca="false">COUNTIF(環境認証!$A$2:$A$849,A618)</f>
        <v>1</v>
      </c>
      <c r="AF618" s="6" t="n">
        <v>22.1</v>
      </c>
      <c r="AG618" s="6" t="n">
        <v>22.6</v>
      </c>
    </row>
    <row r="619" customFormat="false" ht="15" hidden="false" customHeight="true" outlineLevel="0" collapsed="false">
      <c r="A619" s="6" t="s">
        <v>2466</v>
      </c>
      <c r="B619" s="6" t="s">
        <v>456</v>
      </c>
      <c r="C619" s="9" t="s">
        <v>2467</v>
      </c>
      <c r="D619" s="9" t="s">
        <v>522</v>
      </c>
      <c r="E619" s="9" t="s">
        <v>523</v>
      </c>
      <c r="F619" s="9" t="s">
        <v>524</v>
      </c>
      <c r="H619" s="9" t="s">
        <v>525</v>
      </c>
      <c r="M619" s="6" t="n">
        <v>2616.42</v>
      </c>
      <c r="Q619" s="1" t="str">
        <f aca="false">IF(OR($A619="",P619=""),"",ROUND(YEARFRAC(P619,README!$C$5),1))</f>
        <v/>
      </c>
      <c r="S619" s="6" t="n">
        <v>2720</v>
      </c>
      <c r="T619" s="6" t="n">
        <v>2823</v>
      </c>
      <c r="U619" s="6" t="n">
        <v>3290</v>
      </c>
      <c r="V619" s="6" t="n">
        <v>467</v>
      </c>
      <c r="W619" s="6" t="n">
        <v>1</v>
      </c>
      <c r="X619" s="6" t="n">
        <v>3</v>
      </c>
      <c r="Y619" s="6" t="n">
        <v>6.7</v>
      </c>
      <c r="Z619" s="6" t="s">
        <v>2416</v>
      </c>
      <c r="AA619" s="9" t="s">
        <v>528</v>
      </c>
      <c r="AB619" s="6" t="s">
        <v>2468</v>
      </c>
      <c r="AE619" s="37" t="n">
        <f aca="false">COUNTIF(環境認証!$A$2:$A$849,A619)</f>
        <v>0</v>
      </c>
      <c r="AF619" s="6" t="n">
        <v>16.5</v>
      </c>
      <c r="AG619" s="6" t="n">
        <v>21</v>
      </c>
    </row>
    <row r="620" customFormat="false" ht="15" hidden="false" customHeight="true" outlineLevel="0" collapsed="false">
      <c r="A620" s="6" t="s">
        <v>2469</v>
      </c>
      <c r="B620" s="6" t="s">
        <v>456</v>
      </c>
      <c r="C620" s="9" t="s">
        <v>2470</v>
      </c>
      <c r="D620" s="9" t="s">
        <v>522</v>
      </c>
      <c r="E620" s="9" t="s">
        <v>523</v>
      </c>
      <c r="F620" s="9" t="s">
        <v>524</v>
      </c>
      <c r="H620" s="9" t="s">
        <v>525</v>
      </c>
      <c r="M620" s="6" t="n">
        <v>2747.15</v>
      </c>
      <c r="Q620" s="1" t="str">
        <f aca="false">IF(OR($A620="",P620=""),"",ROUND(YEARFRAC(P620,README!$C$5),1))</f>
        <v/>
      </c>
      <c r="S620" s="6" t="n">
        <v>3150</v>
      </c>
      <c r="T620" s="6" t="n">
        <v>3206</v>
      </c>
      <c r="U620" s="6" t="n">
        <v>4140</v>
      </c>
      <c r="V620" s="6" t="n">
        <v>934</v>
      </c>
      <c r="W620" s="6" t="n">
        <v>1</v>
      </c>
      <c r="X620" s="6" t="n">
        <v>6</v>
      </c>
      <c r="Y620" s="6" t="n">
        <v>4</v>
      </c>
      <c r="Z620" s="6" t="s">
        <v>2416</v>
      </c>
      <c r="AA620" s="9" t="s">
        <v>528</v>
      </c>
      <c r="AB620" s="6" t="s">
        <v>2471</v>
      </c>
      <c r="AE620" s="37" t="n">
        <f aca="false">COUNTIF(環境認証!$A$2:$A$849,A620)</f>
        <v>0</v>
      </c>
      <c r="AF620" s="6" t="n">
        <v>29.1</v>
      </c>
      <c r="AG620" s="6" t="n">
        <v>31.4</v>
      </c>
    </row>
    <row r="621" customFormat="false" ht="15" hidden="false" customHeight="true" outlineLevel="0" collapsed="false">
      <c r="A621" s="6" t="s">
        <v>2472</v>
      </c>
      <c r="B621" s="6" t="s">
        <v>456</v>
      </c>
      <c r="C621" s="9" t="s">
        <v>2473</v>
      </c>
      <c r="D621" s="9" t="s">
        <v>522</v>
      </c>
      <c r="E621" s="9" t="s">
        <v>547</v>
      </c>
      <c r="F621" s="9" t="s">
        <v>701</v>
      </c>
      <c r="H621" s="9" t="s">
        <v>550</v>
      </c>
      <c r="M621" s="6" t="n">
        <v>4607.34</v>
      </c>
      <c r="Q621" s="1" t="str">
        <f aca="false">IF(OR($A621="",P621=""),"",ROUND(YEARFRAC(P621,README!$C$5),1))</f>
        <v/>
      </c>
      <c r="S621" s="6" t="n">
        <v>3100</v>
      </c>
      <c r="T621" s="6" t="n">
        <v>3140</v>
      </c>
      <c r="U621" s="6" t="n">
        <v>4330</v>
      </c>
      <c r="V621" s="6" t="n">
        <v>1190</v>
      </c>
      <c r="W621" s="6" t="n">
        <v>1</v>
      </c>
      <c r="X621" s="6" t="n">
        <v>1</v>
      </c>
      <c r="Y621" s="6" t="n">
        <v>14.2</v>
      </c>
      <c r="Z621" s="6" t="s">
        <v>2416</v>
      </c>
      <c r="AA621" s="9" t="s">
        <v>528</v>
      </c>
      <c r="AB621" s="6" t="s">
        <v>2474</v>
      </c>
      <c r="AE621" s="37" t="n">
        <f aca="false">COUNTIF(環境認証!$A$2:$A$849,A621)</f>
        <v>0</v>
      </c>
      <c r="AF621" s="6" t="n">
        <v>37.9</v>
      </c>
      <c r="AG621" s="6" t="n">
        <v>39.7</v>
      </c>
    </row>
    <row r="622" customFormat="false" ht="15" hidden="false" customHeight="true" outlineLevel="0" collapsed="false">
      <c r="A622" s="6" t="s">
        <v>2475</v>
      </c>
      <c r="B622" s="6" t="s">
        <v>456</v>
      </c>
      <c r="C622" s="9" t="s">
        <v>2476</v>
      </c>
      <c r="D622" s="9" t="s">
        <v>522</v>
      </c>
      <c r="E622" s="9" t="s">
        <v>523</v>
      </c>
      <c r="F622" s="9" t="s">
        <v>666</v>
      </c>
      <c r="H622" s="9" t="s">
        <v>525</v>
      </c>
      <c r="M622" s="6" t="n">
        <v>3828.89</v>
      </c>
      <c r="Q622" s="1" t="str">
        <f aca="false">IF(OR($A622="",P622=""),"",ROUND(YEARFRAC(P622,README!$C$5),1))</f>
        <v/>
      </c>
      <c r="S622" s="6" t="n">
        <v>3750</v>
      </c>
      <c r="T622" s="6" t="n">
        <v>4047</v>
      </c>
      <c r="U622" s="6" t="n">
        <v>4590</v>
      </c>
      <c r="V622" s="6" t="n">
        <v>543</v>
      </c>
      <c r="W622" s="6" t="n">
        <v>1</v>
      </c>
      <c r="X622" s="6" t="n">
        <v>13</v>
      </c>
      <c r="Y622" s="6" t="n">
        <v>2.3</v>
      </c>
      <c r="Z622" s="6" t="s">
        <v>2416</v>
      </c>
      <c r="AA622" s="9" t="s">
        <v>528</v>
      </c>
      <c r="AB622" s="6" t="s">
        <v>2477</v>
      </c>
      <c r="AE622" s="37" t="n">
        <f aca="false">COUNTIF(環境認証!$A$2:$A$849,A622)</f>
        <v>0</v>
      </c>
      <c r="AF622" s="6" t="n">
        <v>13.4</v>
      </c>
      <c r="AG622" s="6" t="n">
        <v>22.4</v>
      </c>
    </row>
    <row r="623" customFormat="false" ht="15" hidden="false" customHeight="true" outlineLevel="0" collapsed="false">
      <c r="A623" s="6" t="s">
        <v>2478</v>
      </c>
      <c r="B623" s="6" t="s">
        <v>456</v>
      </c>
      <c r="C623" s="9" t="s">
        <v>2479</v>
      </c>
      <c r="D623" s="9" t="s">
        <v>522</v>
      </c>
      <c r="E623" s="9" t="s">
        <v>523</v>
      </c>
      <c r="F623" s="9" t="s">
        <v>2480</v>
      </c>
      <c r="H623" s="9" t="s">
        <v>540</v>
      </c>
      <c r="M623" s="6" t="n">
        <v>2100.26</v>
      </c>
      <c r="Q623" s="1" t="str">
        <f aca="false">IF(OR($A623="",P623=""),"",ROUND(YEARFRAC(P623,README!$C$5),1))</f>
        <v/>
      </c>
      <c r="S623" s="6" t="n">
        <v>1650</v>
      </c>
      <c r="T623" s="6" t="n">
        <v>1587</v>
      </c>
      <c r="U623" s="6" t="n">
        <v>1900</v>
      </c>
      <c r="V623" s="6" t="n">
        <v>313</v>
      </c>
      <c r="W623" s="6" t="n">
        <v>1</v>
      </c>
      <c r="X623" s="6" t="n">
        <v>5</v>
      </c>
      <c r="Y623" s="6" t="n">
        <v>0.7</v>
      </c>
      <c r="Z623" s="6" t="s">
        <v>2416</v>
      </c>
      <c r="AA623" s="9" t="s">
        <v>528</v>
      </c>
      <c r="AB623" s="6" t="s">
        <v>2481</v>
      </c>
      <c r="AE623" s="37" t="n">
        <f aca="false">COUNTIF(環境認証!$A$2:$A$849,A623)</f>
        <v>0</v>
      </c>
      <c r="AF623" s="6" t="n">
        <v>19.7</v>
      </c>
      <c r="AG623" s="6" t="n">
        <v>15.2</v>
      </c>
    </row>
    <row r="624" customFormat="false" ht="15" hidden="false" customHeight="true" outlineLevel="0" collapsed="false">
      <c r="A624" s="6" t="s">
        <v>2482</v>
      </c>
      <c r="B624" s="6" t="s">
        <v>456</v>
      </c>
      <c r="C624" s="9" t="s">
        <v>930</v>
      </c>
      <c r="D624" s="9" t="s">
        <v>522</v>
      </c>
      <c r="E624" s="9" t="s">
        <v>523</v>
      </c>
      <c r="F624" s="9" t="s">
        <v>532</v>
      </c>
      <c r="H624" s="9" t="s">
        <v>525</v>
      </c>
      <c r="M624" s="6" t="n">
        <v>1681.23</v>
      </c>
      <c r="Q624" s="1" t="str">
        <f aca="false">IF(OR($A624="",P624=""),"",ROUND(YEARFRAC(P624,README!$C$5),1))</f>
        <v/>
      </c>
      <c r="S624" s="6" t="n">
        <v>3085</v>
      </c>
      <c r="T624" s="6" t="n">
        <v>3263</v>
      </c>
      <c r="U624" s="6" t="n">
        <v>3360</v>
      </c>
      <c r="V624" s="6" t="n">
        <v>97</v>
      </c>
      <c r="W624" s="6" t="n">
        <v>1</v>
      </c>
      <c r="X624" s="6" t="n">
        <v>1</v>
      </c>
      <c r="Y624" s="6" t="n">
        <v>1.2</v>
      </c>
      <c r="Z624" s="6" t="s">
        <v>2416</v>
      </c>
      <c r="AA624" s="9" t="s">
        <v>528</v>
      </c>
      <c r="AB624" s="6" t="s">
        <v>2483</v>
      </c>
      <c r="AE624" s="37" t="n">
        <f aca="false">COUNTIF(環境認証!$A$2:$A$849,A624)</f>
        <v>1</v>
      </c>
      <c r="AF624" s="6" t="n">
        <v>3</v>
      </c>
      <c r="AG624" s="6" t="n">
        <v>8.9</v>
      </c>
    </row>
    <row r="625" customFormat="false" ht="15" hidden="false" customHeight="true" outlineLevel="0" collapsed="false">
      <c r="A625" s="6" t="s">
        <v>2484</v>
      </c>
      <c r="B625" s="6" t="s">
        <v>456</v>
      </c>
      <c r="C625" s="9" t="s">
        <v>2485</v>
      </c>
      <c r="D625" s="9" t="s">
        <v>522</v>
      </c>
      <c r="E625" s="9" t="s">
        <v>523</v>
      </c>
      <c r="F625" s="9" t="s">
        <v>666</v>
      </c>
      <c r="H625" s="9" t="s">
        <v>525</v>
      </c>
      <c r="M625" s="6" t="n">
        <v>1788.58</v>
      </c>
      <c r="Q625" s="1" t="str">
        <f aca="false">IF(OR($A625="",P625=""),"",ROUND(YEARFRAC(P625,README!$C$5),1))</f>
        <v/>
      </c>
      <c r="S625" s="6" t="n">
        <v>2140</v>
      </c>
      <c r="T625" s="6" t="n">
        <v>2134</v>
      </c>
      <c r="U625" s="6" t="n">
        <v>2460</v>
      </c>
      <c r="V625" s="6" t="n">
        <v>326</v>
      </c>
      <c r="W625" s="6" t="n">
        <v>1</v>
      </c>
      <c r="X625" s="6" t="n">
        <v>3</v>
      </c>
      <c r="Y625" s="6" t="n">
        <v>7.3</v>
      </c>
      <c r="Z625" s="6" t="s">
        <v>2416</v>
      </c>
      <c r="AA625" s="9" t="s">
        <v>528</v>
      </c>
      <c r="AB625" s="6" t="s">
        <v>2486</v>
      </c>
      <c r="AE625" s="37" t="n">
        <f aca="false">COUNTIF(環境認証!$A$2:$A$849,A625)</f>
        <v>1</v>
      </c>
      <c r="AF625" s="6" t="n">
        <v>15.3</v>
      </c>
      <c r="AG625" s="6" t="n">
        <v>15</v>
      </c>
    </row>
    <row r="626" customFormat="false" ht="15" hidden="false" customHeight="true" outlineLevel="0" collapsed="false">
      <c r="A626" s="6" t="s">
        <v>2487</v>
      </c>
      <c r="B626" s="6" t="s">
        <v>456</v>
      </c>
      <c r="C626" s="9" t="s">
        <v>2488</v>
      </c>
      <c r="D626" s="9" t="s">
        <v>522</v>
      </c>
      <c r="E626" s="9" t="s">
        <v>523</v>
      </c>
      <c r="F626" s="9" t="s">
        <v>2489</v>
      </c>
      <c r="H626" s="9" t="s">
        <v>550</v>
      </c>
      <c r="M626" s="6" t="n">
        <v>2879.99</v>
      </c>
      <c r="Q626" s="1" t="str">
        <f aca="false">IF(OR($A626="",P626=""),"",ROUND(YEARFRAC(P626,README!$C$5),1))</f>
        <v/>
      </c>
      <c r="S626" s="6" t="n">
        <v>1600</v>
      </c>
      <c r="T626" s="6" t="n">
        <v>1602</v>
      </c>
      <c r="U626" s="6" t="n">
        <v>1930</v>
      </c>
      <c r="V626" s="6" t="n">
        <v>328</v>
      </c>
      <c r="W626" s="6" t="n">
        <v>1</v>
      </c>
      <c r="X626" s="6" t="n">
        <v>3</v>
      </c>
      <c r="Y626" s="6" t="n">
        <v>2.4</v>
      </c>
      <c r="Z626" s="6" t="s">
        <v>2416</v>
      </c>
      <c r="AA626" s="9" t="s">
        <v>528</v>
      </c>
      <c r="AB626" s="6" t="s">
        <v>2490</v>
      </c>
      <c r="AE626" s="37" t="n">
        <f aca="false">COUNTIF(環境認証!$A$2:$A$849,A626)</f>
        <v>0</v>
      </c>
      <c r="AF626" s="6" t="n">
        <v>20.5</v>
      </c>
      <c r="AG626" s="6" t="n">
        <v>20.6</v>
      </c>
    </row>
    <row r="627" customFormat="false" ht="15" hidden="false" customHeight="true" outlineLevel="0" collapsed="false">
      <c r="A627" s="6" t="s">
        <v>2491</v>
      </c>
      <c r="B627" s="6" t="s">
        <v>456</v>
      </c>
      <c r="C627" s="9" t="s">
        <v>2492</v>
      </c>
      <c r="D627" s="9" t="s">
        <v>522</v>
      </c>
      <c r="E627" s="9" t="s">
        <v>523</v>
      </c>
      <c r="F627" s="9" t="s">
        <v>666</v>
      </c>
      <c r="H627" s="9" t="s">
        <v>525</v>
      </c>
      <c r="M627" s="6" t="n">
        <v>2895.57</v>
      </c>
      <c r="Q627" s="1" t="str">
        <f aca="false">IF(OR($A627="",P627=""),"",ROUND(YEARFRAC(P627,README!$C$5),1))</f>
        <v/>
      </c>
      <c r="S627" s="6" t="n">
        <v>3100</v>
      </c>
      <c r="T627" s="6" t="n">
        <v>3169</v>
      </c>
      <c r="U627" s="6" t="n">
        <v>3460</v>
      </c>
      <c r="V627" s="6" t="n">
        <v>291</v>
      </c>
      <c r="W627" s="6" t="n">
        <v>0.8853</v>
      </c>
      <c r="X627" s="6" t="n">
        <v>8</v>
      </c>
      <c r="Y627" s="6" t="n">
        <v>5.5</v>
      </c>
      <c r="Z627" s="6" t="s">
        <v>2416</v>
      </c>
      <c r="AA627" s="9" t="s">
        <v>528</v>
      </c>
      <c r="AB627" s="6" t="s">
        <v>2493</v>
      </c>
      <c r="AE627" s="37" t="n">
        <f aca="false">COUNTIF(環境認証!$A$2:$A$849,A627)</f>
        <v>0</v>
      </c>
      <c r="AF627" s="6" t="n">
        <v>9.2</v>
      </c>
      <c r="AG627" s="6" t="n">
        <v>11.6</v>
      </c>
    </row>
    <row r="628" customFormat="false" ht="15" hidden="false" customHeight="true" outlineLevel="0" collapsed="false">
      <c r="A628" s="6" t="s">
        <v>2494</v>
      </c>
      <c r="B628" s="6" t="s">
        <v>456</v>
      </c>
      <c r="C628" s="9" t="s">
        <v>2495</v>
      </c>
      <c r="D628" s="9" t="s">
        <v>522</v>
      </c>
      <c r="E628" s="9" t="s">
        <v>523</v>
      </c>
      <c r="F628" s="9" t="s">
        <v>609</v>
      </c>
      <c r="H628" s="9" t="s">
        <v>540</v>
      </c>
      <c r="M628" s="6" t="n">
        <v>2061.01</v>
      </c>
      <c r="Q628" s="1" t="str">
        <f aca="false">IF(OR($A628="",P628=""),"",ROUND(YEARFRAC(P628,README!$C$5),1))</f>
        <v/>
      </c>
      <c r="S628" s="6" t="n">
        <v>2840</v>
      </c>
      <c r="T628" s="6" t="n">
        <v>2980</v>
      </c>
      <c r="U628" s="6" t="n">
        <v>2780</v>
      </c>
      <c r="V628" s="6" t="n">
        <v>-200</v>
      </c>
      <c r="W628" s="6" t="n">
        <v>1</v>
      </c>
      <c r="X628" s="6" t="n">
        <v>11</v>
      </c>
      <c r="Y628" s="6" t="n">
        <v>10.8</v>
      </c>
      <c r="Z628" s="6" t="s">
        <v>2416</v>
      </c>
      <c r="AA628" s="9" t="s">
        <v>528</v>
      </c>
      <c r="AB628" s="6" t="s">
        <v>2496</v>
      </c>
      <c r="AE628" s="37" t="n">
        <f aca="false">COUNTIF(環境認証!$A$2:$A$849,A628)</f>
        <v>0</v>
      </c>
      <c r="AF628" s="6" t="n">
        <v>-6.7</v>
      </c>
      <c r="AG628" s="6" t="n">
        <v>-2.1</v>
      </c>
    </row>
    <row r="629" customFormat="false" ht="15" hidden="false" customHeight="true" outlineLevel="0" collapsed="false">
      <c r="A629" s="6" t="s">
        <v>2497</v>
      </c>
      <c r="B629" s="6" t="s">
        <v>456</v>
      </c>
      <c r="C629" s="9" t="s">
        <v>2498</v>
      </c>
      <c r="D629" s="9" t="s">
        <v>522</v>
      </c>
      <c r="E629" s="9" t="s">
        <v>523</v>
      </c>
      <c r="F629" s="9" t="s">
        <v>666</v>
      </c>
      <c r="H629" s="9" t="s">
        <v>525</v>
      </c>
      <c r="M629" s="6" t="n">
        <v>2738.28</v>
      </c>
      <c r="Q629" s="1" t="str">
        <f aca="false">IF(OR($A629="",P629=""),"",ROUND(YEARFRAC(P629,README!$C$5),1))</f>
        <v/>
      </c>
      <c r="S629" s="6" t="n">
        <v>3580</v>
      </c>
      <c r="T629" s="6" t="n">
        <v>3771</v>
      </c>
      <c r="U629" s="6" t="n">
        <v>4160</v>
      </c>
      <c r="V629" s="6" t="n">
        <v>389</v>
      </c>
      <c r="W629" s="6" t="n">
        <v>1</v>
      </c>
      <c r="X629" s="6" t="n">
        <v>9</v>
      </c>
      <c r="Y629" s="6" t="n">
        <v>5.9</v>
      </c>
      <c r="Z629" s="6" t="s">
        <v>2416</v>
      </c>
      <c r="AA629" s="9" t="s">
        <v>528</v>
      </c>
      <c r="AB629" s="6" t="s">
        <v>2499</v>
      </c>
      <c r="AE629" s="37" t="n">
        <f aca="false">COUNTIF(環境認証!$A$2:$A$849,A629)</f>
        <v>1</v>
      </c>
      <c r="AF629" s="6" t="n">
        <v>10.3</v>
      </c>
      <c r="AG629" s="6" t="n">
        <v>16.2</v>
      </c>
    </row>
    <row r="630" customFormat="false" ht="15" hidden="false" customHeight="true" outlineLevel="0" collapsed="false">
      <c r="A630" s="6" t="s">
        <v>2500</v>
      </c>
      <c r="B630" s="6" t="s">
        <v>456</v>
      </c>
      <c r="C630" s="9" t="s">
        <v>2501</v>
      </c>
      <c r="D630" s="9" t="s">
        <v>522</v>
      </c>
      <c r="E630" s="9" t="s">
        <v>724</v>
      </c>
      <c r="F630" s="9" t="s">
        <v>725</v>
      </c>
      <c r="H630" s="6" t="s">
        <v>599</v>
      </c>
      <c r="M630" s="6" t="n">
        <v>3212.5</v>
      </c>
      <c r="Q630" s="1" t="str">
        <f aca="false">IF(OR($A630="",P630=""),"",ROUND(YEARFRAC(P630,README!$C$5),1))</f>
        <v/>
      </c>
      <c r="S630" s="6" t="n">
        <v>2501</v>
      </c>
      <c r="T630" s="6" t="n">
        <v>2720</v>
      </c>
      <c r="U630" s="6" t="n">
        <v>2590</v>
      </c>
      <c r="V630" s="6" t="n">
        <v>-130</v>
      </c>
      <c r="W630" s="6" t="n">
        <v>1</v>
      </c>
      <c r="X630" s="6" t="n">
        <v>14</v>
      </c>
      <c r="Y630" s="6" t="n">
        <v>1.6</v>
      </c>
      <c r="Z630" s="6" t="s">
        <v>2416</v>
      </c>
      <c r="AA630" s="9" t="s">
        <v>528</v>
      </c>
      <c r="AB630" s="6" t="s">
        <v>2502</v>
      </c>
      <c r="AE630" s="37" t="n">
        <f aca="false">COUNTIF(環境認証!$A$2:$A$849,A630)</f>
        <v>1</v>
      </c>
      <c r="AF630" s="6" t="n">
        <v>-4.8</v>
      </c>
      <c r="AG630" s="6" t="n">
        <v>3.6</v>
      </c>
    </row>
    <row r="631" customFormat="false" ht="15" hidden="false" customHeight="true" outlineLevel="0" collapsed="false">
      <c r="A631" s="6" t="s">
        <v>2503</v>
      </c>
      <c r="B631" s="6" t="s">
        <v>456</v>
      </c>
      <c r="C631" s="9" t="s">
        <v>2504</v>
      </c>
      <c r="D631" s="9" t="s">
        <v>522</v>
      </c>
      <c r="E631" s="9" t="s">
        <v>523</v>
      </c>
      <c r="F631" s="9" t="s">
        <v>625</v>
      </c>
      <c r="H631" s="9" t="s">
        <v>540</v>
      </c>
      <c r="M631" s="6" t="n">
        <v>3237.86</v>
      </c>
      <c r="Q631" s="1" t="str">
        <f aca="false">IF(OR($A631="",P631=""),"",ROUND(YEARFRAC(P631,README!$C$5),1))</f>
        <v/>
      </c>
      <c r="S631" s="6" t="n">
        <v>5160</v>
      </c>
      <c r="T631" s="6" t="n">
        <v>5284</v>
      </c>
      <c r="U631" s="6" t="n">
        <v>5450</v>
      </c>
      <c r="V631" s="6" t="n">
        <v>166</v>
      </c>
      <c r="W631" s="6" t="n">
        <v>1</v>
      </c>
      <c r="X631" s="6" t="n">
        <v>7</v>
      </c>
      <c r="Y631" s="6" t="n">
        <v>4.5</v>
      </c>
      <c r="Z631" s="6" t="s">
        <v>2416</v>
      </c>
      <c r="AA631" s="9" t="s">
        <v>528</v>
      </c>
      <c r="AB631" s="6" t="s">
        <v>2505</v>
      </c>
      <c r="AE631" s="37" t="n">
        <f aca="false">COUNTIF(環境認証!$A$2:$A$849,A631)</f>
        <v>0</v>
      </c>
      <c r="AF631" s="6" t="n">
        <v>3.1</v>
      </c>
      <c r="AG631" s="6" t="n">
        <v>5.6</v>
      </c>
    </row>
    <row r="632" customFormat="false" ht="15" hidden="false" customHeight="true" outlineLevel="0" collapsed="false">
      <c r="A632" s="6" t="s">
        <v>2506</v>
      </c>
      <c r="B632" s="6" t="s">
        <v>456</v>
      </c>
      <c r="C632" s="9" t="s">
        <v>2507</v>
      </c>
      <c r="D632" s="9" t="s">
        <v>522</v>
      </c>
      <c r="E632" s="9" t="s">
        <v>523</v>
      </c>
      <c r="F632" s="9" t="s">
        <v>697</v>
      </c>
      <c r="H632" s="9" t="s">
        <v>550</v>
      </c>
      <c r="M632" s="6" t="n">
        <v>2342.07</v>
      </c>
      <c r="Q632" s="1" t="str">
        <f aca="false">IF(OR($A632="",P632=""),"",ROUND(YEARFRAC(P632,README!$C$5),1))</f>
        <v/>
      </c>
      <c r="S632" s="6" t="n">
        <v>1610</v>
      </c>
      <c r="T632" s="6" t="n">
        <v>1685</v>
      </c>
      <c r="U632" s="6" t="n">
        <v>1880</v>
      </c>
      <c r="V632" s="6" t="n">
        <v>195</v>
      </c>
      <c r="W632" s="6" t="n">
        <v>1</v>
      </c>
      <c r="X632" s="6" t="n">
        <v>7</v>
      </c>
      <c r="Y632" s="6" t="n">
        <v>3.6</v>
      </c>
      <c r="Z632" s="6" t="s">
        <v>2416</v>
      </c>
      <c r="AA632" s="9" t="s">
        <v>528</v>
      </c>
      <c r="AB632" s="6" t="s">
        <v>2508</v>
      </c>
      <c r="AE632" s="37" t="n">
        <f aca="false">COUNTIF(環境認証!$A$2:$A$849,A632)</f>
        <v>0</v>
      </c>
      <c r="AF632" s="6" t="n">
        <v>11.6</v>
      </c>
      <c r="AG632" s="6" t="n">
        <v>16.8</v>
      </c>
    </row>
    <row r="633" customFormat="false" ht="15" hidden="false" customHeight="true" outlineLevel="0" collapsed="false">
      <c r="A633" s="6" t="s">
        <v>2509</v>
      </c>
      <c r="B633" s="6" t="s">
        <v>456</v>
      </c>
      <c r="C633" s="9" t="s">
        <v>2510</v>
      </c>
      <c r="D633" s="9" t="s">
        <v>522</v>
      </c>
      <c r="E633" s="9" t="s">
        <v>573</v>
      </c>
      <c r="F633" s="9" t="s">
        <v>2511</v>
      </c>
      <c r="H633" s="9" t="s">
        <v>569</v>
      </c>
      <c r="M633" s="6" t="n">
        <v>3048.07</v>
      </c>
      <c r="Q633" s="1" t="str">
        <f aca="false">IF(OR($A633="",P633=""),"",ROUND(YEARFRAC(P633,README!$C$5),1))</f>
        <v/>
      </c>
      <c r="S633" s="6" t="n">
        <v>2500</v>
      </c>
      <c r="T633" s="6" t="n">
        <v>2567</v>
      </c>
      <c r="U633" s="6" t="n">
        <v>2620</v>
      </c>
      <c r="V633" s="6" t="n">
        <v>53</v>
      </c>
      <c r="W633" s="6" t="n">
        <v>1</v>
      </c>
      <c r="X633" s="6" t="n">
        <v>7</v>
      </c>
      <c r="Y633" s="6" t="n">
        <v>12.7</v>
      </c>
      <c r="Z633" s="6" t="s">
        <v>2416</v>
      </c>
      <c r="AA633" s="9" t="s">
        <v>528</v>
      </c>
      <c r="AB633" s="6" t="s">
        <v>2512</v>
      </c>
      <c r="AE633" s="37" t="n">
        <f aca="false">COUNTIF(環境認証!$A$2:$A$849,A633)</f>
        <v>1</v>
      </c>
      <c r="AF633" s="6" t="n">
        <v>2.1</v>
      </c>
      <c r="AG633" s="6" t="n">
        <v>4.8</v>
      </c>
    </row>
    <row r="634" customFormat="false" ht="15" hidden="false" customHeight="true" outlineLevel="0" collapsed="false">
      <c r="A634" s="6" t="s">
        <v>2513</v>
      </c>
      <c r="B634" s="6" t="s">
        <v>456</v>
      </c>
      <c r="C634" s="9" t="s">
        <v>2514</v>
      </c>
      <c r="D634" s="9" t="s">
        <v>522</v>
      </c>
      <c r="E634" s="9" t="s">
        <v>573</v>
      </c>
      <c r="F634" s="9" t="s">
        <v>680</v>
      </c>
      <c r="H634" s="9" t="s">
        <v>569</v>
      </c>
      <c r="M634" s="6" t="n">
        <v>4251.24</v>
      </c>
      <c r="Q634" s="1" t="str">
        <f aca="false">IF(OR($A634="",P634=""),"",ROUND(YEARFRAC(P634,README!$C$5),1))</f>
        <v/>
      </c>
      <c r="S634" s="6" t="n">
        <v>7300</v>
      </c>
      <c r="T634" s="6" t="n">
        <v>7519</v>
      </c>
      <c r="U634" s="6" t="n">
        <v>8440</v>
      </c>
      <c r="V634" s="6" t="n">
        <v>921</v>
      </c>
      <c r="W634" s="6" t="n">
        <v>1</v>
      </c>
      <c r="X634" s="6" t="n">
        <v>14</v>
      </c>
      <c r="Y634" s="6" t="n">
        <v>12.8</v>
      </c>
      <c r="Z634" s="6" t="s">
        <v>2416</v>
      </c>
      <c r="AA634" s="9" t="s">
        <v>528</v>
      </c>
      <c r="AB634" s="6" t="s">
        <v>2515</v>
      </c>
      <c r="AE634" s="37" t="n">
        <f aca="false">COUNTIF(環境認証!$A$2:$A$849,A634)</f>
        <v>1</v>
      </c>
      <c r="AF634" s="6" t="n">
        <v>12.2</v>
      </c>
      <c r="AG634" s="6" t="n">
        <v>15.6</v>
      </c>
    </row>
    <row r="635" customFormat="false" ht="15" hidden="false" customHeight="true" outlineLevel="0" collapsed="false">
      <c r="A635" s="6" t="s">
        <v>2516</v>
      </c>
      <c r="B635" s="6" t="s">
        <v>456</v>
      </c>
      <c r="C635" s="9" t="s">
        <v>2517</v>
      </c>
      <c r="D635" s="9" t="s">
        <v>522</v>
      </c>
      <c r="E635" s="9" t="s">
        <v>567</v>
      </c>
      <c r="F635" s="9" t="s">
        <v>676</v>
      </c>
      <c r="H635" s="9" t="s">
        <v>569</v>
      </c>
      <c r="M635" s="6" t="n">
        <v>5366.51</v>
      </c>
      <c r="Q635" s="1" t="str">
        <f aca="false">IF(OR($A635="",P635=""),"",ROUND(YEARFRAC(P635,README!$C$5),1))</f>
        <v/>
      </c>
      <c r="S635" s="6" t="n">
        <v>4000</v>
      </c>
      <c r="T635" s="6" t="n">
        <v>4012</v>
      </c>
      <c r="U635" s="6" t="n">
        <v>4280</v>
      </c>
      <c r="V635" s="6" t="n">
        <v>268</v>
      </c>
      <c r="W635" s="6" t="n">
        <v>0.9369</v>
      </c>
      <c r="X635" s="6" t="n">
        <v>22</v>
      </c>
      <c r="Y635" s="6" t="n">
        <v>8.4</v>
      </c>
      <c r="Z635" s="6" t="s">
        <v>2416</v>
      </c>
      <c r="AA635" s="9" t="s">
        <v>528</v>
      </c>
      <c r="AB635" s="6" t="s">
        <v>2518</v>
      </c>
      <c r="AE635" s="37" t="n">
        <f aca="false">COUNTIF(環境認証!$A$2:$A$849,A635)</f>
        <v>1</v>
      </c>
      <c r="AF635" s="6" t="n">
        <v>6.7</v>
      </c>
      <c r="AG635" s="6" t="n">
        <v>7</v>
      </c>
    </row>
    <row r="636" customFormat="false" ht="15" hidden="false" customHeight="true" outlineLevel="0" collapsed="false">
      <c r="A636" s="6" t="s">
        <v>2519</v>
      </c>
      <c r="B636" s="6" t="s">
        <v>456</v>
      </c>
      <c r="C636" s="9" t="s">
        <v>2520</v>
      </c>
      <c r="D636" s="9" t="s">
        <v>522</v>
      </c>
      <c r="E636" s="9" t="s">
        <v>523</v>
      </c>
      <c r="F636" s="9" t="s">
        <v>524</v>
      </c>
      <c r="H636" s="9" t="s">
        <v>525</v>
      </c>
      <c r="M636" s="6" t="n">
        <v>2607.75</v>
      </c>
      <c r="Q636" s="1" t="str">
        <f aca="false">IF(OR($A636="",P636=""),"",ROUND(YEARFRAC(P636,README!$C$5),1))</f>
        <v/>
      </c>
      <c r="S636" s="6" t="n">
        <v>3380</v>
      </c>
      <c r="T636" s="6" t="n">
        <v>3625</v>
      </c>
      <c r="U636" s="6" t="n">
        <v>4050</v>
      </c>
      <c r="V636" s="6" t="n">
        <v>425</v>
      </c>
      <c r="W636" s="6" t="n">
        <v>1</v>
      </c>
      <c r="X636" s="6" t="n">
        <v>13</v>
      </c>
      <c r="Y636" s="6" t="n">
        <v>8</v>
      </c>
      <c r="Z636" s="6" t="s">
        <v>2416</v>
      </c>
      <c r="AA636" s="9" t="s">
        <v>528</v>
      </c>
      <c r="AB636" s="6" t="s">
        <v>2521</v>
      </c>
      <c r="AE636" s="37" t="n">
        <f aca="false">COUNTIF(環境認証!$A$2:$A$849,A636)</f>
        <v>0</v>
      </c>
      <c r="AF636" s="6" t="n">
        <v>11.7</v>
      </c>
      <c r="AG636" s="6" t="n">
        <v>19.8</v>
      </c>
    </row>
    <row r="637" customFormat="false" ht="15" hidden="false" customHeight="true" outlineLevel="0" collapsed="false">
      <c r="A637" s="6" t="s">
        <v>2522</v>
      </c>
      <c r="B637" s="6" t="s">
        <v>456</v>
      </c>
      <c r="C637" s="9" t="s">
        <v>2523</v>
      </c>
      <c r="D637" s="9" t="s">
        <v>522</v>
      </c>
      <c r="E637" s="9" t="s">
        <v>523</v>
      </c>
      <c r="F637" s="9" t="s">
        <v>524</v>
      </c>
      <c r="H637" s="9" t="s">
        <v>525</v>
      </c>
      <c r="M637" s="6" t="n">
        <v>569.88</v>
      </c>
      <c r="Q637" s="1" t="str">
        <f aca="false">IF(OR($A637="",P637=""),"",ROUND(YEARFRAC(P637,README!$C$5),1))</f>
        <v/>
      </c>
      <c r="S637" s="6" t="n">
        <v>400</v>
      </c>
      <c r="T637" s="6" t="n">
        <v>467</v>
      </c>
      <c r="U637" s="6" t="n">
        <v>581</v>
      </c>
      <c r="V637" s="6" t="n">
        <v>114</v>
      </c>
      <c r="W637" s="6" t="n">
        <v>0.8867</v>
      </c>
      <c r="X637" s="6" t="n">
        <v>8</v>
      </c>
      <c r="Y637" s="6" t="n">
        <v>5.9</v>
      </c>
      <c r="Z637" s="6" t="s">
        <v>2416</v>
      </c>
      <c r="AA637" s="9" t="s">
        <v>528</v>
      </c>
      <c r="AB637" s="6" t="s">
        <v>2524</v>
      </c>
      <c r="AE637" s="37" t="n">
        <f aca="false">COUNTIF(環境認証!$A$2:$A$849,A637)</f>
        <v>0</v>
      </c>
      <c r="AF637" s="6" t="n">
        <v>24.4</v>
      </c>
      <c r="AG637" s="6" t="n">
        <v>45.2</v>
      </c>
    </row>
    <row r="638" customFormat="false" ht="15" hidden="false" customHeight="true" outlineLevel="0" collapsed="false">
      <c r="A638" s="6" t="s">
        <v>2525</v>
      </c>
      <c r="B638" s="6" t="s">
        <v>456</v>
      </c>
      <c r="C638" s="9" t="s">
        <v>2526</v>
      </c>
      <c r="D638" s="9" t="s">
        <v>522</v>
      </c>
      <c r="E638" s="9" t="s">
        <v>567</v>
      </c>
      <c r="F638" s="9" t="s">
        <v>676</v>
      </c>
      <c r="H638" s="9" t="s">
        <v>569</v>
      </c>
      <c r="M638" s="6" t="n">
        <v>3263.83</v>
      </c>
      <c r="Q638" s="1" t="str">
        <f aca="false">IF(OR($A638="",P638=""),"",ROUND(YEARFRAC(P638,README!$C$5),1))</f>
        <v/>
      </c>
      <c r="S638" s="6" t="n">
        <v>2100</v>
      </c>
      <c r="T638" s="6" t="n">
        <v>2494</v>
      </c>
      <c r="U638" s="6" t="n">
        <v>2550</v>
      </c>
      <c r="V638" s="6" t="n">
        <v>56</v>
      </c>
      <c r="W638" s="6" t="n">
        <v>1</v>
      </c>
      <c r="X638" s="6" t="n">
        <v>22</v>
      </c>
      <c r="Y638" s="6" t="n">
        <v>9.4</v>
      </c>
      <c r="Z638" s="6" t="s">
        <v>2416</v>
      </c>
      <c r="AA638" s="9" t="s">
        <v>528</v>
      </c>
      <c r="AB638" s="6" t="s">
        <v>2527</v>
      </c>
      <c r="AE638" s="37" t="n">
        <f aca="false">COUNTIF(環境認証!$A$2:$A$849,A638)</f>
        <v>0</v>
      </c>
      <c r="AF638" s="6" t="n">
        <v>2.2</v>
      </c>
      <c r="AG638" s="6" t="n">
        <v>21.4</v>
      </c>
    </row>
    <row r="639" customFormat="false" ht="15" hidden="false" customHeight="true" outlineLevel="0" collapsed="false">
      <c r="A639" s="6" t="s">
        <v>2528</v>
      </c>
      <c r="B639" s="6" t="s">
        <v>456</v>
      </c>
      <c r="C639" s="9" t="s">
        <v>2529</v>
      </c>
      <c r="D639" s="9" t="s">
        <v>522</v>
      </c>
      <c r="E639" s="9" t="s">
        <v>573</v>
      </c>
      <c r="F639" s="9" t="s">
        <v>680</v>
      </c>
      <c r="H639" s="9" t="s">
        <v>569</v>
      </c>
      <c r="M639" s="6" t="n">
        <v>3619.05</v>
      </c>
      <c r="Q639" s="1" t="str">
        <f aca="false">IF(OR($A639="",P639=""),"",ROUND(YEARFRAC(P639,README!$C$5),1))</f>
        <v/>
      </c>
      <c r="S639" s="6" t="n">
        <v>4500</v>
      </c>
      <c r="T639" s="6" t="n">
        <v>4438</v>
      </c>
      <c r="U639" s="6" t="n">
        <v>4810</v>
      </c>
      <c r="V639" s="6" t="n">
        <v>372</v>
      </c>
      <c r="W639" s="6" t="n">
        <v>1</v>
      </c>
      <c r="X639" s="6" t="n">
        <v>18</v>
      </c>
      <c r="Y639" s="6" t="n">
        <v>14.1</v>
      </c>
      <c r="Z639" s="6" t="s">
        <v>2416</v>
      </c>
      <c r="AA639" s="9" t="s">
        <v>528</v>
      </c>
      <c r="AB639" s="6" t="s">
        <v>2530</v>
      </c>
      <c r="AE639" s="37" t="n">
        <f aca="false">COUNTIF(環境認証!$A$2:$A$849,A639)</f>
        <v>1</v>
      </c>
      <c r="AF639" s="6" t="n">
        <v>8.4</v>
      </c>
      <c r="AG639" s="6" t="n">
        <v>6.9</v>
      </c>
    </row>
    <row r="640" customFormat="false" ht="15" hidden="false" customHeight="true" outlineLevel="0" collapsed="false">
      <c r="A640" s="6" t="s">
        <v>2531</v>
      </c>
      <c r="B640" s="6" t="s">
        <v>456</v>
      </c>
      <c r="C640" s="9" t="s">
        <v>2532</v>
      </c>
      <c r="D640" s="9" t="s">
        <v>522</v>
      </c>
      <c r="E640" s="9" t="s">
        <v>573</v>
      </c>
      <c r="F640" s="9" t="s">
        <v>680</v>
      </c>
      <c r="H640" s="9" t="s">
        <v>569</v>
      </c>
      <c r="M640" s="6" t="n">
        <v>1623.62</v>
      </c>
      <c r="Q640" s="1" t="str">
        <f aca="false">IF(OR($A640="",P640=""),"",ROUND(YEARFRAC(P640,README!$C$5),1))</f>
        <v/>
      </c>
      <c r="S640" s="6" t="n">
        <v>1650</v>
      </c>
      <c r="T640" s="6" t="n">
        <v>1640</v>
      </c>
      <c r="U640" s="6" t="n">
        <v>1830</v>
      </c>
      <c r="V640" s="6" t="n">
        <v>190</v>
      </c>
      <c r="W640" s="6" t="n">
        <v>1</v>
      </c>
      <c r="X640" s="6" t="n">
        <v>15</v>
      </c>
      <c r="Y640" s="6" t="n">
        <v>15.8</v>
      </c>
      <c r="Z640" s="6" t="s">
        <v>2416</v>
      </c>
      <c r="AA640" s="9" t="s">
        <v>528</v>
      </c>
      <c r="AB640" s="6" t="s">
        <v>2533</v>
      </c>
      <c r="AE640" s="37" t="n">
        <f aca="false">COUNTIF(環境認証!$A$2:$A$849,A640)</f>
        <v>0</v>
      </c>
      <c r="AF640" s="6" t="n">
        <v>11.6</v>
      </c>
      <c r="AG640" s="6" t="n">
        <v>10.9</v>
      </c>
    </row>
    <row r="641" customFormat="false" ht="15" hidden="false" customHeight="true" outlineLevel="0" collapsed="false">
      <c r="A641" s="6" t="s">
        <v>2534</v>
      </c>
      <c r="B641" s="6" t="s">
        <v>456</v>
      </c>
      <c r="C641" s="9" t="s">
        <v>2535</v>
      </c>
      <c r="D641" s="9" t="s">
        <v>522</v>
      </c>
      <c r="E641" s="9" t="s">
        <v>547</v>
      </c>
      <c r="F641" s="9" t="s">
        <v>701</v>
      </c>
      <c r="H641" s="9" t="s">
        <v>550</v>
      </c>
      <c r="M641" s="6" t="n">
        <v>4446.52</v>
      </c>
      <c r="Q641" s="1" t="str">
        <f aca="false">IF(OR($A641="",P641=""),"",ROUND(YEARFRAC(P641,README!$C$5),1))</f>
        <v/>
      </c>
      <c r="S641" s="6" t="n">
        <v>3800</v>
      </c>
      <c r="T641" s="6" t="n">
        <v>4034</v>
      </c>
      <c r="U641" s="6" t="n">
        <v>4040</v>
      </c>
      <c r="V641" s="6" t="n">
        <v>6</v>
      </c>
      <c r="W641" s="6" t="n">
        <v>1</v>
      </c>
      <c r="X641" s="6" t="n">
        <v>15</v>
      </c>
      <c r="Y641" s="6" t="n">
        <v>6.2</v>
      </c>
      <c r="Z641" s="6" t="s">
        <v>2416</v>
      </c>
      <c r="AA641" s="9" t="s">
        <v>528</v>
      </c>
      <c r="AB641" s="6" t="s">
        <v>2536</v>
      </c>
      <c r="AE641" s="37" t="n">
        <f aca="false">COUNTIF(環境認証!$A$2:$A$849,A641)</f>
        <v>1</v>
      </c>
      <c r="AF641" s="6" t="n">
        <v>0.1</v>
      </c>
      <c r="AG641" s="6" t="n">
        <v>6.3</v>
      </c>
    </row>
    <row r="642" customFormat="false" ht="15" hidden="false" customHeight="true" outlineLevel="0" collapsed="false">
      <c r="A642" s="6" t="s">
        <v>2537</v>
      </c>
      <c r="B642" s="6" t="s">
        <v>456</v>
      </c>
      <c r="C642" s="9" t="s">
        <v>2538</v>
      </c>
      <c r="D642" s="9" t="s">
        <v>522</v>
      </c>
      <c r="E642" s="9" t="s">
        <v>573</v>
      </c>
      <c r="F642" s="9" t="s">
        <v>2511</v>
      </c>
      <c r="H642" s="9" t="s">
        <v>569</v>
      </c>
      <c r="M642" s="6" t="n">
        <v>7510.27</v>
      </c>
      <c r="Q642" s="1" t="str">
        <f aca="false">IF(OR($A642="",P642=""),"",ROUND(YEARFRAC(P642,README!$C$5),1))</f>
        <v/>
      </c>
      <c r="S642" s="6" t="n">
        <v>5001</v>
      </c>
      <c r="T642" s="6" t="n">
        <v>5187</v>
      </c>
      <c r="U642" s="6" t="n">
        <v>5860</v>
      </c>
      <c r="V642" s="6" t="n">
        <v>673</v>
      </c>
      <c r="W642" s="6" t="n">
        <v>1</v>
      </c>
      <c r="X642" s="6" t="n">
        <v>11</v>
      </c>
      <c r="Y642" s="6" t="n">
        <v>10.4</v>
      </c>
      <c r="Z642" s="6" t="s">
        <v>2416</v>
      </c>
      <c r="AA642" s="9" t="s">
        <v>528</v>
      </c>
      <c r="AB642" s="6" t="s">
        <v>2539</v>
      </c>
      <c r="AE642" s="37" t="n">
        <f aca="false">COUNTIF(環境認証!$A$2:$A$849,A642)</f>
        <v>1</v>
      </c>
      <c r="AF642" s="6" t="n">
        <v>13</v>
      </c>
      <c r="AG642" s="6" t="n">
        <v>17.2</v>
      </c>
    </row>
    <row r="643" customFormat="false" ht="15" hidden="false" customHeight="true" outlineLevel="0" collapsed="false">
      <c r="A643" s="6" t="s">
        <v>2540</v>
      </c>
      <c r="B643" s="6" t="s">
        <v>456</v>
      </c>
      <c r="C643" s="9" t="s">
        <v>2541</v>
      </c>
      <c r="D643" s="9" t="s">
        <v>522</v>
      </c>
      <c r="E643" s="9" t="s">
        <v>604</v>
      </c>
      <c r="F643" s="9" t="s">
        <v>720</v>
      </c>
      <c r="H643" s="6" t="s">
        <v>599</v>
      </c>
      <c r="M643" s="6" t="n">
        <v>2070.85</v>
      </c>
      <c r="Q643" s="1" t="str">
        <f aca="false">IF(OR($A643="",P643=""),"",ROUND(YEARFRAC(P643,README!$C$5),1))</f>
        <v/>
      </c>
      <c r="S643" s="6" t="n">
        <v>1535</v>
      </c>
      <c r="T643" s="6" t="n">
        <v>1598</v>
      </c>
      <c r="U643" s="6" t="n">
        <v>1640</v>
      </c>
      <c r="V643" s="6" t="n">
        <v>42</v>
      </c>
      <c r="W643" s="6" t="n">
        <v>1</v>
      </c>
      <c r="X643" s="6" t="n">
        <v>41</v>
      </c>
      <c r="Y643" s="6" t="n">
        <v>0.2</v>
      </c>
      <c r="Z643" s="6" t="s">
        <v>2416</v>
      </c>
      <c r="AA643" s="9" t="s">
        <v>528</v>
      </c>
      <c r="AB643" s="6" t="s">
        <v>2542</v>
      </c>
      <c r="AE643" s="37" t="n">
        <f aca="false">COUNTIF(環境認証!$A$2:$A$849,A643)</f>
        <v>0</v>
      </c>
      <c r="AF643" s="6" t="n">
        <v>2.6</v>
      </c>
      <c r="AG643" s="6" t="n">
        <v>6.8</v>
      </c>
    </row>
    <row r="644" customFormat="false" ht="15" hidden="false" customHeight="true" outlineLevel="0" collapsed="false">
      <c r="A644" s="6" t="s">
        <v>2543</v>
      </c>
      <c r="B644" s="6" t="s">
        <v>456</v>
      </c>
      <c r="C644" s="9" t="s">
        <v>2544</v>
      </c>
      <c r="D644" s="9" t="s">
        <v>522</v>
      </c>
      <c r="E644" s="9" t="s">
        <v>604</v>
      </c>
      <c r="F644" s="9" t="s">
        <v>720</v>
      </c>
      <c r="H644" s="6" t="s">
        <v>599</v>
      </c>
      <c r="M644" s="6" t="n">
        <v>5337.38</v>
      </c>
      <c r="Q644" s="1" t="str">
        <f aca="false">IF(OR($A644="",P644=""),"",ROUND(YEARFRAC(P644,README!$C$5),1))</f>
        <v/>
      </c>
      <c r="S644" s="6" t="n">
        <v>4140</v>
      </c>
      <c r="T644" s="6" t="n">
        <v>4169</v>
      </c>
      <c r="U644" s="6" t="n">
        <v>5326</v>
      </c>
      <c r="V644" s="6" t="n">
        <v>1157</v>
      </c>
      <c r="W644" s="6" t="n">
        <v>1</v>
      </c>
      <c r="X644" s="6" t="n">
        <v>32</v>
      </c>
      <c r="Y644" s="6" t="n">
        <v>0.2</v>
      </c>
      <c r="Z644" s="6" t="s">
        <v>2416</v>
      </c>
      <c r="AA644" s="9" t="s">
        <v>528</v>
      </c>
      <c r="AB644" s="6" t="s">
        <v>2545</v>
      </c>
      <c r="AE644" s="37" t="n">
        <f aca="false">COUNTIF(環境認証!$A$2:$A$849,A644)</f>
        <v>0</v>
      </c>
      <c r="AF644" s="6" t="n">
        <v>27.8</v>
      </c>
      <c r="AG644" s="6" t="n">
        <v>28.6</v>
      </c>
    </row>
    <row r="645" customFormat="false" ht="15" hidden="false" customHeight="true" outlineLevel="0" collapsed="false">
      <c r="A645" s="6" t="s">
        <v>2546</v>
      </c>
      <c r="B645" s="6" t="s">
        <v>456</v>
      </c>
      <c r="C645" s="9" t="s">
        <v>2547</v>
      </c>
      <c r="D645" s="9" t="s">
        <v>522</v>
      </c>
      <c r="E645" s="9" t="s">
        <v>573</v>
      </c>
      <c r="F645" s="9" t="s">
        <v>680</v>
      </c>
      <c r="H645" s="9" t="s">
        <v>569</v>
      </c>
      <c r="M645" s="6" t="n">
        <v>3713.74</v>
      </c>
      <c r="Q645" s="1" t="str">
        <f aca="false">IF(OR($A645="",P645=""),"",ROUND(YEARFRAC(P645,README!$C$5),1))</f>
        <v/>
      </c>
      <c r="S645" s="6" t="n">
        <v>3385</v>
      </c>
      <c r="T645" s="6" t="n">
        <v>3408</v>
      </c>
      <c r="U645" s="6" t="n">
        <v>3710</v>
      </c>
      <c r="V645" s="6" t="n">
        <v>302</v>
      </c>
      <c r="W645" s="6" t="n">
        <v>1</v>
      </c>
      <c r="X645" s="6" t="n">
        <v>20</v>
      </c>
      <c r="Y645" s="6" t="n">
        <v>13.7</v>
      </c>
      <c r="Z645" s="6" t="s">
        <v>2416</v>
      </c>
      <c r="AA645" s="9" t="s">
        <v>528</v>
      </c>
      <c r="AB645" s="6" t="s">
        <v>2548</v>
      </c>
      <c r="AE645" s="37" t="n">
        <f aca="false">COUNTIF(環境認証!$A$2:$A$849,A645)</f>
        <v>0</v>
      </c>
      <c r="AF645" s="6" t="n">
        <v>8.9</v>
      </c>
      <c r="AG645" s="6" t="n">
        <v>9.6</v>
      </c>
    </row>
    <row r="646" customFormat="false" ht="15" hidden="false" customHeight="true" outlineLevel="0" collapsed="false">
      <c r="A646" s="6" t="s">
        <v>2549</v>
      </c>
      <c r="B646" s="6" t="s">
        <v>456</v>
      </c>
      <c r="C646" s="9" t="s">
        <v>2550</v>
      </c>
      <c r="D646" s="9" t="s">
        <v>522</v>
      </c>
      <c r="E646" s="9" t="s">
        <v>573</v>
      </c>
      <c r="F646" s="9" t="s">
        <v>680</v>
      </c>
      <c r="H646" s="9" t="s">
        <v>569</v>
      </c>
      <c r="M646" s="6" t="n">
        <v>4451.56</v>
      </c>
      <c r="Q646" s="1" t="str">
        <f aca="false">IF(OR($A646="",P646=""),"",ROUND(YEARFRAC(P646,README!$C$5),1))</f>
        <v/>
      </c>
      <c r="S646" s="6" t="n">
        <v>4720</v>
      </c>
      <c r="T646" s="6" t="n">
        <v>4907</v>
      </c>
      <c r="U646" s="6" t="n">
        <v>5210</v>
      </c>
      <c r="V646" s="6" t="n">
        <v>303</v>
      </c>
      <c r="W646" s="6" t="n">
        <v>1</v>
      </c>
      <c r="X646" s="6" t="n">
        <v>25</v>
      </c>
      <c r="Y646" s="6" t="n">
        <v>10.5</v>
      </c>
      <c r="Z646" s="6" t="s">
        <v>2416</v>
      </c>
      <c r="AA646" s="9" t="s">
        <v>528</v>
      </c>
      <c r="AB646" s="6" t="s">
        <v>2551</v>
      </c>
      <c r="AE646" s="37" t="n">
        <f aca="false">COUNTIF(環境認証!$A$2:$A$849,A646)</f>
        <v>0</v>
      </c>
      <c r="AF646" s="6" t="n">
        <v>6.2</v>
      </c>
      <c r="AG646" s="6" t="n">
        <v>10.4</v>
      </c>
    </row>
    <row r="647" customFormat="false" ht="15" hidden="false" customHeight="true" outlineLevel="0" collapsed="false">
      <c r="A647" s="6" t="s">
        <v>2552</v>
      </c>
      <c r="B647" s="6" t="s">
        <v>456</v>
      </c>
      <c r="C647" s="9" t="s">
        <v>2553</v>
      </c>
      <c r="D647" s="9" t="s">
        <v>522</v>
      </c>
      <c r="E647" s="9" t="s">
        <v>567</v>
      </c>
      <c r="F647" s="9" t="s">
        <v>676</v>
      </c>
      <c r="H647" s="9" t="s">
        <v>569</v>
      </c>
      <c r="M647" s="6" t="n">
        <v>4043.34</v>
      </c>
      <c r="Q647" s="1" t="str">
        <f aca="false">IF(OR($A647="",P647=""),"",ROUND(YEARFRAC(P647,README!$C$5),1))</f>
        <v/>
      </c>
      <c r="S647" s="6" t="n">
        <v>5110</v>
      </c>
      <c r="T647" s="6" t="n">
        <v>5178</v>
      </c>
      <c r="U647" s="6" t="n">
        <v>5453</v>
      </c>
      <c r="V647" s="6" t="n">
        <v>275</v>
      </c>
      <c r="W647" s="6" t="n">
        <v>1</v>
      </c>
      <c r="X647" s="6" t="n">
        <v>14</v>
      </c>
      <c r="Y647" s="6" t="n">
        <v>12.8</v>
      </c>
      <c r="Z647" s="6" t="s">
        <v>2416</v>
      </c>
      <c r="AA647" s="9" t="s">
        <v>528</v>
      </c>
      <c r="AB647" s="6" t="s">
        <v>2554</v>
      </c>
      <c r="AE647" s="37" t="n">
        <f aca="false">COUNTIF(環境認証!$A$2:$A$849,A647)</f>
        <v>0</v>
      </c>
      <c r="AF647" s="6" t="n">
        <v>5.3</v>
      </c>
      <c r="AG647" s="6" t="n">
        <v>6.7</v>
      </c>
    </row>
    <row r="648" customFormat="false" ht="15" hidden="false" customHeight="true" outlineLevel="0" collapsed="false">
      <c r="A648" s="6" t="s">
        <v>2555</v>
      </c>
      <c r="B648" s="6" t="s">
        <v>456</v>
      </c>
      <c r="C648" s="9" t="s">
        <v>2556</v>
      </c>
      <c r="D648" s="9" t="s">
        <v>959</v>
      </c>
      <c r="E648" s="9" t="s">
        <v>523</v>
      </c>
      <c r="F648" s="9" t="s">
        <v>906</v>
      </c>
      <c r="H648" s="9" t="s">
        <v>540</v>
      </c>
      <c r="M648" s="6" t="n">
        <v>836.36</v>
      </c>
      <c r="Q648" s="1" t="str">
        <f aca="false">IF(OR($A648="",P648=""),"",ROUND(YEARFRAC(P648,README!$C$5),1))</f>
        <v/>
      </c>
      <c r="S648" s="6" t="n">
        <v>660</v>
      </c>
      <c r="T648" s="6" t="n">
        <v>606</v>
      </c>
      <c r="U648" s="6" t="n">
        <v>891</v>
      </c>
      <c r="V648" s="6" t="n">
        <v>285</v>
      </c>
      <c r="W648" s="6" t="n">
        <v>0.8501</v>
      </c>
      <c r="X648" s="6" t="n">
        <v>18</v>
      </c>
      <c r="Y648" s="6" t="n">
        <v>6.2</v>
      </c>
      <c r="Z648" s="6" t="s">
        <v>2416</v>
      </c>
      <c r="AA648" s="9" t="s">
        <v>528</v>
      </c>
      <c r="AB648" s="6" t="s">
        <v>2557</v>
      </c>
      <c r="AE648" s="37" t="n">
        <f aca="false">COUNTIF(環境認証!$A$2:$A$849,A648)</f>
        <v>0</v>
      </c>
      <c r="AF648" s="6" t="n">
        <v>47</v>
      </c>
      <c r="AG648" s="6" t="n">
        <v>35</v>
      </c>
    </row>
    <row r="649" customFormat="false" ht="15" hidden="false" customHeight="true" outlineLevel="0" collapsed="false">
      <c r="A649" s="6" t="s">
        <v>2558</v>
      </c>
      <c r="B649" s="6" t="s">
        <v>456</v>
      </c>
      <c r="C649" s="9" t="s">
        <v>2559</v>
      </c>
      <c r="D649" s="9" t="s">
        <v>959</v>
      </c>
      <c r="E649" s="9" t="s">
        <v>523</v>
      </c>
      <c r="F649" s="9" t="s">
        <v>2560</v>
      </c>
      <c r="H649" s="9" t="s">
        <v>540</v>
      </c>
      <c r="M649" s="6" t="n">
        <v>1167.36</v>
      </c>
      <c r="Q649" s="1" t="str">
        <f aca="false">IF(OR($A649="",P649=""),"",ROUND(YEARFRAC(P649,README!$C$5),1))</f>
        <v/>
      </c>
      <c r="S649" s="6" t="n">
        <v>650</v>
      </c>
      <c r="T649" s="6" t="n">
        <v>562</v>
      </c>
      <c r="U649" s="6" t="n">
        <v>1102</v>
      </c>
      <c r="V649" s="6" t="n">
        <v>540</v>
      </c>
      <c r="W649" s="6" t="n">
        <v>0.9787</v>
      </c>
      <c r="X649" s="6" t="n">
        <v>47</v>
      </c>
      <c r="Y649" s="6" t="n">
        <v>8.8</v>
      </c>
      <c r="Z649" s="6" t="s">
        <v>2416</v>
      </c>
      <c r="AA649" s="9" t="s">
        <v>528</v>
      </c>
      <c r="AB649" s="6" t="s">
        <v>2561</v>
      </c>
      <c r="AE649" s="37" t="n">
        <f aca="false">COUNTIF(環境認証!$A$2:$A$849,A649)</f>
        <v>0</v>
      </c>
      <c r="AF649" s="6" t="n">
        <v>96.1</v>
      </c>
      <c r="AG649" s="6" t="n">
        <v>69.5</v>
      </c>
    </row>
    <row r="650" customFormat="false" ht="15" hidden="false" customHeight="true" outlineLevel="0" collapsed="false">
      <c r="A650" s="6" t="s">
        <v>2562</v>
      </c>
      <c r="B650" s="6" t="s">
        <v>456</v>
      </c>
      <c r="C650" s="9" t="s">
        <v>2563</v>
      </c>
      <c r="D650" s="9" t="s">
        <v>959</v>
      </c>
      <c r="E650" s="9" t="s">
        <v>523</v>
      </c>
      <c r="F650" s="9" t="s">
        <v>1462</v>
      </c>
      <c r="H650" s="9" t="s">
        <v>540</v>
      </c>
      <c r="M650" s="6" t="n">
        <v>5490.36</v>
      </c>
      <c r="Q650" s="1" t="str">
        <f aca="false">IF(OR($A650="",P650=""),"",ROUND(YEARFRAC(P650,README!$C$5),1))</f>
        <v/>
      </c>
      <c r="S650" s="6" t="n">
        <v>3610</v>
      </c>
      <c r="T650" s="6" t="n">
        <v>3134</v>
      </c>
      <c r="U650" s="6" t="n">
        <v>6426</v>
      </c>
      <c r="V650" s="6" t="n">
        <v>3292</v>
      </c>
      <c r="W650" s="6" t="n">
        <v>0.888</v>
      </c>
      <c r="X650" s="6" t="n">
        <v>86</v>
      </c>
      <c r="Y650" s="6" t="n">
        <v>6.7</v>
      </c>
      <c r="Z650" s="6" t="s">
        <v>2416</v>
      </c>
      <c r="AA650" s="9" t="s">
        <v>528</v>
      </c>
      <c r="AB650" s="6" t="s">
        <v>2564</v>
      </c>
      <c r="AE650" s="37" t="n">
        <f aca="false">COUNTIF(環境認証!$A$2:$A$849,A650)</f>
        <v>0</v>
      </c>
      <c r="AF650" s="6" t="n">
        <v>105</v>
      </c>
      <c r="AG650" s="6" t="n">
        <v>78</v>
      </c>
    </row>
    <row r="651" customFormat="false" ht="15" hidden="false" customHeight="true" outlineLevel="0" collapsed="false">
      <c r="A651" s="6" t="s">
        <v>2565</v>
      </c>
      <c r="B651" s="6" t="s">
        <v>456</v>
      </c>
      <c r="C651" s="9" t="s">
        <v>2566</v>
      </c>
      <c r="D651" s="9" t="s">
        <v>959</v>
      </c>
      <c r="E651" s="9" t="s">
        <v>523</v>
      </c>
      <c r="F651" s="9" t="s">
        <v>906</v>
      </c>
      <c r="H651" s="9" t="s">
        <v>540</v>
      </c>
      <c r="M651" s="6" t="n">
        <v>1897.46</v>
      </c>
      <c r="Q651" s="1" t="str">
        <f aca="false">IF(OR($A651="",P651=""),"",ROUND(YEARFRAC(P651,README!$C$5),1))</f>
        <v/>
      </c>
      <c r="S651" s="6" t="n">
        <v>1560</v>
      </c>
      <c r="T651" s="6" t="n">
        <v>1380</v>
      </c>
      <c r="U651" s="6" t="n">
        <v>2153</v>
      </c>
      <c r="V651" s="6" t="n">
        <v>773</v>
      </c>
      <c r="W651" s="6" t="n">
        <v>1</v>
      </c>
      <c r="X651" s="6" t="n">
        <v>53</v>
      </c>
      <c r="Y651" s="6" t="n">
        <v>6.4</v>
      </c>
      <c r="Z651" s="6" t="s">
        <v>2416</v>
      </c>
      <c r="AA651" s="9" t="s">
        <v>528</v>
      </c>
      <c r="AB651" s="6" t="s">
        <v>2567</v>
      </c>
      <c r="AE651" s="37" t="n">
        <f aca="false">COUNTIF(環境認証!$A$2:$A$849,A651)</f>
        <v>0</v>
      </c>
      <c r="AF651" s="6" t="n">
        <v>56</v>
      </c>
      <c r="AG651" s="6" t="n">
        <v>38</v>
      </c>
    </row>
    <row r="652" customFormat="false" ht="15" hidden="false" customHeight="true" outlineLevel="0" collapsed="false">
      <c r="A652" s="6" t="s">
        <v>2568</v>
      </c>
      <c r="B652" s="6" t="s">
        <v>456</v>
      </c>
      <c r="C652" s="9" t="s">
        <v>2569</v>
      </c>
      <c r="D652" s="9" t="s">
        <v>959</v>
      </c>
      <c r="E652" s="9" t="s">
        <v>523</v>
      </c>
      <c r="F652" s="9" t="s">
        <v>532</v>
      </c>
      <c r="H652" s="9" t="s">
        <v>525</v>
      </c>
      <c r="M652" s="6" t="n">
        <v>1325.2</v>
      </c>
      <c r="Q652" s="1" t="str">
        <f aca="false">IF(OR($A652="",P652=""),"",ROUND(YEARFRAC(P652,README!$C$5),1))</f>
        <v/>
      </c>
      <c r="S652" s="6" t="n">
        <v>1370</v>
      </c>
      <c r="T652" s="6" t="n">
        <v>1273</v>
      </c>
      <c r="U652" s="6" t="n">
        <v>1700</v>
      </c>
      <c r="V652" s="6" t="n">
        <v>427</v>
      </c>
      <c r="W652" s="6" t="n">
        <v>0.9664</v>
      </c>
      <c r="X652" s="6" t="n">
        <v>58</v>
      </c>
      <c r="Y652" s="6" t="n">
        <v>3.6</v>
      </c>
      <c r="Z652" s="6" t="s">
        <v>2416</v>
      </c>
      <c r="AA652" s="9" t="s">
        <v>528</v>
      </c>
      <c r="AB652" s="6" t="s">
        <v>2570</v>
      </c>
      <c r="AE652" s="37" t="n">
        <f aca="false">COUNTIF(環境認証!$A$2:$A$849,A652)</f>
        <v>0</v>
      </c>
      <c r="AF652" s="6" t="n">
        <v>33.5</v>
      </c>
      <c r="AG652" s="6" t="n">
        <v>24.1</v>
      </c>
    </row>
    <row r="653" customFormat="false" ht="15" hidden="false" customHeight="true" outlineLevel="0" collapsed="false">
      <c r="A653" s="6" t="s">
        <v>2571</v>
      </c>
      <c r="B653" s="6" t="s">
        <v>456</v>
      </c>
      <c r="C653" s="9" t="s">
        <v>2572</v>
      </c>
      <c r="D653" s="9" t="s">
        <v>959</v>
      </c>
      <c r="E653" s="9" t="s">
        <v>523</v>
      </c>
      <c r="F653" s="9" t="s">
        <v>906</v>
      </c>
      <c r="H653" s="9" t="s">
        <v>540</v>
      </c>
      <c r="M653" s="6" t="n">
        <v>1217.46</v>
      </c>
      <c r="Q653" s="1" t="str">
        <f aca="false">IF(OR($A653="",P653=""),"",ROUND(YEARFRAC(P653,README!$C$5),1))</f>
        <v/>
      </c>
      <c r="S653" s="6" t="n">
        <v>1000</v>
      </c>
      <c r="T653" s="6" t="n">
        <v>905</v>
      </c>
      <c r="U653" s="6" t="n">
        <v>1390</v>
      </c>
      <c r="V653" s="6" t="n">
        <v>485</v>
      </c>
      <c r="W653" s="6" t="n">
        <v>0.8784</v>
      </c>
      <c r="X653" s="6" t="n">
        <v>24</v>
      </c>
      <c r="Y653" s="6" t="n">
        <v>9.8</v>
      </c>
      <c r="Z653" s="6" t="s">
        <v>2416</v>
      </c>
      <c r="AA653" s="9" t="s">
        <v>528</v>
      </c>
      <c r="AB653" s="6" t="s">
        <v>2573</v>
      </c>
      <c r="AE653" s="37" t="n">
        <f aca="false">COUNTIF(環境認証!$A$2:$A$849,A653)</f>
        <v>0</v>
      </c>
      <c r="AF653" s="6" t="n">
        <v>53.6</v>
      </c>
      <c r="AG653" s="6" t="n">
        <v>39</v>
      </c>
    </row>
    <row r="654" customFormat="false" ht="15" hidden="false" customHeight="true" outlineLevel="0" collapsed="false">
      <c r="A654" s="6" t="s">
        <v>2574</v>
      </c>
      <c r="B654" s="6" t="s">
        <v>456</v>
      </c>
      <c r="C654" s="9" t="s">
        <v>2575</v>
      </c>
      <c r="D654" s="9" t="s">
        <v>959</v>
      </c>
      <c r="E654" s="9" t="s">
        <v>523</v>
      </c>
      <c r="F654" s="9" t="s">
        <v>524</v>
      </c>
      <c r="H654" s="9" t="s">
        <v>525</v>
      </c>
      <c r="M654" s="6" t="n">
        <v>1462.18</v>
      </c>
      <c r="Q654" s="1" t="str">
        <f aca="false">IF(OR($A654="",P654=""),"",ROUND(YEARFRAC(P654,README!$C$5),1))</f>
        <v/>
      </c>
      <c r="S654" s="6" t="n">
        <v>1100</v>
      </c>
      <c r="T654" s="6" t="n">
        <v>834</v>
      </c>
      <c r="U654" s="6" t="n">
        <v>1790</v>
      </c>
      <c r="V654" s="6" t="n">
        <v>956</v>
      </c>
      <c r="W654" s="6" t="n">
        <v>0.9383</v>
      </c>
      <c r="X654" s="6" t="n">
        <v>60</v>
      </c>
      <c r="Y654" s="6" t="n">
        <v>5.7</v>
      </c>
      <c r="Z654" s="6" t="s">
        <v>2416</v>
      </c>
      <c r="AA654" s="9" t="s">
        <v>528</v>
      </c>
      <c r="AB654" s="6" t="s">
        <v>2576</v>
      </c>
      <c r="AE654" s="37" t="n">
        <f aca="false">COUNTIF(環境認証!$A$2:$A$849,A654)</f>
        <v>0</v>
      </c>
      <c r="AF654" s="6" t="n">
        <v>114.6</v>
      </c>
      <c r="AG654" s="6" t="n">
        <v>62.7</v>
      </c>
    </row>
    <row r="655" customFormat="false" ht="15" hidden="false" customHeight="true" outlineLevel="0" collapsed="false">
      <c r="A655" s="6" t="s">
        <v>2577</v>
      </c>
      <c r="B655" s="6" t="s">
        <v>456</v>
      </c>
      <c r="C655" s="9" t="s">
        <v>2578</v>
      </c>
      <c r="D655" s="9" t="s">
        <v>959</v>
      </c>
      <c r="E655" s="9" t="s">
        <v>523</v>
      </c>
      <c r="F655" s="9" t="s">
        <v>666</v>
      </c>
      <c r="H655" s="9" t="s">
        <v>525</v>
      </c>
      <c r="M655" s="6" t="n">
        <v>1684.4</v>
      </c>
      <c r="Q655" s="1" t="str">
        <f aca="false">IF(OR($A655="",P655=""),"",ROUND(YEARFRAC(P655,README!$C$5),1))</f>
        <v/>
      </c>
      <c r="S655" s="6" t="n">
        <v>1210</v>
      </c>
      <c r="T655" s="6" t="n">
        <v>915</v>
      </c>
      <c r="U655" s="6" t="n">
        <v>2160</v>
      </c>
      <c r="V655" s="6" t="n">
        <v>1245</v>
      </c>
      <c r="W655" s="6" t="n">
        <v>0.9748</v>
      </c>
      <c r="X655" s="6" t="n">
        <v>65</v>
      </c>
      <c r="Y655" s="6" t="n">
        <v>10</v>
      </c>
      <c r="Z655" s="6" t="s">
        <v>2416</v>
      </c>
      <c r="AA655" s="9" t="s">
        <v>528</v>
      </c>
      <c r="AB655" s="6" t="s">
        <v>2579</v>
      </c>
      <c r="AE655" s="37" t="n">
        <f aca="false">COUNTIF(環境認証!$A$2:$A$849,A655)</f>
        <v>0</v>
      </c>
      <c r="AF655" s="6" t="n">
        <v>136.1</v>
      </c>
      <c r="AG655" s="6" t="n">
        <v>78.5</v>
      </c>
    </row>
    <row r="656" customFormat="false" ht="15" hidden="false" customHeight="true" outlineLevel="0" collapsed="false">
      <c r="A656" s="6" t="s">
        <v>2580</v>
      </c>
      <c r="B656" s="6" t="s">
        <v>456</v>
      </c>
      <c r="C656" s="9" t="s">
        <v>2581</v>
      </c>
      <c r="D656" s="9" t="s">
        <v>959</v>
      </c>
      <c r="E656" s="9" t="s">
        <v>523</v>
      </c>
      <c r="F656" s="9" t="s">
        <v>2582</v>
      </c>
      <c r="H656" s="9" t="s">
        <v>540</v>
      </c>
      <c r="M656" s="6" t="n">
        <v>1024.52</v>
      </c>
      <c r="Q656" s="1" t="str">
        <f aca="false">IF(OR($A656="",P656=""),"",ROUND(YEARFRAC(P656,README!$C$5),1))</f>
        <v/>
      </c>
      <c r="S656" s="6" t="n">
        <v>690</v>
      </c>
      <c r="T656" s="6" t="n">
        <v>539</v>
      </c>
      <c r="U656" s="6" t="n">
        <v>1080</v>
      </c>
      <c r="V656" s="6" t="n">
        <v>541</v>
      </c>
      <c r="W656" s="6" t="n">
        <v>0.9424</v>
      </c>
      <c r="X656" s="6" t="n">
        <v>48</v>
      </c>
      <c r="Y656" s="6" t="n">
        <v>5.5</v>
      </c>
      <c r="Z656" s="6" t="s">
        <v>2416</v>
      </c>
      <c r="AA656" s="9" t="s">
        <v>528</v>
      </c>
      <c r="AB656" s="6" t="s">
        <v>2583</v>
      </c>
      <c r="AE656" s="37" t="n">
        <f aca="false">COUNTIF(環境認証!$A$2:$A$849,A656)</f>
        <v>0</v>
      </c>
      <c r="AF656" s="6" t="n">
        <v>100.4</v>
      </c>
      <c r="AG656" s="6" t="n">
        <v>56.5</v>
      </c>
    </row>
    <row r="657" customFormat="false" ht="15" hidden="false" customHeight="true" outlineLevel="0" collapsed="false">
      <c r="A657" s="6" t="s">
        <v>2584</v>
      </c>
      <c r="B657" s="6" t="s">
        <v>456</v>
      </c>
      <c r="C657" s="9" t="s">
        <v>2585</v>
      </c>
      <c r="D657" s="9" t="s">
        <v>959</v>
      </c>
      <c r="E657" s="9" t="s">
        <v>523</v>
      </c>
      <c r="F657" s="9" t="s">
        <v>532</v>
      </c>
      <c r="H657" s="9" t="s">
        <v>525</v>
      </c>
      <c r="M657" s="6" t="n">
        <v>4457.76</v>
      </c>
      <c r="Q657" s="1" t="str">
        <f aca="false">IF(OR($A657="",P657=""),"",ROUND(YEARFRAC(P657,README!$C$5),1))</f>
        <v/>
      </c>
      <c r="S657" s="6" t="n">
        <v>4030</v>
      </c>
      <c r="T657" s="6" t="n">
        <v>3524</v>
      </c>
      <c r="U657" s="6" t="n">
        <v>7260</v>
      </c>
      <c r="V657" s="6" t="n">
        <v>3736</v>
      </c>
      <c r="W657" s="6" t="n">
        <v>0.9651</v>
      </c>
      <c r="X657" s="6" t="n">
        <v>64</v>
      </c>
      <c r="Y657" s="6" t="n">
        <v>3.9</v>
      </c>
      <c r="Z657" s="6" t="s">
        <v>2416</v>
      </c>
      <c r="AA657" s="9" t="s">
        <v>528</v>
      </c>
      <c r="AB657" s="6" t="s">
        <v>2586</v>
      </c>
      <c r="AE657" s="37" t="n">
        <f aca="false">COUNTIF(環境認証!$A$2:$A$849,A657)</f>
        <v>1</v>
      </c>
      <c r="AF657" s="6" t="n">
        <v>106</v>
      </c>
      <c r="AG657" s="6" t="n">
        <v>80.1</v>
      </c>
    </row>
    <row r="658" customFormat="false" ht="15" hidden="false" customHeight="true" outlineLevel="0" collapsed="false">
      <c r="A658" s="6" t="s">
        <v>2587</v>
      </c>
      <c r="B658" s="6" t="s">
        <v>456</v>
      </c>
      <c r="C658" s="9" t="s">
        <v>2588</v>
      </c>
      <c r="D658" s="9" t="s">
        <v>959</v>
      </c>
      <c r="E658" s="9" t="s">
        <v>523</v>
      </c>
      <c r="F658" s="9" t="s">
        <v>1462</v>
      </c>
      <c r="H658" s="9" t="s">
        <v>540</v>
      </c>
      <c r="M658" s="6" t="n">
        <v>1187.25</v>
      </c>
      <c r="Q658" s="1" t="str">
        <f aca="false">IF(OR($A658="",P658=""),"",ROUND(YEARFRAC(P658,README!$C$5),1))</f>
        <v/>
      </c>
      <c r="S658" s="6" t="n">
        <v>1070</v>
      </c>
      <c r="T658" s="6" t="n">
        <v>975</v>
      </c>
      <c r="U658" s="6" t="n">
        <v>1290</v>
      </c>
      <c r="V658" s="6" t="n">
        <v>315</v>
      </c>
      <c r="W658" s="6" t="n">
        <v>0.9447</v>
      </c>
      <c r="X658" s="6" t="n">
        <v>50</v>
      </c>
      <c r="Y658" s="6" t="n">
        <v>6</v>
      </c>
      <c r="Z658" s="6" t="s">
        <v>2416</v>
      </c>
      <c r="AA658" s="9" t="s">
        <v>528</v>
      </c>
      <c r="AB658" s="6" t="s">
        <v>2589</v>
      </c>
      <c r="AE658" s="37" t="n">
        <f aca="false">COUNTIF(環境認証!$A$2:$A$849,A658)</f>
        <v>0</v>
      </c>
      <c r="AF658" s="6" t="n">
        <v>32.3</v>
      </c>
      <c r="AG658" s="6" t="n">
        <v>20.6</v>
      </c>
    </row>
    <row r="659" customFormat="false" ht="15" hidden="false" customHeight="true" outlineLevel="0" collapsed="false">
      <c r="A659" s="6" t="s">
        <v>2590</v>
      </c>
      <c r="B659" s="6" t="s">
        <v>456</v>
      </c>
      <c r="C659" s="9" t="s">
        <v>2591</v>
      </c>
      <c r="D659" s="9" t="s">
        <v>959</v>
      </c>
      <c r="E659" s="9" t="s">
        <v>523</v>
      </c>
      <c r="F659" s="9" t="s">
        <v>666</v>
      </c>
      <c r="H659" s="9" t="s">
        <v>525</v>
      </c>
      <c r="M659" s="6" t="n">
        <v>1418.23</v>
      </c>
      <c r="Q659" s="1" t="str">
        <f aca="false">IF(OR($A659="",P659=""),"",ROUND(YEARFRAC(P659,README!$C$5),1))</f>
        <v/>
      </c>
      <c r="S659" s="6" t="n">
        <v>1130</v>
      </c>
      <c r="T659" s="6" t="n">
        <v>1054</v>
      </c>
      <c r="U659" s="6" t="n">
        <v>1360</v>
      </c>
      <c r="V659" s="6" t="n">
        <v>306</v>
      </c>
      <c r="W659" s="6" t="n">
        <v>1</v>
      </c>
      <c r="X659" s="6" t="n">
        <v>48</v>
      </c>
      <c r="Y659" s="6" t="n">
        <v>3.3</v>
      </c>
      <c r="Z659" s="6" t="s">
        <v>2416</v>
      </c>
      <c r="AA659" s="9" t="s">
        <v>528</v>
      </c>
      <c r="AB659" s="6" t="s">
        <v>2592</v>
      </c>
      <c r="AE659" s="37" t="n">
        <f aca="false">COUNTIF(環境認証!$A$2:$A$849,A659)</f>
        <v>0</v>
      </c>
      <c r="AF659" s="6" t="n">
        <v>29</v>
      </c>
      <c r="AG659" s="6" t="n">
        <v>20.4</v>
      </c>
    </row>
    <row r="660" customFormat="false" ht="15" hidden="false" customHeight="true" outlineLevel="0" collapsed="false">
      <c r="A660" s="6" t="s">
        <v>2593</v>
      </c>
      <c r="B660" s="6" t="s">
        <v>456</v>
      </c>
      <c r="C660" s="9" t="s">
        <v>2594</v>
      </c>
      <c r="D660" s="9" t="s">
        <v>959</v>
      </c>
      <c r="E660" s="9" t="s">
        <v>523</v>
      </c>
      <c r="F660" s="9" t="s">
        <v>2582</v>
      </c>
      <c r="H660" s="9" t="s">
        <v>540</v>
      </c>
      <c r="M660" s="6" t="n">
        <v>1494.91</v>
      </c>
      <c r="Q660" s="1" t="str">
        <f aca="false">IF(OR($A660="",P660=""),"",ROUND(YEARFRAC(P660,README!$C$5),1))</f>
        <v/>
      </c>
      <c r="S660" s="6" t="n">
        <v>950</v>
      </c>
      <c r="T660" s="6" t="n">
        <v>836</v>
      </c>
      <c r="U660" s="6" t="n">
        <v>1190</v>
      </c>
      <c r="V660" s="6" t="n">
        <v>354</v>
      </c>
      <c r="W660" s="6" t="n">
        <v>0.9567</v>
      </c>
      <c r="X660" s="6" t="n">
        <v>61</v>
      </c>
      <c r="Y660" s="6" t="n">
        <v>6.2</v>
      </c>
      <c r="Z660" s="6" t="s">
        <v>2416</v>
      </c>
      <c r="AA660" s="9" t="s">
        <v>528</v>
      </c>
      <c r="AB660" s="6" t="s">
        <v>2595</v>
      </c>
      <c r="AE660" s="37" t="n">
        <f aca="false">COUNTIF(環境認証!$A$2:$A$849,A660)</f>
        <v>0</v>
      </c>
      <c r="AF660" s="6" t="n">
        <v>42.3</v>
      </c>
      <c r="AG660" s="6" t="n">
        <v>25.3</v>
      </c>
    </row>
    <row r="661" customFormat="false" ht="15" hidden="false" customHeight="true" outlineLevel="0" collapsed="false">
      <c r="A661" s="6" t="s">
        <v>2596</v>
      </c>
      <c r="B661" s="6" t="s">
        <v>456</v>
      </c>
      <c r="C661" s="9" t="s">
        <v>2597</v>
      </c>
      <c r="D661" s="9" t="s">
        <v>959</v>
      </c>
      <c r="E661" s="9" t="s">
        <v>523</v>
      </c>
      <c r="F661" s="9" t="s">
        <v>609</v>
      </c>
      <c r="H661" s="9" t="s">
        <v>540</v>
      </c>
      <c r="M661" s="6" t="n">
        <v>1427.58</v>
      </c>
      <c r="Q661" s="1" t="str">
        <f aca="false">IF(OR($A661="",P661=""),"",ROUND(YEARFRAC(P661,README!$C$5),1))</f>
        <v/>
      </c>
      <c r="S661" s="6" t="n">
        <v>1100</v>
      </c>
      <c r="T661" s="6" t="n">
        <v>1045</v>
      </c>
      <c r="U661" s="6" t="n">
        <v>1540</v>
      </c>
      <c r="V661" s="6" t="n">
        <v>495</v>
      </c>
      <c r="W661" s="6" t="n">
        <v>1</v>
      </c>
      <c r="X661" s="6" t="n">
        <v>56</v>
      </c>
      <c r="Y661" s="6" t="n">
        <v>10.1</v>
      </c>
      <c r="Z661" s="6" t="s">
        <v>2416</v>
      </c>
      <c r="AA661" s="9" t="s">
        <v>528</v>
      </c>
      <c r="AB661" s="6" t="s">
        <v>2598</v>
      </c>
      <c r="AE661" s="37" t="n">
        <f aca="false">COUNTIF(環境認証!$A$2:$A$849,A661)</f>
        <v>0</v>
      </c>
      <c r="AF661" s="6" t="n">
        <v>47.4</v>
      </c>
      <c r="AG661" s="6" t="n">
        <v>40</v>
      </c>
    </row>
    <row r="662" customFormat="false" ht="15" hidden="false" customHeight="true" outlineLevel="0" collapsed="false">
      <c r="A662" s="6" t="s">
        <v>2599</v>
      </c>
      <c r="B662" s="6" t="s">
        <v>456</v>
      </c>
      <c r="C662" s="9" t="s">
        <v>2600</v>
      </c>
      <c r="D662" s="9" t="s">
        <v>959</v>
      </c>
      <c r="E662" s="9" t="s">
        <v>523</v>
      </c>
      <c r="F662" s="9" t="s">
        <v>666</v>
      </c>
      <c r="H662" s="9" t="s">
        <v>525</v>
      </c>
      <c r="M662" s="6" t="n">
        <v>5459.49</v>
      </c>
      <c r="Q662" s="1" t="str">
        <f aca="false">IF(OR($A662="",P662=""),"",ROUND(YEARFRAC(P662,README!$C$5),1))</f>
        <v/>
      </c>
      <c r="S662" s="6" t="n">
        <v>5940</v>
      </c>
      <c r="T662" s="6" t="n">
        <v>5388</v>
      </c>
      <c r="U662" s="6" t="n">
        <v>7330</v>
      </c>
      <c r="V662" s="6" t="n">
        <v>1942</v>
      </c>
      <c r="W662" s="6" t="n">
        <v>0.9516</v>
      </c>
      <c r="X662" s="6" t="n">
        <v>100</v>
      </c>
      <c r="Y662" s="6" t="n">
        <v>5.7</v>
      </c>
      <c r="Z662" s="6" t="s">
        <v>2416</v>
      </c>
      <c r="AA662" s="9" t="s">
        <v>528</v>
      </c>
      <c r="AB662" s="6" t="s">
        <v>2601</v>
      </c>
      <c r="AE662" s="37" t="n">
        <f aca="false">COUNTIF(環境認証!$A$2:$A$849,A662)</f>
        <v>1</v>
      </c>
      <c r="AF662" s="6" t="n">
        <v>36</v>
      </c>
      <c r="AG662" s="6" t="n">
        <v>23.4</v>
      </c>
    </row>
    <row r="663" customFormat="false" ht="15" hidden="false" customHeight="true" outlineLevel="0" collapsed="false">
      <c r="A663" s="6" t="s">
        <v>2602</v>
      </c>
      <c r="B663" s="6" t="s">
        <v>456</v>
      </c>
      <c r="C663" s="9" t="s">
        <v>2603</v>
      </c>
      <c r="D663" s="9" t="s">
        <v>959</v>
      </c>
      <c r="E663" s="9" t="s">
        <v>547</v>
      </c>
      <c r="F663" s="9" t="s">
        <v>701</v>
      </c>
      <c r="H663" s="9" t="s">
        <v>550</v>
      </c>
      <c r="M663" s="6" t="n">
        <v>4224.61</v>
      </c>
      <c r="Q663" s="1" t="str">
        <f aca="false">IF(OR($A663="",P663=""),"",ROUND(YEARFRAC(P663,README!$C$5),1))</f>
        <v/>
      </c>
      <c r="S663" s="6" t="n">
        <v>3350</v>
      </c>
      <c r="T663" s="6" t="n">
        <v>2894</v>
      </c>
      <c r="U663" s="6" t="n">
        <v>3250</v>
      </c>
      <c r="V663" s="6" t="n">
        <v>356</v>
      </c>
      <c r="W663" s="6" t="n">
        <v>0.9612</v>
      </c>
      <c r="X663" s="6" t="n">
        <v>109</v>
      </c>
      <c r="Y663" s="6" t="n">
        <v>13.2</v>
      </c>
      <c r="Z663" s="6" t="s">
        <v>2416</v>
      </c>
      <c r="AA663" s="9" t="s">
        <v>528</v>
      </c>
      <c r="AB663" s="6" t="s">
        <v>2604</v>
      </c>
      <c r="AE663" s="37" t="n">
        <f aca="false">COUNTIF(環境認証!$A$2:$A$849,A663)</f>
        <v>1</v>
      </c>
      <c r="AF663" s="6" t="n">
        <v>12.3</v>
      </c>
      <c r="AG663" s="6" t="n">
        <v>-3</v>
      </c>
    </row>
    <row r="664" customFormat="false" ht="15" hidden="false" customHeight="true" outlineLevel="0" collapsed="false">
      <c r="A664" s="6" t="s">
        <v>2605</v>
      </c>
      <c r="B664" s="6" t="s">
        <v>456</v>
      </c>
      <c r="C664" s="9" t="s">
        <v>2606</v>
      </c>
      <c r="D664" s="9" t="s">
        <v>959</v>
      </c>
      <c r="E664" s="9" t="s">
        <v>523</v>
      </c>
      <c r="F664" s="9" t="s">
        <v>1312</v>
      </c>
      <c r="H664" s="9" t="s">
        <v>540</v>
      </c>
      <c r="M664" s="6" t="n">
        <v>2643.97</v>
      </c>
      <c r="Q664" s="1" t="str">
        <f aca="false">IF(OR($A664="",P664=""),"",ROUND(YEARFRAC(P664,README!$C$5),1))</f>
        <v/>
      </c>
      <c r="S664" s="6" t="n">
        <v>1630</v>
      </c>
      <c r="T664" s="6" t="n">
        <v>1440</v>
      </c>
      <c r="U664" s="6" t="n">
        <v>1840</v>
      </c>
      <c r="V664" s="6" t="n">
        <v>400</v>
      </c>
      <c r="W664" s="6" t="n">
        <v>0.9131</v>
      </c>
      <c r="X664" s="6" t="n">
        <v>28</v>
      </c>
      <c r="Y664" s="6" t="n">
        <v>4.6</v>
      </c>
      <c r="Z664" s="6" t="s">
        <v>2416</v>
      </c>
      <c r="AA664" s="9" t="s">
        <v>528</v>
      </c>
      <c r="AB664" s="6" t="s">
        <v>2607</v>
      </c>
      <c r="AE664" s="37" t="n">
        <f aca="false">COUNTIF(環境認証!$A$2:$A$849,A664)</f>
        <v>0</v>
      </c>
      <c r="AF664" s="6" t="n">
        <v>27.8</v>
      </c>
      <c r="AG664" s="6" t="n">
        <v>12.9</v>
      </c>
    </row>
    <row r="665" customFormat="false" ht="15" hidden="false" customHeight="true" outlineLevel="0" collapsed="false">
      <c r="A665" s="6" t="s">
        <v>2608</v>
      </c>
      <c r="B665" s="6" t="s">
        <v>456</v>
      </c>
      <c r="C665" s="9" t="s">
        <v>2609</v>
      </c>
      <c r="D665" s="9" t="s">
        <v>959</v>
      </c>
      <c r="E665" s="9" t="s">
        <v>523</v>
      </c>
      <c r="F665" s="9" t="s">
        <v>906</v>
      </c>
      <c r="H665" s="9" t="s">
        <v>540</v>
      </c>
      <c r="M665" s="6" t="n">
        <v>1643.53</v>
      </c>
      <c r="Q665" s="1" t="str">
        <f aca="false">IF(OR($A665="",P665=""),"",ROUND(YEARFRAC(P665,README!$C$5),1))</f>
        <v/>
      </c>
      <c r="S665" s="6" t="n">
        <v>1650</v>
      </c>
      <c r="T665" s="6" t="n">
        <v>1575</v>
      </c>
      <c r="U665" s="6" t="n">
        <v>1600</v>
      </c>
      <c r="V665" s="6" t="n">
        <v>25</v>
      </c>
      <c r="W665" s="6" t="n">
        <v>0.9525</v>
      </c>
      <c r="X665" s="6" t="n">
        <v>21</v>
      </c>
      <c r="Y665" s="6" t="n">
        <v>14.6</v>
      </c>
      <c r="Z665" s="6" t="s">
        <v>2416</v>
      </c>
      <c r="AA665" s="9" t="s">
        <v>528</v>
      </c>
      <c r="AB665" s="6" t="s">
        <v>2610</v>
      </c>
      <c r="AE665" s="37" t="n">
        <f aca="false">COUNTIF(環境認証!$A$2:$A$849,A665)</f>
        <v>0</v>
      </c>
      <c r="AF665" s="6" t="n">
        <v>1.6</v>
      </c>
      <c r="AG665" s="6" t="n">
        <v>-3</v>
      </c>
    </row>
    <row r="666" customFormat="false" ht="15" hidden="false" customHeight="true" outlineLevel="0" collapsed="false">
      <c r="A666" s="6" t="s">
        <v>2611</v>
      </c>
      <c r="B666" s="6" t="s">
        <v>456</v>
      </c>
      <c r="C666" s="9" t="s">
        <v>2612</v>
      </c>
      <c r="D666" s="9" t="s">
        <v>959</v>
      </c>
      <c r="E666" s="9" t="s">
        <v>523</v>
      </c>
      <c r="F666" s="9" t="s">
        <v>543</v>
      </c>
      <c r="H666" s="9" t="s">
        <v>540</v>
      </c>
      <c r="M666" s="6" t="n">
        <v>1332.86</v>
      </c>
      <c r="Q666" s="1" t="str">
        <f aca="false">IF(OR($A666="",P666=""),"",ROUND(YEARFRAC(P666,README!$C$5),1))</f>
        <v/>
      </c>
      <c r="S666" s="6" t="n">
        <v>1050</v>
      </c>
      <c r="T666" s="6" t="n">
        <v>968</v>
      </c>
      <c r="U666" s="6" t="n">
        <v>1450</v>
      </c>
      <c r="V666" s="6" t="n">
        <v>482</v>
      </c>
      <c r="W666" s="6" t="n">
        <v>0.9835</v>
      </c>
      <c r="X666" s="6" t="n">
        <v>60</v>
      </c>
      <c r="Y666" s="6" t="n">
        <v>7.6</v>
      </c>
      <c r="Z666" s="6" t="s">
        <v>2416</v>
      </c>
      <c r="AA666" s="9" t="s">
        <v>528</v>
      </c>
      <c r="AB666" s="6" t="s">
        <v>2613</v>
      </c>
      <c r="AE666" s="37" t="n">
        <f aca="false">COUNTIF(環境認証!$A$2:$A$849,A666)</f>
        <v>0</v>
      </c>
      <c r="AF666" s="6" t="n">
        <v>49.8</v>
      </c>
      <c r="AG666" s="6" t="n">
        <v>38.1</v>
      </c>
    </row>
    <row r="667" customFormat="false" ht="15" hidden="false" customHeight="true" outlineLevel="0" collapsed="false">
      <c r="A667" s="6" t="s">
        <v>2614</v>
      </c>
      <c r="B667" s="6" t="s">
        <v>456</v>
      </c>
      <c r="C667" s="9" t="s">
        <v>2615</v>
      </c>
      <c r="D667" s="9" t="s">
        <v>959</v>
      </c>
      <c r="E667" s="9" t="s">
        <v>523</v>
      </c>
      <c r="F667" s="9" t="s">
        <v>1295</v>
      </c>
      <c r="H667" s="9" t="s">
        <v>550</v>
      </c>
      <c r="M667" s="6" t="n">
        <v>2970</v>
      </c>
      <c r="Q667" s="1" t="str">
        <f aca="false">IF(OR($A667="",P667=""),"",ROUND(YEARFRAC(P667,README!$C$5),1))</f>
        <v/>
      </c>
      <c r="S667" s="6" t="n">
        <v>911</v>
      </c>
      <c r="T667" s="6" t="n">
        <v>797</v>
      </c>
      <c r="U667" s="6" t="n">
        <v>1010</v>
      </c>
      <c r="V667" s="6" t="n">
        <v>213</v>
      </c>
      <c r="W667" s="6" t="n">
        <v>0.97</v>
      </c>
      <c r="X667" s="6" t="n">
        <v>34</v>
      </c>
      <c r="Y667" s="6" t="n">
        <v>8.6</v>
      </c>
      <c r="Z667" s="6" t="s">
        <v>2416</v>
      </c>
      <c r="AA667" s="9" t="s">
        <v>528</v>
      </c>
      <c r="AB667" s="6" t="s">
        <v>2616</v>
      </c>
      <c r="AE667" s="37" t="n">
        <f aca="false">COUNTIF(環境認証!$A$2:$A$849,A667)</f>
        <v>0</v>
      </c>
      <c r="AF667" s="6" t="n">
        <v>26.7</v>
      </c>
      <c r="AG667" s="6" t="n">
        <v>10.9</v>
      </c>
    </row>
    <row r="668" customFormat="false" ht="15" hidden="false" customHeight="true" outlineLevel="0" collapsed="false">
      <c r="A668" s="6" t="s">
        <v>2617</v>
      </c>
      <c r="B668" s="6" t="s">
        <v>456</v>
      </c>
      <c r="C668" s="9" t="s">
        <v>2618</v>
      </c>
      <c r="D668" s="9" t="s">
        <v>959</v>
      </c>
      <c r="E668" s="9" t="s">
        <v>523</v>
      </c>
      <c r="F668" s="9" t="s">
        <v>532</v>
      </c>
      <c r="H668" s="9" t="s">
        <v>525</v>
      </c>
      <c r="M668" s="6" t="n">
        <v>1089.98</v>
      </c>
      <c r="Q668" s="1" t="str">
        <f aca="false">IF(OR($A668="",P668=""),"",ROUND(YEARFRAC(P668,README!$C$5),1))</f>
        <v/>
      </c>
      <c r="S668" s="6" t="n">
        <v>730</v>
      </c>
      <c r="T668" s="6" t="n">
        <v>727</v>
      </c>
      <c r="U668" s="6" t="n">
        <v>1210</v>
      </c>
      <c r="V668" s="6" t="n">
        <v>483</v>
      </c>
      <c r="W668" s="6" t="n">
        <v>1</v>
      </c>
      <c r="X668" s="6" t="n">
        <v>28</v>
      </c>
      <c r="Y668" s="6" t="n">
        <v>3.3</v>
      </c>
      <c r="Z668" s="6" t="s">
        <v>2416</v>
      </c>
      <c r="AA668" s="9" t="s">
        <v>528</v>
      </c>
      <c r="AB668" s="6" t="s">
        <v>2619</v>
      </c>
      <c r="AE668" s="37" t="n">
        <f aca="false">COUNTIF(環境認証!$A$2:$A$849,A668)</f>
        <v>0</v>
      </c>
      <c r="AF668" s="6" t="n">
        <v>66.4</v>
      </c>
      <c r="AG668" s="6" t="n">
        <v>65.8</v>
      </c>
    </row>
    <row r="669" customFormat="false" ht="15" hidden="false" customHeight="true" outlineLevel="0" collapsed="false">
      <c r="A669" s="6" t="s">
        <v>2620</v>
      </c>
      <c r="B669" s="6" t="s">
        <v>456</v>
      </c>
      <c r="C669" s="9" t="s">
        <v>2621</v>
      </c>
      <c r="D669" s="9" t="s">
        <v>959</v>
      </c>
      <c r="E669" s="9" t="s">
        <v>523</v>
      </c>
      <c r="F669" s="9" t="s">
        <v>666</v>
      </c>
      <c r="H669" s="9" t="s">
        <v>525</v>
      </c>
      <c r="M669" s="6" t="n">
        <v>2072.39</v>
      </c>
      <c r="Q669" s="1" t="str">
        <f aca="false">IF(OR($A669="",P669=""),"",ROUND(YEARFRAC(P669,README!$C$5),1))</f>
        <v/>
      </c>
      <c r="S669" s="6" t="n">
        <v>1460</v>
      </c>
      <c r="T669" s="6" t="n">
        <v>1286</v>
      </c>
      <c r="U669" s="6" t="n">
        <v>2050</v>
      </c>
      <c r="V669" s="6" t="n">
        <v>764</v>
      </c>
      <c r="W669" s="6" t="n">
        <v>1</v>
      </c>
      <c r="X669" s="6" t="n">
        <v>74</v>
      </c>
      <c r="Y669" s="6" t="n">
        <v>6.9</v>
      </c>
      <c r="Z669" s="6" t="s">
        <v>2416</v>
      </c>
      <c r="AA669" s="9" t="s">
        <v>528</v>
      </c>
      <c r="AB669" s="6" t="s">
        <v>2622</v>
      </c>
      <c r="AE669" s="37" t="n">
        <f aca="false">COUNTIF(環境認証!$A$2:$A$849,A669)</f>
        <v>0</v>
      </c>
      <c r="AF669" s="6" t="n">
        <v>59.4</v>
      </c>
      <c r="AG669" s="6" t="n">
        <v>40.4</v>
      </c>
    </row>
    <row r="670" customFormat="false" ht="15" hidden="false" customHeight="true" outlineLevel="0" collapsed="false">
      <c r="A670" s="6" t="s">
        <v>2623</v>
      </c>
      <c r="B670" s="6" t="s">
        <v>456</v>
      </c>
      <c r="C670" s="9" t="s">
        <v>2624</v>
      </c>
      <c r="D670" s="9" t="s">
        <v>959</v>
      </c>
      <c r="E670" s="9" t="s">
        <v>523</v>
      </c>
      <c r="F670" s="9" t="s">
        <v>666</v>
      </c>
      <c r="H670" s="9" t="s">
        <v>525</v>
      </c>
      <c r="M670" s="6" t="n">
        <v>2750.56</v>
      </c>
      <c r="Q670" s="1" t="str">
        <f aca="false">IF(OR($A670="",P670=""),"",ROUND(YEARFRAC(P670,README!$C$5),1))</f>
        <v/>
      </c>
      <c r="S670" s="6" t="n">
        <v>1890</v>
      </c>
      <c r="T670" s="6" t="n">
        <v>1705</v>
      </c>
      <c r="U670" s="6" t="n">
        <v>2540</v>
      </c>
      <c r="V670" s="6" t="n">
        <v>835</v>
      </c>
      <c r="W670" s="6" t="n">
        <v>0.9208</v>
      </c>
      <c r="X670" s="6" t="n">
        <v>78</v>
      </c>
      <c r="Y670" s="6" t="n">
        <v>6</v>
      </c>
      <c r="Z670" s="6" t="s">
        <v>2416</v>
      </c>
      <c r="AA670" s="9" t="s">
        <v>528</v>
      </c>
      <c r="AB670" s="6" t="s">
        <v>2625</v>
      </c>
      <c r="AE670" s="37" t="n">
        <f aca="false">COUNTIF(環境認証!$A$2:$A$849,A670)</f>
        <v>0</v>
      </c>
      <c r="AF670" s="6" t="n">
        <v>49</v>
      </c>
      <c r="AG670" s="6" t="n">
        <v>34.4</v>
      </c>
    </row>
    <row r="671" customFormat="false" ht="15" hidden="false" customHeight="true" outlineLevel="0" collapsed="false">
      <c r="A671" s="6" t="s">
        <v>2626</v>
      </c>
      <c r="B671" s="6" t="s">
        <v>456</v>
      </c>
      <c r="C671" s="9" t="s">
        <v>2627</v>
      </c>
      <c r="D671" s="9" t="s">
        <v>959</v>
      </c>
      <c r="E671" s="9" t="s">
        <v>523</v>
      </c>
      <c r="F671" s="9" t="s">
        <v>666</v>
      </c>
      <c r="H671" s="9" t="s">
        <v>525</v>
      </c>
      <c r="M671" s="6" t="n">
        <v>1118.84</v>
      </c>
      <c r="Q671" s="1" t="str">
        <f aca="false">IF(OR($A671="",P671=""),"",ROUND(YEARFRAC(P671,README!$C$5),1))</f>
        <v/>
      </c>
      <c r="S671" s="6" t="n">
        <v>944</v>
      </c>
      <c r="T671" s="6" t="n">
        <v>790</v>
      </c>
      <c r="U671" s="6" t="n">
        <v>1390</v>
      </c>
      <c r="V671" s="6" t="n">
        <v>600</v>
      </c>
      <c r="W671" s="6" t="n">
        <v>0.9785</v>
      </c>
      <c r="X671" s="6" t="n">
        <v>44</v>
      </c>
      <c r="Y671" s="6" t="n">
        <v>3</v>
      </c>
      <c r="Z671" s="6" t="s">
        <v>2416</v>
      </c>
      <c r="AA671" s="9" t="s">
        <v>528</v>
      </c>
      <c r="AB671" s="6" t="s">
        <v>2628</v>
      </c>
      <c r="AE671" s="37" t="n">
        <f aca="false">COUNTIF(環境認証!$A$2:$A$849,A671)</f>
        <v>0</v>
      </c>
      <c r="AF671" s="6" t="n">
        <v>75.9</v>
      </c>
      <c r="AG671" s="6" t="n">
        <v>47.2</v>
      </c>
    </row>
    <row r="672" customFormat="false" ht="15" hidden="false" customHeight="true" outlineLevel="0" collapsed="false">
      <c r="A672" s="6" t="s">
        <v>2629</v>
      </c>
      <c r="B672" s="6" t="s">
        <v>456</v>
      </c>
      <c r="C672" s="9" t="s">
        <v>2630</v>
      </c>
      <c r="D672" s="9" t="s">
        <v>959</v>
      </c>
      <c r="E672" s="9" t="s">
        <v>523</v>
      </c>
      <c r="F672" s="9" t="s">
        <v>1462</v>
      </c>
      <c r="H672" s="9" t="s">
        <v>540</v>
      </c>
      <c r="M672" s="6" t="n">
        <v>8141.02</v>
      </c>
      <c r="Q672" s="1" t="str">
        <f aca="false">IF(OR($A672="",P672=""),"",ROUND(YEARFRAC(P672,README!$C$5),1))</f>
        <v/>
      </c>
      <c r="S672" s="6" t="n">
        <v>6520</v>
      </c>
      <c r="T672" s="6" t="n">
        <v>6282</v>
      </c>
      <c r="U672" s="6" t="n">
        <v>8570</v>
      </c>
      <c r="V672" s="6" t="n">
        <v>2288</v>
      </c>
      <c r="W672" s="6" t="n">
        <v>0.9672</v>
      </c>
      <c r="X672" s="6" t="n">
        <v>278</v>
      </c>
      <c r="Y672" s="6" t="n">
        <v>2.7</v>
      </c>
      <c r="Z672" s="6" t="s">
        <v>2416</v>
      </c>
      <c r="AA672" s="9" t="s">
        <v>528</v>
      </c>
      <c r="AB672" s="6" t="s">
        <v>2631</v>
      </c>
      <c r="AE672" s="37" t="n">
        <f aca="false">COUNTIF(環境認証!$A$2:$A$849,A672)</f>
        <v>1</v>
      </c>
      <c r="AF672" s="6" t="n">
        <v>36.4</v>
      </c>
      <c r="AG672" s="6" t="n">
        <v>31.4</v>
      </c>
    </row>
    <row r="673" customFormat="false" ht="15" hidden="false" customHeight="true" outlineLevel="0" collapsed="false">
      <c r="A673" s="6" t="s">
        <v>2632</v>
      </c>
      <c r="B673" s="6" t="s">
        <v>456</v>
      </c>
      <c r="C673" s="9" t="s">
        <v>2633</v>
      </c>
      <c r="D673" s="9" t="s">
        <v>959</v>
      </c>
      <c r="E673" s="9" t="s">
        <v>567</v>
      </c>
      <c r="F673" s="9" t="s">
        <v>676</v>
      </c>
      <c r="H673" s="9" t="s">
        <v>569</v>
      </c>
      <c r="M673" s="6" t="n">
        <v>1981.26</v>
      </c>
      <c r="Q673" s="1" t="str">
        <f aca="false">IF(OR($A673="",P673=""),"",ROUND(YEARFRAC(P673,README!$C$5),1))</f>
        <v/>
      </c>
      <c r="S673" s="6" t="n">
        <v>624</v>
      </c>
      <c r="T673" s="6" t="n">
        <v>466</v>
      </c>
      <c r="U673" s="6" t="n">
        <v>699</v>
      </c>
      <c r="V673" s="6" t="n">
        <v>233</v>
      </c>
      <c r="W673" s="6" t="n">
        <v>1</v>
      </c>
      <c r="X673" s="6" t="n">
        <v>72</v>
      </c>
      <c r="Y673" s="6" t="n">
        <v>16.5</v>
      </c>
      <c r="Z673" s="6" t="s">
        <v>2416</v>
      </c>
      <c r="AA673" s="9" t="s">
        <v>528</v>
      </c>
      <c r="AB673" s="6" t="s">
        <v>2634</v>
      </c>
      <c r="AE673" s="37" t="n">
        <f aca="false">COUNTIF(環境認証!$A$2:$A$849,A673)</f>
        <v>0</v>
      </c>
      <c r="AF673" s="6" t="n">
        <v>50</v>
      </c>
      <c r="AG673" s="6" t="n">
        <v>12</v>
      </c>
    </row>
    <row r="674" customFormat="false" ht="15" hidden="false" customHeight="true" outlineLevel="0" collapsed="false">
      <c r="A674" s="6" t="s">
        <v>2635</v>
      </c>
      <c r="B674" s="6" t="s">
        <v>456</v>
      </c>
      <c r="C674" s="9" t="s">
        <v>2636</v>
      </c>
      <c r="D674" s="9" t="s">
        <v>959</v>
      </c>
      <c r="E674" s="9" t="s">
        <v>596</v>
      </c>
      <c r="F674" s="9" t="s">
        <v>1160</v>
      </c>
      <c r="H674" s="6" t="s">
        <v>599</v>
      </c>
      <c r="M674" s="6" t="n">
        <v>6262.12</v>
      </c>
      <c r="Q674" s="1" t="str">
        <f aca="false">IF(OR($A674="",P674=""),"",ROUND(YEARFRAC(P674,README!$C$5),1))</f>
        <v/>
      </c>
      <c r="S674" s="6" t="n">
        <v>1780</v>
      </c>
      <c r="T674" s="6" t="n">
        <v>1432</v>
      </c>
      <c r="U674" s="6" t="n">
        <v>2400</v>
      </c>
      <c r="V674" s="6" t="n">
        <v>968</v>
      </c>
      <c r="W674" s="6" t="n">
        <v>0.9854</v>
      </c>
      <c r="X674" s="6" t="n">
        <v>197</v>
      </c>
      <c r="Y674" s="6" t="n">
        <v>3.4</v>
      </c>
      <c r="Z674" s="6" t="s">
        <v>2416</v>
      </c>
      <c r="AA674" s="9" t="s">
        <v>528</v>
      </c>
      <c r="AB674" s="6" t="s">
        <v>2637</v>
      </c>
      <c r="AE674" s="37" t="n">
        <f aca="false">COUNTIF(環境認証!$A$2:$A$849,A674)</f>
        <v>1</v>
      </c>
      <c r="AF674" s="6" t="n">
        <v>67.6</v>
      </c>
      <c r="AG674" s="6" t="n">
        <v>34.8</v>
      </c>
    </row>
    <row r="675" customFormat="false" ht="15" hidden="false" customHeight="true" outlineLevel="0" collapsed="false">
      <c r="A675" s="6" t="s">
        <v>2638</v>
      </c>
      <c r="B675" s="6" t="s">
        <v>456</v>
      </c>
      <c r="C675" s="9" t="s">
        <v>2639</v>
      </c>
      <c r="D675" s="9" t="s">
        <v>959</v>
      </c>
      <c r="E675" s="9" t="s">
        <v>1822</v>
      </c>
      <c r="F675" s="9" t="s">
        <v>1823</v>
      </c>
      <c r="H675" s="9" t="s">
        <v>569</v>
      </c>
      <c r="M675" s="6" t="n">
        <v>1155.03</v>
      </c>
      <c r="Q675" s="1" t="str">
        <f aca="false">IF(OR($A675="",P675=""),"",ROUND(YEARFRAC(P675,README!$C$5),1))</f>
        <v/>
      </c>
      <c r="S675" s="6" t="n">
        <v>534</v>
      </c>
      <c r="T675" s="6" t="n">
        <v>462</v>
      </c>
      <c r="U675" s="6" t="n">
        <v>655</v>
      </c>
      <c r="V675" s="6" t="n">
        <v>193</v>
      </c>
      <c r="W675" s="6" t="n">
        <v>0.9583</v>
      </c>
      <c r="X675" s="6" t="n">
        <v>48</v>
      </c>
      <c r="Y675" s="6" t="n">
        <v>6.5</v>
      </c>
      <c r="Z675" s="6" t="s">
        <v>2416</v>
      </c>
      <c r="AA675" s="9" t="s">
        <v>528</v>
      </c>
      <c r="AB675" s="6" t="s">
        <v>2640</v>
      </c>
      <c r="AE675" s="37" t="n">
        <f aca="false">COUNTIF(環境認証!$A$2:$A$849,A675)</f>
        <v>0</v>
      </c>
      <c r="AF675" s="6" t="n">
        <v>41.8</v>
      </c>
      <c r="AG675" s="6" t="n">
        <v>22.7</v>
      </c>
    </row>
    <row r="676" customFormat="false" ht="15" hidden="false" customHeight="true" outlineLevel="0" collapsed="false">
      <c r="A676" s="6" t="s">
        <v>2641</v>
      </c>
      <c r="B676" s="6" t="s">
        <v>456</v>
      </c>
      <c r="C676" s="9" t="s">
        <v>2642</v>
      </c>
      <c r="D676" s="9" t="s">
        <v>959</v>
      </c>
      <c r="E676" s="9" t="s">
        <v>1822</v>
      </c>
      <c r="F676" s="9" t="s">
        <v>1823</v>
      </c>
      <c r="H676" s="9" t="s">
        <v>569</v>
      </c>
      <c r="M676" s="6" t="n">
        <v>4045.94</v>
      </c>
      <c r="Q676" s="1" t="str">
        <f aca="false">IF(OR($A676="",P676=""),"",ROUND(YEARFRAC(P676,README!$C$5),1))</f>
        <v/>
      </c>
      <c r="S676" s="6" t="n">
        <v>1820</v>
      </c>
      <c r="T676" s="6" t="n">
        <v>1621</v>
      </c>
      <c r="U676" s="6" t="n">
        <v>2730</v>
      </c>
      <c r="V676" s="6" t="n">
        <v>1109</v>
      </c>
      <c r="W676" s="6" t="n">
        <v>0.9266</v>
      </c>
      <c r="X676" s="6" t="n">
        <v>123</v>
      </c>
      <c r="Y676" s="6" t="n">
        <v>5.5</v>
      </c>
      <c r="Z676" s="6" t="s">
        <v>2416</v>
      </c>
      <c r="AA676" s="9" t="s">
        <v>528</v>
      </c>
      <c r="AB676" s="6" t="s">
        <v>2643</v>
      </c>
      <c r="AE676" s="37" t="n">
        <f aca="false">COUNTIF(環境認証!$A$2:$A$849,A676)</f>
        <v>1</v>
      </c>
      <c r="AF676" s="6" t="n">
        <v>68.4</v>
      </c>
      <c r="AG676" s="6" t="n">
        <v>50</v>
      </c>
    </row>
    <row r="677" customFormat="false" ht="15" hidden="false" customHeight="true" outlineLevel="0" collapsed="false">
      <c r="A677" s="6" t="s">
        <v>2644</v>
      </c>
      <c r="B677" s="6" t="s">
        <v>456</v>
      </c>
      <c r="C677" s="9" t="s">
        <v>2645</v>
      </c>
      <c r="D677" s="9" t="s">
        <v>959</v>
      </c>
      <c r="E677" s="9" t="s">
        <v>523</v>
      </c>
      <c r="F677" s="9" t="s">
        <v>934</v>
      </c>
      <c r="H677" s="9" t="s">
        <v>540</v>
      </c>
      <c r="M677" s="6" t="n">
        <v>1109.97</v>
      </c>
      <c r="Q677" s="1" t="str">
        <f aca="false">IF(OR($A677="",P677=""),"",ROUND(YEARFRAC(P677,README!$C$5),1))</f>
        <v/>
      </c>
      <c r="S677" s="6" t="n">
        <v>820</v>
      </c>
      <c r="T677" s="6" t="n">
        <v>744</v>
      </c>
      <c r="U677" s="6" t="n">
        <v>1070</v>
      </c>
      <c r="V677" s="6" t="n">
        <v>326</v>
      </c>
      <c r="W677" s="6" t="n">
        <v>0.9633</v>
      </c>
      <c r="X677" s="6" t="n">
        <v>49</v>
      </c>
      <c r="Y677" s="6" t="n">
        <v>4.4</v>
      </c>
      <c r="Z677" s="6" t="s">
        <v>2416</v>
      </c>
      <c r="AA677" s="9" t="s">
        <v>528</v>
      </c>
      <c r="AB677" s="6" t="s">
        <v>2646</v>
      </c>
      <c r="AE677" s="37" t="n">
        <f aca="false">COUNTIF(環境認証!$A$2:$A$849,A677)</f>
        <v>0</v>
      </c>
      <c r="AF677" s="6" t="n">
        <v>43.8</v>
      </c>
      <c r="AG677" s="6" t="n">
        <v>30.5</v>
      </c>
    </row>
    <row r="678" customFormat="false" ht="15" hidden="false" customHeight="true" outlineLevel="0" collapsed="false">
      <c r="A678" s="6" t="s">
        <v>2647</v>
      </c>
      <c r="B678" s="6" t="s">
        <v>456</v>
      </c>
      <c r="C678" s="9" t="s">
        <v>2648</v>
      </c>
      <c r="D678" s="9" t="s">
        <v>959</v>
      </c>
      <c r="E678" s="9" t="s">
        <v>523</v>
      </c>
      <c r="F678" s="9" t="s">
        <v>934</v>
      </c>
      <c r="H678" s="9" t="s">
        <v>540</v>
      </c>
      <c r="M678" s="6" t="n">
        <v>1340.12</v>
      </c>
      <c r="Q678" s="1" t="str">
        <f aca="false">IF(OR($A678="",P678=""),"",ROUND(YEARFRAC(P678,README!$C$5),1))</f>
        <v/>
      </c>
      <c r="S678" s="6" t="n">
        <v>870</v>
      </c>
      <c r="T678" s="6" t="n">
        <v>775</v>
      </c>
      <c r="U678" s="6" t="n">
        <v>1200</v>
      </c>
      <c r="V678" s="6" t="n">
        <v>425</v>
      </c>
      <c r="W678" s="6" t="n">
        <v>1</v>
      </c>
      <c r="X678" s="6" t="n">
        <v>49</v>
      </c>
      <c r="Y678" s="6" t="n">
        <v>9.2</v>
      </c>
      <c r="Z678" s="6" t="s">
        <v>2416</v>
      </c>
      <c r="AA678" s="9" t="s">
        <v>528</v>
      </c>
      <c r="AB678" s="6" t="s">
        <v>2649</v>
      </c>
      <c r="AE678" s="37" t="n">
        <f aca="false">COUNTIF(環境認証!$A$2:$A$849,A678)</f>
        <v>0</v>
      </c>
      <c r="AF678" s="6" t="n">
        <v>54.8</v>
      </c>
      <c r="AG678" s="6" t="n">
        <v>37.9</v>
      </c>
    </row>
    <row r="679" customFormat="false" ht="15" hidden="false" customHeight="true" outlineLevel="0" collapsed="false">
      <c r="A679" s="6" t="s">
        <v>2650</v>
      </c>
      <c r="B679" s="6" t="s">
        <v>456</v>
      </c>
      <c r="C679" s="9" t="s">
        <v>2651</v>
      </c>
      <c r="D679" s="9" t="s">
        <v>959</v>
      </c>
      <c r="E679" s="9" t="s">
        <v>523</v>
      </c>
      <c r="F679" s="9" t="s">
        <v>1462</v>
      </c>
      <c r="H679" s="9" t="s">
        <v>540</v>
      </c>
      <c r="M679" s="6" t="n">
        <v>901.88</v>
      </c>
      <c r="Q679" s="1" t="str">
        <f aca="false">IF(OR($A679="",P679=""),"",ROUND(YEARFRAC(P679,README!$C$5),1))</f>
        <v/>
      </c>
      <c r="S679" s="6" t="n">
        <v>615</v>
      </c>
      <c r="T679" s="6" t="n">
        <v>576</v>
      </c>
      <c r="U679" s="6" t="n">
        <v>806</v>
      </c>
      <c r="V679" s="6" t="n">
        <v>230</v>
      </c>
      <c r="W679" s="6" t="n">
        <v>0.9445</v>
      </c>
      <c r="X679" s="6" t="n">
        <v>34</v>
      </c>
      <c r="Y679" s="6" t="n">
        <v>4.3</v>
      </c>
      <c r="Z679" s="6" t="s">
        <v>2416</v>
      </c>
      <c r="AA679" s="9" t="s">
        <v>528</v>
      </c>
      <c r="AB679" s="6" t="s">
        <v>2652</v>
      </c>
      <c r="AE679" s="37" t="n">
        <f aca="false">COUNTIF(環境認証!$A$2:$A$849,A679)</f>
        <v>0</v>
      </c>
      <c r="AF679" s="6" t="n">
        <v>39.9</v>
      </c>
      <c r="AG679" s="6" t="n">
        <v>31.1</v>
      </c>
    </row>
    <row r="680" customFormat="false" ht="15" hidden="false" customHeight="true" outlineLevel="0" collapsed="false">
      <c r="A680" s="6" t="s">
        <v>2653</v>
      </c>
      <c r="B680" s="6" t="s">
        <v>456</v>
      </c>
      <c r="C680" s="9" t="s">
        <v>2654</v>
      </c>
      <c r="D680" s="9" t="s">
        <v>959</v>
      </c>
      <c r="E680" s="9" t="s">
        <v>523</v>
      </c>
      <c r="F680" s="9" t="s">
        <v>625</v>
      </c>
      <c r="H680" s="9" t="s">
        <v>540</v>
      </c>
      <c r="M680" s="6" t="n">
        <v>1121.88</v>
      </c>
      <c r="Q680" s="1" t="str">
        <f aca="false">IF(OR($A680="",P680=""),"",ROUND(YEARFRAC(P680,README!$C$5),1))</f>
        <v/>
      </c>
      <c r="S680" s="6" t="n">
        <v>842</v>
      </c>
      <c r="T680" s="6" t="n">
        <v>786</v>
      </c>
      <c r="U680" s="6" t="n">
        <v>1300</v>
      </c>
      <c r="V680" s="6" t="n">
        <v>514</v>
      </c>
      <c r="W680" s="6" t="n">
        <v>0.964</v>
      </c>
      <c r="X680" s="6" t="n">
        <v>50</v>
      </c>
      <c r="Y680" s="6" t="n">
        <v>6.3</v>
      </c>
      <c r="Z680" s="6" t="s">
        <v>2416</v>
      </c>
      <c r="AA680" s="9" t="s">
        <v>528</v>
      </c>
      <c r="AB680" s="6" t="s">
        <v>2655</v>
      </c>
      <c r="AE680" s="37" t="n">
        <f aca="false">COUNTIF(環境認証!$A$2:$A$849,A680)</f>
        <v>0</v>
      </c>
      <c r="AF680" s="6" t="n">
        <v>65.4</v>
      </c>
      <c r="AG680" s="6" t="n">
        <v>54.4</v>
      </c>
    </row>
    <row r="681" customFormat="false" ht="15" hidden="false" customHeight="true" outlineLevel="0" collapsed="false">
      <c r="A681" s="6" t="s">
        <v>2656</v>
      </c>
      <c r="B681" s="6" t="s">
        <v>456</v>
      </c>
      <c r="C681" s="9" t="s">
        <v>2657</v>
      </c>
      <c r="D681" s="9" t="s">
        <v>959</v>
      </c>
      <c r="E681" s="9" t="s">
        <v>523</v>
      </c>
      <c r="F681" s="9" t="s">
        <v>2658</v>
      </c>
      <c r="H681" s="9" t="s">
        <v>550</v>
      </c>
      <c r="M681" s="6" t="n">
        <v>1222.45</v>
      </c>
      <c r="Q681" s="1" t="str">
        <f aca="false">IF(OR($A681="",P681=""),"",ROUND(YEARFRAC(P681,README!$C$5),1))</f>
        <v/>
      </c>
      <c r="S681" s="6" t="n">
        <v>839</v>
      </c>
      <c r="T681" s="6" t="n">
        <v>792</v>
      </c>
      <c r="U681" s="6" t="n">
        <v>1220</v>
      </c>
      <c r="V681" s="6" t="n">
        <v>428</v>
      </c>
      <c r="W681" s="6" t="n">
        <v>0.9806</v>
      </c>
      <c r="X681" s="6" t="n">
        <v>46</v>
      </c>
      <c r="Y681" s="6" t="n">
        <v>6.3</v>
      </c>
      <c r="Z681" s="6" t="s">
        <v>2416</v>
      </c>
      <c r="AA681" s="9" t="s">
        <v>528</v>
      </c>
      <c r="AB681" s="6" t="s">
        <v>2659</v>
      </c>
      <c r="AE681" s="37" t="n">
        <f aca="false">COUNTIF(環境認証!$A$2:$A$849,A681)</f>
        <v>0</v>
      </c>
      <c r="AF681" s="6" t="n">
        <v>54</v>
      </c>
      <c r="AG681" s="6" t="n">
        <v>45.4</v>
      </c>
    </row>
    <row r="682" customFormat="false" ht="15" hidden="false" customHeight="true" outlineLevel="0" collapsed="false">
      <c r="A682" s="6" t="s">
        <v>2660</v>
      </c>
      <c r="B682" s="6" t="s">
        <v>456</v>
      </c>
      <c r="C682" s="9" t="s">
        <v>2661</v>
      </c>
      <c r="D682" s="9" t="s">
        <v>959</v>
      </c>
      <c r="E682" s="9" t="s">
        <v>567</v>
      </c>
      <c r="F682" s="9" t="s">
        <v>676</v>
      </c>
      <c r="H682" s="9" t="s">
        <v>569</v>
      </c>
      <c r="M682" s="6" t="n">
        <v>2757.33</v>
      </c>
      <c r="Q682" s="1" t="str">
        <f aca="false">IF(OR($A682="",P682=""),"",ROUND(YEARFRAC(P682,README!$C$5),1))</f>
        <v/>
      </c>
      <c r="S682" s="6" t="n">
        <v>1080</v>
      </c>
      <c r="T682" s="6" t="n">
        <v>997</v>
      </c>
      <c r="U682" s="6" t="n">
        <v>1290</v>
      </c>
      <c r="V682" s="6" t="n">
        <v>293</v>
      </c>
      <c r="W682" s="6" t="n">
        <v>0.9608</v>
      </c>
      <c r="X682" s="6" t="n">
        <v>94</v>
      </c>
      <c r="Y682" s="6" t="n">
        <v>9.3</v>
      </c>
      <c r="Z682" s="6" t="s">
        <v>2416</v>
      </c>
      <c r="AA682" s="9" t="s">
        <v>528</v>
      </c>
      <c r="AB682" s="6" t="s">
        <v>2662</v>
      </c>
      <c r="AE682" s="37" t="n">
        <f aca="false">COUNTIF(環境認証!$A$2:$A$849,A682)</f>
        <v>0</v>
      </c>
      <c r="AF682" s="6" t="n">
        <v>29.4</v>
      </c>
      <c r="AG682" s="6" t="n">
        <v>19.4</v>
      </c>
    </row>
    <row r="683" customFormat="false" ht="15" hidden="false" customHeight="true" outlineLevel="0" collapsed="false">
      <c r="A683" s="6" t="s">
        <v>2663</v>
      </c>
      <c r="B683" s="6" t="s">
        <v>456</v>
      </c>
      <c r="C683" s="9" t="s">
        <v>2664</v>
      </c>
      <c r="D683" s="9" t="s">
        <v>959</v>
      </c>
      <c r="E683" s="9" t="s">
        <v>1822</v>
      </c>
      <c r="F683" s="9" t="s">
        <v>1823</v>
      </c>
      <c r="H683" s="9" t="s">
        <v>569</v>
      </c>
      <c r="M683" s="6" t="n">
        <v>1297.62</v>
      </c>
      <c r="Q683" s="1" t="str">
        <f aca="false">IF(OR($A683="",P683=""),"",ROUND(YEARFRAC(P683,README!$C$5),1))</f>
        <v/>
      </c>
      <c r="S683" s="6" t="n">
        <v>572</v>
      </c>
      <c r="T683" s="6" t="n">
        <v>498</v>
      </c>
      <c r="U683" s="6" t="n">
        <v>777</v>
      </c>
      <c r="V683" s="6" t="n">
        <v>279</v>
      </c>
      <c r="W683" s="6" t="n">
        <v>0.9515</v>
      </c>
      <c r="X683" s="6" t="n">
        <v>39</v>
      </c>
      <c r="Y683" s="6" t="n">
        <v>9.9</v>
      </c>
      <c r="Z683" s="6" t="s">
        <v>2416</v>
      </c>
      <c r="AA683" s="9" t="s">
        <v>528</v>
      </c>
      <c r="AB683" s="6" t="s">
        <v>2665</v>
      </c>
      <c r="AE683" s="37" t="n">
        <f aca="false">COUNTIF(環境認証!$A$2:$A$849,A683)</f>
        <v>0</v>
      </c>
      <c r="AF683" s="6" t="n">
        <v>56</v>
      </c>
      <c r="AG683" s="6" t="n">
        <v>35.8</v>
      </c>
    </row>
    <row r="684" customFormat="false" ht="15" hidden="false" customHeight="true" outlineLevel="0" collapsed="false">
      <c r="A684" s="6" t="s">
        <v>2666</v>
      </c>
      <c r="B684" s="6" t="s">
        <v>456</v>
      </c>
      <c r="C684" s="9" t="s">
        <v>2667</v>
      </c>
      <c r="D684" s="9" t="s">
        <v>959</v>
      </c>
      <c r="H684" s="9" t="s">
        <v>611</v>
      </c>
      <c r="Q684" s="1" t="str">
        <f aca="false">IF(OR($A684="",P684=""),"",ROUND(YEARFRAC(P684,README!$C$5),1))</f>
        <v/>
      </c>
      <c r="V684" s="1" t="str">
        <f aca="false">IF($A684="","",IF(OR(T684="",U684=""),"",U684-T684))</f>
        <v/>
      </c>
      <c r="Z684" s="6" t="s">
        <v>2416</v>
      </c>
      <c r="AA684" s="9" t="s">
        <v>528</v>
      </c>
      <c r="AB684" s="6" t="s">
        <v>2668</v>
      </c>
      <c r="AE684" s="37" t="n">
        <f aca="false">COUNTIF(環境認証!$A$2:$A$849,A684)</f>
        <v>0</v>
      </c>
    </row>
    <row r="685" customFormat="false" ht="15" hidden="false" customHeight="true" outlineLevel="0" collapsed="false">
      <c r="A685" s="6" t="s">
        <v>2669</v>
      </c>
      <c r="B685" s="6" t="s">
        <v>456</v>
      </c>
      <c r="C685" s="9" t="s">
        <v>2670</v>
      </c>
      <c r="D685" s="9" t="s">
        <v>959</v>
      </c>
      <c r="H685" s="9" t="s">
        <v>611</v>
      </c>
      <c r="Q685" s="1" t="str">
        <f aca="false">IF(OR($A685="",P685=""),"",ROUND(YEARFRAC(P685,README!$C$5),1))</f>
        <v/>
      </c>
      <c r="V685" s="1" t="str">
        <f aca="false">IF($A685="","",IF(OR(T685="",U685=""),"",U685-T685))</f>
        <v/>
      </c>
      <c r="Z685" s="6" t="s">
        <v>2416</v>
      </c>
      <c r="AA685" s="9" t="s">
        <v>528</v>
      </c>
      <c r="AB685" s="6" t="s">
        <v>2671</v>
      </c>
      <c r="AE685" s="37" t="n">
        <f aca="false">COUNTIF(環境認証!$A$2:$A$849,A685)</f>
        <v>0</v>
      </c>
    </row>
    <row r="686" customFormat="false" ht="15" hidden="false" customHeight="true" outlineLevel="0" collapsed="false">
      <c r="A686" s="6" t="s">
        <v>2672</v>
      </c>
      <c r="B686" s="6" t="s">
        <v>456</v>
      </c>
      <c r="C686" s="9" t="s">
        <v>2673</v>
      </c>
      <c r="D686" s="9" t="s">
        <v>959</v>
      </c>
      <c r="E686" s="9" t="s">
        <v>724</v>
      </c>
      <c r="F686" s="9" t="s">
        <v>725</v>
      </c>
      <c r="H686" s="6" t="s">
        <v>599</v>
      </c>
      <c r="M686" s="6" t="n">
        <v>2234.2</v>
      </c>
      <c r="Q686" s="1" t="str">
        <f aca="false">IF(OR($A686="",P686=""),"",ROUND(YEARFRAC(P686,README!$C$5),1))</f>
        <v/>
      </c>
      <c r="S686" s="6" t="n">
        <v>809</v>
      </c>
      <c r="T686" s="6" t="n">
        <v>722</v>
      </c>
      <c r="U686" s="6" t="n">
        <v>1100</v>
      </c>
      <c r="V686" s="6" t="n">
        <v>378</v>
      </c>
      <c r="W686" s="6" t="n">
        <v>0.9668</v>
      </c>
      <c r="X686" s="6" t="n">
        <v>87</v>
      </c>
      <c r="Y686" s="6" t="n">
        <v>1</v>
      </c>
      <c r="Z686" s="6" t="s">
        <v>2416</v>
      </c>
      <c r="AA686" s="9" t="s">
        <v>528</v>
      </c>
      <c r="AB686" s="6" t="s">
        <v>2674</v>
      </c>
      <c r="AE686" s="37" t="n">
        <f aca="false">COUNTIF(環境認証!$A$2:$A$849,A686)</f>
        <v>0</v>
      </c>
      <c r="AF686" s="6" t="n">
        <v>52.4</v>
      </c>
      <c r="AG686" s="6" t="n">
        <v>36</v>
      </c>
    </row>
    <row r="687" customFormat="false" ht="15" hidden="false" customHeight="true" outlineLevel="0" collapsed="false">
      <c r="A687" s="6" t="s">
        <v>2675</v>
      </c>
      <c r="B687" s="6" t="s">
        <v>456</v>
      </c>
      <c r="C687" s="9" t="s">
        <v>2676</v>
      </c>
      <c r="D687" s="9" t="s">
        <v>959</v>
      </c>
      <c r="E687" s="9" t="s">
        <v>724</v>
      </c>
      <c r="F687" s="9" t="s">
        <v>725</v>
      </c>
      <c r="H687" s="6" t="s">
        <v>599</v>
      </c>
      <c r="M687" s="6" t="n">
        <v>1964.87</v>
      </c>
      <c r="Q687" s="1" t="str">
        <f aca="false">IF(OR($A687="",P687=""),"",ROUND(YEARFRAC(P687,README!$C$5),1))</f>
        <v/>
      </c>
      <c r="S687" s="6" t="n">
        <v>684</v>
      </c>
      <c r="T687" s="6" t="n">
        <v>588</v>
      </c>
      <c r="U687" s="6" t="n">
        <v>874</v>
      </c>
      <c r="V687" s="6" t="n">
        <v>286</v>
      </c>
      <c r="W687" s="6" t="n">
        <v>0.9252</v>
      </c>
      <c r="X687" s="6" t="n">
        <v>73</v>
      </c>
      <c r="Y687" s="6" t="n">
        <v>1</v>
      </c>
      <c r="Z687" s="6" t="s">
        <v>2416</v>
      </c>
      <c r="AA687" s="9" t="s">
        <v>528</v>
      </c>
      <c r="AB687" s="6" t="s">
        <v>2677</v>
      </c>
      <c r="AE687" s="37" t="n">
        <f aca="false">COUNTIF(環境認証!$A$2:$A$849,A687)</f>
        <v>0</v>
      </c>
      <c r="AF687" s="6" t="n">
        <v>48.6</v>
      </c>
      <c r="AG687" s="6" t="n">
        <v>27.8</v>
      </c>
    </row>
    <row r="688" customFormat="false" ht="15" hidden="false" customHeight="true" outlineLevel="0" collapsed="false">
      <c r="A688" s="6" t="s">
        <v>2678</v>
      </c>
      <c r="B688" s="6" t="s">
        <v>456</v>
      </c>
      <c r="C688" s="9" t="s">
        <v>2679</v>
      </c>
      <c r="D688" s="9" t="s">
        <v>959</v>
      </c>
      <c r="E688" s="9" t="s">
        <v>523</v>
      </c>
      <c r="F688" s="9" t="s">
        <v>539</v>
      </c>
      <c r="H688" s="9" t="s">
        <v>540</v>
      </c>
      <c r="M688" s="6" t="n">
        <v>1209.78</v>
      </c>
      <c r="Q688" s="1" t="str">
        <f aca="false">IF(OR($A688="",P688=""),"",ROUND(YEARFRAC(P688,README!$C$5),1))</f>
        <v/>
      </c>
      <c r="S688" s="6" t="n">
        <v>771</v>
      </c>
      <c r="T688" s="6" t="n">
        <v>717</v>
      </c>
      <c r="U688" s="6" t="n">
        <v>1180</v>
      </c>
      <c r="V688" s="6" t="n">
        <v>463</v>
      </c>
      <c r="W688" s="6" t="n">
        <v>1</v>
      </c>
      <c r="X688" s="6" t="n">
        <v>39</v>
      </c>
      <c r="Y688" s="6" t="n">
        <v>6.3</v>
      </c>
      <c r="Z688" s="6" t="s">
        <v>2416</v>
      </c>
      <c r="AA688" s="9" t="s">
        <v>528</v>
      </c>
      <c r="AB688" s="6" t="s">
        <v>2680</v>
      </c>
      <c r="AE688" s="37" t="n">
        <f aca="false">COUNTIF(環境認証!$A$2:$A$849,A688)</f>
        <v>0</v>
      </c>
      <c r="AF688" s="6" t="n">
        <v>64.6</v>
      </c>
      <c r="AG688" s="6" t="n">
        <v>53</v>
      </c>
    </row>
    <row r="689" customFormat="false" ht="15" hidden="false" customHeight="true" outlineLevel="0" collapsed="false">
      <c r="A689" s="6" t="s">
        <v>2681</v>
      </c>
      <c r="B689" s="6" t="s">
        <v>456</v>
      </c>
      <c r="C689" s="9" t="s">
        <v>2682</v>
      </c>
      <c r="D689" s="9" t="s">
        <v>959</v>
      </c>
      <c r="E689" s="9" t="s">
        <v>724</v>
      </c>
      <c r="F689" s="9" t="s">
        <v>725</v>
      </c>
      <c r="H689" s="6" t="s">
        <v>599</v>
      </c>
      <c r="M689" s="6" t="n">
        <v>2106.38</v>
      </c>
      <c r="Q689" s="1" t="str">
        <f aca="false">IF(OR($A689="",P689=""),"",ROUND(YEARFRAC(P689,README!$C$5),1))</f>
        <v/>
      </c>
      <c r="S689" s="6" t="n">
        <v>834</v>
      </c>
      <c r="T689" s="6" t="n">
        <v>715</v>
      </c>
      <c r="U689" s="6" t="n">
        <v>1180</v>
      </c>
      <c r="V689" s="6" t="n">
        <v>465</v>
      </c>
      <c r="W689" s="6" t="n">
        <v>0.9465</v>
      </c>
      <c r="X689" s="6" t="n">
        <v>74</v>
      </c>
      <c r="Y689" s="6" t="n">
        <v>1.1</v>
      </c>
      <c r="Z689" s="6" t="s">
        <v>2416</v>
      </c>
      <c r="AA689" s="9" t="s">
        <v>528</v>
      </c>
      <c r="AB689" s="6" t="s">
        <v>2683</v>
      </c>
      <c r="AE689" s="37" t="n">
        <f aca="false">COUNTIF(環境認証!$A$2:$A$849,A689)</f>
        <v>0</v>
      </c>
      <c r="AF689" s="6" t="n">
        <v>65</v>
      </c>
      <c r="AG689" s="6" t="n">
        <v>41.5</v>
      </c>
    </row>
    <row r="690" customFormat="false" ht="15" hidden="false" customHeight="true" outlineLevel="0" collapsed="false">
      <c r="A690" s="6" t="s">
        <v>2684</v>
      </c>
      <c r="B690" s="6" t="s">
        <v>456</v>
      </c>
      <c r="C690" s="9" t="s">
        <v>2685</v>
      </c>
      <c r="D690" s="9" t="s">
        <v>959</v>
      </c>
      <c r="E690" s="9" t="s">
        <v>523</v>
      </c>
      <c r="F690" s="9" t="s">
        <v>916</v>
      </c>
      <c r="H690" s="9" t="s">
        <v>540</v>
      </c>
      <c r="M690" s="6" t="n">
        <v>1341.66</v>
      </c>
      <c r="Q690" s="1" t="str">
        <f aca="false">IF(OR($A690="",P690=""),"",ROUND(YEARFRAC(P690,README!$C$5),1))</f>
        <v/>
      </c>
      <c r="S690" s="6" t="n">
        <v>942</v>
      </c>
      <c r="T690" s="6" t="n">
        <v>890</v>
      </c>
      <c r="U690" s="6" t="n">
        <v>1300</v>
      </c>
      <c r="V690" s="6" t="n">
        <v>410</v>
      </c>
      <c r="W690" s="6" t="n">
        <v>0.9233</v>
      </c>
      <c r="X690" s="6" t="n">
        <v>46</v>
      </c>
      <c r="Y690" s="6" t="n">
        <v>3</v>
      </c>
      <c r="Z690" s="6" t="s">
        <v>2416</v>
      </c>
      <c r="AA690" s="9" t="s">
        <v>528</v>
      </c>
      <c r="AB690" s="6" t="s">
        <v>2686</v>
      </c>
      <c r="AE690" s="37" t="n">
        <f aca="false">COUNTIF(環境認証!$A$2:$A$849,A690)</f>
        <v>0</v>
      </c>
      <c r="AF690" s="6" t="n">
        <v>46.1</v>
      </c>
      <c r="AG690" s="6" t="n">
        <v>38</v>
      </c>
    </row>
    <row r="691" customFormat="false" ht="15" hidden="false" customHeight="true" outlineLevel="0" collapsed="false">
      <c r="A691" s="6" t="s">
        <v>2687</v>
      </c>
      <c r="B691" s="6" t="s">
        <v>456</v>
      </c>
      <c r="C691" s="9" t="s">
        <v>2688</v>
      </c>
      <c r="D691" s="9" t="s">
        <v>959</v>
      </c>
      <c r="E691" s="9" t="s">
        <v>523</v>
      </c>
      <c r="F691" s="9" t="s">
        <v>806</v>
      </c>
      <c r="H691" s="9" t="s">
        <v>525</v>
      </c>
      <c r="M691" s="6" t="n">
        <v>2964.81</v>
      </c>
      <c r="Q691" s="1" t="str">
        <f aca="false">IF(OR($A691="",P691=""),"",ROUND(YEARFRAC(P691,README!$C$5),1))</f>
        <v/>
      </c>
      <c r="S691" s="6" t="n">
        <v>2090</v>
      </c>
      <c r="T691" s="6" t="n">
        <v>1964</v>
      </c>
      <c r="U691" s="6" t="n">
        <v>3020</v>
      </c>
      <c r="V691" s="6" t="n">
        <v>1056</v>
      </c>
      <c r="W691" s="6" t="n">
        <v>0.9857</v>
      </c>
      <c r="X691" s="6" t="n">
        <v>119</v>
      </c>
      <c r="Y691" s="6" t="n">
        <v>4</v>
      </c>
      <c r="Z691" s="6" t="s">
        <v>2416</v>
      </c>
      <c r="AA691" s="9" t="s">
        <v>528</v>
      </c>
      <c r="AB691" s="6" t="s">
        <v>2689</v>
      </c>
      <c r="AE691" s="37" t="n">
        <f aca="false">COUNTIF(環境認証!$A$2:$A$849,A691)</f>
        <v>1</v>
      </c>
      <c r="AF691" s="6" t="n">
        <v>53.8</v>
      </c>
      <c r="AG691" s="6" t="n">
        <v>44.5</v>
      </c>
    </row>
    <row r="692" customFormat="false" ht="15" hidden="false" customHeight="true" outlineLevel="0" collapsed="false">
      <c r="A692" s="6" t="s">
        <v>2690</v>
      </c>
      <c r="B692" s="6" t="s">
        <v>456</v>
      </c>
      <c r="C692" s="9" t="s">
        <v>2691</v>
      </c>
      <c r="D692" s="9" t="s">
        <v>959</v>
      </c>
      <c r="E692" s="9" t="s">
        <v>523</v>
      </c>
      <c r="F692" s="9" t="s">
        <v>806</v>
      </c>
      <c r="H692" s="9" t="s">
        <v>525</v>
      </c>
      <c r="M692" s="6" t="n">
        <v>1223.79</v>
      </c>
      <c r="Q692" s="1" t="str">
        <f aca="false">IF(OR($A692="",P692=""),"",ROUND(YEARFRAC(P692,README!$C$5),1))</f>
        <v/>
      </c>
      <c r="S692" s="6" t="n">
        <v>872</v>
      </c>
      <c r="T692" s="6" t="n">
        <v>834</v>
      </c>
      <c r="U692" s="6" t="n">
        <v>1190</v>
      </c>
      <c r="V692" s="6" t="n">
        <v>356</v>
      </c>
      <c r="W692" s="6" t="n">
        <v>1</v>
      </c>
      <c r="X692" s="6" t="n">
        <v>51</v>
      </c>
      <c r="Y692" s="6" t="n">
        <v>3.6</v>
      </c>
      <c r="Z692" s="6" t="s">
        <v>2416</v>
      </c>
      <c r="AA692" s="9" t="s">
        <v>528</v>
      </c>
      <c r="AB692" s="6" t="s">
        <v>2692</v>
      </c>
      <c r="AE692" s="37" t="n">
        <f aca="false">COUNTIF(環境認証!$A$2:$A$849,A692)</f>
        <v>0</v>
      </c>
      <c r="AF692" s="6" t="n">
        <v>42.7</v>
      </c>
      <c r="AG692" s="6" t="n">
        <v>36.5</v>
      </c>
    </row>
    <row r="693" customFormat="false" ht="15" hidden="false" customHeight="true" outlineLevel="0" collapsed="false">
      <c r="A693" s="6" t="s">
        <v>2693</v>
      </c>
      <c r="B693" s="6" t="s">
        <v>456</v>
      </c>
      <c r="C693" s="9" t="s">
        <v>2694</v>
      </c>
      <c r="D693" s="9" t="s">
        <v>959</v>
      </c>
      <c r="E693" s="9" t="s">
        <v>523</v>
      </c>
      <c r="F693" s="9" t="s">
        <v>806</v>
      </c>
      <c r="H693" s="9" t="s">
        <v>525</v>
      </c>
      <c r="M693" s="6" t="n">
        <v>1607.43</v>
      </c>
      <c r="Q693" s="1" t="str">
        <f aca="false">IF(OR($A693="",P693=""),"",ROUND(YEARFRAC(P693,README!$C$5),1))</f>
        <v/>
      </c>
      <c r="S693" s="6" t="n">
        <v>1158</v>
      </c>
      <c r="T693" s="6" t="n">
        <v>1144</v>
      </c>
      <c r="U693" s="6" t="n">
        <v>1880</v>
      </c>
      <c r="V693" s="6" t="n">
        <v>736</v>
      </c>
      <c r="W693" s="6" t="n">
        <v>0.9671</v>
      </c>
      <c r="X693" s="6" t="n">
        <v>32</v>
      </c>
      <c r="Y693" s="6" t="n">
        <v>5</v>
      </c>
      <c r="Z693" s="6" t="s">
        <v>2416</v>
      </c>
      <c r="AA693" s="9" t="s">
        <v>528</v>
      </c>
      <c r="AB693" s="6" t="s">
        <v>2695</v>
      </c>
      <c r="AE693" s="37" t="n">
        <f aca="false">COUNTIF(環境認証!$A$2:$A$849,A693)</f>
        <v>0</v>
      </c>
      <c r="AF693" s="6" t="n">
        <v>64.3</v>
      </c>
      <c r="AG693" s="6" t="n">
        <v>62.3</v>
      </c>
    </row>
    <row r="694" customFormat="false" ht="15" hidden="false" customHeight="true" outlineLevel="0" collapsed="false">
      <c r="A694" s="6" t="s">
        <v>2696</v>
      </c>
      <c r="B694" s="6" t="s">
        <v>456</v>
      </c>
      <c r="C694" s="9" t="s">
        <v>2697</v>
      </c>
      <c r="D694" s="9" t="s">
        <v>959</v>
      </c>
      <c r="E694" s="9" t="s">
        <v>724</v>
      </c>
      <c r="F694" s="9" t="s">
        <v>725</v>
      </c>
      <c r="H694" s="6" t="s">
        <v>599</v>
      </c>
      <c r="M694" s="6" t="n">
        <v>4088.4</v>
      </c>
      <c r="Q694" s="1" t="str">
        <f aca="false">IF(OR($A694="",P694=""),"",ROUND(YEARFRAC(P694,README!$C$5),1))</f>
        <v/>
      </c>
      <c r="S694" s="6" t="n">
        <v>1638</v>
      </c>
      <c r="T694" s="6" t="n">
        <v>1461</v>
      </c>
      <c r="U694" s="6" t="n">
        <v>2050</v>
      </c>
      <c r="V694" s="6" t="n">
        <v>589</v>
      </c>
      <c r="W694" s="6" t="n">
        <v>0.9243</v>
      </c>
      <c r="X694" s="6" t="n">
        <v>140</v>
      </c>
      <c r="Y694" s="6" t="n">
        <v>1.8</v>
      </c>
      <c r="Z694" s="6" t="s">
        <v>2416</v>
      </c>
      <c r="AA694" s="9" t="s">
        <v>528</v>
      </c>
      <c r="AB694" s="6" t="s">
        <v>2698</v>
      </c>
      <c r="AE694" s="37" t="n">
        <f aca="false">COUNTIF(環境認証!$A$2:$A$849,A694)</f>
        <v>0</v>
      </c>
      <c r="AF694" s="6" t="n">
        <v>40.3</v>
      </c>
      <c r="AG694" s="6" t="n">
        <v>25.2</v>
      </c>
    </row>
    <row r="695" customFormat="false" ht="15" hidden="false" customHeight="true" outlineLevel="0" collapsed="false">
      <c r="A695" s="6" t="s">
        <v>2699</v>
      </c>
      <c r="B695" s="6" t="s">
        <v>456</v>
      </c>
      <c r="C695" s="9" t="s">
        <v>2700</v>
      </c>
      <c r="D695" s="9" t="s">
        <v>959</v>
      </c>
      <c r="E695" s="9" t="s">
        <v>724</v>
      </c>
      <c r="F695" s="9" t="s">
        <v>725</v>
      </c>
      <c r="H695" s="6" t="s">
        <v>599</v>
      </c>
      <c r="M695" s="6" t="n">
        <v>2825.54</v>
      </c>
      <c r="Q695" s="1" t="str">
        <f aca="false">IF(OR($A695="",P695=""),"",ROUND(YEARFRAC(P695,README!$C$5),1))</f>
        <v/>
      </c>
      <c r="S695" s="6" t="n">
        <v>1310</v>
      </c>
      <c r="T695" s="6" t="n">
        <v>1200</v>
      </c>
      <c r="U695" s="6" t="n">
        <v>1410</v>
      </c>
      <c r="V695" s="6" t="n">
        <v>210</v>
      </c>
      <c r="W695" s="6" t="n">
        <v>0.9418</v>
      </c>
      <c r="X695" s="6" t="n">
        <v>96</v>
      </c>
      <c r="Y695" s="6" t="n">
        <v>2.7</v>
      </c>
      <c r="Z695" s="6" t="s">
        <v>2416</v>
      </c>
      <c r="AA695" s="9" t="s">
        <v>528</v>
      </c>
      <c r="AB695" s="6" t="s">
        <v>2701</v>
      </c>
      <c r="AE695" s="37" t="n">
        <f aca="false">COUNTIF(環境認証!$A$2:$A$849,A695)</f>
        <v>0</v>
      </c>
      <c r="AF695" s="6" t="n">
        <v>17.5</v>
      </c>
      <c r="AG695" s="6" t="n">
        <v>7.6</v>
      </c>
    </row>
    <row r="696" customFormat="false" ht="15" hidden="false" customHeight="true" outlineLevel="0" collapsed="false">
      <c r="A696" s="6" t="s">
        <v>2702</v>
      </c>
      <c r="B696" s="6" t="s">
        <v>456</v>
      </c>
      <c r="C696" s="9" t="s">
        <v>2703</v>
      </c>
      <c r="D696" s="9" t="s">
        <v>959</v>
      </c>
      <c r="E696" s="9" t="s">
        <v>724</v>
      </c>
      <c r="F696" s="9" t="s">
        <v>725</v>
      </c>
      <c r="H696" s="6" t="s">
        <v>599</v>
      </c>
      <c r="M696" s="6" t="n">
        <v>1914</v>
      </c>
      <c r="Q696" s="1" t="str">
        <f aca="false">IF(OR($A696="",P696=""),"",ROUND(YEARFRAC(P696,README!$C$5),1))</f>
        <v/>
      </c>
      <c r="S696" s="6" t="n">
        <v>790</v>
      </c>
      <c r="T696" s="6" t="n">
        <v>727</v>
      </c>
      <c r="U696" s="6" t="n">
        <v>912</v>
      </c>
      <c r="V696" s="6" t="n">
        <v>185</v>
      </c>
      <c r="W696" s="6" t="n">
        <v>0.8939</v>
      </c>
      <c r="X696" s="6" t="n">
        <v>59</v>
      </c>
      <c r="Y696" s="6" t="n">
        <v>1.7</v>
      </c>
      <c r="Z696" s="6" t="s">
        <v>2416</v>
      </c>
      <c r="AA696" s="9" t="s">
        <v>528</v>
      </c>
      <c r="AB696" s="6" t="s">
        <v>2704</v>
      </c>
      <c r="AE696" s="37" t="n">
        <f aca="false">COUNTIF(環境認証!$A$2:$A$849,A696)</f>
        <v>0</v>
      </c>
      <c r="AF696" s="6" t="n">
        <v>25.4</v>
      </c>
      <c r="AG696" s="6" t="n">
        <v>15.4</v>
      </c>
    </row>
    <row r="697" customFormat="false" ht="15" hidden="false" customHeight="true" outlineLevel="0" collapsed="false">
      <c r="A697" s="6" t="s">
        <v>2705</v>
      </c>
      <c r="B697" s="6" t="s">
        <v>456</v>
      </c>
      <c r="C697" s="9" t="s">
        <v>2706</v>
      </c>
      <c r="D697" s="9" t="s">
        <v>959</v>
      </c>
      <c r="E697" s="9" t="s">
        <v>547</v>
      </c>
      <c r="F697" s="9" t="s">
        <v>701</v>
      </c>
      <c r="H697" s="9" t="s">
        <v>550</v>
      </c>
      <c r="M697" s="6" t="n">
        <v>2499.64</v>
      </c>
      <c r="Q697" s="1" t="str">
        <f aca="false">IF(OR($A697="",P697=""),"",ROUND(YEARFRAC(P697,README!$C$5),1))</f>
        <v/>
      </c>
      <c r="S697" s="6" t="n">
        <v>1800</v>
      </c>
      <c r="T697" s="6" t="n">
        <v>1701</v>
      </c>
      <c r="U697" s="6" t="n">
        <v>2440</v>
      </c>
      <c r="V697" s="6" t="n">
        <v>739</v>
      </c>
      <c r="W697" s="6" t="n">
        <v>0.9754</v>
      </c>
      <c r="X697" s="6" t="n">
        <v>114</v>
      </c>
      <c r="Y697" s="6" t="n">
        <v>2.5</v>
      </c>
      <c r="Z697" s="6" t="s">
        <v>2416</v>
      </c>
      <c r="AA697" s="9" t="s">
        <v>528</v>
      </c>
      <c r="AB697" s="6" t="s">
        <v>2707</v>
      </c>
      <c r="AE697" s="37" t="n">
        <f aca="false">COUNTIF(環境認証!$A$2:$A$849,A697)</f>
        <v>0</v>
      </c>
      <c r="AF697" s="6" t="n">
        <v>43.4</v>
      </c>
      <c r="AG697" s="6" t="n">
        <v>35.6</v>
      </c>
    </row>
    <row r="698" customFormat="false" ht="15" hidden="false" customHeight="true" outlineLevel="0" collapsed="false">
      <c r="A698" s="6" t="s">
        <v>2708</v>
      </c>
      <c r="B698" s="6" t="s">
        <v>456</v>
      </c>
      <c r="C698" s="9" t="s">
        <v>2709</v>
      </c>
      <c r="D698" s="9" t="s">
        <v>959</v>
      </c>
      <c r="E698" s="9" t="s">
        <v>567</v>
      </c>
      <c r="F698" s="9" t="s">
        <v>676</v>
      </c>
      <c r="H698" s="9" t="s">
        <v>569</v>
      </c>
      <c r="M698" s="6" t="n">
        <v>4076.11</v>
      </c>
      <c r="Q698" s="1" t="str">
        <f aca="false">IF(OR($A698="",P698=""),"",ROUND(YEARFRAC(P698,README!$C$5),1))</f>
        <v/>
      </c>
      <c r="S698" s="6" t="n">
        <v>2160</v>
      </c>
      <c r="T698" s="6" t="n">
        <v>2074</v>
      </c>
      <c r="U698" s="6" t="n">
        <v>2290</v>
      </c>
      <c r="V698" s="6" t="n">
        <v>216</v>
      </c>
      <c r="W698" s="6" t="n">
        <v>0.9774</v>
      </c>
      <c r="X698" s="6" t="n">
        <v>110</v>
      </c>
      <c r="Y698" s="6" t="n">
        <v>11.2</v>
      </c>
      <c r="Z698" s="6" t="s">
        <v>2416</v>
      </c>
      <c r="AA698" s="9" t="s">
        <v>528</v>
      </c>
      <c r="AB698" s="6" t="s">
        <v>2710</v>
      </c>
      <c r="AE698" s="37" t="n">
        <f aca="false">COUNTIF(環境認証!$A$2:$A$849,A698)</f>
        <v>1</v>
      </c>
      <c r="AF698" s="6" t="n">
        <v>10.4</v>
      </c>
      <c r="AG698" s="6" t="n">
        <v>6</v>
      </c>
    </row>
    <row r="699" customFormat="false" ht="15" hidden="false" customHeight="true" outlineLevel="0" collapsed="false">
      <c r="A699" s="6" t="s">
        <v>2711</v>
      </c>
      <c r="B699" s="6" t="s">
        <v>456</v>
      </c>
      <c r="C699" s="9" t="s">
        <v>2712</v>
      </c>
      <c r="D699" s="9" t="s">
        <v>959</v>
      </c>
      <c r="E699" s="9" t="s">
        <v>604</v>
      </c>
      <c r="F699" s="9" t="s">
        <v>720</v>
      </c>
      <c r="H699" s="6" t="s">
        <v>599</v>
      </c>
      <c r="M699" s="6" t="n">
        <v>5522.62</v>
      </c>
      <c r="Q699" s="1" t="str">
        <f aca="false">IF(OR($A699="",P699=""),"",ROUND(YEARFRAC(P699,README!$C$5),1))</f>
        <v/>
      </c>
      <c r="S699" s="6" t="n">
        <v>1560</v>
      </c>
      <c r="T699" s="6" t="n">
        <v>1397</v>
      </c>
      <c r="U699" s="6" t="n">
        <v>1980</v>
      </c>
      <c r="V699" s="6" t="n">
        <v>583</v>
      </c>
      <c r="W699" s="6" t="n">
        <v>0.9945</v>
      </c>
      <c r="X699" s="6" t="n">
        <v>150</v>
      </c>
      <c r="Y699" s="6" t="n">
        <v>0.1</v>
      </c>
      <c r="Z699" s="6" t="s">
        <v>2416</v>
      </c>
      <c r="AA699" s="9" t="s">
        <v>528</v>
      </c>
      <c r="AB699" s="6" t="s">
        <v>2713</v>
      </c>
      <c r="AE699" s="37" t="n">
        <f aca="false">COUNTIF(環境認証!$A$2:$A$849,A699)</f>
        <v>1</v>
      </c>
      <c r="AF699" s="6" t="n">
        <v>41.7</v>
      </c>
      <c r="AG699" s="6" t="n">
        <v>26.9</v>
      </c>
    </row>
    <row r="700" customFormat="false" ht="15" hidden="false" customHeight="true" outlineLevel="0" collapsed="false">
      <c r="A700" s="6" t="s">
        <v>2714</v>
      </c>
      <c r="B700" s="6" t="s">
        <v>456</v>
      </c>
      <c r="C700" s="9" t="s">
        <v>2715</v>
      </c>
      <c r="D700" s="9" t="s">
        <v>959</v>
      </c>
      <c r="E700" s="9" t="s">
        <v>596</v>
      </c>
      <c r="F700" s="9" t="s">
        <v>1160</v>
      </c>
      <c r="H700" s="6" t="s">
        <v>599</v>
      </c>
      <c r="M700" s="6" t="n">
        <v>2486.82</v>
      </c>
      <c r="Q700" s="1" t="str">
        <f aca="false">IF(OR($A700="",P700=""),"",ROUND(YEARFRAC(P700,README!$C$5),1))</f>
        <v/>
      </c>
      <c r="S700" s="6" t="n">
        <v>880</v>
      </c>
      <c r="T700" s="6" t="n">
        <v>885</v>
      </c>
      <c r="U700" s="6" t="n">
        <v>1050</v>
      </c>
      <c r="V700" s="6" t="n">
        <v>165</v>
      </c>
      <c r="W700" s="6" t="n">
        <v>1</v>
      </c>
      <c r="X700" s="6" t="n">
        <v>78</v>
      </c>
      <c r="Y700" s="6" t="n">
        <v>8</v>
      </c>
      <c r="Z700" s="6" t="s">
        <v>2416</v>
      </c>
      <c r="AA700" s="9" t="s">
        <v>528</v>
      </c>
      <c r="AB700" s="6" t="s">
        <v>2716</v>
      </c>
      <c r="AE700" s="37" t="n">
        <f aca="false">COUNTIF(環境認証!$A$2:$A$849,A700)</f>
        <v>0</v>
      </c>
      <c r="AF700" s="6" t="n">
        <v>18.6</v>
      </c>
      <c r="AG700" s="6" t="n">
        <v>19.3</v>
      </c>
    </row>
    <row r="701" customFormat="false" ht="15" hidden="false" customHeight="true" outlineLevel="0" collapsed="false">
      <c r="A701" s="6" t="s">
        <v>2717</v>
      </c>
      <c r="B701" s="6" t="s">
        <v>456</v>
      </c>
      <c r="C701" s="9" t="s">
        <v>2718</v>
      </c>
      <c r="D701" s="9" t="s">
        <v>959</v>
      </c>
      <c r="E701" s="9" t="s">
        <v>724</v>
      </c>
      <c r="F701" s="9" t="s">
        <v>725</v>
      </c>
      <c r="H701" s="6" t="s">
        <v>599</v>
      </c>
      <c r="M701" s="6" t="n">
        <v>1893.21</v>
      </c>
      <c r="Q701" s="1" t="str">
        <f aca="false">IF(OR($A701="",P701=""),"",ROUND(YEARFRAC(P701,README!$C$5),1))</f>
        <v/>
      </c>
      <c r="S701" s="6" t="n">
        <v>850</v>
      </c>
      <c r="T701" s="6" t="n">
        <v>862</v>
      </c>
      <c r="U701" s="6" t="n">
        <v>961</v>
      </c>
      <c r="V701" s="6" t="n">
        <v>99</v>
      </c>
      <c r="W701" s="6" t="n">
        <v>0.9637</v>
      </c>
      <c r="X701" s="6" t="n">
        <v>53</v>
      </c>
      <c r="Y701" s="6" t="n">
        <v>2</v>
      </c>
      <c r="Z701" s="6" t="s">
        <v>2416</v>
      </c>
      <c r="AA701" s="9" t="s">
        <v>528</v>
      </c>
      <c r="AB701" s="6" t="s">
        <v>2719</v>
      </c>
      <c r="AE701" s="37" t="n">
        <f aca="false">COUNTIF(環境認証!$A$2:$A$849,A701)</f>
        <v>0</v>
      </c>
      <c r="AF701" s="6" t="n">
        <v>11.5</v>
      </c>
      <c r="AG701" s="6" t="n">
        <v>13.1</v>
      </c>
    </row>
    <row r="702" customFormat="false" ht="15" hidden="false" customHeight="true" outlineLevel="0" collapsed="false">
      <c r="A702" s="6" t="s">
        <v>2720</v>
      </c>
      <c r="B702" s="6" t="s">
        <v>456</v>
      </c>
      <c r="C702" s="9" t="s">
        <v>2721</v>
      </c>
      <c r="D702" s="9" t="s">
        <v>959</v>
      </c>
      <c r="E702" s="9" t="s">
        <v>523</v>
      </c>
      <c r="F702" s="9" t="s">
        <v>2126</v>
      </c>
      <c r="H702" s="9" t="s">
        <v>540</v>
      </c>
      <c r="M702" s="6" t="n">
        <v>1917.51</v>
      </c>
      <c r="Q702" s="1" t="str">
        <f aca="false">IF(OR($A702="",P702=""),"",ROUND(YEARFRAC(P702,README!$C$5),1))</f>
        <v/>
      </c>
      <c r="S702" s="6" t="n">
        <v>1100</v>
      </c>
      <c r="T702" s="6" t="n">
        <v>1018</v>
      </c>
      <c r="U702" s="6" t="n">
        <v>1540</v>
      </c>
      <c r="V702" s="6" t="n">
        <v>522</v>
      </c>
      <c r="W702" s="6" t="n">
        <v>1</v>
      </c>
      <c r="X702" s="6" t="n">
        <v>56</v>
      </c>
      <c r="Y702" s="6" t="n">
        <v>3.5</v>
      </c>
      <c r="Z702" s="6" t="s">
        <v>2416</v>
      </c>
      <c r="AA702" s="9" t="s">
        <v>528</v>
      </c>
      <c r="AB702" s="6" t="s">
        <v>2722</v>
      </c>
      <c r="AE702" s="37" t="n">
        <f aca="false">COUNTIF(環境認証!$A$2:$A$849,A702)</f>
        <v>1</v>
      </c>
      <c r="AF702" s="6" t="n">
        <v>51.3</v>
      </c>
      <c r="AG702" s="6" t="n">
        <v>40</v>
      </c>
    </row>
    <row r="703" customFormat="false" ht="15" hidden="false" customHeight="true" outlineLevel="0" collapsed="false">
      <c r="A703" s="6" t="s">
        <v>2723</v>
      </c>
      <c r="B703" s="6" t="s">
        <v>456</v>
      </c>
      <c r="C703" s="9" t="s">
        <v>2724</v>
      </c>
      <c r="D703" s="9" t="s">
        <v>959</v>
      </c>
      <c r="E703" s="9" t="s">
        <v>523</v>
      </c>
      <c r="F703" s="9" t="s">
        <v>609</v>
      </c>
      <c r="H703" s="9" t="s">
        <v>540</v>
      </c>
      <c r="M703" s="6" t="n">
        <v>2149.95</v>
      </c>
      <c r="Q703" s="1" t="str">
        <f aca="false">IF(OR($A703="",P703=""),"",ROUND(YEARFRAC(P703,README!$C$5),1))</f>
        <v/>
      </c>
      <c r="S703" s="6" t="n">
        <v>1400</v>
      </c>
      <c r="T703" s="6" t="n">
        <v>1313</v>
      </c>
      <c r="U703" s="6" t="n">
        <v>1800</v>
      </c>
      <c r="V703" s="6" t="n">
        <v>487</v>
      </c>
      <c r="W703" s="6" t="n">
        <v>0.9878</v>
      </c>
      <c r="X703" s="6" t="n">
        <v>65</v>
      </c>
      <c r="Y703" s="6" t="n">
        <v>10.2</v>
      </c>
      <c r="Z703" s="6" t="s">
        <v>2416</v>
      </c>
      <c r="AA703" s="9" t="s">
        <v>528</v>
      </c>
      <c r="AB703" s="6" t="s">
        <v>2725</v>
      </c>
      <c r="AE703" s="37" t="n">
        <f aca="false">COUNTIF(環境認証!$A$2:$A$849,A703)</f>
        <v>0</v>
      </c>
      <c r="AF703" s="6" t="n">
        <v>37.1</v>
      </c>
      <c r="AG703" s="6" t="n">
        <v>28.6</v>
      </c>
    </row>
    <row r="704" customFormat="false" ht="15" hidden="false" customHeight="true" outlineLevel="0" collapsed="false">
      <c r="A704" s="6" t="s">
        <v>2726</v>
      </c>
      <c r="B704" s="6" t="s">
        <v>456</v>
      </c>
      <c r="C704" s="9" t="s">
        <v>2727</v>
      </c>
      <c r="D704" s="9" t="s">
        <v>959</v>
      </c>
      <c r="E704" s="9" t="s">
        <v>523</v>
      </c>
      <c r="F704" s="9" t="s">
        <v>2489</v>
      </c>
      <c r="H704" s="9" t="s">
        <v>550</v>
      </c>
      <c r="M704" s="6" t="n">
        <v>1600.38</v>
      </c>
      <c r="Q704" s="1" t="str">
        <f aca="false">IF(OR($A704="",P704=""),"",ROUND(YEARFRAC(P704,README!$C$5),1))</f>
        <v/>
      </c>
      <c r="S704" s="6" t="n">
        <v>1120</v>
      </c>
      <c r="T704" s="6" t="n">
        <v>1200</v>
      </c>
      <c r="U704" s="6" t="n">
        <v>1310</v>
      </c>
      <c r="V704" s="6" t="n">
        <v>110</v>
      </c>
      <c r="W704" s="6" t="n">
        <v>0.9644</v>
      </c>
      <c r="X704" s="6" t="n">
        <v>49</v>
      </c>
      <c r="Y704" s="6" t="n">
        <v>7.1</v>
      </c>
      <c r="Z704" s="6" t="s">
        <v>2416</v>
      </c>
      <c r="AA704" s="9" t="s">
        <v>528</v>
      </c>
      <c r="AB704" s="6" t="s">
        <v>2728</v>
      </c>
      <c r="AE704" s="37" t="n">
        <f aca="false">COUNTIF(環境認証!$A$2:$A$849,A704)</f>
        <v>0</v>
      </c>
      <c r="AF704" s="6" t="n">
        <v>9.2</v>
      </c>
      <c r="AG704" s="6" t="n">
        <v>17</v>
      </c>
    </row>
    <row r="705" customFormat="false" ht="15" hidden="false" customHeight="true" outlineLevel="0" collapsed="false">
      <c r="A705" s="6" t="s">
        <v>2729</v>
      </c>
      <c r="B705" s="6" t="s">
        <v>456</v>
      </c>
      <c r="C705" s="9" t="s">
        <v>2730</v>
      </c>
      <c r="D705" s="9" t="s">
        <v>959</v>
      </c>
      <c r="E705" s="9" t="s">
        <v>523</v>
      </c>
      <c r="F705" s="9" t="s">
        <v>532</v>
      </c>
      <c r="H705" s="9" t="s">
        <v>525</v>
      </c>
      <c r="M705" s="6" t="n">
        <v>1160.6</v>
      </c>
      <c r="Q705" s="1" t="str">
        <f aca="false">IF(OR($A705="",P705=""),"",ROUND(YEARFRAC(P705,README!$C$5),1))</f>
        <v/>
      </c>
      <c r="S705" s="6" t="n">
        <v>1210</v>
      </c>
      <c r="T705" s="6" t="n">
        <v>1247</v>
      </c>
      <c r="U705" s="6" t="n">
        <v>1680</v>
      </c>
      <c r="V705" s="6" t="n">
        <v>433</v>
      </c>
      <c r="W705" s="6" t="n">
        <v>0.9773</v>
      </c>
      <c r="X705" s="6" t="n">
        <v>39</v>
      </c>
      <c r="Y705" s="6" t="n">
        <v>5.8</v>
      </c>
      <c r="Z705" s="6" t="s">
        <v>2416</v>
      </c>
      <c r="AA705" s="9" t="s">
        <v>528</v>
      </c>
      <c r="AB705" s="6" t="s">
        <v>2731</v>
      </c>
      <c r="AE705" s="37" t="n">
        <f aca="false">COUNTIF(環境認証!$A$2:$A$849,A705)</f>
        <v>0</v>
      </c>
      <c r="AF705" s="6" t="n">
        <v>34.7</v>
      </c>
      <c r="AG705" s="6" t="n">
        <v>38.8</v>
      </c>
    </row>
    <row r="706" customFormat="false" ht="15" hidden="false" customHeight="true" outlineLevel="0" collapsed="false">
      <c r="A706" s="6" t="s">
        <v>2732</v>
      </c>
      <c r="B706" s="6" t="s">
        <v>456</v>
      </c>
      <c r="C706" s="9" t="s">
        <v>2733</v>
      </c>
      <c r="D706" s="9" t="s">
        <v>959</v>
      </c>
      <c r="E706" s="9" t="s">
        <v>523</v>
      </c>
      <c r="F706" s="9" t="s">
        <v>543</v>
      </c>
      <c r="H706" s="9" t="s">
        <v>540</v>
      </c>
      <c r="M706" s="6" t="n">
        <v>1145.76</v>
      </c>
      <c r="Q706" s="1" t="str">
        <f aca="false">IF(OR($A706="",P706=""),"",ROUND(YEARFRAC(P706,README!$C$5),1))</f>
        <v/>
      </c>
      <c r="S706" s="6" t="n">
        <v>945</v>
      </c>
      <c r="T706" s="6" t="n">
        <v>938</v>
      </c>
      <c r="U706" s="6" t="n">
        <v>1400</v>
      </c>
      <c r="V706" s="6" t="n">
        <v>462</v>
      </c>
      <c r="W706" s="6" t="n">
        <v>0.9773</v>
      </c>
      <c r="X706" s="6" t="n">
        <v>43</v>
      </c>
      <c r="Y706" s="6" t="n">
        <v>7</v>
      </c>
      <c r="Z706" s="6" t="s">
        <v>2416</v>
      </c>
      <c r="AA706" s="9" t="s">
        <v>528</v>
      </c>
      <c r="AB706" s="6" t="s">
        <v>2734</v>
      </c>
      <c r="AE706" s="37" t="n">
        <f aca="false">COUNTIF(環境認証!$A$2:$A$849,A706)</f>
        <v>0</v>
      </c>
      <c r="AF706" s="6" t="n">
        <v>49.3</v>
      </c>
      <c r="AG706" s="6" t="n">
        <v>48.1</v>
      </c>
    </row>
    <row r="707" customFormat="false" ht="15" hidden="false" customHeight="true" outlineLevel="0" collapsed="false">
      <c r="A707" s="6" t="s">
        <v>2735</v>
      </c>
      <c r="B707" s="6" t="s">
        <v>456</v>
      </c>
      <c r="C707" s="9" t="s">
        <v>2736</v>
      </c>
      <c r="D707" s="9" t="s">
        <v>959</v>
      </c>
      <c r="E707" s="9" t="s">
        <v>523</v>
      </c>
      <c r="F707" s="9" t="s">
        <v>543</v>
      </c>
      <c r="H707" s="9" t="s">
        <v>540</v>
      </c>
      <c r="M707" s="6" t="n">
        <v>1141.16</v>
      </c>
      <c r="Q707" s="1" t="str">
        <f aca="false">IF(OR($A707="",P707=""),"",ROUND(YEARFRAC(P707,README!$C$5),1))</f>
        <v/>
      </c>
      <c r="S707" s="6" t="n">
        <v>900</v>
      </c>
      <c r="T707" s="6" t="n">
        <v>942</v>
      </c>
      <c r="U707" s="6" t="n">
        <v>1180</v>
      </c>
      <c r="V707" s="6" t="n">
        <v>238</v>
      </c>
      <c r="W707" s="6" t="n">
        <v>1</v>
      </c>
      <c r="X707" s="6" t="n">
        <v>48</v>
      </c>
      <c r="Y707" s="6" t="n">
        <v>6.1</v>
      </c>
      <c r="Z707" s="6" t="s">
        <v>2416</v>
      </c>
      <c r="AA707" s="9" t="s">
        <v>528</v>
      </c>
      <c r="AB707" s="6" t="s">
        <v>2737</v>
      </c>
      <c r="AE707" s="37" t="n">
        <f aca="false">COUNTIF(環境認証!$A$2:$A$849,A707)</f>
        <v>0</v>
      </c>
      <c r="AF707" s="6" t="n">
        <v>25.3</v>
      </c>
      <c r="AG707" s="6" t="n">
        <v>31.1</v>
      </c>
    </row>
    <row r="708" customFormat="false" ht="15" hidden="false" customHeight="true" outlineLevel="0" collapsed="false">
      <c r="A708" s="6" t="s">
        <v>2738</v>
      </c>
      <c r="B708" s="6" t="s">
        <v>456</v>
      </c>
      <c r="C708" s="9" t="s">
        <v>2739</v>
      </c>
      <c r="D708" s="9" t="s">
        <v>959</v>
      </c>
      <c r="E708" s="9" t="s">
        <v>724</v>
      </c>
      <c r="F708" s="9" t="s">
        <v>725</v>
      </c>
      <c r="H708" s="6" t="s">
        <v>599</v>
      </c>
      <c r="M708" s="6" t="n">
        <v>2305.11</v>
      </c>
      <c r="Q708" s="1" t="str">
        <f aca="false">IF(OR($A708="",P708=""),"",ROUND(YEARFRAC(P708,README!$C$5),1))</f>
        <v/>
      </c>
      <c r="S708" s="6" t="n">
        <v>1030</v>
      </c>
      <c r="T708" s="6" t="n">
        <v>1025</v>
      </c>
      <c r="U708" s="6" t="n">
        <v>1090</v>
      </c>
      <c r="V708" s="6" t="n">
        <v>65</v>
      </c>
      <c r="W708" s="6" t="n">
        <v>0.9462</v>
      </c>
      <c r="X708" s="6" t="n">
        <v>65</v>
      </c>
      <c r="Y708" s="6" t="n">
        <v>1.7</v>
      </c>
      <c r="Z708" s="6" t="s">
        <v>2416</v>
      </c>
      <c r="AA708" s="9" t="s">
        <v>528</v>
      </c>
      <c r="AB708" s="6" t="s">
        <v>2740</v>
      </c>
      <c r="AE708" s="37" t="n">
        <f aca="false">COUNTIF(環境認証!$A$2:$A$849,A708)</f>
        <v>0</v>
      </c>
      <c r="AF708" s="6" t="n">
        <v>6.3</v>
      </c>
      <c r="AG708" s="6" t="n">
        <v>5.8</v>
      </c>
    </row>
    <row r="709" customFormat="false" ht="15" hidden="false" customHeight="true" outlineLevel="0" collapsed="false">
      <c r="A709" s="6" t="s">
        <v>2741</v>
      </c>
      <c r="B709" s="6" t="s">
        <v>456</v>
      </c>
      <c r="C709" s="9" t="s">
        <v>2742</v>
      </c>
      <c r="D709" s="9" t="s">
        <v>959</v>
      </c>
      <c r="E709" s="9" t="s">
        <v>523</v>
      </c>
      <c r="F709" s="9" t="s">
        <v>2126</v>
      </c>
      <c r="H709" s="9" t="s">
        <v>540</v>
      </c>
      <c r="M709" s="6" t="n">
        <v>1683.26</v>
      </c>
      <c r="Q709" s="1" t="str">
        <f aca="false">IF(OR($A709="",P709=""),"",ROUND(YEARFRAC(P709,README!$C$5),1))</f>
        <v/>
      </c>
      <c r="S709" s="6" t="n">
        <v>1150</v>
      </c>
      <c r="T709" s="6" t="n">
        <v>1137</v>
      </c>
      <c r="U709" s="6" t="n">
        <v>1320</v>
      </c>
      <c r="V709" s="6" t="n">
        <v>183</v>
      </c>
      <c r="W709" s="6" t="n">
        <v>0.9673</v>
      </c>
      <c r="X709" s="6" t="n">
        <v>48</v>
      </c>
      <c r="Y709" s="6" t="n">
        <v>6.1</v>
      </c>
      <c r="Z709" s="6" t="s">
        <v>2416</v>
      </c>
      <c r="AA709" s="9" t="s">
        <v>528</v>
      </c>
      <c r="AB709" s="6" t="s">
        <v>2743</v>
      </c>
      <c r="AE709" s="37" t="n">
        <f aca="false">COUNTIF(環境認証!$A$2:$A$849,A709)</f>
        <v>0</v>
      </c>
      <c r="AF709" s="6" t="n">
        <v>16.1</v>
      </c>
      <c r="AG709" s="6" t="n">
        <v>14.8</v>
      </c>
    </row>
    <row r="710" customFormat="false" ht="15" hidden="false" customHeight="true" outlineLevel="0" collapsed="false">
      <c r="A710" s="6" t="s">
        <v>2744</v>
      </c>
      <c r="B710" s="6" t="s">
        <v>456</v>
      </c>
      <c r="C710" s="9" t="s">
        <v>2745</v>
      </c>
      <c r="D710" s="9" t="s">
        <v>959</v>
      </c>
      <c r="E710" s="9" t="s">
        <v>724</v>
      </c>
      <c r="F710" s="9" t="s">
        <v>725</v>
      </c>
      <c r="H710" s="6" t="s">
        <v>599</v>
      </c>
      <c r="M710" s="6" t="n">
        <v>1654.38</v>
      </c>
      <c r="Q710" s="1" t="str">
        <f aca="false">IF(OR($A710="",P710=""),"",ROUND(YEARFRAC(P710,README!$C$5),1))</f>
        <v/>
      </c>
      <c r="S710" s="6" t="n">
        <v>1070</v>
      </c>
      <c r="T710" s="6" t="n">
        <v>1059</v>
      </c>
      <c r="U710" s="6" t="n">
        <v>1200</v>
      </c>
      <c r="V710" s="6" t="n">
        <v>141</v>
      </c>
      <c r="W710" s="6" t="n">
        <v>0.9416</v>
      </c>
      <c r="X710" s="6" t="n">
        <v>65</v>
      </c>
      <c r="Y710" s="6" t="n">
        <v>1.2</v>
      </c>
      <c r="Z710" s="6" t="s">
        <v>2416</v>
      </c>
      <c r="AA710" s="9" t="s">
        <v>528</v>
      </c>
      <c r="AB710" s="6" t="s">
        <v>2746</v>
      </c>
      <c r="AE710" s="37" t="n">
        <f aca="false">COUNTIF(環境認証!$A$2:$A$849,A710)</f>
        <v>0</v>
      </c>
      <c r="AF710" s="6" t="n">
        <v>13.3</v>
      </c>
      <c r="AG710" s="6" t="n">
        <v>12.1</v>
      </c>
    </row>
    <row r="711" customFormat="false" ht="15" hidden="false" customHeight="true" outlineLevel="0" collapsed="false">
      <c r="A711" s="6" t="s">
        <v>2747</v>
      </c>
      <c r="B711" s="6" t="s">
        <v>456</v>
      </c>
      <c r="C711" s="9" t="s">
        <v>2748</v>
      </c>
      <c r="D711" s="9" t="s">
        <v>959</v>
      </c>
      <c r="E711" s="9" t="s">
        <v>596</v>
      </c>
      <c r="F711" s="9" t="s">
        <v>1160</v>
      </c>
      <c r="H711" s="6" t="s">
        <v>599</v>
      </c>
      <c r="M711" s="6" t="n">
        <v>2868.95</v>
      </c>
      <c r="Q711" s="1" t="str">
        <f aca="false">IF(OR($A711="",P711=""),"",ROUND(YEARFRAC(P711,README!$C$5),1))</f>
        <v/>
      </c>
      <c r="S711" s="6" t="n">
        <v>1150</v>
      </c>
      <c r="T711" s="6" t="n">
        <v>1165</v>
      </c>
      <c r="U711" s="6" t="n">
        <v>1330</v>
      </c>
      <c r="V711" s="6" t="n">
        <v>165</v>
      </c>
      <c r="W711" s="6" t="n">
        <v>0.986</v>
      </c>
      <c r="X711" s="6" t="n">
        <v>66</v>
      </c>
      <c r="Y711" s="6" t="n">
        <v>4.5</v>
      </c>
      <c r="Z711" s="6" t="s">
        <v>2416</v>
      </c>
      <c r="AA711" s="9" t="s">
        <v>528</v>
      </c>
      <c r="AB711" s="6" t="s">
        <v>2749</v>
      </c>
      <c r="AE711" s="37" t="n">
        <f aca="false">COUNTIF(環境認証!$A$2:$A$849,A711)</f>
        <v>0</v>
      </c>
      <c r="AF711" s="6" t="n">
        <v>14.2</v>
      </c>
      <c r="AG711" s="6" t="n">
        <v>15.7</v>
      </c>
    </row>
    <row r="712" customFormat="false" ht="15" hidden="false" customHeight="true" outlineLevel="0" collapsed="false">
      <c r="A712" s="6" t="s">
        <v>2750</v>
      </c>
      <c r="B712" s="6" t="s">
        <v>456</v>
      </c>
      <c r="C712" s="9" t="s">
        <v>2751</v>
      </c>
      <c r="D712" s="9" t="s">
        <v>959</v>
      </c>
      <c r="E712" s="9" t="s">
        <v>596</v>
      </c>
      <c r="F712" s="9" t="s">
        <v>1160</v>
      </c>
      <c r="H712" s="6" t="s">
        <v>599</v>
      </c>
      <c r="M712" s="6" t="n">
        <v>3533.5</v>
      </c>
      <c r="Q712" s="1" t="str">
        <f aca="false">IF(OR($A712="",P712=""),"",ROUND(YEARFRAC(P712,README!$C$5),1))</f>
        <v/>
      </c>
      <c r="S712" s="6" t="n">
        <v>1198</v>
      </c>
      <c r="T712" s="6" t="n">
        <v>1346</v>
      </c>
      <c r="U712" s="6" t="n">
        <v>1510</v>
      </c>
      <c r="V712" s="6" t="n">
        <v>164</v>
      </c>
      <c r="W712" s="6" t="n">
        <v>1</v>
      </c>
      <c r="X712" s="6" t="n">
        <v>110</v>
      </c>
      <c r="Y712" s="6" t="n">
        <v>2.9</v>
      </c>
      <c r="Z712" s="6" t="s">
        <v>2416</v>
      </c>
      <c r="AA712" s="9" t="s">
        <v>528</v>
      </c>
      <c r="AB712" s="6" t="s">
        <v>2752</v>
      </c>
      <c r="AE712" s="37" t="n">
        <f aca="false">COUNTIF(環境認証!$A$2:$A$849,A712)</f>
        <v>1</v>
      </c>
      <c r="AF712" s="6" t="n">
        <v>12.2</v>
      </c>
      <c r="AG712" s="6" t="n">
        <v>26</v>
      </c>
    </row>
    <row r="713" customFormat="false" ht="15" hidden="false" customHeight="true" outlineLevel="0" collapsed="false">
      <c r="A713" s="6" t="s">
        <v>2753</v>
      </c>
      <c r="B713" s="6" t="s">
        <v>456</v>
      </c>
      <c r="C713" s="9" t="s">
        <v>2754</v>
      </c>
      <c r="D713" s="9" t="s">
        <v>959</v>
      </c>
      <c r="E713" s="9" t="s">
        <v>596</v>
      </c>
      <c r="F713" s="9" t="s">
        <v>1160</v>
      </c>
      <c r="H713" s="6" t="s">
        <v>599</v>
      </c>
      <c r="M713" s="6" t="n">
        <v>4187.98</v>
      </c>
      <c r="Q713" s="1" t="str">
        <f aca="false">IF(OR($A713="",P713=""),"",ROUND(YEARFRAC(P713,README!$C$5),1))</f>
        <v/>
      </c>
      <c r="S713" s="6" t="n">
        <v>1180</v>
      </c>
      <c r="T713" s="6" t="n">
        <v>1323</v>
      </c>
      <c r="U713" s="6" t="n">
        <v>1540</v>
      </c>
      <c r="V713" s="6" t="n">
        <v>217</v>
      </c>
      <c r="W713" s="6" t="n">
        <v>0.9904</v>
      </c>
      <c r="X713" s="6" t="n">
        <v>118</v>
      </c>
      <c r="Y713" s="6" t="n">
        <v>2.1</v>
      </c>
      <c r="Z713" s="6" t="s">
        <v>2416</v>
      </c>
      <c r="AA713" s="9" t="s">
        <v>528</v>
      </c>
      <c r="AB713" s="6" t="s">
        <v>2755</v>
      </c>
      <c r="AE713" s="37" t="n">
        <f aca="false">COUNTIF(環境認証!$A$2:$A$849,A713)</f>
        <v>1</v>
      </c>
      <c r="AF713" s="6" t="n">
        <v>16.4</v>
      </c>
      <c r="AG713" s="6" t="n">
        <v>30.5</v>
      </c>
    </row>
    <row r="714" customFormat="false" ht="15" hidden="false" customHeight="true" outlineLevel="0" collapsed="false">
      <c r="A714" s="6" t="s">
        <v>2756</v>
      </c>
      <c r="B714" s="6" t="s">
        <v>456</v>
      </c>
      <c r="C714" s="9" t="s">
        <v>2757</v>
      </c>
      <c r="D714" s="9" t="s">
        <v>959</v>
      </c>
      <c r="E714" s="9" t="s">
        <v>523</v>
      </c>
      <c r="F714" s="9" t="s">
        <v>2126</v>
      </c>
      <c r="H714" s="9" t="s">
        <v>540</v>
      </c>
      <c r="M714" s="6" t="n">
        <v>2438.42</v>
      </c>
      <c r="Q714" s="1" t="str">
        <f aca="false">IF(OR($A714="",P714=""),"",ROUND(YEARFRAC(P714,README!$C$5),1))</f>
        <v/>
      </c>
      <c r="S714" s="6" t="n">
        <v>1690</v>
      </c>
      <c r="T714" s="6" t="n">
        <v>1713</v>
      </c>
      <c r="U714" s="6" t="n">
        <v>2040</v>
      </c>
      <c r="V714" s="6" t="n">
        <v>327</v>
      </c>
      <c r="W714" s="6" t="n">
        <v>0.9546</v>
      </c>
      <c r="X714" s="6" t="n">
        <v>68</v>
      </c>
      <c r="Y714" s="6" t="n">
        <v>6.3</v>
      </c>
      <c r="Z714" s="6" t="s">
        <v>2416</v>
      </c>
      <c r="AA714" s="9" t="s">
        <v>528</v>
      </c>
      <c r="AB714" s="6" t="s">
        <v>2758</v>
      </c>
      <c r="AE714" s="37" t="n">
        <f aca="false">COUNTIF(環境認証!$A$2:$A$849,A714)</f>
        <v>1</v>
      </c>
      <c r="AF714" s="6" t="n">
        <v>19.1</v>
      </c>
      <c r="AG714" s="6" t="n">
        <v>20.7</v>
      </c>
    </row>
    <row r="715" customFormat="false" ht="15" hidden="false" customHeight="true" outlineLevel="0" collapsed="false">
      <c r="A715" s="6" t="s">
        <v>2759</v>
      </c>
      <c r="B715" s="6" t="s">
        <v>456</v>
      </c>
      <c r="C715" s="9" t="s">
        <v>2760</v>
      </c>
      <c r="D715" s="9" t="s">
        <v>959</v>
      </c>
      <c r="E715" s="9" t="s">
        <v>523</v>
      </c>
      <c r="F715" s="9" t="s">
        <v>609</v>
      </c>
      <c r="H715" s="9" t="s">
        <v>540</v>
      </c>
      <c r="M715" s="6" t="n">
        <v>1919.5</v>
      </c>
      <c r="Q715" s="1" t="str">
        <f aca="false">IF(OR($A715="",P715=""),"",ROUND(YEARFRAC(P715,README!$C$5),1))</f>
        <v/>
      </c>
      <c r="S715" s="6" t="n">
        <v>1220</v>
      </c>
      <c r="T715" s="6" t="n">
        <v>1236</v>
      </c>
      <c r="U715" s="6" t="n">
        <v>1600</v>
      </c>
      <c r="V715" s="6" t="n">
        <v>364</v>
      </c>
      <c r="W715" s="6" t="n">
        <v>1</v>
      </c>
      <c r="X715" s="6" t="n">
        <v>64</v>
      </c>
      <c r="Y715" s="6" t="n">
        <v>11.8</v>
      </c>
      <c r="Z715" s="6" t="s">
        <v>2416</v>
      </c>
      <c r="AA715" s="9" t="s">
        <v>528</v>
      </c>
      <c r="AB715" s="6" t="s">
        <v>2761</v>
      </c>
      <c r="AE715" s="37" t="n">
        <f aca="false">COUNTIF(環境認証!$A$2:$A$849,A715)</f>
        <v>1</v>
      </c>
      <c r="AF715" s="6" t="n">
        <v>29.4</v>
      </c>
      <c r="AG715" s="6" t="n">
        <v>31.1</v>
      </c>
    </row>
    <row r="716" customFormat="false" ht="15" hidden="false" customHeight="true" outlineLevel="0" collapsed="false">
      <c r="A716" s="6" t="s">
        <v>2762</v>
      </c>
      <c r="B716" s="6" t="s">
        <v>456</v>
      </c>
      <c r="C716" s="9" t="s">
        <v>2763</v>
      </c>
      <c r="D716" s="9" t="s">
        <v>959</v>
      </c>
      <c r="E716" s="9" t="s">
        <v>523</v>
      </c>
      <c r="F716" s="9" t="s">
        <v>1462</v>
      </c>
      <c r="H716" s="9" t="s">
        <v>540</v>
      </c>
      <c r="M716" s="6" t="n">
        <v>759.24</v>
      </c>
      <c r="Q716" s="1" t="str">
        <f aca="false">IF(OR($A716="",P716=""),"",ROUND(YEARFRAC(P716,README!$C$5),1))</f>
        <v/>
      </c>
      <c r="S716" s="6" t="n">
        <v>700</v>
      </c>
      <c r="T716" s="6" t="n">
        <v>713</v>
      </c>
      <c r="U716" s="6" t="n">
        <v>844</v>
      </c>
      <c r="V716" s="6" t="n">
        <v>131</v>
      </c>
      <c r="W716" s="6" t="n">
        <v>1</v>
      </c>
      <c r="X716" s="6" t="n">
        <v>30</v>
      </c>
      <c r="Y716" s="6" t="n">
        <v>6.1</v>
      </c>
      <c r="Z716" s="6" t="s">
        <v>2416</v>
      </c>
      <c r="AA716" s="9" t="s">
        <v>528</v>
      </c>
      <c r="AB716" s="6" t="s">
        <v>2764</v>
      </c>
      <c r="AE716" s="37" t="n">
        <f aca="false">COUNTIF(環境認証!$A$2:$A$849,A716)</f>
        <v>0</v>
      </c>
      <c r="AF716" s="6" t="n">
        <v>18.4</v>
      </c>
      <c r="AG716" s="6" t="n">
        <v>20.6</v>
      </c>
    </row>
    <row r="717" customFormat="false" ht="15" hidden="false" customHeight="true" outlineLevel="0" collapsed="false">
      <c r="A717" s="6" t="s">
        <v>2765</v>
      </c>
      <c r="B717" s="6" t="s">
        <v>456</v>
      </c>
      <c r="C717" s="9" t="s">
        <v>2766</v>
      </c>
      <c r="D717" s="9" t="s">
        <v>959</v>
      </c>
      <c r="E717" s="9" t="s">
        <v>555</v>
      </c>
      <c r="F717" s="9" t="s">
        <v>2767</v>
      </c>
      <c r="H717" s="9" t="s">
        <v>550</v>
      </c>
      <c r="M717" s="6" t="n">
        <v>2508</v>
      </c>
      <c r="Q717" s="1" t="str">
        <f aca="false">IF(OR($A717="",P717=""),"",ROUND(YEARFRAC(P717,README!$C$5),1))</f>
        <v/>
      </c>
      <c r="S717" s="6" t="n">
        <v>1300</v>
      </c>
      <c r="T717" s="6" t="n">
        <v>1350</v>
      </c>
      <c r="U717" s="6" t="n">
        <v>1570</v>
      </c>
      <c r="V717" s="6" t="n">
        <v>220</v>
      </c>
      <c r="W717" s="6" t="n">
        <v>1</v>
      </c>
      <c r="X717" s="6" t="n">
        <v>99</v>
      </c>
      <c r="Y717" s="6" t="n">
        <v>3.1</v>
      </c>
      <c r="Z717" s="6" t="s">
        <v>2416</v>
      </c>
      <c r="AA717" s="9" t="s">
        <v>528</v>
      </c>
      <c r="AB717" s="6" t="s">
        <v>2768</v>
      </c>
      <c r="AE717" s="37" t="n">
        <f aca="false">COUNTIF(環境認証!$A$2:$A$849,A717)</f>
        <v>0</v>
      </c>
      <c r="AF717" s="6" t="n">
        <v>16.3</v>
      </c>
      <c r="AG717" s="6" t="n">
        <v>20.8</v>
      </c>
    </row>
    <row r="718" customFormat="false" ht="15" hidden="false" customHeight="true" outlineLevel="0" collapsed="false">
      <c r="A718" s="6" t="s">
        <v>2769</v>
      </c>
      <c r="B718" s="6" t="s">
        <v>456</v>
      </c>
      <c r="C718" s="9" t="s">
        <v>2770</v>
      </c>
      <c r="D718" s="9" t="s">
        <v>959</v>
      </c>
      <c r="E718" s="9" t="s">
        <v>523</v>
      </c>
      <c r="F718" s="9" t="s">
        <v>539</v>
      </c>
      <c r="H718" s="9" t="s">
        <v>540</v>
      </c>
      <c r="M718" s="6" t="n">
        <v>993.85</v>
      </c>
      <c r="Q718" s="1" t="str">
        <f aca="false">IF(OR($A718="",P718=""),"",ROUND(YEARFRAC(P718,README!$C$5),1))</f>
        <v/>
      </c>
      <c r="S718" s="6" t="n">
        <v>900</v>
      </c>
      <c r="T718" s="6" t="n">
        <v>940</v>
      </c>
      <c r="U718" s="6" t="n">
        <v>1110</v>
      </c>
      <c r="V718" s="6" t="n">
        <v>170</v>
      </c>
      <c r="W718" s="6" t="n">
        <v>1</v>
      </c>
      <c r="X718" s="6" t="n">
        <v>33</v>
      </c>
      <c r="Y718" s="6" t="n">
        <v>9.6</v>
      </c>
      <c r="Z718" s="6" t="s">
        <v>2416</v>
      </c>
      <c r="AA718" s="9" t="s">
        <v>528</v>
      </c>
      <c r="AB718" s="6" t="s">
        <v>2771</v>
      </c>
      <c r="AE718" s="37" t="n">
        <f aca="false">COUNTIF(環境認証!$A$2:$A$849,A718)</f>
        <v>0</v>
      </c>
      <c r="AF718" s="6" t="n">
        <v>18.1</v>
      </c>
      <c r="AG718" s="6" t="n">
        <v>23.3</v>
      </c>
    </row>
    <row r="719" customFormat="false" ht="15" hidden="false" customHeight="true" outlineLevel="0" collapsed="false">
      <c r="A719" s="6" t="s">
        <v>2772</v>
      </c>
      <c r="B719" s="6" t="s">
        <v>456</v>
      </c>
      <c r="C719" s="9" t="s">
        <v>2773</v>
      </c>
      <c r="D719" s="9" t="s">
        <v>959</v>
      </c>
      <c r="E719" s="9" t="s">
        <v>547</v>
      </c>
      <c r="F719" s="9" t="s">
        <v>2774</v>
      </c>
      <c r="H719" s="9" t="s">
        <v>550</v>
      </c>
      <c r="M719" s="6" t="n">
        <v>3352.21</v>
      </c>
      <c r="Q719" s="1" t="str">
        <f aca="false">IF(OR($A719="",P719=""),"",ROUND(YEARFRAC(P719,README!$C$5),1))</f>
        <v/>
      </c>
      <c r="S719" s="6" t="n">
        <v>1870</v>
      </c>
      <c r="T719" s="6" t="n">
        <v>2007</v>
      </c>
      <c r="U719" s="6" t="n">
        <v>2160</v>
      </c>
      <c r="V719" s="6" t="n">
        <v>153</v>
      </c>
      <c r="W719" s="6" t="n">
        <v>1</v>
      </c>
      <c r="X719" s="6" t="n">
        <v>40</v>
      </c>
      <c r="Y719" s="6" t="n">
        <v>10.3</v>
      </c>
      <c r="Z719" s="6" t="s">
        <v>2416</v>
      </c>
      <c r="AA719" s="9" t="s">
        <v>528</v>
      </c>
      <c r="AB719" s="6" t="s">
        <v>2775</v>
      </c>
      <c r="AE719" s="37" t="n">
        <f aca="false">COUNTIF(環境認証!$A$2:$A$849,A719)</f>
        <v>1</v>
      </c>
      <c r="AF719" s="6" t="n">
        <v>7.6</v>
      </c>
      <c r="AG719" s="6" t="n">
        <v>15.5</v>
      </c>
    </row>
    <row r="720" customFormat="false" ht="15" hidden="false" customHeight="true" outlineLevel="0" collapsed="false">
      <c r="A720" s="6" t="s">
        <v>2776</v>
      </c>
      <c r="B720" s="6" t="s">
        <v>456</v>
      </c>
      <c r="C720" s="9" t="s">
        <v>2777</v>
      </c>
      <c r="D720" s="9" t="s">
        <v>959</v>
      </c>
      <c r="E720" s="9" t="s">
        <v>555</v>
      </c>
      <c r="F720" s="9" t="s">
        <v>1271</v>
      </c>
      <c r="H720" s="9" t="s">
        <v>550</v>
      </c>
      <c r="M720" s="6" t="n">
        <v>2325</v>
      </c>
      <c r="Q720" s="1" t="str">
        <f aca="false">IF(OR($A720="",P720=""),"",ROUND(YEARFRAC(P720,README!$C$5),1))</f>
        <v/>
      </c>
      <c r="S720" s="6" t="n">
        <v>1260</v>
      </c>
      <c r="T720" s="6" t="n">
        <v>1334</v>
      </c>
      <c r="U720" s="6" t="n">
        <v>1720</v>
      </c>
      <c r="V720" s="6" t="n">
        <v>386</v>
      </c>
      <c r="W720" s="6" t="n">
        <v>0.9801</v>
      </c>
      <c r="X720" s="6" t="n">
        <v>89</v>
      </c>
      <c r="Y720" s="6" t="n">
        <v>10.6</v>
      </c>
      <c r="Z720" s="6" t="s">
        <v>2416</v>
      </c>
      <c r="AA720" s="9" t="s">
        <v>528</v>
      </c>
      <c r="AB720" s="6" t="s">
        <v>2778</v>
      </c>
      <c r="AE720" s="37" t="n">
        <f aca="false">COUNTIF(環境認証!$A$2:$A$849,A720)</f>
        <v>0</v>
      </c>
      <c r="AF720" s="6" t="n">
        <v>28.9</v>
      </c>
      <c r="AG720" s="6" t="n">
        <v>36.5</v>
      </c>
    </row>
    <row r="721" customFormat="false" ht="15" hidden="false" customHeight="true" outlineLevel="0" collapsed="false">
      <c r="A721" s="6" t="s">
        <v>2779</v>
      </c>
      <c r="B721" s="6" t="s">
        <v>456</v>
      </c>
      <c r="C721" s="9" t="s">
        <v>2780</v>
      </c>
      <c r="D721" s="9" t="s">
        <v>959</v>
      </c>
      <c r="E721" s="9" t="s">
        <v>523</v>
      </c>
      <c r="F721" s="9" t="s">
        <v>2781</v>
      </c>
      <c r="H721" s="9" t="s">
        <v>540</v>
      </c>
      <c r="M721" s="6" t="n">
        <v>2084.2</v>
      </c>
      <c r="Q721" s="1" t="str">
        <f aca="false">IF(OR($A721="",P721=""),"",ROUND(YEARFRAC(P721,README!$C$5),1))</f>
        <v/>
      </c>
      <c r="S721" s="6" t="n">
        <v>1210</v>
      </c>
      <c r="T721" s="6" t="n">
        <v>1230</v>
      </c>
      <c r="U721" s="6" t="n">
        <v>1620</v>
      </c>
      <c r="V721" s="6" t="n">
        <v>390</v>
      </c>
      <c r="W721" s="6" t="n">
        <v>0.9131</v>
      </c>
      <c r="X721" s="6" t="n">
        <v>46</v>
      </c>
      <c r="Y721" s="6" t="n">
        <v>14.8</v>
      </c>
      <c r="Z721" s="6" t="s">
        <v>2416</v>
      </c>
      <c r="AA721" s="9" t="s">
        <v>528</v>
      </c>
      <c r="AB721" s="6" t="s">
        <v>2782</v>
      </c>
      <c r="AE721" s="37" t="n">
        <f aca="false">COUNTIF(環境認証!$A$2:$A$849,A721)</f>
        <v>0</v>
      </c>
      <c r="AF721" s="6" t="n">
        <v>31.7</v>
      </c>
      <c r="AG721" s="6" t="n">
        <v>33.9</v>
      </c>
    </row>
    <row r="722" customFormat="false" ht="15" hidden="false" customHeight="true" outlineLevel="0" collapsed="false">
      <c r="A722" s="6" t="s">
        <v>2783</v>
      </c>
      <c r="B722" s="6" t="s">
        <v>456</v>
      </c>
      <c r="C722" s="9" t="s">
        <v>2784</v>
      </c>
      <c r="D722" s="9" t="s">
        <v>959</v>
      </c>
      <c r="E722" s="9" t="s">
        <v>567</v>
      </c>
      <c r="F722" s="9" t="s">
        <v>676</v>
      </c>
      <c r="H722" s="9" t="s">
        <v>569</v>
      </c>
      <c r="M722" s="6" t="n">
        <v>1946.35</v>
      </c>
      <c r="Q722" s="1" t="str">
        <f aca="false">IF(OR($A722="",P722=""),"",ROUND(YEARFRAC(P722,README!$C$5),1))</f>
        <v/>
      </c>
      <c r="S722" s="6" t="n">
        <v>860</v>
      </c>
      <c r="T722" s="6" t="n">
        <v>924</v>
      </c>
      <c r="U722" s="6" t="n">
        <v>929</v>
      </c>
      <c r="V722" s="6" t="n">
        <v>5</v>
      </c>
      <c r="W722" s="6" t="n">
        <v>0.9589</v>
      </c>
      <c r="X722" s="6" t="n">
        <v>68</v>
      </c>
      <c r="Y722" s="6" t="n">
        <v>11.8</v>
      </c>
      <c r="Z722" s="6" t="s">
        <v>2416</v>
      </c>
      <c r="AA722" s="9" t="s">
        <v>528</v>
      </c>
      <c r="AB722" s="6" t="s">
        <v>2785</v>
      </c>
      <c r="AE722" s="37" t="n">
        <f aca="false">COUNTIF(環境認証!$A$2:$A$849,A722)</f>
        <v>0</v>
      </c>
      <c r="AF722" s="6" t="n">
        <v>0.5</v>
      </c>
      <c r="AG722" s="6" t="n">
        <v>8</v>
      </c>
    </row>
    <row r="723" customFormat="false" ht="15" hidden="false" customHeight="true" outlineLevel="0" collapsed="false">
      <c r="A723" s="6" t="s">
        <v>2786</v>
      </c>
      <c r="B723" s="6" t="s">
        <v>456</v>
      </c>
      <c r="C723" s="9" t="s">
        <v>2787</v>
      </c>
      <c r="D723" s="9" t="s">
        <v>959</v>
      </c>
      <c r="E723" s="9" t="s">
        <v>567</v>
      </c>
      <c r="F723" s="9" t="s">
        <v>676</v>
      </c>
      <c r="H723" s="9" t="s">
        <v>569</v>
      </c>
      <c r="M723" s="6" t="n">
        <v>1353.42</v>
      </c>
      <c r="Q723" s="1" t="str">
        <f aca="false">IF(OR($A723="",P723=""),"",ROUND(YEARFRAC(P723,README!$C$5),1))</f>
        <v/>
      </c>
      <c r="S723" s="6" t="n">
        <v>610</v>
      </c>
      <c r="T723" s="6" t="n">
        <v>657</v>
      </c>
      <c r="U723" s="6" t="n">
        <v>640</v>
      </c>
      <c r="V723" s="6" t="n">
        <v>-17</v>
      </c>
      <c r="W723" s="6" t="n">
        <v>1</v>
      </c>
      <c r="X723" s="6" t="n">
        <v>36</v>
      </c>
      <c r="Y723" s="6" t="n">
        <v>11.8</v>
      </c>
      <c r="Z723" s="6" t="s">
        <v>2416</v>
      </c>
      <c r="AA723" s="9" t="s">
        <v>528</v>
      </c>
      <c r="AB723" s="6" t="s">
        <v>2788</v>
      </c>
      <c r="AE723" s="37" t="n">
        <f aca="false">COUNTIF(環境認証!$A$2:$A$849,A723)</f>
        <v>0</v>
      </c>
      <c r="AF723" s="6" t="n">
        <v>-2.6</v>
      </c>
      <c r="AG723" s="6" t="n">
        <v>4.9</v>
      </c>
    </row>
    <row r="724" customFormat="false" ht="15" hidden="false" customHeight="true" outlineLevel="0" collapsed="false">
      <c r="A724" s="6" t="s">
        <v>2789</v>
      </c>
      <c r="B724" s="6" t="s">
        <v>456</v>
      </c>
      <c r="C724" s="9" t="s">
        <v>2790</v>
      </c>
      <c r="D724" s="9" t="s">
        <v>959</v>
      </c>
      <c r="E724" s="9" t="s">
        <v>523</v>
      </c>
      <c r="F724" s="9" t="s">
        <v>916</v>
      </c>
      <c r="H724" s="9" t="s">
        <v>540</v>
      </c>
      <c r="M724" s="6" t="n">
        <v>1289.94</v>
      </c>
      <c r="Q724" s="1" t="str">
        <f aca="false">IF(OR($A724="",P724=""),"",ROUND(YEARFRAC(P724,README!$C$5),1))</f>
        <v/>
      </c>
      <c r="S724" s="6" t="n">
        <v>1050</v>
      </c>
      <c r="T724" s="6" t="n">
        <v>1090</v>
      </c>
      <c r="U724" s="6" t="n">
        <v>1320</v>
      </c>
      <c r="V724" s="6" t="n">
        <v>230</v>
      </c>
      <c r="W724" s="6" t="n">
        <v>1</v>
      </c>
      <c r="X724" s="6" t="n">
        <v>33</v>
      </c>
      <c r="Y724" s="6" t="n">
        <v>5.3</v>
      </c>
      <c r="Z724" s="6" t="s">
        <v>2416</v>
      </c>
      <c r="AA724" s="9" t="s">
        <v>528</v>
      </c>
      <c r="AB724" s="6" t="s">
        <v>2791</v>
      </c>
      <c r="AE724" s="37" t="n">
        <f aca="false">COUNTIF(環境認証!$A$2:$A$849,A724)</f>
        <v>0</v>
      </c>
      <c r="AF724" s="6" t="n">
        <v>21.1</v>
      </c>
      <c r="AG724" s="6" t="n">
        <v>25.7</v>
      </c>
    </row>
    <row r="725" customFormat="false" ht="15" hidden="false" customHeight="true" outlineLevel="0" collapsed="false">
      <c r="A725" s="6" t="s">
        <v>2792</v>
      </c>
      <c r="B725" s="6" t="s">
        <v>456</v>
      </c>
      <c r="C725" s="9" t="s">
        <v>2793</v>
      </c>
      <c r="D725" s="9" t="s">
        <v>959</v>
      </c>
      <c r="E725" s="9" t="s">
        <v>523</v>
      </c>
      <c r="F725" s="9" t="s">
        <v>539</v>
      </c>
      <c r="H725" s="9" t="s">
        <v>540</v>
      </c>
      <c r="M725" s="6" t="n">
        <v>2317.84</v>
      </c>
      <c r="Q725" s="1" t="str">
        <f aca="false">IF(OR($A725="",P725=""),"",ROUND(YEARFRAC(P725,README!$C$5),1))</f>
        <v/>
      </c>
      <c r="S725" s="6" t="n">
        <v>2500</v>
      </c>
      <c r="T725" s="6" t="n">
        <v>2604</v>
      </c>
      <c r="U725" s="6" t="n">
        <v>2910</v>
      </c>
      <c r="V725" s="6" t="n">
        <v>306</v>
      </c>
      <c r="W725" s="6" t="n">
        <v>1</v>
      </c>
      <c r="X725" s="6" t="n">
        <v>56</v>
      </c>
      <c r="Y725" s="6" t="n">
        <v>3.3</v>
      </c>
      <c r="Z725" s="6" t="s">
        <v>2416</v>
      </c>
      <c r="AA725" s="9" t="s">
        <v>528</v>
      </c>
      <c r="AB725" s="6" t="s">
        <v>2794</v>
      </c>
      <c r="AE725" s="37" t="n">
        <f aca="false">COUNTIF(環境認証!$A$2:$A$849,A725)</f>
        <v>0</v>
      </c>
      <c r="AF725" s="6" t="n">
        <v>11.8</v>
      </c>
      <c r="AG725" s="6" t="n">
        <v>16.4</v>
      </c>
    </row>
    <row r="726" customFormat="false" ht="15" hidden="false" customHeight="true" outlineLevel="0" collapsed="false">
      <c r="A726" s="6" t="s">
        <v>2795</v>
      </c>
      <c r="B726" s="6" t="s">
        <v>456</v>
      </c>
      <c r="C726" s="9" t="s">
        <v>2796</v>
      </c>
      <c r="D726" s="9" t="s">
        <v>959</v>
      </c>
      <c r="E726" s="9" t="s">
        <v>523</v>
      </c>
      <c r="F726" s="9" t="s">
        <v>1312</v>
      </c>
      <c r="H726" s="9" t="s">
        <v>540</v>
      </c>
      <c r="M726" s="6" t="n">
        <v>1282.7</v>
      </c>
      <c r="Q726" s="1" t="str">
        <f aca="false">IF(OR($A726="",P726=""),"",ROUND(YEARFRAC(P726,README!$C$5),1))</f>
        <v/>
      </c>
      <c r="S726" s="6" t="n">
        <v>1200</v>
      </c>
      <c r="T726" s="6" t="n">
        <v>1265</v>
      </c>
      <c r="U726" s="6" t="n">
        <v>1340</v>
      </c>
      <c r="V726" s="6" t="n">
        <v>75</v>
      </c>
      <c r="W726" s="6" t="n">
        <v>0.9187</v>
      </c>
      <c r="X726" s="6" t="n">
        <v>24</v>
      </c>
      <c r="Y726" s="6" t="n">
        <v>11.2</v>
      </c>
      <c r="Z726" s="6" t="s">
        <v>2416</v>
      </c>
      <c r="AA726" s="9" t="s">
        <v>528</v>
      </c>
      <c r="AB726" s="6" t="s">
        <v>2797</v>
      </c>
      <c r="AE726" s="37" t="n">
        <f aca="false">COUNTIF(環境認証!$A$2:$A$849,A726)</f>
        <v>0</v>
      </c>
      <c r="AF726" s="6" t="n">
        <v>5.9</v>
      </c>
      <c r="AG726" s="6" t="n">
        <v>11.7</v>
      </c>
    </row>
    <row r="727" customFormat="false" ht="15" hidden="false" customHeight="true" outlineLevel="0" collapsed="false">
      <c r="A727" s="6" t="s">
        <v>2798</v>
      </c>
      <c r="B727" s="6" t="s">
        <v>456</v>
      </c>
      <c r="C727" s="9" t="s">
        <v>2799</v>
      </c>
      <c r="D727" s="9" t="s">
        <v>959</v>
      </c>
      <c r="E727" s="9" t="s">
        <v>523</v>
      </c>
      <c r="F727" s="9" t="s">
        <v>2480</v>
      </c>
      <c r="H727" s="9" t="s">
        <v>540</v>
      </c>
      <c r="M727" s="6" t="n">
        <v>3234.72</v>
      </c>
      <c r="Q727" s="1" t="str">
        <f aca="false">IF(OR($A727="",P727=""),"",ROUND(YEARFRAC(P727,README!$C$5),1))</f>
        <v/>
      </c>
      <c r="S727" s="6" t="n">
        <v>2510</v>
      </c>
      <c r="T727" s="6" t="n">
        <v>2671</v>
      </c>
      <c r="U727" s="6" t="n">
        <v>3290</v>
      </c>
      <c r="V727" s="6" t="n">
        <v>619</v>
      </c>
      <c r="W727" s="6" t="n">
        <v>1</v>
      </c>
      <c r="X727" s="6" t="n">
        <v>90</v>
      </c>
      <c r="Y727" s="6" t="n">
        <v>6.3</v>
      </c>
      <c r="Z727" s="6" t="s">
        <v>2416</v>
      </c>
      <c r="AA727" s="9" t="s">
        <v>528</v>
      </c>
      <c r="AB727" s="6" t="s">
        <v>2800</v>
      </c>
      <c r="AE727" s="37" t="n">
        <f aca="false">COUNTIF(環境認証!$A$2:$A$849,A727)</f>
        <v>1</v>
      </c>
      <c r="AF727" s="6" t="n">
        <v>23.2</v>
      </c>
      <c r="AG727" s="6" t="n">
        <v>31.1</v>
      </c>
    </row>
    <row r="728" customFormat="false" ht="15" hidden="false" customHeight="true" outlineLevel="0" collapsed="false">
      <c r="A728" s="6" t="s">
        <v>2801</v>
      </c>
      <c r="B728" s="6" t="s">
        <v>456</v>
      </c>
      <c r="C728" s="9" t="s">
        <v>2802</v>
      </c>
      <c r="D728" s="9" t="s">
        <v>959</v>
      </c>
      <c r="E728" s="9" t="s">
        <v>523</v>
      </c>
      <c r="F728" s="9" t="s">
        <v>609</v>
      </c>
      <c r="H728" s="9" t="s">
        <v>540</v>
      </c>
      <c r="M728" s="6" t="n">
        <v>1424.77</v>
      </c>
      <c r="Q728" s="1" t="str">
        <f aca="false">IF(OR($A728="",P728=""),"",ROUND(YEARFRAC(P728,README!$C$5),1))</f>
        <v/>
      </c>
      <c r="S728" s="6" t="n">
        <v>1380</v>
      </c>
      <c r="T728" s="6" t="n">
        <v>1404</v>
      </c>
      <c r="U728" s="6" t="n">
        <v>1690</v>
      </c>
      <c r="V728" s="6" t="n">
        <v>286</v>
      </c>
      <c r="W728" s="6" t="n">
        <v>1</v>
      </c>
      <c r="X728" s="6" t="n">
        <v>33</v>
      </c>
      <c r="Y728" s="6" t="n">
        <v>10</v>
      </c>
      <c r="Z728" s="6" t="s">
        <v>2416</v>
      </c>
      <c r="AA728" s="9" t="s">
        <v>528</v>
      </c>
      <c r="AB728" s="6" t="s">
        <v>2803</v>
      </c>
      <c r="AE728" s="37" t="n">
        <f aca="false">COUNTIF(環境認証!$A$2:$A$849,A728)</f>
        <v>0</v>
      </c>
      <c r="AF728" s="6" t="n">
        <v>20.4</v>
      </c>
      <c r="AG728" s="6" t="n">
        <v>22.5</v>
      </c>
    </row>
    <row r="729" customFormat="false" ht="15" hidden="false" customHeight="true" outlineLevel="0" collapsed="false">
      <c r="A729" s="6" t="s">
        <v>2804</v>
      </c>
      <c r="B729" s="6" t="s">
        <v>456</v>
      </c>
      <c r="C729" s="9" t="s">
        <v>2805</v>
      </c>
      <c r="D729" s="9" t="s">
        <v>959</v>
      </c>
      <c r="E729" s="9" t="s">
        <v>523</v>
      </c>
      <c r="F729" s="9" t="s">
        <v>906</v>
      </c>
      <c r="H729" s="9" t="s">
        <v>540</v>
      </c>
      <c r="M729" s="6" t="n">
        <v>3177.19</v>
      </c>
      <c r="Q729" s="1" t="str">
        <f aca="false">IF(OR($A729="",P729=""),"",ROUND(YEARFRAC(P729,README!$C$5),1))</f>
        <v/>
      </c>
      <c r="S729" s="6" t="n">
        <v>5300</v>
      </c>
      <c r="T729" s="6" t="n">
        <v>5640</v>
      </c>
      <c r="U729" s="6" t="n">
        <v>6330</v>
      </c>
      <c r="V729" s="6" t="n">
        <v>690</v>
      </c>
      <c r="W729" s="6" t="n">
        <v>0.8984</v>
      </c>
      <c r="X729" s="6" t="n">
        <v>57</v>
      </c>
      <c r="Y729" s="6" t="n">
        <v>3.4</v>
      </c>
      <c r="Z729" s="6" t="s">
        <v>2416</v>
      </c>
      <c r="AA729" s="9" t="s">
        <v>528</v>
      </c>
      <c r="AB729" s="6" t="s">
        <v>2806</v>
      </c>
      <c r="AE729" s="37" t="n">
        <f aca="false">COUNTIF(環境認証!$A$2:$A$849,A729)</f>
        <v>0</v>
      </c>
      <c r="AF729" s="6" t="n">
        <v>12.2</v>
      </c>
      <c r="AG729" s="6" t="n">
        <v>19.4</v>
      </c>
    </row>
    <row r="730" customFormat="false" ht="15" hidden="false" customHeight="true" outlineLevel="0" collapsed="false">
      <c r="A730" s="6" t="s">
        <v>2807</v>
      </c>
      <c r="B730" s="6" t="s">
        <v>456</v>
      </c>
      <c r="C730" s="9" t="s">
        <v>2808</v>
      </c>
      <c r="D730" s="9" t="s">
        <v>959</v>
      </c>
      <c r="E730" s="9" t="s">
        <v>523</v>
      </c>
      <c r="F730" s="9" t="s">
        <v>2126</v>
      </c>
      <c r="H730" s="9" t="s">
        <v>540</v>
      </c>
      <c r="M730" s="6" t="n">
        <v>901.54</v>
      </c>
      <c r="Q730" s="1" t="str">
        <f aca="false">IF(OR($A730="",P730=""),"",ROUND(YEARFRAC(P730,README!$C$5),1))</f>
        <v/>
      </c>
      <c r="S730" s="6" t="n">
        <v>1040</v>
      </c>
      <c r="T730" s="6" t="n">
        <v>1074</v>
      </c>
      <c r="U730" s="6" t="n">
        <v>1270</v>
      </c>
      <c r="V730" s="6" t="n">
        <v>196</v>
      </c>
      <c r="W730" s="6" t="n">
        <v>0.8869</v>
      </c>
      <c r="X730" s="6" t="n">
        <v>29</v>
      </c>
      <c r="Y730" s="6" t="n">
        <v>1.2</v>
      </c>
      <c r="Z730" s="6" t="s">
        <v>2416</v>
      </c>
      <c r="AA730" s="9" t="s">
        <v>528</v>
      </c>
      <c r="AB730" s="6" t="s">
        <v>2809</v>
      </c>
      <c r="AE730" s="37" t="n">
        <f aca="false">COUNTIF(環境認証!$A$2:$A$849,A730)</f>
        <v>0</v>
      </c>
      <c r="AF730" s="6" t="n">
        <v>18.2</v>
      </c>
      <c r="AG730" s="6" t="n">
        <v>22.1</v>
      </c>
    </row>
    <row r="731" customFormat="false" ht="15" hidden="false" customHeight="true" outlineLevel="0" collapsed="false">
      <c r="A731" s="6" t="s">
        <v>2810</v>
      </c>
      <c r="B731" s="6" t="s">
        <v>456</v>
      </c>
      <c r="C731" s="9" t="s">
        <v>2811</v>
      </c>
      <c r="D731" s="9" t="s">
        <v>959</v>
      </c>
      <c r="E731" s="9" t="s">
        <v>523</v>
      </c>
      <c r="F731" s="9" t="s">
        <v>2126</v>
      </c>
      <c r="H731" s="9" t="s">
        <v>540</v>
      </c>
      <c r="M731" s="6" t="n">
        <v>766.83</v>
      </c>
      <c r="Q731" s="1" t="str">
        <f aca="false">IF(OR($A731="",P731=""),"",ROUND(YEARFRAC(P731,README!$C$5),1))</f>
        <v/>
      </c>
      <c r="S731" s="6" t="n">
        <v>880</v>
      </c>
      <c r="T731" s="6" t="n">
        <v>909</v>
      </c>
      <c r="U731" s="6" t="n">
        <v>1080</v>
      </c>
      <c r="V731" s="6" t="n">
        <v>171</v>
      </c>
      <c r="W731" s="6" t="n">
        <v>0.9329</v>
      </c>
      <c r="X731" s="6" t="n">
        <v>28</v>
      </c>
      <c r="Y731" s="6" t="n">
        <v>0.9</v>
      </c>
      <c r="Z731" s="6" t="s">
        <v>2416</v>
      </c>
      <c r="AA731" s="9" t="s">
        <v>528</v>
      </c>
      <c r="AB731" s="6" t="s">
        <v>2812</v>
      </c>
      <c r="AE731" s="37" t="n">
        <f aca="false">COUNTIF(環境認証!$A$2:$A$849,A731)</f>
        <v>0</v>
      </c>
      <c r="AF731" s="6" t="n">
        <v>18.8</v>
      </c>
      <c r="AG731" s="6" t="n">
        <v>22.7</v>
      </c>
    </row>
    <row r="732" customFormat="false" ht="15" hidden="false" customHeight="true" outlineLevel="0" collapsed="false">
      <c r="A732" s="6" t="s">
        <v>2813</v>
      </c>
      <c r="B732" s="6" t="s">
        <v>456</v>
      </c>
      <c r="C732" s="9" t="s">
        <v>2814</v>
      </c>
      <c r="D732" s="9" t="s">
        <v>959</v>
      </c>
      <c r="E732" s="9" t="s">
        <v>523</v>
      </c>
      <c r="F732" s="9" t="s">
        <v>1926</v>
      </c>
      <c r="H732" s="9" t="s">
        <v>540</v>
      </c>
      <c r="M732" s="6" t="n">
        <v>1088.72</v>
      </c>
      <c r="Q732" s="1" t="str">
        <f aca="false">IF(OR($A732="",P732=""),"",ROUND(YEARFRAC(P732,README!$C$5),1))</f>
        <v/>
      </c>
      <c r="S732" s="6" t="n">
        <v>1050</v>
      </c>
      <c r="T732" s="6" t="n">
        <v>1093</v>
      </c>
      <c r="U732" s="6" t="n">
        <v>1240</v>
      </c>
      <c r="V732" s="6" t="n">
        <v>147</v>
      </c>
      <c r="W732" s="6" t="n">
        <v>1</v>
      </c>
      <c r="X732" s="6" t="n">
        <v>34</v>
      </c>
      <c r="Y732" s="6" t="n">
        <v>2.3</v>
      </c>
      <c r="Z732" s="6" t="s">
        <v>2416</v>
      </c>
      <c r="AA732" s="9" t="s">
        <v>528</v>
      </c>
      <c r="AB732" s="6" t="s">
        <v>2815</v>
      </c>
      <c r="AE732" s="37" t="n">
        <f aca="false">COUNTIF(環境認証!$A$2:$A$849,A732)</f>
        <v>0</v>
      </c>
      <c r="AF732" s="6" t="n">
        <v>13.4</v>
      </c>
      <c r="AG732" s="6" t="n">
        <v>18.1</v>
      </c>
    </row>
    <row r="733" customFormat="false" ht="15" hidden="false" customHeight="true" outlineLevel="0" collapsed="false">
      <c r="A733" s="6" t="s">
        <v>2816</v>
      </c>
      <c r="B733" s="6" t="s">
        <v>456</v>
      </c>
      <c r="C733" s="9" t="s">
        <v>2817</v>
      </c>
      <c r="D733" s="9" t="s">
        <v>959</v>
      </c>
      <c r="E733" s="9" t="s">
        <v>523</v>
      </c>
      <c r="F733" s="9" t="s">
        <v>609</v>
      </c>
      <c r="H733" s="9" t="s">
        <v>540</v>
      </c>
      <c r="M733" s="6" t="n">
        <v>787.98</v>
      </c>
      <c r="Q733" s="1" t="str">
        <f aca="false">IF(OR($A733="",P733=""),"",ROUND(YEARFRAC(P733,README!$C$5),1))</f>
        <v/>
      </c>
      <c r="S733" s="6" t="n">
        <v>880</v>
      </c>
      <c r="T733" s="6" t="n">
        <v>913</v>
      </c>
      <c r="U733" s="6" t="n">
        <v>1070</v>
      </c>
      <c r="V733" s="6" t="n">
        <v>157</v>
      </c>
      <c r="W733" s="6" t="n">
        <v>1</v>
      </c>
      <c r="X733" s="6" t="n">
        <v>24</v>
      </c>
      <c r="Y733" s="6" t="n">
        <v>14</v>
      </c>
      <c r="Z733" s="6" t="s">
        <v>2416</v>
      </c>
      <c r="AA733" s="9" t="s">
        <v>528</v>
      </c>
      <c r="AB733" s="6" t="s">
        <v>2818</v>
      </c>
      <c r="AE733" s="37" t="n">
        <f aca="false">COUNTIF(環境認証!$A$2:$A$849,A733)</f>
        <v>0</v>
      </c>
      <c r="AF733" s="6" t="n">
        <v>17.2</v>
      </c>
      <c r="AG733" s="6" t="n">
        <v>21.6</v>
      </c>
    </row>
    <row r="734" customFormat="false" ht="15" hidden="false" customHeight="true" outlineLevel="0" collapsed="false">
      <c r="A734" s="6" t="s">
        <v>2819</v>
      </c>
      <c r="B734" s="6" t="s">
        <v>456</v>
      </c>
      <c r="C734" s="9" t="s">
        <v>2820</v>
      </c>
      <c r="D734" s="9" t="s">
        <v>959</v>
      </c>
      <c r="E734" s="9" t="s">
        <v>523</v>
      </c>
      <c r="F734" s="9" t="s">
        <v>609</v>
      </c>
      <c r="H734" s="9" t="s">
        <v>540</v>
      </c>
      <c r="M734" s="6" t="n">
        <v>3071.54</v>
      </c>
      <c r="Q734" s="1" t="str">
        <f aca="false">IF(OR($A734="",P734=""),"",ROUND(YEARFRAC(P734,README!$C$5),1))</f>
        <v/>
      </c>
      <c r="S734" s="6" t="n">
        <v>2140</v>
      </c>
      <c r="T734" s="6" t="n">
        <v>2269</v>
      </c>
      <c r="U734" s="6" t="n">
        <v>2850</v>
      </c>
      <c r="V734" s="6" t="n">
        <v>581</v>
      </c>
      <c r="W734" s="6" t="n">
        <v>0.9738</v>
      </c>
      <c r="X734" s="6" t="n">
        <v>72</v>
      </c>
      <c r="Y734" s="6" t="n">
        <v>7.6</v>
      </c>
      <c r="Z734" s="6" t="s">
        <v>2416</v>
      </c>
      <c r="AA734" s="9" t="s">
        <v>528</v>
      </c>
      <c r="AB734" s="6" t="s">
        <v>2821</v>
      </c>
      <c r="AE734" s="37" t="n">
        <f aca="false">COUNTIF(環境認証!$A$2:$A$849,A734)</f>
        <v>0</v>
      </c>
      <c r="AF734" s="6" t="n">
        <v>25.6</v>
      </c>
      <c r="AG734" s="6" t="n">
        <v>33.2</v>
      </c>
    </row>
    <row r="735" customFormat="false" ht="15" hidden="false" customHeight="true" outlineLevel="0" collapsed="false">
      <c r="A735" s="6" t="s">
        <v>2822</v>
      </c>
      <c r="B735" s="6" t="s">
        <v>456</v>
      </c>
      <c r="C735" s="9" t="s">
        <v>2823</v>
      </c>
      <c r="D735" s="9" t="s">
        <v>959</v>
      </c>
      <c r="E735" s="9" t="s">
        <v>523</v>
      </c>
      <c r="F735" s="9" t="s">
        <v>609</v>
      </c>
      <c r="H735" s="9" t="s">
        <v>540</v>
      </c>
      <c r="M735" s="6" t="n">
        <v>852.4</v>
      </c>
      <c r="Q735" s="1" t="str">
        <f aca="false">IF(OR($A735="",P735=""),"",ROUND(YEARFRAC(P735,README!$C$5),1))</f>
        <v/>
      </c>
      <c r="S735" s="6" t="n">
        <v>970</v>
      </c>
      <c r="T735" s="6" t="n">
        <v>1005</v>
      </c>
      <c r="U735" s="6" t="n">
        <v>1190</v>
      </c>
      <c r="V735" s="6" t="n">
        <v>185</v>
      </c>
      <c r="W735" s="6" t="n">
        <v>0.9701</v>
      </c>
      <c r="X735" s="6" t="n">
        <v>27</v>
      </c>
      <c r="Y735" s="6" t="n">
        <v>12</v>
      </c>
      <c r="Z735" s="6" t="s">
        <v>2416</v>
      </c>
      <c r="AA735" s="9" t="s">
        <v>528</v>
      </c>
      <c r="AB735" s="6" t="s">
        <v>2824</v>
      </c>
      <c r="AE735" s="37" t="n">
        <f aca="false">COUNTIF(環境認証!$A$2:$A$849,A735)</f>
        <v>0</v>
      </c>
      <c r="AF735" s="6" t="n">
        <v>18.4</v>
      </c>
      <c r="AG735" s="6" t="n">
        <v>22.7</v>
      </c>
    </row>
    <row r="736" customFormat="false" ht="15" hidden="false" customHeight="true" outlineLevel="0" collapsed="false">
      <c r="A736" s="6" t="s">
        <v>2825</v>
      </c>
      <c r="B736" s="6" t="s">
        <v>456</v>
      </c>
      <c r="C736" s="9" t="s">
        <v>2826</v>
      </c>
      <c r="D736" s="9" t="s">
        <v>959</v>
      </c>
      <c r="E736" s="9" t="s">
        <v>523</v>
      </c>
      <c r="F736" s="9" t="s">
        <v>1312</v>
      </c>
      <c r="H736" s="9" t="s">
        <v>540</v>
      </c>
      <c r="M736" s="6" t="n">
        <v>1054.9</v>
      </c>
      <c r="Q736" s="1" t="str">
        <f aca="false">IF(OR($A736="",P736=""),"",ROUND(YEARFRAC(P736,README!$C$5),1))</f>
        <v/>
      </c>
      <c r="S736" s="6" t="n">
        <v>1300</v>
      </c>
      <c r="T736" s="6" t="n">
        <v>1356</v>
      </c>
      <c r="U736" s="6" t="n">
        <v>1610</v>
      </c>
      <c r="V736" s="6" t="n">
        <v>254</v>
      </c>
      <c r="W736" s="6" t="n">
        <v>0.923</v>
      </c>
      <c r="X736" s="6" t="n">
        <v>35</v>
      </c>
      <c r="Y736" s="6" t="n">
        <v>4</v>
      </c>
      <c r="Z736" s="6" t="s">
        <v>2416</v>
      </c>
      <c r="AA736" s="9" t="s">
        <v>528</v>
      </c>
      <c r="AB736" s="6" t="s">
        <v>2827</v>
      </c>
      <c r="AE736" s="37" t="n">
        <f aca="false">COUNTIF(環境認証!$A$2:$A$849,A736)</f>
        <v>0</v>
      </c>
      <c r="AF736" s="6" t="n">
        <v>18.7</v>
      </c>
      <c r="AG736" s="6" t="n">
        <v>23.8</v>
      </c>
    </row>
    <row r="737" customFormat="false" ht="15" hidden="false" customHeight="true" outlineLevel="0" collapsed="false">
      <c r="A737" s="6" t="s">
        <v>2828</v>
      </c>
      <c r="B737" s="6" t="s">
        <v>456</v>
      </c>
      <c r="C737" s="9" t="s">
        <v>2829</v>
      </c>
      <c r="D737" s="9" t="s">
        <v>959</v>
      </c>
      <c r="E737" s="9" t="s">
        <v>523</v>
      </c>
      <c r="F737" s="9" t="s">
        <v>2582</v>
      </c>
      <c r="H737" s="9" t="s">
        <v>540</v>
      </c>
      <c r="M737" s="6" t="n">
        <v>1501.01</v>
      </c>
      <c r="Q737" s="1" t="str">
        <f aca="false">IF(OR($A737="",P737=""),"",ROUND(YEARFRAC(P737,README!$C$5),1))</f>
        <v/>
      </c>
      <c r="S737" s="6" t="n">
        <v>1600</v>
      </c>
      <c r="T737" s="6" t="n">
        <v>1708</v>
      </c>
      <c r="U737" s="6" t="n">
        <v>1920</v>
      </c>
      <c r="V737" s="6" t="n">
        <v>212</v>
      </c>
      <c r="W737" s="6" t="n">
        <v>0.875</v>
      </c>
      <c r="X737" s="6" t="n">
        <v>40</v>
      </c>
      <c r="Y737" s="6" t="n">
        <v>5.3</v>
      </c>
      <c r="Z737" s="6" t="s">
        <v>2416</v>
      </c>
      <c r="AA737" s="9" t="s">
        <v>528</v>
      </c>
      <c r="AB737" s="6" t="s">
        <v>2830</v>
      </c>
      <c r="AE737" s="37" t="n">
        <f aca="false">COUNTIF(環境認証!$A$2:$A$849,A737)</f>
        <v>0</v>
      </c>
      <c r="AF737" s="6" t="n">
        <v>12.4</v>
      </c>
      <c r="AG737" s="6" t="n">
        <v>20</v>
      </c>
    </row>
    <row r="738" customFormat="false" ht="15" hidden="false" customHeight="true" outlineLevel="0" collapsed="false">
      <c r="A738" s="6" t="s">
        <v>2831</v>
      </c>
      <c r="B738" s="6" t="s">
        <v>456</v>
      </c>
      <c r="C738" s="9" t="s">
        <v>2832</v>
      </c>
      <c r="D738" s="9" t="s">
        <v>959</v>
      </c>
      <c r="E738" s="9" t="s">
        <v>523</v>
      </c>
      <c r="F738" s="9" t="s">
        <v>1926</v>
      </c>
      <c r="H738" s="9" t="s">
        <v>540</v>
      </c>
      <c r="M738" s="6" t="n">
        <v>1769.81</v>
      </c>
      <c r="Q738" s="1" t="str">
        <f aca="false">IF(OR($A738="",P738=""),"",ROUND(YEARFRAC(P738,README!$C$5),1))</f>
        <v/>
      </c>
      <c r="S738" s="6" t="n">
        <v>1980</v>
      </c>
      <c r="T738" s="6" t="n">
        <v>2107</v>
      </c>
      <c r="U738" s="6" t="n">
        <v>2470</v>
      </c>
      <c r="V738" s="6" t="n">
        <v>363</v>
      </c>
      <c r="W738" s="6" t="n">
        <v>0.9798</v>
      </c>
      <c r="X738" s="6" t="n">
        <v>52</v>
      </c>
      <c r="Y738" s="6" t="n">
        <v>5.8</v>
      </c>
      <c r="Z738" s="6" t="s">
        <v>2416</v>
      </c>
      <c r="AA738" s="9" t="s">
        <v>528</v>
      </c>
      <c r="AB738" s="6" t="s">
        <v>2833</v>
      </c>
      <c r="AE738" s="37" t="n">
        <f aca="false">COUNTIF(環境認証!$A$2:$A$849,A738)</f>
        <v>0</v>
      </c>
      <c r="AF738" s="6" t="n">
        <v>17.2</v>
      </c>
      <c r="AG738" s="6" t="n">
        <v>24.7</v>
      </c>
    </row>
    <row r="739" customFormat="false" ht="15" hidden="false" customHeight="true" outlineLevel="0" collapsed="false">
      <c r="A739" s="6" t="s">
        <v>2834</v>
      </c>
      <c r="B739" s="6" t="s">
        <v>456</v>
      </c>
      <c r="C739" s="9" t="s">
        <v>2835</v>
      </c>
      <c r="D739" s="9" t="s">
        <v>959</v>
      </c>
      <c r="E739" s="9" t="s">
        <v>523</v>
      </c>
      <c r="F739" s="9" t="s">
        <v>2836</v>
      </c>
      <c r="H739" s="9" t="s">
        <v>540</v>
      </c>
      <c r="M739" s="6" t="n">
        <v>1185.36</v>
      </c>
      <c r="Q739" s="1" t="str">
        <f aca="false">IF(OR($A739="",P739=""),"",ROUND(YEARFRAC(P739,README!$C$5),1))</f>
        <v/>
      </c>
      <c r="S739" s="6" t="n">
        <v>1250</v>
      </c>
      <c r="T739" s="6" t="n">
        <v>1336</v>
      </c>
      <c r="U739" s="6" t="n">
        <v>1540</v>
      </c>
      <c r="V739" s="6" t="n">
        <v>204</v>
      </c>
      <c r="W739" s="6" t="n">
        <v>1</v>
      </c>
      <c r="X739" s="6" t="n">
        <v>44</v>
      </c>
      <c r="Y739" s="6" t="n">
        <v>8.8</v>
      </c>
      <c r="Z739" s="6" t="s">
        <v>2416</v>
      </c>
      <c r="AA739" s="9" t="s">
        <v>528</v>
      </c>
      <c r="AB739" s="6" t="s">
        <v>2837</v>
      </c>
      <c r="AE739" s="37" t="n">
        <f aca="false">COUNTIF(環境認証!$A$2:$A$849,A739)</f>
        <v>0</v>
      </c>
      <c r="AF739" s="6" t="n">
        <v>15.3</v>
      </c>
      <c r="AG739" s="6" t="n">
        <v>23.2</v>
      </c>
    </row>
    <row r="740" customFormat="false" ht="15" hidden="false" customHeight="true" outlineLevel="0" collapsed="false">
      <c r="A740" s="6" t="s">
        <v>2838</v>
      </c>
      <c r="B740" s="6" t="s">
        <v>456</v>
      </c>
      <c r="C740" s="9" t="s">
        <v>2839</v>
      </c>
      <c r="D740" s="9" t="s">
        <v>1944</v>
      </c>
      <c r="H740" s="6" t="s">
        <v>619</v>
      </c>
      <c r="I740" s="6" t="s">
        <v>2840</v>
      </c>
      <c r="M740" s="6" t="n">
        <v>341660.22</v>
      </c>
      <c r="Q740" s="1" t="str">
        <f aca="false">IF(OR($A740="",P740=""),"",ROUND(YEARFRAC(P740,README!$C$5),1))</f>
        <v/>
      </c>
      <c r="S740" s="6" t="n">
        <v>265046</v>
      </c>
      <c r="T740" s="6" t="n">
        <v>261053.263</v>
      </c>
      <c r="U740" s="6" t="n">
        <v>331289.8</v>
      </c>
      <c r="V740" s="1" t="n">
        <f aca="false">IF($A740="","",IF(OR(T740="",U740=""),"",U740-T740))</f>
        <v>70236.537</v>
      </c>
      <c r="W740" s="6" t="n">
        <v>0.9765</v>
      </c>
      <c r="X740" s="6" t="n">
        <v>6298</v>
      </c>
      <c r="Y740" s="6" t="n">
        <v>3.9</v>
      </c>
      <c r="Z740" s="6" t="s">
        <v>2416</v>
      </c>
      <c r="AA740" s="44" t="s">
        <v>1168</v>
      </c>
      <c r="AB740" s="9" t="s">
        <v>2841</v>
      </c>
      <c r="AE740" s="37" t="n">
        <f aca="false">COUNTIF(環境認証!$A$2:$A$849,A740)</f>
        <v>0</v>
      </c>
    </row>
    <row r="741" customFormat="false" ht="15" hidden="false" customHeight="true" outlineLevel="0" collapsed="false">
      <c r="A741" s="6" t="s">
        <v>2842</v>
      </c>
      <c r="B741" s="6" t="s">
        <v>485</v>
      </c>
      <c r="C741" s="6" t="s">
        <v>2843</v>
      </c>
      <c r="D741" s="9" t="s">
        <v>522</v>
      </c>
      <c r="H741" s="9" t="s">
        <v>2844</v>
      </c>
      <c r="M741" s="6" t="n">
        <v>4379.2</v>
      </c>
      <c r="Q741" s="1" t="str">
        <f aca="false">IF(OR($A741="",P741=""),"",ROUND(YEARFRAC(P741,README!$C$5),1))</f>
        <v/>
      </c>
      <c r="S741" s="6" t="n">
        <v>4450</v>
      </c>
      <c r="T741" s="6" t="n">
        <v>3844</v>
      </c>
      <c r="U741" s="6" t="n">
        <v>5080</v>
      </c>
      <c r="V741" s="6" t="n">
        <v>1236</v>
      </c>
      <c r="W741" s="6" t="n">
        <v>1</v>
      </c>
      <c r="X741" s="6" t="n">
        <v>9</v>
      </c>
      <c r="Z741" s="6" t="s">
        <v>2845</v>
      </c>
      <c r="AA741" s="9" t="s">
        <v>528</v>
      </c>
      <c r="AB741" s="6" t="s">
        <v>2846</v>
      </c>
      <c r="AE741" s="37" t="n">
        <f aca="false">COUNTIF(環境認証!$A$2:$A$849,A741)</f>
        <v>1</v>
      </c>
      <c r="AF741" s="6" t="n">
        <v>32.2</v>
      </c>
      <c r="AG741" s="6" t="n">
        <v>14.2</v>
      </c>
    </row>
    <row r="742" customFormat="false" ht="15" hidden="false" customHeight="true" outlineLevel="0" collapsed="false">
      <c r="A742" s="6" t="s">
        <v>2847</v>
      </c>
      <c r="B742" s="6" t="s">
        <v>485</v>
      </c>
      <c r="C742" s="6" t="s">
        <v>2848</v>
      </c>
      <c r="D742" s="9" t="s">
        <v>522</v>
      </c>
      <c r="H742" s="9" t="s">
        <v>2844</v>
      </c>
      <c r="M742" s="6" t="n">
        <v>3323.14</v>
      </c>
      <c r="Q742" s="1" t="str">
        <f aca="false">IF(OR($A742="",P742=""),"",ROUND(YEARFRAC(P742,README!$C$5),1))</f>
        <v/>
      </c>
      <c r="S742" s="6" t="n">
        <v>3680</v>
      </c>
      <c r="T742" s="6" t="n">
        <v>3120</v>
      </c>
      <c r="U742" s="6" t="n">
        <v>3360</v>
      </c>
      <c r="V742" s="6" t="n">
        <v>240</v>
      </c>
      <c r="W742" s="6" t="n">
        <v>1</v>
      </c>
      <c r="X742" s="6" t="n">
        <v>4</v>
      </c>
      <c r="Z742" s="6" t="s">
        <v>2845</v>
      </c>
      <c r="AA742" s="9" t="s">
        <v>528</v>
      </c>
      <c r="AB742" s="6" t="s">
        <v>2849</v>
      </c>
      <c r="AE742" s="37" t="n">
        <f aca="false">COUNTIF(環境認証!$A$2:$A$849,A742)</f>
        <v>1</v>
      </c>
      <c r="AF742" s="6" t="n">
        <v>7.7</v>
      </c>
      <c r="AG742" s="6" t="n">
        <v>-8.7</v>
      </c>
    </row>
    <row r="743" customFormat="false" ht="15" hidden="false" customHeight="true" outlineLevel="0" collapsed="false">
      <c r="A743" s="6" t="s">
        <v>2850</v>
      </c>
      <c r="B743" s="6" t="s">
        <v>485</v>
      </c>
      <c r="C743" s="6" t="s">
        <v>2851</v>
      </c>
      <c r="D743" s="9" t="s">
        <v>522</v>
      </c>
      <c r="H743" s="9" t="s">
        <v>2844</v>
      </c>
      <c r="M743" s="6" t="n">
        <v>4286.99</v>
      </c>
      <c r="Q743" s="1" t="str">
        <f aca="false">IF(OR($A743="",P743=""),"",ROUND(YEARFRAC(P743,README!$C$5),1))</f>
        <v/>
      </c>
      <c r="S743" s="6" t="n">
        <v>2533</v>
      </c>
      <c r="T743" s="6" t="n">
        <v>2258</v>
      </c>
      <c r="U743" s="6" t="n">
        <v>2590</v>
      </c>
      <c r="V743" s="6" t="n">
        <v>332</v>
      </c>
      <c r="W743" s="6" t="n">
        <v>1</v>
      </c>
      <c r="X743" s="6" t="n">
        <v>28</v>
      </c>
      <c r="Z743" s="6" t="s">
        <v>2845</v>
      </c>
      <c r="AA743" s="9" t="s">
        <v>528</v>
      </c>
      <c r="AB743" s="6" t="s">
        <v>2852</v>
      </c>
      <c r="AE743" s="37" t="n">
        <f aca="false">COUNTIF(環境認証!$A$2:$A$849,A743)</f>
        <v>1</v>
      </c>
      <c r="AF743" s="6" t="n">
        <v>14.7</v>
      </c>
      <c r="AG743" s="6" t="n">
        <v>2.3</v>
      </c>
    </row>
    <row r="744" customFormat="false" ht="15" hidden="false" customHeight="true" outlineLevel="0" collapsed="false">
      <c r="A744" s="6" t="s">
        <v>2853</v>
      </c>
      <c r="B744" s="6" t="s">
        <v>485</v>
      </c>
      <c r="C744" s="6" t="s">
        <v>2854</v>
      </c>
      <c r="D744" s="9" t="s">
        <v>522</v>
      </c>
      <c r="H744" s="9" t="s">
        <v>2844</v>
      </c>
      <c r="M744" s="6" t="n">
        <v>1810.19</v>
      </c>
      <c r="Q744" s="1" t="str">
        <f aca="false">IF(OR($A744="",P744=""),"",ROUND(YEARFRAC(P744,README!$C$5),1))</f>
        <v/>
      </c>
      <c r="S744" s="6" t="n">
        <v>2270</v>
      </c>
      <c r="T744" s="6" t="n">
        <v>2194</v>
      </c>
      <c r="U744" s="6" t="n">
        <v>2850</v>
      </c>
      <c r="V744" s="6" t="n">
        <v>656</v>
      </c>
      <c r="W744" s="6" t="n">
        <v>0.767</v>
      </c>
      <c r="X744" s="6" t="n">
        <v>5</v>
      </c>
      <c r="Z744" s="6" t="s">
        <v>2845</v>
      </c>
      <c r="AA744" s="9" t="s">
        <v>528</v>
      </c>
      <c r="AB744" s="6" t="s">
        <v>2855</v>
      </c>
      <c r="AE744" s="37" t="n">
        <f aca="false">COUNTIF(環境認証!$A$2:$A$849,A744)</f>
        <v>0</v>
      </c>
      <c r="AF744" s="6" t="n">
        <v>29.9</v>
      </c>
      <c r="AG744" s="6" t="n">
        <v>25.6</v>
      </c>
    </row>
    <row r="745" customFormat="false" ht="15" hidden="false" customHeight="true" outlineLevel="0" collapsed="false">
      <c r="A745" s="6" t="s">
        <v>2856</v>
      </c>
      <c r="B745" s="6" t="s">
        <v>485</v>
      </c>
      <c r="C745" s="6" t="s">
        <v>2857</v>
      </c>
      <c r="D745" s="9" t="s">
        <v>522</v>
      </c>
      <c r="H745" s="9" t="s">
        <v>2844</v>
      </c>
      <c r="M745" s="6" t="n">
        <v>1918.22</v>
      </c>
      <c r="Q745" s="1" t="str">
        <f aca="false">IF(OR($A745="",P745=""),"",ROUND(YEARFRAC(P745,README!$C$5),1))</f>
        <v/>
      </c>
      <c r="S745" s="6" t="n">
        <v>1950</v>
      </c>
      <c r="T745" s="6" t="n">
        <v>1721</v>
      </c>
      <c r="U745" s="6" t="n">
        <v>1640</v>
      </c>
      <c r="V745" s="6" t="n">
        <v>-81</v>
      </c>
      <c r="W745" s="6" t="n">
        <v>1</v>
      </c>
      <c r="X745" s="6" t="n">
        <v>9</v>
      </c>
      <c r="Z745" s="6" t="s">
        <v>2845</v>
      </c>
      <c r="AA745" s="9" t="s">
        <v>528</v>
      </c>
      <c r="AB745" s="6" t="s">
        <v>2858</v>
      </c>
      <c r="AE745" s="37" t="n">
        <f aca="false">COUNTIF(環境認証!$A$2:$A$849,A745)</f>
        <v>1</v>
      </c>
      <c r="AF745" s="6" t="n">
        <v>-4.7</v>
      </c>
      <c r="AG745" s="6" t="n">
        <v>-15.9</v>
      </c>
    </row>
    <row r="746" customFormat="false" ht="15" hidden="false" customHeight="true" outlineLevel="0" collapsed="false">
      <c r="A746" s="6" t="s">
        <v>2859</v>
      </c>
      <c r="B746" s="6" t="s">
        <v>485</v>
      </c>
      <c r="C746" s="6" t="s">
        <v>2860</v>
      </c>
      <c r="D746" s="9" t="s">
        <v>522</v>
      </c>
      <c r="H746" s="9" t="s">
        <v>2844</v>
      </c>
      <c r="M746" s="6" t="n">
        <v>1173.55</v>
      </c>
      <c r="Q746" s="1" t="str">
        <f aca="false">IF(OR($A746="",P746=""),"",ROUND(YEARFRAC(P746,README!$C$5),1))</f>
        <v/>
      </c>
      <c r="S746" s="6" t="n">
        <v>2479</v>
      </c>
      <c r="T746" s="6" t="n">
        <v>2352</v>
      </c>
      <c r="U746" s="6" t="n">
        <v>2310</v>
      </c>
      <c r="V746" s="6" t="n">
        <v>-42</v>
      </c>
      <c r="W746" s="6" t="n">
        <v>1</v>
      </c>
      <c r="X746" s="6" t="n">
        <v>10</v>
      </c>
      <c r="Z746" s="6" t="s">
        <v>2845</v>
      </c>
      <c r="AA746" s="9" t="s">
        <v>528</v>
      </c>
      <c r="AB746" s="6" t="s">
        <v>2861</v>
      </c>
      <c r="AE746" s="37" t="n">
        <f aca="false">COUNTIF(環境認証!$A$2:$A$849,A746)</f>
        <v>0</v>
      </c>
      <c r="AF746" s="6" t="n">
        <v>-1.8</v>
      </c>
      <c r="AG746" s="6" t="n">
        <v>-6.8</v>
      </c>
    </row>
    <row r="747" customFormat="false" ht="15" hidden="false" customHeight="true" outlineLevel="0" collapsed="false">
      <c r="A747" s="6" t="s">
        <v>2862</v>
      </c>
      <c r="B747" s="6" t="s">
        <v>485</v>
      </c>
      <c r="C747" s="6" t="s">
        <v>2863</v>
      </c>
      <c r="D747" s="9" t="s">
        <v>522</v>
      </c>
      <c r="H747" s="9" t="s">
        <v>2844</v>
      </c>
      <c r="M747" s="6" t="n">
        <v>3719.37</v>
      </c>
      <c r="Q747" s="1" t="str">
        <f aca="false">IF(OR($A747="",P747=""),"",ROUND(YEARFRAC(P747,README!$C$5),1))</f>
        <v/>
      </c>
      <c r="S747" s="6" t="n">
        <v>5950</v>
      </c>
      <c r="T747" s="6" t="n">
        <v>5310</v>
      </c>
      <c r="U747" s="6" t="n">
        <v>5360</v>
      </c>
      <c r="V747" s="6" t="n">
        <v>50</v>
      </c>
      <c r="W747" s="6" t="n">
        <v>1</v>
      </c>
      <c r="X747" s="6" t="n">
        <v>9</v>
      </c>
      <c r="Z747" s="6" t="s">
        <v>2845</v>
      </c>
      <c r="AA747" s="9" t="s">
        <v>528</v>
      </c>
      <c r="AB747" s="6" t="s">
        <v>2864</v>
      </c>
      <c r="AE747" s="37" t="n">
        <f aca="false">COUNTIF(環境認証!$A$2:$A$849,A747)</f>
        <v>1</v>
      </c>
      <c r="AF747" s="6" t="n">
        <v>0.9</v>
      </c>
      <c r="AG747" s="6" t="n">
        <v>-9.9</v>
      </c>
    </row>
    <row r="748" customFormat="false" ht="15" hidden="false" customHeight="true" outlineLevel="0" collapsed="false">
      <c r="A748" s="6" t="s">
        <v>2865</v>
      </c>
      <c r="B748" s="6" t="s">
        <v>485</v>
      </c>
      <c r="C748" s="6" t="s">
        <v>2866</v>
      </c>
      <c r="D748" s="9" t="s">
        <v>522</v>
      </c>
      <c r="H748" s="9" t="s">
        <v>2844</v>
      </c>
      <c r="M748" s="6" t="n">
        <v>3845.9</v>
      </c>
      <c r="Q748" s="1" t="str">
        <f aca="false">IF(OR($A748="",P748=""),"",ROUND(YEARFRAC(P748,README!$C$5),1))</f>
        <v/>
      </c>
      <c r="S748" s="6" t="n">
        <v>2252</v>
      </c>
      <c r="T748" s="6" t="n">
        <v>2068</v>
      </c>
      <c r="U748" s="6" t="n">
        <v>3460</v>
      </c>
      <c r="V748" s="6" t="n">
        <v>1392</v>
      </c>
      <c r="W748" s="6" t="n">
        <v>1</v>
      </c>
      <c r="X748" s="6" t="n">
        <v>22</v>
      </c>
      <c r="Z748" s="6" t="s">
        <v>2845</v>
      </c>
      <c r="AA748" s="9" t="s">
        <v>528</v>
      </c>
      <c r="AB748" s="6" t="s">
        <v>2867</v>
      </c>
      <c r="AE748" s="37" t="n">
        <f aca="false">COUNTIF(環境認証!$A$2:$A$849,A748)</f>
        <v>1</v>
      </c>
      <c r="AF748" s="6" t="n">
        <v>67.3</v>
      </c>
      <c r="AG748" s="6" t="n">
        <v>53.6</v>
      </c>
    </row>
    <row r="749" customFormat="false" ht="15" hidden="false" customHeight="true" outlineLevel="0" collapsed="false">
      <c r="A749" s="6" t="s">
        <v>2868</v>
      </c>
      <c r="B749" s="6" t="s">
        <v>485</v>
      </c>
      <c r="C749" s="6" t="s">
        <v>2869</v>
      </c>
      <c r="D749" s="9" t="s">
        <v>522</v>
      </c>
      <c r="H749" s="9" t="s">
        <v>2844</v>
      </c>
      <c r="M749" s="6" t="n">
        <v>6616.68</v>
      </c>
      <c r="Q749" s="1" t="str">
        <f aca="false">IF(OR($A749="",P749=""),"",ROUND(YEARFRAC(P749,README!$C$5),1))</f>
        <v/>
      </c>
      <c r="S749" s="6" t="n">
        <v>5300</v>
      </c>
      <c r="T749" s="6" t="n">
        <v>4595</v>
      </c>
      <c r="U749" s="6" t="n">
        <v>5900</v>
      </c>
      <c r="V749" s="6" t="n">
        <v>1305</v>
      </c>
      <c r="W749" s="6" t="n">
        <v>1</v>
      </c>
      <c r="X749" s="6" t="n">
        <v>20</v>
      </c>
      <c r="Z749" s="6" t="s">
        <v>2845</v>
      </c>
      <c r="AA749" s="9" t="s">
        <v>528</v>
      </c>
      <c r="AB749" s="6" t="s">
        <v>2870</v>
      </c>
      <c r="AE749" s="37" t="n">
        <f aca="false">COUNTIF(環境認証!$A$2:$A$849,A749)</f>
        <v>1</v>
      </c>
      <c r="AF749" s="6" t="n">
        <v>28.4</v>
      </c>
      <c r="AG749" s="6" t="n">
        <v>11.3</v>
      </c>
    </row>
    <row r="750" customFormat="false" ht="15" hidden="false" customHeight="true" outlineLevel="0" collapsed="false">
      <c r="A750" s="6" t="s">
        <v>2871</v>
      </c>
      <c r="B750" s="6" t="s">
        <v>485</v>
      </c>
      <c r="C750" s="6" t="s">
        <v>2872</v>
      </c>
      <c r="D750" s="9" t="s">
        <v>522</v>
      </c>
      <c r="H750" s="9" t="s">
        <v>2844</v>
      </c>
      <c r="M750" s="6" t="n">
        <v>3072.34</v>
      </c>
      <c r="Q750" s="1" t="str">
        <f aca="false">IF(OR($A750="",P750=""),"",ROUND(YEARFRAC(P750,README!$C$5),1))</f>
        <v/>
      </c>
      <c r="S750" s="6" t="n">
        <v>4640</v>
      </c>
      <c r="T750" s="6" t="n">
        <v>4228</v>
      </c>
      <c r="U750" s="6" t="n">
        <v>6060</v>
      </c>
      <c r="V750" s="6" t="n">
        <v>1832</v>
      </c>
      <c r="W750" s="6" t="n">
        <v>1</v>
      </c>
      <c r="X750" s="6" t="n">
        <v>5</v>
      </c>
      <c r="Z750" s="6" t="s">
        <v>2845</v>
      </c>
      <c r="AA750" s="9" t="s">
        <v>528</v>
      </c>
      <c r="AB750" s="6" t="s">
        <v>2873</v>
      </c>
      <c r="AE750" s="37" t="n">
        <f aca="false">COUNTIF(環境認証!$A$2:$A$849,A750)</f>
        <v>1</v>
      </c>
      <c r="AF750" s="6" t="n">
        <v>43.3</v>
      </c>
      <c r="AG750" s="6" t="n">
        <v>30.6</v>
      </c>
    </row>
    <row r="751" customFormat="false" ht="15" hidden="false" customHeight="true" outlineLevel="0" collapsed="false">
      <c r="A751" s="6" t="s">
        <v>2874</v>
      </c>
      <c r="B751" s="6" t="s">
        <v>485</v>
      </c>
      <c r="C751" s="6" t="s">
        <v>2875</v>
      </c>
      <c r="D751" s="9" t="s">
        <v>522</v>
      </c>
      <c r="H751" s="9" t="s">
        <v>2844</v>
      </c>
      <c r="M751" s="6" t="n">
        <v>2803.96</v>
      </c>
      <c r="Q751" s="1" t="str">
        <f aca="false">IF(OR($A751="",P751=""),"",ROUND(YEARFRAC(P751,README!$C$5),1))</f>
        <v/>
      </c>
      <c r="S751" s="6" t="n">
        <v>3728</v>
      </c>
      <c r="T751" s="6" t="n">
        <v>3604</v>
      </c>
      <c r="U751" s="6" t="n">
        <v>5570</v>
      </c>
      <c r="V751" s="6" t="n">
        <v>1966</v>
      </c>
      <c r="W751" s="6" t="n">
        <v>1</v>
      </c>
      <c r="X751" s="6" t="n">
        <v>9</v>
      </c>
      <c r="Z751" s="6" t="s">
        <v>2845</v>
      </c>
      <c r="AA751" s="9" t="s">
        <v>528</v>
      </c>
      <c r="AB751" s="6" t="s">
        <v>2876</v>
      </c>
      <c r="AE751" s="37" t="n">
        <f aca="false">COUNTIF(環境認証!$A$2:$A$849,A751)</f>
        <v>1</v>
      </c>
      <c r="AF751" s="6" t="n">
        <v>54.6</v>
      </c>
      <c r="AG751" s="6" t="n">
        <v>49.4</v>
      </c>
    </row>
    <row r="752" customFormat="false" ht="15" hidden="false" customHeight="true" outlineLevel="0" collapsed="false">
      <c r="A752" s="6" t="s">
        <v>2877</v>
      </c>
      <c r="B752" s="6" t="s">
        <v>485</v>
      </c>
      <c r="C752" s="6" t="s">
        <v>2878</v>
      </c>
      <c r="D752" s="9" t="s">
        <v>522</v>
      </c>
      <c r="H752" s="9" t="s">
        <v>2844</v>
      </c>
      <c r="M752" s="6" t="n">
        <v>2724.35</v>
      </c>
      <c r="Q752" s="1" t="str">
        <f aca="false">IF(OR($A752="",P752=""),"",ROUND(YEARFRAC(P752,README!$C$5),1))</f>
        <v/>
      </c>
      <c r="S752" s="6" t="n">
        <v>3460</v>
      </c>
      <c r="T752" s="6" t="n">
        <v>3029</v>
      </c>
      <c r="U752" s="6" t="n">
        <v>3470</v>
      </c>
      <c r="V752" s="6" t="n">
        <v>441</v>
      </c>
      <c r="W752" s="6" t="n">
        <v>1</v>
      </c>
      <c r="X752" s="6" t="n">
        <v>9</v>
      </c>
      <c r="Z752" s="6" t="s">
        <v>2845</v>
      </c>
      <c r="AA752" s="9" t="s">
        <v>528</v>
      </c>
      <c r="AB752" s="6" t="s">
        <v>2879</v>
      </c>
      <c r="AE752" s="37" t="n">
        <f aca="false">COUNTIF(環境認証!$A$2:$A$849,A752)</f>
        <v>1</v>
      </c>
      <c r="AF752" s="6" t="n">
        <v>14.6</v>
      </c>
      <c r="AG752" s="6" t="n">
        <v>0.3</v>
      </c>
    </row>
    <row r="753" customFormat="false" ht="15" hidden="false" customHeight="true" outlineLevel="0" collapsed="false">
      <c r="A753" s="6" t="s">
        <v>2880</v>
      </c>
      <c r="B753" s="6" t="s">
        <v>485</v>
      </c>
      <c r="C753" s="6" t="s">
        <v>2881</v>
      </c>
      <c r="D753" s="9" t="s">
        <v>522</v>
      </c>
      <c r="H753" s="9" t="s">
        <v>2844</v>
      </c>
      <c r="M753" s="6" t="n">
        <v>3019.94</v>
      </c>
      <c r="Q753" s="1" t="str">
        <f aca="false">IF(OR($A753="",P753=""),"",ROUND(YEARFRAC(P753,README!$C$5),1))</f>
        <v/>
      </c>
      <c r="S753" s="6" t="n">
        <v>2780</v>
      </c>
      <c r="T753" s="6" t="n">
        <v>2526</v>
      </c>
      <c r="U753" s="6" t="n">
        <v>3110</v>
      </c>
      <c r="V753" s="6" t="n">
        <v>584</v>
      </c>
      <c r="W753" s="6" t="n">
        <v>1</v>
      </c>
      <c r="X753" s="6" t="n">
        <v>7</v>
      </c>
      <c r="Z753" s="6" t="s">
        <v>2845</v>
      </c>
      <c r="AA753" s="9" t="s">
        <v>528</v>
      </c>
      <c r="AB753" s="6" t="s">
        <v>2882</v>
      </c>
      <c r="AE753" s="37" t="n">
        <f aca="false">COUNTIF(環境認証!$A$2:$A$849,A753)</f>
        <v>0</v>
      </c>
      <c r="AF753" s="6" t="n">
        <v>23.1</v>
      </c>
      <c r="AG753" s="6" t="n">
        <v>11.9</v>
      </c>
    </row>
    <row r="754" customFormat="false" ht="15" hidden="false" customHeight="true" outlineLevel="0" collapsed="false">
      <c r="A754" s="6" t="s">
        <v>2883</v>
      </c>
      <c r="B754" s="6" t="s">
        <v>485</v>
      </c>
      <c r="C754" s="6" t="s">
        <v>2884</v>
      </c>
      <c r="D754" s="9" t="s">
        <v>522</v>
      </c>
      <c r="H754" s="9" t="s">
        <v>2844</v>
      </c>
      <c r="M754" s="6" t="n">
        <v>4748.66</v>
      </c>
      <c r="Q754" s="1" t="str">
        <f aca="false">IF(OR($A754="",P754=""),"",ROUND(YEARFRAC(P754,README!$C$5),1))</f>
        <v/>
      </c>
      <c r="S754" s="6" t="n">
        <v>2520</v>
      </c>
      <c r="T754" s="6" t="n">
        <v>2002</v>
      </c>
      <c r="U754" s="6" t="n">
        <v>3120</v>
      </c>
      <c r="V754" s="6" t="n">
        <v>1118</v>
      </c>
      <c r="W754" s="6" t="n">
        <v>1</v>
      </c>
      <c r="X754" s="6" t="n">
        <v>23</v>
      </c>
      <c r="Z754" s="6" t="s">
        <v>2845</v>
      </c>
      <c r="AA754" s="9" t="s">
        <v>528</v>
      </c>
      <c r="AB754" s="6" t="s">
        <v>2885</v>
      </c>
      <c r="AE754" s="37" t="n">
        <f aca="false">COUNTIF(環境認証!$A$2:$A$849,A754)</f>
        <v>1</v>
      </c>
      <c r="AF754" s="6" t="n">
        <v>55.8</v>
      </c>
      <c r="AG754" s="6" t="n">
        <v>23.8</v>
      </c>
    </row>
    <row r="755" customFormat="false" ht="15" hidden="false" customHeight="true" outlineLevel="0" collapsed="false">
      <c r="A755" s="6" t="s">
        <v>2886</v>
      </c>
      <c r="B755" s="6" t="s">
        <v>485</v>
      </c>
      <c r="C755" s="6" t="s">
        <v>2887</v>
      </c>
      <c r="D755" s="9" t="s">
        <v>522</v>
      </c>
      <c r="H755" s="9" t="s">
        <v>2844</v>
      </c>
      <c r="M755" s="6" t="n">
        <v>2565.35</v>
      </c>
      <c r="Q755" s="1" t="str">
        <f aca="false">IF(OR($A755="",P755=""),"",ROUND(YEARFRAC(P755,README!$C$5),1))</f>
        <v/>
      </c>
      <c r="S755" s="6" t="n">
        <v>2350</v>
      </c>
      <c r="T755" s="6" t="n">
        <v>2206</v>
      </c>
      <c r="U755" s="6" t="n">
        <v>2260</v>
      </c>
      <c r="V755" s="6" t="n">
        <v>54</v>
      </c>
      <c r="W755" s="6" t="n">
        <v>1</v>
      </c>
      <c r="X755" s="6" t="n">
        <v>10</v>
      </c>
      <c r="Z755" s="6" t="s">
        <v>2845</v>
      </c>
      <c r="AA755" s="9" t="s">
        <v>528</v>
      </c>
      <c r="AB755" s="6" t="s">
        <v>2888</v>
      </c>
      <c r="AE755" s="37" t="n">
        <f aca="false">COUNTIF(環境認証!$A$2:$A$849,A755)</f>
        <v>1</v>
      </c>
      <c r="AF755" s="6" t="n">
        <v>2.4</v>
      </c>
      <c r="AG755" s="6" t="n">
        <v>-3.8</v>
      </c>
    </row>
    <row r="756" customFormat="false" ht="15" hidden="false" customHeight="true" outlineLevel="0" collapsed="false">
      <c r="A756" s="6" t="s">
        <v>2889</v>
      </c>
      <c r="B756" s="6" t="s">
        <v>485</v>
      </c>
      <c r="C756" s="6" t="s">
        <v>2890</v>
      </c>
      <c r="D756" s="9" t="s">
        <v>522</v>
      </c>
      <c r="H756" s="9" t="s">
        <v>2844</v>
      </c>
      <c r="M756" s="6" t="n">
        <v>5859.92</v>
      </c>
      <c r="Q756" s="1" t="str">
        <f aca="false">IF(OR($A756="",P756=""),"",ROUND(YEARFRAC(P756,README!$C$5),1))</f>
        <v/>
      </c>
      <c r="S756" s="6" t="n">
        <v>2950</v>
      </c>
      <c r="T756" s="6" t="n">
        <v>2795</v>
      </c>
      <c r="U756" s="6" t="n">
        <v>4260</v>
      </c>
      <c r="V756" s="6" t="n">
        <v>1465</v>
      </c>
      <c r="W756" s="6" t="n">
        <v>1</v>
      </c>
      <c r="X756" s="6" t="n">
        <v>6</v>
      </c>
      <c r="Z756" s="6" t="s">
        <v>2845</v>
      </c>
      <c r="AA756" s="9" t="s">
        <v>528</v>
      </c>
      <c r="AB756" s="6" t="s">
        <v>2891</v>
      </c>
      <c r="AE756" s="37" t="n">
        <f aca="false">COUNTIF(環境認証!$A$2:$A$849,A756)</f>
        <v>1</v>
      </c>
      <c r="AF756" s="6" t="n">
        <v>52.4</v>
      </c>
      <c r="AG756" s="6" t="n">
        <v>44.4</v>
      </c>
    </row>
    <row r="757" customFormat="false" ht="15" hidden="false" customHeight="true" outlineLevel="0" collapsed="false">
      <c r="A757" s="6" t="s">
        <v>2892</v>
      </c>
      <c r="B757" s="6" t="s">
        <v>485</v>
      </c>
      <c r="C757" s="6" t="s">
        <v>2893</v>
      </c>
      <c r="D757" s="9" t="s">
        <v>522</v>
      </c>
      <c r="H757" s="9" t="s">
        <v>2844</v>
      </c>
      <c r="M757" s="6" t="n">
        <v>3881.99</v>
      </c>
      <c r="Q757" s="1" t="str">
        <f aca="false">IF(OR($A757="",P757=""),"",ROUND(YEARFRAC(P757,README!$C$5),1))</f>
        <v/>
      </c>
      <c r="S757" s="6" t="n">
        <v>4200</v>
      </c>
      <c r="T757" s="6" t="n">
        <v>3528</v>
      </c>
      <c r="U757" s="6" t="n">
        <v>3720</v>
      </c>
      <c r="V757" s="6" t="n">
        <v>192</v>
      </c>
      <c r="W757" s="6" t="n">
        <v>0.894</v>
      </c>
      <c r="X757" s="6" t="n">
        <v>10</v>
      </c>
      <c r="Z757" s="6" t="s">
        <v>2845</v>
      </c>
      <c r="AA757" s="9" t="s">
        <v>528</v>
      </c>
      <c r="AB757" s="6" t="s">
        <v>2894</v>
      </c>
      <c r="AE757" s="37" t="n">
        <f aca="false">COUNTIF(環境認証!$A$2:$A$849,A757)</f>
        <v>1</v>
      </c>
      <c r="AF757" s="6" t="n">
        <v>5.4</v>
      </c>
      <c r="AG757" s="6" t="n">
        <v>-11.4</v>
      </c>
    </row>
    <row r="758" customFormat="false" ht="15" hidden="false" customHeight="true" outlineLevel="0" collapsed="false">
      <c r="A758" s="6" t="s">
        <v>2895</v>
      </c>
      <c r="B758" s="6" t="s">
        <v>485</v>
      </c>
      <c r="C758" s="6" t="s">
        <v>2896</v>
      </c>
      <c r="D758" s="9" t="s">
        <v>522</v>
      </c>
      <c r="H758" s="9" t="s">
        <v>2844</v>
      </c>
      <c r="M758" s="6" t="n">
        <v>5997.36</v>
      </c>
      <c r="Q758" s="1" t="str">
        <f aca="false">IF(OR($A758="",P758=""),"",ROUND(YEARFRAC(P758,README!$C$5),1))</f>
        <v/>
      </c>
      <c r="S758" s="6" t="n">
        <v>6090</v>
      </c>
      <c r="T758" s="6" t="n">
        <v>5644</v>
      </c>
      <c r="U758" s="6" t="n">
        <v>6680</v>
      </c>
      <c r="V758" s="6" t="n">
        <v>1036</v>
      </c>
      <c r="W758" s="6" t="n">
        <v>1</v>
      </c>
      <c r="X758" s="6" t="n">
        <v>8</v>
      </c>
      <c r="Z758" s="6" t="s">
        <v>2845</v>
      </c>
      <c r="AA758" s="9" t="s">
        <v>528</v>
      </c>
      <c r="AB758" s="6" t="s">
        <v>2897</v>
      </c>
      <c r="AE758" s="37" t="n">
        <f aca="false">COUNTIF(環境認証!$A$2:$A$849,A758)</f>
        <v>1</v>
      </c>
      <c r="AF758" s="6" t="n">
        <v>18.4</v>
      </c>
      <c r="AG758" s="6" t="n">
        <v>9.7</v>
      </c>
    </row>
    <row r="759" customFormat="false" ht="15" hidden="false" customHeight="true" outlineLevel="0" collapsed="false">
      <c r="A759" s="6" t="s">
        <v>2898</v>
      </c>
      <c r="B759" s="6" t="s">
        <v>485</v>
      </c>
      <c r="C759" s="6" t="s">
        <v>2899</v>
      </c>
      <c r="D759" s="9" t="s">
        <v>522</v>
      </c>
      <c r="H759" s="9" t="s">
        <v>2844</v>
      </c>
      <c r="M759" s="6" t="n">
        <v>1792.54</v>
      </c>
      <c r="Q759" s="1" t="str">
        <f aca="false">IF(OR($A759="",P759=""),"",ROUND(YEARFRAC(P759,README!$C$5),1))</f>
        <v/>
      </c>
      <c r="S759" s="6" t="n">
        <v>2000</v>
      </c>
      <c r="T759" s="6" t="n">
        <v>1965</v>
      </c>
      <c r="U759" s="6" t="n">
        <v>2080</v>
      </c>
      <c r="V759" s="6" t="n">
        <v>115</v>
      </c>
      <c r="W759" s="6" t="n">
        <v>1</v>
      </c>
      <c r="X759" s="6" t="n">
        <v>5</v>
      </c>
      <c r="Z759" s="6" t="s">
        <v>2845</v>
      </c>
      <c r="AA759" s="9" t="s">
        <v>528</v>
      </c>
      <c r="AB759" s="6" t="s">
        <v>2900</v>
      </c>
      <c r="AE759" s="37" t="n">
        <f aca="false">COUNTIF(環境認証!$A$2:$A$849,A759)</f>
        <v>0</v>
      </c>
      <c r="AF759" s="6" t="n">
        <v>5.9</v>
      </c>
      <c r="AG759" s="6" t="n">
        <v>4</v>
      </c>
    </row>
    <row r="760" customFormat="false" ht="15" hidden="false" customHeight="true" outlineLevel="0" collapsed="false">
      <c r="A760" s="6" t="s">
        <v>2901</v>
      </c>
      <c r="B760" s="6" t="s">
        <v>485</v>
      </c>
      <c r="C760" s="6" t="s">
        <v>2902</v>
      </c>
      <c r="D760" s="9" t="s">
        <v>522</v>
      </c>
      <c r="H760" s="9" t="s">
        <v>2844</v>
      </c>
      <c r="M760" s="6" t="n">
        <v>2154.26</v>
      </c>
      <c r="Q760" s="1" t="str">
        <f aca="false">IF(OR($A760="",P760=""),"",ROUND(YEARFRAC(P760,README!$C$5),1))</f>
        <v/>
      </c>
      <c r="S760" s="6" t="n">
        <v>1155</v>
      </c>
      <c r="T760" s="6" t="n">
        <v>1096</v>
      </c>
      <c r="U760" s="6" t="n">
        <v>1260</v>
      </c>
      <c r="V760" s="6" t="n">
        <v>164</v>
      </c>
      <c r="W760" s="6" t="n">
        <v>1</v>
      </c>
      <c r="X760" s="6" t="n">
        <v>11</v>
      </c>
      <c r="Z760" s="6" t="s">
        <v>2845</v>
      </c>
      <c r="AA760" s="9" t="s">
        <v>528</v>
      </c>
      <c r="AB760" s="6" t="s">
        <v>2903</v>
      </c>
      <c r="AE760" s="37" t="n">
        <f aca="false">COUNTIF(環境認証!$A$2:$A$849,A760)</f>
        <v>1</v>
      </c>
      <c r="AF760" s="6" t="n">
        <v>15</v>
      </c>
      <c r="AG760" s="6" t="n">
        <v>9.1</v>
      </c>
    </row>
    <row r="761" customFormat="false" ht="15" hidden="false" customHeight="true" outlineLevel="0" collapsed="false">
      <c r="A761" s="6" t="s">
        <v>2904</v>
      </c>
      <c r="B761" s="6" t="s">
        <v>485</v>
      </c>
      <c r="C761" s="6" t="s">
        <v>2905</v>
      </c>
      <c r="D761" s="9" t="s">
        <v>522</v>
      </c>
      <c r="H761" s="9" t="s">
        <v>2844</v>
      </c>
      <c r="M761" s="6" t="n">
        <v>5869.26</v>
      </c>
      <c r="Q761" s="1" t="str">
        <f aca="false">IF(OR($A761="",P761=""),"",ROUND(YEARFRAC(P761,README!$C$5),1))</f>
        <v/>
      </c>
      <c r="S761" s="6" t="n">
        <v>6400</v>
      </c>
      <c r="T761" s="6" t="n">
        <v>6318</v>
      </c>
      <c r="U761" s="6" t="n">
        <v>8920</v>
      </c>
      <c r="V761" s="6" t="n">
        <v>2602</v>
      </c>
      <c r="W761" s="6" t="n">
        <v>1</v>
      </c>
      <c r="X761" s="6" t="n">
        <v>8</v>
      </c>
      <c r="Z761" s="6" t="s">
        <v>2845</v>
      </c>
      <c r="AA761" s="9" t="s">
        <v>528</v>
      </c>
      <c r="AB761" s="6" t="s">
        <v>2906</v>
      </c>
      <c r="AE761" s="37" t="n">
        <f aca="false">COUNTIF(環境認証!$A$2:$A$849,A761)</f>
        <v>2</v>
      </c>
      <c r="AF761" s="6" t="n">
        <v>41.2</v>
      </c>
      <c r="AG761" s="6" t="n">
        <v>39.4</v>
      </c>
    </row>
    <row r="762" customFormat="false" ht="15" hidden="false" customHeight="true" outlineLevel="0" collapsed="false">
      <c r="A762" s="6" t="s">
        <v>2907</v>
      </c>
      <c r="B762" s="6" t="s">
        <v>485</v>
      </c>
      <c r="C762" s="6" t="s">
        <v>2908</v>
      </c>
      <c r="D762" s="9" t="s">
        <v>522</v>
      </c>
      <c r="H762" s="9" t="s">
        <v>2844</v>
      </c>
      <c r="M762" s="6" t="n">
        <v>1593.59</v>
      </c>
      <c r="Q762" s="1" t="str">
        <f aca="false">IF(OR($A762="",P762=""),"",ROUND(YEARFRAC(P762,README!$C$5),1))</f>
        <v/>
      </c>
      <c r="S762" s="6" t="n">
        <v>1500</v>
      </c>
      <c r="T762" s="6" t="n">
        <v>1486</v>
      </c>
      <c r="U762" s="6" t="n">
        <v>1650</v>
      </c>
      <c r="V762" s="6" t="n">
        <v>164</v>
      </c>
      <c r="W762" s="6" t="n">
        <v>1</v>
      </c>
      <c r="X762" s="6" t="n">
        <v>10</v>
      </c>
      <c r="Z762" s="6" t="s">
        <v>2845</v>
      </c>
      <c r="AA762" s="9" t="s">
        <v>528</v>
      </c>
      <c r="AB762" s="6" t="s">
        <v>2909</v>
      </c>
      <c r="AE762" s="37" t="n">
        <f aca="false">COUNTIF(環境認証!$A$2:$A$849,A762)</f>
        <v>0</v>
      </c>
      <c r="AF762" s="6" t="n">
        <v>11</v>
      </c>
      <c r="AG762" s="6" t="n">
        <v>10</v>
      </c>
    </row>
    <row r="763" customFormat="false" ht="15" hidden="false" customHeight="true" outlineLevel="0" collapsed="false">
      <c r="A763" s="6" t="s">
        <v>2910</v>
      </c>
      <c r="B763" s="6" t="s">
        <v>485</v>
      </c>
      <c r="C763" s="9" t="s">
        <v>2911</v>
      </c>
      <c r="D763" s="9" t="s">
        <v>522</v>
      </c>
      <c r="H763" s="9" t="s">
        <v>2844</v>
      </c>
      <c r="M763" s="6" t="n">
        <v>6878.61</v>
      </c>
      <c r="Q763" s="1" t="str">
        <f aca="false">IF(OR($A763="",P763=""),"",ROUND(YEARFRAC(P763,README!$C$5),1))</f>
        <v/>
      </c>
      <c r="S763" s="6" t="n">
        <v>7600</v>
      </c>
      <c r="T763" s="6" t="n">
        <v>7303</v>
      </c>
      <c r="U763" s="6" t="n">
        <v>8690</v>
      </c>
      <c r="V763" s="6" t="n">
        <v>1387</v>
      </c>
      <c r="W763" s="6" t="n">
        <v>1</v>
      </c>
      <c r="X763" s="6" t="n">
        <v>15</v>
      </c>
      <c r="Z763" s="6" t="s">
        <v>2845</v>
      </c>
      <c r="AA763" s="9" t="s">
        <v>528</v>
      </c>
      <c r="AB763" s="6" t="s">
        <v>2912</v>
      </c>
      <c r="AE763" s="37" t="n">
        <f aca="false">COUNTIF(環境認証!$A$2:$A$849,A763)</f>
        <v>1</v>
      </c>
      <c r="AF763" s="6" t="n">
        <v>19</v>
      </c>
      <c r="AG763" s="6" t="n">
        <v>14.3</v>
      </c>
    </row>
    <row r="764" customFormat="false" ht="15" hidden="false" customHeight="true" outlineLevel="0" collapsed="false">
      <c r="A764" s="6" t="s">
        <v>2913</v>
      </c>
      <c r="B764" s="6" t="s">
        <v>485</v>
      </c>
      <c r="C764" s="6" t="s">
        <v>2914</v>
      </c>
      <c r="D764" s="9" t="s">
        <v>522</v>
      </c>
      <c r="H764" s="9" t="s">
        <v>2844</v>
      </c>
      <c r="M764" s="6" t="n">
        <v>2236.08</v>
      </c>
      <c r="Q764" s="1" t="str">
        <f aca="false">IF(OR($A764="",P764=""),"",ROUND(YEARFRAC(P764,README!$C$5),1))</f>
        <v/>
      </c>
      <c r="S764" s="6" t="n">
        <v>2310</v>
      </c>
      <c r="T764" s="6" t="n">
        <v>2173</v>
      </c>
      <c r="U764" s="6" t="n">
        <v>2340</v>
      </c>
      <c r="V764" s="6" t="n">
        <v>167</v>
      </c>
      <c r="W764" s="6" t="n">
        <v>1</v>
      </c>
      <c r="X764" s="6" t="n">
        <v>8</v>
      </c>
      <c r="Z764" s="6" t="s">
        <v>2845</v>
      </c>
      <c r="AA764" s="9" t="s">
        <v>528</v>
      </c>
      <c r="AB764" s="6" t="s">
        <v>2915</v>
      </c>
      <c r="AE764" s="37" t="n">
        <f aca="false">COUNTIF(環境認証!$A$2:$A$849,A764)</f>
        <v>1</v>
      </c>
      <c r="AF764" s="6" t="n">
        <v>7.7</v>
      </c>
      <c r="AG764" s="6" t="n">
        <v>1.3</v>
      </c>
    </row>
    <row r="765" customFormat="false" ht="15" hidden="false" customHeight="true" outlineLevel="0" collapsed="false">
      <c r="A765" s="6" t="s">
        <v>2916</v>
      </c>
      <c r="B765" s="6" t="s">
        <v>485</v>
      </c>
      <c r="C765" s="9" t="s">
        <v>2917</v>
      </c>
      <c r="D765" s="9" t="s">
        <v>522</v>
      </c>
      <c r="H765" s="9" t="s">
        <v>611</v>
      </c>
      <c r="Q765" s="1" t="str">
        <f aca="false">IF(OR($A765="",P765=""),"",ROUND(YEARFRAC(P765,README!$C$5),1))</f>
        <v/>
      </c>
      <c r="V765" s="1" t="str">
        <f aca="false">IF($A765="","",IF(OR(T765="",U765=""),"",U765-T765))</f>
        <v/>
      </c>
      <c r="Z765" s="6" t="s">
        <v>2845</v>
      </c>
      <c r="AA765" s="9" t="s">
        <v>528</v>
      </c>
      <c r="AB765" s="6" t="s">
        <v>2918</v>
      </c>
      <c r="AE765" s="37" t="n">
        <f aca="false">COUNTIF(環境認証!$A$2:$A$849,A765)</f>
        <v>0</v>
      </c>
    </row>
    <row r="766" customFormat="false" ht="15" hidden="false" customHeight="true" outlineLevel="0" collapsed="false">
      <c r="A766" s="6" t="s">
        <v>2919</v>
      </c>
      <c r="B766" s="6" t="s">
        <v>485</v>
      </c>
      <c r="C766" s="6" t="s">
        <v>2920</v>
      </c>
      <c r="D766" s="9" t="s">
        <v>522</v>
      </c>
      <c r="H766" s="9" t="s">
        <v>2844</v>
      </c>
      <c r="M766" s="6" t="n">
        <v>2323.44</v>
      </c>
      <c r="Q766" s="1" t="str">
        <f aca="false">IF(OR($A766="",P766=""),"",ROUND(YEARFRAC(P766,README!$C$5),1))</f>
        <v/>
      </c>
      <c r="S766" s="6" t="n">
        <v>2760</v>
      </c>
      <c r="T766" s="6" t="n">
        <v>2752</v>
      </c>
      <c r="U766" s="6" t="n">
        <v>2480</v>
      </c>
      <c r="V766" s="6" t="n">
        <v>-272</v>
      </c>
      <c r="W766" s="6" t="n">
        <v>1</v>
      </c>
      <c r="X766" s="6" t="n">
        <v>4</v>
      </c>
      <c r="Z766" s="6" t="s">
        <v>2845</v>
      </c>
      <c r="AA766" s="9" t="s">
        <v>528</v>
      </c>
      <c r="AB766" s="6" t="s">
        <v>2921</v>
      </c>
      <c r="AE766" s="37" t="n">
        <f aca="false">COUNTIF(環境認証!$A$2:$A$849,A766)</f>
        <v>0</v>
      </c>
      <c r="AF766" s="6" t="n">
        <v>-9.9</v>
      </c>
      <c r="AG766" s="6" t="n">
        <v>-10.1</v>
      </c>
    </row>
    <row r="767" customFormat="false" ht="15" hidden="false" customHeight="true" outlineLevel="0" collapsed="false">
      <c r="A767" s="6" t="s">
        <v>2922</v>
      </c>
      <c r="B767" s="6" t="s">
        <v>485</v>
      </c>
      <c r="C767" s="6" t="s">
        <v>2923</v>
      </c>
      <c r="D767" s="9" t="s">
        <v>522</v>
      </c>
      <c r="H767" s="9" t="s">
        <v>2844</v>
      </c>
      <c r="M767" s="6" t="n">
        <v>9294</v>
      </c>
      <c r="Q767" s="1" t="str">
        <f aca="false">IF(OR($A767="",P767=""),"",ROUND(YEARFRAC(P767,README!$C$5),1))</f>
        <v/>
      </c>
      <c r="S767" s="6" t="n">
        <v>10250</v>
      </c>
      <c r="T767" s="6" t="n">
        <v>7980</v>
      </c>
      <c r="U767" s="6" t="n">
        <v>8520</v>
      </c>
      <c r="V767" s="6" t="n">
        <v>540</v>
      </c>
      <c r="W767" s="6" t="n">
        <v>0.967</v>
      </c>
      <c r="X767" s="6" t="n">
        <v>11</v>
      </c>
      <c r="Z767" s="6" t="s">
        <v>2845</v>
      </c>
      <c r="AA767" s="9" t="s">
        <v>528</v>
      </c>
      <c r="AB767" s="6" t="s">
        <v>2924</v>
      </c>
      <c r="AE767" s="37" t="n">
        <f aca="false">COUNTIF(環境認証!$A$2:$A$849,A767)</f>
        <v>1</v>
      </c>
      <c r="AF767" s="6" t="n">
        <v>6.8</v>
      </c>
      <c r="AG767" s="6" t="n">
        <v>-16.9</v>
      </c>
    </row>
    <row r="768" customFormat="false" ht="15" hidden="false" customHeight="true" outlineLevel="0" collapsed="false">
      <c r="A768" s="6" t="s">
        <v>2925</v>
      </c>
      <c r="B768" s="6" t="s">
        <v>485</v>
      </c>
      <c r="C768" s="6" t="s">
        <v>2926</v>
      </c>
      <c r="D768" s="9" t="s">
        <v>522</v>
      </c>
      <c r="H768" s="9" t="s">
        <v>2844</v>
      </c>
      <c r="M768" s="6" t="n">
        <v>3934.35</v>
      </c>
      <c r="Q768" s="1" t="str">
        <f aca="false">IF(OR($A768="",P768=""),"",ROUND(YEARFRAC(P768,README!$C$5),1))</f>
        <v/>
      </c>
      <c r="S768" s="6" t="n">
        <v>3080</v>
      </c>
      <c r="T768" s="6" t="n">
        <v>2997</v>
      </c>
      <c r="U768" s="6" t="n">
        <v>3750</v>
      </c>
      <c r="V768" s="6" t="n">
        <v>753</v>
      </c>
      <c r="W768" s="6" t="n">
        <v>1</v>
      </c>
      <c r="X768" s="6" t="n">
        <v>2</v>
      </c>
      <c r="Z768" s="6" t="s">
        <v>2845</v>
      </c>
      <c r="AA768" s="9" t="s">
        <v>528</v>
      </c>
      <c r="AB768" s="6" t="s">
        <v>2927</v>
      </c>
      <c r="AE768" s="37" t="n">
        <f aca="false">COUNTIF(環境認証!$A$2:$A$849,A768)</f>
        <v>0</v>
      </c>
      <c r="AF768" s="6" t="n">
        <v>25.1</v>
      </c>
      <c r="AG768" s="6" t="n">
        <v>21.8</v>
      </c>
    </row>
    <row r="769" customFormat="false" ht="15" hidden="false" customHeight="true" outlineLevel="0" collapsed="false">
      <c r="A769" s="6" t="s">
        <v>2928</v>
      </c>
      <c r="B769" s="6" t="s">
        <v>485</v>
      </c>
      <c r="C769" s="6" t="s">
        <v>2929</v>
      </c>
      <c r="D769" s="9" t="s">
        <v>522</v>
      </c>
      <c r="H769" s="9" t="s">
        <v>2844</v>
      </c>
      <c r="M769" s="6" t="n">
        <v>3157.04</v>
      </c>
      <c r="Q769" s="1" t="str">
        <f aca="false">IF(OR($A769="",P769=""),"",ROUND(YEARFRAC(P769,README!$C$5),1))</f>
        <v/>
      </c>
      <c r="S769" s="6" t="n">
        <v>2620</v>
      </c>
      <c r="T769" s="6" t="n">
        <v>2544</v>
      </c>
      <c r="U769" s="6" t="n">
        <v>3850</v>
      </c>
      <c r="V769" s="6" t="n">
        <v>1306</v>
      </c>
      <c r="W769" s="6" t="n">
        <v>1</v>
      </c>
      <c r="X769" s="6" t="n">
        <v>10</v>
      </c>
      <c r="Z769" s="6" t="s">
        <v>2845</v>
      </c>
      <c r="AA769" s="9" t="s">
        <v>528</v>
      </c>
      <c r="AB769" s="6" t="s">
        <v>2930</v>
      </c>
      <c r="AE769" s="37" t="n">
        <f aca="false">COUNTIF(環境認証!$A$2:$A$849,A769)</f>
        <v>1</v>
      </c>
      <c r="AF769" s="6" t="n">
        <v>51.3</v>
      </c>
      <c r="AG769" s="6" t="n">
        <v>46.9</v>
      </c>
    </row>
    <row r="770" customFormat="false" ht="15" hidden="false" customHeight="true" outlineLevel="0" collapsed="false">
      <c r="A770" s="6" t="s">
        <v>2931</v>
      </c>
      <c r="B770" s="6" t="s">
        <v>485</v>
      </c>
      <c r="C770" s="6" t="s">
        <v>2932</v>
      </c>
      <c r="D770" s="9" t="s">
        <v>522</v>
      </c>
      <c r="H770" s="9" t="s">
        <v>2844</v>
      </c>
      <c r="M770" s="6" t="n">
        <v>1615.2</v>
      </c>
      <c r="Q770" s="1" t="str">
        <f aca="false">IF(OR($A770="",P770=""),"",ROUND(YEARFRAC(P770,README!$C$5),1))</f>
        <v/>
      </c>
      <c r="S770" s="6" t="n">
        <v>2010</v>
      </c>
      <c r="T770" s="6" t="n">
        <v>1721</v>
      </c>
      <c r="U770" s="6" t="n">
        <v>2950</v>
      </c>
      <c r="V770" s="6" t="n">
        <v>1229</v>
      </c>
      <c r="W770" s="6" t="n">
        <v>1</v>
      </c>
      <c r="X770" s="6" t="n">
        <v>8</v>
      </c>
      <c r="Z770" s="6" t="s">
        <v>2845</v>
      </c>
      <c r="AA770" s="9" t="s">
        <v>528</v>
      </c>
      <c r="AB770" s="6" t="s">
        <v>2933</v>
      </c>
      <c r="AE770" s="37" t="n">
        <f aca="false">COUNTIF(環境認証!$A$2:$A$849,A770)</f>
        <v>0</v>
      </c>
      <c r="AF770" s="6" t="n">
        <v>71.4</v>
      </c>
      <c r="AG770" s="6" t="n">
        <v>46.8</v>
      </c>
    </row>
    <row r="771" customFormat="false" ht="15" hidden="false" customHeight="true" outlineLevel="0" collapsed="false">
      <c r="A771" s="6" t="s">
        <v>2934</v>
      </c>
      <c r="B771" s="6" t="s">
        <v>485</v>
      </c>
      <c r="C771" s="6" t="s">
        <v>2935</v>
      </c>
      <c r="D771" s="9" t="s">
        <v>522</v>
      </c>
      <c r="H771" s="9" t="s">
        <v>2844</v>
      </c>
      <c r="M771" s="6" t="n">
        <v>5806.23</v>
      </c>
      <c r="Q771" s="1" t="str">
        <f aca="false">IF(OR($A771="",P771=""),"",ROUND(YEARFRAC(P771,README!$C$5),1))</f>
        <v/>
      </c>
      <c r="S771" s="6" t="n">
        <v>6800</v>
      </c>
      <c r="T771" s="6" t="n">
        <v>6967</v>
      </c>
      <c r="U771" s="6" t="n">
        <v>10000</v>
      </c>
      <c r="V771" s="6" t="n">
        <v>3033</v>
      </c>
      <c r="W771" s="6" t="n">
        <v>0.978</v>
      </c>
      <c r="X771" s="6" t="n">
        <v>22</v>
      </c>
      <c r="Z771" s="6" t="s">
        <v>2845</v>
      </c>
      <c r="AA771" s="9" t="s">
        <v>528</v>
      </c>
      <c r="AB771" s="6" t="s">
        <v>2936</v>
      </c>
      <c r="AE771" s="37" t="n">
        <f aca="false">COUNTIF(環境認証!$A$2:$A$849,A771)</f>
        <v>2</v>
      </c>
      <c r="AF771" s="6" t="n">
        <v>43.5</v>
      </c>
      <c r="AG771" s="6" t="n">
        <v>47.1</v>
      </c>
    </row>
    <row r="772" customFormat="false" ht="15" hidden="false" customHeight="true" outlineLevel="0" collapsed="false">
      <c r="A772" s="6" t="s">
        <v>2937</v>
      </c>
      <c r="B772" s="6" t="s">
        <v>485</v>
      </c>
      <c r="C772" s="6" t="s">
        <v>2938</v>
      </c>
      <c r="D772" s="9" t="s">
        <v>522</v>
      </c>
      <c r="H772" s="9" t="s">
        <v>2844</v>
      </c>
      <c r="M772" s="6" t="n">
        <v>3573.59</v>
      </c>
      <c r="Q772" s="1" t="str">
        <f aca="false">IF(OR($A772="",P772=""),"",ROUND(YEARFRAC(P772,README!$C$5),1))</f>
        <v/>
      </c>
      <c r="S772" s="6" t="n">
        <v>4300</v>
      </c>
      <c r="T772" s="6" t="n">
        <v>4064</v>
      </c>
      <c r="U772" s="6" t="n">
        <v>5980</v>
      </c>
      <c r="V772" s="6" t="n">
        <v>1916</v>
      </c>
      <c r="W772" s="6" t="n">
        <v>1</v>
      </c>
      <c r="X772" s="6" t="n">
        <v>6</v>
      </c>
      <c r="Z772" s="6" t="s">
        <v>2845</v>
      </c>
      <c r="AA772" s="9" t="s">
        <v>528</v>
      </c>
      <c r="AB772" s="6" t="s">
        <v>2939</v>
      </c>
      <c r="AE772" s="37" t="n">
        <f aca="false">COUNTIF(環境認証!$A$2:$A$849,A772)</f>
        <v>1</v>
      </c>
      <c r="AF772" s="6" t="n">
        <v>47.1</v>
      </c>
      <c r="AG772" s="6" t="n">
        <v>39.1</v>
      </c>
    </row>
    <row r="773" customFormat="false" ht="15" hidden="false" customHeight="true" outlineLevel="0" collapsed="false">
      <c r="A773" s="6" t="s">
        <v>2940</v>
      </c>
      <c r="B773" s="6" t="s">
        <v>485</v>
      </c>
      <c r="C773" s="6" t="s">
        <v>2941</v>
      </c>
      <c r="D773" s="9" t="s">
        <v>522</v>
      </c>
      <c r="H773" s="9" t="s">
        <v>2844</v>
      </c>
      <c r="M773" s="6" t="n">
        <v>4348.46</v>
      </c>
      <c r="Q773" s="1" t="str">
        <f aca="false">IF(OR($A773="",P773=""),"",ROUND(YEARFRAC(P773,README!$C$5),1))</f>
        <v/>
      </c>
      <c r="S773" s="6" t="n">
        <v>4670</v>
      </c>
      <c r="T773" s="6" t="n">
        <v>4594</v>
      </c>
      <c r="U773" s="6" t="n">
        <v>6000</v>
      </c>
      <c r="V773" s="6" t="n">
        <v>1406</v>
      </c>
      <c r="W773" s="6" t="n">
        <v>0.813</v>
      </c>
      <c r="X773" s="6" t="n">
        <v>11</v>
      </c>
      <c r="Z773" s="6" t="s">
        <v>2845</v>
      </c>
      <c r="AA773" s="9" t="s">
        <v>528</v>
      </c>
      <c r="AB773" s="6" t="s">
        <v>2942</v>
      </c>
      <c r="AE773" s="37" t="n">
        <f aca="false">COUNTIF(環境認証!$A$2:$A$849,A773)</f>
        <v>1</v>
      </c>
      <c r="AF773" s="6" t="n">
        <v>30.6</v>
      </c>
      <c r="AG773" s="6" t="n">
        <v>28.5</v>
      </c>
    </row>
    <row r="774" customFormat="false" ht="15" hidden="false" customHeight="true" outlineLevel="0" collapsed="false">
      <c r="A774" s="6" t="s">
        <v>2943</v>
      </c>
      <c r="B774" s="6" t="s">
        <v>485</v>
      </c>
      <c r="C774" s="6" t="s">
        <v>2944</v>
      </c>
      <c r="D774" s="9" t="s">
        <v>522</v>
      </c>
      <c r="H774" s="9" t="s">
        <v>2844</v>
      </c>
      <c r="M774" s="6" t="n">
        <v>3992.6</v>
      </c>
      <c r="Q774" s="1" t="str">
        <f aca="false">IF(OR($A774="",P774=""),"",ROUND(YEARFRAC(P774,README!$C$5),1))</f>
        <v/>
      </c>
      <c r="S774" s="6" t="n">
        <v>2710</v>
      </c>
      <c r="T774" s="6" t="n">
        <v>2543</v>
      </c>
      <c r="U774" s="6" t="n">
        <v>3680</v>
      </c>
      <c r="V774" s="6" t="n">
        <v>1137</v>
      </c>
      <c r="W774" s="6" t="n">
        <v>1</v>
      </c>
      <c r="X774" s="6" t="n">
        <v>7</v>
      </c>
      <c r="Z774" s="6" t="s">
        <v>2845</v>
      </c>
      <c r="AA774" s="9" t="s">
        <v>528</v>
      </c>
      <c r="AB774" s="6" t="s">
        <v>2945</v>
      </c>
      <c r="AE774" s="37" t="n">
        <f aca="false">COUNTIF(環境認証!$A$2:$A$849,A774)</f>
        <v>1</v>
      </c>
      <c r="AF774" s="6" t="n">
        <v>44.7</v>
      </c>
      <c r="AG774" s="6" t="n">
        <v>35.8</v>
      </c>
    </row>
    <row r="775" customFormat="false" ht="15" hidden="false" customHeight="true" outlineLevel="0" collapsed="false">
      <c r="A775" s="6" t="s">
        <v>2946</v>
      </c>
      <c r="B775" s="6" t="s">
        <v>485</v>
      </c>
      <c r="C775" s="6" t="s">
        <v>2947</v>
      </c>
      <c r="D775" s="9" t="s">
        <v>522</v>
      </c>
      <c r="H775" s="9" t="s">
        <v>2844</v>
      </c>
      <c r="M775" s="6" t="n">
        <v>1612.82</v>
      </c>
      <c r="Q775" s="1" t="str">
        <f aca="false">IF(OR($A775="",P775=""),"",ROUND(YEARFRAC(P775,README!$C$5),1))</f>
        <v/>
      </c>
      <c r="S775" s="6" t="n">
        <v>1267</v>
      </c>
      <c r="T775" s="6" t="n">
        <v>1328</v>
      </c>
      <c r="U775" s="6" t="n">
        <v>1950</v>
      </c>
      <c r="V775" s="6" t="n">
        <v>622</v>
      </c>
      <c r="W775" s="6" t="n">
        <v>1</v>
      </c>
      <c r="X775" s="6" t="n">
        <v>6</v>
      </c>
      <c r="Z775" s="6" t="s">
        <v>2845</v>
      </c>
      <c r="AA775" s="9" t="s">
        <v>528</v>
      </c>
      <c r="AB775" s="6" t="s">
        <v>2948</v>
      </c>
      <c r="AE775" s="37" t="n">
        <f aca="false">COUNTIF(環境認証!$A$2:$A$849,A775)</f>
        <v>1</v>
      </c>
      <c r="AF775" s="6" t="n">
        <v>46.8</v>
      </c>
      <c r="AG775" s="6" t="n">
        <v>53.9</v>
      </c>
    </row>
    <row r="776" customFormat="false" ht="15" hidden="false" customHeight="true" outlineLevel="0" collapsed="false">
      <c r="A776" s="6" t="s">
        <v>2949</v>
      </c>
      <c r="B776" s="6" t="s">
        <v>485</v>
      </c>
      <c r="C776" s="6" t="s">
        <v>2950</v>
      </c>
      <c r="D776" s="9" t="s">
        <v>522</v>
      </c>
      <c r="H776" s="9" t="s">
        <v>2844</v>
      </c>
      <c r="M776" s="6" t="n">
        <v>10151.5</v>
      </c>
      <c r="Q776" s="1" t="str">
        <f aca="false">IF(OR($A776="",P776=""),"",ROUND(YEARFRAC(P776,README!$C$5),1))</f>
        <v/>
      </c>
      <c r="S776" s="6" t="n">
        <v>6120</v>
      </c>
      <c r="T776" s="6" t="n">
        <v>5899</v>
      </c>
      <c r="U776" s="6" t="n">
        <v>8470</v>
      </c>
      <c r="V776" s="6" t="n">
        <v>2571</v>
      </c>
      <c r="W776" s="6" t="n">
        <v>1</v>
      </c>
      <c r="X776" s="6" t="n">
        <v>39</v>
      </c>
      <c r="Z776" s="6" t="s">
        <v>2845</v>
      </c>
      <c r="AA776" s="9" t="s">
        <v>528</v>
      </c>
      <c r="AB776" s="6" t="s">
        <v>2951</v>
      </c>
      <c r="AE776" s="37" t="n">
        <f aca="false">COUNTIF(環境認証!$A$2:$A$849,A776)</f>
        <v>1</v>
      </c>
      <c r="AF776" s="6" t="n">
        <v>43.6</v>
      </c>
      <c r="AG776" s="6" t="n">
        <v>38.4</v>
      </c>
    </row>
    <row r="777" customFormat="false" ht="15" hidden="false" customHeight="true" outlineLevel="0" collapsed="false">
      <c r="A777" s="6" t="s">
        <v>2952</v>
      </c>
      <c r="B777" s="6" t="s">
        <v>485</v>
      </c>
      <c r="C777" s="6" t="s">
        <v>2953</v>
      </c>
      <c r="D777" s="9" t="s">
        <v>522</v>
      </c>
      <c r="H777" s="9" t="s">
        <v>2844</v>
      </c>
      <c r="M777" s="6" t="n">
        <v>4348.15</v>
      </c>
      <c r="Q777" s="1" t="str">
        <f aca="false">IF(OR($A777="",P777=""),"",ROUND(YEARFRAC(P777,README!$C$5),1))</f>
        <v/>
      </c>
      <c r="S777" s="6" t="n">
        <v>2800</v>
      </c>
      <c r="T777" s="6" t="n">
        <v>2560</v>
      </c>
      <c r="U777" s="6" t="n">
        <v>4420</v>
      </c>
      <c r="V777" s="6" t="n">
        <v>1860</v>
      </c>
      <c r="W777" s="6" t="n">
        <v>1</v>
      </c>
      <c r="X777" s="6" t="n">
        <v>10</v>
      </c>
      <c r="Z777" s="6" t="s">
        <v>2845</v>
      </c>
      <c r="AA777" s="9" t="s">
        <v>528</v>
      </c>
      <c r="AB777" s="6" t="s">
        <v>2954</v>
      </c>
      <c r="AE777" s="37" t="n">
        <f aca="false">COUNTIF(環境認証!$A$2:$A$849,A777)</f>
        <v>1</v>
      </c>
      <c r="AF777" s="6" t="n">
        <v>72.7</v>
      </c>
      <c r="AG777" s="6" t="n">
        <v>57.9</v>
      </c>
    </row>
    <row r="778" customFormat="false" ht="15" hidden="false" customHeight="true" outlineLevel="0" collapsed="false">
      <c r="A778" s="6" t="s">
        <v>2955</v>
      </c>
      <c r="B778" s="6" t="s">
        <v>485</v>
      </c>
      <c r="C778" s="6" t="s">
        <v>2956</v>
      </c>
      <c r="D778" s="9" t="s">
        <v>522</v>
      </c>
      <c r="H778" s="9" t="s">
        <v>2844</v>
      </c>
      <c r="M778" s="6" t="n">
        <v>2726.69</v>
      </c>
      <c r="Q778" s="1" t="str">
        <f aca="false">IF(OR($A778="",P778=""),"",ROUND(YEARFRAC(P778,README!$C$5),1))</f>
        <v/>
      </c>
      <c r="S778" s="6" t="n">
        <v>1880</v>
      </c>
      <c r="T778" s="6" t="n">
        <v>1818</v>
      </c>
      <c r="U778" s="6" t="n">
        <v>3510</v>
      </c>
      <c r="V778" s="6" t="n">
        <v>1692</v>
      </c>
      <c r="W778" s="6" t="n">
        <v>1</v>
      </c>
      <c r="X778" s="6" t="n">
        <v>6</v>
      </c>
      <c r="Z778" s="6" t="s">
        <v>2845</v>
      </c>
      <c r="AA778" s="9" t="s">
        <v>528</v>
      </c>
      <c r="AB778" s="6" t="s">
        <v>2957</v>
      </c>
      <c r="AE778" s="37" t="n">
        <f aca="false">COUNTIF(環境認証!$A$2:$A$849,A778)</f>
        <v>1</v>
      </c>
      <c r="AF778" s="6" t="n">
        <v>93.1</v>
      </c>
      <c r="AG778" s="6" t="n">
        <v>86.7</v>
      </c>
    </row>
    <row r="779" customFormat="false" ht="15" hidden="false" customHeight="true" outlineLevel="0" collapsed="false">
      <c r="A779" s="6" t="s">
        <v>2958</v>
      </c>
      <c r="B779" s="6" t="s">
        <v>485</v>
      </c>
      <c r="C779" s="6" t="s">
        <v>2959</v>
      </c>
      <c r="D779" s="9" t="s">
        <v>522</v>
      </c>
      <c r="H779" s="9" t="s">
        <v>2844</v>
      </c>
      <c r="M779" s="6" t="n">
        <v>3827.68</v>
      </c>
      <c r="Q779" s="1" t="str">
        <f aca="false">IF(OR($A779="",P779=""),"",ROUND(YEARFRAC(P779,README!$C$5),1))</f>
        <v/>
      </c>
      <c r="S779" s="6" t="n">
        <v>2020</v>
      </c>
      <c r="T779" s="6" t="n">
        <v>2006</v>
      </c>
      <c r="U779" s="6" t="n">
        <v>3540</v>
      </c>
      <c r="V779" s="6" t="n">
        <v>1534</v>
      </c>
      <c r="W779" s="6" t="n">
        <v>1</v>
      </c>
      <c r="X779" s="6" t="n">
        <v>17</v>
      </c>
      <c r="Z779" s="6" t="s">
        <v>2845</v>
      </c>
      <c r="AA779" s="9" t="s">
        <v>528</v>
      </c>
      <c r="AB779" s="6" t="s">
        <v>2960</v>
      </c>
      <c r="AE779" s="37" t="n">
        <f aca="false">COUNTIF(環境認証!$A$2:$A$849,A779)</f>
        <v>1</v>
      </c>
      <c r="AF779" s="6" t="n">
        <v>76.5</v>
      </c>
      <c r="AG779" s="6" t="n">
        <v>75.2</v>
      </c>
    </row>
    <row r="780" customFormat="false" ht="15" hidden="false" customHeight="true" outlineLevel="0" collapsed="false">
      <c r="A780" s="6" t="s">
        <v>2961</v>
      </c>
      <c r="B780" s="6" t="s">
        <v>485</v>
      </c>
      <c r="C780" s="9" t="s">
        <v>2485</v>
      </c>
      <c r="D780" s="9" t="s">
        <v>522</v>
      </c>
      <c r="H780" s="9" t="s">
        <v>2844</v>
      </c>
      <c r="M780" s="6" t="n">
        <v>3106.42</v>
      </c>
      <c r="Q780" s="1" t="str">
        <f aca="false">IF(OR($A780="",P780=""),"",ROUND(YEARFRAC(P780,README!$C$5),1))</f>
        <v/>
      </c>
      <c r="S780" s="6" t="n">
        <v>2200</v>
      </c>
      <c r="T780" s="6" t="n">
        <v>2183</v>
      </c>
      <c r="U780" s="6" t="n">
        <v>3270</v>
      </c>
      <c r="V780" s="6" t="n">
        <v>1087</v>
      </c>
      <c r="W780" s="6" t="n">
        <v>0.988</v>
      </c>
      <c r="X780" s="6" t="n">
        <v>13</v>
      </c>
      <c r="Z780" s="6" t="s">
        <v>2845</v>
      </c>
      <c r="AA780" s="9" t="s">
        <v>528</v>
      </c>
      <c r="AB780" s="6" t="s">
        <v>2962</v>
      </c>
      <c r="AE780" s="37" t="n">
        <f aca="false">COUNTIF(環境認証!$A$2:$A$849,A780)</f>
        <v>1</v>
      </c>
      <c r="AF780" s="6" t="n">
        <v>49.8</v>
      </c>
      <c r="AG780" s="6" t="n">
        <v>48.6</v>
      </c>
    </row>
    <row r="781" customFormat="false" ht="15" hidden="false" customHeight="true" outlineLevel="0" collapsed="false">
      <c r="A781" s="6" t="s">
        <v>2963</v>
      </c>
      <c r="B781" s="6" t="s">
        <v>485</v>
      </c>
      <c r="C781" s="6" t="s">
        <v>2964</v>
      </c>
      <c r="D781" s="9" t="s">
        <v>522</v>
      </c>
      <c r="H781" s="9" t="s">
        <v>2844</v>
      </c>
      <c r="M781" s="6" t="n">
        <v>4037.56</v>
      </c>
      <c r="Q781" s="1" t="str">
        <f aca="false">IF(OR($A781="",P781=""),"",ROUND(YEARFRAC(P781,README!$C$5),1))</f>
        <v/>
      </c>
      <c r="S781" s="6" t="n">
        <v>1900</v>
      </c>
      <c r="T781" s="6" t="n">
        <v>1899</v>
      </c>
      <c r="U781" s="6" t="n">
        <v>3340</v>
      </c>
      <c r="V781" s="6" t="n">
        <v>1441</v>
      </c>
      <c r="W781" s="6" t="n">
        <v>0.939</v>
      </c>
      <c r="X781" s="6" t="n">
        <v>5</v>
      </c>
      <c r="Z781" s="6" t="s">
        <v>2845</v>
      </c>
      <c r="AA781" s="9" t="s">
        <v>528</v>
      </c>
      <c r="AB781" s="6" t="s">
        <v>2965</v>
      </c>
      <c r="AE781" s="37" t="n">
        <f aca="false">COUNTIF(環境認証!$A$2:$A$849,A781)</f>
        <v>1</v>
      </c>
      <c r="AF781" s="6" t="n">
        <v>75.9</v>
      </c>
      <c r="AG781" s="6" t="n">
        <v>75.8</v>
      </c>
    </row>
    <row r="782" customFormat="false" ht="15" hidden="false" customHeight="true" outlineLevel="0" collapsed="false">
      <c r="A782" s="6" t="s">
        <v>2966</v>
      </c>
      <c r="B782" s="6" t="s">
        <v>485</v>
      </c>
      <c r="C782" s="6" t="s">
        <v>2967</v>
      </c>
      <c r="D782" s="9" t="s">
        <v>522</v>
      </c>
      <c r="H782" s="9" t="s">
        <v>2844</v>
      </c>
      <c r="M782" s="6" t="n">
        <v>3110.77</v>
      </c>
      <c r="Q782" s="1" t="str">
        <f aca="false">IF(OR($A782="",P782=""),"",ROUND(YEARFRAC(P782,README!$C$5),1))</f>
        <v/>
      </c>
      <c r="S782" s="6" t="n">
        <v>3900</v>
      </c>
      <c r="T782" s="6" t="n">
        <v>3366</v>
      </c>
      <c r="U782" s="6" t="n">
        <v>5430</v>
      </c>
      <c r="V782" s="6" t="n">
        <v>2064</v>
      </c>
      <c r="W782" s="6" t="n">
        <v>1</v>
      </c>
      <c r="X782" s="6" t="n">
        <v>6</v>
      </c>
      <c r="Z782" s="6" t="s">
        <v>2845</v>
      </c>
      <c r="AA782" s="9" t="s">
        <v>528</v>
      </c>
      <c r="AB782" s="6" t="s">
        <v>2968</v>
      </c>
      <c r="AE782" s="37" t="n">
        <f aca="false">COUNTIF(環境認証!$A$2:$A$849,A782)</f>
        <v>1</v>
      </c>
      <c r="AF782" s="6" t="n">
        <v>61.3</v>
      </c>
      <c r="AG782" s="6" t="n">
        <v>39.2</v>
      </c>
    </row>
    <row r="783" customFormat="false" ht="15" hidden="false" customHeight="true" outlineLevel="0" collapsed="false">
      <c r="A783" s="6" t="s">
        <v>2969</v>
      </c>
      <c r="B783" s="6" t="s">
        <v>485</v>
      </c>
      <c r="C783" s="6" t="s">
        <v>2970</v>
      </c>
      <c r="D783" s="9" t="s">
        <v>522</v>
      </c>
      <c r="H783" s="9" t="s">
        <v>2844</v>
      </c>
      <c r="M783" s="6" t="n">
        <v>3272.19</v>
      </c>
      <c r="Q783" s="1" t="str">
        <f aca="false">IF(OR($A783="",P783=""),"",ROUND(YEARFRAC(P783,README!$C$5),1))</f>
        <v/>
      </c>
      <c r="S783" s="6" t="n">
        <v>3180</v>
      </c>
      <c r="T783" s="6" t="n">
        <v>3054</v>
      </c>
      <c r="U783" s="6" t="n">
        <v>4120</v>
      </c>
      <c r="V783" s="6" t="n">
        <v>1066</v>
      </c>
      <c r="W783" s="6" t="n">
        <v>1</v>
      </c>
      <c r="X783" s="6" t="n">
        <v>12</v>
      </c>
      <c r="Z783" s="6" t="s">
        <v>2845</v>
      </c>
      <c r="AA783" s="9" t="s">
        <v>528</v>
      </c>
      <c r="AB783" s="6" t="s">
        <v>2971</v>
      </c>
      <c r="AE783" s="37" t="n">
        <f aca="false">COUNTIF(環境認証!$A$2:$A$849,A783)</f>
        <v>1</v>
      </c>
      <c r="AF783" s="6" t="n">
        <v>34.9</v>
      </c>
      <c r="AG783" s="6" t="n">
        <v>29.6</v>
      </c>
    </row>
    <row r="784" customFormat="false" ht="15" hidden="false" customHeight="true" outlineLevel="0" collapsed="false">
      <c r="A784" s="6" t="s">
        <v>2972</v>
      </c>
      <c r="B784" s="6" t="s">
        <v>485</v>
      </c>
      <c r="C784" s="6" t="s">
        <v>2973</v>
      </c>
      <c r="D784" s="9" t="s">
        <v>522</v>
      </c>
      <c r="H784" s="9" t="s">
        <v>2844</v>
      </c>
      <c r="M784" s="6" t="n">
        <v>6970.54</v>
      </c>
      <c r="Q784" s="1" t="str">
        <f aca="false">IF(OR($A784="",P784=""),"",ROUND(YEARFRAC(P784,README!$C$5),1))</f>
        <v/>
      </c>
      <c r="S784" s="6" t="n">
        <v>5250</v>
      </c>
      <c r="T784" s="6" t="n">
        <v>5462</v>
      </c>
      <c r="U784" s="6" t="n">
        <v>7380</v>
      </c>
      <c r="V784" s="6" t="n">
        <v>1918</v>
      </c>
      <c r="W784" s="6" t="n">
        <v>0.992</v>
      </c>
      <c r="X784" s="6" t="n">
        <v>6</v>
      </c>
      <c r="Z784" s="6" t="s">
        <v>2845</v>
      </c>
      <c r="AA784" s="9" t="s">
        <v>528</v>
      </c>
      <c r="AB784" s="6" t="s">
        <v>2974</v>
      </c>
      <c r="AE784" s="37" t="n">
        <f aca="false">COUNTIF(環境認証!$A$2:$A$849,A784)</f>
        <v>1</v>
      </c>
      <c r="AF784" s="6" t="n">
        <v>35.1</v>
      </c>
      <c r="AG784" s="6" t="n">
        <v>40.6</v>
      </c>
    </row>
    <row r="785" customFormat="false" ht="15" hidden="false" customHeight="true" outlineLevel="0" collapsed="false">
      <c r="A785" s="6" t="s">
        <v>2975</v>
      </c>
      <c r="B785" s="6" t="s">
        <v>485</v>
      </c>
      <c r="C785" s="6" t="s">
        <v>2976</v>
      </c>
      <c r="D785" s="9" t="s">
        <v>522</v>
      </c>
      <c r="H785" s="9" t="s">
        <v>2844</v>
      </c>
      <c r="M785" s="6" t="n">
        <v>2287.4</v>
      </c>
      <c r="Q785" s="1" t="str">
        <f aca="false">IF(OR($A785="",P785=""),"",ROUND(YEARFRAC(P785,README!$C$5),1))</f>
        <v/>
      </c>
      <c r="S785" s="6" t="n">
        <v>2600</v>
      </c>
      <c r="T785" s="6" t="n">
        <v>2398</v>
      </c>
      <c r="U785" s="6" t="n">
        <v>3210</v>
      </c>
      <c r="V785" s="6" t="n">
        <v>812</v>
      </c>
      <c r="W785" s="6" t="n">
        <v>1</v>
      </c>
      <c r="X785" s="6" t="n">
        <v>8</v>
      </c>
      <c r="Z785" s="6" t="s">
        <v>2845</v>
      </c>
      <c r="AA785" s="9" t="s">
        <v>528</v>
      </c>
      <c r="AB785" s="6" t="s">
        <v>2977</v>
      </c>
      <c r="AE785" s="37" t="n">
        <f aca="false">COUNTIF(環境認証!$A$2:$A$849,A785)</f>
        <v>1</v>
      </c>
      <c r="AF785" s="6" t="n">
        <v>33.9</v>
      </c>
      <c r="AG785" s="6" t="n">
        <v>23.5</v>
      </c>
    </row>
    <row r="786" customFormat="false" ht="15" hidden="false" customHeight="true" outlineLevel="0" collapsed="false">
      <c r="A786" s="6" t="s">
        <v>2978</v>
      </c>
      <c r="B786" s="6" t="s">
        <v>485</v>
      </c>
      <c r="C786" s="6" t="s">
        <v>2979</v>
      </c>
      <c r="D786" s="9" t="s">
        <v>522</v>
      </c>
      <c r="H786" s="9" t="s">
        <v>2844</v>
      </c>
      <c r="M786" s="6" t="n">
        <v>4571.92</v>
      </c>
      <c r="Q786" s="1" t="str">
        <f aca="false">IF(OR($A786="",P786=""),"",ROUND(YEARFRAC(P786,README!$C$5),1))</f>
        <v/>
      </c>
      <c r="S786" s="6" t="n">
        <v>4350</v>
      </c>
      <c r="T786" s="6" t="n">
        <v>4589</v>
      </c>
      <c r="U786" s="6" t="n">
        <v>6560</v>
      </c>
      <c r="V786" s="6" t="n">
        <v>1971</v>
      </c>
      <c r="W786" s="6" t="n">
        <v>1</v>
      </c>
      <c r="X786" s="6" t="n">
        <v>8</v>
      </c>
      <c r="Z786" s="6" t="s">
        <v>2845</v>
      </c>
      <c r="AA786" s="9" t="s">
        <v>528</v>
      </c>
      <c r="AB786" s="6" t="s">
        <v>2980</v>
      </c>
      <c r="AE786" s="37" t="n">
        <f aca="false">COUNTIF(環境認証!$A$2:$A$849,A786)</f>
        <v>2</v>
      </c>
      <c r="AF786" s="6" t="n">
        <v>43</v>
      </c>
      <c r="AG786" s="6" t="n">
        <v>50.8</v>
      </c>
    </row>
    <row r="787" customFormat="false" ht="15" hidden="false" customHeight="true" outlineLevel="0" collapsed="false">
      <c r="A787" s="6" t="s">
        <v>2981</v>
      </c>
      <c r="B787" s="6" t="s">
        <v>485</v>
      </c>
      <c r="C787" s="6" t="s">
        <v>2982</v>
      </c>
      <c r="D787" s="9" t="s">
        <v>522</v>
      </c>
      <c r="H787" s="9" t="s">
        <v>2844</v>
      </c>
      <c r="M787" s="6" t="n">
        <v>12978.59</v>
      </c>
      <c r="Q787" s="1" t="str">
        <f aca="false">IF(OR($A787="",P787=""),"",ROUND(YEARFRAC(P787,README!$C$5),1))</f>
        <v/>
      </c>
      <c r="S787" s="6" t="n">
        <v>12000</v>
      </c>
      <c r="T787" s="6" t="n">
        <v>9866</v>
      </c>
      <c r="U787" s="6" t="n">
        <v>19100</v>
      </c>
      <c r="V787" s="6" t="n">
        <v>9234</v>
      </c>
      <c r="W787" s="6" t="n">
        <v>1</v>
      </c>
      <c r="X787" s="6" t="n">
        <v>17</v>
      </c>
      <c r="Z787" s="6" t="s">
        <v>2845</v>
      </c>
      <c r="AA787" s="9" t="s">
        <v>528</v>
      </c>
      <c r="AB787" s="6" t="s">
        <v>2983</v>
      </c>
      <c r="AE787" s="37" t="n">
        <f aca="false">COUNTIF(環境認証!$A$2:$A$849,A787)</f>
        <v>2</v>
      </c>
      <c r="AF787" s="6" t="n">
        <v>93.6</v>
      </c>
      <c r="AG787" s="6" t="n">
        <v>59.2</v>
      </c>
    </row>
    <row r="788" customFormat="false" ht="15" hidden="false" customHeight="true" outlineLevel="0" collapsed="false">
      <c r="A788" s="6" t="s">
        <v>2984</v>
      </c>
      <c r="B788" s="6" t="s">
        <v>485</v>
      </c>
      <c r="C788" s="9" t="s">
        <v>2985</v>
      </c>
      <c r="D788" s="9" t="s">
        <v>522</v>
      </c>
      <c r="H788" s="9" t="s">
        <v>2844</v>
      </c>
      <c r="M788" s="6" t="n">
        <v>1355.13</v>
      </c>
      <c r="Q788" s="1" t="str">
        <f aca="false">IF(OR($A788="",P788=""),"",ROUND(YEARFRAC(P788,README!$C$5),1))</f>
        <v/>
      </c>
      <c r="S788" s="6" t="n">
        <v>2880</v>
      </c>
      <c r="T788" s="6" t="n">
        <v>2973</v>
      </c>
      <c r="U788" s="6" t="n">
        <v>3870</v>
      </c>
      <c r="V788" s="6" t="n">
        <v>897</v>
      </c>
      <c r="W788" s="6" t="n">
        <v>1</v>
      </c>
      <c r="X788" s="6" t="n">
        <v>1</v>
      </c>
      <c r="Z788" s="6" t="s">
        <v>2845</v>
      </c>
      <c r="AA788" s="9" t="s">
        <v>528</v>
      </c>
      <c r="AB788" s="6" t="s">
        <v>2986</v>
      </c>
      <c r="AE788" s="37" t="n">
        <f aca="false">COUNTIF(環境認証!$A$2:$A$849,A788)</f>
        <v>0</v>
      </c>
      <c r="AF788" s="6" t="n">
        <v>30.2</v>
      </c>
      <c r="AG788" s="6" t="n">
        <v>34.4</v>
      </c>
    </row>
    <row r="789" customFormat="false" ht="15" hidden="false" customHeight="true" outlineLevel="0" collapsed="false">
      <c r="A789" s="6" t="s">
        <v>2987</v>
      </c>
      <c r="B789" s="6" t="s">
        <v>485</v>
      </c>
      <c r="C789" s="6" t="s">
        <v>2988</v>
      </c>
      <c r="D789" s="9" t="s">
        <v>522</v>
      </c>
      <c r="H789" s="9" t="s">
        <v>2844</v>
      </c>
      <c r="M789" s="6" t="n">
        <v>11797.83</v>
      </c>
      <c r="Q789" s="1" t="str">
        <f aca="false">IF(OR($A789="",P789=""),"",ROUND(YEARFRAC(P789,README!$C$5),1))</f>
        <v/>
      </c>
      <c r="S789" s="6" t="n">
        <v>8666</v>
      </c>
      <c r="T789" s="6" t="n">
        <v>7177</v>
      </c>
      <c r="U789" s="6" t="n">
        <v>9900</v>
      </c>
      <c r="V789" s="6" t="n">
        <v>2723</v>
      </c>
      <c r="W789" s="6" t="n">
        <v>0.954</v>
      </c>
      <c r="X789" s="6" t="n">
        <v>15</v>
      </c>
      <c r="Z789" s="6" t="s">
        <v>2845</v>
      </c>
      <c r="AA789" s="9" t="s">
        <v>528</v>
      </c>
      <c r="AB789" s="6" t="s">
        <v>2989</v>
      </c>
      <c r="AE789" s="37" t="n">
        <f aca="false">COUNTIF(環境認証!$A$2:$A$849,A789)</f>
        <v>2</v>
      </c>
      <c r="AF789" s="6" t="n">
        <v>37.9</v>
      </c>
      <c r="AG789" s="6" t="n">
        <v>14.2</v>
      </c>
    </row>
    <row r="790" customFormat="false" ht="15" hidden="false" customHeight="true" outlineLevel="0" collapsed="false">
      <c r="A790" s="6" t="s">
        <v>2990</v>
      </c>
      <c r="B790" s="6" t="s">
        <v>485</v>
      </c>
      <c r="C790" s="6" t="s">
        <v>2991</v>
      </c>
      <c r="D790" s="9" t="s">
        <v>522</v>
      </c>
      <c r="H790" s="9" t="s">
        <v>2844</v>
      </c>
      <c r="M790" s="6" t="n">
        <v>4596.2</v>
      </c>
      <c r="Q790" s="1" t="str">
        <f aca="false">IF(OR($A790="",P790=""),"",ROUND(YEARFRAC(P790,README!$C$5),1))</f>
        <v/>
      </c>
      <c r="S790" s="6" t="n">
        <v>3650</v>
      </c>
      <c r="T790" s="6" t="n">
        <v>3509</v>
      </c>
      <c r="U790" s="6" t="n">
        <v>5010</v>
      </c>
      <c r="V790" s="6" t="n">
        <v>1501</v>
      </c>
      <c r="W790" s="6" t="n">
        <v>1</v>
      </c>
      <c r="X790" s="6" t="n">
        <v>10</v>
      </c>
      <c r="Z790" s="6" t="s">
        <v>2845</v>
      </c>
      <c r="AA790" s="9" t="s">
        <v>528</v>
      </c>
      <c r="AB790" s="6" t="s">
        <v>2992</v>
      </c>
      <c r="AE790" s="37" t="n">
        <f aca="false">COUNTIF(環境認証!$A$2:$A$849,A790)</f>
        <v>1</v>
      </c>
      <c r="AF790" s="6" t="n">
        <v>42.8</v>
      </c>
      <c r="AG790" s="6" t="n">
        <v>37.3</v>
      </c>
    </row>
    <row r="791" customFormat="false" ht="15" hidden="false" customHeight="true" outlineLevel="0" collapsed="false">
      <c r="A791" s="6" t="s">
        <v>2993</v>
      </c>
      <c r="B791" s="6" t="s">
        <v>485</v>
      </c>
      <c r="C791" s="6" t="s">
        <v>2994</v>
      </c>
      <c r="D791" s="9" t="s">
        <v>522</v>
      </c>
      <c r="H791" s="9" t="s">
        <v>2844</v>
      </c>
      <c r="M791" s="6" t="n">
        <v>2516.31</v>
      </c>
      <c r="Q791" s="1" t="str">
        <f aca="false">IF(OR($A791="",P791=""),"",ROUND(YEARFRAC(P791,README!$C$5),1))</f>
        <v/>
      </c>
      <c r="S791" s="6" t="n">
        <v>1934</v>
      </c>
      <c r="T791" s="6" t="n">
        <v>1914</v>
      </c>
      <c r="U791" s="6" t="n">
        <v>2610</v>
      </c>
      <c r="V791" s="6" t="n">
        <v>696</v>
      </c>
      <c r="W791" s="6" t="n">
        <v>1</v>
      </c>
      <c r="X791" s="6" t="n">
        <v>6</v>
      </c>
      <c r="Z791" s="6" t="s">
        <v>2845</v>
      </c>
      <c r="AA791" s="9" t="s">
        <v>528</v>
      </c>
      <c r="AB791" s="6" t="s">
        <v>2995</v>
      </c>
      <c r="AE791" s="37" t="n">
        <f aca="false">COUNTIF(環境認証!$A$2:$A$849,A791)</f>
        <v>1</v>
      </c>
      <c r="AF791" s="6" t="n">
        <v>36.4</v>
      </c>
      <c r="AG791" s="6" t="n">
        <v>35</v>
      </c>
    </row>
    <row r="792" customFormat="false" ht="15" hidden="false" customHeight="true" outlineLevel="0" collapsed="false">
      <c r="A792" s="6" t="s">
        <v>2996</v>
      </c>
      <c r="B792" s="6" t="s">
        <v>485</v>
      </c>
      <c r="C792" s="6" t="s">
        <v>2997</v>
      </c>
      <c r="D792" s="9" t="s">
        <v>522</v>
      </c>
      <c r="H792" s="9" t="s">
        <v>2844</v>
      </c>
      <c r="M792" s="6" t="n">
        <v>10926.12</v>
      </c>
      <c r="Q792" s="1" t="str">
        <f aca="false">IF(OR($A792="",P792=""),"",ROUND(YEARFRAC(P792,README!$C$5),1))</f>
        <v/>
      </c>
      <c r="S792" s="6" t="n">
        <v>7210</v>
      </c>
      <c r="T792" s="6" t="n">
        <v>7029</v>
      </c>
      <c r="U792" s="6" t="n">
        <v>10000</v>
      </c>
      <c r="V792" s="6" t="n">
        <v>2971</v>
      </c>
      <c r="W792" s="6" t="n">
        <v>1</v>
      </c>
      <c r="X792" s="6" t="n">
        <v>27</v>
      </c>
      <c r="Z792" s="6" t="s">
        <v>2845</v>
      </c>
      <c r="AA792" s="9" t="s">
        <v>528</v>
      </c>
      <c r="AB792" s="6" t="s">
        <v>2998</v>
      </c>
      <c r="AE792" s="37" t="n">
        <f aca="false">COUNTIF(環境認証!$A$2:$A$849,A792)</f>
        <v>1</v>
      </c>
      <c r="AF792" s="6" t="n">
        <v>42.3</v>
      </c>
      <c r="AG792" s="6" t="n">
        <v>38.7</v>
      </c>
    </row>
    <row r="793" customFormat="false" ht="15" hidden="false" customHeight="true" outlineLevel="0" collapsed="false">
      <c r="A793" s="6" t="s">
        <v>2999</v>
      </c>
      <c r="B793" s="6" t="s">
        <v>485</v>
      </c>
      <c r="C793" s="6" t="s">
        <v>3000</v>
      </c>
      <c r="D793" s="9" t="s">
        <v>522</v>
      </c>
      <c r="H793" s="9" t="s">
        <v>2844</v>
      </c>
      <c r="M793" s="6" t="n">
        <v>4990</v>
      </c>
      <c r="Q793" s="1" t="str">
        <f aca="false">IF(OR($A793="",P793=""),"",ROUND(YEARFRAC(P793,README!$C$5),1))</f>
        <v/>
      </c>
      <c r="S793" s="6" t="n">
        <v>2750</v>
      </c>
      <c r="T793" s="6" t="n">
        <v>2577</v>
      </c>
      <c r="U793" s="6" t="n">
        <v>3530</v>
      </c>
      <c r="V793" s="6" t="n">
        <v>953</v>
      </c>
      <c r="W793" s="6" t="n">
        <v>1</v>
      </c>
      <c r="X793" s="6" t="n">
        <v>16</v>
      </c>
      <c r="Z793" s="6" t="s">
        <v>2845</v>
      </c>
      <c r="AA793" s="9" t="s">
        <v>528</v>
      </c>
      <c r="AB793" s="6" t="s">
        <v>3001</v>
      </c>
      <c r="AE793" s="37" t="n">
        <f aca="false">COUNTIF(環境認証!$A$2:$A$849,A793)</f>
        <v>1</v>
      </c>
      <c r="AF793" s="6" t="n">
        <v>37</v>
      </c>
      <c r="AG793" s="6" t="n">
        <v>28.4</v>
      </c>
    </row>
    <row r="794" customFormat="false" ht="15" hidden="false" customHeight="true" outlineLevel="0" collapsed="false">
      <c r="A794" s="6" t="s">
        <v>3002</v>
      </c>
      <c r="B794" s="6" t="s">
        <v>485</v>
      </c>
      <c r="C794" s="6" t="s">
        <v>3003</v>
      </c>
      <c r="D794" s="9" t="s">
        <v>522</v>
      </c>
      <c r="H794" s="9" t="s">
        <v>2844</v>
      </c>
      <c r="M794" s="6" t="n">
        <v>4400.93</v>
      </c>
      <c r="Q794" s="1" t="str">
        <f aca="false">IF(OR($A794="",P794=""),"",ROUND(YEARFRAC(P794,README!$C$5),1))</f>
        <v/>
      </c>
      <c r="S794" s="6" t="n">
        <v>3600</v>
      </c>
      <c r="T794" s="6" t="n">
        <v>3549</v>
      </c>
      <c r="U794" s="6" t="n">
        <v>4210</v>
      </c>
      <c r="V794" s="6" t="n">
        <v>661</v>
      </c>
      <c r="W794" s="6" t="n">
        <v>1</v>
      </c>
      <c r="X794" s="6" t="n">
        <v>11</v>
      </c>
      <c r="Z794" s="6" t="s">
        <v>2845</v>
      </c>
      <c r="AA794" s="9" t="s">
        <v>528</v>
      </c>
      <c r="AB794" s="6" t="s">
        <v>3004</v>
      </c>
      <c r="AE794" s="37" t="n">
        <f aca="false">COUNTIF(環境認証!$A$2:$A$849,A794)</f>
        <v>1</v>
      </c>
      <c r="AF794" s="6" t="n">
        <v>18.6</v>
      </c>
      <c r="AG794" s="6" t="n">
        <v>16.9</v>
      </c>
    </row>
    <row r="795" customFormat="false" ht="15" hidden="false" customHeight="true" outlineLevel="0" collapsed="false">
      <c r="A795" s="6" t="s">
        <v>3005</v>
      </c>
      <c r="B795" s="6" t="s">
        <v>485</v>
      </c>
      <c r="C795" s="9" t="s">
        <v>3006</v>
      </c>
      <c r="D795" s="9" t="s">
        <v>522</v>
      </c>
      <c r="H795" s="9" t="s">
        <v>2844</v>
      </c>
      <c r="M795" s="6" t="n">
        <v>4342.61</v>
      </c>
      <c r="Q795" s="1" t="str">
        <f aca="false">IF(OR($A795="",P795=""),"",ROUND(YEARFRAC(P795,README!$C$5),1))</f>
        <v/>
      </c>
      <c r="S795" s="6" t="n">
        <v>3350</v>
      </c>
      <c r="T795" s="6" t="n">
        <v>3625</v>
      </c>
      <c r="U795" s="6" t="n">
        <v>4143</v>
      </c>
      <c r="V795" s="6" t="n">
        <v>518</v>
      </c>
      <c r="W795" s="6" t="n">
        <v>0.977</v>
      </c>
      <c r="X795" s="6" t="n">
        <v>9</v>
      </c>
      <c r="Z795" s="6" t="s">
        <v>2845</v>
      </c>
      <c r="AA795" s="9" t="s">
        <v>528</v>
      </c>
      <c r="AB795" s="6" t="s">
        <v>3007</v>
      </c>
      <c r="AE795" s="37" t="n">
        <f aca="false">COUNTIF(環境認証!$A$2:$A$849,A795)</f>
        <v>0</v>
      </c>
      <c r="AF795" s="6" t="n">
        <v>14.3</v>
      </c>
      <c r="AG795" s="6" t="n">
        <v>23.7</v>
      </c>
    </row>
    <row r="796" customFormat="false" ht="15" hidden="false" customHeight="true" outlineLevel="0" collapsed="false">
      <c r="A796" s="6" t="s">
        <v>3008</v>
      </c>
      <c r="B796" s="6" t="s">
        <v>485</v>
      </c>
      <c r="C796" s="6" t="s">
        <v>3009</v>
      </c>
      <c r="D796" s="9" t="s">
        <v>522</v>
      </c>
      <c r="H796" s="9" t="s">
        <v>2844</v>
      </c>
      <c r="M796" s="6" t="n">
        <v>3052.76</v>
      </c>
      <c r="Q796" s="1" t="str">
        <f aca="false">IF(OR($A796="",P796=""),"",ROUND(YEARFRAC(P796,README!$C$5),1))</f>
        <v/>
      </c>
      <c r="S796" s="6" t="n">
        <v>3950</v>
      </c>
      <c r="T796" s="6" t="n">
        <v>3973</v>
      </c>
      <c r="U796" s="6" t="n">
        <v>4890</v>
      </c>
      <c r="V796" s="6" t="n">
        <v>917</v>
      </c>
      <c r="W796" s="6" t="n">
        <v>1</v>
      </c>
      <c r="X796" s="6" t="n">
        <v>7</v>
      </c>
      <c r="Z796" s="6" t="s">
        <v>2845</v>
      </c>
      <c r="AA796" s="9" t="s">
        <v>528</v>
      </c>
      <c r="AB796" s="6" t="s">
        <v>3010</v>
      </c>
      <c r="AE796" s="37" t="n">
        <f aca="false">COUNTIF(環境認証!$A$2:$A$849,A796)</f>
        <v>1</v>
      </c>
      <c r="AF796" s="6" t="n">
        <v>23.1</v>
      </c>
      <c r="AG796" s="6" t="n">
        <v>23.8</v>
      </c>
    </row>
    <row r="797" customFormat="false" ht="15" hidden="false" customHeight="true" outlineLevel="0" collapsed="false">
      <c r="A797" s="6" t="s">
        <v>3011</v>
      </c>
      <c r="B797" s="6" t="s">
        <v>485</v>
      </c>
      <c r="C797" s="6" t="s">
        <v>3012</v>
      </c>
      <c r="D797" s="9" t="s">
        <v>522</v>
      </c>
      <c r="H797" s="9" t="s">
        <v>2844</v>
      </c>
      <c r="M797" s="6" t="n">
        <v>8179</v>
      </c>
      <c r="Q797" s="1" t="str">
        <f aca="false">IF(OR($A797="",P797=""),"",ROUND(YEARFRAC(P797,README!$C$5),1))</f>
        <v/>
      </c>
      <c r="S797" s="6" t="n">
        <v>14616</v>
      </c>
      <c r="T797" s="6" t="n">
        <v>14500</v>
      </c>
      <c r="U797" s="6" t="n">
        <v>23800</v>
      </c>
      <c r="V797" s="6" t="n">
        <v>9300</v>
      </c>
      <c r="W797" s="6" t="n">
        <v>1</v>
      </c>
      <c r="X797" s="6" t="n">
        <v>4</v>
      </c>
      <c r="Z797" s="6" t="s">
        <v>2845</v>
      </c>
      <c r="AA797" s="9" t="s">
        <v>528</v>
      </c>
      <c r="AB797" s="6" t="s">
        <v>3013</v>
      </c>
      <c r="AE797" s="37" t="n">
        <f aca="false">COUNTIF(環境認証!$A$2:$A$849,A797)</f>
        <v>3</v>
      </c>
      <c r="AF797" s="6" t="n">
        <v>64.1</v>
      </c>
      <c r="AG797" s="6" t="n">
        <v>62.8</v>
      </c>
    </row>
    <row r="798" customFormat="false" ht="15" hidden="false" customHeight="true" outlineLevel="0" collapsed="false">
      <c r="A798" s="6" t="s">
        <v>3014</v>
      </c>
      <c r="B798" s="6" t="s">
        <v>485</v>
      </c>
      <c r="C798" s="6" t="s">
        <v>3015</v>
      </c>
      <c r="D798" s="9" t="s">
        <v>522</v>
      </c>
      <c r="H798" s="9" t="s">
        <v>2844</v>
      </c>
      <c r="M798" s="6" t="n">
        <v>3279.09</v>
      </c>
      <c r="Q798" s="1" t="str">
        <f aca="false">IF(OR($A798="",P798=""),"",ROUND(YEARFRAC(P798,README!$C$5),1))</f>
        <v/>
      </c>
      <c r="S798" s="6" t="n">
        <v>3829</v>
      </c>
      <c r="T798" s="6" t="n">
        <v>3879</v>
      </c>
      <c r="U798" s="6" t="n">
        <v>4510</v>
      </c>
      <c r="V798" s="6" t="n">
        <v>631</v>
      </c>
      <c r="W798" s="6" t="n">
        <v>1</v>
      </c>
      <c r="X798" s="6" t="n">
        <v>10</v>
      </c>
      <c r="Z798" s="6" t="s">
        <v>2845</v>
      </c>
      <c r="AA798" s="9" t="s">
        <v>528</v>
      </c>
      <c r="AB798" s="6" t="s">
        <v>3016</v>
      </c>
      <c r="AE798" s="37" t="n">
        <f aca="false">COUNTIF(環境認証!$A$2:$A$849,A798)</f>
        <v>1</v>
      </c>
      <c r="AF798" s="6" t="n">
        <v>16.3</v>
      </c>
      <c r="AG798" s="6" t="n">
        <v>17.8</v>
      </c>
    </row>
    <row r="799" customFormat="false" ht="15" hidden="false" customHeight="true" outlineLevel="0" collapsed="false">
      <c r="A799" s="6" t="s">
        <v>3017</v>
      </c>
      <c r="B799" s="6" t="s">
        <v>485</v>
      </c>
      <c r="C799" s="9" t="s">
        <v>930</v>
      </c>
      <c r="D799" s="9" t="s">
        <v>522</v>
      </c>
      <c r="H799" s="9" t="s">
        <v>2844</v>
      </c>
      <c r="M799" s="6" t="n">
        <v>2442.6</v>
      </c>
      <c r="Q799" s="1" t="str">
        <f aca="false">IF(OR($A799="",P799=""),"",ROUND(YEARFRAC(P799,README!$C$5),1))</f>
        <v/>
      </c>
      <c r="S799" s="6" t="n">
        <v>4169</v>
      </c>
      <c r="T799" s="6" t="n">
        <v>4205</v>
      </c>
      <c r="U799" s="6" t="n">
        <v>4920</v>
      </c>
      <c r="V799" s="6" t="n">
        <v>715</v>
      </c>
      <c r="W799" s="6" t="n">
        <v>1</v>
      </c>
      <c r="X799" s="6" t="n">
        <v>1</v>
      </c>
      <c r="Z799" s="6" t="s">
        <v>2845</v>
      </c>
      <c r="AA799" s="9" t="s">
        <v>528</v>
      </c>
      <c r="AB799" s="6" t="s">
        <v>3018</v>
      </c>
      <c r="AE799" s="37" t="n">
        <f aca="false">COUNTIF(環境認証!$A$2:$A$849,A799)</f>
        <v>1</v>
      </c>
      <c r="AF799" s="6" t="n">
        <v>17</v>
      </c>
      <c r="AG799" s="6" t="n">
        <v>18</v>
      </c>
    </row>
    <row r="800" customFormat="false" ht="15" hidden="false" customHeight="true" outlineLevel="0" collapsed="false">
      <c r="A800" s="6" t="s">
        <v>3019</v>
      </c>
      <c r="B800" s="6" t="s">
        <v>485</v>
      </c>
      <c r="C800" s="6" t="s">
        <v>3020</v>
      </c>
      <c r="D800" s="9" t="s">
        <v>522</v>
      </c>
      <c r="H800" s="9" t="s">
        <v>2844</v>
      </c>
      <c r="M800" s="6" t="n">
        <v>5742.45</v>
      </c>
      <c r="Q800" s="1" t="str">
        <f aca="false">IF(OR($A800="",P800=""),"",ROUND(YEARFRAC(P800,README!$C$5),1))</f>
        <v/>
      </c>
      <c r="S800" s="6" t="n">
        <v>8400</v>
      </c>
      <c r="T800" s="6" t="n">
        <v>8434</v>
      </c>
      <c r="U800" s="6" t="n">
        <v>9580</v>
      </c>
      <c r="V800" s="6" t="n">
        <v>1146</v>
      </c>
      <c r="W800" s="6" t="n">
        <v>1</v>
      </c>
      <c r="X800" s="6" t="n">
        <v>9</v>
      </c>
      <c r="Z800" s="6" t="s">
        <v>2845</v>
      </c>
      <c r="AA800" s="9" t="s">
        <v>528</v>
      </c>
      <c r="AB800" s="6" t="s">
        <v>3021</v>
      </c>
      <c r="AE800" s="37" t="n">
        <f aca="false">COUNTIF(環境認証!$A$2:$A$849,A800)</f>
        <v>1</v>
      </c>
      <c r="AF800" s="6" t="n">
        <v>13.6</v>
      </c>
      <c r="AG800" s="6" t="n">
        <v>14</v>
      </c>
    </row>
    <row r="801" customFormat="false" ht="15" hidden="false" customHeight="true" outlineLevel="0" collapsed="false">
      <c r="A801" s="6" t="s">
        <v>3022</v>
      </c>
      <c r="B801" s="6" t="s">
        <v>485</v>
      </c>
      <c r="C801" s="6" t="s">
        <v>3023</v>
      </c>
      <c r="D801" s="9" t="s">
        <v>522</v>
      </c>
      <c r="H801" s="9" t="s">
        <v>2844</v>
      </c>
      <c r="M801" s="6" t="n">
        <v>3320.24</v>
      </c>
      <c r="Q801" s="1" t="str">
        <f aca="false">IF(OR($A801="",P801=""),"",ROUND(YEARFRAC(P801,README!$C$5),1))</f>
        <v/>
      </c>
      <c r="S801" s="6" t="n">
        <v>2200</v>
      </c>
      <c r="T801" s="6" t="n">
        <v>2305</v>
      </c>
      <c r="U801" s="6" t="n">
        <v>2690</v>
      </c>
      <c r="V801" s="6" t="n">
        <v>385</v>
      </c>
      <c r="W801" s="6" t="n">
        <v>1</v>
      </c>
      <c r="X801" s="6" t="n">
        <v>6</v>
      </c>
      <c r="Z801" s="6" t="s">
        <v>2845</v>
      </c>
      <c r="AA801" s="9" t="s">
        <v>528</v>
      </c>
      <c r="AB801" s="6" t="s">
        <v>3024</v>
      </c>
      <c r="AE801" s="37" t="n">
        <f aca="false">COUNTIF(環境認証!$A$2:$A$849,A801)</f>
        <v>1</v>
      </c>
      <c r="AF801" s="6" t="n">
        <v>16.7</v>
      </c>
      <c r="AG801" s="6" t="n">
        <v>22.3</v>
      </c>
    </row>
    <row r="802" customFormat="false" ht="15" hidden="false" customHeight="true" outlineLevel="0" collapsed="false">
      <c r="A802" s="6" t="s">
        <v>3025</v>
      </c>
      <c r="B802" s="6" t="s">
        <v>485</v>
      </c>
      <c r="C802" s="6" t="s">
        <v>3026</v>
      </c>
      <c r="D802" s="9" t="s">
        <v>522</v>
      </c>
      <c r="H802" s="9" t="s">
        <v>2844</v>
      </c>
      <c r="M802" s="6" t="n">
        <v>2205.33</v>
      </c>
      <c r="Q802" s="1" t="str">
        <f aca="false">IF(OR($A802="",P802=""),"",ROUND(YEARFRAC(P802,README!$C$5),1))</f>
        <v/>
      </c>
      <c r="S802" s="6" t="n">
        <v>3500</v>
      </c>
      <c r="T802" s="6" t="n">
        <v>3533</v>
      </c>
      <c r="U802" s="6" t="n">
        <v>4180</v>
      </c>
      <c r="V802" s="6" t="n">
        <v>647</v>
      </c>
      <c r="W802" s="6" t="n">
        <v>1</v>
      </c>
      <c r="X802" s="6" t="n">
        <v>1</v>
      </c>
      <c r="Z802" s="6" t="s">
        <v>2845</v>
      </c>
      <c r="AA802" s="9" t="s">
        <v>528</v>
      </c>
      <c r="AB802" s="6" t="s">
        <v>3027</v>
      </c>
      <c r="AE802" s="37" t="n">
        <f aca="false">COUNTIF(環境認証!$A$2:$A$849,A802)</f>
        <v>1</v>
      </c>
      <c r="AF802" s="6" t="n">
        <v>18.3</v>
      </c>
      <c r="AG802" s="6" t="n">
        <v>19.4</v>
      </c>
    </row>
    <row r="803" customFormat="false" ht="15" hidden="false" customHeight="true" outlineLevel="0" collapsed="false">
      <c r="A803" s="6" t="s">
        <v>3028</v>
      </c>
      <c r="B803" s="6" t="s">
        <v>485</v>
      </c>
      <c r="C803" s="6" t="s">
        <v>3029</v>
      </c>
      <c r="D803" s="9" t="s">
        <v>522</v>
      </c>
      <c r="H803" s="9" t="s">
        <v>2844</v>
      </c>
      <c r="M803" s="6" t="n">
        <v>13485.43</v>
      </c>
      <c r="Q803" s="1" t="str">
        <f aca="false">IF(OR($A803="",P803=""),"",ROUND(YEARFRAC(P803,README!$C$5),1))</f>
        <v/>
      </c>
      <c r="S803" s="6" t="n">
        <v>14720</v>
      </c>
      <c r="T803" s="6" t="n">
        <v>14945</v>
      </c>
      <c r="U803" s="6" t="n">
        <v>14700</v>
      </c>
      <c r="V803" s="6" t="n">
        <v>-245</v>
      </c>
      <c r="W803" s="6" t="n">
        <v>0.983</v>
      </c>
      <c r="X803" s="6" t="n">
        <v>28</v>
      </c>
      <c r="Z803" s="6" t="s">
        <v>2845</v>
      </c>
      <c r="AA803" s="9" t="s">
        <v>528</v>
      </c>
      <c r="AB803" s="6" t="s">
        <v>3030</v>
      </c>
      <c r="AE803" s="37" t="n">
        <f aca="false">COUNTIF(環境認証!$A$2:$A$849,A803)</f>
        <v>1</v>
      </c>
      <c r="AF803" s="6" t="n">
        <v>-1.6</v>
      </c>
      <c r="AG803" s="6" t="n">
        <v>-0.1</v>
      </c>
    </row>
    <row r="804" customFormat="false" ht="15" hidden="false" customHeight="true" outlineLevel="0" collapsed="false">
      <c r="A804" s="6" t="s">
        <v>3031</v>
      </c>
      <c r="B804" s="6" t="s">
        <v>485</v>
      </c>
      <c r="C804" s="6" t="s">
        <v>3032</v>
      </c>
      <c r="D804" s="9" t="s">
        <v>522</v>
      </c>
      <c r="H804" s="9" t="s">
        <v>2844</v>
      </c>
      <c r="M804" s="6" t="n">
        <v>10035.09</v>
      </c>
      <c r="Q804" s="1" t="str">
        <f aca="false">IF(OR($A804="",P804=""),"",ROUND(YEARFRAC(P804,README!$C$5),1))</f>
        <v/>
      </c>
      <c r="S804" s="6" t="n">
        <v>9500</v>
      </c>
      <c r="T804" s="6" t="n">
        <v>9281</v>
      </c>
      <c r="U804" s="6" t="n">
        <v>10500</v>
      </c>
      <c r="V804" s="6" t="n">
        <v>1219</v>
      </c>
      <c r="W804" s="6" t="n">
        <v>1</v>
      </c>
      <c r="X804" s="6" t="n">
        <v>14</v>
      </c>
      <c r="Z804" s="6" t="s">
        <v>2845</v>
      </c>
      <c r="AA804" s="9" t="s">
        <v>528</v>
      </c>
      <c r="AB804" s="6" t="s">
        <v>3033</v>
      </c>
      <c r="AE804" s="37" t="n">
        <f aca="false">COUNTIF(環境認証!$A$2:$A$849,A804)</f>
        <v>1</v>
      </c>
      <c r="AF804" s="6" t="n">
        <v>13.1</v>
      </c>
      <c r="AG804" s="6" t="n">
        <v>10.5</v>
      </c>
    </row>
    <row r="805" customFormat="false" ht="15" hidden="false" customHeight="true" outlineLevel="0" collapsed="false">
      <c r="A805" s="6" t="s">
        <v>3034</v>
      </c>
      <c r="B805" s="6" t="s">
        <v>485</v>
      </c>
      <c r="C805" s="6" t="s">
        <v>3035</v>
      </c>
      <c r="D805" s="9" t="s">
        <v>522</v>
      </c>
      <c r="H805" s="9" t="s">
        <v>2844</v>
      </c>
      <c r="M805" s="6" t="n">
        <v>9325.18</v>
      </c>
      <c r="Q805" s="1" t="str">
        <f aca="false">IF(OR($A805="",P805=""),"",ROUND(YEARFRAC(P805,README!$C$5),1))</f>
        <v/>
      </c>
      <c r="S805" s="6" t="n">
        <v>20700</v>
      </c>
      <c r="T805" s="6" t="n">
        <v>19845</v>
      </c>
      <c r="U805" s="6" t="n">
        <v>24000</v>
      </c>
      <c r="V805" s="6" t="n">
        <v>4155</v>
      </c>
      <c r="W805" s="6" t="n">
        <v>0.943</v>
      </c>
      <c r="X805" s="6" t="n">
        <v>12</v>
      </c>
      <c r="Z805" s="6" t="s">
        <v>2845</v>
      </c>
      <c r="AA805" s="9" t="s">
        <v>528</v>
      </c>
      <c r="AB805" s="6" t="s">
        <v>3036</v>
      </c>
      <c r="AE805" s="37" t="n">
        <f aca="false">COUNTIF(環境認証!$A$2:$A$849,A805)</f>
        <v>3</v>
      </c>
      <c r="AF805" s="6" t="n">
        <v>20.9</v>
      </c>
      <c r="AG805" s="6" t="n">
        <v>15.9</v>
      </c>
    </row>
    <row r="806" customFormat="false" ht="15" hidden="false" customHeight="true" outlineLevel="0" collapsed="false">
      <c r="A806" s="6" t="s">
        <v>3037</v>
      </c>
      <c r="B806" s="6" t="s">
        <v>485</v>
      </c>
      <c r="C806" s="6" t="s">
        <v>3038</v>
      </c>
      <c r="D806" s="9" t="s">
        <v>522</v>
      </c>
      <c r="H806" s="9" t="s">
        <v>2844</v>
      </c>
      <c r="M806" s="6" t="n">
        <v>23960.57</v>
      </c>
      <c r="Q806" s="1" t="str">
        <f aca="false">IF(OR($A806="",P806=""),"",ROUND(YEARFRAC(P806,README!$C$5),1))</f>
        <v/>
      </c>
      <c r="S806" s="6" t="n">
        <v>11120</v>
      </c>
      <c r="T806" s="6" t="n">
        <v>11413</v>
      </c>
      <c r="U806" s="6" t="n">
        <v>12000</v>
      </c>
      <c r="V806" s="6" t="n">
        <v>587</v>
      </c>
      <c r="W806" s="6" t="n">
        <v>1</v>
      </c>
      <c r="X806" s="6" t="n">
        <v>9</v>
      </c>
      <c r="Z806" s="6" t="s">
        <v>2845</v>
      </c>
      <c r="AA806" s="9" t="s">
        <v>528</v>
      </c>
      <c r="AB806" s="6" t="s">
        <v>3039</v>
      </c>
      <c r="AE806" s="37" t="n">
        <f aca="false">COUNTIF(環境認証!$A$2:$A$849,A806)</f>
        <v>1</v>
      </c>
      <c r="AF806" s="6" t="n">
        <v>5.1</v>
      </c>
      <c r="AG806" s="6" t="n">
        <v>7.9</v>
      </c>
    </row>
    <row r="807" customFormat="false" ht="15" hidden="false" customHeight="true" outlineLevel="0" collapsed="false">
      <c r="A807" s="6" t="s">
        <v>3040</v>
      </c>
      <c r="B807" s="6" t="s">
        <v>485</v>
      </c>
      <c r="C807" s="6" t="s">
        <v>3041</v>
      </c>
      <c r="D807" s="9" t="s">
        <v>522</v>
      </c>
      <c r="H807" s="9" t="s">
        <v>2844</v>
      </c>
      <c r="M807" s="6" t="n">
        <v>2175.29</v>
      </c>
      <c r="Q807" s="1" t="str">
        <f aca="false">IF(OR($A807="",P807=""),"",ROUND(YEARFRAC(P807,README!$C$5),1))</f>
        <v/>
      </c>
      <c r="S807" s="6" t="n">
        <v>3300</v>
      </c>
      <c r="T807" s="6" t="n">
        <v>3389</v>
      </c>
      <c r="U807" s="6" t="n">
        <v>3540</v>
      </c>
      <c r="V807" s="6" t="n">
        <v>151</v>
      </c>
      <c r="W807" s="6" t="n">
        <v>1</v>
      </c>
      <c r="X807" s="6" t="n">
        <v>7</v>
      </c>
      <c r="Z807" s="6" t="s">
        <v>2845</v>
      </c>
      <c r="AA807" s="9" t="s">
        <v>528</v>
      </c>
      <c r="AB807" s="6" t="s">
        <v>3042</v>
      </c>
      <c r="AE807" s="37" t="n">
        <f aca="false">COUNTIF(環境認証!$A$2:$A$849,A807)</f>
        <v>0</v>
      </c>
      <c r="AF807" s="6" t="n">
        <v>4.5</v>
      </c>
      <c r="AG807" s="6" t="n">
        <v>7.3</v>
      </c>
    </row>
    <row r="808" customFormat="false" ht="15" hidden="false" customHeight="true" outlineLevel="0" collapsed="false">
      <c r="A808" s="6" t="s">
        <v>3043</v>
      </c>
      <c r="B808" s="6" t="s">
        <v>485</v>
      </c>
      <c r="C808" s="6" t="s">
        <v>3044</v>
      </c>
      <c r="D808" s="9" t="s">
        <v>522</v>
      </c>
      <c r="H808" s="9" t="s">
        <v>2844</v>
      </c>
      <c r="M808" s="6" t="n">
        <v>5429.38</v>
      </c>
      <c r="Q808" s="1" t="str">
        <f aca="false">IF(OR($A808="",P808=""),"",ROUND(YEARFRAC(P808,README!$C$5),1))</f>
        <v/>
      </c>
      <c r="S808" s="6" t="n">
        <v>16300</v>
      </c>
      <c r="T808" s="6" t="n">
        <v>16154</v>
      </c>
      <c r="U808" s="6" t="n">
        <v>19000</v>
      </c>
      <c r="V808" s="6" t="n">
        <v>2846</v>
      </c>
      <c r="W808" s="6" t="n">
        <v>1</v>
      </c>
      <c r="X808" s="6" t="n">
        <v>10</v>
      </c>
      <c r="Z808" s="6" t="s">
        <v>2845</v>
      </c>
      <c r="AA808" s="9" t="s">
        <v>528</v>
      </c>
      <c r="AB808" s="6" t="s">
        <v>3045</v>
      </c>
      <c r="AE808" s="37" t="n">
        <f aca="false">COUNTIF(環境認証!$A$2:$A$849,A808)</f>
        <v>2</v>
      </c>
      <c r="AF808" s="6" t="n">
        <v>17.6</v>
      </c>
      <c r="AG808" s="6" t="n">
        <v>16.6</v>
      </c>
    </row>
    <row r="809" customFormat="false" ht="15" hidden="false" customHeight="true" outlineLevel="0" collapsed="false">
      <c r="A809" s="6" t="s">
        <v>3046</v>
      </c>
      <c r="B809" s="6" t="s">
        <v>485</v>
      </c>
      <c r="C809" s="6" t="s">
        <v>3047</v>
      </c>
      <c r="D809" s="9" t="s">
        <v>522</v>
      </c>
      <c r="H809" s="9" t="s">
        <v>2844</v>
      </c>
      <c r="M809" s="6" t="n">
        <v>5683.5</v>
      </c>
      <c r="Q809" s="1" t="str">
        <f aca="false">IF(OR($A809="",P809=""),"",ROUND(YEARFRAC(P809,README!$C$5),1))</f>
        <v/>
      </c>
      <c r="S809" s="6" t="n">
        <v>9600</v>
      </c>
      <c r="T809" s="6" t="n">
        <v>9835</v>
      </c>
      <c r="U809" s="6" t="n">
        <v>10100</v>
      </c>
      <c r="V809" s="6" t="n">
        <v>265</v>
      </c>
      <c r="W809" s="6" t="n">
        <v>1</v>
      </c>
      <c r="X809" s="6" t="n">
        <v>7</v>
      </c>
      <c r="Z809" s="6" t="s">
        <v>2845</v>
      </c>
      <c r="AA809" s="9" t="s">
        <v>528</v>
      </c>
      <c r="AB809" s="6" t="s">
        <v>3048</v>
      </c>
      <c r="AE809" s="37" t="n">
        <f aca="false">COUNTIF(環境認証!$A$2:$A$849,A809)</f>
        <v>1</v>
      </c>
      <c r="AF809" s="6" t="n">
        <v>2.7</v>
      </c>
      <c r="AG809" s="6" t="n">
        <v>5.2</v>
      </c>
    </row>
    <row r="810" customFormat="false" ht="15" hidden="false" customHeight="true" outlineLevel="0" collapsed="false">
      <c r="A810" s="6" t="s">
        <v>3049</v>
      </c>
      <c r="B810" s="6" t="s">
        <v>485</v>
      </c>
      <c r="C810" s="9" t="s">
        <v>3050</v>
      </c>
      <c r="D810" s="9" t="s">
        <v>522</v>
      </c>
      <c r="H810" s="9" t="s">
        <v>3051</v>
      </c>
      <c r="M810" s="6" t="n">
        <v>11519.93</v>
      </c>
      <c r="Q810" s="1" t="str">
        <f aca="false">IF(OR($A810="",P810=""),"",ROUND(YEARFRAC(P810,README!$C$5),1))</f>
        <v/>
      </c>
      <c r="S810" s="6" t="n">
        <v>5570</v>
      </c>
      <c r="T810" s="6" t="n">
        <v>3673</v>
      </c>
      <c r="U810" s="6" t="n">
        <v>4730</v>
      </c>
      <c r="V810" s="6" t="n">
        <v>1057</v>
      </c>
      <c r="W810" s="6" t="n">
        <v>1</v>
      </c>
      <c r="X810" s="6" t="n">
        <v>32</v>
      </c>
      <c r="Z810" s="6" t="s">
        <v>2845</v>
      </c>
      <c r="AA810" s="9" t="s">
        <v>528</v>
      </c>
      <c r="AB810" s="6" t="s">
        <v>3052</v>
      </c>
      <c r="AE810" s="37" t="n">
        <f aca="false">COUNTIF(環境認証!$A$2:$A$849,A810)</f>
        <v>0</v>
      </c>
      <c r="AF810" s="6" t="n">
        <v>28.8</v>
      </c>
      <c r="AG810" s="6" t="n">
        <v>-15.1</v>
      </c>
    </row>
    <row r="811" customFormat="false" ht="15" hidden="false" customHeight="true" outlineLevel="0" collapsed="false">
      <c r="A811" s="6" t="s">
        <v>3053</v>
      </c>
      <c r="B811" s="6" t="s">
        <v>485</v>
      </c>
      <c r="C811" s="6" t="s">
        <v>3054</v>
      </c>
      <c r="D811" s="9" t="s">
        <v>522</v>
      </c>
      <c r="H811" s="9" t="s">
        <v>3051</v>
      </c>
      <c r="M811" s="6" t="n">
        <v>8730.2</v>
      </c>
      <c r="Q811" s="1" t="str">
        <f aca="false">IF(OR($A811="",P811=""),"",ROUND(YEARFRAC(P811,README!$C$5),1))</f>
        <v/>
      </c>
      <c r="S811" s="6" t="n">
        <v>5400</v>
      </c>
      <c r="T811" s="6" t="n">
        <v>5258</v>
      </c>
      <c r="U811" s="6" t="n">
        <v>6480</v>
      </c>
      <c r="V811" s="6" t="n">
        <v>1222</v>
      </c>
      <c r="W811" s="6" t="n">
        <v>1</v>
      </c>
      <c r="X811" s="6" t="n">
        <v>40</v>
      </c>
      <c r="Z811" s="6" t="s">
        <v>2845</v>
      </c>
      <c r="AA811" s="9" t="s">
        <v>528</v>
      </c>
      <c r="AB811" s="6" t="s">
        <v>3055</v>
      </c>
      <c r="AE811" s="37" t="n">
        <f aca="false">COUNTIF(環境認証!$A$2:$A$849,A811)</f>
        <v>2</v>
      </c>
      <c r="AF811" s="6" t="n">
        <v>23.2</v>
      </c>
      <c r="AG811" s="6" t="n">
        <v>20</v>
      </c>
    </row>
    <row r="812" customFormat="false" ht="15" hidden="false" customHeight="true" outlineLevel="0" collapsed="false">
      <c r="A812" s="6" t="s">
        <v>3056</v>
      </c>
      <c r="B812" s="6" t="s">
        <v>485</v>
      </c>
      <c r="C812" s="6" t="s">
        <v>3057</v>
      </c>
      <c r="D812" s="9" t="s">
        <v>522</v>
      </c>
      <c r="H812" s="9" t="s">
        <v>3051</v>
      </c>
      <c r="M812" s="6" t="n">
        <v>3948.03</v>
      </c>
      <c r="Q812" s="1" t="str">
        <f aca="false">IF(OR($A812="",P812=""),"",ROUND(YEARFRAC(P812,README!$C$5),1))</f>
        <v/>
      </c>
      <c r="S812" s="6" t="n">
        <v>2100</v>
      </c>
      <c r="T812" s="6" t="n">
        <v>1732</v>
      </c>
      <c r="U812" s="6" t="n">
        <v>2020</v>
      </c>
      <c r="V812" s="6" t="n">
        <v>288</v>
      </c>
      <c r="W812" s="6" t="n">
        <v>1</v>
      </c>
      <c r="X812" s="6" t="n">
        <v>30</v>
      </c>
      <c r="Z812" s="6" t="s">
        <v>2845</v>
      </c>
      <c r="AA812" s="9" t="s">
        <v>528</v>
      </c>
      <c r="AB812" s="6" t="s">
        <v>3058</v>
      </c>
      <c r="AE812" s="37" t="n">
        <f aca="false">COUNTIF(環境認証!$A$2:$A$849,A812)</f>
        <v>1</v>
      </c>
      <c r="AF812" s="6" t="n">
        <v>16.6</v>
      </c>
      <c r="AG812" s="6" t="n">
        <v>-3.8</v>
      </c>
    </row>
    <row r="813" customFormat="false" ht="15" hidden="false" customHeight="true" outlineLevel="0" collapsed="false">
      <c r="A813" s="6" t="s">
        <v>3059</v>
      </c>
      <c r="B813" s="6" t="s">
        <v>485</v>
      </c>
      <c r="C813" s="6" t="s">
        <v>3060</v>
      </c>
      <c r="D813" s="9" t="s">
        <v>522</v>
      </c>
      <c r="H813" s="9" t="s">
        <v>3051</v>
      </c>
      <c r="M813" s="6" t="n">
        <v>10106.4</v>
      </c>
      <c r="Q813" s="1" t="str">
        <f aca="false">IF(OR($A813="",P813=""),"",ROUND(YEARFRAC(P813,README!$C$5),1))</f>
        <v/>
      </c>
      <c r="S813" s="6" t="n">
        <v>4900</v>
      </c>
      <c r="T813" s="6" t="n">
        <v>4117</v>
      </c>
      <c r="U813" s="6" t="n">
        <v>6080</v>
      </c>
      <c r="V813" s="6" t="n">
        <v>1963</v>
      </c>
      <c r="W813" s="6" t="n">
        <v>1</v>
      </c>
      <c r="X813" s="6" t="n">
        <v>50</v>
      </c>
      <c r="Z813" s="6" t="s">
        <v>2845</v>
      </c>
      <c r="AA813" s="9" t="s">
        <v>528</v>
      </c>
      <c r="AB813" s="6" t="s">
        <v>3061</v>
      </c>
      <c r="AE813" s="37" t="n">
        <f aca="false">COUNTIF(環境認証!$A$2:$A$849,A813)</f>
        <v>1</v>
      </c>
      <c r="AF813" s="6" t="n">
        <v>47.7</v>
      </c>
      <c r="AG813" s="6" t="n">
        <v>24.1</v>
      </c>
    </row>
    <row r="814" customFormat="false" ht="15" hidden="false" customHeight="true" outlineLevel="0" collapsed="false">
      <c r="A814" s="6" t="s">
        <v>3062</v>
      </c>
      <c r="B814" s="6" t="s">
        <v>485</v>
      </c>
      <c r="C814" s="6" t="s">
        <v>3063</v>
      </c>
      <c r="D814" s="9" t="s">
        <v>522</v>
      </c>
      <c r="H814" s="9" t="s">
        <v>3051</v>
      </c>
      <c r="M814" s="6" t="n">
        <v>7071.71</v>
      </c>
      <c r="Q814" s="1" t="str">
        <f aca="false">IF(OR($A814="",P814=""),"",ROUND(YEARFRAC(P814,README!$C$5),1))</f>
        <v/>
      </c>
      <c r="S814" s="6" t="n">
        <v>2870</v>
      </c>
      <c r="T814" s="6" t="n">
        <v>1540</v>
      </c>
      <c r="U814" s="6" t="n">
        <v>2960</v>
      </c>
      <c r="V814" s="6" t="n">
        <v>1420</v>
      </c>
      <c r="W814" s="6" t="n">
        <v>1</v>
      </c>
      <c r="X814" s="6" t="n">
        <v>6</v>
      </c>
      <c r="Z814" s="6" t="s">
        <v>2845</v>
      </c>
      <c r="AA814" s="9" t="s">
        <v>528</v>
      </c>
      <c r="AB814" s="6" t="s">
        <v>3064</v>
      </c>
      <c r="AE814" s="37" t="n">
        <f aca="false">COUNTIF(環境認証!$A$2:$A$849,A814)</f>
        <v>2</v>
      </c>
      <c r="AF814" s="6" t="n">
        <v>92.2</v>
      </c>
      <c r="AG814" s="6" t="n">
        <v>3.1</v>
      </c>
    </row>
    <row r="815" customFormat="false" ht="15" hidden="false" customHeight="true" outlineLevel="0" collapsed="false">
      <c r="A815" s="6" t="s">
        <v>3065</v>
      </c>
      <c r="B815" s="6" t="s">
        <v>485</v>
      </c>
      <c r="C815" s="6" t="s">
        <v>3066</v>
      </c>
      <c r="D815" s="9" t="s">
        <v>522</v>
      </c>
      <c r="H815" s="9" t="s">
        <v>3051</v>
      </c>
      <c r="M815" s="6" t="n">
        <v>3779.73</v>
      </c>
      <c r="Q815" s="1" t="str">
        <f aca="false">IF(OR($A815="",P815=""),"",ROUND(YEARFRAC(P815,README!$C$5),1))</f>
        <v/>
      </c>
      <c r="S815" s="6" t="n">
        <v>2005</v>
      </c>
      <c r="T815" s="6" t="n">
        <v>1880</v>
      </c>
      <c r="U815" s="6" t="n">
        <v>2810</v>
      </c>
      <c r="V815" s="6" t="n">
        <v>930</v>
      </c>
      <c r="W815" s="6" t="n">
        <v>1</v>
      </c>
      <c r="X815" s="6" t="n">
        <v>18</v>
      </c>
      <c r="Z815" s="6" t="s">
        <v>2845</v>
      </c>
      <c r="AA815" s="9" t="s">
        <v>528</v>
      </c>
      <c r="AB815" s="6" t="s">
        <v>3067</v>
      </c>
      <c r="AE815" s="37" t="n">
        <f aca="false">COUNTIF(環境認証!$A$2:$A$849,A815)</f>
        <v>1</v>
      </c>
      <c r="AF815" s="6" t="n">
        <v>49.5</v>
      </c>
      <c r="AG815" s="6" t="n">
        <v>40.1</v>
      </c>
    </row>
    <row r="816" customFormat="false" ht="15" hidden="false" customHeight="true" outlineLevel="0" collapsed="false">
      <c r="A816" s="6" t="s">
        <v>3068</v>
      </c>
      <c r="B816" s="6" t="s">
        <v>485</v>
      </c>
      <c r="C816" s="6" t="s">
        <v>3069</v>
      </c>
      <c r="D816" s="9" t="s">
        <v>522</v>
      </c>
      <c r="H816" s="9" t="s">
        <v>3051</v>
      </c>
      <c r="M816" s="6" t="n">
        <v>7904.22</v>
      </c>
      <c r="Q816" s="1" t="str">
        <f aca="false">IF(OR($A816="",P816=""),"",ROUND(YEARFRAC(P816,README!$C$5),1))</f>
        <v/>
      </c>
      <c r="S816" s="6" t="n">
        <v>7327</v>
      </c>
      <c r="T816" s="6" t="n">
        <v>7846</v>
      </c>
      <c r="U816" s="6" t="n">
        <v>10200</v>
      </c>
      <c r="V816" s="6" t="n">
        <v>2354</v>
      </c>
      <c r="W816" s="6" t="n">
        <v>0.99</v>
      </c>
      <c r="X816" s="6" t="n">
        <v>18</v>
      </c>
      <c r="Z816" s="6" t="s">
        <v>2845</v>
      </c>
      <c r="AA816" s="9" t="s">
        <v>528</v>
      </c>
      <c r="AB816" s="6" t="s">
        <v>3070</v>
      </c>
      <c r="AE816" s="37" t="n">
        <f aca="false">COUNTIF(環境認証!$A$2:$A$849,A816)</f>
        <v>1</v>
      </c>
      <c r="AF816" s="6" t="n">
        <v>30</v>
      </c>
      <c r="AG816" s="6" t="n">
        <v>39.2</v>
      </c>
    </row>
    <row r="817" customFormat="false" ht="15" hidden="false" customHeight="true" outlineLevel="0" collapsed="false">
      <c r="A817" s="6" t="s">
        <v>3071</v>
      </c>
      <c r="B817" s="6" t="s">
        <v>485</v>
      </c>
      <c r="C817" s="6" t="s">
        <v>3072</v>
      </c>
      <c r="D817" s="9" t="s">
        <v>522</v>
      </c>
      <c r="H817" s="9" t="s">
        <v>3051</v>
      </c>
      <c r="M817" s="6" t="n">
        <v>4998.53</v>
      </c>
      <c r="Q817" s="1" t="str">
        <f aca="false">IF(OR($A817="",P817=""),"",ROUND(YEARFRAC(P817,README!$C$5),1))</f>
        <v/>
      </c>
      <c r="S817" s="6" t="n">
        <v>2770</v>
      </c>
      <c r="T817" s="6" t="n">
        <v>2066</v>
      </c>
      <c r="U817" s="6" t="n">
        <v>4470</v>
      </c>
      <c r="V817" s="6" t="n">
        <v>2404</v>
      </c>
      <c r="W817" s="6" t="n">
        <v>1</v>
      </c>
      <c r="X817" s="6" t="n">
        <v>3</v>
      </c>
      <c r="Z817" s="6" t="s">
        <v>2845</v>
      </c>
      <c r="AA817" s="9" t="s">
        <v>528</v>
      </c>
      <c r="AB817" s="6" t="s">
        <v>3073</v>
      </c>
      <c r="AE817" s="37" t="n">
        <f aca="false">COUNTIF(環境認証!$A$2:$A$849,A817)</f>
        <v>1</v>
      </c>
      <c r="AF817" s="6" t="n">
        <v>116.4</v>
      </c>
      <c r="AG817" s="6" t="n">
        <v>61.4</v>
      </c>
    </row>
    <row r="818" customFormat="false" ht="15" hidden="false" customHeight="true" outlineLevel="0" collapsed="false">
      <c r="A818" s="6" t="s">
        <v>3074</v>
      </c>
      <c r="B818" s="6" t="s">
        <v>485</v>
      </c>
      <c r="C818" s="6" t="s">
        <v>3075</v>
      </c>
      <c r="D818" s="9" t="s">
        <v>522</v>
      </c>
      <c r="H818" s="9" t="s">
        <v>611</v>
      </c>
      <c r="Q818" s="1" t="str">
        <f aca="false">IF(OR($A818="",P818=""),"",ROUND(YEARFRAC(P818,README!$C$5),1))</f>
        <v/>
      </c>
      <c r="V818" s="1" t="str">
        <f aca="false">IF($A818="","",IF(OR(T818="",U818=""),"",U818-T818))</f>
        <v/>
      </c>
      <c r="Z818" s="6" t="s">
        <v>2845</v>
      </c>
      <c r="AA818" s="9" t="s">
        <v>528</v>
      </c>
      <c r="AB818" s="6" t="s">
        <v>3076</v>
      </c>
      <c r="AE818" s="37" t="n">
        <f aca="false">COUNTIF(環境認証!$A$2:$A$849,A818)</f>
        <v>0</v>
      </c>
    </row>
    <row r="819" customFormat="false" ht="15" hidden="false" customHeight="true" outlineLevel="0" collapsed="false">
      <c r="A819" s="6" t="s">
        <v>3077</v>
      </c>
      <c r="B819" s="6" t="s">
        <v>485</v>
      </c>
      <c r="C819" s="6" t="s">
        <v>3078</v>
      </c>
      <c r="D819" s="9" t="s">
        <v>522</v>
      </c>
      <c r="H819" s="9" t="s">
        <v>3051</v>
      </c>
      <c r="M819" s="6" t="n">
        <v>4000.67</v>
      </c>
      <c r="Q819" s="1" t="str">
        <f aca="false">IF(OR($A819="",P819=""),"",ROUND(YEARFRAC(P819,README!$C$5),1))</f>
        <v/>
      </c>
      <c r="S819" s="6" t="n">
        <v>1300</v>
      </c>
      <c r="T819" s="6" t="n">
        <v>1322</v>
      </c>
      <c r="U819" s="6" t="n">
        <v>2050</v>
      </c>
      <c r="V819" s="6" t="n">
        <v>728</v>
      </c>
      <c r="W819" s="6" t="n">
        <v>1</v>
      </c>
      <c r="X819" s="6" t="n">
        <v>23</v>
      </c>
      <c r="Z819" s="6" t="s">
        <v>2845</v>
      </c>
      <c r="AA819" s="9" t="s">
        <v>528</v>
      </c>
      <c r="AB819" s="6" t="s">
        <v>3079</v>
      </c>
      <c r="AE819" s="37" t="n">
        <f aca="false">COUNTIF(環境認証!$A$2:$A$849,A819)</f>
        <v>1</v>
      </c>
      <c r="AF819" s="6" t="n">
        <v>55.1</v>
      </c>
      <c r="AG819" s="6" t="n">
        <v>57.7</v>
      </c>
    </row>
    <row r="820" customFormat="false" ht="15" hidden="false" customHeight="true" outlineLevel="0" collapsed="false">
      <c r="A820" s="6" t="s">
        <v>3080</v>
      </c>
      <c r="B820" s="6" t="s">
        <v>485</v>
      </c>
      <c r="C820" s="9" t="s">
        <v>3081</v>
      </c>
      <c r="D820" s="9" t="s">
        <v>522</v>
      </c>
      <c r="H820" s="9" t="s">
        <v>3051</v>
      </c>
      <c r="M820" s="6" t="n">
        <v>17443</v>
      </c>
      <c r="Q820" s="1" t="str">
        <f aca="false">IF(OR($A820="",P820=""),"",ROUND(YEARFRAC(P820,README!$C$5),1))</f>
        <v/>
      </c>
      <c r="S820" s="6" t="n">
        <v>13000</v>
      </c>
      <c r="T820" s="6" t="n">
        <v>11709</v>
      </c>
      <c r="U820" s="6" t="n">
        <v>14200</v>
      </c>
      <c r="V820" s="6" t="n">
        <v>2491</v>
      </c>
      <c r="W820" s="6" t="n">
        <v>0.989</v>
      </c>
      <c r="X820" s="6" t="n">
        <v>64</v>
      </c>
      <c r="Z820" s="6" t="s">
        <v>2845</v>
      </c>
      <c r="AA820" s="9" t="s">
        <v>528</v>
      </c>
      <c r="AB820" s="6" t="s">
        <v>3082</v>
      </c>
      <c r="AE820" s="37" t="n">
        <f aca="false">COUNTIF(環境認証!$A$2:$A$849,A820)</f>
        <v>1</v>
      </c>
      <c r="AF820" s="6" t="n">
        <v>21.3</v>
      </c>
      <c r="AG820" s="6" t="n">
        <v>9.2</v>
      </c>
    </row>
    <row r="821" customFormat="false" ht="15" hidden="false" customHeight="true" outlineLevel="0" collapsed="false">
      <c r="A821" s="6" t="s">
        <v>3083</v>
      </c>
      <c r="B821" s="6" t="s">
        <v>485</v>
      </c>
      <c r="C821" s="6" t="s">
        <v>3084</v>
      </c>
      <c r="D821" s="9" t="s">
        <v>522</v>
      </c>
      <c r="H821" s="9" t="s">
        <v>3051</v>
      </c>
      <c r="M821" s="6" t="n">
        <v>5280.02</v>
      </c>
      <c r="Q821" s="1" t="str">
        <f aca="false">IF(OR($A821="",P821=""),"",ROUND(YEARFRAC(P821,README!$C$5),1))</f>
        <v/>
      </c>
      <c r="S821" s="6" t="n">
        <v>2200</v>
      </c>
      <c r="T821" s="6" t="n">
        <v>1835</v>
      </c>
      <c r="U821" s="6" t="n">
        <v>3700</v>
      </c>
      <c r="V821" s="6" t="n">
        <v>1865</v>
      </c>
      <c r="W821" s="6" t="n">
        <v>1</v>
      </c>
      <c r="X821" s="6" t="n">
        <v>16</v>
      </c>
      <c r="Z821" s="6" t="s">
        <v>2845</v>
      </c>
      <c r="AA821" s="9" t="s">
        <v>528</v>
      </c>
      <c r="AB821" s="6" t="s">
        <v>3085</v>
      </c>
      <c r="AE821" s="37" t="n">
        <f aca="false">COUNTIF(環境認証!$A$2:$A$849,A821)</f>
        <v>0</v>
      </c>
      <c r="AF821" s="6" t="n">
        <v>101.6</v>
      </c>
      <c r="AG821" s="6" t="n">
        <v>68.2</v>
      </c>
    </row>
    <row r="822" customFormat="false" ht="15" hidden="false" customHeight="true" outlineLevel="0" collapsed="false">
      <c r="A822" s="6" t="s">
        <v>3086</v>
      </c>
      <c r="B822" s="6" t="s">
        <v>485</v>
      </c>
      <c r="C822" s="6" t="s">
        <v>3087</v>
      </c>
      <c r="D822" s="9" t="s">
        <v>522</v>
      </c>
      <c r="H822" s="9" t="s">
        <v>3051</v>
      </c>
      <c r="M822" s="6" t="n">
        <v>12314.52</v>
      </c>
      <c r="Q822" s="1" t="str">
        <f aca="false">IF(OR($A822="",P822=""),"",ROUND(YEARFRAC(P822,README!$C$5),1))</f>
        <v/>
      </c>
      <c r="S822" s="6" t="n">
        <v>5900</v>
      </c>
      <c r="T822" s="6" t="n">
        <v>6638</v>
      </c>
      <c r="U822" s="6" t="n">
        <v>8120</v>
      </c>
      <c r="V822" s="6" t="n">
        <v>1482</v>
      </c>
      <c r="W822" s="6" t="n">
        <v>1</v>
      </c>
      <c r="X822" s="6" t="n">
        <v>36</v>
      </c>
      <c r="Z822" s="6" t="s">
        <v>2845</v>
      </c>
      <c r="AA822" s="9" t="s">
        <v>528</v>
      </c>
      <c r="AB822" s="6" t="s">
        <v>3088</v>
      </c>
      <c r="AE822" s="37" t="n">
        <f aca="false">COUNTIF(環境認証!$A$2:$A$849,A822)</f>
        <v>1</v>
      </c>
      <c r="AF822" s="6" t="n">
        <v>22.3</v>
      </c>
      <c r="AG822" s="6" t="n">
        <v>37.6</v>
      </c>
    </row>
    <row r="823" customFormat="false" ht="15" hidden="false" customHeight="true" outlineLevel="0" collapsed="false">
      <c r="A823" s="6" t="s">
        <v>3089</v>
      </c>
      <c r="B823" s="6" t="s">
        <v>485</v>
      </c>
      <c r="C823" s="6" t="s">
        <v>3090</v>
      </c>
      <c r="D823" s="9" t="s">
        <v>522</v>
      </c>
      <c r="H823" s="9" t="s">
        <v>3051</v>
      </c>
      <c r="M823" s="6" t="n">
        <v>5985.76</v>
      </c>
      <c r="Q823" s="1" t="str">
        <f aca="false">IF(OR($A823="",P823=""),"",ROUND(YEARFRAC(P823,README!$C$5),1))</f>
        <v/>
      </c>
      <c r="S823" s="6" t="n">
        <v>4550</v>
      </c>
      <c r="T823" s="6" t="n">
        <v>4395</v>
      </c>
      <c r="U823" s="6" t="n">
        <v>5950</v>
      </c>
      <c r="V823" s="6" t="n">
        <v>1555</v>
      </c>
      <c r="W823" s="6" t="n">
        <v>1</v>
      </c>
      <c r="X823" s="6" t="n">
        <v>19</v>
      </c>
      <c r="Z823" s="6" t="s">
        <v>2845</v>
      </c>
      <c r="AA823" s="9" t="s">
        <v>528</v>
      </c>
      <c r="AB823" s="6" t="s">
        <v>3091</v>
      </c>
      <c r="AE823" s="37" t="n">
        <f aca="false">COUNTIF(環境認証!$A$2:$A$849,A823)</f>
        <v>1</v>
      </c>
      <c r="AF823" s="6" t="n">
        <v>35.4</v>
      </c>
      <c r="AG823" s="6" t="n">
        <v>30.8</v>
      </c>
    </row>
    <row r="824" customFormat="false" ht="15" hidden="false" customHeight="true" outlineLevel="0" collapsed="false">
      <c r="A824" s="6" t="s">
        <v>3092</v>
      </c>
      <c r="B824" s="6" t="s">
        <v>485</v>
      </c>
      <c r="C824" s="6" t="s">
        <v>3093</v>
      </c>
      <c r="D824" s="9" t="s">
        <v>522</v>
      </c>
      <c r="H824" s="9" t="s">
        <v>3051</v>
      </c>
      <c r="M824" s="6" t="n">
        <v>4363.96</v>
      </c>
      <c r="Q824" s="1" t="str">
        <f aca="false">IF(OR($A824="",P824=""),"",ROUND(YEARFRAC(P824,README!$C$5),1))</f>
        <v/>
      </c>
      <c r="S824" s="6" t="n">
        <v>3500</v>
      </c>
      <c r="T824" s="6" t="n">
        <v>3248</v>
      </c>
      <c r="U824" s="6" t="n">
        <v>4350</v>
      </c>
      <c r="V824" s="6" t="n">
        <v>1102</v>
      </c>
      <c r="W824" s="6" t="n">
        <v>0.931</v>
      </c>
      <c r="X824" s="6" t="n">
        <v>16</v>
      </c>
      <c r="Z824" s="6" t="s">
        <v>2845</v>
      </c>
      <c r="AA824" s="9" t="s">
        <v>528</v>
      </c>
      <c r="AB824" s="6" t="s">
        <v>3094</v>
      </c>
      <c r="AE824" s="37" t="n">
        <f aca="false">COUNTIF(環境認証!$A$2:$A$849,A824)</f>
        <v>1</v>
      </c>
      <c r="AF824" s="6" t="n">
        <v>33.9</v>
      </c>
      <c r="AG824" s="6" t="n">
        <v>24.3</v>
      </c>
    </row>
    <row r="825" customFormat="false" ht="15" hidden="false" customHeight="true" outlineLevel="0" collapsed="false">
      <c r="A825" s="6" t="s">
        <v>3095</v>
      </c>
      <c r="B825" s="6" t="s">
        <v>485</v>
      </c>
      <c r="C825" s="6" t="s">
        <v>3096</v>
      </c>
      <c r="D825" s="9" t="s">
        <v>522</v>
      </c>
      <c r="H825" s="9" t="s">
        <v>3051</v>
      </c>
      <c r="M825" s="6" t="n">
        <v>3318.81</v>
      </c>
      <c r="Q825" s="1" t="str">
        <f aca="false">IF(OR($A825="",P825=""),"",ROUND(YEARFRAC(P825,README!$C$5),1))</f>
        <v/>
      </c>
      <c r="S825" s="6" t="n">
        <v>1800</v>
      </c>
      <c r="T825" s="6" t="n">
        <v>2020</v>
      </c>
      <c r="U825" s="6" t="n">
        <v>2530</v>
      </c>
      <c r="V825" s="6" t="n">
        <v>510</v>
      </c>
      <c r="W825" s="6" t="n">
        <v>1</v>
      </c>
      <c r="X825" s="6" t="n">
        <v>16</v>
      </c>
      <c r="Z825" s="6" t="s">
        <v>2845</v>
      </c>
      <c r="AA825" s="9" t="s">
        <v>528</v>
      </c>
      <c r="AB825" s="6" t="s">
        <v>3097</v>
      </c>
      <c r="AE825" s="37" t="n">
        <f aca="false">COUNTIF(環境認証!$A$2:$A$849,A825)</f>
        <v>1</v>
      </c>
      <c r="AF825" s="6" t="n">
        <v>25.2</v>
      </c>
      <c r="AG825" s="6" t="n">
        <v>40.6</v>
      </c>
    </row>
    <row r="826" customFormat="false" ht="15" hidden="false" customHeight="true" outlineLevel="0" collapsed="false">
      <c r="A826" s="6" t="s">
        <v>3098</v>
      </c>
      <c r="B826" s="6" t="s">
        <v>485</v>
      </c>
      <c r="C826" s="6" t="s">
        <v>3099</v>
      </c>
      <c r="D826" s="9" t="s">
        <v>522</v>
      </c>
      <c r="H826" s="9" t="s">
        <v>3051</v>
      </c>
      <c r="M826" s="6" t="n">
        <v>5637.75</v>
      </c>
      <c r="Q826" s="1" t="str">
        <f aca="false">IF(OR($A826="",P826=""),"",ROUND(YEARFRAC(P826,README!$C$5),1))</f>
        <v/>
      </c>
      <c r="S826" s="6" t="n">
        <v>5000</v>
      </c>
      <c r="T826" s="6" t="n">
        <v>4999</v>
      </c>
      <c r="U826" s="6" t="n">
        <v>4770</v>
      </c>
      <c r="V826" s="6" t="n">
        <v>-229</v>
      </c>
      <c r="W826" s="6" t="n">
        <v>1</v>
      </c>
      <c r="X826" s="6" t="n">
        <v>12</v>
      </c>
      <c r="Z826" s="6" t="s">
        <v>2845</v>
      </c>
      <c r="AA826" s="9" t="s">
        <v>528</v>
      </c>
      <c r="AB826" s="6" t="s">
        <v>3100</v>
      </c>
      <c r="AE826" s="37" t="n">
        <f aca="false">COUNTIF(環境認証!$A$2:$A$849,A826)</f>
        <v>1</v>
      </c>
      <c r="AF826" s="6" t="n">
        <v>-4.6</v>
      </c>
      <c r="AG826" s="6" t="n">
        <v>-4.6</v>
      </c>
    </row>
    <row r="827" customFormat="false" ht="15" hidden="false" customHeight="true" outlineLevel="0" collapsed="false">
      <c r="A827" s="6" t="s">
        <v>3101</v>
      </c>
      <c r="B827" s="6" t="s">
        <v>485</v>
      </c>
      <c r="C827" s="6" t="s">
        <v>3102</v>
      </c>
      <c r="D827" s="9" t="s">
        <v>522</v>
      </c>
      <c r="H827" s="9" t="s">
        <v>3051</v>
      </c>
      <c r="M827" s="6" t="n">
        <v>8886.09</v>
      </c>
      <c r="Q827" s="1" t="str">
        <f aca="false">IF(OR($A827="",P827=""),"",ROUND(YEARFRAC(P827,README!$C$5),1))</f>
        <v/>
      </c>
      <c r="S827" s="6" t="n">
        <v>6360</v>
      </c>
      <c r="T827" s="6" t="n">
        <v>6965</v>
      </c>
      <c r="U827" s="6" t="n">
        <v>6550</v>
      </c>
      <c r="V827" s="6" t="n">
        <v>-415</v>
      </c>
      <c r="W827" s="6" t="n">
        <v>0.986</v>
      </c>
      <c r="X827" s="6" t="n">
        <v>45</v>
      </c>
      <c r="Z827" s="6" t="s">
        <v>2845</v>
      </c>
      <c r="AA827" s="9" t="s">
        <v>528</v>
      </c>
      <c r="AB827" s="6" t="s">
        <v>3103</v>
      </c>
      <c r="AE827" s="37" t="n">
        <f aca="false">COUNTIF(環境認証!$A$2:$A$849,A827)</f>
        <v>1</v>
      </c>
      <c r="AF827" s="6" t="n">
        <v>-6</v>
      </c>
      <c r="AG827" s="6" t="n">
        <v>3</v>
      </c>
    </row>
    <row r="828" customFormat="false" ht="15" hidden="false" customHeight="true" outlineLevel="0" collapsed="false">
      <c r="A828" s="6" t="s">
        <v>3104</v>
      </c>
      <c r="B828" s="6" t="s">
        <v>485</v>
      </c>
      <c r="C828" s="6" t="s">
        <v>3105</v>
      </c>
      <c r="D828" s="9" t="s">
        <v>522</v>
      </c>
      <c r="H828" s="9" t="s">
        <v>3051</v>
      </c>
      <c r="M828" s="6" t="n">
        <v>5669.6</v>
      </c>
      <c r="Q828" s="1" t="str">
        <f aca="false">IF(OR($A828="",P828=""),"",ROUND(YEARFRAC(P828,README!$C$5),1))</f>
        <v/>
      </c>
      <c r="S828" s="6" t="n">
        <v>3450</v>
      </c>
      <c r="T828" s="6" t="n">
        <v>3545</v>
      </c>
      <c r="U828" s="6" t="n">
        <v>3710</v>
      </c>
      <c r="V828" s="6" t="n">
        <v>165</v>
      </c>
      <c r="W828" s="6" t="n">
        <v>1</v>
      </c>
      <c r="X828" s="6" t="n">
        <v>20</v>
      </c>
      <c r="Z828" s="6" t="s">
        <v>2845</v>
      </c>
      <c r="AA828" s="9" t="s">
        <v>528</v>
      </c>
      <c r="AB828" s="6" t="s">
        <v>3106</v>
      </c>
      <c r="AE828" s="37" t="n">
        <f aca="false">COUNTIF(環境認証!$A$2:$A$849,A828)</f>
        <v>1</v>
      </c>
      <c r="AF828" s="6" t="n">
        <v>4.7</v>
      </c>
      <c r="AG828" s="6" t="n">
        <v>7.5</v>
      </c>
    </row>
    <row r="829" customFormat="false" ht="15" hidden="false" customHeight="true" outlineLevel="0" collapsed="false">
      <c r="A829" s="6" t="s">
        <v>3107</v>
      </c>
      <c r="B829" s="6" t="s">
        <v>485</v>
      </c>
      <c r="C829" s="9" t="s">
        <v>3108</v>
      </c>
      <c r="D829" s="9" t="s">
        <v>3109</v>
      </c>
      <c r="H829" s="6" t="s">
        <v>619</v>
      </c>
      <c r="I829" s="6" t="s">
        <v>3110</v>
      </c>
      <c r="M829" s="6" t="n">
        <v>2313854.89</v>
      </c>
      <c r="Q829" s="1" t="str">
        <f aca="false">IF(OR($A829="",P829=""),"",ROUND(YEARFRAC(P829,README!$C$5),1))</f>
        <v/>
      </c>
      <c r="S829" s="6" t="n">
        <v>1218978</v>
      </c>
      <c r="T829" s="6" t="n">
        <v>1194401</v>
      </c>
      <c r="U829" s="6" t="n">
        <v>1342000</v>
      </c>
      <c r="V829" s="1" t="n">
        <f aca="false">IF($A829="","",IF(OR(T829="",U829=""),"",U829-T829))</f>
        <v>147599</v>
      </c>
      <c r="W829" s="6" t="n">
        <v>0.986</v>
      </c>
      <c r="X829" s="6" t="n">
        <v>2027</v>
      </c>
      <c r="Z829" s="6" t="s">
        <v>2845</v>
      </c>
      <c r="AA829" s="44" t="s">
        <v>1168</v>
      </c>
      <c r="AB829" s="6" t="s">
        <v>3111</v>
      </c>
      <c r="AE829" s="37" t="n">
        <f aca="false">COUNTIF(環境認証!$A$2:$A$849,A829)</f>
        <v>0</v>
      </c>
    </row>
    <row r="830" customFormat="false" ht="15" hidden="false" customHeight="true" outlineLevel="0" collapsed="false">
      <c r="A830" s="6" t="s">
        <v>3112</v>
      </c>
      <c r="B830" s="6" t="s">
        <v>485</v>
      </c>
      <c r="C830" s="6" t="s">
        <v>3113</v>
      </c>
      <c r="D830" s="9" t="s">
        <v>959</v>
      </c>
      <c r="H830" s="9" t="s">
        <v>2844</v>
      </c>
      <c r="M830" s="6" t="n">
        <v>5338.99</v>
      </c>
      <c r="Q830" s="1" t="str">
        <f aca="false">IF(OR($A830="",P830=""),"",ROUND(YEARFRAC(P830,README!$C$5),1))</f>
        <v/>
      </c>
      <c r="S830" s="6" t="n">
        <v>7950</v>
      </c>
      <c r="T830" s="6" t="n">
        <v>7936</v>
      </c>
      <c r="U830" s="6" t="n">
        <v>8080</v>
      </c>
      <c r="V830" s="6" t="n">
        <v>144</v>
      </c>
      <c r="W830" s="6" t="n">
        <v>0.953</v>
      </c>
      <c r="X830" s="6" t="n">
        <v>1</v>
      </c>
      <c r="Z830" s="6" t="s">
        <v>2845</v>
      </c>
      <c r="AA830" s="9" t="s">
        <v>528</v>
      </c>
      <c r="AB830" s="6" t="s">
        <v>3114</v>
      </c>
      <c r="AE830" s="37" t="n">
        <f aca="false">COUNTIF(環境認証!$A$2:$A$849,A830)</f>
        <v>2</v>
      </c>
      <c r="AF830" s="6" t="n">
        <v>1.8</v>
      </c>
      <c r="AG830" s="6" t="n">
        <v>1.6</v>
      </c>
    </row>
    <row r="831" customFormat="false" ht="15" hidden="false" customHeight="true" outlineLevel="0" collapsed="false">
      <c r="A831" s="6" t="s">
        <v>3115</v>
      </c>
      <c r="B831" s="6" t="s">
        <v>485</v>
      </c>
      <c r="C831" s="6" t="s">
        <v>3116</v>
      </c>
      <c r="D831" s="9" t="s">
        <v>959</v>
      </c>
      <c r="H831" s="9" t="s">
        <v>2844</v>
      </c>
      <c r="M831" s="6" t="n">
        <v>6117.48</v>
      </c>
      <c r="Q831" s="1" t="str">
        <f aca="false">IF(OR($A831="",P831=""),"",ROUND(YEARFRAC(P831,README!$C$5),1))</f>
        <v/>
      </c>
      <c r="S831" s="6" t="n">
        <v>4370</v>
      </c>
      <c r="T831" s="6" t="n">
        <v>4278</v>
      </c>
      <c r="U831" s="6" t="n">
        <v>4480</v>
      </c>
      <c r="V831" s="6" t="n">
        <v>202</v>
      </c>
      <c r="W831" s="6" t="n">
        <v>0.965</v>
      </c>
      <c r="X831" s="6" t="n">
        <v>1</v>
      </c>
      <c r="Z831" s="6" t="s">
        <v>2845</v>
      </c>
      <c r="AA831" s="9" t="s">
        <v>528</v>
      </c>
      <c r="AB831" s="6" t="s">
        <v>3117</v>
      </c>
      <c r="AE831" s="37" t="n">
        <f aca="false">COUNTIF(環境認証!$A$2:$A$849,A831)</f>
        <v>1</v>
      </c>
      <c r="AF831" s="6" t="n">
        <v>4.7</v>
      </c>
      <c r="AG831" s="6" t="n">
        <v>2.5</v>
      </c>
    </row>
    <row r="832" customFormat="false" ht="15" hidden="false" customHeight="true" outlineLevel="0" collapsed="false">
      <c r="A832" s="6" t="s">
        <v>3118</v>
      </c>
      <c r="B832" s="6" t="s">
        <v>485</v>
      </c>
      <c r="C832" s="6" t="s">
        <v>3119</v>
      </c>
      <c r="D832" s="9" t="s">
        <v>959</v>
      </c>
      <c r="H832" s="9" t="s">
        <v>2844</v>
      </c>
      <c r="M832" s="6" t="n">
        <v>2353.23</v>
      </c>
      <c r="Q832" s="1" t="str">
        <f aca="false">IF(OR($A832="",P832=""),"",ROUND(YEARFRAC(P832,README!$C$5),1))</f>
        <v/>
      </c>
      <c r="S832" s="6" t="n">
        <v>2870</v>
      </c>
      <c r="T832" s="6" t="n">
        <v>2868</v>
      </c>
      <c r="U832" s="6" t="n">
        <v>3030</v>
      </c>
      <c r="V832" s="6" t="n">
        <v>162</v>
      </c>
      <c r="W832" s="6" t="n">
        <v>0.943</v>
      </c>
      <c r="X832" s="6" t="n">
        <v>1</v>
      </c>
      <c r="Z832" s="6" t="s">
        <v>2845</v>
      </c>
      <c r="AA832" s="9" t="s">
        <v>528</v>
      </c>
      <c r="AB832" s="6" t="s">
        <v>3120</v>
      </c>
      <c r="AE832" s="37" t="n">
        <f aca="false">COUNTIF(環境認証!$A$2:$A$849,A832)</f>
        <v>1</v>
      </c>
      <c r="AF832" s="6" t="n">
        <v>5.6</v>
      </c>
      <c r="AG832" s="6" t="n">
        <v>5.6</v>
      </c>
    </row>
    <row r="833" customFormat="false" ht="15" hidden="false" customHeight="true" outlineLevel="0" collapsed="false">
      <c r="A833" s="6" t="s">
        <v>3121</v>
      </c>
      <c r="B833" s="6" t="s">
        <v>485</v>
      </c>
      <c r="C833" s="6" t="s">
        <v>3122</v>
      </c>
      <c r="D833" s="9" t="s">
        <v>959</v>
      </c>
      <c r="H833" s="9" t="s">
        <v>2844</v>
      </c>
      <c r="M833" s="6" t="n">
        <v>2054.1</v>
      </c>
      <c r="Q833" s="1" t="str">
        <f aca="false">IF(OR($A833="",P833=""),"",ROUND(YEARFRAC(P833,README!$C$5),1))</f>
        <v/>
      </c>
      <c r="S833" s="6" t="n">
        <v>2290</v>
      </c>
      <c r="T833" s="6" t="n">
        <v>2258</v>
      </c>
      <c r="U833" s="6" t="n">
        <v>2370</v>
      </c>
      <c r="V833" s="6" t="n">
        <v>112</v>
      </c>
      <c r="W833" s="6" t="n">
        <v>1</v>
      </c>
      <c r="X833" s="6" t="n">
        <v>1</v>
      </c>
      <c r="Z833" s="6" t="s">
        <v>2845</v>
      </c>
      <c r="AA833" s="9" t="s">
        <v>528</v>
      </c>
      <c r="AB833" s="6" t="s">
        <v>3123</v>
      </c>
      <c r="AE833" s="37" t="n">
        <f aca="false">COUNTIF(環境認証!$A$2:$A$849,A833)</f>
        <v>1</v>
      </c>
      <c r="AF833" s="6" t="n">
        <v>5</v>
      </c>
      <c r="AG833" s="6" t="n">
        <v>3.5</v>
      </c>
    </row>
    <row r="834" customFormat="false" ht="15" hidden="false" customHeight="true" outlineLevel="0" collapsed="false">
      <c r="A834" s="6" t="s">
        <v>3124</v>
      </c>
      <c r="B834" s="6" t="s">
        <v>485</v>
      </c>
      <c r="C834" s="6" t="s">
        <v>3125</v>
      </c>
      <c r="D834" s="9" t="s">
        <v>959</v>
      </c>
      <c r="H834" s="9" t="s">
        <v>2844</v>
      </c>
      <c r="M834" s="6" t="n">
        <v>3546.91</v>
      </c>
      <c r="Q834" s="1" t="str">
        <f aca="false">IF(OR($A834="",P834=""),"",ROUND(YEARFRAC(P834,README!$C$5),1))</f>
        <v/>
      </c>
      <c r="S834" s="6" t="n">
        <v>1980</v>
      </c>
      <c r="T834" s="6" t="n">
        <v>1903</v>
      </c>
      <c r="U834" s="6" t="n">
        <v>2000</v>
      </c>
      <c r="V834" s="6" t="n">
        <v>97</v>
      </c>
      <c r="W834" s="6" t="n">
        <v>0.972</v>
      </c>
      <c r="X834" s="6" t="n">
        <v>1</v>
      </c>
      <c r="Z834" s="6" t="s">
        <v>2845</v>
      </c>
      <c r="AA834" s="9" t="s">
        <v>528</v>
      </c>
      <c r="AB834" s="6" t="s">
        <v>3126</v>
      </c>
      <c r="AE834" s="37" t="n">
        <f aca="false">COUNTIF(環境認証!$A$2:$A$849,A834)</f>
        <v>1</v>
      </c>
      <c r="AF834" s="6" t="n">
        <v>5.1</v>
      </c>
      <c r="AG834" s="6" t="n">
        <v>1</v>
      </c>
    </row>
    <row r="835" customFormat="false" ht="15" hidden="false" customHeight="true" outlineLevel="0" collapsed="false">
      <c r="A835" s="6" t="s">
        <v>3127</v>
      </c>
      <c r="B835" s="6" t="s">
        <v>485</v>
      </c>
      <c r="C835" s="6" t="s">
        <v>3128</v>
      </c>
      <c r="D835" s="9" t="s">
        <v>959</v>
      </c>
      <c r="H835" s="9" t="s">
        <v>2844</v>
      </c>
      <c r="M835" s="6" t="n">
        <v>2491.66</v>
      </c>
      <c r="Q835" s="1" t="str">
        <f aca="false">IF(OR($A835="",P835=""),"",ROUND(YEARFRAC(P835,README!$C$5),1))</f>
        <v/>
      </c>
      <c r="S835" s="6" t="n">
        <v>1910</v>
      </c>
      <c r="T835" s="6" t="n">
        <v>1879</v>
      </c>
      <c r="U835" s="6" t="n">
        <v>2020</v>
      </c>
      <c r="V835" s="6" t="n">
        <v>141</v>
      </c>
      <c r="W835" s="6" t="n">
        <v>0.937</v>
      </c>
      <c r="X835" s="6" t="n">
        <v>1</v>
      </c>
      <c r="Z835" s="6" t="s">
        <v>2845</v>
      </c>
      <c r="AA835" s="9" t="s">
        <v>528</v>
      </c>
      <c r="AB835" s="6" t="s">
        <v>3129</v>
      </c>
      <c r="AE835" s="37" t="n">
        <f aca="false">COUNTIF(環境認証!$A$2:$A$849,A835)</f>
        <v>1</v>
      </c>
      <c r="AF835" s="6" t="n">
        <v>7.5</v>
      </c>
      <c r="AG835" s="6" t="n">
        <v>5.8</v>
      </c>
    </row>
    <row r="836" customFormat="false" ht="15" hidden="false" customHeight="true" outlineLevel="0" collapsed="false">
      <c r="A836" s="6" t="s">
        <v>3130</v>
      </c>
      <c r="B836" s="6" t="s">
        <v>485</v>
      </c>
      <c r="C836" s="6" t="s">
        <v>3131</v>
      </c>
      <c r="D836" s="9" t="s">
        <v>959</v>
      </c>
      <c r="H836" s="9" t="s">
        <v>2844</v>
      </c>
      <c r="M836" s="6" t="n">
        <v>1131.24</v>
      </c>
      <c r="Q836" s="1" t="str">
        <f aca="false">IF(OR($A836="",P836=""),"",ROUND(YEARFRAC(P836,README!$C$5),1))</f>
        <v/>
      </c>
      <c r="S836" s="6" t="n">
        <v>1290</v>
      </c>
      <c r="T836" s="6" t="n">
        <v>1309</v>
      </c>
      <c r="U836" s="6" t="n">
        <v>1330</v>
      </c>
      <c r="V836" s="6" t="n">
        <v>21</v>
      </c>
      <c r="W836" s="6" t="n">
        <v>0.972</v>
      </c>
      <c r="X836" s="6" t="n">
        <v>1</v>
      </c>
      <c r="Z836" s="6" t="s">
        <v>2845</v>
      </c>
      <c r="AA836" s="9" t="s">
        <v>528</v>
      </c>
      <c r="AB836" s="6" t="s">
        <v>3132</v>
      </c>
      <c r="AE836" s="37" t="n">
        <f aca="false">COUNTIF(環境認証!$A$2:$A$849,A836)</f>
        <v>0</v>
      </c>
      <c r="AF836" s="6" t="n">
        <v>1.6</v>
      </c>
      <c r="AG836" s="6" t="n">
        <v>3.1</v>
      </c>
    </row>
    <row r="837" customFormat="false" ht="15" hidden="false" customHeight="true" outlineLevel="0" collapsed="false">
      <c r="A837" s="6" t="s">
        <v>3133</v>
      </c>
      <c r="B837" s="6" t="s">
        <v>485</v>
      </c>
      <c r="C837" s="6" t="s">
        <v>3134</v>
      </c>
      <c r="D837" s="9" t="s">
        <v>959</v>
      </c>
      <c r="H837" s="9" t="s">
        <v>2844</v>
      </c>
      <c r="M837" s="6" t="n">
        <v>1054.83</v>
      </c>
      <c r="Q837" s="1" t="str">
        <f aca="false">IF(OR($A837="",P837=""),"",ROUND(YEARFRAC(P837,README!$C$5),1))</f>
        <v/>
      </c>
      <c r="S837" s="6" t="n">
        <v>1160</v>
      </c>
      <c r="T837" s="6" t="n">
        <v>1127</v>
      </c>
      <c r="U837" s="6" t="n">
        <v>1230</v>
      </c>
      <c r="V837" s="6" t="n">
        <v>103</v>
      </c>
      <c r="W837" s="6" t="n">
        <v>1</v>
      </c>
      <c r="X837" s="6" t="n">
        <v>1</v>
      </c>
      <c r="Z837" s="6" t="s">
        <v>2845</v>
      </c>
      <c r="AA837" s="9" t="s">
        <v>528</v>
      </c>
      <c r="AB837" s="6" t="s">
        <v>3135</v>
      </c>
      <c r="AE837" s="37" t="n">
        <f aca="false">COUNTIF(環境認証!$A$2:$A$849,A837)</f>
        <v>0</v>
      </c>
      <c r="AF837" s="6" t="n">
        <v>9.1</v>
      </c>
      <c r="AG837" s="6" t="n">
        <v>6</v>
      </c>
    </row>
    <row r="838" customFormat="false" ht="15" hidden="false" customHeight="true" outlineLevel="0" collapsed="false">
      <c r="A838" s="6" t="s">
        <v>3136</v>
      </c>
      <c r="B838" s="6" t="s">
        <v>485</v>
      </c>
      <c r="C838" s="6" t="s">
        <v>3137</v>
      </c>
      <c r="D838" s="9" t="s">
        <v>959</v>
      </c>
      <c r="H838" s="9" t="s">
        <v>2844</v>
      </c>
      <c r="M838" s="6" t="n">
        <v>4358.43</v>
      </c>
      <c r="Q838" s="1" t="str">
        <f aca="false">IF(OR($A838="",P838=""),"",ROUND(YEARFRAC(P838,README!$C$5),1))</f>
        <v/>
      </c>
      <c r="S838" s="6" t="n">
        <v>5130</v>
      </c>
      <c r="T838" s="6" t="n">
        <v>5243</v>
      </c>
      <c r="U838" s="6" t="n">
        <v>5610</v>
      </c>
      <c r="V838" s="6" t="n">
        <v>367</v>
      </c>
      <c r="W838" s="6" t="n">
        <v>0.99</v>
      </c>
      <c r="X838" s="6" t="n">
        <v>1</v>
      </c>
      <c r="Z838" s="6" t="s">
        <v>2845</v>
      </c>
      <c r="AA838" s="9" t="s">
        <v>528</v>
      </c>
      <c r="AB838" s="6" t="s">
        <v>3138</v>
      </c>
      <c r="AE838" s="37" t="n">
        <f aca="false">COUNTIF(環境認証!$A$2:$A$849,A838)</f>
        <v>1</v>
      </c>
      <c r="AF838" s="6" t="n">
        <v>7</v>
      </c>
      <c r="AG838" s="6" t="n">
        <v>9.4</v>
      </c>
    </row>
    <row r="839" customFormat="false" ht="15" hidden="false" customHeight="true" outlineLevel="0" collapsed="false">
      <c r="A839" s="6" t="s">
        <v>3139</v>
      </c>
      <c r="B839" s="6" t="s">
        <v>485</v>
      </c>
      <c r="C839" s="6" t="s">
        <v>3140</v>
      </c>
      <c r="D839" s="9" t="s">
        <v>959</v>
      </c>
      <c r="H839" s="9" t="s">
        <v>2844</v>
      </c>
      <c r="M839" s="6" t="n">
        <v>5534.86</v>
      </c>
      <c r="Q839" s="1" t="str">
        <f aca="false">IF(OR($A839="",P839=""),"",ROUND(YEARFRAC(P839,README!$C$5),1))</f>
        <v/>
      </c>
      <c r="S839" s="6" t="n">
        <v>4750</v>
      </c>
      <c r="T839" s="6" t="n">
        <v>4723</v>
      </c>
      <c r="U839" s="6" t="n">
        <v>4750</v>
      </c>
      <c r="V839" s="6" t="n">
        <v>27</v>
      </c>
      <c r="W839" s="6" t="n">
        <v>1</v>
      </c>
      <c r="X839" s="6" t="n">
        <v>1</v>
      </c>
      <c r="Z839" s="6" t="s">
        <v>2845</v>
      </c>
      <c r="AA839" s="9" t="s">
        <v>528</v>
      </c>
      <c r="AB839" s="6" t="s">
        <v>3141</v>
      </c>
      <c r="AE839" s="37" t="n">
        <f aca="false">COUNTIF(環境認証!$A$2:$A$849,A839)</f>
        <v>1</v>
      </c>
      <c r="AF839" s="6" t="n">
        <v>0.6</v>
      </c>
      <c r="AG839" s="6" t="n">
        <v>0</v>
      </c>
    </row>
    <row r="840" customFormat="false" ht="15" hidden="false" customHeight="true" outlineLevel="0" collapsed="false">
      <c r="A840" s="6" t="s">
        <v>3142</v>
      </c>
      <c r="B840" s="6" t="s">
        <v>485</v>
      </c>
      <c r="C840" s="6" t="s">
        <v>3143</v>
      </c>
      <c r="D840" s="9" t="s">
        <v>959</v>
      </c>
      <c r="H840" s="9" t="s">
        <v>2844</v>
      </c>
      <c r="M840" s="6" t="n">
        <v>3617.32</v>
      </c>
      <c r="Q840" s="1" t="str">
        <f aca="false">IF(OR($A840="",P840=""),"",ROUND(YEARFRAC(P840,README!$C$5),1))</f>
        <v/>
      </c>
      <c r="S840" s="6" t="n">
        <v>4490</v>
      </c>
      <c r="T840" s="6" t="n">
        <v>4497</v>
      </c>
      <c r="U840" s="6" t="n">
        <v>4210</v>
      </c>
      <c r="V840" s="6" t="n">
        <v>-287</v>
      </c>
      <c r="W840" s="6" t="n">
        <v>0.975</v>
      </c>
      <c r="X840" s="6" t="n">
        <v>1</v>
      </c>
      <c r="Z840" s="6" t="s">
        <v>2845</v>
      </c>
      <c r="AA840" s="9" t="s">
        <v>528</v>
      </c>
      <c r="AB840" s="6" t="s">
        <v>3144</v>
      </c>
      <c r="AE840" s="37" t="n">
        <f aca="false">COUNTIF(環境認証!$A$2:$A$849,A840)</f>
        <v>1</v>
      </c>
      <c r="AF840" s="6" t="n">
        <v>-6.4</v>
      </c>
      <c r="AG840" s="6" t="n">
        <v>-6.2</v>
      </c>
    </row>
    <row r="841" customFormat="false" ht="15" hidden="false" customHeight="true" outlineLevel="0" collapsed="false">
      <c r="A841" s="6" t="s">
        <v>3145</v>
      </c>
      <c r="B841" s="6" t="s">
        <v>485</v>
      </c>
      <c r="C841" s="6" t="s">
        <v>3146</v>
      </c>
      <c r="D841" s="9" t="s">
        <v>959</v>
      </c>
      <c r="H841" s="9" t="s">
        <v>2844</v>
      </c>
      <c r="M841" s="6" t="n">
        <v>2889.66</v>
      </c>
      <c r="Q841" s="1" t="str">
        <f aca="false">IF(OR($A841="",P841=""),"",ROUND(YEARFRAC(P841,README!$C$5),1))</f>
        <v/>
      </c>
      <c r="S841" s="6" t="n">
        <v>4380</v>
      </c>
      <c r="T841" s="6" t="n">
        <v>4347</v>
      </c>
      <c r="U841" s="6" t="n">
        <v>4280</v>
      </c>
      <c r="V841" s="6" t="n">
        <v>-67</v>
      </c>
      <c r="W841" s="6" t="n">
        <v>0.988</v>
      </c>
      <c r="X841" s="6" t="n">
        <v>1</v>
      </c>
      <c r="Z841" s="6" t="s">
        <v>2845</v>
      </c>
      <c r="AA841" s="9" t="s">
        <v>528</v>
      </c>
      <c r="AB841" s="6" t="s">
        <v>3147</v>
      </c>
      <c r="AE841" s="37" t="n">
        <f aca="false">COUNTIF(環境認証!$A$2:$A$849,A841)</f>
        <v>1</v>
      </c>
      <c r="AF841" s="6" t="n">
        <v>-1.5</v>
      </c>
      <c r="AG841" s="6" t="n">
        <v>-2.3</v>
      </c>
    </row>
    <row r="842" customFormat="false" ht="15" hidden="false" customHeight="true" outlineLevel="0" collapsed="false">
      <c r="A842" s="6" t="s">
        <v>3148</v>
      </c>
      <c r="B842" s="6" t="s">
        <v>485</v>
      </c>
      <c r="C842" s="6" t="s">
        <v>3149</v>
      </c>
      <c r="D842" s="9" t="s">
        <v>959</v>
      </c>
      <c r="H842" s="9" t="s">
        <v>2844</v>
      </c>
      <c r="M842" s="6" t="n">
        <v>3101.16</v>
      </c>
      <c r="Q842" s="1" t="str">
        <f aca="false">IF(OR($A842="",P842=""),"",ROUND(YEARFRAC(P842,README!$C$5),1))</f>
        <v/>
      </c>
      <c r="S842" s="6" t="n">
        <v>3710</v>
      </c>
      <c r="T842" s="6" t="n">
        <v>3689</v>
      </c>
      <c r="U842" s="6" t="n">
        <v>3840</v>
      </c>
      <c r="V842" s="6" t="n">
        <v>151</v>
      </c>
      <c r="W842" s="6" t="n">
        <v>0.981</v>
      </c>
      <c r="X842" s="6" t="n">
        <v>1</v>
      </c>
      <c r="Z842" s="6" t="s">
        <v>2845</v>
      </c>
      <c r="AA842" s="9" t="s">
        <v>528</v>
      </c>
      <c r="AB842" s="6" t="s">
        <v>3150</v>
      </c>
      <c r="AE842" s="37" t="n">
        <f aca="false">COUNTIF(環境認証!$A$2:$A$849,A842)</f>
        <v>2</v>
      </c>
      <c r="AF842" s="6" t="n">
        <v>4.1</v>
      </c>
      <c r="AG842" s="6" t="n">
        <v>3.5</v>
      </c>
    </row>
    <row r="843" customFormat="false" ht="15" hidden="false" customHeight="true" outlineLevel="0" collapsed="false">
      <c r="A843" s="6" t="s">
        <v>3151</v>
      </c>
      <c r="B843" s="6" t="s">
        <v>485</v>
      </c>
      <c r="C843" s="6" t="s">
        <v>3152</v>
      </c>
      <c r="D843" s="9" t="s">
        <v>959</v>
      </c>
      <c r="H843" s="9" t="s">
        <v>2844</v>
      </c>
      <c r="M843" s="6" t="n">
        <v>2785.42</v>
      </c>
      <c r="Q843" s="1" t="str">
        <f aca="false">IF(OR($A843="",P843=""),"",ROUND(YEARFRAC(P843,README!$C$5),1))</f>
        <v/>
      </c>
      <c r="S843" s="6" t="n">
        <v>3400</v>
      </c>
      <c r="T843" s="6" t="n">
        <v>3371</v>
      </c>
      <c r="U843" s="6" t="n">
        <v>3790</v>
      </c>
      <c r="V843" s="6" t="n">
        <v>419</v>
      </c>
      <c r="W843" s="6" t="n">
        <v>0.985</v>
      </c>
      <c r="X843" s="6" t="n">
        <v>1</v>
      </c>
      <c r="Z843" s="6" t="s">
        <v>2845</v>
      </c>
      <c r="AA843" s="9" t="s">
        <v>528</v>
      </c>
      <c r="AB843" s="6" t="s">
        <v>3153</v>
      </c>
      <c r="AE843" s="37" t="n">
        <f aca="false">COUNTIF(環境認証!$A$2:$A$849,A843)</f>
        <v>1</v>
      </c>
      <c r="AF843" s="6" t="n">
        <v>12.4</v>
      </c>
      <c r="AG843" s="6" t="n">
        <v>11.5</v>
      </c>
    </row>
    <row r="844" customFormat="false" ht="15" hidden="false" customHeight="true" outlineLevel="0" collapsed="false">
      <c r="A844" s="6" t="s">
        <v>3154</v>
      </c>
      <c r="B844" s="6" t="s">
        <v>485</v>
      </c>
      <c r="C844" s="6" t="s">
        <v>3155</v>
      </c>
      <c r="D844" s="9" t="s">
        <v>959</v>
      </c>
      <c r="H844" s="9" t="s">
        <v>2844</v>
      </c>
      <c r="M844" s="6" t="n">
        <v>1680.79</v>
      </c>
      <c r="Q844" s="1" t="str">
        <f aca="false">IF(OR($A844="",P844=""),"",ROUND(YEARFRAC(P844,README!$C$5),1))</f>
        <v/>
      </c>
      <c r="S844" s="6" t="n">
        <v>2840</v>
      </c>
      <c r="T844" s="6" t="n">
        <v>2836</v>
      </c>
      <c r="U844" s="6" t="n">
        <v>2950</v>
      </c>
      <c r="V844" s="6" t="n">
        <v>114</v>
      </c>
      <c r="W844" s="6" t="n">
        <v>0.976</v>
      </c>
      <c r="X844" s="6" t="n">
        <v>1</v>
      </c>
      <c r="Z844" s="6" t="s">
        <v>2845</v>
      </c>
      <c r="AA844" s="9" t="s">
        <v>528</v>
      </c>
      <c r="AB844" s="6" t="s">
        <v>3156</v>
      </c>
      <c r="AE844" s="37" t="n">
        <f aca="false">COUNTIF(環境認証!$A$2:$A$849,A844)</f>
        <v>0</v>
      </c>
      <c r="AF844" s="6" t="n">
        <v>4</v>
      </c>
      <c r="AG844" s="6" t="n">
        <v>3.9</v>
      </c>
    </row>
    <row r="845" customFormat="false" ht="15" hidden="false" customHeight="true" outlineLevel="0" collapsed="false">
      <c r="A845" s="6" t="s">
        <v>3157</v>
      </c>
      <c r="B845" s="6" t="s">
        <v>485</v>
      </c>
      <c r="C845" s="6" t="s">
        <v>3158</v>
      </c>
      <c r="D845" s="9" t="s">
        <v>959</v>
      </c>
      <c r="H845" s="9" t="s">
        <v>2844</v>
      </c>
      <c r="M845" s="6" t="n">
        <v>2507.52</v>
      </c>
      <c r="Q845" s="1" t="str">
        <f aca="false">IF(OR($A845="",P845=""),"",ROUND(YEARFRAC(P845,README!$C$5),1))</f>
        <v/>
      </c>
      <c r="S845" s="6" t="n">
        <v>2840</v>
      </c>
      <c r="T845" s="6" t="n">
        <v>2823</v>
      </c>
      <c r="U845" s="6" t="n">
        <v>3030</v>
      </c>
      <c r="V845" s="6" t="n">
        <v>207</v>
      </c>
      <c r="W845" s="6" t="n">
        <v>0.984</v>
      </c>
      <c r="X845" s="6" t="n">
        <v>1</v>
      </c>
      <c r="Z845" s="6" t="s">
        <v>2845</v>
      </c>
      <c r="AA845" s="9" t="s">
        <v>528</v>
      </c>
      <c r="AB845" s="6" t="s">
        <v>3159</v>
      </c>
      <c r="AE845" s="37" t="n">
        <f aca="false">COUNTIF(環境認証!$A$2:$A$849,A845)</f>
        <v>1</v>
      </c>
      <c r="AF845" s="6" t="n">
        <v>7.3</v>
      </c>
      <c r="AG845" s="6" t="n">
        <v>6.7</v>
      </c>
    </row>
    <row r="846" customFormat="false" ht="15" hidden="false" customHeight="true" outlineLevel="0" collapsed="false">
      <c r="A846" s="6" t="s">
        <v>3160</v>
      </c>
      <c r="B846" s="6" t="s">
        <v>485</v>
      </c>
      <c r="C846" s="6" t="s">
        <v>3161</v>
      </c>
      <c r="D846" s="9" t="s">
        <v>959</v>
      </c>
      <c r="H846" s="9" t="s">
        <v>2844</v>
      </c>
      <c r="M846" s="6" t="n">
        <v>3832.53</v>
      </c>
      <c r="Q846" s="1" t="str">
        <f aca="false">IF(OR($A846="",P846=""),"",ROUND(YEARFRAC(P846,README!$C$5),1))</f>
        <v/>
      </c>
      <c r="S846" s="6" t="n">
        <v>2660</v>
      </c>
      <c r="T846" s="6" t="n">
        <v>2601</v>
      </c>
      <c r="U846" s="6" t="n">
        <v>2970</v>
      </c>
      <c r="V846" s="6" t="n">
        <v>369</v>
      </c>
      <c r="W846" s="6" t="n">
        <v>0.907</v>
      </c>
      <c r="X846" s="6" t="n">
        <v>1</v>
      </c>
      <c r="Z846" s="6" t="s">
        <v>2845</v>
      </c>
      <c r="AA846" s="9" t="s">
        <v>528</v>
      </c>
      <c r="AB846" s="6" t="s">
        <v>3162</v>
      </c>
      <c r="AE846" s="37" t="n">
        <f aca="false">COUNTIF(環境認証!$A$2:$A$849,A846)</f>
        <v>1</v>
      </c>
      <c r="AF846" s="6" t="n">
        <v>14.2</v>
      </c>
      <c r="AG846" s="6" t="n">
        <v>11.7</v>
      </c>
    </row>
    <row r="847" customFormat="false" ht="15" hidden="false" customHeight="true" outlineLevel="0" collapsed="false">
      <c r="A847" s="6" t="s">
        <v>3163</v>
      </c>
      <c r="B847" s="6" t="s">
        <v>485</v>
      </c>
      <c r="C847" s="6" t="s">
        <v>3164</v>
      </c>
      <c r="D847" s="9" t="s">
        <v>959</v>
      </c>
      <c r="H847" s="9" t="s">
        <v>2844</v>
      </c>
      <c r="M847" s="6" t="n">
        <v>1849</v>
      </c>
      <c r="Q847" s="1" t="str">
        <f aca="false">IF(OR($A847="",P847=""),"",ROUND(YEARFRAC(P847,README!$C$5),1))</f>
        <v/>
      </c>
      <c r="S847" s="6" t="n">
        <v>2540</v>
      </c>
      <c r="T847" s="6" t="n">
        <v>2529</v>
      </c>
      <c r="U847" s="6" t="n">
        <v>2780</v>
      </c>
      <c r="V847" s="6" t="n">
        <v>251</v>
      </c>
      <c r="W847" s="6" t="n">
        <v>0.977</v>
      </c>
      <c r="X847" s="6" t="n">
        <v>1</v>
      </c>
      <c r="Z847" s="6" t="s">
        <v>2845</v>
      </c>
      <c r="AA847" s="9" t="s">
        <v>528</v>
      </c>
      <c r="AB847" s="6" t="s">
        <v>3165</v>
      </c>
      <c r="AE847" s="37" t="n">
        <f aca="false">COUNTIF(環境認証!$A$2:$A$849,A847)</f>
        <v>1</v>
      </c>
      <c r="AF847" s="6" t="n">
        <v>9.9</v>
      </c>
      <c r="AG847" s="6" t="n">
        <v>9.4</v>
      </c>
    </row>
    <row r="848" customFormat="false" ht="15" hidden="false" customHeight="true" outlineLevel="0" collapsed="false">
      <c r="A848" s="6" t="s">
        <v>3166</v>
      </c>
      <c r="B848" s="6" t="s">
        <v>485</v>
      </c>
      <c r="C848" s="6" t="s">
        <v>3167</v>
      </c>
      <c r="D848" s="9" t="s">
        <v>959</v>
      </c>
      <c r="H848" s="9" t="s">
        <v>2844</v>
      </c>
      <c r="M848" s="6" t="n">
        <v>2310.08</v>
      </c>
      <c r="Q848" s="1" t="str">
        <f aca="false">IF(OR($A848="",P848=""),"",ROUND(YEARFRAC(P848,README!$C$5),1))</f>
        <v/>
      </c>
      <c r="S848" s="6" t="n">
        <v>2290</v>
      </c>
      <c r="T848" s="6" t="n">
        <v>2277</v>
      </c>
      <c r="U848" s="6" t="n">
        <v>2480</v>
      </c>
      <c r="V848" s="6" t="n">
        <v>203</v>
      </c>
      <c r="W848" s="6" t="n">
        <v>1</v>
      </c>
      <c r="X848" s="6" t="n">
        <v>1</v>
      </c>
      <c r="Z848" s="6" t="s">
        <v>2845</v>
      </c>
      <c r="AA848" s="9" t="s">
        <v>528</v>
      </c>
      <c r="AB848" s="6" t="s">
        <v>3168</v>
      </c>
      <c r="AE848" s="37" t="n">
        <f aca="false">COUNTIF(環境認証!$A$2:$A$849,A848)</f>
        <v>1</v>
      </c>
      <c r="AF848" s="6" t="n">
        <v>8.9</v>
      </c>
      <c r="AG848" s="6" t="n">
        <v>8.3</v>
      </c>
    </row>
    <row r="849" customFormat="false" ht="15" hidden="false" customHeight="true" outlineLevel="0" collapsed="false">
      <c r="A849" s="6" t="s">
        <v>3169</v>
      </c>
      <c r="B849" s="6" t="s">
        <v>485</v>
      </c>
      <c r="C849" s="6" t="s">
        <v>3170</v>
      </c>
      <c r="D849" s="9" t="s">
        <v>959</v>
      </c>
      <c r="H849" s="9" t="s">
        <v>2844</v>
      </c>
      <c r="M849" s="6" t="n">
        <v>2339.62</v>
      </c>
      <c r="Q849" s="1" t="str">
        <f aca="false">IF(OR($A849="",P849=""),"",ROUND(YEARFRAC(P849,README!$C$5),1))</f>
        <v/>
      </c>
      <c r="S849" s="6" t="n">
        <v>1820</v>
      </c>
      <c r="T849" s="6" t="n">
        <v>1831</v>
      </c>
      <c r="U849" s="6" t="n">
        <v>1900</v>
      </c>
      <c r="V849" s="6" t="n">
        <v>69</v>
      </c>
      <c r="W849" s="6" t="n">
        <v>0.976</v>
      </c>
      <c r="X849" s="6" t="n">
        <v>1</v>
      </c>
      <c r="Z849" s="6" t="s">
        <v>2845</v>
      </c>
      <c r="AA849" s="9" t="s">
        <v>528</v>
      </c>
      <c r="AB849" s="6" t="s">
        <v>3171</v>
      </c>
      <c r="AE849" s="37" t="n">
        <f aca="false">COUNTIF(環境認証!$A$2:$A$849,A849)</f>
        <v>1</v>
      </c>
      <c r="AF849" s="6" t="n">
        <v>3.8</v>
      </c>
      <c r="AG849" s="6" t="n">
        <v>4.4</v>
      </c>
    </row>
    <row r="850" customFormat="false" ht="15" hidden="false" customHeight="true" outlineLevel="0" collapsed="false">
      <c r="A850" s="6" t="s">
        <v>3172</v>
      </c>
      <c r="B850" s="6" t="s">
        <v>485</v>
      </c>
      <c r="C850" s="6" t="s">
        <v>3173</v>
      </c>
      <c r="D850" s="9" t="s">
        <v>959</v>
      </c>
      <c r="H850" s="9" t="s">
        <v>2844</v>
      </c>
      <c r="M850" s="6" t="n">
        <v>1345.92</v>
      </c>
      <c r="Q850" s="1" t="str">
        <f aca="false">IF(OR($A850="",P850=""),"",ROUND(YEARFRAC(P850,README!$C$5),1))</f>
        <v/>
      </c>
      <c r="S850" s="6" t="n">
        <v>1710</v>
      </c>
      <c r="T850" s="6" t="n">
        <v>1684</v>
      </c>
      <c r="U850" s="6" t="n">
        <v>1680</v>
      </c>
      <c r="V850" s="6" t="n">
        <v>-4</v>
      </c>
      <c r="W850" s="6" t="n">
        <v>1</v>
      </c>
      <c r="X850" s="6" t="n">
        <v>1</v>
      </c>
      <c r="Z850" s="6" t="s">
        <v>2845</v>
      </c>
      <c r="AA850" s="9" t="s">
        <v>528</v>
      </c>
      <c r="AB850" s="6" t="s">
        <v>3174</v>
      </c>
      <c r="AE850" s="37" t="n">
        <f aca="false">COUNTIF(環境認証!$A$2:$A$849,A850)</f>
        <v>0</v>
      </c>
      <c r="AF850" s="6" t="n">
        <v>-0.2</v>
      </c>
      <c r="AG850" s="6" t="n">
        <v>-1.8</v>
      </c>
    </row>
    <row r="851" customFormat="false" ht="15" hidden="false" customHeight="true" outlineLevel="0" collapsed="false">
      <c r="A851" s="6" t="s">
        <v>3175</v>
      </c>
      <c r="B851" s="6" t="s">
        <v>485</v>
      </c>
      <c r="C851" s="9" t="s">
        <v>3176</v>
      </c>
      <c r="D851" s="9" t="s">
        <v>959</v>
      </c>
      <c r="H851" s="9" t="s">
        <v>2844</v>
      </c>
      <c r="M851" s="6" t="n">
        <v>2408.56</v>
      </c>
      <c r="Q851" s="1" t="str">
        <f aca="false">IF(OR($A851="",P851=""),"",ROUND(YEARFRAC(P851,README!$C$5),1))</f>
        <v/>
      </c>
      <c r="S851" s="6" t="n">
        <v>1630</v>
      </c>
      <c r="T851" s="6" t="n">
        <v>1700</v>
      </c>
      <c r="U851" s="6" t="n">
        <v>1660</v>
      </c>
      <c r="V851" s="6" t="n">
        <v>-40</v>
      </c>
      <c r="W851" s="6" t="n">
        <v>1</v>
      </c>
      <c r="X851" s="6" t="n">
        <v>1</v>
      </c>
      <c r="Z851" s="6" t="s">
        <v>2845</v>
      </c>
      <c r="AA851" s="9" t="s">
        <v>528</v>
      </c>
      <c r="AB851" s="6" t="s">
        <v>3177</v>
      </c>
      <c r="AE851" s="37" t="n">
        <f aca="false">COUNTIF(環境認証!$A$2:$A$849,A851)</f>
        <v>0</v>
      </c>
      <c r="AF851" s="6" t="n">
        <v>-2.4</v>
      </c>
      <c r="AG851" s="6" t="n">
        <v>1.8</v>
      </c>
    </row>
    <row r="852" customFormat="false" ht="15" hidden="false" customHeight="true" outlineLevel="0" collapsed="false">
      <c r="A852" s="6" t="s">
        <v>3178</v>
      </c>
      <c r="B852" s="6" t="s">
        <v>485</v>
      </c>
      <c r="C852" s="6" t="s">
        <v>3179</v>
      </c>
      <c r="D852" s="9" t="s">
        <v>959</v>
      </c>
      <c r="H852" s="9" t="s">
        <v>2844</v>
      </c>
      <c r="M852" s="6" t="n">
        <v>1526.98</v>
      </c>
      <c r="Q852" s="1" t="str">
        <f aca="false">IF(OR($A852="",P852=""),"",ROUND(YEARFRAC(P852,README!$C$5),1))</f>
        <v/>
      </c>
      <c r="S852" s="6" t="n">
        <v>1590</v>
      </c>
      <c r="T852" s="6" t="n">
        <v>1550</v>
      </c>
      <c r="U852" s="6" t="n">
        <v>1570</v>
      </c>
      <c r="V852" s="6" t="n">
        <v>20</v>
      </c>
      <c r="W852" s="6" t="n">
        <v>0.987</v>
      </c>
      <c r="X852" s="6" t="n">
        <v>1</v>
      </c>
      <c r="Z852" s="6" t="s">
        <v>2845</v>
      </c>
      <c r="AA852" s="9" t="s">
        <v>528</v>
      </c>
      <c r="AB852" s="6" t="s">
        <v>3180</v>
      </c>
      <c r="AE852" s="37" t="n">
        <f aca="false">COUNTIF(環境認証!$A$2:$A$849,A852)</f>
        <v>1</v>
      </c>
      <c r="AF852" s="6" t="n">
        <v>1.3</v>
      </c>
      <c r="AG852" s="6" t="n">
        <v>-1.3</v>
      </c>
    </row>
    <row r="853" customFormat="false" ht="15" hidden="false" customHeight="true" outlineLevel="0" collapsed="false">
      <c r="A853" s="6" t="s">
        <v>3181</v>
      </c>
      <c r="B853" s="6" t="s">
        <v>485</v>
      </c>
      <c r="C853" s="6" t="s">
        <v>3182</v>
      </c>
      <c r="D853" s="9" t="s">
        <v>959</v>
      </c>
      <c r="H853" s="9" t="s">
        <v>2844</v>
      </c>
      <c r="M853" s="6" t="n">
        <v>1537.38</v>
      </c>
      <c r="Q853" s="1" t="str">
        <f aca="false">IF(OR($A853="",P853=""),"",ROUND(YEARFRAC(P853,README!$C$5),1))</f>
        <v/>
      </c>
      <c r="S853" s="6" t="n">
        <v>1600</v>
      </c>
      <c r="T853" s="6" t="n">
        <v>1623</v>
      </c>
      <c r="U853" s="6" t="n">
        <v>1690</v>
      </c>
      <c r="V853" s="6" t="n">
        <v>67</v>
      </c>
      <c r="W853" s="6" t="n">
        <v>0.97</v>
      </c>
      <c r="X853" s="6" t="n">
        <v>1</v>
      </c>
      <c r="Z853" s="6" t="s">
        <v>2845</v>
      </c>
      <c r="AA853" s="9" t="s">
        <v>528</v>
      </c>
      <c r="AB853" s="6" t="s">
        <v>3183</v>
      </c>
      <c r="AE853" s="37" t="n">
        <f aca="false">COUNTIF(環境認証!$A$2:$A$849,A853)</f>
        <v>0</v>
      </c>
      <c r="AF853" s="6" t="n">
        <v>4.1</v>
      </c>
      <c r="AG853" s="6" t="n">
        <v>5.6</v>
      </c>
    </row>
    <row r="854" customFormat="false" ht="15" hidden="false" customHeight="true" outlineLevel="0" collapsed="false">
      <c r="A854" s="6" t="s">
        <v>3184</v>
      </c>
      <c r="B854" s="6" t="s">
        <v>485</v>
      </c>
      <c r="C854" s="6" t="s">
        <v>3185</v>
      </c>
      <c r="D854" s="9" t="s">
        <v>959</v>
      </c>
      <c r="H854" s="9" t="s">
        <v>2844</v>
      </c>
      <c r="M854" s="6" t="n">
        <v>2359.44</v>
      </c>
      <c r="Q854" s="1" t="str">
        <f aca="false">IF(OR($A854="",P854=""),"",ROUND(YEARFRAC(P854,README!$C$5),1))</f>
        <v/>
      </c>
      <c r="S854" s="6" t="n">
        <v>1450</v>
      </c>
      <c r="T854" s="6" t="n">
        <v>1458</v>
      </c>
      <c r="U854" s="6" t="n">
        <v>1540</v>
      </c>
      <c r="V854" s="6" t="n">
        <v>82</v>
      </c>
      <c r="W854" s="6" t="n">
        <v>0.944</v>
      </c>
      <c r="X854" s="6" t="n">
        <v>1</v>
      </c>
      <c r="Z854" s="6" t="s">
        <v>2845</v>
      </c>
      <c r="AA854" s="9" t="s">
        <v>528</v>
      </c>
      <c r="AB854" s="6" t="s">
        <v>3186</v>
      </c>
      <c r="AE854" s="37" t="n">
        <f aca="false">COUNTIF(環境認証!$A$2:$A$849,A854)</f>
        <v>1</v>
      </c>
      <c r="AF854" s="6" t="n">
        <v>5.6</v>
      </c>
      <c r="AG854" s="6" t="n">
        <v>6.2</v>
      </c>
    </row>
    <row r="855" customFormat="false" ht="15" hidden="false" customHeight="true" outlineLevel="0" collapsed="false">
      <c r="A855" s="6" t="s">
        <v>3187</v>
      </c>
      <c r="B855" s="6" t="s">
        <v>485</v>
      </c>
      <c r="C855" s="6" t="s">
        <v>3188</v>
      </c>
      <c r="D855" s="9" t="s">
        <v>959</v>
      </c>
      <c r="H855" s="9" t="s">
        <v>2844</v>
      </c>
      <c r="M855" s="6" t="n">
        <v>1020.18</v>
      </c>
      <c r="Q855" s="1" t="str">
        <f aca="false">IF(OR($A855="",P855=""),"",ROUND(YEARFRAC(P855,README!$C$5),1))</f>
        <v/>
      </c>
      <c r="S855" s="6" t="n">
        <v>1410</v>
      </c>
      <c r="T855" s="6" t="n">
        <v>1387</v>
      </c>
      <c r="U855" s="6" t="n">
        <v>1460</v>
      </c>
      <c r="V855" s="6" t="n">
        <v>73</v>
      </c>
      <c r="W855" s="6" t="n">
        <v>0.93</v>
      </c>
      <c r="X855" s="6" t="n">
        <v>1</v>
      </c>
      <c r="Z855" s="6" t="s">
        <v>2845</v>
      </c>
      <c r="AA855" s="9" t="s">
        <v>528</v>
      </c>
      <c r="AB855" s="6" t="s">
        <v>3189</v>
      </c>
      <c r="AE855" s="37" t="n">
        <f aca="false">COUNTIF(環境認証!$A$2:$A$849,A855)</f>
        <v>0</v>
      </c>
      <c r="AF855" s="6" t="n">
        <v>5.3</v>
      </c>
      <c r="AG855" s="6" t="n">
        <v>3.5</v>
      </c>
    </row>
    <row r="856" customFormat="false" ht="15" hidden="false" customHeight="true" outlineLevel="0" collapsed="false">
      <c r="A856" s="6" t="s">
        <v>3190</v>
      </c>
      <c r="B856" s="6" t="s">
        <v>485</v>
      </c>
      <c r="C856" s="6" t="s">
        <v>3191</v>
      </c>
      <c r="D856" s="9" t="s">
        <v>959</v>
      </c>
      <c r="H856" s="9" t="s">
        <v>2844</v>
      </c>
      <c r="M856" s="6" t="n">
        <v>985.1</v>
      </c>
      <c r="Q856" s="1" t="str">
        <f aca="false">IF(OR($A856="",P856=""),"",ROUND(YEARFRAC(P856,README!$C$5),1))</f>
        <v/>
      </c>
      <c r="S856" s="6" t="n">
        <v>1390</v>
      </c>
      <c r="T856" s="6" t="n">
        <v>1393</v>
      </c>
      <c r="U856" s="6" t="n">
        <v>1510</v>
      </c>
      <c r="V856" s="6" t="n">
        <v>117</v>
      </c>
      <c r="W856" s="6" t="n">
        <v>0.936</v>
      </c>
      <c r="X856" s="6" t="n">
        <v>1</v>
      </c>
      <c r="Z856" s="6" t="s">
        <v>2845</v>
      </c>
      <c r="AA856" s="9" t="s">
        <v>528</v>
      </c>
      <c r="AB856" s="6" t="s">
        <v>3192</v>
      </c>
      <c r="AE856" s="37" t="n">
        <f aca="false">COUNTIF(環境認証!$A$2:$A$849,A856)</f>
        <v>0</v>
      </c>
      <c r="AF856" s="6" t="n">
        <v>8.4</v>
      </c>
      <c r="AG856" s="6" t="n">
        <v>8.6</v>
      </c>
    </row>
    <row r="857" customFormat="false" ht="15" hidden="false" customHeight="true" outlineLevel="0" collapsed="false">
      <c r="A857" s="6" t="s">
        <v>3193</v>
      </c>
      <c r="B857" s="6" t="s">
        <v>485</v>
      </c>
      <c r="C857" s="6" t="s">
        <v>3194</v>
      </c>
      <c r="D857" s="9" t="s">
        <v>959</v>
      </c>
      <c r="H857" s="9" t="s">
        <v>2844</v>
      </c>
      <c r="M857" s="6" t="n">
        <v>1034.27</v>
      </c>
      <c r="Q857" s="1" t="str">
        <f aca="false">IF(OR($A857="",P857=""),"",ROUND(YEARFRAC(P857,README!$C$5),1))</f>
        <v/>
      </c>
      <c r="S857" s="6" t="n">
        <v>1370</v>
      </c>
      <c r="T857" s="6" t="n">
        <v>1356</v>
      </c>
      <c r="U857" s="6" t="n">
        <v>1430</v>
      </c>
      <c r="V857" s="6" t="n">
        <v>74</v>
      </c>
      <c r="W857" s="6" t="n">
        <v>0.888</v>
      </c>
      <c r="X857" s="6" t="n">
        <v>1</v>
      </c>
      <c r="Z857" s="6" t="s">
        <v>2845</v>
      </c>
      <c r="AA857" s="9" t="s">
        <v>528</v>
      </c>
      <c r="AB857" s="6" t="s">
        <v>3195</v>
      </c>
      <c r="AE857" s="37" t="n">
        <f aca="false">COUNTIF(環境認証!$A$2:$A$849,A857)</f>
        <v>0</v>
      </c>
      <c r="AF857" s="6" t="n">
        <v>5.5</v>
      </c>
      <c r="AG857" s="6" t="n">
        <v>4.4</v>
      </c>
    </row>
    <row r="858" customFormat="false" ht="15" hidden="false" customHeight="true" outlineLevel="0" collapsed="false">
      <c r="A858" s="6" t="s">
        <v>3196</v>
      </c>
      <c r="B858" s="6" t="s">
        <v>485</v>
      </c>
      <c r="C858" s="6" t="s">
        <v>3197</v>
      </c>
      <c r="D858" s="9" t="s">
        <v>959</v>
      </c>
      <c r="H858" s="9" t="s">
        <v>2844</v>
      </c>
      <c r="M858" s="6" t="n">
        <v>2448.27</v>
      </c>
      <c r="Q858" s="1" t="str">
        <f aca="false">IF(OR($A858="",P858=""),"",ROUND(YEARFRAC(P858,README!$C$5),1))</f>
        <v/>
      </c>
      <c r="S858" s="6" t="n">
        <v>1350</v>
      </c>
      <c r="T858" s="6" t="n">
        <v>1333</v>
      </c>
      <c r="U858" s="6" t="n">
        <v>1430</v>
      </c>
      <c r="V858" s="6" t="n">
        <v>97</v>
      </c>
      <c r="W858" s="6" t="n">
        <v>0.975</v>
      </c>
      <c r="X858" s="6" t="n">
        <v>1</v>
      </c>
      <c r="Z858" s="6" t="s">
        <v>2845</v>
      </c>
      <c r="AA858" s="9" t="s">
        <v>528</v>
      </c>
      <c r="AB858" s="6" t="s">
        <v>3198</v>
      </c>
      <c r="AE858" s="37" t="n">
        <f aca="false">COUNTIF(環境認証!$A$2:$A$849,A858)</f>
        <v>1</v>
      </c>
      <c r="AF858" s="6" t="n">
        <v>7.3</v>
      </c>
      <c r="AG858" s="6" t="n">
        <v>5.9</v>
      </c>
    </row>
    <row r="859" customFormat="false" ht="15" hidden="false" customHeight="true" outlineLevel="0" collapsed="false">
      <c r="A859" s="6" t="s">
        <v>3199</v>
      </c>
      <c r="B859" s="6" t="s">
        <v>485</v>
      </c>
      <c r="C859" s="6" t="s">
        <v>3200</v>
      </c>
      <c r="D859" s="9" t="s">
        <v>959</v>
      </c>
      <c r="H859" s="9" t="s">
        <v>2844</v>
      </c>
      <c r="M859" s="6" t="n">
        <v>1329.79</v>
      </c>
      <c r="Q859" s="1" t="str">
        <f aca="false">IF(OR($A859="",P859=""),"",ROUND(YEARFRAC(P859,README!$C$5),1))</f>
        <v/>
      </c>
      <c r="S859" s="6" t="n">
        <v>1320</v>
      </c>
      <c r="T859" s="6" t="n">
        <v>1303</v>
      </c>
      <c r="U859" s="6" t="n">
        <v>1440</v>
      </c>
      <c r="V859" s="6" t="n">
        <v>137</v>
      </c>
      <c r="W859" s="6" t="n">
        <v>0.889</v>
      </c>
      <c r="X859" s="6" t="n">
        <v>1</v>
      </c>
      <c r="Z859" s="6" t="s">
        <v>2845</v>
      </c>
      <c r="AA859" s="9" t="s">
        <v>528</v>
      </c>
      <c r="AB859" s="6" t="s">
        <v>3201</v>
      </c>
      <c r="AE859" s="37" t="n">
        <f aca="false">COUNTIF(環境認証!$A$2:$A$849,A859)</f>
        <v>0</v>
      </c>
      <c r="AF859" s="6" t="n">
        <v>10.5</v>
      </c>
      <c r="AG859" s="6" t="n">
        <v>9.1</v>
      </c>
    </row>
    <row r="860" customFormat="false" ht="15" hidden="false" customHeight="true" outlineLevel="0" collapsed="false">
      <c r="A860" s="6" t="s">
        <v>3202</v>
      </c>
      <c r="B860" s="6" t="s">
        <v>485</v>
      </c>
      <c r="C860" s="6" t="s">
        <v>3203</v>
      </c>
      <c r="D860" s="9" t="s">
        <v>959</v>
      </c>
      <c r="H860" s="9" t="s">
        <v>2844</v>
      </c>
      <c r="M860" s="6" t="n">
        <v>1314.91</v>
      </c>
      <c r="Q860" s="1" t="str">
        <f aca="false">IF(OR($A860="",P860=""),"",ROUND(YEARFRAC(P860,README!$C$5),1))</f>
        <v/>
      </c>
      <c r="S860" s="6" t="n">
        <v>1220</v>
      </c>
      <c r="T860" s="6" t="n">
        <v>1200</v>
      </c>
      <c r="U860" s="6" t="n">
        <v>1300</v>
      </c>
      <c r="V860" s="6" t="n">
        <v>100</v>
      </c>
      <c r="W860" s="6" t="n">
        <v>0.943</v>
      </c>
      <c r="X860" s="6" t="n">
        <v>1</v>
      </c>
      <c r="Z860" s="6" t="s">
        <v>2845</v>
      </c>
      <c r="AA860" s="9" t="s">
        <v>528</v>
      </c>
      <c r="AB860" s="6" t="s">
        <v>3204</v>
      </c>
      <c r="AE860" s="37" t="n">
        <f aca="false">COUNTIF(環境認証!$A$2:$A$849,A860)</f>
        <v>0</v>
      </c>
      <c r="AF860" s="6" t="n">
        <v>8.3</v>
      </c>
      <c r="AG860" s="6" t="n">
        <v>6.6</v>
      </c>
    </row>
    <row r="861" customFormat="false" ht="15" hidden="false" customHeight="true" outlineLevel="0" collapsed="false">
      <c r="A861" s="6" t="s">
        <v>3205</v>
      </c>
      <c r="B861" s="6" t="s">
        <v>485</v>
      </c>
      <c r="C861" s="6" t="s">
        <v>3206</v>
      </c>
      <c r="D861" s="9" t="s">
        <v>959</v>
      </c>
      <c r="H861" s="9" t="s">
        <v>2844</v>
      </c>
      <c r="M861" s="6" t="n">
        <v>1171.41</v>
      </c>
      <c r="Q861" s="1" t="str">
        <f aca="false">IF(OR($A861="",P861=""),"",ROUND(YEARFRAC(P861,README!$C$5),1))</f>
        <v/>
      </c>
      <c r="S861" s="6" t="n">
        <v>1200</v>
      </c>
      <c r="T861" s="6" t="n">
        <v>1177</v>
      </c>
      <c r="U861" s="6" t="n">
        <v>1260</v>
      </c>
      <c r="V861" s="6" t="n">
        <v>83</v>
      </c>
      <c r="W861" s="6" t="n">
        <v>0.921</v>
      </c>
      <c r="X861" s="6" t="n">
        <v>1</v>
      </c>
      <c r="Z861" s="6" t="s">
        <v>2845</v>
      </c>
      <c r="AA861" s="9" t="s">
        <v>528</v>
      </c>
      <c r="AB861" s="6" t="s">
        <v>3207</v>
      </c>
      <c r="AE861" s="37" t="n">
        <f aca="false">COUNTIF(環境認証!$A$2:$A$849,A861)</f>
        <v>0</v>
      </c>
      <c r="AF861" s="6" t="n">
        <v>7.1</v>
      </c>
      <c r="AG861" s="6" t="n">
        <v>5</v>
      </c>
    </row>
    <row r="862" customFormat="false" ht="15" hidden="false" customHeight="true" outlineLevel="0" collapsed="false">
      <c r="A862" s="6" t="s">
        <v>3208</v>
      </c>
      <c r="B862" s="6" t="s">
        <v>485</v>
      </c>
      <c r="C862" s="6" t="s">
        <v>3209</v>
      </c>
      <c r="D862" s="9" t="s">
        <v>959</v>
      </c>
      <c r="H862" s="9" t="s">
        <v>2844</v>
      </c>
      <c r="M862" s="6" t="n">
        <v>1103.82</v>
      </c>
      <c r="Q862" s="1" t="str">
        <f aca="false">IF(OR($A862="",P862=""),"",ROUND(YEARFRAC(P862,README!$C$5),1))</f>
        <v/>
      </c>
      <c r="S862" s="6" t="n">
        <v>1190</v>
      </c>
      <c r="T862" s="6" t="n">
        <v>1179</v>
      </c>
      <c r="U862" s="6" t="n">
        <v>1320</v>
      </c>
      <c r="V862" s="6" t="n">
        <v>141</v>
      </c>
      <c r="W862" s="6" t="n">
        <v>1</v>
      </c>
      <c r="X862" s="6" t="n">
        <v>1</v>
      </c>
      <c r="Z862" s="6" t="s">
        <v>2845</v>
      </c>
      <c r="AA862" s="9" t="s">
        <v>528</v>
      </c>
      <c r="AB862" s="6" t="s">
        <v>3210</v>
      </c>
      <c r="AE862" s="37" t="n">
        <f aca="false">COUNTIF(環境認証!$A$2:$A$849,A862)</f>
        <v>0</v>
      </c>
      <c r="AF862" s="6" t="n">
        <v>12</v>
      </c>
      <c r="AG862" s="6" t="n">
        <v>10.9</v>
      </c>
    </row>
    <row r="863" customFormat="false" ht="15" hidden="false" customHeight="true" outlineLevel="0" collapsed="false">
      <c r="A863" s="6" t="s">
        <v>3211</v>
      </c>
      <c r="B863" s="6" t="s">
        <v>485</v>
      </c>
      <c r="C863" s="6" t="s">
        <v>3212</v>
      </c>
      <c r="D863" s="9" t="s">
        <v>959</v>
      </c>
      <c r="H863" s="9" t="s">
        <v>2844</v>
      </c>
      <c r="M863" s="6" t="n">
        <v>1602.16</v>
      </c>
      <c r="Q863" s="1" t="str">
        <f aca="false">IF(OR($A863="",P863=""),"",ROUND(YEARFRAC(P863,README!$C$5),1))</f>
        <v/>
      </c>
      <c r="S863" s="6" t="n">
        <v>1180</v>
      </c>
      <c r="T863" s="6" t="n">
        <v>1206</v>
      </c>
      <c r="U863" s="6" t="n">
        <v>1220</v>
      </c>
      <c r="V863" s="6" t="n">
        <v>14</v>
      </c>
      <c r="W863" s="6" t="n">
        <v>0.988</v>
      </c>
      <c r="X863" s="6" t="n">
        <v>1</v>
      </c>
      <c r="Z863" s="6" t="s">
        <v>2845</v>
      </c>
      <c r="AA863" s="9" t="s">
        <v>528</v>
      </c>
      <c r="AB863" s="6" t="s">
        <v>3213</v>
      </c>
      <c r="AE863" s="37" t="n">
        <f aca="false">COUNTIF(環境認証!$A$2:$A$849,A863)</f>
        <v>0</v>
      </c>
      <c r="AF863" s="6" t="n">
        <v>1.2</v>
      </c>
      <c r="AG863" s="6" t="n">
        <v>3.4</v>
      </c>
    </row>
    <row r="864" customFormat="false" ht="15" hidden="false" customHeight="true" outlineLevel="0" collapsed="false">
      <c r="A864" s="6" t="s">
        <v>3214</v>
      </c>
      <c r="B864" s="6" t="s">
        <v>485</v>
      </c>
      <c r="C864" s="6" t="s">
        <v>3215</v>
      </c>
      <c r="D864" s="9" t="s">
        <v>959</v>
      </c>
      <c r="H864" s="9" t="s">
        <v>2844</v>
      </c>
      <c r="M864" s="6" t="n">
        <v>890.93</v>
      </c>
      <c r="Q864" s="1" t="str">
        <f aca="false">IF(OR($A864="",P864=""),"",ROUND(YEARFRAC(P864,README!$C$5),1))</f>
        <v/>
      </c>
      <c r="S864" s="6" t="n">
        <v>1160</v>
      </c>
      <c r="T864" s="6" t="n">
        <v>1182</v>
      </c>
      <c r="U864" s="6" t="n">
        <v>1230</v>
      </c>
      <c r="V864" s="6" t="n">
        <v>48</v>
      </c>
      <c r="W864" s="6" t="n">
        <v>1</v>
      </c>
      <c r="X864" s="6" t="n">
        <v>1</v>
      </c>
      <c r="Z864" s="6" t="s">
        <v>2845</v>
      </c>
      <c r="AA864" s="9" t="s">
        <v>528</v>
      </c>
      <c r="AB864" s="6" t="s">
        <v>3216</v>
      </c>
      <c r="AE864" s="37" t="n">
        <f aca="false">COUNTIF(環境認証!$A$2:$A$849,A864)</f>
        <v>0</v>
      </c>
      <c r="AF864" s="6" t="n">
        <v>4.1</v>
      </c>
      <c r="AG864" s="6" t="n">
        <v>6</v>
      </c>
    </row>
    <row r="865" customFormat="false" ht="15" hidden="false" customHeight="true" outlineLevel="0" collapsed="false">
      <c r="A865" s="6" t="s">
        <v>3217</v>
      </c>
      <c r="B865" s="6" t="s">
        <v>485</v>
      </c>
      <c r="C865" s="6" t="s">
        <v>3218</v>
      </c>
      <c r="D865" s="9" t="s">
        <v>959</v>
      </c>
      <c r="H865" s="9" t="s">
        <v>2844</v>
      </c>
      <c r="M865" s="6" t="n">
        <v>1170.4</v>
      </c>
      <c r="Q865" s="1" t="str">
        <f aca="false">IF(OR($A865="",P865=""),"",ROUND(YEARFRAC(P865,README!$C$5),1))</f>
        <v/>
      </c>
      <c r="S865" s="6" t="n">
        <v>1130</v>
      </c>
      <c r="T865" s="6" t="n">
        <v>1154</v>
      </c>
      <c r="U865" s="6" t="n">
        <v>1100</v>
      </c>
      <c r="V865" s="6" t="n">
        <v>-54</v>
      </c>
      <c r="W865" s="6" t="n">
        <v>0.964</v>
      </c>
      <c r="X865" s="6" t="n">
        <v>1</v>
      </c>
      <c r="Z865" s="6" t="s">
        <v>2845</v>
      </c>
      <c r="AA865" s="9" t="s">
        <v>528</v>
      </c>
      <c r="AB865" s="6" t="s">
        <v>3219</v>
      </c>
      <c r="AE865" s="37" t="n">
        <f aca="false">COUNTIF(環境認証!$A$2:$A$849,A865)</f>
        <v>0</v>
      </c>
      <c r="AF865" s="6" t="n">
        <v>-4.7</v>
      </c>
      <c r="AG865" s="6" t="n">
        <v>-2.7</v>
      </c>
    </row>
    <row r="866" customFormat="false" ht="15" hidden="false" customHeight="true" outlineLevel="0" collapsed="false">
      <c r="A866" s="6" t="s">
        <v>3220</v>
      </c>
      <c r="B866" s="6" t="s">
        <v>485</v>
      </c>
      <c r="C866" s="6" t="s">
        <v>3221</v>
      </c>
      <c r="D866" s="9" t="s">
        <v>959</v>
      </c>
      <c r="H866" s="9" t="s">
        <v>2844</v>
      </c>
      <c r="M866" s="6" t="n">
        <v>1012.8</v>
      </c>
      <c r="Q866" s="1" t="str">
        <f aca="false">IF(OR($A866="",P866=""),"",ROUND(YEARFRAC(P866,README!$C$5),1))</f>
        <v/>
      </c>
      <c r="S866" s="6" t="n">
        <v>1080</v>
      </c>
      <c r="T866" s="6" t="n">
        <v>1067</v>
      </c>
      <c r="U866" s="6" t="n">
        <v>1130</v>
      </c>
      <c r="V866" s="6" t="n">
        <v>63</v>
      </c>
      <c r="W866" s="6" t="n">
        <v>0.975</v>
      </c>
      <c r="X866" s="6" t="n">
        <v>1</v>
      </c>
      <c r="Z866" s="6" t="s">
        <v>2845</v>
      </c>
      <c r="AA866" s="9" t="s">
        <v>528</v>
      </c>
      <c r="AB866" s="6" t="s">
        <v>3222</v>
      </c>
      <c r="AE866" s="37" t="n">
        <f aca="false">COUNTIF(環境認証!$A$2:$A$849,A866)</f>
        <v>0</v>
      </c>
      <c r="AF866" s="6" t="n">
        <v>5.9</v>
      </c>
      <c r="AG866" s="6" t="n">
        <v>4.6</v>
      </c>
    </row>
    <row r="867" customFormat="false" ht="15" hidden="false" customHeight="true" outlineLevel="0" collapsed="false">
      <c r="A867" s="6" t="s">
        <v>3223</v>
      </c>
      <c r="B867" s="6" t="s">
        <v>485</v>
      </c>
      <c r="C867" s="6" t="s">
        <v>3224</v>
      </c>
      <c r="D867" s="9" t="s">
        <v>959</v>
      </c>
      <c r="H867" s="9" t="s">
        <v>2844</v>
      </c>
      <c r="M867" s="6" t="n">
        <v>1127.58</v>
      </c>
      <c r="Q867" s="1" t="str">
        <f aca="false">IF(OR($A867="",P867=""),"",ROUND(YEARFRAC(P867,README!$C$5),1))</f>
        <v/>
      </c>
      <c r="S867" s="6" t="n">
        <v>958</v>
      </c>
      <c r="T867" s="6" t="n">
        <v>986</v>
      </c>
      <c r="U867" s="6" t="n">
        <v>1010</v>
      </c>
      <c r="V867" s="6" t="n">
        <v>24</v>
      </c>
      <c r="W867" s="6" t="n">
        <v>1</v>
      </c>
      <c r="X867" s="6" t="n">
        <v>1</v>
      </c>
      <c r="Z867" s="6" t="s">
        <v>2845</v>
      </c>
      <c r="AA867" s="9" t="s">
        <v>528</v>
      </c>
      <c r="AB867" s="6" t="s">
        <v>3225</v>
      </c>
      <c r="AE867" s="37" t="n">
        <f aca="false">COUNTIF(環境認証!$A$2:$A$849,A867)</f>
        <v>0</v>
      </c>
      <c r="AF867" s="6" t="n">
        <v>2.4</v>
      </c>
      <c r="AG867" s="6" t="n">
        <v>5.4</v>
      </c>
    </row>
    <row r="868" customFormat="false" ht="15" hidden="false" customHeight="true" outlineLevel="0" collapsed="false">
      <c r="A868" s="6" t="s">
        <v>3226</v>
      </c>
      <c r="B868" s="6" t="s">
        <v>485</v>
      </c>
      <c r="C868" s="6" t="s">
        <v>3227</v>
      </c>
      <c r="D868" s="9" t="s">
        <v>959</v>
      </c>
      <c r="H868" s="9" t="s">
        <v>2844</v>
      </c>
      <c r="M868" s="6" t="n">
        <v>2024.81</v>
      </c>
      <c r="Q868" s="1" t="str">
        <f aca="false">IF(OR($A868="",P868=""),"",ROUND(YEARFRAC(P868,README!$C$5),1))</f>
        <v/>
      </c>
      <c r="S868" s="6" t="n">
        <v>2150</v>
      </c>
      <c r="T868" s="6" t="n">
        <v>2159</v>
      </c>
      <c r="U868" s="6" t="n">
        <v>2300</v>
      </c>
      <c r="V868" s="6" t="n">
        <v>141</v>
      </c>
      <c r="W868" s="6" t="n">
        <v>0.909</v>
      </c>
      <c r="X868" s="6" t="n">
        <v>1</v>
      </c>
      <c r="Z868" s="6" t="s">
        <v>2845</v>
      </c>
      <c r="AA868" s="9" t="s">
        <v>528</v>
      </c>
      <c r="AB868" s="6" t="s">
        <v>3228</v>
      </c>
      <c r="AE868" s="37" t="n">
        <f aca="false">COUNTIF(環境認証!$A$2:$A$849,A868)</f>
        <v>1</v>
      </c>
      <c r="AF868" s="6" t="n">
        <v>6.5</v>
      </c>
      <c r="AG868" s="6" t="n">
        <v>7</v>
      </c>
    </row>
    <row r="869" customFormat="false" ht="15" hidden="false" customHeight="true" outlineLevel="0" collapsed="false">
      <c r="A869" s="6" t="s">
        <v>3229</v>
      </c>
      <c r="B869" s="6" t="s">
        <v>485</v>
      </c>
      <c r="C869" s="6" t="s">
        <v>3230</v>
      </c>
      <c r="D869" s="9" t="s">
        <v>959</v>
      </c>
      <c r="H869" s="9" t="s">
        <v>2844</v>
      </c>
      <c r="M869" s="6" t="n">
        <v>4591.76</v>
      </c>
      <c r="Q869" s="1" t="str">
        <f aca="false">IF(OR($A869="",P869=""),"",ROUND(YEARFRAC(P869,README!$C$5),1))</f>
        <v/>
      </c>
      <c r="S869" s="6" t="n">
        <v>5750</v>
      </c>
      <c r="T869" s="6" t="n">
        <v>5782</v>
      </c>
      <c r="U869" s="6" t="n">
        <v>6080</v>
      </c>
      <c r="V869" s="6" t="n">
        <v>298</v>
      </c>
      <c r="W869" s="6" t="n">
        <v>0.986</v>
      </c>
      <c r="X869" s="6" t="n">
        <v>1</v>
      </c>
      <c r="Z869" s="6" t="s">
        <v>2845</v>
      </c>
      <c r="AA869" s="9" t="s">
        <v>528</v>
      </c>
      <c r="AB869" s="6" t="s">
        <v>3231</v>
      </c>
      <c r="AE869" s="37" t="n">
        <f aca="false">COUNTIF(環境認証!$A$2:$A$849,A869)</f>
        <v>1</v>
      </c>
      <c r="AF869" s="6" t="n">
        <v>5.2</v>
      </c>
      <c r="AG869" s="6" t="n">
        <v>5.7</v>
      </c>
    </row>
    <row r="870" customFormat="false" ht="15" hidden="false" customHeight="true" outlineLevel="0" collapsed="false">
      <c r="A870" s="6" t="s">
        <v>3232</v>
      </c>
      <c r="B870" s="6" t="s">
        <v>485</v>
      </c>
      <c r="C870" s="6" t="s">
        <v>3233</v>
      </c>
      <c r="D870" s="9" t="s">
        <v>959</v>
      </c>
      <c r="H870" s="9" t="s">
        <v>2844</v>
      </c>
      <c r="M870" s="6" t="n">
        <v>4009.07</v>
      </c>
      <c r="Q870" s="1" t="str">
        <f aca="false">IF(OR($A870="",P870=""),"",ROUND(YEARFRAC(P870,README!$C$5),1))</f>
        <v/>
      </c>
      <c r="S870" s="6" t="n">
        <v>3970</v>
      </c>
      <c r="T870" s="6" t="n">
        <v>3877</v>
      </c>
      <c r="U870" s="6" t="n">
        <v>4130</v>
      </c>
      <c r="V870" s="6" t="n">
        <v>253</v>
      </c>
      <c r="W870" s="6" t="n">
        <v>0.992</v>
      </c>
      <c r="X870" s="6" t="n">
        <v>1</v>
      </c>
      <c r="Z870" s="6" t="s">
        <v>2845</v>
      </c>
      <c r="AA870" s="9" t="s">
        <v>528</v>
      </c>
      <c r="AB870" s="6" t="s">
        <v>3234</v>
      </c>
      <c r="AE870" s="37" t="n">
        <f aca="false">COUNTIF(環境認証!$A$2:$A$849,A870)</f>
        <v>1</v>
      </c>
      <c r="AF870" s="6" t="n">
        <v>6.5</v>
      </c>
      <c r="AG870" s="6" t="n">
        <v>4</v>
      </c>
    </row>
    <row r="871" customFormat="false" ht="15" hidden="false" customHeight="true" outlineLevel="0" collapsed="false">
      <c r="A871" s="6" t="s">
        <v>3235</v>
      </c>
      <c r="B871" s="6" t="s">
        <v>485</v>
      </c>
      <c r="C871" s="6" t="s">
        <v>3236</v>
      </c>
      <c r="D871" s="9" t="s">
        <v>959</v>
      </c>
      <c r="H871" s="9" t="s">
        <v>2844</v>
      </c>
      <c r="M871" s="6" t="n">
        <v>3314.75</v>
      </c>
      <c r="Q871" s="1" t="str">
        <f aca="false">IF(OR($A871="",P871=""),"",ROUND(YEARFRAC(P871,README!$C$5),1))</f>
        <v/>
      </c>
      <c r="S871" s="6" t="n">
        <v>3700</v>
      </c>
      <c r="T871" s="6" t="n">
        <v>3648</v>
      </c>
      <c r="U871" s="6" t="n">
        <v>3920</v>
      </c>
      <c r="V871" s="6" t="n">
        <v>272</v>
      </c>
      <c r="W871" s="6" t="n">
        <v>0.908</v>
      </c>
      <c r="X871" s="6" t="n">
        <v>1</v>
      </c>
      <c r="Z871" s="6" t="s">
        <v>2845</v>
      </c>
      <c r="AA871" s="9" t="s">
        <v>528</v>
      </c>
      <c r="AB871" s="6" t="s">
        <v>3237</v>
      </c>
      <c r="AE871" s="37" t="n">
        <f aca="false">COUNTIF(環境認証!$A$2:$A$849,A871)</f>
        <v>1</v>
      </c>
      <c r="AF871" s="6" t="n">
        <v>7.5</v>
      </c>
      <c r="AG871" s="6" t="n">
        <v>5.9</v>
      </c>
    </row>
    <row r="872" customFormat="false" ht="15" hidden="false" customHeight="true" outlineLevel="0" collapsed="false">
      <c r="A872" s="6" t="s">
        <v>3238</v>
      </c>
      <c r="B872" s="6" t="s">
        <v>485</v>
      </c>
      <c r="C872" s="6" t="s">
        <v>3239</v>
      </c>
      <c r="D872" s="9" t="s">
        <v>959</v>
      </c>
      <c r="H872" s="9" t="s">
        <v>2844</v>
      </c>
      <c r="M872" s="6" t="n">
        <v>2372.67</v>
      </c>
      <c r="Q872" s="1" t="str">
        <f aca="false">IF(OR($A872="",P872=""),"",ROUND(YEARFRAC(P872,README!$C$5),1))</f>
        <v/>
      </c>
      <c r="S872" s="6" t="n">
        <v>2920</v>
      </c>
      <c r="T872" s="6" t="n">
        <v>2841</v>
      </c>
      <c r="U872" s="6" t="n">
        <v>3100</v>
      </c>
      <c r="V872" s="6" t="n">
        <v>259</v>
      </c>
      <c r="W872" s="6" t="n">
        <v>0.949</v>
      </c>
      <c r="X872" s="6" t="n">
        <v>1</v>
      </c>
      <c r="Z872" s="6" t="s">
        <v>2845</v>
      </c>
      <c r="AA872" s="9" t="s">
        <v>528</v>
      </c>
      <c r="AB872" s="6" t="s">
        <v>3240</v>
      </c>
      <c r="AE872" s="37" t="n">
        <f aca="false">COUNTIF(環境認証!$A$2:$A$849,A872)</f>
        <v>1</v>
      </c>
      <c r="AF872" s="6" t="n">
        <v>9.1</v>
      </c>
      <c r="AG872" s="6" t="n">
        <v>6.2</v>
      </c>
    </row>
    <row r="873" customFormat="false" ht="15" hidden="false" customHeight="true" outlineLevel="0" collapsed="false">
      <c r="A873" s="6" t="s">
        <v>3241</v>
      </c>
      <c r="B873" s="6" t="s">
        <v>485</v>
      </c>
      <c r="C873" s="6" t="s">
        <v>3242</v>
      </c>
      <c r="D873" s="9" t="s">
        <v>959</v>
      </c>
      <c r="H873" s="9" t="s">
        <v>2844</v>
      </c>
      <c r="M873" s="6" t="n">
        <v>1637</v>
      </c>
      <c r="Q873" s="1" t="str">
        <f aca="false">IF(OR($A873="",P873=""),"",ROUND(YEARFRAC(P873,README!$C$5),1))</f>
        <v/>
      </c>
      <c r="S873" s="6" t="n">
        <v>1950</v>
      </c>
      <c r="T873" s="6" t="n">
        <v>1939</v>
      </c>
      <c r="U873" s="6" t="n">
        <v>1910</v>
      </c>
      <c r="V873" s="6" t="n">
        <v>-29</v>
      </c>
      <c r="W873" s="6" t="n">
        <v>1</v>
      </c>
      <c r="X873" s="6" t="n">
        <v>1</v>
      </c>
      <c r="Z873" s="6" t="s">
        <v>2845</v>
      </c>
      <c r="AA873" s="9" t="s">
        <v>528</v>
      </c>
      <c r="AB873" s="6" t="s">
        <v>3243</v>
      </c>
      <c r="AE873" s="37" t="n">
        <f aca="false">COUNTIF(環境認証!$A$2:$A$849,A873)</f>
        <v>0</v>
      </c>
      <c r="AF873" s="6" t="n">
        <v>-1.5</v>
      </c>
      <c r="AG873" s="6" t="n">
        <v>-2.1</v>
      </c>
    </row>
    <row r="874" customFormat="false" ht="15" hidden="false" customHeight="true" outlineLevel="0" collapsed="false">
      <c r="A874" s="6" t="s">
        <v>3244</v>
      </c>
      <c r="B874" s="6" t="s">
        <v>485</v>
      </c>
      <c r="C874" s="6" t="s">
        <v>3245</v>
      </c>
      <c r="D874" s="9" t="s">
        <v>959</v>
      </c>
      <c r="H874" s="9" t="s">
        <v>2844</v>
      </c>
      <c r="M874" s="6" t="n">
        <v>1756.27</v>
      </c>
      <c r="Q874" s="1" t="str">
        <f aca="false">IF(OR($A874="",P874=""),"",ROUND(YEARFRAC(P874,README!$C$5),1))</f>
        <v/>
      </c>
      <c r="S874" s="6" t="n">
        <v>1610</v>
      </c>
      <c r="T874" s="6" t="n">
        <v>1581</v>
      </c>
      <c r="U874" s="6" t="n">
        <v>1710</v>
      </c>
      <c r="V874" s="6" t="n">
        <v>129</v>
      </c>
      <c r="W874" s="6" t="n">
        <v>1</v>
      </c>
      <c r="X874" s="6" t="n">
        <v>1</v>
      </c>
      <c r="Z874" s="6" t="s">
        <v>2845</v>
      </c>
      <c r="AA874" s="9" t="s">
        <v>528</v>
      </c>
      <c r="AB874" s="6" t="s">
        <v>3246</v>
      </c>
      <c r="AE874" s="37" t="n">
        <f aca="false">COUNTIF(環境認証!$A$2:$A$849,A874)</f>
        <v>1</v>
      </c>
      <c r="AF874" s="6" t="n">
        <v>8.2</v>
      </c>
      <c r="AG874" s="6" t="n">
        <v>6.2</v>
      </c>
    </row>
    <row r="875" customFormat="false" ht="15" hidden="false" customHeight="true" outlineLevel="0" collapsed="false">
      <c r="A875" s="6" t="s">
        <v>3247</v>
      </c>
      <c r="B875" s="6" t="s">
        <v>485</v>
      </c>
      <c r="C875" s="6" t="s">
        <v>3248</v>
      </c>
      <c r="D875" s="9" t="s">
        <v>959</v>
      </c>
      <c r="H875" s="9" t="s">
        <v>2844</v>
      </c>
      <c r="M875" s="6" t="n">
        <v>877.14</v>
      </c>
      <c r="Q875" s="1" t="str">
        <f aca="false">IF(OR($A875="",P875=""),"",ROUND(YEARFRAC(P875,README!$C$5),1))</f>
        <v/>
      </c>
      <c r="S875" s="6" t="n">
        <v>819</v>
      </c>
      <c r="T875" s="6" t="n">
        <v>807</v>
      </c>
      <c r="U875" s="6" t="n">
        <v>853</v>
      </c>
      <c r="V875" s="6" t="n">
        <v>46</v>
      </c>
      <c r="W875" s="6" t="n">
        <v>1</v>
      </c>
      <c r="X875" s="6" t="n">
        <v>1</v>
      </c>
      <c r="Z875" s="6" t="s">
        <v>2845</v>
      </c>
      <c r="AA875" s="9" t="s">
        <v>528</v>
      </c>
      <c r="AB875" s="6" t="s">
        <v>3249</v>
      </c>
      <c r="AE875" s="37" t="n">
        <f aca="false">COUNTIF(環境認証!$A$2:$A$849,A875)</f>
        <v>0</v>
      </c>
      <c r="AF875" s="6" t="n">
        <v>5.7</v>
      </c>
      <c r="AG875" s="6" t="n">
        <v>4.2</v>
      </c>
    </row>
    <row r="876" customFormat="false" ht="15" hidden="false" customHeight="true" outlineLevel="0" collapsed="false">
      <c r="A876" s="6" t="s">
        <v>3250</v>
      </c>
      <c r="B876" s="6" t="s">
        <v>485</v>
      </c>
      <c r="C876" s="6" t="s">
        <v>3251</v>
      </c>
      <c r="D876" s="9" t="s">
        <v>959</v>
      </c>
      <c r="H876" s="9" t="s">
        <v>2844</v>
      </c>
      <c r="M876" s="6" t="n">
        <v>4854.23</v>
      </c>
      <c r="Q876" s="1" t="str">
        <f aca="false">IF(OR($A876="",P876=""),"",ROUND(YEARFRAC(P876,README!$C$5),1))</f>
        <v/>
      </c>
      <c r="S876" s="6" t="n">
        <v>7090</v>
      </c>
      <c r="T876" s="6" t="n">
        <v>7080</v>
      </c>
      <c r="U876" s="6" t="n">
        <v>7260</v>
      </c>
      <c r="V876" s="6" t="n">
        <v>180</v>
      </c>
      <c r="W876" s="6" t="n">
        <v>0.974</v>
      </c>
      <c r="X876" s="6" t="n">
        <v>1</v>
      </c>
      <c r="Z876" s="6" t="s">
        <v>2845</v>
      </c>
      <c r="AA876" s="9" t="s">
        <v>528</v>
      </c>
      <c r="AB876" s="6" t="s">
        <v>3252</v>
      </c>
      <c r="AE876" s="37" t="n">
        <f aca="false">COUNTIF(環境認証!$A$2:$A$849,A876)</f>
        <v>2</v>
      </c>
      <c r="AF876" s="6" t="n">
        <v>2.5</v>
      </c>
      <c r="AG876" s="6" t="n">
        <v>2.4</v>
      </c>
    </row>
    <row r="877" customFormat="false" ht="15" hidden="false" customHeight="true" outlineLevel="0" collapsed="false">
      <c r="A877" s="6" t="s">
        <v>3253</v>
      </c>
      <c r="B877" s="6" t="s">
        <v>485</v>
      </c>
      <c r="C877" s="6" t="s">
        <v>3254</v>
      </c>
      <c r="D877" s="9" t="s">
        <v>959</v>
      </c>
      <c r="H877" s="9" t="s">
        <v>2844</v>
      </c>
      <c r="M877" s="6" t="n">
        <v>4314.87</v>
      </c>
      <c r="Q877" s="1" t="str">
        <f aca="false">IF(OR($A877="",P877=""),"",ROUND(YEARFRAC(P877,README!$C$5),1))</f>
        <v/>
      </c>
      <c r="S877" s="6" t="n">
        <v>4350</v>
      </c>
      <c r="T877" s="6" t="n">
        <v>4244</v>
      </c>
      <c r="U877" s="6" t="n">
        <v>4590</v>
      </c>
      <c r="V877" s="6" t="n">
        <v>346</v>
      </c>
      <c r="W877" s="6" t="n">
        <v>0.96</v>
      </c>
      <c r="X877" s="6" t="n">
        <v>1</v>
      </c>
      <c r="Z877" s="6" t="s">
        <v>2845</v>
      </c>
      <c r="AA877" s="9" t="s">
        <v>528</v>
      </c>
      <c r="AB877" s="6" t="s">
        <v>3255</v>
      </c>
      <c r="AE877" s="37" t="n">
        <f aca="false">COUNTIF(環境認証!$A$2:$A$849,A877)</f>
        <v>1</v>
      </c>
      <c r="AF877" s="6" t="n">
        <v>8.2</v>
      </c>
      <c r="AG877" s="6" t="n">
        <v>5.5</v>
      </c>
    </row>
    <row r="878" customFormat="false" ht="15" hidden="false" customHeight="true" outlineLevel="0" collapsed="false">
      <c r="A878" s="6" t="s">
        <v>3256</v>
      </c>
      <c r="B878" s="6" t="s">
        <v>485</v>
      </c>
      <c r="C878" s="6" t="s">
        <v>3257</v>
      </c>
      <c r="D878" s="9" t="s">
        <v>959</v>
      </c>
      <c r="H878" s="9" t="s">
        <v>2844</v>
      </c>
      <c r="M878" s="6" t="n">
        <v>3159.89</v>
      </c>
      <c r="Q878" s="1" t="str">
        <f aca="false">IF(OR($A878="",P878=""),"",ROUND(YEARFRAC(P878,README!$C$5),1))</f>
        <v/>
      </c>
      <c r="S878" s="6" t="n">
        <v>3100</v>
      </c>
      <c r="T878" s="6" t="n">
        <v>3100</v>
      </c>
      <c r="U878" s="6" t="n">
        <v>3130</v>
      </c>
      <c r="V878" s="6" t="n">
        <v>30</v>
      </c>
      <c r="W878" s="6" t="n">
        <v>0.929</v>
      </c>
      <c r="X878" s="6" t="n">
        <v>1</v>
      </c>
      <c r="Z878" s="6" t="s">
        <v>2845</v>
      </c>
      <c r="AA878" s="9" t="s">
        <v>528</v>
      </c>
      <c r="AB878" s="6" t="s">
        <v>3258</v>
      </c>
      <c r="AE878" s="37" t="n">
        <f aca="false">COUNTIF(環境認証!$A$2:$A$849,A878)</f>
        <v>1</v>
      </c>
      <c r="AF878" s="6" t="n">
        <v>1</v>
      </c>
      <c r="AG878" s="6" t="n">
        <v>1</v>
      </c>
    </row>
    <row r="879" customFormat="false" ht="15" hidden="false" customHeight="true" outlineLevel="0" collapsed="false">
      <c r="A879" s="6" t="s">
        <v>3259</v>
      </c>
      <c r="B879" s="6" t="s">
        <v>485</v>
      </c>
      <c r="C879" s="6" t="s">
        <v>3260</v>
      </c>
      <c r="D879" s="9" t="s">
        <v>959</v>
      </c>
      <c r="H879" s="9" t="s">
        <v>2844</v>
      </c>
      <c r="M879" s="6" t="n">
        <v>1809.84</v>
      </c>
      <c r="Q879" s="1" t="str">
        <f aca="false">IF(OR($A879="",P879=""),"",ROUND(YEARFRAC(P879,README!$C$5),1))</f>
        <v/>
      </c>
      <c r="S879" s="6" t="n">
        <v>2710</v>
      </c>
      <c r="T879" s="6" t="n">
        <v>2740</v>
      </c>
      <c r="U879" s="6" t="n">
        <v>2670</v>
      </c>
      <c r="V879" s="6" t="n">
        <v>-70</v>
      </c>
      <c r="W879" s="6" t="n">
        <v>0.931</v>
      </c>
      <c r="X879" s="6" t="n">
        <v>1</v>
      </c>
      <c r="Z879" s="6" t="s">
        <v>2845</v>
      </c>
      <c r="AA879" s="9" t="s">
        <v>528</v>
      </c>
      <c r="AB879" s="6" t="s">
        <v>3261</v>
      </c>
      <c r="AE879" s="37" t="n">
        <f aca="false">COUNTIF(環境認証!$A$2:$A$849,A879)</f>
        <v>1</v>
      </c>
      <c r="AF879" s="6" t="n">
        <v>-2.6</v>
      </c>
      <c r="AG879" s="6" t="n">
        <v>-1.5</v>
      </c>
    </row>
    <row r="880" customFormat="false" ht="15" hidden="false" customHeight="true" outlineLevel="0" collapsed="false">
      <c r="A880" s="6" t="s">
        <v>3262</v>
      </c>
      <c r="B880" s="6" t="s">
        <v>485</v>
      </c>
      <c r="C880" s="6" t="s">
        <v>3263</v>
      </c>
      <c r="D880" s="9" t="s">
        <v>959</v>
      </c>
      <c r="H880" s="9" t="s">
        <v>2844</v>
      </c>
      <c r="M880" s="6" t="n">
        <v>1929.61</v>
      </c>
      <c r="Q880" s="1" t="str">
        <f aca="false">IF(OR($A880="",P880=""),"",ROUND(YEARFRAC(P880,README!$C$5),1))</f>
        <v/>
      </c>
      <c r="S880" s="6" t="n">
        <v>1950</v>
      </c>
      <c r="T880" s="6" t="n">
        <v>1910</v>
      </c>
      <c r="U880" s="6" t="n">
        <v>2180</v>
      </c>
      <c r="V880" s="6" t="n">
        <v>270</v>
      </c>
      <c r="W880" s="6" t="n">
        <v>0.97</v>
      </c>
      <c r="X880" s="6" t="n">
        <v>1</v>
      </c>
      <c r="Z880" s="6" t="s">
        <v>2845</v>
      </c>
      <c r="AA880" s="9" t="s">
        <v>528</v>
      </c>
      <c r="AB880" s="6" t="s">
        <v>3264</v>
      </c>
      <c r="AE880" s="37" t="n">
        <f aca="false">COUNTIF(環境認証!$A$2:$A$849,A880)</f>
        <v>1</v>
      </c>
      <c r="AF880" s="6" t="n">
        <v>14.1</v>
      </c>
      <c r="AG880" s="6" t="n">
        <v>11.8</v>
      </c>
    </row>
    <row r="881" customFormat="false" ht="15" hidden="false" customHeight="true" outlineLevel="0" collapsed="false">
      <c r="A881" s="6" t="s">
        <v>3265</v>
      </c>
      <c r="B881" s="6" t="s">
        <v>485</v>
      </c>
      <c r="C881" s="6" t="s">
        <v>3266</v>
      </c>
      <c r="D881" s="9" t="s">
        <v>959</v>
      </c>
      <c r="H881" s="9" t="s">
        <v>2844</v>
      </c>
      <c r="M881" s="6" t="n">
        <v>2198.56</v>
      </c>
      <c r="Q881" s="1" t="str">
        <f aca="false">IF(OR($A881="",P881=""),"",ROUND(YEARFRAC(P881,README!$C$5),1))</f>
        <v/>
      </c>
      <c r="S881" s="6" t="n">
        <v>1920</v>
      </c>
      <c r="T881" s="6" t="n">
        <v>1910</v>
      </c>
      <c r="U881" s="6" t="n">
        <v>2060</v>
      </c>
      <c r="V881" s="6" t="n">
        <v>150</v>
      </c>
      <c r="W881" s="6" t="n">
        <v>0.95</v>
      </c>
      <c r="X881" s="6" t="n">
        <v>1</v>
      </c>
      <c r="Z881" s="6" t="s">
        <v>2845</v>
      </c>
      <c r="AA881" s="9" t="s">
        <v>528</v>
      </c>
      <c r="AB881" s="6" t="s">
        <v>3267</v>
      </c>
      <c r="AE881" s="37" t="n">
        <f aca="false">COUNTIF(環境認証!$A$2:$A$849,A881)</f>
        <v>1</v>
      </c>
      <c r="AF881" s="6" t="n">
        <v>7.9</v>
      </c>
      <c r="AG881" s="6" t="n">
        <v>7.3</v>
      </c>
    </row>
    <row r="882" customFormat="false" ht="15" hidden="false" customHeight="true" outlineLevel="0" collapsed="false">
      <c r="A882" s="6" t="s">
        <v>3268</v>
      </c>
      <c r="B882" s="6" t="s">
        <v>485</v>
      </c>
      <c r="C882" s="6" t="s">
        <v>3269</v>
      </c>
      <c r="D882" s="9" t="s">
        <v>959</v>
      </c>
      <c r="H882" s="9" t="s">
        <v>2844</v>
      </c>
      <c r="M882" s="6" t="n">
        <v>3499.84</v>
      </c>
      <c r="Q882" s="1" t="str">
        <f aca="false">IF(OR($A882="",P882=""),"",ROUND(YEARFRAC(P882,README!$C$5),1))</f>
        <v/>
      </c>
      <c r="S882" s="6" t="n">
        <v>1850</v>
      </c>
      <c r="T882" s="6" t="n">
        <v>1848</v>
      </c>
      <c r="U882" s="6" t="n">
        <v>1960</v>
      </c>
      <c r="V882" s="6" t="n">
        <v>112</v>
      </c>
      <c r="W882" s="6" t="n">
        <v>1</v>
      </c>
      <c r="X882" s="6" t="n">
        <v>1</v>
      </c>
      <c r="Z882" s="6" t="s">
        <v>2845</v>
      </c>
      <c r="AA882" s="9" t="s">
        <v>528</v>
      </c>
      <c r="AB882" s="6" t="s">
        <v>3270</v>
      </c>
      <c r="AE882" s="37" t="n">
        <f aca="false">COUNTIF(環境認証!$A$2:$A$849,A882)</f>
        <v>1</v>
      </c>
      <c r="AF882" s="6" t="n">
        <v>6.1</v>
      </c>
      <c r="AG882" s="6" t="n">
        <v>5.9</v>
      </c>
    </row>
    <row r="883" customFormat="false" ht="15" hidden="false" customHeight="true" outlineLevel="0" collapsed="false">
      <c r="A883" s="6" t="s">
        <v>3271</v>
      </c>
      <c r="B883" s="6" t="s">
        <v>485</v>
      </c>
      <c r="C883" s="6" t="s">
        <v>3272</v>
      </c>
      <c r="D883" s="9" t="s">
        <v>959</v>
      </c>
      <c r="H883" s="9" t="s">
        <v>2844</v>
      </c>
      <c r="M883" s="6" t="n">
        <v>1899.29</v>
      </c>
      <c r="Q883" s="1" t="str">
        <f aca="false">IF(OR($A883="",P883=""),"",ROUND(YEARFRAC(P883,README!$C$5),1))</f>
        <v/>
      </c>
      <c r="S883" s="6" t="n">
        <v>1670</v>
      </c>
      <c r="T883" s="6" t="n">
        <v>1702</v>
      </c>
      <c r="U883" s="6" t="n">
        <v>1730</v>
      </c>
      <c r="V883" s="6" t="n">
        <v>28</v>
      </c>
      <c r="W883" s="6" t="n">
        <v>0.987</v>
      </c>
      <c r="X883" s="6" t="n">
        <v>1</v>
      </c>
      <c r="Z883" s="6" t="s">
        <v>2845</v>
      </c>
      <c r="AA883" s="9" t="s">
        <v>528</v>
      </c>
      <c r="AB883" s="6" t="s">
        <v>3273</v>
      </c>
      <c r="AE883" s="37" t="n">
        <f aca="false">COUNTIF(環境認証!$A$2:$A$849,A883)</f>
        <v>1</v>
      </c>
      <c r="AF883" s="6" t="n">
        <v>1.6</v>
      </c>
      <c r="AG883" s="6" t="n">
        <v>3.6</v>
      </c>
    </row>
    <row r="884" customFormat="false" ht="15" hidden="false" customHeight="true" outlineLevel="0" collapsed="false">
      <c r="A884" s="6" t="s">
        <v>3274</v>
      </c>
      <c r="B884" s="6" t="s">
        <v>485</v>
      </c>
      <c r="C884" s="6" t="s">
        <v>3275</v>
      </c>
      <c r="D884" s="9" t="s">
        <v>959</v>
      </c>
      <c r="H884" s="9" t="s">
        <v>2844</v>
      </c>
      <c r="M884" s="6" t="n">
        <v>1254.5</v>
      </c>
      <c r="Q884" s="1" t="str">
        <f aca="false">IF(OR($A884="",P884=""),"",ROUND(YEARFRAC(P884,README!$C$5),1))</f>
        <v/>
      </c>
      <c r="S884" s="6" t="n">
        <v>1320</v>
      </c>
      <c r="T884" s="6" t="n">
        <v>1307</v>
      </c>
      <c r="U884" s="6" t="n">
        <v>1360</v>
      </c>
      <c r="V884" s="6" t="n">
        <v>53</v>
      </c>
      <c r="W884" s="6" t="n">
        <v>1</v>
      </c>
      <c r="X884" s="6" t="n">
        <v>1</v>
      </c>
      <c r="Z884" s="6" t="s">
        <v>2845</v>
      </c>
      <c r="AA884" s="9" t="s">
        <v>528</v>
      </c>
      <c r="AB884" s="6" t="s">
        <v>3276</v>
      </c>
      <c r="AE884" s="37" t="n">
        <f aca="false">COUNTIF(環境認証!$A$2:$A$849,A884)</f>
        <v>0</v>
      </c>
      <c r="AF884" s="6" t="n">
        <v>4.1</v>
      </c>
      <c r="AG884" s="6" t="n">
        <v>3</v>
      </c>
    </row>
    <row r="885" customFormat="false" ht="15" hidden="false" customHeight="true" outlineLevel="0" collapsed="false">
      <c r="A885" s="6" t="s">
        <v>3277</v>
      </c>
      <c r="B885" s="6" t="s">
        <v>485</v>
      </c>
      <c r="C885" s="6" t="s">
        <v>3278</v>
      </c>
      <c r="D885" s="9" t="s">
        <v>959</v>
      </c>
      <c r="H885" s="9" t="s">
        <v>2844</v>
      </c>
      <c r="M885" s="6" t="n">
        <v>1614.28</v>
      </c>
      <c r="Q885" s="1" t="str">
        <f aca="false">IF(OR($A885="",P885=""),"",ROUND(YEARFRAC(P885,README!$C$5),1))</f>
        <v/>
      </c>
      <c r="S885" s="6" t="n">
        <v>1520</v>
      </c>
      <c r="T885" s="6" t="n">
        <v>1560</v>
      </c>
      <c r="U885" s="6" t="n">
        <v>1590</v>
      </c>
      <c r="V885" s="6" t="n">
        <v>30</v>
      </c>
      <c r="W885" s="6" t="n">
        <v>1</v>
      </c>
      <c r="X885" s="6" t="n">
        <v>1</v>
      </c>
      <c r="Z885" s="6" t="s">
        <v>2845</v>
      </c>
      <c r="AA885" s="9" t="s">
        <v>528</v>
      </c>
      <c r="AB885" s="6" t="s">
        <v>3279</v>
      </c>
      <c r="AE885" s="37" t="n">
        <f aca="false">COUNTIF(環境認証!$A$2:$A$849,A885)</f>
        <v>1</v>
      </c>
      <c r="AF885" s="6" t="n">
        <v>1.9</v>
      </c>
      <c r="AG885" s="6" t="n">
        <v>4.6</v>
      </c>
    </row>
    <row r="886" customFormat="false" ht="15" hidden="false" customHeight="true" outlineLevel="0" collapsed="false">
      <c r="A886" s="6" t="s">
        <v>3280</v>
      </c>
      <c r="B886" s="6" t="s">
        <v>485</v>
      </c>
      <c r="C886" s="6" t="s">
        <v>3281</v>
      </c>
      <c r="D886" s="9" t="s">
        <v>959</v>
      </c>
      <c r="H886" s="9" t="s">
        <v>2844</v>
      </c>
      <c r="M886" s="6" t="n">
        <v>1180.71</v>
      </c>
      <c r="Q886" s="1" t="str">
        <f aca="false">IF(OR($A886="",P886=""),"",ROUND(YEARFRAC(P886,README!$C$5),1))</f>
        <v/>
      </c>
      <c r="S886" s="6" t="n">
        <v>2440</v>
      </c>
      <c r="T886" s="6" t="n">
        <v>2420</v>
      </c>
      <c r="U886" s="6" t="n">
        <v>2580</v>
      </c>
      <c r="V886" s="6" t="n">
        <v>160</v>
      </c>
      <c r="W886" s="6" t="n">
        <v>0.895</v>
      </c>
      <c r="X886" s="6" t="n">
        <v>1</v>
      </c>
      <c r="Z886" s="6" t="s">
        <v>2845</v>
      </c>
      <c r="AA886" s="9" t="s">
        <v>528</v>
      </c>
      <c r="AB886" s="6" t="s">
        <v>3282</v>
      </c>
      <c r="AE886" s="37" t="n">
        <f aca="false">COUNTIF(環境認証!$A$2:$A$849,A886)</f>
        <v>0</v>
      </c>
      <c r="AF886" s="6" t="n">
        <v>6.6</v>
      </c>
      <c r="AG886" s="6" t="n">
        <v>5.7</v>
      </c>
    </row>
    <row r="887" customFormat="false" ht="15" hidden="false" customHeight="true" outlineLevel="0" collapsed="false">
      <c r="A887" s="6" t="s">
        <v>3283</v>
      </c>
      <c r="B887" s="6" t="s">
        <v>485</v>
      </c>
      <c r="C887" s="6" t="s">
        <v>3284</v>
      </c>
      <c r="D887" s="9" t="s">
        <v>959</v>
      </c>
      <c r="H887" s="9" t="s">
        <v>2844</v>
      </c>
      <c r="M887" s="6" t="n">
        <v>1031.09</v>
      </c>
      <c r="Q887" s="1" t="str">
        <f aca="false">IF(OR($A887="",P887=""),"",ROUND(YEARFRAC(P887,README!$C$5),1))</f>
        <v/>
      </c>
      <c r="S887" s="6" t="n">
        <v>1340</v>
      </c>
      <c r="T887" s="6" t="n">
        <v>1333</v>
      </c>
      <c r="U887" s="6" t="n">
        <v>1460</v>
      </c>
      <c r="V887" s="6" t="n">
        <v>127</v>
      </c>
      <c r="W887" s="6" t="n">
        <v>0.949</v>
      </c>
      <c r="X887" s="6" t="n">
        <v>1</v>
      </c>
      <c r="Z887" s="6" t="s">
        <v>2845</v>
      </c>
      <c r="AA887" s="9" t="s">
        <v>528</v>
      </c>
      <c r="AB887" s="6" t="s">
        <v>3285</v>
      </c>
      <c r="AE887" s="37" t="n">
        <f aca="false">COUNTIF(環境認証!$A$2:$A$849,A887)</f>
        <v>0</v>
      </c>
      <c r="AF887" s="6" t="n">
        <v>9.5</v>
      </c>
      <c r="AG887" s="6" t="n">
        <v>9</v>
      </c>
    </row>
    <row r="888" customFormat="false" ht="15" hidden="false" customHeight="true" outlineLevel="0" collapsed="false">
      <c r="A888" s="6" t="s">
        <v>3286</v>
      </c>
      <c r="B888" s="6" t="s">
        <v>485</v>
      </c>
      <c r="C888" s="6" t="s">
        <v>3287</v>
      </c>
      <c r="D888" s="9" t="s">
        <v>959</v>
      </c>
      <c r="H888" s="9" t="s">
        <v>2844</v>
      </c>
      <c r="M888" s="6" t="n">
        <v>2659.66</v>
      </c>
      <c r="Q888" s="1" t="str">
        <f aca="false">IF(OR($A888="",P888=""),"",ROUND(YEARFRAC(P888,README!$C$5),1))</f>
        <v/>
      </c>
      <c r="S888" s="6" t="n">
        <v>5520</v>
      </c>
      <c r="T888" s="6" t="n">
        <v>5458</v>
      </c>
      <c r="U888" s="6" t="n">
        <v>5610</v>
      </c>
      <c r="V888" s="6" t="n">
        <v>152</v>
      </c>
      <c r="W888" s="6" t="n">
        <v>0.899</v>
      </c>
      <c r="X888" s="6" t="n">
        <v>1</v>
      </c>
      <c r="Z888" s="6" t="s">
        <v>2845</v>
      </c>
      <c r="AA888" s="9" t="s">
        <v>528</v>
      </c>
      <c r="AB888" s="6" t="s">
        <v>3288</v>
      </c>
      <c r="AE888" s="37" t="n">
        <f aca="false">COUNTIF(環境認証!$A$2:$A$849,A888)</f>
        <v>2</v>
      </c>
      <c r="AF888" s="6" t="n">
        <v>2.8</v>
      </c>
      <c r="AG888" s="6" t="n">
        <v>1.6</v>
      </c>
    </row>
    <row r="889" customFormat="false" ht="15" hidden="false" customHeight="true" outlineLevel="0" collapsed="false">
      <c r="A889" s="6" t="s">
        <v>3289</v>
      </c>
      <c r="B889" s="6" t="s">
        <v>485</v>
      </c>
      <c r="C889" s="6" t="s">
        <v>3290</v>
      </c>
      <c r="D889" s="9" t="s">
        <v>959</v>
      </c>
      <c r="H889" s="9" t="s">
        <v>2844</v>
      </c>
      <c r="M889" s="6" t="n">
        <v>1357.88</v>
      </c>
      <c r="Q889" s="1" t="str">
        <f aca="false">IF(OR($A889="",P889=""),"",ROUND(YEARFRAC(P889,README!$C$5),1))</f>
        <v/>
      </c>
      <c r="S889" s="6" t="n">
        <v>2030</v>
      </c>
      <c r="T889" s="6" t="n">
        <v>2019</v>
      </c>
      <c r="U889" s="6" t="n">
        <v>2150</v>
      </c>
      <c r="V889" s="6" t="n">
        <v>131</v>
      </c>
      <c r="W889" s="6" t="n">
        <v>1</v>
      </c>
      <c r="X889" s="6" t="n">
        <v>1</v>
      </c>
      <c r="Z889" s="6" t="s">
        <v>2845</v>
      </c>
      <c r="AA889" s="9" t="s">
        <v>528</v>
      </c>
      <c r="AB889" s="6" t="s">
        <v>3291</v>
      </c>
      <c r="AE889" s="37" t="n">
        <f aca="false">COUNTIF(環境認証!$A$2:$A$849,A889)</f>
        <v>1</v>
      </c>
      <c r="AF889" s="6" t="n">
        <v>6.5</v>
      </c>
      <c r="AG889" s="6" t="n">
        <v>5.9</v>
      </c>
    </row>
    <row r="890" customFormat="false" ht="15" hidden="false" customHeight="true" outlineLevel="0" collapsed="false">
      <c r="A890" s="6" t="s">
        <v>3292</v>
      </c>
      <c r="B890" s="6" t="s">
        <v>485</v>
      </c>
      <c r="C890" s="6" t="s">
        <v>3293</v>
      </c>
      <c r="D890" s="9" t="s">
        <v>959</v>
      </c>
      <c r="H890" s="9" t="s">
        <v>2844</v>
      </c>
      <c r="M890" s="6" t="n">
        <v>878.5</v>
      </c>
      <c r="Q890" s="1" t="str">
        <f aca="false">IF(OR($A890="",P890=""),"",ROUND(YEARFRAC(P890,README!$C$5),1))</f>
        <v/>
      </c>
      <c r="S890" s="6" t="n">
        <v>1330</v>
      </c>
      <c r="T890" s="6" t="n">
        <v>1323</v>
      </c>
      <c r="U890" s="6" t="n">
        <v>1410</v>
      </c>
      <c r="V890" s="6" t="n">
        <v>87</v>
      </c>
      <c r="W890" s="6" t="n">
        <v>0.939</v>
      </c>
      <c r="X890" s="6" t="n">
        <v>1</v>
      </c>
      <c r="Z890" s="6" t="s">
        <v>2845</v>
      </c>
      <c r="AA890" s="9" t="s">
        <v>528</v>
      </c>
      <c r="AB890" s="6" t="s">
        <v>3294</v>
      </c>
      <c r="AE890" s="37" t="n">
        <f aca="false">COUNTIF(環境認証!$A$2:$A$849,A890)</f>
        <v>0</v>
      </c>
      <c r="AF890" s="6" t="n">
        <v>6.6</v>
      </c>
      <c r="AG890" s="6" t="n">
        <v>6</v>
      </c>
    </row>
    <row r="891" customFormat="false" ht="15" hidden="false" customHeight="true" outlineLevel="0" collapsed="false">
      <c r="A891" s="6" t="s">
        <v>3295</v>
      </c>
      <c r="B891" s="6" t="s">
        <v>485</v>
      </c>
      <c r="C891" s="6" t="s">
        <v>3296</v>
      </c>
      <c r="D891" s="9" t="s">
        <v>959</v>
      </c>
      <c r="H891" s="9" t="s">
        <v>2844</v>
      </c>
      <c r="M891" s="6" t="n">
        <v>939.89</v>
      </c>
      <c r="Q891" s="1" t="str">
        <f aca="false">IF(OR($A891="",P891=""),"",ROUND(YEARFRAC(P891,README!$C$5),1))</f>
        <v/>
      </c>
      <c r="S891" s="6" t="n">
        <v>1090</v>
      </c>
      <c r="T891" s="6" t="n">
        <v>1076</v>
      </c>
      <c r="U891" s="6" t="n">
        <v>1120</v>
      </c>
      <c r="V891" s="6" t="n">
        <v>44</v>
      </c>
      <c r="W891" s="6" t="n">
        <v>0.975</v>
      </c>
      <c r="X891" s="6" t="n">
        <v>1</v>
      </c>
      <c r="Z891" s="6" t="s">
        <v>2845</v>
      </c>
      <c r="AA891" s="9" t="s">
        <v>528</v>
      </c>
      <c r="AB891" s="6" t="s">
        <v>3297</v>
      </c>
      <c r="AE891" s="37" t="n">
        <f aca="false">COUNTIF(環境認証!$A$2:$A$849,A891)</f>
        <v>0</v>
      </c>
      <c r="AF891" s="6" t="n">
        <v>4.1</v>
      </c>
      <c r="AG891" s="6" t="n">
        <v>2.8</v>
      </c>
    </row>
    <row r="892" customFormat="false" ht="15" hidden="false" customHeight="true" outlineLevel="0" collapsed="false">
      <c r="A892" s="6" t="s">
        <v>3298</v>
      </c>
      <c r="B892" s="6" t="s">
        <v>485</v>
      </c>
      <c r="C892" s="6" t="s">
        <v>3299</v>
      </c>
      <c r="D892" s="9" t="s">
        <v>959</v>
      </c>
      <c r="H892" s="9" t="s">
        <v>2844</v>
      </c>
      <c r="M892" s="6" t="n">
        <v>808.54</v>
      </c>
      <c r="Q892" s="1" t="str">
        <f aca="false">IF(OR($A892="",P892=""),"",ROUND(YEARFRAC(P892,README!$C$5),1))</f>
        <v/>
      </c>
      <c r="S892" s="6" t="n">
        <v>967</v>
      </c>
      <c r="T892" s="6" t="n">
        <v>946</v>
      </c>
      <c r="U892" s="6" t="n">
        <v>1040</v>
      </c>
      <c r="V892" s="6" t="n">
        <v>94</v>
      </c>
      <c r="W892" s="6" t="n">
        <v>0.928</v>
      </c>
      <c r="X892" s="6" t="n">
        <v>1</v>
      </c>
      <c r="Z892" s="6" t="s">
        <v>2845</v>
      </c>
      <c r="AA892" s="9" t="s">
        <v>528</v>
      </c>
      <c r="AB892" s="6" t="s">
        <v>3300</v>
      </c>
      <c r="AE892" s="37" t="n">
        <f aca="false">COUNTIF(環境認証!$A$2:$A$849,A892)</f>
        <v>0</v>
      </c>
      <c r="AF892" s="6" t="n">
        <v>9.9</v>
      </c>
      <c r="AG892" s="6" t="n">
        <v>7.5</v>
      </c>
    </row>
    <row r="893" customFormat="false" ht="15" hidden="false" customHeight="true" outlineLevel="0" collapsed="false">
      <c r="A893" s="6" t="s">
        <v>3301</v>
      </c>
      <c r="B893" s="6" t="s">
        <v>485</v>
      </c>
      <c r="C893" s="6" t="s">
        <v>3302</v>
      </c>
      <c r="D893" s="9" t="s">
        <v>959</v>
      </c>
      <c r="H893" s="9" t="s">
        <v>2844</v>
      </c>
      <c r="M893" s="6" t="n">
        <v>1032.18</v>
      </c>
      <c r="Q893" s="1" t="str">
        <f aca="false">IF(OR($A893="",P893=""),"",ROUND(YEARFRAC(P893,README!$C$5),1))</f>
        <v/>
      </c>
      <c r="S893" s="6" t="n">
        <v>938</v>
      </c>
      <c r="T893" s="6" t="n">
        <v>945</v>
      </c>
      <c r="U893" s="6" t="n">
        <v>952</v>
      </c>
      <c r="V893" s="6" t="n">
        <v>7</v>
      </c>
      <c r="W893" s="6" t="n">
        <v>0.977</v>
      </c>
      <c r="X893" s="6" t="n">
        <v>1</v>
      </c>
      <c r="Z893" s="6" t="s">
        <v>2845</v>
      </c>
      <c r="AA893" s="9" t="s">
        <v>528</v>
      </c>
      <c r="AB893" s="6" t="s">
        <v>3303</v>
      </c>
      <c r="AE893" s="37" t="n">
        <f aca="false">COUNTIF(環境認証!$A$2:$A$849,A893)</f>
        <v>0</v>
      </c>
      <c r="AF893" s="6" t="n">
        <v>0.7</v>
      </c>
      <c r="AG893" s="6" t="n">
        <v>1.5</v>
      </c>
    </row>
    <row r="894" customFormat="false" ht="15" hidden="false" customHeight="true" outlineLevel="0" collapsed="false">
      <c r="A894" s="6" t="s">
        <v>3304</v>
      </c>
      <c r="B894" s="6" t="s">
        <v>485</v>
      </c>
      <c r="C894" s="6" t="s">
        <v>3305</v>
      </c>
      <c r="D894" s="9" t="s">
        <v>959</v>
      </c>
      <c r="H894" s="9" t="s">
        <v>2844</v>
      </c>
      <c r="M894" s="6" t="n">
        <v>1297.27</v>
      </c>
      <c r="Q894" s="1" t="str">
        <f aca="false">IF(OR($A894="",P894=""),"",ROUND(YEARFRAC(P894,README!$C$5),1))</f>
        <v/>
      </c>
      <c r="S894" s="6" t="n">
        <v>1440</v>
      </c>
      <c r="T894" s="6" t="n">
        <v>1414</v>
      </c>
      <c r="U894" s="6" t="n">
        <v>1540</v>
      </c>
      <c r="V894" s="6" t="n">
        <v>126</v>
      </c>
      <c r="W894" s="6" t="n">
        <v>0.942</v>
      </c>
      <c r="X894" s="6" t="n">
        <v>1</v>
      </c>
      <c r="Z894" s="6" t="s">
        <v>2845</v>
      </c>
      <c r="AA894" s="9" t="s">
        <v>528</v>
      </c>
      <c r="AB894" s="6" t="s">
        <v>3306</v>
      </c>
      <c r="AE894" s="37" t="n">
        <f aca="false">COUNTIF(環境認証!$A$2:$A$849,A894)</f>
        <v>0</v>
      </c>
      <c r="AF894" s="6" t="n">
        <v>8.9</v>
      </c>
      <c r="AG894" s="6" t="n">
        <v>6.9</v>
      </c>
    </row>
    <row r="895" customFormat="false" ht="15" hidden="false" customHeight="true" outlineLevel="0" collapsed="false">
      <c r="A895" s="6" t="s">
        <v>3307</v>
      </c>
      <c r="B895" s="6" t="s">
        <v>485</v>
      </c>
      <c r="C895" s="6" t="s">
        <v>3308</v>
      </c>
      <c r="D895" s="9" t="s">
        <v>959</v>
      </c>
      <c r="H895" s="9" t="s">
        <v>2844</v>
      </c>
      <c r="M895" s="6" t="n">
        <v>1190.53</v>
      </c>
      <c r="Q895" s="1" t="str">
        <f aca="false">IF(OR($A895="",P895=""),"",ROUND(YEARFRAC(P895,README!$C$5),1))</f>
        <v/>
      </c>
      <c r="S895" s="6" t="n">
        <v>1440</v>
      </c>
      <c r="T895" s="6" t="n">
        <v>1410</v>
      </c>
      <c r="U895" s="6" t="n">
        <v>1500</v>
      </c>
      <c r="V895" s="6" t="n">
        <v>90</v>
      </c>
      <c r="W895" s="6" t="n">
        <v>1</v>
      </c>
      <c r="X895" s="6" t="n">
        <v>1</v>
      </c>
      <c r="Z895" s="6" t="s">
        <v>2845</v>
      </c>
      <c r="AA895" s="9" t="s">
        <v>528</v>
      </c>
      <c r="AB895" s="6" t="s">
        <v>3309</v>
      </c>
      <c r="AE895" s="37" t="n">
        <f aca="false">COUNTIF(環境認証!$A$2:$A$849,A895)</f>
        <v>0</v>
      </c>
      <c r="AF895" s="6" t="n">
        <v>6.4</v>
      </c>
      <c r="AG895" s="6" t="n">
        <v>4.2</v>
      </c>
    </row>
    <row r="896" customFormat="false" ht="15" hidden="false" customHeight="true" outlineLevel="0" collapsed="false">
      <c r="A896" s="6" t="s">
        <v>3310</v>
      </c>
      <c r="B896" s="6" t="s">
        <v>485</v>
      </c>
      <c r="C896" s="6" t="s">
        <v>3311</v>
      </c>
      <c r="D896" s="9" t="s">
        <v>959</v>
      </c>
      <c r="H896" s="9" t="s">
        <v>2844</v>
      </c>
      <c r="M896" s="6" t="n">
        <v>1227.16</v>
      </c>
      <c r="Q896" s="1" t="str">
        <f aca="false">IF(OR($A896="",P896=""),"",ROUND(YEARFRAC(P896,README!$C$5),1))</f>
        <v/>
      </c>
      <c r="S896" s="6" t="n">
        <v>1340</v>
      </c>
      <c r="T896" s="6" t="n">
        <v>1315</v>
      </c>
      <c r="U896" s="6" t="n">
        <v>1440</v>
      </c>
      <c r="V896" s="6" t="n">
        <v>125</v>
      </c>
      <c r="W896" s="6" t="n">
        <v>0.979</v>
      </c>
      <c r="X896" s="6" t="n">
        <v>1</v>
      </c>
      <c r="Z896" s="6" t="s">
        <v>2845</v>
      </c>
      <c r="AA896" s="9" t="s">
        <v>528</v>
      </c>
      <c r="AB896" s="6" t="s">
        <v>3312</v>
      </c>
      <c r="AE896" s="37" t="n">
        <f aca="false">COUNTIF(環境認証!$A$2:$A$849,A896)</f>
        <v>0</v>
      </c>
      <c r="AF896" s="6" t="n">
        <v>9.5</v>
      </c>
      <c r="AG896" s="6" t="n">
        <v>7.5</v>
      </c>
    </row>
    <row r="897" customFormat="false" ht="15" hidden="false" customHeight="true" outlineLevel="0" collapsed="false">
      <c r="A897" s="6" t="s">
        <v>3313</v>
      </c>
      <c r="B897" s="6" t="s">
        <v>485</v>
      </c>
      <c r="C897" s="6" t="s">
        <v>3314</v>
      </c>
      <c r="D897" s="9" t="s">
        <v>959</v>
      </c>
      <c r="H897" s="9" t="s">
        <v>2844</v>
      </c>
      <c r="M897" s="6" t="n">
        <v>872</v>
      </c>
      <c r="Q897" s="1" t="str">
        <f aca="false">IF(OR($A897="",P897=""),"",ROUND(YEARFRAC(P897,README!$C$5),1))</f>
        <v/>
      </c>
      <c r="S897" s="6" t="n">
        <v>1220</v>
      </c>
      <c r="T897" s="6" t="n">
        <v>1197</v>
      </c>
      <c r="U897" s="6" t="n">
        <v>1250</v>
      </c>
      <c r="V897" s="6" t="n">
        <v>53</v>
      </c>
      <c r="W897" s="6" t="n">
        <v>1</v>
      </c>
      <c r="X897" s="6" t="n">
        <v>1</v>
      </c>
      <c r="Z897" s="6" t="s">
        <v>2845</v>
      </c>
      <c r="AA897" s="9" t="s">
        <v>528</v>
      </c>
      <c r="AB897" s="6" t="s">
        <v>3315</v>
      </c>
      <c r="AE897" s="37" t="n">
        <f aca="false">COUNTIF(環境認証!$A$2:$A$849,A897)</f>
        <v>0</v>
      </c>
      <c r="AF897" s="6" t="n">
        <v>4.4</v>
      </c>
      <c r="AG897" s="6" t="n">
        <v>2.5</v>
      </c>
    </row>
    <row r="898" customFormat="false" ht="15" hidden="false" customHeight="true" outlineLevel="0" collapsed="false">
      <c r="A898" s="6" t="s">
        <v>3316</v>
      </c>
      <c r="B898" s="6" t="s">
        <v>485</v>
      </c>
      <c r="C898" s="6" t="s">
        <v>3317</v>
      </c>
      <c r="D898" s="9" t="s">
        <v>959</v>
      </c>
      <c r="H898" s="9" t="s">
        <v>2844</v>
      </c>
      <c r="M898" s="6" t="n">
        <v>6811.38</v>
      </c>
      <c r="Q898" s="1" t="str">
        <f aca="false">IF(OR($A898="",P898=""),"",ROUND(YEARFRAC(P898,README!$C$5),1))</f>
        <v/>
      </c>
      <c r="S898" s="6" t="n">
        <v>8070</v>
      </c>
      <c r="T898" s="6" t="n">
        <v>7958</v>
      </c>
      <c r="U898" s="6" t="n">
        <v>8580</v>
      </c>
      <c r="V898" s="6" t="n">
        <v>622</v>
      </c>
      <c r="W898" s="6" t="n">
        <v>1</v>
      </c>
      <c r="X898" s="6" t="n">
        <v>1</v>
      </c>
      <c r="Z898" s="6" t="s">
        <v>2845</v>
      </c>
      <c r="AA898" s="9" t="s">
        <v>528</v>
      </c>
      <c r="AB898" s="6" t="s">
        <v>3318</v>
      </c>
      <c r="AE898" s="37" t="n">
        <f aca="false">COUNTIF(環境認証!$A$2:$A$849,A898)</f>
        <v>2</v>
      </c>
      <c r="AF898" s="6" t="n">
        <v>7.8</v>
      </c>
      <c r="AG898" s="6" t="n">
        <v>6.3</v>
      </c>
    </row>
    <row r="899" customFormat="false" ht="15" hidden="false" customHeight="true" outlineLevel="0" collapsed="false">
      <c r="A899" s="6" t="s">
        <v>3319</v>
      </c>
      <c r="B899" s="6" t="s">
        <v>485</v>
      </c>
      <c r="C899" s="6" t="s">
        <v>3320</v>
      </c>
      <c r="D899" s="9" t="s">
        <v>959</v>
      </c>
      <c r="H899" s="9" t="s">
        <v>2844</v>
      </c>
      <c r="M899" s="6" t="n">
        <v>6131.93</v>
      </c>
      <c r="Q899" s="1" t="str">
        <f aca="false">IF(OR($A899="",P899=""),"",ROUND(YEARFRAC(P899,README!$C$5),1))</f>
        <v/>
      </c>
      <c r="S899" s="6" t="n">
        <v>3040</v>
      </c>
      <c r="T899" s="6" t="n">
        <v>3036</v>
      </c>
      <c r="U899" s="6" t="n">
        <v>3100</v>
      </c>
      <c r="V899" s="6" t="n">
        <v>64</v>
      </c>
      <c r="W899" s="6" t="n">
        <v>0.959</v>
      </c>
      <c r="X899" s="6" t="n">
        <v>1</v>
      </c>
      <c r="Z899" s="6" t="s">
        <v>2845</v>
      </c>
      <c r="AA899" s="9" t="s">
        <v>528</v>
      </c>
      <c r="AB899" s="6" t="s">
        <v>3321</v>
      </c>
      <c r="AE899" s="37" t="n">
        <f aca="false">COUNTIF(環境認証!$A$2:$A$849,A899)</f>
        <v>1</v>
      </c>
      <c r="AF899" s="6" t="n">
        <v>2.1</v>
      </c>
      <c r="AG899" s="6" t="n">
        <v>2</v>
      </c>
    </row>
    <row r="900" customFormat="false" ht="15" hidden="false" customHeight="true" outlineLevel="0" collapsed="false">
      <c r="A900" s="6" t="s">
        <v>3322</v>
      </c>
      <c r="B900" s="6" t="s">
        <v>485</v>
      </c>
      <c r="C900" s="6" t="s">
        <v>3323</v>
      </c>
      <c r="D900" s="9" t="s">
        <v>959</v>
      </c>
      <c r="H900" s="9" t="s">
        <v>2844</v>
      </c>
      <c r="M900" s="6" t="n">
        <v>1996.08</v>
      </c>
      <c r="Q900" s="1" t="str">
        <f aca="false">IF(OR($A900="",P900=""),"",ROUND(YEARFRAC(P900,README!$C$5),1))</f>
        <v/>
      </c>
      <c r="S900" s="6" t="n">
        <v>2570</v>
      </c>
      <c r="T900" s="6" t="n">
        <v>2558</v>
      </c>
      <c r="U900" s="6" t="n">
        <v>2570</v>
      </c>
      <c r="V900" s="6" t="n">
        <v>12</v>
      </c>
      <c r="W900" s="6" t="n">
        <v>0.978</v>
      </c>
      <c r="X900" s="6" t="n">
        <v>1</v>
      </c>
      <c r="Z900" s="6" t="s">
        <v>2845</v>
      </c>
      <c r="AA900" s="9" t="s">
        <v>528</v>
      </c>
      <c r="AB900" s="6" t="s">
        <v>3324</v>
      </c>
      <c r="AE900" s="37" t="n">
        <f aca="false">COUNTIF(環境認証!$A$2:$A$849,A900)</f>
        <v>1</v>
      </c>
      <c r="AF900" s="6" t="n">
        <v>0.5</v>
      </c>
      <c r="AG900" s="6" t="n">
        <v>0</v>
      </c>
    </row>
    <row r="901" customFormat="false" ht="15" hidden="false" customHeight="true" outlineLevel="0" collapsed="false">
      <c r="A901" s="6" t="s">
        <v>3325</v>
      </c>
      <c r="B901" s="6" t="s">
        <v>485</v>
      </c>
      <c r="C901" s="6" t="s">
        <v>3326</v>
      </c>
      <c r="D901" s="9" t="s">
        <v>959</v>
      </c>
      <c r="H901" s="9" t="s">
        <v>2844</v>
      </c>
      <c r="M901" s="6" t="n">
        <v>1971.07</v>
      </c>
      <c r="Q901" s="1" t="str">
        <f aca="false">IF(OR($A901="",P901=""),"",ROUND(YEARFRAC(P901,README!$C$5),1))</f>
        <v/>
      </c>
      <c r="S901" s="6" t="n">
        <v>1670</v>
      </c>
      <c r="T901" s="6" t="n">
        <v>1661</v>
      </c>
      <c r="U901" s="6" t="n">
        <v>1820</v>
      </c>
      <c r="V901" s="6" t="n">
        <v>159</v>
      </c>
      <c r="W901" s="6" t="n">
        <v>0.974</v>
      </c>
      <c r="X901" s="6" t="n">
        <v>1</v>
      </c>
      <c r="Z901" s="6" t="s">
        <v>2845</v>
      </c>
      <c r="AA901" s="9" t="s">
        <v>528</v>
      </c>
      <c r="AB901" s="6" t="s">
        <v>3327</v>
      </c>
      <c r="AE901" s="37" t="n">
        <f aca="false">COUNTIF(環境認証!$A$2:$A$849,A901)</f>
        <v>1</v>
      </c>
      <c r="AF901" s="6" t="n">
        <v>9.6</v>
      </c>
      <c r="AG901" s="6" t="n">
        <v>9</v>
      </c>
    </row>
    <row r="902" customFormat="false" ht="15" hidden="false" customHeight="true" outlineLevel="0" collapsed="false">
      <c r="A902" s="6" t="s">
        <v>3328</v>
      </c>
      <c r="B902" s="6" t="s">
        <v>485</v>
      </c>
      <c r="C902" s="6" t="s">
        <v>3329</v>
      </c>
      <c r="D902" s="9" t="s">
        <v>959</v>
      </c>
      <c r="H902" s="9" t="s">
        <v>2844</v>
      </c>
      <c r="M902" s="6" t="n">
        <v>1224.87</v>
      </c>
      <c r="Q902" s="1" t="str">
        <f aca="false">IF(OR($A902="",P902=""),"",ROUND(YEARFRAC(P902,README!$C$5),1))</f>
        <v/>
      </c>
      <c r="S902" s="6" t="n">
        <v>1460</v>
      </c>
      <c r="T902" s="6" t="n">
        <v>1446</v>
      </c>
      <c r="U902" s="6" t="n">
        <v>1470</v>
      </c>
      <c r="V902" s="6" t="n">
        <v>24</v>
      </c>
      <c r="W902" s="6" t="n">
        <v>1</v>
      </c>
      <c r="X902" s="6" t="n">
        <v>1</v>
      </c>
      <c r="Z902" s="6" t="s">
        <v>2845</v>
      </c>
      <c r="AA902" s="9" t="s">
        <v>528</v>
      </c>
      <c r="AB902" s="6" t="s">
        <v>3330</v>
      </c>
      <c r="AE902" s="37" t="n">
        <f aca="false">COUNTIF(環境認証!$A$2:$A$849,A902)</f>
        <v>0</v>
      </c>
      <c r="AF902" s="6" t="n">
        <v>1.7</v>
      </c>
      <c r="AG902" s="6" t="n">
        <v>0.7</v>
      </c>
    </row>
    <row r="903" customFormat="false" ht="15" hidden="false" customHeight="true" outlineLevel="0" collapsed="false">
      <c r="A903" s="6" t="s">
        <v>3331</v>
      </c>
      <c r="B903" s="6" t="s">
        <v>485</v>
      </c>
      <c r="C903" s="6" t="s">
        <v>3332</v>
      </c>
      <c r="D903" s="9" t="s">
        <v>959</v>
      </c>
      <c r="H903" s="9" t="s">
        <v>2844</v>
      </c>
      <c r="M903" s="6" t="n">
        <v>1013.4</v>
      </c>
      <c r="Q903" s="1" t="str">
        <f aca="false">IF(OR($A903="",P903=""),"",ROUND(YEARFRAC(P903,README!$C$5),1))</f>
        <v/>
      </c>
      <c r="S903" s="6" t="n">
        <v>857</v>
      </c>
      <c r="T903" s="6" t="n">
        <v>892</v>
      </c>
      <c r="U903" s="6" t="n">
        <v>829</v>
      </c>
      <c r="V903" s="6" t="n">
        <v>-63</v>
      </c>
      <c r="W903" s="6" t="n">
        <v>1</v>
      </c>
      <c r="X903" s="6" t="n">
        <v>1</v>
      </c>
      <c r="Z903" s="6" t="s">
        <v>2845</v>
      </c>
      <c r="AA903" s="9" t="s">
        <v>528</v>
      </c>
      <c r="AB903" s="6" t="s">
        <v>3333</v>
      </c>
      <c r="AE903" s="37" t="n">
        <f aca="false">COUNTIF(環境認証!$A$2:$A$849,A903)</f>
        <v>0</v>
      </c>
      <c r="AF903" s="6" t="n">
        <v>-7.1</v>
      </c>
      <c r="AG903" s="6" t="n">
        <v>-3.3</v>
      </c>
    </row>
    <row r="904" customFormat="false" ht="15" hidden="false" customHeight="true" outlineLevel="0" collapsed="false">
      <c r="A904" s="6" t="s">
        <v>3334</v>
      </c>
      <c r="B904" s="6" t="s">
        <v>485</v>
      </c>
      <c r="C904" s="6" t="s">
        <v>3335</v>
      </c>
      <c r="D904" s="9" t="s">
        <v>959</v>
      </c>
      <c r="H904" s="9" t="s">
        <v>2844</v>
      </c>
      <c r="M904" s="6" t="n">
        <v>1277.78</v>
      </c>
      <c r="Q904" s="1" t="str">
        <f aca="false">IF(OR($A904="",P904=""),"",ROUND(YEARFRAC(P904,README!$C$5),1))</f>
        <v/>
      </c>
      <c r="S904" s="6" t="n">
        <v>1190</v>
      </c>
      <c r="T904" s="6" t="n">
        <v>1179</v>
      </c>
      <c r="U904" s="6" t="n">
        <v>1200</v>
      </c>
      <c r="V904" s="6" t="n">
        <v>21</v>
      </c>
      <c r="W904" s="6" t="n">
        <v>1</v>
      </c>
      <c r="X904" s="6" t="n">
        <v>1</v>
      </c>
      <c r="Z904" s="6" t="s">
        <v>2845</v>
      </c>
      <c r="AA904" s="9" t="s">
        <v>528</v>
      </c>
      <c r="AB904" s="6" t="s">
        <v>3336</v>
      </c>
      <c r="AE904" s="37" t="n">
        <f aca="false">COUNTIF(環境認証!$A$2:$A$849,A904)</f>
        <v>0</v>
      </c>
      <c r="AF904" s="6" t="n">
        <v>1.8</v>
      </c>
      <c r="AG904" s="6" t="n">
        <v>0.8</v>
      </c>
    </row>
    <row r="905" customFormat="false" ht="15" hidden="false" customHeight="true" outlineLevel="0" collapsed="false">
      <c r="A905" s="6" t="s">
        <v>3337</v>
      </c>
      <c r="B905" s="6" t="s">
        <v>485</v>
      </c>
      <c r="C905" s="6" t="s">
        <v>3338</v>
      </c>
      <c r="D905" s="9" t="s">
        <v>959</v>
      </c>
      <c r="H905" s="9" t="s">
        <v>2844</v>
      </c>
      <c r="M905" s="6" t="n">
        <v>957.67</v>
      </c>
      <c r="Q905" s="1" t="str">
        <f aca="false">IF(OR($A905="",P905=""),"",ROUND(YEARFRAC(P905,README!$C$5),1))</f>
        <v/>
      </c>
      <c r="S905" s="6" t="n">
        <v>1110</v>
      </c>
      <c r="T905" s="6" t="n">
        <v>1098</v>
      </c>
      <c r="U905" s="6" t="n">
        <v>1090</v>
      </c>
      <c r="V905" s="6" t="n">
        <v>-8</v>
      </c>
      <c r="W905" s="6" t="n">
        <v>0.97</v>
      </c>
      <c r="X905" s="6" t="n">
        <v>1</v>
      </c>
      <c r="Z905" s="6" t="s">
        <v>2845</v>
      </c>
      <c r="AA905" s="9" t="s">
        <v>528</v>
      </c>
      <c r="AB905" s="6" t="s">
        <v>3339</v>
      </c>
      <c r="AE905" s="37" t="n">
        <f aca="false">COUNTIF(環境認証!$A$2:$A$849,A905)</f>
        <v>0</v>
      </c>
      <c r="AF905" s="6" t="n">
        <v>-0.7</v>
      </c>
      <c r="AG905" s="6" t="n">
        <v>-1.8</v>
      </c>
    </row>
    <row r="906" customFormat="false" ht="15" hidden="false" customHeight="true" outlineLevel="0" collapsed="false">
      <c r="A906" s="6" t="s">
        <v>3340</v>
      </c>
      <c r="B906" s="6" t="s">
        <v>485</v>
      </c>
      <c r="C906" s="6" t="s">
        <v>3341</v>
      </c>
      <c r="D906" s="9" t="s">
        <v>959</v>
      </c>
      <c r="H906" s="9" t="s">
        <v>2844</v>
      </c>
      <c r="M906" s="6" t="n">
        <v>2659.5</v>
      </c>
      <c r="Q906" s="1" t="str">
        <f aca="false">IF(OR($A906="",P906=""),"",ROUND(YEARFRAC(P906,README!$C$5),1))</f>
        <v/>
      </c>
      <c r="S906" s="6" t="n">
        <v>2920</v>
      </c>
      <c r="T906" s="6" t="n">
        <v>2907</v>
      </c>
      <c r="U906" s="6" t="n">
        <v>2930</v>
      </c>
      <c r="V906" s="6" t="n">
        <v>23</v>
      </c>
      <c r="W906" s="6" t="n">
        <v>1</v>
      </c>
      <c r="X906" s="6" t="n">
        <v>1</v>
      </c>
      <c r="Z906" s="6" t="s">
        <v>2845</v>
      </c>
      <c r="AA906" s="9" t="s">
        <v>528</v>
      </c>
      <c r="AB906" s="6" t="s">
        <v>3342</v>
      </c>
      <c r="AE906" s="37" t="n">
        <f aca="false">COUNTIF(環境認証!$A$2:$A$849,A906)</f>
        <v>1</v>
      </c>
      <c r="AF906" s="6" t="n">
        <v>0.8</v>
      </c>
      <c r="AG906" s="6" t="n">
        <v>0.3</v>
      </c>
    </row>
    <row r="907" customFormat="false" ht="15" hidden="false" customHeight="true" outlineLevel="0" collapsed="false">
      <c r="A907" s="6" t="s">
        <v>3343</v>
      </c>
      <c r="B907" s="6" t="s">
        <v>485</v>
      </c>
      <c r="C907" s="6" t="s">
        <v>3344</v>
      </c>
      <c r="D907" s="9" t="s">
        <v>959</v>
      </c>
      <c r="H907" s="9" t="s">
        <v>2844</v>
      </c>
      <c r="M907" s="6" t="n">
        <v>2203.87</v>
      </c>
      <c r="Q907" s="1" t="str">
        <f aca="false">IF(OR($A907="",P907=""),"",ROUND(YEARFRAC(P907,README!$C$5),1))</f>
        <v/>
      </c>
      <c r="S907" s="6" t="n">
        <v>2460</v>
      </c>
      <c r="T907" s="6" t="n">
        <v>2424</v>
      </c>
      <c r="U907" s="6" t="n">
        <v>2490</v>
      </c>
      <c r="V907" s="6" t="n">
        <v>66</v>
      </c>
      <c r="W907" s="6" t="n">
        <v>0.982</v>
      </c>
      <c r="X907" s="6" t="n">
        <v>1</v>
      </c>
      <c r="Z907" s="6" t="s">
        <v>2845</v>
      </c>
      <c r="AA907" s="9" t="s">
        <v>528</v>
      </c>
      <c r="AB907" s="6" t="s">
        <v>3345</v>
      </c>
      <c r="AE907" s="37" t="n">
        <f aca="false">COUNTIF(環境認証!$A$2:$A$849,A907)</f>
        <v>1</v>
      </c>
      <c r="AF907" s="6" t="n">
        <v>2.7</v>
      </c>
      <c r="AG907" s="6" t="n">
        <v>1.2</v>
      </c>
    </row>
    <row r="908" customFormat="false" ht="15" hidden="false" customHeight="true" outlineLevel="0" collapsed="false">
      <c r="A908" s="6" t="s">
        <v>3346</v>
      </c>
      <c r="B908" s="6" t="s">
        <v>485</v>
      </c>
      <c r="C908" s="6" t="s">
        <v>3347</v>
      </c>
      <c r="D908" s="9" t="s">
        <v>959</v>
      </c>
      <c r="H908" s="9" t="s">
        <v>2844</v>
      </c>
      <c r="M908" s="6" t="n">
        <v>2631.45</v>
      </c>
      <c r="Q908" s="1" t="str">
        <f aca="false">IF(OR($A908="",P908=""),"",ROUND(YEARFRAC(P908,README!$C$5),1))</f>
        <v/>
      </c>
      <c r="S908" s="6" t="n">
        <v>3280</v>
      </c>
      <c r="T908" s="6" t="n">
        <v>3229</v>
      </c>
      <c r="U908" s="6" t="n">
        <v>3370</v>
      </c>
      <c r="V908" s="6" t="n">
        <v>141</v>
      </c>
      <c r="W908" s="6" t="n">
        <v>0.882</v>
      </c>
      <c r="X908" s="6" t="n">
        <v>1</v>
      </c>
      <c r="Z908" s="6" t="s">
        <v>2845</v>
      </c>
      <c r="AA908" s="9" t="s">
        <v>528</v>
      </c>
      <c r="AB908" s="6" t="s">
        <v>3348</v>
      </c>
      <c r="AE908" s="37" t="n">
        <f aca="false">COUNTIF(環境認証!$A$2:$A$849,A908)</f>
        <v>1</v>
      </c>
      <c r="AF908" s="6" t="n">
        <v>4.4</v>
      </c>
      <c r="AG908" s="6" t="n">
        <v>2.7</v>
      </c>
    </row>
    <row r="909" customFormat="false" ht="15" hidden="false" customHeight="true" outlineLevel="0" collapsed="false">
      <c r="A909" s="6" t="s">
        <v>3349</v>
      </c>
      <c r="B909" s="6" t="s">
        <v>485</v>
      </c>
      <c r="C909" s="6" t="s">
        <v>3350</v>
      </c>
      <c r="D909" s="9" t="s">
        <v>959</v>
      </c>
      <c r="H909" s="9" t="s">
        <v>2844</v>
      </c>
      <c r="M909" s="6" t="n">
        <v>845.78</v>
      </c>
      <c r="Q909" s="1" t="str">
        <f aca="false">IF(OR($A909="",P909=""),"",ROUND(YEARFRAC(P909,README!$C$5),1))</f>
        <v/>
      </c>
      <c r="S909" s="6" t="n">
        <v>939</v>
      </c>
      <c r="T909" s="6" t="n">
        <v>932</v>
      </c>
      <c r="U909" s="6" t="n">
        <v>949</v>
      </c>
      <c r="V909" s="6" t="n">
        <v>17</v>
      </c>
      <c r="W909" s="6" t="n">
        <v>0.97</v>
      </c>
      <c r="X909" s="6" t="n">
        <v>1</v>
      </c>
      <c r="Z909" s="6" t="s">
        <v>2845</v>
      </c>
      <c r="AA909" s="9" t="s">
        <v>528</v>
      </c>
      <c r="AB909" s="6" t="s">
        <v>3351</v>
      </c>
      <c r="AE909" s="37" t="n">
        <f aca="false">COUNTIF(環境認証!$A$2:$A$849,A909)</f>
        <v>0</v>
      </c>
      <c r="AF909" s="6" t="n">
        <v>1.8</v>
      </c>
      <c r="AG909" s="6" t="n">
        <v>1.1</v>
      </c>
    </row>
    <row r="910" customFormat="false" ht="15" hidden="false" customHeight="true" outlineLevel="0" collapsed="false">
      <c r="A910" s="6" t="s">
        <v>3352</v>
      </c>
      <c r="B910" s="6" t="s">
        <v>485</v>
      </c>
      <c r="C910" s="6" t="s">
        <v>3353</v>
      </c>
      <c r="D910" s="9" t="s">
        <v>959</v>
      </c>
      <c r="H910" s="9" t="s">
        <v>2844</v>
      </c>
      <c r="M910" s="6" t="n">
        <v>1015.39</v>
      </c>
      <c r="Q910" s="1" t="str">
        <f aca="false">IF(OR($A910="",P910=""),"",ROUND(YEARFRAC(P910,README!$C$5),1))</f>
        <v/>
      </c>
      <c r="S910" s="6" t="n">
        <v>945</v>
      </c>
      <c r="T910" s="6" t="n">
        <v>938</v>
      </c>
      <c r="U910" s="6" t="n">
        <v>923</v>
      </c>
      <c r="V910" s="6" t="n">
        <v>-15</v>
      </c>
      <c r="W910" s="6" t="n">
        <v>0.979</v>
      </c>
      <c r="X910" s="6" t="n">
        <v>1</v>
      </c>
      <c r="Z910" s="6" t="s">
        <v>2845</v>
      </c>
      <c r="AA910" s="9" t="s">
        <v>528</v>
      </c>
      <c r="AB910" s="6" t="s">
        <v>3354</v>
      </c>
      <c r="AE910" s="37" t="n">
        <f aca="false">COUNTIF(環境認証!$A$2:$A$849,A910)</f>
        <v>0</v>
      </c>
      <c r="AF910" s="6" t="n">
        <v>-1.6</v>
      </c>
      <c r="AG910" s="6" t="n">
        <v>-2.3</v>
      </c>
    </row>
    <row r="911" customFormat="false" ht="15" hidden="false" customHeight="true" outlineLevel="0" collapsed="false">
      <c r="A911" s="6" t="s">
        <v>3355</v>
      </c>
      <c r="B911" s="6" t="s">
        <v>485</v>
      </c>
      <c r="C911" s="6" t="s">
        <v>3356</v>
      </c>
      <c r="D911" s="9" t="s">
        <v>959</v>
      </c>
      <c r="H911" s="9" t="s">
        <v>2844</v>
      </c>
      <c r="M911" s="6" t="n">
        <v>2821.15</v>
      </c>
      <c r="Q911" s="1" t="str">
        <f aca="false">IF(OR($A911="",P911=""),"",ROUND(YEARFRAC(P911,README!$C$5),1))</f>
        <v/>
      </c>
      <c r="S911" s="6" t="n">
        <v>3720</v>
      </c>
      <c r="T911" s="6" t="n">
        <v>3670</v>
      </c>
      <c r="U911" s="6" t="n">
        <v>4060</v>
      </c>
      <c r="V911" s="6" t="n">
        <v>390</v>
      </c>
      <c r="W911" s="6" t="n">
        <v>0.925</v>
      </c>
      <c r="X911" s="6" t="n">
        <v>1</v>
      </c>
      <c r="Z911" s="6" t="s">
        <v>2845</v>
      </c>
      <c r="AA911" s="9" t="s">
        <v>528</v>
      </c>
      <c r="AB911" s="6" t="s">
        <v>3357</v>
      </c>
      <c r="AE911" s="37" t="n">
        <f aca="false">COUNTIF(環境認証!$A$2:$A$849,A911)</f>
        <v>1</v>
      </c>
      <c r="AF911" s="6" t="n">
        <v>10.6</v>
      </c>
      <c r="AG911" s="6" t="n">
        <v>9.1</v>
      </c>
    </row>
    <row r="912" customFormat="false" ht="15" hidden="false" customHeight="true" outlineLevel="0" collapsed="false">
      <c r="A912" s="6" t="s">
        <v>3358</v>
      </c>
      <c r="B912" s="6" t="s">
        <v>485</v>
      </c>
      <c r="C912" s="6" t="s">
        <v>3359</v>
      </c>
      <c r="D912" s="9" t="s">
        <v>959</v>
      </c>
      <c r="H912" s="9" t="s">
        <v>2844</v>
      </c>
      <c r="M912" s="6" t="n">
        <v>1972.49</v>
      </c>
      <c r="Q912" s="1" t="str">
        <f aca="false">IF(OR($A912="",P912=""),"",ROUND(YEARFRAC(P912,README!$C$5),1))</f>
        <v/>
      </c>
      <c r="S912" s="6" t="n">
        <v>2030</v>
      </c>
      <c r="T912" s="6" t="n">
        <v>1998</v>
      </c>
      <c r="U912" s="6" t="n">
        <v>2120</v>
      </c>
      <c r="V912" s="6" t="n">
        <v>122</v>
      </c>
      <c r="W912" s="6" t="n">
        <v>0.974</v>
      </c>
      <c r="X912" s="6" t="n">
        <v>1</v>
      </c>
      <c r="Z912" s="6" t="s">
        <v>2845</v>
      </c>
      <c r="AA912" s="9" t="s">
        <v>528</v>
      </c>
      <c r="AB912" s="6" t="s">
        <v>3360</v>
      </c>
      <c r="AE912" s="37" t="n">
        <f aca="false">COUNTIF(環境認証!$A$2:$A$849,A912)</f>
        <v>1</v>
      </c>
      <c r="AF912" s="6" t="n">
        <v>6.1</v>
      </c>
      <c r="AG912" s="6" t="n">
        <v>4.4</v>
      </c>
    </row>
    <row r="913" customFormat="false" ht="15" hidden="false" customHeight="true" outlineLevel="0" collapsed="false">
      <c r="A913" s="6" t="s">
        <v>3361</v>
      </c>
      <c r="B913" s="6" t="s">
        <v>485</v>
      </c>
      <c r="C913" s="9" t="s">
        <v>3362</v>
      </c>
      <c r="D913" s="9" t="s">
        <v>959</v>
      </c>
      <c r="H913" s="9" t="s">
        <v>2844</v>
      </c>
      <c r="M913" s="6" t="n">
        <v>4538.04</v>
      </c>
      <c r="Q913" s="1" t="str">
        <f aca="false">IF(OR($A913="",P913=""),"",ROUND(YEARFRAC(P913,README!$C$5),1))</f>
        <v/>
      </c>
      <c r="S913" s="6" t="n">
        <v>2580</v>
      </c>
      <c r="T913" s="6" t="n">
        <v>2607</v>
      </c>
      <c r="U913" s="6" t="n">
        <v>2590</v>
      </c>
      <c r="V913" s="6" t="n">
        <v>-17</v>
      </c>
      <c r="W913" s="6" t="n">
        <v>0.988</v>
      </c>
      <c r="X913" s="6" t="n">
        <v>1</v>
      </c>
      <c r="Z913" s="6" t="s">
        <v>2845</v>
      </c>
      <c r="AA913" s="9" t="s">
        <v>528</v>
      </c>
      <c r="AB913" s="6" t="s">
        <v>3363</v>
      </c>
      <c r="AE913" s="37" t="n">
        <f aca="false">COUNTIF(環境認証!$A$2:$A$849,A913)</f>
        <v>0</v>
      </c>
      <c r="AF913" s="6" t="n">
        <v>-0.7</v>
      </c>
      <c r="AG913" s="6" t="n">
        <v>0.4</v>
      </c>
    </row>
    <row r="914" customFormat="false" ht="15" hidden="false" customHeight="true" outlineLevel="0" collapsed="false">
      <c r="A914" s="6" t="s">
        <v>3364</v>
      </c>
      <c r="B914" s="6" t="s">
        <v>485</v>
      </c>
      <c r="C914" s="6" t="s">
        <v>3365</v>
      </c>
      <c r="D914" s="9" t="s">
        <v>959</v>
      </c>
      <c r="H914" s="9" t="s">
        <v>2844</v>
      </c>
      <c r="M914" s="6" t="n">
        <v>2723.2</v>
      </c>
      <c r="Q914" s="1" t="str">
        <f aca="false">IF(OR($A914="",P914=""),"",ROUND(YEARFRAC(P914,README!$C$5),1))</f>
        <v/>
      </c>
      <c r="S914" s="6" t="n">
        <v>1730</v>
      </c>
      <c r="T914" s="6" t="n">
        <v>1711</v>
      </c>
      <c r="U914" s="6" t="n">
        <v>1720</v>
      </c>
      <c r="V914" s="6" t="n">
        <v>9</v>
      </c>
      <c r="W914" s="6" t="n">
        <v>0.981</v>
      </c>
      <c r="X914" s="6" t="n">
        <v>1</v>
      </c>
      <c r="Z914" s="6" t="s">
        <v>2845</v>
      </c>
      <c r="AA914" s="9" t="s">
        <v>528</v>
      </c>
      <c r="AB914" s="6" t="s">
        <v>3366</v>
      </c>
      <c r="AE914" s="37" t="n">
        <f aca="false">COUNTIF(環境認証!$A$2:$A$849,A914)</f>
        <v>1</v>
      </c>
      <c r="AF914" s="6" t="n">
        <v>0.5</v>
      </c>
      <c r="AG914" s="6" t="n">
        <v>-0.6</v>
      </c>
    </row>
    <row r="915" customFormat="false" ht="15" hidden="false" customHeight="true" outlineLevel="0" collapsed="false">
      <c r="A915" s="6" t="s">
        <v>3367</v>
      </c>
      <c r="B915" s="6" t="s">
        <v>485</v>
      </c>
      <c r="C915" s="6" t="s">
        <v>3368</v>
      </c>
      <c r="D915" s="9" t="s">
        <v>959</v>
      </c>
      <c r="H915" s="9" t="s">
        <v>2844</v>
      </c>
      <c r="M915" s="6" t="n">
        <v>2274.7</v>
      </c>
      <c r="Q915" s="1" t="str">
        <f aca="false">IF(OR($A915="",P915=""),"",ROUND(YEARFRAC(P915,README!$C$5),1))</f>
        <v/>
      </c>
      <c r="S915" s="6" t="n">
        <v>2580</v>
      </c>
      <c r="T915" s="6" t="n">
        <v>2542</v>
      </c>
      <c r="U915" s="6" t="n">
        <v>2650</v>
      </c>
      <c r="V915" s="6" t="n">
        <v>108</v>
      </c>
      <c r="W915" s="6" t="n">
        <v>1</v>
      </c>
      <c r="X915" s="6" t="n">
        <v>1</v>
      </c>
      <c r="Z915" s="6" t="s">
        <v>2845</v>
      </c>
      <c r="AA915" s="9" t="s">
        <v>528</v>
      </c>
      <c r="AB915" s="6" t="s">
        <v>3369</v>
      </c>
      <c r="AE915" s="37" t="n">
        <f aca="false">COUNTIF(環境認証!$A$2:$A$849,A915)</f>
        <v>1</v>
      </c>
      <c r="AF915" s="6" t="n">
        <v>4.2</v>
      </c>
      <c r="AG915" s="6" t="n">
        <v>2.7</v>
      </c>
    </row>
    <row r="916" customFormat="false" ht="15" hidden="false" customHeight="true" outlineLevel="0" collapsed="false">
      <c r="A916" s="6" t="s">
        <v>3370</v>
      </c>
      <c r="B916" s="6" t="s">
        <v>485</v>
      </c>
      <c r="C916" s="6" t="s">
        <v>3371</v>
      </c>
      <c r="D916" s="9" t="s">
        <v>959</v>
      </c>
      <c r="H916" s="9" t="s">
        <v>2844</v>
      </c>
      <c r="M916" s="6" t="n">
        <v>1185.08</v>
      </c>
      <c r="Q916" s="1" t="str">
        <f aca="false">IF(OR($A916="",P916=""),"",ROUND(YEARFRAC(P916,README!$C$5),1))</f>
        <v/>
      </c>
      <c r="S916" s="6" t="n">
        <v>961</v>
      </c>
      <c r="T916" s="6" t="n">
        <v>946</v>
      </c>
      <c r="U916" s="6" t="n">
        <v>965</v>
      </c>
      <c r="V916" s="6" t="n">
        <v>19</v>
      </c>
      <c r="W916" s="6" t="n">
        <v>1</v>
      </c>
      <c r="X916" s="6" t="n">
        <v>1</v>
      </c>
      <c r="Z916" s="6" t="s">
        <v>2845</v>
      </c>
      <c r="AA916" s="9" t="s">
        <v>528</v>
      </c>
      <c r="AB916" s="6" t="s">
        <v>3372</v>
      </c>
      <c r="AE916" s="37" t="n">
        <f aca="false">COUNTIF(環境認証!$A$2:$A$849,A916)</f>
        <v>0</v>
      </c>
      <c r="AF916" s="6" t="n">
        <v>2</v>
      </c>
      <c r="AG916" s="6" t="n">
        <v>0.4</v>
      </c>
    </row>
    <row r="917" customFormat="false" ht="15" hidden="false" customHeight="true" outlineLevel="0" collapsed="false">
      <c r="A917" s="6" t="s">
        <v>3373</v>
      </c>
      <c r="B917" s="6" t="s">
        <v>485</v>
      </c>
      <c r="C917" s="6" t="s">
        <v>3374</v>
      </c>
      <c r="D917" s="9" t="s">
        <v>959</v>
      </c>
      <c r="H917" s="9" t="s">
        <v>2844</v>
      </c>
      <c r="M917" s="6" t="n">
        <v>1179.11</v>
      </c>
      <c r="Q917" s="1" t="str">
        <f aca="false">IF(OR($A917="",P917=""),"",ROUND(YEARFRAC(P917,README!$C$5),1))</f>
        <v/>
      </c>
      <c r="S917" s="6" t="n">
        <v>1080</v>
      </c>
      <c r="T917" s="6" t="n">
        <v>1061</v>
      </c>
      <c r="U917" s="6" t="n">
        <v>1110</v>
      </c>
      <c r="V917" s="6" t="n">
        <v>49</v>
      </c>
      <c r="W917" s="6" t="n">
        <v>1</v>
      </c>
      <c r="X917" s="6" t="n">
        <v>1</v>
      </c>
      <c r="Z917" s="6" t="s">
        <v>2845</v>
      </c>
      <c r="AA917" s="9" t="s">
        <v>528</v>
      </c>
      <c r="AB917" s="6" t="s">
        <v>3375</v>
      </c>
      <c r="AE917" s="37" t="n">
        <f aca="false">COUNTIF(環境認証!$A$2:$A$849,A917)</f>
        <v>0</v>
      </c>
      <c r="AF917" s="6" t="n">
        <v>4.6</v>
      </c>
      <c r="AG917" s="6" t="n">
        <v>2.8</v>
      </c>
    </row>
    <row r="918" customFormat="false" ht="15" hidden="false" customHeight="true" outlineLevel="0" collapsed="false">
      <c r="A918" s="6" t="s">
        <v>3376</v>
      </c>
      <c r="B918" s="6" t="s">
        <v>485</v>
      </c>
      <c r="C918" s="6" t="s">
        <v>3377</v>
      </c>
      <c r="D918" s="9" t="s">
        <v>959</v>
      </c>
      <c r="H918" s="9" t="s">
        <v>2844</v>
      </c>
      <c r="M918" s="6" t="n">
        <v>881.96</v>
      </c>
      <c r="Q918" s="1" t="str">
        <f aca="false">IF(OR($A918="",P918=""),"",ROUND(YEARFRAC(P918,README!$C$5),1))</f>
        <v/>
      </c>
      <c r="S918" s="6" t="n">
        <v>950</v>
      </c>
      <c r="T918" s="6" t="n">
        <v>935</v>
      </c>
      <c r="U918" s="6" t="n">
        <v>933</v>
      </c>
      <c r="V918" s="6" t="n">
        <v>-2</v>
      </c>
      <c r="W918" s="6" t="n">
        <v>1</v>
      </c>
      <c r="X918" s="6" t="n">
        <v>1</v>
      </c>
      <c r="Z918" s="6" t="s">
        <v>2845</v>
      </c>
      <c r="AA918" s="9" t="s">
        <v>528</v>
      </c>
      <c r="AB918" s="6" t="s">
        <v>3378</v>
      </c>
      <c r="AE918" s="37" t="n">
        <f aca="false">COUNTIF(環境認証!$A$2:$A$849,A918)</f>
        <v>0</v>
      </c>
      <c r="AF918" s="6" t="n">
        <v>-0.2</v>
      </c>
      <c r="AG918" s="6" t="n">
        <v>-1.8</v>
      </c>
    </row>
    <row r="919" customFormat="false" ht="15" hidden="false" customHeight="true" outlineLevel="0" collapsed="false">
      <c r="A919" s="6" t="s">
        <v>3379</v>
      </c>
      <c r="B919" s="6" t="s">
        <v>485</v>
      </c>
      <c r="C919" s="6" t="s">
        <v>3380</v>
      </c>
      <c r="D919" s="9" t="s">
        <v>959</v>
      </c>
      <c r="H919" s="9" t="s">
        <v>2844</v>
      </c>
      <c r="M919" s="6" t="n">
        <v>3988.06</v>
      </c>
      <c r="Q919" s="1" t="str">
        <f aca="false">IF(OR($A919="",P919=""),"",ROUND(YEARFRAC(P919,README!$C$5),1))</f>
        <v/>
      </c>
      <c r="S919" s="6" t="n">
        <v>3570</v>
      </c>
      <c r="T919" s="6" t="n">
        <v>3498</v>
      </c>
      <c r="U919" s="6" t="n">
        <v>3730</v>
      </c>
      <c r="V919" s="6" t="n">
        <v>232</v>
      </c>
      <c r="W919" s="6" t="n">
        <v>0.958</v>
      </c>
      <c r="X919" s="6" t="n">
        <v>1</v>
      </c>
      <c r="Z919" s="6" t="s">
        <v>2845</v>
      </c>
      <c r="AA919" s="9" t="s">
        <v>528</v>
      </c>
      <c r="AB919" s="6" t="s">
        <v>3381</v>
      </c>
      <c r="AE919" s="37" t="n">
        <f aca="false">COUNTIF(環境認証!$A$2:$A$849,A919)</f>
        <v>1</v>
      </c>
      <c r="AF919" s="6" t="n">
        <v>6.6</v>
      </c>
      <c r="AG919" s="6" t="n">
        <v>4.5</v>
      </c>
    </row>
    <row r="920" customFormat="false" ht="15" hidden="false" customHeight="true" outlineLevel="0" collapsed="false">
      <c r="A920" s="6" t="s">
        <v>3382</v>
      </c>
      <c r="B920" s="6" t="s">
        <v>485</v>
      </c>
      <c r="C920" s="6" t="s">
        <v>3383</v>
      </c>
      <c r="D920" s="9" t="s">
        <v>959</v>
      </c>
      <c r="H920" s="9" t="s">
        <v>2844</v>
      </c>
      <c r="M920" s="6" t="n">
        <v>2477.01</v>
      </c>
      <c r="Q920" s="1" t="str">
        <f aca="false">IF(OR($A920="",P920=""),"",ROUND(YEARFRAC(P920,README!$C$5),1))</f>
        <v/>
      </c>
      <c r="S920" s="6" t="n">
        <v>1390</v>
      </c>
      <c r="T920" s="6" t="n">
        <v>1369</v>
      </c>
      <c r="U920" s="6" t="n">
        <v>1360</v>
      </c>
      <c r="V920" s="6" t="n">
        <v>-9</v>
      </c>
      <c r="W920" s="6" t="n">
        <v>1</v>
      </c>
      <c r="X920" s="6" t="n">
        <v>1</v>
      </c>
      <c r="Z920" s="6" t="s">
        <v>2845</v>
      </c>
      <c r="AA920" s="9" t="s">
        <v>528</v>
      </c>
      <c r="AB920" s="6" t="s">
        <v>3384</v>
      </c>
      <c r="AE920" s="37" t="n">
        <f aca="false">COUNTIF(環境認証!$A$2:$A$849,A920)</f>
        <v>0</v>
      </c>
      <c r="AF920" s="6" t="n">
        <v>-0.7</v>
      </c>
      <c r="AG920" s="6" t="n">
        <v>-2.2</v>
      </c>
    </row>
    <row r="921" customFormat="false" ht="15" hidden="false" customHeight="true" outlineLevel="0" collapsed="false">
      <c r="A921" s="6" t="s">
        <v>3385</v>
      </c>
      <c r="B921" s="6" t="s">
        <v>485</v>
      </c>
      <c r="C921" s="6" t="s">
        <v>3386</v>
      </c>
      <c r="D921" s="9" t="s">
        <v>959</v>
      </c>
      <c r="H921" s="9" t="s">
        <v>2844</v>
      </c>
      <c r="M921" s="6" t="n">
        <v>4795.16</v>
      </c>
      <c r="Q921" s="1" t="str">
        <f aca="false">IF(OR($A921="",P921=""),"",ROUND(YEARFRAC(P921,README!$C$5),1))</f>
        <v/>
      </c>
      <c r="S921" s="6" t="n">
        <v>5820</v>
      </c>
      <c r="T921" s="6" t="n">
        <v>5722</v>
      </c>
      <c r="U921" s="6" t="n">
        <v>6160</v>
      </c>
      <c r="V921" s="6" t="n">
        <v>438</v>
      </c>
      <c r="W921" s="6" t="n">
        <v>0.959</v>
      </c>
      <c r="X921" s="6" t="n">
        <v>1</v>
      </c>
      <c r="Z921" s="6" t="s">
        <v>2845</v>
      </c>
      <c r="AA921" s="9" t="s">
        <v>528</v>
      </c>
      <c r="AB921" s="6" t="s">
        <v>3387</v>
      </c>
      <c r="AE921" s="37" t="n">
        <f aca="false">COUNTIF(環境認証!$A$2:$A$849,A921)</f>
        <v>1</v>
      </c>
      <c r="AF921" s="6" t="n">
        <v>7.7</v>
      </c>
      <c r="AG921" s="6" t="n">
        <v>5.8</v>
      </c>
    </row>
    <row r="922" customFormat="false" ht="15" hidden="false" customHeight="true" outlineLevel="0" collapsed="false">
      <c r="A922" s="6" t="s">
        <v>3388</v>
      </c>
      <c r="B922" s="6" t="s">
        <v>485</v>
      </c>
      <c r="C922" s="6" t="s">
        <v>3389</v>
      </c>
      <c r="D922" s="9" t="s">
        <v>959</v>
      </c>
      <c r="H922" s="9" t="s">
        <v>2844</v>
      </c>
      <c r="M922" s="6" t="n">
        <v>3265.57</v>
      </c>
      <c r="Q922" s="1" t="str">
        <f aca="false">IF(OR($A922="",P922=""),"",ROUND(YEARFRAC(P922,README!$C$5),1))</f>
        <v/>
      </c>
      <c r="S922" s="6" t="n">
        <v>2950</v>
      </c>
      <c r="T922" s="6" t="n">
        <v>2894</v>
      </c>
      <c r="U922" s="6" t="n">
        <v>3040</v>
      </c>
      <c r="V922" s="6" t="n">
        <v>146</v>
      </c>
      <c r="W922" s="6" t="n">
        <v>0.965</v>
      </c>
      <c r="X922" s="6" t="n">
        <v>1</v>
      </c>
      <c r="Z922" s="6" t="s">
        <v>2845</v>
      </c>
      <c r="AA922" s="9" t="s">
        <v>528</v>
      </c>
      <c r="AB922" s="6" t="s">
        <v>3390</v>
      </c>
      <c r="AE922" s="37" t="n">
        <f aca="false">COUNTIF(環境認証!$A$2:$A$849,A922)</f>
        <v>1</v>
      </c>
      <c r="AF922" s="6" t="n">
        <v>5</v>
      </c>
      <c r="AG922" s="6" t="n">
        <v>3.1</v>
      </c>
    </row>
    <row r="923" customFormat="false" ht="15" hidden="false" customHeight="true" outlineLevel="0" collapsed="false">
      <c r="A923" s="6" t="s">
        <v>3391</v>
      </c>
      <c r="B923" s="6" t="s">
        <v>485</v>
      </c>
      <c r="C923" s="6" t="s">
        <v>3392</v>
      </c>
      <c r="D923" s="9" t="s">
        <v>959</v>
      </c>
      <c r="H923" s="9" t="s">
        <v>2844</v>
      </c>
      <c r="M923" s="6" t="n">
        <v>4103.23</v>
      </c>
      <c r="Q923" s="1" t="str">
        <f aca="false">IF(OR($A923="",P923=""),"",ROUND(YEARFRAC(P923,README!$C$5),1))</f>
        <v/>
      </c>
      <c r="S923" s="6" t="n">
        <v>3140</v>
      </c>
      <c r="T923" s="6" t="n">
        <v>3085</v>
      </c>
      <c r="U923" s="6" t="n">
        <v>3150</v>
      </c>
      <c r="V923" s="6" t="n">
        <v>65</v>
      </c>
      <c r="W923" s="6" t="n">
        <v>1</v>
      </c>
      <c r="X923" s="6" t="n">
        <v>1</v>
      </c>
      <c r="Z923" s="6" t="s">
        <v>2845</v>
      </c>
      <c r="AA923" s="9" t="s">
        <v>528</v>
      </c>
      <c r="AB923" s="6" t="s">
        <v>3393</v>
      </c>
      <c r="AE923" s="37" t="n">
        <f aca="false">COUNTIF(環境認証!$A$2:$A$849,A923)</f>
        <v>1</v>
      </c>
      <c r="AF923" s="6" t="n">
        <v>2.1</v>
      </c>
      <c r="AG923" s="6" t="n">
        <v>0.3</v>
      </c>
    </row>
    <row r="924" customFormat="false" ht="15" hidden="false" customHeight="true" outlineLevel="0" collapsed="false">
      <c r="A924" s="6" t="s">
        <v>3394</v>
      </c>
      <c r="B924" s="6" t="s">
        <v>485</v>
      </c>
      <c r="C924" s="6" t="s">
        <v>3395</v>
      </c>
      <c r="D924" s="9" t="s">
        <v>959</v>
      </c>
      <c r="H924" s="9" t="s">
        <v>2844</v>
      </c>
      <c r="M924" s="6" t="n">
        <v>1647.07</v>
      </c>
      <c r="Q924" s="1" t="str">
        <f aca="false">IF(OR($A924="",P924=""),"",ROUND(YEARFRAC(P924,README!$C$5),1))</f>
        <v/>
      </c>
      <c r="S924" s="6" t="n">
        <v>1020</v>
      </c>
      <c r="T924" s="6" t="n">
        <v>1007</v>
      </c>
      <c r="U924" s="6" t="n">
        <v>995</v>
      </c>
      <c r="V924" s="6" t="n">
        <v>-12</v>
      </c>
      <c r="W924" s="6" t="n">
        <v>1</v>
      </c>
      <c r="X924" s="6" t="n">
        <v>1</v>
      </c>
      <c r="Z924" s="6" t="s">
        <v>2845</v>
      </c>
      <c r="AA924" s="9" t="s">
        <v>528</v>
      </c>
      <c r="AB924" s="6" t="s">
        <v>3396</v>
      </c>
      <c r="AE924" s="37" t="n">
        <f aca="false">COUNTIF(環境認証!$A$2:$A$849,A924)</f>
        <v>0</v>
      </c>
      <c r="AF924" s="6" t="n">
        <v>-1.2</v>
      </c>
      <c r="AG924" s="6" t="n">
        <v>-2.5</v>
      </c>
    </row>
    <row r="925" customFormat="false" ht="15" hidden="false" customHeight="true" outlineLevel="0" collapsed="false">
      <c r="A925" s="6" t="s">
        <v>3397</v>
      </c>
      <c r="B925" s="6" t="s">
        <v>485</v>
      </c>
      <c r="C925" s="6" t="s">
        <v>3398</v>
      </c>
      <c r="D925" s="9" t="s">
        <v>959</v>
      </c>
      <c r="H925" s="9" t="s">
        <v>2844</v>
      </c>
      <c r="M925" s="6" t="n">
        <v>2914.23</v>
      </c>
      <c r="Q925" s="1" t="str">
        <f aca="false">IF(OR($A925="",P925=""),"",ROUND(YEARFRAC(P925,README!$C$5),1))</f>
        <v/>
      </c>
      <c r="S925" s="6" t="n">
        <v>1690</v>
      </c>
      <c r="T925" s="6" t="n">
        <v>1655</v>
      </c>
      <c r="U925" s="6" t="n">
        <v>1690</v>
      </c>
      <c r="V925" s="6" t="n">
        <v>35</v>
      </c>
      <c r="W925" s="6" t="n">
        <v>1</v>
      </c>
      <c r="X925" s="6" t="n">
        <v>1</v>
      </c>
      <c r="Z925" s="6" t="s">
        <v>2845</v>
      </c>
      <c r="AA925" s="9" t="s">
        <v>528</v>
      </c>
      <c r="AB925" s="6" t="s">
        <v>3399</v>
      </c>
      <c r="AE925" s="37" t="n">
        <f aca="false">COUNTIF(環境認証!$A$2:$A$849,A925)</f>
        <v>1</v>
      </c>
      <c r="AF925" s="6" t="n">
        <v>2.1</v>
      </c>
      <c r="AG925" s="6" t="n">
        <v>0</v>
      </c>
    </row>
    <row r="926" customFormat="false" ht="15" hidden="false" customHeight="true" outlineLevel="0" collapsed="false">
      <c r="A926" s="6" t="s">
        <v>3400</v>
      </c>
      <c r="B926" s="6" t="s">
        <v>485</v>
      </c>
      <c r="C926" s="6" t="s">
        <v>3401</v>
      </c>
      <c r="D926" s="9" t="s">
        <v>959</v>
      </c>
      <c r="H926" s="9" t="s">
        <v>2844</v>
      </c>
      <c r="M926" s="6" t="n">
        <v>2993.65</v>
      </c>
      <c r="Q926" s="1" t="str">
        <f aca="false">IF(OR($A926="",P926=""),"",ROUND(YEARFRAC(P926,README!$C$5),1))</f>
        <v/>
      </c>
      <c r="S926" s="6" t="n">
        <v>3680</v>
      </c>
      <c r="T926" s="6" t="n">
        <v>3641</v>
      </c>
      <c r="U926" s="6" t="n">
        <v>3680</v>
      </c>
      <c r="V926" s="6" t="n">
        <v>39</v>
      </c>
      <c r="W926" s="6" t="n">
        <v>0.956</v>
      </c>
      <c r="X926" s="6" t="n">
        <v>1</v>
      </c>
      <c r="Z926" s="6" t="s">
        <v>2845</v>
      </c>
      <c r="AA926" s="9" t="s">
        <v>528</v>
      </c>
      <c r="AB926" s="6" t="s">
        <v>3402</v>
      </c>
      <c r="AE926" s="37" t="n">
        <f aca="false">COUNTIF(環境認証!$A$2:$A$849,A926)</f>
        <v>1</v>
      </c>
      <c r="AF926" s="6" t="n">
        <v>1.1</v>
      </c>
      <c r="AG926" s="6" t="n">
        <v>0</v>
      </c>
    </row>
    <row r="927" customFormat="false" ht="15" hidden="false" customHeight="true" outlineLevel="0" collapsed="false">
      <c r="A927" s="6" t="s">
        <v>3403</v>
      </c>
      <c r="B927" s="6" t="s">
        <v>485</v>
      </c>
      <c r="C927" s="6" t="s">
        <v>3404</v>
      </c>
      <c r="D927" s="9" t="s">
        <v>959</v>
      </c>
      <c r="H927" s="9" t="s">
        <v>2844</v>
      </c>
      <c r="M927" s="6" t="n">
        <v>907.2</v>
      </c>
      <c r="Q927" s="1" t="str">
        <f aca="false">IF(OR($A927="",P927=""),"",ROUND(YEARFRAC(P927,README!$C$5),1))</f>
        <v/>
      </c>
      <c r="S927" s="6" t="n">
        <v>1160</v>
      </c>
      <c r="T927" s="6" t="n">
        <v>1144</v>
      </c>
      <c r="U927" s="6" t="n">
        <v>1170</v>
      </c>
      <c r="V927" s="6" t="n">
        <v>26</v>
      </c>
      <c r="W927" s="6" t="n">
        <v>1</v>
      </c>
      <c r="X927" s="6" t="n">
        <v>1</v>
      </c>
      <c r="Z927" s="6" t="s">
        <v>2845</v>
      </c>
      <c r="AA927" s="9" t="s">
        <v>528</v>
      </c>
      <c r="AB927" s="6" t="s">
        <v>3405</v>
      </c>
      <c r="AE927" s="37" t="n">
        <f aca="false">COUNTIF(環境認証!$A$2:$A$849,A927)</f>
        <v>0</v>
      </c>
      <c r="AF927" s="6" t="n">
        <v>2.3</v>
      </c>
      <c r="AG927" s="6" t="n">
        <v>0.9</v>
      </c>
    </row>
    <row r="928" customFormat="false" ht="15" hidden="false" customHeight="true" outlineLevel="0" collapsed="false">
      <c r="A928" s="6" t="s">
        <v>3406</v>
      </c>
      <c r="B928" s="6" t="s">
        <v>485</v>
      </c>
      <c r="C928" s="9" t="s">
        <v>3407</v>
      </c>
      <c r="D928" s="9" t="s">
        <v>959</v>
      </c>
      <c r="H928" s="9" t="s">
        <v>2844</v>
      </c>
      <c r="M928" s="6" t="n">
        <v>9313.13</v>
      </c>
      <c r="Q928" s="1" t="str">
        <f aca="false">IF(OR($A928="",P928=""),"",ROUND(YEARFRAC(P928,README!$C$5),1))</f>
        <v/>
      </c>
      <c r="S928" s="6" t="n">
        <v>9232</v>
      </c>
      <c r="T928" s="6" t="n">
        <v>9482</v>
      </c>
      <c r="U928" s="6" t="n">
        <v>10850</v>
      </c>
      <c r="V928" s="6" t="n">
        <v>1368</v>
      </c>
      <c r="W928" s="6" t="n">
        <v>0.973</v>
      </c>
      <c r="X928" s="6" t="n">
        <v>1</v>
      </c>
      <c r="Z928" s="6" t="s">
        <v>2845</v>
      </c>
      <c r="AA928" s="9" t="s">
        <v>528</v>
      </c>
      <c r="AB928" s="6" t="s">
        <v>3408</v>
      </c>
      <c r="AE928" s="37" t="n">
        <f aca="false">COUNTIF(環境認証!$A$2:$A$849,A928)</f>
        <v>1</v>
      </c>
      <c r="AF928" s="6" t="n">
        <v>14.4</v>
      </c>
      <c r="AG928" s="6" t="n">
        <v>17.5</v>
      </c>
    </row>
    <row r="929" customFormat="false" ht="15" hidden="false" customHeight="true" outlineLevel="0" collapsed="false">
      <c r="A929" s="6" t="s">
        <v>3409</v>
      </c>
      <c r="B929" s="6" t="s">
        <v>485</v>
      </c>
      <c r="C929" s="6" t="s">
        <v>3410</v>
      </c>
      <c r="D929" s="9" t="s">
        <v>959</v>
      </c>
      <c r="H929" s="9" t="s">
        <v>2844</v>
      </c>
      <c r="M929" s="6" t="n">
        <v>1415.43</v>
      </c>
      <c r="Q929" s="1" t="str">
        <f aca="false">IF(OR($A929="",P929=""),"",ROUND(YEARFRAC(P929,README!$C$5),1))</f>
        <v/>
      </c>
      <c r="S929" s="6" t="n">
        <v>1406</v>
      </c>
      <c r="T929" s="6" t="n">
        <v>1500</v>
      </c>
      <c r="U929" s="6" t="n">
        <v>1680</v>
      </c>
      <c r="V929" s="6" t="n">
        <v>180</v>
      </c>
      <c r="W929" s="6" t="n">
        <v>0.946</v>
      </c>
      <c r="X929" s="6" t="n">
        <v>1</v>
      </c>
      <c r="Z929" s="6" t="s">
        <v>2845</v>
      </c>
      <c r="AA929" s="9" t="s">
        <v>528</v>
      </c>
      <c r="AB929" s="6" t="s">
        <v>3411</v>
      </c>
      <c r="AE929" s="37" t="n">
        <f aca="false">COUNTIF(環境認証!$A$2:$A$849,A929)</f>
        <v>0</v>
      </c>
      <c r="AF929" s="6" t="n">
        <v>12</v>
      </c>
      <c r="AG929" s="6" t="n">
        <v>19.5</v>
      </c>
    </row>
    <row r="930" customFormat="false" ht="15" hidden="false" customHeight="true" outlineLevel="0" collapsed="false">
      <c r="A930" s="6" t="s">
        <v>3412</v>
      </c>
      <c r="B930" s="6" t="s">
        <v>485</v>
      </c>
      <c r="C930" s="6" t="s">
        <v>3413</v>
      </c>
      <c r="D930" s="9" t="s">
        <v>959</v>
      </c>
      <c r="H930" s="9" t="s">
        <v>2844</v>
      </c>
      <c r="M930" s="6" t="n">
        <v>4025.87</v>
      </c>
      <c r="Q930" s="1" t="str">
        <f aca="false">IF(OR($A930="",P930=""),"",ROUND(YEARFRAC(P930,README!$C$5),1))</f>
        <v/>
      </c>
      <c r="S930" s="6" t="n">
        <v>2700</v>
      </c>
      <c r="T930" s="6" t="n">
        <v>2777</v>
      </c>
      <c r="U930" s="6" t="n">
        <v>2890</v>
      </c>
      <c r="V930" s="6" t="n">
        <v>113</v>
      </c>
      <c r="W930" s="6" t="n">
        <v>0.934</v>
      </c>
      <c r="X930" s="6" t="n">
        <v>1</v>
      </c>
      <c r="Z930" s="6" t="s">
        <v>2845</v>
      </c>
      <c r="AA930" s="9" t="s">
        <v>528</v>
      </c>
      <c r="AB930" s="6" t="s">
        <v>3414</v>
      </c>
      <c r="AE930" s="37" t="n">
        <f aca="false">COUNTIF(環境認証!$A$2:$A$849,A930)</f>
        <v>1</v>
      </c>
      <c r="AF930" s="6" t="n">
        <v>4.1</v>
      </c>
      <c r="AG930" s="6" t="n">
        <v>7</v>
      </c>
    </row>
    <row r="931" customFormat="false" ht="15" hidden="false" customHeight="true" outlineLevel="0" collapsed="false">
      <c r="A931" s="6" t="s">
        <v>3415</v>
      </c>
      <c r="B931" s="6" t="s">
        <v>485</v>
      </c>
      <c r="C931" s="6" t="s">
        <v>3416</v>
      </c>
      <c r="D931" s="9" t="s">
        <v>959</v>
      </c>
      <c r="H931" s="9" t="s">
        <v>2844</v>
      </c>
      <c r="M931" s="6" t="n">
        <v>1614.86</v>
      </c>
      <c r="Q931" s="1" t="str">
        <f aca="false">IF(OR($A931="",P931=""),"",ROUND(YEARFRAC(P931,README!$C$5),1))</f>
        <v/>
      </c>
      <c r="S931" s="6" t="n">
        <v>1514</v>
      </c>
      <c r="T931" s="6" t="n">
        <v>1556</v>
      </c>
      <c r="U931" s="6" t="n">
        <v>1740</v>
      </c>
      <c r="V931" s="6" t="n">
        <v>184</v>
      </c>
      <c r="W931" s="6" t="n">
        <v>0.899</v>
      </c>
      <c r="X931" s="6" t="n">
        <v>1</v>
      </c>
      <c r="Z931" s="6" t="s">
        <v>2845</v>
      </c>
      <c r="AA931" s="9" t="s">
        <v>528</v>
      </c>
      <c r="AB931" s="6" t="s">
        <v>3417</v>
      </c>
      <c r="AE931" s="37" t="n">
        <f aca="false">COUNTIF(環境認証!$A$2:$A$849,A931)</f>
        <v>0</v>
      </c>
      <c r="AF931" s="6" t="n">
        <v>11.8</v>
      </c>
      <c r="AG931" s="6" t="n">
        <v>14.9</v>
      </c>
    </row>
    <row r="932" customFormat="false" ht="15" hidden="false" customHeight="true" outlineLevel="0" collapsed="false">
      <c r="A932" s="6" t="s">
        <v>3418</v>
      </c>
      <c r="B932" s="6" t="s">
        <v>485</v>
      </c>
      <c r="C932" s="6" t="s">
        <v>3419</v>
      </c>
      <c r="D932" s="9" t="s">
        <v>959</v>
      </c>
      <c r="H932" s="9" t="s">
        <v>2844</v>
      </c>
      <c r="M932" s="6" t="n">
        <v>2601.86</v>
      </c>
      <c r="Q932" s="1" t="str">
        <f aca="false">IF(OR($A932="",P932=""),"",ROUND(YEARFRAC(P932,README!$C$5),1))</f>
        <v/>
      </c>
      <c r="S932" s="6" t="n">
        <v>2550</v>
      </c>
      <c r="T932" s="6" t="n">
        <v>2682</v>
      </c>
      <c r="U932" s="6" t="n">
        <v>2820</v>
      </c>
      <c r="V932" s="6" t="n">
        <v>138</v>
      </c>
      <c r="W932" s="6" t="n">
        <v>0.959</v>
      </c>
      <c r="X932" s="6" t="n">
        <v>1</v>
      </c>
      <c r="Z932" s="6" t="s">
        <v>2845</v>
      </c>
      <c r="AA932" s="9" t="s">
        <v>528</v>
      </c>
      <c r="AB932" s="6" t="s">
        <v>3420</v>
      </c>
      <c r="AE932" s="37" t="n">
        <f aca="false">COUNTIF(環境認証!$A$2:$A$849,A932)</f>
        <v>0</v>
      </c>
      <c r="AF932" s="6" t="n">
        <v>5.1</v>
      </c>
      <c r="AG932" s="6" t="n">
        <v>10.6</v>
      </c>
    </row>
    <row r="933" customFormat="false" ht="15" hidden="false" customHeight="true" outlineLevel="0" collapsed="false">
      <c r="A933" s="6" t="s">
        <v>3421</v>
      </c>
      <c r="B933" s="6" t="s">
        <v>485</v>
      </c>
      <c r="C933" s="6" t="s">
        <v>3422</v>
      </c>
      <c r="D933" s="9" t="s">
        <v>959</v>
      </c>
      <c r="H933" s="9" t="s">
        <v>3051</v>
      </c>
      <c r="M933" s="6" t="n">
        <v>6385.7</v>
      </c>
      <c r="Q933" s="1" t="str">
        <f aca="false">IF(OR($A933="",P933=""),"",ROUND(YEARFRAC(P933,README!$C$5),1))</f>
        <v/>
      </c>
      <c r="S933" s="6" t="n">
        <v>4130</v>
      </c>
      <c r="T933" s="6" t="n">
        <v>4074</v>
      </c>
      <c r="U933" s="6" t="n">
        <v>4500</v>
      </c>
      <c r="V933" s="6" t="n">
        <v>426</v>
      </c>
      <c r="W933" s="6" t="n">
        <v>0.995</v>
      </c>
      <c r="X933" s="6" t="n">
        <v>1</v>
      </c>
      <c r="Z933" s="6" t="s">
        <v>2845</v>
      </c>
      <c r="AA933" s="9" t="s">
        <v>528</v>
      </c>
      <c r="AB933" s="6" t="s">
        <v>3423</v>
      </c>
      <c r="AE933" s="37" t="n">
        <f aca="false">COUNTIF(環境認証!$A$2:$A$849,A933)</f>
        <v>2</v>
      </c>
      <c r="AF933" s="6" t="n">
        <v>10.5</v>
      </c>
      <c r="AG933" s="6" t="n">
        <v>9</v>
      </c>
    </row>
    <row r="934" customFormat="false" ht="15" hidden="false" customHeight="true" outlineLevel="0" collapsed="false">
      <c r="A934" s="6" t="s">
        <v>3424</v>
      </c>
      <c r="B934" s="6" t="s">
        <v>485</v>
      </c>
      <c r="C934" s="6" t="s">
        <v>3425</v>
      </c>
      <c r="D934" s="9" t="s">
        <v>959</v>
      </c>
      <c r="H934" s="9" t="s">
        <v>3051</v>
      </c>
      <c r="M934" s="6" t="n">
        <v>6255.16</v>
      </c>
      <c r="Q934" s="1" t="str">
        <f aca="false">IF(OR($A934="",P934=""),"",ROUND(YEARFRAC(P934,README!$C$5),1))</f>
        <v/>
      </c>
      <c r="S934" s="6" t="n">
        <v>2440</v>
      </c>
      <c r="T934" s="6" t="n">
        <v>2422</v>
      </c>
      <c r="U934" s="6" t="n">
        <v>2690</v>
      </c>
      <c r="V934" s="6" t="n">
        <v>268</v>
      </c>
      <c r="W934" s="6" t="n">
        <v>0.961</v>
      </c>
      <c r="X934" s="6" t="n">
        <v>1</v>
      </c>
      <c r="Z934" s="6" t="s">
        <v>2845</v>
      </c>
      <c r="AA934" s="9" t="s">
        <v>528</v>
      </c>
      <c r="AB934" s="6" t="s">
        <v>3426</v>
      </c>
      <c r="AE934" s="37" t="n">
        <f aca="false">COUNTIF(環境認証!$A$2:$A$849,A934)</f>
        <v>1</v>
      </c>
      <c r="AF934" s="6" t="n">
        <v>11.1</v>
      </c>
      <c r="AG934" s="6" t="n">
        <v>10.2</v>
      </c>
    </row>
    <row r="935" customFormat="false" ht="15" hidden="false" customHeight="true" outlineLevel="0" collapsed="false">
      <c r="A935" s="6" t="s">
        <v>3427</v>
      </c>
      <c r="B935" s="6" t="s">
        <v>485</v>
      </c>
      <c r="C935" s="6" t="s">
        <v>3428</v>
      </c>
      <c r="D935" s="9" t="s">
        <v>959</v>
      </c>
      <c r="H935" s="9" t="s">
        <v>3051</v>
      </c>
      <c r="M935" s="6" t="n">
        <v>4631.16</v>
      </c>
      <c r="Q935" s="1" t="str">
        <f aca="false">IF(OR($A935="",P935=""),"",ROUND(YEARFRAC(P935,README!$C$5),1))</f>
        <v/>
      </c>
      <c r="S935" s="6" t="n">
        <v>2230</v>
      </c>
      <c r="T935" s="6" t="n">
        <v>2132</v>
      </c>
      <c r="U935" s="6" t="n">
        <v>2290</v>
      </c>
      <c r="V935" s="6" t="n">
        <v>158</v>
      </c>
      <c r="W935" s="6" t="n">
        <v>0.986</v>
      </c>
      <c r="X935" s="6" t="n">
        <v>1</v>
      </c>
      <c r="Z935" s="6" t="s">
        <v>2845</v>
      </c>
      <c r="AA935" s="9" t="s">
        <v>528</v>
      </c>
      <c r="AB935" s="6" t="s">
        <v>3429</v>
      </c>
      <c r="AE935" s="37" t="n">
        <f aca="false">COUNTIF(環境認証!$A$2:$A$849,A935)</f>
        <v>1</v>
      </c>
      <c r="AF935" s="6" t="n">
        <v>7.4</v>
      </c>
      <c r="AG935" s="6" t="n">
        <v>2.7</v>
      </c>
    </row>
    <row r="936" customFormat="false" ht="15" hidden="false" customHeight="true" outlineLevel="0" collapsed="false">
      <c r="A936" s="6" t="s">
        <v>3430</v>
      </c>
      <c r="B936" s="6" t="s">
        <v>485</v>
      </c>
      <c r="C936" s="6" t="s">
        <v>3431</v>
      </c>
      <c r="D936" s="9" t="s">
        <v>959</v>
      </c>
      <c r="H936" s="9" t="s">
        <v>3051</v>
      </c>
      <c r="M936" s="6" t="n">
        <v>2936.4</v>
      </c>
      <c r="Q936" s="1" t="str">
        <f aca="false">IF(OR($A936="",P936=""),"",ROUND(YEARFRAC(P936,README!$C$5),1))</f>
        <v/>
      </c>
      <c r="S936" s="6" t="n">
        <v>1680</v>
      </c>
      <c r="T936" s="6" t="n">
        <v>1635</v>
      </c>
      <c r="U936" s="6" t="n">
        <v>1680</v>
      </c>
      <c r="V936" s="6" t="n">
        <v>45</v>
      </c>
      <c r="W936" s="6" t="n">
        <v>0.983</v>
      </c>
      <c r="X936" s="6" t="n">
        <v>1</v>
      </c>
      <c r="Z936" s="6" t="s">
        <v>2845</v>
      </c>
      <c r="AA936" s="9" t="s">
        <v>528</v>
      </c>
      <c r="AB936" s="6" t="s">
        <v>3432</v>
      </c>
      <c r="AE936" s="37" t="n">
        <f aca="false">COUNTIF(環境認証!$A$2:$A$849,A936)</f>
        <v>1</v>
      </c>
      <c r="AF936" s="6" t="n">
        <v>2.8</v>
      </c>
      <c r="AG936" s="6" t="n">
        <v>0</v>
      </c>
    </row>
    <row r="937" customFormat="false" ht="15" hidden="false" customHeight="true" outlineLevel="0" collapsed="false">
      <c r="A937" s="6" t="s">
        <v>3433</v>
      </c>
      <c r="B937" s="6" t="s">
        <v>485</v>
      </c>
      <c r="C937" s="6" t="s">
        <v>3434</v>
      </c>
      <c r="D937" s="9" t="s">
        <v>959</v>
      </c>
      <c r="H937" s="9" t="s">
        <v>3051</v>
      </c>
      <c r="M937" s="6" t="n">
        <v>2798.2</v>
      </c>
      <c r="Q937" s="1" t="str">
        <f aca="false">IF(OR($A937="",P937=""),"",ROUND(YEARFRAC(P937,README!$C$5),1))</f>
        <v/>
      </c>
      <c r="S937" s="6" t="n">
        <v>1650</v>
      </c>
      <c r="T937" s="6" t="n">
        <v>1628</v>
      </c>
      <c r="U937" s="6" t="n">
        <v>1600</v>
      </c>
      <c r="V937" s="6" t="n">
        <v>-28</v>
      </c>
      <c r="W937" s="6" t="n">
        <v>1</v>
      </c>
      <c r="X937" s="6" t="n">
        <v>1</v>
      </c>
      <c r="Z937" s="6" t="s">
        <v>2845</v>
      </c>
      <c r="AA937" s="9" t="s">
        <v>528</v>
      </c>
      <c r="AB937" s="6" t="s">
        <v>3435</v>
      </c>
      <c r="AE937" s="37" t="n">
        <f aca="false">COUNTIF(環境認証!$A$2:$A$849,A937)</f>
        <v>1</v>
      </c>
      <c r="AF937" s="6" t="n">
        <v>-1.7</v>
      </c>
      <c r="AG937" s="6" t="n">
        <v>-3</v>
      </c>
    </row>
    <row r="938" customFormat="false" ht="15" hidden="false" customHeight="true" outlineLevel="0" collapsed="false">
      <c r="A938" s="6" t="s">
        <v>3436</v>
      </c>
      <c r="B938" s="6" t="s">
        <v>485</v>
      </c>
      <c r="C938" s="6" t="s">
        <v>3437</v>
      </c>
      <c r="D938" s="9" t="s">
        <v>959</v>
      </c>
      <c r="H938" s="9" t="s">
        <v>3051</v>
      </c>
      <c r="M938" s="6" t="n">
        <v>3330.15</v>
      </c>
      <c r="Q938" s="1" t="str">
        <f aca="false">IF(OR($A938="",P938=""),"",ROUND(YEARFRAC(P938,README!$C$5),1))</f>
        <v/>
      </c>
      <c r="S938" s="6" t="n">
        <v>1450</v>
      </c>
      <c r="T938" s="6" t="n">
        <v>1494</v>
      </c>
      <c r="U938" s="6" t="n">
        <v>1450</v>
      </c>
      <c r="V938" s="6" t="n">
        <v>-44</v>
      </c>
      <c r="W938" s="6" t="n">
        <v>0.909</v>
      </c>
      <c r="X938" s="6" t="n">
        <v>1</v>
      </c>
      <c r="Z938" s="6" t="s">
        <v>2845</v>
      </c>
      <c r="AA938" s="9" t="s">
        <v>528</v>
      </c>
      <c r="AB938" s="6" t="s">
        <v>3438</v>
      </c>
      <c r="AE938" s="37" t="n">
        <f aca="false">COUNTIF(環境認証!$A$2:$A$849,A938)</f>
        <v>1</v>
      </c>
      <c r="AF938" s="6" t="n">
        <v>-2.9</v>
      </c>
      <c r="AG938" s="6" t="n">
        <v>0</v>
      </c>
    </row>
    <row r="939" customFormat="false" ht="15" hidden="false" customHeight="true" outlineLevel="0" collapsed="false">
      <c r="A939" s="6" t="s">
        <v>3439</v>
      </c>
      <c r="B939" s="6" t="s">
        <v>485</v>
      </c>
      <c r="C939" s="6" t="s">
        <v>3440</v>
      </c>
      <c r="D939" s="9" t="s">
        <v>959</v>
      </c>
      <c r="H939" s="9" t="s">
        <v>3051</v>
      </c>
      <c r="M939" s="6" t="n">
        <v>6221.83</v>
      </c>
      <c r="Q939" s="1" t="str">
        <f aca="false">IF(OR($A939="",P939=""),"",ROUND(YEARFRAC(P939,README!$C$5),1))</f>
        <v/>
      </c>
      <c r="S939" s="6" t="n">
        <v>2680</v>
      </c>
      <c r="T939" s="6" t="n">
        <v>2632</v>
      </c>
      <c r="U939" s="6" t="n">
        <v>2730</v>
      </c>
      <c r="V939" s="6" t="n">
        <v>98</v>
      </c>
      <c r="W939" s="6" t="n">
        <v>0.957</v>
      </c>
      <c r="X939" s="6" t="n">
        <v>1</v>
      </c>
      <c r="Z939" s="6" t="s">
        <v>2845</v>
      </c>
      <c r="AA939" s="9" t="s">
        <v>528</v>
      </c>
      <c r="AB939" s="6" t="s">
        <v>3441</v>
      </c>
      <c r="AE939" s="37" t="n">
        <f aca="false">COUNTIF(環境認証!$A$2:$A$849,A939)</f>
        <v>2</v>
      </c>
      <c r="AF939" s="6" t="n">
        <v>3.7</v>
      </c>
      <c r="AG939" s="6" t="n">
        <v>1.9</v>
      </c>
    </row>
    <row r="940" customFormat="false" ht="15" hidden="false" customHeight="true" outlineLevel="0" collapsed="false">
      <c r="A940" s="6" t="s">
        <v>3442</v>
      </c>
      <c r="B940" s="6" t="s">
        <v>485</v>
      </c>
      <c r="C940" s="9" t="s">
        <v>3443</v>
      </c>
      <c r="D940" s="9" t="s">
        <v>959</v>
      </c>
      <c r="H940" s="9" t="s">
        <v>3051</v>
      </c>
      <c r="M940" s="6" t="n">
        <v>4044.46</v>
      </c>
      <c r="Q940" s="1" t="str">
        <f aca="false">IF(OR($A940="",P940=""),"",ROUND(YEARFRAC(P940,README!$C$5),1))</f>
        <v/>
      </c>
      <c r="S940" s="6" t="n">
        <v>2420</v>
      </c>
      <c r="T940" s="6" t="n">
        <v>2430</v>
      </c>
      <c r="U940" s="6" t="n">
        <v>2500</v>
      </c>
      <c r="V940" s="6" t="n">
        <v>70</v>
      </c>
      <c r="W940" s="6" t="n">
        <v>0.967</v>
      </c>
      <c r="X940" s="6" t="n">
        <v>1</v>
      </c>
      <c r="Z940" s="6" t="s">
        <v>2845</v>
      </c>
      <c r="AA940" s="9" t="s">
        <v>528</v>
      </c>
      <c r="AB940" s="6" t="s">
        <v>3444</v>
      </c>
      <c r="AE940" s="37" t="n">
        <f aca="false">COUNTIF(環境認証!$A$2:$A$849,A940)</f>
        <v>2</v>
      </c>
      <c r="AF940" s="6" t="n">
        <v>2.9</v>
      </c>
      <c r="AG940" s="6" t="n">
        <v>3.3</v>
      </c>
    </row>
    <row r="941" customFormat="false" ht="15" hidden="false" customHeight="true" outlineLevel="0" collapsed="false">
      <c r="A941" s="6" t="s">
        <v>3445</v>
      </c>
      <c r="B941" s="6" t="s">
        <v>485</v>
      </c>
      <c r="C941" s="6" t="s">
        <v>3446</v>
      </c>
      <c r="D941" s="9" t="s">
        <v>959</v>
      </c>
      <c r="H941" s="9" t="s">
        <v>3051</v>
      </c>
      <c r="M941" s="6" t="n">
        <v>3387.3</v>
      </c>
      <c r="Q941" s="1" t="str">
        <f aca="false">IF(OR($A941="",P941=""),"",ROUND(YEARFRAC(P941,README!$C$5),1))</f>
        <v/>
      </c>
      <c r="S941" s="6" t="n">
        <v>1940</v>
      </c>
      <c r="T941" s="6" t="n">
        <v>1985</v>
      </c>
      <c r="U941" s="6" t="n">
        <v>2080</v>
      </c>
      <c r="V941" s="6" t="n">
        <v>95</v>
      </c>
      <c r="W941" s="6" t="n">
        <v>0.977</v>
      </c>
      <c r="X941" s="6" t="n">
        <v>1</v>
      </c>
      <c r="Z941" s="6" t="s">
        <v>2845</v>
      </c>
      <c r="AA941" s="9" t="s">
        <v>528</v>
      </c>
      <c r="AB941" s="6" t="s">
        <v>3447</v>
      </c>
      <c r="AE941" s="37" t="n">
        <f aca="false">COUNTIF(環境認証!$A$2:$A$849,A941)</f>
        <v>1</v>
      </c>
      <c r="AF941" s="6" t="n">
        <v>4.8</v>
      </c>
      <c r="AG941" s="6" t="n">
        <v>7.2</v>
      </c>
    </row>
    <row r="942" customFormat="false" ht="15" hidden="false" customHeight="true" outlineLevel="0" collapsed="false">
      <c r="A942" s="6" t="s">
        <v>3448</v>
      </c>
      <c r="B942" s="6" t="s">
        <v>485</v>
      </c>
      <c r="C942" s="6" t="s">
        <v>3449</v>
      </c>
      <c r="D942" s="9" t="s">
        <v>959</v>
      </c>
      <c r="H942" s="9" t="s">
        <v>3051</v>
      </c>
      <c r="M942" s="6" t="n">
        <v>3813.31</v>
      </c>
      <c r="Q942" s="1" t="str">
        <f aca="false">IF(OR($A942="",P942=""),"",ROUND(YEARFRAC(P942,README!$C$5),1))</f>
        <v/>
      </c>
      <c r="S942" s="6" t="n">
        <v>1780</v>
      </c>
      <c r="T942" s="6" t="n">
        <v>1804</v>
      </c>
      <c r="U942" s="6" t="n">
        <v>1870</v>
      </c>
      <c r="V942" s="6" t="n">
        <v>66</v>
      </c>
      <c r="W942" s="6" t="n">
        <v>0.993</v>
      </c>
      <c r="X942" s="6" t="n">
        <v>1</v>
      </c>
      <c r="Z942" s="6" t="s">
        <v>2845</v>
      </c>
      <c r="AA942" s="9" t="s">
        <v>528</v>
      </c>
      <c r="AB942" s="6" t="s">
        <v>3450</v>
      </c>
      <c r="AE942" s="37" t="n">
        <f aca="false">COUNTIF(環境認証!$A$2:$A$849,A942)</f>
        <v>1</v>
      </c>
      <c r="AF942" s="6" t="n">
        <v>3.7</v>
      </c>
      <c r="AG942" s="6" t="n">
        <v>5.1</v>
      </c>
    </row>
    <row r="943" customFormat="false" ht="15" hidden="false" customHeight="true" outlineLevel="0" collapsed="false">
      <c r="A943" s="6" t="s">
        <v>3451</v>
      </c>
      <c r="B943" s="6" t="s">
        <v>485</v>
      </c>
      <c r="C943" s="6" t="s">
        <v>3452</v>
      </c>
      <c r="D943" s="9" t="s">
        <v>959</v>
      </c>
      <c r="H943" s="9" t="s">
        <v>3051</v>
      </c>
      <c r="M943" s="6" t="n">
        <v>4701.87</v>
      </c>
      <c r="Q943" s="1" t="str">
        <f aca="false">IF(OR($A943="",P943=""),"",ROUND(YEARFRAC(P943,README!$C$5),1))</f>
        <v/>
      </c>
      <c r="S943" s="6" t="n">
        <v>1657</v>
      </c>
      <c r="T943" s="6" t="n">
        <v>1730</v>
      </c>
      <c r="U943" s="6" t="n">
        <v>1728</v>
      </c>
      <c r="V943" s="6" t="n">
        <v>-2</v>
      </c>
      <c r="W943" s="6" t="n">
        <v>1</v>
      </c>
      <c r="X943" s="6" t="n">
        <v>1</v>
      </c>
      <c r="Z943" s="6" t="s">
        <v>2845</v>
      </c>
      <c r="AA943" s="9" t="s">
        <v>528</v>
      </c>
      <c r="AB943" s="6" t="s">
        <v>3453</v>
      </c>
      <c r="AE943" s="37" t="n">
        <f aca="false">COUNTIF(環境認証!$A$2:$A$849,A943)</f>
        <v>1</v>
      </c>
      <c r="AF943" s="6" t="n">
        <v>-0.1</v>
      </c>
      <c r="AG943" s="6" t="n">
        <v>4.3</v>
      </c>
    </row>
    <row r="944" customFormat="false" ht="15" hidden="false" customHeight="true" outlineLevel="0" collapsed="false">
      <c r="A944" s="6" t="s">
        <v>3454</v>
      </c>
      <c r="B944" s="6" t="s">
        <v>485</v>
      </c>
      <c r="C944" s="6" t="s">
        <v>3455</v>
      </c>
      <c r="D944" s="9" t="s">
        <v>959</v>
      </c>
      <c r="H944" s="9" t="s">
        <v>3051</v>
      </c>
      <c r="M944" s="6" t="n">
        <v>2292.72</v>
      </c>
      <c r="Q944" s="1" t="str">
        <f aca="false">IF(OR($A944="",P944=""),"",ROUND(YEARFRAC(P944,README!$C$5),1))</f>
        <v/>
      </c>
      <c r="S944" s="6" t="n">
        <v>1410</v>
      </c>
      <c r="T944" s="6" t="n">
        <v>1381</v>
      </c>
      <c r="U944" s="6" t="n">
        <v>1590</v>
      </c>
      <c r="V944" s="6" t="n">
        <v>209</v>
      </c>
      <c r="W944" s="6" t="n">
        <v>0.989</v>
      </c>
      <c r="X944" s="6" t="n">
        <v>1</v>
      </c>
      <c r="Z944" s="6" t="s">
        <v>2845</v>
      </c>
      <c r="AA944" s="9" t="s">
        <v>528</v>
      </c>
      <c r="AB944" s="6" t="s">
        <v>3456</v>
      </c>
      <c r="AE944" s="37" t="n">
        <f aca="false">COUNTIF(環境認証!$A$2:$A$849,A944)</f>
        <v>1</v>
      </c>
      <c r="AF944" s="6" t="n">
        <v>15.1</v>
      </c>
      <c r="AG944" s="6" t="n">
        <v>12.8</v>
      </c>
    </row>
    <row r="945" customFormat="false" ht="15" hidden="false" customHeight="true" outlineLevel="0" collapsed="false">
      <c r="A945" s="6" t="s">
        <v>3457</v>
      </c>
      <c r="B945" s="6" t="s">
        <v>485</v>
      </c>
      <c r="C945" s="6" t="s">
        <v>3458</v>
      </c>
      <c r="D945" s="9" t="s">
        <v>959</v>
      </c>
      <c r="H945" s="9" t="s">
        <v>3051</v>
      </c>
      <c r="M945" s="6" t="n">
        <v>3413.06</v>
      </c>
      <c r="Q945" s="1" t="str">
        <f aca="false">IF(OR($A945="",P945=""),"",ROUND(YEARFRAC(P945,README!$C$5),1))</f>
        <v/>
      </c>
      <c r="S945" s="6" t="n">
        <v>1180</v>
      </c>
      <c r="T945" s="6" t="n">
        <v>1140</v>
      </c>
      <c r="U945" s="6" t="n">
        <v>1230</v>
      </c>
      <c r="V945" s="6" t="n">
        <v>90</v>
      </c>
      <c r="W945" s="6" t="n">
        <v>0.954</v>
      </c>
      <c r="X945" s="6" t="n">
        <v>1</v>
      </c>
      <c r="Z945" s="6" t="s">
        <v>2845</v>
      </c>
      <c r="AA945" s="9" t="s">
        <v>528</v>
      </c>
      <c r="AB945" s="6" t="s">
        <v>3459</v>
      </c>
      <c r="AE945" s="37" t="n">
        <f aca="false">COUNTIF(環境認証!$A$2:$A$849,A945)</f>
        <v>1</v>
      </c>
      <c r="AF945" s="6" t="n">
        <v>7.9</v>
      </c>
      <c r="AG945" s="6" t="n">
        <v>4.2</v>
      </c>
    </row>
    <row r="946" customFormat="false" ht="15" hidden="false" customHeight="true" outlineLevel="0" collapsed="false">
      <c r="A946" s="6" t="s">
        <v>3460</v>
      </c>
      <c r="B946" s="6" t="s">
        <v>485</v>
      </c>
      <c r="C946" s="6" t="s">
        <v>3461</v>
      </c>
      <c r="D946" s="9" t="s">
        <v>959</v>
      </c>
      <c r="H946" s="9" t="s">
        <v>3051</v>
      </c>
      <c r="M946" s="6" t="n">
        <v>2762.76</v>
      </c>
      <c r="Q946" s="1" t="str">
        <f aca="false">IF(OR($A946="",P946=""),"",ROUND(YEARFRAC(P946,README!$C$5),1))</f>
        <v/>
      </c>
      <c r="S946" s="6" t="n">
        <v>1150</v>
      </c>
      <c r="T946" s="6" t="n">
        <v>1114</v>
      </c>
      <c r="U946" s="6" t="n">
        <v>1190</v>
      </c>
      <c r="V946" s="6" t="n">
        <v>76</v>
      </c>
      <c r="W946" s="6" t="n">
        <v>0.936</v>
      </c>
      <c r="X946" s="6" t="n">
        <v>1</v>
      </c>
      <c r="Z946" s="6" t="s">
        <v>2845</v>
      </c>
      <c r="AA946" s="9" t="s">
        <v>528</v>
      </c>
      <c r="AB946" s="6" t="s">
        <v>3462</v>
      </c>
      <c r="AE946" s="37" t="n">
        <f aca="false">COUNTIF(環境認証!$A$2:$A$849,A946)</f>
        <v>1</v>
      </c>
      <c r="AF946" s="6" t="n">
        <v>6.8</v>
      </c>
      <c r="AG946" s="6" t="n">
        <v>3.5</v>
      </c>
    </row>
    <row r="947" customFormat="false" ht="15" hidden="false" customHeight="true" outlineLevel="0" collapsed="false">
      <c r="A947" s="6" t="s">
        <v>3463</v>
      </c>
      <c r="B947" s="6" t="s">
        <v>485</v>
      </c>
      <c r="C947" s="6" t="s">
        <v>3464</v>
      </c>
      <c r="D947" s="9" t="s">
        <v>959</v>
      </c>
      <c r="H947" s="9" t="s">
        <v>3051</v>
      </c>
      <c r="M947" s="6" t="n">
        <v>2724.19</v>
      </c>
      <c r="Q947" s="1" t="str">
        <f aca="false">IF(OR($A947="",P947=""),"",ROUND(YEARFRAC(P947,README!$C$5),1))</f>
        <v/>
      </c>
      <c r="S947" s="6" t="n">
        <v>1120</v>
      </c>
      <c r="T947" s="6" t="n">
        <v>1082</v>
      </c>
      <c r="U947" s="6" t="n">
        <v>1160</v>
      </c>
      <c r="V947" s="6" t="n">
        <v>78</v>
      </c>
      <c r="W947" s="6" t="n">
        <v>0.982</v>
      </c>
      <c r="X947" s="6" t="n">
        <v>1</v>
      </c>
      <c r="Z947" s="6" t="s">
        <v>2845</v>
      </c>
      <c r="AA947" s="9" t="s">
        <v>528</v>
      </c>
      <c r="AB947" s="6" t="s">
        <v>3465</v>
      </c>
      <c r="AE947" s="37" t="n">
        <f aca="false">COUNTIF(環境認証!$A$2:$A$849,A947)</f>
        <v>1</v>
      </c>
      <c r="AF947" s="6" t="n">
        <v>7.2</v>
      </c>
      <c r="AG947" s="6" t="n">
        <v>3.6</v>
      </c>
    </row>
    <row r="948" customFormat="false" ht="15" hidden="false" customHeight="true" outlineLevel="0" collapsed="false">
      <c r="A948" s="6" t="s">
        <v>3466</v>
      </c>
      <c r="B948" s="6" t="s">
        <v>485</v>
      </c>
      <c r="C948" s="6" t="s">
        <v>3467</v>
      </c>
      <c r="D948" s="9" t="s">
        <v>959</v>
      </c>
      <c r="H948" s="9" t="s">
        <v>3051</v>
      </c>
      <c r="M948" s="6" t="n">
        <v>2602.53</v>
      </c>
      <c r="Q948" s="1" t="str">
        <f aca="false">IF(OR($A948="",P948=""),"",ROUND(YEARFRAC(P948,README!$C$5),1))</f>
        <v/>
      </c>
      <c r="S948" s="6" t="n">
        <v>1090</v>
      </c>
      <c r="T948" s="6" t="n">
        <v>1125</v>
      </c>
      <c r="U948" s="6" t="n">
        <v>1130</v>
      </c>
      <c r="V948" s="6" t="n">
        <v>5</v>
      </c>
      <c r="W948" s="6" t="n">
        <v>0.984</v>
      </c>
      <c r="X948" s="6" t="n">
        <v>1</v>
      </c>
      <c r="Z948" s="6" t="s">
        <v>2845</v>
      </c>
      <c r="AA948" s="9" t="s">
        <v>528</v>
      </c>
      <c r="AB948" s="6" t="s">
        <v>3468</v>
      </c>
      <c r="AE948" s="37" t="n">
        <f aca="false">COUNTIF(環境認証!$A$2:$A$849,A948)</f>
        <v>1</v>
      </c>
      <c r="AF948" s="6" t="n">
        <v>0.4</v>
      </c>
      <c r="AG948" s="6" t="n">
        <v>3.7</v>
      </c>
    </row>
    <row r="949" customFormat="false" ht="15" hidden="false" customHeight="true" outlineLevel="0" collapsed="false">
      <c r="A949" s="6" t="s">
        <v>3469</v>
      </c>
      <c r="B949" s="6" t="s">
        <v>485</v>
      </c>
      <c r="C949" s="6" t="s">
        <v>3470</v>
      </c>
      <c r="D949" s="9" t="s">
        <v>959</v>
      </c>
      <c r="H949" s="9" t="s">
        <v>3051</v>
      </c>
      <c r="M949" s="6" t="n">
        <v>2098.68</v>
      </c>
      <c r="Q949" s="1" t="str">
        <f aca="false">IF(OR($A949="",P949=""),"",ROUND(YEARFRAC(P949,README!$C$5),1))</f>
        <v/>
      </c>
      <c r="S949" s="6" t="n">
        <v>1090</v>
      </c>
      <c r="T949" s="6" t="n">
        <v>1135</v>
      </c>
      <c r="U949" s="6" t="n">
        <v>1070</v>
      </c>
      <c r="V949" s="6" t="n">
        <v>-65</v>
      </c>
      <c r="W949" s="6" t="n">
        <v>0.957</v>
      </c>
      <c r="X949" s="6" t="n">
        <v>1</v>
      </c>
      <c r="Z949" s="6" t="s">
        <v>2845</v>
      </c>
      <c r="AA949" s="9" t="s">
        <v>528</v>
      </c>
      <c r="AB949" s="6" t="s">
        <v>3471</v>
      </c>
      <c r="AE949" s="37" t="n">
        <f aca="false">COUNTIF(環境認証!$A$2:$A$849,A949)</f>
        <v>1</v>
      </c>
      <c r="AF949" s="6" t="n">
        <v>-5.7</v>
      </c>
      <c r="AG949" s="6" t="n">
        <v>-1.8</v>
      </c>
    </row>
    <row r="950" customFormat="false" ht="15" hidden="false" customHeight="true" outlineLevel="0" collapsed="false">
      <c r="A950" s="6" t="s">
        <v>3472</v>
      </c>
      <c r="B950" s="6" t="s">
        <v>485</v>
      </c>
      <c r="C950" s="6" t="s">
        <v>3473</v>
      </c>
      <c r="D950" s="9" t="s">
        <v>959</v>
      </c>
      <c r="H950" s="9" t="s">
        <v>3051</v>
      </c>
      <c r="M950" s="6" t="n">
        <v>2522.16</v>
      </c>
      <c r="Q950" s="1" t="str">
        <f aca="false">IF(OR($A950="",P950=""),"",ROUND(YEARFRAC(P950,README!$C$5),1))</f>
        <v/>
      </c>
      <c r="S950" s="6" t="n">
        <v>1110</v>
      </c>
      <c r="T950" s="6" t="n">
        <v>1142</v>
      </c>
      <c r="U950" s="6" t="n">
        <v>1070</v>
      </c>
      <c r="V950" s="6" t="n">
        <v>-72</v>
      </c>
      <c r="W950" s="6" t="n">
        <v>0.916</v>
      </c>
      <c r="X950" s="6" t="n">
        <v>1</v>
      </c>
      <c r="Z950" s="6" t="s">
        <v>2845</v>
      </c>
      <c r="AA950" s="9" t="s">
        <v>528</v>
      </c>
      <c r="AB950" s="6" t="s">
        <v>3474</v>
      </c>
      <c r="AE950" s="37" t="n">
        <f aca="false">COUNTIF(環境認証!$A$2:$A$849,A950)</f>
        <v>1</v>
      </c>
      <c r="AF950" s="6" t="n">
        <v>-6.3</v>
      </c>
      <c r="AG950" s="6" t="n">
        <v>-3.6</v>
      </c>
    </row>
    <row r="951" customFormat="false" ht="15" hidden="false" customHeight="true" outlineLevel="0" collapsed="false">
      <c r="A951" s="6" t="s">
        <v>3475</v>
      </c>
      <c r="B951" s="6" t="s">
        <v>485</v>
      </c>
      <c r="C951" s="6" t="s">
        <v>3476</v>
      </c>
      <c r="D951" s="9" t="s">
        <v>959</v>
      </c>
      <c r="H951" s="9" t="s">
        <v>3051</v>
      </c>
      <c r="M951" s="6" t="n">
        <v>2024.5</v>
      </c>
      <c r="Q951" s="1" t="str">
        <f aca="false">IF(OR($A951="",P951=""),"",ROUND(YEARFRAC(P951,README!$C$5),1))</f>
        <v/>
      </c>
      <c r="S951" s="6" t="n">
        <v>1070</v>
      </c>
      <c r="T951" s="6" t="n">
        <v>1072</v>
      </c>
      <c r="U951" s="6" t="n">
        <v>1030</v>
      </c>
      <c r="V951" s="6" t="n">
        <v>-42</v>
      </c>
      <c r="W951" s="6" t="n">
        <v>0.972</v>
      </c>
      <c r="X951" s="6" t="n">
        <v>1</v>
      </c>
      <c r="Z951" s="6" t="s">
        <v>2845</v>
      </c>
      <c r="AA951" s="9" t="s">
        <v>528</v>
      </c>
      <c r="AB951" s="6" t="s">
        <v>3477</v>
      </c>
      <c r="AE951" s="37" t="n">
        <f aca="false">COUNTIF(環境認証!$A$2:$A$849,A951)</f>
        <v>1</v>
      </c>
      <c r="AF951" s="6" t="n">
        <v>-3.9</v>
      </c>
      <c r="AG951" s="6" t="n">
        <v>-3.7</v>
      </c>
    </row>
    <row r="952" customFormat="false" ht="15" hidden="false" customHeight="true" outlineLevel="0" collapsed="false">
      <c r="A952" s="6" t="s">
        <v>3478</v>
      </c>
      <c r="B952" s="6" t="s">
        <v>485</v>
      </c>
      <c r="C952" s="6" t="s">
        <v>3479</v>
      </c>
      <c r="D952" s="9" t="s">
        <v>959</v>
      </c>
      <c r="H952" s="9" t="s">
        <v>3051</v>
      </c>
      <c r="M952" s="6" t="n">
        <v>2353.55</v>
      </c>
      <c r="Q952" s="1" t="str">
        <f aca="false">IF(OR($A952="",P952=""),"",ROUND(YEARFRAC(P952,README!$C$5),1))</f>
        <v/>
      </c>
      <c r="S952" s="6" t="n">
        <v>993</v>
      </c>
      <c r="T952" s="6" t="n">
        <v>1011</v>
      </c>
      <c r="U952" s="6" t="n">
        <v>1030</v>
      </c>
      <c r="V952" s="6" t="n">
        <v>19</v>
      </c>
      <c r="W952" s="6" t="n">
        <v>0.969</v>
      </c>
      <c r="X952" s="6" t="n">
        <v>1</v>
      </c>
      <c r="Z952" s="6" t="s">
        <v>2845</v>
      </c>
      <c r="AA952" s="9" t="s">
        <v>528</v>
      </c>
      <c r="AB952" s="6" t="s">
        <v>3480</v>
      </c>
      <c r="AE952" s="37" t="n">
        <f aca="false">COUNTIF(環境認証!$A$2:$A$849,A952)</f>
        <v>0</v>
      </c>
      <c r="AF952" s="6" t="n">
        <v>1.9</v>
      </c>
      <c r="AG952" s="6" t="n">
        <v>3.7</v>
      </c>
    </row>
    <row r="953" customFormat="false" ht="15" hidden="false" customHeight="true" outlineLevel="0" collapsed="false">
      <c r="A953" s="6" t="s">
        <v>3481</v>
      </c>
      <c r="B953" s="6" t="s">
        <v>485</v>
      </c>
      <c r="C953" s="6" t="s">
        <v>3482</v>
      </c>
      <c r="D953" s="9" t="s">
        <v>959</v>
      </c>
      <c r="H953" s="9" t="s">
        <v>3051</v>
      </c>
      <c r="M953" s="6" t="n">
        <v>1923.22</v>
      </c>
      <c r="Q953" s="1" t="str">
        <f aca="false">IF(OR($A953="",P953=""),"",ROUND(YEARFRAC(P953,README!$C$5),1))</f>
        <v/>
      </c>
      <c r="S953" s="6" t="n">
        <v>1340</v>
      </c>
      <c r="T953" s="6" t="n">
        <v>1313</v>
      </c>
      <c r="U953" s="6" t="n">
        <v>1290</v>
      </c>
      <c r="V953" s="6" t="n">
        <v>-23</v>
      </c>
      <c r="W953" s="6" t="n">
        <v>0.984</v>
      </c>
      <c r="X953" s="6" t="n">
        <v>1</v>
      </c>
      <c r="Z953" s="6" t="s">
        <v>2845</v>
      </c>
      <c r="AA953" s="9" t="s">
        <v>528</v>
      </c>
      <c r="AB953" s="6" t="s">
        <v>3483</v>
      </c>
      <c r="AE953" s="37" t="n">
        <f aca="false">COUNTIF(環境認証!$A$2:$A$849,A953)</f>
        <v>1</v>
      </c>
      <c r="AF953" s="6" t="n">
        <v>-1.8</v>
      </c>
      <c r="AG953" s="6" t="n">
        <v>-3.7</v>
      </c>
    </row>
    <row r="954" customFormat="false" ht="15" hidden="false" customHeight="true" outlineLevel="0" collapsed="false">
      <c r="A954" s="6" t="s">
        <v>3484</v>
      </c>
      <c r="B954" s="6" t="s">
        <v>485</v>
      </c>
      <c r="C954" s="6" t="s">
        <v>3485</v>
      </c>
      <c r="D954" s="9" t="s">
        <v>959</v>
      </c>
      <c r="H954" s="9" t="s">
        <v>3051</v>
      </c>
      <c r="M954" s="6" t="n">
        <v>6511.88</v>
      </c>
      <c r="Q954" s="1" t="str">
        <f aca="false">IF(OR($A954="",P954=""),"",ROUND(YEARFRAC(P954,README!$C$5),1))</f>
        <v/>
      </c>
      <c r="S954" s="6" t="n">
        <v>4160</v>
      </c>
      <c r="T954" s="6" t="n">
        <v>4091</v>
      </c>
      <c r="U954" s="6" t="n">
        <v>4090</v>
      </c>
      <c r="V954" s="6" t="n">
        <v>-1</v>
      </c>
      <c r="W954" s="6" t="n">
        <v>0.987</v>
      </c>
      <c r="X954" s="6" t="n">
        <v>1</v>
      </c>
      <c r="Z954" s="6" t="s">
        <v>2845</v>
      </c>
      <c r="AA954" s="9" t="s">
        <v>528</v>
      </c>
      <c r="AB954" s="6" t="s">
        <v>3486</v>
      </c>
      <c r="AE954" s="37" t="n">
        <f aca="false">COUNTIF(環境認証!$A$2:$A$849,A954)</f>
        <v>2</v>
      </c>
      <c r="AF954" s="6" t="n">
        <v>0</v>
      </c>
      <c r="AG954" s="6" t="n">
        <v>-1.7</v>
      </c>
    </row>
    <row r="955" customFormat="false" ht="15" hidden="false" customHeight="true" outlineLevel="0" collapsed="false">
      <c r="A955" s="6" t="s">
        <v>3487</v>
      </c>
      <c r="B955" s="6" t="s">
        <v>485</v>
      </c>
      <c r="C955" s="6" t="s">
        <v>3488</v>
      </c>
      <c r="D955" s="9" t="s">
        <v>959</v>
      </c>
      <c r="H955" s="9" t="s">
        <v>3051</v>
      </c>
      <c r="M955" s="6" t="n">
        <v>11855.63</v>
      </c>
      <c r="Q955" s="1" t="str">
        <f aca="false">IF(OR($A955="",P955=""),"",ROUND(YEARFRAC(P955,README!$C$5),1))</f>
        <v/>
      </c>
      <c r="S955" s="6" t="n">
        <v>5310</v>
      </c>
      <c r="T955" s="6" t="n">
        <v>5303</v>
      </c>
      <c r="U955" s="6" t="n">
        <v>5630</v>
      </c>
      <c r="V955" s="6" t="n">
        <v>327</v>
      </c>
      <c r="W955" s="6" t="n">
        <v>0.967</v>
      </c>
      <c r="X955" s="6" t="n">
        <v>1</v>
      </c>
      <c r="Z955" s="6" t="s">
        <v>2845</v>
      </c>
      <c r="AA955" s="9" t="s">
        <v>528</v>
      </c>
      <c r="AB955" s="6" t="s">
        <v>3489</v>
      </c>
      <c r="AE955" s="37" t="n">
        <f aca="false">COUNTIF(環境認証!$A$2:$A$849,A955)</f>
        <v>2</v>
      </c>
      <c r="AF955" s="6" t="n">
        <v>6.2</v>
      </c>
      <c r="AG955" s="6" t="n">
        <v>6</v>
      </c>
    </row>
    <row r="956" customFormat="false" ht="15" hidden="false" customHeight="true" outlineLevel="0" collapsed="false">
      <c r="A956" s="6" t="s">
        <v>3490</v>
      </c>
      <c r="B956" s="6" t="s">
        <v>485</v>
      </c>
      <c r="C956" s="6" t="s">
        <v>3491</v>
      </c>
      <c r="D956" s="9" t="s">
        <v>959</v>
      </c>
      <c r="H956" s="9" t="s">
        <v>3051</v>
      </c>
      <c r="M956" s="6" t="n">
        <v>5735.96</v>
      </c>
      <c r="Q956" s="1" t="str">
        <f aca="false">IF(OR($A956="",P956=""),"",ROUND(YEARFRAC(P956,README!$C$5),1))</f>
        <v/>
      </c>
      <c r="S956" s="6" t="n">
        <v>2650</v>
      </c>
      <c r="T956" s="6" t="n">
        <v>2605</v>
      </c>
      <c r="U956" s="6" t="n">
        <v>2660</v>
      </c>
      <c r="V956" s="6" t="n">
        <v>55</v>
      </c>
      <c r="W956" s="6" t="n">
        <v>0.928</v>
      </c>
      <c r="X956" s="6" t="n">
        <v>1</v>
      </c>
      <c r="Z956" s="6" t="s">
        <v>2845</v>
      </c>
      <c r="AA956" s="9" t="s">
        <v>528</v>
      </c>
      <c r="AB956" s="6" t="s">
        <v>3492</v>
      </c>
      <c r="AE956" s="37" t="n">
        <f aca="false">COUNTIF(環境認証!$A$2:$A$849,A956)</f>
        <v>1</v>
      </c>
      <c r="AF956" s="6" t="n">
        <v>2.1</v>
      </c>
      <c r="AG956" s="6" t="n">
        <v>0.4</v>
      </c>
    </row>
    <row r="957" customFormat="false" ht="15" hidden="false" customHeight="true" outlineLevel="0" collapsed="false">
      <c r="A957" s="6" t="s">
        <v>3493</v>
      </c>
      <c r="B957" s="6" t="s">
        <v>485</v>
      </c>
      <c r="C957" s="6" t="s">
        <v>3494</v>
      </c>
      <c r="D957" s="9" t="s">
        <v>959</v>
      </c>
      <c r="H957" s="9" t="s">
        <v>3051</v>
      </c>
      <c r="M957" s="6" t="n">
        <v>5269.39</v>
      </c>
      <c r="Q957" s="1" t="str">
        <f aca="false">IF(OR($A957="",P957=""),"",ROUND(YEARFRAC(P957,README!$C$5),1))</f>
        <v/>
      </c>
      <c r="S957" s="6" t="n">
        <v>1970</v>
      </c>
      <c r="T957" s="6" t="n">
        <v>1956</v>
      </c>
      <c r="U957" s="6" t="n">
        <v>2140</v>
      </c>
      <c r="V957" s="6" t="n">
        <v>184</v>
      </c>
      <c r="W957" s="6" t="n">
        <v>0.952</v>
      </c>
      <c r="X957" s="6" t="n">
        <v>1</v>
      </c>
      <c r="Z957" s="6" t="s">
        <v>2845</v>
      </c>
      <c r="AA957" s="9" t="s">
        <v>528</v>
      </c>
      <c r="AB957" s="6" t="s">
        <v>3495</v>
      </c>
      <c r="AE957" s="37" t="n">
        <f aca="false">COUNTIF(環境認証!$A$2:$A$849,A957)</f>
        <v>1</v>
      </c>
      <c r="AF957" s="6" t="n">
        <v>9.4</v>
      </c>
      <c r="AG957" s="6" t="n">
        <v>8.6</v>
      </c>
    </row>
    <row r="958" customFormat="false" ht="15" hidden="false" customHeight="true" outlineLevel="0" collapsed="false">
      <c r="A958" s="6" t="s">
        <v>3496</v>
      </c>
      <c r="B958" s="6" t="s">
        <v>485</v>
      </c>
      <c r="C958" s="9" t="s">
        <v>3497</v>
      </c>
      <c r="D958" s="9" t="s">
        <v>959</v>
      </c>
      <c r="H958" s="9" t="s">
        <v>3051</v>
      </c>
      <c r="M958" s="6" t="n">
        <v>2277.14</v>
      </c>
      <c r="Q958" s="1" t="str">
        <f aca="false">IF(OR($A958="",P958=""),"",ROUND(YEARFRAC(P958,README!$C$5),1))</f>
        <v/>
      </c>
      <c r="S958" s="6" t="n">
        <v>1780</v>
      </c>
      <c r="T958" s="6" t="n">
        <v>1741</v>
      </c>
      <c r="U958" s="6" t="n">
        <v>1810</v>
      </c>
      <c r="V958" s="6" t="n">
        <v>69</v>
      </c>
      <c r="W958" s="6" t="n">
        <v>0.976</v>
      </c>
      <c r="X958" s="6" t="n">
        <v>1</v>
      </c>
      <c r="Z958" s="6" t="s">
        <v>2845</v>
      </c>
      <c r="AA958" s="9" t="s">
        <v>528</v>
      </c>
      <c r="AB958" s="6" t="s">
        <v>3498</v>
      </c>
      <c r="AE958" s="37" t="n">
        <f aca="false">COUNTIF(環境認証!$A$2:$A$849,A958)</f>
        <v>0</v>
      </c>
      <c r="AF958" s="6" t="n">
        <v>4</v>
      </c>
      <c r="AG958" s="6" t="n">
        <v>1.7</v>
      </c>
    </row>
    <row r="959" customFormat="false" ht="15" hidden="false" customHeight="true" outlineLevel="0" collapsed="false">
      <c r="A959" s="6" t="s">
        <v>3499</v>
      </c>
      <c r="B959" s="6" t="s">
        <v>485</v>
      </c>
      <c r="C959" s="9" t="s">
        <v>3500</v>
      </c>
      <c r="D959" s="9" t="s">
        <v>959</v>
      </c>
      <c r="H959" s="9" t="s">
        <v>3051</v>
      </c>
      <c r="M959" s="6" t="n">
        <v>1351.68</v>
      </c>
      <c r="Q959" s="1" t="str">
        <f aca="false">IF(OR($A959="",P959=""),"",ROUND(YEARFRAC(P959,README!$C$5),1))</f>
        <v/>
      </c>
      <c r="S959" s="6" t="n">
        <v>783</v>
      </c>
      <c r="T959" s="6" t="n">
        <v>757</v>
      </c>
      <c r="U959" s="6" t="n">
        <v>815</v>
      </c>
      <c r="V959" s="6" t="n">
        <v>58</v>
      </c>
      <c r="W959" s="6" t="n">
        <v>0.93</v>
      </c>
      <c r="X959" s="6" t="n">
        <v>1</v>
      </c>
      <c r="Z959" s="6" t="s">
        <v>2845</v>
      </c>
      <c r="AA959" s="9" t="s">
        <v>528</v>
      </c>
      <c r="AB959" s="6" t="s">
        <v>3501</v>
      </c>
      <c r="AE959" s="37" t="n">
        <f aca="false">COUNTIF(環境認証!$A$2:$A$849,A959)</f>
        <v>0</v>
      </c>
      <c r="AF959" s="6" t="n">
        <v>7.7</v>
      </c>
      <c r="AG959" s="6" t="n">
        <v>4.1</v>
      </c>
    </row>
    <row r="960" customFormat="false" ht="15" hidden="false" customHeight="true" outlineLevel="0" collapsed="false">
      <c r="A960" s="6" t="s">
        <v>3502</v>
      </c>
      <c r="B960" s="6" t="s">
        <v>485</v>
      </c>
      <c r="C960" s="6" t="s">
        <v>3503</v>
      </c>
      <c r="D960" s="9" t="s">
        <v>959</v>
      </c>
      <c r="H960" s="9" t="s">
        <v>3051</v>
      </c>
      <c r="M960" s="6" t="n">
        <v>4472.72</v>
      </c>
      <c r="Q960" s="1" t="str">
        <f aca="false">IF(OR($A960="",P960=""),"",ROUND(YEARFRAC(P960,README!$C$5),1))</f>
        <v/>
      </c>
      <c r="S960" s="6" t="n">
        <v>1850</v>
      </c>
      <c r="T960" s="6" t="n">
        <v>1838</v>
      </c>
      <c r="U960" s="6" t="n">
        <v>1970</v>
      </c>
      <c r="V960" s="6" t="n">
        <v>132</v>
      </c>
      <c r="W960" s="6" t="n">
        <v>0.948</v>
      </c>
      <c r="X960" s="6" t="n">
        <v>1</v>
      </c>
      <c r="Z960" s="6" t="s">
        <v>2845</v>
      </c>
      <c r="AA960" s="9" t="s">
        <v>528</v>
      </c>
      <c r="AB960" s="6" t="s">
        <v>3504</v>
      </c>
      <c r="AE960" s="37" t="n">
        <f aca="false">COUNTIF(環境認証!$A$2:$A$849,A960)</f>
        <v>1</v>
      </c>
      <c r="AF960" s="6" t="n">
        <v>7.2</v>
      </c>
      <c r="AG960" s="6" t="n">
        <v>6.5</v>
      </c>
    </row>
    <row r="961" customFormat="false" ht="15" hidden="false" customHeight="true" outlineLevel="0" collapsed="false">
      <c r="A961" s="6" t="s">
        <v>3505</v>
      </c>
      <c r="B961" s="6" t="s">
        <v>485</v>
      </c>
      <c r="C961" s="6" t="s">
        <v>3506</v>
      </c>
      <c r="D961" s="9" t="s">
        <v>959</v>
      </c>
      <c r="H961" s="9" t="s">
        <v>3051</v>
      </c>
      <c r="M961" s="6" t="n">
        <v>17575.39</v>
      </c>
      <c r="Q961" s="1" t="str">
        <f aca="false">IF(OR($A961="",P961=""),"",ROUND(YEARFRAC(P961,README!$C$5),1))</f>
        <v/>
      </c>
      <c r="S961" s="6" t="n">
        <v>7460</v>
      </c>
      <c r="T961" s="6" t="n">
        <v>7516</v>
      </c>
      <c r="U961" s="6" t="n">
        <v>7410</v>
      </c>
      <c r="V961" s="6" t="n">
        <v>-106</v>
      </c>
      <c r="W961" s="6" t="n">
        <v>0.973</v>
      </c>
      <c r="X961" s="6" t="n">
        <v>1</v>
      </c>
      <c r="Z961" s="6" t="s">
        <v>2845</v>
      </c>
      <c r="AA961" s="9" t="s">
        <v>528</v>
      </c>
      <c r="AB961" s="6" t="s">
        <v>3507</v>
      </c>
      <c r="AE961" s="37" t="n">
        <f aca="false">COUNTIF(環境認証!$A$2:$A$849,A961)</f>
        <v>2</v>
      </c>
      <c r="AF961" s="6" t="n">
        <v>-1.4</v>
      </c>
      <c r="AG961" s="6" t="n">
        <v>-0.7</v>
      </c>
    </row>
    <row r="962" customFormat="false" ht="15" hidden="false" customHeight="true" outlineLevel="0" collapsed="false">
      <c r="A962" s="6" t="s">
        <v>3508</v>
      </c>
      <c r="B962" s="6" t="s">
        <v>485</v>
      </c>
      <c r="C962" s="9" t="s">
        <v>3509</v>
      </c>
      <c r="D962" s="9" t="s">
        <v>959</v>
      </c>
      <c r="H962" s="9" t="s">
        <v>3051</v>
      </c>
      <c r="M962" s="6" t="n">
        <v>3787.85</v>
      </c>
      <c r="Q962" s="1" t="str">
        <f aca="false">IF(OR($A962="",P962=""),"",ROUND(YEARFRAC(P962,README!$C$5),1))</f>
        <v/>
      </c>
      <c r="S962" s="6" t="n">
        <v>2790</v>
      </c>
      <c r="T962" s="6" t="n">
        <v>2715</v>
      </c>
      <c r="U962" s="6" t="n">
        <v>2900</v>
      </c>
      <c r="V962" s="6" t="n">
        <v>185</v>
      </c>
      <c r="W962" s="6" t="n">
        <v>0.964</v>
      </c>
      <c r="X962" s="6" t="n">
        <v>1</v>
      </c>
      <c r="Z962" s="6" t="s">
        <v>2845</v>
      </c>
      <c r="AA962" s="9" t="s">
        <v>528</v>
      </c>
      <c r="AB962" s="6" t="s">
        <v>3510</v>
      </c>
      <c r="AE962" s="37" t="n">
        <f aca="false">COUNTIF(環境認証!$A$2:$A$849,A962)</f>
        <v>2</v>
      </c>
      <c r="AF962" s="6" t="n">
        <v>6.8</v>
      </c>
      <c r="AG962" s="6" t="n">
        <v>3.9</v>
      </c>
    </row>
    <row r="963" customFormat="false" ht="15" hidden="false" customHeight="true" outlineLevel="0" collapsed="false">
      <c r="A963" s="6" t="s">
        <v>3511</v>
      </c>
      <c r="B963" s="6" t="s">
        <v>485</v>
      </c>
      <c r="C963" s="6" t="s">
        <v>3512</v>
      </c>
      <c r="D963" s="9" t="s">
        <v>959</v>
      </c>
      <c r="H963" s="9" t="s">
        <v>3051</v>
      </c>
      <c r="M963" s="6" t="n">
        <v>2254.34</v>
      </c>
      <c r="Q963" s="1" t="str">
        <f aca="false">IF(OR($A963="",P963=""),"",ROUND(YEARFRAC(P963,README!$C$5),1))</f>
        <v/>
      </c>
      <c r="S963" s="6" t="n">
        <v>1590</v>
      </c>
      <c r="T963" s="6" t="n">
        <v>1550</v>
      </c>
      <c r="U963" s="6" t="n">
        <v>1580</v>
      </c>
      <c r="V963" s="6" t="n">
        <v>30</v>
      </c>
      <c r="W963" s="6" t="n">
        <v>0.864</v>
      </c>
      <c r="X963" s="6" t="n">
        <v>1</v>
      </c>
      <c r="Z963" s="6" t="s">
        <v>2845</v>
      </c>
      <c r="AA963" s="9" t="s">
        <v>528</v>
      </c>
      <c r="AB963" s="6" t="s">
        <v>3513</v>
      </c>
      <c r="AE963" s="37" t="n">
        <f aca="false">COUNTIF(環境認証!$A$2:$A$849,A963)</f>
        <v>1</v>
      </c>
      <c r="AF963" s="6" t="n">
        <v>1.9</v>
      </c>
      <c r="AG963" s="6" t="n">
        <v>-0.6</v>
      </c>
    </row>
    <row r="964" customFormat="false" ht="15" hidden="false" customHeight="true" outlineLevel="0" collapsed="false">
      <c r="A964" s="6" t="s">
        <v>3514</v>
      </c>
      <c r="B964" s="6" t="s">
        <v>485</v>
      </c>
      <c r="C964" s="9" t="s">
        <v>3515</v>
      </c>
      <c r="D964" s="9" t="s">
        <v>959</v>
      </c>
      <c r="H964" s="9" t="s">
        <v>3051</v>
      </c>
      <c r="M964" s="6" t="n">
        <v>1438.36</v>
      </c>
      <c r="Q964" s="1" t="str">
        <f aca="false">IF(OR($A964="",P964=""),"",ROUND(YEARFRAC(P964,README!$C$5),1))</f>
        <v/>
      </c>
      <c r="S964" s="6" t="n">
        <v>865</v>
      </c>
      <c r="T964" s="6" t="n">
        <v>836</v>
      </c>
      <c r="U964" s="6" t="n">
        <v>891</v>
      </c>
      <c r="V964" s="6" t="n">
        <v>55</v>
      </c>
      <c r="W964" s="6" t="n">
        <v>0.979</v>
      </c>
      <c r="X964" s="6" t="n">
        <v>1</v>
      </c>
      <c r="Z964" s="6" t="s">
        <v>2845</v>
      </c>
      <c r="AA964" s="9" t="s">
        <v>528</v>
      </c>
      <c r="AB964" s="6" t="s">
        <v>3516</v>
      </c>
      <c r="AE964" s="37" t="n">
        <f aca="false">COUNTIF(環境認証!$A$2:$A$849,A964)</f>
        <v>0</v>
      </c>
      <c r="AF964" s="6" t="n">
        <v>6.6</v>
      </c>
      <c r="AG964" s="6" t="n">
        <v>3</v>
      </c>
    </row>
    <row r="965" customFormat="false" ht="15" hidden="false" customHeight="true" outlineLevel="0" collapsed="false">
      <c r="A965" s="6" t="s">
        <v>3517</v>
      </c>
      <c r="B965" s="6" t="s">
        <v>485</v>
      </c>
      <c r="C965" s="9" t="s">
        <v>3518</v>
      </c>
      <c r="D965" s="9" t="s">
        <v>3519</v>
      </c>
      <c r="H965" s="9" t="s">
        <v>2844</v>
      </c>
      <c r="M965" s="6" t="n">
        <v>5624.23</v>
      </c>
      <c r="Q965" s="1" t="str">
        <f aca="false">IF(OR($A965="",P965=""),"",ROUND(YEARFRAC(P965,README!$C$5),1))</f>
        <v/>
      </c>
      <c r="S965" s="6" t="n">
        <v>9800</v>
      </c>
      <c r="T965" s="6" t="n">
        <v>9236</v>
      </c>
      <c r="U965" s="6" t="n">
        <v>15300</v>
      </c>
      <c r="V965" s="6" t="n">
        <v>6064</v>
      </c>
      <c r="W965" s="6" t="n">
        <v>1</v>
      </c>
      <c r="X965" s="6" t="n">
        <v>4</v>
      </c>
      <c r="Z965" s="6" t="s">
        <v>2845</v>
      </c>
      <c r="AA965" s="9" t="s">
        <v>528</v>
      </c>
      <c r="AB965" s="6" t="s">
        <v>3520</v>
      </c>
      <c r="AE965" s="37" t="n">
        <f aca="false">COUNTIF(環境認証!$A$2:$A$849,A965)</f>
        <v>1</v>
      </c>
      <c r="AF965" s="6" t="n">
        <v>65.7</v>
      </c>
      <c r="AG965" s="6" t="n">
        <v>56.1</v>
      </c>
    </row>
    <row r="966" customFormat="false" ht="15" hidden="false" customHeight="true" outlineLevel="0" collapsed="false">
      <c r="A966" s="6" t="s">
        <v>3521</v>
      </c>
      <c r="B966" s="6" t="s">
        <v>485</v>
      </c>
      <c r="C966" s="6" t="s">
        <v>3522</v>
      </c>
      <c r="D966" s="9" t="s">
        <v>3519</v>
      </c>
      <c r="H966" s="9" t="s">
        <v>2844</v>
      </c>
      <c r="M966" s="6" t="n">
        <v>9996.56</v>
      </c>
      <c r="Q966" s="1" t="str">
        <f aca="false">IF(OR($A966="",P966=""),"",ROUND(YEARFRAC(P966,README!$C$5),1))</f>
        <v/>
      </c>
      <c r="S966" s="6" t="n">
        <v>8770</v>
      </c>
      <c r="T966" s="6" t="n">
        <v>8830</v>
      </c>
      <c r="U966" s="6" t="n">
        <v>9160</v>
      </c>
      <c r="V966" s="6" t="n">
        <v>330</v>
      </c>
      <c r="W966" s="6" t="n">
        <v>1</v>
      </c>
      <c r="X966" s="6" t="n">
        <v>56</v>
      </c>
      <c r="Z966" s="6" t="s">
        <v>2845</v>
      </c>
      <c r="AA966" s="9" t="s">
        <v>528</v>
      </c>
      <c r="AB966" s="6" t="s">
        <v>3523</v>
      </c>
      <c r="AE966" s="37" t="n">
        <f aca="false">COUNTIF(環境認証!$A$2:$A$849,A966)</f>
        <v>1</v>
      </c>
      <c r="AF966" s="6" t="n">
        <v>3.7</v>
      </c>
      <c r="AG966" s="6" t="n">
        <v>4.4</v>
      </c>
    </row>
    <row r="967" customFormat="false" ht="15" hidden="false" customHeight="true" outlineLevel="0" collapsed="false">
      <c r="A967" s="6" t="s">
        <v>3524</v>
      </c>
      <c r="B967" s="6" t="s">
        <v>485</v>
      </c>
      <c r="C967" s="9" t="s">
        <v>3525</v>
      </c>
      <c r="D967" s="9" t="s">
        <v>3519</v>
      </c>
      <c r="H967" s="9" t="s">
        <v>2844</v>
      </c>
      <c r="M967" s="6" t="n">
        <v>10527.4</v>
      </c>
      <c r="Q967" s="1" t="str">
        <f aca="false">IF(OR($A967="",P967=""),"",ROUND(YEARFRAC(P967,README!$C$5),1))</f>
        <v/>
      </c>
      <c r="S967" s="6" t="n">
        <v>6630</v>
      </c>
      <c r="T967" s="6" t="n">
        <v>6580</v>
      </c>
      <c r="U967" s="6" t="n">
        <v>6840</v>
      </c>
      <c r="V967" s="6" t="n">
        <v>260</v>
      </c>
      <c r="W967" s="6" t="n">
        <v>1</v>
      </c>
      <c r="X967" s="6" t="n">
        <v>38</v>
      </c>
      <c r="Z967" s="6" t="s">
        <v>2845</v>
      </c>
      <c r="AA967" s="9" t="s">
        <v>528</v>
      </c>
      <c r="AB967" s="6" t="s">
        <v>3526</v>
      </c>
      <c r="AE967" s="37" t="n">
        <f aca="false">COUNTIF(環境認証!$A$2:$A$849,A967)</f>
        <v>1</v>
      </c>
      <c r="AF967" s="6" t="n">
        <v>4</v>
      </c>
      <c r="AG967" s="6" t="n">
        <v>3.2</v>
      </c>
    </row>
    <row r="968" customFormat="false" ht="15" hidden="false" customHeight="true" outlineLevel="0" collapsed="false">
      <c r="A968" s="6" t="s">
        <v>3527</v>
      </c>
      <c r="B968" s="6" t="s">
        <v>485</v>
      </c>
      <c r="C968" s="9" t="s">
        <v>3528</v>
      </c>
      <c r="D968" s="9" t="s">
        <v>3519</v>
      </c>
      <c r="H968" s="9" t="s">
        <v>2844</v>
      </c>
      <c r="M968" s="6" t="n">
        <v>11303.41</v>
      </c>
      <c r="Q968" s="1" t="str">
        <f aca="false">IF(OR($A968="",P968=""),"",ROUND(YEARFRAC(P968,README!$C$5),1))</f>
        <v/>
      </c>
      <c r="S968" s="6" t="n">
        <v>4808</v>
      </c>
      <c r="T968" s="6" t="n">
        <v>4649</v>
      </c>
      <c r="U968" s="6" t="n">
        <v>4760</v>
      </c>
      <c r="V968" s="6" t="n">
        <v>111</v>
      </c>
      <c r="W968" s="6" t="n">
        <v>1</v>
      </c>
      <c r="X968" s="6" t="n">
        <v>1</v>
      </c>
      <c r="Z968" s="6" t="s">
        <v>2845</v>
      </c>
      <c r="AA968" s="9" t="s">
        <v>528</v>
      </c>
      <c r="AB968" s="6" t="s">
        <v>3529</v>
      </c>
      <c r="AE968" s="37" t="n">
        <f aca="false">COUNTIF(環境認証!$A$2:$A$849,A968)</f>
        <v>1</v>
      </c>
      <c r="AF968" s="6" t="n">
        <v>2.4</v>
      </c>
      <c r="AG968" s="6" t="n">
        <v>-1</v>
      </c>
    </row>
    <row r="969" customFormat="false" ht="15" hidden="false" customHeight="true" outlineLevel="0" collapsed="false">
      <c r="A969" s="6" t="s">
        <v>3530</v>
      </c>
      <c r="B969" s="6" t="s">
        <v>485</v>
      </c>
      <c r="C969" s="9" t="s">
        <v>3531</v>
      </c>
      <c r="D969" s="9" t="s">
        <v>3519</v>
      </c>
      <c r="H969" s="9" t="s">
        <v>2844</v>
      </c>
      <c r="Q969" s="1" t="str">
        <f aca="false">IF(OR($A969="",P969=""),"",ROUND(YEARFRAC(P969,README!$C$5),1))</f>
        <v/>
      </c>
      <c r="S969" s="6" t="n">
        <v>4350</v>
      </c>
      <c r="T969" s="6" t="n">
        <v>4236</v>
      </c>
      <c r="U969" s="6" t="n">
        <v>4420</v>
      </c>
      <c r="V969" s="6" t="n">
        <v>184</v>
      </c>
      <c r="W969" s="6" t="n">
        <v>1</v>
      </c>
      <c r="X969" s="6" t="n">
        <v>1</v>
      </c>
      <c r="Z969" s="6" t="s">
        <v>2845</v>
      </c>
      <c r="AA969" s="9" t="s">
        <v>528</v>
      </c>
      <c r="AB969" s="6" t="s">
        <v>3532</v>
      </c>
      <c r="AE969" s="37" t="n">
        <f aca="false">COUNTIF(環境認証!$A$2:$A$849,A969)</f>
        <v>1</v>
      </c>
      <c r="AF969" s="6" t="n">
        <v>4.3</v>
      </c>
      <c r="AG969" s="6" t="n">
        <v>1.6</v>
      </c>
    </row>
    <row r="970" customFormat="false" ht="15" hidden="false" customHeight="true" outlineLevel="0" collapsed="false">
      <c r="A970" s="6" t="s">
        <v>3533</v>
      </c>
      <c r="B970" s="6" t="s">
        <v>485</v>
      </c>
      <c r="C970" s="9" t="s">
        <v>3534</v>
      </c>
      <c r="D970" s="9" t="s">
        <v>3519</v>
      </c>
      <c r="H970" s="9" t="s">
        <v>2844</v>
      </c>
      <c r="M970" s="6" t="n">
        <v>10648.27</v>
      </c>
      <c r="Q970" s="1" t="str">
        <f aca="false">IF(OR($A970="",P970=""),"",ROUND(YEARFRAC(P970,README!$C$5),1))</f>
        <v/>
      </c>
      <c r="S970" s="6" t="n">
        <v>3930</v>
      </c>
      <c r="T970" s="6" t="n">
        <v>3863</v>
      </c>
      <c r="U970" s="6" t="n">
        <v>3960</v>
      </c>
      <c r="V970" s="6" t="n">
        <v>97</v>
      </c>
      <c r="W970" s="6" t="n">
        <v>1</v>
      </c>
      <c r="X970" s="6" t="n">
        <v>10</v>
      </c>
      <c r="Z970" s="6" t="s">
        <v>2845</v>
      </c>
      <c r="AA970" s="9" t="s">
        <v>528</v>
      </c>
      <c r="AB970" s="6" t="s">
        <v>3535</v>
      </c>
      <c r="AE970" s="37" t="n">
        <f aca="false">COUNTIF(環境認証!$A$2:$A$849,A970)</f>
        <v>1</v>
      </c>
      <c r="AF970" s="6" t="n">
        <v>2.5</v>
      </c>
      <c r="AG970" s="6" t="n">
        <v>0.8</v>
      </c>
    </row>
    <row r="971" customFormat="false" ht="15" hidden="false" customHeight="true" outlineLevel="0" collapsed="false">
      <c r="A971" s="6" t="s">
        <v>3536</v>
      </c>
      <c r="B971" s="6" t="s">
        <v>485</v>
      </c>
      <c r="C971" s="9" t="s">
        <v>3537</v>
      </c>
      <c r="D971" s="9" t="s">
        <v>3519</v>
      </c>
      <c r="H971" s="9" t="s">
        <v>2844</v>
      </c>
      <c r="M971" s="6" t="n">
        <v>3120.87</v>
      </c>
      <c r="Q971" s="1" t="str">
        <f aca="false">IF(OR($A971="",P971=""),"",ROUND(YEARFRAC(P971,README!$C$5),1))</f>
        <v/>
      </c>
      <c r="S971" s="6" t="n">
        <v>2700</v>
      </c>
      <c r="T971" s="6" t="n">
        <v>2646</v>
      </c>
      <c r="U971" s="6" t="n">
        <v>2830</v>
      </c>
      <c r="V971" s="6" t="n">
        <v>184</v>
      </c>
      <c r="W971" s="6" t="n">
        <v>1</v>
      </c>
      <c r="X971" s="6" t="n">
        <v>1</v>
      </c>
      <c r="Z971" s="6" t="s">
        <v>2845</v>
      </c>
      <c r="AA971" s="9" t="s">
        <v>528</v>
      </c>
      <c r="AB971" s="6" t="s">
        <v>3538</v>
      </c>
      <c r="AE971" s="37" t="n">
        <f aca="false">COUNTIF(環境認証!$A$2:$A$849,A971)</f>
        <v>0</v>
      </c>
      <c r="AF971" s="6" t="n">
        <v>7</v>
      </c>
      <c r="AG971" s="6" t="n">
        <v>4.8</v>
      </c>
    </row>
    <row r="972" customFormat="false" ht="15" hidden="false" customHeight="true" outlineLevel="0" collapsed="false">
      <c r="A972" s="6" t="s">
        <v>3539</v>
      </c>
      <c r="B972" s="6" t="s">
        <v>485</v>
      </c>
      <c r="C972" s="9" t="s">
        <v>3540</v>
      </c>
      <c r="D972" s="9" t="s">
        <v>3519</v>
      </c>
      <c r="H972" s="9" t="s">
        <v>2844</v>
      </c>
      <c r="M972" s="6" t="n">
        <v>67325.95</v>
      </c>
      <c r="Q972" s="1" t="str">
        <f aca="false">IF(OR($A972="",P972=""),"",ROUND(YEARFRAC(P972,README!$C$5),1))</f>
        <v/>
      </c>
      <c r="S972" s="6" t="n">
        <v>5930</v>
      </c>
      <c r="T972" s="6" t="n">
        <v>5930</v>
      </c>
      <c r="U972" s="6" t="n">
        <v>6150</v>
      </c>
      <c r="V972" s="6" t="n">
        <v>220</v>
      </c>
      <c r="W972" s="6" t="n">
        <v>1</v>
      </c>
      <c r="X972" s="6" t="n">
        <v>1</v>
      </c>
      <c r="Z972" s="6" t="s">
        <v>2845</v>
      </c>
      <c r="AA972" s="9" t="s">
        <v>528</v>
      </c>
      <c r="AB972" s="6" t="s">
        <v>3541</v>
      </c>
      <c r="AE972" s="37" t="n">
        <f aca="false">COUNTIF(環境認証!$A$2:$A$849,A972)</f>
        <v>0</v>
      </c>
      <c r="AF972" s="6" t="n">
        <v>3.7</v>
      </c>
      <c r="AG972" s="6" t="n">
        <v>3.7</v>
      </c>
    </row>
    <row r="973" customFormat="false" ht="15" hidden="false" customHeight="true" outlineLevel="0" collapsed="false">
      <c r="A973" s="6" t="s">
        <v>3542</v>
      </c>
      <c r="B973" s="6" t="s">
        <v>485</v>
      </c>
      <c r="C973" s="9" t="s">
        <v>3543</v>
      </c>
      <c r="D973" s="9" t="s">
        <v>3519</v>
      </c>
      <c r="H973" s="9" t="s">
        <v>2844</v>
      </c>
      <c r="M973" s="6" t="n">
        <v>67854.47</v>
      </c>
      <c r="Q973" s="1" t="str">
        <f aca="false">IF(OR($A973="",P973=""),"",ROUND(YEARFRAC(P973,README!$C$5),1))</f>
        <v/>
      </c>
      <c r="S973" s="6" t="n">
        <v>3110</v>
      </c>
      <c r="T973" s="6" t="n">
        <v>3110</v>
      </c>
      <c r="U973" s="6" t="n">
        <v>3120</v>
      </c>
      <c r="V973" s="6" t="n">
        <v>10</v>
      </c>
      <c r="W973" s="6" t="n">
        <v>1</v>
      </c>
      <c r="X973" s="6" t="n">
        <v>1</v>
      </c>
      <c r="Z973" s="6" t="s">
        <v>2845</v>
      </c>
      <c r="AA973" s="9" t="s">
        <v>528</v>
      </c>
      <c r="AB973" s="6" t="s">
        <v>3544</v>
      </c>
      <c r="AE973" s="37" t="n">
        <f aca="false">COUNTIF(環境認証!$A$2:$A$849,A973)</f>
        <v>0</v>
      </c>
      <c r="AF973" s="6" t="n">
        <v>0.3</v>
      </c>
      <c r="AG973" s="6" t="n">
        <v>0.3</v>
      </c>
    </row>
    <row r="974" customFormat="false" ht="15" hidden="false" customHeight="true" outlineLevel="0" collapsed="false">
      <c r="A974" s="6" t="s">
        <v>3545</v>
      </c>
      <c r="B974" s="6" t="s">
        <v>485</v>
      </c>
      <c r="C974" s="9" t="s">
        <v>3546</v>
      </c>
      <c r="D974" s="9" t="s">
        <v>3519</v>
      </c>
      <c r="H974" s="9" t="s">
        <v>2844</v>
      </c>
      <c r="M974" s="6" t="n">
        <v>19329</v>
      </c>
      <c r="Q974" s="1" t="str">
        <f aca="false">IF(OR($A974="",P974=""),"",ROUND(YEARFRAC(P974,README!$C$5),1))</f>
        <v/>
      </c>
      <c r="S974" s="6" t="n">
        <v>1850</v>
      </c>
      <c r="T974" s="6" t="n">
        <v>1850</v>
      </c>
      <c r="U974" s="6" t="n">
        <v>1850</v>
      </c>
      <c r="V974" s="6" t="n">
        <v>0</v>
      </c>
      <c r="W974" s="6" t="n">
        <v>1</v>
      </c>
      <c r="X974" s="6" t="n">
        <v>1</v>
      </c>
      <c r="Z974" s="6" t="s">
        <v>2845</v>
      </c>
      <c r="AA974" s="9" t="s">
        <v>528</v>
      </c>
      <c r="AB974" s="6" t="s">
        <v>3547</v>
      </c>
      <c r="AE974" s="37" t="n">
        <f aca="false">COUNTIF(環境認証!$A$2:$A$849,A974)</f>
        <v>0</v>
      </c>
      <c r="AF974" s="6" t="n">
        <v>0</v>
      </c>
      <c r="AG974" s="6" t="n">
        <v>0</v>
      </c>
    </row>
    <row r="975" customFormat="false" ht="15" hidden="false" customHeight="true" outlineLevel="0" collapsed="false">
      <c r="A975" s="6" t="s">
        <v>3548</v>
      </c>
      <c r="B975" s="6" t="s">
        <v>485</v>
      </c>
      <c r="C975" s="9" t="s">
        <v>3549</v>
      </c>
      <c r="D975" s="9" t="s">
        <v>3519</v>
      </c>
      <c r="H975" s="9" t="s">
        <v>2844</v>
      </c>
      <c r="M975" s="6" t="n">
        <v>4405.41</v>
      </c>
      <c r="Q975" s="1" t="str">
        <f aca="false">IF(OR($A975="",P975=""),"",ROUND(YEARFRAC(P975,README!$C$5),1))</f>
        <v/>
      </c>
      <c r="S975" s="6" t="n">
        <v>1400</v>
      </c>
      <c r="T975" s="6" t="n">
        <v>1400</v>
      </c>
      <c r="U975" s="6" t="n">
        <v>1400</v>
      </c>
      <c r="V975" s="6" t="n">
        <v>0</v>
      </c>
      <c r="W975" s="6" t="n">
        <v>1</v>
      </c>
      <c r="X975" s="6" t="n">
        <v>1</v>
      </c>
      <c r="Z975" s="6" t="s">
        <v>2845</v>
      </c>
      <c r="AA975" s="9" t="s">
        <v>528</v>
      </c>
      <c r="AB975" s="6" t="s">
        <v>3550</v>
      </c>
      <c r="AE975" s="37" t="n">
        <f aca="false">COUNTIF(環境認証!$A$2:$A$849,A975)</f>
        <v>0</v>
      </c>
      <c r="AF975" s="6" t="n">
        <v>0</v>
      </c>
      <c r="AG975" s="6" t="n">
        <v>0</v>
      </c>
    </row>
    <row r="976" customFormat="false" ht="15" hidden="false" customHeight="true" outlineLevel="0" collapsed="false">
      <c r="A976" s="6" t="s">
        <v>3551</v>
      </c>
      <c r="B976" s="6" t="s">
        <v>485</v>
      </c>
      <c r="C976" s="9" t="s">
        <v>3552</v>
      </c>
      <c r="D976" s="9" t="s">
        <v>3519</v>
      </c>
      <c r="H976" s="9" t="s">
        <v>2844</v>
      </c>
      <c r="M976" s="6" t="n">
        <v>3996.68</v>
      </c>
      <c r="Q976" s="1" t="str">
        <f aca="false">IF(OR($A976="",P976=""),"",ROUND(YEARFRAC(P976,README!$C$5),1))</f>
        <v/>
      </c>
      <c r="S976" s="6" t="n">
        <v>1750</v>
      </c>
      <c r="T976" s="6" t="n">
        <v>1717</v>
      </c>
      <c r="U976" s="6" t="n">
        <v>1760</v>
      </c>
      <c r="V976" s="6" t="n">
        <v>43</v>
      </c>
      <c r="W976" s="6" t="n">
        <v>1</v>
      </c>
      <c r="X976" s="6" t="n">
        <v>2</v>
      </c>
      <c r="Z976" s="6" t="s">
        <v>2845</v>
      </c>
      <c r="AA976" s="9" t="s">
        <v>528</v>
      </c>
      <c r="AB976" s="6" t="s">
        <v>3553</v>
      </c>
      <c r="AE976" s="37" t="n">
        <f aca="false">COUNTIF(環境認証!$A$2:$A$849,A976)</f>
        <v>0</v>
      </c>
      <c r="AF976" s="6" t="n">
        <v>2.5</v>
      </c>
      <c r="AG976" s="6" t="n">
        <v>0.6</v>
      </c>
    </row>
    <row r="977" customFormat="false" ht="15" hidden="false" customHeight="true" outlineLevel="0" collapsed="false">
      <c r="A977" s="6" t="s">
        <v>3554</v>
      </c>
      <c r="B977" s="6" t="s">
        <v>485</v>
      </c>
      <c r="C977" s="9" t="s">
        <v>3555</v>
      </c>
      <c r="D977" s="9" t="s">
        <v>3519</v>
      </c>
      <c r="H977" s="9" t="s">
        <v>2844</v>
      </c>
      <c r="M977" s="6" t="n">
        <v>5968.71</v>
      </c>
      <c r="Q977" s="1" t="str">
        <f aca="false">IF(OR($A977="",P977=""),"",ROUND(YEARFRAC(P977,README!$C$5),1))</f>
        <v/>
      </c>
      <c r="S977" s="6" t="n">
        <v>3740</v>
      </c>
      <c r="T977" s="6" t="n">
        <v>3634</v>
      </c>
      <c r="U977" s="6" t="n">
        <v>3800</v>
      </c>
      <c r="V977" s="6" t="n">
        <v>166</v>
      </c>
      <c r="W977" s="6" t="n">
        <v>1</v>
      </c>
      <c r="X977" s="6" t="n">
        <v>1</v>
      </c>
      <c r="Z977" s="6" t="s">
        <v>2845</v>
      </c>
      <c r="AA977" s="9" t="s">
        <v>528</v>
      </c>
      <c r="AB977" s="6" t="s">
        <v>3556</v>
      </c>
      <c r="AE977" s="37" t="n">
        <f aca="false">COUNTIF(環境認証!$A$2:$A$849,A977)</f>
        <v>1</v>
      </c>
      <c r="AF977" s="6" t="n">
        <v>4.6</v>
      </c>
      <c r="AG977" s="6" t="n">
        <v>1.6</v>
      </c>
    </row>
    <row r="978" customFormat="false" ht="15" hidden="false" customHeight="true" outlineLevel="0" collapsed="false">
      <c r="A978" s="6" t="s">
        <v>3557</v>
      </c>
      <c r="B978" s="6" t="s">
        <v>485</v>
      </c>
      <c r="C978" s="9" t="s">
        <v>3558</v>
      </c>
      <c r="D978" s="9" t="s">
        <v>3519</v>
      </c>
      <c r="H978" s="9" t="s">
        <v>2844</v>
      </c>
      <c r="M978" s="6" t="n">
        <v>2929.58</v>
      </c>
      <c r="Q978" s="1" t="str">
        <f aca="false">IF(OR($A978="",P978=""),"",ROUND(YEARFRAC(P978,README!$C$5),1))</f>
        <v/>
      </c>
      <c r="S978" s="6" t="n">
        <v>1480</v>
      </c>
      <c r="T978" s="6" t="n">
        <v>1470</v>
      </c>
      <c r="U978" s="6" t="n">
        <v>1530</v>
      </c>
      <c r="V978" s="6" t="n">
        <v>60</v>
      </c>
      <c r="W978" s="6" t="n">
        <v>1</v>
      </c>
      <c r="X978" s="6" t="n">
        <v>1</v>
      </c>
      <c r="Z978" s="6" t="s">
        <v>2845</v>
      </c>
      <c r="AA978" s="9" t="s">
        <v>528</v>
      </c>
      <c r="AB978" s="6" t="s">
        <v>3559</v>
      </c>
      <c r="AE978" s="37" t="n">
        <f aca="false">COUNTIF(環境認証!$A$2:$A$849,A978)</f>
        <v>0</v>
      </c>
      <c r="AF978" s="6" t="n">
        <v>4.1</v>
      </c>
      <c r="AG978" s="6" t="n">
        <v>3.4</v>
      </c>
    </row>
    <row r="979" customFormat="false" ht="15" hidden="false" customHeight="true" outlineLevel="0" collapsed="false">
      <c r="A979" s="6" t="s">
        <v>3560</v>
      </c>
      <c r="B979" s="6" t="s">
        <v>485</v>
      </c>
      <c r="C979" s="9" t="s">
        <v>3561</v>
      </c>
      <c r="D979" s="9" t="s">
        <v>3519</v>
      </c>
      <c r="H979" s="9" t="s">
        <v>2844</v>
      </c>
      <c r="M979" s="6" t="n">
        <v>14092.51</v>
      </c>
      <c r="Q979" s="1" t="str">
        <f aca="false">IF(OR($A979="",P979=""),"",ROUND(YEARFRAC(P979,README!$C$5),1))</f>
        <v/>
      </c>
      <c r="S979" s="6" t="n">
        <v>4370</v>
      </c>
      <c r="T979" s="6" t="n">
        <v>4370</v>
      </c>
      <c r="U979" s="6" t="n">
        <v>4620</v>
      </c>
      <c r="V979" s="6" t="n">
        <v>250</v>
      </c>
      <c r="W979" s="6" t="n">
        <v>1</v>
      </c>
      <c r="X979" s="6" t="n">
        <v>2</v>
      </c>
      <c r="Z979" s="6" t="s">
        <v>2845</v>
      </c>
      <c r="AA979" s="9" t="s">
        <v>528</v>
      </c>
      <c r="AB979" s="6" t="s">
        <v>3562</v>
      </c>
      <c r="AE979" s="37" t="n">
        <f aca="false">COUNTIF(環境認証!$A$2:$A$849,A979)</f>
        <v>0</v>
      </c>
      <c r="AF979" s="6" t="n">
        <v>5.7</v>
      </c>
      <c r="AG979" s="6" t="n">
        <v>5.7</v>
      </c>
    </row>
    <row r="980" customFormat="false" ht="15" hidden="false" customHeight="true" outlineLevel="0" collapsed="false">
      <c r="A980" s="6" t="s">
        <v>3563</v>
      </c>
      <c r="B980" s="6" t="s">
        <v>485</v>
      </c>
      <c r="C980" s="9" t="s">
        <v>3564</v>
      </c>
      <c r="D980" s="9" t="s">
        <v>3519</v>
      </c>
      <c r="H980" s="9" t="s">
        <v>2844</v>
      </c>
      <c r="M980" s="6" t="n">
        <v>7827.95</v>
      </c>
      <c r="Q980" s="1" t="str">
        <f aca="false">IF(OR($A980="",P980=""),"",ROUND(YEARFRAC(P980,README!$C$5),1))</f>
        <v/>
      </c>
      <c r="S980" s="6" t="n">
        <v>3700</v>
      </c>
      <c r="T980" s="6" t="n">
        <v>3634</v>
      </c>
      <c r="U980" s="6" t="n">
        <v>3840</v>
      </c>
      <c r="V980" s="6" t="n">
        <v>206</v>
      </c>
      <c r="W980" s="6" t="n">
        <v>1</v>
      </c>
      <c r="X980" s="6" t="n">
        <v>15</v>
      </c>
      <c r="Z980" s="6" t="s">
        <v>2845</v>
      </c>
      <c r="AA980" s="9" t="s">
        <v>528</v>
      </c>
      <c r="AB980" s="6" t="s">
        <v>3565</v>
      </c>
      <c r="AE980" s="37" t="n">
        <f aca="false">COUNTIF(環境認証!$A$2:$A$849,A980)</f>
        <v>1</v>
      </c>
      <c r="AF980" s="6" t="n">
        <v>5.7</v>
      </c>
      <c r="AG980" s="6" t="n">
        <v>3.8</v>
      </c>
    </row>
    <row r="981" customFormat="false" ht="15" hidden="false" customHeight="true" outlineLevel="0" collapsed="false">
      <c r="A981" s="6" t="s">
        <v>3566</v>
      </c>
      <c r="B981" s="6" t="s">
        <v>485</v>
      </c>
      <c r="C981" s="9" t="s">
        <v>3567</v>
      </c>
      <c r="D981" s="9" t="s">
        <v>3519</v>
      </c>
      <c r="H981" s="9" t="s">
        <v>2844</v>
      </c>
      <c r="M981" s="6" t="n">
        <v>11963.61</v>
      </c>
      <c r="Q981" s="1" t="str">
        <f aca="false">IF(OR($A981="",P981=""),"",ROUND(YEARFRAC(P981,README!$C$5),1))</f>
        <v/>
      </c>
      <c r="S981" s="6" t="n">
        <v>1950</v>
      </c>
      <c r="T981" s="6" t="n">
        <v>1911</v>
      </c>
      <c r="U981" s="6" t="n">
        <v>1950</v>
      </c>
      <c r="V981" s="6" t="n">
        <v>39</v>
      </c>
      <c r="W981" s="6" t="n">
        <v>1</v>
      </c>
      <c r="X981" s="6" t="n">
        <v>1</v>
      </c>
      <c r="Z981" s="6" t="s">
        <v>2845</v>
      </c>
      <c r="AA981" s="9" t="s">
        <v>528</v>
      </c>
      <c r="AB981" s="6" t="s">
        <v>3568</v>
      </c>
      <c r="AE981" s="37" t="n">
        <f aca="false">COUNTIF(環境認証!$A$2:$A$849,A981)</f>
        <v>0</v>
      </c>
      <c r="AF981" s="6" t="n">
        <v>2</v>
      </c>
      <c r="AG981" s="6" t="n">
        <v>0</v>
      </c>
    </row>
    <row r="982" customFormat="false" ht="15" hidden="false" customHeight="true" outlineLevel="0" collapsed="false">
      <c r="A982" s="6" t="s">
        <v>3569</v>
      </c>
      <c r="B982" s="6" t="s">
        <v>485</v>
      </c>
      <c r="C982" s="9" t="s">
        <v>3570</v>
      </c>
      <c r="D982" s="9" t="s">
        <v>3519</v>
      </c>
      <c r="H982" s="9" t="s">
        <v>2844</v>
      </c>
      <c r="M982" s="6" t="n">
        <v>6397.05</v>
      </c>
      <c r="Q982" s="1" t="str">
        <f aca="false">IF(OR($A982="",P982=""),"",ROUND(YEARFRAC(P982,README!$C$5),1))</f>
        <v/>
      </c>
      <c r="S982" s="6" t="n">
        <v>3280</v>
      </c>
      <c r="T982" s="6" t="n">
        <v>3239</v>
      </c>
      <c r="U982" s="6" t="n">
        <v>3410</v>
      </c>
      <c r="V982" s="6" t="n">
        <v>171</v>
      </c>
      <c r="W982" s="6" t="n">
        <v>1</v>
      </c>
      <c r="X982" s="6" t="n">
        <v>12</v>
      </c>
      <c r="Z982" s="6" t="s">
        <v>2845</v>
      </c>
      <c r="AA982" s="9" t="s">
        <v>528</v>
      </c>
      <c r="AB982" s="6" t="s">
        <v>3571</v>
      </c>
      <c r="AE982" s="37" t="n">
        <f aca="false">COUNTIF(環境認証!$A$2:$A$849,A982)</f>
        <v>1</v>
      </c>
      <c r="AF982" s="6" t="n">
        <v>5.3</v>
      </c>
      <c r="AG982" s="6" t="n">
        <v>4</v>
      </c>
    </row>
    <row r="983" customFormat="false" ht="15" hidden="false" customHeight="true" outlineLevel="0" collapsed="false">
      <c r="A983" s="6" t="s">
        <v>3572</v>
      </c>
      <c r="B983" s="6" t="s">
        <v>485</v>
      </c>
      <c r="C983" s="9" t="s">
        <v>3573</v>
      </c>
      <c r="D983" s="9" t="s">
        <v>3519</v>
      </c>
      <c r="H983" s="9" t="s">
        <v>2844</v>
      </c>
      <c r="M983" s="6" t="n">
        <v>1217.02</v>
      </c>
      <c r="Q983" s="1" t="str">
        <f aca="false">IF(OR($A983="",P983=""),"",ROUND(YEARFRAC(P983,README!$C$5),1))</f>
        <v/>
      </c>
      <c r="S983" s="6" t="n">
        <v>1340</v>
      </c>
      <c r="T983" s="6" t="n">
        <v>1329</v>
      </c>
      <c r="U983" s="6" t="n">
        <v>1410</v>
      </c>
      <c r="V983" s="6" t="n">
        <v>81</v>
      </c>
      <c r="W983" s="6" t="n">
        <v>1</v>
      </c>
      <c r="X983" s="6" t="n">
        <v>1</v>
      </c>
      <c r="Z983" s="6" t="s">
        <v>2845</v>
      </c>
      <c r="AA983" s="9" t="s">
        <v>528</v>
      </c>
      <c r="AB983" s="6" t="s">
        <v>3574</v>
      </c>
      <c r="AE983" s="37" t="n">
        <f aca="false">COUNTIF(環境認証!$A$2:$A$849,A983)</f>
        <v>0</v>
      </c>
      <c r="AF983" s="6" t="n">
        <v>6.1</v>
      </c>
      <c r="AG983" s="6" t="n">
        <v>5.2</v>
      </c>
    </row>
    <row r="984" customFormat="false" ht="15" hidden="false" customHeight="true" outlineLevel="0" collapsed="false">
      <c r="A984" s="6" t="s">
        <v>3575</v>
      </c>
      <c r="B984" s="6" t="s">
        <v>485</v>
      </c>
      <c r="C984" s="9" t="s">
        <v>3576</v>
      </c>
      <c r="D984" s="9" t="s">
        <v>3519</v>
      </c>
      <c r="H984" s="9" t="s">
        <v>2844</v>
      </c>
      <c r="M984" s="6" t="n">
        <v>6861.59</v>
      </c>
      <c r="Q984" s="1" t="str">
        <f aca="false">IF(OR($A984="",P984=""),"",ROUND(YEARFRAC(P984,README!$C$5),1))</f>
        <v/>
      </c>
      <c r="S984" s="6" t="n">
        <v>3140</v>
      </c>
      <c r="T984" s="6" t="n">
        <v>3076</v>
      </c>
      <c r="U984" s="6" t="n">
        <v>3110</v>
      </c>
      <c r="V984" s="6" t="n">
        <v>34</v>
      </c>
      <c r="W984" s="6" t="n">
        <v>0.998</v>
      </c>
      <c r="X984" s="6" t="n">
        <v>10</v>
      </c>
      <c r="Z984" s="6" t="s">
        <v>2845</v>
      </c>
      <c r="AA984" s="9" t="s">
        <v>528</v>
      </c>
      <c r="AB984" s="6" t="s">
        <v>3577</v>
      </c>
      <c r="AE984" s="37" t="n">
        <f aca="false">COUNTIF(環境認証!$A$2:$A$849,A984)</f>
        <v>1</v>
      </c>
      <c r="AF984" s="6" t="n">
        <v>1.1</v>
      </c>
      <c r="AG984" s="6" t="n">
        <v>-1</v>
      </c>
    </row>
    <row r="985" customFormat="false" ht="15" hidden="false" customHeight="true" outlineLevel="0" collapsed="false">
      <c r="A985" s="6" t="s">
        <v>3578</v>
      </c>
      <c r="B985" s="6" t="s">
        <v>485</v>
      </c>
      <c r="C985" s="9" t="s">
        <v>3579</v>
      </c>
      <c r="D985" s="9" t="s">
        <v>3519</v>
      </c>
      <c r="H985" s="9" t="s">
        <v>2844</v>
      </c>
      <c r="M985" s="6" t="n">
        <v>6229.32</v>
      </c>
      <c r="Q985" s="1" t="str">
        <f aca="false">IF(OR($A985="",P985=""),"",ROUND(YEARFRAC(P985,README!$C$5),1))</f>
        <v/>
      </c>
      <c r="S985" s="6" t="n">
        <v>2380</v>
      </c>
      <c r="T985" s="6" t="n">
        <v>2380</v>
      </c>
      <c r="U985" s="6" t="n">
        <v>2610</v>
      </c>
      <c r="V985" s="6" t="n">
        <v>230</v>
      </c>
      <c r="W985" s="6" t="n">
        <v>1</v>
      </c>
      <c r="X985" s="6" t="n">
        <v>1</v>
      </c>
      <c r="Z985" s="6" t="s">
        <v>2845</v>
      </c>
      <c r="AA985" s="9" t="s">
        <v>528</v>
      </c>
      <c r="AB985" s="6" t="s">
        <v>3580</v>
      </c>
      <c r="AE985" s="37" t="n">
        <f aca="false">COUNTIF(環境認証!$A$2:$A$849,A985)</f>
        <v>0</v>
      </c>
      <c r="AF985" s="6" t="n">
        <v>9.7</v>
      </c>
      <c r="AG985" s="6" t="n">
        <v>9.7</v>
      </c>
    </row>
    <row r="986" customFormat="false" ht="15" hidden="false" customHeight="true" outlineLevel="0" collapsed="false">
      <c r="A986" s="6" t="s">
        <v>3581</v>
      </c>
      <c r="B986" s="6" t="s">
        <v>485</v>
      </c>
      <c r="C986" s="9" t="s">
        <v>3582</v>
      </c>
      <c r="D986" s="9" t="s">
        <v>3519</v>
      </c>
      <c r="H986" s="9" t="s">
        <v>2844</v>
      </c>
      <c r="M986" s="6" t="n">
        <v>44568.05</v>
      </c>
      <c r="Q986" s="1" t="str">
        <f aca="false">IF(OR($A986="",P986=""),"",ROUND(YEARFRAC(P986,README!$C$5),1))</f>
        <v/>
      </c>
      <c r="S986" s="6" t="n">
        <v>12000</v>
      </c>
      <c r="T986" s="6" t="n">
        <v>11757</v>
      </c>
      <c r="U986" s="6" t="n">
        <v>12500</v>
      </c>
      <c r="V986" s="6" t="n">
        <v>743</v>
      </c>
      <c r="W986" s="6" t="n">
        <v>1</v>
      </c>
      <c r="X986" s="6" t="n">
        <v>1</v>
      </c>
      <c r="Z986" s="6" t="s">
        <v>2845</v>
      </c>
      <c r="AA986" s="9" t="s">
        <v>528</v>
      </c>
      <c r="AB986" s="6" t="s">
        <v>3583</v>
      </c>
      <c r="AE986" s="37" t="n">
        <f aca="false">COUNTIF(環境認証!$A$2:$A$849,A986)</f>
        <v>2</v>
      </c>
      <c r="AF986" s="6" t="n">
        <v>6.3</v>
      </c>
      <c r="AG986" s="6" t="n">
        <v>4.2</v>
      </c>
    </row>
    <row r="987" customFormat="false" ht="15" hidden="false" customHeight="true" outlineLevel="0" collapsed="false">
      <c r="A987" s="6" t="s">
        <v>3584</v>
      </c>
      <c r="B987" s="6" t="s">
        <v>485</v>
      </c>
      <c r="C987" s="9" t="s">
        <v>3585</v>
      </c>
      <c r="D987" s="9" t="s">
        <v>3519</v>
      </c>
      <c r="H987" s="9" t="s">
        <v>2844</v>
      </c>
      <c r="M987" s="6" t="n">
        <v>14195</v>
      </c>
      <c r="Q987" s="1" t="str">
        <f aca="false">IF(OR($A987="",P987=""),"",ROUND(YEARFRAC(P987,README!$C$5),1))</f>
        <v/>
      </c>
      <c r="S987" s="6" t="n">
        <v>6390</v>
      </c>
      <c r="T987" s="6" t="n">
        <v>6269</v>
      </c>
      <c r="U987" s="6" t="n">
        <v>6510</v>
      </c>
      <c r="V987" s="6" t="n">
        <v>241</v>
      </c>
      <c r="W987" s="6" t="n">
        <v>1</v>
      </c>
      <c r="X987" s="6" t="n">
        <v>3</v>
      </c>
      <c r="Z987" s="6" t="s">
        <v>2845</v>
      </c>
      <c r="AA987" s="9" t="s">
        <v>528</v>
      </c>
      <c r="AB987" s="6" t="s">
        <v>3586</v>
      </c>
      <c r="AE987" s="37" t="n">
        <f aca="false">COUNTIF(環境認証!$A$2:$A$849,A987)</f>
        <v>1</v>
      </c>
      <c r="AF987" s="6" t="n">
        <v>3.8</v>
      </c>
      <c r="AG987" s="6" t="n">
        <v>1.9</v>
      </c>
    </row>
    <row r="988" customFormat="false" ht="15" hidden="false" customHeight="true" outlineLevel="0" collapsed="false">
      <c r="A988" s="6" t="s">
        <v>3587</v>
      </c>
      <c r="B988" s="6" t="s">
        <v>485</v>
      </c>
      <c r="C988" s="9" t="s">
        <v>3588</v>
      </c>
      <c r="D988" s="9" t="s">
        <v>3519</v>
      </c>
      <c r="H988" s="9" t="s">
        <v>2844</v>
      </c>
      <c r="M988" s="6" t="n">
        <v>1456.86</v>
      </c>
      <c r="Q988" s="1" t="str">
        <f aca="false">IF(OR($A988="",P988=""),"",ROUND(YEARFRAC(P988,README!$C$5),1))</f>
        <v/>
      </c>
      <c r="S988" s="6" t="n">
        <v>2140</v>
      </c>
      <c r="T988" s="6" t="n">
        <v>2123</v>
      </c>
      <c r="U988" s="6" t="n">
        <v>2210</v>
      </c>
      <c r="V988" s="6" t="n">
        <v>87</v>
      </c>
      <c r="W988" s="6" t="n">
        <v>1</v>
      </c>
      <c r="X988" s="6" t="n">
        <v>1</v>
      </c>
      <c r="Z988" s="6" t="s">
        <v>2845</v>
      </c>
      <c r="AA988" s="9" t="s">
        <v>528</v>
      </c>
      <c r="AB988" s="6" t="s">
        <v>3589</v>
      </c>
      <c r="AE988" s="37" t="n">
        <f aca="false">COUNTIF(環境認証!$A$2:$A$849,A988)</f>
        <v>0</v>
      </c>
      <c r="AF988" s="6" t="n">
        <v>4.1</v>
      </c>
      <c r="AG988" s="6" t="n">
        <v>3.3</v>
      </c>
    </row>
    <row r="989" customFormat="false" ht="15" hidden="false" customHeight="true" outlineLevel="0" collapsed="false">
      <c r="A989" s="6" t="s">
        <v>3590</v>
      </c>
      <c r="B989" s="6" t="s">
        <v>485</v>
      </c>
      <c r="C989" s="9" t="s">
        <v>3591</v>
      </c>
      <c r="D989" s="9" t="s">
        <v>3519</v>
      </c>
      <c r="H989" s="9" t="s">
        <v>2844</v>
      </c>
      <c r="M989" s="6" t="n">
        <v>3533.59</v>
      </c>
      <c r="Q989" s="1" t="str">
        <f aca="false">IF(OR($A989="",P989=""),"",ROUND(YEARFRAC(P989,README!$C$5),1))</f>
        <v/>
      </c>
      <c r="S989" s="6" t="n">
        <v>881</v>
      </c>
      <c r="T989" s="6" t="n">
        <v>881</v>
      </c>
      <c r="U989" s="6" t="n">
        <v>881</v>
      </c>
      <c r="V989" s="6" t="n">
        <v>0</v>
      </c>
      <c r="W989" s="6" t="n">
        <v>1</v>
      </c>
      <c r="X989" s="6" t="n">
        <v>1</v>
      </c>
      <c r="Z989" s="6" t="s">
        <v>2845</v>
      </c>
      <c r="AA989" s="9" t="s">
        <v>528</v>
      </c>
      <c r="AB989" s="6" t="s">
        <v>3592</v>
      </c>
      <c r="AE989" s="37" t="n">
        <f aca="false">COUNTIF(環境認証!$A$2:$A$849,A989)</f>
        <v>0</v>
      </c>
      <c r="AF989" s="6" t="n">
        <v>0</v>
      </c>
      <c r="AG989" s="6" t="n">
        <v>0</v>
      </c>
    </row>
    <row r="990" customFormat="false" ht="15" hidden="false" customHeight="true" outlineLevel="0" collapsed="false">
      <c r="A990" s="6" t="s">
        <v>3593</v>
      </c>
      <c r="B990" s="6" t="s">
        <v>485</v>
      </c>
      <c r="C990" s="9" t="s">
        <v>3594</v>
      </c>
      <c r="D990" s="9" t="s">
        <v>3519</v>
      </c>
      <c r="H990" s="9" t="s">
        <v>2844</v>
      </c>
      <c r="M990" s="6" t="n">
        <v>10665.73</v>
      </c>
      <c r="Q990" s="1" t="str">
        <f aca="false">IF(OR($A990="",P990=""),"",ROUND(YEARFRAC(P990,README!$C$5),1))</f>
        <v/>
      </c>
      <c r="S990" s="6" t="n">
        <v>11400</v>
      </c>
      <c r="T990" s="6" t="n">
        <v>11246</v>
      </c>
      <c r="U990" s="6" t="n">
        <v>11100</v>
      </c>
      <c r="V990" s="6" t="n">
        <v>-146</v>
      </c>
      <c r="W990" s="6" t="n">
        <v>0.942</v>
      </c>
      <c r="X990" s="6" t="n">
        <v>23</v>
      </c>
      <c r="Z990" s="6" t="s">
        <v>2845</v>
      </c>
      <c r="AA990" s="9" t="s">
        <v>528</v>
      </c>
      <c r="AB990" s="6" t="s">
        <v>3595</v>
      </c>
      <c r="AE990" s="37" t="n">
        <f aca="false">COUNTIF(環境認証!$A$2:$A$849,A990)</f>
        <v>1</v>
      </c>
      <c r="AF990" s="6" t="n">
        <v>-1.3</v>
      </c>
      <c r="AG990" s="6" t="n">
        <v>-2.6</v>
      </c>
    </row>
    <row r="991" customFormat="false" ht="15" hidden="false" customHeight="true" outlineLevel="0" collapsed="false">
      <c r="A991" s="6" t="s">
        <v>3596</v>
      </c>
      <c r="B991" s="6" t="s">
        <v>485</v>
      </c>
      <c r="C991" s="9" t="s">
        <v>3597</v>
      </c>
      <c r="D991" s="9" t="s">
        <v>3519</v>
      </c>
      <c r="H991" s="9" t="s">
        <v>2844</v>
      </c>
      <c r="M991" s="6" t="n">
        <v>3030.58</v>
      </c>
      <c r="Q991" s="1" t="str">
        <f aca="false">IF(OR($A991="",P991=""),"",ROUND(YEARFRAC(P991,README!$C$5),1))</f>
        <v/>
      </c>
      <c r="S991" s="6" t="n">
        <v>3680</v>
      </c>
      <c r="T991" s="6" t="n">
        <v>3595</v>
      </c>
      <c r="U991" s="6" t="n">
        <v>3870</v>
      </c>
      <c r="V991" s="6" t="n">
        <v>275</v>
      </c>
      <c r="W991" s="6" t="n">
        <v>0.915</v>
      </c>
      <c r="X991" s="6" t="n">
        <v>11</v>
      </c>
      <c r="Z991" s="6" t="s">
        <v>2845</v>
      </c>
      <c r="AA991" s="9" t="s">
        <v>528</v>
      </c>
      <c r="AB991" s="6" t="s">
        <v>3598</v>
      </c>
      <c r="AE991" s="37" t="n">
        <f aca="false">COUNTIF(環境認証!$A$2:$A$849,A991)</f>
        <v>0</v>
      </c>
      <c r="AF991" s="6" t="n">
        <v>7.6</v>
      </c>
      <c r="AG991" s="6" t="n">
        <v>5.2</v>
      </c>
    </row>
    <row r="992" customFormat="false" ht="15" hidden="false" customHeight="true" outlineLevel="0" collapsed="false">
      <c r="A992" s="6" t="s">
        <v>3599</v>
      </c>
      <c r="B992" s="6" t="s">
        <v>485</v>
      </c>
      <c r="C992" s="9" t="s">
        <v>3600</v>
      </c>
      <c r="D992" s="9" t="s">
        <v>3519</v>
      </c>
      <c r="H992" s="9" t="s">
        <v>2844</v>
      </c>
      <c r="M992" s="6" t="n">
        <v>36490.48</v>
      </c>
      <c r="Q992" s="1" t="str">
        <f aca="false">IF(OR($A992="",P992=""),"",ROUND(YEARFRAC(P992,README!$C$5),1))</f>
        <v/>
      </c>
      <c r="S992" s="6" t="n">
        <v>4670</v>
      </c>
      <c r="T992" s="6" t="n">
        <v>4556</v>
      </c>
      <c r="U992" s="6" t="n">
        <v>3660</v>
      </c>
      <c r="V992" s="6" t="n">
        <v>-896</v>
      </c>
      <c r="W992" s="6" t="n">
        <v>1</v>
      </c>
      <c r="X992" s="6" t="n">
        <v>2</v>
      </c>
      <c r="Z992" s="6" t="s">
        <v>2845</v>
      </c>
      <c r="AA992" s="9" t="s">
        <v>528</v>
      </c>
      <c r="AB992" s="6" t="s">
        <v>3601</v>
      </c>
      <c r="AE992" s="37" t="n">
        <f aca="false">COUNTIF(環境認証!$A$2:$A$849,A992)</f>
        <v>1</v>
      </c>
      <c r="AF992" s="6" t="n">
        <v>-19.7</v>
      </c>
      <c r="AG992" s="6" t="n">
        <v>-21.6</v>
      </c>
    </row>
    <row r="993" customFormat="false" ht="15" hidden="false" customHeight="true" outlineLevel="0" collapsed="false">
      <c r="A993" s="6" t="s">
        <v>3602</v>
      </c>
      <c r="B993" s="6" t="s">
        <v>485</v>
      </c>
      <c r="C993" s="9" t="s">
        <v>3603</v>
      </c>
      <c r="D993" s="9" t="s">
        <v>3519</v>
      </c>
      <c r="H993" s="9" t="s">
        <v>2844</v>
      </c>
      <c r="M993" s="6" t="n">
        <v>9212.78</v>
      </c>
      <c r="Q993" s="1" t="str">
        <f aca="false">IF(OR($A993="",P993=""),"",ROUND(YEARFRAC(P993,README!$C$5),1))</f>
        <v/>
      </c>
      <c r="S993" s="6" t="n">
        <v>4620</v>
      </c>
      <c r="T993" s="6" t="n">
        <v>4545</v>
      </c>
      <c r="U993" s="6" t="n">
        <v>4810</v>
      </c>
      <c r="V993" s="6" t="n">
        <v>265</v>
      </c>
      <c r="W993" s="6" t="n">
        <v>1</v>
      </c>
      <c r="X993" s="6" t="n">
        <v>1</v>
      </c>
      <c r="Z993" s="6" t="s">
        <v>2845</v>
      </c>
      <c r="AA993" s="9" t="s">
        <v>528</v>
      </c>
      <c r="AB993" s="6" t="s">
        <v>3604</v>
      </c>
      <c r="AE993" s="37" t="n">
        <f aca="false">COUNTIF(環境認証!$A$2:$A$849,A993)</f>
        <v>1</v>
      </c>
      <c r="AF993" s="6" t="n">
        <v>5.8</v>
      </c>
      <c r="AG993" s="6" t="n">
        <v>4.1</v>
      </c>
    </row>
    <row r="994" customFormat="false" ht="15" hidden="false" customHeight="true" outlineLevel="0" collapsed="false">
      <c r="A994" s="6" t="s">
        <v>3605</v>
      </c>
      <c r="B994" s="6" t="s">
        <v>485</v>
      </c>
      <c r="C994" s="9" t="s">
        <v>3606</v>
      </c>
      <c r="D994" s="9" t="s">
        <v>3519</v>
      </c>
      <c r="H994" s="9" t="s">
        <v>2844</v>
      </c>
      <c r="M994" s="6" t="n">
        <v>9691.09</v>
      </c>
      <c r="Q994" s="1" t="str">
        <f aca="false">IF(OR($A994="",P994=""),"",ROUND(YEARFRAC(P994,README!$C$5),1))</f>
        <v/>
      </c>
      <c r="S994" s="6" t="n">
        <v>3569</v>
      </c>
      <c r="T994" s="6" t="n">
        <v>3606</v>
      </c>
      <c r="U994" s="6" t="n">
        <v>3660</v>
      </c>
      <c r="V994" s="6" t="n">
        <v>54</v>
      </c>
      <c r="W994" s="6" t="n">
        <v>1</v>
      </c>
      <c r="X994" s="6" t="n">
        <v>1</v>
      </c>
      <c r="Z994" s="6" t="s">
        <v>2845</v>
      </c>
      <c r="AA994" s="9" t="s">
        <v>528</v>
      </c>
      <c r="AB994" s="6" t="s">
        <v>3607</v>
      </c>
      <c r="AE994" s="37" t="n">
        <f aca="false">COUNTIF(環境認証!$A$2:$A$849,A994)</f>
        <v>0</v>
      </c>
      <c r="AF994" s="6" t="n">
        <v>1.5</v>
      </c>
      <c r="AG994" s="6" t="n">
        <v>2.5</v>
      </c>
    </row>
    <row r="995" customFormat="false" ht="15" hidden="false" customHeight="true" outlineLevel="0" collapsed="false">
      <c r="A995" s="6" t="s">
        <v>3608</v>
      </c>
      <c r="B995" s="6" t="s">
        <v>485</v>
      </c>
      <c r="C995" s="9" t="s">
        <v>3609</v>
      </c>
      <c r="D995" s="9" t="s">
        <v>3519</v>
      </c>
      <c r="H995" s="9" t="s">
        <v>2844</v>
      </c>
      <c r="M995" s="6" t="n">
        <v>36813.59</v>
      </c>
      <c r="Q995" s="1" t="str">
        <f aca="false">IF(OR($A995="",P995=""),"",ROUND(YEARFRAC(P995,README!$C$5),1))</f>
        <v/>
      </c>
      <c r="S995" s="6" t="n">
        <v>26300</v>
      </c>
      <c r="T995" s="6" t="n">
        <v>26658</v>
      </c>
      <c r="U995" s="6" t="n">
        <v>26700</v>
      </c>
      <c r="V995" s="6" t="n">
        <v>42</v>
      </c>
      <c r="W995" s="6" t="n">
        <v>0.99</v>
      </c>
      <c r="X995" s="6" t="n">
        <v>109</v>
      </c>
      <c r="Z995" s="6" t="s">
        <v>2845</v>
      </c>
      <c r="AA995" s="9" t="s">
        <v>528</v>
      </c>
      <c r="AB995" s="6" t="s">
        <v>3610</v>
      </c>
      <c r="AE995" s="37" t="n">
        <f aca="false">COUNTIF(環境認証!$A$2:$A$849,A995)</f>
        <v>0</v>
      </c>
      <c r="AF995" s="6" t="n">
        <v>0.2</v>
      </c>
      <c r="AG995" s="6" t="n">
        <v>1.5</v>
      </c>
    </row>
    <row r="996" customFormat="false" ht="15" hidden="false" customHeight="true" outlineLevel="0" collapsed="false">
      <c r="A996" s="6" t="s">
        <v>3611</v>
      </c>
      <c r="B996" s="6" t="s">
        <v>485</v>
      </c>
      <c r="C996" s="9" t="s">
        <v>3612</v>
      </c>
      <c r="D996" s="9" t="s">
        <v>3519</v>
      </c>
      <c r="H996" s="9" t="s">
        <v>3051</v>
      </c>
      <c r="M996" s="6" t="n">
        <v>48296.76</v>
      </c>
      <c r="Q996" s="1" t="str">
        <f aca="false">IF(OR($A996="",P996=""),"",ROUND(YEARFRAC(P996,README!$C$5),1))</f>
        <v/>
      </c>
      <c r="S996" s="6" t="n">
        <v>12600</v>
      </c>
      <c r="T996" s="6" t="n">
        <v>12369</v>
      </c>
      <c r="U996" s="6" t="n">
        <v>12600</v>
      </c>
      <c r="V996" s="6" t="n">
        <v>231</v>
      </c>
      <c r="W996" s="6" t="n">
        <v>0.998</v>
      </c>
      <c r="X996" s="6" t="n">
        <v>21</v>
      </c>
      <c r="Z996" s="6" t="s">
        <v>2845</v>
      </c>
      <c r="AA996" s="9" t="s">
        <v>528</v>
      </c>
      <c r="AB996" s="6" t="s">
        <v>3613</v>
      </c>
      <c r="AE996" s="37" t="n">
        <f aca="false">COUNTIF(環境認証!$A$2:$A$849,A996)</f>
        <v>1</v>
      </c>
      <c r="AF996" s="6" t="n">
        <v>1.9</v>
      </c>
      <c r="AG996" s="6" t="n">
        <v>0</v>
      </c>
    </row>
    <row r="997" customFormat="false" ht="15" hidden="false" customHeight="true" outlineLevel="0" collapsed="false">
      <c r="A997" s="6" t="s">
        <v>3614</v>
      </c>
      <c r="B997" s="6" t="s">
        <v>485</v>
      </c>
      <c r="C997" s="9" t="s">
        <v>3615</v>
      </c>
      <c r="D997" s="9" t="s">
        <v>3519</v>
      </c>
      <c r="H997" s="9" t="s">
        <v>3051</v>
      </c>
      <c r="M997" s="6" t="n">
        <v>30290.71</v>
      </c>
      <c r="Q997" s="1" t="str">
        <f aca="false">IF(OR($A997="",P997=""),"",ROUND(YEARFRAC(P997,README!$C$5),1))</f>
        <v/>
      </c>
      <c r="S997" s="6" t="n">
        <v>9880</v>
      </c>
      <c r="T997" s="6" t="n">
        <v>9655</v>
      </c>
      <c r="U997" s="6" t="n">
        <v>10900</v>
      </c>
      <c r="V997" s="6" t="n">
        <v>1245</v>
      </c>
      <c r="W997" s="6" t="n">
        <v>1</v>
      </c>
      <c r="X997" s="6" t="n">
        <v>48</v>
      </c>
      <c r="Z997" s="6" t="s">
        <v>2845</v>
      </c>
      <c r="AA997" s="9" t="s">
        <v>528</v>
      </c>
      <c r="AB997" s="6" t="s">
        <v>3616</v>
      </c>
      <c r="AE997" s="37" t="n">
        <f aca="false">COUNTIF(環境認証!$A$2:$A$849,A997)</f>
        <v>1</v>
      </c>
      <c r="AF997" s="6" t="n">
        <v>12.9</v>
      </c>
      <c r="AG997" s="6" t="n">
        <v>10.3</v>
      </c>
    </row>
    <row r="998" customFormat="false" ht="15" hidden="false" customHeight="true" outlineLevel="0" collapsed="false">
      <c r="A998" s="6" t="s">
        <v>3617</v>
      </c>
      <c r="B998" s="6" t="s">
        <v>485</v>
      </c>
      <c r="C998" s="9" t="s">
        <v>3618</v>
      </c>
      <c r="D998" s="9" t="s">
        <v>3519</v>
      </c>
      <c r="H998" s="9" t="s">
        <v>3051</v>
      </c>
      <c r="M998" s="6" t="n">
        <v>4437.07</v>
      </c>
      <c r="Q998" s="1" t="str">
        <f aca="false">IF(OR($A998="",P998=""),"",ROUND(YEARFRAC(P998,README!$C$5),1))</f>
        <v/>
      </c>
      <c r="S998" s="6" t="n">
        <v>3360</v>
      </c>
      <c r="T998" s="6" t="n">
        <v>3360</v>
      </c>
      <c r="U998" s="6" t="n">
        <v>3520</v>
      </c>
      <c r="V998" s="6" t="n">
        <v>160</v>
      </c>
      <c r="W998" s="6" t="n">
        <v>1</v>
      </c>
      <c r="X998" s="6" t="n">
        <v>1</v>
      </c>
      <c r="Z998" s="6" t="s">
        <v>2845</v>
      </c>
      <c r="AA998" s="9" t="s">
        <v>528</v>
      </c>
      <c r="AB998" s="6" t="s">
        <v>3619</v>
      </c>
      <c r="AE998" s="37" t="n">
        <f aca="false">COUNTIF(環境認証!$A$2:$A$849,A998)</f>
        <v>0</v>
      </c>
      <c r="AF998" s="6" t="n">
        <v>4.8</v>
      </c>
      <c r="AG998" s="6" t="n">
        <v>4.8</v>
      </c>
    </row>
    <row r="999" customFormat="false" ht="15" hidden="false" customHeight="true" outlineLevel="0" collapsed="false">
      <c r="A999" s="6" t="s">
        <v>3620</v>
      </c>
      <c r="B999" s="6" t="s">
        <v>485</v>
      </c>
      <c r="C999" s="6" t="s">
        <v>3621</v>
      </c>
      <c r="D999" s="9" t="s">
        <v>3519</v>
      </c>
      <c r="H999" s="9" t="s">
        <v>3051</v>
      </c>
      <c r="Q999" s="1" t="str">
        <f aca="false">IF(OR($A999="",P999=""),"",ROUND(YEARFRAC(P999,README!$C$5),1))</f>
        <v/>
      </c>
      <c r="S999" s="6" t="n">
        <v>2850</v>
      </c>
      <c r="T999" s="6" t="n">
        <v>2850</v>
      </c>
      <c r="U999" s="6" t="n">
        <v>2950</v>
      </c>
      <c r="V999" s="6" t="n">
        <v>100</v>
      </c>
      <c r="W999" s="6" t="n">
        <v>1</v>
      </c>
      <c r="X999" s="6" t="n">
        <v>1</v>
      </c>
      <c r="Z999" s="6" t="s">
        <v>2845</v>
      </c>
      <c r="AA999" s="9" t="s">
        <v>528</v>
      </c>
      <c r="AB999" s="6" t="s">
        <v>3622</v>
      </c>
      <c r="AE999" s="37" t="n">
        <f aca="false">COUNTIF(環境認証!$A$2:$A$849,A999)</f>
        <v>0</v>
      </c>
      <c r="AF999" s="6" t="n">
        <v>3.5</v>
      </c>
      <c r="AG999" s="6" t="n">
        <v>3.5</v>
      </c>
    </row>
    <row r="1000" customFormat="false" ht="15" hidden="false" customHeight="true" outlineLevel="0" collapsed="false">
      <c r="A1000" s="6" t="s">
        <v>3623</v>
      </c>
      <c r="B1000" s="6" t="s">
        <v>485</v>
      </c>
      <c r="C1000" s="6" t="s">
        <v>3624</v>
      </c>
      <c r="D1000" s="9" t="s">
        <v>3519</v>
      </c>
      <c r="H1000" s="9" t="s">
        <v>3051</v>
      </c>
      <c r="M1000" s="6" t="n">
        <v>14313</v>
      </c>
      <c r="Q1000" s="1" t="str">
        <f aca="false">IF(OR($A1000="",P1000=""),"",ROUND(YEARFRAC(P1000,README!$C$5),1))</f>
        <v/>
      </c>
      <c r="S1000" s="6" t="n">
        <v>2680</v>
      </c>
      <c r="T1000" s="6" t="n">
        <v>2627</v>
      </c>
      <c r="U1000" s="6" t="n">
        <v>2620</v>
      </c>
      <c r="V1000" s="6" t="n">
        <v>-7</v>
      </c>
      <c r="W1000" s="6" t="n">
        <v>1</v>
      </c>
      <c r="X1000" s="6" t="n">
        <v>2</v>
      </c>
      <c r="Z1000" s="6" t="s">
        <v>2845</v>
      </c>
      <c r="AA1000" s="9" t="s">
        <v>528</v>
      </c>
      <c r="AB1000" s="6" t="s">
        <v>3625</v>
      </c>
      <c r="AE1000" s="37" t="n">
        <f aca="false">COUNTIF(環境認証!$A$2:$A$849,A1000)</f>
        <v>1</v>
      </c>
      <c r="AF1000" s="6" t="n">
        <v>-0.3</v>
      </c>
      <c r="AG1000" s="6" t="n">
        <v>-2.2</v>
      </c>
    </row>
    <row r="1001" customFormat="false" ht="15" hidden="false" customHeight="true" outlineLevel="0" collapsed="false">
      <c r="A1001" s="6" t="s">
        <v>3626</v>
      </c>
      <c r="B1001" s="6" t="s">
        <v>485</v>
      </c>
      <c r="C1001" s="9" t="s">
        <v>3627</v>
      </c>
      <c r="D1001" s="9" t="s">
        <v>3519</v>
      </c>
      <c r="H1001" s="9" t="s">
        <v>3051</v>
      </c>
      <c r="M1001" s="6" t="n">
        <v>9447.48</v>
      </c>
      <c r="Q1001" s="1" t="str">
        <f aca="false">IF(OR($A1001="",P1001=""),"",ROUND(YEARFRAC(P1001,README!$C$5),1))</f>
        <v/>
      </c>
      <c r="S1001" s="6" t="n">
        <v>2430</v>
      </c>
      <c r="T1001" s="6" t="n">
        <v>2406</v>
      </c>
      <c r="U1001" s="6" t="n">
        <v>2410</v>
      </c>
      <c r="V1001" s="6" t="n">
        <v>4</v>
      </c>
      <c r="W1001" s="6" t="n">
        <v>1</v>
      </c>
      <c r="X1001" s="6" t="n">
        <v>1</v>
      </c>
      <c r="Z1001" s="6" t="s">
        <v>2845</v>
      </c>
      <c r="AA1001" s="9" t="s">
        <v>528</v>
      </c>
      <c r="AB1001" s="6" t="s">
        <v>3628</v>
      </c>
      <c r="AE1001" s="37" t="n">
        <f aca="false">COUNTIF(環境認証!$A$2:$A$849,A1001)</f>
        <v>1</v>
      </c>
      <c r="AF1001" s="6" t="n">
        <v>0.2</v>
      </c>
      <c r="AG1001" s="6" t="n">
        <v>-0.8</v>
      </c>
    </row>
    <row r="1002" customFormat="false" ht="15" hidden="false" customHeight="true" outlineLevel="0" collapsed="false">
      <c r="A1002" s="6" t="s">
        <v>3629</v>
      </c>
      <c r="B1002" s="6" t="s">
        <v>485</v>
      </c>
      <c r="C1002" s="9" t="s">
        <v>3630</v>
      </c>
      <c r="D1002" s="9" t="s">
        <v>3519</v>
      </c>
      <c r="H1002" s="9" t="s">
        <v>3051</v>
      </c>
      <c r="M1002" s="6" t="n">
        <v>2814.67</v>
      </c>
      <c r="Q1002" s="1" t="str">
        <f aca="false">IF(OR($A1002="",P1002=""),"",ROUND(YEARFRAC(P1002,README!$C$5),1))</f>
        <v/>
      </c>
      <c r="S1002" s="6" t="n">
        <v>1660</v>
      </c>
      <c r="T1002" s="6" t="n">
        <v>1622</v>
      </c>
      <c r="U1002" s="6" t="n">
        <v>1630</v>
      </c>
      <c r="V1002" s="6" t="n">
        <v>8</v>
      </c>
      <c r="W1002" s="6" t="n">
        <v>1</v>
      </c>
      <c r="X1002" s="6" t="n">
        <v>1</v>
      </c>
      <c r="Z1002" s="6" t="s">
        <v>2845</v>
      </c>
      <c r="AA1002" s="9" t="s">
        <v>528</v>
      </c>
      <c r="AB1002" s="6" t="s">
        <v>3631</v>
      </c>
      <c r="AE1002" s="37" t="n">
        <f aca="false">COUNTIF(環境認証!$A$2:$A$849,A1002)</f>
        <v>0</v>
      </c>
      <c r="AF1002" s="6" t="n">
        <v>0.5</v>
      </c>
      <c r="AG1002" s="6" t="n">
        <v>-1.8</v>
      </c>
    </row>
    <row r="1003" customFormat="false" ht="15" hidden="false" customHeight="true" outlineLevel="0" collapsed="false">
      <c r="A1003" s="6" t="s">
        <v>3632</v>
      </c>
      <c r="B1003" s="6" t="s">
        <v>485</v>
      </c>
      <c r="C1003" s="9" t="s">
        <v>3633</v>
      </c>
      <c r="D1003" s="9" t="s">
        <v>3519</v>
      </c>
      <c r="H1003" s="9" t="s">
        <v>3051</v>
      </c>
      <c r="M1003" s="6" t="n">
        <v>10083.41</v>
      </c>
      <c r="Q1003" s="1" t="str">
        <f aca="false">IF(OR($A1003="",P1003=""),"",ROUND(YEARFRAC(P1003,README!$C$5),1))</f>
        <v/>
      </c>
      <c r="S1003" s="6" t="n">
        <v>1550</v>
      </c>
      <c r="T1003" s="6" t="n">
        <v>1536</v>
      </c>
      <c r="U1003" s="6" t="n">
        <v>1710</v>
      </c>
      <c r="V1003" s="6" t="n">
        <v>174</v>
      </c>
      <c r="W1003" s="6" t="n">
        <v>1</v>
      </c>
      <c r="X1003" s="6" t="n">
        <v>1</v>
      </c>
      <c r="Z1003" s="6" t="s">
        <v>2845</v>
      </c>
      <c r="AA1003" s="9" t="s">
        <v>528</v>
      </c>
      <c r="AB1003" s="6" t="s">
        <v>3634</v>
      </c>
      <c r="AE1003" s="37" t="n">
        <f aca="false">COUNTIF(環境認証!$A$2:$A$849,A1003)</f>
        <v>1</v>
      </c>
      <c r="AF1003" s="6" t="n">
        <v>11.3</v>
      </c>
      <c r="AG1003" s="6" t="n">
        <v>10.3</v>
      </c>
    </row>
    <row r="1004" customFormat="false" ht="15" hidden="false" customHeight="true" outlineLevel="0" collapsed="false">
      <c r="A1004" s="6" t="s">
        <v>3635</v>
      </c>
      <c r="B1004" s="6" t="s">
        <v>485</v>
      </c>
      <c r="C1004" s="9" t="s">
        <v>3636</v>
      </c>
      <c r="D1004" s="9" t="s">
        <v>3519</v>
      </c>
      <c r="H1004" s="9" t="s">
        <v>3051</v>
      </c>
      <c r="Q1004" s="1" t="str">
        <f aca="false">IF(OR($A1004="",P1004=""),"",ROUND(YEARFRAC(P1004,README!$C$5),1))</f>
        <v/>
      </c>
      <c r="S1004" s="6" t="n">
        <v>968</v>
      </c>
      <c r="T1004" s="6" t="n">
        <v>959</v>
      </c>
      <c r="U1004" s="6" t="n">
        <v>1040</v>
      </c>
      <c r="V1004" s="6" t="n">
        <v>81</v>
      </c>
      <c r="W1004" s="6" t="n">
        <v>1</v>
      </c>
      <c r="X1004" s="6" t="n">
        <v>1</v>
      </c>
      <c r="Z1004" s="6" t="s">
        <v>2845</v>
      </c>
      <c r="AA1004" s="9" t="s">
        <v>528</v>
      </c>
      <c r="AB1004" s="6" t="s">
        <v>3637</v>
      </c>
      <c r="AE1004" s="37" t="n">
        <f aca="false">COUNTIF(環境認証!$A$2:$A$849,A1004)</f>
        <v>1</v>
      </c>
      <c r="AF1004" s="6" t="n">
        <v>8.4</v>
      </c>
      <c r="AG1004" s="6" t="n">
        <v>7.4</v>
      </c>
    </row>
    <row r="1005" customFormat="false" ht="15" hidden="false" customHeight="true" outlineLevel="0" collapsed="false">
      <c r="A1005" s="6" t="s">
        <v>3638</v>
      </c>
      <c r="B1005" s="6" t="s">
        <v>485</v>
      </c>
      <c r="C1005" s="9" t="s">
        <v>3639</v>
      </c>
      <c r="D1005" s="9" t="s">
        <v>3519</v>
      </c>
      <c r="H1005" s="9" t="s">
        <v>3051</v>
      </c>
      <c r="M1005" s="6" t="n">
        <v>23775.88</v>
      </c>
      <c r="Q1005" s="1" t="str">
        <f aca="false">IF(OR($A1005="",P1005=""),"",ROUND(YEARFRAC(P1005,README!$C$5),1))</f>
        <v/>
      </c>
      <c r="S1005" s="6" t="n">
        <v>11300</v>
      </c>
      <c r="T1005" s="6" t="n">
        <v>11280</v>
      </c>
      <c r="U1005" s="6" t="n">
        <v>10600</v>
      </c>
      <c r="V1005" s="6" t="n">
        <v>-680</v>
      </c>
      <c r="W1005" s="6" t="n">
        <v>0.99</v>
      </c>
      <c r="X1005" s="6" t="n">
        <v>37</v>
      </c>
      <c r="Z1005" s="6" t="s">
        <v>2845</v>
      </c>
      <c r="AA1005" s="9" t="s">
        <v>528</v>
      </c>
      <c r="AB1005" s="6" t="s">
        <v>3640</v>
      </c>
      <c r="AE1005" s="37" t="n">
        <f aca="false">COUNTIF(環境認証!$A$2:$A$849,A1005)</f>
        <v>1</v>
      </c>
      <c r="AF1005" s="6" t="n">
        <v>-6</v>
      </c>
      <c r="AG1005" s="6" t="n">
        <v>-6.2</v>
      </c>
    </row>
    <row r="1006" customFormat="false" ht="15" hidden="false" customHeight="true" outlineLevel="0" collapsed="false">
      <c r="A1006" s="6" t="s">
        <v>3641</v>
      </c>
      <c r="B1006" s="6" t="s">
        <v>485</v>
      </c>
      <c r="C1006" s="9" t="s">
        <v>3642</v>
      </c>
      <c r="D1006" s="9" t="s">
        <v>3519</v>
      </c>
      <c r="H1006" s="9" t="s">
        <v>3051</v>
      </c>
      <c r="M1006" s="6" t="n">
        <v>65382.12</v>
      </c>
      <c r="Q1006" s="1" t="str">
        <f aca="false">IF(OR($A1006="",P1006=""),"",ROUND(YEARFRAC(P1006,README!$C$5),1))</f>
        <v/>
      </c>
      <c r="S1006" s="6" t="n">
        <v>5135</v>
      </c>
      <c r="T1006" s="6" t="n">
        <v>5058</v>
      </c>
      <c r="U1006" s="6" t="n">
        <v>5180</v>
      </c>
      <c r="V1006" s="6" t="n">
        <v>122</v>
      </c>
      <c r="W1006" s="6" t="n">
        <v>0.997</v>
      </c>
      <c r="X1006" s="6" t="n">
        <v>29</v>
      </c>
      <c r="Z1006" s="6" t="s">
        <v>2845</v>
      </c>
      <c r="AA1006" s="9" t="s">
        <v>528</v>
      </c>
      <c r="AB1006" s="6" t="s">
        <v>3643</v>
      </c>
      <c r="AE1006" s="37" t="n">
        <f aca="false">COUNTIF(環境認証!$A$2:$A$849,A1006)</f>
        <v>1</v>
      </c>
      <c r="AF1006" s="6" t="n">
        <v>2.4</v>
      </c>
      <c r="AG1006" s="6" t="n">
        <v>0.9</v>
      </c>
    </row>
    <row r="1007" customFormat="false" ht="15" hidden="false" customHeight="true" outlineLevel="0" collapsed="false">
      <c r="A1007" s="6" t="s">
        <v>3644</v>
      </c>
      <c r="B1007" s="6" t="s">
        <v>485</v>
      </c>
      <c r="C1007" s="9" t="s">
        <v>3645</v>
      </c>
      <c r="D1007" s="9" t="s">
        <v>3519</v>
      </c>
      <c r="H1007" s="9" t="s">
        <v>3051</v>
      </c>
      <c r="M1007" s="6" t="n">
        <v>12768.77</v>
      </c>
      <c r="Q1007" s="1" t="str">
        <f aca="false">IF(OR($A1007="",P1007=""),"",ROUND(YEARFRAC(P1007,README!$C$5),1))</f>
        <v/>
      </c>
      <c r="S1007" s="6" t="n">
        <v>2600</v>
      </c>
      <c r="T1007" s="6" t="n">
        <v>2586</v>
      </c>
      <c r="U1007" s="6" t="n">
        <v>2870</v>
      </c>
      <c r="V1007" s="6" t="n">
        <v>284</v>
      </c>
      <c r="W1007" s="6" t="n">
        <v>1</v>
      </c>
      <c r="X1007" s="6" t="n">
        <v>2</v>
      </c>
      <c r="Z1007" s="6" t="s">
        <v>2845</v>
      </c>
      <c r="AA1007" s="9" t="s">
        <v>528</v>
      </c>
      <c r="AB1007" s="6" t="s">
        <v>3646</v>
      </c>
      <c r="AE1007" s="37" t="n">
        <f aca="false">COUNTIF(環境認証!$A$2:$A$849,A1007)</f>
        <v>1</v>
      </c>
      <c r="AF1007" s="6" t="n">
        <v>11</v>
      </c>
      <c r="AG1007" s="6" t="n">
        <v>10.4</v>
      </c>
    </row>
    <row r="1008" customFormat="false" ht="15" hidden="false" customHeight="true" outlineLevel="0" collapsed="false">
      <c r="A1008" s="6" t="s">
        <v>3647</v>
      </c>
      <c r="B1008" s="6" t="s">
        <v>485</v>
      </c>
      <c r="C1008" s="9" t="s">
        <v>3648</v>
      </c>
      <c r="D1008" s="9" t="s">
        <v>3519</v>
      </c>
      <c r="H1008" s="9" t="s">
        <v>3051</v>
      </c>
      <c r="M1008" s="6" t="n">
        <v>2228.04</v>
      </c>
      <c r="Q1008" s="1" t="str">
        <f aca="false">IF(OR($A1008="",P1008=""),"",ROUND(YEARFRAC(P1008,README!$C$5),1))</f>
        <v/>
      </c>
      <c r="S1008" s="6" t="n">
        <v>979</v>
      </c>
      <c r="T1008" s="6" t="n">
        <v>944</v>
      </c>
      <c r="U1008" s="6" t="n">
        <v>1020</v>
      </c>
      <c r="V1008" s="6" t="n">
        <v>76</v>
      </c>
      <c r="W1008" s="6" t="n">
        <v>1</v>
      </c>
      <c r="X1008" s="6" t="n">
        <v>1</v>
      </c>
      <c r="Z1008" s="6" t="s">
        <v>2845</v>
      </c>
      <c r="AA1008" s="9" t="s">
        <v>528</v>
      </c>
      <c r="AB1008" s="6" t="s">
        <v>3649</v>
      </c>
      <c r="AE1008" s="37" t="n">
        <f aca="false">COUNTIF(環境認証!$A$2:$A$849,A1008)</f>
        <v>0</v>
      </c>
      <c r="AF1008" s="6" t="n">
        <v>8.1</v>
      </c>
      <c r="AG1008" s="6" t="n">
        <v>4.2</v>
      </c>
    </row>
    <row r="1009" customFormat="false" ht="15" hidden="false" customHeight="true" outlineLevel="0" collapsed="false">
      <c r="A1009" s="6" t="s">
        <v>3650</v>
      </c>
      <c r="B1009" s="6" t="s">
        <v>485</v>
      </c>
      <c r="C1009" s="9" t="s">
        <v>3651</v>
      </c>
      <c r="D1009" s="9" t="s">
        <v>3519</v>
      </c>
      <c r="H1009" s="9" t="s">
        <v>3051</v>
      </c>
      <c r="M1009" s="6" t="n">
        <v>2679.52</v>
      </c>
      <c r="Q1009" s="1" t="str">
        <f aca="false">IF(OR($A1009="",P1009=""),"",ROUND(YEARFRAC(P1009,README!$C$5),1))</f>
        <v/>
      </c>
      <c r="S1009" s="6" t="n">
        <v>1790</v>
      </c>
      <c r="T1009" s="6" t="n">
        <v>1773</v>
      </c>
      <c r="U1009" s="6" t="n">
        <v>1820</v>
      </c>
      <c r="V1009" s="6" t="n">
        <v>47</v>
      </c>
      <c r="W1009" s="6" t="n">
        <v>1</v>
      </c>
      <c r="X1009" s="6" t="n">
        <v>1</v>
      </c>
      <c r="Z1009" s="6" t="s">
        <v>2845</v>
      </c>
      <c r="AA1009" s="9" t="s">
        <v>528</v>
      </c>
      <c r="AB1009" s="6" t="s">
        <v>3652</v>
      </c>
      <c r="AE1009" s="37" t="n">
        <f aca="false">COUNTIF(環境認証!$A$2:$A$849,A1009)</f>
        <v>0</v>
      </c>
      <c r="AF1009" s="6" t="n">
        <v>2.7</v>
      </c>
      <c r="AG1009" s="6" t="n">
        <v>1.7</v>
      </c>
    </row>
    <row r="1010" customFormat="false" ht="15" hidden="false" customHeight="true" outlineLevel="0" collapsed="false">
      <c r="A1010" s="6" t="s">
        <v>3653</v>
      </c>
      <c r="B1010" s="6" t="s">
        <v>485</v>
      </c>
      <c r="C1010" s="9" t="s">
        <v>3654</v>
      </c>
      <c r="D1010" s="9" t="s">
        <v>3519</v>
      </c>
      <c r="H1010" s="9" t="s">
        <v>3051</v>
      </c>
      <c r="M1010" s="6" t="n">
        <v>20329.07</v>
      </c>
      <c r="Q1010" s="1" t="str">
        <f aca="false">IF(OR($A1010="",P1010=""),"",ROUND(YEARFRAC(P1010,README!$C$5),1))</f>
        <v/>
      </c>
      <c r="S1010" s="6" t="n">
        <v>7480</v>
      </c>
      <c r="T1010" s="6" t="n">
        <v>7286</v>
      </c>
      <c r="U1010" s="6" t="n">
        <v>7220</v>
      </c>
      <c r="V1010" s="6" t="n">
        <v>-66</v>
      </c>
      <c r="W1010" s="6" t="n">
        <v>1</v>
      </c>
      <c r="X1010" s="6" t="n">
        <v>1</v>
      </c>
      <c r="Z1010" s="6" t="s">
        <v>2845</v>
      </c>
      <c r="AA1010" s="9" t="s">
        <v>528</v>
      </c>
      <c r="AB1010" s="6" t="s">
        <v>3655</v>
      </c>
      <c r="AE1010" s="37" t="n">
        <f aca="false">COUNTIF(環境認証!$A$2:$A$849,A1010)</f>
        <v>1</v>
      </c>
      <c r="AF1010" s="6" t="n">
        <v>-0.9</v>
      </c>
      <c r="AG1010" s="6" t="n">
        <v>-3.5</v>
      </c>
    </row>
    <row r="1011" customFormat="false" ht="15" hidden="false" customHeight="true" outlineLevel="0" collapsed="false">
      <c r="A1011" s="6" t="s">
        <v>3656</v>
      </c>
      <c r="B1011" s="6" t="s">
        <v>485</v>
      </c>
      <c r="C1011" s="9" t="s">
        <v>3657</v>
      </c>
      <c r="D1011" s="9" t="s">
        <v>3519</v>
      </c>
      <c r="H1011" s="9" t="s">
        <v>3051</v>
      </c>
      <c r="M1011" s="6" t="n">
        <v>8264.46</v>
      </c>
      <c r="Q1011" s="1" t="str">
        <f aca="false">IF(OR($A1011="",P1011=""),"",ROUND(YEARFRAC(P1011,README!$C$5),1))</f>
        <v/>
      </c>
      <c r="S1011" s="6" t="n">
        <v>4310</v>
      </c>
      <c r="T1011" s="6" t="n">
        <v>4310</v>
      </c>
      <c r="U1011" s="6" t="n">
        <v>4580</v>
      </c>
      <c r="V1011" s="6" t="n">
        <v>270</v>
      </c>
      <c r="W1011" s="6" t="n">
        <v>1</v>
      </c>
      <c r="X1011" s="6" t="n">
        <v>1</v>
      </c>
      <c r="Z1011" s="6" t="s">
        <v>2845</v>
      </c>
      <c r="AA1011" s="9" t="s">
        <v>528</v>
      </c>
      <c r="AB1011" s="6" t="s">
        <v>3658</v>
      </c>
      <c r="AE1011" s="37" t="n">
        <f aca="false">COUNTIF(環境認証!$A$2:$A$849,A1011)</f>
        <v>0</v>
      </c>
      <c r="AF1011" s="6" t="n">
        <v>6.3</v>
      </c>
      <c r="AG1011" s="6" t="n">
        <v>6.3</v>
      </c>
    </row>
    <row r="1012" customFormat="false" ht="15" hidden="false" customHeight="true" outlineLevel="0" collapsed="false">
      <c r="A1012" s="6" t="s">
        <v>3659</v>
      </c>
      <c r="B1012" s="6" t="s">
        <v>485</v>
      </c>
      <c r="C1012" s="9" t="s">
        <v>3660</v>
      </c>
      <c r="D1012" s="9" t="s">
        <v>3519</v>
      </c>
      <c r="H1012" s="9" t="s">
        <v>3051</v>
      </c>
      <c r="M1012" s="6" t="n">
        <v>12030.83</v>
      </c>
      <c r="Q1012" s="1" t="str">
        <f aca="false">IF(OR($A1012="",P1012=""),"",ROUND(YEARFRAC(P1012,README!$C$5),1))</f>
        <v/>
      </c>
      <c r="S1012" s="6" t="n">
        <v>4180</v>
      </c>
      <c r="T1012" s="6" t="n">
        <v>4193</v>
      </c>
      <c r="U1012" s="6" t="n">
        <v>4020</v>
      </c>
      <c r="V1012" s="6" t="n">
        <v>-173</v>
      </c>
      <c r="W1012" s="6" t="n">
        <v>1</v>
      </c>
      <c r="X1012" s="6" t="n">
        <v>7</v>
      </c>
      <c r="Z1012" s="6" t="s">
        <v>2845</v>
      </c>
      <c r="AA1012" s="9" t="s">
        <v>528</v>
      </c>
      <c r="AB1012" s="6" t="s">
        <v>3661</v>
      </c>
      <c r="AE1012" s="37" t="n">
        <f aca="false">COUNTIF(環境認証!$A$2:$A$849,A1012)</f>
        <v>0</v>
      </c>
      <c r="AF1012" s="6" t="n">
        <v>-4.1</v>
      </c>
      <c r="AG1012" s="6" t="n">
        <v>-3.8</v>
      </c>
    </row>
    <row r="1013" customFormat="false" ht="15" hidden="false" customHeight="true" outlineLevel="0" collapsed="false">
      <c r="A1013" s="6" t="s">
        <v>3662</v>
      </c>
      <c r="B1013" s="6" t="s">
        <v>485</v>
      </c>
      <c r="C1013" s="9" t="s">
        <v>3663</v>
      </c>
      <c r="D1013" s="9" t="s">
        <v>3519</v>
      </c>
      <c r="H1013" s="9" t="s">
        <v>3051</v>
      </c>
      <c r="Q1013" s="1" t="str">
        <f aca="false">IF(OR($A1013="",P1013=""),"",ROUND(YEARFRAC(P1013,README!$C$5),1))</f>
        <v/>
      </c>
      <c r="S1013" s="6" t="n">
        <v>4350</v>
      </c>
      <c r="T1013" s="6" t="n">
        <v>4350</v>
      </c>
      <c r="U1013" s="6" t="n">
        <v>4630</v>
      </c>
      <c r="V1013" s="6" t="n">
        <v>280</v>
      </c>
      <c r="W1013" s="6" t="n">
        <v>1</v>
      </c>
      <c r="X1013" s="6" t="n">
        <v>1</v>
      </c>
      <c r="Z1013" s="6" t="s">
        <v>2845</v>
      </c>
      <c r="AA1013" s="9" t="s">
        <v>528</v>
      </c>
      <c r="AB1013" s="6" t="s">
        <v>3664</v>
      </c>
      <c r="AE1013" s="37" t="n">
        <f aca="false">COUNTIF(環境認証!$A$2:$A$849,A1013)</f>
        <v>0</v>
      </c>
      <c r="AF1013" s="6" t="n">
        <v>6.4</v>
      </c>
      <c r="AG1013" s="6" t="n">
        <v>6.4</v>
      </c>
    </row>
    <row r="1014" customFormat="false" ht="15" hidden="false" customHeight="true" outlineLevel="0" collapsed="false">
      <c r="A1014" s="6" t="s">
        <v>3665</v>
      </c>
      <c r="B1014" s="6" t="s">
        <v>485</v>
      </c>
      <c r="C1014" s="9" t="s">
        <v>3666</v>
      </c>
      <c r="D1014" s="9" t="s">
        <v>3519</v>
      </c>
      <c r="H1014" s="9" t="s">
        <v>3051</v>
      </c>
      <c r="M1014" s="6" t="n">
        <v>28026.61</v>
      </c>
      <c r="Q1014" s="1" t="str">
        <f aca="false">IF(OR($A1014="",P1014=""),"",ROUND(YEARFRAC(P1014,README!$C$5),1))</f>
        <v/>
      </c>
      <c r="S1014" s="6" t="n">
        <v>5900</v>
      </c>
      <c r="T1014" s="6" t="n">
        <v>5812</v>
      </c>
      <c r="U1014" s="6" t="n">
        <v>7840</v>
      </c>
      <c r="V1014" s="6" t="n">
        <v>2028</v>
      </c>
      <c r="W1014" s="6" t="n">
        <v>1</v>
      </c>
      <c r="X1014" s="6" t="n">
        <v>1</v>
      </c>
      <c r="Z1014" s="6" t="s">
        <v>2845</v>
      </c>
      <c r="AA1014" s="9" t="s">
        <v>528</v>
      </c>
      <c r="AB1014" s="6" t="s">
        <v>3667</v>
      </c>
      <c r="AE1014" s="37" t="n">
        <f aca="false">COUNTIF(環境認証!$A$2:$A$849,A1014)</f>
        <v>0</v>
      </c>
      <c r="AF1014" s="6" t="n">
        <v>34.9</v>
      </c>
      <c r="AG1014" s="6" t="n">
        <v>32.9</v>
      </c>
    </row>
    <row r="1015" customFormat="false" ht="15" hidden="false" customHeight="true" outlineLevel="0" collapsed="false">
      <c r="A1015" s="6" t="s">
        <v>3668</v>
      </c>
      <c r="B1015" s="6" t="s">
        <v>485</v>
      </c>
      <c r="C1015" s="9" t="s">
        <v>3669</v>
      </c>
      <c r="D1015" s="9" t="s">
        <v>3519</v>
      </c>
      <c r="H1015" s="9" t="s">
        <v>3051</v>
      </c>
      <c r="M1015" s="6" t="n">
        <v>4641.1</v>
      </c>
      <c r="Q1015" s="1" t="str">
        <f aca="false">IF(OR($A1015="",P1015=""),"",ROUND(YEARFRAC(P1015,README!$C$5),1))</f>
        <v/>
      </c>
      <c r="S1015" s="6" t="n">
        <v>1900</v>
      </c>
      <c r="T1015" s="6" t="n">
        <v>1874</v>
      </c>
      <c r="U1015" s="6" t="n">
        <v>1890</v>
      </c>
      <c r="V1015" s="6" t="n">
        <v>16</v>
      </c>
      <c r="W1015" s="6" t="n">
        <v>1</v>
      </c>
      <c r="X1015" s="6" t="n">
        <v>4</v>
      </c>
      <c r="Z1015" s="6" t="s">
        <v>2845</v>
      </c>
      <c r="AA1015" s="9" t="s">
        <v>528</v>
      </c>
      <c r="AB1015" s="6" t="s">
        <v>3670</v>
      </c>
      <c r="AE1015" s="37" t="n">
        <f aca="false">COUNTIF(環境認証!$A$2:$A$849,A1015)</f>
        <v>0</v>
      </c>
      <c r="AF1015" s="6" t="n">
        <v>0.9</v>
      </c>
      <c r="AG1015" s="6" t="n">
        <v>-0.5</v>
      </c>
    </row>
    <row r="1016" customFormat="false" ht="15" hidden="false" customHeight="true" outlineLevel="0" collapsed="false">
      <c r="A1016" s="6" t="s">
        <v>3671</v>
      </c>
      <c r="B1016" s="6" t="s">
        <v>485</v>
      </c>
      <c r="C1016" s="9" t="s">
        <v>3672</v>
      </c>
      <c r="D1016" s="9" t="s">
        <v>3519</v>
      </c>
      <c r="H1016" s="9" t="s">
        <v>3051</v>
      </c>
      <c r="M1016" s="6" t="n">
        <v>54304.75</v>
      </c>
      <c r="Q1016" s="1" t="str">
        <f aca="false">IF(OR($A1016="",P1016=""),"",ROUND(YEARFRAC(P1016,README!$C$5),1))</f>
        <v/>
      </c>
      <c r="S1016" s="6" t="n">
        <v>12000</v>
      </c>
      <c r="T1016" s="6" t="n">
        <v>11806</v>
      </c>
      <c r="U1016" s="6" t="n">
        <v>12600</v>
      </c>
      <c r="V1016" s="6" t="n">
        <v>794</v>
      </c>
      <c r="W1016" s="6" t="n">
        <v>0.987</v>
      </c>
      <c r="X1016" s="6" t="n">
        <v>47</v>
      </c>
      <c r="Z1016" s="6" t="s">
        <v>2845</v>
      </c>
      <c r="AA1016" s="9" t="s">
        <v>528</v>
      </c>
      <c r="AB1016" s="6" t="s">
        <v>3673</v>
      </c>
      <c r="AE1016" s="37" t="n">
        <f aca="false">COUNTIF(環境認証!$A$2:$A$849,A1016)</f>
        <v>1</v>
      </c>
      <c r="AF1016" s="6" t="n">
        <v>6.7</v>
      </c>
      <c r="AG1016" s="6" t="n">
        <v>5</v>
      </c>
    </row>
    <row r="1017" customFormat="false" ht="15" hidden="false" customHeight="true" outlineLevel="0" collapsed="false">
      <c r="A1017" s="6" t="s">
        <v>3674</v>
      </c>
      <c r="B1017" s="6" t="s">
        <v>485</v>
      </c>
      <c r="C1017" s="9" t="s">
        <v>3675</v>
      </c>
      <c r="D1017" s="9" t="s">
        <v>3519</v>
      </c>
      <c r="H1017" s="9" t="s">
        <v>3051</v>
      </c>
      <c r="M1017" s="6" t="n">
        <v>24006.16</v>
      </c>
      <c r="Q1017" s="1" t="str">
        <f aca="false">IF(OR($A1017="",P1017=""),"",ROUND(YEARFRAC(P1017,README!$C$5),1))</f>
        <v/>
      </c>
      <c r="S1017" s="6" t="n">
        <v>4690</v>
      </c>
      <c r="T1017" s="6" t="n">
        <v>4659</v>
      </c>
      <c r="U1017" s="6" t="n">
        <v>4650</v>
      </c>
      <c r="V1017" s="6" t="n">
        <v>-9</v>
      </c>
      <c r="W1017" s="6" t="n">
        <v>1</v>
      </c>
      <c r="X1017" s="6" t="n">
        <v>1</v>
      </c>
      <c r="Z1017" s="6" t="s">
        <v>2845</v>
      </c>
      <c r="AA1017" s="9" t="s">
        <v>528</v>
      </c>
      <c r="AB1017" s="6" t="s">
        <v>3676</v>
      </c>
      <c r="AE1017" s="37" t="n">
        <f aca="false">COUNTIF(環境認証!$A$2:$A$849,A1017)</f>
        <v>1</v>
      </c>
      <c r="AF1017" s="6" t="n">
        <v>-0.2</v>
      </c>
      <c r="AG1017" s="6" t="n">
        <v>-0.9</v>
      </c>
    </row>
    <row r="1018" customFormat="false" ht="15" hidden="false" customHeight="true" outlineLevel="0" collapsed="false">
      <c r="A1018" s="6" t="s">
        <v>3677</v>
      </c>
      <c r="B1018" s="6" t="s">
        <v>485</v>
      </c>
      <c r="C1018" s="9" t="s">
        <v>3678</v>
      </c>
      <c r="D1018" s="9" t="s">
        <v>3519</v>
      </c>
      <c r="H1018" s="9" t="s">
        <v>3051</v>
      </c>
      <c r="M1018" s="6" t="n">
        <v>6447.81</v>
      </c>
      <c r="Q1018" s="1" t="str">
        <f aca="false">IF(OR($A1018="",P1018=""),"",ROUND(YEARFRAC(P1018,README!$C$5),1))</f>
        <v/>
      </c>
      <c r="S1018" s="6" t="n">
        <v>2030</v>
      </c>
      <c r="T1018" s="6" t="n">
        <v>2029</v>
      </c>
      <c r="U1018" s="6" t="n">
        <v>2020</v>
      </c>
      <c r="V1018" s="6" t="n">
        <v>-9</v>
      </c>
      <c r="W1018" s="6" t="n">
        <v>1</v>
      </c>
      <c r="X1018" s="6" t="n">
        <v>2</v>
      </c>
      <c r="Z1018" s="6" t="s">
        <v>2845</v>
      </c>
      <c r="AA1018" s="9" t="s">
        <v>528</v>
      </c>
      <c r="AB1018" s="6" t="s">
        <v>3679</v>
      </c>
      <c r="AE1018" s="37" t="n">
        <f aca="false">COUNTIF(環境認証!$A$2:$A$849,A1018)</f>
        <v>0</v>
      </c>
      <c r="AF1018" s="6" t="n">
        <v>-0.4</v>
      </c>
      <c r="AG1018" s="6" t="n">
        <v>-0.5</v>
      </c>
    </row>
    <row r="1019" customFormat="false" ht="15" hidden="false" customHeight="true" outlineLevel="0" collapsed="false">
      <c r="A1019" s="6" t="s">
        <v>3680</v>
      </c>
      <c r="B1019" s="6" t="s">
        <v>485</v>
      </c>
      <c r="C1019" s="9" t="s">
        <v>3681</v>
      </c>
      <c r="D1019" s="9" t="s">
        <v>3519</v>
      </c>
      <c r="H1019" s="9" t="s">
        <v>3051</v>
      </c>
      <c r="M1019" s="6" t="n">
        <v>13480.42</v>
      </c>
      <c r="Q1019" s="1" t="str">
        <f aca="false">IF(OR($A1019="",P1019=""),"",ROUND(YEARFRAC(P1019,README!$C$5),1))</f>
        <v/>
      </c>
      <c r="S1019" s="6" t="n">
        <v>2640</v>
      </c>
      <c r="T1019" s="6" t="n">
        <v>2640</v>
      </c>
      <c r="U1019" s="6" t="n">
        <v>2740</v>
      </c>
      <c r="V1019" s="6" t="n">
        <v>100</v>
      </c>
      <c r="W1019" s="6" t="n">
        <v>1</v>
      </c>
      <c r="X1019" s="6" t="n">
        <v>1</v>
      </c>
      <c r="Z1019" s="6" t="s">
        <v>2845</v>
      </c>
      <c r="AA1019" s="9" t="s">
        <v>528</v>
      </c>
      <c r="AB1019" s="6" t="s">
        <v>3682</v>
      </c>
      <c r="AE1019" s="37" t="n">
        <f aca="false">COUNTIF(環境認証!$A$2:$A$849,A1019)</f>
        <v>0</v>
      </c>
      <c r="AF1019" s="6" t="n">
        <v>3.8</v>
      </c>
      <c r="AG1019" s="6" t="n">
        <v>3.8</v>
      </c>
    </row>
    <row r="1020" customFormat="false" ht="15" hidden="false" customHeight="true" outlineLevel="0" collapsed="false">
      <c r="A1020" s="6" t="s">
        <v>3683</v>
      </c>
      <c r="B1020" s="6" t="s">
        <v>485</v>
      </c>
      <c r="C1020" s="9" t="s">
        <v>3684</v>
      </c>
      <c r="D1020" s="9" t="s">
        <v>3519</v>
      </c>
      <c r="H1020" s="9" t="s">
        <v>3051</v>
      </c>
      <c r="M1020" s="6" t="n">
        <v>11922.77</v>
      </c>
      <c r="Q1020" s="1" t="str">
        <f aca="false">IF(OR($A1020="",P1020=""),"",ROUND(YEARFRAC(P1020,README!$C$5),1))</f>
        <v/>
      </c>
      <c r="S1020" s="6" t="n">
        <v>5920</v>
      </c>
      <c r="T1020" s="6" t="n">
        <v>5909</v>
      </c>
      <c r="U1020" s="6" t="n">
        <v>5820</v>
      </c>
      <c r="V1020" s="6" t="n">
        <v>-89</v>
      </c>
      <c r="W1020" s="6" t="n">
        <v>1</v>
      </c>
      <c r="X1020" s="6" t="n">
        <v>7</v>
      </c>
      <c r="Z1020" s="6" t="s">
        <v>2845</v>
      </c>
      <c r="AA1020" s="9" t="s">
        <v>528</v>
      </c>
      <c r="AB1020" s="6" t="s">
        <v>3685</v>
      </c>
      <c r="AE1020" s="37" t="n">
        <f aca="false">COUNTIF(環境認証!$A$2:$A$849,A1020)</f>
        <v>1</v>
      </c>
      <c r="AF1020" s="6" t="n">
        <v>-1.5</v>
      </c>
      <c r="AG1020" s="6" t="n">
        <v>-1.7</v>
      </c>
    </row>
    <row r="1021" customFormat="false" ht="15" hidden="false" customHeight="true" outlineLevel="0" collapsed="false">
      <c r="A1021" s="6" t="s">
        <v>3686</v>
      </c>
      <c r="B1021" s="6" t="s">
        <v>485</v>
      </c>
      <c r="C1021" s="9" t="s">
        <v>3687</v>
      </c>
      <c r="D1021" s="9" t="s">
        <v>3519</v>
      </c>
      <c r="H1021" s="9" t="s">
        <v>3051</v>
      </c>
      <c r="M1021" s="6" t="n">
        <v>6355.66</v>
      </c>
      <c r="Q1021" s="1" t="str">
        <f aca="false">IF(OR($A1021="",P1021=""),"",ROUND(YEARFRAC(P1021,README!$C$5),1))</f>
        <v/>
      </c>
      <c r="S1021" s="6" t="n">
        <v>6160</v>
      </c>
      <c r="T1021" s="6" t="n">
        <v>6252</v>
      </c>
      <c r="U1021" s="6" t="n">
        <v>5880</v>
      </c>
      <c r="V1021" s="6" t="n">
        <v>-372</v>
      </c>
      <c r="W1021" s="6" t="n">
        <v>0.775</v>
      </c>
      <c r="X1021" s="6" t="n">
        <v>12</v>
      </c>
      <c r="Z1021" s="6" t="s">
        <v>2845</v>
      </c>
      <c r="AA1021" s="9" t="s">
        <v>528</v>
      </c>
      <c r="AB1021" s="6" t="s">
        <v>3688</v>
      </c>
      <c r="AE1021" s="37" t="n">
        <f aca="false">COUNTIF(環境認証!$A$2:$A$849,A1021)</f>
        <v>1</v>
      </c>
      <c r="AF1021" s="6" t="n">
        <v>-6</v>
      </c>
      <c r="AG1021" s="6" t="n">
        <v>-4.5</v>
      </c>
    </row>
    <row r="1022" customFormat="false" ht="15" hidden="false" customHeight="true" outlineLevel="0" collapsed="false">
      <c r="A1022" s="6" t="s">
        <v>3689</v>
      </c>
      <c r="B1022" s="6" t="s">
        <v>485</v>
      </c>
      <c r="C1022" s="9" t="s">
        <v>3690</v>
      </c>
      <c r="D1022" s="9" t="s">
        <v>3519</v>
      </c>
      <c r="H1022" s="9" t="s">
        <v>3051</v>
      </c>
      <c r="M1022" s="6" t="n">
        <v>7214.92</v>
      </c>
      <c r="Q1022" s="1" t="str">
        <f aca="false">IF(OR($A1022="",P1022=""),"",ROUND(YEARFRAC(P1022,README!$C$5),1))</f>
        <v/>
      </c>
      <c r="S1022" s="6" t="n">
        <v>1230</v>
      </c>
      <c r="T1022" s="6" t="n">
        <v>1235</v>
      </c>
      <c r="U1022" s="6" t="n">
        <v>1250</v>
      </c>
      <c r="V1022" s="6" t="n">
        <v>15</v>
      </c>
      <c r="W1022" s="6" t="n">
        <v>1</v>
      </c>
      <c r="X1022" s="6" t="n">
        <v>1</v>
      </c>
      <c r="Z1022" s="6" t="s">
        <v>2845</v>
      </c>
      <c r="AA1022" s="9" t="s">
        <v>528</v>
      </c>
      <c r="AB1022" s="6" t="s">
        <v>3691</v>
      </c>
      <c r="AE1022" s="37" t="n">
        <f aca="false">COUNTIF(環境認証!$A$2:$A$849,A1022)</f>
        <v>0</v>
      </c>
      <c r="AF1022" s="6" t="n">
        <v>1.2</v>
      </c>
      <c r="AG1022" s="6" t="n">
        <v>1.6</v>
      </c>
    </row>
    <row r="1023" customFormat="false" ht="15" hidden="false" customHeight="true" outlineLevel="0" collapsed="false">
      <c r="A1023" s="6" t="s">
        <v>3692</v>
      </c>
      <c r="B1023" s="6" t="s">
        <v>485</v>
      </c>
      <c r="C1023" s="9" t="s">
        <v>3693</v>
      </c>
      <c r="D1023" s="9" t="s">
        <v>3519</v>
      </c>
      <c r="H1023" s="9" t="s">
        <v>3051</v>
      </c>
      <c r="M1023" s="6" t="n">
        <v>39693.21</v>
      </c>
      <c r="Q1023" s="1" t="str">
        <f aca="false">IF(OR($A1023="",P1023=""),"",ROUND(YEARFRAC(P1023,README!$C$5),1))</f>
        <v/>
      </c>
      <c r="S1023" s="6" t="n">
        <v>20625</v>
      </c>
      <c r="T1023" s="6" t="n">
        <v>20513</v>
      </c>
      <c r="U1023" s="6" t="n">
        <v>21000</v>
      </c>
      <c r="V1023" s="6" t="n">
        <v>487</v>
      </c>
      <c r="W1023" s="6" t="n">
        <v>0.995</v>
      </c>
      <c r="X1023" s="6" t="n">
        <v>66</v>
      </c>
      <c r="Z1023" s="6" t="s">
        <v>2845</v>
      </c>
      <c r="AA1023" s="9" t="s">
        <v>528</v>
      </c>
      <c r="AB1023" s="6" t="s">
        <v>3694</v>
      </c>
      <c r="AE1023" s="37" t="n">
        <f aca="false">COUNTIF(環境認証!$A$2:$A$849,A1023)</f>
        <v>1</v>
      </c>
      <c r="AF1023" s="6" t="n">
        <v>2.4</v>
      </c>
      <c r="AG1023" s="6" t="n">
        <v>1.8</v>
      </c>
    </row>
    <row r="1024" customFormat="false" ht="15" hidden="false" customHeight="true" outlineLevel="0" collapsed="false">
      <c r="A1024" s="6" t="s">
        <v>3695</v>
      </c>
      <c r="B1024" s="6" t="s">
        <v>485</v>
      </c>
      <c r="C1024" s="9" t="s">
        <v>3696</v>
      </c>
      <c r="D1024" s="9" t="s">
        <v>3519</v>
      </c>
      <c r="H1024" s="9" t="s">
        <v>3051</v>
      </c>
      <c r="M1024" s="6" t="n">
        <v>23498.99</v>
      </c>
      <c r="Q1024" s="1" t="str">
        <f aca="false">IF(OR($A1024="",P1024=""),"",ROUND(YEARFRAC(P1024,README!$C$5),1))</f>
        <v/>
      </c>
      <c r="S1024" s="6" t="n">
        <v>2630</v>
      </c>
      <c r="T1024" s="6" t="n">
        <v>2672</v>
      </c>
      <c r="U1024" s="6" t="n">
        <v>2680</v>
      </c>
      <c r="V1024" s="6" t="n">
        <v>8</v>
      </c>
      <c r="W1024" s="6" t="n">
        <v>1</v>
      </c>
      <c r="X1024" s="6" t="n">
        <v>1</v>
      </c>
      <c r="Z1024" s="6" t="s">
        <v>2845</v>
      </c>
      <c r="AA1024" s="9" t="s">
        <v>528</v>
      </c>
      <c r="AB1024" s="6" t="s">
        <v>3697</v>
      </c>
      <c r="AE1024" s="37" t="n">
        <f aca="false">COUNTIF(環境認証!$A$2:$A$849,A1024)</f>
        <v>0</v>
      </c>
      <c r="AF1024" s="6" t="n">
        <v>0.3</v>
      </c>
      <c r="AG1024" s="6" t="n">
        <v>1.9</v>
      </c>
    </row>
    <row r="1025" customFormat="false" ht="15" hidden="false" customHeight="true" outlineLevel="0" collapsed="false">
      <c r="A1025" s="6" t="s">
        <v>3698</v>
      </c>
      <c r="B1025" s="6" t="s">
        <v>485</v>
      </c>
      <c r="C1025" s="9" t="s">
        <v>3699</v>
      </c>
      <c r="D1025" s="9" t="s">
        <v>3700</v>
      </c>
      <c r="H1025" s="9" t="s">
        <v>2844</v>
      </c>
      <c r="M1025" s="6" t="n">
        <v>32935.54</v>
      </c>
      <c r="Q1025" s="1" t="str">
        <f aca="false">IF(OR($A1025="",P1025=""),"",ROUND(YEARFRAC(P1025,README!$C$5),1))</f>
        <v/>
      </c>
      <c r="S1025" s="6" t="n">
        <v>4550</v>
      </c>
      <c r="T1025" s="6" t="n">
        <v>4352</v>
      </c>
      <c r="U1025" s="6" t="n">
        <v>4580</v>
      </c>
      <c r="V1025" s="6" t="n">
        <v>228</v>
      </c>
      <c r="W1025" s="6" t="n">
        <v>1</v>
      </c>
      <c r="X1025" s="6" t="n">
        <v>1</v>
      </c>
      <c r="Z1025" s="6" t="s">
        <v>2845</v>
      </c>
      <c r="AA1025" s="9" t="s">
        <v>528</v>
      </c>
      <c r="AB1025" s="6" t="s">
        <v>3701</v>
      </c>
      <c r="AE1025" s="37" t="n">
        <f aca="false">COUNTIF(環境認証!$A$2:$A$849,A1025)</f>
        <v>1</v>
      </c>
      <c r="AF1025" s="6" t="n">
        <v>5.2</v>
      </c>
      <c r="AG1025" s="6" t="n">
        <v>0.7</v>
      </c>
    </row>
    <row r="1026" customFormat="false" ht="15" hidden="false" customHeight="true" outlineLevel="0" collapsed="false">
      <c r="A1026" s="6" t="s">
        <v>3702</v>
      </c>
      <c r="B1026" s="6" t="s">
        <v>485</v>
      </c>
      <c r="C1026" s="9" t="s">
        <v>3703</v>
      </c>
      <c r="D1026" s="9" t="s">
        <v>3700</v>
      </c>
      <c r="H1026" s="9" t="s">
        <v>2844</v>
      </c>
      <c r="M1026" s="6" t="n">
        <v>5479.92</v>
      </c>
      <c r="Q1026" s="1" t="str">
        <f aca="false">IF(OR($A1026="",P1026=""),"",ROUND(YEARFRAC(P1026,README!$C$5),1))</f>
        <v/>
      </c>
      <c r="S1026" s="6" t="n">
        <v>1890</v>
      </c>
      <c r="T1026" s="6" t="n">
        <v>1963</v>
      </c>
      <c r="U1026" s="6" t="n">
        <v>1880</v>
      </c>
      <c r="V1026" s="6" t="n">
        <v>-83</v>
      </c>
      <c r="W1026" s="6" t="n">
        <v>1</v>
      </c>
      <c r="X1026" s="6" t="n">
        <v>1</v>
      </c>
      <c r="Z1026" s="6" t="s">
        <v>2845</v>
      </c>
      <c r="AA1026" s="9" t="s">
        <v>528</v>
      </c>
      <c r="AB1026" s="6" t="s">
        <v>3704</v>
      </c>
      <c r="AE1026" s="37" t="n">
        <f aca="false">COUNTIF(環境認証!$A$2:$A$849,A1026)</f>
        <v>0</v>
      </c>
      <c r="AF1026" s="6" t="n">
        <v>-4.2</v>
      </c>
      <c r="AG1026" s="6" t="n">
        <v>-0.5</v>
      </c>
    </row>
    <row r="1027" customFormat="false" ht="15" hidden="false" customHeight="true" outlineLevel="0" collapsed="false">
      <c r="A1027" s="6" t="s">
        <v>3705</v>
      </c>
      <c r="B1027" s="6" t="s">
        <v>485</v>
      </c>
      <c r="C1027" s="9" t="s">
        <v>3706</v>
      </c>
      <c r="D1027" s="9" t="s">
        <v>3700</v>
      </c>
      <c r="H1027" s="9" t="s">
        <v>2844</v>
      </c>
      <c r="M1027" s="6" t="n">
        <v>6543.87</v>
      </c>
      <c r="Q1027" s="1" t="str">
        <f aca="false">IF(OR($A1027="",P1027=""),"",ROUND(YEARFRAC(P1027,README!$C$5),1))</f>
        <v/>
      </c>
      <c r="S1027" s="6" t="n">
        <v>1790</v>
      </c>
      <c r="T1027" s="6" t="n">
        <v>1830</v>
      </c>
      <c r="U1027" s="6" t="n">
        <v>1780</v>
      </c>
      <c r="V1027" s="6" t="n">
        <v>-50</v>
      </c>
      <c r="W1027" s="6" t="n">
        <v>1</v>
      </c>
      <c r="X1027" s="6" t="n">
        <v>1</v>
      </c>
      <c r="Z1027" s="6" t="s">
        <v>2845</v>
      </c>
      <c r="AA1027" s="9" t="s">
        <v>528</v>
      </c>
      <c r="AB1027" s="6" t="s">
        <v>3707</v>
      </c>
      <c r="AE1027" s="37" t="n">
        <f aca="false">COUNTIF(環境認証!$A$2:$A$849,A1027)</f>
        <v>0</v>
      </c>
      <c r="AF1027" s="6" t="n">
        <v>-2.7</v>
      </c>
      <c r="AG1027" s="6" t="n">
        <v>-0.6</v>
      </c>
    </row>
    <row r="1028" customFormat="false" ht="15" hidden="false" customHeight="true" outlineLevel="0" collapsed="false">
      <c r="A1028" s="6" t="s">
        <v>3708</v>
      </c>
      <c r="B1028" s="6" t="s">
        <v>485</v>
      </c>
      <c r="C1028" s="9" t="s">
        <v>3709</v>
      </c>
      <c r="D1028" s="9" t="s">
        <v>3700</v>
      </c>
      <c r="H1028" s="9" t="s">
        <v>2844</v>
      </c>
      <c r="M1028" s="6" t="n">
        <v>2040.05</v>
      </c>
      <c r="Q1028" s="1" t="str">
        <f aca="false">IF(OR($A1028="",P1028=""),"",ROUND(YEARFRAC(P1028,README!$C$5),1))</f>
        <v/>
      </c>
      <c r="S1028" s="6" t="n">
        <v>1090</v>
      </c>
      <c r="T1028" s="6" t="n">
        <v>1074</v>
      </c>
      <c r="U1028" s="6" t="n">
        <v>1080</v>
      </c>
      <c r="V1028" s="6" t="n">
        <v>6</v>
      </c>
      <c r="W1028" s="6" t="n">
        <v>1</v>
      </c>
      <c r="X1028" s="6" t="n">
        <v>2</v>
      </c>
      <c r="Z1028" s="6" t="s">
        <v>2845</v>
      </c>
      <c r="AA1028" s="9" t="s">
        <v>528</v>
      </c>
      <c r="AB1028" s="6" t="s">
        <v>3710</v>
      </c>
      <c r="AE1028" s="37" t="n">
        <f aca="false">COUNTIF(環境認証!$A$2:$A$849,A1028)</f>
        <v>0</v>
      </c>
      <c r="AF1028" s="6" t="n">
        <v>0.6</v>
      </c>
      <c r="AG1028" s="6" t="n">
        <v>-0.9</v>
      </c>
    </row>
    <row r="1029" customFormat="false" ht="15" hidden="false" customHeight="true" outlineLevel="0" collapsed="false">
      <c r="A1029" s="6" t="s">
        <v>3711</v>
      </c>
      <c r="B1029" s="6" t="s">
        <v>485</v>
      </c>
      <c r="C1029" s="9" t="s">
        <v>3712</v>
      </c>
      <c r="D1029" s="9" t="s">
        <v>3700</v>
      </c>
      <c r="H1029" s="9" t="s">
        <v>2844</v>
      </c>
      <c r="M1029" s="6" t="n">
        <v>21956.09</v>
      </c>
      <c r="Q1029" s="1" t="str">
        <f aca="false">IF(OR($A1029="",P1029=""),"",ROUND(YEARFRAC(P1029,README!$C$5),1))</f>
        <v/>
      </c>
      <c r="S1029" s="6" t="n">
        <v>3840</v>
      </c>
      <c r="T1029" s="6" t="n">
        <v>3727</v>
      </c>
      <c r="U1029" s="6" t="n">
        <v>3770</v>
      </c>
      <c r="V1029" s="6" t="n">
        <v>43</v>
      </c>
      <c r="W1029" s="6" t="n">
        <v>0.497</v>
      </c>
      <c r="X1029" s="6" t="n">
        <v>1</v>
      </c>
      <c r="Z1029" s="6" t="s">
        <v>2845</v>
      </c>
      <c r="AA1029" s="9" t="s">
        <v>528</v>
      </c>
      <c r="AB1029" s="6" t="s">
        <v>3713</v>
      </c>
      <c r="AE1029" s="37" t="n">
        <f aca="false">COUNTIF(環境認証!$A$2:$A$849,A1029)</f>
        <v>0</v>
      </c>
      <c r="AF1029" s="6" t="n">
        <v>1.2</v>
      </c>
      <c r="AG1029" s="6" t="n">
        <v>-1.8</v>
      </c>
    </row>
    <row r="1030" customFormat="false" ht="15" hidden="false" customHeight="true" outlineLevel="0" collapsed="false">
      <c r="A1030" s="6" t="s">
        <v>3714</v>
      </c>
      <c r="B1030" s="6" t="s">
        <v>485</v>
      </c>
      <c r="C1030" s="9" t="s">
        <v>3715</v>
      </c>
      <c r="D1030" s="9" t="s">
        <v>3700</v>
      </c>
      <c r="H1030" s="9" t="s">
        <v>2844</v>
      </c>
      <c r="M1030" s="6" t="n">
        <v>790.52</v>
      </c>
      <c r="Q1030" s="1" t="str">
        <f aca="false">IF(OR($A1030="",P1030=""),"",ROUND(YEARFRAC(P1030,README!$C$5),1))</f>
        <v/>
      </c>
      <c r="S1030" s="6" t="n">
        <v>857</v>
      </c>
      <c r="T1030" s="6" t="n">
        <v>861</v>
      </c>
      <c r="U1030" s="6" t="n">
        <v>824</v>
      </c>
      <c r="V1030" s="6" t="n">
        <v>-37</v>
      </c>
      <c r="W1030" s="6" t="n">
        <v>1</v>
      </c>
      <c r="X1030" s="6" t="n">
        <v>1</v>
      </c>
      <c r="Z1030" s="6" t="s">
        <v>2845</v>
      </c>
      <c r="AA1030" s="9" t="s">
        <v>528</v>
      </c>
      <c r="AB1030" s="6" t="s">
        <v>3716</v>
      </c>
      <c r="AE1030" s="37" t="n">
        <f aca="false">COUNTIF(環境認証!$A$2:$A$849,A1030)</f>
        <v>0</v>
      </c>
      <c r="AF1030" s="6" t="n">
        <v>-4.3</v>
      </c>
      <c r="AG1030" s="6" t="n">
        <v>-3.9</v>
      </c>
    </row>
    <row r="1031" customFormat="false" ht="15" hidden="false" customHeight="true" outlineLevel="0" collapsed="false">
      <c r="A1031" s="6" t="s">
        <v>3717</v>
      </c>
      <c r="B1031" s="6" t="s">
        <v>485</v>
      </c>
      <c r="C1031" s="9" t="s">
        <v>3718</v>
      </c>
      <c r="D1031" s="9" t="s">
        <v>3700</v>
      </c>
      <c r="H1031" s="9" t="s">
        <v>2844</v>
      </c>
      <c r="M1031" s="6" t="n">
        <v>5684.13</v>
      </c>
      <c r="Q1031" s="1" t="str">
        <f aca="false">IF(OR($A1031="",P1031=""),"",ROUND(YEARFRAC(P1031,README!$C$5),1))</f>
        <v/>
      </c>
      <c r="S1031" s="6" t="n">
        <v>1550</v>
      </c>
      <c r="T1031" s="6" t="n">
        <v>1497</v>
      </c>
      <c r="U1031" s="6" t="n">
        <v>1630</v>
      </c>
      <c r="V1031" s="6" t="n">
        <v>133</v>
      </c>
      <c r="W1031" s="6" t="n">
        <v>1</v>
      </c>
      <c r="X1031" s="6" t="n">
        <v>1</v>
      </c>
      <c r="Z1031" s="6" t="s">
        <v>2845</v>
      </c>
      <c r="AA1031" s="9" t="s">
        <v>528</v>
      </c>
      <c r="AB1031" s="6" t="s">
        <v>3719</v>
      </c>
      <c r="AE1031" s="37" t="n">
        <f aca="false">COUNTIF(環境認証!$A$2:$A$849,A1031)</f>
        <v>1</v>
      </c>
      <c r="AF1031" s="6" t="n">
        <v>8.9</v>
      </c>
      <c r="AG1031" s="6" t="n">
        <v>5.2</v>
      </c>
    </row>
    <row r="1032" customFormat="false" ht="15" hidden="false" customHeight="true" outlineLevel="0" collapsed="false">
      <c r="A1032" s="6" t="s">
        <v>3720</v>
      </c>
      <c r="B1032" s="6" t="s">
        <v>485</v>
      </c>
      <c r="C1032" s="9" t="s">
        <v>3721</v>
      </c>
      <c r="D1032" s="9" t="s">
        <v>3700</v>
      </c>
      <c r="H1032" s="9" t="s">
        <v>2844</v>
      </c>
      <c r="M1032" s="6" t="n">
        <v>10803.53</v>
      </c>
      <c r="Q1032" s="1" t="str">
        <f aca="false">IF(OR($A1032="",P1032=""),"",ROUND(YEARFRAC(P1032,README!$C$5),1))</f>
        <v/>
      </c>
      <c r="S1032" s="6" t="n">
        <v>1872</v>
      </c>
      <c r="T1032" s="6" t="n">
        <v>1899</v>
      </c>
      <c r="U1032" s="6" t="n">
        <v>2320</v>
      </c>
      <c r="V1032" s="6" t="n">
        <v>421</v>
      </c>
      <c r="W1032" s="6" t="n">
        <v>1</v>
      </c>
      <c r="X1032" s="6" t="n">
        <v>1</v>
      </c>
      <c r="Z1032" s="6" t="s">
        <v>2845</v>
      </c>
      <c r="AA1032" s="9" t="s">
        <v>528</v>
      </c>
      <c r="AB1032" s="6" t="s">
        <v>3722</v>
      </c>
      <c r="AE1032" s="37" t="n">
        <f aca="false">COUNTIF(環境認証!$A$2:$A$849,A1032)</f>
        <v>0</v>
      </c>
      <c r="AF1032" s="6" t="n">
        <v>22.2</v>
      </c>
      <c r="AG1032" s="6" t="n">
        <v>23.9</v>
      </c>
    </row>
    <row r="1033" customFormat="false" ht="15" hidden="false" customHeight="true" outlineLevel="0" collapsed="false">
      <c r="A1033" s="6" t="s">
        <v>3723</v>
      </c>
      <c r="B1033" s="6" t="s">
        <v>485</v>
      </c>
      <c r="C1033" s="6" t="s">
        <v>3724</v>
      </c>
      <c r="D1033" s="9" t="s">
        <v>3700</v>
      </c>
      <c r="H1033" s="9" t="s">
        <v>2844</v>
      </c>
      <c r="M1033" s="6" t="n">
        <v>15121.74</v>
      </c>
      <c r="Q1033" s="1" t="str">
        <f aca="false">IF(OR($A1033="",P1033=""),"",ROUND(YEARFRAC(P1033,README!$C$5),1))</f>
        <v/>
      </c>
      <c r="S1033" s="6" t="n">
        <v>4950</v>
      </c>
      <c r="T1033" s="6" t="n">
        <v>4961</v>
      </c>
      <c r="U1033" s="6" t="n">
        <v>5070</v>
      </c>
      <c r="V1033" s="6" t="n">
        <v>109</v>
      </c>
      <c r="W1033" s="6" t="n">
        <v>1</v>
      </c>
      <c r="X1033" s="6" t="n">
        <v>1</v>
      </c>
      <c r="Z1033" s="6" t="s">
        <v>2845</v>
      </c>
      <c r="AA1033" s="9" t="s">
        <v>528</v>
      </c>
      <c r="AB1033" s="6" t="s">
        <v>3725</v>
      </c>
      <c r="AE1033" s="37" t="n">
        <f aca="false">COUNTIF(環境認証!$A$2:$A$849,A1033)</f>
        <v>1</v>
      </c>
      <c r="AF1033" s="6" t="n">
        <v>2.2</v>
      </c>
      <c r="AG1033" s="6" t="n">
        <v>2.4</v>
      </c>
    </row>
    <row r="1034" customFormat="false" ht="15" hidden="false" customHeight="true" outlineLevel="0" collapsed="false">
      <c r="A1034" s="6" t="s">
        <v>3726</v>
      </c>
      <c r="B1034" s="6" t="s">
        <v>485</v>
      </c>
      <c r="C1034" s="6" t="s">
        <v>3727</v>
      </c>
      <c r="D1034" s="9" t="s">
        <v>3700</v>
      </c>
      <c r="H1034" s="9" t="s">
        <v>2844</v>
      </c>
      <c r="M1034" s="6" t="n">
        <v>26781.82</v>
      </c>
      <c r="Q1034" s="1" t="str">
        <f aca="false">IF(OR($A1034="",P1034=""),"",ROUND(YEARFRAC(P1034,README!$C$5),1))</f>
        <v/>
      </c>
      <c r="S1034" s="6" t="n">
        <v>6137</v>
      </c>
      <c r="T1034" s="6" t="n">
        <v>6197</v>
      </c>
      <c r="U1034" s="6" t="n">
        <v>6740</v>
      </c>
      <c r="V1034" s="6" t="n">
        <v>543</v>
      </c>
      <c r="W1034" s="6" t="n">
        <v>1</v>
      </c>
      <c r="X1034" s="6" t="n">
        <v>2</v>
      </c>
      <c r="Z1034" s="6" t="s">
        <v>2845</v>
      </c>
      <c r="AA1034" s="9" t="s">
        <v>528</v>
      </c>
      <c r="AB1034" s="6" t="s">
        <v>3728</v>
      </c>
      <c r="AE1034" s="37" t="n">
        <f aca="false">COUNTIF(環境認証!$A$2:$A$849,A1034)</f>
        <v>0</v>
      </c>
      <c r="AF1034" s="6" t="n">
        <v>8.8</v>
      </c>
      <c r="AG1034" s="6" t="n">
        <v>9.8</v>
      </c>
    </row>
    <row r="1035" customFormat="false" ht="15" hidden="false" customHeight="true" outlineLevel="0" collapsed="false">
      <c r="A1035" s="6" t="s">
        <v>3729</v>
      </c>
      <c r="B1035" s="6" t="s">
        <v>485</v>
      </c>
      <c r="C1035" s="9" t="s">
        <v>3730</v>
      </c>
      <c r="D1035" s="9" t="s">
        <v>3700</v>
      </c>
      <c r="H1035" s="9" t="s">
        <v>3051</v>
      </c>
      <c r="M1035" s="6" t="n">
        <v>7393.08</v>
      </c>
      <c r="Q1035" s="1" t="str">
        <f aca="false">IF(OR($A1035="",P1035=""),"",ROUND(YEARFRAC(P1035,README!$C$5),1))</f>
        <v/>
      </c>
      <c r="S1035" s="6" t="n">
        <v>1110</v>
      </c>
      <c r="T1035" s="6" t="n">
        <v>1093</v>
      </c>
      <c r="U1035" s="6" t="n">
        <v>1140</v>
      </c>
      <c r="V1035" s="6" t="n">
        <v>47</v>
      </c>
      <c r="W1035" s="6" t="n">
        <v>1</v>
      </c>
      <c r="X1035" s="6" t="n">
        <v>1</v>
      </c>
      <c r="Z1035" s="6" t="s">
        <v>2845</v>
      </c>
      <c r="AA1035" s="9" t="s">
        <v>528</v>
      </c>
      <c r="AB1035" s="6" t="s">
        <v>3731</v>
      </c>
      <c r="AE1035" s="37" t="n">
        <f aca="false">COUNTIF(環境認証!$A$2:$A$849,A1035)</f>
        <v>0</v>
      </c>
      <c r="AF1035" s="6" t="n">
        <v>4.3</v>
      </c>
      <c r="AG1035" s="6" t="n">
        <v>2.7</v>
      </c>
    </row>
    <row r="1036" customFormat="false" ht="15" hidden="false" customHeight="true" outlineLevel="0" collapsed="false">
      <c r="A1036" s="6" t="s">
        <v>3732</v>
      </c>
      <c r="B1036" s="6" t="s">
        <v>485</v>
      </c>
      <c r="C1036" s="9" t="s">
        <v>3733</v>
      </c>
      <c r="D1036" s="9" t="s">
        <v>3700</v>
      </c>
      <c r="H1036" s="9" t="s">
        <v>3051</v>
      </c>
      <c r="M1036" s="6" t="n">
        <v>6274.32</v>
      </c>
      <c r="Q1036" s="1" t="str">
        <f aca="false">IF(OR($A1036="",P1036=""),"",ROUND(YEARFRAC(P1036,README!$C$5),1))</f>
        <v/>
      </c>
      <c r="S1036" s="6" t="n">
        <v>1107</v>
      </c>
      <c r="T1036" s="6" t="n">
        <v>1117</v>
      </c>
      <c r="U1036" s="6" t="n">
        <v>1107</v>
      </c>
      <c r="V1036" s="6" t="n">
        <v>-10</v>
      </c>
      <c r="W1036" s="6" t="n">
        <v>1</v>
      </c>
      <c r="X1036" s="6" t="n">
        <v>1</v>
      </c>
      <c r="Z1036" s="6" t="s">
        <v>2845</v>
      </c>
      <c r="AA1036" s="9" t="s">
        <v>528</v>
      </c>
      <c r="AB1036" s="6" t="s">
        <v>3734</v>
      </c>
      <c r="AE1036" s="37" t="n">
        <f aca="false">COUNTIF(環境認証!$A$2:$A$849,A1036)</f>
        <v>0</v>
      </c>
      <c r="AF1036" s="6" t="n">
        <v>-0.9</v>
      </c>
      <c r="AG1036" s="6" t="n">
        <v>0</v>
      </c>
    </row>
    <row r="1037" customFormat="false" ht="15" hidden="false" customHeight="true" outlineLevel="0" collapsed="false">
      <c r="A1037" s="6" t="s">
        <v>3735</v>
      </c>
      <c r="B1037" s="6" t="s">
        <v>485</v>
      </c>
      <c r="C1037" s="6" t="s">
        <v>3736</v>
      </c>
      <c r="D1037" s="9" t="s">
        <v>3700</v>
      </c>
      <c r="H1037" s="9" t="s">
        <v>3051</v>
      </c>
      <c r="M1037" s="6" t="n">
        <v>852.8</v>
      </c>
      <c r="Q1037" s="1" t="str">
        <f aca="false">IF(OR($A1037="",P1037=""),"",ROUND(YEARFRAC(P1037,README!$C$5),1))</f>
        <v/>
      </c>
      <c r="S1037" s="6" t="n">
        <v>616</v>
      </c>
      <c r="T1037" s="6" t="n">
        <v>648</v>
      </c>
      <c r="U1037" s="6" t="n">
        <v>619</v>
      </c>
      <c r="V1037" s="6" t="n">
        <v>-29</v>
      </c>
      <c r="W1037" s="6" t="n">
        <v>1</v>
      </c>
      <c r="X1037" s="6" t="n">
        <v>1</v>
      </c>
      <c r="Z1037" s="6" t="s">
        <v>2845</v>
      </c>
      <c r="AA1037" s="9" t="s">
        <v>528</v>
      </c>
      <c r="AB1037" s="6" t="s">
        <v>3737</v>
      </c>
      <c r="AE1037" s="37" t="n">
        <f aca="false">COUNTIF(環境認証!$A$2:$A$849,A1037)</f>
        <v>0</v>
      </c>
      <c r="AF1037" s="6" t="n">
        <v>-4.5</v>
      </c>
      <c r="AG1037" s="6" t="n">
        <v>0.5</v>
      </c>
    </row>
    <row r="1038" customFormat="false" ht="15" hidden="false" customHeight="true" outlineLevel="0" collapsed="false">
      <c r="A1038" s="6" t="s">
        <v>3738</v>
      </c>
      <c r="B1038" s="6" t="s">
        <v>485</v>
      </c>
      <c r="C1038" s="6" t="s">
        <v>3739</v>
      </c>
      <c r="D1038" s="9" t="s">
        <v>3700</v>
      </c>
      <c r="H1038" s="9" t="s">
        <v>3051</v>
      </c>
      <c r="M1038" s="6" t="n">
        <v>45622.8</v>
      </c>
      <c r="Q1038" s="1" t="str">
        <f aca="false">IF(OR($A1038="",P1038=""),"",ROUND(YEARFRAC(P1038,README!$C$5),1))</f>
        <v/>
      </c>
      <c r="S1038" s="6" t="n">
        <v>12400</v>
      </c>
      <c r="T1038" s="6" t="n">
        <v>12402</v>
      </c>
      <c r="U1038" s="6" t="n">
        <v>12600</v>
      </c>
      <c r="V1038" s="6" t="n">
        <v>198</v>
      </c>
      <c r="W1038" s="6" t="n">
        <v>1</v>
      </c>
      <c r="X1038" s="6" t="n">
        <v>3</v>
      </c>
      <c r="Z1038" s="6" t="s">
        <v>2845</v>
      </c>
      <c r="AA1038" s="9" t="s">
        <v>528</v>
      </c>
      <c r="AB1038" s="6" t="s">
        <v>3740</v>
      </c>
      <c r="AE1038" s="37" t="n">
        <f aca="false">COUNTIF(環境認証!$A$2:$A$849,A1038)</f>
        <v>2</v>
      </c>
      <c r="AF1038" s="6" t="n">
        <v>1.6</v>
      </c>
      <c r="AG1038" s="6" t="n">
        <v>1.6</v>
      </c>
    </row>
    <row r="1039" customFormat="false" ht="15" hidden="false" customHeight="true" outlineLevel="0" collapsed="false">
      <c r="A1039" s="6" t="s">
        <v>3741</v>
      </c>
      <c r="B1039" s="6" t="s">
        <v>485</v>
      </c>
      <c r="C1039" s="9" t="s">
        <v>3742</v>
      </c>
      <c r="D1039" s="9" t="s">
        <v>1316</v>
      </c>
      <c r="H1039" s="9" t="s">
        <v>2844</v>
      </c>
      <c r="M1039" s="6" t="n">
        <v>1997.18</v>
      </c>
      <c r="Q1039" s="1" t="str">
        <f aca="false">IF(OR($A1039="",P1039=""),"",ROUND(YEARFRAC(P1039,README!$C$5),1))</f>
        <v/>
      </c>
      <c r="S1039" s="6" t="n">
        <v>2600</v>
      </c>
      <c r="T1039" s="6" t="n">
        <v>2569</v>
      </c>
      <c r="U1039" s="6" t="n">
        <v>2540</v>
      </c>
      <c r="V1039" s="6" t="n">
        <v>-29</v>
      </c>
      <c r="W1039" s="6" t="n">
        <v>1</v>
      </c>
      <c r="X1039" s="6" t="n">
        <v>1</v>
      </c>
      <c r="Z1039" s="6" t="s">
        <v>2845</v>
      </c>
      <c r="AA1039" s="9" t="s">
        <v>528</v>
      </c>
      <c r="AB1039" s="6" t="s">
        <v>3743</v>
      </c>
      <c r="AE1039" s="37" t="n">
        <f aca="false">COUNTIF(環境認証!$A$2:$A$849,A1039)</f>
        <v>0</v>
      </c>
      <c r="AF1039" s="6" t="n">
        <v>-1.1</v>
      </c>
      <c r="AG1039" s="6" t="n">
        <v>-2.3</v>
      </c>
    </row>
    <row r="1040" customFormat="false" ht="15" hidden="false" customHeight="true" outlineLevel="0" collapsed="false">
      <c r="A1040" s="6" t="s">
        <v>3744</v>
      </c>
      <c r="B1040" s="6" t="s">
        <v>485</v>
      </c>
      <c r="C1040" s="9" t="s">
        <v>3745</v>
      </c>
      <c r="D1040" s="9" t="s">
        <v>1316</v>
      </c>
      <c r="H1040" s="9" t="s">
        <v>2844</v>
      </c>
      <c r="M1040" s="6" t="n">
        <v>1660.21</v>
      </c>
      <c r="Q1040" s="1" t="str">
        <f aca="false">IF(OR($A1040="",P1040=""),"",ROUND(YEARFRAC(P1040,README!$C$5),1))</f>
        <v/>
      </c>
      <c r="S1040" s="6" t="n">
        <v>2370</v>
      </c>
      <c r="T1040" s="6" t="n">
        <v>2345</v>
      </c>
      <c r="U1040" s="6" t="n">
        <v>2330</v>
      </c>
      <c r="V1040" s="6" t="n">
        <v>-15</v>
      </c>
      <c r="W1040" s="6" t="n">
        <v>1</v>
      </c>
      <c r="X1040" s="6" t="n">
        <v>2</v>
      </c>
      <c r="Z1040" s="6" t="s">
        <v>2845</v>
      </c>
      <c r="AA1040" s="9" t="s">
        <v>528</v>
      </c>
      <c r="AB1040" s="6" t="s">
        <v>3746</v>
      </c>
      <c r="AE1040" s="37" t="n">
        <f aca="false">COUNTIF(環境認証!$A$2:$A$849,A1040)</f>
        <v>0</v>
      </c>
      <c r="AF1040" s="6" t="n">
        <v>-0.6</v>
      </c>
      <c r="AG1040" s="6" t="n">
        <v>-1.7</v>
      </c>
    </row>
    <row r="1041" customFormat="false" ht="15" hidden="false" customHeight="true" outlineLevel="0" collapsed="false">
      <c r="A1041" s="6" t="s">
        <v>3747</v>
      </c>
      <c r="B1041" s="6" t="s">
        <v>485</v>
      </c>
      <c r="C1041" s="9" t="s">
        <v>3748</v>
      </c>
      <c r="D1041" s="9" t="s">
        <v>1316</v>
      </c>
      <c r="H1041" s="9" t="s">
        <v>2844</v>
      </c>
      <c r="M1041" s="6" t="n">
        <v>6155.76</v>
      </c>
      <c r="Q1041" s="1" t="str">
        <f aca="false">IF(OR($A1041="",P1041=""),"",ROUND(YEARFRAC(P1041,README!$C$5),1))</f>
        <v/>
      </c>
      <c r="S1041" s="6" t="n">
        <v>9900</v>
      </c>
      <c r="T1041" s="6" t="n">
        <v>9961</v>
      </c>
      <c r="U1041" s="6" t="n">
        <v>10400</v>
      </c>
      <c r="V1041" s="6" t="n">
        <v>439</v>
      </c>
      <c r="W1041" s="6" t="n">
        <v>1</v>
      </c>
      <c r="X1041" s="6" t="n">
        <v>4</v>
      </c>
      <c r="Z1041" s="6" t="s">
        <v>2845</v>
      </c>
      <c r="AA1041" s="9" t="s">
        <v>528</v>
      </c>
      <c r="AB1041" s="6" t="s">
        <v>3749</v>
      </c>
      <c r="AE1041" s="37" t="n">
        <f aca="false">COUNTIF(環境認証!$A$2:$A$849,A1041)</f>
        <v>0</v>
      </c>
      <c r="AF1041" s="6" t="n">
        <v>4.4</v>
      </c>
      <c r="AG1041" s="6" t="n">
        <v>5.1</v>
      </c>
    </row>
    <row r="1042" customFormat="false" ht="15" hidden="false" customHeight="true" outlineLevel="0" collapsed="false">
      <c r="A1042" s="6" t="s">
        <v>3750</v>
      </c>
      <c r="B1042" s="6" t="s">
        <v>485</v>
      </c>
      <c r="C1042" s="9" t="s">
        <v>3751</v>
      </c>
      <c r="D1042" s="9" t="s">
        <v>1316</v>
      </c>
      <c r="H1042" s="9" t="s">
        <v>3051</v>
      </c>
      <c r="M1042" s="6" t="n">
        <v>29210.96</v>
      </c>
      <c r="Q1042" s="1" t="str">
        <f aca="false">IF(OR($A1042="",P1042=""),"",ROUND(YEARFRAC(P1042,README!$C$5),1))</f>
        <v/>
      </c>
      <c r="S1042" s="6" t="n">
        <v>22000</v>
      </c>
      <c r="T1042" s="6" t="n">
        <v>21775</v>
      </c>
      <c r="U1042" s="6" t="n">
        <v>25100</v>
      </c>
      <c r="V1042" s="6" t="n">
        <v>3325</v>
      </c>
      <c r="W1042" s="6" t="n">
        <v>1</v>
      </c>
      <c r="X1042" s="6" t="n">
        <v>1</v>
      </c>
      <c r="Z1042" s="6" t="s">
        <v>2845</v>
      </c>
      <c r="AA1042" s="9" t="s">
        <v>528</v>
      </c>
      <c r="AB1042" s="6" t="s">
        <v>3752</v>
      </c>
      <c r="AE1042" s="37" t="n">
        <f aca="false">COUNTIF(環境認証!$A$2:$A$849,A1042)</f>
        <v>1</v>
      </c>
      <c r="AF1042" s="6" t="n">
        <v>15.3</v>
      </c>
      <c r="AG1042" s="6" t="n">
        <v>14.1</v>
      </c>
    </row>
    <row r="1043" customFormat="false" ht="15" hidden="false" customHeight="true" outlineLevel="0" collapsed="false">
      <c r="A1043" s="6" t="s">
        <v>3753</v>
      </c>
      <c r="B1043" s="6" t="s">
        <v>485</v>
      </c>
      <c r="C1043" s="9" t="s">
        <v>3754</v>
      </c>
      <c r="D1043" s="9" t="s">
        <v>1316</v>
      </c>
      <c r="H1043" s="9" t="s">
        <v>3051</v>
      </c>
      <c r="M1043" s="6" t="n">
        <v>21881.58</v>
      </c>
      <c r="Q1043" s="1" t="str">
        <f aca="false">IF(OR($A1043="",P1043=""),"",ROUND(YEARFRAC(P1043,README!$C$5),1))</f>
        <v/>
      </c>
      <c r="S1043" s="6" t="n">
        <v>11770</v>
      </c>
      <c r="T1043" s="6" t="n">
        <v>11770</v>
      </c>
      <c r="U1043" s="6" t="n">
        <v>13300</v>
      </c>
      <c r="V1043" s="6" t="n">
        <v>1530</v>
      </c>
      <c r="W1043" s="6" t="n">
        <v>0.999</v>
      </c>
      <c r="X1043" s="6" t="n">
        <v>31</v>
      </c>
      <c r="Z1043" s="6" t="s">
        <v>2845</v>
      </c>
      <c r="AA1043" s="9" t="s">
        <v>528</v>
      </c>
      <c r="AB1043" s="6" t="s">
        <v>3755</v>
      </c>
      <c r="AE1043" s="37" t="n">
        <f aca="false">COUNTIF(環境認証!$A$2:$A$849,A1043)</f>
        <v>1</v>
      </c>
      <c r="AF1043" s="6" t="n">
        <v>13</v>
      </c>
      <c r="AG1043" s="6" t="n">
        <v>13</v>
      </c>
    </row>
    <row r="1044" customFormat="false" ht="15" hidden="false" customHeight="true" outlineLevel="0" collapsed="false">
      <c r="A1044" s="6" t="s">
        <v>3756</v>
      </c>
      <c r="B1044" s="6" t="s">
        <v>485</v>
      </c>
      <c r="C1044" s="9" t="s">
        <v>3757</v>
      </c>
      <c r="D1044" s="9" t="s">
        <v>1316</v>
      </c>
      <c r="H1044" s="9" t="s">
        <v>3051</v>
      </c>
      <c r="M1044" s="6" t="n">
        <v>9065.23</v>
      </c>
      <c r="Q1044" s="1" t="str">
        <f aca="false">IF(OR($A1044="",P1044=""),"",ROUND(YEARFRAC(P1044,README!$C$5),1))</f>
        <v/>
      </c>
      <c r="S1044" s="6" t="n">
        <v>7420</v>
      </c>
      <c r="T1044" s="6" t="n">
        <v>7420</v>
      </c>
      <c r="U1044" s="6" t="n">
        <v>8060</v>
      </c>
      <c r="V1044" s="6" t="n">
        <v>640</v>
      </c>
      <c r="W1044" s="6" t="n">
        <v>1</v>
      </c>
      <c r="X1044" s="6" t="n">
        <v>1</v>
      </c>
      <c r="Z1044" s="6" t="s">
        <v>2845</v>
      </c>
      <c r="AA1044" s="9" t="s">
        <v>528</v>
      </c>
      <c r="AB1044" s="6" t="s">
        <v>3758</v>
      </c>
      <c r="AE1044" s="37" t="n">
        <f aca="false">COUNTIF(環境認証!$A$2:$A$849,A1044)</f>
        <v>0</v>
      </c>
      <c r="AF1044" s="6" t="n">
        <v>8.6</v>
      </c>
      <c r="AG1044" s="6" t="n">
        <v>8.6</v>
      </c>
    </row>
    <row r="1045" customFormat="false" ht="15" hidden="false" customHeight="true" outlineLevel="0" collapsed="false">
      <c r="A1045" s="6" t="s">
        <v>3759</v>
      </c>
      <c r="B1045" s="6" t="s">
        <v>485</v>
      </c>
      <c r="C1045" s="9" t="s">
        <v>3760</v>
      </c>
      <c r="D1045" s="9" t="s">
        <v>3761</v>
      </c>
      <c r="H1045" s="9" t="s">
        <v>2844</v>
      </c>
      <c r="M1045" s="6" t="n">
        <v>13812.27</v>
      </c>
      <c r="Q1045" s="1" t="str">
        <f aca="false">IF(OR($A1045="",P1045=""),"",ROUND(YEARFRAC(P1045,README!$C$5),1))</f>
        <v/>
      </c>
      <c r="S1045" s="6" t="n">
        <v>4150</v>
      </c>
      <c r="T1045" s="6" t="n">
        <v>4199</v>
      </c>
      <c r="U1045" s="6" t="n">
        <v>4270</v>
      </c>
      <c r="V1045" s="6" t="n">
        <v>71</v>
      </c>
      <c r="W1045" s="6" t="n">
        <v>1</v>
      </c>
      <c r="X1045" s="6" t="n">
        <v>1</v>
      </c>
      <c r="Z1045" s="6" t="s">
        <v>2845</v>
      </c>
      <c r="AA1045" s="9" t="s">
        <v>528</v>
      </c>
      <c r="AB1045" s="6" t="s">
        <v>3762</v>
      </c>
      <c r="AE1045" s="37" t="n">
        <f aca="false">COUNTIF(環境認証!$A$2:$A$849,A1045)</f>
        <v>0</v>
      </c>
      <c r="AF1045" s="6" t="n">
        <v>1.7</v>
      </c>
      <c r="AG1045" s="6" t="n">
        <v>2.9</v>
      </c>
    </row>
    <row r="1046" customFormat="false" ht="15" hidden="false" customHeight="true" outlineLevel="0" collapsed="false">
      <c r="A1046" s="6" t="s">
        <v>3763</v>
      </c>
      <c r="B1046" s="6" t="s">
        <v>485</v>
      </c>
      <c r="C1046" s="9" t="s">
        <v>3764</v>
      </c>
      <c r="D1046" s="9" t="s">
        <v>3761</v>
      </c>
      <c r="H1046" s="9" t="s">
        <v>2844</v>
      </c>
      <c r="M1046" s="6" t="n">
        <v>8208.65</v>
      </c>
      <c r="Q1046" s="1" t="str">
        <f aca="false">IF(OR($A1046="",P1046=""),"",ROUND(YEARFRAC(P1046,README!$C$5),1))</f>
        <v/>
      </c>
      <c r="S1046" s="6" t="n">
        <v>3160</v>
      </c>
      <c r="T1046" s="6" t="n">
        <v>3070</v>
      </c>
      <c r="U1046" s="6" t="n">
        <v>2960</v>
      </c>
      <c r="V1046" s="6" t="n">
        <v>-110</v>
      </c>
      <c r="W1046" s="6" t="n">
        <v>1</v>
      </c>
      <c r="X1046" s="6" t="n">
        <v>1</v>
      </c>
      <c r="Z1046" s="6" t="s">
        <v>2845</v>
      </c>
      <c r="AA1046" s="9" t="s">
        <v>528</v>
      </c>
      <c r="AB1046" s="6" t="s">
        <v>3765</v>
      </c>
      <c r="AE1046" s="37" t="n">
        <f aca="false">COUNTIF(環境認証!$A$2:$A$849,A1046)</f>
        <v>0</v>
      </c>
      <c r="AF1046" s="6" t="n">
        <v>-3.6</v>
      </c>
      <c r="AG1046" s="6" t="n">
        <v>-6.3</v>
      </c>
    </row>
    <row r="1047" customFormat="false" ht="15" hidden="false" customHeight="true" outlineLevel="0" collapsed="false">
      <c r="A1047" s="6" t="s">
        <v>3766</v>
      </c>
      <c r="B1047" s="6" t="s">
        <v>485</v>
      </c>
      <c r="C1047" s="9" t="s">
        <v>3767</v>
      </c>
      <c r="D1047" s="9" t="s">
        <v>3761</v>
      </c>
      <c r="H1047" s="9" t="s">
        <v>2844</v>
      </c>
      <c r="M1047" s="6" t="n">
        <v>3339</v>
      </c>
      <c r="Q1047" s="1" t="str">
        <f aca="false">IF(OR($A1047="",P1047=""),"",ROUND(YEARFRAC(P1047,README!$C$5),1))</f>
        <v/>
      </c>
      <c r="S1047" s="6" t="n">
        <v>2110</v>
      </c>
      <c r="T1047" s="6" t="n">
        <v>2214</v>
      </c>
      <c r="U1047" s="6" t="n">
        <v>2240</v>
      </c>
      <c r="V1047" s="6" t="n">
        <v>26</v>
      </c>
      <c r="W1047" s="6" t="n">
        <v>1</v>
      </c>
      <c r="X1047" s="6" t="n">
        <v>1</v>
      </c>
      <c r="Z1047" s="6" t="s">
        <v>2845</v>
      </c>
      <c r="AA1047" s="9" t="s">
        <v>528</v>
      </c>
      <c r="AB1047" s="6" t="s">
        <v>3768</v>
      </c>
      <c r="AE1047" s="37" t="n">
        <f aca="false">COUNTIF(環境認証!$A$2:$A$849,A1047)</f>
        <v>0</v>
      </c>
      <c r="AF1047" s="6" t="n">
        <v>1.2</v>
      </c>
      <c r="AG1047" s="6" t="n">
        <v>6.2</v>
      </c>
    </row>
    <row r="1048" customFormat="false" ht="15" hidden="false" customHeight="true" outlineLevel="0" collapsed="false">
      <c r="A1048" s="6" t="s">
        <v>3769</v>
      </c>
      <c r="B1048" s="6" t="s">
        <v>485</v>
      </c>
      <c r="C1048" s="9" t="s">
        <v>3770</v>
      </c>
      <c r="D1048" s="9" t="s">
        <v>3761</v>
      </c>
      <c r="H1048" s="9" t="s">
        <v>2844</v>
      </c>
      <c r="M1048" s="6" t="n">
        <v>4385.53</v>
      </c>
      <c r="Q1048" s="1" t="str">
        <f aca="false">IF(OR($A1048="",P1048=""),"",ROUND(YEARFRAC(P1048,README!$C$5),1))</f>
        <v/>
      </c>
      <c r="S1048" s="6" t="n">
        <v>1190</v>
      </c>
      <c r="T1048" s="6" t="n">
        <v>1140</v>
      </c>
      <c r="U1048" s="6" t="n">
        <v>1190</v>
      </c>
      <c r="V1048" s="6" t="n">
        <v>50</v>
      </c>
      <c r="W1048" s="6" t="n">
        <v>1</v>
      </c>
      <c r="X1048" s="6" t="n">
        <v>1</v>
      </c>
      <c r="Z1048" s="6" t="s">
        <v>2845</v>
      </c>
      <c r="AA1048" s="9" t="s">
        <v>528</v>
      </c>
      <c r="AB1048" s="6" t="s">
        <v>3771</v>
      </c>
      <c r="AE1048" s="37" t="n">
        <f aca="false">COUNTIF(環境認証!$A$2:$A$849,A1048)</f>
        <v>0</v>
      </c>
      <c r="AF1048" s="6" t="n">
        <v>4.4</v>
      </c>
      <c r="AG1048" s="6" t="n">
        <v>0</v>
      </c>
    </row>
    <row r="1049" customFormat="false" ht="15" hidden="false" customHeight="true" outlineLevel="0" collapsed="false">
      <c r="A1049" s="6" t="s">
        <v>3772</v>
      </c>
      <c r="B1049" s="6" t="s">
        <v>485</v>
      </c>
      <c r="C1049" s="9" t="s">
        <v>3773</v>
      </c>
      <c r="D1049" s="9" t="s">
        <v>3761</v>
      </c>
      <c r="H1049" s="9" t="s">
        <v>2844</v>
      </c>
      <c r="M1049" s="6" t="n">
        <v>2086.4</v>
      </c>
      <c r="Q1049" s="1" t="str">
        <f aca="false">IF(OR($A1049="",P1049=""),"",ROUND(YEARFRAC(P1049,README!$C$5),1))</f>
        <v/>
      </c>
      <c r="S1049" s="6" t="n">
        <v>1120</v>
      </c>
      <c r="T1049" s="6" t="n">
        <v>1095</v>
      </c>
      <c r="U1049" s="6" t="n">
        <v>1090</v>
      </c>
      <c r="V1049" s="6" t="n">
        <v>-5</v>
      </c>
      <c r="W1049" s="6" t="n">
        <v>1</v>
      </c>
      <c r="X1049" s="6" t="n">
        <v>1</v>
      </c>
      <c r="Z1049" s="6" t="s">
        <v>2845</v>
      </c>
      <c r="AA1049" s="9" t="s">
        <v>528</v>
      </c>
      <c r="AB1049" s="6" t="s">
        <v>3774</v>
      </c>
      <c r="AE1049" s="37" t="n">
        <f aca="false">COUNTIF(環境認証!$A$2:$A$849,A1049)</f>
        <v>0</v>
      </c>
      <c r="AF1049" s="6" t="n">
        <v>-0.5</v>
      </c>
      <c r="AG1049" s="6" t="n">
        <v>-2.7</v>
      </c>
    </row>
    <row r="1050" customFormat="false" ht="15" hidden="false" customHeight="true" outlineLevel="0" collapsed="false">
      <c r="A1050" s="6" t="s">
        <v>3775</v>
      </c>
      <c r="B1050" s="6" t="s">
        <v>485</v>
      </c>
      <c r="C1050" s="9" t="s">
        <v>3776</v>
      </c>
      <c r="D1050" s="9" t="s">
        <v>3761</v>
      </c>
      <c r="H1050" s="9" t="s">
        <v>2844</v>
      </c>
      <c r="M1050" s="6" t="n">
        <v>3175.15</v>
      </c>
      <c r="Q1050" s="1" t="str">
        <f aca="false">IF(OR($A1050="",P1050=""),"",ROUND(YEARFRAC(P1050,README!$C$5),1))</f>
        <v/>
      </c>
      <c r="S1050" s="6" t="n">
        <v>3490</v>
      </c>
      <c r="T1050" s="6" t="n">
        <v>3448</v>
      </c>
      <c r="U1050" s="6" t="n">
        <v>3440</v>
      </c>
      <c r="V1050" s="6" t="n">
        <v>-8</v>
      </c>
      <c r="W1050" s="6" t="n">
        <v>1</v>
      </c>
      <c r="X1050" s="6" t="n">
        <v>1</v>
      </c>
      <c r="Z1050" s="6" t="s">
        <v>2845</v>
      </c>
      <c r="AA1050" s="9" t="s">
        <v>528</v>
      </c>
      <c r="AB1050" s="6" t="s">
        <v>3777</v>
      </c>
      <c r="AE1050" s="37" t="n">
        <f aca="false">COUNTIF(環境認証!$A$2:$A$849,A1050)</f>
        <v>1</v>
      </c>
      <c r="AF1050" s="6" t="n">
        <v>-0.2</v>
      </c>
      <c r="AG1050" s="6" t="n">
        <v>-1.4</v>
      </c>
    </row>
    <row r="1051" customFormat="false" ht="15" hidden="false" customHeight="true" outlineLevel="0" collapsed="false">
      <c r="A1051" s="6" t="s">
        <v>3778</v>
      </c>
      <c r="B1051" s="6" t="s">
        <v>485</v>
      </c>
      <c r="C1051" s="9" t="s">
        <v>3779</v>
      </c>
      <c r="D1051" s="9" t="s">
        <v>3761</v>
      </c>
      <c r="H1051" s="9" t="s">
        <v>2844</v>
      </c>
      <c r="M1051" s="6" t="n">
        <v>15553.33</v>
      </c>
      <c r="Q1051" s="1" t="str">
        <f aca="false">IF(OR($A1051="",P1051=""),"",ROUND(YEARFRAC(P1051,README!$C$5),1))</f>
        <v/>
      </c>
      <c r="S1051" s="6" t="n">
        <v>7650</v>
      </c>
      <c r="T1051" s="6" t="n">
        <v>7505</v>
      </c>
      <c r="U1051" s="6" t="n">
        <v>7150</v>
      </c>
      <c r="V1051" s="6" t="n">
        <v>-355</v>
      </c>
      <c r="W1051" s="6" t="n">
        <v>1</v>
      </c>
      <c r="X1051" s="6" t="n">
        <v>1</v>
      </c>
      <c r="Z1051" s="6" t="s">
        <v>2845</v>
      </c>
      <c r="AA1051" s="9" t="s">
        <v>528</v>
      </c>
      <c r="AB1051" s="6" t="s">
        <v>3780</v>
      </c>
      <c r="AE1051" s="37" t="n">
        <f aca="false">COUNTIF(環境認証!$A$2:$A$849,A1051)</f>
        <v>0</v>
      </c>
      <c r="AF1051" s="6" t="n">
        <v>-4.7</v>
      </c>
      <c r="AG1051" s="6" t="n">
        <v>-6.5</v>
      </c>
    </row>
    <row r="1052" customFormat="false" ht="15" hidden="false" customHeight="true" outlineLevel="0" collapsed="false">
      <c r="A1052" s="6" t="s">
        <v>3781</v>
      </c>
      <c r="B1052" s="6" t="s">
        <v>485</v>
      </c>
      <c r="C1052" s="9" t="s">
        <v>3782</v>
      </c>
      <c r="D1052" s="9" t="s">
        <v>3761</v>
      </c>
      <c r="H1052" s="9" t="s">
        <v>2844</v>
      </c>
      <c r="M1052" s="6" t="n">
        <v>1557.73</v>
      </c>
      <c r="Q1052" s="1" t="str">
        <f aca="false">IF(OR($A1052="",P1052=""),"",ROUND(YEARFRAC(P1052,README!$C$5),1))</f>
        <v/>
      </c>
      <c r="S1052" s="6" t="n">
        <v>1740</v>
      </c>
      <c r="T1052" s="6" t="n">
        <v>1753</v>
      </c>
      <c r="U1052" s="6" t="n">
        <v>1770</v>
      </c>
      <c r="V1052" s="6" t="n">
        <v>17</v>
      </c>
      <c r="W1052" s="6" t="n">
        <v>1</v>
      </c>
      <c r="X1052" s="6" t="n">
        <v>1</v>
      </c>
      <c r="Z1052" s="6" t="s">
        <v>2845</v>
      </c>
      <c r="AA1052" s="9" t="s">
        <v>528</v>
      </c>
      <c r="AB1052" s="6" t="s">
        <v>3783</v>
      </c>
      <c r="AE1052" s="37" t="n">
        <f aca="false">COUNTIF(環境認証!$A$2:$A$849,A1052)</f>
        <v>0</v>
      </c>
      <c r="AF1052" s="6" t="n">
        <v>1</v>
      </c>
      <c r="AG1052" s="6" t="n">
        <v>1.7</v>
      </c>
    </row>
    <row r="1053" customFormat="false" ht="15" hidden="false" customHeight="true" outlineLevel="0" collapsed="false">
      <c r="A1053" s="6" t="s">
        <v>3784</v>
      </c>
      <c r="B1053" s="6" t="s">
        <v>485</v>
      </c>
      <c r="C1053" s="6" t="s">
        <v>3785</v>
      </c>
      <c r="D1053" s="9" t="s">
        <v>3761</v>
      </c>
      <c r="H1053" s="9" t="s">
        <v>2844</v>
      </c>
      <c r="M1053" s="6" t="n">
        <v>3693.83</v>
      </c>
      <c r="Q1053" s="1" t="str">
        <f aca="false">IF(OR($A1053="",P1053=""),"",ROUND(YEARFRAC(P1053,README!$C$5),1))</f>
        <v/>
      </c>
      <c r="S1053" s="6" t="n">
        <v>1630</v>
      </c>
      <c r="T1053" s="6" t="n">
        <v>1594</v>
      </c>
      <c r="U1053" s="6" t="n">
        <v>1630</v>
      </c>
      <c r="V1053" s="6" t="n">
        <v>36</v>
      </c>
      <c r="W1053" s="6" t="n">
        <v>1</v>
      </c>
      <c r="X1053" s="6" t="n">
        <v>1</v>
      </c>
      <c r="Z1053" s="6" t="s">
        <v>2845</v>
      </c>
      <c r="AA1053" s="9" t="s">
        <v>528</v>
      </c>
      <c r="AB1053" s="6" t="s">
        <v>3786</v>
      </c>
      <c r="AE1053" s="37" t="n">
        <f aca="false">COUNTIF(環境認証!$A$2:$A$849,A1053)</f>
        <v>0</v>
      </c>
      <c r="AF1053" s="6" t="n">
        <v>2.3</v>
      </c>
      <c r="AG1053" s="6" t="n">
        <v>0</v>
      </c>
    </row>
    <row r="1054" customFormat="false" ht="15" hidden="false" customHeight="true" outlineLevel="0" collapsed="false">
      <c r="A1054" s="6" t="s">
        <v>3787</v>
      </c>
      <c r="B1054" s="6" t="s">
        <v>485</v>
      </c>
      <c r="C1054" s="6" t="s">
        <v>3788</v>
      </c>
      <c r="D1054" s="9" t="s">
        <v>3761</v>
      </c>
      <c r="H1054" s="9" t="s">
        <v>2844</v>
      </c>
      <c r="M1054" s="6" t="n">
        <v>3455.79</v>
      </c>
      <c r="Q1054" s="1" t="str">
        <f aca="false">IF(OR($A1054="",P1054=""),"",ROUND(YEARFRAC(P1054,README!$C$5),1))</f>
        <v/>
      </c>
      <c r="S1054" s="6" t="n">
        <v>1600</v>
      </c>
      <c r="T1054" s="6" t="n">
        <v>1566</v>
      </c>
      <c r="U1054" s="6" t="n">
        <v>1600</v>
      </c>
      <c r="V1054" s="6" t="n">
        <v>34</v>
      </c>
      <c r="W1054" s="6" t="n">
        <v>1</v>
      </c>
      <c r="X1054" s="6" t="n">
        <v>1</v>
      </c>
      <c r="Z1054" s="6" t="s">
        <v>2845</v>
      </c>
      <c r="AA1054" s="9" t="s">
        <v>528</v>
      </c>
      <c r="AB1054" s="6" t="s">
        <v>3789</v>
      </c>
      <c r="AE1054" s="37" t="n">
        <f aca="false">COUNTIF(環境認証!$A$2:$A$849,A1054)</f>
        <v>0</v>
      </c>
      <c r="AF1054" s="6" t="n">
        <v>2.2</v>
      </c>
      <c r="AG1054" s="6" t="n">
        <v>0</v>
      </c>
    </row>
    <row r="1055" customFormat="false" ht="15" hidden="false" customHeight="true" outlineLevel="0" collapsed="false">
      <c r="A1055" s="6" t="s">
        <v>3790</v>
      </c>
      <c r="B1055" s="6" t="s">
        <v>485</v>
      </c>
      <c r="C1055" s="9" t="s">
        <v>3791</v>
      </c>
      <c r="D1055" s="9" t="s">
        <v>3761</v>
      </c>
      <c r="H1055" s="9" t="s">
        <v>2844</v>
      </c>
      <c r="M1055" s="6" t="n">
        <v>2204.45</v>
      </c>
      <c r="Q1055" s="1" t="str">
        <f aca="false">IF(OR($A1055="",P1055=""),"",ROUND(YEARFRAC(P1055,README!$C$5),1))</f>
        <v/>
      </c>
      <c r="S1055" s="6" t="n">
        <v>915</v>
      </c>
      <c r="T1055" s="6" t="n">
        <v>907</v>
      </c>
      <c r="U1055" s="6" t="n">
        <v>892</v>
      </c>
      <c r="V1055" s="6" t="n">
        <v>-15</v>
      </c>
      <c r="W1055" s="6" t="n">
        <v>1</v>
      </c>
      <c r="X1055" s="6" t="n">
        <v>1</v>
      </c>
      <c r="Z1055" s="6" t="s">
        <v>2845</v>
      </c>
      <c r="AA1055" s="9" t="s">
        <v>528</v>
      </c>
      <c r="AB1055" s="6" t="s">
        <v>3792</v>
      </c>
      <c r="AE1055" s="37" t="n">
        <f aca="false">COUNTIF(環境認証!$A$2:$A$849,A1055)</f>
        <v>0</v>
      </c>
      <c r="AF1055" s="6" t="n">
        <v>-1.7</v>
      </c>
      <c r="AG1055" s="6" t="n">
        <v>-2.5</v>
      </c>
    </row>
    <row r="1056" customFormat="false" ht="15" hidden="false" customHeight="true" outlineLevel="0" collapsed="false">
      <c r="A1056" s="6" t="s">
        <v>3793</v>
      </c>
      <c r="B1056" s="6" t="s">
        <v>485</v>
      </c>
      <c r="C1056" s="6" t="s">
        <v>3794</v>
      </c>
      <c r="D1056" s="9" t="s">
        <v>3761</v>
      </c>
      <c r="H1056" s="9" t="s">
        <v>2844</v>
      </c>
      <c r="M1056" s="6" t="n">
        <v>2306.95</v>
      </c>
      <c r="Q1056" s="1" t="str">
        <f aca="false">IF(OR($A1056="",P1056=""),"",ROUND(YEARFRAC(P1056,README!$C$5),1))</f>
        <v/>
      </c>
      <c r="S1056" s="6" t="n">
        <v>1260</v>
      </c>
      <c r="T1056" s="6" t="n">
        <v>1260</v>
      </c>
      <c r="U1056" s="6" t="n">
        <v>1230</v>
      </c>
      <c r="V1056" s="6" t="n">
        <v>-30</v>
      </c>
      <c r="W1056" s="6" t="n">
        <v>1</v>
      </c>
      <c r="X1056" s="6" t="n">
        <v>1</v>
      </c>
      <c r="Z1056" s="6" t="s">
        <v>2845</v>
      </c>
      <c r="AA1056" s="9" t="s">
        <v>528</v>
      </c>
      <c r="AB1056" s="6" t="s">
        <v>3795</v>
      </c>
      <c r="AE1056" s="37" t="n">
        <f aca="false">COUNTIF(環境認証!$A$2:$A$849,A1056)</f>
        <v>0</v>
      </c>
      <c r="AF1056" s="6" t="n">
        <v>-2.4</v>
      </c>
      <c r="AG1056" s="6" t="n">
        <v>-2.4</v>
      </c>
    </row>
    <row r="1057" customFormat="false" ht="15" hidden="false" customHeight="true" outlineLevel="0" collapsed="false">
      <c r="A1057" s="6" t="s">
        <v>3796</v>
      </c>
      <c r="B1057" s="6" t="s">
        <v>485</v>
      </c>
      <c r="C1057" s="9" t="s">
        <v>3797</v>
      </c>
      <c r="D1057" s="9" t="s">
        <v>3761</v>
      </c>
      <c r="H1057" s="9" t="s">
        <v>2844</v>
      </c>
      <c r="M1057" s="6" t="n">
        <v>2739.47</v>
      </c>
      <c r="Q1057" s="1" t="str">
        <f aca="false">IF(OR($A1057="",P1057=""),"",ROUND(YEARFRAC(P1057,README!$C$5),1))</f>
        <v/>
      </c>
      <c r="S1057" s="6" t="n">
        <v>2410</v>
      </c>
      <c r="T1057" s="6" t="n">
        <v>2366</v>
      </c>
      <c r="U1057" s="6" t="n">
        <v>2400</v>
      </c>
      <c r="V1057" s="6" t="n">
        <v>34</v>
      </c>
      <c r="W1057" s="6" t="n">
        <v>1</v>
      </c>
      <c r="X1057" s="6" t="n">
        <v>1</v>
      </c>
      <c r="Z1057" s="6" t="s">
        <v>2845</v>
      </c>
      <c r="AA1057" s="9" t="s">
        <v>528</v>
      </c>
      <c r="AB1057" s="6" t="s">
        <v>3798</v>
      </c>
      <c r="AE1057" s="37" t="n">
        <f aca="false">COUNTIF(環境認証!$A$2:$A$849,A1057)</f>
        <v>0</v>
      </c>
      <c r="AF1057" s="6" t="n">
        <v>1.4</v>
      </c>
      <c r="AG1057" s="6" t="n">
        <v>-0.4</v>
      </c>
    </row>
    <row r="1058" customFormat="false" ht="15" hidden="false" customHeight="true" outlineLevel="0" collapsed="false">
      <c r="A1058" s="6" t="s">
        <v>3799</v>
      </c>
      <c r="B1058" s="6" t="s">
        <v>485</v>
      </c>
      <c r="C1058" s="9" t="s">
        <v>3800</v>
      </c>
      <c r="D1058" s="9" t="s">
        <v>3761</v>
      </c>
      <c r="H1058" s="9" t="s">
        <v>2844</v>
      </c>
      <c r="M1058" s="6" t="n">
        <v>3485.36</v>
      </c>
      <c r="Q1058" s="1" t="str">
        <f aca="false">IF(OR($A1058="",P1058=""),"",ROUND(YEARFRAC(P1058,README!$C$5),1))</f>
        <v/>
      </c>
      <c r="S1058" s="6" t="n">
        <v>1960</v>
      </c>
      <c r="T1058" s="6" t="n">
        <v>1926</v>
      </c>
      <c r="U1058" s="6" t="n">
        <v>1950</v>
      </c>
      <c r="V1058" s="6" t="n">
        <v>24</v>
      </c>
      <c r="W1058" s="6" t="n">
        <v>1</v>
      </c>
      <c r="X1058" s="6" t="n">
        <v>1</v>
      </c>
      <c r="Z1058" s="6" t="s">
        <v>2845</v>
      </c>
      <c r="AA1058" s="9" t="s">
        <v>528</v>
      </c>
      <c r="AB1058" s="6" t="s">
        <v>3801</v>
      </c>
      <c r="AE1058" s="37" t="n">
        <f aca="false">COUNTIF(環境認証!$A$2:$A$849,A1058)</f>
        <v>0</v>
      </c>
      <c r="AF1058" s="6" t="n">
        <v>1.2</v>
      </c>
      <c r="AG1058" s="6" t="n">
        <v>-0.5</v>
      </c>
    </row>
    <row r="1059" customFormat="false" ht="15" hidden="false" customHeight="true" outlineLevel="0" collapsed="false">
      <c r="A1059" s="6" t="s">
        <v>3802</v>
      </c>
      <c r="B1059" s="6" t="s">
        <v>485</v>
      </c>
      <c r="C1059" s="9" t="s">
        <v>3803</v>
      </c>
      <c r="D1059" s="9" t="s">
        <v>3761</v>
      </c>
      <c r="H1059" s="9" t="s">
        <v>2844</v>
      </c>
      <c r="M1059" s="6" t="n">
        <v>1979.78</v>
      </c>
      <c r="Q1059" s="1" t="str">
        <f aca="false">IF(OR($A1059="",P1059=""),"",ROUND(YEARFRAC(P1059,README!$C$5),1))</f>
        <v/>
      </c>
      <c r="S1059" s="6" t="n">
        <v>1590</v>
      </c>
      <c r="T1059" s="6" t="n">
        <v>1583</v>
      </c>
      <c r="U1059" s="6" t="n">
        <v>1540</v>
      </c>
      <c r="V1059" s="6" t="n">
        <v>-43</v>
      </c>
      <c r="W1059" s="6" t="n">
        <v>1</v>
      </c>
      <c r="X1059" s="6" t="n">
        <v>1</v>
      </c>
      <c r="Z1059" s="6" t="s">
        <v>2845</v>
      </c>
      <c r="AA1059" s="9" t="s">
        <v>528</v>
      </c>
      <c r="AB1059" s="6" t="s">
        <v>3804</v>
      </c>
      <c r="AE1059" s="37" t="n">
        <f aca="false">COUNTIF(環境認証!$A$2:$A$849,A1059)</f>
        <v>0</v>
      </c>
      <c r="AF1059" s="6" t="n">
        <v>-2.7</v>
      </c>
      <c r="AG1059" s="6" t="n">
        <v>-3.1</v>
      </c>
    </row>
    <row r="1060" customFormat="false" ht="15" hidden="false" customHeight="true" outlineLevel="0" collapsed="false">
      <c r="A1060" s="6" t="s">
        <v>3805</v>
      </c>
      <c r="B1060" s="6" t="s">
        <v>485</v>
      </c>
      <c r="C1060" s="9" t="s">
        <v>3806</v>
      </c>
      <c r="D1060" s="9" t="s">
        <v>3761</v>
      </c>
      <c r="H1060" s="9" t="s">
        <v>2844</v>
      </c>
      <c r="M1060" s="6" t="n">
        <v>2464.51</v>
      </c>
      <c r="Q1060" s="1" t="str">
        <f aca="false">IF(OR($A1060="",P1060=""),"",ROUND(YEARFRAC(P1060,README!$C$5),1))</f>
        <v/>
      </c>
      <c r="S1060" s="6" t="n">
        <v>1351</v>
      </c>
      <c r="T1060" s="6" t="n">
        <v>1394</v>
      </c>
      <c r="U1060" s="6" t="n">
        <v>1490</v>
      </c>
      <c r="V1060" s="6" t="n">
        <v>96</v>
      </c>
      <c r="W1060" s="6" t="n">
        <v>1</v>
      </c>
      <c r="X1060" s="6" t="n">
        <v>1</v>
      </c>
      <c r="Z1060" s="6" t="s">
        <v>2845</v>
      </c>
      <c r="AA1060" s="9" t="s">
        <v>528</v>
      </c>
      <c r="AB1060" s="6" t="s">
        <v>3807</v>
      </c>
      <c r="AE1060" s="37" t="n">
        <f aca="false">COUNTIF(環境認証!$A$2:$A$849,A1060)</f>
        <v>0</v>
      </c>
      <c r="AF1060" s="6" t="n">
        <v>6.9</v>
      </c>
      <c r="AG1060" s="6" t="n">
        <v>10.3</v>
      </c>
    </row>
    <row r="1061" customFormat="false" ht="15" hidden="false" customHeight="true" outlineLevel="0" collapsed="false">
      <c r="A1061" s="6" t="s">
        <v>3808</v>
      </c>
      <c r="B1061" s="6" t="s">
        <v>485</v>
      </c>
      <c r="C1061" s="6" t="s">
        <v>3809</v>
      </c>
      <c r="D1061" s="9" t="s">
        <v>3761</v>
      </c>
      <c r="H1061" s="9" t="s">
        <v>2844</v>
      </c>
      <c r="M1061" s="6" t="n">
        <v>4101.36</v>
      </c>
      <c r="Q1061" s="1" t="str">
        <f aca="false">IF(OR($A1061="",P1061=""),"",ROUND(YEARFRAC(P1061,README!$C$5),1))</f>
        <v/>
      </c>
      <c r="S1061" s="6" t="n">
        <v>3730</v>
      </c>
      <c r="T1061" s="6" t="n">
        <v>3979</v>
      </c>
      <c r="U1061" s="6" t="n">
        <v>3860</v>
      </c>
      <c r="V1061" s="6" t="n">
        <v>-119</v>
      </c>
      <c r="W1061" s="6" t="n">
        <v>1</v>
      </c>
      <c r="X1061" s="6" t="n">
        <v>1</v>
      </c>
      <c r="Z1061" s="6" t="s">
        <v>2845</v>
      </c>
      <c r="AA1061" s="9" t="s">
        <v>528</v>
      </c>
      <c r="AB1061" s="6" t="s">
        <v>3810</v>
      </c>
      <c r="AE1061" s="37" t="n">
        <f aca="false">COUNTIF(環境認証!$A$2:$A$849,A1061)</f>
        <v>0</v>
      </c>
      <c r="AF1061" s="6" t="n">
        <v>-3</v>
      </c>
      <c r="AG1061" s="6" t="n">
        <v>3.5</v>
      </c>
    </row>
    <row r="1062" customFormat="false" ht="15" hidden="false" customHeight="true" outlineLevel="0" collapsed="false">
      <c r="A1062" s="6" t="s">
        <v>3811</v>
      </c>
      <c r="B1062" s="6" t="s">
        <v>485</v>
      </c>
      <c r="C1062" s="9" t="s">
        <v>3812</v>
      </c>
      <c r="D1062" s="9" t="s">
        <v>3761</v>
      </c>
      <c r="H1062" s="9" t="s">
        <v>2844</v>
      </c>
      <c r="M1062" s="6" t="n">
        <v>1834.43</v>
      </c>
      <c r="Q1062" s="1" t="str">
        <f aca="false">IF(OR($A1062="",P1062=""),"",ROUND(YEARFRAC(P1062,README!$C$5),1))</f>
        <v/>
      </c>
      <c r="S1062" s="6" t="n">
        <v>1780</v>
      </c>
      <c r="T1062" s="6" t="n">
        <v>1891</v>
      </c>
      <c r="U1062" s="6" t="n">
        <v>2020</v>
      </c>
      <c r="V1062" s="6" t="n">
        <v>129</v>
      </c>
      <c r="W1062" s="6" t="n">
        <v>1</v>
      </c>
      <c r="X1062" s="6" t="n">
        <v>1</v>
      </c>
      <c r="Z1062" s="6" t="s">
        <v>2845</v>
      </c>
      <c r="AA1062" s="9" t="s">
        <v>528</v>
      </c>
      <c r="AB1062" s="6" t="s">
        <v>3813</v>
      </c>
      <c r="AE1062" s="37" t="n">
        <f aca="false">COUNTIF(環境認証!$A$2:$A$849,A1062)</f>
        <v>0</v>
      </c>
      <c r="AF1062" s="6" t="n">
        <v>6.8</v>
      </c>
      <c r="AG1062" s="6" t="n">
        <v>13.5</v>
      </c>
    </row>
    <row r="1063" customFormat="false" ht="15" hidden="false" customHeight="true" outlineLevel="0" collapsed="false">
      <c r="A1063" s="6" t="s">
        <v>3814</v>
      </c>
      <c r="B1063" s="6" t="s">
        <v>485</v>
      </c>
      <c r="C1063" s="9" t="s">
        <v>3815</v>
      </c>
      <c r="D1063" s="9" t="s">
        <v>3761</v>
      </c>
      <c r="H1063" s="9" t="s">
        <v>3051</v>
      </c>
      <c r="M1063" s="6" t="n">
        <v>39649.84</v>
      </c>
      <c r="Q1063" s="1" t="str">
        <f aca="false">IF(OR($A1063="",P1063=""),"",ROUND(YEARFRAC(P1063,README!$C$5),1))</f>
        <v/>
      </c>
      <c r="S1063" s="6" t="n">
        <v>6500</v>
      </c>
      <c r="T1063" s="6" t="n">
        <v>7388</v>
      </c>
      <c r="U1063" s="6" t="n">
        <v>6500</v>
      </c>
      <c r="V1063" s="6" t="n">
        <v>-888</v>
      </c>
      <c r="W1063" s="6" t="n">
        <v>1</v>
      </c>
      <c r="X1063" s="6" t="n">
        <v>1</v>
      </c>
      <c r="Z1063" s="6" t="s">
        <v>2845</v>
      </c>
      <c r="AA1063" s="9" t="s">
        <v>528</v>
      </c>
      <c r="AB1063" s="6" t="s">
        <v>3816</v>
      </c>
      <c r="AE1063" s="37" t="n">
        <f aca="false">COUNTIF(環境認証!$A$2:$A$849,A1063)</f>
        <v>0</v>
      </c>
      <c r="AF1063" s="6" t="n">
        <v>-12</v>
      </c>
      <c r="AG1063" s="6" t="n">
        <v>0</v>
      </c>
    </row>
    <row r="1064" customFormat="false" ht="15" hidden="false" customHeight="true" outlineLevel="0" collapsed="false">
      <c r="A1064" s="6" t="s">
        <v>3817</v>
      </c>
      <c r="B1064" s="6" t="s">
        <v>485</v>
      </c>
      <c r="C1064" s="9" t="s">
        <v>3818</v>
      </c>
      <c r="D1064" s="9" t="s">
        <v>3761</v>
      </c>
      <c r="H1064" s="9" t="s">
        <v>3051</v>
      </c>
      <c r="M1064" s="6" t="n">
        <v>6473.6</v>
      </c>
      <c r="Q1064" s="1" t="str">
        <f aca="false">IF(OR($A1064="",P1064=""),"",ROUND(YEARFRAC(P1064,README!$C$5),1))</f>
        <v/>
      </c>
      <c r="S1064" s="6" t="n">
        <v>2660</v>
      </c>
      <c r="T1064" s="6" t="n">
        <v>2569</v>
      </c>
      <c r="U1064" s="6" t="n">
        <v>2610</v>
      </c>
      <c r="V1064" s="6" t="n">
        <v>41</v>
      </c>
      <c r="W1064" s="6" t="n">
        <v>1</v>
      </c>
      <c r="X1064" s="6" t="n">
        <v>1</v>
      </c>
      <c r="Z1064" s="6" t="s">
        <v>2845</v>
      </c>
      <c r="AA1064" s="9" t="s">
        <v>528</v>
      </c>
      <c r="AB1064" s="6" t="s">
        <v>3819</v>
      </c>
      <c r="AE1064" s="37" t="n">
        <f aca="false">COUNTIF(環境認証!$A$2:$A$849,A1064)</f>
        <v>0</v>
      </c>
      <c r="AF1064" s="6" t="n">
        <v>1.6</v>
      </c>
      <c r="AG1064" s="6" t="n">
        <v>-1.9</v>
      </c>
    </row>
    <row r="1065" customFormat="false" ht="15" hidden="false" customHeight="true" outlineLevel="0" collapsed="false">
      <c r="A1065" s="6" t="s">
        <v>3820</v>
      </c>
      <c r="B1065" s="6" t="s">
        <v>485</v>
      </c>
      <c r="C1065" s="6" t="s">
        <v>3821</v>
      </c>
      <c r="D1065" s="9" t="s">
        <v>3761</v>
      </c>
      <c r="H1065" s="9" t="s">
        <v>3051</v>
      </c>
      <c r="M1065" s="6" t="n">
        <v>4493.35</v>
      </c>
      <c r="Q1065" s="1" t="str">
        <f aca="false">IF(OR($A1065="",P1065=""),"",ROUND(YEARFRAC(P1065,README!$C$5),1))</f>
        <v/>
      </c>
      <c r="S1065" s="6" t="n">
        <v>2240</v>
      </c>
      <c r="T1065" s="6" t="n">
        <v>2255</v>
      </c>
      <c r="U1065" s="6" t="n">
        <v>2200</v>
      </c>
      <c r="V1065" s="6" t="n">
        <v>-55</v>
      </c>
      <c r="W1065" s="6" t="n">
        <v>1</v>
      </c>
      <c r="X1065" s="6" t="n">
        <v>1</v>
      </c>
      <c r="Z1065" s="6" t="s">
        <v>2845</v>
      </c>
      <c r="AA1065" s="9" t="s">
        <v>528</v>
      </c>
      <c r="AB1065" s="6" t="s">
        <v>3822</v>
      </c>
      <c r="AE1065" s="37" t="n">
        <f aca="false">COUNTIF(環境認証!$A$2:$A$849,A1065)</f>
        <v>0</v>
      </c>
      <c r="AF1065" s="6" t="n">
        <v>-2.4</v>
      </c>
      <c r="AG1065" s="6" t="n">
        <v>-1.8</v>
      </c>
    </row>
    <row r="1066" customFormat="false" ht="15" hidden="false" customHeight="true" outlineLevel="0" collapsed="false">
      <c r="A1066" s="6" t="s">
        <v>3823</v>
      </c>
      <c r="B1066" s="6" t="s">
        <v>485</v>
      </c>
      <c r="C1066" s="9" t="s">
        <v>3824</v>
      </c>
      <c r="D1066" s="9" t="s">
        <v>3761</v>
      </c>
      <c r="H1066" s="9" t="s">
        <v>3051</v>
      </c>
      <c r="M1066" s="6" t="n">
        <v>5343.39</v>
      </c>
      <c r="Q1066" s="1" t="str">
        <f aca="false">IF(OR($A1066="",P1066=""),"",ROUND(YEARFRAC(P1066,README!$C$5),1))</f>
        <v/>
      </c>
      <c r="S1066" s="6" t="n">
        <v>1820</v>
      </c>
      <c r="T1066" s="6" t="n">
        <v>1933</v>
      </c>
      <c r="U1066" s="6" t="n">
        <v>1850</v>
      </c>
      <c r="V1066" s="6" t="n">
        <v>-83</v>
      </c>
      <c r="W1066" s="6" t="n">
        <v>0.983</v>
      </c>
      <c r="X1066" s="6" t="n">
        <v>1</v>
      </c>
      <c r="Z1066" s="6" t="s">
        <v>2845</v>
      </c>
      <c r="AA1066" s="9" t="s">
        <v>528</v>
      </c>
      <c r="AB1066" s="6" t="s">
        <v>3825</v>
      </c>
      <c r="AE1066" s="37" t="n">
        <f aca="false">COUNTIF(環境認証!$A$2:$A$849,A1066)</f>
        <v>0</v>
      </c>
      <c r="AF1066" s="6" t="n">
        <v>-4.3</v>
      </c>
      <c r="AG1066" s="6" t="n">
        <v>1.6</v>
      </c>
    </row>
    <row r="1067" customFormat="false" ht="15" hidden="false" customHeight="true" outlineLevel="0" collapsed="false">
      <c r="A1067" s="6" t="s">
        <v>3826</v>
      </c>
      <c r="B1067" s="6" t="s">
        <v>485</v>
      </c>
      <c r="C1067" s="9" t="s">
        <v>3827</v>
      </c>
      <c r="D1067" s="9" t="s">
        <v>3761</v>
      </c>
      <c r="H1067" s="9" t="s">
        <v>3051</v>
      </c>
      <c r="M1067" s="6" t="n">
        <v>4180.28</v>
      </c>
      <c r="Q1067" s="1" t="str">
        <f aca="false">IF(OR($A1067="",P1067=""),"",ROUND(YEARFRAC(P1067,README!$C$5),1))</f>
        <v/>
      </c>
      <c r="S1067" s="6" t="n">
        <v>1380</v>
      </c>
      <c r="T1067" s="6" t="n">
        <v>1362</v>
      </c>
      <c r="U1067" s="6" t="n">
        <v>1400</v>
      </c>
      <c r="V1067" s="6" t="n">
        <v>38</v>
      </c>
      <c r="W1067" s="6" t="n">
        <v>1</v>
      </c>
      <c r="X1067" s="6" t="n">
        <v>1</v>
      </c>
      <c r="Z1067" s="6" t="s">
        <v>2845</v>
      </c>
      <c r="AA1067" s="9" t="s">
        <v>528</v>
      </c>
      <c r="AB1067" s="6" t="s">
        <v>3828</v>
      </c>
      <c r="AE1067" s="37" t="n">
        <f aca="false">COUNTIF(環境認証!$A$2:$A$849,A1067)</f>
        <v>0</v>
      </c>
      <c r="AF1067" s="6" t="n">
        <v>2.8</v>
      </c>
      <c r="AG1067" s="6" t="n">
        <v>1.4</v>
      </c>
    </row>
    <row r="1068" customFormat="false" ht="15" hidden="false" customHeight="true" outlineLevel="0" collapsed="false">
      <c r="A1068" s="6" t="s">
        <v>3829</v>
      </c>
      <c r="B1068" s="6" t="s">
        <v>485</v>
      </c>
      <c r="C1068" s="9" t="s">
        <v>3830</v>
      </c>
      <c r="D1068" s="9" t="s">
        <v>3761</v>
      </c>
      <c r="H1068" s="9" t="s">
        <v>3051</v>
      </c>
      <c r="M1068" s="6" t="n">
        <v>3287.8</v>
      </c>
      <c r="Q1068" s="1" t="str">
        <f aca="false">IF(OR($A1068="",P1068=""),"",ROUND(YEARFRAC(P1068,README!$C$5),1))</f>
        <v/>
      </c>
      <c r="S1068" s="6" t="n">
        <v>1340</v>
      </c>
      <c r="T1068" s="6" t="n">
        <v>1291</v>
      </c>
      <c r="U1068" s="6" t="n">
        <v>1330</v>
      </c>
      <c r="V1068" s="6" t="n">
        <v>39</v>
      </c>
      <c r="W1068" s="6" t="n">
        <v>1</v>
      </c>
      <c r="X1068" s="6" t="n">
        <v>1</v>
      </c>
      <c r="Z1068" s="6" t="s">
        <v>2845</v>
      </c>
      <c r="AA1068" s="9" t="s">
        <v>528</v>
      </c>
      <c r="AB1068" s="6" t="s">
        <v>3831</v>
      </c>
      <c r="AE1068" s="37" t="n">
        <f aca="false">COUNTIF(環境認証!$A$2:$A$849,A1068)</f>
        <v>0</v>
      </c>
      <c r="AF1068" s="6" t="n">
        <v>3</v>
      </c>
      <c r="AG1068" s="6" t="n">
        <v>-0.7</v>
      </c>
    </row>
    <row r="1069" customFormat="false" ht="15" hidden="false" customHeight="true" outlineLevel="0" collapsed="false">
      <c r="A1069" s="6" t="s">
        <v>3832</v>
      </c>
      <c r="B1069" s="6" t="s">
        <v>485</v>
      </c>
      <c r="C1069" s="9" t="s">
        <v>3833</v>
      </c>
      <c r="D1069" s="9" t="s">
        <v>3761</v>
      </c>
      <c r="H1069" s="9" t="s">
        <v>3051</v>
      </c>
      <c r="M1069" s="6" t="n">
        <v>3628.51</v>
      </c>
      <c r="Q1069" s="1" t="str">
        <f aca="false">IF(OR($A1069="",P1069=""),"",ROUND(YEARFRAC(P1069,README!$C$5),1))</f>
        <v/>
      </c>
      <c r="S1069" s="6" t="n">
        <v>1020</v>
      </c>
      <c r="T1069" s="6" t="n">
        <v>1082</v>
      </c>
      <c r="U1069" s="6" t="n">
        <v>1000</v>
      </c>
      <c r="V1069" s="6" t="n">
        <v>-82</v>
      </c>
      <c r="W1069" s="6" t="n">
        <v>1</v>
      </c>
      <c r="X1069" s="6" t="n">
        <v>1</v>
      </c>
      <c r="Z1069" s="6" t="s">
        <v>2845</v>
      </c>
      <c r="AA1069" s="9" t="s">
        <v>528</v>
      </c>
      <c r="AB1069" s="6" t="s">
        <v>3834</v>
      </c>
      <c r="AE1069" s="37" t="n">
        <f aca="false">COUNTIF(環境認証!$A$2:$A$849,A1069)</f>
        <v>0</v>
      </c>
      <c r="AF1069" s="6" t="n">
        <v>-7.6</v>
      </c>
      <c r="AG1069" s="6" t="n">
        <v>-2</v>
      </c>
    </row>
    <row r="1070" customFormat="false" ht="15" hidden="false" customHeight="true" outlineLevel="0" collapsed="false">
      <c r="A1070" s="6" t="s">
        <v>3835</v>
      </c>
      <c r="B1070" s="6" t="s">
        <v>485</v>
      </c>
      <c r="C1070" s="9" t="s">
        <v>3836</v>
      </c>
      <c r="D1070" s="9" t="s">
        <v>3761</v>
      </c>
      <c r="H1070" s="9" t="s">
        <v>3051</v>
      </c>
      <c r="M1070" s="6" t="n">
        <v>2685.48</v>
      </c>
      <c r="Q1070" s="1" t="str">
        <f aca="false">IF(OR($A1070="",P1070=""),"",ROUND(YEARFRAC(P1070,README!$C$5),1))</f>
        <v/>
      </c>
      <c r="S1070" s="6" t="n">
        <v>973</v>
      </c>
      <c r="T1070" s="6" t="n">
        <v>1068</v>
      </c>
      <c r="U1070" s="6" t="n">
        <v>994</v>
      </c>
      <c r="V1070" s="6" t="n">
        <v>-74</v>
      </c>
      <c r="W1070" s="6" t="n">
        <v>1</v>
      </c>
      <c r="X1070" s="6" t="n">
        <v>1</v>
      </c>
      <c r="Z1070" s="6" t="s">
        <v>2845</v>
      </c>
      <c r="AA1070" s="9" t="s">
        <v>528</v>
      </c>
      <c r="AB1070" s="6" t="s">
        <v>3837</v>
      </c>
      <c r="AE1070" s="37" t="n">
        <f aca="false">COUNTIF(環境認証!$A$2:$A$849,A1070)</f>
        <v>0</v>
      </c>
      <c r="AF1070" s="6" t="n">
        <v>-6.9</v>
      </c>
      <c r="AG1070" s="6" t="n">
        <v>2.2</v>
      </c>
    </row>
    <row r="1071" customFormat="false" ht="15" hidden="false" customHeight="true" outlineLevel="0" collapsed="false">
      <c r="A1071" s="6" t="s">
        <v>3838</v>
      </c>
      <c r="B1071" s="6" t="s">
        <v>485</v>
      </c>
      <c r="C1071" s="9" t="s">
        <v>3839</v>
      </c>
      <c r="D1071" s="9" t="s">
        <v>3761</v>
      </c>
      <c r="H1071" s="9" t="s">
        <v>3051</v>
      </c>
      <c r="M1071" s="6" t="n">
        <v>3140.27</v>
      </c>
      <c r="Q1071" s="1" t="str">
        <f aca="false">IF(OR($A1071="",P1071=""),"",ROUND(YEARFRAC(P1071,README!$C$5),1))</f>
        <v/>
      </c>
      <c r="S1071" s="6" t="n">
        <v>893</v>
      </c>
      <c r="T1071" s="6" t="n">
        <v>944</v>
      </c>
      <c r="U1071" s="6" t="n">
        <v>896</v>
      </c>
      <c r="V1071" s="6" t="n">
        <v>-48</v>
      </c>
      <c r="W1071" s="6" t="n">
        <v>1</v>
      </c>
      <c r="X1071" s="6" t="n">
        <v>1</v>
      </c>
      <c r="Z1071" s="6" t="s">
        <v>2845</v>
      </c>
      <c r="AA1071" s="9" t="s">
        <v>528</v>
      </c>
      <c r="AB1071" s="6" t="s">
        <v>3840</v>
      </c>
      <c r="AE1071" s="37" t="n">
        <f aca="false">COUNTIF(環境認証!$A$2:$A$849,A1071)</f>
        <v>0</v>
      </c>
      <c r="AF1071" s="6" t="n">
        <v>-5.1</v>
      </c>
      <c r="AG1071" s="6" t="n">
        <v>0.3</v>
      </c>
    </row>
    <row r="1072" customFormat="false" ht="15" hidden="false" customHeight="true" outlineLevel="0" collapsed="false">
      <c r="A1072" s="6" t="s">
        <v>3841</v>
      </c>
      <c r="B1072" s="6" t="s">
        <v>485</v>
      </c>
      <c r="C1072" s="9" t="s">
        <v>3842</v>
      </c>
      <c r="D1072" s="9" t="s">
        <v>3761</v>
      </c>
      <c r="H1072" s="9" t="s">
        <v>3051</v>
      </c>
      <c r="M1072" s="6" t="n">
        <v>1339.58</v>
      </c>
      <c r="Q1072" s="1" t="str">
        <f aca="false">IF(OR($A1072="",P1072=""),"",ROUND(YEARFRAC(P1072,README!$C$5),1))</f>
        <v/>
      </c>
      <c r="S1072" s="6" t="n">
        <v>823</v>
      </c>
      <c r="T1072" s="6" t="n">
        <v>807</v>
      </c>
      <c r="U1072" s="6" t="n">
        <v>843</v>
      </c>
      <c r="V1072" s="6" t="n">
        <v>36</v>
      </c>
      <c r="W1072" s="6" t="n">
        <v>1</v>
      </c>
      <c r="X1072" s="6" t="n">
        <v>1</v>
      </c>
      <c r="Z1072" s="6" t="s">
        <v>2845</v>
      </c>
      <c r="AA1072" s="9" t="s">
        <v>528</v>
      </c>
      <c r="AB1072" s="6" t="s">
        <v>3843</v>
      </c>
      <c r="AE1072" s="37" t="n">
        <f aca="false">COUNTIF(環境認証!$A$2:$A$849,A1072)</f>
        <v>0</v>
      </c>
      <c r="AF1072" s="6" t="n">
        <v>4.5</v>
      </c>
      <c r="AG1072" s="6" t="n">
        <v>2.4</v>
      </c>
    </row>
    <row r="1073" customFormat="false" ht="15" hidden="false" customHeight="true" outlineLevel="0" collapsed="false">
      <c r="A1073" s="6" t="s">
        <v>3844</v>
      </c>
      <c r="B1073" s="6" t="s">
        <v>485</v>
      </c>
      <c r="C1073" s="9" t="s">
        <v>3845</v>
      </c>
      <c r="D1073" s="9" t="s">
        <v>3761</v>
      </c>
      <c r="H1073" s="9" t="s">
        <v>3051</v>
      </c>
      <c r="M1073" s="6" t="n">
        <v>7856.64</v>
      </c>
      <c r="Q1073" s="1" t="str">
        <f aca="false">IF(OR($A1073="",P1073=""),"",ROUND(YEARFRAC(P1073,README!$C$5),1))</f>
        <v/>
      </c>
      <c r="S1073" s="6" t="n">
        <v>3580</v>
      </c>
      <c r="T1073" s="6" t="n">
        <v>3429</v>
      </c>
      <c r="U1073" s="6" t="n">
        <v>3600</v>
      </c>
      <c r="V1073" s="6" t="n">
        <v>171</v>
      </c>
      <c r="W1073" s="6" t="n">
        <v>1</v>
      </c>
      <c r="X1073" s="6" t="n">
        <v>1</v>
      </c>
      <c r="Z1073" s="6" t="s">
        <v>2845</v>
      </c>
      <c r="AA1073" s="9" t="s">
        <v>528</v>
      </c>
      <c r="AB1073" s="6" t="s">
        <v>3846</v>
      </c>
      <c r="AE1073" s="37" t="n">
        <f aca="false">COUNTIF(環境認証!$A$2:$A$849,A1073)</f>
        <v>0</v>
      </c>
      <c r="AF1073" s="6" t="n">
        <v>5</v>
      </c>
      <c r="AG1073" s="6" t="n">
        <v>0.6</v>
      </c>
    </row>
    <row r="1074" customFormat="false" ht="15" hidden="false" customHeight="true" outlineLevel="0" collapsed="false">
      <c r="A1074" s="6" t="s">
        <v>3847</v>
      </c>
      <c r="B1074" s="6" t="s">
        <v>485</v>
      </c>
      <c r="C1074" s="9" t="s">
        <v>3848</v>
      </c>
      <c r="D1074" s="9" t="s">
        <v>3761</v>
      </c>
      <c r="H1074" s="9" t="s">
        <v>3051</v>
      </c>
      <c r="M1074" s="6" t="n">
        <v>5995.74</v>
      </c>
      <c r="Q1074" s="1" t="str">
        <f aca="false">IF(OR($A1074="",P1074=""),"",ROUND(YEARFRAC(P1074,README!$C$5),1))</f>
        <v/>
      </c>
      <c r="S1074" s="6" t="n">
        <v>2770</v>
      </c>
      <c r="T1074" s="6" t="n">
        <v>2742</v>
      </c>
      <c r="U1074" s="6" t="n">
        <v>2780</v>
      </c>
      <c r="V1074" s="6" t="n">
        <v>38</v>
      </c>
      <c r="W1074" s="6" t="n">
        <v>1</v>
      </c>
      <c r="X1074" s="6" t="n">
        <v>1</v>
      </c>
      <c r="Z1074" s="6" t="s">
        <v>2845</v>
      </c>
      <c r="AA1074" s="9" t="s">
        <v>528</v>
      </c>
      <c r="AB1074" s="6" t="s">
        <v>3849</v>
      </c>
      <c r="AE1074" s="37" t="n">
        <f aca="false">COUNTIF(環境認証!$A$2:$A$849,A1074)</f>
        <v>0</v>
      </c>
      <c r="AF1074" s="6" t="n">
        <v>1.4</v>
      </c>
      <c r="AG1074" s="6" t="n">
        <v>0.4</v>
      </c>
    </row>
    <row r="1075" customFormat="false" ht="15" hidden="false" customHeight="true" outlineLevel="0" collapsed="false">
      <c r="A1075" s="6" t="s">
        <v>3850</v>
      </c>
      <c r="B1075" s="6" t="s">
        <v>485</v>
      </c>
      <c r="C1075" s="9" t="s">
        <v>3851</v>
      </c>
      <c r="D1075" s="9" t="s">
        <v>3761</v>
      </c>
      <c r="H1075" s="9" t="s">
        <v>3051</v>
      </c>
      <c r="M1075" s="6" t="n">
        <v>3860.29</v>
      </c>
      <c r="Q1075" s="1" t="str">
        <f aca="false">IF(OR($A1075="",P1075=""),"",ROUND(YEARFRAC(P1075,README!$C$5),1))</f>
        <v/>
      </c>
      <c r="S1075" s="6" t="n">
        <v>2160</v>
      </c>
      <c r="T1075" s="6" t="n">
        <v>2090</v>
      </c>
      <c r="U1075" s="6" t="n">
        <v>2160</v>
      </c>
      <c r="V1075" s="6" t="n">
        <v>70</v>
      </c>
      <c r="W1075" s="6" t="n">
        <v>1</v>
      </c>
      <c r="X1075" s="6" t="n">
        <v>1</v>
      </c>
      <c r="Z1075" s="6" t="s">
        <v>2845</v>
      </c>
      <c r="AA1075" s="9" t="s">
        <v>528</v>
      </c>
      <c r="AB1075" s="6" t="s">
        <v>3852</v>
      </c>
      <c r="AE1075" s="37" t="n">
        <f aca="false">COUNTIF(環境認証!$A$2:$A$849,A1075)</f>
        <v>0</v>
      </c>
      <c r="AF1075" s="6" t="n">
        <v>3.3</v>
      </c>
      <c r="AG1075" s="6" t="n">
        <v>0</v>
      </c>
    </row>
    <row r="1076" customFormat="false" ht="15" hidden="false" customHeight="true" outlineLevel="0" collapsed="false">
      <c r="A1076" s="6" t="s">
        <v>3853</v>
      </c>
      <c r="B1076" s="6" t="s">
        <v>485</v>
      </c>
      <c r="C1076" s="9" t="s">
        <v>3854</v>
      </c>
      <c r="D1076" s="9" t="s">
        <v>3761</v>
      </c>
      <c r="H1076" s="9" t="s">
        <v>3051</v>
      </c>
      <c r="M1076" s="6" t="n">
        <v>3731.26</v>
      </c>
      <c r="Q1076" s="1" t="str">
        <f aca="false">IF(OR($A1076="",P1076=""),"",ROUND(YEARFRAC(P1076,README!$C$5),1))</f>
        <v/>
      </c>
      <c r="S1076" s="6" t="n">
        <v>1720</v>
      </c>
      <c r="T1076" s="6" t="n">
        <v>1782</v>
      </c>
      <c r="U1076" s="6" t="n">
        <v>1730</v>
      </c>
      <c r="V1076" s="6" t="n">
        <v>-52</v>
      </c>
      <c r="W1076" s="6" t="n">
        <v>1</v>
      </c>
      <c r="X1076" s="6" t="n">
        <v>1</v>
      </c>
      <c r="Z1076" s="6" t="s">
        <v>2845</v>
      </c>
      <c r="AA1076" s="9" t="s">
        <v>528</v>
      </c>
      <c r="AB1076" s="6" t="s">
        <v>3855</v>
      </c>
      <c r="AE1076" s="37" t="n">
        <f aca="false">COUNTIF(環境認証!$A$2:$A$849,A1076)</f>
        <v>0</v>
      </c>
      <c r="AF1076" s="6" t="n">
        <v>-2.9</v>
      </c>
      <c r="AG1076" s="6" t="n">
        <v>0.6</v>
      </c>
    </row>
    <row r="1077" customFormat="false" ht="15" hidden="false" customHeight="true" outlineLevel="0" collapsed="false">
      <c r="A1077" s="6" t="s">
        <v>3856</v>
      </c>
      <c r="B1077" s="6" t="s">
        <v>485</v>
      </c>
      <c r="C1077" s="9" t="s">
        <v>3857</v>
      </c>
      <c r="D1077" s="9" t="s">
        <v>3761</v>
      </c>
      <c r="H1077" s="9" t="s">
        <v>3051</v>
      </c>
      <c r="M1077" s="6" t="n">
        <v>4415.16</v>
      </c>
      <c r="Q1077" s="1" t="str">
        <f aca="false">IF(OR($A1077="",P1077=""),"",ROUND(YEARFRAC(P1077,README!$C$5),1))</f>
        <v/>
      </c>
      <c r="S1077" s="6" t="n">
        <v>1440</v>
      </c>
      <c r="T1077" s="6" t="n">
        <v>1420</v>
      </c>
      <c r="U1077" s="6" t="n">
        <v>1430</v>
      </c>
      <c r="V1077" s="6" t="n">
        <v>10</v>
      </c>
      <c r="W1077" s="6" t="n">
        <v>1</v>
      </c>
      <c r="X1077" s="6" t="n">
        <v>1</v>
      </c>
      <c r="Z1077" s="6" t="s">
        <v>2845</v>
      </c>
      <c r="AA1077" s="9" t="s">
        <v>528</v>
      </c>
      <c r="AB1077" s="6" t="s">
        <v>3858</v>
      </c>
      <c r="AE1077" s="37" t="n">
        <f aca="false">COUNTIF(環境認証!$A$2:$A$849,A1077)</f>
        <v>0</v>
      </c>
      <c r="AF1077" s="6" t="n">
        <v>0.7</v>
      </c>
      <c r="AG1077" s="6" t="n">
        <v>-0.7</v>
      </c>
    </row>
    <row r="1078" customFormat="false" ht="15" hidden="false" customHeight="true" outlineLevel="0" collapsed="false">
      <c r="A1078" s="6" t="s">
        <v>3859</v>
      </c>
      <c r="B1078" s="6" t="s">
        <v>485</v>
      </c>
      <c r="C1078" s="9" t="s">
        <v>3860</v>
      </c>
      <c r="D1078" s="9" t="s">
        <v>3761</v>
      </c>
      <c r="H1078" s="9" t="s">
        <v>3051</v>
      </c>
      <c r="M1078" s="6" t="n">
        <v>3444.81</v>
      </c>
      <c r="Q1078" s="1" t="str">
        <f aca="false">IF(OR($A1078="",P1078=""),"",ROUND(YEARFRAC(P1078,README!$C$5),1))</f>
        <v/>
      </c>
      <c r="S1078" s="6" t="n">
        <v>1370</v>
      </c>
      <c r="T1078" s="6" t="n">
        <v>1423</v>
      </c>
      <c r="U1078" s="6" t="n">
        <v>1310</v>
      </c>
      <c r="V1078" s="6" t="n">
        <v>-113</v>
      </c>
      <c r="W1078" s="6" t="n">
        <v>1</v>
      </c>
      <c r="X1078" s="6" t="n">
        <v>1</v>
      </c>
      <c r="Z1078" s="6" t="s">
        <v>2845</v>
      </c>
      <c r="AA1078" s="9" t="s">
        <v>528</v>
      </c>
      <c r="AB1078" s="6" t="s">
        <v>3861</v>
      </c>
      <c r="AE1078" s="37" t="n">
        <f aca="false">COUNTIF(環境認証!$A$2:$A$849,A1078)</f>
        <v>0</v>
      </c>
      <c r="AF1078" s="6" t="n">
        <v>-7.9</v>
      </c>
      <c r="AG1078" s="6" t="n">
        <v>-4.4</v>
      </c>
    </row>
    <row r="1079" customFormat="false" ht="15" hidden="false" customHeight="true" outlineLevel="0" collapsed="false">
      <c r="A1079" s="6" t="s">
        <v>3862</v>
      </c>
      <c r="B1079" s="6" t="s">
        <v>485</v>
      </c>
      <c r="C1079" s="9" t="s">
        <v>3863</v>
      </c>
      <c r="D1079" s="9" t="s">
        <v>3761</v>
      </c>
      <c r="H1079" s="9" t="s">
        <v>3051</v>
      </c>
      <c r="M1079" s="6" t="n">
        <v>3900.59</v>
      </c>
      <c r="Q1079" s="1" t="str">
        <f aca="false">IF(OR($A1079="",P1079=""),"",ROUND(YEARFRAC(P1079,README!$C$5),1))</f>
        <v/>
      </c>
      <c r="S1079" s="6" t="n">
        <v>3000</v>
      </c>
      <c r="T1079" s="6" t="n">
        <v>2934</v>
      </c>
      <c r="U1079" s="6" t="n">
        <v>3010</v>
      </c>
      <c r="V1079" s="6" t="n">
        <v>76</v>
      </c>
      <c r="W1079" s="6" t="n">
        <v>1</v>
      </c>
      <c r="X1079" s="6" t="n">
        <v>1</v>
      </c>
      <c r="Z1079" s="6" t="s">
        <v>2845</v>
      </c>
      <c r="AA1079" s="9" t="s">
        <v>528</v>
      </c>
      <c r="AB1079" s="6" t="s">
        <v>3864</v>
      </c>
      <c r="AE1079" s="37" t="n">
        <f aca="false">COUNTIF(環境認証!$A$2:$A$849,A1079)</f>
        <v>0</v>
      </c>
      <c r="AF1079" s="6" t="n">
        <v>2.6</v>
      </c>
      <c r="AG1079" s="6" t="n">
        <v>0.3</v>
      </c>
    </row>
    <row r="1080" customFormat="false" ht="15" hidden="false" customHeight="true" outlineLevel="0" collapsed="false">
      <c r="A1080" s="6" t="s">
        <v>3865</v>
      </c>
      <c r="B1080" s="6" t="s">
        <v>485</v>
      </c>
      <c r="C1080" s="9" t="s">
        <v>3866</v>
      </c>
      <c r="D1080" s="9" t="s">
        <v>3761</v>
      </c>
      <c r="H1080" s="9" t="s">
        <v>3051</v>
      </c>
      <c r="M1080" s="6" t="n">
        <v>2725.53</v>
      </c>
      <c r="Q1080" s="1" t="str">
        <f aca="false">IF(OR($A1080="",P1080=""),"",ROUND(YEARFRAC(P1080,README!$C$5),1))</f>
        <v/>
      </c>
      <c r="S1080" s="6" t="n">
        <v>2030</v>
      </c>
      <c r="T1080" s="6" t="n">
        <v>1988</v>
      </c>
      <c r="U1080" s="6" t="n">
        <v>1960</v>
      </c>
      <c r="V1080" s="6" t="n">
        <v>-28</v>
      </c>
      <c r="W1080" s="6" t="n">
        <v>1</v>
      </c>
      <c r="X1080" s="6" t="n">
        <v>1</v>
      </c>
      <c r="Z1080" s="6" t="s">
        <v>2845</v>
      </c>
      <c r="AA1080" s="9" t="s">
        <v>528</v>
      </c>
      <c r="AB1080" s="6" t="s">
        <v>3867</v>
      </c>
      <c r="AE1080" s="37" t="n">
        <f aca="false">COUNTIF(環境認証!$A$2:$A$849,A1080)</f>
        <v>0</v>
      </c>
      <c r="AF1080" s="6" t="n">
        <v>-1.4</v>
      </c>
      <c r="AG1080" s="6" t="n">
        <v>-3.4</v>
      </c>
    </row>
    <row r="1081" customFormat="false" ht="15" hidden="false" customHeight="true" outlineLevel="0" collapsed="false">
      <c r="A1081" s="6" t="s">
        <v>3868</v>
      </c>
      <c r="B1081" s="6" t="s">
        <v>485</v>
      </c>
      <c r="C1081" s="9" t="s">
        <v>3869</v>
      </c>
      <c r="D1081" s="9" t="s">
        <v>3761</v>
      </c>
      <c r="H1081" s="9" t="s">
        <v>3051</v>
      </c>
      <c r="M1081" s="6" t="n">
        <v>3469.84</v>
      </c>
      <c r="Q1081" s="1" t="str">
        <f aca="false">IF(OR($A1081="",P1081=""),"",ROUND(YEARFRAC(P1081,README!$C$5),1))</f>
        <v/>
      </c>
      <c r="S1081" s="6" t="n">
        <v>1470</v>
      </c>
      <c r="T1081" s="6" t="n">
        <v>1422</v>
      </c>
      <c r="U1081" s="6" t="n">
        <v>1500</v>
      </c>
      <c r="V1081" s="6" t="n">
        <v>78</v>
      </c>
      <c r="W1081" s="6" t="n">
        <v>1</v>
      </c>
      <c r="X1081" s="6" t="n">
        <v>1</v>
      </c>
      <c r="Z1081" s="6" t="s">
        <v>2845</v>
      </c>
      <c r="AA1081" s="9" t="s">
        <v>528</v>
      </c>
      <c r="AB1081" s="6" t="s">
        <v>3870</v>
      </c>
      <c r="AE1081" s="37" t="n">
        <f aca="false">COUNTIF(環境認証!$A$2:$A$849,A1081)</f>
        <v>0</v>
      </c>
      <c r="AF1081" s="6" t="n">
        <v>5.5</v>
      </c>
      <c r="AG1081" s="6" t="n">
        <v>2</v>
      </c>
    </row>
    <row r="1082" customFormat="false" ht="15" hidden="false" customHeight="true" outlineLevel="0" collapsed="false">
      <c r="A1082" s="6" t="s">
        <v>3871</v>
      </c>
      <c r="B1082" s="6" t="s">
        <v>485</v>
      </c>
      <c r="C1082" s="9" t="s">
        <v>3872</v>
      </c>
      <c r="D1082" s="9" t="s">
        <v>3761</v>
      </c>
      <c r="H1082" s="9" t="s">
        <v>3051</v>
      </c>
      <c r="M1082" s="6" t="n">
        <v>2278.43</v>
      </c>
      <c r="Q1082" s="1" t="str">
        <f aca="false">IF(OR($A1082="",P1082=""),"",ROUND(YEARFRAC(P1082,README!$C$5),1))</f>
        <v/>
      </c>
      <c r="S1082" s="6" t="n">
        <v>1420</v>
      </c>
      <c r="T1082" s="6" t="n">
        <v>1385</v>
      </c>
      <c r="U1082" s="6" t="n">
        <v>1450</v>
      </c>
      <c r="V1082" s="6" t="n">
        <v>65</v>
      </c>
      <c r="W1082" s="6" t="n">
        <v>1</v>
      </c>
      <c r="X1082" s="6" t="n">
        <v>1</v>
      </c>
      <c r="Z1082" s="6" t="s">
        <v>2845</v>
      </c>
      <c r="AA1082" s="9" t="s">
        <v>528</v>
      </c>
      <c r="AB1082" s="6" t="s">
        <v>3873</v>
      </c>
      <c r="AE1082" s="37" t="n">
        <f aca="false">COUNTIF(環境認証!$A$2:$A$849,A1082)</f>
        <v>0</v>
      </c>
      <c r="AF1082" s="6" t="n">
        <v>4.7</v>
      </c>
      <c r="AG1082" s="6" t="n">
        <v>2.1</v>
      </c>
    </row>
    <row r="1083" customFormat="false" ht="15" hidden="false" customHeight="true" outlineLevel="0" collapsed="false">
      <c r="A1083" s="6" t="s">
        <v>3874</v>
      </c>
      <c r="B1083" s="6" t="s">
        <v>485</v>
      </c>
      <c r="C1083" s="9" t="s">
        <v>3875</v>
      </c>
      <c r="D1083" s="9" t="s">
        <v>3761</v>
      </c>
      <c r="H1083" s="9" t="s">
        <v>3051</v>
      </c>
      <c r="M1083" s="6" t="n">
        <v>5414.02</v>
      </c>
      <c r="Q1083" s="1" t="str">
        <f aca="false">IF(OR($A1083="",P1083=""),"",ROUND(YEARFRAC(P1083,README!$C$5),1))</f>
        <v/>
      </c>
      <c r="S1083" s="6" t="n">
        <v>2610</v>
      </c>
      <c r="T1083" s="6" t="n">
        <v>2539</v>
      </c>
      <c r="U1083" s="6" t="n">
        <v>2670</v>
      </c>
      <c r="V1083" s="6" t="n">
        <v>131</v>
      </c>
      <c r="W1083" s="6" t="n">
        <v>1</v>
      </c>
      <c r="X1083" s="6" t="n">
        <v>1</v>
      </c>
      <c r="Z1083" s="6" t="s">
        <v>2845</v>
      </c>
      <c r="AA1083" s="9" t="s">
        <v>528</v>
      </c>
      <c r="AB1083" s="6" t="s">
        <v>3876</v>
      </c>
      <c r="AE1083" s="37" t="n">
        <f aca="false">COUNTIF(環境認証!$A$2:$A$849,A1083)</f>
        <v>0</v>
      </c>
      <c r="AF1083" s="6" t="n">
        <v>5.2</v>
      </c>
      <c r="AG1083" s="6" t="n">
        <v>2.3</v>
      </c>
    </row>
    <row r="1084" customFormat="false" ht="15" hidden="false" customHeight="true" outlineLevel="0" collapsed="false">
      <c r="A1084" s="6" t="s">
        <v>3877</v>
      </c>
      <c r="B1084" s="6" t="s">
        <v>485</v>
      </c>
      <c r="C1084" s="9" t="s">
        <v>3878</v>
      </c>
      <c r="D1084" s="9" t="s">
        <v>3761</v>
      </c>
      <c r="H1084" s="9" t="s">
        <v>3051</v>
      </c>
      <c r="M1084" s="6" t="n">
        <v>3406.41</v>
      </c>
      <c r="Q1084" s="1" t="str">
        <f aca="false">IF(OR($A1084="",P1084=""),"",ROUND(YEARFRAC(P1084,README!$C$5),1))</f>
        <v/>
      </c>
      <c r="S1084" s="6" t="n">
        <v>1210</v>
      </c>
      <c r="T1084" s="6" t="n">
        <v>1163</v>
      </c>
      <c r="U1084" s="6" t="n">
        <v>1210</v>
      </c>
      <c r="V1084" s="6" t="n">
        <v>47</v>
      </c>
      <c r="W1084" s="6" t="n">
        <v>1</v>
      </c>
      <c r="X1084" s="6" t="n">
        <v>1</v>
      </c>
      <c r="Z1084" s="6" t="s">
        <v>2845</v>
      </c>
      <c r="AA1084" s="9" t="s">
        <v>528</v>
      </c>
      <c r="AB1084" s="6" t="s">
        <v>3879</v>
      </c>
      <c r="AE1084" s="37" t="n">
        <f aca="false">COUNTIF(環境認証!$A$2:$A$849,A1084)</f>
        <v>0</v>
      </c>
      <c r="AF1084" s="6" t="n">
        <v>4</v>
      </c>
      <c r="AG1084" s="6" t="n">
        <v>0</v>
      </c>
    </row>
    <row r="1085" customFormat="false" ht="15" hidden="false" customHeight="true" outlineLevel="0" collapsed="false">
      <c r="A1085" s="6" t="s">
        <v>3880</v>
      </c>
      <c r="B1085" s="6" t="s">
        <v>485</v>
      </c>
      <c r="C1085" s="9" t="s">
        <v>3881</v>
      </c>
      <c r="D1085" s="9" t="s">
        <v>3761</v>
      </c>
      <c r="H1085" s="9" t="s">
        <v>3051</v>
      </c>
      <c r="M1085" s="6" t="n">
        <v>3413.76</v>
      </c>
      <c r="Q1085" s="1" t="str">
        <f aca="false">IF(OR($A1085="",P1085=""),"",ROUND(YEARFRAC(P1085,README!$C$5),1))</f>
        <v/>
      </c>
      <c r="S1085" s="6" t="n">
        <v>1120</v>
      </c>
      <c r="T1085" s="6" t="n">
        <v>1074</v>
      </c>
      <c r="U1085" s="6" t="n">
        <v>1120</v>
      </c>
      <c r="V1085" s="6" t="n">
        <v>46</v>
      </c>
      <c r="W1085" s="6" t="n">
        <v>1</v>
      </c>
      <c r="X1085" s="6" t="n">
        <v>1</v>
      </c>
      <c r="Z1085" s="6" t="s">
        <v>2845</v>
      </c>
      <c r="AA1085" s="9" t="s">
        <v>528</v>
      </c>
      <c r="AB1085" s="6" t="s">
        <v>3882</v>
      </c>
      <c r="AE1085" s="37" t="n">
        <f aca="false">COUNTIF(環境認証!$A$2:$A$849,A1085)</f>
        <v>0</v>
      </c>
      <c r="AF1085" s="6" t="n">
        <v>4.3</v>
      </c>
      <c r="AG1085" s="6" t="n">
        <v>0</v>
      </c>
    </row>
    <row r="1086" customFormat="false" ht="15" hidden="false" customHeight="true" outlineLevel="0" collapsed="false">
      <c r="A1086" s="6" t="s">
        <v>3883</v>
      </c>
      <c r="B1086" s="6" t="s">
        <v>485</v>
      </c>
      <c r="C1086" s="9" t="s">
        <v>3884</v>
      </c>
      <c r="D1086" s="9" t="s">
        <v>3761</v>
      </c>
      <c r="H1086" s="9" t="s">
        <v>3051</v>
      </c>
      <c r="M1086" s="6" t="n">
        <v>3397.74</v>
      </c>
      <c r="Q1086" s="1" t="str">
        <f aca="false">IF(OR($A1086="",P1086=""),"",ROUND(YEARFRAC(P1086,README!$C$5),1))</f>
        <v/>
      </c>
      <c r="S1086" s="6" t="n">
        <v>893</v>
      </c>
      <c r="T1086" s="6" t="n">
        <v>832</v>
      </c>
      <c r="U1086" s="6" t="n">
        <v>898</v>
      </c>
      <c r="V1086" s="6" t="n">
        <v>66</v>
      </c>
      <c r="W1086" s="6" t="n">
        <v>1</v>
      </c>
      <c r="X1086" s="6" t="n">
        <v>1</v>
      </c>
      <c r="Z1086" s="6" t="s">
        <v>2845</v>
      </c>
      <c r="AA1086" s="9" t="s">
        <v>528</v>
      </c>
      <c r="AB1086" s="6" t="s">
        <v>3885</v>
      </c>
      <c r="AE1086" s="37" t="n">
        <f aca="false">COUNTIF(環境認証!$A$2:$A$849,A1086)</f>
        <v>0</v>
      </c>
      <c r="AF1086" s="6" t="n">
        <v>7.9</v>
      </c>
      <c r="AG1086" s="6" t="n">
        <v>0.6</v>
      </c>
    </row>
    <row r="1087" customFormat="false" ht="15" hidden="false" customHeight="true" outlineLevel="0" collapsed="false">
      <c r="A1087" s="6" t="s">
        <v>3886</v>
      </c>
      <c r="B1087" s="6" t="s">
        <v>440</v>
      </c>
      <c r="C1087" s="9" t="s">
        <v>3887</v>
      </c>
      <c r="D1087" s="9" t="s">
        <v>522</v>
      </c>
      <c r="E1087" s="9" t="s">
        <v>523</v>
      </c>
      <c r="F1087" s="9" t="s">
        <v>532</v>
      </c>
      <c r="H1087" s="9" t="s">
        <v>525</v>
      </c>
      <c r="M1087" s="6" t="n">
        <v>2923.86</v>
      </c>
      <c r="P1087" s="46" t="n">
        <v>31138</v>
      </c>
      <c r="Q1087" s="1" t="n">
        <f aca="false">IF(OR($A1087="",P1087=""),"",ROUND(YEARFRAC(P1087,README!$C$5),1))</f>
        <v>41.4</v>
      </c>
      <c r="S1087" s="6" t="n">
        <v>4973</v>
      </c>
      <c r="T1087" s="6" t="n">
        <v>4967</v>
      </c>
      <c r="U1087" s="6" t="n">
        <v>5780</v>
      </c>
      <c r="V1087" s="6" t="n">
        <v>813</v>
      </c>
      <c r="W1087" s="6" t="n">
        <v>1</v>
      </c>
      <c r="Z1087" s="6" t="s">
        <v>3888</v>
      </c>
      <c r="AA1087" s="9" t="s">
        <v>528</v>
      </c>
      <c r="AB1087" s="9" t="s">
        <v>3889</v>
      </c>
      <c r="AE1087" s="37" t="n">
        <f aca="false">COUNTIF(環境認証!$A$2:$A$849,A1087)</f>
        <v>1</v>
      </c>
      <c r="AF1087" s="6" t="n">
        <v>16.4</v>
      </c>
      <c r="AG1087" s="6" t="n">
        <v>16.2</v>
      </c>
    </row>
    <row r="1088" customFormat="false" ht="15" hidden="false" customHeight="true" outlineLevel="0" collapsed="false">
      <c r="A1088" s="6" t="s">
        <v>3890</v>
      </c>
      <c r="B1088" s="6" t="s">
        <v>440</v>
      </c>
      <c r="C1088" s="9" t="s">
        <v>3891</v>
      </c>
      <c r="D1088" s="9" t="s">
        <v>522</v>
      </c>
      <c r="E1088" s="9" t="s">
        <v>523</v>
      </c>
      <c r="F1088" s="9" t="s">
        <v>524</v>
      </c>
      <c r="H1088" s="9" t="s">
        <v>525</v>
      </c>
      <c r="M1088" s="6" t="n">
        <v>3351.07</v>
      </c>
      <c r="Q1088" s="1" t="str">
        <f aca="false">IF(OR($A1088="",P1088=""),"",ROUND(YEARFRAC(P1088,README!$C$5),1))</f>
        <v/>
      </c>
      <c r="S1088" s="6" t="n">
        <v>11100</v>
      </c>
      <c r="T1088" s="6" t="n">
        <v>11191</v>
      </c>
      <c r="U1088" s="6" t="n">
        <v>14100</v>
      </c>
      <c r="V1088" s="6" t="n">
        <v>2909</v>
      </c>
      <c r="W1088" s="6" t="n">
        <v>1</v>
      </c>
      <c r="Z1088" s="6" t="s">
        <v>3888</v>
      </c>
      <c r="AA1088" s="9" t="s">
        <v>528</v>
      </c>
      <c r="AB1088" s="9" t="s">
        <v>3892</v>
      </c>
      <c r="AE1088" s="37" t="n">
        <f aca="false">COUNTIF(環境認証!$A$2:$A$849,A1088)</f>
        <v>0</v>
      </c>
      <c r="AF1088" s="6" t="n">
        <v>26</v>
      </c>
      <c r="AG1088" s="6" t="n">
        <v>27</v>
      </c>
    </row>
    <row r="1089" customFormat="false" ht="15" hidden="false" customHeight="true" outlineLevel="0" collapsed="false">
      <c r="A1089" s="6" t="s">
        <v>3893</v>
      </c>
      <c r="B1089" s="6" t="s">
        <v>440</v>
      </c>
      <c r="C1089" s="9" t="s">
        <v>3894</v>
      </c>
      <c r="D1089" s="9" t="s">
        <v>522</v>
      </c>
      <c r="E1089" s="9" t="s">
        <v>523</v>
      </c>
      <c r="F1089" s="9" t="s">
        <v>532</v>
      </c>
      <c r="H1089" s="9" t="s">
        <v>525</v>
      </c>
      <c r="M1089" s="6" t="n">
        <v>5689.97</v>
      </c>
      <c r="P1089" s="46" t="n">
        <v>40391</v>
      </c>
      <c r="Q1089" s="1" t="n">
        <f aca="false">IF(OR($A1089="",P1089=""),"",ROUND(YEARFRAC(P1089,README!$C$5),1))</f>
        <v>16</v>
      </c>
      <c r="S1089" s="6" t="n">
        <v>8623</v>
      </c>
      <c r="T1089" s="6" t="n">
        <v>7743</v>
      </c>
      <c r="U1089" s="6" t="n">
        <v>12300</v>
      </c>
      <c r="V1089" s="6" t="n">
        <v>4557</v>
      </c>
      <c r="W1089" s="6" t="n">
        <v>1</v>
      </c>
      <c r="Z1089" s="6" t="s">
        <v>3888</v>
      </c>
      <c r="AA1089" s="9" t="s">
        <v>528</v>
      </c>
      <c r="AE1089" s="37" t="n">
        <f aca="false">COUNTIF(環境認証!$A$2:$A$849,A1089)</f>
        <v>2</v>
      </c>
      <c r="AF1089" s="6" t="n">
        <v>58.9</v>
      </c>
      <c r="AG1089" s="6" t="n">
        <v>42.6</v>
      </c>
    </row>
    <row r="1090" customFormat="false" ht="15" hidden="false" customHeight="true" outlineLevel="0" collapsed="false">
      <c r="A1090" s="6" t="s">
        <v>3895</v>
      </c>
      <c r="B1090" s="6" t="s">
        <v>440</v>
      </c>
      <c r="C1090" s="9" t="s">
        <v>3896</v>
      </c>
      <c r="D1090" s="9" t="s">
        <v>522</v>
      </c>
      <c r="E1090" s="9" t="s">
        <v>523</v>
      </c>
      <c r="F1090" s="9" t="s">
        <v>532</v>
      </c>
      <c r="H1090" s="9" t="s">
        <v>525</v>
      </c>
      <c r="M1090" s="6" t="n">
        <v>6730.52</v>
      </c>
      <c r="P1090" s="46" t="n">
        <v>35643</v>
      </c>
      <c r="Q1090" s="1" t="n">
        <f aca="false">IF(OR($A1090="",P1090=""),"",ROUND(YEARFRAC(P1090,README!$C$5),1))</f>
        <v>29</v>
      </c>
      <c r="S1090" s="6" t="n">
        <v>6210</v>
      </c>
      <c r="T1090" s="6" t="n">
        <v>6653</v>
      </c>
      <c r="U1090" s="6" t="n">
        <v>10300</v>
      </c>
      <c r="V1090" s="6" t="n">
        <v>3647</v>
      </c>
      <c r="W1090" s="6" t="n">
        <v>1</v>
      </c>
      <c r="Z1090" s="6" t="s">
        <v>3888</v>
      </c>
      <c r="AA1090" s="9" t="s">
        <v>528</v>
      </c>
      <c r="AE1090" s="37" t="n">
        <f aca="false">COUNTIF(環境認証!$A$2:$A$849,A1090)</f>
        <v>0</v>
      </c>
      <c r="AF1090" s="6" t="n">
        <v>54.8</v>
      </c>
      <c r="AG1090" s="6" t="n">
        <v>65.9</v>
      </c>
    </row>
    <row r="1091" customFormat="false" ht="15" hidden="false" customHeight="true" outlineLevel="0" collapsed="false">
      <c r="A1091" s="6" t="s">
        <v>3897</v>
      </c>
      <c r="B1091" s="6" t="s">
        <v>440</v>
      </c>
      <c r="C1091" s="9" t="s">
        <v>3898</v>
      </c>
      <c r="D1091" s="9" t="s">
        <v>522</v>
      </c>
      <c r="E1091" s="9" t="s">
        <v>523</v>
      </c>
      <c r="F1091" s="9" t="s">
        <v>806</v>
      </c>
      <c r="H1091" s="9" t="s">
        <v>525</v>
      </c>
      <c r="M1091" s="6" t="n">
        <v>5369.71</v>
      </c>
      <c r="P1091" s="46" t="n">
        <v>34274</v>
      </c>
      <c r="Q1091" s="1" t="n">
        <f aca="false">IF(OR($A1091="",P1091=""),"",ROUND(YEARFRAC(P1091,README!$C$5),1))</f>
        <v>32.8</v>
      </c>
      <c r="S1091" s="6" t="n">
        <v>3900</v>
      </c>
      <c r="T1091" s="6" t="n">
        <v>3628</v>
      </c>
      <c r="U1091" s="6" t="n">
        <v>5460</v>
      </c>
      <c r="V1091" s="6" t="n">
        <v>1832</v>
      </c>
      <c r="W1091" s="6" t="n">
        <v>1</v>
      </c>
      <c r="Z1091" s="6" t="s">
        <v>3888</v>
      </c>
      <c r="AA1091" s="9" t="s">
        <v>528</v>
      </c>
      <c r="AE1091" s="37" t="n">
        <f aca="false">COUNTIF(環境認証!$A$2:$A$849,A1091)</f>
        <v>1</v>
      </c>
      <c r="AF1091" s="6" t="n">
        <v>50.5</v>
      </c>
      <c r="AG1091" s="6" t="n">
        <v>40</v>
      </c>
    </row>
    <row r="1092" customFormat="false" ht="15" hidden="false" customHeight="true" outlineLevel="0" collapsed="false">
      <c r="A1092" s="6" t="s">
        <v>3899</v>
      </c>
      <c r="B1092" s="6" t="s">
        <v>440</v>
      </c>
      <c r="C1092" s="9" t="s">
        <v>3900</v>
      </c>
      <c r="D1092" s="9" t="s">
        <v>522</v>
      </c>
      <c r="E1092" s="9" t="s">
        <v>523</v>
      </c>
      <c r="F1092" s="9" t="s">
        <v>524</v>
      </c>
      <c r="H1092" s="9" t="s">
        <v>525</v>
      </c>
      <c r="M1092" s="6" t="n">
        <v>3728.36</v>
      </c>
      <c r="P1092" s="46" t="n">
        <v>39692</v>
      </c>
      <c r="Q1092" s="1" t="n">
        <f aca="false">IF(OR($A1092="",P1092=""),"",ROUND(YEARFRAC(P1092,README!$C$5),1))</f>
        <v>17.9</v>
      </c>
      <c r="S1092" s="6" t="n">
        <v>3780</v>
      </c>
      <c r="T1092" s="6" t="n">
        <v>3498</v>
      </c>
      <c r="U1092" s="6" t="n">
        <v>3820</v>
      </c>
      <c r="V1092" s="6" t="n">
        <v>322</v>
      </c>
      <c r="W1092" s="6" t="n">
        <v>1</v>
      </c>
      <c r="Z1092" s="6" t="s">
        <v>3888</v>
      </c>
      <c r="AA1092" s="9" t="s">
        <v>528</v>
      </c>
      <c r="AE1092" s="37" t="n">
        <f aca="false">COUNTIF(環境認証!$A$2:$A$849,A1092)</f>
        <v>2</v>
      </c>
      <c r="AF1092" s="6" t="n">
        <v>9.2</v>
      </c>
      <c r="AG1092" s="6" t="n">
        <v>1.1</v>
      </c>
    </row>
    <row r="1093" customFormat="false" ht="15" hidden="false" customHeight="true" outlineLevel="0" collapsed="false">
      <c r="A1093" s="6" t="s">
        <v>3901</v>
      </c>
      <c r="B1093" s="6" t="s">
        <v>440</v>
      </c>
      <c r="C1093" s="9" t="s">
        <v>3902</v>
      </c>
      <c r="D1093" s="9" t="s">
        <v>522</v>
      </c>
      <c r="E1093" s="9" t="s">
        <v>523</v>
      </c>
      <c r="F1093" s="9" t="s">
        <v>524</v>
      </c>
      <c r="H1093" s="9" t="s">
        <v>525</v>
      </c>
      <c r="M1093" s="6" t="n">
        <v>2566.95</v>
      </c>
      <c r="P1093" s="46" t="n">
        <v>37043</v>
      </c>
      <c r="Q1093" s="1" t="n">
        <f aca="false">IF(OR($A1093="",P1093=""),"",ROUND(YEARFRAC(P1093,README!$C$5),1))</f>
        <v>25.2</v>
      </c>
      <c r="S1093" s="6" t="n">
        <v>2500</v>
      </c>
      <c r="T1093" s="6" t="n">
        <v>2391</v>
      </c>
      <c r="U1093" s="6" t="n">
        <v>2970</v>
      </c>
      <c r="V1093" s="6" t="n">
        <v>579</v>
      </c>
      <c r="W1093" s="6" t="n">
        <v>1</v>
      </c>
      <c r="Z1093" s="6" t="s">
        <v>3888</v>
      </c>
      <c r="AA1093" s="9" t="s">
        <v>528</v>
      </c>
      <c r="AE1093" s="37" t="n">
        <f aca="false">COUNTIF(環境認証!$A$2:$A$849,A1093)</f>
        <v>2</v>
      </c>
      <c r="AF1093" s="6" t="n">
        <v>24.2</v>
      </c>
      <c r="AG1093" s="6" t="n">
        <v>18.8</v>
      </c>
    </row>
    <row r="1094" customFormat="false" ht="15" hidden="false" customHeight="true" outlineLevel="0" collapsed="false">
      <c r="A1094" s="6" t="s">
        <v>3903</v>
      </c>
      <c r="B1094" s="6" t="s">
        <v>440</v>
      </c>
      <c r="C1094" s="9" t="s">
        <v>3904</v>
      </c>
      <c r="D1094" s="9" t="s">
        <v>522</v>
      </c>
      <c r="E1094" s="9" t="s">
        <v>523</v>
      </c>
      <c r="F1094" s="9" t="s">
        <v>666</v>
      </c>
      <c r="H1094" s="9" t="s">
        <v>525</v>
      </c>
      <c r="M1094" s="6" t="n">
        <v>2858.48</v>
      </c>
      <c r="P1094" s="46" t="n">
        <v>34029</v>
      </c>
      <c r="Q1094" s="1" t="n">
        <f aca="false">IF(OR($A1094="",P1094=""),"",ROUND(YEARFRAC(P1094,README!$C$5),1))</f>
        <v>33.4</v>
      </c>
      <c r="S1094" s="6" t="n">
        <v>2210</v>
      </c>
      <c r="T1094" s="6" t="n">
        <v>2151</v>
      </c>
      <c r="U1094" s="6" t="n">
        <v>2760</v>
      </c>
      <c r="V1094" s="6" t="n">
        <v>609</v>
      </c>
      <c r="W1094" s="6" t="n">
        <v>1</v>
      </c>
      <c r="Z1094" s="6" t="s">
        <v>3888</v>
      </c>
      <c r="AA1094" s="9" t="s">
        <v>528</v>
      </c>
      <c r="AE1094" s="37" t="n">
        <f aca="false">COUNTIF(環境認証!$A$2:$A$849,A1094)</f>
        <v>1</v>
      </c>
      <c r="AF1094" s="6" t="n">
        <v>28.3</v>
      </c>
      <c r="AG1094" s="6" t="n">
        <v>24.9</v>
      </c>
    </row>
    <row r="1095" customFormat="false" ht="15" hidden="false" customHeight="true" outlineLevel="0" collapsed="false">
      <c r="A1095" s="6" t="s">
        <v>3905</v>
      </c>
      <c r="B1095" s="6" t="s">
        <v>440</v>
      </c>
      <c r="C1095" s="9" t="s">
        <v>1237</v>
      </c>
      <c r="D1095" s="9" t="s">
        <v>522</v>
      </c>
      <c r="E1095" s="9" t="s">
        <v>523</v>
      </c>
      <c r="F1095" s="9" t="s">
        <v>524</v>
      </c>
      <c r="H1095" s="9" t="s">
        <v>525</v>
      </c>
      <c r="M1095" s="6" t="n">
        <v>13923.42</v>
      </c>
      <c r="P1095" s="46" t="n">
        <v>41306</v>
      </c>
      <c r="Q1095" s="1" t="n">
        <f aca="false">IF(OR($A1095="",P1095=""),"",ROUND(YEARFRAC(P1095,README!$C$5),1))</f>
        <v>13.5</v>
      </c>
      <c r="S1095" s="6" t="n">
        <v>38149</v>
      </c>
      <c r="T1095" s="6" t="n">
        <v>35302</v>
      </c>
      <c r="U1095" s="6" t="n">
        <v>46221</v>
      </c>
      <c r="V1095" s="6" t="n">
        <v>10919</v>
      </c>
      <c r="W1095" s="6" t="n">
        <v>1</v>
      </c>
      <c r="Z1095" s="6" t="s">
        <v>3888</v>
      </c>
      <c r="AA1095" s="9" t="s">
        <v>528</v>
      </c>
      <c r="AB1095" s="9" t="s">
        <v>3906</v>
      </c>
      <c r="AE1095" s="37" t="n">
        <f aca="false">COUNTIF(環境認証!$A$2:$A$849,A1095)</f>
        <v>2</v>
      </c>
      <c r="AF1095" s="6" t="n">
        <v>30.9</v>
      </c>
      <c r="AG1095" s="6" t="n">
        <v>21.2</v>
      </c>
    </row>
    <row r="1096" customFormat="false" ht="15" hidden="false" customHeight="true" outlineLevel="0" collapsed="false">
      <c r="A1096" s="6" t="s">
        <v>3907</v>
      </c>
      <c r="B1096" s="6" t="s">
        <v>440</v>
      </c>
      <c r="C1096" s="9" t="s">
        <v>3908</v>
      </c>
      <c r="D1096" s="9" t="s">
        <v>522</v>
      </c>
      <c r="E1096" s="9" t="s">
        <v>523</v>
      </c>
      <c r="F1096" s="9" t="s">
        <v>539</v>
      </c>
      <c r="H1096" s="9" t="s">
        <v>540</v>
      </c>
      <c r="M1096" s="6" t="n">
        <v>3137.09</v>
      </c>
      <c r="P1096" s="46" t="n">
        <v>32325</v>
      </c>
      <c r="Q1096" s="1" t="n">
        <f aca="false">IF(OR($A1096="",P1096=""),"",ROUND(YEARFRAC(P1096,README!$C$5),1))</f>
        <v>38.1</v>
      </c>
      <c r="S1096" s="6" t="n">
        <v>2678</v>
      </c>
      <c r="T1096" s="6" t="n">
        <v>2691</v>
      </c>
      <c r="U1096" s="6" t="n">
        <v>3160</v>
      </c>
      <c r="V1096" s="6" t="n">
        <v>469</v>
      </c>
      <c r="W1096" s="6" t="n">
        <v>1</v>
      </c>
      <c r="Z1096" s="6" t="s">
        <v>3888</v>
      </c>
      <c r="AA1096" s="9" t="s">
        <v>528</v>
      </c>
      <c r="AE1096" s="37" t="n">
        <f aca="false">COUNTIF(環境認証!$A$2:$A$849,A1096)</f>
        <v>1</v>
      </c>
      <c r="AF1096" s="6" t="n">
        <v>17.4</v>
      </c>
      <c r="AG1096" s="6" t="n">
        <v>18</v>
      </c>
    </row>
    <row r="1097" customFormat="false" ht="15" hidden="false" customHeight="true" outlineLevel="0" collapsed="false">
      <c r="A1097" s="6" t="s">
        <v>3909</v>
      </c>
      <c r="B1097" s="6" t="s">
        <v>440</v>
      </c>
      <c r="C1097" s="9" t="s">
        <v>3910</v>
      </c>
      <c r="D1097" s="9" t="s">
        <v>522</v>
      </c>
      <c r="E1097" s="9" t="s">
        <v>523</v>
      </c>
      <c r="F1097" s="9" t="s">
        <v>893</v>
      </c>
      <c r="H1097" s="9" t="s">
        <v>540</v>
      </c>
      <c r="M1097" s="6" t="n">
        <v>1429.74</v>
      </c>
      <c r="P1097" s="46" t="n">
        <v>33147</v>
      </c>
      <c r="Q1097" s="1" t="n">
        <f aca="false">IF(OR($A1097="",P1097=""),"",ROUND(YEARFRAC(P1097,README!$C$5),1))</f>
        <v>35.9</v>
      </c>
      <c r="S1097" s="6" t="n">
        <v>1580</v>
      </c>
      <c r="T1097" s="6" t="n">
        <v>1544</v>
      </c>
      <c r="U1097" s="6" t="n">
        <v>2120</v>
      </c>
      <c r="V1097" s="6" t="n">
        <v>576</v>
      </c>
      <c r="W1097" s="6" t="n">
        <v>1</v>
      </c>
      <c r="Z1097" s="6" t="s">
        <v>3888</v>
      </c>
      <c r="AA1097" s="9" t="s">
        <v>528</v>
      </c>
      <c r="AE1097" s="37" t="n">
        <f aca="false">COUNTIF(環境認証!$A$2:$A$849,A1097)</f>
        <v>0</v>
      </c>
      <c r="AF1097" s="6" t="n">
        <v>37.3</v>
      </c>
      <c r="AG1097" s="6" t="n">
        <v>34.2</v>
      </c>
    </row>
    <row r="1098" customFormat="false" ht="15" hidden="false" customHeight="true" outlineLevel="0" collapsed="false">
      <c r="A1098" s="6" t="s">
        <v>3911</v>
      </c>
      <c r="B1098" s="6" t="s">
        <v>440</v>
      </c>
      <c r="C1098" s="9" t="s">
        <v>3912</v>
      </c>
      <c r="D1098" s="9" t="s">
        <v>522</v>
      </c>
      <c r="E1098" s="9" t="s">
        <v>523</v>
      </c>
      <c r="F1098" s="9" t="s">
        <v>532</v>
      </c>
      <c r="H1098" s="9" t="s">
        <v>525</v>
      </c>
      <c r="M1098" s="6" t="n">
        <v>8574.65</v>
      </c>
      <c r="P1098" s="46" t="n">
        <v>42125</v>
      </c>
      <c r="Q1098" s="1" t="n">
        <f aca="false">IF(OR($A1098="",P1098=""),"",ROUND(YEARFRAC(P1098,README!$C$5),1))</f>
        <v>11.3</v>
      </c>
      <c r="S1098" s="6" t="n">
        <v>18310</v>
      </c>
      <c r="T1098" s="6" t="n">
        <v>17400</v>
      </c>
      <c r="U1098" s="6" t="n">
        <v>21800</v>
      </c>
      <c r="V1098" s="6" t="n">
        <v>4400</v>
      </c>
      <c r="W1098" s="6" t="n">
        <v>1</v>
      </c>
      <c r="Z1098" s="6" t="s">
        <v>3888</v>
      </c>
      <c r="AA1098" s="9" t="s">
        <v>528</v>
      </c>
      <c r="AE1098" s="37" t="n">
        <f aca="false">COUNTIF(環境認証!$A$2:$A$849,A1098)</f>
        <v>2</v>
      </c>
      <c r="AF1098" s="6" t="n">
        <v>25.3</v>
      </c>
      <c r="AG1098" s="6" t="n">
        <v>19.1</v>
      </c>
    </row>
    <row r="1099" customFormat="false" ht="15" hidden="false" customHeight="true" outlineLevel="0" collapsed="false">
      <c r="A1099" s="6" t="s">
        <v>3913</v>
      </c>
      <c r="B1099" s="6" t="s">
        <v>440</v>
      </c>
      <c r="C1099" s="9" t="s">
        <v>3914</v>
      </c>
      <c r="D1099" s="9" t="s">
        <v>522</v>
      </c>
      <c r="E1099" s="9" t="s">
        <v>523</v>
      </c>
      <c r="F1099" s="9" t="s">
        <v>648</v>
      </c>
      <c r="H1099" s="9" t="s">
        <v>525</v>
      </c>
      <c r="M1099" s="6" t="n">
        <v>2817.65</v>
      </c>
      <c r="P1099" s="46" t="n">
        <v>34182</v>
      </c>
      <c r="Q1099" s="1" t="n">
        <f aca="false">IF(OR($A1099="",P1099=""),"",ROUND(YEARFRAC(P1099,README!$C$5),1))</f>
        <v>33</v>
      </c>
      <c r="S1099" s="6" t="n">
        <v>5100</v>
      </c>
      <c r="T1099" s="6" t="n">
        <v>5029</v>
      </c>
      <c r="U1099" s="6" t="n">
        <v>5890</v>
      </c>
      <c r="V1099" s="6" t="n">
        <v>861</v>
      </c>
      <c r="W1099" s="6" t="n">
        <v>1</v>
      </c>
      <c r="Z1099" s="6" t="s">
        <v>3888</v>
      </c>
      <c r="AA1099" s="9" t="s">
        <v>528</v>
      </c>
      <c r="AE1099" s="37" t="n">
        <f aca="false">COUNTIF(環境認証!$A$2:$A$849,A1099)</f>
        <v>1</v>
      </c>
      <c r="AF1099" s="6" t="n">
        <v>17.1</v>
      </c>
      <c r="AG1099" s="6" t="n">
        <v>15.5</v>
      </c>
    </row>
    <row r="1100" customFormat="false" ht="15" hidden="false" customHeight="true" outlineLevel="0" collapsed="false">
      <c r="A1100" s="6" t="s">
        <v>3915</v>
      </c>
      <c r="B1100" s="6" t="s">
        <v>440</v>
      </c>
      <c r="C1100" s="9" t="s">
        <v>3916</v>
      </c>
      <c r="D1100" s="9" t="s">
        <v>522</v>
      </c>
      <c r="E1100" s="9" t="s">
        <v>523</v>
      </c>
      <c r="F1100" s="9" t="s">
        <v>524</v>
      </c>
      <c r="H1100" s="9" t="s">
        <v>525</v>
      </c>
      <c r="M1100" s="6" t="n">
        <v>1561.38</v>
      </c>
      <c r="P1100" s="46" t="n">
        <v>32752</v>
      </c>
      <c r="Q1100" s="1" t="n">
        <f aca="false">IF(OR($A1100="",P1100=""),"",ROUND(YEARFRAC(P1100,README!$C$5),1))</f>
        <v>36.9</v>
      </c>
      <c r="S1100" s="6" t="n">
        <v>1460</v>
      </c>
      <c r="T1100" s="6" t="n">
        <v>1527</v>
      </c>
      <c r="U1100" s="6" t="n">
        <v>1760</v>
      </c>
      <c r="V1100" s="6" t="n">
        <v>233</v>
      </c>
      <c r="W1100" s="6" t="n">
        <v>1</v>
      </c>
      <c r="Z1100" s="6" t="s">
        <v>3888</v>
      </c>
      <c r="AA1100" s="9" t="s">
        <v>528</v>
      </c>
      <c r="AE1100" s="37" t="n">
        <f aca="false">COUNTIF(環境認証!$A$2:$A$849,A1100)</f>
        <v>2</v>
      </c>
      <c r="AF1100" s="6" t="n">
        <v>15.3</v>
      </c>
      <c r="AG1100" s="6" t="n">
        <v>20.5</v>
      </c>
    </row>
    <row r="1101" customFormat="false" ht="15" hidden="false" customHeight="true" outlineLevel="0" collapsed="false">
      <c r="A1101" s="6" t="s">
        <v>3917</v>
      </c>
      <c r="B1101" s="6" t="s">
        <v>440</v>
      </c>
      <c r="C1101" s="9" t="s">
        <v>3918</v>
      </c>
      <c r="D1101" s="9" t="s">
        <v>522</v>
      </c>
      <c r="E1101" s="9" t="s">
        <v>523</v>
      </c>
      <c r="F1101" s="9" t="s">
        <v>625</v>
      </c>
      <c r="H1101" s="9" t="s">
        <v>540</v>
      </c>
      <c r="M1101" s="6" t="n">
        <v>3276.05</v>
      </c>
      <c r="P1101" s="46" t="n">
        <v>35125</v>
      </c>
      <c r="Q1101" s="1" t="n">
        <f aca="false">IF(OR($A1101="",P1101=""),"",ROUND(YEARFRAC(P1101,README!$C$5),1))</f>
        <v>30.4</v>
      </c>
      <c r="S1101" s="6" t="n">
        <v>3450</v>
      </c>
      <c r="T1101" s="6" t="n">
        <v>3576</v>
      </c>
      <c r="U1101" s="6" t="n">
        <v>3420</v>
      </c>
      <c r="V1101" s="6" t="n">
        <v>-156</v>
      </c>
      <c r="W1101" s="6" t="n">
        <v>1</v>
      </c>
      <c r="Z1101" s="6" t="s">
        <v>3888</v>
      </c>
      <c r="AA1101" s="9" t="s">
        <v>528</v>
      </c>
      <c r="AB1101" s="6" t="s">
        <v>3919</v>
      </c>
      <c r="AE1101" s="37" t="n">
        <f aca="false">COUNTIF(環境認証!$A$2:$A$849,A1101)</f>
        <v>1</v>
      </c>
      <c r="AF1101" s="6" t="n">
        <v>-4.4</v>
      </c>
      <c r="AG1101" s="6" t="n">
        <v>-0.9</v>
      </c>
    </row>
    <row r="1102" customFormat="false" ht="15" hidden="false" customHeight="true" outlineLevel="0" collapsed="false">
      <c r="A1102" s="6" t="s">
        <v>3920</v>
      </c>
      <c r="B1102" s="6" t="s">
        <v>440</v>
      </c>
      <c r="C1102" s="9" t="s">
        <v>3921</v>
      </c>
      <c r="D1102" s="9" t="s">
        <v>522</v>
      </c>
      <c r="E1102" s="9" t="s">
        <v>523</v>
      </c>
      <c r="F1102" s="9" t="s">
        <v>524</v>
      </c>
      <c r="H1102" s="9" t="s">
        <v>525</v>
      </c>
      <c r="M1102" s="6" t="n">
        <v>1981.83</v>
      </c>
      <c r="P1102" s="46" t="n">
        <v>32721</v>
      </c>
      <c r="Q1102" s="1" t="n">
        <f aca="false">IF(OR($A1102="",P1102=""),"",ROUND(YEARFRAC(P1102,README!$C$5),1))</f>
        <v>37</v>
      </c>
      <c r="S1102" s="6" t="n">
        <v>2750</v>
      </c>
      <c r="T1102" s="6" t="n">
        <v>2767</v>
      </c>
      <c r="U1102" s="6" t="n">
        <v>3610</v>
      </c>
      <c r="V1102" s="6" t="n">
        <v>843</v>
      </c>
      <c r="W1102" s="6" t="n">
        <v>1</v>
      </c>
      <c r="Z1102" s="6" t="s">
        <v>3888</v>
      </c>
      <c r="AA1102" s="9" t="s">
        <v>528</v>
      </c>
      <c r="AE1102" s="37" t="n">
        <f aca="false">COUNTIF(環境認証!$A$2:$A$849,A1102)</f>
        <v>1</v>
      </c>
      <c r="AF1102" s="6" t="n">
        <v>30.5</v>
      </c>
      <c r="AG1102" s="6" t="n">
        <v>31.3</v>
      </c>
    </row>
    <row r="1103" customFormat="false" ht="15" hidden="false" customHeight="true" outlineLevel="0" collapsed="false">
      <c r="A1103" s="6" t="s">
        <v>3922</v>
      </c>
      <c r="B1103" s="6" t="s">
        <v>440</v>
      </c>
      <c r="C1103" s="9" t="s">
        <v>3923</v>
      </c>
      <c r="D1103" s="9" t="s">
        <v>522</v>
      </c>
      <c r="E1103" s="9" t="s">
        <v>523</v>
      </c>
      <c r="F1103" s="9" t="s">
        <v>648</v>
      </c>
      <c r="H1103" s="9" t="s">
        <v>525</v>
      </c>
      <c r="M1103" s="6" t="n">
        <v>1629.09</v>
      </c>
      <c r="P1103" s="46" t="n">
        <v>33848</v>
      </c>
      <c r="Q1103" s="1" t="n">
        <f aca="false">IF(OR($A1103="",P1103=""),"",ROUND(YEARFRAC(P1103,README!$C$5),1))</f>
        <v>33.9</v>
      </c>
      <c r="S1103" s="6" t="n">
        <v>2420</v>
      </c>
      <c r="T1103" s="6" t="n">
        <v>2412</v>
      </c>
      <c r="U1103" s="6" t="n">
        <v>2610</v>
      </c>
      <c r="V1103" s="6" t="n">
        <v>198</v>
      </c>
      <c r="W1103" s="6" t="n">
        <v>1</v>
      </c>
      <c r="Z1103" s="6" t="s">
        <v>3888</v>
      </c>
      <c r="AA1103" s="9" t="s">
        <v>528</v>
      </c>
      <c r="AE1103" s="37" t="n">
        <f aca="false">COUNTIF(環境認証!$A$2:$A$849,A1103)</f>
        <v>0</v>
      </c>
      <c r="AF1103" s="6" t="n">
        <v>8.2</v>
      </c>
      <c r="AG1103" s="6" t="n">
        <v>7.9</v>
      </c>
    </row>
    <row r="1104" customFormat="false" ht="15" hidden="false" customHeight="true" outlineLevel="0" collapsed="false">
      <c r="A1104" s="6" t="s">
        <v>3924</v>
      </c>
      <c r="B1104" s="6" t="s">
        <v>440</v>
      </c>
      <c r="C1104" s="9" t="s">
        <v>3925</v>
      </c>
      <c r="D1104" s="9" t="s">
        <v>522</v>
      </c>
      <c r="E1104" s="9" t="s">
        <v>523</v>
      </c>
      <c r="H1104" s="9" t="s">
        <v>525</v>
      </c>
      <c r="M1104" s="6" t="n">
        <v>1431.94</v>
      </c>
      <c r="P1104" s="46" t="n">
        <v>33270</v>
      </c>
      <c r="Q1104" s="1" t="n">
        <f aca="false">IF(OR($A1104="",P1104=""),"",ROUND(YEARFRAC(P1104,README!$C$5),1))</f>
        <v>35.5</v>
      </c>
      <c r="S1104" s="6" t="n">
        <v>1450</v>
      </c>
      <c r="T1104" s="6" t="n">
        <v>1556</v>
      </c>
      <c r="U1104" s="6" t="n">
        <v>1390</v>
      </c>
      <c r="V1104" s="6" t="n">
        <v>-166</v>
      </c>
      <c r="W1104" s="6" t="n">
        <v>0.885</v>
      </c>
      <c r="Z1104" s="6" t="s">
        <v>3888</v>
      </c>
      <c r="AA1104" s="9" t="s">
        <v>528</v>
      </c>
      <c r="AE1104" s="37" t="n">
        <f aca="false">COUNTIF(環境認証!$A$2:$A$849,A1104)</f>
        <v>0</v>
      </c>
      <c r="AF1104" s="6" t="n">
        <v>-10.7</v>
      </c>
      <c r="AG1104" s="6" t="n">
        <v>-4.1</v>
      </c>
    </row>
    <row r="1105" customFormat="false" ht="15" hidden="false" customHeight="true" outlineLevel="0" collapsed="false">
      <c r="A1105" s="6" t="s">
        <v>3926</v>
      </c>
      <c r="B1105" s="6" t="s">
        <v>440</v>
      </c>
      <c r="C1105" s="9" t="s">
        <v>3927</v>
      </c>
      <c r="D1105" s="9" t="s">
        <v>522</v>
      </c>
      <c r="E1105" s="9" t="s">
        <v>523</v>
      </c>
      <c r="F1105" s="9" t="s">
        <v>539</v>
      </c>
      <c r="H1105" s="9" t="s">
        <v>540</v>
      </c>
      <c r="M1105" s="6" t="n">
        <v>5280.72</v>
      </c>
      <c r="P1105" s="46" t="n">
        <v>41306</v>
      </c>
      <c r="Q1105" s="1" t="n">
        <f aca="false">IF(OR($A1105="",P1105=""),"",ROUND(YEARFRAC(P1105,README!$C$5),1))</f>
        <v>13.5</v>
      </c>
      <c r="S1105" s="6" t="n">
        <v>4750</v>
      </c>
      <c r="T1105" s="6" t="n">
        <v>4010</v>
      </c>
      <c r="U1105" s="6" t="n">
        <v>4810</v>
      </c>
      <c r="V1105" s="6" t="n">
        <v>800</v>
      </c>
      <c r="W1105" s="6" t="n">
        <v>1</v>
      </c>
      <c r="Z1105" s="6" t="s">
        <v>3888</v>
      </c>
      <c r="AA1105" s="9" t="s">
        <v>528</v>
      </c>
      <c r="AE1105" s="37" t="n">
        <f aca="false">COUNTIF(環境認証!$A$2:$A$849,A1105)</f>
        <v>2</v>
      </c>
      <c r="AF1105" s="6" t="n">
        <v>20</v>
      </c>
      <c r="AG1105" s="6" t="n">
        <v>1.3</v>
      </c>
    </row>
    <row r="1106" customFormat="false" ht="15" hidden="false" customHeight="true" outlineLevel="0" collapsed="false">
      <c r="A1106" s="6" t="s">
        <v>3928</v>
      </c>
      <c r="B1106" s="6" t="s">
        <v>440</v>
      </c>
      <c r="C1106" s="9" t="s">
        <v>3929</v>
      </c>
      <c r="D1106" s="9" t="s">
        <v>522</v>
      </c>
      <c r="E1106" s="9" t="s">
        <v>523</v>
      </c>
      <c r="F1106" s="9" t="s">
        <v>648</v>
      </c>
      <c r="H1106" s="9" t="s">
        <v>525</v>
      </c>
      <c r="M1106" s="6" t="n">
        <v>1059.22</v>
      </c>
      <c r="P1106" s="46" t="n">
        <v>33635</v>
      </c>
      <c r="Q1106" s="1" t="n">
        <f aca="false">IF(OR($A1106="",P1106=""),"",ROUND(YEARFRAC(P1106,README!$C$5),1))</f>
        <v>34.5</v>
      </c>
      <c r="S1106" s="6" t="n">
        <v>1275</v>
      </c>
      <c r="T1106" s="6" t="n">
        <v>1281</v>
      </c>
      <c r="U1106" s="6" t="n">
        <v>1550</v>
      </c>
      <c r="V1106" s="6" t="n">
        <v>269</v>
      </c>
      <c r="W1106" s="6" t="n">
        <v>1</v>
      </c>
      <c r="Z1106" s="6" t="s">
        <v>3888</v>
      </c>
      <c r="AA1106" s="9" t="s">
        <v>528</v>
      </c>
      <c r="AE1106" s="37" t="n">
        <f aca="false">COUNTIF(環境認証!$A$2:$A$849,A1106)</f>
        <v>0</v>
      </c>
      <c r="AF1106" s="6" t="n">
        <v>21</v>
      </c>
      <c r="AG1106" s="6" t="n">
        <v>21.6</v>
      </c>
    </row>
    <row r="1107" customFormat="false" ht="15" hidden="false" customHeight="true" outlineLevel="0" collapsed="false">
      <c r="A1107" s="6" t="s">
        <v>3930</v>
      </c>
      <c r="B1107" s="6" t="s">
        <v>440</v>
      </c>
      <c r="C1107" s="9" t="s">
        <v>3931</v>
      </c>
      <c r="D1107" s="9" t="s">
        <v>522</v>
      </c>
      <c r="E1107" s="9" t="s">
        <v>523</v>
      </c>
      <c r="F1107" s="9" t="s">
        <v>609</v>
      </c>
      <c r="H1107" s="9" t="s">
        <v>540</v>
      </c>
      <c r="M1107" s="6" t="n">
        <v>4569.34</v>
      </c>
      <c r="P1107" s="46" t="n">
        <v>40179</v>
      </c>
      <c r="Q1107" s="1" t="n">
        <f aca="false">IF(OR($A1107="",P1107=""),"",ROUND(YEARFRAC(P1107,README!$C$5),1))</f>
        <v>16.6</v>
      </c>
      <c r="S1107" s="6" t="n">
        <v>5610</v>
      </c>
      <c r="T1107" s="6" t="n">
        <v>5281</v>
      </c>
      <c r="U1107" s="6" t="n">
        <v>6102</v>
      </c>
      <c r="V1107" s="6" t="n">
        <v>821</v>
      </c>
      <c r="W1107" s="6" t="n">
        <v>0.891</v>
      </c>
      <c r="Z1107" s="6" t="s">
        <v>3888</v>
      </c>
      <c r="AA1107" s="9" t="s">
        <v>528</v>
      </c>
      <c r="AE1107" s="37" t="n">
        <f aca="false">COUNTIF(環境認証!$A$2:$A$849,A1107)</f>
        <v>2</v>
      </c>
      <c r="AF1107" s="6" t="n">
        <v>15.5</v>
      </c>
      <c r="AG1107" s="6" t="n">
        <v>8.8</v>
      </c>
    </row>
    <row r="1108" customFormat="false" ht="15" hidden="false" customHeight="true" outlineLevel="0" collapsed="false">
      <c r="A1108" s="6" t="s">
        <v>3932</v>
      </c>
      <c r="B1108" s="6" t="s">
        <v>440</v>
      </c>
      <c r="C1108" s="9" t="s">
        <v>3933</v>
      </c>
      <c r="D1108" s="9" t="s">
        <v>522</v>
      </c>
      <c r="E1108" s="9" t="s">
        <v>523</v>
      </c>
      <c r="F1108" s="9" t="s">
        <v>539</v>
      </c>
      <c r="H1108" s="9" t="s">
        <v>540</v>
      </c>
      <c r="M1108" s="6" t="n">
        <v>3956.73</v>
      </c>
      <c r="P1108" s="46" t="n">
        <v>42248</v>
      </c>
      <c r="Q1108" s="1" t="n">
        <f aca="false">IF(OR($A1108="",P1108=""),"",ROUND(YEARFRAC(P1108,README!$C$5),1))</f>
        <v>10.9</v>
      </c>
      <c r="S1108" s="6" t="n">
        <v>5420</v>
      </c>
      <c r="T1108" s="6" t="n">
        <v>5201</v>
      </c>
      <c r="U1108" s="6" t="n">
        <v>5895</v>
      </c>
      <c r="V1108" s="6" t="n">
        <v>694</v>
      </c>
      <c r="W1108" s="6" t="n">
        <v>0.983</v>
      </c>
      <c r="Z1108" s="6" t="s">
        <v>3888</v>
      </c>
      <c r="AA1108" s="9" t="s">
        <v>528</v>
      </c>
      <c r="AE1108" s="37" t="n">
        <f aca="false">COUNTIF(環境認証!$A$2:$A$849,A1108)</f>
        <v>1</v>
      </c>
      <c r="AF1108" s="6" t="n">
        <v>13.3</v>
      </c>
      <c r="AG1108" s="6" t="n">
        <v>8.8</v>
      </c>
    </row>
    <row r="1109" customFormat="false" ht="15" hidden="false" customHeight="true" outlineLevel="0" collapsed="false">
      <c r="A1109" s="6" t="s">
        <v>3934</v>
      </c>
      <c r="B1109" s="6" t="s">
        <v>440</v>
      </c>
      <c r="C1109" s="9" t="s">
        <v>3935</v>
      </c>
      <c r="D1109" s="9" t="s">
        <v>522</v>
      </c>
      <c r="E1109" s="9" t="s">
        <v>523</v>
      </c>
      <c r="F1109" s="9" t="s">
        <v>916</v>
      </c>
      <c r="H1109" s="9" t="s">
        <v>540</v>
      </c>
      <c r="M1109" s="6" t="n">
        <v>2616.83</v>
      </c>
      <c r="P1109" s="46" t="n">
        <v>34608</v>
      </c>
      <c r="Q1109" s="1" t="n">
        <f aca="false">IF(OR($A1109="",P1109=""),"",ROUND(YEARFRAC(P1109,README!$C$5),1))</f>
        <v>31.9</v>
      </c>
      <c r="S1109" s="6" t="n">
        <v>3200</v>
      </c>
      <c r="T1109" s="6" t="n">
        <v>3192</v>
      </c>
      <c r="U1109" s="6" t="n">
        <v>3492</v>
      </c>
      <c r="V1109" s="6" t="n">
        <v>300</v>
      </c>
      <c r="W1109" s="6" t="n">
        <v>1</v>
      </c>
      <c r="Z1109" s="6" t="s">
        <v>3888</v>
      </c>
      <c r="AA1109" s="9" t="s">
        <v>528</v>
      </c>
      <c r="AE1109" s="37" t="n">
        <f aca="false">COUNTIF(環境認証!$A$2:$A$849,A1109)</f>
        <v>1</v>
      </c>
      <c r="AF1109" s="6" t="n">
        <v>9.4</v>
      </c>
      <c r="AG1109" s="6" t="n">
        <v>9.1</v>
      </c>
    </row>
    <row r="1110" customFormat="false" ht="15" hidden="false" customHeight="true" outlineLevel="0" collapsed="false">
      <c r="A1110" s="6" t="s">
        <v>3936</v>
      </c>
      <c r="B1110" s="6" t="s">
        <v>440</v>
      </c>
      <c r="C1110" s="9" t="s">
        <v>3937</v>
      </c>
      <c r="D1110" s="9" t="s">
        <v>522</v>
      </c>
      <c r="E1110" s="9" t="s">
        <v>523</v>
      </c>
      <c r="F1110" s="9" t="s">
        <v>539</v>
      </c>
      <c r="H1110" s="9" t="s">
        <v>540</v>
      </c>
      <c r="M1110" s="6" t="n">
        <v>3031.85</v>
      </c>
      <c r="P1110" s="46" t="n">
        <v>31503</v>
      </c>
      <c r="Q1110" s="1" t="n">
        <f aca="false">IF(OR($A1110="",P1110=""),"",ROUND(YEARFRAC(P1110,README!$C$5),1))</f>
        <v>40.4</v>
      </c>
      <c r="S1110" s="6" t="n">
        <v>4100</v>
      </c>
      <c r="T1110" s="6" t="n">
        <v>4100</v>
      </c>
      <c r="U1110" s="6" t="n">
        <v>4140</v>
      </c>
      <c r="V1110" s="6" t="n">
        <v>40</v>
      </c>
      <c r="W1110" s="6" t="n">
        <v>1</v>
      </c>
      <c r="Z1110" s="6" t="s">
        <v>3888</v>
      </c>
      <c r="AA1110" s="9" t="s">
        <v>528</v>
      </c>
      <c r="AE1110" s="37" t="n">
        <f aca="false">COUNTIF(環境認証!$A$2:$A$849,A1110)</f>
        <v>0</v>
      </c>
      <c r="AF1110" s="6" t="n">
        <v>1</v>
      </c>
      <c r="AG1110" s="6" t="n">
        <v>1</v>
      </c>
    </row>
    <row r="1111" customFormat="false" ht="15" hidden="false" customHeight="true" outlineLevel="0" collapsed="false">
      <c r="A1111" s="6" t="s">
        <v>3938</v>
      </c>
      <c r="B1111" s="6" t="s">
        <v>440</v>
      </c>
      <c r="C1111" s="9" t="s">
        <v>3939</v>
      </c>
      <c r="D1111" s="9" t="s">
        <v>522</v>
      </c>
      <c r="E1111" s="9" t="s">
        <v>523</v>
      </c>
      <c r="F1111" s="9" t="s">
        <v>524</v>
      </c>
      <c r="H1111" s="9" t="s">
        <v>525</v>
      </c>
      <c r="M1111" s="6" t="n">
        <v>5380.17</v>
      </c>
      <c r="P1111" s="46" t="n">
        <v>40452</v>
      </c>
      <c r="Q1111" s="1" t="n">
        <f aca="false">IF(OR($A1111="",P1111=""),"",ROUND(YEARFRAC(P1111,README!$C$5),1))</f>
        <v>15.9</v>
      </c>
      <c r="S1111" s="6" t="n">
        <v>12600</v>
      </c>
      <c r="T1111" s="6" t="n">
        <v>12449</v>
      </c>
      <c r="U1111" s="6" t="n">
        <v>12900</v>
      </c>
      <c r="V1111" s="6" t="n">
        <v>451</v>
      </c>
      <c r="W1111" s="6" t="n">
        <v>1</v>
      </c>
      <c r="Z1111" s="6" t="s">
        <v>3888</v>
      </c>
      <c r="AA1111" s="9" t="s">
        <v>528</v>
      </c>
      <c r="AE1111" s="37" t="n">
        <f aca="false">COUNTIF(環境認証!$A$2:$A$849,A1111)</f>
        <v>1</v>
      </c>
      <c r="AF1111" s="6" t="n">
        <v>3.6</v>
      </c>
      <c r="AG1111" s="6" t="n">
        <v>2.4</v>
      </c>
    </row>
    <row r="1112" customFormat="false" ht="15" hidden="false" customHeight="true" outlineLevel="0" collapsed="false">
      <c r="A1112" s="6" t="s">
        <v>3940</v>
      </c>
      <c r="B1112" s="6" t="s">
        <v>440</v>
      </c>
      <c r="C1112" s="9" t="s">
        <v>3941</v>
      </c>
      <c r="D1112" s="9" t="s">
        <v>522</v>
      </c>
      <c r="E1112" s="9" t="s">
        <v>523</v>
      </c>
      <c r="F1112" s="9" t="s">
        <v>1532</v>
      </c>
      <c r="H1112" s="9" t="s">
        <v>550</v>
      </c>
      <c r="M1112" s="6" t="n">
        <v>3958.37</v>
      </c>
      <c r="P1112" s="46" t="n">
        <v>29495</v>
      </c>
      <c r="Q1112" s="1" t="n">
        <f aca="false">IF(OR($A1112="",P1112=""),"",ROUND(YEARFRAC(P1112,README!$C$5),1))</f>
        <v>45.9</v>
      </c>
      <c r="S1112" s="6" t="n">
        <v>5150</v>
      </c>
      <c r="T1112" s="6" t="n">
        <v>5132</v>
      </c>
      <c r="U1112" s="6" t="n">
        <v>6310</v>
      </c>
      <c r="V1112" s="6" t="n">
        <v>1178</v>
      </c>
      <c r="W1112" s="6" t="n">
        <v>1</v>
      </c>
      <c r="Z1112" s="6" t="s">
        <v>3888</v>
      </c>
      <c r="AA1112" s="9" t="s">
        <v>528</v>
      </c>
      <c r="AE1112" s="37" t="n">
        <f aca="false">COUNTIF(環境認証!$A$2:$A$849,A1112)</f>
        <v>0</v>
      </c>
      <c r="AF1112" s="6" t="n">
        <v>23</v>
      </c>
      <c r="AG1112" s="6" t="n">
        <v>22.5</v>
      </c>
    </row>
    <row r="1113" customFormat="false" ht="15" hidden="false" customHeight="true" outlineLevel="0" collapsed="false">
      <c r="A1113" s="6" t="s">
        <v>3942</v>
      </c>
      <c r="B1113" s="6" t="s">
        <v>440</v>
      </c>
      <c r="C1113" s="9" t="s">
        <v>3943</v>
      </c>
      <c r="D1113" s="9" t="s">
        <v>522</v>
      </c>
      <c r="E1113" s="9" t="s">
        <v>523</v>
      </c>
      <c r="F1113" s="9" t="s">
        <v>2489</v>
      </c>
      <c r="H1113" s="9" t="s">
        <v>550</v>
      </c>
      <c r="M1113" s="6" t="n">
        <v>3768</v>
      </c>
      <c r="P1113" s="46" t="n">
        <v>39845</v>
      </c>
      <c r="Q1113" s="1" t="n">
        <f aca="false">IF(OR($A1113="",P1113=""),"",ROUND(YEARFRAC(P1113,README!$C$5),1))</f>
        <v>17.5</v>
      </c>
      <c r="S1113" s="6" t="n">
        <v>4900</v>
      </c>
      <c r="T1113" s="6" t="n">
        <v>4712</v>
      </c>
      <c r="U1113" s="6" t="n">
        <v>5220</v>
      </c>
      <c r="V1113" s="6" t="n">
        <v>508</v>
      </c>
      <c r="W1113" s="6" t="n">
        <v>1</v>
      </c>
      <c r="Z1113" s="6" t="s">
        <v>3888</v>
      </c>
      <c r="AA1113" s="9" t="s">
        <v>528</v>
      </c>
      <c r="AE1113" s="37" t="n">
        <f aca="false">COUNTIF(環境認証!$A$2:$A$849,A1113)</f>
        <v>2</v>
      </c>
      <c r="AF1113" s="6" t="n">
        <v>10.8</v>
      </c>
      <c r="AG1113" s="6" t="n">
        <v>6.5</v>
      </c>
    </row>
    <row r="1114" customFormat="false" ht="15" hidden="false" customHeight="true" outlineLevel="0" collapsed="false">
      <c r="A1114" s="6" t="s">
        <v>3944</v>
      </c>
      <c r="B1114" s="6" t="s">
        <v>440</v>
      </c>
      <c r="C1114" s="9" t="s">
        <v>3945</v>
      </c>
      <c r="D1114" s="9" t="s">
        <v>522</v>
      </c>
      <c r="E1114" s="9" t="s">
        <v>1363</v>
      </c>
      <c r="F1114" s="9" t="s">
        <v>1364</v>
      </c>
      <c r="H1114" s="9" t="s">
        <v>569</v>
      </c>
      <c r="M1114" s="6" t="n">
        <v>5126.08</v>
      </c>
      <c r="P1114" s="46" t="n">
        <v>33147</v>
      </c>
      <c r="Q1114" s="1" t="n">
        <f aca="false">IF(OR($A1114="",P1114=""),"",ROUND(YEARFRAC(P1114,README!$C$5),1))</f>
        <v>35.9</v>
      </c>
      <c r="S1114" s="6" t="n">
        <v>6710</v>
      </c>
      <c r="T1114" s="6" t="n">
        <v>6828</v>
      </c>
      <c r="U1114" s="6" t="n">
        <v>6980</v>
      </c>
      <c r="V1114" s="6" t="n">
        <v>152</v>
      </c>
      <c r="W1114" s="6" t="n">
        <v>1</v>
      </c>
      <c r="Z1114" s="6" t="s">
        <v>3888</v>
      </c>
      <c r="AA1114" s="9" t="s">
        <v>528</v>
      </c>
      <c r="AE1114" s="37" t="n">
        <f aca="false">COUNTIF(環境認証!$A$2:$A$849,A1114)</f>
        <v>0</v>
      </c>
      <c r="AF1114" s="6" t="n">
        <v>2.2</v>
      </c>
      <c r="AG1114" s="6" t="n">
        <v>4</v>
      </c>
    </row>
    <row r="1115" customFormat="false" ht="15" hidden="false" customHeight="true" outlineLevel="0" collapsed="false">
      <c r="A1115" s="6" t="s">
        <v>3946</v>
      </c>
      <c r="B1115" s="6" t="s">
        <v>440</v>
      </c>
      <c r="C1115" s="9" t="s">
        <v>3947</v>
      </c>
      <c r="D1115" s="9" t="s">
        <v>522</v>
      </c>
      <c r="E1115" s="9" t="s">
        <v>523</v>
      </c>
      <c r="F1115" s="9" t="s">
        <v>625</v>
      </c>
      <c r="H1115" s="9" t="s">
        <v>540</v>
      </c>
      <c r="M1115" s="6" t="n">
        <v>4246.19</v>
      </c>
      <c r="P1115" s="46" t="n">
        <v>31533</v>
      </c>
      <c r="Q1115" s="1" t="n">
        <f aca="false">IF(OR($A1115="",P1115=""),"",ROUND(YEARFRAC(P1115,README!$C$5),1))</f>
        <v>40.3</v>
      </c>
      <c r="S1115" s="6" t="n">
        <v>6162</v>
      </c>
      <c r="T1115" s="6" t="n">
        <v>6229</v>
      </c>
      <c r="U1115" s="6" t="n">
        <v>6360</v>
      </c>
      <c r="V1115" s="6" t="n">
        <v>131</v>
      </c>
      <c r="W1115" s="6" t="n">
        <v>1</v>
      </c>
      <c r="Z1115" s="6" t="s">
        <v>3888</v>
      </c>
      <c r="AA1115" s="9" t="s">
        <v>528</v>
      </c>
      <c r="AE1115" s="37" t="n">
        <f aca="false">COUNTIF(環境認証!$A$2:$A$849,A1115)</f>
        <v>0</v>
      </c>
      <c r="AF1115" s="6" t="n">
        <v>2.1</v>
      </c>
      <c r="AG1115" s="6" t="n">
        <v>3.2</v>
      </c>
    </row>
    <row r="1116" customFormat="false" ht="15" hidden="false" customHeight="true" outlineLevel="0" collapsed="false">
      <c r="A1116" s="6" t="s">
        <v>3948</v>
      </c>
      <c r="B1116" s="6" t="s">
        <v>440</v>
      </c>
      <c r="C1116" s="9" t="s">
        <v>3949</v>
      </c>
      <c r="D1116" s="9" t="s">
        <v>522</v>
      </c>
      <c r="E1116" s="9" t="s">
        <v>523</v>
      </c>
      <c r="F1116" s="9" t="s">
        <v>2126</v>
      </c>
      <c r="H1116" s="9" t="s">
        <v>540</v>
      </c>
      <c r="M1116" s="6" t="n">
        <v>3695.59</v>
      </c>
      <c r="P1116" s="46" t="n">
        <v>43831</v>
      </c>
      <c r="Q1116" s="1" t="n">
        <f aca="false">IF(OR($A1116="",P1116=""),"",ROUND(YEARFRAC(P1116,README!$C$5),1))</f>
        <v>6.6</v>
      </c>
      <c r="S1116" s="6" t="n">
        <v>5300</v>
      </c>
      <c r="T1116" s="6" t="n">
        <v>5217</v>
      </c>
      <c r="U1116" s="6" t="n">
        <v>5450</v>
      </c>
      <c r="V1116" s="6" t="n">
        <v>233</v>
      </c>
      <c r="W1116" s="6" t="n">
        <v>1</v>
      </c>
      <c r="Z1116" s="6" t="s">
        <v>3888</v>
      </c>
      <c r="AA1116" s="9" t="s">
        <v>528</v>
      </c>
      <c r="AE1116" s="37" t="n">
        <f aca="false">COUNTIF(環境認証!$A$2:$A$849,A1116)</f>
        <v>1</v>
      </c>
      <c r="AF1116" s="6" t="n">
        <v>4.5</v>
      </c>
      <c r="AG1116" s="6" t="n">
        <v>2.8</v>
      </c>
    </row>
    <row r="1117" customFormat="false" ht="15" hidden="false" customHeight="true" outlineLevel="0" collapsed="false">
      <c r="A1117" s="6" t="s">
        <v>3950</v>
      </c>
      <c r="B1117" s="6" t="s">
        <v>440</v>
      </c>
      <c r="C1117" s="9" t="s">
        <v>3951</v>
      </c>
      <c r="D1117" s="9" t="s">
        <v>522</v>
      </c>
      <c r="E1117" s="9" t="s">
        <v>523</v>
      </c>
      <c r="F1117" s="9" t="s">
        <v>666</v>
      </c>
      <c r="H1117" s="9" t="s">
        <v>525</v>
      </c>
      <c r="M1117" s="6" t="n">
        <v>7781.3</v>
      </c>
      <c r="P1117" s="46" t="n">
        <v>34455</v>
      </c>
      <c r="Q1117" s="1" t="n">
        <f aca="false">IF(OR($A1117="",P1117=""),"",ROUND(YEARFRAC(P1117,README!$C$5),1))</f>
        <v>32.3</v>
      </c>
      <c r="S1117" s="6" t="n">
        <v>10970</v>
      </c>
      <c r="T1117" s="6" t="n">
        <v>10969</v>
      </c>
      <c r="U1117" s="6" t="n">
        <v>11800</v>
      </c>
      <c r="V1117" s="6" t="n">
        <v>831</v>
      </c>
      <c r="W1117" s="6" t="n">
        <v>1</v>
      </c>
      <c r="Z1117" s="6" t="s">
        <v>3888</v>
      </c>
      <c r="AA1117" s="9" t="s">
        <v>528</v>
      </c>
      <c r="AE1117" s="37" t="n">
        <f aca="false">COUNTIF(環境認証!$A$2:$A$849,A1117)</f>
        <v>1</v>
      </c>
      <c r="AF1117" s="6" t="n">
        <v>7.6</v>
      </c>
      <c r="AG1117" s="6" t="n">
        <v>7.6</v>
      </c>
    </row>
    <row r="1118" customFormat="false" ht="15" hidden="false" customHeight="true" outlineLevel="0" collapsed="false">
      <c r="A1118" s="6" t="s">
        <v>3952</v>
      </c>
      <c r="B1118" s="6" t="s">
        <v>440</v>
      </c>
      <c r="C1118" s="9" t="s">
        <v>3953</v>
      </c>
      <c r="D1118" s="9" t="s">
        <v>522</v>
      </c>
      <c r="E1118" s="9" t="s">
        <v>523</v>
      </c>
      <c r="H1118" s="9" t="s">
        <v>540</v>
      </c>
      <c r="M1118" s="6" t="n">
        <v>1310.4</v>
      </c>
      <c r="P1118" s="46" t="n">
        <v>40909</v>
      </c>
      <c r="Q1118" s="1" t="n">
        <f aca="false">IF(OR($A1118="",P1118=""),"",ROUND(YEARFRAC(P1118,README!$C$5),1))</f>
        <v>14.6</v>
      </c>
      <c r="S1118" s="6" t="n">
        <v>1930</v>
      </c>
      <c r="T1118" s="6" t="n">
        <v>1928</v>
      </c>
      <c r="U1118" s="6" t="n">
        <v>1989</v>
      </c>
      <c r="V1118" s="6" t="n">
        <v>61</v>
      </c>
      <c r="W1118" s="6" t="n">
        <v>1</v>
      </c>
      <c r="Z1118" s="6" t="s">
        <v>3888</v>
      </c>
      <c r="AA1118" s="9" t="s">
        <v>528</v>
      </c>
      <c r="AE1118" s="37" t="n">
        <f aca="false">COUNTIF(環境認証!$A$2:$A$849,A1118)</f>
        <v>0</v>
      </c>
      <c r="AF1118" s="6" t="n">
        <v>3.2</v>
      </c>
      <c r="AG1118" s="6" t="n">
        <v>3.1</v>
      </c>
    </row>
    <row r="1119" customFormat="false" ht="15" hidden="false" customHeight="true" outlineLevel="0" collapsed="false">
      <c r="A1119" s="6" t="s">
        <v>3954</v>
      </c>
      <c r="B1119" s="6" t="s">
        <v>440</v>
      </c>
      <c r="C1119" s="9" t="s">
        <v>3955</v>
      </c>
      <c r="D1119" s="9" t="s">
        <v>522</v>
      </c>
      <c r="E1119" s="9" t="s">
        <v>523</v>
      </c>
      <c r="F1119" s="9" t="s">
        <v>543</v>
      </c>
      <c r="H1119" s="9" t="s">
        <v>540</v>
      </c>
      <c r="M1119" s="6" t="n">
        <v>2376.29</v>
      </c>
      <c r="P1119" s="46" t="n">
        <v>29068</v>
      </c>
      <c r="Q1119" s="1" t="n">
        <f aca="false">IF(OR($A1119="",P1119=""),"",ROUND(YEARFRAC(P1119,README!$C$5),1))</f>
        <v>47</v>
      </c>
      <c r="S1119" s="6" t="n">
        <v>3000</v>
      </c>
      <c r="T1119" s="6" t="n">
        <v>3018</v>
      </c>
      <c r="U1119" s="6" t="n">
        <v>3375</v>
      </c>
      <c r="V1119" s="6" t="n">
        <v>357</v>
      </c>
      <c r="W1119" s="6" t="n">
        <v>1</v>
      </c>
      <c r="Z1119" s="6" t="s">
        <v>3888</v>
      </c>
      <c r="AA1119" s="9" t="s">
        <v>528</v>
      </c>
      <c r="AE1119" s="37" t="n">
        <f aca="false">COUNTIF(環境認証!$A$2:$A$849,A1119)</f>
        <v>0</v>
      </c>
      <c r="AF1119" s="6" t="n">
        <v>11.8</v>
      </c>
      <c r="AG1119" s="6" t="n">
        <v>12.5</v>
      </c>
    </row>
    <row r="1120" customFormat="false" ht="15" hidden="false" customHeight="true" outlineLevel="0" collapsed="false">
      <c r="A1120" s="6" t="s">
        <v>3956</v>
      </c>
      <c r="B1120" s="6" t="s">
        <v>440</v>
      </c>
      <c r="C1120" s="9" t="s">
        <v>3957</v>
      </c>
      <c r="D1120" s="9" t="s">
        <v>522</v>
      </c>
      <c r="E1120" s="9" t="s">
        <v>523</v>
      </c>
      <c r="F1120" s="9" t="s">
        <v>806</v>
      </c>
      <c r="H1120" s="9" t="s">
        <v>525</v>
      </c>
      <c r="M1120" s="6" t="n">
        <v>2723.84</v>
      </c>
      <c r="P1120" s="46" t="n">
        <v>41913</v>
      </c>
      <c r="Q1120" s="1" t="n">
        <f aca="false">IF(OR($A1120="",P1120=""),"",ROUND(YEARFRAC(P1120,README!$C$5),1))</f>
        <v>11.9</v>
      </c>
      <c r="S1120" s="6" t="n">
        <v>26350</v>
      </c>
      <c r="T1120" s="6" t="n">
        <v>22455</v>
      </c>
      <c r="U1120" s="6" t="n">
        <v>28290</v>
      </c>
      <c r="V1120" s="6" t="n">
        <v>5835</v>
      </c>
      <c r="W1120" s="6" t="n">
        <v>1</v>
      </c>
      <c r="Z1120" s="6" t="s">
        <v>3888</v>
      </c>
      <c r="AA1120" s="9" t="s">
        <v>528</v>
      </c>
      <c r="AB1120" s="6" t="s">
        <v>3958</v>
      </c>
      <c r="AE1120" s="37" t="n">
        <f aca="false">COUNTIF(環境認証!$A$2:$A$849,A1120)</f>
        <v>0</v>
      </c>
      <c r="AF1120" s="6" t="n">
        <v>26</v>
      </c>
      <c r="AG1120" s="6" t="n">
        <v>7.4</v>
      </c>
    </row>
    <row r="1121" customFormat="false" ht="15" hidden="false" customHeight="true" outlineLevel="0" collapsed="false">
      <c r="A1121" s="6" t="s">
        <v>3959</v>
      </c>
      <c r="B1121" s="6" t="s">
        <v>440</v>
      </c>
      <c r="C1121" s="9" t="s">
        <v>3960</v>
      </c>
      <c r="D1121" s="9" t="s">
        <v>3519</v>
      </c>
      <c r="E1121" s="9" t="s">
        <v>523</v>
      </c>
      <c r="F1121" s="9" t="s">
        <v>625</v>
      </c>
      <c r="H1121" s="9" t="s">
        <v>540</v>
      </c>
      <c r="M1121" s="6" t="n">
        <v>14485.66</v>
      </c>
      <c r="P1121" s="46" t="n">
        <v>32752</v>
      </c>
      <c r="Q1121" s="1" t="n">
        <f aca="false">IF(OR($A1121="",P1121=""),"",ROUND(YEARFRAC(P1121,README!$C$5),1))</f>
        <v>36.9</v>
      </c>
      <c r="S1121" s="6" t="n">
        <v>9456</v>
      </c>
      <c r="T1121" s="6" t="n">
        <v>9438</v>
      </c>
      <c r="U1121" s="6" t="n">
        <v>12100</v>
      </c>
      <c r="V1121" s="6" t="n">
        <v>2662</v>
      </c>
      <c r="W1121" s="6" t="n">
        <v>1</v>
      </c>
      <c r="Z1121" s="6" t="s">
        <v>3888</v>
      </c>
      <c r="AA1121" s="9" t="s">
        <v>528</v>
      </c>
      <c r="AE1121" s="37" t="n">
        <f aca="false">COUNTIF(環境認証!$A$2:$A$849,A1121)</f>
        <v>2</v>
      </c>
      <c r="AF1121" s="6" t="n">
        <v>28.2</v>
      </c>
      <c r="AG1121" s="6" t="n">
        <v>28</v>
      </c>
    </row>
    <row r="1122" customFormat="false" ht="15" hidden="false" customHeight="true" outlineLevel="0" collapsed="false">
      <c r="A1122" s="6" t="s">
        <v>3961</v>
      </c>
      <c r="B1122" s="6" t="s">
        <v>440</v>
      </c>
      <c r="C1122" s="9" t="s">
        <v>3962</v>
      </c>
      <c r="D1122" s="9" t="s">
        <v>3519</v>
      </c>
      <c r="E1122" s="9" t="s">
        <v>523</v>
      </c>
      <c r="F1122" s="9" t="s">
        <v>625</v>
      </c>
      <c r="H1122" s="9" t="s">
        <v>540</v>
      </c>
      <c r="M1122" s="6" t="n">
        <v>10612.67</v>
      </c>
      <c r="P1122" s="46" t="n">
        <v>32752</v>
      </c>
      <c r="Q1122" s="1" t="n">
        <f aca="false">IF(OR($A1122="",P1122=""),"",ROUND(YEARFRAC(P1122,README!$C$5),1))</f>
        <v>36.9</v>
      </c>
      <c r="S1122" s="6" t="n">
        <v>6166</v>
      </c>
      <c r="T1122" s="6" t="n">
        <v>6338</v>
      </c>
      <c r="U1122" s="6" t="n">
        <v>7240</v>
      </c>
      <c r="V1122" s="6" t="n">
        <v>902</v>
      </c>
      <c r="W1122" s="6" t="n">
        <v>1</v>
      </c>
      <c r="Z1122" s="6" t="s">
        <v>3888</v>
      </c>
      <c r="AA1122" s="9" t="s">
        <v>528</v>
      </c>
      <c r="AE1122" s="37" t="n">
        <f aca="false">COUNTIF(環境認証!$A$2:$A$849,A1122)</f>
        <v>2</v>
      </c>
      <c r="AF1122" s="6" t="n">
        <v>14.2</v>
      </c>
      <c r="AG1122" s="6" t="n">
        <v>17.4</v>
      </c>
    </row>
    <row r="1123" customFormat="false" ht="15" hidden="false" customHeight="true" outlineLevel="0" collapsed="false">
      <c r="A1123" s="6" t="s">
        <v>3963</v>
      </c>
      <c r="B1123" s="6" t="s">
        <v>440</v>
      </c>
      <c r="C1123" s="9" t="s">
        <v>3964</v>
      </c>
      <c r="D1123" s="9" t="s">
        <v>3519</v>
      </c>
      <c r="E1123" s="9" t="s">
        <v>523</v>
      </c>
      <c r="F1123" s="9" t="s">
        <v>648</v>
      </c>
      <c r="H1123" s="9" t="s">
        <v>525</v>
      </c>
      <c r="M1123" s="6" t="n">
        <v>1660.6</v>
      </c>
      <c r="P1123" s="46" t="n">
        <v>36770</v>
      </c>
      <c r="Q1123" s="1" t="n">
        <f aca="false">IF(OR($A1123="",P1123=""),"",ROUND(YEARFRAC(P1123,README!$C$5),1))</f>
        <v>25.9</v>
      </c>
      <c r="S1123" s="6" t="n">
        <v>2660</v>
      </c>
      <c r="T1123" s="6" t="n">
        <v>2692</v>
      </c>
      <c r="U1123" s="6" t="n">
        <v>3600</v>
      </c>
      <c r="V1123" s="6" t="n">
        <v>908</v>
      </c>
      <c r="W1123" s="6" t="n">
        <v>1</v>
      </c>
      <c r="Z1123" s="6" t="s">
        <v>3888</v>
      </c>
      <c r="AA1123" s="9" t="s">
        <v>528</v>
      </c>
      <c r="AE1123" s="37" t="n">
        <f aca="false">COUNTIF(環境認証!$A$2:$A$849,A1123)</f>
        <v>1</v>
      </c>
      <c r="AF1123" s="6" t="n">
        <v>33.7</v>
      </c>
      <c r="AG1123" s="6" t="n">
        <v>35.3</v>
      </c>
    </row>
    <row r="1124" customFormat="false" ht="15" hidden="false" customHeight="true" outlineLevel="0" collapsed="false">
      <c r="A1124" s="6" t="s">
        <v>3965</v>
      </c>
      <c r="B1124" s="6" t="s">
        <v>440</v>
      </c>
      <c r="C1124" s="9" t="s">
        <v>3966</v>
      </c>
      <c r="D1124" s="9" t="s">
        <v>3519</v>
      </c>
      <c r="E1124" s="9" t="s">
        <v>523</v>
      </c>
      <c r="F1124" s="9" t="s">
        <v>1462</v>
      </c>
      <c r="H1124" s="9" t="s">
        <v>540</v>
      </c>
      <c r="M1124" s="6" t="n">
        <v>1676.02</v>
      </c>
      <c r="P1124" s="46" t="n">
        <v>33086</v>
      </c>
      <c r="Q1124" s="1" t="n">
        <f aca="false">IF(OR($A1124="",P1124=""),"",ROUND(YEARFRAC(P1124,README!$C$5),1))</f>
        <v>36</v>
      </c>
      <c r="S1124" s="6" t="n">
        <v>1200</v>
      </c>
      <c r="T1124" s="6" t="n">
        <v>1181</v>
      </c>
      <c r="U1124" s="6" t="n">
        <v>1460</v>
      </c>
      <c r="V1124" s="6" t="n">
        <v>279</v>
      </c>
      <c r="W1124" s="6" t="n">
        <v>1</v>
      </c>
      <c r="Z1124" s="6" t="s">
        <v>3888</v>
      </c>
      <c r="AA1124" s="9" t="s">
        <v>528</v>
      </c>
      <c r="AE1124" s="37" t="n">
        <f aca="false">COUNTIF(環境認証!$A$2:$A$849,A1124)</f>
        <v>0</v>
      </c>
      <c r="AF1124" s="6" t="n">
        <v>23.6</v>
      </c>
      <c r="AG1124" s="6" t="n">
        <v>21.7</v>
      </c>
    </row>
    <row r="1125" customFormat="false" ht="15" hidden="false" customHeight="true" outlineLevel="0" collapsed="false">
      <c r="A1125" s="6" t="s">
        <v>3967</v>
      </c>
      <c r="B1125" s="6" t="s">
        <v>440</v>
      </c>
      <c r="C1125" s="6" t="s">
        <v>3968</v>
      </c>
      <c r="D1125" s="9" t="s">
        <v>3519</v>
      </c>
      <c r="E1125" s="9" t="s">
        <v>523</v>
      </c>
      <c r="F1125" s="9" t="s">
        <v>648</v>
      </c>
      <c r="H1125" s="9" t="s">
        <v>525</v>
      </c>
      <c r="M1125" s="6" t="n">
        <v>898.62</v>
      </c>
      <c r="P1125" s="46" t="n">
        <v>42826</v>
      </c>
      <c r="Q1125" s="1" t="n">
        <f aca="false">IF(OR($A1125="",P1125=""),"",ROUND(YEARFRAC(P1125,README!$C$5),1))</f>
        <v>9.4</v>
      </c>
      <c r="S1125" s="6" t="n">
        <v>3150</v>
      </c>
      <c r="T1125" s="6" t="n">
        <v>3018</v>
      </c>
      <c r="U1125" s="6" t="n">
        <v>3655</v>
      </c>
      <c r="V1125" s="6" t="n">
        <v>637</v>
      </c>
      <c r="W1125" s="6" t="n">
        <v>1</v>
      </c>
      <c r="Z1125" s="6" t="s">
        <v>3888</v>
      </c>
      <c r="AA1125" s="9" t="s">
        <v>528</v>
      </c>
      <c r="AE1125" s="37" t="n">
        <f aca="false">COUNTIF(環境認証!$A$2:$A$849,A1125)</f>
        <v>2</v>
      </c>
      <c r="AF1125" s="6" t="n">
        <v>21.1</v>
      </c>
      <c r="AG1125" s="6" t="n">
        <v>16</v>
      </c>
    </row>
    <row r="1126" customFormat="false" ht="15" hidden="false" customHeight="true" outlineLevel="0" collapsed="false">
      <c r="A1126" s="6" t="s">
        <v>3969</v>
      </c>
      <c r="B1126" s="6" t="s">
        <v>440</v>
      </c>
      <c r="C1126" s="6" t="s">
        <v>3970</v>
      </c>
      <c r="D1126" s="9" t="s">
        <v>3519</v>
      </c>
      <c r="E1126" s="9" t="s">
        <v>523</v>
      </c>
      <c r="F1126" s="9" t="s">
        <v>532</v>
      </c>
      <c r="H1126" s="9" t="s">
        <v>525</v>
      </c>
      <c r="M1126" s="6" t="n">
        <v>1725.35</v>
      </c>
      <c r="P1126" s="46" t="n">
        <v>42826</v>
      </c>
      <c r="Q1126" s="1" t="n">
        <f aca="false">IF(OR($A1126="",P1126=""),"",ROUND(YEARFRAC(P1126,README!$C$5),1))</f>
        <v>9.4</v>
      </c>
      <c r="S1126" s="6" t="n">
        <v>3100</v>
      </c>
      <c r="T1126" s="6" t="n">
        <v>2904</v>
      </c>
      <c r="U1126" s="6" t="n">
        <v>3440</v>
      </c>
      <c r="V1126" s="6" t="n">
        <v>536</v>
      </c>
      <c r="W1126" s="6" t="n">
        <v>1</v>
      </c>
      <c r="Z1126" s="6" t="s">
        <v>3888</v>
      </c>
      <c r="AA1126" s="9" t="s">
        <v>528</v>
      </c>
      <c r="AE1126" s="37" t="n">
        <f aca="false">COUNTIF(環境認証!$A$2:$A$849,A1126)</f>
        <v>0</v>
      </c>
      <c r="AF1126" s="6" t="n">
        <v>18.5</v>
      </c>
      <c r="AG1126" s="6" t="n">
        <v>11</v>
      </c>
    </row>
    <row r="1127" customFormat="false" ht="15" hidden="false" customHeight="true" outlineLevel="0" collapsed="false">
      <c r="A1127" s="6" t="s">
        <v>3971</v>
      </c>
      <c r="B1127" s="6" t="s">
        <v>440</v>
      </c>
      <c r="C1127" s="9" t="s">
        <v>3972</v>
      </c>
      <c r="D1127" s="9" t="s">
        <v>3519</v>
      </c>
      <c r="E1127" s="9" t="s">
        <v>523</v>
      </c>
      <c r="F1127" s="9" t="s">
        <v>1926</v>
      </c>
      <c r="H1127" s="9" t="s">
        <v>540</v>
      </c>
      <c r="M1127" s="6" t="n">
        <v>11528.34</v>
      </c>
      <c r="P1127" s="46" t="n">
        <v>42309</v>
      </c>
      <c r="Q1127" s="1" t="n">
        <f aca="false">IF(OR($A1127="",P1127=""),"",ROUND(YEARFRAC(P1127,README!$C$5),1))</f>
        <v>10.8</v>
      </c>
      <c r="S1127" s="6" t="n">
        <v>7556</v>
      </c>
      <c r="T1127" s="6" t="n">
        <v>6926</v>
      </c>
      <c r="U1127" s="6" t="n">
        <v>7690</v>
      </c>
      <c r="V1127" s="6" t="n">
        <v>764</v>
      </c>
      <c r="W1127" s="6" t="n">
        <v>1</v>
      </c>
      <c r="Z1127" s="6" t="s">
        <v>3888</v>
      </c>
      <c r="AA1127" s="9" t="s">
        <v>528</v>
      </c>
      <c r="AE1127" s="37" t="n">
        <f aca="false">COUNTIF(環境認証!$A$2:$A$849,A1127)</f>
        <v>1</v>
      </c>
      <c r="AF1127" s="6" t="n">
        <v>11</v>
      </c>
      <c r="AG1127" s="6" t="n">
        <v>1.8</v>
      </c>
    </row>
    <row r="1128" customFormat="false" ht="15" hidden="false" customHeight="true" outlineLevel="0" collapsed="false">
      <c r="A1128" s="6" t="s">
        <v>3973</v>
      </c>
      <c r="B1128" s="6" t="s">
        <v>440</v>
      </c>
      <c r="C1128" s="9" t="s">
        <v>3974</v>
      </c>
      <c r="D1128" s="9" t="s">
        <v>3519</v>
      </c>
      <c r="E1128" s="9" t="s">
        <v>523</v>
      </c>
      <c r="H1128" s="9" t="s">
        <v>540</v>
      </c>
      <c r="M1128" s="6" t="n">
        <v>3805.72</v>
      </c>
      <c r="P1128" s="46" t="n">
        <v>43374</v>
      </c>
      <c r="Q1128" s="1" t="n">
        <f aca="false">IF(OR($A1128="",P1128=""),"",ROUND(YEARFRAC(P1128,README!$C$5),1))</f>
        <v>7.9</v>
      </c>
      <c r="S1128" s="6" t="n">
        <v>5670</v>
      </c>
      <c r="T1128" s="6" t="n">
        <v>5485</v>
      </c>
      <c r="U1128" s="6" t="n">
        <v>6610</v>
      </c>
      <c r="V1128" s="6" t="n">
        <v>1125</v>
      </c>
      <c r="W1128" s="6" t="n">
        <v>1</v>
      </c>
      <c r="Z1128" s="6" t="s">
        <v>3888</v>
      </c>
      <c r="AA1128" s="9" t="s">
        <v>528</v>
      </c>
      <c r="AE1128" s="37" t="n">
        <f aca="false">COUNTIF(環境認証!$A$2:$A$849,A1128)</f>
        <v>2</v>
      </c>
      <c r="AF1128" s="6" t="n">
        <v>20.5</v>
      </c>
      <c r="AG1128" s="6" t="n">
        <v>16.6</v>
      </c>
    </row>
    <row r="1129" customFormat="false" ht="15" hidden="false" customHeight="true" outlineLevel="0" collapsed="false">
      <c r="A1129" s="6" t="s">
        <v>3975</v>
      </c>
      <c r="B1129" s="6" t="s">
        <v>440</v>
      </c>
      <c r="C1129" s="9" t="s">
        <v>3976</v>
      </c>
      <c r="D1129" s="9" t="s">
        <v>1316</v>
      </c>
      <c r="E1129" s="9" t="s">
        <v>523</v>
      </c>
      <c r="F1129" s="9" t="s">
        <v>666</v>
      </c>
      <c r="H1129" s="9" t="s">
        <v>525</v>
      </c>
      <c r="M1129" s="6" t="n">
        <v>6984.32</v>
      </c>
      <c r="P1129" s="46" t="n">
        <v>42583</v>
      </c>
      <c r="Q1129" s="1" t="n">
        <f aca="false">IF(OR($A1129="",P1129=""),"",ROUND(YEARFRAC(P1129,README!$C$5),1))</f>
        <v>10</v>
      </c>
      <c r="S1129" s="6" t="n">
        <v>11520</v>
      </c>
      <c r="T1129" s="6" t="n">
        <v>11142</v>
      </c>
      <c r="U1129" s="6" t="n">
        <v>15600</v>
      </c>
      <c r="V1129" s="6" t="n">
        <v>4458</v>
      </c>
      <c r="W1129" s="6" t="n">
        <v>1</v>
      </c>
      <c r="Z1129" s="6" t="s">
        <v>3888</v>
      </c>
      <c r="AA1129" s="9" t="s">
        <v>528</v>
      </c>
      <c r="AE1129" s="37" t="n">
        <f aca="false">COUNTIF(環境認証!$A$2:$A$849,A1129)</f>
        <v>0</v>
      </c>
      <c r="AF1129" s="6" t="n">
        <v>40</v>
      </c>
      <c r="AG1129" s="6" t="n">
        <v>35.4</v>
      </c>
    </row>
    <row r="1130" customFormat="false" ht="15" hidden="false" customHeight="true" outlineLevel="0" collapsed="false">
      <c r="A1130" s="6" t="s">
        <v>3977</v>
      </c>
      <c r="B1130" s="6" t="s">
        <v>440</v>
      </c>
      <c r="C1130" s="9" t="s">
        <v>3978</v>
      </c>
      <c r="D1130" s="9" t="s">
        <v>1316</v>
      </c>
      <c r="E1130" s="9" t="s">
        <v>523</v>
      </c>
      <c r="F1130" s="9" t="s">
        <v>532</v>
      </c>
      <c r="H1130" s="9" t="s">
        <v>525</v>
      </c>
      <c r="M1130" s="6" t="n">
        <v>4816.89</v>
      </c>
      <c r="P1130" s="46" t="n">
        <v>42948</v>
      </c>
      <c r="Q1130" s="1" t="n">
        <f aca="false">IF(OR($A1130="",P1130=""),"",ROUND(YEARFRAC(P1130,README!$C$5),1))</f>
        <v>9</v>
      </c>
      <c r="S1130" s="6" t="n">
        <v>9950</v>
      </c>
      <c r="T1130" s="6" t="n">
        <v>9576</v>
      </c>
      <c r="U1130" s="6" t="n">
        <v>11100</v>
      </c>
      <c r="V1130" s="6" t="n">
        <v>1524</v>
      </c>
      <c r="W1130" s="6" t="n">
        <v>1</v>
      </c>
      <c r="Z1130" s="6" t="s">
        <v>3888</v>
      </c>
      <c r="AA1130" s="9" t="s">
        <v>528</v>
      </c>
      <c r="AE1130" s="37" t="n">
        <f aca="false">COUNTIF(環境認証!$A$2:$A$849,A1130)</f>
        <v>0</v>
      </c>
      <c r="AF1130" s="6" t="n">
        <v>15.9</v>
      </c>
      <c r="AG1130" s="6" t="n">
        <v>11.6</v>
      </c>
    </row>
    <row r="1131" customFormat="false" ht="15" hidden="false" customHeight="true" outlineLevel="0" collapsed="false">
      <c r="A1131" s="6" t="s">
        <v>3979</v>
      </c>
      <c r="B1131" s="6" t="s">
        <v>440</v>
      </c>
      <c r="C1131" s="9" t="s">
        <v>3980</v>
      </c>
      <c r="D1131" s="9" t="s">
        <v>1316</v>
      </c>
      <c r="E1131" s="9" t="s">
        <v>523</v>
      </c>
      <c r="F1131" s="9" t="s">
        <v>666</v>
      </c>
      <c r="H1131" s="9" t="s">
        <v>525</v>
      </c>
      <c r="M1131" s="6" t="n">
        <v>4740.31</v>
      </c>
      <c r="P1131" s="46" t="n">
        <v>43405</v>
      </c>
      <c r="Q1131" s="1" t="n">
        <f aca="false">IF(OR($A1131="",P1131=""),"",ROUND(YEARFRAC(P1131,README!$C$5),1))</f>
        <v>7.8</v>
      </c>
      <c r="S1131" s="6" t="n">
        <v>6972</v>
      </c>
      <c r="T1131" s="6" t="n">
        <v>6664</v>
      </c>
      <c r="U1131" s="6" t="n">
        <v>7350</v>
      </c>
      <c r="V1131" s="6" t="n">
        <v>686</v>
      </c>
      <c r="W1131" s="6" t="n">
        <v>1</v>
      </c>
      <c r="Z1131" s="6" t="s">
        <v>3888</v>
      </c>
      <c r="AA1131" s="9" t="s">
        <v>528</v>
      </c>
      <c r="AE1131" s="37" t="n">
        <f aca="false">COUNTIF(環境認証!$A$2:$A$849,A1131)</f>
        <v>0</v>
      </c>
      <c r="AF1131" s="6" t="n">
        <v>10.3</v>
      </c>
      <c r="AG1131" s="6" t="n">
        <v>5.4</v>
      </c>
    </row>
    <row r="1132" customFormat="false" ht="15" hidden="false" customHeight="true" outlineLevel="0" collapsed="false">
      <c r="A1132" s="6" t="s">
        <v>3981</v>
      </c>
      <c r="B1132" s="6" t="s">
        <v>440</v>
      </c>
      <c r="C1132" s="9" t="s">
        <v>3982</v>
      </c>
      <c r="D1132" s="9" t="s">
        <v>1316</v>
      </c>
      <c r="E1132" s="9" t="s">
        <v>523</v>
      </c>
      <c r="F1132" s="9" t="s">
        <v>539</v>
      </c>
      <c r="H1132" s="9" t="s">
        <v>540</v>
      </c>
      <c r="M1132" s="6" t="n">
        <v>6493.82</v>
      </c>
      <c r="P1132" s="46" t="n">
        <v>41091</v>
      </c>
      <c r="Q1132" s="1" t="n">
        <f aca="false">IF(OR($A1132="",P1132=""),"",ROUND(YEARFRAC(P1132,README!$C$5),1))</f>
        <v>14.1</v>
      </c>
      <c r="S1132" s="6" t="n">
        <v>5900</v>
      </c>
      <c r="T1132" s="6" t="n">
        <v>5852</v>
      </c>
      <c r="U1132" s="6" t="n">
        <v>6340</v>
      </c>
      <c r="V1132" s="6" t="n">
        <v>488</v>
      </c>
      <c r="W1132" s="6" t="n">
        <v>1</v>
      </c>
      <c r="Z1132" s="6" t="s">
        <v>3888</v>
      </c>
      <c r="AA1132" s="9" t="s">
        <v>528</v>
      </c>
      <c r="AE1132" s="37" t="n">
        <f aca="false">COUNTIF(環境認証!$A$2:$A$849,A1132)</f>
        <v>1</v>
      </c>
      <c r="AF1132" s="6" t="n">
        <v>8.3</v>
      </c>
      <c r="AG1132" s="6" t="n">
        <v>7.5</v>
      </c>
    </row>
    <row r="1133" customFormat="false" ht="15" hidden="false" customHeight="true" outlineLevel="0" collapsed="false">
      <c r="A1133" s="6" t="s">
        <v>3983</v>
      </c>
      <c r="B1133" s="6" t="s">
        <v>440</v>
      </c>
      <c r="C1133" s="9" t="s">
        <v>3984</v>
      </c>
      <c r="D1133" s="9" t="s">
        <v>1316</v>
      </c>
      <c r="E1133" s="9" t="s">
        <v>560</v>
      </c>
      <c r="F1133" s="9" t="s">
        <v>3985</v>
      </c>
      <c r="H1133" s="9" t="s">
        <v>550</v>
      </c>
      <c r="M1133" s="6" t="n">
        <v>33744.31</v>
      </c>
      <c r="P1133" s="46" t="n">
        <v>32933</v>
      </c>
      <c r="Q1133" s="1" t="n">
        <f aca="false">IF(OR($A1133="",P1133=""),"",ROUND(YEARFRAC(P1133,README!$C$5),1))</f>
        <v>36.4</v>
      </c>
      <c r="S1133" s="6" t="n">
        <v>27000</v>
      </c>
      <c r="T1133" s="6" t="n">
        <v>27038</v>
      </c>
      <c r="U1133" s="6" t="n">
        <v>30050</v>
      </c>
      <c r="V1133" s="6" t="n">
        <v>3012</v>
      </c>
      <c r="W1133" s="6" t="n">
        <v>1</v>
      </c>
      <c r="Z1133" s="6" t="s">
        <v>3888</v>
      </c>
      <c r="AA1133" s="9" t="s">
        <v>528</v>
      </c>
      <c r="AB1133" s="9" t="s">
        <v>3986</v>
      </c>
      <c r="AE1133" s="37" t="n">
        <f aca="false">COUNTIF(環境認証!$A$2:$A$849,A1133)</f>
        <v>0</v>
      </c>
      <c r="AF1133" s="6" t="n">
        <v>11.1</v>
      </c>
      <c r="AG1133" s="6" t="n">
        <v>11.3</v>
      </c>
    </row>
    <row r="1134" customFormat="false" ht="15" hidden="false" customHeight="true" outlineLevel="0" collapsed="false">
      <c r="A1134" s="6" t="s">
        <v>3987</v>
      </c>
      <c r="B1134" s="6" t="s">
        <v>440</v>
      </c>
      <c r="C1134" s="9" t="s">
        <v>3988</v>
      </c>
      <c r="D1134" s="9" t="s">
        <v>1316</v>
      </c>
      <c r="E1134" s="9" t="s">
        <v>523</v>
      </c>
      <c r="F1134" s="9" t="s">
        <v>539</v>
      </c>
      <c r="H1134" s="9" t="s">
        <v>540</v>
      </c>
      <c r="M1134" s="6" t="n">
        <v>49360.52</v>
      </c>
      <c r="P1134" s="46" t="n">
        <v>31229</v>
      </c>
      <c r="Q1134" s="1" t="n">
        <f aca="false">IF(OR($A1134="",P1134=""),"",ROUND(YEARFRAC(P1134,README!$C$5),1))</f>
        <v>41.1</v>
      </c>
      <c r="S1134" s="6" t="n">
        <v>38000</v>
      </c>
      <c r="T1134" s="6" t="n">
        <v>31977</v>
      </c>
      <c r="U1134" s="6" t="n">
        <v>42000</v>
      </c>
      <c r="V1134" s="6" t="n">
        <v>10023</v>
      </c>
      <c r="W1134" s="6" t="n">
        <v>1</v>
      </c>
      <c r="Z1134" s="6" t="s">
        <v>3888</v>
      </c>
      <c r="AA1134" s="9" t="s">
        <v>528</v>
      </c>
      <c r="AB1134" s="6" t="s">
        <v>3989</v>
      </c>
      <c r="AE1134" s="37" t="n">
        <f aca="false">COUNTIF(環境認証!$A$2:$A$849,A1134)</f>
        <v>0</v>
      </c>
      <c r="AF1134" s="6" t="n">
        <v>31.3</v>
      </c>
      <c r="AG1134" s="6" t="n">
        <v>10.5</v>
      </c>
    </row>
    <row r="1135" customFormat="false" ht="15" hidden="false" customHeight="true" outlineLevel="0" collapsed="false">
      <c r="A1135" s="6" t="s">
        <v>3990</v>
      </c>
      <c r="B1135" s="6" t="s">
        <v>440</v>
      </c>
      <c r="C1135" s="9" t="s">
        <v>3991</v>
      </c>
      <c r="D1135" s="9" t="s">
        <v>3761</v>
      </c>
      <c r="E1135" s="9" t="s">
        <v>523</v>
      </c>
      <c r="F1135" s="9" t="s">
        <v>1462</v>
      </c>
      <c r="H1135" s="9" t="s">
        <v>540</v>
      </c>
      <c r="M1135" s="6" t="n">
        <v>5454.48</v>
      </c>
      <c r="P1135" s="46" t="n">
        <v>38596</v>
      </c>
      <c r="Q1135" s="1" t="n">
        <f aca="false">IF(OR($A1135="",P1135=""),"",ROUND(YEARFRAC(P1135,README!$C$5),1))</f>
        <v>20.9</v>
      </c>
      <c r="S1135" s="6" t="n">
        <v>3244</v>
      </c>
      <c r="T1135" s="6" t="n">
        <v>3085</v>
      </c>
      <c r="U1135" s="6" t="n">
        <v>4560</v>
      </c>
      <c r="V1135" s="6" t="n">
        <v>1475</v>
      </c>
      <c r="W1135" s="6" t="n">
        <v>1</v>
      </c>
      <c r="Z1135" s="6" t="s">
        <v>3888</v>
      </c>
      <c r="AA1135" s="9" t="s">
        <v>528</v>
      </c>
      <c r="AE1135" s="37" t="n">
        <f aca="false">COUNTIF(環境認証!$A$2:$A$849,A1135)</f>
        <v>0</v>
      </c>
      <c r="AF1135" s="6" t="n">
        <v>47.8</v>
      </c>
      <c r="AG1135" s="6" t="n">
        <v>40.6</v>
      </c>
    </row>
    <row r="1136" customFormat="false" ht="15" hidden="false" customHeight="true" outlineLevel="0" collapsed="false">
      <c r="A1136" s="6" t="s">
        <v>3992</v>
      </c>
      <c r="B1136" s="6" t="s">
        <v>440</v>
      </c>
      <c r="C1136" s="9" t="s">
        <v>3993</v>
      </c>
      <c r="D1136" s="9" t="s">
        <v>3761</v>
      </c>
      <c r="E1136" s="9" t="s">
        <v>523</v>
      </c>
      <c r="F1136" s="9" t="s">
        <v>1462</v>
      </c>
      <c r="H1136" s="9" t="s">
        <v>540</v>
      </c>
      <c r="M1136" s="6" t="n">
        <v>5977.75</v>
      </c>
      <c r="P1136" s="46" t="n">
        <v>38596</v>
      </c>
      <c r="Q1136" s="1" t="n">
        <f aca="false">IF(OR($A1136="",P1136=""),"",ROUND(YEARFRAC(P1136,README!$C$5),1))</f>
        <v>20.9</v>
      </c>
      <c r="S1136" s="6" t="n">
        <v>5390</v>
      </c>
      <c r="T1136" s="6" t="n">
        <v>5137</v>
      </c>
      <c r="U1136" s="6" t="n">
        <v>7170</v>
      </c>
      <c r="V1136" s="6" t="n">
        <v>2033</v>
      </c>
      <c r="W1136" s="6" t="n">
        <v>1</v>
      </c>
      <c r="Z1136" s="6" t="s">
        <v>3888</v>
      </c>
      <c r="AA1136" s="9" t="s">
        <v>528</v>
      </c>
      <c r="AE1136" s="37" t="n">
        <f aca="false">COUNTIF(環境認証!$A$2:$A$849,A1136)</f>
        <v>0</v>
      </c>
      <c r="AF1136" s="6" t="n">
        <v>39.6</v>
      </c>
      <c r="AG1136" s="6" t="n">
        <v>33</v>
      </c>
    </row>
    <row r="1137" customFormat="false" ht="15" hidden="false" customHeight="true" outlineLevel="0" collapsed="false">
      <c r="A1137" s="6" t="s">
        <v>3994</v>
      </c>
      <c r="B1137" s="6" t="s">
        <v>440</v>
      </c>
      <c r="C1137" s="9" t="s">
        <v>3995</v>
      </c>
      <c r="D1137" s="9" t="s">
        <v>3761</v>
      </c>
      <c r="E1137" s="9" t="s">
        <v>523</v>
      </c>
      <c r="F1137" s="9" t="s">
        <v>1462</v>
      </c>
      <c r="H1137" s="9" t="s">
        <v>540</v>
      </c>
      <c r="M1137" s="6" t="n">
        <v>3700.26</v>
      </c>
      <c r="P1137" s="46" t="n">
        <v>38565</v>
      </c>
      <c r="Q1137" s="1" t="n">
        <f aca="false">IF(OR($A1137="",P1137=""),"",ROUND(YEARFRAC(P1137,README!$C$5),1))</f>
        <v>21</v>
      </c>
      <c r="S1137" s="6" t="n">
        <v>2850</v>
      </c>
      <c r="T1137" s="6" t="n">
        <v>2729</v>
      </c>
      <c r="U1137" s="6" t="n">
        <v>3830</v>
      </c>
      <c r="V1137" s="6" t="n">
        <v>1101</v>
      </c>
      <c r="W1137" s="6" t="n">
        <v>1</v>
      </c>
      <c r="Z1137" s="6" t="s">
        <v>3888</v>
      </c>
      <c r="AA1137" s="9" t="s">
        <v>528</v>
      </c>
      <c r="AE1137" s="37" t="n">
        <f aca="false">COUNTIF(環境認証!$A$2:$A$849,A1137)</f>
        <v>0</v>
      </c>
      <c r="AF1137" s="6" t="n">
        <v>40.3</v>
      </c>
      <c r="AG1137" s="6" t="n">
        <v>34.4</v>
      </c>
    </row>
    <row r="1138" customFormat="false" ht="15" hidden="false" customHeight="true" outlineLevel="0" collapsed="false">
      <c r="A1138" s="6" t="s">
        <v>3996</v>
      </c>
      <c r="B1138" s="6" t="s">
        <v>440</v>
      </c>
      <c r="C1138" s="9" t="s">
        <v>3997</v>
      </c>
      <c r="D1138" s="9" t="s">
        <v>3761</v>
      </c>
      <c r="E1138" s="9" t="s">
        <v>523</v>
      </c>
      <c r="F1138" s="9" t="s">
        <v>902</v>
      </c>
      <c r="H1138" s="9" t="s">
        <v>540</v>
      </c>
      <c r="M1138" s="6" t="n">
        <v>3975.99</v>
      </c>
      <c r="P1138" s="46" t="n">
        <v>38443</v>
      </c>
      <c r="Q1138" s="1" t="n">
        <f aca="false">IF(OR($A1138="",P1138=""),"",ROUND(YEARFRAC(P1138,README!$C$5),1))</f>
        <v>21.4</v>
      </c>
      <c r="S1138" s="6" t="n">
        <v>2760</v>
      </c>
      <c r="T1138" s="6" t="n">
        <v>2623</v>
      </c>
      <c r="U1138" s="6" t="n">
        <v>3700</v>
      </c>
      <c r="V1138" s="6" t="n">
        <v>1077</v>
      </c>
      <c r="W1138" s="6" t="n">
        <v>1</v>
      </c>
      <c r="Z1138" s="6" t="s">
        <v>3888</v>
      </c>
      <c r="AA1138" s="9" t="s">
        <v>528</v>
      </c>
      <c r="AE1138" s="37" t="n">
        <f aca="false">COUNTIF(環境認証!$A$2:$A$849,A1138)</f>
        <v>0</v>
      </c>
      <c r="AF1138" s="6" t="n">
        <v>41.1</v>
      </c>
      <c r="AG1138" s="6" t="n">
        <v>34.1</v>
      </c>
    </row>
    <row r="1139" customFormat="false" ht="15" hidden="false" customHeight="true" outlineLevel="0" collapsed="false">
      <c r="A1139" s="6" t="s">
        <v>3998</v>
      </c>
      <c r="B1139" s="6" t="s">
        <v>440</v>
      </c>
      <c r="C1139" s="9" t="s">
        <v>3999</v>
      </c>
      <c r="D1139" s="9" t="s">
        <v>3761</v>
      </c>
      <c r="E1139" s="9" t="s">
        <v>523</v>
      </c>
      <c r="F1139" s="9" t="s">
        <v>648</v>
      </c>
      <c r="H1139" s="9" t="s">
        <v>525</v>
      </c>
      <c r="M1139" s="6" t="n">
        <v>2893.82</v>
      </c>
      <c r="P1139" s="46" t="n">
        <v>42370</v>
      </c>
      <c r="Q1139" s="1" t="n">
        <f aca="false">IF(OR($A1139="",P1139=""),"",ROUND(YEARFRAC(P1139,README!$C$5),1))</f>
        <v>10.6</v>
      </c>
      <c r="S1139" s="6" t="n">
        <v>3030</v>
      </c>
      <c r="T1139" s="6" t="n">
        <v>2793</v>
      </c>
      <c r="U1139" s="6" t="n">
        <v>3570</v>
      </c>
      <c r="V1139" s="6" t="n">
        <v>777</v>
      </c>
      <c r="W1139" s="6" t="n">
        <v>1</v>
      </c>
      <c r="Z1139" s="6" t="s">
        <v>3888</v>
      </c>
      <c r="AA1139" s="9" t="s">
        <v>528</v>
      </c>
      <c r="AB1139" s="6" t="s">
        <v>4000</v>
      </c>
      <c r="AE1139" s="37" t="n">
        <f aca="false">COUNTIF(環境認証!$A$2:$A$849,A1139)</f>
        <v>0</v>
      </c>
      <c r="AF1139" s="6" t="n">
        <v>27.8</v>
      </c>
      <c r="AG1139" s="6" t="n">
        <v>17.8</v>
      </c>
    </row>
    <row r="1140" customFormat="false" ht="15" hidden="false" customHeight="true" outlineLevel="0" collapsed="false">
      <c r="A1140" s="6" t="s">
        <v>4001</v>
      </c>
      <c r="B1140" s="6" t="s">
        <v>440</v>
      </c>
      <c r="C1140" s="6" t="s">
        <v>4002</v>
      </c>
      <c r="D1140" s="9" t="s">
        <v>3761</v>
      </c>
      <c r="E1140" s="9" t="s">
        <v>547</v>
      </c>
      <c r="F1140" s="9" t="s">
        <v>4003</v>
      </c>
      <c r="H1140" s="9" t="s">
        <v>550</v>
      </c>
      <c r="M1140" s="6" t="n">
        <v>4912.57</v>
      </c>
      <c r="P1140" s="46" t="n">
        <v>39873</v>
      </c>
      <c r="Q1140" s="1" t="n">
        <f aca="false">IF(OR($A1140="",P1140=""),"",ROUND(YEARFRAC(P1140,README!$C$5),1))</f>
        <v>17.4</v>
      </c>
      <c r="S1140" s="6" t="n">
        <v>1780</v>
      </c>
      <c r="T1140" s="6" t="n">
        <v>1625</v>
      </c>
      <c r="U1140" s="6" t="n">
        <v>1900</v>
      </c>
      <c r="V1140" s="6" t="n">
        <v>275</v>
      </c>
      <c r="W1140" s="6" t="n">
        <v>1</v>
      </c>
      <c r="Z1140" s="6" t="s">
        <v>3888</v>
      </c>
      <c r="AA1140" s="9" t="s">
        <v>528</v>
      </c>
      <c r="AE1140" s="37" t="n">
        <f aca="false">COUNTIF(環境認証!$A$2:$A$849,A1140)</f>
        <v>0</v>
      </c>
      <c r="AF1140" s="6" t="n">
        <v>16.9</v>
      </c>
      <c r="AG1140" s="6" t="n">
        <v>6.7</v>
      </c>
    </row>
    <row r="1141" customFormat="false" ht="15" hidden="false" customHeight="true" outlineLevel="0" collapsed="false">
      <c r="A1141" s="6" t="s">
        <v>4004</v>
      </c>
      <c r="B1141" s="6" t="s">
        <v>440</v>
      </c>
      <c r="C1141" s="9" t="s">
        <v>4005</v>
      </c>
      <c r="D1141" s="9" t="s">
        <v>3761</v>
      </c>
      <c r="E1141" s="9" t="s">
        <v>523</v>
      </c>
      <c r="F1141" s="9" t="s">
        <v>806</v>
      </c>
      <c r="H1141" s="9" t="s">
        <v>525</v>
      </c>
      <c r="M1141" s="6" t="n">
        <v>4065.62</v>
      </c>
      <c r="P1141" s="46" t="n">
        <v>42156</v>
      </c>
      <c r="Q1141" s="1" t="n">
        <f aca="false">IF(OR($A1141="",P1141=""),"",ROUND(YEARFRAC(P1141,README!$C$5),1))</f>
        <v>11.2</v>
      </c>
      <c r="S1141" s="6" t="n">
        <v>3323</v>
      </c>
      <c r="T1141" s="6" t="n">
        <v>3252</v>
      </c>
      <c r="U1141" s="6" t="n">
        <v>3720</v>
      </c>
      <c r="V1141" s="6" t="n">
        <v>468</v>
      </c>
      <c r="W1141" s="6" t="n">
        <v>1</v>
      </c>
      <c r="Z1141" s="6" t="s">
        <v>3888</v>
      </c>
      <c r="AA1141" s="9" t="s">
        <v>528</v>
      </c>
      <c r="AE1141" s="37" t="n">
        <f aca="false">COUNTIF(環境認証!$A$2:$A$849,A1141)</f>
        <v>0</v>
      </c>
      <c r="AF1141" s="6" t="n">
        <v>14.4</v>
      </c>
      <c r="AG1141" s="6" t="n">
        <v>11.9</v>
      </c>
    </row>
    <row r="1142" customFormat="false" ht="15" hidden="false" customHeight="true" outlineLevel="0" collapsed="false">
      <c r="A1142" s="6" t="s">
        <v>4006</v>
      </c>
      <c r="B1142" s="6" t="s">
        <v>440</v>
      </c>
      <c r="C1142" s="9" t="s">
        <v>4007</v>
      </c>
      <c r="D1142" s="9" t="s">
        <v>3761</v>
      </c>
      <c r="E1142" s="9" t="s">
        <v>523</v>
      </c>
      <c r="F1142" s="9" t="s">
        <v>2582</v>
      </c>
      <c r="H1142" s="9" t="s">
        <v>540</v>
      </c>
      <c r="M1142" s="6" t="n">
        <v>4241.68</v>
      </c>
      <c r="P1142" s="46" t="n">
        <v>41791</v>
      </c>
      <c r="Q1142" s="1" t="n">
        <f aca="false">IF(OR($A1142="",P1142=""),"",ROUND(YEARFRAC(P1142,README!$C$5),1))</f>
        <v>12.2</v>
      </c>
      <c r="S1142" s="6" t="n">
        <v>3200</v>
      </c>
      <c r="T1142" s="6" t="n">
        <v>3064</v>
      </c>
      <c r="U1142" s="6" t="n">
        <v>3440</v>
      </c>
      <c r="V1142" s="6" t="n">
        <v>376</v>
      </c>
      <c r="W1142" s="6" t="n">
        <v>1</v>
      </c>
      <c r="Z1142" s="6" t="s">
        <v>3888</v>
      </c>
      <c r="AA1142" s="9" t="s">
        <v>528</v>
      </c>
      <c r="AE1142" s="37" t="n">
        <f aca="false">COUNTIF(環境認証!$A$2:$A$849,A1142)</f>
        <v>0</v>
      </c>
      <c r="AF1142" s="6" t="n">
        <v>12.3</v>
      </c>
      <c r="AG1142" s="6" t="n">
        <v>7.5</v>
      </c>
    </row>
    <row r="1143" customFormat="false" ht="15" hidden="false" customHeight="true" outlineLevel="0" collapsed="false">
      <c r="A1143" s="6" t="s">
        <v>4008</v>
      </c>
      <c r="B1143" s="6" t="s">
        <v>440</v>
      </c>
      <c r="C1143" s="9" t="s">
        <v>4009</v>
      </c>
      <c r="D1143" s="9" t="s">
        <v>3761</v>
      </c>
      <c r="E1143" s="9" t="s">
        <v>523</v>
      </c>
      <c r="F1143" s="9" t="s">
        <v>1094</v>
      </c>
      <c r="H1143" s="9" t="s">
        <v>550</v>
      </c>
      <c r="M1143" s="6" t="n">
        <v>4357.58</v>
      </c>
      <c r="P1143" s="46" t="n">
        <v>42795</v>
      </c>
      <c r="Q1143" s="1" t="n">
        <f aca="false">IF(OR($A1143="",P1143=""),"",ROUND(YEARFRAC(P1143,README!$C$5),1))</f>
        <v>9.4</v>
      </c>
      <c r="S1143" s="6" t="n">
        <v>3340</v>
      </c>
      <c r="T1143" s="6" t="n">
        <v>3259</v>
      </c>
      <c r="U1143" s="6" t="n">
        <v>3630</v>
      </c>
      <c r="V1143" s="6" t="n">
        <v>371</v>
      </c>
      <c r="W1143" s="6" t="n">
        <v>1</v>
      </c>
      <c r="Z1143" s="6" t="s">
        <v>3888</v>
      </c>
      <c r="AA1143" s="9" t="s">
        <v>528</v>
      </c>
      <c r="AE1143" s="37" t="n">
        <f aca="false">COUNTIF(環境認証!$A$2:$A$849,A1143)</f>
        <v>0</v>
      </c>
      <c r="AF1143" s="6" t="n">
        <v>11.4</v>
      </c>
      <c r="AG1143" s="6" t="n">
        <v>8.7</v>
      </c>
    </row>
    <row r="1144" customFormat="false" ht="15" hidden="false" customHeight="true" outlineLevel="0" collapsed="false">
      <c r="A1144" s="6" t="s">
        <v>4010</v>
      </c>
      <c r="B1144" s="6" t="s">
        <v>440</v>
      </c>
      <c r="C1144" s="9" t="s">
        <v>4011</v>
      </c>
      <c r="D1144" s="9" t="s">
        <v>3761</v>
      </c>
      <c r="E1144" s="9" t="s">
        <v>523</v>
      </c>
      <c r="F1144" s="9" t="s">
        <v>1462</v>
      </c>
      <c r="H1144" s="9" t="s">
        <v>540</v>
      </c>
      <c r="M1144" s="6" t="n">
        <v>13279.12</v>
      </c>
      <c r="P1144" s="46" t="n">
        <v>41030</v>
      </c>
      <c r="Q1144" s="1" t="n">
        <f aca="false">IF(OR($A1144="",P1144=""),"",ROUND(YEARFRAC(P1144,README!$C$5),1))</f>
        <v>14.3</v>
      </c>
      <c r="S1144" s="6" t="n">
        <v>9000</v>
      </c>
      <c r="T1144" s="6" t="n">
        <v>8893</v>
      </c>
      <c r="U1144" s="6" t="n">
        <v>10070</v>
      </c>
      <c r="V1144" s="6" t="n">
        <v>1177</v>
      </c>
      <c r="W1144" s="6" t="n">
        <v>1</v>
      </c>
      <c r="Z1144" s="6" t="s">
        <v>3888</v>
      </c>
      <c r="AA1144" s="9" t="s">
        <v>528</v>
      </c>
      <c r="AE1144" s="37" t="n">
        <f aca="false">COUNTIF(環境認証!$A$2:$A$849,A1144)</f>
        <v>0</v>
      </c>
      <c r="AF1144" s="6" t="n">
        <v>13.2</v>
      </c>
      <c r="AG1144" s="6" t="n">
        <v>11.9</v>
      </c>
    </row>
    <row r="1145" customFormat="false" ht="15" hidden="false" customHeight="true" outlineLevel="0" collapsed="false">
      <c r="A1145" s="6" t="s">
        <v>4012</v>
      </c>
      <c r="B1145" s="6" t="s">
        <v>440</v>
      </c>
      <c r="C1145" s="9" t="s">
        <v>4013</v>
      </c>
      <c r="D1145" s="9" t="s">
        <v>3761</v>
      </c>
      <c r="E1145" s="9" t="s">
        <v>523</v>
      </c>
      <c r="H1145" s="9" t="s">
        <v>540</v>
      </c>
      <c r="M1145" s="6" t="n">
        <v>2803.79</v>
      </c>
      <c r="P1145" s="46" t="n">
        <v>41365</v>
      </c>
      <c r="Q1145" s="1" t="n">
        <f aca="false">IF(OR($A1145="",P1145=""),"",ROUND(YEARFRAC(P1145,README!$C$5),1))</f>
        <v>13.4</v>
      </c>
      <c r="S1145" s="6" t="n">
        <v>2200</v>
      </c>
      <c r="T1145" s="6" t="n">
        <v>2196</v>
      </c>
      <c r="U1145" s="6" t="n">
        <v>2430</v>
      </c>
      <c r="V1145" s="6" t="n">
        <v>234</v>
      </c>
      <c r="W1145" s="6" t="n">
        <v>1</v>
      </c>
      <c r="Z1145" s="6" t="s">
        <v>3888</v>
      </c>
      <c r="AA1145" s="9" t="s">
        <v>528</v>
      </c>
      <c r="AE1145" s="37" t="n">
        <f aca="false">COUNTIF(環境認証!$A$2:$A$849,A1145)</f>
        <v>0</v>
      </c>
      <c r="AF1145" s="6" t="n">
        <v>10.7</v>
      </c>
      <c r="AG1145" s="6" t="n">
        <v>10.5</v>
      </c>
    </row>
    <row r="1146" customFormat="false" ht="15" hidden="false" customHeight="true" outlineLevel="0" collapsed="false">
      <c r="A1146" s="6" t="s">
        <v>4014</v>
      </c>
      <c r="B1146" s="6" t="s">
        <v>440</v>
      </c>
      <c r="C1146" s="9" t="s">
        <v>4015</v>
      </c>
      <c r="D1146" s="9" t="s">
        <v>3761</v>
      </c>
      <c r="E1146" s="9" t="s">
        <v>523</v>
      </c>
      <c r="F1146" s="9" t="s">
        <v>1312</v>
      </c>
      <c r="H1146" s="9" t="s">
        <v>540</v>
      </c>
      <c r="M1146" s="6" t="n">
        <v>1983.71</v>
      </c>
      <c r="P1146" s="46" t="n">
        <v>43132</v>
      </c>
      <c r="Q1146" s="1" t="n">
        <f aca="false">IF(OR($A1146="",P1146=""),"",ROUND(YEARFRAC(P1146,README!$C$5),1))</f>
        <v>8.5</v>
      </c>
      <c r="S1146" s="6" t="n">
        <v>2550</v>
      </c>
      <c r="T1146" s="6" t="n">
        <v>2562</v>
      </c>
      <c r="U1146" s="6" t="n">
        <v>2710</v>
      </c>
      <c r="V1146" s="6" t="n">
        <v>148</v>
      </c>
      <c r="W1146" s="6" t="n">
        <v>1</v>
      </c>
      <c r="Z1146" s="6" t="s">
        <v>3888</v>
      </c>
      <c r="AA1146" s="9" t="s">
        <v>528</v>
      </c>
      <c r="AE1146" s="37" t="n">
        <f aca="false">COUNTIF(環境認証!$A$2:$A$849,A1146)</f>
        <v>0</v>
      </c>
      <c r="AF1146" s="6" t="n">
        <v>5.8</v>
      </c>
      <c r="AG1146" s="6" t="n">
        <v>6.3</v>
      </c>
    </row>
    <row r="1147" customFormat="false" ht="15" hidden="false" customHeight="true" outlineLevel="0" collapsed="false">
      <c r="A1147" s="6" t="s">
        <v>4016</v>
      </c>
      <c r="B1147" s="6" t="s">
        <v>440</v>
      </c>
      <c r="C1147" s="9" t="s">
        <v>4017</v>
      </c>
      <c r="D1147" s="9" t="s">
        <v>3761</v>
      </c>
      <c r="E1147" s="9" t="s">
        <v>523</v>
      </c>
      <c r="F1147" s="9" t="s">
        <v>2582</v>
      </c>
      <c r="H1147" s="9" t="s">
        <v>540</v>
      </c>
      <c r="M1147" s="6" t="n">
        <v>2295.79</v>
      </c>
      <c r="P1147" s="46" t="n">
        <v>43374</v>
      </c>
      <c r="Q1147" s="1" t="n">
        <f aca="false">IF(OR($A1147="",P1147=""),"",ROUND(YEARFRAC(P1147,README!$C$5),1))</f>
        <v>7.9</v>
      </c>
      <c r="S1147" s="6" t="n">
        <v>2400</v>
      </c>
      <c r="T1147" s="6" t="n">
        <v>2412</v>
      </c>
      <c r="U1147" s="6" t="n">
        <v>2570</v>
      </c>
      <c r="V1147" s="6" t="n">
        <v>158</v>
      </c>
      <c r="W1147" s="6" t="n">
        <v>1</v>
      </c>
      <c r="Z1147" s="6" t="s">
        <v>3888</v>
      </c>
      <c r="AA1147" s="9" t="s">
        <v>528</v>
      </c>
      <c r="AE1147" s="37" t="n">
        <f aca="false">COUNTIF(環境認証!$A$2:$A$849,A1147)</f>
        <v>0</v>
      </c>
      <c r="AF1147" s="6" t="n">
        <v>6.6</v>
      </c>
      <c r="AG1147" s="6" t="n">
        <v>7.1</v>
      </c>
    </row>
    <row r="1148" customFormat="false" ht="15" hidden="false" customHeight="true" outlineLevel="0" collapsed="false">
      <c r="A1148" s="6" t="s">
        <v>4018</v>
      </c>
      <c r="B1148" s="6" t="s">
        <v>440</v>
      </c>
      <c r="C1148" s="9" t="s">
        <v>4019</v>
      </c>
      <c r="D1148" s="9" t="s">
        <v>3761</v>
      </c>
      <c r="E1148" s="9" t="s">
        <v>523</v>
      </c>
      <c r="F1148" s="9" t="s">
        <v>934</v>
      </c>
      <c r="H1148" s="9" t="s">
        <v>540</v>
      </c>
      <c r="M1148" s="6" t="n">
        <v>2116.93</v>
      </c>
      <c r="P1148" s="46" t="n">
        <v>43525</v>
      </c>
      <c r="Q1148" s="1" t="n">
        <f aca="false">IF(OR($A1148="",P1148=""),"",ROUND(YEARFRAC(P1148,README!$C$5),1))</f>
        <v>7.4</v>
      </c>
      <c r="S1148" s="6" t="n">
        <v>2884</v>
      </c>
      <c r="T1148" s="6" t="n">
        <v>2954</v>
      </c>
      <c r="U1148" s="6" t="n">
        <v>3060</v>
      </c>
      <c r="V1148" s="6" t="n">
        <v>106</v>
      </c>
      <c r="W1148" s="6" t="n">
        <v>1</v>
      </c>
      <c r="Z1148" s="6" t="s">
        <v>3888</v>
      </c>
      <c r="AA1148" s="9" t="s">
        <v>528</v>
      </c>
      <c r="AB1148" s="6" t="s">
        <v>4020</v>
      </c>
      <c r="AE1148" s="37" t="n">
        <f aca="false">COUNTIF(環境認証!$A$2:$A$849,A1148)</f>
        <v>0</v>
      </c>
      <c r="AF1148" s="6" t="n">
        <v>3.6</v>
      </c>
      <c r="AG1148" s="6" t="n">
        <v>6.1</v>
      </c>
    </row>
    <row r="1149" customFormat="false" ht="15" hidden="false" customHeight="true" outlineLevel="0" collapsed="false">
      <c r="A1149" s="6" t="s">
        <v>4021</v>
      </c>
      <c r="B1149" s="6" t="s">
        <v>440</v>
      </c>
      <c r="C1149" s="9" t="s">
        <v>4022</v>
      </c>
      <c r="D1149" s="9" t="s">
        <v>4023</v>
      </c>
      <c r="H1149" s="9" t="s">
        <v>611</v>
      </c>
      <c r="Q1149" s="1" t="str">
        <f aca="false">IF(OR($A1149="",P1149=""),"",ROUND(YEARFRAC(P1149,README!$C$5),1))</f>
        <v/>
      </c>
      <c r="V1149" s="1" t="str">
        <f aca="false">IF($A1149="","",IF(OR(T1149="",U1149=""),"",U1149-T1149))</f>
        <v/>
      </c>
      <c r="Z1149" s="6" t="s">
        <v>3888</v>
      </c>
      <c r="AA1149" s="9" t="s">
        <v>528</v>
      </c>
      <c r="AB1149" s="9" t="s">
        <v>4024</v>
      </c>
      <c r="AE1149" s="37" t="n">
        <f aca="false">COUNTIF(環境認証!$A$2:$A$849,A1149)</f>
        <v>0</v>
      </c>
    </row>
    <row r="1150" customFormat="false" ht="15" hidden="false" customHeight="true" outlineLevel="0" collapsed="false">
      <c r="A1150" s="6" t="s">
        <v>4025</v>
      </c>
      <c r="B1150" s="6" t="s">
        <v>440</v>
      </c>
      <c r="C1150" s="9" t="s">
        <v>4026</v>
      </c>
      <c r="D1150" s="9" t="s">
        <v>4023</v>
      </c>
      <c r="E1150" s="9" t="s">
        <v>523</v>
      </c>
      <c r="F1150" s="9" t="s">
        <v>2126</v>
      </c>
      <c r="H1150" s="9" t="s">
        <v>540</v>
      </c>
      <c r="M1150" s="6" t="n">
        <v>3832.73</v>
      </c>
      <c r="P1150" s="46" t="n">
        <v>35886</v>
      </c>
      <c r="Q1150" s="1" t="n">
        <f aca="false">IF(OR($A1150="",P1150=""),"",ROUND(YEARFRAC(P1150,README!$C$5),1))</f>
        <v>28.4</v>
      </c>
      <c r="S1150" s="6" t="n">
        <v>1355</v>
      </c>
      <c r="T1150" s="6" t="n">
        <v>1332</v>
      </c>
      <c r="U1150" s="6" t="n">
        <v>1560</v>
      </c>
      <c r="V1150" s="6" t="n">
        <v>228</v>
      </c>
      <c r="W1150" s="6" t="n">
        <v>1</v>
      </c>
      <c r="Z1150" s="6" t="s">
        <v>3888</v>
      </c>
      <c r="AA1150" s="9" t="s">
        <v>528</v>
      </c>
      <c r="AB1150" s="9" t="s">
        <v>4027</v>
      </c>
      <c r="AE1150" s="37" t="n">
        <f aca="false">COUNTIF(環境認証!$A$2:$A$849,A1150)</f>
        <v>0</v>
      </c>
      <c r="AF1150" s="6" t="n">
        <v>17.1</v>
      </c>
      <c r="AG1150" s="6" t="n">
        <v>15.1</v>
      </c>
    </row>
    <row r="1151" customFormat="false" ht="15" hidden="false" customHeight="true" outlineLevel="0" collapsed="false">
      <c r="A1151" s="6" t="s">
        <v>4028</v>
      </c>
      <c r="B1151" s="6" t="s">
        <v>440</v>
      </c>
      <c r="C1151" s="9" t="s">
        <v>4029</v>
      </c>
      <c r="D1151" s="9" t="s">
        <v>4023</v>
      </c>
      <c r="E1151" s="9" t="s">
        <v>715</v>
      </c>
      <c r="F1151" s="9" t="s">
        <v>716</v>
      </c>
      <c r="H1151" s="6" t="s">
        <v>599</v>
      </c>
      <c r="M1151" s="6" t="n">
        <v>5208.54</v>
      </c>
      <c r="P1151" s="46" t="n">
        <v>37165</v>
      </c>
      <c r="Q1151" s="1" t="n">
        <f aca="false">IF(OR($A1151="",P1151=""),"",ROUND(YEARFRAC(P1151,README!$C$5),1))</f>
        <v>24.9</v>
      </c>
      <c r="S1151" s="6" t="n">
        <v>1080</v>
      </c>
      <c r="T1151" s="6" t="n">
        <v>987</v>
      </c>
      <c r="U1151" s="6" t="n">
        <v>1160</v>
      </c>
      <c r="V1151" s="6" t="n">
        <v>173</v>
      </c>
      <c r="W1151" s="6" t="n">
        <v>1</v>
      </c>
      <c r="Z1151" s="6" t="s">
        <v>3888</v>
      </c>
      <c r="AA1151" s="9" t="s">
        <v>528</v>
      </c>
      <c r="AB1151" s="9" t="s">
        <v>4027</v>
      </c>
      <c r="AE1151" s="37" t="n">
        <f aca="false">COUNTIF(環境認証!$A$2:$A$849,A1151)</f>
        <v>0</v>
      </c>
      <c r="AF1151" s="6" t="n">
        <v>17.5</v>
      </c>
      <c r="AG1151" s="6" t="n">
        <v>7.4</v>
      </c>
    </row>
    <row r="1152" customFormat="false" ht="15" hidden="false" customHeight="true" outlineLevel="0" collapsed="false">
      <c r="A1152" s="6" t="s">
        <v>4030</v>
      </c>
      <c r="B1152" s="6" t="s">
        <v>440</v>
      </c>
      <c r="C1152" s="9" t="s">
        <v>4031</v>
      </c>
      <c r="D1152" s="9" t="s">
        <v>4023</v>
      </c>
      <c r="E1152" s="9" t="s">
        <v>567</v>
      </c>
      <c r="F1152" s="9" t="s">
        <v>676</v>
      </c>
      <c r="H1152" s="9" t="s">
        <v>569</v>
      </c>
      <c r="M1152" s="6" t="n">
        <v>4943.1</v>
      </c>
      <c r="P1152" s="46" t="n">
        <v>35551</v>
      </c>
      <c r="Q1152" s="1" t="n">
        <f aca="false">IF(OR($A1152="",P1152=""),"",ROUND(YEARFRAC(P1152,README!$C$5),1))</f>
        <v>29.3</v>
      </c>
      <c r="S1152" s="6" t="n">
        <v>1015</v>
      </c>
      <c r="T1152" s="6" t="n">
        <v>921</v>
      </c>
      <c r="U1152" s="6" t="n">
        <v>1020</v>
      </c>
      <c r="V1152" s="6" t="n">
        <v>99</v>
      </c>
      <c r="W1152" s="6" t="n">
        <v>1</v>
      </c>
      <c r="Z1152" s="6" t="s">
        <v>3888</v>
      </c>
      <c r="AA1152" s="9" t="s">
        <v>528</v>
      </c>
      <c r="AB1152" s="9" t="s">
        <v>4027</v>
      </c>
      <c r="AE1152" s="37" t="n">
        <f aca="false">COUNTIF(環境認証!$A$2:$A$849,A1152)</f>
        <v>0</v>
      </c>
      <c r="AF1152" s="6" t="n">
        <v>10.7</v>
      </c>
      <c r="AG1152" s="6" t="n">
        <v>0.5</v>
      </c>
    </row>
    <row r="1153" customFormat="false" ht="15" hidden="false" customHeight="true" outlineLevel="0" collapsed="false">
      <c r="A1153" s="6" t="s">
        <v>4032</v>
      </c>
      <c r="B1153" s="6" t="s">
        <v>440</v>
      </c>
      <c r="C1153" s="9" t="s">
        <v>4033</v>
      </c>
      <c r="D1153" s="9" t="s">
        <v>4023</v>
      </c>
      <c r="H1153" s="9" t="s">
        <v>611</v>
      </c>
      <c r="Q1153" s="1" t="str">
        <f aca="false">IF(OR($A1153="",P1153=""),"",ROUND(YEARFRAC(P1153,README!$C$5),1))</f>
        <v/>
      </c>
      <c r="V1153" s="1" t="str">
        <f aca="false">IF($A1153="","",IF(OR(T1153="",U1153=""),"",U1153-T1153))</f>
        <v/>
      </c>
      <c r="Z1153" s="6" t="s">
        <v>3888</v>
      </c>
      <c r="AA1153" s="9" t="s">
        <v>528</v>
      </c>
      <c r="AB1153" s="9" t="s">
        <v>4024</v>
      </c>
      <c r="AE1153" s="37" t="n">
        <f aca="false">COUNTIF(環境認証!$A$2:$A$849,A1153)</f>
        <v>0</v>
      </c>
    </row>
    <row r="1154" customFormat="false" ht="15" hidden="false" customHeight="true" outlineLevel="0" collapsed="false">
      <c r="A1154" s="6" t="s">
        <v>4034</v>
      </c>
      <c r="B1154" s="6" t="s">
        <v>440</v>
      </c>
      <c r="C1154" s="9" t="s">
        <v>4035</v>
      </c>
      <c r="D1154" s="9" t="s">
        <v>4023</v>
      </c>
      <c r="E1154" s="9" t="s">
        <v>604</v>
      </c>
      <c r="F1154" s="9" t="s">
        <v>720</v>
      </c>
      <c r="H1154" s="6" t="s">
        <v>599</v>
      </c>
      <c r="M1154" s="6" t="n">
        <v>9793.57</v>
      </c>
      <c r="P1154" s="46" t="n">
        <v>37257</v>
      </c>
      <c r="Q1154" s="1" t="n">
        <f aca="false">IF(OR($A1154="",P1154=""),"",ROUND(YEARFRAC(P1154,README!$C$5),1))</f>
        <v>24.6</v>
      </c>
      <c r="S1154" s="6" t="n">
        <v>2510</v>
      </c>
      <c r="T1154" s="6" t="n">
        <v>2434</v>
      </c>
      <c r="U1154" s="6" t="n">
        <v>2540</v>
      </c>
      <c r="V1154" s="6" t="n">
        <v>106</v>
      </c>
      <c r="W1154" s="6" t="n">
        <v>1</v>
      </c>
      <c r="Z1154" s="6" t="s">
        <v>3888</v>
      </c>
      <c r="AA1154" s="9" t="s">
        <v>528</v>
      </c>
      <c r="AB1154" s="9" t="s">
        <v>4027</v>
      </c>
      <c r="AE1154" s="37" t="n">
        <f aca="false">COUNTIF(環境認証!$A$2:$A$849,A1154)</f>
        <v>0</v>
      </c>
      <c r="AF1154" s="6" t="n">
        <v>4.4</v>
      </c>
      <c r="AG1154" s="6" t="n">
        <v>1.2</v>
      </c>
    </row>
    <row r="1155" customFormat="false" ht="15" hidden="false" customHeight="true" outlineLevel="0" collapsed="false">
      <c r="A1155" s="6" t="s">
        <v>4036</v>
      </c>
      <c r="B1155" s="6" t="s">
        <v>440</v>
      </c>
      <c r="C1155" s="9" t="s">
        <v>4037</v>
      </c>
      <c r="D1155" s="9" t="s">
        <v>4023</v>
      </c>
      <c r="E1155" s="9" t="s">
        <v>1822</v>
      </c>
      <c r="F1155" s="9" t="s">
        <v>4038</v>
      </c>
      <c r="H1155" s="9" t="s">
        <v>569</v>
      </c>
      <c r="M1155" s="6" t="n">
        <v>9273.44</v>
      </c>
      <c r="P1155" s="46" t="n">
        <v>37012</v>
      </c>
      <c r="Q1155" s="1" t="n">
        <f aca="false">IF(OR($A1155="",P1155=""),"",ROUND(YEARFRAC(P1155,README!$C$5),1))</f>
        <v>25.3</v>
      </c>
      <c r="S1155" s="6" t="n">
        <v>1250</v>
      </c>
      <c r="T1155" s="6" t="n">
        <v>1141</v>
      </c>
      <c r="U1155" s="6" t="n">
        <v>1360</v>
      </c>
      <c r="V1155" s="6" t="n">
        <v>219</v>
      </c>
      <c r="W1155" s="6" t="n">
        <v>1</v>
      </c>
      <c r="Z1155" s="6" t="s">
        <v>3888</v>
      </c>
      <c r="AA1155" s="9" t="s">
        <v>528</v>
      </c>
      <c r="AB1155" s="9" t="s">
        <v>4027</v>
      </c>
      <c r="AE1155" s="37" t="n">
        <f aca="false">COUNTIF(環境認証!$A$2:$A$849,A1155)</f>
        <v>0</v>
      </c>
      <c r="AF1155" s="6" t="n">
        <v>19.2</v>
      </c>
      <c r="AG1155" s="6" t="n">
        <v>8.8</v>
      </c>
    </row>
    <row r="1156" customFormat="false" ht="15" hidden="false" customHeight="true" outlineLevel="0" collapsed="false">
      <c r="A1156" s="6" t="s">
        <v>4039</v>
      </c>
      <c r="B1156" s="6" t="s">
        <v>440</v>
      </c>
      <c r="C1156" s="9" t="s">
        <v>4040</v>
      </c>
      <c r="D1156" s="9" t="s">
        <v>4041</v>
      </c>
      <c r="H1156" s="9" t="s">
        <v>4042</v>
      </c>
      <c r="Q1156" s="1" t="str">
        <f aca="false">IF(OR($A1156="",P1156=""),"",ROUND(YEARFRAC(P1156,README!$C$5),1))</f>
        <v/>
      </c>
      <c r="S1156" s="6" t="n">
        <v>421530</v>
      </c>
      <c r="T1156" s="6" t="n">
        <v>401693</v>
      </c>
      <c r="U1156" s="6" t="n">
        <v>486369</v>
      </c>
      <c r="V1156" s="1" t="n">
        <f aca="false">IF($A1156="","",IF(OR(T1156="",U1156=""),"",U1156-T1156))</f>
        <v>84676</v>
      </c>
      <c r="W1156" s="6" t="n">
        <v>0.998</v>
      </c>
      <c r="Z1156" s="6" t="s">
        <v>3888</v>
      </c>
      <c r="AA1156" s="44" t="s">
        <v>1168</v>
      </c>
      <c r="AB1156" s="6" t="s">
        <v>4043</v>
      </c>
      <c r="AE1156" s="37" t="n">
        <f aca="false">COUNTIF(環境認証!$A$2:$A$849,A1156)</f>
        <v>0</v>
      </c>
    </row>
    <row r="1157" customFormat="false" ht="15" hidden="false" customHeight="true" outlineLevel="0" collapsed="false">
      <c r="A1157" s="6" t="s">
        <v>4044</v>
      </c>
      <c r="B1157" s="6" t="s">
        <v>477</v>
      </c>
      <c r="C1157" s="6" t="s">
        <v>4045</v>
      </c>
      <c r="D1157" s="9" t="s">
        <v>522</v>
      </c>
      <c r="E1157" s="9" t="s">
        <v>523</v>
      </c>
      <c r="F1157" s="9" t="s">
        <v>666</v>
      </c>
      <c r="H1157" s="9" t="s">
        <v>525</v>
      </c>
      <c r="M1157" s="6" t="n">
        <v>6219.28</v>
      </c>
      <c r="P1157" s="46" t="n">
        <v>43374</v>
      </c>
      <c r="Q1157" s="1" t="n">
        <f aca="false">IF(OR($A1157="",P1157=""),"",ROUND(YEARFRAC(P1157,README!$C$5),1))</f>
        <v>7.9</v>
      </c>
      <c r="S1157" s="6" t="n">
        <v>14148</v>
      </c>
      <c r="T1157" s="6" t="n">
        <v>14027</v>
      </c>
      <c r="U1157" s="6" t="n">
        <v>15800</v>
      </c>
      <c r="V1157" s="6" t="n">
        <v>1773</v>
      </c>
      <c r="W1157" s="6" t="n">
        <v>1</v>
      </c>
      <c r="Z1157" s="6" t="s">
        <v>4046</v>
      </c>
      <c r="AA1157" s="9" t="s">
        <v>528</v>
      </c>
      <c r="AE1157" s="37" t="n">
        <f aca="false">COUNTIF(環境認証!$A$2:$A$849,A1157)</f>
        <v>0</v>
      </c>
      <c r="AF1157" s="6" t="n">
        <v>12.6</v>
      </c>
      <c r="AG1157" s="6" t="n">
        <v>11.7</v>
      </c>
    </row>
    <row r="1158" customFormat="false" ht="15" hidden="false" customHeight="true" outlineLevel="0" collapsed="false">
      <c r="A1158" s="6" t="s">
        <v>4047</v>
      </c>
      <c r="B1158" s="6" t="s">
        <v>477</v>
      </c>
      <c r="C1158" s="6" t="s">
        <v>4048</v>
      </c>
      <c r="D1158" s="9" t="s">
        <v>522</v>
      </c>
      <c r="E1158" s="9" t="s">
        <v>523</v>
      </c>
      <c r="F1158" s="9" t="s">
        <v>524</v>
      </c>
      <c r="H1158" s="9" t="s">
        <v>525</v>
      </c>
      <c r="M1158" s="6" t="n">
        <v>1681.55</v>
      </c>
      <c r="P1158" s="46" t="n">
        <v>42979</v>
      </c>
      <c r="Q1158" s="1" t="n">
        <f aca="false">IF(OR($A1158="",P1158=""),"",ROUND(YEARFRAC(P1158,README!$C$5),1))</f>
        <v>8.9</v>
      </c>
      <c r="S1158" s="6" t="n">
        <v>2055</v>
      </c>
      <c r="T1158" s="6" t="n">
        <v>1983</v>
      </c>
      <c r="U1158" s="6" t="n">
        <v>2940</v>
      </c>
      <c r="V1158" s="6" t="n">
        <v>957</v>
      </c>
      <c r="W1158" s="6" t="n">
        <v>1</v>
      </c>
      <c r="Z1158" s="6" t="s">
        <v>4046</v>
      </c>
      <c r="AA1158" s="9" t="s">
        <v>528</v>
      </c>
      <c r="AE1158" s="37" t="n">
        <f aca="false">COUNTIF(環境認証!$A$2:$A$849,A1158)</f>
        <v>0</v>
      </c>
      <c r="AF1158" s="6" t="n">
        <v>48.3</v>
      </c>
      <c r="AG1158" s="6" t="n">
        <v>43.1</v>
      </c>
    </row>
    <row r="1159" customFormat="false" ht="15" hidden="false" customHeight="true" outlineLevel="0" collapsed="false">
      <c r="A1159" s="6" t="s">
        <v>4049</v>
      </c>
      <c r="B1159" s="6" t="s">
        <v>477</v>
      </c>
      <c r="C1159" s="9" t="s">
        <v>4050</v>
      </c>
      <c r="D1159" s="9" t="s">
        <v>522</v>
      </c>
      <c r="E1159" s="9" t="s">
        <v>523</v>
      </c>
      <c r="F1159" s="9" t="s">
        <v>524</v>
      </c>
      <c r="H1159" s="9" t="s">
        <v>525</v>
      </c>
      <c r="M1159" s="6" t="n">
        <v>3439.61</v>
      </c>
      <c r="P1159" s="46" t="n">
        <v>33756</v>
      </c>
      <c r="Q1159" s="1" t="n">
        <f aca="false">IF(OR($A1159="",P1159=""),"",ROUND(YEARFRAC(P1159,README!$C$5),1))</f>
        <v>34.2</v>
      </c>
      <c r="S1159" s="6" t="n">
        <v>5829</v>
      </c>
      <c r="T1159" s="6" t="n">
        <v>6124</v>
      </c>
      <c r="U1159" s="6" t="n">
        <v>7190</v>
      </c>
      <c r="V1159" s="6" t="n">
        <v>1066</v>
      </c>
      <c r="W1159" s="6" t="n">
        <v>1</v>
      </c>
      <c r="Z1159" s="6" t="s">
        <v>4046</v>
      </c>
      <c r="AA1159" s="9" t="s">
        <v>528</v>
      </c>
      <c r="AB1159" s="9" t="s">
        <v>4051</v>
      </c>
      <c r="AE1159" s="37" t="n">
        <f aca="false">COUNTIF(環境認証!$A$2:$A$849,A1159)</f>
        <v>0</v>
      </c>
      <c r="AF1159" s="6" t="n">
        <v>17.4</v>
      </c>
      <c r="AG1159" s="6" t="n">
        <v>23.3</v>
      </c>
    </row>
    <row r="1160" customFormat="false" ht="15" hidden="false" customHeight="true" outlineLevel="0" collapsed="false">
      <c r="A1160" s="6" t="s">
        <v>4052</v>
      </c>
      <c r="B1160" s="6" t="s">
        <v>477</v>
      </c>
      <c r="C1160" s="9" t="s">
        <v>4053</v>
      </c>
      <c r="D1160" s="9" t="s">
        <v>522</v>
      </c>
      <c r="E1160" s="9" t="s">
        <v>523</v>
      </c>
      <c r="F1160" s="9" t="s">
        <v>666</v>
      </c>
      <c r="H1160" s="9" t="s">
        <v>525</v>
      </c>
      <c r="M1160" s="6" t="n">
        <v>5594.9</v>
      </c>
      <c r="P1160" s="46" t="n">
        <v>23986</v>
      </c>
      <c r="Q1160" s="1" t="n">
        <f aca="false">IF(OR($A1160="",P1160=""),"",ROUND(YEARFRAC(P1160,README!$C$5),1))</f>
        <v>60.9</v>
      </c>
      <c r="S1160" s="6" t="n">
        <v>4959</v>
      </c>
      <c r="T1160" s="6" t="n">
        <v>4939</v>
      </c>
      <c r="U1160" s="6" t="n">
        <v>5160</v>
      </c>
      <c r="V1160" s="6" t="n">
        <v>221</v>
      </c>
      <c r="W1160" s="6" t="n">
        <v>1</v>
      </c>
      <c r="Z1160" s="6" t="s">
        <v>4046</v>
      </c>
      <c r="AA1160" s="9" t="s">
        <v>528</v>
      </c>
      <c r="AB1160" s="6" t="s">
        <v>4054</v>
      </c>
      <c r="AE1160" s="37" t="n">
        <f aca="false">COUNTIF(環境認証!$A$2:$A$849,A1160)</f>
        <v>0</v>
      </c>
      <c r="AF1160" s="6" t="n">
        <v>4.5</v>
      </c>
      <c r="AG1160" s="6" t="n">
        <v>4.1</v>
      </c>
    </row>
    <row r="1161" customFormat="false" ht="15" hidden="false" customHeight="true" outlineLevel="0" collapsed="false">
      <c r="A1161" s="6" t="s">
        <v>4055</v>
      </c>
      <c r="B1161" s="6" t="s">
        <v>477</v>
      </c>
      <c r="C1161" s="9" t="s">
        <v>4056</v>
      </c>
      <c r="D1161" s="9" t="s">
        <v>522</v>
      </c>
      <c r="E1161" s="9" t="s">
        <v>523</v>
      </c>
      <c r="F1161" s="9" t="s">
        <v>543</v>
      </c>
      <c r="H1161" s="9" t="s">
        <v>540</v>
      </c>
      <c r="M1161" s="6" t="n">
        <v>4224.52</v>
      </c>
      <c r="P1161" s="46" t="n">
        <v>33390</v>
      </c>
      <c r="Q1161" s="1" t="n">
        <f aca="false">IF(OR($A1161="",P1161=""),"",ROUND(YEARFRAC(P1161,README!$C$5),1))</f>
        <v>35.2</v>
      </c>
      <c r="S1161" s="6" t="n">
        <v>3782</v>
      </c>
      <c r="T1161" s="6" t="n">
        <v>3847</v>
      </c>
      <c r="U1161" s="6" t="n">
        <v>3470</v>
      </c>
      <c r="V1161" s="6" t="n">
        <v>-377</v>
      </c>
      <c r="W1161" s="6" t="n">
        <v>0.751</v>
      </c>
      <c r="Z1161" s="6" t="s">
        <v>4046</v>
      </c>
      <c r="AA1161" s="9" t="s">
        <v>528</v>
      </c>
      <c r="AE1161" s="37" t="n">
        <f aca="false">COUNTIF(環境認証!$A$2:$A$849,A1161)</f>
        <v>0</v>
      </c>
      <c r="AF1161" s="6" t="n">
        <v>-9.8</v>
      </c>
      <c r="AG1161" s="6" t="n">
        <v>-8.2</v>
      </c>
    </row>
    <row r="1162" customFormat="false" ht="15" hidden="false" customHeight="true" outlineLevel="0" collapsed="false">
      <c r="A1162" s="6" t="s">
        <v>4057</v>
      </c>
      <c r="B1162" s="6" t="s">
        <v>477</v>
      </c>
      <c r="C1162" s="9" t="s">
        <v>4058</v>
      </c>
      <c r="D1162" s="9" t="s">
        <v>522</v>
      </c>
      <c r="E1162" s="9" t="s">
        <v>523</v>
      </c>
      <c r="F1162" s="9" t="s">
        <v>1312</v>
      </c>
      <c r="H1162" s="9" t="s">
        <v>540</v>
      </c>
      <c r="M1162" s="6" t="n">
        <v>7469.72</v>
      </c>
      <c r="P1162" s="46" t="n">
        <v>34090</v>
      </c>
      <c r="Q1162" s="1" t="n">
        <f aca="false">IF(OR($A1162="",P1162=""),"",ROUND(YEARFRAC(P1162,README!$C$5),1))</f>
        <v>33.3</v>
      </c>
      <c r="S1162" s="6" t="n">
        <v>5400</v>
      </c>
      <c r="T1162" s="6" t="n">
        <v>5566</v>
      </c>
      <c r="U1162" s="6" t="n">
        <v>4890</v>
      </c>
      <c r="V1162" s="6" t="n">
        <v>-676</v>
      </c>
      <c r="W1162" s="6" t="n">
        <v>0.64</v>
      </c>
      <c r="Z1162" s="6" t="s">
        <v>4046</v>
      </c>
      <c r="AA1162" s="9" t="s">
        <v>528</v>
      </c>
      <c r="AE1162" s="37" t="n">
        <f aca="false">COUNTIF(環境認証!$A$2:$A$849,A1162)</f>
        <v>0</v>
      </c>
      <c r="AF1162" s="6" t="n">
        <v>-12.1</v>
      </c>
      <c r="AG1162" s="6" t="n">
        <v>-9.4</v>
      </c>
    </row>
    <row r="1163" customFormat="false" ht="15" hidden="false" customHeight="true" outlineLevel="0" collapsed="false">
      <c r="A1163" s="6" t="s">
        <v>4059</v>
      </c>
      <c r="B1163" s="6" t="s">
        <v>477</v>
      </c>
      <c r="C1163" s="6" t="s">
        <v>4060</v>
      </c>
      <c r="D1163" s="9" t="s">
        <v>522</v>
      </c>
      <c r="E1163" s="9" t="s">
        <v>523</v>
      </c>
      <c r="F1163" s="9" t="s">
        <v>532</v>
      </c>
      <c r="H1163" s="9" t="s">
        <v>525</v>
      </c>
      <c r="M1163" s="6" t="n">
        <v>3308.1</v>
      </c>
      <c r="P1163" s="46" t="n">
        <v>42186</v>
      </c>
      <c r="Q1163" s="1" t="n">
        <f aca="false">IF(OR($A1163="",P1163=""),"",ROUND(YEARFRAC(P1163,README!$C$5),1))</f>
        <v>11.1</v>
      </c>
      <c r="S1163" s="6" t="n">
        <v>7000</v>
      </c>
      <c r="T1163" s="6" t="n">
        <v>6993</v>
      </c>
      <c r="U1163" s="6" t="n">
        <v>7550</v>
      </c>
      <c r="V1163" s="6" t="n">
        <v>557</v>
      </c>
      <c r="W1163" s="6" t="n">
        <v>1</v>
      </c>
      <c r="Z1163" s="6" t="s">
        <v>4046</v>
      </c>
      <c r="AA1163" s="9" t="s">
        <v>528</v>
      </c>
      <c r="AB1163" s="9" t="s">
        <v>4061</v>
      </c>
      <c r="AE1163" s="37" t="n">
        <f aca="false">COUNTIF(環境認証!$A$2:$A$849,A1163)</f>
        <v>0</v>
      </c>
      <c r="AF1163" s="6" t="n">
        <v>8</v>
      </c>
      <c r="AG1163" s="6" t="n">
        <v>7.9</v>
      </c>
    </row>
    <row r="1164" customFormat="false" ht="15" hidden="false" customHeight="true" outlineLevel="0" collapsed="false">
      <c r="A1164" s="6" t="s">
        <v>4062</v>
      </c>
      <c r="B1164" s="6" t="s">
        <v>477</v>
      </c>
      <c r="C1164" s="9" t="s">
        <v>4063</v>
      </c>
      <c r="D1164" s="9" t="s">
        <v>522</v>
      </c>
      <c r="E1164" s="9" t="s">
        <v>547</v>
      </c>
      <c r="F1164" s="9" t="s">
        <v>4064</v>
      </c>
      <c r="H1164" s="9" t="s">
        <v>550</v>
      </c>
      <c r="M1164" s="6" t="n">
        <v>3687.53</v>
      </c>
      <c r="P1164" s="46" t="n">
        <v>34001</v>
      </c>
      <c r="Q1164" s="1" t="n">
        <f aca="false">IF(OR($A1164="",P1164=""),"",ROUND(YEARFRAC(P1164,README!$C$5),1))</f>
        <v>33.5</v>
      </c>
      <c r="S1164" s="6" t="n">
        <v>2800</v>
      </c>
      <c r="T1164" s="6" t="n">
        <v>2872</v>
      </c>
      <c r="U1164" s="6" t="n">
        <v>2750</v>
      </c>
      <c r="V1164" s="6" t="n">
        <v>-122</v>
      </c>
      <c r="W1164" s="6" t="n">
        <v>1</v>
      </c>
      <c r="Z1164" s="6" t="s">
        <v>4046</v>
      </c>
      <c r="AA1164" s="9" t="s">
        <v>528</v>
      </c>
      <c r="AE1164" s="37" t="n">
        <f aca="false">COUNTIF(環境認証!$A$2:$A$849,A1164)</f>
        <v>0</v>
      </c>
      <c r="AF1164" s="6" t="n">
        <v>-4.2</v>
      </c>
      <c r="AG1164" s="6" t="n">
        <v>-1.8</v>
      </c>
    </row>
    <row r="1165" customFormat="false" ht="15" hidden="false" customHeight="true" outlineLevel="0" collapsed="false">
      <c r="A1165" s="6" t="s">
        <v>4065</v>
      </c>
      <c r="B1165" s="6" t="s">
        <v>477</v>
      </c>
      <c r="C1165" s="9" t="s">
        <v>4066</v>
      </c>
      <c r="D1165" s="9" t="s">
        <v>522</v>
      </c>
      <c r="E1165" s="9" t="s">
        <v>596</v>
      </c>
      <c r="F1165" s="9" t="s">
        <v>4067</v>
      </c>
      <c r="H1165" s="6" t="s">
        <v>599</v>
      </c>
      <c r="M1165" s="6" t="n">
        <v>14587</v>
      </c>
      <c r="P1165" s="46" t="n">
        <v>35096</v>
      </c>
      <c r="Q1165" s="1" t="n">
        <f aca="false">IF(OR($A1165="",P1165=""),"",ROUND(YEARFRAC(P1165,README!$C$5),1))</f>
        <v>30.5</v>
      </c>
      <c r="S1165" s="6" t="n">
        <v>10000</v>
      </c>
      <c r="T1165" s="6" t="n">
        <v>5102</v>
      </c>
      <c r="U1165" s="6" t="n">
        <v>5260</v>
      </c>
      <c r="V1165" s="6" t="n">
        <v>158</v>
      </c>
      <c r="W1165" s="6" t="n">
        <v>0</v>
      </c>
      <c r="Z1165" s="6" t="s">
        <v>4046</v>
      </c>
      <c r="AA1165" s="9" t="s">
        <v>528</v>
      </c>
      <c r="AB1165" s="6" t="s">
        <v>4068</v>
      </c>
      <c r="AE1165" s="37" t="n">
        <f aca="false">COUNTIF(環境認証!$A$2:$A$849,A1165)</f>
        <v>0</v>
      </c>
      <c r="AF1165" s="6" t="n">
        <v>3.1</v>
      </c>
      <c r="AG1165" s="6" t="n">
        <v>-47.4</v>
      </c>
    </row>
    <row r="1166" customFormat="false" ht="15" hidden="false" customHeight="true" outlineLevel="0" collapsed="false">
      <c r="A1166" s="6" t="s">
        <v>4069</v>
      </c>
      <c r="B1166" s="6" t="s">
        <v>477</v>
      </c>
      <c r="C1166" s="9" t="s">
        <v>4070</v>
      </c>
      <c r="D1166" s="9" t="s">
        <v>1316</v>
      </c>
      <c r="E1166" s="9" t="s">
        <v>523</v>
      </c>
      <c r="F1166" s="9" t="s">
        <v>666</v>
      </c>
      <c r="H1166" s="9" t="s">
        <v>525</v>
      </c>
      <c r="M1166" s="6" t="n">
        <v>6006.53</v>
      </c>
      <c r="P1166" s="46" t="n">
        <v>43101</v>
      </c>
      <c r="Q1166" s="1" t="n">
        <f aca="false">IF(OR($A1166="",P1166=""),"",ROUND(YEARFRAC(P1166,README!$C$5),1))</f>
        <v>8.6</v>
      </c>
      <c r="S1166" s="6" t="n">
        <v>8961</v>
      </c>
      <c r="T1166" s="6" t="n">
        <v>8737</v>
      </c>
      <c r="U1166" s="6" t="n">
        <v>9640</v>
      </c>
      <c r="V1166" s="6" t="n">
        <v>903</v>
      </c>
      <c r="W1166" s="6" t="n">
        <v>1</v>
      </c>
      <c r="Z1166" s="6" t="s">
        <v>4046</v>
      </c>
      <c r="AA1166" s="9" t="s">
        <v>528</v>
      </c>
      <c r="AE1166" s="37" t="n">
        <f aca="false">COUNTIF(環境認証!$A$2:$A$849,A1166)</f>
        <v>0</v>
      </c>
      <c r="AF1166" s="6" t="n">
        <v>10.3</v>
      </c>
      <c r="AG1166" s="6" t="n">
        <v>7.6</v>
      </c>
    </row>
    <row r="1167" customFormat="false" ht="15" hidden="false" customHeight="true" outlineLevel="0" collapsed="false">
      <c r="A1167" s="6" t="s">
        <v>4071</v>
      </c>
      <c r="B1167" s="6" t="s">
        <v>477</v>
      </c>
      <c r="C1167" s="9" t="s">
        <v>4072</v>
      </c>
      <c r="D1167" s="9" t="s">
        <v>1316</v>
      </c>
      <c r="E1167" s="9" t="s">
        <v>715</v>
      </c>
      <c r="F1167" s="9" t="s">
        <v>4073</v>
      </c>
      <c r="H1167" s="6" t="s">
        <v>599</v>
      </c>
      <c r="M1167" s="6" t="n">
        <v>9160.15</v>
      </c>
      <c r="P1167" s="46" t="n">
        <v>43374</v>
      </c>
      <c r="Q1167" s="1" t="n">
        <f aca="false">IF(OR($A1167="",P1167=""),"",ROUND(YEARFRAC(P1167,README!$C$5),1))</f>
        <v>7.9</v>
      </c>
      <c r="S1167" s="6" t="n">
        <v>3990</v>
      </c>
      <c r="T1167" s="6" t="n">
        <v>3719</v>
      </c>
      <c r="U1167" s="6" t="n">
        <v>4340</v>
      </c>
      <c r="V1167" s="6" t="n">
        <v>621</v>
      </c>
      <c r="W1167" s="6" t="n">
        <v>1</v>
      </c>
      <c r="Z1167" s="6" t="s">
        <v>4046</v>
      </c>
      <c r="AA1167" s="9" t="s">
        <v>528</v>
      </c>
      <c r="AE1167" s="37" t="n">
        <f aca="false">COUNTIF(環境認証!$A$2:$A$849,A1167)</f>
        <v>0</v>
      </c>
      <c r="AF1167" s="6" t="n">
        <v>16.7</v>
      </c>
      <c r="AG1167" s="6" t="n">
        <v>8.8</v>
      </c>
    </row>
    <row r="1168" customFormat="false" ht="15" hidden="false" customHeight="true" outlineLevel="0" collapsed="false">
      <c r="A1168" s="6" t="s">
        <v>4074</v>
      </c>
      <c r="B1168" s="6" t="s">
        <v>477</v>
      </c>
      <c r="C1168" s="6" t="s">
        <v>4075</v>
      </c>
      <c r="D1168" s="9" t="s">
        <v>3700</v>
      </c>
      <c r="E1168" s="9" t="s">
        <v>573</v>
      </c>
      <c r="F1168" s="9" t="s">
        <v>4076</v>
      </c>
      <c r="H1168" s="9" t="s">
        <v>569</v>
      </c>
      <c r="M1168" s="6" t="n">
        <v>14748.33</v>
      </c>
      <c r="P1168" s="46" t="n">
        <v>44835</v>
      </c>
      <c r="Q1168" s="1" t="n">
        <f aca="false">IF(OR($A1168="",P1168=""),"",ROUND(YEARFRAC(P1168,README!$C$5),1))</f>
        <v>3.9</v>
      </c>
      <c r="S1168" s="6" t="n">
        <v>5242</v>
      </c>
      <c r="T1168" s="6" t="n">
        <v>5207</v>
      </c>
      <c r="U1168" s="6" t="n">
        <v>5520</v>
      </c>
      <c r="V1168" s="6" t="n">
        <v>313</v>
      </c>
      <c r="W1168" s="6" t="n">
        <v>1</v>
      </c>
      <c r="Z1168" s="6" t="s">
        <v>4046</v>
      </c>
      <c r="AA1168" s="9" t="s">
        <v>528</v>
      </c>
      <c r="AB1168" s="9" t="s">
        <v>4077</v>
      </c>
      <c r="AE1168" s="37" t="n">
        <f aca="false">COUNTIF(環境認証!$A$2:$A$849,A1168)</f>
        <v>1</v>
      </c>
      <c r="AF1168" s="6" t="n">
        <v>6</v>
      </c>
      <c r="AG1168" s="6" t="n">
        <v>5.3</v>
      </c>
    </row>
    <row r="1169" customFormat="false" ht="15" hidden="false" customHeight="true" outlineLevel="0" collapsed="false">
      <c r="A1169" s="6" t="s">
        <v>4078</v>
      </c>
      <c r="B1169" s="6" t="s">
        <v>477</v>
      </c>
      <c r="C1169" s="9" t="s">
        <v>4079</v>
      </c>
      <c r="D1169" s="9" t="s">
        <v>1316</v>
      </c>
      <c r="E1169" s="9" t="s">
        <v>1822</v>
      </c>
      <c r="F1169" s="9" t="s">
        <v>4080</v>
      </c>
      <c r="H1169" s="9" t="s">
        <v>569</v>
      </c>
      <c r="M1169" s="6" t="n">
        <v>6029.4</v>
      </c>
      <c r="P1169" s="46" t="n">
        <v>43040</v>
      </c>
      <c r="Q1169" s="1" t="n">
        <f aca="false">IF(OR($A1169="",P1169=""),"",ROUND(YEARFRAC(P1169,README!$C$5),1))</f>
        <v>8.8</v>
      </c>
      <c r="S1169" s="6" t="n">
        <v>5800</v>
      </c>
      <c r="T1169" s="6" t="n">
        <v>5796</v>
      </c>
      <c r="U1169" s="6" t="n">
        <v>6610</v>
      </c>
      <c r="V1169" s="6" t="n">
        <v>814</v>
      </c>
      <c r="W1169" s="6" t="n">
        <v>1</v>
      </c>
      <c r="Z1169" s="6" t="s">
        <v>4046</v>
      </c>
      <c r="AA1169" s="9" t="s">
        <v>528</v>
      </c>
      <c r="AB1169" s="9" t="s">
        <v>4081</v>
      </c>
      <c r="AE1169" s="37" t="n">
        <f aca="false">COUNTIF(環境認証!$A$2:$A$849,A1169)</f>
        <v>1</v>
      </c>
      <c r="AF1169" s="6" t="n">
        <v>14</v>
      </c>
      <c r="AG1169" s="6" t="n">
        <v>14</v>
      </c>
    </row>
    <row r="1170" customFormat="false" ht="15" hidden="false" customHeight="true" outlineLevel="0" collapsed="false">
      <c r="A1170" s="6" t="s">
        <v>4082</v>
      </c>
      <c r="B1170" s="6" t="s">
        <v>477</v>
      </c>
      <c r="C1170" s="9" t="s">
        <v>4083</v>
      </c>
      <c r="D1170" s="9" t="s">
        <v>1316</v>
      </c>
      <c r="E1170" s="9" t="s">
        <v>4084</v>
      </c>
      <c r="F1170" s="9" t="s">
        <v>4085</v>
      </c>
      <c r="H1170" s="9" t="s">
        <v>734</v>
      </c>
      <c r="M1170" s="6" t="n">
        <v>5177.73</v>
      </c>
      <c r="P1170" s="46" t="n">
        <v>43466</v>
      </c>
      <c r="Q1170" s="1" t="n">
        <f aca="false">IF(OR($A1170="",P1170=""),"",ROUND(YEARFRAC(P1170,README!$C$5),1))</f>
        <v>7.6</v>
      </c>
      <c r="S1170" s="6" t="n">
        <v>3250</v>
      </c>
      <c r="T1170" s="6" t="n">
        <v>3200</v>
      </c>
      <c r="U1170" s="6" t="n">
        <v>3300</v>
      </c>
      <c r="V1170" s="6" t="n">
        <v>100</v>
      </c>
      <c r="W1170" s="6" t="n">
        <v>1</v>
      </c>
      <c r="Z1170" s="6" t="s">
        <v>4046</v>
      </c>
      <c r="AA1170" s="9" t="s">
        <v>528</v>
      </c>
      <c r="AB1170" s="9" t="s">
        <v>4081</v>
      </c>
      <c r="AE1170" s="37" t="n">
        <f aca="false">COUNTIF(環境認証!$A$2:$A$849,A1170)</f>
        <v>1</v>
      </c>
      <c r="AF1170" s="6" t="n">
        <v>3.1</v>
      </c>
      <c r="AG1170" s="6" t="n">
        <v>1.5</v>
      </c>
    </row>
    <row r="1171" customFormat="false" ht="15" hidden="false" customHeight="true" outlineLevel="0" collapsed="false">
      <c r="A1171" s="6" t="s">
        <v>4086</v>
      </c>
      <c r="B1171" s="6" t="s">
        <v>477</v>
      </c>
      <c r="C1171" s="9" t="s">
        <v>4087</v>
      </c>
      <c r="D1171" s="9" t="s">
        <v>1316</v>
      </c>
      <c r="E1171" s="9" t="s">
        <v>573</v>
      </c>
      <c r="F1171" s="9" t="s">
        <v>4088</v>
      </c>
      <c r="H1171" s="9" t="s">
        <v>569</v>
      </c>
      <c r="M1171" s="6" t="n">
        <v>4353.79</v>
      </c>
      <c r="P1171" s="46" t="n">
        <v>44197</v>
      </c>
      <c r="Q1171" s="1" t="n">
        <f aca="false">IF(OR($A1171="",P1171=""),"",ROUND(YEARFRAC(P1171,README!$C$5),1))</f>
        <v>5.6</v>
      </c>
      <c r="S1171" s="6" t="n">
        <v>7800</v>
      </c>
      <c r="T1171" s="6" t="n">
        <v>7766</v>
      </c>
      <c r="U1171" s="6" t="n">
        <v>9230</v>
      </c>
      <c r="V1171" s="6" t="n">
        <v>1464</v>
      </c>
      <c r="W1171" s="6" t="n">
        <v>1</v>
      </c>
      <c r="Z1171" s="6" t="s">
        <v>4046</v>
      </c>
      <c r="AA1171" s="9" t="s">
        <v>528</v>
      </c>
      <c r="AB1171" s="9" t="s">
        <v>4089</v>
      </c>
      <c r="AE1171" s="37" t="n">
        <f aca="false">COUNTIF(環境認証!$A$2:$A$849,A1171)</f>
        <v>1</v>
      </c>
      <c r="AF1171" s="6" t="n">
        <v>18.9</v>
      </c>
      <c r="AG1171" s="6" t="n">
        <v>18.3</v>
      </c>
    </row>
    <row r="1172" customFormat="false" ht="15" hidden="false" customHeight="true" outlineLevel="0" collapsed="false">
      <c r="A1172" s="6" t="s">
        <v>4090</v>
      </c>
      <c r="B1172" s="6" t="s">
        <v>477</v>
      </c>
      <c r="C1172" s="9" t="s">
        <v>4091</v>
      </c>
      <c r="D1172" s="9" t="s">
        <v>1316</v>
      </c>
      <c r="E1172" s="9" t="s">
        <v>604</v>
      </c>
      <c r="F1172" s="9" t="s">
        <v>4092</v>
      </c>
      <c r="H1172" s="6" t="s">
        <v>599</v>
      </c>
      <c r="M1172" s="6" t="n">
        <v>4427.11</v>
      </c>
      <c r="P1172" s="46" t="n">
        <v>43525</v>
      </c>
      <c r="Q1172" s="1" t="n">
        <f aca="false">IF(OR($A1172="",P1172=""),"",ROUND(YEARFRAC(P1172,README!$C$5),1))</f>
        <v>7.4</v>
      </c>
      <c r="S1172" s="6" t="n">
        <v>2920</v>
      </c>
      <c r="T1172" s="6" t="n">
        <v>2904</v>
      </c>
      <c r="U1172" s="6" t="n">
        <v>3010</v>
      </c>
      <c r="V1172" s="6" t="n">
        <v>106</v>
      </c>
      <c r="W1172" s="6" t="n">
        <v>1</v>
      </c>
      <c r="Z1172" s="6" t="s">
        <v>4046</v>
      </c>
      <c r="AA1172" s="9" t="s">
        <v>528</v>
      </c>
      <c r="AB1172" s="9" t="s">
        <v>4093</v>
      </c>
      <c r="AE1172" s="37" t="n">
        <f aca="false">COUNTIF(環境認証!$A$2:$A$849,A1172)</f>
        <v>0</v>
      </c>
      <c r="AF1172" s="6" t="n">
        <v>3.7</v>
      </c>
      <c r="AG1172" s="6" t="n">
        <v>3.1</v>
      </c>
    </row>
    <row r="1173" customFormat="false" ht="15" hidden="false" customHeight="true" outlineLevel="0" collapsed="false">
      <c r="A1173" s="6" t="s">
        <v>4094</v>
      </c>
      <c r="B1173" s="6" t="s">
        <v>477</v>
      </c>
      <c r="C1173" s="9" t="s">
        <v>4095</v>
      </c>
      <c r="D1173" s="9" t="s">
        <v>4041</v>
      </c>
      <c r="H1173" s="9" t="s">
        <v>4042</v>
      </c>
      <c r="Q1173" s="1" t="str">
        <f aca="false">IF(OR($A1173="",P1173=""),"",ROUND(YEARFRAC(P1173,README!$C$5),1))</f>
        <v/>
      </c>
      <c r="S1173" s="6" t="n">
        <v>93938</v>
      </c>
      <c r="T1173" s="6" t="n">
        <v>88790</v>
      </c>
      <c r="U1173" s="6" t="n">
        <v>96660</v>
      </c>
      <c r="V1173" s="1" t="n">
        <f aca="false">IF($A1173="","",IF(OR(T1173="",U1173=""),"",U1173-T1173))</f>
        <v>7870</v>
      </c>
      <c r="W1173" s="6" t="n">
        <v>0.817</v>
      </c>
      <c r="Z1173" s="6" t="s">
        <v>4046</v>
      </c>
      <c r="AA1173" s="44" t="s">
        <v>1168</v>
      </c>
      <c r="AB1173" s="6" t="s">
        <v>4096</v>
      </c>
      <c r="AE1173" s="37" t="n">
        <f aca="false">COUNTIF(環境認証!$A$2:$A$849,A1173)</f>
        <v>0</v>
      </c>
    </row>
    <row r="1174" customFormat="false" ht="15" hidden="false" customHeight="true" outlineLevel="0" collapsed="false">
      <c r="A1174" s="6" t="s">
        <v>4097</v>
      </c>
      <c r="B1174" s="6" t="s">
        <v>383</v>
      </c>
      <c r="C1174" s="9" t="s">
        <v>4098</v>
      </c>
      <c r="D1174" s="9" t="s">
        <v>522</v>
      </c>
      <c r="E1174" s="9" t="s">
        <v>523</v>
      </c>
      <c r="F1174" s="9" t="s">
        <v>524</v>
      </c>
      <c r="H1174" s="9" t="s">
        <v>525</v>
      </c>
      <c r="M1174" s="6" t="n">
        <v>25678</v>
      </c>
      <c r="Q1174" s="1" t="str">
        <f aca="false">IF(OR($A1174="",P1174=""),"",ROUND(YEARFRAC(P1174,README!$C$5),1))</f>
        <v/>
      </c>
      <c r="S1174" s="6" t="n">
        <v>81555.5</v>
      </c>
      <c r="T1174" s="6" t="n">
        <v>68057</v>
      </c>
      <c r="U1174" s="6" t="n">
        <v>84400</v>
      </c>
      <c r="V1174" s="6" t="n">
        <v>16343</v>
      </c>
      <c r="W1174" s="6" t="n">
        <v>1</v>
      </c>
      <c r="X1174" s="6" t="n">
        <v>8</v>
      </c>
      <c r="Z1174" s="6" t="s">
        <v>4099</v>
      </c>
      <c r="AA1174" s="9" t="s">
        <v>528</v>
      </c>
      <c r="AB1174" s="9" t="s">
        <v>4100</v>
      </c>
      <c r="AE1174" s="37" t="n">
        <f aca="false">COUNTIF(環境認証!$A$2:$A$849,A1174)</f>
        <v>2</v>
      </c>
      <c r="AF1174" s="6" t="n">
        <v>24</v>
      </c>
      <c r="AG1174" s="6" t="n">
        <v>3.5</v>
      </c>
    </row>
    <row r="1175" customFormat="false" ht="15" hidden="false" customHeight="true" outlineLevel="0" collapsed="false">
      <c r="A1175" s="6" t="s">
        <v>4101</v>
      </c>
      <c r="B1175" s="6" t="s">
        <v>383</v>
      </c>
      <c r="C1175" s="9" t="s">
        <v>4102</v>
      </c>
      <c r="D1175" s="9" t="s">
        <v>522</v>
      </c>
      <c r="E1175" s="9" t="s">
        <v>523</v>
      </c>
      <c r="F1175" s="9" t="s">
        <v>524</v>
      </c>
      <c r="H1175" s="9" t="s">
        <v>525</v>
      </c>
      <c r="M1175" s="6" t="n">
        <v>6269</v>
      </c>
      <c r="Q1175" s="1" t="str">
        <f aca="false">IF(OR($A1175="",P1175=""),"",ROUND(YEARFRAC(P1175,README!$C$5),1))</f>
        <v/>
      </c>
      <c r="S1175" s="6" t="n">
        <v>9520</v>
      </c>
      <c r="T1175" s="6" t="n">
        <v>8513</v>
      </c>
      <c r="U1175" s="6" t="n">
        <v>9600</v>
      </c>
      <c r="V1175" s="6" t="n">
        <v>1087</v>
      </c>
      <c r="W1175" s="6" t="n">
        <v>1</v>
      </c>
      <c r="X1175" s="6" t="n">
        <v>9</v>
      </c>
      <c r="Z1175" s="6" t="s">
        <v>4099</v>
      </c>
      <c r="AA1175" s="9" t="s">
        <v>528</v>
      </c>
      <c r="AE1175" s="37" t="n">
        <f aca="false">COUNTIF(環境認証!$A$2:$A$849,A1175)</f>
        <v>1</v>
      </c>
      <c r="AF1175" s="6" t="n">
        <v>12.8</v>
      </c>
      <c r="AG1175" s="6" t="n">
        <v>0.8</v>
      </c>
    </row>
    <row r="1176" customFormat="false" ht="15" hidden="false" customHeight="true" outlineLevel="0" collapsed="false">
      <c r="A1176" s="6" t="s">
        <v>4103</v>
      </c>
      <c r="B1176" s="6" t="s">
        <v>383</v>
      </c>
      <c r="C1176" s="9" t="s">
        <v>4104</v>
      </c>
      <c r="D1176" s="9" t="s">
        <v>522</v>
      </c>
      <c r="E1176" s="9" t="s">
        <v>523</v>
      </c>
      <c r="F1176" s="9" t="s">
        <v>524</v>
      </c>
      <c r="H1176" s="9" t="s">
        <v>525</v>
      </c>
      <c r="M1176" s="6" t="n">
        <v>5551</v>
      </c>
      <c r="Q1176" s="1" t="str">
        <f aca="false">IF(OR($A1176="",P1176=""),"",ROUND(YEARFRAC(P1176,README!$C$5),1))</f>
        <v/>
      </c>
      <c r="S1176" s="6" t="n">
        <v>6960</v>
      </c>
      <c r="T1176" s="6" t="n">
        <v>6510</v>
      </c>
      <c r="U1176" s="6" t="n">
        <v>8210</v>
      </c>
      <c r="V1176" s="6" t="n">
        <v>1700</v>
      </c>
      <c r="W1176" s="6" t="n">
        <v>1</v>
      </c>
      <c r="X1176" s="6" t="n">
        <v>10</v>
      </c>
      <c r="Z1176" s="6" t="s">
        <v>4099</v>
      </c>
      <c r="AA1176" s="9" t="s">
        <v>528</v>
      </c>
      <c r="AB1176" s="6" t="s">
        <v>4105</v>
      </c>
      <c r="AE1176" s="37" t="n">
        <f aca="false">COUNTIF(環境認証!$A$2:$A$849,A1176)</f>
        <v>1</v>
      </c>
      <c r="AF1176" s="6" t="n">
        <v>26.1</v>
      </c>
      <c r="AG1176" s="6" t="n">
        <v>18</v>
      </c>
    </row>
    <row r="1177" customFormat="false" ht="15" hidden="false" customHeight="true" outlineLevel="0" collapsed="false">
      <c r="A1177" s="6" t="s">
        <v>4106</v>
      </c>
      <c r="B1177" s="6" t="s">
        <v>383</v>
      </c>
      <c r="C1177" s="9" t="s">
        <v>4107</v>
      </c>
      <c r="D1177" s="9" t="s">
        <v>522</v>
      </c>
      <c r="E1177" s="9" t="s">
        <v>523</v>
      </c>
      <c r="F1177" s="9" t="s">
        <v>524</v>
      </c>
      <c r="H1177" s="9" t="s">
        <v>525</v>
      </c>
      <c r="M1177" s="6" t="n">
        <v>7659</v>
      </c>
      <c r="Q1177" s="1" t="str">
        <f aca="false">IF(OR($A1177="",P1177=""),"",ROUND(YEARFRAC(P1177,README!$C$5),1))</f>
        <v/>
      </c>
      <c r="S1177" s="6" t="n">
        <v>21842.9</v>
      </c>
      <c r="T1177" s="6" t="n">
        <v>20091</v>
      </c>
      <c r="U1177" s="6" t="n">
        <v>29300</v>
      </c>
      <c r="V1177" s="6" t="n">
        <v>9209</v>
      </c>
      <c r="W1177" s="6" t="n">
        <v>0.999</v>
      </c>
      <c r="X1177" s="6" t="n">
        <v>16</v>
      </c>
      <c r="Z1177" s="6" t="s">
        <v>4099</v>
      </c>
      <c r="AA1177" s="9" t="s">
        <v>528</v>
      </c>
      <c r="AE1177" s="37" t="n">
        <f aca="false">COUNTIF(環境認証!$A$2:$A$849,A1177)</f>
        <v>1</v>
      </c>
      <c r="AF1177" s="6" t="n">
        <v>45.8</v>
      </c>
      <c r="AG1177" s="6" t="n">
        <v>34.1</v>
      </c>
    </row>
    <row r="1178" customFormat="false" ht="15" hidden="false" customHeight="true" outlineLevel="0" collapsed="false">
      <c r="A1178" s="6" t="s">
        <v>4108</v>
      </c>
      <c r="B1178" s="6" t="s">
        <v>383</v>
      </c>
      <c r="C1178" s="9" t="s">
        <v>4109</v>
      </c>
      <c r="D1178" s="9" t="s">
        <v>522</v>
      </c>
      <c r="E1178" s="9" t="s">
        <v>523</v>
      </c>
      <c r="F1178" s="9" t="s">
        <v>524</v>
      </c>
      <c r="H1178" s="9" t="s">
        <v>525</v>
      </c>
      <c r="M1178" s="6" t="n">
        <v>2372</v>
      </c>
      <c r="Q1178" s="1" t="str">
        <f aca="false">IF(OR($A1178="",P1178=""),"",ROUND(YEARFRAC(P1178,README!$C$5),1))</f>
        <v/>
      </c>
      <c r="S1178" s="6" t="n">
        <v>10175</v>
      </c>
      <c r="T1178" s="6" t="n">
        <v>9854</v>
      </c>
      <c r="U1178" s="6" t="n">
        <v>11500</v>
      </c>
      <c r="V1178" s="6" t="n">
        <v>1646</v>
      </c>
      <c r="W1178" s="6" t="n">
        <v>1</v>
      </c>
      <c r="X1178" s="6" t="n">
        <v>21</v>
      </c>
      <c r="Z1178" s="6" t="s">
        <v>4099</v>
      </c>
      <c r="AA1178" s="9" t="s">
        <v>528</v>
      </c>
      <c r="AE1178" s="37" t="n">
        <f aca="false">COUNTIF(環境認証!$A$2:$A$849,A1178)</f>
        <v>1</v>
      </c>
      <c r="AF1178" s="6" t="n">
        <v>16.7</v>
      </c>
      <c r="AG1178" s="6" t="n">
        <v>13</v>
      </c>
    </row>
    <row r="1179" customFormat="false" ht="15" hidden="false" customHeight="true" outlineLevel="0" collapsed="false">
      <c r="A1179" s="6" t="s">
        <v>4110</v>
      </c>
      <c r="B1179" s="6" t="s">
        <v>383</v>
      </c>
      <c r="C1179" s="9" t="s">
        <v>4111</v>
      </c>
      <c r="D1179" s="9" t="s">
        <v>522</v>
      </c>
      <c r="E1179" s="9" t="s">
        <v>523</v>
      </c>
      <c r="F1179" s="9" t="s">
        <v>524</v>
      </c>
      <c r="H1179" s="9" t="s">
        <v>525</v>
      </c>
      <c r="M1179" s="6" t="n">
        <v>9316</v>
      </c>
      <c r="Q1179" s="1" t="str">
        <f aca="false">IF(OR($A1179="",P1179=""),"",ROUND(YEARFRAC(P1179,README!$C$5),1))</f>
        <v/>
      </c>
      <c r="S1179" s="6" t="n">
        <v>14700</v>
      </c>
      <c r="T1179" s="6" t="n">
        <v>11935</v>
      </c>
      <c r="U1179" s="6" t="n">
        <v>18000</v>
      </c>
      <c r="V1179" s="6" t="n">
        <v>6065</v>
      </c>
      <c r="W1179" s="6" t="n">
        <v>1</v>
      </c>
      <c r="X1179" s="6" t="n">
        <v>1</v>
      </c>
      <c r="Z1179" s="6" t="s">
        <v>4099</v>
      </c>
      <c r="AA1179" s="9" t="s">
        <v>528</v>
      </c>
      <c r="AB1179" s="9" t="s">
        <v>4112</v>
      </c>
      <c r="AE1179" s="37" t="n">
        <f aca="false">COUNTIF(環境認証!$A$2:$A$849,A1179)</f>
        <v>1</v>
      </c>
      <c r="AF1179" s="6" t="n">
        <v>50.8</v>
      </c>
      <c r="AG1179" s="6" t="n">
        <v>22.4</v>
      </c>
    </row>
    <row r="1180" customFormat="false" ht="15" hidden="false" customHeight="true" outlineLevel="0" collapsed="false">
      <c r="A1180" s="6" t="s">
        <v>4113</v>
      </c>
      <c r="B1180" s="6" t="s">
        <v>383</v>
      </c>
      <c r="C1180" s="9" t="s">
        <v>4114</v>
      </c>
      <c r="D1180" s="9" t="s">
        <v>522</v>
      </c>
      <c r="E1180" s="9" t="s">
        <v>523</v>
      </c>
      <c r="F1180" s="9" t="s">
        <v>524</v>
      </c>
      <c r="H1180" s="9" t="s">
        <v>525</v>
      </c>
      <c r="M1180" s="6" t="n">
        <v>11904</v>
      </c>
      <c r="Q1180" s="1" t="str">
        <f aca="false">IF(OR($A1180="",P1180=""),"",ROUND(YEARFRAC(P1180,README!$C$5),1))</f>
        <v/>
      </c>
      <c r="S1180" s="6" t="n">
        <v>44700</v>
      </c>
      <c r="T1180" s="6" t="n">
        <v>28382</v>
      </c>
      <c r="U1180" s="6" t="n">
        <v>57700</v>
      </c>
      <c r="V1180" s="6" t="n">
        <v>29318</v>
      </c>
      <c r="W1180" s="6" t="n">
        <v>1</v>
      </c>
      <c r="X1180" s="6" t="n">
        <v>11</v>
      </c>
      <c r="Z1180" s="6" t="s">
        <v>4099</v>
      </c>
      <c r="AA1180" s="9" t="s">
        <v>528</v>
      </c>
      <c r="AE1180" s="37" t="n">
        <f aca="false">COUNTIF(環境認証!$A$2:$A$849,A1180)</f>
        <v>1</v>
      </c>
      <c r="AF1180" s="6" t="n">
        <v>103.3</v>
      </c>
      <c r="AG1180" s="6" t="n">
        <v>29.1</v>
      </c>
    </row>
    <row r="1181" customFormat="false" ht="15" hidden="false" customHeight="true" outlineLevel="0" collapsed="false">
      <c r="A1181" s="6" t="s">
        <v>4115</v>
      </c>
      <c r="B1181" s="6" t="s">
        <v>383</v>
      </c>
      <c r="C1181" s="9" t="s">
        <v>4116</v>
      </c>
      <c r="D1181" s="9" t="s">
        <v>522</v>
      </c>
      <c r="E1181" s="9" t="s">
        <v>523</v>
      </c>
      <c r="F1181" s="9" t="s">
        <v>524</v>
      </c>
      <c r="H1181" s="9" t="s">
        <v>525</v>
      </c>
      <c r="M1181" s="6" t="n">
        <v>4495</v>
      </c>
      <c r="Q1181" s="1" t="str">
        <f aca="false">IF(OR($A1181="",P1181=""),"",ROUND(YEARFRAC(P1181,README!$C$5),1))</f>
        <v/>
      </c>
      <c r="S1181" s="6" t="n">
        <v>7000</v>
      </c>
      <c r="T1181" s="6" t="n">
        <v>5094</v>
      </c>
      <c r="U1181" s="6" t="n">
        <v>7610</v>
      </c>
      <c r="V1181" s="6" t="n">
        <v>2516</v>
      </c>
      <c r="W1181" s="6" t="n">
        <v>1</v>
      </c>
      <c r="X1181" s="6" t="n">
        <v>1</v>
      </c>
      <c r="Z1181" s="6" t="s">
        <v>4099</v>
      </c>
      <c r="AA1181" s="9" t="s">
        <v>528</v>
      </c>
      <c r="AE1181" s="37" t="n">
        <f aca="false">COUNTIF(環境認証!$A$2:$A$849,A1181)</f>
        <v>1</v>
      </c>
      <c r="AF1181" s="6" t="n">
        <v>49.4</v>
      </c>
      <c r="AG1181" s="6" t="n">
        <v>8.7</v>
      </c>
    </row>
    <row r="1182" customFormat="false" ht="15" hidden="false" customHeight="true" outlineLevel="0" collapsed="false">
      <c r="A1182" s="6" t="s">
        <v>4117</v>
      </c>
      <c r="B1182" s="6" t="s">
        <v>383</v>
      </c>
      <c r="C1182" s="6" t="s">
        <v>4118</v>
      </c>
      <c r="D1182" s="9" t="s">
        <v>522</v>
      </c>
      <c r="E1182" s="9" t="s">
        <v>523</v>
      </c>
      <c r="F1182" s="9" t="s">
        <v>524</v>
      </c>
      <c r="H1182" s="9" t="s">
        <v>525</v>
      </c>
      <c r="M1182" s="6" t="n">
        <v>979</v>
      </c>
      <c r="Q1182" s="1" t="str">
        <f aca="false">IF(OR($A1182="",P1182=""),"",ROUND(YEARFRAC(P1182,README!$C$5),1))</f>
        <v/>
      </c>
      <c r="S1182" s="6" t="n">
        <v>1780</v>
      </c>
      <c r="T1182" s="6" t="n">
        <v>1739</v>
      </c>
      <c r="U1182" s="6" t="n">
        <v>1900</v>
      </c>
      <c r="V1182" s="6" t="n">
        <v>161</v>
      </c>
      <c r="W1182" s="6" t="n">
        <v>1</v>
      </c>
      <c r="X1182" s="6" t="n">
        <v>11</v>
      </c>
      <c r="Z1182" s="6" t="s">
        <v>4099</v>
      </c>
      <c r="AA1182" s="9" t="s">
        <v>528</v>
      </c>
      <c r="AE1182" s="37" t="n">
        <f aca="false">COUNTIF(環境認証!$A$2:$A$849,A1182)</f>
        <v>1</v>
      </c>
      <c r="AF1182" s="6" t="n">
        <v>9.3</v>
      </c>
      <c r="AG1182" s="6" t="n">
        <v>6.7</v>
      </c>
    </row>
    <row r="1183" customFormat="false" ht="15" hidden="false" customHeight="true" outlineLevel="0" collapsed="false">
      <c r="A1183" s="6" t="s">
        <v>4119</v>
      </c>
      <c r="B1183" s="6" t="s">
        <v>383</v>
      </c>
      <c r="C1183" s="9" t="s">
        <v>4120</v>
      </c>
      <c r="D1183" s="9" t="s">
        <v>522</v>
      </c>
      <c r="E1183" s="9" t="s">
        <v>523</v>
      </c>
      <c r="F1183" s="9" t="s">
        <v>524</v>
      </c>
      <c r="H1183" s="9" t="s">
        <v>525</v>
      </c>
      <c r="M1183" s="6" t="n">
        <v>19896</v>
      </c>
      <c r="Q1183" s="1" t="str">
        <f aca="false">IF(OR($A1183="",P1183=""),"",ROUND(YEARFRAC(P1183,README!$C$5),1))</f>
        <v/>
      </c>
      <c r="S1183" s="6" t="n">
        <v>20900</v>
      </c>
      <c r="T1183" s="6" t="n">
        <v>21623</v>
      </c>
      <c r="U1183" s="6" t="n">
        <v>23100</v>
      </c>
      <c r="V1183" s="6" t="n">
        <v>1477</v>
      </c>
      <c r="W1183" s="6" t="n">
        <v>0.952</v>
      </c>
      <c r="X1183" s="6" t="n">
        <v>54</v>
      </c>
      <c r="Z1183" s="6" t="s">
        <v>4099</v>
      </c>
      <c r="AA1183" s="9" t="s">
        <v>528</v>
      </c>
      <c r="AB1183" s="9" t="s">
        <v>4121</v>
      </c>
      <c r="AE1183" s="37" t="n">
        <f aca="false">COUNTIF(環境認証!$A$2:$A$849,A1183)</f>
        <v>1</v>
      </c>
      <c r="AF1183" s="6" t="n">
        <v>6.8</v>
      </c>
      <c r="AG1183" s="6" t="n">
        <v>10.5</v>
      </c>
    </row>
    <row r="1184" customFormat="false" ht="15" hidden="false" customHeight="true" outlineLevel="0" collapsed="false">
      <c r="A1184" s="6" t="s">
        <v>4122</v>
      </c>
      <c r="B1184" s="6" t="s">
        <v>383</v>
      </c>
      <c r="C1184" s="9" t="s">
        <v>4123</v>
      </c>
      <c r="D1184" s="9" t="s">
        <v>522</v>
      </c>
      <c r="E1184" s="9" t="s">
        <v>523</v>
      </c>
      <c r="F1184" s="9" t="s">
        <v>524</v>
      </c>
      <c r="H1184" s="9" t="s">
        <v>525</v>
      </c>
      <c r="M1184" s="6" t="n">
        <v>4697</v>
      </c>
      <c r="Q1184" s="1" t="str">
        <f aca="false">IF(OR($A1184="",P1184=""),"",ROUND(YEARFRAC(P1184,README!$C$5),1))</f>
        <v/>
      </c>
      <c r="S1184" s="6" t="n">
        <v>7200</v>
      </c>
      <c r="T1184" s="6" t="n">
        <v>7720</v>
      </c>
      <c r="U1184" s="6" t="n">
        <v>9940</v>
      </c>
      <c r="V1184" s="6" t="n">
        <v>2220</v>
      </c>
      <c r="W1184" s="6" t="n">
        <v>1</v>
      </c>
      <c r="X1184" s="6" t="n">
        <v>13</v>
      </c>
      <c r="Z1184" s="6" t="s">
        <v>4099</v>
      </c>
      <c r="AA1184" s="9" t="s">
        <v>528</v>
      </c>
      <c r="AE1184" s="37" t="n">
        <f aca="false">COUNTIF(環境認証!$A$2:$A$849,A1184)</f>
        <v>1</v>
      </c>
      <c r="AF1184" s="6" t="n">
        <v>28.8</v>
      </c>
      <c r="AG1184" s="6" t="n">
        <v>38.1</v>
      </c>
    </row>
    <row r="1185" customFormat="false" ht="15" hidden="false" customHeight="true" outlineLevel="0" collapsed="false">
      <c r="A1185" s="6" t="s">
        <v>4124</v>
      </c>
      <c r="B1185" s="6" t="s">
        <v>383</v>
      </c>
      <c r="C1185" s="9" t="s">
        <v>4125</v>
      </c>
      <c r="D1185" s="9" t="s">
        <v>522</v>
      </c>
      <c r="E1185" s="9" t="s">
        <v>523</v>
      </c>
      <c r="F1185" s="9" t="s">
        <v>666</v>
      </c>
      <c r="H1185" s="9" t="s">
        <v>525</v>
      </c>
      <c r="M1185" s="6" t="n">
        <v>8468</v>
      </c>
      <c r="Q1185" s="1" t="str">
        <f aca="false">IF(OR($A1185="",P1185=""),"",ROUND(YEARFRAC(P1185,README!$C$5),1))</f>
        <v/>
      </c>
      <c r="S1185" s="6" t="n">
        <v>17560</v>
      </c>
      <c r="T1185" s="6" t="n">
        <v>16946</v>
      </c>
      <c r="U1185" s="6" t="n">
        <v>22200</v>
      </c>
      <c r="V1185" s="6" t="n">
        <v>5254</v>
      </c>
      <c r="W1185" s="6" t="n">
        <v>1</v>
      </c>
      <c r="X1185" s="6" t="n">
        <v>2</v>
      </c>
      <c r="Z1185" s="6" t="s">
        <v>4099</v>
      </c>
      <c r="AA1185" s="9" t="s">
        <v>528</v>
      </c>
      <c r="AE1185" s="37" t="n">
        <f aca="false">COUNTIF(環境認証!$A$2:$A$849,A1185)</f>
        <v>2</v>
      </c>
      <c r="AF1185" s="6" t="n">
        <v>31</v>
      </c>
      <c r="AG1185" s="6" t="n">
        <v>26.4</v>
      </c>
    </row>
    <row r="1186" customFormat="false" ht="15" hidden="false" customHeight="true" outlineLevel="0" collapsed="false">
      <c r="A1186" s="6" t="s">
        <v>4126</v>
      </c>
      <c r="B1186" s="6" t="s">
        <v>383</v>
      </c>
      <c r="C1186" s="9" t="s">
        <v>4127</v>
      </c>
      <c r="D1186" s="9" t="s">
        <v>522</v>
      </c>
      <c r="E1186" s="9" t="s">
        <v>523</v>
      </c>
      <c r="F1186" s="9" t="s">
        <v>666</v>
      </c>
      <c r="H1186" s="9" t="s">
        <v>525</v>
      </c>
      <c r="M1186" s="6" t="n">
        <v>4419</v>
      </c>
      <c r="Q1186" s="1" t="str">
        <f aca="false">IF(OR($A1186="",P1186=""),"",ROUND(YEARFRAC(P1186,README!$C$5),1))</f>
        <v/>
      </c>
      <c r="S1186" s="6" t="n">
        <v>4410</v>
      </c>
      <c r="T1186" s="6" t="n">
        <v>4008</v>
      </c>
      <c r="U1186" s="6" t="n">
        <v>5160</v>
      </c>
      <c r="V1186" s="6" t="n">
        <v>1152</v>
      </c>
      <c r="W1186" s="6" t="n">
        <v>0.931</v>
      </c>
      <c r="X1186" s="6" t="n">
        <v>9</v>
      </c>
      <c r="Z1186" s="6" t="s">
        <v>4099</v>
      </c>
      <c r="AA1186" s="9" t="s">
        <v>528</v>
      </c>
      <c r="AE1186" s="37" t="n">
        <f aca="false">COUNTIF(環境認証!$A$2:$A$849,A1186)</f>
        <v>1</v>
      </c>
      <c r="AF1186" s="6" t="n">
        <v>28.7</v>
      </c>
      <c r="AG1186" s="6" t="n">
        <v>17</v>
      </c>
    </row>
    <row r="1187" customFormat="false" ht="15" hidden="false" customHeight="true" outlineLevel="0" collapsed="false">
      <c r="A1187" s="6" t="s">
        <v>4128</v>
      </c>
      <c r="B1187" s="6" t="s">
        <v>383</v>
      </c>
      <c r="C1187" s="9" t="s">
        <v>4129</v>
      </c>
      <c r="D1187" s="9" t="s">
        <v>522</v>
      </c>
      <c r="E1187" s="9" t="s">
        <v>523</v>
      </c>
      <c r="F1187" s="9" t="s">
        <v>666</v>
      </c>
      <c r="H1187" s="9" t="s">
        <v>525</v>
      </c>
      <c r="M1187" s="6" t="n">
        <v>4279</v>
      </c>
      <c r="Q1187" s="1" t="str">
        <f aca="false">IF(OR($A1187="",P1187=""),"",ROUND(YEARFRAC(P1187,README!$C$5),1))</f>
        <v/>
      </c>
      <c r="S1187" s="6" t="n">
        <v>5250</v>
      </c>
      <c r="T1187" s="6" t="n">
        <v>4261</v>
      </c>
      <c r="U1187" s="6" t="n">
        <v>8920</v>
      </c>
      <c r="V1187" s="6" t="n">
        <v>4659</v>
      </c>
      <c r="W1187" s="6" t="n">
        <v>1</v>
      </c>
      <c r="X1187" s="6" t="n">
        <v>1</v>
      </c>
      <c r="Z1187" s="6" t="s">
        <v>4099</v>
      </c>
      <c r="AA1187" s="9" t="s">
        <v>528</v>
      </c>
      <c r="AE1187" s="37" t="n">
        <f aca="false">COUNTIF(環境認証!$A$2:$A$849,A1187)</f>
        <v>0</v>
      </c>
      <c r="AF1187" s="6" t="n">
        <v>109.3</v>
      </c>
      <c r="AG1187" s="6" t="n">
        <v>69.9</v>
      </c>
    </row>
    <row r="1188" customFormat="false" ht="15" hidden="false" customHeight="true" outlineLevel="0" collapsed="false">
      <c r="A1188" s="6" t="s">
        <v>4130</v>
      </c>
      <c r="B1188" s="6" t="s">
        <v>383</v>
      </c>
      <c r="C1188" s="9" t="s">
        <v>4131</v>
      </c>
      <c r="D1188" s="9" t="s">
        <v>522</v>
      </c>
      <c r="E1188" s="9" t="s">
        <v>523</v>
      </c>
      <c r="F1188" s="9" t="s">
        <v>666</v>
      </c>
      <c r="H1188" s="9" t="s">
        <v>525</v>
      </c>
      <c r="M1188" s="6" t="n">
        <v>4513</v>
      </c>
      <c r="Q1188" s="1" t="str">
        <f aca="false">IF(OR($A1188="",P1188=""),"",ROUND(YEARFRAC(P1188,README!$C$5),1))</f>
        <v/>
      </c>
      <c r="S1188" s="6" t="n">
        <v>6459</v>
      </c>
      <c r="T1188" s="6" t="n">
        <v>5738</v>
      </c>
      <c r="U1188" s="6" t="n">
        <v>8910</v>
      </c>
      <c r="V1188" s="6" t="n">
        <v>3172</v>
      </c>
      <c r="W1188" s="6" t="n">
        <v>1</v>
      </c>
      <c r="X1188" s="6" t="n">
        <v>8</v>
      </c>
      <c r="Z1188" s="6" t="s">
        <v>4099</v>
      </c>
      <c r="AA1188" s="9" t="s">
        <v>528</v>
      </c>
      <c r="AE1188" s="37" t="n">
        <f aca="false">COUNTIF(環境認証!$A$2:$A$849,A1188)</f>
        <v>2</v>
      </c>
      <c r="AF1188" s="6" t="n">
        <v>55.3</v>
      </c>
      <c r="AG1188" s="6" t="n">
        <v>37.9</v>
      </c>
    </row>
    <row r="1189" customFormat="false" ht="15" hidden="false" customHeight="true" outlineLevel="0" collapsed="false">
      <c r="A1189" s="6" t="s">
        <v>4132</v>
      </c>
      <c r="B1189" s="6" t="s">
        <v>383</v>
      </c>
      <c r="C1189" s="9" t="s">
        <v>1214</v>
      </c>
      <c r="D1189" s="9" t="s">
        <v>522</v>
      </c>
      <c r="E1189" s="9" t="s">
        <v>523</v>
      </c>
      <c r="F1189" s="9" t="s">
        <v>666</v>
      </c>
      <c r="H1189" s="9" t="s">
        <v>525</v>
      </c>
      <c r="M1189" s="6" t="n">
        <v>4266</v>
      </c>
      <c r="Q1189" s="1" t="str">
        <f aca="false">IF(OR($A1189="",P1189=""),"",ROUND(YEARFRAC(P1189,README!$C$5),1))</f>
        <v/>
      </c>
      <c r="S1189" s="6" t="n">
        <v>16830</v>
      </c>
      <c r="T1189" s="6" t="n">
        <v>17298</v>
      </c>
      <c r="U1189" s="6" t="n">
        <v>27300</v>
      </c>
      <c r="V1189" s="6" t="n">
        <v>10002</v>
      </c>
      <c r="W1189" s="6" t="n">
        <v>1</v>
      </c>
      <c r="X1189" s="6" t="n">
        <v>10</v>
      </c>
      <c r="Z1189" s="6" t="s">
        <v>4099</v>
      </c>
      <c r="AA1189" s="9" t="s">
        <v>528</v>
      </c>
      <c r="AE1189" s="37" t="n">
        <f aca="false">COUNTIF(環境認証!$A$2:$A$849,A1189)</f>
        <v>1</v>
      </c>
      <c r="AF1189" s="6" t="n">
        <v>57.8</v>
      </c>
      <c r="AG1189" s="6" t="n">
        <v>62.2</v>
      </c>
    </row>
    <row r="1190" customFormat="false" ht="15" hidden="false" customHeight="true" outlineLevel="0" collapsed="false">
      <c r="A1190" s="6" t="s">
        <v>4133</v>
      </c>
      <c r="B1190" s="6" t="s">
        <v>383</v>
      </c>
      <c r="C1190" s="9" t="s">
        <v>4134</v>
      </c>
      <c r="D1190" s="9" t="s">
        <v>522</v>
      </c>
      <c r="E1190" s="9" t="s">
        <v>523</v>
      </c>
      <c r="F1190" s="9" t="s">
        <v>666</v>
      </c>
      <c r="H1190" s="9" t="s">
        <v>525</v>
      </c>
      <c r="M1190" s="6" t="n">
        <v>4255</v>
      </c>
      <c r="Q1190" s="1" t="str">
        <f aca="false">IF(OR($A1190="",P1190=""),"",ROUND(YEARFRAC(P1190,README!$C$5),1))</f>
        <v/>
      </c>
      <c r="S1190" s="6" t="n">
        <v>7999.4</v>
      </c>
      <c r="T1190" s="6" t="n">
        <v>6953</v>
      </c>
      <c r="U1190" s="6" t="n">
        <v>6640</v>
      </c>
      <c r="V1190" s="6" t="n">
        <v>-313</v>
      </c>
      <c r="W1190" s="6" t="n">
        <v>1</v>
      </c>
      <c r="X1190" s="6" t="n">
        <v>9</v>
      </c>
      <c r="Z1190" s="6" t="s">
        <v>4099</v>
      </c>
      <c r="AA1190" s="9" t="s">
        <v>528</v>
      </c>
      <c r="AB1190" s="9" t="s">
        <v>4135</v>
      </c>
      <c r="AE1190" s="37" t="n">
        <f aca="false">COUNTIF(環境認証!$A$2:$A$849,A1190)</f>
        <v>1</v>
      </c>
      <c r="AF1190" s="6" t="n">
        <v>-4.5</v>
      </c>
      <c r="AG1190" s="6" t="n">
        <v>-17</v>
      </c>
    </row>
    <row r="1191" customFormat="false" ht="15" hidden="false" customHeight="true" outlineLevel="0" collapsed="false">
      <c r="A1191" s="6" t="s">
        <v>4136</v>
      </c>
      <c r="B1191" s="6" t="s">
        <v>383</v>
      </c>
      <c r="C1191" s="9" t="s">
        <v>4137</v>
      </c>
      <c r="D1191" s="9" t="s">
        <v>522</v>
      </c>
      <c r="E1191" s="9" t="s">
        <v>523</v>
      </c>
      <c r="F1191" s="9" t="s">
        <v>532</v>
      </c>
      <c r="H1191" s="9" t="s">
        <v>525</v>
      </c>
      <c r="M1191" s="6" t="n">
        <v>29957</v>
      </c>
      <c r="Q1191" s="1" t="str">
        <f aca="false">IF(OR($A1191="",P1191=""),"",ROUND(YEARFRAC(P1191,README!$C$5),1))</f>
        <v/>
      </c>
      <c r="S1191" s="6" t="n">
        <v>40517.1</v>
      </c>
      <c r="T1191" s="6" t="n">
        <v>37425</v>
      </c>
      <c r="U1191" s="6" t="n">
        <v>53400</v>
      </c>
      <c r="V1191" s="6" t="n">
        <v>15975</v>
      </c>
      <c r="W1191" s="6" t="n">
        <v>1</v>
      </c>
      <c r="X1191" s="6" t="n">
        <v>38</v>
      </c>
      <c r="Z1191" s="6" t="s">
        <v>4099</v>
      </c>
      <c r="AA1191" s="9" t="s">
        <v>528</v>
      </c>
      <c r="AB1191" s="9" t="s">
        <v>4138</v>
      </c>
      <c r="AE1191" s="37" t="n">
        <f aca="false">COUNTIF(環境認証!$A$2:$A$849,A1191)</f>
        <v>1</v>
      </c>
      <c r="AF1191" s="6" t="n">
        <v>42.7</v>
      </c>
      <c r="AG1191" s="6" t="n">
        <v>31.8</v>
      </c>
    </row>
    <row r="1192" customFormat="false" ht="15" hidden="false" customHeight="true" outlineLevel="0" collapsed="false">
      <c r="A1192" s="6" t="s">
        <v>4139</v>
      </c>
      <c r="B1192" s="6" t="s">
        <v>383</v>
      </c>
      <c r="C1192" s="6" t="s">
        <v>4140</v>
      </c>
      <c r="D1192" s="9" t="s">
        <v>522</v>
      </c>
      <c r="E1192" s="9" t="s">
        <v>523</v>
      </c>
      <c r="F1192" s="9" t="s">
        <v>532</v>
      </c>
      <c r="H1192" s="9" t="s">
        <v>525</v>
      </c>
      <c r="M1192" s="6" t="n">
        <v>7478</v>
      </c>
      <c r="Q1192" s="1" t="str">
        <f aca="false">IF(OR($A1192="",P1192=""),"",ROUND(YEARFRAC(P1192,README!$C$5),1))</f>
        <v/>
      </c>
      <c r="S1192" s="6" t="n">
        <v>23900</v>
      </c>
      <c r="T1192" s="6" t="n">
        <v>23612</v>
      </c>
      <c r="U1192" s="6" t="n">
        <v>26200</v>
      </c>
      <c r="V1192" s="6" t="n">
        <v>2588</v>
      </c>
      <c r="W1192" s="6" t="n">
        <v>1</v>
      </c>
      <c r="X1192" s="6" t="n">
        <v>11</v>
      </c>
      <c r="Z1192" s="6" t="s">
        <v>4099</v>
      </c>
      <c r="AA1192" s="9" t="s">
        <v>528</v>
      </c>
      <c r="AE1192" s="37" t="n">
        <f aca="false">COUNTIF(環境認証!$A$2:$A$849,A1192)</f>
        <v>1</v>
      </c>
      <c r="AF1192" s="6" t="n">
        <v>11</v>
      </c>
      <c r="AG1192" s="6" t="n">
        <v>9.6</v>
      </c>
    </row>
    <row r="1193" customFormat="false" ht="15" hidden="false" customHeight="true" outlineLevel="0" collapsed="false">
      <c r="A1193" s="6" t="s">
        <v>4141</v>
      </c>
      <c r="B1193" s="6" t="s">
        <v>383</v>
      </c>
      <c r="C1193" s="6" t="s">
        <v>4142</v>
      </c>
      <c r="D1193" s="9" t="s">
        <v>522</v>
      </c>
      <c r="E1193" s="9" t="s">
        <v>523</v>
      </c>
      <c r="F1193" s="9" t="s">
        <v>532</v>
      </c>
      <c r="H1193" s="9" t="s">
        <v>525</v>
      </c>
      <c r="M1193" s="6" t="n">
        <v>7781</v>
      </c>
      <c r="Q1193" s="1" t="str">
        <f aca="false">IF(OR($A1193="",P1193=""),"",ROUND(YEARFRAC(P1193,README!$C$5),1))</f>
        <v/>
      </c>
      <c r="S1193" s="6" t="n">
        <v>21000</v>
      </c>
      <c r="T1193" s="6" t="n">
        <v>21172</v>
      </c>
      <c r="U1193" s="6" t="n">
        <v>22200</v>
      </c>
      <c r="V1193" s="6" t="n">
        <v>1028</v>
      </c>
      <c r="W1193" s="6" t="n">
        <v>1</v>
      </c>
      <c r="X1193" s="6" t="n">
        <v>14</v>
      </c>
      <c r="Z1193" s="6" t="s">
        <v>4099</v>
      </c>
      <c r="AA1193" s="9" t="s">
        <v>528</v>
      </c>
      <c r="AE1193" s="37" t="n">
        <f aca="false">COUNTIF(環境認証!$A$2:$A$849,A1193)</f>
        <v>2</v>
      </c>
      <c r="AF1193" s="6" t="n">
        <v>4.9</v>
      </c>
      <c r="AG1193" s="6" t="n">
        <v>5.7</v>
      </c>
    </row>
    <row r="1194" customFormat="false" ht="15" hidden="false" customHeight="true" outlineLevel="0" collapsed="false">
      <c r="A1194" s="6" t="s">
        <v>4143</v>
      </c>
      <c r="B1194" s="6" t="s">
        <v>383</v>
      </c>
      <c r="C1194" s="9" t="s">
        <v>4144</v>
      </c>
      <c r="D1194" s="9" t="s">
        <v>522</v>
      </c>
      <c r="E1194" s="9" t="s">
        <v>523</v>
      </c>
      <c r="F1194" s="9" t="s">
        <v>532</v>
      </c>
      <c r="H1194" s="9" t="s">
        <v>525</v>
      </c>
      <c r="M1194" s="6" t="n">
        <v>4898</v>
      </c>
      <c r="Q1194" s="1" t="str">
        <f aca="false">IF(OR($A1194="",P1194=""),"",ROUND(YEARFRAC(P1194,README!$C$5),1))</f>
        <v/>
      </c>
      <c r="S1194" s="6" t="n">
        <v>7680</v>
      </c>
      <c r="T1194" s="6" t="n">
        <v>6862</v>
      </c>
      <c r="U1194" s="6" t="n">
        <v>10900</v>
      </c>
      <c r="V1194" s="6" t="n">
        <v>4038</v>
      </c>
      <c r="W1194" s="6" t="n">
        <v>1</v>
      </c>
      <c r="X1194" s="6" t="n">
        <v>9</v>
      </c>
      <c r="Z1194" s="6" t="s">
        <v>4099</v>
      </c>
      <c r="AA1194" s="9" t="s">
        <v>528</v>
      </c>
      <c r="AE1194" s="37" t="n">
        <f aca="false">COUNTIF(環境認証!$A$2:$A$849,A1194)</f>
        <v>1</v>
      </c>
      <c r="AF1194" s="6" t="n">
        <v>58.8</v>
      </c>
      <c r="AG1194" s="6" t="n">
        <v>41.9</v>
      </c>
    </row>
    <row r="1195" customFormat="false" ht="15" hidden="false" customHeight="true" outlineLevel="0" collapsed="false">
      <c r="A1195" s="6" t="s">
        <v>4145</v>
      </c>
      <c r="B1195" s="6" t="s">
        <v>383</v>
      </c>
      <c r="C1195" s="9" t="s">
        <v>4146</v>
      </c>
      <c r="D1195" s="9" t="s">
        <v>522</v>
      </c>
      <c r="E1195" s="9" t="s">
        <v>523</v>
      </c>
      <c r="F1195" s="9" t="s">
        <v>532</v>
      </c>
      <c r="H1195" s="9" t="s">
        <v>525</v>
      </c>
      <c r="M1195" s="6" t="n">
        <v>2550</v>
      </c>
      <c r="Q1195" s="1" t="str">
        <f aca="false">IF(OR($A1195="",P1195=""),"",ROUND(YEARFRAC(P1195,README!$C$5),1))</f>
        <v/>
      </c>
      <c r="S1195" s="6" t="n">
        <v>4500</v>
      </c>
      <c r="T1195" s="6" t="n">
        <v>4331</v>
      </c>
      <c r="U1195" s="6" t="n">
        <v>4950</v>
      </c>
      <c r="V1195" s="6" t="n">
        <v>619</v>
      </c>
      <c r="W1195" s="6" t="n">
        <v>1</v>
      </c>
      <c r="X1195" s="6" t="n">
        <v>9</v>
      </c>
      <c r="Z1195" s="6" t="s">
        <v>4099</v>
      </c>
      <c r="AA1195" s="9" t="s">
        <v>528</v>
      </c>
      <c r="AE1195" s="37" t="n">
        <f aca="false">COUNTIF(環境認証!$A$2:$A$849,A1195)</f>
        <v>1</v>
      </c>
      <c r="AF1195" s="6" t="n">
        <v>14.3</v>
      </c>
      <c r="AG1195" s="6" t="n">
        <v>10</v>
      </c>
    </row>
    <row r="1196" customFormat="false" ht="15" hidden="false" customHeight="true" outlineLevel="0" collapsed="false">
      <c r="A1196" s="6" t="s">
        <v>4147</v>
      </c>
      <c r="B1196" s="6" t="s">
        <v>383</v>
      </c>
      <c r="C1196" s="9" t="s">
        <v>4148</v>
      </c>
      <c r="D1196" s="9" t="s">
        <v>522</v>
      </c>
      <c r="E1196" s="9" t="s">
        <v>523</v>
      </c>
      <c r="F1196" s="9" t="s">
        <v>532</v>
      </c>
      <c r="H1196" s="9" t="s">
        <v>525</v>
      </c>
      <c r="M1196" s="6" t="n">
        <v>44213</v>
      </c>
      <c r="Q1196" s="1" t="str">
        <f aca="false">IF(OR($A1196="",P1196=""),"",ROUND(YEARFRAC(P1196,README!$C$5),1))</f>
        <v/>
      </c>
      <c r="S1196" s="6" t="n">
        <v>106930</v>
      </c>
      <c r="T1196" s="6" t="n">
        <v>97914</v>
      </c>
      <c r="U1196" s="6" t="n">
        <v>122000</v>
      </c>
      <c r="V1196" s="6" t="n">
        <v>24086</v>
      </c>
      <c r="W1196" s="6" t="n">
        <v>0.998</v>
      </c>
      <c r="X1196" s="6" t="n">
        <v>50</v>
      </c>
      <c r="Z1196" s="6" t="s">
        <v>4099</v>
      </c>
      <c r="AA1196" s="9" t="s">
        <v>528</v>
      </c>
      <c r="AE1196" s="37" t="n">
        <f aca="false">COUNTIF(環境認証!$A$2:$A$849,A1196)</f>
        <v>1</v>
      </c>
      <c r="AF1196" s="6" t="n">
        <v>24.6</v>
      </c>
      <c r="AG1196" s="6" t="n">
        <v>14.1</v>
      </c>
    </row>
    <row r="1197" customFormat="false" ht="15" hidden="false" customHeight="true" outlineLevel="0" collapsed="false">
      <c r="A1197" s="6" t="s">
        <v>4149</v>
      </c>
      <c r="B1197" s="6" t="s">
        <v>383</v>
      </c>
      <c r="C1197" s="9" t="s">
        <v>4150</v>
      </c>
      <c r="D1197" s="9" t="s">
        <v>522</v>
      </c>
      <c r="E1197" s="9" t="s">
        <v>523</v>
      </c>
      <c r="F1197" s="9" t="s">
        <v>532</v>
      </c>
      <c r="H1197" s="9" t="s">
        <v>525</v>
      </c>
      <c r="M1197" s="6" t="n">
        <v>9503</v>
      </c>
      <c r="Q1197" s="1" t="str">
        <f aca="false">IF(OR($A1197="",P1197=""),"",ROUND(YEARFRAC(P1197,README!$C$5),1))</f>
        <v/>
      </c>
      <c r="S1197" s="6" t="n">
        <v>4859</v>
      </c>
      <c r="T1197" s="6" t="n">
        <v>5618</v>
      </c>
      <c r="U1197" s="6" t="n">
        <v>9600</v>
      </c>
      <c r="V1197" s="6" t="n">
        <v>3982</v>
      </c>
      <c r="W1197" s="6" t="n">
        <v>1</v>
      </c>
      <c r="X1197" s="6" t="n">
        <v>28</v>
      </c>
      <c r="Z1197" s="6" t="s">
        <v>4099</v>
      </c>
      <c r="AA1197" s="9" t="s">
        <v>528</v>
      </c>
      <c r="AE1197" s="37" t="n">
        <f aca="false">COUNTIF(環境認証!$A$2:$A$849,A1197)</f>
        <v>1</v>
      </c>
      <c r="AF1197" s="6" t="n">
        <v>70.9</v>
      </c>
      <c r="AG1197" s="6" t="n">
        <v>97.6</v>
      </c>
    </row>
    <row r="1198" customFormat="false" ht="15" hidden="false" customHeight="true" outlineLevel="0" collapsed="false">
      <c r="A1198" s="6" t="s">
        <v>4151</v>
      </c>
      <c r="B1198" s="6" t="s">
        <v>383</v>
      </c>
      <c r="C1198" s="9" t="s">
        <v>4152</v>
      </c>
      <c r="D1198" s="9" t="s">
        <v>522</v>
      </c>
      <c r="E1198" s="9" t="s">
        <v>523</v>
      </c>
      <c r="F1198" s="9" t="s">
        <v>532</v>
      </c>
      <c r="H1198" s="9" t="s">
        <v>525</v>
      </c>
      <c r="M1198" s="6" t="n">
        <v>4062</v>
      </c>
      <c r="Q1198" s="1" t="str">
        <f aca="false">IF(OR($A1198="",P1198=""),"",ROUND(YEARFRAC(P1198,README!$C$5),1))</f>
        <v/>
      </c>
      <c r="S1198" s="6" t="n">
        <v>2808</v>
      </c>
      <c r="T1198" s="6" t="n">
        <v>2381</v>
      </c>
      <c r="U1198" s="6" t="n">
        <v>3880</v>
      </c>
      <c r="V1198" s="6" t="n">
        <v>1499</v>
      </c>
      <c r="W1198" s="6" t="n">
        <v>1</v>
      </c>
      <c r="X1198" s="6" t="n">
        <v>9</v>
      </c>
      <c r="Z1198" s="6" t="s">
        <v>4099</v>
      </c>
      <c r="AA1198" s="9" t="s">
        <v>528</v>
      </c>
      <c r="AE1198" s="37" t="n">
        <f aca="false">COUNTIF(環境認証!$A$2:$A$849,A1198)</f>
        <v>1</v>
      </c>
      <c r="AF1198" s="6" t="n">
        <v>63</v>
      </c>
      <c r="AG1198" s="6" t="n">
        <v>38.2</v>
      </c>
    </row>
    <row r="1199" customFormat="false" ht="15" hidden="false" customHeight="true" outlineLevel="0" collapsed="false">
      <c r="A1199" s="6" t="s">
        <v>4153</v>
      </c>
      <c r="B1199" s="6" t="s">
        <v>383</v>
      </c>
      <c r="C1199" s="9" t="s">
        <v>4154</v>
      </c>
      <c r="D1199" s="9" t="s">
        <v>522</v>
      </c>
      <c r="E1199" s="9" t="s">
        <v>523</v>
      </c>
      <c r="F1199" s="9" t="s">
        <v>532</v>
      </c>
      <c r="H1199" s="9" t="s">
        <v>525</v>
      </c>
      <c r="M1199" s="6" t="n">
        <v>7979</v>
      </c>
      <c r="Q1199" s="1" t="str">
        <f aca="false">IF(OR($A1199="",P1199=""),"",ROUND(YEARFRAC(P1199,README!$C$5),1))</f>
        <v/>
      </c>
      <c r="S1199" s="6" t="n">
        <v>7690</v>
      </c>
      <c r="T1199" s="6" t="n">
        <v>7902</v>
      </c>
      <c r="U1199" s="6" t="n">
        <v>9500</v>
      </c>
      <c r="V1199" s="6" t="n">
        <v>1598</v>
      </c>
      <c r="W1199" s="6" t="n">
        <v>1</v>
      </c>
      <c r="X1199" s="6" t="n">
        <v>16</v>
      </c>
      <c r="Z1199" s="6" t="s">
        <v>4099</v>
      </c>
      <c r="AA1199" s="9" t="s">
        <v>528</v>
      </c>
      <c r="AE1199" s="37" t="n">
        <f aca="false">COUNTIF(環境認証!$A$2:$A$849,A1199)</f>
        <v>1</v>
      </c>
      <c r="AF1199" s="6" t="n">
        <v>20.2</v>
      </c>
      <c r="AG1199" s="6" t="n">
        <v>23.5</v>
      </c>
    </row>
    <row r="1200" customFormat="false" ht="15" hidden="false" customHeight="true" outlineLevel="0" collapsed="false">
      <c r="A1200" s="6" t="s">
        <v>4155</v>
      </c>
      <c r="B1200" s="6" t="s">
        <v>383</v>
      </c>
      <c r="C1200" s="9" t="s">
        <v>4156</v>
      </c>
      <c r="D1200" s="9" t="s">
        <v>522</v>
      </c>
      <c r="E1200" s="9" t="s">
        <v>523</v>
      </c>
      <c r="F1200" s="9" t="s">
        <v>532</v>
      </c>
      <c r="H1200" s="9" t="s">
        <v>525</v>
      </c>
      <c r="M1200" s="6" t="n">
        <v>3792</v>
      </c>
      <c r="Q1200" s="1" t="str">
        <f aca="false">IF(OR($A1200="",P1200=""),"",ROUND(YEARFRAC(P1200,README!$C$5),1))</f>
        <v/>
      </c>
      <c r="S1200" s="6" t="n">
        <v>6210</v>
      </c>
      <c r="T1200" s="6" t="n">
        <v>5774</v>
      </c>
      <c r="U1200" s="6" t="n">
        <v>8070</v>
      </c>
      <c r="V1200" s="6" t="n">
        <v>2296</v>
      </c>
      <c r="W1200" s="6" t="n">
        <v>1</v>
      </c>
      <c r="X1200" s="6" t="n">
        <v>10</v>
      </c>
      <c r="Z1200" s="6" t="s">
        <v>4099</v>
      </c>
      <c r="AA1200" s="9" t="s">
        <v>528</v>
      </c>
      <c r="AE1200" s="37" t="n">
        <f aca="false">COUNTIF(環境認証!$A$2:$A$849,A1200)</f>
        <v>2</v>
      </c>
      <c r="AF1200" s="6" t="n">
        <v>39.8</v>
      </c>
      <c r="AG1200" s="6" t="n">
        <v>30</v>
      </c>
    </row>
    <row r="1201" customFormat="false" ht="15" hidden="false" customHeight="true" outlineLevel="0" collapsed="false">
      <c r="A1201" s="6" t="s">
        <v>4157</v>
      </c>
      <c r="B1201" s="6" t="s">
        <v>383</v>
      </c>
      <c r="C1201" s="9" t="s">
        <v>4158</v>
      </c>
      <c r="D1201" s="9" t="s">
        <v>522</v>
      </c>
      <c r="E1201" s="9" t="s">
        <v>523</v>
      </c>
      <c r="F1201" s="9" t="s">
        <v>806</v>
      </c>
      <c r="H1201" s="9" t="s">
        <v>525</v>
      </c>
      <c r="M1201" s="6" t="n">
        <v>56145</v>
      </c>
      <c r="Q1201" s="1" t="str">
        <f aca="false">IF(OR($A1201="",P1201=""),"",ROUND(YEARFRAC(P1201,README!$C$5),1))</f>
        <v/>
      </c>
      <c r="S1201" s="6" t="n">
        <v>92533</v>
      </c>
      <c r="T1201" s="6" t="n">
        <v>86308</v>
      </c>
      <c r="U1201" s="6" t="n">
        <v>109000</v>
      </c>
      <c r="V1201" s="6" t="n">
        <v>22692</v>
      </c>
      <c r="W1201" s="6" t="n">
        <v>0.998</v>
      </c>
      <c r="X1201" s="6" t="n">
        <v>45</v>
      </c>
      <c r="Z1201" s="6" t="s">
        <v>4099</v>
      </c>
      <c r="AA1201" s="9" t="s">
        <v>528</v>
      </c>
      <c r="AB1201" s="6" t="s">
        <v>4159</v>
      </c>
      <c r="AE1201" s="37" t="n">
        <f aca="false">COUNTIF(環境認証!$A$2:$A$849,A1201)</f>
        <v>1</v>
      </c>
      <c r="AF1201" s="6" t="n">
        <v>26.3</v>
      </c>
      <c r="AG1201" s="6" t="n">
        <v>17.8</v>
      </c>
    </row>
    <row r="1202" customFormat="false" ht="15" hidden="false" customHeight="true" outlineLevel="0" collapsed="false">
      <c r="A1202" s="6" t="s">
        <v>4160</v>
      </c>
      <c r="B1202" s="6" t="s">
        <v>383</v>
      </c>
      <c r="C1202" s="9" t="s">
        <v>4161</v>
      </c>
      <c r="D1202" s="9" t="s">
        <v>522</v>
      </c>
      <c r="E1202" s="9" t="s">
        <v>523</v>
      </c>
      <c r="F1202" s="9" t="s">
        <v>806</v>
      </c>
      <c r="H1202" s="9" t="s">
        <v>525</v>
      </c>
      <c r="M1202" s="6" t="n">
        <v>21416</v>
      </c>
      <c r="Q1202" s="1" t="str">
        <f aca="false">IF(OR($A1202="",P1202=""),"",ROUND(YEARFRAC(P1202,README!$C$5),1))</f>
        <v/>
      </c>
      <c r="S1202" s="6" t="n">
        <v>35125</v>
      </c>
      <c r="T1202" s="6" t="n">
        <v>33131</v>
      </c>
      <c r="U1202" s="6" t="n">
        <v>37800</v>
      </c>
      <c r="V1202" s="6" t="n">
        <v>4669</v>
      </c>
      <c r="W1202" s="6" t="n">
        <v>1</v>
      </c>
      <c r="X1202" s="6" t="n">
        <v>44</v>
      </c>
      <c r="Z1202" s="6" t="s">
        <v>4099</v>
      </c>
      <c r="AA1202" s="9" t="s">
        <v>528</v>
      </c>
      <c r="AE1202" s="37" t="n">
        <f aca="false">COUNTIF(環境認証!$A$2:$A$849,A1202)</f>
        <v>1</v>
      </c>
      <c r="AF1202" s="6" t="n">
        <v>14.1</v>
      </c>
      <c r="AG1202" s="6" t="n">
        <v>7.6</v>
      </c>
    </row>
    <row r="1203" customFormat="false" ht="15" hidden="false" customHeight="true" outlineLevel="0" collapsed="false">
      <c r="A1203" s="6" t="s">
        <v>4162</v>
      </c>
      <c r="B1203" s="6" t="s">
        <v>383</v>
      </c>
      <c r="C1203" s="9" t="s">
        <v>4163</v>
      </c>
      <c r="D1203" s="9" t="s">
        <v>522</v>
      </c>
      <c r="E1203" s="9" t="s">
        <v>523</v>
      </c>
      <c r="F1203" s="9" t="s">
        <v>806</v>
      </c>
      <c r="H1203" s="9" t="s">
        <v>525</v>
      </c>
      <c r="M1203" s="6" t="n">
        <v>10997</v>
      </c>
      <c r="Q1203" s="1" t="str">
        <f aca="false">IF(OR($A1203="",P1203=""),"",ROUND(YEARFRAC(P1203,README!$C$5),1))</f>
        <v/>
      </c>
      <c r="S1203" s="6" t="n">
        <v>29050</v>
      </c>
      <c r="T1203" s="6" t="n">
        <v>29351</v>
      </c>
      <c r="U1203" s="6" t="n">
        <v>29800</v>
      </c>
      <c r="V1203" s="6" t="n">
        <v>449</v>
      </c>
      <c r="W1203" s="6" t="n">
        <v>0.999</v>
      </c>
      <c r="X1203" s="6" t="n">
        <v>18</v>
      </c>
      <c r="Z1203" s="6" t="s">
        <v>4099</v>
      </c>
      <c r="AA1203" s="9" t="s">
        <v>528</v>
      </c>
      <c r="AB1203" s="9" t="s">
        <v>4164</v>
      </c>
      <c r="AE1203" s="37" t="n">
        <f aca="false">COUNTIF(環境認証!$A$2:$A$849,A1203)</f>
        <v>0</v>
      </c>
      <c r="AF1203" s="6" t="n">
        <v>1.5</v>
      </c>
      <c r="AG1203" s="6" t="n">
        <v>2.6</v>
      </c>
    </row>
    <row r="1204" customFormat="false" ht="15" hidden="false" customHeight="true" outlineLevel="0" collapsed="false">
      <c r="A1204" s="6" t="s">
        <v>4165</v>
      </c>
      <c r="B1204" s="6" t="s">
        <v>383</v>
      </c>
      <c r="C1204" s="9" t="s">
        <v>4166</v>
      </c>
      <c r="D1204" s="9" t="s">
        <v>522</v>
      </c>
      <c r="E1204" s="9" t="s">
        <v>523</v>
      </c>
      <c r="F1204" s="9" t="s">
        <v>806</v>
      </c>
      <c r="H1204" s="9" t="s">
        <v>525</v>
      </c>
      <c r="M1204" s="6" t="n">
        <v>6036</v>
      </c>
      <c r="Q1204" s="1" t="str">
        <f aca="false">IF(OR($A1204="",P1204=""),"",ROUND(YEARFRAC(P1204,README!$C$5),1))</f>
        <v/>
      </c>
      <c r="S1204" s="6" t="n">
        <v>7830</v>
      </c>
      <c r="T1204" s="6" t="n">
        <v>7649</v>
      </c>
      <c r="U1204" s="6" t="n">
        <v>10100</v>
      </c>
      <c r="V1204" s="6" t="n">
        <v>2451</v>
      </c>
      <c r="W1204" s="6" t="n">
        <v>1</v>
      </c>
      <c r="X1204" s="6" t="n">
        <v>12</v>
      </c>
      <c r="Z1204" s="6" t="s">
        <v>4099</v>
      </c>
      <c r="AA1204" s="9" t="s">
        <v>528</v>
      </c>
      <c r="AE1204" s="37" t="n">
        <f aca="false">COUNTIF(環境認証!$A$2:$A$849,A1204)</f>
        <v>1</v>
      </c>
      <c r="AF1204" s="6" t="n">
        <v>32</v>
      </c>
      <c r="AG1204" s="6" t="n">
        <v>29</v>
      </c>
    </row>
    <row r="1205" customFormat="false" ht="15" hidden="false" customHeight="true" outlineLevel="0" collapsed="false">
      <c r="A1205" s="6" t="s">
        <v>4167</v>
      </c>
      <c r="B1205" s="6" t="s">
        <v>383</v>
      </c>
      <c r="C1205" s="9" t="s">
        <v>1777</v>
      </c>
      <c r="D1205" s="9" t="s">
        <v>522</v>
      </c>
      <c r="E1205" s="9" t="s">
        <v>523</v>
      </c>
      <c r="F1205" s="9" t="s">
        <v>806</v>
      </c>
      <c r="H1205" s="9" t="s">
        <v>525</v>
      </c>
      <c r="M1205" s="6" t="n">
        <v>34948</v>
      </c>
      <c r="Q1205" s="1" t="str">
        <f aca="false">IF(OR($A1205="",P1205=""),"",ROUND(YEARFRAC(P1205,README!$C$5),1))</f>
        <v/>
      </c>
      <c r="S1205" s="6" t="n">
        <v>31776.8</v>
      </c>
      <c r="T1205" s="6" t="n">
        <v>28127</v>
      </c>
      <c r="U1205" s="6" t="n">
        <v>35800</v>
      </c>
      <c r="V1205" s="6" t="n">
        <v>7673</v>
      </c>
      <c r="W1205" s="6" t="n">
        <v>0.997</v>
      </c>
      <c r="X1205" s="6" t="n">
        <v>103</v>
      </c>
      <c r="Z1205" s="6" t="s">
        <v>4099</v>
      </c>
      <c r="AA1205" s="9" t="s">
        <v>528</v>
      </c>
      <c r="AB1205" s="9" t="s">
        <v>4168</v>
      </c>
      <c r="AE1205" s="37" t="n">
        <f aca="false">COUNTIF(環境認証!$A$2:$A$849,A1205)</f>
        <v>1</v>
      </c>
      <c r="AF1205" s="6" t="n">
        <v>27.3</v>
      </c>
      <c r="AG1205" s="6" t="n">
        <v>12.7</v>
      </c>
    </row>
    <row r="1206" customFormat="false" ht="15" hidden="false" customHeight="true" outlineLevel="0" collapsed="false">
      <c r="A1206" s="6" t="s">
        <v>4169</v>
      </c>
      <c r="B1206" s="6" t="s">
        <v>383</v>
      </c>
      <c r="C1206" s="9" t="s">
        <v>4170</v>
      </c>
      <c r="D1206" s="9" t="s">
        <v>522</v>
      </c>
      <c r="E1206" s="9" t="s">
        <v>523</v>
      </c>
      <c r="F1206" s="9" t="s">
        <v>648</v>
      </c>
      <c r="H1206" s="9" t="s">
        <v>525</v>
      </c>
      <c r="M1206" s="6" t="n">
        <v>4095</v>
      </c>
      <c r="Q1206" s="1" t="str">
        <f aca="false">IF(OR($A1206="",P1206=""),"",ROUND(YEARFRAC(P1206,README!$C$5),1))</f>
        <v/>
      </c>
      <c r="S1206" s="6" t="n">
        <v>9250</v>
      </c>
      <c r="T1206" s="6" t="n">
        <v>9014</v>
      </c>
      <c r="U1206" s="6" t="n">
        <v>9720</v>
      </c>
      <c r="V1206" s="6" t="n">
        <v>706</v>
      </c>
      <c r="W1206" s="6" t="n">
        <v>1</v>
      </c>
      <c r="X1206" s="6" t="n">
        <v>2</v>
      </c>
      <c r="Z1206" s="6" t="s">
        <v>4099</v>
      </c>
      <c r="AA1206" s="9" t="s">
        <v>528</v>
      </c>
      <c r="AE1206" s="37" t="n">
        <f aca="false">COUNTIF(環境認証!$A$2:$A$849,A1206)</f>
        <v>1</v>
      </c>
      <c r="AF1206" s="6" t="n">
        <v>7.8</v>
      </c>
      <c r="AG1206" s="6" t="n">
        <v>5.1</v>
      </c>
    </row>
    <row r="1207" customFormat="false" ht="15" hidden="false" customHeight="true" outlineLevel="0" collapsed="false">
      <c r="A1207" s="6" t="s">
        <v>4171</v>
      </c>
      <c r="B1207" s="6" t="s">
        <v>383</v>
      </c>
      <c r="C1207" s="9" t="s">
        <v>4172</v>
      </c>
      <c r="D1207" s="9" t="s">
        <v>522</v>
      </c>
      <c r="E1207" s="9" t="s">
        <v>523</v>
      </c>
      <c r="F1207" s="9" t="s">
        <v>648</v>
      </c>
      <c r="H1207" s="9" t="s">
        <v>525</v>
      </c>
      <c r="M1207" s="6" t="n">
        <v>9786</v>
      </c>
      <c r="Q1207" s="1" t="str">
        <f aca="false">IF(OR($A1207="",P1207=""),"",ROUND(YEARFRAC(P1207,README!$C$5),1))</f>
        <v/>
      </c>
      <c r="S1207" s="6" t="n">
        <v>22800</v>
      </c>
      <c r="T1207" s="6" t="n">
        <v>21503</v>
      </c>
      <c r="U1207" s="6" t="n">
        <v>27700</v>
      </c>
      <c r="V1207" s="6" t="n">
        <v>6197</v>
      </c>
      <c r="W1207" s="6" t="n">
        <v>1</v>
      </c>
      <c r="X1207" s="6" t="n">
        <v>23</v>
      </c>
      <c r="Z1207" s="6" t="s">
        <v>4099</v>
      </c>
      <c r="AA1207" s="9" t="s">
        <v>528</v>
      </c>
      <c r="AE1207" s="37" t="n">
        <f aca="false">COUNTIF(環境認証!$A$2:$A$849,A1207)</f>
        <v>1</v>
      </c>
      <c r="AF1207" s="6" t="n">
        <v>28.8</v>
      </c>
      <c r="AG1207" s="6" t="n">
        <v>21.5</v>
      </c>
    </row>
    <row r="1208" customFormat="false" ht="15" hidden="false" customHeight="true" outlineLevel="0" collapsed="false">
      <c r="A1208" s="6" t="s">
        <v>4173</v>
      </c>
      <c r="B1208" s="6" t="s">
        <v>383</v>
      </c>
      <c r="C1208" s="9" t="s">
        <v>4174</v>
      </c>
      <c r="D1208" s="9" t="s">
        <v>522</v>
      </c>
      <c r="E1208" s="9" t="s">
        <v>523</v>
      </c>
      <c r="F1208" s="9" t="s">
        <v>648</v>
      </c>
      <c r="H1208" s="9" t="s">
        <v>525</v>
      </c>
      <c r="M1208" s="6" t="n">
        <v>7745</v>
      </c>
      <c r="Q1208" s="1" t="str">
        <f aca="false">IF(OR($A1208="",P1208=""),"",ROUND(YEARFRAC(P1208,README!$C$5),1))</f>
        <v/>
      </c>
      <c r="S1208" s="6" t="n">
        <v>8700</v>
      </c>
      <c r="T1208" s="6" t="n">
        <v>6856</v>
      </c>
      <c r="U1208" s="6" t="n">
        <v>14100</v>
      </c>
      <c r="V1208" s="6" t="n">
        <v>7244</v>
      </c>
      <c r="W1208" s="6" t="n">
        <v>1</v>
      </c>
      <c r="X1208" s="6" t="n">
        <v>7</v>
      </c>
      <c r="Z1208" s="6" t="s">
        <v>4099</v>
      </c>
      <c r="AA1208" s="9" t="s">
        <v>528</v>
      </c>
      <c r="AE1208" s="37" t="n">
        <f aca="false">COUNTIF(環境認証!$A$2:$A$849,A1208)</f>
        <v>2</v>
      </c>
      <c r="AF1208" s="6" t="n">
        <v>105.7</v>
      </c>
      <c r="AG1208" s="6" t="n">
        <v>62.1</v>
      </c>
    </row>
    <row r="1209" customFormat="false" ht="15" hidden="false" customHeight="true" outlineLevel="0" collapsed="false">
      <c r="A1209" s="6" t="s">
        <v>4175</v>
      </c>
      <c r="B1209" s="6" t="s">
        <v>383</v>
      </c>
      <c r="C1209" s="9" t="s">
        <v>4176</v>
      </c>
      <c r="D1209" s="9" t="s">
        <v>522</v>
      </c>
      <c r="E1209" s="9" t="s">
        <v>523</v>
      </c>
      <c r="F1209" s="9" t="s">
        <v>648</v>
      </c>
      <c r="H1209" s="9" t="s">
        <v>525</v>
      </c>
      <c r="M1209" s="6" t="n">
        <v>3147</v>
      </c>
      <c r="Q1209" s="1" t="str">
        <f aca="false">IF(OR($A1209="",P1209=""),"",ROUND(YEARFRAC(P1209,README!$C$5),1))</f>
        <v/>
      </c>
      <c r="S1209" s="6" t="n">
        <v>4885</v>
      </c>
      <c r="T1209" s="6" t="n">
        <v>4672</v>
      </c>
      <c r="U1209" s="6" t="n">
        <v>8060</v>
      </c>
      <c r="V1209" s="6" t="n">
        <v>3388</v>
      </c>
      <c r="W1209" s="6" t="n">
        <v>1</v>
      </c>
      <c r="X1209" s="6" t="n">
        <v>5</v>
      </c>
      <c r="Z1209" s="6" t="s">
        <v>4099</v>
      </c>
      <c r="AA1209" s="9" t="s">
        <v>528</v>
      </c>
      <c r="AE1209" s="37" t="n">
        <f aca="false">COUNTIF(環境認証!$A$2:$A$849,A1209)</f>
        <v>1</v>
      </c>
      <c r="AF1209" s="6" t="n">
        <v>72.5</v>
      </c>
      <c r="AG1209" s="6" t="n">
        <v>65</v>
      </c>
    </row>
    <row r="1210" customFormat="false" ht="15" hidden="false" customHeight="true" outlineLevel="0" collapsed="false">
      <c r="A1210" s="6" t="s">
        <v>4177</v>
      </c>
      <c r="B1210" s="6" t="s">
        <v>383</v>
      </c>
      <c r="C1210" s="9" t="s">
        <v>4178</v>
      </c>
      <c r="D1210" s="9" t="s">
        <v>522</v>
      </c>
      <c r="E1210" s="9" t="s">
        <v>523</v>
      </c>
      <c r="F1210" s="9" t="s">
        <v>648</v>
      </c>
      <c r="H1210" s="9" t="s">
        <v>525</v>
      </c>
      <c r="M1210" s="6" t="n">
        <v>5558</v>
      </c>
      <c r="Q1210" s="1" t="str">
        <f aca="false">IF(OR($A1210="",P1210=""),"",ROUND(YEARFRAC(P1210,README!$C$5),1))</f>
        <v/>
      </c>
      <c r="S1210" s="6" t="n">
        <v>12200</v>
      </c>
      <c r="T1210" s="6" t="n">
        <v>10537</v>
      </c>
      <c r="U1210" s="6" t="n">
        <v>10500</v>
      </c>
      <c r="V1210" s="6" t="n">
        <v>-37</v>
      </c>
      <c r="W1210" s="6" t="n">
        <v>1</v>
      </c>
      <c r="X1210" s="6" t="n">
        <v>6</v>
      </c>
      <c r="Z1210" s="6" t="s">
        <v>4099</v>
      </c>
      <c r="AA1210" s="9" t="s">
        <v>528</v>
      </c>
      <c r="AE1210" s="37" t="n">
        <f aca="false">COUNTIF(環境認証!$A$2:$A$849,A1210)</f>
        <v>0</v>
      </c>
      <c r="AF1210" s="6" t="n">
        <v>-0.4</v>
      </c>
      <c r="AG1210" s="6" t="n">
        <v>-13.9</v>
      </c>
    </row>
    <row r="1211" customFormat="false" ht="15" hidden="false" customHeight="true" outlineLevel="0" collapsed="false">
      <c r="A1211" s="6" t="s">
        <v>4179</v>
      </c>
      <c r="B1211" s="6" t="s">
        <v>383</v>
      </c>
      <c r="C1211" s="9" t="s">
        <v>4180</v>
      </c>
      <c r="D1211" s="9" t="s">
        <v>522</v>
      </c>
      <c r="E1211" s="9" t="s">
        <v>523</v>
      </c>
      <c r="F1211" s="9" t="s">
        <v>648</v>
      </c>
      <c r="H1211" s="9" t="s">
        <v>525</v>
      </c>
      <c r="Q1211" s="1" t="str">
        <f aca="false">IF(OR($A1211="",P1211=""),"",ROUND(YEARFRAC(P1211,README!$C$5),1))</f>
        <v/>
      </c>
      <c r="S1211" s="6" t="n">
        <v>26524</v>
      </c>
      <c r="T1211" s="6" t="n">
        <v>27186</v>
      </c>
      <c r="U1211" s="6" t="n">
        <v>51300</v>
      </c>
      <c r="V1211" s="6" t="n">
        <v>24114</v>
      </c>
      <c r="Z1211" s="6" t="s">
        <v>4099</v>
      </c>
      <c r="AA1211" s="9" t="s">
        <v>528</v>
      </c>
      <c r="AB1211" s="6" t="s">
        <v>4181</v>
      </c>
      <c r="AE1211" s="37" t="n">
        <f aca="false">COUNTIF(環境認証!$A$2:$A$849,A1211)</f>
        <v>0</v>
      </c>
      <c r="AF1211" s="6" t="n">
        <v>88.7</v>
      </c>
      <c r="AG1211" s="6" t="n">
        <v>93.4</v>
      </c>
    </row>
    <row r="1212" customFormat="false" ht="15" hidden="false" customHeight="true" outlineLevel="0" collapsed="false">
      <c r="A1212" s="6" t="s">
        <v>4182</v>
      </c>
      <c r="B1212" s="6" t="s">
        <v>383</v>
      </c>
      <c r="C1212" s="9" t="s">
        <v>4183</v>
      </c>
      <c r="D1212" s="9" t="s">
        <v>522</v>
      </c>
      <c r="E1212" s="9" t="s">
        <v>523</v>
      </c>
      <c r="F1212" s="9" t="s">
        <v>648</v>
      </c>
      <c r="H1212" s="9" t="s">
        <v>525</v>
      </c>
      <c r="M1212" s="6" t="n">
        <v>8659</v>
      </c>
      <c r="Q1212" s="1" t="str">
        <f aca="false">IF(OR($A1212="",P1212=""),"",ROUND(YEARFRAC(P1212,README!$C$5),1))</f>
        <v/>
      </c>
      <c r="S1212" s="6" t="n">
        <v>14612</v>
      </c>
      <c r="T1212" s="6" t="n">
        <v>13288</v>
      </c>
      <c r="U1212" s="6" t="n">
        <v>20600</v>
      </c>
      <c r="V1212" s="6" t="n">
        <v>7312</v>
      </c>
      <c r="W1212" s="6" t="n">
        <v>1</v>
      </c>
      <c r="X1212" s="6" t="n">
        <v>4</v>
      </c>
      <c r="Z1212" s="6" t="s">
        <v>4099</v>
      </c>
      <c r="AA1212" s="9" t="s">
        <v>528</v>
      </c>
      <c r="AE1212" s="37" t="n">
        <f aca="false">COUNTIF(環境認証!$A$2:$A$849,A1212)</f>
        <v>1</v>
      </c>
      <c r="AF1212" s="6" t="n">
        <v>55</v>
      </c>
      <c r="AG1212" s="6" t="n">
        <v>41</v>
      </c>
    </row>
    <row r="1213" customFormat="false" ht="15" hidden="false" customHeight="true" outlineLevel="0" collapsed="false">
      <c r="A1213" s="6" t="s">
        <v>4184</v>
      </c>
      <c r="B1213" s="6" t="s">
        <v>383</v>
      </c>
      <c r="C1213" s="9" t="s">
        <v>4185</v>
      </c>
      <c r="D1213" s="9" t="s">
        <v>522</v>
      </c>
      <c r="E1213" s="9" t="s">
        <v>523</v>
      </c>
      <c r="F1213" s="9" t="s">
        <v>539</v>
      </c>
      <c r="H1213" s="9" t="s">
        <v>540</v>
      </c>
      <c r="M1213" s="6" t="n">
        <v>15016</v>
      </c>
      <c r="Q1213" s="1" t="str">
        <f aca="false">IF(OR($A1213="",P1213=""),"",ROUND(YEARFRAC(P1213,README!$C$5),1))</f>
        <v/>
      </c>
      <c r="S1213" s="6" t="n">
        <v>22000</v>
      </c>
      <c r="T1213" s="6" t="n">
        <v>16669</v>
      </c>
      <c r="U1213" s="6" t="n">
        <v>26700</v>
      </c>
      <c r="V1213" s="6" t="n">
        <v>10031</v>
      </c>
      <c r="W1213" s="6" t="n">
        <v>1</v>
      </c>
      <c r="X1213" s="6" t="n">
        <v>16</v>
      </c>
      <c r="Z1213" s="6" t="s">
        <v>4099</v>
      </c>
      <c r="AA1213" s="9" t="s">
        <v>528</v>
      </c>
      <c r="AE1213" s="37" t="n">
        <f aca="false">COUNTIF(環境認証!$A$2:$A$849,A1213)</f>
        <v>2</v>
      </c>
      <c r="AF1213" s="6" t="n">
        <v>60.2</v>
      </c>
      <c r="AG1213" s="6" t="n">
        <v>21.4</v>
      </c>
    </row>
    <row r="1214" customFormat="false" ht="15" hidden="false" customHeight="true" outlineLevel="0" collapsed="false">
      <c r="A1214" s="6" t="s">
        <v>4186</v>
      </c>
      <c r="B1214" s="6" t="s">
        <v>383</v>
      </c>
      <c r="C1214" s="9" t="s">
        <v>4187</v>
      </c>
      <c r="D1214" s="9" t="s">
        <v>522</v>
      </c>
      <c r="E1214" s="9" t="s">
        <v>523</v>
      </c>
      <c r="F1214" s="9" t="s">
        <v>543</v>
      </c>
      <c r="H1214" s="9" t="s">
        <v>540</v>
      </c>
      <c r="M1214" s="6" t="n">
        <v>20778</v>
      </c>
      <c r="Q1214" s="1" t="str">
        <f aca="false">IF(OR($A1214="",P1214=""),"",ROUND(YEARFRAC(P1214,README!$C$5),1))</f>
        <v/>
      </c>
      <c r="S1214" s="6" t="n">
        <v>27856</v>
      </c>
      <c r="T1214" s="6" t="n">
        <v>27311</v>
      </c>
      <c r="U1214" s="6" t="n">
        <v>28000</v>
      </c>
      <c r="V1214" s="6" t="n">
        <v>689</v>
      </c>
      <c r="W1214" s="6" t="n">
        <v>1</v>
      </c>
      <c r="X1214" s="6" t="n">
        <v>32</v>
      </c>
      <c r="Z1214" s="6" t="s">
        <v>4099</v>
      </c>
      <c r="AA1214" s="9" t="s">
        <v>528</v>
      </c>
      <c r="AE1214" s="37" t="n">
        <f aca="false">COUNTIF(環境認証!$A$2:$A$849,A1214)</f>
        <v>1</v>
      </c>
      <c r="AF1214" s="6" t="n">
        <v>2.5</v>
      </c>
      <c r="AG1214" s="6" t="n">
        <v>0.5</v>
      </c>
    </row>
    <row r="1215" customFormat="false" ht="15" hidden="false" customHeight="true" outlineLevel="0" collapsed="false">
      <c r="A1215" s="6" t="s">
        <v>4188</v>
      </c>
      <c r="B1215" s="6" t="s">
        <v>383</v>
      </c>
      <c r="C1215" s="9" t="s">
        <v>4189</v>
      </c>
      <c r="D1215" s="9" t="s">
        <v>522</v>
      </c>
      <c r="E1215" s="9" t="s">
        <v>523</v>
      </c>
      <c r="F1215" s="9" t="s">
        <v>543</v>
      </c>
      <c r="H1215" s="9" t="s">
        <v>540</v>
      </c>
      <c r="M1215" s="6" t="n">
        <v>17407</v>
      </c>
      <c r="Q1215" s="1" t="str">
        <f aca="false">IF(OR($A1215="",P1215=""),"",ROUND(YEARFRAC(P1215,README!$C$5),1))</f>
        <v/>
      </c>
      <c r="S1215" s="6" t="n">
        <v>25500</v>
      </c>
      <c r="T1215" s="6" t="n">
        <v>24640</v>
      </c>
      <c r="U1215" s="6" t="n">
        <v>25900</v>
      </c>
      <c r="V1215" s="6" t="n">
        <v>1260</v>
      </c>
      <c r="W1215" s="6" t="n">
        <v>1</v>
      </c>
      <c r="X1215" s="6" t="n">
        <v>22</v>
      </c>
      <c r="Z1215" s="6" t="s">
        <v>4099</v>
      </c>
      <c r="AA1215" s="9" t="s">
        <v>528</v>
      </c>
      <c r="AE1215" s="37" t="n">
        <f aca="false">COUNTIF(環境認証!$A$2:$A$849,A1215)</f>
        <v>1</v>
      </c>
      <c r="AF1215" s="6" t="n">
        <v>5.1</v>
      </c>
      <c r="AG1215" s="6" t="n">
        <v>1.6</v>
      </c>
    </row>
    <row r="1216" customFormat="false" ht="15" hidden="false" customHeight="true" outlineLevel="0" collapsed="false">
      <c r="A1216" s="6" t="s">
        <v>4190</v>
      </c>
      <c r="B1216" s="6" t="s">
        <v>383</v>
      </c>
      <c r="C1216" s="9" t="s">
        <v>4191</v>
      </c>
      <c r="D1216" s="9" t="s">
        <v>522</v>
      </c>
      <c r="E1216" s="9" t="s">
        <v>523</v>
      </c>
      <c r="F1216" s="9" t="s">
        <v>625</v>
      </c>
      <c r="H1216" s="9" t="s">
        <v>540</v>
      </c>
      <c r="M1216" s="6" t="n">
        <v>5205</v>
      </c>
      <c r="Q1216" s="1" t="str">
        <f aca="false">IF(OR($A1216="",P1216=""),"",ROUND(YEARFRAC(P1216,README!$C$5),1))</f>
        <v/>
      </c>
      <c r="S1216" s="6" t="n">
        <v>5500</v>
      </c>
      <c r="T1216" s="6" t="n">
        <v>4221</v>
      </c>
      <c r="U1216" s="6" t="n">
        <v>8030</v>
      </c>
      <c r="V1216" s="6" t="n">
        <v>3809</v>
      </c>
      <c r="W1216" s="6" t="n">
        <v>1</v>
      </c>
      <c r="X1216" s="6" t="n">
        <v>4</v>
      </c>
      <c r="Z1216" s="6" t="s">
        <v>4099</v>
      </c>
      <c r="AA1216" s="9" t="s">
        <v>528</v>
      </c>
      <c r="AE1216" s="37" t="n">
        <f aca="false">COUNTIF(環境認証!$A$2:$A$849,A1216)</f>
        <v>1</v>
      </c>
      <c r="AF1216" s="6" t="n">
        <v>90.2</v>
      </c>
      <c r="AG1216" s="6" t="n">
        <v>46</v>
      </c>
    </row>
    <row r="1217" customFormat="false" ht="15" hidden="false" customHeight="true" outlineLevel="0" collapsed="false">
      <c r="A1217" s="6" t="s">
        <v>4192</v>
      </c>
      <c r="B1217" s="6" t="s">
        <v>383</v>
      </c>
      <c r="C1217" s="9" t="s">
        <v>4193</v>
      </c>
      <c r="D1217" s="9" t="s">
        <v>522</v>
      </c>
      <c r="E1217" s="9" t="s">
        <v>523</v>
      </c>
      <c r="F1217" s="9" t="s">
        <v>625</v>
      </c>
      <c r="H1217" s="9" t="s">
        <v>540</v>
      </c>
      <c r="M1217" s="6" t="n">
        <v>16856</v>
      </c>
      <c r="Q1217" s="1" t="str">
        <f aca="false">IF(OR($A1217="",P1217=""),"",ROUND(YEARFRAC(P1217,README!$C$5),1))</f>
        <v/>
      </c>
      <c r="S1217" s="6" t="n">
        <v>12300</v>
      </c>
      <c r="T1217" s="6" t="n">
        <v>7910</v>
      </c>
      <c r="U1217" s="6" t="n">
        <v>16300</v>
      </c>
      <c r="V1217" s="6" t="n">
        <v>8390</v>
      </c>
      <c r="W1217" s="6" t="n">
        <v>1</v>
      </c>
      <c r="X1217" s="6" t="n">
        <v>1</v>
      </c>
      <c r="Z1217" s="6" t="s">
        <v>4099</v>
      </c>
      <c r="AA1217" s="9" t="s">
        <v>528</v>
      </c>
      <c r="AB1217" s="9" t="s">
        <v>4194</v>
      </c>
      <c r="AE1217" s="37" t="n">
        <f aca="false">COUNTIF(環境認証!$A$2:$A$849,A1217)</f>
        <v>2</v>
      </c>
      <c r="AF1217" s="6" t="n">
        <v>106.1</v>
      </c>
      <c r="AG1217" s="6" t="n">
        <v>32.5</v>
      </c>
    </row>
    <row r="1218" customFormat="false" ht="15" hidden="false" customHeight="true" outlineLevel="0" collapsed="false">
      <c r="A1218" s="6" t="s">
        <v>4195</v>
      </c>
      <c r="B1218" s="6" t="s">
        <v>383</v>
      </c>
      <c r="C1218" s="9" t="s">
        <v>4196</v>
      </c>
      <c r="D1218" s="9" t="s">
        <v>522</v>
      </c>
      <c r="E1218" s="9" t="s">
        <v>523</v>
      </c>
      <c r="F1218" s="9" t="s">
        <v>1312</v>
      </c>
      <c r="H1218" s="9" t="s">
        <v>540</v>
      </c>
      <c r="M1218" s="6" t="n">
        <v>7706</v>
      </c>
      <c r="Q1218" s="1" t="str">
        <f aca="false">IF(OR($A1218="",P1218=""),"",ROUND(YEARFRAC(P1218,README!$C$5),1))</f>
        <v/>
      </c>
      <c r="S1218" s="6" t="n">
        <v>5123</v>
      </c>
      <c r="T1218" s="6" t="n">
        <v>4779</v>
      </c>
      <c r="U1218" s="6" t="n">
        <v>6140</v>
      </c>
      <c r="V1218" s="6" t="n">
        <v>1361</v>
      </c>
      <c r="W1218" s="6" t="n">
        <v>1</v>
      </c>
      <c r="X1218" s="6" t="n">
        <v>25</v>
      </c>
      <c r="Z1218" s="6" t="s">
        <v>4099</v>
      </c>
      <c r="AA1218" s="9" t="s">
        <v>528</v>
      </c>
      <c r="AE1218" s="37" t="n">
        <f aca="false">COUNTIF(環境認証!$A$2:$A$849,A1218)</f>
        <v>1</v>
      </c>
      <c r="AF1218" s="6" t="n">
        <v>28.5</v>
      </c>
      <c r="AG1218" s="6" t="n">
        <v>19.9</v>
      </c>
    </row>
    <row r="1219" customFormat="false" ht="15" hidden="false" customHeight="true" outlineLevel="0" collapsed="false">
      <c r="A1219" s="6" t="s">
        <v>4197</v>
      </c>
      <c r="B1219" s="6" t="s">
        <v>383</v>
      </c>
      <c r="C1219" s="9" t="s">
        <v>4198</v>
      </c>
      <c r="D1219" s="9" t="s">
        <v>522</v>
      </c>
      <c r="E1219" s="9" t="s">
        <v>523</v>
      </c>
      <c r="F1219" s="9" t="s">
        <v>916</v>
      </c>
      <c r="H1219" s="9" t="s">
        <v>540</v>
      </c>
      <c r="M1219" s="6" t="n">
        <v>14340</v>
      </c>
      <c r="Q1219" s="1" t="str">
        <f aca="false">IF(OR($A1219="",P1219=""),"",ROUND(YEARFRAC(P1219,README!$C$5),1))</f>
        <v/>
      </c>
      <c r="S1219" s="6" t="n">
        <v>11120</v>
      </c>
      <c r="T1219" s="6" t="n">
        <v>9139</v>
      </c>
      <c r="U1219" s="6" t="n">
        <v>15500</v>
      </c>
      <c r="V1219" s="6" t="n">
        <v>6361</v>
      </c>
      <c r="W1219" s="6" t="n">
        <v>1</v>
      </c>
      <c r="X1219" s="6" t="n">
        <v>25</v>
      </c>
      <c r="Z1219" s="6" t="s">
        <v>4099</v>
      </c>
      <c r="AA1219" s="9" t="s">
        <v>528</v>
      </c>
      <c r="AE1219" s="37" t="n">
        <f aca="false">COUNTIF(環境認証!$A$2:$A$849,A1219)</f>
        <v>1</v>
      </c>
      <c r="AF1219" s="6" t="n">
        <v>69.6</v>
      </c>
      <c r="AG1219" s="6" t="n">
        <v>39.4</v>
      </c>
    </row>
    <row r="1220" customFormat="false" ht="15" hidden="false" customHeight="true" outlineLevel="0" collapsed="false">
      <c r="A1220" s="6" t="s">
        <v>4199</v>
      </c>
      <c r="B1220" s="6" t="s">
        <v>383</v>
      </c>
      <c r="C1220" s="9" t="s">
        <v>4200</v>
      </c>
      <c r="D1220" s="9" t="s">
        <v>522</v>
      </c>
      <c r="E1220" s="9" t="s">
        <v>523</v>
      </c>
      <c r="F1220" s="9" t="s">
        <v>893</v>
      </c>
      <c r="H1220" s="9" t="s">
        <v>540</v>
      </c>
      <c r="M1220" s="6" t="n">
        <v>2186</v>
      </c>
      <c r="Q1220" s="1" t="str">
        <f aca="false">IF(OR($A1220="",P1220=""),"",ROUND(YEARFRAC(P1220,README!$C$5),1))</f>
        <v/>
      </c>
      <c r="S1220" s="6" t="n">
        <v>1728</v>
      </c>
      <c r="T1220" s="6" t="n">
        <v>1528</v>
      </c>
      <c r="U1220" s="6" t="n">
        <v>2090</v>
      </c>
      <c r="V1220" s="6" t="n">
        <v>562</v>
      </c>
      <c r="W1220" s="6" t="n">
        <v>1</v>
      </c>
      <c r="X1220" s="6" t="n">
        <v>8</v>
      </c>
      <c r="Z1220" s="6" t="s">
        <v>4099</v>
      </c>
      <c r="AA1220" s="9" t="s">
        <v>528</v>
      </c>
      <c r="AE1220" s="37" t="n">
        <f aca="false">COUNTIF(環境認証!$A$2:$A$849,A1220)</f>
        <v>0</v>
      </c>
      <c r="AF1220" s="6" t="n">
        <v>36.8</v>
      </c>
      <c r="AG1220" s="6" t="n">
        <v>20.9</v>
      </c>
    </row>
    <row r="1221" customFormat="false" ht="15" hidden="false" customHeight="true" outlineLevel="0" collapsed="false">
      <c r="A1221" s="6" t="s">
        <v>4201</v>
      </c>
      <c r="B1221" s="6" t="s">
        <v>383</v>
      </c>
      <c r="C1221" s="9" t="s">
        <v>4202</v>
      </c>
      <c r="D1221" s="9" t="s">
        <v>522</v>
      </c>
      <c r="E1221" s="9" t="s">
        <v>523</v>
      </c>
      <c r="F1221" s="9" t="s">
        <v>893</v>
      </c>
      <c r="H1221" s="9" t="s">
        <v>540</v>
      </c>
      <c r="M1221" s="6" t="n">
        <v>5932</v>
      </c>
      <c r="Q1221" s="1" t="str">
        <f aca="false">IF(OR($A1221="",P1221=""),"",ROUND(YEARFRAC(P1221,README!$C$5),1))</f>
        <v/>
      </c>
      <c r="S1221" s="6" t="n">
        <v>4500</v>
      </c>
      <c r="T1221" s="6" t="n">
        <v>3755</v>
      </c>
      <c r="U1221" s="6" t="n">
        <v>6230</v>
      </c>
      <c r="V1221" s="6" t="n">
        <v>2475</v>
      </c>
      <c r="W1221" s="6" t="n">
        <v>1</v>
      </c>
      <c r="X1221" s="6" t="n">
        <v>11</v>
      </c>
      <c r="Z1221" s="6" t="s">
        <v>4099</v>
      </c>
      <c r="AA1221" s="9" t="s">
        <v>528</v>
      </c>
      <c r="AE1221" s="37" t="n">
        <f aca="false">COUNTIF(環境認証!$A$2:$A$849,A1221)</f>
        <v>1</v>
      </c>
      <c r="AF1221" s="6" t="n">
        <v>65.9</v>
      </c>
      <c r="AG1221" s="6" t="n">
        <v>38.4</v>
      </c>
    </row>
    <row r="1222" customFormat="false" ht="15" hidden="false" customHeight="true" outlineLevel="0" collapsed="false">
      <c r="A1222" s="6" t="s">
        <v>4203</v>
      </c>
      <c r="B1222" s="6" t="s">
        <v>383</v>
      </c>
      <c r="C1222" s="9" t="s">
        <v>4204</v>
      </c>
      <c r="D1222" s="9" t="s">
        <v>522</v>
      </c>
      <c r="E1222" s="9" t="s">
        <v>523</v>
      </c>
      <c r="F1222" s="9" t="s">
        <v>2489</v>
      </c>
      <c r="H1222" s="9" t="s">
        <v>550</v>
      </c>
      <c r="M1222" s="6" t="n">
        <v>10629</v>
      </c>
      <c r="Q1222" s="1" t="str">
        <f aca="false">IF(OR($A1222="",P1222=""),"",ROUND(YEARFRAC(P1222,README!$C$5),1))</f>
        <v/>
      </c>
      <c r="S1222" s="6" t="n">
        <v>5934.1</v>
      </c>
      <c r="T1222" s="6" t="n">
        <v>4802</v>
      </c>
      <c r="U1222" s="6" t="n">
        <v>5550</v>
      </c>
      <c r="V1222" s="6" t="n">
        <v>748</v>
      </c>
      <c r="W1222" s="6" t="n">
        <v>1</v>
      </c>
      <c r="X1222" s="6" t="n">
        <v>53</v>
      </c>
      <c r="Z1222" s="6" t="s">
        <v>4099</v>
      </c>
      <c r="AA1222" s="9" t="s">
        <v>528</v>
      </c>
      <c r="AE1222" s="37" t="n">
        <f aca="false">COUNTIF(環境認証!$A$2:$A$849,A1222)</f>
        <v>1</v>
      </c>
      <c r="AF1222" s="6" t="n">
        <v>15.6</v>
      </c>
      <c r="AG1222" s="6" t="n">
        <v>-6.5</v>
      </c>
    </row>
    <row r="1223" customFormat="false" ht="15" hidden="false" customHeight="true" outlineLevel="0" collapsed="false">
      <c r="A1223" s="6" t="s">
        <v>4205</v>
      </c>
      <c r="B1223" s="6" t="s">
        <v>383</v>
      </c>
      <c r="C1223" s="9" t="s">
        <v>4206</v>
      </c>
      <c r="D1223" s="9" t="s">
        <v>522</v>
      </c>
      <c r="E1223" s="9" t="s">
        <v>555</v>
      </c>
      <c r="F1223" s="9" t="s">
        <v>711</v>
      </c>
      <c r="H1223" s="9" t="s">
        <v>550</v>
      </c>
      <c r="M1223" s="6" t="n">
        <v>4510</v>
      </c>
      <c r="Q1223" s="1" t="str">
        <f aca="false">IF(OR($A1223="",P1223=""),"",ROUND(YEARFRAC(P1223,README!$C$5),1))</f>
        <v/>
      </c>
      <c r="S1223" s="6" t="n">
        <v>2574</v>
      </c>
      <c r="T1223" s="6" t="n">
        <v>2445</v>
      </c>
      <c r="U1223" s="6" t="n">
        <v>3810</v>
      </c>
      <c r="V1223" s="6" t="n">
        <v>1365</v>
      </c>
      <c r="W1223" s="6" t="n">
        <v>1</v>
      </c>
      <c r="X1223" s="6" t="n">
        <v>20</v>
      </c>
      <c r="Z1223" s="6" t="s">
        <v>4099</v>
      </c>
      <c r="AA1223" s="9" t="s">
        <v>528</v>
      </c>
      <c r="AE1223" s="37" t="n">
        <f aca="false">COUNTIF(環境認証!$A$2:$A$849,A1223)</f>
        <v>1</v>
      </c>
      <c r="AF1223" s="6" t="n">
        <v>55.8</v>
      </c>
      <c r="AG1223" s="6" t="n">
        <v>48</v>
      </c>
    </row>
    <row r="1224" customFormat="false" ht="15" hidden="false" customHeight="true" outlineLevel="0" collapsed="false">
      <c r="A1224" s="6" t="s">
        <v>4207</v>
      </c>
      <c r="B1224" s="6" t="s">
        <v>383</v>
      </c>
      <c r="C1224" s="9" t="s">
        <v>4208</v>
      </c>
      <c r="D1224" s="9" t="s">
        <v>522</v>
      </c>
      <c r="E1224" s="9" t="s">
        <v>547</v>
      </c>
      <c r="F1224" s="9" t="s">
        <v>701</v>
      </c>
      <c r="H1224" s="9" t="s">
        <v>550</v>
      </c>
      <c r="M1224" s="6" t="n">
        <v>38398</v>
      </c>
      <c r="Q1224" s="1" t="str">
        <f aca="false">IF(OR($A1224="",P1224=""),"",ROUND(YEARFRAC(P1224,README!$C$5),1))</f>
        <v/>
      </c>
      <c r="S1224" s="6" t="n">
        <v>37400</v>
      </c>
      <c r="T1224" s="6" t="n">
        <v>29031</v>
      </c>
      <c r="U1224" s="6" t="n">
        <v>41300</v>
      </c>
      <c r="V1224" s="6" t="n">
        <v>12269</v>
      </c>
      <c r="W1224" s="6" t="n">
        <v>0.995</v>
      </c>
      <c r="X1224" s="6" t="n">
        <v>31</v>
      </c>
      <c r="Z1224" s="6" t="s">
        <v>4099</v>
      </c>
      <c r="AA1224" s="9" t="s">
        <v>528</v>
      </c>
      <c r="AE1224" s="37" t="n">
        <f aca="false">COUNTIF(環境認証!$A$2:$A$849,A1224)</f>
        <v>1</v>
      </c>
      <c r="AF1224" s="6" t="n">
        <v>42.3</v>
      </c>
      <c r="AG1224" s="6" t="n">
        <v>10.4</v>
      </c>
    </row>
    <row r="1225" customFormat="false" ht="15" hidden="false" customHeight="true" outlineLevel="0" collapsed="false">
      <c r="A1225" s="6" t="s">
        <v>4209</v>
      </c>
      <c r="B1225" s="6" t="s">
        <v>383</v>
      </c>
      <c r="C1225" s="9" t="s">
        <v>4210</v>
      </c>
      <c r="D1225" s="9" t="s">
        <v>522</v>
      </c>
      <c r="E1225" s="9" t="s">
        <v>547</v>
      </c>
      <c r="F1225" s="9" t="s">
        <v>701</v>
      </c>
      <c r="H1225" s="9" t="s">
        <v>550</v>
      </c>
      <c r="M1225" s="6" t="n">
        <v>26696</v>
      </c>
      <c r="Q1225" s="1" t="str">
        <f aca="false">IF(OR($A1225="",P1225=""),"",ROUND(YEARFRAC(P1225,README!$C$5),1))</f>
        <v/>
      </c>
      <c r="S1225" s="6" t="n">
        <v>17200</v>
      </c>
      <c r="T1225" s="6" t="n">
        <v>14984</v>
      </c>
      <c r="U1225" s="6" t="n">
        <v>27900</v>
      </c>
      <c r="V1225" s="6" t="n">
        <v>12916</v>
      </c>
      <c r="W1225" s="6" t="n">
        <v>0.974</v>
      </c>
      <c r="X1225" s="6" t="n">
        <v>55</v>
      </c>
      <c r="Z1225" s="6" t="s">
        <v>4099</v>
      </c>
      <c r="AA1225" s="9" t="s">
        <v>528</v>
      </c>
      <c r="AE1225" s="37" t="n">
        <f aca="false">COUNTIF(環境認証!$A$2:$A$849,A1225)</f>
        <v>1</v>
      </c>
      <c r="AF1225" s="6" t="n">
        <v>86.2</v>
      </c>
      <c r="AG1225" s="6" t="n">
        <v>62.2</v>
      </c>
    </row>
    <row r="1226" customFormat="false" ht="15" hidden="false" customHeight="true" outlineLevel="0" collapsed="false">
      <c r="A1226" s="6" t="s">
        <v>4211</v>
      </c>
      <c r="B1226" s="6" t="s">
        <v>383</v>
      </c>
      <c r="C1226" s="9" t="s">
        <v>4212</v>
      </c>
      <c r="D1226" s="9" t="s">
        <v>522</v>
      </c>
      <c r="E1226" s="9" t="s">
        <v>547</v>
      </c>
      <c r="F1226" s="9" t="s">
        <v>687</v>
      </c>
      <c r="H1226" s="9" t="s">
        <v>550</v>
      </c>
      <c r="M1226" s="6" t="n">
        <v>5378</v>
      </c>
      <c r="Q1226" s="1" t="str">
        <f aca="false">IF(OR($A1226="",P1226=""),"",ROUND(YEARFRAC(P1226,README!$C$5),1))</f>
        <v/>
      </c>
      <c r="S1226" s="6" t="n">
        <v>4000</v>
      </c>
      <c r="T1226" s="6" t="n">
        <v>3561</v>
      </c>
      <c r="U1226" s="6" t="n">
        <v>4710</v>
      </c>
      <c r="V1226" s="6" t="n">
        <v>1149</v>
      </c>
      <c r="W1226" s="6" t="n">
        <v>1</v>
      </c>
      <c r="X1226" s="6" t="n">
        <v>29</v>
      </c>
      <c r="Z1226" s="6" t="s">
        <v>4099</v>
      </c>
      <c r="AA1226" s="9" t="s">
        <v>528</v>
      </c>
      <c r="AE1226" s="37" t="n">
        <f aca="false">COUNTIF(環境認証!$A$2:$A$849,A1226)</f>
        <v>1</v>
      </c>
      <c r="AF1226" s="6" t="n">
        <v>32.3</v>
      </c>
      <c r="AG1226" s="6" t="n">
        <v>17.8</v>
      </c>
    </row>
    <row r="1227" customFormat="false" ht="15" hidden="false" customHeight="true" outlineLevel="0" collapsed="false">
      <c r="A1227" s="6" t="s">
        <v>4213</v>
      </c>
      <c r="B1227" s="6" t="s">
        <v>383</v>
      </c>
      <c r="C1227" s="9" t="s">
        <v>4214</v>
      </c>
      <c r="D1227" s="9" t="s">
        <v>522</v>
      </c>
      <c r="E1227" s="9" t="s">
        <v>604</v>
      </c>
      <c r="F1227" s="9" t="s">
        <v>720</v>
      </c>
      <c r="H1227" s="6" t="s">
        <v>599</v>
      </c>
      <c r="M1227" s="6" t="n">
        <v>5266</v>
      </c>
      <c r="Q1227" s="1" t="str">
        <f aca="false">IF(OR($A1227="",P1227=""),"",ROUND(YEARFRAC(P1227,README!$C$5),1))</f>
        <v/>
      </c>
      <c r="S1227" s="6" t="n">
        <v>8175</v>
      </c>
      <c r="T1227" s="6" t="n">
        <v>8456</v>
      </c>
      <c r="U1227" s="6" t="n">
        <v>8530</v>
      </c>
      <c r="V1227" s="6" t="n">
        <v>74</v>
      </c>
      <c r="W1227" s="6" t="n">
        <v>0.66</v>
      </c>
      <c r="X1227" s="6" t="n">
        <v>4</v>
      </c>
      <c r="Z1227" s="6" t="s">
        <v>4099</v>
      </c>
      <c r="AA1227" s="9" t="s">
        <v>528</v>
      </c>
      <c r="AB1227" s="6" t="s">
        <v>4215</v>
      </c>
      <c r="AE1227" s="37" t="n">
        <f aca="false">COUNTIF(環境認証!$A$2:$A$849,A1227)</f>
        <v>2</v>
      </c>
      <c r="AF1227" s="6" t="n">
        <v>0.9</v>
      </c>
      <c r="AG1227" s="6" t="n">
        <v>4.3</v>
      </c>
    </row>
    <row r="1228" customFormat="false" ht="15" hidden="false" customHeight="true" outlineLevel="0" collapsed="false">
      <c r="A1228" s="6" t="s">
        <v>4216</v>
      </c>
      <c r="B1228" s="6" t="s">
        <v>383</v>
      </c>
      <c r="C1228" s="9" t="s">
        <v>4217</v>
      </c>
      <c r="D1228" s="9" t="s">
        <v>522</v>
      </c>
      <c r="E1228" s="9" t="s">
        <v>604</v>
      </c>
      <c r="F1228" s="9" t="s">
        <v>720</v>
      </c>
      <c r="H1228" s="6" t="s">
        <v>599</v>
      </c>
      <c r="M1228" s="6" t="n">
        <v>12265</v>
      </c>
      <c r="Q1228" s="1" t="str">
        <f aca="false">IF(OR($A1228="",P1228=""),"",ROUND(YEARFRAC(P1228,README!$C$5),1))</f>
        <v/>
      </c>
      <c r="S1228" s="6" t="n">
        <v>7100</v>
      </c>
      <c r="T1228" s="6" t="n">
        <v>5552</v>
      </c>
      <c r="U1228" s="6" t="n">
        <v>13100</v>
      </c>
      <c r="V1228" s="6" t="n">
        <v>7548</v>
      </c>
      <c r="W1228" s="6" t="n">
        <v>0.991</v>
      </c>
      <c r="X1228" s="6" t="n">
        <v>12</v>
      </c>
      <c r="Z1228" s="6" t="s">
        <v>4099</v>
      </c>
      <c r="AA1228" s="9" t="s">
        <v>528</v>
      </c>
      <c r="AE1228" s="37" t="n">
        <f aca="false">COUNTIF(環境認証!$A$2:$A$849,A1228)</f>
        <v>2</v>
      </c>
      <c r="AF1228" s="6" t="n">
        <v>136</v>
      </c>
      <c r="AG1228" s="6" t="n">
        <v>84.5</v>
      </c>
    </row>
    <row r="1229" customFormat="false" ht="15" hidden="false" customHeight="true" outlineLevel="0" collapsed="false">
      <c r="A1229" s="6" t="s">
        <v>4218</v>
      </c>
      <c r="B1229" s="6" t="s">
        <v>383</v>
      </c>
      <c r="C1229" s="6" t="s">
        <v>4219</v>
      </c>
      <c r="D1229" s="9" t="s">
        <v>522</v>
      </c>
      <c r="E1229" s="9" t="s">
        <v>604</v>
      </c>
      <c r="F1229" s="9" t="s">
        <v>720</v>
      </c>
      <c r="H1229" s="6" t="s">
        <v>599</v>
      </c>
      <c r="M1229" s="6" t="n">
        <v>11818</v>
      </c>
      <c r="Q1229" s="1" t="str">
        <f aca="false">IF(OR($A1229="",P1229=""),"",ROUND(YEARFRAC(P1229,README!$C$5),1))</f>
        <v/>
      </c>
      <c r="S1229" s="6" t="n">
        <v>21340</v>
      </c>
      <c r="T1229" s="6" t="n">
        <v>21325</v>
      </c>
      <c r="U1229" s="6" t="n">
        <v>22000</v>
      </c>
      <c r="V1229" s="6" t="n">
        <v>675</v>
      </c>
      <c r="W1229" s="6" t="n">
        <v>0.875</v>
      </c>
      <c r="X1229" s="6" t="n">
        <v>17</v>
      </c>
      <c r="Z1229" s="6" t="s">
        <v>4099</v>
      </c>
      <c r="AA1229" s="9" t="s">
        <v>528</v>
      </c>
      <c r="AB1229" s="6" t="s">
        <v>4220</v>
      </c>
      <c r="AE1229" s="37" t="n">
        <f aca="false">COUNTIF(環境認証!$A$2:$A$849,A1229)</f>
        <v>1</v>
      </c>
      <c r="AF1229" s="6" t="n">
        <v>3.2</v>
      </c>
      <c r="AG1229" s="6" t="n">
        <v>3.1</v>
      </c>
    </row>
    <row r="1230" customFormat="false" ht="15" hidden="false" customHeight="true" outlineLevel="0" collapsed="false">
      <c r="A1230" s="6" t="s">
        <v>4221</v>
      </c>
      <c r="B1230" s="6" t="s">
        <v>383</v>
      </c>
      <c r="C1230" s="9" t="s">
        <v>4222</v>
      </c>
      <c r="D1230" s="9" t="s">
        <v>522</v>
      </c>
      <c r="E1230" s="9" t="s">
        <v>724</v>
      </c>
      <c r="F1230" s="9" t="s">
        <v>725</v>
      </c>
      <c r="H1230" s="6" t="s">
        <v>599</v>
      </c>
      <c r="M1230" s="6" t="n">
        <v>2518</v>
      </c>
      <c r="Q1230" s="1" t="str">
        <f aca="false">IF(OR($A1230="",P1230=""),"",ROUND(YEARFRAC(P1230,README!$C$5),1))</f>
        <v/>
      </c>
      <c r="S1230" s="6" t="n">
        <v>1000</v>
      </c>
      <c r="T1230" s="6" t="n">
        <v>933</v>
      </c>
      <c r="U1230" s="6" t="n">
        <v>1130</v>
      </c>
      <c r="V1230" s="6" t="n">
        <v>197</v>
      </c>
      <c r="W1230" s="6" t="n">
        <v>0.98</v>
      </c>
      <c r="X1230" s="6" t="n">
        <v>20</v>
      </c>
      <c r="Z1230" s="6" t="s">
        <v>4099</v>
      </c>
      <c r="AA1230" s="9" t="s">
        <v>528</v>
      </c>
      <c r="AE1230" s="37" t="n">
        <f aca="false">COUNTIF(環境認証!$A$2:$A$849,A1230)</f>
        <v>1</v>
      </c>
      <c r="AF1230" s="6" t="n">
        <v>21.1</v>
      </c>
      <c r="AG1230" s="6" t="n">
        <v>13</v>
      </c>
    </row>
    <row r="1231" customFormat="false" ht="15" hidden="false" customHeight="true" outlineLevel="0" collapsed="false">
      <c r="A1231" s="6" t="s">
        <v>4223</v>
      </c>
      <c r="B1231" s="6" t="s">
        <v>383</v>
      </c>
      <c r="C1231" s="9" t="s">
        <v>4224</v>
      </c>
      <c r="D1231" s="9" t="s">
        <v>522</v>
      </c>
      <c r="E1231" s="9" t="s">
        <v>724</v>
      </c>
      <c r="F1231" s="9" t="s">
        <v>725</v>
      </c>
      <c r="H1231" s="6" t="s">
        <v>599</v>
      </c>
      <c r="M1231" s="6" t="n">
        <v>20526</v>
      </c>
      <c r="Q1231" s="1" t="str">
        <f aca="false">IF(OR($A1231="",P1231=""),"",ROUND(YEARFRAC(P1231,README!$C$5),1))</f>
        <v/>
      </c>
      <c r="S1231" s="6" t="n">
        <v>9950</v>
      </c>
      <c r="T1231" s="6" t="n">
        <v>7868</v>
      </c>
      <c r="U1231" s="6" t="n">
        <v>17200</v>
      </c>
      <c r="V1231" s="6" t="n">
        <v>9332</v>
      </c>
      <c r="W1231" s="6" t="n">
        <v>1</v>
      </c>
      <c r="X1231" s="6" t="n">
        <v>22</v>
      </c>
      <c r="Z1231" s="6" t="s">
        <v>4099</v>
      </c>
      <c r="AA1231" s="9" t="s">
        <v>528</v>
      </c>
      <c r="AE1231" s="37" t="n">
        <f aca="false">COUNTIF(環境認証!$A$2:$A$849,A1231)</f>
        <v>2</v>
      </c>
      <c r="AF1231" s="6" t="n">
        <v>118.6</v>
      </c>
      <c r="AG1231" s="6" t="n">
        <v>72.9</v>
      </c>
    </row>
    <row r="1232" customFormat="false" ht="15" hidden="false" customHeight="true" outlineLevel="0" collapsed="false">
      <c r="A1232" s="6" t="s">
        <v>4225</v>
      </c>
      <c r="B1232" s="6" t="s">
        <v>383</v>
      </c>
      <c r="C1232" s="9" t="s">
        <v>4226</v>
      </c>
      <c r="D1232" s="9" t="s">
        <v>522</v>
      </c>
      <c r="E1232" s="9" t="s">
        <v>724</v>
      </c>
      <c r="F1232" s="9" t="s">
        <v>725</v>
      </c>
      <c r="H1232" s="6" t="s">
        <v>599</v>
      </c>
      <c r="M1232" s="6" t="n">
        <v>6234</v>
      </c>
      <c r="Q1232" s="1" t="str">
        <f aca="false">IF(OR($A1232="",P1232=""),"",ROUND(YEARFRAC(P1232,README!$C$5),1))</f>
        <v/>
      </c>
      <c r="S1232" s="6" t="n">
        <v>3174</v>
      </c>
      <c r="T1232" s="6" t="n">
        <v>2867</v>
      </c>
      <c r="U1232" s="6" t="n">
        <v>3240</v>
      </c>
      <c r="V1232" s="6" t="n">
        <v>373</v>
      </c>
      <c r="W1232" s="6" t="n">
        <v>1</v>
      </c>
      <c r="X1232" s="6" t="n">
        <v>28</v>
      </c>
      <c r="Z1232" s="6" t="s">
        <v>4099</v>
      </c>
      <c r="AA1232" s="9" t="s">
        <v>528</v>
      </c>
      <c r="AE1232" s="37" t="n">
        <f aca="false">COUNTIF(環境認証!$A$2:$A$849,A1232)</f>
        <v>1</v>
      </c>
      <c r="AF1232" s="6" t="n">
        <v>13</v>
      </c>
      <c r="AG1232" s="6" t="n">
        <v>2.1</v>
      </c>
    </row>
    <row r="1233" customFormat="false" ht="15" hidden="false" customHeight="true" outlineLevel="0" collapsed="false">
      <c r="A1233" s="6" t="s">
        <v>4227</v>
      </c>
      <c r="B1233" s="6" t="s">
        <v>383</v>
      </c>
      <c r="C1233" s="9" t="s">
        <v>4228</v>
      </c>
      <c r="D1233" s="9" t="s">
        <v>522</v>
      </c>
      <c r="E1233" s="9" t="s">
        <v>724</v>
      </c>
      <c r="F1233" s="9" t="s">
        <v>725</v>
      </c>
      <c r="H1233" s="6" t="s">
        <v>599</v>
      </c>
      <c r="M1233" s="6" t="n">
        <v>23612</v>
      </c>
      <c r="Q1233" s="1" t="str">
        <f aca="false">IF(OR($A1233="",P1233=""),"",ROUND(YEARFRAC(P1233,README!$C$5),1))</f>
        <v/>
      </c>
      <c r="S1233" s="6" t="n">
        <v>18640</v>
      </c>
      <c r="T1233" s="6" t="n">
        <v>17281</v>
      </c>
      <c r="U1233" s="6" t="n">
        <v>20500</v>
      </c>
      <c r="V1233" s="6" t="n">
        <v>3219</v>
      </c>
      <c r="W1233" s="6" t="n">
        <v>0.975</v>
      </c>
      <c r="X1233" s="6" t="n">
        <v>63</v>
      </c>
      <c r="Z1233" s="6" t="s">
        <v>4099</v>
      </c>
      <c r="AA1233" s="9" t="s">
        <v>528</v>
      </c>
      <c r="AE1233" s="37" t="n">
        <f aca="false">COUNTIF(環境認証!$A$2:$A$849,A1233)</f>
        <v>1</v>
      </c>
      <c r="AF1233" s="6" t="n">
        <v>18.6</v>
      </c>
      <c r="AG1233" s="6" t="n">
        <v>10</v>
      </c>
    </row>
    <row r="1234" customFormat="false" ht="15" hidden="false" customHeight="true" outlineLevel="0" collapsed="false">
      <c r="A1234" s="6" t="s">
        <v>4229</v>
      </c>
      <c r="B1234" s="6" t="s">
        <v>383</v>
      </c>
      <c r="C1234" s="9" t="s">
        <v>4230</v>
      </c>
      <c r="D1234" s="9" t="s">
        <v>522</v>
      </c>
      <c r="E1234" s="9" t="s">
        <v>1320</v>
      </c>
      <c r="F1234" s="9" t="s">
        <v>1321</v>
      </c>
      <c r="H1234" s="6" t="s">
        <v>599</v>
      </c>
      <c r="M1234" s="6" t="n">
        <v>3928</v>
      </c>
      <c r="Q1234" s="1" t="str">
        <f aca="false">IF(OR($A1234="",P1234=""),"",ROUND(YEARFRAC(P1234,README!$C$5),1))</f>
        <v/>
      </c>
      <c r="S1234" s="6" t="n">
        <v>1770</v>
      </c>
      <c r="T1234" s="6" t="n">
        <v>1591</v>
      </c>
      <c r="U1234" s="6" t="n">
        <v>1800</v>
      </c>
      <c r="V1234" s="6" t="n">
        <v>209</v>
      </c>
      <c r="W1234" s="6" t="n">
        <v>0.851</v>
      </c>
      <c r="X1234" s="6" t="n">
        <v>8</v>
      </c>
      <c r="Z1234" s="6" t="s">
        <v>4099</v>
      </c>
      <c r="AA1234" s="9" t="s">
        <v>528</v>
      </c>
      <c r="AB1234" s="9" t="s">
        <v>4231</v>
      </c>
      <c r="AE1234" s="37" t="n">
        <f aca="false">COUNTIF(環境認証!$A$2:$A$849,A1234)</f>
        <v>1</v>
      </c>
      <c r="AF1234" s="6" t="n">
        <v>13.1</v>
      </c>
      <c r="AG1234" s="6" t="n">
        <v>1.7</v>
      </c>
    </row>
    <row r="1235" customFormat="false" ht="15" hidden="false" customHeight="true" outlineLevel="0" collapsed="false">
      <c r="A1235" s="6" t="s">
        <v>4232</v>
      </c>
      <c r="B1235" s="6" t="s">
        <v>383</v>
      </c>
      <c r="C1235" s="9" t="s">
        <v>4233</v>
      </c>
      <c r="D1235" s="9" t="s">
        <v>522</v>
      </c>
      <c r="E1235" s="9" t="s">
        <v>4084</v>
      </c>
      <c r="F1235" s="9" t="s">
        <v>4085</v>
      </c>
      <c r="H1235" s="9" t="s">
        <v>734</v>
      </c>
      <c r="M1235" s="6" t="n">
        <v>20951</v>
      </c>
      <c r="Q1235" s="1" t="str">
        <f aca="false">IF(OR($A1235="",P1235=""),"",ROUND(YEARFRAC(P1235,README!$C$5),1))</f>
        <v/>
      </c>
      <c r="S1235" s="6" t="n">
        <v>4580</v>
      </c>
      <c r="T1235" s="6" t="n">
        <v>4969</v>
      </c>
      <c r="U1235" s="6" t="n">
        <v>8150</v>
      </c>
      <c r="V1235" s="6" t="n">
        <v>3181</v>
      </c>
      <c r="W1235" s="6" t="n">
        <v>0.989</v>
      </c>
      <c r="X1235" s="6" t="n">
        <v>74</v>
      </c>
      <c r="Z1235" s="6" t="s">
        <v>4099</v>
      </c>
      <c r="AA1235" s="9" t="s">
        <v>528</v>
      </c>
      <c r="AE1235" s="37" t="n">
        <f aca="false">COUNTIF(環境認証!$A$2:$A$849,A1235)</f>
        <v>1</v>
      </c>
      <c r="AF1235" s="6" t="n">
        <v>64</v>
      </c>
      <c r="AG1235" s="6" t="n">
        <v>77.9</v>
      </c>
    </row>
    <row r="1236" customFormat="false" ht="15" hidden="false" customHeight="true" outlineLevel="0" collapsed="false">
      <c r="A1236" s="6" t="s">
        <v>4234</v>
      </c>
      <c r="B1236" s="6" t="s">
        <v>383</v>
      </c>
      <c r="C1236" s="9" t="s">
        <v>4235</v>
      </c>
      <c r="D1236" s="9" t="s">
        <v>522</v>
      </c>
      <c r="E1236" s="9" t="s">
        <v>4084</v>
      </c>
      <c r="F1236" s="9" t="s">
        <v>4085</v>
      </c>
      <c r="H1236" s="9" t="s">
        <v>734</v>
      </c>
      <c r="M1236" s="6" t="n">
        <v>7213</v>
      </c>
      <c r="Q1236" s="1" t="str">
        <f aca="false">IF(OR($A1236="",P1236=""),"",ROUND(YEARFRAC(P1236,README!$C$5),1))</f>
        <v/>
      </c>
      <c r="S1236" s="6" t="n">
        <v>2780</v>
      </c>
      <c r="T1236" s="6" t="n">
        <v>2115</v>
      </c>
      <c r="U1236" s="6" t="n">
        <v>2980</v>
      </c>
      <c r="V1236" s="6" t="n">
        <v>865</v>
      </c>
      <c r="W1236" s="6" t="n">
        <v>0.914</v>
      </c>
      <c r="X1236" s="6" t="n">
        <v>23</v>
      </c>
      <c r="Z1236" s="6" t="s">
        <v>4099</v>
      </c>
      <c r="AA1236" s="9" t="s">
        <v>528</v>
      </c>
      <c r="AE1236" s="37" t="n">
        <f aca="false">COUNTIF(環境認証!$A$2:$A$849,A1236)</f>
        <v>2</v>
      </c>
      <c r="AF1236" s="6" t="n">
        <v>40.9</v>
      </c>
      <c r="AG1236" s="6" t="n">
        <v>7.2</v>
      </c>
    </row>
    <row r="1237" customFormat="false" ht="15" hidden="false" customHeight="true" outlineLevel="0" collapsed="false">
      <c r="A1237" s="6" t="s">
        <v>4236</v>
      </c>
      <c r="B1237" s="6" t="s">
        <v>383</v>
      </c>
      <c r="C1237" s="9" t="s">
        <v>4237</v>
      </c>
      <c r="D1237" s="9" t="s">
        <v>522</v>
      </c>
      <c r="E1237" s="9" t="s">
        <v>567</v>
      </c>
      <c r="F1237" s="9" t="s">
        <v>676</v>
      </c>
      <c r="H1237" s="9" t="s">
        <v>569</v>
      </c>
      <c r="M1237" s="6" t="n">
        <v>10338</v>
      </c>
      <c r="Q1237" s="1" t="str">
        <f aca="false">IF(OR($A1237="",P1237=""),"",ROUND(YEARFRAC(P1237,README!$C$5),1))</f>
        <v/>
      </c>
      <c r="S1237" s="6" t="n">
        <v>5975</v>
      </c>
      <c r="T1237" s="6" t="n">
        <v>4906</v>
      </c>
      <c r="U1237" s="6" t="n">
        <v>6250</v>
      </c>
      <c r="V1237" s="6" t="n">
        <v>1344</v>
      </c>
      <c r="W1237" s="6" t="n">
        <v>0.98</v>
      </c>
      <c r="X1237" s="6" t="n">
        <v>64</v>
      </c>
      <c r="Z1237" s="6" t="s">
        <v>4099</v>
      </c>
      <c r="AA1237" s="9" t="s">
        <v>528</v>
      </c>
      <c r="AB1237" s="9" t="s">
        <v>4238</v>
      </c>
      <c r="AE1237" s="37" t="n">
        <f aca="false">COUNTIF(環境認証!$A$2:$A$849,A1237)</f>
        <v>1</v>
      </c>
      <c r="AF1237" s="6" t="n">
        <v>27.4</v>
      </c>
      <c r="AG1237" s="6" t="n">
        <v>4.6</v>
      </c>
    </row>
    <row r="1238" customFormat="false" ht="15" hidden="false" customHeight="true" outlineLevel="0" collapsed="false">
      <c r="A1238" s="6" t="s">
        <v>4239</v>
      </c>
      <c r="B1238" s="6" t="s">
        <v>383</v>
      </c>
      <c r="C1238" s="9" t="s">
        <v>4240</v>
      </c>
      <c r="D1238" s="9" t="s">
        <v>522</v>
      </c>
      <c r="E1238" s="9" t="s">
        <v>567</v>
      </c>
      <c r="F1238" s="9" t="s">
        <v>676</v>
      </c>
      <c r="H1238" s="9" t="s">
        <v>569</v>
      </c>
      <c r="M1238" s="6" t="n">
        <v>13200</v>
      </c>
      <c r="Q1238" s="1" t="str">
        <f aca="false">IF(OR($A1238="",P1238=""),"",ROUND(YEARFRAC(P1238,README!$C$5),1))</f>
        <v/>
      </c>
      <c r="S1238" s="6" t="n">
        <v>8567</v>
      </c>
      <c r="T1238" s="6" t="n">
        <v>7832</v>
      </c>
      <c r="U1238" s="6" t="n">
        <v>14800</v>
      </c>
      <c r="V1238" s="6" t="n">
        <v>6968</v>
      </c>
      <c r="W1238" s="6" t="n">
        <v>1</v>
      </c>
      <c r="X1238" s="6" t="n">
        <v>39</v>
      </c>
      <c r="Z1238" s="6" t="s">
        <v>4099</v>
      </c>
      <c r="AA1238" s="9" t="s">
        <v>528</v>
      </c>
      <c r="AE1238" s="37" t="n">
        <f aca="false">COUNTIF(環境認証!$A$2:$A$849,A1238)</f>
        <v>2</v>
      </c>
      <c r="AF1238" s="6" t="n">
        <v>89</v>
      </c>
      <c r="AG1238" s="6" t="n">
        <v>72.8</v>
      </c>
    </row>
    <row r="1239" customFormat="false" ht="15" hidden="false" customHeight="true" outlineLevel="0" collapsed="false">
      <c r="A1239" s="6" t="s">
        <v>4241</v>
      </c>
      <c r="B1239" s="6" t="s">
        <v>383</v>
      </c>
      <c r="C1239" s="9" t="s">
        <v>4242</v>
      </c>
      <c r="D1239" s="9" t="s">
        <v>522</v>
      </c>
      <c r="E1239" s="9" t="s">
        <v>567</v>
      </c>
      <c r="F1239" s="9" t="s">
        <v>676</v>
      </c>
      <c r="H1239" s="9" t="s">
        <v>569</v>
      </c>
      <c r="M1239" s="6" t="n">
        <v>21372</v>
      </c>
      <c r="Q1239" s="1" t="str">
        <f aca="false">IF(OR($A1239="",P1239=""),"",ROUND(YEARFRAC(P1239,README!$C$5),1))</f>
        <v/>
      </c>
      <c r="S1239" s="6" t="n">
        <v>14533</v>
      </c>
      <c r="T1239" s="6" t="n">
        <v>14054</v>
      </c>
      <c r="U1239" s="6" t="n">
        <v>13600</v>
      </c>
      <c r="V1239" s="6" t="n">
        <v>-454</v>
      </c>
      <c r="W1239" s="6" t="n">
        <v>1</v>
      </c>
      <c r="X1239" s="6" t="n">
        <v>44</v>
      </c>
      <c r="Z1239" s="6" t="s">
        <v>4099</v>
      </c>
      <c r="AA1239" s="9" t="s">
        <v>528</v>
      </c>
      <c r="AE1239" s="37" t="n">
        <f aca="false">COUNTIF(環境認証!$A$2:$A$849,A1239)</f>
        <v>1</v>
      </c>
      <c r="AF1239" s="6" t="n">
        <v>-3.2</v>
      </c>
      <c r="AG1239" s="6" t="n">
        <v>-6.4</v>
      </c>
    </row>
    <row r="1240" customFormat="false" ht="15" hidden="false" customHeight="true" outlineLevel="0" collapsed="false">
      <c r="A1240" s="6" t="s">
        <v>4243</v>
      </c>
      <c r="B1240" s="6" t="s">
        <v>383</v>
      </c>
      <c r="C1240" s="9" t="s">
        <v>4244</v>
      </c>
      <c r="D1240" s="9" t="s">
        <v>522</v>
      </c>
      <c r="E1240" s="9" t="s">
        <v>1822</v>
      </c>
      <c r="F1240" s="9" t="s">
        <v>1823</v>
      </c>
      <c r="H1240" s="9" t="s">
        <v>569</v>
      </c>
      <c r="M1240" s="6" t="n">
        <v>6634</v>
      </c>
      <c r="Q1240" s="1" t="str">
        <f aca="false">IF(OR($A1240="",P1240=""),"",ROUND(YEARFRAC(P1240,README!$C$5),1))</f>
        <v/>
      </c>
      <c r="S1240" s="6" t="n">
        <v>4400</v>
      </c>
      <c r="T1240" s="6" t="n">
        <v>3306</v>
      </c>
      <c r="U1240" s="6" t="n">
        <v>8730</v>
      </c>
      <c r="V1240" s="6" t="n">
        <v>5424</v>
      </c>
      <c r="W1240" s="6" t="n">
        <v>1</v>
      </c>
      <c r="X1240" s="6" t="n">
        <v>15</v>
      </c>
      <c r="Z1240" s="6" t="s">
        <v>4099</v>
      </c>
      <c r="AA1240" s="9" t="s">
        <v>528</v>
      </c>
      <c r="AE1240" s="37" t="n">
        <f aca="false">COUNTIF(環境認証!$A$2:$A$849,A1240)</f>
        <v>2</v>
      </c>
      <c r="AF1240" s="6" t="n">
        <v>164.1</v>
      </c>
      <c r="AG1240" s="6" t="n">
        <v>98.4</v>
      </c>
    </row>
    <row r="1241" customFormat="false" ht="15" hidden="false" customHeight="true" outlineLevel="0" collapsed="false">
      <c r="A1241" s="6" t="s">
        <v>4245</v>
      </c>
      <c r="B1241" s="6" t="s">
        <v>383</v>
      </c>
      <c r="C1241" s="9" t="s">
        <v>683</v>
      </c>
      <c r="D1241" s="9" t="s">
        <v>522</v>
      </c>
      <c r="E1241" s="9" t="s">
        <v>573</v>
      </c>
      <c r="F1241" s="9" t="s">
        <v>680</v>
      </c>
      <c r="H1241" s="9" t="s">
        <v>569</v>
      </c>
      <c r="M1241" s="6" t="n">
        <v>8481</v>
      </c>
      <c r="Q1241" s="1" t="str">
        <f aca="false">IF(OR($A1241="",P1241=""),"",ROUND(YEARFRAC(P1241,README!$C$5),1))</f>
        <v/>
      </c>
      <c r="S1241" s="6" t="n">
        <v>9750</v>
      </c>
      <c r="T1241" s="6" t="n">
        <v>9480</v>
      </c>
      <c r="U1241" s="6" t="n">
        <v>11000</v>
      </c>
      <c r="V1241" s="6" t="n">
        <v>1520</v>
      </c>
      <c r="W1241" s="6" t="n">
        <v>0.979</v>
      </c>
      <c r="X1241" s="6" t="n">
        <v>5</v>
      </c>
      <c r="Z1241" s="6" t="s">
        <v>4099</v>
      </c>
      <c r="AA1241" s="9" t="s">
        <v>528</v>
      </c>
      <c r="AB1241" s="9" t="s">
        <v>4246</v>
      </c>
      <c r="AE1241" s="37" t="n">
        <f aca="false">COUNTIF(環境認証!$A$2:$A$849,A1241)</f>
        <v>0</v>
      </c>
      <c r="AF1241" s="6" t="n">
        <v>16</v>
      </c>
      <c r="AG1241" s="6" t="n">
        <v>12.8</v>
      </c>
    </row>
    <row r="1242" customFormat="false" ht="15" hidden="false" customHeight="true" outlineLevel="0" collapsed="false">
      <c r="A1242" s="6" t="s">
        <v>4247</v>
      </c>
      <c r="B1242" s="6" t="s">
        <v>383</v>
      </c>
      <c r="C1242" s="9" t="s">
        <v>679</v>
      </c>
      <c r="D1242" s="9" t="s">
        <v>522</v>
      </c>
      <c r="E1242" s="9" t="s">
        <v>573</v>
      </c>
      <c r="F1242" s="9" t="s">
        <v>680</v>
      </c>
      <c r="H1242" s="9" t="s">
        <v>569</v>
      </c>
      <c r="M1242" s="6" t="n">
        <v>5187</v>
      </c>
      <c r="Q1242" s="1" t="str">
        <f aca="false">IF(OR($A1242="",P1242=""),"",ROUND(YEARFRAC(P1242,README!$C$5),1))</f>
        <v/>
      </c>
      <c r="S1242" s="6" t="n">
        <v>11250</v>
      </c>
      <c r="T1242" s="6" t="n">
        <v>11038</v>
      </c>
      <c r="U1242" s="6" t="n">
        <v>12400</v>
      </c>
      <c r="V1242" s="6" t="n">
        <v>1362</v>
      </c>
      <c r="W1242" s="6" t="n">
        <v>0.983</v>
      </c>
      <c r="X1242" s="6" t="n">
        <v>2</v>
      </c>
      <c r="Z1242" s="6" t="s">
        <v>4099</v>
      </c>
      <c r="AA1242" s="9" t="s">
        <v>528</v>
      </c>
      <c r="AB1242" s="9" t="s">
        <v>4246</v>
      </c>
      <c r="AE1242" s="37" t="n">
        <f aca="false">COUNTIF(環境認証!$A$2:$A$849,A1242)</f>
        <v>5</v>
      </c>
      <c r="AF1242" s="6" t="n">
        <v>12.3</v>
      </c>
      <c r="AG1242" s="6" t="n">
        <v>10.2</v>
      </c>
    </row>
    <row r="1243" customFormat="false" ht="15" hidden="false" customHeight="true" outlineLevel="0" collapsed="false">
      <c r="A1243" s="6" t="s">
        <v>4248</v>
      </c>
      <c r="B1243" s="6" t="s">
        <v>383</v>
      </c>
      <c r="C1243" s="9" t="s">
        <v>4249</v>
      </c>
      <c r="D1243" s="9" t="s">
        <v>522</v>
      </c>
      <c r="E1243" s="9" t="s">
        <v>573</v>
      </c>
      <c r="F1243" s="9" t="s">
        <v>680</v>
      </c>
      <c r="H1243" s="9" t="s">
        <v>569</v>
      </c>
      <c r="M1243" s="6" t="n">
        <v>10375</v>
      </c>
      <c r="Q1243" s="1" t="str">
        <f aca="false">IF(OR($A1243="",P1243=""),"",ROUND(YEARFRAC(P1243,README!$C$5),1))</f>
        <v/>
      </c>
      <c r="S1243" s="6" t="n">
        <v>15523.5</v>
      </c>
      <c r="T1243" s="6" t="n">
        <v>15172</v>
      </c>
      <c r="U1243" s="6" t="n">
        <v>18400</v>
      </c>
      <c r="V1243" s="6" t="n">
        <v>3228</v>
      </c>
      <c r="W1243" s="6" t="n">
        <v>0.975</v>
      </c>
      <c r="X1243" s="6" t="n">
        <v>37</v>
      </c>
      <c r="Z1243" s="6" t="s">
        <v>4099</v>
      </c>
      <c r="AA1243" s="9" t="s">
        <v>528</v>
      </c>
      <c r="AE1243" s="37" t="n">
        <f aca="false">COUNTIF(環境認証!$A$2:$A$849,A1243)</f>
        <v>1</v>
      </c>
      <c r="AF1243" s="6" t="n">
        <v>21.3</v>
      </c>
      <c r="AG1243" s="6" t="n">
        <v>18.5</v>
      </c>
    </row>
    <row r="1244" customFormat="false" ht="15" hidden="false" customHeight="true" outlineLevel="0" collapsed="false">
      <c r="A1244" s="6" t="s">
        <v>4250</v>
      </c>
      <c r="B1244" s="6" t="s">
        <v>383</v>
      </c>
      <c r="C1244" s="9" t="s">
        <v>4251</v>
      </c>
      <c r="D1244" s="9" t="s">
        <v>522</v>
      </c>
      <c r="E1244" s="9" t="s">
        <v>573</v>
      </c>
      <c r="F1244" s="9" t="s">
        <v>680</v>
      </c>
      <c r="H1244" s="9" t="s">
        <v>569</v>
      </c>
      <c r="M1244" s="6" t="n">
        <v>11520</v>
      </c>
      <c r="Q1244" s="1" t="str">
        <f aca="false">IF(OR($A1244="",P1244=""),"",ROUND(YEARFRAC(P1244,README!$C$5),1))</f>
        <v/>
      </c>
      <c r="S1244" s="6" t="n">
        <v>4164</v>
      </c>
      <c r="T1244" s="6" t="n">
        <v>3404</v>
      </c>
      <c r="U1244" s="6" t="n">
        <v>5260</v>
      </c>
      <c r="V1244" s="6" t="n">
        <v>1856</v>
      </c>
      <c r="W1244" s="6" t="n">
        <v>1</v>
      </c>
      <c r="X1244" s="6" t="n">
        <v>27</v>
      </c>
      <c r="Z1244" s="6" t="s">
        <v>4099</v>
      </c>
      <c r="AA1244" s="9" t="s">
        <v>528</v>
      </c>
      <c r="AE1244" s="37" t="n">
        <f aca="false">COUNTIF(環境認証!$A$2:$A$849,A1244)</f>
        <v>1</v>
      </c>
      <c r="AF1244" s="6" t="n">
        <v>54.5</v>
      </c>
      <c r="AG1244" s="6" t="n">
        <v>26.3</v>
      </c>
    </row>
    <row r="1245" customFormat="false" ht="15" hidden="false" customHeight="true" outlineLevel="0" collapsed="false">
      <c r="A1245" s="6" t="s">
        <v>4252</v>
      </c>
      <c r="B1245" s="6" t="s">
        <v>383</v>
      </c>
      <c r="C1245" s="9" t="s">
        <v>4253</v>
      </c>
      <c r="D1245" s="9" t="s">
        <v>522</v>
      </c>
      <c r="E1245" s="9" t="s">
        <v>573</v>
      </c>
      <c r="F1245" s="9" t="s">
        <v>680</v>
      </c>
      <c r="H1245" s="9" t="s">
        <v>569</v>
      </c>
      <c r="M1245" s="6" t="n">
        <v>11913</v>
      </c>
      <c r="Q1245" s="1" t="str">
        <f aca="false">IF(OR($A1245="",P1245=""),"",ROUND(YEARFRAC(P1245,README!$C$5),1))</f>
        <v/>
      </c>
      <c r="S1245" s="6" t="n">
        <v>17215</v>
      </c>
      <c r="T1245" s="6" t="n">
        <v>17254</v>
      </c>
      <c r="U1245" s="6" t="n">
        <v>17300</v>
      </c>
      <c r="V1245" s="6" t="n">
        <v>46</v>
      </c>
      <c r="W1245" s="6" t="n">
        <v>1</v>
      </c>
      <c r="X1245" s="6" t="n">
        <v>8</v>
      </c>
      <c r="Z1245" s="6" t="s">
        <v>4099</v>
      </c>
      <c r="AA1245" s="9" t="s">
        <v>528</v>
      </c>
      <c r="AE1245" s="37" t="n">
        <f aca="false">COUNTIF(環境認証!$A$2:$A$849,A1245)</f>
        <v>1</v>
      </c>
      <c r="AF1245" s="6" t="n">
        <v>0.3</v>
      </c>
      <c r="AG1245" s="6" t="n">
        <v>0.5</v>
      </c>
    </row>
    <row r="1246" customFormat="false" ht="15" hidden="false" customHeight="true" outlineLevel="0" collapsed="false">
      <c r="A1246" s="6" t="s">
        <v>4254</v>
      </c>
      <c r="B1246" s="6" t="s">
        <v>383</v>
      </c>
      <c r="C1246" s="9" t="s">
        <v>4255</v>
      </c>
      <c r="D1246" s="9" t="s">
        <v>522</v>
      </c>
      <c r="E1246" s="9" t="s">
        <v>573</v>
      </c>
      <c r="F1246" s="9" t="s">
        <v>680</v>
      </c>
      <c r="H1246" s="9" t="s">
        <v>569</v>
      </c>
      <c r="M1246" s="6" t="n">
        <v>20450</v>
      </c>
      <c r="Q1246" s="1" t="str">
        <f aca="false">IF(OR($A1246="",P1246=""),"",ROUND(YEARFRAC(P1246,README!$C$5),1))</f>
        <v/>
      </c>
      <c r="S1246" s="6" t="n">
        <v>14314</v>
      </c>
      <c r="T1246" s="6" t="n">
        <v>12906</v>
      </c>
      <c r="U1246" s="6" t="n">
        <v>17200</v>
      </c>
      <c r="V1246" s="6" t="n">
        <v>4294</v>
      </c>
      <c r="W1246" s="6" t="n">
        <v>1</v>
      </c>
      <c r="X1246" s="6" t="n">
        <v>37</v>
      </c>
      <c r="Z1246" s="6" t="s">
        <v>4099</v>
      </c>
      <c r="AA1246" s="9" t="s">
        <v>528</v>
      </c>
      <c r="AE1246" s="37" t="n">
        <f aca="false">COUNTIF(環境認証!$A$2:$A$849,A1246)</f>
        <v>1</v>
      </c>
      <c r="AF1246" s="6" t="n">
        <v>33.3</v>
      </c>
      <c r="AG1246" s="6" t="n">
        <v>20.2</v>
      </c>
    </row>
    <row r="1247" customFormat="false" ht="15" hidden="false" customHeight="true" outlineLevel="0" collapsed="false">
      <c r="A1247" s="6" t="s">
        <v>4256</v>
      </c>
      <c r="B1247" s="6" t="s">
        <v>383</v>
      </c>
      <c r="C1247" s="9" t="s">
        <v>4257</v>
      </c>
      <c r="D1247" s="9" t="s">
        <v>522</v>
      </c>
      <c r="E1247" s="9" t="s">
        <v>1363</v>
      </c>
      <c r="F1247" s="9" t="s">
        <v>4258</v>
      </c>
      <c r="H1247" s="9" t="s">
        <v>569</v>
      </c>
      <c r="M1247" s="6" t="n">
        <v>15498</v>
      </c>
      <c r="Q1247" s="1" t="str">
        <f aca="false">IF(OR($A1247="",P1247=""),"",ROUND(YEARFRAC(P1247,README!$C$5),1))</f>
        <v/>
      </c>
      <c r="S1247" s="6" t="n">
        <v>9300</v>
      </c>
      <c r="T1247" s="6" t="n">
        <v>7655</v>
      </c>
      <c r="U1247" s="6" t="n">
        <v>11300</v>
      </c>
      <c r="V1247" s="6" t="n">
        <v>3645</v>
      </c>
      <c r="W1247" s="6" t="n">
        <v>1</v>
      </c>
      <c r="X1247" s="6" t="n">
        <v>38</v>
      </c>
      <c r="Z1247" s="6" t="s">
        <v>4099</v>
      </c>
      <c r="AA1247" s="9" t="s">
        <v>528</v>
      </c>
      <c r="AE1247" s="37" t="n">
        <f aca="false">COUNTIF(環境認証!$A$2:$A$849,A1247)</f>
        <v>2</v>
      </c>
      <c r="AF1247" s="6" t="n">
        <v>47.6</v>
      </c>
      <c r="AG1247" s="6" t="n">
        <v>21.5</v>
      </c>
    </row>
    <row r="1248" customFormat="false" ht="15" hidden="false" customHeight="true" outlineLevel="0" collapsed="false">
      <c r="A1248" s="6" t="s">
        <v>4259</v>
      </c>
      <c r="B1248" s="6" t="s">
        <v>383</v>
      </c>
      <c r="C1248" s="9" t="s">
        <v>4260</v>
      </c>
      <c r="D1248" s="9" t="s">
        <v>522</v>
      </c>
      <c r="E1248" s="9" t="s">
        <v>4261</v>
      </c>
      <c r="F1248" s="9" t="s">
        <v>4262</v>
      </c>
      <c r="H1248" s="6" t="s">
        <v>599</v>
      </c>
      <c r="M1248" s="6" t="n">
        <v>8814</v>
      </c>
      <c r="Q1248" s="1" t="str">
        <f aca="false">IF(OR($A1248="",P1248=""),"",ROUND(YEARFRAC(P1248,README!$C$5),1))</f>
        <v/>
      </c>
      <c r="S1248" s="6" t="n">
        <v>4094.9</v>
      </c>
      <c r="T1248" s="6" t="n">
        <v>2871</v>
      </c>
      <c r="U1248" s="6" t="n">
        <v>5640</v>
      </c>
      <c r="V1248" s="6" t="n">
        <v>2769</v>
      </c>
      <c r="W1248" s="6" t="n">
        <v>1</v>
      </c>
      <c r="X1248" s="6" t="n">
        <v>31</v>
      </c>
      <c r="Z1248" s="6" t="s">
        <v>4099</v>
      </c>
      <c r="AA1248" s="9" t="s">
        <v>528</v>
      </c>
      <c r="AE1248" s="37" t="n">
        <f aca="false">COUNTIF(環境認証!$A$2:$A$849,A1248)</f>
        <v>1</v>
      </c>
      <c r="AF1248" s="6" t="n">
        <v>96.4</v>
      </c>
      <c r="AG1248" s="6" t="n">
        <v>37.7</v>
      </c>
    </row>
    <row r="1249" customFormat="false" ht="15" hidden="false" customHeight="true" outlineLevel="0" collapsed="false">
      <c r="A1249" s="6" t="s">
        <v>4263</v>
      </c>
      <c r="B1249" s="6" t="s">
        <v>383</v>
      </c>
      <c r="C1249" s="9" t="s">
        <v>4264</v>
      </c>
      <c r="D1249" s="9" t="s">
        <v>522</v>
      </c>
      <c r="E1249" s="9" t="s">
        <v>715</v>
      </c>
      <c r="F1249" s="9" t="s">
        <v>716</v>
      </c>
      <c r="H1249" s="6" t="s">
        <v>599</v>
      </c>
      <c r="M1249" s="6" t="n">
        <v>9877</v>
      </c>
      <c r="Q1249" s="1" t="str">
        <f aca="false">IF(OR($A1249="",P1249=""),"",ROUND(YEARFRAC(P1249,README!$C$5),1))</f>
        <v/>
      </c>
      <c r="S1249" s="6" t="n">
        <v>2770</v>
      </c>
      <c r="T1249" s="6" t="n">
        <v>3454</v>
      </c>
      <c r="U1249" s="6" t="n">
        <v>3450</v>
      </c>
      <c r="V1249" s="6" t="n">
        <v>-4</v>
      </c>
      <c r="W1249" s="6" t="n">
        <v>1</v>
      </c>
      <c r="X1249" s="6" t="n">
        <v>13</v>
      </c>
      <c r="Z1249" s="6" t="s">
        <v>4099</v>
      </c>
      <c r="AA1249" s="9" t="s">
        <v>528</v>
      </c>
      <c r="AE1249" s="37" t="n">
        <f aca="false">COUNTIF(環境認証!$A$2:$A$849,A1249)</f>
        <v>1</v>
      </c>
      <c r="AF1249" s="6" t="n">
        <v>-0.1</v>
      </c>
      <c r="AG1249" s="6" t="n">
        <v>24.5</v>
      </c>
    </row>
    <row r="1250" customFormat="false" ht="15" hidden="false" customHeight="true" outlineLevel="0" collapsed="false">
      <c r="A1250" s="6" t="s">
        <v>4265</v>
      </c>
      <c r="B1250" s="6" t="s">
        <v>383</v>
      </c>
      <c r="C1250" s="9" t="s">
        <v>4266</v>
      </c>
      <c r="D1250" s="9" t="s">
        <v>522</v>
      </c>
      <c r="E1250" s="9" t="s">
        <v>596</v>
      </c>
      <c r="F1250" s="9" t="s">
        <v>1160</v>
      </c>
      <c r="H1250" s="6" t="s">
        <v>599</v>
      </c>
      <c r="M1250" s="6" t="n">
        <v>3995</v>
      </c>
      <c r="Q1250" s="1" t="str">
        <f aca="false">IF(OR($A1250="",P1250=""),"",ROUND(YEARFRAC(P1250,README!$C$5),1))</f>
        <v/>
      </c>
      <c r="S1250" s="6" t="n">
        <v>1550</v>
      </c>
      <c r="T1250" s="6" t="n">
        <v>1300</v>
      </c>
      <c r="U1250" s="6" t="n">
        <v>2450</v>
      </c>
      <c r="V1250" s="6" t="n">
        <v>1150</v>
      </c>
      <c r="W1250" s="6" t="n">
        <v>0.962</v>
      </c>
      <c r="X1250" s="6" t="n">
        <v>22</v>
      </c>
      <c r="Z1250" s="6" t="s">
        <v>4099</v>
      </c>
      <c r="AA1250" s="9" t="s">
        <v>528</v>
      </c>
      <c r="AE1250" s="37" t="n">
        <f aca="false">COUNTIF(環境認証!$A$2:$A$849,A1250)</f>
        <v>1</v>
      </c>
      <c r="AF1250" s="6" t="n">
        <v>88.5</v>
      </c>
      <c r="AG1250" s="6" t="n">
        <v>58.1</v>
      </c>
    </row>
    <row r="1251" customFormat="false" ht="15" hidden="false" customHeight="true" outlineLevel="0" collapsed="false">
      <c r="A1251" s="6" t="s">
        <v>4267</v>
      </c>
      <c r="B1251" s="6" t="s">
        <v>383</v>
      </c>
      <c r="C1251" s="9" t="s">
        <v>4268</v>
      </c>
      <c r="D1251" s="9" t="s">
        <v>522</v>
      </c>
      <c r="E1251" s="9" t="s">
        <v>596</v>
      </c>
      <c r="F1251" s="9" t="s">
        <v>1160</v>
      </c>
      <c r="H1251" s="6" t="s">
        <v>599</v>
      </c>
      <c r="M1251" s="6" t="n">
        <v>2982</v>
      </c>
      <c r="Q1251" s="1" t="str">
        <f aca="false">IF(OR($A1251="",P1251=""),"",ROUND(YEARFRAC(P1251,README!$C$5),1))</f>
        <v/>
      </c>
      <c r="S1251" s="6" t="n">
        <v>2500</v>
      </c>
      <c r="T1251" s="6" t="n">
        <v>1611</v>
      </c>
      <c r="U1251" s="6" t="n">
        <v>1800</v>
      </c>
      <c r="V1251" s="6" t="n">
        <v>189</v>
      </c>
      <c r="W1251" s="6" t="n">
        <v>0.959</v>
      </c>
      <c r="X1251" s="6" t="n">
        <v>29</v>
      </c>
      <c r="Z1251" s="6" t="s">
        <v>4099</v>
      </c>
      <c r="AA1251" s="9" t="s">
        <v>528</v>
      </c>
      <c r="AB1251" s="6" t="s">
        <v>4269</v>
      </c>
      <c r="AE1251" s="37" t="n">
        <f aca="false">COUNTIF(環境認証!$A$2:$A$849,A1251)</f>
        <v>1</v>
      </c>
      <c r="AF1251" s="6" t="n">
        <v>11.7</v>
      </c>
      <c r="AG1251" s="6" t="n">
        <v>-28</v>
      </c>
    </row>
    <row r="1252" customFormat="false" ht="15" hidden="false" customHeight="true" outlineLevel="0" collapsed="false">
      <c r="A1252" s="6" t="s">
        <v>4270</v>
      </c>
      <c r="B1252" s="6" t="s">
        <v>383</v>
      </c>
      <c r="C1252" s="9" t="s">
        <v>4271</v>
      </c>
      <c r="D1252" s="9" t="s">
        <v>522</v>
      </c>
      <c r="E1252" s="9" t="s">
        <v>596</v>
      </c>
      <c r="F1252" s="9" t="s">
        <v>1160</v>
      </c>
      <c r="H1252" s="6" t="s">
        <v>599</v>
      </c>
      <c r="M1252" s="6" t="n">
        <v>5944</v>
      </c>
      <c r="Q1252" s="1" t="str">
        <f aca="false">IF(OR($A1252="",P1252=""),"",ROUND(YEARFRAC(P1252,README!$C$5),1))</f>
        <v/>
      </c>
      <c r="S1252" s="6" t="n">
        <v>3657</v>
      </c>
      <c r="T1252" s="6" t="n">
        <v>3226</v>
      </c>
      <c r="U1252" s="6" t="n">
        <v>5350</v>
      </c>
      <c r="V1252" s="6" t="n">
        <v>2124</v>
      </c>
      <c r="W1252" s="6" t="n">
        <v>0.798</v>
      </c>
      <c r="X1252" s="6" t="n">
        <v>3</v>
      </c>
      <c r="Z1252" s="6" t="s">
        <v>4099</v>
      </c>
      <c r="AA1252" s="9" t="s">
        <v>528</v>
      </c>
      <c r="AE1252" s="37" t="n">
        <f aca="false">COUNTIF(環境認証!$A$2:$A$849,A1252)</f>
        <v>0</v>
      </c>
      <c r="AF1252" s="6" t="n">
        <v>65.8</v>
      </c>
      <c r="AG1252" s="6" t="n">
        <v>46.3</v>
      </c>
    </row>
    <row r="1253" customFormat="false" ht="15" hidden="false" customHeight="true" outlineLevel="0" collapsed="false">
      <c r="A1253" s="6" t="s">
        <v>4272</v>
      </c>
      <c r="B1253" s="6" t="s">
        <v>383</v>
      </c>
      <c r="C1253" s="9" t="s">
        <v>4273</v>
      </c>
      <c r="D1253" s="9" t="s">
        <v>522</v>
      </c>
      <c r="H1253" s="9" t="s">
        <v>4042</v>
      </c>
      <c r="Q1253" s="1" t="str">
        <f aca="false">IF(OR($A1253="",P1253=""),"",ROUND(YEARFRAC(P1253,README!$C$5),1))</f>
        <v/>
      </c>
      <c r="S1253" s="6" t="n">
        <v>1197029</v>
      </c>
      <c r="T1253" s="6" t="n">
        <v>1082573</v>
      </c>
      <c r="U1253" s="6" t="n">
        <v>1447290</v>
      </c>
      <c r="V1253" s="1" t="n">
        <f aca="false">IF($A1253="","",IF(OR(T1253="",U1253=""),"",U1253-T1253))</f>
        <v>364717</v>
      </c>
      <c r="W1253" s="6" t="n">
        <v>0.989</v>
      </c>
      <c r="X1253" s="6" t="n">
        <v>1674</v>
      </c>
      <c r="Z1253" s="6" t="s">
        <v>4099</v>
      </c>
      <c r="AA1253" s="44" t="s">
        <v>1168</v>
      </c>
      <c r="AB1253" s="6" t="s">
        <v>4274</v>
      </c>
      <c r="AE1253" s="37" t="n">
        <f aca="false">COUNTIF(環境認証!$A$2:$A$849,A1253)</f>
        <v>0</v>
      </c>
    </row>
    <row r="1254" customFormat="false" ht="15" hidden="false" customHeight="true" outlineLevel="0" collapsed="false">
      <c r="A1254" s="6" t="s">
        <v>4275</v>
      </c>
      <c r="B1254" s="6" t="s">
        <v>469</v>
      </c>
      <c r="C1254" s="9" t="s">
        <v>4276</v>
      </c>
      <c r="D1254" s="9" t="s">
        <v>522</v>
      </c>
      <c r="E1254" s="9" t="s">
        <v>523</v>
      </c>
      <c r="F1254" s="9" t="s">
        <v>532</v>
      </c>
      <c r="H1254" s="9" t="s">
        <v>525</v>
      </c>
      <c r="M1254" s="6" t="n">
        <v>71806.84</v>
      </c>
      <c r="P1254" s="46" t="n">
        <v>38353</v>
      </c>
      <c r="Q1254" s="1" t="n">
        <f aca="false">IF(OR($A1254="",P1254=""),"",ROUND(YEARFRAC(P1254,README!$C$5),1))</f>
        <v>21.6</v>
      </c>
      <c r="S1254" s="6" t="n">
        <v>82539</v>
      </c>
      <c r="T1254" s="6" t="n">
        <v>74421</v>
      </c>
      <c r="U1254" s="6" t="n">
        <v>82300</v>
      </c>
      <c r="V1254" s="6" t="n">
        <v>7879</v>
      </c>
      <c r="W1254" s="6" t="n">
        <v>1</v>
      </c>
      <c r="X1254" s="6" t="n">
        <v>1</v>
      </c>
      <c r="Z1254" s="6" t="s">
        <v>4277</v>
      </c>
      <c r="AA1254" s="9" t="s">
        <v>528</v>
      </c>
      <c r="AB1254" s="9" t="s">
        <v>4278</v>
      </c>
      <c r="AE1254" s="37" t="n">
        <f aca="false">COUNTIF(環境認証!$A$2:$A$849,A1254)</f>
        <v>1</v>
      </c>
      <c r="AF1254" s="6" t="n">
        <v>10.6</v>
      </c>
      <c r="AG1254" s="6" t="n">
        <v>-0.3</v>
      </c>
    </row>
    <row r="1255" customFormat="false" ht="15" hidden="false" customHeight="true" outlineLevel="0" collapsed="false">
      <c r="A1255" s="6" t="s">
        <v>4279</v>
      </c>
      <c r="B1255" s="6" t="s">
        <v>469</v>
      </c>
      <c r="C1255" s="9" t="s">
        <v>4280</v>
      </c>
      <c r="D1255" s="9" t="s">
        <v>522</v>
      </c>
      <c r="E1255" s="9" t="s">
        <v>523</v>
      </c>
      <c r="F1255" s="9" t="s">
        <v>532</v>
      </c>
      <c r="H1255" s="9" t="s">
        <v>525</v>
      </c>
      <c r="M1255" s="6" t="n">
        <v>13479.44</v>
      </c>
      <c r="P1255" s="46" t="n">
        <v>43891</v>
      </c>
      <c r="Q1255" s="1" t="n">
        <f aca="false">IF(OR($A1255="",P1255=""),"",ROUND(YEARFRAC(P1255,README!$C$5),1))</f>
        <v>6.4</v>
      </c>
      <c r="S1255" s="6" t="n">
        <v>51660</v>
      </c>
      <c r="T1255" s="6" t="n">
        <v>50769</v>
      </c>
      <c r="U1255" s="6" t="n">
        <v>56900</v>
      </c>
      <c r="V1255" s="6" t="n">
        <v>6131</v>
      </c>
      <c r="W1255" s="6" t="n">
        <v>1</v>
      </c>
      <c r="X1255" s="6" t="n">
        <v>1</v>
      </c>
      <c r="Z1255" s="6" t="s">
        <v>4277</v>
      </c>
      <c r="AA1255" s="9" t="s">
        <v>528</v>
      </c>
      <c r="AB1255" s="9" t="s">
        <v>4281</v>
      </c>
      <c r="AE1255" s="37" t="n">
        <f aca="false">COUNTIF(環境認証!$A$2:$A$849,A1255)</f>
        <v>1</v>
      </c>
      <c r="AF1255" s="6" t="n">
        <v>12.1</v>
      </c>
      <c r="AG1255" s="6" t="n">
        <v>10.1</v>
      </c>
    </row>
    <row r="1256" customFormat="false" ht="15" hidden="false" customHeight="true" outlineLevel="0" collapsed="false">
      <c r="A1256" s="6" t="s">
        <v>4282</v>
      </c>
      <c r="B1256" s="6" t="s">
        <v>469</v>
      </c>
      <c r="C1256" s="6" t="s">
        <v>4283</v>
      </c>
      <c r="D1256" s="9" t="s">
        <v>522</v>
      </c>
      <c r="E1256" s="9" t="s">
        <v>523</v>
      </c>
      <c r="F1256" s="9" t="s">
        <v>625</v>
      </c>
      <c r="H1256" s="9" t="s">
        <v>540</v>
      </c>
      <c r="M1256" s="6" t="n">
        <v>20654.6</v>
      </c>
      <c r="P1256" s="46" t="n">
        <v>33178</v>
      </c>
      <c r="Q1256" s="1" t="n">
        <f aca="false">IF(OR($A1256="",P1256=""),"",ROUND(YEARFRAC(P1256,README!$C$5),1))</f>
        <v>35.8</v>
      </c>
      <c r="S1256" s="6" t="n">
        <v>39900</v>
      </c>
      <c r="T1256" s="6" t="n">
        <v>38531</v>
      </c>
      <c r="U1256" s="6" t="n">
        <v>35500</v>
      </c>
      <c r="V1256" s="6" t="n">
        <v>-3031</v>
      </c>
      <c r="W1256" s="6" t="n">
        <v>1</v>
      </c>
      <c r="X1256" s="6" t="n">
        <v>1</v>
      </c>
      <c r="Z1256" s="6" t="s">
        <v>4277</v>
      </c>
      <c r="AA1256" s="9" t="s">
        <v>528</v>
      </c>
      <c r="AB1256" s="9" t="s">
        <v>4284</v>
      </c>
      <c r="AE1256" s="37" t="n">
        <f aca="false">COUNTIF(環境認証!$A$2:$A$849,A1256)</f>
        <v>1</v>
      </c>
      <c r="AF1256" s="6" t="n">
        <v>-7.9</v>
      </c>
      <c r="AG1256" s="6" t="n">
        <v>-11</v>
      </c>
    </row>
    <row r="1257" customFormat="false" ht="15" hidden="false" customHeight="true" outlineLevel="0" collapsed="false">
      <c r="A1257" s="6" t="s">
        <v>4285</v>
      </c>
      <c r="B1257" s="6" t="s">
        <v>469</v>
      </c>
      <c r="C1257" s="9" t="s">
        <v>4286</v>
      </c>
      <c r="D1257" s="9" t="s">
        <v>522</v>
      </c>
      <c r="E1257" s="9" t="s">
        <v>523</v>
      </c>
      <c r="F1257" s="9" t="s">
        <v>524</v>
      </c>
      <c r="H1257" s="9" t="s">
        <v>525</v>
      </c>
      <c r="M1257" s="6" t="n">
        <v>24748.47</v>
      </c>
      <c r="P1257" s="46" t="n">
        <v>32813</v>
      </c>
      <c r="Q1257" s="1" t="n">
        <f aca="false">IF(OR($A1257="",P1257=""),"",ROUND(YEARFRAC(P1257,README!$C$5),1))</f>
        <v>36.8</v>
      </c>
      <c r="S1257" s="6" t="n">
        <v>34300</v>
      </c>
      <c r="T1257" s="6" t="n">
        <v>32640</v>
      </c>
      <c r="U1257" s="6" t="n">
        <v>39000</v>
      </c>
      <c r="V1257" s="6" t="n">
        <v>6360</v>
      </c>
      <c r="W1257" s="6" t="n">
        <v>0.9875</v>
      </c>
      <c r="X1257" s="6" t="n">
        <v>42</v>
      </c>
      <c r="Z1257" s="6" t="s">
        <v>4277</v>
      </c>
      <c r="AA1257" s="9" t="s">
        <v>528</v>
      </c>
      <c r="AB1257" s="9" t="s">
        <v>4287</v>
      </c>
      <c r="AE1257" s="37" t="n">
        <f aca="false">COUNTIF(環境認証!$A$2:$A$849,A1257)</f>
        <v>2</v>
      </c>
      <c r="AF1257" s="6" t="n">
        <v>19.5</v>
      </c>
      <c r="AG1257" s="6" t="n">
        <v>13.7</v>
      </c>
    </row>
    <row r="1258" customFormat="false" ht="15" hidden="false" customHeight="true" outlineLevel="0" collapsed="false">
      <c r="A1258" s="6" t="s">
        <v>4288</v>
      </c>
      <c r="B1258" s="6" t="s">
        <v>469</v>
      </c>
      <c r="C1258" s="9" t="s">
        <v>4289</v>
      </c>
      <c r="D1258" s="9" t="s">
        <v>522</v>
      </c>
      <c r="E1258" s="9" t="s">
        <v>523</v>
      </c>
      <c r="F1258" s="9" t="s">
        <v>625</v>
      </c>
      <c r="H1258" s="9" t="s">
        <v>540</v>
      </c>
      <c r="M1258" s="6" t="n">
        <v>24495.21</v>
      </c>
      <c r="P1258" s="46" t="n">
        <v>34516</v>
      </c>
      <c r="Q1258" s="1" t="n">
        <f aca="false">IF(OR($A1258="",P1258=""),"",ROUND(YEARFRAC(P1258,README!$C$5),1))</f>
        <v>32.1</v>
      </c>
      <c r="S1258" s="6" t="n">
        <v>14386</v>
      </c>
      <c r="T1258" s="6" t="n">
        <v>12790</v>
      </c>
      <c r="U1258" s="6" t="n">
        <v>16800</v>
      </c>
      <c r="V1258" s="6" t="n">
        <v>4010</v>
      </c>
      <c r="W1258" s="6" t="n">
        <v>1</v>
      </c>
      <c r="X1258" s="6" t="n">
        <v>1</v>
      </c>
      <c r="Z1258" s="6" t="s">
        <v>4277</v>
      </c>
      <c r="AA1258" s="9" t="s">
        <v>528</v>
      </c>
      <c r="AB1258" s="9" t="s">
        <v>4290</v>
      </c>
      <c r="AE1258" s="37" t="n">
        <f aca="false">COUNTIF(環境認証!$A$2:$A$849,A1258)</f>
        <v>1</v>
      </c>
      <c r="AF1258" s="6" t="n">
        <v>31.4</v>
      </c>
      <c r="AG1258" s="6" t="n">
        <v>16.8</v>
      </c>
    </row>
    <row r="1259" customFormat="false" ht="15" hidden="false" customHeight="true" outlineLevel="0" collapsed="false">
      <c r="A1259" s="6" t="s">
        <v>4291</v>
      </c>
      <c r="B1259" s="6" t="s">
        <v>469</v>
      </c>
      <c r="C1259" s="9" t="s">
        <v>4292</v>
      </c>
      <c r="D1259" s="9" t="s">
        <v>522</v>
      </c>
      <c r="E1259" s="9" t="s">
        <v>523</v>
      </c>
      <c r="F1259" s="9" t="s">
        <v>648</v>
      </c>
      <c r="H1259" s="9" t="s">
        <v>525</v>
      </c>
      <c r="M1259" s="6" t="n">
        <v>4946.36</v>
      </c>
      <c r="P1259" s="46" t="n">
        <v>33909</v>
      </c>
      <c r="Q1259" s="1" t="n">
        <f aca="false">IF(OR($A1259="",P1259=""),"",ROUND(YEARFRAC(P1259,README!$C$5),1))</f>
        <v>33.8</v>
      </c>
      <c r="S1259" s="6" t="n">
        <v>8100</v>
      </c>
      <c r="T1259" s="6" t="n">
        <v>8282</v>
      </c>
      <c r="U1259" s="6" t="n">
        <v>8400</v>
      </c>
      <c r="V1259" s="6" t="n">
        <v>118</v>
      </c>
      <c r="W1259" s="6" t="n">
        <v>1</v>
      </c>
      <c r="X1259" s="6" t="n">
        <v>9</v>
      </c>
      <c r="Z1259" s="6" t="s">
        <v>4277</v>
      </c>
      <c r="AA1259" s="9" t="s">
        <v>528</v>
      </c>
      <c r="AE1259" s="37" t="n">
        <f aca="false">COUNTIF(環境認証!$A$2:$A$849,A1259)</f>
        <v>1</v>
      </c>
      <c r="AF1259" s="6" t="n">
        <v>1.4</v>
      </c>
      <c r="AG1259" s="6" t="n">
        <v>3.7</v>
      </c>
    </row>
    <row r="1260" customFormat="false" ht="15" hidden="false" customHeight="true" outlineLevel="0" collapsed="false">
      <c r="A1260" s="6" t="s">
        <v>4293</v>
      </c>
      <c r="B1260" s="6" t="s">
        <v>469</v>
      </c>
      <c r="C1260" s="9" t="s">
        <v>4294</v>
      </c>
      <c r="D1260" s="9" t="s">
        <v>522</v>
      </c>
      <c r="E1260" s="9" t="s">
        <v>724</v>
      </c>
      <c r="F1260" s="9" t="s">
        <v>4295</v>
      </c>
      <c r="H1260" s="6" t="s">
        <v>599</v>
      </c>
      <c r="M1260" s="6" t="n">
        <v>42941.53</v>
      </c>
      <c r="P1260" s="46" t="n">
        <v>36220</v>
      </c>
      <c r="Q1260" s="1" t="n">
        <f aca="false">IF(OR($A1260="",P1260=""),"",ROUND(YEARFRAC(P1260,README!$C$5),1))</f>
        <v>27.4</v>
      </c>
      <c r="S1260" s="6" t="n">
        <v>17360</v>
      </c>
      <c r="T1260" s="6" t="n">
        <v>17347</v>
      </c>
      <c r="U1260" s="6" t="n">
        <v>17000</v>
      </c>
      <c r="V1260" s="6" t="n">
        <v>-347</v>
      </c>
      <c r="W1260" s="6" t="n">
        <v>1</v>
      </c>
      <c r="X1260" s="6" t="n">
        <v>1</v>
      </c>
      <c r="Z1260" s="6" t="s">
        <v>4277</v>
      </c>
      <c r="AA1260" s="9" t="s">
        <v>528</v>
      </c>
      <c r="AB1260" s="9" t="s">
        <v>4296</v>
      </c>
      <c r="AE1260" s="37" t="n">
        <f aca="false">COUNTIF(環境認証!$A$2:$A$849,A1260)</f>
        <v>1</v>
      </c>
      <c r="AF1260" s="6" t="n">
        <v>-2</v>
      </c>
      <c r="AG1260" s="6" t="n">
        <v>-2.1</v>
      </c>
    </row>
    <row r="1261" customFormat="false" ht="15" hidden="false" customHeight="true" outlineLevel="0" collapsed="false">
      <c r="A1261" s="6" t="s">
        <v>4297</v>
      </c>
      <c r="B1261" s="6" t="s">
        <v>469</v>
      </c>
      <c r="C1261" s="9" t="s">
        <v>4298</v>
      </c>
      <c r="D1261" s="9" t="s">
        <v>522</v>
      </c>
      <c r="E1261" s="9" t="s">
        <v>573</v>
      </c>
      <c r="F1261" s="9" t="s">
        <v>592</v>
      </c>
      <c r="H1261" s="9" t="s">
        <v>569</v>
      </c>
      <c r="M1261" s="6" t="n">
        <v>15129.16</v>
      </c>
      <c r="P1261" s="46" t="n">
        <v>36220</v>
      </c>
      <c r="Q1261" s="1" t="n">
        <f aca="false">IF(OR($A1261="",P1261=""),"",ROUND(YEARFRAC(P1261,README!$C$5),1))</f>
        <v>27.4</v>
      </c>
      <c r="S1261" s="6" t="n">
        <v>10170</v>
      </c>
      <c r="T1261" s="6" t="n">
        <v>9881</v>
      </c>
      <c r="U1261" s="6" t="n">
        <v>10800</v>
      </c>
      <c r="V1261" s="6" t="n">
        <v>919</v>
      </c>
      <c r="W1261" s="6" t="n">
        <v>1</v>
      </c>
      <c r="X1261" s="6" t="n">
        <v>1</v>
      </c>
      <c r="Z1261" s="6" t="s">
        <v>4277</v>
      </c>
      <c r="AA1261" s="9" t="s">
        <v>528</v>
      </c>
      <c r="AB1261" s="9" t="s">
        <v>4299</v>
      </c>
      <c r="AE1261" s="37" t="n">
        <f aca="false">COUNTIF(環境認証!$A$2:$A$849,A1261)</f>
        <v>1</v>
      </c>
      <c r="AF1261" s="6" t="n">
        <v>9.3</v>
      </c>
      <c r="AG1261" s="6" t="n">
        <v>6.2</v>
      </c>
    </row>
    <row r="1262" customFormat="false" ht="15" hidden="false" customHeight="true" outlineLevel="0" collapsed="false">
      <c r="A1262" s="6" t="s">
        <v>4300</v>
      </c>
      <c r="B1262" s="6" t="s">
        <v>469</v>
      </c>
      <c r="C1262" s="9" t="s">
        <v>4301</v>
      </c>
      <c r="D1262" s="9" t="s">
        <v>522</v>
      </c>
      <c r="E1262" s="9" t="s">
        <v>596</v>
      </c>
      <c r="F1262" s="9" t="s">
        <v>4302</v>
      </c>
      <c r="H1262" s="6" t="s">
        <v>599</v>
      </c>
      <c r="M1262" s="6" t="n">
        <v>5909.4</v>
      </c>
      <c r="P1262" s="46" t="n">
        <v>39508</v>
      </c>
      <c r="Q1262" s="1" t="n">
        <f aca="false">IF(OR($A1262="",P1262=""),"",ROUND(YEARFRAC(P1262,README!$C$5),1))</f>
        <v>18.4</v>
      </c>
      <c r="S1262" s="6" t="n">
        <v>7050</v>
      </c>
      <c r="T1262" s="6" t="n">
        <v>6548</v>
      </c>
      <c r="U1262" s="6" t="n">
        <v>9850</v>
      </c>
      <c r="V1262" s="6" t="n">
        <v>3302</v>
      </c>
      <c r="W1262" s="6" t="n">
        <v>0.9631</v>
      </c>
      <c r="X1262" s="6" t="n">
        <v>14</v>
      </c>
      <c r="Z1262" s="6" t="s">
        <v>4277</v>
      </c>
      <c r="AA1262" s="9" t="s">
        <v>528</v>
      </c>
      <c r="AE1262" s="37" t="n">
        <f aca="false">COUNTIF(環境認証!$A$2:$A$849,A1262)</f>
        <v>1</v>
      </c>
      <c r="AF1262" s="6" t="n">
        <v>50.4</v>
      </c>
      <c r="AG1262" s="6" t="n">
        <v>39.7</v>
      </c>
    </row>
    <row r="1263" customFormat="false" ht="15" hidden="false" customHeight="true" outlineLevel="0" collapsed="false">
      <c r="A1263" s="6" t="s">
        <v>4303</v>
      </c>
      <c r="B1263" s="6" t="s">
        <v>469</v>
      </c>
      <c r="C1263" s="9" t="s">
        <v>4304</v>
      </c>
      <c r="D1263" s="9" t="s">
        <v>522</v>
      </c>
      <c r="E1263" s="9" t="s">
        <v>547</v>
      </c>
      <c r="F1263" s="9" t="s">
        <v>4305</v>
      </c>
      <c r="H1263" s="9" t="s">
        <v>550</v>
      </c>
      <c r="M1263" s="6" t="n">
        <v>18117.03</v>
      </c>
      <c r="P1263" s="46" t="n">
        <v>31444</v>
      </c>
      <c r="Q1263" s="1" t="n">
        <f aca="false">IF(OR($A1263="",P1263=""),"",ROUND(YEARFRAC(P1263,README!$C$5),1))</f>
        <v>40.5</v>
      </c>
      <c r="S1263" s="6" t="n">
        <v>6900</v>
      </c>
      <c r="T1263" s="6" t="n">
        <v>6359</v>
      </c>
      <c r="U1263" s="6" t="n">
        <v>9150</v>
      </c>
      <c r="V1263" s="6" t="n">
        <v>2791</v>
      </c>
      <c r="W1263" s="6" t="n">
        <v>0.9607</v>
      </c>
      <c r="X1263" s="6" t="n">
        <v>21</v>
      </c>
      <c r="Z1263" s="6" t="s">
        <v>4277</v>
      </c>
      <c r="AA1263" s="9" t="s">
        <v>528</v>
      </c>
      <c r="AB1263" s="6" t="s">
        <v>4306</v>
      </c>
      <c r="AE1263" s="37" t="n">
        <f aca="false">COUNTIF(環境認証!$A$2:$A$849,A1263)</f>
        <v>1</v>
      </c>
      <c r="AF1263" s="6" t="n">
        <v>43.9</v>
      </c>
      <c r="AG1263" s="6" t="n">
        <v>32.6</v>
      </c>
    </row>
    <row r="1264" customFormat="false" ht="15" hidden="false" customHeight="true" outlineLevel="0" collapsed="false">
      <c r="A1264" s="6" t="s">
        <v>4307</v>
      </c>
      <c r="B1264" s="6" t="s">
        <v>469</v>
      </c>
      <c r="C1264" s="9" t="s">
        <v>4308</v>
      </c>
      <c r="D1264" s="9" t="s">
        <v>1316</v>
      </c>
      <c r="E1264" s="9" t="s">
        <v>523</v>
      </c>
      <c r="F1264" s="9" t="s">
        <v>524</v>
      </c>
      <c r="H1264" s="9" t="s">
        <v>525</v>
      </c>
      <c r="M1264" s="6" t="n">
        <v>22755.55</v>
      </c>
      <c r="P1264" s="46" t="n">
        <v>39753</v>
      </c>
      <c r="Q1264" s="1" t="n">
        <f aca="false">IF(OR($A1264="",P1264=""),"",ROUND(YEARFRAC(P1264,README!$C$5),1))</f>
        <v>17.8</v>
      </c>
      <c r="S1264" s="6" t="n">
        <v>49200</v>
      </c>
      <c r="T1264" s="6" t="n">
        <v>48817</v>
      </c>
      <c r="U1264" s="6" t="n">
        <v>60600</v>
      </c>
      <c r="V1264" s="6" t="n">
        <v>11783</v>
      </c>
      <c r="W1264" s="6" t="n">
        <v>1</v>
      </c>
      <c r="X1264" s="6" t="n">
        <v>1</v>
      </c>
      <c r="Z1264" s="6" t="s">
        <v>4277</v>
      </c>
      <c r="AA1264" s="9" t="s">
        <v>528</v>
      </c>
      <c r="AB1264" s="9" t="s">
        <v>4309</v>
      </c>
      <c r="AE1264" s="37" t="n">
        <f aca="false">COUNTIF(環境認証!$A$2:$A$849,A1264)</f>
        <v>1</v>
      </c>
      <c r="AF1264" s="6" t="n">
        <v>24.1</v>
      </c>
      <c r="AG1264" s="6" t="n">
        <v>23.2</v>
      </c>
    </row>
    <row r="1265" customFormat="false" ht="15" hidden="false" customHeight="true" outlineLevel="0" collapsed="false">
      <c r="A1265" s="6" t="s">
        <v>4310</v>
      </c>
      <c r="B1265" s="6" t="s">
        <v>469</v>
      </c>
      <c r="C1265" s="9" t="s">
        <v>4311</v>
      </c>
      <c r="D1265" s="9" t="s">
        <v>1316</v>
      </c>
      <c r="E1265" s="9" t="s">
        <v>1363</v>
      </c>
      <c r="F1265" s="9" t="s">
        <v>4312</v>
      </c>
      <c r="H1265" s="9" t="s">
        <v>569</v>
      </c>
      <c r="M1265" s="6" t="n">
        <v>72246.86</v>
      </c>
      <c r="P1265" s="46" t="n">
        <v>32568</v>
      </c>
      <c r="Q1265" s="1" t="n">
        <f aca="false">IF(OR($A1265="",P1265=""),"",ROUND(YEARFRAC(P1265,README!$C$5),1))</f>
        <v>37.4</v>
      </c>
      <c r="S1265" s="6" t="n">
        <v>19000</v>
      </c>
      <c r="T1265" s="6" t="n">
        <v>15139</v>
      </c>
      <c r="U1265" s="6" t="n">
        <v>17100</v>
      </c>
      <c r="V1265" s="6" t="n">
        <v>1961</v>
      </c>
      <c r="W1265" s="6" t="n">
        <v>1</v>
      </c>
      <c r="X1265" s="6" t="n">
        <v>1</v>
      </c>
      <c r="Z1265" s="6" t="s">
        <v>4277</v>
      </c>
      <c r="AA1265" s="9" t="s">
        <v>528</v>
      </c>
      <c r="AB1265" s="6" t="s">
        <v>4313</v>
      </c>
      <c r="AE1265" s="37" t="n">
        <f aca="false">COUNTIF(環境認証!$A$2:$A$849,A1265)</f>
        <v>1</v>
      </c>
      <c r="AF1265" s="6" t="n">
        <v>13</v>
      </c>
      <c r="AG1265" s="6" t="n">
        <v>-10</v>
      </c>
    </row>
    <row r="1266" customFormat="false" ht="15" hidden="false" customHeight="true" outlineLevel="0" collapsed="false">
      <c r="A1266" s="6" t="s">
        <v>4314</v>
      </c>
      <c r="B1266" s="6" t="s">
        <v>469</v>
      </c>
      <c r="C1266" s="9" t="s">
        <v>4315</v>
      </c>
      <c r="D1266" s="9" t="s">
        <v>1316</v>
      </c>
      <c r="E1266" s="9" t="s">
        <v>547</v>
      </c>
      <c r="F1266" s="9" t="s">
        <v>4316</v>
      </c>
      <c r="H1266" s="9" t="s">
        <v>550</v>
      </c>
      <c r="M1266" s="6" t="n">
        <v>25302.83</v>
      </c>
      <c r="P1266" s="46" t="n">
        <v>35704</v>
      </c>
      <c r="Q1266" s="1" t="n">
        <f aca="false">IF(OR($A1266="",P1266=""),"",ROUND(YEARFRAC(P1266,README!$C$5),1))</f>
        <v>28.9</v>
      </c>
      <c r="S1266" s="6" t="n">
        <v>7100</v>
      </c>
      <c r="T1266" s="6" t="n">
        <v>7079</v>
      </c>
      <c r="U1266" s="6" t="n">
        <v>7250</v>
      </c>
      <c r="V1266" s="6" t="n">
        <v>171</v>
      </c>
      <c r="W1266" s="6" t="n">
        <v>1</v>
      </c>
      <c r="X1266" s="6" t="n">
        <v>1</v>
      </c>
      <c r="Z1266" s="6" t="s">
        <v>4277</v>
      </c>
      <c r="AA1266" s="9" t="s">
        <v>528</v>
      </c>
      <c r="AB1266" s="9" t="s">
        <v>4317</v>
      </c>
      <c r="AE1266" s="37" t="n">
        <f aca="false">COUNTIF(環境認証!$A$2:$A$849,A1266)</f>
        <v>1</v>
      </c>
      <c r="AF1266" s="6" t="n">
        <v>2.4</v>
      </c>
      <c r="AG1266" s="6" t="n">
        <v>2.1</v>
      </c>
    </row>
    <row r="1267" customFormat="false" ht="15" hidden="false" customHeight="true" outlineLevel="0" collapsed="false">
      <c r="A1267" s="6" t="s">
        <v>4318</v>
      </c>
      <c r="B1267" s="6" t="s">
        <v>469</v>
      </c>
      <c r="C1267" s="9" t="s">
        <v>4319</v>
      </c>
      <c r="D1267" s="9" t="s">
        <v>1316</v>
      </c>
      <c r="E1267" s="9" t="s">
        <v>573</v>
      </c>
      <c r="F1267" s="9" t="s">
        <v>4320</v>
      </c>
      <c r="H1267" s="9" t="s">
        <v>569</v>
      </c>
      <c r="M1267" s="6" t="n">
        <v>13881.47</v>
      </c>
      <c r="P1267" s="46" t="n">
        <v>35490</v>
      </c>
      <c r="Q1267" s="1" t="n">
        <f aca="false">IF(OR($A1267="",P1267=""),"",ROUND(YEARFRAC(P1267,README!$C$5),1))</f>
        <v>29.4</v>
      </c>
      <c r="S1267" s="6" t="n">
        <v>17400</v>
      </c>
      <c r="T1267" s="6" t="n">
        <v>17325</v>
      </c>
      <c r="U1267" s="6" t="n">
        <v>19300</v>
      </c>
      <c r="V1267" s="6" t="n">
        <v>1975</v>
      </c>
      <c r="W1267" s="6" t="n">
        <v>1</v>
      </c>
      <c r="X1267" s="6" t="n">
        <v>1</v>
      </c>
      <c r="Z1267" s="6" t="s">
        <v>4277</v>
      </c>
      <c r="AA1267" s="9" t="s">
        <v>528</v>
      </c>
      <c r="AB1267" s="9" t="s">
        <v>4321</v>
      </c>
      <c r="AE1267" s="37" t="n">
        <f aca="false">COUNTIF(環境認証!$A$2:$A$849,A1267)</f>
        <v>1</v>
      </c>
      <c r="AF1267" s="6" t="n">
        <v>11.4</v>
      </c>
      <c r="AG1267" s="6" t="n">
        <v>10.9</v>
      </c>
    </row>
    <row r="1268" customFormat="false" ht="15" hidden="false" customHeight="true" outlineLevel="0" collapsed="false">
      <c r="A1268" s="6" t="s">
        <v>4322</v>
      </c>
      <c r="B1268" s="6" t="s">
        <v>469</v>
      </c>
      <c r="C1268" s="9" t="s">
        <v>4323</v>
      </c>
      <c r="D1268" s="9" t="s">
        <v>1316</v>
      </c>
      <c r="E1268" s="9" t="s">
        <v>523</v>
      </c>
      <c r="F1268" s="9" t="s">
        <v>666</v>
      </c>
      <c r="H1268" s="9" t="s">
        <v>525</v>
      </c>
      <c r="M1268" s="6" t="n">
        <v>5255.05</v>
      </c>
      <c r="P1268" s="46" t="n">
        <v>41671</v>
      </c>
      <c r="Q1268" s="1" t="n">
        <f aca="false">IF(OR($A1268="",P1268=""),"",ROUND(YEARFRAC(P1268,README!$C$5),1))</f>
        <v>12.5</v>
      </c>
      <c r="S1268" s="6" t="n">
        <v>17017</v>
      </c>
      <c r="T1268" s="6" t="n">
        <v>16865</v>
      </c>
      <c r="U1268" s="6" t="n">
        <v>20289</v>
      </c>
      <c r="V1268" s="6" t="n">
        <v>3424</v>
      </c>
      <c r="W1268" s="6" t="n">
        <v>1</v>
      </c>
      <c r="X1268" s="6" t="n">
        <v>1</v>
      </c>
      <c r="Z1268" s="6" t="s">
        <v>4277</v>
      </c>
      <c r="AA1268" s="9" t="s">
        <v>528</v>
      </c>
      <c r="AB1268" s="9" t="s">
        <v>4324</v>
      </c>
      <c r="AE1268" s="37" t="n">
        <f aca="false">COUNTIF(環境認証!$A$2:$A$849,A1268)</f>
        <v>1</v>
      </c>
      <c r="AF1268" s="6" t="n">
        <v>20.3</v>
      </c>
      <c r="AG1268" s="6" t="n">
        <v>19.2</v>
      </c>
    </row>
    <row r="1269" customFormat="false" ht="15" hidden="false" customHeight="true" outlineLevel="0" collapsed="false">
      <c r="A1269" s="6" t="s">
        <v>4325</v>
      </c>
      <c r="B1269" s="6" t="s">
        <v>469</v>
      </c>
      <c r="C1269" s="9" t="s">
        <v>4326</v>
      </c>
      <c r="D1269" s="9" t="s">
        <v>1316</v>
      </c>
      <c r="E1269" s="9" t="s">
        <v>523</v>
      </c>
      <c r="F1269" s="9" t="s">
        <v>648</v>
      </c>
      <c r="H1269" s="9" t="s">
        <v>525</v>
      </c>
      <c r="M1269" s="6" t="n">
        <v>21248.23</v>
      </c>
      <c r="P1269" s="46" t="n">
        <v>39295</v>
      </c>
      <c r="Q1269" s="1" t="n">
        <f aca="false">IF(OR($A1269="",P1269=""),"",ROUND(YEARFRAC(P1269,README!$C$5),1))</f>
        <v>19</v>
      </c>
      <c r="S1269" s="6" t="n">
        <v>32500</v>
      </c>
      <c r="T1269" s="6" t="n">
        <v>32187</v>
      </c>
      <c r="U1269" s="6" t="n">
        <v>65500</v>
      </c>
      <c r="V1269" s="6" t="n">
        <v>33313</v>
      </c>
      <c r="W1269" s="6" t="n">
        <v>1</v>
      </c>
      <c r="X1269" s="6" t="n">
        <v>1</v>
      </c>
      <c r="Z1269" s="6" t="s">
        <v>4277</v>
      </c>
      <c r="AA1269" s="9" t="s">
        <v>528</v>
      </c>
      <c r="AB1269" s="9" t="s">
        <v>4327</v>
      </c>
      <c r="AE1269" s="37" t="n">
        <f aca="false">COUNTIF(環境認証!$A$2:$A$849,A1269)</f>
        <v>2</v>
      </c>
      <c r="AF1269" s="6" t="n">
        <v>103.5</v>
      </c>
      <c r="AG1269" s="6" t="n">
        <v>101.5</v>
      </c>
    </row>
    <row r="1270" customFormat="false" ht="15" hidden="false" customHeight="true" outlineLevel="0" collapsed="false">
      <c r="A1270" s="6" t="s">
        <v>4328</v>
      </c>
      <c r="B1270" s="6" t="s">
        <v>469</v>
      </c>
      <c r="C1270" s="9" t="s">
        <v>4329</v>
      </c>
      <c r="D1270" s="9" t="s">
        <v>3519</v>
      </c>
      <c r="E1270" s="9" t="s">
        <v>523</v>
      </c>
      <c r="F1270" s="9" t="s">
        <v>648</v>
      </c>
      <c r="H1270" s="9" t="s">
        <v>525</v>
      </c>
      <c r="M1270" s="6" t="n">
        <v>5983.86</v>
      </c>
      <c r="P1270" s="46" t="n">
        <v>40026</v>
      </c>
      <c r="Q1270" s="1" t="n">
        <f aca="false">IF(OR($A1270="",P1270=""),"",ROUND(YEARFRAC(P1270,README!$C$5),1))</f>
        <v>17</v>
      </c>
      <c r="S1270" s="6" t="n">
        <v>32040</v>
      </c>
      <c r="T1270" s="6" t="n">
        <v>32270</v>
      </c>
      <c r="U1270" s="6" t="n">
        <v>41900</v>
      </c>
      <c r="V1270" s="6" t="n">
        <v>9630</v>
      </c>
      <c r="W1270" s="6" t="n">
        <v>1</v>
      </c>
      <c r="X1270" s="6" t="n">
        <v>4</v>
      </c>
      <c r="Z1270" s="6" t="s">
        <v>4277</v>
      </c>
      <c r="AA1270" s="9" t="s">
        <v>528</v>
      </c>
      <c r="AB1270" s="9" t="s">
        <v>4330</v>
      </c>
      <c r="AE1270" s="37" t="n">
        <f aca="false">COUNTIF(環境認証!$A$2:$A$849,A1270)</f>
        <v>2</v>
      </c>
      <c r="AF1270" s="6" t="n">
        <v>29.8</v>
      </c>
      <c r="AG1270" s="6" t="n">
        <v>30.8</v>
      </c>
    </row>
    <row r="1271" customFormat="false" ht="15" hidden="false" customHeight="true" outlineLevel="0" collapsed="false">
      <c r="A1271" s="6" t="s">
        <v>4331</v>
      </c>
      <c r="B1271" s="6" t="s">
        <v>469</v>
      </c>
      <c r="C1271" s="9" t="s">
        <v>4332</v>
      </c>
      <c r="D1271" s="9" t="s">
        <v>3519</v>
      </c>
      <c r="E1271" s="9" t="s">
        <v>547</v>
      </c>
      <c r="F1271" s="9" t="s">
        <v>2774</v>
      </c>
      <c r="H1271" s="9" t="s">
        <v>550</v>
      </c>
      <c r="M1271" s="6" t="n">
        <v>53393.66</v>
      </c>
      <c r="P1271" s="46" t="n">
        <v>37561</v>
      </c>
      <c r="Q1271" s="1" t="n">
        <f aca="false">IF(OR($A1271="",P1271=""),"",ROUND(YEARFRAC(P1271,README!$C$5),1))</f>
        <v>23.8</v>
      </c>
      <c r="S1271" s="6" t="n">
        <v>11600</v>
      </c>
      <c r="T1271" s="6" t="n">
        <v>9430</v>
      </c>
      <c r="U1271" s="6" t="n">
        <v>10800</v>
      </c>
      <c r="V1271" s="6" t="n">
        <v>1370</v>
      </c>
      <c r="W1271" s="6" t="n">
        <v>1</v>
      </c>
      <c r="X1271" s="6" t="n">
        <v>1</v>
      </c>
      <c r="Z1271" s="6" t="s">
        <v>4277</v>
      </c>
      <c r="AA1271" s="9" t="s">
        <v>528</v>
      </c>
      <c r="AB1271" s="9" t="s">
        <v>4333</v>
      </c>
      <c r="AE1271" s="37" t="n">
        <f aca="false">COUNTIF(環境認証!$A$2:$A$849,A1271)</f>
        <v>1</v>
      </c>
      <c r="AF1271" s="6" t="n">
        <v>14.5</v>
      </c>
      <c r="AG1271" s="6" t="n">
        <v>-6.9</v>
      </c>
    </row>
    <row r="1272" customFormat="false" ht="15" hidden="false" customHeight="true" outlineLevel="0" collapsed="false">
      <c r="A1272" s="6" t="s">
        <v>4334</v>
      </c>
      <c r="B1272" s="6" t="s">
        <v>469</v>
      </c>
      <c r="C1272" s="9" t="s">
        <v>4335</v>
      </c>
      <c r="D1272" s="9" t="s">
        <v>3519</v>
      </c>
      <c r="E1272" s="9" t="s">
        <v>560</v>
      </c>
      <c r="F1272" s="9" t="s">
        <v>4336</v>
      </c>
      <c r="H1272" s="9" t="s">
        <v>550</v>
      </c>
      <c r="M1272" s="6" t="n">
        <v>39556.71</v>
      </c>
      <c r="Q1272" s="1" t="str">
        <f aca="false">IF(OR($A1272="",P1272=""),"",ROUND(YEARFRAC(P1272,README!$C$5),1))</f>
        <v/>
      </c>
      <c r="S1272" s="6" t="n">
        <v>2100</v>
      </c>
      <c r="T1272" s="6" t="n">
        <v>2193</v>
      </c>
      <c r="U1272" s="6" t="n">
        <v>3060</v>
      </c>
      <c r="V1272" s="6" t="n">
        <v>867</v>
      </c>
      <c r="W1272" s="6" t="n">
        <v>1</v>
      </c>
      <c r="X1272" s="6" t="n">
        <v>1</v>
      </c>
      <c r="Z1272" s="6" t="s">
        <v>4277</v>
      </c>
      <c r="AA1272" s="9" t="s">
        <v>528</v>
      </c>
      <c r="AB1272" s="9" t="s">
        <v>4337</v>
      </c>
      <c r="AE1272" s="37" t="n">
        <f aca="false">COUNTIF(環境認証!$A$2:$A$849,A1272)</f>
        <v>0</v>
      </c>
      <c r="AF1272" s="6" t="n">
        <v>39.5</v>
      </c>
      <c r="AG1272" s="6" t="n">
        <v>45.7</v>
      </c>
    </row>
    <row r="1273" customFormat="false" ht="15" hidden="false" customHeight="true" outlineLevel="0" collapsed="false">
      <c r="A1273" s="6" t="s">
        <v>4338</v>
      </c>
      <c r="B1273" s="6" t="s">
        <v>469</v>
      </c>
      <c r="C1273" s="9" t="s">
        <v>4339</v>
      </c>
      <c r="D1273" s="9" t="s">
        <v>959</v>
      </c>
      <c r="E1273" s="9" t="s">
        <v>523</v>
      </c>
      <c r="F1273" s="9" t="s">
        <v>648</v>
      </c>
      <c r="H1273" s="9" t="s">
        <v>525</v>
      </c>
      <c r="M1273" s="6" t="n">
        <v>4443.03</v>
      </c>
      <c r="P1273" s="46" t="n">
        <v>32295</v>
      </c>
      <c r="Q1273" s="1" t="n">
        <f aca="false">IF(OR($A1273="",P1273=""),"",ROUND(YEARFRAC(P1273,README!$C$5),1))</f>
        <v>38.2</v>
      </c>
      <c r="S1273" s="6" t="n">
        <v>3200</v>
      </c>
      <c r="T1273" s="6" t="n">
        <v>3084</v>
      </c>
      <c r="U1273" s="6" t="n">
        <v>4920</v>
      </c>
      <c r="V1273" s="6" t="n">
        <v>1836</v>
      </c>
      <c r="W1273" s="6" t="n">
        <v>0.85</v>
      </c>
      <c r="X1273" s="6" t="n">
        <v>18</v>
      </c>
      <c r="Z1273" s="6" t="s">
        <v>4277</v>
      </c>
      <c r="AA1273" s="9" t="s">
        <v>528</v>
      </c>
      <c r="AB1273" s="9" t="s">
        <v>4340</v>
      </c>
      <c r="AE1273" s="37" t="n">
        <f aca="false">COUNTIF(環境認証!$A$2:$A$849,A1273)</f>
        <v>1</v>
      </c>
      <c r="AF1273" s="6" t="n">
        <v>59.5</v>
      </c>
      <c r="AG1273" s="6" t="n">
        <v>53.8</v>
      </c>
    </row>
    <row r="1274" customFormat="false" ht="15" hidden="false" customHeight="true" outlineLevel="0" collapsed="false">
      <c r="A1274" s="6" t="s">
        <v>4341</v>
      </c>
      <c r="B1274" s="6" t="s">
        <v>469</v>
      </c>
      <c r="C1274" s="9" t="s">
        <v>4342</v>
      </c>
      <c r="D1274" s="9" t="s">
        <v>4041</v>
      </c>
      <c r="H1274" s="9" t="s">
        <v>4042</v>
      </c>
      <c r="Q1274" s="1" t="str">
        <f aca="false">IF(OR($A1274="",P1274=""),"",ROUND(YEARFRAC(P1274,README!$C$5),1))</f>
        <v/>
      </c>
      <c r="S1274" s="6" t="n">
        <v>463522</v>
      </c>
      <c r="T1274" s="6" t="n">
        <v>441966</v>
      </c>
      <c r="U1274" s="6" t="n">
        <v>536419</v>
      </c>
      <c r="V1274" s="1" t="n">
        <f aca="false">IF($A1274="","",IF(OR(T1274="",U1274=""),"",U1274-T1274))</f>
        <v>94453</v>
      </c>
      <c r="W1274" s="6" t="n">
        <v>0.996</v>
      </c>
      <c r="X1274" s="6" t="n">
        <v>122</v>
      </c>
      <c r="Z1274" s="6" t="s">
        <v>4277</v>
      </c>
      <c r="AA1274" s="44" t="s">
        <v>1168</v>
      </c>
      <c r="AB1274" s="6" t="s">
        <v>4343</v>
      </c>
      <c r="AE1274" s="37" t="n">
        <f aca="false">COUNTIF(環境認証!$A$2:$A$849,A1274)</f>
        <v>0</v>
      </c>
    </row>
    <row r="1275" customFormat="false" ht="15" hidden="false" customHeight="true" outlineLevel="0" collapsed="false">
      <c r="Q1275" s="1" t="str">
        <f aca="false">IF(OR($A1275="",P1275=""),"",ROUND(YEARFRAC(P1275,README!$C$5),1))</f>
        <v/>
      </c>
      <c r="V1275" s="1" t="str">
        <f aca="false">IF($A1275="","",IF(OR(T1275="",U1275=""),"",U1275-T1275))</f>
        <v/>
      </c>
    </row>
    <row r="1276" customFormat="false" ht="15" hidden="false" customHeight="true" outlineLevel="0" collapsed="false">
      <c r="Q1276" s="1" t="str">
        <f aca="false">IF(OR($A1276="",P1276=""),"",ROUND(YEARFRAC(P1276,README!$C$5),1))</f>
        <v/>
      </c>
      <c r="V1276" s="1" t="str">
        <f aca="false">IF($A1276="","",IF(OR(T1276="",U1276=""),"",U1276-T1276))</f>
        <v/>
      </c>
    </row>
    <row r="1277" customFormat="false" ht="15" hidden="false" customHeight="true" outlineLevel="0" collapsed="false">
      <c r="Q1277" s="1" t="str">
        <f aca="false">IF(OR($A1277="",P1277=""),"",ROUND(YEARFRAC(P1277,README!$C$5),1))</f>
        <v/>
      </c>
      <c r="V1277" s="1" t="str">
        <f aca="false">IF($A1277="","",IF(OR(T1277="",U1277=""),"",U1277-T1277))</f>
        <v/>
      </c>
    </row>
    <row r="1278" customFormat="false" ht="15" hidden="false" customHeight="true" outlineLevel="0" collapsed="false">
      <c r="Q1278" s="1" t="str">
        <f aca="false">IF(OR($A1278="",P1278=""),"",ROUND(YEARFRAC(P1278,README!$C$5),1))</f>
        <v/>
      </c>
      <c r="V1278" s="1" t="str">
        <f aca="false">IF($A1278="","",IF(OR(T1278="",U1278=""),"",U1278-T1278))</f>
        <v/>
      </c>
    </row>
    <row r="1279" customFormat="false" ht="15" hidden="false" customHeight="true" outlineLevel="0" collapsed="false">
      <c r="Q1279" s="1" t="str">
        <f aca="false">IF(OR($A1279="",P1279=""),"",ROUND(YEARFRAC(P1279,README!$C$5),1))</f>
        <v/>
      </c>
      <c r="V1279" s="1" t="str">
        <f aca="false">IF($A1279="","",IF(OR(T1279="",U1279=""),"",U1279-T1279))</f>
        <v/>
      </c>
    </row>
    <row r="1280" customFormat="false" ht="15" hidden="false" customHeight="true" outlineLevel="0" collapsed="false">
      <c r="Q1280" s="1" t="str">
        <f aca="false">IF(OR($A1280="",P1280=""),"",ROUND(YEARFRAC(P1280,README!$C$5),1))</f>
        <v/>
      </c>
      <c r="V1280" s="1" t="str">
        <f aca="false">IF($A1280="","",IF(OR(T1280="",U1280=""),"",U1280-T1280))</f>
        <v/>
      </c>
    </row>
    <row r="1281" customFormat="false" ht="15" hidden="false" customHeight="true" outlineLevel="0" collapsed="false">
      <c r="Q1281" s="1" t="str">
        <f aca="false">IF(OR($A1281="",P1281=""),"",ROUND(YEARFRAC(P1281,README!$C$5),1))</f>
        <v/>
      </c>
      <c r="V1281" s="1" t="str">
        <f aca="false">IF($A1281="","",IF(OR(T1281="",U1281=""),"",U1281-T1281))</f>
        <v/>
      </c>
    </row>
    <row r="1282" customFormat="false" ht="15" hidden="false" customHeight="true" outlineLevel="0" collapsed="false">
      <c r="Q1282" s="1" t="str">
        <f aca="false">IF(OR($A1282="",P1282=""),"",ROUND(YEARFRAC(P1282,README!$C$5),1))</f>
        <v/>
      </c>
      <c r="V1282" s="1" t="str">
        <f aca="false">IF($A1282="","",IF(OR(T1282="",U1282=""),"",U1282-T1282))</f>
        <v/>
      </c>
    </row>
    <row r="1283" customFormat="false" ht="15" hidden="false" customHeight="true" outlineLevel="0" collapsed="false">
      <c r="Q1283" s="1" t="str">
        <f aca="false">IF(OR($A1283="",P1283=""),"",ROUND(YEARFRAC(P1283,README!$C$5),1))</f>
        <v/>
      </c>
      <c r="V1283" s="1" t="str">
        <f aca="false">IF($A1283="","",IF(OR(T1283="",U1283=""),"",U1283-T1283))</f>
        <v/>
      </c>
    </row>
    <row r="1284" customFormat="false" ht="15" hidden="false" customHeight="true" outlineLevel="0" collapsed="false">
      <c r="Q1284" s="1" t="str">
        <f aca="false">IF(OR($A1284="",P1284=""),"",ROUND(YEARFRAC(P1284,README!$C$5),1))</f>
        <v/>
      </c>
      <c r="V1284" s="1" t="str">
        <f aca="false">IF($A1284="","",IF(OR(T1284="",U1284=""),"",U1284-T1284))</f>
        <v/>
      </c>
    </row>
    <row r="1285" customFormat="false" ht="15" hidden="false" customHeight="true" outlineLevel="0" collapsed="false">
      <c r="Q1285" s="1" t="str">
        <f aca="false">IF(OR($A1285="",P1285=""),"",ROUND(YEARFRAC(P1285,README!$C$5),1))</f>
        <v/>
      </c>
      <c r="V1285" s="1" t="str">
        <f aca="false">IF($A1285="","",IF(OR(T1285="",U1285=""),"",U1285-T1285))</f>
        <v/>
      </c>
    </row>
    <row r="1286" customFormat="false" ht="15" hidden="false" customHeight="true" outlineLevel="0" collapsed="false">
      <c r="Q1286" s="1" t="str">
        <f aca="false">IF(OR($A1286="",P1286=""),"",ROUND(YEARFRAC(P1286,README!$C$5),1))</f>
        <v/>
      </c>
      <c r="V1286" s="1" t="str">
        <f aca="false">IF($A1286="","",IF(OR(T1286="",U1286=""),"",U1286-T1286))</f>
        <v/>
      </c>
    </row>
    <row r="1287" customFormat="false" ht="15" hidden="false" customHeight="true" outlineLevel="0" collapsed="false">
      <c r="Q1287" s="1" t="str">
        <f aca="false">IF(OR($A1287="",P1287=""),"",ROUND(YEARFRAC(P1287,README!$C$5),1))</f>
        <v/>
      </c>
      <c r="V1287" s="1" t="str">
        <f aca="false">IF($A1287="","",IF(OR(T1287="",U1287=""),"",U1287-T1287))</f>
        <v/>
      </c>
    </row>
    <row r="1288" customFormat="false" ht="15" hidden="false" customHeight="true" outlineLevel="0" collapsed="false">
      <c r="Q1288" s="1" t="str">
        <f aca="false">IF(OR($A1288="",P1288=""),"",ROUND(YEARFRAC(P1288,README!$C$5),1))</f>
        <v/>
      </c>
      <c r="V1288" s="1" t="str">
        <f aca="false">IF($A1288="","",IF(OR(T1288="",U1288=""),"",U1288-T1288))</f>
        <v/>
      </c>
    </row>
    <row r="1289" customFormat="false" ht="15" hidden="false" customHeight="true" outlineLevel="0" collapsed="false">
      <c r="Q1289" s="1" t="str">
        <f aca="false">IF(OR($A1289="",P1289=""),"",ROUND(YEARFRAC(P1289,README!$C$5),1))</f>
        <v/>
      </c>
      <c r="V1289" s="1" t="str">
        <f aca="false">IF($A1289="","",IF(OR(T1289="",U1289=""),"",U1289-T1289))</f>
        <v/>
      </c>
    </row>
    <row r="1290" customFormat="false" ht="15" hidden="false" customHeight="true" outlineLevel="0" collapsed="false">
      <c r="Q1290" s="1" t="str">
        <f aca="false">IF(OR($A1290="",P1290=""),"",ROUND(YEARFRAC(P1290,README!$C$5),1))</f>
        <v/>
      </c>
      <c r="V1290" s="1" t="str">
        <f aca="false">IF($A1290="","",IF(OR(T1290="",U1290=""),"",U1290-T1290))</f>
        <v/>
      </c>
    </row>
    <row r="1291" customFormat="false" ht="15" hidden="false" customHeight="true" outlineLevel="0" collapsed="false">
      <c r="Q1291" s="1" t="str">
        <f aca="false">IF(OR($A1291="",P1291=""),"",ROUND(YEARFRAC(P1291,README!$C$5),1))</f>
        <v/>
      </c>
      <c r="V1291" s="1" t="str">
        <f aca="false">IF($A1291="","",IF(OR(T1291="",U1291=""),"",U1291-T1291))</f>
        <v/>
      </c>
    </row>
    <row r="1292" customFormat="false" ht="15" hidden="false" customHeight="true" outlineLevel="0" collapsed="false">
      <c r="Q1292" s="1" t="str">
        <f aca="false">IF(OR($A1292="",P1292=""),"",ROUND(YEARFRAC(P1292,README!$C$5),1))</f>
        <v/>
      </c>
      <c r="V1292" s="1" t="str">
        <f aca="false">IF($A1292="","",IF(OR(T1292="",U1292=""),"",U1292-T1292))</f>
        <v/>
      </c>
    </row>
    <row r="1293" customFormat="false" ht="15" hidden="false" customHeight="true" outlineLevel="0" collapsed="false">
      <c r="Q1293" s="1" t="str">
        <f aca="false">IF(OR($A1293="",P1293=""),"",ROUND(YEARFRAC(P1293,README!$C$5),1))</f>
        <v/>
      </c>
      <c r="V1293" s="1" t="str">
        <f aca="false">IF($A1293="","",IF(OR(T1293="",U1293=""),"",U1293-T1293))</f>
        <v/>
      </c>
    </row>
    <row r="1294" customFormat="false" ht="15" hidden="false" customHeight="true" outlineLevel="0" collapsed="false">
      <c r="Q1294" s="1" t="str">
        <f aca="false">IF(OR($A1294="",P1294=""),"",ROUND(YEARFRAC(P1294,README!$C$5),1))</f>
        <v/>
      </c>
      <c r="V1294" s="1" t="str">
        <f aca="false">IF($A1294="","",IF(OR(T1294="",U1294=""),"",U1294-T1294))</f>
        <v/>
      </c>
    </row>
    <row r="1295" customFormat="false" ht="15" hidden="false" customHeight="true" outlineLevel="0" collapsed="false">
      <c r="Q1295" s="1" t="str">
        <f aca="false">IF(OR($A1295="",P1295=""),"",ROUND(YEARFRAC(P1295,README!$C$5),1))</f>
        <v/>
      </c>
      <c r="V1295" s="1" t="str">
        <f aca="false">IF($A1295="","",IF(OR(T1295="",U1295=""),"",U1295-T1295))</f>
        <v/>
      </c>
    </row>
    <row r="1296" customFormat="false" ht="15" hidden="false" customHeight="true" outlineLevel="0" collapsed="false">
      <c r="Q1296" s="1" t="str">
        <f aca="false">IF(OR($A1296="",P1296=""),"",ROUND(YEARFRAC(P1296,README!$C$5),1))</f>
        <v/>
      </c>
      <c r="V1296" s="1" t="str">
        <f aca="false">IF($A1296="","",IF(OR(T1296="",U1296=""),"",U1296-T1296))</f>
        <v/>
      </c>
    </row>
    <row r="1297" customFormat="false" ht="15" hidden="false" customHeight="true" outlineLevel="0" collapsed="false">
      <c r="Q1297" s="1" t="str">
        <f aca="false">IF(OR($A1297="",P1297=""),"",ROUND(YEARFRAC(P1297,README!$C$5),1))</f>
        <v/>
      </c>
      <c r="V1297" s="1" t="str">
        <f aca="false">IF($A1297="","",IF(OR(T1297="",U1297=""),"",U1297-T1297))</f>
        <v/>
      </c>
    </row>
    <row r="1298" customFormat="false" ht="15" hidden="false" customHeight="true" outlineLevel="0" collapsed="false">
      <c r="Q1298" s="1" t="str">
        <f aca="false">IF(OR($A1298="",P1298=""),"",ROUND(YEARFRAC(P1298,README!$C$5),1))</f>
        <v/>
      </c>
      <c r="V1298" s="1" t="str">
        <f aca="false">IF($A1298="","",IF(OR(T1298="",U1298=""),"",U1298-T1298))</f>
        <v/>
      </c>
    </row>
    <row r="1299" customFormat="false" ht="15" hidden="false" customHeight="true" outlineLevel="0" collapsed="false">
      <c r="Q1299" s="1" t="str">
        <f aca="false">IF(OR($A1299="",P1299=""),"",ROUND(YEARFRAC(P1299,README!$C$5),1))</f>
        <v/>
      </c>
      <c r="V1299" s="1" t="str">
        <f aca="false">IF($A1299="","",IF(OR(T1299="",U1299=""),"",U1299-T1299))</f>
        <v/>
      </c>
    </row>
    <row r="1300" customFormat="false" ht="15" hidden="false" customHeight="true" outlineLevel="0" collapsed="false">
      <c r="Q1300" s="1" t="str">
        <f aca="false">IF(OR($A1300="",P1300=""),"",ROUND(YEARFRAC(P1300,README!$C$5),1))</f>
        <v/>
      </c>
      <c r="V1300" s="1" t="str">
        <f aca="false">IF($A1300="","",IF(OR(T1300="",U1300=""),"",U1300-T1300))</f>
        <v/>
      </c>
    </row>
  </sheetData>
  <autoFilter ref="A1:AB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2"/>
    <col collapsed="false" customWidth="true" hidden="false" outlineLevel="0" max="4" min="4" style="1" width="9"/>
    <col collapsed="false" customWidth="true" hidden="false" outlineLevel="0" max="5" min="5" style="1" width="11"/>
    <col collapsed="false" customWidth="true" hidden="false" outlineLevel="0" max="7" min="6" style="1" width="14"/>
    <col collapsed="false" customWidth="true" hidden="false" outlineLevel="0" max="8" min="8" style="1" width="13"/>
    <col collapsed="false" customWidth="true" hidden="false" outlineLevel="0" max="9" min="9" style="1" width="14"/>
    <col collapsed="false" customWidth="true" hidden="false" outlineLevel="0" max="11" min="10" style="1" width="13"/>
    <col collapsed="false" customWidth="true" hidden="false" outlineLevel="0" max="14" min="12" style="1" width="12"/>
    <col collapsed="false" customWidth="true" hidden="false" outlineLevel="0" max="18" min="15" style="1" width="13"/>
    <col collapsed="false" customWidth="true" hidden="false" outlineLevel="0" max="21" min="19" style="1" width="12"/>
    <col collapsed="false" customWidth="true" hidden="false" outlineLevel="0" max="22" min="22" style="1" width="26"/>
    <col collapsed="false" customWidth="true" hidden="false" outlineLevel="0" max="23" min="23" style="1" width="11"/>
    <col collapsed="false" customWidth="true" hidden="false" outlineLevel="0" max="24" min="24" style="1" width="22"/>
    <col collapsed="false" customWidth="true" hidden="false" outlineLevel="0" max="29" min="29" style="1" width="18"/>
    <col collapsed="false" customWidth="true" hidden="false" outlineLevel="0" max="30" min="30" style="1" width="44"/>
    <col collapsed="false" customWidth="true" hidden="false" outlineLevel="0" max="31" min="31" style="1" width="34"/>
  </cols>
  <sheetData>
    <row r="1" customFormat="false" ht="43.5" hidden="false" customHeight="true" outlineLevel="0" collapsed="false">
      <c r="A1" s="21" t="s">
        <v>492</v>
      </c>
      <c r="B1" s="21" t="s">
        <v>360</v>
      </c>
      <c r="C1" s="21" t="s">
        <v>4344</v>
      </c>
      <c r="D1" s="21" t="s">
        <v>4345</v>
      </c>
      <c r="E1" s="21" t="s">
        <v>4346</v>
      </c>
      <c r="F1" s="21" t="s">
        <v>4347</v>
      </c>
      <c r="G1" s="21" t="s">
        <v>4348</v>
      </c>
      <c r="H1" s="21" t="s">
        <v>4349</v>
      </c>
      <c r="I1" s="21" t="s">
        <v>4350</v>
      </c>
      <c r="J1" s="21" t="s">
        <v>4351</v>
      </c>
      <c r="K1" s="21" t="s">
        <v>4352</v>
      </c>
      <c r="L1" s="21" t="s">
        <v>4353</v>
      </c>
      <c r="M1" s="21" t="s">
        <v>4354</v>
      </c>
      <c r="N1" s="21" t="s">
        <v>4355</v>
      </c>
      <c r="O1" s="21" t="s">
        <v>4356</v>
      </c>
      <c r="P1" s="21" t="s">
        <v>4357</v>
      </c>
      <c r="Q1" s="21" t="s">
        <v>4358</v>
      </c>
      <c r="R1" s="28" t="s">
        <v>4359</v>
      </c>
      <c r="S1" s="21" t="s">
        <v>4360</v>
      </c>
      <c r="T1" s="28" t="s">
        <v>4361</v>
      </c>
      <c r="U1" s="21" t="s">
        <v>4362</v>
      </c>
      <c r="V1" s="21" t="s">
        <v>516</v>
      </c>
      <c r="W1" s="21" t="s">
        <v>371</v>
      </c>
      <c r="X1" s="21" t="s">
        <v>372</v>
      </c>
      <c r="AC1" s="30" t="s">
        <v>4363</v>
      </c>
      <c r="AD1" s="30" t="s">
        <v>4364</v>
      </c>
      <c r="AE1" s="15" t="s">
        <v>4365</v>
      </c>
    </row>
    <row r="2" customFormat="false" ht="15" hidden="false" customHeight="true" outlineLevel="0" collapsed="false">
      <c r="A2" s="6" t="s">
        <v>520</v>
      </c>
      <c r="B2" s="6" t="s">
        <v>390</v>
      </c>
      <c r="C2" s="6" t="s">
        <v>394</v>
      </c>
      <c r="D2" s="6" t="n">
        <v>6</v>
      </c>
      <c r="E2" s="9" t="s">
        <v>4366</v>
      </c>
      <c r="F2" s="35" t="n">
        <v>486000</v>
      </c>
      <c r="G2" s="35"/>
      <c r="H2" s="35"/>
      <c r="I2" s="35"/>
      <c r="J2" s="35"/>
      <c r="K2" s="35"/>
      <c r="L2" s="35"/>
      <c r="M2" s="35"/>
      <c r="N2" s="35"/>
      <c r="O2" s="35"/>
      <c r="P2" s="35"/>
      <c r="Q2" s="43" t="str">
        <f aca="false">IF($A2="","",IF(OR(F2="",I2=""),"",F2-I2))</f>
        <v/>
      </c>
      <c r="R2" s="43" t="str">
        <f aca="false">IF($A2="","",IF(Q2="","",Q2+IF(O2="",0,O2)))</f>
        <v/>
      </c>
      <c r="S2" s="35"/>
      <c r="T2" s="43" t="str">
        <f aca="false">IF($A2="","",IF(R2="","",R2-IF(S2="",0,S2)))</f>
        <v/>
      </c>
      <c r="U2" s="43" t="str">
        <f aca="false">IF($A2="","",IF(I2="","",I2-SUM(J2:P2)))</f>
        <v/>
      </c>
      <c r="V2" s="6" t="s">
        <v>4367</v>
      </c>
      <c r="W2" s="47" t="s">
        <v>1168</v>
      </c>
      <c r="X2" s="9" t="s">
        <v>4368</v>
      </c>
      <c r="Y2" s="6"/>
      <c r="Z2" s="9"/>
      <c r="AA2" s="9"/>
      <c r="AB2" s="9"/>
      <c r="AC2" s="9" t="s">
        <v>4369</v>
      </c>
      <c r="AD2" s="9" t="s">
        <v>4370</v>
      </c>
      <c r="AE2" s="9" t="s">
        <v>4371</v>
      </c>
    </row>
    <row r="3" customFormat="false" ht="15" hidden="false" customHeight="true" outlineLevel="0" collapsed="false">
      <c r="A3" s="6" t="s">
        <v>530</v>
      </c>
      <c r="B3" s="6" t="s">
        <v>390</v>
      </c>
      <c r="C3" s="6" t="s">
        <v>394</v>
      </c>
      <c r="D3" s="6" t="n">
        <v>6</v>
      </c>
      <c r="E3" s="9" t="s">
        <v>4366</v>
      </c>
      <c r="F3" s="35" t="n">
        <v>717000</v>
      </c>
      <c r="G3" s="42"/>
      <c r="H3" s="42"/>
      <c r="I3" s="42"/>
      <c r="J3" s="42"/>
      <c r="K3" s="42"/>
      <c r="L3" s="42"/>
      <c r="M3" s="42"/>
      <c r="N3" s="42"/>
      <c r="O3" s="42"/>
      <c r="P3" s="42"/>
      <c r="Q3" s="43" t="str">
        <f aca="false">IF($A3="","",IF(OR(F3="",I3=""),"",F3-I3))</f>
        <v/>
      </c>
      <c r="R3" s="43" t="str">
        <f aca="false">IF($A3="","",IF(Q3="","",Q3+IF(O3="",0,O3)))</f>
        <v/>
      </c>
      <c r="S3" s="42"/>
      <c r="T3" s="43" t="str">
        <f aca="false">IF($A3="","",IF(R3="","",R3-IF(S3="",0,S3)))</f>
        <v/>
      </c>
      <c r="U3" s="43" t="str">
        <f aca="false">IF($A3="","",IF(I3="","",I3-SUM(J3:P3)))</f>
        <v/>
      </c>
      <c r="V3" s="6" t="s">
        <v>4367</v>
      </c>
      <c r="W3" s="47" t="s">
        <v>1168</v>
      </c>
      <c r="X3" s="9" t="s">
        <v>4368</v>
      </c>
      <c r="AC3" s="9" t="s">
        <v>4369</v>
      </c>
      <c r="AD3" s="9" t="s">
        <v>4370</v>
      </c>
      <c r="AE3" s="9" t="s">
        <v>4371</v>
      </c>
    </row>
    <row r="4" customFormat="false" ht="15" hidden="false" customHeight="true" outlineLevel="0" collapsed="false">
      <c r="A4" s="6" t="s">
        <v>534</v>
      </c>
      <c r="B4" s="6" t="s">
        <v>390</v>
      </c>
      <c r="C4" s="6" t="s">
        <v>394</v>
      </c>
      <c r="D4" s="6" t="n">
        <v>6</v>
      </c>
      <c r="E4" s="9" t="s">
        <v>4366</v>
      </c>
      <c r="F4" s="35" t="n">
        <v>227000</v>
      </c>
      <c r="G4" s="42"/>
      <c r="H4" s="42"/>
      <c r="I4" s="42"/>
      <c r="J4" s="42"/>
      <c r="K4" s="42"/>
      <c r="L4" s="42"/>
      <c r="M4" s="42"/>
      <c r="N4" s="42"/>
      <c r="O4" s="42"/>
      <c r="P4" s="42"/>
      <c r="Q4" s="43" t="str">
        <f aca="false">IF($A4="","",IF(OR(F4="",I4=""),"",F4-I4))</f>
        <v/>
      </c>
      <c r="R4" s="43" t="str">
        <f aca="false">IF($A4="","",IF(Q4="","",Q4+IF(O4="",0,O4)))</f>
        <v/>
      </c>
      <c r="S4" s="42"/>
      <c r="T4" s="43" t="str">
        <f aca="false">IF($A4="","",IF(R4="","",R4-IF(S4="",0,S4)))</f>
        <v/>
      </c>
      <c r="U4" s="43" t="str">
        <f aca="false">IF($A4="","",IF(I4="","",I4-SUM(J4:P4)))</f>
        <v/>
      </c>
      <c r="V4" s="6" t="s">
        <v>4367</v>
      </c>
      <c r="W4" s="47" t="s">
        <v>1168</v>
      </c>
      <c r="X4" s="9" t="s">
        <v>4368</v>
      </c>
      <c r="AC4" s="9" t="s">
        <v>4369</v>
      </c>
      <c r="AD4" s="9" t="s">
        <v>4370</v>
      </c>
      <c r="AE4" s="9" t="s">
        <v>4371</v>
      </c>
    </row>
    <row r="5" customFormat="false" ht="15" hidden="false" customHeight="true" outlineLevel="0" collapsed="false">
      <c r="A5" s="6" t="s">
        <v>537</v>
      </c>
      <c r="B5" s="6" t="s">
        <v>390</v>
      </c>
      <c r="C5" s="6" t="s">
        <v>394</v>
      </c>
      <c r="D5" s="6" t="n">
        <v>6</v>
      </c>
      <c r="E5" s="9" t="s">
        <v>4366</v>
      </c>
      <c r="F5" s="35" t="n">
        <v>306000</v>
      </c>
      <c r="G5" s="42"/>
      <c r="H5" s="42"/>
      <c r="I5" s="42"/>
      <c r="J5" s="42"/>
      <c r="K5" s="42"/>
      <c r="L5" s="42"/>
      <c r="M5" s="42"/>
      <c r="N5" s="42"/>
      <c r="O5" s="42"/>
      <c r="P5" s="42"/>
      <c r="Q5" s="43" t="str">
        <f aca="false">IF($A5="","",IF(OR(F5="",I5=""),"",F5-I5))</f>
        <v/>
      </c>
      <c r="R5" s="43" t="str">
        <f aca="false">IF($A5="","",IF(Q5="","",Q5+IF(O5="",0,O5)))</f>
        <v/>
      </c>
      <c r="S5" s="42"/>
      <c r="T5" s="43" t="str">
        <f aca="false">IF($A5="","",IF(R5="","",R5-IF(S5="",0,S5)))</f>
        <v/>
      </c>
      <c r="U5" s="43" t="str">
        <f aca="false">IF($A5="","",IF(I5="","",I5-SUM(J5:P5)))</f>
        <v/>
      </c>
      <c r="V5" s="6" t="s">
        <v>4367</v>
      </c>
      <c r="W5" s="47" t="s">
        <v>1168</v>
      </c>
      <c r="X5" s="9" t="s">
        <v>4368</v>
      </c>
      <c r="AC5" s="9" t="s">
        <v>4369</v>
      </c>
      <c r="AD5" s="9" t="s">
        <v>4370</v>
      </c>
      <c r="AE5" s="9" t="s">
        <v>4371</v>
      </c>
    </row>
    <row r="6" customFormat="false" ht="15" hidden="false" customHeight="true" outlineLevel="0" collapsed="false">
      <c r="A6" s="6" t="s">
        <v>541</v>
      </c>
      <c r="B6" s="6" t="s">
        <v>390</v>
      </c>
      <c r="C6" s="6" t="s">
        <v>394</v>
      </c>
      <c r="D6" s="6" t="n">
        <v>6</v>
      </c>
      <c r="E6" s="9" t="s">
        <v>4366</v>
      </c>
      <c r="F6" s="35" t="n">
        <v>523000</v>
      </c>
      <c r="G6" s="42"/>
      <c r="H6" s="42"/>
      <c r="I6" s="42"/>
      <c r="J6" s="42"/>
      <c r="K6" s="42"/>
      <c r="L6" s="42"/>
      <c r="M6" s="42"/>
      <c r="N6" s="42"/>
      <c r="O6" s="42"/>
      <c r="P6" s="42"/>
      <c r="Q6" s="43" t="str">
        <f aca="false">IF($A6="","",IF(OR(F6="",I6=""),"",F6-I6))</f>
        <v/>
      </c>
      <c r="R6" s="43" t="str">
        <f aca="false">IF($A6="","",IF(Q6="","",Q6+IF(O6="",0,O6)))</f>
        <v/>
      </c>
      <c r="S6" s="42"/>
      <c r="T6" s="43" t="str">
        <f aca="false">IF($A6="","",IF(R6="","",R6-IF(S6="",0,S6)))</f>
        <v/>
      </c>
      <c r="U6" s="43" t="str">
        <f aca="false">IF($A6="","",IF(I6="","",I6-SUM(J6:P6)))</f>
        <v/>
      </c>
      <c r="V6" s="6" t="s">
        <v>4367</v>
      </c>
      <c r="W6" s="47" t="s">
        <v>1168</v>
      </c>
      <c r="X6" s="9" t="s">
        <v>4368</v>
      </c>
      <c r="AC6" s="9" t="s">
        <v>4369</v>
      </c>
      <c r="AD6" s="9" t="s">
        <v>4370</v>
      </c>
      <c r="AE6" s="9" t="s">
        <v>4371</v>
      </c>
    </row>
    <row r="7" customFormat="false" ht="15" hidden="false" customHeight="true" outlineLevel="0" collapsed="false">
      <c r="A7" s="6" t="s">
        <v>545</v>
      </c>
      <c r="B7" s="6" t="s">
        <v>390</v>
      </c>
      <c r="C7" s="6" t="s">
        <v>394</v>
      </c>
      <c r="D7" s="6" t="n">
        <v>6</v>
      </c>
      <c r="E7" s="9" t="s">
        <v>4366</v>
      </c>
      <c r="F7" s="35" t="n">
        <v>331000</v>
      </c>
      <c r="G7" s="42"/>
      <c r="H7" s="42"/>
      <c r="I7" s="42"/>
      <c r="J7" s="42"/>
      <c r="K7" s="42"/>
      <c r="L7" s="42"/>
      <c r="M7" s="42"/>
      <c r="N7" s="42"/>
      <c r="O7" s="42"/>
      <c r="P7" s="42"/>
      <c r="Q7" s="43" t="str">
        <f aca="false">IF($A7="","",IF(OR(F7="",I7=""),"",F7-I7))</f>
        <v/>
      </c>
      <c r="R7" s="43" t="str">
        <f aca="false">IF($A7="","",IF(Q7="","",Q7+IF(O7="",0,O7)))</f>
        <v/>
      </c>
      <c r="S7" s="42"/>
      <c r="T7" s="43" t="str">
        <f aca="false">IF($A7="","",IF(R7="","",R7-IF(S7="",0,S7)))</f>
        <v/>
      </c>
      <c r="U7" s="43" t="str">
        <f aca="false">IF($A7="","",IF(I7="","",I7-SUM(J7:P7)))</f>
        <v/>
      </c>
      <c r="V7" s="6" t="s">
        <v>4367</v>
      </c>
      <c r="W7" s="47" t="s">
        <v>1168</v>
      </c>
      <c r="X7" s="9" t="s">
        <v>4368</v>
      </c>
      <c r="AC7" s="9" t="s">
        <v>4369</v>
      </c>
      <c r="AD7" s="9" t="s">
        <v>4370</v>
      </c>
      <c r="AE7" s="9" t="s">
        <v>4371</v>
      </c>
    </row>
    <row r="8" customFormat="false" ht="15" hidden="false" customHeight="true" outlineLevel="0" collapsed="false">
      <c r="A8" s="6" t="s">
        <v>553</v>
      </c>
      <c r="B8" s="6" t="s">
        <v>390</v>
      </c>
      <c r="C8" s="6" t="s">
        <v>394</v>
      </c>
      <c r="D8" s="6" t="n">
        <v>6</v>
      </c>
      <c r="E8" s="9" t="s">
        <v>4366</v>
      </c>
      <c r="F8" s="35" t="n">
        <v>1001000</v>
      </c>
      <c r="G8" s="42"/>
      <c r="H8" s="42"/>
      <c r="I8" s="42"/>
      <c r="J8" s="42"/>
      <c r="K8" s="42"/>
      <c r="L8" s="42"/>
      <c r="M8" s="42"/>
      <c r="N8" s="42"/>
      <c r="O8" s="42"/>
      <c r="P8" s="42"/>
      <c r="Q8" s="43" t="str">
        <f aca="false">IF($A8="","",IF(OR(F8="",I8=""),"",F8-I8))</f>
        <v/>
      </c>
      <c r="R8" s="43" t="str">
        <f aca="false">IF($A8="","",IF(Q8="","",Q8+IF(O8="",0,O8)))</f>
        <v/>
      </c>
      <c r="S8" s="42"/>
      <c r="T8" s="43" t="str">
        <f aca="false">IF($A8="","",IF(R8="","",R8-IF(S8="",0,S8)))</f>
        <v/>
      </c>
      <c r="U8" s="43" t="str">
        <f aca="false">IF($A8="","",IF(I8="","",I8-SUM(J8:P8)))</f>
        <v/>
      </c>
      <c r="V8" s="6" t="s">
        <v>4367</v>
      </c>
      <c r="W8" s="47" t="s">
        <v>1168</v>
      </c>
      <c r="X8" s="9" t="s">
        <v>4368</v>
      </c>
      <c r="AC8" s="9" t="s">
        <v>4369</v>
      </c>
      <c r="AD8" s="9" t="s">
        <v>4370</v>
      </c>
      <c r="AE8" s="9" t="s">
        <v>4371</v>
      </c>
    </row>
    <row r="9" customFormat="false" ht="15" hidden="false" customHeight="true" outlineLevel="0" collapsed="false">
      <c r="A9" s="6" t="s">
        <v>558</v>
      </c>
      <c r="B9" s="6" t="s">
        <v>390</v>
      </c>
      <c r="C9" s="6" t="s">
        <v>394</v>
      </c>
      <c r="D9" s="6" t="n">
        <v>6</v>
      </c>
      <c r="E9" s="9" t="s">
        <v>4366</v>
      </c>
      <c r="F9" s="35" t="n">
        <v>2000</v>
      </c>
      <c r="G9" s="42"/>
      <c r="H9" s="42"/>
      <c r="I9" s="42"/>
      <c r="J9" s="42"/>
      <c r="K9" s="42"/>
      <c r="L9" s="42"/>
      <c r="M9" s="42"/>
      <c r="N9" s="42"/>
      <c r="O9" s="42"/>
      <c r="P9" s="42"/>
      <c r="Q9" s="43" t="str">
        <f aca="false">IF($A9="","",IF(OR(F9="",I9=""),"",F9-I9))</f>
        <v/>
      </c>
      <c r="R9" s="43" t="str">
        <f aca="false">IF($A9="","",IF(Q9="","",Q9+IF(O9="",0,O9)))</f>
        <v/>
      </c>
      <c r="S9" s="42"/>
      <c r="T9" s="43" t="str">
        <f aca="false">IF($A9="","",IF(R9="","",R9-IF(S9="",0,S9)))</f>
        <v/>
      </c>
      <c r="U9" s="43" t="str">
        <f aca="false">IF($A9="","",IF(I9="","",I9-SUM(J9:P9)))</f>
        <v/>
      </c>
      <c r="V9" s="6" t="s">
        <v>4367</v>
      </c>
      <c r="W9" s="47" t="s">
        <v>1168</v>
      </c>
      <c r="X9" s="6" t="s">
        <v>4372</v>
      </c>
      <c r="AC9" s="6" t="s">
        <v>4373</v>
      </c>
      <c r="AD9" s="9" t="s">
        <v>4374</v>
      </c>
      <c r="AE9" s="9" t="s">
        <v>4371</v>
      </c>
    </row>
    <row r="10" customFormat="false" ht="15" hidden="false" customHeight="true" outlineLevel="0" collapsed="false">
      <c r="A10" s="6" t="s">
        <v>565</v>
      </c>
      <c r="B10" s="6" t="s">
        <v>390</v>
      </c>
      <c r="C10" s="6" t="s">
        <v>394</v>
      </c>
      <c r="D10" s="6" t="n">
        <v>6</v>
      </c>
      <c r="E10" s="9" t="s">
        <v>4366</v>
      </c>
      <c r="F10" s="35" t="n">
        <v>325000</v>
      </c>
      <c r="G10" s="42"/>
      <c r="H10" s="42"/>
      <c r="I10" s="42"/>
      <c r="J10" s="42"/>
      <c r="K10" s="42"/>
      <c r="L10" s="42"/>
      <c r="M10" s="42"/>
      <c r="N10" s="42"/>
      <c r="O10" s="42"/>
      <c r="P10" s="42"/>
      <c r="Q10" s="43" t="str">
        <f aca="false">IF($A10="","",IF(OR(F10="",I10=""),"",F10-I10))</f>
        <v/>
      </c>
      <c r="R10" s="43" t="str">
        <f aca="false">IF($A10="","",IF(Q10="","",Q10+IF(O10="",0,O10)))</f>
        <v/>
      </c>
      <c r="S10" s="42"/>
      <c r="T10" s="43" t="str">
        <f aca="false">IF($A10="","",IF(R10="","",R10-IF(S10="",0,S10)))</f>
        <v/>
      </c>
      <c r="U10" s="43" t="str">
        <f aca="false">IF($A10="","",IF(I10="","",I10-SUM(J10:P10)))</f>
        <v/>
      </c>
      <c r="V10" s="6" t="s">
        <v>4367</v>
      </c>
      <c r="W10" s="47" t="s">
        <v>1168</v>
      </c>
      <c r="X10" s="9" t="s">
        <v>4368</v>
      </c>
      <c r="AC10" s="9" t="s">
        <v>4369</v>
      </c>
      <c r="AD10" s="9" t="s">
        <v>4370</v>
      </c>
      <c r="AE10" s="9" t="s">
        <v>4371</v>
      </c>
    </row>
    <row r="11" customFormat="false" ht="15" hidden="false" customHeight="true" outlineLevel="0" collapsed="false">
      <c r="A11" s="6" t="s">
        <v>571</v>
      </c>
      <c r="B11" s="6" t="s">
        <v>390</v>
      </c>
      <c r="C11" s="6" t="s">
        <v>394</v>
      </c>
      <c r="D11" s="6" t="n">
        <v>6</v>
      </c>
      <c r="E11" s="9" t="s">
        <v>4366</v>
      </c>
      <c r="F11" s="35" t="n">
        <v>142000</v>
      </c>
      <c r="G11" s="42"/>
      <c r="H11" s="42"/>
      <c r="I11" s="42"/>
      <c r="J11" s="42"/>
      <c r="K11" s="42"/>
      <c r="L11" s="42"/>
      <c r="M11" s="42"/>
      <c r="N11" s="42"/>
      <c r="O11" s="42"/>
      <c r="P11" s="42"/>
      <c r="Q11" s="43" t="str">
        <f aca="false">IF($A11="","",IF(OR(F11="",I11=""),"",F11-I11))</f>
        <v/>
      </c>
      <c r="R11" s="43" t="str">
        <f aca="false">IF($A11="","",IF(Q11="","",Q11+IF(O11="",0,O11)))</f>
        <v/>
      </c>
      <c r="S11" s="42"/>
      <c r="T11" s="43" t="str">
        <f aca="false">IF($A11="","",IF(R11="","",R11-IF(S11="",0,S11)))</f>
        <v/>
      </c>
      <c r="U11" s="43" t="str">
        <f aca="false">IF($A11="","",IF(I11="","",I11-SUM(J11:P11)))</f>
        <v/>
      </c>
      <c r="V11" s="6" t="s">
        <v>4367</v>
      </c>
      <c r="W11" s="47" t="s">
        <v>1168</v>
      </c>
      <c r="X11" s="9" t="s">
        <v>4368</v>
      </c>
      <c r="AC11" s="9" t="s">
        <v>4369</v>
      </c>
      <c r="AD11" s="9" t="s">
        <v>4370</v>
      </c>
      <c r="AE11" s="9" t="s">
        <v>4371</v>
      </c>
    </row>
    <row r="12" customFormat="false" ht="15" hidden="false" customHeight="true" outlineLevel="0" collapsed="false">
      <c r="A12" s="6" t="s">
        <v>576</v>
      </c>
      <c r="B12" s="6" t="s">
        <v>390</v>
      </c>
      <c r="C12" s="6" t="s">
        <v>394</v>
      </c>
      <c r="D12" s="6" t="n">
        <v>6</v>
      </c>
      <c r="E12" s="9" t="s">
        <v>4366</v>
      </c>
      <c r="F12" s="35" t="n">
        <v>135000</v>
      </c>
      <c r="G12" s="42"/>
      <c r="H12" s="42"/>
      <c r="I12" s="42"/>
      <c r="J12" s="42"/>
      <c r="K12" s="42"/>
      <c r="L12" s="42"/>
      <c r="M12" s="42"/>
      <c r="N12" s="42"/>
      <c r="O12" s="42"/>
      <c r="P12" s="42"/>
      <c r="Q12" s="43" t="str">
        <f aca="false">IF($A12="","",IF(OR(F12="",I12=""),"",F12-I12))</f>
        <v/>
      </c>
      <c r="R12" s="43" t="str">
        <f aca="false">IF($A12="","",IF(Q12="","",Q12+IF(O12="",0,O12)))</f>
        <v/>
      </c>
      <c r="S12" s="42"/>
      <c r="T12" s="43" t="str">
        <f aca="false">IF($A12="","",IF(R12="","",R12-IF(S12="",0,S12)))</f>
        <v/>
      </c>
      <c r="U12" s="43" t="str">
        <f aca="false">IF($A12="","",IF(I12="","",I12-SUM(J12:P12)))</f>
        <v/>
      </c>
      <c r="V12" s="6" t="s">
        <v>4367</v>
      </c>
      <c r="W12" s="47" t="s">
        <v>1168</v>
      </c>
      <c r="X12" s="9" t="s">
        <v>4368</v>
      </c>
      <c r="AC12" s="9" t="s">
        <v>4369</v>
      </c>
      <c r="AD12" s="9" t="s">
        <v>4370</v>
      </c>
      <c r="AE12" s="9" t="s">
        <v>4371</v>
      </c>
    </row>
    <row r="13" customFormat="false" ht="15" hidden="false" customHeight="true" outlineLevel="0" collapsed="false">
      <c r="A13" s="6" t="s">
        <v>581</v>
      </c>
      <c r="B13" s="6" t="s">
        <v>390</v>
      </c>
      <c r="C13" s="6" t="s">
        <v>394</v>
      </c>
      <c r="D13" s="6" t="n">
        <v>6</v>
      </c>
      <c r="E13" s="9" t="s">
        <v>4366</v>
      </c>
      <c r="F13" s="35" t="n">
        <v>91000</v>
      </c>
      <c r="G13" s="42"/>
      <c r="H13" s="42"/>
      <c r="I13" s="42"/>
      <c r="J13" s="42"/>
      <c r="K13" s="42"/>
      <c r="L13" s="42"/>
      <c r="M13" s="42"/>
      <c r="N13" s="42"/>
      <c r="O13" s="42"/>
      <c r="P13" s="42"/>
      <c r="Q13" s="43" t="str">
        <f aca="false">IF($A13="","",IF(OR(F13="",I13=""),"",F13-I13))</f>
        <v/>
      </c>
      <c r="R13" s="43" t="str">
        <f aca="false">IF($A13="","",IF(Q13="","",Q13+IF(O13="",0,O13)))</f>
        <v/>
      </c>
      <c r="S13" s="42"/>
      <c r="T13" s="43" t="str">
        <f aca="false">IF($A13="","",IF(R13="","",R13-IF(S13="",0,S13)))</f>
        <v/>
      </c>
      <c r="U13" s="43" t="str">
        <f aca="false">IF($A13="","",IF(I13="","",I13-SUM(J13:P13)))</f>
        <v/>
      </c>
      <c r="V13" s="6" t="s">
        <v>4367</v>
      </c>
      <c r="W13" s="47" t="s">
        <v>1168</v>
      </c>
      <c r="X13" s="9" t="s">
        <v>4368</v>
      </c>
      <c r="AC13" s="9" t="s">
        <v>4369</v>
      </c>
      <c r="AD13" s="9" t="s">
        <v>4370</v>
      </c>
      <c r="AE13" s="9" t="s">
        <v>4371</v>
      </c>
    </row>
    <row r="14" customFormat="false" ht="15" hidden="false" customHeight="true" outlineLevel="0" collapsed="false">
      <c r="A14" s="6" t="s">
        <v>585</v>
      </c>
      <c r="B14" s="6" t="s">
        <v>390</v>
      </c>
      <c r="C14" s="6" t="s">
        <v>394</v>
      </c>
      <c r="D14" s="6" t="n">
        <v>6</v>
      </c>
      <c r="E14" s="9" t="s">
        <v>4366</v>
      </c>
      <c r="F14" s="35" t="n">
        <v>274000</v>
      </c>
      <c r="G14" s="42"/>
      <c r="H14" s="42"/>
      <c r="I14" s="42"/>
      <c r="J14" s="42"/>
      <c r="K14" s="42"/>
      <c r="L14" s="42"/>
      <c r="M14" s="42"/>
      <c r="N14" s="42"/>
      <c r="O14" s="42"/>
      <c r="P14" s="42"/>
      <c r="Q14" s="43" t="str">
        <f aca="false">IF($A14="","",IF(OR(F14="",I14=""),"",F14-I14))</f>
        <v/>
      </c>
      <c r="R14" s="43" t="str">
        <f aca="false">IF($A14="","",IF(Q14="","",Q14+IF(O14="",0,O14)))</f>
        <v/>
      </c>
      <c r="S14" s="42"/>
      <c r="T14" s="43" t="str">
        <f aca="false">IF($A14="","",IF(R14="","",R14-IF(S14="",0,S14)))</f>
        <v/>
      </c>
      <c r="U14" s="43" t="str">
        <f aca="false">IF($A14="","",IF(I14="","",I14-SUM(J14:P14)))</f>
        <v/>
      </c>
      <c r="V14" s="6" t="s">
        <v>4367</v>
      </c>
      <c r="W14" s="47" t="s">
        <v>1168</v>
      </c>
      <c r="X14" s="9" t="s">
        <v>4368</v>
      </c>
      <c r="AC14" s="9" t="s">
        <v>4369</v>
      </c>
      <c r="AD14" s="9" t="s">
        <v>4370</v>
      </c>
      <c r="AE14" s="9" t="s">
        <v>4371</v>
      </c>
    </row>
    <row r="15" customFormat="false" ht="15" hidden="false" customHeight="true" outlineLevel="0" collapsed="false">
      <c r="A15" s="6" t="s">
        <v>590</v>
      </c>
      <c r="B15" s="6" t="s">
        <v>390</v>
      </c>
      <c r="C15" s="6" t="s">
        <v>394</v>
      </c>
      <c r="D15" s="6" t="n">
        <v>6</v>
      </c>
      <c r="E15" s="9" t="s">
        <v>4366</v>
      </c>
      <c r="F15" s="35" t="n">
        <v>353000</v>
      </c>
      <c r="G15" s="42"/>
      <c r="H15" s="42"/>
      <c r="I15" s="42"/>
      <c r="J15" s="42"/>
      <c r="K15" s="42"/>
      <c r="L15" s="42"/>
      <c r="M15" s="42"/>
      <c r="N15" s="42"/>
      <c r="O15" s="42"/>
      <c r="P15" s="42"/>
      <c r="Q15" s="43" t="str">
        <f aca="false">IF($A15="","",IF(OR(F15="",I15=""),"",F15-I15))</f>
        <v/>
      </c>
      <c r="R15" s="43" t="str">
        <f aca="false">IF($A15="","",IF(Q15="","",Q15+IF(O15="",0,O15)))</f>
        <v/>
      </c>
      <c r="S15" s="42"/>
      <c r="T15" s="43" t="str">
        <f aca="false">IF($A15="","",IF(R15="","",R15-IF(S15="",0,S15)))</f>
        <v/>
      </c>
      <c r="U15" s="43" t="str">
        <f aca="false">IF($A15="","",IF(I15="","",I15-SUM(J15:P15)))</f>
        <v/>
      </c>
      <c r="V15" s="6" t="s">
        <v>4367</v>
      </c>
      <c r="W15" s="47" t="s">
        <v>1168</v>
      </c>
      <c r="X15" s="9" t="s">
        <v>4368</v>
      </c>
      <c r="AC15" s="9" t="s">
        <v>4369</v>
      </c>
      <c r="AD15" s="9" t="s">
        <v>4370</v>
      </c>
      <c r="AE15" s="9" t="s">
        <v>4371</v>
      </c>
    </row>
    <row r="16" customFormat="false" ht="15" hidden="false" customHeight="true" outlineLevel="0" collapsed="false">
      <c r="A16" s="6" t="s">
        <v>594</v>
      </c>
      <c r="B16" s="6" t="s">
        <v>390</v>
      </c>
      <c r="C16" s="6" t="s">
        <v>394</v>
      </c>
      <c r="D16" s="6" t="n">
        <v>6</v>
      </c>
      <c r="E16" s="9" t="s">
        <v>4366</v>
      </c>
      <c r="F16" s="35" t="n">
        <v>227000</v>
      </c>
      <c r="G16" s="42"/>
      <c r="H16" s="42"/>
      <c r="I16" s="42"/>
      <c r="J16" s="42"/>
      <c r="K16" s="42"/>
      <c r="L16" s="42"/>
      <c r="M16" s="42"/>
      <c r="N16" s="42"/>
      <c r="O16" s="42"/>
      <c r="P16" s="42"/>
      <c r="Q16" s="43" t="str">
        <f aca="false">IF($A16="","",IF(OR(F16="",I16=""),"",F16-I16))</f>
        <v/>
      </c>
      <c r="R16" s="43" t="str">
        <f aca="false">IF($A16="","",IF(Q16="","",Q16+IF(O16="",0,O16)))</f>
        <v/>
      </c>
      <c r="S16" s="42"/>
      <c r="T16" s="43" t="str">
        <f aca="false">IF($A16="","",IF(R16="","",R16-IF(S16="",0,S16)))</f>
        <v/>
      </c>
      <c r="U16" s="43" t="str">
        <f aca="false">IF($A16="","",IF(I16="","",I16-SUM(J16:P16)))</f>
        <v/>
      </c>
      <c r="V16" s="6" t="s">
        <v>4367</v>
      </c>
      <c r="W16" s="47" t="s">
        <v>1168</v>
      </c>
      <c r="X16" s="9" t="s">
        <v>4368</v>
      </c>
      <c r="AC16" s="9" t="s">
        <v>4369</v>
      </c>
      <c r="AD16" s="9" t="s">
        <v>4370</v>
      </c>
      <c r="AE16" s="9" t="s">
        <v>4371</v>
      </c>
    </row>
    <row r="17" customFormat="false" ht="15" hidden="false" customHeight="true" outlineLevel="0" collapsed="false">
      <c r="A17" s="6" t="s">
        <v>602</v>
      </c>
      <c r="B17" s="6" t="s">
        <v>390</v>
      </c>
      <c r="C17" s="6" t="s">
        <v>394</v>
      </c>
      <c r="D17" s="6" t="n">
        <v>6</v>
      </c>
      <c r="E17" s="9" t="s">
        <v>4366</v>
      </c>
      <c r="F17" s="35" t="n">
        <v>380000</v>
      </c>
      <c r="G17" s="42"/>
      <c r="H17" s="42"/>
      <c r="I17" s="42"/>
      <c r="J17" s="42"/>
      <c r="K17" s="42"/>
      <c r="L17" s="42"/>
      <c r="M17" s="42"/>
      <c r="N17" s="42"/>
      <c r="O17" s="42"/>
      <c r="P17" s="42"/>
      <c r="Q17" s="43" t="str">
        <f aca="false">IF($A17="","",IF(OR(F17="",I17=""),"",F17-I17))</f>
        <v/>
      </c>
      <c r="R17" s="43" t="str">
        <f aca="false">IF($A17="","",IF(Q17="","",Q17+IF(O17="",0,O17)))</f>
        <v/>
      </c>
      <c r="S17" s="42"/>
      <c r="T17" s="43" t="str">
        <f aca="false">IF($A17="","",IF(R17="","",R17-IF(S17="",0,S17)))</f>
        <v/>
      </c>
      <c r="U17" s="43" t="str">
        <f aca="false">IF($A17="","",IF(I17="","",I17-SUM(J17:P17)))</f>
        <v/>
      </c>
      <c r="V17" s="6" t="s">
        <v>4367</v>
      </c>
      <c r="W17" s="47" t="s">
        <v>1168</v>
      </c>
      <c r="X17" s="9" t="s">
        <v>4368</v>
      </c>
      <c r="AC17" s="9" t="s">
        <v>4369</v>
      </c>
      <c r="AD17" s="9" t="s">
        <v>4370</v>
      </c>
      <c r="AE17" s="9" t="s">
        <v>4371</v>
      </c>
    </row>
    <row r="18" customFormat="false" ht="15" hidden="false" customHeight="true" outlineLevel="0" collapsed="false">
      <c r="A18" s="6" t="s">
        <v>607</v>
      </c>
      <c r="B18" s="6" t="s">
        <v>390</v>
      </c>
      <c r="C18" s="6" t="s">
        <v>394</v>
      </c>
      <c r="D18" s="6" t="n">
        <v>6</v>
      </c>
      <c r="E18" s="9" t="s">
        <v>4366</v>
      </c>
      <c r="F18" s="35" t="n">
        <v>10000</v>
      </c>
      <c r="G18" s="42"/>
      <c r="H18" s="42"/>
      <c r="I18" s="42"/>
      <c r="J18" s="42"/>
      <c r="K18" s="42"/>
      <c r="L18" s="42"/>
      <c r="M18" s="42"/>
      <c r="N18" s="42"/>
      <c r="O18" s="42"/>
      <c r="P18" s="42"/>
      <c r="Q18" s="43" t="str">
        <f aca="false">IF($A18="","",IF(OR(F18="",I18=""),"",F18-I18))</f>
        <v/>
      </c>
      <c r="R18" s="43" t="str">
        <f aca="false">IF($A18="","",IF(Q18="","",Q18+IF(O18="",0,O18)))</f>
        <v/>
      </c>
      <c r="S18" s="42"/>
      <c r="T18" s="43" t="str">
        <f aca="false">IF($A18="","",IF(R18="","",R18-IF(S18="",0,S18)))</f>
        <v/>
      </c>
      <c r="U18" s="43" t="str">
        <f aca="false">IF($A18="","",IF(I18="","",I18-SUM(J18:P18)))</f>
        <v/>
      </c>
      <c r="V18" s="6" t="s">
        <v>4367</v>
      </c>
      <c r="W18" s="47" t="s">
        <v>1168</v>
      </c>
      <c r="X18" s="6" t="s">
        <v>4375</v>
      </c>
      <c r="AC18" s="9" t="s">
        <v>4369</v>
      </c>
      <c r="AD18" s="9" t="s">
        <v>4370</v>
      </c>
      <c r="AE18" s="9" t="s">
        <v>4371</v>
      </c>
    </row>
    <row r="19" customFormat="false" ht="15" hidden="false" customHeight="true" outlineLevel="0" collapsed="false">
      <c r="A19" s="6" t="s">
        <v>617</v>
      </c>
      <c r="B19" s="6" t="s">
        <v>390</v>
      </c>
      <c r="C19" s="6" t="s">
        <v>394</v>
      </c>
      <c r="D19" s="6" t="n">
        <v>6</v>
      </c>
      <c r="E19" s="9" t="s">
        <v>4376</v>
      </c>
      <c r="F19" s="35" t="n">
        <v>5539262</v>
      </c>
      <c r="G19" s="35" t="n">
        <v>5013812</v>
      </c>
      <c r="H19" s="35" t="n">
        <v>525450</v>
      </c>
      <c r="I19" s="35" t="n">
        <v>2268046</v>
      </c>
      <c r="J19" s="35" t="n">
        <v>569792</v>
      </c>
      <c r="K19" s="35" t="n">
        <v>362982</v>
      </c>
      <c r="L19" s="35" t="n">
        <v>429193</v>
      </c>
      <c r="M19" s="35" t="n">
        <v>12561</v>
      </c>
      <c r="N19" s="35" t="n">
        <v>102215</v>
      </c>
      <c r="O19" s="35" t="n">
        <v>774962</v>
      </c>
      <c r="P19" s="35" t="n">
        <v>16338</v>
      </c>
      <c r="Q19" s="43" t="n">
        <f aca="false">IF($A19="","",IF(OR(F19="",I19=""),"",F19-I19))</f>
        <v>3271216</v>
      </c>
      <c r="R19" s="43" t="n">
        <f aca="false">IF($A19="","",IF(Q19="","",Q19+IF(O19="",0,O19)))</f>
        <v>4046178</v>
      </c>
      <c r="S19" s="35" t="n">
        <v>624656</v>
      </c>
      <c r="T19" s="43" t="n">
        <f aca="false">IF($A19="","",IF(R19="","",R19-IF(S19="",0,S19)))</f>
        <v>3421522</v>
      </c>
      <c r="U19" s="43" t="n">
        <f aca="false">IF($A19="","",IF(I19="","",I19-SUM(J19:P19)))</f>
        <v>3</v>
      </c>
      <c r="V19" s="6" t="s">
        <v>4377</v>
      </c>
      <c r="W19" s="9" t="s">
        <v>528</v>
      </c>
      <c r="X19" s="9" t="s">
        <v>4378</v>
      </c>
      <c r="AC19" s="9" t="s">
        <v>4369</v>
      </c>
      <c r="AD19" s="9" t="s">
        <v>4370</v>
      </c>
      <c r="AE19" s="9" t="s">
        <v>4371</v>
      </c>
    </row>
    <row r="20" customFormat="false" ht="15" hidden="false" customHeight="true" outlineLevel="0" collapsed="false">
      <c r="A20" s="6" t="s">
        <v>623</v>
      </c>
      <c r="B20" s="6" t="s">
        <v>412</v>
      </c>
      <c r="C20" s="6" t="s">
        <v>416</v>
      </c>
      <c r="D20" s="6" t="n">
        <v>6</v>
      </c>
      <c r="E20" s="9" t="s">
        <v>4366</v>
      </c>
      <c r="F20" s="35" t="n">
        <v>907446</v>
      </c>
      <c r="G20" s="42"/>
      <c r="H20" s="42"/>
      <c r="I20" s="42"/>
      <c r="J20" s="42"/>
      <c r="K20" s="42"/>
      <c r="L20" s="42"/>
      <c r="M20" s="42"/>
      <c r="N20" s="42"/>
      <c r="O20" s="42"/>
      <c r="P20" s="42"/>
      <c r="Q20" s="43" t="str">
        <f aca="false">IF($A20="","",IF(OR(F20="",I20=""),"",F20-I20))</f>
        <v/>
      </c>
      <c r="R20" s="43" t="str">
        <f aca="false">IF($A20="","",IF(Q20="","",Q20+IF(O20="",0,O20)))</f>
        <v/>
      </c>
      <c r="S20" s="42"/>
      <c r="T20" s="43" t="str">
        <f aca="false">IF($A20="","",IF(R20="","",R20-IF(S20="",0,S20)))</f>
        <v/>
      </c>
      <c r="U20" s="43" t="str">
        <f aca="false">IF($A20="","",IF(I20="","",I20-SUM(J20:P20)))</f>
        <v/>
      </c>
      <c r="V20" s="6" t="s">
        <v>4379</v>
      </c>
      <c r="W20" s="9" t="s">
        <v>528</v>
      </c>
      <c r="X20" s="9" t="s">
        <v>4380</v>
      </c>
      <c r="AC20" s="9" t="s">
        <v>4369</v>
      </c>
      <c r="AD20" s="9" t="s">
        <v>4370</v>
      </c>
      <c r="AE20" s="9" t="s">
        <v>4371</v>
      </c>
    </row>
    <row r="21" customFormat="false" ht="15" hidden="false" customHeight="true" outlineLevel="0" collapsed="false">
      <c r="A21" s="6" t="s">
        <v>628</v>
      </c>
      <c r="B21" s="6" t="s">
        <v>412</v>
      </c>
      <c r="C21" s="6" t="s">
        <v>416</v>
      </c>
      <c r="D21" s="6" t="n">
        <v>6</v>
      </c>
      <c r="E21" s="9" t="s">
        <v>4366</v>
      </c>
      <c r="F21" s="35" t="n">
        <v>381861</v>
      </c>
      <c r="G21" s="42"/>
      <c r="H21" s="42"/>
      <c r="I21" s="42"/>
      <c r="J21" s="42"/>
      <c r="K21" s="42"/>
      <c r="L21" s="42"/>
      <c r="M21" s="42"/>
      <c r="N21" s="42"/>
      <c r="O21" s="42"/>
      <c r="P21" s="42"/>
      <c r="Q21" s="43" t="str">
        <f aca="false">IF($A21="","",IF(OR(F21="",I21=""),"",F21-I21))</f>
        <v/>
      </c>
      <c r="R21" s="43" t="str">
        <f aca="false">IF($A21="","",IF(Q21="","",Q21+IF(O21="",0,O21)))</f>
        <v/>
      </c>
      <c r="S21" s="42"/>
      <c r="T21" s="43" t="str">
        <f aca="false">IF($A21="","",IF(R21="","",R21-IF(S21="",0,S21)))</f>
        <v/>
      </c>
      <c r="U21" s="43" t="str">
        <f aca="false">IF($A21="","",IF(I21="","",I21-SUM(J21:P21)))</f>
        <v/>
      </c>
      <c r="V21" s="6" t="s">
        <v>4379</v>
      </c>
      <c r="W21" s="9" t="s">
        <v>528</v>
      </c>
      <c r="X21" s="9" t="s">
        <v>4380</v>
      </c>
      <c r="AC21" s="9" t="s">
        <v>4369</v>
      </c>
      <c r="AD21" s="9" t="s">
        <v>4370</v>
      </c>
      <c r="AE21" s="9" t="s">
        <v>4371</v>
      </c>
    </row>
    <row r="22" customFormat="false" ht="15" hidden="false" customHeight="true" outlineLevel="0" collapsed="false">
      <c r="A22" s="6" t="s">
        <v>631</v>
      </c>
      <c r="B22" s="6" t="s">
        <v>412</v>
      </c>
      <c r="C22" s="6" t="s">
        <v>416</v>
      </c>
      <c r="D22" s="6" t="n">
        <v>6</v>
      </c>
      <c r="E22" s="9" t="s">
        <v>4366</v>
      </c>
      <c r="F22" s="35" t="n">
        <v>220394</v>
      </c>
      <c r="G22" s="42"/>
      <c r="H22" s="42"/>
      <c r="I22" s="42"/>
      <c r="J22" s="42"/>
      <c r="K22" s="42"/>
      <c r="L22" s="42"/>
      <c r="M22" s="42"/>
      <c r="N22" s="42"/>
      <c r="O22" s="42"/>
      <c r="P22" s="42"/>
      <c r="Q22" s="43" t="str">
        <f aca="false">IF($A22="","",IF(OR(F22="",I22=""),"",F22-I22))</f>
        <v/>
      </c>
      <c r="R22" s="43" t="str">
        <f aca="false">IF($A22="","",IF(Q22="","",Q22+IF(O22="",0,O22)))</f>
        <v/>
      </c>
      <c r="S22" s="42"/>
      <c r="T22" s="43" t="str">
        <f aca="false">IF($A22="","",IF(R22="","",R22-IF(S22="",0,S22)))</f>
        <v/>
      </c>
      <c r="U22" s="43" t="str">
        <f aca="false">IF($A22="","",IF(I22="","",I22-SUM(J22:P22)))</f>
        <v/>
      </c>
      <c r="V22" s="6" t="s">
        <v>4379</v>
      </c>
      <c r="W22" s="9" t="s">
        <v>528</v>
      </c>
      <c r="X22" s="9" t="s">
        <v>4380</v>
      </c>
      <c r="AC22" s="9" t="s">
        <v>4369</v>
      </c>
      <c r="AD22" s="9" t="s">
        <v>4370</v>
      </c>
      <c r="AE22" s="9" t="s">
        <v>4371</v>
      </c>
    </row>
    <row r="23" customFormat="false" ht="15" hidden="false" customHeight="true" outlineLevel="0" collapsed="false">
      <c r="A23" s="6" t="s">
        <v>634</v>
      </c>
      <c r="B23" s="6" t="s">
        <v>412</v>
      </c>
      <c r="C23" s="6" t="s">
        <v>416</v>
      </c>
      <c r="D23" s="6" t="n">
        <v>6</v>
      </c>
      <c r="E23" s="9" t="s">
        <v>4366</v>
      </c>
      <c r="F23" s="35" t="n">
        <v>626694</v>
      </c>
      <c r="G23" s="42"/>
      <c r="H23" s="42"/>
      <c r="I23" s="42"/>
      <c r="J23" s="42"/>
      <c r="K23" s="42"/>
      <c r="L23" s="42"/>
      <c r="M23" s="42"/>
      <c r="N23" s="42"/>
      <c r="O23" s="42"/>
      <c r="P23" s="42"/>
      <c r="Q23" s="43" t="str">
        <f aca="false">IF($A23="","",IF(OR(F23="",I23=""),"",F23-I23))</f>
        <v/>
      </c>
      <c r="R23" s="43" t="str">
        <f aca="false">IF($A23="","",IF(Q23="","",Q23+IF(O23="",0,O23)))</f>
        <v/>
      </c>
      <c r="S23" s="42"/>
      <c r="T23" s="43" t="str">
        <f aca="false">IF($A23="","",IF(R23="","",R23-IF(S23="",0,S23)))</f>
        <v/>
      </c>
      <c r="U23" s="43" t="str">
        <f aca="false">IF($A23="","",IF(I23="","",I23-SUM(J23:P23)))</f>
        <v/>
      </c>
      <c r="V23" s="6" t="s">
        <v>4379</v>
      </c>
      <c r="W23" s="9" t="s">
        <v>528</v>
      </c>
      <c r="X23" s="9" t="s">
        <v>4380</v>
      </c>
      <c r="AC23" s="9" t="s">
        <v>4369</v>
      </c>
      <c r="AD23" s="9" t="s">
        <v>4370</v>
      </c>
      <c r="AE23" s="9" t="s">
        <v>4371</v>
      </c>
    </row>
    <row r="24" customFormat="false" ht="15" hidden="false" customHeight="true" outlineLevel="0" collapsed="false">
      <c r="A24" s="6" t="s">
        <v>637</v>
      </c>
      <c r="B24" s="6" t="s">
        <v>412</v>
      </c>
      <c r="C24" s="6" t="s">
        <v>416</v>
      </c>
      <c r="D24" s="6" t="n">
        <v>6</v>
      </c>
      <c r="E24" s="9" t="s">
        <v>4366</v>
      </c>
      <c r="F24" s="35" t="n">
        <v>419943</v>
      </c>
      <c r="G24" s="42"/>
      <c r="H24" s="42"/>
      <c r="I24" s="42"/>
      <c r="J24" s="42"/>
      <c r="K24" s="42"/>
      <c r="L24" s="42"/>
      <c r="M24" s="42"/>
      <c r="N24" s="42"/>
      <c r="O24" s="42"/>
      <c r="P24" s="42"/>
      <c r="Q24" s="43" t="str">
        <f aca="false">IF($A24="","",IF(OR(F24="",I24=""),"",F24-I24))</f>
        <v/>
      </c>
      <c r="R24" s="43" t="str">
        <f aca="false">IF($A24="","",IF(Q24="","",Q24+IF(O24="",0,O24)))</f>
        <v/>
      </c>
      <c r="S24" s="42"/>
      <c r="T24" s="43" t="str">
        <f aca="false">IF($A24="","",IF(R24="","",R24-IF(S24="",0,S24)))</f>
        <v/>
      </c>
      <c r="U24" s="43" t="str">
        <f aca="false">IF($A24="","",IF(I24="","",I24-SUM(J24:P24)))</f>
        <v/>
      </c>
      <c r="V24" s="6" t="s">
        <v>4379</v>
      </c>
      <c r="W24" s="9" t="s">
        <v>528</v>
      </c>
      <c r="X24" s="9" t="s">
        <v>4380</v>
      </c>
      <c r="AC24" s="9" t="s">
        <v>4369</v>
      </c>
      <c r="AD24" s="9" t="s">
        <v>4370</v>
      </c>
      <c r="AE24" s="9" t="s">
        <v>4371</v>
      </c>
    </row>
    <row r="25" customFormat="false" ht="15" hidden="false" customHeight="true" outlineLevel="0" collapsed="false">
      <c r="A25" s="6" t="s">
        <v>640</v>
      </c>
      <c r="B25" s="6" t="s">
        <v>412</v>
      </c>
      <c r="C25" s="6" t="s">
        <v>416</v>
      </c>
      <c r="D25" s="6" t="n">
        <v>6</v>
      </c>
      <c r="E25" s="9" t="s">
        <v>4366</v>
      </c>
      <c r="F25" s="35" t="n">
        <v>830820</v>
      </c>
      <c r="G25" s="42"/>
      <c r="H25" s="42"/>
      <c r="I25" s="42"/>
      <c r="J25" s="42"/>
      <c r="K25" s="42"/>
      <c r="L25" s="42"/>
      <c r="M25" s="42"/>
      <c r="N25" s="42"/>
      <c r="O25" s="42"/>
      <c r="P25" s="42"/>
      <c r="Q25" s="43" t="str">
        <f aca="false">IF($A25="","",IF(OR(F25="",I25=""),"",F25-I25))</f>
        <v/>
      </c>
      <c r="R25" s="43" t="str">
        <f aca="false">IF($A25="","",IF(Q25="","",Q25+IF(O25="",0,O25)))</f>
        <v/>
      </c>
      <c r="S25" s="42"/>
      <c r="T25" s="43" t="str">
        <f aca="false">IF($A25="","",IF(R25="","",R25-IF(S25="",0,S25)))</f>
        <v/>
      </c>
      <c r="U25" s="43" t="str">
        <f aca="false">IF($A25="","",IF(I25="","",I25-SUM(J25:P25)))</f>
        <v/>
      </c>
      <c r="V25" s="6" t="s">
        <v>4379</v>
      </c>
      <c r="W25" s="9" t="s">
        <v>528</v>
      </c>
      <c r="X25" s="9" t="s">
        <v>4380</v>
      </c>
      <c r="AC25" s="9" t="s">
        <v>4369</v>
      </c>
      <c r="AD25" s="9" t="s">
        <v>4370</v>
      </c>
      <c r="AE25" s="9" t="s">
        <v>4371</v>
      </c>
    </row>
    <row r="26" customFormat="false" ht="15" hidden="false" customHeight="true" outlineLevel="0" collapsed="false">
      <c r="A26" s="6" t="s">
        <v>643</v>
      </c>
      <c r="B26" s="6" t="s">
        <v>412</v>
      </c>
      <c r="C26" s="6" t="s">
        <v>416</v>
      </c>
      <c r="D26" s="6" t="n">
        <v>6</v>
      </c>
      <c r="E26" s="9" t="s">
        <v>4381</v>
      </c>
      <c r="F26" s="42"/>
      <c r="G26" s="42"/>
      <c r="H26" s="42"/>
      <c r="I26" s="42"/>
      <c r="J26" s="42"/>
      <c r="K26" s="42"/>
      <c r="L26" s="42"/>
      <c r="M26" s="42"/>
      <c r="N26" s="42"/>
      <c r="O26" s="42"/>
      <c r="P26" s="42"/>
      <c r="Q26" s="43" t="str">
        <f aca="false">IF($A26="","",IF(OR(F26="",I26=""),"",F26-I26))</f>
        <v/>
      </c>
      <c r="R26" s="43" t="str">
        <f aca="false">IF($A26="","",IF(Q26="","",Q26+IF(O26="",0,O26)))</f>
        <v/>
      </c>
      <c r="S26" s="42"/>
      <c r="T26" s="43" t="str">
        <f aca="false">IF($A26="","",IF(R26="","",R26-IF(S26="",0,S26)))</f>
        <v/>
      </c>
      <c r="U26" s="43" t="str">
        <f aca="false">IF($A26="","",IF(I26="","",I26-SUM(J26:P26)))</f>
        <v/>
      </c>
      <c r="V26" s="6" t="s">
        <v>4379</v>
      </c>
      <c r="W26" s="9" t="s">
        <v>528</v>
      </c>
      <c r="X26" s="9" t="s">
        <v>4382</v>
      </c>
      <c r="AC26" s="9" t="s">
        <v>4369</v>
      </c>
      <c r="AD26" s="9" t="s">
        <v>4370</v>
      </c>
      <c r="AE26" s="9" t="s">
        <v>4371</v>
      </c>
    </row>
    <row r="27" customFormat="false" ht="15" hidden="false" customHeight="true" outlineLevel="0" collapsed="false">
      <c r="A27" s="6" t="s">
        <v>646</v>
      </c>
      <c r="B27" s="6" t="s">
        <v>412</v>
      </c>
      <c r="C27" s="6" t="s">
        <v>416</v>
      </c>
      <c r="D27" s="6" t="n">
        <v>6</v>
      </c>
      <c r="E27" s="9" t="s">
        <v>4366</v>
      </c>
      <c r="F27" s="35" t="n">
        <v>291577</v>
      </c>
      <c r="G27" s="42"/>
      <c r="H27" s="42"/>
      <c r="I27" s="42"/>
      <c r="J27" s="42"/>
      <c r="K27" s="42"/>
      <c r="L27" s="42"/>
      <c r="M27" s="42"/>
      <c r="N27" s="42"/>
      <c r="O27" s="42"/>
      <c r="P27" s="42"/>
      <c r="Q27" s="43" t="str">
        <f aca="false">IF($A27="","",IF(OR(F27="",I27=""),"",F27-I27))</f>
        <v/>
      </c>
      <c r="R27" s="43" t="str">
        <f aca="false">IF($A27="","",IF(Q27="","",Q27+IF(O27="",0,O27)))</f>
        <v/>
      </c>
      <c r="S27" s="42"/>
      <c r="T27" s="43" t="str">
        <f aca="false">IF($A27="","",IF(R27="","",R27-IF(S27="",0,S27)))</f>
        <v/>
      </c>
      <c r="U27" s="43" t="str">
        <f aca="false">IF($A27="","",IF(I27="","",I27-SUM(J27:P27)))</f>
        <v/>
      </c>
      <c r="V27" s="6" t="s">
        <v>4379</v>
      </c>
      <c r="W27" s="9" t="s">
        <v>528</v>
      </c>
      <c r="X27" s="9" t="s">
        <v>4380</v>
      </c>
      <c r="AC27" s="9" t="s">
        <v>4369</v>
      </c>
      <c r="AD27" s="9" t="s">
        <v>4370</v>
      </c>
      <c r="AE27" s="9" t="s">
        <v>4371</v>
      </c>
    </row>
    <row r="28" customFormat="false" ht="15" hidden="false" customHeight="true" outlineLevel="0" collapsed="false">
      <c r="A28" s="6" t="s">
        <v>650</v>
      </c>
      <c r="B28" s="6" t="s">
        <v>412</v>
      </c>
      <c r="C28" s="6" t="s">
        <v>416</v>
      </c>
      <c r="D28" s="6" t="n">
        <v>6</v>
      </c>
      <c r="E28" s="9" t="s">
        <v>4381</v>
      </c>
      <c r="F28" s="42"/>
      <c r="G28" s="42"/>
      <c r="H28" s="42"/>
      <c r="I28" s="42"/>
      <c r="J28" s="42"/>
      <c r="K28" s="42"/>
      <c r="L28" s="42"/>
      <c r="M28" s="42"/>
      <c r="N28" s="42"/>
      <c r="O28" s="42"/>
      <c r="P28" s="42"/>
      <c r="Q28" s="43" t="str">
        <f aca="false">IF($A28="","",IF(OR(F28="",I28=""),"",F28-I28))</f>
        <v/>
      </c>
      <c r="R28" s="43" t="str">
        <f aca="false">IF($A28="","",IF(Q28="","",Q28+IF(O28="",0,O28)))</f>
        <v/>
      </c>
      <c r="S28" s="42"/>
      <c r="T28" s="43" t="str">
        <f aca="false">IF($A28="","",IF(R28="","",R28-IF(S28="",0,S28)))</f>
        <v/>
      </c>
      <c r="U28" s="43" t="str">
        <f aca="false">IF($A28="","",IF(I28="","",I28-SUM(J28:P28)))</f>
        <v/>
      </c>
      <c r="V28" s="6" t="s">
        <v>4379</v>
      </c>
      <c r="W28" s="9" t="s">
        <v>528</v>
      </c>
      <c r="X28" s="9" t="s">
        <v>4382</v>
      </c>
      <c r="AC28" s="9" t="s">
        <v>4369</v>
      </c>
      <c r="AD28" s="9" t="s">
        <v>4370</v>
      </c>
      <c r="AE28" s="9" t="s">
        <v>4371</v>
      </c>
    </row>
    <row r="29" customFormat="false" ht="15" hidden="false" customHeight="true" outlineLevel="0" collapsed="false">
      <c r="A29" s="6" t="s">
        <v>654</v>
      </c>
      <c r="B29" s="6" t="s">
        <v>412</v>
      </c>
      <c r="C29" s="6" t="s">
        <v>416</v>
      </c>
      <c r="D29" s="6" t="n">
        <v>6</v>
      </c>
      <c r="E29" s="9" t="s">
        <v>4366</v>
      </c>
      <c r="F29" s="35" t="n">
        <v>134808</v>
      </c>
      <c r="G29" s="42"/>
      <c r="H29" s="42"/>
      <c r="I29" s="42"/>
      <c r="J29" s="42"/>
      <c r="K29" s="42"/>
      <c r="L29" s="42"/>
      <c r="M29" s="42"/>
      <c r="N29" s="42"/>
      <c r="O29" s="42"/>
      <c r="P29" s="42"/>
      <c r="Q29" s="43" t="str">
        <f aca="false">IF($A29="","",IF(OR(F29="",I29=""),"",F29-I29))</f>
        <v/>
      </c>
      <c r="R29" s="43" t="str">
        <f aca="false">IF($A29="","",IF(Q29="","",Q29+IF(O29="",0,O29)))</f>
        <v/>
      </c>
      <c r="S29" s="42"/>
      <c r="T29" s="43" t="str">
        <f aca="false">IF($A29="","",IF(R29="","",R29-IF(S29="",0,S29)))</f>
        <v/>
      </c>
      <c r="U29" s="43" t="str">
        <f aca="false">IF($A29="","",IF(I29="","",I29-SUM(J29:P29)))</f>
        <v/>
      </c>
      <c r="V29" s="6" t="s">
        <v>4379</v>
      </c>
      <c r="W29" s="9" t="s">
        <v>528</v>
      </c>
      <c r="X29" s="9" t="s">
        <v>4380</v>
      </c>
      <c r="AC29" s="9" t="s">
        <v>4369</v>
      </c>
      <c r="AD29" s="9" t="s">
        <v>4370</v>
      </c>
      <c r="AE29" s="9" t="s">
        <v>4371</v>
      </c>
    </row>
    <row r="30" customFormat="false" ht="15" hidden="false" customHeight="true" outlineLevel="0" collapsed="false">
      <c r="A30" s="6" t="s">
        <v>658</v>
      </c>
      <c r="B30" s="6" t="s">
        <v>412</v>
      </c>
      <c r="C30" s="6" t="s">
        <v>416</v>
      </c>
      <c r="D30" s="6" t="n">
        <v>6</v>
      </c>
      <c r="E30" s="9" t="s">
        <v>4381</v>
      </c>
      <c r="F30" s="42"/>
      <c r="G30" s="42"/>
      <c r="H30" s="42"/>
      <c r="I30" s="42"/>
      <c r="J30" s="42"/>
      <c r="K30" s="42"/>
      <c r="L30" s="42"/>
      <c r="M30" s="42"/>
      <c r="N30" s="42"/>
      <c r="O30" s="42"/>
      <c r="P30" s="42"/>
      <c r="Q30" s="43" t="str">
        <f aca="false">IF($A30="","",IF(OR(F30="",I30=""),"",F30-I30))</f>
        <v/>
      </c>
      <c r="R30" s="43" t="str">
        <f aca="false">IF($A30="","",IF(Q30="","",Q30+IF(O30="",0,O30)))</f>
        <v/>
      </c>
      <c r="S30" s="42"/>
      <c r="T30" s="43" t="str">
        <f aca="false">IF($A30="","",IF(R30="","",R30-IF(S30="",0,S30)))</f>
        <v/>
      </c>
      <c r="U30" s="43" t="str">
        <f aca="false">IF($A30="","",IF(I30="","",I30-SUM(J30:P30)))</f>
        <v/>
      </c>
      <c r="V30" s="6" t="s">
        <v>4379</v>
      </c>
      <c r="W30" s="9" t="s">
        <v>528</v>
      </c>
      <c r="X30" s="9" t="s">
        <v>4382</v>
      </c>
      <c r="AC30" s="9" t="s">
        <v>4369</v>
      </c>
      <c r="AD30" s="9" t="s">
        <v>4370</v>
      </c>
      <c r="AE30" s="9" t="s">
        <v>4371</v>
      </c>
    </row>
    <row r="31" customFormat="false" ht="15" hidden="false" customHeight="true" outlineLevel="0" collapsed="false">
      <c r="A31" s="6" t="s">
        <v>661</v>
      </c>
      <c r="B31" s="6" t="s">
        <v>412</v>
      </c>
      <c r="C31" s="6" t="s">
        <v>416</v>
      </c>
      <c r="D31" s="6" t="n">
        <v>6</v>
      </c>
      <c r="E31" s="9" t="s">
        <v>4366</v>
      </c>
      <c r="F31" s="35" t="n">
        <v>163769</v>
      </c>
      <c r="G31" s="42"/>
      <c r="H31" s="42"/>
      <c r="I31" s="42"/>
      <c r="J31" s="42"/>
      <c r="K31" s="42"/>
      <c r="L31" s="42"/>
      <c r="M31" s="42"/>
      <c r="N31" s="42"/>
      <c r="O31" s="42"/>
      <c r="P31" s="42"/>
      <c r="Q31" s="43" t="str">
        <f aca="false">IF($A31="","",IF(OR(F31="",I31=""),"",F31-I31))</f>
        <v/>
      </c>
      <c r="R31" s="43" t="str">
        <f aca="false">IF($A31="","",IF(Q31="","",Q31+IF(O31="",0,O31)))</f>
        <v/>
      </c>
      <c r="S31" s="42"/>
      <c r="T31" s="43" t="str">
        <f aca="false">IF($A31="","",IF(R31="","",R31-IF(S31="",0,S31)))</f>
        <v/>
      </c>
      <c r="U31" s="43" t="str">
        <f aca="false">IF($A31="","",IF(I31="","",I31-SUM(J31:P31)))</f>
        <v/>
      </c>
      <c r="V31" s="6" t="s">
        <v>4379</v>
      </c>
      <c r="W31" s="9" t="s">
        <v>528</v>
      </c>
      <c r="X31" s="9" t="s">
        <v>4380</v>
      </c>
      <c r="AC31" s="9" t="s">
        <v>4369</v>
      </c>
      <c r="AD31" s="9" t="s">
        <v>4370</v>
      </c>
      <c r="AE31" s="9" t="s">
        <v>4371</v>
      </c>
    </row>
    <row r="32" customFormat="false" ht="15" hidden="false" customHeight="true" outlineLevel="0" collapsed="false">
      <c r="A32" s="6" t="s">
        <v>664</v>
      </c>
      <c r="B32" s="6" t="s">
        <v>412</v>
      </c>
      <c r="C32" s="6" t="s">
        <v>416</v>
      </c>
      <c r="D32" s="6" t="n">
        <v>6</v>
      </c>
      <c r="E32" s="9" t="s">
        <v>4381</v>
      </c>
      <c r="F32" s="42"/>
      <c r="G32" s="42"/>
      <c r="H32" s="42"/>
      <c r="I32" s="42"/>
      <c r="J32" s="42"/>
      <c r="K32" s="42"/>
      <c r="L32" s="42"/>
      <c r="M32" s="42"/>
      <c r="N32" s="42"/>
      <c r="O32" s="42"/>
      <c r="P32" s="42"/>
      <c r="Q32" s="43" t="str">
        <f aca="false">IF($A32="","",IF(OR(F32="",I32=""),"",F32-I32))</f>
        <v/>
      </c>
      <c r="R32" s="43" t="str">
        <f aca="false">IF($A32="","",IF(Q32="","",Q32+IF(O32="",0,O32)))</f>
        <v/>
      </c>
      <c r="S32" s="42"/>
      <c r="T32" s="43" t="str">
        <f aca="false">IF($A32="","",IF(R32="","",R32-IF(S32="",0,S32)))</f>
        <v/>
      </c>
      <c r="U32" s="43" t="str">
        <f aca="false">IF($A32="","",IF(I32="","",I32-SUM(J32:P32)))</f>
        <v/>
      </c>
      <c r="V32" s="6" t="s">
        <v>4379</v>
      </c>
      <c r="W32" s="9" t="s">
        <v>528</v>
      </c>
      <c r="X32" s="9" t="s">
        <v>4382</v>
      </c>
      <c r="AC32" s="9" t="s">
        <v>4369</v>
      </c>
      <c r="AD32" s="9" t="s">
        <v>4370</v>
      </c>
      <c r="AE32" s="9" t="s">
        <v>4371</v>
      </c>
    </row>
    <row r="33" customFormat="false" ht="15" hidden="false" customHeight="true" outlineLevel="0" collapsed="false">
      <c r="A33" s="6" t="s">
        <v>668</v>
      </c>
      <c r="B33" s="6" t="s">
        <v>412</v>
      </c>
      <c r="C33" s="6" t="s">
        <v>416</v>
      </c>
      <c r="D33" s="6" t="n">
        <v>6</v>
      </c>
      <c r="E33" s="9" t="s">
        <v>4381</v>
      </c>
      <c r="F33" s="42"/>
      <c r="G33" s="42"/>
      <c r="H33" s="42"/>
      <c r="I33" s="42"/>
      <c r="J33" s="42"/>
      <c r="K33" s="42"/>
      <c r="L33" s="42"/>
      <c r="M33" s="42"/>
      <c r="N33" s="42"/>
      <c r="O33" s="42"/>
      <c r="P33" s="42"/>
      <c r="Q33" s="43" t="str">
        <f aca="false">IF($A33="","",IF(OR(F33="",I33=""),"",F33-I33))</f>
        <v/>
      </c>
      <c r="R33" s="43" t="str">
        <f aca="false">IF($A33="","",IF(Q33="","",Q33+IF(O33="",0,O33)))</f>
        <v/>
      </c>
      <c r="S33" s="42"/>
      <c r="T33" s="43" t="str">
        <f aca="false">IF($A33="","",IF(R33="","",R33-IF(S33="",0,S33)))</f>
        <v/>
      </c>
      <c r="U33" s="43" t="str">
        <f aca="false">IF($A33="","",IF(I33="","",I33-SUM(J33:P33)))</f>
        <v/>
      </c>
      <c r="V33" s="6" t="s">
        <v>4379</v>
      </c>
      <c r="W33" s="9" t="s">
        <v>528</v>
      </c>
      <c r="X33" s="9" t="s">
        <v>4382</v>
      </c>
      <c r="AC33" s="9" t="s">
        <v>4369</v>
      </c>
      <c r="AD33" s="9" t="s">
        <v>4370</v>
      </c>
      <c r="AE33" s="9" t="s">
        <v>4371</v>
      </c>
    </row>
    <row r="34" customFormat="false" ht="15" hidden="false" customHeight="true" outlineLevel="0" collapsed="false">
      <c r="A34" s="6" t="s">
        <v>671</v>
      </c>
      <c r="B34" s="6" t="s">
        <v>412</v>
      </c>
      <c r="C34" s="6" t="s">
        <v>416</v>
      </c>
      <c r="D34" s="6" t="n">
        <v>6</v>
      </c>
      <c r="E34" s="9" t="s">
        <v>4366</v>
      </c>
      <c r="F34" s="35" t="n">
        <v>421097</v>
      </c>
      <c r="G34" s="42"/>
      <c r="H34" s="42"/>
      <c r="I34" s="42"/>
      <c r="J34" s="42"/>
      <c r="K34" s="42"/>
      <c r="L34" s="42"/>
      <c r="M34" s="42"/>
      <c r="N34" s="42"/>
      <c r="O34" s="42"/>
      <c r="P34" s="42"/>
      <c r="Q34" s="43" t="str">
        <f aca="false">IF($A34="","",IF(OR(F34="",I34=""),"",F34-I34))</f>
        <v/>
      </c>
      <c r="R34" s="43" t="str">
        <f aca="false">IF($A34="","",IF(Q34="","",Q34+IF(O34="",0,O34)))</f>
        <v/>
      </c>
      <c r="S34" s="42"/>
      <c r="T34" s="43" t="str">
        <f aca="false">IF($A34="","",IF(R34="","",R34-IF(S34="",0,S34)))</f>
        <v/>
      </c>
      <c r="U34" s="43" t="str">
        <f aca="false">IF($A34="","",IF(I34="","",I34-SUM(J34:P34)))</f>
        <v/>
      </c>
      <c r="V34" s="6" t="s">
        <v>4379</v>
      </c>
      <c r="W34" s="9" t="s">
        <v>528</v>
      </c>
      <c r="X34" s="9" t="s">
        <v>4380</v>
      </c>
      <c r="AC34" s="9" t="s">
        <v>4369</v>
      </c>
      <c r="AD34" s="9" t="s">
        <v>4370</v>
      </c>
      <c r="AE34" s="9" t="s">
        <v>4371</v>
      </c>
    </row>
    <row r="35" customFormat="false" ht="15" hidden="false" customHeight="true" outlineLevel="0" collapsed="false">
      <c r="A35" s="6" t="s">
        <v>674</v>
      </c>
      <c r="B35" s="6" t="s">
        <v>412</v>
      </c>
      <c r="C35" s="6" t="s">
        <v>416</v>
      </c>
      <c r="D35" s="6" t="n">
        <v>6</v>
      </c>
      <c r="E35" s="9" t="s">
        <v>4366</v>
      </c>
      <c r="F35" s="35" t="n">
        <v>369172</v>
      </c>
      <c r="G35" s="42"/>
      <c r="H35" s="42"/>
      <c r="I35" s="42"/>
      <c r="J35" s="42"/>
      <c r="K35" s="42"/>
      <c r="L35" s="42"/>
      <c r="M35" s="42"/>
      <c r="N35" s="42"/>
      <c r="O35" s="42"/>
      <c r="P35" s="42"/>
      <c r="Q35" s="43" t="str">
        <f aca="false">IF($A35="","",IF(OR(F35="",I35=""),"",F35-I35))</f>
        <v/>
      </c>
      <c r="R35" s="43" t="str">
        <f aca="false">IF($A35="","",IF(Q35="","",Q35+IF(O35="",0,O35)))</f>
        <v/>
      </c>
      <c r="S35" s="42"/>
      <c r="T35" s="43" t="str">
        <f aca="false">IF($A35="","",IF(R35="","",R35-IF(S35="",0,S35)))</f>
        <v/>
      </c>
      <c r="U35" s="43" t="str">
        <f aca="false">IF($A35="","",IF(I35="","",I35-SUM(J35:P35)))</f>
        <v/>
      </c>
      <c r="V35" s="6" t="s">
        <v>4379</v>
      </c>
      <c r="W35" s="9" t="s">
        <v>528</v>
      </c>
      <c r="X35" s="9" t="s">
        <v>4380</v>
      </c>
      <c r="AC35" s="9" t="s">
        <v>4369</v>
      </c>
      <c r="AD35" s="9" t="s">
        <v>4370</v>
      </c>
      <c r="AE35" s="9" t="s">
        <v>4371</v>
      </c>
    </row>
    <row r="36" customFormat="false" ht="15" hidden="false" customHeight="true" outlineLevel="0" collapsed="false">
      <c r="A36" s="6" t="s">
        <v>678</v>
      </c>
      <c r="B36" s="6" t="s">
        <v>412</v>
      </c>
      <c r="C36" s="6" t="s">
        <v>416</v>
      </c>
      <c r="D36" s="6" t="n">
        <v>6</v>
      </c>
      <c r="E36" s="9" t="s">
        <v>4381</v>
      </c>
      <c r="F36" s="42"/>
      <c r="G36" s="42"/>
      <c r="H36" s="42"/>
      <c r="I36" s="42"/>
      <c r="J36" s="42"/>
      <c r="K36" s="42"/>
      <c r="L36" s="42"/>
      <c r="M36" s="42"/>
      <c r="N36" s="42"/>
      <c r="O36" s="42"/>
      <c r="P36" s="42"/>
      <c r="Q36" s="43" t="str">
        <f aca="false">IF($A36="","",IF(OR(F36="",I36=""),"",F36-I36))</f>
        <v/>
      </c>
      <c r="R36" s="43" t="str">
        <f aca="false">IF($A36="","",IF(Q36="","",Q36+IF(O36="",0,O36)))</f>
        <v/>
      </c>
      <c r="S36" s="42"/>
      <c r="T36" s="43" t="str">
        <f aca="false">IF($A36="","",IF(R36="","",R36-IF(S36="",0,S36)))</f>
        <v/>
      </c>
      <c r="U36" s="43" t="str">
        <f aca="false">IF($A36="","",IF(I36="","",I36-SUM(J36:P36)))</f>
        <v/>
      </c>
      <c r="V36" s="6" t="s">
        <v>4379</v>
      </c>
      <c r="W36" s="9" t="s">
        <v>528</v>
      </c>
      <c r="X36" s="9" t="s">
        <v>4382</v>
      </c>
      <c r="AC36" s="9" t="s">
        <v>4369</v>
      </c>
      <c r="AD36" s="9" t="s">
        <v>4370</v>
      </c>
      <c r="AE36" s="9" t="s">
        <v>4371</v>
      </c>
    </row>
    <row r="37" customFormat="false" ht="15" hidden="false" customHeight="true" outlineLevel="0" collapsed="false">
      <c r="A37" s="6" t="s">
        <v>682</v>
      </c>
      <c r="B37" s="6" t="s">
        <v>412</v>
      </c>
      <c r="C37" s="6" t="s">
        <v>416</v>
      </c>
      <c r="D37" s="6" t="n">
        <v>6</v>
      </c>
      <c r="E37" s="9" t="s">
        <v>4381</v>
      </c>
      <c r="F37" s="42"/>
      <c r="G37" s="42"/>
      <c r="H37" s="42"/>
      <c r="I37" s="42"/>
      <c r="J37" s="42"/>
      <c r="K37" s="42"/>
      <c r="L37" s="42"/>
      <c r="M37" s="42"/>
      <c r="N37" s="42"/>
      <c r="O37" s="42"/>
      <c r="P37" s="42"/>
      <c r="Q37" s="43" t="str">
        <f aca="false">IF($A37="","",IF(OR(F37="",I37=""),"",F37-I37))</f>
        <v/>
      </c>
      <c r="R37" s="43" t="str">
        <f aca="false">IF($A37="","",IF(Q37="","",Q37+IF(O37="",0,O37)))</f>
        <v/>
      </c>
      <c r="S37" s="42"/>
      <c r="T37" s="43" t="str">
        <f aca="false">IF($A37="","",IF(R37="","",R37-IF(S37="",0,S37)))</f>
        <v/>
      </c>
      <c r="U37" s="43" t="str">
        <f aca="false">IF($A37="","",IF(I37="","",I37-SUM(J37:P37)))</f>
        <v/>
      </c>
      <c r="V37" s="6" t="s">
        <v>4379</v>
      </c>
      <c r="W37" s="9" t="s">
        <v>528</v>
      </c>
      <c r="X37" s="9" t="s">
        <v>4382</v>
      </c>
      <c r="AC37" s="9" t="s">
        <v>4369</v>
      </c>
      <c r="AD37" s="9" t="s">
        <v>4370</v>
      </c>
      <c r="AE37" s="9" t="s">
        <v>4371</v>
      </c>
    </row>
    <row r="38" customFormat="false" ht="15" hidden="false" customHeight="true" outlineLevel="0" collapsed="false">
      <c r="A38" s="6" t="s">
        <v>685</v>
      </c>
      <c r="B38" s="6" t="s">
        <v>412</v>
      </c>
      <c r="C38" s="6" t="s">
        <v>416</v>
      </c>
      <c r="D38" s="6" t="n">
        <v>6</v>
      </c>
      <c r="E38" s="9" t="s">
        <v>4366</v>
      </c>
      <c r="F38" s="35" t="n">
        <v>807893</v>
      </c>
      <c r="G38" s="42"/>
      <c r="H38" s="42"/>
      <c r="I38" s="42"/>
      <c r="J38" s="42"/>
      <c r="K38" s="42"/>
      <c r="L38" s="42"/>
      <c r="M38" s="42"/>
      <c r="N38" s="42"/>
      <c r="O38" s="42"/>
      <c r="P38" s="42"/>
      <c r="Q38" s="43" t="str">
        <f aca="false">IF($A38="","",IF(OR(F38="",I38=""),"",F38-I38))</f>
        <v/>
      </c>
      <c r="R38" s="43" t="str">
        <f aca="false">IF($A38="","",IF(Q38="","",Q38+IF(O38="",0,O38)))</f>
        <v/>
      </c>
      <c r="S38" s="42"/>
      <c r="T38" s="43" t="str">
        <f aca="false">IF($A38="","",IF(R38="","",R38-IF(S38="",0,S38)))</f>
        <v/>
      </c>
      <c r="U38" s="43" t="str">
        <f aca="false">IF($A38="","",IF(I38="","",I38-SUM(J38:P38)))</f>
        <v/>
      </c>
      <c r="V38" s="6" t="s">
        <v>4379</v>
      </c>
      <c r="W38" s="9" t="s">
        <v>528</v>
      </c>
      <c r="X38" s="9" t="s">
        <v>4380</v>
      </c>
      <c r="AC38" s="9" t="s">
        <v>4369</v>
      </c>
      <c r="AD38" s="9" t="s">
        <v>4370</v>
      </c>
      <c r="AE38" s="9" t="s">
        <v>4371</v>
      </c>
    </row>
    <row r="39" customFormat="false" ht="15" hidden="false" customHeight="true" outlineLevel="0" collapsed="false">
      <c r="A39" s="6" t="s">
        <v>689</v>
      </c>
      <c r="B39" s="6" t="s">
        <v>412</v>
      </c>
      <c r="C39" s="6" t="s">
        <v>416</v>
      </c>
      <c r="D39" s="6" t="n">
        <v>6</v>
      </c>
      <c r="E39" s="9" t="s">
        <v>4366</v>
      </c>
      <c r="F39" s="35" t="n">
        <v>217275</v>
      </c>
      <c r="G39" s="42"/>
      <c r="H39" s="42"/>
      <c r="I39" s="42"/>
      <c r="J39" s="42"/>
      <c r="K39" s="42"/>
      <c r="L39" s="42"/>
      <c r="M39" s="42"/>
      <c r="N39" s="42"/>
      <c r="O39" s="42"/>
      <c r="P39" s="42"/>
      <c r="Q39" s="43" t="str">
        <f aca="false">IF($A39="","",IF(OR(F39="",I39=""),"",F39-I39))</f>
        <v/>
      </c>
      <c r="R39" s="43" t="str">
        <f aca="false">IF($A39="","",IF(Q39="","",Q39+IF(O39="",0,O39)))</f>
        <v/>
      </c>
      <c r="S39" s="42"/>
      <c r="T39" s="43" t="str">
        <f aca="false">IF($A39="","",IF(R39="","",R39-IF(S39="",0,S39)))</f>
        <v/>
      </c>
      <c r="U39" s="43" t="str">
        <f aca="false">IF($A39="","",IF(I39="","",I39-SUM(J39:P39)))</f>
        <v/>
      </c>
      <c r="V39" s="6" t="s">
        <v>4379</v>
      </c>
      <c r="W39" s="9" t="s">
        <v>528</v>
      </c>
      <c r="X39" s="9" t="s">
        <v>4380</v>
      </c>
      <c r="AC39" s="9" t="s">
        <v>4369</v>
      </c>
      <c r="AD39" s="9" t="s">
        <v>4370</v>
      </c>
      <c r="AE39" s="9" t="s">
        <v>4371</v>
      </c>
    </row>
    <row r="40" customFormat="false" ht="15" hidden="false" customHeight="true" outlineLevel="0" collapsed="false">
      <c r="A40" s="6" t="s">
        <v>692</v>
      </c>
      <c r="B40" s="6" t="s">
        <v>412</v>
      </c>
      <c r="C40" s="6" t="s">
        <v>416</v>
      </c>
      <c r="D40" s="6" t="n">
        <v>6</v>
      </c>
      <c r="E40" s="9" t="s">
        <v>4366</v>
      </c>
      <c r="F40" s="35" t="n">
        <v>126752</v>
      </c>
      <c r="G40" s="42"/>
      <c r="H40" s="42"/>
      <c r="I40" s="42"/>
      <c r="J40" s="42"/>
      <c r="K40" s="42"/>
      <c r="L40" s="42"/>
      <c r="M40" s="42"/>
      <c r="N40" s="42"/>
      <c r="O40" s="42"/>
      <c r="P40" s="42"/>
      <c r="Q40" s="43" t="str">
        <f aca="false">IF($A40="","",IF(OR(F40="",I40=""),"",F40-I40))</f>
        <v/>
      </c>
      <c r="R40" s="43" t="str">
        <f aca="false">IF($A40="","",IF(Q40="","",Q40+IF(O40="",0,O40)))</f>
        <v/>
      </c>
      <c r="S40" s="42"/>
      <c r="T40" s="43" t="str">
        <f aca="false">IF($A40="","",IF(R40="","",R40-IF(S40="",0,S40)))</f>
        <v/>
      </c>
      <c r="U40" s="43" t="str">
        <f aca="false">IF($A40="","",IF(I40="","",I40-SUM(J40:P40)))</f>
        <v/>
      </c>
      <c r="V40" s="6" t="s">
        <v>4379</v>
      </c>
      <c r="W40" s="9" t="s">
        <v>528</v>
      </c>
      <c r="X40" s="9" t="s">
        <v>4380</v>
      </c>
      <c r="AC40" s="9" t="s">
        <v>4369</v>
      </c>
      <c r="AD40" s="9" t="s">
        <v>4370</v>
      </c>
      <c r="AE40" s="9" t="s">
        <v>4371</v>
      </c>
    </row>
    <row r="41" customFormat="false" ht="15" hidden="false" customHeight="true" outlineLevel="0" collapsed="false">
      <c r="A41" s="6" t="s">
        <v>695</v>
      </c>
      <c r="B41" s="6" t="s">
        <v>412</v>
      </c>
      <c r="C41" s="6" t="s">
        <v>416</v>
      </c>
      <c r="D41" s="6" t="n">
        <v>6</v>
      </c>
      <c r="E41" s="9" t="s">
        <v>4366</v>
      </c>
      <c r="F41" s="35" t="n">
        <v>318929</v>
      </c>
      <c r="G41" s="42"/>
      <c r="H41" s="42"/>
      <c r="I41" s="42"/>
      <c r="J41" s="42"/>
      <c r="K41" s="42"/>
      <c r="L41" s="42"/>
      <c r="M41" s="42"/>
      <c r="N41" s="42"/>
      <c r="O41" s="42"/>
      <c r="P41" s="42"/>
      <c r="Q41" s="43" t="str">
        <f aca="false">IF($A41="","",IF(OR(F41="",I41=""),"",F41-I41))</f>
        <v/>
      </c>
      <c r="R41" s="43" t="str">
        <f aca="false">IF($A41="","",IF(Q41="","",Q41+IF(O41="",0,O41)))</f>
        <v/>
      </c>
      <c r="S41" s="42"/>
      <c r="T41" s="43" t="str">
        <f aca="false">IF($A41="","",IF(R41="","",R41-IF(S41="",0,S41)))</f>
        <v/>
      </c>
      <c r="U41" s="43" t="str">
        <f aca="false">IF($A41="","",IF(I41="","",I41-SUM(J41:P41)))</f>
        <v/>
      </c>
      <c r="V41" s="6" t="s">
        <v>4379</v>
      </c>
      <c r="W41" s="9" t="s">
        <v>528</v>
      </c>
      <c r="X41" s="9" t="s">
        <v>4380</v>
      </c>
      <c r="AC41" s="9" t="s">
        <v>4369</v>
      </c>
      <c r="AD41" s="9" t="s">
        <v>4370</v>
      </c>
      <c r="AE41" s="9" t="s">
        <v>4371</v>
      </c>
    </row>
    <row r="42" customFormat="false" ht="15" hidden="false" customHeight="true" outlineLevel="0" collapsed="false">
      <c r="A42" s="6" t="s">
        <v>699</v>
      </c>
      <c r="B42" s="6" t="s">
        <v>412</v>
      </c>
      <c r="C42" s="6" t="s">
        <v>416</v>
      </c>
      <c r="D42" s="6" t="n">
        <v>6</v>
      </c>
      <c r="E42" s="9" t="s">
        <v>4366</v>
      </c>
      <c r="F42" s="35" t="n">
        <v>1282915</v>
      </c>
      <c r="G42" s="42"/>
      <c r="H42" s="42"/>
      <c r="I42" s="42"/>
      <c r="J42" s="42"/>
      <c r="K42" s="42"/>
      <c r="L42" s="42"/>
      <c r="M42" s="42"/>
      <c r="N42" s="42"/>
      <c r="O42" s="42"/>
      <c r="P42" s="42"/>
      <c r="Q42" s="43" t="str">
        <f aca="false">IF($A42="","",IF(OR(F42="",I42=""),"",F42-I42))</f>
        <v/>
      </c>
      <c r="R42" s="43" t="str">
        <f aca="false">IF($A42="","",IF(Q42="","",Q42+IF(O42="",0,O42)))</f>
        <v/>
      </c>
      <c r="S42" s="42"/>
      <c r="T42" s="43" t="str">
        <f aca="false">IF($A42="","",IF(R42="","",R42-IF(S42="",0,S42)))</f>
        <v/>
      </c>
      <c r="U42" s="43" t="str">
        <f aca="false">IF($A42="","",IF(I42="","",I42-SUM(J42:P42)))</f>
        <v/>
      </c>
      <c r="V42" s="6" t="s">
        <v>4379</v>
      </c>
      <c r="W42" s="9" t="s">
        <v>528</v>
      </c>
      <c r="X42" s="9" t="s">
        <v>4380</v>
      </c>
      <c r="AC42" s="9" t="s">
        <v>4369</v>
      </c>
      <c r="AD42" s="9" t="s">
        <v>4370</v>
      </c>
      <c r="AE42" s="9" t="s">
        <v>4371</v>
      </c>
    </row>
    <row r="43" customFormat="false" ht="15" hidden="false" customHeight="true" outlineLevel="0" collapsed="false">
      <c r="A43" s="6" t="s">
        <v>703</v>
      </c>
      <c r="B43" s="6" t="s">
        <v>412</v>
      </c>
      <c r="C43" s="6" t="s">
        <v>416</v>
      </c>
      <c r="D43" s="6" t="n">
        <v>6</v>
      </c>
      <c r="E43" s="9" t="s">
        <v>4366</v>
      </c>
      <c r="F43" s="35" t="n">
        <v>44345</v>
      </c>
      <c r="G43" s="42"/>
      <c r="H43" s="42"/>
      <c r="I43" s="42"/>
      <c r="J43" s="42"/>
      <c r="K43" s="42"/>
      <c r="L43" s="42"/>
      <c r="M43" s="42"/>
      <c r="N43" s="42"/>
      <c r="O43" s="42"/>
      <c r="P43" s="42"/>
      <c r="Q43" s="43" t="str">
        <f aca="false">IF($A43="","",IF(OR(F43="",I43=""),"",F43-I43))</f>
        <v/>
      </c>
      <c r="R43" s="43" t="str">
        <f aca="false">IF($A43="","",IF(Q43="","",Q43+IF(O43="",0,O43)))</f>
        <v/>
      </c>
      <c r="S43" s="42"/>
      <c r="T43" s="43" t="str">
        <f aca="false">IF($A43="","",IF(R43="","",R43-IF(S43="",0,S43)))</f>
        <v/>
      </c>
      <c r="U43" s="43" t="str">
        <f aca="false">IF($A43="","",IF(I43="","",I43-SUM(J43:P43)))</f>
        <v/>
      </c>
      <c r="V43" s="6" t="s">
        <v>4379</v>
      </c>
      <c r="W43" s="9" t="s">
        <v>528</v>
      </c>
      <c r="X43" s="9" t="s">
        <v>4380</v>
      </c>
      <c r="AC43" s="9" t="s">
        <v>4369</v>
      </c>
      <c r="AD43" s="9" t="s">
        <v>4370</v>
      </c>
      <c r="AE43" s="9" t="s">
        <v>4371</v>
      </c>
    </row>
    <row r="44" customFormat="false" ht="15" hidden="false" customHeight="true" outlineLevel="0" collapsed="false">
      <c r="A44" s="6" t="s">
        <v>706</v>
      </c>
      <c r="B44" s="6" t="s">
        <v>412</v>
      </c>
      <c r="C44" s="6" t="s">
        <v>416</v>
      </c>
      <c r="D44" s="6" t="n">
        <v>6</v>
      </c>
      <c r="E44" s="9" t="s">
        <v>4366</v>
      </c>
      <c r="F44" s="35" t="n">
        <v>60927</v>
      </c>
      <c r="G44" s="42"/>
      <c r="H44" s="42"/>
      <c r="I44" s="42"/>
      <c r="J44" s="42"/>
      <c r="K44" s="42"/>
      <c r="L44" s="42"/>
      <c r="M44" s="42"/>
      <c r="N44" s="42"/>
      <c r="O44" s="42"/>
      <c r="P44" s="42"/>
      <c r="Q44" s="43" t="str">
        <f aca="false">IF($A44="","",IF(OR(F44="",I44=""),"",F44-I44))</f>
        <v/>
      </c>
      <c r="R44" s="43" t="str">
        <f aca="false">IF($A44="","",IF(Q44="","",Q44+IF(O44="",0,O44)))</f>
        <v/>
      </c>
      <c r="S44" s="42"/>
      <c r="T44" s="43" t="str">
        <f aca="false">IF($A44="","",IF(R44="","",R44-IF(S44="",0,S44)))</f>
        <v/>
      </c>
      <c r="U44" s="43" t="str">
        <f aca="false">IF($A44="","",IF(I44="","",I44-SUM(J44:P44)))</f>
        <v/>
      </c>
      <c r="V44" s="6" t="s">
        <v>4379</v>
      </c>
      <c r="W44" s="9" t="s">
        <v>528</v>
      </c>
      <c r="X44" s="9" t="s">
        <v>4380</v>
      </c>
      <c r="AC44" s="9" t="s">
        <v>4369</v>
      </c>
      <c r="AD44" s="9" t="s">
        <v>4370</v>
      </c>
      <c r="AE44" s="9" t="s">
        <v>4371</v>
      </c>
    </row>
    <row r="45" customFormat="false" ht="15" hidden="false" customHeight="true" outlineLevel="0" collapsed="false">
      <c r="A45" s="6" t="s">
        <v>709</v>
      </c>
      <c r="B45" s="6" t="s">
        <v>412</v>
      </c>
      <c r="C45" s="6" t="s">
        <v>416</v>
      </c>
      <c r="D45" s="6" t="n">
        <v>6</v>
      </c>
      <c r="E45" s="9" t="s">
        <v>4381</v>
      </c>
      <c r="F45" s="42"/>
      <c r="G45" s="42"/>
      <c r="H45" s="42"/>
      <c r="I45" s="42"/>
      <c r="J45" s="42"/>
      <c r="K45" s="42"/>
      <c r="L45" s="42"/>
      <c r="M45" s="42"/>
      <c r="N45" s="42"/>
      <c r="O45" s="42"/>
      <c r="P45" s="42"/>
      <c r="Q45" s="43" t="str">
        <f aca="false">IF($A45="","",IF(OR(F45="",I45=""),"",F45-I45))</f>
        <v/>
      </c>
      <c r="R45" s="43" t="str">
        <f aca="false">IF($A45="","",IF(Q45="","",Q45+IF(O45="",0,O45)))</f>
        <v/>
      </c>
      <c r="S45" s="42"/>
      <c r="T45" s="43" t="str">
        <f aca="false">IF($A45="","",IF(R45="","",R45-IF(S45="",0,S45)))</f>
        <v/>
      </c>
      <c r="U45" s="43" t="str">
        <f aca="false">IF($A45="","",IF(I45="","",I45-SUM(J45:P45)))</f>
        <v/>
      </c>
      <c r="V45" s="6" t="s">
        <v>4379</v>
      </c>
      <c r="W45" s="9" t="s">
        <v>528</v>
      </c>
      <c r="X45" s="9" t="s">
        <v>4382</v>
      </c>
      <c r="AC45" s="9" t="s">
        <v>4369</v>
      </c>
      <c r="AD45" s="9" t="s">
        <v>4370</v>
      </c>
      <c r="AE45" s="9" t="s">
        <v>4371</v>
      </c>
    </row>
    <row r="46" customFormat="false" ht="15" hidden="false" customHeight="true" outlineLevel="0" collapsed="false">
      <c r="A46" s="6" t="s">
        <v>713</v>
      </c>
      <c r="B46" s="6" t="s">
        <v>412</v>
      </c>
      <c r="C46" s="6" t="s">
        <v>416</v>
      </c>
      <c r="D46" s="6" t="n">
        <v>6</v>
      </c>
      <c r="E46" s="9" t="s">
        <v>4366</v>
      </c>
      <c r="F46" s="35" t="n">
        <v>158392</v>
      </c>
      <c r="G46" s="42"/>
      <c r="H46" s="42"/>
      <c r="I46" s="42"/>
      <c r="J46" s="42"/>
      <c r="K46" s="42"/>
      <c r="L46" s="42"/>
      <c r="M46" s="42"/>
      <c r="N46" s="42"/>
      <c r="O46" s="42"/>
      <c r="P46" s="42"/>
      <c r="Q46" s="43" t="str">
        <f aca="false">IF($A46="","",IF(OR(F46="",I46=""),"",F46-I46))</f>
        <v/>
      </c>
      <c r="R46" s="43" t="str">
        <f aca="false">IF($A46="","",IF(Q46="","",Q46+IF(O46="",0,O46)))</f>
        <v/>
      </c>
      <c r="S46" s="42"/>
      <c r="T46" s="43" t="str">
        <f aca="false">IF($A46="","",IF(R46="","",R46-IF(S46="",0,S46)))</f>
        <v/>
      </c>
      <c r="U46" s="43" t="str">
        <f aca="false">IF($A46="","",IF(I46="","",I46-SUM(J46:P46)))</f>
        <v/>
      </c>
      <c r="V46" s="6" t="s">
        <v>4379</v>
      </c>
      <c r="W46" s="9" t="s">
        <v>528</v>
      </c>
      <c r="X46" s="9" t="s">
        <v>4380</v>
      </c>
      <c r="AC46" s="9" t="s">
        <v>4369</v>
      </c>
      <c r="AD46" s="9" t="s">
        <v>4370</v>
      </c>
      <c r="AE46" s="9" t="s">
        <v>4371</v>
      </c>
    </row>
    <row r="47" customFormat="false" ht="15" hidden="false" customHeight="true" outlineLevel="0" collapsed="false">
      <c r="A47" s="6" t="s">
        <v>718</v>
      </c>
      <c r="B47" s="6" t="s">
        <v>412</v>
      </c>
      <c r="C47" s="6" t="s">
        <v>416</v>
      </c>
      <c r="D47" s="6" t="n">
        <v>6</v>
      </c>
      <c r="E47" s="9" t="s">
        <v>4366</v>
      </c>
      <c r="F47" s="35" t="n">
        <v>447518</v>
      </c>
      <c r="G47" s="42"/>
      <c r="H47" s="42"/>
      <c r="I47" s="42"/>
      <c r="J47" s="42"/>
      <c r="K47" s="42"/>
      <c r="L47" s="42"/>
      <c r="M47" s="42"/>
      <c r="N47" s="42"/>
      <c r="O47" s="42"/>
      <c r="P47" s="42"/>
      <c r="Q47" s="43" t="str">
        <f aca="false">IF($A47="","",IF(OR(F47="",I47=""),"",F47-I47))</f>
        <v/>
      </c>
      <c r="R47" s="43" t="str">
        <f aca="false">IF($A47="","",IF(Q47="","",Q47+IF(O47="",0,O47)))</f>
        <v/>
      </c>
      <c r="S47" s="42"/>
      <c r="T47" s="43" t="str">
        <f aca="false">IF($A47="","",IF(R47="","",R47-IF(S47="",0,S47)))</f>
        <v/>
      </c>
      <c r="U47" s="43" t="str">
        <f aca="false">IF($A47="","",IF(I47="","",I47-SUM(J47:P47)))</f>
        <v/>
      </c>
      <c r="V47" s="6" t="s">
        <v>4379</v>
      </c>
      <c r="W47" s="9" t="s">
        <v>528</v>
      </c>
      <c r="X47" s="9" t="s">
        <v>4380</v>
      </c>
      <c r="AC47" s="9" t="s">
        <v>4369</v>
      </c>
      <c r="AD47" s="9" t="s">
        <v>4370</v>
      </c>
      <c r="AE47" s="9" t="s">
        <v>4371</v>
      </c>
    </row>
    <row r="48" customFormat="false" ht="15" hidden="false" customHeight="true" outlineLevel="0" collapsed="false">
      <c r="A48" s="6" t="s">
        <v>722</v>
      </c>
      <c r="B48" s="6" t="s">
        <v>412</v>
      </c>
      <c r="C48" s="6" t="s">
        <v>416</v>
      </c>
      <c r="D48" s="6" t="n">
        <v>6</v>
      </c>
      <c r="E48" s="9" t="s">
        <v>4366</v>
      </c>
      <c r="F48" s="35" t="n">
        <v>191618</v>
      </c>
      <c r="G48" s="42"/>
      <c r="H48" s="42"/>
      <c r="I48" s="42"/>
      <c r="J48" s="42"/>
      <c r="K48" s="42"/>
      <c r="L48" s="42"/>
      <c r="M48" s="42"/>
      <c r="N48" s="42"/>
      <c r="O48" s="42"/>
      <c r="P48" s="42"/>
      <c r="Q48" s="43" t="str">
        <f aca="false">IF($A48="","",IF(OR(F48="",I48=""),"",F48-I48))</f>
        <v/>
      </c>
      <c r="R48" s="43" t="str">
        <f aca="false">IF($A48="","",IF(Q48="","",Q48+IF(O48="",0,O48)))</f>
        <v/>
      </c>
      <c r="S48" s="42"/>
      <c r="T48" s="43" t="str">
        <f aca="false">IF($A48="","",IF(R48="","",R48-IF(S48="",0,S48)))</f>
        <v/>
      </c>
      <c r="U48" s="43" t="str">
        <f aca="false">IF($A48="","",IF(I48="","",I48-SUM(J48:P48)))</f>
        <v/>
      </c>
      <c r="V48" s="6" t="s">
        <v>4379</v>
      </c>
      <c r="W48" s="9" t="s">
        <v>528</v>
      </c>
      <c r="X48" s="9" t="s">
        <v>4380</v>
      </c>
      <c r="AC48" s="9" t="s">
        <v>4369</v>
      </c>
      <c r="AD48" s="9" t="s">
        <v>4370</v>
      </c>
      <c r="AE48" s="9" t="s">
        <v>4371</v>
      </c>
    </row>
    <row r="49" customFormat="false" ht="15" hidden="false" customHeight="true" outlineLevel="0" collapsed="false">
      <c r="A49" s="6" t="s">
        <v>727</v>
      </c>
      <c r="B49" s="6" t="s">
        <v>412</v>
      </c>
      <c r="C49" s="6" t="s">
        <v>416</v>
      </c>
      <c r="D49" s="6" t="n">
        <v>6</v>
      </c>
      <c r="E49" s="9" t="s">
        <v>4366</v>
      </c>
      <c r="F49" s="35" t="n">
        <v>197079</v>
      </c>
      <c r="G49" s="42"/>
      <c r="H49" s="42"/>
      <c r="I49" s="42"/>
      <c r="J49" s="42"/>
      <c r="K49" s="42"/>
      <c r="L49" s="42"/>
      <c r="M49" s="42"/>
      <c r="N49" s="42"/>
      <c r="O49" s="42"/>
      <c r="P49" s="42"/>
      <c r="Q49" s="43" t="str">
        <f aca="false">IF($A49="","",IF(OR(F49="",I49=""),"",F49-I49))</f>
        <v/>
      </c>
      <c r="R49" s="43" t="str">
        <f aca="false">IF($A49="","",IF(Q49="","",Q49+IF(O49="",0,O49)))</f>
        <v/>
      </c>
      <c r="S49" s="42"/>
      <c r="T49" s="43" t="str">
        <f aca="false">IF($A49="","",IF(R49="","",R49-IF(S49="",0,S49)))</f>
        <v/>
      </c>
      <c r="U49" s="43" t="str">
        <f aca="false">IF($A49="","",IF(I49="","",I49-SUM(J49:P49)))</f>
        <v/>
      </c>
      <c r="V49" s="6" t="s">
        <v>4379</v>
      </c>
      <c r="W49" s="9" t="s">
        <v>528</v>
      </c>
      <c r="X49" s="9" t="s">
        <v>4380</v>
      </c>
      <c r="AC49" s="9" t="s">
        <v>4369</v>
      </c>
      <c r="AD49" s="9" t="s">
        <v>4370</v>
      </c>
      <c r="AE49" s="9" t="s">
        <v>4371</v>
      </c>
    </row>
    <row r="50" customFormat="false" ht="15" hidden="false" customHeight="true" outlineLevel="0" collapsed="false">
      <c r="A50" s="6" t="s">
        <v>730</v>
      </c>
      <c r="B50" s="6" t="s">
        <v>412</v>
      </c>
      <c r="C50" s="6" t="s">
        <v>416</v>
      </c>
      <c r="D50" s="6" t="n">
        <v>6</v>
      </c>
      <c r="E50" s="9" t="s">
        <v>4366</v>
      </c>
      <c r="F50" s="35" t="n">
        <v>95449</v>
      </c>
      <c r="G50" s="42"/>
      <c r="H50" s="42"/>
      <c r="I50" s="42"/>
      <c r="J50" s="42"/>
      <c r="K50" s="42"/>
      <c r="L50" s="42"/>
      <c r="M50" s="42"/>
      <c r="N50" s="42"/>
      <c r="O50" s="42"/>
      <c r="P50" s="42"/>
      <c r="Q50" s="43" t="str">
        <f aca="false">IF($A50="","",IF(OR(F50="",I50=""),"",F50-I50))</f>
        <v/>
      </c>
      <c r="R50" s="43" t="str">
        <f aca="false">IF($A50="","",IF(Q50="","",Q50+IF(O50="",0,O50)))</f>
        <v/>
      </c>
      <c r="S50" s="42"/>
      <c r="T50" s="43" t="str">
        <f aca="false">IF($A50="","",IF(R50="","",R50-IF(S50="",0,S50)))</f>
        <v/>
      </c>
      <c r="U50" s="43" t="str">
        <f aca="false">IF($A50="","",IF(I50="","",I50-SUM(J50:P50)))</f>
        <v/>
      </c>
      <c r="V50" s="6" t="s">
        <v>4379</v>
      </c>
      <c r="W50" s="9" t="s">
        <v>528</v>
      </c>
      <c r="X50" s="9" t="s">
        <v>4380</v>
      </c>
      <c r="AC50" s="9" t="s">
        <v>4369</v>
      </c>
      <c r="AD50" s="9" t="s">
        <v>4370</v>
      </c>
      <c r="AE50" s="9" t="s">
        <v>4371</v>
      </c>
    </row>
    <row r="51" customFormat="false" ht="15" hidden="false" customHeight="true" outlineLevel="0" collapsed="false">
      <c r="A51" s="6" t="s">
        <v>736</v>
      </c>
      <c r="B51" s="6" t="s">
        <v>412</v>
      </c>
      <c r="C51" s="6" t="s">
        <v>416</v>
      </c>
      <c r="D51" s="6" t="n">
        <v>6</v>
      </c>
      <c r="E51" s="9" t="s">
        <v>4366</v>
      </c>
      <c r="F51" s="35" t="n">
        <v>156859</v>
      </c>
      <c r="G51" s="42"/>
      <c r="H51" s="42"/>
      <c r="I51" s="42"/>
      <c r="J51" s="42"/>
      <c r="K51" s="42"/>
      <c r="L51" s="42"/>
      <c r="M51" s="42"/>
      <c r="N51" s="42"/>
      <c r="O51" s="42"/>
      <c r="P51" s="42"/>
      <c r="Q51" s="43" t="str">
        <f aca="false">IF($A51="","",IF(OR(F51="",I51=""),"",F51-I51))</f>
        <v/>
      </c>
      <c r="R51" s="43" t="str">
        <f aca="false">IF($A51="","",IF(Q51="","",Q51+IF(O51="",0,O51)))</f>
        <v/>
      </c>
      <c r="S51" s="42"/>
      <c r="T51" s="43" t="str">
        <f aca="false">IF($A51="","",IF(R51="","",R51-IF(S51="",0,S51)))</f>
        <v/>
      </c>
      <c r="U51" s="43" t="str">
        <f aca="false">IF($A51="","",IF(I51="","",I51-SUM(J51:P51)))</f>
        <v/>
      </c>
      <c r="V51" s="6" t="s">
        <v>4379</v>
      </c>
      <c r="W51" s="9" t="s">
        <v>528</v>
      </c>
      <c r="X51" s="9" t="s">
        <v>4380</v>
      </c>
      <c r="AC51" s="9" t="s">
        <v>4369</v>
      </c>
      <c r="AD51" s="9" t="s">
        <v>4370</v>
      </c>
      <c r="AE51" s="9" t="s">
        <v>4371</v>
      </c>
    </row>
    <row r="52" customFormat="false" ht="15" hidden="false" customHeight="true" outlineLevel="0" collapsed="false">
      <c r="A52" s="6" t="s">
        <v>739</v>
      </c>
      <c r="B52" s="6" t="s">
        <v>412</v>
      </c>
      <c r="C52" s="6" t="s">
        <v>416</v>
      </c>
      <c r="D52" s="6" t="n">
        <v>6</v>
      </c>
      <c r="E52" s="9" t="s">
        <v>4366</v>
      </c>
      <c r="F52" s="35" t="n">
        <v>178437</v>
      </c>
      <c r="G52" s="42"/>
      <c r="H52" s="42"/>
      <c r="I52" s="42"/>
      <c r="J52" s="42"/>
      <c r="K52" s="42"/>
      <c r="L52" s="42"/>
      <c r="M52" s="42"/>
      <c r="N52" s="42"/>
      <c r="O52" s="42"/>
      <c r="P52" s="42"/>
      <c r="Q52" s="43" t="str">
        <f aca="false">IF($A52="","",IF(OR(F52="",I52=""),"",F52-I52))</f>
        <v/>
      </c>
      <c r="R52" s="43" t="str">
        <f aca="false">IF($A52="","",IF(Q52="","",Q52+IF(O52="",0,O52)))</f>
        <v/>
      </c>
      <c r="S52" s="42"/>
      <c r="T52" s="43" t="str">
        <f aca="false">IF($A52="","",IF(R52="","",R52-IF(S52="",0,S52)))</f>
        <v/>
      </c>
      <c r="U52" s="43" t="str">
        <f aca="false">IF($A52="","",IF(I52="","",I52-SUM(J52:P52)))</f>
        <v/>
      </c>
      <c r="V52" s="6" t="s">
        <v>4379</v>
      </c>
      <c r="W52" s="9" t="s">
        <v>528</v>
      </c>
      <c r="X52" s="9" t="s">
        <v>4380</v>
      </c>
      <c r="AC52" s="9" t="s">
        <v>4369</v>
      </c>
      <c r="AD52" s="9" t="s">
        <v>4370</v>
      </c>
      <c r="AE52" s="9" t="s">
        <v>4371</v>
      </c>
    </row>
    <row r="53" customFormat="false" ht="15" hidden="false" customHeight="true" outlineLevel="0" collapsed="false">
      <c r="A53" s="6" t="s">
        <v>742</v>
      </c>
      <c r="B53" s="6" t="s">
        <v>412</v>
      </c>
      <c r="C53" s="6" t="s">
        <v>416</v>
      </c>
      <c r="D53" s="6" t="n">
        <v>6</v>
      </c>
      <c r="E53" s="9" t="s">
        <v>4366</v>
      </c>
      <c r="F53" s="35" t="n">
        <v>36582</v>
      </c>
      <c r="G53" s="42"/>
      <c r="H53" s="42"/>
      <c r="I53" s="42"/>
      <c r="J53" s="42"/>
      <c r="K53" s="42"/>
      <c r="L53" s="42"/>
      <c r="M53" s="42"/>
      <c r="N53" s="42"/>
      <c r="O53" s="42"/>
      <c r="P53" s="42"/>
      <c r="Q53" s="43" t="str">
        <f aca="false">IF($A53="","",IF(OR(F53="",I53=""),"",F53-I53))</f>
        <v/>
      </c>
      <c r="R53" s="43" t="str">
        <f aca="false">IF($A53="","",IF(Q53="","",Q53+IF(O53="",0,O53)))</f>
        <v/>
      </c>
      <c r="S53" s="42"/>
      <c r="T53" s="43" t="str">
        <f aca="false">IF($A53="","",IF(R53="","",R53-IF(S53="",0,S53)))</f>
        <v/>
      </c>
      <c r="U53" s="43" t="str">
        <f aca="false">IF($A53="","",IF(I53="","",I53-SUM(J53:P53)))</f>
        <v/>
      </c>
      <c r="V53" s="6" t="s">
        <v>4379</v>
      </c>
      <c r="W53" s="9" t="s">
        <v>528</v>
      </c>
      <c r="X53" s="6" t="s">
        <v>4383</v>
      </c>
      <c r="AC53" s="9" t="s">
        <v>4369</v>
      </c>
      <c r="AD53" s="9" t="s">
        <v>4370</v>
      </c>
      <c r="AE53" s="9" t="s">
        <v>4371</v>
      </c>
    </row>
    <row r="54" customFormat="false" ht="15" hidden="false" customHeight="true" outlineLevel="0" collapsed="false">
      <c r="A54" s="6" t="s">
        <v>745</v>
      </c>
      <c r="B54" s="6" t="s">
        <v>412</v>
      </c>
      <c r="C54" s="6" t="s">
        <v>416</v>
      </c>
      <c r="D54" s="6" t="n">
        <v>6</v>
      </c>
      <c r="E54" s="9" t="s">
        <v>4376</v>
      </c>
      <c r="F54" s="35" t="n">
        <v>11115458</v>
      </c>
      <c r="G54" s="35" t="n">
        <v>9796629</v>
      </c>
      <c r="H54" s="35" t="n">
        <v>1318829</v>
      </c>
      <c r="I54" s="35" t="n">
        <v>5799809</v>
      </c>
      <c r="J54" s="35" t="n">
        <v>1579242</v>
      </c>
      <c r="K54" s="35" t="n">
        <v>1104826</v>
      </c>
      <c r="L54" s="35" t="n">
        <v>1009732</v>
      </c>
      <c r="M54" s="35" t="n">
        <v>25125</v>
      </c>
      <c r="N54" s="35" t="n">
        <v>165179</v>
      </c>
      <c r="O54" s="35" t="n">
        <v>1789009</v>
      </c>
      <c r="P54" s="35" t="n">
        <v>126692</v>
      </c>
      <c r="Q54" s="43" t="n">
        <f aca="false">IF($A54="","",IF(OR(F54="",I54=""),"",F54-I54))</f>
        <v>5315649</v>
      </c>
      <c r="R54" s="43" t="n">
        <f aca="false">IF($A54="","",IF(Q54="","",Q54+IF(O54="",0,O54)))</f>
        <v>7104658</v>
      </c>
      <c r="S54" s="35" t="n">
        <v>1559000</v>
      </c>
      <c r="T54" s="43" t="n">
        <f aca="false">IF($A54="","",IF(R54="","",R54-IF(S54="",0,S54)))</f>
        <v>5545658</v>
      </c>
      <c r="U54" s="43" t="n">
        <f aca="false">IF($A54="","",IF(I54="","",I54-SUM(J54:P54)))</f>
        <v>4</v>
      </c>
      <c r="V54" s="6" t="s">
        <v>4384</v>
      </c>
      <c r="W54" s="9" t="s">
        <v>528</v>
      </c>
      <c r="X54" s="6" t="s">
        <v>4385</v>
      </c>
      <c r="AC54" s="9" t="s">
        <v>4369</v>
      </c>
      <c r="AD54" s="9" t="s">
        <v>4370</v>
      </c>
      <c r="AE54" s="9" t="s">
        <v>4371</v>
      </c>
    </row>
    <row r="55" customFormat="false" ht="15" hidden="false" customHeight="true" outlineLevel="0" collapsed="false">
      <c r="A55" s="6" t="s">
        <v>749</v>
      </c>
      <c r="B55" s="6" t="s">
        <v>396</v>
      </c>
      <c r="C55" s="6" t="s">
        <v>401</v>
      </c>
      <c r="D55" s="6" t="n">
        <v>6</v>
      </c>
      <c r="E55" s="9" t="s">
        <v>4366</v>
      </c>
      <c r="F55" s="35" t="n">
        <v>450251</v>
      </c>
      <c r="G55" s="42"/>
      <c r="H55" s="42"/>
      <c r="I55" s="42"/>
      <c r="J55" s="42"/>
      <c r="K55" s="42"/>
      <c r="L55" s="42"/>
      <c r="M55" s="42"/>
      <c r="N55" s="42"/>
      <c r="O55" s="42"/>
      <c r="P55" s="42"/>
      <c r="Q55" s="43" t="str">
        <f aca="false">IF($A55="","",IF(OR(F55="",I55=""),"",F55-I55))</f>
        <v/>
      </c>
      <c r="R55" s="43" t="str">
        <f aca="false">IF($A55="","",IF(Q55="","",Q55+IF(O55="",0,O55)))</f>
        <v/>
      </c>
      <c r="S55" s="42"/>
      <c r="T55" s="43" t="str">
        <f aca="false">IF($A55="","",IF(R55="","",R55-IF(S55="",0,S55)))</f>
        <v/>
      </c>
      <c r="U55" s="43" t="str">
        <f aca="false">IF($A55="","",IF(I55="","",I55-SUM(J55:P55)))</f>
        <v/>
      </c>
      <c r="V55" s="6" t="s">
        <v>4386</v>
      </c>
      <c r="W55" s="9" t="s">
        <v>528</v>
      </c>
      <c r="X55" s="9" t="s">
        <v>4387</v>
      </c>
      <c r="AC55" s="9" t="s">
        <v>4369</v>
      </c>
      <c r="AD55" s="9" t="s">
        <v>4370</v>
      </c>
      <c r="AE55" s="9" t="s">
        <v>4371</v>
      </c>
    </row>
    <row r="56" customFormat="false" ht="15" hidden="false" customHeight="true" outlineLevel="0" collapsed="false">
      <c r="A56" s="6" t="s">
        <v>753</v>
      </c>
      <c r="B56" s="6" t="s">
        <v>396</v>
      </c>
      <c r="C56" s="6" t="s">
        <v>401</v>
      </c>
      <c r="D56" s="6" t="n">
        <v>6</v>
      </c>
      <c r="E56" s="9" t="s">
        <v>4366</v>
      </c>
      <c r="F56" s="35" t="n">
        <v>96425</v>
      </c>
      <c r="G56" s="42"/>
      <c r="H56" s="42"/>
      <c r="I56" s="42"/>
      <c r="J56" s="42"/>
      <c r="K56" s="42"/>
      <c r="L56" s="42"/>
      <c r="M56" s="42"/>
      <c r="N56" s="42"/>
      <c r="O56" s="42"/>
      <c r="P56" s="42"/>
      <c r="Q56" s="43" t="str">
        <f aca="false">IF($A56="","",IF(OR(F56="",I56=""),"",F56-I56))</f>
        <v/>
      </c>
      <c r="R56" s="43" t="str">
        <f aca="false">IF($A56="","",IF(Q56="","",Q56+IF(O56="",0,O56)))</f>
        <v/>
      </c>
      <c r="S56" s="42"/>
      <c r="T56" s="43" t="str">
        <f aca="false">IF($A56="","",IF(R56="","",R56-IF(S56="",0,S56)))</f>
        <v/>
      </c>
      <c r="U56" s="43" t="str">
        <f aca="false">IF($A56="","",IF(I56="","",I56-SUM(J56:P56)))</f>
        <v/>
      </c>
      <c r="V56" s="6" t="s">
        <v>4386</v>
      </c>
      <c r="W56" s="9" t="s">
        <v>528</v>
      </c>
      <c r="X56" s="9" t="s">
        <v>4387</v>
      </c>
      <c r="AC56" s="9" t="s">
        <v>4369</v>
      </c>
      <c r="AD56" s="9" t="s">
        <v>4370</v>
      </c>
      <c r="AE56" s="9" t="s">
        <v>4371</v>
      </c>
    </row>
    <row r="57" customFormat="false" ht="15" hidden="false" customHeight="true" outlineLevel="0" collapsed="false">
      <c r="A57" s="6" t="s">
        <v>755</v>
      </c>
      <c r="B57" s="6" t="s">
        <v>396</v>
      </c>
      <c r="C57" s="6" t="s">
        <v>401</v>
      </c>
      <c r="D57" s="6" t="n">
        <v>6</v>
      </c>
      <c r="E57" s="9" t="s">
        <v>4366</v>
      </c>
      <c r="F57" s="35" t="n">
        <v>281619</v>
      </c>
      <c r="G57" s="42"/>
      <c r="H57" s="42"/>
      <c r="I57" s="42"/>
      <c r="J57" s="42"/>
      <c r="K57" s="42"/>
      <c r="L57" s="42"/>
      <c r="M57" s="42"/>
      <c r="N57" s="42"/>
      <c r="O57" s="42"/>
      <c r="P57" s="42"/>
      <c r="Q57" s="43" t="str">
        <f aca="false">IF($A57="","",IF(OR(F57="",I57=""),"",F57-I57))</f>
        <v/>
      </c>
      <c r="R57" s="43" t="str">
        <f aca="false">IF($A57="","",IF(Q57="","",Q57+IF(O57="",0,O57)))</f>
        <v/>
      </c>
      <c r="S57" s="42"/>
      <c r="T57" s="43" t="str">
        <f aca="false">IF($A57="","",IF(R57="","",R57-IF(S57="",0,S57)))</f>
        <v/>
      </c>
      <c r="U57" s="43" t="str">
        <f aca="false">IF($A57="","",IF(I57="","",I57-SUM(J57:P57)))</f>
        <v/>
      </c>
      <c r="V57" s="6" t="s">
        <v>4386</v>
      </c>
      <c r="W57" s="9" t="s">
        <v>528</v>
      </c>
      <c r="X57" s="9" t="s">
        <v>4387</v>
      </c>
      <c r="AC57" s="9" t="s">
        <v>4369</v>
      </c>
      <c r="AD57" s="9" t="s">
        <v>4370</v>
      </c>
      <c r="AE57" s="9" t="s">
        <v>4371</v>
      </c>
    </row>
    <row r="58" customFormat="false" ht="15" hidden="false" customHeight="true" outlineLevel="0" collapsed="false">
      <c r="A58" s="6" t="s">
        <v>758</v>
      </c>
      <c r="B58" s="6" t="s">
        <v>396</v>
      </c>
      <c r="C58" s="6" t="s">
        <v>401</v>
      </c>
      <c r="D58" s="6" t="n">
        <v>6</v>
      </c>
      <c r="E58" s="9" t="s">
        <v>4381</v>
      </c>
      <c r="F58" s="42"/>
      <c r="G58" s="42"/>
      <c r="H58" s="42"/>
      <c r="I58" s="42"/>
      <c r="J58" s="42"/>
      <c r="K58" s="42"/>
      <c r="L58" s="42"/>
      <c r="M58" s="42"/>
      <c r="N58" s="42"/>
      <c r="O58" s="42"/>
      <c r="P58" s="42"/>
      <c r="Q58" s="43" t="str">
        <f aca="false">IF($A58="","",IF(OR(F58="",I58=""),"",F58-I58))</f>
        <v/>
      </c>
      <c r="R58" s="43" t="str">
        <f aca="false">IF($A58="","",IF(Q58="","",Q58+IF(O58="",0,O58)))</f>
        <v/>
      </c>
      <c r="S58" s="42"/>
      <c r="T58" s="43" t="str">
        <f aca="false">IF($A58="","",IF(R58="","",R58-IF(S58="",0,S58)))</f>
        <v/>
      </c>
      <c r="U58" s="43" t="str">
        <f aca="false">IF($A58="","",IF(I58="","",I58-SUM(J58:P58)))</f>
        <v/>
      </c>
      <c r="V58" s="6" t="s">
        <v>4386</v>
      </c>
      <c r="W58" s="9" t="s">
        <v>528</v>
      </c>
      <c r="X58" s="9" t="s">
        <v>4388</v>
      </c>
      <c r="AC58" s="6" t="s">
        <v>4373</v>
      </c>
      <c r="AD58" s="9" t="s">
        <v>4389</v>
      </c>
      <c r="AE58" s="9" t="s">
        <v>4371</v>
      </c>
    </row>
    <row r="59" customFormat="false" ht="15" hidden="false" customHeight="true" outlineLevel="0" collapsed="false">
      <c r="A59" s="6" t="s">
        <v>761</v>
      </c>
      <c r="B59" s="6" t="s">
        <v>396</v>
      </c>
      <c r="C59" s="6" t="s">
        <v>401</v>
      </c>
      <c r="D59" s="6" t="n">
        <v>6</v>
      </c>
      <c r="E59" s="9" t="s">
        <v>4366</v>
      </c>
      <c r="F59" s="35" t="n">
        <v>136850</v>
      </c>
      <c r="G59" s="42"/>
      <c r="H59" s="42"/>
      <c r="I59" s="42"/>
      <c r="J59" s="42"/>
      <c r="K59" s="42"/>
      <c r="L59" s="42"/>
      <c r="M59" s="42"/>
      <c r="N59" s="42"/>
      <c r="O59" s="42"/>
      <c r="P59" s="42"/>
      <c r="Q59" s="43" t="str">
        <f aca="false">IF($A59="","",IF(OR(F59="",I59=""),"",F59-I59))</f>
        <v/>
      </c>
      <c r="R59" s="43" t="str">
        <f aca="false">IF($A59="","",IF(Q59="","",Q59+IF(O59="",0,O59)))</f>
        <v/>
      </c>
      <c r="S59" s="42"/>
      <c r="T59" s="43" t="str">
        <f aca="false">IF($A59="","",IF(R59="","",R59-IF(S59="",0,S59)))</f>
        <v/>
      </c>
      <c r="U59" s="43" t="str">
        <f aca="false">IF($A59="","",IF(I59="","",I59-SUM(J59:P59)))</f>
        <v/>
      </c>
      <c r="V59" s="6" t="s">
        <v>4386</v>
      </c>
      <c r="W59" s="9" t="s">
        <v>528</v>
      </c>
      <c r="X59" s="9" t="s">
        <v>4387</v>
      </c>
      <c r="AC59" s="9" t="s">
        <v>4369</v>
      </c>
      <c r="AD59" s="9" t="s">
        <v>4370</v>
      </c>
      <c r="AE59" s="9" t="s">
        <v>4371</v>
      </c>
    </row>
    <row r="60" customFormat="false" ht="15" hidden="false" customHeight="true" outlineLevel="0" collapsed="false">
      <c r="A60" s="6" t="s">
        <v>764</v>
      </c>
      <c r="B60" s="6" t="s">
        <v>396</v>
      </c>
      <c r="C60" s="6" t="s">
        <v>401</v>
      </c>
      <c r="D60" s="6" t="n">
        <v>6</v>
      </c>
      <c r="E60" s="9" t="s">
        <v>4366</v>
      </c>
      <c r="F60" s="35" t="n">
        <v>76886</v>
      </c>
      <c r="G60" s="42"/>
      <c r="H60" s="42"/>
      <c r="I60" s="42"/>
      <c r="J60" s="42"/>
      <c r="K60" s="42"/>
      <c r="L60" s="42"/>
      <c r="M60" s="42"/>
      <c r="N60" s="42"/>
      <c r="O60" s="42"/>
      <c r="P60" s="42"/>
      <c r="Q60" s="43" t="str">
        <f aca="false">IF($A60="","",IF(OR(F60="",I60=""),"",F60-I60))</f>
        <v/>
      </c>
      <c r="R60" s="43" t="str">
        <f aca="false">IF($A60="","",IF(Q60="","",Q60+IF(O60="",0,O60)))</f>
        <v/>
      </c>
      <c r="S60" s="42"/>
      <c r="T60" s="43" t="str">
        <f aca="false">IF($A60="","",IF(R60="","",R60-IF(S60="",0,S60)))</f>
        <v/>
      </c>
      <c r="U60" s="43" t="str">
        <f aca="false">IF($A60="","",IF(I60="","",I60-SUM(J60:P60)))</f>
        <v/>
      </c>
      <c r="V60" s="6" t="s">
        <v>4386</v>
      </c>
      <c r="W60" s="9" t="s">
        <v>528</v>
      </c>
      <c r="X60" s="9" t="s">
        <v>4387</v>
      </c>
      <c r="AC60" s="9" t="s">
        <v>4369</v>
      </c>
      <c r="AD60" s="9" t="s">
        <v>4370</v>
      </c>
      <c r="AE60" s="9" t="s">
        <v>4371</v>
      </c>
    </row>
    <row r="61" customFormat="false" ht="15" hidden="false" customHeight="true" outlineLevel="0" collapsed="false">
      <c r="A61" s="6" t="s">
        <v>767</v>
      </c>
      <c r="B61" s="6" t="s">
        <v>396</v>
      </c>
      <c r="C61" s="6" t="s">
        <v>401</v>
      </c>
      <c r="D61" s="6" t="n">
        <v>6</v>
      </c>
      <c r="E61" s="9" t="s">
        <v>4366</v>
      </c>
      <c r="F61" s="35" t="n">
        <v>105128</v>
      </c>
      <c r="G61" s="42"/>
      <c r="H61" s="42"/>
      <c r="I61" s="42"/>
      <c r="J61" s="42"/>
      <c r="K61" s="42"/>
      <c r="L61" s="42"/>
      <c r="M61" s="42"/>
      <c r="N61" s="42"/>
      <c r="O61" s="42"/>
      <c r="P61" s="42"/>
      <c r="Q61" s="43" t="str">
        <f aca="false">IF($A61="","",IF(OR(F61="",I61=""),"",F61-I61))</f>
        <v/>
      </c>
      <c r="R61" s="43" t="str">
        <f aca="false">IF($A61="","",IF(Q61="","",Q61+IF(O61="",0,O61)))</f>
        <v/>
      </c>
      <c r="S61" s="42"/>
      <c r="T61" s="43" t="str">
        <f aca="false">IF($A61="","",IF(R61="","",R61-IF(S61="",0,S61)))</f>
        <v/>
      </c>
      <c r="U61" s="43" t="str">
        <f aca="false">IF($A61="","",IF(I61="","",I61-SUM(J61:P61)))</f>
        <v/>
      </c>
      <c r="V61" s="6" t="s">
        <v>4386</v>
      </c>
      <c r="W61" s="9" t="s">
        <v>528</v>
      </c>
      <c r="X61" s="9" t="s">
        <v>4387</v>
      </c>
      <c r="AC61" s="9" t="s">
        <v>4369</v>
      </c>
      <c r="AD61" s="9" t="s">
        <v>4370</v>
      </c>
      <c r="AE61" s="9" t="s">
        <v>4371</v>
      </c>
    </row>
    <row r="62" customFormat="false" ht="15" hidden="false" customHeight="true" outlineLevel="0" collapsed="false">
      <c r="A62" s="6" t="s">
        <v>770</v>
      </c>
      <c r="B62" s="6" t="s">
        <v>396</v>
      </c>
      <c r="C62" s="6" t="s">
        <v>401</v>
      </c>
      <c r="D62" s="6" t="n">
        <v>6</v>
      </c>
      <c r="E62" s="9" t="s">
        <v>4381</v>
      </c>
      <c r="F62" s="42"/>
      <c r="G62" s="42"/>
      <c r="H62" s="42"/>
      <c r="I62" s="42"/>
      <c r="J62" s="42"/>
      <c r="K62" s="42"/>
      <c r="L62" s="42"/>
      <c r="M62" s="42"/>
      <c r="N62" s="42"/>
      <c r="O62" s="42"/>
      <c r="P62" s="42"/>
      <c r="Q62" s="43" t="str">
        <f aca="false">IF($A62="","",IF(OR(F62="",I62=""),"",F62-I62))</f>
        <v/>
      </c>
      <c r="R62" s="43" t="str">
        <f aca="false">IF($A62="","",IF(Q62="","",Q62+IF(O62="",0,O62)))</f>
        <v/>
      </c>
      <c r="S62" s="42"/>
      <c r="T62" s="43" t="str">
        <f aca="false">IF($A62="","",IF(R62="","",R62-IF(S62="",0,S62)))</f>
        <v/>
      </c>
      <c r="U62" s="43" t="str">
        <f aca="false">IF($A62="","",IF(I62="","",I62-SUM(J62:P62)))</f>
        <v/>
      </c>
      <c r="V62" s="6" t="s">
        <v>4386</v>
      </c>
      <c r="W62" s="9" t="s">
        <v>528</v>
      </c>
      <c r="X62" s="9" t="s">
        <v>4390</v>
      </c>
      <c r="AC62" s="9" t="s">
        <v>4369</v>
      </c>
      <c r="AD62" s="9" t="s">
        <v>4370</v>
      </c>
      <c r="AE62" s="9" t="s">
        <v>4371</v>
      </c>
    </row>
    <row r="63" customFormat="false" ht="15" hidden="false" customHeight="true" outlineLevel="0" collapsed="false">
      <c r="A63" s="6" t="s">
        <v>773</v>
      </c>
      <c r="B63" s="6" t="s">
        <v>396</v>
      </c>
      <c r="C63" s="6" t="s">
        <v>401</v>
      </c>
      <c r="D63" s="6" t="n">
        <v>6</v>
      </c>
      <c r="E63" s="9" t="s">
        <v>4366</v>
      </c>
      <c r="F63" s="35" t="n">
        <v>73116</v>
      </c>
      <c r="G63" s="42"/>
      <c r="H63" s="42"/>
      <c r="I63" s="42"/>
      <c r="J63" s="42"/>
      <c r="K63" s="42"/>
      <c r="L63" s="42"/>
      <c r="M63" s="42"/>
      <c r="N63" s="42"/>
      <c r="O63" s="42"/>
      <c r="P63" s="42"/>
      <c r="Q63" s="43" t="str">
        <f aca="false">IF($A63="","",IF(OR(F63="",I63=""),"",F63-I63))</f>
        <v/>
      </c>
      <c r="R63" s="43" t="str">
        <f aca="false">IF($A63="","",IF(Q63="","",Q63+IF(O63="",0,O63)))</f>
        <v/>
      </c>
      <c r="S63" s="42"/>
      <c r="T63" s="43" t="str">
        <f aca="false">IF($A63="","",IF(R63="","",R63-IF(S63="",0,S63)))</f>
        <v/>
      </c>
      <c r="U63" s="43" t="str">
        <f aca="false">IF($A63="","",IF(I63="","",I63-SUM(J63:P63)))</f>
        <v/>
      </c>
      <c r="V63" s="6" t="s">
        <v>4386</v>
      </c>
      <c r="W63" s="9" t="s">
        <v>528</v>
      </c>
      <c r="X63" s="9" t="s">
        <v>4387</v>
      </c>
      <c r="AC63" s="9" t="s">
        <v>4369</v>
      </c>
      <c r="AD63" s="9" t="s">
        <v>4370</v>
      </c>
      <c r="AE63" s="9" t="s">
        <v>4371</v>
      </c>
    </row>
    <row r="64" customFormat="false" ht="15" hidden="false" customHeight="true" outlineLevel="0" collapsed="false">
      <c r="A64" s="6" t="s">
        <v>776</v>
      </c>
      <c r="B64" s="6" t="s">
        <v>396</v>
      </c>
      <c r="C64" s="6" t="s">
        <v>401</v>
      </c>
      <c r="D64" s="6" t="n">
        <v>6</v>
      </c>
      <c r="E64" s="9" t="s">
        <v>4366</v>
      </c>
      <c r="F64" s="35" t="n">
        <v>42781</v>
      </c>
      <c r="G64" s="42"/>
      <c r="H64" s="42"/>
      <c r="I64" s="42"/>
      <c r="J64" s="42"/>
      <c r="K64" s="42"/>
      <c r="L64" s="42"/>
      <c r="M64" s="42"/>
      <c r="N64" s="42"/>
      <c r="O64" s="42"/>
      <c r="P64" s="42"/>
      <c r="Q64" s="43" t="str">
        <f aca="false">IF($A64="","",IF(OR(F64="",I64=""),"",F64-I64))</f>
        <v/>
      </c>
      <c r="R64" s="43" t="str">
        <f aca="false">IF($A64="","",IF(Q64="","",Q64+IF(O64="",0,O64)))</f>
        <v/>
      </c>
      <c r="S64" s="42"/>
      <c r="T64" s="43" t="str">
        <f aca="false">IF($A64="","",IF(R64="","",R64-IF(S64="",0,S64)))</f>
        <v/>
      </c>
      <c r="U64" s="43" t="str">
        <f aca="false">IF($A64="","",IF(I64="","",I64-SUM(J64:P64)))</f>
        <v/>
      </c>
      <c r="V64" s="6" t="s">
        <v>4386</v>
      </c>
      <c r="W64" s="9" t="s">
        <v>528</v>
      </c>
      <c r="X64" s="9" t="s">
        <v>4387</v>
      </c>
      <c r="AC64" s="9" t="s">
        <v>4369</v>
      </c>
      <c r="AD64" s="9" t="s">
        <v>4370</v>
      </c>
      <c r="AE64" s="9" t="s">
        <v>4371</v>
      </c>
    </row>
    <row r="65" customFormat="false" ht="15" hidden="false" customHeight="true" outlineLevel="0" collapsed="false">
      <c r="A65" s="6" t="s">
        <v>779</v>
      </c>
      <c r="B65" s="6" t="s">
        <v>396</v>
      </c>
      <c r="C65" s="6" t="s">
        <v>401</v>
      </c>
      <c r="D65" s="6" t="n">
        <v>6</v>
      </c>
      <c r="E65" s="9" t="s">
        <v>4366</v>
      </c>
      <c r="F65" s="35" t="n">
        <v>93584</v>
      </c>
      <c r="G65" s="42"/>
      <c r="H65" s="42"/>
      <c r="I65" s="42"/>
      <c r="J65" s="42"/>
      <c r="K65" s="42"/>
      <c r="L65" s="42"/>
      <c r="M65" s="42"/>
      <c r="N65" s="42"/>
      <c r="O65" s="42"/>
      <c r="P65" s="42"/>
      <c r="Q65" s="43" t="str">
        <f aca="false">IF($A65="","",IF(OR(F65="",I65=""),"",F65-I65))</f>
        <v/>
      </c>
      <c r="R65" s="43" t="str">
        <f aca="false">IF($A65="","",IF(Q65="","",Q65+IF(O65="",0,O65)))</f>
        <v/>
      </c>
      <c r="S65" s="42"/>
      <c r="T65" s="43" t="str">
        <f aca="false">IF($A65="","",IF(R65="","",R65-IF(S65="",0,S65)))</f>
        <v/>
      </c>
      <c r="U65" s="43" t="str">
        <f aca="false">IF($A65="","",IF(I65="","",I65-SUM(J65:P65)))</f>
        <v/>
      </c>
      <c r="V65" s="6" t="s">
        <v>4386</v>
      </c>
      <c r="W65" s="9" t="s">
        <v>528</v>
      </c>
      <c r="X65" s="9" t="s">
        <v>4387</v>
      </c>
      <c r="AC65" s="9" t="s">
        <v>4369</v>
      </c>
      <c r="AD65" s="9" t="s">
        <v>4370</v>
      </c>
      <c r="AE65" s="9" t="s">
        <v>4371</v>
      </c>
    </row>
    <row r="66" customFormat="false" ht="15" hidden="false" customHeight="true" outlineLevel="0" collapsed="false">
      <c r="A66" s="6" t="s">
        <v>781</v>
      </c>
      <c r="B66" s="6" t="s">
        <v>396</v>
      </c>
      <c r="C66" s="6" t="s">
        <v>401</v>
      </c>
      <c r="D66" s="6" t="n">
        <v>6</v>
      </c>
      <c r="E66" s="9" t="s">
        <v>4366</v>
      </c>
      <c r="F66" s="35" t="n">
        <v>34611</v>
      </c>
      <c r="G66" s="42"/>
      <c r="H66" s="42"/>
      <c r="I66" s="42"/>
      <c r="J66" s="42"/>
      <c r="K66" s="42"/>
      <c r="L66" s="42"/>
      <c r="M66" s="42"/>
      <c r="N66" s="42"/>
      <c r="O66" s="42"/>
      <c r="P66" s="42"/>
      <c r="Q66" s="43" t="str">
        <f aca="false">IF($A66="","",IF(OR(F66="",I66=""),"",F66-I66))</f>
        <v/>
      </c>
      <c r="R66" s="43" t="str">
        <f aca="false">IF($A66="","",IF(Q66="","",Q66+IF(O66="",0,O66)))</f>
        <v/>
      </c>
      <c r="S66" s="42"/>
      <c r="T66" s="43" t="str">
        <f aca="false">IF($A66="","",IF(R66="","",R66-IF(S66="",0,S66)))</f>
        <v/>
      </c>
      <c r="U66" s="43" t="str">
        <f aca="false">IF($A66="","",IF(I66="","",I66-SUM(J66:P66)))</f>
        <v/>
      </c>
      <c r="V66" s="6" t="s">
        <v>4386</v>
      </c>
      <c r="W66" s="9" t="s">
        <v>528</v>
      </c>
      <c r="X66" s="6" t="s">
        <v>4391</v>
      </c>
      <c r="AC66" s="6" t="s">
        <v>4373</v>
      </c>
      <c r="AD66" s="9" t="s">
        <v>4374</v>
      </c>
      <c r="AE66" s="9" t="s">
        <v>4371</v>
      </c>
    </row>
    <row r="67" customFormat="false" ht="15" hidden="false" customHeight="true" outlineLevel="0" collapsed="false">
      <c r="A67" s="6" t="s">
        <v>784</v>
      </c>
      <c r="B67" s="6" t="s">
        <v>396</v>
      </c>
      <c r="C67" s="6" t="s">
        <v>401</v>
      </c>
      <c r="D67" s="6" t="n">
        <v>6</v>
      </c>
      <c r="E67" s="9" t="s">
        <v>4366</v>
      </c>
      <c r="F67" s="35" t="n">
        <v>1455529</v>
      </c>
      <c r="G67" s="42"/>
      <c r="H67" s="42"/>
      <c r="I67" s="42"/>
      <c r="J67" s="42"/>
      <c r="K67" s="42"/>
      <c r="L67" s="42"/>
      <c r="M67" s="42"/>
      <c r="N67" s="42"/>
      <c r="O67" s="42"/>
      <c r="P67" s="42"/>
      <c r="Q67" s="43" t="str">
        <f aca="false">IF($A67="","",IF(OR(F67="",I67=""),"",F67-I67))</f>
        <v/>
      </c>
      <c r="R67" s="43" t="str">
        <f aca="false">IF($A67="","",IF(Q67="","",Q67+IF(O67="",0,O67)))</f>
        <v/>
      </c>
      <c r="S67" s="42"/>
      <c r="T67" s="43" t="str">
        <f aca="false">IF($A67="","",IF(R67="","",R67-IF(S67="",0,S67)))</f>
        <v/>
      </c>
      <c r="U67" s="43" t="str">
        <f aca="false">IF($A67="","",IF(I67="","",I67-SUM(J67:P67)))</f>
        <v/>
      </c>
      <c r="V67" s="6" t="s">
        <v>4386</v>
      </c>
      <c r="W67" s="9" t="s">
        <v>528</v>
      </c>
      <c r="X67" s="9" t="s">
        <v>4387</v>
      </c>
      <c r="AC67" s="9" t="s">
        <v>4369</v>
      </c>
      <c r="AD67" s="9" t="s">
        <v>4370</v>
      </c>
      <c r="AE67" s="9" t="s">
        <v>4371</v>
      </c>
    </row>
    <row r="68" customFormat="false" ht="15" hidden="false" customHeight="true" outlineLevel="0" collapsed="false">
      <c r="A68" s="6" t="s">
        <v>787</v>
      </c>
      <c r="B68" s="6" t="s">
        <v>396</v>
      </c>
      <c r="C68" s="6" t="s">
        <v>401</v>
      </c>
      <c r="D68" s="6" t="n">
        <v>6</v>
      </c>
      <c r="E68" s="9" t="s">
        <v>4366</v>
      </c>
      <c r="F68" s="35" t="n">
        <v>72257</v>
      </c>
      <c r="G68" s="42"/>
      <c r="H68" s="42"/>
      <c r="I68" s="42"/>
      <c r="J68" s="42"/>
      <c r="K68" s="42"/>
      <c r="L68" s="42"/>
      <c r="M68" s="42"/>
      <c r="N68" s="42"/>
      <c r="O68" s="42"/>
      <c r="P68" s="42"/>
      <c r="Q68" s="43" t="str">
        <f aca="false">IF($A68="","",IF(OR(F68="",I68=""),"",F68-I68))</f>
        <v/>
      </c>
      <c r="R68" s="43" t="str">
        <f aca="false">IF($A68="","",IF(Q68="","",Q68+IF(O68="",0,O68)))</f>
        <v/>
      </c>
      <c r="S68" s="42"/>
      <c r="T68" s="43" t="str">
        <f aca="false">IF($A68="","",IF(R68="","",R68-IF(S68="",0,S68)))</f>
        <v/>
      </c>
      <c r="U68" s="43" t="str">
        <f aca="false">IF($A68="","",IF(I68="","",I68-SUM(J68:P68)))</f>
        <v/>
      </c>
      <c r="V68" s="6" t="s">
        <v>4386</v>
      </c>
      <c r="W68" s="9" t="s">
        <v>528</v>
      </c>
      <c r="X68" s="9" t="s">
        <v>4387</v>
      </c>
      <c r="AC68" s="9" t="s">
        <v>4369</v>
      </c>
      <c r="AD68" s="9" t="s">
        <v>4370</v>
      </c>
      <c r="AE68" s="9" t="s">
        <v>4371</v>
      </c>
    </row>
    <row r="69" customFormat="false" ht="15" hidden="false" customHeight="true" outlineLevel="0" collapsed="false">
      <c r="A69" s="6" t="s">
        <v>790</v>
      </c>
      <c r="B69" s="6" t="s">
        <v>396</v>
      </c>
      <c r="C69" s="6" t="s">
        <v>401</v>
      </c>
      <c r="D69" s="6" t="n">
        <v>6</v>
      </c>
      <c r="E69" s="9" t="s">
        <v>4366</v>
      </c>
      <c r="F69" s="35" t="n">
        <v>197465</v>
      </c>
      <c r="G69" s="42"/>
      <c r="H69" s="42"/>
      <c r="I69" s="42"/>
      <c r="J69" s="42"/>
      <c r="K69" s="42"/>
      <c r="L69" s="42"/>
      <c r="M69" s="42"/>
      <c r="N69" s="42"/>
      <c r="O69" s="42"/>
      <c r="P69" s="42"/>
      <c r="Q69" s="43" t="str">
        <f aca="false">IF($A69="","",IF(OR(F69="",I69=""),"",F69-I69))</f>
        <v/>
      </c>
      <c r="R69" s="43" t="str">
        <f aca="false">IF($A69="","",IF(Q69="","",Q69+IF(O69="",0,O69)))</f>
        <v/>
      </c>
      <c r="S69" s="42"/>
      <c r="T69" s="43" t="str">
        <f aca="false">IF($A69="","",IF(R69="","",R69-IF(S69="",0,S69)))</f>
        <v/>
      </c>
      <c r="U69" s="43" t="str">
        <f aca="false">IF($A69="","",IF(I69="","",I69-SUM(J69:P69)))</f>
        <v/>
      </c>
      <c r="V69" s="6" t="s">
        <v>4386</v>
      </c>
      <c r="W69" s="9" t="s">
        <v>528</v>
      </c>
      <c r="X69" s="9" t="s">
        <v>4387</v>
      </c>
      <c r="AC69" s="9" t="s">
        <v>4369</v>
      </c>
      <c r="AD69" s="9" t="s">
        <v>4370</v>
      </c>
      <c r="AE69" s="9" t="s">
        <v>4371</v>
      </c>
    </row>
    <row r="70" customFormat="false" ht="15" hidden="false" customHeight="true" outlineLevel="0" collapsed="false">
      <c r="A70" s="6" t="s">
        <v>793</v>
      </c>
      <c r="B70" s="6" t="s">
        <v>396</v>
      </c>
      <c r="C70" s="6" t="s">
        <v>401</v>
      </c>
      <c r="D70" s="6" t="n">
        <v>6</v>
      </c>
      <c r="E70" s="9" t="s">
        <v>4381</v>
      </c>
      <c r="F70" s="42"/>
      <c r="G70" s="42"/>
      <c r="H70" s="42"/>
      <c r="I70" s="42"/>
      <c r="J70" s="42"/>
      <c r="K70" s="42"/>
      <c r="L70" s="42"/>
      <c r="M70" s="42"/>
      <c r="N70" s="42"/>
      <c r="O70" s="42"/>
      <c r="P70" s="42"/>
      <c r="Q70" s="43" t="str">
        <f aca="false">IF($A70="","",IF(OR(F70="",I70=""),"",F70-I70))</f>
        <v/>
      </c>
      <c r="R70" s="43" t="str">
        <f aca="false">IF($A70="","",IF(Q70="","",Q70+IF(O70="",0,O70)))</f>
        <v/>
      </c>
      <c r="S70" s="42"/>
      <c r="T70" s="43" t="str">
        <f aca="false">IF($A70="","",IF(R70="","",R70-IF(S70="",0,S70)))</f>
        <v/>
      </c>
      <c r="U70" s="43" t="str">
        <f aca="false">IF($A70="","",IF(I70="","",I70-SUM(J70:P70)))</f>
        <v/>
      </c>
      <c r="V70" s="6" t="s">
        <v>4386</v>
      </c>
      <c r="W70" s="9" t="s">
        <v>528</v>
      </c>
      <c r="X70" s="9" t="s">
        <v>4390</v>
      </c>
      <c r="AC70" s="9" t="s">
        <v>4369</v>
      </c>
      <c r="AD70" s="9" t="s">
        <v>4370</v>
      </c>
      <c r="AE70" s="9" t="s">
        <v>4371</v>
      </c>
    </row>
    <row r="71" customFormat="false" ht="15" hidden="false" customHeight="true" outlineLevel="0" collapsed="false">
      <c r="A71" s="6" t="s">
        <v>796</v>
      </c>
      <c r="B71" s="6" t="s">
        <v>396</v>
      </c>
      <c r="C71" s="6" t="s">
        <v>401</v>
      </c>
      <c r="D71" s="6" t="n">
        <v>6</v>
      </c>
      <c r="E71" s="9" t="s">
        <v>4366</v>
      </c>
      <c r="F71" s="35" t="n">
        <v>124175</v>
      </c>
      <c r="G71" s="42"/>
      <c r="H71" s="42"/>
      <c r="I71" s="42"/>
      <c r="J71" s="42"/>
      <c r="K71" s="42"/>
      <c r="L71" s="42"/>
      <c r="M71" s="42"/>
      <c r="N71" s="42"/>
      <c r="O71" s="42"/>
      <c r="P71" s="42"/>
      <c r="Q71" s="43" t="str">
        <f aca="false">IF($A71="","",IF(OR(F71="",I71=""),"",F71-I71))</f>
        <v/>
      </c>
      <c r="R71" s="43" t="str">
        <f aca="false">IF($A71="","",IF(Q71="","",Q71+IF(O71="",0,O71)))</f>
        <v/>
      </c>
      <c r="S71" s="42"/>
      <c r="T71" s="43" t="str">
        <f aca="false">IF($A71="","",IF(R71="","",R71-IF(S71="",0,S71)))</f>
        <v/>
      </c>
      <c r="U71" s="43" t="str">
        <f aca="false">IF($A71="","",IF(I71="","",I71-SUM(J71:P71)))</f>
        <v/>
      </c>
      <c r="V71" s="6" t="s">
        <v>4386</v>
      </c>
      <c r="W71" s="9" t="s">
        <v>528</v>
      </c>
      <c r="X71" s="9" t="s">
        <v>4387</v>
      </c>
      <c r="AC71" s="9" t="s">
        <v>4369</v>
      </c>
      <c r="AD71" s="9" t="s">
        <v>4370</v>
      </c>
      <c r="AE71" s="9" t="s">
        <v>4371</v>
      </c>
    </row>
    <row r="72" customFormat="false" ht="15" hidden="false" customHeight="true" outlineLevel="0" collapsed="false">
      <c r="A72" s="6" t="s">
        <v>799</v>
      </c>
      <c r="B72" s="6" t="s">
        <v>396</v>
      </c>
      <c r="C72" s="6" t="s">
        <v>401</v>
      </c>
      <c r="D72" s="6" t="n">
        <v>6</v>
      </c>
      <c r="E72" s="9" t="s">
        <v>4366</v>
      </c>
      <c r="F72" s="35" t="n">
        <v>824182</v>
      </c>
      <c r="G72" s="42"/>
      <c r="H72" s="42"/>
      <c r="I72" s="42"/>
      <c r="J72" s="42"/>
      <c r="K72" s="42"/>
      <c r="L72" s="42"/>
      <c r="M72" s="42"/>
      <c r="N72" s="42"/>
      <c r="O72" s="42"/>
      <c r="P72" s="42"/>
      <c r="Q72" s="43" t="str">
        <f aca="false">IF($A72="","",IF(OR(F72="",I72=""),"",F72-I72))</f>
        <v/>
      </c>
      <c r="R72" s="43" t="str">
        <f aca="false">IF($A72="","",IF(Q72="","",Q72+IF(O72="",0,O72)))</f>
        <v/>
      </c>
      <c r="S72" s="42"/>
      <c r="T72" s="43" t="str">
        <f aca="false">IF($A72="","",IF(R72="","",R72-IF(S72="",0,S72)))</f>
        <v/>
      </c>
      <c r="U72" s="43" t="str">
        <f aca="false">IF($A72="","",IF(I72="","",I72-SUM(J72:P72)))</f>
        <v/>
      </c>
      <c r="V72" s="6" t="s">
        <v>4386</v>
      </c>
      <c r="W72" s="9" t="s">
        <v>528</v>
      </c>
      <c r="X72" s="9" t="s">
        <v>4387</v>
      </c>
      <c r="AC72" s="9" t="s">
        <v>4369</v>
      </c>
      <c r="AD72" s="9" t="s">
        <v>4370</v>
      </c>
      <c r="AE72" s="9" t="s">
        <v>4371</v>
      </c>
    </row>
    <row r="73" customFormat="false" ht="15" hidden="false" customHeight="true" outlineLevel="0" collapsed="false">
      <c r="A73" s="6" t="s">
        <v>802</v>
      </c>
      <c r="B73" s="6" t="s">
        <v>396</v>
      </c>
      <c r="C73" s="6" t="s">
        <v>401</v>
      </c>
      <c r="D73" s="6" t="n">
        <v>6</v>
      </c>
      <c r="E73" s="9" t="s">
        <v>4366</v>
      </c>
      <c r="F73" s="35" t="n">
        <v>80805</v>
      </c>
      <c r="G73" s="42"/>
      <c r="H73" s="42"/>
      <c r="I73" s="42"/>
      <c r="J73" s="42"/>
      <c r="K73" s="42"/>
      <c r="L73" s="42"/>
      <c r="M73" s="42"/>
      <c r="N73" s="42"/>
      <c r="O73" s="42"/>
      <c r="P73" s="42"/>
      <c r="Q73" s="43" t="str">
        <f aca="false">IF($A73="","",IF(OR(F73="",I73=""),"",F73-I73))</f>
        <v/>
      </c>
      <c r="R73" s="43" t="str">
        <f aca="false">IF($A73="","",IF(Q73="","",Q73+IF(O73="",0,O73)))</f>
        <v/>
      </c>
      <c r="S73" s="42"/>
      <c r="T73" s="43" t="str">
        <f aca="false">IF($A73="","",IF(R73="","",R73-IF(S73="",0,S73)))</f>
        <v/>
      </c>
      <c r="U73" s="43" t="str">
        <f aca="false">IF($A73="","",IF(I73="","",I73-SUM(J73:P73)))</f>
        <v/>
      </c>
      <c r="V73" s="6" t="s">
        <v>4386</v>
      </c>
      <c r="W73" s="9" t="s">
        <v>528</v>
      </c>
      <c r="X73" s="9" t="s">
        <v>4387</v>
      </c>
      <c r="AC73" s="9" t="s">
        <v>4369</v>
      </c>
      <c r="AD73" s="9" t="s">
        <v>4370</v>
      </c>
      <c r="AE73" s="9" t="s">
        <v>4371</v>
      </c>
    </row>
    <row r="74" customFormat="false" ht="15" hidden="false" customHeight="true" outlineLevel="0" collapsed="false">
      <c r="A74" s="6" t="s">
        <v>804</v>
      </c>
      <c r="B74" s="6" t="s">
        <v>396</v>
      </c>
      <c r="C74" s="6" t="s">
        <v>401</v>
      </c>
      <c r="D74" s="6" t="n">
        <v>6</v>
      </c>
      <c r="E74" s="9" t="s">
        <v>4366</v>
      </c>
      <c r="F74" s="35" t="n">
        <v>408757</v>
      </c>
      <c r="G74" s="42"/>
      <c r="H74" s="42"/>
      <c r="I74" s="42"/>
      <c r="J74" s="42"/>
      <c r="K74" s="42"/>
      <c r="L74" s="42"/>
      <c r="M74" s="42"/>
      <c r="N74" s="42"/>
      <c r="O74" s="42"/>
      <c r="P74" s="42"/>
      <c r="Q74" s="43" t="str">
        <f aca="false">IF($A74="","",IF(OR(F74="",I74=""),"",F74-I74))</f>
        <v/>
      </c>
      <c r="R74" s="43" t="str">
        <f aca="false">IF($A74="","",IF(Q74="","",Q74+IF(O74="",0,O74)))</f>
        <v/>
      </c>
      <c r="S74" s="42"/>
      <c r="T74" s="43" t="str">
        <f aca="false">IF($A74="","",IF(R74="","",R74-IF(S74="",0,S74)))</f>
        <v/>
      </c>
      <c r="U74" s="43" t="str">
        <f aca="false">IF($A74="","",IF(I74="","",I74-SUM(J74:P74)))</f>
        <v/>
      </c>
      <c r="V74" s="6" t="s">
        <v>4386</v>
      </c>
      <c r="W74" s="9" t="s">
        <v>528</v>
      </c>
      <c r="X74" s="9" t="s">
        <v>4387</v>
      </c>
      <c r="AC74" s="9" t="s">
        <v>4369</v>
      </c>
      <c r="AD74" s="9" t="s">
        <v>4370</v>
      </c>
      <c r="AE74" s="9" t="s">
        <v>4371</v>
      </c>
    </row>
    <row r="75" customFormat="false" ht="15" hidden="false" customHeight="true" outlineLevel="0" collapsed="false">
      <c r="A75" s="6" t="s">
        <v>808</v>
      </c>
      <c r="B75" s="6" t="s">
        <v>396</v>
      </c>
      <c r="C75" s="6" t="s">
        <v>401</v>
      </c>
      <c r="D75" s="6" t="n">
        <v>6</v>
      </c>
      <c r="E75" s="9" t="s">
        <v>4366</v>
      </c>
      <c r="F75" s="35" t="n">
        <v>402753</v>
      </c>
      <c r="G75" s="42"/>
      <c r="H75" s="42"/>
      <c r="I75" s="42"/>
      <c r="J75" s="42"/>
      <c r="K75" s="42"/>
      <c r="L75" s="42"/>
      <c r="M75" s="42"/>
      <c r="N75" s="42"/>
      <c r="O75" s="42"/>
      <c r="P75" s="42"/>
      <c r="Q75" s="43" t="str">
        <f aca="false">IF($A75="","",IF(OR(F75="",I75=""),"",F75-I75))</f>
        <v/>
      </c>
      <c r="R75" s="43" t="str">
        <f aca="false">IF($A75="","",IF(Q75="","",Q75+IF(O75="",0,O75)))</f>
        <v/>
      </c>
      <c r="S75" s="42"/>
      <c r="T75" s="43" t="str">
        <f aca="false">IF($A75="","",IF(R75="","",R75-IF(S75="",0,S75)))</f>
        <v/>
      </c>
      <c r="U75" s="43" t="str">
        <f aca="false">IF($A75="","",IF(I75="","",I75-SUM(J75:P75)))</f>
        <v/>
      </c>
      <c r="V75" s="6" t="s">
        <v>4386</v>
      </c>
      <c r="W75" s="9" t="s">
        <v>528</v>
      </c>
      <c r="X75" s="9" t="s">
        <v>4387</v>
      </c>
      <c r="AC75" s="9" t="s">
        <v>4369</v>
      </c>
      <c r="AD75" s="9" t="s">
        <v>4370</v>
      </c>
      <c r="AE75" s="9" t="s">
        <v>4371</v>
      </c>
    </row>
    <row r="76" customFormat="false" ht="15" hidden="false" customHeight="true" outlineLevel="0" collapsed="false">
      <c r="A76" s="6" t="s">
        <v>811</v>
      </c>
      <c r="B76" s="6" t="s">
        <v>396</v>
      </c>
      <c r="C76" s="6" t="s">
        <v>401</v>
      </c>
      <c r="D76" s="6" t="n">
        <v>6</v>
      </c>
      <c r="E76" s="9" t="s">
        <v>4366</v>
      </c>
      <c r="F76" s="35" t="n">
        <v>334042</v>
      </c>
      <c r="G76" s="42"/>
      <c r="H76" s="42"/>
      <c r="I76" s="42"/>
      <c r="J76" s="42"/>
      <c r="K76" s="42"/>
      <c r="L76" s="42"/>
      <c r="M76" s="42"/>
      <c r="N76" s="42"/>
      <c r="O76" s="42"/>
      <c r="P76" s="42"/>
      <c r="Q76" s="43" t="str">
        <f aca="false">IF($A76="","",IF(OR(F76="",I76=""),"",F76-I76))</f>
        <v/>
      </c>
      <c r="R76" s="43" t="str">
        <f aca="false">IF($A76="","",IF(Q76="","",Q76+IF(O76="",0,O76)))</f>
        <v/>
      </c>
      <c r="S76" s="42"/>
      <c r="T76" s="43" t="str">
        <f aca="false">IF($A76="","",IF(R76="","",R76-IF(S76="",0,S76)))</f>
        <v/>
      </c>
      <c r="U76" s="43" t="str">
        <f aca="false">IF($A76="","",IF(I76="","",I76-SUM(J76:P76)))</f>
        <v/>
      </c>
      <c r="V76" s="6" t="s">
        <v>4386</v>
      </c>
      <c r="W76" s="9" t="s">
        <v>528</v>
      </c>
      <c r="X76" s="9" t="s">
        <v>4387</v>
      </c>
      <c r="AC76" s="9" t="s">
        <v>4369</v>
      </c>
      <c r="AD76" s="9" t="s">
        <v>4370</v>
      </c>
      <c r="AE76" s="9" t="s">
        <v>4371</v>
      </c>
    </row>
    <row r="77" customFormat="false" ht="15" hidden="false" customHeight="true" outlineLevel="0" collapsed="false">
      <c r="A77" s="6" t="s">
        <v>814</v>
      </c>
      <c r="B77" s="6" t="s">
        <v>396</v>
      </c>
      <c r="C77" s="6" t="s">
        <v>401</v>
      </c>
      <c r="D77" s="6" t="n">
        <v>6</v>
      </c>
      <c r="E77" s="9" t="s">
        <v>4366</v>
      </c>
      <c r="F77" s="35" t="n">
        <v>450754</v>
      </c>
      <c r="G77" s="42"/>
      <c r="H77" s="42"/>
      <c r="I77" s="42"/>
      <c r="J77" s="42"/>
      <c r="K77" s="42"/>
      <c r="L77" s="42"/>
      <c r="M77" s="42"/>
      <c r="N77" s="42"/>
      <c r="O77" s="42"/>
      <c r="P77" s="42"/>
      <c r="Q77" s="43" t="str">
        <f aca="false">IF($A77="","",IF(OR(F77="",I77=""),"",F77-I77))</f>
        <v/>
      </c>
      <c r="R77" s="43" t="str">
        <f aca="false">IF($A77="","",IF(Q77="","",Q77+IF(O77="",0,O77)))</f>
        <v/>
      </c>
      <c r="S77" s="42"/>
      <c r="T77" s="43" t="str">
        <f aca="false">IF($A77="","",IF(R77="","",R77-IF(S77="",0,S77)))</f>
        <v/>
      </c>
      <c r="U77" s="43" t="str">
        <f aca="false">IF($A77="","",IF(I77="","",I77-SUM(J77:P77)))</f>
        <v/>
      </c>
      <c r="V77" s="6" t="s">
        <v>4386</v>
      </c>
      <c r="W77" s="9" t="s">
        <v>528</v>
      </c>
      <c r="X77" s="9" t="s">
        <v>4387</v>
      </c>
      <c r="AC77" s="9" t="s">
        <v>4369</v>
      </c>
      <c r="AD77" s="9" t="s">
        <v>4370</v>
      </c>
      <c r="AE77" s="9" t="s">
        <v>4371</v>
      </c>
    </row>
    <row r="78" customFormat="false" ht="15" hidden="false" customHeight="true" outlineLevel="0" collapsed="false">
      <c r="A78" s="6" t="s">
        <v>817</v>
      </c>
      <c r="B78" s="6" t="s">
        <v>396</v>
      </c>
      <c r="C78" s="6" t="s">
        <v>401</v>
      </c>
      <c r="D78" s="6" t="n">
        <v>6</v>
      </c>
      <c r="E78" s="9" t="s">
        <v>4381</v>
      </c>
      <c r="F78" s="42"/>
      <c r="G78" s="42"/>
      <c r="H78" s="42"/>
      <c r="I78" s="42"/>
      <c r="J78" s="42"/>
      <c r="K78" s="42"/>
      <c r="L78" s="42"/>
      <c r="M78" s="42"/>
      <c r="N78" s="42"/>
      <c r="O78" s="42"/>
      <c r="P78" s="42"/>
      <c r="Q78" s="43" t="str">
        <f aca="false">IF($A78="","",IF(OR(F78="",I78=""),"",F78-I78))</f>
        <v/>
      </c>
      <c r="R78" s="43" t="str">
        <f aca="false">IF($A78="","",IF(Q78="","",Q78+IF(O78="",0,O78)))</f>
        <v/>
      </c>
      <c r="S78" s="42"/>
      <c r="T78" s="43" t="str">
        <f aca="false">IF($A78="","",IF(R78="","",R78-IF(S78="",0,S78)))</f>
        <v/>
      </c>
      <c r="U78" s="43" t="str">
        <f aca="false">IF($A78="","",IF(I78="","",I78-SUM(J78:P78)))</f>
        <v/>
      </c>
      <c r="V78" s="6" t="s">
        <v>4386</v>
      </c>
      <c r="W78" s="9" t="s">
        <v>528</v>
      </c>
      <c r="X78" s="9" t="s">
        <v>4390</v>
      </c>
      <c r="AC78" s="9" t="s">
        <v>4369</v>
      </c>
      <c r="AD78" s="9" t="s">
        <v>4370</v>
      </c>
      <c r="AE78" s="9" t="s">
        <v>4371</v>
      </c>
    </row>
    <row r="79" customFormat="false" ht="15" hidden="false" customHeight="true" outlineLevel="0" collapsed="false">
      <c r="A79" s="6" t="s">
        <v>820</v>
      </c>
      <c r="B79" s="6" t="s">
        <v>396</v>
      </c>
      <c r="C79" s="6" t="s">
        <v>401</v>
      </c>
      <c r="D79" s="6" t="n">
        <v>6</v>
      </c>
      <c r="E79" s="9" t="s">
        <v>4366</v>
      </c>
      <c r="F79" s="35" t="n">
        <v>240328</v>
      </c>
      <c r="G79" s="42"/>
      <c r="H79" s="42"/>
      <c r="I79" s="42"/>
      <c r="J79" s="42"/>
      <c r="K79" s="42"/>
      <c r="L79" s="42"/>
      <c r="M79" s="42"/>
      <c r="N79" s="42"/>
      <c r="O79" s="42"/>
      <c r="P79" s="42"/>
      <c r="Q79" s="43" t="str">
        <f aca="false">IF($A79="","",IF(OR(F79="",I79=""),"",F79-I79))</f>
        <v/>
      </c>
      <c r="R79" s="43" t="str">
        <f aca="false">IF($A79="","",IF(Q79="","",Q79+IF(O79="",0,O79)))</f>
        <v/>
      </c>
      <c r="S79" s="42"/>
      <c r="T79" s="43" t="str">
        <f aca="false">IF($A79="","",IF(R79="","",R79-IF(S79="",0,S79)))</f>
        <v/>
      </c>
      <c r="U79" s="43" t="str">
        <f aca="false">IF($A79="","",IF(I79="","",I79-SUM(J79:P79)))</f>
        <v/>
      </c>
      <c r="V79" s="6" t="s">
        <v>4386</v>
      </c>
      <c r="W79" s="9" t="s">
        <v>528</v>
      </c>
      <c r="X79" s="9" t="s">
        <v>4387</v>
      </c>
      <c r="AC79" s="9" t="s">
        <v>4369</v>
      </c>
      <c r="AD79" s="9" t="s">
        <v>4370</v>
      </c>
      <c r="AE79" s="9" t="s">
        <v>4371</v>
      </c>
    </row>
    <row r="80" customFormat="false" ht="15" hidden="false" customHeight="true" outlineLevel="0" collapsed="false">
      <c r="A80" s="6" t="s">
        <v>822</v>
      </c>
      <c r="B80" s="6" t="s">
        <v>396</v>
      </c>
      <c r="C80" s="6" t="s">
        <v>401</v>
      </c>
      <c r="D80" s="6" t="n">
        <v>6</v>
      </c>
      <c r="E80" s="9" t="s">
        <v>4366</v>
      </c>
      <c r="F80" s="35" t="n">
        <v>272318</v>
      </c>
      <c r="G80" s="42"/>
      <c r="H80" s="42"/>
      <c r="I80" s="42"/>
      <c r="J80" s="42"/>
      <c r="K80" s="42"/>
      <c r="L80" s="42"/>
      <c r="M80" s="42"/>
      <c r="N80" s="42"/>
      <c r="O80" s="42"/>
      <c r="P80" s="42"/>
      <c r="Q80" s="43" t="str">
        <f aca="false">IF($A80="","",IF(OR(F80="",I80=""),"",F80-I80))</f>
        <v/>
      </c>
      <c r="R80" s="43" t="str">
        <f aca="false">IF($A80="","",IF(Q80="","",Q80+IF(O80="",0,O80)))</f>
        <v/>
      </c>
      <c r="S80" s="42"/>
      <c r="T80" s="43" t="str">
        <f aca="false">IF($A80="","",IF(R80="","",R80-IF(S80="",0,S80)))</f>
        <v/>
      </c>
      <c r="U80" s="43" t="str">
        <f aca="false">IF($A80="","",IF(I80="","",I80-SUM(J80:P80)))</f>
        <v/>
      </c>
      <c r="V80" s="6" t="s">
        <v>4386</v>
      </c>
      <c r="W80" s="9" t="s">
        <v>528</v>
      </c>
      <c r="X80" s="9" t="s">
        <v>4387</v>
      </c>
      <c r="AC80" s="9" t="s">
        <v>4369</v>
      </c>
      <c r="AD80" s="9" t="s">
        <v>4370</v>
      </c>
      <c r="AE80" s="9" t="s">
        <v>4371</v>
      </c>
    </row>
    <row r="81" customFormat="false" ht="15" hidden="false" customHeight="true" outlineLevel="0" collapsed="false">
      <c r="A81" s="6" t="s">
        <v>824</v>
      </c>
      <c r="B81" s="6" t="s">
        <v>396</v>
      </c>
      <c r="C81" s="6" t="s">
        <v>401</v>
      </c>
      <c r="D81" s="6" t="n">
        <v>6</v>
      </c>
      <c r="E81" s="9" t="s">
        <v>4366</v>
      </c>
      <c r="F81" s="35" t="n">
        <v>109058</v>
      </c>
      <c r="G81" s="42"/>
      <c r="H81" s="42"/>
      <c r="I81" s="42"/>
      <c r="J81" s="42"/>
      <c r="K81" s="42"/>
      <c r="L81" s="42"/>
      <c r="M81" s="42"/>
      <c r="N81" s="42"/>
      <c r="O81" s="42"/>
      <c r="P81" s="42"/>
      <c r="Q81" s="43" t="str">
        <f aca="false">IF($A81="","",IF(OR(F81="",I81=""),"",F81-I81))</f>
        <v/>
      </c>
      <c r="R81" s="43" t="str">
        <f aca="false">IF($A81="","",IF(Q81="","",Q81+IF(O81="",0,O81)))</f>
        <v/>
      </c>
      <c r="S81" s="42"/>
      <c r="T81" s="43" t="str">
        <f aca="false">IF($A81="","",IF(R81="","",R81-IF(S81="",0,S81)))</f>
        <v/>
      </c>
      <c r="U81" s="43" t="str">
        <f aca="false">IF($A81="","",IF(I81="","",I81-SUM(J81:P81)))</f>
        <v/>
      </c>
      <c r="V81" s="6" t="s">
        <v>4386</v>
      </c>
      <c r="W81" s="9" t="s">
        <v>528</v>
      </c>
      <c r="X81" s="9" t="s">
        <v>4387</v>
      </c>
      <c r="AC81" s="9" t="s">
        <v>4369</v>
      </c>
      <c r="AD81" s="9" t="s">
        <v>4370</v>
      </c>
      <c r="AE81" s="9" t="s">
        <v>4371</v>
      </c>
    </row>
    <row r="82" customFormat="false" ht="15" hidden="false" customHeight="true" outlineLevel="0" collapsed="false">
      <c r="A82" s="6" t="s">
        <v>827</v>
      </c>
      <c r="B82" s="6" t="s">
        <v>396</v>
      </c>
      <c r="C82" s="6" t="s">
        <v>401</v>
      </c>
      <c r="D82" s="6" t="n">
        <v>6</v>
      </c>
      <c r="E82" s="9" t="s">
        <v>4366</v>
      </c>
      <c r="F82" s="35" t="n">
        <v>490585</v>
      </c>
      <c r="G82" s="42"/>
      <c r="H82" s="42"/>
      <c r="I82" s="42"/>
      <c r="J82" s="42"/>
      <c r="K82" s="42"/>
      <c r="L82" s="42"/>
      <c r="M82" s="42"/>
      <c r="N82" s="42"/>
      <c r="O82" s="42"/>
      <c r="P82" s="42"/>
      <c r="Q82" s="43" t="str">
        <f aca="false">IF($A82="","",IF(OR(F82="",I82=""),"",F82-I82))</f>
        <v/>
      </c>
      <c r="R82" s="43" t="str">
        <f aca="false">IF($A82="","",IF(Q82="","",Q82+IF(O82="",0,O82)))</f>
        <v/>
      </c>
      <c r="S82" s="42"/>
      <c r="T82" s="43" t="str">
        <f aca="false">IF($A82="","",IF(R82="","",R82-IF(S82="",0,S82)))</f>
        <v/>
      </c>
      <c r="U82" s="43" t="str">
        <f aca="false">IF($A82="","",IF(I82="","",I82-SUM(J82:P82)))</f>
        <v/>
      </c>
      <c r="V82" s="6" t="s">
        <v>4386</v>
      </c>
      <c r="W82" s="9" t="s">
        <v>528</v>
      </c>
      <c r="X82" s="9" t="s">
        <v>4387</v>
      </c>
      <c r="AC82" s="9" t="s">
        <v>4369</v>
      </c>
      <c r="AD82" s="9" t="s">
        <v>4370</v>
      </c>
      <c r="AE82" s="9" t="s">
        <v>4371</v>
      </c>
    </row>
    <row r="83" customFormat="false" ht="15" hidden="false" customHeight="true" outlineLevel="0" collapsed="false">
      <c r="A83" s="6" t="s">
        <v>829</v>
      </c>
      <c r="B83" s="6" t="s">
        <v>396</v>
      </c>
      <c r="C83" s="6" t="s">
        <v>401</v>
      </c>
      <c r="D83" s="6" t="n">
        <v>6</v>
      </c>
      <c r="E83" s="9" t="s">
        <v>4366</v>
      </c>
      <c r="F83" s="35" t="n">
        <v>1077384</v>
      </c>
      <c r="G83" s="42"/>
      <c r="H83" s="42"/>
      <c r="I83" s="42"/>
      <c r="J83" s="42"/>
      <c r="K83" s="42"/>
      <c r="L83" s="42"/>
      <c r="M83" s="42"/>
      <c r="N83" s="42"/>
      <c r="O83" s="42"/>
      <c r="P83" s="42"/>
      <c r="Q83" s="43" t="str">
        <f aca="false">IF($A83="","",IF(OR(F83="",I83=""),"",F83-I83))</f>
        <v/>
      </c>
      <c r="R83" s="43" t="str">
        <f aca="false">IF($A83="","",IF(Q83="","",Q83+IF(O83="",0,O83)))</f>
        <v/>
      </c>
      <c r="S83" s="42"/>
      <c r="T83" s="43" t="str">
        <f aca="false">IF($A83="","",IF(R83="","",R83-IF(S83="",0,S83)))</f>
        <v/>
      </c>
      <c r="U83" s="43" t="str">
        <f aca="false">IF($A83="","",IF(I83="","",I83-SUM(J83:P83)))</f>
        <v/>
      </c>
      <c r="V83" s="6" t="s">
        <v>4386</v>
      </c>
      <c r="W83" s="9" t="s">
        <v>528</v>
      </c>
      <c r="X83" s="9" t="s">
        <v>4387</v>
      </c>
      <c r="AC83" s="9" t="s">
        <v>4369</v>
      </c>
      <c r="AD83" s="9" t="s">
        <v>4370</v>
      </c>
      <c r="AE83" s="9" t="s">
        <v>4371</v>
      </c>
    </row>
    <row r="84" customFormat="false" ht="15" hidden="false" customHeight="true" outlineLevel="0" collapsed="false">
      <c r="A84" s="6" t="s">
        <v>832</v>
      </c>
      <c r="B84" s="6" t="s">
        <v>396</v>
      </c>
      <c r="C84" s="6" t="s">
        <v>401</v>
      </c>
      <c r="D84" s="6" t="n">
        <v>6</v>
      </c>
      <c r="E84" s="9" t="s">
        <v>4366</v>
      </c>
      <c r="F84" s="35" t="n">
        <v>99105</v>
      </c>
      <c r="G84" s="42"/>
      <c r="H84" s="42"/>
      <c r="I84" s="42"/>
      <c r="J84" s="42"/>
      <c r="K84" s="42"/>
      <c r="L84" s="42"/>
      <c r="M84" s="42"/>
      <c r="N84" s="42"/>
      <c r="O84" s="42"/>
      <c r="P84" s="42"/>
      <c r="Q84" s="43" t="str">
        <f aca="false">IF($A84="","",IF(OR(F84="",I84=""),"",F84-I84))</f>
        <v/>
      </c>
      <c r="R84" s="43" t="str">
        <f aca="false">IF($A84="","",IF(Q84="","",Q84+IF(O84="",0,O84)))</f>
        <v/>
      </c>
      <c r="S84" s="42"/>
      <c r="T84" s="43" t="str">
        <f aca="false">IF($A84="","",IF(R84="","",R84-IF(S84="",0,S84)))</f>
        <v/>
      </c>
      <c r="U84" s="43" t="str">
        <f aca="false">IF($A84="","",IF(I84="","",I84-SUM(J84:P84)))</f>
        <v/>
      </c>
      <c r="V84" s="6" t="s">
        <v>4386</v>
      </c>
      <c r="W84" s="9" t="s">
        <v>528</v>
      </c>
      <c r="X84" s="9" t="s">
        <v>4387</v>
      </c>
      <c r="AC84" s="9" t="s">
        <v>4369</v>
      </c>
      <c r="AD84" s="9" t="s">
        <v>4370</v>
      </c>
      <c r="AE84" s="9" t="s">
        <v>4371</v>
      </c>
    </row>
    <row r="85" customFormat="false" ht="15" hidden="false" customHeight="true" outlineLevel="0" collapsed="false">
      <c r="A85" s="6" t="s">
        <v>835</v>
      </c>
      <c r="B85" s="6" t="s">
        <v>396</v>
      </c>
      <c r="C85" s="6" t="s">
        <v>401</v>
      </c>
      <c r="D85" s="6" t="n">
        <v>6</v>
      </c>
      <c r="E85" s="9" t="s">
        <v>4366</v>
      </c>
      <c r="F85" s="35" t="n">
        <v>52456</v>
      </c>
      <c r="G85" s="42"/>
      <c r="H85" s="42"/>
      <c r="I85" s="42"/>
      <c r="J85" s="42"/>
      <c r="K85" s="42"/>
      <c r="L85" s="42"/>
      <c r="M85" s="42"/>
      <c r="N85" s="42"/>
      <c r="O85" s="42"/>
      <c r="P85" s="42"/>
      <c r="Q85" s="43" t="str">
        <f aca="false">IF($A85="","",IF(OR(F85="",I85=""),"",F85-I85))</f>
        <v/>
      </c>
      <c r="R85" s="43" t="str">
        <f aca="false">IF($A85="","",IF(Q85="","",Q85+IF(O85="",0,O85)))</f>
        <v/>
      </c>
      <c r="S85" s="42"/>
      <c r="T85" s="43" t="str">
        <f aca="false">IF($A85="","",IF(R85="","",R85-IF(S85="",0,S85)))</f>
        <v/>
      </c>
      <c r="U85" s="43" t="str">
        <f aca="false">IF($A85="","",IF(I85="","",I85-SUM(J85:P85)))</f>
        <v/>
      </c>
      <c r="V85" s="6" t="s">
        <v>4386</v>
      </c>
      <c r="W85" s="9" t="s">
        <v>528</v>
      </c>
      <c r="X85" s="9" t="s">
        <v>4387</v>
      </c>
      <c r="AC85" s="9" t="s">
        <v>4369</v>
      </c>
      <c r="AD85" s="9" t="s">
        <v>4370</v>
      </c>
      <c r="AE85" s="9" t="s">
        <v>4371</v>
      </c>
    </row>
    <row r="86" customFormat="false" ht="15" hidden="false" customHeight="true" outlineLevel="0" collapsed="false">
      <c r="A86" s="6" t="s">
        <v>837</v>
      </c>
      <c r="B86" s="6" t="s">
        <v>396</v>
      </c>
      <c r="C86" s="6" t="s">
        <v>401</v>
      </c>
      <c r="D86" s="6" t="n">
        <v>6</v>
      </c>
      <c r="E86" s="9" t="s">
        <v>4366</v>
      </c>
      <c r="F86" s="35" t="n">
        <v>342775</v>
      </c>
      <c r="G86" s="42"/>
      <c r="H86" s="42"/>
      <c r="I86" s="42"/>
      <c r="J86" s="42"/>
      <c r="K86" s="42"/>
      <c r="L86" s="42"/>
      <c r="M86" s="42"/>
      <c r="N86" s="42"/>
      <c r="O86" s="42"/>
      <c r="P86" s="42"/>
      <c r="Q86" s="43" t="str">
        <f aca="false">IF($A86="","",IF(OR(F86="",I86=""),"",F86-I86))</f>
        <v/>
      </c>
      <c r="R86" s="43" t="str">
        <f aca="false">IF($A86="","",IF(Q86="","",Q86+IF(O86="",0,O86)))</f>
        <v/>
      </c>
      <c r="S86" s="42"/>
      <c r="T86" s="43" t="str">
        <f aca="false">IF($A86="","",IF(R86="","",R86-IF(S86="",0,S86)))</f>
        <v/>
      </c>
      <c r="U86" s="43" t="str">
        <f aca="false">IF($A86="","",IF(I86="","",I86-SUM(J86:P86)))</f>
        <v/>
      </c>
      <c r="V86" s="6" t="s">
        <v>4386</v>
      </c>
      <c r="W86" s="9" t="s">
        <v>528</v>
      </c>
      <c r="X86" s="9" t="s">
        <v>4387</v>
      </c>
      <c r="AC86" s="9" t="s">
        <v>4369</v>
      </c>
      <c r="AD86" s="9" t="s">
        <v>4370</v>
      </c>
      <c r="AE86" s="9" t="s">
        <v>4371</v>
      </c>
    </row>
    <row r="87" customFormat="false" ht="15" hidden="false" customHeight="true" outlineLevel="0" collapsed="false">
      <c r="A87" s="6" t="s">
        <v>840</v>
      </c>
      <c r="B87" s="6" t="s">
        <v>396</v>
      </c>
      <c r="C87" s="6" t="s">
        <v>401</v>
      </c>
      <c r="D87" s="6" t="n">
        <v>6</v>
      </c>
      <c r="E87" s="9" t="s">
        <v>4381</v>
      </c>
      <c r="F87" s="42"/>
      <c r="G87" s="42"/>
      <c r="H87" s="42"/>
      <c r="I87" s="42"/>
      <c r="J87" s="42"/>
      <c r="K87" s="42"/>
      <c r="L87" s="42"/>
      <c r="M87" s="42"/>
      <c r="N87" s="42"/>
      <c r="O87" s="42"/>
      <c r="P87" s="42"/>
      <c r="Q87" s="43" t="str">
        <f aca="false">IF($A87="","",IF(OR(F87="",I87=""),"",F87-I87))</f>
        <v/>
      </c>
      <c r="R87" s="43" t="str">
        <f aca="false">IF($A87="","",IF(Q87="","",Q87+IF(O87="",0,O87)))</f>
        <v/>
      </c>
      <c r="S87" s="42"/>
      <c r="T87" s="43" t="str">
        <f aca="false">IF($A87="","",IF(R87="","",R87-IF(S87="",0,S87)))</f>
        <v/>
      </c>
      <c r="U87" s="43" t="str">
        <f aca="false">IF($A87="","",IF(I87="","",I87-SUM(J87:P87)))</f>
        <v/>
      </c>
      <c r="V87" s="6" t="s">
        <v>4386</v>
      </c>
      <c r="W87" s="9" t="s">
        <v>528</v>
      </c>
      <c r="X87" s="9" t="s">
        <v>4390</v>
      </c>
      <c r="AC87" s="9" t="s">
        <v>4369</v>
      </c>
      <c r="AD87" s="9" t="s">
        <v>4370</v>
      </c>
      <c r="AE87" s="9" t="s">
        <v>4371</v>
      </c>
    </row>
    <row r="88" customFormat="false" ht="15" hidden="false" customHeight="true" outlineLevel="0" collapsed="false">
      <c r="A88" s="6" t="s">
        <v>843</v>
      </c>
      <c r="B88" s="6" t="s">
        <v>396</v>
      </c>
      <c r="C88" s="6" t="s">
        <v>401</v>
      </c>
      <c r="D88" s="6" t="n">
        <v>6</v>
      </c>
      <c r="E88" s="9" t="s">
        <v>4366</v>
      </c>
      <c r="F88" s="35" t="n">
        <v>185852</v>
      </c>
      <c r="G88" s="42"/>
      <c r="H88" s="42"/>
      <c r="I88" s="42"/>
      <c r="J88" s="42"/>
      <c r="K88" s="42"/>
      <c r="L88" s="42"/>
      <c r="M88" s="42"/>
      <c r="N88" s="42"/>
      <c r="O88" s="42"/>
      <c r="P88" s="42"/>
      <c r="Q88" s="43" t="str">
        <f aca="false">IF($A88="","",IF(OR(F88="",I88=""),"",F88-I88))</f>
        <v/>
      </c>
      <c r="R88" s="43" t="str">
        <f aca="false">IF($A88="","",IF(Q88="","",Q88+IF(O88="",0,O88)))</f>
        <v/>
      </c>
      <c r="S88" s="42"/>
      <c r="T88" s="43" t="str">
        <f aca="false">IF($A88="","",IF(R88="","",R88-IF(S88="",0,S88)))</f>
        <v/>
      </c>
      <c r="U88" s="43" t="str">
        <f aca="false">IF($A88="","",IF(I88="","",I88-SUM(J88:P88)))</f>
        <v/>
      </c>
      <c r="V88" s="6" t="s">
        <v>4386</v>
      </c>
      <c r="W88" s="9" t="s">
        <v>528</v>
      </c>
      <c r="X88" s="9" t="s">
        <v>4387</v>
      </c>
      <c r="AC88" s="9" t="s">
        <v>4369</v>
      </c>
      <c r="AD88" s="9" t="s">
        <v>4370</v>
      </c>
      <c r="AE88" s="9" t="s">
        <v>4371</v>
      </c>
    </row>
    <row r="89" customFormat="false" ht="15" hidden="false" customHeight="true" outlineLevel="0" collapsed="false">
      <c r="A89" s="6" t="s">
        <v>846</v>
      </c>
      <c r="B89" s="6" t="s">
        <v>396</v>
      </c>
      <c r="C89" s="6" t="s">
        <v>401</v>
      </c>
      <c r="D89" s="6" t="n">
        <v>6</v>
      </c>
      <c r="E89" s="9" t="s">
        <v>4381</v>
      </c>
      <c r="F89" s="42"/>
      <c r="G89" s="42"/>
      <c r="H89" s="42"/>
      <c r="I89" s="42"/>
      <c r="J89" s="42"/>
      <c r="K89" s="42"/>
      <c r="L89" s="42"/>
      <c r="M89" s="42"/>
      <c r="N89" s="42"/>
      <c r="O89" s="42"/>
      <c r="P89" s="42"/>
      <c r="Q89" s="43" t="str">
        <f aca="false">IF($A89="","",IF(OR(F89="",I89=""),"",F89-I89))</f>
        <v/>
      </c>
      <c r="R89" s="43" t="str">
        <f aca="false">IF($A89="","",IF(Q89="","",Q89+IF(O89="",0,O89)))</f>
        <v/>
      </c>
      <c r="S89" s="42"/>
      <c r="T89" s="43" t="str">
        <f aca="false">IF($A89="","",IF(R89="","",R89-IF(S89="",0,S89)))</f>
        <v/>
      </c>
      <c r="U89" s="43" t="str">
        <f aca="false">IF($A89="","",IF(I89="","",I89-SUM(J89:P89)))</f>
        <v/>
      </c>
      <c r="V89" s="6" t="s">
        <v>4386</v>
      </c>
      <c r="W89" s="9" t="s">
        <v>528</v>
      </c>
      <c r="X89" s="9" t="s">
        <v>4390</v>
      </c>
      <c r="AC89" s="9" t="s">
        <v>4369</v>
      </c>
      <c r="AD89" s="9" t="s">
        <v>4370</v>
      </c>
      <c r="AE89" s="9" t="s">
        <v>4371</v>
      </c>
    </row>
    <row r="90" customFormat="false" ht="15" hidden="false" customHeight="true" outlineLevel="0" collapsed="false">
      <c r="A90" s="6" t="s">
        <v>848</v>
      </c>
      <c r="B90" s="6" t="s">
        <v>396</v>
      </c>
      <c r="C90" s="6" t="s">
        <v>401</v>
      </c>
      <c r="D90" s="6" t="n">
        <v>6</v>
      </c>
      <c r="E90" s="9" t="s">
        <v>4366</v>
      </c>
      <c r="F90" s="35" t="n">
        <v>40717</v>
      </c>
      <c r="G90" s="42"/>
      <c r="H90" s="42"/>
      <c r="I90" s="42"/>
      <c r="J90" s="42"/>
      <c r="K90" s="42"/>
      <c r="L90" s="42"/>
      <c r="M90" s="42"/>
      <c r="N90" s="42"/>
      <c r="O90" s="42"/>
      <c r="P90" s="42"/>
      <c r="Q90" s="43" t="str">
        <f aca="false">IF($A90="","",IF(OR(F90="",I90=""),"",F90-I90))</f>
        <v/>
      </c>
      <c r="R90" s="43" t="str">
        <f aca="false">IF($A90="","",IF(Q90="","",Q90+IF(O90="",0,O90)))</f>
        <v/>
      </c>
      <c r="S90" s="42"/>
      <c r="T90" s="43" t="str">
        <f aca="false">IF($A90="","",IF(R90="","",R90-IF(S90="",0,S90)))</f>
        <v/>
      </c>
      <c r="U90" s="43" t="str">
        <f aca="false">IF($A90="","",IF(I90="","",I90-SUM(J90:P90)))</f>
        <v/>
      </c>
      <c r="V90" s="6" t="s">
        <v>4386</v>
      </c>
      <c r="W90" s="9" t="s">
        <v>528</v>
      </c>
      <c r="X90" s="9" t="s">
        <v>4387</v>
      </c>
      <c r="AC90" s="9" t="s">
        <v>4369</v>
      </c>
      <c r="AD90" s="9" t="s">
        <v>4370</v>
      </c>
      <c r="AE90" s="9" t="s">
        <v>4371</v>
      </c>
    </row>
    <row r="91" customFormat="false" ht="15" hidden="false" customHeight="true" outlineLevel="0" collapsed="false">
      <c r="A91" s="6" t="s">
        <v>851</v>
      </c>
      <c r="B91" s="6" t="s">
        <v>396</v>
      </c>
      <c r="C91" s="6" t="s">
        <v>401</v>
      </c>
      <c r="D91" s="6" t="n">
        <v>6</v>
      </c>
      <c r="E91" s="9" t="s">
        <v>4366</v>
      </c>
      <c r="F91" s="35" t="n">
        <v>55938</v>
      </c>
      <c r="G91" s="42"/>
      <c r="H91" s="42"/>
      <c r="I91" s="42"/>
      <c r="J91" s="42"/>
      <c r="K91" s="42"/>
      <c r="L91" s="42"/>
      <c r="M91" s="42"/>
      <c r="N91" s="42"/>
      <c r="O91" s="42"/>
      <c r="P91" s="42"/>
      <c r="Q91" s="43" t="str">
        <f aca="false">IF($A91="","",IF(OR(F91="",I91=""),"",F91-I91))</f>
        <v/>
      </c>
      <c r="R91" s="43" t="str">
        <f aca="false">IF($A91="","",IF(Q91="","",Q91+IF(O91="",0,O91)))</f>
        <v/>
      </c>
      <c r="S91" s="42"/>
      <c r="T91" s="43" t="str">
        <f aca="false">IF($A91="","",IF(R91="","",R91-IF(S91="",0,S91)))</f>
        <v/>
      </c>
      <c r="U91" s="43" t="str">
        <f aca="false">IF($A91="","",IF(I91="","",I91-SUM(J91:P91)))</f>
        <v/>
      </c>
      <c r="V91" s="6" t="s">
        <v>4386</v>
      </c>
      <c r="W91" s="9" t="s">
        <v>528</v>
      </c>
      <c r="X91" s="9" t="s">
        <v>4387</v>
      </c>
      <c r="AC91" s="9" t="s">
        <v>4369</v>
      </c>
      <c r="AD91" s="9" t="s">
        <v>4370</v>
      </c>
      <c r="AE91" s="9" t="s">
        <v>4371</v>
      </c>
    </row>
    <row r="92" customFormat="false" ht="15" hidden="false" customHeight="true" outlineLevel="0" collapsed="false">
      <c r="A92" s="6" t="s">
        <v>854</v>
      </c>
      <c r="B92" s="6" t="s">
        <v>396</v>
      </c>
      <c r="C92" s="6" t="s">
        <v>401</v>
      </c>
      <c r="D92" s="6" t="n">
        <v>6</v>
      </c>
      <c r="E92" s="9" t="s">
        <v>4366</v>
      </c>
      <c r="F92" s="35" t="n">
        <v>148105</v>
      </c>
      <c r="G92" s="42"/>
      <c r="H92" s="42"/>
      <c r="I92" s="42"/>
      <c r="J92" s="42"/>
      <c r="K92" s="42"/>
      <c r="L92" s="42"/>
      <c r="M92" s="42"/>
      <c r="N92" s="42"/>
      <c r="O92" s="42"/>
      <c r="P92" s="42"/>
      <c r="Q92" s="43" t="str">
        <f aca="false">IF($A92="","",IF(OR(F92="",I92=""),"",F92-I92))</f>
        <v/>
      </c>
      <c r="R92" s="43" t="str">
        <f aca="false">IF($A92="","",IF(Q92="","",Q92+IF(O92="",0,O92)))</f>
        <v/>
      </c>
      <c r="S92" s="42"/>
      <c r="T92" s="43" t="str">
        <f aca="false">IF($A92="","",IF(R92="","",R92-IF(S92="",0,S92)))</f>
        <v/>
      </c>
      <c r="U92" s="43" t="str">
        <f aca="false">IF($A92="","",IF(I92="","",I92-SUM(J92:P92)))</f>
        <v/>
      </c>
      <c r="V92" s="6" t="s">
        <v>4386</v>
      </c>
      <c r="W92" s="9" t="s">
        <v>528</v>
      </c>
      <c r="X92" s="9" t="s">
        <v>4387</v>
      </c>
      <c r="AC92" s="9" t="s">
        <v>4369</v>
      </c>
      <c r="AD92" s="9" t="s">
        <v>4370</v>
      </c>
      <c r="AE92" s="9" t="s">
        <v>4371</v>
      </c>
    </row>
    <row r="93" customFormat="false" ht="15" hidden="false" customHeight="true" outlineLevel="0" collapsed="false">
      <c r="A93" s="6" t="s">
        <v>857</v>
      </c>
      <c r="B93" s="6" t="s">
        <v>396</v>
      </c>
      <c r="C93" s="6" t="s">
        <v>401</v>
      </c>
      <c r="D93" s="6" t="n">
        <v>6</v>
      </c>
      <c r="E93" s="9" t="s">
        <v>4366</v>
      </c>
      <c r="F93" s="35" t="n">
        <v>81645</v>
      </c>
      <c r="G93" s="42"/>
      <c r="H93" s="42"/>
      <c r="I93" s="42"/>
      <c r="J93" s="42"/>
      <c r="K93" s="42"/>
      <c r="L93" s="42"/>
      <c r="M93" s="42"/>
      <c r="N93" s="42"/>
      <c r="O93" s="42"/>
      <c r="P93" s="42"/>
      <c r="Q93" s="43" t="str">
        <f aca="false">IF($A93="","",IF(OR(F93="",I93=""),"",F93-I93))</f>
        <v/>
      </c>
      <c r="R93" s="43" t="str">
        <f aca="false">IF($A93="","",IF(Q93="","",Q93+IF(O93="",0,O93)))</f>
        <v/>
      </c>
      <c r="S93" s="42"/>
      <c r="T93" s="43" t="str">
        <f aca="false">IF($A93="","",IF(R93="","",R93-IF(S93="",0,S93)))</f>
        <v/>
      </c>
      <c r="U93" s="43" t="str">
        <f aca="false">IF($A93="","",IF(I93="","",I93-SUM(J93:P93)))</f>
        <v/>
      </c>
      <c r="V93" s="6" t="s">
        <v>4386</v>
      </c>
      <c r="W93" s="9" t="s">
        <v>528</v>
      </c>
      <c r="X93" s="9" t="s">
        <v>4387</v>
      </c>
      <c r="AC93" s="9" t="s">
        <v>4369</v>
      </c>
      <c r="AD93" s="9" t="s">
        <v>4370</v>
      </c>
      <c r="AE93" s="9" t="s">
        <v>4371</v>
      </c>
    </row>
    <row r="94" customFormat="false" ht="15" hidden="false" customHeight="true" outlineLevel="0" collapsed="false">
      <c r="A94" s="6" t="s">
        <v>860</v>
      </c>
      <c r="B94" s="6" t="s">
        <v>396</v>
      </c>
      <c r="C94" s="6" t="s">
        <v>401</v>
      </c>
      <c r="D94" s="6" t="n">
        <v>6</v>
      </c>
      <c r="E94" s="9" t="s">
        <v>4366</v>
      </c>
      <c r="F94" s="35" t="n">
        <v>539688</v>
      </c>
      <c r="G94" s="42"/>
      <c r="H94" s="42"/>
      <c r="I94" s="42"/>
      <c r="J94" s="42"/>
      <c r="K94" s="42"/>
      <c r="L94" s="42"/>
      <c r="M94" s="42"/>
      <c r="N94" s="42"/>
      <c r="O94" s="42"/>
      <c r="P94" s="42"/>
      <c r="Q94" s="43" t="str">
        <f aca="false">IF($A94="","",IF(OR(F94="",I94=""),"",F94-I94))</f>
        <v/>
      </c>
      <c r="R94" s="43" t="str">
        <f aca="false">IF($A94="","",IF(Q94="","",Q94+IF(O94="",0,O94)))</f>
        <v/>
      </c>
      <c r="S94" s="42"/>
      <c r="T94" s="43" t="str">
        <f aca="false">IF($A94="","",IF(R94="","",R94-IF(S94="",0,S94)))</f>
        <v/>
      </c>
      <c r="U94" s="43" t="str">
        <f aca="false">IF($A94="","",IF(I94="","",I94-SUM(J94:P94)))</f>
        <v/>
      </c>
      <c r="V94" s="6" t="s">
        <v>4386</v>
      </c>
      <c r="W94" s="9" t="s">
        <v>528</v>
      </c>
      <c r="X94" s="9" t="s">
        <v>4387</v>
      </c>
      <c r="AC94" s="9" t="s">
        <v>4369</v>
      </c>
      <c r="AD94" s="9" t="s">
        <v>4370</v>
      </c>
      <c r="AE94" s="9" t="s">
        <v>4371</v>
      </c>
    </row>
    <row r="95" customFormat="false" ht="15" hidden="false" customHeight="true" outlineLevel="0" collapsed="false">
      <c r="A95" s="6" t="s">
        <v>863</v>
      </c>
      <c r="B95" s="6" t="s">
        <v>396</v>
      </c>
      <c r="C95" s="6" t="s">
        <v>401</v>
      </c>
      <c r="D95" s="6" t="n">
        <v>6</v>
      </c>
      <c r="E95" s="9" t="s">
        <v>4366</v>
      </c>
      <c r="F95" s="35" t="n">
        <v>105623</v>
      </c>
      <c r="G95" s="42"/>
      <c r="H95" s="42"/>
      <c r="I95" s="42"/>
      <c r="J95" s="42"/>
      <c r="K95" s="42"/>
      <c r="L95" s="42"/>
      <c r="M95" s="42"/>
      <c r="N95" s="42"/>
      <c r="O95" s="42"/>
      <c r="P95" s="42"/>
      <c r="Q95" s="43" t="str">
        <f aca="false">IF($A95="","",IF(OR(F95="",I95=""),"",F95-I95))</f>
        <v/>
      </c>
      <c r="R95" s="43" t="str">
        <f aca="false">IF($A95="","",IF(Q95="","",Q95+IF(O95="",0,O95)))</f>
        <v/>
      </c>
      <c r="S95" s="42"/>
      <c r="T95" s="43" t="str">
        <f aca="false">IF($A95="","",IF(R95="","",R95-IF(S95="",0,S95)))</f>
        <v/>
      </c>
      <c r="U95" s="43" t="str">
        <f aca="false">IF($A95="","",IF(I95="","",I95-SUM(J95:P95)))</f>
        <v/>
      </c>
      <c r="V95" s="6" t="s">
        <v>4386</v>
      </c>
      <c r="W95" s="9" t="s">
        <v>528</v>
      </c>
      <c r="X95" s="9" t="s">
        <v>4387</v>
      </c>
      <c r="AC95" s="9" t="s">
        <v>4369</v>
      </c>
      <c r="AD95" s="9" t="s">
        <v>4370</v>
      </c>
      <c r="AE95" s="9" t="s">
        <v>4371</v>
      </c>
    </row>
    <row r="96" customFormat="false" ht="15" hidden="false" customHeight="true" outlineLevel="0" collapsed="false">
      <c r="A96" s="6" t="s">
        <v>866</v>
      </c>
      <c r="B96" s="6" t="s">
        <v>396</v>
      </c>
      <c r="C96" s="6" t="s">
        <v>401</v>
      </c>
      <c r="D96" s="6" t="n">
        <v>6</v>
      </c>
      <c r="E96" s="9" t="s">
        <v>4366</v>
      </c>
      <c r="F96" s="35" t="n">
        <v>349235</v>
      </c>
      <c r="G96" s="42"/>
      <c r="H96" s="42"/>
      <c r="I96" s="42"/>
      <c r="J96" s="42"/>
      <c r="K96" s="42"/>
      <c r="L96" s="42"/>
      <c r="M96" s="42"/>
      <c r="N96" s="42"/>
      <c r="O96" s="42"/>
      <c r="P96" s="42"/>
      <c r="Q96" s="43" t="str">
        <f aca="false">IF($A96="","",IF(OR(F96="",I96=""),"",F96-I96))</f>
        <v/>
      </c>
      <c r="R96" s="43" t="str">
        <f aca="false">IF($A96="","",IF(Q96="","",Q96+IF(O96="",0,O96)))</f>
        <v/>
      </c>
      <c r="S96" s="42"/>
      <c r="T96" s="43" t="str">
        <f aca="false">IF($A96="","",IF(R96="","",R96-IF(S96="",0,S96)))</f>
        <v/>
      </c>
      <c r="U96" s="43" t="str">
        <f aca="false">IF($A96="","",IF(I96="","",I96-SUM(J96:P96)))</f>
        <v/>
      </c>
      <c r="V96" s="6" t="s">
        <v>4386</v>
      </c>
      <c r="W96" s="9" t="s">
        <v>528</v>
      </c>
      <c r="X96" s="9" t="s">
        <v>4387</v>
      </c>
      <c r="AC96" s="9" t="s">
        <v>4369</v>
      </c>
      <c r="AD96" s="9" t="s">
        <v>4370</v>
      </c>
      <c r="AE96" s="9" t="s">
        <v>4371</v>
      </c>
    </row>
    <row r="97" customFormat="false" ht="15" hidden="false" customHeight="true" outlineLevel="0" collapsed="false">
      <c r="A97" s="6" t="s">
        <v>869</v>
      </c>
      <c r="B97" s="6" t="s">
        <v>396</v>
      </c>
      <c r="C97" s="6" t="s">
        <v>401</v>
      </c>
      <c r="D97" s="6" t="n">
        <v>6</v>
      </c>
      <c r="E97" s="9" t="s">
        <v>4381</v>
      </c>
      <c r="F97" s="42"/>
      <c r="G97" s="42"/>
      <c r="H97" s="42"/>
      <c r="I97" s="42"/>
      <c r="J97" s="42"/>
      <c r="K97" s="42"/>
      <c r="L97" s="42"/>
      <c r="M97" s="42"/>
      <c r="N97" s="42"/>
      <c r="O97" s="42"/>
      <c r="P97" s="42"/>
      <c r="Q97" s="43" t="str">
        <f aca="false">IF($A97="","",IF(OR(F97="",I97=""),"",F97-I97))</f>
        <v/>
      </c>
      <c r="R97" s="43" t="str">
        <f aca="false">IF($A97="","",IF(Q97="","",Q97+IF(O97="",0,O97)))</f>
        <v/>
      </c>
      <c r="S97" s="42"/>
      <c r="T97" s="43" t="str">
        <f aca="false">IF($A97="","",IF(R97="","",R97-IF(S97="",0,S97)))</f>
        <v/>
      </c>
      <c r="U97" s="43" t="str">
        <f aca="false">IF($A97="","",IF(I97="","",I97-SUM(J97:P97)))</f>
        <v/>
      </c>
      <c r="V97" s="6" t="s">
        <v>4386</v>
      </c>
      <c r="W97" s="9" t="s">
        <v>528</v>
      </c>
      <c r="X97" s="9" t="s">
        <v>4390</v>
      </c>
      <c r="AC97" s="9" t="s">
        <v>4369</v>
      </c>
      <c r="AD97" s="9" t="s">
        <v>4370</v>
      </c>
      <c r="AE97" s="9" t="s">
        <v>4371</v>
      </c>
    </row>
    <row r="98" customFormat="false" ht="15" hidden="false" customHeight="true" outlineLevel="0" collapsed="false">
      <c r="A98" s="6" t="s">
        <v>871</v>
      </c>
      <c r="B98" s="6" t="s">
        <v>396</v>
      </c>
      <c r="C98" s="6" t="s">
        <v>401</v>
      </c>
      <c r="D98" s="6" t="n">
        <v>6</v>
      </c>
      <c r="E98" s="9" t="s">
        <v>4366</v>
      </c>
      <c r="F98" s="35" t="n">
        <v>91289</v>
      </c>
      <c r="G98" s="42"/>
      <c r="H98" s="42"/>
      <c r="I98" s="42"/>
      <c r="J98" s="42"/>
      <c r="K98" s="42"/>
      <c r="L98" s="42"/>
      <c r="M98" s="42"/>
      <c r="N98" s="42"/>
      <c r="O98" s="42"/>
      <c r="P98" s="42"/>
      <c r="Q98" s="43" t="str">
        <f aca="false">IF($A98="","",IF(OR(F98="",I98=""),"",F98-I98))</f>
        <v/>
      </c>
      <c r="R98" s="43" t="str">
        <f aca="false">IF($A98="","",IF(Q98="","",Q98+IF(O98="",0,O98)))</f>
        <v/>
      </c>
      <c r="S98" s="42"/>
      <c r="T98" s="43" t="str">
        <f aca="false">IF($A98="","",IF(R98="","",R98-IF(S98="",0,S98)))</f>
        <v/>
      </c>
      <c r="U98" s="43" t="str">
        <f aca="false">IF($A98="","",IF(I98="","",I98-SUM(J98:P98)))</f>
        <v/>
      </c>
      <c r="V98" s="6" t="s">
        <v>4386</v>
      </c>
      <c r="W98" s="9" t="s">
        <v>528</v>
      </c>
      <c r="X98" s="9" t="s">
        <v>4387</v>
      </c>
      <c r="AC98" s="9" t="s">
        <v>4369</v>
      </c>
      <c r="AD98" s="9" t="s">
        <v>4370</v>
      </c>
      <c r="AE98" s="9" t="s">
        <v>4371</v>
      </c>
    </row>
    <row r="99" customFormat="false" ht="15" hidden="false" customHeight="true" outlineLevel="0" collapsed="false">
      <c r="A99" s="6" t="s">
        <v>874</v>
      </c>
      <c r="B99" s="6" t="s">
        <v>396</v>
      </c>
      <c r="C99" s="6" t="s">
        <v>401</v>
      </c>
      <c r="D99" s="6" t="n">
        <v>6</v>
      </c>
      <c r="E99" s="9" t="s">
        <v>4366</v>
      </c>
      <c r="F99" s="35" t="n">
        <v>165636</v>
      </c>
      <c r="G99" s="42"/>
      <c r="H99" s="42"/>
      <c r="I99" s="42"/>
      <c r="J99" s="42"/>
      <c r="K99" s="42"/>
      <c r="L99" s="42"/>
      <c r="M99" s="42"/>
      <c r="N99" s="42"/>
      <c r="O99" s="42"/>
      <c r="P99" s="42"/>
      <c r="Q99" s="43" t="str">
        <f aca="false">IF($A99="","",IF(OR(F99="",I99=""),"",F99-I99))</f>
        <v/>
      </c>
      <c r="R99" s="43" t="str">
        <f aca="false">IF($A99="","",IF(Q99="","",Q99+IF(O99="",0,O99)))</f>
        <v/>
      </c>
      <c r="S99" s="42"/>
      <c r="T99" s="43" t="str">
        <f aca="false">IF($A99="","",IF(R99="","",R99-IF(S99="",0,S99)))</f>
        <v/>
      </c>
      <c r="U99" s="43" t="str">
        <f aca="false">IF($A99="","",IF(I99="","",I99-SUM(J99:P99)))</f>
        <v/>
      </c>
      <c r="V99" s="6" t="s">
        <v>4386</v>
      </c>
      <c r="W99" s="9" t="s">
        <v>528</v>
      </c>
      <c r="X99" s="9" t="s">
        <v>4387</v>
      </c>
      <c r="AC99" s="9" t="s">
        <v>4369</v>
      </c>
      <c r="AD99" s="9" t="s">
        <v>4370</v>
      </c>
      <c r="AE99" s="9" t="s">
        <v>4371</v>
      </c>
    </row>
    <row r="100" customFormat="false" ht="15" hidden="false" customHeight="true" outlineLevel="0" collapsed="false">
      <c r="A100" s="6" t="s">
        <v>877</v>
      </c>
      <c r="B100" s="6" t="s">
        <v>396</v>
      </c>
      <c r="C100" s="6" t="s">
        <v>401</v>
      </c>
      <c r="D100" s="6" t="n">
        <v>6</v>
      </c>
      <c r="E100" s="9" t="s">
        <v>4366</v>
      </c>
      <c r="F100" s="35" t="n">
        <v>42032</v>
      </c>
      <c r="G100" s="42"/>
      <c r="H100" s="42"/>
      <c r="I100" s="42"/>
      <c r="J100" s="42"/>
      <c r="K100" s="42"/>
      <c r="L100" s="42"/>
      <c r="M100" s="42"/>
      <c r="N100" s="42"/>
      <c r="O100" s="42"/>
      <c r="P100" s="42"/>
      <c r="Q100" s="43" t="str">
        <f aca="false">IF($A100="","",IF(OR(F100="",I100=""),"",F100-I100))</f>
        <v/>
      </c>
      <c r="R100" s="43" t="str">
        <f aca="false">IF($A100="","",IF(Q100="","",Q100+IF(O100="",0,O100)))</f>
        <v/>
      </c>
      <c r="S100" s="42"/>
      <c r="T100" s="43" t="str">
        <f aca="false">IF($A100="","",IF(R100="","",R100-IF(S100="",0,S100)))</f>
        <v/>
      </c>
      <c r="U100" s="43" t="str">
        <f aca="false">IF($A100="","",IF(I100="","",I100-SUM(J100:P100)))</f>
        <v/>
      </c>
      <c r="V100" s="6" t="s">
        <v>4386</v>
      </c>
      <c r="W100" s="9" t="s">
        <v>528</v>
      </c>
      <c r="X100" s="9" t="s">
        <v>4387</v>
      </c>
      <c r="AC100" s="9" t="s">
        <v>4369</v>
      </c>
      <c r="AD100" s="9" t="s">
        <v>4370</v>
      </c>
      <c r="AE100" s="9" t="s">
        <v>4371</v>
      </c>
    </row>
    <row r="101" customFormat="false" ht="15" hidden="false" customHeight="true" outlineLevel="0" collapsed="false">
      <c r="A101" s="6" t="s">
        <v>879</v>
      </c>
      <c r="B101" s="6" t="s">
        <v>396</v>
      </c>
      <c r="C101" s="6" t="s">
        <v>401</v>
      </c>
      <c r="D101" s="6" t="n">
        <v>6</v>
      </c>
      <c r="E101" s="9" t="s">
        <v>4366</v>
      </c>
      <c r="F101" s="35" t="n">
        <v>442464</v>
      </c>
      <c r="G101" s="42"/>
      <c r="H101" s="42"/>
      <c r="I101" s="42"/>
      <c r="J101" s="42"/>
      <c r="K101" s="42"/>
      <c r="L101" s="42"/>
      <c r="M101" s="42"/>
      <c r="N101" s="42"/>
      <c r="O101" s="42"/>
      <c r="P101" s="42"/>
      <c r="Q101" s="43" t="str">
        <f aca="false">IF($A101="","",IF(OR(F101="",I101=""),"",F101-I101))</f>
        <v/>
      </c>
      <c r="R101" s="43" t="str">
        <f aca="false">IF($A101="","",IF(Q101="","",Q101+IF(O101="",0,O101)))</f>
        <v/>
      </c>
      <c r="S101" s="42"/>
      <c r="T101" s="43" t="str">
        <f aca="false">IF($A101="","",IF(R101="","",R101-IF(S101="",0,S101)))</f>
        <v/>
      </c>
      <c r="U101" s="43" t="str">
        <f aca="false">IF($A101="","",IF(I101="","",I101-SUM(J101:P101)))</f>
        <v/>
      </c>
      <c r="V101" s="6" t="s">
        <v>4386</v>
      </c>
      <c r="W101" s="9" t="s">
        <v>528</v>
      </c>
      <c r="X101" s="9" t="s">
        <v>4387</v>
      </c>
      <c r="AC101" s="9" t="s">
        <v>4369</v>
      </c>
      <c r="AD101" s="9" t="s">
        <v>4370</v>
      </c>
      <c r="AE101" s="9" t="s">
        <v>4371</v>
      </c>
    </row>
    <row r="102" customFormat="false" ht="15" hidden="false" customHeight="true" outlineLevel="0" collapsed="false">
      <c r="A102" s="6" t="s">
        <v>882</v>
      </c>
      <c r="B102" s="6" t="s">
        <v>396</v>
      </c>
      <c r="C102" s="6" t="s">
        <v>401</v>
      </c>
      <c r="D102" s="6" t="n">
        <v>6</v>
      </c>
      <c r="E102" s="9" t="s">
        <v>4366</v>
      </c>
      <c r="F102" s="35" t="n">
        <v>156171</v>
      </c>
      <c r="G102" s="42"/>
      <c r="H102" s="42"/>
      <c r="I102" s="42"/>
      <c r="J102" s="42"/>
      <c r="K102" s="42"/>
      <c r="L102" s="42"/>
      <c r="M102" s="42"/>
      <c r="N102" s="42"/>
      <c r="O102" s="42"/>
      <c r="P102" s="42"/>
      <c r="Q102" s="43" t="str">
        <f aca="false">IF($A102="","",IF(OR(F102="",I102=""),"",F102-I102))</f>
        <v/>
      </c>
      <c r="R102" s="43" t="str">
        <f aca="false">IF($A102="","",IF(Q102="","",Q102+IF(O102="",0,O102)))</f>
        <v/>
      </c>
      <c r="S102" s="42"/>
      <c r="T102" s="43" t="str">
        <f aca="false">IF($A102="","",IF(R102="","",R102-IF(S102="",0,S102)))</f>
        <v/>
      </c>
      <c r="U102" s="43" t="str">
        <f aca="false">IF($A102="","",IF(I102="","",I102-SUM(J102:P102)))</f>
        <v/>
      </c>
      <c r="V102" s="6" t="s">
        <v>4386</v>
      </c>
      <c r="W102" s="9" t="s">
        <v>528</v>
      </c>
      <c r="X102" s="9" t="s">
        <v>4387</v>
      </c>
      <c r="AC102" s="9" t="s">
        <v>4369</v>
      </c>
      <c r="AD102" s="9" t="s">
        <v>4370</v>
      </c>
      <c r="AE102" s="9" t="s">
        <v>4371</v>
      </c>
    </row>
    <row r="103" customFormat="false" ht="15" hidden="false" customHeight="true" outlineLevel="0" collapsed="false">
      <c r="A103" s="6" t="s">
        <v>885</v>
      </c>
      <c r="B103" s="6" t="s">
        <v>396</v>
      </c>
      <c r="C103" s="6" t="s">
        <v>401</v>
      </c>
      <c r="D103" s="6" t="n">
        <v>6</v>
      </c>
      <c r="E103" s="9" t="s">
        <v>4366</v>
      </c>
      <c r="F103" s="35" t="n">
        <v>44870</v>
      </c>
      <c r="G103" s="42"/>
      <c r="H103" s="42"/>
      <c r="I103" s="42"/>
      <c r="J103" s="42"/>
      <c r="K103" s="42"/>
      <c r="L103" s="42"/>
      <c r="M103" s="42"/>
      <c r="N103" s="42"/>
      <c r="O103" s="42"/>
      <c r="P103" s="42"/>
      <c r="Q103" s="43" t="str">
        <f aca="false">IF($A103="","",IF(OR(F103="",I103=""),"",F103-I103))</f>
        <v/>
      </c>
      <c r="R103" s="43" t="str">
        <f aca="false">IF($A103="","",IF(Q103="","",Q103+IF(O103="",0,O103)))</f>
        <v/>
      </c>
      <c r="S103" s="42"/>
      <c r="T103" s="43" t="str">
        <f aca="false">IF($A103="","",IF(R103="","",R103-IF(S103="",0,S103)))</f>
        <v/>
      </c>
      <c r="U103" s="43" t="str">
        <f aca="false">IF($A103="","",IF(I103="","",I103-SUM(J103:P103)))</f>
        <v/>
      </c>
      <c r="V103" s="6" t="s">
        <v>4386</v>
      </c>
      <c r="W103" s="9" t="s">
        <v>528</v>
      </c>
      <c r="X103" s="6" t="s">
        <v>4392</v>
      </c>
      <c r="AC103" s="6" t="s">
        <v>4373</v>
      </c>
      <c r="AD103" s="9" t="s">
        <v>4374</v>
      </c>
      <c r="AE103" s="9" t="s">
        <v>4371</v>
      </c>
    </row>
    <row r="104" customFormat="false" ht="15" hidden="false" customHeight="true" outlineLevel="0" collapsed="false">
      <c r="A104" s="6" t="s">
        <v>888</v>
      </c>
      <c r="B104" s="6" t="s">
        <v>396</v>
      </c>
      <c r="C104" s="6" t="s">
        <v>401</v>
      </c>
      <c r="D104" s="6" t="n">
        <v>6</v>
      </c>
      <c r="E104" s="9" t="s">
        <v>4366</v>
      </c>
      <c r="F104" s="35" t="n">
        <v>114427</v>
      </c>
      <c r="G104" s="42"/>
      <c r="H104" s="42"/>
      <c r="I104" s="42"/>
      <c r="J104" s="42"/>
      <c r="K104" s="42"/>
      <c r="L104" s="42"/>
      <c r="M104" s="42"/>
      <c r="N104" s="42"/>
      <c r="O104" s="42"/>
      <c r="P104" s="42"/>
      <c r="Q104" s="43" t="str">
        <f aca="false">IF($A104="","",IF(OR(F104="",I104=""),"",F104-I104))</f>
        <v/>
      </c>
      <c r="R104" s="43" t="str">
        <f aca="false">IF($A104="","",IF(Q104="","",Q104+IF(O104="",0,O104)))</f>
        <v/>
      </c>
      <c r="S104" s="42"/>
      <c r="T104" s="43" t="str">
        <f aca="false">IF($A104="","",IF(R104="","",R104-IF(S104="",0,S104)))</f>
        <v/>
      </c>
      <c r="U104" s="43" t="str">
        <f aca="false">IF($A104="","",IF(I104="","",I104-SUM(J104:P104)))</f>
        <v/>
      </c>
      <c r="V104" s="6" t="s">
        <v>4386</v>
      </c>
      <c r="W104" s="9" t="s">
        <v>528</v>
      </c>
      <c r="X104" s="6" t="s">
        <v>4393</v>
      </c>
      <c r="AC104" s="6" t="s">
        <v>4373</v>
      </c>
      <c r="AD104" s="9" t="s">
        <v>4374</v>
      </c>
      <c r="AE104" s="9" t="s">
        <v>4371</v>
      </c>
    </row>
    <row r="105" customFormat="false" ht="15" hidden="false" customHeight="true" outlineLevel="0" collapsed="false">
      <c r="A105" s="6" t="s">
        <v>891</v>
      </c>
      <c r="B105" s="6" t="s">
        <v>396</v>
      </c>
      <c r="C105" s="6" t="s">
        <v>401</v>
      </c>
      <c r="D105" s="6" t="n">
        <v>6</v>
      </c>
      <c r="E105" s="9" t="s">
        <v>4366</v>
      </c>
      <c r="F105" s="35" t="n">
        <v>144872</v>
      </c>
      <c r="G105" s="42"/>
      <c r="H105" s="42"/>
      <c r="I105" s="42"/>
      <c r="J105" s="42"/>
      <c r="K105" s="42"/>
      <c r="L105" s="42"/>
      <c r="M105" s="42"/>
      <c r="N105" s="42"/>
      <c r="O105" s="42"/>
      <c r="P105" s="42"/>
      <c r="Q105" s="43" t="str">
        <f aca="false">IF($A105="","",IF(OR(F105="",I105=""),"",F105-I105))</f>
        <v/>
      </c>
      <c r="R105" s="43" t="str">
        <f aca="false">IF($A105="","",IF(Q105="","",Q105+IF(O105="",0,O105)))</f>
        <v/>
      </c>
      <c r="S105" s="42"/>
      <c r="T105" s="43" t="str">
        <f aca="false">IF($A105="","",IF(R105="","",R105-IF(S105="",0,S105)))</f>
        <v/>
      </c>
      <c r="U105" s="43" t="str">
        <f aca="false">IF($A105="","",IF(I105="","",I105-SUM(J105:P105)))</f>
        <v/>
      </c>
      <c r="V105" s="6" t="s">
        <v>4386</v>
      </c>
      <c r="W105" s="9" t="s">
        <v>528</v>
      </c>
      <c r="X105" s="9" t="s">
        <v>4387</v>
      </c>
      <c r="AC105" s="9" t="s">
        <v>4369</v>
      </c>
      <c r="AD105" s="9" t="s">
        <v>4370</v>
      </c>
      <c r="AE105" s="9" t="s">
        <v>4371</v>
      </c>
    </row>
    <row r="106" customFormat="false" ht="15" hidden="false" customHeight="true" outlineLevel="0" collapsed="false">
      <c r="A106" s="6" t="s">
        <v>895</v>
      </c>
      <c r="B106" s="6" t="s">
        <v>396</v>
      </c>
      <c r="C106" s="6" t="s">
        <v>401</v>
      </c>
      <c r="D106" s="6" t="n">
        <v>6</v>
      </c>
      <c r="E106" s="9" t="s">
        <v>4366</v>
      </c>
      <c r="F106" s="35" t="n">
        <v>190037</v>
      </c>
      <c r="G106" s="42"/>
      <c r="H106" s="42"/>
      <c r="I106" s="42"/>
      <c r="J106" s="42"/>
      <c r="K106" s="42"/>
      <c r="L106" s="42"/>
      <c r="M106" s="42"/>
      <c r="N106" s="42"/>
      <c r="O106" s="42"/>
      <c r="P106" s="42"/>
      <c r="Q106" s="43" t="str">
        <f aca="false">IF($A106="","",IF(OR(F106="",I106=""),"",F106-I106))</f>
        <v/>
      </c>
      <c r="R106" s="43" t="str">
        <f aca="false">IF($A106="","",IF(Q106="","",Q106+IF(O106="",0,O106)))</f>
        <v/>
      </c>
      <c r="S106" s="42"/>
      <c r="T106" s="43" t="str">
        <f aca="false">IF($A106="","",IF(R106="","",R106-IF(S106="",0,S106)))</f>
        <v/>
      </c>
      <c r="U106" s="43" t="str">
        <f aca="false">IF($A106="","",IF(I106="","",I106-SUM(J106:P106)))</f>
        <v/>
      </c>
      <c r="V106" s="6" t="s">
        <v>4386</v>
      </c>
      <c r="W106" s="9" t="s">
        <v>528</v>
      </c>
      <c r="X106" s="9" t="s">
        <v>4387</v>
      </c>
      <c r="AC106" s="9" t="s">
        <v>4369</v>
      </c>
      <c r="AD106" s="9" t="s">
        <v>4370</v>
      </c>
      <c r="AE106" s="9" t="s">
        <v>4371</v>
      </c>
    </row>
    <row r="107" customFormat="false" ht="15" hidden="false" customHeight="true" outlineLevel="0" collapsed="false">
      <c r="A107" s="6" t="s">
        <v>897</v>
      </c>
      <c r="B107" s="6" t="s">
        <v>396</v>
      </c>
      <c r="C107" s="6" t="s">
        <v>401</v>
      </c>
      <c r="D107" s="6" t="n">
        <v>6</v>
      </c>
      <c r="E107" s="9" t="s">
        <v>4366</v>
      </c>
      <c r="F107" s="35" t="n">
        <v>90416</v>
      </c>
      <c r="G107" s="42"/>
      <c r="H107" s="42"/>
      <c r="I107" s="42"/>
      <c r="J107" s="42"/>
      <c r="K107" s="42"/>
      <c r="L107" s="42"/>
      <c r="M107" s="42"/>
      <c r="N107" s="42"/>
      <c r="O107" s="42"/>
      <c r="P107" s="42"/>
      <c r="Q107" s="43" t="str">
        <f aca="false">IF($A107="","",IF(OR(F107="",I107=""),"",F107-I107))</f>
        <v/>
      </c>
      <c r="R107" s="43" t="str">
        <f aca="false">IF($A107="","",IF(Q107="","",Q107+IF(O107="",0,O107)))</f>
        <v/>
      </c>
      <c r="S107" s="42"/>
      <c r="T107" s="43" t="str">
        <f aca="false">IF($A107="","",IF(R107="","",R107-IF(S107="",0,S107)))</f>
        <v/>
      </c>
      <c r="U107" s="43" t="str">
        <f aca="false">IF($A107="","",IF(I107="","",I107-SUM(J107:P107)))</f>
        <v/>
      </c>
      <c r="V107" s="6" t="s">
        <v>4386</v>
      </c>
      <c r="W107" s="9" t="s">
        <v>528</v>
      </c>
      <c r="X107" s="9" t="s">
        <v>4387</v>
      </c>
      <c r="AC107" s="9" t="s">
        <v>4369</v>
      </c>
      <c r="AD107" s="9" t="s">
        <v>4370</v>
      </c>
      <c r="AE107" s="9" t="s">
        <v>4371</v>
      </c>
    </row>
    <row r="108" customFormat="false" ht="15" hidden="false" customHeight="true" outlineLevel="0" collapsed="false">
      <c r="A108" s="6" t="s">
        <v>900</v>
      </c>
      <c r="B108" s="6" t="s">
        <v>396</v>
      </c>
      <c r="C108" s="6" t="s">
        <v>401</v>
      </c>
      <c r="D108" s="6" t="n">
        <v>6</v>
      </c>
      <c r="E108" s="9" t="s">
        <v>4366</v>
      </c>
      <c r="F108" s="35" t="n">
        <v>712284</v>
      </c>
      <c r="G108" s="42"/>
      <c r="H108" s="42"/>
      <c r="I108" s="42"/>
      <c r="J108" s="42"/>
      <c r="K108" s="42"/>
      <c r="L108" s="42"/>
      <c r="M108" s="42"/>
      <c r="N108" s="42"/>
      <c r="O108" s="42"/>
      <c r="P108" s="42"/>
      <c r="Q108" s="43" t="str">
        <f aca="false">IF($A108="","",IF(OR(F108="",I108=""),"",F108-I108))</f>
        <v/>
      </c>
      <c r="R108" s="43" t="str">
        <f aca="false">IF($A108="","",IF(Q108="","",Q108+IF(O108="",0,O108)))</f>
        <v/>
      </c>
      <c r="S108" s="42"/>
      <c r="T108" s="43" t="str">
        <f aca="false">IF($A108="","",IF(R108="","",R108-IF(S108="",0,S108)))</f>
        <v/>
      </c>
      <c r="U108" s="43" t="str">
        <f aca="false">IF($A108="","",IF(I108="","",I108-SUM(J108:P108)))</f>
        <v/>
      </c>
      <c r="V108" s="6" t="s">
        <v>4386</v>
      </c>
      <c r="W108" s="9" t="s">
        <v>528</v>
      </c>
      <c r="X108" s="9" t="s">
        <v>4387</v>
      </c>
      <c r="AC108" s="9" t="s">
        <v>4369</v>
      </c>
      <c r="AD108" s="9" t="s">
        <v>4370</v>
      </c>
      <c r="AE108" s="9" t="s">
        <v>4371</v>
      </c>
    </row>
    <row r="109" customFormat="false" ht="15" hidden="false" customHeight="true" outlineLevel="0" collapsed="false">
      <c r="A109" s="6" t="s">
        <v>904</v>
      </c>
      <c r="B109" s="6" t="s">
        <v>396</v>
      </c>
      <c r="C109" s="6" t="s">
        <v>401</v>
      </c>
      <c r="D109" s="6" t="n">
        <v>6</v>
      </c>
      <c r="E109" s="9" t="s">
        <v>4366</v>
      </c>
      <c r="F109" s="35" t="n">
        <v>161218</v>
      </c>
      <c r="G109" s="42"/>
      <c r="H109" s="42"/>
      <c r="I109" s="42"/>
      <c r="J109" s="42"/>
      <c r="K109" s="42"/>
      <c r="L109" s="42"/>
      <c r="M109" s="42"/>
      <c r="N109" s="42"/>
      <c r="O109" s="42"/>
      <c r="P109" s="42"/>
      <c r="Q109" s="43" t="str">
        <f aca="false">IF($A109="","",IF(OR(F109="",I109=""),"",F109-I109))</f>
        <v/>
      </c>
      <c r="R109" s="43" t="str">
        <f aca="false">IF($A109="","",IF(Q109="","",Q109+IF(O109="",0,O109)))</f>
        <v/>
      </c>
      <c r="S109" s="42"/>
      <c r="T109" s="43" t="str">
        <f aca="false">IF($A109="","",IF(R109="","",R109-IF(S109="",0,S109)))</f>
        <v/>
      </c>
      <c r="U109" s="43" t="str">
        <f aca="false">IF($A109="","",IF(I109="","",I109-SUM(J109:P109)))</f>
        <v/>
      </c>
      <c r="V109" s="6" t="s">
        <v>4386</v>
      </c>
      <c r="W109" s="9" t="s">
        <v>528</v>
      </c>
      <c r="X109" s="9" t="s">
        <v>4387</v>
      </c>
      <c r="AC109" s="9" t="s">
        <v>4369</v>
      </c>
      <c r="AD109" s="9" t="s">
        <v>4370</v>
      </c>
      <c r="AE109" s="9" t="s">
        <v>4371</v>
      </c>
    </row>
    <row r="110" customFormat="false" ht="15" hidden="false" customHeight="true" outlineLevel="0" collapsed="false">
      <c r="A110" s="6" t="s">
        <v>907</v>
      </c>
      <c r="B110" s="6" t="s">
        <v>396</v>
      </c>
      <c r="C110" s="6" t="s">
        <v>401</v>
      </c>
      <c r="D110" s="6" t="n">
        <v>6</v>
      </c>
      <c r="E110" s="9" t="s">
        <v>4366</v>
      </c>
      <c r="F110" s="35" t="n">
        <v>141501</v>
      </c>
      <c r="G110" s="42"/>
      <c r="H110" s="42"/>
      <c r="I110" s="42"/>
      <c r="J110" s="42"/>
      <c r="K110" s="42"/>
      <c r="L110" s="42"/>
      <c r="M110" s="42"/>
      <c r="N110" s="42"/>
      <c r="O110" s="42"/>
      <c r="P110" s="42"/>
      <c r="Q110" s="43" t="str">
        <f aca="false">IF($A110="","",IF(OR(F110="",I110=""),"",F110-I110))</f>
        <v/>
      </c>
      <c r="R110" s="43" t="str">
        <f aca="false">IF($A110="","",IF(Q110="","",Q110+IF(O110="",0,O110)))</f>
        <v/>
      </c>
      <c r="S110" s="42"/>
      <c r="T110" s="43" t="str">
        <f aca="false">IF($A110="","",IF(R110="","",R110-IF(S110="",0,S110)))</f>
        <v/>
      </c>
      <c r="U110" s="43" t="str">
        <f aca="false">IF($A110="","",IF(I110="","",I110-SUM(J110:P110)))</f>
        <v/>
      </c>
      <c r="V110" s="6" t="s">
        <v>4386</v>
      </c>
      <c r="W110" s="9" t="s">
        <v>528</v>
      </c>
      <c r="X110" s="9" t="s">
        <v>4387</v>
      </c>
      <c r="AC110" s="9" t="s">
        <v>4369</v>
      </c>
      <c r="AD110" s="9" t="s">
        <v>4370</v>
      </c>
      <c r="AE110" s="9" t="s">
        <v>4371</v>
      </c>
    </row>
    <row r="111" customFormat="false" ht="15" hidden="false" customHeight="true" outlineLevel="0" collapsed="false">
      <c r="A111" s="6" t="s">
        <v>909</v>
      </c>
      <c r="B111" s="6" t="s">
        <v>396</v>
      </c>
      <c r="C111" s="6" t="s">
        <v>401</v>
      </c>
      <c r="D111" s="6" t="n">
        <v>6</v>
      </c>
      <c r="E111" s="9" t="s">
        <v>4366</v>
      </c>
      <c r="F111" s="35" t="n">
        <v>1110272</v>
      </c>
      <c r="G111" s="42"/>
      <c r="H111" s="42"/>
      <c r="I111" s="42"/>
      <c r="J111" s="42"/>
      <c r="K111" s="42"/>
      <c r="L111" s="42"/>
      <c r="M111" s="42"/>
      <c r="N111" s="42"/>
      <c r="O111" s="42"/>
      <c r="P111" s="42"/>
      <c r="Q111" s="43" t="str">
        <f aca="false">IF($A111="","",IF(OR(F111="",I111=""),"",F111-I111))</f>
        <v/>
      </c>
      <c r="R111" s="43" t="str">
        <f aca="false">IF($A111="","",IF(Q111="","",Q111+IF(O111="",0,O111)))</f>
        <v/>
      </c>
      <c r="S111" s="42"/>
      <c r="T111" s="43" t="str">
        <f aca="false">IF($A111="","",IF(R111="","",R111-IF(S111="",0,S111)))</f>
        <v/>
      </c>
      <c r="U111" s="43" t="str">
        <f aca="false">IF($A111="","",IF(I111="","",I111-SUM(J111:P111)))</f>
        <v/>
      </c>
      <c r="V111" s="6" t="s">
        <v>4386</v>
      </c>
      <c r="W111" s="9" t="s">
        <v>528</v>
      </c>
      <c r="X111" s="9" t="s">
        <v>4387</v>
      </c>
      <c r="AC111" s="9" t="s">
        <v>4369</v>
      </c>
      <c r="AD111" s="9" t="s">
        <v>4370</v>
      </c>
      <c r="AE111" s="9" t="s">
        <v>4371</v>
      </c>
    </row>
    <row r="112" customFormat="false" ht="15" hidden="false" customHeight="true" outlineLevel="0" collapsed="false">
      <c r="A112" s="6" t="s">
        <v>912</v>
      </c>
      <c r="B112" s="6" t="s">
        <v>396</v>
      </c>
      <c r="C112" s="6" t="s">
        <v>401</v>
      </c>
      <c r="D112" s="6" t="n">
        <v>6</v>
      </c>
      <c r="E112" s="9" t="s">
        <v>4366</v>
      </c>
      <c r="F112" s="35" t="n">
        <v>81789</v>
      </c>
      <c r="G112" s="42"/>
      <c r="H112" s="42"/>
      <c r="I112" s="42"/>
      <c r="J112" s="42"/>
      <c r="K112" s="42"/>
      <c r="L112" s="42"/>
      <c r="M112" s="42"/>
      <c r="N112" s="42"/>
      <c r="O112" s="42"/>
      <c r="P112" s="42"/>
      <c r="Q112" s="43" t="str">
        <f aca="false">IF($A112="","",IF(OR(F112="",I112=""),"",F112-I112))</f>
        <v/>
      </c>
      <c r="R112" s="43" t="str">
        <f aca="false">IF($A112="","",IF(Q112="","",Q112+IF(O112="",0,O112)))</f>
        <v/>
      </c>
      <c r="S112" s="42"/>
      <c r="T112" s="43" t="str">
        <f aca="false">IF($A112="","",IF(R112="","",R112-IF(S112="",0,S112)))</f>
        <v/>
      </c>
      <c r="U112" s="43" t="str">
        <f aca="false">IF($A112="","",IF(I112="","",I112-SUM(J112:P112)))</f>
        <v/>
      </c>
      <c r="V112" s="6" t="s">
        <v>4386</v>
      </c>
      <c r="W112" s="9" t="s">
        <v>528</v>
      </c>
      <c r="X112" s="9" t="s">
        <v>4387</v>
      </c>
      <c r="AC112" s="9" t="s">
        <v>4369</v>
      </c>
      <c r="AD112" s="9" t="s">
        <v>4370</v>
      </c>
      <c r="AE112" s="9" t="s">
        <v>4371</v>
      </c>
    </row>
    <row r="113" customFormat="false" ht="15" hidden="false" customHeight="true" outlineLevel="0" collapsed="false">
      <c r="A113" s="6" t="s">
        <v>914</v>
      </c>
      <c r="B113" s="6" t="s">
        <v>396</v>
      </c>
      <c r="C113" s="6" t="s">
        <v>401</v>
      </c>
      <c r="D113" s="6" t="n">
        <v>6</v>
      </c>
      <c r="E113" s="9" t="s">
        <v>4366</v>
      </c>
      <c r="F113" s="35" t="n">
        <v>77739</v>
      </c>
      <c r="G113" s="42"/>
      <c r="H113" s="42"/>
      <c r="I113" s="42"/>
      <c r="J113" s="42"/>
      <c r="K113" s="42"/>
      <c r="L113" s="42"/>
      <c r="M113" s="42"/>
      <c r="N113" s="42"/>
      <c r="O113" s="42"/>
      <c r="P113" s="42"/>
      <c r="Q113" s="43" t="str">
        <f aca="false">IF($A113="","",IF(OR(F113="",I113=""),"",F113-I113))</f>
        <v/>
      </c>
      <c r="R113" s="43" t="str">
        <f aca="false">IF($A113="","",IF(Q113="","",Q113+IF(O113="",0,O113)))</f>
        <v/>
      </c>
      <c r="S113" s="42"/>
      <c r="T113" s="43" t="str">
        <f aca="false">IF($A113="","",IF(R113="","",R113-IF(S113="",0,S113)))</f>
        <v/>
      </c>
      <c r="U113" s="43" t="str">
        <f aca="false">IF($A113="","",IF(I113="","",I113-SUM(J113:P113)))</f>
        <v/>
      </c>
      <c r="V113" s="6" t="s">
        <v>4386</v>
      </c>
      <c r="W113" s="9" t="s">
        <v>528</v>
      </c>
      <c r="X113" s="9" t="s">
        <v>4387</v>
      </c>
      <c r="AC113" s="9" t="s">
        <v>4369</v>
      </c>
      <c r="AD113" s="9" t="s">
        <v>4370</v>
      </c>
      <c r="AE113" s="9" t="s">
        <v>4371</v>
      </c>
    </row>
    <row r="114" customFormat="false" ht="15" hidden="false" customHeight="true" outlineLevel="0" collapsed="false">
      <c r="A114" s="6" t="s">
        <v>917</v>
      </c>
      <c r="B114" s="6" t="s">
        <v>396</v>
      </c>
      <c r="C114" s="6" t="s">
        <v>401</v>
      </c>
      <c r="D114" s="6" t="n">
        <v>6</v>
      </c>
      <c r="E114" s="9" t="s">
        <v>4366</v>
      </c>
      <c r="F114" s="35" t="n">
        <v>414499</v>
      </c>
      <c r="G114" s="42"/>
      <c r="H114" s="42"/>
      <c r="I114" s="42"/>
      <c r="J114" s="42"/>
      <c r="K114" s="42"/>
      <c r="L114" s="42"/>
      <c r="M114" s="42"/>
      <c r="N114" s="42"/>
      <c r="O114" s="42"/>
      <c r="P114" s="42"/>
      <c r="Q114" s="43" t="str">
        <f aca="false">IF($A114="","",IF(OR(F114="",I114=""),"",F114-I114))</f>
        <v/>
      </c>
      <c r="R114" s="43" t="str">
        <f aca="false">IF($A114="","",IF(Q114="","",Q114+IF(O114="",0,O114)))</f>
        <v/>
      </c>
      <c r="S114" s="42"/>
      <c r="T114" s="43" t="str">
        <f aca="false">IF($A114="","",IF(R114="","",R114-IF(S114="",0,S114)))</f>
        <v/>
      </c>
      <c r="U114" s="43" t="str">
        <f aca="false">IF($A114="","",IF(I114="","",I114-SUM(J114:P114)))</f>
        <v/>
      </c>
      <c r="V114" s="6" t="s">
        <v>4386</v>
      </c>
      <c r="W114" s="9" t="s">
        <v>528</v>
      </c>
      <c r="X114" s="9" t="s">
        <v>4387</v>
      </c>
      <c r="AC114" s="9" t="s">
        <v>4369</v>
      </c>
      <c r="AD114" s="9" t="s">
        <v>4370</v>
      </c>
      <c r="AE114" s="9" t="s">
        <v>4371</v>
      </c>
    </row>
    <row r="115" customFormat="false" ht="15" hidden="false" customHeight="true" outlineLevel="0" collapsed="false">
      <c r="A115" s="6" t="s">
        <v>920</v>
      </c>
      <c r="B115" s="6" t="s">
        <v>396</v>
      </c>
      <c r="C115" s="6" t="s">
        <v>401</v>
      </c>
      <c r="D115" s="6" t="n">
        <v>6</v>
      </c>
      <c r="E115" s="9" t="s">
        <v>4376</v>
      </c>
      <c r="F115" s="35" t="n">
        <v>14926240</v>
      </c>
      <c r="G115" s="35" t="n">
        <v>14911595</v>
      </c>
      <c r="H115" s="35" t="n">
        <v>14645</v>
      </c>
      <c r="I115" s="35" t="n">
        <v>5794624</v>
      </c>
      <c r="J115" s="35" t="n">
        <v>1102483</v>
      </c>
      <c r="K115" s="35" t="n">
        <v>1067171</v>
      </c>
      <c r="L115" s="35" t="n">
        <v>1294234</v>
      </c>
      <c r="M115" s="35" t="n">
        <v>36529</v>
      </c>
      <c r="N115" s="35" t="n">
        <v>298109</v>
      </c>
      <c r="O115" s="35" t="n">
        <v>1917809</v>
      </c>
      <c r="P115" s="35" t="n">
        <v>78285</v>
      </c>
      <c r="Q115" s="43" t="n">
        <f aca="false">IF($A115="","",IF(OR(F115="",I115=""),"",F115-I115))</f>
        <v>9131616</v>
      </c>
      <c r="R115" s="43" t="n">
        <f aca="false">IF($A115="","",IF(Q115="","",Q115+IF(O115="",0,O115)))</f>
        <v>11049425</v>
      </c>
      <c r="S115" s="35" t="n">
        <v>1364000</v>
      </c>
      <c r="T115" s="43" t="n">
        <f aca="false">IF($A115="","",IF(R115="","",R115-IF(S115="",0,S115)))</f>
        <v>9685425</v>
      </c>
      <c r="U115" s="43" t="n">
        <f aca="false">IF($A115="","",IF(I115="","",I115-SUM(J115:P115)))</f>
        <v>4</v>
      </c>
      <c r="V115" s="6" t="s">
        <v>4394</v>
      </c>
      <c r="W115" s="44" t="s">
        <v>1168</v>
      </c>
      <c r="X115" s="6" t="s">
        <v>4395</v>
      </c>
      <c r="AC115" s="9" t="s">
        <v>4369</v>
      </c>
      <c r="AD115" s="9" t="s">
        <v>4370</v>
      </c>
      <c r="AE115" s="9" t="s">
        <v>4371</v>
      </c>
    </row>
    <row r="116" customFormat="false" ht="15" hidden="false" customHeight="true" outlineLevel="0" collapsed="false">
      <c r="A116" s="6" t="s">
        <v>924</v>
      </c>
      <c r="B116" s="6" t="s">
        <v>418</v>
      </c>
      <c r="C116" s="6" t="s">
        <v>425</v>
      </c>
      <c r="D116" s="6" t="n">
        <v>6</v>
      </c>
      <c r="E116" s="9" t="s">
        <v>4396</v>
      </c>
      <c r="F116" s="35" t="n">
        <v>2851394</v>
      </c>
      <c r="G116" s="35" t="n">
        <v>2851394</v>
      </c>
      <c r="H116" s="35" t="n">
        <v>0</v>
      </c>
      <c r="I116" s="35" t="n">
        <v>1001160</v>
      </c>
      <c r="J116" s="35" t="n">
        <v>426426</v>
      </c>
      <c r="K116" s="35" t="n">
        <v>0</v>
      </c>
      <c r="L116" s="35" t="n">
        <v>300990</v>
      </c>
      <c r="M116" s="35" t="n">
        <v>5520</v>
      </c>
      <c r="N116" s="35" t="n">
        <v>0</v>
      </c>
      <c r="O116" s="35" t="n">
        <v>267849</v>
      </c>
      <c r="P116" s="35" t="n">
        <v>374</v>
      </c>
      <c r="Q116" s="43" t="n">
        <f aca="false">IF($A116="","",IF(OR(F116="",I116=""),"",F116-I116))</f>
        <v>1850234</v>
      </c>
      <c r="R116" s="43" t="n">
        <f aca="false">IF($A116="","",IF(Q116="","",Q116+IF(O116="",0,O116)))</f>
        <v>2118083</v>
      </c>
      <c r="S116" s="35" t="n">
        <v>0</v>
      </c>
      <c r="T116" s="43" t="n">
        <f aca="false">IF($A116="","",IF(R116="","",R116-IF(S116="",0,S116)))</f>
        <v>2118083</v>
      </c>
      <c r="U116" s="43" t="n">
        <f aca="false">IF($A116="","",IF(I116="","",I116-SUM(J116:P116)))</f>
        <v>1</v>
      </c>
      <c r="V116" s="6" t="s">
        <v>4397</v>
      </c>
      <c r="W116" s="9" t="s">
        <v>528</v>
      </c>
      <c r="X116" s="9" t="s">
        <v>4398</v>
      </c>
      <c r="AC116" s="9" t="s">
        <v>4369</v>
      </c>
      <c r="AD116" s="9" t="s">
        <v>4370</v>
      </c>
      <c r="AE116" s="9" t="s">
        <v>4371</v>
      </c>
    </row>
    <row r="117" customFormat="false" ht="15" hidden="false" customHeight="true" outlineLevel="0" collapsed="false">
      <c r="A117" s="6" t="s">
        <v>929</v>
      </c>
      <c r="B117" s="6" t="s">
        <v>418</v>
      </c>
      <c r="C117" s="6" t="s">
        <v>425</v>
      </c>
      <c r="D117" s="6" t="n">
        <v>6</v>
      </c>
      <c r="E117" s="9" t="s">
        <v>4396</v>
      </c>
      <c r="F117" s="35" t="n">
        <v>1351486</v>
      </c>
      <c r="G117" s="35" t="n">
        <v>1351486</v>
      </c>
      <c r="H117" s="35" t="n">
        <v>0</v>
      </c>
      <c r="I117" s="35" t="n">
        <v>396783</v>
      </c>
      <c r="J117" s="35" t="n">
        <v>202169</v>
      </c>
      <c r="K117" s="35" t="n">
        <v>0</v>
      </c>
      <c r="L117" s="35" t="n">
        <v>96373</v>
      </c>
      <c r="M117" s="35" t="n">
        <v>3381</v>
      </c>
      <c r="N117" s="35" t="n">
        <v>0</v>
      </c>
      <c r="O117" s="35" t="n">
        <v>92072</v>
      </c>
      <c r="P117" s="35" t="n">
        <v>2787</v>
      </c>
      <c r="Q117" s="43" t="n">
        <f aca="false">IF($A117="","",IF(OR(F117="",I117=""),"",F117-I117))</f>
        <v>954703</v>
      </c>
      <c r="R117" s="43" t="n">
        <f aca="false">IF($A117="","",IF(Q117="","",Q117+IF(O117="",0,O117)))</f>
        <v>1046775</v>
      </c>
      <c r="S117" s="35" t="n">
        <v>15189</v>
      </c>
      <c r="T117" s="43" t="n">
        <f aca="false">IF($A117="","",IF(R117="","",R117-IF(S117="",0,S117)))</f>
        <v>1031586</v>
      </c>
      <c r="U117" s="43" t="n">
        <f aca="false">IF($A117="","",IF(I117="","",I117-SUM(J117:P117)))</f>
        <v>1</v>
      </c>
      <c r="V117" s="6" t="s">
        <v>4397</v>
      </c>
      <c r="W117" s="9" t="s">
        <v>528</v>
      </c>
      <c r="X117" s="9" t="s">
        <v>4398</v>
      </c>
      <c r="AC117" s="9" t="s">
        <v>4369</v>
      </c>
      <c r="AD117" s="9" t="s">
        <v>4370</v>
      </c>
      <c r="AE117" s="9" t="s">
        <v>4371</v>
      </c>
    </row>
    <row r="118" customFormat="false" ht="15" hidden="false" customHeight="true" outlineLevel="0" collapsed="false">
      <c r="A118" s="6" t="s">
        <v>932</v>
      </c>
      <c r="B118" s="6" t="s">
        <v>418</v>
      </c>
      <c r="C118" s="6" t="s">
        <v>425</v>
      </c>
      <c r="D118" s="6" t="n">
        <v>6</v>
      </c>
      <c r="E118" s="9" t="s">
        <v>4396</v>
      </c>
      <c r="F118" s="35" t="n">
        <v>740772</v>
      </c>
      <c r="G118" s="35" t="n">
        <v>660481</v>
      </c>
      <c r="H118" s="35" t="n">
        <v>80291</v>
      </c>
      <c r="I118" s="35" t="n">
        <v>400441</v>
      </c>
      <c r="J118" s="35" t="n">
        <v>86481</v>
      </c>
      <c r="K118" s="35" t="n">
        <v>65465</v>
      </c>
      <c r="L118" s="35" t="n">
        <v>30085</v>
      </c>
      <c r="M118" s="35" t="n">
        <v>1903</v>
      </c>
      <c r="N118" s="35" t="n">
        <v>12961</v>
      </c>
      <c r="O118" s="35" t="n">
        <v>105579</v>
      </c>
      <c r="P118" s="35" t="n">
        <v>97964</v>
      </c>
      <c r="Q118" s="43" t="n">
        <f aca="false">IF($A118="","",IF(OR(F118="",I118=""),"",F118-I118))</f>
        <v>340331</v>
      </c>
      <c r="R118" s="43" t="n">
        <f aca="false">IF($A118="","",IF(Q118="","",Q118+IF(O118="",0,O118)))</f>
        <v>445910</v>
      </c>
      <c r="S118" s="35" t="n">
        <v>29833</v>
      </c>
      <c r="T118" s="43" t="n">
        <f aca="false">IF($A118="","",IF(R118="","",R118-IF(S118="",0,S118)))</f>
        <v>416077</v>
      </c>
      <c r="U118" s="43" t="n">
        <f aca="false">IF($A118="","",IF(I118="","",I118-SUM(J118:P118)))</f>
        <v>3</v>
      </c>
      <c r="V118" s="6" t="s">
        <v>4397</v>
      </c>
      <c r="W118" s="9" t="s">
        <v>528</v>
      </c>
      <c r="X118" s="9" t="s">
        <v>4398</v>
      </c>
      <c r="AC118" s="9" t="s">
        <v>4369</v>
      </c>
      <c r="AD118" s="9" t="s">
        <v>4370</v>
      </c>
      <c r="AE118" s="9" t="s">
        <v>4371</v>
      </c>
    </row>
    <row r="119" customFormat="false" ht="15" hidden="false" customHeight="true" outlineLevel="0" collapsed="false">
      <c r="A119" s="6" t="s">
        <v>937</v>
      </c>
      <c r="B119" s="6" t="s">
        <v>418</v>
      </c>
      <c r="C119" s="6" t="s">
        <v>425</v>
      </c>
      <c r="D119" s="6" t="n">
        <v>6</v>
      </c>
      <c r="E119" s="9" t="s">
        <v>4396</v>
      </c>
      <c r="F119" s="35" t="n">
        <v>911771</v>
      </c>
      <c r="G119" s="35" t="n">
        <v>851352</v>
      </c>
      <c r="H119" s="35" t="n">
        <v>60419</v>
      </c>
      <c r="I119" s="35" t="n">
        <v>464226</v>
      </c>
      <c r="J119" s="35" t="n">
        <v>199981</v>
      </c>
      <c r="K119" s="35" t="n">
        <v>30291</v>
      </c>
      <c r="L119" s="35" t="n">
        <v>45284</v>
      </c>
      <c r="M119" s="35" t="n">
        <v>2691</v>
      </c>
      <c r="N119" s="35" t="n">
        <v>42179</v>
      </c>
      <c r="O119" s="35" t="n">
        <v>132844</v>
      </c>
      <c r="P119" s="35" t="n">
        <v>10953</v>
      </c>
      <c r="Q119" s="43" t="n">
        <f aca="false">IF($A119="","",IF(OR(F119="",I119=""),"",F119-I119))</f>
        <v>447545</v>
      </c>
      <c r="R119" s="43" t="n">
        <f aca="false">IF($A119="","",IF(Q119="","",Q119+IF(O119="",0,O119)))</f>
        <v>580389</v>
      </c>
      <c r="S119" s="35" t="n">
        <v>89507</v>
      </c>
      <c r="T119" s="43" t="n">
        <f aca="false">IF($A119="","",IF(R119="","",R119-IF(S119="",0,S119)))</f>
        <v>490882</v>
      </c>
      <c r="U119" s="43" t="n">
        <f aca="false">IF($A119="","",IF(I119="","",I119-SUM(J119:P119)))</f>
        <v>3</v>
      </c>
      <c r="V119" s="6" t="s">
        <v>4397</v>
      </c>
      <c r="W119" s="9" t="s">
        <v>528</v>
      </c>
      <c r="X119" s="9" t="s">
        <v>4398</v>
      </c>
      <c r="AC119" s="9" t="s">
        <v>4369</v>
      </c>
      <c r="AD119" s="9" t="s">
        <v>4370</v>
      </c>
      <c r="AE119" s="9" t="s">
        <v>4371</v>
      </c>
    </row>
    <row r="120" customFormat="false" ht="15" hidden="false" customHeight="true" outlineLevel="0" collapsed="false">
      <c r="A120" s="6" t="s">
        <v>941</v>
      </c>
      <c r="B120" s="6" t="s">
        <v>418</v>
      </c>
      <c r="C120" s="6" t="s">
        <v>425</v>
      </c>
      <c r="D120" s="6" t="n">
        <v>6</v>
      </c>
      <c r="E120" s="9" t="s">
        <v>4396</v>
      </c>
      <c r="F120" s="35" t="n">
        <v>1012320</v>
      </c>
      <c r="G120" s="35" t="n">
        <v>1012320</v>
      </c>
      <c r="H120" s="35" t="n">
        <v>0</v>
      </c>
      <c r="I120" s="35" t="n">
        <v>337683</v>
      </c>
      <c r="J120" s="35" t="n">
        <v>2664</v>
      </c>
      <c r="K120" s="35" t="n">
        <v>0</v>
      </c>
      <c r="L120" s="35" t="n">
        <v>70166</v>
      </c>
      <c r="M120" s="35" t="n">
        <v>4502</v>
      </c>
      <c r="N120" s="35" t="n">
        <v>0</v>
      </c>
      <c r="O120" s="35" t="n">
        <v>191378</v>
      </c>
      <c r="P120" s="35" t="n">
        <v>68971</v>
      </c>
      <c r="Q120" s="43" t="n">
        <f aca="false">IF($A120="","",IF(OR(F120="",I120=""),"",F120-I120))</f>
        <v>674637</v>
      </c>
      <c r="R120" s="43" t="n">
        <f aca="false">IF($A120="","",IF(Q120="","",Q120+IF(O120="",0,O120)))</f>
        <v>866015</v>
      </c>
      <c r="S120" s="35" t="n">
        <v>28311</v>
      </c>
      <c r="T120" s="43" t="n">
        <f aca="false">IF($A120="","",IF(R120="","",R120-IF(S120="",0,S120)))</f>
        <v>837704</v>
      </c>
      <c r="U120" s="43" t="n">
        <f aca="false">IF($A120="","",IF(I120="","",I120-SUM(J120:P120)))</f>
        <v>2</v>
      </c>
      <c r="V120" s="6" t="s">
        <v>4397</v>
      </c>
      <c r="W120" s="9" t="s">
        <v>528</v>
      </c>
      <c r="X120" s="9" t="s">
        <v>4398</v>
      </c>
      <c r="AC120" s="9" t="s">
        <v>4369</v>
      </c>
      <c r="AD120" s="9" t="s">
        <v>4370</v>
      </c>
      <c r="AE120" s="9" t="s">
        <v>4371</v>
      </c>
    </row>
    <row r="121" customFormat="false" ht="15" hidden="false" customHeight="true" outlineLevel="0" collapsed="false">
      <c r="A121" s="6" t="s">
        <v>945</v>
      </c>
      <c r="B121" s="6" t="s">
        <v>418</v>
      </c>
      <c r="C121" s="6" t="s">
        <v>425</v>
      </c>
      <c r="D121" s="6" t="n">
        <v>6</v>
      </c>
      <c r="E121" s="9" t="s">
        <v>4396</v>
      </c>
      <c r="F121" s="35" t="n">
        <v>495909</v>
      </c>
      <c r="G121" s="35" t="n">
        <v>464509</v>
      </c>
      <c r="H121" s="35" t="n">
        <v>31400</v>
      </c>
      <c r="I121" s="35" t="n">
        <v>189881</v>
      </c>
      <c r="J121" s="35" t="n">
        <v>51913</v>
      </c>
      <c r="K121" s="35" t="n">
        <v>40426</v>
      </c>
      <c r="L121" s="35" t="n">
        <v>42641</v>
      </c>
      <c r="M121" s="35" t="n">
        <v>1496</v>
      </c>
      <c r="N121" s="35" t="n">
        <v>4254</v>
      </c>
      <c r="O121" s="35" t="n">
        <v>46837</v>
      </c>
      <c r="P121" s="35" t="n">
        <v>2312</v>
      </c>
      <c r="Q121" s="43" t="n">
        <f aca="false">IF($A121="","",IF(OR(F121="",I121=""),"",F121-I121))</f>
        <v>306028</v>
      </c>
      <c r="R121" s="43" t="n">
        <f aca="false">IF($A121="","",IF(Q121="","",Q121+IF(O121="",0,O121)))</f>
        <v>352865</v>
      </c>
      <c r="S121" s="35" t="n">
        <v>52148</v>
      </c>
      <c r="T121" s="43" t="n">
        <f aca="false">IF($A121="","",IF(R121="","",R121-IF(S121="",0,S121)))</f>
        <v>300717</v>
      </c>
      <c r="U121" s="43" t="n">
        <f aca="false">IF($A121="","",IF(I121="","",I121-SUM(J121:P121)))</f>
        <v>2</v>
      </c>
      <c r="V121" s="6" t="s">
        <v>4397</v>
      </c>
      <c r="W121" s="9" t="s">
        <v>528</v>
      </c>
      <c r="X121" s="9" t="s">
        <v>4398</v>
      </c>
      <c r="AC121" s="9" t="s">
        <v>4369</v>
      </c>
      <c r="AD121" s="9" t="s">
        <v>4370</v>
      </c>
      <c r="AE121" s="9" t="s">
        <v>4371</v>
      </c>
    </row>
    <row r="122" customFormat="false" ht="15" hidden="false" customHeight="true" outlineLevel="0" collapsed="false">
      <c r="A122" s="6" t="s">
        <v>949</v>
      </c>
      <c r="B122" s="6" t="s">
        <v>418</v>
      </c>
      <c r="C122" s="6" t="s">
        <v>425</v>
      </c>
      <c r="D122" s="6" t="n">
        <v>6</v>
      </c>
      <c r="E122" s="9" t="s">
        <v>4396</v>
      </c>
      <c r="F122" s="35" t="n">
        <v>1426552</v>
      </c>
      <c r="G122" s="35" t="n">
        <v>1426552</v>
      </c>
      <c r="H122" s="35" t="n">
        <v>0</v>
      </c>
      <c r="I122" s="35" t="n">
        <v>461244</v>
      </c>
      <c r="J122" s="35" t="n">
        <v>162191</v>
      </c>
      <c r="K122" s="35" t="n">
        <v>0</v>
      </c>
      <c r="L122" s="35" t="n">
        <v>117426</v>
      </c>
      <c r="M122" s="35" t="n">
        <v>3424</v>
      </c>
      <c r="N122" s="35" t="n">
        <v>0</v>
      </c>
      <c r="O122" s="35" t="n">
        <v>177954</v>
      </c>
      <c r="P122" s="35" t="n">
        <v>247</v>
      </c>
      <c r="Q122" s="43" t="n">
        <f aca="false">IF($A122="","",IF(OR(F122="",I122=""),"",F122-I122))</f>
        <v>965308</v>
      </c>
      <c r="R122" s="43" t="n">
        <f aca="false">IF($A122="","",IF(Q122="","",Q122+IF(O122="",0,O122)))</f>
        <v>1143262</v>
      </c>
      <c r="S122" s="35" t="n">
        <v>3266</v>
      </c>
      <c r="T122" s="43" t="n">
        <f aca="false">IF($A122="","",IF(R122="","",R122-IF(S122="",0,S122)))</f>
        <v>1139996</v>
      </c>
      <c r="U122" s="43" t="n">
        <f aca="false">IF($A122="","",IF(I122="","",I122-SUM(J122:P122)))</f>
        <v>2</v>
      </c>
      <c r="V122" s="6" t="s">
        <v>4397</v>
      </c>
      <c r="W122" s="9" t="s">
        <v>528</v>
      </c>
      <c r="X122" s="9" t="s">
        <v>4399</v>
      </c>
      <c r="AC122" s="6" t="s">
        <v>4373</v>
      </c>
      <c r="AD122" s="9" t="s">
        <v>4374</v>
      </c>
      <c r="AE122" s="9" t="s">
        <v>4371</v>
      </c>
    </row>
    <row r="123" customFormat="false" ht="15" hidden="false" customHeight="true" outlineLevel="0" collapsed="false">
      <c r="A123" s="6" t="s">
        <v>953</v>
      </c>
      <c r="B123" s="6" t="s">
        <v>418</v>
      </c>
      <c r="C123" s="6" t="s">
        <v>425</v>
      </c>
      <c r="D123" s="6" t="n">
        <v>6</v>
      </c>
      <c r="E123" s="9" t="s">
        <v>4396</v>
      </c>
      <c r="F123" s="35" t="n">
        <v>510429</v>
      </c>
      <c r="G123" s="35" t="n">
        <v>486455</v>
      </c>
      <c r="H123" s="35" t="n">
        <v>23974</v>
      </c>
      <c r="I123" s="35" t="n">
        <v>198481</v>
      </c>
      <c r="J123" s="35" t="n">
        <v>99460</v>
      </c>
      <c r="K123" s="35" t="n">
        <v>7605</v>
      </c>
      <c r="L123" s="35" t="n">
        <v>39118</v>
      </c>
      <c r="M123" s="35" t="n">
        <v>1503</v>
      </c>
      <c r="N123" s="35" t="n">
        <v>3854</v>
      </c>
      <c r="O123" s="35" t="n">
        <v>46731</v>
      </c>
      <c r="P123" s="35" t="n">
        <v>207</v>
      </c>
      <c r="Q123" s="43" t="n">
        <f aca="false">IF($A123="","",IF(OR(F123="",I123=""),"",F123-I123))</f>
        <v>311948</v>
      </c>
      <c r="R123" s="43" t="n">
        <f aca="false">IF($A123="","",IF(Q123="","",Q123+IF(O123="",0,O123)))</f>
        <v>358679</v>
      </c>
      <c r="S123" s="35" t="n">
        <v>8952</v>
      </c>
      <c r="T123" s="43" t="n">
        <f aca="false">IF($A123="","",IF(R123="","",R123-IF(S123="",0,S123)))</f>
        <v>349727</v>
      </c>
      <c r="U123" s="43" t="n">
        <f aca="false">IF($A123="","",IF(I123="","",I123-SUM(J123:P123)))</f>
        <v>3</v>
      </c>
      <c r="V123" s="6" t="s">
        <v>4397</v>
      </c>
      <c r="W123" s="9" t="s">
        <v>528</v>
      </c>
      <c r="X123" s="9" t="s">
        <v>4398</v>
      </c>
      <c r="AC123" s="9" t="s">
        <v>4369</v>
      </c>
      <c r="AD123" s="9" t="s">
        <v>4370</v>
      </c>
      <c r="AE123" s="9" t="s">
        <v>4371</v>
      </c>
    </row>
    <row r="124" customFormat="false" ht="15" hidden="false" customHeight="true" outlineLevel="0" collapsed="false">
      <c r="A124" s="6" t="s">
        <v>957</v>
      </c>
      <c r="B124" s="6" t="s">
        <v>418</v>
      </c>
      <c r="C124" s="6" t="s">
        <v>425</v>
      </c>
      <c r="D124" s="6" t="n">
        <v>6</v>
      </c>
      <c r="E124" s="9" t="s">
        <v>4396</v>
      </c>
      <c r="F124" s="35" t="n">
        <v>105837</v>
      </c>
      <c r="G124" s="35" t="n">
        <v>105407</v>
      </c>
      <c r="H124" s="35" t="n">
        <v>430</v>
      </c>
      <c r="I124" s="35" t="n">
        <v>111213</v>
      </c>
      <c r="J124" s="35" t="n">
        <v>21680</v>
      </c>
      <c r="K124" s="35" t="n">
        <v>1433</v>
      </c>
      <c r="L124" s="35" t="n">
        <v>10430</v>
      </c>
      <c r="M124" s="35" t="n">
        <v>292</v>
      </c>
      <c r="N124" s="35" t="n">
        <v>60208</v>
      </c>
      <c r="O124" s="35" t="n">
        <v>12935</v>
      </c>
      <c r="P124" s="35" t="n">
        <v>4231</v>
      </c>
      <c r="Q124" s="43" t="n">
        <f aca="false">IF($A124="","",IF(OR(F124="",I124=""),"",F124-I124))</f>
        <v>-5376</v>
      </c>
      <c r="R124" s="43" t="n">
        <f aca="false">IF($A124="","",IF(Q124="","",Q124+IF(O124="",0,O124)))</f>
        <v>7559</v>
      </c>
      <c r="S124" s="35" t="n">
        <v>27001</v>
      </c>
      <c r="T124" s="43" t="n">
        <f aca="false">IF($A124="","",IF(R124="","",R124-IF(S124="",0,S124)))</f>
        <v>-19442</v>
      </c>
      <c r="U124" s="43" t="n">
        <f aca="false">IF($A124="","",IF(I124="","",I124-SUM(J124:P124)))</f>
        <v>4</v>
      </c>
      <c r="V124" s="6" t="s">
        <v>4397</v>
      </c>
      <c r="W124" s="9" t="s">
        <v>528</v>
      </c>
      <c r="X124" s="9" t="s">
        <v>4400</v>
      </c>
      <c r="AC124" s="9" t="s">
        <v>4369</v>
      </c>
      <c r="AD124" s="9" t="s">
        <v>4370</v>
      </c>
      <c r="AE124" s="9" t="s">
        <v>4371</v>
      </c>
    </row>
    <row r="125" customFormat="false" ht="15" hidden="false" customHeight="true" outlineLevel="0" collapsed="false">
      <c r="A125" s="6" t="s">
        <v>962</v>
      </c>
      <c r="B125" s="6" t="s">
        <v>418</v>
      </c>
      <c r="C125" s="6" t="s">
        <v>425</v>
      </c>
      <c r="D125" s="6" t="n">
        <v>6</v>
      </c>
      <c r="E125" s="9" t="s">
        <v>4396</v>
      </c>
      <c r="F125" s="35" t="n">
        <v>111507</v>
      </c>
      <c r="G125" s="35" t="n">
        <v>111234</v>
      </c>
      <c r="H125" s="35" t="n">
        <v>273</v>
      </c>
      <c r="I125" s="35" t="n">
        <v>109182</v>
      </c>
      <c r="J125" s="35" t="n">
        <v>18560</v>
      </c>
      <c r="K125" s="35" t="n">
        <v>1243</v>
      </c>
      <c r="L125" s="35" t="n">
        <v>15910</v>
      </c>
      <c r="M125" s="35" t="n">
        <v>425</v>
      </c>
      <c r="N125" s="35" t="n">
        <v>55853</v>
      </c>
      <c r="O125" s="35" t="n">
        <v>16104</v>
      </c>
      <c r="P125" s="35" t="n">
        <v>1083</v>
      </c>
      <c r="Q125" s="43" t="n">
        <f aca="false">IF($A125="","",IF(OR(F125="",I125=""),"",F125-I125))</f>
        <v>2325</v>
      </c>
      <c r="R125" s="43" t="n">
        <f aca="false">IF($A125="","",IF(Q125="","",Q125+IF(O125="",0,O125)))</f>
        <v>18429</v>
      </c>
      <c r="S125" s="35" t="n">
        <v>30797</v>
      </c>
      <c r="T125" s="43" t="n">
        <f aca="false">IF($A125="","",IF(R125="","",R125-IF(S125="",0,S125)))</f>
        <v>-12368</v>
      </c>
      <c r="U125" s="43" t="n">
        <f aca="false">IF($A125="","",IF(I125="","",I125-SUM(J125:P125)))</f>
        <v>4</v>
      </c>
      <c r="V125" s="6" t="s">
        <v>4397</v>
      </c>
      <c r="W125" s="9" t="s">
        <v>528</v>
      </c>
      <c r="X125" s="9" t="s">
        <v>4401</v>
      </c>
      <c r="AC125" s="9" t="s">
        <v>4369</v>
      </c>
      <c r="AD125" s="9" t="s">
        <v>4370</v>
      </c>
      <c r="AE125" s="9" t="s">
        <v>4371</v>
      </c>
    </row>
    <row r="126" customFormat="false" ht="15" hidden="false" customHeight="true" outlineLevel="0" collapsed="false">
      <c r="A126" s="6" t="s">
        <v>966</v>
      </c>
      <c r="B126" s="6" t="s">
        <v>418</v>
      </c>
      <c r="C126" s="6" t="s">
        <v>425</v>
      </c>
      <c r="D126" s="6" t="n">
        <v>6</v>
      </c>
      <c r="E126" s="9" t="s">
        <v>4396</v>
      </c>
      <c r="F126" s="35" t="n">
        <v>343806</v>
      </c>
      <c r="G126" s="35" t="n">
        <v>343806</v>
      </c>
      <c r="H126" s="35" t="n">
        <v>0</v>
      </c>
      <c r="I126" s="35" t="n">
        <v>62959</v>
      </c>
      <c r="J126" s="35" t="n">
        <v>0</v>
      </c>
      <c r="K126" s="35" t="n">
        <v>0</v>
      </c>
      <c r="L126" s="35" t="n">
        <v>62903</v>
      </c>
      <c r="M126" s="35" t="n">
        <v>0</v>
      </c>
      <c r="N126" s="35" t="n">
        <v>0</v>
      </c>
      <c r="O126" s="35" t="n">
        <v>0</v>
      </c>
      <c r="P126" s="35" t="n">
        <v>55</v>
      </c>
      <c r="Q126" s="43" t="n">
        <f aca="false">IF($A126="","",IF(OR(F126="",I126=""),"",F126-I126))</f>
        <v>280847</v>
      </c>
      <c r="R126" s="43" t="n">
        <f aca="false">IF($A126="","",IF(Q126="","",Q126+IF(O126="",0,O126)))</f>
        <v>280847</v>
      </c>
      <c r="S126" s="35" t="n">
        <v>0</v>
      </c>
      <c r="T126" s="43" t="n">
        <f aca="false">IF($A126="","",IF(R126="","",R126-IF(S126="",0,S126)))</f>
        <v>280847</v>
      </c>
      <c r="U126" s="43" t="n">
        <f aca="false">IF($A126="","",IF(I126="","",I126-SUM(J126:P126)))</f>
        <v>1</v>
      </c>
      <c r="V126" s="6" t="s">
        <v>4397</v>
      </c>
      <c r="W126" s="9" t="s">
        <v>528</v>
      </c>
      <c r="X126" s="9" t="s">
        <v>4402</v>
      </c>
      <c r="AC126" s="9" t="s">
        <v>4369</v>
      </c>
      <c r="AD126" s="9" t="s">
        <v>4370</v>
      </c>
      <c r="AE126" s="9" t="s">
        <v>4371</v>
      </c>
    </row>
    <row r="127" customFormat="false" ht="15" hidden="false" customHeight="true" outlineLevel="0" collapsed="false">
      <c r="A127" s="6" t="s">
        <v>971</v>
      </c>
      <c r="B127" s="6" t="s">
        <v>418</v>
      </c>
      <c r="C127" s="6" t="s">
        <v>425</v>
      </c>
      <c r="D127" s="6" t="n">
        <v>6</v>
      </c>
      <c r="E127" s="9" t="s">
        <v>4376</v>
      </c>
      <c r="F127" s="35" t="n">
        <v>9861789</v>
      </c>
      <c r="G127" s="35" t="n">
        <v>9665001</v>
      </c>
      <c r="H127" s="35" t="n">
        <v>196788</v>
      </c>
      <c r="I127" s="35" t="n">
        <v>3733257</v>
      </c>
      <c r="J127" s="35" t="n">
        <v>1271530</v>
      </c>
      <c r="K127" s="35" t="n">
        <v>146464</v>
      </c>
      <c r="L127" s="35" t="n">
        <v>831330</v>
      </c>
      <c r="M127" s="35" t="n">
        <v>25143</v>
      </c>
      <c r="N127" s="35" t="n">
        <v>179311</v>
      </c>
      <c r="O127" s="35" t="n">
        <v>1090287</v>
      </c>
      <c r="P127" s="35" t="n">
        <v>189190</v>
      </c>
      <c r="Q127" s="43" t="n">
        <f aca="false">IF($A127="","",IF(OR(F127="",I127=""),"",F127-I127))</f>
        <v>6128532</v>
      </c>
      <c r="R127" s="43" t="n">
        <f aca="false">IF($A127="","",IF(Q127="","",Q127+IF(O127="",0,O127)))</f>
        <v>7218819</v>
      </c>
      <c r="S127" s="35" t="n">
        <v>285009</v>
      </c>
      <c r="T127" s="43" t="n">
        <f aca="false">IF($A127="","",IF(R127="","",R127-IF(S127="",0,S127)))</f>
        <v>6933810</v>
      </c>
      <c r="U127" s="43" t="n">
        <f aca="false">IF($A127="","",IF(I127="","",I127-SUM(J127:P127)))</f>
        <v>2</v>
      </c>
      <c r="V127" s="6" t="s">
        <v>4403</v>
      </c>
      <c r="W127" s="44" t="s">
        <v>1168</v>
      </c>
      <c r="X127" s="9" t="s">
        <v>4404</v>
      </c>
      <c r="AC127" s="9" t="s">
        <v>4369</v>
      </c>
      <c r="AD127" s="9" t="s">
        <v>4370</v>
      </c>
      <c r="AE127" s="9" t="s">
        <v>4371</v>
      </c>
    </row>
    <row r="128" customFormat="false" ht="15" hidden="false" customHeight="true" outlineLevel="0" collapsed="false">
      <c r="A128" s="6" t="s">
        <v>976</v>
      </c>
      <c r="B128" s="6" t="s">
        <v>373</v>
      </c>
      <c r="C128" s="6" t="s">
        <v>380</v>
      </c>
      <c r="D128" s="6" t="n">
        <v>6</v>
      </c>
      <c r="E128" s="9" t="s">
        <v>4405</v>
      </c>
      <c r="F128" s="35" t="n">
        <v>5077000</v>
      </c>
      <c r="G128" s="42"/>
      <c r="H128" s="42"/>
      <c r="I128" s="42"/>
      <c r="J128" s="42"/>
      <c r="K128" s="42"/>
      <c r="L128" s="42"/>
      <c r="M128" s="42"/>
      <c r="N128" s="42"/>
      <c r="O128" s="42"/>
      <c r="P128" s="42"/>
      <c r="Q128" s="43" t="str">
        <f aca="false">IF($A128="","",IF(OR(F128="",I128=""),"",F128-I128))</f>
        <v/>
      </c>
      <c r="R128" s="43" t="str">
        <f aca="false">IF($A128="","",IF(Q128="","",Q128+IF(O128="",0,O128)))</f>
        <v/>
      </c>
      <c r="S128" s="42"/>
      <c r="T128" s="43" t="str">
        <f aca="false">IF($A128="","",IF(R128="","",R128-IF(S128="",0,S128)))</f>
        <v/>
      </c>
      <c r="U128" s="43" t="str">
        <f aca="false">IF($A128="","",IF(I128="","",I128-SUM(J128:P128)))</f>
        <v/>
      </c>
      <c r="V128" s="6" t="s">
        <v>4406</v>
      </c>
      <c r="W128" s="9" t="s">
        <v>528</v>
      </c>
      <c r="X128" s="9" t="s">
        <v>4407</v>
      </c>
      <c r="AC128" s="9" t="s">
        <v>4369</v>
      </c>
      <c r="AD128" s="9" t="s">
        <v>4370</v>
      </c>
      <c r="AE128" s="9" t="s">
        <v>4408</v>
      </c>
    </row>
    <row r="129" customFormat="false" ht="15" hidden="false" customHeight="true" outlineLevel="0" collapsed="false">
      <c r="A129" s="6" t="s">
        <v>980</v>
      </c>
      <c r="B129" s="6" t="s">
        <v>373</v>
      </c>
      <c r="C129" s="6" t="s">
        <v>380</v>
      </c>
      <c r="D129" s="6" t="n">
        <v>6</v>
      </c>
      <c r="E129" s="9" t="s">
        <v>4405</v>
      </c>
      <c r="F129" s="35" t="n">
        <v>3084000</v>
      </c>
      <c r="G129" s="42"/>
      <c r="H129" s="42"/>
      <c r="I129" s="42"/>
      <c r="J129" s="42"/>
      <c r="K129" s="42"/>
      <c r="L129" s="42"/>
      <c r="M129" s="42"/>
      <c r="N129" s="42"/>
      <c r="O129" s="42"/>
      <c r="P129" s="42"/>
      <c r="Q129" s="43" t="str">
        <f aca="false">IF($A129="","",IF(OR(F129="",I129=""),"",F129-I129))</f>
        <v/>
      </c>
      <c r="R129" s="43" t="str">
        <f aca="false">IF($A129="","",IF(Q129="","",Q129+IF(O129="",0,O129)))</f>
        <v/>
      </c>
      <c r="S129" s="42"/>
      <c r="T129" s="43" t="str">
        <f aca="false">IF($A129="","",IF(R129="","",R129-IF(S129="",0,S129)))</f>
        <v/>
      </c>
      <c r="U129" s="43" t="str">
        <f aca="false">IF($A129="","",IF(I129="","",I129-SUM(J129:P129)))</f>
        <v/>
      </c>
      <c r="V129" s="6" t="s">
        <v>4406</v>
      </c>
      <c r="W129" s="9" t="s">
        <v>528</v>
      </c>
      <c r="X129" s="9" t="s">
        <v>4409</v>
      </c>
      <c r="AC129" s="9" t="s">
        <v>4369</v>
      </c>
      <c r="AD129" s="9" t="s">
        <v>4370</v>
      </c>
      <c r="AE129" s="9" t="s">
        <v>4408</v>
      </c>
    </row>
    <row r="130" customFormat="false" ht="15" hidden="false" customHeight="true" outlineLevel="0" collapsed="false">
      <c r="A130" s="6" t="s">
        <v>983</v>
      </c>
      <c r="B130" s="6" t="s">
        <v>373</v>
      </c>
      <c r="C130" s="6" t="s">
        <v>380</v>
      </c>
      <c r="D130" s="6" t="n">
        <v>6</v>
      </c>
      <c r="E130" s="9" t="s">
        <v>4405</v>
      </c>
      <c r="F130" s="35" t="n">
        <v>1532000</v>
      </c>
      <c r="G130" s="42"/>
      <c r="H130" s="42"/>
      <c r="I130" s="42"/>
      <c r="J130" s="42"/>
      <c r="K130" s="42"/>
      <c r="L130" s="42"/>
      <c r="M130" s="42"/>
      <c r="N130" s="42"/>
      <c r="O130" s="42"/>
      <c r="P130" s="42"/>
      <c r="Q130" s="43" t="str">
        <f aca="false">IF($A130="","",IF(OR(F130="",I130=""),"",F130-I130))</f>
        <v/>
      </c>
      <c r="R130" s="43" t="str">
        <f aca="false">IF($A130="","",IF(Q130="","",Q130+IF(O130="",0,O130)))</f>
        <v/>
      </c>
      <c r="S130" s="42"/>
      <c r="T130" s="43" t="str">
        <f aca="false">IF($A130="","",IF(R130="","",R130-IF(S130="",0,S130)))</f>
        <v/>
      </c>
      <c r="U130" s="43" t="str">
        <f aca="false">IF($A130="","",IF(I130="","",I130-SUM(J130:P130)))</f>
        <v/>
      </c>
      <c r="V130" s="6" t="s">
        <v>4406</v>
      </c>
      <c r="W130" s="9" t="s">
        <v>528</v>
      </c>
      <c r="X130" s="9" t="s">
        <v>4410</v>
      </c>
      <c r="AC130" s="9" t="s">
        <v>4369</v>
      </c>
      <c r="AD130" s="9" t="s">
        <v>4370</v>
      </c>
      <c r="AE130" s="9" t="s">
        <v>4408</v>
      </c>
    </row>
    <row r="131" customFormat="false" ht="15" hidden="false" customHeight="true" outlineLevel="0" collapsed="false">
      <c r="A131" s="6" t="s">
        <v>986</v>
      </c>
      <c r="B131" s="6" t="s">
        <v>373</v>
      </c>
      <c r="C131" s="6" t="s">
        <v>380</v>
      </c>
      <c r="D131" s="6" t="n">
        <v>6</v>
      </c>
      <c r="E131" s="9" t="s">
        <v>4405</v>
      </c>
      <c r="F131" s="35" t="n">
        <v>1283000</v>
      </c>
      <c r="G131" s="42"/>
      <c r="H131" s="42"/>
      <c r="I131" s="42"/>
      <c r="J131" s="42"/>
      <c r="K131" s="42"/>
      <c r="L131" s="42"/>
      <c r="M131" s="42"/>
      <c r="N131" s="42"/>
      <c r="O131" s="42"/>
      <c r="P131" s="42"/>
      <c r="Q131" s="43" t="str">
        <f aca="false">IF($A131="","",IF(OR(F131="",I131=""),"",F131-I131))</f>
        <v/>
      </c>
      <c r="R131" s="43" t="str">
        <f aca="false">IF($A131="","",IF(Q131="","",Q131+IF(O131="",0,O131)))</f>
        <v/>
      </c>
      <c r="S131" s="42"/>
      <c r="T131" s="43" t="str">
        <f aca="false">IF($A131="","",IF(R131="","",R131-IF(S131="",0,S131)))</f>
        <v/>
      </c>
      <c r="U131" s="43" t="str">
        <f aca="false">IF($A131="","",IF(I131="","",I131-SUM(J131:P131)))</f>
        <v/>
      </c>
      <c r="V131" s="6" t="s">
        <v>4406</v>
      </c>
      <c r="W131" s="9" t="s">
        <v>528</v>
      </c>
      <c r="X131" s="9" t="s">
        <v>4411</v>
      </c>
      <c r="AC131" s="9" t="s">
        <v>4369</v>
      </c>
      <c r="AD131" s="9" t="s">
        <v>4370</v>
      </c>
      <c r="AE131" s="9" t="s">
        <v>4408</v>
      </c>
    </row>
    <row r="132" customFormat="false" ht="15" hidden="false" customHeight="true" outlineLevel="0" collapsed="false">
      <c r="A132" s="6" t="s">
        <v>989</v>
      </c>
      <c r="B132" s="6" t="s">
        <v>373</v>
      </c>
      <c r="C132" s="6" t="s">
        <v>380</v>
      </c>
      <c r="D132" s="6" t="n">
        <v>6</v>
      </c>
      <c r="E132" s="9" t="s">
        <v>4405</v>
      </c>
      <c r="F132" s="35" t="n">
        <v>1481000</v>
      </c>
      <c r="G132" s="42"/>
      <c r="H132" s="42"/>
      <c r="I132" s="42"/>
      <c r="J132" s="42"/>
      <c r="K132" s="42"/>
      <c r="L132" s="42"/>
      <c r="M132" s="42"/>
      <c r="N132" s="42"/>
      <c r="O132" s="42"/>
      <c r="P132" s="42"/>
      <c r="Q132" s="43" t="str">
        <f aca="false">IF($A132="","",IF(OR(F132="",I132=""),"",F132-I132))</f>
        <v/>
      </c>
      <c r="R132" s="43" t="str">
        <f aca="false">IF($A132="","",IF(Q132="","",Q132+IF(O132="",0,O132)))</f>
        <v/>
      </c>
      <c r="S132" s="42"/>
      <c r="T132" s="43" t="str">
        <f aca="false">IF($A132="","",IF(R132="","",R132-IF(S132="",0,S132)))</f>
        <v/>
      </c>
      <c r="U132" s="43" t="str">
        <f aca="false">IF($A132="","",IF(I132="","",I132-SUM(J132:P132)))</f>
        <v/>
      </c>
      <c r="V132" s="6" t="s">
        <v>4406</v>
      </c>
      <c r="W132" s="9" t="s">
        <v>528</v>
      </c>
      <c r="X132" s="9" t="s">
        <v>4412</v>
      </c>
      <c r="AC132" s="9" t="s">
        <v>4369</v>
      </c>
      <c r="AD132" s="9" t="s">
        <v>4370</v>
      </c>
      <c r="AE132" s="9" t="s">
        <v>4408</v>
      </c>
    </row>
    <row r="133" customFormat="false" ht="15" hidden="false" customHeight="true" outlineLevel="0" collapsed="false">
      <c r="A133" s="6" t="s">
        <v>992</v>
      </c>
      <c r="B133" s="6" t="s">
        <v>373</v>
      </c>
      <c r="C133" s="6" t="s">
        <v>380</v>
      </c>
      <c r="D133" s="6" t="n">
        <v>6</v>
      </c>
      <c r="E133" s="9" t="s">
        <v>4381</v>
      </c>
      <c r="F133" s="42"/>
      <c r="G133" s="42"/>
      <c r="H133" s="42"/>
      <c r="I133" s="42"/>
      <c r="J133" s="42"/>
      <c r="K133" s="42"/>
      <c r="L133" s="42"/>
      <c r="M133" s="42"/>
      <c r="N133" s="42"/>
      <c r="O133" s="42"/>
      <c r="P133" s="42"/>
      <c r="Q133" s="43" t="str">
        <f aca="false">IF($A133="","",IF(OR(F133="",I133=""),"",F133-I133))</f>
        <v/>
      </c>
      <c r="R133" s="43" t="str">
        <f aca="false">IF($A133="","",IF(Q133="","",Q133+IF(O133="",0,O133)))</f>
        <v/>
      </c>
      <c r="S133" s="42"/>
      <c r="T133" s="43" t="str">
        <f aca="false">IF($A133="","",IF(R133="","",R133-IF(S133="",0,S133)))</f>
        <v/>
      </c>
      <c r="U133" s="43" t="str">
        <f aca="false">IF($A133="","",IF(I133="","",I133-SUM(J133:P133)))</f>
        <v/>
      </c>
      <c r="V133" s="6" t="s">
        <v>4413</v>
      </c>
      <c r="W133" s="9" t="s">
        <v>528</v>
      </c>
      <c r="X133" s="9" t="s">
        <v>4414</v>
      </c>
      <c r="AC133" s="9" t="s">
        <v>4369</v>
      </c>
      <c r="AD133" s="9" t="s">
        <v>4370</v>
      </c>
      <c r="AE133" s="9" t="s">
        <v>4371</v>
      </c>
    </row>
    <row r="134" customFormat="false" ht="15" hidden="false" customHeight="true" outlineLevel="0" collapsed="false">
      <c r="A134" s="6" t="s">
        <v>995</v>
      </c>
      <c r="B134" s="6" t="s">
        <v>373</v>
      </c>
      <c r="C134" s="6" t="s">
        <v>380</v>
      </c>
      <c r="D134" s="6" t="n">
        <v>6</v>
      </c>
      <c r="E134" s="9" t="s">
        <v>4405</v>
      </c>
      <c r="F134" s="35" t="n">
        <v>1420000</v>
      </c>
      <c r="G134" s="42"/>
      <c r="H134" s="42"/>
      <c r="I134" s="42"/>
      <c r="J134" s="42"/>
      <c r="K134" s="42"/>
      <c r="L134" s="42"/>
      <c r="M134" s="42"/>
      <c r="N134" s="42"/>
      <c r="O134" s="42"/>
      <c r="P134" s="42"/>
      <c r="Q134" s="43" t="str">
        <f aca="false">IF($A134="","",IF(OR(F134="",I134=""),"",F134-I134))</f>
        <v/>
      </c>
      <c r="R134" s="43" t="str">
        <f aca="false">IF($A134="","",IF(Q134="","",Q134+IF(O134="",0,O134)))</f>
        <v/>
      </c>
      <c r="S134" s="42"/>
      <c r="T134" s="43" t="str">
        <f aca="false">IF($A134="","",IF(R134="","",R134-IF(S134="",0,S134)))</f>
        <v/>
      </c>
      <c r="U134" s="43" t="str">
        <f aca="false">IF($A134="","",IF(I134="","",I134-SUM(J134:P134)))</f>
        <v/>
      </c>
      <c r="V134" s="6" t="s">
        <v>4406</v>
      </c>
      <c r="W134" s="9" t="s">
        <v>528</v>
      </c>
      <c r="X134" s="9" t="s">
        <v>4415</v>
      </c>
      <c r="AC134" s="9" t="s">
        <v>4369</v>
      </c>
      <c r="AD134" s="9" t="s">
        <v>4370</v>
      </c>
      <c r="AE134" s="9" t="s">
        <v>4408</v>
      </c>
    </row>
    <row r="135" customFormat="false" ht="15" hidden="false" customHeight="true" outlineLevel="0" collapsed="false">
      <c r="A135" s="6" t="s">
        <v>998</v>
      </c>
      <c r="B135" s="6" t="s">
        <v>373</v>
      </c>
      <c r="C135" s="6" t="s">
        <v>380</v>
      </c>
      <c r="D135" s="6" t="n">
        <v>6</v>
      </c>
      <c r="E135" s="9" t="s">
        <v>4405</v>
      </c>
      <c r="F135" s="35" t="n">
        <v>856000</v>
      </c>
      <c r="G135" s="42"/>
      <c r="H135" s="42"/>
      <c r="I135" s="42"/>
      <c r="J135" s="42"/>
      <c r="K135" s="42"/>
      <c r="L135" s="42"/>
      <c r="M135" s="42"/>
      <c r="N135" s="42"/>
      <c r="O135" s="42"/>
      <c r="P135" s="42"/>
      <c r="Q135" s="43" t="str">
        <f aca="false">IF($A135="","",IF(OR(F135="",I135=""),"",F135-I135))</f>
        <v/>
      </c>
      <c r="R135" s="43" t="str">
        <f aca="false">IF($A135="","",IF(Q135="","",Q135+IF(O135="",0,O135)))</f>
        <v/>
      </c>
      <c r="S135" s="42"/>
      <c r="T135" s="43" t="str">
        <f aca="false">IF($A135="","",IF(R135="","",R135-IF(S135="",0,S135)))</f>
        <v/>
      </c>
      <c r="U135" s="43" t="str">
        <f aca="false">IF($A135="","",IF(I135="","",I135-SUM(J135:P135)))</f>
        <v/>
      </c>
      <c r="V135" s="6" t="s">
        <v>4406</v>
      </c>
      <c r="W135" s="9" t="s">
        <v>528</v>
      </c>
      <c r="X135" s="9" t="s">
        <v>4416</v>
      </c>
      <c r="AC135" s="9" t="s">
        <v>4369</v>
      </c>
      <c r="AD135" s="9" t="s">
        <v>4370</v>
      </c>
      <c r="AE135" s="9" t="s">
        <v>4408</v>
      </c>
    </row>
    <row r="136" customFormat="false" ht="15" hidden="false" customHeight="true" outlineLevel="0" collapsed="false">
      <c r="A136" s="6" t="s">
        <v>1001</v>
      </c>
      <c r="B136" s="6" t="s">
        <v>373</v>
      </c>
      <c r="C136" s="6" t="s">
        <v>380</v>
      </c>
      <c r="D136" s="6" t="n">
        <v>6</v>
      </c>
      <c r="E136" s="9" t="s">
        <v>4405</v>
      </c>
      <c r="F136" s="35" t="n">
        <v>551000</v>
      </c>
      <c r="G136" s="42"/>
      <c r="H136" s="42"/>
      <c r="I136" s="42"/>
      <c r="J136" s="42"/>
      <c r="K136" s="42"/>
      <c r="L136" s="42"/>
      <c r="M136" s="42"/>
      <c r="N136" s="42"/>
      <c r="O136" s="42"/>
      <c r="P136" s="42"/>
      <c r="Q136" s="43" t="str">
        <f aca="false">IF($A136="","",IF(OR(F136="",I136=""),"",F136-I136))</f>
        <v/>
      </c>
      <c r="R136" s="43" t="str">
        <f aca="false">IF($A136="","",IF(Q136="","",Q136+IF(O136="",0,O136)))</f>
        <v/>
      </c>
      <c r="S136" s="42"/>
      <c r="T136" s="43" t="str">
        <f aca="false">IF($A136="","",IF(R136="","",R136-IF(S136="",0,S136)))</f>
        <v/>
      </c>
      <c r="U136" s="43" t="str">
        <f aca="false">IF($A136="","",IF(I136="","",I136-SUM(J136:P136)))</f>
        <v/>
      </c>
      <c r="V136" s="6" t="s">
        <v>4406</v>
      </c>
      <c r="W136" s="9" t="s">
        <v>528</v>
      </c>
      <c r="X136" s="9" t="s">
        <v>4417</v>
      </c>
      <c r="AC136" s="9" t="s">
        <v>4369</v>
      </c>
      <c r="AD136" s="9" t="s">
        <v>4370</v>
      </c>
      <c r="AE136" s="9" t="s">
        <v>4408</v>
      </c>
    </row>
    <row r="137" customFormat="false" ht="15" hidden="false" customHeight="true" outlineLevel="0" collapsed="false">
      <c r="A137" s="6" t="s">
        <v>1004</v>
      </c>
      <c r="B137" s="6" t="s">
        <v>373</v>
      </c>
      <c r="C137" s="6" t="s">
        <v>380</v>
      </c>
      <c r="D137" s="6" t="n">
        <v>6</v>
      </c>
      <c r="E137" s="9" t="s">
        <v>4405</v>
      </c>
      <c r="F137" s="35" t="n">
        <v>889000</v>
      </c>
      <c r="G137" s="42"/>
      <c r="H137" s="42"/>
      <c r="I137" s="42"/>
      <c r="J137" s="42"/>
      <c r="K137" s="42"/>
      <c r="L137" s="42"/>
      <c r="M137" s="42"/>
      <c r="N137" s="42"/>
      <c r="O137" s="42"/>
      <c r="P137" s="42"/>
      <c r="Q137" s="43" t="str">
        <f aca="false">IF($A137="","",IF(OR(F137="",I137=""),"",F137-I137))</f>
        <v/>
      </c>
      <c r="R137" s="43" t="str">
        <f aca="false">IF($A137="","",IF(Q137="","",Q137+IF(O137="",0,O137)))</f>
        <v/>
      </c>
      <c r="S137" s="42"/>
      <c r="T137" s="43" t="str">
        <f aca="false">IF($A137="","",IF(R137="","",R137-IF(S137="",0,S137)))</f>
        <v/>
      </c>
      <c r="U137" s="43" t="str">
        <f aca="false">IF($A137="","",IF(I137="","",I137-SUM(J137:P137)))</f>
        <v/>
      </c>
      <c r="V137" s="6" t="s">
        <v>4406</v>
      </c>
      <c r="W137" s="9" t="s">
        <v>528</v>
      </c>
      <c r="X137" s="9" t="s">
        <v>4418</v>
      </c>
      <c r="AC137" s="9" t="s">
        <v>4369</v>
      </c>
      <c r="AD137" s="9" t="s">
        <v>4370</v>
      </c>
      <c r="AE137" s="9" t="s">
        <v>4408</v>
      </c>
    </row>
    <row r="138" customFormat="false" ht="15" hidden="false" customHeight="true" outlineLevel="0" collapsed="false">
      <c r="A138" s="6" t="s">
        <v>1007</v>
      </c>
      <c r="B138" s="6" t="s">
        <v>373</v>
      </c>
      <c r="C138" s="6" t="s">
        <v>380</v>
      </c>
      <c r="D138" s="6" t="n">
        <v>6</v>
      </c>
      <c r="E138" s="9" t="s">
        <v>4381</v>
      </c>
      <c r="F138" s="42"/>
      <c r="G138" s="42"/>
      <c r="H138" s="42"/>
      <c r="I138" s="42"/>
      <c r="J138" s="42"/>
      <c r="K138" s="42"/>
      <c r="L138" s="42"/>
      <c r="M138" s="42"/>
      <c r="N138" s="42"/>
      <c r="O138" s="42"/>
      <c r="P138" s="42"/>
      <c r="Q138" s="43" t="str">
        <f aca="false">IF($A138="","",IF(OR(F138="",I138=""),"",F138-I138))</f>
        <v/>
      </c>
      <c r="R138" s="43" t="str">
        <f aca="false">IF($A138="","",IF(Q138="","",Q138+IF(O138="",0,O138)))</f>
        <v/>
      </c>
      <c r="S138" s="42"/>
      <c r="T138" s="43" t="str">
        <f aca="false">IF($A138="","",IF(R138="","",R138-IF(S138="",0,S138)))</f>
        <v/>
      </c>
      <c r="U138" s="43" t="str">
        <f aca="false">IF($A138="","",IF(I138="","",I138-SUM(J138:P138)))</f>
        <v/>
      </c>
      <c r="V138" s="6" t="s">
        <v>4413</v>
      </c>
      <c r="W138" s="9" t="s">
        <v>528</v>
      </c>
      <c r="X138" s="9" t="s">
        <v>4419</v>
      </c>
      <c r="AC138" s="9" t="s">
        <v>4369</v>
      </c>
      <c r="AD138" s="9" t="s">
        <v>4370</v>
      </c>
      <c r="AE138" s="9" t="s">
        <v>4371</v>
      </c>
    </row>
    <row r="139" customFormat="false" ht="15" hidden="false" customHeight="true" outlineLevel="0" collapsed="false">
      <c r="A139" s="6" t="s">
        <v>1010</v>
      </c>
      <c r="B139" s="6" t="s">
        <v>373</v>
      </c>
      <c r="C139" s="6" t="s">
        <v>380</v>
      </c>
      <c r="D139" s="6" t="n">
        <v>6</v>
      </c>
      <c r="E139" s="9" t="s">
        <v>4381</v>
      </c>
      <c r="F139" s="42"/>
      <c r="G139" s="42"/>
      <c r="H139" s="42"/>
      <c r="I139" s="42"/>
      <c r="J139" s="42"/>
      <c r="K139" s="42"/>
      <c r="L139" s="42"/>
      <c r="M139" s="42"/>
      <c r="N139" s="42"/>
      <c r="O139" s="42"/>
      <c r="P139" s="42"/>
      <c r="Q139" s="43" t="str">
        <f aca="false">IF($A139="","",IF(OR(F139="",I139=""),"",F139-I139))</f>
        <v/>
      </c>
      <c r="R139" s="43" t="str">
        <f aca="false">IF($A139="","",IF(Q139="","",Q139+IF(O139="",0,O139)))</f>
        <v/>
      </c>
      <c r="S139" s="42"/>
      <c r="T139" s="43" t="str">
        <f aca="false">IF($A139="","",IF(R139="","",R139-IF(S139="",0,S139)))</f>
        <v/>
      </c>
      <c r="U139" s="43" t="str">
        <f aca="false">IF($A139="","",IF(I139="","",I139-SUM(J139:P139)))</f>
        <v/>
      </c>
      <c r="V139" s="6" t="s">
        <v>4413</v>
      </c>
      <c r="W139" s="9" t="s">
        <v>528</v>
      </c>
      <c r="X139" s="9" t="s">
        <v>4420</v>
      </c>
      <c r="AC139" s="9" t="s">
        <v>4369</v>
      </c>
      <c r="AD139" s="9" t="s">
        <v>4370</v>
      </c>
      <c r="AE139" s="9" t="s">
        <v>4371</v>
      </c>
    </row>
    <row r="140" customFormat="false" ht="15" hidden="false" customHeight="true" outlineLevel="0" collapsed="false">
      <c r="A140" s="6" t="s">
        <v>1013</v>
      </c>
      <c r="B140" s="6" t="s">
        <v>373</v>
      </c>
      <c r="C140" s="6" t="s">
        <v>380</v>
      </c>
      <c r="D140" s="6" t="n">
        <v>6</v>
      </c>
      <c r="E140" s="9" t="s">
        <v>4405</v>
      </c>
      <c r="F140" s="35" t="n">
        <v>617000</v>
      </c>
      <c r="G140" s="42"/>
      <c r="H140" s="42"/>
      <c r="I140" s="42"/>
      <c r="J140" s="42"/>
      <c r="K140" s="42"/>
      <c r="L140" s="42"/>
      <c r="M140" s="42"/>
      <c r="N140" s="42"/>
      <c r="O140" s="42"/>
      <c r="P140" s="42"/>
      <c r="Q140" s="43" t="str">
        <f aca="false">IF($A140="","",IF(OR(F140="",I140=""),"",F140-I140))</f>
        <v/>
      </c>
      <c r="R140" s="43" t="str">
        <f aca="false">IF($A140="","",IF(Q140="","",Q140+IF(O140="",0,O140)))</f>
        <v/>
      </c>
      <c r="S140" s="42"/>
      <c r="T140" s="43" t="str">
        <f aca="false">IF($A140="","",IF(R140="","",R140-IF(S140="",0,S140)))</f>
        <v/>
      </c>
      <c r="U140" s="43" t="str">
        <f aca="false">IF($A140="","",IF(I140="","",I140-SUM(J140:P140)))</f>
        <v/>
      </c>
      <c r="V140" s="6" t="s">
        <v>4406</v>
      </c>
      <c r="W140" s="9" t="s">
        <v>528</v>
      </c>
      <c r="X140" s="9" t="s">
        <v>4416</v>
      </c>
      <c r="AC140" s="9" t="s">
        <v>4369</v>
      </c>
      <c r="AD140" s="9" t="s">
        <v>4370</v>
      </c>
      <c r="AE140" s="9" t="s">
        <v>4408</v>
      </c>
    </row>
    <row r="141" customFormat="false" ht="15" hidden="false" customHeight="true" outlineLevel="0" collapsed="false">
      <c r="A141" s="6" t="s">
        <v>1015</v>
      </c>
      <c r="B141" s="6" t="s">
        <v>373</v>
      </c>
      <c r="C141" s="6" t="s">
        <v>380</v>
      </c>
      <c r="D141" s="6" t="n">
        <v>6</v>
      </c>
      <c r="E141" s="9" t="s">
        <v>4405</v>
      </c>
      <c r="F141" s="35" t="n">
        <v>422000</v>
      </c>
      <c r="G141" s="42"/>
      <c r="H141" s="42"/>
      <c r="I141" s="42"/>
      <c r="J141" s="42"/>
      <c r="K141" s="42"/>
      <c r="L141" s="42"/>
      <c r="M141" s="42"/>
      <c r="N141" s="42"/>
      <c r="O141" s="42"/>
      <c r="P141" s="42"/>
      <c r="Q141" s="43" t="str">
        <f aca="false">IF($A141="","",IF(OR(F141="",I141=""),"",F141-I141))</f>
        <v/>
      </c>
      <c r="R141" s="43" t="str">
        <f aca="false">IF($A141="","",IF(Q141="","",Q141+IF(O141="",0,O141)))</f>
        <v/>
      </c>
      <c r="S141" s="42"/>
      <c r="T141" s="43" t="str">
        <f aca="false">IF($A141="","",IF(R141="","",R141-IF(S141="",0,S141)))</f>
        <v/>
      </c>
      <c r="U141" s="43" t="str">
        <f aca="false">IF($A141="","",IF(I141="","",I141-SUM(J141:P141)))</f>
        <v/>
      </c>
      <c r="V141" s="6" t="s">
        <v>4406</v>
      </c>
      <c r="W141" s="9" t="s">
        <v>528</v>
      </c>
      <c r="X141" s="9" t="s">
        <v>4421</v>
      </c>
      <c r="AC141" s="9" t="s">
        <v>4369</v>
      </c>
      <c r="AD141" s="9" t="s">
        <v>4370</v>
      </c>
      <c r="AE141" s="9" t="s">
        <v>4408</v>
      </c>
    </row>
    <row r="142" customFormat="false" ht="15" hidden="false" customHeight="true" outlineLevel="0" collapsed="false">
      <c r="A142" s="6" t="s">
        <v>1018</v>
      </c>
      <c r="B142" s="6" t="s">
        <v>373</v>
      </c>
      <c r="C142" s="6" t="s">
        <v>380</v>
      </c>
      <c r="D142" s="6" t="n">
        <v>6</v>
      </c>
      <c r="E142" s="9" t="s">
        <v>4405</v>
      </c>
      <c r="F142" s="35" t="n">
        <v>564000</v>
      </c>
      <c r="G142" s="42"/>
      <c r="H142" s="42"/>
      <c r="I142" s="42"/>
      <c r="J142" s="42"/>
      <c r="K142" s="42"/>
      <c r="L142" s="42"/>
      <c r="M142" s="42"/>
      <c r="N142" s="42"/>
      <c r="O142" s="42"/>
      <c r="P142" s="42"/>
      <c r="Q142" s="43" t="str">
        <f aca="false">IF($A142="","",IF(OR(F142="",I142=""),"",F142-I142))</f>
        <v/>
      </c>
      <c r="R142" s="43" t="str">
        <f aca="false">IF($A142="","",IF(Q142="","",Q142+IF(O142="",0,O142)))</f>
        <v/>
      </c>
      <c r="S142" s="42"/>
      <c r="T142" s="43" t="str">
        <f aca="false">IF($A142="","",IF(R142="","",R142-IF(S142="",0,S142)))</f>
        <v/>
      </c>
      <c r="U142" s="43" t="str">
        <f aca="false">IF($A142="","",IF(I142="","",I142-SUM(J142:P142)))</f>
        <v/>
      </c>
      <c r="V142" s="6" t="s">
        <v>4406</v>
      </c>
      <c r="W142" s="9" t="s">
        <v>528</v>
      </c>
      <c r="X142" s="9" t="s">
        <v>4416</v>
      </c>
      <c r="AC142" s="9" t="s">
        <v>4369</v>
      </c>
      <c r="AD142" s="9" t="s">
        <v>4370</v>
      </c>
      <c r="AE142" s="9" t="s">
        <v>4408</v>
      </c>
    </row>
    <row r="143" customFormat="false" ht="15" hidden="false" customHeight="true" outlineLevel="0" collapsed="false">
      <c r="A143" s="6" t="s">
        <v>1020</v>
      </c>
      <c r="B143" s="6" t="s">
        <v>373</v>
      </c>
      <c r="C143" s="6" t="s">
        <v>380</v>
      </c>
      <c r="D143" s="6" t="n">
        <v>6</v>
      </c>
      <c r="E143" s="9" t="s">
        <v>4405</v>
      </c>
      <c r="F143" s="35" t="n">
        <v>318000</v>
      </c>
      <c r="G143" s="42"/>
      <c r="H143" s="42"/>
      <c r="I143" s="42"/>
      <c r="J143" s="42"/>
      <c r="K143" s="42"/>
      <c r="L143" s="42"/>
      <c r="M143" s="42"/>
      <c r="N143" s="42"/>
      <c r="O143" s="42"/>
      <c r="P143" s="42"/>
      <c r="Q143" s="43" t="str">
        <f aca="false">IF($A143="","",IF(OR(F143="",I143=""),"",F143-I143))</f>
        <v/>
      </c>
      <c r="R143" s="43" t="str">
        <f aca="false">IF($A143="","",IF(Q143="","",Q143+IF(O143="",0,O143)))</f>
        <v/>
      </c>
      <c r="S143" s="42"/>
      <c r="T143" s="43" t="str">
        <f aca="false">IF($A143="","",IF(R143="","",R143-IF(S143="",0,S143)))</f>
        <v/>
      </c>
      <c r="U143" s="43" t="str">
        <f aca="false">IF($A143="","",IF(I143="","",I143-SUM(J143:P143)))</f>
        <v/>
      </c>
      <c r="V143" s="6" t="s">
        <v>4406</v>
      </c>
      <c r="W143" s="9" t="s">
        <v>528</v>
      </c>
      <c r="X143" s="9" t="s">
        <v>4416</v>
      </c>
      <c r="AC143" s="9" t="s">
        <v>4369</v>
      </c>
      <c r="AD143" s="9" t="s">
        <v>4370</v>
      </c>
      <c r="AE143" s="9" t="s">
        <v>4408</v>
      </c>
    </row>
    <row r="144" customFormat="false" ht="15" hidden="false" customHeight="true" outlineLevel="0" collapsed="false">
      <c r="A144" s="6" t="s">
        <v>1022</v>
      </c>
      <c r="B144" s="6" t="s">
        <v>373</v>
      </c>
      <c r="C144" s="6" t="s">
        <v>380</v>
      </c>
      <c r="D144" s="6" t="n">
        <v>6</v>
      </c>
      <c r="E144" s="9" t="s">
        <v>4405</v>
      </c>
      <c r="F144" s="35" t="n">
        <v>98000</v>
      </c>
      <c r="G144" s="42"/>
      <c r="H144" s="42"/>
      <c r="I144" s="42"/>
      <c r="J144" s="42"/>
      <c r="K144" s="42"/>
      <c r="L144" s="42"/>
      <c r="M144" s="42"/>
      <c r="N144" s="42"/>
      <c r="O144" s="42"/>
      <c r="P144" s="42"/>
      <c r="Q144" s="43" t="str">
        <f aca="false">IF($A144="","",IF(OR(F144="",I144=""),"",F144-I144))</f>
        <v/>
      </c>
      <c r="R144" s="43" t="str">
        <f aca="false">IF($A144="","",IF(Q144="","",Q144+IF(O144="",0,O144)))</f>
        <v/>
      </c>
      <c r="S144" s="42"/>
      <c r="T144" s="43" t="str">
        <f aca="false">IF($A144="","",IF(R144="","",R144-IF(S144="",0,S144)))</f>
        <v/>
      </c>
      <c r="U144" s="43" t="str">
        <f aca="false">IF($A144="","",IF(I144="","",I144-SUM(J144:P144)))</f>
        <v/>
      </c>
      <c r="V144" s="6" t="s">
        <v>4406</v>
      </c>
      <c r="W144" s="9" t="s">
        <v>528</v>
      </c>
      <c r="X144" s="9" t="s">
        <v>4422</v>
      </c>
      <c r="AC144" s="9" t="s">
        <v>4369</v>
      </c>
      <c r="AD144" s="9" t="s">
        <v>4370</v>
      </c>
      <c r="AE144" s="9" t="s">
        <v>4408</v>
      </c>
    </row>
    <row r="145" customFormat="false" ht="15" hidden="false" customHeight="true" outlineLevel="0" collapsed="false">
      <c r="A145" s="6" t="s">
        <v>1025</v>
      </c>
      <c r="B145" s="6" t="s">
        <v>373</v>
      </c>
      <c r="C145" s="6" t="s">
        <v>380</v>
      </c>
      <c r="D145" s="6" t="n">
        <v>6</v>
      </c>
      <c r="E145" s="9" t="s">
        <v>4405</v>
      </c>
      <c r="F145" s="35" t="n">
        <v>151000</v>
      </c>
      <c r="G145" s="42"/>
      <c r="H145" s="42"/>
      <c r="I145" s="42"/>
      <c r="J145" s="42"/>
      <c r="K145" s="42"/>
      <c r="L145" s="42"/>
      <c r="M145" s="42"/>
      <c r="N145" s="42"/>
      <c r="O145" s="42"/>
      <c r="P145" s="42"/>
      <c r="Q145" s="43" t="str">
        <f aca="false">IF($A145="","",IF(OR(F145="",I145=""),"",F145-I145))</f>
        <v/>
      </c>
      <c r="R145" s="43" t="str">
        <f aca="false">IF($A145="","",IF(Q145="","",Q145+IF(O145="",0,O145)))</f>
        <v/>
      </c>
      <c r="S145" s="42"/>
      <c r="T145" s="43" t="str">
        <f aca="false">IF($A145="","",IF(R145="","",R145-IF(S145="",0,S145)))</f>
        <v/>
      </c>
      <c r="U145" s="43" t="str">
        <f aca="false">IF($A145="","",IF(I145="","",I145-SUM(J145:P145)))</f>
        <v/>
      </c>
      <c r="V145" s="6" t="s">
        <v>4406</v>
      </c>
      <c r="W145" s="9" t="s">
        <v>528</v>
      </c>
      <c r="X145" s="9" t="s">
        <v>4423</v>
      </c>
      <c r="AC145" s="6" t="s">
        <v>4373</v>
      </c>
      <c r="AD145" s="9" t="s">
        <v>4424</v>
      </c>
      <c r="AE145" s="9" t="s">
        <v>4408</v>
      </c>
    </row>
    <row r="146" customFormat="false" ht="15" hidden="false" customHeight="true" outlineLevel="0" collapsed="false">
      <c r="A146" s="6" t="s">
        <v>1028</v>
      </c>
      <c r="B146" s="6" t="s">
        <v>373</v>
      </c>
      <c r="C146" s="6" t="s">
        <v>380</v>
      </c>
      <c r="D146" s="6" t="n">
        <v>6</v>
      </c>
      <c r="E146" s="9" t="s">
        <v>4405</v>
      </c>
      <c r="F146" s="35" t="n">
        <v>323000</v>
      </c>
      <c r="G146" s="42"/>
      <c r="H146" s="42"/>
      <c r="I146" s="42"/>
      <c r="J146" s="42"/>
      <c r="K146" s="42"/>
      <c r="L146" s="42"/>
      <c r="M146" s="42"/>
      <c r="N146" s="42"/>
      <c r="O146" s="42"/>
      <c r="P146" s="42"/>
      <c r="Q146" s="43" t="str">
        <f aca="false">IF($A146="","",IF(OR(F146="",I146=""),"",F146-I146))</f>
        <v/>
      </c>
      <c r="R146" s="43" t="str">
        <f aca="false">IF($A146="","",IF(Q146="","",Q146+IF(O146="",0,O146)))</f>
        <v/>
      </c>
      <c r="S146" s="42"/>
      <c r="T146" s="43" t="str">
        <f aca="false">IF($A146="","",IF(R146="","",R146-IF(S146="",0,S146)))</f>
        <v/>
      </c>
      <c r="U146" s="43" t="str">
        <f aca="false">IF($A146="","",IF(I146="","",I146-SUM(J146:P146)))</f>
        <v/>
      </c>
      <c r="V146" s="6" t="s">
        <v>4406</v>
      </c>
      <c r="W146" s="9" t="s">
        <v>528</v>
      </c>
      <c r="X146" s="9" t="s">
        <v>4416</v>
      </c>
      <c r="AC146" s="9" t="s">
        <v>4369</v>
      </c>
      <c r="AD146" s="9" t="s">
        <v>4370</v>
      </c>
      <c r="AE146" s="9" t="s">
        <v>4408</v>
      </c>
    </row>
    <row r="147" customFormat="false" ht="15" hidden="false" customHeight="true" outlineLevel="0" collapsed="false">
      <c r="A147" s="6" t="s">
        <v>1030</v>
      </c>
      <c r="B147" s="6" t="s">
        <v>373</v>
      </c>
      <c r="C147" s="6" t="s">
        <v>380</v>
      </c>
      <c r="D147" s="6" t="n">
        <v>6</v>
      </c>
      <c r="E147" s="9" t="s">
        <v>4405</v>
      </c>
      <c r="F147" s="35" t="n">
        <v>236000</v>
      </c>
      <c r="G147" s="42"/>
      <c r="H147" s="42"/>
      <c r="I147" s="42"/>
      <c r="J147" s="42"/>
      <c r="K147" s="42"/>
      <c r="L147" s="42"/>
      <c r="M147" s="42"/>
      <c r="N147" s="42"/>
      <c r="O147" s="42"/>
      <c r="P147" s="42"/>
      <c r="Q147" s="43" t="str">
        <f aca="false">IF($A147="","",IF(OR(F147="",I147=""),"",F147-I147))</f>
        <v/>
      </c>
      <c r="R147" s="43" t="str">
        <f aca="false">IF($A147="","",IF(Q147="","",Q147+IF(O147="",0,O147)))</f>
        <v/>
      </c>
      <c r="S147" s="42"/>
      <c r="T147" s="43" t="str">
        <f aca="false">IF($A147="","",IF(R147="","",R147-IF(S147="",0,S147)))</f>
        <v/>
      </c>
      <c r="U147" s="43" t="str">
        <f aca="false">IF($A147="","",IF(I147="","",I147-SUM(J147:P147)))</f>
        <v/>
      </c>
      <c r="V147" s="6" t="s">
        <v>4406</v>
      </c>
      <c r="W147" s="9" t="s">
        <v>528</v>
      </c>
      <c r="X147" s="9" t="s">
        <v>4425</v>
      </c>
      <c r="AC147" s="9" t="s">
        <v>4369</v>
      </c>
      <c r="AD147" s="9" t="s">
        <v>4370</v>
      </c>
      <c r="AE147" s="9" t="s">
        <v>4408</v>
      </c>
    </row>
    <row r="148" customFormat="false" ht="15" hidden="false" customHeight="true" outlineLevel="0" collapsed="false">
      <c r="A148" s="6" t="s">
        <v>1033</v>
      </c>
      <c r="B148" s="6" t="s">
        <v>373</v>
      </c>
      <c r="C148" s="6" t="s">
        <v>380</v>
      </c>
      <c r="D148" s="6" t="n">
        <v>6</v>
      </c>
      <c r="E148" s="9" t="s">
        <v>4405</v>
      </c>
      <c r="F148" s="35" t="n">
        <v>242000</v>
      </c>
      <c r="G148" s="42"/>
      <c r="H148" s="42"/>
      <c r="I148" s="42"/>
      <c r="J148" s="42"/>
      <c r="K148" s="42"/>
      <c r="L148" s="42"/>
      <c r="M148" s="42"/>
      <c r="N148" s="42"/>
      <c r="O148" s="42"/>
      <c r="P148" s="42"/>
      <c r="Q148" s="43" t="str">
        <f aca="false">IF($A148="","",IF(OR(F148="",I148=""),"",F148-I148))</f>
        <v/>
      </c>
      <c r="R148" s="43" t="str">
        <f aca="false">IF($A148="","",IF(Q148="","",Q148+IF(O148="",0,O148)))</f>
        <v/>
      </c>
      <c r="S148" s="42"/>
      <c r="T148" s="43" t="str">
        <f aca="false">IF($A148="","",IF(R148="","",R148-IF(S148="",0,S148)))</f>
        <v/>
      </c>
      <c r="U148" s="43" t="str">
        <f aca="false">IF($A148="","",IF(I148="","",I148-SUM(J148:P148)))</f>
        <v/>
      </c>
      <c r="V148" s="6" t="s">
        <v>4406</v>
      </c>
      <c r="W148" s="9" t="s">
        <v>528</v>
      </c>
      <c r="X148" s="9" t="s">
        <v>4416</v>
      </c>
      <c r="AC148" s="9" t="s">
        <v>4369</v>
      </c>
      <c r="AD148" s="9" t="s">
        <v>4370</v>
      </c>
      <c r="AE148" s="9" t="s">
        <v>4408</v>
      </c>
    </row>
    <row r="149" customFormat="false" ht="15" hidden="false" customHeight="true" outlineLevel="0" collapsed="false">
      <c r="A149" s="6" t="s">
        <v>1035</v>
      </c>
      <c r="B149" s="6" t="s">
        <v>373</v>
      </c>
      <c r="C149" s="6" t="s">
        <v>380</v>
      </c>
      <c r="D149" s="6" t="n">
        <v>6</v>
      </c>
      <c r="E149" s="9" t="s">
        <v>4405</v>
      </c>
      <c r="F149" s="35" t="n">
        <v>304000</v>
      </c>
      <c r="G149" s="42"/>
      <c r="H149" s="42"/>
      <c r="I149" s="42"/>
      <c r="J149" s="42"/>
      <c r="K149" s="42"/>
      <c r="L149" s="42"/>
      <c r="M149" s="42"/>
      <c r="N149" s="42"/>
      <c r="O149" s="42"/>
      <c r="P149" s="42"/>
      <c r="Q149" s="43" t="str">
        <f aca="false">IF($A149="","",IF(OR(F149="",I149=""),"",F149-I149))</f>
        <v/>
      </c>
      <c r="R149" s="43" t="str">
        <f aca="false">IF($A149="","",IF(Q149="","",Q149+IF(O149="",0,O149)))</f>
        <v/>
      </c>
      <c r="S149" s="42"/>
      <c r="T149" s="43" t="str">
        <f aca="false">IF($A149="","",IF(R149="","",R149-IF(S149="",0,S149)))</f>
        <v/>
      </c>
      <c r="U149" s="43" t="str">
        <f aca="false">IF($A149="","",IF(I149="","",I149-SUM(J149:P149)))</f>
        <v/>
      </c>
      <c r="V149" s="6" t="s">
        <v>4406</v>
      </c>
      <c r="W149" s="9" t="s">
        <v>528</v>
      </c>
      <c r="X149" s="9" t="s">
        <v>4416</v>
      </c>
      <c r="AC149" s="9" t="s">
        <v>4369</v>
      </c>
      <c r="AD149" s="9" t="s">
        <v>4370</v>
      </c>
      <c r="AE149" s="9" t="s">
        <v>4408</v>
      </c>
    </row>
    <row r="150" customFormat="false" ht="15" hidden="false" customHeight="true" outlineLevel="0" collapsed="false">
      <c r="A150" s="6" t="s">
        <v>1037</v>
      </c>
      <c r="B150" s="6" t="s">
        <v>373</v>
      </c>
      <c r="C150" s="6" t="s">
        <v>380</v>
      </c>
      <c r="D150" s="6" t="n">
        <v>6</v>
      </c>
      <c r="E150" s="9" t="s">
        <v>4405</v>
      </c>
      <c r="F150" s="35" t="n">
        <v>203000</v>
      </c>
      <c r="G150" s="42"/>
      <c r="H150" s="42"/>
      <c r="I150" s="42"/>
      <c r="J150" s="42"/>
      <c r="K150" s="42"/>
      <c r="L150" s="42"/>
      <c r="M150" s="42"/>
      <c r="N150" s="42"/>
      <c r="O150" s="42"/>
      <c r="P150" s="42"/>
      <c r="Q150" s="43" t="str">
        <f aca="false">IF($A150="","",IF(OR(F150="",I150=""),"",F150-I150))</f>
        <v/>
      </c>
      <c r="R150" s="43" t="str">
        <f aca="false">IF($A150="","",IF(Q150="","",Q150+IF(O150="",0,O150)))</f>
        <v/>
      </c>
      <c r="S150" s="42"/>
      <c r="T150" s="43" t="str">
        <f aca="false">IF($A150="","",IF(R150="","",R150-IF(S150="",0,S150)))</f>
        <v/>
      </c>
      <c r="U150" s="43" t="str">
        <f aca="false">IF($A150="","",IF(I150="","",I150-SUM(J150:P150)))</f>
        <v/>
      </c>
      <c r="V150" s="6" t="s">
        <v>4406</v>
      </c>
      <c r="W150" s="9" t="s">
        <v>528</v>
      </c>
      <c r="X150" s="9" t="s">
        <v>4416</v>
      </c>
      <c r="AC150" s="9" t="s">
        <v>4369</v>
      </c>
      <c r="AD150" s="9" t="s">
        <v>4370</v>
      </c>
      <c r="AE150" s="9" t="s">
        <v>4408</v>
      </c>
    </row>
    <row r="151" customFormat="false" ht="15" hidden="false" customHeight="true" outlineLevel="0" collapsed="false">
      <c r="A151" s="6" t="s">
        <v>1039</v>
      </c>
      <c r="B151" s="6" t="s">
        <v>373</v>
      </c>
      <c r="C151" s="6" t="s">
        <v>380</v>
      </c>
      <c r="D151" s="6" t="n">
        <v>6</v>
      </c>
      <c r="E151" s="9" t="s">
        <v>4405</v>
      </c>
      <c r="F151" s="35" t="n">
        <v>211000</v>
      </c>
      <c r="G151" s="42"/>
      <c r="H151" s="42"/>
      <c r="I151" s="42"/>
      <c r="J151" s="42"/>
      <c r="K151" s="42"/>
      <c r="L151" s="42"/>
      <c r="M151" s="42"/>
      <c r="N151" s="42"/>
      <c r="O151" s="42"/>
      <c r="P151" s="42"/>
      <c r="Q151" s="43" t="str">
        <f aca="false">IF($A151="","",IF(OR(F151="",I151=""),"",F151-I151))</f>
        <v/>
      </c>
      <c r="R151" s="43" t="str">
        <f aca="false">IF($A151="","",IF(Q151="","",Q151+IF(O151="",0,O151)))</f>
        <v/>
      </c>
      <c r="S151" s="42"/>
      <c r="T151" s="43" t="str">
        <f aca="false">IF($A151="","",IF(R151="","",R151-IF(S151="",0,S151)))</f>
        <v/>
      </c>
      <c r="U151" s="43" t="str">
        <f aca="false">IF($A151="","",IF(I151="","",I151-SUM(J151:P151)))</f>
        <v/>
      </c>
      <c r="V151" s="6" t="s">
        <v>4406</v>
      </c>
      <c r="W151" s="9" t="s">
        <v>528</v>
      </c>
      <c r="X151" s="9" t="s">
        <v>4416</v>
      </c>
      <c r="AC151" s="9" t="s">
        <v>4369</v>
      </c>
      <c r="AD151" s="9" t="s">
        <v>4370</v>
      </c>
      <c r="AE151" s="9" t="s">
        <v>4408</v>
      </c>
    </row>
    <row r="152" customFormat="false" ht="15" hidden="false" customHeight="true" outlineLevel="0" collapsed="false">
      <c r="A152" s="6" t="s">
        <v>1041</v>
      </c>
      <c r="B152" s="6" t="s">
        <v>373</v>
      </c>
      <c r="C152" s="6" t="s">
        <v>380</v>
      </c>
      <c r="D152" s="6" t="n">
        <v>6</v>
      </c>
      <c r="E152" s="9" t="s">
        <v>4405</v>
      </c>
      <c r="F152" s="35" t="n">
        <v>199000</v>
      </c>
      <c r="G152" s="42"/>
      <c r="H152" s="42"/>
      <c r="I152" s="42"/>
      <c r="J152" s="42"/>
      <c r="K152" s="42"/>
      <c r="L152" s="42"/>
      <c r="M152" s="42"/>
      <c r="N152" s="42"/>
      <c r="O152" s="42"/>
      <c r="P152" s="42"/>
      <c r="Q152" s="43" t="str">
        <f aca="false">IF($A152="","",IF(OR(F152="",I152=""),"",F152-I152))</f>
        <v/>
      </c>
      <c r="R152" s="43" t="str">
        <f aca="false">IF($A152="","",IF(Q152="","",Q152+IF(O152="",0,O152)))</f>
        <v/>
      </c>
      <c r="S152" s="42"/>
      <c r="T152" s="43" t="str">
        <f aca="false">IF($A152="","",IF(R152="","",R152-IF(S152="",0,S152)))</f>
        <v/>
      </c>
      <c r="U152" s="43" t="str">
        <f aca="false">IF($A152="","",IF(I152="","",I152-SUM(J152:P152)))</f>
        <v/>
      </c>
      <c r="V152" s="6" t="s">
        <v>4406</v>
      </c>
      <c r="W152" s="9" t="s">
        <v>528</v>
      </c>
      <c r="X152" s="9" t="s">
        <v>4426</v>
      </c>
      <c r="AC152" s="9" t="s">
        <v>4369</v>
      </c>
      <c r="AD152" s="9" t="s">
        <v>4370</v>
      </c>
      <c r="AE152" s="9" t="s">
        <v>4408</v>
      </c>
    </row>
    <row r="153" customFormat="false" ht="15" hidden="false" customHeight="true" outlineLevel="0" collapsed="false">
      <c r="A153" s="6" t="s">
        <v>1044</v>
      </c>
      <c r="B153" s="6" t="s">
        <v>373</v>
      </c>
      <c r="C153" s="6" t="s">
        <v>380</v>
      </c>
      <c r="D153" s="6" t="n">
        <v>6</v>
      </c>
      <c r="E153" s="9" t="s">
        <v>4381</v>
      </c>
      <c r="F153" s="42"/>
      <c r="G153" s="42"/>
      <c r="H153" s="42"/>
      <c r="I153" s="42"/>
      <c r="J153" s="42"/>
      <c r="K153" s="42"/>
      <c r="L153" s="42"/>
      <c r="M153" s="42"/>
      <c r="N153" s="42"/>
      <c r="O153" s="42"/>
      <c r="P153" s="42"/>
      <c r="Q153" s="43" t="str">
        <f aca="false">IF($A153="","",IF(OR(F153="",I153=""),"",F153-I153))</f>
        <v/>
      </c>
      <c r="R153" s="43" t="str">
        <f aca="false">IF($A153="","",IF(Q153="","",Q153+IF(O153="",0,O153)))</f>
        <v/>
      </c>
      <c r="S153" s="42"/>
      <c r="T153" s="43" t="str">
        <f aca="false">IF($A153="","",IF(R153="","",R153-IF(S153="",0,S153)))</f>
        <v/>
      </c>
      <c r="U153" s="43" t="str">
        <f aca="false">IF($A153="","",IF(I153="","",I153-SUM(J153:P153)))</f>
        <v/>
      </c>
      <c r="V153" s="6" t="s">
        <v>4413</v>
      </c>
      <c r="W153" s="9" t="s">
        <v>528</v>
      </c>
      <c r="X153" s="9" t="s">
        <v>4427</v>
      </c>
      <c r="AC153" s="9" t="s">
        <v>4369</v>
      </c>
      <c r="AD153" s="9" t="s">
        <v>4370</v>
      </c>
      <c r="AE153" s="9" t="s">
        <v>4371</v>
      </c>
    </row>
    <row r="154" customFormat="false" ht="15" hidden="false" customHeight="true" outlineLevel="0" collapsed="false">
      <c r="A154" s="6" t="s">
        <v>1047</v>
      </c>
      <c r="B154" s="6" t="s">
        <v>373</v>
      </c>
      <c r="C154" s="6" t="s">
        <v>380</v>
      </c>
      <c r="D154" s="6" t="n">
        <v>6</v>
      </c>
      <c r="E154" s="9" t="s">
        <v>4405</v>
      </c>
      <c r="F154" s="35" t="n">
        <v>194000</v>
      </c>
      <c r="G154" s="42"/>
      <c r="H154" s="42"/>
      <c r="I154" s="42"/>
      <c r="J154" s="42"/>
      <c r="K154" s="42"/>
      <c r="L154" s="42"/>
      <c r="M154" s="42"/>
      <c r="N154" s="42"/>
      <c r="O154" s="42"/>
      <c r="P154" s="42"/>
      <c r="Q154" s="43" t="str">
        <f aca="false">IF($A154="","",IF(OR(F154="",I154=""),"",F154-I154))</f>
        <v/>
      </c>
      <c r="R154" s="43" t="str">
        <f aca="false">IF($A154="","",IF(Q154="","",Q154+IF(O154="",0,O154)))</f>
        <v/>
      </c>
      <c r="S154" s="42"/>
      <c r="T154" s="43" t="str">
        <f aca="false">IF($A154="","",IF(R154="","",R154-IF(S154="",0,S154)))</f>
        <v/>
      </c>
      <c r="U154" s="43" t="str">
        <f aca="false">IF($A154="","",IF(I154="","",I154-SUM(J154:P154)))</f>
        <v/>
      </c>
      <c r="V154" s="6" t="s">
        <v>4406</v>
      </c>
      <c r="W154" s="9" t="s">
        <v>528</v>
      </c>
      <c r="X154" s="9" t="s">
        <v>4416</v>
      </c>
      <c r="AC154" s="9" t="s">
        <v>4369</v>
      </c>
      <c r="AD154" s="9" t="s">
        <v>4370</v>
      </c>
      <c r="AE154" s="9" t="s">
        <v>4408</v>
      </c>
    </row>
    <row r="155" customFormat="false" ht="15" hidden="false" customHeight="true" outlineLevel="0" collapsed="false">
      <c r="A155" s="6" t="s">
        <v>1049</v>
      </c>
      <c r="B155" s="6" t="s">
        <v>373</v>
      </c>
      <c r="C155" s="6" t="s">
        <v>380</v>
      </c>
      <c r="D155" s="6" t="n">
        <v>6</v>
      </c>
      <c r="E155" s="9" t="s">
        <v>4381</v>
      </c>
      <c r="F155" s="42"/>
      <c r="G155" s="42"/>
      <c r="H155" s="42"/>
      <c r="I155" s="42"/>
      <c r="J155" s="42"/>
      <c r="K155" s="42"/>
      <c r="L155" s="42"/>
      <c r="M155" s="42"/>
      <c r="N155" s="42"/>
      <c r="O155" s="42"/>
      <c r="P155" s="42"/>
      <c r="Q155" s="43" t="str">
        <f aca="false">IF($A155="","",IF(OR(F155="",I155=""),"",F155-I155))</f>
        <v/>
      </c>
      <c r="R155" s="43" t="str">
        <f aca="false">IF($A155="","",IF(Q155="","",Q155+IF(O155="",0,O155)))</f>
        <v/>
      </c>
      <c r="S155" s="42"/>
      <c r="T155" s="43" t="str">
        <f aca="false">IF($A155="","",IF(R155="","",R155-IF(S155="",0,S155)))</f>
        <v/>
      </c>
      <c r="U155" s="43" t="str">
        <f aca="false">IF($A155="","",IF(I155="","",I155-SUM(J155:P155)))</f>
        <v/>
      </c>
      <c r="V155" s="6" t="s">
        <v>4413</v>
      </c>
      <c r="W155" s="9" t="s">
        <v>528</v>
      </c>
      <c r="X155" s="9" t="s">
        <v>4428</v>
      </c>
      <c r="AC155" s="9" t="s">
        <v>4369</v>
      </c>
      <c r="AD155" s="9" t="s">
        <v>4370</v>
      </c>
      <c r="AE155" s="9" t="s">
        <v>4371</v>
      </c>
    </row>
    <row r="156" customFormat="false" ht="15" hidden="false" customHeight="true" outlineLevel="0" collapsed="false">
      <c r="A156" s="6" t="s">
        <v>1051</v>
      </c>
      <c r="B156" s="6" t="s">
        <v>373</v>
      </c>
      <c r="C156" s="6" t="s">
        <v>380</v>
      </c>
      <c r="D156" s="6" t="n">
        <v>6</v>
      </c>
      <c r="E156" s="9" t="s">
        <v>4381</v>
      </c>
      <c r="F156" s="42"/>
      <c r="G156" s="42"/>
      <c r="H156" s="42"/>
      <c r="I156" s="42"/>
      <c r="J156" s="42"/>
      <c r="K156" s="42"/>
      <c r="L156" s="42"/>
      <c r="M156" s="42"/>
      <c r="N156" s="42"/>
      <c r="O156" s="42"/>
      <c r="P156" s="42"/>
      <c r="Q156" s="43" t="str">
        <f aca="false">IF($A156="","",IF(OR(F156="",I156=""),"",F156-I156))</f>
        <v/>
      </c>
      <c r="R156" s="43" t="str">
        <f aca="false">IF($A156="","",IF(Q156="","",Q156+IF(O156="",0,O156)))</f>
        <v/>
      </c>
      <c r="S156" s="42"/>
      <c r="T156" s="43" t="str">
        <f aca="false">IF($A156="","",IF(R156="","",R156-IF(S156="",0,S156)))</f>
        <v/>
      </c>
      <c r="U156" s="43" t="str">
        <f aca="false">IF($A156="","",IF(I156="","",I156-SUM(J156:P156)))</f>
        <v/>
      </c>
      <c r="V156" s="6" t="s">
        <v>4413</v>
      </c>
      <c r="W156" s="9" t="s">
        <v>528</v>
      </c>
      <c r="X156" s="9" t="s">
        <v>4429</v>
      </c>
      <c r="AC156" s="9" t="s">
        <v>4369</v>
      </c>
      <c r="AD156" s="9" t="s">
        <v>4370</v>
      </c>
      <c r="AE156" s="9" t="s">
        <v>4371</v>
      </c>
    </row>
    <row r="157" customFormat="false" ht="15" hidden="false" customHeight="true" outlineLevel="0" collapsed="false">
      <c r="A157" s="6" t="s">
        <v>1054</v>
      </c>
      <c r="B157" s="6" t="s">
        <v>373</v>
      </c>
      <c r="C157" s="6" t="s">
        <v>380</v>
      </c>
      <c r="D157" s="6" t="n">
        <v>6</v>
      </c>
      <c r="E157" s="9" t="s">
        <v>4405</v>
      </c>
      <c r="F157" s="35" t="n">
        <v>185000</v>
      </c>
      <c r="G157" s="42"/>
      <c r="H157" s="42"/>
      <c r="I157" s="42"/>
      <c r="J157" s="42"/>
      <c r="K157" s="42"/>
      <c r="L157" s="42"/>
      <c r="M157" s="42"/>
      <c r="N157" s="42"/>
      <c r="O157" s="42"/>
      <c r="P157" s="42"/>
      <c r="Q157" s="43" t="str">
        <f aca="false">IF($A157="","",IF(OR(F157="",I157=""),"",F157-I157))</f>
        <v/>
      </c>
      <c r="R157" s="43" t="str">
        <f aca="false">IF($A157="","",IF(Q157="","",Q157+IF(O157="",0,O157)))</f>
        <v/>
      </c>
      <c r="S157" s="42"/>
      <c r="T157" s="43" t="str">
        <f aca="false">IF($A157="","",IF(R157="","",R157-IF(S157="",0,S157)))</f>
        <v/>
      </c>
      <c r="U157" s="43" t="str">
        <f aca="false">IF($A157="","",IF(I157="","",I157-SUM(J157:P157)))</f>
        <v/>
      </c>
      <c r="V157" s="6" t="s">
        <v>4406</v>
      </c>
      <c r="W157" s="9" t="s">
        <v>528</v>
      </c>
      <c r="X157" s="9" t="s">
        <v>4416</v>
      </c>
      <c r="AC157" s="9" t="s">
        <v>4369</v>
      </c>
      <c r="AD157" s="9" t="s">
        <v>4370</v>
      </c>
      <c r="AE157" s="9" t="s">
        <v>4408</v>
      </c>
    </row>
    <row r="158" customFormat="false" ht="15" hidden="false" customHeight="true" outlineLevel="0" collapsed="false">
      <c r="A158" s="6" t="s">
        <v>1056</v>
      </c>
      <c r="B158" s="6" t="s">
        <v>373</v>
      </c>
      <c r="C158" s="6" t="s">
        <v>380</v>
      </c>
      <c r="D158" s="6" t="n">
        <v>6</v>
      </c>
      <c r="E158" s="9" t="s">
        <v>4405</v>
      </c>
      <c r="F158" s="35" t="n">
        <v>400000</v>
      </c>
      <c r="G158" s="42"/>
      <c r="H158" s="42"/>
      <c r="I158" s="42"/>
      <c r="J158" s="42"/>
      <c r="K158" s="42"/>
      <c r="L158" s="42"/>
      <c r="M158" s="42"/>
      <c r="N158" s="42"/>
      <c r="O158" s="42"/>
      <c r="P158" s="42"/>
      <c r="Q158" s="43" t="str">
        <f aca="false">IF($A158="","",IF(OR(F158="",I158=""),"",F158-I158))</f>
        <v/>
      </c>
      <c r="R158" s="43" t="str">
        <f aca="false">IF($A158="","",IF(Q158="","",Q158+IF(O158="",0,O158)))</f>
        <v/>
      </c>
      <c r="S158" s="42"/>
      <c r="T158" s="43" t="str">
        <f aca="false">IF($A158="","",IF(R158="","",R158-IF(S158="",0,S158)))</f>
        <v/>
      </c>
      <c r="U158" s="43" t="str">
        <f aca="false">IF($A158="","",IF(I158="","",I158-SUM(J158:P158)))</f>
        <v/>
      </c>
      <c r="V158" s="6" t="s">
        <v>4406</v>
      </c>
      <c r="W158" s="9" t="s">
        <v>528</v>
      </c>
      <c r="X158" s="9" t="s">
        <v>4416</v>
      </c>
      <c r="AC158" s="9" t="s">
        <v>4369</v>
      </c>
      <c r="AD158" s="9" t="s">
        <v>4370</v>
      </c>
      <c r="AE158" s="9" t="s">
        <v>4408</v>
      </c>
    </row>
    <row r="159" customFormat="false" ht="15" hidden="false" customHeight="true" outlineLevel="0" collapsed="false">
      <c r="A159" s="6" t="s">
        <v>1058</v>
      </c>
      <c r="B159" s="6" t="s">
        <v>373</v>
      </c>
      <c r="C159" s="6" t="s">
        <v>380</v>
      </c>
      <c r="D159" s="6" t="n">
        <v>6</v>
      </c>
      <c r="E159" s="9" t="s">
        <v>4381</v>
      </c>
      <c r="F159" s="42"/>
      <c r="G159" s="42"/>
      <c r="H159" s="42"/>
      <c r="I159" s="42"/>
      <c r="J159" s="42"/>
      <c r="K159" s="42"/>
      <c r="L159" s="42"/>
      <c r="M159" s="42"/>
      <c r="N159" s="42"/>
      <c r="O159" s="42"/>
      <c r="P159" s="42"/>
      <c r="Q159" s="43" t="str">
        <f aca="false">IF($A159="","",IF(OR(F159="",I159=""),"",F159-I159))</f>
        <v/>
      </c>
      <c r="R159" s="43" t="str">
        <f aca="false">IF($A159="","",IF(Q159="","",Q159+IF(O159="",0,O159)))</f>
        <v/>
      </c>
      <c r="S159" s="42"/>
      <c r="T159" s="43" t="str">
        <f aca="false">IF($A159="","",IF(R159="","",R159-IF(S159="",0,S159)))</f>
        <v/>
      </c>
      <c r="U159" s="43" t="str">
        <f aca="false">IF($A159="","",IF(I159="","",I159-SUM(J159:P159)))</f>
        <v/>
      </c>
      <c r="V159" s="6" t="s">
        <v>4413</v>
      </c>
      <c r="W159" s="9" t="s">
        <v>528</v>
      </c>
      <c r="X159" s="9" t="s">
        <v>4430</v>
      </c>
      <c r="AC159" s="9" t="s">
        <v>4369</v>
      </c>
      <c r="AD159" s="9" t="s">
        <v>4370</v>
      </c>
      <c r="AE159" s="9" t="s">
        <v>4371</v>
      </c>
    </row>
    <row r="160" customFormat="false" ht="15" hidden="false" customHeight="true" outlineLevel="0" collapsed="false">
      <c r="A160" s="6" t="s">
        <v>1061</v>
      </c>
      <c r="B160" s="6" t="s">
        <v>373</v>
      </c>
      <c r="C160" s="6" t="s">
        <v>380</v>
      </c>
      <c r="D160" s="6" t="n">
        <v>6</v>
      </c>
      <c r="E160" s="9" t="s">
        <v>4381</v>
      </c>
      <c r="F160" s="42"/>
      <c r="G160" s="42"/>
      <c r="H160" s="42"/>
      <c r="I160" s="42"/>
      <c r="J160" s="42"/>
      <c r="K160" s="42"/>
      <c r="L160" s="42"/>
      <c r="M160" s="42"/>
      <c r="N160" s="42"/>
      <c r="O160" s="42"/>
      <c r="P160" s="42"/>
      <c r="Q160" s="43" t="str">
        <f aca="false">IF($A160="","",IF(OR(F160="",I160=""),"",F160-I160))</f>
        <v/>
      </c>
      <c r="R160" s="43" t="str">
        <f aca="false">IF($A160="","",IF(Q160="","",Q160+IF(O160="",0,O160)))</f>
        <v/>
      </c>
      <c r="S160" s="42"/>
      <c r="T160" s="43" t="str">
        <f aca="false">IF($A160="","",IF(R160="","",R160-IF(S160="",0,S160)))</f>
        <v/>
      </c>
      <c r="U160" s="43" t="str">
        <f aca="false">IF($A160="","",IF(I160="","",I160-SUM(J160:P160)))</f>
        <v/>
      </c>
      <c r="V160" s="6" t="s">
        <v>4413</v>
      </c>
      <c r="W160" s="9" t="s">
        <v>528</v>
      </c>
      <c r="X160" s="9" t="s">
        <v>4431</v>
      </c>
      <c r="AC160" s="9" t="s">
        <v>4369</v>
      </c>
      <c r="AD160" s="9" t="s">
        <v>4370</v>
      </c>
      <c r="AE160" s="9" t="s">
        <v>4371</v>
      </c>
    </row>
    <row r="161" customFormat="false" ht="15" hidden="false" customHeight="true" outlineLevel="0" collapsed="false">
      <c r="A161" s="6" t="s">
        <v>1064</v>
      </c>
      <c r="B161" s="6" t="s">
        <v>373</v>
      </c>
      <c r="C161" s="6" t="s">
        <v>380</v>
      </c>
      <c r="D161" s="6" t="n">
        <v>6</v>
      </c>
      <c r="E161" s="9" t="s">
        <v>4405</v>
      </c>
      <c r="F161" s="35" t="n">
        <v>2084000</v>
      </c>
      <c r="G161" s="42"/>
      <c r="H161" s="42"/>
      <c r="I161" s="42"/>
      <c r="J161" s="42"/>
      <c r="K161" s="42"/>
      <c r="L161" s="42"/>
      <c r="M161" s="42"/>
      <c r="N161" s="42"/>
      <c r="O161" s="42"/>
      <c r="P161" s="42"/>
      <c r="Q161" s="43" t="str">
        <f aca="false">IF($A161="","",IF(OR(F161="",I161=""),"",F161-I161))</f>
        <v/>
      </c>
      <c r="R161" s="43" t="str">
        <f aca="false">IF($A161="","",IF(Q161="","",Q161+IF(O161="",0,O161)))</f>
        <v/>
      </c>
      <c r="S161" s="42"/>
      <c r="T161" s="43" t="str">
        <f aca="false">IF($A161="","",IF(R161="","",R161-IF(S161="",0,S161)))</f>
        <v/>
      </c>
      <c r="U161" s="43" t="str">
        <f aca="false">IF($A161="","",IF(I161="","",I161-SUM(J161:P161)))</f>
        <v/>
      </c>
      <c r="V161" s="6" t="s">
        <v>4406</v>
      </c>
      <c r="W161" s="9" t="s">
        <v>528</v>
      </c>
      <c r="X161" s="9" t="s">
        <v>4432</v>
      </c>
      <c r="AC161" s="9" t="s">
        <v>4369</v>
      </c>
      <c r="AD161" s="9" t="s">
        <v>4370</v>
      </c>
      <c r="AE161" s="9" t="s">
        <v>4408</v>
      </c>
    </row>
    <row r="162" customFormat="false" ht="15" hidden="false" customHeight="true" outlineLevel="0" collapsed="false">
      <c r="A162" s="6" t="s">
        <v>1067</v>
      </c>
      <c r="B162" s="6" t="s">
        <v>373</v>
      </c>
      <c r="C162" s="6" t="s">
        <v>380</v>
      </c>
      <c r="D162" s="6" t="n">
        <v>6</v>
      </c>
      <c r="E162" s="9" t="s">
        <v>4405</v>
      </c>
      <c r="F162" s="35" t="n">
        <v>1062000</v>
      </c>
      <c r="G162" s="42"/>
      <c r="H162" s="42"/>
      <c r="I162" s="42"/>
      <c r="J162" s="42"/>
      <c r="K162" s="42"/>
      <c r="L162" s="42"/>
      <c r="M162" s="42"/>
      <c r="N162" s="42"/>
      <c r="O162" s="42"/>
      <c r="P162" s="42"/>
      <c r="Q162" s="43" t="str">
        <f aca="false">IF($A162="","",IF(OR(F162="",I162=""),"",F162-I162))</f>
        <v/>
      </c>
      <c r="R162" s="43" t="str">
        <f aca="false">IF($A162="","",IF(Q162="","",Q162+IF(O162="",0,O162)))</f>
        <v/>
      </c>
      <c r="S162" s="42"/>
      <c r="T162" s="43" t="str">
        <f aca="false">IF($A162="","",IF(R162="","",R162-IF(S162="",0,S162)))</f>
        <v/>
      </c>
      <c r="U162" s="43" t="str">
        <f aca="false">IF($A162="","",IF(I162="","",I162-SUM(J162:P162)))</f>
        <v/>
      </c>
      <c r="V162" s="6" t="s">
        <v>4406</v>
      </c>
      <c r="W162" s="9" t="s">
        <v>528</v>
      </c>
      <c r="X162" s="9" t="s">
        <v>4433</v>
      </c>
      <c r="AC162" s="9" t="s">
        <v>4369</v>
      </c>
      <c r="AD162" s="9" t="s">
        <v>4370</v>
      </c>
      <c r="AE162" s="9" t="s">
        <v>4408</v>
      </c>
    </row>
    <row r="163" customFormat="false" ht="15" hidden="false" customHeight="true" outlineLevel="0" collapsed="false">
      <c r="A163" s="6" t="s">
        <v>1070</v>
      </c>
      <c r="B163" s="6" t="s">
        <v>373</v>
      </c>
      <c r="C163" s="6" t="s">
        <v>380</v>
      </c>
      <c r="D163" s="6" t="n">
        <v>6</v>
      </c>
      <c r="E163" s="9" t="s">
        <v>4381</v>
      </c>
      <c r="F163" s="42"/>
      <c r="G163" s="42"/>
      <c r="H163" s="42"/>
      <c r="I163" s="42"/>
      <c r="J163" s="42"/>
      <c r="K163" s="42"/>
      <c r="L163" s="42"/>
      <c r="M163" s="42"/>
      <c r="N163" s="42"/>
      <c r="O163" s="42"/>
      <c r="P163" s="42"/>
      <c r="Q163" s="43" t="str">
        <f aca="false">IF($A163="","",IF(OR(F163="",I163=""),"",F163-I163))</f>
        <v/>
      </c>
      <c r="R163" s="43" t="str">
        <f aca="false">IF($A163="","",IF(Q163="","",Q163+IF(O163="",0,O163)))</f>
        <v/>
      </c>
      <c r="S163" s="42"/>
      <c r="T163" s="43" t="str">
        <f aca="false">IF($A163="","",IF(R163="","",R163-IF(S163="",0,S163)))</f>
        <v/>
      </c>
      <c r="U163" s="43" t="str">
        <f aca="false">IF($A163="","",IF(I163="","",I163-SUM(J163:P163)))</f>
        <v/>
      </c>
      <c r="V163" s="6" t="s">
        <v>4413</v>
      </c>
      <c r="W163" s="9" t="s">
        <v>528</v>
      </c>
      <c r="X163" s="9" t="s">
        <v>4434</v>
      </c>
      <c r="AC163" s="9" t="s">
        <v>4369</v>
      </c>
      <c r="AD163" s="9" t="s">
        <v>4370</v>
      </c>
      <c r="AE163" s="9" t="s">
        <v>4371</v>
      </c>
    </row>
    <row r="164" customFormat="false" ht="15" hidden="false" customHeight="true" outlineLevel="0" collapsed="false">
      <c r="A164" s="6" t="s">
        <v>1073</v>
      </c>
      <c r="B164" s="6" t="s">
        <v>373</v>
      </c>
      <c r="C164" s="6" t="s">
        <v>380</v>
      </c>
      <c r="D164" s="6" t="n">
        <v>6</v>
      </c>
      <c r="E164" s="9" t="s">
        <v>4405</v>
      </c>
      <c r="F164" s="35" t="n">
        <v>834000</v>
      </c>
      <c r="G164" s="42"/>
      <c r="H164" s="42"/>
      <c r="I164" s="42"/>
      <c r="J164" s="42"/>
      <c r="K164" s="42"/>
      <c r="L164" s="42"/>
      <c r="M164" s="42"/>
      <c r="N164" s="42"/>
      <c r="O164" s="42"/>
      <c r="P164" s="42"/>
      <c r="Q164" s="43" t="str">
        <f aca="false">IF($A164="","",IF(OR(F164="",I164=""),"",F164-I164))</f>
        <v/>
      </c>
      <c r="R164" s="43" t="str">
        <f aca="false">IF($A164="","",IF(Q164="","",Q164+IF(O164="",0,O164)))</f>
        <v/>
      </c>
      <c r="S164" s="42"/>
      <c r="T164" s="43" t="str">
        <f aca="false">IF($A164="","",IF(R164="","",R164-IF(S164="",0,S164)))</f>
        <v/>
      </c>
      <c r="U164" s="43" t="str">
        <f aca="false">IF($A164="","",IF(I164="","",I164-SUM(J164:P164)))</f>
        <v/>
      </c>
      <c r="V164" s="6" t="s">
        <v>4406</v>
      </c>
      <c r="W164" s="9" t="s">
        <v>528</v>
      </c>
      <c r="X164" s="9" t="s">
        <v>4435</v>
      </c>
      <c r="AC164" s="9" t="s">
        <v>4369</v>
      </c>
      <c r="AD164" s="9" t="s">
        <v>4370</v>
      </c>
      <c r="AE164" s="9" t="s">
        <v>4408</v>
      </c>
    </row>
    <row r="165" customFormat="false" ht="15" hidden="false" customHeight="true" outlineLevel="0" collapsed="false">
      <c r="A165" s="6" t="s">
        <v>1076</v>
      </c>
      <c r="B165" s="6" t="s">
        <v>373</v>
      </c>
      <c r="C165" s="6" t="s">
        <v>380</v>
      </c>
      <c r="D165" s="6" t="n">
        <v>6</v>
      </c>
      <c r="E165" s="9" t="s">
        <v>4405</v>
      </c>
      <c r="F165" s="35" t="n">
        <v>670000</v>
      </c>
      <c r="G165" s="42"/>
      <c r="H165" s="42"/>
      <c r="I165" s="42"/>
      <c r="J165" s="42"/>
      <c r="K165" s="42"/>
      <c r="L165" s="42"/>
      <c r="M165" s="42"/>
      <c r="N165" s="42"/>
      <c r="O165" s="42"/>
      <c r="P165" s="42"/>
      <c r="Q165" s="43" t="str">
        <f aca="false">IF($A165="","",IF(OR(F165="",I165=""),"",F165-I165))</f>
        <v/>
      </c>
      <c r="R165" s="43" t="str">
        <f aca="false">IF($A165="","",IF(Q165="","",Q165+IF(O165="",0,O165)))</f>
        <v/>
      </c>
      <c r="S165" s="42"/>
      <c r="T165" s="43" t="str">
        <f aca="false">IF($A165="","",IF(R165="","",R165-IF(S165="",0,S165)))</f>
        <v/>
      </c>
      <c r="U165" s="43" t="str">
        <f aca="false">IF($A165="","",IF(I165="","",I165-SUM(J165:P165)))</f>
        <v/>
      </c>
      <c r="V165" s="6" t="s">
        <v>4406</v>
      </c>
      <c r="W165" s="9" t="s">
        <v>528</v>
      </c>
      <c r="X165" s="9" t="s">
        <v>4436</v>
      </c>
      <c r="AC165" s="9" t="s">
        <v>4369</v>
      </c>
      <c r="AD165" s="9" t="s">
        <v>4370</v>
      </c>
      <c r="AE165" s="9" t="s">
        <v>4408</v>
      </c>
    </row>
    <row r="166" customFormat="false" ht="15" hidden="false" customHeight="true" outlineLevel="0" collapsed="false">
      <c r="A166" s="6" t="s">
        <v>1079</v>
      </c>
      <c r="B166" s="6" t="s">
        <v>373</v>
      </c>
      <c r="C166" s="6" t="s">
        <v>380</v>
      </c>
      <c r="D166" s="6" t="n">
        <v>6</v>
      </c>
      <c r="E166" s="9" t="s">
        <v>4405</v>
      </c>
      <c r="F166" s="35" t="n">
        <v>940000</v>
      </c>
      <c r="G166" s="42"/>
      <c r="H166" s="42"/>
      <c r="I166" s="42"/>
      <c r="J166" s="42"/>
      <c r="K166" s="42"/>
      <c r="L166" s="42"/>
      <c r="M166" s="42"/>
      <c r="N166" s="42"/>
      <c r="O166" s="42"/>
      <c r="P166" s="42"/>
      <c r="Q166" s="43" t="str">
        <f aca="false">IF($A166="","",IF(OR(F166="",I166=""),"",F166-I166))</f>
        <v/>
      </c>
      <c r="R166" s="43" t="str">
        <f aca="false">IF($A166="","",IF(Q166="","",Q166+IF(O166="",0,O166)))</f>
        <v/>
      </c>
      <c r="S166" s="42"/>
      <c r="T166" s="43" t="str">
        <f aca="false">IF($A166="","",IF(R166="","",R166-IF(S166="",0,S166)))</f>
        <v/>
      </c>
      <c r="U166" s="43" t="str">
        <f aca="false">IF($A166="","",IF(I166="","",I166-SUM(J166:P166)))</f>
        <v/>
      </c>
      <c r="V166" s="6" t="s">
        <v>4406</v>
      </c>
      <c r="W166" s="9" t="s">
        <v>528</v>
      </c>
      <c r="X166" s="9" t="s">
        <v>4437</v>
      </c>
      <c r="AC166" s="9" t="s">
        <v>4369</v>
      </c>
      <c r="AD166" s="9" t="s">
        <v>4370</v>
      </c>
      <c r="AE166" s="9" t="s">
        <v>4408</v>
      </c>
    </row>
    <row r="167" customFormat="false" ht="15" hidden="false" customHeight="true" outlineLevel="0" collapsed="false">
      <c r="A167" s="6" t="s">
        <v>1082</v>
      </c>
      <c r="B167" s="6" t="s">
        <v>373</v>
      </c>
      <c r="C167" s="6" t="s">
        <v>380</v>
      </c>
      <c r="D167" s="6" t="n">
        <v>6</v>
      </c>
      <c r="E167" s="9" t="s">
        <v>4381</v>
      </c>
      <c r="F167" s="42"/>
      <c r="G167" s="42"/>
      <c r="H167" s="42"/>
      <c r="I167" s="42"/>
      <c r="J167" s="42"/>
      <c r="K167" s="42"/>
      <c r="L167" s="42"/>
      <c r="M167" s="42"/>
      <c r="N167" s="42"/>
      <c r="O167" s="42"/>
      <c r="P167" s="42"/>
      <c r="Q167" s="43" t="str">
        <f aca="false">IF($A167="","",IF(OR(F167="",I167=""),"",F167-I167))</f>
        <v/>
      </c>
      <c r="R167" s="43" t="str">
        <f aca="false">IF($A167="","",IF(Q167="","",Q167+IF(O167="",0,O167)))</f>
        <v/>
      </c>
      <c r="S167" s="42"/>
      <c r="T167" s="43" t="str">
        <f aca="false">IF($A167="","",IF(R167="","",R167-IF(S167="",0,S167)))</f>
        <v/>
      </c>
      <c r="U167" s="43" t="str">
        <f aca="false">IF($A167="","",IF(I167="","",I167-SUM(J167:P167)))</f>
        <v/>
      </c>
      <c r="V167" s="6" t="s">
        <v>4413</v>
      </c>
      <c r="W167" s="9" t="s">
        <v>528</v>
      </c>
      <c r="X167" s="9" t="s">
        <v>4438</v>
      </c>
      <c r="AC167" s="9" t="s">
        <v>4369</v>
      </c>
      <c r="AD167" s="9" t="s">
        <v>4370</v>
      </c>
      <c r="AE167" s="9" t="s">
        <v>4371</v>
      </c>
    </row>
    <row r="168" customFormat="false" ht="15" hidden="false" customHeight="true" outlineLevel="0" collapsed="false">
      <c r="A168" s="6" t="s">
        <v>1084</v>
      </c>
      <c r="B168" s="6" t="s">
        <v>373</v>
      </c>
      <c r="C168" s="6" t="s">
        <v>380</v>
      </c>
      <c r="D168" s="6" t="n">
        <v>6</v>
      </c>
      <c r="E168" s="9" t="s">
        <v>4405</v>
      </c>
      <c r="F168" s="35" t="n">
        <v>447000</v>
      </c>
      <c r="G168" s="42"/>
      <c r="H168" s="42"/>
      <c r="I168" s="42"/>
      <c r="J168" s="42"/>
      <c r="K168" s="42"/>
      <c r="L168" s="42"/>
      <c r="M168" s="42"/>
      <c r="N168" s="42"/>
      <c r="O168" s="42"/>
      <c r="P168" s="42"/>
      <c r="Q168" s="43" t="str">
        <f aca="false">IF($A168="","",IF(OR(F168="",I168=""),"",F168-I168))</f>
        <v/>
      </c>
      <c r="R168" s="43" t="str">
        <f aca="false">IF($A168="","",IF(Q168="","",Q168+IF(O168="",0,O168)))</f>
        <v/>
      </c>
      <c r="S168" s="42"/>
      <c r="T168" s="43" t="str">
        <f aca="false">IF($A168="","",IF(R168="","",R168-IF(S168="",0,S168)))</f>
        <v/>
      </c>
      <c r="U168" s="43" t="str">
        <f aca="false">IF($A168="","",IF(I168="","",I168-SUM(J168:P168)))</f>
        <v/>
      </c>
      <c r="V168" s="6" t="s">
        <v>4406</v>
      </c>
      <c r="W168" s="9" t="s">
        <v>528</v>
      </c>
      <c r="X168" s="9" t="s">
        <v>4416</v>
      </c>
      <c r="AC168" s="9" t="s">
        <v>4369</v>
      </c>
      <c r="AD168" s="9" t="s">
        <v>4370</v>
      </c>
      <c r="AE168" s="9" t="s">
        <v>4408</v>
      </c>
    </row>
    <row r="169" customFormat="false" ht="15" hidden="false" customHeight="true" outlineLevel="0" collapsed="false">
      <c r="A169" s="6" t="s">
        <v>1086</v>
      </c>
      <c r="B169" s="6" t="s">
        <v>373</v>
      </c>
      <c r="C169" s="6" t="s">
        <v>380</v>
      </c>
      <c r="D169" s="6" t="n">
        <v>6</v>
      </c>
      <c r="E169" s="9" t="s">
        <v>4405</v>
      </c>
      <c r="F169" s="35" t="n">
        <v>264000</v>
      </c>
      <c r="G169" s="42"/>
      <c r="H169" s="42"/>
      <c r="I169" s="42"/>
      <c r="J169" s="42"/>
      <c r="K169" s="42"/>
      <c r="L169" s="42"/>
      <c r="M169" s="42"/>
      <c r="N169" s="42"/>
      <c r="O169" s="42"/>
      <c r="P169" s="42"/>
      <c r="Q169" s="43" t="str">
        <f aca="false">IF($A169="","",IF(OR(F169="",I169=""),"",F169-I169))</f>
        <v/>
      </c>
      <c r="R169" s="43" t="str">
        <f aca="false">IF($A169="","",IF(Q169="","",Q169+IF(O169="",0,O169)))</f>
        <v/>
      </c>
      <c r="S169" s="42"/>
      <c r="T169" s="43" t="str">
        <f aca="false">IF($A169="","",IF(R169="","",R169-IF(S169="",0,S169)))</f>
        <v/>
      </c>
      <c r="U169" s="43" t="str">
        <f aca="false">IF($A169="","",IF(I169="","",I169-SUM(J169:P169)))</f>
        <v/>
      </c>
      <c r="V169" s="6" t="s">
        <v>4406</v>
      </c>
      <c r="W169" s="9" t="s">
        <v>528</v>
      </c>
      <c r="X169" s="9" t="s">
        <v>4410</v>
      </c>
      <c r="AC169" s="9" t="s">
        <v>4369</v>
      </c>
      <c r="AD169" s="9" t="s">
        <v>4370</v>
      </c>
      <c r="AE169" s="9" t="s">
        <v>4408</v>
      </c>
    </row>
    <row r="170" customFormat="false" ht="15" hidden="false" customHeight="true" outlineLevel="0" collapsed="false">
      <c r="A170" s="6" t="s">
        <v>1088</v>
      </c>
      <c r="B170" s="6" t="s">
        <v>373</v>
      </c>
      <c r="C170" s="6" t="s">
        <v>380</v>
      </c>
      <c r="D170" s="6" t="n">
        <v>6</v>
      </c>
      <c r="E170" s="9" t="s">
        <v>4405</v>
      </c>
      <c r="F170" s="35" t="n">
        <v>211000</v>
      </c>
      <c r="G170" s="42"/>
      <c r="H170" s="42"/>
      <c r="I170" s="42"/>
      <c r="J170" s="42"/>
      <c r="K170" s="42"/>
      <c r="L170" s="42"/>
      <c r="M170" s="42"/>
      <c r="N170" s="42"/>
      <c r="O170" s="42"/>
      <c r="P170" s="42"/>
      <c r="Q170" s="43" t="str">
        <f aca="false">IF($A170="","",IF(OR(F170="",I170=""),"",F170-I170))</f>
        <v/>
      </c>
      <c r="R170" s="43" t="str">
        <f aca="false">IF($A170="","",IF(Q170="","",Q170+IF(O170="",0,O170)))</f>
        <v/>
      </c>
      <c r="S170" s="42"/>
      <c r="T170" s="43" t="str">
        <f aca="false">IF($A170="","",IF(R170="","",R170-IF(S170="",0,S170)))</f>
        <v/>
      </c>
      <c r="U170" s="43" t="str">
        <f aca="false">IF($A170="","",IF(I170="","",I170-SUM(J170:P170)))</f>
        <v/>
      </c>
      <c r="V170" s="6" t="s">
        <v>4406</v>
      </c>
      <c r="W170" s="9" t="s">
        <v>528</v>
      </c>
      <c r="X170" s="9" t="s">
        <v>4416</v>
      </c>
      <c r="AC170" s="9" t="s">
        <v>4369</v>
      </c>
      <c r="AD170" s="9" t="s">
        <v>4370</v>
      </c>
      <c r="AE170" s="9" t="s">
        <v>4408</v>
      </c>
    </row>
    <row r="171" customFormat="false" ht="15" hidden="false" customHeight="true" outlineLevel="0" collapsed="false">
      <c r="A171" s="6" t="s">
        <v>1090</v>
      </c>
      <c r="B171" s="6" t="s">
        <v>373</v>
      </c>
      <c r="C171" s="6" t="s">
        <v>380</v>
      </c>
      <c r="D171" s="6" t="n">
        <v>6</v>
      </c>
      <c r="E171" s="9" t="s">
        <v>4405</v>
      </c>
      <c r="F171" s="35" t="n">
        <v>182000</v>
      </c>
      <c r="G171" s="42"/>
      <c r="H171" s="42"/>
      <c r="I171" s="42"/>
      <c r="J171" s="42"/>
      <c r="K171" s="42"/>
      <c r="L171" s="42"/>
      <c r="M171" s="42"/>
      <c r="N171" s="42"/>
      <c r="O171" s="42"/>
      <c r="P171" s="42"/>
      <c r="Q171" s="43" t="str">
        <f aca="false">IF($A171="","",IF(OR(F171="",I171=""),"",F171-I171))</f>
        <v/>
      </c>
      <c r="R171" s="43" t="str">
        <f aca="false">IF($A171="","",IF(Q171="","",Q171+IF(O171="",0,O171)))</f>
        <v/>
      </c>
      <c r="S171" s="42"/>
      <c r="T171" s="43" t="str">
        <f aca="false">IF($A171="","",IF(R171="","",R171-IF(S171="",0,S171)))</f>
        <v/>
      </c>
      <c r="U171" s="43" t="str">
        <f aca="false">IF($A171="","",IF(I171="","",I171-SUM(J171:P171)))</f>
        <v/>
      </c>
      <c r="V171" s="6" t="s">
        <v>4406</v>
      </c>
      <c r="W171" s="9" t="s">
        <v>528</v>
      </c>
      <c r="X171" s="9" t="s">
        <v>4416</v>
      </c>
      <c r="AC171" s="9" t="s">
        <v>4369</v>
      </c>
      <c r="AD171" s="9" t="s">
        <v>4370</v>
      </c>
      <c r="AE171" s="9" t="s">
        <v>4408</v>
      </c>
    </row>
    <row r="172" customFormat="false" ht="15" hidden="false" customHeight="true" outlineLevel="0" collapsed="false">
      <c r="A172" s="6" t="s">
        <v>1092</v>
      </c>
      <c r="B172" s="6" t="s">
        <v>373</v>
      </c>
      <c r="C172" s="6" t="s">
        <v>380</v>
      </c>
      <c r="D172" s="6" t="n">
        <v>6</v>
      </c>
      <c r="E172" s="9" t="s">
        <v>4381</v>
      </c>
      <c r="F172" s="42"/>
      <c r="G172" s="42"/>
      <c r="H172" s="42"/>
      <c r="I172" s="42"/>
      <c r="J172" s="42"/>
      <c r="K172" s="42"/>
      <c r="L172" s="42"/>
      <c r="M172" s="42"/>
      <c r="N172" s="42"/>
      <c r="O172" s="42"/>
      <c r="P172" s="42"/>
      <c r="Q172" s="43" t="str">
        <f aca="false">IF($A172="","",IF(OR(F172="",I172=""),"",F172-I172))</f>
        <v/>
      </c>
      <c r="R172" s="43" t="str">
        <f aca="false">IF($A172="","",IF(Q172="","",Q172+IF(O172="",0,O172)))</f>
        <v/>
      </c>
      <c r="S172" s="42"/>
      <c r="T172" s="43" t="str">
        <f aca="false">IF($A172="","",IF(R172="","",R172-IF(S172="",0,S172)))</f>
        <v/>
      </c>
      <c r="U172" s="43" t="str">
        <f aca="false">IF($A172="","",IF(I172="","",I172-SUM(J172:P172)))</f>
        <v/>
      </c>
      <c r="V172" s="6" t="s">
        <v>4413</v>
      </c>
      <c r="W172" s="9" t="s">
        <v>528</v>
      </c>
      <c r="X172" s="9" t="s">
        <v>4439</v>
      </c>
      <c r="AC172" s="9" t="s">
        <v>4369</v>
      </c>
      <c r="AD172" s="9" t="s">
        <v>4370</v>
      </c>
      <c r="AE172" s="9" t="s">
        <v>4371</v>
      </c>
    </row>
    <row r="173" customFormat="false" ht="15" hidden="false" customHeight="true" outlineLevel="0" collapsed="false">
      <c r="A173" s="6" t="s">
        <v>1096</v>
      </c>
      <c r="B173" s="6" t="s">
        <v>373</v>
      </c>
      <c r="C173" s="6" t="s">
        <v>380</v>
      </c>
      <c r="D173" s="6" t="n">
        <v>6</v>
      </c>
      <c r="E173" s="9" t="s">
        <v>4405</v>
      </c>
      <c r="F173" s="35" t="n">
        <v>1371000</v>
      </c>
      <c r="G173" s="42"/>
      <c r="H173" s="42"/>
      <c r="I173" s="42"/>
      <c r="J173" s="42"/>
      <c r="K173" s="42"/>
      <c r="L173" s="42"/>
      <c r="M173" s="42"/>
      <c r="N173" s="42"/>
      <c r="O173" s="42"/>
      <c r="P173" s="42"/>
      <c r="Q173" s="43" t="str">
        <f aca="false">IF($A173="","",IF(OR(F173="",I173=""),"",F173-I173))</f>
        <v/>
      </c>
      <c r="R173" s="43" t="str">
        <f aca="false">IF($A173="","",IF(Q173="","",Q173+IF(O173="",0,O173)))</f>
        <v/>
      </c>
      <c r="S173" s="42"/>
      <c r="T173" s="43" t="str">
        <f aca="false">IF($A173="","",IF(R173="","",R173-IF(S173="",0,S173)))</f>
        <v/>
      </c>
      <c r="U173" s="43" t="str">
        <f aca="false">IF($A173="","",IF(I173="","",I173-SUM(J173:P173)))</f>
        <v/>
      </c>
      <c r="V173" s="6" t="s">
        <v>4406</v>
      </c>
      <c r="W173" s="9" t="s">
        <v>528</v>
      </c>
      <c r="X173" s="9" t="s">
        <v>4440</v>
      </c>
      <c r="AC173" s="9" t="s">
        <v>4369</v>
      </c>
      <c r="AD173" s="9" t="s">
        <v>4370</v>
      </c>
      <c r="AE173" s="9" t="s">
        <v>4408</v>
      </c>
    </row>
    <row r="174" customFormat="false" ht="15" hidden="false" customHeight="true" outlineLevel="0" collapsed="false">
      <c r="A174" s="6" t="s">
        <v>1099</v>
      </c>
      <c r="B174" s="6" t="s">
        <v>373</v>
      </c>
      <c r="C174" s="6" t="s">
        <v>380</v>
      </c>
      <c r="D174" s="6" t="n">
        <v>6</v>
      </c>
      <c r="E174" s="9" t="s">
        <v>4405</v>
      </c>
      <c r="F174" s="35" t="n">
        <v>856000</v>
      </c>
      <c r="G174" s="42"/>
      <c r="H174" s="42"/>
      <c r="I174" s="42"/>
      <c r="J174" s="42"/>
      <c r="K174" s="42"/>
      <c r="L174" s="42"/>
      <c r="M174" s="42"/>
      <c r="N174" s="42"/>
      <c r="O174" s="42"/>
      <c r="P174" s="42"/>
      <c r="Q174" s="43" t="str">
        <f aca="false">IF($A174="","",IF(OR(F174="",I174=""),"",F174-I174))</f>
        <v/>
      </c>
      <c r="R174" s="43" t="str">
        <f aca="false">IF($A174="","",IF(Q174="","",Q174+IF(O174="",0,O174)))</f>
        <v/>
      </c>
      <c r="S174" s="42"/>
      <c r="T174" s="43" t="str">
        <f aca="false">IF($A174="","",IF(R174="","",R174-IF(S174="",0,S174)))</f>
        <v/>
      </c>
      <c r="U174" s="43" t="str">
        <f aca="false">IF($A174="","",IF(I174="","",I174-SUM(J174:P174)))</f>
        <v/>
      </c>
      <c r="V174" s="6" t="s">
        <v>4406</v>
      </c>
      <c r="W174" s="9" t="s">
        <v>528</v>
      </c>
      <c r="X174" s="9" t="s">
        <v>4441</v>
      </c>
      <c r="AC174" s="6" t="s">
        <v>4373</v>
      </c>
      <c r="AD174" s="9" t="s">
        <v>4374</v>
      </c>
      <c r="AE174" s="9" t="s">
        <v>4408</v>
      </c>
    </row>
    <row r="175" customFormat="false" ht="15" hidden="false" customHeight="true" outlineLevel="0" collapsed="false">
      <c r="A175" s="6" t="s">
        <v>1102</v>
      </c>
      <c r="B175" s="6" t="s">
        <v>373</v>
      </c>
      <c r="C175" s="6" t="s">
        <v>380</v>
      </c>
      <c r="D175" s="6" t="n">
        <v>6</v>
      </c>
      <c r="E175" s="9" t="s">
        <v>4405</v>
      </c>
      <c r="F175" s="35" t="n">
        <v>857000</v>
      </c>
      <c r="G175" s="42"/>
      <c r="H175" s="42"/>
      <c r="I175" s="42"/>
      <c r="J175" s="42"/>
      <c r="K175" s="42"/>
      <c r="L175" s="42"/>
      <c r="M175" s="42"/>
      <c r="N175" s="42"/>
      <c r="O175" s="42"/>
      <c r="P175" s="42"/>
      <c r="Q175" s="43" t="str">
        <f aca="false">IF($A175="","",IF(OR(F175="",I175=""),"",F175-I175))</f>
        <v/>
      </c>
      <c r="R175" s="43" t="str">
        <f aca="false">IF($A175="","",IF(Q175="","",Q175+IF(O175="",0,O175)))</f>
        <v/>
      </c>
      <c r="S175" s="42"/>
      <c r="T175" s="43" t="str">
        <f aca="false">IF($A175="","",IF(R175="","",R175-IF(S175="",0,S175)))</f>
        <v/>
      </c>
      <c r="U175" s="43" t="str">
        <f aca="false">IF($A175="","",IF(I175="","",I175-SUM(J175:P175)))</f>
        <v/>
      </c>
      <c r="V175" s="6" t="s">
        <v>4406</v>
      </c>
      <c r="W175" s="9" t="s">
        <v>528</v>
      </c>
      <c r="X175" s="9" t="s">
        <v>4442</v>
      </c>
      <c r="AC175" s="9" t="s">
        <v>4369</v>
      </c>
      <c r="AD175" s="9" t="s">
        <v>4370</v>
      </c>
      <c r="AE175" s="9" t="s">
        <v>4408</v>
      </c>
    </row>
    <row r="176" customFormat="false" ht="15" hidden="false" customHeight="true" outlineLevel="0" collapsed="false">
      <c r="A176" s="6" t="s">
        <v>1105</v>
      </c>
      <c r="B176" s="6" t="s">
        <v>373</v>
      </c>
      <c r="C176" s="6" t="s">
        <v>380</v>
      </c>
      <c r="D176" s="6" t="n">
        <v>6</v>
      </c>
      <c r="E176" s="9" t="s">
        <v>4405</v>
      </c>
      <c r="F176" s="35" t="n">
        <v>309000</v>
      </c>
      <c r="G176" s="42"/>
      <c r="H176" s="42"/>
      <c r="I176" s="42"/>
      <c r="J176" s="42"/>
      <c r="K176" s="42"/>
      <c r="L176" s="42"/>
      <c r="M176" s="42"/>
      <c r="N176" s="42"/>
      <c r="O176" s="42"/>
      <c r="P176" s="42"/>
      <c r="Q176" s="43" t="str">
        <f aca="false">IF($A176="","",IF(OR(F176="",I176=""),"",F176-I176))</f>
        <v/>
      </c>
      <c r="R176" s="43" t="str">
        <f aca="false">IF($A176="","",IF(Q176="","",Q176+IF(O176="",0,O176)))</f>
        <v/>
      </c>
      <c r="S176" s="42"/>
      <c r="T176" s="43" t="str">
        <f aca="false">IF($A176="","",IF(R176="","",R176-IF(S176="",0,S176)))</f>
        <v/>
      </c>
      <c r="U176" s="43" t="str">
        <f aca="false">IF($A176="","",IF(I176="","",I176-SUM(J176:P176)))</f>
        <v/>
      </c>
      <c r="V176" s="6" t="s">
        <v>4406</v>
      </c>
      <c r="W176" s="9" t="s">
        <v>528</v>
      </c>
      <c r="X176" s="9" t="s">
        <v>4410</v>
      </c>
      <c r="AC176" s="9" t="s">
        <v>4369</v>
      </c>
      <c r="AD176" s="9" t="s">
        <v>4370</v>
      </c>
      <c r="AE176" s="9" t="s">
        <v>4408</v>
      </c>
    </row>
    <row r="177" customFormat="false" ht="15" hidden="false" customHeight="true" outlineLevel="0" collapsed="false">
      <c r="A177" s="6" t="s">
        <v>1107</v>
      </c>
      <c r="B177" s="6" t="s">
        <v>373</v>
      </c>
      <c r="C177" s="6" t="s">
        <v>380</v>
      </c>
      <c r="D177" s="6" t="n">
        <v>6</v>
      </c>
      <c r="E177" s="9" t="s">
        <v>4405</v>
      </c>
      <c r="F177" s="35" t="n">
        <v>874000</v>
      </c>
      <c r="G177" s="42"/>
      <c r="H177" s="42"/>
      <c r="I177" s="42"/>
      <c r="J177" s="42"/>
      <c r="K177" s="42"/>
      <c r="L177" s="42"/>
      <c r="M177" s="42"/>
      <c r="N177" s="42"/>
      <c r="O177" s="42"/>
      <c r="P177" s="42"/>
      <c r="Q177" s="43" t="str">
        <f aca="false">IF($A177="","",IF(OR(F177="",I177=""),"",F177-I177))</f>
        <v/>
      </c>
      <c r="R177" s="43" t="str">
        <f aca="false">IF($A177="","",IF(Q177="","",Q177+IF(O177="",0,O177)))</f>
        <v/>
      </c>
      <c r="S177" s="42"/>
      <c r="T177" s="43" t="str">
        <f aca="false">IF($A177="","",IF(R177="","",R177-IF(S177="",0,S177)))</f>
        <v/>
      </c>
      <c r="U177" s="43" t="str">
        <f aca="false">IF($A177="","",IF(I177="","",I177-SUM(J177:P177)))</f>
        <v/>
      </c>
      <c r="V177" s="6" t="s">
        <v>4406</v>
      </c>
      <c r="W177" s="9" t="s">
        <v>528</v>
      </c>
      <c r="X177" s="9" t="s">
        <v>4443</v>
      </c>
      <c r="AC177" s="9" t="s">
        <v>4369</v>
      </c>
      <c r="AD177" s="9" t="s">
        <v>4370</v>
      </c>
      <c r="AE177" s="9" t="s">
        <v>4408</v>
      </c>
    </row>
    <row r="178" customFormat="false" ht="15" hidden="false" customHeight="true" outlineLevel="0" collapsed="false">
      <c r="A178" s="6" t="s">
        <v>1110</v>
      </c>
      <c r="B178" s="6" t="s">
        <v>373</v>
      </c>
      <c r="C178" s="6" t="s">
        <v>380</v>
      </c>
      <c r="D178" s="6" t="n">
        <v>6</v>
      </c>
      <c r="E178" s="9" t="s">
        <v>4405</v>
      </c>
      <c r="F178" s="35" t="n">
        <v>110000</v>
      </c>
      <c r="G178" s="42"/>
      <c r="H178" s="42"/>
      <c r="I178" s="42"/>
      <c r="J178" s="42"/>
      <c r="K178" s="42"/>
      <c r="L178" s="42"/>
      <c r="M178" s="42"/>
      <c r="N178" s="42"/>
      <c r="O178" s="42"/>
      <c r="P178" s="42"/>
      <c r="Q178" s="43" t="str">
        <f aca="false">IF($A178="","",IF(OR(F178="",I178=""),"",F178-I178))</f>
        <v/>
      </c>
      <c r="R178" s="43" t="str">
        <f aca="false">IF($A178="","",IF(Q178="","",Q178+IF(O178="",0,O178)))</f>
        <v/>
      </c>
      <c r="S178" s="42"/>
      <c r="T178" s="43" t="str">
        <f aca="false">IF($A178="","",IF(R178="","",R178-IF(S178="",0,S178)))</f>
        <v/>
      </c>
      <c r="U178" s="43" t="str">
        <f aca="false">IF($A178="","",IF(I178="","",I178-SUM(J178:P178)))</f>
        <v/>
      </c>
      <c r="V178" s="6" t="s">
        <v>4406</v>
      </c>
      <c r="W178" s="9" t="s">
        <v>528</v>
      </c>
      <c r="X178" s="9" t="s">
        <v>4416</v>
      </c>
      <c r="AC178" s="9" t="s">
        <v>4369</v>
      </c>
      <c r="AD178" s="9" t="s">
        <v>4370</v>
      </c>
      <c r="AE178" s="9" t="s">
        <v>4408</v>
      </c>
    </row>
    <row r="179" customFormat="false" ht="15" hidden="false" customHeight="true" outlineLevel="0" collapsed="false">
      <c r="A179" s="6" t="s">
        <v>1112</v>
      </c>
      <c r="B179" s="6" t="s">
        <v>373</v>
      </c>
      <c r="C179" s="6" t="s">
        <v>380</v>
      </c>
      <c r="D179" s="6" t="n">
        <v>6</v>
      </c>
      <c r="E179" s="9" t="s">
        <v>4405</v>
      </c>
      <c r="F179" s="35" t="n">
        <v>110000</v>
      </c>
      <c r="G179" s="42"/>
      <c r="H179" s="42"/>
      <c r="I179" s="42"/>
      <c r="J179" s="42"/>
      <c r="K179" s="42"/>
      <c r="L179" s="42"/>
      <c r="M179" s="42"/>
      <c r="N179" s="42"/>
      <c r="O179" s="42"/>
      <c r="P179" s="42"/>
      <c r="Q179" s="43" t="str">
        <f aca="false">IF($A179="","",IF(OR(F179="",I179=""),"",F179-I179))</f>
        <v/>
      </c>
      <c r="R179" s="43" t="str">
        <f aca="false">IF($A179="","",IF(Q179="","",Q179+IF(O179="",0,O179)))</f>
        <v/>
      </c>
      <c r="S179" s="42"/>
      <c r="T179" s="43" t="str">
        <f aca="false">IF($A179="","",IF(R179="","",R179-IF(S179="",0,S179)))</f>
        <v/>
      </c>
      <c r="U179" s="43" t="str">
        <f aca="false">IF($A179="","",IF(I179="","",I179-SUM(J179:P179)))</f>
        <v/>
      </c>
      <c r="V179" s="6" t="s">
        <v>4406</v>
      </c>
      <c r="W179" s="9" t="s">
        <v>528</v>
      </c>
      <c r="X179" s="9" t="s">
        <v>4416</v>
      </c>
      <c r="AC179" s="9" t="s">
        <v>4369</v>
      </c>
      <c r="AD179" s="9" t="s">
        <v>4370</v>
      </c>
      <c r="AE179" s="9" t="s">
        <v>4408</v>
      </c>
    </row>
    <row r="180" customFormat="false" ht="15" hidden="false" customHeight="true" outlineLevel="0" collapsed="false">
      <c r="A180" s="6" t="s">
        <v>1115</v>
      </c>
      <c r="B180" s="6" t="s">
        <v>373</v>
      </c>
      <c r="C180" s="6" t="s">
        <v>380</v>
      </c>
      <c r="D180" s="6" t="n">
        <v>6</v>
      </c>
      <c r="E180" s="9" t="s">
        <v>4405</v>
      </c>
      <c r="F180" s="35" t="n">
        <v>17000</v>
      </c>
      <c r="G180" s="42"/>
      <c r="H180" s="42"/>
      <c r="I180" s="42"/>
      <c r="J180" s="42"/>
      <c r="K180" s="42"/>
      <c r="L180" s="42"/>
      <c r="M180" s="42"/>
      <c r="N180" s="42"/>
      <c r="O180" s="42"/>
      <c r="P180" s="42"/>
      <c r="Q180" s="43" t="str">
        <f aca="false">IF($A180="","",IF(OR(F180="",I180=""),"",F180-I180))</f>
        <v/>
      </c>
      <c r="R180" s="43" t="str">
        <f aca="false">IF($A180="","",IF(Q180="","",Q180+IF(O180="",0,O180)))</f>
        <v/>
      </c>
      <c r="S180" s="42"/>
      <c r="T180" s="43" t="str">
        <f aca="false">IF($A180="","",IF(R180="","",R180-IF(S180="",0,S180)))</f>
        <v/>
      </c>
      <c r="U180" s="43" t="str">
        <f aca="false">IF($A180="","",IF(I180="","",I180-SUM(J180:P180)))</f>
        <v/>
      </c>
      <c r="V180" s="6" t="s">
        <v>4406</v>
      </c>
      <c r="W180" s="9" t="s">
        <v>528</v>
      </c>
      <c r="X180" s="9" t="s">
        <v>4444</v>
      </c>
      <c r="AC180" s="6" t="s">
        <v>4373</v>
      </c>
      <c r="AD180" s="9" t="s">
        <v>4374</v>
      </c>
      <c r="AE180" s="9" t="s">
        <v>4445</v>
      </c>
    </row>
    <row r="181" customFormat="false" ht="15" hidden="false" customHeight="true" outlineLevel="0" collapsed="false">
      <c r="A181" s="6" t="s">
        <v>1118</v>
      </c>
      <c r="B181" s="6" t="s">
        <v>373</v>
      </c>
      <c r="C181" s="6" t="s">
        <v>380</v>
      </c>
      <c r="D181" s="6" t="n">
        <v>6</v>
      </c>
      <c r="E181" s="9" t="s">
        <v>4405</v>
      </c>
      <c r="F181" s="35" t="n">
        <v>348000</v>
      </c>
      <c r="G181" s="42"/>
      <c r="H181" s="42"/>
      <c r="I181" s="42"/>
      <c r="J181" s="42"/>
      <c r="K181" s="42"/>
      <c r="L181" s="42"/>
      <c r="M181" s="42"/>
      <c r="N181" s="42"/>
      <c r="O181" s="42"/>
      <c r="P181" s="42"/>
      <c r="Q181" s="43" t="str">
        <f aca="false">IF($A181="","",IF(OR(F181="",I181=""),"",F181-I181))</f>
        <v/>
      </c>
      <c r="R181" s="43" t="str">
        <f aca="false">IF($A181="","",IF(Q181="","",Q181+IF(O181="",0,O181)))</f>
        <v/>
      </c>
      <c r="S181" s="42"/>
      <c r="T181" s="43" t="str">
        <f aca="false">IF($A181="","",IF(R181="","",R181-IF(S181="",0,S181)))</f>
        <v/>
      </c>
      <c r="U181" s="43" t="str">
        <f aca="false">IF($A181="","",IF(I181="","",I181-SUM(J181:P181)))</f>
        <v/>
      </c>
      <c r="V181" s="6" t="s">
        <v>4406</v>
      </c>
      <c r="W181" s="9" t="s">
        <v>528</v>
      </c>
      <c r="X181" s="9" t="s">
        <v>4446</v>
      </c>
      <c r="AC181" s="9" t="s">
        <v>4369</v>
      </c>
      <c r="AD181" s="9" t="s">
        <v>4370</v>
      </c>
      <c r="AE181" s="9" t="s">
        <v>4408</v>
      </c>
    </row>
    <row r="182" customFormat="false" ht="15" hidden="false" customHeight="true" outlineLevel="0" collapsed="false">
      <c r="A182" s="6" t="s">
        <v>1121</v>
      </c>
      <c r="B182" s="6" t="s">
        <v>373</v>
      </c>
      <c r="C182" s="6" t="s">
        <v>380</v>
      </c>
      <c r="D182" s="6" t="n">
        <v>6</v>
      </c>
      <c r="E182" s="9" t="s">
        <v>4405</v>
      </c>
      <c r="F182" s="35" t="n">
        <v>126000</v>
      </c>
      <c r="G182" s="42"/>
      <c r="H182" s="42"/>
      <c r="I182" s="42"/>
      <c r="J182" s="42"/>
      <c r="K182" s="42"/>
      <c r="L182" s="42"/>
      <c r="M182" s="42"/>
      <c r="N182" s="42"/>
      <c r="O182" s="42"/>
      <c r="P182" s="42"/>
      <c r="Q182" s="43" t="str">
        <f aca="false">IF($A182="","",IF(OR(F182="",I182=""),"",F182-I182))</f>
        <v/>
      </c>
      <c r="R182" s="43" t="str">
        <f aca="false">IF($A182="","",IF(Q182="","",Q182+IF(O182="",0,O182)))</f>
        <v/>
      </c>
      <c r="S182" s="42"/>
      <c r="T182" s="43" t="str">
        <f aca="false">IF($A182="","",IF(R182="","",R182-IF(S182="",0,S182)))</f>
        <v/>
      </c>
      <c r="U182" s="43" t="str">
        <f aca="false">IF($A182="","",IF(I182="","",I182-SUM(J182:P182)))</f>
        <v/>
      </c>
      <c r="V182" s="6" t="s">
        <v>4406</v>
      </c>
      <c r="W182" s="9" t="s">
        <v>528</v>
      </c>
      <c r="X182" s="9" t="s">
        <v>4447</v>
      </c>
      <c r="AC182" s="9" t="s">
        <v>4369</v>
      </c>
      <c r="AD182" s="9" t="s">
        <v>4370</v>
      </c>
      <c r="AE182" s="9" t="s">
        <v>4408</v>
      </c>
    </row>
    <row r="183" customFormat="false" ht="15" hidden="false" customHeight="true" outlineLevel="0" collapsed="false">
      <c r="A183" s="6" t="s">
        <v>1124</v>
      </c>
      <c r="B183" s="6" t="s">
        <v>373</v>
      </c>
      <c r="C183" s="6" t="s">
        <v>380</v>
      </c>
      <c r="D183" s="6" t="n">
        <v>6</v>
      </c>
      <c r="E183" s="9" t="s">
        <v>4405</v>
      </c>
      <c r="F183" s="35" t="n">
        <v>161000</v>
      </c>
      <c r="G183" s="42"/>
      <c r="H183" s="42"/>
      <c r="I183" s="42"/>
      <c r="J183" s="42"/>
      <c r="K183" s="42"/>
      <c r="L183" s="42"/>
      <c r="M183" s="42"/>
      <c r="N183" s="42"/>
      <c r="O183" s="42"/>
      <c r="P183" s="42"/>
      <c r="Q183" s="43" t="str">
        <f aca="false">IF($A183="","",IF(OR(F183="",I183=""),"",F183-I183))</f>
        <v/>
      </c>
      <c r="R183" s="43" t="str">
        <f aca="false">IF($A183="","",IF(Q183="","",Q183+IF(O183="",0,O183)))</f>
        <v/>
      </c>
      <c r="S183" s="42"/>
      <c r="T183" s="43" t="str">
        <f aca="false">IF($A183="","",IF(R183="","",R183-IF(S183="",0,S183)))</f>
        <v/>
      </c>
      <c r="U183" s="43" t="str">
        <f aca="false">IF($A183="","",IF(I183="","",I183-SUM(J183:P183)))</f>
        <v/>
      </c>
      <c r="V183" s="6" t="s">
        <v>4406</v>
      </c>
      <c r="W183" s="9" t="s">
        <v>528</v>
      </c>
      <c r="X183" s="9" t="s">
        <v>4448</v>
      </c>
      <c r="AC183" s="6" t="s">
        <v>4373</v>
      </c>
      <c r="AD183" s="9" t="s">
        <v>4374</v>
      </c>
      <c r="AE183" s="9" t="s">
        <v>4408</v>
      </c>
    </row>
    <row r="184" customFormat="false" ht="15" hidden="false" customHeight="true" outlineLevel="0" collapsed="false">
      <c r="A184" s="6" t="s">
        <v>1129</v>
      </c>
      <c r="B184" s="6" t="s">
        <v>373</v>
      </c>
      <c r="C184" s="6" t="s">
        <v>380</v>
      </c>
      <c r="D184" s="6" t="n">
        <v>6</v>
      </c>
      <c r="E184" s="9" t="s">
        <v>4405</v>
      </c>
      <c r="F184" s="35" t="n">
        <v>614000</v>
      </c>
      <c r="G184" s="42"/>
      <c r="H184" s="42"/>
      <c r="I184" s="42"/>
      <c r="J184" s="42"/>
      <c r="K184" s="42"/>
      <c r="L184" s="42"/>
      <c r="M184" s="42"/>
      <c r="N184" s="42"/>
      <c r="O184" s="42"/>
      <c r="P184" s="42"/>
      <c r="Q184" s="43" t="str">
        <f aca="false">IF($A184="","",IF(OR(F184="",I184=""),"",F184-I184))</f>
        <v/>
      </c>
      <c r="R184" s="43" t="str">
        <f aca="false">IF($A184="","",IF(Q184="","",Q184+IF(O184="",0,O184)))</f>
        <v/>
      </c>
      <c r="S184" s="42"/>
      <c r="T184" s="43" t="str">
        <f aca="false">IF($A184="","",IF(R184="","",R184-IF(S184="",0,S184)))</f>
        <v/>
      </c>
      <c r="U184" s="43" t="str">
        <f aca="false">IF($A184="","",IF(I184="","",I184-SUM(J184:P184)))</f>
        <v/>
      </c>
      <c r="V184" s="6" t="s">
        <v>4406</v>
      </c>
      <c r="W184" s="9" t="s">
        <v>528</v>
      </c>
      <c r="X184" s="9" t="s">
        <v>4416</v>
      </c>
      <c r="AC184" s="9" t="s">
        <v>4369</v>
      </c>
      <c r="AD184" s="9" t="s">
        <v>4370</v>
      </c>
      <c r="AE184" s="9" t="s">
        <v>4408</v>
      </c>
    </row>
    <row r="185" customFormat="false" ht="15" hidden="false" customHeight="true" outlineLevel="0" collapsed="false">
      <c r="A185" s="6" t="s">
        <v>1131</v>
      </c>
      <c r="B185" s="6" t="s">
        <v>373</v>
      </c>
      <c r="C185" s="6" t="s">
        <v>380</v>
      </c>
      <c r="D185" s="6" t="n">
        <v>6</v>
      </c>
      <c r="E185" s="9" t="s">
        <v>4405</v>
      </c>
      <c r="F185" s="35" t="n">
        <v>457000</v>
      </c>
      <c r="G185" s="42"/>
      <c r="H185" s="42"/>
      <c r="I185" s="42"/>
      <c r="J185" s="42"/>
      <c r="K185" s="42"/>
      <c r="L185" s="42"/>
      <c r="M185" s="42"/>
      <c r="N185" s="42"/>
      <c r="O185" s="42"/>
      <c r="P185" s="42"/>
      <c r="Q185" s="43" t="str">
        <f aca="false">IF($A185="","",IF(OR(F185="",I185=""),"",F185-I185))</f>
        <v/>
      </c>
      <c r="R185" s="43" t="str">
        <f aca="false">IF($A185="","",IF(Q185="","",Q185+IF(O185="",0,O185)))</f>
        <v/>
      </c>
      <c r="S185" s="42"/>
      <c r="T185" s="43" t="str">
        <f aca="false">IF($A185="","",IF(R185="","",R185-IF(S185="",0,S185)))</f>
        <v/>
      </c>
      <c r="U185" s="43" t="str">
        <f aca="false">IF($A185="","",IF(I185="","",I185-SUM(J185:P185)))</f>
        <v/>
      </c>
      <c r="V185" s="6" t="s">
        <v>4406</v>
      </c>
      <c r="W185" s="9" t="s">
        <v>528</v>
      </c>
      <c r="X185" s="9" t="s">
        <v>4410</v>
      </c>
      <c r="AC185" s="9" t="s">
        <v>4369</v>
      </c>
      <c r="AD185" s="9" t="s">
        <v>4370</v>
      </c>
      <c r="AE185" s="9" t="s">
        <v>4408</v>
      </c>
    </row>
    <row r="186" customFormat="false" ht="15" hidden="false" customHeight="true" outlineLevel="0" collapsed="false">
      <c r="A186" s="6" t="s">
        <v>1133</v>
      </c>
      <c r="B186" s="6" t="s">
        <v>373</v>
      </c>
      <c r="C186" s="6" t="s">
        <v>380</v>
      </c>
      <c r="D186" s="6" t="n">
        <v>6</v>
      </c>
      <c r="E186" s="9" t="s">
        <v>4405</v>
      </c>
      <c r="F186" s="35" t="n">
        <v>508000</v>
      </c>
      <c r="G186" s="42"/>
      <c r="H186" s="42"/>
      <c r="I186" s="42"/>
      <c r="J186" s="42"/>
      <c r="K186" s="42"/>
      <c r="L186" s="42"/>
      <c r="M186" s="42"/>
      <c r="N186" s="42"/>
      <c r="O186" s="42"/>
      <c r="P186" s="42"/>
      <c r="Q186" s="43" t="str">
        <f aca="false">IF($A186="","",IF(OR(F186="",I186=""),"",F186-I186))</f>
        <v/>
      </c>
      <c r="R186" s="43" t="str">
        <f aca="false">IF($A186="","",IF(Q186="","",Q186+IF(O186="",0,O186)))</f>
        <v/>
      </c>
      <c r="S186" s="42"/>
      <c r="T186" s="43" t="str">
        <f aca="false">IF($A186="","",IF(R186="","",R186-IF(S186="",0,S186)))</f>
        <v/>
      </c>
      <c r="U186" s="43" t="str">
        <f aca="false">IF($A186="","",IF(I186="","",I186-SUM(J186:P186)))</f>
        <v/>
      </c>
      <c r="V186" s="6" t="s">
        <v>4406</v>
      </c>
      <c r="W186" s="9" t="s">
        <v>528</v>
      </c>
      <c r="X186" s="9" t="s">
        <v>4410</v>
      </c>
      <c r="AC186" s="9" t="s">
        <v>4369</v>
      </c>
      <c r="AD186" s="9" t="s">
        <v>4370</v>
      </c>
      <c r="AE186" s="9" t="s">
        <v>4408</v>
      </c>
    </row>
    <row r="187" customFormat="false" ht="15" hidden="false" customHeight="true" outlineLevel="0" collapsed="false">
      <c r="A187" s="6" t="s">
        <v>1135</v>
      </c>
      <c r="B187" s="6" t="s">
        <v>373</v>
      </c>
      <c r="C187" s="6" t="s">
        <v>380</v>
      </c>
      <c r="D187" s="6" t="n">
        <v>6</v>
      </c>
      <c r="E187" s="9" t="s">
        <v>4405</v>
      </c>
      <c r="F187" s="35" t="n">
        <v>253000</v>
      </c>
      <c r="G187" s="42"/>
      <c r="H187" s="42"/>
      <c r="I187" s="42"/>
      <c r="J187" s="42"/>
      <c r="K187" s="42"/>
      <c r="L187" s="42"/>
      <c r="M187" s="42"/>
      <c r="N187" s="42"/>
      <c r="O187" s="42"/>
      <c r="P187" s="42"/>
      <c r="Q187" s="43" t="str">
        <f aca="false">IF($A187="","",IF(OR(F187="",I187=""),"",F187-I187))</f>
        <v/>
      </c>
      <c r="R187" s="43" t="str">
        <f aca="false">IF($A187="","",IF(Q187="","",Q187+IF(O187="",0,O187)))</f>
        <v/>
      </c>
      <c r="S187" s="42"/>
      <c r="T187" s="43" t="str">
        <f aca="false">IF($A187="","",IF(R187="","",R187-IF(S187="",0,S187)))</f>
        <v/>
      </c>
      <c r="U187" s="43" t="str">
        <f aca="false">IF($A187="","",IF(I187="","",I187-SUM(J187:P187)))</f>
        <v/>
      </c>
      <c r="V187" s="6" t="s">
        <v>4406</v>
      </c>
      <c r="W187" s="9" t="s">
        <v>528</v>
      </c>
      <c r="X187" s="9" t="s">
        <v>4449</v>
      </c>
      <c r="AC187" s="9" t="s">
        <v>4369</v>
      </c>
      <c r="AD187" s="9" t="s">
        <v>4370</v>
      </c>
      <c r="AE187" s="9" t="s">
        <v>4408</v>
      </c>
    </row>
    <row r="188" customFormat="false" ht="15" hidden="false" customHeight="true" outlineLevel="0" collapsed="false">
      <c r="A188" s="6" t="s">
        <v>1138</v>
      </c>
      <c r="B188" s="6" t="s">
        <v>373</v>
      </c>
      <c r="C188" s="6" t="s">
        <v>380</v>
      </c>
      <c r="D188" s="6" t="n">
        <v>6</v>
      </c>
      <c r="E188" s="9" t="s">
        <v>4405</v>
      </c>
      <c r="F188" s="35" t="n">
        <v>1413000</v>
      </c>
      <c r="G188" s="42"/>
      <c r="H188" s="42"/>
      <c r="I188" s="42"/>
      <c r="J188" s="42"/>
      <c r="K188" s="42"/>
      <c r="L188" s="42"/>
      <c r="M188" s="42"/>
      <c r="N188" s="42"/>
      <c r="O188" s="42"/>
      <c r="P188" s="42"/>
      <c r="Q188" s="43" t="str">
        <f aca="false">IF($A188="","",IF(OR(F188="",I188=""),"",F188-I188))</f>
        <v/>
      </c>
      <c r="R188" s="43" t="str">
        <f aca="false">IF($A188="","",IF(Q188="","",Q188+IF(O188="",0,O188)))</f>
        <v/>
      </c>
      <c r="S188" s="42"/>
      <c r="T188" s="43" t="str">
        <f aca="false">IF($A188="","",IF(R188="","",R188-IF(S188="",0,S188)))</f>
        <v/>
      </c>
      <c r="U188" s="43" t="str">
        <f aca="false">IF($A188="","",IF(I188="","",I188-SUM(J188:P188)))</f>
        <v/>
      </c>
      <c r="V188" s="6" t="s">
        <v>4406</v>
      </c>
      <c r="W188" s="9" t="s">
        <v>528</v>
      </c>
      <c r="X188" s="9" t="s">
        <v>4410</v>
      </c>
      <c r="AC188" s="9" t="s">
        <v>4369</v>
      </c>
      <c r="AD188" s="9" t="s">
        <v>4370</v>
      </c>
      <c r="AE188" s="9" t="s">
        <v>4408</v>
      </c>
    </row>
    <row r="189" customFormat="false" ht="15" hidden="false" customHeight="true" outlineLevel="0" collapsed="false">
      <c r="A189" s="6" t="s">
        <v>1140</v>
      </c>
      <c r="B189" s="6" t="s">
        <v>373</v>
      </c>
      <c r="C189" s="6" t="s">
        <v>380</v>
      </c>
      <c r="D189" s="6" t="n">
        <v>6</v>
      </c>
      <c r="E189" s="9" t="s">
        <v>4405</v>
      </c>
      <c r="F189" s="35" t="n">
        <v>666000</v>
      </c>
      <c r="G189" s="42"/>
      <c r="H189" s="42"/>
      <c r="I189" s="42"/>
      <c r="J189" s="42"/>
      <c r="K189" s="42"/>
      <c r="L189" s="42"/>
      <c r="M189" s="42"/>
      <c r="N189" s="42"/>
      <c r="O189" s="42"/>
      <c r="P189" s="42"/>
      <c r="Q189" s="43" t="str">
        <f aca="false">IF($A189="","",IF(OR(F189="",I189=""),"",F189-I189))</f>
        <v/>
      </c>
      <c r="R189" s="43" t="str">
        <f aca="false">IF($A189="","",IF(Q189="","",Q189+IF(O189="",0,O189)))</f>
        <v/>
      </c>
      <c r="S189" s="42"/>
      <c r="T189" s="43" t="str">
        <f aca="false">IF($A189="","",IF(R189="","",R189-IF(S189="",0,S189)))</f>
        <v/>
      </c>
      <c r="U189" s="43" t="str">
        <f aca="false">IF($A189="","",IF(I189="","",I189-SUM(J189:P189)))</f>
        <v/>
      </c>
      <c r="V189" s="6" t="s">
        <v>4406</v>
      </c>
      <c r="W189" s="9" t="s">
        <v>528</v>
      </c>
      <c r="X189" s="9" t="s">
        <v>4416</v>
      </c>
      <c r="AC189" s="9" t="s">
        <v>4369</v>
      </c>
      <c r="AD189" s="9" t="s">
        <v>4370</v>
      </c>
      <c r="AE189" s="9" t="s">
        <v>4408</v>
      </c>
    </row>
    <row r="190" customFormat="false" ht="15" hidden="false" customHeight="true" outlineLevel="0" collapsed="false">
      <c r="A190" s="6" t="s">
        <v>1142</v>
      </c>
      <c r="B190" s="6" t="s">
        <v>373</v>
      </c>
      <c r="C190" s="6" t="s">
        <v>380</v>
      </c>
      <c r="D190" s="6" t="n">
        <v>6</v>
      </c>
      <c r="E190" s="9" t="s">
        <v>4405</v>
      </c>
      <c r="F190" s="35" t="n">
        <v>633000</v>
      </c>
      <c r="G190" s="42"/>
      <c r="H190" s="42"/>
      <c r="I190" s="42"/>
      <c r="J190" s="42"/>
      <c r="K190" s="42"/>
      <c r="L190" s="42"/>
      <c r="M190" s="42"/>
      <c r="N190" s="42"/>
      <c r="O190" s="42"/>
      <c r="P190" s="42"/>
      <c r="Q190" s="43" t="str">
        <f aca="false">IF($A190="","",IF(OR(F190="",I190=""),"",F190-I190))</f>
        <v/>
      </c>
      <c r="R190" s="43" t="str">
        <f aca="false">IF($A190="","",IF(Q190="","",Q190+IF(O190="",0,O190)))</f>
        <v/>
      </c>
      <c r="S190" s="42"/>
      <c r="T190" s="43" t="str">
        <f aca="false">IF($A190="","",IF(R190="","",R190-IF(S190="",0,S190)))</f>
        <v/>
      </c>
      <c r="U190" s="43" t="str">
        <f aca="false">IF($A190="","",IF(I190="","",I190-SUM(J190:P190)))</f>
        <v/>
      </c>
      <c r="V190" s="6" t="s">
        <v>4406</v>
      </c>
      <c r="W190" s="9" t="s">
        <v>528</v>
      </c>
      <c r="X190" s="9" t="s">
        <v>4416</v>
      </c>
      <c r="AC190" s="9" t="s">
        <v>4369</v>
      </c>
      <c r="AD190" s="9" t="s">
        <v>4370</v>
      </c>
      <c r="AE190" s="9" t="s">
        <v>4408</v>
      </c>
    </row>
    <row r="191" customFormat="false" ht="15" hidden="false" customHeight="true" outlineLevel="0" collapsed="false">
      <c r="A191" s="6" t="s">
        <v>1144</v>
      </c>
      <c r="B191" s="6" t="s">
        <v>373</v>
      </c>
      <c r="C191" s="6" t="s">
        <v>380</v>
      </c>
      <c r="D191" s="6" t="n">
        <v>6</v>
      </c>
      <c r="E191" s="9" t="s">
        <v>4405</v>
      </c>
      <c r="F191" s="35" t="n">
        <v>627000</v>
      </c>
      <c r="G191" s="42"/>
      <c r="H191" s="42"/>
      <c r="I191" s="42"/>
      <c r="J191" s="42"/>
      <c r="K191" s="42"/>
      <c r="L191" s="42"/>
      <c r="M191" s="42"/>
      <c r="N191" s="42"/>
      <c r="O191" s="42"/>
      <c r="P191" s="42"/>
      <c r="Q191" s="43" t="str">
        <f aca="false">IF($A191="","",IF(OR(F191="",I191=""),"",F191-I191))</f>
        <v/>
      </c>
      <c r="R191" s="43" t="str">
        <f aca="false">IF($A191="","",IF(Q191="","",Q191+IF(O191="",0,O191)))</f>
        <v/>
      </c>
      <c r="S191" s="42"/>
      <c r="T191" s="43" t="str">
        <f aca="false">IF($A191="","",IF(R191="","",R191-IF(S191="",0,S191)))</f>
        <v/>
      </c>
      <c r="U191" s="43" t="str">
        <f aca="false">IF($A191="","",IF(I191="","",I191-SUM(J191:P191)))</f>
        <v/>
      </c>
      <c r="V191" s="6" t="s">
        <v>4406</v>
      </c>
      <c r="W191" s="9" t="s">
        <v>528</v>
      </c>
      <c r="X191" s="9" t="s">
        <v>4410</v>
      </c>
      <c r="AC191" s="9" t="s">
        <v>4369</v>
      </c>
      <c r="AD191" s="9" t="s">
        <v>4370</v>
      </c>
      <c r="AE191" s="9" t="s">
        <v>4408</v>
      </c>
    </row>
    <row r="192" customFormat="false" ht="15" hidden="false" customHeight="true" outlineLevel="0" collapsed="false">
      <c r="A192" s="6" t="s">
        <v>1146</v>
      </c>
      <c r="B192" s="6" t="s">
        <v>373</v>
      </c>
      <c r="C192" s="6" t="s">
        <v>380</v>
      </c>
      <c r="D192" s="6" t="n">
        <v>6</v>
      </c>
      <c r="E192" s="9" t="s">
        <v>4405</v>
      </c>
      <c r="F192" s="35" t="n">
        <v>607000</v>
      </c>
      <c r="G192" s="42"/>
      <c r="H192" s="42"/>
      <c r="I192" s="42"/>
      <c r="J192" s="42"/>
      <c r="K192" s="42"/>
      <c r="L192" s="42"/>
      <c r="M192" s="42"/>
      <c r="N192" s="42"/>
      <c r="O192" s="42"/>
      <c r="P192" s="42"/>
      <c r="Q192" s="43" t="str">
        <f aca="false">IF($A192="","",IF(OR(F192="",I192=""),"",F192-I192))</f>
        <v/>
      </c>
      <c r="R192" s="43" t="str">
        <f aca="false">IF($A192="","",IF(Q192="","",Q192+IF(O192="",0,O192)))</f>
        <v/>
      </c>
      <c r="S192" s="42"/>
      <c r="T192" s="43" t="str">
        <f aca="false">IF($A192="","",IF(R192="","",R192-IF(S192="",0,S192)))</f>
        <v/>
      </c>
      <c r="U192" s="43" t="str">
        <f aca="false">IF($A192="","",IF(I192="","",I192-SUM(J192:P192)))</f>
        <v/>
      </c>
      <c r="V192" s="6" t="s">
        <v>4406</v>
      </c>
      <c r="W192" s="9" t="s">
        <v>528</v>
      </c>
      <c r="X192" s="9" t="s">
        <v>4450</v>
      </c>
      <c r="AC192" s="9" t="s">
        <v>4369</v>
      </c>
      <c r="AD192" s="9" t="s">
        <v>4370</v>
      </c>
      <c r="AE192" s="9" t="s">
        <v>4408</v>
      </c>
    </row>
    <row r="193" customFormat="false" ht="15" hidden="false" customHeight="true" outlineLevel="0" collapsed="false">
      <c r="A193" s="6" t="s">
        <v>1149</v>
      </c>
      <c r="B193" s="6" t="s">
        <v>373</v>
      </c>
      <c r="C193" s="6" t="s">
        <v>380</v>
      </c>
      <c r="D193" s="6" t="n">
        <v>6</v>
      </c>
      <c r="E193" s="9" t="s">
        <v>4405</v>
      </c>
      <c r="F193" s="35" t="n">
        <v>282000</v>
      </c>
      <c r="G193" s="42"/>
      <c r="H193" s="42"/>
      <c r="I193" s="42"/>
      <c r="J193" s="42"/>
      <c r="K193" s="42"/>
      <c r="L193" s="42"/>
      <c r="M193" s="42"/>
      <c r="N193" s="42"/>
      <c r="O193" s="42"/>
      <c r="P193" s="42"/>
      <c r="Q193" s="43" t="str">
        <f aca="false">IF($A193="","",IF(OR(F193="",I193=""),"",F193-I193))</f>
        <v/>
      </c>
      <c r="R193" s="43" t="str">
        <f aca="false">IF($A193="","",IF(Q193="","",Q193+IF(O193="",0,O193)))</f>
        <v/>
      </c>
      <c r="S193" s="42"/>
      <c r="T193" s="43" t="str">
        <f aca="false">IF($A193="","",IF(R193="","",R193-IF(S193="",0,S193)))</f>
        <v/>
      </c>
      <c r="U193" s="43" t="str">
        <f aca="false">IF($A193="","",IF(I193="","",I193-SUM(J193:P193)))</f>
        <v/>
      </c>
      <c r="V193" s="6" t="s">
        <v>4406</v>
      </c>
      <c r="W193" s="9" t="s">
        <v>528</v>
      </c>
      <c r="X193" s="9" t="s">
        <v>4416</v>
      </c>
      <c r="AC193" s="9" t="s">
        <v>4369</v>
      </c>
      <c r="AD193" s="9" t="s">
        <v>4370</v>
      </c>
      <c r="AE193" s="9" t="s">
        <v>4408</v>
      </c>
    </row>
    <row r="194" customFormat="false" ht="15" hidden="false" customHeight="true" outlineLevel="0" collapsed="false">
      <c r="A194" s="6" t="s">
        <v>1151</v>
      </c>
      <c r="B194" s="6" t="s">
        <v>373</v>
      </c>
      <c r="C194" s="6" t="s">
        <v>380</v>
      </c>
      <c r="D194" s="6" t="n">
        <v>6</v>
      </c>
      <c r="E194" s="9" t="s">
        <v>4405</v>
      </c>
      <c r="F194" s="35" t="n">
        <v>103000</v>
      </c>
      <c r="G194" s="42"/>
      <c r="H194" s="42"/>
      <c r="I194" s="42"/>
      <c r="J194" s="42"/>
      <c r="K194" s="42"/>
      <c r="L194" s="42"/>
      <c r="M194" s="42"/>
      <c r="N194" s="42"/>
      <c r="O194" s="42"/>
      <c r="P194" s="42"/>
      <c r="Q194" s="43" t="str">
        <f aca="false">IF($A194="","",IF(OR(F194="",I194=""),"",F194-I194))</f>
        <v/>
      </c>
      <c r="R194" s="43" t="str">
        <f aca="false">IF($A194="","",IF(Q194="","",Q194+IF(O194="",0,O194)))</f>
        <v/>
      </c>
      <c r="S194" s="42"/>
      <c r="T194" s="43" t="str">
        <f aca="false">IF($A194="","",IF(R194="","",R194-IF(S194="",0,S194)))</f>
        <v/>
      </c>
      <c r="U194" s="43" t="str">
        <f aca="false">IF($A194="","",IF(I194="","",I194-SUM(J194:P194)))</f>
        <v/>
      </c>
      <c r="V194" s="6" t="s">
        <v>4406</v>
      </c>
      <c r="W194" s="9" t="s">
        <v>528</v>
      </c>
      <c r="X194" s="9" t="s">
        <v>4451</v>
      </c>
      <c r="AC194" s="9" t="s">
        <v>4369</v>
      </c>
      <c r="AD194" s="9" t="s">
        <v>4370</v>
      </c>
      <c r="AE194" s="9" t="s">
        <v>4408</v>
      </c>
    </row>
    <row r="195" customFormat="false" ht="15" hidden="false" customHeight="true" outlineLevel="0" collapsed="false">
      <c r="A195" s="6" t="s">
        <v>1154</v>
      </c>
      <c r="B195" s="6" t="s">
        <v>373</v>
      </c>
      <c r="C195" s="6" t="s">
        <v>380</v>
      </c>
      <c r="D195" s="6" t="n">
        <v>6</v>
      </c>
      <c r="E195" s="9" t="s">
        <v>4405</v>
      </c>
      <c r="F195" s="35" t="n">
        <v>160000</v>
      </c>
      <c r="G195" s="42"/>
      <c r="H195" s="42"/>
      <c r="I195" s="42"/>
      <c r="J195" s="42"/>
      <c r="K195" s="42"/>
      <c r="L195" s="42"/>
      <c r="M195" s="42"/>
      <c r="N195" s="42"/>
      <c r="O195" s="42"/>
      <c r="P195" s="42"/>
      <c r="Q195" s="43" t="str">
        <f aca="false">IF($A195="","",IF(OR(F195="",I195=""),"",F195-I195))</f>
        <v/>
      </c>
      <c r="R195" s="43" t="str">
        <f aca="false">IF($A195="","",IF(Q195="","",Q195+IF(O195="",0,O195)))</f>
        <v/>
      </c>
      <c r="S195" s="42"/>
      <c r="T195" s="43" t="str">
        <f aca="false">IF($A195="","",IF(R195="","",R195-IF(S195="",0,S195)))</f>
        <v/>
      </c>
      <c r="U195" s="43" t="str">
        <f aca="false">IF($A195="","",IF(I195="","",I195-SUM(J195:P195)))</f>
        <v/>
      </c>
      <c r="V195" s="6" t="s">
        <v>4406</v>
      </c>
      <c r="W195" s="9" t="s">
        <v>528</v>
      </c>
      <c r="X195" s="9" t="s">
        <v>4416</v>
      </c>
      <c r="AC195" s="9" t="s">
        <v>4369</v>
      </c>
      <c r="AD195" s="9" t="s">
        <v>4370</v>
      </c>
      <c r="AE195" s="9" t="s">
        <v>4408</v>
      </c>
    </row>
    <row r="196" customFormat="false" ht="15" hidden="false" customHeight="true" outlineLevel="0" collapsed="false">
      <c r="A196" s="6" t="s">
        <v>1158</v>
      </c>
      <c r="B196" s="6" t="s">
        <v>373</v>
      </c>
      <c r="C196" s="6" t="s">
        <v>380</v>
      </c>
      <c r="D196" s="6" t="n">
        <v>6</v>
      </c>
      <c r="E196" s="9" t="s">
        <v>4405</v>
      </c>
      <c r="F196" s="35" t="n">
        <v>488000</v>
      </c>
      <c r="G196" s="42"/>
      <c r="H196" s="42"/>
      <c r="I196" s="42"/>
      <c r="J196" s="42"/>
      <c r="K196" s="42"/>
      <c r="L196" s="42"/>
      <c r="M196" s="42"/>
      <c r="N196" s="42"/>
      <c r="O196" s="42"/>
      <c r="P196" s="42"/>
      <c r="Q196" s="43" t="str">
        <f aca="false">IF($A196="","",IF(OR(F196="",I196=""),"",F196-I196))</f>
        <v/>
      </c>
      <c r="R196" s="43" t="str">
        <f aca="false">IF($A196="","",IF(Q196="","",Q196+IF(O196="",0,O196)))</f>
        <v/>
      </c>
      <c r="S196" s="42"/>
      <c r="T196" s="43" t="str">
        <f aca="false">IF($A196="","",IF(R196="","",R196-IF(S196="",0,S196)))</f>
        <v/>
      </c>
      <c r="U196" s="43" t="str">
        <f aca="false">IF($A196="","",IF(I196="","",I196-SUM(J196:P196)))</f>
        <v/>
      </c>
      <c r="V196" s="6" t="s">
        <v>4406</v>
      </c>
      <c r="W196" s="9" t="s">
        <v>528</v>
      </c>
      <c r="X196" s="9" t="s">
        <v>4416</v>
      </c>
      <c r="AC196" s="9" t="s">
        <v>4369</v>
      </c>
      <c r="AD196" s="9" t="s">
        <v>4370</v>
      </c>
      <c r="AE196" s="9" t="s">
        <v>4408</v>
      </c>
    </row>
    <row r="197" customFormat="false" ht="15" hidden="false" customHeight="true" outlineLevel="0" collapsed="false">
      <c r="A197" s="6" t="s">
        <v>1161</v>
      </c>
      <c r="B197" s="6" t="s">
        <v>373</v>
      </c>
      <c r="C197" s="6" t="s">
        <v>380</v>
      </c>
      <c r="D197" s="6" t="n">
        <v>6</v>
      </c>
      <c r="E197" s="9" t="s">
        <v>4405</v>
      </c>
      <c r="F197" s="35" t="n">
        <v>201000</v>
      </c>
      <c r="G197" s="42"/>
      <c r="H197" s="42"/>
      <c r="I197" s="42"/>
      <c r="J197" s="42"/>
      <c r="K197" s="42"/>
      <c r="L197" s="42"/>
      <c r="M197" s="42"/>
      <c r="N197" s="42"/>
      <c r="O197" s="42"/>
      <c r="P197" s="42"/>
      <c r="Q197" s="43" t="str">
        <f aca="false">IF($A197="","",IF(OR(F197="",I197=""),"",F197-I197))</f>
        <v/>
      </c>
      <c r="R197" s="43" t="str">
        <f aca="false">IF($A197="","",IF(Q197="","",Q197+IF(O197="",0,O197)))</f>
        <v/>
      </c>
      <c r="S197" s="42"/>
      <c r="T197" s="43" t="str">
        <f aca="false">IF($A197="","",IF(R197="","",R197-IF(S197="",0,S197)))</f>
        <v/>
      </c>
      <c r="U197" s="43" t="str">
        <f aca="false">IF($A197="","",IF(I197="","",I197-SUM(J197:P197)))</f>
        <v/>
      </c>
      <c r="V197" s="6" t="s">
        <v>4406</v>
      </c>
      <c r="W197" s="9" t="s">
        <v>528</v>
      </c>
      <c r="X197" s="9" t="s">
        <v>4416</v>
      </c>
      <c r="AC197" s="9" t="s">
        <v>4369</v>
      </c>
      <c r="AD197" s="9" t="s">
        <v>4370</v>
      </c>
      <c r="AE197" s="9" t="s">
        <v>4408</v>
      </c>
    </row>
    <row r="198" customFormat="false" ht="15" hidden="false" customHeight="true" outlineLevel="0" collapsed="false">
      <c r="A198" s="6" t="s">
        <v>1165</v>
      </c>
      <c r="B198" s="6" t="s">
        <v>373</v>
      </c>
      <c r="C198" s="6" t="s">
        <v>380</v>
      </c>
      <c r="D198" s="6" t="n">
        <v>6</v>
      </c>
      <c r="E198" s="9" t="s">
        <v>4376</v>
      </c>
      <c r="F198" s="35" t="n">
        <v>48547009</v>
      </c>
      <c r="G198" s="35" t="n">
        <v>44809206</v>
      </c>
      <c r="H198" s="35" t="n">
        <v>3737803</v>
      </c>
      <c r="I198" s="35" t="n">
        <v>25250123</v>
      </c>
      <c r="J198" s="35" t="n">
        <v>7600503</v>
      </c>
      <c r="K198" s="35" t="n">
        <v>0</v>
      </c>
      <c r="L198" s="35" t="n">
        <v>4854835</v>
      </c>
      <c r="M198" s="35" t="n">
        <v>43257</v>
      </c>
      <c r="N198" s="35" t="n">
        <v>976251</v>
      </c>
      <c r="O198" s="35" t="n">
        <v>7852749</v>
      </c>
      <c r="P198" s="35" t="n">
        <v>3922526</v>
      </c>
      <c r="Q198" s="43" t="n">
        <f aca="false">IF($A198="","",IF(OR(F198="",I198=""),"",F198-I198))</f>
        <v>23296886</v>
      </c>
      <c r="R198" s="43" t="n">
        <f aca="false">IF($A198="","",IF(Q198="","",Q198+IF(O198="",0,O198)))</f>
        <v>31149635</v>
      </c>
      <c r="S198" s="35" t="n">
        <v>4987000</v>
      </c>
      <c r="T198" s="43" t="n">
        <f aca="false">IF($A198="","",IF(R198="","",R198-IF(S198="",0,S198)))</f>
        <v>26162635</v>
      </c>
      <c r="U198" s="43" t="n">
        <f aca="false">IF($A198="","",IF(I198="","",I198-SUM(J198:P198)))</f>
        <v>2</v>
      </c>
      <c r="V198" s="6" t="s">
        <v>4452</v>
      </c>
      <c r="W198" s="44" t="s">
        <v>1168</v>
      </c>
      <c r="X198" s="9" t="s">
        <v>4453</v>
      </c>
      <c r="AC198" s="9" t="s">
        <v>4369</v>
      </c>
      <c r="AD198" s="9" t="s">
        <v>4370</v>
      </c>
      <c r="AE198" s="9" t="s">
        <v>4371</v>
      </c>
    </row>
    <row r="199" customFormat="false" ht="15" hidden="false" customHeight="true" outlineLevel="0" collapsed="false">
      <c r="A199" s="6" t="s">
        <v>1170</v>
      </c>
      <c r="B199" s="6" t="s">
        <v>427</v>
      </c>
      <c r="C199" s="6" t="s">
        <v>432</v>
      </c>
      <c r="D199" s="6" t="n">
        <v>6</v>
      </c>
      <c r="E199" s="9" t="s">
        <v>4454</v>
      </c>
      <c r="F199" s="35" t="n">
        <v>401058</v>
      </c>
      <c r="G199" s="42"/>
      <c r="H199" s="42"/>
      <c r="I199" s="42"/>
      <c r="J199" s="42"/>
      <c r="K199" s="42"/>
      <c r="L199" s="42"/>
      <c r="M199" s="42"/>
      <c r="N199" s="42"/>
      <c r="O199" s="42"/>
      <c r="P199" s="42"/>
      <c r="Q199" s="43" t="str">
        <f aca="false">IF($A199="","",IF(OR(F199="",I199=""),"",F199-I199))</f>
        <v/>
      </c>
      <c r="R199" s="43" t="str">
        <f aca="false">IF($A199="","",IF(Q199="","",Q199+IF(O199="",0,O199)))</f>
        <v/>
      </c>
      <c r="S199" s="42"/>
      <c r="T199" s="43" t="str">
        <f aca="false">IF($A199="","",IF(R199="","",R199-IF(S199="",0,S199)))</f>
        <v/>
      </c>
      <c r="U199" s="43" t="str">
        <f aca="false">IF($A199="","",IF(I199="","",I199-SUM(J199:P199)))</f>
        <v/>
      </c>
      <c r="V199" s="6" t="s">
        <v>4455</v>
      </c>
      <c r="W199" s="9" t="s">
        <v>528</v>
      </c>
      <c r="X199" s="9" t="s">
        <v>4456</v>
      </c>
      <c r="AC199" s="9" t="s">
        <v>4369</v>
      </c>
      <c r="AD199" s="9" t="s">
        <v>4370</v>
      </c>
      <c r="AE199" s="9" t="s">
        <v>4371</v>
      </c>
    </row>
    <row r="200" customFormat="false" ht="15" hidden="false" customHeight="true" outlineLevel="0" collapsed="false">
      <c r="A200" s="6" t="s">
        <v>1174</v>
      </c>
      <c r="B200" s="6" t="s">
        <v>427</v>
      </c>
      <c r="C200" s="6" t="s">
        <v>432</v>
      </c>
      <c r="D200" s="6" t="n">
        <v>6</v>
      </c>
      <c r="E200" s="9" t="s">
        <v>4381</v>
      </c>
      <c r="F200" s="42"/>
      <c r="G200" s="42"/>
      <c r="H200" s="42"/>
      <c r="I200" s="42"/>
      <c r="J200" s="42"/>
      <c r="K200" s="42"/>
      <c r="L200" s="42"/>
      <c r="M200" s="42"/>
      <c r="N200" s="42"/>
      <c r="O200" s="42"/>
      <c r="P200" s="42"/>
      <c r="Q200" s="43" t="str">
        <f aca="false">IF($A200="","",IF(OR(F200="",I200=""),"",F200-I200))</f>
        <v/>
      </c>
      <c r="R200" s="43" t="str">
        <f aca="false">IF($A200="","",IF(Q200="","",Q200+IF(O200="",0,O200)))</f>
        <v/>
      </c>
      <c r="S200" s="42"/>
      <c r="T200" s="43" t="str">
        <f aca="false">IF($A200="","",IF(R200="","",R200-IF(S200="",0,S200)))</f>
        <v/>
      </c>
      <c r="U200" s="43" t="str">
        <f aca="false">IF($A200="","",IF(I200="","",I200-SUM(J200:P200)))</f>
        <v/>
      </c>
      <c r="V200" s="6" t="s">
        <v>4457</v>
      </c>
      <c r="W200" s="9" t="s">
        <v>528</v>
      </c>
      <c r="X200" s="9" t="s">
        <v>4458</v>
      </c>
      <c r="AC200" s="9" t="s">
        <v>4369</v>
      </c>
      <c r="AD200" s="9" t="s">
        <v>4370</v>
      </c>
      <c r="AE200" s="9" t="s">
        <v>4371</v>
      </c>
    </row>
    <row r="201" customFormat="false" ht="15" hidden="false" customHeight="true" outlineLevel="0" collapsed="false">
      <c r="A201" s="6" t="s">
        <v>1177</v>
      </c>
      <c r="B201" s="6" t="s">
        <v>427</v>
      </c>
      <c r="C201" s="6" t="s">
        <v>432</v>
      </c>
      <c r="D201" s="6" t="n">
        <v>6</v>
      </c>
      <c r="E201" s="9" t="s">
        <v>4454</v>
      </c>
      <c r="F201" s="35" t="n">
        <v>100332</v>
      </c>
      <c r="G201" s="42"/>
      <c r="H201" s="42"/>
      <c r="I201" s="42"/>
      <c r="J201" s="42"/>
      <c r="K201" s="42"/>
      <c r="L201" s="42"/>
      <c r="M201" s="42"/>
      <c r="N201" s="42"/>
      <c r="O201" s="42"/>
      <c r="P201" s="42"/>
      <c r="Q201" s="43" t="str">
        <f aca="false">IF($A201="","",IF(OR(F201="",I201=""),"",F201-I201))</f>
        <v/>
      </c>
      <c r="R201" s="43" t="str">
        <f aca="false">IF($A201="","",IF(Q201="","",Q201+IF(O201="",0,O201)))</f>
        <v/>
      </c>
      <c r="S201" s="42"/>
      <c r="T201" s="43" t="str">
        <f aca="false">IF($A201="","",IF(R201="","",R201-IF(S201="",0,S201)))</f>
        <v/>
      </c>
      <c r="U201" s="43" t="str">
        <f aca="false">IF($A201="","",IF(I201="","",I201-SUM(J201:P201)))</f>
        <v/>
      </c>
      <c r="V201" s="6" t="s">
        <v>4455</v>
      </c>
      <c r="W201" s="9" t="s">
        <v>528</v>
      </c>
      <c r="X201" s="9" t="s">
        <v>4459</v>
      </c>
      <c r="AC201" s="9" t="s">
        <v>4369</v>
      </c>
      <c r="AD201" s="9" t="s">
        <v>4370</v>
      </c>
      <c r="AE201" s="9" t="s">
        <v>4371</v>
      </c>
    </row>
    <row r="202" customFormat="false" ht="15" hidden="false" customHeight="true" outlineLevel="0" collapsed="false">
      <c r="A202" s="6" t="s">
        <v>1179</v>
      </c>
      <c r="B202" s="6" t="s">
        <v>427</v>
      </c>
      <c r="C202" s="6" t="s">
        <v>432</v>
      </c>
      <c r="D202" s="6" t="n">
        <v>6</v>
      </c>
      <c r="E202" s="9" t="s">
        <v>4454</v>
      </c>
      <c r="F202" s="35" t="n">
        <v>118965</v>
      </c>
      <c r="G202" s="42"/>
      <c r="H202" s="42"/>
      <c r="I202" s="42"/>
      <c r="J202" s="42"/>
      <c r="K202" s="42"/>
      <c r="L202" s="42"/>
      <c r="M202" s="42"/>
      <c r="N202" s="42"/>
      <c r="O202" s="42"/>
      <c r="P202" s="42"/>
      <c r="Q202" s="43" t="str">
        <f aca="false">IF($A202="","",IF(OR(F202="",I202=""),"",F202-I202))</f>
        <v/>
      </c>
      <c r="R202" s="43" t="str">
        <f aca="false">IF($A202="","",IF(Q202="","",Q202+IF(O202="",0,O202)))</f>
        <v/>
      </c>
      <c r="S202" s="42"/>
      <c r="T202" s="43" t="str">
        <f aca="false">IF($A202="","",IF(R202="","",R202-IF(S202="",0,S202)))</f>
        <v/>
      </c>
      <c r="U202" s="43" t="str">
        <f aca="false">IF($A202="","",IF(I202="","",I202-SUM(J202:P202)))</f>
        <v/>
      </c>
      <c r="V202" s="6" t="s">
        <v>4455</v>
      </c>
      <c r="W202" s="9" t="s">
        <v>528</v>
      </c>
      <c r="X202" s="9" t="s">
        <v>4460</v>
      </c>
      <c r="AC202" s="9" t="s">
        <v>4369</v>
      </c>
      <c r="AD202" s="9" t="s">
        <v>4370</v>
      </c>
      <c r="AE202" s="9" t="s">
        <v>4371</v>
      </c>
    </row>
    <row r="203" customFormat="false" ht="15" hidden="false" customHeight="true" outlineLevel="0" collapsed="false">
      <c r="A203" s="6" t="s">
        <v>1182</v>
      </c>
      <c r="B203" s="6" t="s">
        <v>427</v>
      </c>
      <c r="C203" s="6" t="s">
        <v>432</v>
      </c>
      <c r="D203" s="6" t="n">
        <v>6</v>
      </c>
      <c r="E203" s="9" t="s">
        <v>4454</v>
      </c>
      <c r="F203" s="35" t="n">
        <v>403252</v>
      </c>
      <c r="G203" s="42"/>
      <c r="H203" s="42"/>
      <c r="I203" s="42"/>
      <c r="J203" s="42"/>
      <c r="K203" s="42"/>
      <c r="L203" s="42"/>
      <c r="M203" s="42"/>
      <c r="N203" s="42"/>
      <c r="O203" s="42"/>
      <c r="P203" s="42"/>
      <c r="Q203" s="43" t="str">
        <f aca="false">IF($A203="","",IF(OR(F203="",I203=""),"",F203-I203))</f>
        <v/>
      </c>
      <c r="R203" s="43" t="str">
        <f aca="false">IF($A203="","",IF(Q203="","",Q203+IF(O203="",0,O203)))</f>
        <v/>
      </c>
      <c r="S203" s="42"/>
      <c r="T203" s="43" t="str">
        <f aca="false">IF($A203="","",IF(R203="","",R203-IF(S203="",0,S203)))</f>
        <v/>
      </c>
      <c r="U203" s="43" t="str">
        <f aca="false">IF($A203="","",IF(I203="","",I203-SUM(J203:P203)))</f>
        <v/>
      </c>
      <c r="V203" s="6" t="s">
        <v>4455</v>
      </c>
      <c r="W203" s="9" t="s">
        <v>528</v>
      </c>
      <c r="X203" s="9" t="s">
        <v>4461</v>
      </c>
      <c r="AC203" s="9" t="s">
        <v>4369</v>
      </c>
      <c r="AD203" s="9" t="s">
        <v>4370</v>
      </c>
      <c r="AE203" s="9" t="s">
        <v>4371</v>
      </c>
    </row>
    <row r="204" customFormat="false" ht="15" hidden="false" customHeight="true" outlineLevel="0" collapsed="false">
      <c r="A204" s="6" t="s">
        <v>1185</v>
      </c>
      <c r="B204" s="6" t="s">
        <v>427</v>
      </c>
      <c r="C204" s="6" t="s">
        <v>432</v>
      </c>
      <c r="D204" s="6" t="n">
        <v>6</v>
      </c>
      <c r="E204" s="9" t="s">
        <v>4454</v>
      </c>
      <c r="F204" s="35" t="n">
        <v>157830</v>
      </c>
      <c r="G204" s="42"/>
      <c r="H204" s="42"/>
      <c r="I204" s="42"/>
      <c r="J204" s="42"/>
      <c r="K204" s="42"/>
      <c r="L204" s="42"/>
      <c r="M204" s="42"/>
      <c r="N204" s="42"/>
      <c r="O204" s="42"/>
      <c r="P204" s="42"/>
      <c r="Q204" s="43" t="str">
        <f aca="false">IF($A204="","",IF(OR(F204="",I204=""),"",F204-I204))</f>
        <v/>
      </c>
      <c r="R204" s="43" t="str">
        <f aca="false">IF($A204="","",IF(Q204="","",Q204+IF(O204="",0,O204)))</f>
        <v/>
      </c>
      <c r="S204" s="42"/>
      <c r="T204" s="43" t="str">
        <f aca="false">IF($A204="","",IF(R204="","",R204-IF(S204="",0,S204)))</f>
        <v/>
      </c>
      <c r="U204" s="43" t="str">
        <f aca="false">IF($A204="","",IF(I204="","",I204-SUM(J204:P204)))</f>
        <v/>
      </c>
      <c r="V204" s="6" t="s">
        <v>4455</v>
      </c>
      <c r="W204" s="9" t="s">
        <v>528</v>
      </c>
      <c r="X204" s="9" t="s">
        <v>4459</v>
      </c>
      <c r="AC204" s="9" t="s">
        <v>4369</v>
      </c>
      <c r="AD204" s="9" t="s">
        <v>4370</v>
      </c>
      <c r="AE204" s="9" t="s">
        <v>4371</v>
      </c>
    </row>
    <row r="205" customFormat="false" ht="15" hidden="false" customHeight="true" outlineLevel="0" collapsed="false">
      <c r="A205" s="6" t="s">
        <v>1187</v>
      </c>
      <c r="B205" s="6" t="s">
        <v>427</v>
      </c>
      <c r="C205" s="6" t="s">
        <v>432</v>
      </c>
      <c r="D205" s="6" t="n">
        <v>6</v>
      </c>
      <c r="E205" s="9" t="s">
        <v>4381</v>
      </c>
      <c r="F205" s="42"/>
      <c r="G205" s="42"/>
      <c r="H205" s="42"/>
      <c r="I205" s="42"/>
      <c r="J205" s="42"/>
      <c r="K205" s="42"/>
      <c r="L205" s="42"/>
      <c r="M205" s="42"/>
      <c r="N205" s="42"/>
      <c r="O205" s="42"/>
      <c r="P205" s="42"/>
      <c r="Q205" s="43" t="str">
        <f aca="false">IF($A205="","",IF(OR(F205="",I205=""),"",F205-I205))</f>
        <v/>
      </c>
      <c r="R205" s="43" t="str">
        <f aca="false">IF($A205="","",IF(Q205="","",Q205+IF(O205="",0,O205)))</f>
        <v/>
      </c>
      <c r="S205" s="42"/>
      <c r="T205" s="43" t="str">
        <f aca="false">IF($A205="","",IF(R205="","",R205-IF(S205="",0,S205)))</f>
        <v/>
      </c>
      <c r="U205" s="43" t="str">
        <f aca="false">IF($A205="","",IF(I205="","",I205-SUM(J205:P205)))</f>
        <v/>
      </c>
      <c r="V205" s="6" t="s">
        <v>4457</v>
      </c>
      <c r="W205" s="9" t="s">
        <v>528</v>
      </c>
      <c r="X205" s="9" t="s">
        <v>4462</v>
      </c>
      <c r="AC205" s="9" t="s">
        <v>4369</v>
      </c>
      <c r="AD205" s="9" t="s">
        <v>4370</v>
      </c>
      <c r="AE205" s="9" t="s">
        <v>4371</v>
      </c>
    </row>
    <row r="206" customFormat="false" ht="15" hidden="false" customHeight="true" outlineLevel="0" collapsed="false">
      <c r="A206" s="6" t="s">
        <v>1190</v>
      </c>
      <c r="B206" s="6" t="s">
        <v>427</v>
      </c>
      <c r="C206" s="6" t="s">
        <v>432</v>
      </c>
      <c r="D206" s="6" t="n">
        <v>6</v>
      </c>
      <c r="E206" s="9" t="s">
        <v>4454</v>
      </c>
      <c r="F206" s="35" t="n">
        <v>445058</v>
      </c>
      <c r="G206" s="42"/>
      <c r="H206" s="42"/>
      <c r="I206" s="42"/>
      <c r="J206" s="42"/>
      <c r="K206" s="42"/>
      <c r="L206" s="42"/>
      <c r="M206" s="42"/>
      <c r="N206" s="42"/>
      <c r="O206" s="42"/>
      <c r="P206" s="42"/>
      <c r="Q206" s="43" t="str">
        <f aca="false">IF($A206="","",IF(OR(F206="",I206=""),"",F206-I206))</f>
        <v/>
      </c>
      <c r="R206" s="43" t="str">
        <f aca="false">IF($A206="","",IF(Q206="","",Q206+IF(O206="",0,O206)))</f>
        <v/>
      </c>
      <c r="S206" s="42"/>
      <c r="T206" s="43" t="str">
        <f aca="false">IF($A206="","",IF(R206="","",R206-IF(S206="",0,S206)))</f>
        <v/>
      </c>
      <c r="U206" s="43" t="str">
        <f aca="false">IF($A206="","",IF(I206="","",I206-SUM(J206:P206)))</f>
        <v/>
      </c>
      <c r="V206" s="6" t="s">
        <v>4455</v>
      </c>
      <c r="W206" s="9" t="s">
        <v>528</v>
      </c>
      <c r="X206" s="9" t="s">
        <v>4463</v>
      </c>
      <c r="AC206" s="9" t="s">
        <v>4369</v>
      </c>
      <c r="AD206" s="9" t="s">
        <v>4370</v>
      </c>
      <c r="AE206" s="9" t="s">
        <v>4371</v>
      </c>
    </row>
    <row r="207" customFormat="false" ht="15" hidden="false" customHeight="true" outlineLevel="0" collapsed="false">
      <c r="A207" s="6" t="s">
        <v>1193</v>
      </c>
      <c r="B207" s="6" t="s">
        <v>427</v>
      </c>
      <c r="C207" s="6" t="s">
        <v>432</v>
      </c>
      <c r="D207" s="6" t="n">
        <v>6</v>
      </c>
      <c r="E207" s="9" t="s">
        <v>4454</v>
      </c>
      <c r="F207" s="35" t="n">
        <v>640659</v>
      </c>
      <c r="G207" s="42"/>
      <c r="H207" s="42"/>
      <c r="I207" s="42"/>
      <c r="J207" s="42"/>
      <c r="K207" s="42"/>
      <c r="L207" s="42"/>
      <c r="M207" s="42"/>
      <c r="N207" s="42"/>
      <c r="O207" s="42"/>
      <c r="P207" s="42"/>
      <c r="Q207" s="43" t="str">
        <f aca="false">IF($A207="","",IF(OR(F207="",I207=""),"",F207-I207))</f>
        <v/>
      </c>
      <c r="R207" s="43" t="str">
        <f aca="false">IF($A207="","",IF(Q207="","",Q207+IF(O207="",0,O207)))</f>
        <v/>
      </c>
      <c r="S207" s="42"/>
      <c r="T207" s="43" t="str">
        <f aca="false">IF($A207="","",IF(R207="","",R207-IF(S207="",0,S207)))</f>
        <v/>
      </c>
      <c r="U207" s="43" t="str">
        <f aca="false">IF($A207="","",IF(I207="","",I207-SUM(J207:P207)))</f>
        <v/>
      </c>
      <c r="V207" s="6" t="s">
        <v>4455</v>
      </c>
      <c r="W207" s="9" t="s">
        <v>528</v>
      </c>
      <c r="X207" s="9" t="s">
        <v>4464</v>
      </c>
      <c r="AC207" s="9" t="s">
        <v>4369</v>
      </c>
      <c r="AD207" s="9" t="s">
        <v>4370</v>
      </c>
      <c r="AE207" s="9" t="s">
        <v>4371</v>
      </c>
    </row>
    <row r="208" customFormat="false" ht="15" hidden="false" customHeight="true" outlineLevel="0" collapsed="false">
      <c r="A208" s="6" t="s">
        <v>1196</v>
      </c>
      <c r="B208" s="6" t="s">
        <v>427</v>
      </c>
      <c r="C208" s="6" t="s">
        <v>432</v>
      </c>
      <c r="D208" s="6" t="n">
        <v>6</v>
      </c>
      <c r="E208" s="9" t="s">
        <v>4454</v>
      </c>
      <c r="F208" s="35" t="n">
        <v>39218</v>
      </c>
      <c r="G208" s="42"/>
      <c r="H208" s="42"/>
      <c r="I208" s="42"/>
      <c r="J208" s="42"/>
      <c r="K208" s="42"/>
      <c r="L208" s="42"/>
      <c r="M208" s="42"/>
      <c r="N208" s="42"/>
      <c r="O208" s="42"/>
      <c r="P208" s="42"/>
      <c r="Q208" s="43" t="str">
        <f aca="false">IF($A208="","",IF(OR(F208="",I208=""),"",F208-I208))</f>
        <v/>
      </c>
      <c r="R208" s="43" t="str">
        <f aca="false">IF($A208="","",IF(Q208="","",Q208+IF(O208="",0,O208)))</f>
        <v/>
      </c>
      <c r="S208" s="42"/>
      <c r="T208" s="43" t="str">
        <f aca="false">IF($A208="","",IF(R208="","",R208-IF(S208="",0,S208)))</f>
        <v/>
      </c>
      <c r="U208" s="43" t="str">
        <f aca="false">IF($A208="","",IF(I208="","",I208-SUM(J208:P208)))</f>
        <v/>
      </c>
      <c r="V208" s="6" t="s">
        <v>4455</v>
      </c>
      <c r="W208" s="9" t="s">
        <v>528</v>
      </c>
      <c r="X208" s="9" t="s">
        <v>4459</v>
      </c>
      <c r="AC208" s="9" t="s">
        <v>4369</v>
      </c>
      <c r="AD208" s="9" t="s">
        <v>4370</v>
      </c>
      <c r="AE208" s="9" t="s">
        <v>4371</v>
      </c>
    </row>
    <row r="209" customFormat="false" ht="15" hidden="false" customHeight="true" outlineLevel="0" collapsed="false">
      <c r="A209" s="6" t="s">
        <v>1198</v>
      </c>
      <c r="B209" s="6" t="s">
        <v>427</v>
      </c>
      <c r="C209" s="6" t="s">
        <v>432</v>
      </c>
      <c r="D209" s="6" t="n">
        <v>6</v>
      </c>
      <c r="E209" s="9" t="s">
        <v>4454</v>
      </c>
      <c r="F209" s="35" t="n">
        <v>642412</v>
      </c>
      <c r="G209" s="42"/>
      <c r="H209" s="42"/>
      <c r="I209" s="42"/>
      <c r="J209" s="42"/>
      <c r="K209" s="42"/>
      <c r="L209" s="42"/>
      <c r="M209" s="42"/>
      <c r="N209" s="42"/>
      <c r="O209" s="42"/>
      <c r="P209" s="42"/>
      <c r="Q209" s="43" t="str">
        <f aca="false">IF($A209="","",IF(OR(F209="",I209=""),"",F209-I209))</f>
        <v/>
      </c>
      <c r="R209" s="43" t="str">
        <f aca="false">IF($A209="","",IF(Q209="","",Q209+IF(O209="",0,O209)))</f>
        <v/>
      </c>
      <c r="S209" s="42"/>
      <c r="T209" s="43" t="str">
        <f aca="false">IF($A209="","",IF(R209="","",R209-IF(S209="",0,S209)))</f>
        <v/>
      </c>
      <c r="U209" s="43" t="str">
        <f aca="false">IF($A209="","",IF(I209="","",I209-SUM(J209:P209)))</f>
        <v/>
      </c>
      <c r="V209" s="6" t="s">
        <v>4455</v>
      </c>
      <c r="W209" s="9" t="s">
        <v>528</v>
      </c>
      <c r="X209" s="9" t="s">
        <v>4465</v>
      </c>
      <c r="AC209" s="9" t="s">
        <v>4369</v>
      </c>
      <c r="AD209" s="9" t="s">
        <v>4370</v>
      </c>
      <c r="AE209" s="9" t="s">
        <v>4371</v>
      </c>
    </row>
    <row r="210" customFormat="false" ht="15" hidden="false" customHeight="true" outlineLevel="0" collapsed="false">
      <c r="A210" s="6" t="s">
        <v>1201</v>
      </c>
      <c r="B210" s="6" t="s">
        <v>427</v>
      </c>
      <c r="C210" s="6" t="s">
        <v>432</v>
      </c>
      <c r="D210" s="6" t="n">
        <v>6</v>
      </c>
      <c r="E210" s="9" t="s">
        <v>4381</v>
      </c>
      <c r="F210" s="42"/>
      <c r="G210" s="42"/>
      <c r="H210" s="42"/>
      <c r="I210" s="42"/>
      <c r="J210" s="42"/>
      <c r="K210" s="42"/>
      <c r="L210" s="42"/>
      <c r="M210" s="42"/>
      <c r="N210" s="42"/>
      <c r="O210" s="42"/>
      <c r="P210" s="42"/>
      <c r="Q210" s="43" t="str">
        <f aca="false">IF($A210="","",IF(OR(F210="",I210=""),"",F210-I210))</f>
        <v/>
      </c>
      <c r="R210" s="43" t="str">
        <f aca="false">IF($A210="","",IF(Q210="","",Q210+IF(O210="",0,O210)))</f>
        <v/>
      </c>
      <c r="S210" s="42"/>
      <c r="T210" s="43" t="str">
        <f aca="false">IF($A210="","",IF(R210="","",R210-IF(S210="",0,S210)))</f>
        <v/>
      </c>
      <c r="U210" s="43" t="str">
        <f aca="false">IF($A210="","",IF(I210="","",I210-SUM(J210:P210)))</f>
        <v/>
      </c>
      <c r="V210" s="6" t="s">
        <v>4457</v>
      </c>
      <c r="W210" s="9" t="s">
        <v>528</v>
      </c>
      <c r="X210" s="9" t="s">
        <v>4466</v>
      </c>
      <c r="AC210" s="9" t="s">
        <v>4369</v>
      </c>
      <c r="AD210" s="9" t="s">
        <v>4370</v>
      </c>
      <c r="AE210" s="9" t="s">
        <v>4371</v>
      </c>
    </row>
    <row r="211" customFormat="false" ht="15" hidden="false" customHeight="true" outlineLevel="0" collapsed="false">
      <c r="A211" s="6" t="s">
        <v>1204</v>
      </c>
      <c r="B211" s="6" t="s">
        <v>427</v>
      </c>
      <c r="C211" s="6" t="s">
        <v>432</v>
      </c>
      <c r="D211" s="6" t="n">
        <v>6</v>
      </c>
      <c r="E211" s="9" t="s">
        <v>4454</v>
      </c>
      <c r="F211" s="35" t="n">
        <v>75220</v>
      </c>
      <c r="G211" s="42"/>
      <c r="H211" s="42"/>
      <c r="I211" s="42"/>
      <c r="J211" s="42"/>
      <c r="K211" s="42"/>
      <c r="L211" s="42"/>
      <c r="M211" s="42"/>
      <c r="N211" s="42"/>
      <c r="O211" s="42"/>
      <c r="P211" s="42"/>
      <c r="Q211" s="43" t="str">
        <f aca="false">IF($A211="","",IF(OR(F211="",I211=""),"",F211-I211))</f>
        <v/>
      </c>
      <c r="R211" s="43" t="str">
        <f aca="false">IF($A211="","",IF(Q211="","",Q211+IF(O211="",0,O211)))</f>
        <v/>
      </c>
      <c r="S211" s="42"/>
      <c r="T211" s="43" t="str">
        <f aca="false">IF($A211="","",IF(R211="","",R211-IF(S211="",0,S211)))</f>
        <v/>
      </c>
      <c r="U211" s="43" t="str">
        <f aca="false">IF($A211="","",IF(I211="","",I211-SUM(J211:P211)))</f>
        <v/>
      </c>
      <c r="V211" s="6" t="s">
        <v>4455</v>
      </c>
      <c r="W211" s="9" t="s">
        <v>528</v>
      </c>
      <c r="X211" s="9" t="s">
        <v>4467</v>
      </c>
      <c r="AC211" s="9" t="s">
        <v>4369</v>
      </c>
      <c r="AD211" s="9" t="s">
        <v>4370</v>
      </c>
      <c r="AE211" s="9" t="s">
        <v>4371</v>
      </c>
    </row>
    <row r="212" customFormat="false" ht="15" hidden="false" customHeight="true" outlineLevel="0" collapsed="false">
      <c r="A212" s="6" t="s">
        <v>1207</v>
      </c>
      <c r="B212" s="6" t="s">
        <v>427</v>
      </c>
      <c r="C212" s="6" t="s">
        <v>432</v>
      </c>
      <c r="D212" s="6" t="n">
        <v>6</v>
      </c>
      <c r="E212" s="9" t="s">
        <v>4381</v>
      </c>
      <c r="F212" s="42"/>
      <c r="G212" s="42"/>
      <c r="H212" s="42"/>
      <c r="I212" s="42"/>
      <c r="J212" s="42"/>
      <c r="K212" s="42"/>
      <c r="L212" s="42"/>
      <c r="M212" s="42"/>
      <c r="N212" s="42"/>
      <c r="O212" s="42"/>
      <c r="P212" s="42"/>
      <c r="Q212" s="43" t="str">
        <f aca="false">IF($A212="","",IF(OR(F212="",I212=""),"",F212-I212))</f>
        <v/>
      </c>
      <c r="R212" s="43" t="str">
        <f aca="false">IF($A212="","",IF(Q212="","",Q212+IF(O212="",0,O212)))</f>
        <v/>
      </c>
      <c r="S212" s="42"/>
      <c r="T212" s="43" t="str">
        <f aca="false">IF($A212="","",IF(R212="","",R212-IF(S212="",0,S212)))</f>
        <v/>
      </c>
      <c r="U212" s="43" t="str">
        <f aca="false">IF($A212="","",IF(I212="","",I212-SUM(J212:P212)))</f>
        <v/>
      </c>
      <c r="V212" s="6" t="s">
        <v>4457</v>
      </c>
      <c r="W212" s="9" t="s">
        <v>528</v>
      </c>
      <c r="X212" s="9" t="s">
        <v>4458</v>
      </c>
      <c r="AC212" s="9" t="s">
        <v>4369</v>
      </c>
      <c r="AD212" s="9" t="s">
        <v>4370</v>
      </c>
      <c r="AE212" s="9" t="s">
        <v>4371</v>
      </c>
    </row>
    <row r="213" customFormat="false" ht="15" hidden="false" customHeight="true" outlineLevel="0" collapsed="false">
      <c r="A213" s="6" t="s">
        <v>1209</v>
      </c>
      <c r="B213" s="6" t="s">
        <v>427</v>
      </c>
      <c r="C213" s="6" t="s">
        <v>432</v>
      </c>
      <c r="D213" s="6" t="n">
        <v>6</v>
      </c>
      <c r="E213" s="9" t="s">
        <v>4454</v>
      </c>
      <c r="F213" s="35" t="n">
        <v>287129</v>
      </c>
      <c r="G213" s="42"/>
      <c r="H213" s="42"/>
      <c r="I213" s="42"/>
      <c r="J213" s="42"/>
      <c r="K213" s="42"/>
      <c r="L213" s="42"/>
      <c r="M213" s="42"/>
      <c r="N213" s="42"/>
      <c r="O213" s="42"/>
      <c r="P213" s="42"/>
      <c r="Q213" s="43" t="str">
        <f aca="false">IF($A213="","",IF(OR(F213="",I213=""),"",F213-I213))</f>
        <v/>
      </c>
      <c r="R213" s="43" t="str">
        <f aca="false">IF($A213="","",IF(Q213="","",Q213+IF(O213="",0,O213)))</f>
        <v/>
      </c>
      <c r="S213" s="42"/>
      <c r="T213" s="43" t="str">
        <f aca="false">IF($A213="","",IF(R213="","",R213-IF(S213="",0,S213)))</f>
        <v/>
      </c>
      <c r="U213" s="43" t="str">
        <f aca="false">IF($A213="","",IF(I213="","",I213-SUM(J213:P213)))</f>
        <v/>
      </c>
      <c r="V213" s="6" t="s">
        <v>4455</v>
      </c>
      <c r="W213" s="9" t="s">
        <v>528</v>
      </c>
      <c r="X213" s="9" t="s">
        <v>4459</v>
      </c>
      <c r="AC213" s="9" t="s">
        <v>4369</v>
      </c>
      <c r="AD213" s="9" t="s">
        <v>4370</v>
      </c>
      <c r="AE213" s="9" t="s">
        <v>4371</v>
      </c>
    </row>
    <row r="214" customFormat="false" ht="15" hidden="false" customHeight="true" outlineLevel="0" collapsed="false">
      <c r="A214" s="6" t="s">
        <v>1211</v>
      </c>
      <c r="B214" s="6" t="s">
        <v>427</v>
      </c>
      <c r="C214" s="6" t="s">
        <v>432</v>
      </c>
      <c r="D214" s="6" t="n">
        <v>6</v>
      </c>
      <c r="E214" s="9" t="s">
        <v>4454</v>
      </c>
      <c r="F214" s="35" t="n">
        <v>189374</v>
      </c>
      <c r="G214" s="42"/>
      <c r="H214" s="42"/>
      <c r="I214" s="42"/>
      <c r="J214" s="42"/>
      <c r="K214" s="42"/>
      <c r="L214" s="42"/>
      <c r="M214" s="42"/>
      <c r="N214" s="42"/>
      <c r="O214" s="42"/>
      <c r="P214" s="42"/>
      <c r="Q214" s="43" t="str">
        <f aca="false">IF($A214="","",IF(OR(F214="",I214=""),"",F214-I214))</f>
        <v/>
      </c>
      <c r="R214" s="43" t="str">
        <f aca="false">IF($A214="","",IF(Q214="","",Q214+IF(O214="",0,O214)))</f>
        <v/>
      </c>
      <c r="S214" s="42"/>
      <c r="T214" s="43" t="str">
        <f aca="false">IF($A214="","",IF(R214="","",R214-IF(S214="",0,S214)))</f>
        <v/>
      </c>
      <c r="U214" s="43" t="str">
        <f aca="false">IF($A214="","",IF(I214="","",I214-SUM(J214:P214)))</f>
        <v/>
      </c>
      <c r="V214" s="6" t="s">
        <v>4455</v>
      </c>
      <c r="W214" s="9" t="s">
        <v>528</v>
      </c>
      <c r="X214" s="9" t="s">
        <v>4459</v>
      </c>
      <c r="AC214" s="9" t="s">
        <v>4369</v>
      </c>
      <c r="AD214" s="9" t="s">
        <v>4370</v>
      </c>
      <c r="AE214" s="9" t="s">
        <v>4371</v>
      </c>
    </row>
    <row r="215" customFormat="false" ht="15" hidden="false" customHeight="true" outlineLevel="0" collapsed="false">
      <c r="A215" s="6" t="s">
        <v>1213</v>
      </c>
      <c r="B215" s="6" t="s">
        <v>427</v>
      </c>
      <c r="C215" s="6" t="s">
        <v>432</v>
      </c>
      <c r="D215" s="6" t="n">
        <v>6</v>
      </c>
      <c r="E215" s="9" t="s">
        <v>4454</v>
      </c>
      <c r="F215" s="35" t="n">
        <v>126830</v>
      </c>
      <c r="G215" s="42"/>
      <c r="H215" s="42"/>
      <c r="I215" s="42"/>
      <c r="J215" s="42"/>
      <c r="K215" s="42"/>
      <c r="L215" s="42"/>
      <c r="M215" s="42"/>
      <c r="N215" s="42"/>
      <c r="O215" s="42"/>
      <c r="P215" s="42"/>
      <c r="Q215" s="43" t="str">
        <f aca="false">IF($A215="","",IF(OR(F215="",I215=""),"",F215-I215))</f>
        <v/>
      </c>
      <c r="R215" s="43" t="str">
        <f aca="false">IF($A215="","",IF(Q215="","",Q215+IF(O215="",0,O215)))</f>
        <v/>
      </c>
      <c r="S215" s="42"/>
      <c r="T215" s="43" t="str">
        <f aca="false">IF($A215="","",IF(R215="","",R215-IF(S215="",0,S215)))</f>
        <v/>
      </c>
      <c r="U215" s="43" t="str">
        <f aca="false">IF($A215="","",IF(I215="","",I215-SUM(J215:P215)))</f>
        <v/>
      </c>
      <c r="V215" s="6" t="s">
        <v>4455</v>
      </c>
      <c r="W215" s="9" t="s">
        <v>528</v>
      </c>
      <c r="X215" s="9" t="s">
        <v>4459</v>
      </c>
      <c r="AC215" s="9" t="s">
        <v>4369</v>
      </c>
      <c r="AD215" s="9" t="s">
        <v>4370</v>
      </c>
      <c r="AE215" s="9" t="s">
        <v>4371</v>
      </c>
    </row>
    <row r="216" customFormat="false" ht="15" hidden="false" customHeight="true" outlineLevel="0" collapsed="false">
      <c r="A216" s="6" t="s">
        <v>1215</v>
      </c>
      <c r="B216" s="6" t="s">
        <v>427</v>
      </c>
      <c r="C216" s="6" t="s">
        <v>432</v>
      </c>
      <c r="D216" s="6" t="n">
        <v>6</v>
      </c>
      <c r="E216" s="9" t="s">
        <v>4454</v>
      </c>
      <c r="F216" s="35" t="n">
        <v>1839000</v>
      </c>
      <c r="G216" s="42"/>
      <c r="H216" s="42"/>
      <c r="I216" s="42"/>
      <c r="J216" s="42"/>
      <c r="K216" s="42"/>
      <c r="L216" s="42"/>
      <c r="M216" s="42"/>
      <c r="N216" s="42"/>
      <c r="O216" s="42"/>
      <c r="P216" s="42"/>
      <c r="Q216" s="43" t="str">
        <f aca="false">IF($A216="","",IF(OR(F216="",I216=""),"",F216-I216))</f>
        <v/>
      </c>
      <c r="R216" s="43" t="str">
        <f aca="false">IF($A216="","",IF(Q216="","",Q216+IF(O216="",0,O216)))</f>
        <v/>
      </c>
      <c r="S216" s="42"/>
      <c r="T216" s="43" t="str">
        <f aca="false">IF($A216="","",IF(R216="","",R216-IF(S216="",0,S216)))</f>
        <v/>
      </c>
      <c r="U216" s="43" t="str">
        <f aca="false">IF($A216="","",IF(I216="","",I216-SUM(J216:P216)))</f>
        <v/>
      </c>
      <c r="V216" s="6" t="s">
        <v>4455</v>
      </c>
      <c r="W216" s="9" t="s">
        <v>528</v>
      </c>
      <c r="X216" s="9" t="s">
        <v>4468</v>
      </c>
      <c r="AC216" s="9" t="s">
        <v>4369</v>
      </c>
      <c r="AD216" s="9" t="s">
        <v>4370</v>
      </c>
      <c r="AE216" s="9" t="s">
        <v>4371</v>
      </c>
    </row>
    <row r="217" customFormat="false" ht="15" hidden="false" customHeight="true" outlineLevel="0" collapsed="false">
      <c r="A217" s="6" t="s">
        <v>1219</v>
      </c>
      <c r="B217" s="6" t="s">
        <v>427</v>
      </c>
      <c r="C217" s="6" t="s">
        <v>432</v>
      </c>
      <c r="D217" s="6" t="n">
        <v>6</v>
      </c>
      <c r="E217" s="9" t="s">
        <v>4454</v>
      </c>
      <c r="F217" s="35" t="n">
        <v>118679</v>
      </c>
      <c r="G217" s="42"/>
      <c r="H217" s="42"/>
      <c r="I217" s="42"/>
      <c r="J217" s="42"/>
      <c r="K217" s="42"/>
      <c r="L217" s="42"/>
      <c r="M217" s="42"/>
      <c r="N217" s="42"/>
      <c r="O217" s="42"/>
      <c r="P217" s="42"/>
      <c r="Q217" s="43" t="str">
        <f aca="false">IF($A217="","",IF(OR(F217="",I217=""),"",F217-I217))</f>
        <v/>
      </c>
      <c r="R217" s="43" t="str">
        <f aca="false">IF($A217="","",IF(Q217="","",Q217+IF(O217="",0,O217)))</f>
        <v/>
      </c>
      <c r="S217" s="42"/>
      <c r="T217" s="43" t="str">
        <f aca="false">IF($A217="","",IF(R217="","",R217-IF(S217="",0,S217)))</f>
        <v/>
      </c>
      <c r="U217" s="43" t="str">
        <f aca="false">IF($A217="","",IF(I217="","",I217-SUM(J217:P217)))</f>
        <v/>
      </c>
      <c r="V217" s="6" t="s">
        <v>4455</v>
      </c>
      <c r="W217" s="9" t="s">
        <v>528</v>
      </c>
      <c r="X217" s="9" t="s">
        <v>4469</v>
      </c>
      <c r="AC217" s="9" t="s">
        <v>4369</v>
      </c>
      <c r="AD217" s="9" t="s">
        <v>4370</v>
      </c>
      <c r="AE217" s="9" t="s">
        <v>4371</v>
      </c>
    </row>
    <row r="218" customFormat="false" ht="15" hidden="false" customHeight="true" outlineLevel="0" collapsed="false">
      <c r="A218" s="6" t="s">
        <v>1222</v>
      </c>
      <c r="B218" s="6" t="s">
        <v>427</v>
      </c>
      <c r="C218" s="6" t="s">
        <v>432</v>
      </c>
      <c r="D218" s="6" t="n">
        <v>6</v>
      </c>
      <c r="E218" s="9" t="s">
        <v>4454</v>
      </c>
      <c r="F218" s="35" t="n">
        <v>180356</v>
      </c>
      <c r="G218" s="42"/>
      <c r="H218" s="42"/>
      <c r="I218" s="42"/>
      <c r="J218" s="42"/>
      <c r="K218" s="42"/>
      <c r="L218" s="42"/>
      <c r="M218" s="42"/>
      <c r="N218" s="42"/>
      <c r="O218" s="42"/>
      <c r="P218" s="42"/>
      <c r="Q218" s="43" t="str">
        <f aca="false">IF($A218="","",IF(OR(F218="",I218=""),"",F218-I218))</f>
        <v/>
      </c>
      <c r="R218" s="43" t="str">
        <f aca="false">IF($A218="","",IF(Q218="","",Q218+IF(O218="",0,O218)))</f>
        <v/>
      </c>
      <c r="S218" s="42"/>
      <c r="T218" s="43" t="str">
        <f aca="false">IF($A218="","",IF(R218="","",R218-IF(S218="",0,S218)))</f>
        <v/>
      </c>
      <c r="U218" s="43" t="str">
        <f aca="false">IF($A218="","",IF(I218="","",I218-SUM(J218:P218)))</f>
        <v/>
      </c>
      <c r="V218" s="6" t="s">
        <v>4455</v>
      </c>
      <c r="W218" s="9" t="s">
        <v>528</v>
      </c>
      <c r="X218" s="9" t="s">
        <v>4470</v>
      </c>
      <c r="AC218" s="9" t="s">
        <v>4369</v>
      </c>
      <c r="AD218" s="9" t="s">
        <v>4370</v>
      </c>
      <c r="AE218" s="9" t="s">
        <v>4371</v>
      </c>
    </row>
    <row r="219" customFormat="false" ht="15" hidden="false" customHeight="true" outlineLevel="0" collapsed="false">
      <c r="A219" s="6" t="s">
        <v>1225</v>
      </c>
      <c r="B219" s="6" t="s">
        <v>427</v>
      </c>
      <c r="C219" s="6" t="s">
        <v>432</v>
      </c>
      <c r="D219" s="6" t="n">
        <v>6</v>
      </c>
      <c r="E219" s="9" t="s">
        <v>4454</v>
      </c>
      <c r="F219" s="35" t="n">
        <v>412034</v>
      </c>
      <c r="G219" s="42"/>
      <c r="H219" s="42"/>
      <c r="I219" s="42"/>
      <c r="J219" s="42"/>
      <c r="K219" s="42"/>
      <c r="L219" s="42"/>
      <c r="M219" s="42"/>
      <c r="N219" s="42"/>
      <c r="O219" s="42"/>
      <c r="P219" s="42"/>
      <c r="Q219" s="43" t="str">
        <f aca="false">IF($A219="","",IF(OR(F219="",I219=""),"",F219-I219))</f>
        <v/>
      </c>
      <c r="R219" s="43" t="str">
        <f aca="false">IF($A219="","",IF(Q219="","",Q219+IF(O219="",0,O219)))</f>
        <v/>
      </c>
      <c r="S219" s="42"/>
      <c r="T219" s="43" t="str">
        <f aca="false">IF($A219="","",IF(R219="","",R219-IF(S219="",0,S219)))</f>
        <v/>
      </c>
      <c r="U219" s="43" t="str">
        <f aca="false">IF($A219="","",IF(I219="","",I219-SUM(J219:P219)))</f>
        <v/>
      </c>
      <c r="V219" s="6" t="s">
        <v>4455</v>
      </c>
      <c r="W219" s="9" t="s">
        <v>528</v>
      </c>
      <c r="X219" s="9" t="s">
        <v>4471</v>
      </c>
      <c r="AC219" s="9" t="s">
        <v>4369</v>
      </c>
      <c r="AD219" s="9" t="s">
        <v>4370</v>
      </c>
      <c r="AE219" s="9" t="s">
        <v>4371</v>
      </c>
    </row>
    <row r="220" customFormat="false" ht="15" hidden="false" customHeight="true" outlineLevel="0" collapsed="false">
      <c r="A220" s="6" t="s">
        <v>1228</v>
      </c>
      <c r="B220" s="6" t="s">
        <v>427</v>
      </c>
      <c r="C220" s="6" t="s">
        <v>432</v>
      </c>
      <c r="D220" s="6" t="n">
        <v>6</v>
      </c>
      <c r="E220" s="9" t="s">
        <v>4454</v>
      </c>
      <c r="F220" s="35" t="n">
        <v>123923</v>
      </c>
      <c r="G220" s="42"/>
      <c r="H220" s="42"/>
      <c r="I220" s="42"/>
      <c r="J220" s="42"/>
      <c r="K220" s="42"/>
      <c r="L220" s="42"/>
      <c r="M220" s="42"/>
      <c r="N220" s="42"/>
      <c r="O220" s="42"/>
      <c r="P220" s="42"/>
      <c r="Q220" s="43" t="str">
        <f aca="false">IF($A220="","",IF(OR(F220="",I220=""),"",F220-I220))</f>
        <v/>
      </c>
      <c r="R220" s="43" t="str">
        <f aca="false">IF($A220="","",IF(Q220="","",Q220+IF(O220="",0,O220)))</f>
        <v/>
      </c>
      <c r="S220" s="42"/>
      <c r="T220" s="43" t="str">
        <f aca="false">IF($A220="","",IF(R220="","",R220-IF(S220="",0,S220)))</f>
        <v/>
      </c>
      <c r="U220" s="43" t="str">
        <f aca="false">IF($A220="","",IF(I220="","",I220-SUM(J220:P220)))</f>
        <v/>
      </c>
      <c r="V220" s="6" t="s">
        <v>4455</v>
      </c>
      <c r="W220" s="9" t="s">
        <v>528</v>
      </c>
      <c r="X220" s="9" t="s">
        <v>4459</v>
      </c>
      <c r="AC220" s="9" t="s">
        <v>4369</v>
      </c>
      <c r="AD220" s="9" t="s">
        <v>4370</v>
      </c>
      <c r="AE220" s="9" t="s">
        <v>4371</v>
      </c>
    </row>
    <row r="221" customFormat="false" ht="15" hidden="false" customHeight="true" outlineLevel="0" collapsed="false">
      <c r="A221" s="6" t="s">
        <v>1230</v>
      </c>
      <c r="B221" s="6" t="s">
        <v>427</v>
      </c>
      <c r="C221" s="6" t="s">
        <v>432</v>
      </c>
      <c r="D221" s="6" t="n">
        <v>6</v>
      </c>
      <c r="E221" s="9" t="s">
        <v>4454</v>
      </c>
      <c r="F221" s="35" t="n">
        <v>250288</v>
      </c>
      <c r="G221" s="42"/>
      <c r="H221" s="42"/>
      <c r="I221" s="42"/>
      <c r="J221" s="42"/>
      <c r="K221" s="42"/>
      <c r="L221" s="42"/>
      <c r="M221" s="42"/>
      <c r="N221" s="42"/>
      <c r="O221" s="42"/>
      <c r="P221" s="42"/>
      <c r="Q221" s="43" t="str">
        <f aca="false">IF($A221="","",IF(OR(F221="",I221=""),"",F221-I221))</f>
        <v/>
      </c>
      <c r="R221" s="43" t="str">
        <f aca="false">IF($A221="","",IF(Q221="","",Q221+IF(O221="",0,O221)))</f>
        <v/>
      </c>
      <c r="S221" s="42"/>
      <c r="T221" s="43" t="str">
        <f aca="false">IF($A221="","",IF(R221="","",R221-IF(S221="",0,S221)))</f>
        <v/>
      </c>
      <c r="U221" s="43" t="str">
        <f aca="false">IF($A221="","",IF(I221="","",I221-SUM(J221:P221)))</f>
        <v/>
      </c>
      <c r="V221" s="6" t="s">
        <v>4455</v>
      </c>
      <c r="W221" s="9" t="s">
        <v>528</v>
      </c>
      <c r="X221" s="9" t="s">
        <v>4472</v>
      </c>
      <c r="AC221" s="9" t="s">
        <v>4369</v>
      </c>
      <c r="AD221" s="9" t="s">
        <v>4370</v>
      </c>
      <c r="AE221" s="9" t="s">
        <v>4371</v>
      </c>
    </row>
    <row r="222" customFormat="false" ht="15" hidden="false" customHeight="true" outlineLevel="0" collapsed="false">
      <c r="A222" s="6" t="s">
        <v>1233</v>
      </c>
      <c r="B222" s="6" t="s">
        <v>427</v>
      </c>
      <c r="C222" s="6" t="s">
        <v>432</v>
      </c>
      <c r="D222" s="6" t="n">
        <v>6</v>
      </c>
      <c r="E222" s="9" t="s">
        <v>4454</v>
      </c>
      <c r="F222" s="35" t="n">
        <v>354254</v>
      </c>
      <c r="G222" s="42"/>
      <c r="H222" s="42"/>
      <c r="I222" s="42"/>
      <c r="J222" s="42"/>
      <c r="K222" s="42"/>
      <c r="L222" s="42"/>
      <c r="M222" s="42"/>
      <c r="N222" s="42"/>
      <c r="O222" s="42"/>
      <c r="P222" s="42"/>
      <c r="Q222" s="43" t="str">
        <f aca="false">IF($A222="","",IF(OR(F222="",I222=""),"",F222-I222))</f>
        <v/>
      </c>
      <c r="R222" s="43" t="str">
        <f aca="false">IF($A222="","",IF(Q222="","",Q222+IF(O222="",0,O222)))</f>
        <v/>
      </c>
      <c r="S222" s="42"/>
      <c r="T222" s="43" t="str">
        <f aca="false">IF($A222="","",IF(R222="","",R222-IF(S222="",0,S222)))</f>
        <v/>
      </c>
      <c r="U222" s="43" t="str">
        <f aca="false">IF($A222="","",IF(I222="","",I222-SUM(J222:P222)))</f>
        <v/>
      </c>
      <c r="V222" s="6" t="s">
        <v>4455</v>
      </c>
      <c r="W222" s="9" t="s">
        <v>528</v>
      </c>
      <c r="X222" s="9" t="s">
        <v>4473</v>
      </c>
      <c r="AC222" s="9" t="s">
        <v>4369</v>
      </c>
      <c r="AD222" s="9" t="s">
        <v>4370</v>
      </c>
      <c r="AE222" s="9" t="s">
        <v>4371</v>
      </c>
    </row>
    <row r="223" customFormat="false" ht="15" hidden="false" customHeight="true" outlineLevel="0" collapsed="false">
      <c r="A223" s="6" t="s">
        <v>1236</v>
      </c>
      <c r="B223" s="6" t="s">
        <v>427</v>
      </c>
      <c r="C223" s="6" t="s">
        <v>432</v>
      </c>
      <c r="D223" s="6" t="n">
        <v>6</v>
      </c>
      <c r="E223" s="9" t="s">
        <v>4381</v>
      </c>
      <c r="F223" s="42"/>
      <c r="G223" s="42"/>
      <c r="H223" s="42"/>
      <c r="I223" s="42"/>
      <c r="J223" s="42"/>
      <c r="K223" s="42"/>
      <c r="L223" s="42"/>
      <c r="M223" s="42"/>
      <c r="N223" s="42"/>
      <c r="O223" s="42"/>
      <c r="P223" s="42"/>
      <c r="Q223" s="43" t="str">
        <f aca="false">IF($A223="","",IF(OR(F223="",I223=""),"",F223-I223))</f>
        <v/>
      </c>
      <c r="R223" s="43" t="str">
        <f aca="false">IF($A223="","",IF(Q223="","",Q223+IF(O223="",0,O223)))</f>
        <v/>
      </c>
      <c r="S223" s="42"/>
      <c r="T223" s="43" t="str">
        <f aca="false">IF($A223="","",IF(R223="","",R223-IF(S223="",0,S223)))</f>
        <v/>
      </c>
      <c r="U223" s="43" t="str">
        <f aca="false">IF($A223="","",IF(I223="","",I223-SUM(J223:P223)))</f>
        <v/>
      </c>
      <c r="V223" s="6" t="s">
        <v>4457</v>
      </c>
      <c r="W223" s="9" t="s">
        <v>528</v>
      </c>
      <c r="X223" s="9" t="s">
        <v>4474</v>
      </c>
      <c r="AC223" s="9" t="s">
        <v>4369</v>
      </c>
      <c r="AD223" s="9" t="s">
        <v>4370</v>
      </c>
      <c r="AE223" s="9" t="s">
        <v>4371</v>
      </c>
    </row>
    <row r="224" customFormat="false" ht="15" hidden="false" customHeight="true" outlineLevel="0" collapsed="false">
      <c r="A224" s="6" t="s">
        <v>1239</v>
      </c>
      <c r="B224" s="6" t="s">
        <v>427</v>
      </c>
      <c r="C224" s="6" t="s">
        <v>432</v>
      </c>
      <c r="D224" s="6" t="n">
        <v>6</v>
      </c>
      <c r="E224" s="9" t="s">
        <v>4381</v>
      </c>
      <c r="F224" s="42"/>
      <c r="G224" s="42"/>
      <c r="H224" s="42"/>
      <c r="I224" s="42"/>
      <c r="J224" s="42"/>
      <c r="K224" s="42"/>
      <c r="L224" s="42"/>
      <c r="M224" s="42"/>
      <c r="N224" s="42"/>
      <c r="O224" s="42"/>
      <c r="P224" s="42"/>
      <c r="Q224" s="43" t="str">
        <f aca="false">IF($A224="","",IF(OR(F224="",I224=""),"",F224-I224))</f>
        <v/>
      </c>
      <c r="R224" s="43" t="str">
        <f aca="false">IF($A224="","",IF(Q224="","",Q224+IF(O224="",0,O224)))</f>
        <v/>
      </c>
      <c r="S224" s="42"/>
      <c r="T224" s="43" t="str">
        <f aca="false">IF($A224="","",IF(R224="","",R224-IF(S224="",0,S224)))</f>
        <v/>
      </c>
      <c r="U224" s="43" t="str">
        <f aca="false">IF($A224="","",IF(I224="","",I224-SUM(J224:P224)))</f>
        <v/>
      </c>
      <c r="V224" s="6" t="s">
        <v>4457</v>
      </c>
      <c r="W224" s="9" t="s">
        <v>528</v>
      </c>
      <c r="X224" s="9" t="s">
        <v>4475</v>
      </c>
      <c r="AC224" s="9" t="s">
        <v>4369</v>
      </c>
      <c r="AD224" s="9" t="s">
        <v>4370</v>
      </c>
      <c r="AE224" s="9" t="s">
        <v>4371</v>
      </c>
    </row>
    <row r="225" customFormat="false" ht="15" hidden="false" customHeight="true" outlineLevel="0" collapsed="false">
      <c r="A225" s="6" t="s">
        <v>1243</v>
      </c>
      <c r="B225" s="6" t="s">
        <v>427</v>
      </c>
      <c r="C225" s="6" t="s">
        <v>432</v>
      </c>
      <c r="D225" s="6" t="n">
        <v>6</v>
      </c>
      <c r="E225" s="9" t="s">
        <v>4454</v>
      </c>
      <c r="F225" s="35" t="n">
        <v>92055</v>
      </c>
      <c r="G225" s="42"/>
      <c r="H225" s="42"/>
      <c r="I225" s="42"/>
      <c r="J225" s="42"/>
      <c r="K225" s="42"/>
      <c r="L225" s="42"/>
      <c r="M225" s="42"/>
      <c r="N225" s="42"/>
      <c r="O225" s="42"/>
      <c r="P225" s="42"/>
      <c r="Q225" s="43" t="str">
        <f aca="false">IF($A225="","",IF(OR(F225="",I225=""),"",F225-I225))</f>
        <v/>
      </c>
      <c r="R225" s="43" t="str">
        <f aca="false">IF($A225="","",IF(Q225="","",Q225+IF(O225="",0,O225)))</f>
        <v/>
      </c>
      <c r="S225" s="42"/>
      <c r="T225" s="43" t="str">
        <f aca="false">IF($A225="","",IF(R225="","",R225-IF(S225="",0,S225)))</f>
        <v/>
      </c>
      <c r="U225" s="43" t="str">
        <f aca="false">IF($A225="","",IF(I225="","",I225-SUM(J225:P225)))</f>
        <v/>
      </c>
      <c r="V225" s="6" t="s">
        <v>4455</v>
      </c>
      <c r="W225" s="9" t="s">
        <v>528</v>
      </c>
      <c r="X225" s="9" t="s">
        <v>4459</v>
      </c>
      <c r="AC225" s="9" t="s">
        <v>4369</v>
      </c>
      <c r="AD225" s="9" t="s">
        <v>4370</v>
      </c>
      <c r="AE225" s="9" t="s">
        <v>4371</v>
      </c>
    </row>
    <row r="226" customFormat="false" ht="15" hidden="false" customHeight="true" outlineLevel="0" collapsed="false">
      <c r="A226" s="6" t="s">
        <v>1245</v>
      </c>
      <c r="B226" s="6" t="s">
        <v>427</v>
      </c>
      <c r="C226" s="6" t="s">
        <v>432</v>
      </c>
      <c r="D226" s="6" t="n">
        <v>6</v>
      </c>
      <c r="E226" s="9" t="s">
        <v>4381</v>
      </c>
      <c r="F226" s="42"/>
      <c r="G226" s="42"/>
      <c r="H226" s="42"/>
      <c r="I226" s="42"/>
      <c r="J226" s="42"/>
      <c r="K226" s="42"/>
      <c r="L226" s="42"/>
      <c r="M226" s="42"/>
      <c r="N226" s="42"/>
      <c r="O226" s="42"/>
      <c r="P226" s="42"/>
      <c r="Q226" s="43" t="str">
        <f aca="false">IF($A226="","",IF(OR(F226="",I226=""),"",F226-I226))</f>
        <v/>
      </c>
      <c r="R226" s="43" t="str">
        <f aca="false">IF($A226="","",IF(Q226="","",Q226+IF(O226="",0,O226)))</f>
        <v/>
      </c>
      <c r="S226" s="42"/>
      <c r="T226" s="43" t="str">
        <f aca="false">IF($A226="","",IF(R226="","",R226-IF(S226="",0,S226)))</f>
        <v/>
      </c>
      <c r="U226" s="43" t="str">
        <f aca="false">IF($A226="","",IF(I226="","",I226-SUM(J226:P226)))</f>
        <v/>
      </c>
      <c r="V226" s="6" t="s">
        <v>4457</v>
      </c>
      <c r="W226" s="9" t="s">
        <v>528</v>
      </c>
      <c r="X226" s="9" t="s">
        <v>4476</v>
      </c>
      <c r="AC226" s="9" t="s">
        <v>4369</v>
      </c>
      <c r="AD226" s="9" t="s">
        <v>4370</v>
      </c>
      <c r="AE226" s="9" t="s">
        <v>4371</v>
      </c>
    </row>
    <row r="227" customFormat="false" ht="15" hidden="false" customHeight="true" outlineLevel="0" collapsed="false">
      <c r="A227" s="6" t="s">
        <v>1248</v>
      </c>
      <c r="B227" s="6" t="s">
        <v>427</v>
      </c>
      <c r="C227" s="6" t="s">
        <v>432</v>
      </c>
      <c r="D227" s="6" t="n">
        <v>6</v>
      </c>
      <c r="E227" s="9" t="s">
        <v>4381</v>
      </c>
      <c r="F227" s="42"/>
      <c r="G227" s="42"/>
      <c r="H227" s="42"/>
      <c r="I227" s="42"/>
      <c r="J227" s="42"/>
      <c r="K227" s="42"/>
      <c r="L227" s="42"/>
      <c r="M227" s="42"/>
      <c r="N227" s="42"/>
      <c r="O227" s="42"/>
      <c r="P227" s="42"/>
      <c r="Q227" s="43" t="str">
        <f aca="false">IF($A227="","",IF(OR(F227="",I227=""),"",F227-I227))</f>
        <v/>
      </c>
      <c r="R227" s="43" t="str">
        <f aca="false">IF($A227="","",IF(Q227="","",Q227+IF(O227="",0,O227)))</f>
        <v/>
      </c>
      <c r="S227" s="42"/>
      <c r="T227" s="43" t="str">
        <f aca="false">IF($A227="","",IF(R227="","",R227-IF(S227="",0,S227)))</f>
        <v/>
      </c>
      <c r="U227" s="43" t="str">
        <f aca="false">IF($A227="","",IF(I227="","",I227-SUM(J227:P227)))</f>
        <v/>
      </c>
      <c r="V227" s="6" t="s">
        <v>4457</v>
      </c>
      <c r="W227" s="9" t="s">
        <v>528</v>
      </c>
      <c r="X227" s="9" t="s">
        <v>4477</v>
      </c>
      <c r="AC227" s="9" t="s">
        <v>4369</v>
      </c>
      <c r="AD227" s="9" t="s">
        <v>4370</v>
      </c>
      <c r="AE227" s="9" t="s">
        <v>4371</v>
      </c>
    </row>
    <row r="228" customFormat="false" ht="15" hidden="false" customHeight="true" outlineLevel="0" collapsed="false">
      <c r="A228" s="6" t="s">
        <v>1251</v>
      </c>
      <c r="B228" s="6" t="s">
        <v>427</v>
      </c>
      <c r="C228" s="6" t="s">
        <v>432</v>
      </c>
      <c r="D228" s="6" t="n">
        <v>6</v>
      </c>
      <c r="E228" s="9" t="s">
        <v>4454</v>
      </c>
      <c r="F228" s="35" t="n">
        <v>202859</v>
      </c>
      <c r="G228" s="42"/>
      <c r="H228" s="42"/>
      <c r="I228" s="42"/>
      <c r="J228" s="42"/>
      <c r="K228" s="42"/>
      <c r="L228" s="42"/>
      <c r="M228" s="42"/>
      <c r="N228" s="42"/>
      <c r="O228" s="42"/>
      <c r="P228" s="42"/>
      <c r="Q228" s="43" t="str">
        <f aca="false">IF($A228="","",IF(OR(F228="",I228=""),"",F228-I228))</f>
        <v/>
      </c>
      <c r="R228" s="43" t="str">
        <f aca="false">IF($A228="","",IF(Q228="","",Q228+IF(O228="",0,O228)))</f>
        <v/>
      </c>
      <c r="S228" s="42"/>
      <c r="T228" s="43" t="str">
        <f aca="false">IF($A228="","",IF(R228="","",R228-IF(S228="",0,S228)))</f>
        <v/>
      </c>
      <c r="U228" s="43" t="str">
        <f aca="false">IF($A228="","",IF(I228="","",I228-SUM(J228:P228)))</f>
        <v/>
      </c>
      <c r="V228" s="6" t="s">
        <v>4455</v>
      </c>
      <c r="W228" s="9" t="s">
        <v>528</v>
      </c>
      <c r="X228" s="9" t="s">
        <v>4459</v>
      </c>
      <c r="AC228" s="9" t="s">
        <v>4369</v>
      </c>
      <c r="AD228" s="9" t="s">
        <v>4370</v>
      </c>
      <c r="AE228" s="9" t="s">
        <v>4371</v>
      </c>
    </row>
    <row r="229" customFormat="false" ht="15" hidden="false" customHeight="true" outlineLevel="0" collapsed="false">
      <c r="A229" s="6" t="s">
        <v>1253</v>
      </c>
      <c r="B229" s="6" t="s">
        <v>427</v>
      </c>
      <c r="C229" s="6" t="s">
        <v>432</v>
      </c>
      <c r="D229" s="6" t="n">
        <v>6</v>
      </c>
      <c r="E229" s="9" t="s">
        <v>4454</v>
      </c>
      <c r="F229" s="35" t="n">
        <v>88804</v>
      </c>
      <c r="G229" s="42"/>
      <c r="H229" s="42"/>
      <c r="I229" s="42"/>
      <c r="J229" s="42"/>
      <c r="K229" s="42"/>
      <c r="L229" s="42"/>
      <c r="M229" s="42"/>
      <c r="N229" s="42"/>
      <c r="O229" s="42"/>
      <c r="P229" s="42"/>
      <c r="Q229" s="43" t="str">
        <f aca="false">IF($A229="","",IF(OR(F229="",I229=""),"",F229-I229))</f>
        <v/>
      </c>
      <c r="R229" s="43" t="str">
        <f aca="false">IF($A229="","",IF(Q229="","",Q229+IF(O229="",0,O229)))</f>
        <v/>
      </c>
      <c r="S229" s="42"/>
      <c r="T229" s="43" t="str">
        <f aca="false">IF($A229="","",IF(R229="","",R229-IF(S229="",0,S229)))</f>
        <v/>
      </c>
      <c r="U229" s="43" t="str">
        <f aca="false">IF($A229="","",IF(I229="","",I229-SUM(J229:P229)))</f>
        <v/>
      </c>
      <c r="V229" s="6" t="s">
        <v>4455</v>
      </c>
      <c r="W229" s="9" t="s">
        <v>528</v>
      </c>
      <c r="X229" s="9" t="s">
        <v>4459</v>
      </c>
      <c r="AC229" s="9" t="s">
        <v>4369</v>
      </c>
      <c r="AD229" s="9" t="s">
        <v>4370</v>
      </c>
      <c r="AE229" s="9" t="s">
        <v>4371</v>
      </c>
    </row>
    <row r="230" customFormat="false" ht="15" hidden="false" customHeight="true" outlineLevel="0" collapsed="false">
      <c r="A230" s="6" t="s">
        <v>1255</v>
      </c>
      <c r="B230" s="6" t="s">
        <v>427</v>
      </c>
      <c r="C230" s="6" t="s">
        <v>432</v>
      </c>
      <c r="D230" s="6" t="n">
        <v>6</v>
      </c>
      <c r="E230" s="9" t="s">
        <v>4454</v>
      </c>
      <c r="F230" s="35" t="n">
        <v>273348</v>
      </c>
      <c r="G230" s="42"/>
      <c r="H230" s="42"/>
      <c r="I230" s="42"/>
      <c r="J230" s="42"/>
      <c r="K230" s="42"/>
      <c r="L230" s="42"/>
      <c r="M230" s="42"/>
      <c r="N230" s="42"/>
      <c r="O230" s="42"/>
      <c r="P230" s="42"/>
      <c r="Q230" s="43" t="str">
        <f aca="false">IF($A230="","",IF(OR(F230="",I230=""),"",F230-I230))</f>
        <v/>
      </c>
      <c r="R230" s="43" t="str">
        <f aca="false">IF($A230="","",IF(Q230="","",Q230+IF(O230="",0,O230)))</f>
        <v/>
      </c>
      <c r="S230" s="42"/>
      <c r="T230" s="43" t="str">
        <f aca="false">IF($A230="","",IF(R230="","",R230-IF(S230="",0,S230)))</f>
        <v/>
      </c>
      <c r="U230" s="43" t="str">
        <f aca="false">IF($A230="","",IF(I230="","",I230-SUM(J230:P230)))</f>
        <v/>
      </c>
      <c r="V230" s="6" t="s">
        <v>4455</v>
      </c>
      <c r="W230" s="9" t="s">
        <v>528</v>
      </c>
      <c r="X230" s="9" t="s">
        <v>4459</v>
      </c>
      <c r="AC230" s="9" t="s">
        <v>4369</v>
      </c>
      <c r="AD230" s="9" t="s">
        <v>4370</v>
      </c>
      <c r="AE230" s="9" t="s">
        <v>4371</v>
      </c>
    </row>
    <row r="231" customFormat="false" ht="15" hidden="false" customHeight="true" outlineLevel="0" collapsed="false">
      <c r="A231" s="6" t="s">
        <v>1258</v>
      </c>
      <c r="B231" s="6" t="s">
        <v>427</v>
      </c>
      <c r="C231" s="6" t="s">
        <v>432</v>
      </c>
      <c r="D231" s="6" t="n">
        <v>6</v>
      </c>
      <c r="E231" s="9" t="s">
        <v>4454</v>
      </c>
      <c r="F231" s="35" t="n">
        <v>138347</v>
      </c>
      <c r="G231" s="42"/>
      <c r="H231" s="42"/>
      <c r="I231" s="42"/>
      <c r="J231" s="42"/>
      <c r="K231" s="42"/>
      <c r="L231" s="42"/>
      <c r="M231" s="42"/>
      <c r="N231" s="42"/>
      <c r="O231" s="42"/>
      <c r="P231" s="42"/>
      <c r="Q231" s="43" t="str">
        <f aca="false">IF($A231="","",IF(OR(F231="",I231=""),"",F231-I231))</f>
        <v/>
      </c>
      <c r="R231" s="43" t="str">
        <f aca="false">IF($A231="","",IF(Q231="","",Q231+IF(O231="",0,O231)))</f>
        <v/>
      </c>
      <c r="S231" s="42"/>
      <c r="T231" s="43" t="str">
        <f aca="false">IF($A231="","",IF(R231="","",R231-IF(S231="",0,S231)))</f>
        <v/>
      </c>
      <c r="U231" s="43" t="str">
        <f aca="false">IF($A231="","",IF(I231="","",I231-SUM(J231:P231)))</f>
        <v/>
      </c>
      <c r="V231" s="6" t="s">
        <v>4455</v>
      </c>
      <c r="W231" s="9" t="s">
        <v>528</v>
      </c>
      <c r="X231" s="9" t="s">
        <v>4478</v>
      </c>
      <c r="AC231" s="9" t="s">
        <v>4369</v>
      </c>
      <c r="AD231" s="9" t="s">
        <v>4370</v>
      </c>
      <c r="AE231" s="9" t="s">
        <v>4371</v>
      </c>
    </row>
    <row r="232" customFormat="false" ht="15" hidden="false" customHeight="true" outlineLevel="0" collapsed="false">
      <c r="A232" s="6" t="s">
        <v>1262</v>
      </c>
      <c r="B232" s="6" t="s">
        <v>427</v>
      </c>
      <c r="C232" s="6" t="s">
        <v>432</v>
      </c>
      <c r="D232" s="6" t="n">
        <v>6</v>
      </c>
      <c r="E232" s="9" t="s">
        <v>4454</v>
      </c>
      <c r="F232" s="35" t="n">
        <v>132043</v>
      </c>
      <c r="G232" s="42"/>
      <c r="H232" s="42"/>
      <c r="I232" s="42"/>
      <c r="J232" s="42"/>
      <c r="K232" s="42"/>
      <c r="L232" s="42"/>
      <c r="M232" s="42"/>
      <c r="N232" s="42"/>
      <c r="O232" s="42"/>
      <c r="P232" s="42"/>
      <c r="Q232" s="43" t="str">
        <f aca="false">IF($A232="","",IF(OR(F232="",I232=""),"",F232-I232))</f>
        <v/>
      </c>
      <c r="R232" s="43" t="str">
        <f aca="false">IF($A232="","",IF(Q232="","",Q232+IF(O232="",0,O232)))</f>
        <v/>
      </c>
      <c r="S232" s="42"/>
      <c r="T232" s="43" t="str">
        <f aca="false">IF($A232="","",IF(R232="","",R232-IF(S232="",0,S232)))</f>
        <v/>
      </c>
      <c r="U232" s="43" t="str">
        <f aca="false">IF($A232="","",IF(I232="","",I232-SUM(J232:P232)))</f>
        <v/>
      </c>
      <c r="V232" s="6" t="s">
        <v>4455</v>
      </c>
      <c r="W232" s="9" t="s">
        <v>528</v>
      </c>
      <c r="X232" s="9" t="s">
        <v>4479</v>
      </c>
      <c r="AC232" s="6" t="s">
        <v>4373</v>
      </c>
      <c r="AD232" s="9" t="s">
        <v>4424</v>
      </c>
      <c r="AE232" s="9" t="s">
        <v>4371</v>
      </c>
    </row>
    <row r="233" customFormat="false" ht="15" hidden="false" customHeight="true" outlineLevel="0" collapsed="false">
      <c r="A233" s="6" t="s">
        <v>1266</v>
      </c>
      <c r="B233" s="6" t="s">
        <v>427</v>
      </c>
      <c r="C233" s="6" t="s">
        <v>432</v>
      </c>
      <c r="D233" s="6" t="n">
        <v>6</v>
      </c>
      <c r="E233" s="9" t="s">
        <v>4454</v>
      </c>
      <c r="F233" s="35" t="n">
        <v>124848</v>
      </c>
      <c r="G233" s="42"/>
      <c r="H233" s="42"/>
      <c r="I233" s="42"/>
      <c r="J233" s="42"/>
      <c r="K233" s="42"/>
      <c r="L233" s="42"/>
      <c r="M233" s="42"/>
      <c r="N233" s="42"/>
      <c r="O233" s="42"/>
      <c r="P233" s="42"/>
      <c r="Q233" s="43" t="str">
        <f aca="false">IF($A233="","",IF(OR(F233="",I233=""),"",F233-I233))</f>
        <v/>
      </c>
      <c r="R233" s="43" t="str">
        <f aca="false">IF($A233="","",IF(Q233="","",Q233+IF(O233="",0,O233)))</f>
        <v/>
      </c>
      <c r="S233" s="42"/>
      <c r="T233" s="43" t="str">
        <f aca="false">IF($A233="","",IF(R233="","",R233-IF(S233="",0,S233)))</f>
        <v/>
      </c>
      <c r="U233" s="43" t="str">
        <f aca="false">IF($A233="","",IF(I233="","",I233-SUM(J233:P233)))</f>
        <v/>
      </c>
      <c r="V233" s="6" t="s">
        <v>4455</v>
      </c>
      <c r="W233" s="9" t="s">
        <v>528</v>
      </c>
      <c r="X233" s="9" t="s">
        <v>4480</v>
      </c>
      <c r="AC233" s="9" t="s">
        <v>4369</v>
      </c>
      <c r="AD233" s="9" t="s">
        <v>4370</v>
      </c>
      <c r="AE233" s="9" t="s">
        <v>4371</v>
      </c>
    </row>
    <row r="234" customFormat="false" ht="15" hidden="false" customHeight="true" outlineLevel="0" collapsed="false">
      <c r="A234" s="6" t="s">
        <v>1269</v>
      </c>
      <c r="B234" s="6" t="s">
        <v>427</v>
      </c>
      <c r="C234" s="6" t="s">
        <v>432</v>
      </c>
      <c r="D234" s="6" t="n">
        <v>6</v>
      </c>
      <c r="E234" s="9" t="s">
        <v>4454</v>
      </c>
      <c r="F234" s="35" t="n">
        <v>509506</v>
      </c>
      <c r="G234" s="42"/>
      <c r="H234" s="42"/>
      <c r="I234" s="42"/>
      <c r="J234" s="42"/>
      <c r="K234" s="42"/>
      <c r="L234" s="42"/>
      <c r="M234" s="42"/>
      <c r="N234" s="42"/>
      <c r="O234" s="42"/>
      <c r="P234" s="42"/>
      <c r="Q234" s="43" t="str">
        <f aca="false">IF($A234="","",IF(OR(F234="",I234=""),"",F234-I234))</f>
        <v/>
      </c>
      <c r="R234" s="43" t="str">
        <f aca="false">IF($A234="","",IF(Q234="","",Q234+IF(O234="",0,O234)))</f>
        <v/>
      </c>
      <c r="S234" s="42"/>
      <c r="T234" s="43" t="str">
        <f aca="false">IF($A234="","",IF(R234="","",R234-IF(S234="",0,S234)))</f>
        <v/>
      </c>
      <c r="U234" s="43" t="str">
        <f aca="false">IF($A234="","",IF(I234="","",I234-SUM(J234:P234)))</f>
        <v/>
      </c>
      <c r="V234" s="6" t="s">
        <v>4455</v>
      </c>
      <c r="W234" s="9" t="s">
        <v>528</v>
      </c>
      <c r="X234" s="9" t="s">
        <v>4459</v>
      </c>
      <c r="AC234" s="9" t="s">
        <v>4369</v>
      </c>
      <c r="AD234" s="9" t="s">
        <v>4370</v>
      </c>
      <c r="AE234" s="9" t="s">
        <v>4371</v>
      </c>
    </row>
    <row r="235" customFormat="false" ht="15" hidden="false" customHeight="true" outlineLevel="0" collapsed="false">
      <c r="A235" s="6" t="s">
        <v>1272</v>
      </c>
      <c r="B235" s="6" t="s">
        <v>427</v>
      </c>
      <c r="C235" s="6" t="s">
        <v>432</v>
      </c>
      <c r="D235" s="6" t="n">
        <v>6</v>
      </c>
      <c r="E235" s="9" t="s">
        <v>4454</v>
      </c>
      <c r="F235" s="35" t="n">
        <v>153825</v>
      </c>
      <c r="G235" s="42"/>
      <c r="H235" s="42"/>
      <c r="I235" s="42"/>
      <c r="J235" s="42"/>
      <c r="K235" s="42"/>
      <c r="L235" s="42"/>
      <c r="M235" s="42"/>
      <c r="N235" s="42"/>
      <c r="O235" s="42"/>
      <c r="P235" s="42"/>
      <c r="Q235" s="43" t="str">
        <f aca="false">IF($A235="","",IF(OR(F235="",I235=""),"",F235-I235))</f>
        <v/>
      </c>
      <c r="R235" s="43" t="str">
        <f aca="false">IF($A235="","",IF(Q235="","",Q235+IF(O235="",0,O235)))</f>
        <v/>
      </c>
      <c r="S235" s="42"/>
      <c r="T235" s="43" t="str">
        <f aca="false">IF($A235="","",IF(R235="","",R235-IF(S235="",0,S235)))</f>
        <v/>
      </c>
      <c r="U235" s="43" t="str">
        <f aca="false">IF($A235="","",IF(I235="","",I235-SUM(J235:P235)))</f>
        <v/>
      </c>
      <c r="V235" s="6" t="s">
        <v>4455</v>
      </c>
      <c r="W235" s="9" t="s">
        <v>528</v>
      </c>
      <c r="X235" s="9" t="s">
        <v>4481</v>
      </c>
      <c r="AC235" s="9" t="s">
        <v>4369</v>
      </c>
      <c r="AD235" s="9" t="s">
        <v>4370</v>
      </c>
      <c r="AE235" s="9" t="s">
        <v>4371</v>
      </c>
    </row>
    <row r="236" customFormat="false" ht="15" hidden="false" customHeight="true" outlineLevel="0" collapsed="false">
      <c r="A236" s="6" t="s">
        <v>1275</v>
      </c>
      <c r="B236" s="6" t="s">
        <v>427</v>
      </c>
      <c r="C236" s="6" t="s">
        <v>432</v>
      </c>
      <c r="D236" s="6" t="n">
        <v>6</v>
      </c>
      <c r="E236" s="9" t="s">
        <v>4454</v>
      </c>
      <c r="F236" s="35" t="n">
        <v>516199</v>
      </c>
      <c r="G236" s="42"/>
      <c r="H236" s="42"/>
      <c r="I236" s="42"/>
      <c r="J236" s="42"/>
      <c r="K236" s="42"/>
      <c r="L236" s="42"/>
      <c r="M236" s="42"/>
      <c r="N236" s="42"/>
      <c r="O236" s="42"/>
      <c r="P236" s="42"/>
      <c r="Q236" s="43" t="str">
        <f aca="false">IF($A236="","",IF(OR(F236="",I236=""),"",F236-I236))</f>
        <v/>
      </c>
      <c r="R236" s="43" t="str">
        <f aca="false">IF($A236="","",IF(Q236="","",Q236+IF(O236="",0,O236)))</f>
        <v/>
      </c>
      <c r="S236" s="42"/>
      <c r="T236" s="43" t="str">
        <f aca="false">IF($A236="","",IF(R236="","",R236-IF(S236="",0,S236)))</f>
        <v/>
      </c>
      <c r="U236" s="43" t="str">
        <f aca="false">IF($A236="","",IF(I236="","",I236-SUM(J236:P236)))</f>
        <v/>
      </c>
      <c r="V236" s="6" t="s">
        <v>4455</v>
      </c>
      <c r="W236" s="9" t="s">
        <v>528</v>
      </c>
      <c r="X236" s="9" t="s">
        <v>4482</v>
      </c>
      <c r="AC236" s="9" t="s">
        <v>4369</v>
      </c>
      <c r="AD236" s="9" t="s">
        <v>4370</v>
      </c>
      <c r="AE236" s="9" t="s">
        <v>4371</v>
      </c>
    </row>
    <row r="237" customFormat="false" ht="15" hidden="false" customHeight="true" outlineLevel="0" collapsed="false">
      <c r="A237" s="6" t="s">
        <v>1278</v>
      </c>
      <c r="B237" s="6" t="s">
        <v>427</v>
      </c>
      <c r="C237" s="6" t="s">
        <v>432</v>
      </c>
      <c r="D237" s="6" t="n">
        <v>6</v>
      </c>
      <c r="E237" s="9" t="s">
        <v>4454</v>
      </c>
      <c r="F237" s="35" t="n">
        <v>342713</v>
      </c>
      <c r="G237" s="42"/>
      <c r="H237" s="42"/>
      <c r="I237" s="42"/>
      <c r="J237" s="42"/>
      <c r="K237" s="42"/>
      <c r="L237" s="42"/>
      <c r="M237" s="42"/>
      <c r="N237" s="42"/>
      <c r="O237" s="42"/>
      <c r="P237" s="42"/>
      <c r="Q237" s="43" t="str">
        <f aca="false">IF($A237="","",IF(OR(F237="",I237=""),"",F237-I237))</f>
        <v/>
      </c>
      <c r="R237" s="43" t="str">
        <f aca="false">IF($A237="","",IF(Q237="","",Q237+IF(O237="",0,O237)))</f>
        <v/>
      </c>
      <c r="S237" s="42"/>
      <c r="T237" s="43" t="str">
        <f aca="false">IF($A237="","",IF(R237="","",R237-IF(S237="",0,S237)))</f>
        <v/>
      </c>
      <c r="U237" s="43" t="str">
        <f aca="false">IF($A237="","",IF(I237="","",I237-SUM(J237:P237)))</f>
        <v/>
      </c>
      <c r="V237" s="6" t="s">
        <v>4455</v>
      </c>
      <c r="W237" s="9" t="s">
        <v>528</v>
      </c>
      <c r="X237" s="9" t="s">
        <v>4478</v>
      </c>
      <c r="AC237" s="9" t="s">
        <v>4369</v>
      </c>
      <c r="AD237" s="9" t="s">
        <v>4370</v>
      </c>
      <c r="AE237" s="9" t="s">
        <v>4371</v>
      </c>
    </row>
    <row r="238" customFormat="false" ht="15" hidden="false" customHeight="true" outlineLevel="0" collapsed="false">
      <c r="A238" s="6" t="s">
        <v>1280</v>
      </c>
      <c r="B238" s="6" t="s">
        <v>427</v>
      </c>
      <c r="C238" s="6" t="s">
        <v>432</v>
      </c>
      <c r="D238" s="6" t="n">
        <v>6</v>
      </c>
      <c r="E238" s="9" t="s">
        <v>4454</v>
      </c>
      <c r="F238" s="35" t="n">
        <v>998074</v>
      </c>
      <c r="G238" s="42"/>
      <c r="H238" s="42"/>
      <c r="I238" s="42"/>
      <c r="J238" s="42"/>
      <c r="K238" s="42"/>
      <c r="L238" s="42"/>
      <c r="M238" s="42"/>
      <c r="N238" s="42"/>
      <c r="O238" s="42"/>
      <c r="P238" s="42"/>
      <c r="Q238" s="43" t="str">
        <f aca="false">IF($A238="","",IF(OR(F238="",I238=""),"",F238-I238))</f>
        <v/>
      </c>
      <c r="R238" s="43" t="str">
        <f aca="false">IF($A238="","",IF(Q238="","",Q238+IF(O238="",0,O238)))</f>
        <v/>
      </c>
      <c r="S238" s="42"/>
      <c r="T238" s="43" t="str">
        <f aca="false">IF($A238="","",IF(R238="","",R238-IF(S238="",0,S238)))</f>
        <v/>
      </c>
      <c r="U238" s="43" t="str">
        <f aca="false">IF($A238="","",IF(I238="","",I238-SUM(J238:P238)))</f>
        <v/>
      </c>
      <c r="V238" s="6" t="s">
        <v>4455</v>
      </c>
      <c r="W238" s="9" t="s">
        <v>528</v>
      </c>
      <c r="X238" s="9" t="s">
        <v>4483</v>
      </c>
      <c r="AC238" s="9" t="s">
        <v>4369</v>
      </c>
      <c r="AD238" s="9" t="s">
        <v>4370</v>
      </c>
      <c r="AE238" s="9" t="s">
        <v>4371</v>
      </c>
    </row>
    <row r="239" customFormat="false" ht="15" hidden="false" customHeight="true" outlineLevel="0" collapsed="false">
      <c r="A239" s="6" t="s">
        <v>1283</v>
      </c>
      <c r="B239" s="6" t="s">
        <v>427</v>
      </c>
      <c r="C239" s="6" t="s">
        <v>432</v>
      </c>
      <c r="D239" s="6" t="n">
        <v>6</v>
      </c>
      <c r="E239" s="9" t="s">
        <v>4454</v>
      </c>
      <c r="F239" s="35" t="n">
        <v>307314</v>
      </c>
      <c r="G239" s="42"/>
      <c r="H239" s="42"/>
      <c r="I239" s="42"/>
      <c r="J239" s="42"/>
      <c r="K239" s="42"/>
      <c r="L239" s="42"/>
      <c r="M239" s="42"/>
      <c r="N239" s="42"/>
      <c r="O239" s="42"/>
      <c r="P239" s="42"/>
      <c r="Q239" s="43" t="str">
        <f aca="false">IF($A239="","",IF(OR(F239="",I239=""),"",F239-I239))</f>
        <v/>
      </c>
      <c r="R239" s="43" t="str">
        <f aca="false">IF($A239="","",IF(Q239="","",Q239+IF(O239="",0,O239)))</f>
        <v/>
      </c>
      <c r="S239" s="42"/>
      <c r="T239" s="43" t="str">
        <f aca="false">IF($A239="","",IF(R239="","",R239-IF(S239="",0,S239)))</f>
        <v/>
      </c>
      <c r="U239" s="43" t="str">
        <f aca="false">IF($A239="","",IF(I239="","",I239-SUM(J239:P239)))</f>
        <v/>
      </c>
      <c r="V239" s="6" t="s">
        <v>4455</v>
      </c>
      <c r="W239" s="9" t="s">
        <v>528</v>
      </c>
      <c r="X239" s="9" t="s">
        <v>4459</v>
      </c>
      <c r="AC239" s="9" t="s">
        <v>4369</v>
      </c>
      <c r="AD239" s="9" t="s">
        <v>4370</v>
      </c>
      <c r="AE239" s="9" t="s">
        <v>4371</v>
      </c>
    </row>
    <row r="240" customFormat="false" ht="15" hidden="false" customHeight="true" outlineLevel="0" collapsed="false">
      <c r="A240" s="6" t="s">
        <v>1285</v>
      </c>
      <c r="B240" s="6" t="s">
        <v>427</v>
      </c>
      <c r="C240" s="6" t="s">
        <v>432</v>
      </c>
      <c r="D240" s="6" t="n">
        <v>6</v>
      </c>
      <c r="E240" s="9" t="s">
        <v>4454</v>
      </c>
      <c r="F240" s="35" t="n">
        <v>282546</v>
      </c>
      <c r="G240" s="42"/>
      <c r="H240" s="42"/>
      <c r="I240" s="42"/>
      <c r="J240" s="42"/>
      <c r="K240" s="42"/>
      <c r="L240" s="42"/>
      <c r="M240" s="42"/>
      <c r="N240" s="42"/>
      <c r="O240" s="42"/>
      <c r="P240" s="42"/>
      <c r="Q240" s="43" t="str">
        <f aca="false">IF($A240="","",IF(OR(F240="",I240=""),"",F240-I240))</f>
        <v/>
      </c>
      <c r="R240" s="43" t="str">
        <f aca="false">IF($A240="","",IF(Q240="","",Q240+IF(O240="",0,O240)))</f>
        <v/>
      </c>
      <c r="S240" s="42"/>
      <c r="T240" s="43" t="str">
        <f aca="false">IF($A240="","",IF(R240="","",R240-IF(S240="",0,S240)))</f>
        <v/>
      </c>
      <c r="U240" s="43" t="str">
        <f aca="false">IF($A240="","",IF(I240="","",I240-SUM(J240:P240)))</f>
        <v/>
      </c>
      <c r="V240" s="6" t="s">
        <v>4455</v>
      </c>
      <c r="W240" s="9" t="s">
        <v>528</v>
      </c>
      <c r="X240" s="9" t="s">
        <v>4459</v>
      </c>
      <c r="AC240" s="9" t="s">
        <v>4369</v>
      </c>
      <c r="AD240" s="9" t="s">
        <v>4370</v>
      </c>
      <c r="AE240" s="9" t="s">
        <v>4371</v>
      </c>
    </row>
    <row r="241" customFormat="false" ht="15" hidden="false" customHeight="true" outlineLevel="0" collapsed="false">
      <c r="A241" s="6" t="s">
        <v>1287</v>
      </c>
      <c r="B241" s="6" t="s">
        <v>427</v>
      </c>
      <c r="C241" s="6" t="s">
        <v>432</v>
      </c>
      <c r="D241" s="6" t="n">
        <v>6</v>
      </c>
      <c r="E241" s="9" t="s">
        <v>4454</v>
      </c>
      <c r="F241" s="35" t="n">
        <v>435066</v>
      </c>
      <c r="G241" s="42"/>
      <c r="H241" s="42"/>
      <c r="I241" s="42"/>
      <c r="J241" s="42"/>
      <c r="K241" s="42"/>
      <c r="L241" s="42"/>
      <c r="M241" s="42"/>
      <c r="N241" s="42"/>
      <c r="O241" s="42"/>
      <c r="P241" s="42"/>
      <c r="Q241" s="43" t="str">
        <f aca="false">IF($A241="","",IF(OR(F241="",I241=""),"",F241-I241))</f>
        <v/>
      </c>
      <c r="R241" s="43" t="str">
        <f aca="false">IF($A241="","",IF(Q241="","",Q241+IF(O241="",0,O241)))</f>
        <v/>
      </c>
      <c r="S241" s="42"/>
      <c r="T241" s="43" t="str">
        <f aca="false">IF($A241="","",IF(R241="","",R241-IF(S241="",0,S241)))</f>
        <v/>
      </c>
      <c r="U241" s="43" t="str">
        <f aca="false">IF($A241="","",IF(I241="","",I241-SUM(J241:P241)))</f>
        <v/>
      </c>
      <c r="V241" s="6" t="s">
        <v>4455</v>
      </c>
      <c r="W241" s="9" t="s">
        <v>528</v>
      </c>
      <c r="X241" s="9" t="s">
        <v>4484</v>
      </c>
      <c r="AC241" s="9" t="s">
        <v>4369</v>
      </c>
      <c r="AD241" s="9" t="s">
        <v>4370</v>
      </c>
      <c r="AE241" s="9" t="s">
        <v>4371</v>
      </c>
    </row>
    <row r="242" customFormat="false" ht="15" hidden="false" customHeight="true" outlineLevel="0" collapsed="false">
      <c r="A242" s="6" t="s">
        <v>1290</v>
      </c>
      <c r="B242" s="6" t="s">
        <v>427</v>
      </c>
      <c r="C242" s="6" t="s">
        <v>432</v>
      </c>
      <c r="D242" s="6" t="n">
        <v>6</v>
      </c>
      <c r="E242" s="9" t="s">
        <v>4454</v>
      </c>
      <c r="F242" s="35" t="n">
        <v>1194667</v>
      </c>
      <c r="G242" s="42"/>
      <c r="H242" s="42"/>
      <c r="I242" s="42"/>
      <c r="J242" s="42"/>
      <c r="K242" s="42"/>
      <c r="L242" s="42"/>
      <c r="M242" s="42"/>
      <c r="N242" s="42"/>
      <c r="O242" s="42"/>
      <c r="P242" s="42"/>
      <c r="Q242" s="43" t="str">
        <f aca="false">IF($A242="","",IF(OR(F242="",I242=""),"",F242-I242))</f>
        <v/>
      </c>
      <c r="R242" s="43" t="str">
        <f aca="false">IF($A242="","",IF(Q242="","",Q242+IF(O242="",0,O242)))</f>
        <v/>
      </c>
      <c r="S242" s="42"/>
      <c r="T242" s="43" t="str">
        <f aca="false">IF($A242="","",IF(R242="","",R242-IF(S242="",0,S242)))</f>
        <v/>
      </c>
      <c r="U242" s="43" t="str">
        <f aca="false">IF($A242="","",IF(I242="","",I242-SUM(J242:P242)))</f>
        <v/>
      </c>
      <c r="V242" s="6" t="s">
        <v>4455</v>
      </c>
      <c r="W242" s="9" t="s">
        <v>528</v>
      </c>
      <c r="X242" s="9" t="s">
        <v>4485</v>
      </c>
      <c r="AC242" s="9" t="s">
        <v>4369</v>
      </c>
      <c r="AD242" s="9" t="s">
        <v>4370</v>
      </c>
      <c r="AE242" s="9" t="s">
        <v>4371</v>
      </c>
    </row>
    <row r="243" customFormat="false" ht="15" hidden="false" customHeight="true" outlineLevel="0" collapsed="false">
      <c r="A243" s="6" t="s">
        <v>1293</v>
      </c>
      <c r="B243" s="6" t="s">
        <v>427</v>
      </c>
      <c r="C243" s="6" t="s">
        <v>432</v>
      </c>
      <c r="D243" s="6" t="n">
        <v>6</v>
      </c>
      <c r="E243" s="9" t="s">
        <v>4381</v>
      </c>
      <c r="F243" s="42"/>
      <c r="G243" s="42"/>
      <c r="H243" s="42"/>
      <c r="I243" s="42"/>
      <c r="J243" s="42"/>
      <c r="K243" s="42"/>
      <c r="L243" s="42"/>
      <c r="M243" s="42"/>
      <c r="N243" s="42"/>
      <c r="O243" s="42"/>
      <c r="P243" s="42"/>
      <c r="Q243" s="43" t="str">
        <f aca="false">IF($A243="","",IF(OR(F243="",I243=""),"",F243-I243))</f>
        <v/>
      </c>
      <c r="R243" s="43" t="str">
        <f aca="false">IF($A243="","",IF(Q243="","",Q243+IF(O243="",0,O243)))</f>
        <v/>
      </c>
      <c r="S243" s="42"/>
      <c r="T243" s="43" t="str">
        <f aca="false">IF($A243="","",IF(R243="","",R243-IF(S243="",0,S243)))</f>
        <v/>
      </c>
      <c r="U243" s="43" t="str">
        <f aca="false">IF($A243="","",IF(I243="","",I243-SUM(J243:P243)))</f>
        <v/>
      </c>
      <c r="V243" s="6" t="s">
        <v>4457</v>
      </c>
      <c r="W243" s="9" t="s">
        <v>528</v>
      </c>
      <c r="X243" s="9" t="s">
        <v>4486</v>
      </c>
      <c r="AC243" s="9" t="s">
        <v>4369</v>
      </c>
      <c r="AD243" s="9" t="s">
        <v>4370</v>
      </c>
      <c r="AE243" s="9" t="s">
        <v>4371</v>
      </c>
    </row>
    <row r="244" customFormat="false" ht="15" hidden="false" customHeight="true" outlineLevel="0" collapsed="false">
      <c r="A244" s="6" t="s">
        <v>1297</v>
      </c>
      <c r="B244" s="6" t="s">
        <v>427</v>
      </c>
      <c r="C244" s="6" t="s">
        <v>432</v>
      </c>
      <c r="D244" s="6" t="n">
        <v>6</v>
      </c>
      <c r="E244" s="9" t="s">
        <v>4381</v>
      </c>
      <c r="F244" s="42"/>
      <c r="G244" s="42"/>
      <c r="H244" s="42"/>
      <c r="I244" s="42"/>
      <c r="J244" s="42"/>
      <c r="K244" s="42"/>
      <c r="L244" s="42"/>
      <c r="M244" s="42"/>
      <c r="N244" s="42"/>
      <c r="O244" s="42"/>
      <c r="P244" s="42"/>
      <c r="Q244" s="43" t="str">
        <f aca="false">IF($A244="","",IF(OR(F244="",I244=""),"",F244-I244))</f>
        <v/>
      </c>
      <c r="R244" s="43" t="str">
        <f aca="false">IF($A244="","",IF(Q244="","",Q244+IF(O244="",0,O244)))</f>
        <v/>
      </c>
      <c r="S244" s="42"/>
      <c r="T244" s="43" t="str">
        <f aca="false">IF($A244="","",IF(R244="","",R244-IF(S244="",0,S244)))</f>
        <v/>
      </c>
      <c r="U244" s="43" t="str">
        <f aca="false">IF($A244="","",IF(I244="","",I244-SUM(J244:P244)))</f>
        <v/>
      </c>
      <c r="V244" s="6" t="s">
        <v>4457</v>
      </c>
      <c r="W244" s="9" t="s">
        <v>528</v>
      </c>
      <c r="X244" s="9" t="s">
        <v>4487</v>
      </c>
      <c r="AC244" s="9" t="s">
        <v>4369</v>
      </c>
      <c r="AD244" s="9" t="s">
        <v>4370</v>
      </c>
      <c r="AE244" s="9" t="s">
        <v>4371</v>
      </c>
    </row>
    <row r="245" customFormat="false" ht="15" hidden="false" customHeight="true" outlineLevel="0" collapsed="false">
      <c r="A245" s="6" t="s">
        <v>1300</v>
      </c>
      <c r="B245" s="6" t="s">
        <v>427</v>
      </c>
      <c r="C245" s="6" t="s">
        <v>432</v>
      </c>
      <c r="D245" s="6" t="n">
        <v>6</v>
      </c>
      <c r="E245" s="9" t="s">
        <v>4381</v>
      </c>
      <c r="F245" s="42"/>
      <c r="G245" s="42"/>
      <c r="H245" s="42"/>
      <c r="I245" s="42"/>
      <c r="J245" s="42"/>
      <c r="K245" s="42"/>
      <c r="L245" s="42"/>
      <c r="M245" s="42"/>
      <c r="N245" s="42"/>
      <c r="O245" s="42"/>
      <c r="P245" s="42"/>
      <c r="Q245" s="43" t="str">
        <f aca="false">IF($A245="","",IF(OR(F245="",I245=""),"",F245-I245))</f>
        <v/>
      </c>
      <c r="R245" s="43" t="str">
        <f aca="false">IF($A245="","",IF(Q245="","",Q245+IF(O245="",0,O245)))</f>
        <v/>
      </c>
      <c r="S245" s="42"/>
      <c r="T245" s="43" t="str">
        <f aca="false">IF($A245="","",IF(R245="","",R245-IF(S245="",0,S245)))</f>
        <v/>
      </c>
      <c r="U245" s="43" t="str">
        <f aca="false">IF($A245="","",IF(I245="","",I245-SUM(J245:P245)))</f>
        <v/>
      </c>
      <c r="V245" s="6" t="s">
        <v>4457</v>
      </c>
      <c r="W245" s="9" t="s">
        <v>528</v>
      </c>
      <c r="X245" s="9" t="s">
        <v>4488</v>
      </c>
      <c r="AC245" s="9" t="s">
        <v>4369</v>
      </c>
      <c r="AD245" s="9" t="s">
        <v>4370</v>
      </c>
      <c r="AE245" s="9" t="s">
        <v>4371</v>
      </c>
    </row>
    <row r="246" customFormat="false" ht="15" hidden="false" customHeight="true" outlineLevel="0" collapsed="false">
      <c r="A246" s="6" t="s">
        <v>1303</v>
      </c>
      <c r="B246" s="6" t="s">
        <v>427</v>
      </c>
      <c r="C246" s="6" t="s">
        <v>432</v>
      </c>
      <c r="D246" s="6" t="n">
        <v>6</v>
      </c>
      <c r="E246" s="9" t="s">
        <v>4454</v>
      </c>
      <c r="F246" s="35" t="n">
        <v>127071</v>
      </c>
      <c r="G246" s="42"/>
      <c r="H246" s="42"/>
      <c r="I246" s="42"/>
      <c r="J246" s="42"/>
      <c r="K246" s="42"/>
      <c r="L246" s="42"/>
      <c r="M246" s="42"/>
      <c r="N246" s="42"/>
      <c r="O246" s="42"/>
      <c r="P246" s="42"/>
      <c r="Q246" s="43" t="str">
        <f aca="false">IF($A246="","",IF(OR(F246="",I246=""),"",F246-I246))</f>
        <v/>
      </c>
      <c r="R246" s="43" t="str">
        <f aca="false">IF($A246="","",IF(Q246="","",Q246+IF(O246="",0,O246)))</f>
        <v/>
      </c>
      <c r="S246" s="42"/>
      <c r="T246" s="43" t="str">
        <f aca="false">IF($A246="","",IF(R246="","",R246-IF(S246="",0,S246)))</f>
        <v/>
      </c>
      <c r="U246" s="43" t="str">
        <f aca="false">IF($A246="","",IF(I246="","",I246-SUM(J246:P246)))</f>
        <v/>
      </c>
      <c r="V246" s="6" t="s">
        <v>4455</v>
      </c>
      <c r="W246" s="9" t="s">
        <v>528</v>
      </c>
      <c r="X246" s="9" t="s">
        <v>4459</v>
      </c>
      <c r="AC246" s="9" t="s">
        <v>4369</v>
      </c>
      <c r="AD246" s="9" t="s">
        <v>4370</v>
      </c>
      <c r="AE246" s="9" t="s">
        <v>4371</v>
      </c>
    </row>
    <row r="247" customFormat="false" ht="15" hidden="false" customHeight="true" outlineLevel="0" collapsed="false">
      <c r="A247" s="6" t="s">
        <v>1305</v>
      </c>
      <c r="B247" s="6" t="s">
        <v>427</v>
      </c>
      <c r="C247" s="6" t="s">
        <v>432</v>
      </c>
      <c r="D247" s="6" t="n">
        <v>6</v>
      </c>
      <c r="E247" s="9" t="s">
        <v>4454</v>
      </c>
      <c r="F247" s="35" t="n">
        <v>462208</v>
      </c>
      <c r="G247" s="42"/>
      <c r="H247" s="42"/>
      <c r="I247" s="42"/>
      <c r="J247" s="42"/>
      <c r="K247" s="42"/>
      <c r="L247" s="42"/>
      <c r="M247" s="42"/>
      <c r="N247" s="42"/>
      <c r="O247" s="42"/>
      <c r="P247" s="42"/>
      <c r="Q247" s="43" t="str">
        <f aca="false">IF($A247="","",IF(OR(F247="",I247=""),"",F247-I247))</f>
        <v/>
      </c>
      <c r="R247" s="43" t="str">
        <f aca="false">IF($A247="","",IF(Q247="","",Q247+IF(O247="",0,O247)))</f>
        <v/>
      </c>
      <c r="S247" s="42"/>
      <c r="T247" s="43" t="str">
        <f aca="false">IF($A247="","",IF(R247="","",R247-IF(S247="",0,S247)))</f>
        <v/>
      </c>
      <c r="U247" s="43" t="str">
        <f aca="false">IF($A247="","",IF(I247="","",I247-SUM(J247:P247)))</f>
        <v/>
      </c>
      <c r="V247" s="6" t="s">
        <v>4455</v>
      </c>
      <c r="W247" s="9" t="s">
        <v>528</v>
      </c>
      <c r="X247" s="9" t="s">
        <v>4489</v>
      </c>
      <c r="AC247" s="9" t="s">
        <v>4369</v>
      </c>
      <c r="AD247" s="9" t="s">
        <v>4370</v>
      </c>
      <c r="AE247" s="9" t="s">
        <v>4371</v>
      </c>
    </row>
    <row r="248" customFormat="false" ht="15" hidden="false" customHeight="true" outlineLevel="0" collapsed="false">
      <c r="A248" s="6" t="s">
        <v>1308</v>
      </c>
      <c r="B248" s="6" t="s">
        <v>427</v>
      </c>
      <c r="C248" s="6" t="s">
        <v>432</v>
      </c>
      <c r="D248" s="6" t="n">
        <v>6</v>
      </c>
      <c r="E248" s="9" t="s">
        <v>4454</v>
      </c>
      <c r="F248" s="35" t="n">
        <v>141809</v>
      </c>
      <c r="G248" s="42"/>
      <c r="H248" s="42"/>
      <c r="I248" s="42"/>
      <c r="J248" s="42"/>
      <c r="K248" s="42"/>
      <c r="L248" s="42"/>
      <c r="M248" s="42"/>
      <c r="N248" s="42"/>
      <c r="O248" s="42"/>
      <c r="P248" s="42"/>
      <c r="Q248" s="43" t="str">
        <f aca="false">IF($A248="","",IF(OR(F248="",I248=""),"",F248-I248))</f>
        <v/>
      </c>
      <c r="R248" s="43" t="str">
        <f aca="false">IF($A248="","",IF(Q248="","",Q248+IF(O248="",0,O248)))</f>
        <v/>
      </c>
      <c r="S248" s="42"/>
      <c r="T248" s="43" t="str">
        <f aca="false">IF($A248="","",IF(R248="","",R248-IF(S248="",0,S248)))</f>
        <v/>
      </c>
      <c r="U248" s="43" t="str">
        <f aca="false">IF($A248="","",IF(I248="","",I248-SUM(J248:P248)))</f>
        <v/>
      </c>
      <c r="V248" s="6" t="s">
        <v>4455</v>
      </c>
      <c r="W248" s="9" t="s">
        <v>528</v>
      </c>
      <c r="X248" s="9" t="s">
        <v>4459</v>
      </c>
      <c r="AC248" s="9" t="s">
        <v>4369</v>
      </c>
      <c r="AD248" s="9" t="s">
        <v>4370</v>
      </c>
      <c r="AE248" s="9" t="s">
        <v>4371</v>
      </c>
    </row>
    <row r="249" customFormat="false" ht="15" hidden="false" customHeight="true" outlineLevel="0" collapsed="false">
      <c r="A249" s="6" t="s">
        <v>1310</v>
      </c>
      <c r="B249" s="6" t="s">
        <v>427</v>
      </c>
      <c r="C249" s="6" t="s">
        <v>432</v>
      </c>
      <c r="D249" s="6" t="n">
        <v>6</v>
      </c>
      <c r="E249" s="9" t="s">
        <v>4454</v>
      </c>
      <c r="F249" s="35" t="n">
        <v>14394</v>
      </c>
      <c r="G249" s="42"/>
      <c r="H249" s="42"/>
      <c r="I249" s="42"/>
      <c r="J249" s="42"/>
      <c r="K249" s="42"/>
      <c r="L249" s="42"/>
      <c r="M249" s="42"/>
      <c r="N249" s="42"/>
      <c r="O249" s="42"/>
      <c r="P249" s="42"/>
      <c r="Q249" s="43" t="str">
        <f aca="false">IF($A249="","",IF(OR(F249="",I249=""),"",F249-I249))</f>
        <v/>
      </c>
      <c r="R249" s="43" t="str">
        <f aca="false">IF($A249="","",IF(Q249="","",Q249+IF(O249="",0,O249)))</f>
        <v/>
      </c>
      <c r="S249" s="42"/>
      <c r="T249" s="43" t="str">
        <f aca="false">IF($A249="","",IF(R249="","",R249-IF(S249="",0,S249)))</f>
        <v/>
      </c>
      <c r="U249" s="43" t="str">
        <f aca="false">IF($A249="","",IF(I249="","",I249-SUM(J249:P249)))</f>
        <v/>
      </c>
      <c r="V249" s="6" t="s">
        <v>4455</v>
      </c>
      <c r="W249" s="9" t="s">
        <v>528</v>
      </c>
      <c r="X249" s="9" t="s">
        <v>4490</v>
      </c>
      <c r="AC249" s="6" t="s">
        <v>4373</v>
      </c>
      <c r="AD249" s="9" t="s">
        <v>4374</v>
      </c>
      <c r="AE249" s="9" t="s">
        <v>4371</v>
      </c>
    </row>
    <row r="250" customFormat="false" ht="15" hidden="false" customHeight="true" outlineLevel="0" collapsed="false">
      <c r="A250" s="6" t="s">
        <v>1314</v>
      </c>
      <c r="B250" s="6" t="s">
        <v>427</v>
      </c>
      <c r="C250" s="6" t="s">
        <v>432</v>
      </c>
      <c r="D250" s="6" t="n">
        <v>6</v>
      </c>
      <c r="E250" s="9" t="s">
        <v>4381</v>
      </c>
      <c r="F250" s="42"/>
      <c r="G250" s="42"/>
      <c r="H250" s="42"/>
      <c r="I250" s="42"/>
      <c r="J250" s="42"/>
      <c r="K250" s="42"/>
      <c r="L250" s="42"/>
      <c r="M250" s="42"/>
      <c r="N250" s="42"/>
      <c r="O250" s="42"/>
      <c r="P250" s="42"/>
      <c r="Q250" s="43" t="str">
        <f aca="false">IF($A250="","",IF(OR(F250="",I250=""),"",F250-I250))</f>
        <v/>
      </c>
      <c r="R250" s="43" t="str">
        <f aca="false">IF($A250="","",IF(Q250="","",Q250+IF(O250="",0,O250)))</f>
        <v/>
      </c>
      <c r="S250" s="42"/>
      <c r="T250" s="43" t="str">
        <f aca="false">IF($A250="","",IF(R250="","",R250-IF(S250="",0,S250)))</f>
        <v/>
      </c>
      <c r="U250" s="43" t="str">
        <f aca="false">IF($A250="","",IF(I250="","",I250-SUM(J250:P250)))</f>
        <v/>
      </c>
      <c r="V250" s="6" t="s">
        <v>4457</v>
      </c>
      <c r="W250" s="9" t="s">
        <v>528</v>
      </c>
      <c r="X250" s="9" t="s">
        <v>4491</v>
      </c>
      <c r="AC250" s="6" t="s">
        <v>4373</v>
      </c>
      <c r="AD250" s="9" t="s">
        <v>4374</v>
      </c>
      <c r="AE250" s="9" t="s">
        <v>4371</v>
      </c>
    </row>
    <row r="251" customFormat="false" ht="15" hidden="false" customHeight="true" outlineLevel="0" collapsed="false">
      <c r="A251" s="6" t="s">
        <v>1318</v>
      </c>
      <c r="B251" s="6" t="s">
        <v>427</v>
      </c>
      <c r="C251" s="6" t="s">
        <v>432</v>
      </c>
      <c r="D251" s="6" t="n">
        <v>6</v>
      </c>
      <c r="E251" s="9" t="s">
        <v>4454</v>
      </c>
      <c r="F251" s="35" t="n">
        <v>126555</v>
      </c>
      <c r="G251" s="42"/>
      <c r="H251" s="42"/>
      <c r="I251" s="42"/>
      <c r="J251" s="42"/>
      <c r="K251" s="42"/>
      <c r="L251" s="42"/>
      <c r="M251" s="42"/>
      <c r="N251" s="42"/>
      <c r="O251" s="42"/>
      <c r="P251" s="42"/>
      <c r="Q251" s="43" t="str">
        <f aca="false">IF($A251="","",IF(OR(F251="",I251=""),"",F251-I251))</f>
        <v/>
      </c>
      <c r="R251" s="43" t="str">
        <f aca="false">IF($A251="","",IF(Q251="","",Q251+IF(O251="",0,O251)))</f>
        <v/>
      </c>
      <c r="S251" s="42"/>
      <c r="T251" s="43" t="str">
        <f aca="false">IF($A251="","",IF(R251="","",R251-IF(S251="",0,S251)))</f>
        <v/>
      </c>
      <c r="U251" s="43" t="str">
        <f aca="false">IF($A251="","",IF(I251="","",I251-SUM(J251:P251)))</f>
        <v/>
      </c>
      <c r="V251" s="6" t="s">
        <v>4455</v>
      </c>
      <c r="W251" s="9" t="s">
        <v>528</v>
      </c>
      <c r="X251" s="9" t="s">
        <v>4478</v>
      </c>
      <c r="AC251" s="9" t="s">
        <v>4369</v>
      </c>
      <c r="AD251" s="9" t="s">
        <v>4370</v>
      </c>
      <c r="AE251" s="9" t="s">
        <v>4371</v>
      </c>
    </row>
    <row r="252" customFormat="false" ht="15" hidden="false" customHeight="true" outlineLevel="0" collapsed="false">
      <c r="A252" s="6" t="s">
        <v>1323</v>
      </c>
      <c r="B252" s="6" t="s">
        <v>427</v>
      </c>
      <c r="C252" s="6" t="s">
        <v>432</v>
      </c>
      <c r="D252" s="6" t="n">
        <v>6</v>
      </c>
      <c r="E252" s="9" t="s">
        <v>4454</v>
      </c>
      <c r="F252" s="35" t="n">
        <v>115117</v>
      </c>
      <c r="G252" s="42"/>
      <c r="H252" s="42"/>
      <c r="I252" s="42"/>
      <c r="J252" s="42"/>
      <c r="K252" s="42"/>
      <c r="L252" s="42"/>
      <c r="M252" s="42"/>
      <c r="N252" s="42"/>
      <c r="O252" s="42"/>
      <c r="P252" s="42"/>
      <c r="Q252" s="43" t="str">
        <f aca="false">IF($A252="","",IF(OR(F252="",I252=""),"",F252-I252))</f>
        <v/>
      </c>
      <c r="R252" s="43" t="str">
        <f aca="false">IF($A252="","",IF(Q252="","",Q252+IF(O252="",0,O252)))</f>
        <v/>
      </c>
      <c r="S252" s="42"/>
      <c r="T252" s="43" t="str">
        <f aca="false">IF($A252="","",IF(R252="","",R252-IF(S252="",0,S252)))</f>
        <v/>
      </c>
      <c r="U252" s="43" t="str">
        <f aca="false">IF($A252="","",IF(I252="","",I252-SUM(J252:P252)))</f>
        <v/>
      </c>
      <c r="V252" s="6" t="s">
        <v>4455</v>
      </c>
      <c r="W252" s="9" t="s">
        <v>528</v>
      </c>
      <c r="X252" s="9" t="s">
        <v>4459</v>
      </c>
      <c r="AC252" s="9" t="s">
        <v>4369</v>
      </c>
      <c r="AD252" s="9" t="s">
        <v>4370</v>
      </c>
      <c r="AE252" s="9" t="s">
        <v>4371</v>
      </c>
    </row>
    <row r="253" customFormat="false" ht="15" hidden="false" customHeight="true" outlineLevel="0" collapsed="false">
      <c r="A253" s="6" t="s">
        <v>1326</v>
      </c>
      <c r="B253" s="6" t="s">
        <v>427</v>
      </c>
      <c r="C253" s="6" t="s">
        <v>432</v>
      </c>
      <c r="D253" s="6" t="n">
        <v>6</v>
      </c>
      <c r="E253" s="9" t="s">
        <v>4454</v>
      </c>
      <c r="F253" s="35" t="n">
        <v>192245</v>
      </c>
      <c r="G253" s="42"/>
      <c r="H253" s="42"/>
      <c r="I253" s="42"/>
      <c r="J253" s="42"/>
      <c r="K253" s="42"/>
      <c r="L253" s="42"/>
      <c r="M253" s="42"/>
      <c r="N253" s="42"/>
      <c r="O253" s="42"/>
      <c r="P253" s="42"/>
      <c r="Q253" s="43" t="str">
        <f aca="false">IF($A253="","",IF(OR(F253="",I253=""),"",F253-I253))</f>
        <v/>
      </c>
      <c r="R253" s="43" t="str">
        <f aca="false">IF($A253="","",IF(Q253="","",Q253+IF(O253="",0,O253)))</f>
        <v/>
      </c>
      <c r="S253" s="42"/>
      <c r="T253" s="43" t="str">
        <f aca="false">IF($A253="","",IF(R253="","",R253-IF(S253="",0,S253)))</f>
        <v/>
      </c>
      <c r="U253" s="43" t="str">
        <f aca="false">IF($A253="","",IF(I253="","",I253-SUM(J253:P253)))</f>
        <v/>
      </c>
      <c r="V253" s="6" t="s">
        <v>4455</v>
      </c>
      <c r="W253" s="9" t="s">
        <v>528</v>
      </c>
      <c r="X253" s="9" t="s">
        <v>4459</v>
      </c>
      <c r="AC253" s="9" t="s">
        <v>4369</v>
      </c>
      <c r="AD253" s="9" t="s">
        <v>4370</v>
      </c>
      <c r="AE253" s="9" t="s">
        <v>4371</v>
      </c>
    </row>
    <row r="254" customFormat="false" ht="15" hidden="false" customHeight="true" outlineLevel="0" collapsed="false">
      <c r="A254" s="6" t="s">
        <v>1328</v>
      </c>
      <c r="B254" s="6" t="s">
        <v>427</v>
      </c>
      <c r="C254" s="6" t="s">
        <v>432</v>
      </c>
      <c r="D254" s="6" t="n">
        <v>6</v>
      </c>
      <c r="E254" s="9" t="s">
        <v>4454</v>
      </c>
      <c r="F254" s="35" t="n">
        <v>105755</v>
      </c>
      <c r="G254" s="42"/>
      <c r="H254" s="42"/>
      <c r="I254" s="42"/>
      <c r="J254" s="42"/>
      <c r="K254" s="42"/>
      <c r="L254" s="42"/>
      <c r="M254" s="42"/>
      <c r="N254" s="42"/>
      <c r="O254" s="42"/>
      <c r="P254" s="42"/>
      <c r="Q254" s="43" t="str">
        <f aca="false">IF($A254="","",IF(OR(F254="",I254=""),"",F254-I254))</f>
        <v/>
      </c>
      <c r="R254" s="43" t="str">
        <f aca="false">IF($A254="","",IF(Q254="","",Q254+IF(O254="",0,O254)))</f>
        <v/>
      </c>
      <c r="S254" s="42"/>
      <c r="T254" s="43" t="str">
        <f aca="false">IF($A254="","",IF(R254="","",R254-IF(S254="",0,S254)))</f>
        <v/>
      </c>
      <c r="U254" s="43" t="str">
        <f aca="false">IF($A254="","",IF(I254="","",I254-SUM(J254:P254)))</f>
        <v/>
      </c>
      <c r="V254" s="6" t="s">
        <v>4455</v>
      </c>
      <c r="W254" s="9" t="s">
        <v>528</v>
      </c>
      <c r="X254" s="9" t="s">
        <v>4478</v>
      </c>
      <c r="AC254" s="9" t="s">
        <v>4369</v>
      </c>
      <c r="AD254" s="9" t="s">
        <v>4370</v>
      </c>
      <c r="AE254" s="9" t="s">
        <v>4371</v>
      </c>
    </row>
    <row r="255" customFormat="false" ht="15" hidden="false" customHeight="true" outlineLevel="0" collapsed="false">
      <c r="A255" s="6" t="s">
        <v>1332</v>
      </c>
      <c r="B255" s="6" t="s">
        <v>427</v>
      </c>
      <c r="C255" s="6" t="s">
        <v>432</v>
      </c>
      <c r="D255" s="6" t="n">
        <v>6</v>
      </c>
      <c r="E255" s="9" t="s">
        <v>4454</v>
      </c>
      <c r="F255" s="35" t="n">
        <v>126844</v>
      </c>
      <c r="G255" s="42"/>
      <c r="H255" s="42"/>
      <c r="I255" s="42"/>
      <c r="J255" s="42"/>
      <c r="K255" s="42"/>
      <c r="L255" s="42"/>
      <c r="M255" s="42"/>
      <c r="N255" s="42"/>
      <c r="O255" s="42"/>
      <c r="P255" s="42"/>
      <c r="Q255" s="43" t="str">
        <f aca="false">IF($A255="","",IF(OR(F255="",I255=""),"",F255-I255))</f>
        <v/>
      </c>
      <c r="R255" s="43" t="str">
        <f aca="false">IF($A255="","",IF(Q255="","",Q255+IF(O255="",0,O255)))</f>
        <v/>
      </c>
      <c r="S255" s="42"/>
      <c r="T255" s="43" t="str">
        <f aca="false">IF($A255="","",IF(R255="","",R255-IF(S255="",0,S255)))</f>
        <v/>
      </c>
      <c r="U255" s="43" t="str">
        <f aca="false">IF($A255="","",IF(I255="","",I255-SUM(J255:P255)))</f>
        <v/>
      </c>
      <c r="V255" s="6" t="s">
        <v>4455</v>
      </c>
      <c r="W255" s="9" t="s">
        <v>528</v>
      </c>
      <c r="X255" s="9" t="s">
        <v>4459</v>
      </c>
      <c r="AC255" s="9" t="s">
        <v>4369</v>
      </c>
      <c r="AD255" s="9" t="s">
        <v>4370</v>
      </c>
      <c r="AE255" s="9" t="s">
        <v>4371</v>
      </c>
    </row>
    <row r="256" customFormat="false" ht="15" hidden="false" customHeight="true" outlineLevel="0" collapsed="false">
      <c r="A256" s="6" t="s">
        <v>1334</v>
      </c>
      <c r="B256" s="6" t="s">
        <v>427</v>
      </c>
      <c r="C256" s="6" t="s">
        <v>432</v>
      </c>
      <c r="D256" s="6" t="n">
        <v>6</v>
      </c>
      <c r="E256" s="9" t="s">
        <v>4454</v>
      </c>
      <c r="F256" s="35" t="n">
        <v>141893</v>
      </c>
      <c r="G256" s="42"/>
      <c r="H256" s="42"/>
      <c r="I256" s="42"/>
      <c r="J256" s="42"/>
      <c r="K256" s="42"/>
      <c r="L256" s="42"/>
      <c r="M256" s="42"/>
      <c r="N256" s="42"/>
      <c r="O256" s="42"/>
      <c r="P256" s="42"/>
      <c r="Q256" s="43" t="str">
        <f aca="false">IF($A256="","",IF(OR(F256="",I256=""),"",F256-I256))</f>
        <v/>
      </c>
      <c r="R256" s="43" t="str">
        <f aca="false">IF($A256="","",IF(Q256="","",Q256+IF(O256="",0,O256)))</f>
        <v/>
      </c>
      <c r="S256" s="42"/>
      <c r="T256" s="43" t="str">
        <f aca="false">IF($A256="","",IF(R256="","",R256-IF(S256="",0,S256)))</f>
        <v/>
      </c>
      <c r="U256" s="43" t="str">
        <f aca="false">IF($A256="","",IF(I256="","",I256-SUM(J256:P256)))</f>
        <v/>
      </c>
      <c r="V256" s="6" t="s">
        <v>4455</v>
      </c>
      <c r="W256" s="9" t="s">
        <v>528</v>
      </c>
      <c r="X256" s="9" t="s">
        <v>4492</v>
      </c>
      <c r="AC256" s="9" t="s">
        <v>4369</v>
      </c>
      <c r="AD256" s="9" t="s">
        <v>4370</v>
      </c>
      <c r="AE256" s="9" t="s">
        <v>4371</v>
      </c>
    </row>
    <row r="257" customFormat="false" ht="15" hidden="false" customHeight="true" outlineLevel="0" collapsed="false">
      <c r="A257" s="6" t="s">
        <v>1337</v>
      </c>
      <c r="B257" s="6" t="s">
        <v>427</v>
      </c>
      <c r="C257" s="6" t="s">
        <v>432</v>
      </c>
      <c r="D257" s="6" t="n">
        <v>6</v>
      </c>
      <c r="E257" s="9" t="s">
        <v>4454</v>
      </c>
      <c r="F257" s="35" t="n">
        <v>602639</v>
      </c>
      <c r="G257" s="42"/>
      <c r="H257" s="42"/>
      <c r="I257" s="42"/>
      <c r="J257" s="42"/>
      <c r="K257" s="42"/>
      <c r="L257" s="42"/>
      <c r="M257" s="42"/>
      <c r="N257" s="42"/>
      <c r="O257" s="42"/>
      <c r="P257" s="42"/>
      <c r="Q257" s="43" t="str">
        <f aca="false">IF($A257="","",IF(OR(F257="",I257=""),"",F257-I257))</f>
        <v/>
      </c>
      <c r="R257" s="43" t="str">
        <f aca="false">IF($A257="","",IF(Q257="","",Q257+IF(O257="",0,O257)))</f>
        <v/>
      </c>
      <c r="S257" s="42"/>
      <c r="T257" s="43" t="str">
        <f aca="false">IF($A257="","",IF(R257="","",R257-IF(S257="",0,S257)))</f>
        <v/>
      </c>
      <c r="U257" s="43" t="str">
        <f aca="false">IF($A257="","",IF(I257="","",I257-SUM(J257:P257)))</f>
        <v/>
      </c>
      <c r="V257" s="6" t="s">
        <v>4455</v>
      </c>
      <c r="W257" s="9" t="s">
        <v>528</v>
      </c>
      <c r="X257" s="9" t="s">
        <v>4493</v>
      </c>
      <c r="AC257" s="9" t="s">
        <v>4369</v>
      </c>
      <c r="AD257" s="9" t="s">
        <v>4370</v>
      </c>
      <c r="AE257" s="9" t="s">
        <v>4371</v>
      </c>
    </row>
    <row r="258" customFormat="false" ht="15" hidden="false" customHeight="true" outlineLevel="0" collapsed="false">
      <c r="A258" s="6" t="s">
        <v>1340</v>
      </c>
      <c r="B258" s="6" t="s">
        <v>427</v>
      </c>
      <c r="C258" s="6" t="s">
        <v>432</v>
      </c>
      <c r="D258" s="6" t="n">
        <v>6</v>
      </c>
      <c r="E258" s="9" t="s">
        <v>4454</v>
      </c>
      <c r="F258" s="35" t="n">
        <v>133914</v>
      </c>
      <c r="G258" s="42"/>
      <c r="H258" s="42"/>
      <c r="I258" s="42"/>
      <c r="J258" s="42"/>
      <c r="K258" s="42"/>
      <c r="L258" s="42"/>
      <c r="M258" s="42"/>
      <c r="N258" s="42"/>
      <c r="O258" s="42"/>
      <c r="P258" s="42"/>
      <c r="Q258" s="43" t="str">
        <f aca="false">IF($A258="","",IF(OR(F258="",I258=""),"",F258-I258))</f>
        <v/>
      </c>
      <c r="R258" s="43" t="str">
        <f aca="false">IF($A258="","",IF(Q258="","",Q258+IF(O258="",0,O258)))</f>
        <v/>
      </c>
      <c r="S258" s="42"/>
      <c r="T258" s="43" t="str">
        <f aca="false">IF($A258="","",IF(R258="","",R258-IF(S258="",0,S258)))</f>
        <v/>
      </c>
      <c r="U258" s="43" t="str">
        <f aca="false">IF($A258="","",IF(I258="","",I258-SUM(J258:P258)))</f>
        <v/>
      </c>
      <c r="V258" s="6" t="s">
        <v>4455</v>
      </c>
      <c r="W258" s="9" t="s">
        <v>528</v>
      </c>
      <c r="X258" s="9" t="s">
        <v>4494</v>
      </c>
      <c r="AC258" s="9" t="s">
        <v>4369</v>
      </c>
      <c r="AD258" s="9" t="s">
        <v>4370</v>
      </c>
      <c r="AE258" s="9" t="s">
        <v>4371</v>
      </c>
    </row>
    <row r="259" customFormat="false" ht="15" hidden="false" customHeight="true" outlineLevel="0" collapsed="false">
      <c r="A259" s="6" t="s">
        <v>1343</v>
      </c>
      <c r="B259" s="6" t="s">
        <v>427</v>
      </c>
      <c r="C259" s="6" t="s">
        <v>432</v>
      </c>
      <c r="D259" s="6" t="n">
        <v>6</v>
      </c>
      <c r="E259" s="9" t="s">
        <v>4454</v>
      </c>
      <c r="F259" s="35" t="n">
        <v>160746</v>
      </c>
      <c r="G259" s="42"/>
      <c r="H259" s="42"/>
      <c r="I259" s="42"/>
      <c r="J259" s="42"/>
      <c r="K259" s="42"/>
      <c r="L259" s="42"/>
      <c r="M259" s="42"/>
      <c r="N259" s="42"/>
      <c r="O259" s="42"/>
      <c r="P259" s="42"/>
      <c r="Q259" s="43" t="str">
        <f aca="false">IF($A259="","",IF(OR(F259="",I259=""),"",F259-I259))</f>
        <v/>
      </c>
      <c r="R259" s="43" t="str">
        <f aca="false">IF($A259="","",IF(Q259="","",Q259+IF(O259="",0,O259)))</f>
        <v/>
      </c>
      <c r="S259" s="42"/>
      <c r="T259" s="43" t="str">
        <f aca="false">IF($A259="","",IF(R259="","",R259-IF(S259="",0,S259)))</f>
        <v/>
      </c>
      <c r="U259" s="43" t="str">
        <f aca="false">IF($A259="","",IF(I259="","",I259-SUM(J259:P259)))</f>
        <v/>
      </c>
      <c r="V259" s="6" t="s">
        <v>4455</v>
      </c>
      <c r="W259" s="9" t="s">
        <v>528</v>
      </c>
      <c r="X259" s="9" t="s">
        <v>4495</v>
      </c>
      <c r="AC259" s="9" t="s">
        <v>4369</v>
      </c>
      <c r="AD259" s="9" t="s">
        <v>4370</v>
      </c>
      <c r="AE259" s="9" t="s">
        <v>4371</v>
      </c>
    </row>
    <row r="260" customFormat="false" ht="15" hidden="false" customHeight="true" outlineLevel="0" collapsed="false">
      <c r="A260" s="6" t="s">
        <v>1346</v>
      </c>
      <c r="B260" s="6" t="s">
        <v>427</v>
      </c>
      <c r="C260" s="6" t="s">
        <v>432</v>
      </c>
      <c r="D260" s="6" t="n">
        <v>6</v>
      </c>
      <c r="E260" s="9" t="s">
        <v>4381</v>
      </c>
      <c r="F260" s="42"/>
      <c r="G260" s="42"/>
      <c r="H260" s="42"/>
      <c r="I260" s="42"/>
      <c r="J260" s="42"/>
      <c r="K260" s="42"/>
      <c r="L260" s="42"/>
      <c r="M260" s="42"/>
      <c r="N260" s="42"/>
      <c r="O260" s="42"/>
      <c r="P260" s="42"/>
      <c r="Q260" s="43" t="str">
        <f aca="false">IF($A260="","",IF(OR(F260="",I260=""),"",F260-I260))</f>
        <v/>
      </c>
      <c r="R260" s="43" t="str">
        <f aca="false">IF($A260="","",IF(Q260="","",Q260+IF(O260="",0,O260)))</f>
        <v/>
      </c>
      <c r="S260" s="42"/>
      <c r="T260" s="43" t="str">
        <f aca="false">IF($A260="","",IF(R260="","",R260-IF(S260="",0,S260)))</f>
        <v/>
      </c>
      <c r="U260" s="43" t="str">
        <f aca="false">IF($A260="","",IF(I260="","",I260-SUM(J260:P260)))</f>
        <v/>
      </c>
      <c r="V260" s="6" t="s">
        <v>4457</v>
      </c>
      <c r="W260" s="9" t="s">
        <v>528</v>
      </c>
      <c r="X260" s="9" t="s">
        <v>4496</v>
      </c>
      <c r="AC260" s="6" t="s">
        <v>4373</v>
      </c>
      <c r="AD260" s="9" t="s">
        <v>4424</v>
      </c>
      <c r="AE260" s="9" t="s">
        <v>4371</v>
      </c>
    </row>
    <row r="261" customFormat="false" ht="15" hidden="false" customHeight="true" outlineLevel="0" collapsed="false">
      <c r="A261" s="6" t="s">
        <v>1349</v>
      </c>
      <c r="B261" s="6" t="s">
        <v>427</v>
      </c>
      <c r="C261" s="6" t="s">
        <v>432</v>
      </c>
      <c r="D261" s="6" t="n">
        <v>6</v>
      </c>
      <c r="E261" s="9" t="s">
        <v>4381</v>
      </c>
      <c r="F261" s="42"/>
      <c r="G261" s="42"/>
      <c r="H261" s="42"/>
      <c r="I261" s="42"/>
      <c r="J261" s="42"/>
      <c r="K261" s="42"/>
      <c r="L261" s="42"/>
      <c r="M261" s="42"/>
      <c r="N261" s="42"/>
      <c r="O261" s="42"/>
      <c r="P261" s="42"/>
      <c r="Q261" s="43" t="str">
        <f aca="false">IF($A261="","",IF(OR(F261="",I261=""),"",F261-I261))</f>
        <v/>
      </c>
      <c r="R261" s="43" t="str">
        <f aca="false">IF($A261="","",IF(Q261="","",Q261+IF(O261="",0,O261)))</f>
        <v/>
      </c>
      <c r="S261" s="42"/>
      <c r="T261" s="43" t="str">
        <f aca="false">IF($A261="","",IF(R261="","",R261-IF(S261="",0,S261)))</f>
        <v/>
      </c>
      <c r="U261" s="43" t="str">
        <f aca="false">IF($A261="","",IF(I261="","",I261-SUM(J261:P261)))</f>
        <v/>
      </c>
      <c r="V261" s="6" t="s">
        <v>4457</v>
      </c>
      <c r="W261" s="9" t="s">
        <v>528</v>
      </c>
      <c r="X261" s="9" t="s">
        <v>4497</v>
      </c>
      <c r="AC261" s="6" t="s">
        <v>4373</v>
      </c>
      <c r="AD261" s="9" t="s">
        <v>4424</v>
      </c>
      <c r="AE261" s="9" t="s">
        <v>4371</v>
      </c>
    </row>
    <row r="262" customFormat="false" ht="15" hidden="false" customHeight="true" outlineLevel="0" collapsed="false">
      <c r="A262" s="6" t="s">
        <v>1351</v>
      </c>
      <c r="B262" s="6" t="s">
        <v>427</v>
      </c>
      <c r="C262" s="6" t="s">
        <v>432</v>
      </c>
      <c r="D262" s="6" t="n">
        <v>6</v>
      </c>
      <c r="E262" s="9" t="s">
        <v>4454</v>
      </c>
      <c r="F262" s="35" t="n">
        <v>91074</v>
      </c>
      <c r="G262" s="42"/>
      <c r="H262" s="42"/>
      <c r="I262" s="42"/>
      <c r="J262" s="42"/>
      <c r="K262" s="42"/>
      <c r="L262" s="42"/>
      <c r="M262" s="42"/>
      <c r="N262" s="42"/>
      <c r="O262" s="42"/>
      <c r="P262" s="42"/>
      <c r="Q262" s="43" t="str">
        <f aca="false">IF($A262="","",IF(OR(F262="",I262=""),"",F262-I262))</f>
        <v/>
      </c>
      <c r="R262" s="43" t="str">
        <f aca="false">IF($A262="","",IF(Q262="","",Q262+IF(O262="",0,O262)))</f>
        <v/>
      </c>
      <c r="S262" s="42"/>
      <c r="T262" s="43" t="str">
        <f aca="false">IF($A262="","",IF(R262="","",R262-IF(S262="",0,S262)))</f>
        <v/>
      </c>
      <c r="U262" s="43" t="str">
        <f aca="false">IF($A262="","",IF(I262="","",I262-SUM(J262:P262)))</f>
        <v/>
      </c>
      <c r="V262" s="6" t="s">
        <v>4455</v>
      </c>
      <c r="W262" s="9" t="s">
        <v>528</v>
      </c>
      <c r="X262" s="9" t="s">
        <v>4459</v>
      </c>
      <c r="AC262" s="9" t="s">
        <v>4369</v>
      </c>
      <c r="AD262" s="9" t="s">
        <v>4370</v>
      </c>
      <c r="AE262" s="9" t="s">
        <v>4371</v>
      </c>
    </row>
    <row r="263" customFormat="false" ht="15" hidden="false" customHeight="true" outlineLevel="0" collapsed="false">
      <c r="A263" s="6" t="s">
        <v>1353</v>
      </c>
      <c r="B263" s="6" t="s">
        <v>427</v>
      </c>
      <c r="C263" s="6" t="s">
        <v>432</v>
      </c>
      <c r="D263" s="6" t="n">
        <v>6</v>
      </c>
      <c r="E263" s="9" t="s">
        <v>4454</v>
      </c>
      <c r="F263" s="35" t="n">
        <v>218454</v>
      </c>
      <c r="G263" s="42"/>
      <c r="H263" s="42"/>
      <c r="I263" s="42"/>
      <c r="J263" s="42"/>
      <c r="K263" s="42"/>
      <c r="L263" s="42"/>
      <c r="M263" s="42"/>
      <c r="N263" s="42"/>
      <c r="O263" s="42"/>
      <c r="P263" s="42"/>
      <c r="Q263" s="43" t="str">
        <f aca="false">IF($A263="","",IF(OR(F263="",I263=""),"",F263-I263))</f>
        <v/>
      </c>
      <c r="R263" s="43" t="str">
        <f aca="false">IF($A263="","",IF(Q263="","",Q263+IF(O263="",0,O263)))</f>
        <v/>
      </c>
      <c r="S263" s="42"/>
      <c r="T263" s="43" t="str">
        <f aca="false">IF($A263="","",IF(R263="","",R263-IF(S263="",0,S263)))</f>
        <v/>
      </c>
      <c r="U263" s="43" t="str">
        <f aca="false">IF($A263="","",IF(I263="","",I263-SUM(J263:P263)))</f>
        <v/>
      </c>
      <c r="V263" s="6" t="s">
        <v>4455</v>
      </c>
      <c r="W263" s="9" t="s">
        <v>528</v>
      </c>
      <c r="X263" s="9" t="s">
        <v>4459</v>
      </c>
      <c r="AC263" s="9" t="s">
        <v>4369</v>
      </c>
      <c r="AD263" s="9" t="s">
        <v>4370</v>
      </c>
      <c r="AE263" s="9" t="s">
        <v>4371</v>
      </c>
    </row>
    <row r="264" customFormat="false" ht="15" hidden="false" customHeight="true" outlineLevel="0" collapsed="false">
      <c r="A264" s="6" t="s">
        <v>1355</v>
      </c>
      <c r="B264" s="6" t="s">
        <v>427</v>
      </c>
      <c r="C264" s="6" t="s">
        <v>432</v>
      </c>
      <c r="D264" s="6" t="n">
        <v>6</v>
      </c>
      <c r="E264" s="9" t="s">
        <v>4454</v>
      </c>
      <c r="F264" s="35" t="n">
        <v>75759</v>
      </c>
      <c r="G264" s="42"/>
      <c r="H264" s="42"/>
      <c r="I264" s="42"/>
      <c r="J264" s="42"/>
      <c r="K264" s="42"/>
      <c r="L264" s="42"/>
      <c r="M264" s="42"/>
      <c r="N264" s="42"/>
      <c r="O264" s="42"/>
      <c r="P264" s="42"/>
      <c r="Q264" s="43" t="str">
        <f aca="false">IF($A264="","",IF(OR(F264="",I264=""),"",F264-I264))</f>
        <v/>
      </c>
      <c r="R264" s="43" t="str">
        <f aca="false">IF($A264="","",IF(Q264="","",Q264+IF(O264="",0,O264)))</f>
        <v/>
      </c>
      <c r="S264" s="42"/>
      <c r="T264" s="43" t="str">
        <f aca="false">IF($A264="","",IF(R264="","",R264-IF(S264="",0,S264)))</f>
        <v/>
      </c>
      <c r="U264" s="43" t="str">
        <f aca="false">IF($A264="","",IF(I264="","",I264-SUM(J264:P264)))</f>
        <v/>
      </c>
      <c r="V264" s="6" t="s">
        <v>4455</v>
      </c>
      <c r="W264" s="9" t="s">
        <v>528</v>
      </c>
      <c r="X264" s="9" t="s">
        <v>4498</v>
      </c>
      <c r="AC264" s="9" t="s">
        <v>4369</v>
      </c>
      <c r="AD264" s="9" t="s">
        <v>4370</v>
      </c>
      <c r="AE264" s="9" t="s">
        <v>4371</v>
      </c>
    </row>
    <row r="265" customFormat="false" ht="15" hidden="false" customHeight="true" outlineLevel="0" collapsed="false">
      <c r="A265" s="6" t="s">
        <v>1358</v>
      </c>
      <c r="B265" s="6" t="s">
        <v>427</v>
      </c>
      <c r="C265" s="6" t="s">
        <v>432</v>
      </c>
      <c r="D265" s="6" t="n">
        <v>6</v>
      </c>
      <c r="E265" s="9" t="s">
        <v>4381</v>
      </c>
      <c r="F265" s="42"/>
      <c r="G265" s="42"/>
      <c r="H265" s="42"/>
      <c r="I265" s="42"/>
      <c r="J265" s="42"/>
      <c r="K265" s="42"/>
      <c r="L265" s="42"/>
      <c r="M265" s="42"/>
      <c r="N265" s="42"/>
      <c r="O265" s="42"/>
      <c r="P265" s="42"/>
      <c r="Q265" s="43" t="str">
        <f aca="false">IF($A265="","",IF(OR(F265="",I265=""),"",F265-I265))</f>
        <v/>
      </c>
      <c r="R265" s="43" t="str">
        <f aca="false">IF($A265="","",IF(Q265="","",Q265+IF(O265="",0,O265)))</f>
        <v/>
      </c>
      <c r="S265" s="42"/>
      <c r="T265" s="43" t="str">
        <f aca="false">IF($A265="","",IF(R265="","",R265-IF(S265="",0,S265)))</f>
        <v/>
      </c>
      <c r="U265" s="43" t="str">
        <f aca="false">IF($A265="","",IF(I265="","",I265-SUM(J265:P265)))</f>
        <v/>
      </c>
      <c r="V265" s="6" t="s">
        <v>4457</v>
      </c>
      <c r="W265" s="9" t="s">
        <v>528</v>
      </c>
      <c r="X265" s="9" t="s">
        <v>4499</v>
      </c>
      <c r="AC265" s="9" t="s">
        <v>4369</v>
      </c>
      <c r="AD265" s="9" t="s">
        <v>4370</v>
      </c>
      <c r="AE265" s="9" t="s">
        <v>4371</v>
      </c>
    </row>
    <row r="266" customFormat="false" ht="15" hidden="false" customHeight="true" outlineLevel="0" collapsed="false">
      <c r="A266" s="6" t="s">
        <v>1361</v>
      </c>
      <c r="B266" s="6" t="s">
        <v>427</v>
      </c>
      <c r="C266" s="6" t="s">
        <v>432</v>
      </c>
      <c r="D266" s="6" t="n">
        <v>6</v>
      </c>
      <c r="E266" s="9" t="s">
        <v>4500</v>
      </c>
      <c r="F266" s="42"/>
      <c r="G266" s="42"/>
      <c r="H266" s="42"/>
      <c r="I266" s="42"/>
      <c r="J266" s="42"/>
      <c r="K266" s="42"/>
      <c r="L266" s="42"/>
      <c r="M266" s="42"/>
      <c r="N266" s="42"/>
      <c r="O266" s="42"/>
      <c r="P266" s="42"/>
      <c r="Q266" s="43" t="str">
        <f aca="false">IF($A266="","",IF(OR(F266="",I266=""),"",F266-I266))</f>
        <v/>
      </c>
      <c r="R266" s="43" t="str">
        <f aca="false">IF($A266="","",IF(Q266="","",Q266+IF(O266="",0,O266)))</f>
        <v/>
      </c>
      <c r="S266" s="42"/>
      <c r="T266" s="43" t="str">
        <f aca="false">IF($A266="","",IF(R266="","",R266-IF(S266="",0,S266)))</f>
        <v/>
      </c>
      <c r="U266" s="43" t="str">
        <f aca="false">IF($A266="","",IF(I266="","",I266-SUM(J266:P266)))</f>
        <v/>
      </c>
      <c r="V266" s="6" t="s">
        <v>4501</v>
      </c>
      <c r="W266" s="9" t="s">
        <v>528</v>
      </c>
      <c r="X266" s="9" t="s">
        <v>4502</v>
      </c>
      <c r="AC266" s="6" t="s">
        <v>4373</v>
      </c>
      <c r="AD266" s="9" t="s">
        <v>4389</v>
      </c>
      <c r="AE266" s="9" t="s">
        <v>4371</v>
      </c>
    </row>
    <row r="267" customFormat="false" ht="15" hidden="false" customHeight="true" outlineLevel="0" collapsed="false">
      <c r="A267" s="6" t="s">
        <v>1366</v>
      </c>
      <c r="B267" s="6" t="s">
        <v>427</v>
      </c>
      <c r="C267" s="6" t="s">
        <v>432</v>
      </c>
      <c r="D267" s="6" t="n">
        <v>6</v>
      </c>
      <c r="E267" s="9" t="s">
        <v>4376</v>
      </c>
      <c r="F267" s="35" t="n">
        <v>18460367</v>
      </c>
      <c r="G267" s="35" t="n">
        <v>17283751</v>
      </c>
      <c r="H267" s="35" t="n">
        <v>1176615</v>
      </c>
      <c r="I267" s="35" t="n">
        <v>8718295</v>
      </c>
      <c r="J267" s="35" t="n">
        <v>803651</v>
      </c>
      <c r="K267" s="35" t="n">
        <v>1227970</v>
      </c>
      <c r="L267" s="35" t="n">
        <v>2725332</v>
      </c>
      <c r="M267" s="35" t="n">
        <v>35727</v>
      </c>
      <c r="N267" s="35" t="n">
        <v>466958</v>
      </c>
      <c r="O267" s="35" t="n">
        <v>2188623</v>
      </c>
      <c r="P267" s="35" t="n">
        <v>1270031</v>
      </c>
      <c r="Q267" s="43" t="n">
        <f aca="false">IF($A267="","",IF(OR(F267="",I267=""),"",F267-I267))</f>
        <v>9742072</v>
      </c>
      <c r="R267" s="43" t="n">
        <f aca="false">IF($A267="","",IF(Q267="","",Q267+IF(O267="",0,O267)))</f>
        <v>11930695</v>
      </c>
      <c r="S267" s="35" t="n">
        <v>1606000</v>
      </c>
      <c r="T267" s="43" t="n">
        <f aca="false">IF($A267="","",IF(R267="","",R267-IF(S267="",0,S267)))</f>
        <v>10324695</v>
      </c>
      <c r="U267" s="43" t="n">
        <f aca="false">IF($A267="","",IF(I267="","",I267-SUM(J267:P267)))</f>
        <v>3</v>
      </c>
      <c r="V267" s="6" t="s">
        <v>4503</v>
      </c>
      <c r="W267" s="44" t="s">
        <v>1168</v>
      </c>
      <c r="X267" s="9" t="s">
        <v>4504</v>
      </c>
      <c r="AC267" s="9" t="s">
        <v>4369</v>
      </c>
      <c r="AD267" s="9" t="s">
        <v>4370</v>
      </c>
      <c r="AE267" s="9" t="s">
        <v>4371</v>
      </c>
    </row>
    <row r="268" customFormat="false" ht="15" hidden="false" customHeight="true" outlineLevel="0" collapsed="false">
      <c r="A268" s="6" t="s">
        <v>1371</v>
      </c>
      <c r="B268" s="6" t="s">
        <v>434</v>
      </c>
      <c r="C268" s="6" t="s">
        <v>438</v>
      </c>
      <c r="D268" s="6" t="n">
        <v>6</v>
      </c>
      <c r="E268" s="9" t="s">
        <v>4505</v>
      </c>
      <c r="F268" s="42"/>
      <c r="G268" s="42"/>
      <c r="H268" s="42"/>
      <c r="I268" s="42"/>
      <c r="J268" s="42"/>
      <c r="K268" s="42"/>
      <c r="L268" s="42"/>
      <c r="M268" s="42"/>
      <c r="N268" s="42"/>
      <c r="O268" s="42"/>
      <c r="P268" s="42"/>
      <c r="Q268" s="43" t="str">
        <f aca="false">IF($A268="","",IF(OR(F268="",I268=""),"",F268-I268))</f>
        <v/>
      </c>
      <c r="R268" s="43" t="str">
        <f aca="false">IF($A268="","",IF(Q268="","",Q268+IF(O268="",0,O268)))</f>
        <v/>
      </c>
      <c r="S268" s="42"/>
      <c r="T268" s="43" t="str">
        <f aca="false">IF($A268="","",IF(R268="","",R268-IF(S268="",0,S268)))</f>
        <v/>
      </c>
      <c r="U268" s="43" t="str">
        <f aca="false">IF($A268="","",IF(I268="","",I268-SUM(J268:P268)))</f>
        <v/>
      </c>
      <c r="V268" s="6" t="s">
        <v>4506</v>
      </c>
      <c r="W268" s="9" t="s">
        <v>528</v>
      </c>
      <c r="X268" s="6" t="s">
        <v>4507</v>
      </c>
      <c r="AC268" s="9" t="s">
        <v>4369</v>
      </c>
      <c r="AD268" s="9" t="s">
        <v>4370</v>
      </c>
      <c r="AE268" s="9" t="s">
        <v>4371</v>
      </c>
    </row>
    <row r="269" customFormat="false" ht="15" hidden="false" customHeight="true" outlineLevel="0" collapsed="false">
      <c r="A269" s="6" t="s">
        <v>1376</v>
      </c>
      <c r="B269" s="6" t="s">
        <v>434</v>
      </c>
      <c r="C269" s="6" t="s">
        <v>438</v>
      </c>
      <c r="D269" s="6" t="n">
        <v>6</v>
      </c>
      <c r="E269" s="9" t="s">
        <v>4505</v>
      </c>
      <c r="F269" s="42"/>
      <c r="G269" s="42"/>
      <c r="H269" s="42"/>
      <c r="I269" s="42"/>
      <c r="J269" s="42"/>
      <c r="K269" s="42"/>
      <c r="L269" s="42"/>
      <c r="M269" s="42"/>
      <c r="N269" s="42"/>
      <c r="O269" s="42"/>
      <c r="P269" s="42"/>
      <c r="Q269" s="43" t="str">
        <f aca="false">IF($A269="","",IF(OR(F269="",I269=""),"",F269-I269))</f>
        <v/>
      </c>
      <c r="R269" s="43" t="str">
        <f aca="false">IF($A269="","",IF(Q269="","",Q269+IF(O269="",0,O269)))</f>
        <v/>
      </c>
      <c r="S269" s="42"/>
      <c r="T269" s="43" t="str">
        <f aca="false">IF($A269="","",IF(R269="","",R269-IF(S269="",0,S269)))</f>
        <v/>
      </c>
      <c r="U269" s="43" t="str">
        <f aca="false">IF($A269="","",IF(I269="","",I269-SUM(J269:P269)))</f>
        <v/>
      </c>
      <c r="V269" s="6" t="s">
        <v>4506</v>
      </c>
      <c r="W269" s="9" t="s">
        <v>528</v>
      </c>
      <c r="X269" s="6" t="s">
        <v>4508</v>
      </c>
      <c r="AC269" s="9" t="s">
        <v>4369</v>
      </c>
      <c r="AD269" s="9" t="s">
        <v>4370</v>
      </c>
      <c r="AE269" s="9" t="s">
        <v>4371</v>
      </c>
    </row>
    <row r="270" customFormat="false" ht="15" hidden="false" customHeight="true" outlineLevel="0" collapsed="false">
      <c r="A270" s="6" t="s">
        <v>1379</v>
      </c>
      <c r="B270" s="6" t="s">
        <v>434</v>
      </c>
      <c r="C270" s="6" t="s">
        <v>438</v>
      </c>
      <c r="D270" s="6" t="n">
        <v>6</v>
      </c>
      <c r="E270" s="9" t="s">
        <v>4505</v>
      </c>
      <c r="F270" s="42"/>
      <c r="G270" s="42"/>
      <c r="H270" s="42"/>
      <c r="I270" s="42"/>
      <c r="J270" s="42"/>
      <c r="K270" s="42"/>
      <c r="L270" s="42"/>
      <c r="M270" s="42"/>
      <c r="N270" s="42"/>
      <c r="O270" s="42"/>
      <c r="P270" s="42"/>
      <c r="Q270" s="43" t="str">
        <f aca="false">IF($A270="","",IF(OR(F270="",I270=""),"",F270-I270))</f>
        <v/>
      </c>
      <c r="R270" s="43" t="str">
        <f aca="false">IF($A270="","",IF(Q270="","",Q270+IF(O270="",0,O270)))</f>
        <v/>
      </c>
      <c r="S270" s="42"/>
      <c r="T270" s="43" t="str">
        <f aca="false">IF($A270="","",IF(R270="","",R270-IF(S270="",0,S270)))</f>
        <v/>
      </c>
      <c r="U270" s="43" t="str">
        <f aca="false">IF($A270="","",IF(I270="","",I270-SUM(J270:P270)))</f>
        <v/>
      </c>
      <c r="V270" s="6" t="s">
        <v>4506</v>
      </c>
      <c r="W270" s="9" t="s">
        <v>528</v>
      </c>
      <c r="X270" s="6" t="s">
        <v>4509</v>
      </c>
      <c r="AC270" s="9" t="s">
        <v>4369</v>
      </c>
      <c r="AD270" s="9" t="s">
        <v>4370</v>
      </c>
      <c r="AE270" s="9" t="s">
        <v>4371</v>
      </c>
    </row>
    <row r="271" customFormat="false" ht="15" hidden="false" customHeight="true" outlineLevel="0" collapsed="false">
      <c r="A271" s="6" t="s">
        <v>1382</v>
      </c>
      <c r="B271" s="6" t="s">
        <v>434</v>
      </c>
      <c r="C271" s="6" t="s">
        <v>438</v>
      </c>
      <c r="D271" s="6" t="n">
        <v>6</v>
      </c>
      <c r="E271" s="9" t="s">
        <v>4505</v>
      </c>
      <c r="F271" s="42"/>
      <c r="G271" s="42"/>
      <c r="H271" s="42"/>
      <c r="I271" s="42"/>
      <c r="J271" s="42"/>
      <c r="K271" s="42"/>
      <c r="L271" s="42"/>
      <c r="M271" s="42"/>
      <c r="N271" s="42"/>
      <c r="O271" s="42"/>
      <c r="P271" s="42"/>
      <c r="Q271" s="43" t="str">
        <f aca="false">IF($A271="","",IF(OR(F271="",I271=""),"",F271-I271))</f>
        <v/>
      </c>
      <c r="R271" s="43" t="str">
        <f aca="false">IF($A271="","",IF(Q271="","",Q271+IF(O271="",0,O271)))</f>
        <v/>
      </c>
      <c r="S271" s="42"/>
      <c r="T271" s="43" t="str">
        <f aca="false">IF($A271="","",IF(R271="","",R271-IF(S271="",0,S271)))</f>
        <v/>
      </c>
      <c r="U271" s="43" t="str">
        <f aca="false">IF($A271="","",IF(I271="","",I271-SUM(J271:P271)))</f>
        <v/>
      </c>
      <c r="V271" s="6" t="s">
        <v>4506</v>
      </c>
      <c r="W271" s="9" t="s">
        <v>528</v>
      </c>
      <c r="X271" s="6" t="s">
        <v>4510</v>
      </c>
      <c r="AC271" s="9" t="s">
        <v>4369</v>
      </c>
      <c r="AD271" s="9" t="s">
        <v>4370</v>
      </c>
      <c r="AE271" s="9" t="s">
        <v>4371</v>
      </c>
    </row>
    <row r="272" customFormat="false" ht="15" hidden="false" customHeight="true" outlineLevel="0" collapsed="false">
      <c r="A272" s="6" t="s">
        <v>1385</v>
      </c>
      <c r="B272" s="6" t="s">
        <v>434</v>
      </c>
      <c r="C272" s="6" t="s">
        <v>438</v>
      </c>
      <c r="D272" s="6" t="n">
        <v>6</v>
      </c>
      <c r="E272" s="9" t="s">
        <v>4505</v>
      </c>
      <c r="F272" s="42"/>
      <c r="G272" s="42"/>
      <c r="H272" s="42"/>
      <c r="I272" s="42"/>
      <c r="J272" s="42"/>
      <c r="K272" s="42"/>
      <c r="L272" s="42"/>
      <c r="M272" s="42"/>
      <c r="N272" s="42"/>
      <c r="O272" s="42"/>
      <c r="P272" s="42"/>
      <c r="Q272" s="43" t="str">
        <f aca="false">IF($A272="","",IF(OR(F272="",I272=""),"",F272-I272))</f>
        <v/>
      </c>
      <c r="R272" s="43" t="str">
        <f aca="false">IF($A272="","",IF(Q272="","",Q272+IF(O272="",0,O272)))</f>
        <v/>
      </c>
      <c r="S272" s="42"/>
      <c r="T272" s="43" t="str">
        <f aca="false">IF($A272="","",IF(R272="","",R272-IF(S272="",0,S272)))</f>
        <v/>
      </c>
      <c r="U272" s="43" t="str">
        <f aca="false">IF($A272="","",IF(I272="","",I272-SUM(J272:P272)))</f>
        <v/>
      </c>
      <c r="V272" s="6" t="s">
        <v>4506</v>
      </c>
      <c r="W272" s="9" t="s">
        <v>528</v>
      </c>
      <c r="X272" s="6" t="s">
        <v>4511</v>
      </c>
      <c r="AC272" s="9" t="s">
        <v>4369</v>
      </c>
      <c r="AD272" s="9" t="s">
        <v>4370</v>
      </c>
      <c r="AE272" s="9" t="s">
        <v>4371</v>
      </c>
    </row>
    <row r="273" customFormat="false" ht="15" hidden="false" customHeight="true" outlineLevel="0" collapsed="false">
      <c r="A273" s="6" t="s">
        <v>1388</v>
      </c>
      <c r="B273" s="6" t="s">
        <v>434</v>
      </c>
      <c r="C273" s="6" t="s">
        <v>438</v>
      </c>
      <c r="D273" s="6" t="n">
        <v>6</v>
      </c>
      <c r="E273" s="9" t="s">
        <v>4505</v>
      </c>
      <c r="F273" s="42"/>
      <c r="G273" s="42"/>
      <c r="H273" s="42"/>
      <c r="I273" s="42"/>
      <c r="J273" s="42"/>
      <c r="K273" s="42"/>
      <c r="L273" s="42"/>
      <c r="M273" s="42"/>
      <c r="N273" s="42"/>
      <c r="O273" s="42"/>
      <c r="P273" s="42"/>
      <c r="Q273" s="43" t="str">
        <f aca="false">IF($A273="","",IF(OR(F273="",I273=""),"",F273-I273))</f>
        <v/>
      </c>
      <c r="R273" s="43" t="str">
        <f aca="false">IF($A273="","",IF(Q273="","",Q273+IF(O273="",0,O273)))</f>
        <v/>
      </c>
      <c r="S273" s="42"/>
      <c r="T273" s="43" t="str">
        <f aca="false">IF($A273="","",IF(R273="","",R273-IF(S273="",0,S273)))</f>
        <v/>
      </c>
      <c r="U273" s="43" t="str">
        <f aca="false">IF($A273="","",IF(I273="","",I273-SUM(J273:P273)))</f>
        <v/>
      </c>
      <c r="V273" s="6" t="s">
        <v>4506</v>
      </c>
      <c r="W273" s="9" t="s">
        <v>528</v>
      </c>
      <c r="X273" s="6" t="s">
        <v>4512</v>
      </c>
      <c r="AC273" s="9" t="s">
        <v>4369</v>
      </c>
      <c r="AD273" s="9" t="s">
        <v>4370</v>
      </c>
      <c r="AE273" s="9" t="s">
        <v>4371</v>
      </c>
    </row>
    <row r="274" customFormat="false" ht="15" hidden="false" customHeight="true" outlineLevel="0" collapsed="false">
      <c r="A274" s="6" t="s">
        <v>1391</v>
      </c>
      <c r="B274" s="6" t="s">
        <v>434</v>
      </c>
      <c r="C274" s="6" t="s">
        <v>438</v>
      </c>
      <c r="D274" s="6" t="n">
        <v>6</v>
      </c>
      <c r="E274" s="9" t="s">
        <v>4505</v>
      </c>
      <c r="F274" s="42"/>
      <c r="G274" s="42"/>
      <c r="H274" s="42"/>
      <c r="I274" s="42"/>
      <c r="J274" s="42"/>
      <c r="K274" s="42"/>
      <c r="L274" s="42"/>
      <c r="M274" s="42"/>
      <c r="N274" s="42"/>
      <c r="O274" s="42"/>
      <c r="P274" s="42"/>
      <c r="Q274" s="43" t="str">
        <f aca="false">IF($A274="","",IF(OR(F274="",I274=""),"",F274-I274))</f>
        <v/>
      </c>
      <c r="R274" s="43" t="str">
        <f aca="false">IF($A274="","",IF(Q274="","",Q274+IF(O274="",0,O274)))</f>
        <v/>
      </c>
      <c r="S274" s="42"/>
      <c r="T274" s="43" t="str">
        <f aca="false">IF($A274="","",IF(R274="","",R274-IF(S274="",0,S274)))</f>
        <v/>
      </c>
      <c r="U274" s="43" t="str">
        <f aca="false">IF($A274="","",IF(I274="","",I274-SUM(J274:P274)))</f>
        <v/>
      </c>
      <c r="V274" s="6" t="s">
        <v>4506</v>
      </c>
      <c r="W274" s="9" t="s">
        <v>528</v>
      </c>
      <c r="X274" s="6" t="s">
        <v>4513</v>
      </c>
      <c r="AC274" s="9" t="s">
        <v>4369</v>
      </c>
      <c r="AD274" s="9" t="s">
        <v>4370</v>
      </c>
      <c r="AE274" s="9" t="s">
        <v>4371</v>
      </c>
    </row>
    <row r="275" customFormat="false" ht="15" hidden="false" customHeight="true" outlineLevel="0" collapsed="false">
      <c r="A275" s="6" t="s">
        <v>1394</v>
      </c>
      <c r="B275" s="6" t="s">
        <v>434</v>
      </c>
      <c r="C275" s="6" t="s">
        <v>438</v>
      </c>
      <c r="D275" s="6" t="n">
        <v>6</v>
      </c>
      <c r="E275" s="9" t="s">
        <v>4505</v>
      </c>
      <c r="F275" s="42"/>
      <c r="G275" s="42"/>
      <c r="H275" s="42"/>
      <c r="I275" s="42"/>
      <c r="J275" s="42"/>
      <c r="K275" s="42"/>
      <c r="L275" s="42"/>
      <c r="M275" s="42"/>
      <c r="N275" s="42"/>
      <c r="O275" s="42"/>
      <c r="P275" s="42"/>
      <c r="Q275" s="43" t="str">
        <f aca="false">IF($A275="","",IF(OR(F275="",I275=""),"",F275-I275))</f>
        <v/>
      </c>
      <c r="R275" s="43" t="str">
        <f aca="false">IF($A275="","",IF(Q275="","",Q275+IF(O275="",0,O275)))</f>
        <v/>
      </c>
      <c r="S275" s="42"/>
      <c r="T275" s="43" t="str">
        <f aca="false">IF($A275="","",IF(R275="","",R275-IF(S275="",0,S275)))</f>
        <v/>
      </c>
      <c r="U275" s="43" t="str">
        <f aca="false">IF($A275="","",IF(I275="","",I275-SUM(J275:P275)))</f>
        <v/>
      </c>
      <c r="V275" s="6" t="s">
        <v>4506</v>
      </c>
      <c r="W275" s="9" t="s">
        <v>528</v>
      </c>
      <c r="X275" s="6" t="s">
        <v>4514</v>
      </c>
      <c r="AC275" s="9" t="s">
        <v>4369</v>
      </c>
      <c r="AD275" s="9" t="s">
        <v>4370</v>
      </c>
      <c r="AE275" s="9" t="s">
        <v>4371</v>
      </c>
    </row>
    <row r="276" customFormat="false" ht="15" hidden="false" customHeight="true" outlineLevel="0" collapsed="false">
      <c r="A276" s="6" t="s">
        <v>1398</v>
      </c>
      <c r="B276" s="6" t="s">
        <v>434</v>
      </c>
      <c r="C276" s="6" t="s">
        <v>438</v>
      </c>
      <c r="D276" s="6" t="n">
        <v>6</v>
      </c>
      <c r="E276" s="9" t="s">
        <v>4505</v>
      </c>
      <c r="F276" s="42"/>
      <c r="G276" s="42"/>
      <c r="H276" s="42"/>
      <c r="I276" s="42"/>
      <c r="J276" s="42"/>
      <c r="K276" s="42"/>
      <c r="L276" s="42"/>
      <c r="M276" s="42"/>
      <c r="N276" s="42"/>
      <c r="O276" s="42"/>
      <c r="P276" s="42"/>
      <c r="Q276" s="43" t="str">
        <f aca="false">IF($A276="","",IF(OR(F276="",I276=""),"",F276-I276))</f>
        <v/>
      </c>
      <c r="R276" s="43" t="str">
        <f aca="false">IF($A276="","",IF(Q276="","",Q276+IF(O276="",0,O276)))</f>
        <v/>
      </c>
      <c r="S276" s="42"/>
      <c r="T276" s="43" t="str">
        <f aca="false">IF($A276="","",IF(R276="","",R276-IF(S276="",0,S276)))</f>
        <v/>
      </c>
      <c r="U276" s="43" t="str">
        <f aca="false">IF($A276="","",IF(I276="","",I276-SUM(J276:P276)))</f>
        <v/>
      </c>
      <c r="V276" s="6" t="s">
        <v>4506</v>
      </c>
      <c r="W276" s="9" t="s">
        <v>528</v>
      </c>
      <c r="X276" s="6" t="s">
        <v>4515</v>
      </c>
      <c r="AC276" s="9" t="s">
        <v>4369</v>
      </c>
      <c r="AD276" s="9" t="s">
        <v>4370</v>
      </c>
      <c r="AE276" s="9" t="s">
        <v>4371</v>
      </c>
    </row>
    <row r="277" customFormat="false" ht="15" hidden="false" customHeight="true" outlineLevel="0" collapsed="false">
      <c r="A277" s="6" t="s">
        <v>1401</v>
      </c>
      <c r="B277" s="6" t="s">
        <v>434</v>
      </c>
      <c r="C277" s="6" t="s">
        <v>438</v>
      </c>
      <c r="D277" s="6" t="n">
        <v>6</v>
      </c>
      <c r="E277" s="9" t="s">
        <v>4505</v>
      </c>
      <c r="F277" s="42"/>
      <c r="G277" s="42"/>
      <c r="H277" s="42"/>
      <c r="I277" s="42"/>
      <c r="J277" s="42"/>
      <c r="K277" s="42"/>
      <c r="L277" s="42"/>
      <c r="M277" s="42"/>
      <c r="N277" s="42"/>
      <c r="O277" s="42"/>
      <c r="P277" s="42"/>
      <c r="Q277" s="43" t="str">
        <f aca="false">IF($A277="","",IF(OR(F277="",I277=""),"",F277-I277))</f>
        <v/>
      </c>
      <c r="R277" s="43" t="str">
        <f aca="false">IF($A277="","",IF(Q277="","",Q277+IF(O277="",0,O277)))</f>
        <v/>
      </c>
      <c r="S277" s="42"/>
      <c r="T277" s="43" t="str">
        <f aca="false">IF($A277="","",IF(R277="","",R277-IF(S277="",0,S277)))</f>
        <v/>
      </c>
      <c r="U277" s="43" t="str">
        <f aca="false">IF($A277="","",IF(I277="","",I277-SUM(J277:P277)))</f>
        <v/>
      </c>
      <c r="V277" s="6" t="s">
        <v>4506</v>
      </c>
      <c r="W277" s="9" t="s">
        <v>528</v>
      </c>
      <c r="X277" s="6" t="s">
        <v>4516</v>
      </c>
      <c r="AC277" s="9" t="s">
        <v>4369</v>
      </c>
      <c r="AD277" s="9" t="s">
        <v>4370</v>
      </c>
      <c r="AE277" s="9" t="s">
        <v>4371</v>
      </c>
    </row>
    <row r="278" customFormat="false" ht="15" hidden="false" customHeight="true" outlineLevel="0" collapsed="false">
      <c r="A278" s="6" t="s">
        <v>1405</v>
      </c>
      <c r="B278" s="6" t="s">
        <v>434</v>
      </c>
      <c r="C278" s="6" t="s">
        <v>438</v>
      </c>
      <c r="D278" s="6" t="n">
        <v>6</v>
      </c>
      <c r="E278" s="9" t="s">
        <v>4505</v>
      </c>
      <c r="F278" s="42"/>
      <c r="G278" s="42"/>
      <c r="H278" s="42"/>
      <c r="I278" s="42"/>
      <c r="J278" s="42"/>
      <c r="K278" s="42"/>
      <c r="L278" s="42"/>
      <c r="M278" s="42"/>
      <c r="N278" s="42"/>
      <c r="O278" s="42"/>
      <c r="P278" s="42"/>
      <c r="Q278" s="43" t="str">
        <f aca="false">IF($A278="","",IF(OR(F278="",I278=""),"",F278-I278))</f>
        <v/>
      </c>
      <c r="R278" s="43" t="str">
        <f aca="false">IF($A278="","",IF(Q278="","",Q278+IF(O278="",0,O278)))</f>
        <v/>
      </c>
      <c r="S278" s="42"/>
      <c r="T278" s="43" t="str">
        <f aca="false">IF($A278="","",IF(R278="","",R278-IF(S278="",0,S278)))</f>
        <v/>
      </c>
      <c r="U278" s="43" t="str">
        <f aca="false">IF($A278="","",IF(I278="","",I278-SUM(J278:P278)))</f>
        <v/>
      </c>
      <c r="V278" s="6" t="s">
        <v>4506</v>
      </c>
      <c r="W278" s="9" t="s">
        <v>528</v>
      </c>
      <c r="X278" s="6" t="s">
        <v>4517</v>
      </c>
      <c r="AC278" s="9" t="s">
        <v>4369</v>
      </c>
      <c r="AD278" s="9" t="s">
        <v>4370</v>
      </c>
      <c r="AE278" s="9" t="s">
        <v>4371</v>
      </c>
    </row>
    <row r="279" customFormat="false" ht="15" hidden="false" customHeight="true" outlineLevel="0" collapsed="false">
      <c r="A279" s="6" t="s">
        <v>1408</v>
      </c>
      <c r="B279" s="6" t="s">
        <v>434</v>
      </c>
      <c r="C279" s="6" t="s">
        <v>438</v>
      </c>
      <c r="D279" s="6" t="n">
        <v>6</v>
      </c>
      <c r="E279" s="9" t="s">
        <v>4505</v>
      </c>
      <c r="F279" s="42"/>
      <c r="G279" s="42"/>
      <c r="H279" s="42"/>
      <c r="I279" s="42"/>
      <c r="J279" s="42"/>
      <c r="K279" s="42"/>
      <c r="L279" s="42"/>
      <c r="M279" s="42"/>
      <c r="N279" s="42"/>
      <c r="O279" s="42"/>
      <c r="P279" s="42"/>
      <c r="Q279" s="43" t="str">
        <f aca="false">IF($A279="","",IF(OR(F279="",I279=""),"",F279-I279))</f>
        <v/>
      </c>
      <c r="R279" s="43" t="str">
        <f aca="false">IF($A279="","",IF(Q279="","",Q279+IF(O279="",0,O279)))</f>
        <v/>
      </c>
      <c r="S279" s="42"/>
      <c r="T279" s="43" t="str">
        <f aca="false">IF($A279="","",IF(R279="","",R279-IF(S279="",0,S279)))</f>
        <v/>
      </c>
      <c r="U279" s="43" t="str">
        <f aca="false">IF($A279="","",IF(I279="","",I279-SUM(J279:P279)))</f>
        <v/>
      </c>
      <c r="V279" s="6" t="s">
        <v>4506</v>
      </c>
      <c r="W279" s="9" t="s">
        <v>528</v>
      </c>
      <c r="X279" s="6" t="s">
        <v>4518</v>
      </c>
      <c r="AC279" s="9" t="s">
        <v>4369</v>
      </c>
      <c r="AD279" s="9" t="s">
        <v>4370</v>
      </c>
      <c r="AE279" s="9" t="s">
        <v>4371</v>
      </c>
    </row>
    <row r="280" customFormat="false" ht="15" hidden="false" customHeight="true" outlineLevel="0" collapsed="false">
      <c r="A280" s="6" t="s">
        <v>1411</v>
      </c>
      <c r="B280" s="6" t="s">
        <v>434</v>
      </c>
      <c r="C280" s="6" t="s">
        <v>438</v>
      </c>
      <c r="D280" s="6" t="n">
        <v>6</v>
      </c>
      <c r="E280" s="9" t="s">
        <v>4505</v>
      </c>
      <c r="F280" s="42"/>
      <c r="G280" s="42"/>
      <c r="H280" s="42"/>
      <c r="I280" s="42"/>
      <c r="J280" s="42"/>
      <c r="K280" s="42"/>
      <c r="L280" s="42"/>
      <c r="M280" s="42"/>
      <c r="N280" s="42"/>
      <c r="O280" s="42"/>
      <c r="P280" s="42"/>
      <c r="Q280" s="43" t="str">
        <f aca="false">IF($A280="","",IF(OR(F280="",I280=""),"",F280-I280))</f>
        <v/>
      </c>
      <c r="R280" s="43" t="str">
        <f aca="false">IF($A280="","",IF(Q280="","",Q280+IF(O280="",0,O280)))</f>
        <v/>
      </c>
      <c r="S280" s="42"/>
      <c r="T280" s="43" t="str">
        <f aca="false">IF($A280="","",IF(R280="","",R280-IF(S280="",0,S280)))</f>
        <v/>
      </c>
      <c r="U280" s="43" t="str">
        <f aca="false">IF($A280="","",IF(I280="","",I280-SUM(J280:P280)))</f>
        <v/>
      </c>
      <c r="V280" s="6" t="s">
        <v>4506</v>
      </c>
      <c r="W280" s="9" t="s">
        <v>528</v>
      </c>
      <c r="X280" s="6" t="s">
        <v>4519</v>
      </c>
      <c r="AC280" s="9" t="s">
        <v>4369</v>
      </c>
      <c r="AD280" s="9" t="s">
        <v>4370</v>
      </c>
      <c r="AE280" s="9" t="s">
        <v>4371</v>
      </c>
    </row>
    <row r="281" customFormat="false" ht="15" hidden="false" customHeight="true" outlineLevel="0" collapsed="false">
      <c r="A281" s="6" t="s">
        <v>1414</v>
      </c>
      <c r="B281" s="6" t="s">
        <v>434</v>
      </c>
      <c r="C281" s="6" t="s">
        <v>438</v>
      </c>
      <c r="D281" s="6" t="n">
        <v>6</v>
      </c>
      <c r="E281" s="9" t="s">
        <v>4505</v>
      </c>
      <c r="F281" s="42"/>
      <c r="G281" s="42"/>
      <c r="H281" s="42"/>
      <c r="I281" s="42"/>
      <c r="J281" s="42"/>
      <c r="K281" s="42"/>
      <c r="L281" s="42"/>
      <c r="M281" s="42"/>
      <c r="N281" s="42"/>
      <c r="O281" s="42"/>
      <c r="P281" s="42"/>
      <c r="Q281" s="43" t="str">
        <f aca="false">IF($A281="","",IF(OR(F281="",I281=""),"",F281-I281))</f>
        <v/>
      </c>
      <c r="R281" s="43" t="str">
        <f aca="false">IF($A281="","",IF(Q281="","",Q281+IF(O281="",0,O281)))</f>
        <v/>
      </c>
      <c r="S281" s="42"/>
      <c r="T281" s="43" t="str">
        <f aca="false">IF($A281="","",IF(R281="","",R281-IF(S281="",0,S281)))</f>
        <v/>
      </c>
      <c r="U281" s="43" t="str">
        <f aca="false">IF($A281="","",IF(I281="","",I281-SUM(J281:P281)))</f>
        <v/>
      </c>
      <c r="V281" s="6" t="s">
        <v>4506</v>
      </c>
      <c r="W281" s="9" t="s">
        <v>528</v>
      </c>
      <c r="X281" s="6" t="s">
        <v>4520</v>
      </c>
      <c r="AC281" s="9" t="s">
        <v>4369</v>
      </c>
      <c r="AD281" s="9" t="s">
        <v>4370</v>
      </c>
      <c r="AE281" s="9" t="s">
        <v>4371</v>
      </c>
    </row>
    <row r="282" customFormat="false" ht="15" hidden="false" customHeight="true" outlineLevel="0" collapsed="false">
      <c r="A282" s="6" t="s">
        <v>1417</v>
      </c>
      <c r="B282" s="6" t="s">
        <v>434</v>
      </c>
      <c r="C282" s="6" t="s">
        <v>438</v>
      </c>
      <c r="D282" s="6" t="n">
        <v>6</v>
      </c>
      <c r="E282" s="9" t="s">
        <v>4505</v>
      </c>
      <c r="F282" s="42"/>
      <c r="G282" s="42"/>
      <c r="H282" s="42"/>
      <c r="I282" s="42"/>
      <c r="J282" s="42"/>
      <c r="K282" s="42"/>
      <c r="L282" s="42"/>
      <c r="M282" s="42"/>
      <c r="N282" s="42"/>
      <c r="O282" s="42"/>
      <c r="P282" s="42"/>
      <c r="Q282" s="43" t="str">
        <f aca="false">IF($A282="","",IF(OR(F282="",I282=""),"",F282-I282))</f>
        <v/>
      </c>
      <c r="R282" s="43" t="str">
        <f aca="false">IF($A282="","",IF(Q282="","",Q282+IF(O282="",0,O282)))</f>
        <v/>
      </c>
      <c r="S282" s="42"/>
      <c r="T282" s="43" t="str">
        <f aca="false">IF($A282="","",IF(R282="","",R282-IF(S282="",0,S282)))</f>
        <v/>
      </c>
      <c r="U282" s="43" t="str">
        <f aca="false">IF($A282="","",IF(I282="","",I282-SUM(J282:P282)))</f>
        <v/>
      </c>
      <c r="V282" s="6" t="s">
        <v>4506</v>
      </c>
      <c r="W282" s="9" t="s">
        <v>528</v>
      </c>
      <c r="X282" s="6" t="s">
        <v>4521</v>
      </c>
      <c r="AC282" s="9" t="s">
        <v>4369</v>
      </c>
      <c r="AD282" s="9" t="s">
        <v>4370</v>
      </c>
      <c r="AE282" s="9" t="s">
        <v>4371</v>
      </c>
    </row>
    <row r="283" customFormat="false" ht="15" hidden="false" customHeight="true" outlineLevel="0" collapsed="false">
      <c r="A283" s="6" t="s">
        <v>1421</v>
      </c>
      <c r="B283" s="6" t="s">
        <v>434</v>
      </c>
      <c r="C283" s="6" t="s">
        <v>438</v>
      </c>
      <c r="D283" s="6" t="n">
        <v>6</v>
      </c>
      <c r="E283" s="9" t="s">
        <v>4505</v>
      </c>
      <c r="F283" s="42"/>
      <c r="G283" s="42"/>
      <c r="H283" s="42"/>
      <c r="I283" s="42"/>
      <c r="J283" s="42"/>
      <c r="K283" s="42"/>
      <c r="L283" s="42"/>
      <c r="M283" s="42"/>
      <c r="N283" s="42"/>
      <c r="O283" s="42"/>
      <c r="P283" s="42"/>
      <c r="Q283" s="43" t="str">
        <f aca="false">IF($A283="","",IF(OR(F283="",I283=""),"",F283-I283))</f>
        <v/>
      </c>
      <c r="R283" s="43" t="str">
        <f aca="false">IF($A283="","",IF(Q283="","",Q283+IF(O283="",0,O283)))</f>
        <v/>
      </c>
      <c r="S283" s="42"/>
      <c r="T283" s="43" t="str">
        <f aca="false">IF($A283="","",IF(R283="","",R283-IF(S283="",0,S283)))</f>
        <v/>
      </c>
      <c r="U283" s="43" t="str">
        <f aca="false">IF($A283="","",IF(I283="","",I283-SUM(J283:P283)))</f>
        <v/>
      </c>
      <c r="V283" s="6" t="s">
        <v>4506</v>
      </c>
      <c r="W283" s="9" t="s">
        <v>528</v>
      </c>
      <c r="X283" s="6" t="s">
        <v>4522</v>
      </c>
      <c r="AC283" s="9" t="s">
        <v>4369</v>
      </c>
      <c r="AD283" s="9" t="s">
        <v>4370</v>
      </c>
      <c r="AE283" s="9" t="s">
        <v>4371</v>
      </c>
    </row>
    <row r="284" customFormat="false" ht="15" hidden="false" customHeight="true" outlineLevel="0" collapsed="false">
      <c r="A284" s="6" t="s">
        <v>1424</v>
      </c>
      <c r="B284" s="6" t="s">
        <v>434</v>
      </c>
      <c r="C284" s="6" t="s">
        <v>438</v>
      </c>
      <c r="D284" s="6" t="n">
        <v>6</v>
      </c>
      <c r="E284" s="9" t="s">
        <v>4505</v>
      </c>
      <c r="F284" s="42"/>
      <c r="G284" s="42"/>
      <c r="H284" s="42"/>
      <c r="I284" s="42"/>
      <c r="J284" s="42"/>
      <c r="K284" s="42"/>
      <c r="L284" s="42"/>
      <c r="M284" s="42"/>
      <c r="N284" s="42"/>
      <c r="O284" s="42"/>
      <c r="P284" s="42"/>
      <c r="Q284" s="43" t="str">
        <f aca="false">IF($A284="","",IF(OR(F284="",I284=""),"",F284-I284))</f>
        <v/>
      </c>
      <c r="R284" s="43" t="str">
        <f aca="false">IF($A284="","",IF(Q284="","",Q284+IF(O284="",0,O284)))</f>
        <v/>
      </c>
      <c r="S284" s="42"/>
      <c r="T284" s="43" t="str">
        <f aca="false">IF($A284="","",IF(R284="","",R284-IF(S284="",0,S284)))</f>
        <v/>
      </c>
      <c r="U284" s="43" t="str">
        <f aca="false">IF($A284="","",IF(I284="","",I284-SUM(J284:P284)))</f>
        <v/>
      </c>
      <c r="V284" s="6" t="s">
        <v>4506</v>
      </c>
      <c r="W284" s="9" t="s">
        <v>528</v>
      </c>
      <c r="X284" s="6" t="s">
        <v>4523</v>
      </c>
      <c r="AC284" s="9" t="s">
        <v>4369</v>
      </c>
      <c r="AD284" s="9" t="s">
        <v>4370</v>
      </c>
      <c r="AE284" s="9" t="s">
        <v>4371</v>
      </c>
    </row>
    <row r="285" customFormat="false" ht="15" hidden="false" customHeight="true" outlineLevel="0" collapsed="false">
      <c r="A285" s="6" t="s">
        <v>1427</v>
      </c>
      <c r="B285" s="6" t="s">
        <v>434</v>
      </c>
      <c r="C285" s="6" t="s">
        <v>438</v>
      </c>
      <c r="D285" s="6" t="n">
        <v>6</v>
      </c>
      <c r="E285" s="9" t="s">
        <v>4505</v>
      </c>
      <c r="F285" s="42"/>
      <c r="G285" s="42"/>
      <c r="H285" s="42"/>
      <c r="I285" s="42"/>
      <c r="J285" s="42"/>
      <c r="K285" s="42"/>
      <c r="L285" s="42"/>
      <c r="M285" s="42"/>
      <c r="N285" s="42"/>
      <c r="O285" s="42"/>
      <c r="P285" s="42"/>
      <c r="Q285" s="43" t="str">
        <f aca="false">IF($A285="","",IF(OR(F285="",I285=""),"",F285-I285))</f>
        <v/>
      </c>
      <c r="R285" s="43" t="str">
        <f aca="false">IF($A285="","",IF(Q285="","",Q285+IF(O285="",0,O285)))</f>
        <v/>
      </c>
      <c r="S285" s="42"/>
      <c r="T285" s="43" t="str">
        <f aca="false">IF($A285="","",IF(R285="","",R285-IF(S285="",0,S285)))</f>
        <v/>
      </c>
      <c r="U285" s="43" t="str">
        <f aca="false">IF($A285="","",IF(I285="","",I285-SUM(J285:P285)))</f>
        <v/>
      </c>
      <c r="V285" s="6" t="s">
        <v>4506</v>
      </c>
      <c r="W285" s="9" t="s">
        <v>528</v>
      </c>
      <c r="X285" s="6" t="s">
        <v>4524</v>
      </c>
      <c r="AC285" s="9" t="s">
        <v>4369</v>
      </c>
      <c r="AD285" s="9" t="s">
        <v>4370</v>
      </c>
      <c r="AE285" s="9" t="s">
        <v>4371</v>
      </c>
    </row>
    <row r="286" customFormat="false" ht="15" hidden="false" customHeight="true" outlineLevel="0" collapsed="false">
      <c r="A286" s="6" t="s">
        <v>1431</v>
      </c>
      <c r="B286" s="6" t="s">
        <v>434</v>
      </c>
      <c r="C286" s="6" t="s">
        <v>438</v>
      </c>
      <c r="D286" s="6" t="n">
        <v>6</v>
      </c>
      <c r="E286" s="9" t="s">
        <v>4505</v>
      </c>
      <c r="F286" s="42"/>
      <c r="G286" s="42"/>
      <c r="H286" s="42"/>
      <c r="I286" s="42"/>
      <c r="J286" s="42"/>
      <c r="K286" s="42"/>
      <c r="L286" s="42"/>
      <c r="M286" s="42"/>
      <c r="N286" s="42"/>
      <c r="O286" s="42"/>
      <c r="P286" s="42"/>
      <c r="Q286" s="43" t="str">
        <f aca="false">IF($A286="","",IF(OR(F286="",I286=""),"",F286-I286))</f>
        <v/>
      </c>
      <c r="R286" s="43" t="str">
        <f aca="false">IF($A286="","",IF(Q286="","",Q286+IF(O286="",0,O286)))</f>
        <v/>
      </c>
      <c r="S286" s="42"/>
      <c r="T286" s="43" t="str">
        <f aca="false">IF($A286="","",IF(R286="","",R286-IF(S286="",0,S286)))</f>
        <v/>
      </c>
      <c r="U286" s="43" t="str">
        <f aca="false">IF($A286="","",IF(I286="","",I286-SUM(J286:P286)))</f>
        <v/>
      </c>
      <c r="V286" s="6" t="s">
        <v>4506</v>
      </c>
      <c r="W286" s="9" t="s">
        <v>528</v>
      </c>
      <c r="X286" s="6" t="s">
        <v>4525</v>
      </c>
      <c r="AC286" s="9" t="s">
        <v>4369</v>
      </c>
      <c r="AD286" s="9" t="s">
        <v>4370</v>
      </c>
      <c r="AE286" s="9" t="s">
        <v>4371</v>
      </c>
    </row>
    <row r="287" customFormat="false" ht="15" hidden="false" customHeight="true" outlineLevel="0" collapsed="false">
      <c r="A287" s="6" t="s">
        <v>1434</v>
      </c>
      <c r="B287" s="6" t="s">
        <v>434</v>
      </c>
      <c r="C287" s="6" t="s">
        <v>438</v>
      </c>
      <c r="D287" s="6" t="n">
        <v>6</v>
      </c>
      <c r="E287" s="9" t="s">
        <v>4505</v>
      </c>
      <c r="F287" s="42"/>
      <c r="G287" s="42"/>
      <c r="H287" s="42"/>
      <c r="I287" s="42"/>
      <c r="J287" s="42"/>
      <c r="K287" s="42"/>
      <c r="L287" s="42"/>
      <c r="M287" s="42"/>
      <c r="N287" s="42"/>
      <c r="O287" s="42"/>
      <c r="P287" s="42"/>
      <c r="Q287" s="43" t="str">
        <f aca="false">IF($A287="","",IF(OR(F287="",I287=""),"",F287-I287))</f>
        <v/>
      </c>
      <c r="R287" s="43" t="str">
        <f aca="false">IF($A287="","",IF(Q287="","",Q287+IF(O287="",0,O287)))</f>
        <v/>
      </c>
      <c r="S287" s="42"/>
      <c r="T287" s="43" t="str">
        <f aca="false">IF($A287="","",IF(R287="","",R287-IF(S287="",0,S287)))</f>
        <v/>
      </c>
      <c r="U287" s="43" t="str">
        <f aca="false">IF($A287="","",IF(I287="","",I287-SUM(J287:P287)))</f>
        <v/>
      </c>
      <c r="V287" s="6" t="s">
        <v>4506</v>
      </c>
      <c r="W287" s="9" t="s">
        <v>528</v>
      </c>
      <c r="X287" s="6" t="s">
        <v>4526</v>
      </c>
      <c r="AC287" s="9" t="s">
        <v>4369</v>
      </c>
      <c r="AD287" s="9" t="s">
        <v>4370</v>
      </c>
      <c r="AE287" s="9" t="s">
        <v>4371</v>
      </c>
    </row>
    <row r="288" customFormat="false" ht="15" hidden="false" customHeight="true" outlineLevel="0" collapsed="false">
      <c r="A288" s="6" t="s">
        <v>1437</v>
      </c>
      <c r="B288" s="6" t="s">
        <v>434</v>
      </c>
      <c r="C288" s="6" t="s">
        <v>438</v>
      </c>
      <c r="D288" s="6" t="n">
        <v>6</v>
      </c>
      <c r="E288" s="9" t="s">
        <v>4505</v>
      </c>
      <c r="F288" s="42"/>
      <c r="G288" s="42"/>
      <c r="H288" s="42"/>
      <c r="I288" s="42"/>
      <c r="J288" s="42"/>
      <c r="K288" s="42"/>
      <c r="L288" s="42"/>
      <c r="M288" s="42"/>
      <c r="N288" s="42"/>
      <c r="O288" s="42"/>
      <c r="P288" s="42"/>
      <c r="Q288" s="43" t="str">
        <f aca="false">IF($A288="","",IF(OR(F288="",I288=""),"",F288-I288))</f>
        <v/>
      </c>
      <c r="R288" s="43" t="str">
        <f aca="false">IF($A288="","",IF(Q288="","",Q288+IF(O288="",0,O288)))</f>
        <v/>
      </c>
      <c r="S288" s="42"/>
      <c r="T288" s="43" t="str">
        <f aca="false">IF($A288="","",IF(R288="","",R288-IF(S288="",0,S288)))</f>
        <v/>
      </c>
      <c r="U288" s="43" t="str">
        <f aca="false">IF($A288="","",IF(I288="","",I288-SUM(J288:P288)))</f>
        <v/>
      </c>
      <c r="V288" s="6" t="s">
        <v>4506</v>
      </c>
      <c r="W288" s="9" t="s">
        <v>528</v>
      </c>
      <c r="X288" s="6" t="s">
        <v>4527</v>
      </c>
      <c r="AC288" s="9" t="s">
        <v>4369</v>
      </c>
      <c r="AD288" s="9" t="s">
        <v>4370</v>
      </c>
      <c r="AE288" s="9" t="s">
        <v>4371</v>
      </c>
    </row>
    <row r="289" customFormat="false" ht="15" hidden="false" customHeight="true" outlineLevel="0" collapsed="false">
      <c r="A289" s="6" t="s">
        <v>1440</v>
      </c>
      <c r="B289" s="6" t="s">
        <v>434</v>
      </c>
      <c r="C289" s="6" t="s">
        <v>438</v>
      </c>
      <c r="D289" s="6" t="n">
        <v>6</v>
      </c>
      <c r="E289" s="9" t="s">
        <v>4505</v>
      </c>
      <c r="F289" s="42"/>
      <c r="G289" s="42"/>
      <c r="H289" s="42"/>
      <c r="I289" s="42"/>
      <c r="J289" s="42"/>
      <c r="K289" s="42"/>
      <c r="L289" s="42"/>
      <c r="M289" s="42"/>
      <c r="N289" s="42"/>
      <c r="O289" s="42"/>
      <c r="P289" s="42"/>
      <c r="Q289" s="43" t="str">
        <f aca="false">IF($A289="","",IF(OR(F289="",I289=""),"",F289-I289))</f>
        <v/>
      </c>
      <c r="R289" s="43" t="str">
        <f aca="false">IF($A289="","",IF(Q289="","",Q289+IF(O289="",0,O289)))</f>
        <v/>
      </c>
      <c r="S289" s="42"/>
      <c r="T289" s="43" t="str">
        <f aca="false">IF($A289="","",IF(R289="","",R289-IF(S289="",0,S289)))</f>
        <v/>
      </c>
      <c r="U289" s="43" t="str">
        <f aca="false">IF($A289="","",IF(I289="","",I289-SUM(J289:P289)))</f>
        <v/>
      </c>
      <c r="V289" s="6" t="s">
        <v>4506</v>
      </c>
      <c r="W289" s="9" t="s">
        <v>528</v>
      </c>
      <c r="X289" s="6" t="s">
        <v>4528</v>
      </c>
      <c r="AC289" s="9" t="s">
        <v>4369</v>
      </c>
      <c r="AD289" s="9" t="s">
        <v>4370</v>
      </c>
      <c r="AE289" s="9" t="s">
        <v>4371</v>
      </c>
    </row>
    <row r="290" customFormat="false" ht="15" hidden="false" customHeight="true" outlineLevel="0" collapsed="false">
      <c r="A290" s="6" t="s">
        <v>1443</v>
      </c>
      <c r="B290" s="6" t="s">
        <v>434</v>
      </c>
      <c r="C290" s="6" t="s">
        <v>438</v>
      </c>
      <c r="D290" s="6" t="n">
        <v>6</v>
      </c>
      <c r="E290" s="9" t="s">
        <v>4505</v>
      </c>
      <c r="F290" s="42"/>
      <c r="G290" s="42"/>
      <c r="H290" s="42"/>
      <c r="I290" s="42"/>
      <c r="J290" s="42"/>
      <c r="K290" s="42"/>
      <c r="L290" s="42"/>
      <c r="M290" s="42"/>
      <c r="N290" s="42"/>
      <c r="O290" s="42"/>
      <c r="P290" s="42"/>
      <c r="Q290" s="43" t="str">
        <f aca="false">IF($A290="","",IF(OR(F290="",I290=""),"",F290-I290))</f>
        <v/>
      </c>
      <c r="R290" s="43" t="str">
        <f aca="false">IF($A290="","",IF(Q290="","",Q290+IF(O290="",0,O290)))</f>
        <v/>
      </c>
      <c r="S290" s="42"/>
      <c r="T290" s="43" t="str">
        <f aca="false">IF($A290="","",IF(R290="","",R290-IF(S290="",0,S290)))</f>
        <v/>
      </c>
      <c r="U290" s="43" t="str">
        <f aca="false">IF($A290="","",IF(I290="","",I290-SUM(J290:P290)))</f>
        <v/>
      </c>
      <c r="V290" s="6" t="s">
        <v>4506</v>
      </c>
      <c r="W290" s="9" t="s">
        <v>528</v>
      </c>
      <c r="X290" s="6" t="s">
        <v>4529</v>
      </c>
      <c r="AC290" s="6" t="s">
        <v>4373</v>
      </c>
      <c r="AD290" s="9" t="s">
        <v>4424</v>
      </c>
      <c r="AE290" s="9" t="s">
        <v>4371</v>
      </c>
    </row>
    <row r="291" customFormat="false" ht="15" hidden="false" customHeight="true" outlineLevel="0" collapsed="false">
      <c r="A291" s="6" t="s">
        <v>1447</v>
      </c>
      <c r="B291" s="6" t="s">
        <v>434</v>
      </c>
      <c r="C291" s="6" t="s">
        <v>438</v>
      </c>
      <c r="D291" s="6" t="n">
        <v>6</v>
      </c>
      <c r="E291" s="9" t="s">
        <v>4505</v>
      </c>
      <c r="F291" s="42"/>
      <c r="G291" s="42"/>
      <c r="H291" s="42"/>
      <c r="I291" s="42"/>
      <c r="J291" s="42"/>
      <c r="K291" s="42"/>
      <c r="L291" s="42"/>
      <c r="M291" s="42"/>
      <c r="N291" s="42"/>
      <c r="O291" s="42"/>
      <c r="P291" s="42"/>
      <c r="Q291" s="43" t="str">
        <f aca="false">IF($A291="","",IF(OR(F291="",I291=""),"",F291-I291))</f>
        <v/>
      </c>
      <c r="R291" s="43" t="str">
        <f aca="false">IF($A291="","",IF(Q291="","",Q291+IF(O291="",0,O291)))</f>
        <v/>
      </c>
      <c r="S291" s="42"/>
      <c r="T291" s="43" t="str">
        <f aca="false">IF($A291="","",IF(R291="","",R291-IF(S291="",0,S291)))</f>
        <v/>
      </c>
      <c r="U291" s="43" t="str">
        <f aca="false">IF($A291="","",IF(I291="","",I291-SUM(J291:P291)))</f>
        <v/>
      </c>
      <c r="V291" s="6" t="s">
        <v>4506</v>
      </c>
      <c r="W291" s="9" t="s">
        <v>528</v>
      </c>
      <c r="X291" s="6" t="s">
        <v>4530</v>
      </c>
      <c r="AC291" s="9" t="s">
        <v>4369</v>
      </c>
      <c r="AD291" s="9" t="s">
        <v>4370</v>
      </c>
      <c r="AE291" s="9" t="s">
        <v>4371</v>
      </c>
    </row>
    <row r="292" customFormat="false" ht="15" hidden="false" customHeight="true" outlineLevel="0" collapsed="false">
      <c r="A292" s="6" t="s">
        <v>1450</v>
      </c>
      <c r="B292" s="6" t="s">
        <v>434</v>
      </c>
      <c r="C292" s="6" t="s">
        <v>438</v>
      </c>
      <c r="D292" s="6" t="n">
        <v>6</v>
      </c>
      <c r="E292" s="9" t="s">
        <v>4505</v>
      </c>
      <c r="F292" s="42"/>
      <c r="G292" s="42"/>
      <c r="H292" s="42"/>
      <c r="I292" s="42"/>
      <c r="J292" s="42"/>
      <c r="K292" s="42"/>
      <c r="L292" s="42"/>
      <c r="M292" s="42"/>
      <c r="N292" s="42"/>
      <c r="O292" s="42"/>
      <c r="P292" s="42"/>
      <c r="Q292" s="43" t="str">
        <f aca="false">IF($A292="","",IF(OR(F292="",I292=""),"",F292-I292))</f>
        <v/>
      </c>
      <c r="R292" s="43" t="str">
        <f aca="false">IF($A292="","",IF(Q292="","",Q292+IF(O292="",0,O292)))</f>
        <v/>
      </c>
      <c r="S292" s="42"/>
      <c r="T292" s="43" t="str">
        <f aca="false">IF($A292="","",IF(R292="","",R292-IF(S292="",0,S292)))</f>
        <v/>
      </c>
      <c r="U292" s="43" t="str">
        <f aca="false">IF($A292="","",IF(I292="","",I292-SUM(J292:P292)))</f>
        <v/>
      </c>
      <c r="V292" s="6" t="s">
        <v>4506</v>
      </c>
      <c r="W292" s="9" t="s">
        <v>528</v>
      </c>
      <c r="X292" s="6" t="s">
        <v>4531</v>
      </c>
      <c r="AC292" s="9" t="s">
        <v>4369</v>
      </c>
      <c r="AD292" s="9" t="s">
        <v>4370</v>
      </c>
      <c r="AE292" s="9" t="s">
        <v>4371</v>
      </c>
    </row>
    <row r="293" customFormat="false" ht="15" hidden="false" customHeight="true" outlineLevel="0" collapsed="false">
      <c r="A293" s="6" t="s">
        <v>1453</v>
      </c>
      <c r="B293" s="6" t="s">
        <v>434</v>
      </c>
      <c r="C293" s="6" t="s">
        <v>438</v>
      </c>
      <c r="D293" s="6" t="n">
        <v>6</v>
      </c>
      <c r="E293" s="9" t="s">
        <v>4505</v>
      </c>
      <c r="F293" s="42"/>
      <c r="G293" s="42"/>
      <c r="H293" s="42"/>
      <c r="I293" s="42"/>
      <c r="J293" s="42"/>
      <c r="K293" s="42"/>
      <c r="L293" s="42"/>
      <c r="M293" s="42"/>
      <c r="N293" s="42"/>
      <c r="O293" s="42"/>
      <c r="P293" s="42"/>
      <c r="Q293" s="43" t="str">
        <f aca="false">IF($A293="","",IF(OR(F293="",I293=""),"",F293-I293))</f>
        <v/>
      </c>
      <c r="R293" s="43" t="str">
        <f aca="false">IF($A293="","",IF(Q293="","",Q293+IF(O293="",0,O293)))</f>
        <v/>
      </c>
      <c r="S293" s="42"/>
      <c r="T293" s="43" t="str">
        <f aca="false">IF($A293="","",IF(R293="","",R293-IF(S293="",0,S293)))</f>
        <v/>
      </c>
      <c r="U293" s="43" t="str">
        <f aca="false">IF($A293="","",IF(I293="","",I293-SUM(J293:P293)))</f>
        <v/>
      </c>
      <c r="V293" s="6" t="s">
        <v>4506</v>
      </c>
      <c r="W293" s="9" t="s">
        <v>528</v>
      </c>
      <c r="X293" s="6" t="s">
        <v>4532</v>
      </c>
      <c r="AC293" s="9" t="s">
        <v>4369</v>
      </c>
      <c r="AD293" s="9" t="s">
        <v>4370</v>
      </c>
      <c r="AE293" s="9" t="s">
        <v>4371</v>
      </c>
    </row>
    <row r="294" customFormat="false" ht="15" hidden="false" customHeight="true" outlineLevel="0" collapsed="false">
      <c r="A294" s="6" t="s">
        <v>1456</v>
      </c>
      <c r="B294" s="6" t="s">
        <v>434</v>
      </c>
      <c r="C294" s="6" t="s">
        <v>438</v>
      </c>
      <c r="D294" s="6" t="n">
        <v>6</v>
      </c>
      <c r="E294" s="9" t="s">
        <v>4505</v>
      </c>
      <c r="F294" s="42"/>
      <c r="G294" s="42"/>
      <c r="H294" s="42"/>
      <c r="I294" s="42"/>
      <c r="J294" s="42"/>
      <c r="K294" s="42"/>
      <c r="L294" s="42"/>
      <c r="M294" s="42"/>
      <c r="N294" s="42"/>
      <c r="O294" s="42"/>
      <c r="P294" s="42"/>
      <c r="Q294" s="43" t="str">
        <f aca="false">IF($A294="","",IF(OR(F294="",I294=""),"",F294-I294))</f>
        <v/>
      </c>
      <c r="R294" s="43" t="str">
        <f aca="false">IF($A294="","",IF(Q294="","",Q294+IF(O294="",0,O294)))</f>
        <v/>
      </c>
      <c r="S294" s="42"/>
      <c r="T294" s="43" t="str">
        <f aca="false">IF($A294="","",IF(R294="","",R294-IF(S294="",0,S294)))</f>
        <v/>
      </c>
      <c r="U294" s="43" t="str">
        <f aca="false">IF($A294="","",IF(I294="","",I294-SUM(J294:P294)))</f>
        <v/>
      </c>
      <c r="V294" s="6" t="s">
        <v>4506</v>
      </c>
      <c r="W294" s="9" t="s">
        <v>528</v>
      </c>
      <c r="X294" s="6" t="s">
        <v>4533</v>
      </c>
      <c r="AC294" s="9" t="s">
        <v>4369</v>
      </c>
      <c r="AD294" s="9" t="s">
        <v>4370</v>
      </c>
      <c r="AE294" s="9" t="s">
        <v>4371</v>
      </c>
    </row>
    <row r="295" customFormat="false" ht="15" hidden="false" customHeight="true" outlineLevel="0" collapsed="false">
      <c r="A295" s="6" t="s">
        <v>1459</v>
      </c>
      <c r="B295" s="6" t="s">
        <v>434</v>
      </c>
      <c r="C295" s="6" t="s">
        <v>438</v>
      </c>
      <c r="D295" s="6" t="n">
        <v>6</v>
      </c>
      <c r="E295" s="9" t="s">
        <v>4505</v>
      </c>
      <c r="F295" s="42"/>
      <c r="G295" s="42"/>
      <c r="H295" s="42"/>
      <c r="I295" s="42"/>
      <c r="J295" s="42"/>
      <c r="K295" s="42"/>
      <c r="L295" s="42"/>
      <c r="M295" s="42"/>
      <c r="N295" s="42"/>
      <c r="O295" s="42"/>
      <c r="P295" s="42"/>
      <c r="Q295" s="43" t="str">
        <f aca="false">IF($A295="","",IF(OR(F295="",I295=""),"",F295-I295))</f>
        <v/>
      </c>
      <c r="R295" s="43" t="str">
        <f aca="false">IF($A295="","",IF(Q295="","",Q295+IF(O295="",0,O295)))</f>
        <v/>
      </c>
      <c r="S295" s="42"/>
      <c r="T295" s="43" t="str">
        <f aca="false">IF($A295="","",IF(R295="","",R295-IF(S295="",0,S295)))</f>
        <v/>
      </c>
      <c r="U295" s="43" t="str">
        <f aca="false">IF($A295="","",IF(I295="","",I295-SUM(J295:P295)))</f>
        <v/>
      </c>
      <c r="V295" s="6" t="s">
        <v>4506</v>
      </c>
      <c r="W295" s="9" t="s">
        <v>528</v>
      </c>
      <c r="X295" s="6" t="s">
        <v>4534</v>
      </c>
      <c r="AC295" s="9" t="s">
        <v>4369</v>
      </c>
      <c r="AD295" s="9" t="s">
        <v>4370</v>
      </c>
      <c r="AE295" s="9" t="s">
        <v>4371</v>
      </c>
    </row>
    <row r="296" customFormat="false" ht="15" hidden="false" customHeight="true" outlineLevel="0" collapsed="false">
      <c r="A296" s="6" t="s">
        <v>1465</v>
      </c>
      <c r="B296" s="6" t="s">
        <v>434</v>
      </c>
      <c r="C296" s="6" t="s">
        <v>438</v>
      </c>
      <c r="D296" s="6" t="n">
        <v>6</v>
      </c>
      <c r="E296" s="9" t="s">
        <v>4376</v>
      </c>
      <c r="F296" s="35" t="n">
        <v>7885535</v>
      </c>
      <c r="G296" s="35" t="n">
        <v>7379368</v>
      </c>
      <c r="H296" s="35" t="n">
        <v>506166</v>
      </c>
      <c r="I296" s="35" t="n">
        <v>3801500</v>
      </c>
      <c r="J296" s="35" t="n">
        <v>532100</v>
      </c>
      <c r="K296" s="35" t="n">
        <v>495249</v>
      </c>
      <c r="L296" s="35" t="n">
        <v>791528</v>
      </c>
      <c r="M296" s="35" t="n">
        <v>14263</v>
      </c>
      <c r="N296" s="35" t="n">
        <v>451981</v>
      </c>
      <c r="O296" s="35" t="n">
        <v>986051</v>
      </c>
      <c r="P296" s="35" t="n">
        <v>530324</v>
      </c>
      <c r="Q296" s="43" t="n">
        <f aca="false">IF($A296="","",IF(OR(F296="",I296=""),"",F296-I296))</f>
        <v>4084035</v>
      </c>
      <c r="R296" s="43" t="n">
        <f aca="false">IF($A296="","",IF(Q296="","",Q296+IF(O296="",0,O296)))</f>
        <v>5070086</v>
      </c>
      <c r="S296" s="35" t="n">
        <v>1350320</v>
      </c>
      <c r="T296" s="43" t="n">
        <f aca="false">IF($A296="","",IF(R296="","",R296-IF(S296="",0,S296)))</f>
        <v>3719766</v>
      </c>
      <c r="U296" s="43" t="n">
        <f aca="false">IF($A296="","",IF(I296="","",I296-SUM(J296:P296)))</f>
        <v>4</v>
      </c>
      <c r="V296" s="6" t="s">
        <v>4535</v>
      </c>
      <c r="W296" s="44" t="s">
        <v>1168</v>
      </c>
      <c r="X296" s="9" t="s">
        <v>4536</v>
      </c>
      <c r="AC296" s="9" t="s">
        <v>4369</v>
      </c>
      <c r="AD296" s="9" t="s">
        <v>4370</v>
      </c>
      <c r="AE296" s="9" t="s">
        <v>4371</v>
      </c>
    </row>
    <row r="297" customFormat="false" ht="15" hidden="false" customHeight="true" outlineLevel="0" collapsed="false">
      <c r="A297" s="6" t="s">
        <v>1469</v>
      </c>
      <c r="B297" s="6" t="s">
        <v>403</v>
      </c>
      <c r="C297" s="6" t="s">
        <v>410</v>
      </c>
      <c r="D297" s="6" t="n">
        <v>6</v>
      </c>
      <c r="E297" s="9" t="s">
        <v>4454</v>
      </c>
      <c r="F297" s="35" t="n">
        <v>138858</v>
      </c>
      <c r="G297" s="42"/>
      <c r="H297" s="42"/>
      <c r="I297" s="42"/>
      <c r="J297" s="42"/>
      <c r="K297" s="42"/>
      <c r="L297" s="42"/>
      <c r="M297" s="42"/>
      <c r="N297" s="42"/>
      <c r="O297" s="42"/>
      <c r="P297" s="42"/>
      <c r="Q297" s="43" t="str">
        <f aca="false">IF($A297="","",IF(OR(F297="",I297=""),"",F297-I297))</f>
        <v/>
      </c>
      <c r="R297" s="43" t="str">
        <f aca="false">IF($A297="","",IF(Q297="","",Q297+IF(O297="",0,O297)))</f>
        <v/>
      </c>
      <c r="S297" s="42"/>
      <c r="T297" s="43" t="str">
        <f aca="false">IF($A297="","",IF(R297="","",R297-IF(S297="",0,S297)))</f>
        <v/>
      </c>
      <c r="U297" s="43" t="str">
        <f aca="false">IF($A297="","",IF(I297="","",I297-SUM(J297:P297)))</f>
        <v/>
      </c>
      <c r="V297" s="6" t="s">
        <v>4537</v>
      </c>
      <c r="W297" s="9" t="s">
        <v>528</v>
      </c>
      <c r="X297" s="9" t="s">
        <v>4538</v>
      </c>
      <c r="AC297" s="9" t="s">
        <v>4369</v>
      </c>
      <c r="AD297" s="9" t="s">
        <v>4370</v>
      </c>
      <c r="AE297" s="9" t="s">
        <v>4371</v>
      </c>
    </row>
    <row r="298" customFormat="false" ht="15" hidden="false" customHeight="true" outlineLevel="0" collapsed="false">
      <c r="A298" s="6" t="s">
        <v>1473</v>
      </c>
      <c r="B298" s="6" t="s">
        <v>403</v>
      </c>
      <c r="C298" s="6" t="s">
        <v>410</v>
      </c>
      <c r="D298" s="6" t="n">
        <v>6</v>
      </c>
      <c r="E298" s="9" t="s">
        <v>4454</v>
      </c>
      <c r="F298" s="35" t="n">
        <v>129629</v>
      </c>
      <c r="G298" s="42"/>
      <c r="H298" s="42"/>
      <c r="I298" s="42"/>
      <c r="J298" s="42"/>
      <c r="K298" s="42"/>
      <c r="L298" s="42"/>
      <c r="M298" s="42"/>
      <c r="N298" s="42"/>
      <c r="O298" s="42"/>
      <c r="P298" s="42"/>
      <c r="Q298" s="43" t="str">
        <f aca="false">IF($A298="","",IF(OR(F298="",I298=""),"",F298-I298))</f>
        <v/>
      </c>
      <c r="R298" s="43" t="str">
        <f aca="false">IF($A298="","",IF(Q298="","",Q298+IF(O298="",0,O298)))</f>
        <v/>
      </c>
      <c r="S298" s="42"/>
      <c r="T298" s="43" t="str">
        <f aca="false">IF($A298="","",IF(R298="","",R298-IF(S298="",0,S298)))</f>
        <v/>
      </c>
      <c r="U298" s="43" t="str">
        <f aca="false">IF($A298="","",IF(I298="","",I298-SUM(J298:P298)))</f>
        <v/>
      </c>
      <c r="V298" s="6" t="s">
        <v>4537</v>
      </c>
      <c r="W298" s="9" t="s">
        <v>528</v>
      </c>
      <c r="X298" s="9" t="s">
        <v>4538</v>
      </c>
      <c r="AC298" s="9" t="s">
        <v>4369</v>
      </c>
      <c r="AD298" s="9" t="s">
        <v>4370</v>
      </c>
      <c r="AE298" s="9" t="s">
        <v>4371</v>
      </c>
    </row>
    <row r="299" customFormat="false" ht="15" hidden="false" customHeight="true" outlineLevel="0" collapsed="false">
      <c r="A299" s="6" t="s">
        <v>1476</v>
      </c>
      <c r="B299" s="6" t="s">
        <v>403</v>
      </c>
      <c r="C299" s="6" t="s">
        <v>410</v>
      </c>
      <c r="D299" s="6" t="n">
        <v>6</v>
      </c>
      <c r="E299" s="9" t="s">
        <v>4454</v>
      </c>
      <c r="F299" s="35" t="n">
        <v>86973</v>
      </c>
      <c r="G299" s="42"/>
      <c r="H299" s="42"/>
      <c r="I299" s="42"/>
      <c r="J299" s="42"/>
      <c r="K299" s="42"/>
      <c r="L299" s="42"/>
      <c r="M299" s="42"/>
      <c r="N299" s="42"/>
      <c r="O299" s="42"/>
      <c r="P299" s="42"/>
      <c r="Q299" s="43" t="str">
        <f aca="false">IF($A299="","",IF(OR(F299="",I299=""),"",F299-I299))</f>
        <v/>
      </c>
      <c r="R299" s="43" t="str">
        <f aca="false">IF($A299="","",IF(Q299="","",Q299+IF(O299="",0,O299)))</f>
        <v/>
      </c>
      <c r="S299" s="42"/>
      <c r="T299" s="43" t="str">
        <f aca="false">IF($A299="","",IF(R299="","",R299-IF(S299="",0,S299)))</f>
        <v/>
      </c>
      <c r="U299" s="43" t="str">
        <f aca="false">IF($A299="","",IF(I299="","",I299-SUM(J299:P299)))</f>
        <v/>
      </c>
      <c r="V299" s="6" t="s">
        <v>4537</v>
      </c>
      <c r="W299" s="9" t="s">
        <v>528</v>
      </c>
      <c r="X299" s="9" t="s">
        <v>4538</v>
      </c>
      <c r="AC299" s="9" t="s">
        <v>4369</v>
      </c>
      <c r="AD299" s="9" t="s">
        <v>4370</v>
      </c>
      <c r="AE299" s="9" t="s">
        <v>4371</v>
      </c>
    </row>
    <row r="300" customFormat="false" ht="15" hidden="false" customHeight="true" outlineLevel="0" collapsed="false">
      <c r="A300" s="6" t="s">
        <v>1479</v>
      </c>
      <c r="B300" s="6" t="s">
        <v>403</v>
      </c>
      <c r="C300" s="6" t="s">
        <v>410</v>
      </c>
      <c r="D300" s="6" t="n">
        <v>6</v>
      </c>
      <c r="E300" s="9" t="s">
        <v>4454</v>
      </c>
      <c r="F300" s="35" t="n">
        <v>61142</v>
      </c>
      <c r="G300" s="42"/>
      <c r="H300" s="42"/>
      <c r="I300" s="42"/>
      <c r="J300" s="42"/>
      <c r="K300" s="42"/>
      <c r="L300" s="42"/>
      <c r="M300" s="42"/>
      <c r="N300" s="42"/>
      <c r="O300" s="42"/>
      <c r="P300" s="42"/>
      <c r="Q300" s="43" t="str">
        <f aca="false">IF($A300="","",IF(OR(F300="",I300=""),"",F300-I300))</f>
        <v/>
      </c>
      <c r="R300" s="43" t="str">
        <f aca="false">IF($A300="","",IF(Q300="","",Q300+IF(O300="",0,O300)))</f>
        <v/>
      </c>
      <c r="S300" s="42"/>
      <c r="T300" s="43" t="str">
        <f aca="false">IF($A300="","",IF(R300="","",R300-IF(S300="",0,S300)))</f>
        <v/>
      </c>
      <c r="U300" s="43" t="str">
        <f aca="false">IF($A300="","",IF(I300="","",I300-SUM(J300:P300)))</f>
        <v/>
      </c>
      <c r="V300" s="6" t="s">
        <v>4537</v>
      </c>
      <c r="W300" s="9" t="s">
        <v>528</v>
      </c>
      <c r="X300" s="9" t="s">
        <v>4538</v>
      </c>
      <c r="AC300" s="9" t="s">
        <v>4369</v>
      </c>
      <c r="AD300" s="9" t="s">
        <v>4370</v>
      </c>
      <c r="AE300" s="9" t="s">
        <v>4371</v>
      </c>
    </row>
    <row r="301" customFormat="false" ht="15" hidden="false" customHeight="true" outlineLevel="0" collapsed="false">
      <c r="A301" s="6" t="s">
        <v>1482</v>
      </c>
      <c r="B301" s="6" t="s">
        <v>403</v>
      </c>
      <c r="C301" s="6" t="s">
        <v>410</v>
      </c>
      <c r="D301" s="6" t="n">
        <v>6</v>
      </c>
      <c r="E301" s="9" t="s">
        <v>4454</v>
      </c>
      <c r="F301" s="35" t="n">
        <v>68442</v>
      </c>
      <c r="G301" s="42"/>
      <c r="H301" s="42"/>
      <c r="I301" s="42"/>
      <c r="J301" s="42"/>
      <c r="K301" s="42"/>
      <c r="L301" s="42"/>
      <c r="M301" s="42"/>
      <c r="N301" s="42"/>
      <c r="O301" s="42"/>
      <c r="P301" s="42"/>
      <c r="Q301" s="43" t="str">
        <f aca="false">IF($A301="","",IF(OR(F301="",I301=""),"",F301-I301))</f>
        <v/>
      </c>
      <c r="R301" s="43" t="str">
        <f aca="false">IF($A301="","",IF(Q301="","",Q301+IF(O301="",0,O301)))</f>
        <v/>
      </c>
      <c r="S301" s="42"/>
      <c r="T301" s="43" t="str">
        <f aca="false">IF($A301="","",IF(R301="","",R301-IF(S301="",0,S301)))</f>
        <v/>
      </c>
      <c r="U301" s="43" t="str">
        <f aca="false">IF($A301="","",IF(I301="","",I301-SUM(J301:P301)))</f>
        <v/>
      </c>
      <c r="V301" s="6" t="s">
        <v>4537</v>
      </c>
      <c r="W301" s="9" t="s">
        <v>528</v>
      </c>
      <c r="X301" s="9" t="s">
        <v>4538</v>
      </c>
      <c r="AC301" s="9" t="s">
        <v>4369</v>
      </c>
      <c r="AD301" s="9" t="s">
        <v>4370</v>
      </c>
      <c r="AE301" s="9" t="s">
        <v>4371</v>
      </c>
    </row>
    <row r="302" customFormat="false" ht="15" hidden="false" customHeight="true" outlineLevel="0" collapsed="false">
      <c r="A302" s="6" t="s">
        <v>1485</v>
      </c>
      <c r="B302" s="6" t="s">
        <v>403</v>
      </c>
      <c r="C302" s="6" t="s">
        <v>410</v>
      </c>
      <c r="D302" s="6" t="n">
        <v>6</v>
      </c>
      <c r="E302" s="9" t="s">
        <v>4454</v>
      </c>
      <c r="F302" s="6" t="n">
        <v>53023</v>
      </c>
      <c r="Q302" s="1" t="str">
        <f aca="false">IF($A302="","",IF(OR(F302="",I302=""),"",F302-I302))</f>
        <v/>
      </c>
      <c r="R302" s="1" t="str">
        <f aca="false">IF($A302="","",IF(Q302="","",Q302+IF(O302="",0,O302)))</f>
        <v/>
      </c>
      <c r="T302" s="1" t="str">
        <f aca="false">IF($A302="","",IF(R302="","",R302-IF(S302="",0,S302)))</f>
        <v/>
      </c>
      <c r="U302" s="1" t="str">
        <f aca="false">IF($A302="","",IF(I302="","",I302-SUM(J302:P302)))</f>
        <v/>
      </c>
      <c r="V302" s="6" t="s">
        <v>4537</v>
      </c>
      <c r="W302" s="9" t="s">
        <v>528</v>
      </c>
      <c r="X302" s="9" t="s">
        <v>4538</v>
      </c>
      <c r="AC302" s="9" t="s">
        <v>4369</v>
      </c>
      <c r="AD302" s="9" t="s">
        <v>4370</v>
      </c>
      <c r="AE302" s="9" t="s">
        <v>4371</v>
      </c>
    </row>
    <row r="303" customFormat="false" ht="15" hidden="false" customHeight="true" outlineLevel="0" collapsed="false">
      <c r="A303" s="6" t="s">
        <v>1488</v>
      </c>
      <c r="B303" s="6" t="s">
        <v>403</v>
      </c>
      <c r="C303" s="6" t="s">
        <v>410</v>
      </c>
      <c r="D303" s="6" t="n">
        <v>6</v>
      </c>
      <c r="E303" s="9" t="s">
        <v>4454</v>
      </c>
      <c r="F303" s="6" t="n">
        <v>40121</v>
      </c>
      <c r="Q303" s="1" t="str">
        <f aca="false">IF($A303="","",IF(OR(F303="",I303=""),"",F303-I303))</f>
        <v/>
      </c>
      <c r="R303" s="1" t="str">
        <f aca="false">IF($A303="","",IF(Q303="","",Q303+IF(O303="",0,O303)))</f>
        <v/>
      </c>
      <c r="T303" s="1" t="str">
        <f aca="false">IF($A303="","",IF(R303="","",R303-IF(S303="",0,S303)))</f>
        <v/>
      </c>
      <c r="U303" s="1" t="str">
        <f aca="false">IF($A303="","",IF(I303="","",I303-SUM(J303:P303)))</f>
        <v/>
      </c>
      <c r="V303" s="6" t="s">
        <v>4537</v>
      </c>
      <c r="W303" s="9" t="s">
        <v>528</v>
      </c>
      <c r="X303" s="9" t="s">
        <v>4538</v>
      </c>
      <c r="AC303" s="9" t="s">
        <v>4369</v>
      </c>
      <c r="AD303" s="9" t="s">
        <v>4370</v>
      </c>
      <c r="AE303" s="9" t="s">
        <v>4371</v>
      </c>
    </row>
    <row r="304" customFormat="false" ht="15" hidden="false" customHeight="true" outlineLevel="0" collapsed="false">
      <c r="A304" s="6" t="s">
        <v>1491</v>
      </c>
      <c r="B304" s="6" t="s">
        <v>403</v>
      </c>
      <c r="C304" s="6" t="s">
        <v>410</v>
      </c>
      <c r="D304" s="6" t="n">
        <v>6</v>
      </c>
      <c r="E304" s="9" t="s">
        <v>4454</v>
      </c>
      <c r="F304" s="6" t="n">
        <v>67561</v>
      </c>
      <c r="Q304" s="1" t="str">
        <f aca="false">IF($A304="","",IF(OR(F304="",I304=""),"",F304-I304))</f>
        <v/>
      </c>
      <c r="R304" s="1" t="str">
        <f aca="false">IF($A304="","",IF(Q304="","",Q304+IF(O304="",0,O304)))</f>
        <v/>
      </c>
      <c r="T304" s="1" t="str">
        <f aca="false">IF($A304="","",IF(R304="","",R304-IF(S304="",0,S304)))</f>
        <v/>
      </c>
      <c r="U304" s="1" t="str">
        <f aca="false">IF($A304="","",IF(I304="","",I304-SUM(J304:P304)))</f>
        <v/>
      </c>
      <c r="V304" s="6" t="s">
        <v>4537</v>
      </c>
      <c r="W304" s="9" t="s">
        <v>528</v>
      </c>
      <c r="X304" s="9" t="s">
        <v>4538</v>
      </c>
      <c r="AC304" s="9" t="s">
        <v>4369</v>
      </c>
      <c r="AD304" s="9" t="s">
        <v>4370</v>
      </c>
      <c r="AE304" s="9" t="s">
        <v>4371</v>
      </c>
    </row>
    <row r="305" customFormat="false" ht="15" hidden="false" customHeight="true" outlineLevel="0" collapsed="false">
      <c r="A305" s="6" t="s">
        <v>1494</v>
      </c>
      <c r="B305" s="6" t="s">
        <v>403</v>
      </c>
      <c r="C305" s="6" t="s">
        <v>410</v>
      </c>
      <c r="D305" s="6" t="n">
        <v>6</v>
      </c>
      <c r="E305" s="9" t="s">
        <v>4454</v>
      </c>
      <c r="F305" s="6" t="n">
        <v>75004</v>
      </c>
      <c r="Q305" s="1" t="str">
        <f aca="false">IF($A305="","",IF(OR(F305="",I305=""),"",F305-I305))</f>
        <v/>
      </c>
      <c r="R305" s="1" t="str">
        <f aca="false">IF($A305="","",IF(Q305="","",Q305+IF(O305="",0,O305)))</f>
        <v/>
      </c>
      <c r="T305" s="1" t="str">
        <f aca="false">IF($A305="","",IF(R305="","",R305-IF(S305="",0,S305)))</f>
        <v/>
      </c>
      <c r="U305" s="1" t="str">
        <f aca="false">IF($A305="","",IF(I305="","",I305-SUM(J305:P305)))</f>
        <v/>
      </c>
      <c r="V305" s="6" t="s">
        <v>4537</v>
      </c>
      <c r="W305" s="9" t="s">
        <v>528</v>
      </c>
      <c r="X305" s="9" t="s">
        <v>4538</v>
      </c>
      <c r="AC305" s="9" t="s">
        <v>4369</v>
      </c>
      <c r="AD305" s="9" t="s">
        <v>4370</v>
      </c>
      <c r="AE305" s="9" t="s">
        <v>4371</v>
      </c>
    </row>
    <row r="306" customFormat="false" ht="15" hidden="false" customHeight="true" outlineLevel="0" collapsed="false">
      <c r="A306" s="6" t="s">
        <v>1497</v>
      </c>
      <c r="B306" s="6" t="s">
        <v>403</v>
      </c>
      <c r="C306" s="6" t="s">
        <v>410</v>
      </c>
      <c r="D306" s="6" t="n">
        <v>6</v>
      </c>
      <c r="E306" s="9" t="s">
        <v>4454</v>
      </c>
      <c r="F306" s="6" t="n">
        <v>48464</v>
      </c>
      <c r="Q306" s="1" t="str">
        <f aca="false">IF($A306="","",IF(OR(F306="",I306=""),"",F306-I306))</f>
        <v/>
      </c>
      <c r="R306" s="1" t="str">
        <f aca="false">IF($A306="","",IF(Q306="","",Q306+IF(O306="",0,O306)))</f>
        <v/>
      </c>
      <c r="T306" s="1" t="str">
        <f aca="false">IF($A306="","",IF(R306="","",R306-IF(S306="",0,S306)))</f>
        <v/>
      </c>
      <c r="U306" s="1" t="str">
        <f aca="false">IF($A306="","",IF(I306="","",I306-SUM(J306:P306)))</f>
        <v/>
      </c>
      <c r="V306" s="6" t="s">
        <v>4537</v>
      </c>
      <c r="W306" s="9" t="s">
        <v>528</v>
      </c>
      <c r="X306" s="9" t="s">
        <v>4538</v>
      </c>
      <c r="AC306" s="9" t="s">
        <v>4369</v>
      </c>
      <c r="AD306" s="9" t="s">
        <v>4370</v>
      </c>
      <c r="AE306" s="9" t="s">
        <v>4371</v>
      </c>
    </row>
    <row r="307" customFormat="false" ht="15" hidden="false" customHeight="true" outlineLevel="0" collapsed="false">
      <c r="A307" s="6" t="s">
        <v>1500</v>
      </c>
      <c r="B307" s="6" t="s">
        <v>403</v>
      </c>
      <c r="C307" s="6" t="s">
        <v>410</v>
      </c>
      <c r="D307" s="6" t="n">
        <v>6</v>
      </c>
      <c r="E307" s="9" t="s">
        <v>4454</v>
      </c>
      <c r="F307" s="6" t="n">
        <v>84570</v>
      </c>
      <c r="Q307" s="1" t="str">
        <f aca="false">IF($A307="","",IF(OR(F307="",I307=""),"",F307-I307))</f>
        <v/>
      </c>
      <c r="R307" s="1" t="str">
        <f aca="false">IF($A307="","",IF(Q307="","",Q307+IF(O307="",0,O307)))</f>
        <v/>
      </c>
      <c r="T307" s="1" t="str">
        <f aca="false">IF($A307="","",IF(R307="","",R307-IF(S307="",0,S307)))</f>
        <v/>
      </c>
      <c r="U307" s="1" t="str">
        <f aca="false">IF($A307="","",IF(I307="","",I307-SUM(J307:P307)))</f>
        <v/>
      </c>
      <c r="V307" s="6" t="s">
        <v>4537</v>
      </c>
      <c r="W307" s="9" t="s">
        <v>528</v>
      </c>
      <c r="X307" s="9" t="s">
        <v>4538</v>
      </c>
      <c r="AC307" s="9" t="s">
        <v>4369</v>
      </c>
      <c r="AD307" s="9" t="s">
        <v>4370</v>
      </c>
      <c r="AE307" s="9" t="s">
        <v>4371</v>
      </c>
    </row>
    <row r="308" customFormat="false" ht="15" hidden="false" customHeight="true" outlineLevel="0" collapsed="false">
      <c r="A308" s="6" t="s">
        <v>1503</v>
      </c>
      <c r="B308" s="6" t="s">
        <v>403</v>
      </c>
      <c r="C308" s="6" t="s">
        <v>410</v>
      </c>
      <c r="D308" s="6" t="n">
        <v>6</v>
      </c>
      <c r="E308" s="9" t="s">
        <v>4454</v>
      </c>
      <c r="F308" s="6" t="n">
        <v>78222</v>
      </c>
      <c r="Q308" s="1" t="str">
        <f aca="false">IF($A308="","",IF(OR(F308="",I308=""),"",F308-I308))</f>
        <v/>
      </c>
      <c r="R308" s="1" t="str">
        <f aca="false">IF($A308="","",IF(Q308="","",Q308+IF(O308="",0,O308)))</f>
        <v/>
      </c>
      <c r="T308" s="1" t="str">
        <f aca="false">IF($A308="","",IF(R308="","",R308-IF(S308="",0,S308)))</f>
        <v/>
      </c>
      <c r="U308" s="1" t="str">
        <f aca="false">IF($A308="","",IF(I308="","",I308-SUM(J308:P308)))</f>
        <v/>
      </c>
      <c r="V308" s="6" t="s">
        <v>4537</v>
      </c>
      <c r="W308" s="9" t="s">
        <v>528</v>
      </c>
      <c r="X308" s="9" t="s">
        <v>4538</v>
      </c>
      <c r="AC308" s="9" t="s">
        <v>4369</v>
      </c>
      <c r="AD308" s="9" t="s">
        <v>4370</v>
      </c>
      <c r="AE308" s="9" t="s">
        <v>4371</v>
      </c>
    </row>
    <row r="309" customFormat="false" ht="15" hidden="false" customHeight="true" outlineLevel="0" collapsed="false">
      <c r="A309" s="6" t="s">
        <v>1506</v>
      </c>
      <c r="B309" s="6" t="s">
        <v>403</v>
      </c>
      <c r="C309" s="6" t="s">
        <v>410</v>
      </c>
      <c r="D309" s="6" t="n">
        <v>6</v>
      </c>
      <c r="E309" s="9" t="s">
        <v>4454</v>
      </c>
      <c r="F309" s="6" t="n">
        <v>186255</v>
      </c>
      <c r="Q309" s="1" t="str">
        <f aca="false">IF($A309="","",IF(OR(F309="",I309=""),"",F309-I309))</f>
        <v/>
      </c>
      <c r="R309" s="1" t="str">
        <f aca="false">IF($A309="","",IF(Q309="","",Q309+IF(O309="",0,O309)))</f>
        <v/>
      </c>
      <c r="T309" s="1" t="str">
        <f aca="false">IF($A309="","",IF(R309="","",R309-IF(S309="",0,S309)))</f>
        <v/>
      </c>
      <c r="U309" s="1" t="str">
        <f aca="false">IF($A309="","",IF(I309="","",I309-SUM(J309:P309)))</f>
        <v/>
      </c>
      <c r="V309" s="6" t="s">
        <v>4537</v>
      </c>
      <c r="W309" s="9" t="s">
        <v>528</v>
      </c>
      <c r="X309" s="9" t="s">
        <v>4538</v>
      </c>
      <c r="AC309" s="9" t="s">
        <v>4369</v>
      </c>
      <c r="AD309" s="9" t="s">
        <v>4370</v>
      </c>
      <c r="AE309" s="9" t="s">
        <v>4371</v>
      </c>
    </row>
    <row r="310" customFormat="false" ht="15" hidden="false" customHeight="true" outlineLevel="0" collapsed="false">
      <c r="A310" s="6" t="s">
        <v>1509</v>
      </c>
      <c r="B310" s="6" t="s">
        <v>403</v>
      </c>
      <c r="C310" s="6" t="s">
        <v>410</v>
      </c>
      <c r="D310" s="6" t="n">
        <v>6</v>
      </c>
      <c r="E310" s="9" t="s">
        <v>4454</v>
      </c>
      <c r="F310" s="6" t="n">
        <v>77220</v>
      </c>
      <c r="Q310" s="1" t="str">
        <f aca="false">IF($A310="","",IF(OR(F310="",I310=""),"",F310-I310))</f>
        <v/>
      </c>
      <c r="R310" s="1" t="str">
        <f aca="false">IF($A310="","",IF(Q310="","",Q310+IF(O310="",0,O310)))</f>
        <v/>
      </c>
      <c r="T310" s="1" t="str">
        <f aca="false">IF($A310="","",IF(R310="","",R310-IF(S310="",0,S310)))</f>
        <v/>
      </c>
      <c r="U310" s="1" t="str">
        <f aca="false">IF($A310="","",IF(I310="","",I310-SUM(J310:P310)))</f>
        <v/>
      </c>
      <c r="V310" s="6" t="s">
        <v>4537</v>
      </c>
      <c r="W310" s="9" t="s">
        <v>528</v>
      </c>
      <c r="X310" s="9" t="s">
        <v>4538</v>
      </c>
      <c r="AC310" s="9" t="s">
        <v>4369</v>
      </c>
      <c r="AD310" s="9" t="s">
        <v>4370</v>
      </c>
      <c r="AE310" s="9" t="s">
        <v>4371</v>
      </c>
    </row>
    <row r="311" customFormat="false" ht="15" hidden="false" customHeight="true" outlineLevel="0" collapsed="false">
      <c r="A311" s="6" t="s">
        <v>1512</v>
      </c>
      <c r="B311" s="6" t="s">
        <v>403</v>
      </c>
      <c r="C311" s="6" t="s">
        <v>410</v>
      </c>
      <c r="D311" s="6" t="n">
        <v>6</v>
      </c>
      <c r="E311" s="9" t="s">
        <v>4454</v>
      </c>
      <c r="F311" s="6" t="n">
        <v>61140</v>
      </c>
      <c r="Q311" s="1" t="str">
        <f aca="false">IF($A311="","",IF(OR(F311="",I311=""),"",F311-I311))</f>
        <v/>
      </c>
      <c r="R311" s="1" t="str">
        <f aca="false">IF($A311="","",IF(Q311="","",Q311+IF(O311="",0,O311)))</f>
        <v/>
      </c>
      <c r="T311" s="1" t="str">
        <f aca="false">IF($A311="","",IF(R311="","",R311-IF(S311="",0,S311)))</f>
        <v/>
      </c>
      <c r="U311" s="1" t="str">
        <f aca="false">IF($A311="","",IF(I311="","",I311-SUM(J311:P311)))</f>
        <v/>
      </c>
      <c r="V311" s="6" t="s">
        <v>4537</v>
      </c>
      <c r="W311" s="9" t="s">
        <v>528</v>
      </c>
      <c r="X311" s="9" t="s">
        <v>4538</v>
      </c>
      <c r="AC311" s="9" t="s">
        <v>4369</v>
      </c>
      <c r="AD311" s="9" t="s">
        <v>4370</v>
      </c>
      <c r="AE311" s="9" t="s">
        <v>4371</v>
      </c>
    </row>
    <row r="312" customFormat="false" ht="15" hidden="false" customHeight="true" outlineLevel="0" collapsed="false">
      <c r="A312" s="6" t="s">
        <v>1515</v>
      </c>
      <c r="B312" s="6" t="s">
        <v>403</v>
      </c>
      <c r="C312" s="6" t="s">
        <v>410</v>
      </c>
      <c r="D312" s="6" t="n">
        <v>6</v>
      </c>
      <c r="E312" s="9" t="s">
        <v>4454</v>
      </c>
      <c r="F312" s="6" t="n">
        <v>43159</v>
      </c>
      <c r="Q312" s="1" t="str">
        <f aca="false">IF($A312="","",IF(OR(F312="",I312=""),"",F312-I312))</f>
        <v/>
      </c>
      <c r="R312" s="1" t="str">
        <f aca="false">IF($A312="","",IF(Q312="","",Q312+IF(O312="",0,O312)))</f>
        <v/>
      </c>
      <c r="T312" s="1" t="str">
        <f aca="false">IF($A312="","",IF(R312="","",R312-IF(S312="",0,S312)))</f>
        <v/>
      </c>
      <c r="U312" s="1" t="str">
        <f aca="false">IF($A312="","",IF(I312="","",I312-SUM(J312:P312)))</f>
        <v/>
      </c>
      <c r="V312" s="6" t="s">
        <v>4537</v>
      </c>
      <c r="W312" s="9" t="s">
        <v>528</v>
      </c>
      <c r="X312" s="9" t="s">
        <v>4538</v>
      </c>
      <c r="AC312" s="9" t="s">
        <v>4369</v>
      </c>
      <c r="AD312" s="9" t="s">
        <v>4370</v>
      </c>
      <c r="AE312" s="9" t="s">
        <v>4371</v>
      </c>
    </row>
    <row r="313" customFormat="false" ht="15" hidden="false" customHeight="true" outlineLevel="0" collapsed="false">
      <c r="A313" s="6" t="s">
        <v>1518</v>
      </c>
      <c r="B313" s="6" t="s">
        <v>403</v>
      </c>
      <c r="C313" s="6" t="s">
        <v>410</v>
      </c>
      <c r="D313" s="6" t="n">
        <v>6</v>
      </c>
      <c r="E313" s="9" t="s">
        <v>4454</v>
      </c>
      <c r="F313" s="6" t="n">
        <v>74882</v>
      </c>
      <c r="Q313" s="1" t="str">
        <f aca="false">IF($A313="","",IF(OR(F313="",I313=""),"",F313-I313))</f>
        <v/>
      </c>
      <c r="R313" s="1" t="str">
        <f aca="false">IF($A313="","",IF(Q313="","",Q313+IF(O313="",0,O313)))</f>
        <v/>
      </c>
      <c r="T313" s="1" t="str">
        <f aca="false">IF($A313="","",IF(R313="","",R313-IF(S313="",0,S313)))</f>
        <v/>
      </c>
      <c r="U313" s="1" t="str">
        <f aca="false">IF($A313="","",IF(I313="","",I313-SUM(J313:P313)))</f>
        <v/>
      </c>
      <c r="V313" s="6" t="s">
        <v>4537</v>
      </c>
      <c r="W313" s="9" t="s">
        <v>528</v>
      </c>
      <c r="X313" s="9" t="s">
        <v>4538</v>
      </c>
      <c r="AC313" s="9" t="s">
        <v>4369</v>
      </c>
      <c r="AD313" s="9" t="s">
        <v>4370</v>
      </c>
      <c r="AE313" s="9" t="s">
        <v>4371</v>
      </c>
    </row>
    <row r="314" customFormat="false" ht="15" hidden="false" customHeight="true" outlineLevel="0" collapsed="false">
      <c r="A314" s="6" t="s">
        <v>1521</v>
      </c>
      <c r="B314" s="6" t="s">
        <v>403</v>
      </c>
      <c r="C314" s="6" t="s">
        <v>410</v>
      </c>
      <c r="D314" s="6" t="n">
        <v>6</v>
      </c>
      <c r="E314" s="9" t="s">
        <v>4454</v>
      </c>
      <c r="F314" s="6" t="n">
        <v>93584</v>
      </c>
      <c r="Q314" s="1" t="str">
        <f aca="false">IF($A314="","",IF(OR(F314="",I314=""),"",F314-I314))</f>
        <v/>
      </c>
      <c r="R314" s="1" t="str">
        <f aca="false">IF($A314="","",IF(Q314="","",Q314+IF(O314="",0,O314)))</f>
        <v/>
      </c>
      <c r="T314" s="1" t="str">
        <f aca="false">IF($A314="","",IF(R314="","",R314-IF(S314="",0,S314)))</f>
        <v/>
      </c>
      <c r="U314" s="1" t="str">
        <f aca="false">IF($A314="","",IF(I314="","",I314-SUM(J314:P314)))</f>
        <v/>
      </c>
      <c r="V314" s="6" t="s">
        <v>4537</v>
      </c>
      <c r="W314" s="9" t="s">
        <v>528</v>
      </c>
      <c r="X314" s="9" t="s">
        <v>4538</v>
      </c>
      <c r="AC314" s="9" t="s">
        <v>4369</v>
      </c>
      <c r="AD314" s="9" t="s">
        <v>4370</v>
      </c>
      <c r="AE314" s="9" t="s">
        <v>4371</v>
      </c>
    </row>
    <row r="315" customFormat="false" ht="15" hidden="false" customHeight="true" outlineLevel="0" collapsed="false">
      <c r="A315" s="6" t="s">
        <v>1524</v>
      </c>
      <c r="B315" s="6" t="s">
        <v>403</v>
      </c>
      <c r="C315" s="6" t="s">
        <v>410</v>
      </c>
      <c r="D315" s="6" t="n">
        <v>6</v>
      </c>
      <c r="E315" s="9" t="s">
        <v>4454</v>
      </c>
      <c r="F315" s="6" t="n">
        <v>29217</v>
      </c>
      <c r="Q315" s="1" t="str">
        <f aca="false">IF($A315="","",IF(OR(F315="",I315=""),"",F315-I315))</f>
        <v/>
      </c>
      <c r="R315" s="1" t="str">
        <f aca="false">IF($A315="","",IF(Q315="","",Q315+IF(O315="",0,O315)))</f>
        <v/>
      </c>
      <c r="T315" s="1" t="str">
        <f aca="false">IF($A315="","",IF(R315="","",R315-IF(S315="",0,S315)))</f>
        <v/>
      </c>
      <c r="U315" s="1" t="str">
        <f aca="false">IF($A315="","",IF(I315="","",I315-SUM(J315:P315)))</f>
        <v/>
      </c>
      <c r="V315" s="6" t="s">
        <v>4537</v>
      </c>
      <c r="W315" s="9" t="s">
        <v>528</v>
      </c>
      <c r="X315" s="9" t="s">
        <v>4538</v>
      </c>
      <c r="AC315" s="9" t="s">
        <v>4369</v>
      </c>
      <c r="AD315" s="9" t="s">
        <v>4370</v>
      </c>
      <c r="AE315" s="9" t="s">
        <v>4371</v>
      </c>
    </row>
    <row r="316" customFormat="false" ht="15" hidden="false" customHeight="true" outlineLevel="0" collapsed="false">
      <c r="A316" s="6" t="s">
        <v>1527</v>
      </c>
      <c r="B316" s="6" t="s">
        <v>403</v>
      </c>
      <c r="C316" s="6" t="s">
        <v>410</v>
      </c>
      <c r="D316" s="6" t="n">
        <v>6</v>
      </c>
      <c r="E316" s="9" t="s">
        <v>4454</v>
      </c>
      <c r="F316" s="6" t="n">
        <v>38669</v>
      </c>
      <c r="Q316" s="1" t="str">
        <f aca="false">IF($A316="","",IF(OR(F316="",I316=""),"",F316-I316))</f>
        <v/>
      </c>
      <c r="R316" s="1" t="str">
        <f aca="false">IF($A316="","",IF(Q316="","",Q316+IF(O316="",0,O316)))</f>
        <v/>
      </c>
      <c r="T316" s="1" t="str">
        <f aca="false">IF($A316="","",IF(R316="","",R316-IF(S316="",0,S316)))</f>
        <v/>
      </c>
      <c r="U316" s="1" t="str">
        <f aca="false">IF($A316="","",IF(I316="","",I316-SUM(J316:P316)))</f>
        <v/>
      </c>
      <c r="V316" s="6" t="s">
        <v>4537</v>
      </c>
      <c r="W316" s="9" t="s">
        <v>528</v>
      </c>
      <c r="X316" s="9" t="s">
        <v>4538</v>
      </c>
      <c r="AC316" s="9" t="s">
        <v>4369</v>
      </c>
      <c r="AD316" s="9" t="s">
        <v>4370</v>
      </c>
      <c r="AE316" s="9" t="s">
        <v>4371</v>
      </c>
    </row>
    <row r="317" customFormat="false" ht="15" hidden="false" customHeight="true" outlineLevel="0" collapsed="false">
      <c r="A317" s="6" t="s">
        <v>1530</v>
      </c>
      <c r="B317" s="6" t="s">
        <v>403</v>
      </c>
      <c r="C317" s="6" t="s">
        <v>410</v>
      </c>
      <c r="D317" s="6" t="n">
        <v>6</v>
      </c>
      <c r="E317" s="9" t="s">
        <v>4454</v>
      </c>
      <c r="F317" s="6" t="n">
        <v>129784</v>
      </c>
      <c r="Q317" s="1" t="str">
        <f aca="false">IF($A317="","",IF(OR(F317="",I317=""),"",F317-I317))</f>
        <v/>
      </c>
      <c r="R317" s="1" t="str">
        <f aca="false">IF($A317="","",IF(Q317="","",Q317+IF(O317="",0,O317)))</f>
        <v/>
      </c>
      <c r="T317" s="1" t="str">
        <f aca="false">IF($A317="","",IF(R317="","",R317-IF(S317="",0,S317)))</f>
        <v/>
      </c>
      <c r="U317" s="1" t="str">
        <f aca="false">IF($A317="","",IF(I317="","",I317-SUM(J317:P317)))</f>
        <v/>
      </c>
      <c r="V317" s="6" t="s">
        <v>4537</v>
      </c>
      <c r="W317" s="9" t="s">
        <v>528</v>
      </c>
      <c r="X317" s="9" t="s">
        <v>4538</v>
      </c>
      <c r="AC317" s="9" t="s">
        <v>4369</v>
      </c>
      <c r="AD317" s="9" t="s">
        <v>4370</v>
      </c>
      <c r="AE317" s="9" t="s">
        <v>4371</v>
      </c>
    </row>
    <row r="318" customFormat="false" ht="15" hidden="false" customHeight="true" outlineLevel="0" collapsed="false">
      <c r="A318" s="6" t="s">
        <v>1534</v>
      </c>
      <c r="B318" s="6" t="s">
        <v>403</v>
      </c>
      <c r="C318" s="6" t="s">
        <v>410</v>
      </c>
      <c r="D318" s="6" t="n">
        <v>6</v>
      </c>
      <c r="E318" s="9" t="s">
        <v>4454</v>
      </c>
      <c r="F318" s="6" t="n">
        <v>146963</v>
      </c>
      <c r="Q318" s="1" t="str">
        <f aca="false">IF($A318="","",IF(OR(F318="",I318=""),"",F318-I318))</f>
        <v/>
      </c>
      <c r="R318" s="1" t="str">
        <f aca="false">IF($A318="","",IF(Q318="","",Q318+IF(O318="",0,O318)))</f>
        <v/>
      </c>
      <c r="T318" s="1" t="str">
        <f aca="false">IF($A318="","",IF(R318="","",R318-IF(S318="",0,S318)))</f>
        <v/>
      </c>
      <c r="U318" s="1" t="str">
        <f aca="false">IF($A318="","",IF(I318="","",I318-SUM(J318:P318)))</f>
        <v/>
      </c>
      <c r="V318" s="6" t="s">
        <v>4537</v>
      </c>
      <c r="W318" s="9" t="s">
        <v>528</v>
      </c>
      <c r="X318" s="9" t="s">
        <v>4538</v>
      </c>
      <c r="AC318" s="9" t="s">
        <v>4369</v>
      </c>
      <c r="AD318" s="9" t="s">
        <v>4370</v>
      </c>
      <c r="AE318" s="9" t="s">
        <v>4371</v>
      </c>
    </row>
    <row r="319" customFormat="false" ht="15" hidden="false" customHeight="true" outlineLevel="0" collapsed="false">
      <c r="A319" s="6" t="s">
        <v>1537</v>
      </c>
      <c r="B319" s="6" t="s">
        <v>403</v>
      </c>
      <c r="C319" s="6" t="s">
        <v>410</v>
      </c>
      <c r="D319" s="6" t="n">
        <v>6</v>
      </c>
      <c r="E319" s="9" t="s">
        <v>4454</v>
      </c>
      <c r="F319" s="6" t="n">
        <v>231560</v>
      </c>
      <c r="Q319" s="1" t="str">
        <f aca="false">IF($A319="","",IF(OR(F319="",I319=""),"",F319-I319))</f>
        <v/>
      </c>
      <c r="R319" s="1" t="str">
        <f aca="false">IF($A319="","",IF(Q319="","",Q319+IF(O319="",0,O319)))</f>
        <v/>
      </c>
      <c r="T319" s="1" t="str">
        <f aca="false">IF($A319="","",IF(R319="","",R319-IF(S319="",0,S319)))</f>
        <v/>
      </c>
      <c r="U319" s="1" t="str">
        <f aca="false">IF($A319="","",IF(I319="","",I319-SUM(J319:P319)))</f>
        <v/>
      </c>
      <c r="V319" s="6" t="s">
        <v>4537</v>
      </c>
      <c r="W319" s="9" t="s">
        <v>528</v>
      </c>
      <c r="X319" s="9" t="s">
        <v>4538</v>
      </c>
      <c r="AC319" s="9" t="s">
        <v>4369</v>
      </c>
      <c r="AD319" s="9" t="s">
        <v>4370</v>
      </c>
      <c r="AE319" s="9" t="s">
        <v>4371</v>
      </c>
    </row>
    <row r="320" customFormat="false" ht="15" hidden="false" customHeight="true" outlineLevel="0" collapsed="false">
      <c r="A320" s="6" t="s">
        <v>1540</v>
      </c>
      <c r="B320" s="6" t="s">
        <v>403</v>
      </c>
      <c r="C320" s="6" t="s">
        <v>410</v>
      </c>
      <c r="D320" s="6" t="n">
        <v>6</v>
      </c>
      <c r="E320" s="9" t="s">
        <v>4539</v>
      </c>
      <c r="F320" s="6" t="n">
        <v>4806</v>
      </c>
      <c r="Q320" s="1" t="str">
        <f aca="false">IF($A320="","",IF(OR(F320="",I320=""),"",F320-I320))</f>
        <v/>
      </c>
      <c r="R320" s="1" t="str">
        <f aca="false">IF($A320="","",IF(Q320="","",Q320+IF(O320="",0,O320)))</f>
        <v/>
      </c>
      <c r="T320" s="1" t="str">
        <f aca="false">IF($A320="","",IF(R320="","",R320-IF(S320="",0,S320)))</f>
        <v/>
      </c>
      <c r="U320" s="1" t="str">
        <f aca="false">IF($A320="","",IF(I320="","",I320-SUM(J320:P320)))</f>
        <v/>
      </c>
      <c r="V320" s="6" t="s">
        <v>4540</v>
      </c>
      <c r="W320" s="9" t="s">
        <v>528</v>
      </c>
      <c r="X320" s="6" t="s">
        <v>4541</v>
      </c>
      <c r="AC320" s="6" t="s">
        <v>4373</v>
      </c>
      <c r="AD320" s="9" t="s">
        <v>4389</v>
      </c>
      <c r="AE320" s="9" t="s">
        <v>4371</v>
      </c>
    </row>
    <row r="321" customFormat="false" ht="15" hidden="false" customHeight="true" outlineLevel="0" collapsed="false">
      <c r="A321" s="6" t="s">
        <v>1543</v>
      </c>
      <c r="B321" s="6" t="s">
        <v>403</v>
      </c>
      <c r="C321" s="6" t="s">
        <v>410</v>
      </c>
      <c r="D321" s="6" t="n">
        <v>6</v>
      </c>
      <c r="E321" s="9" t="s">
        <v>4454</v>
      </c>
      <c r="F321" s="6" t="n">
        <v>155614</v>
      </c>
      <c r="Q321" s="1" t="str">
        <f aca="false">IF($A321="","",IF(OR(F321="",I321=""),"",F321-I321))</f>
        <v/>
      </c>
      <c r="R321" s="1" t="str">
        <f aca="false">IF($A321="","",IF(Q321="","",Q321+IF(O321="",0,O321)))</f>
        <v/>
      </c>
      <c r="T321" s="1" t="str">
        <f aca="false">IF($A321="","",IF(R321="","",R321-IF(S321="",0,S321)))</f>
        <v/>
      </c>
      <c r="U321" s="1" t="str">
        <f aca="false">IF($A321="","",IF(I321="","",I321-SUM(J321:P321)))</f>
        <v/>
      </c>
      <c r="V321" s="6" t="s">
        <v>4537</v>
      </c>
      <c r="W321" s="9" t="s">
        <v>528</v>
      </c>
      <c r="X321" s="9" t="s">
        <v>4538</v>
      </c>
      <c r="AC321" s="9" t="s">
        <v>4369</v>
      </c>
      <c r="AD321" s="9" t="s">
        <v>4370</v>
      </c>
      <c r="AE321" s="9" t="s">
        <v>4371</v>
      </c>
    </row>
    <row r="322" customFormat="false" ht="15" hidden="false" customHeight="true" outlineLevel="0" collapsed="false">
      <c r="A322" s="6" t="s">
        <v>1548</v>
      </c>
      <c r="B322" s="6" t="s">
        <v>403</v>
      </c>
      <c r="C322" s="6" t="s">
        <v>410</v>
      </c>
      <c r="D322" s="6" t="n">
        <v>6</v>
      </c>
      <c r="E322" s="9" t="s">
        <v>4454</v>
      </c>
      <c r="F322" s="6" t="n">
        <v>98468</v>
      </c>
      <c r="Q322" s="1" t="str">
        <f aca="false">IF($A322="","",IF(OR(F322="",I322=""),"",F322-I322))</f>
        <v/>
      </c>
      <c r="R322" s="1" t="str">
        <f aca="false">IF($A322="","",IF(Q322="","",Q322+IF(O322="",0,O322)))</f>
        <v/>
      </c>
      <c r="T322" s="1" t="str">
        <f aca="false">IF($A322="","",IF(R322="","",R322-IF(S322="",0,S322)))</f>
        <v/>
      </c>
      <c r="U322" s="1" t="str">
        <f aca="false">IF($A322="","",IF(I322="","",I322-SUM(J322:P322)))</f>
        <v/>
      </c>
      <c r="V322" s="6" t="s">
        <v>4537</v>
      </c>
      <c r="W322" s="9" t="s">
        <v>528</v>
      </c>
      <c r="X322" s="9" t="s">
        <v>4538</v>
      </c>
      <c r="AC322" s="9" t="s">
        <v>4369</v>
      </c>
      <c r="AD322" s="9" t="s">
        <v>4370</v>
      </c>
      <c r="AE322" s="9" t="s">
        <v>4371</v>
      </c>
    </row>
    <row r="323" customFormat="false" ht="15" hidden="false" customHeight="true" outlineLevel="0" collapsed="false">
      <c r="A323" s="6" t="s">
        <v>1551</v>
      </c>
      <c r="B323" s="6" t="s">
        <v>403</v>
      </c>
      <c r="C323" s="6" t="s">
        <v>410</v>
      </c>
      <c r="D323" s="6" t="n">
        <v>6</v>
      </c>
      <c r="E323" s="9" t="s">
        <v>4454</v>
      </c>
      <c r="F323" s="6" t="n">
        <v>246010</v>
      </c>
      <c r="Q323" s="1" t="str">
        <f aca="false">IF($A323="","",IF(OR(F323="",I323=""),"",F323-I323))</f>
        <v/>
      </c>
      <c r="R323" s="1" t="str">
        <f aca="false">IF($A323="","",IF(Q323="","",Q323+IF(O323="",0,O323)))</f>
        <v/>
      </c>
      <c r="T323" s="1" t="str">
        <f aca="false">IF($A323="","",IF(R323="","",R323-IF(S323="",0,S323)))</f>
        <v/>
      </c>
      <c r="U323" s="1" t="str">
        <f aca="false">IF($A323="","",IF(I323="","",I323-SUM(J323:P323)))</f>
        <v/>
      </c>
      <c r="V323" s="6" t="s">
        <v>4537</v>
      </c>
      <c r="W323" s="9" t="s">
        <v>528</v>
      </c>
      <c r="X323" s="9" t="s">
        <v>4538</v>
      </c>
      <c r="AC323" s="9" t="s">
        <v>4369</v>
      </c>
      <c r="AD323" s="9" t="s">
        <v>4370</v>
      </c>
      <c r="AE323" s="9" t="s">
        <v>4371</v>
      </c>
    </row>
    <row r="324" customFormat="false" ht="15" hidden="false" customHeight="true" outlineLevel="0" collapsed="false">
      <c r="A324" s="6" t="s">
        <v>1554</v>
      </c>
      <c r="B324" s="6" t="s">
        <v>403</v>
      </c>
      <c r="C324" s="6" t="s">
        <v>410</v>
      </c>
      <c r="D324" s="6" t="n">
        <v>6</v>
      </c>
      <c r="E324" s="9" t="s">
        <v>4454</v>
      </c>
      <c r="F324" s="6" t="n">
        <v>98299</v>
      </c>
      <c r="Q324" s="1" t="str">
        <f aca="false">IF($A324="","",IF(OR(F324="",I324=""),"",F324-I324))</f>
        <v/>
      </c>
      <c r="R324" s="1" t="str">
        <f aca="false">IF($A324="","",IF(Q324="","",Q324+IF(O324="",0,O324)))</f>
        <v/>
      </c>
      <c r="T324" s="1" t="str">
        <f aca="false">IF($A324="","",IF(R324="","",R324-IF(S324="",0,S324)))</f>
        <v/>
      </c>
      <c r="U324" s="1" t="str">
        <f aca="false">IF($A324="","",IF(I324="","",I324-SUM(J324:P324)))</f>
        <v/>
      </c>
      <c r="V324" s="6" t="s">
        <v>4537</v>
      </c>
      <c r="W324" s="9" t="s">
        <v>528</v>
      </c>
      <c r="X324" s="9" t="s">
        <v>4538</v>
      </c>
      <c r="AC324" s="9" t="s">
        <v>4369</v>
      </c>
      <c r="AD324" s="9" t="s">
        <v>4370</v>
      </c>
      <c r="AE324" s="9" t="s">
        <v>4371</v>
      </c>
    </row>
    <row r="325" customFormat="false" ht="15" hidden="false" customHeight="true" outlineLevel="0" collapsed="false">
      <c r="A325" s="6" t="s">
        <v>1557</v>
      </c>
      <c r="B325" s="6" t="s">
        <v>403</v>
      </c>
      <c r="C325" s="6" t="s">
        <v>410</v>
      </c>
      <c r="D325" s="6" t="n">
        <v>6</v>
      </c>
      <c r="E325" s="9" t="s">
        <v>4454</v>
      </c>
      <c r="F325" s="6" t="n">
        <v>91257</v>
      </c>
      <c r="Q325" s="1" t="str">
        <f aca="false">IF($A325="","",IF(OR(F325="",I325=""),"",F325-I325))</f>
        <v/>
      </c>
      <c r="R325" s="1" t="str">
        <f aca="false">IF($A325="","",IF(Q325="","",Q325+IF(O325="",0,O325)))</f>
        <v/>
      </c>
      <c r="T325" s="1" t="str">
        <f aca="false">IF($A325="","",IF(R325="","",R325-IF(S325="",0,S325)))</f>
        <v/>
      </c>
      <c r="U325" s="1" t="str">
        <f aca="false">IF($A325="","",IF(I325="","",I325-SUM(J325:P325)))</f>
        <v/>
      </c>
      <c r="V325" s="6" t="s">
        <v>4537</v>
      </c>
      <c r="W325" s="9" t="s">
        <v>528</v>
      </c>
      <c r="X325" s="9" t="s">
        <v>4538</v>
      </c>
      <c r="AC325" s="9" t="s">
        <v>4369</v>
      </c>
      <c r="AD325" s="9" t="s">
        <v>4370</v>
      </c>
      <c r="AE325" s="9" t="s">
        <v>4371</v>
      </c>
    </row>
    <row r="326" customFormat="false" ht="15" hidden="false" customHeight="true" outlineLevel="0" collapsed="false">
      <c r="A326" s="6" t="s">
        <v>1560</v>
      </c>
      <c r="B326" s="6" t="s">
        <v>403</v>
      </c>
      <c r="C326" s="6" t="s">
        <v>410</v>
      </c>
      <c r="D326" s="6" t="n">
        <v>6</v>
      </c>
      <c r="E326" s="9" t="s">
        <v>4454</v>
      </c>
      <c r="F326" s="6" t="n">
        <v>97311</v>
      </c>
      <c r="Q326" s="1" t="str">
        <f aca="false">IF($A326="","",IF(OR(F326="",I326=""),"",F326-I326))</f>
        <v/>
      </c>
      <c r="R326" s="1" t="str">
        <f aca="false">IF($A326="","",IF(Q326="","",Q326+IF(O326="",0,O326)))</f>
        <v/>
      </c>
      <c r="T326" s="1" t="str">
        <f aca="false">IF($A326="","",IF(R326="","",R326-IF(S326="",0,S326)))</f>
        <v/>
      </c>
      <c r="U326" s="1" t="str">
        <f aca="false">IF($A326="","",IF(I326="","",I326-SUM(J326:P326)))</f>
        <v/>
      </c>
      <c r="V326" s="6" t="s">
        <v>4537</v>
      </c>
      <c r="W326" s="9" t="s">
        <v>528</v>
      </c>
      <c r="X326" s="9" t="s">
        <v>4538</v>
      </c>
      <c r="AC326" s="9" t="s">
        <v>4369</v>
      </c>
      <c r="AD326" s="9" t="s">
        <v>4370</v>
      </c>
      <c r="AE326" s="9" t="s">
        <v>4371</v>
      </c>
    </row>
    <row r="327" customFormat="false" ht="15" hidden="false" customHeight="true" outlineLevel="0" collapsed="false">
      <c r="A327" s="6" t="s">
        <v>1563</v>
      </c>
      <c r="B327" s="6" t="s">
        <v>403</v>
      </c>
      <c r="C327" s="6" t="s">
        <v>410</v>
      </c>
      <c r="D327" s="6" t="n">
        <v>6</v>
      </c>
      <c r="E327" s="9" t="s">
        <v>4454</v>
      </c>
      <c r="F327" s="6" t="n">
        <v>211087</v>
      </c>
      <c r="Q327" s="1" t="str">
        <f aca="false">IF($A327="","",IF(OR(F327="",I327=""),"",F327-I327))</f>
        <v/>
      </c>
      <c r="R327" s="1" t="str">
        <f aca="false">IF($A327="","",IF(Q327="","",Q327+IF(O327="",0,O327)))</f>
        <v/>
      </c>
      <c r="T327" s="1" t="str">
        <f aca="false">IF($A327="","",IF(R327="","",R327-IF(S327="",0,S327)))</f>
        <v/>
      </c>
      <c r="U327" s="1" t="str">
        <f aca="false">IF($A327="","",IF(I327="","",I327-SUM(J327:P327)))</f>
        <v/>
      </c>
      <c r="V327" s="6" t="s">
        <v>4537</v>
      </c>
      <c r="W327" s="9" t="s">
        <v>528</v>
      </c>
      <c r="X327" s="9" t="s">
        <v>4538</v>
      </c>
      <c r="AC327" s="9" t="s">
        <v>4369</v>
      </c>
      <c r="AD327" s="9" t="s">
        <v>4370</v>
      </c>
      <c r="AE327" s="9" t="s">
        <v>4371</v>
      </c>
    </row>
    <row r="328" customFormat="false" ht="15" hidden="false" customHeight="true" outlineLevel="0" collapsed="false">
      <c r="A328" s="6" t="s">
        <v>1566</v>
      </c>
      <c r="B328" s="6" t="s">
        <v>403</v>
      </c>
      <c r="C328" s="6" t="s">
        <v>410</v>
      </c>
      <c r="D328" s="6" t="n">
        <v>6</v>
      </c>
      <c r="E328" s="9" t="s">
        <v>4454</v>
      </c>
      <c r="F328" s="6" t="n">
        <v>135731</v>
      </c>
      <c r="Q328" s="1" t="str">
        <f aca="false">IF($A328="","",IF(OR(F328="",I328=""),"",F328-I328))</f>
        <v/>
      </c>
      <c r="R328" s="1" t="str">
        <f aca="false">IF($A328="","",IF(Q328="","",Q328+IF(O328="",0,O328)))</f>
        <v/>
      </c>
      <c r="T328" s="1" t="str">
        <f aca="false">IF($A328="","",IF(R328="","",R328-IF(S328="",0,S328)))</f>
        <v/>
      </c>
      <c r="U328" s="1" t="str">
        <f aca="false">IF($A328="","",IF(I328="","",I328-SUM(J328:P328)))</f>
        <v/>
      </c>
      <c r="V328" s="6" t="s">
        <v>4537</v>
      </c>
      <c r="W328" s="9" t="s">
        <v>528</v>
      </c>
      <c r="X328" s="9" t="s">
        <v>4538</v>
      </c>
      <c r="AC328" s="9" t="s">
        <v>4369</v>
      </c>
      <c r="AD328" s="9" t="s">
        <v>4370</v>
      </c>
      <c r="AE328" s="9" t="s">
        <v>4371</v>
      </c>
    </row>
    <row r="329" customFormat="false" ht="15" hidden="false" customHeight="true" outlineLevel="0" collapsed="false">
      <c r="A329" s="6" t="s">
        <v>1569</v>
      </c>
      <c r="B329" s="6" t="s">
        <v>403</v>
      </c>
      <c r="C329" s="6" t="s">
        <v>410</v>
      </c>
      <c r="D329" s="6" t="n">
        <v>6</v>
      </c>
      <c r="E329" s="9" t="s">
        <v>4454</v>
      </c>
      <c r="F329" s="6" t="n">
        <v>60967</v>
      </c>
      <c r="Q329" s="1" t="str">
        <f aca="false">IF($A329="","",IF(OR(F329="",I329=""),"",F329-I329))</f>
        <v/>
      </c>
      <c r="R329" s="1" t="str">
        <f aca="false">IF($A329="","",IF(Q329="","",Q329+IF(O329="",0,O329)))</f>
        <v/>
      </c>
      <c r="T329" s="1" t="str">
        <f aca="false">IF($A329="","",IF(R329="","",R329-IF(S329="",0,S329)))</f>
        <v/>
      </c>
      <c r="U329" s="1" t="str">
        <f aca="false">IF($A329="","",IF(I329="","",I329-SUM(J329:P329)))</f>
        <v/>
      </c>
      <c r="V329" s="6" t="s">
        <v>4537</v>
      </c>
      <c r="W329" s="9" t="s">
        <v>528</v>
      </c>
      <c r="X329" s="9" t="s">
        <v>4538</v>
      </c>
      <c r="AC329" s="9" t="s">
        <v>4369</v>
      </c>
      <c r="AD329" s="9" t="s">
        <v>4370</v>
      </c>
      <c r="AE329" s="9" t="s">
        <v>4371</v>
      </c>
    </row>
    <row r="330" customFormat="false" ht="15" hidden="false" customHeight="true" outlineLevel="0" collapsed="false">
      <c r="A330" s="6" t="s">
        <v>1572</v>
      </c>
      <c r="B330" s="6" t="s">
        <v>403</v>
      </c>
      <c r="C330" s="6" t="s">
        <v>410</v>
      </c>
      <c r="D330" s="6" t="n">
        <v>6</v>
      </c>
      <c r="E330" s="9" t="s">
        <v>4454</v>
      </c>
      <c r="F330" s="6" t="n">
        <v>180032</v>
      </c>
      <c r="Q330" s="1" t="str">
        <f aca="false">IF($A330="","",IF(OR(F330="",I330=""),"",F330-I330))</f>
        <v/>
      </c>
      <c r="R330" s="1" t="str">
        <f aca="false">IF($A330="","",IF(Q330="","",Q330+IF(O330="",0,O330)))</f>
        <v/>
      </c>
      <c r="T330" s="1" t="str">
        <f aca="false">IF($A330="","",IF(R330="","",R330-IF(S330="",0,S330)))</f>
        <v/>
      </c>
      <c r="U330" s="1" t="str">
        <f aca="false">IF($A330="","",IF(I330="","",I330-SUM(J330:P330)))</f>
        <v/>
      </c>
      <c r="V330" s="6" t="s">
        <v>4537</v>
      </c>
      <c r="W330" s="9" t="s">
        <v>528</v>
      </c>
      <c r="X330" s="9" t="s">
        <v>4538</v>
      </c>
      <c r="AC330" s="9" t="s">
        <v>4369</v>
      </c>
      <c r="AD330" s="9" t="s">
        <v>4370</v>
      </c>
      <c r="AE330" s="9" t="s">
        <v>4371</v>
      </c>
    </row>
    <row r="331" customFormat="false" ht="15" hidden="false" customHeight="true" outlineLevel="0" collapsed="false">
      <c r="A331" s="6" t="s">
        <v>1575</v>
      </c>
      <c r="B331" s="6" t="s">
        <v>403</v>
      </c>
      <c r="C331" s="6" t="s">
        <v>410</v>
      </c>
      <c r="D331" s="6" t="n">
        <v>6</v>
      </c>
      <c r="E331" s="9" t="s">
        <v>4454</v>
      </c>
      <c r="F331" s="6" t="n">
        <v>59250</v>
      </c>
      <c r="Q331" s="1" t="str">
        <f aca="false">IF($A331="","",IF(OR(F331="",I331=""),"",F331-I331))</f>
        <v/>
      </c>
      <c r="R331" s="1" t="str">
        <f aca="false">IF($A331="","",IF(Q331="","",Q331+IF(O331="",0,O331)))</f>
        <v/>
      </c>
      <c r="T331" s="1" t="str">
        <f aca="false">IF($A331="","",IF(R331="","",R331-IF(S331="",0,S331)))</f>
        <v/>
      </c>
      <c r="U331" s="1" t="str">
        <f aca="false">IF($A331="","",IF(I331="","",I331-SUM(J331:P331)))</f>
        <v/>
      </c>
      <c r="V331" s="6" t="s">
        <v>4537</v>
      </c>
      <c r="W331" s="9" t="s">
        <v>528</v>
      </c>
      <c r="X331" s="9" t="s">
        <v>4538</v>
      </c>
      <c r="AC331" s="9" t="s">
        <v>4369</v>
      </c>
      <c r="AD331" s="9" t="s">
        <v>4370</v>
      </c>
      <c r="AE331" s="9" t="s">
        <v>4371</v>
      </c>
    </row>
    <row r="332" customFormat="false" ht="15" hidden="false" customHeight="true" outlineLevel="0" collapsed="false">
      <c r="A332" s="6" t="s">
        <v>1579</v>
      </c>
      <c r="B332" s="6" t="s">
        <v>403</v>
      </c>
      <c r="C332" s="6" t="s">
        <v>410</v>
      </c>
      <c r="D332" s="6" t="n">
        <v>6</v>
      </c>
      <c r="E332" s="9" t="s">
        <v>4454</v>
      </c>
      <c r="F332" s="6" t="n">
        <v>102642</v>
      </c>
      <c r="Q332" s="1" t="str">
        <f aca="false">IF($A332="","",IF(OR(F332="",I332=""),"",F332-I332))</f>
        <v/>
      </c>
      <c r="R332" s="1" t="str">
        <f aca="false">IF($A332="","",IF(Q332="","",Q332+IF(O332="",0,O332)))</f>
        <v/>
      </c>
      <c r="T332" s="1" t="str">
        <f aca="false">IF($A332="","",IF(R332="","",R332-IF(S332="",0,S332)))</f>
        <v/>
      </c>
      <c r="U332" s="1" t="str">
        <f aca="false">IF($A332="","",IF(I332="","",I332-SUM(J332:P332)))</f>
        <v/>
      </c>
      <c r="V332" s="6" t="s">
        <v>4537</v>
      </c>
      <c r="W332" s="9" t="s">
        <v>528</v>
      </c>
      <c r="X332" s="9" t="s">
        <v>4538</v>
      </c>
      <c r="AC332" s="9" t="s">
        <v>4369</v>
      </c>
      <c r="AD332" s="9" t="s">
        <v>4370</v>
      </c>
      <c r="AE332" s="9" t="s">
        <v>4371</v>
      </c>
    </row>
    <row r="333" customFormat="false" ht="15" hidden="false" customHeight="true" outlineLevel="0" collapsed="false">
      <c r="A333" s="6" t="s">
        <v>1582</v>
      </c>
      <c r="B333" s="6" t="s">
        <v>403</v>
      </c>
      <c r="C333" s="6" t="s">
        <v>410</v>
      </c>
      <c r="D333" s="6" t="n">
        <v>6</v>
      </c>
      <c r="E333" s="9" t="s">
        <v>4454</v>
      </c>
      <c r="F333" s="6" t="n">
        <v>89072</v>
      </c>
      <c r="Q333" s="1" t="str">
        <f aca="false">IF($A333="","",IF(OR(F333="",I333=""),"",F333-I333))</f>
        <v/>
      </c>
      <c r="R333" s="1" t="str">
        <f aca="false">IF($A333="","",IF(Q333="","",Q333+IF(O333="",0,O333)))</f>
        <v/>
      </c>
      <c r="T333" s="1" t="str">
        <f aca="false">IF($A333="","",IF(R333="","",R333-IF(S333="",0,S333)))</f>
        <v/>
      </c>
      <c r="U333" s="1" t="str">
        <f aca="false">IF($A333="","",IF(I333="","",I333-SUM(J333:P333)))</f>
        <v/>
      </c>
      <c r="V333" s="6" t="s">
        <v>4537</v>
      </c>
      <c r="W333" s="9" t="s">
        <v>528</v>
      </c>
      <c r="X333" s="9" t="s">
        <v>4538</v>
      </c>
      <c r="AC333" s="9" t="s">
        <v>4369</v>
      </c>
      <c r="AD333" s="9" t="s">
        <v>4370</v>
      </c>
      <c r="AE333" s="9" t="s">
        <v>4371</v>
      </c>
    </row>
    <row r="334" customFormat="false" ht="15" hidden="false" customHeight="true" outlineLevel="0" collapsed="false">
      <c r="A334" s="6" t="s">
        <v>1585</v>
      </c>
      <c r="B334" s="6" t="s">
        <v>403</v>
      </c>
      <c r="C334" s="6" t="s">
        <v>410</v>
      </c>
      <c r="D334" s="6" t="n">
        <v>6</v>
      </c>
      <c r="E334" s="9" t="s">
        <v>4454</v>
      </c>
      <c r="F334" s="6" t="n">
        <v>184180</v>
      </c>
      <c r="Q334" s="1" t="str">
        <f aca="false">IF($A334="","",IF(OR(F334="",I334=""),"",F334-I334))</f>
        <v/>
      </c>
      <c r="R334" s="1" t="str">
        <f aca="false">IF($A334="","",IF(Q334="","",Q334+IF(O334="",0,O334)))</f>
        <v/>
      </c>
      <c r="T334" s="1" t="str">
        <f aca="false">IF($A334="","",IF(R334="","",R334-IF(S334="",0,S334)))</f>
        <v/>
      </c>
      <c r="U334" s="1" t="str">
        <f aca="false">IF($A334="","",IF(I334="","",I334-SUM(J334:P334)))</f>
        <v/>
      </c>
      <c r="V334" s="6" t="s">
        <v>4537</v>
      </c>
      <c r="W334" s="9" t="s">
        <v>528</v>
      </c>
      <c r="X334" s="9" t="s">
        <v>4538</v>
      </c>
      <c r="AC334" s="9" t="s">
        <v>4369</v>
      </c>
      <c r="AD334" s="9" t="s">
        <v>4370</v>
      </c>
      <c r="AE334" s="9" t="s">
        <v>4371</v>
      </c>
    </row>
    <row r="335" customFormat="false" ht="15" hidden="false" customHeight="true" outlineLevel="0" collapsed="false">
      <c r="A335" s="6" t="s">
        <v>1588</v>
      </c>
      <c r="B335" s="6" t="s">
        <v>403</v>
      </c>
      <c r="C335" s="6" t="s">
        <v>410</v>
      </c>
      <c r="D335" s="6" t="n">
        <v>6</v>
      </c>
      <c r="E335" s="9" t="s">
        <v>4454</v>
      </c>
      <c r="F335" s="6" t="n">
        <v>119375</v>
      </c>
      <c r="Q335" s="1" t="str">
        <f aca="false">IF($A335="","",IF(OR(F335="",I335=""),"",F335-I335))</f>
        <v/>
      </c>
      <c r="R335" s="1" t="str">
        <f aca="false">IF($A335="","",IF(Q335="","",Q335+IF(O335="",0,O335)))</f>
        <v/>
      </c>
      <c r="T335" s="1" t="str">
        <f aca="false">IF($A335="","",IF(R335="","",R335-IF(S335="",0,S335)))</f>
        <v/>
      </c>
      <c r="U335" s="1" t="str">
        <f aca="false">IF($A335="","",IF(I335="","",I335-SUM(J335:P335)))</f>
        <v/>
      </c>
      <c r="V335" s="6" t="s">
        <v>4537</v>
      </c>
      <c r="W335" s="9" t="s">
        <v>528</v>
      </c>
      <c r="X335" s="9" t="s">
        <v>4538</v>
      </c>
      <c r="AC335" s="9" t="s">
        <v>4369</v>
      </c>
      <c r="AD335" s="9" t="s">
        <v>4370</v>
      </c>
      <c r="AE335" s="9" t="s">
        <v>4371</v>
      </c>
    </row>
    <row r="336" customFormat="false" ht="15" hidden="false" customHeight="true" outlineLevel="0" collapsed="false">
      <c r="A336" s="6" t="s">
        <v>1591</v>
      </c>
      <c r="B336" s="6" t="s">
        <v>403</v>
      </c>
      <c r="C336" s="6" t="s">
        <v>410</v>
      </c>
      <c r="D336" s="6" t="n">
        <v>6</v>
      </c>
      <c r="E336" s="9" t="s">
        <v>4454</v>
      </c>
      <c r="F336" s="6" t="n">
        <v>131697</v>
      </c>
      <c r="Q336" s="1" t="str">
        <f aca="false">IF($A336="","",IF(OR(F336="",I336=""),"",F336-I336))</f>
        <v/>
      </c>
      <c r="R336" s="1" t="str">
        <f aca="false">IF($A336="","",IF(Q336="","",Q336+IF(O336="",0,O336)))</f>
        <v/>
      </c>
      <c r="T336" s="1" t="str">
        <f aca="false">IF($A336="","",IF(R336="","",R336-IF(S336="",0,S336)))</f>
        <v/>
      </c>
      <c r="U336" s="1" t="str">
        <f aca="false">IF($A336="","",IF(I336="","",I336-SUM(J336:P336)))</f>
        <v/>
      </c>
      <c r="V336" s="6" t="s">
        <v>4537</v>
      </c>
      <c r="W336" s="9" t="s">
        <v>528</v>
      </c>
      <c r="X336" s="9" t="s">
        <v>4538</v>
      </c>
      <c r="AC336" s="9" t="s">
        <v>4369</v>
      </c>
      <c r="AD336" s="9" t="s">
        <v>4370</v>
      </c>
      <c r="AE336" s="9" t="s">
        <v>4371</v>
      </c>
    </row>
    <row r="337" customFormat="false" ht="15" hidden="false" customHeight="true" outlineLevel="0" collapsed="false">
      <c r="A337" s="6" t="s">
        <v>1594</v>
      </c>
      <c r="B337" s="6" t="s">
        <v>403</v>
      </c>
      <c r="C337" s="6" t="s">
        <v>410</v>
      </c>
      <c r="D337" s="6" t="n">
        <v>6</v>
      </c>
      <c r="E337" s="9" t="s">
        <v>4454</v>
      </c>
      <c r="F337" s="6" t="n">
        <v>188995</v>
      </c>
      <c r="Q337" s="1" t="str">
        <f aca="false">IF($A337="","",IF(OR(F337="",I337=""),"",F337-I337))</f>
        <v/>
      </c>
      <c r="R337" s="1" t="str">
        <f aca="false">IF($A337="","",IF(Q337="","",Q337+IF(O337="",0,O337)))</f>
        <v/>
      </c>
      <c r="T337" s="1" t="str">
        <f aca="false">IF($A337="","",IF(R337="","",R337-IF(S337="",0,S337)))</f>
        <v/>
      </c>
      <c r="U337" s="1" t="str">
        <f aca="false">IF($A337="","",IF(I337="","",I337-SUM(J337:P337)))</f>
        <v/>
      </c>
      <c r="V337" s="6" t="s">
        <v>4537</v>
      </c>
      <c r="W337" s="9" t="s">
        <v>528</v>
      </c>
      <c r="X337" s="9" t="s">
        <v>4538</v>
      </c>
      <c r="AC337" s="9" t="s">
        <v>4369</v>
      </c>
      <c r="AD337" s="9" t="s">
        <v>4370</v>
      </c>
      <c r="AE337" s="9" t="s">
        <v>4371</v>
      </c>
    </row>
    <row r="338" customFormat="false" ht="15" hidden="false" customHeight="true" outlineLevel="0" collapsed="false">
      <c r="A338" s="6" t="s">
        <v>1597</v>
      </c>
      <c r="B338" s="6" t="s">
        <v>403</v>
      </c>
      <c r="C338" s="6" t="s">
        <v>410</v>
      </c>
      <c r="D338" s="6" t="n">
        <v>6</v>
      </c>
      <c r="E338" s="9" t="s">
        <v>4454</v>
      </c>
      <c r="F338" s="6" t="n">
        <v>150716</v>
      </c>
      <c r="Q338" s="1" t="str">
        <f aca="false">IF($A338="","",IF(OR(F338="",I338=""),"",F338-I338))</f>
        <v/>
      </c>
      <c r="R338" s="1" t="str">
        <f aca="false">IF($A338="","",IF(Q338="","",Q338+IF(O338="",0,O338)))</f>
        <v/>
      </c>
      <c r="T338" s="1" t="str">
        <f aca="false">IF($A338="","",IF(R338="","",R338-IF(S338="",0,S338)))</f>
        <v/>
      </c>
      <c r="U338" s="1" t="str">
        <f aca="false">IF($A338="","",IF(I338="","",I338-SUM(J338:P338)))</f>
        <v/>
      </c>
      <c r="V338" s="6" t="s">
        <v>4537</v>
      </c>
      <c r="W338" s="9" t="s">
        <v>528</v>
      </c>
      <c r="X338" s="9" t="s">
        <v>4538</v>
      </c>
      <c r="AC338" s="9" t="s">
        <v>4369</v>
      </c>
      <c r="AD338" s="9" t="s">
        <v>4370</v>
      </c>
      <c r="AE338" s="9" t="s">
        <v>4371</v>
      </c>
    </row>
    <row r="339" customFormat="false" ht="15" hidden="false" customHeight="true" outlineLevel="0" collapsed="false">
      <c r="A339" s="6" t="s">
        <v>1600</v>
      </c>
      <c r="B339" s="6" t="s">
        <v>403</v>
      </c>
      <c r="C339" s="6" t="s">
        <v>410</v>
      </c>
      <c r="D339" s="6" t="n">
        <v>6</v>
      </c>
      <c r="E339" s="9" t="s">
        <v>4454</v>
      </c>
      <c r="F339" s="6" t="n">
        <v>92429</v>
      </c>
      <c r="Q339" s="1" t="str">
        <f aca="false">IF($A339="","",IF(OR(F339="",I339=""),"",F339-I339))</f>
        <v/>
      </c>
      <c r="R339" s="1" t="str">
        <f aca="false">IF($A339="","",IF(Q339="","",Q339+IF(O339="",0,O339)))</f>
        <v/>
      </c>
      <c r="T339" s="1" t="str">
        <f aca="false">IF($A339="","",IF(R339="","",R339-IF(S339="",0,S339)))</f>
        <v/>
      </c>
      <c r="U339" s="1" t="str">
        <f aca="false">IF($A339="","",IF(I339="","",I339-SUM(J339:P339)))</f>
        <v/>
      </c>
      <c r="V339" s="6" t="s">
        <v>4537</v>
      </c>
      <c r="W339" s="9" t="s">
        <v>528</v>
      </c>
      <c r="X339" s="9" t="s">
        <v>4538</v>
      </c>
      <c r="AC339" s="9" t="s">
        <v>4369</v>
      </c>
      <c r="AD339" s="9" t="s">
        <v>4370</v>
      </c>
      <c r="AE339" s="9" t="s">
        <v>4371</v>
      </c>
    </row>
    <row r="340" customFormat="false" ht="15" hidden="false" customHeight="true" outlineLevel="0" collapsed="false">
      <c r="A340" s="6" t="s">
        <v>1603</v>
      </c>
      <c r="B340" s="6" t="s">
        <v>403</v>
      </c>
      <c r="C340" s="6" t="s">
        <v>410</v>
      </c>
      <c r="D340" s="6" t="n">
        <v>6</v>
      </c>
      <c r="E340" s="9" t="s">
        <v>4454</v>
      </c>
      <c r="F340" s="6" t="n">
        <v>87194</v>
      </c>
      <c r="Q340" s="1" t="str">
        <f aca="false">IF($A340="","",IF(OR(F340="",I340=""),"",F340-I340))</f>
        <v/>
      </c>
      <c r="R340" s="1" t="str">
        <f aca="false">IF($A340="","",IF(Q340="","",Q340+IF(O340="",0,O340)))</f>
        <v/>
      </c>
      <c r="T340" s="1" t="str">
        <f aca="false">IF($A340="","",IF(R340="","",R340-IF(S340="",0,S340)))</f>
        <v/>
      </c>
      <c r="U340" s="1" t="str">
        <f aca="false">IF($A340="","",IF(I340="","",I340-SUM(J340:P340)))</f>
        <v/>
      </c>
      <c r="V340" s="6" t="s">
        <v>4537</v>
      </c>
      <c r="W340" s="9" t="s">
        <v>528</v>
      </c>
      <c r="X340" s="9" t="s">
        <v>4538</v>
      </c>
      <c r="AC340" s="9" t="s">
        <v>4369</v>
      </c>
      <c r="AD340" s="9" t="s">
        <v>4370</v>
      </c>
      <c r="AE340" s="9" t="s">
        <v>4371</v>
      </c>
    </row>
    <row r="341" customFormat="false" ht="15" hidden="false" customHeight="true" outlineLevel="0" collapsed="false">
      <c r="A341" s="6" t="s">
        <v>1606</v>
      </c>
      <c r="B341" s="6" t="s">
        <v>403</v>
      </c>
      <c r="C341" s="6" t="s">
        <v>410</v>
      </c>
      <c r="D341" s="6" t="n">
        <v>6</v>
      </c>
      <c r="E341" s="9" t="s">
        <v>4454</v>
      </c>
      <c r="F341" s="6" t="n">
        <v>109674</v>
      </c>
      <c r="Q341" s="1" t="str">
        <f aca="false">IF($A341="","",IF(OR(F341="",I341=""),"",F341-I341))</f>
        <v/>
      </c>
      <c r="R341" s="1" t="str">
        <f aca="false">IF($A341="","",IF(Q341="","",Q341+IF(O341="",0,O341)))</f>
        <v/>
      </c>
      <c r="T341" s="1" t="str">
        <f aca="false">IF($A341="","",IF(R341="","",R341-IF(S341="",0,S341)))</f>
        <v/>
      </c>
      <c r="U341" s="1" t="str">
        <f aca="false">IF($A341="","",IF(I341="","",I341-SUM(J341:P341)))</f>
        <v/>
      </c>
      <c r="V341" s="6" t="s">
        <v>4537</v>
      </c>
      <c r="W341" s="9" t="s">
        <v>528</v>
      </c>
      <c r="X341" s="9" t="s">
        <v>4538</v>
      </c>
      <c r="AC341" s="9" t="s">
        <v>4369</v>
      </c>
      <c r="AD341" s="9" t="s">
        <v>4370</v>
      </c>
      <c r="AE341" s="9" t="s">
        <v>4371</v>
      </c>
    </row>
    <row r="342" customFormat="false" ht="15" hidden="false" customHeight="true" outlineLevel="0" collapsed="false">
      <c r="A342" s="6" t="s">
        <v>1609</v>
      </c>
      <c r="B342" s="6" t="s">
        <v>403</v>
      </c>
      <c r="C342" s="6" t="s">
        <v>410</v>
      </c>
      <c r="D342" s="6" t="n">
        <v>6</v>
      </c>
      <c r="E342" s="9" t="s">
        <v>4454</v>
      </c>
      <c r="F342" s="6" t="n">
        <v>136297</v>
      </c>
      <c r="Q342" s="1" t="str">
        <f aca="false">IF($A342="","",IF(OR(F342="",I342=""),"",F342-I342))</f>
        <v/>
      </c>
      <c r="R342" s="1" t="str">
        <f aca="false">IF($A342="","",IF(Q342="","",Q342+IF(O342="",0,O342)))</f>
        <v/>
      </c>
      <c r="T342" s="1" t="str">
        <f aca="false">IF($A342="","",IF(R342="","",R342-IF(S342="",0,S342)))</f>
        <v/>
      </c>
      <c r="U342" s="1" t="str">
        <f aca="false">IF($A342="","",IF(I342="","",I342-SUM(J342:P342)))</f>
        <v/>
      </c>
      <c r="V342" s="6" t="s">
        <v>4537</v>
      </c>
      <c r="W342" s="9" t="s">
        <v>528</v>
      </c>
      <c r="X342" s="9" t="s">
        <v>4538</v>
      </c>
      <c r="AC342" s="9" t="s">
        <v>4369</v>
      </c>
      <c r="AD342" s="9" t="s">
        <v>4370</v>
      </c>
      <c r="AE342" s="9" t="s">
        <v>4371</v>
      </c>
    </row>
    <row r="343" customFormat="false" ht="15" hidden="false" customHeight="true" outlineLevel="0" collapsed="false">
      <c r="A343" s="6" t="s">
        <v>1612</v>
      </c>
      <c r="B343" s="6" t="s">
        <v>403</v>
      </c>
      <c r="C343" s="6" t="s">
        <v>410</v>
      </c>
      <c r="D343" s="6" t="n">
        <v>6</v>
      </c>
      <c r="E343" s="9" t="s">
        <v>4454</v>
      </c>
      <c r="F343" s="6" t="n">
        <v>73108</v>
      </c>
      <c r="Q343" s="1" t="str">
        <f aca="false">IF($A343="","",IF(OR(F343="",I343=""),"",F343-I343))</f>
        <v/>
      </c>
      <c r="R343" s="1" t="str">
        <f aca="false">IF($A343="","",IF(Q343="","",Q343+IF(O343="",0,O343)))</f>
        <v/>
      </c>
      <c r="T343" s="1" t="str">
        <f aca="false">IF($A343="","",IF(R343="","",R343-IF(S343="",0,S343)))</f>
        <v/>
      </c>
      <c r="U343" s="1" t="str">
        <f aca="false">IF($A343="","",IF(I343="","",I343-SUM(J343:P343)))</f>
        <v/>
      </c>
      <c r="V343" s="6" t="s">
        <v>4537</v>
      </c>
      <c r="W343" s="9" t="s">
        <v>528</v>
      </c>
      <c r="X343" s="9" t="s">
        <v>4538</v>
      </c>
      <c r="AC343" s="9" t="s">
        <v>4369</v>
      </c>
      <c r="AD343" s="9" t="s">
        <v>4370</v>
      </c>
      <c r="AE343" s="9" t="s">
        <v>4371</v>
      </c>
    </row>
    <row r="344" customFormat="false" ht="15" hidden="false" customHeight="true" outlineLevel="0" collapsed="false">
      <c r="A344" s="6" t="s">
        <v>1615</v>
      </c>
      <c r="B344" s="6" t="s">
        <v>403</v>
      </c>
      <c r="C344" s="6" t="s">
        <v>410</v>
      </c>
      <c r="D344" s="6" t="n">
        <v>6</v>
      </c>
      <c r="E344" s="9" t="s">
        <v>4454</v>
      </c>
      <c r="F344" s="6" t="n">
        <v>169681</v>
      </c>
      <c r="Q344" s="1" t="str">
        <f aca="false">IF($A344="","",IF(OR(F344="",I344=""),"",F344-I344))</f>
        <v/>
      </c>
      <c r="R344" s="1" t="str">
        <f aca="false">IF($A344="","",IF(Q344="","",Q344+IF(O344="",0,O344)))</f>
        <v/>
      </c>
      <c r="T344" s="1" t="str">
        <f aca="false">IF($A344="","",IF(R344="","",R344-IF(S344="",0,S344)))</f>
        <v/>
      </c>
      <c r="U344" s="1" t="str">
        <f aca="false">IF($A344="","",IF(I344="","",I344-SUM(J344:P344)))</f>
        <v/>
      </c>
      <c r="V344" s="6" t="s">
        <v>4537</v>
      </c>
      <c r="W344" s="9" t="s">
        <v>528</v>
      </c>
      <c r="X344" s="9" t="s">
        <v>4538</v>
      </c>
      <c r="AC344" s="9" t="s">
        <v>4369</v>
      </c>
      <c r="AD344" s="9" t="s">
        <v>4370</v>
      </c>
      <c r="AE344" s="9" t="s">
        <v>4371</v>
      </c>
    </row>
    <row r="345" customFormat="false" ht="15" hidden="false" customHeight="true" outlineLevel="0" collapsed="false">
      <c r="A345" s="6" t="s">
        <v>1618</v>
      </c>
      <c r="B345" s="6" t="s">
        <v>403</v>
      </c>
      <c r="C345" s="6" t="s">
        <v>410</v>
      </c>
      <c r="D345" s="6" t="n">
        <v>6</v>
      </c>
      <c r="E345" s="9" t="s">
        <v>4454</v>
      </c>
      <c r="F345" s="6" t="n">
        <v>110384</v>
      </c>
      <c r="Q345" s="1" t="str">
        <f aca="false">IF($A345="","",IF(OR(F345="",I345=""),"",F345-I345))</f>
        <v/>
      </c>
      <c r="R345" s="1" t="str">
        <f aca="false">IF($A345="","",IF(Q345="","",Q345+IF(O345="",0,O345)))</f>
        <v/>
      </c>
      <c r="T345" s="1" t="str">
        <f aca="false">IF($A345="","",IF(R345="","",R345-IF(S345="",0,S345)))</f>
        <v/>
      </c>
      <c r="U345" s="1" t="str">
        <f aca="false">IF($A345="","",IF(I345="","",I345-SUM(J345:P345)))</f>
        <v/>
      </c>
      <c r="V345" s="6" t="s">
        <v>4537</v>
      </c>
      <c r="W345" s="9" t="s">
        <v>528</v>
      </c>
      <c r="X345" s="9" t="s">
        <v>4538</v>
      </c>
      <c r="AC345" s="9" t="s">
        <v>4369</v>
      </c>
      <c r="AD345" s="9" t="s">
        <v>4370</v>
      </c>
      <c r="AE345" s="9" t="s">
        <v>4371</v>
      </c>
    </row>
    <row r="346" customFormat="false" ht="15" hidden="false" customHeight="true" outlineLevel="0" collapsed="false">
      <c r="A346" s="6" t="s">
        <v>1623</v>
      </c>
      <c r="B346" s="6" t="s">
        <v>403</v>
      </c>
      <c r="C346" s="6" t="s">
        <v>410</v>
      </c>
      <c r="D346" s="6" t="n">
        <v>6</v>
      </c>
      <c r="E346" s="9" t="s">
        <v>4454</v>
      </c>
      <c r="F346" s="6" t="n">
        <v>97842</v>
      </c>
      <c r="Q346" s="1" t="str">
        <f aca="false">IF($A346="","",IF(OR(F346="",I346=""),"",F346-I346))</f>
        <v/>
      </c>
      <c r="R346" s="1" t="str">
        <f aca="false">IF($A346="","",IF(Q346="","",Q346+IF(O346="",0,O346)))</f>
        <v/>
      </c>
      <c r="T346" s="1" t="str">
        <f aca="false">IF($A346="","",IF(R346="","",R346-IF(S346="",0,S346)))</f>
        <v/>
      </c>
      <c r="U346" s="1" t="str">
        <f aca="false">IF($A346="","",IF(I346="","",I346-SUM(J346:P346)))</f>
        <v/>
      </c>
      <c r="V346" s="6" t="s">
        <v>4537</v>
      </c>
      <c r="W346" s="9" t="s">
        <v>528</v>
      </c>
      <c r="X346" s="9" t="s">
        <v>4538</v>
      </c>
      <c r="AC346" s="9" t="s">
        <v>4369</v>
      </c>
      <c r="AD346" s="9" t="s">
        <v>4370</v>
      </c>
      <c r="AE346" s="9" t="s">
        <v>4371</v>
      </c>
    </row>
    <row r="347" customFormat="false" ht="15" hidden="false" customHeight="true" outlineLevel="0" collapsed="false">
      <c r="A347" s="6" t="s">
        <v>1626</v>
      </c>
      <c r="B347" s="6" t="s">
        <v>403</v>
      </c>
      <c r="C347" s="6" t="s">
        <v>410</v>
      </c>
      <c r="D347" s="6" t="n">
        <v>6</v>
      </c>
      <c r="E347" s="9" t="s">
        <v>4454</v>
      </c>
      <c r="F347" s="6" t="n">
        <v>45577</v>
      </c>
      <c r="Q347" s="1" t="str">
        <f aca="false">IF($A347="","",IF(OR(F347="",I347=""),"",F347-I347))</f>
        <v/>
      </c>
      <c r="R347" s="1" t="str">
        <f aca="false">IF($A347="","",IF(Q347="","",Q347+IF(O347="",0,O347)))</f>
        <v/>
      </c>
      <c r="T347" s="1" t="str">
        <f aca="false">IF($A347="","",IF(R347="","",R347-IF(S347="",0,S347)))</f>
        <v/>
      </c>
      <c r="U347" s="1" t="str">
        <f aca="false">IF($A347="","",IF(I347="","",I347-SUM(J347:P347)))</f>
        <v/>
      </c>
      <c r="V347" s="6" t="s">
        <v>4537</v>
      </c>
      <c r="W347" s="9" t="s">
        <v>528</v>
      </c>
      <c r="X347" s="9" t="s">
        <v>4538</v>
      </c>
      <c r="AC347" s="9" t="s">
        <v>4369</v>
      </c>
      <c r="AD347" s="9" t="s">
        <v>4370</v>
      </c>
      <c r="AE347" s="9" t="s">
        <v>4371</v>
      </c>
    </row>
    <row r="348" customFormat="false" ht="15" hidden="false" customHeight="true" outlineLevel="0" collapsed="false">
      <c r="A348" s="6" t="s">
        <v>1629</v>
      </c>
      <c r="B348" s="6" t="s">
        <v>403</v>
      </c>
      <c r="C348" s="6" t="s">
        <v>410</v>
      </c>
      <c r="D348" s="6" t="n">
        <v>6</v>
      </c>
      <c r="E348" s="9" t="s">
        <v>4454</v>
      </c>
      <c r="F348" s="6" t="n">
        <v>57589</v>
      </c>
      <c r="Q348" s="1" t="str">
        <f aca="false">IF($A348="","",IF(OR(F348="",I348=""),"",F348-I348))</f>
        <v/>
      </c>
      <c r="R348" s="1" t="str">
        <f aca="false">IF($A348="","",IF(Q348="","",Q348+IF(O348="",0,O348)))</f>
        <v/>
      </c>
      <c r="T348" s="1" t="str">
        <f aca="false">IF($A348="","",IF(R348="","",R348-IF(S348="",0,S348)))</f>
        <v/>
      </c>
      <c r="U348" s="1" t="str">
        <f aca="false">IF($A348="","",IF(I348="","",I348-SUM(J348:P348)))</f>
        <v/>
      </c>
      <c r="V348" s="6" t="s">
        <v>4537</v>
      </c>
      <c r="W348" s="9" t="s">
        <v>528</v>
      </c>
      <c r="X348" s="9" t="s">
        <v>4538</v>
      </c>
      <c r="AC348" s="9" t="s">
        <v>4369</v>
      </c>
      <c r="AD348" s="9" t="s">
        <v>4370</v>
      </c>
      <c r="AE348" s="9" t="s">
        <v>4371</v>
      </c>
    </row>
    <row r="349" customFormat="false" ht="15" hidden="false" customHeight="true" outlineLevel="0" collapsed="false">
      <c r="A349" s="6" t="s">
        <v>1632</v>
      </c>
      <c r="B349" s="6" t="s">
        <v>403</v>
      </c>
      <c r="C349" s="6" t="s">
        <v>410</v>
      </c>
      <c r="D349" s="6" t="n">
        <v>6</v>
      </c>
      <c r="E349" s="9" t="s">
        <v>4454</v>
      </c>
      <c r="F349" s="6" t="n">
        <v>58866</v>
      </c>
      <c r="Q349" s="1" t="str">
        <f aca="false">IF($A349="","",IF(OR(F349="",I349=""),"",F349-I349))</f>
        <v/>
      </c>
      <c r="R349" s="1" t="str">
        <f aca="false">IF($A349="","",IF(Q349="","",Q349+IF(O349="",0,O349)))</f>
        <v/>
      </c>
      <c r="T349" s="1" t="str">
        <f aca="false">IF($A349="","",IF(R349="","",R349-IF(S349="",0,S349)))</f>
        <v/>
      </c>
      <c r="U349" s="1" t="str">
        <f aca="false">IF($A349="","",IF(I349="","",I349-SUM(J349:P349)))</f>
        <v/>
      </c>
      <c r="V349" s="6" t="s">
        <v>4537</v>
      </c>
      <c r="W349" s="9" t="s">
        <v>528</v>
      </c>
      <c r="X349" s="9" t="s">
        <v>4538</v>
      </c>
      <c r="AC349" s="9" t="s">
        <v>4369</v>
      </c>
      <c r="AD349" s="9" t="s">
        <v>4370</v>
      </c>
      <c r="AE349" s="9" t="s">
        <v>4371</v>
      </c>
    </row>
    <row r="350" customFormat="false" ht="15" hidden="false" customHeight="true" outlineLevel="0" collapsed="false">
      <c r="A350" s="6" t="s">
        <v>1635</v>
      </c>
      <c r="B350" s="6" t="s">
        <v>403</v>
      </c>
      <c r="C350" s="6" t="s">
        <v>410</v>
      </c>
      <c r="D350" s="6" t="n">
        <v>6</v>
      </c>
      <c r="E350" s="9" t="s">
        <v>4454</v>
      </c>
      <c r="F350" s="6" t="n">
        <v>71303</v>
      </c>
      <c r="Q350" s="1" t="str">
        <f aca="false">IF($A350="","",IF(OR(F350="",I350=""),"",F350-I350))</f>
        <v/>
      </c>
      <c r="R350" s="1" t="str">
        <f aca="false">IF($A350="","",IF(Q350="","",Q350+IF(O350="",0,O350)))</f>
        <v/>
      </c>
      <c r="T350" s="1" t="str">
        <f aca="false">IF($A350="","",IF(R350="","",R350-IF(S350="",0,S350)))</f>
        <v/>
      </c>
      <c r="U350" s="1" t="str">
        <f aca="false">IF($A350="","",IF(I350="","",I350-SUM(J350:P350)))</f>
        <v/>
      </c>
      <c r="V350" s="6" t="s">
        <v>4537</v>
      </c>
      <c r="W350" s="9" t="s">
        <v>528</v>
      </c>
      <c r="X350" s="9" t="s">
        <v>4538</v>
      </c>
      <c r="AC350" s="9" t="s">
        <v>4369</v>
      </c>
      <c r="AD350" s="9" t="s">
        <v>4370</v>
      </c>
      <c r="AE350" s="9" t="s">
        <v>4371</v>
      </c>
    </row>
    <row r="351" customFormat="false" ht="15" hidden="false" customHeight="true" outlineLevel="0" collapsed="false">
      <c r="A351" s="6" t="s">
        <v>1638</v>
      </c>
      <c r="B351" s="6" t="s">
        <v>403</v>
      </c>
      <c r="C351" s="6" t="s">
        <v>410</v>
      </c>
      <c r="D351" s="6" t="n">
        <v>6</v>
      </c>
      <c r="E351" s="9" t="s">
        <v>4454</v>
      </c>
      <c r="F351" s="6" t="n">
        <v>101035</v>
      </c>
      <c r="Q351" s="1" t="str">
        <f aca="false">IF($A351="","",IF(OR(F351="",I351=""),"",F351-I351))</f>
        <v/>
      </c>
      <c r="R351" s="1" t="str">
        <f aca="false">IF($A351="","",IF(Q351="","",Q351+IF(O351="",0,O351)))</f>
        <v/>
      </c>
      <c r="T351" s="1" t="str">
        <f aca="false">IF($A351="","",IF(R351="","",R351-IF(S351="",0,S351)))</f>
        <v/>
      </c>
      <c r="U351" s="1" t="str">
        <f aca="false">IF($A351="","",IF(I351="","",I351-SUM(J351:P351)))</f>
        <v/>
      </c>
      <c r="V351" s="6" t="s">
        <v>4537</v>
      </c>
      <c r="W351" s="9" t="s">
        <v>528</v>
      </c>
      <c r="X351" s="9" t="s">
        <v>4538</v>
      </c>
      <c r="AC351" s="9" t="s">
        <v>4369</v>
      </c>
      <c r="AD351" s="9" t="s">
        <v>4370</v>
      </c>
      <c r="AE351" s="9" t="s">
        <v>4371</v>
      </c>
    </row>
    <row r="352" customFormat="false" ht="15" hidden="false" customHeight="true" outlineLevel="0" collapsed="false">
      <c r="A352" s="6" t="s">
        <v>1641</v>
      </c>
      <c r="B352" s="6" t="s">
        <v>403</v>
      </c>
      <c r="C352" s="6" t="s">
        <v>410</v>
      </c>
      <c r="D352" s="6" t="n">
        <v>6</v>
      </c>
      <c r="E352" s="9" t="s">
        <v>4454</v>
      </c>
      <c r="F352" s="6" t="n">
        <v>60010</v>
      </c>
      <c r="Q352" s="1" t="str">
        <f aca="false">IF($A352="","",IF(OR(F352="",I352=""),"",F352-I352))</f>
        <v/>
      </c>
      <c r="R352" s="1" t="str">
        <f aca="false">IF($A352="","",IF(Q352="","",Q352+IF(O352="",0,O352)))</f>
        <v/>
      </c>
      <c r="T352" s="1" t="str">
        <f aca="false">IF($A352="","",IF(R352="","",R352-IF(S352="",0,S352)))</f>
        <v/>
      </c>
      <c r="U352" s="1" t="str">
        <f aca="false">IF($A352="","",IF(I352="","",I352-SUM(J352:P352)))</f>
        <v/>
      </c>
      <c r="V352" s="6" t="s">
        <v>4537</v>
      </c>
      <c r="W352" s="9" t="s">
        <v>528</v>
      </c>
      <c r="X352" s="9" t="s">
        <v>4538</v>
      </c>
      <c r="AC352" s="9" t="s">
        <v>4369</v>
      </c>
      <c r="AD352" s="9" t="s">
        <v>4370</v>
      </c>
      <c r="AE352" s="9" t="s">
        <v>4371</v>
      </c>
    </row>
    <row r="353" customFormat="false" ht="15" hidden="false" customHeight="true" outlineLevel="0" collapsed="false">
      <c r="A353" s="6" t="s">
        <v>1644</v>
      </c>
      <c r="B353" s="6" t="s">
        <v>403</v>
      </c>
      <c r="C353" s="6" t="s">
        <v>410</v>
      </c>
      <c r="D353" s="6" t="n">
        <v>6</v>
      </c>
      <c r="E353" s="9" t="s">
        <v>4454</v>
      </c>
      <c r="F353" s="6" t="n">
        <v>102517</v>
      </c>
      <c r="Q353" s="1" t="str">
        <f aca="false">IF($A353="","",IF(OR(F353="",I353=""),"",F353-I353))</f>
        <v/>
      </c>
      <c r="R353" s="1" t="str">
        <f aca="false">IF($A353="","",IF(Q353="","",Q353+IF(O353="",0,O353)))</f>
        <v/>
      </c>
      <c r="T353" s="1" t="str">
        <f aca="false">IF($A353="","",IF(R353="","",R353-IF(S353="",0,S353)))</f>
        <v/>
      </c>
      <c r="U353" s="1" t="str">
        <f aca="false">IF($A353="","",IF(I353="","",I353-SUM(J353:P353)))</f>
        <v/>
      </c>
      <c r="V353" s="6" t="s">
        <v>4537</v>
      </c>
      <c r="W353" s="9" t="s">
        <v>528</v>
      </c>
      <c r="X353" s="9" t="s">
        <v>4538</v>
      </c>
      <c r="AC353" s="9" t="s">
        <v>4369</v>
      </c>
      <c r="AD353" s="9" t="s">
        <v>4370</v>
      </c>
      <c r="AE353" s="9" t="s">
        <v>4371</v>
      </c>
    </row>
    <row r="354" customFormat="false" ht="15" hidden="false" customHeight="true" outlineLevel="0" collapsed="false">
      <c r="A354" s="6" t="s">
        <v>1647</v>
      </c>
      <c r="B354" s="6" t="s">
        <v>403</v>
      </c>
      <c r="C354" s="6" t="s">
        <v>410</v>
      </c>
      <c r="D354" s="6" t="n">
        <v>6</v>
      </c>
      <c r="E354" s="9" t="s">
        <v>4454</v>
      </c>
      <c r="F354" s="6" t="n">
        <v>160304</v>
      </c>
      <c r="Q354" s="1" t="str">
        <f aca="false">IF($A354="","",IF(OR(F354="",I354=""),"",F354-I354))</f>
        <v/>
      </c>
      <c r="R354" s="1" t="str">
        <f aca="false">IF($A354="","",IF(Q354="","",Q354+IF(O354="",0,O354)))</f>
        <v/>
      </c>
      <c r="T354" s="1" t="str">
        <f aca="false">IF($A354="","",IF(R354="","",R354-IF(S354="",0,S354)))</f>
        <v/>
      </c>
      <c r="U354" s="1" t="str">
        <f aca="false">IF($A354="","",IF(I354="","",I354-SUM(J354:P354)))</f>
        <v/>
      </c>
      <c r="V354" s="6" t="s">
        <v>4537</v>
      </c>
      <c r="W354" s="9" t="s">
        <v>528</v>
      </c>
      <c r="X354" s="9" t="s">
        <v>4538</v>
      </c>
      <c r="AC354" s="9" t="s">
        <v>4369</v>
      </c>
      <c r="AD354" s="9" t="s">
        <v>4370</v>
      </c>
      <c r="AE354" s="9" t="s">
        <v>4371</v>
      </c>
    </row>
    <row r="355" customFormat="false" ht="15" hidden="false" customHeight="true" outlineLevel="0" collapsed="false">
      <c r="A355" s="6" t="s">
        <v>1650</v>
      </c>
      <c r="B355" s="6" t="s">
        <v>403</v>
      </c>
      <c r="C355" s="6" t="s">
        <v>410</v>
      </c>
      <c r="D355" s="6" t="n">
        <v>6</v>
      </c>
      <c r="E355" s="9" t="s">
        <v>4454</v>
      </c>
      <c r="F355" s="6" t="n">
        <v>94432</v>
      </c>
      <c r="Q355" s="1" t="str">
        <f aca="false">IF($A355="","",IF(OR(F355="",I355=""),"",F355-I355))</f>
        <v/>
      </c>
      <c r="R355" s="1" t="str">
        <f aca="false">IF($A355="","",IF(Q355="","",Q355+IF(O355="",0,O355)))</f>
        <v/>
      </c>
      <c r="T355" s="1" t="str">
        <f aca="false">IF($A355="","",IF(R355="","",R355-IF(S355="",0,S355)))</f>
        <v/>
      </c>
      <c r="U355" s="1" t="str">
        <f aca="false">IF($A355="","",IF(I355="","",I355-SUM(J355:P355)))</f>
        <v/>
      </c>
      <c r="V355" s="6" t="s">
        <v>4537</v>
      </c>
      <c r="W355" s="9" t="s">
        <v>528</v>
      </c>
      <c r="X355" s="9" t="s">
        <v>4538</v>
      </c>
      <c r="AC355" s="9" t="s">
        <v>4369</v>
      </c>
      <c r="AD355" s="9" t="s">
        <v>4370</v>
      </c>
      <c r="AE355" s="9" t="s">
        <v>4371</v>
      </c>
    </row>
    <row r="356" customFormat="false" ht="15" hidden="false" customHeight="true" outlineLevel="0" collapsed="false">
      <c r="A356" s="6" t="s">
        <v>1653</v>
      </c>
      <c r="B356" s="6" t="s">
        <v>403</v>
      </c>
      <c r="C356" s="6" t="s">
        <v>410</v>
      </c>
      <c r="D356" s="6" t="n">
        <v>6</v>
      </c>
      <c r="E356" s="9" t="s">
        <v>4454</v>
      </c>
      <c r="F356" s="6" t="n">
        <v>49868</v>
      </c>
      <c r="Q356" s="1" t="str">
        <f aca="false">IF($A356="","",IF(OR(F356="",I356=""),"",F356-I356))</f>
        <v/>
      </c>
      <c r="R356" s="1" t="str">
        <f aca="false">IF($A356="","",IF(Q356="","",Q356+IF(O356="",0,O356)))</f>
        <v/>
      </c>
      <c r="T356" s="1" t="str">
        <f aca="false">IF($A356="","",IF(R356="","",R356-IF(S356="",0,S356)))</f>
        <v/>
      </c>
      <c r="U356" s="1" t="str">
        <f aca="false">IF($A356="","",IF(I356="","",I356-SUM(J356:P356)))</f>
        <v/>
      </c>
      <c r="V356" s="6" t="s">
        <v>4537</v>
      </c>
      <c r="W356" s="9" t="s">
        <v>528</v>
      </c>
      <c r="X356" s="9" t="s">
        <v>4538</v>
      </c>
      <c r="AC356" s="9" t="s">
        <v>4369</v>
      </c>
      <c r="AD356" s="9" t="s">
        <v>4370</v>
      </c>
      <c r="AE356" s="9" t="s">
        <v>4371</v>
      </c>
    </row>
    <row r="357" customFormat="false" ht="15" hidden="false" customHeight="true" outlineLevel="0" collapsed="false">
      <c r="A357" s="6" t="s">
        <v>1656</v>
      </c>
      <c r="B357" s="6" t="s">
        <v>403</v>
      </c>
      <c r="C357" s="6" t="s">
        <v>410</v>
      </c>
      <c r="D357" s="6" t="n">
        <v>6</v>
      </c>
      <c r="E357" s="9" t="s">
        <v>4454</v>
      </c>
      <c r="F357" s="6" t="n">
        <v>52203</v>
      </c>
      <c r="Q357" s="1" t="str">
        <f aca="false">IF($A357="","",IF(OR(F357="",I357=""),"",F357-I357))</f>
        <v/>
      </c>
      <c r="R357" s="1" t="str">
        <f aca="false">IF($A357="","",IF(Q357="","",Q357+IF(O357="",0,O357)))</f>
        <v/>
      </c>
      <c r="T357" s="1" t="str">
        <f aca="false">IF($A357="","",IF(R357="","",R357-IF(S357="",0,S357)))</f>
        <v/>
      </c>
      <c r="U357" s="1" t="str">
        <f aca="false">IF($A357="","",IF(I357="","",I357-SUM(J357:P357)))</f>
        <v/>
      </c>
      <c r="V357" s="6" t="s">
        <v>4537</v>
      </c>
      <c r="W357" s="9" t="s">
        <v>528</v>
      </c>
      <c r="X357" s="9" t="s">
        <v>4538</v>
      </c>
      <c r="AC357" s="9" t="s">
        <v>4369</v>
      </c>
      <c r="AD357" s="9" t="s">
        <v>4370</v>
      </c>
      <c r="AE357" s="9" t="s">
        <v>4371</v>
      </c>
    </row>
    <row r="358" customFormat="false" ht="15" hidden="false" customHeight="true" outlineLevel="0" collapsed="false">
      <c r="A358" s="6" t="s">
        <v>1659</v>
      </c>
      <c r="B358" s="6" t="s">
        <v>403</v>
      </c>
      <c r="C358" s="6" t="s">
        <v>410</v>
      </c>
      <c r="D358" s="6" t="n">
        <v>6</v>
      </c>
      <c r="E358" s="9" t="s">
        <v>4454</v>
      </c>
      <c r="F358" s="6" t="n">
        <v>79221</v>
      </c>
      <c r="Q358" s="1" t="str">
        <f aca="false">IF($A358="","",IF(OR(F358="",I358=""),"",F358-I358))</f>
        <v/>
      </c>
      <c r="R358" s="1" t="str">
        <f aca="false">IF($A358="","",IF(Q358="","",Q358+IF(O358="",0,O358)))</f>
        <v/>
      </c>
      <c r="T358" s="1" t="str">
        <f aca="false">IF($A358="","",IF(R358="","",R358-IF(S358="",0,S358)))</f>
        <v/>
      </c>
      <c r="U358" s="1" t="str">
        <f aca="false">IF($A358="","",IF(I358="","",I358-SUM(J358:P358)))</f>
        <v/>
      </c>
      <c r="V358" s="6" t="s">
        <v>4537</v>
      </c>
      <c r="W358" s="9" t="s">
        <v>528</v>
      </c>
      <c r="X358" s="9" t="s">
        <v>4538</v>
      </c>
      <c r="AC358" s="9" t="s">
        <v>4369</v>
      </c>
      <c r="AD358" s="9" t="s">
        <v>4370</v>
      </c>
      <c r="AE358" s="9" t="s">
        <v>4371</v>
      </c>
    </row>
    <row r="359" customFormat="false" ht="15" hidden="false" customHeight="true" outlineLevel="0" collapsed="false">
      <c r="A359" s="6" t="s">
        <v>1662</v>
      </c>
      <c r="B359" s="6" t="s">
        <v>403</v>
      </c>
      <c r="C359" s="6" t="s">
        <v>410</v>
      </c>
      <c r="D359" s="6" t="n">
        <v>6</v>
      </c>
      <c r="E359" s="9" t="s">
        <v>4454</v>
      </c>
      <c r="F359" s="6" t="n">
        <v>124152</v>
      </c>
      <c r="Q359" s="1" t="str">
        <f aca="false">IF($A359="","",IF(OR(F359="",I359=""),"",F359-I359))</f>
        <v/>
      </c>
      <c r="R359" s="1" t="str">
        <f aca="false">IF($A359="","",IF(Q359="","",Q359+IF(O359="",0,O359)))</f>
        <v/>
      </c>
      <c r="T359" s="1" t="str">
        <f aca="false">IF($A359="","",IF(R359="","",R359-IF(S359="",0,S359)))</f>
        <v/>
      </c>
      <c r="U359" s="1" t="str">
        <f aca="false">IF($A359="","",IF(I359="","",I359-SUM(J359:P359)))</f>
        <v/>
      </c>
      <c r="V359" s="6" t="s">
        <v>4537</v>
      </c>
      <c r="W359" s="9" t="s">
        <v>528</v>
      </c>
      <c r="X359" s="9" t="s">
        <v>4538</v>
      </c>
      <c r="AC359" s="9" t="s">
        <v>4369</v>
      </c>
      <c r="AD359" s="9" t="s">
        <v>4370</v>
      </c>
      <c r="AE359" s="9" t="s">
        <v>4371</v>
      </c>
    </row>
    <row r="360" customFormat="false" ht="15" hidden="false" customHeight="true" outlineLevel="0" collapsed="false">
      <c r="A360" s="6" t="s">
        <v>1665</v>
      </c>
      <c r="B360" s="6" t="s">
        <v>403</v>
      </c>
      <c r="C360" s="6" t="s">
        <v>410</v>
      </c>
      <c r="D360" s="6" t="n">
        <v>6</v>
      </c>
      <c r="E360" s="9" t="s">
        <v>4454</v>
      </c>
      <c r="F360" s="6" t="n">
        <v>92919</v>
      </c>
      <c r="Q360" s="1" t="str">
        <f aca="false">IF($A360="","",IF(OR(F360="",I360=""),"",F360-I360))</f>
        <v/>
      </c>
      <c r="R360" s="1" t="str">
        <f aca="false">IF($A360="","",IF(Q360="","",Q360+IF(O360="",0,O360)))</f>
        <v/>
      </c>
      <c r="T360" s="1" t="str">
        <f aca="false">IF($A360="","",IF(R360="","",R360-IF(S360="",0,S360)))</f>
        <v/>
      </c>
      <c r="U360" s="1" t="str">
        <f aca="false">IF($A360="","",IF(I360="","",I360-SUM(J360:P360)))</f>
        <v/>
      </c>
      <c r="V360" s="6" t="s">
        <v>4537</v>
      </c>
      <c r="W360" s="9" t="s">
        <v>528</v>
      </c>
      <c r="X360" s="9" t="s">
        <v>4538</v>
      </c>
      <c r="AC360" s="9" t="s">
        <v>4369</v>
      </c>
      <c r="AD360" s="9" t="s">
        <v>4370</v>
      </c>
      <c r="AE360" s="9" t="s">
        <v>4371</v>
      </c>
    </row>
    <row r="361" customFormat="false" ht="15" hidden="false" customHeight="true" outlineLevel="0" collapsed="false">
      <c r="A361" s="6" t="s">
        <v>1668</v>
      </c>
      <c r="B361" s="6" t="s">
        <v>403</v>
      </c>
      <c r="C361" s="6" t="s">
        <v>410</v>
      </c>
      <c r="D361" s="6" t="n">
        <v>6</v>
      </c>
      <c r="E361" s="9" t="s">
        <v>4454</v>
      </c>
      <c r="F361" s="6" t="n">
        <v>74559</v>
      </c>
      <c r="Q361" s="1" t="str">
        <f aca="false">IF($A361="","",IF(OR(F361="",I361=""),"",F361-I361))</f>
        <v/>
      </c>
      <c r="R361" s="1" t="str">
        <f aca="false">IF($A361="","",IF(Q361="","",Q361+IF(O361="",0,O361)))</f>
        <v/>
      </c>
      <c r="T361" s="1" t="str">
        <f aca="false">IF($A361="","",IF(R361="","",R361-IF(S361="",0,S361)))</f>
        <v/>
      </c>
      <c r="U361" s="1" t="str">
        <f aca="false">IF($A361="","",IF(I361="","",I361-SUM(J361:P361)))</f>
        <v/>
      </c>
      <c r="V361" s="6" t="s">
        <v>4537</v>
      </c>
      <c r="W361" s="9" t="s">
        <v>528</v>
      </c>
      <c r="X361" s="9" t="s">
        <v>4538</v>
      </c>
      <c r="AC361" s="9" t="s">
        <v>4369</v>
      </c>
      <c r="AD361" s="9" t="s">
        <v>4370</v>
      </c>
      <c r="AE361" s="9" t="s">
        <v>4371</v>
      </c>
    </row>
    <row r="362" customFormat="false" ht="15" hidden="false" customHeight="true" outlineLevel="0" collapsed="false">
      <c r="A362" s="6" t="s">
        <v>1671</v>
      </c>
      <c r="B362" s="6" t="s">
        <v>403</v>
      </c>
      <c r="C362" s="6" t="s">
        <v>410</v>
      </c>
      <c r="D362" s="6" t="n">
        <v>6</v>
      </c>
      <c r="E362" s="9" t="s">
        <v>4454</v>
      </c>
      <c r="F362" s="6" t="n">
        <v>112420</v>
      </c>
      <c r="Q362" s="1" t="str">
        <f aca="false">IF($A362="","",IF(OR(F362="",I362=""),"",F362-I362))</f>
        <v/>
      </c>
      <c r="R362" s="1" t="str">
        <f aca="false">IF($A362="","",IF(Q362="","",Q362+IF(O362="",0,O362)))</f>
        <v/>
      </c>
      <c r="T362" s="1" t="str">
        <f aca="false">IF($A362="","",IF(R362="","",R362-IF(S362="",0,S362)))</f>
        <v/>
      </c>
      <c r="U362" s="1" t="str">
        <f aca="false">IF($A362="","",IF(I362="","",I362-SUM(J362:P362)))</f>
        <v/>
      </c>
      <c r="V362" s="6" t="s">
        <v>4537</v>
      </c>
      <c r="W362" s="9" t="s">
        <v>528</v>
      </c>
      <c r="X362" s="9" t="s">
        <v>4538</v>
      </c>
      <c r="AC362" s="9" t="s">
        <v>4369</v>
      </c>
      <c r="AD362" s="9" t="s">
        <v>4370</v>
      </c>
      <c r="AE362" s="9" t="s">
        <v>4371</v>
      </c>
    </row>
    <row r="363" customFormat="false" ht="15" hidden="false" customHeight="true" outlineLevel="0" collapsed="false">
      <c r="A363" s="6" t="s">
        <v>1674</v>
      </c>
      <c r="B363" s="6" t="s">
        <v>403</v>
      </c>
      <c r="C363" s="6" t="s">
        <v>410</v>
      </c>
      <c r="D363" s="6" t="n">
        <v>6</v>
      </c>
      <c r="E363" s="9" t="s">
        <v>4454</v>
      </c>
      <c r="F363" s="6" t="n">
        <v>66306</v>
      </c>
      <c r="Q363" s="1" t="str">
        <f aca="false">IF($A363="","",IF(OR(F363="",I363=""),"",F363-I363))</f>
        <v/>
      </c>
      <c r="R363" s="1" t="str">
        <f aca="false">IF($A363="","",IF(Q363="","",Q363+IF(O363="",0,O363)))</f>
        <v/>
      </c>
      <c r="T363" s="1" t="str">
        <f aca="false">IF($A363="","",IF(R363="","",R363-IF(S363="",0,S363)))</f>
        <v/>
      </c>
      <c r="U363" s="1" t="str">
        <f aca="false">IF($A363="","",IF(I363="","",I363-SUM(J363:P363)))</f>
        <v/>
      </c>
      <c r="V363" s="6" t="s">
        <v>4537</v>
      </c>
      <c r="W363" s="9" t="s">
        <v>528</v>
      </c>
      <c r="X363" s="9" t="s">
        <v>4538</v>
      </c>
      <c r="AC363" s="9" t="s">
        <v>4369</v>
      </c>
      <c r="AD363" s="9" t="s">
        <v>4370</v>
      </c>
      <c r="AE363" s="9" t="s">
        <v>4371</v>
      </c>
    </row>
    <row r="364" customFormat="false" ht="15" hidden="false" customHeight="true" outlineLevel="0" collapsed="false">
      <c r="A364" s="6" t="s">
        <v>1677</v>
      </c>
      <c r="B364" s="6" t="s">
        <v>403</v>
      </c>
      <c r="C364" s="6" t="s">
        <v>410</v>
      </c>
      <c r="D364" s="6" t="n">
        <v>6</v>
      </c>
      <c r="E364" s="9" t="s">
        <v>4454</v>
      </c>
      <c r="F364" s="6" t="n">
        <v>68816</v>
      </c>
      <c r="Q364" s="1" t="str">
        <f aca="false">IF($A364="","",IF(OR(F364="",I364=""),"",F364-I364))</f>
        <v/>
      </c>
      <c r="R364" s="1" t="str">
        <f aca="false">IF($A364="","",IF(Q364="","",Q364+IF(O364="",0,O364)))</f>
        <v/>
      </c>
      <c r="T364" s="1" t="str">
        <f aca="false">IF($A364="","",IF(R364="","",R364-IF(S364="",0,S364)))</f>
        <v/>
      </c>
      <c r="U364" s="1" t="str">
        <f aca="false">IF($A364="","",IF(I364="","",I364-SUM(J364:P364)))</f>
        <v/>
      </c>
      <c r="V364" s="6" t="s">
        <v>4537</v>
      </c>
      <c r="W364" s="9" t="s">
        <v>528</v>
      </c>
      <c r="X364" s="9" t="s">
        <v>4538</v>
      </c>
      <c r="AC364" s="9" t="s">
        <v>4369</v>
      </c>
      <c r="AD364" s="9" t="s">
        <v>4370</v>
      </c>
      <c r="AE364" s="9" t="s">
        <v>4371</v>
      </c>
    </row>
    <row r="365" customFormat="false" ht="15" hidden="false" customHeight="true" outlineLevel="0" collapsed="false">
      <c r="A365" s="6" t="s">
        <v>1680</v>
      </c>
      <c r="B365" s="6" t="s">
        <v>403</v>
      </c>
      <c r="C365" s="6" t="s">
        <v>410</v>
      </c>
      <c r="D365" s="6" t="n">
        <v>6</v>
      </c>
      <c r="E365" s="9" t="s">
        <v>4454</v>
      </c>
      <c r="F365" s="6" t="n">
        <v>73768</v>
      </c>
      <c r="Q365" s="1" t="str">
        <f aca="false">IF($A365="","",IF(OR(F365="",I365=""),"",F365-I365))</f>
        <v/>
      </c>
      <c r="R365" s="1" t="str">
        <f aca="false">IF($A365="","",IF(Q365="","",Q365+IF(O365="",0,O365)))</f>
        <v/>
      </c>
      <c r="T365" s="1" t="str">
        <f aca="false">IF($A365="","",IF(R365="","",R365-IF(S365="",0,S365)))</f>
        <v/>
      </c>
      <c r="U365" s="1" t="str">
        <f aca="false">IF($A365="","",IF(I365="","",I365-SUM(J365:P365)))</f>
        <v/>
      </c>
      <c r="V365" s="6" t="s">
        <v>4537</v>
      </c>
      <c r="W365" s="9" t="s">
        <v>528</v>
      </c>
      <c r="X365" s="9" t="s">
        <v>4538</v>
      </c>
      <c r="AC365" s="9" t="s">
        <v>4369</v>
      </c>
      <c r="AD365" s="9" t="s">
        <v>4370</v>
      </c>
      <c r="AE365" s="9" t="s">
        <v>4371</v>
      </c>
    </row>
    <row r="366" customFormat="false" ht="15" hidden="false" customHeight="true" outlineLevel="0" collapsed="false">
      <c r="A366" s="6" t="s">
        <v>1683</v>
      </c>
      <c r="B366" s="6" t="s">
        <v>403</v>
      </c>
      <c r="C366" s="6" t="s">
        <v>410</v>
      </c>
      <c r="D366" s="6" t="n">
        <v>6</v>
      </c>
      <c r="E366" s="9" t="s">
        <v>4454</v>
      </c>
      <c r="F366" s="6" t="n">
        <v>93111</v>
      </c>
      <c r="Q366" s="1" t="str">
        <f aca="false">IF($A366="","",IF(OR(F366="",I366=""),"",F366-I366))</f>
        <v/>
      </c>
      <c r="R366" s="1" t="str">
        <f aca="false">IF($A366="","",IF(Q366="","",Q366+IF(O366="",0,O366)))</f>
        <v/>
      </c>
      <c r="T366" s="1" t="str">
        <f aca="false">IF($A366="","",IF(R366="","",R366-IF(S366="",0,S366)))</f>
        <v/>
      </c>
      <c r="U366" s="1" t="str">
        <f aca="false">IF($A366="","",IF(I366="","",I366-SUM(J366:P366)))</f>
        <v/>
      </c>
      <c r="V366" s="6" t="s">
        <v>4537</v>
      </c>
      <c r="W366" s="9" t="s">
        <v>528</v>
      </c>
      <c r="X366" s="9" t="s">
        <v>4538</v>
      </c>
      <c r="AC366" s="9" t="s">
        <v>4369</v>
      </c>
      <c r="AD366" s="9" t="s">
        <v>4370</v>
      </c>
      <c r="AE366" s="9" t="s">
        <v>4371</v>
      </c>
    </row>
    <row r="367" customFormat="false" ht="15" hidden="false" customHeight="true" outlineLevel="0" collapsed="false">
      <c r="A367" s="6" t="s">
        <v>1686</v>
      </c>
      <c r="B367" s="6" t="s">
        <v>403</v>
      </c>
      <c r="C367" s="6" t="s">
        <v>410</v>
      </c>
      <c r="D367" s="6" t="n">
        <v>6</v>
      </c>
      <c r="E367" s="9" t="s">
        <v>4454</v>
      </c>
      <c r="F367" s="6" t="n">
        <v>73072</v>
      </c>
      <c r="Q367" s="1" t="str">
        <f aca="false">IF($A367="","",IF(OR(F367="",I367=""),"",F367-I367))</f>
        <v/>
      </c>
      <c r="R367" s="1" t="str">
        <f aca="false">IF($A367="","",IF(Q367="","",Q367+IF(O367="",0,O367)))</f>
        <v/>
      </c>
      <c r="T367" s="1" t="str">
        <f aca="false">IF($A367="","",IF(R367="","",R367-IF(S367="",0,S367)))</f>
        <v/>
      </c>
      <c r="U367" s="1" t="str">
        <f aca="false">IF($A367="","",IF(I367="","",I367-SUM(J367:P367)))</f>
        <v/>
      </c>
      <c r="V367" s="6" t="s">
        <v>4537</v>
      </c>
      <c r="W367" s="9" t="s">
        <v>528</v>
      </c>
      <c r="X367" s="9" t="s">
        <v>4538</v>
      </c>
      <c r="AC367" s="9" t="s">
        <v>4369</v>
      </c>
      <c r="AD367" s="9" t="s">
        <v>4370</v>
      </c>
      <c r="AE367" s="9" t="s">
        <v>4371</v>
      </c>
    </row>
    <row r="368" customFormat="false" ht="15" hidden="false" customHeight="true" outlineLevel="0" collapsed="false">
      <c r="A368" s="6" t="s">
        <v>1689</v>
      </c>
      <c r="B368" s="6" t="s">
        <v>403</v>
      </c>
      <c r="C368" s="6" t="s">
        <v>410</v>
      </c>
      <c r="D368" s="6" t="n">
        <v>6</v>
      </c>
      <c r="E368" s="9" t="s">
        <v>4454</v>
      </c>
      <c r="F368" s="6" t="n">
        <v>40057</v>
      </c>
      <c r="Q368" s="1" t="str">
        <f aca="false">IF($A368="","",IF(OR(F368="",I368=""),"",F368-I368))</f>
        <v/>
      </c>
      <c r="R368" s="1" t="str">
        <f aca="false">IF($A368="","",IF(Q368="","",Q368+IF(O368="",0,O368)))</f>
        <v/>
      </c>
      <c r="T368" s="1" t="str">
        <f aca="false">IF($A368="","",IF(R368="","",R368-IF(S368="",0,S368)))</f>
        <v/>
      </c>
      <c r="U368" s="1" t="str">
        <f aca="false">IF($A368="","",IF(I368="","",I368-SUM(J368:P368)))</f>
        <v/>
      </c>
      <c r="V368" s="6" t="s">
        <v>4537</v>
      </c>
      <c r="W368" s="9" t="s">
        <v>528</v>
      </c>
      <c r="X368" s="9" t="s">
        <v>4538</v>
      </c>
      <c r="AC368" s="9" t="s">
        <v>4369</v>
      </c>
      <c r="AD368" s="9" t="s">
        <v>4370</v>
      </c>
      <c r="AE368" s="9" t="s">
        <v>4371</v>
      </c>
    </row>
    <row r="369" customFormat="false" ht="15" hidden="false" customHeight="true" outlineLevel="0" collapsed="false">
      <c r="A369" s="6" t="s">
        <v>1692</v>
      </c>
      <c r="B369" s="6" t="s">
        <v>403</v>
      </c>
      <c r="C369" s="6" t="s">
        <v>410</v>
      </c>
      <c r="D369" s="6" t="n">
        <v>6</v>
      </c>
      <c r="E369" s="9" t="s">
        <v>4454</v>
      </c>
      <c r="F369" s="6" t="n">
        <v>122903</v>
      </c>
      <c r="Q369" s="1" t="str">
        <f aca="false">IF($A369="","",IF(OR(F369="",I369=""),"",F369-I369))</f>
        <v/>
      </c>
      <c r="R369" s="1" t="str">
        <f aca="false">IF($A369="","",IF(Q369="","",Q369+IF(O369="",0,O369)))</f>
        <v/>
      </c>
      <c r="T369" s="1" t="str">
        <f aca="false">IF($A369="","",IF(R369="","",R369-IF(S369="",0,S369)))</f>
        <v/>
      </c>
      <c r="U369" s="1" t="str">
        <f aca="false">IF($A369="","",IF(I369="","",I369-SUM(J369:P369)))</f>
        <v/>
      </c>
      <c r="V369" s="6" t="s">
        <v>4537</v>
      </c>
      <c r="W369" s="9" t="s">
        <v>528</v>
      </c>
      <c r="X369" s="9" t="s">
        <v>4538</v>
      </c>
      <c r="AC369" s="9" t="s">
        <v>4369</v>
      </c>
      <c r="AD369" s="9" t="s">
        <v>4370</v>
      </c>
      <c r="AE369" s="9" t="s">
        <v>4371</v>
      </c>
    </row>
    <row r="370" customFormat="false" ht="15" hidden="false" customHeight="true" outlineLevel="0" collapsed="false">
      <c r="A370" s="6" t="s">
        <v>1695</v>
      </c>
      <c r="B370" s="6" t="s">
        <v>403</v>
      </c>
      <c r="C370" s="6" t="s">
        <v>410</v>
      </c>
      <c r="D370" s="6" t="n">
        <v>6</v>
      </c>
      <c r="E370" s="9" t="s">
        <v>4454</v>
      </c>
      <c r="F370" s="6" t="n">
        <v>92484</v>
      </c>
      <c r="Q370" s="1" t="str">
        <f aca="false">IF($A370="","",IF(OR(F370="",I370=""),"",F370-I370))</f>
        <v/>
      </c>
      <c r="R370" s="1" t="str">
        <f aca="false">IF($A370="","",IF(Q370="","",Q370+IF(O370="",0,O370)))</f>
        <v/>
      </c>
      <c r="T370" s="1" t="str">
        <f aca="false">IF($A370="","",IF(R370="","",R370-IF(S370="",0,S370)))</f>
        <v/>
      </c>
      <c r="U370" s="1" t="str">
        <f aca="false">IF($A370="","",IF(I370="","",I370-SUM(J370:P370)))</f>
        <v/>
      </c>
      <c r="V370" s="6" t="s">
        <v>4537</v>
      </c>
      <c r="W370" s="9" t="s">
        <v>528</v>
      </c>
      <c r="X370" s="9" t="s">
        <v>4538</v>
      </c>
      <c r="AC370" s="9" t="s">
        <v>4369</v>
      </c>
      <c r="AD370" s="9" t="s">
        <v>4370</v>
      </c>
      <c r="AE370" s="9" t="s">
        <v>4371</v>
      </c>
    </row>
    <row r="371" customFormat="false" ht="15" hidden="false" customHeight="true" outlineLevel="0" collapsed="false">
      <c r="A371" s="6" t="s">
        <v>1698</v>
      </c>
      <c r="B371" s="6" t="s">
        <v>403</v>
      </c>
      <c r="C371" s="6" t="s">
        <v>410</v>
      </c>
      <c r="D371" s="6" t="n">
        <v>6</v>
      </c>
      <c r="E371" s="9" t="s">
        <v>4454</v>
      </c>
      <c r="F371" s="6" t="n">
        <v>47952</v>
      </c>
      <c r="Q371" s="1" t="str">
        <f aca="false">IF($A371="","",IF(OR(F371="",I371=""),"",F371-I371))</f>
        <v/>
      </c>
      <c r="R371" s="1" t="str">
        <f aca="false">IF($A371="","",IF(Q371="","",Q371+IF(O371="",0,O371)))</f>
        <v/>
      </c>
      <c r="T371" s="1" t="str">
        <f aca="false">IF($A371="","",IF(R371="","",R371-IF(S371="",0,S371)))</f>
        <v/>
      </c>
      <c r="U371" s="1" t="str">
        <f aca="false">IF($A371="","",IF(I371="","",I371-SUM(J371:P371)))</f>
        <v/>
      </c>
      <c r="V371" s="6" t="s">
        <v>4537</v>
      </c>
      <c r="W371" s="9" t="s">
        <v>528</v>
      </c>
      <c r="X371" s="9" t="s">
        <v>4538</v>
      </c>
      <c r="AC371" s="9" t="s">
        <v>4369</v>
      </c>
      <c r="AD371" s="9" t="s">
        <v>4370</v>
      </c>
      <c r="AE371" s="9" t="s">
        <v>4371</v>
      </c>
    </row>
    <row r="372" customFormat="false" ht="15" hidden="false" customHeight="true" outlineLevel="0" collapsed="false">
      <c r="A372" s="6" t="s">
        <v>1701</v>
      </c>
      <c r="B372" s="6" t="s">
        <v>403</v>
      </c>
      <c r="C372" s="6" t="s">
        <v>410</v>
      </c>
      <c r="D372" s="6" t="n">
        <v>6</v>
      </c>
      <c r="E372" s="9" t="s">
        <v>4454</v>
      </c>
      <c r="F372" s="6" t="n">
        <v>96709</v>
      </c>
      <c r="Q372" s="1" t="str">
        <f aca="false">IF($A372="","",IF(OR(F372="",I372=""),"",F372-I372))</f>
        <v/>
      </c>
      <c r="R372" s="1" t="str">
        <f aca="false">IF($A372="","",IF(Q372="","",Q372+IF(O372="",0,O372)))</f>
        <v/>
      </c>
      <c r="T372" s="1" t="str">
        <f aca="false">IF($A372="","",IF(R372="","",R372-IF(S372="",0,S372)))</f>
        <v/>
      </c>
      <c r="U372" s="1" t="str">
        <f aca="false">IF($A372="","",IF(I372="","",I372-SUM(J372:P372)))</f>
        <v/>
      </c>
      <c r="V372" s="6" t="s">
        <v>4537</v>
      </c>
      <c r="W372" s="9" t="s">
        <v>528</v>
      </c>
      <c r="X372" s="9" t="s">
        <v>4538</v>
      </c>
      <c r="AC372" s="9" t="s">
        <v>4369</v>
      </c>
      <c r="AD372" s="9" t="s">
        <v>4370</v>
      </c>
      <c r="AE372" s="9" t="s">
        <v>4371</v>
      </c>
    </row>
    <row r="373" customFormat="false" ht="15" hidden="false" customHeight="true" outlineLevel="0" collapsed="false">
      <c r="A373" s="6" t="s">
        <v>1704</v>
      </c>
      <c r="B373" s="6" t="s">
        <v>403</v>
      </c>
      <c r="C373" s="6" t="s">
        <v>410</v>
      </c>
      <c r="D373" s="6" t="n">
        <v>6</v>
      </c>
      <c r="E373" s="9" t="s">
        <v>4454</v>
      </c>
      <c r="F373" s="6" t="n">
        <v>62092</v>
      </c>
      <c r="Q373" s="1" t="str">
        <f aca="false">IF($A373="","",IF(OR(F373="",I373=""),"",F373-I373))</f>
        <v/>
      </c>
      <c r="R373" s="1" t="str">
        <f aca="false">IF($A373="","",IF(Q373="","",Q373+IF(O373="",0,O373)))</f>
        <v/>
      </c>
      <c r="T373" s="1" t="str">
        <f aca="false">IF($A373="","",IF(R373="","",R373-IF(S373="",0,S373)))</f>
        <v/>
      </c>
      <c r="U373" s="1" t="str">
        <f aca="false">IF($A373="","",IF(I373="","",I373-SUM(J373:P373)))</f>
        <v/>
      </c>
      <c r="V373" s="6" t="s">
        <v>4537</v>
      </c>
      <c r="W373" s="9" t="s">
        <v>528</v>
      </c>
      <c r="X373" s="9" t="s">
        <v>4538</v>
      </c>
      <c r="AC373" s="9" t="s">
        <v>4369</v>
      </c>
      <c r="AD373" s="9" t="s">
        <v>4370</v>
      </c>
      <c r="AE373" s="9" t="s">
        <v>4371</v>
      </c>
    </row>
    <row r="374" customFormat="false" ht="15" hidden="false" customHeight="true" outlineLevel="0" collapsed="false">
      <c r="A374" s="6" t="s">
        <v>1707</v>
      </c>
      <c r="B374" s="6" t="s">
        <v>403</v>
      </c>
      <c r="C374" s="6" t="s">
        <v>410</v>
      </c>
      <c r="D374" s="6" t="n">
        <v>6</v>
      </c>
      <c r="E374" s="9" t="s">
        <v>4454</v>
      </c>
      <c r="F374" s="6" t="n">
        <v>58775</v>
      </c>
      <c r="Q374" s="1" t="str">
        <f aca="false">IF($A374="","",IF(OR(F374="",I374=""),"",F374-I374))</f>
        <v/>
      </c>
      <c r="R374" s="1" t="str">
        <f aca="false">IF($A374="","",IF(Q374="","",Q374+IF(O374="",0,O374)))</f>
        <v/>
      </c>
      <c r="T374" s="1" t="str">
        <f aca="false">IF($A374="","",IF(R374="","",R374-IF(S374="",0,S374)))</f>
        <v/>
      </c>
      <c r="U374" s="1" t="str">
        <f aca="false">IF($A374="","",IF(I374="","",I374-SUM(J374:P374)))</f>
        <v/>
      </c>
      <c r="V374" s="6" t="s">
        <v>4537</v>
      </c>
      <c r="W374" s="9" t="s">
        <v>528</v>
      </c>
      <c r="X374" s="9" t="s">
        <v>4538</v>
      </c>
      <c r="AC374" s="9" t="s">
        <v>4369</v>
      </c>
      <c r="AD374" s="9" t="s">
        <v>4370</v>
      </c>
      <c r="AE374" s="9" t="s">
        <v>4371</v>
      </c>
    </row>
    <row r="375" customFormat="false" ht="15" hidden="false" customHeight="true" outlineLevel="0" collapsed="false">
      <c r="A375" s="6" t="s">
        <v>1710</v>
      </c>
      <c r="B375" s="6" t="s">
        <v>403</v>
      </c>
      <c r="C375" s="6" t="s">
        <v>410</v>
      </c>
      <c r="D375" s="6" t="n">
        <v>6</v>
      </c>
      <c r="E375" s="9" t="s">
        <v>4454</v>
      </c>
      <c r="F375" s="6" t="n">
        <v>75642</v>
      </c>
      <c r="Q375" s="1" t="str">
        <f aca="false">IF($A375="","",IF(OR(F375="",I375=""),"",F375-I375))</f>
        <v/>
      </c>
      <c r="R375" s="1" t="str">
        <f aca="false">IF($A375="","",IF(Q375="","",Q375+IF(O375="",0,O375)))</f>
        <v/>
      </c>
      <c r="T375" s="1" t="str">
        <f aca="false">IF($A375="","",IF(R375="","",R375-IF(S375="",0,S375)))</f>
        <v/>
      </c>
      <c r="U375" s="1" t="str">
        <f aca="false">IF($A375="","",IF(I375="","",I375-SUM(J375:P375)))</f>
        <v/>
      </c>
      <c r="V375" s="6" t="s">
        <v>4537</v>
      </c>
      <c r="W375" s="9" t="s">
        <v>528</v>
      </c>
      <c r="X375" s="9" t="s">
        <v>4538</v>
      </c>
      <c r="AC375" s="9" t="s">
        <v>4369</v>
      </c>
      <c r="AD375" s="9" t="s">
        <v>4370</v>
      </c>
      <c r="AE375" s="9" t="s">
        <v>4371</v>
      </c>
    </row>
    <row r="376" customFormat="false" ht="15" hidden="false" customHeight="true" outlineLevel="0" collapsed="false">
      <c r="A376" s="6" t="s">
        <v>1713</v>
      </c>
      <c r="B376" s="6" t="s">
        <v>403</v>
      </c>
      <c r="C376" s="6" t="s">
        <v>410</v>
      </c>
      <c r="D376" s="6" t="n">
        <v>6</v>
      </c>
      <c r="E376" s="9" t="s">
        <v>4454</v>
      </c>
      <c r="F376" s="6" t="n">
        <v>97413</v>
      </c>
      <c r="Q376" s="1" t="str">
        <f aca="false">IF($A376="","",IF(OR(F376="",I376=""),"",F376-I376))</f>
        <v/>
      </c>
      <c r="R376" s="1" t="str">
        <f aca="false">IF($A376="","",IF(Q376="","",Q376+IF(O376="",0,O376)))</f>
        <v/>
      </c>
      <c r="T376" s="1" t="str">
        <f aca="false">IF($A376="","",IF(R376="","",R376-IF(S376="",0,S376)))</f>
        <v/>
      </c>
      <c r="U376" s="1" t="str">
        <f aca="false">IF($A376="","",IF(I376="","",I376-SUM(J376:P376)))</f>
        <v/>
      </c>
      <c r="V376" s="6" t="s">
        <v>4537</v>
      </c>
      <c r="W376" s="9" t="s">
        <v>528</v>
      </c>
      <c r="X376" s="9" t="s">
        <v>4538</v>
      </c>
      <c r="AC376" s="9" t="s">
        <v>4369</v>
      </c>
      <c r="AD376" s="9" t="s">
        <v>4370</v>
      </c>
      <c r="AE376" s="9" t="s">
        <v>4371</v>
      </c>
    </row>
    <row r="377" customFormat="false" ht="15" hidden="false" customHeight="true" outlineLevel="0" collapsed="false">
      <c r="A377" s="6" t="s">
        <v>1716</v>
      </c>
      <c r="B377" s="6" t="s">
        <v>403</v>
      </c>
      <c r="C377" s="6" t="s">
        <v>410</v>
      </c>
      <c r="D377" s="6" t="n">
        <v>6</v>
      </c>
      <c r="E377" s="9" t="s">
        <v>4454</v>
      </c>
      <c r="F377" s="6" t="n">
        <v>41561</v>
      </c>
      <c r="Q377" s="1" t="str">
        <f aca="false">IF($A377="","",IF(OR(F377="",I377=""),"",F377-I377))</f>
        <v/>
      </c>
      <c r="R377" s="1" t="str">
        <f aca="false">IF($A377="","",IF(Q377="","",Q377+IF(O377="",0,O377)))</f>
        <v/>
      </c>
      <c r="T377" s="1" t="str">
        <f aca="false">IF($A377="","",IF(R377="","",R377-IF(S377="",0,S377)))</f>
        <v/>
      </c>
      <c r="U377" s="1" t="str">
        <f aca="false">IF($A377="","",IF(I377="","",I377-SUM(J377:P377)))</f>
        <v/>
      </c>
      <c r="V377" s="6" t="s">
        <v>4537</v>
      </c>
      <c r="W377" s="9" t="s">
        <v>528</v>
      </c>
      <c r="X377" s="9" t="s">
        <v>4538</v>
      </c>
      <c r="AC377" s="9" t="s">
        <v>4369</v>
      </c>
      <c r="AD377" s="9" t="s">
        <v>4370</v>
      </c>
      <c r="AE377" s="9" t="s">
        <v>4371</v>
      </c>
    </row>
    <row r="378" customFormat="false" ht="15" hidden="false" customHeight="true" outlineLevel="0" collapsed="false">
      <c r="A378" s="6" t="s">
        <v>1719</v>
      </c>
      <c r="B378" s="6" t="s">
        <v>403</v>
      </c>
      <c r="C378" s="6" t="s">
        <v>410</v>
      </c>
      <c r="D378" s="6" t="n">
        <v>6</v>
      </c>
      <c r="E378" s="9" t="s">
        <v>4454</v>
      </c>
      <c r="F378" s="6" t="n">
        <v>39921</v>
      </c>
      <c r="Q378" s="1" t="str">
        <f aca="false">IF($A378="","",IF(OR(F378="",I378=""),"",F378-I378))</f>
        <v/>
      </c>
      <c r="R378" s="1" t="str">
        <f aca="false">IF($A378="","",IF(Q378="","",Q378+IF(O378="",0,O378)))</f>
        <v/>
      </c>
      <c r="T378" s="1" t="str">
        <f aca="false">IF($A378="","",IF(R378="","",R378-IF(S378="",0,S378)))</f>
        <v/>
      </c>
      <c r="U378" s="1" t="str">
        <f aca="false">IF($A378="","",IF(I378="","",I378-SUM(J378:P378)))</f>
        <v/>
      </c>
      <c r="V378" s="6" t="s">
        <v>4537</v>
      </c>
      <c r="W378" s="9" t="s">
        <v>528</v>
      </c>
      <c r="X378" s="9" t="s">
        <v>4538</v>
      </c>
      <c r="AC378" s="9" t="s">
        <v>4369</v>
      </c>
      <c r="AD378" s="9" t="s">
        <v>4370</v>
      </c>
      <c r="AE378" s="9" t="s">
        <v>4371</v>
      </c>
    </row>
    <row r="379" customFormat="false" ht="15" hidden="false" customHeight="true" outlineLevel="0" collapsed="false">
      <c r="A379" s="6" t="s">
        <v>1722</v>
      </c>
      <c r="B379" s="6" t="s">
        <v>403</v>
      </c>
      <c r="C379" s="6" t="s">
        <v>410</v>
      </c>
      <c r="D379" s="6" t="n">
        <v>6</v>
      </c>
      <c r="E379" s="9" t="s">
        <v>4454</v>
      </c>
      <c r="F379" s="6" t="n">
        <v>104929</v>
      </c>
      <c r="Q379" s="1" t="str">
        <f aca="false">IF($A379="","",IF(OR(F379="",I379=""),"",F379-I379))</f>
        <v/>
      </c>
      <c r="R379" s="1" t="str">
        <f aca="false">IF($A379="","",IF(Q379="","",Q379+IF(O379="",0,O379)))</f>
        <v/>
      </c>
      <c r="T379" s="1" t="str">
        <f aca="false">IF($A379="","",IF(R379="","",R379-IF(S379="",0,S379)))</f>
        <v/>
      </c>
      <c r="U379" s="1" t="str">
        <f aca="false">IF($A379="","",IF(I379="","",I379-SUM(J379:P379)))</f>
        <v/>
      </c>
      <c r="V379" s="6" t="s">
        <v>4537</v>
      </c>
      <c r="W379" s="9" t="s">
        <v>528</v>
      </c>
      <c r="X379" s="9" t="s">
        <v>4538</v>
      </c>
      <c r="AC379" s="9" t="s">
        <v>4369</v>
      </c>
      <c r="AD379" s="9" t="s">
        <v>4370</v>
      </c>
      <c r="AE379" s="9" t="s">
        <v>4371</v>
      </c>
    </row>
    <row r="380" customFormat="false" ht="15" hidden="false" customHeight="true" outlineLevel="0" collapsed="false">
      <c r="A380" s="6" t="s">
        <v>1725</v>
      </c>
      <c r="B380" s="6" t="s">
        <v>403</v>
      </c>
      <c r="C380" s="6" t="s">
        <v>410</v>
      </c>
      <c r="D380" s="6" t="n">
        <v>6</v>
      </c>
      <c r="E380" s="9" t="s">
        <v>4454</v>
      </c>
      <c r="F380" s="6" t="n">
        <v>49511</v>
      </c>
      <c r="Q380" s="1" t="str">
        <f aca="false">IF($A380="","",IF(OR(F380="",I380=""),"",F380-I380))</f>
        <v/>
      </c>
      <c r="R380" s="1" t="str">
        <f aca="false">IF($A380="","",IF(Q380="","",Q380+IF(O380="",0,O380)))</f>
        <v/>
      </c>
      <c r="T380" s="1" t="str">
        <f aca="false">IF($A380="","",IF(R380="","",R380-IF(S380="",0,S380)))</f>
        <v/>
      </c>
      <c r="U380" s="1" t="str">
        <f aca="false">IF($A380="","",IF(I380="","",I380-SUM(J380:P380)))</f>
        <v/>
      </c>
      <c r="V380" s="6" t="s">
        <v>4537</v>
      </c>
      <c r="W380" s="9" t="s">
        <v>528</v>
      </c>
      <c r="X380" s="9" t="s">
        <v>4538</v>
      </c>
      <c r="AC380" s="9" t="s">
        <v>4369</v>
      </c>
      <c r="AD380" s="9" t="s">
        <v>4370</v>
      </c>
      <c r="AE380" s="9" t="s">
        <v>4371</v>
      </c>
    </row>
    <row r="381" customFormat="false" ht="15" hidden="false" customHeight="true" outlineLevel="0" collapsed="false">
      <c r="A381" s="6" t="s">
        <v>1728</v>
      </c>
      <c r="B381" s="6" t="s">
        <v>403</v>
      </c>
      <c r="C381" s="6" t="s">
        <v>410</v>
      </c>
      <c r="D381" s="6" t="n">
        <v>6</v>
      </c>
      <c r="E381" s="9" t="s">
        <v>4454</v>
      </c>
      <c r="F381" s="6" t="n">
        <v>41759</v>
      </c>
      <c r="Q381" s="1" t="str">
        <f aca="false">IF($A381="","",IF(OR(F381="",I381=""),"",F381-I381))</f>
        <v/>
      </c>
      <c r="R381" s="1" t="str">
        <f aca="false">IF($A381="","",IF(Q381="","",Q381+IF(O381="",0,O381)))</f>
        <v/>
      </c>
      <c r="T381" s="1" t="str">
        <f aca="false">IF($A381="","",IF(R381="","",R381-IF(S381="",0,S381)))</f>
        <v/>
      </c>
      <c r="U381" s="1" t="str">
        <f aca="false">IF($A381="","",IF(I381="","",I381-SUM(J381:P381)))</f>
        <v/>
      </c>
      <c r="V381" s="6" t="s">
        <v>4537</v>
      </c>
      <c r="W381" s="9" t="s">
        <v>528</v>
      </c>
      <c r="X381" s="9" t="s">
        <v>4538</v>
      </c>
      <c r="AC381" s="9" t="s">
        <v>4369</v>
      </c>
      <c r="AD381" s="9" t="s">
        <v>4370</v>
      </c>
      <c r="AE381" s="9" t="s">
        <v>4371</v>
      </c>
    </row>
    <row r="382" customFormat="false" ht="15" hidden="false" customHeight="true" outlineLevel="0" collapsed="false">
      <c r="A382" s="6" t="s">
        <v>1731</v>
      </c>
      <c r="B382" s="6" t="s">
        <v>403</v>
      </c>
      <c r="C382" s="6" t="s">
        <v>410</v>
      </c>
      <c r="D382" s="6" t="n">
        <v>6</v>
      </c>
      <c r="E382" s="9" t="s">
        <v>4454</v>
      </c>
      <c r="F382" s="6" t="n">
        <v>39803</v>
      </c>
      <c r="Q382" s="1" t="str">
        <f aca="false">IF($A382="","",IF(OR(F382="",I382=""),"",F382-I382))</f>
        <v/>
      </c>
      <c r="R382" s="1" t="str">
        <f aca="false">IF($A382="","",IF(Q382="","",Q382+IF(O382="",0,O382)))</f>
        <v/>
      </c>
      <c r="T382" s="1" t="str">
        <f aca="false">IF($A382="","",IF(R382="","",R382-IF(S382="",0,S382)))</f>
        <v/>
      </c>
      <c r="U382" s="1" t="str">
        <f aca="false">IF($A382="","",IF(I382="","",I382-SUM(J382:P382)))</f>
        <v/>
      </c>
      <c r="V382" s="6" t="s">
        <v>4537</v>
      </c>
      <c r="W382" s="9" t="s">
        <v>528</v>
      </c>
      <c r="X382" s="9" t="s">
        <v>4538</v>
      </c>
      <c r="AC382" s="9" t="s">
        <v>4369</v>
      </c>
      <c r="AD382" s="9" t="s">
        <v>4370</v>
      </c>
      <c r="AE382" s="9" t="s">
        <v>4371</v>
      </c>
    </row>
    <row r="383" customFormat="false" ht="15" hidden="false" customHeight="true" outlineLevel="0" collapsed="false">
      <c r="A383" s="6" t="s">
        <v>1735</v>
      </c>
      <c r="B383" s="6" t="s">
        <v>403</v>
      </c>
      <c r="C383" s="6" t="s">
        <v>410</v>
      </c>
      <c r="D383" s="6" t="n">
        <v>6</v>
      </c>
      <c r="E383" s="9" t="s">
        <v>4454</v>
      </c>
      <c r="F383" s="6" t="n">
        <v>76134</v>
      </c>
      <c r="Q383" s="1" t="str">
        <f aca="false">IF($A383="","",IF(OR(F383="",I383=""),"",F383-I383))</f>
        <v/>
      </c>
      <c r="R383" s="1" t="str">
        <f aca="false">IF($A383="","",IF(Q383="","",Q383+IF(O383="",0,O383)))</f>
        <v/>
      </c>
      <c r="T383" s="1" t="str">
        <f aca="false">IF($A383="","",IF(R383="","",R383-IF(S383="",0,S383)))</f>
        <v/>
      </c>
      <c r="U383" s="1" t="str">
        <f aca="false">IF($A383="","",IF(I383="","",I383-SUM(J383:P383)))</f>
        <v/>
      </c>
      <c r="V383" s="6" t="s">
        <v>4537</v>
      </c>
      <c r="W383" s="9" t="s">
        <v>528</v>
      </c>
      <c r="X383" s="9" t="s">
        <v>4538</v>
      </c>
      <c r="AC383" s="9" t="s">
        <v>4369</v>
      </c>
      <c r="AD383" s="9" t="s">
        <v>4370</v>
      </c>
      <c r="AE383" s="9" t="s">
        <v>4371</v>
      </c>
    </row>
    <row r="384" customFormat="false" ht="15" hidden="false" customHeight="true" outlineLevel="0" collapsed="false">
      <c r="A384" s="6" t="s">
        <v>1738</v>
      </c>
      <c r="B384" s="6" t="s">
        <v>403</v>
      </c>
      <c r="C384" s="6" t="s">
        <v>410</v>
      </c>
      <c r="D384" s="6" t="n">
        <v>6</v>
      </c>
      <c r="E384" s="9" t="s">
        <v>4454</v>
      </c>
      <c r="F384" s="6" t="n">
        <v>53503</v>
      </c>
      <c r="Q384" s="1" t="str">
        <f aca="false">IF($A384="","",IF(OR(F384="",I384=""),"",F384-I384))</f>
        <v/>
      </c>
      <c r="R384" s="1" t="str">
        <f aca="false">IF($A384="","",IF(Q384="","",Q384+IF(O384="",0,O384)))</f>
        <v/>
      </c>
      <c r="T384" s="1" t="str">
        <f aca="false">IF($A384="","",IF(R384="","",R384-IF(S384="",0,S384)))</f>
        <v/>
      </c>
      <c r="U384" s="1" t="str">
        <f aca="false">IF($A384="","",IF(I384="","",I384-SUM(J384:P384)))</f>
        <v/>
      </c>
      <c r="V384" s="6" t="s">
        <v>4537</v>
      </c>
      <c r="W384" s="9" t="s">
        <v>528</v>
      </c>
      <c r="X384" s="9" t="s">
        <v>4538</v>
      </c>
      <c r="AC384" s="9" t="s">
        <v>4369</v>
      </c>
      <c r="AD384" s="9" t="s">
        <v>4370</v>
      </c>
      <c r="AE384" s="9" t="s">
        <v>4371</v>
      </c>
    </row>
    <row r="385" customFormat="false" ht="15" hidden="false" customHeight="true" outlineLevel="0" collapsed="false">
      <c r="A385" s="6" t="s">
        <v>1741</v>
      </c>
      <c r="B385" s="6" t="s">
        <v>403</v>
      </c>
      <c r="C385" s="6" t="s">
        <v>410</v>
      </c>
      <c r="D385" s="6" t="n">
        <v>6</v>
      </c>
      <c r="E385" s="9" t="s">
        <v>4376</v>
      </c>
      <c r="F385" s="6" t="n">
        <v>8179798</v>
      </c>
      <c r="G385" s="6" t="n">
        <v>7602246</v>
      </c>
      <c r="H385" s="6" t="n">
        <v>577551</v>
      </c>
      <c r="I385" s="6" t="n">
        <v>3240617</v>
      </c>
      <c r="J385" s="6" t="n">
        <v>719504</v>
      </c>
      <c r="K385" s="6" t="n">
        <v>517048</v>
      </c>
      <c r="L385" s="6" t="n">
        <v>767422</v>
      </c>
      <c r="M385" s="6" t="n">
        <v>25230</v>
      </c>
      <c r="N385" s="6" t="n">
        <v>126600</v>
      </c>
      <c r="O385" s="6" t="n">
        <v>999845</v>
      </c>
      <c r="P385" s="6" t="n">
        <v>84966</v>
      </c>
      <c r="Q385" s="1" t="n">
        <f aca="false">IF($A385="","",IF(OR(F385="",I385=""),"",F385-I385))</f>
        <v>4939181</v>
      </c>
      <c r="R385" s="1" t="n">
        <f aca="false">IF($A385="","",IF(Q385="","",Q385+IF(O385="",0,O385)))</f>
        <v>5939026</v>
      </c>
      <c r="S385" s="6" t="n">
        <v>1979864</v>
      </c>
      <c r="T385" s="1" t="n">
        <f aca="false">IF($A385="","",IF(R385="","",R385-IF(S385="",0,S385)))</f>
        <v>3959162</v>
      </c>
      <c r="U385" s="1" t="n">
        <f aca="false">IF($A385="","",IF(I385="","",I385-SUM(J385:P385)))</f>
        <v>2</v>
      </c>
      <c r="V385" s="6" t="s">
        <v>4542</v>
      </c>
      <c r="W385" s="44" t="s">
        <v>1168</v>
      </c>
      <c r="X385" s="9" t="s">
        <v>4543</v>
      </c>
      <c r="AC385" s="9" t="s">
        <v>4369</v>
      </c>
      <c r="AD385" s="9" t="s">
        <v>4370</v>
      </c>
      <c r="AE385" s="9" t="s">
        <v>4371</v>
      </c>
    </row>
    <row r="386" customFormat="false" ht="15" hidden="false" customHeight="true" outlineLevel="0" collapsed="false">
      <c r="A386" s="6" t="s">
        <v>1745</v>
      </c>
      <c r="B386" s="6" t="s">
        <v>448</v>
      </c>
      <c r="C386" s="6" t="s">
        <v>454</v>
      </c>
      <c r="D386" s="6" t="n">
        <v>6</v>
      </c>
      <c r="E386" s="9" t="s">
        <v>4544</v>
      </c>
      <c r="F386" s="6" t="n">
        <v>208000</v>
      </c>
      <c r="G386" s="6" t="n">
        <v>189000</v>
      </c>
      <c r="H386" s="6" t="n">
        <v>19000</v>
      </c>
      <c r="I386" s="6" t="n">
        <v>87000</v>
      </c>
      <c r="J386" s="6" t="n">
        <v>17000</v>
      </c>
      <c r="K386" s="6" t="n">
        <v>8000</v>
      </c>
      <c r="L386" s="6" t="n">
        <v>29000</v>
      </c>
      <c r="M386" s="6" t="n">
        <v>0</v>
      </c>
      <c r="N386" s="6" t="n">
        <v>2000</v>
      </c>
      <c r="O386" s="6" t="n">
        <v>25000</v>
      </c>
      <c r="P386" s="6" t="n">
        <v>4000</v>
      </c>
      <c r="Q386" s="1" t="n">
        <f aca="false">IF($A386="","",IF(OR(F386="",I386=""),"",F386-I386))</f>
        <v>121000</v>
      </c>
      <c r="R386" s="1" t="n">
        <f aca="false">IF($A386="","",IF(Q386="","",Q386+IF(O386="",0,O386)))</f>
        <v>146000</v>
      </c>
      <c r="T386" s="1" t="n">
        <f aca="false">IF($A386="","",IF(R386="","",R386-IF(S386="",0,S386)))</f>
        <v>146000</v>
      </c>
      <c r="U386" s="1" t="n">
        <f aca="false">IF($A386="","",IF(I386="","",I386-SUM(J386:P386)))</f>
        <v>2000</v>
      </c>
      <c r="V386" s="6" t="s">
        <v>4545</v>
      </c>
      <c r="W386" s="44" t="s">
        <v>1168</v>
      </c>
      <c r="X386" s="9" t="s">
        <v>4546</v>
      </c>
      <c r="AC386" s="9" t="s">
        <v>4369</v>
      </c>
      <c r="AD386" s="9" t="s">
        <v>4370</v>
      </c>
      <c r="AE386" s="9" t="s">
        <v>4408</v>
      </c>
    </row>
    <row r="387" customFormat="false" ht="15" hidden="false" customHeight="true" outlineLevel="0" collapsed="false">
      <c r="A387" s="6" t="s">
        <v>1749</v>
      </c>
      <c r="B387" s="6" t="s">
        <v>448</v>
      </c>
      <c r="C387" s="6" t="s">
        <v>454</v>
      </c>
      <c r="D387" s="6" t="n">
        <v>6</v>
      </c>
      <c r="E387" s="9" t="s">
        <v>4547</v>
      </c>
      <c r="F387" s="6" t="n">
        <v>31000</v>
      </c>
      <c r="G387" s="6" t="n">
        <v>27000</v>
      </c>
      <c r="H387" s="6" t="n">
        <v>3000</v>
      </c>
      <c r="I387" s="6" t="n">
        <v>24000</v>
      </c>
      <c r="J387" s="6" t="n">
        <v>3000</v>
      </c>
      <c r="K387" s="6" t="n">
        <v>3000</v>
      </c>
      <c r="L387" s="6" t="n">
        <v>6000</v>
      </c>
      <c r="M387" s="6" t="n">
        <v>0</v>
      </c>
      <c r="N387" s="6" t="n">
        <v>0</v>
      </c>
      <c r="O387" s="6" t="n">
        <v>10000</v>
      </c>
      <c r="P387" s="6" t="n">
        <v>0</v>
      </c>
      <c r="Q387" s="1" t="n">
        <f aca="false">IF($A387="","",IF(OR(F387="",I387=""),"",F387-I387))</f>
        <v>7000</v>
      </c>
      <c r="R387" s="1" t="n">
        <f aca="false">IF($A387="","",IF(Q387="","",Q387+IF(O387="",0,O387)))</f>
        <v>17000</v>
      </c>
      <c r="T387" s="1" t="n">
        <f aca="false">IF($A387="","",IF(R387="","",R387-IF(S387="",0,S387)))</f>
        <v>17000</v>
      </c>
      <c r="U387" s="1" t="n">
        <f aca="false">IF($A387="","",IF(I387="","",I387-SUM(J387:P387)))</f>
        <v>2000</v>
      </c>
      <c r="V387" s="6" t="s">
        <v>4545</v>
      </c>
      <c r="W387" s="44" t="s">
        <v>1168</v>
      </c>
      <c r="X387" s="9" t="s">
        <v>4548</v>
      </c>
      <c r="AC387" s="6" t="s">
        <v>4373</v>
      </c>
      <c r="AD387" s="9" t="s">
        <v>4389</v>
      </c>
      <c r="AE387" s="9" t="s">
        <v>4445</v>
      </c>
    </row>
    <row r="388" customFormat="false" ht="15" hidden="false" customHeight="true" outlineLevel="0" collapsed="false">
      <c r="A388" s="6" t="s">
        <v>1752</v>
      </c>
      <c r="B388" s="6" t="s">
        <v>448</v>
      </c>
      <c r="C388" s="6" t="s">
        <v>454</v>
      </c>
      <c r="D388" s="6" t="n">
        <v>6</v>
      </c>
      <c r="E388" s="9" t="s">
        <v>4544</v>
      </c>
      <c r="F388" s="6" t="n">
        <v>98000</v>
      </c>
      <c r="G388" s="6" t="n">
        <v>87000</v>
      </c>
      <c r="H388" s="6" t="n">
        <v>11000</v>
      </c>
      <c r="I388" s="6" t="n">
        <v>30000</v>
      </c>
      <c r="J388" s="6" t="n">
        <v>7000</v>
      </c>
      <c r="K388" s="6" t="n">
        <v>3000</v>
      </c>
      <c r="L388" s="6" t="n">
        <v>6000</v>
      </c>
      <c r="M388" s="6" t="n">
        <v>0</v>
      </c>
      <c r="N388" s="6" t="n">
        <v>0</v>
      </c>
      <c r="O388" s="6" t="n">
        <v>12000</v>
      </c>
      <c r="P388" s="6" t="n">
        <v>0</v>
      </c>
      <c r="Q388" s="1" t="n">
        <f aca="false">IF($A388="","",IF(OR(F388="",I388=""),"",F388-I388))</f>
        <v>68000</v>
      </c>
      <c r="R388" s="1" t="n">
        <f aca="false">IF($A388="","",IF(Q388="","",Q388+IF(O388="",0,O388)))</f>
        <v>80000</v>
      </c>
      <c r="T388" s="1" t="n">
        <f aca="false">IF($A388="","",IF(R388="","",R388-IF(S388="",0,S388)))</f>
        <v>80000</v>
      </c>
      <c r="U388" s="1" t="n">
        <f aca="false">IF($A388="","",IF(I388="","",I388-SUM(J388:P388)))</f>
        <v>2000</v>
      </c>
      <c r="V388" s="6" t="s">
        <v>4545</v>
      </c>
      <c r="W388" s="44" t="s">
        <v>1168</v>
      </c>
      <c r="X388" s="9" t="s">
        <v>4549</v>
      </c>
      <c r="AC388" s="9" t="s">
        <v>4369</v>
      </c>
      <c r="AD388" s="9" t="s">
        <v>4370</v>
      </c>
      <c r="AE388" s="9" t="s">
        <v>4408</v>
      </c>
    </row>
    <row r="389" customFormat="false" ht="15" hidden="false" customHeight="true" outlineLevel="0" collapsed="false">
      <c r="A389" s="6" t="s">
        <v>1755</v>
      </c>
      <c r="B389" s="6" t="s">
        <v>448</v>
      </c>
      <c r="C389" s="6" t="s">
        <v>454</v>
      </c>
      <c r="D389" s="6" t="n">
        <v>6</v>
      </c>
      <c r="E389" s="9" t="s">
        <v>4544</v>
      </c>
      <c r="F389" s="6" t="n">
        <v>296000</v>
      </c>
      <c r="G389" s="6" t="n">
        <v>254000</v>
      </c>
      <c r="H389" s="6" t="n">
        <v>42000</v>
      </c>
      <c r="I389" s="6" t="n">
        <v>105000</v>
      </c>
      <c r="J389" s="6" t="n">
        <v>20000</v>
      </c>
      <c r="K389" s="6" t="n">
        <v>28000</v>
      </c>
      <c r="L389" s="6" t="n">
        <v>17000</v>
      </c>
      <c r="M389" s="6" t="n">
        <v>0</v>
      </c>
      <c r="N389" s="6" t="n">
        <v>7000</v>
      </c>
      <c r="O389" s="6" t="n">
        <v>29000</v>
      </c>
      <c r="P389" s="6" t="n">
        <v>1000</v>
      </c>
      <c r="Q389" s="1" t="n">
        <f aca="false">IF($A389="","",IF(OR(F389="",I389=""),"",F389-I389))</f>
        <v>191000</v>
      </c>
      <c r="R389" s="1" t="n">
        <f aca="false">IF($A389="","",IF(Q389="","",Q389+IF(O389="",0,O389)))</f>
        <v>220000</v>
      </c>
      <c r="T389" s="1" t="n">
        <f aca="false">IF($A389="","",IF(R389="","",R389-IF(S389="",0,S389)))</f>
        <v>220000</v>
      </c>
      <c r="U389" s="1" t="n">
        <f aca="false">IF($A389="","",IF(I389="","",I389-SUM(J389:P389)))</f>
        <v>3000</v>
      </c>
      <c r="V389" s="6" t="s">
        <v>4545</v>
      </c>
      <c r="W389" s="44" t="s">
        <v>1168</v>
      </c>
      <c r="X389" s="9" t="s">
        <v>4550</v>
      </c>
      <c r="AC389" s="9" t="s">
        <v>4369</v>
      </c>
      <c r="AD389" s="9" t="s">
        <v>4370</v>
      </c>
      <c r="AE389" s="9" t="s">
        <v>4408</v>
      </c>
    </row>
    <row r="390" customFormat="false" ht="15" hidden="false" customHeight="true" outlineLevel="0" collapsed="false">
      <c r="A390" s="6" t="s">
        <v>1758</v>
      </c>
      <c r="B390" s="6" t="s">
        <v>448</v>
      </c>
      <c r="C390" s="6" t="s">
        <v>454</v>
      </c>
      <c r="D390" s="6" t="n">
        <v>6</v>
      </c>
      <c r="E390" s="9" t="s">
        <v>4544</v>
      </c>
      <c r="F390" s="6" t="n">
        <v>258000</v>
      </c>
      <c r="G390" s="6" t="n">
        <v>221000</v>
      </c>
      <c r="H390" s="6" t="n">
        <v>36000</v>
      </c>
      <c r="I390" s="6" t="n">
        <v>112000</v>
      </c>
      <c r="J390" s="6" t="n">
        <v>25000</v>
      </c>
      <c r="K390" s="6" t="n">
        <v>14000</v>
      </c>
      <c r="L390" s="6" t="n">
        <v>22000</v>
      </c>
      <c r="M390" s="6" t="n">
        <v>0</v>
      </c>
      <c r="N390" s="6" t="n">
        <v>1000</v>
      </c>
      <c r="O390" s="6" t="n">
        <v>47000</v>
      </c>
      <c r="P390" s="6" t="n">
        <v>2000</v>
      </c>
      <c r="Q390" s="1" t="n">
        <f aca="false">IF($A390="","",IF(OR(F390="",I390=""),"",F390-I390))</f>
        <v>146000</v>
      </c>
      <c r="R390" s="1" t="n">
        <f aca="false">IF($A390="","",IF(Q390="","",Q390+IF(O390="",0,O390)))</f>
        <v>193000</v>
      </c>
      <c r="T390" s="1" t="n">
        <f aca="false">IF($A390="","",IF(R390="","",R390-IF(S390="",0,S390)))</f>
        <v>193000</v>
      </c>
      <c r="U390" s="1" t="n">
        <f aca="false">IF($A390="","",IF(I390="","",I390-SUM(J390:P390)))</f>
        <v>1000</v>
      </c>
      <c r="V390" s="6" t="s">
        <v>4545</v>
      </c>
      <c r="W390" s="44" t="s">
        <v>1168</v>
      </c>
      <c r="X390" s="9" t="s">
        <v>4551</v>
      </c>
      <c r="AC390" s="9" t="s">
        <v>4369</v>
      </c>
      <c r="AD390" s="9" t="s">
        <v>4370</v>
      </c>
      <c r="AE390" s="9" t="s">
        <v>4408</v>
      </c>
    </row>
    <row r="391" customFormat="false" ht="15" hidden="false" customHeight="true" outlineLevel="0" collapsed="false">
      <c r="A391" s="6" t="s">
        <v>1761</v>
      </c>
      <c r="B391" s="6" t="s">
        <v>448</v>
      </c>
      <c r="C391" s="6" t="s">
        <v>454</v>
      </c>
      <c r="D391" s="6" t="n">
        <v>6</v>
      </c>
      <c r="E391" s="9" t="s">
        <v>4544</v>
      </c>
      <c r="F391" s="6" t="n">
        <v>327000</v>
      </c>
      <c r="G391" s="6" t="n">
        <v>305000</v>
      </c>
      <c r="H391" s="6" t="n">
        <v>21000</v>
      </c>
      <c r="I391" s="6" t="n">
        <v>158000</v>
      </c>
      <c r="J391" s="6" t="n">
        <v>31000</v>
      </c>
      <c r="K391" s="6" t="n">
        <v>19000</v>
      </c>
      <c r="L391" s="6" t="n">
        <v>44000</v>
      </c>
      <c r="M391" s="6" t="n">
        <v>0</v>
      </c>
      <c r="N391" s="6" t="n">
        <v>5000</v>
      </c>
      <c r="O391" s="6" t="n">
        <v>51000</v>
      </c>
      <c r="P391" s="6" t="n">
        <v>5000</v>
      </c>
      <c r="Q391" s="1" t="n">
        <f aca="false">IF($A391="","",IF(OR(F391="",I391=""),"",F391-I391))</f>
        <v>169000</v>
      </c>
      <c r="R391" s="1" t="n">
        <f aca="false">IF($A391="","",IF(Q391="","",Q391+IF(O391="",0,O391)))</f>
        <v>220000</v>
      </c>
      <c r="T391" s="1" t="n">
        <f aca="false">IF($A391="","",IF(R391="","",R391-IF(S391="",0,S391)))</f>
        <v>220000</v>
      </c>
      <c r="U391" s="1" t="n">
        <f aca="false">IF($A391="","",IF(I391="","",I391-SUM(J391:P391)))</f>
        <v>3000</v>
      </c>
      <c r="V391" s="6" t="s">
        <v>4545</v>
      </c>
      <c r="W391" s="44" t="s">
        <v>1168</v>
      </c>
      <c r="X391" s="9" t="s">
        <v>4552</v>
      </c>
      <c r="AC391" s="9" t="s">
        <v>4369</v>
      </c>
      <c r="AD391" s="9" t="s">
        <v>4370</v>
      </c>
      <c r="AE391" s="9" t="s">
        <v>4408</v>
      </c>
    </row>
    <row r="392" customFormat="false" ht="15" hidden="false" customHeight="true" outlineLevel="0" collapsed="false">
      <c r="A392" s="6" t="s">
        <v>1764</v>
      </c>
      <c r="B392" s="6" t="s">
        <v>448</v>
      </c>
      <c r="C392" s="6" t="s">
        <v>454</v>
      </c>
      <c r="D392" s="6" t="n">
        <v>6</v>
      </c>
      <c r="E392" s="9" t="s">
        <v>4553</v>
      </c>
      <c r="Q392" s="1" t="str">
        <f aca="false">IF($A392="","",IF(OR(F392="",I392=""),"",F392-I392))</f>
        <v/>
      </c>
      <c r="R392" s="1" t="str">
        <f aca="false">IF($A392="","",IF(Q392="","",Q392+IF(O392="",0,O392)))</f>
        <v/>
      </c>
      <c r="T392" s="1" t="str">
        <f aca="false">IF($A392="","",IF(R392="","",R392-IF(S392="",0,S392)))</f>
        <v/>
      </c>
      <c r="U392" s="1" t="str">
        <f aca="false">IF($A392="","",IF(I392="","",I392-SUM(J392:P392)))</f>
        <v/>
      </c>
      <c r="V392" s="6" t="s">
        <v>4554</v>
      </c>
      <c r="W392" s="9" t="s">
        <v>528</v>
      </c>
      <c r="X392" s="9" t="s">
        <v>4555</v>
      </c>
      <c r="AC392" s="9" t="s">
        <v>4369</v>
      </c>
      <c r="AD392" s="9" t="s">
        <v>4370</v>
      </c>
      <c r="AE392" s="9" t="s">
        <v>4371</v>
      </c>
    </row>
    <row r="393" customFormat="false" ht="15" hidden="false" customHeight="true" outlineLevel="0" collapsed="false">
      <c r="A393" s="6" t="s">
        <v>1767</v>
      </c>
      <c r="B393" s="6" t="s">
        <v>448</v>
      </c>
      <c r="C393" s="6" t="s">
        <v>454</v>
      </c>
      <c r="D393" s="6" t="n">
        <v>6</v>
      </c>
      <c r="E393" s="9" t="s">
        <v>4544</v>
      </c>
      <c r="F393" s="6" t="n">
        <v>1065000</v>
      </c>
      <c r="G393" s="6" t="n">
        <v>948000</v>
      </c>
      <c r="H393" s="6" t="n">
        <v>116000</v>
      </c>
      <c r="I393" s="6" t="n">
        <v>605000</v>
      </c>
      <c r="J393" s="6" t="n">
        <v>135000</v>
      </c>
      <c r="K393" s="6" t="n">
        <v>145000</v>
      </c>
      <c r="L393" s="6" t="n">
        <v>99000</v>
      </c>
      <c r="M393" s="6" t="n">
        <v>0</v>
      </c>
      <c r="N393" s="6" t="n">
        <v>105000</v>
      </c>
      <c r="O393" s="6" t="n">
        <v>107000</v>
      </c>
      <c r="P393" s="6" t="n">
        <v>11000</v>
      </c>
      <c r="Q393" s="1" t="n">
        <f aca="false">IF($A393="","",IF(OR(F393="",I393=""),"",F393-I393))</f>
        <v>460000</v>
      </c>
      <c r="R393" s="1" t="n">
        <f aca="false">IF($A393="","",IF(Q393="","",Q393+IF(O393="",0,O393)))</f>
        <v>567000</v>
      </c>
      <c r="T393" s="1" t="n">
        <f aca="false">IF($A393="","",IF(R393="","",R393-IF(S393="",0,S393)))</f>
        <v>567000</v>
      </c>
      <c r="U393" s="1" t="n">
        <f aca="false">IF($A393="","",IF(I393="","",I393-SUM(J393:P393)))</f>
        <v>3000</v>
      </c>
      <c r="V393" s="6" t="s">
        <v>4545</v>
      </c>
      <c r="W393" s="44" t="s">
        <v>1168</v>
      </c>
      <c r="X393" s="9" t="s">
        <v>4556</v>
      </c>
      <c r="AC393" s="6" t="s">
        <v>4373</v>
      </c>
      <c r="AD393" s="9" t="s">
        <v>4424</v>
      </c>
      <c r="AE393" s="9" t="s">
        <v>4408</v>
      </c>
    </row>
    <row r="394" customFormat="false" ht="15" hidden="false" customHeight="true" outlineLevel="0" collapsed="false">
      <c r="A394" s="6" t="s">
        <v>1770</v>
      </c>
      <c r="B394" s="6" t="s">
        <v>448</v>
      </c>
      <c r="C394" s="6" t="s">
        <v>454</v>
      </c>
      <c r="D394" s="6" t="n">
        <v>6</v>
      </c>
      <c r="E394" s="9" t="s">
        <v>4553</v>
      </c>
      <c r="Q394" s="1" t="str">
        <f aca="false">IF($A394="","",IF(OR(F394="",I394=""),"",F394-I394))</f>
        <v/>
      </c>
      <c r="R394" s="1" t="str">
        <f aca="false">IF($A394="","",IF(Q394="","",Q394+IF(O394="",0,O394)))</f>
        <v/>
      </c>
      <c r="T394" s="1" t="str">
        <f aca="false">IF($A394="","",IF(R394="","",R394-IF(S394="",0,S394)))</f>
        <v/>
      </c>
      <c r="U394" s="1" t="str">
        <f aca="false">IF($A394="","",IF(I394="","",I394-SUM(J394:P394)))</f>
        <v/>
      </c>
      <c r="V394" s="6" t="s">
        <v>4554</v>
      </c>
      <c r="W394" s="9" t="s">
        <v>528</v>
      </c>
      <c r="X394" s="9" t="s">
        <v>4557</v>
      </c>
      <c r="AC394" s="6" t="s">
        <v>4373</v>
      </c>
      <c r="AD394" s="9" t="s">
        <v>4424</v>
      </c>
      <c r="AE394" s="9" t="s">
        <v>4371</v>
      </c>
    </row>
    <row r="395" customFormat="false" ht="15" hidden="false" customHeight="true" outlineLevel="0" collapsed="false">
      <c r="A395" s="6" t="s">
        <v>1773</v>
      </c>
      <c r="B395" s="6" t="s">
        <v>448</v>
      </c>
      <c r="C395" s="6" t="s">
        <v>454</v>
      </c>
      <c r="D395" s="6" t="n">
        <v>6</v>
      </c>
      <c r="E395" s="9" t="s">
        <v>4553</v>
      </c>
      <c r="Q395" s="1" t="str">
        <f aca="false">IF($A395="","",IF(OR(F395="",I395=""),"",F395-I395))</f>
        <v/>
      </c>
      <c r="R395" s="1" t="str">
        <f aca="false">IF($A395="","",IF(Q395="","",Q395+IF(O395="",0,O395)))</f>
        <v/>
      </c>
      <c r="T395" s="1" t="str">
        <f aca="false">IF($A395="","",IF(R395="","",R395-IF(S395="",0,S395)))</f>
        <v/>
      </c>
      <c r="U395" s="1" t="str">
        <f aca="false">IF($A395="","",IF(I395="","",I395-SUM(J395:P395)))</f>
        <v/>
      </c>
      <c r="V395" s="6" t="s">
        <v>4554</v>
      </c>
      <c r="W395" s="9" t="s">
        <v>528</v>
      </c>
      <c r="X395" s="9" t="s">
        <v>4558</v>
      </c>
      <c r="AC395" s="6" t="s">
        <v>4373</v>
      </c>
      <c r="AD395" s="9" t="s">
        <v>4424</v>
      </c>
      <c r="AE395" s="9" t="s">
        <v>4371</v>
      </c>
    </row>
    <row r="396" customFormat="false" ht="15" hidden="false" customHeight="true" outlineLevel="0" collapsed="false">
      <c r="A396" s="6" t="s">
        <v>1776</v>
      </c>
      <c r="B396" s="6" t="s">
        <v>448</v>
      </c>
      <c r="C396" s="6" t="s">
        <v>454</v>
      </c>
      <c r="D396" s="6" t="n">
        <v>6</v>
      </c>
      <c r="E396" s="9" t="s">
        <v>4553</v>
      </c>
      <c r="Q396" s="1" t="str">
        <f aca="false">IF($A396="","",IF(OR(F396="",I396=""),"",F396-I396))</f>
        <v/>
      </c>
      <c r="R396" s="1" t="str">
        <f aca="false">IF($A396="","",IF(Q396="","",Q396+IF(O396="",0,O396)))</f>
        <v/>
      </c>
      <c r="T396" s="1" t="str">
        <f aca="false">IF($A396="","",IF(R396="","",R396-IF(S396="",0,S396)))</f>
        <v/>
      </c>
      <c r="U396" s="1" t="str">
        <f aca="false">IF($A396="","",IF(I396="","",I396-SUM(J396:P396)))</f>
        <v/>
      </c>
      <c r="V396" s="6" t="s">
        <v>4554</v>
      </c>
      <c r="W396" s="9" t="s">
        <v>528</v>
      </c>
      <c r="X396" s="9" t="s">
        <v>4559</v>
      </c>
      <c r="AC396" s="9" t="s">
        <v>4369</v>
      </c>
      <c r="AD396" s="9" t="s">
        <v>4370</v>
      </c>
      <c r="AE396" s="9" t="s">
        <v>4371</v>
      </c>
    </row>
    <row r="397" customFormat="false" ht="15" hidden="false" customHeight="true" outlineLevel="0" collapsed="false">
      <c r="A397" s="6" t="s">
        <v>1779</v>
      </c>
      <c r="B397" s="6" t="s">
        <v>448</v>
      </c>
      <c r="C397" s="6" t="s">
        <v>454</v>
      </c>
      <c r="D397" s="6" t="n">
        <v>6</v>
      </c>
      <c r="E397" s="9" t="s">
        <v>4553</v>
      </c>
      <c r="Q397" s="1" t="str">
        <f aca="false">IF($A397="","",IF(OR(F397="",I397=""),"",F397-I397))</f>
        <v/>
      </c>
      <c r="R397" s="1" t="str">
        <f aca="false">IF($A397="","",IF(Q397="","",Q397+IF(O397="",0,O397)))</f>
        <v/>
      </c>
      <c r="T397" s="1" t="str">
        <f aca="false">IF($A397="","",IF(R397="","",R397-IF(S397="",0,S397)))</f>
        <v/>
      </c>
      <c r="U397" s="1" t="str">
        <f aca="false">IF($A397="","",IF(I397="","",I397-SUM(J397:P397)))</f>
        <v/>
      </c>
      <c r="V397" s="6" t="s">
        <v>4554</v>
      </c>
      <c r="W397" s="9" t="s">
        <v>528</v>
      </c>
      <c r="X397" s="9" t="s">
        <v>4560</v>
      </c>
      <c r="AC397" s="9" t="s">
        <v>4369</v>
      </c>
      <c r="AD397" s="9" t="s">
        <v>4370</v>
      </c>
      <c r="AE397" s="9" t="s">
        <v>4371</v>
      </c>
    </row>
    <row r="398" customFormat="false" ht="15" hidden="false" customHeight="true" outlineLevel="0" collapsed="false">
      <c r="A398" s="6" t="s">
        <v>1782</v>
      </c>
      <c r="B398" s="6" t="s">
        <v>448</v>
      </c>
      <c r="C398" s="6" t="s">
        <v>454</v>
      </c>
      <c r="D398" s="6" t="n">
        <v>6</v>
      </c>
      <c r="E398" s="9" t="s">
        <v>4544</v>
      </c>
      <c r="F398" s="6" t="n">
        <v>98000</v>
      </c>
      <c r="G398" s="6" t="n">
        <v>85000</v>
      </c>
      <c r="H398" s="6" t="n">
        <v>12000</v>
      </c>
      <c r="I398" s="6" t="n">
        <v>45000</v>
      </c>
      <c r="J398" s="6" t="n">
        <v>10000</v>
      </c>
      <c r="K398" s="6" t="n">
        <v>9000</v>
      </c>
      <c r="L398" s="6" t="n">
        <v>8000</v>
      </c>
      <c r="M398" s="6" t="n">
        <v>0</v>
      </c>
      <c r="N398" s="6" t="n">
        <v>0</v>
      </c>
      <c r="O398" s="6" t="n">
        <v>15000</v>
      </c>
      <c r="P398" s="6" t="n">
        <v>1000</v>
      </c>
      <c r="Q398" s="1" t="n">
        <f aca="false">IF($A398="","",IF(OR(F398="",I398=""),"",F398-I398))</f>
        <v>53000</v>
      </c>
      <c r="R398" s="1" t="n">
        <f aca="false">IF($A398="","",IF(Q398="","",Q398+IF(O398="",0,O398)))</f>
        <v>68000</v>
      </c>
      <c r="T398" s="1" t="n">
        <f aca="false">IF($A398="","",IF(R398="","",R398-IF(S398="",0,S398)))</f>
        <v>68000</v>
      </c>
      <c r="U398" s="1" t="n">
        <f aca="false">IF($A398="","",IF(I398="","",I398-SUM(J398:P398)))</f>
        <v>2000</v>
      </c>
      <c r="V398" s="6" t="s">
        <v>4545</v>
      </c>
      <c r="W398" s="44" t="s">
        <v>1168</v>
      </c>
      <c r="X398" s="9" t="s">
        <v>4561</v>
      </c>
      <c r="AC398" s="9" t="s">
        <v>4369</v>
      </c>
      <c r="AD398" s="9" t="s">
        <v>4370</v>
      </c>
      <c r="AE398" s="9" t="s">
        <v>4408</v>
      </c>
    </row>
    <row r="399" customFormat="false" ht="15" hidden="false" customHeight="true" outlineLevel="0" collapsed="false">
      <c r="A399" s="6" t="s">
        <v>1785</v>
      </c>
      <c r="B399" s="6" t="s">
        <v>448</v>
      </c>
      <c r="C399" s="6" t="s">
        <v>454</v>
      </c>
      <c r="D399" s="6" t="n">
        <v>6</v>
      </c>
      <c r="E399" s="9" t="s">
        <v>4544</v>
      </c>
      <c r="F399" s="6" t="n">
        <v>132000</v>
      </c>
      <c r="G399" s="6" t="n">
        <v>116000</v>
      </c>
      <c r="H399" s="6" t="n">
        <v>15000</v>
      </c>
      <c r="I399" s="6" t="n">
        <v>68000</v>
      </c>
      <c r="J399" s="6" t="n">
        <v>14000</v>
      </c>
      <c r="K399" s="6" t="n">
        <v>9000</v>
      </c>
      <c r="L399" s="6" t="n">
        <v>9000</v>
      </c>
      <c r="M399" s="6" t="n">
        <v>0</v>
      </c>
      <c r="N399" s="6" t="n">
        <v>0</v>
      </c>
      <c r="O399" s="6" t="n">
        <v>16000</v>
      </c>
      <c r="P399" s="6" t="n">
        <v>18000</v>
      </c>
      <c r="Q399" s="1" t="n">
        <f aca="false">IF($A399="","",IF(OR(F399="",I399=""),"",F399-I399))</f>
        <v>64000</v>
      </c>
      <c r="R399" s="1" t="n">
        <f aca="false">IF($A399="","",IF(Q399="","",Q399+IF(O399="",0,O399)))</f>
        <v>80000</v>
      </c>
      <c r="T399" s="1" t="n">
        <f aca="false">IF($A399="","",IF(R399="","",R399-IF(S399="",0,S399)))</f>
        <v>80000</v>
      </c>
      <c r="U399" s="1" t="n">
        <f aca="false">IF($A399="","",IF(I399="","",I399-SUM(J399:P399)))</f>
        <v>2000</v>
      </c>
      <c r="V399" s="6" t="s">
        <v>4545</v>
      </c>
      <c r="W399" s="44" t="s">
        <v>1168</v>
      </c>
      <c r="X399" s="9" t="s">
        <v>4562</v>
      </c>
      <c r="AC399" s="9" t="s">
        <v>4369</v>
      </c>
      <c r="AD399" s="9" t="s">
        <v>4370</v>
      </c>
      <c r="AE399" s="9" t="s">
        <v>4408</v>
      </c>
    </row>
    <row r="400" customFormat="false" ht="15" hidden="false" customHeight="true" outlineLevel="0" collapsed="false">
      <c r="A400" s="6" t="s">
        <v>1788</v>
      </c>
      <c r="B400" s="6" t="s">
        <v>448</v>
      </c>
      <c r="C400" s="6" t="s">
        <v>454</v>
      </c>
      <c r="D400" s="6" t="n">
        <v>6</v>
      </c>
      <c r="E400" s="9" t="s">
        <v>4544</v>
      </c>
      <c r="F400" s="6" t="n">
        <v>107000</v>
      </c>
      <c r="G400" s="6" t="n">
        <v>94000</v>
      </c>
      <c r="H400" s="6" t="n">
        <v>12000</v>
      </c>
      <c r="I400" s="6" t="n">
        <v>51000</v>
      </c>
      <c r="J400" s="6" t="n">
        <v>10000</v>
      </c>
      <c r="K400" s="6" t="n">
        <v>7000</v>
      </c>
      <c r="L400" s="6" t="n">
        <v>10000</v>
      </c>
      <c r="M400" s="6" t="n">
        <v>0</v>
      </c>
      <c r="N400" s="6" t="n">
        <v>7000</v>
      </c>
      <c r="O400" s="6" t="n">
        <v>14000</v>
      </c>
      <c r="P400" s="6" t="n">
        <v>1000</v>
      </c>
      <c r="Q400" s="1" t="n">
        <f aca="false">IF($A400="","",IF(OR(F400="",I400=""),"",F400-I400))</f>
        <v>56000</v>
      </c>
      <c r="R400" s="1" t="n">
        <f aca="false">IF($A400="","",IF(Q400="","",Q400+IF(O400="",0,O400)))</f>
        <v>70000</v>
      </c>
      <c r="T400" s="1" t="n">
        <f aca="false">IF($A400="","",IF(R400="","",R400-IF(S400="",0,S400)))</f>
        <v>70000</v>
      </c>
      <c r="U400" s="1" t="n">
        <f aca="false">IF($A400="","",IF(I400="","",I400-SUM(J400:P400)))</f>
        <v>2000</v>
      </c>
      <c r="V400" s="6" t="s">
        <v>4545</v>
      </c>
      <c r="W400" s="44" t="s">
        <v>1168</v>
      </c>
      <c r="X400" s="9" t="s">
        <v>4563</v>
      </c>
      <c r="AC400" s="9" t="s">
        <v>4369</v>
      </c>
      <c r="AD400" s="9" t="s">
        <v>4370</v>
      </c>
      <c r="AE400" s="9" t="s">
        <v>4408</v>
      </c>
    </row>
    <row r="401" customFormat="false" ht="15" hidden="false" customHeight="true" outlineLevel="0" collapsed="false">
      <c r="A401" s="6" t="s">
        <v>1791</v>
      </c>
      <c r="B401" s="6" t="s">
        <v>448</v>
      </c>
      <c r="C401" s="6" t="s">
        <v>454</v>
      </c>
      <c r="D401" s="6" t="n">
        <v>6</v>
      </c>
      <c r="E401" s="9" t="s">
        <v>4544</v>
      </c>
      <c r="F401" s="6" t="n">
        <v>216000</v>
      </c>
      <c r="G401" s="6" t="n">
        <v>192000</v>
      </c>
      <c r="H401" s="6" t="n">
        <v>23000</v>
      </c>
      <c r="I401" s="6" t="n">
        <v>67000</v>
      </c>
      <c r="J401" s="6" t="n">
        <v>13000</v>
      </c>
      <c r="K401" s="6" t="n">
        <v>12000</v>
      </c>
      <c r="L401" s="6" t="n">
        <v>14000</v>
      </c>
      <c r="M401" s="6" t="n">
        <v>0</v>
      </c>
      <c r="N401" s="6" t="n">
        <v>0</v>
      </c>
      <c r="O401" s="6" t="n">
        <v>22000</v>
      </c>
      <c r="P401" s="6" t="n">
        <v>4000</v>
      </c>
      <c r="Q401" s="1" t="n">
        <f aca="false">IF($A401="","",IF(OR(F401="",I401=""),"",F401-I401))</f>
        <v>149000</v>
      </c>
      <c r="R401" s="1" t="n">
        <f aca="false">IF($A401="","",IF(Q401="","",Q401+IF(O401="",0,O401)))</f>
        <v>171000</v>
      </c>
      <c r="T401" s="1" t="n">
        <f aca="false">IF($A401="","",IF(R401="","",R401-IF(S401="",0,S401)))</f>
        <v>171000</v>
      </c>
      <c r="U401" s="1" t="n">
        <f aca="false">IF($A401="","",IF(I401="","",I401-SUM(J401:P401)))</f>
        <v>2000</v>
      </c>
      <c r="V401" s="6" t="s">
        <v>4545</v>
      </c>
      <c r="W401" s="44" t="s">
        <v>1168</v>
      </c>
      <c r="X401" s="9" t="s">
        <v>4564</v>
      </c>
      <c r="AC401" s="9" t="s">
        <v>4369</v>
      </c>
      <c r="AD401" s="9" t="s">
        <v>4370</v>
      </c>
      <c r="AE401" s="9" t="s">
        <v>4408</v>
      </c>
    </row>
    <row r="402" customFormat="false" ht="15" hidden="false" customHeight="true" outlineLevel="0" collapsed="false">
      <c r="A402" s="6" t="s">
        <v>1794</v>
      </c>
      <c r="B402" s="6" t="s">
        <v>448</v>
      </c>
      <c r="C402" s="6" t="s">
        <v>454</v>
      </c>
      <c r="D402" s="6" t="n">
        <v>6</v>
      </c>
      <c r="E402" s="9" t="s">
        <v>4544</v>
      </c>
      <c r="F402" s="6" t="n">
        <v>763000</v>
      </c>
      <c r="G402" s="6" t="n">
        <v>656000</v>
      </c>
      <c r="H402" s="6" t="n">
        <v>106000</v>
      </c>
      <c r="I402" s="6" t="n">
        <v>369000</v>
      </c>
      <c r="J402" s="6" t="n">
        <v>71000</v>
      </c>
      <c r="K402" s="6" t="n">
        <v>68000</v>
      </c>
      <c r="L402" s="6" t="n">
        <v>37000</v>
      </c>
      <c r="M402" s="6" t="n">
        <v>0</v>
      </c>
      <c r="N402" s="6" t="n">
        <v>14000</v>
      </c>
      <c r="O402" s="6" t="n">
        <v>170000</v>
      </c>
      <c r="P402" s="6" t="n">
        <v>5000</v>
      </c>
      <c r="Q402" s="1" t="n">
        <f aca="false">IF($A402="","",IF(OR(F402="",I402=""),"",F402-I402))</f>
        <v>394000</v>
      </c>
      <c r="R402" s="1" t="n">
        <f aca="false">IF($A402="","",IF(Q402="","",Q402+IF(O402="",0,O402)))</f>
        <v>564000</v>
      </c>
      <c r="T402" s="1" t="n">
        <f aca="false">IF($A402="","",IF(R402="","",R402-IF(S402="",0,S402)))</f>
        <v>564000</v>
      </c>
      <c r="U402" s="1" t="n">
        <f aca="false">IF($A402="","",IF(I402="","",I402-SUM(J402:P402)))</f>
        <v>4000</v>
      </c>
      <c r="V402" s="6" t="s">
        <v>4545</v>
      </c>
      <c r="W402" s="44" t="s">
        <v>1168</v>
      </c>
      <c r="X402" s="9" t="s">
        <v>4565</v>
      </c>
      <c r="AC402" s="9" t="s">
        <v>4369</v>
      </c>
      <c r="AD402" s="9" t="s">
        <v>4370</v>
      </c>
      <c r="AE402" s="9" t="s">
        <v>4408</v>
      </c>
    </row>
    <row r="403" customFormat="false" ht="15" hidden="false" customHeight="true" outlineLevel="0" collapsed="false">
      <c r="A403" s="6" t="s">
        <v>1797</v>
      </c>
      <c r="B403" s="6" t="s">
        <v>448</v>
      </c>
      <c r="C403" s="6" t="s">
        <v>454</v>
      </c>
      <c r="D403" s="6" t="n">
        <v>6</v>
      </c>
      <c r="E403" s="9" t="s">
        <v>4544</v>
      </c>
      <c r="F403" s="6" t="n">
        <v>250000</v>
      </c>
      <c r="G403" s="6" t="n">
        <v>238000</v>
      </c>
      <c r="H403" s="6" t="n">
        <v>11000</v>
      </c>
      <c r="I403" s="6" t="n">
        <v>121000</v>
      </c>
      <c r="J403" s="6" t="n">
        <v>29000</v>
      </c>
      <c r="K403" s="6" t="n">
        <v>14000</v>
      </c>
      <c r="L403" s="6" t="n">
        <v>19000</v>
      </c>
      <c r="M403" s="6" t="n">
        <v>0</v>
      </c>
      <c r="N403" s="6" t="n">
        <v>1000</v>
      </c>
      <c r="O403" s="6" t="n">
        <v>51000</v>
      </c>
      <c r="P403" s="6" t="n">
        <v>4000</v>
      </c>
      <c r="Q403" s="1" t="n">
        <f aca="false">IF($A403="","",IF(OR(F403="",I403=""),"",F403-I403))</f>
        <v>129000</v>
      </c>
      <c r="R403" s="1" t="n">
        <f aca="false">IF($A403="","",IF(Q403="","",Q403+IF(O403="",0,O403)))</f>
        <v>180000</v>
      </c>
      <c r="T403" s="1" t="n">
        <f aca="false">IF($A403="","",IF(R403="","",R403-IF(S403="",0,S403)))</f>
        <v>180000</v>
      </c>
      <c r="U403" s="1" t="n">
        <f aca="false">IF($A403="","",IF(I403="","",I403-SUM(J403:P403)))</f>
        <v>3000</v>
      </c>
      <c r="V403" s="6" t="s">
        <v>4545</v>
      </c>
      <c r="W403" s="44" t="s">
        <v>1168</v>
      </c>
      <c r="X403" s="9" t="s">
        <v>4566</v>
      </c>
      <c r="AC403" s="9" t="s">
        <v>4369</v>
      </c>
      <c r="AD403" s="9" t="s">
        <v>4370</v>
      </c>
      <c r="AE403" s="9" t="s">
        <v>4408</v>
      </c>
    </row>
    <row r="404" customFormat="false" ht="15" hidden="false" customHeight="true" outlineLevel="0" collapsed="false">
      <c r="A404" s="6" t="s">
        <v>1800</v>
      </c>
      <c r="B404" s="6" t="s">
        <v>448</v>
      </c>
      <c r="C404" s="6" t="s">
        <v>454</v>
      </c>
      <c r="D404" s="6" t="n">
        <v>6</v>
      </c>
      <c r="E404" s="9" t="s">
        <v>4544</v>
      </c>
      <c r="F404" s="6" t="n">
        <v>208000</v>
      </c>
      <c r="G404" s="6" t="n">
        <v>192000</v>
      </c>
      <c r="H404" s="6" t="n">
        <v>15000</v>
      </c>
      <c r="I404" s="6" t="n">
        <v>106000</v>
      </c>
      <c r="J404" s="6" t="n">
        <v>18000</v>
      </c>
      <c r="K404" s="6" t="n">
        <v>15000</v>
      </c>
      <c r="L404" s="6" t="n">
        <v>21000</v>
      </c>
      <c r="M404" s="6" t="n">
        <v>0</v>
      </c>
      <c r="N404" s="6" t="n">
        <v>10000</v>
      </c>
      <c r="O404" s="6" t="n">
        <v>37000</v>
      </c>
      <c r="P404" s="6" t="n">
        <v>1000</v>
      </c>
      <c r="Q404" s="1" t="n">
        <f aca="false">IF($A404="","",IF(OR(F404="",I404=""),"",F404-I404))</f>
        <v>102000</v>
      </c>
      <c r="R404" s="1" t="n">
        <f aca="false">IF($A404="","",IF(Q404="","",Q404+IF(O404="",0,O404)))</f>
        <v>139000</v>
      </c>
      <c r="T404" s="1" t="n">
        <f aca="false">IF($A404="","",IF(R404="","",R404-IF(S404="",0,S404)))</f>
        <v>139000</v>
      </c>
      <c r="U404" s="1" t="n">
        <f aca="false">IF($A404="","",IF(I404="","",I404-SUM(J404:P404)))</f>
        <v>4000</v>
      </c>
      <c r="V404" s="6" t="s">
        <v>4545</v>
      </c>
      <c r="W404" s="44" t="s">
        <v>1168</v>
      </c>
      <c r="X404" s="9" t="s">
        <v>4567</v>
      </c>
      <c r="AC404" s="9" t="s">
        <v>4369</v>
      </c>
      <c r="AD404" s="9" t="s">
        <v>4370</v>
      </c>
      <c r="AE404" s="9" t="s">
        <v>4408</v>
      </c>
    </row>
    <row r="405" customFormat="false" ht="15" hidden="false" customHeight="true" outlineLevel="0" collapsed="false">
      <c r="A405" s="6" t="s">
        <v>1803</v>
      </c>
      <c r="B405" s="6" t="s">
        <v>448</v>
      </c>
      <c r="C405" s="6" t="s">
        <v>454</v>
      </c>
      <c r="D405" s="6" t="n">
        <v>6</v>
      </c>
      <c r="E405" s="9" t="s">
        <v>4553</v>
      </c>
      <c r="Q405" s="1" t="str">
        <f aca="false">IF($A405="","",IF(OR(F405="",I405=""),"",F405-I405))</f>
        <v/>
      </c>
      <c r="R405" s="1" t="str">
        <f aca="false">IF($A405="","",IF(Q405="","",Q405+IF(O405="",0,O405)))</f>
        <v/>
      </c>
      <c r="T405" s="1" t="str">
        <f aca="false">IF($A405="","",IF(R405="","",R405-IF(S405="",0,S405)))</f>
        <v/>
      </c>
      <c r="U405" s="1" t="str">
        <f aca="false">IF($A405="","",IF(I405="","",I405-SUM(J405:P405)))</f>
        <v/>
      </c>
      <c r="V405" s="6" t="s">
        <v>4554</v>
      </c>
      <c r="W405" s="9" t="s">
        <v>528</v>
      </c>
      <c r="X405" s="9" t="s">
        <v>4568</v>
      </c>
      <c r="AC405" s="9" t="s">
        <v>4369</v>
      </c>
      <c r="AD405" s="9" t="s">
        <v>4370</v>
      </c>
      <c r="AE405" s="9" t="s">
        <v>4371</v>
      </c>
    </row>
    <row r="406" customFormat="false" ht="15" hidden="false" customHeight="true" outlineLevel="0" collapsed="false">
      <c r="A406" s="6" t="s">
        <v>1806</v>
      </c>
      <c r="B406" s="6" t="s">
        <v>448</v>
      </c>
      <c r="C406" s="6" t="s">
        <v>454</v>
      </c>
      <c r="D406" s="6" t="n">
        <v>6</v>
      </c>
      <c r="E406" s="9" t="s">
        <v>4544</v>
      </c>
      <c r="F406" s="6" t="n">
        <v>159000</v>
      </c>
      <c r="G406" s="6" t="n">
        <v>137000</v>
      </c>
      <c r="H406" s="6" t="n">
        <v>22000</v>
      </c>
      <c r="I406" s="6" t="n">
        <v>76000</v>
      </c>
      <c r="J406" s="6" t="n">
        <v>14000</v>
      </c>
      <c r="K406" s="6" t="n">
        <v>9000</v>
      </c>
      <c r="L406" s="6" t="n">
        <v>13000</v>
      </c>
      <c r="M406" s="6" t="n">
        <v>0</v>
      </c>
      <c r="N406" s="6" t="n">
        <v>0</v>
      </c>
      <c r="O406" s="6" t="n">
        <v>36000</v>
      </c>
      <c r="P406" s="6" t="n">
        <v>1000</v>
      </c>
      <c r="Q406" s="1" t="n">
        <f aca="false">IF($A406="","",IF(OR(F406="",I406=""),"",F406-I406))</f>
        <v>83000</v>
      </c>
      <c r="R406" s="1" t="n">
        <f aca="false">IF($A406="","",IF(Q406="","",Q406+IF(O406="",0,O406)))</f>
        <v>119000</v>
      </c>
      <c r="T406" s="1" t="n">
        <f aca="false">IF($A406="","",IF(R406="","",R406-IF(S406="",0,S406)))</f>
        <v>119000</v>
      </c>
      <c r="U406" s="1" t="n">
        <f aca="false">IF($A406="","",IF(I406="","",I406-SUM(J406:P406)))</f>
        <v>3000</v>
      </c>
      <c r="V406" s="6" t="s">
        <v>4545</v>
      </c>
      <c r="W406" s="44" t="s">
        <v>1168</v>
      </c>
      <c r="X406" s="9" t="s">
        <v>4569</v>
      </c>
      <c r="AC406" s="9" t="s">
        <v>4369</v>
      </c>
      <c r="AD406" s="9" t="s">
        <v>4370</v>
      </c>
      <c r="AE406" s="9" t="s">
        <v>4408</v>
      </c>
    </row>
    <row r="407" customFormat="false" ht="15" hidden="false" customHeight="true" outlineLevel="0" collapsed="false">
      <c r="A407" s="6" t="s">
        <v>1809</v>
      </c>
      <c r="B407" s="6" t="s">
        <v>448</v>
      </c>
      <c r="C407" s="6" t="s">
        <v>454</v>
      </c>
      <c r="D407" s="6" t="n">
        <v>6</v>
      </c>
      <c r="E407" s="9" t="s">
        <v>4544</v>
      </c>
      <c r="F407" s="6" t="n">
        <v>107000</v>
      </c>
      <c r="G407" s="6" t="n">
        <v>93000</v>
      </c>
      <c r="H407" s="6" t="n">
        <v>14000</v>
      </c>
      <c r="I407" s="6" t="n">
        <v>52000</v>
      </c>
      <c r="J407" s="6" t="n">
        <v>16000</v>
      </c>
      <c r="K407" s="6" t="n">
        <v>6000</v>
      </c>
      <c r="L407" s="6" t="n">
        <v>5000</v>
      </c>
      <c r="M407" s="6" t="n">
        <v>0</v>
      </c>
      <c r="N407" s="6" t="n">
        <v>3000</v>
      </c>
      <c r="O407" s="6" t="n">
        <v>19000</v>
      </c>
      <c r="P407" s="6" t="n">
        <v>1000</v>
      </c>
      <c r="Q407" s="1" t="n">
        <f aca="false">IF($A407="","",IF(OR(F407="",I407=""),"",F407-I407))</f>
        <v>55000</v>
      </c>
      <c r="R407" s="1" t="n">
        <f aca="false">IF($A407="","",IF(Q407="","",Q407+IF(O407="",0,O407)))</f>
        <v>74000</v>
      </c>
      <c r="T407" s="1" t="n">
        <f aca="false">IF($A407="","",IF(R407="","",R407-IF(S407="",0,S407)))</f>
        <v>74000</v>
      </c>
      <c r="U407" s="1" t="n">
        <f aca="false">IF($A407="","",IF(I407="","",I407-SUM(J407:P407)))</f>
        <v>2000</v>
      </c>
      <c r="V407" s="6" t="s">
        <v>4545</v>
      </c>
      <c r="W407" s="44" t="s">
        <v>1168</v>
      </c>
      <c r="X407" s="9" t="s">
        <v>4570</v>
      </c>
      <c r="AC407" s="6" t="s">
        <v>4373</v>
      </c>
      <c r="AD407" s="9" t="s">
        <v>4424</v>
      </c>
      <c r="AE407" s="9" t="s">
        <v>4408</v>
      </c>
    </row>
    <row r="408" customFormat="false" ht="15" hidden="false" customHeight="true" outlineLevel="0" collapsed="false">
      <c r="A408" s="6" t="s">
        <v>1814</v>
      </c>
      <c r="B408" s="6" t="s">
        <v>448</v>
      </c>
      <c r="C408" s="6" t="s">
        <v>454</v>
      </c>
      <c r="D408" s="6" t="n">
        <v>6</v>
      </c>
      <c r="E408" s="9" t="s">
        <v>4544</v>
      </c>
      <c r="F408" s="6" t="n">
        <v>75000</v>
      </c>
      <c r="G408" s="6" t="n">
        <v>68000</v>
      </c>
      <c r="H408" s="6" t="n">
        <v>6000</v>
      </c>
      <c r="I408" s="6" t="n">
        <v>35000</v>
      </c>
      <c r="J408" s="6" t="n">
        <v>12000</v>
      </c>
      <c r="K408" s="6" t="n">
        <v>4000</v>
      </c>
      <c r="L408" s="6" t="n">
        <v>5000</v>
      </c>
      <c r="M408" s="6" t="n">
        <v>0</v>
      </c>
      <c r="N408" s="6" t="n">
        <v>1000</v>
      </c>
      <c r="O408" s="6" t="n">
        <v>10000</v>
      </c>
      <c r="P408" s="6" t="n">
        <v>0</v>
      </c>
      <c r="Q408" s="1" t="n">
        <f aca="false">IF($A408="","",IF(OR(F408="",I408=""),"",F408-I408))</f>
        <v>40000</v>
      </c>
      <c r="R408" s="1" t="n">
        <f aca="false">IF($A408="","",IF(Q408="","",Q408+IF(O408="",0,O408)))</f>
        <v>50000</v>
      </c>
      <c r="T408" s="1" t="n">
        <f aca="false">IF($A408="","",IF(R408="","",R408-IF(S408="",0,S408)))</f>
        <v>50000</v>
      </c>
      <c r="U408" s="1" t="n">
        <f aca="false">IF($A408="","",IF(I408="","",I408-SUM(J408:P408)))</f>
        <v>3000</v>
      </c>
      <c r="V408" s="6" t="s">
        <v>4545</v>
      </c>
      <c r="W408" s="44" t="s">
        <v>1168</v>
      </c>
      <c r="X408" s="9" t="s">
        <v>4571</v>
      </c>
      <c r="AC408" s="6" t="s">
        <v>4373</v>
      </c>
      <c r="AD408" s="9" t="s">
        <v>4424</v>
      </c>
      <c r="AE408" s="9" t="s">
        <v>4408</v>
      </c>
    </row>
    <row r="409" customFormat="false" ht="15" hidden="false" customHeight="true" outlineLevel="0" collapsed="false">
      <c r="A409" s="6" t="s">
        <v>1817</v>
      </c>
      <c r="B409" s="6" t="s">
        <v>448</v>
      </c>
      <c r="C409" s="6" t="s">
        <v>454</v>
      </c>
      <c r="D409" s="6" t="n">
        <v>6</v>
      </c>
      <c r="E409" s="9" t="s">
        <v>4544</v>
      </c>
      <c r="F409" s="6" t="n">
        <v>245000</v>
      </c>
      <c r="G409" s="6" t="n">
        <v>217000</v>
      </c>
      <c r="H409" s="6" t="n">
        <v>27000</v>
      </c>
      <c r="I409" s="6" t="n">
        <v>137000</v>
      </c>
      <c r="J409" s="6" t="n">
        <v>36000</v>
      </c>
      <c r="K409" s="6" t="n">
        <v>20000</v>
      </c>
      <c r="L409" s="6" t="n">
        <v>23000</v>
      </c>
      <c r="M409" s="6" t="n">
        <v>0</v>
      </c>
      <c r="N409" s="6" t="n">
        <v>2000</v>
      </c>
      <c r="O409" s="6" t="n">
        <v>50000</v>
      </c>
      <c r="P409" s="6" t="n">
        <v>2000</v>
      </c>
      <c r="Q409" s="1" t="n">
        <f aca="false">IF($A409="","",IF(OR(F409="",I409=""),"",F409-I409))</f>
        <v>108000</v>
      </c>
      <c r="R409" s="1" t="n">
        <f aca="false">IF($A409="","",IF(Q409="","",Q409+IF(O409="",0,O409)))</f>
        <v>158000</v>
      </c>
      <c r="T409" s="1" t="n">
        <f aca="false">IF($A409="","",IF(R409="","",R409-IF(S409="",0,S409)))</f>
        <v>158000</v>
      </c>
      <c r="U409" s="1" t="n">
        <f aca="false">IF($A409="","",IF(I409="","",I409-SUM(J409:P409)))</f>
        <v>4000</v>
      </c>
      <c r="V409" s="6" t="s">
        <v>4545</v>
      </c>
      <c r="W409" s="44" t="s">
        <v>1168</v>
      </c>
      <c r="X409" s="9" t="s">
        <v>4572</v>
      </c>
      <c r="AC409" s="9" t="s">
        <v>4369</v>
      </c>
      <c r="AD409" s="9" t="s">
        <v>4370</v>
      </c>
      <c r="AE409" s="9" t="s">
        <v>4408</v>
      </c>
    </row>
    <row r="410" customFormat="false" ht="15" hidden="false" customHeight="true" outlineLevel="0" collapsed="false">
      <c r="A410" s="6" t="s">
        <v>1820</v>
      </c>
      <c r="B410" s="6" t="s">
        <v>448</v>
      </c>
      <c r="C410" s="6" t="s">
        <v>454</v>
      </c>
      <c r="D410" s="6" t="n">
        <v>6</v>
      </c>
      <c r="E410" s="9" t="s">
        <v>4544</v>
      </c>
      <c r="F410" s="6" t="n">
        <v>458000</v>
      </c>
      <c r="G410" s="6" t="n">
        <v>399000</v>
      </c>
      <c r="H410" s="6" t="n">
        <v>59000</v>
      </c>
      <c r="I410" s="6" t="n">
        <v>276000</v>
      </c>
      <c r="J410" s="6" t="n">
        <v>83000</v>
      </c>
      <c r="K410" s="6" t="n">
        <v>32000</v>
      </c>
      <c r="L410" s="6" t="n">
        <v>69000</v>
      </c>
      <c r="M410" s="6" t="n">
        <v>0</v>
      </c>
      <c r="N410" s="6" t="n">
        <v>8000</v>
      </c>
      <c r="O410" s="6" t="n">
        <v>25000</v>
      </c>
      <c r="P410" s="6" t="n">
        <v>57000</v>
      </c>
      <c r="Q410" s="1" t="n">
        <f aca="false">IF($A410="","",IF(OR(F410="",I410=""),"",F410-I410))</f>
        <v>182000</v>
      </c>
      <c r="R410" s="1" t="n">
        <f aca="false">IF($A410="","",IF(Q410="","",Q410+IF(O410="",0,O410)))</f>
        <v>207000</v>
      </c>
      <c r="T410" s="1" t="n">
        <f aca="false">IF($A410="","",IF(R410="","",R410-IF(S410="",0,S410)))</f>
        <v>207000</v>
      </c>
      <c r="U410" s="1" t="n">
        <f aca="false">IF($A410="","",IF(I410="","",I410-SUM(J410:P410)))</f>
        <v>2000</v>
      </c>
      <c r="V410" s="6" t="s">
        <v>4545</v>
      </c>
      <c r="W410" s="44" t="s">
        <v>1168</v>
      </c>
      <c r="X410" s="9" t="s">
        <v>4573</v>
      </c>
      <c r="AC410" s="9" t="s">
        <v>4369</v>
      </c>
      <c r="AD410" s="9" t="s">
        <v>4370</v>
      </c>
      <c r="AE410" s="9" t="s">
        <v>4408</v>
      </c>
    </row>
    <row r="411" customFormat="false" ht="15" hidden="false" customHeight="true" outlineLevel="0" collapsed="false">
      <c r="A411" s="6" t="s">
        <v>1825</v>
      </c>
      <c r="B411" s="6" t="s">
        <v>448</v>
      </c>
      <c r="C411" s="6" t="s">
        <v>454</v>
      </c>
      <c r="D411" s="6" t="n">
        <v>6</v>
      </c>
      <c r="E411" s="9" t="s">
        <v>4544</v>
      </c>
      <c r="F411" s="6" t="n">
        <v>317000</v>
      </c>
      <c r="G411" s="6" t="n">
        <v>283000</v>
      </c>
      <c r="H411" s="6" t="n">
        <v>33000</v>
      </c>
      <c r="I411" s="6" t="n">
        <v>169000</v>
      </c>
      <c r="J411" s="6" t="n">
        <v>36000</v>
      </c>
      <c r="K411" s="6" t="n">
        <v>25000</v>
      </c>
      <c r="L411" s="6" t="n">
        <v>29000</v>
      </c>
      <c r="M411" s="6" t="n">
        <v>0</v>
      </c>
      <c r="N411" s="6" t="n">
        <v>54000</v>
      </c>
      <c r="O411" s="6" t="n">
        <v>20000</v>
      </c>
      <c r="P411" s="6" t="n">
        <v>2000</v>
      </c>
      <c r="Q411" s="1" t="n">
        <f aca="false">IF($A411="","",IF(OR(F411="",I411=""),"",F411-I411))</f>
        <v>148000</v>
      </c>
      <c r="R411" s="1" t="n">
        <f aca="false">IF($A411="","",IF(Q411="","",Q411+IF(O411="",0,O411)))</f>
        <v>168000</v>
      </c>
      <c r="T411" s="1" t="n">
        <f aca="false">IF($A411="","",IF(R411="","",R411-IF(S411="",0,S411)))</f>
        <v>168000</v>
      </c>
      <c r="U411" s="1" t="n">
        <f aca="false">IF($A411="","",IF(I411="","",I411-SUM(J411:P411)))</f>
        <v>3000</v>
      </c>
      <c r="V411" s="6" t="s">
        <v>4545</v>
      </c>
      <c r="W411" s="44" t="s">
        <v>1168</v>
      </c>
      <c r="X411" s="9" t="s">
        <v>4574</v>
      </c>
      <c r="AC411" s="9" t="s">
        <v>4369</v>
      </c>
      <c r="AD411" s="9" t="s">
        <v>4370</v>
      </c>
      <c r="AE411" s="9" t="s">
        <v>4408</v>
      </c>
    </row>
    <row r="412" customFormat="false" ht="15" hidden="false" customHeight="true" outlineLevel="0" collapsed="false">
      <c r="A412" s="6" t="s">
        <v>1828</v>
      </c>
      <c r="B412" s="6" t="s">
        <v>448</v>
      </c>
      <c r="C412" s="6" t="s">
        <v>454</v>
      </c>
      <c r="D412" s="6" t="n">
        <v>6</v>
      </c>
      <c r="E412" s="9" t="s">
        <v>4544</v>
      </c>
      <c r="F412" s="6" t="n">
        <v>173000</v>
      </c>
      <c r="G412" s="6" t="n">
        <v>159000</v>
      </c>
      <c r="H412" s="6" t="n">
        <v>13000</v>
      </c>
      <c r="I412" s="6" t="n">
        <v>68000</v>
      </c>
      <c r="J412" s="6" t="n">
        <v>23000</v>
      </c>
      <c r="K412" s="6" t="n">
        <v>1000</v>
      </c>
      <c r="L412" s="6" t="n">
        <v>8000</v>
      </c>
      <c r="M412" s="6" t="n">
        <v>0</v>
      </c>
      <c r="N412" s="6" t="n">
        <v>6000</v>
      </c>
      <c r="O412" s="6" t="n">
        <v>25000</v>
      </c>
      <c r="P412" s="6" t="n">
        <v>3000</v>
      </c>
      <c r="Q412" s="1" t="n">
        <f aca="false">IF($A412="","",IF(OR(F412="",I412=""),"",F412-I412))</f>
        <v>105000</v>
      </c>
      <c r="R412" s="1" t="n">
        <f aca="false">IF($A412="","",IF(Q412="","",Q412+IF(O412="",0,O412)))</f>
        <v>130000</v>
      </c>
      <c r="T412" s="1" t="n">
        <f aca="false">IF($A412="","",IF(R412="","",R412-IF(S412="",0,S412)))</f>
        <v>130000</v>
      </c>
      <c r="U412" s="1" t="n">
        <f aca="false">IF($A412="","",IF(I412="","",I412-SUM(J412:P412)))</f>
        <v>2000</v>
      </c>
      <c r="V412" s="6" t="s">
        <v>4545</v>
      </c>
      <c r="W412" s="44" t="s">
        <v>1168</v>
      </c>
      <c r="X412" s="9" t="s">
        <v>4575</v>
      </c>
      <c r="AC412" s="9" t="s">
        <v>4369</v>
      </c>
      <c r="AD412" s="9" t="s">
        <v>4370</v>
      </c>
      <c r="AE412" s="9" t="s">
        <v>4408</v>
      </c>
    </row>
    <row r="413" customFormat="false" ht="15" hidden="false" customHeight="true" outlineLevel="0" collapsed="false">
      <c r="A413" s="6" t="s">
        <v>1831</v>
      </c>
      <c r="B413" s="6" t="s">
        <v>448</v>
      </c>
      <c r="C413" s="6" t="s">
        <v>454</v>
      </c>
      <c r="D413" s="6" t="n">
        <v>6</v>
      </c>
      <c r="E413" s="9" t="s">
        <v>4544</v>
      </c>
      <c r="F413" s="6" t="n">
        <v>62000</v>
      </c>
      <c r="G413" s="6" t="n">
        <v>56000</v>
      </c>
      <c r="H413" s="6" t="n">
        <v>6000</v>
      </c>
      <c r="I413" s="6" t="n">
        <v>19000</v>
      </c>
      <c r="J413" s="6" t="n">
        <v>6000</v>
      </c>
      <c r="K413" s="6" t="n">
        <v>1000</v>
      </c>
      <c r="L413" s="6" t="n">
        <v>3000</v>
      </c>
      <c r="M413" s="6" t="n">
        <v>0</v>
      </c>
      <c r="N413" s="6" t="n">
        <v>1000</v>
      </c>
      <c r="O413" s="6" t="n">
        <v>6000</v>
      </c>
      <c r="P413" s="6" t="n">
        <v>0</v>
      </c>
      <c r="Q413" s="1" t="n">
        <f aca="false">IF($A413="","",IF(OR(F413="",I413=""),"",F413-I413))</f>
        <v>43000</v>
      </c>
      <c r="R413" s="1" t="n">
        <f aca="false">IF($A413="","",IF(Q413="","",Q413+IF(O413="",0,O413)))</f>
        <v>49000</v>
      </c>
      <c r="T413" s="1" t="n">
        <f aca="false">IF($A413="","",IF(R413="","",R413-IF(S413="",0,S413)))</f>
        <v>49000</v>
      </c>
      <c r="U413" s="1" t="n">
        <f aca="false">IF($A413="","",IF(I413="","",I413-SUM(J413:P413)))</f>
        <v>2000</v>
      </c>
      <c r="V413" s="6" t="s">
        <v>4545</v>
      </c>
      <c r="W413" s="44" t="s">
        <v>1168</v>
      </c>
      <c r="X413" s="9" t="s">
        <v>4576</v>
      </c>
      <c r="AC413" s="9" t="s">
        <v>4369</v>
      </c>
      <c r="AD413" s="9" t="s">
        <v>4370</v>
      </c>
      <c r="AE413" s="9" t="s">
        <v>4408</v>
      </c>
    </row>
    <row r="414" customFormat="false" ht="15" hidden="false" customHeight="true" outlineLevel="0" collapsed="false">
      <c r="A414" s="6" t="s">
        <v>1834</v>
      </c>
      <c r="B414" s="6" t="s">
        <v>448</v>
      </c>
      <c r="C414" s="6" t="s">
        <v>454</v>
      </c>
      <c r="D414" s="6" t="n">
        <v>6</v>
      </c>
      <c r="E414" s="9" t="s">
        <v>4544</v>
      </c>
      <c r="F414" s="6" t="n">
        <v>40000</v>
      </c>
      <c r="G414" s="6" t="n">
        <v>37000</v>
      </c>
      <c r="H414" s="6" t="n">
        <v>3000</v>
      </c>
      <c r="I414" s="6" t="n">
        <v>44000</v>
      </c>
      <c r="J414" s="6" t="n">
        <v>5000</v>
      </c>
      <c r="K414" s="6" t="n">
        <v>0</v>
      </c>
      <c r="L414" s="6" t="n">
        <v>2000</v>
      </c>
      <c r="M414" s="6" t="n">
        <v>0</v>
      </c>
      <c r="N414" s="6" t="n">
        <v>30000</v>
      </c>
      <c r="O414" s="6" t="n">
        <v>5000</v>
      </c>
      <c r="P414" s="6" t="n">
        <v>0</v>
      </c>
      <c r="Q414" s="1" t="n">
        <f aca="false">IF($A414="","",IF(OR(F414="",I414=""),"",F414-I414))</f>
        <v>-4000</v>
      </c>
      <c r="R414" s="1" t="n">
        <f aca="false">IF($A414="","",IF(Q414="","",Q414+IF(O414="",0,O414)))</f>
        <v>1000</v>
      </c>
      <c r="T414" s="1" t="n">
        <f aca="false">IF($A414="","",IF(R414="","",R414-IF(S414="",0,S414)))</f>
        <v>1000</v>
      </c>
      <c r="U414" s="1" t="n">
        <f aca="false">IF($A414="","",IF(I414="","",I414-SUM(J414:P414)))</f>
        <v>2000</v>
      </c>
      <c r="V414" s="6" t="s">
        <v>4545</v>
      </c>
      <c r="W414" s="44" t="s">
        <v>1168</v>
      </c>
      <c r="X414" s="9" t="s">
        <v>4577</v>
      </c>
      <c r="AC414" s="9" t="s">
        <v>4369</v>
      </c>
      <c r="AD414" s="9" t="s">
        <v>4370</v>
      </c>
      <c r="AE414" s="9" t="s">
        <v>4445</v>
      </c>
    </row>
    <row r="415" customFormat="false" ht="15" hidden="false" customHeight="true" outlineLevel="0" collapsed="false">
      <c r="A415" s="6" t="s">
        <v>1837</v>
      </c>
      <c r="B415" s="6" t="s">
        <v>448</v>
      </c>
      <c r="C415" s="6" t="s">
        <v>454</v>
      </c>
      <c r="D415" s="6" t="n">
        <v>6</v>
      </c>
      <c r="E415" s="9" t="s">
        <v>4544</v>
      </c>
      <c r="F415" s="6" t="n">
        <v>38000</v>
      </c>
      <c r="G415" s="6" t="n">
        <v>35000</v>
      </c>
      <c r="H415" s="6" t="n">
        <v>3000</v>
      </c>
      <c r="I415" s="6" t="n">
        <v>35000</v>
      </c>
      <c r="J415" s="6" t="n">
        <v>5000</v>
      </c>
      <c r="K415" s="6" t="n">
        <v>0</v>
      </c>
      <c r="L415" s="6" t="n">
        <v>2000</v>
      </c>
      <c r="M415" s="6" t="n">
        <v>0</v>
      </c>
      <c r="N415" s="6" t="n">
        <v>20000</v>
      </c>
      <c r="O415" s="6" t="n">
        <v>7000</v>
      </c>
      <c r="P415" s="6" t="n">
        <v>0</v>
      </c>
      <c r="Q415" s="1" t="n">
        <f aca="false">IF($A415="","",IF(OR(F415="",I415=""),"",F415-I415))</f>
        <v>3000</v>
      </c>
      <c r="R415" s="1" t="n">
        <f aca="false">IF($A415="","",IF(Q415="","",Q415+IF(O415="",0,O415)))</f>
        <v>10000</v>
      </c>
      <c r="T415" s="1" t="n">
        <f aca="false">IF($A415="","",IF(R415="","",R415-IF(S415="",0,S415)))</f>
        <v>10000</v>
      </c>
      <c r="U415" s="1" t="n">
        <f aca="false">IF($A415="","",IF(I415="","",I415-SUM(J415:P415)))</f>
        <v>1000</v>
      </c>
      <c r="V415" s="6" t="s">
        <v>4545</v>
      </c>
      <c r="W415" s="44" t="s">
        <v>1168</v>
      </c>
      <c r="X415" s="9" t="s">
        <v>4578</v>
      </c>
      <c r="AC415" s="9" t="s">
        <v>4369</v>
      </c>
      <c r="AD415" s="9" t="s">
        <v>4370</v>
      </c>
      <c r="AE415" s="9" t="s">
        <v>4445</v>
      </c>
    </row>
    <row r="416" customFormat="false" ht="15" hidden="false" customHeight="true" outlineLevel="0" collapsed="false">
      <c r="A416" s="6" t="s">
        <v>1840</v>
      </c>
      <c r="B416" s="6" t="s">
        <v>448</v>
      </c>
      <c r="C416" s="6" t="s">
        <v>454</v>
      </c>
      <c r="D416" s="6" t="n">
        <v>6</v>
      </c>
      <c r="E416" s="9" t="s">
        <v>4544</v>
      </c>
      <c r="F416" s="6" t="n">
        <v>173000</v>
      </c>
      <c r="G416" s="6" t="n">
        <v>169000</v>
      </c>
      <c r="H416" s="6" t="n">
        <v>3000</v>
      </c>
      <c r="I416" s="6" t="n">
        <v>101000</v>
      </c>
      <c r="J416" s="6" t="n">
        <v>16000</v>
      </c>
      <c r="K416" s="6" t="n">
        <v>1000</v>
      </c>
      <c r="L416" s="6" t="n">
        <v>8000</v>
      </c>
      <c r="M416" s="6" t="n">
        <v>0</v>
      </c>
      <c r="N416" s="6" t="n">
        <v>45000</v>
      </c>
      <c r="O416" s="6" t="n">
        <v>26000</v>
      </c>
      <c r="P416" s="6" t="n">
        <v>1000</v>
      </c>
      <c r="Q416" s="1" t="n">
        <f aca="false">IF($A416="","",IF(OR(F416="",I416=""),"",F416-I416))</f>
        <v>72000</v>
      </c>
      <c r="R416" s="1" t="n">
        <f aca="false">IF($A416="","",IF(Q416="","",Q416+IF(O416="",0,O416)))</f>
        <v>98000</v>
      </c>
      <c r="T416" s="1" t="n">
        <f aca="false">IF($A416="","",IF(R416="","",R416-IF(S416="",0,S416)))</f>
        <v>98000</v>
      </c>
      <c r="U416" s="1" t="n">
        <f aca="false">IF($A416="","",IF(I416="","",I416-SUM(J416:P416)))</f>
        <v>4000</v>
      </c>
      <c r="V416" s="6" t="s">
        <v>4545</v>
      </c>
      <c r="W416" s="44" t="s">
        <v>1168</v>
      </c>
      <c r="X416" s="9" t="s">
        <v>4579</v>
      </c>
      <c r="AC416" s="9" t="s">
        <v>4369</v>
      </c>
      <c r="AD416" s="9" t="s">
        <v>4370</v>
      </c>
      <c r="AE416" s="9" t="s">
        <v>4408</v>
      </c>
    </row>
    <row r="417" customFormat="false" ht="15" hidden="false" customHeight="true" outlineLevel="0" collapsed="false">
      <c r="A417" s="6" t="s">
        <v>1843</v>
      </c>
      <c r="B417" s="6" t="s">
        <v>448</v>
      </c>
      <c r="C417" s="6" t="s">
        <v>454</v>
      </c>
      <c r="D417" s="6" t="n">
        <v>6</v>
      </c>
      <c r="E417" s="9" t="s">
        <v>4544</v>
      </c>
      <c r="F417" s="6" t="n">
        <v>61000</v>
      </c>
      <c r="G417" s="6" t="n">
        <v>58000</v>
      </c>
      <c r="H417" s="6" t="n">
        <v>3000</v>
      </c>
      <c r="I417" s="6" t="n">
        <v>55000</v>
      </c>
      <c r="J417" s="6" t="n">
        <v>5000</v>
      </c>
      <c r="K417" s="6" t="n">
        <v>0</v>
      </c>
      <c r="L417" s="6" t="n">
        <v>3000</v>
      </c>
      <c r="M417" s="6" t="n">
        <v>0</v>
      </c>
      <c r="N417" s="6" t="n">
        <v>35000</v>
      </c>
      <c r="O417" s="6" t="n">
        <v>9000</v>
      </c>
      <c r="P417" s="6" t="n">
        <v>1000</v>
      </c>
      <c r="Q417" s="1" t="n">
        <f aca="false">IF($A417="","",IF(OR(F417="",I417=""),"",F417-I417))</f>
        <v>6000</v>
      </c>
      <c r="R417" s="1" t="n">
        <f aca="false">IF($A417="","",IF(Q417="","",Q417+IF(O417="",0,O417)))</f>
        <v>15000</v>
      </c>
      <c r="T417" s="1" t="n">
        <f aca="false">IF($A417="","",IF(R417="","",R417-IF(S417="",0,S417)))</f>
        <v>15000</v>
      </c>
      <c r="U417" s="1" t="n">
        <f aca="false">IF($A417="","",IF(I417="","",I417-SUM(J417:P417)))</f>
        <v>2000</v>
      </c>
      <c r="V417" s="6" t="s">
        <v>4545</v>
      </c>
      <c r="W417" s="44" t="s">
        <v>1168</v>
      </c>
      <c r="X417" s="9" t="s">
        <v>4580</v>
      </c>
      <c r="AC417" s="9" t="s">
        <v>4369</v>
      </c>
      <c r="AD417" s="9" t="s">
        <v>4370</v>
      </c>
      <c r="AE417" s="9" t="s">
        <v>4408</v>
      </c>
    </row>
    <row r="418" customFormat="false" ht="15" hidden="false" customHeight="true" outlineLevel="0" collapsed="false">
      <c r="A418" s="6" t="s">
        <v>1846</v>
      </c>
      <c r="B418" s="6" t="s">
        <v>448</v>
      </c>
      <c r="C418" s="6" t="s">
        <v>454</v>
      </c>
      <c r="D418" s="6" t="n">
        <v>6</v>
      </c>
      <c r="E418" s="9" t="s">
        <v>4544</v>
      </c>
      <c r="F418" s="6" t="n">
        <v>69000</v>
      </c>
      <c r="G418" s="6" t="n">
        <v>36000</v>
      </c>
      <c r="H418" s="6" t="n">
        <v>33000</v>
      </c>
      <c r="I418" s="6" t="n">
        <v>48000</v>
      </c>
      <c r="J418" s="6" t="n">
        <v>4000</v>
      </c>
      <c r="K418" s="6" t="n">
        <v>0</v>
      </c>
      <c r="L418" s="6" t="n">
        <v>1000</v>
      </c>
      <c r="M418" s="6" t="n">
        <v>0</v>
      </c>
      <c r="N418" s="6" t="n">
        <v>2000</v>
      </c>
      <c r="O418" s="6" t="n">
        <v>6000</v>
      </c>
      <c r="P418" s="6" t="n">
        <v>31000</v>
      </c>
      <c r="Q418" s="1" t="n">
        <f aca="false">IF($A418="","",IF(OR(F418="",I418=""),"",F418-I418))</f>
        <v>21000</v>
      </c>
      <c r="R418" s="1" t="n">
        <f aca="false">IF($A418="","",IF(Q418="","",Q418+IF(O418="",0,O418)))</f>
        <v>27000</v>
      </c>
      <c r="T418" s="1" t="n">
        <f aca="false">IF($A418="","",IF(R418="","",R418-IF(S418="",0,S418)))</f>
        <v>27000</v>
      </c>
      <c r="U418" s="1" t="n">
        <f aca="false">IF($A418="","",IF(I418="","",I418-SUM(J418:P418)))</f>
        <v>4000</v>
      </c>
      <c r="V418" s="6" t="s">
        <v>4545</v>
      </c>
      <c r="W418" s="44" t="s">
        <v>1168</v>
      </c>
      <c r="X418" s="9" t="s">
        <v>4581</v>
      </c>
      <c r="AC418" s="9" t="s">
        <v>4369</v>
      </c>
      <c r="AD418" s="9" t="s">
        <v>4370</v>
      </c>
      <c r="AE418" s="9" t="s">
        <v>4408</v>
      </c>
    </row>
    <row r="419" customFormat="false" ht="15" hidden="false" customHeight="true" outlineLevel="0" collapsed="false">
      <c r="A419" s="6" t="s">
        <v>1849</v>
      </c>
      <c r="B419" s="6" t="s">
        <v>448</v>
      </c>
      <c r="C419" s="6" t="s">
        <v>454</v>
      </c>
      <c r="D419" s="6" t="n">
        <v>6</v>
      </c>
      <c r="E419" s="9" t="s">
        <v>4544</v>
      </c>
      <c r="F419" s="6" t="n">
        <v>53000</v>
      </c>
      <c r="G419" s="6" t="n">
        <v>51000</v>
      </c>
      <c r="H419" s="6" t="n">
        <v>1000</v>
      </c>
      <c r="I419" s="6" t="n">
        <v>15000</v>
      </c>
      <c r="J419" s="6" t="n">
        <v>4000</v>
      </c>
      <c r="K419" s="6" t="n">
        <v>0</v>
      </c>
      <c r="L419" s="6" t="n">
        <v>2000</v>
      </c>
      <c r="M419" s="6" t="n">
        <v>0</v>
      </c>
      <c r="N419" s="6" t="n">
        <v>2000</v>
      </c>
      <c r="O419" s="6" t="n">
        <v>5000</v>
      </c>
      <c r="P419" s="6" t="n">
        <v>0</v>
      </c>
      <c r="Q419" s="1" t="n">
        <f aca="false">IF($A419="","",IF(OR(F419="",I419=""),"",F419-I419))</f>
        <v>38000</v>
      </c>
      <c r="R419" s="1" t="n">
        <f aca="false">IF($A419="","",IF(Q419="","",Q419+IF(O419="",0,O419)))</f>
        <v>43000</v>
      </c>
      <c r="T419" s="1" t="n">
        <f aca="false">IF($A419="","",IF(R419="","",R419-IF(S419="",0,S419)))</f>
        <v>43000</v>
      </c>
      <c r="U419" s="1" t="n">
        <f aca="false">IF($A419="","",IF(I419="","",I419-SUM(J419:P419)))</f>
        <v>2000</v>
      </c>
      <c r="V419" s="6" t="s">
        <v>4545</v>
      </c>
      <c r="W419" s="44" t="s">
        <v>1168</v>
      </c>
      <c r="X419" s="9" t="s">
        <v>4582</v>
      </c>
      <c r="AC419" s="9" t="s">
        <v>4369</v>
      </c>
      <c r="AD419" s="9" t="s">
        <v>4370</v>
      </c>
      <c r="AE419" s="9" t="s">
        <v>4408</v>
      </c>
    </row>
    <row r="420" customFormat="false" ht="15" hidden="false" customHeight="true" outlineLevel="0" collapsed="false">
      <c r="A420" s="6" t="s">
        <v>1852</v>
      </c>
      <c r="B420" s="6" t="s">
        <v>448</v>
      </c>
      <c r="C420" s="6" t="s">
        <v>454</v>
      </c>
      <c r="D420" s="6" t="n">
        <v>6</v>
      </c>
      <c r="E420" s="9" t="s">
        <v>4544</v>
      </c>
      <c r="F420" s="6" t="n">
        <v>62000</v>
      </c>
      <c r="G420" s="6" t="n">
        <v>56000</v>
      </c>
      <c r="H420" s="6" t="n">
        <v>6000</v>
      </c>
      <c r="I420" s="6" t="n">
        <v>23000</v>
      </c>
      <c r="J420" s="6" t="n">
        <v>5000</v>
      </c>
      <c r="K420" s="6" t="n">
        <v>1000</v>
      </c>
      <c r="L420" s="6" t="n">
        <v>3000</v>
      </c>
      <c r="M420" s="6" t="n">
        <v>0</v>
      </c>
      <c r="N420" s="6" t="n">
        <v>2000</v>
      </c>
      <c r="O420" s="6" t="n">
        <v>10000</v>
      </c>
      <c r="P420" s="6" t="n">
        <v>0</v>
      </c>
      <c r="Q420" s="1" t="n">
        <f aca="false">IF($A420="","",IF(OR(F420="",I420=""),"",F420-I420))</f>
        <v>39000</v>
      </c>
      <c r="R420" s="1" t="n">
        <f aca="false">IF($A420="","",IF(Q420="","",Q420+IF(O420="",0,O420)))</f>
        <v>49000</v>
      </c>
      <c r="T420" s="1" t="n">
        <f aca="false">IF($A420="","",IF(R420="","",R420-IF(S420="",0,S420)))</f>
        <v>49000</v>
      </c>
      <c r="U420" s="1" t="n">
        <f aca="false">IF($A420="","",IF(I420="","",I420-SUM(J420:P420)))</f>
        <v>2000</v>
      </c>
      <c r="V420" s="6" t="s">
        <v>4545</v>
      </c>
      <c r="W420" s="44" t="s">
        <v>1168</v>
      </c>
      <c r="X420" s="9" t="s">
        <v>4583</v>
      </c>
      <c r="AC420" s="9" t="s">
        <v>4369</v>
      </c>
      <c r="AD420" s="9" t="s">
        <v>4370</v>
      </c>
      <c r="AE420" s="9" t="s">
        <v>4408</v>
      </c>
    </row>
    <row r="421" customFormat="false" ht="15" hidden="false" customHeight="true" outlineLevel="0" collapsed="false">
      <c r="A421" s="6" t="s">
        <v>1855</v>
      </c>
      <c r="B421" s="6" t="s">
        <v>448</v>
      </c>
      <c r="C421" s="6" t="s">
        <v>454</v>
      </c>
      <c r="D421" s="6" t="n">
        <v>6</v>
      </c>
      <c r="E421" s="9" t="s">
        <v>4544</v>
      </c>
      <c r="F421" s="6" t="n">
        <v>75000</v>
      </c>
      <c r="G421" s="6" t="n">
        <v>71000</v>
      </c>
      <c r="H421" s="6" t="n">
        <v>4000</v>
      </c>
      <c r="I421" s="6" t="n">
        <v>31000</v>
      </c>
      <c r="J421" s="6" t="n">
        <v>7000</v>
      </c>
      <c r="K421" s="6" t="n">
        <v>0</v>
      </c>
      <c r="L421" s="6" t="n">
        <v>3000</v>
      </c>
      <c r="M421" s="6" t="n">
        <v>0</v>
      </c>
      <c r="N421" s="6" t="n">
        <v>3000</v>
      </c>
      <c r="O421" s="6" t="n">
        <v>15000</v>
      </c>
      <c r="P421" s="6" t="n">
        <v>1000</v>
      </c>
      <c r="Q421" s="1" t="n">
        <f aca="false">IF($A421="","",IF(OR(F421="",I421=""),"",F421-I421))</f>
        <v>44000</v>
      </c>
      <c r="R421" s="1" t="n">
        <f aca="false">IF($A421="","",IF(Q421="","",Q421+IF(O421="",0,O421)))</f>
        <v>59000</v>
      </c>
      <c r="T421" s="1" t="n">
        <f aca="false">IF($A421="","",IF(R421="","",R421-IF(S421="",0,S421)))</f>
        <v>59000</v>
      </c>
      <c r="U421" s="1" t="n">
        <f aca="false">IF($A421="","",IF(I421="","",I421-SUM(J421:P421)))</f>
        <v>2000</v>
      </c>
      <c r="V421" s="6" t="s">
        <v>4545</v>
      </c>
      <c r="W421" s="44" t="s">
        <v>1168</v>
      </c>
      <c r="X421" s="9" t="s">
        <v>4584</v>
      </c>
      <c r="AC421" s="9" t="s">
        <v>4369</v>
      </c>
      <c r="AD421" s="9" t="s">
        <v>4370</v>
      </c>
      <c r="AE421" s="9" t="s">
        <v>4408</v>
      </c>
    </row>
    <row r="422" customFormat="false" ht="15" hidden="false" customHeight="true" outlineLevel="0" collapsed="false">
      <c r="A422" s="6" t="s">
        <v>1858</v>
      </c>
      <c r="B422" s="6" t="s">
        <v>448</v>
      </c>
      <c r="C422" s="6" t="s">
        <v>454</v>
      </c>
      <c r="D422" s="6" t="n">
        <v>6</v>
      </c>
      <c r="E422" s="9" t="s">
        <v>4544</v>
      </c>
      <c r="F422" s="6" t="n">
        <v>63000</v>
      </c>
      <c r="G422" s="6" t="n">
        <v>59000</v>
      </c>
      <c r="H422" s="6" t="n">
        <v>4000</v>
      </c>
      <c r="I422" s="6" t="n">
        <v>19000</v>
      </c>
      <c r="J422" s="6" t="n">
        <v>5000</v>
      </c>
      <c r="K422" s="6" t="n">
        <v>1000</v>
      </c>
      <c r="L422" s="6" t="n">
        <v>2000</v>
      </c>
      <c r="M422" s="6" t="n">
        <v>0</v>
      </c>
      <c r="N422" s="6" t="n">
        <v>0</v>
      </c>
      <c r="O422" s="6" t="n">
        <v>9000</v>
      </c>
      <c r="P422" s="6" t="n">
        <v>0</v>
      </c>
      <c r="Q422" s="1" t="n">
        <f aca="false">IF($A422="","",IF(OR(F422="",I422=""),"",F422-I422))</f>
        <v>44000</v>
      </c>
      <c r="R422" s="1" t="n">
        <f aca="false">IF($A422="","",IF(Q422="","",Q422+IF(O422="",0,O422)))</f>
        <v>53000</v>
      </c>
      <c r="T422" s="1" t="n">
        <f aca="false">IF($A422="","",IF(R422="","",R422-IF(S422="",0,S422)))</f>
        <v>53000</v>
      </c>
      <c r="U422" s="1" t="n">
        <f aca="false">IF($A422="","",IF(I422="","",I422-SUM(J422:P422)))</f>
        <v>2000</v>
      </c>
      <c r="V422" s="6" t="s">
        <v>4545</v>
      </c>
      <c r="W422" s="44" t="s">
        <v>1168</v>
      </c>
      <c r="X422" s="9" t="s">
        <v>4585</v>
      </c>
      <c r="AC422" s="9" t="s">
        <v>4369</v>
      </c>
      <c r="AD422" s="9" t="s">
        <v>4370</v>
      </c>
      <c r="AE422" s="9" t="s">
        <v>4408</v>
      </c>
    </row>
    <row r="423" customFormat="false" ht="15" hidden="false" customHeight="true" outlineLevel="0" collapsed="false">
      <c r="A423" s="6" t="s">
        <v>1861</v>
      </c>
      <c r="B423" s="6" t="s">
        <v>448</v>
      </c>
      <c r="C423" s="6" t="s">
        <v>454</v>
      </c>
      <c r="D423" s="6" t="n">
        <v>6</v>
      </c>
      <c r="E423" s="9" t="s">
        <v>4544</v>
      </c>
      <c r="F423" s="6" t="n">
        <v>48000</v>
      </c>
      <c r="G423" s="6" t="n">
        <v>46000</v>
      </c>
      <c r="H423" s="6" t="n">
        <v>1000</v>
      </c>
      <c r="I423" s="6" t="n">
        <v>68000</v>
      </c>
      <c r="J423" s="6" t="n">
        <v>6000</v>
      </c>
      <c r="K423" s="6" t="n">
        <v>0</v>
      </c>
      <c r="L423" s="6" t="n">
        <v>1000</v>
      </c>
      <c r="M423" s="6" t="n">
        <v>0</v>
      </c>
      <c r="N423" s="6" t="n">
        <v>51000</v>
      </c>
      <c r="O423" s="6" t="n">
        <v>7000</v>
      </c>
      <c r="P423" s="6" t="n">
        <v>0</v>
      </c>
      <c r="Q423" s="1" t="n">
        <f aca="false">IF($A423="","",IF(OR(F423="",I423=""),"",F423-I423))</f>
        <v>-20000</v>
      </c>
      <c r="R423" s="1" t="n">
        <f aca="false">IF($A423="","",IF(Q423="","",Q423+IF(O423="",0,O423)))</f>
        <v>-13000</v>
      </c>
      <c r="T423" s="1" t="n">
        <f aca="false">IF($A423="","",IF(R423="","",R423-IF(S423="",0,S423)))</f>
        <v>-13000</v>
      </c>
      <c r="U423" s="1" t="n">
        <f aca="false">IF($A423="","",IF(I423="","",I423-SUM(J423:P423)))</f>
        <v>3000</v>
      </c>
      <c r="V423" s="6" t="s">
        <v>4545</v>
      </c>
      <c r="W423" s="44" t="s">
        <v>1168</v>
      </c>
      <c r="X423" s="9" t="s">
        <v>4586</v>
      </c>
      <c r="AC423" s="9" t="s">
        <v>4369</v>
      </c>
      <c r="AD423" s="9" t="s">
        <v>4370</v>
      </c>
      <c r="AE423" s="9" t="s">
        <v>4445</v>
      </c>
    </row>
    <row r="424" customFormat="false" ht="15" hidden="false" customHeight="true" outlineLevel="0" collapsed="false">
      <c r="A424" s="6" t="s">
        <v>1864</v>
      </c>
      <c r="B424" s="6" t="s">
        <v>448</v>
      </c>
      <c r="C424" s="6" t="s">
        <v>454</v>
      </c>
      <c r="D424" s="6" t="n">
        <v>6</v>
      </c>
      <c r="E424" s="9" t="s">
        <v>4544</v>
      </c>
      <c r="F424" s="6" t="n">
        <v>53000</v>
      </c>
      <c r="G424" s="6" t="n">
        <v>47000</v>
      </c>
      <c r="H424" s="6" t="n">
        <v>5000</v>
      </c>
      <c r="I424" s="6" t="n">
        <v>32000</v>
      </c>
      <c r="J424" s="6" t="n">
        <v>6000</v>
      </c>
      <c r="K424" s="6" t="n">
        <v>0</v>
      </c>
      <c r="L424" s="6" t="n">
        <v>3000</v>
      </c>
      <c r="M424" s="6" t="n">
        <v>0</v>
      </c>
      <c r="N424" s="6" t="n">
        <v>8000</v>
      </c>
      <c r="O424" s="6" t="n">
        <v>11000</v>
      </c>
      <c r="P424" s="6" t="n">
        <v>1000</v>
      </c>
      <c r="Q424" s="1" t="n">
        <f aca="false">IF($A424="","",IF(OR(F424="",I424=""),"",F424-I424))</f>
        <v>21000</v>
      </c>
      <c r="R424" s="1" t="n">
        <f aca="false">IF($A424="","",IF(Q424="","",Q424+IF(O424="",0,O424)))</f>
        <v>32000</v>
      </c>
      <c r="T424" s="1" t="n">
        <f aca="false">IF($A424="","",IF(R424="","",R424-IF(S424="",0,S424)))</f>
        <v>32000</v>
      </c>
      <c r="U424" s="1" t="n">
        <f aca="false">IF($A424="","",IF(I424="","",I424-SUM(J424:P424)))</f>
        <v>3000</v>
      </c>
      <c r="V424" s="6" t="s">
        <v>4545</v>
      </c>
      <c r="W424" s="44" t="s">
        <v>1168</v>
      </c>
      <c r="X424" s="9" t="s">
        <v>4587</v>
      </c>
      <c r="AC424" s="9" t="s">
        <v>4369</v>
      </c>
      <c r="AD424" s="9" t="s">
        <v>4370</v>
      </c>
      <c r="AE424" s="9" t="s">
        <v>4408</v>
      </c>
    </row>
    <row r="425" customFormat="false" ht="15" hidden="false" customHeight="true" outlineLevel="0" collapsed="false">
      <c r="A425" s="6" t="s">
        <v>1867</v>
      </c>
      <c r="B425" s="6" t="s">
        <v>448</v>
      </c>
      <c r="C425" s="6" t="s">
        <v>454</v>
      </c>
      <c r="D425" s="6" t="n">
        <v>6</v>
      </c>
      <c r="E425" s="9" t="s">
        <v>4544</v>
      </c>
      <c r="F425" s="6" t="n">
        <v>46000</v>
      </c>
      <c r="G425" s="6" t="n">
        <v>43000</v>
      </c>
      <c r="H425" s="6" t="n">
        <v>3000</v>
      </c>
      <c r="I425" s="6" t="n">
        <v>24000</v>
      </c>
      <c r="J425" s="6" t="n">
        <v>7000</v>
      </c>
      <c r="K425" s="6" t="n">
        <v>0</v>
      </c>
      <c r="L425" s="6" t="n">
        <v>2000</v>
      </c>
      <c r="M425" s="6" t="n">
        <v>0</v>
      </c>
      <c r="N425" s="6" t="n">
        <v>4000</v>
      </c>
      <c r="O425" s="6" t="n">
        <v>8000</v>
      </c>
      <c r="P425" s="6" t="n">
        <v>1000</v>
      </c>
      <c r="Q425" s="1" t="n">
        <f aca="false">IF($A425="","",IF(OR(F425="",I425=""),"",F425-I425))</f>
        <v>22000</v>
      </c>
      <c r="R425" s="1" t="n">
        <f aca="false">IF($A425="","",IF(Q425="","",Q425+IF(O425="",0,O425)))</f>
        <v>30000</v>
      </c>
      <c r="T425" s="1" t="n">
        <f aca="false">IF($A425="","",IF(R425="","",R425-IF(S425="",0,S425)))</f>
        <v>30000</v>
      </c>
      <c r="U425" s="1" t="n">
        <f aca="false">IF($A425="","",IF(I425="","",I425-SUM(J425:P425)))</f>
        <v>2000</v>
      </c>
      <c r="V425" s="6" t="s">
        <v>4545</v>
      </c>
      <c r="W425" s="44" t="s">
        <v>1168</v>
      </c>
      <c r="X425" s="9" t="s">
        <v>4588</v>
      </c>
      <c r="AC425" s="9" t="s">
        <v>4369</v>
      </c>
      <c r="AD425" s="9" t="s">
        <v>4370</v>
      </c>
      <c r="AE425" s="9" t="s">
        <v>4445</v>
      </c>
    </row>
    <row r="426" customFormat="false" ht="15" hidden="false" customHeight="true" outlineLevel="0" collapsed="false">
      <c r="A426" s="6" t="s">
        <v>1870</v>
      </c>
      <c r="B426" s="6" t="s">
        <v>448</v>
      </c>
      <c r="C426" s="6" t="s">
        <v>454</v>
      </c>
      <c r="D426" s="6" t="n">
        <v>6</v>
      </c>
      <c r="E426" s="9" t="s">
        <v>4544</v>
      </c>
      <c r="F426" s="6" t="n">
        <v>38000</v>
      </c>
      <c r="G426" s="6" t="n">
        <v>32000</v>
      </c>
      <c r="H426" s="6" t="n">
        <v>5000</v>
      </c>
      <c r="I426" s="6" t="n">
        <v>126000</v>
      </c>
      <c r="J426" s="6" t="n">
        <v>8000</v>
      </c>
      <c r="K426" s="6" t="n">
        <v>0</v>
      </c>
      <c r="L426" s="6" t="n">
        <v>2000</v>
      </c>
      <c r="M426" s="6" t="n">
        <v>0</v>
      </c>
      <c r="N426" s="6" t="n">
        <v>103000</v>
      </c>
      <c r="O426" s="6" t="n">
        <v>9000</v>
      </c>
      <c r="P426" s="6" t="n">
        <v>0</v>
      </c>
      <c r="Q426" s="1" t="n">
        <f aca="false">IF($A426="","",IF(OR(F426="",I426=""),"",F426-I426))</f>
        <v>-88000</v>
      </c>
      <c r="R426" s="1" t="n">
        <f aca="false">IF($A426="","",IF(Q426="","",Q426+IF(O426="",0,O426)))</f>
        <v>-79000</v>
      </c>
      <c r="T426" s="1" t="n">
        <f aca="false">IF($A426="","",IF(R426="","",R426-IF(S426="",0,S426)))</f>
        <v>-79000</v>
      </c>
      <c r="U426" s="1" t="n">
        <f aca="false">IF($A426="","",IF(I426="","",I426-SUM(J426:P426)))</f>
        <v>4000</v>
      </c>
      <c r="V426" s="6" t="s">
        <v>4545</v>
      </c>
      <c r="W426" s="44" t="s">
        <v>1168</v>
      </c>
      <c r="X426" s="9" t="s">
        <v>4589</v>
      </c>
      <c r="AC426" s="9" t="s">
        <v>4369</v>
      </c>
      <c r="AD426" s="9" t="s">
        <v>4370</v>
      </c>
      <c r="AE426" s="9" t="s">
        <v>4445</v>
      </c>
    </row>
    <row r="427" customFormat="false" ht="15" hidden="false" customHeight="true" outlineLevel="0" collapsed="false">
      <c r="A427" s="6" t="s">
        <v>1873</v>
      </c>
      <c r="B427" s="6" t="s">
        <v>448</v>
      </c>
      <c r="C427" s="6" t="s">
        <v>454</v>
      </c>
      <c r="D427" s="6" t="n">
        <v>6</v>
      </c>
      <c r="E427" s="9" t="s">
        <v>4544</v>
      </c>
      <c r="F427" s="6" t="n">
        <v>395000</v>
      </c>
      <c r="G427" s="6" t="n">
        <v>354000</v>
      </c>
      <c r="H427" s="6" t="n">
        <v>40000</v>
      </c>
      <c r="I427" s="6" t="n">
        <v>299000</v>
      </c>
      <c r="J427" s="6" t="n">
        <v>64000</v>
      </c>
      <c r="K427" s="6" t="n">
        <v>11000</v>
      </c>
      <c r="L427" s="6" t="n">
        <v>16000</v>
      </c>
      <c r="M427" s="6" t="n">
        <v>0</v>
      </c>
      <c r="N427" s="6" t="n">
        <v>60000</v>
      </c>
      <c r="O427" s="6" t="n">
        <v>80000</v>
      </c>
      <c r="P427" s="6" t="n">
        <v>65000</v>
      </c>
      <c r="Q427" s="1" t="n">
        <f aca="false">IF($A427="","",IF(OR(F427="",I427=""),"",F427-I427))</f>
        <v>96000</v>
      </c>
      <c r="R427" s="1" t="n">
        <f aca="false">IF($A427="","",IF(Q427="","",Q427+IF(O427="",0,O427)))</f>
        <v>176000</v>
      </c>
      <c r="T427" s="1" t="n">
        <f aca="false">IF($A427="","",IF(R427="","",R427-IF(S427="",0,S427)))</f>
        <v>176000</v>
      </c>
      <c r="U427" s="1" t="n">
        <f aca="false">IF($A427="","",IF(I427="","",I427-SUM(J427:P427)))</f>
        <v>3000</v>
      </c>
      <c r="V427" s="6" t="s">
        <v>4545</v>
      </c>
      <c r="W427" s="44" t="s">
        <v>1168</v>
      </c>
      <c r="X427" s="9" t="s">
        <v>4590</v>
      </c>
      <c r="AC427" s="9" t="s">
        <v>4369</v>
      </c>
      <c r="AD427" s="9" t="s">
        <v>4370</v>
      </c>
      <c r="AE427" s="9" t="s">
        <v>4408</v>
      </c>
    </row>
    <row r="428" customFormat="false" ht="15" hidden="false" customHeight="true" outlineLevel="0" collapsed="false">
      <c r="A428" s="6" t="s">
        <v>1876</v>
      </c>
      <c r="B428" s="6" t="s">
        <v>448</v>
      </c>
      <c r="C428" s="6" t="s">
        <v>454</v>
      </c>
      <c r="D428" s="6" t="n">
        <v>6</v>
      </c>
      <c r="E428" s="9" t="s">
        <v>4544</v>
      </c>
      <c r="F428" s="6" t="n">
        <v>102000</v>
      </c>
      <c r="G428" s="6" t="n">
        <v>95000</v>
      </c>
      <c r="H428" s="6" t="n">
        <v>7000</v>
      </c>
      <c r="I428" s="6" t="n">
        <v>50000</v>
      </c>
      <c r="J428" s="6" t="n">
        <v>11000</v>
      </c>
      <c r="K428" s="6" t="n">
        <v>2000</v>
      </c>
      <c r="L428" s="6" t="n">
        <v>7000</v>
      </c>
      <c r="M428" s="6" t="n">
        <v>0</v>
      </c>
      <c r="N428" s="6" t="n">
        <v>5000</v>
      </c>
      <c r="O428" s="6" t="n">
        <v>20000</v>
      </c>
      <c r="P428" s="6" t="n">
        <v>3000</v>
      </c>
      <c r="Q428" s="1" t="n">
        <f aca="false">IF($A428="","",IF(OR(F428="",I428=""),"",F428-I428))</f>
        <v>52000</v>
      </c>
      <c r="R428" s="1" t="n">
        <f aca="false">IF($A428="","",IF(Q428="","",Q428+IF(O428="",0,O428)))</f>
        <v>72000</v>
      </c>
      <c r="T428" s="1" t="n">
        <f aca="false">IF($A428="","",IF(R428="","",R428-IF(S428="",0,S428)))</f>
        <v>72000</v>
      </c>
      <c r="U428" s="1" t="n">
        <f aca="false">IF($A428="","",IF(I428="","",I428-SUM(J428:P428)))</f>
        <v>2000</v>
      </c>
      <c r="V428" s="6" t="s">
        <v>4545</v>
      </c>
      <c r="W428" s="44" t="s">
        <v>1168</v>
      </c>
      <c r="X428" s="9" t="s">
        <v>4591</v>
      </c>
      <c r="AC428" s="9" t="s">
        <v>4369</v>
      </c>
      <c r="AD428" s="9" t="s">
        <v>4370</v>
      </c>
      <c r="AE428" s="9" t="s">
        <v>4408</v>
      </c>
    </row>
    <row r="429" customFormat="false" ht="15" hidden="false" customHeight="true" outlineLevel="0" collapsed="false">
      <c r="A429" s="6" t="s">
        <v>1879</v>
      </c>
      <c r="B429" s="6" t="s">
        <v>448</v>
      </c>
      <c r="C429" s="6" t="s">
        <v>454</v>
      </c>
      <c r="D429" s="6" t="n">
        <v>6</v>
      </c>
      <c r="E429" s="9" t="s">
        <v>4544</v>
      </c>
      <c r="F429" s="6" t="n">
        <v>198000</v>
      </c>
      <c r="G429" s="6" t="n">
        <v>176000</v>
      </c>
      <c r="H429" s="6" t="n">
        <v>22000</v>
      </c>
      <c r="I429" s="6" t="n">
        <v>143000</v>
      </c>
      <c r="J429" s="6" t="n">
        <v>35000</v>
      </c>
      <c r="K429" s="6" t="n">
        <v>5000</v>
      </c>
      <c r="L429" s="6" t="n">
        <v>11000</v>
      </c>
      <c r="M429" s="6" t="n">
        <v>0</v>
      </c>
      <c r="N429" s="6" t="n">
        <v>37000</v>
      </c>
      <c r="O429" s="6" t="n">
        <v>51000</v>
      </c>
      <c r="P429" s="6" t="n">
        <v>1000</v>
      </c>
      <c r="Q429" s="1" t="n">
        <f aca="false">IF($A429="","",IF(OR(F429="",I429=""),"",F429-I429))</f>
        <v>55000</v>
      </c>
      <c r="R429" s="1" t="n">
        <f aca="false">IF($A429="","",IF(Q429="","",Q429+IF(O429="",0,O429)))</f>
        <v>106000</v>
      </c>
      <c r="T429" s="1" t="n">
        <f aca="false">IF($A429="","",IF(R429="","",R429-IF(S429="",0,S429)))</f>
        <v>106000</v>
      </c>
      <c r="U429" s="1" t="n">
        <f aca="false">IF($A429="","",IF(I429="","",I429-SUM(J429:P429)))</f>
        <v>3000</v>
      </c>
      <c r="V429" s="6" t="s">
        <v>4545</v>
      </c>
      <c r="W429" s="44" t="s">
        <v>1168</v>
      </c>
      <c r="X429" s="9" t="s">
        <v>4592</v>
      </c>
      <c r="AC429" s="9" t="s">
        <v>4369</v>
      </c>
      <c r="AD429" s="9" t="s">
        <v>4370</v>
      </c>
      <c r="AE429" s="9" t="s">
        <v>4408</v>
      </c>
    </row>
    <row r="430" customFormat="false" ht="15" hidden="false" customHeight="true" outlineLevel="0" collapsed="false">
      <c r="A430" s="6" t="s">
        <v>1882</v>
      </c>
      <c r="B430" s="6" t="s">
        <v>448</v>
      </c>
      <c r="C430" s="6" t="s">
        <v>454</v>
      </c>
      <c r="D430" s="6" t="n">
        <v>6</v>
      </c>
      <c r="E430" s="9" t="s">
        <v>4544</v>
      </c>
      <c r="F430" s="6" t="n">
        <v>312000</v>
      </c>
      <c r="G430" s="6" t="n">
        <v>290000</v>
      </c>
      <c r="H430" s="6" t="n">
        <v>22000</v>
      </c>
      <c r="I430" s="6" t="n">
        <v>203000</v>
      </c>
      <c r="J430" s="6" t="n">
        <v>48000</v>
      </c>
      <c r="K430" s="6" t="n">
        <v>3000</v>
      </c>
      <c r="L430" s="6" t="n">
        <v>13000</v>
      </c>
      <c r="M430" s="6" t="n">
        <v>0</v>
      </c>
      <c r="N430" s="6" t="n">
        <v>42000</v>
      </c>
      <c r="O430" s="6" t="n">
        <v>58000</v>
      </c>
      <c r="P430" s="6" t="n">
        <v>36000</v>
      </c>
      <c r="Q430" s="1" t="n">
        <f aca="false">IF($A430="","",IF(OR(F430="",I430=""),"",F430-I430))</f>
        <v>109000</v>
      </c>
      <c r="R430" s="1" t="n">
        <f aca="false">IF($A430="","",IF(Q430="","",Q430+IF(O430="",0,O430)))</f>
        <v>167000</v>
      </c>
      <c r="T430" s="1" t="n">
        <f aca="false">IF($A430="","",IF(R430="","",R430-IF(S430="",0,S430)))</f>
        <v>167000</v>
      </c>
      <c r="U430" s="1" t="n">
        <f aca="false">IF($A430="","",IF(I430="","",I430-SUM(J430:P430)))</f>
        <v>3000</v>
      </c>
      <c r="V430" s="6" t="s">
        <v>4545</v>
      </c>
      <c r="W430" s="44" t="s">
        <v>1168</v>
      </c>
      <c r="X430" s="9" t="s">
        <v>4593</v>
      </c>
      <c r="AC430" s="9" t="s">
        <v>4369</v>
      </c>
      <c r="AD430" s="9" t="s">
        <v>4370</v>
      </c>
      <c r="AE430" s="9" t="s">
        <v>4408</v>
      </c>
    </row>
    <row r="431" customFormat="false" ht="15" hidden="false" customHeight="true" outlineLevel="0" collapsed="false">
      <c r="A431" s="6" t="s">
        <v>1885</v>
      </c>
      <c r="B431" s="6" t="s">
        <v>448</v>
      </c>
      <c r="C431" s="6" t="s">
        <v>454</v>
      </c>
      <c r="D431" s="6" t="n">
        <v>6</v>
      </c>
      <c r="E431" s="9" t="s">
        <v>4544</v>
      </c>
      <c r="F431" s="6" t="n">
        <v>162000</v>
      </c>
      <c r="G431" s="6" t="n">
        <v>149000</v>
      </c>
      <c r="H431" s="6" t="n">
        <v>13000</v>
      </c>
      <c r="I431" s="6" t="n">
        <v>56000</v>
      </c>
      <c r="J431" s="6" t="n">
        <v>16000</v>
      </c>
      <c r="K431" s="6" t="n">
        <v>3000</v>
      </c>
      <c r="L431" s="6" t="n">
        <v>7000</v>
      </c>
      <c r="M431" s="6" t="n">
        <v>0</v>
      </c>
      <c r="N431" s="6" t="n">
        <v>4000</v>
      </c>
      <c r="O431" s="6" t="n">
        <v>22000</v>
      </c>
      <c r="P431" s="6" t="n">
        <v>1000</v>
      </c>
      <c r="Q431" s="1" t="n">
        <f aca="false">IF($A431="","",IF(OR(F431="",I431=""),"",F431-I431))</f>
        <v>106000</v>
      </c>
      <c r="R431" s="1" t="n">
        <f aca="false">IF($A431="","",IF(Q431="","",Q431+IF(O431="",0,O431)))</f>
        <v>128000</v>
      </c>
      <c r="T431" s="1" t="n">
        <f aca="false">IF($A431="","",IF(R431="","",R431-IF(S431="",0,S431)))</f>
        <v>128000</v>
      </c>
      <c r="U431" s="1" t="n">
        <f aca="false">IF($A431="","",IF(I431="","",I431-SUM(J431:P431)))</f>
        <v>3000</v>
      </c>
      <c r="V431" s="6" t="s">
        <v>4545</v>
      </c>
      <c r="W431" s="44" t="s">
        <v>1168</v>
      </c>
      <c r="X431" s="9" t="s">
        <v>4594</v>
      </c>
      <c r="AC431" s="9" t="s">
        <v>4369</v>
      </c>
      <c r="AD431" s="9" t="s">
        <v>4370</v>
      </c>
      <c r="AE431" s="9" t="s">
        <v>4408</v>
      </c>
    </row>
    <row r="432" customFormat="false" ht="15" hidden="false" customHeight="true" outlineLevel="0" collapsed="false">
      <c r="A432" s="6" t="s">
        <v>1888</v>
      </c>
      <c r="B432" s="6" t="s">
        <v>448</v>
      </c>
      <c r="C432" s="6" t="s">
        <v>454</v>
      </c>
      <c r="D432" s="6" t="n">
        <v>6</v>
      </c>
      <c r="E432" s="9" t="s">
        <v>4544</v>
      </c>
      <c r="F432" s="6" t="n">
        <v>68000</v>
      </c>
      <c r="G432" s="6" t="n">
        <v>65000</v>
      </c>
      <c r="H432" s="6" t="n">
        <v>3000</v>
      </c>
      <c r="I432" s="6" t="n">
        <v>28000</v>
      </c>
      <c r="J432" s="6" t="n">
        <v>8000</v>
      </c>
      <c r="K432" s="6" t="n">
        <v>0</v>
      </c>
      <c r="L432" s="6" t="n">
        <v>3000</v>
      </c>
      <c r="M432" s="6" t="n">
        <v>0</v>
      </c>
      <c r="N432" s="6" t="n">
        <v>3000</v>
      </c>
      <c r="O432" s="6" t="n">
        <v>12000</v>
      </c>
      <c r="P432" s="6" t="n">
        <v>0</v>
      </c>
      <c r="Q432" s="1" t="n">
        <f aca="false">IF($A432="","",IF(OR(F432="",I432=""),"",F432-I432))</f>
        <v>40000</v>
      </c>
      <c r="R432" s="1" t="n">
        <f aca="false">IF($A432="","",IF(Q432="","",Q432+IF(O432="",0,O432)))</f>
        <v>52000</v>
      </c>
      <c r="T432" s="1" t="n">
        <f aca="false">IF($A432="","",IF(R432="","",R432-IF(S432="",0,S432)))</f>
        <v>52000</v>
      </c>
      <c r="U432" s="1" t="n">
        <f aca="false">IF($A432="","",IF(I432="","",I432-SUM(J432:P432)))</f>
        <v>2000</v>
      </c>
      <c r="V432" s="6" t="s">
        <v>4545</v>
      </c>
      <c r="W432" s="44" t="s">
        <v>1168</v>
      </c>
      <c r="X432" s="9" t="s">
        <v>4595</v>
      </c>
      <c r="AC432" s="9" t="s">
        <v>4369</v>
      </c>
      <c r="AD432" s="9" t="s">
        <v>4370</v>
      </c>
      <c r="AE432" s="9" t="s">
        <v>4408</v>
      </c>
    </row>
    <row r="433" customFormat="false" ht="15" hidden="false" customHeight="true" outlineLevel="0" collapsed="false">
      <c r="A433" s="6" t="s">
        <v>1891</v>
      </c>
      <c r="B433" s="6" t="s">
        <v>448</v>
      </c>
      <c r="C433" s="6" t="s">
        <v>454</v>
      </c>
      <c r="D433" s="6" t="n">
        <v>6</v>
      </c>
      <c r="E433" s="9" t="s">
        <v>4544</v>
      </c>
      <c r="F433" s="6" t="n">
        <v>48000</v>
      </c>
      <c r="G433" s="6" t="n">
        <v>36000</v>
      </c>
      <c r="H433" s="6" t="n">
        <v>12000</v>
      </c>
      <c r="I433" s="6" t="n">
        <v>22000</v>
      </c>
      <c r="J433" s="6" t="n">
        <v>4000</v>
      </c>
      <c r="K433" s="6" t="n">
        <v>0</v>
      </c>
      <c r="L433" s="6" t="n">
        <v>1000</v>
      </c>
      <c r="M433" s="6" t="n">
        <v>0</v>
      </c>
      <c r="N433" s="6" t="n">
        <v>9000</v>
      </c>
      <c r="O433" s="6" t="n">
        <v>4000</v>
      </c>
      <c r="P433" s="6" t="n">
        <v>1000</v>
      </c>
      <c r="Q433" s="1" t="n">
        <f aca="false">IF($A433="","",IF(OR(F433="",I433=""),"",F433-I433))</f>
        <v>26000</v>
      </c>
      <c r="R433" s="1" t="n">
        <f aca="false">IF($A433="","",IF(Q433="","",Q433+IF(O433="",0,O433)))</f>
        <v>30000</v>
      </c>
      <c r="T433" s="1" t="n">
        <f aca="false">IF($A433="","",IF(R433="","",R433-IF(S433="",0,S433)))</f>
        <v>30000</v>
      </c>
      <c r="U433" s="1" t="n">
        <f aca="false">IF($A433="","",IF(I433="","",I433-SUM(J433:P433)))</f>
        <v>3000</v>
      </c>
      <c r="V433" s="6" t="s">
        <v>4545</v>
      </c>
      <c r="W433" s="44" t="s">
        <v>1168</v>
      </c>
      <c r="X433" s="9" t="s">
        <v>4596</v>
      </c>
      <c r="AC433" s="9" t="s">
        <v>4369</v>
      </c>
      <c r="AD433" s="9" t="s">
        <v>4370</v>
      </c>
      <c r="AE433" s="9" t="s">
        <v>4445</v>
      </c>
    </row>
    <row r="434" customFormat="false" ht="15" hidden="false" customHeight="true" outlineLevel="0" collapsed="false">
      <c r="A434" s="6" t="s">
        <v>1894</v>
      </c>
      <c r="B434" s="6" t="s">
        <v>448</v>
      </c>
      <c r="C434" s="6" t="s">
        <v>454</v>
      </c>
      <c r="D434" s="6" t="n">
        <v>6</v>
      </c>
      <c r="E434" s="9" t="s">
        <v>4544</v>
      </c>
      <c r="F434" s="6" t="n">
        <v>33000</v>
      </c>
      <c r="G434" s="6" t="n">
        <v>31000</v>
      </c>
      <c r="H434" s="6" t="n">
        <v>2000</v>
      </c>
      <c r="I434" s="6" t="n">
        <v>12000</v>
      </c>
      <c r="J434" s="6" t="n">
        <v>2000</v>
      </c>
      <c r="K434" s="6" t="n">
        <v>0</v>
      </c>
      <c r="L434" s="6" t="n">
        <v>1000</v>
      </c>
      <c r="M434" s="6" t="n">
        <v>0</v>
      </c>
      <c r="N434" s="6" t="n">
        <v>2000</v>
      </c>
      <c r="O434" s="6" t="n">
        <v>5000</v>
      </c>
      <c r="P434" s="6" t="n">
        <v>0</v>
      </c>
      <c r="Q434" s="1" t="n">
        <f aca="false">IF($A434="","",IF(OR(F434="",I434=""),"",F434-I434))</f>
        <v>21000</v>
      </c>
      <c r="R434" s="1" t="n">
        <f aca="false">IF($A434="","",IF(Q434="","",Q434+IF(O434="",0,O434)))</f>
        <v>26000</v>
      </c>
      <c r="T434" s="1" t="n">
        <f aca="false">IF($A434="","",IF(R434="","",R434-IF(S434="",0,S434)))</f>
        <v>26000</v>
      </c>
      <c r="U434" s="1" t="n">
        <f aca="false">IF($A434="","",IF(I434="","",I434-SUM(J434:P434)))</f>
        <v>2000</v>
      </c>
      <c r="V434" s="6" t="s">
        <v>4545</v>
      </c>
      <c r="W434" s="44" t="s">
        <v>1168</v>
      </c>
      <c r="X434" s="9" t="s">
        <v>4597</v>
      </c>
      <c r="AC434" s="9" t="s">
        <v>4369</v>
      </c>
      <c r="AD434" s="9" t="s">
        <v>4370</v>
      </c>
      <c r="AE434" s="9" t="s">
        <v>4445</v>
      </c>
    </row>
    <row r="435" customFormat="false" ht="15" hidden="false" customHeight="true" outlineLevel="0" collapsed="false">
      <c r="A435" s="6" t="s">
        <v>1897</v>
      </c>
      <c r="B435" s="6" t="s">
        <v>448</v>
      </c>
      <c r="C435" s="6" t="s">
        <v>454</v>
      </c>
      <c r="D435" s="6" t="n">
        <v>6</v>
      </c>
      <c r="E435" s="9" t="s">
        <v>4544</v>
      </c>
      <c r="F435" s="6" t="n">
        <v>39000</v>
      </c>
      <c r="G435" s="6" t="n">
        <v>35000</v>
      </c>
      <c r="H435" s="6" t="n">
        <v>4000</v>
      </c>
      <c r="I435" s="6" t="n">
        <v>16000</v>
      </c>
      <c r="J435" s="6" t="n">
        <v>4000</v>
      </c>
      <c r="K435" s="6" t="n">
        <v>0</v>
      </c>
      <c r="L435" s="6" t="n">
        <v>1000</v>
      </c>
      <c r="M435" s="6" t="n">
        <v>0</v>
      </c>
      <c r="N435" s="6" t="n">
        <v>3000</v>
      </c>
      <c r="O435" s="6" t="n">
        <v>5000</v>
      </c>
      <c r="P435" s="6" t="n">
        <v>0</v>
      </c>
      <c r="Q435" s="1" t="n">
        <f aca="false">IF($A435="","",IF(OR(F435="",I435=""),"",F435-I435))</f>
        <v>23000</v>
      </c>
      <c r="R435" s="1" t="n">
        <f aca="false">IF($A435="","",IF(Q435="","",Q435+IF(O435="",0,O435)))</f>
        <v>28000</v>
      </c>
      <c r="T435" s="1" t="n">
        <f aca="false">IF($A435="","",IF(R435="","",R435-IF(S435="",0,S435)))</f>
        <v>28000</v>
      </c>
      <c r="U435" s="1" t="n">
        <f aca="false">IF($A435="","",IF(I435="","",I435-SUM(J435:P435)))</f>
        <v>3000</v>
      </c>
      <c r="V435" s="6" t="s">
        <v>4545</v>
      </c>
      <c r="W435" s="44" t="s">
        <v>1168</v>
      </c>
      <c r="X435" s="9" t="s">
        <v>4598</v>
      </c>
      <c r="AC435" s="9" t="s">
        <v>4369</v>
      </c>
      <c r="AD435" s="9" t="s">
        <v>4370</v>
      </c>
      <c r="AE435" s="9" t="s">
        <v>4445</v>
      </c>
    </row>
    <row r="436" customFormat="false" ht="15" hidden="false" customHeight="true" outlineLevel="0" collapsed="false">
      <c r="A436" s="6" t="s">
        <v>1900</v>
      </c>
      <c r="B436" s="6" t="s">
        <v>448</v>
      </c>
      <c r="C436" s="6" t="s">
        <v>454</v>
      </c>
      <c r="D436" s="6" t="n">
        <v>6</v>
      </c>
      <c r="E436" s="9" t="s">
        <v>4544</v>
      </c>
      <c r="F436" s="6" t="n">
        <v>34000</v>
      </c>
      <c r="G436" s="6" t="n">
        <v>32000</v>
      </c>
      <c r="H436" s="6" t="n">
        <v>2000</v>
      </c>
      <c r="I436" s="6" t="n">
        <v>47000</v>
      </c>
      <c r="J436" s="6" t="n">
        <v>5000</v>
      </c>
      <c r="K436" s="6" t="n">
        <v>0</v>
      </c>
      <c r="L436" s="6" t="n">
        <v>2000</v>
      </c>
      <c r="M436" s="6" t="n">
        <v>0</v>
      </c>
      <c r="N436" s="6" t="n">
        <v>32000</v>
      </c>
      <c r="O436" s="6" t="n">
        <v>4000</v>
      </c>
      <c r="P436" s="6" t="n">
        <v>1000</v>
      </c>
      <c r="Q436" s="1" t="n">
        <f aca="false">IF($A436="","",IF(OR(F436="",I436=""),"",F436-I436))</f>
        <v>-13000</v>
      </c>
      <c r="R436" s="1" t="n">
        <f aca="false">IF($A436="","",IF(Q436="","",Q436+IF(O436="",0,O436)))</f>
        <v>-9000</v>
      </c>
      <c r="T436" s="1" t="n">
        <f aca="false">IF($A436="","",IF(R436="","",R436-IF(S436="",0,S436)))</f>
        <v>-9000</v>
      </c>
      <c r="U436" s="1" t="n">
        <f aca="false">IF($A436="","",IF(I436="","",I436-SUM(J436:P436)))</f>
        <v>3000</v>
      </c>
      <c r="V436" s="6" t="s">
        <v>4545</v>
      </c>
      <c r="W436" s="44" t="s">
        <v>1168</v>
      </c>
      <c r="X436" s="9" t="s">
        <v>4599</v>
      </c>
      <c r="AC436" s="9" t="s">
        <v>4369</v>
      </c>
      <c r="AD436" s="9" t="s">
        <v>4370</v>
      </c>
      <c r="AE436" s="9" t="s">
        <v>4445</v>
      </c>
    </row>
    <row r="437" customFormat="false" ht="15" hidden="false" customHeight="true" outlineLevel="0" collapsed="false">
      <c r="A437" s="6" t="s">
        <v>1903</v>
      </c>
      <c r="B437" s="6" t="s">
        <v>448</v>
      </c>
      <c r="C437" s="6" t="s">
        <v>454</v>
      </c>
      <c r="D437" s="6" t="n">
        <v>6</v>
      </c>
      <c r="E437" s="9" t="s">
        <v>4544</v>
      </c>
      <c r="F437" s="6" t="n">
        <v>46000</v>
      </c>
      <c r="G437" s="6" t="n">
        <v>43000</v>
      </c>
      <c r="H437" s="6" t="n">
        <v>3000</v>
      </c>
      <c r="I437" s="6" t="n">
        <v>18000</v>
      </c>
      <c r="J437" s="6" t="n">
        <v>3000</v>
      </c>
      <c r="K437" s="6" t="n">
        <v>0</v>
      </c>
      <c r="L437" s="6" t="n">
        <v>2000</v>
      </c>
      <c r="M437" s="6" t="n">
        <v>0</v>
      </c>
      <c r="N437" s="6" t="n">
        <v>2000</v>
      </c>
      <c r="O437" s="6" t="n">
        <v>8000</v>
      </c>
      <c r="P437" s="6" t="n">
        <v>1000</v>
      </c>
      <c r="Q437" s="1" t="n">
        <f aca="false">IF($A437="","",IF(OR(F437="",I437=""),"",F437-I437))</f>
        <v>28000</v>
      </c>
      <c r="R437" s="1" t="n">
        <f aca="false">IF($A437="","",IF(Q437="","",Q437+IF(O437="",0,O437)))</f>
        <v>36000</v>
      </c>
      <c r="T437" s="1" t="n">
        <f aca="false">IF($A437="","",IF(R437="","",R437-IF(S437="",0,S437)))</f>
        <v>36000</v>
      </c>
      <c r="U437" s="1" t="n">
        <f aca="false">IF($A437="","",IF(I437="","",I437-SUM(J437:P437)))</f>
        <v>2000</v>
      </c>
      <c r="V437" s="6" t="s">
        <v>4545</v>
      </c>
      <c r="W437" s="44" t="s">
        <v>1168</v>
      </c>
      <c r="X437" s="9" t="s">
        <v>4600</v>
      </c>
      <c r="AC437" s="9" t="s">
        <v>4369</v>
      </c>
      <c r="AD437" s="9" t="s">
        <v>4370</v>
      </c>
      <c r="AE437" s="9" t="s">
        <v>4445</v>
      </c>
    </row>
    <row r="438" customFormat="false" ht="15" hidden="false" customHeight="true" outlineLevel="0" collapsed="false">
      <c r="A438" s="6" t="s">
        <v>1906</v>
      </c>
      <c r="B438" s="6" t="s">
        <v>448</v>
      </c>
      <c r="C438" s="6" t="s">
        <v>454</v>
      </c>
      <c r="D438" s="6" t="n">
        <v>6</v>
      </c>
      <c r="E438" s="9" t="s">
        <v>4544</v>
      </c>
      <c r="F438" s="6" t="n">
        <v>42000</v>
      </c>
      <c r="G438" s="6" t="n">
        <v>39000</v>
      </c>
      <c r="H438" s="6" t="n">
        <v>3000</v>
      </c>
      <c r="I438" s="6" t="n">
        <v>22000</v>
      </c>
      <c r="J438" s="6" t="n">
        <v>5000</v>
      </c>
      <c r="K438" s="6" t="n">
        <v>0</v>
      </c>
      <c r="L438" s="6" t="n">
        <v>2000</v>
      </c>
      <c r="M438" s="6" t="n">
        <v>0</v>
      </c>
      <c r="N438" s="6" t="n">
        <v>4000</v>
      </c>
      <c r="O438" s="6" t="n">
        <v>8000</v>
      </c>
      <c r="P438" s="6" t="n">
        <v>1000</v>
      </c>
      <c r="Q438" s="1" t="n">
        <f aca="false">IF($A438="","",IF(OR(F438="",I438=""),"",F438-I438))</f>
        <v>20000</v>
      </c>
      <c r="R438" s="1" t="n">
        <f aca="false">IF($A438="","",IF(Q438="","",Q438+IF(O438="",0,O438)))</f>
        <v>28000</v>
      </c>
      <c r="T438" s="1" t="n">
        <f aca="false">IF($A438="","",IF(R438="","",R438-IF(S438="",0,S438)))</f>
        <v>28000</v>
      </c>
      <c r="U438" s="1" t="n">
        <f aca="false">IF($A438="","",IF(I438="","",I438-SUM(J438:P438)))</f>
        <v>2000</v>
      </c>
      <c r="V438" s="6" t="s">
        <v>4545</v>
      </c>
      <c r="W438" s="44" t="s">
        <v>1168</v>
      </c>
      <c r="X438" s="9" t="s">
        <v>4601</v>
      </c>
      <c r="AC438" s="9" t="s">
        <v>4369</v>
      </c>
      <c r="AD438" s="9" t="s">
        <v>4370</v>
      </c>
      <c r="AE438" s="9" t="s">
        <v>4445</v>
      </c>
    </row>
    <row r="439" customFormat="false" ht="15" hidden="false" customHeight="true" outlineLevel="0" collapsed="false">
      <c r="A439" s="6" t="s">
        <v>1909</v>
      </c>
      <c r="B439" s="6" t="s">
        <v>448</v>
      </c>
      <c r="C439" s="6" t="s">
        <v>454</v>
      </c>
      <c r="D439" s="6" t="n">
        <v>6</v>
      </c>
      <c r="E439" s="9" t="s">
        <v>4544</v>
      </c>
      <c r="F439" s="6" t="n">
        <v>55000</v>
      </c>
      <c r="G439" s="6" t="n">
        <v>52000</v>
      </c>
      <c r="H439" s="6" t="n">
        <v>2000</v>
      </c>
      <c r="I439" s="6" t="n">
        <v>25000</v>
      </c>
      <c r="J439" s="6" t="n">
        <v>5000</v>
      </c>
      <c r="K439" s="6" t="n">
        <v>0</v>
      </c>
      <c r="L439" s="6" t="n">
        <v>2000</v>
      </c>
      <c r="M439" s="6" t="n">
        <v>0</v>
      </c>
      <c r="N439" s="6" t="n">
        <v>2000</v>
      </c>
      <c r="O439" s="6" t="n">
        <v>12000</v>
      </c>
      <c r="P439" s="6" t="n">
        <v>1000</v>
      </c>
      <c r="Q439" s="1" t="n">
        <f aca="false">IF($A439="","",IF(OR(F439="",I439=""),"",F439-I439))</f>
        <v>30000</v>
      </c>
      <c r="R439" s="1" t="n">
        <f aca="false">IF($A439="","",IF(Q439="","",Q439+IF(O439="",0,O439)))</f>
        <v>42000</v>
      </c>
      <c r="T439" s="1" t="n">
        <f aca="false">IF($A439="","",IF(R439="","",R439-IF(S439="",0,S439)))</f>
        <v>42000</v>
      </c>
      <c r="U439" s="1" t="n">
        <f aca="false">IF($A439="","",IF(I439="","",I439-SUM(J439:P439)))</f>
        <v>3000</v>
      </c>
      <c r="V439" s="6" t="s">
        <v>4545</v>
      </c>
      <c r="W439" s="44" t="s">
        <v>1168</v>
      </c>
      <c r="X439" s="9" t="s">
        <v>4602</v>
      </c>
      <c r="AC439" s="9" t="s">
        <v>4369</v>
      </c>
      <c r="AD439" s="9" t="s">
        <v>4370</v>
      </c>
      <c r="AE439" s="9" t="s">
        <v>4408</v>
      </c>
    </row>
    <row r="440" customFormat="false" ht="15" hidden="false" customHeight="true" outlineLevel="0" collapsed="false">
      <c r="A440" s="6" t="s">
        <v>1912</v>
      </c>
      <c r="B440" s="6" t="s">
        <v>448</v>
      </c>
      <c r="C440" s="6" t="s">
        <v>454</v>
      </c>
      <c r="D440" s="6" t="n">
        <v>6</v>
      </c>
      <c r="E440" s="9" t="s">
        <v>4544</v>
      </c>
      <c r="F440" s="6" t="n">
        <v>57000</v>
      </c>
      <c r="G440" s="6" t="n">
        <v>53000</v>
      </c>
      <c r="H440" s="6" t="n">
        <v>4000</v>
      </c>
      <c r="I440" s="6" t="n">
        <v>25000</v>
      </c>
      <c r="J440" s="6" t="n">
        <v>6000</v>
      </c>
      <c r="K440" s="6" t="n">
        <v>0</v>
      </c>
      <c r="L440" s="6" t="n">
        <v>2000</v>
      </c>
      <c r="M440" s="6" t="n">
        <v>0</v>
      </c>
      <c r="N440" s="6" t="n">
        <v>3000</v>
      </c>
      <c r="O440" s="6" t="n">
        <v>11000</v>
      </c>
      <c r="P440" s="6" t="n">
        <v>1000</v>
      </c>
      <c r="Q440" s="1" t="n">
        <f aca="false">IF($A440="","",IF(OR(F440="",I440=""),"",F440-I440))</f>
        <v>32000</v>
      </c>
      <c r="R440" s="1" t="n">
        <f aca="false">IF($A440="","",IF(Q440="","",Q440+IF(O440="",0,O440)))</f>
        <v>43000</v>
      </c>
      <c r="T440" s="1" t="n">
        <f aca="false">IF($A440="","",IF(R440="","",R440-IF(S440="",0,S440)))</f>
        <v>43000</v>
      </c>
      <c r="U440" s="1" t="n">
        <f aca="false">IF($A440="","",IF(I440="","",I440-SUM(J440:P440)))</f>
        <v>2000</v>
      </c>
      <c r="V440" s="6" t="s">
        <v>4545</v>
      </c>
      <c r="W440" s="44" t="s">
        <v>1168</v>
      </c>
      <c r="X440" s="9" t="s">
        <v>4603</v>
      </c>
      <c r="AC440" s="9" t="s">
        <v>4369</v>
      </c>
      <c r="AD440" s="9" t="s">
        <v>4370</v>
      </c>
      <c r="AE440" s="9" t="s">
        <v>4408</v>
      </c>
    </row>
    <row r="441" customFormat="false" ht="15" hidden="false" customHeight="true" outlineLevel="0" collapsed="false">
      <c r="A441" s="6" t="s">
        <v>1915</v>
      </c>
      <c r="B441" s="6" t="s">
        <v>448</v>
      </c>
      <c r="C441" s="6" t="s">
        <v>454</v>
      </c>
      <c r="D441" s="6" t="n">
        <v>6</v>
      </c>
      <c r="E441" s="9" t="s">
        <v>4544</v>
      </c>
      <c r="F441" s="6" t="n">
        <v>45000</v>
      </c>
      <c r="G441" s="6" t="n">
        <v>42000</v>
      </c>
      <c r="H441" s="6" t="n">
        <v>2000</v>
      </c>
      <c r="I441" s="6" t="n">
        <v>17000</v>
      </c>
      <c r="J441" s="6" t="n">
        <v>4000</v>
      </c>
      <c r="K441" s="6" t="n">
        <v>0</v>
      </c>
      <c r="L441" s="6" t="n">
        <v>1000</v>
      </c>
      <c r="M441" s="6" t="n">
        <v>0</v>
      </c>
      <c r="N441" s="6" t="n">
        <v>2000</v>
      </c>
      <c r="O441" s="6" t="n">
        <v>7000</v>
      </c>
      <c r="P441" s="6" t="n">
        <v>1000</v>
      </c>
      <c r="Q441" s="1" t="n">
        <f aca="false">IF($A441="","",IF(OR(F441="",I441=""),"",F441-I441))</f>
        <v>28000</v>
      </c>
      <c r="R441" s="1" t="n">
        <f aca="false">IF($A441="","",IF(Q441="","",Q441+IF(O441="",0,O441)))</f>
        <v>35000</v>
      </c>
      <c r="T441" s="1" t="n">
        <f aca="false">IF($A441="","",IF(R441="","",R441-IF(S441="",0,S441)))</f>
        <v>35000</v>
      </c>
      <c r="U441" s="1" t="n">
        <f aca="false">IF($A441="","",IF(I441="","",I441-SUM(J441:P441)))</f>
        <v>2000</v>
      </c>
      <c r="V441" s="6" t="s">
        <v>4545</v>
      </c>
      <c r="W441" s="44" t="s">
        <v>1168</v>
      </c>
      <c r="X441" s="9" t="s">
        <v>4604</v>
      </c>
      <c r="AC441" s="9" t="s">
        <v>4369</v>
      </c>
      <c r="AD441" s="9" t="s">
        <v>4370</v>
      </c>
      <c r="AE441" s="9" t="s">
        <v>4445</v>
      </c>
    </row>
    <row r="442" customFormat="false" ht="15" hidden="false" customHeight="true" outlineLevel="0" collapsed="false">
      <c r="A442" s="6" t="s">
        <v>1918</v>
      </c>
      <c r="B442" s="6" t="s">
        <v>448</v>
      </c>
      <c r="C442" s="6" t="s">
        <v>454</v>
      </c>
      <c r="D442" s="6" t="n">
        <v>6</v>
      </c>
      <c r="E442" s="9" t="s">
        <v>4544</v>
      </c>
      <c r="F442" s="6" t="n">
        <v>89000</v>
      </c>
      <c r="G442" s="6" t="n">
        <v>83000</v>
      </c>
      <c r="H442" s="6" t="n">
        <v>5000</v>
      </c>
      <c r="I442" s="6" t="n">
        <v>33000</v>
      </c>
      <c r="J442" s="6" t="n">
        <v>7000</v>
      </c>
      <c r="K442" s="6" t="n">
        <v>0</v>
      </c>
      <c r="L442" s="6" t="n">
        <v>4000</v>
      </c>
      <c r="M442" s="6" t="n">
        <v>0</v>
      </c>
      <c r="N442" s="6" t="n">
        <v>4000</v>
      </c>
      <c r="O442" s="6" t="n">
        <v>15000</v>
      </c>
      <c r="P442" s="6" t="n">
        <v>1000</v>
      </c>
      <c r="Q442" s="1" t="n">
        <f aca="false">IF($A442="","",IF(OR(F442="",I442=""),"",F442-I442))</f>
        <v>56000</v>
      </c>
      <c r="R442" s="1" t="n">
        <f aca="false">IF($A442="","",IF(Q442="","",Q442+IF(O442="",0,O442)))</f>
        <v>71000</v>
      </c>
      <c r="T442" s="1" t="n">
        <f aca="false">IF($A442="","",IF(R442="","",R442-IF(S442="",0,S442)))</f>
        <v>71000</v>
      </c>
      <c r="U442" s="1" t="n">
        <f aca="false">IF($A442="","",IF(I442="","",I442-SUM(J442:P442)))</f>
        <v>2000</v>
      </c>
      <c r="V442" s="6" t="s">
        <v>4545</v>
      </c>
      <c r="W442" s="44" t="s">
        <v>1168</v>
      </c>
      <c r="X442" s="9" t="s">
        <v>4605</v>
      </c>
      <c r="AC442" s="9" t="s">
        <v>4369</v>
      </c>
      <c r="AD442" s="9" t="s">
        <v>4370</v>
      </c>
      <c r="AE442" s="9" t="s">
        <v>4408</v>
      </c>
    </row>
    <row r="443" customFormat="false" ht="15" hidden="false" customHeight="true" outlineLevel="0" collapsed="false">
      <c r="A443" s="6" t="s">
        <v>1921</v>
      </c>
      <c r="B443" s="6" t="s">
        <v>448</v>
      </c>
      <c r="C443" s="6" t="s">
        <v>454</v>
      </c>
      <c r="D443" s="6" t="n">
        <v>6</v>
      </c>
      <c r="E443" s="9" t="s">
        <v>4544</v>
      </c>
      <c r="F443" s="6" t="n">
        <v>52000</v>
      </c>
      <c r="G443" s="6" t="n">
        <v>48000</v>
      </c>
      <c r="H443" s="6" t="n">
        <v>4000</v>
      </c>
      <c r="I443" s="6" t="n">
        <v>20000</v>
      </c>
      <c r="J443" s="6" t="n">
        <v>5000</v>
      </c>
      <c r="K443" s="6" t="n">
        <v>0</v>
      </c>
      <c r="L443" s="6" t="n">
        <v>2000</v>
      </c>
      <c r="M443" s="6" t="n">
        <v>0</v>
      </c>
      <c r="N443" s="6" t="n">
        <v>2000</v>
      </c>
      <c r="O443" s="6" t="n">
        <v>9000</v>
      </c>
      <c r="P443" s="6" t="n">
        <v>0</v>
      </c>
      <c r="Q443" s="1" t="n">
        <f aca="false">IF($A443="","",IF(OR(F443="",I443=""),"",F443-I443))</f>
        <v>32000</v>
      </c>
      <c r="R443" s="1" t="n">
        <f aca="false">IF($A443="","",IF(Q443="","",Q443+IF(O443="",0,O443)))</f>
        <v>41000</v>
      </c>
      <c r="T443" s="1" t="n">
        <f aca="false">IF($A443="","",IF(R443="","",R443-IF(S443="",0,S443)))</f>
        <v>41000</v>
      </c>
      <c r="U443" s="1" t="n">
        <f aca="false">IF($A443="","",IF(I443="","",I443-SUM(J443:P443)))</f>
        <v>2000</v>
      </c>
      <c r="V443" s="6" t="s">
        <v>4545</v>
      </c>
      <c r="W443" s="44" t="s">
        <v>1168</v>
      </c>
      <c r="X443" s="9" t="s">
        <v>4606</v>
      </c>
      <c r="AC443" s="9" t="s">
        <v>4369</v>
      </c>
      <c r="AD443" s="9" t="s">
        <v>4370</v>
      </c>
      <c r="AE443" s="9" t="s">
        <v>4408</v>
      </c>
    </row>
    <row r="444" customFormat="false" ht="15" hidden="false" customHeight="true" outlineLevel="0" collapsed="false">
      <c r="A444" s="6" t="s">
        <v>1924</v>
      </c>
      <c r="B444" s="6" t="s">
        <v>448</v>
      </c>
      <c r="C444" s="6" t="s">
        <v>454</v>
      </c>
      <c r="D444" s="6" t="n">
        <v>6</v>
      </c>
      <c r="E444" s="9" t="s">
        <v>4544</v>
      </c>
      <c r="F444" s="6" t="n">
        <v>86000</v>
      </c>
      <c r="G444" s="6" t="n">
        <v>79000</v>
      </c>
      <c r="H444" s="6" t="n">
        <v>6000</v>
      </c>
      <c r="I444" s="6" t="n">
        <v>35000</v>
      </c>
      <c r="J444" s="6" t="n">
        <v>8000</v>
      </c>
      <c r="K444" s="6" t="n">
        <v>0</v>
      </c>
      <c r="L444" s="6" t="n">
        <v>5000</v>
      </c>
      <c r="M444" s="6" t="n">
        <v>0</v>
      </c>
      <c r="N444" s="6" t="n">
        <v>6000</v>
      </c>
      <c r="O444" s="6" t="n">
        <v>13000</v>
      </c>
      <c r="P444" s="6" t="n">
        <v>0</v>
      </c>
      <c r="Q444" s="1" t="n">
        <f aca="false">IF($A444="","",IF(OR(F444="",I444=""),"",F444-I444))</f>
        <v>51000</v>
      </c>
      <c r="R444" s="1" t="n">
        <f aca="false">IF($A444="","",IF(Q444="","",Q444+IF(O444="",0,O444)))</f>
        <v>64000</v>
      </c>
      <c r="T444" s="1" t="n">
        <f aca="false">IF($A444="","",IF(R444="","",R444-IF(S444="",0,S444)))</f>
        <v>64000</v>
      </c>
      <c r="U444" s="1" t="n">
        <f aca="false">IF($A444="","",IF(I444="","",I444-SUM(J444:P444)))</f>
        <v>3000</v>
      </c>
      <c r="V444" s="6" t="s">
        <v>4545</v>
      </c>
      <c r="W444" s="44" t="s">
        <v>1168</v>
      </c>
      <c r="X444" s="9" t="s">
        <v>4607</v>
      </c>
      <c r="AC444" s="9" t="s">
        <v>4369</v>
      </c>
      <c r="AD444" s="9" t="s">
        <v>4370</v>
      </c>
      <c r="AE444" s="9" t="s">
        <v>4408</v>
      </c>
    </row>
    <row r="445" customFormat="false" ht="15" hidden="false" customHeight="true" outlineLevel="0" collapsed="false">
      <c r="A445" s="6" t="s">
        <v>1928</v>
      </c>
      <c r="B445" s="6" t="s">
        <v>448</v>
      </c>
      <c r="C445" s="6" t="s">
        <v>454</v>
      </c>
      <c r="D445" s="6" t="n">
        <v>6</v>
      </c>
      <c r="E445" s="9" t="s">
        <v>4544</v>
      </c>
      <c r="F445" s="6" t="n">
        <v>59000</v>
      </c>
      <c r="G445" s="6" t="n">
        <v>58000</v>
      </c>
      <c r="H445" s="6" t="n">
        <v>1000</v>
      </c>
      <c r="I445" s="6" t="n">
        <v>21000</v>
      </c>
      <c r="J445" s="6" t="n">
        <v>1000</v>
      </c>
      <c r="K445" s="6" t="n">
        <v>0</v>
      </c>
      <c r="L445" s="6" t="n">
        <v>0</v>
      </c>
      <c r="M445" s="6" t="n">
        <v>0</v>
      </c>
      <c r="N445" s="6" t="n">
        <v>0</v>
      </c>
      <c r="O445" s="6" t="n">
        <v>17000</v>
      </c>
      <c r="P445" s="6" t="n">
        <v>2000</v>
      </c>
      <c r="Q445" s="1" t="n">
        <f aca="false">IF($A445="","",IF(OR(F445="",I445=""),"",F445-I445))</f>
        <v>38000</v>
      </c>
      <c r="R445" s="1" t="n">
        <f aca="false">IF($A445="","",IF(Q445="","",Q445+IF(O445="",0,O445)))</f>
        <v>55000</v>
      </c>
      <c r="T445" s="1" t="n">
        <f aca="false">IF($A445="","",IF(R445="","",R445-IF(S445="",0,S445)))</f>
        <v>55000</v>
      </c>
      <c r="U445" s="1" t="n">
        <f aca="false">IF($A445="","",IF(I445="","",I445-SUM(J445:P445)))</f>
        <v>1000</v>
      </c>
      <c r="V445" s="6" t="s">
        <v>4545</v>
      </c>
      <c r="W445" s="44" t="s">
        <v>1168</v>
      </c>
      <c r="X445" s="9" t="s">
        <v>4608</v>
      </c>
      <c r="AC445" s="9" t="s">
        <v>4369</v>
      </c>
      <c r="AD445" s="9" t="s">
        <v>4370</v>
      </c>
      <c r="AE445" s="9" t="s">
        <v>4408</v>
      </c>
    </row>
    <row r="446" customFormat="false" ht="15" hidden="false" customHeight="true" outlineLevel="0" collapsed="false">
      <c r="A446" s="6" t="s">
        <v>1931</v>
      </c>
      <c r="B446" s="6" t="s">
        <v>448</v>
      </c>
      <c r="C446" s="6" t="s">
        <v>454</v>
      </c>
      <c r="D446" s="6" t="n">
        <v>6</v>
      </c>
      <c r="E446" s="9" t="s">
        <v>4544</v>
      </c>
      <c r="F446" s="6" t="n">
        <v>75000</v>
      </c>
      <c r="G446" s="6" t="n">
        <v>66000</v>
      </c>
      <c r="H446" s="6" t="n">
        <v>8000</v>
      </c>
      <c r="I446" s="6" t="n">
        <v>48000</v>
      </c>
      <c r="J446" s="6" t="n">
        <v>14000</v>
      </c>
      <c r="K446" s="6" t="n">
        <v>3000</v>
      </c>
      <c r="L446" s="6" t="n">
        <v>0</v>
      </c>
      <c r="M446" s="6" t="n">
        <v>0</v>
      </c>
      <c r="N446" s="6" t="n">
        <v>3000</v>
      </c>
      <c r="O446" s="6" t="n">
        <v>19000</v>
      </c>
      <c r="P446" s="6" t="n">
        <v>7000</v>
      </c>
      <c r="Q446" s="1" t="n">
        <f aca="false">IF($A446="","",IF(OR(F446="",I446=""),"",F446-I446))</f>
        <v>27000</v>
      </c>
      <c r="R446" s="1" t="n">
        <f aca="false">IF($A446="","",IF(Q446="","",Q446+IF(O446="",0,O446)))</f>
        <v>46000</v>
      </c>
      <c r="T446" s="1" t="n">
        <f aca="false">IF($A446="","",IF(R446="","",R446-IF(S446="",0,S446)))</f>
        <v>46000</v>
      </c>
      <c r="U446" s="1" t="n">
        <f aca="false">IF($A446="","",IF(I446="","",I446-SUM(J446:P446)))</f>
        <v>2000</v>
      </c>
      <c r="V446" s="6" t="s">
        <v>4545</v>
      </c>
      <c r="W446" s="44" t="s">
        <v>1168</v>
      </c>
      <c r="X446" s="9" t="s">
        <v>4609</v>
      </c>
      <c r="AC446" s="9" t="s">
        <v>4369</v>
      </c>
      <c r="AD446" s="9" t="s">
        <v>4370</v>
      </c>
      <c r="AE446" s="9" t="s">
        <v>4408</v>
      </c>
    </row>
    <row r="447" customFormat="false" ht="15" hidden="false" customHeight="true" outlineLevel="0" collapsed="false">
      <c r="A447" s="6" t="s">
        <v>1935</v>
      </c>
      <c r="B447" s="6" t="s">
        <v>448</v>
      </c>
      <c r="C447" s="6" t="s">
        <v>454</v>
      </c>
      <c r="D447" s="6" t="n">
        <v>6</v>
      </c>
      <c r="E447" s="9" t="s">
        <v>4544</v>
      </c>
      <c r="F447" s="6" t="n">
        <v>11000</v>
      </c>
      <c r="G447" s="6" t="n">
        <v>10000</v>
      </c>
      <c r="H447" s="6" t="n">
        <v>0</v>
      </c>
      <c r="I447" s="6" t="n">
        <v>6000</v>
      </c>
      <c r="J447" s="6" t="n">
        <v>1000</v>
      </c>
      <c r="K447" s="6" t="n">
        <v>0</v>
      </c>
      <c r="L447" s="6" t="n">
        <v>0</v>
      </c>
      <c r="M447" s="6" t="n">
        <v>0</v>
      </c>
      <c r="N447" s="6" t="n">
        <v>0</v>
      </c>
      <c r="O447" s="6" t="n">
        <v>4000</v>
      </c>
      <c r="P447" s="6" t="n">
        <v>0</v>
      </c>
      <c r="Q447" s="1" t="n">
        <f aca="false">IF($A447="","",IF(OR(F447="",I447=""),"",F447-I447))</f>
        <v>5000</v>
      </c>
      <c r="R447" s="1" t="n">
        <f aca="false">IF($A447="","",IF(Q447="","",Q447+IF(O447="",0,O447)))</f>
        <v>9000</v>
      </c>
      <c r="T447" s="1" t="n">
        <f aca="false">IF($A447="","",IF(R447="","",R447-IF(S447="",0,S447)))</f>
        <v>9000</v>
      </c>
      <c r="U447" s="1" t="n">
        <f aca="false">IF($A447="","",IF(I447="","",I447-SUM(J447:P447)))</f>
        <v>1000</v>
      </c>
      <c r="V447" s="6" t="s">
        <v>4545</v>
      </c>
      <c r="W447" s="44" t="s">
        <v>1168</v>
      </c>
      <c r="X447" s="9" t="s">
        <v>4610</v>
      </c>
      <c r="AC447" s="9" t="s">
        <v>4369</v>
      </c>
      <c r="AD447" s="9" t="s">
        <v>4370</v>
      </c>
      <c r="AE447" s="9" t="s">
        <v>4445</v>
      </c>
    </row>
    <row r="448" customFormat="false" ht="15" hidden="false" customHeight="true" outlineLevel="0" collapsed="false">
      <c r="A448" s="6" t="s">
        <v>1938</v>
      </c>
      <c r="B448" s="6" t="s">
        <v>448</v>
      </c>
      <c r="C448" s="6" t="s">
        <v>454</v>
      </c>
      <c r="D448" s="6" t="n">
        <v>6</v>
      </c>
      <c r="E448" s="9" t="s">
        <v>4611</v>
      </c>
      <c r="Q448" s="1" t="str">
        <f aca="false">IF($A448="","",IF(OR(F448="",I448=""),"",F448-I448))</f>
        <v/>
      </c>
      <c r="R448" s="1" t="str">
        <f aca="false">IF($A448="","",IF(Q448="","",Q448+IF(O448="",0,O448)))</f>
        <v/>
      </c>
      <c r="T448" s="1" t="str">
        <f aca="false">IF($A448="","",IF(R448="","",R448-IF(S448="",0,S448)))</f>
        <v/>
      </c>
      <c r="U448" s="1" t="str">
        <f aca="false">IF($A448="","",IF(I448="","",I448-SUM(J448:P448)))</f>
        <v/>
      </c>
      <c r="V448" s="6" t="s">
        <v>4612</v>
      </c>
      <c r="W448" s="9" t="s">
        <v>528</v>
      </c>
      <c r="X448" s="9" t="s">
        <v>4613</v>
      </c>
      <c r="AC448" s="9" t="s">
        <v>4369</v>
      </c>
      <c r="AD448" s="9" t="s">
        <v>4370</v>
      </c>
      <c r="AE448" s="9" t="s">
        <v>4371</v>
      </c>
    </row>
    <row r="449" customFormat="false" ht="15" hidden="false" customHeight="true" outlineLevel="0" collapsed="false">
      <c r="A449" s="6" t="s">
        <v>1942</v>
      </c>
      <c r="B449" s="6" t="s">
        <v>448</v>
      </c>
      <c r="C449" s="6" t="s">
        <v>454</v>
      </c>
      <c r="D449" s="6" t="n">
        <v>6</v>
      </c>
      <c r="E449" s="9" t="s">
        <v>4376</v>
      </c>
      <c r="F449" s="6" t="n">
        <v>11206538</v>
      </c>
      <c r="G449" s="6" t="n">
        <v>10100506</v>
      </c>
      <c r="H449" s="6" t="n">
        <v>1106031</v>
      </c>
      <c r="I449" s="6" t="n">
        <v>6416161</v>
      </c>
      <c r="J449" s="6" t="n">
        <v>1384712</v>
      </c>
      <c r="K449" s="6" t="n">
        <v>740597</v>
      </c>
      <c r="L449" s="6" t="n">
        <v>827948</v>
      </c>
      <c r="M449" s="6" t="n">
        <v>21745</v>
      </c>
      <c r="N449" s="6" t="n">
        <v>1011352</v>
      </c>
      <c r="O449" s="6" t="n">
        <v>1653117</v>
      </c>
      <c r="P449" s="6" t="n">
        <v>776685</v>
      </c>
      <c r="Q449" s="1" t="n">
        <f aca="false">IF($A449="","",IF(OR(F449="",I449=""),"",F449-I449))</f>
        <v>4790377</v>
      </c>
      <c r="R449" s="1" t="n">
        <f aca="false">IF($A449="","",IF(Q449="","",Q449+IF(O449="",0,O449)))</f>
        <v>6443494</v>
      </c>
      <c r="S449" s="6" t="n">
        <v>1355308</v>
      </c>
      <c r="T449" s="1" t="n">
        <f aca="false">IF($A449="","",IF(R449="","",R449-IF(S449="",0,S449)))</f>
        <v>5088186</v>
      </c>
      <c r="U449" s="1" t="n">
        <f aca="false">IF($A449="","",IF(I449="","",I449-SUM(J449:P449)))</f>
        <v>5</v>
      </c>
      <c r="V449" s="6" t="s">
        <v>4614</v>
      </c>
      <c r="W449" s="44" t="s">
        <v>1168</v>
      </c>
      <c r="X449" s="9" t="s">
        <v>4615</v>
      </c>
      <c r="AC449" s="9" t="s">
        <v>4369</v>
      </c>
      <c r="AD449" s="9" t="s">
        <v>4370</v>
      </c>
      <c r="AE449" s="9" t="s">
        <v>4371</v>
      </c>
    </row>
    <row r="450" customFormat="false" ht="15" hidden="false" customHeight="true" outlineLevel="0" collapsed="false">
      <c r="A450" s="6" t="s">
        <v>1947</v>
      </c>
      <c r="B450" s="6" t="s">
        <v>463</v>
      </c>
      <c r="C450" s="6" t="s">
        <v>467</v>
      </c>
      <c r="D450" s="6" t="n">
        <v>6</v>
      </c>
      <c r="E450" s="9" t="s">
        <v>4616</v>
      </c>
      <c r="F450" s="6" t="n">
        <v>178000</v>
      </c>
      <c r="Q450" s="1" t="str">
        <f aca="false">IF($A450="","",IF(OR(F450="",I450=""),"",F450-I450))</f>
        <v/>
      </c>
      <c r="R450" s="1" t="str">
        <f aca="false">IF($A450="","",IF(Q450="","",Q450+IF(O450="",0,O450)))</f>
        <v/>
      </c>
      <c r="T450" s="1" t="str">
        <f aca="false">IF($A450="","",IF(R450="","",R450-IF(S450="",0,S450)))</f>
        <v/>
      </c>
      <c r="U450" s="1" t="str">
        <f aca="false">IF($A450="","",IF(I450="","",I450-SUM(J450:P450)))</f>
        <v/>
      </c>
      <c r="V450" s="6" t="s">
        <v>4617</v>
      </c>
      <c r="W450" s="44" t="s">
        <v>1168</v>
      </c>
      <c r="X450" s="9" t="s">
        <v>4618</v>
      </c>
      <c r="AC450" s="9" t="s">
        <v>4369</v>
      </c>
      <c r="AD450" s="9" t="s">
        <v>4370</v>
      </c>
      <c r="AE450" s="9" t="s">
        <v>4408</v>
      </c>
    </row>
    <row r="451" customFormat="false" ht="15" hidden="false" customHeight="true" outlineLevel="0" collapsed="false">
      <c r="A451" s="6" t="s">
        <v>1951</v>
      </c>
      <c r="B451" s="6" t="s">
        <v>463</v>
      </c>
      <c r="C451" s="6" t="s">
        <v>467</v>
      </c>
      <c r="D451" s="6" t="n">
        <v>6</v>
      </c>
      <c r="E451" s="9" t="s">
        <v>4616</v>
      </c>
      <c r="F451" s="6" t="n">
        <v>48000</v>
      </c>
      <c r="Q451" s="1" t="str">
        <f aca="false">IF($A451="","",IF(OR(F451="",I451=""),"",F451-I451))</f>
        <v/>
      </c>
      <c r="R451" s="1" t="str">
        <f aca="false">IF($A451="","",IF(Q451="","",Q451+IF(O451="",0,O451)))</f>
        <v/>
      </c>
      <c r="T451" s="1" t="str">
        <f aca="false">IF($A451="","",IF(R451="","",R451-IF(S451="",0,S451)))</f>
        <v/>
      </c>
      <c r="U451" s="1" t="str">
        <f aca="false">IF($A451="","",IF(I451="","",I451-SUM(J451:P451)))</f>
        <v/>
      </c>
      <c r="V451" s="6" t="s">
        <v>4617</v>
      </c>
      <c r="W451" s="44" t="s">
        <v>1168</v>
      </c>
      <c r="X451" s="9" t="s">
        <v>4619</v>
      </c>
      <c r="AC451" s="9" t="s">
        <v>4369</v>
      </c>
      <c r="AD451" s="9" t="s">
        <v>4370</v>
      </c>
      <c r="AE451" s="9" t="s">
        <v>4445</v>
      </c>
    </row>
    <row r="452" customFormat="false" ht="15" hidden="false" customHeight="true" outlineLevel="0" collapsed="false">
      <c r="A452" s="6" t="s">
        <v>1954</v>
      </c>
      <c r="B452" s="6" t="s">
        <v>463</v>
      </c>
      <c r="C452" s="6" t="s">
        <v>467</v>
      </c>
      <c r="D452" s="6" t="n">
        <v>6</v>
      </c>
      <c r="E452" s="9" t="s">
        <v>4616</v>
      </c>
      <c r="F452" s="6" t="n">
        <v>61000</v>
      </c>
      <c r="Q452" s="1" t="str">
        <f aca="false">IF($A452="","",IF(OR(F452="",I452=""),"",F452-I452))</f>
        <v/>
      </c>
      <c r="R452" s="1" t="str">
        <f aca="false">IF($A452="","",IF(Q452="","",Q452+IF(O452="",0,O452)))</f>
        <v/>
      </c>
      <c r="T452" s="1" t="str">
        <f aca="false">IF($A452="","",IF(R452="","",R452-IF(S452="",0,S452)))</f>
        <v/>
      </c>
      <c r="U452" s="1" t="str">
        <f aca="false">IF($A452="","",IF(I452="","",I452-SUM(J452:P452)))</f>
        <v/>
      </c>
      <c r="V452" s="6" t="s">
        <v>4617</v>
      </c>
      <c r="W452" s="44" t="s">
        <v>1168</v>
      </c>
      <c r="X452" s="9" t="s">
        <v>4620</v>
      </c>
      <c r="AC452" s="9" t="s">
        <v>4369</v>
      </c>
      <c r="AD452" s="9" t="s">
        <v>4370</v>
      </c>
      <c r="AE452" s="9" t="s">
        <v>4408</v>
      </c>
    </row>
    <row r="453" customFormat="false" ht="15" hidden="false" customHeight="true" outlineLevel="0" collapsed="false">
      <c r="A453" s="6" t="s">
        <v>1957</v>
      </c>
      <c r="B453" s="6" t="s">
        <v>463</v>
      </c>
      <c r="C453" s="6" t="s">
        <v>467</v>
      </c>
      <c r="D453" s="6" t="n">
        <v>6</v>
      </c>
      <c r="E453" s="9" t="s">
        <v>4621</v>
      </c>
      <c r="F453" s="6" t="n">
        <v>12000</v>
      </c>
      <c r="Q453" s="1" t="str">
        <f aca="false">IF($A453="","",IF(OR(F453="",I453=""),"",F453-I453))</f>
        <v/>
      </c>
      <c r="R453" s="1" t="str">
        <f aca="false">IF($A453="","",IF(Q453="","",Q453+IF(O453="",0,O453)))</f>
        <v/>
      </c>
      <c r="T453" s="1" t="str">
        <f aca="false">IF($A453="","",IF(R453="","",R453-IF(S453="",0,S453)))</f>
        <v/>
      </c>
      <c r="U453" s="1" t="str">
        <f aca="false">IF($A453="","",IF(I453="","",I453-SUM(J453:P453)))</f>
        <v/>
      </c>
      <c r="V453" s="6" t="s">
        <v>4617</v>
      </c>
      <c r="W453" s="9" t="s">
        <v>528</v>
      </c>
      <c r="X453" s="6" t="s">
        <v>4622</v>
      </c>
      <c r="AC453" s="6" t="s">
        <v>4373</v>
      </c>
      <c r="AD453" s="9" t="s">
        <v>4389</v>
      </c>
      <c r="AE453" s="9" t="s">
        <v>4445</v>
      </c>
    </row>
    <row r="454" customFormat="false" ht="15" hidden="false" customHeight="true" outlineLevel="0" collapsed="false">
      <c r="A454" s="6" t="s">
        <v>1960</v>
      </c>
      <c r="B454" s="6" t="s">
        <v>463</v>
      </c>
      <c r="C454" s="6" t="s">
        <v>467</v>
      </c>
      <c r="D454" s="6" t="n">
        <v>6</v>
      </c>
      <c r="E454" s="9" t="s">
        <v>4616</v>
      </c>
      <c r="F454" s="6" t="n">
        <v>48000</v>
      </c>
      <c r="Q454" s="1" t="str">
        <f aca="false">IF($A454="","",IF(OR(F454="",I454=""),"",F454-I454))</f>
        <v/>
      </c>
      <c r="R454" s="1" t="str">
        <f aca="false">IF($A454="","",IF(Q454="","",Q454+IF(O454="",0,O454)))</f>
        <v/>
      </c>
      <c r="T454" s="1" t="str">
        <f aca="false">IF($A454="","",IF(R454="","",R454-IF(S454="",0,S454)))</f>
        <v/>
      </c>
      <c r="U454" s="1" t="str">
        <f aca="false">IF($A454="","",IF(I454="","",I454-SUM(J454:P454)))</f>
        <v/>
      </c>
      <c r="V454" s="6" t="s">
        <v>4617</v>
      </c>
      <c r="W454" s="44" t="s">
        <v>1168</v>
      </c>
      <c r="X454" s="9" t="s">
        <v>4619</v>
      </c>
      <c r="AC454" s="9" t="s">
        <v>4369</v>
      </c>
      <c r="AD454" s="9" t="s">
        <v>4370</v>
      </c>
      <c r="AE454" s="9" t="s">
        <v>4445</v>
      </c>
    </row>
    <row r="455" customFormat="false" ht="15" hidden="false" customHeight="true" outlineLevel="0" collapsed="false">
      <c r="A455" s="6" t="s">
        <v>1963</v>
      </c>
      <c r="B455" s="6" t="s">
        <v>463</v>
      </c>
      <c r="C455" s="6" t="s">
        <v>467</v>
      </c>
      <c r="D455" s="6" t="n">
        <v>6</v>
      </c>
      <c r="E455" s="9" t="s">
        <v>4616</v>
      </c>
      <c r="F455" s="6" t="n">
        <v>47000</v>
      </c>
      <c r="Q455" s="1" t="str">
        <f aca="false">IF($A455="","",IF(OR(F455="",I455=""),"",F455-I455))</f>
        <v/>
      </c>
      <c r="R455" s="1" t="str">
        <f aca="false">IF($A455="","",IF(Q455="","",Q455+IF(O455="",0,O455)))</f>
        <v/>
      </c>
      <c r="T455" s="1" t="str">
        <f aca="false">IF($A455="","",IF(R455="","",R455-IF(S455="",0,S455)))</f>
        <v/>
      </c>
      <c r="U455" s="1" t="str">
        <f aca="false">IF($A455="","",IF(I455="","",I455-SUM(J455:P455)))</f>
        <v/>
      </c>
      <c r="V455" s="6" t="s">
        <v>4617</v>
      </c>
      <c r="W455" s="44" t="s">
        <v>1168</v>
      </c>
      <c r="X455" s="9" t="s">
        <v>4623</v>
      </c>
      <c r="AC455" s="9" t="s">
        <v>4369</v>
      </c>
      <c r="AD455" s="9" t="s">
        <v>4370</v>
      </c>
      <c r="AE455" s="9" t="s">
        <v>4445</v>
      </c>
    </row>
    <row r="456" customFormat="false" ht="15" hidden="false" customHeight="true" outlineLevel="0" collapsed="false">
      <c r="A456" s="6" t="s">
        <v>1966</v>
      </c>
      <c r="B456" s="6" t="s">
        <v>463</v>
      </c>
      <c r="C456" s="6" t="s">
        <v>467</v>
      </c>
      <c r="D456" s="6" t="n">
        <v>6</v>
      </c>
      <c r="E456" s="9" t="s">
        <v>4616</v>
      </c>
      <c r="F456" s="6" t="n">
        <v>71000</v>
      </c>
      <c r="Q456" s="1" t="str">
        <f aca="false">IF($A456="","",IF(OR(F456="",I456=""),"",F456-I456))</f>
        <v/>
      </c>
      <c r="R456" s="1" t="str">
        <f aca="false">IF($A456="","",IF(Q456="","",Q456+IF(O456="",0,O456)))</f>
        <v/>
      </c>
      <c r="T456" s="1" t="str">
        <f aca="false">IF($A456="","",IF(R456="","",R456-IF(S456="",0,S456)))</f>
        <v/>
      </c>
      <c r="U456" s="1" t="str">
        <f aca="false">IF($A456="","",IF(I456="","",I456-SUM(J456:P456)))</f>
        <v/>
      </c>
      <c r="V456" s="6" t="s">
        <v>4617</v>
      </c>
      <c r="W456" s="44" t="s">
        <v>1168</v>
      </c>
      <c r="X456" s="9" t="s">
        <v>4624</v>
      </c>
      <c r="AC456" s="9" t="s">
        <v>4369</v>
      </c>
      <c r="AD456" s="9" t="s">
        <v>4370</v>
      </c>
      <c r="AE456" s="9" t="s">
        <v>4408</v>
      </c>
    </row>
    <row r="457" customFormat="false" ht="15" hidden="false" customHeight="true" outlineLevel="0" collapsed="false">
      <c r="A457" s="6" t="s">
        <v>1969</v>
      </c>
      <c r="B457" s="6" t="s">
        <v>463</v>
      </c>
      <c r="C457" s="6" t="s">
        <v>467</v>
      </c>
      <c r="D457" s="6" t="n">
        <v>6</v>
      </c>
      <c r="E457" s="9" t="s">
        <v>4621</v>
      </c>
      <c r="F457" s="6" t="n">
        <v>38000</v>
      </c>
      <c r="Q457" s="1" t="str">
        <f aca="false">IF($A457="","",IF(OR(F457="",I457=""),"",F457-I457))</f>
        <v/>
      </c>
      <c r="R457" s="1" t="str">
        <f aca="false">IF($A457="","",IF(Q457="","",Q457+IF(O457="",0,O457)))</f>
        <v/>
      </c>
      <c r="T457" s="1" t="str">
        <f aca="false">IF($A457="","",IF(R457="","",R457-IF(S457="",0,S457)))</f>
        <v/>
      </c>
      <c r="U457" s="1" t="str">
        <f aca="false">IF($A457="","",IF(I457="","",I457-SUM(J457:P457)))</f>
        <v/>
      </c>
      <c r="V457" s="6" t="s">
        <v>4617</v>
      </c>
      <c r="W457" s="9" t="s">
        <v>528</v>
      </c>
      <c r="X457" s="6" t="s">
        <v>4625</v>
      </c>
      <c r="AC457" s="6" t="s">
        <v>4373</v>
      </c>
      <c r="AD457" s="9" t="s">
        <v>4389</v>
      </c>
      <c r="AE457" s="9" t="s">
        <v>4445</v>
      </c>
    </row>
    <row r="458" customFormat="false" ht="15" hidden="false" customHeight="true" outlineLevel="0" collapsed="false">
      <c r="A458" s="6" t="s">
        <v>1972</v>
      </c>
      <c r="B458" s="6" t="s">
        <v>463</v>
      </c>
      <c r="C458" s="6" t="s">
        <v>467</v>
      </c>
      <c r="D458" s="6" t="n">
        <v>6</v>
      </c>
      <c r="E458" s="9" t="s">
        <v>4616</v>
      </c>
      <c r="F458" s="6" t="n">
        <v>57000</v>
      </c>
      <c r="Q458" s="1" t="str">
        <f aca="false">IF($A458="","",IF(OR(F458="",I458=""),"",F458-I458))</f>
        <v/>
      </c>
      <c r="R458" s="1" t="str">
        <f aca="false">IF($A458="","",IF(Q458="","",Q458+IF(O458="",0,O458)))</f>
        <v/>
      </c>
      <c r="T458" s="1" t="str">
        <f aca="false">IF($A458="","",IF(R458="","",R458-IF(S458="",0,S458)))</f>
        <v/>
      </c>
      <c r="U458" s="1" t="str">
        <f aca="false">IF($A458="","",IF(I458="","",I458-SUM(J458:P458)))</f>
        <v/>
      </c>
      <c r="V458" s="6" t="s">
        <v>4617</v>
      </c>
      <c r="W458" s="44" t="s">
        <v>1168</v>
      </c>
      <c r="X458" s="9" t="s">
        <v>4626</v>
      </c>
      <c r="AC458" s="9" t="s">
        <v>4369</v>
      </c>
      <c r="AD458" s="9" t="s">
        <v>4370</v>
      </c>
      <c r="AE458" s="9" t="s">
        <v>4408</v>
      </c>
    </row>
    <row r="459" customFormat="false" ht="15" hidden="false" customHeight="true" outlineLevel="0" collapsed="false">
      <c r="A459" s="6" t="s">
        <v>1975</v>
      </c>
      <c r="B459" s="6" t="s">
        <v>463</v>
      </c>
      <c r="C459" s="6" t="s">
        <v>467</v>
      </c>
      <c r="D459" s="6" t="n">
        <v>6</v>
      </c>
      <c r="E459" s="9" t="s">
        <v>4616</v>
      </c>
      <c r="F459" s="6" t="n">
        <v>31000</v>
      </c>
      <c r="Q459" s="1" t="str">
        <f aca="false">IF($A459="","",IF(OR(F459="",I459=""),"",F459-I459))</f>
        <v/>
      </c>
      <c r="R459" s="1" t="str">
        <f aca="false">IF($A459="","",IF(Q459="","",Q459+IF(O459="",0,O459)))</f>
        <v/>
      </c>
      <c r="T459" s="1" t="str">
        <f aca="false">IF($A459="","",IF(R459="","",R459-IF(S459="",0,S459)))</f>
        <v/>
      </c>
      <c r="U459" s="1" t="str">
        <f aca="false">IF($A459="","",IF(I459="","",I459-SUM(J459:P459)))</f>
        <v/>
      </c>
      <c r="V459" s="6" t="s">
        <v>4617</v>
      </c>
      <c r="W459" s="44" t="s">
        <v>1168</v>
      </c>
      <c r="X459" s="9" t="s">
        <v>4627</v>
      </c>
      <c r="AC459" s="9" t="s">
        <v>4369</v>
      </c>
      <c r="AD459" s="9" t="s">
        <v>4370</v>
      </c>
      <c r="AE459" s="9" t="s">
        <v>4445</v>
      </c>
    </row>
    <row r="460" customFormat="false" ht="15" hidden="false" customHeight="true" outlineLevel="0" collapsed="false">
      <c r="A460" s="6" t="s">
        <v>1978</v>
      </c>
      <c r="B460" s="6" t="s">
        <v>463</v>
      </c>
      <c r="C460" s="6" t="s">
        <v>467</v>
      </c>
      <c r="D460" s="6" t="n">
        <v>6</v>
      </c>
      <c r="E460" s="9" t="s">
        <v>4616</v>
      </c>
      <c r="F460" s="6" t="n">
        <v>48000</v>
      </c>
      <c r="Q460" s="1" t="str">
        <f aca="false">IF($A460="","",IF(OR(F460="",I460=""),"",F460-I460))</f>
        <v/>
      </c>
      <c r="R460" s="1" t="str">
        <f aca="false">IF($A460="","",IF(Q460="","",Q460+IF(O460="",0,O460)))</f>
        <v/>
      </c>
      <c r="T460" s="1" t="str">
        <f aca="false">IF($A460="","",IF(R460="","",R460-IF(S460="",0,S460)))</f>
        <v/>
      </c>
      <c r="U460" s="1" t="str">
        <f aca="false">IF($A460="","",IF(I460="","",I460-SUM(J460:P460)))</f>
        <v/>
      </c>
      <c r="V460" s="6" t="s">
        <v>4617</v>
      </c>
      <c r="W460" s="44" t="s">
        <v>1168</v>
      </c>
      <c r="X460" s="9" t="s">
        <v>4619</v>
      </c>
      <c r="AC460" s="9" t="s">
        <v>4369</v>
      </c>
      <c r="AD460" s="9" t="s">
        <v>4370</v>
      </c>
      <c r="AE460" s="9" t="s">
        <v>4445</v>
      </c>
    </row>
    <row r="461" customFormat="false" ht="15" hidden="false" customHeight="true" outlineLevel="0" collapsed="false">
      <c r="A461" s="6" t="s">
        <v>1981</v>
      </c>
      <c r="B461" s="6" t="s">
        <v>463</v>
      </c>
      <c r="C461" s="6" t="s">
        <v>467</v>
      </c>
      <c r="D461" s="6" t="n">
        <v>6</v>
      </c>
      <c r="E461" s="9" t="s">
        <v>4621</v>
      </c>
      <c r="F461" s="6" t="n">
        <v>42000</v>
      </c>
      <c r="Q461" s="1" t="str">
        <f aca="false">IF($A461="","",IF(OR(F461="",I461=""),"",F461-I461))</f>
        <v/>
      </c>
      <c r="R461" s="1" t="str">
        <f aca="false">IF($A461="","",IF(Q461="","",Q461+IF(O461="",0,O461)))</f>
        <v/>
      </c>
      <c r="T461" s="1" t="str">
        <f aca="false">IF($A461="","",IF(R461="","",R461-IF(S461="",0,S461)))</f>
        <v/>
      </c>
      <c r="U461" s="1" t="str">
        <f aca="false">IF($A461="","",IF(I461="","",I461-SUM(J461:P461)))</f>
        <v/>
      </c>
      <c r="V461" s="6" t="s">
        <v>4617</v>
      </c>
      <c r="W461" s="9" t="s">
        <v>528</v>
      </c>
      <c r="X461" s="6" t="s">
        <v>4628</v>
      </c>
      <c r="AC461" s="6" t="s">
        <v>4373</v>
      </c>
      <c r="AD461" s="9" t="s">
        <v>4389</v>
      </c>
      <c r="AE461" s="9" t="s">
        <v>4445</v>
      </c>
    </row>
    <row r="462" customFormat="false" ht="15" hidden="false" customHeight="true" outlineLevel="0" collapsed="false">
      <c r="A462" s="6" t="s">
        <v>1984</v>
      </c>
      <c r="B462" s="6" t="s">
        <v>463</v>
      </c>
      <c r="C462" s="6" t="s">
        <v>467</v>
      </c>
      <c r="D462" s="6" t="n">
        <v>6</v>
      </c>
      <c r="E462" s="9" t="s">
        <v>4616</v>
      </c>
      <c r="F462" s="6" t="n">
        <v>31000</v>
      </c>
      <c r="Q462" s="1" t="str">
        <f aca="false">IF($A462="","",IF(OR(F462="",I462=""),"",F462-I462))</f>
        <v/>
      </c>
      <c r="R462" s="1" t="str">
        <f aca="false">IF($A462="","",IF(Q462="","",Q462+IF(O462="",0,O462)))</f>
        <v/>
      </c>
      <c r="T462" s="1" t="str">
        <f aca="false">IF($A462="","",IF(R462="","",R462-IF(S462="",0,S462)))</f>
        <v/>
      </c>
      <c r="U462" s="1" t="str">
        <f aca="false">IF($A462="","",IF(I462="","",I462-SUM(J462:P462)))</f>
        <v/>
      </c>
      <c r="V462" s="6" t="s">
        <v>4617</v>
      </c>
      <c r="W462" s="44" t="s">
        <v>1168</v>
      </c>
      <c r="X462" s="9" t="s">
        <v>4627</v>
      </c>
      <c r="AC462" s="9" t="s">
        <v>4369</v>
      </c>
      <c r="AD462" s="9" t="s">
        <v>4370</v>
      </c>
      <c r="AE462" s="9" t="s">
        <v>4445</v>
      </c>
    </row>
    <row r="463" customFormat="false" ht="15" hidden="false" customHeight="true" outlineLevel="0" collapsed="false">
      <c r="A463" s="6" t="s">
        <v>1987</v>
      </c>
      <c r="B463" s="6" t="s">
        <v>463</v>
      </c>
      <c r="C463" s="6" t="s">
        <v>467</v>
      </c>
      <c r="D463" s="6" t="n">
        <v>6</v>
      </c>
      <c r="E463" s="9" t="s">
        <v>4616</v>
      </c>
      <c r="F463" s="6" t="n">
        <v>34000</v>
      </c>
      <c r="Q463" s="1" t="str">
        <f aca="false">IF($A463="","",IF(OR(F463="",I463=""),"",F463-I463))</f>
        <v/>
      </c>
      <c r="R463" s="1" t="str">
        <f aca="false">IF($A463="","",IF(Q463="","",Q463+IF(O463="",0,O463)))</f>
        <v/>
      </c>
      <c r="T463" s="1" t="str">
        <f aca="false">IF($A463="","",IF(R463="","",R463-IF(S463="",0,S463)))</f>
        <v/>
      </c>
      <c r="U463" s="1" t="str">
        <f aca="false">IF($A463="","",IF(I463="","",I463-SUM(J463:P463)))</f>
        <v/>
      </c>
      <c r="V463" s="6" t="s">
        <v>4617</v>
      </c>
      <c r="W463" s="44" t="s">
        <v>1168</v>
      </c>
      <c r="X463" s="9" t="s">
        <v>4629</v>
      </c>
      <c r="AC463" s="9" t="s">
        <v>4369</v>
      </c>
      <c r="AD463" s="9" t="s">
        <v>4370</v>
      </c>
      <c r="AE463" s="9" t="s">
        <v>4445</v>
      </c>
    </row>
    <row r="464" customFormat="false" ht="15" hidden="false" customHeight="true" outlineLevel="0" collapsed="false">
      <c r="A464" s="6" t="s">
        <v>1990</v>
      </c>
      <c r="B464" s="6" t="s">
        <v>463</v>
      </c>
      <c r="C464" s="6" t="s">
        <v>467</v>
      </c>
      <c r="D464" s="6" t="n">
        <v>6</v>
      </c>
      <c r="E464" s="9" t="s">
        <v>4616</v>
      </c>
      <c r="F464" s="6" t="n">
        <v>103000</v>
      </c>
      <c r="Q464" s="1" t="str">
        <f aca="false">IF($A464="","",IF(OR(F464="",I464=""),"",F464-I464))</f>
        <v/>
      </c>
      <c r="R464" s="1" t="str">
        <f aca="false">IF($A464="","",IF(Q464="","",Q464+IF(O464="",0,O464)))</f>
        <v/>
      </c>
      <c r="T464" s="1" t="str">
        <f aca="false">IF($A464="","",IF(R464="","",R464-IF(S464="",0,S464)))</f>
        <v/>
      </c>
      <c r="U464" s="1" t="str">
        <f aca="false">IF($A464="","",IF(I464="","",I464-SUM(J464:P464)))</f>
        <v/>
      </c>
      <c r="V464" s="6" t="s">
        <v>4617</v>
      </c>
      <c r="W464" s="44" t="s">
        <v>1168</v>
      </c>
      <c r="X464" s="9" t="s">
        <v>4630</v>
      </c>
      <c r="AC464" s="9" t="s">
        <v>4369</v>
      </c>
      <c r="AD464" s="9" t="s">
        <v>4370</v>
      </c>
      <c r="AE464" s="9" t="s">
        <v>4408</v>
      </c>
    </row>
    <row r="465" customFormat="false" ht="15" hidden="false" customHeight="true" outlineLevel="0" collapsed="false">
      <c r="A465" s="6" t="s">
        <v>1993</v>
      </c>
      <c r="B465" s="6" t="s">
        <v>463</v>
      </c>
      <c r="C465" s="6" t="s">
        <v>467</v>
      </c>
      <c r="D465" s="6" t="n">
        <v>6</v>
      </c>
      <c r="E465" s="9" t="s">
        <v>4616</v>
      </c>
      <c r="F465" s="6" t="n">
        <v>81000</v>
      </c>
      <c r="Q465" s="1" t="str">
        <f aca="false">IF($A465="","",IF(OR(F465="",I465=""),"",F465-I465))</f>
        <v/>
      </c>
      <c r="R465" s="1" t="str">
        <f aca="false">IF($A465="","",IF(Q465="","",Q465+IF(O465="",0,O465)))</f>
        <v/>
      </c>
      <c r="T465" s="1" t="str">
        <f aca="false">IF($A465="","",IF(R465="","",R465-IF(S465="",0,S465)))</f>
        <v/>
      </c>
      <c r="U465" s="1" t="str">
        <f aca="false">IF($A465="","",IF(I465="","",I465-SUM(J465:P465)))</f>
        <v/>
      </c>
      <c r="V465" s="6" t="s">
        <v>4617</v>
      </c>
      <c r="W465" s="44" t="s">
        <v>1168</v>
      </c>
      <c r="X465" s="9" t="s">
        <v>4631</v>
      </c>
      <c r="AC465" s="9" t="s">
        <v>4369</v>
      </c>
      <c r="AD465" s="9" t="s">
        <v>4370</v>
      </c>
      <c r="AE465" s="9" t="s">
        <v>4408</v>
      </c>
    </row>
    <row r="466" customFormat="false" ht="15" hidden="false" customHeight="true" outlineLevel="0" collapsed="false">
      <c r="A466" s="6" t="s">
        <v>1996</v>
      </c>
      <c r="B466" s="6" t="s">
        <v>463</v>
      </c>
      <c r="C466" s="6" t="s">
        <v>467</v>
      </c>
      <c r="D466" s="6" t="n">
        <v>6</v>
      </c>
      <c r="E466" s="9" t="s">
        <v>4621</v>
      </c>
      <c r="F466" s="6" t="n">
        <v>32000</v>
      </c>
      <c r="Q466" s="1" t="str">
        <f aca="false">IF($A466="","",IF(OR(F466="",I466=""),"",F466-I466))</f>
        <v/>
      </c>
      <c r="R466" s="1" t="str">
        <f aca="false">IF($A466="","",IF(Q466="","",Q466+IF(O466="",0,O466)))</f>
        <v/>
      </c>
      <c r="T466" s="1" t="str">
        <f aca="false">IF($A466="","",IF(R466="","",R466-IF(S466="",0,S466)))</f>
        <v/>
      </c>
      <c r="U466" s="1" t="str">
        <f aca="false">IF($A466="","",IF(I466="","",I466-SUM(J466:P466)))</f>
        <v/>
      </c>
      <c r="V466" s="6" t="s">
        <v>4617</v>
      </c>
      <c r="W466" s="9" t="s">
        <v>528</v>
      </c>
      <c r="X466" s="6" t="s">
        <v>4632</v>
      </c>
      <c r="AC466" s="6" t="s">
        <v>4373</v>
      </c>
      <c r="AD466" s="9" t="s">
        <v>4389</v>
      </c>
      <c r="AE466" s="9" t="s">
        <v>4445</v>
      </c>
    </row>
    <row r="467" customFormat="false" ht="15" hidden="false" customHeight="true" outlineLevel="0" collapsed="false">
      <c r="A467" s="6" t="s">
        <v>1999</v>
      </c>
      <c r="B467" s="6" t="s">
        <v>463</v>
      </c>
      <c r="C467" s="6" t="s">
        <v>467</v>
      </c>
      <c r="D467" s="6" t="n">
        <v>6</v>
      </c>
      <c r="E467" s="9" t="s">
        <v>4616</v>
      </c>
      <c r="F467" s="6" t="n">
        <v>37000</v>
      </c>
      <c r="Q467" s="1" t="str">
        <f aca="false">IF($A467="","",IF(OR(F467="",I467=""),"",F467-I467))</f>
        <v/>
      </c>
      <c r="R467" s="1" t="str">
        <f aca="false">IF($A467="","",IF(Q467="","",Q467+IF(O467="",0,O467)))</f>
        <v/>
      </c>
      <c r="T467" s="1" t="str">
        <f aca="false">IF($A467="","",IF(R467="","",R467-IF(S467="",0,S467)))</f>
        <v/>
      </c>
      <c r="U467" s="1" t="str">
        <f aca="false">IF($A467="","",IF(I467="","",I467-SUM(J467:P467)))</f>
        <v/>
      </c>
      <c r="V467" s="6" t="s">
        <v>4617</v>
      </c>
      <c r="W467" s="44" t="s">
        <v>1168</v>
      </c>
      <c r="X467" s="9" t="s">
        <v>4633</v>
      </c>
      <c r="AC467" s="9" t="s">
        <v>4369</v>
      </c>
      <c r="AD467" s="9" t="s">
        <v>4370</v>
      </c>
      <c r="AE467" s="9" t="s">
        <v>4445</v>
      </c>
    </row>
    <row r="468" customFormat="false" ht="15" hidden="false" customHeight="true" outlineLevel="0" collapsed="false">
      <c r="A468" s="6" t="s">
        <v>2002</v>
      </c>
      <c r="B468" s="6" t="s">
        <v>463</v>
      </c>
      <c r="C468" s="6" t="s">
        <v>467</v>
      </c>
      <c r="D468" s="6" t="n">
        <v>6</v>
      </c>
      <c r="E468" s="9" t="s">
        <v>4616</v>
      </c>
      <c r="F468" s="6" t="n">
        <v>64000</v>
      </c>
      <c r="Q468" s="1" t="str">
        <f aca="false">IF($A468="","",IF(OR(F468="",I468=""),"",F468-I468))</f>
        <v/>
      </c>
      <c r="R468" s="1" t="str">
        <f aca="false">IF($A468="","",IF(Q468="","",Q468+IF(O468="",0,O468)))</f>
        <v/>
      </c>
      <c r="T468" s="1" t="str">
        <f aca="false">IF($A468="","",IF(R468="","",R468-IF(S468="",0,S468)))</f>
        <v/>
      </c>
      <c r="U468" s="1" t="str">
        <f aca="false">IF($A468="","",IF(I468="","",I468-SUM(J468:P468)))</f>
        <v/>
      </c>
      <c r="V468" s="6" t="s">
        <v>4617</v>
      </c>
      <c r="W468" s="44" t="s">
        <v>1168</v>
      </c>
      <c r="X468" s="9" t="s">
        <v>4634</v>
      </c>
      <c r="AC468" s="9" t="s">
        <v>4369</v>
      </c>
      <c r="AD468" s="9" t="s">
        <v>4370</v>
      </c>
      <c r="AE468" s="9" t="s">
        <v>4408</v>
      </c>
    </row>
    <row r="469" customFormat="false" ht="15" hidden="false" customHeight="true" outlineLevel="0" collapsed="false">
      <c r="A469" s="6" t="s">
        <v>2005</v>
      </c>
      <c r="B469" s="6" t="s">
        <v>463</v>
      </c>
      <c r="C469" s="6" t="s">
        <v>467</v>
      </c>
      <c r="D469" s="6" t="n">
        <v>6</v>
      </c>
      <c r="E469" s="9" t="s">
        <v>4616</v>
      </c>
      <c r="F469" s="6" t="n">
        <v>68000</v>
      </c>
      <c r="Q469" s="1" t="str">
        <f aca="false">IF($A469="","",IF(OR(F469="",I469=""),"",F469-I469))</f>
        <v/>
      </c>
      <c r="R469" s="1" t="str">
        <f aca="false">IF($A469="","",IF(Q469="","",Q469+IF(O469="",0,O469)))</f>
        <v/>
      </c>
      <c r="T469" s="1" t="str">
        <f aca="false">IF($A469="","",IF(R469="","",R469-IF(S469="",0,S469)))</f>
        <v/>
      </c>
      <c r="U469" s="1" t="str">
        <f aca="false">IF($A469="","",IF(I469="","",I469-SUM(J469:P469)))</f>
        <v/>
      </c>
      <c r="V469" s="6" t="s">
        <v>4617</v>
      </c>
      <c r="W469" s="44" t="s">
        <v>1168</v>
      </c>
      <c r="X469" s="9" t="s">
        <v>4635</v>
      </c>
      <c r="AC469" s="9" t="s">
        <v>4369</v>
      </c>
      <c r="AD469" s="9" t="s">
        <v>4370</v>
      </c>
      <c r="AE469" s="9" t="s">
        <v>4408</v>
      </c>
    </row>
    <row r="470" customFormat="false" ht="15" hidden="false" customHeight="true" outlineLevel="0" collapsed="false">
      <c r="A470" s="6" t="s">
        <v>2008</v>
      </c>
      <c r="B470" s="6" t="s">
        <v>463</v>
      </c>
      <c r="C470" s="6" t="s">
        <v>467</v>
      </c>
      <c r="D470" s="6" t="n">
        <v>6</v>
      </c>
      <c r="E470" s="9" t="s">
        <v>4621</v>
      </c>
      <c r="F470" s="6" t="n">
        <v>15000</v>
      </c>
      <c r="Q470" s="1" t="str">
        <f aca="false">IF($A470="","",IF(OR(F470="",I470=""),"",F470-I470))</f>
        <v/>
      </c>
      <c r="R470" s="1" t="str">
        <f aca="false">IF($A470="","",IF(Q470="","",Q470+IF(O470="",0,O470)))</f>
        <v/>
      </c>
      <c r="T470" s="1" t="str">
        <f aca="false">IF($A470="","",IF(R470="","",R470-IF(S470="",0,S470)))</f>
        <v/>
      </c>
      <c r="U470" s="1" t="str">
        <f aca="false">IF($A470="","",IF(I470="","",I470-SUM(J470:P470)))</f>
        <v/>
      </c>
      <c r="V470" s="6" t="s">
        <v>4617</v>
      </c>
      <c r="W470" s="9" t="s">
        <v>528</v>
      </c>
      <c r="X470" s="6" t="s">
        <v>4636</v>
      </c>
      <c r="AC470" s="6" t="s">
        <v>4373</v>
      </c>
      <c r="AD470" s="9" t="s">
        <v>4389</v>
      </c>
      <c r="AE470" s="9" t="s">
        <v>4445</v>
      </c>
    </row>
    <row r="471" customFormat="false" ht="15" hidden="false" customHeight="true" outlineLevel="0" collapsed="false">
      <c r="A471" s="6" t="s">
        <v>2011</v>
      </c>
      <c r="B471" s="6" t="s">
        <v>463</v>
      </c>
      <c r="C471" s="6" t="s">
        <v>467</v>
      </c>
      <c r="D471" s="6" t="n">
        <v>6</v>
      </c>
      <c r="E471" s="9" t="s">
        <v>4616</v>
      </c>
      <c r="F471" s="6" t="n">
        <v>33000</v>
      </c>
      <c r="Q471" s="1" t="str">
        <f aca="false">IF($A471="","",IF(OR(F471="",I471=""),"",F471-I471))</f>
        <v/>
      </c>
      <c r="R471" s="1" t="str">
        <f aca="false">IF($A471="","",IF(Q471="","",Q471+IF(O471="",0,O471)))</f>
        <v/>
      </c>
      <c r="T471" s="1" t="str">
        <f aca="false">IF($A471="","",IF(R471="","",R471-IF(S471="",0,S471)))</f>
        <v/>
      </c>
      <c r="U471" s="1" t="str">
        <f aca="false">IF($A471="","",IF(I471="","",I471-SUM(J471:P471)))</f>
        <v/>
      </c>
      <c r="V471" s="6" t="s">
        <v>4617</v>
      </c>
      <c r="W471" s="44" t="s">
        <v>1168</v>
      </c>
      <c r="X471" s="9" t="s">
        <v>4637</v>
      </c>
      <c r="AC471" s="9" t="s">
        <v>4369</v>
      </c>
      <c r="AD471" s="9" t="s">
        <v>4370</v>
      </c>
      <c r="AE471" s="9" t="s">
        <v>4445</v>
      </c>
    </row>
    <row r="472" customFormat="false" ht="15" hidden="false" customHeight="true" outlineLevel="0" collapsed="false">
      <c r="A472" s="6" t="s">
        <v>2014</v>
      </c>
      <c r="B472" s="6" t="s">
        <v>463</v>
      </c>
      <c r="C472" s="6" t="s">
        <v>467</v>
      </c>
      <c r="D472" s="6" t="n">
        <v>6</v>
      </c>
      <c r="E472" s="9" t="s">
        <v>4616</v>
      </c>
      <c r="F472" s="6" t="n">
        <v>25000</v>
      </c>
      <c r="Q472" s="1" t="str">
        <f aca="false">IF($A472="","",IF(OR(F472="",I472=""),"",F472-I472))</f>
        <v/>
      </c>
      <c r="R472" s="1" t="str">
        <f aca="false">IF($A472="","",IF(Q472="","",Q472+IF(O472="",0,O472)))</f>
        <v/>
      </c>
      <c r="T472" s="1" t="str">
        <f aca="false">IF($A472="","",IF(R472="","",R472-IF(S472="",0,S472)))</f>
        <v/>
      </c>
      <c r="U472" s="1" t="str">
        <f aca="false">IF($A472="","",IF(I472="","",I472-SUM(J472:P472)))</f>
        <v/>
      </c>
      <c r="V472" s="6" t="s">
        <v>4617</v>
      </c>
      <c r="W472" s="44" t="s">
        <v>1168</v>
      </c>
      <c r="X472" s="9" t="s">
        <v>4638</v>
      </c>
      <c r="AC472" s="9" t="s">
        <v>4369</v>
      </c>
      <c r="AD472" s="9" t="s">
        <v>4370</v>
      </c>
      <c r="AE472" s="9" t="s">
        <v>4445</v>
      </c>
    </row>
    <row r="473" customFormat="false" ht="15" hidden="false" customHeight="true" outlineLevel="0" collapsed="false">
      <c r="A473" s="6" t="s">
        <v>2017</v>
      </c>
      <c r="B473" s="6" t="s">
        <v>463</v>
      </c>
      <c r="C473" s="6" t="s">
        <v>467</v>
      </c>
      <c r="D473" s="6" t="n">
        <v>6</v>
      </c>
      <c r="E473" s="9" t="s">
        <v>4616</v>
      </c>
      <c r="F473" s="6" t="n">
        <v>92000</v>
      </c>
      <c r="Q473" s="1" t="str">
        <f aca="false">IF($A473="","",IF(OR(F473="",I473=""),"",F473-I473))</f>
        <v/>
      </c>
      <c r="R473" s="1" t="str">
        <f aca="false">IF($A473="","",IF(Q473="","",Q473+IF(O473="",0,O473)))</f>
        <v/>
      </c>
      <c r="T473" s="1" t="str">
        <f aca="false">IF($A473="","",IF(R473="","",R473-IF(S473="",0,S473)))</f>
        <v/>
      </c>
      <c r="U473" s="1" t="str">
        <f aca="false">IF($A473="","",IF(I473="","",I473-SUM(J473:P473)))</f>
        <v/>
      </c>
      <c r="V473" s="6" t="s">
        <v>4617</v>
      </c>
      <c r="W473" s="44" t="s">
        <v>1168</v>
      </c>
      <c r="X473" s="9" t="s">
        <v>4639</v>
      </c>
      <c r="AC473" s="9" t="s">
        <v>4369</v>
      </c>
      <c r="AD473" s="9" t="s">
        <v>4370</v>
      </c>
      <c r="AE473" s="9" t="s">
        <v>4408</v>
      </c>
    </row>
    <row r="474" customFormat="false" ht="15" hidden="false" customHeight="true" outlineLevel="0" collapsed="false">
      <c r="A474" s="6" t="s">
        <v>2020</v>
      </c>
      <c r="B474" s="6" t="s">
        <v>463</v>
      </c>
      <c r="C474" s="6" t="s">
        <v>467</v>
      </c>
      <c r="D474" s="6" t="n">
        <v>6</v>
      </c>
      <c r="E474" s="9" t="s">
        <v>4616</v>
      </c>
      <c r="F474" s="6" t="n">
        <v>69000</v>
      </c>
      <c r="Q474" s="1" t="str">
        <f aca="false">IF($A474="","",IF(OR(F474="",I474=""),"",F474-I474))</f>
        <v/>
      </c>
      <c r="R474" s="1" t="str">
        <f aca="false">IF($A474="","",IF(Q474="","",Q474+IF(O474="",0,O474)))</f>
        <v/>
      </c>
      <c r="T474" s="1" t="str">
        <f aca="false">IF($A474="","",IF(R474="","",R474-IF(S474="",0,S474)))</f>
        <v/>
      </c>
      <c r="U474" s="1" t="str">
        <f aca="false">IF($A474="","",IF(I474="","",I474-SUM(J474:P474)))</f>
        <v/>
      </c>
      <c r="V474" s="6" t="s">
        <v>4617</v>
      </c>
      <c r="W474" s="44" t="s">
        <v>1168</v>
      </c>
      <c r="X474" s="9" t="s">
        <v>4640</v>
      </c>
      <c r="AC474" s="9" t="s">
        <v>4369</v>
      </c>
      <c r="AD474" s="9" t="s">
        <v>4370</v>
      </c>
      <c r="AE474" s="9" t="s">
        <v>4408</v>
      </c>
    </row>
    <row r="475" customFormat="false" ht="15" hidden="false" customHeight="true" outlineLevel="0" collapsed="false">
      <c r="A475" s="6" t="s">
        <v>2024</v>
      </c>
      <c r="B475" s="6" t="s">
        <v>463</v>
      </c>
      <c r="C475" s="6" t="s">
        <v>467</v>
      </c>
      <c r="D475" s="6" t="n">
        <v>6</v>
      </c>
      <c r="E475" s="9" t="s">
        <v>4621</v>
      </c>
      <c r="F475" s="6" t="n">
        <v>25000</v>
      </c>
      <c r="Q475" s="1" t="str">
        <f aca="false">IF($A475="","",IF(OR(F475="",I475=""),"",F475-I475))</f>
        <v/>
      </c>
      <c r="R475" s="1" t="str">
        <f aca="false">IF($A475="","",IF(Q475="","",Q475+IF(O475="",0,O475)))</f>
        <v/>
      </c>
      <c r="T475" s="1" t="str">
        <f aca="false">IF($A475="","",IF(R475="","",R475-IF(S475="",0,S475)))</f>
        <v/>
      </c>
      <c r="U475" s="1" t="str">
        <f aca="false">IF($A475="","",IF(I475="","",I475-SUM(J475:P475)))</f>
        <v/>
      </c>
      <c r="V475" s="6" t="s">
        <v>4617</v>
      </c>
      <c r="W475" s="9" t="s">
        <v>528</v>
      </c>
      <c r="X475" s="6" t="s">
        <v>4641</v>
      </c>
      <c r="AC475" s="6" t="s">
        <v>4373</v>
      </c>
      <c r="AD475" s="9" t="s">
        <v>4389</v>
      </c>
      <c r="AE475" s="9" t="s">
        <v>4445</v>
      </c>
    </row>
    <row r="476" customFormat="false" ht="15" hidden="false" customHeight="true" outlineLevel="0" collapsed="false">
      <c r="A476" s="6" t="s">
        <v>2027</v>
      </c>
      <c r="B476" s="6" t="s">
        <v>463</v>
      </c>
      <c r="C476" s="6" t="s">
        <v>467</v>
      </c>
      <c r="D476" s="6" t="n">
        <v>6</v>
      </c>
      <c r="E476" s="9" t="s">
        <v>4616</v>
      </c>
      <c r="F476" s="6" t="n">
        <v>30000</v>
      </c>
      <c r="Q476" s="1" t="str">
        <f aca="false">IF($A476="","",IF(OR(F476="",I476=""),"",F476-I476))</f>
        <v/>
      </c>
      <c r="R476" s="1" t="str">
        <f aca="false">IF($A476="","",IF(Q476="","",Q476+IF(O476="",0,O476)))</f>
        <v/>
      </c>
      <c r="T476" s="1" t="str">
        <f aca="false">IF($A476="","",IF(R476="","",R476-IF(S476="",0,S476)))</f>
        <v/>
      </c>
      <c r="U476" s="1" t="str">
        <f aca="false">IF($A476="","",IF(I476="","",I476-SUM(J476:P476)))</f>
        <v/>
      </c>
      <c r="V476" s="6" t="s">
        <v>4617</v>
      </c>
      <c r="W476" s="44" t="s">
        <v>1168</v>
      </c>
      <c r="X476" s="9" t="s">
        <v>4642</v>
      </c>
      <c r="AC476" s="9" t="s">
        <v>4369</v>
      </c>
      <c r="AD476" s="9" t="s">
        <v>4370</v>
      </c>
      <c r="AE476" s="9" t="s">
        <v>4445</v>
      </c>
    </row>
    <row r="477" customFormat="false" ht="15" hidden="false" customHeight="true" outlineLevel="0" collapsed="false">
      <c r="A477" s="6" t="s">
        <v>2030</v>
      </c>
      <c r="B477" s="6" t="s">
        <v>463</v>
      </c>
      <c r="C477" s="6" t="s">
        <v>467</v>
      </c>
      <c r="D477" s="6" t="n">
        <v>6</v>
      </c>
      <c r="E477" s="9" t="s">
        <v>4616</v>
      </c>
      <c r="F477" s="6" t="n">
        <v>25000</v>
      </c>
      <c r="Q477" s="1" t="str">
        <f aca="false">IF($A477="","",IF(OR(F477="",I477=""),"",F477-I477))</f>
        <v/>
      </c>
      <c r="R477" s="1" t="str">
        <f aca="false">IF($A477="","",IF(Q477="","",Q477+IF(O477="",0,O477)))</f>
        <v/>
      </c>
      <c r="T477" s="1" t="str">
        <f aca="false">IF($A477="","",IF(R477="","",R477-IF(S477="",0,S477)))</f>
        <v/>
      </c>
      <c r="U477" s="1" t="str">
        <f aca="false">IF($A477="","",IF(I477="","",I477-SUM(J477:P477)))</f>
        <v/>
      </c>
      <c r="V477" s="6" t="s">
        <v>4617</v>
      </c>
      <c r="W477" s="44" t="s">
        <v>1168</v>
      </c>
      <c r="X477" s="9" t="s">
        <v>4638</v>
      </c>
      <c r="AC477" s="9" t="s">
        <v>4369</v>
      </c>
      <c r="AD477" s="9" t="s">
        <v>4370</v>
      </c>
      <c r="AE477" s="9" t="s">
        <v>4445</v>
      </c>
    </row>
    <row r="478" customFormat="false" ht="15" hidden="false" customHeight="true" outlineLevel="0" collapsed="false">
      <c r="A478" s="6" t="s">
        <v>2033</v>
      </c>
      <c r="B478" s="6" t="s">
        <v>463</v>
      </c>
      <c r="C478" s="6" t="s">
        <v>467</v>
      </c>
      <c r="D478" s="6" t="n">
        <v>6</v>
      </c>
      <c r="E478" s="9" t="s">
        <v>4616</v>
      </c>
      <c r="F478" s="6" t="n">
        <v>86000</v>
      </c>
      <c r="Q478" s="1" t="str">
        <f aca="false">IF($A478="","",IF(OR(F478="",I478=""),"",F478-I478))</f>
        <v/>
      </c>
      <c r="R478" s="1" t="str">
        <f aca="false">IF($A478="","",IF(Q478="","",Q478+IF(O478="",0,O478)))</f>
        <v/>
      </c>
      <c r="T478" s="1" t="str">
        <f aca="false">IF($A478="","",IF(R478="","",R478-IF(S478="",0,S478)))</f>
        <v/>
      </c>
      <c r="U478" s="1" t="str">
        <f aca="false">IF($A478="","",IF(I478="","",I478-SUM(J478:P478)))</f>
        <v/>
      </c>
      <c r="V478" s="6" t="s">
        <v>4617</v>
      </c>
      <c r="W478" s="44" t="s">
        <v>1168</v>
      </c>
      <c r="X478" s="9" t="s">
        <v>4643</v>
      </c>
      <c r="AC478" s="9" t="s">
        <v>4369</v>
      </c>
      <c r="AD478" s="9" t="s">
        <v>4370</v>
      </c>
      <c r="AE478" s="9" t="s">
        <v>4408</v>
      </c>
    </row>
    <row r="479" customFormat="false" ht="15" hidden="false" customHeight="true" outlineLevel="0" collapsed="false">
      <c r="A479" s="6" t="s">
        <v>2036</v>
      </c>
      <c r="B479" s="6" t="s">
        <v>463</v>
      </c>
      <c r="C479" s="6" t="s">
        <v>467</v>
      </c>
      <c r="D479" s="6" t="n">
        <v>6</v>
      </c>
      <c r="E479" s="9" t="s">
        <v>4616</v>
      </c>
      <c r="F479" s="6" t="n">
        <v>116000</v>
      </c>
      <c r="Q479" s="1" t="str">
        <f aca="false">IF($A479="","",IF(OR(F479="",I479=""),"",F479-I479))</f>
        <v/>
      </c>
      <c r="R479" s="1" t="str">
        <f aca="false">IF($A479="","",IF(Q479="","",Q479+IF(O479="",0,O479)))</f>
        <v/>
      </c>
      <c r="T479" s="1" t="str">
        <f aca="false">IF($A479="","",IF(R479="","",R479-IF(S479="",0,S479)))</f>
        <v/>
      </c>
      <c r="U479" s="1" t="str">
        <f aca="false">IF($A479="","",IF(I479="","",I479-SUM(J479:P479)))</f>
        <v/>
      </c>
      <c r="V479" s="6" t="s">
        <v>4617</v>
      </c>
      <c r="W479" s="44" t="s">
        <v>1168</v>
      </c>
      <c r="X479" s="9" t="s">
        <v>4644</v>
      </c>
      <c r="AC479" s="9" t="s">
        <v>4369</v>
      </c>
      <c r="AD479" s="9" t="s">
        <v>4370</v>
      </c>
      <c r="AE479" s="9" t="s">
        <v>4408</v>
      </c>
    </row>
    <row r="480" customFormat="false" ht="15" hidden="false" customHeight="true" outlineLevel="0" collapsed="false">
      <c r="A480" s="6" t="s">
        <v>2039</v>
      </c>
      <c r="B480" s="6" t="s">
        <v>463</v>
      </c>
      <c r="C480" s="6" t="s">
        <v>467</v>
      </c>
      <c r="D480" s="6" t="n">
        <v>6</v>
      </c>
      <c r="E480" s="9" t="s">
        <v>4621</v>
      </c>
      <c r="F480" s="6" t="n">
        <v>18000</v>
      </c>
      <c r="Q480" s="1" t="str">
        <f aca="false">IF($A480="","",IF(OR(F480="",I480=""),"",F480-I480))</f>
        <v/>
      </c>
      <c r="R480" s="1" t="str">
        <f aca="false">IF($A480="","",IF(Q480="","",Q480+IF(O480="",0,O480)))</f>
        <v/>
      </c>
      <c r="T480" s="1" t="str">
        <f aca="false">IF($A480="","",IF(R480="","",R480-IF(S480="",0,S480)))</f>
        <v/>
      </c>
      <c r="U480" s="1" t="str">
        <f aca="false">IF($A480="","",IF(I480="","",I480-SUM(J480:P480)))</f>
        <v/>
      </c>
      <c r="V480" s="6" t="s">
        <v>4617</v>
      </c>
      <c r="W480" s="9" t="s">
        <v>528</v>
      </c>
      <c r="X480" s="6" t="s">
        <v>4645</v>
      </c>
      <c r="AC480" s="6" t="s">
        <v>4373</v>
      </c>
      <c r="AD480" s="9" t="s">
        <v>4389</v>
      </c>
      <c r="AE480" s="9" t="s">
        <v>4445</v>
      </c>
    </row>
    <row r="481" customFormat="false" ht="15" hidden="false" customHeight="true" outlineLevel="0" collapsed="false">
      <c r="A481" s="6" t="s">
        <v>2042</v>
      </c>
      <c r="B481" s="6" t="s">
        <v>463</v>
      </c>
      <c r="C481" s="6" t="s">
        <v>467</v>
      </c>
      <c r="D481" s="6" t="n">
        <v>6</v>
      </c>
      <c r="E481" s="9" t="s">
        <v>4616</v>
      </c>
      <c r="F481" s="6" t="n">
        <v>59000</v>
      </c>
      <c r="Q481" s="1" t="str">
        <f aca="false">IF($A481="","",IF(OR(F481="",I481=""),"",F481-I481))</f>
        <v/>
      </c>
      <c r="R481" s="1" t="str">
        <f aca="false">IF($A481="","",IF(Q481="","",Q481+IF(O481="",0,O481)))</f>
        <v/>
      </c>
      <c r="T481" s="1" t="str">
        <f aca="false">IF($A481="","",IF(R481="","",R481-IF(S481="",0,S481)))</f>
        <v/>
      </c>
      <c r="U481" s="1" t="str">
        <f aca="false">IF($A481="","",IF(I481="","",I481-SUM(J481:P481)))</f>
        <v/>
      </c>
      <c r="V481" s="6" t="s">
        <v>4617</v>
      </c>
      <c r="W481" s="44" t="s">
        <v>1168</v>
      </c>
      <c r="X481" s="9" t="s">
        <v>4646</v>
      </c>
      <c r="AC481" s="9" t="s">
        <v>4369</v>
      </c>
      <c r="AD481" s="9" t="s">
        <v>4370</v>
      </c>
      <c r="AE481" s="9" t="s">
        <v>4408</v>
      </c>
    </row>
    <row r="482" customFormat="false" ht="15" hidden="false" customHeight="true" outlineLevel="0" collapsed="false">
      <c r="A482" s="6" t="s">
        <v>2046</v>
      </c>
      <c r="B482" s="6" t="s">
        <v>463</v>
      </c>
      <c r="C482" s="6" t="s">
        <v>467</v>
      </c>
      <c r="D482" s="6" t="n">
        <v>6</v>
      </c>
      <c r="E482" s="9" t="s">
        <v>4616</v>
      </c>
      <c r="F482" s="6" t="n">
        <v>65000</v>
      </c>
      <c r="Q482" s="1" t="str">
        <f aca="false">IF($A482="","",IF(OR(F482="",I482=""),"",F482-I482))</f>
        <v/>
      </c>
      <c r="R482" s="1" t="str">
        <f aca="false">IF($A482="","",IF(Q482="","",Q482+IF(O482="",0,O482)))</f>
        <v/>
      </c>
      <c r="T482" s="1" t="str">
        <f aca="false">IF($A482="","",IF(R482="","",R482-IF(S482="",0,S482)))</f>
        <v/>
      </c>
      <c r="U482" s="1" t="str">
        <f aca="false">IF($A482="","",IF(I482="","",I482-SUM(J482:P482)))</f>
        <v/>
      </c>
      <c r="V482" s="6" t="s">
        <v>4617</v>
      </c>
      <c r="W482" s="44" t="s">
        <v>1168</v>
      </c>
      <c r="X482" s="9" t="s">
        <v>4647</v>
      </c>
      <c r="AC482" s="9" t="s">
        <v>4369</v>
      </c>
      <c r="AD482" s="9" t="s">
        <v>4370</v>
      </c>
      <c r="AE482" s="9" t="s">
        <v>4408</v>
      </c>
    </row>
    <row r="483" customFormat="false" ht="15" hidden="false" customHeight="true" outlineLevel="0" collapsed="false">
      <c r="A483" s="6" t="s">
        <v>2049</v>
      </c>
      <c r="B483" s="6" t="s">
        <v>463</v>
      </c>
      <c r="C483" s="6" t="s">
        <v>467</v>
      </c>
      <c r="D483" s="6" t="n">
        <v>6</v>
      </c>
      <c r="E483" s="9" t="s">
        <v>4616</v>
      </c>
      <c r="F483" s="6" t="n">
        <v>31000</v>
      </c>
      <c r="Q483" s="1" t="str">
        <f aca="false">IF($A483="","",IF(OR(F483="",I483=""),"",F483-I483))</f>
        <v/>
      </c>
      <c r="R483" s="1" t="str">
        <f aca="false">IF($A483="","",IF(Q483="","",Q483+IF(O483="",0,O483)))</f>
        <v/>
      </c>
      <c r="T483" s="1" t="str">
        <f aca="false">IF($A483="","",IF(R483="","",R483-IF(S483="",0,S483)))</f>
        <v/>
      </c>
      <c r="U483" s="1" t="str">
        <f aca="false">IF($A483="","",IF(I483="","",I483-SUM(J483:P483)))</f>
        <v/>
      </c>
      <c r="V483" s="6" t="s">
        <v>4617</v>
      </c>
      <c r="W483" s="44" t="s">
        <v>1168</v>
      </c>
      <c r="X483" s="9" t="s">
        <v>4627</v>
      </c>
      <c r="AC483" s="9" t="s">
        <v>4369</v>
      </c>
      <c r="AD483" s="9" t="s">
        <v>4370</v>
      </c>
      <c r="AE483" s="9" t="s">
        <v>4445</v>
      </c>
    </row>
    <row r="484" customFormat="false" ht="15" hidden="false" customHeight="true" outlineLevel="0" collapsed="false">
      <c r="A484" s="6" t="s">
        <v>2052</v>
      </c>
      <c r="B484" s="6" t="s">
        <v>463</v>
      </c>
      <c r="C484" s="6" t="s">
        <v>467</v>
      </c>
      <c r="D484" s="6" t="n">
        <v>6</v>
      </c>
      <c r="E484" s="9" t="s">
        <v>4616</v>
      </c>
      <c r="F484" s="6" t="n">
        <v>22000</v>
      </c>
      <c r="Q484" s="1" t="str">
        <f aca="false">IF($A484="","",IF(OR(F484="",I484=""),"",F484-I484))</f>
        <v/>
      </c>
      <c r="R484" s="1" t="str">
        <f aca="false">IF($A484="","",IF(Q484="","",Q484+IF(O484="",0,O484)))</f>
        <v/>
      </c>
      <c r="T484" s="1" t="str">
        <f aca="false">IF($A484="","",IF(R484="","",R484-IF(S484="",0,S484)))</f>
        <v/>
      </c>
      <c r="U484" s="1" t="str">
        <f aca="false">IF($A484="","",IF(I484="","",I484-SUM(J484:P484)))</f>
        <v/>
      </c>
      <c r="V484" s="6" t="s">
        <v>4617</v>
      </c>
      <c r="W484" s="44" t="s">
        <v>1168</v>
      </c>
      <c r="X484" s="9" t="s">
        <v>4648</v>
      </c>
      <c r="AC484" s="9" t="s">
        <v>4369</v>
      </c>
      <c r="AD484" s="9" t="s">
        <v>4370</v>
      </c>
      <c r="AE484" s="9" t="s">
        <v>4445</v>
      </c>
    </row>
    <row r="485" customFormat="false" ht="15" hidden="false" customHeight="true" outlineLevel="0" collapsed="false">
      <c r="A485" s="6" t="s">
        <v>2055</v>
      </c>
      <c r="B485" s="6" t="s">
        <v>463</v>
      </c>
      <c r="C485" s="6" t="s">
        <v>467</v>
      </c>
      <c r="D485" s="6" t="n">
        <v>6</v>
      </c>
      <c r="E485" s="9" t="s">
        <v>4616</v>
      </c>
      <c r="F485" s="6" t="n">
        <v>70000</v>
      </c>
      <c r="Q485" s="1" t="str">
        <f aca="false">IF($A485="","",IF(OR(F485="",I485=""),"",F485-I485))</f>
        <v/>
      </c>
      <c r="R485" s="1" t="str">
        <f aca="false">IF($A485="","",IF(Q485="","",Q485+IF(O485="",0,O485)))</f>
        <v/>
      </c>
      <c r="T485" s="1" t="str">
        <f aca="false">IF($A485="","",IF(R485="","",R485-IF(S485="",0,S485)))</f>
        <v/>
      </c>
      <c r="U485" s="1" t="str">
        <f aca="false">IF($A485="","",IF(I485="","",I485-SUM(J485:P485)))</f>
        <v/>
      </c>
      <c r="V485" s="6" t="s">
        <v>4617</v>
      </c>
      <c r="W485" s="44" t="s">
        <v>1168</v>
      </c>
      <c r="X485" s="9" t="s">
        <v>4649</v>
      </c>
      <c r="AC485" s="9" t="s">
        <v>4369</v>
      </c>
      <c r="AD485" s="9" t="s">
        <v>4370</v>
      </c>
      <c r="AE485" s="9" t="s">
        <v>4408</v>
      </c>
    </row>
    <row r="486" customFormat="false" ht="15" hidden="false" customHeight="true" outlineLevel="0" collapsed="false">
      <c r="A486" s="6" t="s">
        <v>2058</v>
      </c>
      <c r="B486" s="6" t="s">
        <v>463</v>
      </c>
      <c r="C486" s="6" t="s">
        <v>467</v>
      </c>
      <c r="D486" s="6" t="n">
        <v>6</v>
      </c>
      <c r="E486" s="9" t="s">
        <v>4616</v>
      </c>
      <c r="F486" s="6" t="n">
        <v>62000</v>
      </c>
      <c r="Q486" s="1" t="str">
        <f aca="false">IF($A486="","",IF(OR(F486="",I486=""),"",F486-I486))</f>
        <v/>
      </c>
      <c r="R486" s="1" t="str">
        <f aca="false">IF($A486="","",IF(Q486="","",Q486+IF(O486="",0,O486)))</f>
        <v/>
      </c>
      <c r="T486" s="1" t="str">
        <f aca="false">IF($A486="","",IF(R486="","",R486-IF(S486="",0,S486)))</f>
        <v/>
      </c>
      <c r="U486" s="1" t="str">
        <f aca="false">IF($A486="","",IF(I486="","",I486-SUM(J486:P486)))</f>
        <v/>
      </c>
      <c r="V486" s="6" t="s">
        <v>4617</v>
      </c>
      <c r="W486" s="44" t="s">
        <v>1168</v>
      </c>
      <c r="X486" s="9" t="s">
        <v>4650</v>
      </c>
      <c r="AC486" s="9" t="s">
        <v>4369</v>
      </c>
      <c r="AD486" s="9" t="s">
        <v>4370</v>
      </c>
      <c r="AE486" s="9" t="s">
        <v>4408</v>
      </c>
    </row>
    <row r="487" customFormat="false" ht="15" hidden="false" customHeight="true" outlineLevel="0" collapsed="false">
      <c r="A487" s="6" t="s">
        <v>2061</v>
      </c>
      <c r="B487" s="6" t="s">
        <v>463</v>
      </c>
      <c r="C487" s="6" t="s">
        <v>467</v>
      </c>
      <c r="D487" s="6" t="n">
        <v>6</v>
      </c>
      <c r="E487" s="9" t="s">
        <v>4616</v>
      </c>
      <c r="F487" s="6" t="n">
        <v>94000</v>
      </c>
      <c r="Q487" s="1" t="str">
        <f aca="false">IF($A487="","",IF(OR(F487="",I487=""),"",F487-I487))</f>
        <v/>
      </c>
      <c r="R487" s="1" t="str">
        <f aca="false">IF($A487="","",IF(Q487="","",Q487+IF(O487="",0,O487)))</f>
        <v/>
      </c>
      <c r="T487" s="1" t="str">
        <f aca="false">IF($A487="","",IF(R487="","",R487-IF(S487="",0,S487)))</f>
        <v/>
      </c>
      <c r="U487" s="1" t="str">
        <f aca="false">IF($A487="","",IF(I487="","",I487-SUM(J487:P487)))</f>
        <v/>
      </c>
      <c r="V487" s="6" t="s">
        <v>4617</v>
      </c>
      <c r="W487" s="44" t="s">
        <v>1168</v>
      </c>
      <c r="X487" s="9" t="s">
        <v>4651</v>
      </c>
      <c r="AC487" s="9" t="s">
        <v>4369</v>
      </c>
      <c r="AD487" s="9" t="s">
        <v>4370</v>
      </c>
      <c r="AE487" s="9" t="s">
        <v>4408</v>
      </c>
    </row>
    <row r="488" customFormat="false" ht="15" hidden="false" customHeight="true" outlineLevel="0" collapsed="false">
      <c r="A488" s="6" t="s">
        <v>2064</v>
      </c>
      <c r="B488" s="6" t="s">
        <v>463</v>
      </c>
      <c r="C488" s="6" t="s">
        <v>467</v>
      </c>
      <c r="D488" s="6" t="n">
        <v>6</v>
      </c>
      <c r="E488" s="9" t="s">
        <v>4616</v>
      </c>
      <c r="F488" s="6" t="n">
        <v>196000</v>
      </c>
      <c r="Q488" s="1" t="str">
        <f aca="false">IF($A488="","",IF(OR(F488="",I488=""),"",F488-I488))</f>
        <v/>
      </c>
      <c r="R488" s="1" t="str">
        <f aca="false">IF($A488="","",IF(Q488="","",Q488+IF(O488="",0,O488)))</f>
        <v/>
      </c>
      <c r="T488" s="1" t="str">
        <f aca="false">IF($A488="","",IF(R488="","",R488-IF(S488="",0,S488)))</f>
        <v/>
      </c>
      <c r="U488" s="1" t="str">
        <f aca="false">IF($A488="","",IF(I488="","",I488-SUM(J488:P488)))</f>
        <v/>
      </c>
      <c r="V488" s="6" t="s">
        <v>4617</v>
      </c>
      <c r="W488" s="44" t="s">
        <v>1168</v>
      </c>
      <c r="X488" s="9" t="s">
        <v>4652</v>
      </c>
      <c r="AC488" s="9" t="s">
        <v>4369</v>
      </c>
      <c r="AD488" s="9" t="s">
        <v>4370</v>
      </c>
      <c r="AE488" s="9" t="s">
        <v>4408</v>
      </c>
    </row>
    <row r="489" customFormat="false" ht="15" hidden="false" customHeight="true" outlineLevel="0" collapsed="false">
      <c r="A489" s="6" t="s">
        <v>2067</v>
      </c>
      <c r="B489" s="6" t="s">
        <v>463</v>
      </c>
      <c r="C489" s="6" t="s">
        <v>467</v>
      </c>
      <c r="D489" s="6" t="n">
        <v>6</v>
      </c>
      <c r="E489" s="9" t="s">
        <v>4616</v>
      </c>
      <c r="F489" s="6" t="n">
        <v>34000</v>
      </c>
      <c r="Q489" s="1" t="str">
        <f aca="false">IF($A489="","",IF(OR(F489="",I489=""),"",F489-I489))</f>
        <v/>
      </c>
      <c r="R489" s="1" t="str">
        <f aca="false">IF($A489="","",IF(Q489="","",Q489+IF(O489="",0,O489)))</f>
        <v/>
      </c>
      <c r="T489" s="1" t="str">
        <f aca="false">IF($A489="","",IF(R489="","",R489-IF(S489="",0,S489)))</f>
        <v/>
      </c>
      <c r="U489" s="1" t="str">
        <f aca="false">IF($A489="","",IF(I489="","",I489-SUM(J489:P489)))</f>
        <v/>
      </c>
      <c r="V489" s="6" t="s">
        <v>4617</v>
      </c>
      <c r="W489" s="44" t="s">
        <v>1168</v>
      </c>
      <c r="X489" s="9" t="s">
        <v>4629</v>
      </c>
      <c r="AC489" s="9" t="s">
        <v>4369</v>
      </c>
      <c r="AD489" s="9" t="s">
        <v>4370</v>
      </c>
      <c r="AE489" s="9" t="s">
        <v>4445</v>
      </c>
    </row>
    <row r="490" customFormat="false" ht="15" hidden="false" customHeight="true" outlineLevel="0" collapsed="false">
      <c r="A490" s="6" t="s">
        <v>2070</v>
      </c>
      <c r="B490" s="6" t="s">
        <v>463</v>
      </c>
      <c r="C490" s="6" t="s">
        <v>467</v>
      </c>
      <c r="D490" s="6" t="n">
        <v>6</v>
      </c>
      <c r="E490" s="9" t="s">
        <v>4616</v>
      </c>
      <c r="F490" s="6" t="n">
        <v>29000</v>
      </c>
      <c r="Q490" s="1" t="str">
        <f aca="false">IF($A490="","",IF(OR(F490="",I490=""),"",F490-I490))</f>
        <v/>
      </c>
      <c r="R490" s="1" t="str">
        <f aca="false">IF($A490="","",IF(Q490="","",Q490+IF(O490="",0,O490)))</f>
        <v/>
      </c>
      <c r="T490" s="1" t="str">
        <f aca="false">IF($A490="","",IF(R490="","",R490-IF(S490="",0,S490)))</f>
        <v/>
      </c>
      <c r="U490" s="1" t="str">
        <f aca="false">IF($A490="","",IF(I490="","",I490-SUM(J490:P490)))</f>
        <v/>
      </c>
      <c r="V490" s="6" t="s">
        <v>4617</v>
      </c>
      <c r="W490" s="44" t="s">
        <v>1168</v>
      </c>
      <c r="X490" s="9" t="s">
        <v>4653</v>
      </c>
      <c r="AC490" s="9" t="s">
        <v>4369</v>
      </c>
      <c r="AD490" s="9" t="s">
        <v>4370</v>
      </c>
      <c r="AE490" s="9" t="s">
        <v>4445</v>
      </c>
    </row>
    <row r="491" customFormat="false" ht="15" hidden="false" customHeight="true" outlineLevel="0" collapsed="false">
      <c r="A491" s="6" t="s">
        <v>2073</v>
      </c>
      <c r="B491" s="6" t="s">
        <v>463</v>
      </c>
      <c r="C491" s="6" t="s">
        <v>467</v>
      </c>
      <c r="D491" s="6" t="n">
        <v>6</v>
      </c>
      <c r="E491" s="9" t="s">
        <v>4616</v>
      </c>
      <c r="F491" s="6" t="n">
        <v>53000</v>
      </c>
      <c r="Q491" s="1" t="str">
        <f aca="false">IF($A491="","",IF(OR(F491="",I491=""),"",F491-I491))</f>
        <v/>
      </c>
      <c r="R491" s="1" t="str">
        <f aca="false">IF($A491="","",IF(Q491="","",Q491+IF(O491="",0,O491)))</f>
        <v/>
      </c>
      <c r="T491" s="1" t="str">
        <f aca="false">IF($A491="","",IF(R491="","",R491-IF(S491="",0,S491)))</f>
        <v/>
      </c>
      <c r="U491" s="1" t="str">
        <f aca="false">IF($A491="","",IF(I491="","",I491-SUM(J491:P491)))</f>
        <v/>
      </c>
      <c r="V491" s="6" t="s">
        <v>4617</v>
      </c>
      <c r="W491" s="44" t="s">
        <v>1168</v>
      </c>
      <c r="X491" s="9" t="s">
        <v>4654</v>
      </c>
      <c r="AC491" s="9" t="s">
        <v>4369</v>
      </c>
      <c r="AD491" s="9" t="s">
        <v>4370</v>
      </c>
      <c r="AE491" s="9" t="s">
        <v>4408</v>
      </c>
    </row>
    <row r="492" customFormat="false" ht="15" hidden="false" customHeight="true" outlineLevel="0" collapsed="false">
      <c r="A492" s="6" t="s">
        <v>2076</v>
      </c>
      <c r="B492" s="6" t="s">
        <v>463</v>
      </c>
      <c r="C492" s="6" t="s">
        <v>467</v>
      </c>
      <c r="D492" s="6" t="n">
        <v>6</v>
      </c>
      <c r="E492" s="9" t="s">
        <v>4621</v>
      </c>
      <c r="F492" s="6" t="n">
        <v>22000</v>
      </c>
      <c r="Q492" s="1" t="str">
        <f aca="false">IF($A492="","",IF(OR(F492="",I492=""),"",F492-I492))</f>
        <v/>
      </c>
      <c r="R492" s="1" t="str">
        <f aca="false">IF($A492="","",IF(Q492="","",Q492+IF(O492="",0,O492)))</f>
        <v/>
      </c>
      <c r="T492" s="1" t="str">
        <f aca="false">IF($A492="","",IF(R492="","",R492-IF(S492="",0,S492)))</f>
        <v/>
      </c>
      <c r="U492" s="1" t="str">
        <f aca="false">IF($A492="","",IF(I492="","",I492-SUM(J492:P492)))</f>
        <v/>
      </c>
      <c r="V492" s="6" t="s">
        <v>4617</v>
      </c>
      <c r="W492" s="9" t="s">
        <v>528</v>
      </c>
      <c r="X492" s="6" t="s">
        <v>4655</v>
      </c>
      <c r="AC492" s="6" t="s">
        <v>4373</v>
      </c>
      <c r="AD492" s="9" t="s">
        <v>4389</v>
      </c>
      <c r="AE492" s="9" t="s">
        <v>4445</v>
      </c>
    </row>
    <row r="493" customFormat="false" ht="15" hidden="false" customHeight="true" outlineLevel="0" collapsed="false">
      <c r="A493" s="6" t="s">
        <v>2079</v>
      </c>
      <c r="B493" s="6" t="s">
        <v>463</v>
      </c>
      <c r="C493" s="6" t="s">
        <v>467</v>
      </c>
      <c r="D493" s="6" t="n">
        <v>6</v>
      </c>
      <c r="E493" s="9" t="s">
        <v>4616</v>
      </c>
      <c r="F493" s="6" t="n">
        <v>43000</v>
      </c>
      <c r="Q493" s="1" t="str">
        <f aca="false">IF($A493="","",IF(OR(F493="",I493=""),"",F493-I493))</f>
        <v/>
      </c>
      <c r="R493" s="1" t="str">
        <f aca="false">IF($A493="","",IF(Q493="","",Q493+IF(O493="",0,O493)))</f>
        <v/>
      </c>
      <c r="T493" s="1" t="str">
        <f aca="false">IF($A493="","",IF(R493="","",R493-IF(S493="",0,S493)))</f>
        <v/>
      </c>
      <c r="U493" s="1" t="str">
        <f aca="false">IF($A493="","",IF(I493="","",I493-SUM(J493:P493)))</f>
        <v/>
      </c>
      <c r="V493" s="6" t="s">
        <v>4617</v>
      </c>
      <c r="W493" s="44" t="s">
        <v>1168</v>
      </c>
      <c r="X493" s="9" t="s">
        <v>4656</v>
      </c>
      <c r="AC493" s="9" t="s">
        <v>4369</v>
      </c>
      <c r="AD493" s="9" t="s">
        <v>4370</v>
      </c>
      <c r="AE493" s="9" t="s">
        <v>4445</v>
      </c>
    </row>
    <row r="494" customFormat="false" ht="15" hidden="false" customHeight="true" outlineLevel="0" collapsed="false">
      <c r="A494" s="6" t="s">
        <v>2082</v>
      </c>
      <c r="B494" s="6" t="s">
        <v>463</v>
      </c>
      <c r="C494" s="6" t="s">
        <v>467</v>
      </c>
      <c r="D494" s="6" t="n">
        <v>6</v>
      </c>
      <c r="E494" s="9" t="s">
        <v>4616</v>
      </c>
      <c r="F494" s="6" t="n">
        <v>66000</v>
      </c>
      <c r="Q494" s="1" t="str">
        <f aca="false">IF($A494="","",IF(OR(F494="",I494=""),"",F494-I494))</f>
        <v/>
      </c>
      <c r="R494" s="1" t="str">
        <f aca="false">IF($A494="","",IF(Q494="","",Q494+IF(O494="",0,O494)))</f>
        <v/>
      </c>
      <c r="T494" s="1" t="str">
        <f aca="false">IF($A494="","",IF(R494="","",R494-IF(S494="",0,S494)))</f>
        <v/>
      </c>
      <c r="U494" s="1" t="str">
        <f aca="false">IF($A494="","",IF(I494="","",I494-SUM(J494:P494)))</f>
        <v/>
      </c>
      <c r="V494" s="6" t="s">
        <v>4617</v>
      </c>
      <c r="W494" s="44" t="s">
        <v>1168</v>
      </c>
      <c r="X494" s="9" t="s">
        <v>4657</v>
      </c>
      <c r="AC494" s="9" t="s">
        <v>4369</v>
      </c>
      <c r="AD494" s="9" t="s">
        <v>4370</v>
      </c>
      <c r="AE494" s="9" t="s">
        <v>4408</v>
      </c>
    </row>
    <row r="495" customFormat="false" ht="15" hidden="false" customHeight="true" outlineLevel="0" collapsed="false">
      <c r="A495" s="6" t="s">
        <v>2085</v>
      </c>
      <c r="B495" s="6" t="s">
        <v>463</v>
      </c>
      <c r="C495" s="6" t="s">
        <v>467</v>
      </c>
      <c r="D495" s="6" t="n">
        <v>6</v>
      </c>
      <c r="E495" s="9" t="s">
        <v>4616</v>
      </c>
      <c r="F495" s="6" t="n">
        <v>54000</v>
      </c>
      <c r="Q495" s="1" t="str">
        <f aca="false">IF($A495="","",IF(OR(F495="",I495=""),"",F495-I495))</f>
        <v/>
      </c>
      <c r="R495" s="1" t="str">
        <f aca="false">IF($A495="","",IF(Q495="","",Q495+IF(O495="",0,O495)))</f>
        <v/>
      </c>
      <c r="T495" s="1" t="str">
        <f aca="false">IF($A495="","",IF(R495="","",R495-IF(S495="",0,S495)))</f>
        <v/>
      </c>
      <c r="U495" s="1" t="str">
        <f aca="false">IF($A495="","",IF(I495="","",I495-SUM(J495:P495)))</f>
        <v/>
      </c>
      <c r="V495" s="6" t="s">
        <v>4617</v>
      </c>
      <c r="W495" s="44" t="s">
        <v>1168</v>
      </c>
      <c r="X495" s="9" t="s">
        <v>4658</v>
      </c>
      <c r="AC495" s="9" t="s">
        <v>4369</v>
      </c>
      <c r="AD495" s="9" t="s">
        <v>4370</v>
      </c>
      <c r="AE495" s="9" t="s">
        <v>4408</v>
      </c>
    </row>
    <row r="496" customFormat="false" ht="15" hidden="false" customHeight="true" outlineLevel="0" collapsed="false">
      <c r="A496" s="6" t="s">
        <v>2088</v>
      </c>
      <c r="B496" s="6" t="s">
        <v>463</v>
      </c>
      <c r="C496" s="6" t="s">
        <v>467</v>
      </c>
      <c r="D496" s="6" t="n">
        <v>6</v>
      </c>
      <c r="E496" s="9" t="s">
        <v>4616</v>
      </c>
      <c r="F496" s="6" t="n">
        <v>54000</v>
      </c>
      <c r="Q496" s="1" t="str">
        <f aca="false">IF($A496="","",IF(OR(F496="",I496=""),"",F496-I496))</f>
        <v/>
      </c>
      <c r="R496" s="1" t="str">
        <f aca="false">IF($A496="","",IF(Q496="","",Q496+IF(O496="",0,O496)))</f>
        <v/>
      </c>
      <c r="T496" s="1" t="str">
        <f aca="false">IF($A496="","",IF(R496="","",R496-IF(S496="",0,S496)))</f>
        <v/>
      </c>
      <c r="U496" s="1" t="str">
        <f aca="false">IF($A496="","",IF(I496="","",I496-SUM(J496:P496)))</f>
        <v/>
      </c>
      <c r="V496" s="6" t="s">
        <v>4617</v>
      </c>
      <c r="W496" s="44" t="s">
        <v>1168</v>
      </c>
      <c r="X496" s="9" t="s">
        <v>4658</v>
      </c>
      <c r="AC496" s="9" t="s">
        <v>4369</v>
      </c>
      <c r="AD496" s="9" t="s">
        <v>4370</v>
      </c>
      <c r="AE496" s="9" t="s">
        <v>4408</v>
      </c>
    </row>
    <row r="497" customFormat="false" ht="15" hidden="false" customHeight="true" outlineLevel="0" collapsed="false">
      <c r="A497" s="6" t="s">
        <v>2091</v>
      </c>
      <c r="B497" s="6" t="s">
        <v>463</v>
      </c>
      <c r="C497" s="6" t="s">
        <v>467</v>
      </c>
      <c r="D497" s="6" t="n">
        <v>6</v>
      </c>
      <c r="E497" s="9" t="s">
        <v>4616</v>
      </c>
      <c r="F497" s="6" t="n">
        <v>81000</v>
      </c>
      <c r="Q497" s="1" t="str">
        <f aca="false">IF($A497="","",IF(OR(F497="",I497=""),"",F497-I497))</f>
        <v/>
      </c>
      <c r="R497" s="1" t="str">
        <f aca="false">IF($A497="","",IF(Q497="","",Q497+IF(O497="",0,O497)))</f>
        <v/>
      </c>
      <c r="T497" s="1" t="str">
        <f aca="false">IF($A497="","",IF(R497="","",R497-IF(S497="",0,S497)))</f>
        <v/>
      </c>
      <c r="U497" s="1" t="str">
        <f aca="false">IF($A497="","",IF(I497="","",I497-SUM(J497:P497)))</f>
        <v/>
      </c>
      <c r="V497" s="6" t="s">
        <v>4617</v>
      </c>
      <c r="W497" s="44" t="s">
        <v>1168</v>
      </c>
      <c r="X497" s="9" t="s">
        <v>4631</v>
      </c>
      <c r="AC497" s="9" t="s">
        <v>4369</v>
      </c>
      <c r="AD497" s="9" t="s">
        <v>4370</v>
      </c>
      <c r="AE497" s="9" t="s">
        <v>4408</v>
      </c>
    </row>
    <row r="498" customFormat="false" ht="15" hidden="false" customHeight="true" outlineLevel="0" collapsed="false">
      <c r="A498" s="6" t="s">
        <v>2094</v>
      </c>
      <c r="B498" s="6" t="s">
        <v>463</v>
      </c>
      <c r="C498" s="6" t="s">
        <v>467</v>
      </c>
      <c r="D498" s="6" t="n">
        <v>6</v>
      </c>
      <c r="E498" s="9" t="s">
        <v>4616</v>
      </c>
      <c r="F498" s="6" t="n">
        <v>53000</v>
      </c>
      <c r="Q498" s="1" t="str">
        <f aca="false">IF($A498="","",IF(OR(F498="",I498=""),"",F498-I498))</f>
        <v/>
      </c>
      <c r="R498" s="1" t="str">
        <f aca="false">IF($A498="","",IF(Q498="","",Q498+IF(O498="",0,O498)))</f>
        <v/>
      </c>
      <c r="T498" s="1" t="str">
        <f aca="false">IF($A498="","",IF(R498="","",R498-IF(S498="",0,S498)))</f>
        <v/>
      </c>
      <c r="U498" s="1" t="str">
        <f aca="false">IF($A498="","",IF(I498="","",I498-SUM(J498:P498)))</f>
        <v/>
      </c>
      <c r="V498" s="6" t="s">
        <v>4617</v>
      </c>
      <c r="W498" s="44" t="s">
        <v>1168</v>
      </c>
      <c r="X498" s="9" t="s">
        <v>4654</v>
      </c>
      <c r="AC498" s="9" t="s">
        <v>4369</v>
      </c>
      <c r="AD498" s="9" t="s">
        <v>4370</v>
      </c>
      <c r="AE498" s="9" t="s">
        <v>4408</v>
      </c>
    </row>
    <row r="499" customFormat="false" ht="15" hidden="false" customHeight="true" outlineLevel="0" collapsed="false">
      <c r="A499" s="6" t="s">
        <v>2097</v>
      </c>
      <c r="B499" s="6" t="s">
        <v>463</v>
      </c>
      <c r="C499" s="6" t="s">
        <v>467</v>
      </c>
      <c r="D499" s="6" t="n">
        <v>6</v>
      </c>
      <c r="E499" s="9" t="s">
        <v>4616</v>
      </c>
      <c r="F499" s="6" t="n">
        <v>51000</v>
      </c>
      <c r="Q499" s="1" t="str">
        <f aca="false">IF($A499="","",IF(OR(F499="",I499=""),"",F499-I499))</f>
        <v/>
      </c>
      <c r="R499" s="1" t="str">
        <f aca="false">IF($A499="","",IF(Q499="","",Q499+IF(O499="",0,O499)))</f>
        <v/>
      </c>
      <c r="T499" s="1" t="str">
        <f aca="false">IF($A499="","",IF(R499="","",R499-IF(S499="",0,S499)))</f>
        <v/>
      </c>
      <c r="U499" s="1" t="str">
        <f aca="false">IF($A499="","",IF(I499="","",I499-SUM(J499:P499)))</f>
        <v/>
      </c>
      <c r="V499" s="6" t="s">
        <v>4617</v>
      </c>
      <c r="W499" s="44" t="s">
        <v>1168</v>
      </c>
      <c r="X499" s="9" t="s">
        <v>4659</v>
      </c>
      <c r="AC499" s="9" t="s">
        <v>4369</v>
      </c>
      <c r="AD499" s="9" t="s">
        <v>4370</v>
      </c>
      <c r="AE499" s="9" t="s">
        <v>4408</v>
      </c>
    </row>
    <row r="500" customFormat="false" ht="15" hidden="false" customHeight="true" outlineLevel="0" collapsed="false">
      <c r="A500" s="6" t="s">
        <v>2100</v>
      </c>
      <c r="B500" s="6" t="s">
        <v>463</v>
      </c>
      <c r="C500" s="6" t="s">
        <v>467</v>
      </c>
      <c r="D500" s="6" t="n">
        <v>6</v>
      </c>
      <c r="E500" s="9" t="s">
        <v>4616</v>
      </c>
      <c r="F500" s="6" t="n">
        <v>26000</v>
      </c>
      <c r="Q500" s="1" t="str">
        <f aca="false">IF($A500="","",IF(OR(F500="",I500=""),"",F500-I500))</f>
        <v/>
      </c>
      <c r="R500" s="1" t="str">
        <f aca="false">IF($A500="","",IF(Q500="","",Q500+IF(O500="",0,O500)))</f>
        <v/>
      </c>
      <c r="T500" s="1" t="str">
        <f aca="false">IF($A500="","",IF(R500="","",R500-IF(S500="",0,S500)))</f>
        <v/>
      </c>
      <c r="U500" s="1" t="str">
        <f aca="false">IF($A500="","",IF(I500="","",I500-SUM(J500:P500)))</f>
        <v/>
      </c>
      <c r="V500" s="6" t="s">
        <v>4617</v>
      </c>
      <c r="W500" s="44" t="s">
        <v>1168</v>
      </c>
      <c r="X500" s="9" t="s">
        <v>4660</v>
      </c>
      <c r="AC500" s="9" t="s">
        <v>4369</v>
      </c>
      <c r="AD500" s="9" t="s">
        <v>4370</v>
      </c>
      <c r="AE500" s="9" t="s">
        <v>4445</v>
      </c>
    </row>
    <row r="501" customFormat="false" ht="15" hidden="false" customHeight="true" outlineLevel="0" collapsed="false">
      <c r="A501" s="6" t="s">
        <v>2103</v>
      </c>
      <c r="B501" s="6" t="s">
        <v>463</v>
      </c>
      <c r="C501" s="6" t="s">
        <v>467</v>
      </c>
      <c r="D501" s="6" t="n">
        <v>6</v>
      </c>
      <c r="E501" s="9" t="s">
        <v>4616</v>
      </c>
      <c r="F501" s="6" t="n">
        <v>31000</v>
      </c>
      <c r="Q501" s="1" t="str">
        <f aca="false">IF($A501="","",IF(OR(F501="",I501=""),"",F501-I501))</f>
        <v/>
      </c>
      <c r="R501" s="1" t="str">
        <f aca="false">IF($A501="","",IF(Q501="","",Q501+IF(O501="",0,O501)))</f>
        <v/>
      </c>
      <c r="T501" s="1" t="str">
        <f aca="false">IF($A501="","",IF(R501="","",R501-IF(S501="",0,S501)))</f>
        <v/>
      </c>
      <c r="U501" s="1" t="str">
        <f aca="false">IF($A501="","",IF(I501="","",I501-SUM(J501:P501)))</f>
        <v/>
      </c>
      <c r="V501" s="6" t="s">
        <v>4617</v>
      </c>
      <c r="W501" s="44" t="s">
        <v>1168</v>
      </c>
      <c r="X501" s="9" t="s">
        <v>4627</v>
      </c>
      <c r="AC501" s="9" t="s">
        <v>4369</v>
      </c>
      <c r="AD501" s="9" t="s">
        <v>4370</v>
      </c>
      <c r="AE501" s="9" t="s">
        <v>4445</v>
      </c>
    </row>
    <row r="502" customFormat="false" ht="15" hidden="false" customHeight="true" outlineLevel="0" collapsed="false">
      <c r="A502" s="6" t="s">
        <v>2106</v>
      </c>
      <c r="B502" s="6" t="s">
        <v>463</v>
      </c>
      <c r="C502" s="6" t="s">
        <v>467</v>
      </c>
      <c r="D502" s="6" t="n">
        <v>6</v>
      </c>
      <c r="E502" s="9" t="s">
        <v>4616</v>
      </c>
      <c r="F502" s="6" t="n">
        <v>56000</v>
      </c>
      <c r="Q502" s="1" t="str">
        <f aca="false">IF($A502="","",IF(OR(F502="",I502=""),"",F502-I502))</f>
        <v/>
      </c>
      <c r="R502" s="1" t="str">
        <f aca="false">IF($A502="","",IF(Q502="","",Q502+IF(O502="",0,O502)))</f>
        <v/>
      </c>
      <c r="T502" s="1" t="str">
        <f aca="false">IF($A502="","",IF(R502="","",R502-IF(S502="",0,S502)))</f>
        <v/>
      </c>
      <c r="U502" s="1" t="str">
        <f aca="false">IF($A502="","",IF(I502="","",I502-SUM(J502:P502)))</f>
        <v/>
      </c>
      <c r="V502" s="6" t="s">
        <v>4617</v>
      </c>
      <c r="W502" s="44" t="s">
        <v>1168</v>
      </c>
      <c r="X502" s="9" t="s">
        <v>4661</v>
      </c>
      <c r="AC502" s="9" t="s">
        <v>4369</v>
      </c>
      <c r="AD502" s="9" t="s">
        <v>4370</v>
      </c>
      <c r="AE502" s="9" t="s">
        <v>4408</v>
      </c>
    </row>
    <row r="503" customFormat="false" ht="15" hidden="false" customHeight="true" outlineLevel="0" collapsed="false">
      <c r="A503" s="6" t="s">
        <v>2109</v>
      </c>
      <c r="B503" s="6" t="s">
        <v>463</v>
      </c>
      <c r="C503" s="6" t="s">
        <v>467</v>
      </c>
      <c r="D503" s="6" t="n">
        <v>6</v>
      </c>
      <c r="E503" s="9" t="s">
        <v>4616</v>
      </c>
      <c r="F503" s="6" t="n">
        <v>30000</v>
      </c>
      <c r="Q503" s="1" t="str">
        <f aca="false">IF($A503="","",IF(OR(F503="",I503=""),"",F503-I503))</f>
        <v/>
      </c>
      <c r="R503" s="1" t="str">
        <f aca="false">IF($A503="","",IF(Q503="","",Q503+IF(O503="",0,O503)))</f>
        <v/>
      </c>
      <c r="T503" s="1" t="str">
        <f aca="false">IF($A503="","",IF(R503="","",R503-IF(S503="",0,S503)))</f>
        <v/>
      </c>
      <c r="U503" s="1" t="str">
        <f aca="false">IF($A503="","",IF(I503="","",I503-SUM(J503:P503)))</f>
        <v/>
      </c>
      <c r="V503" s="6" t="s">
        <v>4617</v>
      </c>
      <c r="W503" s="44" t="s">
        <v>1168</v>
      </c>
      <c r="X503" s="9" t="s">
        <v>4642</v>
      </c>
      <c r="AC503" s="9" t="s">
        <v>4369</v>
      </c>
      <c r="AD503" s="9" t="s">
        <v>4370</v>
      </c>
      <c r="AE503" s="9" t="s">
        <v>4445</v>
      </c>
    </row>
    <row r="504" customFormat="false" ht="15" hidden="false" customHeight="true" outlineLevel="0" collapsed="false">
      <c r="A504" s="6" t="s">
        <v>2112</v>
      </c>
      <c r="B504" s="6" t="s">
        <v>463</v>
      </c>
      <c r="C504" s="6" t="s">
        <v>467</v>
      </c>
      <c r="D504" s="6" t="n">
        <v>6</v>
      </c>
      <c r="E504" s="9" t="s">
        <v>4616</v>
      </c>
      <c r="F504" s="6" t="n">
        <v>30000</v>
      </c>
      <c r="Q504" s="1" t="str">
        <f aca="false">IF($A504="","",IF(OR(F504="",I504=""),"",F504-I504))</f>
        <v/>
      </c>
      <c r="R504" s="1" t="str">
        <f aca="false">IF($A504="","",IF(Q504="","",Q504+IF(O504="",0,O504)))</f>
        <v/>
      </c>
      <c r="T504" s="1" t="str">
        <f aca="false">IF($A504="","",IF(R504="","",R504-IF(S504="",0,S504)))</f>
        <v/>
      </c>
      <c r="U504" s="1" t="str">
        <f aca="false">IF($A504="","",IF(I504="","",I504-SUM(J504:P504)))</f>
        <v/>
      </c>
      <c r="V504" s="6" t="s">
        <v>4617</v>
      </c>
      <c r="W504" s="44" t="s">
        <v>1168</v>
      </c>
      <c r="X504" s="9" t="s">
        <v>4642</v>
      </c>
      <c r="AC504" s="9" t="s">
        <v>4369</v>
      </c>
      <c r="AD504" s="9" t="s">
        <v>4370</v>
      </c>
      <c r="AE504" s="9" t="s">
        <v>4445</v>
      </c>
    </row>
    <row r="505" customFormat="false" ht="15" hidden="false" customHeight="true" outlineLevel="0" collapsed="false">
      <c r="A505" s="6" t="s">
        <v>2115</v>
      </c>
      <c r="B505" s="6" t="s">
        <v>463</v>
      </c>
      <c r="C505" s="6" t="s">
        <v>467</v>
      </c>
      <c r="D505" s="6" t="n">
        <v>6</v>
      </c>
      <c r="E505" s="9" t="s">
        <v>4616</v>
      </c>
      <c r="F505" s="6" t="n">
        <v>37000</v>
      </c>
      <c r="Q505" s="1" t="str">
        <f aca="false">IF($A505="","",IF(OR(F505="",I505=""),"",F505-I505))</f>
        <v/>
      </c>
      <c r="R505" s="1" t="str">
        <f aca="false">IF($A505="","",IF(Q505="","",Q505+IF(O505="",0,O505)))</f>
        <v/>
      </c>
      <c r="T505" s="1" t="str">
        <f aca="false">IF($A505="","",IF(R505="","",R505-IF(S505="",0,S505)))</f>
        <v/>
      </c>
      <c r="U505" s="1" t="str">
        <f aca="false">IF($A505="","",IF(I505="","",I505-SUM(J505:P505)))</f>
        <v/>
      </c>
      <c r="V505" s="6" t="s">
        <v>4617</v>
      </c>
      <c r="W505" s="44" t="s">
        <v>1168</v>
      </c>
      <c r="X505" s="9" t="s">
        <v>4633</v>
      </c>
      <c r="AC505" s="9" t="s">
        <v>4369</v>
      </c>
      <c r="AD505" s="9" t="s">
        <v>4370</v>
      </c>
      <c r="AE505" s="9" t="s">
        <v>4445</v>
      </c>
    </row>
    <row r="506" customFormat="false" ht="15" hidden="false" customHeight="true" outlineLevel="0" collapsed="false">
      <c r="A506" s="6" t="s">
        <v>2118</v>
      </c>
      <c r="B506" s="6" t="s">
        <v>463</v>
      </c>
      <c r="C506" s="6" t="s">
        <v>467</v>
      </c>
      <c r="D506" s="6" t="n">
        <v>6</v>
      </c>
      <c r="E506" s="9" t="s">
        <v>4616</v>
      </c>
      <c r="F506" s="6" t="n">
        <v>37000</v>
      </c>
      <c r="Q506" s="1" t="str">
        <f aca="false">IF($A506="","",IF(OR(F506="",I506=""),"",F506-I506))</f>
        <v/>
      </c>
      <c r="R506" s="1" t="str">
        <f aca="false">IF($A506="","",IF(Q506="","",Q506+IF(O506="",0,O506)))</f>
        <v/>
      </c>
      <c r="T506" s="1" t="str">
        <f aca="false">IF($A506="","",IF(R506="","",R506-IF(S506="",0,S506)))</f>
        <v/>
      </c>
      <c r="U506" s="1" t="str">
        <f aca="false">IF($A506="","",IF(I506="","",I506-SUM(J506:P506)))</f>
        <v/>
      </c>
      <c r="V506" s="6" t="s">
        <v>4617</v>
      </c>
      <c r="W506" s="44" t="s">
        <v>1168</v>
      </c>
      <c r="X506" s="9" t="s">
        <v>4633</v>
      </c>
      <c r="AC506" s="9" t="s">
        <v>4369</v>
      </c>
      <c r="AD506" s="9" t="s">
        <v>4370</v>
      </c>
      <c r="AE506" s="9" t="s">
        <v>4445</v>
      </c>
    </row>
    <row r="507" customFormat="false" ht="15" hidden="false" customHeight="true" outlineLevel="0" collapsed="false">
      <c r="A507" s="6" t="s">
        <v>2121</v>
      </c>
      <c r="B507" s="6" t="s">
        <v>463</v>
      </c>
      <c r="C507" s="6" t="s">
        <v>467</v>
      </c>
      <c r="D507" s="6" t="n">
        <v>6</v>
      </c>
      <c r="E507" s="9" t="s">
        <v>4616</v>
      </c>
      <c r="F507" s="6" t="n">
        <v>79000</v>
      </c>
      <c r="Q507" s="1" t="str">
        <f aca="false">IF($A507="","",IF(OR(F507="",I507=""),"",F507-I507))</f>
        <v/>
      </c>
      <c r="R507" s="1" t="str">
        <f aca="false">IF($A507="","",IF(Q507="","",Q507+IF(O507="",0,O507)))</f>
        <v/>
      </c>
      <c r="T507" s="1" t="str">
        <f aca="false">IF($A507="","",IF(R507="","",R507-IF(S507="",0,S507)))</f>
        <v/>
      </c>
      <c r="U507" s="1" t="str">
        <f aca="false">IF($A507="","",IF(I507="","",I507-SUM(J507:P507)))</f>
        <v/>
      </c>
      <c r="V507" s="6" t="s">
        <v>4617</v>
      </c>
      <c r="W507" s="44" t="s">
        <v>1168</v>
      </c>
      <c r="X507" s="9" t="s">
        <v>4662</v>
      </c>
      <c r="AC507" s="9" t="s">
        <v>4369</v>
      </c>
      <c r="AD507" s="9" t="s">
        <v>4370</v>
      </c>
      <c r="AE507" s="9" t="s">
        <v>4408</v>
      </c>
    </row>
    <row r="508" customFormat="false" ht="15" hidden="false" customHeight="true" outlineLevel="0" collapsed="false">
      <c r="A508" s="6" t="s">
        <v>2124</v>
      </c>
      <c r="B508" s="6" t="s">
        <v>463</v>
      </c>
      <c r="C508" s="6" t="s">
        <v>467</v>
      </c>
      <c r="D508" s="6" t="n">
        <v>6</v>
      </c>
      <c r="E508" s="9" t="s">
        <v>4616</v>
      </c>
      <c r="F508" s="6" t="n">
        <v>101000</v>
      </c>
      <c r="Q508" s="1" t="str">
        <f aca="false">IF($A508="","",IF(OR(F508="",I508=""),"",F508-I508))</f>
        <v/>
      </c>
      <c r="R508" s="1" t="str">
        <f aca="false">IF($A508="","",IF(Q508="","",Q508+IF(O508="",0,O508)))</f>
        <v/>
      </c>
      <c r="T508" s="1" t="str">
        <f aca="false">IF($A508="","",IF(R508="","",R508-IF(S508="",0,S508)))</f>
        <v/>
      </c>
      <c r="U508" s="1" t="str">
        <f aca="false">IF($A508="","",IF(I508="","",I508-SUM(J508:P508)))</f>
        <v/>
      </c>
      <c r="V508" s="6" t="s">
        <v>4617</v>
      </c>
      <c r="W508" s="44" t="s">
        <v>1168</v>
      </c>
      <c r="X508" s="9" t="s">
        <v>4663</v>
      </c>
      <c r="AC508" s="9" t="s">
        <v>4369</v>
      </c>
      <c r="AD508" s="9" t="s">
        <v>4370</v>
      </c>
      <c r="AE508" s="9" t="s">
        <v>4408</v>
      </c>
    </row>
    <row r="509" customFormat="false" ht="15" hidden="false" customHeight="true" outlineLevel="0" collapsed="false">
      <c r="A509" s="6" t="s">
        <v>2128</v>
      </c>
      <c r="B509" s="6" t="s">
        <v>463</v>
      </c>
      <c r="C509" s="6" t="s">
        <v>467</v>
      </c>
      <c r="D509" s="6" t="n">
        <v>6</v>
      </c>
      <c r="E509" s="9" t="s">
        <v>4616</v>
      </c>
      <c r="F509" s="6" t="n">
        <v>49000</v>
      </c>
      <c r="Q509" s="1" t="str">
        <f aca="false">IF($A509="","",IF(OR(F509="",I509=""),"",F509-I509))</f>
        <v/>
      </c>
      <c r="R509" s="1" t="str">
        <f aca="false">IF($A509="","",IF(Q509="","",Q509+IF(O509="",0,O509)))</f>
        <v/>
      </c>
      <c r="T509" s="1" t="str">
        <f aca="false">IF($A509="","",IF(R509="","",R509-IF(S509="",0,S509)))</f>
        <v/>
      </c>
      <c r="U509" s="1" t="str">
        <f aca="false">IF($A509="","",IF(I509="","",I509-SUM(J509:P509)))</f>
        <v/>
      </c>
      <c r="V509" s="6" t="s">
        <v>4617</v>
      </c>
      <c r="W509" s="44" t="s">
        <v>1168</v>
      </c>
      <c r="X509" s="9" t="s">
        <v>4664</v>
      </c>
      <c r="AC509" s="9" t="s">
        <v>4369</v>
      </c>
      <c r="AD509" s="9" t="s">
        <v>4370</v>
      </c>
      <c r="AE509" s="9" t="s">
        <v>4445</v>
      </c>
    </row>
    <row r="510" customFormat="false" ht="15" hidden="false" customHeight="true" outlineLevel="0" collapsed="false">
      <c r="A510" s="6" t="s">
        <v>2131</v>
      </c>
      <c r="B510" s="6" t="s">
        <v>463</v>
      </c>
      <c r="C510" s="6" t="s">
        <v>467</v>
      </c>
      <c r="D510" s="6" t="n">
        <v>6</v>
      </c>
      <c r="E510" s="9" t="s">
        <v>4616</v>
      </c>
      <c r="F510" s="6" t="n">
        <v>48000</v>
      </c>
      <c r="Q510" s="1" t="str">
        <f aca="false">IF($A510="","",IF(OR(F510="",I510=""),"",F510-I510))</f>
        <v/>
      </c>
      <c r="R510" s="1" t="str">
        <f aca="false">IF($A510="","",IF(Q510="","",Q510+IF(O510="",0,O510)))</f>
        <v/>
      </c>
      <c r="T510" s="1" t="str">
        <f aca="false">IF($A510="","",IF(R510="","",R510-IF(S510="",0,S510)))</f>
        <v/>
      </c>
      <c r="U510" s="1" t="str">
        <f aca="false">IF($A510="","",IF(I510="","",I510-SUM(J510:P510)))</f>
        <v/>
      </c>
      <c r="V510" s="6" t="s">
        <v>4617</v>
      </c>
      <c r="W510" s="44" t="s">
        <v>1168</v>
      </c>
      <c r="X510" s="9" t="s">
        <v>4619</v>
      </c>
      <c r="AC510" s="9" t="s">
        <v>4369</v>
      </c>
      <c r="AD510" s="9" t="s">
        <v>4370</v>
      </c>
      <c r="AE510" s="9" t="s">
        <v>4445</v>
      </c>
    </row>
    <row r="511" customFormat="false" ht="15" hidden="false" customHeight="true" outlineLevel="0" collapsed="false">
      <c r="A511" s="6" t="s">
        <v>2134</v>
      </c>
      <c r="B511" s="6" t="s">
        <v>463</v>
      </c>
      <c r="C511" s="6" t="s">
        <v>467</v>
      </c>
      <c r="D511" s="6" t="n">
        <v>6</v>
      </c>
      <c r="E511" s="9" t="s">
        <v>4616</v>
      </c>
      <c r="F511" s="6" t="n">
        <v>40000</v>
      </c>
      <c r="Q511" s="1" t="str">
        <f aca="false">IF($A511="","",IF(OR(F511="",I511=""),"",F511-I511))</f>
        <v/>
      </c>
      <c r="R511" s="1" t="str">
        <f aca="false">IF($A511="","",IF(Q511="","",Q511+IF(O511="",0,O511)))</f>
        <v/>
      </c>
      <c r="T511" s="1" t="str">
        <f aca="false">IF($A511="","",IF(R511="","",R511-IF(S511="",0,S511)))</f>
        <v/>
      </c>
      <c r="U511" s="1" t="str">
        <f aca="false">IF($A511="","",IF(I511="","",I511-SUM(J511:P511)))</f>
        <v/>
      </c>
      <c r="V511" s="6" t="s">
        <v>4617</v>
      </c>
      <c r="W511" s="44" t="s">
        <v>1168</v>
      </c>
      <c r="X511" s="9" t="s">
        <v>4665</v>
      </c>
      <c r="AC511" s="9" t="s">
        <v>4369</v>
      </c>
      <c r="AD511" s="9" t="s">
        <v>4370</v>
      </c>
      <c r="AE511" s="9" t="s">
        <v>4445</v>
      </c>
    </row>
    <row r="512" customFormat="false" ht="15" hidden="false" customHeight="true" outlineLevel="0" collapsed="false">
      <c r="A512" s="6" t="s">
        <v>2137</v>
      </c>
      <c r="B512" s="6" t="s">
        <v>463</v>
      </c>
      <c r="C512" s="6" t="s">
        <v>467</v>
      </c>
      <c r="D512" s="6" t="n">
        <v>6</v>
      </c>
      <c r="E512" s="9" t="s">
        <v>4616</v>
      </c>
      <c r="F512" s="6" t="n">
        <v>56000</v>
      </c>
      <c r="Q512" s="1" t="str">
        <f aca="false">IF($A512="","",IF(OR(F512="",I512=""),"",F512-I512))</f>
        <v/>
      </c>
      <c r="R512" s="1" t="str">
        <f aca="false">IF($A512="","",IF(Q512="","",Q512+IF(O512="",0,O512)))</f>
        <v/>
      </c>
      <c r="T512" s="1" t="str">
        <f aca="false">IF($A512="","",IF(R512="","",R512-IF(S512="",0,S512)))</f>
        <v/>
      </c>
      <c r="U512" s="1" t="str">
        <f aca="false">IF($A512="","",IF(I512="","",I512-SUM(J512:P512)))</f>
        <v/>
      </c>
      <c r="V512" s="6" t="s">
        <v>4617</v>
      </c>
      <c r="W512" s="44" t="s">
        <v>1168</v>
      </c>
      <c r="X512" s="9" t="s">
        <v>4661</v>
      </c>
      <c r="AC512" s="9" t="s">
        <v>4369</v>
      </c>
      <c r="AD512" s="9" t="s">
        <v>4370</v>
      </c>
      <c r="AE512" s="9" t="s">
        <v>4408</v>
      </c>
    </row>
    <row r="513" customFormat="false" ht="15" hidden="false" customHeight="true" outlineLevel="0" collapsed="false">
      <c r="A513" s="6" t="s">
        <v>2140</v>
      </c>
      <c r="B513" s="6" t="s">
        <v>463</v>
      </c>
      <c r="C513" s="6" t="s">
        <v>467</v>
      </c>
      <c r="D513" s="6" t="n">
        <v>6</v>
      </c>
      <c r="E513" s="9" t="s">
        <v>4616</v>
      </c>
      <c r="F513" s="6" t="n">
        <v>98000</v>
      </c>
      <c r="Q513" s="1" t="str">
        <f aca="false">IF($A513="","",IF(OR(F513="",I513=""),"",F513-I513))</f>
        <v/>
      </c>
      <c r="R513" s="1" t="str">
        <f aca="false">IF($A513="","",IF(Q513="","",Q513+IF(O513="",0,O513)))</f>
        <v/>
      </c>
      <c r="T513" s="1" t="str">
        <f aca="false">IF($A513="","",IF(R513="","",R513-IF(S513="",0,S513)))</f>
        <v/>
      </c>
      <c r="U513" s="1" t="str">
        <f aca="false">IF($A513="","",IF(I513="","",I513-SUM(J513:P513)))</f>
        <v/>
      </c>
      <c r="V513" s="6" t="s">
        <v>4617</v>
      </c>
      <c r="W513" s="44" t="s">
        <v>1168</v>
      </c>
      <c r="X513" s="9" t="s">
        <v>4666</v>
      </c>
      <c r="AC513" s="9" t="s">
        <v>4369</v>
      </c>
      <c r="AD513" s="9" t="s">
        <v>4370</v>
      </c>
      <c r="AE513" s="9" t="s">
        <v>4408</v>
      </c>
    </row>
    <row r="514" customFormat="false" ht="15" hidden="false" customHeight="true" outlineLevel="0" collapsed="false">
      <c r="A514" s="6" t="s">
        <v>2143</v>
      </c>
      <c r="B514" s="6" t="s">
        <v>463</v>
      </c>
      <c r="C514" s="6" t="s">
        <v>467</v>
      </c>
      <c r="D514" s="6" t="n">
        <v>6</v>
      </c>
      <c r="E514" s="9" t="s">
        <v>4616</v>
      </c>
      <c r="F514" s="6" t="n">
        <v>18000</v>
      </c>
      <c r="Q514" s="1" t="str">
        <f aca="false">IF($A514="","",IF(OR(F514="",I514=""),"",F514-I514))</f>
        <v/>
      </c>
      <c r="R514" s="1" t="str">
        <f aca="false">IF($A514="","",IF(Q514="","",Q514+IF(O514="",0,O514)))</f>
        <v/>
      </c>
      <c r="T514" s="1" t="str">
        <f aca="false">IF($A514="","",IF(R514="","",R514-IF(S514="",0,S514)))</f>
        <v/>
      </c>
      <c r="U514" s="1" t="str">
        <f aca="false">IF($A514="","",IF(I514="","",I514-SUM(J514:P514)))</f>
        <v/>
      </c>
      <c r="V514" s="6" t="s">
        <v>4617</v>
      </c>
      <c r="W514" s="44" t="s">
        <v>1168</v>
      </c>
      <c r="X514" s="9" t="s">
        <v>4667</v>
      </c>
      <c r="AC514" s="9" t="s">
        <v>4369</v>
      </c>
      <c r="AD514" s="9" t="s">
        <v>4370</v>
      </c>
      <c r="AE514" s="9" t="s">
        <v>4445</v>
      </c>
    </row>
    <row r="515" customFormat="false" ht="15" hidden="false" customHeight="true" outlineLevel="0" collapsed="false">
      <c r="A515" s="6" t="s">
        <v>2146</v>
      </c>
      <c r="B515" s="6" t="s">
        <v>463</v>
      </c>
      <c r="C515" s="6" t="s">
        <v>467</v>
      </c>
      <c r="D515" s="6" t="n">
        <v>6</v>
      </c>
      <c r="E515" s="9" t="s">
        <v>4621</v>
      </c>
      <c r="F515" s="6" t="n">
        <v>33000</v>
      </c>
      <c r="Q515" s="1" t="str">
        <f aca="false">IF($A515="","",IF(OR(F515="",I515=""),"",F515-I515))</f>
        <v/>
      </c>
      <c r="R515" s="1" t="str">
        <f aca="false">IF($A515="","",IF(Q515="","",Q515+IF(O515="",0,O515)))</f>
        <v/>
      </c>
      <c r="T515" s="1" t="str">
        <f aca="false">IF($A515="","",IF(R515="","",R515-IF(S515="",0,S515)))</f>
        <v/>
      </c>
      <c r="U515" s="1" t="str">
        <f aca="false">IF($A515="","",IF(I515="","",I515-SUM(J515:P515)))</f>
        <v/>
      </c>
      <c r="V515" s="6" t="s">
        <v>4617</v>
      </c>
      <c r="W515" s="9" t="s">
        <v>528</v>
      </c>
      <c r="X515" s="6" t="s">
        <v>4668</v>
      </c>
      <c r="AC515" s="6" t="s">
        <v>4373</v>
      </c>
      <c r="AD515" s="9" t="s">
        <v>4389</v>
      </c>
      <c r="AE515" s="9" t="s">
        <v>4445</v>
      </c>
    </row>
    <row r="516" customFormat="false" ht="15" hidden="false" customHeight="true" outlineLevel="0" collapsed="false">
      <c r="A516" s="6" t="s">
        <v>2149</v>
      </c>
      <c r="B516" s="6" t="s">
        <v>463</v>
      </c>
      <c r="C516" s="6" t="s">
        <v>467</v>
      </c>
      <c r="D516" s="6" t="n">
        <v>6</v>
      </c>
      <c r="E516" s="9" t="s">
        <v>4616</v>
      </c>
      <c r="F516" s="6" t="n">
        <v>83000</v>
      </c>
      <c r="Q516" s="1" t="str">
        <f aca="false">IF($A516="","",IF(OR(F516="",I516=""),"",F516-I516))</f>
        <v/>
      </c>
      <c r="R516" s="1" t="str">
        <f aca="false">IF($A516="","",IF(Q516="","",Q516+IF(O516="",0,O516)))</f>
        <v/>
      </c>
      <c r="T516" s="1" t="str">
        <f aca="false">IF($A516="","",IF(R516="","",R516-IF(S516="",0,S516)))</f>
        <v/>
      </c>
      <c r="U516" s="1" t="str">
        <f aca="false">IF($A516="","",IF(I516="","",I516-SUM(J516:P516)))</f>
        <v/>
      </c>
      <c r="V516" s="6" t="s">
        <v>4617</v>
      </c>
      <c r="W516" s="44" t="s">
        <v>1168</v>
      </c>
      <c r="X516" s="9" t="s">
        <v>4669</v>
      </c>
      <c r="AC516" s="9" t="s">
        <v>4369</v>
      </c>
      <c r="AD516" s="9" t="s">
        <v>4370</v>
      </c>
      <c r="AE516" s="9" t="s">
        <v>4408</v>
      </c>
    </row>
    <row r="517" customFormat="false" ht="15" hidden="false" customHeight="true" outlineLevel="0" collapsed="false">
      <c r="A517" s="6" t="s">
        <v>2152</v>
      </c>
      <c r="B517" s="6" t="s">
        <v>463</v>
      </c>
      <c r="C517" s="6" t="s">
        <v>467</v>
      </c>
      <c r="D517" s="6" t="n">
        <v>6</v>
      </c>
      <c r="E517" s="9" t="s">
        <v>4616</v>
      </c>
      <c r="F517" s="6" t="n">
        <v>241000</v>
      </c>
      <c r="Q517" s="1" t="str">
        <f aca="false">IF($A517="","",IF(OR(F517="",I517=""),"",F517-I517))</f>
        <v/>
      </c>
      <c r="R517" s="1" t="str">
        <f aca="false">IF($A517="","",IF(Q517="","",Q517+IF(O517="",0,O517)))</f>
        <v/>
      </c>
      <c r="T517" s="1" t="str">
        <f aca="false">IF($A517="","",IF(R517="","",R517-IF(S517="",0,S517)))</f>
        <v/>
      </c>
      <c r="U517" s="1" t="str">
        <f aca="false">IF($A517="","",IF(I517="","",I517-SUM(J517:P517)))</f>
        <v/>
      </c>
      <c r="V517" s="6" t="s">
        <v>4617</v>
      </c>
      <c r="W517" s="44" t="s">
        <v>1168</v>
      </c>
      <c r="X517" s="9" t="s">
        <v>4670</v>
      </c>
      <c r="AC517" s="9" t="s">
        <v>4369</v>
      </c>
      <c r="AD517" s="9" t="s">
        <v>4370</v>
      </c>
      <c r="AE517" s="9" t="s">
        <v>4408</v>
      </c>
    </row>
    <row r="518" customFormat="false" ht="15" hidden="false" customHeight="true" outlineLevel="0" collapsed="false">
      <c r="A518" s="6" t="s">
        <v>2155</v>
      </c>
      <c r="B518" s="6" t="s">
        <v>463</v>
      </c>
      <c r="C518" s="6" t="s">
        <v>467</v>
      </c>
      <c r="D518" s="6" t="n">
        <v>6</v>
      </c>
      <c r="E518" s="9" t="s">
        <v>4616</v>
      </c>
      <c r="F518" s="6" t="n">
        <v>277000</v>
      </c>
      <c r="Q518" s="1" t="str">
        <f aca="false">IF($A518="","",IF(OR(F518="",I518=""),"",F518-I518))</f>
        <v/>
      </c>
      <c r="R518" s="1" t="str">
        <f aca="false">IF($A518="","",IF(Q518="","",Q518+IF(O518="",0,O518)))</f>
        <v/>
      </c>
      <c r="T518" s="1" t="str">
        <f aca="false">IF($A518="","",IF(R518="","",R518-IF(S518="",0,S518)))</f>
        <v/>
      </c>
      <c r="U518" s="1" t="str">
        <f aca="false">IF($A518="","",IF(I518="","",I518-SUM(J518:P518)))</f>
        <v/>
      </c>
      <c r="V518" s="6" t="s">
        <v>4617</v>
      </c>
      <c r="W518" s="44" t="s">
        <v>1168</v>
      </c>
      <c r="X518" s="9" t="s">
        <v>4671</v>
      </c>
      <c r="AC518" s="9" t="s">
        <v>4369</v>
      </c>
      <c r="AD518" s="9" t="s">
        <v>4370</v>
      </c>
      <c r="AE518" s="9" t="s">
        <v>4408</v>
      </c>
    </row>
    <row r="519" customFormat="false" ht="15" hidden="false" customHeight="true" outlineLevel="0" collapsed="false">
      <c r="A519" s="6" t="s">
        <v>2158</v>
      </c>
      <c r="B519" s="6" t="s">
        <v>463</v>
      </c>
      <c r="C519" s="6" t="s">
        <v>467</v>
      </c>
      <c r="D519" s="6" t="n">
        <v>6</v>
      </c>
      <c r="E519" s="9" t="s">
        <v>4616</v>
      </c>
      <c r="F519" s="6" t="n">
        <v>70000</v>
      </c>
      <c r="Q519" s="1" t="str">
        <f aca="false">IF($A519="","",IF(OR(F519="",I519=""),"",F519-I519))</f>
        <v/>
      </c>
      <c r="R519" s="1" t="str">
        <f aca="false">IF($A519="","",IF(Q519="","",Q519+IF(O519="",0,O519)))</f>
        <v/>
      </c>
      <c r="T519" s="1" t="str">
        <f aca="false">IF($A519="","",IF(R519="","",R519-IF(S519="",0,S519)))</f>
        <v/>
      </c>
      <c r="U519" s="1" t="str">
        <f aca="false">IF($A519="","",IF(I519="","",I519-SUM(J519:P519)))</f>
        <v/>
      </c>
      <c r="V519" s="6" t="s">
        <v>4617</v>
      </c>
      <c r="W519" s="44" t="s">
        <v>1168</v>
      </c>
      <c r="X519" s="9" t="s">
        <v>4649</v>
      </c>
      <c r="AC519" s="9" t="s">
        <v>4369</v>
      </c>
      <c r="AD519" s="9" t="s">
        <v>4370</v>
      </c>
      <c r="AE519" s="9" t="s">
        <v>4408</v>
      </c>
    </row>
    <row r="520" customFormat="false" ht="15" hidden="false" customHeight="true" outlineLevel="0" collapsed="false">
      <c r="A520" s="6" t="s">
        <v>2161</v>
      </c>
      <c r="B520" s="6" t="s">
        <v>463</v>
      </c>
      <c r="C520" s="6" t="s">
        <v>467</v>
      </c>
      <c r="D520" s="6" t="n">
        <v>6</v>
      </c>
      <c r="E520" s="9" t="s">
        <v>4616</v>
      </c>
      <c r="F520" s="6" t="n">
        <v>155000</v>
      </c>
      <c r="Q520" s="1" t="str">
        <f aca="false">IF($A520="","",IF(OR(F520="",I520=""),"",F520-I520))</f>
        <v/>
      </c>
      <c r="R520" s="1" t="str">
        <f aca="false">IF($A520="","",IF(Q520="","",Q520+IF(O520="",0,O520)))</f>
        <v/>
      </c>
      <c r="T520" s="1" t="str">
        <f aca="false">IF($A520="","",IF(R520="","",R520-IF(S520="",0,S520)))</f>
        <v/>
      </c>
      <c r="U520" s="1" t="str">
        <f aca="false">IF($A520="","",IF(I520="","",I520-SUM(J520:P520)))</f>
        <v/>
      </c>
      <c r="V520" s="6" t="s">
        <v>4617</v>
      </c>
      <c r="W520" s="44" t="s">
        <v>1168</v>
      </c>
      <c r="X520" s="9" t="s">
        <v>4672</v>
      </c>
      <c r="AC520" s="9" t="s">
        <v>4369</v>
      </c>
      <c r="AD520" s="9" t="s">
        <v>4370</v>
      </c>
      <c r="AE520" s="9" t="s">
        <v>4408</v>
      </c>
    </row>
    <row r="521" customFormat="false" ht="15" hidden="false" customHeight="true" outlineLevel="0" collapsed="false">
      <c r="A521" s="6" t="s">
        <v>2164</v>
      </c>
      <c r="B521" s="6" t="s">
        <v>463</v>
      </c>
      <c r="C521" s="6" t="s">
        <v>467</v>
      </c>
      <c r="D521" s="6" t="n">
        <v>6</v>
      </c>
      <c r="E521" s="9" t="s">
        <v>4616</v>
      </c>
      <c r="F521" s="6" t="n">
        <v>61000</v>
      </c>
      <c r="Q521" s="1" t="str">
        <f aca="false">IF($A521="","",IF(OR(F521="",I521=""),"",F521-I521))</f>
        <v/>
      </c>
      <c r="R521" s="1" t="str">
        <f aca="false">IF($A521="","",IF(Q521="","",Q521+IF(O521="",0,O521)))</f>
        <v/>
      </c>
      <c r="T521" s="1" t="str">
        <f aca="false">IF($A521="","",IF(R521="","",R521-IF(S521="",0,S521)))</f>
        <v/>
      </c>
      <c r="U521" s="1" t="str">
        <f aca="false">IF($A521="","",IF(I521="","",I521-SUM(J521:P521)))</f>
        <v/>
      </c>
      <c r="V521" s="6" t="s">
        <v>4617</v>
      </c>
      <c r="W521" s="44" t="s">
        <v>1168</v>
      </c>
      <c r="X521" s="9" t="s">
        <v>4620</v>
      </c>
      <c r="AC521" s="9" t="s">
        <v>4369</v>
      </c>
      <c r="AD521" s="9" t="s">
        <v>4370</v>
      </c>
      <c r="AE521" s="9" t="s">
        <v>4408</v>
      </c>
    </row>
    <row r="522" customFormat="false" ht="15" hidden="false" customHeight="true" outlineLevel="0" collapsed="false">
      <c r="A522" s="6" t="s">
        <v>2167</v>
      </c>
      <c r="B522" s="6" t="s">
        <v>463</v>
      </c>
      <c r="C522" s="6" t="s">
        <v>467</v>
      </c>
      <c r="D522" s="6" t="n">
        <v>6</v>
      </c>
      <c r="E522" s="9" t="s">
        <v>4616</v>
      </c>
      <c r="F522" s="6" t="n">
        <v>61000</v>
      </c>
      <c r="Q522" s="1" t="str">
        <f aca="false">IF($A522="","",IF(OR(F522="",I522=""),"",F522-I522))</f>
        <v/>
      </c>
      <c r="R522" s="1" t="str">
        <f aca="false">IF($A522="","",IF(Q522="","",Q522+IF(O522="",0,O522)))</f>
        <v/>
      </c>
      <c r="T522" s="1" t="str">
        <f aca="false">IF($A522="","",IF(R522="","",R522-IF(S522="",0,S522)))</f>
        <v/>
      </c>
      <c r="U522" s="1" t="str">
        <f aca="false">IF($A522="","",IF(I522="","",I522-SUM(J522:P522)))</f>
        <v/>
      </c>
      <c r="V522" s="6" t="s">
        <v>4617</v>
      </c>
      <c r="W522" s="44" t="s">
        <v>1168</v>
      </c>
      <c r="X522" s="9" t="s">
        <v>4620</v>
      </c>
      <c r="AC522" s="9" t="s">
        <v>4369</v>
      </c>
      <c r="AD522" s="9" t="s">
        <v>4370</v>
      </c>
      <c r="AE522" s="9" t="s">
        <v>4408</v>
      </c>
    </row>
    <row r="523" customFormat="false" ht="15" hidden="false" customHeight="true" outlineLevel="0" collapsed="false">
      <c r="A523" s="6" t="s">
        <v>2170</v>
      </c>
      <c r="B523" s="6" t="s">
        <v>463</v>
      </c>
      <c r="C523" s="6" t="s">
        <v>467</v>
      </c>
      <c r="D523" s="6" t="n">
        <v>6</v>
      </c>
      <c r="E523" s="9" t="s">
        <v>4616</v>
      </c>
      <c r="F523" s="6" t="n">
        <v>118000</v>
      </c>
      <c r="Q523" s="1" t="str">
        <f aca="false">IF($A523="","",IF(OR(F523="",I523=""),"",F523-I523))</f>
        <v/>
      </c>
      <c r="R523" s="1" t="str">
        <f aca="false">IF($A523="","",IF(Q523="","",Q523+IF(O523="",0,O523)))</f>
        <v/>
      </c>
      <c r="T523" s="1" t="str">
        <f aca="false">IF($A523="","",IF(R523="","",R523-IF(S523="",0,S523)))</f>
        <v/>
      </c>
      <c r="U523" s="1" t="str">
        <f aca="false">IF($A523="","",IF(I523="","",I523-SUM(J523:P523)))</f>
        <v/>
      </c>
      <c r="V523" s="6" t="s">
        <v>4617</v>
      </c>
      <c r="W523" s="44" t="s">
        <v>1168</v>
      </c>
      <c r="X523" s="9" t="s">
        <v>4673</v>
      </c>
      <c r="AC523" s="9" t="s">
        <v>4369</v>
      </c>
      <c r="AD523" s="9" t="s">
        <v>4370</v>
      </c>
      <c r="AE523" s="9" t="s">
        <v>4408</v>
      </c>
    </row>
    <row r="524" customFormat="false" ht="15" hidden="false" customHeight="true" outlineLevel="0" collapsed="false">
      <c r="A524" s="6" t="s">
        <v>2173</v>
      </c>
      <c r="B524" s="6" t="s">
        <v>463</v>
      </c>
      <c r="C524" s="6" t="s">
        <v>467</v>
      </c>
      <c r="D524" s="6" t="n">
        <v>6</v>
      </c>
      <c r="E524" s="9" t="s">
        <v>4616</v>
      </c>
      <c r="F524" s="6" t="n">
        <v>75000</v>
      </c>
      <c r="Q524" s="1" t="str">
        <f aca="false">IF($A524="","",IF(OR(F524="",I524=""),"",F524-I524))</f>
        <v/>
      </c>
      <c r="R524" s="1" t="str">
        <f aca="false">IF($A524="","",IF(Q524="","",Q524+IF(O524="",0,O524)))</f>
        <v/>
      </c>
      <c r="T524" s="1" t="str">
        <f aca="false">IF($A524="","",IF(R524="","",R524-IF(S524="",0,S524)))</f>
        <v/>
      </c>
      <c r="U524" s="1" t="str">
        <f aca="false">IF($A524="","",IF(I524="","",I524-SUM(J524:P524)))</f>
        <v/>
      </c>
      <c r="V524" s="6" t="s">
        <v>4617</v>
      </c>
      <c r="W524" s="44" t="s">
        <v>1168</v>
      </c>
      <c r="X524" s="9" t="s">
        <v>4674</v>
      </c>
      <c r="AC524" s="9" t="s">
        <v>4369</v>
      </c>
      <c r="AD524" s="9" t="s">
        <v>4370</v>
      </c>
      <c r="AE524" s="9" t="s">
        <v>4408</v>
      </c>
    </row>
    <row r="525" customFormat="false" ht="15" hidden="false" customHeight="true" outlineLevel="0" collapsed="false">
      <c r="A525" s="6" t="s">
        <v>2176</v>
      </c>
      <c r="B525" s="6" t="s">
        <v>463</v>
      </c>
      <c r="C525" s="6" t="s">
        <v>467</v>
      </c>
      <c r="D525" s="6" t="n">
        <v>6</v>
      </c>
      <c r="E525" s="9" t="s">
        <v>4616</v>
      </c>
      <c r="F525" s="6" t="n">
        <v>50000</v>
      </c>
      <c r="Q525" s="1" t="str">
        <f aca="false">IF($A525="","",IF(OR(F525="",I525=""),"",F525-I525))</f>
        <v/>
      </c>
      <c r="R525" s="1" t="str">
        <f aca="false">IF($A525="","",IF(Q525="","",Q525+IF(O525="",0,O525)))</f>
        <v/>
      </c>
      <c r="T525" s="1" t="str">
        <f aca="false">IF($A525="","",IF(R525="","",R525-IF(S525="",0,S525)))</f>
        <v/>
      </c>
      <c r="U525" s="1" t="str">
        <f aca="false">IF($A525="","",IF(I525="","",I525-SUM(J525:P525)))</f>
        <v/>
      </c>
      <c r="V525" s="6" t="s">
        <v>4617</v>
      </c>
      <c r="W525" s="44" t="s">
        <v>1168</v>
      </c>
      <c r="X525" s="9" t="s">
        <v>4675</v>
      </c>
      <c r="AC525" s="9" t="s">
        <v>4369</v>
      </c>
      <c r="AD525" s="9" t="s">
        <v>4370</v>
      </c>
      <c r="AE525" s="9" t="s">
        <v>4408</v>
      </c>
    </row>
    <row r="526" customFormat="false" ht="15" hidden="false" customHeight="true" outlineLevel="0" collapsed="false">
      <c r="A526" s="6" t="s">
        <v>2179</v>
      </c>
      <c r="B526" s="6" t="s">
        <v>463</v>
      </c>
      <c r="C526" s="6" t="s">
        <v>467</v>
      </c>
      <c r="D526" s="6" t="n">
        <v>6</v>
      </c>
      <c r="E526" s="9" t="s">
        <v>4616</v>
      </c>
      <c r="F526" s="6" t="n">
        <v>90000</v>
      </c>
      <c r="Q526" s="1" t="str">
        <f aca="false">IF($A526="","",IF(OR(F526="",I526=""),"",F526-I526))</f>
        <v/>
      </c>
      <c r="R526" s="1" t="str">
        <f aca="false">IF($A526="","",IF(Q526="","",Q526+IF(O526="",0,O526)))</f>
        <v/>
      </c>
      <c r="T526" s="1" t="str">
        <f aca="false">IF($A526="","",IF(R526="","",R526-IF(S526="",0,S526)))</f>
        <v/>
      </c>
      <c r="U526" s="1" t="str">
        <f aca="false">IF($A526="","",IF(I526="","",I526-SUM(J526:P526)))</f>
        <v/>
      </c>
      <c r="V526" s="6" t="s">
        <v>4617</v>
      </c>
      <c r="W526" s="44" t="s">
        <v>1168</v>
      </c>
      <c r="X526" s="9" t="s">
        <v>4676</v>
      </c>
      <c r="AC526" s="9" t="s">
        <v>4369</v>
      </c>
      <c r="AD526" s="9" t="s">
        <v>4370</v>
      </c>
      <c r="AE526" s="9" t="s">
        <v>4408</v>
      </c>
    </row>
    <row r="527" customFormat="false" ht="15" hidden="false" customHeight="true" outlineLevel="0" collapsed="false">
      <c r="A527" s="6" t="s">
        <v>2182</v>
      </c>
      <c r="B527" s="6" t="s">
        <v>463</v>
      </c>
      <c r="C527" s="6" t="s">
        <v>467</v>
      </c>
      <c r="D527" s="6" t="n">
        <v>6</v>
      </c>
      <c r="E527" s="9" t="s">
        <v>4616</v>
      </c>
      <c r="F527" s="6" t="n">
        <v>58000</v>
      </c>
      <c r="Q527" s="1" t="str">
        <f aca="false">IF($A527="","",IF(OR(F527="",I527=""),"",F527-I527))</f>
        <v/>
      </c>
      <c r="R527" s="1" t="str">
        <f aca="false">IF($A527="","",IF(Q527="","",Q527+IF(O527="",0,O527)))</f>
        <v/>
      </c>
      <c r="T527" s="1" t="str">
        <f aca="false">IF($A527="","",IF(R527="","",R527-IF(S527="",0,S527)))</f>
        <v/>
      </c>
      <c r="U527" s="1" t="str">
        <f aca="false">IF($A527="","",IF(I527="","",I527-SUM(J527:P527)))</f>
        <v/>
      </c>
      <c r="V527" s="6" t="s">
        <v>4617</v>
      </c>
      <c r="W527" s="44" t="s">
        <v>1168</v>
      </c>
      <c r="X527" s="9" t="s">
        <v>4677</v>
      </c>
      <c r="AC527" s="9" t="s">
        <v>4369</v>
      </c>
      <c r="AD527" s="9" t="s">
        <v>4370</v>
      </c>
      <c r="AE527" s="9" t="s">
        <v>4408</v>
      </c>
    </row>
    <row r="528" customFormat="false" ht="15" hidden="false" customHeight="true" outlineLevel="0" collapsed="false">
      <c r="A528" s="6" t="s">
        <v>2185</v>
      </c>
      <c r="B528" s="6" t="s">
        <v>463</v>
      </c>
      <c r="C528" s="6" t="s">
        <v>467</v>
      </c>
      <c r="D528" s="6" t="n">
        <v>6</v>
      </c>
      <c r="E528" s="9" t="s">
        <v>4616</v>
      </c>
      <c r="F528" s="6" t="n">
        <v>115000</v>
      </c>
      <c r="Q528" s="1" t="str">
        <f aca="false">IF($A528="","",IF(OR(F528="",I528=""),"",F528-I528))</f>
        <v/>
      </c>
      <c r="R528" s="1" t="str">
        <f aca="false">IF($A528="","",IF(Q528="","",Q528+IF(O528="",0,O528)))</f>
        <v/>
      </c>
      <c r="T528" s="1" t="str">
        <f aca="false">IF($A528="","",IF(R528="","",R528-IF(S528="",0,S528)))</f>
        <v/>
      </c>
      <c r="U528" s="1" t="str">
        <f aca="false">IF($A528="","",IF(I528="","",I528-SUM(J528:P528)))</f>
        <v/>
      </c>
      <c r="V528" s="6" t="s">
        <v>4617</v>
      </c>
      <c r="W528" s="44" t="s">
        <v>1168</v>
      </c>
      <c r="X528" s="9" t="s">
        <v>4678</v>
      </c>
      <c r="AC528" s="9" t="s">
        <v>4369</v>
      </c>
      <c r="AD528" s="9" t="s">
        <v>4370</v>
      </c>
      <c r="AE528" s="9" t="s">
        <v>4408</v>
      </c>
    </row>
    <row r="529" customFormat="false" ht="15" hidden="false" customHeight="true" outlineLevel="0" collapsed="false">
      <c r="A529" s="6" t="s">
        <v>2188</v>
      </c>
      <c r="B529" s="6" t="s">
        <v>463</v>
      </c>
      <c r="C529" s="6" t="s">
        <v>467</v>
      </c>
      <c r="D529" s="6" t="n">
        <v>6</v>
      </c>
      <c r="E529" s="9" t="s">
        <v>4621</v>
      </c>
      <c r="F529" s="6" t="n">
        <v>21000</v>
      </c>
      <c r="Q529" s="1" t="str">
        <f aca="false">IF($A529="","",IF(OR(F529="",I529=""),"",F529-I529))</f>
        <v/>
      </c>
      <c r="R529" s="1" t="str">
        <f aca="false">IF($A529="","",IF(Q529="","",Q529+IF(O529="",0,O529)))</f>
        <v/>
      </c>
      <c r="T529" s="1" t="str">
        <f aca="false">IF($A529="","",IF(R529="","",R529-IF(S529="",0,S529)))</f>
        <v/>
      </c>
      <c r="U529" s="1" t="str">
        <f aca="false">IF($A529="","",IF(I529="","",I529-SUM(J529:P529)))</f>
        <v/>
      </c>
      <c r="V529" s="6" t="s">
        <v>4617</v>
      </c>
      <c r="W529" s="9" t="s">
        <v>528</v>
      </c>
      <c r="X529" s="6" t="s">
        <v>4679</v>
      </c>
      <c r="AC529" s="6" t="s">
        <v>4373</v>
      </c>
      <c r="AD529" s="9" t="s">
        <v>4389</v>
      </c>
      <c r="AE529" s="9" t="s">
        <v>4445</v>
      </c>
    </row>
    <row r="530" customFormat="false" ht="15" hidden="false" customHeight="true" outlineLevel="0" collapsed="false">
      <c r="A530" s="6" t="s">
        <v>2191</v>
      </c>
      <c r="B530" s="6" t="s">
        <v>463</v>
      </c>
      <c r="C530" s="6" t="s">
        <v>467</v>
      </c>
      <c r="D530" s="6" t="n">
        <v>6</v>
      </c>
      <c r="E530" s="9" t="s">
        <v>4616</v>
      </c>
      <c r="F530" s="6" t="n">
        <v>54000</v>
      </c>
      <c r="Q530" s="1" t="str">
        <f aca="false">IF($A530="","",IF(OR(F530="",I530=""),"",F530-I530))</f>
        <v/>
      </c>
      <c r="R530" s="1" t="str">
        <f aca="false">IF($A530="","",IF(Q530="","",Q530+IF(O530="",0,O530)))</f>
        <v/>
      </c>
      <c r="T530" s="1" t="str">
        <f aca="false">IF($A530="","",IF(R530="","",R530-IF(S530="",0,S530)))</f>
        <v/>
      </c>
      <c r="U530" s="1" t="str">
        <f aca="false">IF($A530="","",IF(I530="","",I530-SUM(J530:P530)))</f>
        <v/>
      </c>
      <c r="V530" s="6" t="s">
        <v>4617</v>
      </c>
      <c r="W530" s="44" t="s">
        <v>1168</v>
      </c>
      <c r="X530" s="9" t="s">
        <v>4658</v>
      </c>
      <c r="AC530" s="9" t="s">
        <v>4369</v>
      </c>
      <c r="AD530" s="9" t="s">
        <v>4370</v>
      </c>
      <c r="AE530" s="9" t="s">
        <v>4408</v>
      </c>
    </row>
    <row r="531" customFormat="false" ht="15" hidden="false" customHeight="true" outlineLevel="0" collapsed="false">
      <c r="A531" s="6" t="s">
        <v>2195</v>
      </c>
      <c r="B531" s="6" t="s">
        <v>463</v>
      </c>
      <c r="C531" s="6" t="s">
        <v>467</v>
      </c>
      <c r="D531" s="6" t="n">
        <v>6</v>
      </c>
      <c r="E531" s="9" t="s">
        <v>4616</v>
      </c>
      <c r="F531" s="6" t="n">
        <v>147000</v>
      </c>
      <c r="Q531" s="1" t="str">
        <f aca="false">IF($A531="","",IF(OR(F531="",I531=""),"",F531-I531))</f>
        <v/>
      </c>
      <c r="R531" s="1" t="str">
        <f aca="false">IF($A531="","",IF(Q531="","",Q531+IF(O531="",0,O531)))</f>
        <v/>
      </c>
      <c r="T531" s="1" t="str">
        <f aca="false">IF($A531="","",IF(R531="","",R531-IF(S531="",0,S531)))</f>
        <v/>
      </c>
      <c r="U531" s="1" t="str">
        <f aca="false">IF($A531="","",IF(I531="","",I531-SUM(J531:P531)))</f>
        <v/>
      </c>
      <c r="V531" s="6" t="s">
        <v>4617</v>
      </c>
      <c r="W531" s="44" t="s">
        <v>1168</v>
      </c>
      <c r="X531" s="9" t="s">
        <v>4680</v>
      </c>
      <c r="AC531" s="9" t="s">
        <v>4369</v>
      </c>
      <c r="AD531" s="9" t="s">
        <v>4370</v>
      </c>
      <c r="AE531" s="9" t="s">
        <v>4408</v>
      </c>
    </row>
    <row r="532" customFormat="false" ht="15" hidden="false" customHeight="true" outlineLevel="0" collapsed="false">
      <c r="A532" s="6" t="s">
        <v>2198</v>
      </c>
      <c r="B532" s="6" t="s">
        <v>463</v>
      </c>
      <c r="C532" s="6" t="s">
        <v>467</v>
      </c>
      <c r="D532" s="6" t="n">
        <v>6</v>
      </c>
      <c r="E532" s="9" t="s">
        <v>4616</v>
      </c>
      <c r="F532" s="6" t="n">
        <v>221000</v>
      </c>
      <c r="Q532" s="1" t="str">
        <f aca="false">IF($A532="","",IF(OR(F532="",I532=""),"",F532-I532))</f>
        <v/>
      </c>
      <c r="R532" s="1" t="str">
        <f aca="false">IF($A532="","",IF(Q532="","",Q532+IF(O532="",0,O532)))</f>
        <v/>
      </c>
      <c r="T532" s="1" t="str">
        <f aca="false">IF($A532="","",IF(R532="","",R532-IF(S532="",0,S532)))</f>
        <v/>
      </c>
      <c r="U532" s="1" t="str">
        <f aca="false">IF($A532="","",IF(I532="","",I532-SUM(J532:P532)))</f>
        <v/>
      </c>
      <c r="V532" s="6" t="s">
        <v>4617</v>
      </c>
      <c r="W532" s="44" t="s">
        <v>1168</v>
      </c>
      <c r="X532" s="9" t="s">
        <v>4681</v>
      </c>
      <c r="AC532" s="9" t="s">
        <v>4369</v>
      </c>
      <c r="AD532" s="9" t="s">
        <v>4370</v>
      </c>
      <c r="AE532" s="9" t="s">
        <v>4408</v>
      </c>
    </row>
    <row r="533" customFormat="false" ht="15" hidden="false" customHeight="true" outlineLevel="0" collapsed="false">
      <c r="A533" s="6" t="s">
        <v>2201</v>
      </c>
      <c r="B533" s="6" t="s">
        <v>463</v>
      </c>
      <c r="C533" s="6" t="s">
        <v>467</v>
      </c>
      <c r="D533" s="6" t="n">
        <v>6</v>
      </c>
      <c r="E533" s="9" t="s">
        <v>4616</v>
      </c>
      <c r="F533" s="6" t="n">
        <v>69000</v>
      </c>
      <c r="Q533" s="1" t="str">
        <f aca="false">IF($A533="","",IF(OR(F533="",I533=""),"",F533-I533))</f>
        <v/>
      </c>
      <c r="R533" s="1" t="str">
        <f aca="false">IF($A533="","",IF(Q533="","",Q533+IF(O533="",0,O533)))</f>
        <v/>
      </c>
      <c r="T533" s="1" t="str">
        <f aca="false">IF($A533="","",IF(R533="","",R533-IF(S533="",0,S533)))</f>
        <v/>
      </c>
      <c r="U533" s="1" t="str">
        <f aca="false">IF($A533="","",IF(I533="","",I533-SUM(J533:P533)))</f>
        <v/>
      </c>
      <c r="V533" s="6" t="s">
        <v>4617</v>
      </c>
      <c r="W533" s="44" t="s">
        <v>1168</v>
      </c>
      <c r="X533" s="9" t="s">
        <v>4640</v>
      </c>
      <c r="AC533" s="9" t="s">
        <v>4369</v>
      </c>
      <c r="AD533" s="9" t="s">
        <v>4370</v>
      </c>
      <c r="AE533" s="9" t="s">
        <v>4408</v>
      </c>
    </row>
    <row r="534" customFormat="false" ht="15" hidden="false" customHeight="true" outlineLevel="0" collapsed="false">
      <c r="A534" s="6" t="s">
        <v>2204</v>
      </c>
      <c r="B534" s="6" t="s">
        <v>463</v>
      </c>
      <c r="C534" s="6" t="s">
        <v>467</v>
      </c>
      <c r="D534" s="6" t="n">
        <v>6</v>
      </c>
      <c r="E534" s="9" t="s">
        <v>4616</v>
      </c>
      <c r="F534" s="6" t="n">
        <v>85000</v>
      </c>
      <c r="Q534" s="1" t="str">
        <f aca="false">IF($A534="","",IF(OR(F534="",I534=""),"",F534-I534))</f>
        <v/>
      </c>
      <c r="R534" s="1" t="str">
        <f aca="false">IF($A534="","",IF(Q534="","",Q534+IF(O534="",0,O534)))</f>
        <v/>
      </c>
      <c r="T534" s="1" t="str">
        <f aca="false">IF($A534="","",IF(R534="","",R534-IF(S534="",0,S534)))</f>
        <v/>
      </c>
      <c r="U534" s="1" t="str">
        <f aca="false">IF($A534="","",IF(I534="","",I534-SUM(J534:P534)))</f>
        <v/>
      </c>
      <c r="V534" s="6" t="s">
        <v>4617</v>
      </c>
      <c r="W534" s="44" t="s">
        <v>1168</v>
      </c>
      <c r="X534" s="9" t="s">
        <v>4682</v>
      </c>
      <c r="AC534" s="9" t="s">
        <v>4369</v>
      </c>
      <c r="AD534" s="9" t="s">
        <v>4370</v>
      </c>
      <c r="AE534" s="9" t="s">
        <v>4408</v>
      </c>
    </row>
    <row r="535" customFormat="false" ht="15" hidden="false" customHeight="true" outlineLevel="0" collapsed="false">
      <c r="A535" s="6" t="s">
        <v>2207</v>
      </c>
      <c r="B535" s="6" t="s">
        <v>463</v>
      </c>
      <c r="C535" s="6" t="s">
        <v>467</v>
      </c>
      <c r="D535" s="6" t="n">
        <v>6</v>
      </c>
      <c r="E535" s="9" t="s">
        <v>4616</v>
      </c>
      <c r="F535" s="6" t="n">
        <v>34000</v>
      </c>
      <c r="Q535" s="1" t="str">
        <f aca="false">IF($A535="","",IF(OR(F535="",I535=""),"",F535-I535))</f>
        <v/>
      </c>
      <c r="R535" s="1" t="str">
        <f aca="false">IF($A535="","",IF(Q535="","",Q535+IF(O535="",0,O535)))</f>
        <v/>
      </c>
      <c r="T535" s="1" t="str">
        <f aca="false">IF($A535="","",IF(R535="","",R535-IF(S535="",0,S535)))</f>
        <v/>
      </c>
      <c r="U535" s="1" t="str">
        <f aca="false">IF($A535="","",IF(I535="","",I535-SUM(J535:P535)))</f>
        <v/>
      </c>
      <c r="V535" s="6" t="s">
        <v>4617</v>
      </c>
      <c r="W535" s="44" t="s">
        <v>1168</v>
      </c>
      <c r="X535" s="9" t="s">
        <v>4629</v>
      </c>
      <c r="AC535" s="9" t="s">
        <v>4369</v>
      </c>
      <c r="AD535" s="9" t="s">
        <v>4370</v>
      </c>
      <c r="AE535" s="9" t="s">
        <v>4445</v>
      </c>
    </row>
    <row r="536" customFormat="false" ht="15" hidden="false" customHeight="true" outlineLevel="0" collapsed="false">
      <c r="A536" s="6" t="s">
        <v>2210</v>
      </c>
      <c r="B536" s="6" t="s">
        <v>463</v>
      </c>
      <c r="C536" s="6" t="s">
        <v>467</v>
      </c>
      <c r="D536" s="6" t="n">
        <v>6</v>
      </c>
      <c r="E536" s="9" t="s">
        <v>4616</v>
      </c>
      <c r="F536" s="6" t="n">
        <v>130000</v>
      </c>
      <c r="Q536" s="1" t="str">
        <f aca="false">IF($A536="","",IF(OR(F536="",I536=""),"",F536-I536))</f>
        <v/>
      </c>
      <c r="R536" s="1" t="str">
        <f aca="false">IF($A536="","",IF(Q536="","",Q536+IF(O536="",0,O536)))</f>
        <v/>
      </c>
      <c r="T536" s="1" t="str">
        <f aca="false">IF($A536="","",IF(R536="","",R536-IF(S536="",0,S536)))</f>
        <v/>
      </c>
      <c r="U536" s="1" t="str">
        <f aca="false">IF($A536="","",IF(I536="","",I536-SUM(J536:P536)))</f>
        <v/>
      </c>
      <c r="V536" s="6" t="s">
        <v>4617</v>
      </c>
      <c r="W536" s="44" t="s">
        <v>1168</v>
      </c>
      <c r="X536" s="9" t="s">
        <v>4683</v>
      </c>
      <c r="AC536" s="9" t="s">
        <v>4369</v>
      </c>
      <c r="AD536" s="9" t="s">
        <v>4370</v>
      </c>
      <c r="AE536" s="9" t="s">
        <v>4408</v>
      </c>
    </row>
    <row r="537" customFormat="false" ht="15" hidden="false" customHeight="true" outlineLevel="0" collapsed="false">
      <c r="A537" s="6" t="s">
        <v>2213</v>
      </c>
      <c r="B537" s="6" t="s">
        <v>463</v>
      </c>
      <c r="C537" s="6" t="s">
        <v>467</v>
      </c>
      <c r="D537" s="6" t="n">
        <v>6</v>
      </c>
      <c r="E537" s="9" t="s">
        <v>4616</v>
      </c>
      <c r="F537" s="6" t="n">
        <v>118000</v>
      </c>
      <c r="Q537" s="1" t="str">
        <f aca="false">IF($A537="","",IF(OR(F537="",I537=""),"",F537-I537))</f>
        <v/>
      </c>
      <c r="R537" s="1" t="str">
        <f aca="false">IF($A537="","",IF(Q537="","",Q537+IF(O537="",0,O537)))</f>
        <v/>
      </c>
      <c r="T537" s="1" t="str">
        <f aca="false">IF($A537="","",IF(R537="","",R537-IF(S537="",0,S537)))</f>
        <v/>
      </c>
      <c r="U537" s="1" t="str">
        <f aca="false">IF($A537="","",IF(I537="","",I537-SUM(J537:P537)))</f>
        <v/>
      </c>
      <c r="V537" s="6" t="s">
        <v>4617</v>
      </c>
      <c r="W537" s="44" t="s">
        <v>1168</v>
      </c>
      <c r="X537" s="9" t="s">
        <v>4673</v>
      </c>
      <c r="AC537" s="9" t="s">
        <v>4369</v>
      </c>
      <c r="AD537" s="9" t="s">
        <v>4370</v>
      </c>
      <c r="AE537" s="9" t="s">
        <v>4408</v>
      </c>
    </row>
    <row r="538" customFormat="false" ht="15" hidden="false" customHeight="true" outlineLevel="0" collapsed="false">
      <c r="A538" s="6" t="s">
        <v>2216</v>
      </c>
      <c r="B538" s="6" t="s">
        <v>463</v>
      </c>
      <c r="C538" s="6" t="s">
        <v>467</v>
      </c>
      <c r="D538" s="6" t="n">
        <v>6</v>
      </c>
      <c r="E538" s="9" t="s">
        <v>4616</v>
      </c>
      <c r="F538" s="6" t="n">
        <v>20000</v>
      </c>
      <c r="Q538" s="1" t="str">
        <f aca="false">IF($A538="","",IF(OR(F538="",I538=""),"",F538-I538))</f>
        <v/>
      </c>
      <c r="R538" s="1" t="str">
        <f aca="false">IF($A538="","",IF(Q538="","",Q538+IF(O538="",0,O538)))</f>
        <v/>
      </c>
      <c r="T538" s="1" t="str">
        <f aca="false">IF($A538="","",IF(R538="","",R538-IF(S538="",0,S538)))</f>
        <v/>
      </c>
      <c r="U538" s="1" t="str">
        <f aca="false">IF($A538="","",IF(I538="","",I538-SUM(J538:P538)))</f>
        <v/>
      </c>
      <c r="V538" s="6" t="s">
        <v>4617</v>
      </c>
      <c r="W538" s="44" t="s">
        <v>1168</v>
      </c>
      <c r="X538" s="9" t="s">
        <v>4684</v>
      </c>
      <c r="AC538" s="9" t="s">
        <v>4369</v>
      </c>
      <c r="AD538" s="9" t="s">
        <v>4370</v>
      </c>
      <c r="AE538" s="9" t="s">
        <v>4445</v>
      </c>
    </row>
    <row r="539" customFormat="false" ht="15" hidden="false" customHeight="true" outlineLevel="0" collapsed="false">
      <c r="A539" s="6" t="s">
        <v>2219</v>
      </c>
      <c r="B539" s="6" t="s">
        <v>463</v>
      </c>
      <c r="C539" s="6" t="s">
        <v>467</v>
      </c>
      <c r="D539" s="6" t="n">
        <v>6</v>
      </c>
      <c r="E539" s="9" t="s">
        <v>4616</v>
      </c>
      <c r="F539" s="6" t="n">
        <v>239000</v>
      </c>
      <c r="Q539" s="1" t="str">
        <f aca="false">IF($A539="","",IF(OR(F539="",I539=""),"",F539-I539))</f>
        <v/>
      </c>
      <c r="R539" s="1" t="str">
        <f aca="false">IF($A539="","",IF(Q539="","",Q539+IF(O539="",0,O539)))</f>
        <v/>
      </c>
      <c r="T539" s="1" t="str">
        <f aca="false">IF($A539="","",IF(R539="","",R539-IF(S539="",0,S539)))</f>
        <v/>
      </c>
      <c r="U539" s="1" t="str">
        <f aca="false">IF($A539="","",IF(I539="","",I539-SUM(J539:P539)))</f>
        <v/>
      </c>
      <c r="V539" s="6" t="s">
        <v>4617</v>
      </c>
      <c r="W539" s="44" t="s">
        <v>1168</v>
      </c>
      <c r="X539" s="9" t="s">
        <v>4685</v>
      </c>
      <c r="AC539" s="9" t="s">
        <v>4369</v>
      </c>
      <c r="AD539" s="9" t="s">
        <v>4370</v>
      </c>
      <c r="AE539" s="9" t="s">
        <v>4408</v>
      </c>
    </row>
    <row r="540" customFormat="false" ht="15" hidden="false" customHeight="true" outlineLevel="0" collapsed="false">
      <c r="A540" s="6" t="s">
        <v>2222</v>
      </c>
      <c r="B540" s="6" t="s">
        <v>463</v>
      </c>
      <c r="C540" s="6" t="s">
        <v>467</v>
      </c>
      <c r="D540" s="6" t="n">
        <v>6</v>
      </c>
      <c r="E540" s="9" t="s">
        <v>4616</v>
      </c>
      <c r="F540" s="6" t="n">
        <v>122000</v>
      </c>
      <c r="Q540" s="1" t="str">
        <f aca="false">IF($A540="","",IF(OR(F540="",I540=""),"",F540-I540))</f>
        <v/>
      </c>
      <c r="R540" s="1" t="str">
        <f aca="false">IF($A540="","",IF(Q540="","",Q540+IF(O540="",0,O540)))</f>
        <v/>
      </c>
      <c r="T540" s="1" t="str">
        <f aca="false">IF($A540="","",IF(R540="","",R540-IF(S540="",0,S540)))</f>
        <v/>
      </c>
      <c r="U540" s="1" t="str">
        <f aca="false">IF($A540="","",IF(I540="","",I540-SUM(J540:P540)))</f>
        <v/>
      </c>
      <c r="V540" s="6" t="s">
        <v>4617</v>
      </c>
      <c r="W540" s="44" t="s">
        <v>1168</v>
      </c>
      <c r="X540" s="9" t="s">
        <v>4686</v>
      </c>
      <c r="AC540" s="9" t="s">
        <v>4369</v>
      </c>
      <c r="AD540" s="9" t="s">
        <v>4370</v>
      </c>
      <c r="AE540" s="9" t="s">
        <v>4408</v>
      </c>
    </row>
    <row r="541" customFormat="false" ht="15" hidden="false" customHeight="true" outlineLevel="0" collapsed="false">
      <c r="A541" s="6" t="s">
        <v>2225</v>
      </c>
      <c r="B541" s="6" t="s">
        <v>463</v>
      </c>
      <c r="C541" s="6" t="s">
        <v>467</v>
      </c>
      <c r="D541" s="6" t="n">
        <v>6</v>
      </c>
      <c r="E541" s="9" t="s">
        <v>4616</v>
      </c>
      <c r="F541" s="6" t="n">
        <v>55000</v>
      </c>
      <c r="Q541" s="1" t="str">
        <f aca="false">IF($A541="","",IF(OR(F541="",I541=""),"",F541-I541))</f>
        <v/>
      </c>
      <c r="R541" s="1" t="str">
        <f aca="false">IF($A541="","",IF(Q541="","",Q541+IF(O541="",0,O541)))</f>
        <v/>
      </c>
      <c r="T541" s="1" t="str">
        <f aca="false">IF($A541="","",IF(R541="","",R541-IF(S541="",0,S541)))</f>
        <v/>
      </c>
      <c r="U541" s="1" t="str">
        <f aca="false">IF($A541="","",IF(I541="","",I541-SUM(J541:P541)))</f>
        <v/>
      </c>
      <c r="V541" s="6" t="s">
        <v>4617</v>
      </c>
      <c r="W541" s="44" t="s">
        <v>1168</v>
      </c>
      <c r="X541" s="9" t="s">
        <v>4687</v>
      </c>
      <c r="AC541" s="9" t="s">
        <v>4369</v>
      </c>
      <c r="AD541" s="9" t="s">
        <v>4370</v>
      </c>
      <c r="AE541" s="9" t="s">
        <v>4408</v>
      </c>
    </row>
    <row r="542" customFormat="false" ht="15" hidden="false" customHeight="true" outlineLevel="0" collapsed="false">
      <c r="A542" s="6" t="s">
        <v>2228</v>
      </c>
      <c r="B542" s="6" t="s">
        <v>463</v>
      </c>
      <c r="C542" s="6" t="s">
        <v>467</v>
      </c>
      <c r="D542" s="6" t="n">
        <v>6</v>
      </c>
      <c r="E542" s="9" t="s">
        <v>4616</v>
      </c>
      <c r="F542" s="6" t="n">
        <v>78000</v>
      </c>
      <c r="Q542" s="1" t="str">
        <f aca="false">IF($A542="","",IF(OR(F542="",I542=""),"",F542-I542))</f>
        <v/>
      </c>
      <c r="R542" s="1" t="str">
        <f aca="false">IF($A542="","",IF(Q542="","",Q542+IF(O542="",0,O542)))</f>
        <v/>
      </c>
      <c r="T542" s="1" t="str">
        <f aca="false">IF($A542="","",IF(R542="","",R542-IF(S542="",0,S542)))</f>
        <v/>
      </c>
      <c r="U542" s="1" t="str">
        <f aca="false">IF($A542="","",IF(I542="","",I542-SUM(J542:P542)))</f>
        <v/>
      </c>
      <c r="V542" s="6" t="s">
        <v>4617</v>
      </c>
      <c r="W542" s="44" t="s">
        <v>1168</v>
      </c>
      <c r="X542" s="9" t="s">
        <v>4688</v>
      </c>
      <c r="AC542" s="9" t="s">
        <v>4369</v>
      </c>
      <c r="AD542" s="9" t="s">
        <v>4370</v>
      </c>
      <c r="AE542" s="9" t="s">
        <v>4408</v>
      </c>
    </row>
    <row r="543" customFormat="false" ht="15" hidden="false" customHeight="true" outlineLevel="0" collapsed="false">
      <c r="A543" s="6" t="s">
        <v>2231</v>
      </c>
      <c r="B543" s="6" t="s">
        <v>463</v>
      </c>
      <c r="C543" s="6" t="s">
        <v>467</v>
      </c>
      <c r="D543" s="6" t="n">
        <v>6</v>
      </c>
      <c r="E543" s="9" t="s">
        <v>4616</v>
      </c>
      <c r="F543" s="6" t="n">
        <v>134000</v>
      </c>
      <c r="Q543" s="1" t="str">
        <f aca="false">IF($A543="","",IF(OR(F543="",I543=""),"",F543-I543))</f>
        <v/>
      </c>
      <c r="R543" s="1" t="str">
        <f aca="false">IF($A543="","",IF(Q543="","",Q543+IF(O543="",0,O543)))</f>
        <v/>
      </c>
      <c r="T543" s="1" t="str">
        <f aca="false">IF($A543="","",IF(R543="","",R543-IF(S543="",0,S543)))</f>
        <v/>
      </c>
      <c r="U543" s="1" t="str">
        <f aca="false">IF($A543="","",IF(I543="","",I543-SUM(J543:P543)))</f>
        <v/>
      </c>
      <c r="V543" s="6" t="s">
        <v>4617</v>
      </c>
      <c r="W543" s="44" t="s">
        <v>1168</v>
      </c>
      <c r="X543" s="9" t="s">
        <v>4689</v>
      </c>
      <c r="AC543" s="9" t="s">
        <v>4369</v>
      </c>
      <c r="AD543" s="9" t="s">
        <v>4370</v>
      </c>
      <c r="AE543" s="9" t="s">
        <v>4408</v>
      </c>
    </row>
    <row r="544" customFormat="false" ht="15" hidden="false" customHeight="true" outlineLevel="0" collapsed="false">
      <c r="A544" s="6" t="s">
        <v>2234</v>
      </c>
      <c r="B544" s="6" t="s">
        <v>463</v>
      </c>
      <c r="C544" s="6" t="s">
        <v>467</v>
      </c>
      <c r="D544" s="6" t="n">
        <v>6</v>
      </c>
      <c r="E544" s="9" t="s">
        <v>4616</v>
      </c>
      <c r="F544" s="6" t="n">
        <v>504000</v>
      </c>
      <c r="Q544" s="1" t="str">
        <f aca="false">IF($A544="","",IF(OR(F544="",I544=""),"",F544-I544))</f>
        <v/>
      </c>
      <c r="R544" s="1" t="str">
        <f aca="false">IF($A544="","",IF(Q544="","",Q544+IF(O544="",0,O544)))</f>
        <v/>
      </c>
      <c r="T544" s="1" t="str">
        <f aca="false">IF($A544="","",IF(R544="","",R544-IF(S544="",0,S544)))</f>
        <v/>
      </c>
      <c r="U544" s="1" t="str">
        <f aca="false">IF($A544="","",IF(I544="","",I544-SUM(J544:P544)))</f>
        <v/>
      </c>
      <c r="V544" s="6" t="s">
        <v>4617</v>
      </c>
      <c r="W544" s="44" t="s">
        <v>1168</v>
      </c>
      <c r="X544" s="9" t="s">
        <v>4690</v>
      </c>
      <c r="AC544" s="9" t="s">
        <v>4369</v>
      </c>
      <c r="AD544" s="9" t="s">
        <v>4370</v>
      </c>
      <c r="AE544" s="9" t="s">
        <v>4408</v>
      </c>
    </row>
    <row r="545" customFormat="false" ht="15" hidden="false" customHeight="true" outlineLevel="0" collapsed="false">
      <c r="A545" s="6" t="s">
        <v>2237</v>
      </c>
      <c r="B545" s="6" t="s">
        <v>463</v>
      </c>
      <c r="C545" s="6" t="s">
        <v>467</v>
      </c>
      <c r="D545" s="6" t="n">
        <v>6</v>
      </c>
      <c r="E545" s="9" t="s">
        <v>4616</v>
      </c>
      <c r="F545" s="6" t="n">
        <v>13000</v>
      </c>
      <c r="Q545" s="1" t="str">
        <f aca="false">IF($A545="","",IF(OR(F545="",I545=""),"",F545-I545))</f>
        <v/>
      </c>
      <c r="R545" s="1" t="str">
        <f aca="false">IF($A545="","",IF(Q545="","",Q545+IF(O545="",0,O545)))</f>
        <v/>
      </c>
      <c r="T545" s="1" t="str">
        <f aca="false">IF($A545="","",IF(R545="","",R545-IF(S545="",0,S545)))</f>
        <v/>
      </c>
      <c r="U545" s="1" t="str">
        <f aca="false">IF($A545="","",IF(I545="","",I545-SUM(J545:P545)))</f>
        <v/>
      </c>
      <c r="V545" s="6" t="s">
        <v>4617</v>
      </c>
      <c r="W545" s="44" t="s">
        <v>1168</v>
      </c>
      <c r="X545" s="9" t="s">
        <v>4691</v>
      </c>
      <c r="AC545" s="9" t="s">
        <v>4369</v>
      </c>
      <c r="AD545" s="9" t="s">
        <v>4370</v>
      </c>
      <c r="AE545" s="9" t="s">
        <v>4445</v>
      </c>
    </row>
    <row r="546" customFormat="false" ht="15" hidden="false" customHeight="true" outlineLevel="0" collapsed="false">
      <c r="A546" s="6" t="s">
        <v>2240</v>
      </c>
      <c r="B546" s="6" t="s">
        <v>463</v>
      </c>
      <c r="C546" s="6" t="s">
        <v>467</v>
      </c>
      <c r="D546" s="6" t="n">
        <v>6</v>
      </c>
      <c r="E546" s="9" t="s">
        <v>4616</v>
      </c>
      <c r="F546" s="6" t="n">
        <v>63000</v>
      </c>
      <c r="Q546" s="1" t="str">
        <f aca="false">IF($A546="","",IF(OR(F546="",I546=""),"",F546-I546))</f>
        <v/>
      </c>
      <c r="R546" s="1" t="str">
        <f aca="false">IF($A546="","",IF(Q546="","",Q546+IF(O546="",0,O546)))</f>
        <v/>
      </c>
      <c r="T546" s="1" t="str">
        <f aca="false">IF($A546="","",IF(R546="","",R546-IF(S546="",0,S546)))</f>
        <v/>
      </c>
      <c r="U546" s="1" t="str">
        <f aca="false">IF($A546="","",IF(I546="","",I546-SUM(J546:P546)))</f>
        <v/>
      </c>
      <c r="V546" s="6" t="s">
        <v>4617</v>
      </c>
      <c r="W546" s="44" t="s">
        <v>1168</v>
      </c>
      <c r="X546" s="9" t="s">
        <v>4692</v>
      </c>
      <c r="AC546" s="9" t="s">
        <v>4369</v>
      </c>
      <c r="AD546" s="9" t="s">
        <v>4370</v>
      </c>
      <c r="AE546" s="9" t="s">
        <v>4408</v>
      </c>
    </row>
    <row r="547" customFormat="false" ht="15" hidden="false" customHeight="true" outlineLevel="0" collapsed="false">
      <c r="A547" s="6" t="s">
        <v>2243</v>
      </c>
      <c r="B547" s="6" t="s">
        <v>463</v>
      </c>
      <c r="C547" s="6" t="s">
        <v>467</v>
      </c>
      <c r="D547" s="6" t="n">
        <v>6</v>
      </c>
      <c r="E547" s="9" t="s">
        <v>4616</v>
      </c>
      <c r="F547" s="6" t="n">
        <v>70000</v>
      </c>
      <c r="Q547" s="1" t="str">
        <f aca="false">IF($A547="","",IF(OR(F547="",I547=""),"",F547-I547))</f>
        <v/>
      </c>
      <c r="R547" s="1" t="str">
        <f aca="false">IF($A547="","",IF(Q547="","",Q547+IF(O547="",0,O547)))</f>
        <v/>
      </c>
      <c r="T547" s="1" t="str">
        <f aca="false">IF($A547="","",IF(R547="","",R547-IF(S547="",0,S547)))</f>
        <v/>
      </c>
      <c r="U547" s="1" t="str">
        <f aca="false">IF($A547="","",IF(I547="","",I547-SUM(J547:P547)))</f>
        <v/>
      </c>
      <c r="V547" s="6" t="s">
        <v>4617</v>
      </c>
      <c r="W547" s="44" t="s">
        <v>1168</v>
      </c>
      <c r="X547" s="9" t="s">
        <v>4649</v>
      </c>
      <c r="AC547" s="9" t="s">
        <v>4369</v>
      </c>
      <c r="AD547" s="9" t="s">
        <v>4370</v>
      </c>
      <c r="AE547" s="9" t="s">
        <v>4408</v>
      </c>
    </row>
    <row r="548" customFormat="false" ht="15" hidden="false" customHeight="true" outlineLevel="0" collapsed="false">
      <c r="A548" s="6" t="s">
        <v>2246</v>
      </c>
      <c r="B548" s="6" t="s">
        <v>463</v>
      </c>
      <c r="C548" s="6" t="s">
        <v>467</v>
      </c>
      <c r="D548" s="6" t="n">
        <v>6</v>
      </c>
      <c r="E548" s="9" t="s">
        <v>4616</v>
      </c>
      <c r="F548" s="6" t="n">
        <v>64000</v>
      </c>
      <c r="Q548" s="1" t="str">
        <f aca="false">IF($A548="","",IF(OR(F548="",I548=""),"",F548-I548))</f>
        <v/>
      </c>
      <c r="R548" s="1" t="str">
        <f aca="false">IF($A548="","",IF(Q548="","",Q548+IF(O548="",0,O548)))</f>
        <v/>
      </c>
      <c r="T548" s="1" t="str">
        <f aca="false">IF($A548="","",IF(R548="","",R548-IF(S548="",0,S548)))</f>
        <v/>
      </c>
      <c r="U548" s="1" t="str">
        <f aca="false">IF($A548="","",IF(I548="","",I548-SUM(J548:P548)))</f>
        <v/>
      </c>
      <c r="V548" s="6" t="s">
        <v>4617</v>
      </c>
      <c r="W548" s="44" t="s">
        <v>1168</v>
      </c>
      <c r="X548" s="9" t="s">
        <v>4634</v>
      </c>
      <c r="AC548" s="9" t="s">
        <v>4369</v>
      </c>
      <c r="AD548" s="9" t="s">
        <v>4370</v>
      </c>
      <c r="AE548" s="9" t="s">
        <v>4408</v>
      </c>
    </row>
    <row r="549" customFormat="false" ht="15" hidden="false" customHeight="true" outlineLevel="0" collapsed="false">
      <c r="A549" s="6" t="s">
        <v>2249</v>
      </c>
      <c r="B549" s="6" t="s">
        <v>463</v>
      </c>
      <c r="C549" s="6" t="s">
        <v>467</v>
      </c>
      <c r="D549" s="6" t="n">
        <v>6</v>
      </c>
      <c r="E549" s="9" t="s">
        <v>4616</v>
      </c>
      <c r="F549" s="6" t="n">
        <v>86000</v>
      </c>
      <c r="Q549" s="1" t="str">
        <f aca="false">IF($A549="","",IF(OR(F549="",I549=""),"",F549-I549))</f>
        <v/>
      </c>
      <c r="R549" s="1" t="str">
        <f aca="false">IF($A549="","",IF(Q549="","",Q549+IF(O549="",0,O549)))</f>
        <v/>
      </c>
      <c r="T549" s="1" t="str">
        <f aca="false">IF($A549="","",IF(R549="","",R549-IF(S549="",0,S549)))</f>
        <v/>
      </c>
      <c r="U549" s="1" t="str">
        <f aca="false">IF($A549="","",IF(I549="","",I549-SUM(J549:P549)))</f>
        <v/>
      </c>
      <c r="V549" s="6" t="s">
        <v>4617</v>
      </c>
      <c r="W549" s="44" t="s">
        <v>1168</v>
      </c>
      <c r="X549" s="9" t="s">
        <v>4643</v>
      </c>
      <c r="AC549" s="9" t="s">
        <v>4369</v>
      </c>
      <c r="AD549" s="9" t="s">
        <v>4370</v>
      </c>
      <c r="AE549" s="9" t="s">
        <v>4408</v>
      </c>
    </row>
    <row r="550" customFormat="false" ht="15" hidden="false" customHeight="true" outlineLevel="0" collapsed="false">
      <c r="A550" s="6" t="s">
        <v>2252</v>
      </c>
      <c r="B550" s="6" t="s">
        <v>463</v>
      </c>
      <c r="C550" s="6" t="s">
        <v>467</v>
      </c>
      <c r="D550" s="6" t="n">
        <v>6</v>
      </c>
      <c r="E550" s="9" t="s">
        <v>4621</v>
      </c>
      <c r="F550" s="6" t="n">
        <v>10000</v>
      </c>
      <c r="Q550" s="1" t="str">
        <f aca="false">IF($A550="","",IF(OR(F550="",I550=""),"",F550-I550))</f>
        <v/>
      </c>
      <c r="R550" s="1" t="str">
        <f aca="false">IF($A550="","",IF(Q550="","",Q550+IF(O550="",0,O550)))</f>
        <v/>
      </c>
      <c r="T550" s="1" t="str">
        <f aca="false">IF($A550="","",IF(R550="","",R550-IF(S550="",0,S550)))</f>
        <v/>
      </c>
      <c r="U550" s="1" t="str">
        <f aca="false">IF($A550="","",IF(I550="","",I550-SUM(J550:P550)))</f>
        <v/>
      </c>
      <c r="V550" s="6" t="s">
        <v>4617</v>
      </c>
      <c r="W550" s="9" t="s">
        <v>528</v>
      </c>
      <c r="X550" s="6" t="s">
        <v>4693</v>
      </c>
      <c r="AC550" s="6" t="s">
        <v>4373</v>
      </c>
      <c r="AD550" s="9" t="s">
        <v>4389</v>
      </c>
      <c r="AE550" s="9" t="s">
        <v>4445</v>
      </c>
    </row>
    <row r="551" customFormat="false" ht="15" hidden="false" customHeight="true" outlineLevel="0" collapsed="false">
      <c r="A551" s="6" t="s">
        <v>2255</v>
      </c>
      <c r="B551" s="6" t="s">
        <v>463</v>
      </c>
      <c r="C551" s="6" t="s">
        <v>467</v>
      </c>
      <c r="D551" s="6" t="n">
        <v>6</v>
      </c>
      <c r="E551" s="9" t="s">
        <v>4616</v>
      </c>
      <c r="F551" s="6" t="n">
        <v>30000</v>
      </c>
      <c r="Q551" s="1" t="str">
        <f aca="false">IF($A551="","",IF(OR(F551="",I551=""),"",F551-I551))</f>
        <v/>
      </c>
      <c r="R551" s="1" t="str">
        <f aca="false">IF($A551="","",IF(Q551="","",Q551+IF(O551="",0,O551)))</f>
        <v/>
      </c>
      <c r="T551" s="1" t="str">
        <f aca="false">IF($A551="","",IF(R551="","",R551-IF(S551="",0,S551)))</f>
        <v/>
      </c>
      <c r="U551" s="1" t="str">
        <f aca="false">IF($A551="","",IF(I551="","",I551-SUM(J551:P551)))</f>
        <v/>
      </c>
      <c r="V551" s="6" t="s">
        <v>4617</v>
      </c>
      <c r="W551" s="44" t="s">
        <v>1168</v>
      </c>
      <c r="X551" s="9" t="s">
        <v>4642</v>
      </c>
      <c r="AC551" s="9" t="s">
        <v>4369</v>
      </c>
      <c r="AD551" s="9" t="s">
        <v>4370</v>
      </c>
      <c r="AE551" s="9" t="s">
        <v>4445</v>
      </c>
    </row>
    <row r="552" customFormat="false" ht="15" hidden="false" customHeight="true" outlineLevel="0" collapsed="false">
      <c r="A552" s="6" t="s">
        <v>2258</v>
      </c>
      <c r="B552" s="6" t="s">
        <v>463</v>
      </c>
      <c r="C552" s="6" t="s">
        <v>467</v>
      </c>
      <c r="D552" s="6" t="n">
        <v>6</v>
      </c>
      <c r="E552" s="9" t="s">
        <v>4621</v>
      </c>
      <c r="F552" s="6" t="n">
        <v>33000</v>
      </c>
      <c r="Q552" s="1" t="str">
        <f aca="false">IF($A552="","",IF(OR(F552="",I552=""),"",F552-I552))</f>
        <v/>
      </c>
      <c r="R552" s="1" t="str">
        <f aca="false">IF($A552="","",IF(Q552="","",Q552+IF(O552="",0,O552)))</f>
        <v/>
      </c>
      <c r="T552" s="1" t="str">
        <f aca="false">IF($A552="","",IF(R552="","",R552-IF(S552="",0,S552)))</f>
        <v/>
      </c>
      <c r="U552" s="1" t="str">
        <f aca="false">IF($A552="","",IF(I552="","",I552-SUM(J552:P552)))</f>
        <v/>
      </c>
      <c r="V552" s="6" t="s">
        <v>4617</v>
      </c>
      <c r="W552" s="9" t="s">
        <v>528</v>
      </c>
      <c r="X552" s="6" t="s">
        <v>4668</v>
      </c>
      <c r="AC552" s="6" t="s">
        <v>4373</v>
      </c>
      <c r="AD552" s="9" t="s">
        <v>4389</v>
      </c>
      <c r="AE552" s="9" t="s">
        <v>4445</v>
      </c>
    </row>
    <row r="553" customFormat="false" ht="15" hidden="false" customHeight="true" outlineLevel="0" collapsed="false">
      <c r="A553" s="6" t="s">
        <v>2261</v>
      </c>
      <c r="B553" s="6" t="s">
        <v>463</v>
      </c>
      <c r="C553" s="6" t="s">
        <v>467</v>
      </c>
      <c r="D553" s="6" t="n">
        <v>6</v>
      </c>
      <c r="E553" s="9" t="s">
        <v>4616</v>
      </c>
      <c r="F553" s="6" t="n">
        <v>31000</v>
      </c>
      <c r="Q553" s="1" t="str">
        <f aca="false">IF($A553="","",IF(OR(F553="",I553=""),"",F553-I553))</f>
        <v/>
      </c>
      <c r="R553" s="1" t="str">
        <f aca="false">IF($A553="","",IF(Q553="","",Q553+IF(O553="",0,O553)))</f>
        <v/>
      </c>
      <c r="T553" s="1" t="str">
        <f aca="false">IF($A553="","",IF(R553="","",R553-IF(S553="",0,S553)))</f>
        <v/>
      </c>
      <c r="U553" s="1" t="str">
        <f aca="false">IF($A553="","",IF(I553="","",I553-SUM(J553:P553)))</f>
        <v/>
      </c>
      <c r="V553" s="6" t="s">
        <v>4617</v>
      </c>
      <c r="W553" s="44" t="s">
        <v>1168</v>
      </c>
      <c r="X553" s="9" t="s">
        <v>4627</v>
      </c>
      <c r="AC553" s="9" t="s">
        <v>4369</v>
      </c>
      <c r="AD553" s="9" t="s">
        <v>4370</v>
      </c>
      <c r="AE553" s="9" t="s">
        <v>4445</v>
      </c>
    </row>
    <row r="554" customFormat="false" ht="15" hidden="false" customHeight="true" outlineLevel="0" collapsed="false">
      <c r="A554" s="6" t="s">
        <v>2264</v>
      </c>
      <c r="B554" s="6" t="s">
        <v>463</v>
      </c>
      <c r="C554" s="6" t="s">
        <v>467</v>
      </c>
      <c r="D554" s="6" t="n">
        <v>6</v>
      </c>
      <c r="E554" s="9" t="s">
        <v>4616</v>
      </c>
      <c r="F554" s="6" t="n">
        <v>20000</v>
      </c>
      <c r="Q554" s="1" t="str">
        <f aca="false">IF($A554="","",IF(OR(F554="",I554=""),"",F554-I554))</f>
        <v/>
      </c>
      <c r="R554" s="1" t="str">
        <f aca="false">IF($A554="","",IF(Q554="","",Q554+IF(O554="",0,O554)))</f>
        <v/>
      </c>
      <c r="T554" s="1" t="str">
        <f aca="false">IF($A554="","",IF(R554="","",R554-IF(S554="",0,S554)))</f>
        <v/>
      </c>
      <c r="U554" s="1" t="str">
        <f aca="false">IF($A554="","",IF(I554="","",I554-SUM(J554:P554)))</f>
        <v/>
      </c>
      <c r="V554" s="6" t="s">
        <v>4617</v>
      </c>
      <c r="W554" s="44" t="s">
        <v>1168</v>
      </c>
      <c r="X554" s="9" t="s">
        <v>4684</v>
      </c>
      <c r="AC554" s="9" t="s">
        <v>4369</v>
      </c>
      <c r="AD554" s="9" t="s">
        <v>4370</v>
      </c>
      <c r="AE554" s="9" t="s">
        <v>4445</v>
      </c>
    </row>
    <row r="555" customFormat="false" ht="15" hidden="false" customHeight="true" outlineLevel="0" collapsed="false">
      <c r="A555" s="6" t="s">
        <v>2267</v>
      </c>
      <c r="B555" s="6" t="s">
        <v>463</v>
      </c>
      <c r="C555" s="6" t="s">
        <v>467</v>
      </c>
      <c r="D555" s="6" t="n">
        <v>6</v>
      </c>
      <c r="E555" s="9" t="s">
        <v>4616</v>
      </c>
      <c r="F555" s="6" t="n">
        <v>61000</v>
      </c>
      <c r="Q555" s="1" t="str">
        <f aca="false">IF($A555="","",IF(OR(F555="",I555=""),"",F555-I555))</f>
        <v/>
      </c>
      <c r="R555" s="1" t="str">
        <f aca="false">IF($A555="","",IF(Q555="","",Q555+IF(O555="",0,O555)))</f>
        <v/>
      </c>
      <c r="T555" s="1" t="str">
        <f aca="false">IF($A555="","",IF(R555="","",R555-IF(S555="",0,S555)))</f>
        <v/>
      </c>
      <c r="U555" s="1" t="str">
        <f aca="false">IF($A555="","",IF(I555="","",I555-SUM(J555:P555)))</f>
        <v/>
      </c>
      <c r="V555" s="6" t="s">
        <v>4617</v>
      </c>
      <c r="W555" s="44" t="s">
        <v>1168</v>
      </c>
      <c r="X555" s="9" t="s">
        <v>4620</v>
      </c>
      <c r="AC555" s="9" t="s">
        <v>4369</v>
      </c>
      <c r="AD555" s="9" t="s">
        <v>4370</v>
      </c>
      <c r="AE555" s="9" t="s">
        <v>4408</v>
      </c>
    </row>
    <row r="556" customFormat="false" ht="15" hidden="false" customHeight="true" outlineLevel="0" collapsed="false">
      <c r="A556" s="6" t="s">
        <v>2270</v>
      </c>
      <c r="B556" s="6" t="s">
        <v>463</v>
      </c>
      <c r="C556" s="6" t="s">
        <v>467</v>
      </c>
      <c r="D556" s="6" t="n">
        <v>6</v>
      </c>
      <c r="E556" s="9" t="s">
        <v>4616</v>
      </c>
      <c r="F556" s="6" t="n">
        <v>49000</v>
      </c>
      <c r="Q556" s="1" t="str">
        <f aca="false">IF($A556="","",IF(OR(F556="",I556=""),"",F556-I556))</f>
        <v/>
      </c>
      <c r="R556" s="1" t="str">
        <f aca="false">IF($A556="","",IF(Q556="","",Q556+IF(O556="",0,O556)))</f>
        <v/>
      </c>
      <c r="T556" s="1" t="str">
        <f aca="false">IF($A556="","",IF(R556="","",R556-IF(S556="",0,S556)))</f>
        <v/>
      </c>
      <c r="U556" s="1" t="str">
        <f aca="false">IF($A556="","",IF(I556="","",I556-SUM(J556:P556)))</f>
        <v/>
      </c>
      <c r="V556" s="6" t="s">
        <v>4617</v>
      </c>
      <c r="W556" s="44" t="s">
        <v>1168</v>
      </c>
      <c r="X556" s="9" t="s">
        <v>4664</v>
      </c>
      <c r="AC556" s="9" t="s">
        <v>4369</v>
      </c>
      <c r="AD556" s="9" t="s">
        <v>4370</v>
      </c>
      <c r="AE556" s="9" t="s">
        <v>4445</v>
      </c>
    </row>
    <row r="557" customFormat="false" ht="15" hidden="false" customHeight="true" outlineLevel="0" collapsed="false">
      <c r="A557" s="6" t="s">
        <v>2273</v>
      </c>
      <c r="B557" s="6" t="s">
        <v>463</v>
      </c>
      <c r="C557" s="6" t="s">
        <v>467</v>
      </c>
      <c r="D557" s="6" t="n">
        <v>6</v>
      </c>
      <c r="E557" s="9" t="s">
        <v>4616</v>
      </c>
      <c r="F557" s="6" t="n">
        <v>40000</v>
      </c>
      <c r="Q557" s="1" t="str">
        <f aca="false">IF($A557="","",IF(OR(F557="",I557=""),"",F557-I557))</f>
        <v/>
      </c>
      <c r="R557" s="1" t="str">
        <f aca="false">IF($A557="","",IF(Q557="","",Q557+IF(O557="",0,O557)))</f>
        <v/>
      </c>
      <c r="T557" s="1" t="str">
        <f aca="false">IF($A557="","",IF(R557="","",R557-IF(S557="",0,S557)))</f>
        <v/>
      </c>
      <c r="U557" s="1" t="str">
        <f aca="false">IF($A557="","",IF(I557="","",I557-SUM(J557:P557)))</f>
        <v/>
      </c>
      <c r="V557" s="6" t="s">
        <v>4617</v>
      </c>
      <c r="W557" s="44" t="s">
        <v>1168</v>
      </c>
      <c r="X557" s="9" t="s">
        <v>4665</v>
      </c>
      <c r="AC557" s="9" t="s">
        <v>4369</v>
      </c>
      <c r="AD557" s="9" t="s">
        <v>4370</v>
      </c>
      <c r="AE557" s="9" t="s">
        <v>4445</v>
      </c>
    </row>
    <row r="558" customFormat="false" ht="15" hidden="false" customHeight="true" outlineLevel="0" collapsed="false">
      <c r="A558" s="6" t="s">
        <v>2276</v>
      </c>
      <c r="B558" s="6" t="s">
        <v>463</v>
      </c>
      <c r="C558" s="6" t="s">
        <v>467</v>
      </c>
      <c r="D558" s="6" t="n">
        <v>6</v>
      </c>
      <c r="E558" s="9" t="s">
        <v>4616</v>
      </c>
      <c r="F558" s="6" t="n">
        <v>228000</v>
      </c>
      <c r="Q558" s="1" t="str">
        <f aca="false">IF($A558="","",IF(OR(F558="",I558=""),"",F558-I558))</f>
        <v/>
      </c>
      <c r="R558" s="1" t="str">
        <f aca="false">IF($A558="","",IF(Q558="","",Q558+IF(O558="",0,O558)))</f>
        <v/>
      </c>
      <c r="T558" s="1" t="str">
        <f aca="false">IF($A558="","",IF(R558="","",R558-IF(S558="",0,S558)))</f>
        <v/>
      </c>
      <c r="U558" s="1" t="str">
        <f aca="false">IF($A558="","",IF(I558="","",I558-SUM(J558:P558)))</f>
        <v/>
      </c>
      <c r="V558" s="6" t="s">
        <v>4617</v>
      </c>
      <c r="W558" s="44" t="s">
        <v>1168</v>
      </c>
      <c r="X558" s="9" t="s">
        <v>4694</v>
      </c>
      <c r="AC558" s="9" t="s">
        <v>4369</v>
      </c>
      <c r="AD558" s="9" t="s">
        <v>4370</v>
      </c>
      <c r="AE558" s="9" t="s">
        <v>4408</v>
      </c>
    </row>
    <row r="559" customFormat="false" ht="15" hidden="false" customHeight="true" outlineLevel="0" collapsed="false">
      <c r="A559" s="6" t="s">
        <v>2279</v>
      </c>
      <c r="B559" s="6" t="s">
        <v>463</v>
      </c>
      <c r="C559" s="6" t="s">
        <v>467</v>
      </c>
      <c r="D559" s="6" t="n">
        <v>6</v>
      </c>
      <c r="E559" s="9" t="s">
        <v>4616</v>
      </c>
      <c r="F559" s="6" t="n">
        <v>123000</v>
      </c>
      <c r="Q559" s="1" t="str">
        <f aca="false">IF($A559="","",IF(OR(F559="",I559=""),"",F559-I559))</f>
        <v/>
      </c>
      <c r="R559" s="1" t="str">
        <f aca="false">IF($A559="","",IF(Q559="","",Q559+IF(O559="",0,O559)))</f>
        <v/>
      </c>
      <c r="T559" s="1" t="str">
        <f aca="false">IF($A559="","",IF(R559="","",R559-IF(S559="",0,S559)))</f>
        <v/>
      </c>
      <c r="U559" s="1" t="str">
        <f aca="false">IF($A559="","",IF(I559="","",I559-SUM(J559:P559)))</f>
        <v/>
      </c>
      <c r="V559" s="6" t="s">
        <v>4617</v>
      </c>
      <c r="W559" s="44" t="s">
        <v>1168</v>
      </c>
      <c r="X559" s="9" t="s">
        <v>4695</v>
      </c>
      <c r="AC559" s="9" t="s">
        <v>4369</v>
      </c>
      <c r="AD559" s="9" t="s">
        <v>4370</v>
      </c>
      <c r="AE559" s="9" t="s">
        <v>4408</v>
      </c>
    </row>
    <row r="560" customFormat="false" ht="15" hidden="false" customHeight="true" outlineLevel="0" collapsed="false">
      <c r="A560" s="6" t="s">
        <v>2282</v>
      </c>
      <c r="B560" s="6" t="s">
        <v>463</v>
      </c>
      <c r="C560" s="6" t="s">
        <v>467</v>
      </c>
      <c r="D560" s="6" t="n">
        <v>6</v>
      </c>
      <c r="E560" s="9" t="s">
        <v>4616</v>
      </c>
      <c r="F560" s="6" t="n">
        <v>645000</v>
      </c>
      <c r="Q560" s="1" t="str">
        <f aca="false">IF($A560="","",IF(OR(F560="",I560=""),"",F560-I560))</f>
        <v/>
      </c>
      <c r="R560" s="1" t="str">
        <f aca="false">IF($A560="","",IF(Q560="","",Q560+IF(O560="",0,O560)))</f>
        <v/>
      </c>
      <c r="T560" s="1" t="str">
        <f aca="false">IF($A560="","",IF(R560="","",R560-IF(S560="",0,S560)))</f>
        <v/>
      </c>
      <c r="U560" s="1" t="str">
        <f aca="false">IF($A560="","",IF(I560="","",I560-SUM(J560:P560)))</f>
        <v/>
      </c>
      <c r="V560" s="6" t="s">
        <v>4617</v>
      </c>
      <c r="W560" s="44" t="s">
        <v>1168</v>
      </c>
      <c r="X560" s="9" t="s">
        <v>4696</v>
      </c>
      <c r="AC560" s="9" t="s">
        <v>4369</v>
      </c>
      <c r="AD560" s="9" t="s">
        <v>4370</v>
      </c>
      <c r="AE560" s="9" t="s">
        <v>4408</v>
      </c>
    </row>
    <row r="561" customFormat="false" ht="15" hidden="false" customHeight="true" outlineLevel="0" collapsed="false">
      <c r="A561" s="6" t="s">
        <v>2285</v>
      </c>
      <c r="B561" s="6" t="s">
        <v>463</v>
      </c>
      <c r="C561" s="6" t="s">
        <v>467</v>
      </c>
      <c r="D561" s="6" t="n">
        <v>6</v>
      </c>
      <c r="E561" s="9" t="s">
        <v>4616</v>
      </c>
      <c r="F561" s="6" t="n">
        <v>58000</v>
      </c>
      <c r="Q561" s="1" t="str">
        <f aca="false">IF($A561="","",IF(OR(F561="",I561=""),"",F561-I561))</f>
        <v/>
      </c>
      <c r="R561" s="1" t="str">
        <f aca="false">IF($A561="","",IF(Q561="","",Q561+IF(O561="",0,O561)))</f>
        <v/>
      </c>
      <c r="T561" s="1" t="str">
        <f aca="false">IF($A561="","",IF(R561="","",R561-IF(S561="",0,S561)))</f>
        <v/>
      </c>
      <c r="U561" s="1" t="str">
        <f aca="false">IF($A561="","",IF(I561="","",I561-SUM(J561:P561)))</f>
        <v/>
      </c>
      <c r="V561" s="6" t="s">
        <v>4617</v>
      </c>
      <c r="W561" s="44" t="s">
        <v>1168</v>
      </c>
      <c r="X561" s="9" t="s">
        <v>4677</v>
      </c>
      <c r="AC561" s="9" t="s">
        <v>4369</v>
      </c>
      <c r="AD561" s="9" t="s">
        <v>4370</v>
      </c>
      <c r="AE561" s="9" t="s">
        <v>4408</v>
      </c>
    </row>
    <row r="562" customFormat="false" ht="15" hidden="false" customHeight="true" outlineLevel="0" collapsed="false">
      <c r="A562" s="6" t="s">
        <v>2288</v>
      </c>
      <c r="B562" s="6" t="s">
        <v>463</v>
      </c>
      <c r="C562" s="6" t="s">
        <v>467</v>
      </c>
      <c r="D562" s="6" t="n">
        <v>6</v>
      </c>
      <c r="E562" s="9" t="s">
        <v>4616</v>
      </c>
      <c r="F562" s="6" t="n">
        <v>16000</v>
      </c>
      <c r="Q562" s="1" t="str">
        <f aca="false">IF($A562="","",IF(OR(F562="",I562=""),"",F562-I562))</f>
        <v/>
      </c>
      <c r="R562" s="1" t="str">
        <f aca="false">IF($A562="","",IF(Q562="","",Q562+IF(O562="",0,O562)))</f>
        <v/>
      </c>
      <c r="T562" s="1" t="str">
        <f aca="false">IF($A562="","",IF(R562="","",R562-IF(S562="",0,S562)))</f>
        <v/>
      </c>
      <c r="U562" s="1" t="str">
        <f aca="false">IF($A562="","",IF(I562="","",I562-SUM(J562:P562)))</f>
        <v/>
      </c>
      <c r="V562" s="6" t="s">
        <v>4617</v>
      </c>
      <c r="W562" s="44" t="s">
        <v>1168</v>
      </c>
      <c r="X562" s="9" t="s">
        <v>4697</v>
      </c>
      <c r="AC562" s="9" t="s">
        <v>4369</v>
      </c>
      <c r="AD562" s="9" t="s">
        <v>4370</v>
      </c>
      <c r="AE562" s="9" t="s">
        <v>4445</v>
      </c>
    </row>
    <row r="563" customFormat="false" ht="15" hidden="false" customHeight="true" outlineLevel="0" collapsed="false">
      <c r="A563" s="6" t="s">
        <v>2291</v>
      </c>
      <c r="B563" s="6" t="s">
        <v>463</v>
      </c>
      <c r="C563" s="6" t="s">
        <v>467</v>
      </c>
      <c r="D563" s="6" t="n">
        <v>6</v>
      </c>
      <c r="E563" s="9" t="s">
        <v>4616</v>
      </c>
      <c r="F563" s="6" t="n">
        <v>83000</v>
      </c>
      <c r="Q563" s="1" t="str">
        <f aca="false">IF($A563="","",IF(OR(F563="",I563=""),"",F563-I563))</f>
        <v/>
      </c>
      <c r="R563" s="1" t="str">
        <f aca="false">IF($A563="","",IF(Q563="","",Q563+IF(O563="",0,O563)))</f>
        <v/>
      </c>
      <c r="T563" s="1" t="str">
        <f aca="false">IF($A563="","",IF(R563="","",R563-IF(S563="",0,S563)))</f>
        <v/>
      </c>
      <c r="U563" s="1" t="str">
        <f aca="false">IF($A563="","",IF(I563="","",I563-SUM(J563:P563)))</f>
        <v/>
      </c>
      <c r="V563" s="6" t="s">
        <v>4617</v>
      </c>
      <c r="W563" s="44" t="s">
        <v>1168</v>
      </c>
      <c r="X563" s="9" t="s">
        <v>4669</v>
      </c>
      <c r="AC563" s="9" t="s">
        <v>4369</v>
      </c>
      <c r="AD563" s="9" t="s">
        <v>4370</v>
      </c>
      <c r="AE563" s="9" t="s">
        <v>4408</v>
      </c>
    </row>
    <row r="564" customFormat="false" ht="15" hidden="false" customHeight="true" outlineLevel="0" collapsed="false">
      <c r="A564" s="6" t="s">
        <v>2294</v>
      </c>
      <c r="B564" s="6" t="s">
        <v>463</v>
      </c>
      <c r="C564" s="6" t="s">
        <v>467</v>
      </c>
      <c r="D564" s="6" t="n">
        <v>6</v>
      </c>
      <c r="E564" s="9" t="s">
        <v>4616</v>
      </c>
      <c r="F564" s="6" t="n">
        <v>34000</v>
      </c>
      <c r="Q564" s="1" t="str">
        <f aca="false">IF($A564="","",IF(OR(F564="",I564=""),"",F564-I564))</f>
        <v/>
      </c>
      <c r="R564" s="1" t="str">
        <f aca="false">IF($A564="","",IF(Q564="","",Q564+IF(O564="",0,O564)))</f>
        <v/>
      </c>
      <c r="T564" s="1" t="str">
        <f aca="false">IF($A564="","",IF(R564="","",R564-IF(S564="",0,S564)))</f>
        <v/>
      </c>
      <c r="U564" s="1" t="str">
        <f aca="false">IF($A564="","",IF(I564="","",I564-SUM(J564:P564)))</f>
        <v/>
      </c>
      <c r="V564" s="6" t="s">
        <v>4617</v>
      </c>
      <c r="W564" s="44" t="s">
        <v>1168</v>
      </c>
      <c r="X564" s="9" t="s">
        <v>4629</v>
      </c>
      <c r="AC564" s="9" t="s">
        <v>4369</v>
      </c>
      <c r="AD564" s="9" t="s">
        <v>4370</v>
      </c>
      <c r="AE564" s="9" t="s">
        <v>4445</v>
      </c>
    </row>
    <row r="565" customFormat="false" ht="15" hidden="false" customHeight="true" outlineLevel="0" collapsed="false">
      <c r="A565" s="6" t="s">
        <v>2297</v>
      </c>
      <c r="B565" s="6" t="s">
        <v>463</v>
      </c>
      <c r="C565" s="6" t="s">
        <v>467</v>
      </c>
      <c r="D565" s="6" t="n">
        <v>6</v>
      </c>
      <c r="E565" s="9" t="s">
        <v>4616</v>
      </c>
      <c r="F565" s="6" t="n">
        <v>24000</v>
      </c>
      <c r="Q565" s="1" t="str">
        <f aca="false">IF($A565="","",IF(OR(F565="",I565=""),"",F565-I565))</f>
        <v/>
      </c>
      <c r="R565" s="1" t="str">
        <f aca="false">IF($A565="","",IF(Q565="","",Q565+IF(O565="",0,O565)))</f>
        <v/>
      </c>
      <c r="T565" s="1" t="str">
        <f aca="false">IF($A565="","",IF(R565="","",R565-IF(S565="",0,S565)))</f>
        <v/>
      </c>
      <c r="U565" s="1" t="str">
        <f aca="false">IF($A565="","",IF(I565="","",I565-SUM(J565:P565)))</f>
        <v/>
      </c>
      <c r="V565" s="6" t="s">
        <v>4617</v>
      </c>
      <c r="W565" s="44" t="s">
        <v>1168</v>
      </c>
      <c r="X565" s="9" t="s">
        <v>4698</v>
      </c>
      <c r="AC565" s="9" t="s">
        <v>4369</v>
      </c>
      <c r="AD565" s="9" t="s">
        <v>4370</v>
      </c>
      <c r="AE565" s="9" t="s">
        <v>4445</v>
      </c>
    </row>
    <row r="566" customFormat="false" ht="15" hidden="false" customHeight="true" outlineLevel="0" collapsed="false">
      <c r="A566" s="6" t="s">
        <v>2300</v>
      </c>
      <c r="B566" s="6" t="s">
        <v>463</v>
      </c>
      <c r="C566" s="6" t="s">
        <v>467</v>
      </c>
      <c r="D566" s="6" t="n">
        <v>6</v>
      </c>
      <c r="E566" s="9" t="s">
        <v>4616</v>
      </c>
      <c r="F566" s="6" t="n">
        <v>243000</v>
      </c>
      <c r="Q566" s="1" t="str">
        <f aca="false">IF($A566="","",IF(OR(F566="",I566=""),"",F566-I566))</f>
        <v/>
      </c>
      <c r="R566" s="1" t="str">
        <f aca="false">IF($A566="","",IF(Q566="","",Q566+IF(O566="",0,O566)))</f>
        <v/>
      </c>
      <c r="T566" s="1" t="str">
        <f aca="false">IF($A566="","",IF(R566="","",R566-IF(S566="",0,S566)))</f>
        <v/>
      </c>
      <c r="U566" s="1" t="str">
        <f aca="false">IF($A566="","",IF(I566="","",I566-SUM(J566:P566)))</f>
        <v/>
      </c>
      <c r="V566" s="6" t="s">
        <v>4617</v>
      </c>
      <c r="W566" s="44" t="s">
        <v>1168</v>
      </c>
      <c r="X566" s="9" t="s">
        <v>4699</v>
      </c>
      <c r="AC566" s="9" t="s">
        <v>4369</v>
      </c>
      <c r="AD566" s="9" t="s">
        <v>4370</v>
      </c>
      <c r="AE566" s="9" t="s">
        <v>4408</v>
      </c>
    </row>
    <row r="567" customFormat="false" ht="15" hidden="false" customHeight="true" outlineLevel="0" collapsed="false">
      <c r="A567" s="6" t="s">
        <v>2303</v>
      </c>
      <c r="B567" s="6" t="s">
        <v>463</v>
      </c>
      <c r="C567" s="6" t="s">
        <v>467</v>
      </c>
      <c r="D567" s="6" t="n">
        <v>6</v>
      </c>
      <c r="E567" s="9" t="s">
        <v>4616</v>
      </c>
      <c r="F567" s="6" t="n">
        <v>126000</v>
      </c>
      <c r="Q567" s="1" t="str">
        <f aca="false">IF($A567="","",IF(OR(F567="",I567=""),"",F567-I567))</f>
        <v/>
      </c>
      <c r="R567" s="1" t="str">
        <f aca="false">IF($A567="","",IF(Q567="","",Q567+IF(O567="",0,O567)))</f>
        <v/>
      </c>
      <c r="T567" s="1" t="str">
        <f aca="false">IF($A567="","",IF(R567="","",R567-IF(S567="",0,S567)))</f>
        <v/>
      </c>
      <c r="U567" s="1" t="str">
        <f aca="false">IF($A567="","",IF(I567="","",I567-SUM(J567:P567)))</f>
        <v/>
      </c>
      <c r="V567" s="6" t="s">
        <v>4617</v>
      </c>
      <c r="W567" s="44" t="s">
        <v>1168</v>
      </c>
      <c r="X567" s="9" t="s">
        <v>4700</v>
      </c>
      <c r="AC567" s="9" t="s">
        <v>4369</v>
      </c>
      <c r="AD567" s="9" t="s">
        <v>4370</v>
      </c>
      <c r="AE567" s="9" t="s">
        <v>4408</v>
      </c>
    </row>
    <row r="568" customFormat="false" ht="15" hidden="false" customHeight="true" outlineLevel="0" collapsed="false">
      <c r="A568" s="6" t="s">
        <v>2306</v>
      </c>
      <c r="B568" s="6" t="s">
        <v>463</v>
      </c>
      <c r="C568" s="6" t="s">
        <v>467</v>
      </c>
      <c r="D568" s="6" t="n">
        <v>6</v>
      </c>
      <c r="E568" s="9" t="s">
        <v>4616</v>
      </c>
      <c r="F568" s="6" t="n">
        <v>76000</v>
      </c>
      <c r="Q568" s="1" t="str">
        <f aca="false">IF($A568="","",IF(OR(F568="",I568=""),"",F568-I568))</f>
        <v/>
      </c>
      <c r="R568" s="1" t="str">
        <f aca="false">IF($A568="","",IF(Q568="","",Q568+IF(O568="",0,O568)))</f>
        <v/>
      </c>
      <c r="T568" s="1" t="str">
        <f aca="false">IF($A568="","",IF(R568="","",R568-IF(S568="",0,S568)))</f>
        <v/>
      </c>
      <c r="U568" s="1" t="str">
        <f aca="false">IF($A568="","",IF(I568="","",I568-SUM(J568:P568)))</f>
        <v/>
      </c>
      <c r="V568" s="6" t="s">
        <v>4617</v>
      </c>
      <c r="W568" s="44" t="s">
        <v>1168</v>
      </c>
      <c r="X568" s="9" t="s">
        <v>4701</v>
      </c>
      <c r="AC568" s="9" t="s">
        <v>4369</v>
      </c>
      <c r="AD568" s="9" t="s">
        <v>4370</v>
      </c>
      <c r="AE568" s="9" t="s">
        <v>4408</v>
      </c>
    </row>
    <row r="569" customFormat="false" ht="15" hidden="false" customHeight="true" outlineLevel="0" collapsed="false">
      <c r="A569" s="6" t="s">
        <v>2309</v>
      </c>
      <c r="B569" s="6" t="s">
        <v>463</v>
      </c>
      <c r="C569" s="6" t="s">
        <v>467</v>
      </c>
      <c r="D569" s="6" t="n">
        <v>6</v>
      </c>
      <c r="E569" s="9" t="s">
        <v>4616</v>
      </c>
      <c r="F569" s="6" t="n">
        <v>78000</v>
      </c>
      <c r="Q569" s="1" t="str">
        <f aca="false">IF($A569="","",IF(OR(F569="",I569=""),"",F569-I569))</f>
        <v/>
      </c>
      <c r="R569" s="1" t="str">
        <f aca="false">IF($A569="","",IF(Q569="","",Q569+IF(O569="",0,O569)))</f>
        <v/>
      </c>
      <c r="T569" s="1" t="str">
        <f aca="false">IF($A569="","",IF(R569="","",R569-IF(S569="",0,S569)))</f>
        <v/>
      </c>
      <c r="U569" s="1" t="str">
        <f aca="false">IF($A569="","",IF(I569="","",I569-SUM(J569:P569)))</f>
        <v/>
      </c>
      <c r="V569" s="6" t="s">
        <v>4617</v>
      </c>
      <c r="W569" s="44" t="s">
        <v>1168</v>
      </c>
      <c r="X569" s="9" t="s">
        <v>4688</v>
      </c>
      <c r="AC569" s="9" t="s">
        <v>4369</v>
      </c>
      <c r="AD569" s="9" t="s">
        <v>4370</v>
      </c>
      <c r="AE569" s="9" t="s">
        <v>4408</v>
      </c>
    </row>
    <row r="570" customFormat="false" ht="15" hidden="false" customHeight="true" outlineLevel="0" collapsed="false">
      <c r="A570" s="6" t="s">
        <v>2312</v>
      </c>
      <c r="B570" s="6" t="s">
        <v>463</v>
      </c>
      <c r="C570" s="6" t="s">
        <v>467</v>
      </c>
      <c r="D570" s="6" t="n">
        <v>6</v>
      </c>
      <c r="E570" s="9" t="s">
        <v>4616</v>
      </c>
      <c r="F570" s="6" t="n">
        <v>55000</v>
      </c>
      <c r="Q570" s="1" t="str">
        <f aca="false">IF($A570="","",IF(OR(F570="",I570=""),"",F570-I570))</f>
        <v/>
      </c>
      <c r="R570" s="1" t="str">
        <f aca="false">IF($A570="","",IF(Q570="","",Q570+IF(O570="",0,O570)))</f>
        <v/>
      </c>
      <c r="T570" s="1" t="str">
        <f aca="false">IF($A570="","",IF(R570="","",R570-IF(S570="",0,S570)))</f>
        <v/>
      </c>
      <c r="U570" s="1" t="str">
        <f aca="false">IF($A570="","",IF(I570="","",I570-SUM(J570:P570)))</f>
        <v/>
      </c>
      <c r="V570" s="6" t="s">
        <v>4617</v>
      </c>
      <c r="W570" s="44" t="s">
        <v>1168</v>
      </c>
      <c r="X570" s="9" t="s">
        <v>4687</v>
      </c>
      <c r="AC570" s="9" t="s">
        <v>4369</v>
      </c>
      <c r="AD570" s="9" t="s">
        <v>4370</v>
      </c>
      <c r="AE570" s="9" t="s">
        <v>4408</v>
      </c>
    </row>
    <row r="571" customFormat="false" ht="15" hidden="false" customHeight="true" outlineLevel="0" collapsed="false">
      <c r="A571" s="6" t="s">
        <v>2315</v>
      </c>
      <c r="B571" s="6" t="s">
        <v>463</v>
      </c>
      <c r="C571" s="6" t="s">
        <v>467</v>
      </c>
      <c r="D571" s="6" t="n">
        <v>6</v>
      </c>
      <c r="E571" s="9" t="s">
        <v>4616</v>
      </c>
      <c r="F571" s="6" t="n">
        <v>45000</v>
      </c>
      <c r="Q571" s="1" t="str">
        <f aca="false">IF($A571="","",IF(OR(F571="",I571=""),"",F571-I571))</f>
        <v/>
      </c>
      <c r="R571" s="1" t="str">
        <f aca="false">IF($A571="","",IF(Q571="","",Q571+IF(O571="",0,O571)))</f>
        <v/>
      </c>
      <c r="T571" s="1" t="str">
        <f aca="false">IF($A571="","",IF(R571="","",R571-IF(S571="",0,S571)))</f>
        <v/>
      </c>
      <c r="U571" s="1" t="str">
        <f aca="false">IF($A571="","",IF(I571="","",I571-SUM(J571:P571)))</f>
        <v/>
      </c>
      <c r="V571" s="6" t="s">
        <v>4617</v>
      </c>
      <c r="W571" s="44" t="s">
        <v>1168</v>
      </c>
      <c r="X571" s="9" t="s">
        <v>4702</v>
      </c>
      <c r="AC571" s="9" t="s">
        <v>4369</v>
      </c>
      <c r="AD571" s="9" t="s">
        <v>4370</v>
      </c>
      <c r="AE571" s="9" t="s">
        <v>4445</v>
      </c>
    </row>
    <row r="572" customFormat="false" ht="15" hidden="false" customHeight="true" outlineLevel="0" collapsed="false">
      <c r="A572" s="6" t="s">
        <v>2318</v>
      </c>
      <c r="B572" s="6" t="s">
        <v>463</v>
      </c>
      <c r="C572" s="6" t="s">
        <v>467</v>
      </c>
      <c r="D572" s="6" t="n">
        <v>6</v>
      </c>
      <c r="E572" s="9" t="s">
        <v>4616</v>
      </c>
      <c r="F572" s="6" t="n">
        <v>43000</v>
      </c>
      <c r="Q572" s="1" t="str">
        <f aca="false">IF($A572="","",IF(OR(F572="",I572=""),"",F572-I572))</f>
        <v/>
      </c>
      <c r="R572" s="1" t="str">
        <f aca="false">IF($A572="","",IF(Q572="","",Q572+IF(O572="",0,O572)))</f>
        <v/>
      </c>
      <c r="T572" s="1" t="str">
        <f aca="false">IF($A572="","",IF(R572="","",R572-IF(S572="",0,S572)))</f>
        <v/>
      </c>
      <c r="U572" s="1" t="str">
        <f aca="false">IF($A572="","",IF(I572="","",I572-SUM(J572:P572)))</f>
        <v/>
      </c>
      <c r="V572" s="6" t="s">
        <v>4617</v>
      </c>
      <c r="W572" s="44" t="s">
        <v>1168</v>
      </c>
      <c r="X572" s="9" t="s">
        <v>4656</v>
      </c>
      <c r="AC572" s="9" t="s">
        <v>4369</v>
      </c>
      <c r="AD572" s="9" t="s">
        <v>4370</v>
      </c>
      <c r="AE572" s="9" t="s">
        <v>4445</v>
      </c>
    </row>
    <row r="573" customFormat="false" ht="15" hidden="false" customHeight="true" outlineLevel="0" collapsed="false">
      <c r="A573" s="6" t="s">
        <v>2321</v>
      </c>
      <c r="B573" s="6" t="s">
        <v>463</v>
      </c>
      <c r="C573" s="6" t="s">
        <v>467</v>
      </c>
      <c r="D573" s="6" t="n">
        <v>6</v>
      </c>
      <c r="E573" s="9" t="s">
        <v>4616</v>
      </c>
      <c r="F573" s="6" t="n">
        <v>24000</v>
      </c>
      <c r="Q573" s="1" t="str">
        <f aca="false">IF($A573="","",IF(OR(F573="",I573=""),"",F573-I573))</f>
        <v/>
      </c>
      <c r="R573" s="1" t="str">
        <f aca="false">IF($A573="","",IF(Q573="","",Q573+IF(O573="",0,O573)))</f>
        <v/>
      </c>
      <c r="T573" s="1" t="str">
        <f aca="false">IF($A573="","",IF(R573="","",R573-IF(S573="",0,S573)))</f>
        <v/>
      </c>
      <c r="U573" s="1" t="str">
        <f aca="false">IF($A573="","",IF(I573="","",I573-SUM(J573:P573)))</f>
        <v/>
      </c>
      <c r="V573" s="6" t="s">
        <v>4617</v>
      </c>
      <c r="W573" s="44" t="s">
        <v>1168</v>
      </c>
      <c r="X573" s="9" t="s">
        <v>4698</v>
      </c>
      <c r="AC573" s="9" t="s">
        <v>4369</v>
      </c>
      <c r="AD573" s="9" t="s">
        <v>4370</v>
      </c>
      <c r="AE573" s="9" t="s">
        <v>4445</v>
      </c>
    </row>
    <row r="574" customFormat="false" ht="15" hidden="false" customHeight="true" outlineLevel="0" collapsed="false">
      <c r="A574" s="6" t="s">
        <v>2325</v>
      </c>
      <c r="B574" s="6" t="s">
        <v>463</v>
      </c>
      <c r="C574" s="6" t="s">
        <v>467</v>
      </c>
      <c r="D574" s="6" t="n">
        <v>6</v>
      </c>
      <c r="E574" s="9" t="s">
        <v>4616</v>
      </c>
      <c r="F574" s="6" t="n">
        <v>187000</v>
      </c>
      <c r="Q574" s="1" t="str">
        <f aca="false">IF($A574="","",IF(OR(F574="",I574=""),"",F574-I574))</f>
        <v/>
      </c>
      <c r="R574" s="1" t="str">
        <f aca="false">IF($A574="","",IF(Q574="","",Q574+IF(O574="",0,O574)))</f>
        <v/>
      </c>
      <c r="T574" s="1" t="str">
        <f aca="false">IF($A574="","",IF(R574="","",R574-IF(S574="",0,S574)))</f>
        <v/>
      </c>
      <c r="U574" s="1" t="str">
        <f aca="false">IF($A574="","",IF(I574="","",I574-SUM(J574:P574)))</f>
        <v/>
      </c>
      <c r="V574" s="6" t="s">
        <v>4617</v>
      </c>
      <c r="W574" s="44" t="s">
        <v>1168</v>
      </c>
      <c r="X574" s="9" t="s">
        <v>4703</v>
      </c>
      <c r="AC574" s="9" t="s">
        <v>4369</v>
      </c>
      <c r="AD574" s="9" t="s">
        <v>4370</v>
      </c>
      <c r="AE574" s="9" t="s">
        <v>4408</v>
      </c>
    </row>
    <row r="575" customFormat="false" ht="15" hidden="false" customHeight="true" outlineLevel="0" collapsed="false">
      <c r="A575" s="6" t="s">
        <v>2328</v>
      </c>
      <c r="B575" s="6" t="s">
        <v>463</v>
      </c>
      <c r="C575" s="6" t="s">
        <v>467</v>
      </c>
      <c r="D575" s="6" t="n">
        <v>6</v>
      </c>
      <c r="E575" s="9" t="s">
        <v>4616</v>
      </c>
      <c r="F575" s="6" t="n">
        <v>182000</v>
      </c>
      <c r="Q575" s="1" t="str">
        <f aca="false">IF($A575="","",IF(OR(F575="",I575=""),"",F575-I575))</f>
        <v/>
      </c>
      <c r="R575" s="1" t="str">
        <f aca="false">IF($A575="","",IF(Q575="","",Q575+IF(O575="",0,O575)))</f>
        <v/>
      </c>
      <c r="T575" s="1" t="str">
        <f aca="false">IF($A575="","",IF(R575="","",R575-IF(S575="",0,S575)))</f>
        <v/>
      </c>
      <c r="U575" s="1" t="str">
        <f aca="false">IF($A575="","",IF(I575="","",I575-SUM(J575:P575)))</f>
        <v/>
      </c>
      <c r="V575" s="6" t="s">
        <v>4617</v>
      </c>
      <c r="W575" s="44" t="s">
        <v>1168</v>
      </c>
      <c r="X575" s="9" t="s">
        <v>4704</v>
      </c>
      <c r="AC575" s="9" t="s">
        <v>4369</v>
      </c>
      <c r="AD575" s="9" t="s">
        <v>4370</v>
      </c>
      <c r="AE575" s="9" t="s">
        <v>4408</v>
      </c>
    </row>
    <row r="576" customFormat="false" ht="15" hidden="false" customHeight="true" outlineLevel="0" collapsed="false">
      <c r="A576" s="6" t="s">
        <v>2331</v>
      </c>
      <c r="B576" s="6" t="s">
        <v>463</v>
      </c>
      <c r="C576" s="6" t="s">
        <v>467</v>
      </c>
      <c r="D576" s="6" t="n">
        <v>6</v>
      </c>
      <c r="E576" s="9" t="s">
        <v>4616</v>
      </c>
      <c r="F576" s="6" t="n">
        <v>35000</v>
      </c>
      <c r="Q576" s="1" t="str">
        <f aca="false">IF($A576="","",IF(OR(F576="",I576=""),"",F576-I576))</f>
        <v/>
      </c>
      <c r="R576" s="1" t="str">
        <f aca="false">IF($A576="","",IF(Q576="","",Q576+IF(O576="",0,O576)))</f>
        <v/>
      </c>
      <c r="T576" s="1" t="str">
        <f aca="false">IF($A576="","",IF(R576="","",R576-IF(S576="",0,S576)))</f>
        <v/>
      </c>
      <c r="U576" s="1" t="str">
        <f aca="false">IF($A576="","",IF(I576="","",I576-SUM(J576:P576)))</f>
        <v/>
      </c>
      <c r="V576" s="6" t="s">
        <v>4617</v>
      </c>
      <c r="W576" s="44" t="s">
        <v>1168</v>
      </c>
      <c r="X576" s="9" t="s">
        <v>4705</v>
      </c>
      <c r="AC576" s="9" t="s">
        <v>4369</v>
      </c>
      <c r="AD576" s="9" t="s">
        <v>4370</v>
      </c>
      <c r="AE576" s="9" t="s">
        <v>4445</v>
      </c>
    </row>
    <row r="577" customFormat="false" ht="15" hidden="false" customHeight="true" outlineLevel="0" collapsed="false">
      <c r="A577" s="6" t="s">
        <v>2334</v>
      </c>
      <c r="B577" s="6" t="s">
        <v>463</v>
      </c>
      <c r="C577" s="6" t="s">
        <v>467</v>
      </c>
      <c r="D577" s="6" t="n">
        <v>6</v>
      </c>
      <c r="E577" s="9" t="s">
        <v>4616</v>
      </c>
      <c r="F577" s="6" t="n">
        <v>26000</v>
      </c>
      <c r="Q577" s="1" t="str">
        <f aca="false">IF($A577="","",IF(OR(F577="",I577=""),"",F577-I577))</f>
        <v/>
      </c>
      <c r="R577" s="1" t="str">
        <f aca="false">IF($A577="","",IF(Q577="","",Q577+IF(O577="",0,O577)))</f>
        <v/>
      </c>
      <c r="T577" s="1" t="str">
        <f aca="false">IF($A577="","",IF(R577="","",R577-IF(S577="",0,S577)))</f>
        <v/>
      </c>
      <c r="U577" s="1" t="str">
        <f aca="false">IF($A577="","",IF(I577="","",I577-SUM(J577:P577)))</f>
        <v/>
      </c>
      <c r="V577" s="6" t="s">
        <v>4617</v>
      </c>
      <c r="W577" s="44" t="s">
        <v>1168</v>
      </c>
      <c r="X577" s="9" t="s">
        <v>4660</v>
      </c>
      <c r="AC577" s="9" t="s">
        <v>4369</v>
      </c>
      <c r="AD577" s="9" t="s">
        <v>4370</v>
      </c>
      <c r="AE577" s="9" t="s">
        <v>4445</v>
      </c>
    </row>
    <row r="578" customFormat="false" ht="15" hidden="false" customHeight="true" outlineLevel="0" collapsed="false">
      <c r="A578" s="6" t="s">
        <v>2337</v>
      </c>
      <c r="B578" s="6" t="s">
        <v>463</v>
      </c>
      <c r="C578" s="6" t="s">
        <v>467</v>
      </c>
      <c r="D578" s="6" t="n">
        <v>6</v>
      </c>
      <c r="E578" s="9" t="s">
        <v>4616</v>
      </c>
      <c r="F578" s="6" t="n">
        <v>14000</v>
      </c>
      <c r="Q578" s="1" t="str">
        <f aca="false">IF($A578="","",IF(OR(F578="",I578=""),"",F578-I578))</f>
        <v/>
      </c>
      <c r="R578" s="1" t="str">
        <f aca="false">IF($A578="","",IF(Q578="","",Q578+IF(O578="",0,O578)))</f>
        <v/>
      </c>
      <c r="T578" s="1" t="str">
        <f aca="false">IF($A578="","",IF(R578="","",R578-IF(S578="",0,S578)))</f>
        <v/>
      </c>
      <c r="U578" s="1" t="str">
        <f aca="false">IF($A578="","",IF(I578="","",I578-SUM(J578:P578)))</f>
        <v/>
      </c>
      <c r="V578" s="6" t="s">
        <v>4617</v>
      </c>
      <c r="W578" s="44" t="s">
        <v>1168</v>
      </c>
      <c r="X578" s="9" t="s">
        <v>4706</v>
      </c>
      <c r="AC578" s="9" t="s">
        <v>4369</v>
      </c>
      <c r="AD578" s="9" t="s">
        <v>4370</v>
      </c>
      <c r="AE578" s="9" t="s">
        <v>4445</v>
      </c>
    </row>
    <row r="579" customFormat="false" ht="15" hidden="false" customHeight="true" outlineLevel="0" collapsed="false">
      <c r="A579" s="6" t="s">
        <v>2340</v>
      </c>
      <c r="B579" s="6" t="s">
        <v>463</v>
      </c>
      <c r="C579" s="6" t="s">
        <v>467</v>
      </c>
      <c r="D579" s="6" t="n">
        <v>6</v>
      </c>
      <c r="E579" s="9" t="s">
        <v>4616</v>
      </c>
      <c r="F579" s="6" t="n">
        <v>27000</v>
      </c>
      <c r="Q579" s="1" t="str">
        <f aca="false">IF($A579="","",IF(OR(F579="",I579=""),"",F579-I579))</f>
        <v/>
      </c>
      <c r="R579" s="1" t="str">
        <f aca="false">IF($A579="","",IF(Q579="","",Q579+IF(O579="",0,O579)))</f>
        <v/>
      </c>
      <c r="T579" s="1" t="str">
        <f aca="false">IF($A579="","",IF(R579="","",R579-IF(S579="",0,S579)))</f>
        <v/>
      </c>
      <c r="U579" s="1" t="str">
        <f aca="false">IF($A579="","",IF(I579="","",I579-SUM(J579:P579)))</f>
        <v/>
      </c>
      <c r="V579" s="6" t="s">
        <v>4617</v>
      </c>
      <c r="W579" s="44" t="s">
        <v>1168</v>
      </c>
      <c r="X579" s="9" t="s">
        <v>4707</v>
      </c>
      <c r="AC579" s="9" t="s">
        <v>4369</v>
      </c>
      <c r="AD579" s="9" t="s">
        <v>4370</v>
      </c>
      <c r="AE579" s="9" t="s">
        <v>4445</v>
      </c>
    </row>
    <row r="580" customFormat="false" ht="15" hidden="false" customHeight="true" outlineLevel="0" collapsed="false">
      <c r="A580" s="6" t="s">
        <v>2343</v>
      </c>
      <c r="B580" s="6" t="s">
        <v>463</v>
      </c>
      <c r="C580" s="6" t="s">
        <v>467</v>
      </c>
      <c r="D580" s="6" t="n">
        <v>6</v>
      </c>
      <c r="E580" s="9" t="s">
        <v>4616</v>
      </c>
      <c r="F580" s="6" t="n">
        <v>34000</v>
      </c>
      <c r="Q580" s="1" t="str">
        <f aca="false">IF($A580="","",IF(OR(F580="",I580=""),"",F580-I580))</f>
        <v/>
      </c>
      <c r="R580" s="1" t="str">
        <f aca="false">IF($A580="","",IF(Q580="","",Q580+IF(O580="",0,O580)))</f>
        <v/>
      </c>
      <c r="T580" s="1" t="str">
        <f aca="false">IF($A580="","",IF(R580="","",R580-IF(S580="",0,S580)))</f>
        <v/>
      </c>
      <c r="U580" s="1" t="str">
        <f aca="false">IF($A580="","",IF(I580="","",I580-SUM(J580:P580)))</f>
        <v/>
      </c>
      <c r="V580" s="6" t="s">
        <v>4617</v>
      </c>
      <c r="W580" s="44" t="s">
        <v>1168</v>
      </c>
      <c r="X580" s="9" t="s">
        <v>4629</v>
      </c>
      <c r="AC580" s="9" t="s">
        <v>4369</v>
      </c>
      <c r="AD580" s="9" t="s">
        <v>4370</v>
      </c>
      <c r="AE580" s="9" t="s">
        <v>4445</v>
      </c>
    </row>
    <row r="581" customFormat="false" ht="15" hidden="false" customHeight="true" outlineLevel="0" collapsed="false">
      <c r="A581" s="6" t="s">
        <v>2346</v>
      </c>
      <c r="B581" s="6" t="s">
        <v>463</v>
      </c>
      <c r="C581" s="6" t="s">
        <v>467</v>
      </c>
      <c r="D581" s="6" t="n">
        <v>6</v>
      </c>
      <c r="E581" s="9" t="s">
        <v>4616</v>
      </c>
      <c r="F581" s="6" t="n">
        <v>19000</v>
      </c>
      <c r="Q581" s="1" t="str">
        <f aca="false">IF($A581="","",IF(OR(F581="",I581=""),"",F581-I581))</f>
        <v/>
      </c>
      <c r="R581" s="1" t="str">
        <f aca="false">IF($A581="","",IF(Q581="","",Q581+IF(O581="",0,O581)))</f>
        <v/>
      </c>
      <c r="T581" s="1" t="str">
        <f aca="false">IF($A581="","",IF(R581="","",R581-IF(S581="",0,S581)))</f>
        <v/>
      </c>
      <c r="U581" s="1" t="str">
        <f aca="false">IF($A581="","",IF(I581="","",I581-SUM(J581:P581)))</f>
        <v/>
      </c>
      <c r="V581" s="6" t="s">
        <v>4617</v>
      </c>
      <c r="W581" s="44" t="s">
        <v>1168</v>
      </c>
      <c r="X581" s="9" t="s">
        <v>4708</v>
      </c>
      <c r="AC581" s="9" t="s">
        <v>4369</v>
      </c>
      <c r="AD581" s="9" t="s">
        <v>4370</v>
      </c>
      <c r="AE581" s="9" t="s">
        <v>4445</v>
      </c>
    </row>
    <row r="582" customFormat="false" ht="15" hidden="false" customHeight="true" outlineLevel="0" collapsed="false">
      <c r="A582" s="6" t="s">
        <v>2350</v>
      </c>
      <c r="B582" s="6" t="s">
        <v>463</v>
      </c>
      <c r="C582" s="6" t="s">
        <v>467</v>
      </c>
      <c r="D582" s="6" t="n">
        <v>6</v>
      </c>
      <c r="E582" s="9" t="s">
        <v>4616</v>
      </c>
      <c r="F582" s="6" t="n">
        <v>28000</v>
      </c>
      <c r="Q582" s="1" t="str">
        <f aca="false">IF($A582="","",IF(OR(F582="",I582=""),"",F582-I582))</f>
        <v/>
      </c>
      <c r="R582" s="1" t="str">
        <f aca="false">IF($A582="","",IF(Q582="","",Q582+IF(O582="",0,O582)))</f>
        <v/>
      </c>
      <c r="T582" s="1" t="str">
        <f aca="false">IF($A582="","",IF(R582="","",R582-IF(S582="",0,S582)))</f>
        <v/>
      </c>
      <c r="U582" s="1" t="str">
        <f aca="false">IF($A582="","",IF(I582="","",I582-SUM(J582:P582)))</f>
        <v/>
      </c>
      <c r="V582" s="6" t="s">
        <v>4617</v>
      </c>
      <c r="W582" s="44" t="s">
        <v>1168</v>
      </c>
      <c r="X582" s="9" t="s">
        <v>4709</v>
      </c>
      <c r="AC582" s="9" t="s">
        <v>4369</v>
      </c>
      <c r="AD582" s="9" t="s">
        <v>4370</v>
      </c>
      <c r="AE582" s="9" t="s">
        <v>4445</v>
      </c>
    </row>
    <row r="583" customFormat="false" ht="15" hidden="false" customHeight="true" outlineLevel="0" collapsed="false">
      <c r="A583" s="6" t="s">
        <v>2354</v>
      </c>
      <c r="B583" s="6" t="s">
        <v>463</v>
      </c>
      <c r="C583" s="6" t="s">
        <v>467</v>
      </c>
      <c r="D583" s="6" t="n">
        <v>6</v>
      </c>
      <c r="E583" s="9" t="s">
        <v>4616</v>
      </c>
      <c r="F583" s="6" t="n">
        <v>32000</v>
      </c>
      <c r="Q583" s="1" t="str">
        <f aca="false">IF($A583="","",IF(OR(F583="",I583=""),"",F583-I583))</f>
        <v/>
      </c>
      <c r="R583" s="1" t="str">
        <f aca="false">IF($A583="","",IF(Q583="","",Q583+IF(O583="",0,O583)))</f>
        <v/>
      </c>
      <c r="T583" s="1" t="str">
        <f aca="false">IF($A583="","",IF(R583="","",R583-IF(S583="",0,S583)))</f>
        <v/>
      </c>
      <c r="U583" s="1" t="str">
        <f aca="false">IF($A583="","",IF(I583="","",I583-SUM(J583:P583)))</f>
        <v/>
      </c>
      <c r="V583" s="6" t="s">
        <v>4617</v>
      </c>
      <c r="W583" s="44" t="s">
        <v>1168</v>
      </c>
      <c r="X583" s="9" t="s">
        <v>4710</v>
      </c>
      <c r="AC583" s="9" t="s">
        <v>4369</v>
      </c>
      <c r="AD583" s="9" t="s">
        <v>4370</v>
      </c>
      <c r="AE583" s="9" t="s">
        <v>4445</v>
      </c>
    </row>
    <row r="584" customFormat="false" ht="15" hidden="false" customHeight="true" outlineLevel="0" collapsed="false">
      <c r="A584" s="6" t="s">
        <v>2357</v>
      </c>
      <c r="B584" s="6" t="s">
        <v>463</v>
      </c>
      <c r="C584" s="6" t="s">
        <v>467</v>
      </c>
      <c r="D584" s="6" t="n">
        <v>6</v>
      </c>
      <c r="E584" s="9" t="s">
        <v>4616</v>
      </c>
      <c r="F584" s="6" t="n">
        <v>70000</v>
      </c>
      <c r="Q584" s="1" t="str">
        <f aca="false">IF($A584="","",IF(OR(F584="",I584=""),"",F584-I584))</f>
        <v/>
      </c>
      <c r="R584" s="1" t="str">
        <f aca="false">IF($A584="","",IF(Q584="","",Q584+IF(O584="",0,O584)))</f>
        <v/>
      </c>
      <c r="T584" s="1" t="str">
        <f aca="false">IF($A584="","",IF(R584="","",R584-IF(S584="",0,S584)))</f>
        <v/>
      </c>
      <c r="U584" s="1" t="str">
        <f aca="false">IF($A584="","",IF(I584="","",I584-SUM(J584:P584)))</f>
        <v/>
      </c>
      <c r="V584" s="6" t="s">
        <v>4617</v>
      </c>
      <c r="W584" s="44" t="s">
        <v>1168</v>
      </c>
      <c r="X584" s="9" t="s">
        <v>4649</v>
      </c>
      <c r="AC584" s="9" t="s">
        <v>4369</v>
      </c>
      <c r="AD584" s="9" t="s">
        <v>4370</v>
      </c>
      <c r="AE584" s="9" t="s">
        <v>4408</v>
      </c>
    </row>
    <row r="585" customFormat="false" ht="15" hidden="false" customHeight="true" outlineLevel="0" collapsed="false">
      <c r="A585" s="6" t="s">
        <v>2360</v>
      </c>
      <c r="B585" s="6" t="s">
        <v>463</v>
      </c>
      <c r="C585" s="6" t="s">
        <v>467</v>
      </c>
      <c r="D585" s="6" t="n">
        <v>6</v>
      </c>
      <c r="E585" s="9" t="s">
        <v>4616</v>
      </c>
      <c r="F585" s="6" t="n">
        <v>62000</v>
      </c>
      <c r="Q585" s="1" t="str">
        <f aca="false">IF($A585="","",IF(OR(F585="",I585=""),"",F585-I585))</f>
        <v/>
      </c>
      <c r="R585" s="1" t="str">
        <f aca="false">IF($A585="","",IF(Q585="","",Q585+IF(O585="",0,O585)))</f>
        <v/>
      </c>
      <c r="T585" s="1" t="str">
        <f aca="false">IF($A585="","",IF(R585="","",R585-IF(S585="",0,S585)))</f>
        <v/>
      </c>
      <c r="U585" s="1" t="str">
        <f aca="false">IF($A585="","",IF(I585="","",I585-SUM(J585:P585)))</f>
        <v/>
      </c>
      <c r="V585" s="6" t="s">
        <v>4617</v>
      </c>
      <c r="W585" s="44" t="s">
        <v>1168</v>
      </c>
      <c r="X585" s="9" t="s">
        <v>4650</v>
      </c>
      <c r="AC585" s="9" t="s">
        <v>4369</v>
      </c>
      <c r="AD585" s="9" t="s">
        <v>4370</v>
      </c>
      <c r="AE585" s="9" t="s">
        <v>4408</v>
      </c>
    </row>
    <row r="586" customFormat="false" ht="15" hidden="false" customHeight="true" outlineLevel="0" collapsed="false">
      <c r="A586" s="6" t="s">
        <v>2363</v>
      </c>
      <c r="B586" s="6" t="s">
        <v>463</v>
      </c>
      <c r="C586" s="6" t="s">
        <v>467</v>
      </c>
      <c r="D586" s="6" t="n">
        <v>6</v>
      </c>
      <c r="E586" s="9" t="s">
        <v>4616</v>
      </c>
      <c r="F586" s="6" t="n">
        <v>64000</v>
      </c>
      <c r="Q586" s="1" t="str">
        <f aca="false">IF($A586="","",IF(OR(F586="",I586=""),"",F586-I586))</f>
        <v/>
      </c>
      <c r="R586" s="1" t="str">
        <f aca="false">IF($A586="","",IF(Q586="","",Q586+IF(O586="",0,O586)))</f>
        <v/>
      </c>
      <c r="T586" s="1" t="str">
        <f aca="false">IF($A586="","",IF(R586="","",R586-IF(S586="",0,S586)))</f>
        <v/>
      </c>
      <c r="U586" s="1" t="str">
        <f aca="false">IF($A586="","",IF(I586="","",I586-SUM(J586:P586)))</f>
        <v/>
      </c>
      <c r="V586" s="6" t="s">
        <v>4617</v>
      </c>
      <c r="W586" s="44" t="s">
        <v>1168</v>
      </c>
      <c r="X586" s="9" t="s">
        <v>4634</v>
      </c>
      <c r="AC586" s="9" t="s">
        <v>4369</v>
      </c>
      <c r="AD586" s="9" t="s">
        <v>4370</v>
      </c>
      <c r="AE586" s="9" t="s">
        <v>4408</v>
      </c>
    </row>
    <row r="587" customFormat="false" ht="15" hidden="false" customHeight="true" outlineLevel="0" collapsed="false">
      <c r="A587" s="6" t="s">
        <v>2366</v>
      </c>
      <c r="B587" s="6" t="s">
        <v>463</v>
      </c>
      <c r="C587" s="6" t="s">
        <v>467</v>
      </c>
      <c r="D587" s="6" t="n">
        <v>6</v>
      </c>
      <c r="E587" s="9" t="s">
        <v>4616</v>
      </c>
      <c r="F587" s="6" t="n">
        <v>41000</v>
      </c>
      <c r="Q587" s="1" t="str">
        <f aca="false">IF($A587="","",IF(OR(F587="",I587=""),"",F587-I587))</f>
        <v/>
      </c>
      <c r="R587" s="1" t="str">
        <f aca="false">IF($A587="","",IF(Q587="","",Q587+IF(O587="",0,O587)))</f>
        <v/>
      </c>
      <c r="T587" s="1" t="str">
        <f aca="false">IF($A587="","",IF(R587="","",R587-IF(S587="",0,S587)))</f>
        <v/>
      </c>
      <c r="U587" s="1" t="str">
        <f aca="false">IF($A587="","",IF(I587="","",I587-SUM(J587:P587)))</f>
        <v/>
      </c>
      <c r="V587" s="6" t="s">
        <v>4617</v>
      </c>
      <c r="W587" s="44" t="s">
        <v>1168</v>
      </c>
      <c r="X587" s="9" t="s">
        <v>4711</v>
      </c>
      <c r="AC587" s="9" t="s">
        <v>4369</v>
      </c>
      <c r="AD587" s="9" t="s">
        <v>4370</v>
      </c>
      <c r="AE587" s="9" t="s">
        <v>4445</v>
      </c>
    </row>
    <row r="588" customFormat="false" ht="15" hidden="false" customHeight="true" outlineLevel="0" collapsed="false">
      <c r="A588" s="6" t="s">
        <v>2369</v>
      </c>
      <c r="B588" s="6" t="s">
        <v>463</v>
      </c>
      <c r="C588" s="6" t="s">
        <v>467</v>
      </c>
      <c r="D588" s="6" t="n">
        <v>6</v>
      </c>
      <c r="E588" s="9" t="s">
        <v>4616</v>
      </c>
      <c r="F588" s="6" t="n">
        <v>32000</v>
      </c>
      <c r="Q588" s="1" t="str">
        <f aca="false">IF($A588="","",IF(OR(F588="",I588=""),"",F588-I588))</f>
        <v/>
      </c>
      <c r="R588" s="1" t="str">
        <f aca="false">IF($A588="","",IF(Q588="","",Q588+IF(O588="",0,O588)))</f>
        <v/>
      </c>
      <c r="T588" s="1" t="str">
        <f aca="false">IF($A588="","",IF(R588="","",R588-IF(S588="",0,S588)))</f>
        <v/>
      </c>
      <c r="U588" s="1" t="str">
        <f aca="false">IF($A588="","",IF(I588="","",I588-SUM(J588:P588)))</f>
        <v/>
      </c>
      <c r="V588" s="6" t="s">
        <v>4617</v>
      </c>
      <c r="W588" s="44" t="s">
        <v>1168</v>
      </c>
      <c r="X588" s="9" t="s">
        <v>4710</v>
      </c>
      <c r="AC588" s="9" t="s">
        <v>4369</v>
      </c>
      <c r="AD588" s="9" t="s">
        <v>4370</v>
      </c>
      <c r="AE588" s="9" t="s">
        <v>4445</v>
      </c>
    </row>
    <row r="589" customFormat="false" ht="15" hidden="false" customHeight="true" outlineLevel="0" collapsed="false">
      <c r="A589" s="6" t="s">
        <v>2372</v>
      </c>
      <c r="B589" s="6" t="s">
        <v>463</v>
      </c>
      <c r="C589" s="6" t="s">
        <v>467</v>
      </c>
      <c r="D589" s="6" t="n">
        <v>6</v>
      </c>
      <c r="E589" s="9" t="s">
        <v>4616</v>
      </c>
      <c r="F589" s="6" t="n">
        <v>21000</v>
      </c>
      <c r="Q589" s="1" t="str">
        <f aca="false">IF($A589="","",IF(OR(F589="",I589=""),"",F589-I589))</f>
        <v/>
      </c>
      <c r="R589" s="1" t="str">
        <f aca="false">IF($A589="","",IF(Q589="","",Q589+IF(O589="",0,O589)))</f>
        <v/>
      </c>
      <c r="T589" s="1" t="str">
        <f aca="false">IF($A589="","",IF(R589="","",R589-IF(S589="",0,S589)))</f>
        <v/>
      </c>
      <c r="U589" s="1" t="str">
        <f aca="false">IF($A589="","",IF(I589="","",I589-SUM(J589:P589)))</f>
        <v/>
      </c>
      <c r="V589" s="6" t="s">
        <v>4617</v>
      </c>
      <c r="W589" s="44" t="s">
        <v>1168</v>
      </c>
      <c r="X589" s="9" t="s">
        <v>4712</v>
      </c>
      <c r="AC589" s="9" t="s">
        <v>4369</v>
      </c>
      <c r="AD589" s="9" t="s">
        <v>4370</v>
      </c>
      <c r="AE589" s="9" t="s">
        <v>4445</v>
      </c>
    </row>
    <row r="590" customFormat="false" ht="15" hidden="false" customHeight="true" outlineLevel="0" collapsed="false">
      <c r="A590" s="6" t="s">
        <v>2375</v>
      </c>
      <c r="B590" s="6" t="s">
        <v>463</v>
      </c>
      <c r="C590" s="6" t="s">
        <v>467</v>
      </c>
      <c r="D590" s="6" t="n">
        <v>6</v>
      </c>
      <c r="E590" s="9" t="s">
        <v>4616</v>
      </c>
      <c r="F590" s="6" t="n">
        <v>16000</v>
      </c>
      <c r="Q590" s="1" t="str">
        <f aca="false">IF($A590="","",IF(OR(F590="",I590=""),"",F590-I590))</f>
        <v/>
      </c>
      <c r="R590" s="1" t="str">
        <f aca="false">IF($A590="","",IF(Q590="","",Q590+IF(O590="",0,O590)))</f>
        <v/>
      </c>
      <c r="T590" s="1" t="str">
        <f aca="false">IF($A590="","",IF(R590="","",R590-IF(S590="",0,S590)))</f>
        <v/>
      </c>
      <c r="U590" s="1" t="str">
        <f aca="false">IF($A590="","",IF(I590="","",I590-SUM(J590:P590)))</f>
        <v/>
      </c>
      <c r="V590" s="6" t="s">
        <v>4617</v>
      </c>
      <c r="W590" s="44" t="s">
        <v>1168</v>
      </c>
      <c r="X590" s="9" t="s">
        <v>4697</v>
      </c>
      <c r="AC590" s="9" t="s">
        <v>4369</v>
      </c>
      <c r="AD590" s="9" t="s">
        <v>4370</v>
      </c>
      <c r="AE590" s="9" t="s">
        <v>4445</v>
      </c>
    </row>
    <row r="591" customFormat="false" ht="15" hidden="false" customHeight="true" outlineLevel="0" collapsed="false">
      <c r="A591" s="6" t="s">
        <v>2378</v>
      </c>
      <c r="B591" s="6" t="s">
        <v>463</v>
      </c>
      <c r="C591" s="6" t="s">
        <v>467</v>
      </c>
      <c r="D591" s="6" t="n">
        <v>6</v>
      </c>
      <c r="E591" s="9" t="s">
        <v>4616</v>
      </c>
      <c r="F591" s="6" t="n">
        <v>16000</v>
      </c>
      <c r="Q591" s="1" t="str">
        <f aca="false">IF($A591="","",IF(OR(F591="",I591=""),"",F591-I591))</f>
        <v/>
      </c>
      <c r="R591" s="1" t="str">
        <f aca="false">IF($A591="","",IF(Q591="","",Q591+IF(O591="",0,O591)))</f>
        <v/>
      </c>
      <c r="T591" s="1" t="str">
        <f aca="false">IF($A591="","",IF(R591="","",R591-IF(S591="",0,S591)))</f>
        <v/>
      </c>
      <c r="U591" s="1" t="str">
        <f aca="false">IF($A591="","",IF(I591="","",I591-SUM(J591:P591)))</f>
        <v/>
      </c>
      <c r="V591" s="6" t="s">
        <v>4617</v>
      </c>
      <c r="W591" s="44" t="s">
        <v>1168</v>
      </c>
      <c r="X591" s="9" t="s">
        <v>4697</v>
      </c>
      <c r="AC591" s="9" t="s">
        <v>4369</v>
      </c>
      <c r="AD591" s="9" t="s">
        <v>4370</v>
      </c>
      <c r="AE591" s="9" t="s">
        <v>4445</v>
      </c>
    </row>
    <row r="592" customFormat="false" ht="15" hidden="false" customHeight="true" outlineLevel="0" collapsed="false">
      <c r="A592" s="6" t="s">
        <v>2381</v>
      </c>
      <c r="B592" s="6" t="s">
        <v>463</v>
      </c>
      <c r="C592" s="6" t="s">
        <v>467</v>
      </c>
      <c r="D592" s="6" t="n">
        <v>6</v>
      </c>
      <c r="E592" s="9" t="s">
        <v>4616</v>
      </c>
      <c r="F592" s="6" t="n">
        <v>8000</v>
      </c>
      <c r="Q592" s="1" t="str">
        <f aca="false">IF($A592="","",IF(OR(F592="",I592=""),"",F592-I592))</f>
        <v/>
      </c>
      <c r="R592" s="1" t="str">
        <f aca="false">IF($A592="","",IF(Q592="","",Q592+IF(O592="",0,O592)))</f>
        <v/>
      </c>
      <c r="T592" s="1" t="str">
        <f aca="false">IF($A592="","",IF(R592="","",R592-IF(S592="",0,S592)))</f>
        <v/>
      </c>
      <c r="U592" s="1" t="str">
        <f aca="false">IF($A592="","",IF(I592="","",I592-SUM(J592:P592)))</f>
        <v/>
      </c>
      <c r="V592" s="6" t="s">
        <v>4617</v>
      </c>
      <c r="W592" s="44" t="s">
        <v>1168</v>
      </c>
      <c r="X592" s="9" t="s">
        <v>4713</v>
      </c>
      <c r="AC592" s="9" t="s">
        <v>4369</v>
      </c>
      <c r="AD592" s="9" t="s">
        <v>4370</v>
      </c>
      <c r="AE592" s="9" t="s">
        <v>4445</v>
      </c>
    </row>
    <row r="593" customFormat="false" ht="15" hidden="false" customHeight="true" outlineLevel="0" collapsed="false">
      <c r="A593" s="6" t="s">
        <v>2384</v>
      </c>
      <c r="B593" s="6" t="s">
        <v>463</v>
      </c>
      <c r="C593" s="6" t="s">
        <v>467</v>
      </c>
      <c r="D593" s="6" t="n">
        <v>6</v>
      </c>
      <c r="E593" s="9" t="s">
        <v>4714</v>
      </c>
      <c r="Q593" s="1" t="str">
        <f aca="false">IF($A593="","",IF(OR(F593="",I593=""),"",F593-I593))</f>
        <v/>
      </c>
      <c r="R593" s="1" t="str">
        <f aca="false">IF($A593="","",IF(Q593="","",Q593+IF(O593="",0,O593)))</f>
        <v/>
      </c>
      <c r="T593" s="1" t="str">
        <f aca="false">IF($A593="","",IF(R593="","",R593-IF(S593="",0,S593)))</f>
        <v/>
      </c>
      <c r="U593" s="1" t="str">
        <f aca="false">IF($A593="","",IF(I593="","",I593-SUM(J593:P593)))</f>
        <v/>
      </c>
      <c r="V593" s="6" t="s">
        <v>4715</v>
      </c>
      <c r="W593" s="9" t="s">
        <v>528</v>
      </c>
      <c r="X593" s="9" t="s">
        <v>4716</v>
      </c>
      <c r="AC593" s="9" t="s">
        <v>4369</v>
      </c>
      <c r="AD593" s="9" t="s">
        <v>4370</v>
      </c>
      <c r="AE593" s="9" t="s">
        <v>4371</v>
      </c>
    </row>
    <row r="594" customFormat="false" ht="15" hidden="false" customHeight="true" outlineLevel="0" collapsed="false">
      <c r="A594" s="6" t="s">
        <v>2390</v>
      </c>
      <c r="B594" s="6" t="s">
        <v>463</v>
      </c>
      <c r="C594" s="6" t="s">
        <v>467</v>
      </c>
      <c r="D594" s="6" t="n">
        <v>6</v>
      </c>
      <c r="E594" s="9" t="s">
        <v>4714</v>
      </c>
      <c r="Q594" s="1" t="str">
        <f aca="false">IF($A594="","",IF(OR(F594="",I594=""),"",F594-I594))</f>
        <v/>
      </c>
      <c r="R594" s="1" t="str">
        <f aca="false">IF($A594="","",IF(Q594="","",Q594+IF(O594="",0,O594)))</f>
        <v/>
      </c>
      <c r="T594" s="1" t="str">
        <f aca="false">IF($A594="","",IF(R594="","",R594-IF(S594="",0,S594)))</f>
        <v/>
      </c>
      <c r="U594" s="1" t="str">
        <f aca="false">IF($A594="","",IF(I594="","",I594-SUM(J594:P594)))</f>
        <v/>
      </c>
      <c r="V594" s="6" t="s">
        <v>4715</v>
      </c>
      <c r="W594" s="9" t="s">
        <v>528</v>
      </c>
      <c r="X594" s="9" t="s">
        <v>4717</v>
      </c>
      <c r="AC594" s="9" t="s">
        <v>4369</v>
      </c>
      <c r="AD594" s="9" t="s">
        <v>4370</v>
      </c>
      <c r="AE594" s="9" t="s">
        <v>4371</v>
      </c>
    </row>
    <row r="595" customFormat="false" ht="15" hidden="false" customHeight="true" outlineLevel="0" collapsed="false">
      <c r="A595" s="6" t="s">
        <v>2394</v>
      </c>
      <c r="B595" s="6" t="s">
        <v>463</v>
      </c>
      <c r="C595" s="6" t="s">
        <v>467</v>
      </c>
      <c r="D595" s="6" t="n">
        <v>6</v>
      </c>
      <c r="E595" s="9" t="s">
        <v>4616</v>
      </c>
      <c r="F595" s="6" t="n">
        <v>544000</v>
      </c>
      <c r="Q595" s="1" t="str">
        <f aca="false">IF($A595="","",IF(OR(F595="",I595=""),"",F595-I595))</f>
        <v/>
      </c>
      <c r="R595" s="1" t="str">
        <f aca="false">IF($A595="","",IF(Q595="","",Q595+IF(O595="",0,O595)))</f>
        <v/>
      </c>
      <c r="T595" s="1" t="str">
        <f aca="false">IF($A595="","",IF(R595="","",R595-IF(S595="",0,S595)))</f>
        <v/>
      </c>
      <c r="U595" s="1" t="str">
        <f aca="false">IF($A595="","",IF(I595="","",I595-SUM(J595:P595)))</f>
        <v/>
      </c>
      <c r="V595" s="6" t="s">
        <v>4617</v>
      </c>
      <c r="W595" s="44" t="s">
        <v>1168</v>
      </c>
      <c r="X595" s="9" t="s">
        <v>4718</v>
      </c>
      <c r="AC595" s="9" t="s">
        <v>4369</v>
      </c>
      <c r="AD595" s="9" t="s">
        <v>4370</v>
      </c>
      <c r="AE595" s="9" t="s">
        <v>4408</v>
      </c>
    </row>
    <row r="596" customFormat="false" ht="15" hidden="false" customHeight="true" outlineLevel="0" collapsed="false">
      <c r="A596" s="6" t="s">
        <v>2397</v>
      </c>
      <c r="B596" s="6" t="s">
        <v>463</v>
      </c>
      <c r="C596" s="6" t="s">
        <v>467</v>
      </c>
      <c r="D596" s="6" t="n">
        <v>6</v>
      </c>
      <c r="E596" s="9" t="s">
        <v>4616</v>
      </c>
      <c r="F596" s="6" t="n">
        <v>1301000</v>
      </c>
      <c r="Q596" s="1" t="str">
        <f aca="false">IF($A596="","",IF(OR(F596="",I596=""),"",F596-I596))</f>
        <v/>
      </c>
      <c r="R596" s="1" t="str">
        <f aca="false">IF($A596="","",IF(Q596="","",Q596+IF(O596="",0,O596)))</f>
        <v/>
      </c>
      <c r="T596" s="1" t="str">
        <f aca="false">IF($A596="","",IF(R596="","",R596-IF(S596="",0,S596)))</f>
        <v/>
      </c>
      <c r="U596" s="1" t="str">
        <f aca="false">IF($A596="","",IF(I596="","",I596-SUM(J596:P596)))</f>
        <v/>
      </c>
      <c r="V596" s="6" t="s">
        <v>4617</v>
      </c>
      <c r="W596" s="44" t="s">
        <v>1168</v>
      </c>
      <c r="X596" s="9" t="s">
        <v>4719</v>
      </c>
      <c r="AC596" s="9" t="s">
        <v>4369</v>
      </c>
      <c r="AD596" s="9" t="s">
        <v>4370</v>
      </c>
      <c r="AE596" s="9" t="s">
        <v>4408</v>
      </c>
    </row>
    <row r="597" customFormat="false" ht="15" hidden="false" customHeight="true" outlineLevel="0" collapsed="false">
      <c r="A597" s="6" t="s">
        <v>2400</v>
      </c>
      <c r="B597" s="6" t="s">
        <v>463</v>
      </c>
      <c r="C597" s="6" t="s">
        <v>467</v>
      </c>
      <c r="D597" s="6" t="n">
        <v>6</v>
      </c>
      <c r="E597" s="9" t="s">
        <v>4616</v>
      </c>
      <c r="F597" s="6" t="n">
        <v>182000</v>
      </c>
      <c r="Q597" s="1" t="str">
        <f aca="false">IF($A597="","",IF(OR(F597="",I597=""),"",F597-I597))</f>
        <v/>
      </c>
      <c r="R597" s="1" t="str">
        <f aca="false">IF($A597="","",IF(Q597="","",Q597+IF(O597="",0,O597)))</f>
        <v/>
      </c>
      <c r="T597" s="1" t="str">
        <f aca="false">IF($A597="","",IF(R597="","",R597-IF(S597="",0,S597)))</f>
        <v/>
      </c>
      <c r="U597" s="1" t="str">
        <f aca="false">IF($A597="","",IF(I597="","",I597-SUM(J597:P597)))</f>
        <v/>
      </c>
      <c r="V597" s="6" t="s">
        <v>4617</v>
      </c>
      <c r="W597" s="44" t="s">
        <v>1168</v>
      </c>
      <c r="X597" s="9" t="s">
        <v>4704</v>
      </c>
      <c r="AC597" s="9" t="s">
        <v>4369</v>
      </c>
      <c r="AD597" s="9" t="s">
        <v>4370</v>
      </c>
      <c r="AE597" s="9" t="s">
        <v>4408</v>
      </c>
    </row>
    <row r="598" customFormat="false" ht="15" hidden="false" customHeight="true" outlineLevel="0" collapsed="false">
      <c r="A598" s="6" t="s">
        <v>2403</v>
      </c>
      <c r="B598" s="6" t="s">
        <v>463</v>
      </c>
      <c r="C598" s="6" t="s">
        <v>467</v>
      </c>
      <c r="D598" s="6" t="n">
        <v>6</v>
      </c>
      <c r="E598" s="9" t="s">
        <v>4616</v>
      </c>
      <c r="F598" s="6" t="n">
        <v>202000</v>
      </c>
      <c r="Q598" s="1" t="str">
        <f aca="false">IF($A598="","",IF(OR(F598="",I598=""),"",F598-I598))</f>
        <v/>
      </c>
      <c r="R598" s="1" t="str">
        <f aca="false">IF($A598="","",IF(Q598="","",Q598+IF(O598="",0,O598)))</f>
        <v/>
      </c>
      <c r="T598" s="1" t="str">
        <f aca="false">IF($A598="","",IF(R598="","",R598-IF(S598="",0,S598)))</f>
        <v/>
      </c>
      <c r="U598" s="1" t="str">
        <f aca="false">IF($A598="","",IF(I598="","",I598-SUM(J598:P598)))</f>
        <v/>
      </c>
      <c r="V598" s="6" t="s">
        <v>4617</v>
      </c>
      <c r="W598" s="44" t="s">
        <v>1168</v>
      </c>
      <c r="X598" s="9" t="s">
        <v>4720</v>
      </c>
      <c r="AC598" s="9" t="s">
        <v>4369</v>
      </c>
      <c r="AD598" s="9" t="s">
        <v>4370</v>
      </c>
      <c r="AE598" s="9" t="s">
        <v>4408</v>
      </c>
    </row>
    <row r="599" customFormat="false" ht="15" hidden="false" customHeight="true" outlineLevel="0" collapsed="false">
      <c r="A599" s="6" t="s">
        <v>2406</v>
      </c>
      <c r="B599" s="6" t="s">
        <v>463</v>
      </c>
      <c r="C599" s="6" t="s">
        <v>467</v>
      </c>
      <c r="D599" s="6" t="n">
        <v>6</v>
      </c>
      <c r="E599" s="9" t="s">
        <v>4616</v>
      </c>
      <c r="F599" s="6" t="n">
        <v>121000</v>
      </c>
      <c r="Q599" s="1" t="str">
        <f aca="false">IF($A599="","",IF(OR(F599="",I599=""),"",F599-I599))</f>
        <v/>
      </c>
      <c r="R599" s="1" t="str">
        <f aca="false">IF($A599="","",IF(Q599="","",Q599+IF(O599="",0,O599)))</f>
        <v/>
      </c>
      <c r="T599" s="1" t="str">
        <f aca="false">IF($A599="","",IF(R599="","",R599-IF(S599="",0,S599)))</f>
        <v/>
      </c>
      <c r="U599" s="1" t="str">
        <f aca="false">IF($A599="","",IF(I599="","",I599-SUM(J599:P599)))</f>
        <v/>
      </c>
      <c r="V599" s="6" t="s">
        <v>4617</v>
      </c>
      <c r="W599" s="44" t="s">
        <v>1168</v>
      </c>
      <c r="X599" s="9" t="s">
        <v>4721</v>
      </c>
      <c r="AC599" s="9" t="s">
        <v>4369</v>
      </c>
      <c r="AD599" s="9" t="s">
        <v>4370</v>
      </c>
      <c r="AE599" s="9" t="s">
        <v>4408</v>
      </c>
    </row>
    <row r="600" customFormat="false" ht="15" hidden="false" customHeight="true" outlineLevel="0" collapsed="false">
      <c r="A600" s="6" t="s">
        <v>2409</v>
      </c>
      <c r="B600" s="6" t="s">
        <v>463</v>
      </c>
      <c r="C600" s="6" t="s">
        <v>467</v>
      </c>
      <c r="D600" s="6" t="n">
        <v>6</v>
      </c>
      <c r="E600" s="9" t="s">
        <v>4376</v>
      </c>
      <c r="F600" s="6" t="n">
        <v>12864295</v>
      </c>
      <c r="G600" s="6" t="n">
        <v>12376825</v>
      </c>
      <c r="H600" s="6" t="n">
        <v>487470</v>
      </c>
      <c r="I600" s="6" t="n">
        <v>5727494</v>
      </c>
      <c r="J600" s="6" t="n">
        <v>1089958</v>
      </c>
      <c r="K600" s="6" t="n">
        <v>265748</v>
      </c>
      <c r="L600" s="6" t="n">
        <v>808680</v>
      </c>
      <c r="M600" s="6" t="n">
        <v>20084</v>
      </c>
      <c r="N600" s="6" t="n">
        <v>433713</v>
      </c>
      <c r="O600" s="6" t="n">
        <v>2314026</v>
      </c>
      <c r="P600" s="6" t="n">
        <v>795281</v>
      </c>
      <c r="Q600" s="1" t="n">
        <f aca="false">IF($A600="","",IF(OR(F600="",I600=""),"",F600-I600))</f>
        <v>7136801</v>
      </c>
      <c r="R600" s="1" t="n">
        <f aca="false">IF($A600="","",IF(Q600="","",Q600+IF(O600="",0,O600)))</f>
        <v>9450827</v>
      </c>
      <c r="T600" s="1" t="n">
        <f aca="false">IF($A600="","",IF(R600="","",R600-IF(S600="",0,S600)))</f>
        <v>9450827</v>
      </c>
      <c r="U600" s="1" t="n">
        <f aca="false">IF($A600="","",IF(I600="","",I600-SUM(J600:P600)))</f>
        <v>4</v>
      </c>
      <c r="V600" s="6" t="s">
        <v>4722</v>
      </c>
      <c r="W600" s="44" t="s">
        <v>1168</v>
      </c>
      <c r="X600" s="9" t="s">
        <v>4723</v>
      </c>
      <c r="AC600" s="9" t="s">
        <v>4369</v>
      </c>
      <c r="AD600" s="9" t="s">
        <v>4370</v>
      </c>
      <c r="AE600" s="9" t="s">
        <v>4371</v>
      </c>
    </row>
    <row r="601" customFormat="false" ht="15" hidden="false" customHeight="true" outlineLevel="0" collapsed="false">
      <c r="A601" s="6" t="s">
        <v>2414</v>
      </c>
      <c r="B601" s="6" t="s">
        <v>456</v>
      </c>
      <c r="C601" s="6" t="s">
        <v>461</v>
      </c>
      <c r="D601" s="6" t="n">
        <v>6</v>
      </c>
      <c r="E601" s="9" t="s">
        <v>4454</v>
      </c>
      <c r="F601" s="6" t="n">
        <v>62209</v>
      </c>
      <c r="Q601" s="1" t="str">
        <f aca="false">IF($A601="","",IF(OR(F601="",I601=""),"",F601-I601))</f>
        <v/>
      </c>
      <c r="R601" s="1" t="str">
        <f aca="false">IF($A601="","",IF(Q601="","",Q601+IF(O601="",0,O601)))</f>
        <v/>
      </c>
      <c r="T601" s="1" t="str">
        <f aca="false">IF($A601="","",IF(R601="","",R601-IF(S601="",0,S601)))</f>
        <v/>
      </c>
      <c r="U601" s="1" t="str">
        <f aca="false">IF($A601="","",IF(I601="","",I601-SUM(J601:P601)))</f>
        <v/>
      </c>
      <c r="V601" s="6" t="s">
        <v>4724</v>
      </c>
      <c r="W601" s="9" t="s">
        <v>528</v>
      </c>
      <c r="X601" s="9" t="s">
        <v>4725</v>
      </c>
      <c r="AC601" s="9" t="s">
        <v>4369</v>
      </c>
      <c r="AD601" s="9" t="s">
        <v>4370</v>
      </c>
      <c r="AE601" s="9" t="s">
        <v>4371</v>
      </c>
    </row>
    <row r="602" customFormat="false" ht="15" hidden="false" customHeight="true" outlineLevel="0" collapsed="false">
      <c r="A602" s="6" t="s">
        <v>2418</v>
      </c>
      <c r="B602" s="6" t="s">
        <v>456</v>
      </c>
      <c r="C602" s="6" t="s">
        <v>461</v>
      </c>
      <c r="D602" s="6" t="n">
        <v>6</v>
      </c>
      <c r="E602" s="9" t="s">
        <v>4454</v>
      </c>
      <c r="F602" s="6" t="n">
        <v>97392</v>
      </c>
      <c r="Q602" s="1" t="str">
        <f aca="false">IF($A602="","",IF(OR(F602="",I602=""),"",F602-I602))</f>
        <v/>
      </c>
      <c r="R602" s="1" t="str">
        <f aca="false">IF($A602="","",IF(Q602="","",Q602+IF(O602="",0,O602)))</f>
        <v/>
      </c>
      <c r="T602" s="1" t="str">
        <f aca="false">IF($A602="","",IF(R602="","",R602-IF(S602="",0,S602)))</f>
        <v/>
      </c>
      <c r="U602" s="1" t="str">
        <f aca="false">IF($A602="","",IF(I602="","",I602-SUM(J602:P602)))</f>
        <v/>
      </c>
      <c r="V602" s="6" t="s">
        <v>4724</v>
      </c>
      <c r="W602" s="9" t="s">
        <v>528</v>
      </c>
      <c r="X602" s="9" t="s">
        <v>4725</v>
      </c>
      <c r="AC602" s="9" t="s">
        <v>4369</v>
      </c>
      <c r="AD602" s="9" t="s">
        <v>4370</v>
      </c>
      <c r="AE602" s="9" t="s">
        <v>4371</v>
      </c>
    </row>
    <row r="603" customFormat="false" ht="15" hidden="false" customHeight="true" outlineLevel="0" collapsed="false">
      <c r="A603" s="6" t="s">
        <v>2421</v>
      </c>
      <c r="B603" s="6" t="s">
        <v>456</v>
      </c>
      <c r="C603" s="6" t="s">
        <v>461</v>
      </c>
      <c r="D603" s="6" t="n">
        <v>6</v>
      </c>
      <c r="E603" s="9" t="s">
        <v>4454</v>
      </c>
      <c r="F603" s="6" t="n">
        <v>90406</v>
      </c>
      <c r="Q603" s="1" t="str">
        <f aca="false">IF($A603="","",IF(OR(F603="",I603=""),"",F603-I603))</f>
        <v/>
      </c>
      <c r="R603" s="1" t="str">
        <f aca="false">IF($A603="","",IF(Q603="","",Q603+IF(O603="",0,O603)))</f>
        <v/>
      </c>
      <c r="T603" s="1" t="str">
        <f aca="false">IF($A603="","",IF(R603="","",R603-IF(S603="",0,S603)))</f>
        <v/>
      </c>
      <c r="U603" s="1" t="str">
        <f aca="false">IF($A603="","",IF(I603="","",I603-SUM(J603:P603)))</f>
        <v/>
      </c>
      <c r="V603" s="6" t="s">
        <v>4724</v>
      </c>
      <c r="W603" s="9" t="s">
        <v>528</v>
      </c>
      <c r="X603" s="9" t="s">
        <v>4725</v>
      </c>
      <c r="AC603" s="9" t="s">
        <v>4369</v>
      </c>
      <c r="AD603" s="9" t="s">
        <v>4370</v>
      </c>
      <c r="AE603" s="9" t="s">
        <v>4371</v>
      </c>
    </row>
    <row r="604" customFormat="false" ht="15" hidden="false" customHeight="true" outlineLevel="0" collapsed="false">
      <c r="A604" s="6" t="s">
        <v>2424</v>
      </c>
      <c r="B604" s="6" t="s">
        <v>456</v>
      </c>
      <c r="C604" s="6" t="s">
        <v>461</v>
      </c>
      <c r="D604" s="6" t="n">
        <v>6</v>
      </c>
      <c r="E604" s="9" t="s">
        <v>4454</v>
      </c>
      <c r="F604" s="6" t="n">
        <v>71811</v>
      </c>
      <c r="Q604" s="1" t="str">
        <f aca="false">IF($A604="","",IF(OR(F604="",I604=""),"",F604-I604))</f>
        <v/>
      </c>
      <c r="R604" s="1" t="str">
        <f aca="false">IF($A604="","",IF(Q604="","",Q604+IF(O604="",0,O604)))</f>
        <v/>
      </c>
      <c r="T604" s="1" t="str">
        <f aca="false">IF($A604="","",IF(R604="","",R604-IF(S604="",0,S604)))</f>
        <v/>
      </c>
      <c r="U604" s="1" t="str">
        <f aca="false">IF($A604="","",IF(I604="","",I604-SUM(J604:P604)))</f>
        <v/>
      </c>
      <c r="V604" s="6" t="s">
        <v>4724</v>
      </c>
      <c r="W604" s="9" t="s">
        <v>528</v>
      </c>
      <c r="X604" s="9" t="s">
        <v>4725</v>
      </c>
      <c r="AC604" s="9" t="s">
        <v>4369</v>
      </c>
      <c r="AD604" s="9" t="s">
        <v>4370</v>
      </c>
      <c r="AE604" s="9" t="s">
        <v>4371</v>
      </c>
    </row>
    <row r="605" customFormat="false" ht="15" hidden="false" customHeight="true" outlineLevel="0" collapsed="false">
      <c r="A605" s="6" t="s">
        <v>2427</v>
      </c>
      <c r="B605" s="6" t="s">
        <v>456</v>
      </c>
      <c r="C605" s="6" t="s">
        <v>461</v>
      </c>
      <c r="D605" s="6" t="n">
        <v>6</v>
      </c>
      <c r="E605" s="9" t="s">
        <v>4454</v>
      </c>
      <c r="F605" s="6" t="n">
        <v>79192</v>
      </c>
      <c r="Q605" s="1" t="str">
        <f aca="false">IF($A605="","",IF(OR(F605="",I605=""),"",F605-I605))</f>
        <v/>
      </c>
      <c r="R605" s="1" t="str">
        <f aca="false">IF($A605="","",IF(Q605="","",Q605+IF(O605="",0,O605)))</f>
        <v/>
      </c>
      <c r="T605" s="1" t="str">
        <f aca="false">IF($A605="","",IF(R605="","",R605-IF(S605="",0,S605)))</f>
        <v/>
      </c>
      <c r="U605" s="1" t="str">
        <f aca="false">IF($A605="","",IF(I605="","",I605-SUM(J605:P605)))</f>
        <v/>
      </c>
      <c r="V605" s="6" t="s">
        <v>4724</v>
      </c>
      <c r="W605" s="9" t="s">
        <v>528</v>
      </c>
      <c r="X605" s="9" t="s">
        <v>4725</v>
      </c>
      <c r="AC605" s="9" t="s">
        <v>4369</v>
      </c>
      <c r="AD605" s="9" t="s">
        <v>4370</v>
      </c>
      <c r="AE605" s="9" t="s">
        <v>4371</v>
      </c>
    </row>
    <row r="606" customFormat="false" ht="15" hidden="false" customHeight="true" outlineLevel="0" collapsed="false">
      <c r="A606" s="6" t="s">
        <v>2430</v>
      </c>
      <c r="B606" s="6" t="s">
        <v>456</v>
      </c>
      <c r="C606" s="6" t="s">
        <v>461</v>
      </c>
      <c r="D606" s="6" t="n">
        <v>6</v>
      </c>
      <c r="E606" s="9" t="s">
        <v>4454</v>
      </c>
      <c r="F606" s="6" t="n">
        <v>35672</v>
      </c>
      <c r="Q606" s="1" t="str">
        <f aca="false">IF($A606="","",IF(OR(F606="",I606=""),"",F606-I606))</f>
        <v/>
      </c>
      <c r="R606" s="1" t="str">
        <f aca="false">IF($A606="","",IF(Q606="","",Q606+IF(O606="",0,O606)))</f>
        <v/>
      </c>
      <c r="T606" s="1" t="str">
        <f aca="false">IF($A606="","",IF(R606="","",R606-IF(S606="",0,S606)))</f>
        <v/>
      </c>
      <c r="U606" s="1" t="str">
        <f aca="false">IF($A606="","",IF(I606="","",I606-SUM(J606:P606)))</f>
        <v/>
      </c>
      <c r="V606" s="6" t="s">
        <v>4724</v>
      </c>
      <c r="W606" s="9" t="s">
        <v>528</v>
      </c>
      <c r="X606" s="9" t="s">
        <v>4725</v>
      </c>
      <c r="AC606" s="9" t="s">
        <v>4369</v>
      </c>
      <c r="AD606" s="9" t="s">
        <v>4370</v>
      </c>
      <c r="AE606" s="9" t="s">
        <v>4371</v>
      </c>
    </row>
    <row r="607" customFormat="false" ht="15" hidden="false" customHeight="true" outlineLevel="0" collapsed="false">
      <c r="A607" s="6" t="s">
        <v>2433</v>
      </c>
      <c r="B607" s="6" t="s">
        <v>456</v>
      </c>
      <c r="C607" s="6" t="s">
        <v>461</v>
      </c>
      <c r="D607" s="6" t="n">
        <v>6</v>
      </c>
      <c r="E607" s="9" t="s">
        <v>4454</v>
      </c>
      <c r="F607" s="6" t="n">
        <v>108998</v>
      </c>
      <c r="Q607" s="1" t="str">
        <f aca="false">IF($A607="","",IF(OR(F607="",I607=""),"",F607-I607))</f>
        <v/>
      </c>
      <c r="R607" s="1" t="str">
        <f aca="false">IF($A607="","",IF(Q607="","",Q607+IF(O607="",0,O607)))</f>
        <v/>
      </c>
      <c r="T607" s="1" t="str">
        <f aca="false">IF($A607="","",IF(R607="","",R607-IF(S607="",0,S607)))</f>
        <v/>
      </c>
      <c r="U607" s="1" t="str">
        <f aca="false">IF($A607="","",IF(I607="","",I607-SUM(J607:P607)))</f>
        <v/>
      </c>
      <c r="V607" s="6" t="s">
        <v>4724</v>
      </c>
      <c r="W607" s="9" t="s">
        <v>528</v>
      </c>
      <c r="X607" s="9" t="s">
        <v>4725</v>
      </c>
      <c r="AC607" s="9" t="s">
        <v>4369</v>
      </c>
      <c r="AD607" s="9" t="s">
        <v>4370</v>
      </c>
      <c r="AE607" s="9" t="s">
        <v>4371</v>
      </c>
    </row>
    <row r="608" customFormat="false" ht="15" hidden="false" customHeight="true" outlineLevel="0" collapsed="false">
      <c r="A608" s="6" t="s">
        <v>2436</v>
      </c>
      <c r="B608" s="6" t="s">
        <v>456</v>
      </c>
      <c r="C608" s="6" t="s">
        <v>461</v>
      </c>
      <c r="D608" s="6" t="n">
        <v>6</v>
      </c>
      <c r="E608" s="9" t="s">
        <v>4454</v>
      </c>
      <c r="F608" s="6" t="n">
        <v>123842</v>
      </c>
      <c r="Q608" s="1" t="str">
        <f aca="false">IF($A608="","",IF(OR(F608="",I608=""),"",F608-I608))</f>
        <v/>
      </c>
      <c r="R608" s="1" t="str">
        <f aca="false">IF($A608="","",IF(Q608="","",Q608+IF(O608="",0,O608)))</f>
        <v/>
      </c>
      <c r="T608" s="1" t="str">
        <f aca="false">IF($A608="","",IF(R608="","",R608-IF(S608="",0,S608)))</f>
        <v/>
      </c>
      <c r="U608" s="1" t="str">
        <f aca="false">IF($A608="","",IF(I608="","",I608-SUM(J608:P608)))</f>
        <v/>
      </c>
      <c r="V608" s="6" t="s">
        <v>4724</v>
      </c>
      <c r="W608" s="9" t="s">
        <v>528</v>
      </c>
      <c r="X608" s="9" t="s">
        <v>4725</v>
      </c>
      <c r="AC608" s="9" t="s">
        <v>4369</v>
      </c>
      <c r="AD608" s="9" t="s">
        <v>4370</v>
      </c>
      <c r="AE608" s="9" t="s">
        <v>4371</v>
      </c>
    </row>
    <row r="609" customFormat="false" ht="15" hidden="false" customHeight="true" outlineLevel="0" collapsed="false">
      <c r="A609" s="6" t="s">
        <v>2439</v>
      </c>
      <c r="B609" s="6" t="s">
        <v>456</v>
      </c>
      <c r="C609" s="6" t="s">
        <v>461</v>
      </c>
      <c r="D609" s="6" t="n">
        <v>6</v>
      </c>
      <c r="E609" s="9" t="s">
        <v>4454</v>
      </c>
      <c r="F609" s="6" t="n">
        <v>15562</v>
      </c>
      <c r="Q609" s="1" t="str">
        <f aca="false">IF($A609="","",IF(OR(F609="",I609=""),"",F609-I609))</f>
        <v/>
      </c>
      <c r="R609" s="1" t="str">
        <f aca="false">IF($A609="","",IF(Q609="","",Q609+IF(O609="",0,O609)))</f>
        <v/>
      </c>
      <c r="T609" s="1" t="str">
        <f aca="false">IF($A609="","",IF(R609="","",R609-IF(S609="",0,S609)))</f>
        <v/>
      </c>
      <c r="U609" s="1" t="str">
        <f aca="false">IF($A609="","",IF(I609="","",I609-SUM(J609:P609)))</f>
        <v/>
      </c>
      <c r="V609" s="6" t="s">
        <v>4724</v>
      </c>
      <c r="W609" s="9" t="s">
        <v>528</v>
      </c>
      <c r="X609" s="9" t="s">
        <v>4725</v>
      </c>
      <c r="AC609" s="9" t="s">
        <v>4369</v>
      </c>
      <c r="AD609" s="9" t="s">
        <v>4370</v>
      </c>
      <c r="AE609" s="9" t="s">
        <v>4371</v>
      </c>
    </row>
    <row r="610" customFormat="false" ht="15" hidden="false" customHeight="true" outlineLevel="0" collapsed="false">
      <c r="A610" s="6" t="s">
        <v>2442</v>
      </c>
      <c r="B610" s="6" t="s">
        <v>456</v>
      </c>
      <c r="C610" s="6" t="s">
        <v>461</v>
      </c>
      <c r="D610" s="6" t="n">
        <v>6</v>
      </c>
      <c r="E610" s="9" t="s">
        <v>4454</v>
      </c>
      <c r="F610" s="6" t="n">
        <v>48389</v>
      </c>
      <c r="Q610" s="1" t="str">
        <f aca="false">IF($A610="","",IF(OR(F610="",I610=""),"",F610-I610))</f>
        <v/>
      </c>
      <c r="R610" s="1" t="str">
        <f aca="false">IF($A610="","",IF(Q610="","",Q610+IF(O610="",0,O610)))</f>
        <v/>
      </c>
      <c r="T610" s="1" t="str">
        <f aca="false">IF($A610="","",IF(R610="","",R610-IF(S610="",0,S610)))</f>
        <v/>
      </c>
      <c r="U610" s="1" t="str">
        <f aca="false">IF($A610="","",IF(I610="","",I610-SUM(J610:P610)))</f>
        <v/>
      </c>
      <c r="V610" s="6" t="s">
        <v>4724</v>
      </c>
      <c r="W610" s="9" t="s">
        <v>528</v>
      </c>
      <c r="X610" s="9" t="s">
        <v>4725</v>
      </c>
      <c r="AC610" s="9" t="s">
        <v>4369</v>
      </c>
      <c r="AD610" s="9" t="s">
        <v>4370</v>
      </c>
      <c r="AE610" s="9" t="s">
        <v>4371</v>
      </c>
    </row>
    <row r="611" customFormat="false" ht="15" hidden="false" customHeight="true" outlineLevel="0" collapsed="false">
      <c r="A611" s="6" t="s">
        <v>2445</v>
      </c>
      <c r="B611" s="6" t="s">
        <v>456</v>
      </c>
      <c r="C611" s="6" t="s">
        <v>461</v>
      </c>
      <c r="D611" s="6" t="n">
        <v>6</v>
      </c>
      <c r="E611" s="9" t="s">
        <v>4454</v>
      </c>
      <c r="F611" s="6" t="n">
        <v>51307</v>
      </c>
      <c r="Q611" s="1" t="str">
        <f aca="false">IF($A611="","",IF(OR(F611="",I611=""),"",F611-I611))</f>
        <v/>
      </c>
      <c r="R611" s="1" t="str">
        <f aca="false">IF($A611="","",IF(Q611="","",Q611+IF(O611="",0,O611)))</f>
        <v/>
      </c>
      <c r="T611" s="1" t="str">
        <f aca="false">IF($A611="","",IF(R611="","",R611-IF(S611="",0,S611)))</f>
        <v/>
      </c>
      <c r="U611" s="1" t="str">
        <f aca="false">IF($A611="","",IF(I611="","",I611-SUM(J611:P611)))</f>
        <v/>
      </c>
      <c r="V611" s="6" t="s">
        <v>4724</v>
      </c>
      <c r="W611" s="9" t="s">
        <v>528</v>
      </c>
      <c r="X611" s="9" t="s">
        <v>4725</v>
      </c>
      <c r="AC611" s="9" t="s">
        <v>4369</v>
      </c>
      <c r="AD611" s="9" t="s">
        <v>4370</v>
      </c>
      <c r="AE611" s="9" t="s">
        <v>4371</v>
      </c>
    </row>
    <row r="612" customFormat="false" ht="15" hidden="false" customHeight="true" outlineLevel="0" collapsed="false">
      <c r="A612" s="6" t="s">
        <v>2448</v>
      </c>
      <c r="B612" s="6" t="s">
        <v>456</v>
      </c>
      <c r="C612" s="6" t="s">
        <v>461</v>
      </c>
      <c r="D612" s="6" t="n">
        <v>6</v>
      </c>
      <c r="E612" s="9" t="s">
        <v>4454</v>
      </c>
      <c r="F612" s="6" t="n">
        <v>209916</v>
      </c>
      <c r="Q612" s="1" t="str">
        <f aca="false">IF($A612="","",IF(OR(F612="",I612=""),"",F612-I612))</f>
        <v/>
      </c>
      <c r="R612" s="1" t="str">
        <f aca="false">IF($A612="","",IF(Q612="","",Q612+IF(O612="",0,O612)))</f>
        <v/>
      </c>
      <c r="T612" s="1" t="str">
        <f aca="false">IF($A612="","",IF(R612="","",R612-IF(S612="",0,S612)))</f>
        <v/>
      </c>
      <c r="U612" s="1" t="str">
        <f aca="false">IF($A612="","",IF(I612="","",I612-SUM(J612:P612)))</f>
        <v/>
      </c>
      <c r="V612" s="6" t="s">
        <v>4724</v>
      </c>
      <c r="W612" s="9" t="s">
        <v>528</v>
      </c>
      <c r="X612" s="9" t="s">
        <v>4725</v>
      </c>
      <c r="AC612" s="9" t="s">
        <v>4369</v>
      </c>
      <c r="AD612" s="9" t="s">
        <v>4370</v>
      </c>
      <c r="AE612" s="9" t="s">
        <v>4371</v>
      </c>
    </row>
    <row r="613" customFormat="false" ht="15" hidden="false" customHeight="true" outlineLevel="0" collapsed="false">
      <c r="A613" s="6" t="s">
        <v>2451</v>
      </c>
      <c r="B613" s="6" t="s">
        <v>456</v>
      </c>
      <c r="C613" s="6" t="s">
        <v>461</v>
      </c>
      <c r="D613" s="6" t="n">
        <v>6</v>
      </c>
      <c r="E613" s="9" t="s">
        <v>4454</v>
      </c>
      <c r="F613" s="6" t="n">
        <v>178012</v>
      </c>
      <c r="Q613" s="1" t="str">
        <f aca="false">IF($A613="","",IF(OR(F613="",I613=""),"",F613-I613))</f>
        <v/>
      </c>
      <c r="R613" s="1" t="str">
        <f aca="false">IF($A613="","",IF(Q613="","",Q613+IF(O613="",0,O613)))</f>
        <v/>
      </c>
      <c r="T613" s="1" t="str">
        <f aca="false">IF($A613="","",IF(R613="","",R613-IF(S613="",0,S613)))</f>
        <v/>
      </c>
      <c r="U613" s="1" t="str">
        <f aca="false">IF($A613="","",IF(I613="","",I613-SUM(J613:P613)))</f>
        <v/>
      </c>
      <c r="V613" s="6" t="s">
        <v>4724</v>
      </c>
      <c r="W613" s="9" t="s">
        <v>528</v>
      </c>
      <c r="X613" s="9" t="s">
        <v>4725</v>
      </c>
      <c r="AC613" s="9" t="s">
        <v>4369</v>
      </c>
      <c r="AD613" s="9" t="s">
        <v>4370</v>
      </c>
      <c r="AE613" s="9" t="s">
        <v>4371</v>
      </c>
    </row>
    <row r="614" customFormat="false" ht="15" hidden="false" customHeight="true" outlineLevel="0" collapsed="false">
      <c r="A614" s="6" t="s">
        <v>2454</v>
      </c>
      <c r="B614" s="6" t="s">
        <v>456</v>
      </c>
      <c r="C614" s="6" t="s">
        <v>461</v>
      </c>
      <c r="D614" s="6" t="n">
        <v>6</v>
      </c>
      <c r="E614" s="9" t="s">
        <v>4454</v>
      </c>
      <c r="F614" s="6" t="n">
        <v>94953</v>
      </c>
      <c r="Q614" s="1" t="str">
        <f aca="false">IF($A614="","",IF(OR(F614="",I614=""),"",F614-I614))</f>
        <v/>
      </c>
      <c r="R614" s="1" t="str">
        <f aca="false">IF($A614="","",IF(Q614="","",Q614+IF(O614="",0,O614)))</f>
        <v/>
      </c>
      <c r="T614" s="1" t="str">
        <f aca="false">IF($A614="","",IF(R614="","",R614-IF(S614="",0,S614)))</f>
        <v/>
      </c>
      <c r="U614" s="1" t="str">
        <f aca="false">IF($A614="","",IF(I614="","",I614-SUM(J614:P614)))</f>
        <v/>
      </c>
      <c r="V614" s="6" t="s">
        <v>4724</v>
      </c>
      <c r="W614" s="9" t="s">
        <v>528</v>
      </c>
      <c r="X614" s="9" t="s">
        <v>4725</v>
      </c>
      <c r="AC614" s="9" t="s">
        <v>4369</v>
      </c>
      <c r="AD614" s="9" t="s">
        <v>4370</v>
      </c>
      <c r="AE614" s="9" t="s">
        <v>4371</v>
      </c>
    </row>
    <row r="615" customFormat="false" ht="15" hidden="false" customHeight="true" outlineLevel="0" collapsed="false">
      <c r="A615" s="6" t="s">
        <v>2457</v>
      </c>
      <c r="B615" s="6" t="s">
        <v>456</v>
      </c>
      <c r="C615" s="6" t="s">
        <v>461</v>
      </c>
      <c r="D615" s="6" t="n">
        <v>6</v>
      </c>
      <c r="E615" s="9" t="s">
        <v>4454</v>
      </c>
      <c r="F615" s="6" t="n">
        <v>331717</v>
      </c>
      <c r="Q615" s="1" t="str">
        <f aca="false">IF($A615="","",IF(OR(F615="",I615=""),"",F615-I615))</f>
        <v/>
      </c>
      <c r="R615" s="1" t="str">
        <f aca="false">IF($A615="","",IF(Q615="","",Q615+IF(O615="",0,O615)))</f>
        <v/>
      </c>
      <c r="T615" s="1" t="str">
        <f aca="false">IF($A615="","",IF(R615="","",R615-IF(S615="",0,S615)))</f>
        <v/>
      </c>
      <c r="U615" s="1" t="str">
        <f aca="false">IF($A615="","",IF(I615="","",I615-SUM(J615:P615)))</f>
        <v/>
      </c>
      <c r="V615" s="6" t="s">
        <v>4724</v>
      </c>
      <c r="W615" s="9" t="s">
        <v>528</v>
      </c>
      <c r="X615" s="9" t="s">
        <v>4725</v>
      </c>
      <c r="AC615" s="9" t="s">
        <v>4369</v>
      </c>
      <c r="AD615" s="9" t="s">
        <v>4370</v>
      </c>
      <c r="AE615" s="9" t="s">
        <v>4371</v>
      </c>
    </row>
    <row r="616" customFormat="false" ht="15" hidden="false" customHeight="true" outlineLevel="0" collapsed="false">
      <c r="A616" s="6" t="s">
        <v>2460</v>
      </c>
      <c r="B616" s="6" t="s">
        <v>456</v>
      </c>
      <c r="C616" s="6" t="s">
        <v>461</v>
      </c>
      <c r="D616" s="6" t="n">
        <v>6</v>
      </c>
      <c r="E616" s="9" t="s">
        <v>4454</v>
      </c>
      <c r="F616" s="6" t="n">
        <v>163593</v>
      </c>
      <c r="Q616" s="1" t="str">
        <f aca="false">IF($A616="","",IF(OR(F616="",I616=""),"",F616-I616))</f>
        <v/>
      </c>
      <c r="R616" s="1" t="str">
        <f aca="false">IF($A616="","",IF(Q616="","",Q616+IF(O616="",0,O616)))</f>
        <v/>
      </c>
      <c r="T616" s="1" t="str">
        <f aca="false">IF($A616="","",IF(R616="","",R616-IF(S616="",0,S616)))</f>
        <v/>
      </c>
      <c r="U616" s="1" t="str">
        <f aca="false">IF($A616="","",IF(I616="","",I616-SUM(J616:P616)))</f>
        <v/>
      </c>
      <c r="V616" s="6" t="s">
        <v>4724</v>
      </c>
      <c r="W616" s="9" t="s">
        <v>528</v>
      </c>
      <c r="X616" s="9" t="s">
        <v>4725</v>
      </c>
      <c r="AC616" s="9" t="s">
        <v>4369</v>
      </c>
      <c r="AD616" s="9" t="s">
        <v>4370</v>
      </c>
      <c r="AE616" s="9" t="s">
        <v>4371</v>
      </c>
    </row>
    <row r="617" customFormat="false" ht="15" hidden="false" customHeight="true" outlineLevel="0" collapsed="false">
      <c r="A617" s="6" t="s">
        <v>2463</v>
      </c>
      <c r="B617" s="6" t="s">
        <v>456</v>
      </c>
      <c r="C617" s="6" t="s">
        <v>461</v>
      </c>
      <c r="D617" s="6" t="n">
        <v>6</v>
      </c>
      <c r="E617" s="9" t="s">
        <v>4454</v>
      </c>
      <c r="F617" s="6" t="n">
        <v>142581</v>
      </c>
      <c r="Q617" s="1" t="str">
        <f aca="false">IF($A617="","",IF(OR(F617="",I617=""),"",F617-I617))</f>
        <v/>
      </c>
      <c r="R617" s="1" t="str">
        <f aca="false">IF($A617="","",IF(Q617="","",Q617+IF(O617="",0,O617)))</f>
        <v/>
      </c>
      <c r="T617" s="1" t="str">
        <f aca="false">IF($A617="","",IF(R617="","",R617-IF(S617="",0,S617)))</f>
        <v/>
      </c>
      <c r="U617" s="1" t="str">
        <f aca="false">IF($A617="","",IF(I617="","",I617-SUM(J617:P617)))</f>
        <v/>
      </c>
      <c r="V617" s="6" t="s">
        <v>4724</v>
      </c>
      <c r="W617" s="9" t="s">
        <v>528</v>
      </c>
      <c r="X617" s="9" t="s">
        <v>4725</v>
      </c>
      <c r="AC617" s="9" t="s">
        <v>4369</v>
      </c>
      <c r="AD617" s="9" t="s">
        <v>4370</v>
      </c>
      <c r="AE617" s="9" t="s">
        <v>4371</v>
      </c>
    </row>
    <row r="618" customFormat="false" ht="15" hidden="false" customHeight="true" outlineLevel="0" collapsed="false">
      <c r="A618" s="6" t="s">
        <v>2466</v>
      </c>
      <c r="B618" s="6" t="s">
        <v>456</v>
      </c>
      <c r="C618" s="6" t="s">
        <v>461</v>
      </c>
      <c r="D618" s="6" t="n">
        <v>6</v>
      </c>
      <c r="E618" s="9" t="s">
        <v>4454</v>
      </c>
      <c r="F618" s="6" t="n">
        <v>90357</v>
      </c>
      <c r="Q618" s="1" t="str">
        <f aca="false">IF($A618="","",IF(OR(F618="",I618=""),"",F618-I618))</f>
        <v/>
      </c>
      <c r="R618" s="1" t="str">
        <f aca="false">IF($A618="","",IF(Q618="","",Q618+IF(O618="",0,O618)))</f>
        <v/>
      </c>
      <c r="T618" s="1" t="str">
        <f aca="false">IF($A618="","",IF(R618="","",R618-IF(S618="",0,S618)))</f>
        <v/>
      </c>
      <c r="U618" s="1" t="str">
        <f aca="false">IF($A618="","",IF(I618="","",I618-SUM(J618:P618)))</f>
        <v/>
      </c>
      <c r="V618" s="6" t="s">
        <v>4724</v>
      </c>
      <c r="W618" s="9" t="s">
        <v>528</v>
      </c>
      <c r="X618" s="9" t="s">
        <v>4725</v>
      </c>
      <c r="AC618" s="9" t="s">
        <v>4369</v>
      </c>
      <c r="AD618" s="9" t="s">
        <v>4370</v>
      </c>
      <c r="AE618" s="9" t="s">
        <v>4371</v>
      </c>
    </row>
    <row r="619" customFormat="false" ht="15" hidden="false" customHeight="true" outlineLevel="0" collapsed="false">
      <c r="A619" s="6" t="s">
        <v>2469</v>
      </c>
      <c r="B619" s="6" t="s">
        <v>456</v>
      </c>
      <c r="C619" s="6" t="s">
        <v>461</v>
      </c>
      <c r="D619" s="6" t="n">
        <v>6</v>
      </c>
      <c r="E619" s="9" t="s">
        <v>4454</v>
      </c>
      <c r="F619" s="6" t="n">
        <v>104622</v>
      </c>
      <c r="Q619" s="1" t="str">
        <f aca="false">IF($A619="","",IF(OR(F619="",I619=""),"",F619-I619))</f>
        <v/>
      </c>
      <c r="R619" s="1" t="str">
        <f aca="false">IF($A619="","",IF(Q619="","",Q619+IF(O619="",0,O619)))</f>
        <v/>
      </c>
      <c r="T619" s="1" t="str">
        <f aca="false">IF($A619="","",IF(R619="","",R619-IF(S619="",0,S619)))</f>
        <v/>
      </c>
      <c r="U619" s="1" t="str">
        <f aca="false">IF($A619="","",IF(I619="","",I619-SUM(J619:P619)))</f>
        <v/>
      </c>
      <c r="V619" s="6" t="s">
        <v>4724</v>
      </c>
      <c r="W619" s="9" t="s">
        <v>528</v>
      </c>
      <c r="X619" s="9" t="s">
        <v>4725</v>
      </c>
      <c r="AC619" s="9" t="s">
        <v>4369</v>
      </c>
      <c r="AD619" s="9" t="s">
        <v>4370</v>
      </c>
      <c r="AE619" s="9" t="s">
        <v>4371</v>
      </c>
    </row>
    <row r="620" customFormat="false" ht="15" hidden="false" customHeight="true" outlineLevel="0" collapsed="false">
      <c r="A620" s="6" t="s">
        <v>2472</v>
      </c>
      <c r="B620" s="6" t="s">
        <v>456</v>
      </c>
      <c r="C620" s="6" t="s">
        <v>461</v>
      </c>
      <c r="D620" s="6" t="n">
        <v>6</v>
      </c>
      <c r="E620" s="9" t="s">
        <v>4454</v>
      </c>
      <c r="F620" s="6" t="n">
        <v>89308</v>
      </c>
      <c r="Q620" s="1" t="str">
        <f aca="false">IF($A620="","",IF(OR(F620="",I620=""),"",F620-I620))</f>
        <v/>
      </c>
      <c r="R620" s="1" t="str">
        <f aca="false">IF($A620="","",IF(Q620="","",Q620+IF(O620="",0,O620)))</f>
        <v/>
      </c>
      <c r="T620" s="1" t="str">
        <f aca="false">IF($A620="","",IF(R620="","",R620-IF(S620="",0,S620)))</f>
        <v/>
      </c>
      <c r="U620" s="1" t="str">
        <f aca="false">IF($A620="","",IF(I620="","",I620-SUM(J620:P620)))</f>
        <v/>
      </c>
      <c r="V620" s="6" t="s">
        <v>4724</v>
      </c>
      <c r="W620" s="9" t="s">
        <v>528</v>
      </c>
      <c r="X620" s="9" t="s">
        <v>4725</v>
      </c>
      <c r="AC620" s="9" t="s">
        <v>4369</v>
      </c>
      <c r="AD620" s="9" t="s">
        <v>4370</v>
      </c>
      <c r="AE620" s="9" t="s">
        <v>4371</v>
      </c>
    </row>
    <row r="621" customFormat="false" ht="15" hidden="false" customHeight="true" outlineLevel="0" collapsed="false">
      <c r="A621" s="6" t="s">
        <v>2475</v>
      </c>
      <c r="B621" s="6" t="s">
        <v>456</v>
      </c>
      <c r="C621" s="6" t="s">
        <v>461</v>
      </c>
      <c r="D621" s="6" t="n">
        <v>6</v>
      </c>
      <c r="E621" s="9" t="s">
        <v>4454</v>
      </c>
      <c r="F621" s="6" t="n">
        <v>145956</v>
      </c>
      <c r="Q621" s="1" t="str">
        <f aca="false">IF($A621="","",IF(OR(F621="",I621=""),"",F621-I621))</f>
        <v/>
      </c>
      <c r="R621" s="1" t="str">
        <f aca="false">IF($A621="","",IF(Q621="","",Q621+IF(O621="",0,O621)))</f>
        <v/>
      </c>
      <c r="T621" s="1" t="str">
        <f aca="false">IF($A621="","",IF(R621="","",R621-IF(S621="",0,S621)))</f>
        <v/>
      </c>
      <c r="U621" s="1" t="str">
        <f aca="false">IF($A621="","",IF(I621="","",I621-SUM(J621:P621)))</f>
        <v/>
      </c>
      <c r="V621" s="6" t="s">
        <v>4724</v>
      </c>
      <c r="W621" s="9" t="s">
        <v>528</v>
      </c>
      <c r="X621" s="9" t="s">
        <v>4725</v>
      </c>
      <c r="AC621" s="9" t="s">
        <v>4369</v>
      </c>
      <c r="AD621" s="9" t="s">
        <v>4370</v>
      </c>
      <c r="AE621" s="9" t="s">
        <v>4371</v>
      </c>
    </row>
    <row r="622" customFormat="false" ht="15" hidden="false" customHeight="true" outlineLevel="0" collapsed="false">
      <c r="A622" s="6" t="s">
        <v>2478</v>
      </c>
      <c r="B622" s="6" t="s">
        <v>456</v>
      </c>
      <c r="C622" s="6" t="s">
        <v>461</v>
      </c>
      <c r="D622" s="6" t="n">
        <v>6</v>
      </c>
      <c r="E622" s="9" t="s">
        <v>4454</v>
      </c>
      <c r="F622" s="6" t="n">
        <v>70957</v>
      </c>
      <c r="Q622" s="1" t="str">
        <f aca="false">IF($A622="","",IF(OR(F622="",I622=""),"",F622-I622))</f>
        <v/>
      </c>
      <c r="R622" s="1" t="str">
        <f aca="false">IF($A622="","",IF(Q622="","",Q622+IF(O622="",0,O622)))</f>
        <v/>
      </c>
      <c r="T622" s="1" t="str">
        <f aca="false">IF($A622="","",IF(R622="","",R622-IF(S622="",0,S622)))</f>
        <v/>
      </c>
      <c r="U622" s="1" t="str">
        <f aca="false">IF($A622="","",IF(I622="","",I622-SUM(J622:P622)))</f>
        <v/>
      </c>
      <c r="V622" s="6" t="s">
        <v>4724</v>
      </c>
      <c r="W622" s="9" t="s">
        <v>528</v>
      </c>
      <c r="X622" s="9" t="s">
        <v>4725</v>
      </c>
      <c r="AC622" s="9" t="s">
        <v>4369</v>
      </c>
      <c r="AD622" s="9" t="s">
        <v>4370</v>
      </c>
      <c r="AE622" s="9" t="s">
        <v>4371</v>
      </c>
    </row>
    <row r="623" customFormat="false" ht="15" hidden="false" customHeight="true" outlineLevel="0" collapsed="false">
      <c r="A623" s="6" t="s">
        <v>2482</v>
      </c>
      <c r="B623" s="6" t="s">
        <v>456</v>
      </c>
      <c r="C623" s="6" t="s">
        <v>461</v>
      </c>
      <c r="D623" s="6" t="n">
        <v>6</v>
      </c>
      <c r="E623" s="9" t="s">
        <v>4726</v>
      </c>
      <c r="Q623" s="1" t="str">
        <f aca="false">IF($A623="","",IF(OR(F623="",I623=""),"",F623-I623))</f>
        <v/>
      </c>
      <c r="R623" s="1" t="str">
        <f aca="false">IF($A623="","",IF(Q623="","",Q623+IF(O623="",0,O623)))</f>
        <v/>
      </c>
      <c r="T623" s="1" t="str">
        <f aca="false">IF($A623="","",IF(R623="","",R623-IF(S623="",0,S623)))</f>
        <v/>
      </c>
      <c r="U623" s="1" t="str">
        <f aca="false">IF($A623="","",IF(I623="","",I623-SUM(J623:P623)))</f>
        <v/>
      </c>
      <c r="V623" s="6" t="s">
        <v>4727</v>
      </c>
      <c r="W623" s="9" t="s">
        <v>528</v>
      </c>
      <c r="X623" s="9" t="s">
        <v>4728</v>
      </c>
      <c r="AC623" s="9" t="s">
        <v>4369</v>
      </c>
      <c r="AD623" s="9" t="s">
        <v>4370</v>
      </c>
      <c r="AE623" s="9" t="s">
        <v>4371</v>
      </c>
    </row>
    <row r="624" customFormat="false" ht="15" hidden="false" customHeight="true" outlineLevel="0" collapsed="false">
      <c r="A624" s="6" t="s">
        <v>2484</v>
      </c>
      <c r="B624" s="6" t="s">
        <v>456</v>
      </c>
      <c r="C624" s="6" t="s">
        <v>461</v>
      </c>
      <c r="D624" s="6" t="n">
        <v>6</v>
      </c>
      <c r="E624" s="9" t="s">
        <v>4454</v>
      </c>
      <c r="F624" s="6" t="n">
        <v>65802</v>
      </c>
      <c r="Q624" s="1" t="str">
        <f aca="false">IF($A624="","",IF(OR(F624="",I624=""),"",F624-I624))</f>
        <v/>
      </c>
      <c r="R624" s="1" t="str">
        <f aca="false">IF($A624="","",IF(Q624="","",Q624+IF(O624="",0,O624)))</f>
        <v/>
      </c>
      <c r="T624" s="1" t="str">
        <f aca="false">IF($A624="","",IF(R624="","",R624-IF(S624="",0,S624)))</f>
        <v/>
      </c>
      <c r="U624" s="1" t="str">
        <f aca="false">IF($A624="","",IF(I624="","",I624-SUM(J624:P624)))</f>
        <v/>
      </c>
      <c r="V624" s="6" t="s">
        <v>4724</v>
      </c>
      <c r="W624" s="9" t="s">
        <v>528</v>
      </c>
      <c r="X624" s="9" t="s">
        <v>4725</v>
      </c>
      <c r="AC624" s="9" t="s">
        <v>4369</v>
      </c>
      <c r="AD624" s="9" t="s">
        <v>4370</v>
      </c>
      <c r="AE624" s="9" t="s">
        <v>4371</v>
      </c>
    </row>
    <row r="625" customFormat="false" ht="15" hidden="false" customHeight="true" outlineLevel="0" collapsed="false">
      <c r="A625" s="6" t="s">
        <v>2487</v>
      </c>
      <c r="B625" s="6" t="s">
        <v>456</v>
      </c>
      <c r="C625" s="6" t="s">
        <v>461</v>
      </c>
      <c r="D625" s="6" t="n">
        <v>6</v>
      </c>
      <c r="E625" s="9" t="s">
        <v>4454</v>
      </c>
      <c r="F625" s="6" t="n">
        <v>71319</v>
      </c>
      <c r="Q625" s="1" t="str">
        <f aca="false">IF($A625="","",IF(OR(F625="",I625=""),"",F625-I625))</f>
        <v/>
      </c>
      <c r="R625" s="1" t="str">
        <f aca="false">IF($A625="","",IF(Q625="","",Q625+IF(O625="",0,O625)))</f>
        <v/>
      </c>
      <c r="T625" s="1" t="str">
        <f aca="false">IF($A625="","",IF(R625="","",R625-IF(S625="",0,S625)))</f>
        <v/>
      </c>
      <c r="U625" s="1" t="str">
        <f aca="false">IF($A625="","",IF(I625="","",I625-SUM(J625:P625)))</f>
        <v/>
      </c>
      <c r="V625" s="6" t="s">
        <v>4724</v>
      </c>
      <c r="W625" s="9" t="s">
        <v>528</v>
      </c>
      <c r="X625" s="9" t="s">
        <v>4725</v>
      </c>
      <c r="AC625" s="9" t="s">
        <v>4369</v>
      </c>
      <c r="AD625" s="9" t="s">
        <v>4370</v>
      </c>
      <c r="AE625" s="9" t="s">
        <v>4371</v>
      </c>
    </row>
    <row r="626" customFormat="false" ht="15" hidden="false" customHeight="true" outlineLevel="0" collapsed="false">
      <c r="A626" s="6" t="s">
        <v>2491</v>
      </c>
      <c r="B626" s="6" t="s">
        <v>456</v>
      </c>
      <c r="C626" s="6" t="s">
        <v>461</v>
      </c>
      <c r="D626" s="6" t="n">
        <v>6</v>
      </c>
      <c r="E626" s="9" t="s">
        <v>4454</v>
      </c>
      <c r="F626" s="6" t="n">
        <v>86262</v>
      </c>
      <c r="Q626" s="1" t="str">
        <f aca="false">IF($A626="","",IF(OR(F626="",I626=""),"",F626-I626))</f>
        <v/>
      </c>
      <c r="R626" s="1" t="str">
        <f aca="false">IF($A626="","",IF(Q626="","",Q626+IF(O626="",0,O626)))</f>
        <v/>
      </c>
      <c r="T626" s="1" t="str">
        <f aca="false">IF($A626="","",IF(R626="","",R626-IF(S626="",0,S626)))</f>
        <v/>
      </c>
      <c r="U626" s="1" t="str">
        <f aca="false">IF($A626="","",IF(I626="","",I626-SUM(J626:P626)))</f>
        <v/>
      </c>
      <c r="V626" s="6" t="s">
        <v>4724</v>
      </c>
      <c r="W626" s="9" t="s">
        <v>528</v>
      </c>
      <c r="X626" s="9" t="s">
        <v>4725</v>
      </c>
      <c r="AC626" s="9" t="s">
        <v>4369</v>
      </c>
      <c r="AD626" s="9" t="s">
        <v>4370</v>
      </c>
      <c r="AE626" s="9" t="s">
        <v>4371</v>
      </c>
    </row>
    <row r="627" customFormat="false" ht="15" hidden="false" customHeight="true" outlineLevel="0" collapsed="false">
      <c r="A627" s="6" t="s">
        <v>2494</v>
      </c>
      <c r="B627" s="6" t="s">
        <v>456</v>
      </c>
      <c r="C627" s="6" t="s">
        <v>461</v>
      </c>
      <c r="D627" s="6" t="n">
        <v>6</v>
      </c>
      <c r="E627" s="9" t="s">
        <v>4454</v>
      </c>
      <c r="F627" s="6" t="n">
        <v>79962</v>
      </c>
      <c r="Q627" s="1" t="str">
        <f aca="false">IF($A627="","",IF(OR(F627="",I627=""),"",F627-I627))</f>
        <v/>
      </c>
      <c r="R627" s="1" t="str">
        <f aca="false">IF($A627="","",IF(Q627="","",Q627+IF(O627="",0,O627)))</f>
        <v/>
      </c>
      <c r="T627" s="1" t="str">
        <f aca="false">IF($A627="","",IF(R627="","",R627-IF(S627="",0,S627)))</f>
        <v/>
      </c>
      <c r="U627" s="1" t="str">
        <f aca="false">IF($A627="","",IF(I627="","",I627-SUM(J627:P627)))</f>
        <v/>
      </c>
      <c r="V627" s="6" t="s">
        <v>4724</v>
      </c>
      <c r="W627" s="9" t="s">
        <v>528</v>
      </c>
      <c r="X627" s="9" t="s">
        <v>4725</v>
      </c>
      <c r="AC627" s="9" t="s">
        <v>4369</v>
      </c>
      <c r="AD627" s="9" t="s">
        <v>4370</v>
      </c>
      <c r="AE627" s="9" t="s">
        <v>4371</v>
      </c>
    </row>
    <row r="628" customFormat="false" ht="15" hidden="false" customHeight="true" outlineLevel="0" collapsed="false">
      <c r="A628" s="6" t="s">
        <v>2497</v>
      </c>
      <c r="B628" s="6" t="s">
        <v>456</v>
      </c>
      <c r="C628" s="6" t="s">
        <v>461</v>
      </c>
      <c r="D628" s="6" t="n">
        <v>6</v>
      </c>
      <c r="E628" s="9" t="s">
        <v>4454</v>
      </c>
      <c r="F628" s="6" t="n">
        <v>101161</v>
      </c>
      <c r="Q628" s="1" t="str">
        <f aca="false">IF($A628="","",IF(OR(F628="",I628=""),"",F628-I628))</f>
        <v/>
      </c>
      <c r="R628" s="1" t="str">
        <f aca="false">IF($A628="","",IF(Q628="","",Q628+IF(O628="",0,O628)))</f>
        <v/>
      </c>
      <c r="T628" s="1" t="str">
        <f aca="false">IF($A628="","",IF(R628="","",R628-IF(S628="",0,S628)))</f>
        <v/>
      </c>
      <c r="U628" s="1" t="str">
        <f aca="false">IF($A628="","",IF(I628="","",I628-SUM(J628:P628)))</f>
        <v/>
      </c>
      <c r="V628" s="6" t="s">
        <v>4724</v>
      </c>
      <c r="W628" s="9" t="s">
        <v>528</v>
      </c>
      <c r="X628" s="9" t="s">
        <v>4725</v>
      </c>
      <c r="AC628" s="9" t="s">
        <v>4369</v>
      </c>
      <c r="AD628" s="9" t="s">
        <v>4370</v>
      </c>
      <c r="AE628" s="9" t="s">
        <v>4371</v>
      </c>
    </row>
    <row r="629" customFormat="false" ht="15" hidden="false" customHeight="true" outlineLevel="0" collapsed="false">
      <c r="A629" s="6" t="s">
        <v>2500</v>
      </c>
      <c r="B629" s="6" t="s">
        <v>456</v>
      </c>
      <c r="C629" s="6" t="s">
        <v>461</v>
      </c>
      <c r="D629" s="6" t="n">
        <v>6</v>
      </c>
      <c r="E629" s="9" t="s">
        <v>4454</v>
      </c>
      <c r="F629" s="6" t="n">
        <v>92508</v>
      </c>
      <c r="Q629" s="1" t="str">
        <f aca="false">IF($A629="","",IF(OR(F629="",I629=""),"",F629-I629))</f>
        <v/>
      </c>
      <c r="R629" s="1" t="str">
        <f aca="false">IF($A629="","",IF(Q629="","",Q629+IF(O629="",0,O629)))</f>
        <v/>
      </c>
      <c r="T629" s="1" t="str">
        <f aca="false">IF($A629="","",IF(R629="","",R629-IF(S629="",0,S629)))</f>
        <v/>
      </c>
      <c r="U629" s="1" t="str">
        <f aca="false">IF($A629="","",IF(I629="","",I629-SUM(J629:P629)))</f>
        <v/>
      </c>
      <c r="V629" s="6" t="s">
        <v>4724</v>
      </c>
      <c r="W629" s="9" t="s">
        <v>528</v>
      </c>
      <c r="X629" s="9" t="s">
        <v>4725</v>
      </c>
      <c r="AC629" s="9" t="s">
        <v>4369</v>
      </c>
      <c r="AD629" s="9" t="s">
        <v>4370</v>
      </c>
      <c r="AE629" s="9" t="s">
        <v>4371</v>
      </c>
    </row>
    <row r="630" customFormat="false" ht="15" hidden="false" customHeight="true" outlineLevel="0" collapsed="false">
      <c r="A630" s="6" t="s">
        <v>2503</v>
      </c>
      <c r="B630" s="6" t="s">
        <v>456</v>
      </c>
      <c r="C630" s="6" t="s">
        <v>461</v>
      </c>
      <c r="D630" s="6" t="n">
        <v>6</v>
      </c>
      <c r="E630" s="9" t="s">
        <v>4454</v>
      </c>
      <c r="F630" s="6" t="n">
        <v>118042</v>
      </c>
      <c r="Q630" s="1" t="str">
        <f aca="false">IF($A630="","",IF(OR(F630="",I630=""),"",F630-I630))</f>
        <v/>
      </c>
      <c r="R630" s="1" t="str">
        <f aca="false">IF($A630="","",IF(Q630="","",Q630+IF(O630="",0,O630)))</f>
        <v/>
      </c>
      <c r="T630" s="1" t="str">
        <f aca="false">IF($A630="","",IF(R630="","",R630-IF(S630="",0,S630)))</f>
        <v/>
      </c>
      <c r="U630" s="1" t="str">
        <f aca="false">IF($A630="","",IF(I630="","",I630-SUM(J630:P630)))</f>
        <v/>
      </c>
      <c r="V630" s="6" t="s">
        <v>4724</v>
      </c>
      <c r="W630" s="9" t="s">
        <v>528</v>
      </c>
      <c r="X630" s="9" t="s">
        <v>4725</v>
      </c>
      <c r="AC630" s="9" t="s">
        <v>4369</v>
      </c>
      <c r="AD630" s="9" t="s">
        <v>4370</v>
      </c>
      <c r="AE630" s="9" t="s">
        <v>4371</v>
      </c>
    </row>
    <row r="631" customFormat="false" ht="15" hidden="false" customHeight="true" outlineLevel="0" collapsed="false">
      <c r="A631" s="6" t="s">
        <v>2506</v>
      </c>
      <c r="B631" s="6" t="s">
        <v>456</v>
      </c>
      <c r="C631" s="6" t="s">
        <v>461</v>
      </c>
      <c r="D631" s="6" t="n">
        <v>6</v>
      </c>
      <c r="E631" s="9" t="s">
        <v>4454</v>
      </c>
      <c r="F631" s="6" t="n">
        <v>69951</v>
      </c>
      <c r="Q631" s="1" t="str">
        <f aca="false">IF($A631="","",IF(OR(F631="",I631=""),"",F631-I631))</f>
        <v/>
      </c>
      <c r="R631" s="1" t="str">
        <f aca="false">IF($A631="","",IF(Q631="","",Q631+IF(O631="",0,O631)))</f>
        <v/>
      </c>
      <c r="T631" s="1" t="str">
        <f aca="false">IF($A631="","",IF(R631="","",R631-IF(S631="",0,S631)))</f>
        <v/>
      </c>
      <c r="U631" s="1" t="str">
        <f aca="false">IF($A631="","",IF(I631="","",I631-SUM(J631:P631)))</f>
        <v/>
      </c>
      <c r="V631" s="6" t="s">
        <v>4724</v>
      </c>
      <c r="W631" s="9" t="s">
        <v>528</v>
      </c>
      <c r="X631" s="9" t="s">
        <v>4725</v>
      </c>
      <c r="AC631" s="9" t="s">
        <v>4369</v>
      </c>
      <c r="AD631" s="9" t="s">
        <v>4370</v>
      </c>
      <c r="AE631" s="9" t="s">
        <v>4371</v>
      </c>
    </row>
    <row r="632" customFormat="false" ht="15" hidden="false" customHeight="true" outlineLevel="0" collapsed="false">
      <c r="A632" s="6" t="s">
        <v>2509</v>
      </c>
      <c r="B632" s="6" t="s">
        <v>456</v>
      </c>
      <c r="C632" s="6" t="s">
        <v>461</v>
      </c>
      <c r="D632" s="6" t="n">
        <v>6</v>
      </c>
      <c r="E632" s="9" t="s">
        <v>4454</v>
      </c>
      <c r="F632" s="6" t="n">
        <v>73647</v>
      </c>
      <c r="Q632" s="1" t="str">
        <f aca="false">IF($A632="","",IF(OR(F632="",I632=""),"",F632-I632))</f>
        <v/>
      </c>
      <c r="R632" s="1" t="str">
        <f aca="false">IF($A632="","",IF(Q632="","",Q632+IF(O632="",0,O632)))</f>
        <v/>
      </c>
      <c r="T632" s="1" t="str">
        <f aca="false">IF($A632="","",IF(R632="","",R632-IF(S632="",0,S632)))</f>
        <v/>
      </c>
      <c r="U632" s="1" t="str">
        <f aca="false">IF($A632="","",IF(I632="","",I632-SUM(J632:P632)))</f>
        <v/>
      </c>
      <c r="V632" s="6" t="s">
        <v>4724</v>
      </c>
      <c r="W632" s="9" t="s">
        <v>528</v>
      </c>
      <c r="X632" s="9" t="s">
        <v>4725</v>
      </c>
      <c r="AC632" s="9" t="s">
        <v>4369</v>
      </c>
      <c r="AD632" s="9" t="s">
        <v>4370</v>
      </c>
      <c r="AE632" s="9" t="s">
        <v>4371</v>
      </c>
    </row>
    <row r="633" customFormat="false" ht="15" hidden="false" customHeight="true" outlineLevel="0" collapsed="false">
      <c r="A633" s="6" t="s">
        <v>2513</v>
      </c>
      <c r="B633" s="6" t="s">
        <v>456</v>
      </c>
      <c r="C633" s="6" t="s">
        <v>461</v>
      </c>
      <c r="D633" s="6" t="n">
        <v>6</v>
      </c>
      <c r="E633" s="9" t="s">
        <v>4454</v>
      </c>
      <c r="F633" s="6" t="n">
        <v>215097</v>
      </c>
      <c r="Q633" s="1" t="str">
        <f aca="false">IF($A633="","",IF(OR(F633="",I633=""),"",F633-I633))</f>
        <v/>
      </c>
      <c r="R633" s="1" t="str">
        <f aca="false">IF($A633="","",IF(Q633="","",Q633+IF(O633="",0,O633)))</f>
        <v/>
      </c>
      <c r="T633" s="1" t="str">
        <f aca="false">IF($A633="","",IF(R633="","",R633-IF(S633="",0,S633)))</f>
        <v/>
      </c>
      <c r="U633" s="1" t="str">
        <f aca="false">IF($A633="","",IF(I633="","",I633-SUM(J633:P633)))</f>
        <v/>
      </c>
      <c r="V633" s="6" t="s">
        <v>4724</v>
      </c>
      <c r="W633" s="9" t="s">
        <v>528</v>
      </c>
      <c r="X633" s="9" t="s">
        <v>4725</v>
      </c>
      <c r="AC633" s="9" t="s">
        <v>4369</v>
      </c>
      <c r="AD633" s="9" t="s">
        <v>4370</v>
      </c>
      <c r="AE633" s="9" t="s">
        <v>4371</v>
      </c>
    </row>
    <row r="634" customFormat="false" ht="15" hidden="false" customHeight="true" outlineLevel="0" collapsed="false">
      <c r="A634" s="6" t="s">
        <v>2516</v>
      </c>
      <c r="B634" s="6" t="s">
        <v>456</v>
      </c>
      <c r="C634" s="6" t="s">
        <v>461</v>
      </c>
      <c r="D634" s="6" t="n">
        <v>6</v>
      </c>
      <c r="E634" s="9" t="s">
        <v>4454</v>
      </c>
      <c r="F634" s="6" t="n">
        <v>144645</v>
      </c>
      <c r="Q634" s="1" t="str">
        <f aca="false">IF($A634="","",IF(OR(F634="",I634=""),"",F634-I634))</f>
        <v/>
      </c>
      <c r="R634" s="1" t="str">
        <f aca="false">IF($A634="","",IF(Q634="","",Q634+IF(O634="",0,O634)))</f>
        <v/>
      </c>
      <c r="T634" s="1" t="str">
        <f aca="false">IF($A634="","",IF(R634="","",R634-IF(S634="",0,S634)))</f>
        <v/>
      </c>
      <c r="U634" s="1" t="str">
        <f aca="false">IF($A634="","",IF(I634="","",I634-SUM(J634:P634)))</f>
        <v/>
      </c>
      <c r="V634" s="6" t="s">
        <v>4724</v>
      </c>
      <c r="W634" s="9" t="s">
        <v>528</v>
      </c>
      <c r="X634" s="9" t="s">
        <v>4725</v>
      </c>
      <c r="AC634" s="9" t="s">
        <v>4369</v>
      </c>
      <c r="AD634" s="9" t="s">
        <v>4370</v>
      </c>
      <c r="AE634" s="9" t="s">
        <v>4371</v>
      </c>
    </row>
    <row r="635" customFormat="false" ht="15" hidden="false" customHeight="true" outlineLevel="0" collapsed="false">
      <c r="A635" s="6" t="s">
        <v>2519</v>
      </c>
      <c r="B635" s="6" t="s">
        <v>456</v>
      </c>
      <c r="C635" s="6" t="s">
        <v>461</v>
      </c>
      <c r="D635" s="6" t="n">
        <v>6</v>
      </c>
      <c r="E635" s="9" t="s">
        <v>4454</v>
      </c>
      <c r="F635" s="6" t="n">
        <v>86956</v>
      </c>
      <c r="Q635" s="1" t="str">
        <f aca="false">IF($A635="","",IF(OR(F635="",I635=""),"",F635-I635))</f>
        <v/>
      </c>
      <c r="R635" s="1" t="str">
        <f aca="false">IF($A635="","",IF(Q635="","",Q635+IF(O635="",0,O635)))</f>
        <v/>
      </c>
      <c r="T635" s="1" t="str">
        <f aca="false">IF($A635="","",IF(R635="","",R635-IF(S635="",0,S635)))</f>
        <v/>
      </c>
      <c r="U635" s="1" t="str">
        <f aca="false">IF($A635="","",IF(I635="","",I635-SUM(J635:P635)))</f>
        <v/>
      </c>
      <c r="V635" s="6" t="s">
        <v>4724</v>
      </c>
      <c r="W635" s="9" t="s">
        <v>528</v>
      </c>
      <c r="X635" s="9" t="s">
        <v>4725</v>
      </c>
      <c r="AC635" s="9" t="s">
        <v>4369</v>
      </c>
      <c r="AD635" s="9" t="s">
        <v>4370</v>
      </c>
      <c r="AE635" s="9" t="s">
        <v>4371</v>
      </c>
    </row>
    <row r="636" customFormat="false" ht="15" hidden="false" customHeight="true" outlineLevel="0" collapsed="false">
      <c r="A636" s="6" t="s">
        <v>2522</v>
      </c>
      <c r="B636" s="6" t="s">
        <v>456</v>
      </c>
      <c r="C636" s="6" t="s">
        <v>461</v>
      </c>
      <c r="D636" s="6" t="n">
        <v>6</v>
      </c>
      <c r="E636" s="9" t="s">
        <v>4454</v>
      </c>
      <c r="F636" s="6" t="n">
        <v>17045</v>
      </c>
      <c r="Q636" s="1" t="str">
        <f aca="false">IF($A636="","",IF(OR(F636="",I636=""),"",F636-I636))</f>
        <v/>
      </c>
      <c r="R636" s="1" t="str">
        <f aca="false">IF($A636="","",IF(Q636="","",Q636+IF(O636="",0,O636)))</f>
        <v/>
      </c>
      <c r="T636" s="1" t="str">
        <f aca="false">IF($A636="","",IF(R636="","",R636-IF(S636="",0,S636)))</f>
        <v/>
      </c>
      <c r="U636" s="1" t="str">
        <f aca="false">IF($A636="","",IF(I636="","",I636-SUM(J636:P636)))</f>
        <v/>
      </c>
      <c r="V636" s="6" t="s">
        <v>4724</v>
      </c>
      <c r="W636" s="9" t="s">
        <v>528</v>
      </c>
      <c r="X636" s="9" t="s">
        <v>4725</v>
      </c>
      <c r="AC636" s="9" t="s">
        <v>4369</v>
      </c>
      <c r="AD636" s="9" t="s">
        <v>4370</v>
      </c>
      <c r="AE636" s="9" t="s">
        <v>4371</v>
      </c>
    </row>
    <row r="637" customFormat="false" ht="15" hidden="false" customHeight="true" outlineLevel="0" collapsed="false">
      <c r="A637" s="6" t="s">
        <v>2525</v>
      </c>
      <c r="B637" s="6" t="s">
        <v>456</v>
      </c>
      <c r="C637" s="6" t="s">
        <v>461</v>
      </c>
      <c r="D637" s="6" t="n">
        <v>6</v>
      </c>
      <c r="E637" s="9" t="s">
        <v>4454</v>
      </c>
      <c r="F637" s="6" t="n">
        <v>78164</v>
      </c>
      <c r="Q637" s="1" t="str">
        <f aca="false">IF($A637="","",IF(OR(F637="",I637=""),"",F637-I637))</f>
        <v/>
      </c>
      <c r="R637" s="1" t="str">
        <f aca="false">IF($A637="","",IF(Q637="","",Q637+IF(O637="",0,O637)))</f>
        <v/>
      </c>
      <c r="T637" s="1" t="str">
        <f aca="false">IF($A637="","",IF(R637="","",R637-IF(S637="",0,S637)))</f>
        <v/>
      </c>
      <c r="U637" s="1" t="str">
        <f aca="false">IF($A637="","",IF(I637="","",I637-SUM(J637:P637)))</f>
        <v/>
      </c>
      <c r="V637" s="6" t="s">
        <v>4724</v>
      </c>
      <c r="W637" s="9" t="s">
        <v>528</v>
      </c>
      <c r="X637" s="9" t="s">
        <v>4725</v>
      </c>
      <c r="AC637" s="9" t="s">
        <v>4369</v>
      </c>
      <c r="AD637" s="9" t="s">
        <v>4370</v>
      </c>
      <c r="AE637" s="9" t="s">
        <v>4371</v>
      </c>
    </row>
    <row r="638" customFormat="false" ht="15" hidden="false" customHeight="true" outlineLevel="0" collapsed="false">
      <c r="A638" s="6" t="s">
        <v>2528</v>
      </c>
      <c r="B638" s="6" t="s">
        <v>456</v>
      </c>
      <c r="C638" s="6" t="s">
        <v>461</v>
      </c>
      <c r="D638" s="6" t="n">
        <v>6</v>
      </c>
      <c r="E638" s="9" t="s">
        <v>4454</v>
      </c>
      <c r="F638" s="6" t="n">
        <v>120306</v>
      </c>
      <c r="Q638" s="1" t="str">
        <f aca="false">IF($A638="","",IF(OR(F638="",I638=""),"",F638-I638))</f>
        <v/>
      </c>
      <c r="R638" s="1" t="str">
        <f aca="false">IF($A638="","",IF(Q638="","",Q638+IF(O638="",0,O638)))</f>
        <v/>
      </c>
      <c r="T638" s="1" t="str">
        <f aca="false">IF($A638="","",IF(R638="","",R638-IF(S638="",0,S638)))</f>
        <v/>
      </c>
      <c r="U638" s="1" t="str">
        <f aca="false">IF($A638="","",IF(I638="","",I638-SUM(J638:P638)))</f>
        <v/>
      </c>
      <c r="V638" s="6" t="s">
        <v>4724</v>
      </c>
      <c r="W638" s="9" t="s">
        <v>528</v>
      </c>
      <c r="X638" s="9" t="s">
        <v>4725</v>
      </c>
      <c r="AC638" s="9" t="s">
        <v>4369</v>
      </c>
      <c r="AD638" s="9" t="s">
        <v>4370</v>
      </c>
      <c r="AE638" s="9" t="s">
        <v>4371</v>
      </c>
    </row>
    <row r="639" customFormat="false" ht="15" hidden="false" customHeight="true" outlineLevel="0" collapsed="false">
      <c r="A639" s="6" t="s">
        <v>2531</v>
      </c>
      <c r="B639" s="6" t="s">
        <v>456</v>
      </c>
      <c r="C639" s="6" t="s">
        <v>461</v>
      </c>
      <c r="D639" s="6" t="n">
        <v>6</v>
      </c>
      <c r="E639" s="9" t="s">
        <v>4454</v>
      </c>
      <c r="F639" s="6" t="n">
        <v>51946</v>
      </c>
      <c r="Q639" s="1" t="str">
        <f aca="false">IF($A639="","",IF(OR(F639="",I639=""),"",F639-I639))</f>
        <v/>
      </c>
      <c r="R639" s="1" t="str">
        <f aca="false">IF($A639="","",IF(Q639="","",Q639+IF(O639="",0,O639)))</f>
        <v/>
      </c>
      <c r="T639" s="1" t="str">
        <f aca="false">IF($A639="","",IF(R639="","",R639-IF(S639="",0,S639)))</f>
        <v/>
      </c>
      <c r="U639" s="1" t="str">
        <f aca="false">IF($A639="","",IF(I639="","",I639-SUM(J639:P639)))</f>
        <v/>
      </c>
      <c r="V639" s="6" t="s">
        <v>4724</v>
      </c>
      <c r="W639" s="9" t="s">
        <v>528</v>
      </c>
      <c r="X639" s="9" t="s">
        <v>4725</v>
      </c>
      <c r="AC639" s="9" t="s">
        <v>4369</v>
      </c>
      <c r="AD639" s="9" t="s">
        <v>4370</v>
      </c>
      <c r="AE639" s="9" t="s">
        <v>4371</v>
      </c>
    </row>
    <row r="640" customFormat="false" ht="15" hidden="false" customHeight="true" outlineLevel="0" collapsed="false">
      <c r="A640" s="6" t="s">
        <v>2534</v>
      </c>
      <c r="B640" s="6" t="s">
        <v>456</v>
      </c>
      <c r="C640" s="6" t="s">
        <v>461</v>
      </c>
      <c r="D640" s="6" t="n">
        <v>6</v>
      </c>
      <c r="E640" s="9" t="s">
        <v>4454</v>
      </c>
      <c r="F640" s="6" t="n">
        <v>107356</v>
      </c>
      <c r="Q640" s="1" t="str">
        <f aca="false">IF($A640="","",IF(OR(F640="",I640=""),"",F640-I640))</f>
        <v/>
      </c>
      <c r="R640" s="1" t="str">
        <f aca="false">IF($A640="","",IF(Q640="","",Q640+IF(O640="",0,O640)))</f>
        <v/>
      </c>
      <c r="T640" s="1" t="str">
        <f aca="false">IF($A640="","",IF(R640="","",R640-IF(S640="",0,S640)))</f>
        <v/>
      </c>
      <c r="U640" s="1" t="str">
        <f aca="false">IF($A640="","",IF(I640="","",I640-SUM(J640:P640)))</f>
        <v/>
      </c>
      <c r="V640" s="6" t="s">
        <v>4724</v>
      </c>
      <c r="W640" s="9" t="s">
        <v>528</v>
      </c>
      <c r="X640" s="9" t="s">
        <v>4725</v>
      </c>
      <c r="AC640" s="9" t="s">
        <v>4369</v>
      </c>
      <c r="AD640" s="9" t="s">
        <v>4370</v>
      </c>
      <c r="AE640" s="9" t="s">
        <v>4371</v>
      </c>
    </row>
    <row r="641" customFormat="false" ht="15" hidden="false" customHeight="true" outlineLevel="0" collapsed="false">
      <c r="A641" s="6" t="s">
        <v>2537</v>
      </c>
      <c r="B641" s="6" t="s">
        <v>456</v>
      </c>
      <c r="C641" s="6" t="s">
        <v>461</v>
      </c>
      <c r="D641" s="6" t="n">
        <v>6</v>
      </c>
      <c r="E641" s="9" t="s">
        <v>4454</v>
      </c>
      <c r="F641" s="6" t="n">
        <v>158639</v>
      </c>
      <c r="Q641" s="1" t="str">
        <f aca="false">IF($A641="","",IF(OR(F641="",I641=""),"",F641-I641))</f>
        <v/>
      </c>
      <c r="R641" s="1" t="str">
        <f aca="false">IF($A641="","",IF(Q641="","",Q641+IF(O641="",0,O641)))</f>
        <v/>
      </c>
      <c r="T641" s="1" t="str">
        <f aca="false">IF($A641="","",IF(R641="","",R641-IF(S641="",0,S641)))</f>
        <v/>
      </c>
      <c r="U641" s="1" t="str">
        <f aca="false">IF($A641="","",IF(I641="","",I641-SUM(J641:P641)))</f>
        <v/>
      </c>
      <c r="V641" s="6" t="s">
        <v>4724</v>
      </c>
      <c r="W641" s="9" t="s">
        <v>528</v>
      </c>
      <c r="X641" s="9" t="s">
        <v>4725</v>
      </c>
      <c r="AC641" s="9" t="s">
        <v>4369</v>
      </c>
      <c r="AD641" s="9" t="s">
        <v>4370</v>
      </c>
      <c r="AE641" s="9" t="s">
        <v>4371</v>
      </c>
    </row>
    <row r="642" customFormat="false" ht="15" hidden="false" customHeight="true" outlineLevel="0" collapsed="false">
      <c r="A642" s="6" t="s">
        <v>2540</v>
      </c>
      <c r="B642" s="6" t="s">
        <v>456</v>
      </c>
      <c r="C642" s="6" t="s">
        <v>461</v>
      </c>
      <c r="D642" s="6" t="n">
        <v>6</v>
      </c>
      <c r="E642" s="9" t="s">
        <v>4454</v>
      </c>
      <c r="F642" s="6" t="n">
        <v>51789</v>
      </c>
      <c r="Q642" s="1" t="str">
        <f aca="false">IF($A642="","",IF(OR(F642="",I642=""),"",F642-I642))</f>
        <v/>
      </c>
      <c r="R642" s="1" t="str">
        <f aca="false">IF($A642="","",IF(Q642="","",Q642+IF(O642="",0,O642)))</f>
        <v/>
      </c>
      <c r="T642" s="1" t="str">
        <f aca="false">IF($A642="","",IF(R642="","",R642-IF(S642="",0,S642)))</f>
        <v/>
      </c>
      <c r="U642" s="1" t="str">
        <f aca="false">IF($A642="","",IF(I642="","",I642-SUM(J642:P642)))</f>
        <v/>
      </c>
      <c r="V642" s="6" t="s">
        <v>4724</v>
      </c>
      <c r="W642" s="9" t="s">
        <v>528</v>
      </c>
      <c r="X642" s="9" t="s">
        <v>4725</v>
      </c>
      <c r="AC642" s="9" t="s">
        <v>4369</v>
      </c>
      <c r="AD642" s="9" t="s">
        <v>4370</v>
      </c>
      <c r="AE642" s="9" t="s">
        <v>4371</v>
      </c>
    </row>
    <row r="643" customFormat="false" ht="15" hidden="false" customHeight="true" outlineLevel="0" collapsed="false">
      <c r="A643" s="6" t="s">
        <v>2543</v>
      </c>
      <c r="B643" s="6" t="s">
        <v>456</v>
      </c>
      <c r="C643" s="6" t="s">
        <v>461</v>
      </c>
      <c r="D643" s="6" t="n">
        <v>6</v>
      </c>
      <c r="E643" s="9" t="s">
        <v>4454</v>
      </c>
      <c r="F643" s="6" t="n">
        <v>137300</v>
      </c>
      <c r="Q643" s="1" t="str">
        <f aca="false">IF($A643="","",IF(OR(F643="",I643=""),"",F643-I643))</f>
        <v/>
      </c>
      <c r="R643" s="1" t="str">
        <f aca="false">IF($A643="","",IF(Q643="","",Q643+IF(O643="",0,O643)))</f>
        <v/>
      </c>
      <c r="T643" s="1" t="str">
        <f aca="false">IF($A643="","",IF(R643="","",R643-IF(S643="",0,S643)))</f>
        <v/>
      </c>
      <c r="U643" s="1" t="str">
        <f aca="false">IF($A643="","",IF(I643="","",I643-SUM(J643:P643)))</f>
        <v/>
      </c>
      <c r="V643" s="6" t="s">
        <v>4724</v>
      </c>
      <c r="W643" s="9" t="s">
        <v>528</v>
      </c>
      <c r="X643" s="9" t="s">
        <v>4725</v>
      </c>
      <c r="AC643" s="9" t="s">
        <v>4369</v>
      </c>
      <c r="AD643" s="9" t="s">
        <v>4370</v>
      </c>
      <c r="AE643" s="9" t="s">
        <v>4371</v>
      </c>
    </row>
    <row r="644" customFormat="false" ht="15" hidden="false" customHeight="true" outlineLevel="0" collapsed="false">
      <c r="A644" s="6" t="s">
        <v>2546</v>
      </c>
      <c r="B644" s="6" t="s">
        <v>456</v>
      </c>
      <c r="C644" s="6" t="s">
        <v>461</v>
      </c>
      <c r="D644" s="6" t="n">
        <v>6</v>
      </c>
      <c r="E644" s="9" t="s">
        <v>4454</v>
      </c>
      <c r="F644" s="6" t="n">
        <v>90178</v>
      </c>
      <c r="Q644" s="1" t="str">
        <f aca="false">IF($A644="","",IF(OR(F644="",I644=""),"",F644-I644))</f>
        <v/>
      </c>
      <c r="R644" s="1" t="str">
        <f aca="false">IF($A644="","",IF(Q644="","",Q644+IF(O644="",0,O644)))</f>
        <v/>
      </c>
      <c r="T644" s="1" t="str">
        <f aca="false">IF($A644="","",IF(R644="","",R644-IF(S644="",0,S644)))</f>
        <v/>
      </c>
      <c r="U644" s="1" t="str">
        <f aca="false">IF($A644="","",IF(I644="","",I644-SUM(J644:P644)))</f>
        <v/>
      </c>
      <c r="V644" s="6" t="s">
        <v>4724</v>
      </c>
      <c r="W644" s="9" t="s">
        <v>528</v>
      </c>
      <c r="X644" s="9" t="s">
        <v>4725</v>
      </c>
      <c r="AC644" s="9" t="s">
        <v>4369</v>
      </c>
      <c r="AD644" s="9" t="s">
        <v>4370</v>
      </c>
      <c r="AE644" s="9" t="s">
        <v>4371</v>
      </c>
    </row>
    <row r="645" customFormat="false" ht="15" hidden="false" customHeight="true" outlineLevel="0" collapsed="false">
      <c r="A645" s="6" t="s">
        <v>2549</v>
      </c>
      <c r="B645" s="6" t="s">
        <v>456</v>
      </c>
      <c r="C645" s="6" t="s">
        <v>461</v>
      </c>
      <c r="D645" s="6" t="n">
        <v>6</v>
      </c>
      <c r="E645" s="9" t="s">
        <v>4454</v>
      </c>
      <c r="F645" s="6" t="n">
        <v>124953</v>
      </c>
      <c r="Q645" s="1" t="str">
        <f aca="false">IF($A645="","",IF(OR(F645="",I645=""),"",F645-I645))</f>
        <v/>
      </c>
      <c r="R645" s="1" t="str">
        <f aca="false">IF($A645="","",IF(Q645="","",Q645+IF(O645="",0,O645)))</f>
        <v/>
      </c>
      <c r="T645" s="1" t="str">
        <f aca="false">IF($A645="","",IF(R645="","",R645-IF(S645="",0,S645)))</f>
        <v/>
      </c>
      <c r="U645" s="1" t="str">
        <f aca="false">IF($A645="","",IF(I645="","",I645-SUM(J645:P645)))</f>
        <v/>
      </c>
      <c r="V645" s="6" t="s">
        <v>4724</v>
      </c>
      <c r="W645" s="9" t="s">
        <v>528</v>
      </c>
      <c r="X645" s="9" t="s">
        <v>4725</v>
      </c>
      <c r="AC645" s="9" t="s">
        <v>4369</v>
      </c>
      <c r="AD645" s="9" t="s">
        <v>4370</v>
      </c>
      <c r="AE645" s="9" t="s">
        <v>4371</v>
      </c>
    </row>
    <row r="646" customFormat="false" ht="15" hidden="false" customHeight="true" outlineLevel="0" collapsed="false">
      <c r="A646" s="6" t="s">
        <v>2552</v>
      </c>
      <c r="B646" s="6" t="s">
        <v>456</v>
      </c>
      <c r="C646" s="6" t="s">
        <v>461</v>
      </c>
      <c r="D646" s="6" t="n">
        <v>6</v>
      </c>
      <c r="E646" s="9" t="s">
        <v>4454</v>
      </c>
      <c r="F646" s="6" t="n">
        <v>71620</v>
      </c>
      <c r="Q646" s="1" t="str">
        <f aca="false">IF($A646="","",IF(OR(F646="",I646=""),"",F646-I646))</f>
        <v/>
      </c>
      <c r="R646" s="1" t="str">
        <f aca="false">IF($A646="","",IF(Q646="","",Q646+IF(O646="",0,O646)))</f>
        <v/>
      </c>
      <c r="T646" s="1" t="str">
        <f aca="false">IF($A646="","",IF(R646="","",R646-IF(S646="",0,S646)))</f>
        <v/>
      </c>
      <c r="U646" s="1" t="str">
        <f aca="false">IF($A646="","",IF(I646="","",I646-SUM(J646:P646)))</f>
        <v/>
      </c>
      <c r="V646" s="6" t="s">
        <v>4724</v>
      </c>
      <c r="W646" s="9" t="s">
        <v>528</v>
      </c>
      <c r="X646" s="9" t="s">
        <v>4725</v>
      </c>
      <c r="AC646" s="9" t="s">
        <v>4369</v>
      </c>
      <c r="AD646" s="9" t="s">
        <v>4370</v>
      </c>
      <c r="AE646" s="9" t="s">
        <v>4371</v>
      </c>
    </row>
    <row r="647" customFormat="false" ht="15" hidden="false" customHeight="true" outlineLevel="0" collapsed="false">
      <c r="A647" s="6" t="s">
        <v>2555</v>
      </c>
      <c r="B647" s="6" t="s">
        <v>456</v>
      </c>
      <c r="C647" s="6" t="s">
        <v>461</v>
      </c>
      <c r="D647" s="6" t="n">
        <v>6</v>
      </c>
      <c r="E647" s="9" t="s">
        <v>4454</v>
      </c>
      <c r="F647" s="6" t="n">
        <v>20323</v>
      </c>
      <c r="Q647" s="1" t="str">
        <f aca="false">IF($A647="","",IF(OR(F647="",I647=""),"",F647-I647))</f>
        <v/>
      </c>
      <c r="R647" s="1" t="str">
        <f aca="false">IF($A647="","",IF(Q647="","",Q647+IF(O647="",0,O647)))</f>
        <v/>
      </c>
      <c r="T647" s="1" t="str">
        <f aca="false">IF($A647="","",IF(R647="","",R647-IF(S647="",0,S647)))</f>
        <v/>
      </c>
      <c r="U647" s="1" t="str">
        <f aca="false">IF($A647="","",IF(I647="","",I647-SUM(J647:P647)))</f>
        <v/>
      </c>
      <c r="V647" s="6" t="s">
        <v>4724</v>
      </c>
      <c r="W647" s="9" t="s">
        <v>528</v>
      </c>
      <c r="X647" s="9" t="s">
        <v>4725</v>
      </c>
      <c r="AC647" s="9" t="s">
        <v>4369</v>
      </c>
      <c r="AD647" s="9" t="s">
        <v>4370</v>
      </c>
      <c r="AE647" s="9" t="s">
        <v>4371</v>
      </c>
    </row>
    <row r="648" customFormat="false" ht="15" hidden="false" customHeight="true" outlineLevel="0" collapsed="false">
      <c r="A648" s="6" t="s">
        <v>2558</v>
      </c>
      <c r="B648" s="6" t="s">
        <v>456</v>
      </c>
      <c r="C648" s="6" t="s">
        <v>461</v>
      </c>
      <c r="D648" s="6" t="n">
        <v>6</v>
      </c>
      <c r="E648" s="9" t="s">
        <v>4454</v>
      </c>
      <c r="F648" s="6" t="n">
        <v>28670</v>
      </c>
      <c r="Q648" s="1" t="str">
        <f aca="false">IF($A648="","",IF(OR(F648="",I648=""),"",F648-I648))</f>
        <v/>
      </c>
      <c r="R648" s="1" t="str">
        <f aca="false">IF($A648="","",IF(Q648="","",Q648+IF(O648="",0,O648)))</f>
        <v/>
      </c>
      <c r="T648" s="1" t="str">
        <f aca="false">IF($A648="","",IF(R648="","",R648-IF(S648="",0,S648)))</f>
        <v/>
      </c>
      <c r="U648" s="1" t="str">
        <f aca="false">IF($A648="","",IF(I648="","",I648-SUM(J648:P648)))</f>
        <v/>
      </c>
      <c r="V648" s="6" t="s">
        <v>4724</v>
      </c>
      <c r="W648" s="9" t="s">
        <v>528</v>
      </c>
      <c r="X648" s="9" t="s">
        <v>4725</v>
      </c>
      <c r="AC648" s="9" t="s">
        <v>4369</v>
      </c>
      <c r="AD648" s="9" t="s">
        <v>4370</v>
      </c>
      <c r="AE648" s="9" t="s">
        <v>4371</v>
      </c>
    </row>
    <row r="649" customFormat="false" ht="15" hidden="false" customHeight="true" outlineLevel="0" collapsed="false">
      <c r="A649" s="6" t="s">
        <v>2562</v>
      </c>
      <c r="B649" s="6" t="s">
        <v>456</v>
      </c>
      <c r="C649" s="6" t="s">
        <v>461</v>
      </c>
      <c r="D649" s="6" t="n">
        <v>6</v>
      </c>
      <c r="E649" s="9" t="s">
        <v>4454</v>
      </c>
      <c r="F649" s="6" t="n">
        <v>132260</v>
      </c>
      <c r="Q649" s="1" t="str">
        <f aca="false">IF($A649="","",IF(OR(F649="",I649=""),"",F649-I649))</f>
        <v/>
      </c>
      <c r="R649" s="1" t="str">
        <f aca="false">IF($A649="","",IF(Q649="","",Q649+IF(O649="",0,O649)))</f>
        <v/>
      </c>
      <c r="T649" s="1" t="str">
        <f aca="false">IF($A649="","",IF(R649="","",R649-IF(S649="",0,S649)))</f>
        <v/>
      </c>
      <c r="U649" s="1" t="str">
        <f aca="false">IF($A649="","",IF(I649="","",I649-SUM(J649:P649)))</f>
        <v/>
      </c>
      <c r="V649" s="6" t="s">
        <v>4724</v>
      </c>
      <c r="W649" s="9" t="s">
        <v>528</v>
      </c>
      <c r="X649" s="9" t="s">
        <v>4725</v>
      </c>
      <c r="AC649" s="9" t="s">
        <v>4369</v>
      </c>
      <c r="AD649" s="9" t="s">
        <v>4370</v>
      </c>
      <c r="AE649" s="9" t="s">
        <v>4371</v>
      </c>
    </row>
    <row r="650" customFormat="false" ht="15" hidden="false" customHeight="true" outlineLevel="0" collapsed="false">
      <c r="A650" s="6" t="s">
        <v>2565</v>
      </c>
      <c r="B650" s="6" t="s">
        <v>456</v>
      </c>
      <c r="C650" s="6" t="s">
        <v>461</v>
      </c>
      <c r="D650" s="6" t="n">
        <v>6</v>
      </c>
      <c r="E650" s="9" t="s">
        <v>4454</v>
      </c>
      <c r="F650" s="6" t="n">
        <v>47879</v>
      </c>
      <c r="Q650" s="1" t="str">
        <f aca="false">IF($A650="","",IF(OR(F650="",I650=""),"",F650-I650))</f>
        <v/>
      </c>
      <c r="R650" s="1" t="str">
        <f aca="false">IF($A650="","",IF(Q650="","",Q650+IF(O650="",0,O650)))</f>
        <v/>
      </c>
      <c r="T650" s="1" t="str">
        <f aca="false">IF($A650="","",IF(R650="","",R650-IF(S650="",0,S650)))</f>
        <v/>
      </c>
      <c r="U650" s="1" t="str">
        <f aca="false">IF($A650="","",IF(I650="","",I650-SUM(J650:P650)))</f>
        <v/>
      </c>
      <c r="V650" s="6" t="s">
        <v>4724</v>
      </c>
      <c r="W650" s="9" t="s">
        <v>528</v>
      </c>
      <c r="X650" s="9" t="s">
        <v>4725</v>
      </c>
      <c r="AC650" s="9" t="s">
        <v>4369</v>
      </c>
      <c r="AD650" s="9" t="s">
        <v>4370</v>
      </c>
      <c r="AE650" s="9" t="s">
        <v>4371</v>
      </c>
    </row>
    <row r="651" customFormat="false" ht="15" hidden="false" customHeight="true" outlineLevel="0" collapsed="false">
      <c r="A651" s="6" t="s">
        <v>2568</v>
      </c>
      <c r="B651" s="6" t="s">
        <v>456</v>
      </c>
      <c r="C651" s="6" t="s">
        <v>461</v>
      </c>
      <c r="D651" s="6" t="n">
        <v>6</v>
      </c>
      <c r="E651" s="9" t="s">
        <v>4454</v>
      </c>
      <c r="F651" s="6" t="n">
        <v>38920</v>
      </c>
      <c r="Q651" s="1" t="str">
        <f aca="false">IF($A651="","",IF(OR(F651="",I651=""),"",F651-I651))</f>
        <v/>
      </c>
      <c r="R651" s="1" t="str">
        <f aca="false">IF($A651="","",IF(Q651="","",Q651+IF(O651="",0,O651)))</f>
        <v/>
      </c>
      <c r="T651" s="1" t="str">
        <f aca="false">IF($A651="","",IF(R651="","",R651-IF(S651="",0,S651)))</f>
        <v/>
      </c>
      <c r="U651" s="1" t="str">
        <f aca="false">IF($A651="","",IF(I651="","",I651-SUM(J651:P651)))</f>
        <v/>
      </c>
      <c r="V651" s="6" t="s">
        <v>4724</v>
      </c>
      <c r="W651" s="9" t="s">
        <v>528</v>
      </c>
      <c r="X651" s="9" t="s">
        <v>4725</v>
      </c>
      <c r="AC651" s="9" t="s">
        <v>4369</v>
      </c>
      <c r="AD651" s="9" t="s">
        <v>4370</v>
      </c>
      <c r="AE651" s="9" t="s">
        <v>4371</v>
      </c>
    </row>
    <row r="652" customFormat="false" ht="15" hidden="false" customHeight="true" outlineLevel="0" collapsed="false">
      <c r="A652" s="6" t="s">
        <v>2571</v>
      </c>
      <c r="B652" s="6" t="s">
        <v>456</v>
      </c>
      <c r="C652" s="6" t="s">
        <v>461</v>
      </c>
      <c r="D652" s="6" t="n">
        <v>6</v>
      </c>
      <c r="E652" s="9" t="s">
        <v>4454</v>
      </c>
      <c r="F652" s="6" t="n">
        <v>28795</v>
      </c>
      <c r="Q652" s="1" t="str">
        <f aca="false">IF($A652="","",IF(OR(F652="",I652=""),"",F652-I652))</f>
        <v/>
      </c>
      <c r="R652" s="1" t="str">
        <f aca="false">IF($A652="","",IF(Q652="","",Q652+IF(O652="",0,O652)))</f>
        <v/>
      </c>
      <c r="T652" s="1" t="str">
        <f aca="false">IF($A652="","",IF(R652="","",R652-IF(S652="",0,S652)))</f>
        <v/>
      </c>
      <c r="U652" s="1" t="str">
        <f aca="false">IF($A652="","",IF(I652="","",I652-SUM(J652:P652)))</f>
        <v/>
      </c>
      <c r="V652" s="6" t="s">
        <v>4724</v>
      </c>
      <c r="W652" s="9" t="s">
        <v>528</v>
      </c>
      <c r="X652" s="9" t="s">
        <v>4725</v>
      </c>
      <c r="AC652" s="9" t="s">
        <v>4369</v>
      </c>
      <c r="AD652" s="9" t="s">
        <v>4370</v>
      </c>
      <c r="AE652" s="9" t="s">
        <v>4371</v>
      </c>
    </row>
    <row r="653" customFormat="false" ht="15" hidden="false" customHeight="true" outlineLevel="0" collapsed="false">
      <c r="A653" s="6" t="s">
        <v>2574</v>
      </c>
      <c r="B653" s="6" t="s">
        <v>456</v>
      </c>
      <c r="C653" s="6" t="s">
        <v>461</v>
      </c>
      <c r="D653" s="6" t="n">
        <v>6</v>
      </c>
      <c r="E653" s="9" t="s">
        <v>4454</v>
      </c>
      <c r="F653" s="6" t="n">
        <v>39143</v>
      </c>
      <c r="Q653" s="1" t="str">
        <f aca="false">IF($A653="","",IF(OR(F653="",I653=""),"",F653-I653))</f>
        <v/>
      </c>
      <c r="R653" s="1" t="str">
        <f aca="false">IF($A653="","",IF(Q653="","",Q653+IF(O653="",0,O653)))</f>
        <v/>
      </c>
      <c r="T653" s="1" t="str">
        <f aca="false">IF($A653="","",IF(R653="","",R653-IF(S653="",0,S653)))</f>
        <v/>
      </c>
      <c r="U653" s="1" t="str">
        <f aca="false">IF($A653="","",IF(I653="","",I653-SUM(J653:P653)))</f>
        <v/>
      </c>
      <c r="V653" s="6" t="s">
        <v>4724</v>
      </c>
      <c r="W653" s="9" t="s">
        <v>528</v>
      </c>
      <c r="X653" s="9" t="s">
        <v>4725</v>
      </c>
      <c r="AC653" s="9" t="s">
        <v>4369</v>
      </c>
      <c r="AD653" s="9" t="s">
        <v>4370</v>
      </c>
      <c r="AE653" s="9" t="s">
        <v>4371</v>
      </c>
    </row>
    <row r="654" customFormat="false" ht="15" hidden="false" customHeight="true" outlineLevel="0" collapsed="false">
      <c r="A654" s="6" t="s">
        <v>2577</v>
      </c>
      <c r="B654" s="6" t="s">
        <v>456</v>
      </c>
      <c r="C654" s="6" t="s">
        <v>461</v>
      </c>
      <c r="D654" s="6" t="n">
        <v>6</v>
      </c>
      <c r="E654" s="9" t="s">
        <v>4454</v>
      </c>
      <c r="F654" s="6" t="n">
        <v>47848</v>
      </c>
      <c r="Q654" s="1" t="str">
        <f aca="false">IF($A654="","",IF(OR(F654="",I654=""),"",F654-I654))</f>
        <v/>
      </c>
      <c r="R654" s="1" t="str">
        <f aca="false">IF($A654="","",IF(Q654="","",Q654+IF(O654="",0,O654)))</f>
        <v/>
      </c>
      <c r="T654" s="1" t="str">
        <f aca="false">IF($A654="","",IF(R654="","",R654-IF(S654="",0,S654)))</f>
        <v/>
      </c>
      <c r="U654" s="1" t="str">
        <f aca="false">IF($A654="","",IF(I654="","",I654-SUM(J654:P654)))</f>
        <v/>
      </c>
      <c r="V654" s="6" t="s">
        <v>4724</v>
      </c>
      <c r="W654" s="9" t="s">
        <v>528</v>
      </c>
      <c r="X654" s="9" t="s">
        <v>4725</v>
      </c>
      <c r="AC654" s="9" t="s">
        <v>4369</v>
      </c>
      <c r="AD654" s="9" t="s">
        <v>4370</v>
      </c>
      <c r="AE654" s="9" t="s">
        <v>4371</v>
      </c>
    </row>
    <row r="655" customFormat="false" ht="15" hidden="false" customHeight="true" outlineLevel="0" collapsed="false">
      <c r="A655" s="6" t="s">
        <v>2580</v>
      </c>
      <c r="B655" s="6" t="s">
        <v>456</v>
      </c>
      <c r="C655" s="6" t="s">
        <v>461</v>
      </c>
      <c r="D655" s="6" t="n">
        <v>6</v>
      </c>
      <c r="E655" s="9" t="s">
        <v>4454</v>
      </c>
      <c r="F655" s="6" t="n">
        <v>27612</v>
      </c>
      <c r="Q655" s="1" t="str">
        <f aca="false">IF($A655="","",IF(OR(F655="",I655=""),"",F655-I655))</f>
        <v/>
      </c>
      <c r="R655" s="1" t="str">
        <f aca="false">IF($A655="","",IF(Q655="","",Q655+IF(O655="",0,O655)))</f>
        <v/>
      </c>
      <c r="T655" s="1" t="str">
        <f aca="false">IF($A655="","",IF(R655="","",R655-IF(S655="",0,S655)))</f>
        <v/>
      </c>
      <c r="U655" s="1" t="str">
        <f aca="false">IF($A655="","",IF(I655="","",I655-SUM(J655:P655)))</f>
        <v/>
      </c>
      <c r="V655" s="6" t="s">
        <v>4724</v>
      </c>
      <c r="W655" s="9" t="s">
        <v>528</v>
      </c>
      <c r="X655" s="9" t="s">
        <v>4725</v>
      </c>
      <c r="AC655" s="9" t="s">
        <v>4369</v>
      </c>
      <c r="AD655" s="9" t="s">
        <v>4370</v>
      </c>
      <c r="AE655" s="9" t="s">
        <v>4371</v>
      </c>
    </row>
    <row r="656" customFormat="false" ht="15" hidden="false" customHeight="true" outlineLevel="0" collapsed="false">
      <c r="A656" s="6" t="s">
        <v>2584</v>
      </c>
      <c r="B656" s="6" t="s">
        <v>456</v>
      </c>
      <c r="C656" s="6" t="s">
        <v>461</v>
      </c>
      <c r="D656" s="6" t="n">
        <v>6</v>
      </c>
      <c r="E656" s="9" t="s">
        <v>4454</v>
      </c>
      <c r="F656" s="6" t="n">
        <v>143505</v>
      </c>
      <c r="Q656" s="1" t="str">
        <f aca="false">IF($A656="","",IF(OR(F656="",I656=""),"",F656-I656))</f>
        <v/>
      </c>
      <c r="R656" s="1" t="str">
        <f aca="false">IF($A656="","",IF(Q656="","",Q656+IF(O656="",0,O656)))</f>
        <v/>
      </c>
      <c r="T656" s="1" t="str">
        <f aca="false">IF($A656="","",IF(R656="","",R656-IF(S656="",0,S656)))</f>
        <v/>
      </c>
      <c r="U656" s="1" t="str">
        <f aca="false">IF($A656="","",IF(I656="","",I656-SUM(J656:P656)))</f>
        <v/>
      </c>
      <c r="V656" s="6" t="s">
        <v>4724</v>
      </c>
      <c r="W656" s="9" t="s">
        <v>528</v>
      </c>
      <c r="X656" s="9" t="s">
        <v>4725</v>
      </c>
      <c r="AC656" s="9" t="s">
        <v>4369</v>
      </c>
      <c r="AD656" s="9" t="s">
        <v>4370</v>
      </c>
      <c r="AE656" s="9" t="s">
        <v>4371</v>
      </c>
    </row>
    <row r="657" customFormat="false" ht="15" hidden="false" customHeight="true" outlineLevel="0" collapsed="false">
      <c r="A657" s="6" t="s">
        <v>2587</v>
      </c>
      <c r="B657" s="6" t="s">
        <v>456</v>
      </c>
      <c r="C657" s="6" t="s">
        <v>461</v>
      </c>
      <c r="D657" s="6" t="n">
        <v>6</v>
      </c>
      <c r="E657" s="9" t="s">
        <v>4454</v>
      </c>
      <c r="F657" s="6" t="n">
        <v>30853</v>
      </c>
      <c r="Q657" s="1" t="str">
        <f aca="false">IF($A657="","",IF(OR(F657="",I657=""),"",F657-I657))</f>
        <v/>
      </c>
      <c r="R657" s="1" t="str">
        <f aca="false">IF($A657="","",IF(Q657="","",Q657+IF(O657="",0,O657)))</f>
        <v/>
      </c>
      <c r="T657" s="1" t="str">
        <f aca="false">IF($A657="","",IF(R657="","",R657-IF(S657="",0,S657)))</f>
        <v/>
      </c>
      <c r="U657" s="1" t="str">
        <f aca="false">IF($A657="","",IF(I657="","",I657-SUM(J657:P657)))</f>
        <v/>
      </c>
      <c r="V657" s="6" t="s">
        <v>4724</v>
      </c>
      <c r="W657" s="9" t="s">
        <v>528</v>
      </c>
      <c r="X657" s="9" t="s">
        <v>4725</v>
      </c>
      <c r="AC657" s="9" t="s">
        <v>4369</v>
      </c>
      <c r="AD657" s="9" t="s">
        <v>4370</v>
      </c>
      <c r="AE657" s="9" t="s">
        <v>4371</v>
      </c>
    </row>
    <row r="658" customFormat="false" ht="15" hidden="false" customHeight="true" outlineLevel="0" collapsed="false">
      <c r="A658" s="6" t="s">
        <v>2590</v>
      </c>
      <c r="B658" s="6" t="s">
        <v>456</v>
      </c>
      <c r="C658" s="6" t="s">
        <v>461</v>
      </c>
      <c r="D658" s="6" t="n">
        <v>6</v>
      </c>
      <c r="E658" s="9" t="s">
        <v>4454</v>
      </c>
      <c r="F658" s="6" t="n">
        <v>37415</v>
      </c>
      <c r="Q658" s="1" t="str">
        <f aca="false">IF($A658="","",IF(OR(F658="",I658=""),"",F658-I658))</f>
        <v/>
      </c>
      <c r="R658" s="1" t="str">
        <f aca="false">IF($A658="","",IF(Q658="","",Q658+IF(O658="",0,O658)))</f>
        <v/>
      </c>
      <c r="T658" s="1" t="str">
        <f aca="false">IF($A658="","",IF(R658="","",R658-IF(S658="",0,S658)))</f>
        <v/>
      </c>
      <c r="U658" s="1" t="str">
        <f aca="false">IF($A658="","",IF(I658="","",I658-SUM(J658:P658)))</f>
        <v/>
      </c>
      <c r="V658" s="6" t="s">
        <v>4724</v>
      </c>
      <c r="W658" s="9" t="s">
        <v>528</v>
      </c>
      <c r="X658" s="9" t="s">
        <v>4725</v>
      </c>
      <c r="AC658" s="9" t="s">
        <v>4369</v>
      </c>
      <c r="AD658" s="9" t="s">
        <v>4370</v>
      </c>
      <c r="AE658" s="9" t="s">
        <v>4371</v>
      </c>
    </row>
    <row r="659" customFormat="false" ht="15" hidden="false" customHeight="true" outlineLevel="0" collapsed="false">
      <c r="A659" s="6" t="s">
        <v>2593</v>
      </c>
      <c r="B659" s="6" t="s">
        <v>456</v>
      </c>
      <c r="C659" s="6" t="s">
        <v>461</v>
      </c>
      <c r="D659" s="6" t="n">
        <v>6</v>
      </c>
      <c r="E659" s="9" t="s">
        <v>4454</v>
      </c>
      <c r="F659" s="6" t="n">
        <v>35052</v>
      </c>
      <c r="Q659" s="1" t="str">
        <f aca="false">IF($A659="","",IF(OR(F659="",I659=""),"",F659-I659))</f>
        <v/>
      </c>
      <c r="R659" s="1" t="str">
        <f aca="false">IF($A659="","",IF(Q659="","",Q659+IF(O659="",0,O659)))</f>
        <v/>
      </c>
      <c r="T659" s="1" t="str">
        <f aca="false">IF($A659="","",IF(R659="","",R659-IF(S659="",0,S659)))</f>
        <v/>
      </c>
      <c r="U659" s="1" t="str">
        <f aca="false">IF($A659="","",IF(I659="","",I659-SUM(J659:P659)))</f>
        <v/>
      </c>
      <c r="V659" s="6" t="s">
        <v>4724</v>
      </c>
      <c r="W659" s="9" t="s">
        <v>528</v>
      </c>
      <c r="X659" s="9" t="s">
        <v>4725</v>
      </c>
      <c r="AC659" s="9" t="s">
        <v>4369</v>
      </c>
      <c r="AD659" s="9" t="s">
        <v>4370</v>
      </c>
      <c r="AE659" s="9" t="s">
        <v>4371</v>
      </c>
    </row>
    <row r="660" customFormat="false" ht="15" hidden="false" customHeight="true" outlineLevel="0" collapsed="false">
      <c r="A660" s="6" t="s">
        <v>2596</v>
      </c>
      <c r="B660" s="6" t="s">
        <v>456</v>
      </c>
      <c r="C660" s="6" t="s">
        <v>461</v>
      </c>
      <c r="D660" s="6" t="n">
        <v>6</v>
      </c>
      <c r="E660" s="9" t="s">
        <v>4454</v>
      </c>
      <c r="F660" s="6" t="n">
        <v>35193</v>
      </c>
      <c r="Q660" s="1" t="str">
        <f aca="false">IF($A660="","",IF(OR(F660="",I660=""),"",F660-I660))</f>
        <v/>
      </c>
      <c r="R660" s="1" t="str">
        <f aca="false">IF($A660="","",IF(Q660="","",Q660+IF(O660="",0,O660)))</f>
        <v/>
      </c>
      <c r="T660" s="1" t="str">
        <f aca="false">IF($A660="","",IF(R660="","",R660-IF(S660="",0,S660)))</f>
        <v/>
      </c>
      <c r="U660" s="1" t="str">
        <f aca="false">IF($A660="","",IF(I660="","",I660-SUM(J660:P660)))</f>
        <v/>
      </c>
      <c r="V660" s="6" t="s">
        <v>4724</v>
      </c>
      <c r="W660" s="9" t="s">
        <v>528</v>
      </c>
      <c r="X660" s="9" t="s">
        <v>4725</v>
      </c>
      <c r="AC660" s="9" t="s">
        <v>4369</v>
      </c>
      <c r="AD660" s="9" t="s">
        <v>4370</v>
      </c>
      <c r="AE660" s="9" t="s">
        <v>4371</v>
      </c>
    </row>
    <row r="661" customFormat="false" ht="15" hidden="false" customHeight="true" outlineLevel="0" collapsed="false">
      <c r="A661" s="6" t="s">
        <v>2599</v>
      </c>
      <c r="B661" s="6" t="s">
        <v>456</v>
      </c>
      <c r="C661" s="6" t="s">
        <v>461</v>
      </c>
      <c r="D661" s="6" t="n">
        <v>6</v>
      </c>
      <c r="E661" s="9" t="s">
        <v>4454</v>
      </c>
      <c r="F661" s="6" t="n">
        <v>148400</v>
      </c>
      <c r="Q661" s="1" t="str">
        <f aca="false">IF($A661="","",IF(OR(F661="",I661=""),"",F661-I661))</f>
        <v/>
      </c>
      <c r="R661" s="1" t="str">
        <f aca="false">IF($A661="","",IF(Q661="","",Q661+IF(O661="",0,O661)))</f>
        <v/>
      </c>
      <c r="T661" s="1" t="str">
        <f aca="false">IF($A661="","",IF(R661="","",R661-IF(S661="",0,S661)))</f>
        <v/>
      </c>
      <c r="U661" s="1" t="str">
        <f aca="false">IF($A661="","",IF(I661="","",I661-SUM(J661:P661)))</f>
        <v/>
      </c>
      <c r="V661" s="6" t="s">
        <v>4724</v>
      </c>
      <c r="W661" s="9" t="s">
        <v>528</v>
      </c>
      <c r="X661" s="9" t="s">
        <v>4725</v>
      </c>
      <c r="AC661" s="9" t="s">
        <v>4369</v>
      </c>
      <c r="AD661" s="9" t="s">
        <v>4370</v>
      </c>
      <c r="AE661" s="9" t="s">
        <v>4371</v>
      </c>
    </row>
    <row r="662" customFormat="false" ht="15" hidden="false" customHeight="true" outlineLevel="0" collapsed="false">
      <c r="A662" s="6" t="s">
        <v>2602</v>
      </c>
      <c r="B662" s="6" t="s">
        <v>456</v>
      </c>
      <c r="C662" s="6" t="s">
        <v>461</v>
      </c>
      <c r="D662" s="6" t="n">
        <v>6</v>
      </c>
      <c r="E662" s="9" t="s">
        <v>4454</v>
      </c>
      <c r="F662" s="6" t="n">
        <v>90894</v>
      </c>
      <c r="Q662" s="1" t="str">
        <f aca="false">IF($A662="","",IF(OR(F662="",I662=""),"",F662-I662))</f>
        <v/>
      </c>
      <c r="R662" s="1" t="str">
        <f aca="false">IF($A662="","",IF(Q662="","",Q662+IF(O662="",0,O662)))</f>
        <v/>
      </c>
      <c r="T662" s="1" t="str">
        <f aca="false">IF($A662="","",IF(R662="","",R662-IF(S662="",0,S662)))</f>
        <v/>
      </c>
      <c r="U662" s="1" t="str">
        <f aca="false">IF($A662="","",IF(I662="","",I662-SUM(J662:P662)))</f>
        <v/>
      </c>
      <c r="V662" s="6" t="s">
        <v>4724</v>
      </c>
      <c r="W662" s="9" t="s">
        <v>528</v>
      </c>
      <c r="X662" s="9" t="s">
        <v>4725</v>
      </c>
      <c r="AC662" s="9" t="s">
        <v>4369</v>
      </c>
      <c r="AD662" s="9" t="s">
        <v>4370</v>
      </c>
      <c r="AE662" s="9" t="s">
        <v>4371</v>
      </c>
    </row>
    <row r="663" customFormat="false" ht="15" hidden="false" customHeight="true" outlineLevel="0" collapsed="false">
      <c r="A663" s="6" t="s">
        <v>2605</v>
      </c>
      <c r="B663" s="6" t="s">
        <v>456</v>
      </c>
      <c r="C663" s="6" t="s">
        <v>461</v>
      </c>
      <c r="D663" s="6" t="n">
        <v>6</v>
      </c>
      <c r="E663" s="9" t="s">
        <v>4454</v>
      </c>
      <c r="F663" s="6" t="n">
        <v>51869</v>
      </c>
      <c r="Q663" s="1" t="str">
        <f aca="false">IF($A663="","",IF(OR(F663="",I663=""),"",F663-I663))</f>
        <v/>
      </c>
      <c r="R663" s="1" t="str">
        <f aca="false">IF($A663="","",IF(Q663="","",Q663+IF(O663="",0,O663)))</f>
        <v/>
      </c>
      <c r="T663" s="1" t="str">
        <f aca="false">IF($A663="","",IF(R663="","",R663-IF(S663="",0,S663)))</f>
        <v/>
      </c>
      <c r="U663" s="1" t="str">
        <f aca="false">IF($A663="","",IF(I663="","",I663-SUM(J663:P663)))</f>
        <v/>
      </c>
      <c r="V663" s="6" t="s">
        <v>4724</v>
      </c>
      <c r="W663" s="9" t="s">
        <v>528</v>
      </c>
      <c r="X663" s="9" t="s">
        <v>4725</v>
      </c>
      <c r="AC663" s="9" t="s">
        <v>4369</v>
      </c>
      <c r="AD663" s="9" t="s">
        <v>4370</v>
      </c>
      <c r="AE663" s="9" t="s">
        <v>4371</v>
      </c>
    </row>
    <row r="664" customFormat="false" ht="15" hidden="false" customHeight="true" outlineLevel="0" collapsed="false">
      <c r="A664" s="6" t="s">
        <v>2608</v>
      </c>
      <c r="B664" s="6" t="s">
        <v>456</v>
      </c>
      <c r="C664" s="6" t="s">
        <v>461</v>
      </c>
      <c r="D664" s="6" t="n">
        <v>6</v>
      </c>
      <c r="E664" s="9" t="s">
        <v>4454</v>
      </c>
      <c r="F664" s="6" t="n">
        <v>40488</v>
      </c>
      <c r="Q664" s="1" t="str">
        <f aca="false">IF($A664="","",IF(OR(F664="",I664=""),"",F664-I664))</f>
        <v/>
      </c>
      <c r="R664" s="1" t="str">
        <f aca="false">IF($A664="","",IF(Q664="","",Q664+IF(O664="",0,O664)))</f>
        <v/>
      </c>
      <c r="T664" s="1" t="str">
        <f aca="false">IF($A664="","",IF(R664="","",R664-IF(S664="",0,S664)))</f>
        <v/>
      </c>
      <c r="U664" s="1" t="str">
        <f aca="false">IF($A664="","",IF(I664="","",I664-SUM(J664:P664)))</f>
        <v/>
      </c>
      <c r="V664" s="6" t="s">
        <v>4724</v>
      </c>
      <c r="W664" s="9" t="s">
        <v>528</v>
      </c>
      <c r="X664" s="9" t="s">
        <v>4725</v>
      </c>
      <c r="AC664" s="9" t="s">
        <v>4369</v>
      </c>
      <c r="AD664" s="9" t="s">
        <v>4370</v>
      </c>
      <c r="AE664" s="9" t="s">
        <v>4371</v>
      </c>
    </row>
    <row r="665" customFormat="false" ht="15" hidden="false" customHeight="true" outlineLevel="0" collapsed="false">
      <c r="A665" s="6" t="s">
        <v>2611</v>
      </c>
      <c r="B665" s="6" t="s">
        <v>456</v>
      </c>
      <c r="C665" s="6" t="s">
        <v>461</v>
      </c>
      <c r="D665" s="6" t="n">
        <v>6</v>
      </c>
      <c r="E665" s="9" t="s">
        <v>4454</v>
      </c>
      <c r="F665" s="6" t="n">
        <v>34473</v>
      </c>
      <c r="Q665" s="1" t="str">
        <f aca="false">IF($A665="","",IF(OR(F665="",I665=""),"",F665-I665))</f>
        <v/>
      </c>
      <c r="R665" s="1" t="str">
        <f aca="false">IF($A665="","",IF(Q665="","",Q665+IF(O665="",0,O665)))</f>
        <v/>
      </c>
      <c r="T665" s="1" t="str">
        <f aca="false">IF($A665="","",IF(R665="","",R665-IF(S665="",0,S665)))</f>
        <v/>
      </c>
      <c r="U665" s="1" t="str">
        <f aca="false">IF($A665="","",IF(I665="","",I665-SUM(J665:P665)))</f>
        <v/>
      </c>
      <c r="V665" s="6" t="s">
        <v>4724</v>
      </c>
      <c r="W665" s="9" t="s">
        <v>528</v>
      </c>
      <c r="X665" s="9" t="s">
        <v>4725</v>
      </c>
      <c r="AC665" s="9" t="s">
        <v>4369</v>
      </c>
      <c r="AD665" s="9" t="s">
        <v>4370</v>
      </c>
      <c r="AE665" s="9" t="s">
        <v>4371</v>
      </c>
    </row>
    <row r="666" customFormat="false" ht="15" hidden="false" customHeight="true" outlineLevel="0" collapsed="false">
      <c r="A666" s="6" t="s">
        <v>2614</v>
      </c>
      <c r="B666" s="6" t="s">
        <v>456</v>
      </c>
      <c r="C666" s="6" t="s">
        <v>461</v>
      </c>
      <c r="D666" s="6" t="n">
        <v>6</v>
      </c>
      <c r="E666" s="9" t="s">
        <v>4454</v>
      </c>
      <c r="F666" s="6" t="n">
        <v>34760</v>
      </c>
      <c r="Q666" s="1" t="str">
        <f aca="false">IF($A666="","",IF(OR(F666="",I666=""),"",F666-I666))</f>
        <v/>
      </c>
      <c r="R666" s="1" t="str">
        <f aca="false">IF($A666="","",IF(Q666="","",Q666+IF(O666="",0,O666)))</f>
        <v/>
      </c>
      <c r="T666" s="1" t="str">
        <f aca="false">IF($A666="","",IF(R666="","",R666-IF(S666="",0,S666)))</f>
        <v/>
      </c>
      <c r="U666" s="1" t="str">
        <f aca="false">IF($A666="","",IF(I666="","",I666-SUM(J666:P666)))</f>
        <v/>
      </c>
      <c r="V666" s="6" t="s">
        <v>4724</v>
      </c>
      <c r="W666" s="9" t="s">
        <v>528</v>
      </c>
      <c r="X666" s="9" t="s">
        <v>4725</v>
      </c>
      <c r="AC666" s="9" t="s">
        <v>4369</v>
      </c>
      <c r="AD666" s="9" t="s">
        <v>4370</v>
      </c>
      <c r="AE666" s="9" t="s">
        <v>4371</v>
      </c>
    </row>
    <row r="667" customFormat="false" ht="15" hidden="false" customHeight="true" outlineLevel="0" collapsed="false">
      <c r="A667" s="6" t="s">
        <v>2617</v>
      </c>
      <c r="B667" s="6" t="s">
        <v>456</v>
      </c>
      <c r="C667" s="6" t="s">
        <v>461</v>
      </c>
      <c r="D667" s="6" t="n">
        <v>6</v>
      </c>
      <c r="E667" s="9" t="s">
        <v>4454</v>
      </c>
      <c r="F667" s="6" t="n">
        <v>30038</v>
      </c>
      <c r="Q667" s="1" t="str">
        <f aca="false">IF($A667="","",IF(OR(F667="",I667=""),"",F667-I667))</f>
        <v/>
      </c>
      <c r="R667" s="1" t="str">
        <f aca="false">IF($A667="","",IF(Q667="","",Q667+IF(O667="",0,O667)))</f>
        <v/>
      </c>
      <c r="T667" s="1" t="str">
        <f aca="false">IF($A667="","",IF(R667="","",R667-IF(S667="",0,S667)))</f>
        <v/>
      </c>
      <c r="U667" s="1" t="str">
        <f aca="false">IF($A667="","",IF(I667="","",I667-SUM(J667:P667)))</f>
        <v/>
      </c>
      <c r="V667" s="6" t="s">
        <v>4724</v>
      </c>
      <c r="W667" s="9" t="s">
        <v>528</v>
      </c>
      <c r="X667" s="9" t="s">
        <v>4725</v>
      </c>
      <c r="AC667" s="9" t="s">
        <v>4369</v>
      </c>
      <c r="AD667" s="9" t="s">
        <v>4370</v>
      </c>
      <c r="AE667" s="9" t="s">
        <v>4371</v>
      </c>
    </row>
    <row r="668" customFormat="false" ht="15" hidden="false" customHeight="true" outlineLevel="0" collapsed="false">
      <c r="A668" s="6" t="s">
        <v>2620</v>
      </c>
      <c r="B668" s="6" t="s">
        <v>456</v>
      </c>
      <c r="C668" s="6" t="s">
        <v>461</v>
      </c>
      <c r="D668" s="6" t="n">
        <v>6</v>
      </c>
      <c r="E668" s="9" t="s">
        <v>4454</v>
      </c>
      <c r="F668" s="6" t="n">
        <v>57026</v>
      </c>
      <c r="Q668" s="1" t="str">
        <f aca="false">IF($A668="","",IF(OR(F668="",I668=""),"",F668-I668))</f>
        <v/>
      </c>
      <c r="R668" s="1" t="str">
        <f aca="false">IF($A668="","",IF(Q668="","",Q668+IF(O668="",0,O668)))</f>
        <v/>
      </c>
      <c r="T668" s="1" t="str">
        <f aca="false">IF($A668="","",IF(R668="","",R668-IF(S668="",0,S668)))</f>
        <v/>
      </c>
      <c r="U668" s="1" t="str">
        <f aca="false">IF($A668="","",IF(I668="","",I668-SUM(J668:P668)))</f>
        <v/>
      </c>
      <c r="V668" s="6" t="s">
        <v>4724</v>
      </c>
      <c r="W668" s="9" t="s">
        <v>528</v>
      </c>
      <c r="X668" s="9" t="s">
        <v>4725</v>
      </c>
      <c r="AC668" s="9" t="s">
        <v>4369</v>
      </c>
      <c r="AD668" s="9" t="s">
        <v>4370</v>
      </c>
      <c r="AE668" s="9" t="s">
        <v>4371</v>
      </c>
    </row>
    <row r="669" customFormat="false" ht="15" hidden="false" customHeight="true" outlineLevel="0" collapsed="false">
      <c r="A669" s="6" t="s">
        <v>2623</v>
      </c>
      <c r="B669" s="6" t="s">
        <v>456</v>
      </c>
      <c r="C669" s="6" t="s">
        <v>461</v>
      </c>
      <c r="D669" s="6" t="n">
        <v>6</v>
      </c>
      <c r="E669" s="9" t="s">
        <v>4454</v>
      </c>
      <c r="F669" s="6" t="n">
        <v>65060</v>
      </c>
      <c r="Q669" s="1" t="str">
        <f aca="false">IF($A669="","",IF(OR(F669="",I669=""),"",F669-I669))</f>
        <v/>
      </c>
      <c r="R669" s="1" t="str">
        <f aca="false">IF($A669="","",IF(Q669="","",Q669+IF(O669="",0,O669)))</f>
        <v/>
      </c>
      <c r="T669" s="1" t="str">
        <f aca="false">IF($A669="","",IF(R669="","",R669-IF(S669="",0,S669)))</f>
        <v/>
      </c>
      <c r="U669" s="1" t="str">
        <f aca="false">IF($A669="","",IF(I669="","",I669-SUM(J669:P669)))</f>
        <v/>
      </c>
      <c r="V669" s="6" t="s">
        <v>4724</v>
      </c>
      <c r="W669" s="9" t="s">
        <v>528</v>
      </c>
      <c r="X669" s="9" t="s">
        <v>4725</v>
      </c>
      <c r="AC669" s="9" t="s">
        <v>4369</v>
      </c>
      <c r="AD669" s="9" t="s">
        <v>4370</v>
      </c>
      <c r="AE669" s="9" t="s">
        <v>4371</v>
      </c>
    </row>
    <row r="670" customFormat="false" ht="15" hidden="false" customHeight="true" outlineLevel="0" collapsed="false">
      <c r="A670" s="6" t="s">
        <v>2626</v>
      </c>
      <c r="B670" s="6" t="s">
        <v>456</v>
      </c>
      <c r="C670" s="6" t="s">
        <v>461</v>
      </c>
      <c r="D670" s="6" t="n">
        <v>6</v>
      </c>
      <c r="E670" s="9" t="s">
        <v>4454</v>
      </c>
      <c r="F670" s="6" t="n">
        <v>33938</v>
      </c>
      <c r="Q670" s="1" t="str">
        <f aca="false">IF($A670="","",IF(OR(F670="",I670=""),"",F670-I670))</f>
        <v/>
      </c>
      <c r="R670" s="1" t="str">
        <f aca="false">IF($A670="","",IF(Q670="","",Q670+IF(O670="",0,O670)))</f>
        <v/>
      </c>
      <c r="T670" s="1" t="str">
        <f aca="false">IF($A670="","",IF(R670="","",R670-IF(S670="",0,S670)))</f>
        <v/>
      </c>
      <c r="U670" s="1" t="str">
        <f aca="false">IF($A670="","",IF(I670="","",I670-SUM(J670:P670)))</f>
        <v/>
      </c>
      <c r="V670" s="6" t="s">
        <v>4724</v>
      </c>
      <c r="W670" s="9" t="s">
        <v>528</v>
      </c>
      <c r="X670" s="9" t="s">
        <v>4725</v>
      </c>
      <c r="AC670" s="9" t="s">
        <v>4369</v>
      </c>
      <c r="AD670" s="9" t="s">
        <v>4370</v>
      </c>
      <c r="AE670" s="9" t="s">
        <v>4371</v>
      </c>
    </row>
    <row r="671" customFormat="false" ht="15" hidden="false" customHeight="true" outlineLevel="0" collapsed="false">
      <c r="A671" s="6" t="s">
        <v>2629</v>
      </c>
      <c r="B671" s="6" t="s">
        <v>456</v>
      </c>
      <c r="C671" s="6" t="s">
        <v>461</v>
      </c>
      <c r="D671" s="6" t="n">
        <v>6</v>
      </c>
      <c r="E671" s="9" t="s">
        <v>4454</v>
      </c>
      <c r="F671" s="6" t="n">
        <v>226634</v>
      </c>
      <c r="Q671" s="1" t="str">
        <f aca="false">IF($A671="","",IF(OR(F671="",I671=""),"",F671-I671))</f>
        <v/>
      </c>
      <c r="R671" s="1" t="str">
        <f aca="false">IF($A671="","",IF(Q671="","",Q671+IF(O671="",0,O671)))</f>
        <v/>
      </c>
      <c r="T671" s="1" t="str">
        <f aca="false">IF($A671="","",IF(R671="","",R671-IF(S671="",0,S671)))</f>
        <v/>
      </c>
      <c r="U671" s="1" t="str">
        <f aca="false">IF($A671="","",IF(I671="","",I671-SUM(J671:P671)))</f>
        <v/>
      </c>
      <c r="V671" s="6" t="s">
        <v>4724</v>
      </c>
      <c r="W671" s="9" t="s">
        <v>528</v>
      </c>
      <c r="X671" s="9" t="s">
        <v>4725</v>
      </c>
      <c r="AC671" s="9" t="s">
        <v>4369</v>
      </c>
      <c r="AD671" s="9" t="s">
        <v>4370</v>
      </c>
      <c r="AE671" s="9" t="s">
        <v>4371</v>
      </c>
    </row>
    <row r="672" customFormat="false" ht="15" hidden="false" customHeight="true" outlineLevel="0" collapsed="false">
      <c r="A672" s="6" t="s">
        <v>2632</v>
      </c>
      <c r="B672" s="6" t="s">
        <v>456</v>
      </c>
      <c r="C672" s="6" t="s">
        <v>461</v>
      </c>
      <c r="D672" s="6" t="n">
        <v>6</v>
      </c>
      <c r="E672" s="9" t="s">
        <v>4454</v>
      </c>
      <c r="F672" s="6" t="n">
        <v>25459</v>
      </c>
      <c r="Q672" s="1" t="str">
        <f aca="false">IF($A672="","",IF(OR(F672="",I672=""),"",F672-I672))</f>
        <v/>
      </c>
      <c r="R672" s="1" t="str">
        <f aca="false">IF($A672="","",IF(Q672="","",Q672+IF(O672="",0,O672)))</f>
        <v/>
      </c>
      <c r="T672" s="1" t="str">
        <f aca="false">IF($A672="","",IF(R672="","",R672-IF(S672="",0,S672)))</f>
        <v/>
      </c>
      <c r="U672" s="1" t="str">
        <f aca="false">IF($A672="","",IF(I672="","",I672-SUM(J672:P672)))</f>
        <v/>
      </c>
      <c r="V672" s="6" t="s">
        <v>4724</v>
      </c>
      <c r="W672" s="9" t="s">
        <v>528</v>
      </c>
      <c r="X672" s="9" t="s">
        <v>4725</v>
      </c>
      <c r="AC672" s="9" t="s">
        <v>4369</v>
      </c>
      <c r="AD672" s="9" t="s">
        <v>4370</v>
      </c>
      <c r="AE672" s="9" t="s">
        <v>4371</v>
      </c>
    </row>
    <row r="673" customFormat="false" ht="15" hidden="false" customHeight="true" outlineLevel="0" collapsed="false">
      <c r="A673" s="6" t="s">
        <v>2635</v>
      </c>
      <c r="B673" s="6" t="s">
        <v>456</v>
      </c>
      <c r="C673" s="6" t="s">
        <v>461</v>
      </c>
      <c r="D673" s="6" t="n">
        <v>6</v>
      </c>
      <c r="E673" s="9" t="s">
        <v>4454</v>
      </c>
      <c r="F673" s="6" t="n">
        <v>87405</v>
      </c>
      <c r="Q673" s="1" t="str">
        <f aca="false">IF($A673="","",IF(OR(F673="",I673=""),"",F673-I673))</f>
        <v/>
      </c>
      <c r="R673" s="1" t="str">
        <f aca="false">IF($A673="","",IF(Q673="","",Q673+IF(O673="",0,O673)))</f>
        <v/>
      </c>
      <c r="T673" s="1" t="str">
        <f aca="false">IF($A673="","",IF(R673="","",R673-IF(S673="",0,S673)))</f>
        <v/>
      </c>
      <c r="U673" s="1" t="str">
        <f aca="false">IF($A673="","",IF(I673="","",I673-SUM(J673:P673)))</f>
        <v/>
      </c>
      <c r="V673" s="6" t="s">
        <v>4724</v>
      </c>
      <c r="W673" s="9" t="s">
        <v>528</v>
      </c>
      <c r="X673" s="9" t="s">
        <v>4725</v>
      </c>
      <c r="AC673" s="9" t="s">
        <v>4369</v>
      </c>
      <c r="AD673" s="9" t="s">
        <v>4370</v>
      </c>
      <c r="AE673" s="9" t="s">
        <v>4371</v>
      </c>
    </row>
    <row r="674" customFormat="false" ht="15" hidden="false" customHeight="true" outlineLevel="0" collapsed="false">
      <c r="A674" s="6" t="s">
        <v>2638</v>
      </c>
      <c r="B674" s="6" t="s">
        <v>456</v>
      </c>
      <c r="C674" s="6" t="s">
        <v>461</v>
      </c>
      <c r="D674" s="6" t="n">
        <v>6</v>
      </c>
      <c r="E674" s="9" t="s">
        <v>4454</v>
      </c>
      <c r="F674" s="6" t="n">
        <v>20547</v>
      </c>
      <c r="Q674" s="1" t="str">
        <f aca="false">IF($A674="","",IF(OR(F674="",I674=""),"",F674-I674))</f>
        <v/>
      </c>
      <c r="R674" s="1" t="str">
        <f aca="false">IF($A674="","",IF(Q674="","",Q674+IF(O674="",0,O674)))</f>
        <v/>
      </c>
      <c r="T674" s="1" t="str">
        <f aca="false">IF($A674="","",IF(R674="","",R674-IF(S674="",0,S674)))</f>
        <v/>
      </c>
      <c r="U674" s="1" t="str">
        <f aca="false">IF($A674="","",IF(I674="","",I674-SUM(J674:P674)))</f>
        <v/>
      </c>
      <c r="V674" s="6" t="s">
        <v>4724</v>
      </c>
      <c r="W674" s="9" t="s">
        <v>528</v>
      </c>
      <c r="X674" s="9" t="s">
        <v>4725</v>
      </c>
      <c r="AC674" s="9" t="s">
        <v>4369</v>
      </c>
      <c r="AD674" s="9" t="s">
        <v>4370</v>
      </c>
      <c r="AE674" s="9" t="s">
        <v>4371</v>
      </c>
    </row>
    <row r="675" customFormat="false" ht="15" hidden="false" customHeight="true" outlineLevel="0" collapsed="false">
      <c r="A675" s="6" t="s">
        <v>2641</v>
      </c>
      <c r="B675" s="6" t="s">
        <v>456</v>
      </c>
      <c r="C675" s="6" t="s">
        <v>461</v>
      </c>
      <c r="D675" s="6" t="n">
        <v>6</v>
      </c>
      <c r="E675" s="9" t="s">
        <v>4454</v>
      </c>
      <c r="F675" s="6" t="n">
        <v>76771</v>
      </c>
      <c r="Q675" s="1" t="str">
        <f aca="false">IF($A675="","",IF(OR(F675="",I675=""),"",F675-I675))</f>
        <v/>
      </c>
      <c r="R675" s="1" t="str">
        <f aca="false">IF($A675="","",IF(Q675="","",Q675+IF(O675="",0,O675)))</f>
        <v/>
      </c>
      <c r="T675" s="1" t="str">
        <f aca="false">IF($A675="","",IF(R675="","",R675-IF(S675="",0,S675)))</f>
        <v/>
      </c>
      <c r="U675" s="1" t="str">
        <f aca="false">IF($A675="","",IF(I675="","",I675-SUM(J675:P675)))</f>
        <v/>
      </c>
      <c r="V675" s="6" t="s">
        <v>4724</v>
      </c>
      <c r="W675" s="9" t="s">
        <v>528</v>
      </c>
      <c r="X675" s="9" t="s">
        <v>4725</v>
      </c>
      <c r="AC675" s="9" t="s">
        <v>4369</v>
      </c>
      <c r="AD675" s="9" t="s">
        <v>4370</v>
      </c>
      <c r="AE675" s="9" t="s">
        <v>4371</v>
      </c>
    </row>
    <row r="676" customFormat="false" ht="15" hidden="false" customHeight="true" outlineLevel="0" collapsed="false">
      <c r="A676" s="6" t="s">
        <v>2644</v>
      </c>
      <c r="B676" s="6" t="s">
        <v>456</v>
      </c>
      <c r="C676" s="6" t="s">
        <v>461</v>
      </c>
      <c r="D676" s="6" t="n">
        <v>6</v>
      </c>
      <c r="E676" s="9" t="s">
        <v>4454</v>
      </c>
      <c r="F676" s="6" t="n">
        <v>32476</v>
      </c>
      <c r="Q676" s="1" t="str">
        <f aca="false">IF($A676="","",IF(OR(F676="",I676=""),"",F676-I676))</f>
        <v/>
      </c>
      <c r="R676" s="1" t="str">
        <f aca="false">IF($A676="","",IF(Q676="","",Q676+IF(O676="",0,O676)))</f>
        <v/>
      </c>
      <c r="T676" s="1" t="str">
        <f aca="false">IF($A676="","",IF(R676="","",R676-IF(S676="",0,S676)))</f>
        <v/>
      </c>
      <c r="U676" s="1" t="str">
        <f aca="false">IF($A676="","",IF(I676="","",I676-SUM(J676:P676)))</f>
        <v/>
      </c>
      <c r="V676" s="6" t="s">
        <v>4724</v>
      </c>
      <c r="W676" s="9" t="s">
        <v>528</v>
      </c>
      <c r="X676" s="9" t="s">
        <v>4725</v>
      </c>
      <c r="AC676" s="9" t="s">
        <v>4369</v>
      </c>
      <c r="AD676" s="9" t="s">
        <v>4370</v>
      </c>
      <c r="AE676" s="9" t="s">
        <v>4371</v>
      </c>
    </row>
    <row r="677" customFormat="false" ht="15" hidden="false" customHeight="true" outlineLevel="0" collapsed="false">
      <c r="A677" s="6" t="s">
        <v>2647</v>
      </c>
      <c r="B677" s="6" t="s">
        <v>456</v>
      </c>
      <c r="C677" s="6" t="s">
        <v>461</v>
      </c>
      <c r="D677" s="6" t="n">
        <v>6</v>
      </c>
      <c r="E677" s="9" t="s">
        <v>4454</v>
      </c>
      <c r="F677" s="6" t="n">
        <v>37346</v>
      </c>
      <c r="Q677" s="1" t="str">
        <f aca="false">IF($A677="","",IF(OR(F677="",I677=""),"",F677-I677))</f>
        <v/>
      </c>
      <c r="R677" s="1" t="str">
        <f aca="false">IF($A677="","",IF(Q677="","",Q677+IF(O677="",0,O677)))</f>
        <v/>
      </c>
      <c r="T677" s="1" t="str">
        <f aca="false">IF($A677="","",IF(R677="","",R677-IF(S677="",0,S677)))</f>
        <v/>
      </c>
      <c r="U677" s="1" t="str">
        <f aca="false">IF($A677="","",IF(I677="","",I677-SUM(J677:P677)))</f>
        <v/>
      </c>
      <c r="V677" s="6" t="s">
        <v>4724</v>
      </c>
      <c r="W677" s="9" t="s">
        <v>528</v>
      </c>
      <c r="X677" s="9" t="s">
        <v>4725</v>
      </c>
      <c r="AC677" s="9" t="s">
        <v>4369</v>
      </c>
      <c r="AD677" s="9" t="s">
        <v>4370</v>
      </c>
      <c r="AE677" s="9" t="s">
        <v>4371</v>
      </c>
    </row>
    <row r="678" customFormat="false" ht="15" hidden="false" customHeight="true" outlineLevel="0" collapsed="false">
      <c r="A678" s="6" t="s">
        <v>2650</v>
      </c>
      <c r="B678" s="6" t="s">
        <v>456</v>
      </c>
      <c r="C678" s="6" t="s">
        <v>461</v>
      </c>
      <c r="D678" s="6" t="n">
        <v>6</v>
      </c>
      <c r="E678" s="9" t="s">
        <v>4454</v>
      </c>
      <c r="F678" s="6" t="n">
        <v>21732</v>
      </c>
      <c r="Q678" s="1" t="str">
        <f aca="false">IF($A678="","",IF(OR(F678="",I678=""),"",F678-I678))</f>
        <v/>
      </c>
      <c r="R678" s="1" t="str">
        <f aca="false">IF($A678="","",IF(Q678="","",Q678+IF(O678="",0,O678)))</f>
        <v/>
      </c>
      <c r="T678" s="1" t="str">
        <f aca="false">IF($A678="","",IF(R678="","",R678-IF(S678="",0,S678)))</f>
        <v/>
      </c>
      <c r="U678" s="1" t="str">
        <f aca="false">IF($A678="","",IF(I678="","",I678-SUM(J678:P678)))</f>
        <v/>
      </c>
      <c r="V678" s="6" t="s">
        <v>4724</v>
      </c>
      <c r="W678" s="9" t="s">
        <v>528</v>
      </c>
      <c r="X678" s="9" t="s">
        <v>4725</v>
      </c>
      <c r="AC678" s="9" t="s">
        <v>4369</v>
      </c>
      <c r="AD678" s="9" t="s">
        <v>4370</v>
      </c>
      <c r="AE678" s="9" t="s">
        <v>4371</v>
      </c>
    </row>
    <row r="679" customFormat="false" ht="15" hidden="false" customHeight="true" outlineLevel="0" collapsed="false">
      <c r="A679" s="6" t="s">
        <v>2653</v>
      </c>
      <c r="B679" s="6" t="s">
        <v>456</v>
      </c>
      <c r="C679" s="6" t="s">
        <v>461</v>
      </c>
      <c r="D679" s="6" t="n">
        <v>6</v>
      </c>
      <c r="E679" s="9" t="s">
        <v>4454</v>
      </c>
      <c r="F679" s="6" t="n">
        <v>33947</v>
      </c>
      <c r="Q679" s="1" t="str">
        <f aca="false">IF($A679="","",IF(OR(F679="",I679=""),"",F679-I679))</f>
        <v/>
      </c>
      <c r="R679" s="1" t="str">
        <f aca="false">IF($A679="","",IF(Q679="","",Q679+IF(O679="",0,O679)))</f>
        <v/>
      </c>
      <c r="T679" s="1" t="str">
        <f aca="false">IF($A679="","",IF(R679="","",R679-IF(S679="",0,S679)))</f>
        <v/>
      </c>
      <c r="U679" s="1" t="str">
        <f aca="false">IF($A679="","",IF(I679="","",I679-SUM(J679:P679)))</f>
        <v/>
      </c>
      <c r="V679" s="6" t="s">
        <v>4724</v>
      </c>
      <c r="W679" s="9" t="s">
        <v>528</v>
      </c>
      <c r="X679" s="9" t="s">
        <v>4725</v>
      </c>
      <c r="AC679" s="9" t="s">
        <v>4369</v>
      </c>
      <c r="AD679" s="9" t="s">
        <v>4370</v>
      </c>
      <c r="AE679" s="9" t="s">
        <v>4371</v>
      </c>
    </row>
    <row r="680" customFormat="false" ht="15" hidden="false" customHeight="true" outlineLevel="0" collapsed="false">
      <c r="A680" s="6" t="s">
        <v>2656</v>
      </c>
      <c r="B680" s="6" t="s">
        <v>456</v>
      </c>
      <c r="C680" s="6" t="s">
        <v>461</v>
      </c>
      <c r="D680" s="6" t="n">
        <v>6</v>
      </c>
      <c r="E680" s="9" t="s">
        <v>4454</v>
      </c>
      <c r="F680" s="6" t="n">
        <v>33079</v>
      </c>
      <c r="Q680" s="1" t="str">
        <f aca="false">IF($A680="","",IF(OR(F680="",I680=""),"",F680-I680))</f>
        <v/>
      </c>
      <c r="R680" s="1" t="str">
        <f aca="false">IF($A680="","",IF(Q680="","",Q680+IF(O680="",0,O680)))</f>
        <v/>
      </c>
      <c r="T680" s="1" t="str">
        <f aca="false">IF($A680="","",IF(R680="","",R680-IF(S680="",0,S680)))</f>
        <v/>
      </c>
      <c r="U680" s="1" t="str">
        <f aca="false">IF($A680="","",IF(I680="","",I680-SUM(J680:P680)))</f>
        <v/>
      </c>
      <c r="V680" s="6" t="s">
        <v>4724</v>
      </c>
      <c r="W680" s="9" t="s">
        <v>528</v>
      </c>
      <c r="X680" s="9" t="s">
        <v>4725</v>
      </c>
      <c r="AC680" s="9" t="s">
        <v>4369</v>
      </c>
      <c r="AD680" s="9" t="s">
        <v>4370</v>
      </c>
      <c r="AE680" s="9" t="s">
        <v>4371</v>
      </c>
    </row>
    <row r="681" customFormat="false" ht="15" hidden="false" customHeight="true" outlineLevel="0" collapsed="false">
      <c r="A681" s="6" t="s">
        <v>2660</v>
      </c>
      <c r="B681" s="6" t="s">
        <v>456</v>
      </c>
      <c r="C681" s="6" t="s">
        <v>461</v>
      </c>
      <c r="D681" s="6" t="n">
        <v>6</v>
      </c>
      <c r="E681" s="9" t="s">
        <v>4454</v>
      </c>
      <c r="F681" s="6" t="n">
        <v>41426</v>
      </c>
      <c r="Q681" s="1" t="str">
        <f aca="false">IF($A681="","",IF(OR(F681="",I681=""),"",F681-I681))</f>
        <v/>
      </c>
      <c r="R681" s="1" t="str">
        <f aca="false">IF($A681="","",IF(Q681="","",Q681+IF(O681="",0,O681)))</f>
        <v/>
      </c>
      <c r="T681" s="1" t="str">
        <f aca="false">IF($A681="","",IF(R681="","",R681-IF(S681="",0,S681)))</f>
        <v/>
      </c>
      <c r="U681" s="1" t="str">
        <f aca="false">IF($A681="","",IF(I681="","",I681-SUM(J681:P681)))</f>
        <v/>
      </c>
      <c r="V681" s="6" t="s">
        <v>4724</v>
      </c>
      <c r="W681" s="9" t="s">
        <v>528</v>
      </c>
      <c r="X681" s="9" t="s">
        <v>4725</v>
      </c>
      <c r="AC681" s="9" t="s">
        <v>4369</v>
      </c>
      <c r="AD681" s="9" t="s">
        <v>4370</v>
      </c>
      <c r="AE681" s="9" t="s">
        <v>4371</v>
      </c>
    </row>
    <row r="682" customFormat="false" ht="15" hidden="false" customHeight="true" outlineLevel="0" collapsed="false">
      <c r="A682" s="6" t="s">
        <v>2663</v>
      </c>
      <c r="B682" s="6" t="s">
        <v>456</v>
      </c>
      <c r="C682" s="6" t="s">
        <v>461</v>
      </c>
      <c r="D682" s="6" t="n">
        <v>6</v>
      </c>
      <c r="E682" s="9" t="s">
        <v>4454</v>
      </c>
      <c r="F682" s="6" t="n">
        <v>22979</v>
      </c>
      <c r="Q682" s="1" t="str">
        <f aca="false">IF($A682="","",IF(OR(F682="",I682=""),"",F682-I682))</f>
        <v/>
      </c>
      <c r="R682" s="1" t="str">
        <f aca="false">IF($A682="","",IF(Q682="","",Q682+IF(O682="",0,O682)))</f>
        <v/>
      </c>
      <c r="T682" s="1" t="str">
        <f aca="false">IF($A682="","",IF(R682="","",R682-IF(S682="",0,S682)))</f>
        <v/>
      </c>
      <c r="U682" s="1" t="str">
        <f aca="false">IF($A682="","",IF(I682="","",I682-SUM(J682:P682)))</f>
        <v/>
      </c>
      <c r="V682" s="6" t="s">
        <v>4724</v>
      </c>
      <c r="W682" s="9" t="s">
        <v>528</v>
      </c>
      <c r="X682" s="9" t="s">
        <v>4725</v>
      </c>
      <c r="AC682" s="9" t="s">
        <v>4369</v>
      </c>
      <c r="AD682" s="9" t="s">
        <v>4370</v>
      </c>
      <c r="AE682" s="9" t="s">
        <v>4371</v>
      </c>
    </row>
    <row r="683" customFormat="false" ht="15" hidden="false" customHeight="true" outlineLevel="0" collapsed="false">
      <c r="A683" s="6" t="s">
        <v>2666</v>
      </c>
      <c r="B683" s="6" t="s">
        <v>456</v>
      </c>
      <c r="C683" s="6" t="s">
        <v>461</v>
      </c>
      <c r="D683" s="6" t="n">
        <v>6</v>
      </c>
      <c r="E683" s="9" t="s">
        <v>4729</v>
      </c>
      <c r="Q683" s="1" t="str">
        <f aca="false">IF($A683="","",IF(OR(F683="",I683=""),"",F683-I683))</f>
        <v/>
      </c>
      <c r="R683" s="1" t="str">
        <f aca="false">IF($A683="","",IF(Q683="","",Q683+IF(O683="",0,O683)))</f>
        <v/>
      </c>
      <c r="T683" s="1" t="str">
        <f aca="false">IF($A683="","",IF(R683="","",R683-IF(S683="",0,S683)))</f>
        <v/>
      </c>
      <c r="U683" s="1" t="str">
        <f aca="false">IF($A683="","",IF(I683="","",I683-SUM(J683:P683)))</f>
        <v/>
      </c>
      <c r="V683" s="6" t="s">
        <v>4730</v>
      </c>
      <c r="W683" s="9" t="s">
        <v>528</v>
      </c>
      <c r="X683" s="6" t="s">
        <v>4731</v>
      </c>
      <c r="AC683" s="6" t="s">
        <v>4373</v>
      </c>
      <c r="AD683" s="9" t="s">
        <v>4389</v>
      </c>
      <c r="AE683" s="9" t="s">
        <v>4371</v>
      </c>
    </row>
    <row r="684" customFormat="false" ht="15" hidden="false" customHeight="true" outlineLevel="0" collapsed="false">
      <c r="A684" s="6" t="s">
        <v>2669</v>
      </c>
      <c r="B684" s="6" t="s">
        <v>456</v>
      </c>
      <c r="C684" s="6" t="s">
        <v>461</v>
      </c>
      <c r="D684" s="6" t="n">
        <v>6</v>
      </c>
      <c r="E684" s="9" t="s">
        <v>4729</v>
      </c>
      <c r="Q684" s="1" t="str">
        <f aca="false">IF($A684="","",IF(OR(F684="",I684=""),"",F684-I684))</f>
        <v/>
      </c>
      <c r="R684" s="1" t="str">
        <f aca="false">IF($A684="","",IF(Q684="","",Q684+IF(O684="",0,O684)))</f>
        <v/>
      </c>
      <c r="T684" s="1" t="str">
        <f aca="false">IF($A684="","",IF(R684="","",R684-IF(S684="",0,S684)))</f>
        <v/>
      </c>
      <c r="U684" s="1" t="str">
        <f aca="false">IF($A684="","",IF(I684="","",I684-SUM(J684:P684)))</f>
        <v/>
      </c>
      <c r="V684" s="6" t="s">
        <v>4730</v>
      </c>
      <c r="W684" s="9" t="s">
        <v>528</v>
      </c>
      <c r="X684" s="6" t="s">
        <v>4732</v>
      </c>
      <c r="AC684" s="6" t="s">
        <v>4373</v>
      </c>
      <c r="AD684" s="9" t="s">
        <v>4389</v>
      </c>
      <c r="AE684" s="9" t="s">
        <v>4371</v>
      </c>
    </row>
    <row r="685" customFormat="false" ht="15" hidden="false" customHeight="true" outlineLevel="0" collapsed="false">
      <c r="A685" s="6" t="s">
        <v>2672</v>
      </c>
      <c r="B685" s="6" t="s">
        <v>456</v>
      </c>
      <c r="C685" s="6" t="s">
        <v>461</v>
      </c>
      <c r="D685" s="6" t="n">
        <v>6</v>
      </c>
      <c r="E685" s="9" t="s">
        <v>4454</v>
      </c>
      <c r="F685" s="6" t="n">
        <v>40533</v>
      </c>
      <c r="Q685" s="1" t="str">
        <f aca="false">IF($A685="","",IF(OR(F685="",I685=""),"",F685-I685))</f>
        <v/>
      </c>
      <c r="R685" s="1" t="str">
        <f aca="false">IF($A685="","",IF(Q685="","",Q685+IF(O685="",0,O685)))</f>
        <v/>
      </c>
      <c r="T685" s="1" t="str">
        <f aca="false">IF($A685="","",IF(R685="","",R685-IF(S685="",0,S685)))</f>
        <v/>
      </c>
      <c r="U685" s="1" t="str">
        <f aca="false">IF($A685="","",IF(I685="","",I685-SUM(J685:P685)))</f>
        <v/>
      </c>
      <c r="V685" s="6" t="s">
        <v>4724</v>
      </c>
      <c r="W685" s="9" t="s">
        <v>528</v>
      </c>
      <c r="X685" s="9" t="s">
        <v>4725</v>
      </c>
      <c r="AC685" s="9" t="s">
        <v>4369</v>
      </c>
      <c r="AD685" s="9" t="s">
        <v>4370</v>
      </c>
      <c r="AE685" s="9" t="s">
        <v>4371</v>
      </c>
    </row>
    <row r="686" customFormat="false" ht="15" hidden="false" customHeight="true" outlineLevel="0" collapsed="false">
      <c r="A686" s="6" t="s">
        <v>2675</v>
      </c>
      <c r="B686" s="6" t="s">
        <v>456</v>
      </c>
      <c r="C686" s="6" t="s">
        <v>461</v>
      </c>
      <c r="D686" s="6" t="n">
        <v>6</v>
      </c>
      <c r="E686" s="9" t="s">
        <v>4454</v>
      </c>
      <c r="F686" s="6" t="n">
        <v>31693</v>
      </c>
      <c r="Q686" s="1" t="str">
        <f aca="false">IF($A686="","",IF(OR(F686="",I686=""),"",F686-I686))</f>
        <v/>
      </c>
      <c r="R686" s="1" t="str">
        <f aca="false">IF($A686="","",IF(Q686="","",Q686+IF(O686="",0,O686)))</f>
        <v/>
      </c>
      <c r="T686" s="1" t="str">
        <f aca="false">IF($A686="","",IF(R686="","",R686-IF(S686="",0,S686)))</f>
        <v/>
      </c>
      <c r="U686" s="1" t="str">
        <f aca="false">IF($A686="","",IF(I686="","",I686-SUM(J686:P686)))</f>
        <v/>
      </c>
      <c r="V686" s="6" t="s">
        <v>4724</v>
      </c>
      <c r="W686" s="9" t="s">
        <v>528</v>
      </c>
      <c r="X686" s="9" t="s">
        <v>4725</v>
      </c>
      <c r="AC686" s="9" t="s">
        <v>4369</v>
      </c>
      <c r="AD686" s="9" t="s">
        <v>4370</v>
      </c>
      <c r="AE686" s="9" t="s">
        <v>4371</v>
      </c>
    </row>
    <row r="687" customFormat="false" ht="15" hidden="false" customHeight="true" outlineLevel="0" collapsed="false">
      <c r="A687" s="6" t="s">
        <v>2678</v>
      </c>
      <c r="B687" s="6" t="s">
        <v>456</v>
      </c>
      <c r="C687" s="6" t="s">
        <v>461</v>
      </c>
      <c r="D687" s="6" t="n">
        <v>6</v>
      </c>
      <c r="E687" s="9" t="s">
        <v>4454</v>
      </c>
      <c r="F687" s="6" t="n">
        <v>29737</v>
      </c>
      <c r="Q687" s="1" t="str">
        <f aca="false">IF($A687="","",IF(OR(F687="",I687=""),"",F687-I687))</f>
        <v/>
      </c>
      <c r="R687" s="1" t="str">
        <f aca="false">IF($A687="","",IF(Q687="","",Q687+IF(O687="",0,O687)))</f>
        <v/>
      </c>
      <c r="T687" s="1" t="str">
        <f aca="false">IF($A687="","",IF(R687="","",R687-IF(S687="",0,S687)))</f>
        <v/>
      </c>
      <c r="U687" s="1" t="str">
        <f aca="false">IF($A687="","",IF(I687="","",I687-SUM(J687:P687)))</f>
        <v/>
      </c>
      <c r="V687" s="6" t="s">
        <v>4724</v>
      </c>
      <c r="W687" s="9" t="s">
        <v>528</v>
      </c>
      <c r="X687" s="9" t="s">
        <v>4725</v>
      </c>
      <c r="AC687" s="9" t="s">
        <v>4369</v>
      </c>
      <c r="AD687" s="9" t="s">
        <v>4370</v>
      </c>
      <c r="AE687" s="9" t="s">
        <v>4371</v>
      </c>
    </row>
    <row r="688" customFormat="false" ht="15" hidden="false" customHeight="true" outlineLevel="0" collapsed="false">
      <c r="A688" s="6" t="s">
        <v>2681</v>
      </c>
      <c r="B688" s="6" t="s">
        <v>456</v>
      </c>
      <c r="C688" s="6" t="s">
        <v>461</v>
      </c>
      <c r="D688" s="6" t="n">
        <v>6</v>
      </c>
      <c r="E688" s="9" t="s">
        <v>4454</v>
      </c>
      <c r="F688" s="6" t="n">
        <v>40364</v>
      </c>
      <c r="Q688" s="1" t="str">
        <f aca="false">IF($A688="","",IF(OR(F688="",I688=""),"",F688-I688))</f>
        <v/>
      </c>
      <c r="R688" s="1" t="str">
        <f aca="false">IF($A688="","",IF(Q688="","",Q688+IF(O688="",0,O688)))</f>
        <v/>
      </c>
      <c r="T688" s="1" t="str">
        <f aca="false">IF($A688="","",IF(R688="","",R688-IF(S688="",0,S688)))</f>
        <v/>
      </c>
      <c r="U688" s="1" t="str">
        <f aca="false">IF($A688="","",IF(I688="","",I688-SUM(J688:P688)))</f>
        <v/>
      </c>
      <c r="V688" s="6" t="s">
        <v>4724</v>
      </c>
      <c r="W688" s="9" t="s">
        <v>528</v>
      </c>
      <c r="X688" s="9" t="s">
        <v>4725</v>
      </c>
      <c r="AC688" s="9" t="s">
        <v>4369</v>
      </c>
      <c r="AD688" s="9" t="s">
        <v>4370</v>
      </c>
      <c r="AE688" s="9" t="s">
        <v>4371</v>
      </c>
    </row>
    <row r="689" customFormat="false" ht="15" hidden="false" customHeight="true" outlineLevel="0" collapsed="false">
      <c r="A689" s="6" t="s">
        <v>2684</v>
      </c>
      <c r="B689" s="6" t="s">
        <v>456</v>
      </c>
      <c r="C689" s="6" t="s">
        <v>461</v>
      </c>
      <c r="D689" s="6" t="n">
        <v>6</v>
      </c>
      <c r="E689" s="9" t="s">
        <v>4454</v>
      </c>
      <c r="F689" s="6" t="n">
        <v>33435</v>
      </c>
      <c r="Q689" s="1" t="str">
        <f aca="false">IF($A689="","",IF(OR(F689="",I689=""),"",F689-I689))</f>
        <v/>
      </c>
      <c r="R689" s="1" t="str">
        <f aca="false">IF($A689="","",IF(Q689="","",Q689+IF(O689="",0,O689)))</f>
        <v/>
      </c>
      <c r="T689" s="1" t="str">
        <f aca="false">IF($A689="","",IF(R689="","",R689-IF(S689="",0,S689)))</f>
        <v/>
      </c>
      <c r="U689" s="1" t="str">
        <f aca="false">IF($A689="","",IF(I689="","",I689-SUM(J689:P689)))</f>
        <v/>
      </c>
      <c r="V689" s="6" t="s">
        <v>4724</v>
      </c>
      <c r="W689" s="9" t="s">
        <v>528</v>
      </c>
      <c r="X689" s="9" t="s">
        <v>4725</v>
      </c>
      <c r="AC689" s="9" t="s">
        <v>4369</v>
      </c>
      <c r="AD689" s="9" t="s">
        <v>4370</v>
      </c>
      <c r="AE689" s="9" t="s">
        <v>4371</v>
      </c>
    </row>
    <row r="690" customFormat="false" ht="15" hidden="false" customHeight="true" outlineLevel="0" collapsed="false">
      <c r="A690" s="6" t="s">
        <v>2687</v>
      </c>
      <c r="B690" s="6" t="s">
        <v>456</v>
      </c>
      <c r="C690" s="6" t="s">
        <v>461</v>
      </c>
      <c r="D690" s="6" t="n">
        <v>6</v>
      </c>
      <c r="E690" s="9" t="s">
        <v>4454</v>
      </c>
      <c r="F690" s="6" t="n">
        <v>83998</v>
      </c>
      <c r="Q690" s="1" t="str">
        <f aca="false">IF($A690="","",IF(OR(F690="",I690=""),"",F690-I690))</f>
        <v/>
      </c>
      <c r="R690" s="1" t="str">
        <f aca="false">IF($A690="","",IF(Q690="","",Q690+IF(O690="",0,O690)))</f>
        <v/>
      </c>
      <c r="T690" s="1" t="str">
        <f aca="false">IF($A690="","",IF(R690="","",R690-IF(S690="",0,S690)))</f>
        <v/>
      </c>
      <c r="U690" s="1" t="str">
        <f aca="false">IF($A690="","",IF(I690="","",I690-SUM(J690:P690)))</f>
        <v/>
      </c>
      <c r="V690" s="6" t="s">
        <v>4724</v>
      </c>
      <c r="W690" s="9" t="s">
        <v>528</v>
      </c>
      <c r="X690" s="9" t="s">
        <v>4725</v>
      </c>
      <c r="AC690" s="9" t="s">
        <v>4369</v>
      </c>
      <c r="AD690" s="9" t="s">
        <v>4370</v>
      </c>
      <c r="AE690" s="9" t="s">
        <v>4371</v>
      </c>
    </row>
    <row r="691" customFormat="false" ht="15" hidden="false" customHeight="true" outlineLevel="0" collapsed="false">
      <c r="A691" s="6" t="s">
        <v>2690</v>
      </c>
      <c r="B691" s="6" t="s">
        <v>456</v>
      </c>
      <c r="C691" s="6" t="s">
        <v>461</v>
      </c>
      <c r="D691" s="6" t="n">
        <v>6</v>
      </c>
      <c r="E691" s="9" t="s">
        <v>4454</v>
      </c>
      <c r="F691" s="6" t="n">
        <v>33617</v>
      </c>
      <c r="Q691" s="1" t="str">
        <f aca="false">IF($A691="","",IF(OR(F691="",I691=""),"",F691-I691))</f>
        <v/>
      </c>
      <c r="R691" s="1" t="str">
        <f aca="false">IF($A691="","",IF(Q691="","",Q691+IF(O691="",0,O691)))</f>
        <v/>
      </c>
      <c r="T691" s="1" t="str">
        <f aca="false">IF($A691="","",IF(R691="","",R691-IF(S691="",0,S691)))</f>
        <v/>
      </c>
      <c r="U691" s="1" t="str">
        <f aca="false">IF($A691="","",IF(I691="","",I691-SUM(J691:P691)))</f>
        <v/>
      </c>
      <c r="V691" s="6" t="s">
        <v>4724</v>
      </c>
      <c r="W691" s="9" t="s">
        <v>528</v>
      </c>
      <c r="X691" s="9" t="s">
        <v>4725</v>
      </c>
      <c r="AC691" s="9" t="s">
        <v>4369</v>
      </c>
      <c r="AD691" s="9" t="s">
        <v>4370</v>
      </c>
      <c r="AE691" s="9" t="s">
        <v>4371</v>
      </c>
    </row>
    <row r="692" customFormat="false" ht="15" hidden="false" customHeight="true" outlineLevel="0" collapsed="false">
      <c r="A692" s="6" t="s">
        <v>2693</v>
      </c>
      <c r="B692" s="6" t="s">
        <v>456</v>
      </c>
      <c r="C692" s="6" t="s">
        <v>461</v>
      </c>
      <c r="D692" s="6" t="n">
        <v>6</v>
      </c>
      <c r="E692" s="9" t="s">
        <v>4454</v>
      </c>
      <c r="F692" s="6" t="n">
        <v>44442</v>
      </c>
      <c r="Q692" s="1" t="str">
        <f aca="false">IF($A692="","",IF(OR(F692="",I692=""),"",F692-I692))</f>
        <v/>
      </c>
      <c r="R692" s="1" t="str">
        <f aca="false">IF($A692="","",IF(Q692="","",Q692+IF(O692="",0,O692)))</f>
        <v/>
      </c>
      <c r="T692" s="1" t="str">
        <f aca="false">IF($A692="","",IF(R692="","",R692-IF(S692="",0,S692)))</f>
        <v/>
      </c>
      <c r="U692" s="1" t="str">
        <f aca="false">IF($A692="","",IF(I692="","",I692-SUM(J692:P692)))</f>
        <v/>
      </c>
      <c r="V692" s="6" t="s">
        <v>4724</v>
      </c>
      <c r="W692" s="9" t="s">
        <v>528</v>
      </c>
      <c r="X692" s="9" t="s">
        <v>4725</v>
      </c>
      <c r="AC692" s="9" t="s">
        <v>4369</v>
      </c>
      <c r="AD692" s="9" t="s">
        <v>4370</v>
      </c>
      <c r="AE692" s="9" t="s">
        <v>4371</v>
      </c>
    </row>
    <row r="693" customFormat="false" ht="15" hidden="false" customHeight="true" outlineLevel="0" collapsed="false">
      <c r="A693" s="6" t="s">
        <v>2696</v>
      </c>
      <c r="B693" s="6" t="s">
        <v>456</v>
      </c>
      <c r="C693" s="6" t="s">
        <v>461</v>
      </c>
      <c r="D693" s="6" t="n">
        <v>6</v>
      </c>
      <c r="E693" s="9" t="s">
        <v>4454</v>
      </c>
      <c r="F693" s="6" t="n">
        <v>68254</v>
      </c>
      <c r="Q693" s="1" t="str">
        <f aca="false">IF($A693="","",IF(OR(F693="",I693=""),"",F693-I693))</f>
        <v/>
      </c>
      <c r="R693" s="1" t="str">
        <f aca="false">IF($A693="","",IF(Q693="","",Q693+IF(O693="",0,O693)))</f>
        <v/>
      </c>
      <c r="T693" s="1" t="str">
        <f aca="false">IF($A693="","",IF(R693="","",R693-IF(S693="",0,S693)))</f>
        <v/>
      </c>
      <c r="U693" s="1" t="str">
        <f aca="false">IF($A693="","",IF(I693="","",I693-SUM(J693:P693)))</f>
        <v/>
      </c>
      <c r="V693" s="6" t="s">
        <v>4724</v>
      </c>
      <c r="W693" s="9" t="s">
        <v>528</v>
      </c>
      <c r="X693" s="9" t="s">
        <v>4725</v>
      </c>
      <c r="AC693" s="9" t="s">
        <v>4369</v>
      </c>
      <c r="AD693" s="9" t="s">
        <v>4370</v>
      </c>
      <c r="AE693" s="9" t="s">
        <v>4371</v>
      </c>
    </row>
    <row r="694" customFormat="false" ht="15" hidden="false" customHeight="true" outlineLevel="0" collapsed="false">
      <c r="A694" s="6" t="s">
        <v>2699</v>
      </c>
      <c r="B694" s="6" t="s">
        <v>456</v>
      </c>
      <c r="C694" s="6" t="s">
        <v>461</v>
      </c>
      <c r="D694" s="6" t="n">
        <v>6</v>
      </c>
      <c r="E694" s="9" t="s">
        <v>4454</v>
      </c>
      <c r="F694" s="6" t="n">
        <v>44434</v>
      </c>
      <c r="Q694" s="1" t="str">
        <f aca="false">IF($A694="","",IF(OR(F694="",I694=""),"",F694-I694))</f>
        <v/>
      </c>
      <c r="R694" s="1" t="str">
        <f aca="false">IF($A694="","",IF(Q694="","",Q694+IF(O694="",0,O694)))</f>
        <v/>
      </c>
      <c r="T694" s="1" t="str">
        <f aca="false">IF($A694="","",IF(R694="","",R694-IF(S694="",0,S694)))</f>
        <v/>
      </c>
      <c r="U694" s="1" t="str">
        <f aca="false">IF($A694="","",IF(I694="","",I694-SUM(J694:P694)))</f>
        <v/>
      </c>
      <c r="V694" s="6" t="s">
        <v>4724</v>
      </c>
      <c r="W694" s="9" t="s">
        <v>528</v>
      </c>
      <c r="X694" s="9" t="s">
        <v>4725</v>
      </c>
      <c r="AC694" s="9" t="s">
        <v>4369</v>
      </c>
      <c r="AD694" s="9" t="s">
        <v>4370</v>
      </c>
      <c r="AE694" s="9" t="s">
        <v>4371</v>
      </c>
    </row>
    <row r="695" customFormat="false" ht="15" hidden="false" customHeight="true" outlineLevel="0" collapsed="false">
      <c r="A695" s="6" t="s">
        <v>2702</v>
      </c>
      <c r="B695" s="6" t="s">
        <v>456</v>
      </c>
      <c r="C695" s="6" t="s">
        <v>461</v>
      </c>
      <c r="D695" s="6" t="n">
        <v>6</v>
      </c>
      <c r="E695" s="9" t="s">
        <v>4454</v>
      </c>
      <c r="F695" s="6" t="n">
        <v>28750</v>
      </c>
      <c r="Q695" s="1" t="str">
        <f aca="false">IF($A695="","",IF(OR(F695="",I695=""),"",F695-I695))</f>
        <v/>
      </c>
      <c r="R695" s="1" t="str">
        <f aca="false">IF($A695="","",IF(Q695="","",Q695+IF(O695="",0,O695)))</f>
        <v/>
      </c>
      <c r="T695" s="1" t="str">
        <f aca="false">IF($A695="","",IF(R695="","",R695-IF(S695="",0,S695)))</f>
        <v/>
      </c>
      <c r="U695" s="1" t="str">
        <f aca="false">IF($A695="","",IF(I695="","",I695-SUM(J695:P695)))</f>
        <v/>
      </c>
      <c r="V695" s="6" t="s">
        <v>4724</v>
      </c>
      <c r="W695" s="9" t="s">
        <v>528</v>
      </c>
      <c r="X695" s="9" t="s">
        <v>4725</v>
      </c>
      <c r="AC695" s="9" t="s">
        <v>4369</v>
      </c>
      <c r="AD695" s="9" t="s">
        <v>4370</v>
      </c>
      <c r="AE695" s="9" t="s">
        <v>4371</v>
      </c>
    </row>
    <row r="696" customFormat="false" ht="15" hidden="false" customHeight="true" outlineLevel="0" collapsed="false">
      <c r="A696" s="6" t="s">
        <v>2705</v>
      </c>
      <c r="B696" s="6" t="s">
        <v>456</v>
      </c>
      <c r="C696" s="6" t="s">
        <v>461</v>
      </c>
      <c r="D696" s="6" t="n">
        <v>6</v>
      </c>
      <c r="E696" s="9" t="s">
        <v>4454</v>
      </c>
      <c r="F696" s="6" t="n">
        <v>65532</v>
      </c>
      <c r="Q696" s="1" t="str">
        <f aca="false">IF($A696="","",IF(OR(F696="",I696=""),"",F696-I696))</f>
        <v/>
      </c>
      <c r="R696" s="1" t="str">
        <f aca="false">IF($A696="","",IF(Q696="","",Q696+IF(O696="",0,O696)))</f>
        <v/>
      </c>
      <c r="T696" s="1" t="str">
        <f aca="false">IF($A696="","",IF(R696="","",R696-IF(S696="",0,S696)))</f>
        <v/>
      </c>
      <c r="U696" s="1" t="str">
        <f aca="false">IF($A696="","",IF(I696="","",I696-SUM(J696:P696)))</f>
        <v/>
      </c>
      <c r="V696" s="6" t="s">
        <v>4724</v>
      </c>
      <c r="W696" s="9" t="s">
        <v>528</v>
      </c>
      <c r="X696" s="9" t="s">
        <v>4725</v>
      </c>
      <c r="AC696" s="9" t="s">
        <v>4369</v>
      </c>
      <c r="AD696" s="9" t="s">
        <v>4370</v>
      </c>
      <c r="AE696" s="9" t="s">
        <v>4371</v>
      </c>
    </row>
    <row r="697" customFormat="false" ht="15" hidden="false" customHeight="true" outlineLevel="0" collapsed="false">
      <c r="A697" s="6" t="s">
        <v>2708</v>
      </c>
      <c r="B697" s="6" t="s">
        <v>456</v>
      </c>
      <c r="C697" s="6" t="s">
        <v>461</v>
      </c>
      <c r="D697" s="6" t="n">
        <v>6</v>
      </c>
      <c r="E697" s="9" t="s">
        <v>4454</v>
      </c>
      <c r="F697" s="6" t="n">
        <v>64059</v>
      </c>
      <c r="Q697" s="1" t="str">
        <f aca="false">IF($A697="","",IF(OR(F697="",I697=""),"",F697-I697))</f>
        <v/>
      </c>
      <c r="R697" s="1" t="str">
        <f aca="false">IF($A697="","",IF(Q697="","",Q697+IF(O697="",0,O697)))</f>
        <v/>
      </c>
      <c r="T697" s="1" t="str">
        <f aca="false">IF($A697="","",IF(R697="","",R697-IF(S697="",0,S697)))</f>
        <v/>
      </c>
      <c r="U697" s="1" t="str">
        <f aca="false">IF($A697="","",IF(I697="","",I697-SUM(J697:P697)))</f>
        <v/>
      </c>
      <c r="V697" s="6" t="s">
        <v>4724</v>
      </c>
      <c r="W697" s="9" t="s">
        <v>528</v>
      </c>
      <c r="X697" s="9" t="s">
        <v>4725</v>
      </c>
      <c r="AC697" s="9" t="s">
        <v>4369</v>
      </c>
      <c r="AD697" s="9" t="s">
        <v>4370</v>
      </c>
      <c r="AE697" s="9" t="s">
        <v>4371</v>
      </c>
    </row>
    <row r="698" customFormat="false" ht="15" hidden="false" customHeight="true" outlineLevel="0" collapsed="false">
      <c r="A698" s="6" t="s">
        <v>2711</v>
      </c>
      <c r="B698" s="6" t="s">
        <v>456</v>
      </c>
      <c r="C698" s="6" t="s">
        <v>461</v>
      </c>
      <c r="D698" s="6" t="n">
        <v>6</v>
      </c>
      <c r="E698" s="9" t="s">
        <v>4454</v>
      </c>
      <c r="F698" s="6" t="n">
        <v>61008</v>
      </c>
      <c r="Q698" s="1" t="str">
        <f aca="false">IF($A698="","",IF(OR(F698="",I698=""),"",F698-I698))</f>
        <v/>
      </c>
      <c r="R698" s="1" t="str">
        <f aca="false">IF($A698="","",IF(Q698="","",Q698+IF(O698="",0,O698)))</f>
        <v/>
      </c>
      <c r="T698" s="1" t="str">
        <f aca="false">IF($A698="","",IF(R698="","",R698-IF(S698="",0,S698)))</f>
        <v/>
      </c>
      <c r="U698" s="1" t="str">
        <f aca="false">IF($A698="","",IF(I698="","",I698-SUM(J698:P698)))</f>
        <v/>
      </c>
      <c r="V698" s="6" t="s">
        <v>4724</v>
      </c>
      <c r="W698" s="9" t="s">
        <v>528</v>
      </c>
      <c r="X698" s="9" t="s">
        <v>4725</v>
      </c>
      <c r="AC698" s="9" t="s">
        <v>4369</v>
      </c>
      <c r="AD698" s="9" t="s">
        <v>4370</v>
      </c>
      <c r="AE698" s="9" t="s">
        <v>4371</v>
      </c>
    </row>
    <row r="699" customFormat="false" ht="15" hidden="false" customHeight="true" outlineLevel="0" collapsed="false">
      <c r="A699" s="6" t="s">
        <v>2714</v>
      </c>
      <c r="B699" s="6" t="s">
        <v>456</v>
      </c>
      <c r="C699" s="6" t="s">
        <v>461</v>
      </c>
      <c r="D699" s="6" t="n">
        <v>6</v>
      </c>
      <c r="E699" s="9" t="s">
        <v>4454</v>
      </c>
      <c r="F699" s="6" t="n">
        <v>32270</v>
      </c>
      <c r="Q699" s="1" t="str">
        <f aca="false">IF($A699="","",IF(OR(F699="",I699=""),"",F699-I699))</f>
        <v/>
      </c>
      <c r="R699" s="1" t="str">
        <f aca="false">IF($A699="","",IF(Q699="","",Q699+IF(O699="",0,O699)))</f>
        <v/>
      </c>
      <c r="T699" s="1" t="str">
        <f aca="false">IF($A699="","",IF(R699="","",R699-IF(S699="",0,S699)))</f>
        <v/>
      </c>
      <c r="U699" s="1" t="str">
        <f aca="false">IF($A699="","",IF(I699="","",I699-SUM(J699:P699)))</f>
        <v/>
      </c>
      <c r="V699" s="6" t="s">
        <v>4724</v>
      </c>
      <c r="W699" s="9" t="s">
        <v>528</v>
      </c>
      <c r="X699" s="9" t="s">
        <v>4725</v>
      </c>
      <c r="AC699" s="9" t="s">
        <v>4369</v>
      </c>
      <c r="AD699" s="9" t="s">
        <v>4370</v>
      </c>
      <c r="AE699" s="9" t="s">
        <v>4371</v>
      </c>
    </row>
    <row r="700" customFormat="false" ht="15" hidden="false" customHeight="true" outlineLevel="0" collapsed="false">
      <c r="A700" s="6" t="s">
        <v>2717</v>
      </c>
      <c r="B700" s="6" t="s">
        <v>456</v>
      </c>
      <c r="C700" s="6" t="s">
        <v>461</v>
      </c>
      <c r="D700" s="6" t="n">
        <v>6</v>
      </c>
      <c r="E700" s="9" t="s">
        <v>4454</v>
      </c>
      <c r="F700" s="6" t="n">
        <v>27131</v>
      </c>
      <c r="Q700" s="1" t="str">
        <f aca="false">IF($A700="","",IF(OR(F700="",I700=""),"",F700-I700))</f>
        <v/>
      </c>
      <c r="R700" s="1" t="str">
        <f aca="false">IF($A700="","",IF(Q700="","",Q700+IF(O700="",0,O700)))</f>
        <v/>
      </c>
      <c r="T700" s="1" t="str">
        <f aca="false">IF($A700="","",IF(R700="","",R700-IF(S700="",0,S700)))</f>
        <v/>
      </c>
      <c r="U700" s="1" t="str">
        <f aca="false">IF($A700="","",IF(I700="","",I700-SUM(J700:P700)))</f>
        <v/>
      </c>
      <c r="V700" s="6" t="s">
        <v>4724</v>
      </c>
      <c r="W700" s="9" t="s">
        <v>528</v>
      </c>
      <c r="X700" s="9" t="s">
        <v>4725</v>
      </c>
      <c r="AC700" s="9" t="s">
        <v>4369</v>
      </c>
      <c r="AD700" s="9" t="s">
        <v>4370</v>
      </c>
      <c r="AE700" s="9" t="s">
        <v>4371</v>
      </c>
    </row>
    <row r="701" customFormat="false" ht="15" hidden="false" customHeight="true" outlineLevel="0" collapsed="false">
      <c r="A701" s="6" t="s">
        <v>2720</v>
      </c>
      <c r="B701" s="6" t="s">
        <v>456</v>
      </c>
      <c r="C701" s="6" t="s">
        <v>461</v>
      </c>
      <c r="D701" s="6" t="n">
        <v>6</v>
      </c>
      <c r="E701" s="9" t="s">
        <v>4454</v>
      </c>
      <c r="F701" s="6" t="n">
        <v>51041</v>
      </c>
      <c r="Q701" s="1" t="str">
        <f aca="false">IF($A701="","",IF(OR(F701="",I701=""),"",F701-I701))</f>
        <v/>
      </c>
      <c r="R701" s="1" t="str">
        <f aca="false">IF($A701="","",IF(Q701="","",Q701+IF(O701="",0,O701)))</f>
        <v/>
      </c>
      <c r="T701" s="1" t="str">
        <f aca="false">IF($A701="","",IF(R701="","",R701-IF(S701="",0,S701)))</f>
        <v/>
      </c>
      <c r="U701" s="1" t="str">
        <f aca="false">IF($A701="","",IF(I701="","",I701-SUM(J701:P701)))</f>
        <v/>
      </c>
      <c r="V701" s="6" t="s">
        <v>4724</v>
      </c>
      <c r="W701" s="9" t="s">
        <v>528</v>
      </c>
      <c r="X701" s="9" t="s">
        <v>4725</v>
      </c>
      <c r="AC701" s="9" t="s">
        <v>4369</v>
      </c>
      <c r="AD701" s="9" t="s">
        <v>4370</v>
      </c>
      <c r="AE701" s="9" t="s">
        <v>4371</v>
      </c>
    </row>
    <row r="702" customFormat="false" ht="15" hidden="false" customHeight="true" outlineLevel="0" collapsed="false">
      <c r="A702" s="6" t="s">
        <v>2723</v>
      </c>
      <c r="B702" s="6" t="s">
        <v>456</v>
      </c>
      <c r="C702" s="6" t="s">
        <v>461</v>
      </c>
      <c r="D702" s="6" t="n">
        <v>6</v>
      </c>
      <c r="E702" s="9" t="s">
        <v>4454</v>
      </c>
      <c r="F702" s="6" t="n">
        <v>53691</v>
      </c>
      <c r="Q702" s="1" t="str">
        <f aca="false">IF($A702="","",IF(OR(F702="",I702=""),"",F702-I702))</f>
        <v/>
      </c>
      <c r="R702" s="1" t="str">
        <f aca="false">IF($A702="","",IF(Q702="","",Q702+IF(O702="",0,O702)))</f>
        <v/>
      </c>
      <c r="T702" s="1" t="str">
        <f aca="false">IF($A702="","",IF(R702="","",R702-IF(S702="",0,S702)))</f>
        <v/>
      </c>
      <c r="U702" s="1" t="str">
        <f aca="false">IF($A702="","",IF(I702="","",I702-SUM(J702:P702)))</f>
        <v/>
      </c>
      <c r="V702" s="6" t="s">
        <v>4724</v>
      </c>
      <c r="W702" s="9" t="s">
        <v>528</v>
      </c>
      <c r="X702" s="9" t="s">
        <v>4725</v>
      </c>
      <c r="AC702" s="9" t="s">
        <v>4369</v>
      </c>
      <c r="AD702" s="9" t="s">
        <v>4370</v>
      </c>
      <c r="AE702" s="9" t="s">
        <v>4371</v>
      </c>
    </row>
    <row r="703" customFormat="false" ht="15" hidden="false" customHeight="true" outlineLevel="0" collapsed="false">
      <c r="A703" s="6" t="s">
        <v>2726</v>
      </c>
      <c r="B703" s="6" t="s">
        <v>456</v>
      </c>
      <c r="C703" s="6" t="s">
        <v>461</v>
      </c>
      <c r="D703" s="6" t="n">
        <v>6</v>
      </c>
      <c r="E703" s="9" t="s">
        <v>4454</v>
      </c>
      <c r="F703" s="6" t="n">
        <v>32347</v>
      </c>
      <c r="Q703" s="1" t="str">
        <f aca="false">IF($A703="","",IF(OR(F703="",I703=""),"",F703-I703))</f>
        <v/>
      </c>
      <c r="R703" s="1" t="str">
        <f aca="false">IF($A703="","",IF(Q703="","",Q703+IF(O703="",0,O703)))</f>
        <v/>
      </c>
      <c r="T703" s="1" t="str">
        <f aca="false">IF($A703="","",IF(R703="","",R703-IF(S703="",0,S703)))</f>
        <v/>
      </c>
      <c r="U703" s="1" t="str">
        <f aca="false">IF($A703="","",IF(I703="","",I703-SUM(J703:P703)))</f>
        <v/>
      </c>
      <c r="V703" s="6" t="s">
        <v>4724</v>
      </c>
      <c r="W703" s="9" t="s">
        <v>528</v>
      </c>
      <c r="X703" s="9" t="s">
        <v>4725</v>
      </c>
      <c r="AC703" s="9" t="s">
        <v>4369</v>
      </c>
      <c r="AD703" s="9" t="s">
        <v>4370</v>
      </c>
      <c r="AE703" s="9" t="s">
        <v>4371</v>
      </c>
    </row>
    <row r="704" customFormat="false" ht="15" hidden="false" customHeight="true" outlineLevel="0" collapsed="false">
      <c r="A704" s="6" t="s">
        <v>2729</v>
      </c>
      <c r="B704" s="6" t="s">
        <v>456</v>
      </c>
      <c r="C704" s="6" t="s">
        <v>461</v>
      </c>
      <c r="D704" s="6" t="n">
        <v>6</v>
      </c>
      <c r="E704" s="9" t="s">
        <v>4454</v>
      </c>
      <c r="F704" s="6" t="n">
        <v>34884</v>
      </c>
      <c r="Q704" s="1" t="str">
        <f aca="false">IF($A704="","",IF(OR(F704="",I704=""),"",F704-I704))</f>
        <v/>
      </c>
      <c r="R704" s="1" t="str">
        <f aca="false">IF($A704="","",IF(Q704="","",Q704+IF(O704="",0,O704)))</f>
        <v/>
      </c>
      <c r="T704" s="1" t="str">
        <f aca="false">IF($A704="","",IF(R704="","",R704-IF(S704="",0,S704)))</f>
        <v/>
      </c>
      <c r="U704" s="1" t="str">
        <f aca="false">IF($A704="","",IF(I704="","",I704-SUM(J704:P704)))</f>
        <v/>
      </c>
      <c r="V704" s="6" t="s">
        <v>4724</v>
      </c>
      <c r="W704" s="9" t="s">
        <v>528</v>
      </c>
      <c r="X704" s="9" t="s">
        <v>4725</v>
      </c>
      <c r="AC704" s="9" t="s">
        <v>4369</v>
      </c>
      <c r="AD704" s="9" t="s">
        <v>4370</v>
      </c>
      <c r="AE704" s="9" t="s">
        <v>4371</v>
      </c>
    </row>
    <row r="705" customFormat="false" ht="15" hidden="false" customHeight="true" outlineLevel="0" collapsed="false">
      <c r="A705" s="6" t="s">
        <v>2732</v>
      </c>
      <c r="B705" s="6" t="s">
        <v>456</v>
      </c>
      <c r="C705" s="6" t="s">
        <v>461</v>
      </c>
      <c r="D705" s="6" t="n">
        <v>6</v>
      </c>
      <c r="E705" s="9" t="s">
        <v>4454</v>
      </c>
      <c r="F705" s="6" t="n">
        <v>31368</v>
      </c>
      <c r="Q705" s="1" t="str">
        <f aca="false">IF($A705="","",IF(OR(F705="",I705=""),"",F705-I705))</f>
        <v/>
      </c>
      <c r="R705" s="1" t="str">
        <f aca="false">IF($A705="","",IF(Q705="","",Q705+IF(O705="",0,O705)))</f>
        <v/>
      </c>
      <c r="T705" s="1" t="str">
        <f aca="false">IF($A705="","",IF(R705="","",R705-IF(S705="",0,S705)))</f>
        <v/>
      </c>
      <c r="U705" s="1" t="str">
        <f aca="false">IF($A705="","",IF(I705="","",I705-SUM(J705:P705)))</f>
        <v/>
      </c>
      <c r="V705" s="6" t="s">
        <v>4724</v>
      </c>
      <c r="W705" s="9" t="s">
        <v>528</v>
      </c>
      <c r="X705" s="9" t="s">
        <v>4725</v>
      </c>
      <c r="AC705" s="9" t="s">
        <v>4369</v>
      </c>
      <c r="AD705" s="9" t="s">
        <v>4370</v>
      </c>
      <c r="AE705" s="9" t="s">
        <v>4371</v>
      </c>
    </row>
    <row r="706" customFormat="false" ht="15" hidden="false" customHeight="true" outlineLevel="0" collapsed="false">
      <c r="A706" s="6" t="s">
        <v>2735</v>
      </c>
      <c r="B706" s="6" t="s">
        <v>456</v>
      </c>
      <c r="C706" s="6" t="s">
        <v>461</v>
      </c>
      <c r="D706" s="6" t="n">
        <v>6</v>
      </c>
      <c r="E706" s="9" t="s">
        <v>4454</v>
      </c>
      <c r="F706" s="6" t="n">
        <v>28883</v>
      </c>
      <c r="Q706" s="1" t="str">
        <f aca="false">IF($A706="","",IF(OR(F706="",I706=""),"",F706-I706))</f>
        <v/>
      </c>
      <c r="R706" s="1" t="str">
        <f aca="false">IF($A706="","",IF(Q706="","",Q706+IF(O706="",0,O706)))</f>
        <v/>
      </c>
      <c r="T706" s="1" t="str">
        <f aca="false">IF($A706="","",IF(R706="","",R706-IF(S706="",0,S706)))</f>
        <v/>
      </c>
      <c r="U706" s="1" t="str">
        <f aca="false">IF($A706="","",IF(I706="","",I706-SUM(J706:P706)))</f>
        <v/>
      </c>
      <c r="V706" s="6" t="s">
        <v>4724</v>
      </c>
      <c r="W706" s="9" t="s">
        <v>528</v>
      </c>
      <c r="X706" s="9" t="s">
        <v>4725</v>
      </c>
      <c r="AC706" s="9" t="s">
        <v>4369</v>
      </c>
      <c r="AD706" s="9" t="s">
        <v>4370</v>
      </c>
      <c r="AE706" s="9" t="s">
        <v>4371</v>
      </c>
    </row>
    <row r="707" customFormat="false" ht="15" hidden="false" customHeight="true" outlineLevel="0" collapsed="false">
      <c r="A707" s="6" t="s">
        <v>2738</v>
      </c>
      <c r="B707" s="6" t="s">
        <v>456</v>
      </c>
      <c r="C707" s="6" t="s">
        <v>461</v>
      </c>
      <c r="D707" s="6" t="n">
        <v>6</v>
      </c>
      <c r="E707" s="9" t="s">
        <v>4454</v>
      </c>
      <c r="F707" s="6" t="n">
        <v>35518</v>
      </c>
      <c r="Q707" s="1" t="str">
        <f aca="false">IF($A707="","",IF(OR(F707="",I707=""),"",F707-I707))</f>
        <v/>
      </c>
      <c r="R707" s="1" t="str">
        <f aca="false">IF($A707="","",IF(Q707="","",Q707+IF(O707="",0,O707)))</f>
        <v/>
      </c>
      <c r="T707" s="1" t="str">
        <f aca="false">IF($A707="","",IF(R707="","",R707-IF(S707="",0,S707)))</f>
        <v/>
      </c>
      <c r="U707" s="1" t="str">
        <f aca="false">IF($A707="","",IF(I707="","",I707-SUM(J707:P707)))</f>
        <v/>
      </c>
      <c r="V707" s="6" t="s">
        <v>4724</v>
      </c>
      <c r="W707" s="9" t="s">
        <v>528</v>
      </c>
      <c r="X707" s="9" t="s">
        <v>4725</v>
      </c>
      <c r="AC707" s="9" t="s">
        <v>4369</v>
      </c>
      <c r="AD707" s="9" t="s">
        <v>4370</v>
      </c>
      <c r="AE707" s="9" t="s">
        <v>4371</v>
      </c>
    </row>
    <row r="708" customFormat="false" ht="15" hidden="false" customHeight="true" outlineLevel="0" collapsed="false">
      <c r="A708" s="6" t="s">
        <v>2741</v>
      </c>
      <c r="B708" s="6" t="s">
        <v>456</v>
      </c>
      <c r="C708" s="6" t="s">
        <v>461</v>
      </c>
      <c r="D708" s="6" t="n">
        <v>6</v>
      </c>
      <c r="E708" s="9" t="s">
        <v>4454</v>
      </c>
      <c r="F708" s="6" t="n">
        <v>40674</v>
      </c>
      <c r="Q708" s="1" t="str">
        <f aca="false">IF($A708="","",IF(OR(F708="",I708=""),"",F708-I708))</f>
        <v/>
      </c>
      <c r="R708" s="1" t="str">
        <f aca="false">IF($A708="","",IF(Q708="","",Q708+IF(O708="",0,O708)))</f>
        <v/>
      </c>
      <c r="T708" s="1" t="str">
        <f aca="false">IF($A708="","",IF(R708="","",R708-IF(S708="",0,S708)))</f>
        <v/>
      </c>
      <c r="U708" s="1" t="str">
        <f aca="false">IF($A708="","",IF(I708="","",I708-SUM(J708:P708)))</f>
        <v/>
      </c>
      <c r="V708" s="6" t="s">
        <v>4724</v>
      </c>
      <c r="W708" s="9" t="s">
        <v>528</v>
      </c>
      <c r="X708" s="9" t="s">
        <v>4725</v>
      </c>
      <c r="AC708" s="9" t="s">
        <v>4369</v>
      </c>
      <c r="AD708" s="9" t="s">
        <v>4370</v>
      </c>
      <c r="AE708" s="9" t="s">
        <v>4371</v>
      </c>
    </row>
    <row r="709" customFormat="false" ht="15" hidden="false" customHeight="true" outlineLevel="0" collapsed="false">
      <c r="A709" s="6" t="s">
        <v>2744</v>
      </c>
      <c r="B709" s="6" t="s">
        <v>456</v>
      </c>
      <c r="C709" s="6" t="s">
        <v>461</v>
      </c>
      <c r="D709" s="6" t="n">
        <v>6</v>
      </c>
      <c r="E709" s="9" t="s">
        <v>4454</v>
      </c>
      <c r="F709" s="6" t="n">
        <v>34668</v>
      </c>
      <c r="Q709" s="1" t="str">
        <f aca="false">IF($A709="","",IF(OR(F709="",I709=""),"",F709-I709))</f>
        <v/>
      </c>
      <c r="R709" s="1" t="str">
        <f aca="false">IF($A709="","",IF(Q709="","",Q709+IF(O709="",0,O709)))</f>
        <v/>
      </c>
      <c r="T709" s="1" t="str">
        <f aca="false">IF($A709="","",IF(R709="","",R709-IF(S709="",0,S709)))</f>
        <v/>
      </c>
      <c r="U709" s="1" t="str">
        <f aca="false">IF($A709="","",IF(I709="","",I709-SUM(J709:P709)))</f>
        <v/>
      </c>
      <c r="V709" s="6" t="s">
        <v>4724</v>
      </c>
      <c r="W709" s="9" t="s">
        <v>528</v>
      </c>
      <c r="X709" s="9" t="s">
        <v>4725</v>
      </c>
      <c r="AC709" s="9" t="s">
        <v>4369</v>
      </c>
      <c r="AD709" s="9" t="s">
        <v>4370</v>
      </c>
      <c r="AE709" s="9" t="s">
        <v>4371</v>
      </c>
    </row>
    <row r="710" customFormat="false" ht="15" hidden="false" customHeight="true" outlineLevel="0" collapsed="false">
      <c r="A710" s="6" t="s">
        <v>2747</v>
      </c>
      <c r="B710" s="6" t="s">
        <v>456</v>
      </c>
      <c r="C710" s="6" t="s">
        <v>461</v>
      </c>
      <c r="D710" s="6" t="n">
        <v>6</v>
      </c>
      <c r="E710" s="9" t="s">
        <v>4454</v>
      </c>
      <c r="F710" s="6" t="n">
        <v>38260</v>
      </c>
      <c r="Q710" s="1" t="str">
        <f aca="false">IF($A710="","",IF(OR(F710="",I710=""),"",F710-I710))</f>
        <v/>
      </c>
      <c r="R710" s="1" t="str">
        <f aca="false">IF($A710="","",IF(Q710="","",Q710+IF(O710="",0,O710)))</f>
        <v/>
      </c>
      <c r="T710" s="1" t="str">
        <f aca="false">IF($A710="","",IF(R710="","",R710-IF(S710="",0,S710)))</f>
        <v/>
      </c>
      <c r="U710" s="1" t="str">
        <f aca="false">IF($A710="","",IF(I710="","",I710-SUM(J710:P710)))</f>
        <v/>
      </c>
      <c r="V710" s="6" t="s">
        <v>4724</v>
      </c>
      <c r="W710" s="9" t="s">
        <v>528</v>
      </c>
      <c r="X710" s="9" t="s">
        <v>4725</v>
      </c>
      <c r="AC710" s="9" t="s">
        <v>4369</v>
      </c>
      <c r="AD710" s="9" t="s">
        <v>4370</v>
      </c>
      <c r="AE710" s="9" t="s">
        <v>4371</v>
      </c>
    </row>
    <row r="711" customFormat="false" ht="15" hidden="false" customHeight="true" outlineLevel="0" collapsed="false">
      <c r="A711" s="6" t="s">
        <v>2750</v>
      </c>
      <c r="B711" s="6" t="s">
        <v>456</v>
      </c>
      <c r="C711" s="6" t="s">
        <v>461</v>
      </c>
      <c r="D711" s="6" t="n">
        <v>6</v>
      </c>
      <c r="E711" s="9" t="s">
        <v>4454</v>
      </c>
      <c r="F711" s="6" t="n">
        <v>44999</v>
      </c>
      <c r="Q711" s="1" t="str">
        <f aca="false">IF($A711="","",IF(OR(F711="",I711=""),"",F711-I711))</f>
        <v/>
      </c>
      <c r="R711" s="1" t="str">
        <f aca="false">IF($A711="","",IF(Q711="","",Q711+IF(O711="",0,O711)))</f>
        <v/>
      </c>
      <c r="T711" s="1" t="str">
        <f aca="false">IF($A711="","",IF(R711="","",R711-IF(S711="",0,S711)))</f>
        <v/>
      </c>
      <c r="U711" s="1" t="str">
        <f aca="false">IF($A711="","",IF(I711="","",I711-SUM(J711:P711)))</f>
        <v/>
      </c>
      <c r="V711" s="6" t="s">
        <v>4724</v>
      </c>
      <c r="W711" s="9" t="s">
        <v>528</v>
      </c>
      <c r="X711" s="9" t="s">
        <v>4725</v>
      </c>
      <c r="AC711" s="9" t="s">
        <v>4369</v>
      </c>
      <c r="AD711" s="9" t="s">
        <v>4370</v>
      </c>
      <c r="AE711" s="9" t="s">
        <v>4371</v>
      </c>
    </row>
    <row r="712" customFormat="false" ht="15" hidden="false" customHeight="true" outlineLevel="0" collapsed="false">
      <c r="A712" s="6" t="s">
        <v>2753</v>
      </c>
      <c r="B712" s="6" t="s">
        <v>456</v>
      </c>
      <c r="C712" s="6" t="s">
        <v>461</v>
      </c>
      <c r="D712" s="6" t="n">
        <v>6</v>
      </c>
      <c r="E712" s="9" t="s">
        <v>4454</v>
      </c>
      <c r="F712" s="6" t="n">
        <v>48122</v>
      </c>
      <c r="Q712" s="1" t="str">
        <f aca="false">IF($A712="","",IF(OR(F712="",I712=""),"",F712-I712))</f>
        <v/>
      </c>
      <c r="R712" s="1" t="str">
        <f aca="false">IF($A712="","",IF(Q712="","",Q712+IF(O712="",0,O712)))</f>
        <v/>
      </c>
      <c r="T712" s="1" t="str">
        <f aca="false">IF($A712="","",IF(R712="","",R712-IF(S712="",0,S712)))</f>
        <v/>
      </c>
      <c r="U712" s="1" t="str">
        <f aca="false">IF($A712="","",IF(I712="","",I712-SUM(J712:P712)))</f>
        <v/>
      </c>
      <c r="V712" s="6" t="s">
        <v>4724</v>
      </c>
      <c r="W712" s="9" t="s">
        <v>528</v>
      </c>
      <c r="X712" s="9" t="s">
        <v>4725</v>
      </c>
      <c r="AC712" s="9" t="s">
        <v>4369</v>
      </c>
      <c r="AD712" s="9" t="s">
        <v>4370</v>
      </c>
      <c r="AE712" s="9" t="s">
        <v>4371</v>
      </c>
    </row>
    <row r="713" customFormat="false" ht="15" hidden="false" customHeight="true" outlineLevel="0" collapsed="false">
      <c r="A713" s="6" t="s">
        <v>2756</v>
      </c>
      <c r="B713" s="6" t="s">
        <v>456</v>
      </c>
      <c r="C713" s="6" t="s">
        <v>461</v>
      </c>
      <c r="D713" s="6" t="n">
        <v>6</v>
      </c>
      <c r="E713" s="9" t="s">
        <v>4454</v>
      </c>
      <c r="F713" s="6" t="n">
        <v>61208</v>
      </c>
      <c r="Q713" s="1" t="str">
        <f aca="false">IF($A713="","",IF(OR(F713="",I713=""),"",F713-I713))</f>
        <v/>
      </c>
      <c r="R713" s="1" t="str">
        <f aca="false">IF($A713="","",IF(Q713="","",Q713+IF(O713="",0,O713)))</f>
        <v/>
      </c>
      <c r="T713" s="1" t="str">
        <f aca="false">IF($A713="","",IF(R713="","",R713-IF(S713="",0,S713)))</f>
        <v/>
      </c>
      <c r="U713" s="1" t="str">
        <f aca="false">IF($A713="","",IF(I713="","",I713-SUM(J713:P713)))</f>
        <v/>
      </c>
      <c r="V713" s="6" t="s">
        <v>4724</v>
      </c>
      <c r="W713" s="9" t="s">
        <v>528</v>
      </c>
      <c r="X713" s="9" t="s">
        <v>4725</v>
      </c>
      <c r="AC713" s="9" t="s">
        <v>4369</v>
      </c>
      <c r="AD713" s="9" t="s">
        <v>4370</v>
      </c>
      <c r="AE713" s="9" t="s">
        <v>4371</v>
      </c>
    </row>
    <row r="714" customFormat="false" ht="15" hidden="false" customHeight="true" outlineLevel="0" collapsed="false">
      <c r="A714" s="6" t="s">
        <v>2759</v>
      </c>
      <c r="B714" s="6" t="s">
        <v>456</v>
      </c>
      <c r="C714" s="6" t="s">
        <v>461</v>
      </c>
      <c r="D714" s="6" t="n">
        <v>6</v>
      </c>
      <c r="E714" s="9" t="s">
        <v>4454</v>
      </c>
      <c r="F714" s="6" t="n">
        <v>45760</v>
      </c>
      <c r="Q714" s="1" t="str">
        <f aca="false">IF($A714="","",IF(OR(F714="",I714=""),"",F714-I714))</f>
        <v/>
      </c>
      <c r="R714" s="1" t="str">
        <f aca="false">IF($A714="","",IF(Q714="","",Q714+IF(O714="",0,O714)))</f>
        <v/>
      </c>
      <c r="T714" s="1" t="str">
        <f aca="false">IF($A714="","",IF(R714="","",R714-IF(S714="",0,S714)))</f>
        <v/>
      </c>
      <c r="U714" s="1" t="str">
        <f aca="false">IF($A714="","",IF(I714="","",I714-SUM(J714:P714)))</f>
        <v/>
      </c>
      <c r="V714" s="6" t="s">
        <v>4724</v>
      </c>
      <c r="W714" s="9" t="s">
        <v>528</v>
      </c>
      <c r="X714" s="9" t="s">
        <v>4725</v>
      </c>
      <c r="AC714" s="9" t="s">
        <v>4369</v>
      </c>
      <c r="AD714" s="9" t="s">
        <v>4370</v>
      </c>
      <c r="AE714" s="9" t="s">
        <v>4371</v>
      </c>
    </row>
    <row r="715" customFormat="false" ht="15" hidden="false" customHeight="true" outlineLevel="0" collapsed="false">
      <c r="A715" s="6" t="s">
        <v>2762</v>
      </c>
      <c r="B715" s="6" t="s">
        <v>456</v>
      </c>
      <c r="C715" s="6" t="s">
        <v>461</v>
      </c>
      <c r="D715" s="6" t="n">
        <v>6</v>
      </c>
      <c r="E715" s="9" t="s">
        <v>4454</v>
      </c>
      <c r="F715" s="6" t="n">
        <v>21178</v>
      </c>
      <c r="Q715" s="1" t="str">
        <f aca="false">IF($A715="","",IF(OR(F715="",I715=""),"",F715-I715))</f>
        <v/>
      </c>
      <c r="R715" s="1" t="str">
        <f aca="false">IF($A715="","",IF(Q715="","",Q715+IF(O715="",0,O715)))</f>
        <v/>
      </c>
      <c r="T715" s="1" t="str">
        <f aca="false">IF($A715="","",IF(R715="","",R715-IF(S715="",0,S715)))</f>
        <v/>
      </c>
      <c r="U715" s="1" t="str">
        <f aca="false">IF($A715="","",IF(I715="","",I715-SUM(J715:P715)))</f>
        <v/>
      </c>
      <c r="V715" s="6" t="s">
        <v>4724</v>
      </c>
      <c r="W715" s="9" t="s">
        <v>528</v>
      </c>
      <c r="X715" s="9" t="s">
        <v>4725</v>
      </c>
      <c r="AC715" s="9" t="s">
        <v>4369</v>
      </c>
      <c r="AD715" s="9" t="s">
        <v>4370</v>
      </c>
      <c r="AE715" s="9" t="s">
        <v>4371</v>
      </c>
    </row>
    <row r="716" customFormat="false" ht="15" hidden="false" customHeight="true" outlineLevel="0" collapsed="false">
      <c r="A716" s="6" t="s">
        <v>2765</v>
      </c>
      <c r="B716" s="6" t="s">
        <v>456</v>
      </c>
      <c r="C716" s="6" t="s">
        <v>461</v>
      </c>
      <c r="D716" s="6" t="n">
        <v>6</v>
      </c>
      <c r="E716" s="9" t="s">
        <v>4454</v>
      </c>
      <c r="F716" s="6" t="n">
        <v>46589</v>
      </c>
      <c r="Q716" s="1" t="str">
        <f aca="false">IF($A716="","",IF(OR(F716="",I716=""),"",F716-I716))</f>
        <v/>
      </c>
      <c r="R716" s="1" t="str">
        <f aca="false">IF($A716="","",IF(Q716="","",Q716+IF(O716="",0,O716)))</f>
        <v/>
      </c>
      <c r="T716" s="1" t="str">
        <f aca="false">IF($A716="","",IF(R716="","",R716-IF(S716="",0,S716)))</f>
        <v/>
      </c>
      <c r="U716" s="1" t="str">
        <f aca="false">IF($A716="","",IF(I716="","",I716-SUM(J716:P716)))</f>
        <v/>
      </c>
      <c r="V716" s="6" t="s">
        <v>4724</v>
      </c>
      <c r="W716" s="9" t="s">
        <v>528</v>
      </c>
      <c r="X716" s="9" t="s">
        <v>4725</v>
      </c>
      <c r="AC716" s="9" t="s">
        <v>4369</v>
      </c>
      <c r="AD716" s="9" t="s">
        <v>4370</v>
      </c>
      <c r="AE716" s="9" t="s">
        <v>4371</v>
      </c>
    </row>
    <row r="717" customFormat="false" ht="15" hidden="false" customHeight="true" outlineLevel="0" collapsed="false">
      <c r="A717" s="6" t="s">
        <v>2769</v>
      </c>
      <c r="B717" s="6" t="s">
        <v>456</v>
      </c>
      <c r="C717" s="6" t="s">
        <v>461</v>
      </c>
      <c r="D717" s="6" t="n">
        <v>6</v>
      </c>
      <c r="E717" s="9" t="s">
        <v>4454</v>
      </c>
      <c r="F717" s="6" t="n">
        <v>26418</v>
      </c>
      <c r="Q717" s="1" t="str">
        <f aca="false">IF($A717="","",IF(OR(F717="",I717=""),"",F717-I717))</f>
        <v/>
      </c>
      <c r="R717" s="1" t="str">
        <f aca="false">IF($A717="","",IF(Q717="","",Q717+IF(O717="",0,O717)))</f>
        <v/>
      </c>
      <c r="T717" s="1" t="str">
        <f aca="false">IF($A717="","",IF(R717="","",R717-IF(S717="",0,S717)))</f>
        <v/>
      </c>
      <c r="U717" s="1" t="str">
        <f aca="false">IF($A717="","",IF(I717="","",I717-SUM(J717:P717)))</f>
        <v/>
      </c>
      <c r="V717" s="6" t="s">
        <v>4724</v>
      </c>
      <c r="W717" s="9" t="s">
        <v>528</v>
      </c>
      <c r="X717" s="9" t="s">
        <v>4725</v>
      </c>
      <c r="AC717" s="9" t="s">
        <v>4369</v>
      </c>
      <c r="AD717" s="9" t="s">
        <v>4370</v>
      </c>
      <c r="AE717" s="9" t="s">
        <v>4371</v>
      </c>
    </row>
    <row r="718" customFormat="false" ht="15" hidden="false" customHeight="true" outlineLevel="0" collapsed="false">
      <c r="A718" s="6" t="s">
        <v>2772</v>
      </c>
      <c r="B718" s="6" t="s">
        <v>456</v>
      </c>
      <c r="C718" s="6" t="s">
        <v>461</v>
      </c>
      <c r="D718" s="6" t="n">
        <v>6</v>
      </c>
      <c r="E718" s="9" t="s">
        <v>4454</v>
      </c>
      <c r="F718" s="6" t="n">
        <v>54911</v>
      </c>
      <c r="Q718" s="1" t="str">
        <f aca="false">IF($A718="","",IF(OR(F718="",I718=""),"",F718-I718))</f>
        <v/>
      </c>
      <c r="R718" s="1" t="str">
        <f aca="false">IF($A718="","",IF(Q718="","",Q718+IF(O718="",0,O718)))</f>
        <v/>
      </c>
      <c r="T718" s="1" t="str">
        <f aca="false">IF($A718="","",IF(R718="","",R718-IF(S718="",0,S718)))</f>
        <v/>
      </c>
      <c r="U718" s="1" t="str">
        <f aca="false">IF($A718="","",IF(I718="","",I718-SUM(J718:P718)))</f>
        <v/>
      </c>
      <c r="V718" s="6" t="s">
        <v>4724</v>
      </c>
      <c r="W718" s="9" t="s">
        <v>528</v>
      </c>
      <c r="X718" s="9" t="s">
        <v>4725</v>
      </c>
      <c r="AC718" s="9" t="s">
        <v>4369</v>
      </c>
      <c r="AD718" s="9" t="s">
        <v>4370</v>
      </c>
      <c r="AE718" s="9" t="s">
        <v>4371</v>
      </c>
    </row>
    <row r="719" customFormat="false" ht="15" hidden="false" customHeight="true" outlineLevel="0" collapsed="false">
      <c r="A719" s="6" t="s">
        <v>2776</v>
      </c>
      <c r="B719" s="6" t="s">
        <v>456</v>
      </c>
      <c r="C719" s="6" t="s">
        <v>461</v>
      </c>
      <c r="D719" s="6" t="n">
        <v>6</v>
      </c>
      <c r="E719" s="9" t="s">
        <v>4454</v>
      </c>
      <c r="F719" s="6" t="n">
        <v>62921</v>
      </c>
      <c r="Q719" s="1" t="str">
        <f aca="false">IF($A719="","",IF(OR(F719="",I719=""),"",F719-I719))</f>
        <v/>
      </c>
      <c r="R719" s="1" t="str">
        <f aca="false">IF($A719="","",IF(Q719="","",Q719+IF(O719="",0,O719)))</f>
        <v/>
      </c>
      <c r="T719" s="1" t="str">
        <f aca="false">IF($A719="","",IF(R719="","",R719-IF(S719="",0,S719)))</f>
        <v/>
      </c>
      <c r="U719" s="1" t="str">
        <f aca="false">IF($A719="","",IF(I719="","",I719-SUM(J719:P719)))</f>
        <v/>
      </c>
      <c r="V719" s="6" t="s">
        <v>4724</v>
      </c>
      <c r="W719" s="9" t="s">
        <v>528</v>
      </c>
      <c r="X719" s="9" t="s">
        <v>4725</v>
      </c>
      <c r="AC719" s="9" t="s">
        <v>4369</v>
      </c>
      <c r="AD719" s="9" t="s">
        <v>4370</v>
      </c>
      <c r="AE719" s="9" t="s">
        <v>4371</v>
      </c>
    </row>
    <row r="720" customFormat="false" ht="15" hidden="false" customHeight="true" outlineLevel="0" collapsed="false">
      <c r="A720" s="6" t="s">
        <v>2779</v>
      </c>
      <c r="B720" s="6" t="s">
        <v>456</v>
      </c>
      <c r="C720" s="6" t="s">
        <v>461</v>
      </c>
      <c r="D720" s="6" t="n">
        <v>6</v>
      </c>
      <c r="E720" s="9" t="s">
        <v>4454</v>
      </c>
      <c r="F720" s="6" t="n">
        <v>44211</v>
      </c>
      <c r="Q720" s="1" t="str">
        <f aca="false">IF($A720="","",IF(OR(F720="",I720=""),"",F720-I720))</f>
        <v/>
      </c>
      <c r="R720" s="1" t="str">
        <f aca="false">IF($A720="","",IF(Q720="","",Q720+IF(O720="",0,O720)))</f>
        <v/>
      </c>
      <c r="T720" s="1" t="str">
        <f aca="false">IF($A720="","",IF(R720="","",R720-IF(S720="",0,S720)))</f>
        <v/>
      </c>
      <c r="U720" s="1" t="str">
        <f aca="false">IF($A720="","",IF(I720="","",I720-SUM(J720:P720)))</f>
        <v/>
      </c>
      <c r="V720" s="6" t="s">
        <v>4724</v>
      </c>
      <c r="W720" s="9" t="s">
        <v>528</v>
      </c>
      <c r="X720" s="9" t="s">
        <v>4725</v>
      </c>
      <c r="AC720" s="9" t="s">
        <v>4369</v>
      </c>
      <c r="AD720" s="9" t="s">
        <v>4370</v>
      </c>
      <c r="AE720" s="9" t="s">
        <v>4371</v>
      </c>
    </row>
    <row r="721" customFormat="false" ht="15" hidden="false" customHeight="true" outlineLevel="0" collapsed="false">
      <c r="A721" s="6" t="s">
        <v>2783</v>
      </c>
      <c r="B721" s="6" t="s">
        <v>456</v>
      </c>
      <c r="C721" s="6" t="s">
        <v>461</v>
      </c>
      <c r="D721" s="6" t="n">
        <v>6</v>
      </c>
      <c r="E721" s="9" t="s">
        <v>4454</v>
      </c>
      <c r="F721" s="6" t="n">
        <v>27048</v>
      </c>
      <c r="Q721" s="1" t="str">
        <f aca="false">IF($A721="","",IF(OR(F721="",I721=""),"",F721-I721))</f>
        <v/>
      </c>
      <c r="R721" s="1" t="str">
        <f aca="false">IF($A721="","",IF(Q721="","",Q721+IF(O721="",0,O721)))</f>
        <v/>
      </c>
      <c r="T721" s="1" t="str">
        <f aca="false">IF($A721="","",IF(R721="","",R721-IF(S721="",0,S721)))</f>
        <v/>
      </c>
      <c r="U721" s="1" t="str">
        <f aca="false">IF($A721="","",IF(I721="","",I721-SUM(J721:P721)))</f>
        <v/>
      </c>
      <c r="V721" s="6" t="s">
        <v>4724</v>
      </c>
      <c r="W721" s="9" t="s">
        <v>528</v>
      </c>
      <c r="X721" s="9" t="s">
        <v>4725</v>
      </c>
      <c r="AC721" s="9" t="s">
        <v>4369</v>
      </c>
      <c r="AD721" s="9" t="s">
        <v>4370</v>
      </c>
      <c r="AE721" s="9" t="s">
        <v>4371</v>
      </c>
    </row>
    <row r="722" customFormat="false" ht="15" hidden="false" customHeight="true" outlineLevel="0" collapsed="false">
      <c r="A722" s="6" t="s">
        <v>2786</v>
      </c>
      <c r="B722" s="6" t="s">
        <v>456</v>
      </c>
      <c r="C722" s="6" t="s">
        <v>461</v>
      </c>
      <c r="D722" s="6" t="n">
        <v>6</v>
      </c>
      <c r="E722" s="9" t="s">
        <v>4454</v>
      </c>
      <c r="F722" s="6" t="n">
        <v>19187</v>
      </c>
      <c r="Q722" s="1" t="str">
        <f aca="false">IF($A722="","",IF(OR(F722="",I722=""),"",F722-I722))</f>
        <v/>
      </c>
      <c r="R722" s="1" t="str">
        <f aca="false">IF($A722="","",IF(Q722="","",Q722+IF(O722="",0,O722)))</f>
        <v/>
      </c>
      <c r="T722" s="1" t="str">
        <f aca="false">IF($A722="","",IF(R722="","",R722-IF(S722="",0,S722)))</f>
        <v/>
      </c>
      <c r="U722" s="1" t="str">
        <f aca="false">IF($A722="","",IF(I722="","",I722-SUM(J722:P722)))</f>
        <v/>
      </c>
      <c r="V722" s="6" t="s">
        <v>4724</v>
      </c>
      <c r="W722" s="9" t="s">
        <v>528</v>
      </c>
      <c r="X722" s="9" t="s">
        <v>4725</v>
      </c>
      <c r="AC722" s="9" t="s">
        <v>4369</v>
      </c>
      <c r="AD722" s="9" t="s">
        <v>4370</v>
      </c>
      <c r="AE722" s="9" t="s">
        <v>4371</v>
      </c>
    </row>
    <row r="723" customFormat="false" ht="15" hidden="false" customHeight="true" outlineLevel="0" collapsed="false">
      <c r="A723" s="6" t="s">
        <v>2789</v>
      </c>
      <c r="B723" s="6" t="s">
        <v>456</v>
      </c>
      <c r="C723" s="6" t="s">
        <v>461</v>
      </c>
      <c r="D723" s="6" t="n">
        <v>6</v>
      </c>
      <c r="E723" s="9" t="s">
        <v>4454</v>
      </c>
      <c r="F723" s="6" t="n">
        <v>31264</v>
      </c>
      <c r="Q723" s="1" t="str">
        <f aca="false">IF($A723="","",IF(OR(F723="",I723=""),"",F723-I723))</f>
        <v/>
      </c>
      <c r="R723" s="1" t="str">
        <f aca="false">IF($A723="","",IF(Q723="","",Q723+IF(O723="",0,O723)))</f>
        <v/>
      </c>
      <c r="T723" s="1" t="str">
        <f aca="false">IF($A723="","",IF(R723="","",R723-IF(S723="",0,S723)))</f>
        <v/>
      </c>
      <c r="U723" s="1" t="str">
        <f aca="false">IF($A723="","",IF(I723="","",I723-SUM(J723:P723)))</f>
        <v/>
      </c>
      <c r="V723" s="6" t="s">
        <v>4724</v>
      </c>
      <c r="W723" s="9" t="s">
        <v>528</v>
      </c>
      <c r="X723" s="9" t="s">
        <v>4725</v>
      </c>
      <c r="AC723" s="9" t="s">
        <v>4369</v>
      </c>
      <c r="AD723" s="9" t="s">
        <v>4370</v>
      </c>
      <c r="AE723" s="9" t="s">
        <v>4371</v>
      </c>
    </row>
    <row r="724" customFormat="false" ht="15" hidden="false" customHeight="true" outlineLevel="0" collapsed="false">
      <c r="A724" s="6" t="s">
        <v>2792</v>
      </c>
      <c r="B724" s="6" t="s">
        <v>456</v>
      </c>
      <c r="C724" s="6" t="s">
        <v>461</v>
      </c>
      <c r="D724" s="6" t="n">
        <v>6</v>
      </c>
      <c r="E724" s="9" t="s">
        <v>4454</v>
      </c>
      <c r="F724" s="6" t="n">
        <v>66426</v>
      </c>
      <c r="Q724" s="1" t="str">
        <f aca="false">IF($A724="","",IF(OR(F724="",I724=""),"",F724-I724))</f>
        <v/>
      </c>
      <c r="R724" s="1" t="str">
        <f aca="false">IF($A724="","",IF(Q724="","",Q724+IF(O724="",0,O724)))</f>
        <v/>
      </c>
      <c r="T724" s="1" t="str">
        <f aca="false">IF($A724="","",IF(R724="","",R724-IF(S724="",0,S724)))</f>
        <v/>
      </c>
      <c r="U724" s="1" t="str">
        <f aca="false">IF($A724="","",IF(I724="","",I724-SUM(J724:P724)))</f>
        <v/>
      </c>
      <c r="V724" s="6" t="s">
        <v>4724</v>
      </c>
      <c r="W724" s="9" t="s">
        <v>528</v>
      </c>
      <c r="X724" s="9" t="s">
        <v>4725</v>
      </c>
      <c r="AC724" s="9" t="s">
        <v>4369</v>
      </c>
      <c r="AD724" s="9" t="s">
        <v>4370</v>
      </c>
      <c r="AE724" s="9" t="s">
        <v>4371</v>
      </c>
    </row>
    <row r="725" customFormat="false" ht="15" hidden="false" customHeight="true" outlineLevel="0" collapsed="false">
      <c r="A725" s="6" t="s">
        <v>2795</v>
      </c>
      <c r="B725" s="6" t="s">
        <v>456</v>
      </c>
      <c r="C725" s="6" t="s">
        <v>461</v>
      </c>
      <c r="D725" s="6" t="n">
        <v>6</v>
      </c>
      <c r="E725" s="9" t="s">
        <v>4454</v>
      </c>
      <c r="F725" s="6" t="n">
        <v>29729</v>
      </c>
      <c r="Q725" s="1" t="str">
        <f aca="false">IF($A725="","",IF(OR(F725="",I725=""),"",F725-I725))</f>
        <v/>
      </c>
      <c r="R725" s="1" t="str">
        <f aca="false">IF($A725="","",IF(Q725="","",Q725+IF(O725="",0,O725)))</f>
        <v/>
      </c>
      <c r="T725" s="1" t="str">
        <f aca="false">IF($A725="","",IF(R725="","",R725-IF(S725="",0,S725)))</f>
        <v/>
      </c>
      <c r="U725" s="1" t="str">
        <f aca="false">IF($A725="","",IF(I725="","",I725-SUM(J725:P725)))</f>
        <v/>
      </c>
      <c r="V725" s="6" t="s">
        <v>4724</v>
      </c>
      <c r="W725" s="9" t="s">
        <v>528</v>
      </c>
      <c r="X725" s="9" t="s">
        <v>4725</v>
      </c>
      <c r="AC725" s="9" t="s">
        <v>4369</v>
      </c>
      <c r="AD725" s="9" t="s">
        <v>4370</v>
      </c>
      <c r="AE725" s="9" t="s">
        <v>4371</v>
      </c>
    </row>
    <row r="726" customFormat="false" ht="15" hidden="false" customHeight="true" outlineLevel="0" collapsed="false">
      <c r="A726" s="6" t="s">
        <v>2798</v>
      </c>
      <c r="B726" s="6" t="s">
        <v>456</v>
      </c>
      <c r="C726" s="6" t="s">
        <v>461</v>
      </c>
      <c r="D726" s="6" t="n">
        <v>6</v>
      </c>
      <c r="E726" s="9" t="s">
        <v>4454</v>
      </c>
      <c r="F726" s="6" t="n">
        <v>81336</v>
      </c>
      <c r="Q726" s="1" t="str">
        <f aca="false">IF($A726="","",IF(OR(F726="",I726=""),"",F726-I726))</f>
        <v/>
      </c>
      <c r="R726" s="1" t="str">
        <f aca="false">IF($A726="","",IF(Q726="","",Q726+IF(O726="",0,O726)))</f>
        <v/>
      </c>
      <c r="T726" s="1" t="str">
        <f aca="false">IF($A726="","",IF(R726="","",R726-IF(S726="",0,S726)))</f>
        <v/>
      </c>
      <c r="U726" s="1" t="str">
        <f aca="false">IF($A726="","",IF(I726="","",I726-SUM(J726:P726)))</f>
        <v/>
      </c>
      <c r="V726" s="6" t="s">
        <v>4724</v>
      </c>
      <c r="W726" s="9" t="s">
        <v>528</v>
      </c>
      <c r="X726" s="9" t="s">
        <v>4725</v>
      </c>
      <c r="AC726" s="9" t="s">
        <v>4369</v>
      </c>
      <c r="AD726" s="9" t="s">
        <v>4370</v>
      </c>
      <c r="AE726" s="9" t="s">
        <v>4371</v>
      </c>
    </row>
    <row r="727" customFormat="false" ht="15" hidden="false" customHeight="true" outlineLevel="0" collapsed="false">
      <c r="A727" s="6" t="s">
        <v>2801</v>
      </c>
      <c r="B727" s="6" t="s">
        <v>456</v>
      </c>
      <c r="C727" s="6" t="s">
        <v>461</v>
      </c>
      <c r="D727" s="6" t="n">
        <v>6</v>
      </c>
      <c r="E727" s="9" t="s">
        <v>4454</v>
      </c>
      <c r="F727" s="6" t="n">
        <v>34962</v>
      </c>
      <c r="Q727" s="1" t="str">
        <f aca="false">IF($A727="","",IF(OR(F727="",I727=""),"",F727-I727))</f>
        <v/>
      </c>
      <c r="R727" s="1" t="str">
        <f aca="false">IF($A727="","",IF(Q727="","",Q727+IF(O727="",0,O727)))</f>
        <v/>
      </c>
      <c r="T727" s="1" t="str">
        <f aca="false">IF($A727="","",IF(R727="","",R727-IF(S727="",0,S727)))</f>
        <v/>
      </c>
      <c r="U727" s="1" t="str">
        <f aca="false">IF($A727="","",IF(I727="","",I727-SUM(J727:P727)))</f>
        <v/>
      </c>
      <c r="V727" s="6" t="s">
        <v>4724</v>
      </c>
      <c r="W727" s="9" t="s">
        <v>528</v>
      </c>
      <c r="X727" s="9" t="s">
        <v>4725</v>
      </c>
      <c r="AC727" s="9" t="s">
        <v>4369</v>
      </c>
      <c r="AD727" s="9" t="s">
        <v>4370</v>
      </c>
      <c r="AE727" s="9" t="s">
        <v>4371</v>
      </c>
    </row>
    <row r="728" customFormat="false" ht="15" hidden="false" customHeight="true" outlineLevel="0" collapsed="false">
      <c r="A728" s="6" t="s">
        <v>2804</v>
      </c>
      <c r="B728" s="6" t="s">
        <v>456</v>
      </c>
      <c r="C728" s="6" t="s">
        <v>461</v>
      </c>
      <c r="D728" s="6" t="n">
        <v>6</v>
      </c>
      <c r="E728" s="9" t="s">
        <v>4454</v>
      </c>
      <c r="F728" s="6" t="n">
        <v>93301</v>
      </c>
      <c r="Q728" s="1" t="str">
        <f aca="false">IF($A728="","",IF(OR(F728="",I728=""),"",F728-I728))</f>
        <v/>
      </c>
      <c r="R728" s="1" t="str">
        <f aca="false">IF($A728="","",IF(Q728="","",Q728+IF(O728="",0,O728)))</f>
        <v/>
      </c>
      <c r="T728" s="1" t="str">
        <f aca="false">IF($A728="","",IF(R728="","",R728-IF(S728="",0,S728)))</f>
        <v/>
      </c>
      <c r="U728" s="1" t="str">
        <f aca="false">IF($A728="","",IF(I728="","",I728-SUM(J728:P728)))</f>
        <v/>
      </c>
      <c r="V728" s="6" t="s">
        <v>4724</v>
      </c>
      <c r="W728" s="9" t="s">
        <v>528</v>
      </c>
      <c r="X728" s="9" t="s">
        <v>4725</v>
      </c>
      <c r="AC728" s="9" t="s">
        <v>4369</v>
      </c>
      <c r="AD728" s="9" t="s">
        <v>4370</v>
      </c>
      <c r="AE728" s="9" t="s">
        <v>4371</v>
      </c>
    </row>
    <row r="729" customFormat="false" ht="15" hidden="false" customHeight="true" outlineLevel="0" collapsed="false">
      <c r="A729" s="6" t="s">
        <v>2807</v>
      </c>
      <c r="B729" s="6" t="s">
        <v>456</v>
      </c>
      <c r="C729" s="6" t="s">
        <v>461</v>
      </c>
      <c r="D729" s="6" t="n">
        <v>6</v>
      </c>
      <c r="E729" s="9" t="s">
        <v>4454</v>
      </c>
      <c r="F729" s="6" t="n">
        <v>24364</v>
      </c>
      <c r="Q729" s="1" t="str">
        <f aca="false">IF($A729="","",IF(OR(F729="",I729=""),"",F729-I729))</f>
        <v/>
      </c>
      <c r="R729" s="1" t="str">
        <f aca="false">IF($A729="","",IF(Q729="","",Q729+IF(O729="",0,O729)))</f>
        <v/>
      </c>
      <c r="T729" s="1" t="str">
        <f aca="false">IF($A729="","",IF(R729="","",R729-IF(S729="",0,S729)))</f>
        <v/>
      </c>
      <c r="U729" s="1" t="str">
        <f aca="false">IF($A729="","",IF(I729="","",I729-SUM(J729:P729)))</f>
        <v/>
      </c>
      <c r="V729" s="6" t="s">
        <v>4724</v>
      </c>
      <c r="W729" s="9" t="s">
        <v>528</v>
      </c>
      <c r="X729" s="9" t="s">
        <v>4725</v>
      </c>
      <c r="AC729" s="9" t="s">
        <v>4369</v>
      </c>
      <c r="AD729" s="9" t="s">
        <v>4370</v>
      </c>
      <c r="AE729" s="9" t="s">
        <v>4371</v>
      </c>
    </row>
    <row r="730" customFormat="false" ht="15" hidden="false" customHeight="true" outlineLevel="0" collapsed="false">
      <c r="A730" s="6" t="s">
        <v>2810</v>
      </c>
      <c r="B730" s="6" t="s">
        <v>456</v>
      </c>
      <c r="C730" s="6" t="s">
        <v>461</v>
      </c>
      <c r="D730" s="6" t="n">
        <v>6</v>
      </c>
      <c r="E730" s="9" t="s">
        <v>4454</v>
      </c>
      <c r="F730" s="6" t="n">
        <v>20149</v>
      </c>
      <c r="Q730" s="1" t="str">
        <f aca="false">IF($A730="","",IF(OR(F730="",I730=""),"",F730-I730))</f>
        <v/>
      </c>
      <c r="R730" s="1" t="str">
        <f aca="false">IF($A730="","",IF(Q730="","",Q730+IF(O730="",0,O730)))</f>
        <v/>
      </c>
      <c r="T730" s="1" t="str">
        <f aca="false">IF($A730="","",IF(R730="","",R730-IF(S730="",0,S730)))</f>
        <v/>
      </c>
      <c r="U730" s="1" t="str">
        <f aca="false">IF($A730="","",IF(I730="","",I730-SUM(J730:P730)))</f>
        <v/>
      </c>
      <c r="V730" s="6" t="s">
        <v>4724</v>
      </c>
      <c r="W730" s="9" t="s">
        <v>528</v>
      </c>
      <c r="X730" s="9" t="s">
        <v>4725</v>
      </c>
      <c r="AC730" s="9" t="s">
        <v>4369</v>
      </c>
      <c r="AD730" s="9" t="s">
        <v>4370</v>
      </c>
      <c r="AE730" s="9" t="s">
        <v>4371</v>
      </c>
    </row>
    <row r="731" customFormat="false" ht="15" hidden="false" customHeight="true" outlineLevel="0" collapsed="false">
      <c r="A731" s="6" t="s">
        <v>2813</v>
      </c>
      <c r="B731" s="6" t="s">
        <v>456</v>
      </c>
      <c r="C731" s="6" t="s">
        <v>461</v>
      </c>
      <c r="D731" s="6" t="n">
        <v>6</v>
      </c>
      <c r="E731" s="9" t="s">
        <v>4454</v>
      </c>
      <c r="F731" s="6" t="n">
        <v>24934</v>
      </c>
      <c r="Q731" s="1" t="str">
        <f aca="false">IF($A731="","",IF(OR(F731="",I731=""),"",F731-I731))</f>
        <v/>
      </c>
      <c r="R731" s="1" t="str">
        <f aca="false">IF($A731="","",IF(Q731="","",Q731+IF(O731="",0,O731)))</f>
        <v/>
      </c>
      <c r="T731" s="1" t="str">
        <f aca="false">IF($A731="","",IF(R731="","",R731-IF(S731="",0,S731)))</f>
        <v/>
      </c>
      <c r="U731" s="1" t="str">
        <f aca="false">IF($A731="","",IF(I731="","",I731-SUM(J731:P731)))</f>
        <v/>
      </c>
      <c r="V731" s="6" t="s">
        <v>4724</v>
      </c>
      <c r="W731" s="9" t="s">
        <v>528</v>
      </c>
      <c r="X731" s="9" t="s">
        <v>4725</v>
      </c>
      <c r="AC731" s="9" t="s">
        <v>4369</v>
      </c>
      <c r="AD731" s="9" t="s">
        <v>4370</v>
      </c>
      <c r="AE731" s="9" t="s">
        <v>4371</v>
      </c>
    </row>
    <row r="732" customFormat="false" ht="15" hidden="false" customHeight="true" outlineLevel="0" collapsed="false">
      <c r="A732" s="6" t="s">
        <v>2816</v>
      </c>
      <c r="B732" s="6" t="s">
        <v>456</v>
      </c>
      <c r="C732" s="6" t="s">
        <v>461</v>
      </c>
      <c r="D732" s="6" t="n">
        <v>6</v>
      </c>
      <c r="E732" s="9" t="s">
        <v>4454</v>
      </c>
      <c r="F732" s="6" t="n">
        <v>20533</v>
      </c>
      <c r="Q732" s="1" t="str">
        <f aca="false">IF($A732="","",IF(OR(F732="",I732=""),"",F732-I732))</f>
        <v/>
      </c>
      <c r="R732" s="1" t="str">
        <f aca="false">IF($A732="","",IF(Q732="","",Q732+IF(O732="",0,O732)))</f>
        <v/>
      </c>
      <c r="T732" s="1" t="str">
        <f aca="false">IF($A732="","",IF(R732="","",R732-IF(S732="",0,S732)))</f>
        <v/>
      </c>
      <c r="U732" s="1" t="str">
        <f aca="false">IF($A732="","",IF(I732="","",I732-SUM(J732:P732)))</f>
        <v/>
      </c>
      <c r="V732" s="6" t="s">
        <v>4724</v>
      </c>
      <c r="W732" s="9" t="s">
        <v>528</v>
      </c>
      <c r="X732" s="9" t="s">
        <v>4725</v>
      </c>
      <c r="AC732" s="9" t="s">
        <v>4369</v>
      </c>
      <c r="AD732" s="9" t="s">
        <v>4370</v>
      </c>
      <c r="AE732" s="9" t="s">
        <v>4371</v>
      </c>
    </row>
    <row r="733" customFormat="false" ht="15" hidden="false" customHeight="true" outlineLevel="0" collapsed="false">
      <c r="A733" s="6" t="s">
        <v>2819</v>
      </c>
      <c r="B733" s="6" t="s">
        <v>456</v>
      </c>
      <c r="C733" s="6" t="s">
        <v>461</v>
      </c>
      <c r="D733" s="6" t="n">
        <v>6</v>
      </c>
      <c r="E733" s="9" t="s">
        <v>4454</v>
      </c>
      <c r="F733" s="6" t="n">
        <v>77026</v>
      </c>
      <c r="Q733" s="1" t="str">
        <f aca="false">IF($A733="","",IF(OR(F733="",I733=""),"",F733-I733))</f>
        <v/>
      </c>
      <c r="R733" s="1" t="str">
        <f aca="false">IF($A733="","",IF(Q733="","",Q733+IF(O733="",0,O733)))</f>
        <v/>
      </c>
      <c r="T733" s="1" t="str">
        <f aca="false">IF($A733="","",IF(R733="","",R733-IF(S733="",0,S733)))</f>
        <v/>
      </c>
      <c r="U733" s="1" t="str">
        <f aca="false">IF($A733="","",IF(I733="","",I733-SUM(J733:P733)))</f>
        <v/>
      </c>
      <c r="V733" s="6" t="s">
        <v>4724</v>
      </c>
      <c r="W733" s="9" t="s">
        <v>528</v>
      </c>
      <c r="X733" s="9" t="s">
        <v>4725</v>
      </c>
      <c r="AC733" s="9" t="s">
        <v>4369</v>
      </c>
      <c r="AD733" s="9" t="s">
        <v>4370</v>
      </c>
      <c r="AE733" s="9" t="s">
        <v>4371</v>
      </c>
    </row>
    <row r="734" customFormat="false" ht="15" hidden="false" customHeight="true" outlineLevel="0" collapsed="false">
      <c r="A734" s="6" t="s">
        <v>2822</v>
      </c>
      <c r="B734" s="6" t="s">
        <v>456</v>
      </c>
      <c r="C734" s="6" t="s">
        <v>461</v>
      </c>
      <c r="D734" s="6" t="n">
        <v>6</v>
      </c>
      <c r="E734" s="9" t="s">
        <v>4454</v>
      </c>
      <c r="F734" s="6" t="n">
        <v>21003</v>
      </c>
      <c r="Q734" s="1" t="str">
        <f aca="false">IF($A734="","",IF(OR(F734="",I734=""),"",F734-I734))</f>
        <v/>
      </c>
      <c r="R734" s="1" t="str">
        <f aca="false">IF($A734="","",IF(Q734="","",Q734+IF(O734="",0,O734)))</f>
        <v/>
      </c>
      <c r="T734" s="1" t="str">
        <f aca="false">IF($A734="","",IF(R734="","",R734-IF(S734="",0,S734)))</f>
        <v/>
      </c>
      <c r="U734" s="1" t="str">
        <f aca="false">IF($A734="","",IF(I734="","",I734-SUM(J734:P734)))</f>
        <v/>
      </c>
      <c r="V734" s="6" t="s">
        <v>4724</v>
      </c>
      <c r="W734" s="9" t="s">
        <v>528</v>
      </c>
      <c r="X734" s="9" t="s">
        <v>4725</v>
      </c>
      <c r="AC734" s="9" t="s">
        <v>4369</v>
      </c>
      <c r="AD734" s="9" t="s">
        <v>4370</v>
      </c>
      <c r="AE734" s="9" t="s">
        <v>4371</v>
      </c>
    </row>
    <row r="735" customFormat="false" ht="15" hidden="false" customHeight="true" outlineLevel="0" collapsed="false">
      <c r="A735" s="6" t="s">
        <v>2825</v>
      </c>
      <c r="B735" s="6" t="s">
        <v>456</v>
      </c>
      <c r="C735" s="6" t="s">
        <v>461</v>
      </c>
      <c r="D735" s="6" t="n">
        <v>6</v>
      </c>
      <c r="E735" s="9" t="s">
        <v>4454</v>
      </c>
      <c r="F735" s="6" t="n">
        <v>34844</v>
      </c>
      <c r="Q735" s="1" t="str">
        <f aca="false">IF($A735="","",IF(OR(F735="",I735=""),"",F735-I735))</f>
        <v/>
      </c>
      <c r="R735" s="1" t="str">
        <f aca="false">IF($A735="","",IF(Q735="","",Q735+IF(O735="",0,O735)))</f>
        <v/>
      </c>
      <c r="T735" s="1" t="str">
        <f aca="false">IF($A735="","",IF(R735="","",R735-IF(S735="",0,S735)))</f>
        <v/>
      </c>
      <c r="U735" s="1" t="str">
        <f aca="false">IF($A735="","",IF(I735="","",I735-SUM(J735:P735)))</f>
        <v/>
      </c>
      <c r="V735" s="6" t="s">
        <v>4724</v>
      </c>
      <c r="W735" s="9" t="s">
        <v>528</v>
      </c>
      <c r="X735" s="9" t="s">
        <v>4725</v>
      </c>
      <c r="AC735" s="9" t="s">
        <v>4369</v>
      </c>
      <c r="AD735" s="9" t="s">
        <v>4370</v>
      </c>
      <c r="AE735" s="9" t="s">
        <v>4371</v>
      </c>
    </row>
    <row r="736" customFormat="false" ht="15" hidden="false" customHeight="true" outlineLevel="0" collapsed="false">
      <c r="A736" s="6" t="s">
        <v>2828</v>
      </c>
      <c r="B736" s="6" t="s">
        <v>456</v>
      </c>
      <c r="C736" s="6" t="s">
        <v>461</v>
      </c>
      <c r="D736" s="6" t="n">
        <v>6</v>
      </c>
      <c r="E736" s="9" t="s">
        <v>4454</v>
      </c>
      <c r="F736" s="6" t="n">
        <v>28097</v>
      </c>
      <c r="Q736" s="1" t="str">
        <f aca="false">IF($A736="","",IF(OR(F736="",I736=""),"",F736-I736))</f>
        <v/>
      </c>
      <c r="R736" s="1" t="str">
        <f aca="false">IF($A736="","",IF(Q736="","",Q736+IF(O736="",0,O736)))</f>
        <v/>
      </c>
      <c r="T736" s="1" t="str">
        <f aca="false">IF($A736="","",IF(R736="","",R736-IF(S736="",0,S736)))</f>
        <v/>
      </c>
      <c r="U736" s="1" t="str">
        <f aca="false">IF($A736="","",IF(I736="","",I736-SUM(J736:P736)))</f>
        <v/>
      </c>
      <c r="V736" s="6" t="s">
        <v>4724</v>
      </c>
      <c r="W736" s="9" t="s">
        <v>528</v>
      </c>
      <c r="X736" s="9" t="s">
        <v>4725</v>
      </c>
      <c r="AC736" s="9" t="s">
        <v>4369</v>
      </c>
      <c r="AD736" s="9" t="s">
        <v>4370</v>
      </c>
      <c r="AE736" s="9" t="s">
        <v>4371</v>
      </c>
    </row>
    <row r="737" customFormat="false" ht="15" hidden="false" customHeight="true" outlineLevel="0" collapsed="false">
      <c r="A737" s="6" t="s">
        <v>2831</v>
      </c>
      <c r="B737" s="6" t="s">
        <v>456</v>
      </c>
      <c r="C737" s="6" t="s">
        <v>461</v>
      </c>
      <c r="D737" s="6" t="n">
        <v>6</v>
      </c>
      <c r="E737" s="9" t="s">
        <v>4454</v>
      </c>
      <c r="F737" s="6" t="n">
        <v>32054</v>
      </c>
      <c r="Q737" s="1" t="str">
        <f aca="false">IF($A737="","",IF(OR(F737="",I737=""),"",F737-I737))</f>
        <v/>
      </c>
      <c r="R737" s="1" t="str">
        <f aca="false">IF($A737="","",IF(Q737="","",Q737+IF(O737="",0,O737)))</f>
        <v/>
      </c>
      <c r="T737" s="1" t="str">
        <f aca="false">IF($A737="","",IF(R737="","",R737-IF(S737="",0,S737)))</f>
        <v/>
      </c>
      <c r="U737" s="1" t="str">
        <f aca="false">IF($A737="","",IF(I737="","",I737-SUM(J737:P737)))</f>
        <v/>
      </c>
      <c r="V737" s="6" t="s">
        <v>4724</v>
      </c>
      <c r="W737" s="9" t="s">
        <v>528</v>
      </c>
      <c r="X737" s="9" t="s">
        <v>4725</v>
      </c>
      <c r="AC737" s="9" t="s">
        <v>4369</v>
      </c>
      <c r="AD737" s="9" t="s">
        <v>4370</v>
      </c>
      <c r="AE737" s="9" t="s">
        <v>4371</v>
      </c>
    </row>
    <row r="738" customFormat="false" ht="15" hidden="false" customHeight="true" outlineLevel="0" collapsed="false">
      <c r="A738" s="6" t="s">
        <v>2834</v>
      </c>
      <c r="B738" s="6" t="s">
        <v>456</v>
      </c>
      <c r="C738" s="6" t="s">
        <v>461</v>
      </c>
      <c r="D738" s="6" t="n">
        <v>6</v>
      </c>
      <c r="E738" s="9" t="s">
        <v>4454</v>
      </c>
      <c r="F738" s="6" t="n">
        <v>25673</v>
      </c>
      <c r="Q738" s="1" t="str">
        <f aca="false">IF($A738="","",IF(OR(F738="",I738=""),"",F738-I738))</f>
        <v/>
      </c>
      <c r="R738" s="1" t="str">
        <f aca="false">IF($A738="","",IF(Q738="","",Q738+IF(O738="",0,O738)))</f>
        <v/>
      </c>
      <c r="T738" s="1" t="str">
        <f aca="false">IF($A738="","",IF(R738="","",R738-IF(S738="",0,S738)))</f>
        <v/>
      </c>
      <c r="U738" s="1" t="str">
        <f aca="false">IF($A738="","",IF(I738="","",I738-SUM(J738:P738)))</f>
        <v/>
      </c>
      <c r="V738" s="6" t="s">
        <v>4724</v>
      </c>
      <c r="W738" s="9" t="s">
        <v>528</v>
      </c>
      <c r="X738" s="9" t="s">
        <v>4725</v>
      </c>
      <c r="AC738" s="9" t="s">
        <v>4369</v>
      </c>
      <c r="AD738" s="9" t="s">
        <v>4370</v>
      </c>
      <c r="AE738" s="9" t="s">
        <v>4371</v>
      </c>
    </row>
    <row r="739" customFormat="false" ht="15" hidden="false" customHeight="true" outlineLevel="0" collapsed="false">
      <c r="A739" s="6" t="s">
        <v>2838</v>
      </c>
      <c r="B739" s="6" t="s">
        <v>456</v>
      </c>
      <c r="C739" s="6" t="s">
        <v>461</v>
      </c>
      <c r="D739" s="6" t="n">
        <v>6</v>
      </c>
      <c r="E739" s="9" t="s">
        <v>4376</v>
      </c>
      <c r="F739" s="6" t="n">
        <v>9025042</v>
      </c>
      <c r="G739" s="6" t="n">
        <v>8140845</v>
      </c>
      <c r="H739" s="6" t="n">
        <v>884196</v>
      </c>
      <c r="I739" s="6" t="n">
        <v>3782182</v>
      </c>
      <c r="J739" s="6" t="n">
        <v>960470</v>
      </c>
      <c r="K739" s="6" t="n">
        <v>375536</v>
      </c>
      <c r="L739" s="6" t="n">
        <v>597387</v>
      </c>
      <c r="M739" s="6" t="n">
        <v>8120</v>
      </c>
      <c r="N739" s="6" t="n">
        <v>446050</v>
      </c>
      <c r="O739" s="6" t="n">
        <v>1165766</v>
      </c>
      <c r="P739" s="6" t="n">
        <v>228850</v>
      </c>
      <c r="Q739" s="1" t="n">
        <f aca="false">IF($A739="","",IF(OR(F739="",I739=""),"",F739-I739))</f>
        <v>5242860</v>
      </c>
      <c r="R739" s="1" t="n">
        <f aca="false">IF($A739="","",IF(Q739="","",Q739+IF(O739="",0,O739)))</f>
        <v>6408626</v>
      </c>
      <c r="S739" s="6" t="n">
        <v>1275130</v>
      </c>
      <c r="T739" s="1" t="n">
        <f aca="false">IF($A739="","",IF(R739="","",R739-IF(S739="",0,S739)))</f>
        <v>5133496</v>
      </c>
      <c r="U739" s="1" t="n">
        <f aca="false">IF($A739="","",IF(I739="","",I739-SUM(J739:P739)))</f>
        <v>3</v>
      </c>
      <c r="V739" s="6" t="s">
        <v>4733</v>
      </c>
      <c r="W739" s="44" t="s">
        <v>1168</v>
      </c>
      <c r="X739" s="9" t="s">
        <v>4734</v>
      </c>
      <c r="AC739" s="9" t="s">
        <v>4369</v>
      </c>
      <c r="AD739" s="9" t="s">
        <v>4370</v>
      </c>
      <c r="AE739" s="9" t="s">
        <v>4371</v>
      </c>
    </row>
    <row r="740" customFormat="false" ht="15" hidden="false" customHeight="true" outlineLevel="0" collapsed="false">
      <c r="A740" s="6" t="s">
        <v>2842</v>
      </c>
      <c r="B740" s="6" t="s">
        <v>485</v>
      </c>
      <c r="C740" s="6" t="s">
        <v>490</v>
      </c>
      <c r="D740" s="6" t="n">
        <v>6</v>
      </c>
      <c r="E740" s="9" t="s">
        <v>4616</v>
      </c>
      <c r="F740" s="6" t="n">
        <v>133000</v>
      </c>
      <c r="Q740" s="1" t="str">
        <f aca="false">IF($A740="","",IF(OR(F740="",I740=""),"",F740-I740))</f>
        <v/>
      </c>
      <c r="R740" s="1" t="str">
        <f aca="false">IF($A740="","",IF(Q740="","",Q740+IF(O740="",0,O740)))</f>
        <v/>
      </c>
      <c r="T740" s="1" t="str">
        <f aca="false">IF($A740="","",IF(R740="","",R740-IF(S740="",0,S740)))</f>
        <v/>
      </c>
      <c r="U740" s="1" t="str">
        <f aca="false">IF($A740="","",IF(I740="","",I740-SUM(J740:P740)))</f>
        <v/>
      </c>
      <c r="V740" s="6" t="s">
        <v>4735</v>
      </c>
      <c r="W740" s="9" t="s">
        <v>528</v>
      </c>
      <c r="X740" s="9" t="s">
        <v>4736</v>
      </c>
      <c r="AC740" s="9" t="s">
        <v>4369</v>
      </c>
      <c r="AD740" s="9" t="s">
        <v>4370</v>
      </c>
      <c r="AE740" s="9" t="s">
        <v>4408</v>
      </c>
    </row>
    <row r="741" customFormat="false" ht="15" hidden="false" customHeight="true" outlineLevel="0" collapsed="false">
      <c r="A741" s="6" t="s">
        <v>2847</v>
      </c>
      <c r="B741" s="6" t="s">
        <v>485</v>
      </c>
      <c r="C741" s="6" t="s">
        <v>490</v>
      </c>
      <c r="D741" s="6" t="n">
        <v>6</v>
      </c>
      <c r="E741" s="9" t="s">
        <v>4616</v>
      </c>
      <c r="F741" s="6" t="n">
        <v>113000</v>
      </c>
      <c r="Q741" s="1" t="str">
        <f aca="false">IF($A741="","",IF(OR(F741="",I741=""),"",F741-I741))</f>
        <v/>
      </c>
      <c r="R741" s="1" t="str">
        <f aca="false">IF($A741="","",IF(Q741="","",Q741+IF(O741="",0,O741)))</f>
        <v/>
      </c>
      <c r="T741" s="1" t="str">
        <f aca="false">IF($A741="","",IF(R741="","",R741-IF(S741="",0,S741)))</f>
        <v/>
      </c>
      <c r="U741" s="1" t="str">
        <f aca="false">IF($A741="","",IF(I741="","",I741-SUM(J741:P741)))</f>
        <v/>
      </c>
      <c r="V741" s="6" t="s">
        <v>4735</v>
      </c>
      <c r="W741" s="9" t="s">
        <v>528</v>
      </c>
      <c r="X741" s="9" t="s">
        <v>4736</v>
      </c>
      <c r="AC741" s="9" t="s">
        <v>4369</v>
      </c>
      <c r="AD741" s="9" t="s">
        <v>4370</v>
      </c>
      <c r="AE741" s="9" t="s">
        <v>4408</v>
      </c>
    </row>
    <row r="742" customFormat="false" ht="15" hidden="false" customHeight="true" outlineLevel="0" collapsed="false">
      <c r="A742" s="6" t="s">
        <v>2850</v>
      </c>
      <c r="B742" s="6" t="s">
        <v>485</v>
      </c>
      <c r="C742" s="6" t="s">
        <v>490</v>
      </c>
      <c r="D742" s="6" t="n">
        <v>6</v>
      </c>
      <c r="E742" s="9" t="s">
        <v>4616</v>
      </c>
      <c r="F742" s="6" t="n">
        <v>103000</v>
      </c>
      <c r="Q742" s="1" t="str">
        <f aca="false">IF($A742="","",IF(OR(F742="",I742=""),"",F742-I742))</f>
        <v/>
      </c>
      <c r="R742" s="1" t="str">
        <f aca="false">IF($A742="","",IF(Q742="","",Q742+IF(O742="",0,O742)))</f>
        <v/>
      </c>
      <c r="T742" s="1" t="str">
        <f aca="false">IF($A742="","",IF(R742="","",R742-IF(S742="",0,S742)))</f>
        <v/>
      </c>
      <c r="U742" s="1" t="str">
        <f aca="false">IF($A742="","",IF(I742="","",I742-SUM(J742:P742)))</f>
        <v/>
      </c>
      <c r="V742" s="6" t="s">
        <v>4735</v>
      </c>
      <c r="W742" s="9" t="s">
        <v>528</v>
      </c>
      <c r="X742" s="9" t="s">
        <v>4736</v>
      </c>
      <c r="AC742" s="9" t="s">
        <v>4369</v>
      </c>
      <c r="AD742" s="9" t="s">
        <v>4370</v>
      </c>
      <c r="AE742" s="9" t="s">
        <v>4408</v>
      </c>
    </row>
    <row r="743" customFormat="false" ht="15" hidden="false" customHeight="true" outlineLevel="0" collapsed="false">
      <c r="A743" s="6" t="s">
        <v>2853</v>
      </c>
      <c r="B743" s="6" t="s">
        <v>485</v>
      </c>
      <c r="C743" s="6" t="s">
        <v>490</v>
      </c>
      <c r="D743" s="6" t="n">
        <v>6</v>
      </c>
      <c r="E743" s="9" t="s">
        <v>4616</v>
      </c>
      <c r="F743" s="6" t="n">
        <v>58000</v>
      </c>
      <c r="Q743" s="1" t="str">
        <f aca="false">IF($A743="","",IF(OR(F743="",I743=""),"",F743-I743))</f>
        <v/>
      </c>
      <c r="R743" s="1" t="str">
        <f aca="false">IF($A743="","",IF(Q743="","",Q743+IF(O743="",0,O743)))</f>
        <v/>
      </c>
      <c r="T743" s="1" t="str">
        <f aca="false">IF($A743="","",IF(R743="","",R743-IF(S743="",0,S743)))</f>
        <v/>
      </c>
      <c r="U743" s="1" t="str">
        <f aca="false">IF($A743="","",IF(I743="","",I743-SUM(J743:P743)))</f>
        <v/>
      </c>
      <c r="V743" s="6" t="s">
        <v>4735</v>
      </c>
      <c r="W743" s="9" t="s">
        <v>528</v>
      </c>
      <c r="X743" s="9" t="s">
        <v>4736</v>
      </c>
      <c r="AC743" s="9" t="s">
        <v>4369</v>
      </c>
      <c r="AD743" s="9" t="s">
        <v>4370</v>
      </c>
      <c r="AE743" s="9" t="s">
        <v>4408</v>
      </c>
    </row>
    <row r="744" customFormat="false" ht="15" hidden="false" customHeight="true" outlineLevel="0" collapsed="false">
      <c r="A744" s="6" t="s">
        <v>2856</v>
      </c>
      <c r="B744" s="6" t="s">
        <v>485</v>
      </c>
      <c r="C744" s="6" t="s">
        <v>490</v>
      </c>
      <c r="D744" s="6" t="n">
        <v>6</v>
      </c>
      <c r="E744" s="9" t="s">
        <v>4616</v>
      </c>
      <c r="F744" s="6" t="n">
        <v>50000</v>
      </c>
      <c r="Q744" s="1" t="str">
        <f aca="false">IF($A744="","",IF(OR(F744="",I744=""),"",F744-I744))</f>
        <v/>
      </c>
      <c r="R744" s="1" t="str">
        <f aca="false">IF($A744="","",IF(Q744="","",Q744+IF(O744="",0,O744)))</f>
        <v/>
      </c>
      <c r="T744" s="1" t="str">
        <f aca="false">IF($A744="","",IF(R744="","",R744-IF(S744="",0,S744)))</f>
        <v/>
      </c>
      <c r="U744" s="1" t="str">
        <f aca="false">IF($A744="","",IF(I744="","",I744-SUM(J744:P744)))</f>
        <v/>
      </c>
      <c r="V744" s="6" t="s">
        <v>4735</v>
      </c>
      <c r="W744" s="9" t="s">
        <v>528</v>
      </c>
      <c r="X744" s="9" t="s">
        <v>4736</v>
      </c>
      <c r="AC744" s="9" t="s">
        <v>4369</v>
      </c>
      <c r="AD744" s="9" t="s">
        <v>4370</v>
      </c>
      <c r="AE744" s="9" t="s">
        <v>4408</v>
      </c>
    </row>
    <row r="745" customFormat="false" ht="15" hidden="false" customHeight="true" outlineLevel="0" collapsed="false">
      <c r="A745" s="6" t="s">
        <v>2859</v>
      </c>
      <c r="B745" s="6" t="s">
        <v>485</v>
      </c>
      <c r="C745" s="6" t="s">
        <v>490</v>
      </c>
      <c r="D745" s="6" t="n">
        <v>6</v>
      </c>
      <c r="E745" s="9" t="s">
        <v>4616</v>
      </c>
      <c r="F745" s="6" t="n">
        <v>70000</v>
      </c>
      <c r="Q745" s="1" t="str">
        <f aca="false">IF($A745="","",IF(OR(F745="",I745=""),"",F745-I745))</f>
        <v/>
      </c>
      <c r="R745" s="1" t="str">
        <f aca="false">IF($A745="","",IF(Q745="","",Q745+IF(O745="",0,O745)))</f>
        <v/>
      </c>
      <c r="T745" s="1" t="str">
        <f aca="false">IF($A745="","",IF(R745="","",R745-IF(S745="",0,S745)))</f>
        <v/>
      </c>
      <c r="U745" s="1" t="str">
        <f aca="false">IF($A745="","",IF(I745="","",I745-SUM(J745:P745)))</f>
        <v/>
      </c>
      <c r="V745" s="6" t="s">
        <v>4735</v>
      </c>
      <c r="W745" s="9" t="s">
        <v>528</v>
      </c>
      <c r="X745" s="9" t="s">
        <v>4736</v>
      </c>
      <c r="AC745" s="9" t="s">
        <v>4369</v>
      </c>
      <c r="AD745" s="9" t="s">
        <v>4370</v>
      </c>
      <c r="AE745" s="9" t="s">
        <v>4408</v>
      </c>
    </row>
    <row r="746" customFormat="false" ht="15" hidden="false" customHeight="true" outlineLevel="0" collapsed="false">
      <c r="A746" s="6" t="s">
        <v>2862</v>
      </c>
      <c r="B746" s="6" t="s">
        <v>485</v>
      </c>
      <c r="C746" s="6" t="s">
        <v>490</v>
      </c>
      <c r="D746" s="6" t="n">
        <v>6</v>
      </c>
      <c r="E746" s="9" t="s">
        <v>4616</v>
      </c>
      <c r="F746" s="6" t="n">
        <v>146000</v>
      </c>
      <c r="Q746" s="1" t="str">
        <f aca="false">IF($A746="","",IF(OR(F746="",I746=""),"",F746-I746))</f>
        <v/>
      </c>
      <c r="R746" s="1" t="str">
        <f aca="false">IF($A746="","",IF(Q746="","",Q746+IF(O746="",0,O746)))</f>
        <v/>
      </c>
      <c r="T746" s="1" t="str">
        <f aca="false">IF($A746="","",IF(R746="","",R746-IF(S746="",0,S746)))</f>
        <v/>
      </c>
      <c r="U746" s="1" t="str">
        <f aca="false">IF($A746="","",IF(I746="","",I746-SUM(J746:P746)))</f>
        <v/>
      </c>
      <c r="V746" s="6" t="s">
        <v>4735</v>
      </c>
      <c r="W746" s="9" t="s">
        <v>528</v>
      </c>
      <c r="X746" s="9" t="s">
        <v>4736</v>
      </c>
      <c r="AC746" s="9" t="s">
        <v>4369</v>
      </c>
      <c r="AD746" s="9" t="s">
        <v>4370</v>
      </c>
      <c r="AE746" s="9" t="s">
        <v>4408</v>
      </c>
    </row>
    <row r="747" customFormat="false" ht="15" hidden="false" customHeight="true" outlineLevel="0" collapsed="false">
      <c r="A747" s="6" t="s">
        <v>2865</v>
      </c>
      <c r="B747" s="6" t="s">
        <v>485</v>
      </c>
      <c r="C747" s="6" t="s">
        <v>490</v>
      </c>
      <c r="D747" s="6" t="n">
        <v>6</v>
      </c>
      <c r="E747" s="9" t="s">
        <v>4616</v>
      </c>
      <c r="F747" s="6" t="n">
        <v>125000</v>
      </c>
      <c r="Q747" s="1" t="str">
        <f aca="false">IF($A747="","",IF(OR(F747="",I747=""),"",F747-I747))</f>
        <v/>
      </c>
      <c r="R747" s="1" t="str">
        <f aca="false">IF($A747="","",IF(Q747="","",Q747+IF(O747="",0,O747)))</f>
        <v/>
      </c>
      <c r="T747" s="1" t="str">
        <f aca="false">IF($A747="","",IF(R747="","",R747-IF(S747="",0,S747)))</f>
        <v/>
      </c>
      <c r="U747" s="1" t="str">
        <f aca="false">IF($A747="","",IF(I747="","",I747-SUM(J747:P747)))</f>
        <v/>
      </c>
      <c r="V747" s="6" t="s">
        <v>4735</v>
      </c>
      <c r="W747" s="9" t="s">
        <v>528</v>
      </c>
      <c r="X747" s="9" t="s">
        <v>4736</v>
      </c>
      <c r="AC747" s="9" t="s">
        <v>4369</v>
      </c>
      <c r="AD747" s="9" t="s">
        <v>4370</v>
      </c>
      <c r="AE747" s="9" t="s">
        <v>4408</v>
      </c>
    </row>
    <row r="748" customFormat="false" ht="15" hidden="false" customHeight="true" outlineLevel="0" collapsed="false">
      <c r="A748" s="6" t="s">
        <v>2868</v>
      </c>
      <c r="B748" s="6" t="s">
        <v>485</v>
      </c>
      <c r="C748" s="6" t="s">
        <v>490</v>
      </c>
      <c r="D748" s="6" t="n">
        <v>6</v>
      </c>
      <c r="E748" s="9" t="s">
        <v>4616</v>
      </c>
      <c r="F748" s="6" t="n">
        <v>187000</v>
      </c>
      <c r="Q748" s="1" t="str">
        <f aca="false">IF($A748="","",IF(OR(F748="",I748=""),"",F748-I748))</f>
        <v/>
      </c>
      <c r="R748" s="1" t="str">
        <f aca="false">IF($A748="","",IF(Q748="","",Q748+IF(O748="",0,O748)))</f>
        <v/>
      </c>
      <c r="T748" s="1" t="str">
        <f aca="false">IF($A748="","",IF(R748="","",R748-IF(S748="",0,S748)))</f>
        <v/>
      </c>
      <c r="U748" s="1" t="str">
        <f aca="false">IF($A748="","",IF(I748="","",I748-SUM(J748:P748)))</f>
        <v/>
      </c>
      <c r="V748" s="6" t="s">
        <v>4735</v>
      </c>
      <c r="W748" s="9" t="s">
        <v>528</v>
      </c>
      <c r="X748" s="9" t="s">
        <v>4736</v>
      </c>
      <c r="AC748" s="9" t="s">
        <v>4369</v>
      </c>
      <c r="AD748" s="9" t="s">
        <v>4370</v>
      </c>
      <c r="AE748" s="9" t="s">
        <v>4408</v>
      </c>
    </row>
    <row r="749" customFormat="false" ht="15" hidden="false" customHeight="true" outlineLevel="0" collapsed="false">
      <c r="A749" s="6" t="s">
        <v>2871</v>
      </c>
      <c r="B749" s="6" t="s">
        <v>485</v>
      </c>
      <c r="C749" s="6" t="s">
        <v>490</v>
      </c>
      <c r="D749" s="6" t="n">
        <v>6</v>
      </c>
      <c r="E749" s="9" t="s">
        <v>4616</v>
      </c>
      <c r="F749" s="6" t="n">
        <v>156000</v>
      </c>
      <c r="Q749" s="1" t="str">
        <f aca="false">IF($A749="","",IF(OR(F749="",I749=""),"",F749-I749))</f>
        <v/>
      </c>
      <c r="R749" s="1" t="str">
        <f aca="false">IF($A749="","",IF(Q749="","",Q749+IF(O749="",0,O749)))</f>
        <v/>
      </c>
      <c r="T749" s="1" t="str">
        <f aca="false">IF($A749="","",IF(R749="","",R749-IF(S749="",0,S749)))</f>
        <v/>
      </c>
      <c r="U749" s="1" t="str">
        <f aca="false">IF($A749="","",IF(I749="","",I749-SUM(J749:P749)))</f>
        <v/>
      </c>
      <c r="V749" s="6" t="s">
        <v>4735</v>
      </c>
      <c r="W749" s="9" t="s">
        <v>528</v>
      </c>
      <c r="X749" s="9" t="s">
        <v>4736</v>
      </c>
      <c r="AC749" s="9" t="s">
        <v>4369</v>
      </c>
      <c r="AD749" s="9" t="s">
        <v>4370</v>
      </c>
      <c r="AE749" s="9" t="s">
        <v>4408</v>
      </c>
    </row>
    <row r="750" customFormat="false" ht="15" hidden="false" customHeight="true" outlineLevel="0" collapsed="false">
      <c r="A750" s="6" t="s">
        <v>2874</v>
      </c>
      <c r="B750" s="6" t="s">
        <v>485</v>
      </c>
      <c r="C750" s="6" t="s">
        <v>490</v>
      </c>
      <c r="D750" s="6" t="n">
        <v>6</v>
      </c>
      <c r="E750" s="9" t="s">
        <v>4616</v>
      </c>
      <c r="F750" s="6" t="n">
        <v>135000</v>
      </c>
      <c r="Q750" s="1" t="str">
        <f aca="false">IF($A750="","",IF(OR(F750="",I750=""),"",F750-I750))</f>
        <v/>
      </c>
      <c r="R750" s="1" t="str">
        <f aca="false">IF($A750="","",IF(Q750="","",Q750+IF(O750="",0,O750)))</f>
        <v/>
      </c>
      <c r="T750" s="1" t="str">
        <f aca="false">IF($A750="","",IF(R750="","",R750-IF(S750="",0,S750)))</f>
        <v/>
      </c>
      <c r="U750" s="1" t="str">
        <f aca="false">IF($A750="","",IF(I750="","",I750-SUM(J750:P750)))</f>
        <v/>
      </c>
      <c r="V750" s="6" t="s">
        <v>4735</v>
      </c>
      <c r="W750" s="9" t="s">
        <v>528</v>
      </c>
      <c r="X750" s="9" t="s">
        <v>4736</v>
      </c>
      <c r="AC750" s="9" t="s">
        <v>4369</v>
      </c>
      <c r="AD750" s="9" t="s">
        <v>4370</v>
      </c>
      <c r="AE750" s="9" t="s">
        <v>4408</v>
      </c>
    </row>
    <row r="751" customFormat="false" ht="15" hidden="false" customHeight="true" outlineLevel="0" collapsed="false">
      <c r="A751" s="6" t="s">
        <v>2877</v>
      </c>
      <c r="B751" s="6" t="s">
        <v>485</v>
      </c>
      <c r="C751" s="6" t="s">
        <v>490</v>
      </c>
      <c r="D751" s="6" t="n">
        <v>6</v>
      </c>
      <c r="E751" s="9" t="s">
        <v>4616</v>
      </c>
      <c r="F751" s="6" t="n">
        <v>93000</v>
      </c>
      <c r="Q751" s="1" t="str">
        <f aca="false">IF($A751="","",IF(OR(F751="",I751=""),"",F751-I751))</f>
        <v/>
      </c>
      <c r="R751" s="1" t="str">
        <f aca="false">IF($A751="","",IF(Q751="","",Q751+IF(O751="",0,O751)))</f>
        <v/>
      </c>
      <c r="T751" s="1" t="str">
        <f aca="false">IF($A751="","",IF(R751="","",R751-IF(S751="",0,S751)))</f>
        <v/>
      </c>
      <c r="U751" s="1" t="str">
        <f aca="false">IF($A751="","",IF(I751="","",I751-SUM(J751:P751)))</f>
        <v/>
      </c>
      <c r="V751" s="6" t="s">
        <v>4735</v>
      </c>
      <c r="W751" s="9" t="s">
        <v>528</v>
      </c>
      <c r="X751" s="9" t="s">
        <v>4736</v>
      </c>
      <c r="AC751" s="9" t="s">
        <v>4369</v>
      </c>
      <c r="AD751" s="9" t="s">
        <v>4370</v>
      </c>
      <c r="AE751" s="9" t="s">
        <v>4408</v>
      </c>
    </row>
    <row r="752" customFormat="false" ht="15" hidden="false" customHeight="true" outlineLevel="0" collapsed="false">
      <c r="A752" s="6" t="s">
        <v>2880</v>
      </c>
      <c r="B752" s="6" t="s">
        <v>485</v>
      </c>
      <c r="C752" s="6" t="s">
        <v>490</v>
      </c>
      <c r="D752" s="6" t="n">
        <v>6</v>
      </c>
      <c r="E752" s="9" t="s">
        <v>4616</v>
      </c>
      <c r="F752" s="6" t="n">
        <v>99000</v>
      </c>
      <c r="Q752" s="1" t="str">
        <f aca="false">IF($A752="","",IF(OR(F752="",I752=""),"",F752-I752))</f>
        <v/>
      </c>
      <c r="R752" s="1" t="str">
        <f aca="false">IF($A752="","",IF(Q752="","",Q752+IF(O752="",0,O752)))</f>
        <v/>
      </c>
      <c r="T752" s="1" t="str">
        <f aca="false">IF($A752="","",IF(R752="","",R752-IF(S752="",0,S752)))</f>
        <v/>
      </c>
      <c r="U752" s="1" t="str">
        <f aca="false">IF($A752="","",IF(I752="","",I752-SUM(J752:P752)))</f>
        <v/>
      </c>
      <c r="V752" s="6" t="s">
        <v>4735</v>
      </c>
      <c r="W752" s="9" t="s">
        <v>528</v>
      </c>
      <c r="X752" s="9" t="s">
        <v>4736</v>
      </c>
      <c r="AC752" s="9" t="s">
        <v>4369</v>
      </c>
      <c r="AD752" s="9" t="s">
        <v>4370</v>
      </c>
      <c r="AE752" s="9" t="s">
        <v>4408</v>
      </c>
    </row>
    <row r="753" customFormat="false" ht="15" hidden="false" customHeight="true" outlineLevel="0" collapsed="false">
      <c r="A753" s="6" t="s">
        <v>2883</v>
      </c>
      <c r="B753" s="6" t="s">
        <v>485</v>
      </c>
      <c r="C753" s="6" t="s">
        <v>490</v>
      </c>
      <c r="D753" s="6" t="n">
        <v>6</v>
      </c>
      <c r="E753" s="9" t="s">
        <v>4616</v>
      </c>
      <c r="F753" s="6" t="n">
        <v>106000</v>
      </c>
      <c r="Q753" s="1" t="str">
        <f aca="false">IF($A753="","",IF(OR(F753="",I753=""),"",F753-I753))</f>
        <v/>
      </c>
      <c r="R753" s="1" t="str">
        <f aca="false">IF($A753="","",IF(Q753="","",Q753+IF(O753="",0,O753)))</f>
        <v/>
      </c>
      <c r="T753" s="1" t="str">
        <f aca="false">IF($A753="","",IF(R753="","",R753-IF(S753="",0,S753)))</f>
        <v/>
      </c>
      <c r="U753" s="1" t="str">
        <f aca="false">IF($A753="","",IF(I753="","",I753-SUM(J753:P753)))</f>
        <v/>
      </c>
      <c r="V753" s="6" t="s">
        <v>4735</v>
      </c>
      <c r="W753" s="9" t="s">
        <v>528</v>
      </c>
      <c r="X753" s="9" t="s">
        <v>4736</v>
      </c>
      <c r="AC753" s="9" t="s">
        <v>4369</v>
      </c>
      <c r="AD753" s="9" t="s">
        <v>4370</v>
      </c>
      <c r="AE753" s="9" t="s">
        <v>4408</v>
      </c>
    </row>
    <row r="754" customFormat="false" ht="15" hidden="false" customHeight="true" outlineLevel="0" collapsed="false">
      <c r="A754" s="6" t="s">
        <v>2886</v>
      </c>
      <c r="B754" s="6" t="s">
        <v>485</v>
      </c>
      <c r="C754" s="6" t="s">
        <v>490</v>
      </c>
      <c r="D754" s="6" t="n">
        <v>6</v>
      </c>
      <c r="E754" s="9" t="s">
        <v>4616</v>
      </c>
      <c r="F754" s="6" t="n">
        <v>69000</v>
      </c>
      <c r="Q754" s="1" t="str">
        <f aca="false">IF($A754="","",IF(OR(F754="",I754=""),"",F754-I754))</f>
        <v/>
      </c>
      <c r="R754" s="1" t="str">
        <f aca="false">IF($A754="","",IF(Q754="","",Q754+IF(O754="",0,O754)))</f>
        <v/>
      </c>
      <c r="T754" s="1" t="str">
        <f aca="false">IF($A754="","",IF(R754="","",R754-IF(S754="",0,S754)))</f>
        <v/>
      </c>
      <c r="U754" s="1" t="str">
        <f aca="false">IF($A754="","",IF(I754="","",I754-SUM(J754:P754)))</f>
        <v/>
      </c>
      <c r="V754" s="6" t="s">
        <v>4735</v>
      </c>
      <c r="W754" s="9" t="s">
        <v>528</v>
      </c>
      <c r="X754" s="9" t="s">
        <v>4736</v>
      </c>
      <c r="AC754" s="9" t="s">
        <v>4369</v>
      </c>
      <c r="AD754" s="9" t="s">
        <v>4370</v>
      </c>
      <c r="AE754" s="9" t="s">
        <v>4408</v>
      </c>
    </row>
    <row r="755" customFormat="false" ht="15" hidden="false" customHeight="true" outlineLevel="0" collapsed="false">
      <c r="A755" s="6" t="s">
        <v>2889</v>
      </c>
      <c r="B755" s="6" t="s">
        <v>485</v>
      </c>
      <c r="C755" s="6" t="s">
        <v>490</v>
      </c>
      <c r="D755" s="6" t="n">
        <v>6</v>
      </c>
      <c r="E755" s="9" t="s">
        <v>4616</v>
      </c>
      <c r="F755" s="6" t="n">
        <v>154000</v>
      </c>
      <c r="Q755" s="1" t="str">
        <f aca="false">IF($A755="","",IF(OR(F755="",I755=""),"",F755-I755))</f>
        <v/>
      </c>
      <c r="R755" s="1" t="str">
        <f aca="false">IF($A755="","",IF(Q755="","",Q755+IF(O755="",0,O755)))</f>
        <v/>
      </c>
      <c r="T755" s="1" t="str">
        <f aca="false">IF($A755="","",IF(R755="","",R755-IF(S755="",0,S755)))</f>
        <v/>
      </c>
      <c r="U755" s="1" t="str">
        <f aca="false">IF($A755="","",IF(I755="","",I755-SUM(J755:P755)))</f>
        <v/>
      </c>
      <c r="V755" s="6" t="s">
        <v>4735</v>
      </c>
      <c r="W755" s="9" t="s">
        <v>528</v>
      </c>
      <c r="X755" s="9" t="s">
        <v>4736</v>
      </c>
      <c r="AC755" s="9" t="s">
        <v>4369</v>
      </c>
      <c r="AD755" s="9" t="s">
        <v>4370</v>
      </c>
      <c r="AE755" s="9" t="s">
        <v>4408</v>
      </c>
    </row>
    <row r="756" customFormat="false" ht="15" hidden="false" customHeight="true" outlineLevel="0" collapsed="false">
      <c r="A756" s="6" t="s">
        <v>2892</v>
      </c>
      <c r="B756" s="6" t="s">
        <v>485</v>
      </c>
      <c r="C756" s="6" t="s">
        <v>490</v>
      </c>
      <c r="D756" s="6" t="n">
        <v>6</v>
      </c>
      <c r="E756" s="9" t="s">
        <v>4616</v>
      </c>
      <c r="F756" s="6" t="n">
        <v>110000</v>
      </c>
      <c r="Q756" s="1" t="str">
        <f aca="false">IF($A756="","",IF(OR(F756="",I756=""),"",F756-I756))</f>
        <v/>
      </c>
      <c r="R756" s="1" t="str">
        <f aca="false">IF($A756="","",IF(Q756="","",Q756+IF(O756="",0,O756)))</f>
        <v/>
      </c>
      <c r="T756" s="1" t="str">
        <f aca="false">IF($A756="","",IF(R756="","",R756-IF(S756="",0,S756)))</f>
        <v/>
      </c>
      <c r="U756" s="1" t="str">
        <f aca="false">IF($A756="","",IF(I756="","",I756-SUM(J756:P756)))</f>
        <v/>
      </c>
      <c r="V756" s="6" t="s">
        <v>4735</v>
      </c>
      <c r="W756" s="9" t="s">
        <v>528</v>
      </c>
      <c r="X756" s="9" t="s">
        <v>4736</v>
      </c>
      <c r="AC756" s="9" t="s">
        <v>4369</v>
      </c>
      <c r="AD756" s="9" t="s">
        <v>4370</v>
      </c>
      <c r="AE756" s="9" t="s">
        <v>4408</v>
      </c>
    </row>
    <row r="757" customFormat="false" ht="15" hidden="false" customHeight="true" outlineLevel="0" collapsed="false">
      <c r="A757" s="6" t="s">
        <v>2895</v>
      </c>
      <c r="B757" s="6" t="s">
        <v>485</v>
      </c>
      <c r="C757" s="6" t="s">
        <v>490</v>
      </c>
      <c r="D757" s="6" t="n">
        <v>6</v>
      </c>
      <c r="E757" s="9" t="s">
        <v>4616</v>
      </c>
      <c r="F757" s="6" t="n">
        <v>186000</v>
      </c>
      <c r="Q757" s="1" t="str">
        <f aca="false">IF($A757="","",IF(OR(F757="",I757=""),"",F757-I757))</f>
        <v/>
      </c>
      <c r="R757" s="1" t="str">
        <f aca="false">IF($A757="","",IF(Q757="","",Q757+IF(O757="",0,O757)))</f>
        <v/>
      </c>
      <c r="T757" s="1" t="str">
        <f aca="false">IF($A757="","",IF(R757="","",R757-IF(S757="",0,S757)))</f>
        <v/>
      </c>
      <c r="U757" s="1" t="str">
        <f aca="false">IF($A757="","",IF(I757="","",I757-SUM(J757:P757)))</f>
        <v/>
      </c>
      <c r="V757" s="6" t="s">
        <v>4735</v>
      </c>
      <c r="W757" s="9" t="s">
        <v>528</v>
      </c>
      <c r="X757" s="9" t="s">
        <v>4736</v>
      </c>
      <c r="AC757" s="9" t="s">
        <v>4369</v>
      </c>
      <c r="AD757" s="9" t="s">
        <v>4370</v>
      </c>
      <c r="AE757" s="9" t="s">
        <v>4408</v>
      </c>
    </row>
    <row r="758" customFormat="false" ht="15" hidden="false" customHeight="true" outlineLevel="0" collapsed="false">
      <c r="A758" s="6" t="s">
        <v>2898</v>
      </c>
      <c r="B758" s="6" t="s">
        <v>485</v>
      </c>
      <c r="C758" s="6" t="s">
        <v>490</v>
      </c>
      <c r="D758" s="6" t="n">
        <v>6</v>
      </c>
      <c r="E758" s="9" t="s">
        <v>4616</v>
      </c>
      <c r="F758" s="6" t="n">
        <v>62000</v>
      </c>
      <c r="Q758" s="1" t="str">
        <f aca="false">IF($A758="","",IF(OR(F758="",I758=""),"",F758-I758))</f>
        <v/>
      </c>
      <c r="R758" s="1" t="str">
        <f aca="false">IF($A758="","",IF(Q758="","",Q758+IF(O758="",0,O758)))</f>
        <v/>
      </c>
      <c r="T758" s="1" t="str">
        <f aca="false">IF($A758="","",IF(R758="","",R758-IF(S758="",0,S758)))</f>
        <v/>
      </c>
      <c r="U758" s="1" t="str">
        <f aca="false">IF($A758="","",IF(I758="","",I758-SUM(J758:P758)))</f>
        <v/>
      </c>
      <c r="V758" s="6" t="s">
        <v>4735</v>
      </c>
      <c r="W758" s="9" t="s">
        <v>528</v>
      </c>
      <c r="X758" s="9" t="s">
        <v>4736</v>
      </c>
      <c r="AC758" s="9" t="s">
        <v>4369</v>
      </c>
      <c r="AD758" s="9" t="s">
        <v>4370</v>
      </c>
      <c r="AE758" s="9" t="s">
        <v>4408</v>
      </c>
    </row>
    <row r="759" customFormat="false" ht="15" hidden="false" customHeight="true" outlineLevel="0" collapsed="false">
      <c r="A759" s="6" t="s">
        <v>2901</v>
      </c>
      <c r="B759" s="6" t="s">
        <v>485</v>
      </c>
      <c r="C759" s="6" t="s">
        <v>490</v>
      </c>
      <c r="D759" s="6" t="n">
        <v>6</v>
      </c>
      <c r="E759" s="9" t="s">
        <v>4616</v>
      </c>
      <c r="F759" s="6" t="n">
        <v>52000</v>
      </c>
      <c r="Q759" s="1" t="str">
        <f aca="false">IF($A759="","",IF(OR(F759="",I759=""),"",F759-I759))</f>
        <v/>
      </c>
      <c r="R759" s="1" t="str">
        <f aca="false">IF($A759="","",IF(Q759="","",Q759+IF(O759="",0,O759)))</f>
        <v/>
      </c>
      <c r="T759" s="1" t="str">
        <f aca="false">IF($A759="","",IF(R759="","",R759-IF(S759="",0,S759)))</f>
        <v/>
      </c>
      <c r="U759" s="1" t="str">
        <f aca="false">IF($A759="","",IF(I759="","",I759-SUM(J759:P759)))</f>
        <v/>
      </c>
      <c r="V759" s="6" t="s">
        <v>4735</v>
      </c>
      <c r="W759" s="9" t="s">
        <v>528</v>
      </c>
      <c r="X759" s="9" t="s">
        <v>4736</v>
      </c>
      <c r="AC759" s="9" t="s">
        <v>4369</v>
      </c>
      <c r="AD759" s="9" t="s">
        <v>4370</v>
      </c>
      <c r="AE759" s="9" t="s">
        <v>4408</v>
      </c>
    </row>
    <row r="760" customFormat="false" ht="15" hidden="false" customHeight="true" outlineLevel="0" collapsed="false">
      <c r="A760" s="6" t="s">
        <v>2904</v>
      </c>
      <c r="B760" s="6" t="s">
        <v>485</v>
      </c>
      <c r="C760" s="6" t="s">
        <v>490</v>
      </c>
      <c r="D760" s="6" t="n">
        <v>6</v>
      </c>
      <c r="E760" s="9" t="s">
        <v>4616</v>
      </c>
      <c r="F760" s="6" t="n">
        <v>221000</v>
      </c>
      <c r="Q760" s="1" t="str">
        <f aca="false">IF($A760="","",IF(OR(F760="",I760=""),"",F760-I760))</f>
        <v/>
      </c>
      <c r="R760" s="1" t="str">
        <f aca="false">IF($A760="","",IF(Q760="","",Q760+IF(O760="",0,O760)))</f>
        <v/>
      </c>
      <c r="T760" s="1" t="str">
        <f aca="false">IF($A760="","",IF(R760="","",R760-IF(S760="",0,S760)))</f>
        <v/>
      </c>
      <c r="U760" s="1" t="str">
        <f aca="false">IF($A760="","",IF(I760="","",I760-SUM(J760:P760)))</f>
        <v/>
      </c>
      <c r="V760" s="6" t="s">
        <v>4735</v>
      </c>
      <c r="W760" s="9" t="s">
        <v>528</v>
      </c>
      <c r="X760" s="9" t="s">
        <v>4736</v>
      </c>
      <c r="AC760" s="9" t="s">
        <v>4369</v>
      </c>
      <c r="AD760" s="9" t="s">
        <v>4370</v>
      </c>
      <c r="AE760" s="9" t="s">
        <v>4408</v>
      </c>
    </row>
    <row r="761" customFormat="false" ht="15" hidden="false" customHeight="true" outlineLevel="0" collapsed="false">
      <c r="A761" s="6" t="s">
        <v>2907</v>
      </c>
      <c r="B761" s="6" t="s">
        <v>485</v>
      </c>
      <c r="C761" s="6" t="s">
        <v>490</v>
      </c>
      <c r="D761" s="6" t="n">
        <v>6</v>
      </c>
      <c r="E761" s="9" t="s">
        <v>4616</v>
      </c>
      <c r="F761" s="6" t="n">
        <v>54000</v>
      </c>
      <c r="Q761" s="1" t="str">
        <f aca="false">IF($A761="","",IF(OR(F761="",I761=""),"",F761-I761))</f>
        <v/>
      </c>
      <c r="R761" s="1" t="str">
        <f aca="false">IF($A761="","",IF(Q761="","",Q761+IF(O761="",0,O761)))</f>
        <v/>
      </c>
      <c r="T761" s="1" t="str">
        <f aca="false">IF($A761="","",IF(R761="","",R761-IF(S761="",0,S761)))</f>
        <v/>
      </c>
      <c r="U761" s="1" t="str">
        <f aca="false">IF($A761="","",IF(I761="","",I761-SUM(J761:P761)))</f>
        <v/>
      </c>
      <c r="V761" s="6" t="s">
        <v>4735</v>
      </c>
      <c r="W761" s="9" t="s">
        <v>528</v>
      </c>
      <c r="X761" s="9" t="s">
        <v>4736</v>
      </c>
      <c r="AC761" s="9" t="s">
        <v>4369</v>
      </c>
      <c r="AD761" s="9" t="s">
        <v>4370</v>
      </c>
      <c r="AE761" s="9" t="s">
        <v>4408</v>
      </c>
    </row>
    <row r="762" customFormat="false" ht="15" hidden="false" customHeight="true" outlineLevel="0" collapsed="false">
      <c r="A762" s="6" t="s">
        <v>2910</v>
      </c>
      <c r="B762" s="6" t="s">
        <v>485</v>
      </c>
      <c r="C762" s="6" t="s">
        <v>490</v>
      </c>
      <c r="D762" s="6" t="n">
        <v>6</v>
      </c>
      <c r="E762" s="9" t="s">
        <v>4616</v>
      </c>
      <c r="F762" s="6" t="n">
        <v>255000</v>
      </c>
      <c r="Q762" s="1" t="str">
        <f aca="false">IF($A762="","",IF(OR(F762="",I762=""),"",F762-I762))</f>
        <v/>
      </c>
      <c r="R762" s="1" t="str">
        <f aca="false">IF($A762="","",IF(Q762="","",Q762+IF(O762="",0,O762)))</f>
        <v/>
      </c>
      <c r="T762" s="1" t="str">
        <f aca="false">IF($A762="","",IF(R762="","",R762-IF(S762="",0,S762)))</f>
        <v/>
      </c>
      <c r="U762" s="1" t="str">
        <f aca="false">IF($A762="","",IF(I762="","",I762-SUM(J762:P762)))</f>
        <v/>
      </c>
      <c r="V762" s="6" t="s">
        <v>4735</v>
      </c>
      <c r="W762" s="9" t="s">
        <v>528</v>
      </c>
      <c r="X762" s="9" t="s">
        <v>4736</v>
      </c>
      <c r="AC762" s="9" t="s">
        <v>4369</v>
      </c>
      <c r="AD762" s="9" t="s">
        <v>4370</v>
      </c>
      <c r="AE762" s="9" t="s">
        <v>4408</v>
      </c>
    </row>
    <row r="763" customFormat="false" ht="15" hidden="false" customHeight="true" outlineLevel="0" collapsed="false">
      <c r="A763" s="6" t="s">
        <v>2913</v>
      </c>
      <c r="B763" s="6" t="s">
        <v>485</v>
      </c>
      <c r="C763" s="6" t="s">
        <v>490</v>
      </c>
      <c r="D763" s="6" t="n">
        <v>6</v>
      </c>
      <c r="E763" s="9" t="s">
        <v>4616</v>
      </c>
      <c r="F763" s="6" t="n">
        <v>77000</v>
      </c>
      <c r="Q763" s="1" t="str">
        <f aca="false">IF($A763="","",IF(OR(F763="",I763=""),"",F763-I763))</f>
        <v/>
      </c>
      <c r="R763" s="1" t="str">
        <f aca="false">IF($A763="","",IF(Q763="","",Q763+IF(O763="",0,O763)))</f>
        <v/>
      </c>
      <c r="T763" s="1" t="str">
        <f aca="false">IF($A763="","",IF(R763="","",R763-IF(S763="",0,S763)))</f>
        <v/>
      </c>
      <c r="U763" s="1" t="str">
        <f aca="false">IF($A763="","",IF(I763="","",I763-SUM(J763:P763)))</f>
        <v/>
      </c>
      <c r="V763" s="6" t="s">
        <v>4735</v>
      </c>
      <c r="W763" s="9" t="s">
        <v>528</v>
      </c>
      <c r="X763" s="9" t="s">
        <v>4736</v>
      </c>
      <c r="AC763" s="9" t="s">
        <v>4369</v>
      </c>
      <c r="AD763" s="9" t="s">
        <v>4370</v>
      </c>
      <c r="AE763" s="9" t="s">
        <v>4408</v>
      </c>
    </row>
    <row r="764" customFormat="false" ht="15" hidden="false" customHeight="true" outlineLevel="0" collapsed="false">
      <c r="A764" s="6" t="s">
        <v>2916</v>
      </c>
      <c r="B764" s="6" t="s">
        <v>485</v>
      </c>
      <c r="C764" s="6" t="s">
        <v>490</v>
      </c>
      <c r="D764" s="6" t="n">
        <v>6</v>
      </c>
      <c r="E764" s="9" t="s">
        <v>4621</v>
      </c>
      <c r="F764" s="6" t="n">
        <v>43000</v>
      </c>
      <c r="Q764" s="1" t="str">
        <f aca="false">IF($A764="","",IF(OR(F764="",I764=""),"",F764-I764))</f>
        <v/>
      </c>
      <c r="R764" s="1" t="str">
        <f aca="false">IF($A764="","",IF(Q764="","",Q764+IF(O764="",0,O764)))</f>
        <v/>
      </c>
      <c r="T764" s="1" t="str">
        <f aca="false">IF($A764="","",IF(R764="","",R764-IF(S764="",0,S764)))</f>
        <v/>
      </c>
      <c r="U764" s="1" t="str">
        <f aca="false">IF($A764="","",IF(I764="","",I764-SUM(J764:P764)))</f>
        <v/>
      </c>
      <c r="V764" s="6" t="s">
        <v>4735</v>
      </c>
      <c r="W764" s="9" t="s">
        <v>528</v>
      </c>
      <c r="X764" s="9" t="s">
        <v>4737</v>
      </c>
      <c r="AC764" s="6" t="s">
        <v>4373</v>
      </c>
      <c r="AD764" s="9" t="s">
        <v>4389</v>
      </c>
      <c r="AE764" s="9" t="s">
        <v>4445</v>
      </c>
    </row>
    <row r="765" customFormat="false" ht="15" hidden="false" customHeight="true" outlineLevel="0" collapsed="false">
      <c r="A765" s="6" t="s">
        <v>2919</v>
      </c>
      <c r="B765" s="6" t="s">
        <v>485</v>
      </c>
      <c r="C765" s="6" t="s">
        <v>490</v>
      </c>
      <c r="D765" s="6" t="n">
        <v>6</v>
      </c>
      <c r="E765" s="9" t="s">
        <v>4616</v>
      </c>
      <c r="F765" s="6" t="n">
        <v>76000</v>
      </c>
      <c r="Q765" s="1" t="str">
        <f aca="false">IF($A765="","",IF(OR(F765="",I765=""),"",F765-I765))</f>
        <v/>
      </c>
      <c r="R765" s="1" t="str">
        <f aca="false">IF($A765="","",IF(Q765="","",Q765+IF(O765="",0,O765)))</f>
        <v/>
      </c>
      <c r="T765" s="1" t="str">
        <f aca="false">IF($A765="","",IF(R765="","",R765-IF(S765="",0,S765)))</f>
        <v/>
      </c>
      <c r="U765" s="1" t="str">
        <f aca="false">IF($A765="","",IF(I765="","",I765-SUM(J765:P765)))</f>
        <v/>
      </c>
      <c r="V765" s="6" t="s">
        <v>4735</v>
      </c>
      <c r="W765" s="9" t="s">
        <v>528</v>
      </c>
      <c r="X765" s="9" t="s">
        <v>4736</v>
      </c>
      <c r="AC765" s="9" t="s">
        <v>4369</v>
      </c>
      <c r="AD765" s="9" t="s">
        <v>4370</v>
      </c>
      <c r="AE765" s="9" t="s">
        <v>4408</v>
      </c>
    </row>
    <row r="766" customFormat="false" ht="15" hidden="false" customHeight="true" outlineLevel="0" collapsed="false">
      <c r="A766" s="6" t="s">
        <v>2922</v>
      </c>
      <c r="B766" s="6" t="s">
        <v>485</v>
      </c>
      <c r="C766" s="6" t="s">
        <v>490</v>
      </c>
      <c r="D766" s="6" t="n">
        <v>6</v>
      </c>
      <c r="E766" s="9" t="s">
        <v>4616</v>
      </c>
      <c r="F766" s="6" t="n">
        <v>249000</v>
      </c>
      <c r="Q766" s="1" t="str">
        <f aca="false">IF($A766="","",IF(OR(F766="",I766=""),"",F766-I766))</f>
        <v/>
      </c>
      <c r="R766" s="1" t="str">
        <f aca="false">IF($A766="","",IF(Q766="","",Q766+IF(O766="",0,O766)))</f>
        <v/>
      </c>
      <c r="T766" s="1" t="str">
        <f aca="false">IF($A766="","",IF(R766="","",R766-IF(S766="",0,S766)))</f>
        <v/>
      </c>
      <c r="U766" s="1" t="str">
        <f aca="false">IF($A766="","",IF(I766="","",I766-SUM(J766:P766)))</f>
        <v/>
      </c>
      <c r="V766" s="6" t="s">
        <v>4735</v>
      </c>
      <c r="W766" s="9" t="s">
        <v>528</v>
      </c>
      <c r="X766" s="9" t="s">
        <v>4736</v>
      </c>
      <c r="AC766" s="9" t="s">
        <v>4369</v>
      </c>
      <c r="AD766" s="9" t="s">
        <v>4370</v>
      </c>
      <c r="AE766" s="9" t="s">
        <v>4408</v>
      </c>
    </row>
    <row r="767" customFormat="false" ht="15" hidden="false" customHeight="true" outlineLevel="0" collapsed="false">
      <c r="A767" s="6" t="s">
        <v>2925</v>
      </c>
      <c r="B767" s="6" t="s">
        <v>485</v>
      </c>
      <c r="C767" s="6" t="s">
        <v>490</v>
      </c>
      <c r="D767" s="6" t="n">
        <v>6</v>
      </c>
      <c r="E767" s="9" t="s">
        <v>4616</v>
      </c>
      <c r="F767" s="6" t="n">
        <v>128000</v>
      </c>
      <c r="Q767" s="1" t="str">
        <f aca="false">IF($A767="","",IF(OR(F767="",I767=""),"",F767-I767))</f>
        <v/>
      </c>
      <c r="R767" s="1" t="str">
        <f aca="false">IF($A767="","",IF(Q767="","",Q767+IF(O767="",0,O767)))</f>
        <v/>
      </c>
      <c r="T767" s="1" t="str">
        <f aca="false">IF($A767="","",IF(R767="","",R767-IF(S767="",0,S767)))</f>
        <v/>
      </c>
      <c r="U767" s="1" t="str">
        <f aca="false">IF($A767="","",IF(I767="","",I767-SUM(J767:P767)))</f>
        <v/>
      </c>
      <c r="V767" s="6" t="s">
        <v>4735</v>
      </c>
      <c r="W767" s="9" t="s">
        <v>528</v>
      </c>
      <c r="X767" s="9" t="s">
        <v>4736</v>
      </c>
      <c r="AC767" s="9" t="s">
        <v>4369</v>
      </c>
      <c r="AD767" s="9" t="s">
        <v>4370</v>
      </c>
      <c r="AE767" s="9" t="s">
        <v>4408</v>
      </c>
    </row>
    <row r="768" customFormat="false" ht="15" hidden="false" customHeight="true" outlineLevel="0" collapsed="false">
      <c r="A768" s="6" t="s">
        <v>2928</v>
      </c>
      <c r="B768" s="6" t="s">
        <v>485</v>
      </c>
      <c r="C768" s="6" t="s">
        <v>490</v>
      </c>
      <c r="D768" s="6" t="n">
        <v>6</v>
      </c>
      <c r="E768" s="9" t="s">
        <v>4616</v>
      </c>
      <c r="F768" s="6" t="n">
        <v>116000</v>
      </c>
      <c r="Q768" s="1" t="str">
        <f aca="false">IF($A768="","",IF(OR(F768="",I768=""),"",F768-I768))</f>
        <v/>
      </c>
      <c r="R768" s="1" t="str">
        <f aca="false">IF($A768="","",IF(Q768="","",Q768+IF(O768="",0,O768)))</f>
        <v/>
      </c>
      <c r="T768" s="1" t="str">
        <f aca="false">IF($A768="","",IF(R768="","",R768-IF(S768="",0,S768)))</f>
        <v/>
      </c>
      <c r="U768" s="1" t="str">
        <f aca="false">IF($A768="","",IF(I768="","",I768-SUM(J768:P768)))</f>
        <v/>
      </c>
      <c r="V768" s="6" t="s">
        <v>4735</v>
      </c>
      <c r="W768" s="9" t="s">
        <v>528</v>
      </c>
      <c r="X768" s="9" t="s">
        <v>4736</v>
      </c>
      <c r="AC768" s="9" t="s">
        <v>4369</v>
      </c>
      <c r="AD768" s="9" t="s">
        <v>4370</v>
      </c>
      <c r="AE768" s="9" t="s">
        <v>4408</v>
      </c>
    </row>
    <row r="769" customFormat="false" ht="15" hidden="false" customHeight="true" outlineLevel="0" collapsed="false">
      <c r="A769" s="6" t="s">
        <v>2931</v>
      </c>
      <c r="B769" s="6" t="s">
        <v>485</v>
      </c>
      <c r="C769" s="6" t="s">
        <v>490</v>
      </c>
      <c r="D769" s="6" t="n">
        <v>6</v>
      </c>
      <c r="E769" s="9" t="s">
        <v>4616</v>
      </c>
      <c r="F769" s="6" t="n">
        <v>71000</v>
      </c>
      <c r="Q769" s="1" t="str">
        <f aca="false">IF($A769="","",IF(OR(F769="",I769=""),"",F769-I769))</f>
        <v/>
      </c>
      <c r="R769" s="1" t="str">
        <f aca="false">IF($A769="","",IF(Q769="","",Q769+IF(O769="",0,O769)))</f>
        <v/>
      </c>
      <c r="T769" s="1" t="str">
        <f aca="false">IF($A769="","",IF(R769="","",R769-IF(S769="",0,S769)))</f>
        <v/>
      </c>
      <c r="U769" s="1" t="str">
        <f aca="false">IF($A769="","",IF(I769="","",I769-SUM(J769:P769)))</f>
        <v/>
      </c>
      <c r="V769" s="6" t="s">
        <v>4735</v>
      </c>
      <c r="W769" s="9" t="s">
        <v>528</v>
      </c>
      <c r="X769" s="9" t="s">
        <v>4736</v>
      </c>
      <c r="AC769" s="9" t="s">
        <v>4369</v>
      </c>
      <c r="AD769" s="9" t="s">
        <v>4370</v>
      </c>
      <c r="AE769" s="9" t="s">
        <v>4408</v>
      </c>
    </row>
    <row r="770" customFormat="false" ht="15" hidden="false" customHeight="true" outlineLevel="0" collapsed="false">
      <c r="A770" s="6" t="s">
        <v>2934</v>
      </c>
      <c r="B770" s="6" t="s">
        <v>485</v>
      </c>
      <c r="C770" s="6" t="s">
        <v>490</v>
      </c>
      <c r="D770" s="6" t="n">
        <v>6</v>
      </c>
      <c r="E770" s="9" t="s">
        <v>4616</v>
      </c>
      <c r="F770" s="6" t="n">
        <v>268000</v>
      </c>
      <c r="Q770" s="1" t="str">
        <f aca="false">IF($A770="","",IF(OR(F770="",I770=""),"",F770-I770))</f>
        <v/>
      </c>
      <c r="R770" s="1" t="str">
        <f aca="false">IF($A770="","",IF(Q770="","",Q770+IF(O770="",0,O770)))</f>
        <v/>
      </c>
      <c r="T770" s="1" t="str">
        <f aca="false">IF($A770="","",IF(R770="","",R770-IF(S770="",0,S770)))</f>
        <v/>
      </c>
      <c r="U770" s="1" t="str">
        <f aca="false">IF($A770="","",IF(I770="","",I770-SUM(J770:P770)))</f>
        <v/>
      </c>
      <c r="V770" s="6" t="s">
        <v>4735</v>
      </c>
      <c r="W770" s="9" t="s">
        <v>528</v>
      </c>
      <c r="X770" s="9" t="s">
        <v>4736</v>
      </c>
      <c r="AC770" s="9" t="s">
        <v>4369</v>
      </c>
      <c r="AD770" s="9" t="s">
        <v>4370</v>
      </c>
      <c r="AE770" s="9" t="s">
        <v>4408</v>
      </c>
    </row>
    <row r="771" customFormat="false" ht="15" hidden="false" customHeight="true" outlineLevel="0" collapsed="false">
      <c r="A771" s="6" t="s">
        <v>2937</v>
      </c>
      <c r="B771" s="6" t="s">
        <v>485</v>
      </c>
      <c r="C771" s="6" t="s">
        <v>490</v>
      </c>
      <c r="D771" s="6" t="n">
        <v>6</v>
      </c>
      <c r="E771" s="9" t="s">
        <v>4616</v>
      </c>
      <c r="F771" s="6" t="n">
        <v>154000</v>
      </c>
      <c r="Q771" s="1" t="str">
        <f aca="false">IF($A771="","",IF(OR(F771="",I771=""),"",F771-I771))</f>
        <v/>
      </c>
      <c r="R771" s="1" t="str">
        <f aca="false">IF($A771="","",IF(Q771="","",Q771+IF(O771="",0,O771)))</f>
        <v/>
      </c>
      <c r="T771" s="1" t="str">
        <f aca="false">IF($A771="","",IF(R771="","",R771-IF(S771="",0,S771)))</f>
        <v/>
      </c>
      <c r="U771" s="1" t="str">
        <f aca="false">IF($A771="","",IF(I771="","",I771-SUM(J771:P771)))</f>
        <v/>
      </c>
      <c r="V771" s="6" t="s">
        <v>4735</v>
      </c>
      <c r="W771" s="9" t="s">
        <v>528</v>
      </c>
      <c r="X771" s="9" t="s">
        <v>4736</v>
      </c>
      <c r="AC771" s="9" t="s">
        <v>4369</v>
      </c>
      <c r="AD771" s="9" t="s">
        <v>4370</v>
      </c>
      <c r="AE771" s="9" t="s">
        <v>4408</v>
      </c>
    </row>
    <row r="772" customFormat="false" ht="15" hidden="false" customHeight="true" outlineLevel="0" collapsed="false">
      <c r="A772" s="6" t="s">
        <v>2940</v>
      </c>
      <c r="B772" s="6" t="s">
        <v>485</v>
      </c>
      <c r="C772" s="6" t="s">
        <v>490</v>
      </c>
      <c r="D772" s="6" t="n">
        <v>6</v>
      </c>
      <c r="E772" s="9" t="s">
        <v>4616</v>
      </c>
      <c r="F772" s="6" t="n">
        <v>162000</v>
      </c>
      <c r="Q772" s="1" t="str">
        <f aca="false">IF($A772="","",IF(OR(F772="",I772=""),"",F772-I772))</f>
        <v/>
      </c>
      <c r="R772" s="1" t="str">
        <f aca="false">IF($A772="","",IF(Q772="","",Q772+IF(O772="",0,O772)))</f>
        <v/>
      </c>
      <c r="T772" s="1" t="str">
        <f aca="false">IF($A772="","",IF(R772="","",R772-IF(S772="",0,S772)))</f>
        <v/>
      </c>
      <c r="U772" s="1" t="str">
        <f aca="false">IF($A772="","",IF(I772="","",I772-SUM(J772:P772)))</f>
        <v/>
      </c>
      <c r="V772" s="6" t="s">
        <v>4735</v>
      </c>
      <c r="W772" s="9" t="s">
        <v>528</v>
      </c>
      <c r="X772" s="9" t="s">
        <v>4736</v>
      </c>
      <c r="AC772" s="9" t="s">
        <v>4369</v>
      </c>
      <c r="AD772" s="9" t="s">
        <v>4370</v>
      </c>
      <c r="AE772" s="9" t="s">
        <v>4408</v>
      </c>
    </row>
    <row r="773" customFormat="false" ht="15" hidden="false" customHeight="true" outlineLevel="0" collapsed="false">
      <c r="A773" s="6" t="s">
        <v>2943</v>
      </c>
      <c r="B773" s="6" t="s">
        <v>485</v>
      </c>
      <c r="C773" s="6" t="s">
        <v>490</v>
      </c>
      <c r="D773" s="6" t="n">
        <v>6</v>
      </c>
      <c r="E773" s="9" t="s">
        <v>4616</v>
      </c>
      <c r="F773" s="6" t="n">
        <v>127000</v>
      </c>
      <c r="Q773" s="1" t="str">
        <f aca="false">IF($A773="","",IF(OR(F773="",I773=""),"",F773-I773))</f>
        <v/>
      </c>
      <c r="R773" s="1" t="str">
        <f aca="false">IF($A773="","",IF(Q773="","",Q773+IF(O773="",0,O773)))</f>
        <v/>
      </c>
      <c r="T773" s="1" t="str">
        <f aca="false">IF($A773="","",IF(R773="","",R773-IF(S773="",0,S773)))</f>
        <v/>
      </c>
      <c r="U773" s="1" t="str">
        <f aca="false">IF($A773="","",IF(I773="","",I773-SUM(J773:P773)))</f>
        <v/>
      </c>
      <c r="V773" s="6" t="s">
        <v>4735</v>
      </c>
      <c r="W773" s="9" t="s">
        <v>528</v>
      </c>
      <c r="X773" s="9" t="s">
        <v>4736</v>
      </c>
      <c r="AC773" s="9" t="s">
        <v>4369</v>
      </c>
      <c r="AD773" s="9" t="s">
        <v>4370</v>
      </c>
      <c r="AE773" s="9" t="s">
        <v>4408</v>
      </c>
    </row>
    <row r="774" customFormat="false" ht="15" hidden="false" customHeight="true" outlineLevel="0" collapsed="false">
      <c r="A774" s="6" t="s">
        <v>2946</v>
      </c>
      <c r="B774" s="6" t="s">
        <v>485</v>
      </c>
      <c r="C774" s="6" t="s">
        <v>490</v>
      </c>
      <c r="D774" s="6" t="n">
        <v>6</v>
      </c>
      <c r="E774" s="9" t="s">
        <v>4616</v>
      </c>
      <c r="F774" s="6" t="n">
        <v>65000</v>
      </c>
      <c r="Q774" s="1" t="str">
        <f aca="false">IF($A774="","",IF(OR(F774="",I774=""),"",F774-I774))</f>
        <v/>
      </c>
      <c r="R774" s="1" t="str">
        <f aca="false">IF($A774="","",IF(Q774="","",Q774+IF(O774="",0,O774)))</f>
        <v/>
      </c>
      <c r="T774" s="1" t="str">
        <f aca="false">IF($A774="","",IF(R774="","",R774-IF(S774="",0,S774)))</f>
        <v/>
      </c>
      <c r="U774" s="1" t="str">
        <f aca="false">IF($A774="","",IF(I774="","",I774-SUM(J774:P774)))</f>
        <v/>
      </c>
      <c r="V774" s="6" t="s">
        <v>4735</v>
      </c>
      <c r="W774" s="9" t="s">
        <v>528</v>
      </c>
      <c r="X774" s="9" t="s">
        <v>4736</v>
      </c>
      <c r="AC774" s="9" t="s">
        <v>4369</v>
      </c>
      <c r="AD774" s="9" t="s">
        <v>4370</v>
      </c>
      <c r="AE774" s="9" t="s">
        <v>4408</v>
      </c>
    </row>
    <row r="775" customFormat="false" ht="15" hidden="false" customHeight="true" outlineLevel="0" collapsed="false">
      <c r="A775" s="6" t="s">
        <v>2949</v>
      </c>
      <c r="B775" s="6" t="s">
        <v>485</v>
      </c>
      <c r="C775" s="6" t="s">
        <v>490</v>
      </c>
      <c r="D775" s="6" t="n">
        <v>6</v>
      </c>
      <c r="E775" s="9" t="s">
        <v>4616</v>
      </c>
      <c r="F775" s="6" t="n">
        <v>312000</v>
      </c>
      <c r="Q775" s="1" t="str">
        <f aca="false">IF($A775="","",IF(OR(F775="",I775=""),"",F775-I775))</f>
        <v/>
      </c>
      <c r="R775" s="1" t="str">
        <f aca="false">IF($A775="","",IF(Q775="","",Q775+IF(O775="",0,O775)))</f>
        <v/>
      </c>
      <c r="T775" s="1" t="str">
        <f aca="false">IF($A775="","",IF(R775="","",R775-IF(S775="",0,S775)))</f>
        <v/>
      </c>
      <c r="U775" s="1" t="str">
        <f aca="false">IF($A775="","",IF(I775="","",I775-SUM(J775:P775)))</f>
        <v/>
      </c>
      <c r="V775" s="6" t="s">
        <v>4735</v>
      </c>
      <c r="W775" s="9" t="s">
        <v>528</v>
      </c>
      <c r="X775" s="9" t="s">
        <v>4736</v>
      </c>
      <c r="AC775" s="9" t="s">
        <v>4369</v>
      </c>
      <c r="AD775" s="9" t="s">
        <v>4370</v>
      </c>
      <c r="AE775" s="9" t="s">
        <v>4408</v>
      </c>
    </row>
    <row r="776" customFormat="false" ht="15" hidden="false" customHeight="true" outlineLevel="0" collapsed="false">
      <c r="A776" s="6" t="s">
        <v>2952</v>
      </c>
      <c r="B776" s="6" t="s">
        <v>485</v>
      </c>
      <c r="C776" s="6" t="s">
        <v>490</v>
      </c>
      <c r="D776" s="6" t="n">
        <v>6</v>
      </c>
      <c r="E776" s="9" t="s">
        <v>4616</v>
      </c>
      <c r="F776" s="6" t="n">
        <v>128000</v>
      </c>
      <c r="Q776" s="1" t="str">
        <f aca="false">IF($A776="","",IF(OR(F776="",I776=""),"",F776-I776))</f>
        <v/>
      </c>
      <c r="R776" s="1" t="str">
        <f aca="false">IF($A776="","",IF(Q776="","",Q776+IF(O776="",0,O776)))</f>
        <v/>
      </c>
      <c r="T776" s="1" t="str">
        <f aca="false">IF($A776="","",IF(R776="","",R776-IF(S776="",0,S776)))</f>
        <v/>
      </c>
      <c r="U776" s="1" t="str">
        <f aca="false">IF($A776="","",IF(I776="","",I776-SUM(J776:P776)))</f>
        <v/>
      </c>
      <c r="V776" s="6" t="s">
        <v>4735</v>
      </c>
      <c r="W776" s="9" t="s">
        <v>528</v>
      </c>
      <c r="X776" s="9" t="s">
        <v>4736</v>
      </c>
      <c r="AC776" s="9" t="s">
        <v>4369</v>
      </c>
      <c r="AD776" s="9" t="s">
        <v>4370</v>
      </c>
      <c r="AE776" s="9" t="s">
        <v>4408</v>
      </c>
    </row>
    <row r="777" customFormat="false" ht="15" hidden="false" customHeight="true" outlineLevel="0" collapsed="false">
      <c r="A777" s="6" t="s">
        <v>2955</v>
      </c>
      <c r="B777" s="6" t="s">
        <v>485</v>
      </c>
      <c r="C777" s="6" t="s">
        <v>490</v>
      </c>
      <c r="D777" s="6" t="n">
        <v>6</v>
      </c>
      <c r="E777" s="9" t="s">
        <v>4616</v>
      </c>
      <c r="F777" s="6" t="n">
        <v>106000</v>
      </c>
      <c r="Q777" s="1" t="str">
        <f aca="false">IF($A777="","",IF(OR(F777="",I777=""),"",F777-I777))</f>
        <v/>
      </c>
      <c r="R777" s="1" t="str">
        <f aca="false">IF($A777="","",IF(Q777="","",Q777+IF(O777="",0,O777)))</f>
        <v/>
      </c>
      <c r="T777" s="1" t="str">
        <f aca="false">IF($A777="","",IF(R777="","",R777-IF(S777="",0,S777)))</f>
        <v/>
      </c>
      <c r="U777" s="1" t="str">
        <f aca="false">IF($A777="","",IF(I777="","",I777-SUM(J777:P777)))</f>
        <v/>
      </c>
      <c r="V777" s="6" t="s">
        <v>4735</v>
      </c>
      <c r="W777" s="9" t="s">
        <v>528</v>
      </c>
      <c r="X777" s="9" t="s">
        <v>4736</v>
      </c>
      <c r="AC777" s="9" t="s">
        <v>4369</v>
      </c>
      <c r="AD777" s="9" t="s">
        <v>4370</v>
      </c>
      <c r="AE777" s="9" t="s">
        <v>4408</v>
      </c>
    </row>
    <row r="778" customFormat="false" ht="15" hidden="false" customHeight="true" outlineLevel="0" collapsed="false">
      <c r="A778" s="6" t="s">
        <v>2958</v>
      </c>
      <c r="B778" s="6" t="s">
        <v>485</v>
      </c>
      <c r="C778" s="6" t="s">
        <v>490</v>
      </c>
      <c r="D778" s="6" t="n">
        <v>6</v>
      </c>
      <c r="E778" s="9" t="s">
        <v>4616</v>
      </c>
      <c r="F778" s="6" t="n">
        <v>137000</v>
      </c>
      <c r="Q778" s="1" t="str">
        <f aca="false">IF($A778="","",IF(OR(F778="",I778=""),"",F778-I778))</f>
        <v/>
      </c>
      <c r="R778" s="1" t="str">
        <f aca="false">IF($A778="","",IF(Q778="","",Q778+IF(O778="",0,O778)))</f>
        <v/>
      </c>
      <c r="T778" s="1" t="str">
        <f aca="false">IF($A778="","",IF(R778="","",R778-IF(S778="",0,S778)))</f>
        <v/>
      </c>
      <c r="U778" s="1" t="str">
        <f aca="false">IF($A778="","",IF(I778="","",I778-SUM(J778:P778)))</f>
        <v/>
      </c>
      <c r="V778" s="6" t="s">
        <v>4735</v>
      </c>
      <c r="W778" s="9" t="s">
        <v>528</v>
      </c>
      <c r="X778" s="9" t="s">
        <v>4736</v>
      </c>
      <c r="AC778" s="9" t="s">
        <v>4369</v>
      </c>
      <c r="AD778" s="9" t="s">
        <v>4370</v>
      </c>
      <c r="AE778" s="9" t="s">
        <v>4408</v>
      </c>
    </row>
    <row r="779" customFormat="false" ht="15" hidden="false" customHeight="true" outlineLevel="0" collapsed="false">
      <c r="A779" s="6" t="s">
        <v>2961</v>
      </c>
      <c r="B779" s="6" t="s">
        <v>485</v>
      </c>
      <c r="C779" s="6" t="s">
        <v>490</v>
      </c>
      <c r="D779" s="6" t="n">
        <v>6</v>
      </c>
      <c r="E779" s="9" t="s">
        <v>4616</v>
      </c>
      <c r="F779" s="6" t="n">
        <v>104000</v>
      </c>
      <c r="Q779" s="1" t="str">
        <f aca="false">IF($A779="","",IF(OR(F779="",I779=""),"",F779-I779))</f>
        <v/>
      </c>
      <c r="R779" s="1" t="str">
        <f aca="false">IF($A779="","",IF(Q779="","",Q779+IF(O779="",0,O779)))</f>
        <v/>
      </c>
      <c r="T779" s="1" t="str">
        <f aca="false">IF($A779="","",IF(R779="","",R779-IF(S779="",0,S779)))</f>
        <v/>
      </c>
      <c r="U779" s="1" t="str">
        <f aca="false">IF($A779="","",IF(I779="","",I779-SUM(J779:P779)))</f>
        <v/>
      </c>
      <c r="V779" s="6" t="s">
        <v>4735</v>
      </c>
      <c r="W779" s="9" t="s">
        <v>528</v>
      </c>
      <c r="X779" s="9" t="s">
        <v>4736</v>
      </c>
      <c r="AC779" s="9" t="s">
        <v>4369</v>
      </c>
      <c r="AD779" s="9" t="s">
        <v>4370</v>
      </c>
      <c r="AE779" s="9" t="s">
        <v>4408</v>
      </c>
    </row>
    <row r="780" customFormat="false" ht="15" hidden="false" customHeight="true" outlineLevel="0" collapsed="false">
      <c r="A780" s="6" t="s">
        <v>2963</v>
      </c>
      <c r="B780" s="6" t="s">
        <v>485</v>
      </c>
      <c r="C780" s="6" t="s">
        <v>490</v>
      </c>
      <c r="D780" s="6" t="n">
        <v>6</v>
      </c>
      <c r="E780" s="9" t="s">
        <v>4616</v>
      </c>
      <c r="F780" s="6" t="n">
        <v>118000</v>
      </c>
      <c r="Q780" s="1" t="str">
        <f aca="false">IF($A780="","",IF(OR(F780="",I780=""),"",F780-I780))</f>
        <v/>
      </c>
      <c r="R780" s="1" t="str">
        <f aca="false">IF($A780="","",IF(Q780="","",Q780+IF(O780="",0,O780)))</f>
        <v/>
      </c>
      <c r="T780" s="1" t="str">
        <f aca="false">IF($A780="","",IF(R780="","",R780-IF(S780="",0,S780)))</f>
        <v/>
      </c>
      <c r="U780" s="1" t="str">
        <f aca="false">IF($A780="","",IF(I780="","",I780-SUM(J780:P780)))</f>
        <v/>
      </c>
      <c r="V780" s="6" t="s">
        <v>4735</v>
      </c>
      <c r="W780" s="9" t="s">
        <v>528</v>
      </c>
      <c r="X780" s="9" t="s">
        <v>4736</v>
      </c>
      <c r="AC780" s="9" t="s">
        <v>4369</v>
      </c>
      <c r="AD780" s="9" t="s">
        <v>4370</v>
      </c>
      <c r="AE780" s="9" t="s">
        <v>4408</v>
      </c>
    </row>
    <row r="781" customFormat="false" ht="15" hidden="false" customHeight="true" outlineLevel="0" collapsed="false">
      <c r="A781" s="6" t="s">
        <v>2966</v>
      </c>
      <c r="B781" s="6" t="s">
        <v>485</v>
      </c>
      <c r="C781" s="6" t="s">
        <v>490</v>
      </c>
      <c r="D781" s="6" t="n">
        <v>6</v>
      </c>
      <c r="E781" s="9" t="s">
        <v>4616</v>
      </c>
      <c r="F781" s="6" t="n">
        <v>132000</v>
      </c>
      <c r="Q781" s="1" t="str">
        <f aca="false">IF($A781="","",IF(OR(F781="",I781=""),"",F781-I781))</f>
        <v/>
      </c>
      <c r="R781" s="1" t="str">
        <f aca="false">IF($A781="","",IF(Q781="","",Q781+IF(O781="",0,O781)))</f>
        <v/>
      </c>
      <c r="T781" s="1" t="str">
        <f aca="false">IF($A781="","",IF(R781="","",R781-IF(S781="",0,S781)))</f>
        <v/>
      </c>
      <c r="U781" s="1" t="str">
        <f aca="false">IF($A781="","",IF(I781="","",I781-SUM(J781:P781)))</f>
        <v/>
      </c>
      <c r="V781" s="6" t="s">
        <v>4735</v>
      </c>
      <c r="W781" s="9" t="s">
        <v>528</v>
      </c>
      <c r="X781" s="9" t="s">
        <v>4736</v>
      </c>
      <c r="AC781" s="9" t="s">
        <v>4369</v>
      </c>
      <c r="AD781" s="9" t="s">
        <v>4370</v>
      </c>
      <c r="AE781" s="9" t="s">
        <v>4408</v>
      </c>
    </row>
    <row r="782" customFormat="false" ht="15" hidden="false" customHeight="true" outlineLevel="0" collapsed="false">
      <c r="A782" s="6" t="s">
        <v>2969</v>
      </c>
      <c r="B782" s="6" t="s">
        <v>485</v>
      </c>
      <c r="C782" s="6" t="s">
        <v>490</v>
      </c>
      <c r="D782" s="6" t="n">
        <v>6</v>
      </c>
      <c r="E782" s="9" t="s">
        <v>4616</v>
      </c>
      <c r="F782" s="6" t="n">
        <v>116000</v>
      </c>
      <c r="Q782" s="1" t="str">
        <f aca="false">IF($A782="","",IF(OR(F782="",I782=""),"",F782-I782))</f>
        <v/>
      </c>
      <c r="R782" s="1" t="str">
        <f aca="false">IF($A782="","",IF(Q782="","",Q782+IF(O782="",0,O782)))</f>
        <v/>
      </c>
      <c r="T782" s="1" t="str">
        <f aca="false">IF($A782="","",IF(R782="","",R782-IF(S782="",0,S782)))</f>
        <v/>
      </c>
      <c r="U782" s="1" t="str">
        <f aca="false">IF($A782="","",IF(I782="","",I782-SUM(J782:P782)))</f>
        <v/>
      </c>
      <c r="V782" s="6" t="s">
        <v>4735</v>
      </c>
      <c r="W782" s="9" t="s">
        <v>528</v>
      </c>
      <c r="X782" s="9" t="s">
        <v>4736</v>
      </c>
      <c r="AC782" s="9" t="s">
        <v>4369</v>
      </c>
      <c r="AD782" s="9" t="s">
        <v>4370</v>
      </c>
      <c r="AE782" s="9" t="s">
        <v>4408</v>
      </c>
    </row>
    <row r="783" customFormat="false" ht="15" hidden="false" customHeight="true" outlineLevel="0" collapsed="false">
      <c r="A783" s="6" t="s">
        <v>2972</v>
      </c>
      <c r="B783" s="6" t="s">
        <v>485</v>
      </c>
      <c r="C783" s="6" t="s">
        <v>490</v>
      </c>
      <c r="D783" s="6" t="n">
        <v>6</v>
      </c>
      <c r="E783" s="9" t="s">
        <v>4616</v>
      </c>
      <c r="F783" s="6" t="n">
        <v>209000</v>
      </c>
      <c r="Q783" s="1" t="str">
        <f aca="false">IF($A783="","",IF(OR(F783="",I783=""),"",F783-I783))</f>
        <v/>
      </c>
      <c r="R783" s="1" t="str">
        <f aca="false">IF($A783="","",IF(Q783="","",Q783+IF(O783="",0,O783)))</f>
        <v/>
      </c>
      <c r="T783" s="1" t="str">
        <f aca="false">IF($A783="","",IF(R783="","",R783-IF(S783="",0,S783)))</f>
        <v/>
      </c>
      <c r="U783" s="1" t="str">
        <f aca="false">IF($A783="","",IF(I783="","",I783-SUM(J783:P783)))</f>
        <v/>
      </c>
      <c r="V783" s="6" t="s">
        <v>4735</v>
      </c>
      <c r="W783" s="9" t="s">
        <v>528</v>
      </c>
      <c r="X783" s="9" t="s">
        <v>4736</v>
      </c>
      <c r="AC783" s="9" t="s">
        <v>4369</v>
      </c>
      <c r="AD783" s="9" t="s">
        <v>4370</v>
      </c>
      <c r="AE783" s="9" t="s">
        <v>4408</v>
      </c>
    </row>
    <row r="784" customFormat="false" ht="15" hidden="false" customHeight="true" outlineLevel="0" collapsed="false">
      <c r="A784" s="6" t="s">
        <v>2975</v>
      </c>
      <c r="B784" s="6" t="s">
        <v>485</v>
      </c>
      <c r="C784" s="6" t="s">
        <v>490</v>
      </c>
      <c r="D784" s="6" t="n">
        <v>6</v>
      </c>
      <c r="E784" s="9" t="s">
        <v>4616</v>
      </c>
      <c r="F784" s="6" t="n">
        <v>82000</v>
      </c>
      <c r="Q784" s="1" t="str">
        <f aca="false">IF($A784="","",IF(OR(F784="",I784=""),"",F784-I784))</f>
        <v/>
      </c>
      <c r="R784" s="1" t="str">
        <f aca="false">IF($A784="","",IF(Q784="","",Q784+IF(O784="",0,O784)))</f>
        <v/>
      </c>
      <c r="T784" s="1" t="str">
        <f aca="false">IF($A784="","",IF(R784="","",R784-IF(S784="",0,S784)))</f>
        <v/>
      </c>
      <c r="U784" s="1" t="str">
        <f aca="false">IF($A784="","",IF(I784="","",I784-SUM(J784:P784)))</f>
        <v/>
      </c>
      <c r="V784" s="6" t="s">
        <v>4735</v>
      </c>
      <c r="W784" s="9" t="s">
        <v>528</v>
      </c>
      <c r="X784" s="9" t="s">
        <v>4736</v>
      </c>
      <c r="AC784" s="9" t="s">
        <v>4369</v>
      </c>
      <c r="AD784" s="9" t="s">
        <v>4370</v>
      </c>
      <c r="AE784" s="9" t="s">
        <v>4408</v>
      </c>
    </row>
    <row r="785" customFormat="false" ht="15" hidden="false" customHeight="true" outlineLevel="0" collapsed="false">
      <c r="A785" s="6" t="s">
        <v>2978</v>
      </c>
      <c r="B785" s="6" t="s">
        <v>485</v>
      </c>
      <c r="C785" s="6" t="s">
        <v>490</v>
      </c>
      <c r="D785" s="6" t="n">
        <v>6</v>
      </c>
      <c r="E785" s="9" t="s">
        <v>4616</v>
      </c>
      <c r="F785" s="6" t="n">
        <v>189000</v>
      </c>
      <c r="Q785" s="1" t="str">
        <f aca="false">IF($A785="","",IF(OR(F785="",I785=""),"",F785-I785))</f>
        <v/>
      </c>
      <c r="R785" s="1" t="str">
        <f aca="false">IF($A785="","",IF(Q785="","",Q785+IF(O785="",0,O785)))</f>
        <v/>
      </c>
      <c r="T785" s="1" t="str">
        <f aca="false">IF($A785="","",IF(R785="","",R785-IF(S785="",0,S785)))</f>
        <v/>
      </c>
      <c r="U785" s="1" t="str">
        <f aca="false">IF($A785="","",IF(I785="","",I785-SUM(J785:P785)))</f>
        <v/>
      </c>
      <c r="V785" s="6" t="s">
        <v>4735</v>
      </c>
      <c r="W785" s="9" t="s">
        <v>528</v>
      </c>
      <c r="X785" s="9" t="s">
        <v>4736</v>
      </c>
      <c r="AC785" s="9" t="s">
        <v>4369</v>
      </c>
      <c r="AD785" s="9" t="s">
        <v>4370</v>
      </c>
      <c r="AE785" s="9" t="s">
        <v>4408</v>
      </c>
    </row>
    <row r="786" customFormat="false" ht="15" hidden="false" customHeight="true" outlineLevel="0" collapsed="false">
      <c r="A786" s="6" t="s">
        <v>2981</v>
      </c>
      <c r="B786" s="6" t="s">
        <v>485</v>
      </c>
      <c r="C786" s="6" t="s">
        <v>490</v>
      </c>
      <c r="D786" s="6" t="n">
        <v>6</v>
      </c>
      <c r="E786" s="9" t="s">
        <v>4616</v>
      </c>
      <c r="F786" s="6" t="n">
        <v>482000</v>
      </c>
      <c r="Q786" s="1" t="str">
        <f aca="false">IF($A786="","",IF(OR(F786="",I786=""),"",F786-I786))</f>
        <v/>
      </c>
      <c r="R786" s="1" t="str">
        <f aca="false">IF($A786="","",IF(Q786="","",Q786+IF(O786="",0,O786)))</f>
        <v/>
      </c>
      <c r="T786" s="1" t="str">
        <f aca="false">IF($A786="","",IF(R786="","",R786-IF(S786="",0,S786)))</f>
        <v/>
      </c>
      <c r="U786" s="1" t="str">
        <f aca="false">IF($A786="","",IF(I786="","",I786-SUM(J786:P786)))</f>
        <v/>
      </c>
      <c r="V786" s="6" t="s">
        <v>4735</v>
      </c>
      <c r="W786" s="9" t="s">
        <v>528</v>
      </c>
      <c r="X786" s="9" t="s">
        <v>4736</v>
      </c>
      <c r="AC786" s="9" t="s">
        <v>4369</v>
      </c>
      <c r="AD786" s="9" t="s">
        <v>4370</v>
      </c>
      <c r="AE786" s="9" t="s">
        <v>4408</v>
      </c>
    </row>
    <row r="787" customFormat="false" ht="15" hidden="false" customHeight="true" outlineLevel="0" collapsed="false">
      <c r="A787" s="6" t="s">
        <v>2984</v>
      </c>
      <c r="B787" s="6" t="s">
        <v>485</v>
      </c>
      <c r="C787" s="6" t="s">
        <v>490</v>
      </c>
      <c r="D787" s="6" t="n">
        <v>6</v>
      </c>
      <c r="E787" s="9" t="s">
        <v>4616</v>
      </c>
      <c r="F787" s="6" t="n">
        <v>70000</v>
      </c>
      <c r="Q787" s="1" t="str">
        <f aca="false">IF($A787="","",IF(OR(F787="",I787=""),"",F787-I787))</f>
        <v/>
      </c>
      <c r="R787" s="1" t="str">
        <f aca="false">IF($A787="","",IF(Q787="","",Q787+IF(O787="",0,O787)))</f>
        <v/>
      </c>
      <c r="T787" s="1" t="str">
        <f aca="false">IF($A787="","",IF(R787="","",R787-IF(S787="",0,S787)))</f>
        <v/>
      </c>
      <c r="U787" s="1" t="str">
        <f aca="false">IF($A787="","",IF(I787="","",I787-SUM(J787:P787)))</f>
        <v/>
      </c>
      <c r="V787" s="6" t="s">
        <v>4735</v>
      </c>
      <c r="W787" s="9" t="s">
        <v>528</v>
      </c>
      <c r="X787" s="9" t="s">
        <v>4736</v>
      </c>
      <c r="AC787" s="9" t="s">
        <v>4369</v>
      </c>
      <c r="AD787" s="9" t="s">
        <v>4370</v>
      </c>
      <c r="AE787" s="9" t="s">
        <v>4408</v>
      </c>
    </row>
    <row r="788" customFormat="false" ht="15" hidden="false" customHeight="true" outlineLevel="0" collapsed="false">
      <c r="A788" s="6" t="s">
        <v>2987</v>
      </c>
      <c r="B788" s="6" t="s">
        <v>485</v>
      </c>
      <c r="C788" s="6" t="s">
        <v>490</v>
      </c>
      <c r="D788" s="6" t="n">
        <v>6</v>
      </c>
      <c r="E788" s="9" t="s">
        <v>4616</v>
      </c>
      <c r="F788" s="6" t="n">
        <v>331000</v>
      </c>
      <c r="Q788" s="1" t="str">
        <f aca="false">IF($A788="","",IF(OR(F788="",I788=""),"",F788-I788))</f>
        <v/>
      </c>
      <c r="R788" s="1" t="str">
        <f aca="false">IF($A788="","",IF(Q788="","",Q788+IF(O788="",0,O788)))</f>
        <v/>
      </c>
      <c r="T788" s="1" t="str">
        <f aca="false">IF($A788="","",IF(R788="","",R788-IF(S788="",0,S788)))</f>
        <v/>
      </c>
      <c r="U788" s="1" t="str">
        <f aca="false">IF($A788="","",IF(I788="","",I788-SUM(J788:P788)))</f>
        <v/>
      </c>
      <c r="V788" s="6" t="s">
        <v>4735</v>
      </c>
      <c r="W788" s="9" t="s">
        <v>528</v>
      </c>
      <c r="X788" s="9" t="s">
        <v>4736</v>
      </c>
      <c r="AC788" s="9" t="s">
        <v>4369</v>
      </c>
      <c r="AD788" s="9" t="s">
        <v>4370</v>
      </c>
      <c r="AE788" s="9" t="s">
        <v>4408</v>
      </c>
    </row>
    <row r="789" customFormat="false" ht="15" hidden="false" customHeight="true" outlineLevel="0" collapsed="false">
      <c r="A789" s="6" t="s">
        <v>2990</v>
      </c>
      <c r="B789" s="6" t="s">
        <v>485</v>
      </c>
      <c r="C789" s="6" t="s">
        <v>490</v>
      </c>
      <c r="D789" s="6" t="n">
        <v>6</v>
      </c>
      <c r="E789" s="9" t="s">
        <v>4616</v>
      </c>
      <c r="F789" s="6" t="n">
        <v>156000</v>
      </c>
      <c r="Q789" s="1" t="str">
        <f aca="false">IF($A789="","",IF(OR(F789="",I789=""),"",F789-I789))</f>
        <v/>
      </c>
      <c r="R789" s="1" t="str">
        <f aca="false">IF($A789="","",IF(Q789="","",Q789+IF(O789="",0,O789)))</f>
        <v/>
      </c>
      <c r="T789" s="1" t="str">
        <f aca="false">IF($A789="","",IF(R789="","",R789-IF(S789="",0,S789)))</f>
        <v/>
      </c>
      <c r="U789" s="1" t="str">
        <f aca="false">IF($A789="","",IF(I789="","",I789-SUM(J789:P789)))</f>
        <v/>
      </c>
      <c r="V789" s="6" t="s">
        <v>4735</v>
      </c>
      <c r="W789" s="9" t="s">
        <v>528</v>
      </c>
      <c r="X789" s="9" t="s">
        <v>4736</v>
      </c>
      <c r="AC789" s="9" t="s">
        <v>4369</v>
      </c>
      <c r="AD789" s="9" t="s">
        <v>4370</v>
      </c>
      <c r="AE789" s="9" t="s">
        <v>4408</v>
      </c>
    </row>
    <row r="790" customFormat="false" ht="15" hidden="false" customHeight="true" outlineLevel="0" collapsed="false">
      <c r="A790" s="6" t="s">
        <v>2993</v>
      </c>
      <c r="B790" s="6" t="s">
        <v>485</v>
      </c>
      <c r="C790" s="6" t="s">
        <v>490</v>
      </c>
      <c r="D790" s="6" t="n">
        <v>6</v>
      </c>
      <c r="E790" s="9" t="s">
        <v>4616</v>
      </c>
      <c r="F790" s="6" t="n">
        <v>79000</v>
      </c>
      <c r="Q790" s="1" t="str">
        <f aca="false">IF($A790="","",IF(OR(F790="",I790=""),"",F790-I790))</f>
        <v/>
      </c>
      <c r="R790" s="1" t="str">
        <f aca="false">IF($A790="","",IF(Q790="","",Q790+IF(O790="",0,O790)))</f>
        <v/>
      </c>
      <c r="T790" s="1" t="str">
        <f aca="false">IF($A790="","",IF(R790="","",R790-IF(S790="",0,S790)))</f>
        <v/>
      </c>
      <c r="U790" s="1" t="str">
        <f aca="false">IF($A790="","",IF(I790="","",I790-SUM(J790:P790)))</f>
        <v/>
      </c>
      <c r="V790" s="6" t="s">
        <v>4735</v>
      </c>
      <c r="W790" s="9" t="s">
        <v>528</v>
      </c>
      <c r="X790" s="9" t="s">
        <v>4736</v>
      </c>
      <c r="AC790" s="9" t="s">
        <v>4369</v>
      </c>
      <c r="AD790" s="9" t="s">
        <v>4370</v>
      </c>
      <c r="AE790" s="9" t="s">
        <v>4408</v>
      </c>
    </row>
    <row r="791" customFormat="false" ht="15" hidden="false" customHeight="true" outlineLevel="0" collapsed="false">
      <c r="A791" s="6" t="s">
        <v>2996</v>
      </c>
      <c r="B791" s="6" t="s">
        <v>485</v>
      </c>
      <c r="C791" s="6" t="s">
        <v>490</v>
      </c>
      <c r="D791" s="6" t="n">
        <v>6</v>
      </c>
      <c r="E791" s="9" t="s">
        <v>4616</v>
      </c>
      <c r="F791" s="6" t="n">
        <v>336000</v>
      </c>
      <c r="Q791" s="1" t="str">
        <f aca="false">IF($A791="","",IF(OR(F791="",I791=""),"",F791-I791))</f>
        <v/>
      </c>
      <c r="R791" s="1" t="str">
        <f aca="false">IF($A791="","",IF(Q791="","",Q791+IF(O791="",0,O791)))</f>
        <v/>
      </c>
      <c r="T791" s="1" t="str">
        <f aca="false">IF($A791="","",IF(R791="","",R791-IF(S791="",0,S791)))</f>
        <v/>
      </c>
      <c r="U791" s="1" t="str">
        <f aca="false">IF($A791="","",IF(I791="","",I791-SUM(J791:P791)))</f>
        <v/>
      </c>
      <c r="V791" s="6" t="s">
        <v>4735</v>
      </c>
      <c r="W791" s="9" t="s">
        <v>528</v>
      </c>
      <c r="X791" s="9" t="s">
        <v>4736</v>
      </c>
      <c r="AC791" s="9" t="s">
        <v>4369</v>
      </c>
      <c r="AD791" s="9" t="s">
        <v>4370</v>
      </c>
      <c r="AE791" s="9" t="s">
        <v>4408</v>
      </c>
    </row>
    <row r="792" customFormat="false" ht="15" hidden="false" customHeight="true" outlineLevel="0" collapsed="false">
      <c r="A792" s="6" t="s">
        <v>2999</v>
      </c>
      <c r="B792" s="6" t="s">
        <v>485</v>
      </c>
      <c r="C792" s="6" t="s">
        <v>490</v>
      </c>
      <c r="D792" s="6" t="n">
        <v>6</v>
      </c>
      <c r="E792" s="9" t="s">
        <v>4616</v>
      </c>
      <c r="F792" s="6" t="n">
        <v>133000</v>
      </c>
      <c r="Q792" s="1" t="str">
        <f aca="false">IF($A792="","",IF(OR(F792="",I792=""),"",F792-I792))</f>
        <v/>
      </c>
      <c r="R792" s="1" t="str">
        <f aca="false">IF($A792="","",IF(Q792="","",Q792+IF(O792="",0,O792)))</f>
        <v/>
      </c>
      <c r="T792" s="1" t="str">
        <f aca="false">IF($A792="","",IF(R792="","",R792-IF(S792="",0,S792)))</f>
        <v/>
      </c>
      <c r="U792" s="1" t="str">
        <f aca="false">IF($A792="","",IF(I792="","",I792-SUM(J792:P792)))</f>
        <v/>
      </c>
      <c r="V792" s="6" t="s">
        <v>4735</v>
      </c>
      <c r="W792" s="9" t="s">
        <v>528</v>
      </c>
      <c r="X792" s="9" t="s">
        <v>4736</v>
      </c>
      <c r="AC792" s="9" t="s">
        <v>4369</v>
      </c>
      <c r="AD792" s="9" t="s">
        <v>4370</v>
      </c>
      <c r="AE792" s="9" t="s">
        <v>4408</v>
      </c>
    </row>
    <row r="793" customFormat="false" ht="15" hidden="false" customHeight="true" outlineLevel="0" collapsed="false">
      <c r="A793" s="6" t="s">
        <v>3002</v>
      </c>
      <c r="B793" s="6" t="s">
        <v>485</v>
      </c>
      <c r="C793" s="6" t="s">
        <v>490</v>
      </c>
      <c r="D793" s="6" t="n">
        <v>6</v>
      </c>
      <c r="E793" s="9" t="s">
        <v>4616</v>
      </c>
      <c r="F793" s="6" t="n">
        <v>126000</v>
      </c>
      <c r="Q793" s="1" t="str">
        <f aca="false">IF($A793="","",IF(OR(F793="",I793=""),"",F793-I793))</f>
        <v/>
      </c>
      <c r="R793" s="1" t="str">
        <f aca="false">IF($A793="","",IF(Q793="","",Q793+IF(O793="",0,O793)))</f>
        <v/>
      </c>
      <c r="T793" s="1" t="str">
        <f aca="false">IF($A793="","",IF(R793="","",R793-IF(S793="",0,S793)))</f>
        <v/>
      </c>
      <c r="U793" s="1" t="str">
        <f aca="false">IF($A793="","",IF(I793="","",I793-SUM(J793:P793)))</f>
        <v/>
      </c>
      <c r="V793" s="6" t="s">
        <v>4735</v>
      </c>
      <c r="W793" s="9" t="s">
        <v>528</v>
      </c>
      <c r="X793" s="9" t="s">
        <v>4736</v>
      </c>
      <c r="AC793" s="9" t="s">
        <v>4369</v>
      </c>
      <c r="AD793" s="9" t="s">
        <v>4370</v>
      </c>
      <c r="AE793" s="9" t="s">
        <v>4408</v>
      </c>
    </row>
    <row r="794" customFormat="false" ht="15" hidden="false" customHeight="true" outlineLevel="0" collapsed="false">
      <c r="A794" s="6" t="s">
        <v>3005</v>
      </c>
      <c r="B794" s="6" t="s">
        <v>485</v>
      </c>
      <c r="C794" s="6" t="s">
        <v>490</v>
      </c>
      <c r="D794" s="6" t="n">
        <v>6</v>
      </c>
      <c r="E794" s="9" t="s">
        <v>4616</v>
      </c>
      <c r="F794" s="6" t="n">
        <v>153000</v>
      </c>
      <c r="Q794" s="1" t="str">
        <f aca="false">IF($A794="","",IF(OR(F794="",I794=""),"",F794-I794))</f>
        <v/>
      </c>
      <c r="R794" s="1" t="str">
        <f aca="false">IF($A794="","",IF(Q794="","",Q794+IF(O794="",0,O794)))</f>
        <v/>
      </c>
      <c r="T794" s="1" t="str">
        <f aca="false">IF($A794="","",IF(R794="","",R794-IF(S794="",0,S794)))</f>
        <v/>
      </c>
      <c r="U794" s="1" t="str">
        <f aca="false">IF($A794="","",IF(I794="","",I794-SUM(J794:P794)))</f>
        <v/>
      </c>
      <c r="V794" s="6" t="s">
        <v>4735</v>
      </c>
      <c r="W794" s="9" t="s">
        <v>528</v>
      </c>
      <c r="X794" s="9" t="s">
        <v>4736</v>
      </c>
      <c r="AC794" s="9" t="s">
        <v>4369</v>
      </c>
      <c r="AD794" s="9" t="s">
        <v>4370</v>
      </c>
      <c r="AE794" s="9" t="s">
        <v>4408</v>
      </c>
    </row>
    <row r="795" customFormat="false" ht="15" hidden="false" customHeight="true" outlineLevel="0" collapsed="false">
      <c r="A795" s="6" t="s">
        <v>3008</v>
      </c>
      <c r="B795" s="6" t="s">
        <v>485</v>
      </c>
      <c r="C795" s="6" t="s">
        <v>490</v>
      </c>
      <c r="D795" s="6" t="n">
        <v>6</v>
      </c>
      <c r="E795" s="9" t="s">
        <v>4616</v>
      </c>
      <c r="F795" s="6" t="n">
        <v>120000</v>
      </c>
      <c r="Q795" s="1" t="str">
        <f aca="false">IF($A795="","",IF(OR(F795="",I795=""),"",F795-I795))</f>
        <v/>
      </c>
      <c r="R795" s="1" t="str">
        <f aca="false">IF($A795="","",IF(Q795="","",Q795+IF(O795="",0,O795)))</f>
        <v/>
      </c>
      <c r="T795" s="1" t="str">
        <f aca="false">IF($A795="","",IF(R795="","",R795-IF(S795="",0,S795)))</f>
        <v/>
      </c>
      <c r="U795" s="1" t="str">
        <f aca="false">IF($A795="","",IF(I795="","",I795-SUM(J795:P795)))</f>
        <v/>
      </c>
      <c r="V795" s="6" t="s">
        <v>4735</v>
      </c>
      <c r="W795" s="9" t="s">
        <v>528</v>
      </c>
      <c r="X795" s="9" t="s">
        <v>4736</v>
      </c>
      <c r="AC795" s="9" t="s">
        <v>4369</v>
      </c>
      <c r="AD795" s="9" t="s">
        <v>4370</v>
      </c>
      <c r="AE795" s="9" t="s">
        <v>4408</v>
      </c>
    </row>
    <row r="796" customFormat="false" ht="15" hidden="false" customHeight="true" outlineLevel="0" collapsed="false">
      <c r="A796" s="6" t="s">
        <v>3011</v>
      </c>
      <c r="B796" s="6" t="s">
        <v>485</v>
      </c>
      <c r="C796" s="6" t="s">
        <v>490</v>
      </c>
      <c r="D796" s="6" t="n">
        <v>6</v>
      </c>
      <c r="E796" s="9" t="s">
        <v>4616</v>
      </c>
      <c r="F796" s="6" t="n">
        <v>511000</v>
      </c>
      <c r="Q796" s="1" t="str">
        <f aca="false">IF($A796="","",IF(OR(F796="",I796=""),"",F796-I796))</f>
        <v/>
      </c>
      <c r="R796" s="1" t="str">
        <f aca="false">IF($A796="","",IF(Q796="","",Q796+IF(O796="",0,O796)))</f>
        <v/>
      </c>
      <c r="T796" s="1" t="str">
        <f aca="false">IF($A796="","",IF(R796="","",R796-IF(S796="",0,S796)))</f>
        <v/>
      </c>
      <c r="U796" s="1" t="str">
        <f aca="false">IF($A796="","",IF(I796="","",I796-SUM(J796:P796)))</f>
        <v/>
      </c>
      <c r="V796" s="6" t="s">
        <v>4735</v>
      </c>
      <c r="W796" s="9" t="s">
        <v>528</v>
      </c>
      <c r="X796" s="9" t="s">
        <v>4736</v>
      </c>
      <c r="AC796" s="9" t="s">
        <v>4369</v>
      </c>
      <c r="AD796" s="9" t="s">
        <v>4370</v>
      </c>
      <c r="AE796" s="9" t="s">
        <v>4408</v>
      </c>
    </row>
    <row r="797" customFormat="false" ht="15" hidden="false" customHeight="true" outlineLevel="0" collapsed="false">
      <c r="A797" s="6" t="s">
        <v>3014</v>
      </c>
      <c r="B797" s="6" t="s">
        <v>485</v>
      </c>
      <c r="C797" s="6" t="s">
        <v>490</v>
      </c>
      <c r="D797" s="6" t="n">
        <v>6</v>
      </c>
      <c r="E797" s="9" t="s">
        <v>4616</v>
      </c>
      <c r="F797" s="6" t="n">
        <v>122000</v>
      </c>
      <c r="Q797" s="1" t="str">
        <f aca="false">IF($A797="","",IF(OR(F797="",I797=""),"",F797-I797))</f>
        <v/>
      </c>
      <c r="R797" s="1" t="str">
        <f aca="false">IF($A797="","",IF(Q797="","",Q797+IF(O797="",0,O797)))</f>
        <v/>
      </c>
      <c r="T797" s="1" t="str">
        <f aca="false">IF($A797="","",IF(R797="","",R797-IF(S797="",0,S797)))</f>
        <v/>
      </c>
      <c r="U797" s="1" t="str">
        <f aca="false">IF($A797="","",IF(I797="","",I797-SUM(J797:P797)))</f>
        <v/>
      </c>
      <c r="V797" s="6" t="s">
        <v>4735</v>
      </c>
      <c r="W797" s="9" t="s">
        <v>528</v>
      </c>
      <c r="X797" s="9" t="s">
        <v>4736</v>
      </c>
      <c r="AC797" s="9" t="s">
        <v>4369</v>
      </c>
      <c r="AD797" s="9" t="s">
        <v>4370</v>
      </c>
      <c r="AE797" s="9" t="s">
        <v>4408</v>
      </c>
    </row>
    <row r="798" customFormat="false" ht="15" hidden="false" customHeight="true" outlineLevel="0" collapsed="false">
      <c r="A798" s="6" t="s">
        <v>3017</v>
      </c>
      <c r="B798" s="6" t="s">
        <v>485</v>
      </c>
      <c r="C798" s="6" t="s">
        <v>490</v>
      </c>
      <c r="D798" s="6" t="n">
        <v>6</v>
      </c>
      <c r="E798" s="9" t="s">
        <v>4738</v>
      </c>
      <c r="Q798" s="1" t="str">
        <f aca="false">IF($A798="","",IF(OR(F798="",I798=""),"",F798-I798))</f>
        <v/>
      </c>
      <c r="R798" s="1" t="str">
        <f aca="false">IF($A798="","",IF(Q798="","",Q798+IF(O798="",0,O798)))</f>
        <v/>
      </c>
      <c r="T798" s="1" t="str">
        <f aca="false">IF($A798="","",IF(R798="","",R798-IF(S798="",0,S798)))</f>
        <v/>
      </c>
      <c r="U798" s="1" t="str">
        <f aca="false">IF($A798="","",IF(I798="","",I798-SUM(J798:P798)))</f>
        <v/>
      </c>
      <c r="V798" s="6" t="s">
        <v>2845</v>
      </c>
      <c r="W798" s="9" t="s">
        <v>528</v>
      </c>
      <c r="X798" s="9" t="s">
        <v>4739</v>
      </c>
      <c r="AC798" s="9" t="s">
        <v>4369</v>
      </c>
      <c r="AD798" s="9" t="s">
        <v>4370</v>
      </c>
      <c r="AE798" s="9" t="s">
        <v>4371</v>
      </c>
    </row>
    <row r="799" customFormat="false" ht="15" hidden="false" customHeight="true" outlineLevel="0" collapsed="false">
      <c r="A799" s="6" t="s">
        <v>3019</v>
      </c>
      <c r="B799" s="6" t="s">
        <v>485</v>
      </c>
      <c r="C799" s="6" t="s">
        <v>490</v>
      </c>
      <c r="D799" s="6" t="n">
        <v>6</v>
      </c>
      <c r="E799" s="9" t="s">
        <v>4616</v>
      </c>
      <c r="F799" s="6" t="n">
        <v>220000</v>
      </c>
      <c r="Q799" s="1" t="str">
        <f aca="false">IF($A799="","",IF(OR(F799="",I799=""),"",F799-I799))</f>
        <v/>
      </c>
      <c r="R799" s="1" t="str">
        <f aca="false">IF($A799="","",IF(Q799="","",Q799+IF(O799="",0,O799)))</f>
        <v/>
      </c>
      <c r="T799" s="1" t="str">
        <f aca="false">IF($A799="","",IF(R799="","",R799-IF(S799="",0,S799)))</f>
        <v/>
      </c>
      <c r="U799" s="1" t="str">
        <f aca="false">IF($A799="","",IF(I799="","",I799-SUM(J799:P799)))</f>
        <v/>
      </c>
      <c r="V799" s="6" t="s">
        <v>4735</v>
      </c>
      <c r="W799" s="9" t="s">
        <v>528</v>
      </c>
      <c r="X799" s="9" t="s">
        <v>4736</v>
      </c>
      <c r="AC799" s="9" t="s">
        <v>4369</v>
      </c>
      <c r="AD799" s="9" t="s">
        <v>4370</v>
      </c>
      <c r="AE799" s="9" t="s">
        <v>4408</v>
      </c>
    </row>
    <row r="800" customFormat="false" ht="15" hidden="false" customHeight="true" outlineLevel="0" collapsed="false">
      <c r="A800" s="6" t="s">
        <v>3022</v>
      </c>
      <c r="B800" s="6" t="s">
        <v>485</v>
      </c>
      <c r="C800" s="6" t="s">
        <v>490</v>
      </c>
      <c r="D800" s="6" t="n">
        <v>6</v>
      </c>
      <c r="E800" s="9" t="s">
        <v>4616</v>
      </c>
      <c r="F800" s="6" t="n">
        <v>111000</v>
      </c>
      <c r="Q800" s="1" t="str">
        <f aca="false">IF($A800="","",IF(OR(F800="",I800=""),"",F800-I800))</f>
        <v/>
      </c>
      <c r="R800" s="1" t="str">
        <f aca="false">IF($A800="","",IF(Q800="","",Q800+IF(O800="",0,O800)))</f>
        <v/>
      </c>
      <c r="T800" s="1" t="str">
        <f aca="false">IF($A800="","",IF(R800="","",R800-IF(S800="",0,S800)))</f>
        <v/>
      </c>
      <c r="U800" s="1" t="str">
        <f aca="false">IF($A800="","",IF(I800="","",I800-SUM(J800:P800)))</f>
        <v/>
      </c>
      <c r="V800" s="6" t="s">
        <v>4735</v>
      </c>
      <c r="W800" s="9" t="s">
        <v>528</v>
      </c>
      <c r="X800" s="9" t="s">
        <v>4736</v>
      </c>
      <c r="AC800" s="9" t="s">
        <v>4369</v>
      </c>
      <c r="AD800" s="9" t="s">
        <v>4370</v>
      </c>
      <c r="AE800" s="9" t="s">
        <v>4408</v>
      </c>
    </row>
    <row r="801" customFormat="false" ht="15" hidden="false" customHeight="true" outlineLevel="0" collapsed="false">
      <c r="A801" s="6" t="s">
        <v>3025</v>
      </c>
      <c r="B801" s="6" t="s">
        <v>485</v>
      </c>
      <c r="C801" s="6" t="s">
        <v>490</v>
      </c>
      <c r="D801" s="6" t="n">
        <v>6</v>
      </c>
      <c r="E801" s="9" t="s">
        <v>4616</v>
      </c>
      <c r="F801" s="6" t="n">
        <v>102000</v>
      </c>
      <c r="Q801" s="1" t="str">
        <f aca="false">IF($A801="","",IF(OR(F801="",I801=""),"",F801-I801))</f>
        <v/>
      </c>
      <c r="R801" s="1" t="str">
        <f aca="false">IF($A801="","",IF(Q801="","",Q801+IF(O801="",0,O801)))</f>
        <v/>
      </c>
      <c r="T801" s="1" t="str">
        <f aca="false">IF($A801="","",IF(R801="","",R801-IF(S801="",0,S801)))</f>
        <v/>
      </c>
      <c r="U801" s="1" t="str">
        <f aca="false">IF($A801="","",IF(I801="","",I801-SUM(J801:P801)))</f>
        <v/>
      </c>
      <c r="V801" s="6" t="s">
        <v>4735</v>
      </c>
      <c r="W801" s="9" t="s">
        <v>528</v>
      </c>
      <c r="X801" s="9" t="s">
        <v>4736</v>
      </c>
      <c r="AC801" s="9" t="s">
        <v>4369</v>
      </c>
      <c r="AD801" s="9" t="s">
        <v>4370</v>
      </c>
      <c r="AE801" s="9" t="s">
        <v>4408</v>
      </c>
    </row>
    <row r="802" customFormat="false" ht="15" hidden="false" customHeight="true" outlineLevel="0" collapsed="false">
      <c r="A802" s="6" t="s">
        <v>3028</v>
      </c>
      <c r="B802" s="6" t="s">
        <v>485</v>
      </c>
      <c r="C802" s="6" t="s">
        <v>490</v>
      </c>
      <c r="D802" s="6" t="n">
        <v>6</v>
      </c>
      <c r="E802" s="9" t="s">
        <v>4616</v>
      </c>
      <c r="F802" s="6" t="n">
        <v>560000</v>
      </c>
      <c r="Q802" s="1" t="str">
        <f aca="false">IF($A802="","",IF(OR(F802="",I802=""),"",F802-I802))</f>
        <v/>
      </c>
      <c r="R802" s="1" t="str">
        <f aca="false">IF($A802="","",IF(Q802="","",Q802+IF(O802="",0,O802)))</f>
        <v/>
      </c>
      <c r="T802" s="1" t="str">
        <f aca="false">IF($A802="","",IF(R802="","",R802-IF(S802="",0,S802)))</f>
        <v/>
      </c>
      <c r="U802" s="1" t="str">
        <f aca="false">IF($A802="","",IF(I802="","",I802-SUM(J802:P802)))</f>
        <v/>
      </c>
      <c r="V802" s="6" t="s">
        <v>4735</v>
      </c>
      <c r="W802" s="9" t="s">
        <v>528</v>
      </c>
      <c r="X802" s="9" t="s">
        <v>4736</v>
      </c>
      <c r="AC802" s="9" t="s">
        <v>4369</v>
      </c>
      <c r="AD802" s="9" t="s">
        <v>4370</v>
      </c>
      <c r="AE802" s="9" t="s">
        <v>4408</v>
      </c>
    </row>
    <row r="803" customFormat="false" ht="15" hidden="false" customHeight="true" outlineLevel="0" collapsed="false">
      <c r="A803" s="6" t="s">
        <v>3031</v>
      </c>
      <c r="B803" s="6" t="s">
        <v>485</v>
      </c>
      <c r="C803" s="6" t="s">
        <v>490</v>
      </c>
      <c r="D803" s="6" t="n">
        <v>6</v>
      </c>
      <c r="E803" s="9" t="s">
        <v>4616</v>
      </c>
      <c r="F803" s="6" t="n">
        <v>306000</v>
      </c>
      <c r="Q803" s="1" t="str">
        <f aca="false">IF($A803="","",IF(OR(F803="",I803=""),"",F803-I803))</f>
        <v/>
      </c>
      <c r="R803" s="1" t="str">
        <f aca="false">IF($A803="","",IF(Q803="","",Q803+IF(O803="",0,O803)))</f>
        <v/>
      </c>
      <c r="T803" s="1" t="str">
        <f aca="false">IF($A803="","",IF(R803="","",R803-IF(S803="",0,S803)))</f>
        <v/>
      </c>
      <c r="U803" s="1" t="str">
        <f aca="false">IF($A803="","",IF(I803="","",I803-SUM(J803:P803)))</f>
        <v/>
      </c>
      <c r="V803" s="6" t="s">
        <v>4735</v>
      </c>
      <c r="W803" s="9" t="s">
        <v>528</v>
      </c>
      <c r="X803" s="9" t="s">
        <v>4736</v>
      </c>
      <c r="AC803" s="9" t="s">
        <v>4369</v>
      </c>
      <c r="AD803" s="9" t="s">
        <v>4370</v>
      </c>
      <c r="AE803" s="9" t="s">
        <v>4408</v>
      </c>
    </row>
    <row r="804" customFormat="false" ht="15" hidden="false" customHeight="true" outlineLevel="0" collapsed="false">
      <c r="A804" s="6" t="s">
        <v>3034</v>
      </c>
      <c r="B804" s="6" t="s">
        <v>485</v>
      </c>
      <c r="C804" s="6" t="s">
        <v>490</v>
      </c>
      <c r="D804" s="6" t="n">
        <v>6</v>
      </c>
      <c r="E804" s="9" t="s">
        <v>4616</v>
      </c>
      <c r="F804" s="6" t="n">
        <v>485000</v>
      </c>
      <c r="Q804" s="1" t="str">
        <f aca="false">IF($A804="","",IF(OR(F804="",I804=""),"",F804-I804))</f>
        <v/>
      </c>
      <c r="R804" s="1" t="str">
        <f aca="false">IF($A804="","",IF(Q804="","",Q804+IF(O804="",0,O804)))</f>
        <v/>
      </c>
      <c r="T804" s="1" t="str">
        <f aca="false">IF($A804="","",IF(R804="","",R804-IF(S804="",0,S804)))</f>
        <v/>
      </c>
      <c r="U804" s="1" t="str">
        <f aca="false">IF($A804="","",IF(I804="","",I804-SUM(J804:P804)))</f>
        <v/>
      </c>
      <c r="V804" s="6" t="s">
        <v>4735</v>
      </c>
      <c r="W804" s="9" t="s">
        <v>528</v>
      </c>
      <c r="X804" s="9" t="s">
        <v>4736</v>
      </c>
      <c r="AC804" s="9" t="s">
        <v>4369</v>
      </c>
      <c r="AD804" s="9" t="s">
        <v>4370</v>
      </c>
      <c r="AE804" s="9" t="s">
        <v>4408</v>
      </c>
    </row>
    <row r="805" customFormat="false" ht="15" hidden="false" customHeight="true" outlineLevel="0" collapsed="false">
      <c r="A805" s="6" t="s">
        <v>3037</v>
      </c>
      <c r="B805" s="6" t="s">
        <v>485</v>
      </c>
      <c r="C805" s="6" t="s">
        <v>490</v>
      </c>
      <c r="D805" s="6" t="n">
        <v>6</v>
      </c>
      <c r="E805" s="9" t="s">
        <v>4616</v>
      </c>
      <c r="F805" s="6" t="n">
        <v>419000</v>
      </c>
      <c r="Q805" s="1" t="str">
        <f aca="false">IF($A805="","",IF(OR(F805="",I805=""),"",F805-I805))</f>
        <v/>
      </c>
      <c r="R805" s="1" t="str">
        <f aca="false">IF($A805="","",IF(Q805="","",Q805+IF(O805="",0,O805)))</f>
        <v/>
      </c>
      <c r="T805" s="1" t="str">
        <f aca="false">IF($A805="","",IF(R805="","",R805-IF(S805="",0,S805)))</f>
        <v/>
      </c>
      <c r="U805" s="1" t="str">
        <f aca="false">IF($A805="","",IF(I805="","",I805-SUM(J805:P805)))</f>
        <v/>
      </c>
      <c r="V805" s="6" t="s">
        <v>4735</v>
      </c>
      <c r="W805" s="9" t="s">
        <v>528</v>
      </c>
      <c r="X805" s="9" t="s">
        <v>4736</v>
      </c>
      <c r="AC805" s="9" t="s">
        <v>4369</v>
      </c>
      <c r="AD805" s="9" t="s">
        <v>4370</v>
      </c>
      <c r="AE805" s="9" t="s">
        <v>4408</v>
      </c>
    </row>
    <row r="806" customFormat="false" ht="15" hidden="false" customHeight="true" outlineLevel="0" collapsed="false">
      <c r="A806" s="6" t="s">
        <v>3040</v>
      </c>
      <c r="B806" s="6" t="s">
        <v>485</v>
      </c>
      <c r="C806" s="6" t="s">
        <v>490</v>
      </c>
      <c r="D806" s="6" t="n">
        <v>6</v>
      </c>
      <c r="E806" s="9" t="s">
        <v>4616</v>
      </c>
      <c r="F806" s="6" t="n">
        <v>82000</v>
      </c>
      <c r="Q806" s="1" t="str">
        <f aca="false">IF($A806="","",IF(OR(F806="",I806=""),"",F806-I806))</f>
        <v/>
      </c>
      <c r="R806" s="1" t="str">
        <f aca="false">IF($A806="","",IF(Q806="","",Q806+IF(O806="",0,O806)))</f>
        <v/>
      </c>
      <c r="T806" s="1" t="str">
        <f aca="false">IF($A806="","",IF(R806="","",R806-IF(S806="",0,S806)))</f>
        <v/>
      </c>
      <c r="U806" s="1" t="str">
        <f aca="false">IF($A806="","",IF(I806="","",I806-SUM(J806:P806)))</f>
        <v/>
      </c>
      <c r="V806" s="6" t="s">
        <v>4735</v>
      </c>
      <c r="W806" s="9" t="s">
        <v>528</v>
      </c>
      <c r="X806" s="9" t="s">
        <v>4736</v>
      </c>
      <c r="AC806" s="9" t="s">
        <v>4369</v>
      </c>
      <c r="AD806" s="9" t="s">
        <v>4370</v>
      </c>
      <c r="AE806" s="9" t="s">
        <v>4408</v>
      </c>
    </row>
    <row r="807" customFormat="false" ht="15" hidden="false" customHeight="true" outlineLevel="0" collapsed="false">
      <c r="A807" s="6" t="s">
        <v>3043</v>
      </c>
      <c r="B807" s="6" t="s">
        <v>485</v>
      </c>
      <c r="C807" s="6" t="s">
        <v>490</v>
      </c>
      <c r="D807" s="6" t="n">
        <v>6</v>
      </c>
      <c r="E807" s="9" t="s">
        <v>4616</v>
      </c>
      <c r="F807" s="6" t="n">
        <v>320000</v>
      </c>
      <c r="Q807" s="1" t="str">
        <f aca="false">IF($A807="","",IF(OR(F807="",I807=""),"",F807-I807))</f>
        <v/>
      </c>
      <c r="R807" s="1" t="str">
        <f aca="false">IF($A807="","",IF(Q807="","",Q807+IF(O807="",0,O807)))</f>
        <v/>
      </c>
      <c r="T807" s="1" t="str">
        <f aca="false">IF($A807="","",IF(R807="","",R807-IF(S807="",0,S807)))</f>
        <v/>
      </c>
      <c r="U807" s="1" t="str">
        <f aca="false">IF($A807="","",IF(I807="","",I807-SUM(J807:P807)))</f>
        <v/>
      </c>
      <c r="V807" s="6" t="s">
        <v>4735</v>
      </c>
      <c r="W807" s="9" t="s">
        <v>528</v>
      </c>
      <c r="X807" s="9" t="s">
        <v>4736</v>
      </c>
      <c r="AC807" s="9" t="s">
        <v>4369</v>
      </c>
      <c r="AD807" s="9" t="s">
        <v>4370</v>
      </c>
      <c r="AE807" s="9" t="s">
        <v>4408</v>
      </c>
    </row>
    <row r="808" customFormat="false" ht="15" hidden="false" customHeight="true" outlineLevel="0" collapsed="false">
      <c r="A808" s="6" t="s">
        <v>3046</v>
      </c>
      <c r="B808" s="6" t="s">
        <v>485</v>
      </c>
      <c r="C808" s="6" t="s">
        <v>490</v>
      </c>
      <c r="D808" s="6" t="n">
        <v>6</v>
      </c>
      <c r="E808" s="9" t="s">
        <v>4616</v>
      </c>
      <c r="F808" s="6" t="n">
        <v>211000</v>
      </c>
      <c r="Q808" s="1" t="str">
        <f aca="false">IF($A808="","",IF(OR(F808="",I808=""),"",F808-I808))</f>
        <v/>
      </c>
      <c r="R808" s="1" t="str">
        <f aca="false">IF($A808="","",IF(Q808="","",Q808+IF(O808="",0,O808)))</f>
        <v/>
      </c>
      <c r="T808" s="1" t="str">
        <f aca="false">IF($A808="","",IF(R808="","",R808-IF(S808="",0,S808)))</f>
        <v/>
      </c>
      <c r="U808" s="1" t="str">
        <f aca="false">IF($A808="","",IF(I808="","",I808-SUM(J808:P808)))</f>
        <v/>
      </c>
      <c r="V808" s="6" t="s">
        <v>4735</v>
      </c>
      <c r="W808" s="9" t="s">
        <v>528</v>
      </c>
      <c r="X808" s="9" t="s">
        <v>4736</v>
      </c>
      <c r="AC808" s="9" t="s">
        <v>4369</v>
      </c>
      <c r="AD808" s="9" t="s">
        <v>4370</v>
      </c>
      <c r="AE808" s="9" t="s">
        <v>4408</v>
      </c>
    </row>
    <row r="809" customFormat="false" ht="15" hidden="false" customHeight="true" outlineLevel="0" collapsed="false">
      <c r="A809" s="6" t="s">
        <v>3049</v>
      </c>
      <c r="B809" s="6" t="s">
        <v>485</v>
      </c>
      <c r="C809" s="6" t="s">
        <v>490</v>
      </c>
      <c r="D809" s="6" t="n">
        <v>6</v>
      </c>
      <c r="E809" s="9" t="s">
        <v>4616</v>
      </c>
      <c r="F809" s="6" t="n">
        <v>268000</v>
      </c>
      <c r="Q809" s="1" t="str">
        <f aca="false">IF($A809="","",IF(OR(F809="",I809=""),"",F809-I809))</f>
        <v/>
      </c>
      <c r="R809" s="1" t="str">
        <f aca="false">IF($A809="","",IF(Q809="","",Q809+IF(O809="",0,O809)))</f>
        <v/>
      </c>
      <c r="T809" s="1" t="str">
        <f aca="false">IF($A809="","",IF(R809="","",R809-IF(S809="",0,S809)))</f>
        <v/>
      </c>
      <c r="U809" s="1" t="str">
        <f aca="false">IF($A809="","",IF(I809="","",I809-SUM(J809:P809)))</f>
        <v/>
      </c>
      <c r="V809" s="6" t="s">
        <v>4735</v>
      </c>
      <c r="W809" s="9" t="s">
        <v>528</v>
      </c>
      <c r="X809" s="9" t="s">
        <v>4736</v>
      </c>
      <c r="AC809" s="9" t="s">
        <v>4369</v>
      </c>
      <c r="AD809" s="9" t="s">
        <v>4370</v>
      </c>
      <c r="AE809" s="9" t="s">
        <v>4408</v>
      </c>
    </row>
    <row r="810" customFormat="false" ht="15" hidden="false" customHeight="true" outlineLevel="0" collapsed="false">
      <c r="A810" s="6" t="s">
        <v>3053</v>
      </c>
      <c r="B810" s="6" t="s">
        <v>485</v>
      </c>
      <c r="C810" s="6" t="s">
        <v>490</v>
      </c>
      <c r="D810" s="6" t="n">
        <v>6</v>
      </c>
      <c r="E810" s="9" t="s">
        <v>4616</v>
      </c>
      <c r="F810" s="6" t="n">
        <v>247000</v>
      </c>
      <c r="Q810" s="1" t="str">
        <f aca="false">IF($A810="","",IF(OR(F810="",I810=""),"",F810-I810))</f>
        <v/>
      </c>
      <c r="R810" s="1" t="str">
        <f aca="false">IF($A810="","",IF(Q810="","",Q810+IF(O810="",0,O810)))</f>
        <v/>
      </c>
      <c r="T810" s="1" t="str">
        <f aca="false">IF($A810="","",IF(R810="","",R810-IF(S810="",0,S810)))</f>
        <v/>
      </c>
      <c r="U810" s="1" t="str">
        <f aca="false">IF($A810="","",IF(I810="","",I810-SUM(J810:P810)))</f>
        <v/>
      </c>
      <c r="V810" s="6" t="s">
        <v>4735</v>
      </c>
      <c r="W810" s="9" t="s">
        <v>528</v>
      </c>
      <c r="X810" s="9" t="s">
        <v>4736</v>
      </c>
      <c r="AC810" s="9" t="s">
        <v>4369</v>
      </c>
      <c r="AD810" s="9" t="s">
        <v>4370</v>
      </c>
      <c r="AE810" s="9" t="s">
        <v>4408</v>
      </c>
    </row>
    <row r="811" customFormat="false" ht="15" hidden="false" customHeight="true" outlineLevel="0" collapsed="false">
      <c r="A811" s="6" t="s">
        <v>3056</v>
      </c>
      <c r="B811" s="6" t="s">
        <v>485</v>
      </c>
      <c r="C811" s="6" t="s">
        <v>490</v>
      </c>
      <c r="D811" s="6" t="n">
        <v>6</v>
      </c>
      <c r="E811" s="9" t="s">
        <v>4616</v>
      </c>
      <c r="F811" s="6" t="n">
        <v>101000</v>
      </c>
      <c r="Q811" s="1" t="str">
        <f aca="false">IF($A811="","",IF(OR(F811="",I811=""),"",F811-I811))</f>
        <v/>
      </c>
      <c r="R811" s="1" t="str">
        <f aca="false">IF($A811="","",IF(Q811="","",Q811+IF(O811="",0,O811)))</f>
        <v/>
      </c>
      <c r="T811" s="1" t="str">
        <f aca="false">IF($A811="","",IF(R811="","",R811-IF(S811="",0,S811)))</f>
        <v/>
      </c>
      <c r="U811" s="1" t="str">
        <f aca="false">IF($A811="","",IF(I811="","",I811-SUM(J811:P811)))</f>
        <v/>
      </c>
      <c r="V811" s="6" t="s">
        <v>4735</v>
      </c>
      <c r="W811" s="9" t="s">
        <v>528</v>
      </c>
      <c r="X811" s="9" t="s">
        <v>4736</v>
      </c>
      <c r="AC811" s="9" t="s">
        <v>4369</v>
      </c>
      <c r="AD811" s="9" t="s">
        <v>4370</v>
      </c>
      <c r="AE811" s="9" t="s">
        <v>4408</v>
      </c>
    </row>
    <row r="812" customFormat="false" ht="15" hidden="false" customHeight="true" outlineLevel="0" collapsed="false">
      <c r="A812" s="6" t="s">
        <v>3059</v>
      </c>
      <c r="B812" s="6" t="s">
        <v>485</v>
      </c>
      <c r="C812" s="6" t="s">
        <v>490</v>
      </c>
      <c r="D812" s="6" t="n">
        <v>6</v>
      </c>
      <c r="E812" s="9" t="s">
        <v>4616</v>
      </c>
      <c r="F812" s="6" t="n">
        <v>236000</v>
      </c>
      <c r="Q812" s="1" t="str">
        <f aca="false">IF($A812="","",IF(OR(F812="",I812=""),"",F812-I812))</f>
        <v/>
      </c>
      <c r="R812" s="1" t="str">
        <f aca="false">IF($A812="","",IF(Q812="","",Q812+IF(O812="",0,O812)))</f>
        <v/>
      </c>
      <c r="T812" s="1" t="str">
        <f aca="false">IF($A812="","",IF(R812="","",R812-IF(S812="",0,S812)))</f>
        <v/>
      </c>
      <c r="U812" s="1" t="str">
        <f aca="false">IF($A812="","",IF(I812="","",I812-SUM(J812:P812)))</f>
        <v/>
      </c>
      <c r="V812" s="6" t="s">
        <v>4735</v>
      </c>
      <c r="W812" s="9" t="s">
        <v>528</v>
      </c>
      <c r="X812" s="9" t="s">
        <v>4736</v>
      </c>
      <c r="AC812" s="9" t="s">
        <v>4369</v>
      </c>
      <c r="AD812" s="9" t="s">
        <v>4370</v>
      </c>
      <c r="AE812" s="9" t="s">
        <v>4408</v>
      </c>
    </row>
    <row r="813" customFormat="false" ht="15" hidden="false" customHeight="true" outlineLevel="0" collapsed="false">
      <c r="A813" s="6" t="s">
        <v>3062</v>
      </c>
      <c r="B813" s="6" t="s">
        <v>485</v>
      </c>
      <c r="C813" s="6" t="s">
        <v>490</v>
      </c>
      <c r="D813" s="6" t="n">
        <v>6</v>
      </c>
      <c r="E813" s="9" t="s">
        <v>4616</v>
      </c>
      <c r="F813" s="6" t="n">
        <v>207000</v>
      </c>
      <c r="Q813" s="1" t="str">
        <f aca="false">IF($A813="","",IF(OR(F813="",I813=""),"",F813-I813))</f>
        <v/>
      </c>
      <c r="R813" s="1" t="str">
        <f aca="false">IF($A813="","",IF(Q813="","",Q813+IF(O813="",0,O813)))</f>
        <v/>
      </c>
      <c r="T813" s="1" t="str">
        <f aca="false">IF($A813="","",IF(R813="","",R813-IF(S813="",0,S813)))</f>
        <v/>
      </c>
      <c r="U813" s="1" t="str">
        <f aca="false">IF($A813="","",IF(I813="","",I813-SUM(J813:P813)))</f>
        <v/>
      </c>
      <c r="V813" s="6" t="s">
        <v>4735</v>
      </c>
      <c r="W813" s="9" t="s">
        <v>528</v>
      </c>
      <c r="X813" s="9" t="s">
        <v>4736</v>
      </c>
      <c r="AC813" s="9" t="s">
        <v>4369</v>
      </c>
      <c r="AD813" s="9" t="s">
        <v>4370</v>
      </c>
      <c r="AE813" s="9" t="s">
        <v>4408</v>
      </c>
    </row>
    <row r="814" customFormat="false" ht="15" hidden="false" customHeight="true" outlineLevel="0" collapsed="false">
      <c r="A814" s="6" t="s">
        <v>3065</v>
      </c>
      <c r="B814" s="6" t="s">
        <v>485</v>
      </c>
      <c r="C814" s="6" t="s">
        <v>490</v>
      </c>
      <c r="D814" s="6" t="n">
        <v>6</v>
      </c>
      <c r="E814" s="9" t="s">
        <v>4616</v>
      </c>
      <c r="F814" s="6" t="n">
        <v>124000</v>
      </c>
      <c r="Q814" s="1" t="str">
        <f aca="false">IF($A814="","",IF(OR(F814="",I814=""),"",F814-I814))</f>
        <v/>
      </c>
      <c r="R814" s="1" t="str">
        <f aca="false">IF($A814="","",IF(Q814="","",Q814+IF(O814="",0,O814)))</f>
        <v/>
      </c>
      <c r="T814" s="1" t="str">
        <f aca="false">IF($A814="","",IF(R814="","",R814-IF(S814="",0,S814)))</f>
        <v/>
      </c>
      <c r="U814" s="1" t="str">
        <f aca="false">IF($A814="","",IF(I814="","",I814-SUM(J814:P814)))</f>
        <v/>
      </c>
      <c r="V814" s="6" t="s">
        <v>4735</v>
      </c>
      <c r="W814" s="9" t="s">
        <v>528</v>
      </c>
      <c r="X814" s="9" t="s">
        <v>4736</v>
      </c>
      <c r="AC814" s="9" t="s">
        <v>4369</v>
      </c>
      <c r="AD814" s="9" t="s">
        <v>4370</v>
      </c>
      <c r="AE814" s="9" t="s">
        <v>4408</v>
      </c>
    </row>
    <row r="815" customFormat="false" ht="15" hidden="false" customHeight="true" outlineLevel="0" collapsed="false">
      <c r="A815" s="6" t="s">
        <v>3068</v>
      </c>
      <c r="B815" s="6" t="s">
        <v>485</v>
      </c>
      <c r="C815" s="6" t="s">
        <v>490</v>
      </c>
      <c r="D815" s="6" t="n">
        <v>6</v>
      </c>
      <c r="E815" s="9" t="s">
        <v>4616</v>
      </c>
      <c r="F815" s="6" t="n">
        <v>344000</v>
      </c>
      <c r="Q815" s="1" t="str">
        <f aca="false">IF($A815="","",IF(OR(F815="",I815=""),"",F815-I815))</f>
        <v/>
      </c>
      <c r="R815" s="1" t="str">
        <f aca="false">IF($A815="","",IF(Q815="","",Q815+IF(O815="",0,O815)))</f>
        <v/>
      </c>
      <c r="T815" s="1" t="str">
        <f aca="false">IF($A815="","",IF(R815="","",R815-IF(S815="",0,S815)))</f>
        <v/>
      </c>
      <c r="U815" s="1" t="str">
        <f aca="false">IF($A815="","",IF(I815="","",I815-SUM(J815:P815)))</f>
        <v/>
      </c>
      <c r="V815" s="6" t="s">
        <v>4735</v>
      </c>
      <c r="W815" s="9" t="s">
        <v>528</v>
      </c>
      <c r="X815" s="9" t="s">
        <v>4736</v>
      </c>
      <c r="AC815" s="9" t="s">
        <v>4369</v>
      </c>
      <c r="AD815" s="9" t="s">
        <v>4370</v>
      </c>
      <c r="AE815" s="9" t="s">
        <v>4408</v>
      </c>
    </row>
    <row r="816" customFormat="false" ht="15" hidden="false" customHeight="true" outlineLevel="0" collapsed="false">
      <c r="A816" s="6" t="s">
        <v>3071</v>
      </c>
      <c r="B816" s="6" t="s">
        <v>485</v>
      </c>
      <c r="C816" s="6" t="s">
        <v>490</v>
      </c>
      <c r="D816" s="6" t="n">
        <v>6</v>
      </c>
      <c r="E816" s="9" t="s">
        <v>4616</v>
      </c>
      <c r="F816" s="6" t="n">
        <v>151000</v>
      </c>
      <c r="Q816" s="1" t="str">
        <f aca="false">IF($A816="","",IF(OR(F816="",I816=""),"",F816-I816))</f>
        <v/>
      </c>
      <c r="R816" s="1" t="str">
        <f aca="false">IF($A816="","",IF(Q816="","",Q816+IF(O816="",0,O816)))</f>
        <v/>
      </c>
      <c r="T816" s="1" t="str">
        <f aca="false">IF($A816="","",IF(R816="","",R816-IF(S816="",0,S816)))</f>
        <v/>
      </c>
      <c r="U816" s="1" t="str">
        <f aca="false">IF($A816="","",IF(I816="","",I816-SUM(J816:P816)))</f>
        <v/>
      </c>
      <c r="V816" s="6" t="s">
        <v>4735</v>
      </c>
      <c r="W816" s="9" t="s">
        <v>528</v>
      </c>
      <c r="X816" s="9" t="s">
        <v>4736</v>
      </c>
      <c r="AC816" s="9" t="s">
        <v>4369</v>
      </c>
      <c r="AD816" s="9" t="s">
        <v>4370</v>
      </c>
      <c r="AE816" s="9" t="s">
        <v>4408</v>
      </c>
    </row>
    <row r="817" customFormat="false" ht="15" hidden="false" customHeight="true" outlineLevel="0" collapsed="false">
      <c r="A817" s="6" t="s">
        <v>3074</v>
      </c>
      <c r="B817" s="6" t="s">
        <v>485</v>
      </c>
      <c r="C817" s="6" t="s">
        <v>490</v>
      </c>
      <c r="D817" s="6" t="n">
        <v>6</v>
      </c>
      <c r="E817" s="9" t="s">
        <v>4621</v>
      </c>
      <c r="F817" s="6" t="n">
        <v>134000</v>
      </c>
      <c r="Q817" s="1" t="str">
        <f aca="false">IF($A817="","",IF(OR(F817="",I817=""),"",F817-I817))</f>
        <v/>
      </c>
      <c r="R817" s="1" t="str">
        <f aca="false">IF($A817="","",IF(Q817="","",Q817+IF(O817="",0,O817)))</f>
        <v/>
      </c>
      <c r="T817" s="1" t="str">
        <f aca="false">IF($A817="","",IF(R817="","",R817-IF(S817="",0,S817)))</f>
        <v/>
      </c>
      <c r="U817" s="1" t="str">
        <f aca="false">IF($A817="","",IF(I817="","",I817-SUM(J817:P817)))</f>
        <v/>
      </c>
      <c r="V817" s="6" t="s">
        <v>4735</v>
      </c>
      <c r="W817" s="9" t="s">
        <v>528</v>
      </c>
      <c r="X817" s="9" t="s">
        <v>4737</v>
      </c>
      <c r="AC817" s="6" t="s">
        <v>4373</v>
      </c>
      <c r="AD817" s="9" t="s">
        <v>4389</v>
      </c>
      <c r="AE817" s="9" t="s">
        <v>4408</v>
      </c>
    </row>
    <row r="818" customFormat="false" ht="15" hidden="false" customHeight="true" outlineLevel="0" collapsed="false">
      <c r="A818" s="6" t="s">
        <v>3077</v>
      </c>
      <c r="B818" s="6" t="s">
        <v>485</v>
      </c>
      <c r="C818" s="6" t="s">
        <v>490</v>
      </c>
      <c r="D818" s="6" t="n">
        <v>6</v>
      </c>
      <c r="E818" s="9" t="s">
        <v>4616</v>
      </c>
      <c r="F818" s="6" t="n">
        <v>88000</v>
      </c>
      <c r="Q818" s="1" t="str">
        <f aca="false">IF($A818="","",IF(OR(F818="",I818=""),"",F818-I818))</f>
        <v/>
      </c>
      <c r="R818" s="1" t="str">
        <f aca="false">IF($A818="","",IF(Q818="","",Q818+IF(O818="",0,O818)))</f>
        <v/>
      </c>
      <c r="T818" s="1" t="str">
        <f aca="false">IF($A818="","",IF(R818="","",R818-IF(S818="",0,S818)))</f>
        <v/>
      </c>
      <c r="U818" s="1" t="str">
        <f aca="false">IF($A818="","",IF(I818="","",I818-SUM(J818:P818)))</f>
        <v/>
      </c>
      <c r="V818" s="6" t="s">
        <v>4735</v>
      </c>
      <c r="W818" s="9" t="s">
        <v>528</v>
      </c>
      <c r="X818" s="9" t="s">
        <v>4736</v>
      </c>
      <c r="AC818" s="9" t="s">
        <v>4369</v>
      </c>
      <c r="AD818" s="9" t="s">
        <v>4370</v>
      </c>
      <c r="AE818" s="9" t="s">
        <v>4408</v>
      </c>
    </row>
    <row r="819" customFormat="false" ht="15" hidden="false" customHeight="true" outlineLevel="0" collapsed="false">
      <c r="A819" s="6" t="s">
        <v>3080</v>
      </c>
      <c r="B819" s="6" t="s">
        <v>485</v>
      </c>
      <c r="C819" s="6" t="s">
        <v>490</v>
      </c>
      <c r="D819" s="6" t="n">
        <v>6</v>
      </c>
      <c r="E819" s="9" t="s">
        <v>4616</v>
      </c>
      <c r="F819" s="6" t="n">
        <v>706000</v>
      </c>
      <c r="Q819" s="1" t="str">
        <f aca="false">IF($A819="","",IF(OR(F819="",I819=""),"",F819-I819))</f>
        <v/>
      </c>
      <c r="R819" s="1" t="str">
        <f aca="false">IF($A819="","",IF(Q819="","",Q819+IF(O819="",0,O819)))</f>
        <v/>
      </c>
      <c r="T819" s="1" t="str">
        <f aca="false">IF($A819="","",IF(R819="","",R819-IF(S819="",0,S819)))</f>
        <v/>
      </c>
      <c r="U819" s="1" t="str">
        <f aca="false">IF($A819="","",IF(I819="","",I819-SUM(J819:P819)))</f>
        <v/>
      </c>
      <c r="V819" s="6" t="s">
        <v>4735</v>
      </c>
      <c r="W819" s="9" t="s">
        <v>528</v>
      </c>
      <c r="X819" s="9" t="s">
        <v>4736</v>
      </c>
      <c r="AC819" s="9" t="s">
        <v>4369</v>
      </c>
      <c r="AD819" s="9" t="s">
        <v>4370</v>
      </c>
      <c r="AE819" s="9" t="s">
        <v>4408</v>
      </c>
    </row>
    <row r="820" customFormat="false" ht="15" hidden="false" customHeight="true" outlineLevel="0" collapsed="false">
      <c r="A820" s="6" t="s">
        <v>3083</v>
      </c>
      <c r="B820" s="6" t="s">
        <v>485</v>
      </c>
      <c r="C820" s="6" t="s">
        <v>490</v>
      </c>
      <c r="D820" s="6" t="n">
        <v>6</v>
      </c>
      <c r="E820" s="9" t="s">
        <v>4616</v>
      </c>
      <c r="F820" s="6" t="n">
        <v>113000</v>
      </c>
      <c r="Q820" s="1" t="str">
        <f aca="false">IF($A820="","",IF(OR(F820="",I820=""),"",F820-I820))</f>
        <v/>
      </c>
      <c r="R820" s="1" t="str">
        <f aca="false">IF($A820="","",IF(Q820="","",Q820+IF(O820="",0,O820)))</f>
        <v/>
      </c>
      <c r="T820" s="1" t="str">
        <f aca="false">IF($A820="","",IF(R820="","",R820-IF(S820="",0,S820)))</f>
        <v/>
      </c>
      <c r="U820" s="1" t="str">
        <f aca="false">IF($A820="","",IF(I820="","",I820-SUM(J820:P820)))</f>
        <v/>
      </c>
      <c r="V820" s="6" t="s">
        <v>4735</v>
      </c>
      <c r="W820" s="9" t="s">
        <v>528</v>
      </c>
      <c r="X820" s="9" t="s">
        <v>4736</v>
      </c>
      <c r="AC820" s="9" t="s">
        <v>4369</v>
      </c>
      <c r="AD820" s="9" t="s">
        <v>4370</v>
      </c>
      <c r="AE820" s="9" t="s">
        <v>4408</v>
      </c>
    </row>
    <row r="821" customFormat="false" ht="15" hidden="false" customHeight="true" outlineLevel="0" collapsed="false">
      <c r="A821" s="6" t="s">
        <v>3086</v>
      </c>
      <c r="B821" s="6" t="s">
        <v>485</v>
      </c>
      <c r="C821" s="6" t="s">
        <v>490</v>
      </c>
      <c r="D821" s="6" t="n">
        <v>6</v>
      </c>
      <c r="E821" s="9" t="s">
        <v>4616</v>
      </c>
      <c r="F821" s="6" t="n">
        <v>389000</v>
      </c>
      <c r="Q821" s="1" t="str">
        <f aca="false">IF($A821="","",IF(OR(F821="",I821=""),"",F821-I821))</f>
        <v/>
      </c>
      <c r="R821" s="1" t="str">
        <f aca="false">IF($A821="","",IF(Q821="","",Q821+IF(O821="",0,O821)))</f>
        <v/>
      </c>
      <c r="T821" s="1" t="str">
        <f aca="false">IF($A821="","",IF(R821="","",R821-IF(S821="",0,S821)))</f>
        <v/>
      </c>
      <c r="U821" s="1" t="str">
        <f aca="false">IF($A821="","",IF(I821="","",I821-SUM(J821:P821)))</f>
        <v/>
      </c>
      <c r="V821" s="6" t="s">
        <v>4735</v>
      </c>
      <c r="W821" s="9" t="s">
        <v>528</v>
      </c>
      <c r="X821" s="9" t="s">
        <v>4736</v>
      </c>
      <c r="AC821" s="9" t="s">
        <v>4369</v>
      </c>
      <c r="AD821" s="9" t="s">
        <v>4370</v>
      </c>
      <c r="AE821" s="9" t="s">
        <v>4408</v>
      </c>
    </row>
    <row r="822" customFormat="false" ht="15" hidden="false" customHeight="true" outlineLevel="0" collapsed="false">
      <c r="A822" s="6" t="s">
        <v>3089</v>
      </c>
      <c r="B822" s="6" t="s">
        <v>485</v>
      </c>
      <c r="C822" s="6" t="s">
        <v>490</v>
      </c>
      <c r="D822" s="6" t="n">
        <v>6</v>
      </c>
      <c r="E822" s="9" t="s">
        <v>4616</v>
      </c>
      <c r="F822" s="6" t="n">
        <v>180000</v>
      </c>
      <c r="Q822" s="1" t="str">
        <f aca="false">IF($A822="","",IF(OR(F822="",I822=""),"",F822-I822))</f>
        <v/>
      </c>
      <c r="R822" s="1" t="str">
        <f aca="false">IF($A822="","",IF(Q822="","",Q822+IF(O822="",0,O822)))</f>
        <v/>
      </c>
      <c r="T822" s="1" t="str">
        <f aca="false">IF($A822="","",IF(R822="","",R822-IF(S822="",0,S822)))</f>
        <v/>
      </c>
      <c r="U822" s="1" t="str">
        <f aca="false">IF($A822="","",IF(I822="","",I822-SUM(J822:P822)))</f>
        <v/>
      </c>
      <c r="V822" s="6" t="s">
        <v>4735</v>
      </c>
      <c r="W822" s="9" t="s">
        <v>528</v>
      </c>
      <c r="X822" s="9" t="s">
        <v>4736</v>
      </c>
      <c r="AC822" s="9" t="s">
        <v>4369</v>
      </c>
      <c r="AD822" s="9" t="s">
        <v>4370</v>
      </c>
      <c r="AE822" s="9" t="s">
        <v>4408</v>
      </c>
    </row>
    <row r="823" customFormat="false" ht="15" hidden="false" customHeight="true" outlineLevel="0" collapsed="false">
      <c r="A823" s="6" t="s">
        <v>3092</v>
      </c>
      <c r="B823" s="6" t="s">
        <v>485</v>
      </c>
      <c r="C823" s="6" t="s">
        <v>490</v>
      </c>
      <c r="D823" s="6" t="n">
        <v>6</v>
      </c>
      <c r="E823" s="9" t="s">
        <v>4616</v>
      </c>
      <c r="F823" s="6" t="n">
        <v>108000</v>
      </c>
      <c r="Q823" s="1" t="str">
        <f aca="false">IF($A823="","",IF(OR(F823="",I823=""),"",F823-I823))</f>
        <v/>
      </c>
      <c r="R823" s="1" t="str">
        <f aca="false">IF($A823="","",IF(Q823="","",Q823+IF(O823="",0,O823)))</f>
        <v/>
      </c>
      <c r="T823" s="1" t="str">
        <f aca="false">IF($A823="","",IF(R823="","",R823-IF(S823="",0,S823)))</f>
        <v/>
      </c>
      <c r="U823" s="1" t="str">
        <f aca="false">IF($A823="","",IF(I823="","",I823-SUM(J823:P823)))</f>
        <v/>
      </c>
      <c r="V823" s="6" t="s">
        <v>4735</v>
      </c>
      <c r="W823" s="9" t="s">
        <v>528</v>
      </c>
      <c r="X823" s="9" t="s">
        <v>4736</v>
      </c>
      <c r="AC823" s="9" t="s">
        <v>4369</v>
      </c>
      <c r="AD823" s="9" t="s">
        <v>4370</v>
      </c>
      <c r="AE823" s="9" t="s">
        <v>4408</v>
      </c>
    </row>
    <row r="824" customFormat="false" ht="15" hidden="false" customHeight="true" outlineLevel="0" collapsed="false">
      <c r="A824" s="6" t="s">
        <v>3095</v>
      </c>
      <c r="B824" s="6" t="s">
        <v>485</v>
      </c>
      <c r="C824" s="6" t="s">
        <v>490</v>
      </c>
      <c r="D824" s="6" t="n">
        <v>6</v>
      </c>
      <c r="E824" s="9" t="s">
        <v>4616</v>
      </c>
      <c r="F824" s="6" t="n">
        <v>107000</v>
      </c>
      <c r="Q824" s="1" t="str">
        <f aca="false">IF($A824="","",IF(OR(F824="",I824=""),"",F824-I824))</f>
        <v/>
      </c>
      <c r="R824" s="1" t="str">
        <f aca="false">IF($A824="","",IF(Q824="","",Q824+IF(O824="",0,O824)))</f>
        <v/>
      </c>
      <c r="T824" s="1" t="str">
        <f aca="false">IF($A824="","",IF(R824="","",R824-IF(S824="",0,S824)))</f>
        <v/>
      </c>
      <c r="U824" s="1" t="str">
        <f aca="false">IF($A824="","",IF(I824="","",I824-SUM(J824:P824)))</f>
        <v/>
      </c>
      <c r="V824" s="6" t="s">
        <v>4735</v>
      </c>
      <c r="W824" s="9" t="s">
        <v>528</v>
      </c>
      <c r="X824" s="9" t="s">
        <v>4736</v>
      </c>
      <c r="AC824" s="9" t="s">
        <v>4369</v>
      </c>
      <c r="AD824" s="9" t="s">
        <v>4370</v>
      </c>
      <c r="AE824" s="9" t="s">
        <v>4408</v>
      </c>
    </row>
    <row r="825" customFormat="false" ht="15" hidden="false" customHeight="true" outlineLevel="0" collapsed="false">
      <c r="A825" s="6" t="s">
        <v>3098</v>
      </c>
      <c r="B825" s="6" t="s">
        <v>485</v>
      </c>
      <c r="C825" s="6" t="s">
        <v>490</v>
      </c>
      <c r="D825" s="6" t="n">
        <v>6</v>
      </c>
      <c r="E825" s="9" t="s">
        <v>4616</v>
      </c>
      <c r="F825" s="6" t="n">
        <v>136000</v>
      </c>
      <c r="Q825" s="1" t="str">
        <f aca="false">IF($A825="","",IF(OR(F825="",I825=""),"",F825-I825))</f>
        <v/>
      </c>
      <c r="R825" s="1" t="str">
        <f aca="false">IF($A825="","",IF(Q825="","",Q825+IF(O825="",0,O825)))</f>
        <v/>
      </c>
      <c r="T825" s="1" t="str">
        <f aca="false">IF($A825="","",IF(R825="","",R825-IF(S825="",0,S825)))</f>
        <v/>
      </c>
      <c r="U825" s="1" t="str">
        <f aca="false">IF($A825="","",IF(I825="","",I825-SUM(J825:P825)))</f>
        <v/>
      </c>
      <c r="V825" s="6" t="s">
        <v>4735</v>
      </c>
      <c r="W825" s="9" t="s">
        <v>528</v>
      </c>
      <c r="X825" s="9" t="s">
        <v>4736</v>
      </c>
      <c r="AC825" s="9" t="s">
        <v>4369</v>
      </c>
      <c r="AD825" s="9" t="s">
        <v>4370</v>
      </c>
      <c r="AE825" s="9" t="s">
        <v>4408</v>
      </c>
    </row>
    <row r="826" customFormat="false" ht="15" hidden="false" customHeight="true" outlineLevel="0" collapsed="false">
      <c r="A826" s="6" t="s">
        <v>3101</v>
      </c>
      <c r="B826" s="6" t="s">
        <v>485</v>
      </c>
      <c r="C826" s="6" t="s">
        <v>490</v>
      </c>
      <c r="D826" s="6" t="n">
        <v>6</v>
      </c>
      <c r="E826" s="9" t="s">
        <v>4616</v>
      </c>
      <c r="F826" s="6" t="n">
        <v>224000</v>
      </c>
      <c r="Q826" s="1" t="str">
        <f aca="false">IF($A826="","",IF(OR(F826="",I826=""),"",F826-I826))</f>
        <v/>
      </c>
      <c r="R826" s="1" t="str">
        <f aca="false">IF($A826="","",IF(Q826="","",Q826+IF(O826="",0,O826)))</f>
        <v/>
      </c>
      <c r="T826" s="1" t="str">
        <f aca="false">IF($A826="","",IF(R826="","",R826-IF(S826="",0,S826)))</f>
        <v/>
      </c>
      <c r="U826" s="1" t="str">
        <f aca="false">IF($A826="","",IF(I826="","",I826-SUM(J826:P826)))</f>
        <v/>
      </c>
      <c r="V826" s="6" t="s">
        <v>4735</v>
      </c>
      <c r="W826" s="9" t="s">
        <v>528</v>
      </c>
      <c r="X826" s="9" t="s">
        <v>4736</v>
      </c>
      <c r="AC826" s="9" t="s">
        <v>4369</v>
      </c>
      <c r="AD826" s="9" t="s">
        <v>4370</v>
      </c>
      <c r="AE826" s="9" t="s">
        <v>4408</v>
      </c>
    </row>
    <row r="827" customFormat="false" ht="15" hidden="false" customHeight="true" outlineLevel="0" collapsed="false">
      <c r="A827" s="6" t="s">
        <v>3104</v>
      </c>
      <c r="B827" s="6" t="s">
        <v>485</v>
      </c>
      <c r="C827" s="6" t="s">
        <v>490</v>
      </c>
      <c r="D827" s="6" t="n">
        <v>6</v>
      </c>
      <c r="E827" s="9" t="s">
        <v>4616</v>
      </c>
      <c r="F827" s="6" t="n">
        <v>115000</v>
      </c>
      <c r="Q827" s="1" t="str">
        <f aca="false">IF($A827="","",IF(OR(F827="",I827=""),"",F827-I827))</f>
        <v/>
      </c>
      <c r="R827" s="1" t="str">
        <f aca="false">IF($A827="","",IF(Q827="","",Q827+IF(O827="",0,O827)))</f>
        <v/>
      </c>
      <c r="T827" s="1" t="str">
        <f aca="false">IF($A827="","",IF(R827="","",R827-IF(S827="",0,S827)))</f>
        <v/>
      </c>
      <c r="U827" s="1" t="str">
        <f aca="false">IF($A827="","",IF(I827="","",I827-SUM(J827:P827)))</f>
        <v/>
      </c>
      <c r="V827" s="6" t="s">
        <v>4735</v>
      </c>
      <c r="W827" s="9" t="s">
        <v>528</v>
      </c>
      <c r="X827" s="9" t="s">
        <v>4736</v>
      </c>
      <c r="AC827" s="9" t="s">
        <v>4369</v>
      </c>
      <c r="AD827" s="9" t="s">
        <v>4370</v>
      </c>
      <c r="AE827" s="9" t="s">
        <v>4408</v>
      </c>
    </row>
    <row r="828" customFormat="false" ht="15" hidden="false" customHeight="true" outlineLevel="0" collapsed="false">
      <c r="A828" s="6" t="s">
        <v>3107</v>
      </c>
      <c r="B828" s="6" t="s">
        <v>485</v>
      </c>
      <c r="C828" s="6" t="s">
        <v>490</v>
      </c>
      <c r="D828" s="6" t="n">
        <v>6</v>
      </c>
      <c r="E828" s="9" t="s">
        <v>4376</v>
      </c>
      <c r="F828" s="6" t="n">
        <v>38893986</v>
      </c>
      <c r="G828" s="6" t="n">
        <v>34375457</v>
      </c>
      <c r="H828" s="6" t="n">
        <v>4518528</v>
      </c>
      <c r="I828" s="6" t="n">
        <v>15889951</v>
      </c>
      <c r="J828" s="6" t="n">
        <v>3077387</v>
      </c>
      <c r="K828" s="6" t="n">
        <v>2351045</v>
      </c>
      <c r="L828" s="6" t="n">
        <v>3141507</v>
      </c>
      <c r="M828" s="6" t="n">
        <v>125013</v>
      </c>
      <c r="N828" s="6" t="n">
        <v>959655</v>
      </c>
      <c r="O828" s="6" t="n">
        <v>5197924</v>
      </c>
      <c r="P828" s="6" t="n">
        <v>1037417</v>
      </c>
      <c r="Q828" s="1" t="n">
        <f aca="false">IF($A828="","",IF(OR(F828="",I828=""),"",F828-I828))</f>
        <v>23004035</v>
      </c>
      <c r="R828" s="1" t="n">
        <f aca="false">IF($A828="","",IF(Q828="","",Q828+IF(O828="",0,O828)))</f>
        <v>28201959</v>
      </c>
      <c r="S828" s="6" t="n">
        <v>3776000</v>
      </c>
      <c r="T828" s="1" t="n">
        <f aca="false">IF($A828="","",IF(R828="","",R828-IF(S828="",0,S828)))</f>
        <v>24425959</v>
      </c>
      <c r="U828" s="1" t="n">
        <f aca="false">IF($A828="","",IF(I828="","",I828-SUM(J828:P828)))</f>
        <v>3</v>
      </c>
      <c r="V828" s="6" t="s">
        <v>4740</v>
      </c>
      <c r="W828" s="44" t="s">
        <v>1168</v>
      </c>
      <c r="X828" s="9" t="s">
        <v>4741</v>
      </c>
      <c r="AC828" s="9" t="s">
        <v>4369</v>
      </c>
      <c r="AD828" s="9" t="s">
        <v>4370</v>
      </c>
      <c r="AE828" s="9" t="s">
        <v>4371</v>
      </c>
    </row>
    <row r="829" customFormat="false" ht="15" hidden="false" customHeight="true" outlineLevel="0" collapsed="false">
      <c r="A829" s="6" t="s">
        <v>3112</v>
      </c>
      <c r="B829" s="6" t="s">
        <v>485</v>
      </c>
      <c r="C829" s="6" t="s">
        <v>490</v>
      </c>
      <c r="D829" s="6" t="n">
        <v>6</v>
      </c>
      <c r="E829" s="9" t="s">
        <v>4616</v>
      </c>
      <c r="F829" s="6" t="n">
        <v>173000</v>
      </c>
      <c r="Q829" s="1" t="str">
        <f aca="false">IF($A829="","",IF(OR(F829="",I829=""),"",F829-I829))</f>
        <v/>
      </c>
      <c r="R829" s="1" t="str">
        <f aca="false">IF($A829="","",IF(Q829="","",Q829+IF(O829="",0,O829)))</f>
        <v/>
      </c>
      <c r="T829" s="1" t="str">
        <f aca="false">IF($A829="","",IF(R829="","",R829-IF(S829="",0,S829)))</f>
        <v/>
      </c>
      <c r="U829" s="1" t="str">
        <f aca="false">IF($A829="","",IF(I829="","",I829-SUM(J829:P829)))</f>
        <v/>
      </c>
      <c r="V829" s="6" t="s">
        <v>4742</v>
      </c>
      <c r="W829" s="9" t="s">
        <v>528</v>
      </c>
      <c r="X829" s="9" t="s">
        <v>4743</v>
      </c>
      <c r="AC829" s="9" t="s">
        <v>4369</v>
      </c>
      <c r="AD829" s="9" t="s">
        <v>4370</v>
      </c>
      <c r="AE829" s="9" t="s">
        <v>4408</v>
      </c>
    </row>
    <row r="830" customFormat="false" ht="15" hidden="false" customHeight="true" outlineLevel="0" collapsed="false">
      <c r="A830" s="6" t="s">
        <v>3115</v>
      </c>
      <c r="B830" s="6" t="s">
        <v>485</v>
      </c>
      <c r="C830" s="6" t="s">
        <v>490</v>
      </c>
      <c r="D830" s="6" t="n">
        <v>6</v>
      </c>
      <c r="E830" s="9" t="s">
        <v>4616</v>
      </c>
      <c r="F830" s="6" t="n">
        <v>112000</v>
      </c>
      <c r="Q830" s="1" t="str">
        <f aca="false">IF($A830="","",IF(OR(F830="",I830=""),"",F830-I830))</f>
        <v/>
      </c>
      <c r="R830" s="1" t="str">
        <f aca="false">IF($A830="","",IF(Q830="","",Q830+IF(O830="",0,O830)))</f>
        <v/>
      </c>
      <c r="T830" s="1" t="str">
        <f aca="false">IF($A830="","",IF(R830="","",R830-IF(S830="",0,S830)))</f>
        <v/>
      </c>
      <c r="U830" s="1" t="str">
        <f aca="false">IF($A830="","",IF(I830="","",I830-SUM(J830:P830)))</f>
        <v/>
      </c>
      <c r="V830" s="6" t="s">
        <v>4742</v>
      </c>
      <c r="W830" s="9" t="s">
        <v>528</v>
      </c>
      <c r="X830" s="9" t="s">
        <v>4743</v>
      </c>
      <c r="AC830" s="9" t="s">
        <v>4369</v>
      </c>
      <c r="AD830" s="9" t="s">
        <v>4370</v>
      </c>
      <c r="AE830" s="9" t="s">
        <v>4408</v>
      </c>
    </row>
    <row r="831" customFormat="false" ht="15" hidden="false" customHeight="true" outlineLevel="0" collapsed="false">
      <c r="A831" s="6" t="s">
        <v>3118</v>
      </c>
      <c r="B831" s="6" t="s">
        <v>485</v>
      </c>
      <c r="C831" s="6" t="s">
        <v>490</v>
      </c>
      <c r="D831" s="6" t="n">
        <v>6</v>
      </c>
      <c r="E831" s="9" t="s">
        <v>4616</v>
      </c>
      <c r="F831" s="6" t="n">
        <v>62000</v>
      </c>
      <c r="Q831" s="1" t="str">
        <f aca="false">IF($A831="","",IF(OR(F831="",I831=""),"",F831-I831))</f>
        <v/>
      </c>
      <c r="R831" s="1" t="str">
        <f aca="false">IF($A831="","",IF(Q831="","",Q831+IF(O831="",0,O831)))</f>
        <v/>
      </c>
      <c r="T831" s="1" t="str">
        <f aca="false">IF($A831="","",IF(R831="","",R831-IF(S831="",0,S831)))</f>
        <v/>
      </c>
      <c r="U831" s="1" t="str">
        <f aca="false">IF($A831="","",IF(I831="","",I831-SUM(J831:P831)))</f>
        <v/>
      </c>
      <c r="V831" s="6" t="s">
        <v>4742</v>
      </c>
      <c r="W831" s="9" t="s">
        <v>528</v>
      </c>
      <c r="X831" s="9" t="s">
        <v>4743</v>
      </c>
      <c r="AC831" s="9" t="s">
        <v>4369</v>
      </c>
      <c r="AD831" s="9" t="s">
        <v>4370</v>
      </c>
      <c r="AE831" s="9" t="s">
        <v>4408</v>
      </c>
    </row>
    <row r="832" customFormat="false" ht="15" hidden="false" customHeight="true" outlineLevel="0" collapsed="false">
      <c r="A832" s="6" t="s">
        <v>3121</v>
      </c>
      <c r="B832" s="6" t="s">
        <v>485</v>
      </c>
      <c r="C832" s="6" t="s">
        <v>490</v>
      </c>
      <c r="D832" s="6" t="n">
        <v>6</v>
      </c>
      <c r="E832" s="9" t="s">
        <v>4616</v>
      </c>
      <c r="F832" s="6" t="n">
        <v>54000</v>
      </c>
      <c r="Q832" s="1" t="str">
        <f aca="false">IF($A832="","",IF(OR(F832="",I832=""),"",F832-I832))</f>
        <v/>
      </c>
      <c r="R832" s="1" t="str">
        <f aca="false">IF($A832="","",IF(Q832="","",Q832+IF(O832="",0,O832)))</f>
        <v/>
      </c>
      <c r="T832" s="1" t="str">
        <f aca="false">IF($A832="","",IF(R832="","",R832-IF(S832="",0,S832)))</f>
        <v/>
      </c>
      <c r="U832" s="1" t="str">
        <f aca="false">IF($A832="","",IF(I832="","",I832-SUM(J832:P832)))</f>
        <v/>
      </c>
      <c r="V832" s="6" t="s">
        <v>4742</v>
      </c>
      <c r="W832" s="9" t="s">
        <v>528</v>
      </c>
      <c r="X832" s="9" t="s">
        <v>4743</v>
      </c>
      <c r="AC832" s="9" t="s">
        <v>4369</v>
      </c>
      <c r="AD832" s="9" t="s">
        <v>4370</v>
      </c>
      <c r="AE832" s="9" t="s">
        <v>4408</v>
      </c>
    </row>
    <row r="833" customFormat="false" ht="15" hidden="false" customHeight="true" outlineLevel="0" collapsed="false">
      <c r="A833" s="6" t="s">
        <v>3124</v>
      </c>
      <c r="B833" s="6" t="s">
        <v>485</v>
      </c>
      <c r="C833" s="6" t="s">
        <v>490</v>
      </c>
      <c r="D833" s="6" t="n">
        <v>6</v>
      </c>
      <c r="E833" s="9" t="s">
        <v>4616</v>
      </c>
      <c r="F833" s="6" t="n">
        <v>66000</v>
      </c>
      <c r="Q833" s="1" t="str">
        <f aca="false">IF($A833="","",IF(OR(F833="",I833=""),"",F833-I833))</f>
        <v/>
      </c>
      <c r="R833" s="1" t="str">
        <f aca="false">IF($A833="","",IF(Q833="","",Q833+IF(O833="",0,O833)))</f>
        <v/>
      </c>
      <c r="T833" s="1" t="str">
        <f aca="false">IF($A833="","",IF(R833="","",R833-IF(S833="",0,S833)))</f>
        <v/>
      </c>
      <c r="U833" s="1" t="str">
        <f aca="false">IF($A833="","",IF(I833="","",I833-SUM(J833:P833)))</f>
        <v/>
      </c>
      <c r="V833" s="6" t="s">
        <v>4742</v>
      </c>
      <c r="W833" s="9" t="s">
        <v>528</v>
      </c>
      <c r="X833" s="9" t="s">
        <v>4743</v>
      </c>
      <c r="AC833" s="9" t="s">
        <v>4369</v>
      </c>
      <c r="AD833" s="9" t="s">
        <v>4370</v>
      </c>
      <c r="AE833" s="9" t="s">
        <v>4408</v>
      </c>
    </row>
    <row r="834" customFormat="false" ht="15" hidden="false" customHeight="true" outlineLevel="0" collapsed="false">
      <c r="A834" s="6" t="s">
        <v>3127</v>
      </c>
      <c r="B834" s="6" t="s">
        <v>485</v>
      </c>
      <c r="C834" s="6" t="s">
        <v>490</v>
      </c>
      <c r="D834" s="6" t="n">
        <v>6</v>
      </c>
      <c r="E834" s="9" t="s">
        <v>4616</v>
      </c>
      <c r="F834" s="6" t="n">
        <v>52000</v>
      </c>
      <c r="Q834" s="1" t="str">
        <f aca="false">IF($A834="","",IF(OR(F834="",I834=""),"",F834-I834))</f>
        <v/>
      </c>
      <c r="R834" s="1" t="str">
        <f aca="false">IF($A834="","",IF(Q834="","",Q834+IF(O834="",0,O834)))</f>
        <v/>
      </c>
      <c r="T834" s="1" t="str">
        <f aca="false">IF($A834="","",IF(R834="","",R834-IF(S834="",0,S834)))</f>
        <v/>
      </c>
      <c r="U834" s="1" t="str">
        <f aca="false">IF($A834="","",IF(I834="","",I834-SUM(J834:P834)))</f>
        <v/>
      </c>
      <c r="V834" s="6" t="s">
        <v>4742</v>
      </c>
      <c r="W834" s="9" t="s">
        <v>528</v>
      </c>
      <c r="X834" s="9" t="s">
        <v>4743</v>
      </c>
      <c r="AC834" s="9" t="s">
        <v>4369</v>
      </c>
      <c r="AD834" s="9" t="s">
        <v>4370</v>
      </c>
      <c r="AE834" s="9" t="s">
        <v>4408</v>
      </c>
    </row>
    <row r="835" customFormat="false" ht="15" hidden="false" customHeight="true" outlineLevel="0" collapsed="false">
      <c r="A835" s="6" t="s">
        <v>3130</v>
      </c>
      <c r="B835" s="6" t="s">
        <v>485</v>
      </c>
      <c r="C835" s="6" t="s">
        <v>490</v>
      </c>
      <c r="D835" s="6" t="n">
        <v>6</v>
      </c>
      <c r="E835" s="9" t="s">
        <v>4616</v>
      </c>
      <c r="F835" s="6" t="n">
        <v>30000</v>
      </c>
      <c r="Q835" s="1" t="str">
        <f aca="false">IF($A835="","",IF(OR(F835="",I835=""),"",F835-I835))</f>
        <v/>
      </c>
      <c r="R835" s="1" t="str">
        <f aca="false">IF($A835="","",IF(Q835="","",Q835+IF(O835="",0,O835)))</f>
        <v/>
      </c>
      <c r="T835" s="1" t="str">
        <f aca="false">IF($A835="","",IF(R835="","",R835-IF(S835="",0,S835)))</f>
        <v/>
      </c>
      <c r="U835" s="1" t="str">
        <f aca="false">IF($A835="","",IF(I835="","",I835-SUM(J835:P835)))</f>
        <v/>
      </c>
      <c r="V835" s="6" t="s">
        <v>4742</v>
      </c>
      <c r="W835" s="9" t="s">
        <v>528</v>
      </c>
      <c r="X835" s="9" t="s">
        <v>4743</v>
      </c>
      <c r="AC835" s="9" t="s">
        <v>4369</v>
      </c>
      <c r="AD835" s="9" t="s">
        <v>4370</v>
      </c>
      <c r="AE835" s="9" t="s">
        <v>4445</v>
      </c>
    </row>
    <row r="836" customFormat="false" ht="15" hidden="false" customHeight="true" outlineLevel="0" collapsed="false">
      <c r="A836" s="6" t="s">
        <v>3133</v>
      </c>
      <c r="B836" s="6" t="s">
        <v>485</v>
      </c>
      <c r="C836" s="6" t="s">
        <v>490</v>
      </c>
      <c r="D836" s="6" t="n">
        <v>6</v>
      </c>
      <c r="E836" s="9" t="s">
        <v>4616</v>
      </c>
      <c r="F836" s="6" t="n">
        <v>28000</v>
      </c>
      <c r="Q836" s="1" t="str">
        <f aca="false">IF($A836="","",IF(OR(F836="",I836=""),"",F836-I836))</f>
        <v/>
      </c>
      <c r="R836" s="1" t="str">
        <f aca="false">IF($A836="","",IF(Q836="","",Q836+IF(O836="",0,O836)))</f>
        <v/>
      </c>
      <c r="T836" s="1" t="str">
        <f aca="false">IF($A836="","",IF(R836="","",R836-IF(S836="",0,S836)))</f>
        <v/>
      </c>
      <c r="U836" s="1" t="str">
        <f aca="false">IF($A836="","",IF(I836="","",I836-SUM(J836:P836)))</f>
        <v/>
      </c>
      <c r="V836" s="6" t="s">
        <v>4742</v>
      </c>
      <c r="W836" s="9" t="s">
        <v>528</v>
      </c>
      <c r="X836" s="9" t="s">
        <v>4743</v>
      </c>
      <c r="AC836" s="9" t="s">
        <v>4369</v>
      </c>
      <c r="AD836" s="9" t="s">
        <v>4370</v>
      </c>
      <c r="AE836" s="9" t="s">
        <v>4445</v>
      </c>
    </row>
    <row r="837" customFormat="false" ht="15" hidden="false" customHeight="true" outlineLevel="0" collapsed="false">
      <c r="A837" s="6" t="s">
        <v>3136</v>
      </c>
      <c r="B837" s="6" t="s">
        <v>485</v>
      </c>
      <c r="C837" s="6" t="s">
        <v>490</v>
      </c>
      <c r="D837" s="6" t="n">
        <v>6</v>
      </c>
      <c r="E837" s="9" t="s">
        <v>4616</v>
      </c>
      <c r="F837" s="6" t="n">
        <v>118000</v>
      </c>
      <c r="Q837" s="1" t="str">
        <f aca="false">IF($A837="","",IF(OR(F837="",I837=""),"",F837-I837))</f>
        <v/>
      </c>
      <c r="R837" s="1" t="str">
        <f aca="false">IF($A837="","",IF(Q837="","",Q837+IF(O837="",0,O837)))</f>
        <v/>
      </c>
      <c r="T837" s="1" t="str">
        <f aca="false">IF($A837="","",IF(R837="","",R837-IF(S837="",0,S837)))</f>
        <v/>
      </c>
      <c r="U837" s="1" t="str">
        <f aca="false">IF($A837="","",IF(I837="","",I837-SUM(J837:P837)))</f>
        <v/>
      </c>
      <c r="V837" s="6" t="s">
        <v>4742</v>
      </c>
      <c r="W837" s="9" t="s">
        <v>528</v>
      </c>
      <c r="X837" s="9" t="s">
        <v>4743</v>
      </c>
      <c r="AC837" s="9" t="s">
        <v>4369</v>
      </c>
      <c r="AD837" s="9" t="s">
        <v>4370</v>
      </c>
      <c r="AE837" s="9" t="s">
        <v>4408</v>
      </c>
    </row>
    <row r="838" customFormat="false" ht="15" hidden="false" customHeight="true" outlineLevel="0" collapsed="false">
      <c r="A838" s="6" t="s">
        <v>3139</v>
      </c>
      <c r="B838" s="6" t="s">
        <v>485</v>
      </c>
      <c r="C838" s="6" t="s">
        <v>490</v>
      </c>
      <c r="D838" s="6" t="n">
        <v>6</v>
      </c>
      <c r="E838" s="9" t="s">
        <v>4616</v>
      </c>
      <c r="F838" s="6" t="n">
        <v>110000</v>
      </c>
      <c r="Q838" s="1" t="str">
        <f aca="false">IF($A838="","",IF(OR(F838="",I838=""),"",F838-I838))</f>
        <v/>
      </c>
      <c r="R838" s="1" t="str">
        <f aca="false">IF($A838="","",IF(Q838="","",Q838+IF(O838="",0,O838)))</f>
        <v/>
      </c>
      <c r="T838" s="1" t="str">
        <f aca="false">IF($A838="","",IF(R838="","",R838-IF(S838="",0,S838)))</f>
        <v/>
      </c>
      <c r="U838" s="1" t="str">
        <f aca="false">IF($A838="","",IF(I838="","",I838-SUM(J838:P838)))</f>
        <v/>
      </c>
      <c r="V838" s="6" t="s">
        <v>4742</v>
      </c>
      <c r="W838" s="9" t="s">
        <v>528</v>
      </c>
      <c r="X838" s="9" t="s">
        <v>4743</v>
      </c>
      <c r="AC838" s="9" t="s">
        <v>4369</v>
      </c>
      <c r="AD838" s="9" t="s">
        <v>4370</v>
      </c>
      <c r="AE838" s="9" t="s">
        <v>4408</v>
      </c>
    </row>
    <row r="839" customFormat="false" ht="15" hidden="false" customHeight="true" outlineLevel="0" collapsed="false">
      <c r="A839" s="6" t="s">
        <v>3142</v>
      </c>
      <c r="B839" s="6" t="s">
        <v>485</v>
      </c>
      <c r="C839" s="6" t="s">
        <v>490</v>
      </c>
      <c r="D839" s="6" t="n">
        <v>6</v>
      </c>
      <c r="E839" s="9" t="s">
        <v>4616</v>
      </c>
      <c r="F839" s="6" t="n">
        <v>117000</v>
      </c>
      <c r="Q839" s="1" t="str">
        <f aca="false">IF($A839="","",IF(OR(F839="",I839=""),"",F839-I839))</f>
        <v/>
      </c>
      <c r="R839" s="1" t="str">
        <f aca="false">IF($A839="","",IF(Q839="","",Q839+IF(O839="",0,O839)))</f>
        <v/>
      </c>
      <c r="T839" s="1" t="str">
        <f aca="false">IF($A839="","",IF(R839="","",R839-IF(S839="",0,S839)))</f>
        <v/>
      </c>
      <c r="U839" s="1" t="str">
        <f aca="false">IF($A839="","",IF(I839="","",I839-SUM(J839:P839)))</f>
        <v/>
      </c>
      <c r="V839" s="6" t="s">
        <v>4742</v>
      </c>
      <c r="W839" s="9" t="s">
        <v>528</v>
      </c>
      <c r="X839" s="9" t="s">
        <v>4743</v>
      </c>
      <c r="AC839" s="9" t="s">
        <v>4369</v>
      </c>
      <c r="AD839" s="9" t="s">
        <v>4370</v>
      </c>
      <c r="AE839" s="9" t="s">
        <v>4408</v>
      </c>
    </row>
    <row r="840" customFormat="false" ht="15" hidden="false" customHeight="true" outlineLevel="0" collapsed="false">
      <c r="A840" s="6" t="s">
        <v>3145</v>
      </c>
      <c r="B840" s="6" t="s">
        <v>485</v>
      </c>
      <c r="C840" s="6" t="s">
        <v>490</v>
      </c>
      <c r="D840" s="6" t="n">
        <v>6</v>
      </c>
      <c r="E840" s="9" t="s">
        <v>4616</v>
      </c>
      <c r="F840" s="6" t="n">
        <v>98000</v>
      </c>
      <c r="Q840" s="1" t="str">
        <f aca="false">IF($A840="","",IF(OR(F840="",I840=""),"",F840-I840))</f>
        <v/>
      </c>
      <c r="R840" s="1" t="str">
        <f aca="false">IF($A840="","",IF(Q840="","",Q840+IF(O840="",0,O840)))</f>
        <v/>
      </c>
      <c r="T840" s="1" t="str">
        <f aca="false">IF($A840="","",IF(R840="","",R840-IF(S840="",0,S840)))</f>
        <v/>
      </c>
      <c r="U840" s="1" t="str">
        <f aca="false">IF($A840="","",IF(I840="","",I840-SUM(J840:P840)))</f>
        <v/>
      </c>
      <c r="V840" s="6" t="s">
        <v>4742</v>
      </c>
      <c r="W840" s="9" t="s">
        <v>528</v>
      </c>
      <c r="X840" s="9" t="s">
        <v>4743</v>
      </c>
      <c r="AC840" s="9" t="s">
        <v>4369</v>
      </c>
      <c r="AD840" s="9" t="s">
        <v>4370</v>
      </c>
      <c r="AE840" s="9" t="s">
        <v>4408</v>
      </c>
    </row>
    <row r="841" customFormat="false" ht="15" hidden="false" customHeight="true" outlineLevel="0" collapsed="false">
      <c r="A841" s="6" t="s">
        <v>3148</v>
      </c>
      <c r="B841" s="6" t="s">
        <v>485</v>
      </c>
      <c r="C841" s="6" t="s">
        <v>490</v>
      </c>
      <c r="D841" s="6" t="n">
        <v>6</v>
      </c>
      <c r="E841" s="9" t="s">
        <v>4616</v>
      </c>
      <c r="F841" s="6" t="n">
        <v>90000</v>
      </c>
      <c r="Q841" s="1" t="str">
        <f aca="false">IF($A841="","",IF(OR(F841="",I841=""),"",F841-I841))</f>
        <v/>
      </c>
      <c r="R841" s="1" t="str">
        <f aca="false">IF($A841="","",IF(Q841="","",Q841+IF(O841="",0,O841)))</f>
        <v/>
      </c>
      <c r="T841" s="1" t="str">
        <f aca="false">IF($A841="","",IF(R841="","",R841-IF(S841="",0,S841)))</f>
        <v/>
      </c>
      <c r="U841" s="1" t="str">
        <f aca="false">IF($A841="","",IF(I841="","",I841-SUM(J841:P841)))</f>
        <v/>
      </c>
      <c r="V841" s="6" t="s">
        <v>4742</v>
      </c>
      <c r="W841" s="9" t="s">
        <v>528</v>
      </c>
      <c r="X841" s="9" t="s">
        <v>4743</v>
      </c>
      <c r="AC841" s="9" t="s">
        <v>4369</v>
      </c>
      <c r="AD841" s="9" t="s">
        <v>4370</v>
      </c>
      <c r="AE841" s="9" t="s">
        <v>4408</v>
      </c>
    </row>
    <row r="842" customFormat="false" ht="15" hidden="false" customHeight="true" outlineLevel="0" collapsed="false">
      <c r="A842" s="6" t="s">
        <v>3151</v>
      </c>
      <c r="B842" s="6" t="s">
        <v>485</v>
      </c>
      <c r="C842" s="6" t="s">
        <v>490</v>
      </c>
      <c r="D842" s="6" t="n">
        <v>6</v>
      </c>
      <c r="E842" s="9" t="s">
        <v>4616</v>
      </c>
      <c r="F842" s="6" t="n">
        <v>79000</v>
      </c>
      <c r="Q842" s="1" t="str">
        <f aca="false">IF($A842="","",IF(OR(F842="",I842=""),"",F842-I842))</f>
        <v/>
      </c>
      <c r="R842" s="1" t="str">
        <f aca="false">IF($A842="","",IF(Q842="","",Q842+IF(O842="",0,O842)))</f>
        <v/>
      </c>
      <c r="T842" s="1" t="str">
        <f aca="false">IF($A842="","",IF(R842="","",R842-IF(S842="",0,S842)))</f>
        <v/>
      </c>
      <c r="U842" s="1" t="str">
        <f aca="false">IF($A842="","",IF(I842="","",I842-SUM(J842:P842)))</f>
        <v/>
      </c>
      <c r="V842" s="6" t="s">
        <v>4742</v>
      </c>
      <c r="W842" s="9" t="s">
        <v>528</v>
      </c>
      <c r="X842" s="9" t="s">
        <v>4743</v>
      </c>
      <c r="AC842" s="9" t="s">
        <v>4369</v>
      </c>
      <c r="AD842" s="9" t="s">
        <v>4370</v>
      </c>
      <c r="AE842" s="9" t="s">
        <v>4408</v>
      </c>
    </row>
    <row r="843" customFormat="false" ht="15" hidden="false" customHeight="true" outlineLevel="0" collapsed="false">
      <c r="A843" s="6" t="s">
        <v>3154</v>
      </c>
      <c r="B843" s="6" t="s">
        <v>485</v>
      </c>
      <c r="C843" s="6" t="s">
        <v>490</v>
      </c>
      <c r="D843" s="6" t="n">
        <v>6</v>
      </c>
      <c r="E843" s="9" t="s">
        <v>4616</v>
      </c>
      <c r="F843" s="6" t="n">
        <v>63000</v>
      </c>
      <c r="Q843" s="1" t="str">
        <f aca="false">IF($A843="","",IF(OR(F843="",I843=""),"",F843-I843))</f>
        <v/>
      </c>
      <c r="R843" s="1" t="str">
        <f aca="false">IF($A843="","",IF(Q843="","",Q843+IF(O843="",0,O843)))</f>
        <v/>
      </c>
      <c r="T843" s="1" t="str">
        <f aca="false">IF($A843="","",IF(R843="","",R843-IF(S843="",0,S843)))</f>
        <v/>
      </c>
      <c r="U843" s="1" t="str">
        <f aca="false">IF($A843="","",IF(I843="","",I843-SUM(J843:P843)))</f>
        <v/>
      </c>
      <c r="V843" s="6" t="s">
        <v>4742</v>
      </c>
      <c r="W843" s="9" t="s">
        <v>528</v>
      </c>
      <c r="X843" s="9" t="s">
        <v>4743</v>
      </c>
      <c r="AC843" s="9" t="s">
        <v>4369</v>
      </c>
      <c r="AD843" s="9" t="s">
        <v>4370</v>
      </c>
      <c r="AE843" s="9" t="s">
        <v>4408</v>
      </c>
    </row>
    <row r="844" customFormat="false" ht="15" hidden="false" customHeight="true" outlineLevel="0" collapsed="false">
      <c r="A844" s="6" t="s">
        <v>3157</v>
      </c>
      <c r="B844" s="6" t="s">
        <v>485</v>
      </c>
      <c r="C844" s="6" t="s">
        <v>490</v>
      </c>
      <c r="D844" s="6" t="n">
        <v>6</v>
      </c>
      <c r="E844" s="9" t="s">
        <v>4616</v>
      </c>
      <c r="F844" s="6" t="n">
        <v>71000</v>
      </c>
      <c r="Q844" s="1" t="str">
        <f aca="false">IF($A844="","",IF(OR(F844="",I844=""),"",F844-I844))</f>
        <v/>
      </c>
      <c r="R844" s="1" t="str">
        <f aca="false">IF($A844="","",IF(Q844="","",Q844+IF(O844="",0,O844)))</f>
        <v/>
      </c>
      <c r="T844" s="1" t="str">
        <f aca="false">IF($A844="","",IF(R844="","",R844-IF(S844="",0,S844)))</f>
        <v/>
      </c>
      <c r="U844" s="1" t="str">
        <f aca="false">IF($A844="","",IF(I844="","",I844-SUM(J844:P844)))</f>
        <v/>
      </c>
      <c r="V844" s="6" t="s">
        <v>4742</v>
      </c>
      <c r="W844" s="9" t="s">
        <v>528</v>
      </c>
      <c r="X844" s="9" t="s">
        <v>4743</v>
      </c>
      <c r="AC844" s="9" t="s">
        <v>4369</v>
      </c>
      <c r="AD844" s="9" t="s">
        <v>4370</v>
      </c>
      <c r="AE844" s="9" t="s">
        <v>4408</v>
      </c>
    </row>
    <row r="845" customFormat="false" ht="15" hidden="false" customHeight="true" outlineLevel="0" collapsed="false">
      <c r="A845" s="6" t="s">
        <v>3160</v>
      </c>
      <c r="B845" s="6" t="s">
        <v>485</v>
      </c>
      <c r="C845" s="6" t="s">
        <v>490</v>
      </c>
      <c r="D845" s="6" t="n">
        <v>6</v>
      </c>
      <c r="E845" s="9" t="s">
        <v>4616</v>
      </c>
      <c r="F845" s="6" t="n">
        <v>72000</v>
      </c>
      <c r="Q845" s="1" t="str">
        <f aca="false">IF($A845="","",IF(OR(F845="",I845=""),"",F845-I845))</f>
        <v/>
      </c>
      <c r="R845" s="1" t="str">
        <f aca="false">IF($A845="","",IF(Q845="","",Q845+IF(O845="",0,O845)))</f>
        <v/>
      </c>
      <c r="T845" s="1" t="str">
        <f aca="false">IF($A845="","",IF(R845="","",R845-IF(S845="",0,S845)))</f>
        <v/>
      </c>
      <c r="U845" s="1" t="str">
        <f aca="false">IF($A845="","",IF(I845="","",I845-SUM(J845:P845)))</f>
        <v/>
      </c>
      <c r="V845" s="6" t="s">
        <v>4742</v>
      </c>
      <c r="W845" s="9" t="s">
        <v>528</v>
      </c>
      <c r="X845" s="9" t="s">
        <v>4743</v>
      </c>
      <c r="AC845" s="9" t="s">
        <v>4369</v>
      </c>
      <c r="AD845" s="9" t="s">
        <v>4370</v>
      </c>
      <c r="AE845" s="9" t="s">
        <v>4408</v>
      </c>
    </row>
    <row r="846" customFormat="false" ht="15" hidden="false" customHeight="true" outlineLevel="0" collapsed="false">
      <c r="A846" s="6" t="s">
        <v>3163</v>
      </c>
      <c r="B846" s="6" t="s">
        <v>485</v>
      </c>
      <c r="C846" s="6" t="s">
        <v>490</v>
      </c>
      <c r="D846" s="6" t="n">
        <v>6</v>
      </c>
      <c r="E846" s="9" t="s">
        <v>4616</v>
      </c>
      <c r="F846" s="6" t="n">
        <v>61000</v>
      </c>
      <c r="Q846" s="1" t="str">
        <f aca="false">IF($A846="","",IF(OR(F846="",I846=""),"",F846-I846))</f>
        <v/>
      </c>
      <c r="R846" s="1" t="str">
        <f aca="false">IF($A846="","",IF(Q846="","",Q846+IF(O846="",0,O846)))</f>
        <v/>
      </c>
      <c r="T846" s="1" t="str">
        <f aca="false">IF($A846="","",IF(R846="","",R846-IF(S846="",0,S846)))</f>
        <v/>
      </c>
      <c r="U846" s="1" t="str">
        <f aca="false">IF($A846="","",IF(I846="","",I846-SUM(J846:P846)))</f>
        <v/>
      </c>
      <c r="V846" s="6" t="s">
        <v>4742</v>
      </c>
      <c r="W846" s="9" t="s">
        <v>528</v>
      </c>
      <c r="X846" s="9" t="s">
        <v>4743</v>
      </c>
      <c r="AC846" s="9" t="s">
        <v>4369</v>
      </c>
      <c r="AD846" s="9" t="s">
        <v>4370</v>
      </c>
      <c r="AE846" s="9" t="s">
        <v>4408</v>
      </c>
    </row>
    <row r="847" customFormat="false" ht="15" hidden="false" customHeight="true" outlineLevel="0" collapsed="false">
      <c r="A847" s="6" t="s">
        <v>3166</v>
      </c>
      <c r="B847" s="6" t="s">
        <v>485</v>
      </c>
      <c r="C847" s="6" t="s">
        <v>490</v>
      </c>
      <c r="D847" s="6" t="n">
        <v>6</v>
      </c>
      <c r="E847" s="9" t="s">
        <v>4616</v>
      </c>
      <c r="F847" s="6" t="n">
        <v>56000</v>
      </c>
      <c r="Q847" s="1" t="str">
        <f aca="false">IF($A847="","",IF(OR(F847="",I847=""),"",F847-I847))</f>
        <v/>
      </c>
      <c r="R847" s="1" t="str">
        <f aca="false">IF($A847="","",IF(Q847="","",Q847+IF(O847="",0,O847)))</f>
        <v/>
      </c>
      <c r="T847" s="1" t="str">
        <f aca="false">IF($A847="","",IF(R847="","",R847-IF(S847="",0,S847)))</f>
        <v/>
      </c>
      <c r="U847" s="1" t="str">
        <f aca="false">IF($A847="","",IF(I847="","",I847-SUM(J847:P847)))</f>
        <v/>
      </c>
      <c r="V847" s="6" t="s">
        <v>4742</v>
      </c>
      <c r="W847" s="9" t="s">
        <v>528</v>
      </c>
      <c r="X847" s="9" t="s">
        <v>4743</v>
      </c>
      <c r="AC847" s="9" t="s">
        <v>4369</v>
      </c>
      <c r="AD847" s="9" t="s">
        <v>4370</v>
      </c>
      <c r="AE847" s="9" t="s">
        <v>4408</v>
      </c>
    </row>
    <row r="848" customFormat="false" ht="15" hidden="false" customHeight="true" outlineLevel="0" collapsed="false">
      <c r="A848" s="6" t="s">
        <v>3169</v>
      </c>
      <c r="B848" s="6" t="s">
        <v>485</v>
      </c>
      <c r="C848" s="6" t="s">
        <v>490</v>
      </c>
      <c r="D848" s="6" t="n">
        <v>6</v>
      </c>
      <c r="E848" s="9" t="s">
        <v>4616</v>
      </c>
      <c r="F848" s="6" t="n">
        <v>47000</v>
      </c>
      <c r="Q848" s="1" t="str">
        <f aca="false">IF($A848="","",IF(OR(F848="",I848=""),"",F848-I848))</f>
        <v/>
      </c>
      <c r="R848" s="1" t="str">
        <f aca="false">IF($A848="","",IF(Q848="","",Q848+IF(O848="",0,O848)))</f>
        <v/>
      </c>
      <c r="T848" s="1" t="str">
        <f aca="false">IF($A848="","",IF(R848="","",R848-IF(S848="",0,S848)))</f>
        <v/>
      </c>
      <c r="U848" s="1" t="str">
        <f aca="false">IF($A848="","",IF(I848="","",I848-SUM(J848:P848)))</f>
        <v/>
      </c>
      <c r="V848" s="6" t="s">
        <v>4742</v>
      </c>
      <c r="W848" s="9" t="s">
        <v>528</v>
      </c>
      <c r="X848" s="9" t="s">
        <v>4743</v>
      </c>
      <c r="AC848" s="9" t="s">
        <v>4369</v>
      </c>
      <c r="AD848" s="9" t="s">
        <v>4370</v>
      </c>
      <c r="AE848" s="9" t="s">
        <v>4445</v>
      </c>
    </row>
    <row r="849" customFormat="false" ht="15" hidden="false" customHeight="true" outlineLevel="0" collapsed="false">
      <c r="A849" s="6" t="s">
        <v>3172</v>
      </c>
      <c r="B849" s="6" t="s">
        <v>485</v>
      </c>
      <c r="C849" s="6" t="s">
        <v>490</v>
      </c>
      <c r="D849" s="6" t="n">
        <v>6</v>
      </c>
      <c r="E849" s="9" t="s">
        <v>4616</v>
      </c>
      <c r="F849" s="6" t="n">
        <v>39000</v>
      </c>
      <c r="Q849" s="1" t="str">
        <f aca="false">IF($A849="","",IF(OR(F849="",I849=""),"",F849-I849))</f>
        <v/>
      </c>
      <c r="R849" s="1" t="str">
        <f aca="false">IF($A849="","",IF(Q849="","",Q849+IF(O849="",0,O849)))</f>
        <v/>
      </c>
      <c r="T849" s="1" t="str">
        <f aca="false">IF($A849="","",IF(R849="","",R849-IF(S849="",0,S849)))</f>
        <v/>
      </c>
      <c r="U849" s="1" t="str">
        <f aca="false">IF($A849="","",IF(I849="","",I849-SUM(J849:P849)))</f>
        <v/>
      </c>
      <c r="V849" s="6" t="s">
        <v>4742</v>
      </c>
      <c r="W849" s="9" t="s">
        <v>528</v>
      </c>
      <c r="X849" s="9" t="s">
        <v>4743</v>
      </c>
      <c r="AC849" s="9" t="s">
        <v>4369</v>
      </c>
      <c r="AD849" s="9" t="s">
        <v>4370</v>
      </c>
      <c r="AE849" s="9" t="s">
        <v>4445</v>
      </c>
    </row>
    <row r="850" customFormat="false" ht="15" hidden="false" customHeight="true" outlineLevel="0" collapsed="false">
      <c r="A850" s="6" t="s">
        <v>3175</v>
      </c>
      <c r="B850" s="6" t="s">
        <v>485</v>
      </c>
      <c r="C850" s="6" t="s">
        <v>490</v>
      </c>
      <c r="D850" s="6" t="n">
        <v>6</v>
      </c>
      <c r="E850" s="9" t="s">
        <v>4616</v>
      </c>
      <c r="F850" s="6" t="n">
        <v>41000</v>
      </c>
      <c r="Q850" s="1" t="str">
        <f aca="false">IF($A850="","",IF(OR(F850="",I850=""),"",F850-I850))</f>
        <v/>
      </c>
      <c r="R850" s="1" t="str">
        <f aca="false">IF($A850="","",IF(Q850="","",Q850+IF(O850="",0,O850)))</f>
        <v/>
      </c>
      <c r="T850" s="1" t="str">
        <f aca="false">IF($A850="","",IF(R850="","",R850-IF(S850="",0,S850)))</f>
        <v/>
      </c>
      <c r="U850" s="1" t="str">
        <f aca="false">IF($A850="","",IF(I850="","",I850-SUM(J850:P850)))</f>
        <v/>
      </c>
      <c r="V850" s="6" t="s">
        <v>4742</v>
      </c>
      <c r="W850" s="9" t="s">
        <v>528</v>
      </c>
      <c r="X850" s="9" t="s">
        <v>4743</v>
      </c>
      <c r="AC850" s="9" t="s">
        <v>4369</v>
      </c>
      <c r="AD850" s="9" t="s">
        <v>4370</v>
      </c>
      <c r="AE850" s="9" t="s">
        <v>4445</v>
      </c>
    </row>
    <row r="851" customFormat="false" ht="15" hidden="false" customHeight="true" outlineLevel="0" collapsed="false">
      <c r="A851" s="6" t="s">
        <v>3178</v>
      </c>
      <c r="B851" s="6" t="s">
        <v>485</v>
      </c>
      <c r="C851" s="6" t="s">
        <v>490</v>
      </c>
      <c r="D851" s="6" t="n">
        <v>6</v>
      </c>
      <c r="E851" s="9" t="s">
        <v>4616</v>
      </c>
      <c r="F851" s="6" t="n">
        <v>41000</v>
      </c>
      <c r="Q851" s="1" t="str">
        <f aca="false">IF($A851="","",IF(OR(F851="",I851=""),"",F851-I851))</f>
        <v/>
      </c>
      <c r="R851" s="1" t="str">
        <f aca="false">IF($A851="","",IF(Q851="","",Q851+IF(O851="",0,O851)))</f>
        <v/>
      </c>
      <c r="T851" s="1" t="str">
        <f aca="false">IF($A851="","",IF(R851="","",R851-IF(S851="",0,S851)))</f>
        <v/>
      </c>
      <c r="U851" s="1" t="str">
        <f aca="false">IF($A851="","",IF(I851="","",I851-SUM(J851:P851)))</f>
        <v/>
      </c>
      <c r="V851" s="6" t="s">
        <v>4742</v>
      </c>
      <c r="W851" s="9" t="s">
        <v>528</v>
      </c>
      <c r="X851" s="9" t="s">
        <v>4743</v>
      </c>
      <c r="AC851" s="9" t="s">
        <v>4369</v>
      </c>
      <c r="AD851" s="9" t="s">
        <v>4370</v>
      </c>
      <c r="AE851" s="9" t="s">
        <v>4445</v>
      </c>
    </row>
    <row r="852" customFormat="false" ht="15" hidden="false" customHeight="true" outlineLevel="0" collapsed="false">
      <c r="A852" s="6" t="s">
        <v>3181</v>
      </c>
      <c r="B852" s="6" t="s">
        <v>485</v>
      </c>
      <c r="C852" s="6" t="s">
        <v>490</v>
      </c>
      <c r="D852" s="6" t="n">
        <v>6</v>
      </c>
      <c r="E852" s="9" t="s">
        <v>4616</v>
      </c>
      <c r="F852" s="6" t="n">
        <v>45000</v>
      </c>
      <c r="Q852" s="1" t="str">
        <f aca="false">IF($A852="","",IF(OR(F852="",I852=""),"",F852-I852))</f>
        <v/>
      </c>
      <c r="R852" s="1" t="str">
        <f aca="false">IF($A852="","",IF(Q852="","",Q852+IF(O852="",0,O852)))</f>
        <v/>
      </c>
      <c r="T852" s="1" t="str">
        <f aca="false">IF($A852="","",IF(R852="","",R852-IF(S852="",0,S852)))</f>
        <v/>
      </c>
      <c r="U852" s="1" t="str">
        <f aca="false">IF($A852="","",IF(I852="","",I852-SUM(J852:P852)))</f>
        <v/>
      </c>
      <c r="V852" s="6" t="s">
        <v>4742</v>
      </c>
      <c r="W852" s="9" t="s">
        <v>528</v>
      </c>
      <c r="X852" s="9" t="s">
        <v>4743</v>
      </c>
      <c r="AC852" s="9" t="s">
        <v>4369</v>
      </c>
      <c r="AD852" s="9" t="s">
        <v>4370</v>
      </c>
      <c r="AE852" s="9" t="s">
        <v>4445</v>
      </c>
    </row>
    <row r="853" customFormat="false" ht="15" hidden="false" customHeight="true" outlineLevel="0" collapsed="false">
      <c r="A853" s="6" t="s">
        <v>3184</v>
      </c>
      <c r="B853" s="6" t="s">
        <v>485</v>
      </c>
      <c r="C853" s="6" t="s">
        <v>490</v>
      </c>
      <c r="D853" s="6" t="n">
        <v>6</v>
      </c>
      <c r="E853" s="9" t="s">
        <v>4616</v>
      </c>
      <c r="F853" s="6" t="n">
        <v>42000</v>
      </c>
      <c r="Q853" s="1" t="str">
        <f aca="false">IF($A853="","",IF(OR(F853="",I853=""),"",F853-I853))</f>
        <v/>
      </c>
      <c r="R853" s="1" t="str">
        <f aca="false">IF($A853="","",IF(Q853="","",Q853+IF(O853="",0,O853)))</f>
        <v/>
      </c>
      <c r="T853" s="1" t="str">
        <f aca="false">IF($A853="","",IF(R853="","",R853-IF(S853="",0,S853)))</f>
        <v/>
      </c>
      <c r="U853" s="1" t="str">
        <f aca="false">IF($A853="","",IF(I853="","",I853-SUM(J853:P853)))</f>
        <v/>
      </c>
      <c r="V853" s="6" t="s">
        <v>4742</v>
      </c>
      <c r="W853" s="9" t="s">
        <v>528</v>
      </c>
      <c r="X853" s="9" t="s">
        <v>4743</v>
      </c>
      <c r="AC853" s="9" t="s">
        <v>4369</v>
      </c>
      <c r="AD853" s="9" t="s">
        <v>4370</v>
      </c>
      <c r="AE853" s="9" t="s">
        <v>4445</v>
      </c>
    </row>
    <row r="854" customFormat="false" ht="15" hidden="false" customHeight="true" outlineLevel="0" collapsed="false">
      <c r="A854" s="6" t="s">
        <v>3187</v>
      </c>
      <c r="B854" s="6" t="s">
        <v>485</v>
      </c>
      <c r="C854" s="6" t="s">
        <v>490</v>
      </c>
      <c r="D854" s="6" t="n">
        <v>6</v>
      </c>
      <c r="E854" s="9" t="s">
        <v>4616</v>
      </c>
      <c r="F854" s="6" t="n">
        <v>30000</v>
      </c>
      <c r="Q854" s="1" t="str">
        <f aca="false">IF($A854="","",IF(OR(F854="",I854=""),"",F854-I854))</f>
        <v/>
      </c>
      <c r="R854" s="1" t="str">
        <f aca="false">IF($A854="","",IF(Q854="","",Q854+IF(O854="",0,O854)))</f>
        <v/>
      </c>
      <c r="T854" s="1" t="str">
        <f aca="false">IF($A854="","",IF(R854="","",R854-IF(S854="",0,S854)))</f>
        <v/>
      </c>
      <c r="U854" s="1" t="str">
        <f aca="false">IF($A854="","",IF(I854="","",I854-SUM(J854:P854)))</f>
        <v/>
      </c>
      <c r="V854" s="6" t="s">
        <v>4742</v>
      </c>
      <c r="W854" s="9" t="s">
        <v>528</v>
      </c>
      <c r="X854" s="9" t="s">
        <v>4743</v>
      </c>
      <c r="AC854" s="9" t="s">
        <v>4369</v>
      </c>
      <c r="AD854" s="9" t="s">
        <v>4370</v>
      </c>
      <c r="AE854" s="9" t="s">
        <v>4445</v>
      </c>
    </row>
    <row r="855" customFormat="false" ht="15" hidden="false" customHeight="true" outlineLevel="0" collapsed="false">
      <c r="A855" s="6" t="s">
        <v>3190</v>
      </c>
      <c r="B855" s="6" t="s">
        <v>485</v>
      </c>
      <c r="C855" s="6" t="s">
        <v>490</v>
      </c>
      <c r="D855" s="6" t="n">
        <v>6</v>
      </c>
      <c r="E855" s="9" t="s">
        <v>4616</v>
      </c>
      <c r="F855" s="6" t="n">
        <v>34000</v>
      </c>
      <c r="Q855" s="1" t="str">
        <f aca="false">IF($A855="","",IF(OR(F855="",I855=""),"",F855-I855))</f>
        <v/>
      </c>
      <c r="R855" s="1" t="str">
        <f aca="false">IF($A855="","",IF(Q855="","",Q855+IF(O855="",0,O855)))</f>
        <v/>
      </c>
      <c r="T855" s="1" t="str">
        <f aca="false">IF($A855="","",IF(R855="","",R855-IF(S855="",0,S855)))</f>
        <v/>
      </c>
      <c r="U855" s="1" t="str">
        <f aca="false">IF($A855="","",IF(I855="","",I855-SUM(J855:P855)))</f>
        <v/>
      </c>
      <c r="V855" s="6" t="s">
        <v>4742</v>
      </c>
      <c r="W855" s="9" t="s">
        <v>528</v>
      </c>
      <c r="X855" s="9" t="s">
        <v>4743</v>
      </c>
      <c r="AC855" s="9" t="s">
        <v>4369</v>
      </c>
      <c r="AD855" s="9" t="s">
        <v>4370</v>
      </c>
      <c r="AE855" s="9" t="s">
        <v>4445</v>
      </c>
    </row>
    <row r="856" customFormat="false" ht="15" hidden="false" customHeight="true" outlineLevel="0" collapsed="false">
      <c r="A856" s="6" t="s">
        <v>3193</v>
      </c>
      <c r="B856" s="6" t="s">
        <v>485</v>
      </c>
      <c r="C856" s="6" t="s">
        <v>490</v>
      </c>
      <c r="D856" s="6" t="n">
        <v>6</v>
      </c>
      <c r="E856" s="9" t="s">
        <v>4616</v>
      </c>
      <c r="F856" s="6" t="n">
        <v>29000</v>
      </c>
      <c r="Q856" s="1" t="str">
        <f aca="false">IF($A856="","",IF(OR(F856="",I856=""),"",F856-I856))</f>
        <v/>
      </c>
      <c r="R856" s="1" t="str">
        <f aca="false">IF($A856="","",IF(Q856="","",Q856+IF(O856="",0,O856)))</f>
        <v/>
      </c>
      <c r="T856" s="1" t="str">
        <f aca="false">IF($A856="","",IF(R856="","",R856-IF(S856="",0,S856)))</f>
        <v/>
      </c>
      <c r="U856" s="1" t="str">
        <f aca="false">IF($A856="","",IF(I856="","",I856-SUM(J856:P856)))</f>
        <v/>
      </c>
      <c r="V856" s="6" t="s">
        <v>4742</v>
      </c>
      <c r="W856" s="9" t="s">
        <v>528</v>
      </c>
      <c r="X856" s="9" t="s">
        <v>4743</v>
      </c>
      <c r="AC856" s="9" t="s">
        <v>4369</v>
      </c>
      <c r="AD856" s="9" t="s">
        <v>4370</v>
      </c>
      <c r="AE856" s="9" t="s">
        <v>4445</v>
      </c>
    </row>
    <row r="857" customFormat="false" ht="15" hidden="false" customHeight="true" outlineLevel="0" collapsed="false">
      <c r="A857" s="6" t="s">
        <v>3196</v>
      </c>
      <c r="B857" s="6" t="s">
        <v>485</v>
      </c>
      <c r="C857" s="6" t="s">
        <v>490</v>
      </c>
      <c r="D857" s="6" t="n">
        <v>6</v>
      </c>
      <c r="E857" s="9" t="s">
        <v>4616</v>
      </c>
      <c r="F857" s="6" t="n">
        <v>39000</v>
      </c>
      <c r="Q857" s="1" t="str">
        <f aca="false">IF($A857="","",IF(OR(F857="",I857=""),"",F857-I857))</f>
        <v/>
      </c>
      <c r="R857" s="1" t="str">
        <f aca="false">IF($A857="","",IF(Q857="","",Q857+IF(O857="",0,O857)))</f>
        <v/>
      </c>
      <c r="T857" s="1" t="str">
        <f aca="false">IF($A857="","",IF(R857="","",R857-IF(S857="",0,S857)))</f>
        <v/>
      </c>
      <c r="U857" s="1" t="str">
        <f aca="false">IF($A857="","",IF(I857="","",I857-SUM(J857:P857)))</f>
        <v/>
      </c>
      <c r="V857" s="6" t="s">
        <v>4742</v>
      </c>
      <c r="W857" s="9" t="s">
        <v>528</v>
      </c>
      <c r="X857" s="9" t="s">
        <v>4743</v>
      </c>
      <c r="AC857" s="9" t="s">
        <v>4369</v>
      </c>
      <c r="AD857" s="9" t="s">
        <v>4370</v>
      </c>
      <c r="AE857" s="9" t="s">
        <v>4445</v>
      </c>
    </row>
    <row r="858" customFormat="false" ht="15" hidden="false" customHeight="true" outlineLevel="0" collapsed="false">
      <c r="A858" s="6" t="s">
        <v>3199</v>
      </c>
      <c r="B858" s="6" t="s">
        <v>485</v>
      </c>
      <c r="C858" s="6" t="s">
        <v>490</v>
      </c>
      <c r="D858" s="6" t="n">
        <v>6</v>
      </c>
      <c r="E858" s="9" t="s">
        <v>4616</v>
      </c>
      <c r="F858" s="6" t="n">
        <v>34000</v>
      </c>
      <c r="Q858" s="1" t="str">
        <f aca="false">IF($A858="","",IF(OR(F858="",I858=""),"",F858-I858))</f>
        <v/>
      </c>
      <c r="R858" s="1" t="str">
        <f aca="false">IF($A858="","",IF(Q858="","",Q858+IF(O858="",0,O858)))</f>
        <v/>
      </c>
      <c r="T858" s="1" t="str">
        <f aca="false">IF($A858="","",IF(R858="","",R858-IF(S858="",0,S858)))</f>
        <v/>
      </c>
      <c r="U858" s="1" t="str">
        <f aca="false">IF($A858="","",IF(I858="","",I858-SUM(J858:P858)))</f>
        <v/>
      </c>
      <c r="V858" s="6" t="s">
        <v>4742</v>
      </c>
      <c r="W858" s="9" t="s">
        <v>528</v>
      </c>
      <c r="X858" s="9" t="s">
        <v>4743</v>
      </c>
      <c r="AC858" s="9" t="s">
        <v>4369</v>
      </c>
      <c r="AD858" s="9" t="s">
        <v>4370</v>
      </c>
      <c r="AE858" s="9" t="s">
        <v>4445</v>
      </c>
    </row>
    <row r="859" customFormat="false" ht="15" hidden="false" customHeight="true" outlineLevel="0" collapsed="false">
      <c r="A859" s="6" t="s">
        <v>3202</v>
      </c>
      <c r="B859" s="6" t="s">
        <v>485</v>
      </c>
      <c r="C859" s="6" t="s">
        <v>490</v>
      </c>
      <c r="D859" s="6" t="n">
        <v>6</v>
      </c>
      <c r="E859" s="9" t="s">
        <v>4616</v>
      </c>
      <c r="F859" s="6" t="n">
        <v>31000</v>
      </c>
      <c r="Q859" s="1" t="str">
        <f aca="false">IF($A859="","",IF(OR(F859="",I859=""),"",F859-I859))</f>
        <v/>
      </c>
      <c r="R859" s="1" t="str">
        <f aca="false">IF($A859="","",IF(Q859="","",Q859+IF(O859="",0,O859)))</f>
        <v/>
      </c>
      <c r="T859" s="1" t="str">
        <f aca="false">IF($A859="","",IF(R859="","",R859-IF(S859="",0,S859)))</f>
        <v/>
      </c>
      <c r="U859" s="1" t="str">
        <f aca="false">IF($A859="","",IF(I859="","",I859-SUM(J859:P859)))</f>
        <v/>
      </c>
      <c r="V859" s="6" t="s">
        <v>4742</v>
      </c>
      <c r="W859" s="9" t="s">
        <v>528</v>
      </c>
      <c r="X859" s="9" t="s">
        <v>4743</v>
      </c>
      <c r="AC859" s="9" t="s">
        <v>4369</v>
      </c>
      <c r="AD859" s="9" t="s">
        <v>4370</v>
      </c>
      <c r="AE859" s="9" t="s">
        <v>4445</v>
      </c>
    </row>
    <row r="860" customFormat="false" ht="15" hidden="false" customHeight="true" outlineLevel="0" collapsed="false">
      <c r="A860" s="6" t="s">
        <v>3205</v>
      </c>
      <c r="B860" s="6" t="s">
        <v>485</v>
      </c>
      <c r="C860" s="6" t="s">
        <v>490</v>
      </c>
      <c r="D860" s="6" t="n">
        <v>6</v>
      </c>
      <c r="E860" s="9" t="s">
        <v>4616</v>
      </c>
      <c r="F860" s="6" t="n">
        <v>29000</v>
      </c>
      <c r="Q860" s="1" t="str">
        <f aca="false">IF($A860="","",IF(OR(F860="",I860=""),"",F860-I860))</f>
        <v/>
      </c>
      <c r="R860" s="1" t="str">
        <f aca="false">IF($A860="","",IF(Q860="","",Q860+IF(O860="",0,O860)))</f>
        <v/>
      </c>
      <c r="T860" s="1" t="str">
        <f aca="false">IF($A860="","",IF(R860="","",R860-IF(S860="",0,S860)))</f>
        <v/>
      </c>
      <c r="U860" s="1" t="str">
        <f aca="false">IF($A860="","",IF(I860="","",I860-SUM(J860:P860)))</f>
        <v/>
      </c>
      <c r="V860" s="6" t="s">
        <v>4742</v>
      </c>
      <c r="W860" s="9" t="s">
        <v>528</v>
      </c>
      <c r="X860" s="9" t="s">
        <v>4743</v>
      </c>
      <c r="AC860" s="9" t="s">
        <v>4369</v>
      </c>
      <c r="AD860" s="9" t="s">
        <v>4370</v>
      </c>
      <c r="AE860" s="9" t="s">
        <v>4445</v>
      </c>
    </row>
    <row r="861" customFormat="false" ht="15" hidden="false" customHeight="true" outlineLevel="0" collapsed="false">
      <c r="A861" s="6" t="s">
        <v>3208</v>
      </c>
      <c r="B861" s="6" t="s">
        <v>485</v>
      </c>
      <c r="C861" s="6" t="s">
        <v>490</v>
      </c>
      <c r="D861" s="6" t="n">
        <v>6</v>
      </c>
      <c r="E861" s="9" t="s">
        <v>4616</v>
      </c>
      <c r="F861" s="6" t="n">
        <v>28000</v>
      </c>
      <c r="Q861" s="1" t="str">
        <f aca="false">IF($A861="","",IF(OR(F861="",I861=""),"",F861-I861))</f>
        <v/>
      </c>
      <c r="R861" s="1" t="str">
        <f aca="false">IF($A861="","",IF(Q861="","",Q861+IF(O861="",0,O861)))</f>
        <v/>
      </c>
      <c r="T861" s="1" t="str">
        <f aca="false">IF($A861="","",IF(R861="","",R861-IF(S861="",0,S861)))</f>
        <v/>
      </c>
      <c r="U861" s="1" t="str">
        <f aca="false">IF($A861="","",IF(I861="","",I861-SUM(J861:P861)))</f>
        <v/>
      </c>
      <c r="V861" s="6" t="s">
        <v>4742</v>
      </c>
      <c r="W861" s="9" t="s">
        <v>528</v>
      </c>
      <c r="X861" s="9" t="s">
        <v>4743</v>
      </c>
      <c r="AC861" s="9" t="s">
        <v>4369</v>
      </c>
      <c r="AD861" s="9" t="s">
        <v>4370</v>
      </c>
      <c r="AE861" s="9" t="s">
        <v>4445</v>
      </c>
    </row>
    <row r="862" customFormat="false" ht="15" hidden="false" customHeight="true" outlineLevel="0" collapsed="false">
      <c r="A862" s="6" t="s">
        <v>3211</v>
      </c>
      <c r="B862" s="6" t="s">
        <v>485</v>
      </c>
      <c r="C862" s="6" t="s">
        <v>490</v>
      </c>
      <c r="D862" s="6" t="n">
        <v>6</v>
      </c>
      <c r="E862" s="9" t="s">
        <v>4616</v>
      </c>
      <c r="F862" s="6" t="n">
        <v>38000</v>
      </c>
      <c r="Q862" s="1" t="str">
        <f aca="false">IF($A862="","",IF(OR(F862="",I862=""),"",F862-I862))</f>
        <v/>
      </c>
      <c r="R862" s="1" t="str">
        <f aca="false">IF($A862="","",IF(Q862="","",Q862+IF(O862="",0,O862)))</f>
        <v/>
      </c>
      <c r="T862" s="1" t="str">
        <f aca="false">IF($A862="","",IF(R862="","",R862-IF(S862="",0,S862)))</f>
        <v/>
      </c>
      <c r="U862" s="1" t="str">
        <f aca="false">IF($A862="","",IF(I862="","",I862-SUM(J862:P862)))</f>
        <v/>
      </c>
      <c r="V862" s="6" t="s">
        <v>4742</v>
      </c>
      <c r="W862" s="9" t="s">
        <v>528</v>
      </c>
      <c r="X862" s="9" t="s">
        <v>4743</v>
      </c>
      <c r="AC862" s="9" t="s">
        <v>4369</v>
      </c>
      <c r="AD862" s="9" t="s">
        <v>4370</v>
      </c>
      <c r="AE862" s="9" t="s">
        <v>4445</v>
      </c>
    </row>
    <row r="863" customFormat="false" ht="15" hidden="false" customHeight="true" outlineLevel="0" collapsed="false">
      <c r="A863" s="6" t="s">
        <v>3214</v>
      </c>
      <c r="B863" s="6" t="s">
        <v>485</v>
      </c>
      <c r="C863" s="6" t="s">
        <v>490</v>
      </c>
      <c r="D863" s="6" t="n">
        <v>6</v>
      </c>
      <c r="E863" s="9" t="s">
        <v>4616</v>
      </c>
      <c r="F863" s="6" t="n">
        <v>26000</v>
      </c>
      <c r="Q863" s="1" t="str">
        <f aca="false">IF($A863="","",IF(OR(F863="",I863=""),"",F863-I863))</f>
        <v/>
      </c>
      <c r="R863" s="1" t="str">
        <f aca="false">IF($A863="","",IF(Q863="","",Q863+IF(O863="",0,O863)))</f>
        <v/>
      </c>
      <c r="T863" s="1" t="str">
        <f aca="false">IF($A863="","",IF(R863="","",R863-IF(S863="",0,S863)))</f>
        <v/>
      </c>
      <c r="U863" s="1" t="str">
        <f aca="false">IF($A863="","",IF(I863="","",I863-SUM(J863:P863)))</f>
        <v/>
      </c>
      <c r="V863" s="6" t="s">
        <v>4742</v>
      </c>
      <c r="W863" s="9" t="s">
        <v>528</v>
      </c>
      <c r="X863" s="9" t="s">
        <v>4743</v>
      </c>
      <c r="AC863" s="9" t="s">
        <v>4369</v>
      </c>
      <c r="AD863" s="9" t="s">
        <v>4370</v>
      </c>
      <c r="AE863" s="9" t="s">
        <v>4445</v>
      </c>
    </row>
    <row r="864" customFormat="false" ht="15" hidden="false" customHeight="true" outlineLevel="0" collapsed="false">
      <c r="A864" s="6" t="s">
        <v>3217</v>
      </c>
      <c r="B864" s="6" t="s">
        <v>485</v>
      </c>
      <c r="C864" s="6" t="s">
        <v>490</v>
      </c>
      <c r="D864" s="6" t="n">
        <v>6</v>
      </c>
      <c r="E864" s="9" t="s">
        <v>4616</v>
      </c>
      <c r="F864" s="6" t="n">
        <v>30000</v>
      </c>
      <c r="Q864" s="1" t="str">
        <f aca="false">IF($A864="","",IF(OR(F864="",I864=""),"",F864-I864))</f>
        <v/>
      </c>
      <c r="R864" s="1" t="str">
        <f aca="false">IF($A864="","",IF(Q864="","",Q864+IF(O864="",0,O864)))</f>
        <v/>
      </c>
      <c r="T864" s="1" t="str">
        <f aca="false">IF($A864="","",IF(R864="","",R864-IF(S864="",0,S864)))</f>
        <v/>
      </c>
      <c r="U864" s="1" t="str">
        <f aca="false">IF($A864="","",IF(I864="","",I864-SUM(J864:P864)))</f>
        <v/>
      </c>
      <c r="V864" s="6" t="s">
        <v>4742</v>
      </c>
      <c r="W864" s="9" t="s">
        <v>528</v>
      </c>
      <c r="X864" s="9" t="s">
        <v>4743</v>
      </c>
      <c r="AC864" s="9" t="s">
        <v>4369</v>
      </c>
      <c r="AD864" s="9" t="s">
        <v>4370</v>
      </c>
      <c r="AE864" s="9" t="s">
        <v>4445</v>
      </c>
    </row>
    <row r="865" customFormat="false" ht="15" hidden="false" customHeight="true" outlineLevel="0" collapsed="false">
      <c r="A865" s="6" t="s">
        <v>3220</v>
      </c>
      <c r="B865" s="6" t="s">
        <v>485</v>
      </c>
      <c r="C865" s="6" t="s">
        <v>490</v>
      </c>
      <c r="D865" s="6" t="n">
        <v>6</v>
      </c>
      <c r="E865" s="9" t="s">
        <v>4616</v>
      </c>
      <c r="F865" s="6" t="n">
        <v>28000</v>
      </c>
      <c r="Q865" s="1" t="str">
        <f aca="false">IF($A865="","",IF(OR(F865="",I865=""),"",F865-I865))</f>
        <v/>
      </c>
      <c r="R865" s="1" t="str">
        <f aca="false">IF($A865="","",IF(Q865="","",Q865+IF(O865="",0,O865)))</f>
        <v/>
      </c>
      <c r="T865" s="1" t="str">
        <f aca="false">IF($A865="","",IF(R865="","",R865-IF(S865="",0,S865)))</f>
        <v/>
      </c>
      <c r="U865" s="1" t="str">
        <f aca="false">IF($A865="","",IF(I865="","",I865-SUM(J865:P865)))</f>
        <v/>
      </c>
      <c r="V865" s="6" t="s">
        <v>4742</v>
      </c>
      <c r="W865" s="9" t="s">
        <v>528</v>
      </c>
      <c r="X865" s="9" t="s">
        <v>4743</v>
      </c>
      <c r="AC865" s="9" t="s">
        <v>4369</v>
      </c>
      <c r="AD865" s="9" t="s">
        <v>4370</v>
      </c>
      <c r="AE865" s="9" t="s">
        <v>4445</v>
      </c>
    </row>
    <row r="866" customFormat="false" ht="15" hidden="false" customHeight="true" outlineLevel="0" collapsed="false">
      <c r="A866" s="6" t="s">
        <v>3223</v>
      </c>
      <c r="B866" s="6" t="s">
        <v>485</v>
      </c>
      <c r="C866" s="6" t="s">
        <v>490</v>
      </c>
      <c r="D866" s="6" t="n">
        <v>6</v>
      </c>
      <c r="E866" s="9" t="s">
        <v>4616</v>
      </c>
      <c r="F866" s="6" t="n">
        <v>27000</v>
      </c>
      <c r="Q866" s="1" t="str">
        <f aca="false">IF($A866="","",IF(OR(F866="",I866=""),"",F866-I866))</f>
        <v/>
      </c>
      <c r="R866" s="1" t="str">
        <f aca="false">IF($A866="","",IF(Q866="","",Q866+IF(O866="",0,O866)))</f>
        <v/>
      </c>
      <c r="T866" s="1" t="str">
        <f aca="false">IF($A866="","",IF(R866="","",R866-IF(S866="",0,S866)))</f>
        <v/>
      </c>
      <c r="U866" s="1" t="str">
        <f aca="false">IF($A866="","",IF(I866="","",I866-SUM(J866:P866)))</f>
        <v/>
      </c>
      <c r="V866" s="6" t="s">
        <v>4742</v>
      </c>
      <c r="W866" s="9" t="s">
        <v>528</v>
      </c>
      <c r="X866" s="9" t="s">
        <v>4743</v>
      </c>
      <c r="AC866" s="9" t="s">
        <v>4369</v>
      </c>
      <c r="AD866" s="9" t="s">
        <v>4370</v>
      </c>
      <c r="AE866" s="9" t="s">
        <v>4445</v>
      </c>
    </row>
    <row r="867" customFormat="false" ht="15" hidden="false" customHeight="true" outlineLevel="0" collapsed="false">
      <c r="A867" s="6" t="s">
        <v>3226</v>
      </c>
      <c r="B867" s="6" t="s">
        <v>485</v>
      </c>
      <c r="C867" s="6" t="s">
        <v>490</v>
      </c>
      <c r="D867" s="6" t="n">
        <v>6</v>
      </c>
      <c r="E867" s="9" t="s">
        <v>4616</v>
      </c>
      <c r="F867" s="6" t="n">
        <v>49000</v>
      </c>
      <c r="Q867" s="1" t="str">
        <f aca="false">IF($A867="","",IF(OR(F867="",I867=""),"",F867-I867))</f>
        <v/>
      </c>
      <c r="R867" s="1" t="str">
        <f aca="false">IF($A867="","",IF(Q867="","",Q867+IF(O867="",0,O867)))</f>
        <v/>
      </c>
      <c r="T867" s="1" t="str">
        <f aca="false">IF($A867="","",IF(R867="","",R867-IF(S867="",0,S867)))</f>
        <v/>
      </c>
      <c r="U867" s="1" t="str">
        <f aca="false">IF($A867="","",IF(I867="","",I867-SUM(J867:P867)))</f>
        <v/>
      </c>
      <c r="V867" s="6" t="s">
        <v>4742</v>
      </c>
      <c r="W867" s="9" t="s">
        <v>528</v>
      </c>
      <c r="X867" s="9" t="s">
        <v>4743</v>
      </c>
      <c r="AC867" s="9" t="s">
        <v>4369</v>
      </c>
      <c r="AD867" s="9" t="s">
        <v>4370</v>
      </c>
      <c r="AE867" s="9" t="s">
        <v>4445</v>
      </c>
    </row>
    <row r="868" customFormat="false" ht="15" hidden="false" customHeight="true" outlineLevel="0" collapsed="false">
      <c r="A868" s="6" t="s">
        <v>3229</v>
      </c>
      <c r="B868" s="6" t="s">
        <v>485</v>
      </c>
      <c r="C868" s="6" t="s">
        <v>490</v>
      </c>
      <c r="D868" s="6" t="n">
        <v>6</v>
      </c>
      <c r="E868" s="9" t="s">
        <v>4616</v>
      </c>
      <c r="F868" s="6" t="n">
        <v>131000</v>
      </c>
      <c r="Q868" s="1" t="str">
        <f aca="false">IF($A868="","",IF(OR(F868="",I868=""),"",F868-I868))</f>
        <v/>
      </c>
      <c r="R868" s="1" t="str">
        <f aca="false">IF($A868="","",IF(Q868="","",Q868+IF(O868="",0,O868)))</f>
        <v/>
      </c>
      <c r="T868" s="1" t="str">
        <f aca="false">IF($A868="","",IF(R868="","",R868-IF(S868="",0,S868)))</f>
        <v/>
      </c>
      <c r="U868" s="1" t="str">
        <f aca="false">IF($A868="","",IF(I868="","",I868-SUM(J868:P868)))</f>
        <v/>
      </c>
      <c r="V868" s="6" t="s">
        <v>4742</v>
      </c>
      <c r="W868" s="9" t="s">
        <v>528</v>
      </c>
      <c r="X868" s="9" t="s">
        <v>4743</v>
      </c>
      <c r="AC868" s="9" t="s">
        <v>4369</v>
      </c>
      <c r="AD868" s="9" t="s">
        <v>4370</v>
      </c>
      <c r="AE868" s="9" t="s">
        <v>4408</v>
      </c>
    </row>
    <row r="869" customFormat="false" ht="15" hidden="false" customHeight="true" outlineLevel="0" collapsed="false">
      <c r="A869" s="6" t="s">
        <v>3232</v>
      </c>
      <c r="B869" s="6" t="s">
        <v>485</v>
      </c>
      <c r="C869" s="6" t="s">
        <v>490</v>
      </c>
      <c r="D869" s="6" t="n">
        <v>6</v>
      </c>
      <c r="E869" s="9" t="s">
        <v>4616</v>
      </c>
      <c r="F869" s="6" t="n">
        <v>102000</v>
      </c>
      <c r="Q869" s="1" t="str">
        <f aca="false">IF($A869="","",IF(OR(F869="",I869=""),"",F869-I869))</f>
        <v/>
      </c>
      <c r="R869" s="1" t="str">
        <f aca="false">IF($A869="","",IF(Q869="","",Q869+IF(O869="",0,O869)))</f>
        <v/>
      </c>
      <c r="T869" s="1" t="str">
        <f aca="false">IF($A869="","",IF(R869="","",R869-IF(S869="",0,S869)))</f>
        <v/>
      </c>
      <c r="U869" s="1" t="str">
        <f aca="false">IF($A869="","",IF(I869="","",I869-SUM(J869:P869)))</f>
        <v/>
      </c>
      <c r="V869" s="6" t="s">
        <v>4742</v>
      </c>
      <c r="W869" s="9" t="s">
        <v>528</v>
      </c>
      <c r="X869" s="9" t="s">
        <v>4743</v>
      </c>
      <c r="AC869" s="9" t="s">
        <v>4369</v>
      </c>
      <c r="AD869" s="9" t="s">
        <v>4370</v>
      </c>
      <c r="AE869" s="9" t="s">
        <v>4408</v>
      </c>
    </row>
    <row r="870" customFormat="false" ht="15" hidden="false" customHeight="true" outlineLevel="0" collapsed="false">
      <c r="A870" s="6" t="s">
        <v>3235</v>
      </c>
      <c r="B870" s="6" t="s">
        <v>485</v>
      </c>
      <c r="C870" s="6" t="s">
        <v>490</v>
      </c>
      <c r="D870" s="6" t="n">
        <v>6</v>
      </c>
      <c r="E870" s="9" t="s">
        <v>4616</v>
      </c>
      <c r="F870" s="6" t="n">
        <v>90000</v>
      </c>
      <c r="Q870" s="1" t="str">
        <f aca="false">IF($A870="","",IF(OR(F870="",I870=""),"",F870-I870))</f>
        <v/>
      </c>
      <c r="R870" s="1" t="str">
        <f aca="false">IF($A870="","",IF(Q870="","",Q870+IF(O870="",0,O870)))</f>
        <v/>
      </c>
      <c r="T870" s="1" t="str">
        <f aca="false">IF($A870="","",IF(R870="","",R870-IF(S870="",0,S870)))</f>
        <v/>
      </c>
      <c r="U870" s="1" t="str">
        <f aca="false">IF($A870="","",IF(I870="","",I870-SUM(J870:P870)))</f>
        <v/>
      </c>
      <c r="V870" s="6" t="s">
        <v>4742</v>
      </c>
      <c r="W870" s="9" t="s">
        <v>528</v>
      </c>
      <c r="X870" s="9" t="s">
        <v>4743</v>
      </c>
      <c r="AC870" s="9" t="s">
        <v>4369</v>
      </c>
      <c r="AD870" s="9" t="s">
        <v>4370</v>
      </c>
      <c r="AE870" s="9" t="s">
        <v>4408</v>
      </c>
    </row>
    <row r="871" customFormat="false" ht="15" hidden="false" customHeight="true" outlineLevel="0" collapsed="false">
      <c r="A871" s="6" t="s">
        <v>3238</v>
      </c>
      <c r="B871" s="6" t="s">
        <v>485</v>
      </c>
      <c r="C871" s="6" t="s">
        <v>490</v>
      </c>
      <c r="D871" s="6" t="n">
        <v>6</v>
      </c>
      <c r="E871" s="9" t="s">
        <v>4616</v>
      </c>
      <c r="F871" s="6" t="n">
        <v>69000</v>
      </c>
      <c r="Q871" s="1" t="str">
        <f aca="false">IF($A871="","",IF(OR(F871="",I871=""),"",F871-I871))</f>
        <v/>
      </c>
      <c r="R871" s="1" t="str">
        <f aca="false">IF($A871="","",IF(Q871="","",Q871+IF(O871="",0,O871)))</f>
        <v/>
      </c>
      <c r="T871" s="1" t="str">
        <f aca="false">IF($A871="","",IF(R871="","",R871-IF(S871="",0,S871)))</f>
        <v/>
      </c>
      <c r="U871" s="1" t="str">
        <f aca="false">IF($A871="","",IF(I871="","",I871-SUM(J871:P871)))</f>
        <v/>
      </c>
      <c r="V871" s="6" t="s">
        <v>4742</v>
      </c>
      <c r="W871" s="9" t="s">
        <v>528</v>
      </c>
      <c r="X871" s="9" t="s">
        <v>4743</v>
      </c>
      <c r="AC871" s="9" t="s">
        <v>4369</v>
      </c>
      <c r="AD871" s="9" t="s">
        <v>4370</v>
      </c>
      <c r="AE871" s="9" t="s">
        <v>4408</v>
      </c>
    </row>
    <row r="872" customFormat="false" ht="15" hidden="false" customHeight="true" outlineLevel="0" collapsed="false">
      <c r="A872" s="6" t="s">
        <v>3241</v>
      </c>
      <c r="B872" s="6" t="s">
        <v>485</v>
      </c>
      <c r="C872" s="6" t="s">
        <v>490</v>
      </c>
      <c r="D872" s="6" t="n">
        <v>6</v>
      </c>
      <c r="E872" s="9" t="s">
        <v>4616</v>
      </c>
      <c r="F872" s="6" t="n">
        <v>42000</v>
      </c>
      <c r="Q872" s="1" t="str">
        <f aca="false">IF($A872="","",IF(OR(F872="",I872=""),"",F872-I872))</f>
        <v/>
      </c>
      <c r="R872" s="1" t="str">
        <f aca="false">IF($A872="","",IF(Q872="","",Q872+IF(O872="",0,O872)))</f>
        <v/>
      </c>
      <c r="T872" s="1" t="str">
        <f aca="false">IF($A872="","",IF(R872="","",R872-IF(S872="",0,S872)))</f>
        <v/>
      </c>
      <c r="U872" s="1" t="str">
        <f aca="false">IF($A872="","",IF(I872="","",I872-SUM(J872:P872)))</f>
        <v/>
      </c>
      <c r="V872" s="6" t="s">
        <v>4742</v>
      </c>
      <c r="W872" s="9" t="s">
        <v>528</v>
      </c>
      <c r="X872" s="9" t="s">
        <v>4743</v>
      </c>
      <c r="AC872" s="9" t="s">
        <v>4369</v>
      </c>
      <c r="AD872" s="9" t="s">
        <v>4370</v>
      </c>
      <c r="AE872" s="9" t="s">
        <v>4445</v>
      </c>
    </row>
    <row r="873" customFormat="false" ht="15" hidden="false" customHeight="true" outlineLevel="0" collapsed="false">
      <c r="A873" s="6" t="s">
        <v>3244</v>
      </c>
      <c r="B873" s="6" t="s">
        <v>485</v>
      </c>
      <c r="C873" s="6" t="s">
        <v>490</v>
      </c>
      <c r="D873" s="6" t="n">
        <v>6</v>
      </c>
      <c r="E873" s="9" t="s">
        <v>4616</v>
      </c>
      <c r="F873" s="6" t="n">
        <v>38000</v>
      </c>
      <c r="Q873" s="1" t="str">
        <f aca="false">IF($A873="","",IF(OR(F873="",I873=""),"",F873-I873))</f>
        <v/>
      </c>
      <c r="R873" s="1" t="str">
        <f aca="false">IF($A873="","",IF(Q873="","",Q873+IF(O873="",0,O873)))</f>
        <v/>
      </c>
      <c r="T873" s="1" t="str">
        <f aca="false">IF($A873="","",IF(R873="","",R873-IF(S873="",0,S873)))</f>
        <v/>
      </c>
      <c r="U873" s="1" t="str">
        <f aca="false">IF($A873="","",IF(I873="","",I873-SUM(J873:P873)))</f>
        <v/>
      </c>
      <c r="V873" s="6" t="s">
        <v>4742</v>
      </c>
      <c r="W873" s="9" t="s">
        <v>528</v>
      </c>
      <c r="X873" s="9" t="s">
        <v>4743</v>
      </c>
      <c r="AC873" s="9" t="s">
        <v>4369</v>
      </c>
      <c r="AD873" s="9" t="s">
        <v>4370</v>
      </c>
      <c r="AE873" s="9" t="s">
        <v>4445</v>
      </c>
    </row>
    <row r="874" customFormat="false" ht="15" hidden="false" customHeight="true" outlineLevel="0" collapsed="false">
      <c r="A874" s="6" t="s">
        <v>3247</v>
      </c>
      <c r="B874" s="6" t="s">
        <v>485</v>
      </c>
      <c r="C874" s="6" t="s">
        <v>490</v>
      </c>
      <c r="D874" s="6" t="n">
        <v>6</v>
      </c>
      <c r="E874" s="9" t="s">
        <v>4616</v>
      </c>
      <c r="F874" s="6" t="n">
        <v>21000</v>
      </c>
      <c r="Q874" s="1" t="str">
        <f aca="false">IF($A874="","",IF(OR(F874="",I874=""),"",F874-I874))</f>
        <v/>
      </c>
      <c r="R874" s="1" t="str">
        <f aca="false">IF($A874="","",IF(Q874="","",Q874+IF(O874="",0,O874)))</f>
        <v/>
      </c>
      <c r="T874" s="1" t="str">
        <f aca="false">IF($A874="","",IF(R874="","",R874-IF(S874="",0,S874)))</f>
        <v/>
      </c>
      <c r="U874" s="1" t="str">
        <f aca="false">IF($A874="","",IF(I874="","",I874-SUM(J874:P874)))</f>
        <v/>
      </c>
      <c r="V874" s="6" t="s">
        <v>4742</v>
      </c>
      <c r="W874" s="9" t="s">
        <v>528</v>
      </c>
      <c r="X874" s="9" t="s">
        <v>4743</v>
      </c>
      <c r="AC874" s="9" t="s">
        <v>4369</v>
      </c>
      <c r="AD874" s="9" t="s">
        <v>4370</v>
      </c>
      <c r="AE874" s="9" t="s">
        <v>4445</v>
      </c>
    </row>
    <row r="875" customFormat="false" ht="15" hidden="false" customHeight="true" outlineLevel="0" collapsed="false">
      <c r="A875" s="6" t="s">
        <v>3250</v>
      </c>
      <c r="B875" s="6" t="s">
        <v>485</v>
      </c>
      <c r="C875" s="6" t="s">
        <v>490</v>
      </c>
      <c r="D875" s="6" t="n">
        <v>6</v>
      </c>
      <c r="E875" s="9" t="s">
        <v>4616</v>
      </c>
      <c r="F875" s="6" t="n">
        <v>141000</v>
      </c>
      <c r="Q875" s="1" t="str">
        <f aca="false">IF($A875="","",IF(OR(F875="",I875=""),"",F875-I875))</f>
        <v/>
      </c>
      <c r="R875" s="1" t="str">
        <f aca="false">IF($A875="","",IF(Q875="","",Q875+IF(O875="",0,O875)))</f>
        <v/>
      </c>
      <c r="T875" s="1" t="str">
        <f aca="false">IF($A875="","",IF(R875="","",R875-IF(S875="",0,S875)))</f>
        <v/>
      </c>
      <c r="U875" s="1" t="str">
        <f aca="false">IF($A875="","",IF(I875="","",I875-SUM(J875:P875)))</f>
        <v/>
      </c>
      <c r="V875" s="6" t="s">
        <v>4742</v>
      </c>
      <c r="W875" s="9" t="s">
        <v>528</v>
      </c>
      <c r="X875" s="9" t="s">
        <v>4743</v>
      </c>
      <c r="AC875" s="9" t="s">
        <v>4369</v>
      </c>
      <c r="AD875" s="9" t="s">
        <v>4370</v>
      </c>
      <c r="AE875" s="9" t="s">
        <v>4408</v>
      </c>
    </row>
    <row r="876" customFormat="false" ht="15" hidden="false" customHeight="true" outlineLevel="0" collapsed="false">
      <c r="A876" s="6" t="s">
        <v>3253</v>
      </c>
      <c r="B876" s="6" t="s">
        <v>485</v>
      </c>
      <c r="C876" s="6" t="s">
        <v>490</v>
      </c>
      <c r="D876" s="6" t="n">
        <v>6</v>
      </c>
      <c r="E876" s="9" t="s">
        <v>4616</v>
      </c>
      <c r="F876" s="6" t="n">
        <v>111000</v>
      </c>
      <c r="Q876" s="1" t="str">
        <f aca="false">IF($A876="","",IF(OR(F876="",I876=""),"",F876-I876))</f>
        <v/>
      </c>
      <c r="R876" s="1" t="str">
        <f aca="false">IF($A876="","",IF(Q876="","",Q876+IF(O876="",0,O876)))</f>
        <v/>
      </c>
      <c r="T876" s="1" t="str">
        <f aca="false">IF($A876="","",IF(R876="","",R876-IF(S876="",0,S876)))</f>
        <v/>
      </c>
      <c r="U876" s="1" t="str">
        <f aca="false">IF($A876="","",IF(I876="","",I876-SUM(J876:P876)))</f>
        <v/>
      </c>
      <c r="V876" s="6" t="s">
        <v>4742</v>
      </c>
      <c r="W876" s="9" t="s">
        <v>528</v>
      </c>
      <c r="X876" s="9" t="s">
        <v>4743</v>
      </c>
      <c r="AC876" s="9" t="s">
        <v>4369</v>
      </c>
      <c r="AD876" s="9" t="s">
        <v>4370</v>
      </c>
      <c r="AE876" s="9" t="s">
        <v>4408</v>
      </c>
    </row>
    <row r="877" customFormat="false" ht="15" hidden="false" customHeight="true" outlineLevel="0" collapsed="false">
      <c r="A877" s="6" t="s">
        <v>3256</v>
      </c>
      <c r="B877" s="6" t="s">
        <v>485</v>
      </c>
      <c r="C877" s="6" t="s">
        <v>490</v>
      </c>
      <c r="D877" s="6" t="n">
        <v>6</v>
      </c>
      <c r="E877" s="9" t="s">
        <v>4616</v>
      </c>
      <c r="F877" s="6" t="n">
        <v>73000</v>
      </c>
      <c r="Q877" s="1" t="str">
        <f aca="false">IF($A877="","",IF(OR(F877="",I877=""),"",F877-I877))</f>
        <v/>
      </c>
      <c r="R877" s="1" t="str">
        <f aca="false">IF($A877="","",IF(Q877="","",Q877+IF(O877="",0,O877)))</f>
        <v/>
      </c>
      <c r="T877" s="1" t="str">
        <f aca="false">IF($A877="","",IF(R877="","",R877-IF(S877="",0,S877)))</f>
        <v/>
      </c>
      <c r="U877" s="1" t="str">
        <f aca="false">IF($A877="","",IF(I877="","",I877-SUM(J877:P877)))</f>
        <v/>
      </c>
      <c r="V877" s="6" t="s">
        <v>4742</v>
      </c>
      <c r="W877" s="9" t="s">
        <v>528</v>
      </c>
      <c r="X877" s="9" t="s">
        <v>4743</v>
      </c>
      <c r="AC877" s="9" t="s">
        <v>4369</v>
      </c>
      <c r="AD877" s="9" t="s">
        <v>4370</v>
      </c>
      <c r="AE877" s="9" t="s">
        <v>4408</v>
      </c>
    </row>
    <row r="878" customFormat="false" ht="15" hidden="false" customHeight="true" outlineLevel="0" collapsed="false">
      <c r="A878" s="6" t="s">
        <v>3259</v>
      </c>
      <c r="B878" s="6" t="s">
        <v>485</v>
      </c>
      <c r="C878" s="6" t="s">
        <v>490</v>
      </c>
      <c r="D878" s="6" t="n">
        <v>6</v>
      </c>
      <c r="E878" s="9" t="s">
        <v>4616</v>
      </c>
      <c r="F878" s="6" t="n">
        <v>55000</v>
      </c>
      <c r="Q878" s="1" t="str">
        <f aca="false">IF($A878="","",IF(OR(F878="",I878=""),"",F878-I878))</f>
        <v/>
      </c>
      <c r="R878" s="1" t="str">
        <f aca="false">IF($A878="","",IF(Q878="","",Q878+IF(O878="",0,O878)))</f>
        <v/>
      </c>
      <c r="T878" s="1" t="str">
        <f aca="false">IF($A878="","",IF(R878="","",R878-IF(S878="",0,S878)))</f>
        <v/>
      </c>
      <c r="U878" s="1" t="str">
        <f aca="false">IF($A878="","",IF(I878="","",I878-SUM(J878:P878)))</f>
        <v/>
      </c>
      <c r="V878" s="6" t="s">
        <v>4742</v>
      </c>
      <c r="W878" s="9" t="s">
        <v>528</v>
      </c>
      <c r="X878" s="9" t="s">
        <v>4743</v>
      </c>
      <c r="AC878" s="9" t="s">
        <v>4369</v>
      </c>
      <c r="AD878" s="9" t="s">
        <v>4370</v>
      </c>
      <c r="AE878" s="9" t="s">
        <v>4408</v>
      </c>
    </row>
    <row r="879" customFormat="false" ht="15" hidden="false" customHeight="true" outlineLevel="0" collapsed="false">
      <c r="A879" s="6" t="s">
        <v>3262</v>
      </c>
      <c r="B879" s="6" t="s">
        <v>485</v>
      </c>
      <c r="C879" s="6" t="s">
        <v>490</v>
      </c>
      <c r="D879" s="6" t="n">
        <v>6</v>
      </c>
      <c r="E879" s="9" t="s">
        <v>4616</v>
      </c>
      <c r="F879" s="6" t="n">
        <v>46000</v>
      </c>
      <c r="Q879" s="1" t="str">
        <f aca="false">IF($A879="","",IF(OR(F879="",I879=""),"",F879-I879))</f>
        <v/>
      </c>
      <c r="R879" s="1" t="str">
        <f aca="false">IF($A879="","",IF(Q879="","",Q879+IF(O879="",0,O879)))</f>
        <v/>
      </c>
      <c r="T879" s="1" t="str">
        <f aca="false">IF($A879="","",IF(R879="","",R879-IF(S879="",0,S879)))</f>
        <v/>
      </c>
      <c r="U879" s="1" t="str">
        <f aca="false">IF($A879="","",IF(I879="","",I879-SUM(J879:P879)))</f>
        <v/>
      </c>
      <c r="V879" s="6" t="s">
        <v>4742</v>
      </c>
      <c r="W879" s="9" t="s">
        <v>528</v>
      </c>
      <c r="X879" s="9" t="s">
        <v>4743</v>
      </c>
      <c r="AC879" s="9" t="s">
        <v>4369</v>
      </c>
      <c r="AD879" s="9" t="s">
        <v>4370</v>
      </c>
      <c r="AE879" s="9" t="s">
        <v>4445</v>
      </c>
    </row>
    <row r="880" customFormat="false" ht="15" hidden="false" customHeight="true" outlineLevel="0" collapsed="false">
      <c r="A880" s="6" t="s">
        <v>3265</v>
      </c>
      <c r="B880" s="6" t="s">
        <v>485</v>
      </c>
      <c r="C880" s="6" t="s">
        <v>490</v>
      </c>
      <c r="D880" s="6" t="n">
        <v>6</v>
      </c>
      <c r="E880" s="9" t="s">
        <v>4616</v>
      </c>
      <c r="F880" s="6" t="n">
        <v>47000</v>
      </c>
      <c r="Q880" s="1" t="str">
        <f aca="false">IF($A880="","",IF(OR(F880="",I880=""),"",F880-I880))</f>
        <v/>
      </c>
      <c r="R880" s="1" t="str">
        <f aca="false">IF($A880="","",IF(Q880="","",Q880+IF(O880="",0,O880)))</f>
        <v/>
      </c>
      <c r="T880" s="1" t="str">
        <f aca="false">IF($A880="","",IF(R880="","",R880-IF(S880="",0,S880)))</f>
        <v/>
      </c>
      <c r="U880" s="1" t="str">
        <f aca="false">IF($A880="","",IF(I880="","",I880-SUM(J880:P880)))</f>
        <v/>
      </c>
      <c r="V880" s="6" t="s">
        <v>4742</v>
      </c>
      <c r="W880" s="9" t="s">
        <v>528</v>
      </c>
      <c r="X880" s="9" t="s">
        <v>4743</v>
      </c>
      <c r="AC880" s="9" t="s">
        <v>4369</v>
      </c>
      <c r="AD880" s="9" t="s">
        <v>4370</v>
      </c>
      <c r="AE880" s="9" t="s">
        <v>4445</v>
      </c>
    </row>
    <row r="881" customFormat="false" ht="15" hidden="false" customHeight="true" outlineLevel="0" collapsed="false">
      <c r="A881" s="6" t="s">
        <v>3268</v>
      </c>
      <c r="B881" s="6" t="s">
        <v>485</v>
      </c>
      <c r="C881" s="6" t="s">
        <v>490</v>
      </c>
      <c r="D881" s="6" t="n">
        <v>6</v>
      </c>
      <c r="E881" s="9" t="s">
        <v>4616</v>
      </c>
      <c r="F881" s="6" t="n">
        <v>56000</v>
      </c>
      <c r="Q881" s="1" t="str">
        <f aca="false">IF($A881="","",IF(OR(F881="",I881=""),"",F881-I881))</f>
        <v/>
      </c>
      <c r="R881" s="1" t="str">
        <f aca="false">IF($A881="","",IF(Q881="","",Q881+IF(O881="",0,O881)))</f>
        <v/>
      </c>
      <c r="T881" s="1" t="str">
        <f aca="false">IF($A881="","",IF(R881="","",R881-IF(S881="",0,S881)))</f>
        <v/>
      </c>
      <c r="U881" s="1" t="str">
        <f aca="false">IF($A881="","",IF(I881="","",I881-SUM(J881:P881)))</f>
        <v/>
      </c>
      <c r="V881" s="6" t="s">
        <v>4742</v>
      </c>
      <c r="W881" s="9" t="s">
        <v>528</v>
      </c>
      <c r="X881" s="9" t="s">
        <v>4743</v>
      </c>
      <c r="AC881" s="9" t="s">
        <v>4369</v>
      </c>
      <c r="AD881" s="9" t="s">
        <v>4370</v>
      </c>
      <c r="AE881" s="9" t="s">
        <v>4408</v>
      </c>
    </row>
    <row r="882" customFormat="false" ht="15" hidden="false" customHeight="true" outlineLevel="0" collapsed="false">
      <c r="A882" s="6" t="s">
        <v>3271</v>
      </c>
      <c r="B882" s="6" t="s">
        <v>485</v>
      </c>
      <c r="C882" s="6" t="s">
        <v>490</v>
      </c>
      <c r="D882" s="6" t="n">
        <v>6</v>
      </c>
      <c r="E882" s="9" t="s">
        <v>4616</v>
      </c>
      <c r="F882" s="6" t="n">
        <v>43000</v>
      </c>
      <c r="Q882" s="1" t="str">
        <f aca="false">IF($A882="","",IF(OR(F882="",I882=""),"",F882-I882))</f>
        <v/>
      </c>
      <c r="R882" s="1" t="str">
        <f aca="false">IF($A882="","",IF(Q882="","",Q882+IF(O882="",0,O882)))</f>
        <v/>
      </c>
      <c r="T882" s="1" t="str">
        <f aca="false">IF($A882="","",IF(R882="","",R882-IF(S882="",0,S882)))</f>
        <v/>
      </c>
      <c r="U882" s="1" t="str">
        <f aca="false">IF($A882="","",IF(I882="","",I882-SUM(J882:P882)))</f>
        <v/>
      </c>
      <c r="V882" s="6" t="s">
        <v>4742</v>
      </c>
      <c r="W882" s="9" t="s">
        <v>528</v>
      </c>
      <c r="X882" s="9" t="s">
        <v>4743</v>
      </c>
      <c r="AC882" s="9" t="s">
        <v>4369</v>
      </c>
      <c r="AD882" s="9" t="s">
        <v>4370</v>
      </c>
      <c r="AE882" s="9" t="s">
        <v>4445</v>
      </c>
    </row>
    <row r="883" customFormat="false" ht="15" hidden="false" customHeight="true" outlineLevel="0" collapsed="false">
      <c r="A883" s="6" t="s">
        <v>3274</v>
      </c>
      <c r="B883" s="6" t="s">
        <v>485</v>
      </c>
      <c r="C883" s="6" t="s">
        <v>490</v>
      </c>
      <c r="D883" s="6" t="n">
        <v>6</v>
      </c>
      <c r="E883" s="9" t="s">
        <v>4616</v>
      </c>
      <c r="F883" s="6" t="n">
        <v>35000</v>
      </c>
      <c r="Q883" s="1" t="str">
        <f aca="false">IF($A883="","",IF(OR(F883="",I883=""),"",F883-I883))</f>
        <v/>
      </c>
      <c r="R883" s="1" t="str">
        <f aca="false">IF($A883="","",IF(Q883="","",Q883+IF(O883="",0,O883)))</f>
        <v/>
      </c>
      <c r="T883" s="1" t="str">
        <f aca="false">IF($A883="","",IF(R883="","",R883-IF(S883="",0,S883)))</f>
        <v/>
      </c>
      <c r="U883" s="1" t="str">
        <f aca="false">IF($A883="","",IF(I883="","",I883-SUM(J883:P883)))</f>
        <v/>
      </c>
      <c r="V883" s="6" t="s">
        <v>4742</v>
      </c>
      <c r="W883" s="9" t="s">
        <v>528</v>
      </c>
      <c r="X883" s="9" t="s">
        <v>4743</v>
      </c>
      <c r="AC883" s="9" t="s">
        <v>4369</v>
      </c>
      <c r="AD883" s="9" t="s">
        <v>4370</v>
      </c>
      <c r="AE883" s="9" t="s">
        <v>4445</v>
      </c>
    </row>
    <row r="884" customFormat="false" ht="15" hidden="false" customHeight="true" outlineLevel="0" collapsed="false">
      <c r="A884" s="6" t="s">
        <v>3277</v>
      </c>
      <c r="B884" s="6" t="s">
        <v>485</v>
      </c>
      <c r="C884" s="6" t="s">
        <v>490</v>
      </c>
      <c r="D884" s="6" t="n">
        <v>6</v>
      </c>
      <c r="E884" s="9" t="s">
        <v>4616</v>
      </c>
      <c r="F884" s="6" t="n">
        <v>42000</v>
      </c>
      <c r="Q884" s="1" t="str">
        <f aca="false">IF($A884="","",IF(OR(F884="",I884=""),"",F884-I884))</f>
        <v/>
      </c>
      <c r="R884" s="1" t="str">
        <f aca="false">IF($A884="","",IF(Q884="","",Q884+IF(O884="",0,O884)))</f>
        <v/>
      </c>
      <c r="T884" s="1" t="str">
        <f aca="false">IF($A884="","",IF(R884="","",R884-IF(S884="",0,S884)))</f>
        <v/>
      </c>
      <c r="U884" s="1" t="str">
        <f aca="false">IF($A884="","",IF(I884="","",I884-SUM(J884:P884)))</f>
        <v/>
      </c>
      <c r="V884" s="6" t="s">
        <v>4742</v>
      </c>
      <c r="W884" s="9" t="s">
        <v>528</v>
      </c>
      <c r="X884" s="9" t="s">
        <v>4743</v>
      </c>
      <c r="AC884" s="9" t="s">
        <v>4369</v>
      </c>
      <c r="AD884" s="9" t="s">
        <v>4370</v>
      </c>
      <c r="AE884" s="9" t="s">
        <v>4445</v>
      </c>
    </row>
    <row r="885" customFormat="false" ht="15" hidden="false" customHeight="true" outlineLevel="0" collapsed="false">
      <c r="A885" s="6" t="s">
        <v>3280</v>
      </c>
      <c r="B885" s="6" t="s">
        <v>485</v>
      </c>
      <c r="C885" s="6" t="s">
        <v>490</v>
      </c>
      <c r="D885" s="6" t="n">
        <v>6</v>
      </c>
      <c r="E885" s="9" t="s">
        <v>4616</v>
      </c>
      <c r="F885" s="6" t="n">
        <v>45000</v>
      </c>
      <c r="Q885" s="1" t="str">
        <f aca="false">IF($A885="","",IF(OR(F885="",I885=""),"",F885-I885))</f>
        <v/>
      </c>
      <c r="R885" s="1" t="str">
        <f aca="false">IF($A885="","",IF(Q885="","",Q885+IF(O885="",0,O885)))</f>
        <v/>
      </c>
      <c r="T885" s="1" t="str">
        <f aca="false">IF($A885="","",IF(R885="","",R885-IF(S885="",0,S885)))</f>
        <v/>
      </c>
      <c r="U885" s="1" t="str">
        <f aca="false">IF($A885="","",IF(I885="","",I885-SUM(J885:P885)))</f>
        <v/>
      </c>
      <c r="V885" s="6" t="s">
        <v>4742</v>
      </c>
      <c r="W885" s="9" t="s">
        <v>528</v>
      </c>
      <c r="X885" s="9" t="s">
        <v>4743</v>
      </c>
      <c r="AC885" s="9" t="s">
        <v>4369</v>
      </c>
      <c r="AD885" s="9" t="s">
        <v>4370</v>
      </c>
      <c r="AE885" s="9" t="s">
        <v>4445</v>
      </c>
    </row>
    <row r="886" customFormat="false" ht="15" hidden="false" customHeight="true" outlineLevel="0" collapsed="false">
      <c r="A886" s="6" t="s">
        <v>3283</v>
      </c>
      <c r="B886" s="6" t="s">
        <v>485</v>
      </c>
      <c r="C886" s="6" t="s">
        <v>490</v>
      </c>
      <c r="D886" s="6" t="n">
        <v>6</v>
      </c>
      <c r="E886" s="9" t="s">
        <v>4616</v>
      </c>
      <c r="F886" s="6" t="n">
        <v>31000</v>
      </c>
      <c r="Q886" s="1" t="str">
        <f aca="false">IF($A886="","",IF(OR(F886="",I886=""),"",F886-I886))</f>
        <v/>
      </c>
      <c r="R886" s="1" t="str">
        <f aca="false">IF($A886="","",IF(Q886="","",Q886+IF(O886="",0,O886)))</f>
        <v/>
      </c>
      <c r="T886" s="1" t="str">
        <f aca="false">IF($A886="","",IF(R886="","",R886-IF(S886="",0,S886)))</f>
        <v/>
      </c>
      <c r="U886" s="1" t="str">
        <f aca="false">IF($A886="","",IF(I886="","",I886-SUM(J886:P886)))</f>
        <v/>
      </c>
      <c r="V886" s="6" t="s">
        <v>4742</v>
      </c>
      <c r="W886" s="9" t="s">
        <v>528</v>
      </c>
      <c r="X886" s="9" t="s">
        <v>4743</v>
      </c>
      <c r="AC886" s="9" t="s">
        <v>4369</v>
      </c>
      <c r="AD886" s="9" t="s">
        <v>4370</v>
      </c>
      <c r="AE886" s="9" t="s">
        <v>4445</v>
      </c>
    </row>
    <row r="887" customFormat="false" ht="15" hidden="false" customHeight="true" outlineLevel="0" collapsed="false">
      <c r="A887" s="6" t="s">
        <v>3286</v>
      </c>
      <c r="B887" s="6" t="s">
        <v>485</v>
      </c>
      <c r="C887" s="6" t="s">
        <v>490</v>
      </c>
      <c r="D887" s="6" t="n">
        <v>6</v>
      </c>
      <c r="E887" s="9" t="s">
        <v>4616</v>
      </c>
      <c r="F887" s="6" t="n">
        <v>93000</v>
      </c>
      <c r="Q887" s="1" t="str">
        <f aca="false">IF($A887="","",IF(OR(F887="",I887=""),"",F887-I887))</f>
        <v/>
      </c>
      <c r="R887" s="1" t="str">
        <f aca="false">IF($A887="","",IF(Q887="","",Q887+IF(O887="",0,O887)))</f>
        <v/>
      </c>
      <c r="T887" s="1" t="str">
        <f aca="false">IF($A887="","",IF(R887="","",R887-IF(S887="",0,S887)))</f>
        <v/>
      </c>
      <c r="U887" s="1" t="str">
        <f aca="false">IF($A887="","",IF(I887="","",I887-SUM(J887:P887)))</f>
        <v/>
      </c>
      <c r="V887" s="6" t="s">
        <v>4742</v>
      </c>
      <c r="W887" s="9" t="s">
        <v>528</v>
      </c>
      <c r="X887" s="9" t="s">
        <v>4743</v>
      </c>
      <c r="AC887" s="9" t="s">
        <v>4369</v>
      </c>
      <c r="AD887" s="9" t="s">
        <v>4370</v>
      </c>
      <c r="AE887" s="9" t="s">
        <v>4408</v>
      </c>
    </row>
    <row r="888" customFormat="false" ht="15" hidden="false" customHeight="true" outlineLevel="0" collapsed="false">
      <c r="A888" s="6" t="s">
        <v>3289</v>
      </c>
      <c r="B888" s="6" t="s">
        <v>485</v>
      </c>
      <c r="C888" s="6" t="s">
        <v>490</v>
      </c>
      <c r="D888" s="6" t="n">
        <v>6</v>
      </c>
      <c r="E888" s="9" t="s">
        <v>4616</v>
      </c>
      <c r="F888" s="6" t="n">
        <v>42000</v>
      </c>
      <c r="Q888" s="1" t="str">
        <f aca="false">IF($A888="","",IF(OR(F888="",I888=""),"",F888-I888))</f>
        <v/>
      </c>
      <c r="R888" s="1" t="str">
        <f aca="false">IF($A888="","",IF(Q888="","",Q888+IF(O888="",0,O888)))</f>
        <v/>
      </c>
      <c r="T888" s="1" t="str">
        <f aca="false">IF($A888="","",IF(R888="","",R888-IF(S888="",0,S888)))</f>
        <v/>
      </c>
      <c r="U888" s="1" t="str">
        <f aca="false">IF($A888="","",IF(I888="","",I888-SUM(J888:P888)))</f>
        <v/>
      </c>
      <c r="V888" s="6" t="s">
        <v>4742</v>
      </c>
      <c r="W888" s="9" t="s">
        <v>528</v>
      </c>
      <c r="X888" s="9" t="s">
        <v>4743</v>
      </c>
      <c r="AC888" s="9" t="s">
        <v>4369</v>
      </c>
      <c r="AD888" s="9" t="s">
        <v>4370</v>
      </c>
      <c r="AE888" s="9" t="s">
        <v>4445</v>
      </c>
    </row>
    <row r="889" customFormat="false" ht="15" hidden="false" customHeight="true" outlineLevel="0" collapsed="false">
      <c r="A889" s="6" t="s">
        <v>3292</v>
      </c>
      <c r="B889" s="6" t="s">
        <v>485</v>
      </c>
      <c r="C889" s="6" t="s">
        <v>490</v>
      </c>
      <c r="D889" s="6" t="n">
        <v>6</v>
      </c>
      <c r="E889" s="9" t="s">
        <v>4616</v>
      </c>
      <c r="F889" s="6" t="n">
        <v>28000</v>
      </c>
      <c r="Q889" s="1" t="str">
        <f aca="false">IF($A889="","",IF(OR(F889="",I889=""),"",F889-I889))</f>
        <v/>
      </c>
      <c r="R889" s="1" t="str">
        <f aca="false">IF($A889="","",IF(Q889="","",Q889+IF(O889="",0,O889)))</f>
        <v/>
      </c>
      <c r="T889" s="1" t="str">
        <f aca="false">IF($A889="","",IF(R889="","",R889-IF(S889="",0,S889)))</f>
        <v/>
      </c>
      <c r="U889" s="1" t="str">
        <f aca="false">IF($A889="","",IF(I889="","",I889-SUM(J889:P889)))</f>
        <v/>
      </c>
      <c r="V889" s="6" t="s">
        <v>4742</v>
      </c>
      <c r="W889" s="9" t="s">
        <v>528</v>
      </c>
      <c r="X889" s="9" t="s">
        <v>4743</v>
      </c>
      <c r="AC889" s="9" t="s">
        <v>4369</v>
      </c>
      <c r="AD889" s="9" t="s">
        <v>4370</v>
      </c>
      <c r="AE889" s="9" t="s">
        <v>4445</v>
      </c>
    </row>
    <row r="890" customFormat="false" ht="15" hidden="false" customHeight="true" outlineLevel="0" collapsed="false">
      <c r="A890" s="6" t="s">
        <v>3295</v>
      </c>
      <c r="B890" s="6" t="s">
        <v>485</v>
      </c>
      <c r="C890" s="6" t="s">
        <v>490</v>
      </c>
      <c r="D890" s="6" t="n">
        <v>6</v>
      </c>
      <c r="E890" s="9" t="s">
        <v>4616</v>
      </c>
      <c r="F890" s="6" t="n">
        <v>28000</v>
      </c>
      <c r="Q890" s="1" t="str">
        <f aca="false">IF($A890="","",IF(OR(F890="",I890=""),"",F890-I890))</f>
        <v/>
      </c>
      <c r="R890" s="1" t="str">
        <f aca="false">IF($A890="","",IF(Q890="","",Q890+IF(O890="",0,O890)))</f>
        <v/>
      </c>
      <c r="T890" s="1" t="str">
        <f aca="false">IF($A890="","",IF(R890="","",R890-IF(S890="",0,S890)))</f>
        <v/>
      </c>
      <c r="U890" s="1" t="str">
        <f aca="false">IF($A890="","",IF(I890="","",I890-SUM(J890:P890)))</f>
        <v/>
      </c>
      <c r="V890" s="6" t="s">
        <v>4742</v>
      </c>
      <c r="W890" s="9" t="s">
        <v>528</v>
      </c>
      <c r="X890" s="9" t="s">
        <v>4743</v>
      </c>
      <c r="AC890" s="9" t="s">
        <v>4369</v>
      </c>
      <c r="AD890" s="9" t="s">
        <v>4370</v>
      </c>
      <c r="AE890" s="9" t="s">
        <v>4445</v>
      </c>
    </row>
    <row r="891" customFormat="false" ht="15" hidden="false" customHeight="true" outlineLevel="0" collapsed="false">
      <c r="A891" s="6" t="s">
        <v>3298</v>
      </c>
      <c r="B891" s="6" t="s">
        <v>485</v>
      </c>
      <c r="C891" s="6" t="s">
        <v>490</v>
      </c>
      <c r="D891" s="6" t="n">
        <v>6</v>
      </c>
      <c r="E891" s="9" t="s">
        <v>4616</v>
      </c>
      <c r="F891" s="6" t="n">
        <v>24000</v>
      </c>
      <c r="Q891" s="1" t="str">
        <f aca="false">IF($A891="","",IF(OR(F891="",I891=""),"",F891-I891))</f>
        <v/>
      </c>
      <c r="R891" s="1" t="str">
        <f aca="false">IF($A891="","",IF(Q891="","",Q891+IF(O891="",0,O891)))</f>
        <v/>
      </c>
      <c r="T891" s="1" t="str">
        <f aca="false">IF($A891="","",IF(R891="","",R891-IF(S891="",0,S891)))</f>
        <v/>
      </c>
      <c r="U891" s="1" t="str">
        <f aca="false">IF($A891="","",IF(I891="","",I891-SUM(J891:P891)))</f>
        <v/>
      </c>
      <c r="V891" s="6" t="s">
        <v>4742</v>
      </c>
      <c r="W891" s="9" t="s">
        <v>528</v>
      </c>
      <c r="X891" s="9" t="s">
        <v>4743</v>
      </c>
      <c r="AC891" s="9" t="s">
        <v>4369</v>
      </c>
      <c r="AD891" s="9" t="s">
        <v>4370</v>
      </c>
      <c r="AE891" s="9" t="s">
        <v>4445</v>
      </c>
    </row>
    <row r="892" customFormat="false" ht="15" hidden="false" customHeight="true" outlineLevel="0" collapsed="false">
      <c r="A892" s="6" t="s">
        <v>3301</v>
      </c>
      <c r="B892" s="6" t="s">
        <v>485</v>
      </c>
      <c r="C892" s="6" t="s">
        <v>490</v>
      </c>
      <c r="D892" s="6" t="n">
        <v>6</v>
      </c>
      <c r="E892" s="9" t="s">
        <v>4616</v>
      </c>
      <c r="F892" s="6" t="n">
        <v>25000</v>
      </c>
      <c r="Q892" s="1" t="str">
        <f aca="false">IF($A892="","",IF(OR(F892="",I892=""),"",F892-I892))</f>
        <v/>
      </c>
      <c r="R892" s="1" t="str">
        <f aca="false">IF($A892="","",IF(Q892="","",Q892+IF(O892="",0,O892)))</f>
        <v/>
      </c>
      <c r="T892" s="1" t="str">
        <f aca="false">IF($A892="","",IF(R892="","",R892-IF(S892="",0,S892)))</f>
        <v/>
      </c>
      <c r="U892" s="1" t="str">
        <f aca="false">IF($A892="","",IF(I892="","",I892-SUM(J892:P892)))</f>
        <v/>
      </c>
      <c r="V892" s="6" t="s">
        <v>4742</v>
      </c>
      <c r="W892" s="9" t="s">
        <v>528</v>
      </c>
      <c r="X892" s="9" t="s">
        <v>4743</v>
      </c>
      <c r="AC892" s="9" t="s">
        <v>4369</v>
      </c>
      <c r="AD892" s="9" t="s">
        <v>4370</v>
      </c>
      <c r="AE892" s="9" t="s">
        <v>4445</v>
      </c>
    </row>
    <row r="893" customFormat="false" ht="15" hidden="false" customHeight="true" outlineLevel="0" collapsed="false">
      <c r="A893" s="6" t="s">
        <v>3304</v>
      </c>
      <c r="B893" s="6" t="s">
        <v>485</v>
      </c>
      <c r="C893" s="6" t="s">
        <v>490</v>
      </c>
      <c r="D893" s="6" t="n">
        <v>6</v>
      </c>
      <c r="E893" s="9" t="s">
        <v>4616</v>
      </c>
      <c r="F893" s="6" t="n">
        <v>33000</v>
      </c>
      <c r="Q893" s="1" t="str">
        <f aca="false">IF($A893="","",IF(OR(F893="",I893=""),"",F893-I893))</f>
        <v/>
      </c>
      <c r="R893" s="1" t="str">
        <f aca="false">IF($A893="","",IF(Q893="","",Q893+IF(O893="",0,O893)))</f>
        <v/>
      </c>
      <c r="T893" s="1" t="str">
        <f aca="false">IF($A893="","",IF(R893="","",R893-IF(S893="",0,S893)))</f>
        <v/>
      </c>
      <c r="U893" s="1" t="str">
        <f aca="false">IF($A893="","",IF(I893="","",I893-SUM(J893:P893)))</f>
        <v/>
      </c>
      <c r="V893" s="6" t="s">
        <v>4742</v>
      </c>
      <c r="W893" s="9" t="s">
        <v>528</v>
      </c>
      <c r="X893" s="9" t="s">
        <v>4743</v>
      </c>
      <c r="AC893" s="9" t="s">
        <v>4369</v>
      </c>
      <c r="AD893" s="9" t="s">
        <v>4370</v>
      </c>
      <c r="AE893" s="9" t="s">
        <v>4445</v>
      </c>
    </row>
    <row r="894" customFormat="false" ht="15" hidden="false" customHeight="true" outlineLevel="0" collapsed="false">
      <c r="A894" s="6" t="s">
        <v>3307</v>
      </c>
      <c r="B894" s="6" t="s">
        <v>485</v>
      </c>
      <c r="C894" s="6" t="s">
        <v>490</v>
      </c>
      <c r="D894" s="6" t="n">
        <v>6</v>
      </c>
      <c r="E894" s="9" t="s">
        <v>4616</v>
      </c>
      <c r="F894" s="6" t="n">
        <v>32000</v>
      </c>
      <c r="Q894" s="1" t="str">
        <f aca="false">IF($A894="","",IF(OR(F894="",I894=""),"",F894-I894))</f>
        <v/>
      </c>
      <c r="R894" s="1" t="str">
        <f aca="false">IF($A894="","",IF(Q894="","",Q894+IF(O894="",0,O894)))</f>
        <v/>
      </c>
      <c r="T894" s="1" t="str">
        <f aca="false">IF($A894="","",IF(R894="","",R894-IF(S894="",0,S894)))</f>
        <v/>
      </c>
      <c r="U894" s="1" t="str">
        <f aca="false">IF($A894="","",IF(I894="","",I894-SUM(J894:P894)))</f>
        <v/>
      </c>
      <c r="V894" s="6" t="s">
        <v>4742</v>
      </c>
      <c r="W894" s="9" t="s">
        <v>528</v>
      </c>
      <c r="X894" s="9" t="s">
        <v>4743</v>
      </c>
      <c r="AC894" s="9" t="s">
        <v>4369</v>
      </c>
      <c r="AD894" s="9" t="s">
        <v>4370</v>
      </c>
      <c r="AE894" s="9" t="s">
        <v>4445</v>
      </c>
    </row>
    <row r="895" customFormat="false" ht="15" hidden="false" customHeight="true" outlineLevel="0" collapsed="false">
      <c r="A895" s="6" t="s">
        <v>3310</v>
      </c>
      <c r="B895" s="6" t="s">
        <v>485</v>
      </c>
      <c r="C895" s="6" t="s">
        <v>490</v>
      </c>
      <c r="D895" s="6" t="n">
        <v>6</v>
      </c>
      <c r="E895" s="9" t="s">
        <v>4616</v>
      </c>
      <c r="F895" s="6" t="n">
        <v>31000</v>
      </c>
      <c r="Q895" s="1" t="str">
        <f aca="false">IF($A895="","",IF(OR(F895="",I895=""),"",F895-I895))</f>
        <v/>
      </c>
      <c r="R895" s="1" t="str">
        <f aca="false">IF($A895="","",IF(Q895="","",Q895+IF(O895="",0,O895)))</f>
        <v/>
      </c>
      <c r="T895" s="1" t="str">
        <f aca="false">IF($A895="","",IF(R895="","",R895-IF(S895="",0,S895)))</f>
        <v/>
      </c>
      <c r="U895" s="1" t="str">
        <f aca="false">IF($A895="","",IF(I895="","",I895-SUM(J895:P895)))</f>
        <v/>
      </c>
      <c r="V895" s="6" t="s">
        <v>4742</v>
      </c>
      <c r="W895" s="9" t="s">
        <v>528</v>
      </c>
      <c r="X895" s="9" t="s">
        <v>4743</v>
      </c>
      <c r="AC895" s="9" t="s">
        <v>4369</v>
      </c>
      <c r="AD895" s="9" t="s">
        <v>4370</v>
      </c>
      <c r="AE895" s="9" t="s">
        <v>4445</v>
      </c>
    </row>
    <row r="896" customFormat="false" ht="15" hidden="false" customHeight="true" outlineLevel="0" collapsed="false">
      <c r="A896" s="6" t="s">
        <v>3313</v>
      </c>
      <c r="B896" s="6" t="s">
        <v>485</v>
      </c>
      <c r="C896" s="6" t="s">
        <v>490</v>
      </c>
      <c r="D896" s="6" t="n">
        <v>6</v>
      </c>
      <c r="E896" s="9" t="s">
        <v>4616</v>
      </c>
      <c r="F896" s="6" t="n">
        <v>26000</v>
      </c>
      <c r="Q896" s="1" t="str">
        <f aca="false">IF($A896="","",IF(OR(F896="",I896=""),"",F896-I896))</f>
        <v/>
      </c>
      <c r="R896" s="1" t="str">
        <f aca="false">IF($A896="","",IF(Q896="","",Q896+IF(O896="",0,O896)))</f>
        <v/>
      </c>
      <c r="T896" s="1" t="str">
        <f aca="false">IF($A896="","",IF(R896="","",R896-IF(S896="",0,S896)))</f>
        <v/>
      </c>
      <c r="U896" s="1" t="str">
        <f aca="false">IF($A896="","",IF(I896="","",I896-SUM(J896:P896)))</f>
        <v/>
      </c>
      <c r="V896" s="6" t="s">
        <v>4742</v>
      </c>
      <c r="W896" s="9" t="s">
        <v>528</v>
      </c>
      <c r="X896" s="9" t="s">
        <v>4743</v>
      </c>
      <c r="AC896" s="9" t="s">
        <v>4369</v>
      </c>
      <c r="AD896" s="9" t="s">
        <v>4370</v>
      </c>
      <c r="AE896" s="9" t="s">
        <v>4445</v>
      </c>
    </row>
    <row r="897" customFormat="false" ht="15" hidden="false" customHeight="true" outlineLevel="0" collapsed="false">
      <c r="A897" s="6" t="s">
        <v>3316</v>
      </c>
      <c r="B897" s="6" t="s">
        <v>485</v>
      </c>
      <c r="C897" s="6" t="s">
        <v>490</v>
      </c>
      <c r="D897" s="6" t="n">
        <v>6</v>
      </c>
      <c r="E897" s="9" t="s">
        <v>4616</v>
      </c>
      <c r="F897" s="6" t="n">
        <v>180000</v>
      </c>
      <c r="Q897" s="1" t="str">
        <f aca="false">IF($A897="","",IF(OR(F897="",I897=""),"",F897-I897))</f>
        <v/>
      </c>
      <c r="R897" s="1" t="str">
        <f aca="false">IF($A897="","",IF(Q897="","",Q897+IF(O897="",0,O897)))</f>
        <v/>
      </c>
      <c r="T897" s="1" t="str">
        <f aca="false">IF($A897="","",IF(R897="","",R897-IF(S897="",0,S897)))</f>
        <v/>
      </c>
      <c r="U897" s="1" t="str">
        <f aca="false">IF($A897="","",IF(I897="","",I897-SUM(J897:P897)))</f>
        <v/>
      </c>
      <c r="V897" s="6" t="s">
        <v>4742</v>
      </c>
      <c r="W897" s="9" t="s">
        <v>528</v>
      </c>
      <c r="X897" s="9" t="s">
        <v>4743</v>
      </c>
      <c r="AC897" s="9" t="s">
        <v>4369</v>
      </c>
      <c r="AD897" s="9" t="s">
        <v>4370</v>
      </c>
      <c r="AE897" s="9" t="s">
        <v>4408</v>
      </c>
    </row>
    <row r="898" customFormat="false" ht="15" hidden="false" customHeight="true" outlineLevel="0" collapsed="false">
      <c r="A898" s="6" t="s">
        <v>3319</v>
      </c>
      <c r="B898" s="6" t="s">
        <v>485</v>
      </c>
      <c r="C898" s="6" t="s">
        <v>490</v>
      </c>
      <c r="D898" s="6" t="n">
        <v>6</v>
      </c>
      <c r="E898" s="9" t="s">
        <v>4616</v>
      </c>
      <c r="F898" s="6" t="n">
        <v>85000</v>
      </c>
      <c r="Q898" s="1" t="str">
        <f aca="false">IF($A898="","",IF(OR(F898="",I898=""),"",F898-I898))</f>
        <v/>
      </c>
      <c r="R898" s="1" t="str">
        <f aca="false">IF($A898="","",IF(Q898="","",Q898+IF(O898="",0,O898)))</f>
        <v/>
      </c>
      <c r="T898" s="1" t="str">
        <f aca="false">IF($A898="","",IF(R898="","",R898-IF(S898="",0,S898)))</f>
        <v/>
      </c>
      <c r="U898" s="1" t="str">
        <f aca="false">IF($A898="","",IF(I898="","",I898-SUM(J898:P898)))</f>
        <v/>
      </c>
      <c r="V898" s="6" t="s">
        <v>4742</v>
      </c>
      <c r="W898" s="9" t="s">
        <v>528</v>
      </c>
      <c r="X898" s="9" t="s">
        <v>4743</v>
      </c>
      <c r="AC898" s="9" t="s">
        <v>4369</v>
      </c>
      <c r="AD898" s="9" t="s">
        <v>4370</v>
      </c>
      <c r="AE898" s="9" t="s">
        <v>4408</v>
      </c>
    </row>
    <row r="899" customFormat="false" ht="15" hidden="false" customHeight="true" outlineLevel="0" collapsed="false">
      <c r="A899" s="6" t="s">
        <v>3322</v>
      </c>
      <c r="B899" s="6" t="s">
        <v>485</v>
      </c>
      <c r="C899" s="6" t="s">
        <v>490</v>
      </c>
      <c r="D899" s="6" t="n">
        <v>6</v>
      </c>
      <c r="E899" s="9" t="s">
        <v>4616</v>
      </c>
      <c r="F899" s="6" t="n">
        <v>54000</v>
      </c>
      <c r="Q899" s="1" t="str">
        <f aca="false">IF($A899="","",IF(OR(F899="",I899=""),"",F899-I899))</f>
        <v/>
      </c>
      <c r="R899" s="1" t="str">
        <f aca="false">IF($A899="","",IF(Q899="","",Q899+IF(O899="",0,O899)))</f>
        <v/>
      </c>
      <c r="T899" s="1" t="str">
        <f aca="false">IF($A899="","",IF(R899="","",R899-IF(S899="",0,S899)))</f>
        <v/>
      </c>
      <c r="U899" s="1" t="str">
        <f aca="false">IF($A899="","",IF(I899="","",I899-SUM(J899:P899)))</f>
        <v/>
      </c>
      <c r="V899" s="6" t="s">
        <v>4742</v>
      </c>
      <c r="W899" s="9" t="s">
        <v>528</v>
      </c>
      <c r="X899" s="9" t="s">
        <v>4743</v>
      </c>
      <c r="AC899" s="9" t="s">
        <v>4369</v>
      </c>
      <c r="AD899" s="9" t="s">
        <v>4370</v>
      </c>
      <c r="AE899" s="9" t="s">
        <v>4408</v>
      </c>
    </row>
    <row r="900" customFormat="false" ht="15" hidden="false" customHeight="true" outlineLevel="0" collapsed="false">
      <c r="A900" s="6" t="s">
        <v>3325</v>
      </c>
      <c r="B900" s="6" t="s">
        <v>485</v>
      </c>
      <c r="C900" s="6" t="s">
        <v>490</v>
      </c>
      <c r="D900" s="6" t="n">
        <v>6</v>
      </c>
      <c r="E900" s="9" t="s">
        <v>4616</v>
      </c>
      <c r="F900" s="6" t="n">
        <v>42000</v>
      </c>
      <c r="Q900" s="1" t="str">
        <f aca="false">IF($A900="","",IF(OR(F900="",I900=""),"",F900-I900))</f>
        <v/>
      </c>
      <c r="R900" s="1" t="str">
        <f aca="false">IF($A900="","",IF(Q900="","",Q900+IF(O900="",0,O900)))</f>
        <v/>
      </c>
      <c r="T900" s="1" t="str">
        <f aca="false">IF($A900="","",IF(R900="","",R900-IF(S900="",0,S900)))</f>
        <v/>
      </c>
      <c r="U900" s="1" t="str">
        <f aca="false">IF($A900="","",IF(I900="","",I900-SUM(J900:P900)))</f>
        <v/>
      </c>
      <c r="V900" s="6" t="s">
        <v>4742</v>
      </c>
      <c r="W900" s="9" t="s">
        <v>528</v>
      </c>
      <c r="X900" s="9" t="s">
        <v>4743</v>
      </c>
      <c r="AC900" s="9" t="s">
        <v>4369</v>
      </c>
      <c r="AD900" s="9" t="s">
        <v>4370</v>
      </c>
      <c r="AE900" s="9" t="s">
        <v>4445</v>
      </c>
    </row>
    <row r="901" customFormat="false" ht="15" hidden="false" customHeight="true" outlineLevel="0" collapsed="false">
      <c r="A901" s="6" t="s">
        <v>3328</v>
      </c>
      <c r="B901" s="6" t="s">
        <v>485</v>
      </c>
      <c r="C901" s="6" t="s">
        <v>490</v>
      </c>
      <c r="D901" s="6" t="n">
        <v>6</v>
      </c>
      <c r="E901" s="9" t="s">
        <v>4616</v>
      </c>
      <c r="F901" s="6" t="n">
        <v>26000</v>
      </c>
      <c r="Q901" s="1" t="str">
        <f aca="false">IF($A901="","",IF(OR(F901="",I901=""),"",F901-I901))</f>
        <v/>
      </c>
      <c r="R901" s="1" t="str">
        <f aca="false">IF($A901="","",IF(Q901="","",Q901+IF(O901="",0,O901)))</f>
        <v/>
      </c>
      <c r="T901" s="1" t="str">
        <f aca="false">IF($A901="","",IF(R901="","",R901-IF(S901="",0,S901)))</f>
        <v/>
      </c>
      <c r="U901" s="1" t="str">
        <f aca="false">IF($A901="","",IF(I901="","",I901-SUM(J901:P901)))</f>
        <v/>
      </c>
      <c r="V901" s="6" t="s">
        <v>4742</v>
      </c>
      <c r="W901" s="9" t="s">
        <v>528</v>
      </c>
      <c r="X901" s="9" t="s">
        <v>4743</v>
      </c>
      <c r="AC901" s="9" t="s">
        <v>4369</v>
      </c>
      <c r="AD901" s="9" t="s">
        <v>4370</v>
      </c>
      <c r="AE901" s="9" t="s">
        <v>4445</v>
      </c>
    </row>
    <row r="902" customFormat="false" ht="15" hidden="false" customHeight="true" outlineLevel="0" collapsed="false">
      <c r="A902" s="6" t="s">
        <v>3331</v>
      </c>
      <c r="B902" s="6" t="s">
        <v>485</v>
      </c>
      <c r="C902" s="6" t="s">
        <v>490</v>
      </c>
      <c r="D902" s="6" t="n">
        <v>6</v>
      </c>
      <c r="E902" s="9" t="s">
        <v>4616</v>
      </c>
      <c r="F902" s="6" t="n">
        <v>20000</v>
      </c>
      <c r="Q902" s="1" t="str">
        <f aca="false">IF($A902="","",IF(OR(F902="",I902=""),"",F902-I902))</f>
        <v/>
      </c>
      <c r="R902" s="1" t="str">
        <f aca="false">IF($A902="","",IF(Q902="","",Q902+IF(O902="",0,O902)))</f>
        <v/>
      </c>
      <c r="T902" s="1" t="str">
        <f aca="false">IF($A902="","",IF(R902="","",R902-IF(S902="",0,S902)))</f>
        <v/>
      </c>
      <c r="U902" s="1" t="str">
        <f aca="false">IF($A902="","",IF(I902="","",I902-SUM(J902:P902)))</f>
        <v/>
      </c>
      <c r="V902" s="6" t="s">
        <v>4742</v>
      </c>
      <c r="W902" s="9" t="s">
        <v>528</v>
      </c>
      <c r="X902" s="9" t="s">
        <v>4743</v>
      </c>
      <c r="AC902" s="9" t="s">
        <v>4369</v>
      </c>
      <c r="AD902" s="9" t="s">
        <v>4370</v>
      </c>
      <c r="AE902" s="9" t="s">
        <v>4445</v>
      </c>
    </row>
    <row r="903" customFormat="false" ht="15" hidden="false" customHeight="true" outlineLevel="0" collapsed="false">
      <c r="A903" s="6" t="s">
        <v>3334</v>
      </c>
      <c r="B903" s="6" t="s">
        <v>485</v>
      </c>
      <c r="C903" s="6" t="s">
        <v>490</v>
      </c>
      <c r="D903" s="6" t="n">
        <v>6</v>
      </c>
      <c r="E903" s="9" t="s">
        <v>4616</v>
      </c>
      <c r="F903" s="6" t="n">
        <v>29000</v>
      </c>
      <c r="Q903" s="1" t="str">
        <f aca="false">IF($A903="","",IF(OR(F903="",I903=""),"",F903-I903))</f>
        <v/>
      </c>
      <c r="R903" s="1" t="str">
        <f aca="false">IF($A903="","",IF(Q903="","",Q903+IF(O903="",0,O903)))</f>
        <v/>
      </c>
      <c r="T903" s="1" t="str">
        <f aca="false">IF($A903="","",IF(R903="","",R903-IF(S903="",0,S903)))</f>
        <v/>
      </c>
      <c r="U903" s="1" t="str">
        <f aca="false">IF($A903="","",IF(I903="","",I903-SUM(J903:P903)))</f>
        <v/>
      </c>
      <c r="V903" s="6" t="s">
        <v>4742</v>
      </c>
      <c r="W903" s="9" t="s">
        <v>528</v>
      </c>
      <c r="X903" s="9" t="s">
        <v>4743</v>
      </c>
      <c r="AC903" s="9" t="s">
        <v>4369</v>
      </c>
      <c r="AD903" s="9" t="s">
        <v>4370</v>
      </c>
      <c r="AE903" s="9" t="s">
        <v>4445</v>
      </c>
    </row>
    <row r="904" customFormat="false" ht="15" hidden="false" customHeight="true" outlineLevel="0" collapsed="false">
      <c r="A904" s="6" t="s">
        <v>3337</v>
      </c>
      <c r="B904" s="6" t="s">
        <v>485</v>
      </c>
      <c r="C904" s="6" t="s">
        <v>490</v>
      </c>
      <c r="D904" s="6" t="n">
        <v>6</v>
      </c>
      <c r="E904" s="9" t="s">
        <v>4616</v>
      </c>
      <c r="F904" s="6" t="n">
        <v>25000</v>
      </c>
      <c r="Q904" s="1" t="str">
        <f aca="false">IF($A904="","",IF(OR(F904="",I904=""),"",F904-I904))</f>
        <v/>
      </c>
      <c r="R904" s="1" t="str">
        <f aca="false">IF($A904="","",IF(Q904="","",Q904+IF(O904="",0,O904)))</f>
        <v/>
      </c>
      <c r="T904" s="1" t="str">
        <f aca="false">IF($A904="","",IF(R904="","",R904-IF(S904="",0,S904)))</f>
        <v/>
      </c>
      <c r="U904" s="1" t="str">
        <f aca="false">IF($A904="","",IF(I904="","",I904-SUM(J904:P904)))</f>
        <v/>
      </c>
      <c r="V904" s="6" t="s">
        <v>4742</v>
      </c>
      <c r="W904" s="9" t="s">
        <v>528</v>
      </c>
      <c r="X904" s="9" t="s">
        <v>4743</v>
      </c>
      <c r="AC904" s="9" t="s">
        <v>4369</v>
      </c>
      <c r="AD904" s="9" t="s">
        <v>4370</v>
      </c>
      <c r="AE904" s="9" t="s">
        <v>4445</v>
      </c>
    </row>
    <row r="905" customFormat="false" ht="15" hidden="false" customHeight="true" outlineLevel="0" collapsed="false">
      <c r="A905" s="6" t="s">
        <v>3340</v>
      </c>
      <c r="B905" s="6" t="s">
        <v>485</v>
      </c>
      <c r="C905" s="6" t="s">
        <v>490</v>
      </c>
      <c r="D905" s="6" t="n">
        <v>6</v>
      </c>
      <c r="E905" s="9" t="s">
        <v>4616</v>
      </c>
      <c r="F905" s="6" t="n">
        <v>68000</v>
      </c>
      <c r="Q905" s="1" t="str">
        <f aca="false">IF($A905="","",IF(OR(F905="",I905=""),"",F905-I905))</f>
        <v/>
      </c>
      <c r="R905" s="1" t="str">
        <f aca="false">IF($A905="","",IF(Q905="","",Q905+IF(O905="",0,O905)))</f>
        <v/>
      </c>
      <c r="T905" s="1" t="str">
        <f aca="false">IF($A905="","",IF(R905="","",R905-IF(S905="",0,S905)))</f>
        <v/>
      </c>
      <c r="U905" s="1" t="str">
        <f aca="false">IF($A905="","",IF(I905="","",I905-SUM(J905:P905)))</f>
        <v/>
      </c>
      <c r="V905" s="6" t="s">
        <v>4742</v>
      </c>
      <c r="W905" s="9" t="s">
        <v>528</v>
      </c>
      <c r="X905" s="9" t="s">
        <v>4743</v>
      </c>
      <c r="AC905" s="9" t="s">
        <v>4369</v>
      </c>
      <c r="AD905" s="9" t="s">
        <v>4370</v>
      </c>
      <c r="AE905" s="9" t="s">
        <v>4408</v>
      </c>
    </row>
    <row r="906" customFormat="false" ht="15" hidden="false" customHeight="true" outlineLevel="0" collapsed="false">
      <c r="A906" s="6" t="s">
        <v>3343</v>
      </c>
      <c r="B906" s="6" t="s">
        <v>485</v>
      </c>
      <c r="C906" s="6" t="s">
        <v>490</v>
      </c>
      <c r="D906" s="6" t="n">
        <v>6</v>
      </c>
      <c r="E906" s="9" t="s">
        <v>4616</v>
      </c>
      <c r="F906" s="6" t="n">
        <v>51000</v>
      </c>
      <c r="Q906" s="1" t="str">
        <f aca="false">IF($A906="","",IF(OR(F906="",I906=""),"",F906-I906))</f>
        <v/>
      </c>
      <c r="R906" s="1" t="str">
        <f aca="false">IF($A906="","",IF(Q906="","",Q906+IF(O906="",0,O906)))</f>
        <v/>
      </c>
      <c r="T906" s="1" t="str">
        <f aca="false">IF($A906="","",IF(R906="","",R906-IF(S906="",0,S906)))</f>
        <v/>
      </c>
      <c r="U906" s="1" t="str">
        <f aca="false">IF($A906="","",IF(I906="","",I906-SUM(J906:P906)))</f>
        <v/>
      </c>
      <c r="V906" s="6" t="s">
        <v>4742</v>
      </c>
      <c r="W906" s="9" t="s">
        <v>528</v>
      </c>
      <c r="X906" s="9" t="s">
        <v>4743</v>
      </c>
      <c r="AC906" s="9" t="s">
        <v>4369</v>
      </c>
      <c r="AD906" s="9" t="s">
        <v>4370</v>
      </c>
      <c r="AE906" s="9" t="s">
        <v>4408</v>
      </c>
    </row>
    <row r="907" customFormat="false" ht="15" hidden="false" customHeight="true" outlineLevel="0" collapsed="false">
      <c r="A907" s="6" t="s">
        <v>3346</v>
      </c>
      <c r="B907" s="6" t="s">
        <v>485</v>
      </c>
      <c r="C907" s="6" t="s">
        <v>490</v>
      </c>
      <c r="D907" s="6" t="n">
        <v>6</v>
      </c>
      <c r="E907" s="9" t="s">
        <v>4616</v>
      </c>
      <c r="F907" s="6" t="n">
        <v>70000</v>
      </c>
      <c r="Q907" s="1" t="str">
        <f aca="false">IF($A907="","",IF(OR(F907="",I907=""),"",F907-I907))</f>
        <v/>
      </c>
      <c r="R907" s="1" t="str">
        <f aca="false">IF($A907="","",IF(Q907="","",Q907+IF(O907="",0,O907)))</f>
        <v/>
      </c>
      <c r="T907" s="1" t="str">
        <f aca="false">IF($A907="","",IF(R907="","",R907-IF(S907="",0,S907)))</f>
        <v/>
      </c>
      <c r="U907" s="1" t="str">
        <f aca="false">IF($A907="","",IF(I907="","",I907-SUM(J907:P907)))</f>
        <v/>
      </c>
      <c r="V907" s="6" t="s">
        <v>4742</v>
      </c>
      <c r="W907" s="9" t="s">
        <v>528</v>
      </c>
      <c r="X907" s="9" t="s">
        <v>4743</v>
      </c>
      <c r="AC907" s="9" t="s">
        <v>4369</v>
      </c>
      <c r="AD907" s="9" t="s">
        <v>4370</v>
      </c>
      <c r="AE907" s="9" t="s">
        <v>4408</v>
      </c>
    </row>
    <row r="908" customFormat="false" ht="15" hidden="false" customHeight="true" outlineLevel="0" collapsed="false">
      <c r="A908" s="6" t="s">
        <v>3349</v>
      </c>
      <c r="B908" s="6" t="s">
        <v>485</v>
      </c>
      <c r="C908" s="6" t="s">
        <v>490</v>
      </c>
      <c r="D908" s="6" t="n">
        <v>6</v>
      </c>
      <c r="E908" s="9" t="s">
        <v>4616</v>
      </c>
      <c r="F908" s="6" t="n">
        <v>25000</v>
      </c>
      <c r="Q908" s="1" t="str">
        <f aca="false">IF($A908="","",IF(OR(F908="",I908=""),"",F908-I908))</f>
        <v/>
      </c>
      <c r="R908" s="1" t="str">
        <f aca="false">IF($A908="","",IF(Q908="","",Q908+IF(O908="",0,O908)))</f>
        <v/>
      </c>
      <c r="T908" s="1" t="str">
        <f aca="false">IF($A908="","",IF(R908="","",R908-IF(S908="",0,S908)))</f>
        <v/>
      </c>
      <c r="U908" s="1" t="str">
        <f aca="false">IF($A908="","",IF(I908="","",I908-SUM(J908:P908)))</f>
        <v/>
      </c>
      <c r="V908" s="6" t="s">
        <v>4742</v>
      </c>
      <c r="W908" s="9" t="s">
        <v>528</v>
      </c>
      <c r="X908" s="9" t="s">
        <v>4743</v>
      </c>
      <c r="AC908" s="9" t="s">
        <v>4369</v>
      </c>
      <c r="AD908" s="9" t="s">
        <v>4370</v>
      </c>
      <c r="AE908" s="9" t="s">
        <v>4445</v>
      </c>
    </row>
    <row r="909" customFormat="false" ht="15" hidden="false" customHeight="true" outlineLevel="0" collapsed="false">
      <c r="A909" s="6" t="s">
        <v>3352</v>
      </c>
      <c r="B909" s="6" t="s">
        <v>485</v>
      </c>
      <c r="C909" s="6" t="s">
        <v>490</v>
      </c>
      <c r="D909" s="6" t="n">
        <v>6</v>
      </c>
      <c r="E909" s="9" t="s">
        <v>4616</v>
      </c>
      <c r="F909" s="6" t="n">
        <v>24000</v>
      </c>
      <c r="Q909" s="1" t="str">
        <f aca="false">IF($A909="","",IF(OR(F909="",I909=""),"",F909-I909))</f>
        <v/>
      </c>
      <c r="R909" s="1" t="str">
        <f aca="false">IF($A909="","",IF(Q909="","",Q909+IF(O909="",0,O909)))</f>
        <v/>
      </c>
      <c r="T909" s="1" t="str">
        <f aca="false">IF($A909="","",IF(R909="","",R909-IF(S909="",0,S909)))</f>
        <v/>
      </c>
      <c r="U909" s="1" t="str">
        <f aca="false">IF($A909="","",IF(I909="","",I909-SUM(J909:P909)))</f>
        <v/>
      </c>
      <c r="V909" s="6" t="s">
        <v>4742</v>
      </c>
      <c r="W909" s="9" t="s">
        <v>528</v>
      </c>
      <c r="X909" s="9" t="s">
        <v>4743</v>
      </c>
      <c r="AC909" s="9" t="s">
        <v>4369</v>
      </c>
      <c r="AD909" s="9" t="s">
        <v>4370</v>
      </c>
      <c r="AE909" s="9" t="s">
        <v>4445</v>
      </c>
    </row>
    <row r="910" customFormat="false" ht="15" hidden="false" customHeight="true" outlineLevel="0" collapsed="false">
      <c r="A910" s="6" t="s">
        <v>3355</v>
      </c>
      <c r="B910" s="6" t="s">
        <v>485</v>
      </c>
      <c r="C910" s="6" t="s">
        <v>490</v>
      </c>
      <c r="D910" s="6" t="n">
        <v>6</v>
      </c>
      <c r="E910" s="9" t="s">
        <v>4616</v>
      </c>
      <c r="F910" s="6" t="n">
        <v>86000</v>
      </c>
      <c r="Q910" s="1" t="str">
        <f aca="false">IF($A910="","",IF(OR(F910="",I910=""),"",F910-I910))</f>
        <v/>
      </c>
      <c r="R910" s="1" t="str">
        <f aca="false">IF($A910="","",IF(Q910="","",Q910+IF(O910="",0,O910)))</f>
        <v/>
      </c>
      <c r="T910" s="1" t="str">
        <f aca="false">IF($A910="","",IF(R910="","",R910-IF(S910="",0,S910)))</f>
        <v/>
      </c>
      <c r="U910" s="1" t="str">
        <f aca="false">IF($A910="","",IF(I910="","",I910-SUM(J910:P910)))</f>
        <v/>
      </c>
      <c r="V910" s="6" t="s">
        <v>4742</v>
      </c>
      <c r="W910" s="9" t="s">
        <v>528</v>
      </c>
      <c r="X910" s="9" t="s">
        <v>4743</v>
      </c>
      <c r="AC910" s="9" t="s">
        <v>4369</v>
      </c>
      <c r="AD910" s="9" t="s">
        <v>4370</v>
      </c>
      <c r="AE910" s="9" t="s">
        <v>4408</v>
      </c>
    </row>
    <row r="911" customFormat="false" ht="15" hidden="false" customHeight="true" outlineLevel="0" collapsed="false">
      <c r="A911" s="6" t="s">
        <v>3358</v>
      </c>
      <c r="B911" s="6" t="s">
        <v>485</v>
      </c>
      <c r="C911" s="6" t="s">
        <v>490</v>
      </c>
      <c r="D911" s="6" t="n">
        <v>6</v>
      </c>
      <c r="E911" s="9" t="s">
        <v>4616</v>
      </c>
      <c r="F911" s="6" t="n">
        <v>49000</v>
      </c>
      <c r="Q911" s="1" t="str">
        <f aca="false">IF($A911="","",IF(OR(F911="",I911=""),"",F911-I911))</f>
        <v/>
      </c>
      <c r="R911" s="1" t="str">
        <f aca="false">IF($A911="","",IF(Q911="","",Q911+IF(O911="",0,O911)))</f>
        <v/>
      </c>
      <c r="T911" s="1" t="str">
        <f aca="false">IF($A911="","",IF(R911="","",R911-IF(S911="",0,S911)))</f>
        <v/>
      </c>
      <c r="U911" s="1" t="str">
        <f aca="false">IF($A911="","",IF(I911="","",I911-SUM(J911:P911)))</f>
        <v/>
      </c>
      <c r="V911" s="6" t="s">
        <v>4742</v>
      </c>
      <c r="W911" s="9" t="s">
        <v>528</v>
      </c>
      <c r="X911" s="9" t="s">
        <v>4743</v>
      </c>
      <c r="AC911" s="9" t="s">
        <v>4369</v>
      </c>
      <c r="AD911" s="9" t="s">
        <v>4370</v>
      </c>
      <c r="AE911" s="9" t="s">
        <v>4445</v>
      </c>
    </row>
    <row r="912" customFormat="false" ht="15" hidden="false" customHeight="true" outlineLevel="0" collapsed="false">
      <c r="A912" s="6" t="s">
        <v>3361</v>
      </c>
      <c r="B912" s="6" t="s">
        <v>485</v>
      </c>
      <c r="C912" s="6" t="s">
        <v>490</v>
      </c>
      <c r="D912" s="6" t="n">
        <v>6</v>
      </c>
      <c r="E912" s="9" t="s">
        <v>4616</v>
      </c>
      <c r="F912" s="6" t="n">
        <v>77000</v>
      </c>
      <c r="Q912" s="1" t="str">
        <f aca="false">IF($A912="","",IF(OR(F912="",I912=""),"",F912-I912))</f>
        <v/>
      </c>
      <c r="R912" s="1" t="str">
        <f aca="false">IF($A912="","",IF(Q912="","",Q912+IF(O912="",0,O912)))</f>
        <v/>
      </c>
      <c r="T912" s="1" t="str">
        <f aca="false">IF($A912="","",IF(R912="","",R912-IF(S912="",0,S912)))</f>
        <v/>
      </c>
      <c r="U912" s="1" t="str">
        <f aca="false">IF($A912="","",IF(I912="","",I912-SUM(J912:P912)))</f>
        <v/>
      </c>
      <c r="V912" s="6" t="s">
        <v>4742</v>
      </c>
      <c r="W912" s="9" t="s">
        <v>528</v>
      </c>
      <c r="X912" s="9" t="s">
        <v>4743</v>
      </c>
      <c r="AC912" s="9" t="s">
        <v>4369</v>
      </c>
      <c r="AD912" s="9" t="s">
        <v>4370</v>
      </c>
      <c r="AE912" s="9" t="s">
        <v>4408</v>
      </c>
    </row>
    <row r="913" customFormat="false" ht="15" hidden="false" customHeight="true" outlineLevel="0" collapsed="false">
      <c r="A913" s="6" t="s">
        <v>3364</v>
      </c>
      <c r="B913" s="6" t="s">
        <v>485</v>
      </c>
      <c r="C913" s="6" t="s">
        <v>490</v>
      </c>
      <c r="D913" s="6" t="n">
        <v>6</v>
      </c>
      <c r="E913" s="9" t="s">
        <v>4616</v>
      </c>
      <c r="F913" s="6" t="n">
        <v>53000</v>
      </c>
      <c r="Q913" s="1" t="str">
        <f aca="false">IF($A913="","",IF(OR(F913="",I913=""),"",F913-I913))</f>
        <v/>
      </c>
      <c r="R913" s="1" t="str">
        <f aca="false">IF($A913="","",IF(Q913="","",Q913+IF(O913="",0,O913)))</f>
        <v/>
      </c>
      <c r="T913" s="1" t="str">
        <f aca="false">IF($A913="","",IF(R913="","",R913-IF(S913="",0,S913)))</f>
        <v/>
      </c>
      <c r="U913" s="1" t="str">
        <f aca="false">IF($A913="","",IF(I913="","",I913-SUM(J913:P913)))</f>
        <v/>
      </c>
      <c r="V913" s="6" t="s">
        <v>4742</v>
      </c>
      <c r="W913" s="9" t="s">
        <v>528</v>
      </c>
      <c r="X913" s="9" t="s">
        <v>4743</v>
      </c>
      <c r="AC913" s="9" t="s">
        <v>4369</v>
      </c>
      <c r="AD913" s="9" t="s">
        <v>4370</v>
      </c>
      <c r="AE913" s="9" t="s">
        <v>4408</v>
      </c>
    </row>
    <row r="914" customFormat="false" ht="15" hidden="false" customHeight="true" outlineLevel="0" collapsed="false">
      <c r="A914" s="6" t="s">
        <v>3367</v>
      </c>
      <c r="B914" s="6" t="s">
        <v>485</v>
      </c>
      <c r="C914" s="6" t="s">
        <v>490</v>
      </c>
      <c r="D914" s="6" t="n">
        <v>6</v>
      </c>
      <c r="E914" s="9" t="s">
        <v>4616</v>
      </c>
      <c r="F914" s="6" t="n">
        <v>55000</v>
      </c>
      <c r="Q914" s="1" t="str">
        <f aca="false">IF($A914="","",IF(OR(F914="",I914=""),"",F914-I914))</f>
        <v/>
      </c>
      <c r="R914" s="1" t="str">
        <f aca="false">IF($A914="","",IF(Q914="","",Q914+IF(O914="",0,O914)))</f>
        <v/>
      </c>
      <c r="T914" s="1" t="str">
        <f aca="false">IF($A914="","",IF(R914="","",R914-IF(S914="",0,S914)))</f>
        <v/>
      </c>
      <c r="U914" s="1" t="str">
        <f aca="false">IF($A914="","",IF(I914="","",I914-SUM(J914:P914)))</f>
        <v/>
      </c>
      <c r="V914" s="6" t="s">
        <v>4742</v>
      </c>
      <c r="W914" s="9" t="s">
        <v>528</v>
      </c>
      <c r="X914" s="9" t="s">
        <v>4743</v>
      </c>
      <c r="AC914" s="9" t="s">
        <v>4369</v>
      </c>
      <c r="AD914" s="9" t="s">
        <v>4370</v>
      </c>
      <c r="AE914" s="9" t="s">
        <v>4408</v>
      </c>
    </row>
    <row r="915" customFormat="false" ht="15" hidden="false" customHeight="true" outlineLevel="0" collapsed="false">
      <c r="A915" s="6" t="s">
        <v>3370</v>
      </c>
      <c r="B915" s="6" t="s">
        <v>485</v>
      </c>
      <c r="C915" s="6" t="s">
        <v>490</v>
      </c>
      <c r="D915" s="6" t="n">
        <v>6</v>
      </c>
      <c r="E915" s="9" t="s">
        <v>4616</v>
      </c>
      <c r="F915" s="6" t="n">
        <v>24000</v>
      </c>
      <c r="Q915" s="1" t="str">
        <f aca="false">IF($A915="","",IF(OR(F915="",I915=""),"",F915-I915))</f>
        <v/>
      </c>
      <c r="R915" s="1" t="str">
        <f aca="false">IF($A915="","",IF(Q915="","",Q915+IF(O915="",0,O915)))</f>
        <v/>
      </c>
      <c r="T915" s="1" t="str">
        <f aca="false">IF($A915="","",IF(R915="","",R915-IF(S915="",0,S915)))</f>
        <v/>
      </c>
      <c r="U915" s="1" t="str">
        <f aca="false">IF($A915="","",IF(I915="","",I915-SUM(J915:P915)))</f>
        <v/>
      </c>
      <c r="V915" s="6" t="s">
        <v>4742</v>
      </c>
      <c r="W915" s="9" t="s">
        <v>528</v>
      </c>
      <c r="X915" s="9" t="s">
        <v>4743</v>
      </c>
      <c r="AC915" s="9" t="s">
        <v>4369</v>
      </c>
      <c r="AD915" s="9" t="s">
        <v>4370</v>
      </c>
      <c r="AE915" s="9" t="s">
        <v>4445</v>
      </c>
    </row>
    <row r="916" customFormat="false" ht="15" hidden="false" customHeight="true" outlineLevel="0" collapsed="false">
      <c r="A916" s="6" t="s">
        <v>3373</v>
      </c>
      <c r="B916" s="6" t="s">
        <v>485</v>
      </c>
      <c r="C916" s="6" t="s">
        <v>490</v>
      </c>
      <c r="D916" s="6" t="n">
        <v>6</v>
      </c>
      <c r="E916" s="9" t="s">
        <v>4616</v>
      </c>
      <c r="F916" s="6" t="n">
        <v>26000</v>
      </c>
      <c r="Q916" s="1" t="str">
        <f aca="false">IF($A916="","",IF(OR(F916="",I916=""),"",F916-I916))</f>
        <v/>
      </c>
      <c r="R916" s="1" t="str">
        <f aca="false">IF($A916="","",IF(Q916="","",Q916+IF(O916="",0,O916)))</f>
        <v/>
      </c>
      <c r="T916" s="1" t="str">
        <f aca="false">IF($A916="","",IF(R916="","",R916-IF(S916="",0,S916)))</f>
        <v/>
      </c>
      <c r="U916" s="1" t="str">
        <f aca="false">IF($A916="","",IF(I916="","",I916-SUM(J916:P916)))</f>
        <v/>
      </c>
      <c r="V916" s="6" t="s">
        <v>4742</v>
      </c>
      <c r="W916" s="9" t="s">
        <v>528</v>
      </c>
      <c r="X916" s="9" t="s">
        <v>4743</v>
      </c>
      <c r="AC916" s="9" t="s">
        <v>4369</v>
      </c>
      <c r="AD916" s="9" t="s">
        <v>4370</v>
      </c>
      <c r="AE916" s="9" t="s">
        <v>4445</v>
      </c>
    </row>
    <row r="917" customFormat="false" ht="15" hidden="false" customHeight="true" outlineLevel="0" collapsed="false">
      <c r="A917" s="6" t="s">
        <v>3376</v>
      </c>
      <c r="B917" s="6" t="s">
        <v>485</v>
      </c>
      <c r="C917" s="6" t="s">
        <v>490</v>
      </c>
      <c r="D917" s="6" t="n">
        <v>6</v>
      </c>
      <c r="E917" s="9" t="s">
        <v>4616</v>
      </c>
      <c r="F917" s="6" t="n">
        <v>21000</v>
      </c>
      <c r="Q917" s="1" t="str">
        <f aca="false">IF($A917="","",IF(OR(F917="",I917=""),"",F917-I917))</f>
        <v/>
      </c>
      <c r="R917" s="1" t="str">
        <f aca="false">IF($A917="","",IF(Q917="","",Q917+IF(O917="",0,O917)))</f>
        <v/>
      </c>
      <c r="T917" s="1" t="str">
        <f aca="false">IF($A917="","",IF(R917="","",R917-IF(S917="",0,S917)))</f>
        <v/>
      </c>
      <c r="U917" s="1" t="str">
        <f aca="false">IF($A917="","",IF(I917="","",I917-SUM(J917:P917)))</f>
        <v/>
      </c>
      <c r="V917" s="6" t="s">
        <v>4742</v>
      </c>
      <c r="W917" s="9" t="s">
        <v>528</v>
      </c>
      <c r="X917" s="9" t="s">
        <v>4743</v>
      </c>
      <c r="AC917" s="9" t="s">
        <v>4369</v>
      </c>
      <c r="AD917" s="9" t="s">
        <v>4370</v>
      </c>
      <c r="AE917" s="9" t="s">
        <v>4445</v>
      </c>
    </row>
    <row r="918" customFormat="false" ht="15" hidden="false" customHeight="true" outlineLevel="0" collapsed="false">
      <c r="A918" s="6" t="s">
        <v>3379</v>
      </c>
      <c r="B918" s="6" t="s">
        <v>485</v>
      </c>
      <c r="C918" s="6" t="s">
        <v>490</v>
      </c>
      <c r="D918" s="6" t="n">
        <v>6</v>
      </c>
      <c r="E918" s="9" t="s">
        <v>4616</v>
      </c>
      <c r="F918" s="6" t="n">
        <v>92000</v>
      </c>
      <c r="Q918" s="1" t="str">
        <f aca="false">IF($A918="","",IF(OR(F918="",I918=""),"",F918-I918))</f>
        <v/>
      </c>
      <c r="R918" s="1" t="str">
        <f aca="false">IF($A918="","",IF(Q918="","",Q918+IF(O918="",0,O918)))</f>
        <v/>
      </c>
      <c r="T918" s="1" t="str">
        <f aca="false">IF($A918="","",IF(R918="","",R918-IF(S918="",0,S918)))</f>
        <v/>
      </c>
      <c r="U918" s="1" t="str">
        <f aca="false">IF($A918="","",IF(I918="","",I918-SUM(J918:P918)))</f>
        <v/>
      </c>
      <c r="V918" s="6" t="s">
        <v>4742</v>
      </c>
      <c r="W918" s="9" t="s">
        <v>528</v>
      </c>
      <c r="X918" s="9" t="s">
        <v>4743</v>
      </c>
      <c r="AC918" s="9" t="s">
        <v>4369</v>
      </c>
      <c r="AD918" s="9" t="s">
        <v>4370</v>
      </c>
      <c r="AE918" s="9" t="s">
        <v>4408</v>
      </c>
    </row>
    <row r="919" customFormat="false" ht="15" hidden="false" customHeight="true" outlineLevel="0" collapsed="false">
      <c r="A919" s="6" t="s">
        <v>3382</v>
      </c>
      <c r="B919" s="6" t="s">
        <v>485</v>
      </c>
      <c r="C919" s="6" t="s">
        <v>490</v>
      </c>
      <c r="D919" s="6" t="n">
        <v>6</v>
      </c>
      <c r="E919" s="9" t="s">
        <v>4616</v>
      </c>
      <c r="F919" s="6" t="n">
        <v>33000</v>
      </c>
      <c r="Q919" s="1" t="str">
        <f aca="false">IF($A919="","",IF(OR(F919="",I919=""),"",F919-I919))</f>
        <v/>
      </c>
      <c r="R919" s="1" t="str">
        <f aca="false">IF($A919="","",IF(Q919="","",Q919+IF(O919="",0,O919)))</f>
        <v/>
      </c>
      <c r="T919" s="1" t="str">
        <f aca="false">IF($A919="","",IF(R919="","",R919-IF(S919="",0,S919)))</f>
        <v/>
      </c>
      <c r="U919" s="1" t="str">
        <f aca="false">IF($A919="","",IF(I919="","",I919-SUM(J919:P919)))</f>
        <v/>
      </c>
      <c r="V919" s="6" t="s">
        <v>4742</v>
      </c>
      <c r="W919" s="9" t="s">
        <v>528</v>
      </c>
      <c r="X919" s="9" t="s">
        <v>4743</v>
      </c>
      <c r="AC919" s="9" t="s">
        <v>4369</v>
      </c>
      <c r="AD919" s="9" t="s">
        <v>4370</v>
      </c>
      <c r="AE919" s="9" t="s">
        <v>4445</v>
      </c>
    </row>
    <row r="920" customFormat="false" ht="15" hidden="false" customHeight="true" outlineLevel="0" collapsed="false">
      <c r="A920" s="6" t="s">
        <v>3385</v>
      </c>
      <c r="B920" s="6" t="s">
        <v>485</v>
      </c>
      <c r="C920" s="6" t="s">
        <v>490</v>
      </c>
      <c r="D920" s="6" t="n">
        <v>6</v>
      </c>
      <c r="E920" s="9" t="s">
        <v>4616</v>
      </c>
      <c r="F920" s="6" t="n">
        <v>136000</v>
      </c>
      <c r="Q920" s="1" t="str">
        <f aca="false">IF($A920="","",IF(OR(F920="",I920=""),"",F920-I920))</f>
        <v/>
      </c>
      <c r="R920" s="1" t="str">
        <f aca="false">IF($A920="","",IF(Q920="","",Q920+IF(O920="",0,O920)))</f>
        <v/>
      </c>
      <c r="T920" s="1" t="str">
        <f aca="false">IF($A920="","",IF(R920="","",R920-IF(S920="",0,S920)))</f>
        <v/>
      </c>
      <c r="U920" s="1" t="str">
        <f aca="false">IF($A920="","",IF(I920="","",I920-SUM(J920:P920)))</f>
        <v/>
      </c>
      <c r="V920" s="6" t="s">
        <v>4742</v>
      </c>
      <c r="W920" s="9" t="s">
        <v>528</v>
      </c>
      <c r="X920" s="9" t="s">
        <v>4743</v>
      </c>
      <c r="AC920" s="9" t="s">
        <v>4369</v>
      </c>
      <c r="AD920" s="9" t="s">
        <v>4370</v>
      </c>
      <c r="AE920" s="9" t="s">
        <v>4408</v>
      </c>
    </row>
    <row r="921" customFormat="false" ht="15" hidden="false" customHeight="true" outlineLevel="0" collapsed="false">
      <c r="A921" s="6" t="s">
        <v>3388</v>
      </c>
      <c r="B921" s="6" t="s">
        <v>485</v>
      </c>
      <c r="C921" s="6" t="s">
        <v>490</v>
      </c>
      <c r="D921" s="6" t="n">
        <v>6</v>
      </c>
      <c r="E921" s="9" t="s">
        <v>4616</v>
      </c>
      <c r="F921" s="6" t="n">
        <v>70000</v>
      </c>
      <c r="Q921" s="1" t="str">
        <f aca="false">IF($A921="","",IF(OR(F921="",I921=""),"",F921-I921))</f>
        <v/>
      </c>
      <c r="R921" s="1" t="str">
        <f aca="false">IF($A921="","",IF(Q921="","",Q921+IF(O921="",0,O921)))</f>
        <v/>
      </c>
      <c r="T921" s="1" t="str">
        <f aca="false">IF($A921="","",IF(R921="","",R921-IF(S921="",0,S921)))</f>
        <v/>
      </c>
      <c r="U921" s="1" t="str">
        <f aca="false">IF($A921="","",IF(I921="","",I921-SUM(J921:P921)))</f>
        <v/>
      </c>
      <c r="V921" s="6" t="s">
        <v>4742</v>
      </c>
      <c r="W921" s="9" t="s">
        <v>528</v>
      </c>
      <c r="X921" s="9" t="s">
        <v>4743</v>
      </c>
      <c r="AC921" s="9" t="s">
        <v>4369</v>
      </c>
      <c r="AD921" s="9" t="s">
        <v>4370</v>
      </c>
      <c r="AE921" s="9" t="s">
        <v>4408</v>
      </c>
    </row>
    <row r="922" customFormat="false" ht="15" hidden="false" customHeight="true" outlineLevel="0" collapsed="false">
      <c r="A922" s="6" t="s">
        <v>3391</v>
      </c>
      <c r="B922" s="6" t="s">
        <v>485</v>
      </c>
      <c r="C922" s="6" t="s">
        <v>490</v>
      </c>
      <c r="D922" s="6" t="n">
        <v>6</v>
      </c>
      <c r="E922" s="9" t="s">
        <v>4616</v>
      </c>
      <c r="F922" s="6" t="n">
        <v>75000</v>
      </c>
      <c r="Q922" s="1" t="str">
        <f aca="false">IF($A922="","",IF(OR(F922="",I922=""),"",F922-I922))</f>
        <v/>
      </c>
      <c r="R922" s="1" t="str">
        <f aca="false">IF($A922="","",IF(Q922="","",Q922+IF(O922="",0,O922)))</f>
        <v/>
      </c>
      <c r="T922" s="1" t="str">
        <f aca="false">IF($A922="","",IF(R922="","",R922-IF(S922="",0,S922)))</f>
        <v/>
      </c>
      <c r="U922" s="1" t="str">
        <f aca="false">IF($A922="","",IF(I922="","",I922-SUM(J922:P922)))</f>
        <v/>
      </c>
      <c r="V922" s="6" t="s">
        <v>4742</v>
      </c>
      <c r="W922" s="9" t="s">
        <v>528</v>
      </c>
      <c r="X922" s="9" t="s">
        <v>4743</v>
      </c>
      <c r="AC922" s="9" t="s">
        <v>4369</v>
      </c>
      <c r="AD922" s="9" t="s">
        <v>4370</v>
      </c>
      <c r="AE922" s="9" t="s">
        <v>4408</v>
      </c>
    </row>
    <row r="923" customFormat="false" ht="15" hidden="false" customHeight="true" outlineLevel="0" collapsed="false">
      <c r="A923" s="6" t="s">
        <v>3394</v>
      </c>
      <c r="B923" s="6" t="s">
        <v>485</v>
      </c>
      <c r="C923" s="6" t="s">
        <v>490</v>
      </c>
      <c r="D923" s="6" t="n">
        <v>6</v>
      </c>
      <c r="E923" s="9" t="s">
        <v>4616</v>
      </c>
      <c r="F923" s="6" t="n">
        <v>25000</v>
      </c>
      <c r="Q923" s="1" t="str">
        <f aca="false">IF($A923="","",IF(OR(F923="",I923=""),"",F923-I923))</f>
        <v/>
      </c>
      <c r="R923" s="1" t="str">
        <f aca="false">IF($A923="","",IF(Q923="","",Q923+IF(O923="",0,O923)))</f>
        <v/>
      </c>
      <c r="T923" s="1" t="str">
        <f aca="false">IF($A923="","",IF(R923="","",R923-IF(S923="",0,S923)))</f>
        <v/>
      </c>
      <c r="U923" s="1" t="str">
        <f aca="false">IF($A923="","",IF(I923="","",I923-SUM(J923:P923)))</f>
        <v/>
      </c>
      <c r="V923" s="6" t="s">
        <v>4742</v>
      </c>
      <c r="W923" s="9" t="s">
        <v>528</v>
      </c>
      <c r="X923" s="9" t="s">
        <v>4743</v>
      </c>
      <c r="AC923" s="9" t="s">
        <v>4369</v>
      </c>
      <c r="AD923" s="9" t="s">
        <v>4370</v>
      </c>
      <c r="AE923" s="9" t="s">
        <v>4445</v>
      </c>
    </row>
    <row r="924" customFormat="false" ht="15" hidden="false" customHeight="true" outlineLevel="0" collapsed="false">
      <c r="A924" s="6" t="s">
        <v>3397</v>
      </c>
      <c r="B924" s="6" t="s">
        <v>485</v>
      </c>
      <c r="C924" s="6" t="s">
        <v>490</v>
      </c>
      <c r="D924" s="6" t="n">
        <v>6</v>
      </c>
      <c r="E924" s="9" t="s">
        <v>4616</v>
      </c>
      <c r="F924" s="6" t="n">
        <v>39000</v>
      </c>
      <c r="Q924" s="1" t="str">
        <f aca="false">IF($A924="","",IF(OR(F924="",I924=""),"",F924-I924))</f>
        <v/>
      </c>
      <c r="R924" s="1" t="str">
        <f aca="false">IF($A924="","",IF(Q924="","",Q924+IF(O924="",0,O924)))</f>
        <v/>
      </c>
      <c r="T924" s="1" t="str">
        <f aca="false">IF($A924="","",IF(R924="","",R924-IF(S924="",0,S924)))</f>
        <v/>
      </c>
      <c r="U924" s="1" t="str">
        <f aca="false">IF($A924="","",IF(I924="","",I924-SUM(J924:P924)))</f>
        <v/>
      </c>
      <c r="V924" s="6" t="s">
        <v>4742</v>
      </c>
      <c r="W924" s="9" t="s">
        <v>528</v>
      </c>
      <c r="X924" s="9" t="s">
        <v>4743</v>
      </c>
      <c r="AC924" s="9" t="s">
        <v>4369</v>
      </c>
      <c r="AD924" s="9" t="s">
        <v>4370</v>
      </c>
      <c r="AE924" s="9" t="s">
        <v>4445</v>
      </c>
    </row>
    <row r="925" customFormat="false" ht="15" hidden="false" customHeight="true" outlineLevel="0" collapsed="false">
      <c r="A925" s="6" t="s">
        <v>3400</v>
      </c>
      <c r="B925" s="6" t="s">
        <v>485</v>
      </c>
      <c r="C925" s="6" t="s">
        <v>490</v>
      </c>
      <c r="D925" s="6" t="n">
        <v>6</v>
      </c>
      <c r="E925" s="9" t="s">
        <v>4616</v>
      </c>
      <c r="F925" s="6" t="n">
        <v>72000</v>
      </c>
      <c r="Q925" s="1" t="str">
        <f aca="false">IF($A925="","",IF(OR(F925="",I925=""),"",F925-I925))</f>
        <v/>
      </c>
      <c r="R925" s="1" t="str">
        <f aca="false">IF($A925="","",IF(Q925="","",Q925+IF(O925="",0,O925)))</f>
        <v/>
      </c>
      <c r="T925" s="1" t="str">
        <f aca="false">IF($A925="","",IF(R925="","",R925-IF(S925="",0,S925)))</f>
        <v/>
      </c>
      <c r="U925" s="1" t="str">
        <f aca="false">IF($A925="","",IF(I925="","",I925-SUM(J925:P925)))</f>
        <v/>
      </c>
      <c r="V925" s="6" t="s">
        <v>4742</v>
      </c>
      <c r="W925" s="9" t="s">
        <v>528</v>
      </c>
      <c r="X925" s="9" t="s">
        <v>4743</v>
      </c>
      <c r="AC925" s="9" t="s">
        <v>4369</v>
      </c>
      <c r="AD925" s="9" t="s">
        <v>4370</v>
      </c>
      <c r="AE925" s="9" t="s">
        <v>4408</v>
      </c>
    </row>
    <row r="926" customFormat="false" ht="15" hidden="false" customHeight="true" outlineLevel="0" collapsed="false">
      <c r="A926" s="6" t="s">
        <v>3403</v>
      </c>
      <c r="B926" s="6" t="s">
        <v>485</v>
      </c>
      <c r="C926" s="6" t="s">
        <v>490</v>
      </c>
      <c r="D926" s="6" t="n">
        <v>6</v>
      </c>
      <c r="E926" s="9" t="s">
        <v>4616</v>
      </c>
      <c r="F926" s="6" t="n">
        <v>25000</v>
      </c>
      <c r="Q926" s="1" t="str">
        <f aca="false">IF($A926="","",IF(OR(F926="",I926=""),"",F926-I926))</f>
        <v/>
      </c>
      <c r="R926" s="1" t="str">
        <f aca="false">IF($A926="","",IF(Q926="","",Q926+IF(O926="",0,O926)))</f>
        <v/>
      </c>
      <c r="T926" s="1" t="str">
        <f aca="false">IF($A926="","",IF(R926="","",R926-IF(S926="",0,S926)))</f>
        <v/>
      </c>
      <c r="U926" s="1" t="str">
        <f aca="false">IF($A926="","",IF(I926="","",I926-SUM(J926:P926)))</f>
        <v/>
      </c>
      <c r="V926" s="6" t="s">
        <v>4742</v>
      </c>
      <c r="W926" s="9" t="s">
        <v>528</v>
      </c>
      <c r="X926" s="9" t="s">
        <v>4743</v>
      </c>
      <c r="AC926" s="9" t="s">
        <v>4369</v>
      </c>
      <c r="AD926" s="9" t="s">
        <v>4370</v>
      </c>
      <c r="AE926" s="9" t="s">
        <v>4445</v>
      </c>
    </row>
    <row r="927" customFormat="false" ht="15" hidden="false" customHeight="true" outlineLevel="0" collapsed="false">
      <c r="A927" s="6" t="s">
        <v>3406</v>
      </c>
      <c r="B927" s="6" t="s">
        <v>485</v>
      </c>
      <c r="C927" s="6" t="s">
        <v>490</v>
      </c>
      <c r="D927" s="6" t="n">
        <v>6</v>
      </c>
      <c r="E927" s="9" t="s">
        <v>4616</v>
      </c>
      <c r="F927" s="6" t="n">
        <v>230000</v>
      </c>
      <c r="Q927" s="1" t="str">
        <f aca="false">IF($A927="","",IF(OR(F927="",I927=""),"",F927-I927))</f>
        <v/>
      </c>
      <c r="R927" s="1" t="str">
        <f aca="false">IF($A927="","",IF(Q927="","",Q927+IF(O927="",0,O927)))</f>
        <v/>
      </c>
      <c r="T927" s="1" t="str">
        <f aca="false">IF($A927="","",IF(R927="","",R927-IF(S927="",0,S927)))</f>
        <v/>
      </c>
      <c r="U927" s="1" t="str">
        <f aca="false">IF($A927="","",IF(I927="","",I927-SUM(J927:P927)))</f>
        <v/>
      </c>
      <c r="V927" s="6" t="s">
        <v>4742</v>
      </c>
      <c r="W927" s="9" t="s">
        <v>528</v>
      </c>
      <c r="X927" s="9" t="s">
        <v>4743</v>
      </c>
      <c r="AC927" s="9" t="s">
        <v>4369</v>
      </c>
      <c r="AD927" s="9" t="s">
        <v>4370</v>
      </c>
      <c r="AE927" s="9" t="s">
        <v>4408</v>
      </c>
    </row>
    <row r="928" customFormat="false" ht="15" hidden="false" customHeight="true" outlineLevel="0" collapsed="false">
      <c r="A928" s="6" t="s">
        <v>3409</v>
      </c>
      <c r="B928" s="6" t="s">
        <v>485</v>
      </c>
      <c r="C928" s="6" t="s">
        <v>490</v>
      </c>
      <c r="D928" s="6" t="n">
        <v>6</v>
      </c>
      <c r="E928" s="9" t="s">
        <v>4616</v>
      </c>
      <c r="F928" s="6" t="n">
        <v>40000</v>
      </c>
      <c r="Q928" s="1" t="str">
        <f aca="false">IF($A928="","",IF(OR(F928="",I928=""),"",F928-I928))</f>
        <v/>
      </c>
      <c r="R928" s="1" t="str">
        <f aca="false">IF($A928="","",IF(Q928="","",Q928+IF(O928="",0,O928)))</f>
        <v/>
      </c>
      <c r="T928" s="1" t="str">
        <f aca="false">IF($A928="","",IF(R928="","",R928-IF(S928="",0,S928)))</f>
        <v/>
      </c>
      <c r="U928" s="1" t="str">
        <f aca="false">IF($A928="","",IF(I928="","",I928-SUM(J928:P928)))</f>
        <v/>
      </c>
      <c r="V928" s="6" t="s">
        <v>4742</v>
      </c>
      <c r="W928" s="9" t="s">
        <v>528</v>
      </c>
      <c r="X928" s="9" t="s">
        <v>4743</v>
      </c>
      <c r="AC928" s="9" t="s">
        <v>4369</v>
      </c>
      <c r="AD928" s="9" t="s">
        <v>4370</v>
      </c>
      <c r="AE928" s="9" t="s">
        <v>4445</v>
      </c>
    </row>
    <row r="929" customFormat="false" ht="15" hidden="false" customHeight="true" outlineLevel="0" collapsed="false">
      <c r="A929" s="6" t="s">
        <v>3412</v>
      </c>
      <c r="B929" s="6" t="s">
        <v>485</v>
      </c>
      <c r="C929" s="6" t="s">
        <v>490</v>
      </c>
      <c r="D929" s="6" t="n">
        <v>6</v>
      </c>
      <c r="E929" s="9" t="s">
        <v>4616</v>
      </c>
      <c r="F929" s="6" t="n">
        <v>63000</v>
      </c>
      <c r="Q929" s="1" t="str">
        <f aca="false">IF($A929="","",IF(OR(F929="",I929=""),"",F929-I929))</f>
        <v/>
      </c>
      <c r="R929" s="1" t="str">
        <f aca="false">IF($A929="","",IF(Q929="","",Q929+IF(O929="",0,O929)))</f>
        <v/>
      </c>
      <c r="T929" s="1" t="str">
        <f aca="false">IF($A929="","",IF(R929="","",R929-IF(S929="",0,S929)))</f>
        <v/>
      </c>
      <c r="U929" s="1" t="str">
        <f aca="false">IF($A929="","",IF(I929="","",I929-SUM(J929:P929)))</f>
        <v/>
      </c>
      <c r="V929" s="6" t="s">
        <v>4742</v>
      </c>
      <c r="W929" s="9" t="s">
        <v>528</v>
      </c>
      <c r="X929" s="9" t="s">
        <v>4743</v>
      </c>
      <c r="AC929" s="9" t="s">
        <v>4369</v>
      </c>
      <c r="AD929" s="9" t="s">
        <v>4370</v>
      </c>
      <c r="AE929" s="9" t="s">
        <v>4408</v>
      </c>
    </row>
    <row r="930" customFormat="false" ht="15" hidden="false" customHeight="true" outlineLevel="0" collapsed="false">
      <c r="A930" s="6" t="s">
        <v>3415</v>
      </c>
      <c r="B930" s="6" t="s">
        <v>485</v>
      </c>
      <c r="C930" s="6" t="s">
        <v>490</v>
      </c>
      <c r="D930" s="6" t="n">
        <v>6</v>
      </c>
      <c r="E930" s="9" t="s">
        <v>4616</v>
      </c>
      <c r="F930" s="6" t="n">
        <v>29000</v>
      </c>
      <c r="Q930" s="1" t="str">
        <f aca="false">IF($A930="","",IF(OR(F930="",I930=""),"",F930-I930))</f>
        <v/>
      </c>
      <c r="R930" s="1" t="str">
        <f aca="false">IF($A930="","",IF(Q930="","",Q930+IF(O930="",0,O930)))</f>
        <v/>
      </c>
      <c r="T930" s="1" t="str">
        <f aca="false">IF($A930="","",IF(R930="","",R930-IF(S930="",0,S930)))</f>
        <v/>
      </c>
      <c r="U930" s="1" t="str">
        <f aca="false">IF($A930="","",IF(I930="","",I930-SUM(J930:P930)))</f>
        <v/>
      </c>
      <c r="V930" s="6" t="s">
        <v>4742</v>
      </c>
      <c r="W930" s="9" t="s">
        <v>528</v>
      </c>
      <c r="X930" s="9" t="s">
        <v>4743</v>
      </c>
      <c r="AC930" s="9" t="s">
        <v>4369</v>
      </c>
      <c r="AD930" s="9" t="s">
        <v>4370</v>
      </c>
      <c r="AE930" s="9" t="s">
        <v>4445</v>
      </c>
    </row>
    <row r="931" customFormat="false" ht="15" hidden="false" customHeight="true" outlineLevel="0" collapsed="false">
      <c r="A931" s="6" t="s">
        <v>3418</v>
      </c>
      <c r="B931" s="6" t="s">
        <v>485</v>
      </c>
      <c r="C931" s="6" t="s">
        <v>490</v>
      </c>
      <c r="D931" s="6" t="n">
        <v>6</v>
      </c>
      <c r="E931" s="9" t="s">
        <v>4616</v>
      </c>
      <c r="F931" s="6" t="n">
        <v>8000</v>
      </c>
      <c r="Q931" s="1" t="str">
        <f aca="false">IF($A931="","",IF(OR(F931="",I931=""),"",F931-I931))</f>
        <v/>
      </c>
      <c r="R931" s="1" t="str">
        <f aca="false">IF($A931="","",IF(Q931="","",Q931+IF(O931="",0,O931)))</f>
        <v/>
      </c>
      <c r="T931" s="1" t="str">
        <f aca="false">IF($A931="","",IF(R931="","",R931-IF(S931="",0,S931)))</f>
        <v/>
      </c>
      <c r="U931" s="1" t="str">
        <f aca="false">IF($A931="","",IF(I931="","",I931-SUM(J931:P931)))</f>
        <v/>
      </c>
      <c r="V931" s="6" t="s">
        <v>4742</v>
      </c>
      <c r="W931" s="9" t="s">
        <v>528</v>
      </c>
      <c r="X931" s="9" t="s">
        <v>4744</v>
      </c>
      <c r="AC931" s="6" t="s">
        <v>4373</v>
      </c>
      <c r="AD931" s="9" t="s">
        <v>4745</v>
      </c>
      <c r="AE931" s="9" t="s">
        <v>4445</v>
      </c>
    </row>
    <row r="932" customFormat="false" ht="15" hidden="false" customHeight="true" outlineLevel="0" collapsed="false">
      <c r="A932" s="6" t="s">
        <v>3421</v>
      </c>
      <c r="B932" s="6" t="s">
        <v>485</v>
      </c>
      <c r="C932" s="6" t="s">
        <v>490</v>
      </c>
      <c r="D932" s="6" t="n">
        <v>6</v>
      </c>
      <c r="E932" s="9" t="s">
        <v>4616</v>
      </c>
      <c r="F932" s="6" t="n">
        <v>119000</v>
      </c>
      <c r="Q932" s="1" t="str">
        <f aca="false">IF($A932="","",IF(OR(F932="",I932=""),"",F932-I932))</f>
        <v/>
      </c>
      <c r="R932" s="1" t="str">
        <f aca="false">IF($A932="","",IF(Q932="","",Q932+IF(O932="",0,O932)))</f>
        <v/>
      </c>
      <c r="T932" s="1" t="str">
        <f aca="false">IF($A932="","",IF(R932="","",R932-IF(S932="",0,S932)))</f>
        <v/>
      </c>
      <c r="U932" s="1" t="str">
        <f aca="false">IF($A932="","",IF(I932="","",I932-SUM(J932:P932)))</f>
        <v/>
      </c>
      <c r="V932" s="6" t="s">
        <v>4742</v>
      </c>
      <c r="W932" s="9" t="s">
        <v>528</v>
      </c>
      <c r="X932" s="9" t="s">
        <v>4743</v>
      </c>
      <c r="AC932" s="9" t="s">
        <v>4369</v>
      </c>
      <c r="AD932" s="9" t="s">
        <v>4370</v>
      </c>
      <c r="AE932" s="9" t="s">
        <v>4408</v>
      </c>
    </row>
    <row r="933" customFormat="false" ht="15" hidden="false" customHeight="true" outlineLevel="0" collapsed="false">
      <c r="A933" s="6" t="s">
        <v>3424</v>
      </c>
      <c r="B933" s="6" t="s">
        <v>485</v>
      </c>
      <c r="C933" s="6" t="s">
        <v>490</v>
      </c>
      <c r="D933" s="6" t="n">
        <v>6</v>
      </c>
      <c r="E933" s="9" t="s">
        <v>4616</v>
      </c>
      <c r="F933" s="6" t="n">
        <v>82000</v>
      </c>
      <c r="Q933" s="1" t="str">
        <f aca="false">IF($A933="","",IF(OR(F933="",I933=""),"",F933-I933))</f>
        <v/>
      </c>
      <c r="R933" s="1" t="str">
        <f aca="false">IF($A933="","",IF(Q933="","",Q933+IF(O933="",0,O933)))</f>
        <v/>
      </c>
      <c r="T933" s="1" t="str">
        <f aca="false">IF($A933="","",IF(R933="","",R933-IF(S933="",0,S933)))</f>
        <v/>
      </c>
      <c r="U933" s="1" t="str">
        <f aca="false">IF($A933="","",IF(I933="","",I933-SUM(J933:P933)))</f>
        <v/>
      </c>
      <c r="V933" s="6" t="s">
        <v>4742</v>
      </c>
      <c r="W933" s="9" t="s">
        <v>528</v>
      </c>
      <c r="X933" s="9" t="s">
        <v>4743</v>
      </c>
      <c r="AC933" s="9" t="s">
        <v>4369</v>
      </c>
      <c r="AD933" s="9" t="s">
        <v>4370</v>
      </c>
      <c r="AE933" s="9" t="s">
        <v>4408</v>
      </c>
    </row>
    <row r="934" customFormat="false" ht="15" hidden="false" customHeight="true" outlineLevel="0" collapsed="false">
      <c r="A934" s="6" t="s">
        <v>3427</v>
      </c>
      <c r="B934" s="6" t="s">
        <v>485</v>
      </c>
      <c r="C934" s="6" t="s">
        <v>490</v>
      </c>
      <c r="D934" s="6" t="n">
        <v>6</v>
      </c>
      <c r="E934" s="9" t="s">
        <v>4616</v>
      </c>
      <c r="F934" s="6" t="n">
        <v>61000</v>
      </c>
      <c r="Q934" s="1" t="str">
        <f aca="false">IF($A934="","",IF(OR(F934="",I934=""),"",F934-I934))</f>
        <v/>
      </c>
      <c r="R934" s="1" t="str">
        <f aca="false">IF($A934="","",IF(Q934="","",Q934+IF(O934="",0,O934)))</f>
        <v/>
      </c>
      <c r="T934" s="1" t="str">
        <f aca="false">IF($A934="","",IF(R934="","",R934-IF(S934="",0,S934)))</f>
        <v/>
      </c>
      <c r="U934" s="1" t="str">
        <f aca="false">IF($A934="","",IF(I934="","",I934-SUM(J934:P934)))</f>
        <v/>
      </c>
      <c r="V934" s="6" t="s">
        <v>4742</v>
      </c>
      <c r="W934" s="9" t="s">
        <v>528</v>
      </c>
      <c r="X934" s="9" t="s">
        <v>4743</v>
      </c>
      <c r="AC934" s="9" t="s">
        <v>4369</v>
      </c>
      <c r="AD934" s="9" t="s">
        <v>4370</v>
      </c>
      <c r="AE934" s="9" t="s">
        <v>4408</v>
      </c>
    </row>
    <row r="935" customFormat="false" ht="15" hidden="false" customHeight="true" outlineLevel="0" collapsed="false">
      <c r="A935" s="6" t="s">
        <v>3430</v>
      </c>
      <c r="B935" s="6" t="s">
        <v>485</v>
      </c>
      <c r="C935" s="6" t="s">
        <v>490</v>
      </c>
      <c r="D935" s="6" t="n">
        <v>6</v>
      </c>
      <c r="E935" s="9" t="s">
        <v>4616</v>
      </c>
      <c r="F935" s="6" t="n">
        <v>48000</v>
      </c>
      <c r="Q935" s="1" t="str">
        <f aca="false">IF($A935="","",IF(OR(F935="",I935=""),"",F935-I935))</f>
        <v/>
      </c>
      <c r="R935" s="1" t="str">
        <f aca="false">IF($A935="","",IF(Q935="","",Q935+IF(O935="",0,O935)))</f>
        <v/>
      </c>
      <c r="T935" s="1" t="str">
        <f aca="false">IF($A935="","",IF(R935="","",R935-IF(S935="",0,S935)))</f>
        <v/>
      </c>
      <c r="U935" s="1" t="str">
        <f aca="false">IF($A935="","",IF(I935="","",I935-SUM(J935:P935)))</f>
        <v/>
      </c>
      <c r="V935" s="6" t="s">
        <v>4742</v>
      </c>
      <c r="W935" s="9" t="s">
        <v>528</v>
      </c>
      <c r="X935" s="9" t="s">
        <v>4743</v>
      </c>
      <c r="AC935" s="9" t="s">
        <v>4369</v>
      </c>
      <c r="AD935" s="9" t="s">
        <v>4370</v>
      </c>
      <c r="AE935" s="9" t="s">
        <v>4445</v>
      </c>
    </row>
    <row r="936" customFormat="false" ht="15" hidden="false" customHeight="true" outlineLevel="0" collapsed="false">
      <c r="A936" s="6" t="s">
        <v>3433</v>
      </c>
      <c r="B936" s="6" t="s">
        <v>485</v>
      </c>
      <c r="C936" s="6" t="s">
        <v>490</v>
      </c>
      <c r="D936" s="6" t="n">
        <v>6</v>
      </c>
      <c r="E936" s="9" t="s">
        <v>4616</v>
      </c>
      <c r="F936" s="6" t="n">
        <v>43000</v>
      </c>
      <c r="Q936" s="1" t="str">
        <f aca="false">IF($A936="","",IF(OR(F936="",I936=""),"",F936-I936))</f>
        <v/>
      </c>
      <c r="R936" s="1" t="str">
        <f aca="false">IF($A936="","",IF(Q936="","",Q936+IF(O936="",0,O936)))</f>
        <v/>
      </c>
      <c r="T936" s="1" t="str">
        <f aca="false">IF($A936="","",IF(R936="","",R936-IF(S936="",0,S936)))</f>
        <v/>
      </c>
      <c r="U936" s="1" t="str">
        <f aca="false">IF($A936="","",IF(I936="","",I936-SUM(J936:P936)))</f>
        <v/>
      </c>
      <c r="V936" s="6" t="s">
        <v>4742</v>
      </c>
      <c r="W936" s="9" t="s">
        <v>528</v>
      </c>
      <c r="X936" s="9" t="s">
        <v>4743</v>
      </c>
      <c r="AC936" s="9" t="s">
        <v>4369</v>
      </c>
      <c r="AD936" s="9" t="s">
        <v>4370</v>
      </c>
      <c r="AE936" s="9" t="s">
        <v>4445</v>
      </c>
    </row>
    <row r="937" customFormat="false" ht="15" hidden="false" customHeight="true" outlineLevel="0" collapsed="false">
      <c r="A937" s="6" t="s">
        <v>3436</v>
      </c>
      <c r="B937" s="6" t="s">
        <v>485</v>
      </c>
      <c r="C937" s="6" t="s">
        <v>490</v>
      </c>
      <c r="D937" s="6" t="n">
        <v>6</v>
      </c>
      <c r="E937" s="9" t="s">
        <v>4616</v>
      </c>
      <c r="F937" s="6" t="n">
        <v>53000</v>
      </c>
      <c r="Q937" s="1" t="str">
        <f aca="false">IF($A937="","",IF(OR(F937="",I937=""),"",F937-I937))</f>
        <v/>
      </c>
      <c r="R937" s="1" t="str">
        <f aca="false">IF($A937="","",IF(Q937="","",Q937+IF(O937="",0,O937)))</f>
        <v/>
      </c>
      <c r="T937" s="1" t="str">
        <f aca="false">IF($A937="","",IF(R937="","",R937-IF(S937="",0,S937)))</f>
        <v/>
      </c>
      <c r="U937" s="1" t="str">
        <f aca="false">IF($A937="","",IF(I937="","",I937-SUM(J937:P937)))</f>
        <v/>
      </c>
      <c r="V937" s="6" t="s">
        <v>4742</v>
      </c>
      <c r="W937" s="9" t="s">
        <v>528</v>
      </c>
      <c r="X937" s="9" t="s">
        <v>4743</v>
      </c>
      <c r="AC937" s="9" t="s">
        <v>4369</v>
      </c>
      <c r="AD937" s="9" t="s">
        <v>4370</v>
      </c>
      <c r="AE937" s="9" t="s">
        <v>4408</v>
      </c>
    </row>
    <row r="938" customFormat="false" ht="15" hidden="false" customHeight="true" outlineLevel="0" collapsed="false">
      <c r="A938" s="6" t="s">
        <v>3439</v>
      </c>
      <c r="B938" s="6" t="s">
        <v>485</v>
      </c>
      <c r="C938" s="6" t="s">
        <v>490</v>
      </c>
      <c r="D938" s="6" t="n">
        <v>6</v>
      </c>
      <c r="E938" s="9" t="s">
        <v>4616</v>
      </c>
      <c r="F938" s="6" t="n">
        <v>89000</v>
      </c>
      <c r="Q938" s="1" t="str">
        <f aca="false">IF($A938="","",IF(OR(F938="",I938=""),"",F938-I938))</f>
        <v/>
      </c>
      <c r="R938" s="1" t="str">
        <f aca="false">IF($A938="","",IF(Q938="","",Q938+IF(O938="",0,O938)))</f>
        <v/>
      </c>
      <c r="T938" s="1" t="str">
        <f aca="false">IF($A938="","",IF(R938="","",R938-IF(S938="",0,S938)))</f>
        <v/>
      </c>
      <c r="U938" s="1" t="str">
        <f aca="false">IF($A938="","",IF(I938="","",I938-SUM(J938:P938)))</f>
        <v/>
      </c>
      <c r="V938" s="6" t="s">
        <v>4742</v>
      </c>
      <c r="W938" s="9" t="s">
        <v>528</v>
      </c>
      <c r="X938" s="9" t="s">
        <v>4743</v>
      </c>
      <c r="AC938" s="9" t="s">
        <v>4369</v>
      </c>
      <c r="AD938" s="9" t="s">
        <v>4370</v>
      </c>
      <c r="AE938" s="9" t="s">
        <v>4408</v>
      </c>
    </row>
    <row r="939" customFormat="false" ht="15" hidden="false" customHeight="true" outlineLevel="0" collapsed="false">
      <c r="A939" s="6" t="s">
        <v>3442</v>
      </c>
      <c r="B939" s="6" t="s">
        <v>485</v>
      </c>
      <c r="C939" s="6" t="s">
        <v>490</v>
      </c>
      <c r="D939" s="6" t="n">
        <v>6</v>
      </c>
      <c r="E939" s="9" t="s">
        <v>4616</v>
      </c>
      <c r="F939" s="6" t="n">
        <v>73000</v>
      </c>
      <c r="Q939" s="1" t="str">
        <f aca="false">IF($A939="","",IF(OR(F939="",I939=""),"",F939-I939))</f>
        <v/>
      </c>
      <c r="R939" s="1" t="str">
        <f aca="false">IF($A939="","",IF(Q939="","",Q939+IF(O939="",0,O939)))</f>
        <v/>
      </c>
      <c r="T939" s="1" t="str">
        <f aca="false">IF($A939="","",IF(R939="","",R939-IF(S939="",0,S939)))</f>
        <v/>
      </c>
      <c r="U939" s="1" t="str">
        <f aca="false">IF($A939="","",IF(I939="","",I939-SUM(J939:P939)))</f>
        <v/>
      </c>
      <c r="V939" s="6" t="s">
        <v>4742</v>
      </c>
      <c r="W939" s="9" t="s">
        <v>528</v>
      </c>
      <c r="X939" s="9" t="s">
        <v>4743</v>
      </c>
      <c r="AC939" s="9" t="s">
        <v>4369</v>
      </c>
      <c r="AD939" s="9" t="s">
        <v>4370</v>
      </c>
      <c r="AE939" s="9" t="s">
        <v>4408</v>
      </c>
    </row>
    <row r="940" customFormat="false" ht="15" hidden="false" customHeight="true" outlineLevel="0" collapsed="false">
      <c r="A940" s="6" t="s">
        <v>3445</v>
      </c>
      <c r="B940" s="6" t="s">
        <v>485</v>
      </c>
      <c r="C940" s="6" t="s">
        <v>490</v>
      </c>
      <c r="D940" s="6" t="n">
        <v>6</v>
      </c>
      <c r="E940" s="9" t="s">
        <v>4616</v>
      </c>
      <c r="F940" s="6" t="n">
        <v>60000</v>
      </c>
      <c r="Q940" s="1" t="str">
        <f aca="false">IF($A940="","",IF(OR(F940="",I940=""),"",F940-I940))</f>
        <v/>
      </c>
      <c r="R940" s="1" t="str">
        <f aca="false">IF($A940="","",IF(Q940="","",Q940+IF(O940="",0,O940)))</f>
        <v/>
      </c>
      <c r="T940" s="1" t="str">
        <f aca="false">IF($A940="","",IF(R940="","",R940-IF(S940="",0,S940)))</f>
        <v/>
      </c>
      <c r="U940" s="1" t="str">
        <f aca="false">IF($A940="","",IF(I940="","",I940-SUM(J940:P940)))</f>
        <v/>
      </c>
      <c r="V940" s="6" t="s">
        <v>4742</v>
      </c>
      <c r="W940" s="9" t="s">
        <v>528</v>
      </c>
      <c r="X940" s="9" t="s">
        <v>4743</v>
      </c>
      <c r="AC940" s="9" t="s">
        <v>4369</v>
      </c>
      <c r="AD940" s="9" t="s">
        <v>4370</v>
      </c>
      <c r="AE940" s="9" t="s">
        <v>4408</v>
      </c>
    </row>
    <row r="941" customFormat="false" ht="15" hidden="false" customHeight="true" outlineLevel="0" collapsed="false">
      <c r="A941" s="6" t="s">
        <v>3448</v>
      </c>
      <c r="B941" s="6" t="s">
        <v>485</v>
      </c>
      <c r="C941" s="6" t="s">
        <v>490</v>
      </c>
      <c r="D941" s="6" t="n">
        <v>6</v>
      </c>
      <c r="E941" s="9" t="s">
        <v>4616</v>
      </c>
      <c r="F941" s="6" t="n">
        <v>58000</v>
      </c>
      <c r="Q941" s="1" t="str">
        <f aca="false">IF($A941="","",IF(OR(F941="",I941=""),"",F941-I941))</f>
        <v/>
      </c>
      <c r="R941" s="1" t="str">
        <f aca="false">IF($A941="","",IF(Q941="","",Q941+IF(O941="",0,O941)))</f>
        <v/>
      </c>
      <c r="T941" s="1" t="str">
        <f aca="false">IF($A941="","",IF(R941="","",R941-IF(S941="",0,S941)))</f>
        <v/>
      </c>
      <c r="U941" s="1" t="str">
        <f aca="false">IF($A941="","",IF(I941="","",I941-SUM(J941:P941)))</f>
        <v/>
      </c>
      <c r="V941" s="6" t="s">
        <v>4742</v>
      </c>
      <c r="W941" s="9" t="s">
        <v>528</v>
      </c>
      <c r="X941" s="9" t="s">
        <v>4743</v>
      </c>
      <c r="AC941" s="9" t="s">
        <v>4369</v>
      </c>
      <c r="AD941" s="9" t="s">
        <v>4370</v>
      </c>
      <c r="AE941" s="9" t="s">
        <v>4408</v>
      </c>
    </row>
    <row r="942" customFormat="false" ht="15" hidden="false" customHeight="true" outlineLevel="0" collapsed="false">
      <c r="A942" s="6" t="s">
        <v>3451</v>
      </c>
      <c r="B942" s="6" t="s">
        <v>485</v>
      </c>
      <c r="C942" s="6" t="s">
        <v>490</v>
      </c>
      <c r="D942" s="6" t="n">
        <v>6</v>
      </c>
      <c r="E942" s="9" t="s">
        <v>4616</v>
      </c>
      <c r="F942" s="6" t="n">
        <v>58000</v>
      </c>
      <c r="Q942" s="1" t="str">
        <f aca="false">IF($A942="","",IF(OR(F942="",I942=""),"",F942-I942))</f>
        <v/>
      </c>
      <c r="R942" s="1" t="str">
        <f aca="false">IF($A942="","",IF(Q942="","",Q942+IF(O942="",0,O942)))</f>
        <v/>
      </c>
      <c r="T942" s="1" t="str">
        <f aca="false">IF($A942="","",IF(R942="","",R942-IF(S942="",0,S942)))</f>
        <v/>
      </c>
      <c r="U942" s="1" t="str">
        <f aca="false">IF($A942="","",IF(I942="","",I942-SUM(J942:P942)))</f>
        <v/>
      </c>
      <c r="V942" s="6" t="s">
        <v>4742</v>
      </c>
      <c r="W942" s="9" t="s">
        <v>528</v>
      </c>
      <c r="X942" s="9" t="s">
        <v>4743</v>
      </c>
      <c r="AC942" s="9" t="s">
        <v>4369</v>
      </c>
      <c r="AD942" s="9" t="s">
        <v>4370</v>
      </c>
      <c r="AE942" s="9" t="s">
        <v>4408</v>
      </c>
    </row>
    <row r="943" customFormat="false" ht="15" hidden="false" customHeight="true" outlineLevel="0" collapsed="false">
      <c r="A943" s="6" t="s">
        <v>3454</v>
      </c>
      <c r="B943" s="6" t="s">
        <v>485</v>
      </c>
      <c r="C943" s="6" t="s">
        <v>490</v>
      </c>
      <c r="D943" s="6" t="n">
        <v>6</v>
      </c>
      <c r="E943" s="9" t="s">
        <v>4616</v>
      </c>
      <c r="F943" s="6" t="n">
        <v>42000</v>
      </c>
      <c r="Q943" s="1" t="str">
        <f aca="false">IF($A943="","",IF(OR(F943="",I943=""),"",F943-I943))</f>
        <v/>
      </c>
      <c r="R943" s="1" t="str">
        <f aca="false">IF($A943="","",IF(Q943="","",Q943+IF(O943="",0,O943)))</f>
        <v/>
      </c>
      <c r="T943" s="1" t="str">
        <f aca="false">IF($A943="","",IF(R943="","",R943-IF(S943="",0,S943)))</f>
        <v/>
      </c>
      <c r="U943" s="1" t="str">
        <f aca="false">IF($A943="","",IF(I943="","",I943-SUM(J943:P943)))</f>
        <v/>
      </c>
      <c r="V943" s="6" t="s">
        <v>4742</v>
      </c>
      <c r="W943" s="9" t="s">
        <v>528</v>
      </c>
      <c r="X943" s="9" t="s">
        <v>4743</v>
      </c>
      <c r="AC943" s="9" t="s">
        <v>4369</v>
      </c>
      <c r="AD943" s="9" t="s">
        <v>4370</v>
      </c>
      <c r="AE943" s="9" t="s">
        <v>4445</v>
      </c>
    </row>
    <row r="944" customFormat="false" ht="15" hidden="false" customHeight="true" outlineLevel="0" collapsed="false">
      <c r="A944" s="6" t="s">
        <v>3457</v>
      </c>
      <c r="B944" s="6" t="s">
        <v>485</v>
      </c>
      <c r="C944" s="6" t="s">
        <v>490</v>
      </c>
      <c r="D944" s="6" t="n">
        <v>6</v>
      </c>
      <c r="E944" s="9" t="s">
        <v>4616</v>
      </c>
      <c r="F944" s="6" t="n">
        <v>40000</v>
      </c>
      <c r="Q944" s="1" t="str">
        <f aca="false">IF($A944="","",IF(OR(F944="",I944=""),"",F944-I944))</f>
        <v/>
      </c>
      <c r="R944" s="1" t="str">
        <f aca="false">IF($A944="","",IF(Q944="","",Q944+IF(O944="",0,O944)))</f>
        <v/>
      </c>
      <c r="T944" s="1" t="str">
        <f aca="false">IF($A944="","",IF(R944="","",R944-IF(S944="",0,S944)))</f>
        <v/>
      </c>
      <c r="U944" s="1" t="str">
        <f aca="false">IF($A944="","",IF(I944="","",I944-SUM(J944:P944)))</f>
        <v/>
      </c>
      <c r="V944" s="6" t="s">
        <v>4742</v>
      </c>
      <c r="W944" s="9" t="s">
        <v>528</v>
      </c>
      <c r="X944" s="9" t="s">
        <v>4743</v>
      </c>
      <c r="AC944" s="9" t="s">
        <v>4369</v>
      </c>
      <c r="AD944" s="9" t="s">
        <v>4370</v>
      </c>
      <c r="AE944" s="9" t="s">
        <v>4445</v>
      </c>
    </row>
    <row r="945" customFormat="false" ht="15" hidden="false" customHeight="true" outlineLevel="0" collapsed="false">
      <c r="A945" s="6" t="s">
        <v>3460</v>
      </c>
      <c r="B945" s="6" t="s">
        <v>485</v>
      </c>
      <c r="C945" s="6" t="s">
        <v>490</v>
      </c>
      <c r="D945" s="6" t="n">
        <v>6</v>
      </c>
      <c r="E945" s="9" t="s">
        <v>4616</v>
      </c>
      <c r="F945" s="6" t="n">
        <v>35000</v>
      </c>
      <c r="Q945" s="1" t="str">
        <f aca="false">IF($A945="","",IF(OR(F945="",I945=""),"",F945-I945))</f>
        <v/>
      </c>
      <c r="R945" s="1" t="str">
        <f aca="false">IF($A945="","",IF(Q945="","",Q945+IF(O945="",0,O945)))</f>
        <v/>
      </c>
      <c r="T945" s="1" t="str">
        <f aca="false">IF($A945="","",IF(R945="","",R945-IF(S945="",0,S945)))</f>
        <v/>
      </c>
      <c r="U945" s="1" t="str">
        <f aca="false">IF($A945="","",IF(I945="","",I945-SUM(J945:P945)))</f>
        <v/>
      </c>
      <c r="V945" s="6" t="s">
        <v>4742</v>
      </c>
      <c r="W945" s="9" t="s">
        <v>528</v>
      </c>
      <c r="X945" s="9" t="s">
        <v>4743</v>
      </c>
      <c r="AC945" s="9" t="s">
        <v>4369</v>
      </c>
      <c r="AD945" s="9" t="s">
        <v>4370</v>
      </c>
      <c r="AE945" s="9" t="s">
        <v>4445</v>
      </c>
    </row>
    <row r="946" customFormat="false" ht="15" hidden="false" customHeight="true" outlineLevel="0" collapsed="false">
      <c r="A946" s="6" t="s">
        <v>3463</v>
      </c>
      <c r="B946" s="6" t="s">
        <v>485</v>
      </c>
      <c r="C946" s="6" t="s">
        <v>490</v>
      </c>
      <c r="D946" s="6" t="n">
        <v>6</v>
      </c>
      <c r="E946" s="9" t="s">
        <v>4616</v>
      </c>
      <c r="F946" s="6" t="n">
        <v>39000</v>
      </c>
      <c r="Q946" s="1" t="str">
        <f aca="false">IF($A946="","",IF(OR(F946="",I946=""),"",F946-I946))</f>
        <v/>
      </c>
      <c r="R946" s="1" t="str">
        <f aca="false">IF($A946="","",IF(Q946="","",Q946+IF(O946="",0,O946)))</f>
        <v/>
      </c>
      <c r="T946" s="1" t="str">
        <f aca="false">IF($A946="","",IF(R946="","",R946-IF(S946="",0,S946)))</f>
        <v/>
      </c>
      <c r="U946" s="1" t="str">
        <f aca="false">IF($A946="","",IF(I946="","",I946-SUM(J946:P946)))</f>
        <v/>
      </c>
      <c r="V946" s="6" t="s">
        <v>4742</v>
      </c>
      <c r="W946" s="9" t="s">
        <v>528</v>
      </c>
      <c r="X946" s="9" t="s">
        <v>4743</v>
      </c>
      <c r="AC946" s="9" t="s">
        <v>4369</v>
      </c>
      <c r="AD946" s="9" t="s">
        <v>4370</v>
      </c>
      <c r="AE946" s="9" t="s">
        <v>4445</v>
      </c>
    </row>
    <row r="947" customFormat="false" ht="15" hidden="false" customHeight="true" outlineLevel="0" collapsed="false">
      <c r="A947" s="6" t="s">
        <v>3466</v>
      </c>
      <c r="B947" s="6" t="s">
        <v>485</v>
      </c>
      <c r="C947" s="6" t="s">
        <v>490</v>
      </c>
      <c r="D947" s="6" t="n">
        <v>6</v>
      </c>
      <c r="E947" s="9" t="s">
        <v>4616</v>
      </c>
      <c r="F947" s="6" t="n">
        <v>34000</v>
      </c>
      <c r="Q947" s="1" t="str">
        <f aca="false">IF($A947="","",IF(OR(F947="",I947=""),"",F947-I947))</f>
        <v/>
      </c>
      <c r="R947" s="1" t="str">
        <f aca="false">IF($A947="","",IF(Q947="","",Q947+IF(O947="",0,O947)))</f>
        <v/>
      </c>
      <c r="T947" s="1" t="str">
        <f aca="false">IF($A947="","",IF(R947="","",R947-IF(S947="",0,S947)))</f>
        <v/>
      </c>
      <c r="U947" s="1" t="str">
        <f aca="false">IF($A947="","",IF(I947="","",I947-SUM(J947:P947)))</f>
        <v/>
      </c>
      <c r="V947" s="6" t="s">
        <v>4742</v>
      </c>
      <c r="W947" s="9" t="s">
        <v>528</v>
      </c>
      <c r="X947" s="9" t="s">
        <v>4743</v>
      </c>
      <c r="AC947" s="9" t="s">
        <v>4369</v>
      </c>
      <c r="AD947" s="9" t="s">
        <v>4370</v>
      </c>
      <c r="AE947" s="9" t="s">
        <v>4445</v>
      </c>
    </row>
    <row r="948" customFormat="false" ht="15" hidden="false" customHeight="true" outlineLevel="0" collapsed="false">
      <c r="A948" s="6" t="s">
        <v>3469</v>
      </c>
      <c r="B948" s="6" t="s">
        <v>485</v>
      </c>
      <c r="C948" s="6" t="s">
        <v>490</v>
      </c>
      <c r="D948" s="6" t="n">
        <v>6</v>
      </c>
      <c r="E948" s="9" t="s">
        <v>4616</v>
      </c>
      <c r="F948" s="6" t="n">
        <v>32000</v>
      </c>
      <c r="Q948" s="1" t="str">
        <f aca="false">IF($A948="","",IF(OR(F948="",I948=""),"",F948-I948))</f>
        <v/>
      </c>
      <c r="R948" s="1" t="str">
        <f aca="false">IF($A948="","",IF(Q948="","",Q948+IF(O948="",0,O948)))</f>
        <v/>
      </c>
      <c r="T948" s="1" t="str">
        <f aca="false">IF($A948="","",IF(R948="","",R948-IF(S948="",0,S948)))</f>
        <v/>
      </c>
      <c r="U948" s="1" t="str">
        <f aca="false">IF($A948="","",IF(I948="","",I948-SUM(J948:P948)))</f>
        <v/>
      </c>
      <c r="V948" s="6" t="s">
        <v>4742</v>
      </c>
      <c r="W948" s="9" t="s">
        <v>528</v>
      </c>
      <c r="X948" s="9" t="s">
        <v>4743</v>
      </c>
      <c r="AC948" s="9" t="s">
        <v>4369</v>
      </c>
      <c r="AD948" s="9" t="s">
        <v>4370</v>
      </c>
      <c r="AE948" s="9" t="s">
        <v>4445</v>
      </c>
    </row>
    <row r="949" customFormat="false" ht="15" hidden="false" customHeight="true" outlineLevel="0" collapsed="false">
      <c r="A949" s="6" t="s">
        <v>3472</v>
      </c>
      <c r="B949" s="6" t="s">
        <v>485</v>
      </c>
      <c r="C949" s="6" t="s">
        <v>490</v>
      </c>
      <c r="D949" s="6" t="n">
        <v>6</v>
      </c>
      <c r="E949" s="9" t="s">
        <v>4616</v>
      </c>
      <c r="F949" s="6" t="n">
        <v>33000</v>
      </c>
      <c r="Q949" s="1" t="str">
        <f aca="false">IF($A949="","",IF(OR(F949="",I949=""),"",F949-I949))</f>
        <v/>
      </c>
      <c r="R949" s="1" t="str">
        <f aca="false">IF($A949="","",IF(Q949="","",Q949+IF(O949="",0,O949)))</f>
        <v/>
      </c>
      <c r="T949" s="1" t="str">
        <f aca="false">IF($A949="","",IF(R949="","",R949-IF(S949="",0,S949)))</f>
        <v/>
      </c>
      <c r="U949" s="1" t="str">
        <f aca="false">IF($A949="","",IF(I949="","",I949-SUM(J949:P949)))</f>
        <v/>
      </c>
      <c r="V949" s="6" t="s">
        <v>4742</v>
      </c>
      <c r="W949" s="9" t="s">
        <v>528</v>
      </c>
      <c r="X949" s="9" t="s">
        <v>4743</v>
      </c>
      <c r="AC949" s="9" t="s">
        <v>4369</v>
      </c>
      <c r="AD949" s="9" t="s">
        <v>4370</v>
      </c>
      <c r="AE949" s="9" t="s">
        <v>4445</v>
      </c>
    </row>
    <row r="950" customFormat="false" ht="15" hidden="false" customHeight="true" outlineLevel="0" collapsed="false">
      <c r="A950" s="6" t="s">
        <v>3475</v>
      </c>
      <c r="B950" s="6" t="s">
        <v>485</v>
      </c>
      <c r="C950" s="6" t="s">
        <v>490</v>
      </c>
      <c r="D950" s="6" t="n">
        <v>6</v>
      </c>
      <c r="E950" s="9" t="s">
        <v>4616</v>
      </c>
      <c r="F950" s="6" t="n">
        <v>31000</v>
      </c>
      <c r="Q950" s="1" t="str">
        <f aca="false">IF($A950="","",IF(OR(F950="",I950=""),"",F950-I950))</f>
        <v/>
      </c>
      <c r="R950" s="1" t="str">
        <f aca="false">IF($A950="","",IF(Q950="","",Q950+IF(O950="",0,O950)))</f>
        <v/>
      </c>
      <c r="T950" s="1" t="str">
        <f aca="false">IF($A950="","",IF(R950="","",R950-IF(S950="",0,S950)))</f>
        <v/>
      </c>
      <c r="U950" s="1" t="str">
        <f aca="false">IF($A950="","",IF(I950="","",I950-SUM(J950:P950)))</f>
        <v/>
      </c>
      <c r="V950" s="6" t="s">
        <v>4742</v>
      </c>
      <c r="W950" s="9" t="s">
        <v>528</v>
      </c>
      <c r="X950" s="9" t="s">
        <v>4743</v>
      </c>
      <c r="AC950" s="9" t="s">
        <v>4369</v>
      </c>
      <c r="AD950" s="9" t="s">
        <v>4370</v>
      </c>
      <c r="AE950" s="9" t="s">
        <v>4445</v>
      </c>
    </row>
    <row r="951" customFormat="false" ht="15" hidden="false" customHeight="true" outlineLevel="0" collapsed="false">
      <c r="A951" s="6" t="s">
        <v>3478</v>
      </c>
      <c r="B951" s="6" t="s">
        <v>485</v>
      </c>
      <c r="C951" s="6" t="s">
        <v>490</v>
      </c>
      <c r="D951" s="6" t="n">
        <v>6</v>
      </c>
      <c r="E951" s="9" t="s">
        <v>4616</v>
      </c>
      <c r="F951" s="6" t="n">
        <v>35000</v>
      </c>
      <c r="Q951" s="1" t="str">
        <f aca="false">IF($A951="","",IF(OR(F951="",I951=""),"",F951-I951))</f>
        <v/>
      </c>
      <c r="R951" s="1" t="str">
        <f aca="false">IF($A951="","",IF(Q951="","",Q951+IF(O951="",0,O951)))</f>
        <v/>
      </c>
      <c r="T951" s="1" t="str">
        <f aca="false">IF($A951="","",IF(R951="","",R951-IF(S951="",0,S951)))</f>
        <v/>
      </c>
      <c r="U951" s="1" t="str">
        <f aca="false">IF($A951="","",IF(I951="","",I951-SUM(J951:P951)))</f>
        <v/>
      </c>
      <c r="V951" s="6" t="s">
        <v>4742</v>
      </c>
      <c r="W951" s="9" t="s">
        <v>528</v>
      </c>
      <c r="X951" s="9" t="s">
        <v>4743</v>
      </c>
      <c r="AC951" s="9" t="s">
        <v>4369</v>
      </c>
      <c r="AD951" s="9" t="s">
        <v>4370</v>
      </c>
      <c r="AE951" s="9" t="s">
        <v>4445</v>
      </c>
    </row>
    <row r="952" customFormat="false" ht="15" hidden="false" customHeight="true" outlineLevel="0" collapsed="false">
      <c r="A952" s="6" t="s">
        <v>3481</v>
      </c>
      <c r="B952" s="6" t="s">
        <v>485</v>
      </c>
      <c r="C952" s="6" t="s">
        <v>490</v>
      </c>
      <c r="D952" s="6" t="n">
        <v>6</v>
      </c>
      <c r="E952" s="9" t="s">
        <v>4616</v>
      </c>
      <c r="F952" s="6" t="n">
        <v>33000</v>
      </c>
      <c r="Q952" s="1" t="str">
        <f aca="false">IF($A952="","",IF(OR(F952="",I952=""),"",F952-I952))</f>
        <v/>
      </c>
      <c r="R952" s="1" t="str">
        <f aca="false">IF($A952="","",IF(Q952="","",Q952+IF(O952="",0,O952)))</f>
        <v/>
      </c>
      <c r="T952" s="1" t="str">
        <f aca="false">IF($A952="","",IF(R952="","",R952-IF(S952="",0,S952)))</f>
        <v/>
      </c>
      <c r="U952" s="1" t="str">
        <f aca="false">IF($A952="","",IF(I952="","",I952-SUM(J952:P952)))</f>
        <v/>
      </c>
      <c r="V952" s="6" t="s">
        <v>4742</v>
      </c>
      <c r="W952" s="9" t="s">
        <v>528</v>
      </c>
      <c r="X952" s="9" t="s">
        <v>4743</v>
      </c>
      <c r="AC952" s="9" t="s">
        <v>4369</v>
      </c>
      <c r="AD952" s="9" t="s">
        <v>4370</v>
      </c>
      <c r="AE952" s="9" t="s">
        <v>4445</v>
      </c>
    </row>
    <row r="953" customFormat="false" ht="15" hidden="false" customHeight="true" outlineLevel="0" collapsed="false">
      <c r="A953" s="6" t="s">
        <v>3484</v>
      </c>
      <c r="B953" s="6" t="s">
        <v>485</v>
      </c>
      <c r="C953" s="6" t="s">
        <v>490</v>
      </c>
      <c r="D953" s="6" t="n">
        <v>6</v>
      </c>
      <c r="E953" s="9" t="s">
        <v>4616</v>
      </c>
      <c r="F953" s="6" t="n">
        <v>109000</v>
      </c>
      <c r="Q953" s="1" t="str">
        <f aca="false">IF($A953="","",IF(OR(F953="",I953=""),"",F953-I953))</f>
        <v/>
      </c>
      <c r="R953" s="1" t="str">
        <f aca="false">IF($A953="","",IF(Q953="","",Q953+IF(O953="",0,O953)))</f>
        <v/>
      </c>
      <c r="T953" s="1" t="str">
        <f aca="false">IF($A953="","",IF(R953="","",R953-IF(S953="",0,S953)))</f>
        <v/>
      </c>
      <c r="U953" s="1" t="str">
        <f aca="false">IF($A953="","",IF(I953="","",I953-SUM(J953:P953)))</f>
        <v/>
      </c>
      <c r="V953" s="6" t="s">
        <v>4742</v>
      </c>
      <c r="W953" s="9" t="s">
        <v>528</v>
      </c>
      <c r="X953" s="9" t="s">
        <v>4743</v>
      </c>
      <c r="AC953" s="9" t="s">
        <v>4369</v>
      </c>
      <c r="AD953" s="9" t="s">
        <v>4370</v>
      </c>
      <c r="AE953" s="9" t="s">
        <v>4408</v>
      </c>
    </row>
    <row r="954" customFormat="false" ht="15" hidden="false" customHeight="true" outlineLevel="0" collapsed="false">
      <c r="A954" s="6" t="s">
        <v>3487</v>
      </c>
      <c r="B954" s="6" t="s">
        <v>485</v>
      </c>
      <c r="C954" s="6" t="s">
        <v>490</v>
      </c>
      <c r="D954" s="6" t="n">
        <v>6</v>
      </c>
      <c r="E954" s="9" t="s">
        <v>4616</v>
      </c>
      <c r="F954" s="6" t="n">
        <v>188000</v>
      </c>
      <c r="Q954" s="1" t="str">
        <f aca="false">IF($A954="","",IF(OR(F954="",I954=""),"",F954-I954))</f>
        <v/>
      </c>
      <c r="R954" s="1" t="str">
        <f aca="false">IF($A954="","",IF(Q954="","",Q954+IF(O954="",0,O954)))</f>
        <v/>
      </c>
      <c r="T954" s="1" t="str">
        <f aca="false">IF($A954="","",IF(R954="","",R954-IF(S954="",0,S954)))</f>
        <v/>
      </c>
      <c r="U954" s="1" t="str">
        <f aca="false">IF($A954="","",IF(I954="","",I954-SUM(J954:P954)))</f>
        <v/>
      </c>
      <c r="V954" s="6" t="s">
        <v>4742</v>
      </c>
      <c r="W954" s="9" t="s">
        <v>528</v>
      </c>
      <c r="X954" s="9" t="s">
        <v>4743</v>
      </c>
      <c r="AC954" s="9" t="s">
        <v>4369</v>
      </c>
      <c r="AD954" s="9" t="s">
        <v>4370</v>
      </c>
      <c r="AE954" s="9" t="s">
        <v>4408</v>
      </c>
    </row>
    <row r="955" customFormat="false" ht="15" hidden="false" customHeight="true" outlineLevel="0" collapsed="false">
      <c r="A955" s="6" t="s">
        <v>3490</v>
      </c>
      <c r="B955" s="6" t="s">
        <v>485</v>
      </c>
      <c r="C955" s="6" t="s">
        <v>490</v>
      </c>
      <c r="D955" s="6" t="n">
        <v>6</v>
      </c>
      <c r="E955" s="9" t="s">
        <v>4616</v>
      </c>
      <c r="F955" s="6" t="n">
        <v>102000</v>
      </c>
      <c r="Q955" s="1" t="str">
        <f aca="false">IF($A955="","",IF(OR(F955="",I955=""),"",F955-I955))</f>
        <v/>
      </c>
      <c r="R955" s="1" t="str">
        <f aca="false">IF($A955="","",IF(Q955="","",Q955+IF(O955="",0,O955)))</f>
        <v/>
      </c>
      <c r="T955" s="1" t="str">
        <f aca="false">IF($A955="","",IF(R955="","",R955-IF(S955="",0,S955)))</f>
        <v/>
      </c>
      <c r="U955" s="1" t="str">
        <f aca="false">IF($A955="","",IF(I955="","",I955-SUM(J955:P955)))</f>
        <v/>
      </c>
      <c r="V955" s="6" t="s">
        <v>4742</v>
      </c>
      <c r="W955" s="9" t="s">
        <v>528</v>
      </c>
      <c r="X955" s="9" t="s">
        <v>4743</v>
      </c>
      <c r="AC955" s="9" t="s">
        <v>4369</v>
      </c>
      <c r="AD955" s="9" t="s">
        <v>4370</v>
      </c>
      <c r="AE955" s="9" t="s">
        <v>4408</v>
      </c>
    </row>
    <row r="956" customFormat="false" ht="15" hidden="false" customHeight="true" outlineLevel="0" collapsed="false">
      <c r="A956" s="6" t="s">
        <v>3493</v>
      </c>
      <c r="B956" s="6" t="s">
        <v>485</v>
      </c>
      <c r="C956" s="6" t="s">
        <v>490</v>
      </c>
      <c r="D956" s="6" t="n">
        <v>6</v>
      </c>
      <c r="E956" s="9" t="s">
        <v>4616</v>
      </c>
      <c r="F956" s="6" t="n">
        <v>60000</v>
      </c>
      <c r="Q956" s="1" t="str">
        <f aca="false">IF($A956="","",IF(OR(F956="",I956=""),"",F956-I956))</f>
        <v/>
      </c>
      <c r="R956" s="1" t="str">
        <f aca="false">IF($A956="","",IF(Q956="","",Q956+IF(O956="",0,O956)))</f>
        <v/>
      </c>
      <c r="T956" s="1" t="str">
        <f aca="false">IF($A956="","",IF(R956="","",R956-IF(S956="",0,S956)))</f>
        <v/>
      </c>
      <c r="U956" s="1" t="str">
        <f aca="false">IF($A956="","",IF(I956="","",I956-SUM(J956:P956)))</f>
        <v/>
      </c>
      <c r="V956" s="6" t="s">
        <v>4742</v>
      </c>
      <c r="W956" s="9" t="s">
        <v>528</v>
      </c>
      <c r="X956" s="9" t="s">
        <v>4743</v>
      </c>
      <c r="AC956" s="9" t="s">
        <v>4369</v>
      </c>
      <c r="AD956" s="9" t="s">
        <v>4370</v>
      </c>
      <c r="AE956" s="9" t="s">
        <v>4408</v>
      </c>
    </row>
    <row r="957" customFormat="false" ht="15" hidden="false" customHeight="true" outlineLevel="0" collapsed="false">
      <c r="A957" s="6" t="s">
        <v>3496</v>
      </c>
      <c r="B957" s="6" t="s">
        <v>485</v>
      </c>
      <c r="C957" s="6" t="s">
        <v>490</v>
      </c>
      <c r="D957" s="6" t="n">
        <v>6</v>
      </c>
      <c r="E957" s="9" t="s">
        <v>4616</v>
      </c>
      <c r="F957" s="6" t="n">
        <v>45000</v>
      </c>
      <c r="Q957" s="1" t="str">
        <f aca="false">IF($A957="","",IF(OR(F957="",I957=""),"",F957-I957))</f>
        <v/>
      </c>
      <c r="R957" s="1" t="str">
        <f aca="false">IF($A957="","",IF(Q957="","",Q957+IF(O957="",0,O957)))</f>
        <v/>
      </c>
      <c r="T957" s="1" t="str">
        <f aca="false">IF($A957="","",IF(R957="","",R957-IF(S957="",0,S957)))</f>
        <v/>
      </c>
      <c r="U957" s="1" t="str">
        <f aca="false">IF($A957="","",IF(I957="","",I957-SUM(J957:P957)))</f>
        <v/>
      </c>
      <c r="V957" s="6" t="s">
        <v>4742</v>
      </c>
      <c r="W957" s="9" t="s">
        <v>528</v>
      </c>
      <c r="X957" s="9" t="s">
        <v>4743</v>
      </c>
      <c r="AC957" s="9" t="s">
        <v>4369</v>
      </c>
      <c r="AD957" s="9" t="s">
        <v>4370</v>
      </c>
      <c r="AE957" s="9" t="s">
        <v>4445</v>
      </c>
    </row>
    <row r="958" customFormat="false" ht="15" hidden="false" customHeight="true" outlineLevel="0" collapsed="false">
      <c r="A958" s="6" t="s">
        <v>3499</v>
      </c>
      <c r="B958" s="6" t="s">
        <v>485</v>
      </c>
      <c r="C958" s="6" t="s">
        <v>490</v>
      </c>
      <c r="D958" s="6" t="n">
        <v>6</v>
      </c>
      <c r="E958" s="9" t="s">
        <v>4616</v>
      </c>
      <c r="F958" s="6" t="n">
        <v>23000</v>
      </c>
      <c r="Q958" s="1" t="str">
        <f aca="false">IF($A958="","",IF(OR(F958="",I958=""),"",F958-I958))</f>
        <v/>
      </c>
      <c r="R958" s="1" t="str">
        <f aca="false">IF($A958="","",IF(Q958="","",Q958+IF(O958="",0,O958)))</f>
        <v/>
      </c>
      <c r="T958" s="1" t="str">
        <f aca="false">IF($A958="","",IF(R958="","",R958-IF(S958="",0,S958)))</f>
        <v/>
      </c>
      <c r="U958" s="1" t="str">
        <f aca="false">IF($A958="","",IF(I958="","",I958-SUM(J958:P958)))</f>
        <v/>
      </c>
      <c r="V958" s="6" t="s">
        <v>4742</v>
      </c>
      <c r="W958" s="9" t="s">
        <v>528</v>
      </c>
      <c r="X958" s="9" t="s">
        <v>4743</v>
      </c>
      <c r="AC958" s="9" t="s">
        <v>4369</v>
      </c>
      <c r="AD958" s="9" t="s">
        <v>4370</v>
      </c>
      <c r="AE958" s="9" t="s">
        <v>4445</v>
      </c>
    </row>
    <row r="959" customFormat="false" ht="15" hidden="false" customHeight="true" outlineLevel="0" collapsed="false">
      <c r="A959" s="6" t="s">
        <v>3502</v>
      </c>
      <c r="B959" s="6" t="s">
        <v>485</v>
      </c>
      <c r="C959" s="6" t="s">
        <v>490</v>
      </c>
      <c r="D959" s="6" t="n">
        <v>6</v>
      </c>
      <c r="E959" s="9" t="s">
        <v>4616</v>
      </c>
      <c r="F959" s="6" t="n">
        <v>62000</v>
      </c>
      <c r="Q959" s="1" t="str">
        <f aca="false">IF($A959="","",IF(OR(F959="",I959=""),"",F959-I959))</f>
        <v/>
      </c>
      <c r="R959" s="1" t="str">
        <f aca="false">IF($A959="","",IF(Q959="","",Q959+IF(O959="",0,O959)))</f>
        <v/>
      </c>
      <c r="T959" s="1" t="str">
        <f aca="false">IF($A959="","",IF(R959="","",R959-IF(S959="",0,S959)))</f>
        <v/>
      </c>
      <c r="U959" s="1" t="str">
        <f aca="false">IF($A959="","",IF(I959="","",I959-SUM(J959:P959)))</f>
        <v/>
      </c>
      <c r="V959" s="6" t="s">
        <v>4742</v>
      </c>
      <c r="W959" s="9" t="s">
        <v>528</v>
      </c>
      <c r="X959" s="9" t="s">
        <v>4743</v>
      </c>
      <c r="AC959" s="9" t="s">
        <v>4369</v>
      </c>
      <c r="AD959" s="9" t="s">
        <v>4370</v>
      </c>
      <c r="AE959" s="9" t="s">
        <v>4408</v>
      </c>
    </row>
    <row r="960" customFormat="false" ht="15" hidden="false" customHeight="true" outlineLevel="0" collapsed="false">
      <c r="A960" s="6" t="s">
        <v>3505</v>
      </c>
      <c r="B960" s="6" t="s">
        <v>485</v>
      </c>
      <c r="C960" s="6" t="s">
        <v>490</v>
      </c>
      <c r="D960" s="6" t="n">
        <v>6</v>
      </c>
      <c r="E960" s="9" t="s">
        <v>4616</v>
      </c>
      <c r="F960" s="6" t="n">
        <v>228000</v>
      </c>
      <c r="Q960" s="1" t="str">
        <f aca="false">IF($A960="","",IF(OR(F960="",I960=""),"",F960-I960))</f>
        <v/>
      </c>
      <c r="R960" s="1" t="str">
        <f aca="false">IF($A960="","",IF(Q960="","",Q960+IF(O960="",0,O960)))</f>
        <v/>
      </c>
      <c r="T960" s="1" t="str">
        <f aca="false">IF($A960="","",IF(R960="","",R960-IF(S960="",0,S960)))</f>
        <v/>
      </c>
      <c r="U960" s="1" t="str">
        <f aca="false">IF($A960="","",IF(I960="","",I960-SUM(J960:P960)))</f>
        <v/>
      </c>
      <c r="V960" s="6" t="s">
        <v>4742</v>
      </c>
      <c r="W960" s="9" t="s">
        <v>528</v>
      </c>
      <c r="X960" s="9" t="s">
        <v>4743</v>
      </c>
      <c r="AC960" s="9" t="s">
        <v>4369</v>
      </c>
      <c r="AD960" s="9" t="s">
        <v>4370</v>
      </c>
      <c r="AE960" s="9" t="s">
        <v>4408</v>
      </c>
    </row>
    <row r="961" customFormat="false" ht="15" hidden="false" customHeight="true" outlineLevel="0" collapsed="false">
      <c r="A961" s="6" t="s">
        <v>3508</v>
      </c>
      <c r="B961" s="6" t="s">
        <v>485</v>
      </c>
      <c r="C961" s="6" t="s">
        <v>490</v>
      </c>
      <c r="D961" s="6" t="n">
        <v>6</v>
      </c>
      <c r="E961" s="9" t="s">
        <v>4616</v>
      </c>
      <c r="F961" s="6" t="n">
        <v>79000</v>
      </c>
      <c r="Q961" s="1" t="str">
        <f aca="false">IF($A961="","",IF(OR(F961="",I961=""),"",F961-I961))</f>
        <v/>
      </c>
      <c r="R961" s="1" t="str">
        <f aca="false">IF($A961="","",IF(Q961="","",Q961+IF(O961="",0,O961)))</f>
        <v/>
      </c>
      <c r="T961" s="1" t="str">
        <f aca="false">IF($A961="","",IF(R961="","",R961-IF(S961="",0,S961)))</f>
        <v/>
      </c>
      <c r="U961" s="1" t="str">
        <f aca="false">IF($A961="","",IF(I961="","",I961-SUM(J961:P961)))</f>
        <v/>
      </c>
      <c r="V961" s="6" t="s">
        <v>4742</v>
      </c>
      <c r="W961" s="9" t="s">
        <v>528</v>
      </c>
      <c r="X961" s="9" t="s">
        <v>4743</v>
      </c>
      <c r="AC961" s="9" t="s">
        <v>4369</v>
      </c>
      <c r="AD961" s="9" t="s">
        <v>4370</v>
      </c>
      <c r="AE961" s="9" t="s">
        <v>4408</v>
      </c>
    </row>
    <row r="962" customFormat="false" ht="15" hidden="false" customHeight="true" outlineLevel="0" collapsed="false">
      <c r="A962" s="6" t="s">
        <v>3511</v>
      </c>
      <c r="B962" s="6" t="s">
        <v>485</v>
      </c>
      <c r="C962" s="6" t="s">
        <v>490</v>
      </c>
      <c r="D962" s="6" t="n">
        <v>6</v>
      </c>
      <c r="E962" s="9" t="s">
        <v>4616</v>
      </c>
      <c r="F962" s="6" t="n">
        <v>40000</v>
      </c>
      <c r="Q962" s="1" t="str">
        <f aca="false">IF($A962="","",IF(OR(F962="",I962=""),"",F962-I962))</f>
        <v/>
      </c>
      <c r="R962" s="1" t="str">
        <f aca="false">IF($A962="","",IF(Q962="","",Q962+IF(O962="",0,O962)))</f>
        <v/>
      </c>
      <c r="T962" s="1" t="str">
        <f aca="false">IF($A962="","",IF(R962="","",R962-IF(S962="",0,S962)))</f>
        <v/>
      </c>
      <c r="U962" s="1" t="str">
        <f aca="false">IF($A962="","",IF(I962="","",I962-SUM(J962:P962)))</f>
        <v/>
      </c>
      <c r="V962" s="6" t="s">
        <v>4742</v>
      </c>
      <c r="W962" s="9" t="s">
        <v>528</v>
      </c>
      <c r="X962" s="9" t="s">
        <v>4743</v>
      </c>
      <c r="AC962" s="9" t="s">
        <v>4369</v>
      </c>
      <c r="AD962" s="9" t="s">
        <v>4370</v>
      </c>
      <c r="AE962" s="9" t="s">
        <v>4445</v>
      </c>
    </row>
    <row r="963" customFormat="false" ht="15" hidden="false" customHeight="true" outlineLevel="0" collapsed="false">
      <c r="A963" s="6" t="s">
        <v>3514</v>
      </c>
      <c r="B963" s="6" t="s">
        <v>485</v>
      </c>
      <c r="C963" s="6" t="s">
        <v>490</v>
      </c>
      <c r="D963" s="6" t="n">
        <v>6</v>
      </c>
      <c r="E963" s="9" t="s">
        <v>4616</v>
      </c>
      <c r="F963" s="6" t="n">
        <v>27000</v>
      </c>
      <c r="Q963" s="1" t="str">
        <f aca="false">IF($A963="","",IF(OR(F963="",I963=""),"",F963-I963))</f>
        <v/>
      </c>
      <c r="R963" s="1" t="str">
        <f aca="false">IF($A963="","",IF(Q963="","",Q963+IF(O963="",0,O963)))</f>
        <v/>
      </c>
      <c r="T963" s="1" t="str">
        <f aca="false">IF($A963="","",IF(R963="","",R963-IF(S963="",0,S963)))</f>
        <v/>
      </c>
      <c r="U963" s="1" t="str">
        <f aca="false">IF($A963="","",IF(I963="","",I963-SUM(J963:P963)))</f>
        <v/>
      </c>
      <c r="V963" s="6" t="s">
        <v>4742</v>
      </c>
      <c r="W963" s="9" t="s">
        <v>528</v>
      </c>
      <c r="X963" s="9" t="s">
        <v>4743</v>
      </c>
      <c r="AC963" s="9" t="s">
        <v>4369</v>
      </c>
      <c r="AD963" s="9" t="s">
        <v>4370</v>
      </c>
      <c r="AE963" s="9" t="s">
        <v>4445</v>
      </c>
    </row>
    <row r="964" customFormat="false" ht="15" hidden="false" customHeight="true" outlineLevel="0" collapsed="false">
      <c r="A964" s="6" t="s">
        <v>3517</v>
      </c>
      <c r="B964" s="6" t="s">
        <v>485</v>
      </c>
      <c r="C964" s="6" t="s">
        <v>490</v>
      </c>
      <c r="D964" s="6" t="n">
        <v>6</v>
      </c>
      <c r="E964" s="9" t="s">
        <v>4616</v>
      </c>
      <c r="F964" s="6" t="n">
        <v>309000</v>
      </c>
      <c r="Q964" s="1" t="str">
        <f aca="false">IF($A964="","",IF(OR(F964="",I964=""),"",F964-I964))</f>
        <v/>
      </c>
      <c r="R964" s="1" t="str">
        <f aca="false">IF($A964="","",IF(Q964="","",Q964+IF(O964="",0,O964)))</f>
        <v/>
      </c>
      <c r="T964" s="1" t="str">
        <f aca="false">IF($A964="","",IF(R964="","",R964-IF(S964="",0,S964)))</f>
        <v/>
      </c>
      <c r="U964" s="1" t="str">
        <f aca="false">IF($A964="","",IF(I964="","",I964-SUM(J964:P964)))</f>
        <v/>
      </c>
      <c r="V964" s="6" t="s">
        <v>4742</v>
      </c>
      <c r="W964" s="9" t="s">
        <v>528</v>
      </c>
      <c r="X964" s="9" t="s">
        <v>4743</v>
      </c>
      <c r="AC964" s="9" t="s">
        <v>4369</v>
      </c>
      <c r="AD964" s="9" t="s">
        <v>4370</v>
      </c>
      <c r="AE964" s="9" t="s">
        <v>4408</v>
      </c>
    </row>
    <row r="965" customFormat="false" ht="15" hidden="false" customHeight="true" outlineLevel="0" collapsed="false">
      <c r="A965" s="6" t="s">
        <v>3521</v>
      </c>
      <c r="B965" s="6" t="s">
        <v>485</v>
      </c>
      <c r="C965" s="6" t="s">
        <v>490</v>
      </c>
      <c r="D965" s="6" t="n">
        <v>6</v>
      </c>
      <c r="E965" s="9" t="s">
        <v>4616</v>
      </c>
      <c r="F965" s="6" t="n">
        <v>544000</v>
      </c>
      <c r="Q965" s="1" t="str">
        <f aca="false">IF($A965="","",IF(OR(F965="",I965=""),"",F965-I965))</f>
        <v/>
      </c>
      <c r="R965" s="1" t="str">
        <f aca="false">IF($A965="","",IF(Q965="","",Q965+IF(O965="",0,O965)))</f>
        <v/>
      </c>
      <c r="T965" s="1" t="str">
        <f aca="false">IF($A965="","",IF(R965="","",R965-IF(S965="",0,S965)))</f>
        <v/>
      </c>
      <c r="U965" s="1" t="str">
        <f aca="false">IF($A965="","",IF(I965="","",I965-SUM(J965:P965)))</f>
        <v/>
      </c>
      <c r="V965" s="6" t="s">
        <v>4742</v>
      </c>
      <c r="W965" s="9" t="s">
        <v>528</v>
      </c>
      <c r="X965" s="9" t="s">
        <v>4743</v>
      </c>
      <c r="AC965" s="9" t="s">
        <v>4369</v>
      </c>
      <c r="AD965" s="9" t="s">
        <v>4370</v>
      </c>
      <c r="AE965" s="9" t="s">
        <v>4408</v>
      </c>
    </row>
    <row r="966" customFormat="false" ht="15" hidden="false" customHeight="true" outlineLevel="0" collapsed="false">
      <c r="A966" s="6" t="s">
        <v>3524</v>
      </c>
      <c r="B966" s="6" t="s">
        <v>485</v>
      </c>
      <c r="C966" s="6" t="s">
        <v>490</v>
      </c>
      <c r="D966" s="6" t="n">
        <v>6</v>
      </c>
      <c r="E966" s="9" t="s">
        <v>4616</v>
      </c>
      <c r="F966" s="6" t="n">
        <v>331000</v>
      </c>
      <c r="Q966" s="1" t="str">
        <f aca="false">IF($A966="","",IF(OR(F966="",I966=""),"",F966-I966))</f>
        <v/>
      </c>
      <c r="R966" s="1" t="str">
        <f aca="false">IF($A966="","",IF(Q966="","",Q966+IF(O966="",0,O966)))</f>
        <v/>
      </c>
      <c r="T966" s="1" t="str">
        <f aca="false">IF($A966="","",IF(R966="","",R966-IF(S966="",0,S966)))</f>
        <v/>
      </c>
      <c r="U966" s="1" t="str">
        <f aca="false">IF($A966="","",IF(I966="","",I966-SUM(J966:P966)))</f>
        <v/>
      </c>
      <c r="V966" s="6" t="s">
        <v>4742</v>
      </c>
      <c r="W966" s="9" t="s">
        <v>528</v>
      </c>
      <c r="X966" s="9" t="s">
        <v>4743</v>
      </c>
      <c r="AC966" s="9" t="s">
        <v>4369</v>
      </c>
      <c r="AD966" s="9" t="s">
        <v>4370</v>
      </c>
      <c r="AE966" s="9" t="s">
        <v>4408</v>
      </c>
    </row>
    <row r="967" customFormat="false" ht="15" hidden="false" customHeight="true" outlineLevel="0" collapsed="false">
      <c r="A967" s="6" t="s">
        <v>3527</v>
      </c>
      <c r="B967" s="6" t="s">
        <v>485</v>
      </c>
      <c r="C967" s="6" t="s">
        <v>490</v>
      </c>
      <c r="D967" s="6" t="n">
        <v>6</v>
      </c>
      <c r="E967" s="9" t="s">
        <v>4616</v>
      </c>
      <c r="F967" s="6" t="n">
        <v>122000</v>
      </c>
      <c r="Q967" s="1" t="str">
        <f aca="false">IF($A967="","",IF(OR(F967="",I967=""),"",F967-I967))</f>
        <v/>
      </c>
      <c r="R967" s="1" t="str">
        <f aca="false">IF($A967="","",IF(Q967="","",Q967+IF(O967="",0,O967)))</f>
        <v/>
      </c>
      <c r="T967" s="1" t="str">
        <f aca="false">IF($A967="","",IF(R967="","",R967-IF(S967="",0,S967)))</f>
        <v/>
      </c>
      <c r="U967" s="1" t="str">
        <f aca="false">IF($A967="","",IF(I967="","",I967-SUM(J967:P967)))</f>
        <v/>
      </c>
      <c r="V967" s="6" t="s">
        <v>4742</v>
      </c>
      <c r="W967" s="9" t="s">
        <v>528</v>
      </c>
      <c r="X967" s="9" t="s">
        <v>4743</v>
      </c>
      <c r="AC967" s="9" t="s">
        <v>4369</v>
      </c>
      <c r="AD967" s="9" t="s">
        <v>4370</v>
      </c>
      <c r="AE967" s="9" t="s">
        <v>4408</v>
      </c>
    </row>
    <row r="968" customFormat="false" ht="15" hidden="false" customHeight="true" outlineLevel="0" collapsed="false">
      <c r="A968" s="6" t="s">
        <v>3530</v>
      </c>
      <c r="B968" s="6" t="s">
        <v>485</v>
      </c>
      <c r="C968" s="6" t="s">
        <v>490</v>
      </c>
      <c r="D968" s="6" t="n">
        <v>6</v>
      </c>
      <c r="E968" s="9" t="s">
        <v>4738</v>
      </c>
      <c r="Q968" s="1" t="str">
        <f aca="false">IF($A968="","",IF(OR(F968="",I968=""),"",F968-I968))</f>
        <v/>
      </c>
      <c r="R968" s="1" t="str">
        <f aca="false">IF($A968="","",IF(Q968="","",Q968+IF(O968="",0,O968)))</f>
        <v/>
      </c>
      <c r="T968" s="1" t="str">
        <f aca="false">IF($A968="","",IF(R968="","",R968-IF(S968="",0,S968)))</f>
        <v/>
      </c>
      <c r="U968" s="1" t="str">
        <f aca="false">IF($A968="","",IF(I968="","",I968-SUM(J968:P968)))</f>
        <v/>
      </c>
      <c r="V968" s="6" t="s">
        <v>4746</v>
      </c>
      <c r="W968" s="9" t="s">
        <v>528</v>
      </c>
      <c r="X968" s="6" t="s">
        <v>4747</v>
      </c>
      <c r="AC968" s="9" t="s">
        <v>4369</v>
      </c>
      <c r="AD968" s="9" t="s">
        <v>4370</v>
      </c>
      <c r="AE968" s="9" t="s">
        <v>4371</v>
      </c>
    </row>
    <row r="969" customFormat="false" ht="15" hidden="false" customHeight="true" outlineLevel="0" collapsed="false">
      <c r="A969" s="6" t="s">
        <v>3533</v>
      </c>
      <c r="B969" s="6" t="s">
        <v>485</v>
      </c>
      <c r="C969" s="6" t="s">
        <v>490</v>
      </c>
      <c r="D969" s="6" t="n">
        <v>6</v>
      </c>
      <c r="E969" s="9" t="s">
        <v>4616</v>
      </c>
      <c r="F969" s="6" t="n">
        <v>134000</v>
      </c>
      <c r="Q969" s="1" t="str">
        <f aca="false">IF($A969="","",IF(OR(F969="",I969=""),"",F969-I969))</f>
        <v/>
      </c>
      <c r="R969" s="1" t="str">
        <f aca="false">IF($A969="","",IF(Q969="","",Q969+IF(O969="",0,O969)))</f>
        <v/>
      </c>
      <c r="T969" s="1" t="str">
        <f aca="false">IF($A969="","",IF(R969="","",R969-IF(S969="",0,S969)))</f>
        <v/>
      </c>
      <c r="U969" s="1" t="str">
        <f aca="false">IF($A969="","",IF(I969="","",I969-SUM(J969:P969)))</f>
        <v/>
      </c>
      <c r="V969" s="6" t="s">
        <v>4742</v>
      </c>
      <c r="W969" s="9" t="s">
        <v>528</v>
      </c>
      <c r="X969" s="9" t="s">
        <v>4743</v>
      </c>
      <c r="AC969" s="9" t="s">
        <v>4369</v>
      </c>
      <c r="AD969" s="9" t="s">
        <v>4370</v>
      </c>
      <c r="AE969" s="9" t="s">
        <v>4408</v>
      </c>
    </row>
    <row r="970" customFormat="false" ht="15" hidden="false" customHeight="true" outlineLevel="0" collapsed="false">
      <c r="A970" s="6" t="s">
        <v>3536</v>
      </c>
      <c r="B970" s="6" t="s">
        <v>485</v>
      </c>
      <c r="C970" s="6" t="s">
        <v>490</v>
      </c>
      <c r="D970" s="6" t="n">
        <v>6</v>
      </c>
      <c r="E970" s="9" t="s">
        <v>4738</v>
      </c>
      <c r="Q970" s="1" t="str">
        <f aca="false">IF($A970="","",IF(OR(F970="",I970=""),"",F970-I970))</f>
        <v/>
      </c>
      <c r="R970" s="1" t="str">
        <f aca="false">IF($A970="","",IF(Q970="","",Q970+IF(O970="",0,O970)))</f>
        <v/>
      </c>
      <c r="T970" s="1" t="str">
        <f aca="false">IF($A970="","",IF(R970="","",R970-IF(S970="",0,S970)))</f>
        <v/>
      </c>
      <c r="U970" s="1" t="str">
        <f aca="false">IF($A970="","",IF(I970="","",I970-SUM(J970:P970)))</f>
        <v/>
      </c>
      <c r="V970" s="6" t="s">
        <v>4746</v>
      </c>
      <c r="W970" s="9" t="s">
        <v>528</v>
      </c>
      <c r="X970" s="6" t="s">
        <v>4747</v>
      </c>
      <c r="AC970" s="9" t="s">
        <v>4369</v>
      </c>
      <c r="AD970" s="9" t="s">
        <v>4370</v>
      </c>
      <c r="AE970" s="9" t="s">
        <v>4371</v>
      </c>
    </row>
    <row r="971" customFormat="false" ht="15" hidden="false" customHeight="true" outlineLevel="0" collapsed="false">
      <c r="A971" s="6" t="s">
        <v>3539</v>
      </c>
      <c r="B971" s="6" t="s">
        <v>485</v>
      </c>
      <c r="C971" s="6" t="s">
        <v>490</v>
      </c>
      <c r="D971" s="6" t="n">
        <v>6</v>
      </c>
      <c r="E971" s="9" t="s">
        <v>4738</v>
      </c>
      <c r="Q971" s="1" t="str">
        <f aca="false">IF($A971="","",IF(OR(F971="",I971=""),"",F971-I971))</f>
        <v/>
      </c>
      <c r="R971" s="1" t="str">
        <f aca="false">IF($A971="","",IF(Q971="","",Q971+IF(O971="",0,O971)))</f>
        <v/>
      </c>
      <c r="T971" s="1" t="str">
        <f aca="false">IF($A971="","",IF(R971="","",R971-IF(S971="",0,S971)))</f>
        <v/>
      </c>
      <c r="U971" s="1" t="str">
        <f aca="false">IF($A971="","",IF(I971="","",I971-SUM(J971:P971)))</f>
        <v/>
      </c>
      <c r="V971" s="6" t="s">
        <v>4746</v>
      </c>
      <c r="W971" s="9" t="s">
        <v>528</v>
      </c>
      <c r="X971" s="6" t="s">
        <v>4747</v>
      </c>
      <c r="AC971" s="9" t="s">
        <v>4369</v>
      </c>
      <c r="AD971" s="9" t="s">
        <v>4370</v>
      </c>
      <c r="AE971" s="9" t="s">
        <v>4371</v>
      </c>
    </row>
    <row r="972" customFormat="false" ht="15" hidden="false" customHeight="true" outlineLevel="0" collapsed="false">
      <c r="A972" s="6" t="s">
        <v>3542</v>
      </c>
      <c r="B972" s="6" t="s">
        <v>485</v>
      </c>
      <c r="C972" s="6" t="s">
        <v>490</v>
      </c>
      <c r="D972" s="6" t="n">
        <v>6</v>
      </c>
      <c r="E972" s="9" t="s">
        <v>4616</v>
      </c>
      <c r="F972" s="6" t="n">
        <v>75000</v>
      </c>
      <c r="Q972" s="1" t="str">
        <f aca="false">IF($A972="","",IF(OR(F972="",I972=""),"",F972-I972))</f>
        <v/>
      </c>
      <c r="R972" s="1" t="str">
        <f aca="false">IF($A972="","",IF(Q972="","",Q972+IF(O972="",0,O972)))</f>
        <v/>
      </c>
      <c r="T972" s="1" t="str">
        <f aca="false">IF($A972="","",IF(R972="","",R972-IF(S972="",0,S972)))</f>
        <v/>
      </c>
      <c r="U972" s="1" t="str">
        <f aca="false">IF($A972="","",IF(I972="","",I972-SUM(J972:P972)))</f>
        <v/>
      </c>
      <c r="V972" s="6" t="s">
        <v>4742</v>
      </c>
      <c r="W972" s="9" t="s">
        <v>528</v>
      </c>
      <c r="X972" s="9" t="s">
        <v>4743</v>
      </c>
      <c r="AC972" s="9" t="s">
        <v>4369</v>
      </c>
      <c r="AD972" s="9" t="s">
        <v>4370</v>
      </c>
      <c r="AE972" s="9" t="s">
        <v>4408</v>
      </c>
    </row>
    <row r="973" customFormat="false" ht="15" hidden="false" customHeight="true" outlineLevel="0" collapsed="false">
      <c r="A973" s="6" t="s">
        <v>3545</v>
      </c>
      <c r="B973" s="6" t="s">
        <v>485</v>
      </c>
      <c r="C973" s="6" t="s">
        <v>490</v>
      </c>
      <c r="D973" s="6" t="n">
        <v>6</v>
      </c>
      <c r="E973" s="9" t="s">
        <v>4616</v>
      </c>
      <c r="F973" s="6" t="n">
        <v>43000</v>
      </c>
      <c r="Q973" s="1" t="str">
        <f aca="false">IF($A973="","",IF(OR(F973="",I973=""),"",F973-I973))</f>
        <v/>
      </c>
      <c r="R973" s="1" t="str">
        <f aca="false">IF($A973="","",IF(Q973="","",Q973+IF(O973="",0,O973)))</f>
        <v/>
      </c>
      <c r="T973" s="1" t="str">
        <f aca="false">IF($A973="","",IF(R973="","",R973-IF(S973="",0,S973)))</f>
        <v/>
      </c>
      <c r="U973" s="1" t="str">
        <f aca="false">IF($A973="","",IF(I973="","",I973-SUM(J973:P973)))</f>
        <v/>
      </c>
      <c r="V973" s="6" t="s">
        <v>4742</v>
      </c>
      <c r="W973" s="9" t="s">
        <v>528</v>
      </c>
      <c r="X973" s="9" t="s">
        <v>4743</v>
      </c>
      <c r="AC973" s="9" t="s">
        <v>4369</v>
      </c>
      <c r="AD973" s="9" t="s">
        <v>4370</v>
      </c>
      <c r="AE973" s="9" t="s">
        <v>4445</v>
      </c>
    </row>
    <row r="974" customFormat="false" ht="15" hidden="false" customHeight="true" outlineLevel="0" collapsed="false">
      <c r="A974" s="6" t="s">
        <v>3548</v>
      </c>
      <c r="B974" s="6" t="s">
        <v>485</v>
      </c>
      <c r="C974" s="6" t="s">
        <v>490</v>
      </c>
      <c r="D974" s="6" t="n">
        <v>6</v>
      </c>
      <c r="E974" s="9" t="s">
        <v>4738</v>
      </c>
      <c r="Q974" s="1" t="str">
        <f aca="false">IF($A974="","",IF(OR(F974="",I974=""),"",F974-I974))</f>
        <v/>
      </c>
      <c r="R974" s="1" t="str">
        <f aca="false">IF($A974="","",IF(Q974="","",Q974+IF(O974="",0,O974)))</f>
        <v/>
      </c>
      <c r="T974" s="1" t="str">
        <f aca="false">IF($A974="","",IF(R974="","",R974-IF(S974="",0,S974)))</f>
        <v/>
      </c>
      <c r="U974" s="1" t="str">
        <f aca="false">IF($A974="","",IF(I974="","",I974-SUM(J974:P974)))</f>
        <v/>
      </c>
      <c r="V974" s="6" t="s">
        <v>4746</v>
      </c>
      <c r="W974" s="9" t="s">
        <v>528</v>
      </c>
      <c r="X974" s="6" t="s">
        <v>4747</v>
      </c>
      <c r="AC974" s="9" t="s">
        <v>4369</v>
      </c>
      <c r="AD974" s="9" t="s">
        <v>4370</v>
      </c>
      <c r="AE974" s="9" t="s">
        <v>4371</v>
      </c>
    </row>
    <row r="975" customFormat="false" ht="15" hidden="false" customHeight="true" outlineLevel="0" collapsed="false">
      <c r="A975" s="6" t="s">
        <v>3551</v>
      </c>
      <c r="B975" s="6" t="s">
        <v>485</v>
      </c>
      <c r="C975" s="6" t="s">
        <v>490</v>
      </c>
      <c r="D975" s="6" t="n">
        <v>6</v>
      </c>
      <c r="E975" s="9" t="s">
        <v>4738</v>
      </c>
      <c r="Q975" s="1" t="str">
        <f aca="false">IF($A975="","",IF(OR(F975="",I975=""),"",F975-I975))</f>
        <v/>
      </c>
      <c r="R975" s="1" t="str">
        <f aca="false">IF($A975="","",IF(Q975="","",Q975+IF(O975="",0,O975)))</f>
        <v/>
      </c>
      <c r="T975" s="1" t="str">
        <f aca="false">IF($A975="","",IF(R975="","",R975-IF(S975="",0,S975)))</f>
        <v/>
      </c>
      <c r="U975" s="1" t="str">
        <f aca="false">IF($A975="","",IF(I975="","",I975-SUM(J975:P975)))</f>
        <v/>
      </c>
      <c r="V975" s="6" t="s">
        <v>4746</v>
      </c>
      <c r="W975" s="9" t="s">
        <v>528</v>
      </c>
      <c r="X975" s="6" t="s">
        <v>4747</v>
      </c>
      <c r="AC975" s="9" t="s">
        <v>4369</v>
      </c>
      <c r="AD975" s="9" t="s">
        <v>4370</v>
      </c>
      <c r="AE975" s="9" t="s">
        <v>4371</v>
      </c>
    </row>
    <row r="976" customFormat="false" ht="15" hidden="false" customHeight="true" outlineLevel="0" collapsed="false">
      <c r="A976" s="6" t="s">
        <v>3554</v>
      </c>
      <c r="B976" s="6" t="s">
        <v>485</v>
      </c>
      <c r="C976" s="6" t="s">
        <v>490</v>
      </c>
      <c r="D976" s="6" t="n">
        <v>6</v>
      </c>
      <c r="E976" s="9" t="s">
        <v>4738</v>
      </c>
      <c r="Q976" s="1" t="str">
        <f aca="false">IF($A976="","",IF(OR(F976="",I976=""),"",F976-I976))</f>
        <v/>
      </c>
      <c r="R976" s="1" t="str">
        <f aca="false">IF($A976="","",IF(Q976="","",Q976+IF(O976="",0,O976)))</f>
        <v/>
      </c>
      <c r="T976" s="1" t="str">
        <f aca="false">IF($A976="","",IF(R976="","",R976-IF(S976="",0,S976)))</f>
        <v/>
      </c>
      <c r="U976" s="1" t="str">
        <f aca="false">IF($A976="","",IF(I976="","",I976-SUM(J976:P976)))</f>
        <v/>
      </c>
      <c r="V976" s="6" t="s">
        <v>4746</v>
      </c>
      <c r="W976" s="9" t="s">
        <v>528</v>
      </c>
      <c r="X976" s="6" t="s">
        <v>4747</v>
      </c>
      <c r="AC976" s="9" t="s">
        <v>4369</v>
      </c>
      <c r="AD976" s="9" t="s">
        <v>4370</v>
      </c>
      <c r="AE976" s="9" t="s">
        <v>4371</v>
      </c>
    </row>
    <row r="977" customFormat="false" ht="15" hidden="false" customHeight="true" outlineLevel="0" collapsed="false">
      <c r="A977" s="6" t="s">
        <v>3557</v>
      </c>
      <c r="B977" s="6" t="s">
        <v>485</v>
      </c>
      <c r="C977" s="6" t="s">
        <v>490</v>
      </c>
      <c r="D977" s="6" t="n">
        <v>6</v>
      </c>
      <c r="E977" s="9" t="s">
        <v>4738</v>
      </c>
      <c r="Q977" s="1" t="str">
        <f aca="false">IF($A977="","",IF(OR(F977="",I977=""),"",F977-I977))</f>
        <v/>
      </c>
      <c r="R977" s="1" t="str">
        <f aca="false">IF($A977="","",IF(Q977="","",Q977+IF(O977="",0,O977)))</f>
        <v/>
      </c>
      <c r="T977" s="1" t="str">
        <f aca="false">IF($A977="","",IF(R977="","",R977-IF(S977="",0,S977)))</f>
        <v/>
      </c>
      <c r="U977" s="1" t="str">
        <f aca="false">IF($A977="","",IF(I977="","",I977-SUM(J977:P977)))</f>
        <v/>
      </c>
      <c r="V977" s="6" t="s">
        <v>4746</v>
      </c>
      <c r="W977" s="9" t="s">
        <v>528</v>
      </c>
      <c r="X977" s="6" t="s">
        <v>4747</v>
      </c>
      <c r="AC977" s="9" t="s">
        <v>4369</v>
      </c>
      <c r="AD977" s="9" t="s">
        <v>4370</v>
      </c>
      <c r="AE977" s="9" t="s">
        <v>4371</v>
      </c>
    </row>
    <row r="978" customFormat="false" ht="15" hidden="false" customHeight="true" outlineLevel="0" collapsed="false">
      <c r="A978" s="6" t="s">
        <v>3560</v>
      </c>
      <c r="B978" s="6" t="s">
        <v>485</v>
      </c>
      <c r="C978" s="6" t="s">
        <v>490</v>
      </c>
      <c r="D978" s="6" t="n">
        <v>6</v>
      </c>
      <c r="E978" s="9" t="s">
        <v>4738</v>
      </c>
      <c r="Q978" s="1" t="str">
        <f aca="false">IF($A978="","",IF(OR(F978="",I978=""),"",F978-I978))</f>
        <v/>
      </c>
      <c r="R978" s="1" t="str">
        <f aca="false">IF($A978="","",IF(Q978="","",Q978+IF(O978="",0,O978)))</f>
        <v/>
      </c>
      <c r="T978" s="1" t="str">
        <f aca="false">IF($A978="","",IF(R978="","",R978-IF(S978="",0,S978)))</f>
        <v/>
      </c>
      <c r="U978" s="1" t="str">
        <f aca="false">IF($A978="","",IF(I978="","",I978-SUM(J978:P978)))</f>
        <v/>
      </c>
      <c r="V978" s="6" t="s">
        <v>4746</v>
      </c>
      <c r="W978" s="9" t="s">
        <v>528</v>
      </c>
      <c r="X978" s="6" t="s">
        <v>4747</v>
      </c>
      <c r="AC978" s="9" t="s">
        <v>4369</v>
      </c>
      <c r="AD978" s="9" t="s">
        <v>4370</v>
      </c>
      <c r="AE978" s="9" t="s">
        <v>4371</v>
      </c>
    </row>
    <row r="979" customFormat="false" ht="15" hidden="false" customHeight="true" outlineLevel="0" collapsed="false">
      <c r="A979" s="6" t="s">
        <v>3563</v>
      </c>
      <c r="B979" s="6" t="s">
        <v>485</v>
      </c>
      <c r="C979" s="6" t="s">
        <v>490</v>
      </c>
      <c r="D979" s="6" t="n">
        <v>6</v>
      </c>
      <c r="E979" s="9" t="s">
        <v>4616</v>
      </c>
      <c r="F979" s="6" t="n">
        <v>144000</v>
      </c>
      <c r="Q979" s="1" t="str">
        <f aca="false">IF($A979="","",IF(OR(F979="",I979=""),"",F979-I979))</f>
        <v/>
      </c>
      <c r="R979" s="1" t="str">
        <f aca="false">IF($A979="","",IF(Q979="","",Q979+IF(O979="",0,O979)))</f>
        <v/>
      </c>
      <c r="T979" s="1" t="str">
        <f aca="false">IF($A979="","",IF(R979="","",R979-IF(S979="",0,S979)))</f>
        <v/>
      </c>
      <c r="U979" s="1" t="str">
        <f aca="false">IF($A979="","",IF(I979="","",I979-SUM(J979:P979)))</f>
        <v/>
      </c>
      <c r="V979" s="6" t="s">
        <v>4742</v>
      </c>
      <c r="W979" s="9" t="s">
        <v>528</v>
      </c>
      <c r="X979" s="9" t="s">
        <v>4743</v>
      </c>
      <c r="AC979" s="9" t="s">
        <v>4369</v>
      </c>
      <c r="AD979" s="9" t="s">
        <v>4370</v>
      </c>
      <c r="AE979" s="9" t="s">
        <v>4408</v>
      </c>
    </row>
    <row r="980" customFormat="false" ht="15" hidden="false" customHeight="true" outlineLevel="0" collapsed="false">
      <c r="A980" s="6" t="s">
        <v>3566</v>
      </c>
      <c r="B980" s="6" t="s">
        <v>485</v>
      </c>
      <c r="C980" s="6" t="s">
        <v>490</v>
      </c>
      <c r="D980" s="6" t="n">
        <v>6</v>
      </c>
      <c r="E980" s="9" t="s">
        <v>4738</v>
      </c>
      <c r="Q980" s="1" t="str">
        <f aca="false">IF($A980="","",IF(OR(F980="",I980=""),"",F980-I980))</f>
        <v/>
      </c>
      <c r="R980" s="1" t="str">
        <f aca="false">IF($A980="","",IF(Q980="","",Q980+IF(O980="",0,O980)))</f>
        <v/>
      </c>
      <c r="T980" s="1" t="str">
        <f aca="false">IF($A980="","",IF(R980="","",R980-IF(S980="",0,S980)))</f>
        <v/>
      </c>
      <c r="U980" s="1" t="str">
        <f aca="false">IF($A980="","",IF(I980="","",I980-SUM(J980:P980)))</f>
        <v/>
      </c>
      <c r="V980" s="6" t="s">
        <v>4746</v>
      </c>
      <c r="W980" s="9" t="s">
        <v>528</v>
      </c>
      <c r="X980" s="6" t="s">
        <v>4747</v>
      </c>
      <c r="AC980" s="9" t="s">
        <v>4369</v>
      </c>
      <c r="AD980" s="9" t="s">
        <v>4370</v>
      </c>
      <c r="AE980" s="9" t="s">
        <v>4371</v>
      </c>
    </row>
    <row r="981" customFormat="false" ht="15" hidden="false" customHeight="true" outlineLevel="0" collapsed="false">
      <c r="A981" s="6" t="s">
        <v>3569</v>
      </c>
      <c r="B981" s="6" t="s">
        <v>485</v>
      </c>
      <c r="C981" s="6" t="s">
        <v>490</v>
      </c>
      <c r="D981" s="6" t="n">
        <v>6</v>
      </c>
      <c r="E981" s="9" t="s">
        <v>4616</v>
      </c>
      <c r="F981" s="6" t="n">
        <v>117000</v>
      </c>
      <c r="Q981" s="1" t="str">
        <f aca="false">IF($A981="","",IF(OR(F981="",I981=""),"",F981-I981))</f>
        <v/>
      </c>
      <c r="R981" s="1" t="str">
        <f aca="false">IF($A981="","",IF(Q981="","",Q981+IF(O981="",0,O981)))</f>
        <v/>
      </c>
      <c r="T981" s="1" t="str">
        <f aca="false">IF($A981="","",IF(R981="","",R981-IF(S981="",0,S981)))</f>
        <v/>
      </c>
      <c r="U981" s="1" t="str">
        <f aca="false">IF($A981="","",IF(I981="","",I981-SUM(J981:P981)))</f>
        <v/>
      </c>
      <c r="V981" s="6" t="s">
        <v>4742</v>
      </c>
      <c r="W981" s="9" t="s">
        <v>528</v>
      </c>
      <c r="X981" s="9" t="s">
        <v>4743</v>
      </c>
      <c r="AC981" s="9" t="s">
        <v>4369</v>
      </c>
      <c r="AD981" s="9" t="s">
        <v>4370</v>
      </c>
      <c r="AE981" s="9" t="s">
        <v>4408</v>
      </c>
    </row>
    <row r="982" customFormat="false" ht="15" hidden="false" customHeight="true" outlineLevel="0" collapsed="false">
      <c r="A982" s="6" t="s">
        <v>3572</v>
      </c>
      <c r="B982" s="6" t="s">
        <v>485</v>
      </c>
      <c r="C982" s="6" t="s">
        <v>490</v>
      </c>
      <c r="D982" s="6" t="n">
        <v>6</v>
      </c>
      <c r="E982" s="9" t="s">
        <v>4738</v>
      </c>
      <c r="Q982" s="1" t="str">
        <f aca="false">IF($A982="","",IF(OR(F982="",I982=""),"",F982-I982))</f>
        <v/>
      </c>
      <c r="R982" s="1" t="str">
        <f aca="false">IF($A982="","",IF(Q982="","",Q982+IF(O982="",0,O982)))</f>
        <v/>
      </c>
      <c r="T982" s="1" t="str">
        <f aca="false">IF($A982="","",IF(R982="","",R982-IF(S982="",0,S982)))</f>
        <v/>
      </c>
      <c r="U982" s="1" t="str">
        <f aca="false">IF($A982="","",IF(I982="","",I982-SUM(J982:P982)))</f>
        <v/>
      </c>
      <c r="V982" s="6" t="s">
        <v>4746</v>
      </c>
      <c r="W982" s="9" t="s">
        <v>528</v>
      </c>
      <c r="X982" s="6" t="s">
        <v>4747</v>
      </c>
      <c r="AC982" s="9" t="s">
        <v>4369</v>
      </c>
      <c r="AD982" s="9" t="s">
        <v>4370</v>
      </c>
      <c r="AE982" s="9" t="s">
        <v>4371</v>
      </c>
    </row>
    <row r="983" customFormat="false" ht="15" hidden="false" customHeight="true" outlineLevel="0" collapsed="false">
      <c r="A983" s="6" t="s">
        <v>3575</v>
      </c>
      <c r="B983" s="6" t="s">
        <v>485</v>
      </c>
      <c r="C983" s="6" t="s">
        <v>490</v>
      </c>
      <c r="D983" s="6" t="n">
        <v>6</v>
      </c>
      <c r="E983" s="9" t="s">
        <v>4616</v>
      </c>
      <c r="F983" s="6" t="n">
        <v>108000</v>
      </c>
      <c r="Q983" s="1" t="str">
        <f aca="false">IF($A983="","",IF(OR(F983="",I983=""),"",F983-I983))</f>
        <v/>
      </c>
      <c r="R983" s="1" t="str">
        <f aca="false">IF($A983="","",IF(Q983="","",Q983+IF(O983="",0,O983)))</f>
        <v/>
      </c>
      <c r="T983" s="1" t="str">
        <f aca="false">IF($A983="","",IF(R983="","",R983-IF(S983="",0,S983)))</f>
        <v/>
      </c>
      <c r="U983" s="1" t="str">
        <f aca="false">IF($A983="","",IF(I983="","",I983-SUM(J983:P983)))</f>
        <v/>
      </c>
      <c r="V983" s="6" t="s">
        <v>4742</v>
      </c>
      <c r="W983" s="9" t="s">
        <v>528</v>
      </c>
      <c r="X983" s="9" t="s">
        <v>4743</v>
      </c>
      <c r="AC983" s="9" t="s">
        <v>4369</v>
      </c>
      <c r="AD983" s="9" t="s">
        <v>4370</v>
      </c>
      <c r="AE983" s="9" t="s">
        <v>4408</v>
      </c>
    </row>
    <row r="984" customFormat="false" ht="15" hidden="false" customHeight="true" outlineLevel="0" collapsed="false">
      <c r="A984" s="6" t="s">
        <v>3578</v>
      </c>
      <c r="B984" s="6" t="s">
        <v>485</v>
      </c>
      <c r="C984" s="6" t="s">
        <v>490</v>
      </c>
      <c r="D984" s="6" t="n">
        <v>6</v>
      </c>
      <c r="E984" s="9" t="s">
        <v>4738</v>
      </c>
      <c r="Q984" s="1" t="str">
        <f aca="false">IF($A984="","",IF(OR(F984="",I984=""),"",F984-I984))</f>
        <v/>
      </c>
      <c r="R984" s="1" t="str">
        <f aca="false">IF($A984="","",IF(Q984="","",Q984+IF(O984="",0,O984)))</f>
        <v/>
      </c>
      <c r="T984" s="1" t="str">
        <f aca="false">IF($A984="","",IF(R984="","",R984-IF(S984="",0,S984)))</f>
        <v/>
      </c>
      <c r="U984" s="1" t="str">
        <f aca="false">IF($A984="","",IF(I984="","",I984-SUM(J984:P984)))</f>
        <v/>
      </c>
      <c r="V984" s="6" t="s">
        <v>4746</v>
      </c>
      <c r="W984" s="9" t="s">
        <v>528</v>
      </c>
      <c r="X984" s="6" t="s">
        <v>4747</v>
      </c>
      <c r="AC984" s="9" t="s">
        <v>4369</v>
      </c>
      <c r="AD984" s="9" t="s">
        <v>4370</v>
      </c>
      <c r="AE984" s="9" t="s">
        <v>4371</v>
      </c>
    </row>
    <row r="985" customFormat="false" ht="15" hidden="false" customHeight="true" outlineLevel="0" collapsed="false">
      <c r="A985" s="6" t="s">
        <v>3581</v>
      </c>
      <c r="B985" s="6" t="s">
        <v>485</v>
      </c>
      <c r="C985" s="6" t="s">
        <v>490</v>
      </c>
      <c r="D985" s="6" t="n">
        <v>6</v>
      </c>
      <c r="E985" s="9" t="s">
        <v>4738</v>
      </c>
      <c r="Q985" s="1" t="str">
        <f aca="false">IF($A985="","",IF(OR(F985="",I985=""),"",F985-I985))</f>
        <v/>
      </c>
      <c r="R985" s="1" t="str">
        <f aca="false">IF($A985="","",IF(Q985="","",Q985+IF(O985="",0,O985)))</f>
        <v/>
      </c>
      <c r="T985" s="1" t="str">
        <f aca="false">IF($A985="","",IF(R985="","",R985-IF(S985="",0,S985)))</f>
        <v/>
      </c>
      <c r="U985" s="1" t="str">
        <f aca="false">IF($A985="","",IF(I985="","",I985-SUM(J985:P985)))</f>
        <v/>
      </c>
      <c r="V985" s="6" t="s">
        <v>4746</v>
      </c>
      <c r="W985" s="9" t="s">
        <v>528</v>
      </c>
      <c r="X985" s="6" t="s">
        <v>4747</v>
      </c>
      <c r="AC985" s="9" t="s">
        <v>4369</v>
      </c>
      <c r="AD985" s="9" t="s">
        <v>4370</v>
      </c>
      <c r="AE985" s="9" t="s">
        <v>4371</v>
      </c>
    </row>
    <row r="986" customFormat="false" ht="15" hidden="false" customHeight="true" outlineLevel="0" collapsed="false">
      <c r="A986" s="6" t="s">
        <v>3584</v>
      </c>
      <c r="B986" s="6" t="s">
        <v>485</v>
      </c>
      <c r="C986" s="6" t="s">
        <v>490</v>
      </c>
      <c r="D986" s="6" t="n">
        <v>6</v>
      </c>
      <c r="E986" s="9" t="s">
        <v>4738</v>
      </c>
      <c r="Q986" s="1" t="str">
        <f aca="false">IF($A986="","",IF(OR(F986="",I986=""),"",F986-I986))</f>
        <v/>
      </c>
      <c r="R986" s="1" t="str">
        <f aca="false">IF($A986="","",IF(Q986="","",Q986+IF(O986="",0,O986)))</f>
        <v/>
      </c>
      <c r="T986" s="1" t="str">
        <f aca="false">IF($A986="","",IF(R986="","",R986-IF(S986="",0,S986)))</f>
        <v/>
      </c>
      <c r="U986" s="1" t="str">
        <f aca="false">IF($A986="","",IF(I986="","",I986-SUM(J986:P986)))</f>
        <v/>
      </c>
      <c r="V986" s="6" t="s">
        <v>4746</v>
      </c>
      <c r="W986" s="9" t="s">
        <v>528</v>
      </c>
      <c r="X986" s="6" t="s">
        <v>4747</v>
      </c>
      <c r="AC986" s="9" t="s">
        <v>4369</v>
      </c>
      <c r="AD986" s="9" t="s">
        <v>4370</v>
      </c>
      <c r="AE986" s="9" t="s">
        <v>4371</v>
      </c>
    </row>
    <row r="987" customFormat="false" ht="15" hidden="false" customHeight="true" outlineLevel="0" collapsed="false">
      <c r="A987" s="6" t="s">
        <v>3587</v>
      </c>
      <c r="B987" s="6" t="s">
        <v>485</v>
      </c>
      <c r="C987" s="6" t="s">
        <v>490</v>
      </c>
      <c r="D987" s="6" t="n">
        <v>6</v>
      </c>
      <c r="E987" s="9" t="s">
        <v>4738</v>
      </c>
      <c r="Q987" s="1" t="str">
        <f aca="false">IF($A987="","",IF(OR(F987="",I987=""),"",F987-I987))</f>
        <v/>
      </c>
      <c r="R987" s="1" t="str">
        <f aca="false">IF($A987="","",IF(Q987="","",Q987+IF(O987="",0,O987)))</f>
        <v/>
      </c>
      <c r="T987" s="1" t="str">
        <f aca="false">IF($A987="","",IF(R987="","",R987-IF(S987="",0,S987)))</f>
        <v/>
      </c>
      <c r="U987" s="1" t="str">
        <f aca="false">IF($A987="","",IF(I987="","",I987-SUM(J987:P987)))</f>
        <v/>
      </c>
      <c r="V987" s="6" t="s">
        <v>4746</v>
      </c>
      <c r="W987" s="9" t="s">
        <v>528</v>
      </c>
      <c r="X987" s="6" t="s">
        <v>4747</v>
      </c>
      <c r="AC987" s="9" t="s">
        <v>4369</v>
      </c>
      <c r="AD987" s="9" t="s">
        <v>4370</v>
      </c>
      <c r="AE987" s="9" t="s">
        <v>4371</v>
      </c>
    </row>
    <row r="988" customFormat="false" ht="15" hidden="false" customHeight="true" outlineLevel="0" collapsed="false">
      <c r="A988" s="6" t="s">
        <v>3590</v>
      </c>
      <c r="B988" s="6" t="s">
        <v>485</v>
      </c>
      <c r="C988" s="6" t="s">
        <v>490</v>
      </c>
      <c r="D988" s="6" t="n">
        <v>6</v>
      </c>
      <c r="E988" s="9" t="s">
        <v>4616</v>
      </c>
      <c r="F988" s="6" t="n">
        <v>19000</v>
      </c>
      <c r="Q988" s="1" t="str">
        <f aca="false">IF($A988="","",IF(OR(F988="",I988=""),"",F988-I988))</f>
        <v/>
      </c>
      <c r="R988" s="1" t="str">
        <f aca="false">IF($A988="","",IF(Q988="","",Q988+IF(O988="",0,O988)))</f>
        <v/>
      </c>
      <c r="T988" s="1" t="str">
        <f aca="false">IF($A988="","",IF(R988="","",R988-IF(S988="",0,S988)))</f>
        <v/>
      </c>
      <c r="U988" s="1" t="str">
        <f aca="false">IF($A988="","",IF(I988="","",I988-SUM(J988:P988)))</f>
        <v/>
      </c>
      <c r="V988" s="6" t="s">
        <v>4742</v>
      </c>
      <c r="W988" s="9" t="s">
        <v>528</v>
      </c>
      <c r="X988" s="9" t="s">
        <v>4743</v>
      </c>
      <c r="AC988" s="9" t="s">
        <v>4369</v>
      </c>
      <c r="AD988" s="9" t="s">
        <v>4370</v>
      </c>
      <c r="AE988" s="9" t="s">
        <v>4445</v>
      </c>
    </row>
    <row r="989" customFormat="false" ht="15" hidden="false" customHeight="true" outlineLevel="0" collapsed="false">
      <c r="A989" s="6" t="s">
        <v>3593</v>
      </c>
      <c r="B989" s="6" t="s">
        <v>485</v>
      </c>
      <c r="C989" s="6" t="s">
        <v>490</v>
      </c>
      <c r="D989" s="6" t="n">
        <v>6</v>
      </c>
      <c r="E989" s="9" t="s">
        <v>4616</v>
      </c>
      <c r="F989" s="6" t="n">
        <v>358000</v>
      </c>
      <c r="Q989" s="1" t="str">
        <f aca="false">IF($A989="","",IF(OR(F989="",I989=""),"",F989-I989))</f>
        <v/>
      </c>
      <c r="R989" s="1" t="str">
        <f aca="false">IF($A989="","",IF(Q989="","",Q989+IF(O989="",0,O989)))</f>
        <v/>
      </c>
      <c r="T989" s="1" t="str">
        <f aca="false">IF($A989="","",IF(R989="","",R989-IF(S989="",0,S989)))</f>
        <v/>
      </c>
      <c r="U989" s="1" t="str">
        <f aca="false">IF($A989="","",IF(I989="","",I989-SUM(J989:P989)))</f>
        <v/>
      </c>
      <c r="V989" s="6" t="s">
        <v>4742</v>
      </c>
      <c r="W989" s="9" t="s">
        <v>528</v>
      </c>
      <c r="X989" s="9" t="s">
        <v>4743</v>
      </c>
      <c r="AC989" s="9" t="s">
        <v>4369</v>
      </c>
      <c r="AD989" s="9" t="s">
        <v>4370</v>
      </c>
      <c r="AE989" s="9" t="s">
        <v>4408</v>
      </c>
    </row>
    <row r="990" customFormat="false" ht="15" hidden="false" customHeight="true" outlineLevel="0" collapsed="false">
      <c r="A990" s="6" t="s">
        <v>3596</v>
      </c>
      <c r="B990" s="6" t="s">
        <v>485</v>
      </c>
      <c r="C990" s="6" t="s">
        <v>490</v>
      </c>
      <c r="D990" s="6" t="n">
        <v>6</v>
      </c>
      <c r="E990" s="9" t="s">
        <v>4616</v>
      </c>
      <c r="F990" s="6" t="n">
        <v>114000</v>
      </c>
      <c r="Q990" s="1" t="str">
        <f aca="false">IF($A990="","",IF(OR(F990="",I990=""),"",F990-I990))</f>
        <v/>
      </c>
      <c r="R990" s="1" t="str">
        <f aca="false">IF($A990="","",IF(Q990="","",Q990+IF(O990="",0,O990)))</f>
        <v/>
      </c>
      <c r="T990" s="1" t="str">
        <f aca="false">IF($A990="","",IF(R990="","",R990-IF(S990="",0,S990)))</f>
        <v/>
      </c>
      <c r="U990" s="1" t="str">
        <f aca="false">IF($A990="","",IF(I990="","",I990-SUM(J990:P990)))</f>
        <v/>
      </c>
      <c r="V990" s="6" t="s">
        <v>4742</v>
      </c>
      <c r="W990" s="9" t="s">
        <v>528</v>
      </c>
      <c r="X990" s="9" t="s">
        <v>4743</v>
      </c>
      <c r="AC990" s="9" t="s">
        <v>4369</v>
      </c>
      <c r="AD990" s="9" t="s">
        <v>4370</v>
      </c>
      <c r="AE990" s="9" t="s">
        <v>4408</v>
      </c>
    </row>
    <row r="991" customFormat="false" ht="15" hidden="false" customHeight="true" outlineLevel="0" collapsed="false">
      <c r="A991" s="6" t="s">
        <v>3599</v>
      </c>
      <c r="B991" s="6" t="s">
        <v>485</v>
      </c>
      <c r="C991" s="6" t="s">
        <v>490</v>
      </c>
      <c r="D991" s="6" t="n">
        <v>6</v>
      </c>
      <c r="E991" s="9" t="s">
        <v>4738</v>
      </c>
      <c r="Q991" s="1" t="str">
        <f aca="false">IF($A991="","",IF(OR(F991="",I991=""),"",F991-I991))</f>
        <v/>
      </c>
      <c r="R991" s="1" t="str">
        <f aca="false">IF($A991="","",IF(Q991="","",Q991+IF(O991="",0,O991)))</f>
        <v/>
      </c>
      <c r="T991" s="1" t="str">
        <f aca="false">IF($A991="","",IF(R991="","",R991-IF(S991="",0,S991)))</f>
        <v/>
      </c>
      <c r="U991" s="1" t="str">
        <f aca="false">IF($A991="","",IF(I991="","",I991-SUM(J991:P991)))</f>
        <v/>
      </c>
      <c r="V991" s="6" t="s">
        <v>4746</v>
      </c>
      <c r="W991" s="9" t="s">
        <v>528</v>
      </c>
      <c r="X991" s="6" t="s">
        <v>4747</v>
      </c>
      <c r="AC991" s="9" t="s">
        <v>4369</v>
      </c>
      <c r="AD991" s="9" t="s">
        <v>4370</v>
      </c>
      <c r="AE991" s="9" t="s">
        <v>4371</v>
      </c>
    </row>
    <row r="992" customFormat="false" ht="15" hidden="false" customHeight="true" outlineLevel="0" collapsed="false">
      <c r="A992" s="6" t="s">
        <v>3602</v>
      </c>
      <c r="B992" s="6" t="s">
        <v>485</v>
      </c>
      <c r="C992" s="6" t="s">
        <v>490</v>
      </c>
      <c r="D992" s="6" t="n">
        <v>6</v>
      </c>
      <c r="E992" s="9" t="s">
        <v>4738</v>
      </c>
      <c r="Q992" s="1" t="str">
        <f aca="false">IF($A992="","",IF(OR(F992="",I992=""),"",F992-I992))</f>
        <v/>
      </c>
      <c r="R992" s="1" t="str">
        <f aca="false">IF($A992="","",IF(Q992="","",Q992+IF(O992="",0,O992)))</f>
        <v/>
      </c>
      <c r="T992" s="1" t="str">
        <f aca="false">IF($A992="","",IF(R992="","",R992-IF(S992="",0,S992)))</f>
        <v/>
      </c>
      <c r="U992" s="1" t="str">
        <f aca="false">IF($A992="","",IF(I992="","",I992-SUM(J992:P992)))</f>
        <v/>
      </c>
      <c r="V992" s="6" t="s">
        <v>4746</v>
      </c>
      <c r="W992" s="9" t="s">
        <v>528</v>
      </c>
      <c r="X992" s="6" t="s">
        <v>4747</v>
      </c>
      <c r="AC992" s="9" t="s">
        <v>4369</v>
      </c>
      <c r="AD992" s="9" t="s">
        <v>4370</v>
      </c>
      <c r="AE992" s="9" t="s">
        <v>4371</v>
      </c>
    </row>
    <row r="993" customFormat="false" ht="15" hidden="false" customHeight="true" outlineLevel="0" collapsed="false">
      <c r="A993" s="6" t="s">
        <v>3605</v>
      </c>
      <c r="B993" s="6" t="s">
        <v>485</v>
      </c>
      <c r="C993" s="6" t="s">
        <v>490</v>
      </c>
      <c r="D993" s="6" t="n">
        <v>6</v>
      </c>
      <c r="E993" s="9" t="s">
        <v>4738</v>
      </c>
      <c r="Q993" s="1" t="str">
        <f aca="false">IF($A993="","",IF(OR(F993="",I993=""),"",F993-I993))</f>
        <v/>
      </c>
      <c r="R993" s="1" t="str">
        <f aca="false">IF($A993="","",IF(Q993="","",Q993+IF(O993="",0,O993)))</f>
        <v/>
      </c>
      <c r="T993" s="1" t="str">
        <f aca="false">IF($A993="","",IF(R993="","",R993-IF(S993="",0,S993)))</f>
        <v/>
      </c>
      <c r="U993" s="1" t="str">
        <f aca="false">IF($A993="","",IF(I993="","",I993-SUM(J993:P993)))</f>
        <v/>
      </c>
      <c r="V993" s="6" t="s">
        <v>4746</v>
      </c>
      <c r="W993" s="9" t="s">
        <v>528</v>
      </c>
      <c r="X993" s="6" t="s">
        <v>4747</v>
      </c>
      <c r="AC993" s="9" t="s">
        <v>4369</v>
      </c>
      <c r="AD993" s="9" t="s">
        <v>4370</v>
      </c>
      <c r="AE993" s="9" t="s">
        <v>4371</v>
      </c>
    </row>
    <row r="994" customFormat="false" ht="15" hidden="false" customHeight="true" outlineLevel="0" collapsed="false">
      <c r="A994" s="6" t="s">
        <v>3608</v>
      </c>
      <c r="B994" s="6" t="s">
        <v>485</v>
      </c>
      <c r="C994" s="6" t="s">
        <v>490</v>
      </c>
      <c r="D994" s="6" t="n">
        <v>6</v>
      </c>
      <c r="E994" s="9" t="s">
        <v>4616</v>
      </c>
      <c r="F994" s="6" t="n">
        <v>655000</v>
      </c>
      <c r="Q994" s="1" t="str">
        <f aca="false">IF($A994="","",IF(OR(F994="",I994=""),"",F994-I994))</f>
        <v/>
      </c>
      <c r="R994" s="1" t="str">
        <f aca="false">IF($A994="","",IF(Q994="","",Q994+IF(O994="",0,O994)))</f>
        <v/>
      </c>
      <c r="T994" s="1" t="str">
        <f aca="false">IF($A994="","",IF(R994="","",R994-IF(S994="",0,S994)))</f>
        <v/>
      </c>
      <c r="U994" s="1" t="str">
        <f aca="false">IF($A994="","",IF(I994="","",I994-SUM(J994:P994)))</f>
        <v/>
      </c>
      <c r="V994" s="6" t="s">
        <v>4742</v>
      </c>
      <c r="W994" s="9" t="s">
        <v>528</v>
      </c>
      <c r="X994" s="9" t="s">
        <v>4748</v>
      </c>
      <c r="AC994" s="6" t="s">
        <v>4373</v>
      </c>
      <c r="AD994" s="9" t="s">
        <v>4745</v>
      </c>
      <c r="AE994" s="9" t="s">
        <v>4408</v>
      </c>
    </row>
    <row r="995" customFormat="false" ht="15" hidden="false" customHeight="true" outlineLevel="0" collapsed="false">
      <c r="A995" s="6" t="s">
        <v>3611</v>
      </c>
      <c r="B995" s="6" t="s">
        <v>485</v>
      </c>
      <c r="C995" s="6" t="s">
        <v>490</v>
      </c>
      <c r="D995" s="6" t="n">
        <v>6</v>
      </c>
      <c r="E995" s="9" t="s">
        <v>4616</v>
      </c>
      <c r="F995" s="6" t="n">
        <v>387000</v>
      </c>
      <c r="Q995" s="1" t="str">
        <f aca="false">IF($A995="","",IF(OR(F995="",I995=""),"",F995-I995))</f>
        <v/>
      </c>
      <c r="R995" s="1" t="str">
        <f aca="false">IF($A995="","",IF(Q995="","",Q995+IF(O995="",0,O995)))</f>
        <v/>
      </c>
      <c r="T995" s="1" t="str">
        <f aca="false">IF($A995="","",IF(R995="","",R995-IF(S995="",0,S995)))</f>
        <v/>
      </c>
      <c r="U995" s="1" t="str">
        <f aca="false">IF($A995="","",IF(I995="","",I995-SUM(J995:P995)))</f>
        <v/>
      </c>
      <c r="V995" s="6" t="s">
        <v>4742</v>
      </c>
      <c r="W995" s="9" t="s">
        <v>528</v>
      </c>
      <c r="X995" s="9" t="s">
        <v>4743</v>
      </c>
      <c r="AC995" s="9" t="s">
        <v>4369</v>
      </c>
      <c r="AD995" s="9" t="s">
        <v>4370</v>
      </c>
      <c r="AE995" s="9" t="s">
        <v>4408</v>
      </c>
    </row>
    <row r="996" customFormat="false" ht="15" hidden="false" customHeight="true" outlineLevel="0" collapsed="false">
      <c r="A996" s="6" t="s">
        <v>3614</v>
      </c>
      <c r="B996" s="6" t="s">
        <v>485</v>
      </c>
      <c r="C996" s="6" t="s">
        <v>490</v>
      </c>
      <c r="D996" s="6" t="n">
        <v>6</v>
      </c>
      <c r="E996" s="9" t="s">
        <v>4616</v>
      </c>
      <c r="F996" s="6" t="n">
        <v>506000</v>
      </c>
      <c r="Q996" s="1" t="str">
        <f aca="false">IF($A996="","",IF(OR(F996="",I996=""),"",F996-I996))</f>
        <v/>
      </c>
      <c r="R996" s="1" t="str">
        <f aca="false">IF($A996="","",IF(Q996="","",Q996+IF(O996="",0,O996)))</f>
        <v/>
      </c>
      <c r="T996" s="1" t="str">
        <f aca="false">IF($A996="","",IF(R996="","",R996-IF(S996="",0,S996)))</f>
        <v/>
      </c>
      <c r="U996" s="1" t="str">
        <f aca="false">IF($A996="","",IF(I996="","",I996-SUM(J996:P996)))</f>
        <v/>
      </c>
      <c r="V996" s="6" t="s">
        <v>4742</v>
      </c>
      <c r="W996" s="9" t="s">
        <v>528</v>
      </c>
      <c r="X996" s="9" t="s">
        <v>4743</v>
      </c>
      <c r="AC996" s="9" t="s">
        <v>4369</v>
      </c>
      <c r="AD996" s="9" t="s">
        <v>4370</v>
      </c>
      <c r="AE996" s="9" t="s">
        <v>4408</v>
      </c>
    </row>
    <row r="997" customFormat="false" ht="15" hidden="false" customHeight="true" outlineLevel="0" collapsed="false">
      <c r="A997" s="6" t="s">
        <v>3617</v>
      </c>
      <c r="B997" s="6" t="s">
        <v>485</v>
      </c>
      <c r="C997" s="6" t="s">
        <v>490</v>
      </c>
      <c r="D997" s="6" t="n">
        <v>6</v>
      </c>
      <c r="E997" s="9" t="s">
        <v>4738</v>
      </c>
      <c r="Q997" s="1" t="str">
        <f aca="false">IF($A997="","",IF(OR(F997="",I997=""),"",F997-I997))</f>
        <v/>
      </c>
      <c r="R997" s="1" t="str">
        <f aca="false">IF($A997="","",IF(Q997="","",Q997+IF(O997="",0,O997)))</f>
        <v/>
      </c>
      <c r="T997" s="1" t="str">
        <f aca="false">IF($A997="","",IF(R997="","",R997-IF(S997="",0,S997)))</f>
        <v/>
      </c>
      <c r="U997" s="1" t="str">
        <f aca="false">IF($A997="","",IF(I997="","",I997-SUM(J997:P997)))</f>
        <v/>
      </c>
      <c r="V997" s="6" t="s">
        <v>4746</v>
      </c>
      <c r="W997" s="9" t="s">
        <v>528</v>
      </c>
      <c r="X997" s="6" t="s">
        <v>4747</v>
      </c>
      <c r="AC997" s="9" t="s">
        <v>4369</v>
      </c>
      <c r="AD997" s="9" t="s">
        <v>4370</v>
      </c>
      <c r="AE997" s="9" t="s">
        <v>4371</v>
      </c>
    </row>
    <row r="998" customFormat="false" ht="15" hidden="false" customHeight="true" outlineLevel="0" collapsed="false">
      <c r="A998" s="6" t="s">
        <v>3620</v>
      </c>
      <c r="B998" s="6" t="s">
        <v>485</v>
      </c>
      <c r="C998" s="6" t="s">
        <v>490</v>
      </c>
      <c r="D998" s="6" t="n">
        <v>6</v>
      </c>
      <c r="E998" s="9" t="s">
        <v>4738</v>
      </c>
      <c r="Q998" s="1" t="str">
        <f aca="false">IF($A998="","",IF(OR(F998="",I998=""),"",F998-I998))</f>
        <v/>
      </c>
      <c r="R998" s="1" t="str">
        <f aca="false">IF($A998="","",IF(Q998="","",Q998+IF(O998="",0,O998)))</f>
        <v/>
      </c>
      <c r="T998" s="1" t="str">
        <f aca="false">IF($A998="","",IF(R998="","",R998-IF(S998="",0,S998)))</f>
        <v/>
      </c>
      <c r="U998" s="1" t="str">
        <f aca="false">IF($A998="","",IF(I998="","",I998-SUM(J998:P998)))</f>
        <v/>
      </c>
      <c r="V998" s="6" t="s">
        <v>4746</v>
      </c>
      <c r="W998" s="9" t="s">
        <v>528</v>
      </c>
      <c r="X998" s="6" t="s">
        <v>4747</v>
      </c>
      <c r="AC998" s="9" t="s">
        <v>4369</v>
      </c>
      <c r="AD998" s="9" t="s">
        <v>4370</v>
      </c>
      <c r="AE998" s="9" t="s">
        <v>4371</v>
      </c>
    </row>
    <row r="999" customFormat="false" ht="15" hidden="false" customHeight="true" outlineLevel="0" collapsed="false">
      <c r="A999" s="6" t="s">
        <v>3623</v>
      </c>
      <c r="B999" s="6" t="s">
        <v>485</v>
      </c>
      <c r="C999" s="6" t="s">
        <v>490</v>
      </c>
      <c r="D999" s="6" t="n">
        <v>6</v>
      </c>
      <c r="E999" s="9" t="s">
        <v>4738</v>
      </c>
      <c r="Q999" s="1" t="str">
        <f aca="false">IF($A999="","",IF(OR(F999="",I999=""),"",F999-I999))</f>
        <v/>
      </c>
      <c r="R999" s="1" t="str">
        <f aca="false">IF($A999="","",IF(Q999="","",Q999+IF(O999="",0,O999)))</f>
        <v/>
      </c>
      <c r="T999" s="1" t="str">
        <f aca="false">IF($A999="","",IF(R999="","",R999-IF(S999="",0,S999)))</f>
        <v/>
      </c>
      <c r="U999" s="1" t="str">
        <f aca="false">IF($A999="","",IF(I999="","",I999-SUM(J999:P999)))</f>
        <v/>
      </c>
      <c r="V999" s="6" t="s">
        <v>4746</v>
      </c>
      <c r="W999" s="9" t="s">
        <v>528</v>
      </c>
      <c r="X999" s="6" t="s">
        <v>4747</v>
      </c>
      <c r="AC999" s="9" t="s">
        <v>4369</v>
      </c>
      <c r="AD999" s="9" t="s">
        <v>4370</v>
      </c>
      <c r="AE999" s="9" t="s">
        <v>4371</v>
      </c>
    </row>
    <row r="1000" customFormat="false" ht="15" hidden="false" customHeight="true" outlineLevel="0" collapsed="false">
      <c r="A1000" s="6" t="s">
        <v>3626</v>
      </c>
      <c r="B1000" s="6" t="s">
        <v>485</v>
      </c>
      <c r="C1000" s="6" t="s">
        <v>490</v>
      </c>
      <c r="D1000" s="6" t="n">
        <v>6</v>
      </c>
      <c r="E1000" s="9" t="s">
        <v>4738</v>
      </c>
      <c r="Q1000" s="1" t="str">
        <f aca="false">IF($A1000="","",IF(OR(F1000="",I1000=""),"",F1000-I1000))</f>
        <v/>
      </c>
      <c r="R1000" s="1" t="str">
        <f aca="false">IF($A1000="","",IF(Q1000="","",Q1000+IF(O1000="",0,O1000)))</f>
        <v/>
      </c>
      <c r="T1000" s="1" t="str">
        <f aca="false">IF($A1000="","",IF(R1000="","",R1000-IF(S1000="",0,S1000)))</f>
        <v/>
      </c>
      <c r="U1000" s="1" t="str">
        <f aca="false">IF($A1000="","",IF(I1000="","",I1000-SUM(J1000:P1000)))</f>
        <v/>
      </c>
      <c r="V1000" s="6" t="s">
        <v>4746</v>
      </c>
      <c r="W1000" s="9" t="s">
        <v>528</v>
      </c>
      <c r="X1000" s="6" t="s">
        <v>4747</v>
      </c>
      <c r="AC1000" s="9" t="s">
        <v>4369</v>
      </c>
      <c r="AD1000" s="9" t="s">
        <v>4370</v>
      </c>
      <c r="AE1000" s="9" t="s">
        <v>4371</v>
      </c>
    </row>
    <row r="1001" customFormat="false" ht="15" hidden="false" customHeight="true" outlineLevel="0" collapsed="false">
      <c r="A1001" s="6" t="s">
        <v>3629</v>
      </c>
      <c r="B1001" s="6" t="s">
        <v>485</v>
      </c>
      <c r="C1001" s="6" t="s">
        <v>490</v>
      </c>
      <c r="D1001" s="6" t="n">
        <v>6</v>
      </c>
      <c r="E1001" s="9" t="s">
        <v>4738</v>
      </c>
      <c r="Q1001" s="1" t="str">
        <f aca="false">IF($A1001="","",IF(OR(F1001="",I1001=""),"",F1001-I1001))</f>
        <v/>
      </c>
      <c r="R1001" s="1" t="str">
        <f aca="false">IF($A1001="","",IF(Q1001="","",Q1001+IF(O1001="",0,O1001)))</f>
        <v/>
      </c>
      <c r="T1001" s="1" t="str">
        <f aca="false">IF($A1001="","",IF(R1001="","",R1001-IF(S1001="",0,S1001)))</f>
        <v/>
      </c>
      <c r="U1001" s="1" t="str">
        <f aca="false">IF($A1001="","",IF(I1001="","",I1001-SUM(J1001:P1001)))</f>
        <v/>
      </c>
      <c r="V1001" s="6" t="s">
        <v>4746</v>
      </c>
      <c r="W1001" s="9" t="s">
        <v>528</v>
      </c>
      <c r="X1001" s="6" t="s">
        <v>4747</v>
      </c>
      <c r="AC1001" s="9" t="s">
        <v>4369</v>
      </c>
      <c r="AD1001" s="9" t="s">
        <v>4370</v>
      </c>
      <c r="AE1001" s="9" t="s">
        <v>4371</v>
      </c>
    </row>
    <row r="1002" customFormat="false" ht="15" hidden="false" customHeight="true" outlineLevel="0" collapsed="false">
      <c r="A1002" s="6" t="s">
        <v>3632</v>
      </c>
      <c r="B1002" s="6" t="s">
        <v>485</v>
      </c>
      <c r="C1002" s="6" t="s">
        <v>490</v>
      </c>
      <c r="D1002" s="6" t="n">
        <v>6</v>
      </c>
      <c r="E1002" s="9" t="s">
        <v>4738</v>
      </c>
      <c r="Q1002" s="1" t="str">
        <f aca="false">IF($A1002="","",IF(OR(F1002="",I1002=""),"",F1002-I1002))</f>
        <v/>
      </c>
      <c r="R1002" s="1" t="str">
        <f aca="false">IF($A1002="","",IF(Q1002="","",Q1002+IF(O1002="",0,O1002)))</f>
        <v/>
      </c>
      <c r="T1002" s="1" t="str">
        <f aca="false">IF($A1002="","",IF(R1002="","",R1002-IF(S1002="",0,S1002)))</f>
        <v/>
      </c>
      <c r="U1002" s="1" t="str">
        <f aca="false">IF($A1002="","",IF(I1002="","",I1002-SUM(J1002:P1002)))</f>
        <v/>
      </c>
      <c r="V1002" s="6" t="s">
        <v>4746</v>
      </c>
      <c r="W1002" s="9" t="s">
        <v>528</v>
      </c>
      <c r="X1002" s="6" t="s">
        <v>4747</v>
      </c>
      <c r="AC1002" s="9" t="s">
        <v>4369</v>
      </c>
      <c r="AD1002" s="9" t="s">
        <v>4370</v>
      </c>
      <c r="AE1002" s="9" t="s">
        <v>4371</v>
      </c>
    </row>
    <row r="1003" customFormat="false" ht="15" hidden="false" customHeight="true" outlineLevel="0" collapsed="false">
      <c r="A1003" s="6" t="s">
        <v>3635</v>
      </c>
      <c r="B1003" s="6" t="s">
        <v>485</v>
      </c>
      <c r="C1003" s="6" t="s">
        <v>490</v>
      </c>
      <c r="D1003" s="6" t="n">
        <v>6</v>
      </c>
      <c r="E1003" s="9" t="s">
        <v>4738</v>
      </c>
      <c r="Q1003" s="1" t="str">
        <f aca="false">IF($A1003="","",IF(OR(F1003="",I1003=""),"",F1003-I1003))</f>
        <v/>
      </c>
      <c r="R1003" s="1" t="str">
        <f aca="false">IF($A1003="","",IF(Q1003="","",Q1003+IF(O1003="",0,O1003)))</f>
        <v/>
      </c>
      <c r="T1003" s="1" t="str">
        <f aca="false">IF($A1003="","",IF(R1003="","",R1003-IF(S1003="",0,S1003)))</f>
        <v/>
      </c>
      <c r="U1003" s="1" t="str">
        <f aca="false">IF($A1003="","",IF(I1003="","",I1003-SUM(J1003:P1003)))</f>
        <v/>
      </c>
      <c r="V1003" s="6" t="s">
        <v>4746</v>
      </c>
      <c r="W1003" s="9" t="s">
        <v>528</v>
      </c>
      <c r="X1003" s="6" t="s">
        <v>4747</v>
      </c>
      <c r="AC1003" s="9" t="s">
        <v>4369</v>
      </c>
      <c r="AD1003" s="9" t="s">
        <v>4370</v>
      </c>
      <c r="AE1003" s="9" t="s">
        <v>4371</v>
      </c>
    </row>
    <row r="1004" customFormat="false" ht="15" hidden="false" customHeight="true" outlineLevel="0" collapsed="false">
      <c r="A1004" s="6" t="s">
        <v>3638</v>
      </c>
      <c r="B1004" s="6" t="s">
        <v>485</v>
      </c>
      <c r="C1004" s="6" t="s">
        <v>490</v>
      </c>
      <c r="D1004" s="6" t="n">
        <v>6</v>
      </c>
      <c r="E1004" s="9" t="s">
        <v>4616</v>
      </c>
      <c r="F1004" s="6" t="n">
        <v>457000</v>
      </c>
      <c r="Q1004" s="1" t="str">
        <f aca="false">IF($A1004="","",IF(OR(F1004="",I1004=""),"",F1004-I1004))</f>
        <v/>
      </c>
      <c r="R1004" s="1" t="str">
        <f aca="false">IF($A1004="","",IF(Q1004="","",Q1004+IF(O1004="",0,O1004)))</f>
        <v/>
      </c>
      <c r="T1004" s="1" t="str">
        <f aca="false">IF($A1004="","",IF(R1004="","",R1004-IF(S1004="",0,S1004)))</f>
        <v/>
      </c>
      <c r="U1004" s="1" t="str">
        <f aca="false">IF($A1004="","",IF(I1004="","",I1004-SUM(J1004:P1004)))</f>
        <v/>
      </c>
      <c r="V1004" s="6" t="s">
        <v>4742</v>
      </c>
      <c r="W1004" s="9" t="s">
        <v>528</v>
      </c>
      <c r="X1004" s="9" t="s">
        <v>4743</v>
      </c>
      <c r="AC1004" s="9" t="s">
        <v>4369</v>
      </c>
      <c r="AD1004" s="9" t="s">
        <v>4370</v>
      </c>
      <c r="AE1004" s="9" t="s">
        <v>4408</v>
      </c>
    </row>
    <row r="1005" customFormat="false" ht="15" hidden="false" customHeight="true" outlineLevel="0" collapsed="false">
      <c r="A1005" s="6" t="s">
        <v>3641</v>
      </c>
      <c r="B1005" s="6" t="s">
        <v>485</v>
      </c>
      <c r="C1005" s="6" t="s">
        <v>490</v>
      </c>
      <c r="D1005" s="6" t="n">
        <v>6</v>
      </c>
      <c r="E1005" s="9" t="s">
        <v>4616</v>
      </c>
      <c r="F1005" s="6" t="n">
        <v>296000</v>
      </c>
      <c r="Q1005" s="1" t="str">
        <f aca="false">IF($A1005="","",IF(OR(F1005="",I1005=""),"",F1005-I1005))</f>
        <v/>
      </c>
      <c r="R1005" s="1" t="str">
        <f aca="false">IF($A1005="","",IF(Q1005="","",Q1005+IF(O1005="",0,O1005)))</f>
        <v/>
      </c>
      <c r="T1005" s="1" t="str">
        <f aca="false">IF($A1005="","",IF(R1005="","",R1005-IF(S1005="",0,S1005)))</f>
        <v/>
      </c>
      <c r="U1005" s="1" t="str">
        <f aca="false">IF($A1005="","",IF(I1005="","",I1005-SUM(J1005:P1005)))</f>
        <v/>
      </c>
      <c r="V1005" s="6" t="s">
        <v>4742</v>
      </c>
      <c r="W1005" s="9" t="s">
        <v>528</v>
      </c>
      <c r="X1005" s="9" t="s">
        <v>4743</v>
      </c>
      <c r="AC1005" s="9" t="s">
        <v>4369</v>
      </c>
      <c r="AD1005" s="9" t="s">
        <v>4370</v>
      </c>
      <c r="AE1005" s="9" t="s">
        <v>4408</v>
      </c>
    </row>
    <row r="1006" customFormat="false" ht="15" hidden="false" customHeight="true" outlineLevel="0" collapsed="false">
      <c r="A1006" s="6" t="s">
        <v>3644</v>
      </c>
      <c r="B1006" s="6" t="s">
        <v>485</v>
      </c>
      <c r="C1006" s="6" t="s">
        <v>490</v>
      </c>
      <c r="D1006" s="6" t="n">
        <v>6</v>
      </c>
      <c r="E1006" s="9" t="s">
        <v>4738</v>
      </c>
      <c r="Q1006" s="1" t="str">
        <f aca="false">IF($A1006="","",IF(OR(F1006="",I1006=""),"",F1006-I1006))</f>
        <v/>
      </c>
      <c r="R1006" s="1" t="str">
        <f aca="false">IF($A1006="","",IF(Q1006="","",Q1006+IF(O1006="",0,O1006)))</f>
        <v/>
      </c>
      <c r="T1006" s="1" t="str">
        <f aca="false">IF($A1006="","",IF(R1006="","",R1006-IF(S1006="",0,S1006)))</f>
        <v/>
      </c>
      <c r="U1006" s="1" t="str">
        <f aca="false">IF($A1006="","",IF(I1006="","",I1006-SUM(J1006:P1006)))</f>
        <v/>
      </c>
      <c r="V1006" s="6" t="s">
        <v>4746</v>
      </c>
      <c r="W1006" s="9" t="s">
        <v>528</v>
      </c>
      <c r="X1006" s="6" t="s">
        <v>4747</v>
      </c>
      <c r="AC1006" s="9" t="s">
        <v>4369</v>
      </c>
      <c r="AD1006" s="9" t="s">
        <v>4370</v>
      </c>
      <c r="AE1006" s="9" t="s">
        <v>4371</v>
      </c>
    </row>
    <row r="1007" customFormat="false" ht="15" hidden="false" customHeight="true" outlineLevel="0" collapsed="false">
      <c r="A1007" s="6" t="s">
        <v>3647</v>
      </c>
      <c r="B1007" s="6" t="s">
        <v>485</v>
      </c>
      <c r="C1007" s="6" t="s">
        <v>490</v>
      </c>
      <c r="D1007" s="6" t="n">
        <v>6</v>
      </c>
      <c r="E1007" s="9" t="s">
        <v>4738</v>
      </c>
      <c r="Q1007" s="1" t="str">
        <f aca="false">IF($A1007="","",IF(OR(F1007="",I1007=""),"",F1007-I1007))</f>
        <v/>
      </c>
      <c r="R1007" s="1" t="str">
        <f aca="false">IF($A1007="","",IF(Q1007="","",Q1007+IF(O1007="",0,O1007)))</f>
        <v/>
      </c>
      <c r="T1007" s="1" t="str">
        <f aca="false">IF($A1007="","",IF(R1007="","",R1007-IF(S1007="",0,S1007)))</f>
        <v/>
      </c>
      <c r="U1007" s="1" t="str">
        <f aca="false">IF($A1007="","",IF(I1007="","",I1007-SUM(J1007:P1007)))</f>
        <v/>
      </c>
      <c r="V1007" s="6" t="s">
        <v>4746</v>
      </c>
      <c r="W1007" s="9" t="s">
        <v>528</v>
      </c>
      <c r="X1007" s="6" t="s">
        <v>4747</v>
      </c>
      <c r="AC1007" s="9" t="s">
        <v>4369</v>
      </c>
      <c r="AD1007" s="9" t="s">
        <v>4370</v>
      </c>
      <c r="AE1007" s="9" t="s">
        <v>4371</v>
      </c>
    </row>
    <row r="1008" customFormat="false" ht="15" hidden="false" customHeight="true" outlineLevel="0" collapsed="false">
      <c r="A1008" s="6" t="s">
        <v>3650</v>
      </c>
      <c r="B1008" s="6" t="s">
        <v>485</v>
      </c>
      <c r="C1008" s="6" t="s">
        <v>490</v>
      </c>
      <c r="D1008" s="6" t="n">
        <v>6</v>
      </c>
      <c r="E1008" s="9" t="s">
        <v>4616</v>
      </c>
      <c r="F1008" s="6" t="n">
        <v>44000</v>
      </c>
      <c r="Q1008" s="1" t="str">
        <f aca="false">IF($A1008="","",IF(OR(F1008="",I1008=""),"",F1008-I1008))</f>
        <v/>
      </c>
      <c r="R1008" s="1" t="str">
        <f aca="false">IF($A1008="","",IF(Q1008="","",Q1008+IF(O1008="",0,O1008)))</f>
        <v/>
      </c>
      <c r="T1008" s="1" t="str">
        <f aca="false">IF($A1008="","",IF(R1008="","",R1008-IF(S1008="",0,S1008)))</f>
        <v/>
      </c>
      <c r="U1008" s="1" t="str">
        <f aca="false">IF($A1008="","",IF(I1008="","",I1008-SUM(J1008:P1008)))</f>
        <v/>
      </c>
      <c r="V1008" s="6" t="s">
        <v>4742</v>
      </c>
      <c r="W1008" s="9" t="s">
        <v>528</v>
      </c>
      <c r="X1008" s="9" t="s">
        <v>4743</v>
      </c>
      <c r="AC1008" s="9" t="s">
        <v>4369</v>
      </c>
      <c r="AD1008" s="9" t="s">
        <v>4370</v>
      </c>
      <c r="AE1008" s="9" t="s">
        <v>4445</v>
      </c>
    </row>
    <row r="1009" customFormat="false" ht="15" hidden="false" customHeight="true" outlineLevel="0" collapsed="false">
      <c r="A1009" s="6" t="s">
        <v>3653</v>
      </c>
      <c r="B1009" s="6" t="s">
        <v>485</v>
      </c>
      <c r="C1009" s="6" t="s">
        <v>490</v>
      </c>
      <c r="D1009" s="6" t="n">
        <v>6</v>
      </c>
      <c r="E1009" s="9" t="s">
        <v>4738</v>
      </c>
      <c r="Q1009" s="1" t="str">
        <f aca="false">IF($A1009="","",IF(OR(F1009="",I1009=""),"",F1009-I1009))</f>
        <v/>
      </c>
      <c r="R1009" s="1" t="str">
        <f aca="false">IF($A1009="","",IF(Q1009="","",Q1009+IF(O1009="",0,O1009)))</f>
        <v/>
      </c>
      <c r="T1009" s="1" t="str">
        <f aca="false">IF($A1009="","",IF(R1009="","",R1009-IF(S1009="",0,S1009)))</f>
        <v/>
      </c>
      <c r="U1009" s="1" t="str">
        <f aca="false">IF($A1009="","",IF(I1009="","",I1009-SUM(J1009:P1009)))</f>
        <v/>
      </c>
      <c r="V1009" s="6" t="s">
        <v>4746</v>
      </c>
      <c r="W1009" s="9" t="s">
        <v>528</v>
      </c>
      <c r="X1009" s="6" t="s">
        <v>4747</v>
      </c>
      <c r="AC1009" s="9" t="s">
        <v>4369</v>
      </c>
      <c r="AD1009" s="9" t="s">
        <v>4370</v>
      </c>
      <c r="AE1009" s="9" t="s">
        <v>4371</v>
      </c>
    </row>
    <row r="1010" customFormat="false" ht="15" hidden="false" customHeight="true" outlineLevel="0" collapsed="false">
      <c r="A1010" s="6" t="s">
        <v>3656</v>
      </c>
      <c r="B1010" s="6" t="s">
        <v>485</v>
      </c>
      <c r="C1010" s="6" t="s">
        <v>490</v>
      </c>
      <c r="D1010" s="6" t="n">
        <v>6</v>
      </c>
      <c r="E1010" s="9" t="s">
        <v>4738</v>
      </c>
      <c r="Q1010" s="1" t="str">
        <f aca="false">IF($A1010="","",IF(OR(F1010="",I1010=""),"",F1010-I1010))</f>
        <v/>
      </c>
      <c r="R1010" s="1" t="str">
        <f aca="false">IF($A1010="","",IF(Q1010="","",Q1010+IF(O1010="",0,O1010)))</f>
        <v/>
      </c>
      <c r="T1010" s="1" t="str">
        <f aca="false">IF($A1010="","",IF(R1010="","",R1010-IF(S1010="",0,S1010)))</f>
        <v/>
      </c>
      <c r="U1010" s="1" t="str">
        <f aca="false">IF($A1010="","",IF(I1010="","",I1010-SUM(J1010:P1010)))</f>
        <v/>
      </c>
      <c r="V1010" s="6" t="s">
        <v>4746</v>
      </c>
      <c r="W1010" s="9" t="s">
        <v>528</v>
      </c>
      <c r="X1010" s="6" t="s">
        <v>4747</v>
      </c>
      <c r="AC1010" s="9" t="s">
        <v>4369</v>
      </c>
      <c r="AD1010" s="9" t="s">
        <v>4370</v>
      </c>
      <c r="AE1010" s="9" t="s">
        <v>4371</v>
      </c>
    </row>
    <row r="1011" customFormat="false" ht="15" hidden="false" customHeight="true" outlineLevel="0" collapsed="false">
      <c r="A1011" s="6" t="s">
        <v>3659</v>
      </c>
      <c r="B1011" s="6" t="s">
        <v>485</v>
      </c>
      <c r="C1011" s="6" t="s">
        <v>490</v>
      </c>
      <c r="D1011" s="6" t="n">
        <v>6</v>
      </c>
      <c r="E1011" s="9" t="s">
        <v>4616</v>
      </c>
      <c r="F1011" s="6" t="n">
        <v>128000</v>
      </c>
      <c r="Q1011" s="1" t="str">
        <f aca="false">IF($A1011="","",IF(OR(F1011="",I1011=""),"",F1011-I1011))</f>
        <v/>
      </c>
      <c r="R1011" s="1" t="str">
        <f aca="false">IF($A1011="","",IF(Q1011="","",Q1011+IF(O1011="",0,O1011)))</f>
        <v/>
      </c>
      <c r="T1011" s="1" t="str">
        <f aca="false">IF($A1011="","",IF(R1011="","",R1011-IF(S1011="",0,S1011)))</f>
        <v/>
      </c>
      <c r="U1011" s="1" t="str">
        <f aca="false">IF($A1011="","",IF(I1011="","",I1011-SUM(J1011:P1011)))</f>
        <v/>
      </c>
      <c r="V1011" s="6" t="s">
        <v>4742</v>
      </c>
      <c r="W1011" s="9" t="s">
        <v>528</v>
      </c>
      <c r="X1011" s="9" t="s">
        <v>4743</v>
      </c>
      <c r="AC1011" s="9" t="s">
        <v>4369</v>
      </c>
      <c r="AD1011" s="9" t="s">
        <v>4370</v>
      </c>
      <c r="AE1011" s="9" t="s">
        <v>4408</v>
      </c>
    </row>
    <row r="1012" customFormat="false" ht="15" hidden="false" customHeight="true" outlineLevel="0" collapsed="false">
      <c r="A1012" s="6" t="s">
        <v>3662</v>
      </c>
      <c r="B1012" s="6" t="s">
        <v>485</v>
      </c>
      <c r="C1012" s="6" t="s">
        <v>490</v>
      </c>
      <c r="D1012" s="6" t="n">
        <v>6</v>
      </c>
      <c r="E1012" s="9" t="s">
        <v>4738</v>
      </c>
      <c r="Q1012" s="1" t="str">
        <f aca="false">IF($A1012="","",IF(OR(F1012="",I1012=""),"",F1012-I1012))</f>
        <v/>
      </c>
      <c r="R1012" s="1" t="str">
        <f aca="false">IF($A1012="","",IF(Q1012="","",Q1012+IF(O1012="",0,O1012)))</f>
        <v/>
      </c>
      <c r="T1012" s="1" t="str">
        <f aca="false">IF($A1012="","",IF(R1012="","",R1012-IF(S1012="",0,S1012)))</f>
        <v/>
      </c>
      <c r="U1012" s="1" t="str">
        <f aca="false">IF($A1012="","",IF(I1012="","",I1012-SUM(J1012:P1012)))</f>
        <v/>
      </c>
      <c r="V1012" s="6" t="s">
        <v>4746</v>
      </c>
      <c r="W1012" s="9" t="s">
        <v>528</v>
      </c>
      <c r="X1012" s="6" t="s">
        <v>4747</v>
      </c>
      <c r="AC1012" s="9" t="s">
        <v>4369</v>
      </c>
      <c r="AD1012" s="9" t="s">
        <v>4370</v>
      </c>
      <c r="AE1012" s="9" t="s">
        <v>4371</v>
      </c>
    </row>
    <row r="1013" customFormat="false" ht="15" hidden="false" customHeight="true" outlineLevel="0" collapsed="false">
      <c r="A1013" s="6" t="s">
        <v>3665</v>
      </c>
      <c r="B1013" s="6" t="s">
        <v>485</v>
      </c>
      <c r="C1013" s="6" t="s">
        <v>490</v>
      </c>
      <c r="D1013" s="6" t="n">
        <v>6</v>
      </c>
      <c r="E1013" s="9" t="s">
        <v>4738</v>
      </c>
      <c r="Q1013" s="1" t="str">
        <f aca="false">IF($A1013="","",IF(OR(F1013="",I1013=""),"",F1013-I1013))</f>
        <v/>
      </c>
      <c r="R1013" s="1" t="str">
        <f aca="false">IF($A1013="","",IF(Q1013="","",Q1013+IF(O1013="",0,O1013)))</f>
        <v/>
      </c>
      <c r="T1013" s="1" t="str">
        <f aca="false">IF($A1013="","",IF(R1013="","",R1013-IF(S1013="",0,S1013)))</f>
        <v/>
      </c>
      <c r="U1013" s="1" t="str">
        <f aca="false">IF($A1013="","",IF(I1013="","",I1013-SUM(J1013:P1013)))</f>
        <v/>
      </c>
      <c r="V1013" s="6" t="s">
        <v>4746</v>
      </c>
      <c r="W1013" s="9" t="s">
        <v>528</v>
      </c>
      <c r="X1013" s="6" t="s">
        <v>4747</v>
      </c>
      <c r="AC1013" s="9" t="s">
        <v>4369</v>
      </c>
      <c r="AD1013" s="9" t="s">
        <v>4370</v>
      </c>
      <c r="AE1013" s="9" t="s">
        <v>4371</v>
      </c>
    </row>
    <row r="1014" customFormat="false" ht="15" hidden="false" customHeight="true" outlineLevel="0" collapsed="false">
      <c r="A1014" s="6" t="s">
        <v>3668</v>
      </c>
      <c r="B1014" s="6" t="s">
        <v>485</v>
      </c>
      <c r="C1014" s="6" t="s">
        <v>490</v>
      </c>
      <c r="D1014" s="6" t="n">
        <v>6</v>
      </c>
      <c r="E1014" s="9" t="s">
        <v>4616</v>
      </c>
      <c r="F1014" s="6" t="n">
        <v>52000</v>
      </c>
      <c r="Q1014" s="1" t="str">
        <f aca="false">IF($A1014="","",IF(OR(F1014="",I1014=""),"",F1014-I1014))</f>
        <v/>
      </c>
      <c r="R1014" s="1" t="str">
        <f aca="false">IF($A1014="","",IF(Q1014="","",Q1014+IF(O1014="",0,O1014)))</f>
        <v/>
      </c>
      <c r="T1014" s="1" t="str">
        <f aca="false">IF($A1014="","",IF(R1014="","",R1014-IF(S1014="",0,S1014)))</f>
        <v/>
      </c>
      <c r="U1014" s="1" t="str">
        <f aca="false">IF($A1014="","",IF(I1014="","",I1014-SUM(J1014:P1014)))</f>
        <v/>
      </c>
      <c r="V1014" s="6" t="s">
        <v>4742</v>
      </c>
      <c r="W1014" s="9" t="s">
        <v>528</v>
      </c>
      <c r="X1014" s="9" t="s">
        <v>4743</v>
      </c>
      <c r="AC1014" s="9" t="s">
        <v>4369</v>
      </c>
      <c r="AD1014" s="9" t="s">
        <v>4370</v>
      </c>
      <c r="AE1014" s="9" t="s">
        <v>4408</v>
      </c>
    </row>
    <row r="1015" customFormat="false" ht="15" hidden="false" customHeight="true" outlineLevel="0" collapsed="false">
      <c r="A1015" s="6" t="s">
        <v>3671</v>
      </c>
      <c r="B1015" s="6" t="s">
        <v>485</v>
      </c>
      <c r="C1015" s="6" t="s">
        <v>490</v>
      </c>
      <c r="D1015" s="6" t="n">
        <v>6</v>
      </c>
      <c r="E1015" s="9" t="s">
        <v>4616</v>
      </c>
      <c r="F1015" s="6" t="n">
        <v>543000</v>
      </c>
      <c r="Q1015" s="1" t="str">
        <f aca="false">IF($A1015="","",IF(OR(F1015="",I1015=""),"",F1015-I1015))</f>
        <v/>
      </c>
      <c r="R1015" s="1" t="str">
        <f aca="false">IF($A1015="","",IF(Q1015="","",Q1015+IF(O1015="",0,O1015)))</f>
        <v/>
      </c>
      <c r="T1015" s="1" t="str">
        <f aca="false">IF($A1015="","",IF(R1015="","",R1015-IF(S1015="",0,S1015)))</f>
        <v/>
      </c>
      <c r="U1015" s="1" t="str">
        <f aca="false">IF($A1015="","",IF(I1015="","",I1015-SUM(J1015:P1015)))</f>
        <v/>
      </c>
      <c r="V1015" s="6" t="s">
        <v>4742</v>
      </c>
      <c r="W1015" s="9" t="s">
        <v>528</v>
      </c>
      <c r="X1015" s="9" t="s">
        <v>4743</v>
      </c>
      <c r="AC1015" s="9" t="s">
        <v>4369</v>
      </c>
      <c r="AD1015" s="9" t="s">
        <v>4370</v>
      </c>
      <c r="AE1015" s="9" t="s">
        <v>4408</v>
      </c>
    </row>
    <row r="1016" customFormat="false" ht="15" hidden="false" customHeight="true" outlineLevel="0" collapsed="false">
      <c r="A1016" s="6" t="s">
        <v>3674</v>
      </c>
      <c r="B1016" s="6" t="s">
        <v>485</v>
      </c>
      <c r="C1016" s="6" t="s">
        <v>490</v>
      </c>
      <c r="D1016" s="6" t="n">
        <v>6</v>
      </c>
      <c r="E1016" s="9" t="s">
        <v>4738</v>
      </c>
      <c r="Q1016" s="1" t="str">
        <f aca="false">IF($A1016="","",IF(OR(F1016="",I1016=""),"",F1016-I1016))</f>
        <v/>
      </c>
      <c r="R1016" s="1" t="str">
        <f aca="false">IF($A1016="","",IF(Q1016="","",Q1016+IF(O1016="",0,O1016)))</f>
        <v/>
      </c>
      <c r="T1016" s="1" t="str">
        <f aca="false">IF($A1016="","",IF(R1016="","",R1016-IF(S1016="",0,S1016)))</f>
        <v/>
      </c>
      <c r="U1016" s="1" t="str">
        <f aca="false">IF($A1016="","",IF(I1016="","",I1016-SUM(J1016:P1016)))</f>
        <v/>
      </c>
      <c r="V1016" s="6" t="s">
        <v>4746</v>
      </c>
      <c r="W1016" s="9" t="s">
        <v>528</v>
      </c>
      <c r="X1016" s="6" t="s">
        <v>4747</v>
      </c>
      <c r="AC1016" s="9" t="s">
        <v>4369</v>
      </c>
      <c r="AD1016" s="9" t="s">
        <v>4370</v>
      </c>
      <c r="AE1016" s="9" t="s">
        <v>4371</v>
      </c>
    </row>
    <row r="1017" customFormat="false" ht="15" hidden="false" customHeight="true" outlineLevel="0" collapsed="false">
      <c r="A1017" s="6" t="s">
        <v>3677</v>
      </c>
      <c r="B1017" s="6" t="s">
        <v>485</v>
      </c>
      <c r="C1017" s="6" t="s">
        <v>490</v>
      </c>
      <c r="D1017" s="6" t="n">
        <v>6</v>
      </c>
      <c r="E1017" s="9" t="s">
        <v>4738</v>
      </c>
      <c r="Q1017" s="1" t="str">
        <f aca="false">IF($A1017="","",IF(OR(F1017="",I1017=""),"",F1017-I1017))</f>
        <v/>
      </c>
      <c r="R1017" s="1" t="str">
        <f aca="false">IF($A1017="","",IF(Q1017="","",Q1017+IF(O1017="",0,O1017)))</f>
        <v/>
      </c>
      <c r="T1017" s="1" t="str">
        <f aca="false">IF($A1017="","",IF(R1017="","",R1017-IF(S1017="",0,S1017)))</f>
        <v/>
      </c>
      <c r="U1017" s="1" t="str">
        <f aca="false">IF($A1017="","",IF(I1017="","",I1017-SUM(J1017:P1017)))</f>
        <v/>
      </c>
      <c r="V1017" s="6" t="s">
        <v>4746</v>
      </c>
      <c r="W1017" s="9" t="s">
        <v>528</v>
      </c>
      <c r="X1017" s="6" t="s">
        <v>4747</v>
      </c>
      <c r="AC1017" s="9" t="s">
        <v>4369</v>
      </c>
      <c r="AD1017" s="9" t="s">
        <v>4370</v>
      </c>
      <c r="AE1017" s="9" t="s">
        <v>4371</v>
      </c>
    </row>
    <row r="1018" customFormat="false" ht="15" hidden="false" customHeight="true" outlineLevel="0" collapsed="false">
      <c r="A1018" s="6" t="s">
        <v>3680</v>
      </c>
      <c r="B1018" s="6" t="s">
        <v>485</v>
      </c>
      <c r="C1018" s="6" t="s">
        <v>490</v>
      </c>
      <c r="D1018" s="6" t="n">
        <v>6</v>
      </c>
      <c r="E1018" s="9" t="s">
        <v>4738</v>
      </c>
      <c r="Q1018" s="1" t="str">
        <f aca="false">IF($A1018="","",IF(OR(F1018="",I1018=""),"",F1018-I1018))</f>
        <v/>
      </c>
      <c r="R1018" s="1" t="str">
        <f aca="false">IF($A1018="","",IF(Q1018="","",Q1018+IF(O1018="",0,O1018)))</f>
        <v/>
      </c>
      <c r="T1018" s="1" t="str">
        <f aca="false">IF($A1018="","",IF(R1018="","",R1018-IF(S1018="",0,S1018)))</f>
        <v/>
      </c>
      <c r="U1018" s="1" t="str">
        <f aca="false">IF($A1018="","",IF(I1018="","",I1018-SUM(J1018:P1018)))</f>
        <v/>
      </c>
      <c r="V1018" s="6" t="s">
        <v>4746</v>
      </c>
      <c r="W1018" s="9" t="s">
        <v>528</v>
      </c>
      <c r="X1018" s="6" t="s">
        <v>4747</v>
      </c>
      <c r="AC1018" s="9" t="s">
        <v>4369</v>
      </c>
      <c r="AD1018" s="9" t="s">
        <v>4370</v>
      </c>
      <c r="AE1018" s="9" t="s">
        <v>4371</v>
      </c>
    </row>
    <row r="1019" customFormat="false" ht="15" hidden="false" customHeight="true" outlineLevel="0" collapsed="false">
      <c r="A1019" s="6" t="s">
        <v>3683</v>
      </c>
      <c r="B1019" s="6" t="s">
        <v>485</v>
      </c>
      <c r="C1019" s="6" t="s">
        <v>490</v>
      </c>
      <c r="D1019" s="6" t="n">
        <v>6</v>
      </c>
      <c r="E1019" s="9" t="s">
        <v>4616</v>
      </c>
      <c r="F1019" s="6" t="n">
        <v>202000</v>
      </c>
      <c r="Q1019" s="1" t="str">
        <f aca="false">IF($A1019="","",IF(OR(F1019="",I1019=""),"",F1019-I1019))</f>
        <v/>
      </c>
      <c r="R1019" s="1" t="str">
        <f aca="false">IF($A1019="","",IF(Q1019="","",Q1019+IF(O1019="",0,O1019)))</f>
        <v/>
      </c>
      <c r="T1019" s="1" t="str">
        <f aca="false">IF($A1019="","",IF(R1019="","",R1019-IF(S1019="",0,S1019)))</f>
        <v/>
      </c>
      <c r="U1019" s="1" t="str">
        <f aca="false">IF($A1019="","",IF(I1019="","",I1019-SUM(J1019:P1019)))</f>
        <v/>
      </c>
      <c r="V1019" s="6" t="s">
        <v>4742</v>
      </c>
      <c r="W1019" s="9" t="s">
        <v>528</v>
      </c>
      <c r="X1019" s="9" t="s">
        <v>4743</v>
      </c>
      <c r="AC1019" s="9" t="s">
        <v>4369</v>
      </c>
      <c r="AD1019" s="9" t="s">
        <v>4370</v>
      </c>
      <c r="AE1019" s="9" t="s">
        <v>4408</v>
      </c>
    </row>
    <row r="1020" customFormat="false" ht="15" hidden="false" customHeight="true" outlineLevel="0" collapsed="false">
      <c r="A1020" s="6" t="s">
        <v>3686</v>
      </c>
      <c r="B1020" s="6" t="s">
        <v>485</v>
      </c>
      <c r="C1020" s="6" t="s">
        <v>490</v>
      </c>
      <c r="D1020" s="6" t="n">
        <v>6</v>
      </c>
      <c r="E1020" s="9" t="s">
        <v>4616</v>
      </c>
      <c r="F1020" s="6" t="n">
        <v>167000</v>
      </c>
      <c r="Q1020" s="1" t="str">
        <f aca="false">IF($A1020="","",IF(OR(F1020="",I1020=""),"",F1020-I1020))</f>
        <v/>
      </c>
      <c r="R1020" s="1" t="str">
        <f aca="false">IF($A1020="","",IF(Q1020="","",Q1020+IF(O1020="",0,O1020)))</f>
        <v/>
      </c>
      <c r="T1020" s="1" t="str">
        <f aca="false">IF($A1020="","",IF(R1020="","",R1020-IF(S1020="",0,S1020)))</f>
        <v/>
      </c>
      <c r="U1020" s="1" t="str">
        <f aca="false">IF($A1020="","",IF(I1020="","",I1020-SUM(J1020:P1020)))</f>
        <v/>
      </c>
      <c r="V1020" s="6" t="s">
        <v>4742</v>
      </c>
      <c r="W1020" s="9" t="s">
        <v>528</v>
      </c>
      <c r="X1020" s="9" t="s">
        <v>4743</v>
      </c>
      <c r="AC1020" s="9" t="s">
        <v>4369</v>
      </c>
      <c r="AD1020" s="9" t="s">
        <v>4370</v>
      </c>
      <c r="AE1020" s="9" t="s">
        <v>4408</v>
      </c>
    </row>
    <row r="1021" customFormat="false" ht="15" hidden="false" customHeight="true" outlineLevel="0" collapsed="false">
      <c r="A1021" s="6" t="s">
        <v>3689</v>
      </c>
      <c r="B1021" s="6" t="s">
        <v>485</v>
      </c>
      <c r="C1021" s="6" t="s">
        <v>490</v>
      </c>
      <c r="D1021" s="6" t="n">
        <v>6</v>
      </c>
      <c r="E1021" s="9" t="s">
        <v>4738</v>
      </c>
      <c r="Q1021" s="1" t="str">
        <f aca="false">IF($A1021="","",IF(OR(F1021="",I1021=""),"",F1021-I1021))</f>
        <v/>
      </c>
      <c r="R1021" s="1" t="str">
        <f aca="false">IF($A1021="","",IF(Q1021="","",Q1021+IF(O1021="",0,O1021)))</f>
        <v/>
      </c>
      <c r="T1021" s="1" t="str">
        <f aca="false">IF($A1021="","",IF(R1021="","",R1021-IF(S1021="",0,S1021)))</f>
        <v/>
      </c>
      <c r="U1021" s="1" t="str">
        <f aca="false">IF($A1021="","",IF(I1021="","",I1021-SUM(J1021:P1021)))</f>
        <v/>
      </c>
      <c r="V1021" s="6" t="s">
        <v>4746</v>
      </c>
      <c r="W1021" s="9" t="s">
        <v>528</v>
      </c>
      <c r="X1021" s="6" t="s">
        <v>4747</v>
      </c>
      <c r="AC1021" s="9" t="s">
        <v>4369</v>
      </c>
      <c r="AD1021" s="9" t="s">
        <v>4370</v>
      </c>
      <c r="AE1021" s="9" t="s">
        <v>4371</v>
      </c>
    </row>
    <row r="1022" customFormat="false" ht="15" hidden="false" customHeight="true" outlineLevel="0" collapsed="false">
      <c r="A1022" s="6" t="s">
        <v>3692</v>
      </c>
      <c r="B1022" s="6" t="s">
        <v>485</v>
      </c>
      <c r="C1022" s="6" t="s">
        <v>490</v>
      </c>
      <c r="D1022" s="6" t="n">
        <v>6</v>
      </c>
      <c r="E1022" s="9" t="s">
        <v>4616</v>
      </c>
      <c r="F1022" s="6" t="n">
        <v>1029000</v>
      </c>
      <c r="Q1022" s="1" t="str">
        <f aca="false">IF($A1022="","",IF(OR(F1022="",I1022=""),"",F1022-I1022))</f>
        <v/>
      </c>
      <c r="R1022" s="1" t="str">
        <f aca="false">IF($A1022="","",IF(Q1022="","",Q1022+IF(O1022="",0,O1022)))</f>
        <v/>
      </c>
      <c r="T1022" s="1" t="str">
        <f aca="false">IF($A1022="","",IF(R1022="","",R1022-IF(S1022="",0,S1022)))</f>
        <v/>
      </c>
      <c r="U1022" s="1" t="str">
        <f aca="false">IF($A1022="","",IF(I1022="","",I1022-SUM(J1022:P1022)))</f>
        <v/>
      </c>
      <c r="V1022" s="6" t="s">
        <v>4742</v>
      </c>
      <c r="W1022" s="9" t="s">
        <v>528</v>
      </c>
      <c r="X1022" s="9" t="s">
        <v>4743</v>
      </c>
      <c r="AC1022" s="9" t="s">
        <v>4369</v>
      </c>
      <c r="AD1022" s="9" t="s">
        <v>4370</v>
      </c>
      <c r="AE1022" s="9" t="s">
        <v>4408</v>
      </c>
    </row>
    <row r="1023" customFormat="false" ht="15" hidden="false" customHeight="true" outlineLevel="0" collapsed="false">
      <c r="A1023" s="6" t="s">
        <v>3695</v>
      </c>
      <c r="B1023" s="6" t="s">
        <v>485</v>
      </c>
      <c r="C1023" s="6" t="s">
        <v>490</v>
      </c>
      <c r="D1023" s="6" t="n">
        <v>6</v>
      </c>
      <c r="E1023" s="9" t="s">
        <v>4738</v>
      </c>
      <c r="Q1023" s="1" t="str">
        <f aca="false">IF($A1023="","",IF(OR(F1023="",I1023=""),"",F1023-I1023))</f>
        <v/>
      </c>
      <c r="R1023" s="1" t="str">
        <f aca="false">IF($A1023="","",IF(Q1023="","",Q1023+IF(O1023="",0,O1023)))</f>
        <v/>
      </c>
      <c r="T1023" s="1" t="str">
        <f aca="false">IF($A1023="","",IF(R1023="","",R1023-IF(S1023="",0,S1023)))</f>
        <v/>
      </c>
      <c r="U1023" s="1" t="str">
        <f aca="false">IF($A1023="","",IF(I1023="","",I1023-SUM(J1023:P1023)))</f>
        <v/>
      </c>
      <c r="V1023" s="6" t="s">
        <v>4746</v>
      </c>
      <c r="W1023" s="9" t="s">
        <v>528</v>
      </c>
      <c r="X1023" s="6" t="s">
        <v>4747</v>
      </c>
      <c r="AC1023" s="9" t="s">
        <v>4369</v>
      </c>
      <c r="AD1023" s="9" t="s">
        <v>4370</v>
      </c>
      <c r="AE1023" s="9" t="s">
        <v>4371</v>
      </c>
    </row>
    <row r="1024" customFormat="false" ht="15" hidden="false" customHeight="true" outlineLevel="0" collapsed="false">
      <c r="A1024" s="6" t="s">
        <v>3698</v>
      </c>
      <c r="B1024" s="6" t="s">
        <v>485</v>
      </c>
      <c r="C1024" s="6" t="s">
        <v>490</v>
      </c>
      <c r="D1024" s="6" t="n">
        <v>6</v>
      </c>
      <c r="E1024" s="9" t="s">
        <v>4738</v>
      </c>
      <c r="Q1024" s="1" t="str">
        <f aca="false">IF($A1024="","",IF(OR(F1024="",I1024=""),"",F1024-I1024))</f>
        <v/>
      </c>
      <c r="R1024" s="1" t="str">
        <f aca="false">IF($A1024="","",IF(Q1024="","",Q1024+IF(O1024="",0,O1024)))</f>
        <v/>
      </c>
      <c r="T1024" s="1" t="str">
        <f aca="false">IF($A1024="","",IF(R1024="","",R1024-IF(S1024="",0,S1024)))</f>
        <v/>
      </c>
      <c r="U1024" s="1" t="str">
        <f aca="false">IF($A1024="","",IF(I1024="","",I1024-SUM(J1024:P1024)))</f>
        <v/>
      </c>
      <c r="V1024" s="6" t="s">
        <v>4746</v>
      </c>
      <c r="W1024" s="9" t="s">
        <v>528</v>
      </c>
      <c r="X1024" s="6" t="s">
        <v>4747</v>
      </c>
      <c r="AC1024" s="9" t="s">
        <v>4369</v>
      </c>
      <c r="AD1024" s="9" t="s">
        <v>4370</v>
      </c>
      <c r="AE1024" s="9" t="s">
        <v>4371</v>
      </c>
    </row>
    <row r="1025" customFormat="false" ht="15" hidden="false" customHeight="true" outlineLevel="0" collapsed="false">
      <c r="A1025" s="6" t="s">
        <v>3702</v>
      </c>
      <c r="B1025" s="6" t="s">
        <v>485</v>
      </c>
      <c r="C1025" s="6" t="s">
        <v>490</v>
      </c>
      <c r="D1025" s="6" t="n">
        <v>6</v>
      </c>
      <c r="E1025" s="9" t="s">
        <v>4738</v>
      </c>
      <c r="Q1025" s="1" t="str">
        <f aca="false">IF($A1025="","",IF(OR(F1025="",I1025=""),"",F1025-I1025))</f>
        <v/>
      </c>
      <c r="R1025" s="1" t="str">
        <f aca="false">IF($A1025="","",IF(Q1025="","",Q1025+IF(O1025="",0,O1025)))</f>
        <v/>
      </c>
      <c r="T1025" s="1" t="str">
        <f aca="false">IF($A1025="","",IF(R1025="","",R1025-IF(S1025="",0,S1025)))</f>
        <v/>
      </c>
      <c r="U1025" s="1" t="str">
        <f aca="false">IF($A1025="","",IF(I1025="","",I1025-SUM(J1025:P1025)))</f>
        <v/>
      </c>
      <c r="V1025" s="6" t="s">
        <v>4746</v>
      </c>
      <c r="W1025" s="9" t="s">
        <v>528</v>
      </c>
      <c r="X1025" s="6" t="s">
        <v>4747</v>
      </c>
      <c r="AC1025" s="9" t="s">
        <v>4369</v>
      </c>
      <c r="AD1025" s="9" t="s">
        <v>4370</v>
      </c>
      <c r="AE1025" s="9" t="s">
        <v>4371</v>
      </c>
    </row>
    <row r="1026" customFormat="false" ht="15" hidden="false" customHeight="true" outlineLevel="0" collapsed="false">
      <c r="A1026" s="6" t="s">
        <v>3705</v>
      </c>
      <c r="B1026" s="6" t="s">
        <v>485</v>
      </c>
      <c r="C1026" s="6" t="s">
        <v>490</v>
      </c>
      <c r="D1026" s="6" t="n">
        <v>6</v>
      </c>
      <c r="E1026" s="9" t="s">
        <v>4738</v>
      </c>
      <c r="Q1026" s="1" t="str">
        <f aca="false">IF($A1026="","",IF(OR(F1026="",I1026=""),"",F1026-I1026))</f>
        <v/>
      </c>
      <c r="R1026" s="1" t="str">
        <f aca="false">IF($A1026="","",IF(Q1026="","",Q1026+IF(O1026="",0,O1026)))</f>
        <v/>
      </c>
      <c r="T1026" s="1" t="str">
        <f aca="false">IF($A1026="","",IF(R1026="","",R1026-IF(S1026="",0,S1026)))</f>
        <v/>
      </c>
      <c r="U1026" s="1" t="str">
        <f aca="false">IF($A1026="","",IF(I1026="","",I1026-SUM(J1026:P1026)))</f>
        <v/>
      </c>
      <c r="V1026" s="6" t="s">
        <v>4746</v>
      </c>
      <c r="W1026" s="9" t="s">
        <v>528</v>
      </c>
      <c r="X1026" s="6" t="s">
        <v>4747</v>
      </c>
      <c r="AC1026" s="9" t="s">
        <v>4369</v>
      </c>
      <c r="AD1026" s="9" t="s">
        <v>4370</v>
      </c>
      <c r="AE1026" s="9" t="s">
        <v>4371</v>
      </c>
    </row>
    <row r="1027" customFormat="false" ht="15" hidden="false" customHeight="true" outlineLevel="0" collapsed="false">
      <c r="A1027" s="6" t="s">
        <v>3708</v>
      </c>
      <c r="B1027" s="6" t="s">
        <v>485</v>
      </c>
      <c r="C1027" s="6" t="s">
        <v>490</v>
      </c>
      <c r="D1027" s="6" t="n">
        <v>6</v>
      </c>
      <c r="E1027" s="9" t="s">
        <v>4738</v>
      </c>
      <c r="Q1027" s="1" t="str">
        <f aca="false">IF($A1027="","",IF(OR(F1027="",I1027=""),"",F1027-I1027))</f>
        <v/>
      </c>
      <c r="R1027" s="1" t="str">
        <f aca="false">IF($A1027="","",IF(Q1027="","",Q1027+IF(O1027="",0,O1027)))</f>
        <v/>
      </c>
      <c r="T1027" s="1" t="str">
        <f aca="false">IF($A1027="","",IF(R1027="","",R1027-IF(S1027="",0,S1027)))</f>
        <v/>
      </c>
      <c r="U1027" s="1" t="str">
        <f aca="false">IF($A1027="","",IF(I1027="","",I1027-SUM(J1027:P1027)))</f>
        <v/>
      </c>
      <c r="V1027" s="6" t="s">
        <v>4746</v>
      </c>
      <c r="W1027" s="9" t="s">
        <v>528</v>
      </c>
      <c r="X1027" s="6" t="s">
        <v>4747</v>
      </c>
      <c r="AC1027" s="9" t="s">
        <v>4369</v>
      </c>
      <c r="AD1027" s="9" t="s">
        <v>4370</v>
      </c>
      <c r="AE1027" s="9" t="s">
        <v>4371</v>
      </c>
    </row>
    <row r="1028" customFormat="false" ht="15" hidden="false" customHeight="true" outlineLevel="0" collapsed="false">
      <c r="A1028" s="6" t="s">
        <v>3711</v>
      </c>
      <c r="B1028" s="6" t="s">
        <v>485</v>
      </c>
      <c r="C1028" s="6" t="s">
        <v>490</v>
      </c>
      <c r="D1028" s="6" t="n">
        <v>6</v>
      </c>
      <c r="E1028" s="9" t="s">
        <v>4738</v>
      </c>
      <c r="Q1028" s="1" t="str">
        <f aca="false">IF($A1028="","",IF(OR(F1028="",I1028=""),"",F1028-I1028))</f>
        <v/>
      </c>
      <c r="R1028" s="1" t="str">
        <f aca="false">IF($A1028="","",IF(Q1028="","",Q1028+IF(O1028="",0,O1028)))</f>
        <v/>
      </c>
      <c r="T1028" s="1" t="str">
        <f aca="false">IF($A1028="","",IF(R1028="","",R1028-IF(S1028="",0,S1028)))</f>
        <v/>
      </c>
      <c r="U1028" s="1" t="str">
        <f aca="false">IF($A1028="","",IF(I1028="","",I1028-SUM(J1028:P1028)))</f>
        <v/>
      </c>
      <c r="V1028" s="6" t="s">
        <v>4746</v>
      </c>
      <c r="W1028" s="9" t="s">
        <v>528</v>
      </c>
      <c r="X1028" s="6" t="s">
        <v>4747</v>
      </c>
      <c r="AC1028" s="9" t="s">
        <v>4369</v>
      </c>
      <c r="AD1028" s="9" t="s">
        <v>4370</v>
      </c>
      <c r="AE1028" s="9" t="s">
        <v>4371</v>
      </c>
    </row>
    <row r="1029" customFormat="false" ht="15" hidden="false" customHeight="true" outlineLevel="0" collapsed="false">
      <c r="A1029" s="6" t="s">
        <v>3714</v>
      </c>
      <c r="B1029" s="6" t="s">
        <v>485</v>
      </c>
      <c r="C1029" s="6" t="s">
        <v>490</v>
      </c>
      <c r="D1029" s="6" t="n">
        <v>6</v>
      </c>
      <c r="E1029" s="9" t="s">
        <v>4738</v>
      </c>
      <c r="Q1029" s="1" t="str">
        <f aca="false">IF($A1029="","",IF(OR(F1029="",I1029=""),"",F1029-I1029))</f>
        <v/>
      </c>
      <c r="R1029" s="1" t="str">
        <f aca="false">IF($A1029="","",IF(Q1029="","",Q1029+IF(O1029="",0,O1029)))</f>
        <v/>
      </c>
      <c r="T1029" s="1" t="str">
        <f aca="false">IF($A1029="","",IF(R1029="","",R1029-IF(S1029="",0,S1029)))</f>
        <v/>
      </c>
      <c r="U1029" s="1" t="str">
        <f aca="false">IF($A1029="","",IF(I1029="","",I1029-SUM(J1029:P1029)))</f>
        <v/>
      </c>
      <c r="V1029" s="6" t="s">
        <v>4746</v>
      </c>
      <c r="W1029" s="9" t="s">
        <v>528</v>
      </c>
      <c r="X1029" s="6" t="s">
        <v>4747</v>
      </c>
      <c r="AC1029" s="9" t="s">
        <v>4369</v>
      </c>
      <c r="AD1029" s="9" t="s">
        <v>4370</v>
      </c>
      <c r="AE1029" s="9" t="s">
        <v>4371</v>
      </c>
    </row>
    <row r="1030" customFormat="false" ht="15" hidden="false" customHeight="true" outlineLevel="0" collapsed="false">
      <c r="A1030" s="6" t="s">
        <v>3717</v>
      </c>
      <c r="B1030" s="6" t="s">
        <v>485</v>
      </c>
      <c r="C1030" s="6" t="s">
        <v>490</v>
      </c>
      <c r="D1030" s="6" t="n">
        <v>6</v>
      </c>
      <c r="E1030" s="9" t="s">
        <v>4738</v>
      </c>
      <c r="Q1030" s="1" t="str">
        <f aca="false">IF($A1030="","",IF(OR(F1030="",I1030=""),"",F1030-I1030))</f>
        <v/>
      </c>
      <c r="R1030" s="1" t="str">
        <f aca="false">IF($A1030="","",IF(Q1030="","",Q1030+IF(O1030="",0,O1030)))</f>
        <v/>
      </c>
      <c r="T1030" s="1" t="str">
        <f aca="false">IF($A1030="","",IF(R1030="","",R1030-IF(S1030="",0,S1030)))</f>
        <v/>
      </c>
      <c r="U1030" s="1" t="str">
        <f aca="false">IF($A1030="","",IF(I1030="","",I1030-SUM(J1030:P1030)))</f>
        <v/>
      </c>
      <c r="V1030" s="6" t="s">
        <v>4746</v>
      </c>
      <c r="W1030" s="9" t="s">
        <v>528</v>
      </c>
      <c r="X1030" s="6" t="s">
        <v>4747</v>
      </c>
      <c r="AC1030" s="9" t="s">
        <v>4369</v>
      </c>
      <c r="AD1030" s="9" t="s">
        <v>4370</v>
      </c>
      <c r="AE1030" s="9" t="s">
        <v>4371</v>
      </c>
    </row>
    <row r="1031" customFormat="false" ht="15" hidden="false" customHeight="true" outlineLevel="0" collapsed="false">
      <c r="A1031" s="6" t="s">
        <v>3720</v>
      </c>
      <c r="B1031" s="6" t="s">
        <v>485</v>
      </c>
      <c r="C1031" s="6" t="s">
        <v>490</v>
      </c>
      <c r="D1031" s="6" t="n">
        <v>6</v>
      </c>
      <c r="E1031" s="9" t="s">
        <v>4738</v>
      </c>
      <c r="Q1031" s="1" t="str">
        <f aca="false">IF($A1031="","",IF(OR(F1031="",I1031=""),"",F1031-I1031))</f>
        <v/>
      </c>
      <c r="R1031" s="1" t="str">
        <f aca="false">IF($A1031="","",IF(Q1031="","",Q1031+IF(O1031="",0,O1031)))</f>
        <v/>
      </c>
      <c r="T1031" s="1" t="str">
        <f aca="false">IF($A1031="","",IF(R1031="","",R1031-IF(S1031="",0,S1031)))</f>
        <v/>
      </c>
      <c r="U1031" s="1" t="str">
        <f aca="false">IF($A1031="","",IF(I1031="","",I1031-SUM(J1031:P1031)))</f>
        <v/>
      </c>
      <c r="V1031" s="6" t="s">
        <v>4746</v>
      </c>
      <c r="W1031" s="9" t="s">
        <v>528</v>
      </c>
      <c r="X1031" s="6" t="s">
        <v>4747</v>
      </c>
      <c r="AC1031" s="9" t="s">
        <v>4369</v>
      </c>
      <c r="AD1031" s="9" t="s">
        <v>4370</v>
      </c>
      <c r="AE1031" s="9" t="s">
        <v>4371</v>
      </c>
    </row>
    <row r="1032" customFormat="false" ht="15" hidden="false" customHeight="true" outlineLevel="0" collapsed="false">
      <c r="A1032" s="6" t="s">
        <v>3723</v>
      </c>
      <c r="B1032" s="6" t="s">
        <v>485</v>
      </c>
      <c r="C1032" s="6" t="s">
        <v>490</v>
      </c>
      <c r="D1032" s="6" t="n">
        <v>6</v>
      </c>
      <c r="E1032" s="9" t="s">
        <v>4738</v>
      </c>
      <c r="Q1032" s="1" t="str">
        <f aca="false">IF($A1032="","",IF(OR(F1032="",I1032=""),"",F1032-I1032))</f>
        <v/>
      </c>
      <c r="R1032" s="1" t="str">
        <f aca="false">IF($A1032="","",IF(Q1032="","",Q1032+IF(O1032="",0,O1032)))</f>
        <v/>
      </c>
      <c r="T1032" s="1" t="str">
        <f aca="false">IF($A1032="","",IF(R1032="","",R1032-IF(S1032="",0,S1032)))</f>
        <v/>
      </c>
      <c r="U1032" s="1" t="str">
        <f aca="false">IF($A1032="","",IF(I1032="","",I1032-SUM(J1032:P1032)))</f>
        <v/>
      </c>
      <c r="V1032" s="6" t="s">
        <v>4746</v>
      </c>
      <c r="W1032" s="9" t="s">
        <v>528</v>
      </c>
      <c r="X1032" s="6" t="s">
        <v>4747</v>
      </c>
      <c r="AC1032" s="9" t="s">
        <v>4369</v>
      </c>
      <c r="AD1032" s="9" t="s">
        <v>4370</v>
      </c>
      <c r="AE1032" s="9" t="s">
        <v>4371</v>
      </c>
    </row>
    <row r="1033" customFormat="false" ht="15" hidden="false" customHeight="true" outlineLevel="0" collapsed="false">
      <c r="A1033" s="6" t="s">
        <v>3726</v>
      </c>
      <c r="B1033" s="6" t="s">
        <v>485</v>
      </c>
      <c r="C1033" s="6" t="s">
        <v>490</v>
      </c>
      <c r="D1033" s="6" t="n">
        <v>6</v>
      </c>
      <c r="E1033" s="9" t="s">
        <v>4738</v>
      </c>
      <c r="Q1033" s="1" t="str">
        <f aca="false">IF($A1033="","",IF(OR(F1033="",I1033=""),"",F1033-I1033))</f>
        <v/>
      </c>
      <c r="R1033" s="1" t="str">
        <f aca="false">IF($A1033="","",IF(Q1033="","",Q1033+IF(O1033="",0,O1033)))</f>
        <v/>
      </c>
      <c r="T1033" s="1" t="str">
        <f aca="false">IF($A1033="","",IF(R1033="","",R1033-IF(S1033="",0,S1033)))</f>
        <v/>
      </c>
      <c r="U1033" s="1" t="str">
        <f aca="false">IF($A1033="","",IF(I1033="","",I1033-SUM(J1033:P1033)))</f>
        <v/>
      </c>
      <c r="V1033" s="6" t="s">
        <v>4746</v>
      </c>
      <c r="W1033" s="9" t="s">
        <v>528</v>
      </c>
      <c r="X1033" s="6" t="s">
        <v>4747</v>
      </c>
      <c r="AC1033" s="9" t="s">
        <v>4369</v>
      </c>
      <c r="AD1033" s="9" t="s">
        <v>4370</v>
      </c>
      <c r="AE1033" s="9" t="s">
        <v>4371</v>
      </c>
    </row>
    <row r="1034" customFormat="false" ht="15" hidden="false" customHeight="true" outlineLevel="0" collapsed="false">
      <c r="A1034" s="6" t="s">
        <v>3729</v>
      </c>
      <c r="B1034" s="6" t="s">
        <v>485</v>
      </c>
      <c r="C1034" s="6" t="s">
        <v>490</v>
      </c>
      <c r="D1034" s="6" t="n">
        <v>6</v>
      </c>
      <c r="E1034" s="9" t="s">
        <v>4738</v>
      </c>
      <c r="Q1034" s="1" t="str">
        <f aca="false">IF($A1034="","",IF(OR(F1034="",I1034=""),"",F1034-I1034))</f>
        <v/>
      </c>
      <c r="R1034" s="1" t="str">
        <f aca="false">IF($A1034="","",IF(Q1034="","",Q1034+IF(O1034="",0,O1034)))</f>
        <v/>
      </c>
      <c r="T1034" s="1" t="str">
        <f aca="false">IF($A1034="","",IF(R1034="","",R1034-IF(S1034="",0,S1034)))</f>
        <v/>
      </c>
      <c r="U1034" s="1" t="str">
        <f aca="false">IF($A1034="","",IF(I1034="","",I1034-SUM(J1034:P1034)))</f>
        <v/>
      </c>
      <c r="V1034" s="6" t="s">
        <v>4746</v>
      </c>
      <c r="W1034" s="9" t="s">
        <v>528</v>
      </c>
      <c r="X1034" s="6" t="s">
        <v>4747</v>
      </c>
      <c r="AC1034" s="9" t="s">
        <v>4369</v>
      </c>
      <c r="AD1034" s="9" t="s">
        <v>4370</v>
      </c>
      <c r="AE1034" s="9" t="s">
        <v>4371</v>
      </c>
    </row>
    <row r="1035" customFormat="false" ht="15" hidden="false" customHeight="true" outlineLevel="0" collapsed="false">
      <c r="A1035" s="6" t="s">
        <v>3732</v>
      </c>
      <c r="B1035" s="6" t="s">
        <v>485</v>
      </c>
      <c r="C1035" s="6" t="s">
        <v>490</v>
      </c>
      <c r="D1035" s="6" t="n">
        <v>6</v>
      </c>
      <c r="E1035" s="9" t="s">
        <v>4738</v>
      </c>
      <c r="Q1035" s="1" t="str">
        <f aca="false">IF($A1035="","",IF(OR(F1035="",I1035=""),"",F1035-I1035))</f>
        <v/>
      </c>
      <c r="R1035" s="1" t="str">
        <f aca="false">IF($A1035="","",IF(Q1035="","",Q1035+IF(O1035="",0,O1035)))</f>
        <v/>
      </c>
      <c r="T1035" s="1" t="str">
        <f aca="false">IF($A1035="","",IF(R1035="","",R1035-IF(S1035="",0,S1035)))</f>
        <v/>
      </c>
      <c r="U1035" s="1" t="str">
        <f aca="false">IF($A1035="","",IF(I1035="","",I1035-SUM(J1035:P1035)))</f>
        <v/>
      </c>
      <c r="V1035" s="6" t="s">
        <v>4746</v>
      </c>
      <c r="W1035" s="9" t="s">
        <v>528</v>
      </c>
      <c r="X1035" s="6" t="s">
        <v>4747</v>
      </c>
      <c r="AC1035" s="9" t="s">
        <v>4369</v>
      </c>
      <c r="AD1035" s="9" t="s">
        <v>4370</v>
      </c>
      <c r="AE1035" s="9" t="s">
        <v>4371</v>
      </c>
    </row>
    <row r="1036" customFormat="false" ht="15" hidden="false" customHeight="true" outlineLevel="0" collapsed="false">
      <c r="A1036" s="6" t="s">
        <v>3735</v>
      </c>
      <c r="B1036" s="6" t="s">
        <v>485</v>
      </c>
      <c r="C1036" s="6" t="s">
        <v>490</v>
      </c>
      <c r="D1036" s="6" t="n">
        <v>6</v>
      </c>
      <c r="E1036" s="9" t="s">
        <v>4738</v>
      </c>
      <c r="Q1036" s="1" t="str">
        <f aca="false">IF($A1036="","",IF(OR(F1036="",I1036=""),"",F1036-I1036))</f>
        <v/>
      </c>
      <c r="R1036" s="1" t="str">
        <f aca="false">IF($A1036="","",IF(Q1036="","",Q1036+IF(O1036="",0,O1036)))</f>
        <v/>
      </c>
      <c r="T1036" s="1" t="str">
        <f aca="false">IF($A1036="","",IF(R1036="","",R1036-IF(S1036="",0,S1036)))</f>
        <v/>
      </c>
      <c r="U1036" s="1" t="str">
        <f aca="false">IF($A1036="","",IF(I1036="","",I1036-SUM(J1036:P1036)))</f>
        <v/>
      </c>
      <c r="V1036" s="6" t="s">
        <v>4746</v>
      </c>
      <c r="W1036" s="9" t="s">
        <v>528</v>
      </c>
      <c r="X1036" s="6" t="s">
        <v>4747</v>
      </c>
      <c r="AC1036" s="9" t="s">
        <v>4369</v>
      </c>
      <c r="AD1036" s="9" t="s">
        <v>4370</v>
      </c>
      <c r="AE1036" s="9" t="s">
        <v>4371</v>
      </c>
    </row>
    <row r="1037" customFormat="false" ht="15" hidden="false" customHeight="true" outlineLevel="0" collapsed="false">
      <c r="A1037" s="6" t="s">
        <v>3738</v>
      </c>
      <c r="B1037" s="6" t="s">
        <v>485</v>
      </c>
      <c r="C1037" s="6" t="s">
        <v>490</v>
      </c>
      <c r="D1037" s="6" t="n">
        <v>6</v>
      </c>
      <c r="E1037" s="9" t="s">
        <v>4738</v>
      </c>
      <c r="Q1037" s="1" t="str">
        <f aca="false">IF($A1037="","",IF(OR(F1037="",I1037=""),"",F1037-I1037))</f>
        <v/>
      </c>
      <c r="R1037" s="1" t="str">
        <f aca="false">IF($A1037="","",IF(Q1037="","",Q1037+IF(O1037="",0,O1037)))</f>
        <v/>
      </c>
      <c r="T1037" s="1" t="str">
        <f aca="false">IF($A1037="","",IF(R1037="","",R1037-IF(S1037="",0,S1037)))</f>
        <v/>
      </c>
      <c r="U1037" s="1" t="str">
        <f aca="false">IF($A1037="","",IF(I1037="","",I1037-SUM(J1037:P1037)))</f>
        <v/>
      </c>
      <c r="V1037" s="6" t="s">
        <v>4746</v>
      </c>
      <c r="W1037" s="9" t="s">
        <v>528</v>
      </c>
      <c r="X1037" s="6" t="s">
        <v>4747</v>
      </c>
      <c r="AC1037" s="9" t="s">
        <v>4369</v>
      </c>
      <c r="AD1037" s="9" t="s">
        <v>4370</v>
      </c>
      <c r="AE1037" s="9" t="s">
        <v>4371</v>
      </c>
    </row>
    <row r="1038" customFormat="false" ht="15" hidden="false" customHeight="true" outlineLevel="0" collapsed="false">
      <c r="A1038" s="6" t="s">
        <v>3741</v>
      </c>
      <c r="B1038" s="6" t="s">
        <v>485</v>
      </c>
      <c r="C1038" s="6" t="s">
        <v>490</v>
      </c>
      <c r="D1038" s="6" t="n">
        <v>6</v>
      </c>
      <c r="E1038" s="9" t="s">
        <v>4738</v>
      </c>
      <c r="Q1038" s="1" t="str">
        <f aca="false">IF($A1038="","",IF(OR(F1038="",I1038=""),"",F1038-I1038))</f>
        <v/>
      </c>
      <c r="R1038" s="1" t="str">
        <f aca="false">IF($A1038="","",IF(Q1038="","",Q1038+IF(O1038="",0,O1038)))</f>
        <v/>
      </c>
      <c r="T1038" s="1" t="str">
        <f aca="false">IF($A1038="","",IF(R1038="","",R1038-IF(S1038="",0,S1038)))</f>
        <v/>
      </c>
      <c r="U1038" s="1" t="str">
        <f aca="false">IF($A1038="","",IF(I1038="","",I1038-SUM(J1038:P1038)))</f>
        <v/>
      </c>
      <c r="V1038" s="6" t="s">
        <v>4746</v>
      </c>
      <c r="W1038" s="9" t="s">
        <v>528</v>
      </c>
      <c r="X1038" s="6" t="s">
        <v>4747</v>
      </c>
      <c r="AC1038" s="9" t="s">
        <v>4369</v>
      </c>
      <c r="AD1038" s="9" t="s">
        <v>4370</v>
      </c>
      <c r="AE1038" s="9" t="s">
        <v>4371</v>
      </c>
    </row>
    <row r="1039" customFormat="false" ht="15" hidden="false" customHeight="true" outlineLevel="0" collapsed="false">
      <c r="A1039" s="6" t="s">
        <v>3744</v>
      </c>
      <c r="B1039" s="6" t="s">
        <v>485</v>
      </c>
      <c r="C1039" s="6" t="s">
        <v>490</v>
      </c>
      <c r="D1039" s="6" t="n">
        <v>6</v>
      </c>
      <c r="E1039" s="9" t="s">
        <v>4738</v>
      </c>
      <c r="Q1039" s="1" t="str">
        <f aca="false">IF($A1039="","",IF(OR(F1039="",I1039=""),"",F1039-I1039))</f>
        <v/>
      </c>
      <c r="R1039" s="1" t="str">
        <f aca="false">IF($A1039="","",IF(Q1039="","",Q1039+IF(O1039="",0,O1039)))</f>
        <v/>
      </c>
      <c r="T1039" s="1" t="str">
        <f aca="false">IF($A1039="","",IF(R1039="","",R1039-IF(S1039="",0,S1039)))</f>
        <v/>
      </c>
      <c r="U1039" s="1" t="str">
        <f aca="false">IF($A1039="","",IF(I1039="","",I1039-SUM(J1039:P1039)))</f>
        <v/>
      </c>
      <c r="V1039" s="6" t="s">
        <v>4746</v>
      </c>
      <c r="W1039" s="9" t="s">
        <v>528</v>
      </c>
      <c r="X1039" s="6" t="s">
        <v>4747</v>
      </c>
      <c r="AC1039" s="9" t="s">
        <v>4369</v>
      </c>
      <c r="AD1039" s="9" t="s">
        <v>4370</v>
      </c>
      <c r="AE1039" s="9" t="s">
        <v>4371</v>
      </c>
    </row>
    <row r="1040" customFormat="false" ht="15" hidden="false" customHeight="true" outlineLevel="0" collapsed="false">
      <c r="A1040" s="6" t="s">
        <v>3747</v>
      </c>
      <c r="B1040" s="6" t="s">
        <v>485</v>
      </c>
      <c r="C1040" s="6" t="s">
        <v>490</v>
      </c>
      <c r="D1040" s="6" t="n">
        <v>6</v>
      </c>
      <c r="E1040" s="9" t="s">
        <v>4738</v>
      </c>
      <c r="Q1040" s="1" t="str">
        <f aca="false">IF($A1040="","",IF(OR(F1040="",I1040=""),"",F1040-I1040))</f>
        <v/>
      </c>
      <c r="R1040" s="1" t="str">
        <f aca="false">IF($A1040="","",IF(Q1040="","",Q1040+IF(O1040="",0,O1040)))</f>
        <v/>
      </c>
      <c r="T1040" s="1" t="str">
        <f aca="false">IF($A1040="","",IF(R1040="","",R1040-IF(S1040="",0,S1040)))</f>
        <v/>
      </c>
      <c r="U1040" s="1" t="str">
        <f aca="false">IF($A1040="","",IF(I1040="","",I1040-SUM(J1040:P1040)))</f>
        <v/>
      </c>
      <c r="V1040" s="6" t="s">
        <v>4746</v>
      </c>
      <c r="W1040" s="9" t="s">
        <v>528</v>
      </c>
      <c r="X1040" s="6" t="s">
        <v>4747</v>
      </c>
      <c r="AC1040" s="9" t="s">
        <v>4369</v>
      </c>
      <c r="AD1040" s="9" t="s">
        <v>4370</v>
      </c>
      <c r="AE1040" s="9" t="s">
        <v>4371</v>
      </c>
    </row>
    <row r="1041" customFormat="false" ht="15" hidden="false" customHeight="true" outlineLevel="0" collapsed="false">
      <c r="A1041" s="6" t="s">
        <v>3750</v>
      </c>
      <c r="B1041" s="6" t="s">
        <v>485</v>
      </c>
      <c r="C1041" s="6" t="s">
        <v>490</v>
      </c>
      <c r="D1041" s="6" t="n">
        <v>6</v>
      </c>
      <c r="E1041" s="9" t="s">
        <v>4738</v>
      </c>
      <c r="Q1041" s="1" t="str">
        <f aca="false">IF($A1041="","",IF(OR(F1041="",I1041=""),"",F1041-I1041))</f>
        <v/>
      </c>
      <c r="R1041" s="1" t="str">
        <f aca="false">IF($A1041="","",IF(Q1041="","",Q1041+IF(O1041="",0,O1041)))</f>
        <v/>
      </c>
      <c r="T1041" s="1" t="str">
        <f aca="false">IF($A1041="","",IF(R1041="","",R1041-IF(S1041="",0,S1041)))</f>
        <v/>
      </c>
      <c r="U1041" s="1" t="str">
        <f aca="false">IF($A1041="","",IF(I1041="","",I1041-SUM(J1041:P1041)))</f>
        <v/>
      </c>
      <c r="V1041" s="6" t="s">
        <v>4746</v>
      </c>
      <c r="W1041" s="9" t="s">
        <v>528</v>
      </c>
      <c r="X1041" s="6" t="s">
        <v>4747</v>
      </c>
      <c r="AC1041" s="9" t="s">
        <v>4369</v>
      </c>
      <c r="AD1041" s="9" t="s">
        <v>4370</v>
      </c>
      <c r="AE1041" s="9" t="s">
        <v>4371</v>
      </c>
    </row>
    <row r="1042" customFormat="false" ht="15" hidden="false" customHeight="true" outlineLevel="0" collapsed="false">
      <c r="A1042" s="6" t="s">
        <v>3753</v>
      </c>
      <c r="B1042" s="6" t="s">
        <v>485</v>
      </c>
      <c r="C1042" s="6" t="s">
        <v>490</v>
      </c>
      <c r="D1042" s="6" t="n">
        <v>6</v>
      </c>
      <c r="E1042" s="9" t="s">
        <v>4738</v>
      </c>
      <c r="Q1042" s="1" t="str">
        <f aca="false">IF($A1042="","",IF(OR(F1042="",I1042=""),"",F1042-I1042))</f>
        <v/>
      </c>
      <c r="R1042" s="1" t="str">
        <f aca="false">IF($A1042="","",IF(Q1042="","",Q1042+IF(O1042="",0,O1042)))</f>
        <v/>
      </c>
      <c r="T1042" s="1" t="str">
        <f aca="false">IF($A1042="","",IF(R1042="","",R1042-IF(S1042="",0,S1042)))</f>
        <v/>
      </c>
      <c r="U1042" s="1" t="str">
        <f aca="false">IF($A1042="","",IF(I1042="","",I1042-SUM(J1042:P1042)))</f>
        <v/>
      </c>
      <c r="V1042" s="6" t="s">
        <v>4746</v>
      </c>
      <c r="W1042" s="9" t="s">
        <v>528</v>
      </c>
      <c r="X1042" s="6" t="s">
        <v>4747</v>
      </c>
      <c r="AC1042" s="9" t="s">
        <v>4369</v>
      </c>
      <c r="AD1042" s="9" t="s">
        <v>4370</v>
      </c>
      <c r="AE1042" s="9" t="s">
        <v>4371</v>
      </c>
    </row>
    <row r="1043" customFormat="false" ht="15" hidden="false" customHeight="true" outlineLevel="0" collapsed="false">
      <c r="A1043" s="6" t="s">
        <v>3756</v>
      </c>
      <c r="B1043" s="6" t="s">
        <v>485</v>
      </c>
      <c r="C1043" s="6" t="s">
        <v>490</v>
      </c>
      <c r="D1043" s="6" t="n">
        <v>6</v>
      </c>
      <c r="E1043" s="9" t="s">
        <v>4738</v>
      </c>
      <c r="Q1043" s="1" t="str">
        <f aca="false">IF($A1043="","",IF(OR(F1043="",I1043=""),"",F1043-I1043))</f>
        <v/>
      </c>
      <c r="R1043" s="1" t="str">
        <f aca="false">IF($A1043="","",IF(Q1043="","",Q1043+IF(O1043="",0,O1043)))</f>
        <v/>
      </c>
      <c r="T1043" s="1" t="str">
        <f aca="false">IF($A1043="","",IF(R1043="","",R1043-IF(S1043="",0,S1043)))</f>
        <v/>
      </c>
      <c r="U1043" s="1" t="str">
        <f aca="false">IF($A1043="","",IF(I1043="","",I1043-SUM(J1043:P1043)))</f>
        <v/>
      </c>
      <c r="V1043" s="6" t="s">
        <v>4746</v>
      </c>
      <c r="W1043" s="9" t="s">
        <v>528</v>
      </c>
      <c r="X1043" s="6" t="s">
        <v>4747</v>
      </c>
      <c r="AC1043" s="9" t="s">
        <v>4369</v>
      </c>
      <c r="AD1043" s="9" t="s">
        <v>4370</v>
      </c>
      <c r="AE1043" s="9" t="s">
        <v>4371</v>
      </c>
    </row>
    <row r="1044" customFormat="false" ht="15" hidden="false" customHeight="true" outlineLevel="0" collapsed="false">
      <c r="A1044" s="6" t="s">
        <v>3759</v>
      </c>
      <c r="B1044" s="6" t="s">
        <v>485</v>
      </c>
      <c r="C1044" s="6" t="s">
        <v>490</v>
      </c>
      <c r="D1044" s="6" t="n">
        <v>6</v>
      </c>
      <c r="E1044" s="9" t="s">
        <v>4738</v>
      </c>
      <c r="Q1044" s="1" t="str">
        <f aca="false">IF($A1044="","",IF(OR(F1044="",I1044=""),"",F1044-I1044))</f>
        <v/>
      </c>
      <c r="R1044" s="1" t="str">
        <f aca="false">IF($A1044="","",IF(Q1044="","",Q1044+IF(O1044="",0,O1044)))</f>
        <v/>
      </c>
      <c r="T1044" s="1" t="str">
        <f aca="false">IF($A1044="","",IF(R1044="","",R1044-IF(S1044="",0,S1044)))</f>
        <v/>
      </c>
      <c r="U1044" s="1" t="str">
        <f aca="false">IF($A1044="","",IF(I1044="","",I1044-SUM(J1044:P1044)))</f>
        <v/>
      </c>
      <c r="V1044" s="6" t="s">
        <v>4746</v>
      </c>
      <c r="W1044" s="9" t="s">
        <v>528</v>
      </c>
      <c r="X1044" s="6" t="s">
        <v>4747</v>
      </c>
      <c r="AC1044" s="9" t="s">
        <v>4369</v>
      </c>
      <c r="AD1044" s="9" t="s">
        <v>4370</v>
      </c>
      <c r="AE1044" s="9" t="s">
        <v>4371</v>
      </c>
    </row>
    <row r="1045" customFormat="false" ht="15" hidden="false" customHeight="true" outlineLevel="0" collapsed="false">
      <c r="A1045" s="6" t="s">
        <v>3763</v>
      </c>
      <c r="B1045" s="6" t="s">
        <v>485</v>
      </c>
      <c r="C1045" s="6" t="s">
        <v>490</v>
      </c>
      <c r="D1045" s="6" t="n">
        <v>6</v>
      </c>
      <c r="E1045" s="9" t="s">
        <v>4738</v>
      </c>
      <c r="Q1045" s="1" t="str">
        <f aca="false">IF($A1045="","",IF(OR(F1045="",I1045=""),"",F1045-I1045))</f>
        <v/>
      </c>
      <c r="R1045" s="1" t="str">
        <f aca="false">IF($A1045="","",IF(Q1045="","",Q1045+IF(O1045="",0,O1045)))</f>
        <v/>
      </c>
      <c r="T1045" s="1" t="str">
        <f aca="false">IF($A1045="","",IF(R1045="","",R1045-IF(S1045="",0,S1045)))</f>
        <v/>
      </c>
      <c r="U1045" s="1" t="str">
        <f aca="false">IF($A1045="","",IF(I1045="","",I1045-SUM(J1045:P1045)))</f>
        <v/>
      </c>
      <c r="V1045" s="6" t="s">
        <v>4746</v>
      </c>
      <c r="W1045" s="9" t="s">
        <v>528</v>
      </c>
      <c r="X1045" s="6" t="s">
        <v>4747</v>
      </c>
      <c r="AC1045" s="9" t="s">
        <v>4369</v>
      </c>
      <c r="AD1045" s="9" t="s">
        <v>4370</v>
      </c>
      <c r="AE1045" s="9" t="s">
        <v>4371</v>
      </c>
    </row>
    <row r="1046" customFormat="false" ht="15" hidden="false" customHeight="true" outlineLevel="0" collapsed="false">
      <c r="A1046" s="6" t="s">
        <v>3766</v>
      </c>
      <c r="B1046" s="6" t="s">
        <v>485</v>
      </c>
      <c r="C1046" s="6" t="s">
        <v>490</v>
      </c>
      <c r="D1046" s="6" t="n">
        <v>6</v>
      </c>
      <c r="E1046" s="9" t="s">
        <v>4738</v>
      </c>
      <c r="Q1046" s="1" t="str">
        <f aca="false">IF($A1046="","",IF(OR(F1046="",I1046=""),"",F1046-I1046))</f>
        <v/>
      </c>
      <c r="R1046" s="1" t="str">
        <f aca="false">IF($A1046="","",IF(Q1046="","",Q1046+IF(O1046="",0,O1046)))</f>
        <v/>
      </c>
      <c r="T1046" s="1" t="str">
        <f aca="false">IF($A1046="","",IF(R1046="","",R1046-IF(S1046="",0,S1046)))</f>
        <v/>
      </c>
      <c r="U1046" s="1" t="str">
        <f aca="false">IF($A1046="","",IF(I1046="","",I1046-SUM(J1046:P1046)))</f>
        <v/>
      </c>
      <c r="V1046" s="6" t="s">
        <v>4746</v>
      </c>
      <c r="W1046" s="9" t="s">
        <v>528</v>
      </c>
      <c r="X1046" s="6" t="s">
        <v>4747</v>
      </c>
      <c r="AC1046" s="9" t="s">
        <v>4369</v>
      </c>
      <c r="AD1046" s="9" t="s">
        <v>4370</v>
      </c>
      <c r="AE1046" s="9" t="s">
        <v>4371</v>
      </c>
    </row>
    <row r="1047" customFormat="false" ht="15" hidden="false" customHeight="true" outlineLevel="0" collapsed="false">
      <c r="A1047" s="6" t="s">
        <v>3769</v>
      </c>
      <c r="B1047" s="6" t="s">
        <v>485</v>
      </c>
      <c r="C1047" s="6" t="s">
        <v>490</v>
      </c>
      <c r="D1047" s="6" t="n">
        <v>6</v>
      </c>
      <c r="E1047" s="9" t="s">
        <v>4738</v>
      </c>
      <c r="Q1047" s="1" t="str">
        <f aca="false">IF($A1047="","",IF(OR(F1047="",I1047=""),"",F1047-I1047))</f>
        <v/>
      </c>
      <c r="R1047" s="1" t="str">
        <f aca="false">IF($A1047="","",IF(Q1047="","",Q1047+IF(O1047="",0,O1047)))</f>
        <v/>
      </c>
      <c r="T1047" s="1" t="str">
        <f aca="false">IF($A1047="","",IF(R1047="","",R1047-IF(S1047="",0,S1047)))</f>
        <v/>
      </c>
      <c r="U1047" s="1" t="str">
        <f aca="false">IF($A1047="","",IF(I1047="","",I1047-SUM(J1047:P1047)))</f>
        <v/>
      </c>
      <c r="V1047" s="6" t="s">
        <v>4746</v>
      </c>
      <c r="W1047" s="9" t="s">
        <v>528</v>
      </c>
      <c r="X1047" s="6" t="s">
        <v>4747</v>
      </c>
      <c r="AC1047" s="9" t="s">
        <v>4369</v>
      </c>
      <c r="AD1047" s="9" t="s">
        <v>4370</v>
      </c>
      <c r="AE1047" s="9" t="s">
        <v>4371</v>
      </c>
    </row>
    <row r="1048" customFormat="false" ht="15" hidden="false" customHeight="true" outlineLevel="0" collapsed="false">
      <c r="A1048" s="6" t="s">
        <v>3772</v>
      </c>
      <c r="B1048" s="6" t="s">
        <v>485</v>
      </c>
      <c r="C1048" s="6" t="s">
        <v>490</v>
      </c>
      <c r="D1048" s="6" t="n">
        <v>6</v>
      </c>
      <c r="E1048" s="9" t="s">
        <v>4738</v>
      </c>
      <c r="Q1048" s="1" t="str">
        <f aca="false">IF($A1048="","",IF(OR(F1048="",I1048=""),"",F1048-I1048))</f>
        <v/>
      </c>
      <c r="R1048" s="1" t="str">
        <f aca="false">IF($A1048="","",IF(Q1048="","",Q1048+IF(O1048="",0,O1048)))</f>
        <v/>
      </c>
      <c r="T1048" s="1" t="str">
        <f aca="false">IF($A1048="","",IF(R1048="","",R1048-IF(S1048="",0,S1048)))</f>
        <v/>
      </c>
      <c r="U1048" s="1" t="str">
        <f aca="false">IF($A1048="","",IF(I1048="","",I1048-SUM(J1048:P1048)))</f>
        <v/>
      </c>
      <c r="V1048" s="6" t="s">
        <v>4746</v>
      </c>
      <c r="W1048" s="9" t="s">
        <v>528</v>
      </c>
      <c r="X1048" s="6" t="s">
        <v>4747</v>
      </c>
      <c r="AC1048" s="9" t="s">
        <v>4369</v>
      </c>
      <c r="AD1048" s="9" t="s">
        <v>4370</v>
      </c>
      <c r="AE1048" s="9" t="s">
        <v>4371</v>
      </c>
    </row>
    <row r="1049" customFormat="false" ht="15" hidden="false" customHeight="true" outlineLevel="0" collapsed="false">
      <c r="A1049" s="6" t="s">
        <v>3775</v>
      </c>
      <c r="B1049" s="6" t="s">
        <v>485</v>
      </c>
      <c r="C1049" s="6" t="s">
        <v>490</v>
      </c>
      <c r="D1049" s="6" t="n">
        <v>6</v>
      </c>
      <c r="E1049" s="9" t="s">
        <v>4738</v>
      </c>
      <c r="Q1049" s="1" t="str">
        <f aca="false">IF($A1049="","",IF(OR(F1049="",I1049=""),"",F1049-I1049))</f>
        <v/>
      </c>
      <c r="R1049" s="1" t="str">
        <f aca="false">IF($A1049="","",IF(Q1049="","",Q1049+IF(O1049="",0,O1049)))</f>
        <v/>
      </c>
      <c r="T1049" s="1" t="str">
        <f aca="false">IF($A1049="","",IF(R1049="","",R1049-IF(S1049="",0,S1049)))</f>
        <v/>
      </c>
      <c r="U1049" s="1" t="str">
        <f aca="false">IF($A1049="","",IF(I1049="","",I1049-SUM(J1049:P1049)))</f>
        <v/>
      </c>
      <c r="V1049" s="6" t="s">
        <v>4746</v>
      </c>
      <c r="W1049" s="9" t="s">
        <v>528</v>
      </c>
      <c r="X1049" s="6" t="s">
        <v>4747</v>
      </c>
      <c r="AC1049" s="9" t="s">
        <v>4369</v>
      </c>
      <c r="AD1049" s="9" t="s">
        <v>4370</v>
      </c>
      <c r="AE1049" s="9" t="s">
        <v>4371</v>
      </c>
    </row>
    <row r="1050" customFormat="false" ht="15" hidden="false" customHeight="true" outlineLevel="0" collapsed="false">
      <c r="A1050" s="6" t="s">
        <v>3778</v>
      </c>
      <c r="B1050" s="6" t="s">
        <v>485</v>
      </c>
      <c r="C1050" s="6" t="s">
        <v>490</v>
      </c>
      <c r="D1050" s="6" t="n">
        <v>6</v>
      </c>
      <c r="E1050" s="9" t="s">
        <v>4738</v>
      </c>
      <c r="Q1050" s="1" t="str">
        <f aca="false">IF($A1050="","",IF(OR(F1050="",I1050=""),"",F1050-I1050))</f>
        <v/>
      </c>
      <c r="R1050" s="1" t="str">
        <f aca="false">IF($A1050="","",IF(Q1050="","",Q1050+IF(O1050="",0,O1050)))</f>
        <v/>
      </c>
      <c r="T1050" s="1" t="str">
        <f aca="false">IF($A1050="","",IF(R1050="","",R1050-IF(S1050="",0,S1050)))</f>
        <v/>
      </c>
      <c r="U1050" s="1" t="str">
        <f aca="false">IF($A1050="","",IF(I1050="","",I1050-SUM(J1050:P1050)))</f>
        <v/>
      </c>
      <c r="V1050" s="6" t="s">
        <v>4746</v>
      </c>
      <c r="W1050" s="9" t="s">
        <v>528</v>
      </c>
      <c r="X1050" s="6" t="s">
        <v>4747</v>
      </c>
      <c r="AC1050" s="9" t="s">
        <v>4369</v>
      </c>
      <c r="AD1050" s="9" t="s">
        <v>4370</v>
      </c>
      <c r="AE1050" s="9" t="s">
        <v>4371</v>
      </c>
    </row>
    <row r="1051" customFormat="false" ht="15" hidden="false" customHeight="true" outlineLevel="0" collapsed="false">
      <c r="A1051" s="6" t="s">
        <v>3781</v>
      </c>
      <c r="B1051" s="6" t="s">
        <v>485</v>
      </c>
      <c r="C1051" s="6" t="s">
        <v>490</v>
      </c>
      <c r="D1051" s="6" t="n">
        <v>6</v>
      </c>
      <c r="E1051" s="9" t="s">
        <v>4738</v>
      </c>
      <c r="Q1051" s="1" t="str">
        <f aca="false">IF($A1051="","",IF(OR(F1051="",I1051=""),"",F1051-I1051))</f>
        <v/>
      </c>
      <c r="R1051" s="1" t="str">
        <f aca="false">IF($A1051="","",IF(Q1051="","",Q1051+IF(O1051="",0,O1051)))</f>
        <v/>
      </c>
      <c r="T1051" s="1" t="str">
        <f aca="false">IF($A1051="","",IF(R1051="","",R1051-IF(S1051="",0,S1051)))</f>
        <v/>
      </c>
      <c r="U1051" s="1" t="str">
        <f aca="false">IF($A1051="","",IF(I1051="","",I1051-SUM(J1051:P1051)))</f>
        <v/>
      </c>
      <c r="V1051" s="6" t="s">
        <v>4746</v>
      </c>
      <c r="W1051" s="9" t="s">
        <v>528</v>
      </c>
      <c r="X1051" s="6" t="s">
        <v>4747</v>
      </c>
      <c r="AC1051" s="9" t="s">
        <v>4369</v>
      </c>
      <c r="AD1051" s="9" t="s">
        <v>4370</v>
      </c>
      <c r="AE1051" s="9" t="s">
        <v>4371</v>
      </c>
    </row>
    <row r="1052" customFormat="false" ht="15" hidden="false" customHeight="true" outlineLevel="0" collapsed="false">
      <c r="A1052" s="6" t="s">
        <v>3784</v>
      </c>
      <c r="B1052" s="6" t="s">
        <v>485</v>
      </c>
      <c r="C1052" s="6" t="s">
        <v>490</v>
      </c>
      <c r="D1052" s="6" t="n">
        <v>6</v>
      </c>
      <c r="E1052" s="9" t="s">
        <v>4738</v>
      </c>
      <c r="Q1052" s="1" t="str">
        <f aca="false">IF($A1052="","",IF(OR(F1052="",I1052=""),"",F1052-I1052))</f>
        <v/>
      </c>
      <c r="R1052" s="1" t="str">
        <f aca="false">IF($A1052="","",IF(Q1052="","",Q1052+IF(O1052="",0,O1052)))</f>
        <v/>
      </c>
      <c r="T1052" s="1" t="str">
        <f aca="false">IF($A1052="","",IF(R1052="","",R1052-IF(S1052="",0,S1052)))</f>
        <v/>
      </c>
      <c r="U1052" s="1" t="str">
        <f aca="false">IF($A1052="","",IF(I1052="","",I1052-SUM(J1052:P1052)))</f>
        <v/>
      </c>
      <c r="V1052" s="6" t="s">
        <v>4746</v>
      </c>
      <c r="W1052" s="9" t="s">
        <v>528</v>
      </c>
      <c r="X1052" s="6" t="s">
        <v>4747</v>
      </c>
      <c r="AC1052" s="9" t="s">
        <v>4369</v>
      </c>
      <c r="AD1052" s="9" t="s">
        <v>4370</v>
      </c>
      <c r="AE1052" s="9" t="s">
        <v>4371</v>
      </c>
    </row>
    <row r="1053" customFormat="false" ht="15" hidden="false" customHeight="true" outlineLevel="0" collapsed="false">
      <c r="A1053" s="6" t="s">
        <v>3787</v>
      </c>
      <c r="B1053" s="6" t="s">
        <v>485</v>
      </c>
      <c r="C1053" s="6" t="s">
        <v>490</v>
      </c>
      <c r="D1053" s="6" t="n">
        <v>6</v>
      </c>
      <c r="E1053" s="9" t="s">
        <v>4738</v>
      </c>
      <c r="Q1053" s="1" t="str">
        <f aca="false">IF($A1053="","",IF(OR(F1053="",I1053=""),"",F1053-I1053))</f>
        <v/>
      </c>
      <c r="R1053" s="1" t="str">
        <f aca="false">IF($A1053="","",IF(Q1053="","",Q1053+IF(O1053="",0,O1053)))</f>
        <v/>
      </c>
      <c r="T1053" s="1" t="str">
        <f aca="false">IF($A1053="","",IF(R1053="","",R1053-IF(S1053="",0,S1053)))</f>
        <v/>
      </c>
      <c r="U1053" s="1" t="str">
        <f aca="false">IF($A1053="","",IF(I1053="","",I1053-SUM(J1053:P1053)))</f>
        <v/>
      </c>
      <c r="V1053" s="6" t="s">
        <v>4746</v>
      </c>
      <c r="W1053" s="9" t="s">
        <v>528</v>
      </c>
      <c r="X1053" s="6" t="s">
        <v>4747</v>
      </c>
      <c r="AC1053" s="9" t="s">
        <v>4369</v>
      </c>
      <c r="AD1053" s="9" t="s">
        <v>4370</v>
      </c>
      <c r="AE1053" s="9" t="s">
        <v>4371</v>
      </c>
    </row>
    <row r="1054" customFormat="false" ht="15" hidden="false" customHeight="true" outlineLevel="0" collapsed="false">
      <c r="A1054" s="6" t="s">
        <v>3790</v>
      </c>
      <c r="B1054" s="6" t="s">
        <v>485</v>
      </c>
      <c r="C1054" s="6" t="s">
        <v>490</v>
      </c>
      <c r="D1054" s="6" t="n">
        <v>6</v>
      </c>
      <c r="E1054" s="9" t="s">
        <v>4738</v>
      </c>
      <c r="Q1054" s="1" t="str">
        <f aca="false">IF($A1054="","",IF(OR(F1054="",I1054=""),"",F1054-I1054))</f>
        <v/>
      </c>
      <c r="R1054" s="1" t="str">
        <f aca="false">IF($A1054="","",IF(Q1054="","",Q1054+IF(O1054="",0,O1054)))</f>
        <v/>
      </c>
      <c r="T1054" s="1" t="str">
        <f aca="false">IF($A1054="","",IF(R1054="","",R1054-IF(S1054="",0,S1054)))</f>
        <v/>
      </c>
      <c r="U1054" s="1" t="str">
        <f aca="false">IF($A1054="","",IF(I1054="","",I1054-SUM(J1054:P1054)))</f>
        <v/>
      </c>
      <c r="V1054" s="6" t="s">
        <v>4746</v>
      </c>
      <c r="W1054" s="9" t="s">
        <v>528</v>
      </c>
      <c r="X1054" s="6" t="s">
        <v>4747</v>
      </c>
      <c r="AC1054" s="9" t="s">
        <v>4369</v>
      </c>
      <c r="AD1054" s="9" t="s">
        <v>4370</v>
      </c>
      <c r="AE1054" s="9" t="s">
        <v>4371</v>
      </c>
    </row>
    <row r="1055" customFormat="false" ht="15" hidden="false" customHeight="true" outlineLevel="0" collapsed="false">
      <c r="A1055" s="6" t="s">
        <v>3793</v>
      </c>
      <c r="B1055" s="6" t="s">
        <v>485</v>
      </c>
      <c r="C1055" s="6" t="s">
        <v>490</v>
      </c>
      <c r="D1055" s="6" t="n">
        <v>6</v>
      </c>
      <c r="E1055" s="9" t="s">
        <v>4738</v>
      </c>
      <c r="Q1055" s="1" t="str">
        <f aca="false">IF($A1055="","",IF(OR(F1055="",I1055=""),"",F1055-I1055))</f>
        <v/>
      </c>
      <c r="R1055" s="1" t="str">
        <f aca="false">IF($A1055="","",IF(Q1055="","",Q1055+IF(O1055="",0,O1055)))</f>
        <v/>
      </c>
      <c r="T1055" s="1" t="str">
        <f aca="false">IF($A1055="","",IF(R1055="","",R1055-IF(S1055="",0,S1055)))</f>
        <v/>
      </c>
      <c r="U1055" s="1" t="str">
        <f aca="false">IF($A1055="","",IF(I1055="","",I1055-SUM(J1055:P1055)))</f>
        <v/>
      </c>
      <c r="V1055" s="6" t="s">
        <v>4746</v>
      </c>
      <c r="W1055" s="9" t="s">
        <v>528</v>
      </c>
      <c r="X1055" s="6" t="s">
        <v>4747</v>
      </c>
      <c r="AC1055" s="9" t="s">
        <v>4369</v>
      </c>
      <c r="AD1055" s="9" t="s">
        <v>4370</v>
      </c>
      <c r="AE1055" s="9" t="s">
        <v>4371</v>
      </c>
    </row>
    <row r="1056" customFormat="false" ht="15" hidden="false" customHeight="true" outlineLevel="0" collapsed="false">
      <c r="A1056" s="6" t="s">
        <v>3796</v>
      </c>
      <c r="B1056" s="6" t="s">
        <v>485</v>
      </c>
      <c r="C1056" s="6" t="s">
        <v>490</v>
      </c>
      <c r="D1056" s="6" t="n">
        <v>6</v>
      </c>
      <c r="E1056" s="9" t="s">
        <v>4738</v>
      </c>
      <c r="Q1056" s="1" t="str">
        <f aca="false">IF($A1056="","",IF(OR(F1056="",I1056=""),"",F1056-I1056))</f>
        <v/>
      </c>
      <c r="R1056" s="1" t="str">
        <f aca="false">IF($A1056="","",IF(Q1056="","",Q1056+IF(O1056="",0,O1056)))</f>
        <v/>
      </c>
      <c r="T1056" s="1" t="str">
        <f aca="false">IF($A1056="","",IF(R1056="","",R1056-IF(S1056="",0,S1056)))</f>
        <v/>
      </c>
      <c r="U1056" s="1" t="str">
        <f aca="false">IF($A1056="","",IF(I1056="","",I1056-SUM(J1056:P1056)))</f>
        <v/>
      </c>
      <c r="V1056" s="6" t="s">
        <v>4746</v>
      </c>
      <c r="W1056" s="9" t="s">
        <v>528</v>
      </c>
      <c r="X1056" s="6" t="s">
        <v>4747</v>
      </c>
      <c r="AC1056" s="9" t="s">
        <v>4369</v>
      </c>
      <c r="AD1056" s="9" t="s">
        <v>4370</v>
      </c>
      <c r="AE1056" s="9" t="s">
        <v>4371</v>
      </c>
    </row>
    <row r="1057" customFormat="false" ht="15" hidden="false" customHeight="true" outlineLevel="0" collapsed="false">
      <c r="A1057" s="6" t="s">
        <v>3799</v>
      </c>
      <c r="B1057" s="6" t="s">
        <v>485</v>
      </c>
      <c r="C1057" s="6" t="s">
        <v>490</v>
      </c>
      <c r="D1057" s="6" t="n">
        <v>6</v>
      </c>
      <c r="E1057" s="9" t="s">
        <v>4738</v>
      </c>
      <c r="Q1057" s="1" t="str">
        <f aca="false">IF($A1057="","",IF(OR(F1057="",I1057=""),"",F1057-I1057))</f>
        <v/>
      </c>
      <c r="R1057" s="1" t="str">
        <f aca="false">IF($A1057="","",IF(Q1057="","",Q1057+IF(O1057="",0,O1057)))</f>
        <v/>
      </c>
      <c r="T1057" s="1" t="str">
        <f aca="false">IF($A1057="","",IF(R1057="","",R1057-IF(S1057="",0,S1057)))</f>
        <v/>
      </c>
      <c r="U1057" s="1" t="str">
        <f aca="false">IF($A1057="","",IF(I1057="","",I1057-SUM(J1057:P1057)))</f>
        <v/>
      </c>
      <c r="V1057" s="6" t="s">
        <v>4746</v>
      </c>
      <c r="W1057" s="9" t="s">
        <v>528</v>
      </c>
      <c r="X1057" s="6" t="s">
        <v>4747</v>
      </c>
      <c r="AC1057" s="9" t="s">
        <v>4369</v>
      </c>
      <c r="AD1057" s="9" t="s">
        <v>4370</v>
      </c>
      <c r="AE1057" s="9" t="s">
        <v>4371</v>
      </c>
    </row>
    <row r="1058" customFormat="false" ht="15" hidden="false" customHeight="true" outlineLevel="0" collapsed="false">
      <c r="A1058" s="6" t="s">
        <v>3802</v>
      </c>
      <c r="B1058" s="6" t="s">
        <v>485</v>
      </c>
      <c r="C1058" s="6" t="s">
        <v>490</v>
      </c>
      <c r="D1058" s="6" t="n">
        <v>6</v>
      </c>
      <c r="E1058" s="9" t="s">
        <v>4738</v>
      </c>
      <c r="Q1058" s="1" t="str">
        <f aca="false">IF($A1058="","",IF(OR(F1058="",I1058=""),"",F1058-I1058))</f>
        <v/>
      </c>
      <c r="R1058" s="1" t="str">
        <f aca="false">IF($A1058="","",IF(Q1058="","",Q1058+IF(O1058="",0,O1058)))</f>
        <v/>
      </c>
      <c r="T1058" s="1" t="str">
        <f aca="false">IF($A1058="","",IF(R1058="","",R1058-IF(S1058="",0,S1058)))</f>
        <v/>
      </c>
      <c r="U1058" s="1" t="str">
        <f aca="false">IF($A1058="","",IF(I1058="","",I1058-SUM(J1058:P1058)))</f>
        <v/>
      </c>
      <c r="V1058" s="6" t="s">
        <v>4746</v>
      </c>
      <c r="W1058" s="9" t="s">
        <v>528</v>
      </c>
      <c r="X1058" s="6" t="s">
        <v>4747</v>
      </c>
      <c r="AC1058" s="9" t="s">
        <v>4369</v>
      </c>
      <c r="AD1058" s="9" t="s">
        <v>4370</v>
      </c>
      <c r="AE1058" s="9" t="s">
        <v>4371</v>
      </c>
    </row>
    <row r="1059" customFormat="false" ht="15" hidden="false" customHeight="true" outlineLevel="0" collapsed="false">
      <c r="A1059" s="6" t="s">
        <v>3805</v>
      </c>
      <c r="B1059" s="6" t="s">
        <v>485</v>
      </c>
      <c r="C1059" s="6" t="s">
        <v>490</v>
      </c>
      <c r="D1059" s="6" t="n">
        <v>6</v>
      </c>
      <c r="E1059" s="9" t="s">
        <v>4738</v>
      </c>
      <c r="Q1059" s="1" t="str">
        <f aca="false">IF($A1059="","",IF(OR(F1059="",I1059=""),"",F1059-I1059))</f>
        <v/>
      </c>
      <c r="R1059" s="1" t="str">
        <f aca="false">IF($A1059="","",IF(Q1059="","",Q1059+IF(O1059="",0,O1059)))</f>
        <v/>
      </c>
      <c r="T1059" s="1" t="str">
        <f aca="false">IF($A1059="","",IF(R1059="","",R1059-IF(S1059="",0,S1059)))</f>
        <v/>
      </c>
      <c r="U1059" s="1" t="str">
        <f aca="false">IF($A1059="","",IF(I1059="","",I1059-SUM(J1059:P1059)))</f>
        <v/>
      </c>
      <c r="V1059" s="6" t="s">
        <v>4746</v>
      </c>
      <c r="W1059" s="9" t="s">
        <v>528</v>
      </c>
      <c r="X1059" s="6" t="s">
        <v>4747</v>
      </c>
      <c r="AC1059" s="9" t="s">
        <v>4369</v>
      </c>
      <c r="AD1059" s="9" t="s">
        <v>4370</v>
      </c>
      <c r="AE1059" s="9" t="s">
        <v>4371</v>
      </c>
    </row>
    <row r="1060" customFormat="false" ht="15" hidden="false" customHeight="true" outlineLevel="0" collapsed="false">
      <c r="A1060" s="6" t="s">
        <v>3808</v>
      </c>
      <c r="B1060" s="6" t="s">
        <v>485</v>
      </c>
      <c r="C1060" s="6" t="s">
        <v>490</v>
      </c>
      <c r="D1060" s="6" t="n">
        <v>6</v>
      </c>
      <c r="E1060" s="9" t="s">
        <v>4738</v>
      </c>
      <c r="Q1060" s="1" t="str">
        <f aca="false">IF($A1060="","",IF(OR(F1060="",I1060=""),"",F1060-I1060))</f>
        <v/>
      </c>
      <c r="R1060" s="1" t="str">
        <f aca="false">IF($A1060="","",IF(Q1060="","",Q1060+IF(O1060="",0,O1060)))</f>
        <v/>
      </c>
      <c r="T1060" s="1" t="str">
        <f aca="false">IF($A1060="","",IF(R1060="","",R1060-IF(S1060="",0,S1060)))</f>
        <v/>
      </c>
      <c r="U1060" s="1" t="str">
        <f aca="false">IF($A1060="","",IF(I1060="","",I1060-SUM(J1060:P1060)))</f>
        <v/>
      </c>
      <c r="V1060" s="6" t="s">
        <v>4746</v>
      </c>
      <c r="W1060" s="9" t="s">
        <v>528</v>
      </c>
      <c r="X1060" s="6" t="s">
        <v>4747</v>
      </c>
      <c r="AC1060" s="9" t="s">
        <v>4369</v>
      </c>
      <c r="AD1060" s="9" t="s">
        <v>4370</v>
      </c>
      <c r="AE1060" s="9" t="s">
        <v>4371</v>
      </c>
    </row>
    <row r="1061" customFormat="false" ht="15" hidden="false" customHeight="true" outlineLevel="0" collapsed="false">
      <c r="A1061" s="6" t="s">
        <v>3811</v>
      </c>
      <c r="B1061" s="6" t="s">
        <v>485</v>
      </c>
      <c r="C1061" s="6" t="s">
        <v>490</v>
      </c>
      <c r="D1061" s="6" t="n">
        <v>6</v>
      </c>
      <c r="E1061" s="9" t="s">
        <v>4738</v>
      </c>
      <c r="Q1061" s="1" t="str">
        <f aca="false">IF($A1061="","",IF(OR(F1061="",I1061=""),"",F1061-I1061))</f>
        <v/>
      </c>
      <c r="R1061" s="1" t="str">
        <f aca="false">IF($A1061="","",IF(Q1061="","",Q1061+IF(O1061="",0,O1061)))</f>
        <v/>
      </c>
      <c r="T1061" s="1" t="str">
        <f aca="false">IF($A1061="","",IF(R1061="","",R1061-IF(S1061="",0,S1061)))</f>
        <v/>
      </c>
      <c r="U1061" s="1" t="str">
        <f aca="false">IF($A1061="","",IF(I1061="","",I1061-SUM(J1061:P1061)))</f>
        <v/>
      </c>
      <c r="V1061" s="6" t="s">
        <v>4746</v>
      </c>
      <c r="W1061" s="9" t="s">
        <v>528</v>
      </c>
      <c r="X1061" s="6" t="s">
        <v>4747</v>
      </c>
      <c r="AC1061" s="9" t="s">
        <v>4369</v>
      </c>
      <c r="AD1061" s="9" t="s">
        <v>4370</v>
      </c>
      <c r="AE1061" s="9" t="s">
        <v>4371</v>
      </c>
    </row>
    <row r="1062" customFormat="false" ht="15" hidden="false" customHeight="true" outlineLevel="0" collapsed="false">
      <c r="A1062" s="6" t="s">
        <v>3814</v>
      </c>
      <c r="B1062" s="6" t="s">
        <v>485</v>
      </c>
      <c r="C1062" s="6" t="s">
        <v>490</v>
      </c>
      <c r="D1062" s="6" t="n">
        <v>6</v>
      </c>
      <c r="E1062" s="9" t="s">
        <v>4738</v>
      </c>
      <c r="Q1062" s="1" t="str">
        <f aca="false">IF($A1062="","",IF(OR(F1062="",I1062=""),"",F1062-I1062))</f>
        <v/>
      </c>
      <c r="R1062" s="1" t="str">
        <f aca="false">IF($A1062="","",IF(Q1062="","",Q1062+IF(O1062="",0,O1062)))</f>
        <v/>
      </c>
      <c r="T1062" s="1" t="str">
        <f aca="false">IF($A1062="","",IF(R1062="","",R1062-IF(S1062="",0,S1062)))</f>
        <v/>
      </c>
      <c r="U1062" s="1" t="str">
        <f aca="false">IF($A1062="","",IF(I1062="","",I1062-SUM(J1062:P1062)))</f>
        <v/>
      </c>
      <c r="V1062" s="6" t="s">
        <v>4746</v>
      </c>
      <c r="W1062" s="9" t="s">
        <v>528</v>
      </c>
      <c r="X1062" s="6" t="s">
        <v>4747</v>
      </c>
      <c r="AC1062" s="9" t="s">
        <v>4369</v>
      </c>
      <c r="AD1062" s="9" t="s">
        <v>4370</v>
      </c>
      <c r="AE1062" s="9" t="s">
        <v>4371</v>
      </c>
    </row>
    <row r="1063" customFormat="false" ht="15" hidden="false" customHeight="true" outlineLevel="0" collapsed="false">
      <c r="A1063" s="6" t="s">
        <v>3817</v>
      </c>
      <c r="B1063" s="6" t="s">
        <v>485</v>
      </c>
      <c r="C1063" s="6" t="s">
        <v>490</v>
      </c>
      <c r="D1063" s="6" t="n">
        <v>6</v>
      </c>
      <c r="E1063" s="9" t="s">
        <v>4738</v>
      </c>
      <c r="Q1063" s="1" t="str">
        <f aca="false">IF($A1063="","",IF(OR(F1063="",I1063=""),"",F1063-I1063))</f>
        <v/>
      </c>
      <c r="R1063" s="1" t="str">
        <f aca="false">IF($A1063="","",IF(Q1063="","",Q1063+IF(O1063="",0,O1063)))</f>
        <v/>
      </c>
      <c r="T1063" s="1" t="str">
        <f aca="false">IF($A1063="","",IF(R1063="","",R1063-IF(S1063="",0,S1063)))</f>
        <v/>
      </c>
      <c r="U1063" s="1" t="str">
        <f aca="false">IF($A1063="","",IF(I1063="","",I1063-SUM(J1063:P1063)))</f>
        <v/>
      </c>
      <c r="V1063" s="6" t="s">
        <v>4746</v>
      </c>
      <c r="W1063" s="9" t="s">
        <v>528</v>
      </c>
      <c r="X1063" s="6" t="s">
        <v>4747</v>
      </c>
      <c r="AC1063" s="9" t="s">
        <v>4369</v>
      </c>
      <c r="AD1063" s="9" t="s">
        <v>4370</v>
      </c>
      <c r="AE1063" s="9" t="s">
        <v>4371</v>
      </c>
    </row>
    <row r="1064" customFormat="false" ht="15" hidden="false" customHeight="true" outlineLevel="0" collapsed="false">
      <c r="A1064" s="6" t="s">
        <v>3820</v>
      </c>
      <c r="B1064" s="6" t="s">
        <v>485</v>
      </c>
      <c r="C1064" s="6" t="s">
        <v>490</v>
      </c>
      <c r="D1064" s="6" t="n">
        <v>6</v>
      </c>
      <c r="E1064" s="9" t="s">
        <v>4738</v>
      </c>
      <c r="Q1064" s="1" t="str">
        <f aca="false">IF($A1064="","",IF(OR(F1064="",I1064=""),"",F1064-I1064))</f>
        <v/>
      </c>
      <c r="R1064" s="1" t="str">
        <f aca="false">IF($A1064="","",IF(Q1064="","",Q1064+IF(O1064="",0,O1064)))</f>
        <v/>
      </c>
      <c r="T1064" s="1" t="str">
        <f aca="false">IF($A1064="","",IF(R1064="","",R1064-IF(S1064="",0,S1064)))</f>
        <v/>
      </c>
      <c r="U1064" s="1" t="str">
        <f aca="false">IF($A1064="","",IF(I1064="","",I1064-SUM(J1064:P1064)))</f>
        <v/>
      </c>
      <c r="V1064" s="6" t="s">
        <v>4746</v>
      </c>
      <c r="W1064" s="9" t="s">
        <v>528</v>
      </c>
      <c r="X1064" s="6" t="s">
        <v>4747</v>
      </c>
      <c r="AC1064" s="9" t="s">
        <v>4369</v>
      </c>
      <c r="AD1064" s="9" t="s">
        <v>4370</v>
      </c>
      <c r="AE1064" s="9" t="s">
        <v>4371</v>
      </c>
    </row>
    <row r="1065" customFormat="false" ht="15" hidden="false" customHeight="true" outlineLevel="0" collapsed="false">
      <c r="A1065" s="6" t="s">
        <v>3823</v>
      </c>
      <c r="B1065" s="6" t="s">
        <v>485</v>
      </c>
      <c r="C1065" s="6" t="s">
        <v>490</v>
      </c>
      <c r="D1065" s="6" t="n">
        <v>6</v>
      </c>
      <c r="E1065" s="9" t="s">
        <v>4738</v>
      </c>
      <c r="Q1065" s="1" t="str">
        <f aca="false">IF($A1065="","",IF(OR(F1065="",I1065=""),"",F1065-I1065))</f>
        <v/>
      </c>
      <c r="R1065" s="1" t="str">
        <f aca="false">IF($A1065="","",IF(Q1065="","",Q1065+IF(O1065="",0,O1065)))</f>
        <v/>
      </c>
      <c r="T1065" s="1" t="str">
        <f aca="false">IF($A1065="","",IF(R1065="","",R1065-IF(S1065="",0,S1065)))</f>
        <v/>
      </c>
      <c r="U1065" s="1" t="str">
        <f aca="false">IF($A1065="","",IF(I1065="","",I1065-SUM(J1065:P1065)))</f>
        <v/>
      </c>
      <c r="V1065" s="6" t="s">
        <v>4746</v>
      </c>
      <c r="W1065" s="9" t="s">
        <v>528</v>
      </c>
      <c r="X1065" s="6" t="s">
        <v>4747</v>
      </c>
      <c r="AC1065" s="9" t="s">
        <v>4369</v>
      </c>
      <c r="AD1065" s="9" t="s">
        <v>4370</v>
      </c>
      <c r="AE1065" s="9" t="s">
        <v>4371</v>
      </c>
    </row>
    <row r="1066" customFormat="false" ht="15" hidden="false" customHeight="true" outlineLevel="0" collapsed="false">
      <c r="A1066" s="6" t="s">
        <v>3826</v>
      </c>
      <c r="B1066" s="6" t="s">
        <v>485</v>
      </c>
      <c r="C1066" s="6" t="s">
        <v>490</v>
      </c>
      <c r="D1066" s="6" t="n">
        <v>6</v>
      </c>
      <c r="E1066" s="9" t="s">
        <v>4738</v>
      </c>
      <c r="Q1066" s="1" t="str">
        <f aca="false">IF($A1066="","",IF(OR(F1066="",I1066=""),"",F1066-I1066))</f>
        <v/>
      </c>
      <c r="R1066" s="1" t="str">
        <f aca="false">IF($A1066="","",IF(Q1066="","",Q1066+IF(O1066="",0,O1066)))</f>
        <v/>
      </c>
      <c r="T1066" s="1" t="str">
        <f aca="false">IF($A1066="","",IF(R1066="","",R1066-IF(S1066="",0,S1066)))</f>
        <v/>
      </c>
      <c r="U1066" s="1" t="str">
        <f aca="false">IF($A1066="","",IF(I1066="","",I1066-SUM(J1066:P1066)))</f>
        <v/>
      </c>
      <c r="V1066" s="6" t="s">
        <v>4746</v>
      </c>
      <c r="W1066" s="9" t="s">
        <v>528</v>
      </c>
      <c r="X1066" s="6" t="s">
        <v>4747</v>
      </c>
      <c r="AC1066" s="9" t="s">
        <v>4369</v>
      </c>
      <c r="AD1066" s="9" t="s">
        <v>4370</v>
      </c>
      <c r="AE1066" s="9" t="s">
        <v>4371</v>
      </c>
    </row>
    <row r="1067" customFormat="false" ht="15" hidden="false" customHeight="true" outlineLevel="0" collapsed="false">
      <c r="A1067" s="6" t="s">
        <v>3829</v>
      </c>
      <c r="B1067" s="6" t="s">
        <v>485</v>
      </c>
      <c r="C1067" s="6" t="s">
        <v>490</v>
      </c>
      <c r="D1067" s="6" t="n">
        <v>6</v>
      </c>
      <c r="E1067" s="9" t="s">
        <v>4738</v>
      </c>
      <c r="Q1067" s="1" t="str">
        <f aca="false">IF($A1067="","",IF(OR(F1067="",I1067=""),"",F1067-I1067))</f>
        <v/>
      </c>
      <c r="R1067" s="1" t="str">
        <f aca="false">IF($A1067="","",IF(Q1067="","",Q1067+IF(O1067="",0,O1067)))</f>
        <v/>
      </c>
      <c r="T1067" s="1" t="str">
        <f aca="false">IF($A1067="","",IF(R1067="","",R1067-IF(S1067="",0,S1067)))</f>
        <v/>
      </c>
      <c r="U1067" s="1" t="str">
        <f aca="false">IF($A1067="","",IF(I1067="","",I1067-SUM(J1067:P1067)))</f>
        <v/>
      </c>
      <c r="V1067" s="6" t="s">
        <v>4746</v>
      </c>
      <c r="W1067" s="9" t="s">
        <v>528</v>
      </c>
      <c r="X1067" s="6" t="s">
        <v>4747</v>
      </c>
      <c r="AC1067" s="9" t="s">
        <v>4369</v>
      </c>
      <c r="AD1067" s="9" t="s">
        <v>4370</v>
      </c>
      <c r="AE1067" s="9" t="s">
        <v>4371</v>
      </c>
    </row>
    <row r="1068" customFormat="false" ht="15" hidden="false" customHeight="true" outlineLevel="0" collapsed="false">
      <c r="A1068" s="6" t="s">
        <v>3832</v>
      </c>
      <c r="B1068" s="6" t="s">
        <v>485</v>
      </c>
      <c r="C1068" s="6" t="s">
        <v>490</v>
      </c>
      <c r="D1068" s="6" t="n">
        <v>6</v>
      </c>
      <c r="E1068" s="9" t="s">
        <v>4738</v>
      </c>
      <c r="Q1068" s="1" t="str">
        <f aca="false">IF($A1068="","",IF(OR(F1068="",I1068=""),"",F1068-I1068))</f>
        <v/>
      </c>
      <c r="R1068" s="1" t="str">
        <f aca="false">IF($A1068="","",IF(Q1068="","",Q1068+IF(O1068="",0,O1068)))</f>
        <v/>
      </c>
      <c r="T1068" s="1" t="str">
        <f aca="false">IF($A1068="","",IF(R1068="","",R1068-IF(S1068="",0,S1068)))</f>
        <v/>
      </c>
      <c r="U1068" s="1" t="str">
        <f aca="false">IF($A1068="","",IF(I1068="","",I1068-SUM(J1068:P1068)))</f>
        <v/>
      </c>
      <c r="V1068" s="6" t="s">
        <v>4746</v>
      </c>
      <c r="W1068" s="9" t="s">
        <v>528</v>
      </c>
      <c r="X1068" s="6" t="s">
        <v>4747</v>
      </c>
      <c r="AC1068" s="9" t="s">
        <v>4369</v>
      </c>
      <c r="AD1068" s="9" t="s">
        <v>4370</v>
      </c>
      <c r="AE1068" s="9" t="s">
        <v>4371</v>
      </c>
    </row>
    <row r="1069" customFormat="false" ht="15" hidden="false" customHeight="true" outlineLevel="0" collapsed="false">
      <c r="A1069" s="6" t="s">
        <v>3835</v>
      </c>
      <c r="B1069" s="6" t="s">
        <v>485</v>
      </c>
      <c r="C1069" s="6" t="s">
        <v>490</v>
      </c>
      <c r="D1069" s="6" t="n">
        <v>6</v>
      </c>
      <c r="E1069" s="9" t="s">
        <v>4738</v>
      </c>
      <c r="Q1069" s="1" t="str">
        <f aca="false">IF($A1069="","",IF(OR(F1069="",I1069=""),"",F1069-I1069))</f>
        <v/>
      </c>
      <c r="R1069" s="1" t="str">
        <f aca="false">IF($A1069="","",IF(Q1069="","",Q1069+IF(O1069="",0,O1069)))</f>
        <v/>
      </c>
      <c r="T1069" s="1" t="str">
        <f aca="false">IF($A1069="","",IF(R1069="","",R1069-IF(S1069="",0,S1069)))</f>
        <v/>
      </c>
      <c r="U1069" s="1" t="str">
        <f aca="false">IF($A1069="","",IF(I1069="","",I1069-SUM(J1069:P1069)))</f>
        <v/>
      </c>
      <c r="V1069" s="6" t="s">
        <v>4746</v>
      </c>
      <c r="W1069" s="9" t="s">
        <v>528</v>
      </c>
      <c r="X1069" s="6" t="s">
        <v>4747</v>
      </c>
      <c r="AC1069" s="9" t="s">
        <v>4369</v>
      </c>
      <c r="AD1069" s="9" t="s">
        <v>4370</v>
      </c>
      <c r="AE1069" s="9" t="s">
        <v>4371</v>
      </c>
    </row>
    <row r="1070" customFormat="false" ht="15" hidden="false" customHeight="true" outlineLevel="0" collapsed="false">
      <c r="A1070" s="6" t="s">
        <v>3838</v>
      </c>
      <c r="B1070" s="6" t="s">
        <v>485</v>
      </c>
      <c r="C1070" s="6" t="s">
        <v>490</v>
      </c>
      <c r="D1070" s="6" t="n">
        <v>6</v>
      </c>
      <c r="E1070" s="9" t="s">
        <v>4738</v>
      </c>
      <c r="Q1070" s="1" t="str">
        <f aca="false">IF($A1070="","",IF(OR(F1070="",I1070=""),"",F1070-I1070))</f>
        <v/>
      </c>
      <c r="R1070" s="1" t="str">
        <f aca="false">IF($A1070="","",IF(Q1070="","",Q1070+IF(O1070="",0,O1070)))</f>
        <v/>
      </c>
      <c r="T1070" s="1" t="str">
        <f aca="false">IF($A1070="","",IF(R1070="","",R1070-IF(S1070="",0,S1070)))</f>
        <v/>
      </c>
      <c r="U1070" s="1" t="str">
        <f aca="false">IF($A1070="","",IF(I1070="","",I1070-SUM(J1070:P1070)))</f>
        <v/>
      </c>
      <c r="V1070" s="6" t="s">
        <v>4746</v>
      </c>
      <c r="W1070" s="9" t="s">
        <v>528</v>
      </c>
      <c r="X1070" s="6" t="s">
        <v>4747</v>
      </c>
      <c r="AC1070" s="9" t="s">
        <v>4369</v>
      </c>
      <c r="AD1070" s="9" t="s">
        <v>4370</v>
      </c>
      <c r="AE1070" s="9" t="s">
        <v>4371</v>
      </c>
    </row>
    <row r="1071" customFormat="false" ht="15" hidden="false" customHeight="true" outlineLevel="0" collapsed="false">
      <c r="A1071" s="6" t="s">
        <v>3841</v>
      </c>
      <c r="B1071" s="6" t="s">
        <v>485</v>
      </c>
      <c r="C1071" s="6" t="s">
        <v>490</v>
      </c>
      <c r="D1071" s="6" t="n">
        <v>6</v>
      </c>
      <c r="E1071" s="9" t="s">
        <v>4738</v>
      </c>
      <c r="Q1071" s="1" t="str">
        <f aca="false">IF($A1071="","",IF(OR(F1071="",I1071=""),"",F1071-I1071))</f>
        <v/>
      </c>
      <c r="R1071" s="1" t="str">
        <f aca="false">IF($A1071="","",IF(Q1071="","",Q1071+IF(O1071="",0,O1071)))</f>
        <v/>
      </c>
      <c r="T1071" s="1" t="str">
        <f aca="false">IF($A1071="","",IF(R1071="","",R1071-IF(S1071="",0,S1071)))</f>
        <v/>
      </c>
      <c r="U1071" s="1" t="str">
        <f aca="false">IF($A1071="","",IF(I1071="","",I1071-SUM(J1071:P1071)))</f>
        <v/>
      </c>
      <c r="V1071" s="6" t="s">
        <v>4746</v>
      </c>
      <c r="W1071" s="9" t="s">
        <v>528</v>
      </c>
      <c r="X1071" s="6" t="s">
        <v>4747</v>
      </c>
      <c r="AC1071" s="9" t="s">
        <v>4369</v>
      </c>
      <c r="AD1071" s="9" t="s">
        <v>4370</v>
      </c>
      <c r="AE1071" s="9" t="s">
        <v>4371</v>
      </c>
    </row>
    <row r="1072" customFormat="false" ht="15" hidden="false" customHeight="true" outlineLevel="0" collapsed="false">
      <c r="A1072" s="6" t="s">
        <v>3844</v>
      </c>
      <c r="B1072" s="6" t="s">
        <v>485</v>
      </c>
      <c r="C1072" s="6" t="s">
        <v>490</v>
      </c>
      <c r="D1072" s="6" t="n">
        <v>6</v>
      </c>
      <c r="E1072" s="9" t="s">
        <v>4738</v>
      </c>
      <c r="Q1072" s="1" t="str">
        <f aca="false">IF($A1072="","",IF(OR(F1072="",I1072=""),"",F1072-I1072))</f>
        <v/>
      </c>
      <c r="R1072" s="1" t="str">
        <f aca="false">IF($A1072="","",IF(Q1072="","",Q1072+IF(O1072="",0,O1072)))</f>
        <v/>
      </c>
      <c r="T1072" s="1" t="str">
        <f aca="false">IF($A1072="","",IF(R1072="","",R1072-IF(S1072="",0,S1072)))</f>
        <v/>
      </c>
      <c r="U1072" s="1" t="str">
        <f aca="false">IF($A1072="","",IF(I1072="","",I1072-SUM(J1072:P1072)))</f>
        <v/>
      </c>
      <c r="V1072" s="6" t="s">
        <v>4746</v>
      </c>
      <c r="W1072" s="9" t="s">
        <v>528</v>
      </c>
      <c r="X1072" s="6" t="s">
        <v>4747</v>
      </c>
      <c r="AC1072" s="9" t="s">
        <v>4369</v>
      </c>
      <c r="AD1072" s="9" t="s">
        <v>4370</v>
      </c>
      <c r="AE1072" s="9" t="s">
        <v>4371</v>
      </c>
    </row>
    <row r="1073" customFormat="false" ht="15" hidden="false" customHeight="true" outlineLevel="0" collapsed="false">
      <c r="A1073" s="6" t="s">
        <v>3847</v>
      </c>
      <c r="B1073" s="6" t="s">
        <v>485</v>
      </c>
      <c r="C1073" s="6" t="s">
        <v>490</v>
      </c>
      <c r="D1073" s="6" t="n">
        <v>6</v>
      </c>
      <c r="E1073" s="9" t="s">
        <v>4738</v>
      </c>
      <c r="Q1073" s="1" t="str">
        <f aca="false">IF($A1073="","",IF(OR(F1073="",I1073=""),"",F1073-I1073))</f>
        <v/>
      </c>
      <c r="R1073" s="1" t="str">
        <f aca="false">IF($A1073="","",IF(Q1073="","",Q1073+IF(O1073="",0,O1073)))</f>
        <v/>
      </c>
      <c r="T1073" s="1" t="str">
        <f aca="false">IF($A1073="","",IF(R1073="","",R1073-IF(S1073="",0,S1073)))</f>
        <v/>
      </c>
      <c r="U1073" s="1" t="str">
        <f aca="false">IF($A1073="","",IF(I1073="","",I1073-SUM(J1073:P1073)))</f>
        <v/>
      </c>
      <c r="V1073" s="6" t="s">
        <v>4746</v>
      </c>
      <c r="W1073" s="9" t="s">
        <v>528</v>
      </c>
      <c r="X1073" s="6" t="s">
        <v>4747</v>
      </c>
      <c r="AC1073" s="9" t="s">
        <v>4369</v>
      </c>
      <c r="AD1073" s="9" t="s">
        <v>4370</v>
      </c>
      <c r="AE1073" s="9" t="s">
        <v>4371</v>
      </c>
    </row>
    <row r="1074" customFormat="false" ht="15" hidden="false" customHeight="true" outlineLevel="0" collapsed="false">
      <c r="A1074" s="6" t="s">
        <v>3850</v>
      </c>
      <c r="B1074" s="6" t="s">
        <v>485</v>
      </c>
      <c r="C1074" s="6" t="s">
        <v>490</v>
      </c>
      <c r="D1074" s="6" t="n">
        <v>6</v>
      </c>
      <c r="E1074" s="9" t="s">
        <v>4738</v>
      </c>
      <c r="Q1074" s="1" t="str">
        <f aca="false">IF($A1074="","",IF(OR(F1074="",I1074=""),"",F1074-I1074))</f>
        <v/>
      </c>
      <c r="R1074" s="1" t="str">
        <f aca="false">IF($A1074="","",IF(Q1074="","",Q1074+IF(O1074="",0,O1074)))</f>
        <v/>
      </c>
      <c r="T1074" s="1" t="str">
        <f aca="false">IF($A1074="","",IF(R1074="","",R1074-IF(S1074="",0,S1074)))</f>
        <v/>
      </c>
      <c r="U1074" s="1" t="str">
        <f aca="false">IF($A1074="","",IF(I1074="","",I1074-SUM(J1074:P1074)))</f>
        <v/>
      </c>
      <c r="V1074" s="6" t="s">
        <v>4746</v>
      </c>
      <c r="W1074" s="9" t="s">
        <v>528</v>
      </c>
      <c r="X1074" s="6" t="s">
        <v>4747</v>
      </c>
      <c r="AC1074" s="9" t="s">
        <v>4369</v>
      </c>
      <c r="AD1074" s="9" t="s">
        <v>4370</v>
      </c>
      <c r="AE1074" s="9" t="s">
        <v>4371</v>
      </c>
    </row>
    <row r="1075" customFormat="false" ht="15" hidden="false" customHeight="true" outlineLevel="0" collapsed="false">
      <c r="A1075" s="6" t="s">
        <v>3853</v>
      </c>
      <c r="B1075" s="6" t="s">
        <v>485</v>
      </c>
      <c r="C1075" s="6" t="s">
        <v>490</v>
      </c>
      <c r="D1075" s="6" t="n">
        <v>6</v>
      </c>
      <c r="E1075" s="9" t="s">
        <v>4738</v>
      </c>
      <c r="Q1075" s="1" t="str">
        <f aca="false">IF($A1075="","",IF(OR(F1075="",I1075=""),"",F1075-I1075))</f>
        <v/>
      </c>
      <c r="R1075" s="1" t="str">
        <f aca="false">IF($A1075="","",IF(Q1075="","",Q1075+IF(O1075="",0,O1075)))</f>
        <v/>
      </c>
      <c r="T1075" s="1" t="str">
        <f aca="false">IF($A1075="","",IF(R1075="","",R1075-IF(S1075="",0,S1075)))</f>
        <v/>
      </c>
      <c r="U1075" s="1" t="str">
        <f aca="false">IF($A1075="","",IF(I1075="","",I1075-SUM(J1075:P1075)))</f>
        <v/>
      </c>
      <c r="V1075" s="6" t="s">
        <v>4746</v>
      </c>
      <c r="W1075" s="9" t="s">
        <v>528</v>
      </c>
      <c r="X1075" s="6" t="s">
        <v>4747</v>
      </c>
      <c r="AC1075" s="9" t="s">
        <v>4369</v>
      </c>
      <c r="AD1075" s="9" t="s">
        <v>4370</v>
      </c>
      <c r="AE1075" s="9" t="s">
        <v>4371</v>
      </c>
    </row>
    <row r="1076" customFormat="false" ht="15" hidden="false" customHeight="true" outlineLevel="0" collapsed="false">
      <c r="A1076" s="6" t="s">
        <v>3856</v>
      </c>
      <c r="B1076" s="6" t="s">
        <v>485</v>
      </c>
      <c r="C1076" s="6" t="s">
        <v>490</v>
      </c>
      <c r="D1076" s="6" t="n">
        <v>6</v>
      </c>
      <c r="E1076" s="9" t="s">
        <v>4738</v>
      </c>
      <c r="Q1076" s="1" t="str">
        <f aca="false">IF($A1076="","",IF(OR(F1076="",I1076=""),"",F1076-I1076))</f>
        <v/>
      </c>
      <c r="R1076" s="1" t="str">
        <f aca="false">IF($A1076="","",IF(Q1076="","",Q1076+IF(O1076="",0,O1076)))</f>
        <v/>
      </c>
      <c r="T1076" s="1" t="str">
        <f aca="false">IF($A1076="","",IF(R1076="","",R1076-IF(S1076="",0,S1076)))</f>
        <v/>
      </c>
      <c r="U1076" s="1" t="str">
        <f aca="false">IF($A1076="","",IF(I1076="","",I1076-SUM(J1076:P1076)))</f>
        <v/>
      </c>
      <c r="V1076" s="6" t="s">
        <v>4746</v>
      </c>
      <c r="W1076" s="9" t="s">
        <v>528</v>
      </c>
      <c r="X1076" s="6" t="s">
        <v>4747</v>
      </c>
      <c r="AC1076" s="9" t="s">
        <v>4369</v>
      </c>
      <c r="AD1076" s="9" t="s">
        <v>4370</v>
      </c>
      <c r="AE1076" s="9" t="s">
        <v>4371</v>
      </c>
    </row>
    <row r="1077" customFormat="false" ht="15" hidden="false" customHeight="true" outlineLevel="0" collapsed="false">
      <c r="A1077" s="6" t="s">
        <v>3859</v>
      </c>
      <c r="B1077" s="6" t="s">
        <v>485</v>
      </c>
      <c r="C1077" s="6" t="s">
        <v>490</v>
      </c>
      <c r="D1077" s="6" t="n">
        <v>6</v>
      </c>
      <c r="E1077" s="9" t="s">
        <v>4738</v>
      </c>
      <c r="Q1077" s="1" t="str">
        <f aca="false">IF($A1077="","",IF(OR(F1077="",I1077=""),"",F1077-I1077))</f>
        <v/>
      </c>
      <c r="R1077" s="1" t="str">
        <f aca="false">IF($A1077="","",IF(Q1077="","",Q1077+IF(O1077="",0,O1077)))</f>
        <v/>
      </c>
      <c r="T1077" s="1" t="str">
        <f aca="false">IF($A1077="","",IF(R1077="","",R1077-IF(S1077="",0,S1077)))</f>
        <v/>
      </c>
      <c r="U1077" s="1" t="str">
        <f aca="false">IF($A1077="","",IF(I1077="","",I1077-SUM(J1077:P1077)))</f>
        <v/>
      </c>
      <c r="V1077" s="6" t="s">
        <v>4746</v>
      </c>
      <c r="W1077" s="9" t="s">
        <v>528</v>
      </c>
      <c r="X1077" s="6" t="s">
        <v>4747</v>
      </c>
      <c r="AC1077" s="9" t="s">
        <v>4369</v>
      </c>
      <c r="AD1077" s="9" t="s">
        <v>4370</v>
      </c>
      <c r="AE1077" s="9" t="s">
        <v>4371</v>
      </c>
    </row>
    <row r="1078" customFormat="false" ht="15" hidden="false" customHeight="true" outlineLevel="0" collapsed="false">
      <c r="A1078" s="6" t="s">
        <v>3862</v>
      </c>
      <c r="B1078" s="6" t="s">
        <v>485</v>
      </c>
      <c r="C1078" s="6" t="s">
        <v>490</v>
      </c>
      <c r="D1078" s="6" t="n">
        <v>6</v>
      </c>
      <c r="E1078" s="9" t="s">
        <v>4738</v>
      </c>
      <c r="Q1078" s="1" t="str">
        <f aca="false">IF($A1078="","",IF(OR(F1078="",I1078=""),"",F1078-I1078))</f>
        <v/>
      </c>
      <c r="R1078" s="1" t="str">
        <f aca="false">IF($A1078="","",IF(Q1078="","",Q1078+IF(O1078="",0,O1078)))</f>
        <v/>
      </c>
      <c r="T1078" s="1" t="str">
        <f aca="false">IF($A1078="","",IF(R1078="","",R1078-IF(S1078="",0,S1078)))</f>
        <v/>
      </c>
      <c r="U1078" s="1" t="str">
        <f aca="false">IF($A1078="","",IF(I1078="","",I1078-SUM(J1078:P1078)))</f>
        <v/>
      </c>
      <c r="V1078" s="6" t="s">
        <v>4746</v>
      </c>
      <c r="W1078" s="9" t="s">
        <v>528</v>
      </c>
      <c r="X1078" s="6" t="s">
        <v>4747</v>
      </c>
      <c r="AC1078" s="9" t="s">
        <v>4369</v>
      </c>
      <c r="AD1078" s="9" t="s">
        <v>4370</v>
      </c>
      <c r="AE1078" s="9" t="s">
        <v>4371</v>
      </c>
    </row>
    <row r="1079" customFormat="false" ht="15" hidden="false" customHeight="true" outlineLevel="0" collapsed="false">
      <c r="A1079" s="6" t="s">
        <v>3865</v>
      </c>
      <c r="B1079" s="6" t="s">
        <v>485</v>
      </c>
      <c r="C1079" s="6" t="s">
        <v>490</v>
      </c>
      <c r="D1079" s="6" t="n">
        <v>6</v>
      </c>
      <c r="E1079" s="9" t="s">
        <v>4738</v>
      </c>
      <c r="Q1079" s="1" t="str">
        <f aca="false">IF($A1079="","",IF(OR(F1079="",I1079=""),"",F1079-I1079))</f>
        <v/>
      </c>
      <c r="R1079" s="1" t="str">
        <f aca="false">IF($A1079="","",IF(Q1079="","",Q1079+IF(O1079="",0,O1079)))</f>
        <v/>
      </c>
      <c r="T1079" s="1" t="str">
        <f aca="false">IF($A1079="","",IF(R1079="","",R1079-IF(S1079="",0,S1079)))</f>
        <v/>
      </c>
      <c r="U1079" s="1" t="str">
        <f aca="false">IF($A1079="","",IF(I1079="","",I1079-SUM(J1079:P1079)))</f>
        <v/>
      </c>
      <c r="V1079" s="6" t="s">
        <v>4746</v>
      </c>
      <c r="W1079" s="9" t="s">
        <v>528</v>
      </c>
      <c r="X1079" s="6" t="s">
        <v>4747</v>
      </c>
      <c r="AC1079" s="9" t="s">
        <v>4369</v>
      </c>
      <c r="AD1079" s="9" t="s">
        <v>4370</v>
      </c>
      <c r="AE1079" s="9" t="s">
        <v>4371</v>
      </c>
    </row>
    <row r="1080" customFormat="false" ht="15" hidden="false" customHeight="true" outlineLevel="0" collapsed="false">
      <c r="A1080" s="6" t="s">
        <v>3868</v>
      </c>
      <c r="B1080" s="6" t="s">
        <v>485</v>
      </c>
      <c r="C1080" s="6" t="s">
        <v>490</v>
      </c>
      <c r="D1080" s="6" t="n">
        <v>6</v>
      </c>
      <c r="E1080" s="9" t="s">
        <v>4738</v>
      </c>
      <c r="Q1080" s="1" t="str">
        <f aca="false">IF($A1080="","",IF(OR(F1080="",I1080=""),"",F1080-I1080))</f>
        <v/>
      </c>
      <c r="R1080" s="1" t="str">
        <f aca="false">IF($A1080="","",IF(Q1080="","",Q1080+IF(O1080="",0,O1080)))</f>
        <v/>
      </c>
      <c r="T1080" s="1" t="str">
        <f aca="false">IF($A1080="","",IF(R1080="","",R1080-IF(S1080="",0,S1080)))</f>
        <v/>
      </c>
      <c r="U1080" s="1" t="str">
        <f aca="false">IF($A1080="","",IF(I1080="","",I1080-SUM(J1080:P1080)))</f>
        <v/>
      </c>
      <c r="V1080" s="6" t="s">
        <v>4746</v>
      </c>
      <c r="W1080" s="9" t="s">
        <v>528</v>
      </c>
      <c r="X1080" s="6" t="s">
        <v>4747</v>
      </c>
      <c r="AC1080" s="9" t="s">
        <v>4369</v>
      </c>
      <c r="AD1080" s="9" t="s">
        <v>4370</v>
      </c>
      <c r="AE1080" s="9" t="s">
        <v>4371</v>
      </c>
    </row>
    <row r="1081" customFormat="false" ht="15" hidden="false" customHeight="true" outlineLevel="0" collapsed="false">
      <c r="A1081" s="6" t="s">
        <v>3871</v>
      </c>
      <c r="B1081" s="6" t="s">
        <v>485</v>
      </c>
      <c r="C1081" s="6" t="s">
        <v>490</v>
      </c>
      <c r="D1081" s="6" t="n">
        <v>6</v>
      </c>
      <c r="E1081" s="9" t="s">
        <v>4738</v>
      </c>
      <c r="Q1081" s="1" t="str">
        <f aca="false">IF($A1081="","",IF(OR(F1081="",I1081=""),"",F1081-I1081))</f>
        <v/>
      </c>
      <c r="R1081" s="1" t="str">
        <f aca="false">IF($A1081="","",IF(Q1081="","",Q1081+IF(O1081="",0,O1081)))</f>
        <v/>
      </c>
      <c r="T1081" s="1" t="str">
        <f aca="false">IF($A1081="","",IF(R1081="","",R1081-IF(S1081="",0,S1081)))</f>
        <v/>
      </c>
      <c r="U1081" s="1" t="str">
        <f aca="false">IF($A1081="","",IF(I1081="","",I1081-SUM(J1081:P1081)))</f>
        <v/>
      </c>
      <c r="V1081" s="6" t="s">
        <v>4746</v>
      </c>
      <c r="W1081" s="9" t="s">
        <v>528</v>
      </c>
      <c r="X1081" s="6" t="s">
        <v>4747</v>
      </c>
      <c r="AC1081" s="9" t="s">
        <v>4369</v>
      </c>
      <c r="AD1081" s="9" t="s">
        <v>4370</v>
      </c>
      <c r="AE1081" s="9" t="s">
        <v>4371</v>
      </c>
    </row>
    <row r="1082" customFormat="false" ht="15" hidden="false" customHeight="true" outlineLevel="0" collapsed="false">
      <c r="A1082" s="6" t="s">
        <v>3874</v>
      </c>
      <c r="B1082" s="6" t="s">
        <v>485</v>
      </c>
      <c r="C1082" s="6" t="s">
        <v>490</v>
      </c>
      <c r="D1082" s="6" t="n">
        <v>6</v>
      </c>
      <c r="E1082" s="9" t="s">
        <v>4738</v>
      </c>
      <c r="Q1082" s="1" t="str">
        <f aca="false">IF($A1082="","",IF(OR(F1082="",I1082=""),"",F1082-I1082))</f>
        <v/>
      </c>
      <c r="R1082" s="1" t="str">
        <f aca="false">IF($A1082="","",IF(Q1082="","",Q1082+IF(O1082="",0,O1082)))</f>
        <v/>
      </c>
      <c r="T1082" s="1" t="str">
        <f aca="false">IF($A1082="","",IF(R1082="","",R1082-IF(S1082="",0,S1082)))</f>
        <v/>
      </c>
      <c r="U1082" s="1" t="str">
        <f aca="false">IF($A1082="","",IF(I1082="","",I1082-SUM(J1082:P1082)))</f>
        <v/>
      </c>
      <c r="V1082" s="6" t="s">
        <v>4746</v>
      </c>
      <c r="W1082" s="9" t="s">
        <v>528</v>
      </c>
      <c r="X1082" s="6" t="s">
        <v>4747</v>
      </c>
      <c r="AC1082" s="9" t="s">
        <v>4369</v>
      </c>
      <c r="AD1082" s="9" t="s">
        <v>4370</v>
      </c>
      <c r="AE1082" s="9" t="s">
        <v>4371</v>
      </c>
    </row>
    <row r="1083" customFormat="false" ht="15" hidden="false" customHeight="true" outlineLevel="0" collapsed="false">
      <c r="A1083" s="6" t="s">
        <v>3877</v>
      </c>
      <c r="B1083" s="6" t="s">
        <v>485</v>
      </c>
      <c r="C1083" s="6" t="s">
        <v>490</v>
      </c>
      <c r="D1083" s="6" t="n">
        <v>6</v>
      </c>
      <c r="E1083" s="9" t="s">
        <v>4738</v>
      </c>
      <c r="Q1083" s="1" t="str">
        <f aca="false">IF($A1083="","",IF(OR(F1083="",I1083=""),"",F1083-I1083))</f>
        <v/>
      </c>
      <c r="R1083" s="1" t="str">
        <f aca="false">IF($A1083="","",IF(Q1083="","",Q1083+IF(O1083="",0,O1083)))</f>
        <v/>
      </c>
      <c r="T1083" s="1" t="str">
        <f aca="false">IF($A1083="","",IF(R1083="","",R1083-IF(S1083="",0,S1083)))</f>
        <v/>
      </c>
      <c r="U1083" s="1" t="str">
        <f aca="false">IF($A1083="","",IF(I1083="","",I1083-SUM(J1083:P1083)))</f>
        <v/>
      </c>
      <c r="V1083" s="6" t="s">
        <v>4746</v>
      </c>
      <c r="W1083" s="9" t="s">
        <v>528</v>
      </c>
      <c r="X1083" s="6" t="s">
        <v>4747</v>
      </c>
      <c r="AC1083" s="9" t="s">
        <v>4369</v>
      </c>
      <c r="AD1083" s="9" t="s">
        <v>4370</v>
      </c>
      <c r="AE1083" s="9" t="s">
        <v>4371</v>
      </c>
    </row>
    <row r="1084" customFormat="false" ht="15" hidden="false" customHeight="true" outlineLevel="0" collapsed="false">
      <c r="A1084" s="6" t="s">
        <v>3880</v>
      </c>
      <c r="B1084" s="6" t="s">
        <v>485</v>
      </c>
      <c r="C1084" s="6" t="s">
        <v>490</v>
      </c>
      <c r="D1084" s="6" t="n">
        <v>6</v>
      </c>
      <c r="E1084" s="9" t="s">
        <v>4738</v>
      </c>
      <c r="Q1084" s="1" t="str">
        <f aca="false">IF($A1084="","",IF(OR(F1084="",I1084=""),"",F1084-I1084))</f>
        <v/>
      </c>
      <c r="R1084" s="1" t="str">
        <f aca="false">IF($A1084="","",IF(Q1084="","",Q1084+IF(O1084="",0,O1084)))</f>
        <v/>
      </c>
      <c r="T1084" s="1" t="str">
        <f aca="false">IF($A1084="","",IF(R1084="","",R1084-IF(S1084="",0,S1084)))</f>
        <v/>
      </c>
      <c r="U1084" s="1" t="str">
        <f aca="false">IF($A1084="","",IF(I1084="","",I1084-SUM(J1084:P1084)))</f>
        <v/>
      </c>
      <c r="V1084" s="6" t="s">
        <v>4746</v>
      </c>
      <c r="W1084" s="9" t="s">
        <v>528</v>
      </c>
      <c r="X1084" s="6" t="s">
        <v>4747</v>
      </c>
      <c r="AC1084" s="9" t="s">
        <v>4369</v>
      </c>
      <c r="AD1084" s="9" t="s">
        <v>4370</v>
      </c>
      <c r="AE1084" s="9" t="s">
        <v>4371</v>
      </c>
    </row>
    <row r="1085" customFormat="false" ht="15" hidden="false" customHeight="true" outlineLevel="0" collapsed="false">
      <c r="A1085" s="6" t="s">
        <v>3883</v>
      </c>
      <c r="B1085" s="6" t="s">
        <v>485</v>
      </c>
      <c r="C1085" s="6" t="s">
        <v>490</v>
      </c>
      <c r="D1085" s="6" t="n">
        <v>6</v>
      </c>
      <c r="E1085" s="9" t="s">
        <v>4738</v>
      </c>
      <c r="Q1085" s="1" t="str">
        <f aca="false">IF($A1085="","",IF(OR(F1085="",I1085=""),"",F1085-I1085))</f>
        <v/>
      </c>
      <c r="R1085" s="1" t="str">
        <f aca="false">IF($A1085="","",IF(Q1085="","",Q1085+IF(O1085="",0,O1085)))</f>
        <v/>
      </c>
      <c r="T1085" s="1" t="str">
        <f aca="false">IF($A1085="","",IF(R1085="","",R1085-IF(S1085="",0,S1085)))</f>
        <v/>
      </c>
      <c r="U1085" s="1" t="str">
        <f aca="false">IF($A1085="","",IF(I1085="","",I1085-SUM(J1085:P1085)))</f>
        <v/>
      </c>
      <c r="V1085" s="6" t="s">
        <v>4746</v>
      </c>
      <c r="W1085" s="9" t="s">
        <v>528</v>
      </c>
      <c r="X1085" s="6" t="s">
        <v>4747</v>
      </c>
      <c r="AC1085" s="9" t="s">
        <v>4369</v>
      </c>
      <c r="AD1085" s="9" t="s">
        <v>4370</v>
      </c>
      <c r="AE1085" s="9" t="s">
        <v>4371</v>
      </c>
    </row>
    <row r="1086" customFormat="false" ht="15" hidden="false" customHeight="true" outlineLevel="0" collapsed="false">
      <c r="A1086" s="6" t="s">
        <v>3886</v>
      </c>
      <c r="B1086" s="6" t="s">
        <v>440</v>
      </c>
      <c r="C1086" s="6" t="s">
        <v>446</v>
      </c>
      <c r="D1086" s="6" t="n">
        <v>6</v>
      </c>
      <c r="E1086" s="9" t="s">
        <v>4396</v>
      </c>
      <c r="F1086" s="6" t="n">
        <v>246810</v>
      </c>
      <c r="G1086" s="6" t="n">
        <v>212348</v>
      </c>
      <c r="H1086" s="6" t="n">
        <v>34461</v>
      </c>
      <c r="I1086" s="6" t="n">
        <v>78047</v>
      </c>
      <c r="J1086" s="6" t="n">
        <v>17765</v>
      </c>
      <c r="K1086" s="6" t="n">
        <v>19094</v>
      </c>
      <c r="L1086" s="6" t="n">
        <v>17295</v>
      </c>
      <c r="M1086" s="6" t="n">
        <v>309</v>
      </c>
      <c r="N1086" s="6" t="n">
        <v>5601</v>
      </c>
      <c r="O1086" s="6" t="n">
        <v>16242</v>
      </c>
      <c r="P1086" s="6" t="n">
        <v>1738</v>
      </c>
      <c r="Q1086" s="1" t="n">
        <f aca="false">IF($A1086="","",IF(OR(F1086="",I1086=""),"",F1086-I1086))</f>
        <v>168763</v>
      </c>
      <c r="R1086" s="1" t="n">
        <f aca="false">IF($A1086="","",IF(Q1086="","",Q1086+IF(O1086="",0,O1086)))</f>
        <v>185005</v>
      </c>
      <c r="T1086" s="1" t="n">
        <f aca="false">IF($A1086="","",IF(R1086="","",R1086-IF(S1086="",0,S1086)))</f>
        <v>185005</v>
      </c>
      <c r="U1086" s="1" t="n">
        <f aca="false">IF($A1086="","",IF(I1086="","",I1086-SUM(J1086:P1086)))</f>
        <v>3</v>
      </c>
      <c r="V1086" s="6" t="s">
        <v>4749</v>
      </c>
      <c r="W1086" s="9" t="s">
        <v>528</v>
      </c>
      <c r="X1086" s="9" t="s">
        <v>4750</v>
      </c>
      <c r="AC1086" s="9" t="s">
        <v>4369</v>
      </c>
      <c r="AD1086" s="9" t="s">
        <v>4370</v>
      </c>
      <c r="AE1086" s="9" t="s">
        <v>4371</v>
      </c>
    </row>
    <row r="1087" customFormat="false" ht="15" hidden="false" customHeight="true" outlineLevel="0" collapsed="false">
      <c r="A1087" s="6" t="s">
        <v>3890</v>
      </c>
      <c r="B1087" s="6" t="s">
        <v>440</v>
      </c>
      <c r="C1087" s="6" t="s">
        <v>446</v>
      </c>
      <c r="D1087" s="6" t="n">
        <v>6</v>
      </c>
      <c r="E1087" s="9" t="s">
        <v>4396</v>
      </c>
      <c r="F1087" s="6" t="n">
        <v>265002</v>
      </c>
      <c r="G1087" s="6" t="n">
        <v>265002</v>
      </c>
      <c r="H1087" s="6" t="n">
        <v>0</v>
      </c>
      <c r="I1087" s="6" t="n">
        <v>40584</v>
      </c>
      <c r="J1087" s="6" t="n">
        <v>1325</v>
      </c>
      <c r="K1087" s="6" t="n">
        <v>0</v>
      </c>
      <c r="L1087" s="6" t="n">
        <v>38702</v>
      </c>
      <c r="M1087" s="6" t="n">
        <v>49</v>
      </c>
      <c r="N1087" s="6" t="n">
        <v>0</v>
      </c>
      <c r="O1087" s="6" t="n">
        <v>0</v>
      </c>
      <c r="P1087" s="6" t="n">
        <v>506</v>
      </c>
      <c r="Q1087" s="1" t="n">
        <f aca="false">IF($A1087="","",IF(OR(F1087="",I1087=""),"",F1087-I1087))</f>
        <v>224418</v>
      </c>
      <c r="R1087" s="1" t="n">
        <f aca="false">IF($A1087="","",IF(Q1087="","",Q1087+IF(O1087="",0,O1087)))</f>
        <v>224418</v>
      </c>
      <c r="T1087" s="1" t="n">
        <f aca="false">IF($A1087="","",IF(R1087="","",R1087-IF(S1087="",0,S1087)))</f>
        <v>224418</v>
      </c>
      <c r="U1087" s="1" t="n">
        <f aca="false">IF($A1087="","",IF(I1087="","",I1087-SUM(J1087:P1087)))</f>
        <v>2</v>
      </c>
      <c r="V1087" s="6" t="s">
        <v>4749</v>
      </c>
      <c r="W1087" s="9" t="s">
        <v>528</v>
      </c>
      <c r="X1087" s="9" t="s">
        <v>4750</v>
      </c>
      <c r="AC1087" s="9" t="s">
        <v>4369</v>
      </c>
      <c r="AD1087" s="9" t="s">
        <v>4370</v>
      </c>
      <c r="AE1087" s="9" t="s">
        <v>4371</v>
      </c>
    </row>
    <row r="1088" customFormat="false" ht="15" hidden="false" customHeight="true" outlineLevel="0" collapsed="false">
      <c r="A1088" s="6" t="s">
        <v>3893</v>
      </c>
      <c r="B1088" s="6" t="s">
        <v>440</v>
      </c>
      <c r="C1088" s="6" t="s">
        <v>446</v>
      </c>
      <c r="D1088" s="6" t="n">
        <v>6</v>
      </c>
      <c r="E1088" s="9" t="s">
        <v>4396</v>
      </c>
      <c r="F1088" s="6" t="n">
        <v>293380</v>
      </c>
      <c r="G1088" s="6" t="n">
        <v>271549</v>
      </c>
      <c r="H1088" s="6" t="n">
        <v>21831</v>
      </c>
      <c r="I1088" s="6" t="n">
        <v>143412</v>
      </c>
      <c r="J1088" s="6" t="n">
        <v>5116</v>
      </c>
      <c r="K1088" s="6" t="n">
        <v>17891</v>
      </c>
      <c r="L1088" s="6" t="n">
        <v>49442</v>
      </c>
      <c r="M1088" s="6" t="n">
        <v>294</v>
      </c>
      <c r="N1088" s="6" t="n">
        <v>9957</v>
      </c>
      <c r="O1088" s="6" t="n">
        <v>34017</v>
      </c>
      <c r="P1088" s="6" t="n">
        <v>26693</v>
      </c>
      <c r="Q1088" s="1" t="n">
        <f aca="false">IF($A1088="","",IF(OR(F1088="",I1088=""),"",F1088-I1088))</f>
        <v>149968</v>
      </c>
      <c r="R1088" s="1" t="n">
        <f aca="false">IF($A1088="","",IF(Q1088="","",Q1088+IF(O1088="",0,O1088)))</f>
        <v>183985</v>
      </c>
      <c r="T1088" s="1" t="n">
        <f aca="false">IF($A1088="","",IF(R1088="","",R1088-IF(S1088="",0,S1088)))</f>
        <v>183985</v>
      </c>
      <c r="U1088" s="1" t="n">
        <f aca="false">IF($A1088="","",IF(I1088="","",I1088-SUM(J1088:P1088)))</f>
        <v>2</v>
      </c>
      <c r="V1088" s="6" t="s">
        <v>4749</v>
      </c>
      <c r="W1088" s="9" t="s">
        <v>528</v>
      </c>
      <c r="X1088" s="9" t="s">
        <v>4750</v>
      </c>
      <c r="AC1088" s="9" t="s">
        <v>4369</v>
      </c>
      <c r="AD1088" s="9" t="s">
        <v>4370</v>
      </c>
      <c r="AE1088" s="9" t="s">
        <v>4371</v>
      </c>
    </row>
    <row r="1089" customFormat="false" ht="15" hidden="false" customHeight="true" outlineLevel="0" collapsed="false">
      <c r="A1089" s="6" t="s">
        <v>3895</v>
      </c>
      <c r="B1089" s="6" t="s">
        <v>440</v>
      </c>
      <c r="C1089" s="6" t="s">
        <v>446</v>
      </c>
      <c r="D1089" s="6" t="n">
        <v>6</v>
      </c>
      <c r="E1089" s="9" t="s">
        <v>4396</v>
      </c>
      <c r="F1089" s="6" t="n">
        <v>274316</v>
      </c>
      <c r="G1089" s="6" t="n">
        <v>251876</v>
      </c>
      <c r="H1089" s="6" t="n">
        <v>22440</v>
      </c>
      <c r="I1089" s="6" t="n">
        <v>164482</v>
      </c>
      <c r="J1089" s="6" t="n">
        <v>4999</v>
      </c>
      <c r="K1089" s="6" t="n">
        <v>19418</v>
      </c>
      <c r="L1089" s="6" t="n">
        <v>56170</v>
      </c>
      <c r="M1089" s="6" t="n">
        <v>818</v>
      </c>
      <c r="N1089" s="6" t="n">
        <v>1268</v>
      </c>
      <c r="O1089" s="6" t="n">
        <v>19286</v>
      </c>
      <c r="P1089" s="6" t="n">
        <v>62522</v>
      </c>
      <c r="Q1089" s="1" t="n">
        <f aca="false">IF($A1089="","",IF(OR(F1089="",I1089=""),"",F1089-I1089))</f>
        <v>109834</v>
      </c>
      <c r="R1089" s="1" t="n">
        <f aca="false">IF($A1089="","",IF(Q1089="","",Q1089+IF(O1089="",0,O1089)))</f>
        <v>129120</v>
      </c>
      <c r="T1089" s="1" t="n">
        <f aca="false">IF($A1089="","",IF(R1089="","",R1089-IF(S1089="",0,S1089)))</f>
        <v>129120</v>
      </c>
      <c r="U1089" s="1" t="n">
        <f aca="false">IF($A1089="","",IF(I1089="","",I1089-SUM(J1089:P1089)))</f>
        <v>1</v>
      </c>
      <c r="V1089" s="6" t="s">
        <v>4749</v>
      </c>
      <c r="W1089" s="9" t="s">
        <v>528</v>
      </c>
      <c r="X1089" s="9" t="s">
        <v>4750</v>
      </c>
      <c r="AC1089" s="9" t="s">
        <v>4369</v>
      </c>
      <c r="AD1089" s="9" t="s">
        <v>4370</v>
      </c>
      <c r="AE1089" s="9" t="s">
        <v>4371</v>
      </c>
    </row>
    <row r="1090" customFormat="false" ht="15" hidden="false" customHeight="true" outlineLevel="0" collapsed="false">
      <c r="A1090" s="6" t="s">
        <v>3897</v>
      </c>
      <c r="B1090" s="6" t="s">
        <v>440</v>
      </c>
      <c r="C1090" s="6" t="s">
        <v>446</v>
      </c>
      <c r="D1090" s="6" t="n">
        <v>6</v>
      </c>
      <c r="E1090" s="9" t="s">
        <v>4396</v>
      </c>
      <c r="F1090" s="6" t="n">
        <v>175341</v>
      </c>
      <c r="G1090" s="6" t="n">
        <v>157952</v>
      </c>
      <c r="H1090" s="6" t="n">
        <v>17388</v>
      </c>
      <c r="I1090" s="6" t="n">
        <v>73597</v>
      </c>
      <c r="J1090" s="6" t="n">
        <v>14442</v>
      </c>
      <c r="K1090" s="6" t="n">
        <v>14568</v>
      </c>
      <c r="L1090" s="6" t="n">
        <v>14846</v>
      </c>
      <c r="M1090" s="6" t="n">
        <v>271</v>
      </c>
      <c r="N1090" s="6" t="n">
        <v>3937</v>
      </c>
      <c r="O1090" s="6" t="n">
        <v>23724</v>
      </c>
      <c r="P1090" s="6" t="n">
        <v>1808</v>
      </c>
      <c r="Q1090" s="1" t="n">
        <f aca="false">IF($A1090="","",IF(OR(F1090="",I1090=""),"",F1090-I1090))</f>
        <v>101744</v>
      </c>
      <c r="R1090" s="1" t="n">
        <f aca="false">IF($A1090="","",IF(Q1090="","",Q1090+IF(O1090="",0,O1090)))</f>
        <v>125468</v>
      </c>
      <c r="T1090" s="1" t="n">
        <f aca="false">IF($A1090="","",IF(R1090="","",R1090-IF(S1090="",0,S1090)))</f>
        <v>125468</v>
      </c>
      <c r="U1090" s="1" t="n">
        <f aca="false">IF($A1090="","",IF(I1090="","",I1090-SUM(J1090:P1090)))</f>
        <v>1</v>
      </c>
      <c r="V1090" s="6" t="s">
        <v>4749</v>
      </c>
      <c r="W1090" s="9" t="s">
        <v>528</v>
      </c>
      <c r="X1090" s="9" t="s">
        <v>4750</v>
      </c>
      <c r="AC1090" s="9" t="s">
        <v>4369</v>
      </c>
      <c r="AD1090" s="9" t="s">
        <v>4370</v>
      </c>
      <c r="AE1090" s="9" t="s">
        <v>4371</v>
      </c>
    </row>
    <row r="1091" customFormat="false" ht="15" hidden="false" customHeight="true" outlineLevel="0" collapsed="false">
      <c r="A1091" s="6" t="s">
        <v>3899</v>
      </c>
      <c r="B1091" s="6" t="s">
        <v>440</v>
      </c>
      <c r="C1091" s="6" t="s">
        <v>446</v>
      </c>
      <c r="D1091" s="6" t="n">
        <v>6</v>
      </c>
      <c r="E1091" s="9" t="s">
        <v>4396</v>
      </c>
      <c r="F1091" s="6" t="n">
        <v>153696</v>
      </c>
      <c r="G1091" s="6" t="n">
        <v>141641</v>
      </c>
      <c r="H1091" s="6" t="n">
        <v>12055</v>
      </c>
      <c r="I1091" s="6" t="n">
        <v>71171</v>
      </c>
      <c r="J1091" s="6" t="n">
        <v>7785</v>
      </c>
      <c r="K1091" s="6" t="n">
        <v>9976</v>
      </c>
      <c r="L1091" s="6" t="n">
        <v>4074</v>
      </c>
      <c r="M1091" s="6" t="n">
        <v>137</v>
      </c>
      <c r="N1091" s="6" t="n">
        <v>2373</v>
      </c>
      <c r="O1091" s="6" t="n">
        <v>11951</v>
      </c>
      <c r="P1091" s="6" t="n">
        <v>34872</v>
      </c>
      <c r="Q1091" s="1" t="n">
        <f aca="false">IF($A1091="","",IF(OR(F1091="",I1091=""),"",F1091-I1091))</f>
        <v>82525</v>
      </c>
      <c r="R1091" s="1" t="n">
        <f aca="false">IF($A1091="","",IF(Q1091="","",Q1091+IF(O1091="",0,O1091)))</f>
        <v>94476</v>
      </c>
      <c r="T1091" s="1" t="n">
        <f aca="false">IF($A1091="","",IF(R1091="","",R1091-IF(S1091="",0,S1091)))</f>
        <v>94476</v>
      </c>
      <c r="U1091" s="1" t="n">
        <f aca="false">IF($A1091="","",IF(I1091="","",I1091-SUM(J1091:P1091)))</f>
        <v>3</v>
      </c>
      <c r="V1091" s="6" t="s">
        <v>4749</v>
      </c>
      <c r="W1091" s="9" t="s">
        <v>528</v>
      </c>
      <c r="X1091" s="9" t="s">
        <v>4750</v>
      </c>
      <c r="AC1091" s="9" t="s">
        <v>4369</v>
      </c>
      <c r="AD1091" s="9" t="s">
        <v>4370</v>
      </c>
      <c r="AE1091" s="9" t="s">
        <v>4371</v>
      </c>
    </row>
    <row r="1092" customFormat="false" ht="15" hidden="false" customHeight="true" outlineLevel="0" collapsed="false">
      <c r="A1092" s="6" t="s">
        <v>3901</v>
      </c>
      <c r="B1092" s="6" t="s">
        <v>440</v>
      </c>
      <c r="C1092" s="6" t="s">
        <v>446</v>
      </c>
      <c r="D1092" s="6" t="n">
        <v>6</v>
      </c>
      <c r="E1092" s="9" t="s">
        <v>4396</v>
      </c>
      <c r="F1092" s="6" t="n">
        <v>92656</v>
      </c>
      <c r="G1092" s="6" t="n">
        <v>84126</v>
      </c>
      <c r="H1092" s="6" t="n">
        <v>8530</v>
      </c>
      <c r="I1092" s="6" t="n">
        <v>42835</v>
      </c>
      <c r="J1092" s="6" t="n">
        <v>5848</v>
      </c>
      <c r="K1092" s="6" t="n">
        <v>8047</v>
      </c>
      <c r="L1092" s="6" t="n">
        <v>11376</v>
      </c>
      <c r="M1092" s="6" t="n">
        <v>114</v>
      </c>
      <c r="N1092" s="6" t="n">
        <v>4442</v>
      </c>
      <c r="O1092" s="6" t="n">
        <v>11718</v>
      </c>
      <c r="P1092" s="6" t="n">
        <v>1288</v>
      </c>
      <c r="Q1092" s="1" t="n">
        <f aca="false">IF($A1092="","",IF(OR(F1092="",I1092=""),"",F1092-I1092))</f>
        <v>49821</v>
      </c>
      <c r="R1092" s="1" t="n">
        <f aca="false">IF($A1092="","",IF(Q1092="","",Q1092+IF(O1092="",0,O1092)))</f>
        <v>61539</v>
      </c>
      <c r="T1092" s="1" t="n">
        <f aca="false">IF($A1092="","",IF(R1092="","",R1092-IF(S1092="",0,S1092)))</f>
        <v>61539</v>
      </c>
      <c r="U1092" s="1" t="n">
        <f aca="false">IF($A1092="","",IF(I1092="","",I1092-SUM(J1092:P1092)))</f>
        <v>2</v>
      </c>
      <c r="V1092" s="6" t="s">
        <v>4749</v>
      </c>
      <c r="W1092" s="9" t="s">
        <v>528</v>
      </c>
      <c r="X1092" s="9" t="s">
        <v>4750</v>
      </c>
      <c r="AC1092" s="9" t="s">
        <v>4369</v>
      </c>
      <c r="AD1092" s="9" t="s">
        <v>4370</v>
      </c>
      <c r="AE1092" s="9" t="s">
        <v>4371</v>
      </c>
    </row>
    <row r="1093" customFormat="false" ht="15" hidden="false" customHeight="true" outlineLevel="0" collapsed="false">
      <c r="A1093" s="6" t="s">
        <v>3903</v>
      </c>
      <c r="B1093" s="6" t="s">
        <v>440</v>
      </c>
      <c r="C1093" s="6" t="s">
        <v>446</v>
      </c>
      <c r="D1093" s="6" t="n">
        <v>6</v>
      </c>
      <c r="E1093" s="9" t="s">
        <v>4396</v>
      </c>
      <c r="F1093" s="6" t="n">
        <v>108281</v>
      </c>
      <c r="G1093" s="6" t="n">
        <v>94668</v>
      </c>
      <c r="H1093" s="6" t="n">
        <v>13612</v>
      </c>
      <c r="I1093" s="6" t="n">
        <v>43660</v>
      </c>
      <c r="J1093" s="6" t="n">
        <v>10995</v>
      </c>
      <c r="K1093" s="6" t="n">
        <v>8636</v>
      </c>
      <c r="L1093" s="6" t="n">
        <v>10995</v>
      </c>
      <c r="M1093" s="6" t="n">
        <v>130</v>
      </c>
      <c r="N1093" s="6" t="n">
        <v>960</v>
      </c>
      <c r="O1093" s="6" t="n">
        <v>9741</v>
      </c>
      <c r="P1093" s="6" t="n">
        <v>2200</v>
      </c>
      <c r="Q1093" s="1" t="n">
        <f aca="false">IF($A1093="","",IF(OR(F1093="",I1093=""),"",F1093-I1093))</f>
        <v>64621</v>
      </c>
      <c r="R1093" s="1" t="n">
        <f aca="false">IF($A1093="","",IF(Q1093="","",Q1093+IF(O1093="",0,O1093)))</f>
        <v>74362</v>
      </c>
      <c r="T1093" s="1" t="n">
        <f aca="false">IF($A1093="","",IF(R1093="","",R1093-IF(S1093="",0,S1093)))</f>
        <v>74362</v>
      </c>
      <c r="U1093" s="1" t="n">
        <f aca="false">IF($A1093="","",IF(I1093="","",I1093-SUM(J1093:P1093)))</f>
        <v>3</v>
      </c>
      <c r="V1093" s="6" t="s">
        <v>4749</v>
      </c>
      <c r="W1093" s="9" t="s">
        <v>528</v>
      </c>
      <c r="X1093" s="9" t="s">
        <v>4750</v>
      </c>
      <c r="AC1093" s="9" t="s">
        <v>4369</v>
      </c>
      <c r="AD1093" s="9" t="s">
        <v>4370</v>
      </c>
      <c r="AE1093" s="9" t="s">
        <v>4371</v>
      </c>
    </row>
    <row r="1094" customFormat="false" ht="15" hidden="false" customHeight="true" outlineLevel="0" collapsed="false">
      <c r="A1094" s="6" t="s">
        <v>3905</v>
      </c>
      <c r="B1094" s="6" t="s">
        <v>440</v>
      </c>
      <c r="C1094" s="6" t="s">
        <v>446</v>
      </c>
      <c r="D1094" s="6" t="n">
        <v>6</v>
      </c>
      <c r="E1094" s="9" t="s">
        <v>4751</v>
      </c>
      <c r="Q1094" s="1" t="str">
        <f aca="false">IF($A1094="","",IF(OR(F1094="",I1094=""),"",F1094-I1094))</f>
        <v/>
      </c>
      <c r="R1094" s="1" t="str">
        <f aca="false">IF($A1094="","",IF(Q1094="","",Q1094+IF(O1094="",0,O1094)))</f>
        <v/>
      </c>
      <c r="T1094" s="1" t="str">
        <f aca="false">IF($A1094="","",IF(R1094="","",R1094-IF(S1094="",0,S1094)))</f>
        <v/>
      </c>
      <c r="U1094" s="1" t="str">
        <f aca="false">IF($A1094="","",IF(I1094="","",I1094-SUM(J1094:P1094)))</f>
        <v/>
      </c>
      <c r="V1094" s="6" t="s">
        <v>4749</v>
      </c>
      <c r="W1094" s="9" t="s">
        <v>528</v>
      </c>
      <c r="X1094" s="9" t="s">
        <v>4752</v>
      </c>
      <c r="AC1094" s="9" t="s">
        <v>4369</v>
      </c>
      <c r="AD1094" s="9" t="s">
        <v>4370</v>
      </c>
      <c r="AE1094" s="9" t="s">
        <v>4371</v>
      </c>
    </row>
    <row r="1095" customFormat="false" ht="15" hidden="false" customHeight="true" outlineLevel="0" collapsed="false">
      <c r="A1095" s="6" t="s">
        <v>3907</v>
      </c>
      <c r="B1095" s="6" t="s">
        <v>440</v>
      </c>
      <c r="C1095" s="6" t="s">
        <v>446</v>
      </c>
      <c r="D1095" s="6" t="n">
        <v>6</v>
      </c>
      <c r="E1095" s="9" t="s">
        <v>4396</v>
      </c>
      <c r="F1095" s="6" t="n">
        <v>100630</v>
      </c>
      <c r="G1095" s="6" t="n">
        <v>89701</v>
      </c>
      <c r="H1095" s="6" t="n">
        <v>10928</v>
      </c>
      <c r="I1095" s="6" t="n">
        <v>48361</v>
      </c>
      <c r="J1095" s="6" t="n">
        <v>10328</v>
      </c>
      <c r="K1095" s="6" t="n">
        <v>7969</v>
      </c>
      <c r="L1095" s="6" t="n">
        <v>9376</v>
      </c>
      <c r="M1095" s="6" t="n">
        <v>133</v>
      </c>
      <c r="N1095" s="6" t="n">
        <v>1956</v>
      </c>
      <c r="O1095" s="6" t="n">
        <v>16709</v>
      </c>
      <c r="P1095" s="6" t="n">
        <v>1887</v>
      </c>
      <c r="Q1095" s="1" t="n">
        <f aca="false">IF($A1095="","",IF(OR(F1095="",I1095=""),"",F1095-I1095))</f>
        <v>52269</v>
      </c>
      <c r="R1095" s="1" t="n">
        <f aca="false">IF($A1095="","",IF(Q1095="","",Q1095+IF(O1095="",0,O1095)))</f>
        <v>68978</v>
      </c>
      <c r="T1095" s="1" t="n">
        <f aca="false">IF($A1095="","",IF(R1095="","",R1095-IF(S1095="",0,S1095)))</f>
        <v>68978</v>
      </c>
      <c r="U1095" s="1" t="n">
        <f aca="false">IF($A1095="","",IF(I1095="","",I1095-SUM(J1095:P1095)))</f>
        <v>3</v>
      </c>
      <c r="V1095" s="6" t="s">
        <v>4749</v>
      </c>
      <c r="W1095" s="9" t="s">
        <v>528</v>
      </c>
      <c r="X1095" s="9" t="s">
        <v>4750</v>
      </c>
      <c r="AC1095" s="9" t="s">
        <v>4369</v>
      </c>
      <c r="AD1095" s="9" t="s">
        <v>4370</v>
      </c>
      <c r="AE1095" s="9" t="s">
        <v>4371</v>
      </c>
    </row>
    <row r="1096" customFormat="false" ht="15" hidden="false" customHeight="true" outlineLevel="0" collapsed="false">
      <c r="A1096" s="6" t="s">
        <v>3909</v>
      </c>
      <c r="B1096" s="6" t="s">
        <v>440</v>
      </c>
      <c r="C1096" s="6" t="s">
        <v>446</v>
      </c>
      <c r="D1096" s="6" t="n">
        <v>6</v>
      </c>
      <c r="E1096" s="9" t="s">
        <v>4396</v>
      </c>
      <c r="F1096" s="6" t="n">
        <v>56902</v>
      </c>
      <c r="G1096" s="6" t="n">
        <v>56182</v>
      </c>
      <c r="H1096" s="6" t="n">
        <v>720</v>
      </c>
      <c r="I1096" s="6" t="n">
        <v>20750</v>
      </c>
      <c r="J1096" s="6" t="n">
        <v>9790</v>
      </c>
      <c r="K1096" s="6" t="n">
        <v>0</v>
      </c>
      <c r="L1096" s="6" t="n">
        <v>2536</v>
      </c>
      <c r="M1096" s="6" t="n">
        <v>180</v>
      </c>
      <c r="N1096" s="6" t="n">
        <v>0</v>
      </c>
      <c r="O1096" s="6" t="n">
        <v>4719</v>
      </c>
      <c r="P1096" s="6" t="n">
        <v>3523</v>
      </c>
      <c r="Q1096" s="1" t="n">
        <f aca="false">IF($A1096="","",IF(OR(F1096="",I1096=""),"",F1096-I1096))</f>
        <v>36152</v>
      </c>
      <c r="R1096" s="1" t="n">
        <f aca="false">IF($A1096="","",IF(Q1096="","",Q1096+IF(O1096="",0,O1096)))</f>
        <v>40871</v>
      </c>
      <c r="T1096" s="1" t="n">
        <f aca="false">IF($A1096="","",IF(R1096="","",R1096-IF(S1096="",0,S1096)))</f>
        <v>40871</v>
      </c>
      <c r="U1096" s="1" t="n">
        <f aca="false">IF($A1096="","",IF(I1096="","",I1096-SUM(J1096:P1096)))</f>
        <v>2</v>
      </c>
      <c r="V1096" s="6" t="s">
        <v>4749</v>
      </c>
      <c r="W1096" s="9" t="s">
        <v>528</v>
      </c>
      <c r="X1096" s="9" t="s">
        <v>4750</v>
      </c>
      <c r="AC1096" s="9" t="s">
        <v>4369</v>
      </c>
      <c r="AD1096" s="9" t="s">
        <v>4370</v>
      </c>
      <c r="AE1096" s="9" t="s">
        <v>4371</v>
      </c>
    </row>
    <row r="1097" customFormat="false" ht="15" hidden="false" customHeight="true" outlineLevel="0" collapsed="false">
      <c r="A1097" s="6" t="s">
        <v>3911</v>
      </c>
      <c r="B1097" s="6" t="s">
        <v>440</v>
      </c>
      <c r="C1097" s="6" t="s">
        <v>446</v>
      </c>
      <c r="D1097" s="6" t="n">
        <v>6</v>
      </c>
      <c r="E1097" s="9" t="s">
        <v>4396</v>
      </c>
      <c r="F1097" s="6" t="n">
        <v>431238</v>
      </c>
      <c r="G1097" s="6" t="n">
        <v>403199</v>
      </c>
      <c r="H1097" s="6" t="n">
        <v>28039</v>
      </c>
      <c r="I1097" s="6" t="n">
        <v>199123</v>
      </c>
      <c r="J1097" s="6" t="n">
        <v>40344</v>
      </c>
      <c r="K1097" s="6" t="n">
        <v>23692</v>
      </c>
      <c r="L1097" s="6" t="n">
        <v>76145</v>
      </c>
      <c r="M1097" s="6" t="n">
        <v>371</v>
      </c>
      <c r="N1097" s="6" t="n">
        <v>5599</v>
      </c>
      <c r="O1097" s="6" t="n">
        <v>51656</v>
      </c>
      <c r="P1097" s="6" t="n">
        <v>1313</v>
      </c>
      <c r="Q1097" s="1" t="n">
        <f aca="false">IF($A1097="","",IF(OR(F1097="",I1097=""),"",F1097-I1097))</f>
        <v>232115</v>
      </c>
      <c r="R1097" s="1" t="n">
        <f aca="false">IF($A1097="","",IF(Q1097="","",Q1097+IF(O1097="",0,O1097)))</f>
        <v>283771</v>
      </c>
      <c r="T1097" s="1" t="n">
        <f aca="false">IF($A1097="","",IF(R1097="","",R1097-IF(S1097="",0,S1097)))</f>
        <v>283771</v>
      </c>
      <c r="U1097" s="1" t="n">
        <f aca="false">IF($A1097="","",IF(I1097="","",I1097-SUM(J1097:P1097)))</f>
        <v>3</v>
      </c>
      <c r="V1097" s="6" t="s">
        <v>4749</v>
      </c>
      <c r="W1097" s="9" t="s">
        <v>528</v>
      </c>
      <c r="X1097" s="9" t="s">
        <v>4750</v>
      </c>
      <c r="AC1097" s="9" t="s">
        <v>4369</v>
      </c>
      <c r="AD1097" s="9" t="s">
        <v>4370</v>
      </c>
      <c r="AE1097" s="9" t="s">
        <v>4371</v>
      </c>
    </row>
    <row r="1098" customFormat="false" ht="15" hidden="false" customHeight="true" outlineLevel="0" collapsed="false">
      <c r="A1098" s="6" t="s">
        <v>3913</v>
      </c>
      <c r="B1098" s="6" t="s">
        <v>440</v>
      </c>
      <c r="C1098" s="6" t="s">
        <v>446</v>
      </c>
      <c r="D1098" s="6" t="n">
        <v>6</v>
      </c>
      <c r="E1098" s="9" t="s">
        <v>4396</v>
      </c>
      <c r="F1098" s="6" t="n">
        <v>138197</v>
      </c>
      <c r="G1098" s="6" t="n">
        <v>128318</v>
      </c>
      <c r="H1098" s="6" t="n">
        <v>9878</v>
      </c>
      <c r="I1098" s="6" t="n">
        <v>49090</v>
      </c>
      <c r="J1098" s="6" t="n">
        <v>7988</v>
      </c>
      <c r="K1098" s="6" t="n">
        <v>7283</v>
      </c>
      <c r="L1098" s="6" t="n">
        <v>10465</v>
      </c>
      <c r="M1098" s="6" t="n">
        <v>147</v>
      </c>
      <c r="N1098" s="6" t="n">
        <v>5478</v>
      </c>
      <c r="O1098" s="6" t="n">
        <v>16042</v>
      </c>
      <c r="P1098" s="6" t="n">
        <v>1685</v>
      </c>
      <c r="Q1098" s="1" t="n">
        <f aca="false">IF($A1098="","",IF(OR(F1098="",I1098=""),"",F1098-I1098))</f>
        <v>89107</v>
      </c>
      <c r="R1098" s="1" t="n">
        <f aca="false">IF($A1098="","",IF(Q1098="","",Q1098+IF(O1098="",0,O1098)))</f>
        <v>105149</v>
      </c>
      <c r="T1098" s="1" t="n">
        <f aca="false">IF($A1098="","",IF(R1098="","",R1098-IF(S1098="",0,S1098)))</f>
        <v>105149</v>
      </c>
      <c r="U1098" s="1" t="n">
        <f aca="false">IF($A1098="","",IF(I1098="","",I1098-SUM(J1098:P1098)))</f>
        <v>2</v>
      </c>
      <c r="V1098" s="6" t="s">
        <v>4749</v>
      </c>
      <c r="W1098" s="9" t="s">
        <v>528</v>
      </c>
      <c r="X1098" s="9" t="s">
        <v>4750</v>
      </c>
      <c r="AC1098" s="9" t="s">
        <v>4369</v>
      </c>
      <c r="AD1098" s="9" t="s">
        <v>4370</v>
      </c>
      <c r="AE1098" s="9" t="s">
        <v>4371</v>
      </c>
    </row>
    <row r="1099" customFormat="false" ht="15" hidden="false" customHeight="true" outlineLevel="0" collapsed="false">
      <c r="A1099" s="6" t="s">
        <v>3915</v>
      </c>
      <c r="B1099" s="6" t="s">
        <v>440</v>
      </c>
      <c r="C1099" s="6" t="s">
        <v>446</v>
      </c>
      <c r="D1099" s="6" t="n">
        <v>6</v>
      </c>
      <c r="E1099" s="9" t="s">
        <v>4396</v>
      </c>
      <c r="F1099" s="6" t="n">
        <v>46550</v>
      </c>
      <c r="G1099" s="6" t="n">
        <v>39646</v>
      </c>
      <c r="H1099" s="6" t="n">
        <v>6904</v>
      </c>
      <c r="I1099" s="6" t="n">
        <v>18120</v>
      </c>
      <c r="J1099" s="6" t="n">
        <v>3793</v>
      </c>
      <c r="K1099" s="6" t="n">
        <v>3026</v>
      </c>
      <c r="L1099" s="6" t="n">
        <v>3754</v>
      </c>
      <c r="M1099" s="6" t="n">
        <v>64</v>
      </c>
      <c r="N1099" s="6" t="n">
        <v>1206</v>
      </c>
      <c r="O1099" s="6" t="n">
        <v>5600</v>
      </c>
      <c r="P1099" s="6" t="n">
        <v>675</v>
      </c>
      <c r="Q1099" s="1" t="n">
        <f aca="false">IF($A1099="","",IF(OR(F1099="",I1099=""),"",F1099-I1099))</f>
        <v>28430</v>
      </c>
      <c r="R1099" s="1" t="n">
        <f aca="false">IF($A1099="","",IF(Q1099="","",Q1099+IF(O1099="",0,O1099)))</f>
        <v>34030</v>
      </c>
      <c r="T1099" s="1" t="n">
        <f aca="false">IF($A1099="","",IF(R1099="","",R1099-IF(S1099="",0,S1099)))</f>
        <v>34030</v>
      </c>
      <c r="U1099" s="1" t="n">
        <f aca="false">IF($A1099="","",IF(I1099="","",I1099-SUM(J1099:P1099)))</f>
        <v>2</v>
      </c>
      <c r="V1099" s="6" t="s">
        <v>4749</v>
      </c>
      <c r="W1099" s="9" t="s">
        <v>528</v>
      </c>
      <c r="X1099" s="9" t="s">
        <v>4750</v>
      </c>
      <c r="AC1099" s="9" t="s">
        <v>4369</v>
      </c>
      <c r="AD1099" s="9" t="s">
        <v>4370</v>
      </c>
      <c r="AE1099" s="9" t="s">
        <v>4371</v>
      </c>
    </row>
    <row r="1100" customFormat="false" ht="15" hidden="false" customHeight="true" outlineLevel="0" collapsed="false">
      <c r="A1100" s="6" t="s">
        <v>3917</v>
      </c>
      <c r="B1100" s="6" t="s">
        <v>440</v>
      </c>
      <c r="C1100" s="6" t="s">
        <v>446</v>
      </c>
      <c r="D1100" s="6" t="n">
        <v>6</v>
      </c>
      <c r="E1100" s="9" t="s">
        <v>4396</v>
      </c>
      <c r="F1100" s="6" t="n">
        <v>106606</v>
      </c>
      <c r="G1100" s="6" t="n">
        <v>93419</v>
      </c>
      <c r="H1100" s="6" t="n">
        <v>13186</v>
      </c>
      <c r="I1100" s="6" t="n">
        <v>61532</v>
      </c>
      <c r="J1100" s="6" t="n">
        <v>5858</v>
      </c>
      <c r="K1100" s="6" t="n">
        <v>9510</v>
      </c>
      <c r="L1100" s="6" t="n">
        <v>6030</v>
      </c>
      <c r="M1100" s="6" t="n">
        <v>162</v>
      </c>
      <c r="N1100" s="6" t="n">
        <v>2486</v>
      </c>
      <c r="O1100" s="6" t="n">
        <v>12626</v>
      </c>
      <c r="P1100" s="6" t="n">
        <v>24858</v>
      </c>
      <c r="Q1100" s="1" t="n">
        <f aca="false">IF($A1100="","",IF(OR(F1100="",I1100=""),"",F1100-I1100))</f>
        <v>45074</v>
      </c>
      <c r="R1100" s="1" t="n">
        <f aca="false">IF($A1100="","",IF(Q1100="","",Q1100+IF(O1100="",0,O1100)))</f>
        <v>57700</v>
      </c>
      <c r="T1100" s="1" t="n">
        <f aca="false">IF($A1100="","",IF(R1100="","",R1100-IF(S1100="",0,S1100)))</f>
        <v>57700</v>
      </c>
      <c r="U1100" s="1" t="n">
        <f aca="false">IF($A1100="","",IF(I1100="","",I1100-SUM(J1100:P1100)))</f>
        <v>2</v>
      </c>
      <c r="V1100" s="6" t="s">
        <v>4749</v>
      </c>
      <c r="W1100" s="9" t="s">
        <v>528</v>
      </c>
      <c r="X1100" s="9" t="s">
        <v>4750</v>
      </c>
      <c r="AC1100" s="9" t="s">
        <v>4369</v>
      </c>
      <c r="AD1100" s="9" t="s">
        <v>4370</v>
      </c>
      <c r="AE1100" s="9" t="s">
        <v>4371</v>
      </c>
    </row>
    <row r="1101" customFormat="false" ht="15" hidden="false" customHeight="true" outlineLevel="0" collapsed="false">
      <c r="A1101" s="6" t="s">
        <v>3920</v>
      </c>
      <c r="B1101" s="6" t="s">
        <v>440</v>
      </c>
      <c r="C1101" s="6" t="s">
        <v>446</v>
      </c>
      <c r="D1101" s="6" t="n">
        <v>6</v>
      </c>
      <c r="E1101" s="9" t="s">
        <v>4751</v>
      </c>
      <c r="Q1101" s="1" t="str">
        <f aca="false">IF($A1101="","",IF(OR(F1101="",I1101=""),"",F1101-I1101))</f>
        <v/>
      </c>
      <c r="R1101" s="1" t="str">
        <f aca="false">IF($A1101="","",IF(Q1101="","",Q1101+IF(O1101="",0,O1101)))</f>
        <v/>
      </c>
      <c r="T1101" s="1" t="str">
        <f aca="false">IF($A1101="","",IF(R1101="","",R1101-IF(S1101="",0,S1101)))</f>
        <v/>
      </c>
      <c r="U1101" s="1" t="str">
        <f aca="false">IF($A1101="","",IF(I1101="","",I1101-SUM(J1101:P1101)))</f>
        <v/>
      </c>
      <c r="V1101" s="6" t="s">
        <v>4749</v>
      </c>
      <c r="W1101" s="9" t="s">
        <v>528</v>
      </c>
      <c r="X1101" s="9" t="s">
        <v>4753</v>
      </c>
      <c r="AC1101" s="9" t="s">
        <v>4369</v>
      </c>
      <c r="AD1101" s="9" t="s">
        <v>4370</v>
      </c>
      <c r="AE1101" s="9" t="s">
        <v>4371</v>
      </c>
    </row>
    <row r="1102" customFormat="false" ht="15" hidden="false" customHeight="true" outlineLevel="0" collapsed="false">
      <c r="A1102" s="6" t="s">
        <v>3922</v>
      </c>
      <c r="B1102" s="6" t="s">
        <v>440</v>
      </c>
      <c r="C1102" s="6" t="s">
        <v>446</v>
      </c>
      <c r="D1102" s="6" t="n">
        <v>6</v>
      </c>
      <c r="E1102" s="9" t="s">
        <v>4751</v>
      </c>
      <c r="Q1102" s="1" t="str">
        <f aca="false">IF($A1102="","",IF(OR(F1102="",I1102=""),"",F1102-I1102))</f>
        <v/>
      </c>
      <c r="R1102" s="1" t="str">
        <f aca="false">IF($A1102="","",IF(Q1102="","",Q1102+IF(O1102="",0,O1102)))</f>
        <v/>
      </c>
      <c r="T1102" s="1" t="str">
        <f aca="false">IF($A1102="","",IF(R1102="","",R1102-IF(S1102="",0,S1102)))</f>
        <v/>
      </c>
      <c r="U1102" s="1" t="str">
        <f aca="false">IF($A1102="","",IF(I1102="","",I1102-SUM(J1102:P1102)))</f>
        <v/>
      </c>
      <c r="V1102" s="6" t="s">
        <v>4749</v>
      </c>
      <c r="W1102" s="9" t="s">
        <v>528</v>
      </c>
      <c r="X1102" s="9" t="s">
        <v>4754</v>
      </c>
      <c r="AC1102" s="9" t="s">
        <v>4369</v>
      </c>
      <c r="AD1102" s="9" t="s">
        <v>4370</v>
      </c>
      <c r="AE1102" s="9" t="s">
        <v>4371</v>
      </c>
    </row>
    <row r="1103" customFormat="false" ht="15" hidden="false" customHeight="true" outlineLevel="0" collapsed="false">
      <c r="A1103" s="6" t="s">
        <v>3924</v>
      </c>
      <c r="B1103" s="6" t="s">
        <v>440</v>
      </c>
      <c r="C1103" s="6" t="s">
        <v>446</v>
      </c>
      <c r="D1103" s="6" t="n">
        <v>6</v>
      </c>
      <c r="E1103" s="9" t="s">
        <v>4396</v>
      </c>
      <c r="F1103" s="6" t="n">
        <v>45811</v>
      </c>
      <c r="G1103" s="6" t="n">
        <v>40625</v>
      </c>
      <c r="H1103" s="6" t="n">
        <v>5186</v>
      </c>
      <c r="I1103" s="6" t="n">
        <v>22881</v>
      </c>
      <c r="J1103" s="6" t="n">
        <v>4064</v>
      </c>
      <c r="K1103" s="6" t="n">
        <v>4835</v>
      </c>
      <c r="L1103" s="6" t="n">
        <v>4075</v>
      </c>
      <c r="M1103" s="6" t="n">
        <v>66</v>
      </c>
      <c r="N1103" s="6" t="n">
        <v>1660</v>
      </c>
      <c r="O1103" s="6" t="n">
        <v>7253</v>
      </c>
      <c r="P1103" s="6" t="n">
        <v>925</v>
      </c>
      <c r="Q1103" s="1" t="n">
        <f aca="false">IF($A1103="","",IF(OR(F1103="",I1103=""),"",F1103-I1103))</f>
        <v>22930</v>
      </c>
      <c r="R1103" s="1" t="n">
        <f aca="false">IF($A1103="","",IF(Q1103="","",Q1103+IF(O1103="",0,O1103)))</f>
        <v>30183</v>
      </c>
      <c r="T1103" s="1" t="n">
        <f aca="false">IF($A1103="","",IF(R1103="","",R1103-IF(S1103="",0,S1103)))</f>
        <v>30183</v>
      </c>
      <c r="U1103" s="1" t="n">
        <f aca="false">IF($A1103="","",IF(I1103="","",I1103-SUM(J1103:P1103)))</f>
        <v>3</v>
      </c>
      <c r="V1103" s="6" t="s">
        <v>4749</v>
      </c>
      <c r="W1103" s="9" t="s">
        <v>528</v>
      </c>
      <c r="X1103" s="9" t="s">
        <v>4750</v>
      </c>
      <c r="AC1103" s="9" t="s">
        <v>4369</v>
      </c>
      <c r="AD1103" s="9" t="s">
        <v>4370</v>
      </c>
      <c r="AE1103" s="9" t="s">
        <v>4371</v>
      </c>
    </row>
    <row r="1104" customFormat="false" ht="15" hidden="false" customHeight="true" outlineLevel="0" collapsed="false">
      <c r="A1104" s="6" t="s">
        <v>3926</v>
      </c>
      <c r="B1104" s="6" t="s">
        <v>440</v>
      </c>
      <c r="C1104" s="6" t="s">
        <v>446</v>
      </c>
      <c r="D1104" s="6" t="n">
        <v>6</v>
      </c>
      <c r="E1104" s="9" t="s">
        <v>4396</v>
      </c>
      <c r="F1104" s="6" t="n">
        <v>285696</v>
      </c>
      <c r="G1104" s="6" t="n">
        <v>268650</v>
      </c>
      <c r="H1104" s="6" t="n">
        <v>17045</v>
      </c>
      <c r="I1104" s="6" t="n">
        <v>212982</v>
      </c>
      <c r="J1104" s="6" t="n">
        <v>60220</v>
      </c>
      <c r="K1104" s="6" t="n">
        <v>24772</v>
      </c>
      <c r="L1104" s="6" t="n">
        <v>12639</v>
      </c>
      <c r="M1104" s="6" t="n">
        <v>436</v>
      </c>
      <c r="N1104" s="6" t="n">
        <v>7371</v>
      </c>
      <c r="O1104" s="6" t="n">
        <v>92890</v>
      </c>
      <c r="P1104" s="6" t="n">
        <v>14650</v>
      </c>
      <c r="Q1104" s="1" t="n">
        <f aca="false">IF($A1104="","",IF(OR(F1104="",I1104=""),"",F1104-I1104))</f>
        <v>72714</v>
      </c>
      <c r="R1104" s="1" t="n">
        <f aca="false">IF($A1104="","",IF(Q1104="","",Q1104+IF(O1104="",0,O1104)))</f>
        <v>165604</v>
      </c>
      <c r="T1104" s="1" t="n">
        <f aca="false">IF($A1104="","",IF(R1104="","",R1104-IF(S1104="",0,S1104)))</f>
        <v>165604</v>
      </c>
      <c r="U1104" s="1" t="n">
        <f aca="false">IF($A1104="","",IF(I1104="","",I1104-SUM(J1104:P1104)))</f>
        <v>4</v>
      </c>
      <c r="V1104" s="6" t="s">
        <v>4749</v>
      </c>
      <c r="W1104" s="9" t="s">
        <v>528</v>
      </c>
      <c r="X1104" s="9" t="s">
        <v>4750</v>
      </c>
      <c r="AC1104" s="9" t="s">
        <v>4369</v>
      </c>
      <c r="AD1104" s="9" t="s">
        <v>4370</v>
      </c>
      <c r="AE1104" s="9" t="s">
        <v>4371</v>
      </c>
    </row>
    <row r="1105" customFormat="false" ht="15" hidden="false" customHeight="true" outlineLevel="0" collapsed="false">
      <c r="A1105" s="6" t="s">
        <v>3928</v>
      </c>
      <c r="B1105" s="6" t="s">
        <v>440</v>
      </c>
      <c r="C1105" s="6" t="s">
        <v>446</v>
      </c>
      <c r="D1105" s="6" t="n">
        <v>6</v>
      </c>
      <c r="E1105" s="9" t="s">
        <v>4396</v>
      </c>
      <c r="F1105" s="6" t="n">
        <v>39812</v>
      </c>
      <c r="G1105" s="6" t="n">
        <v>37034</v>
      </c>
      <c r="H1105" s="6" t="n">
        <v>2777</v>
      </c>
      <c r="I1105" s="6" t="n">
        <v>12215</v>
      </c>
      <c r="J1105" s="6" t="n">
        <v>2979</v>
      </c>
      <c r="K1105" s="6" t="n">
        <v>2782</v>
      </c>
      <c r="L1105" s="6" t="n">
        <v>3169</v>
      </c>
      <c r="M1105" s="6" t="n">
        <v>38</v>
      </c>
      <c r="N1105" s="6" t="n">
        <v>732</v>
      </c>
      <c r="O1105" s="6" t="n">
        <v>1811</v>
      </c>
      <c r="P1105" s="6" t="n">
        <v>702</v>
      </c>
      <c r="Q1105" s="1" t="n">
        <f aca="false">IF($A1105="","",IF(OR(F1105="",I1105=""),"",F1105-I1105))</f>
        <v>27597</v>
      </c>
      <c r="R1105" s="1" t="n">
        <f aca="false">IF($A1105="","",IF(Q1105="","",Q1105+IF(O1105="",0,O1105)))</f>
        <v>29408</v>
      </c>
      <c r="T1105" s="1" t="n">
        <f aca="false">IF($A1105="","",IF(R1105="","",R1105-IF(S1105="",0,S1105)))</f>
        <v>29408</v>
      </c>
      <c r="U1105" s="1" t="n">
        <f aca="false">IF($A1105="","",IF(I1105="","",I1105-SUM(J1105:P1105)))</f>
        <v>2</v>
      </c>
      <c r="V1105" s="6" t="s">
        <v>4749</v>
      </c>
      <c r="W1105" s="9" t="s">
        <v>528</v>
      </c>
      <c r="X1105" s="9" t="s">
        <v>4750</v>
      </c>
      <c r="AC1105" s="9" t="s">
        <v>4369</v>
      </c>
      <c r="AD1105" s="9" t="s">
        <v>4370</v>
      </c>
      <c r="AE1105" s="9" t="s">
        <v>4371</v>
      </c>
    </row>
    <row r="1106" customFormat="false" ht="15" hidden="false" customHeight="true" outlineLevel="0" collapsed="false">
      <c r="A1106" s="6" t="s">
        <v>3930</v>
      </c>
      <c r="B1106" s="6" t="s">
        <v>440</v>
      </c>
      <c r="C1106" s="6" t="s">
        <v>446</v>
      </c>
      <c r="D1106" s="6" t="n">
        <v>6</v>
      </c>
      <c r="E1106" s="9" t="s">
        <v>4396</v>
      </c>
      <c r="F1106" s="6" t="n">
        <v>146081</v>
      </c>
      <c r="G1106" s="6" t="n">
        <v>130112</v>
      </c>
      <c r="H1106" s="6" t="n">
        <v>15968</v>
      </c>
      <c r="I1106" s="6" t="n">
        <v>73124</v>
      </c>
      <c r="J1106" s="6" t="n">
        <v>11584</v>
      </c>
      <c r="K1106" s="6" t="n">
        <v>15589</v>
      </c>
      <c r="L1106" s="6" t="n">
        <v>10580</v>
      </c>
      <c r="M1106" s="6" t="n">
        <v>227</v>
      </c>
      <c r="N1106" s="6" t="n">
        <v>1040</v>
      </c>
      <c r="O1106" s="6" t="n">
        <v>32967</v>
      </c>
      <c r="P1106" s="6" t="n">
        <v>1133</v>
      </c>
      <c r="Q1106" s="1" t="n">
        <f aca="false">IF($A1106="","",IF(OR(F1106="",I1106=""),"",F1106-I1106))</f>
        <v>72957</v>
      </c>
      <c r="R1106" s="1" t="n">
        <f aca="false">IF($A1106="","",IF(Q1106="","",Q1106+IF(O1106="",0,O1106)))</f>
        <v>105924</v>
      </c>
      <c r="T1106" s="1" t="n">
        <f aca="false">IF($A1106="","",IF(R1106="","",R1106-IF(S1106="",0,S1106)))</f>
        <v>105924</v>
      </c>
      <c r="U1106" s="1" t="n">
        <f aca="false">IF($A1106="","",IF(I1106="","",I1106-SUM(J1106:P1106)))</f>
        <v>4</v>
      </c>
      <c r="V1106" s="6" t="s">
        <v>4749</v>
      </c>
      <c r="W1106" s="9" t="s">
        <v>528</v>
      </c>
      <c r="X1106" s="9" t="s">
        <v>4750</v>
      </c>
      <c r="AC1106" s="9" t="s">
        <v>4369</v>
      </c>
      <c r="AD1106" s="9" t="s">
        <v>4370</v>
      </c>
      <c r="AE1106" s="9" t="s">
        <v>4371</v>
      </c>
    </row>
    <row r="1107" customFormat="false" ht="15" hidden="false" customHeight="true" outlineLevel="0" collapsed="false">
      <c r="A1107" s="6" t="s">
        <v>3932</v>
      </c>
      <c r="B1107" s="6" t="s">
        <v>440</v>
      </c>
      <c r="C1107" s="6" t="s">
        <v>446</v>
      </c>
      <c r="D1107" s="6" t="n">
        <v>6</v>
      </c>
      <c r="E1107" s="9" t="s">
        <v>4396</v>
      </c>
      <c r="F1107" s="6" t="n">
        <v>146410</v>
      </c>
      <c r="G1107" s="6" t="n">
        <v>135775</v>
      </c>
      <c r="H1107" s="6" t="n">
        <v>10634</v>
      </c>
      <c r="I1107" s="6" t="n">
        <v>57492</v>
      </c>
      <c r="J1107" s="6" t="n">
        <v>9443</v>
      </c>
      <c r="K1107" s="6" t="n">
        <v>8312</v>
      </c>
      <c r="L1107" s="6" t="n">
        <v>8852</v>
      </c>
      <c r="M1107" s="6" t="n">
        <v>200</v>
      </c>
      <c r="N1107" s="6" t="n">
        <v>815</v>
      </c>
      <c r="O1107" s="6" t="n">
        <v>28204</v>
      </c>
      <c r="P1107" s="6" t="n">
        <v>1663</v>
      </c>
      <c r="Q1107" s="1" t="n">
        <f aca="false">IF($A1107="","",IF(OR(F1107="",I1107=""),"",F1107-I1107))</f>
        <v>88918</v>
      </c>
      <c r="R1107" s="1" t="n">
        <f aca="false">IF($A1107="","",IF(Q1107="","",Q1107+IF(O1107="",0,O1107)))</f>
        <v>117122</v>
      </c>
      <c r="T1107" s="1" t="n">
        <f aca="false">IF($A1107="","",IF(R1107="","",R1107-IF(S1107="",0,S1107)))</f>
        <v>117122</v>
      </c>
      <c r="U1107" s="1" t="n">
        <f aca="false">IF($A1107="","",IF(I1107="","",I1107-SUM(J1107:P1107)))</f>
        <v>3</v>
      </c>
      <c r="V1107" s="6" t="s">
        <v>4749</v>
      </c>
      <c r="W1107" s="9" t="s">
        <v>528</v>
      </c>
      <c r="X1107" s="9" t="s">
        <v>4750</v>
      </c>
      <c r="AC1107" s="9" t="s">
        <v>4369</v>
      </c>
      <c r="AD1107" s="9" t="s">
        <v>4370</v>
      </c>
      <c r="AE1107" s="9" t="s">
        <v>4371</v>
      </c>
    </row>
    <row r="1108" customFormat="false" ht="15" hidden="false" customHeight="true" outlineLevel="0" collapsed="false">
      <c r="A1108" s="6" t="s">
        <v>3934</v>
      </c>
      <c r="B1108" s="6" t="s">
        <v>440</v>
      </c>
      <c r="C1108" s="6" t="s">
        <v>446</v>
      </c>
      <c r="D1108" s="6" t="n">
        <v>6</v>
      </c>
      <c r="E1108" s="9" t="s">
        <v>4396</v>
      </c>
      <c r="F1108" s="6" t="n">
        <v>96926</v>
      </c>
      <c r="G1108" s="6" t="n">
        <v>85032</v>
      </c>
      <c r="H1108" s="6" t="n">
        <v>11893</v>
      </c>
      <c r="I1108" s="6" t="n">
        <v>36941</v>
      </c>
      <c r="J1108" s="6" t="n">
        <v>9527</v>
      </c>
      <c r="K1108" s="6" t="n">
        <v>7077</v>
      </c>
      <c r="L1108" s="6" t="n">
        <v>7207</v>
      </c>
      <c r="M1108" s="6" t="n">
        <v>147</v>
      </c>
      <c r="N1108" s="6" t="n">
        <v>2939</v>
      </c>
      <c r="O1108" s="6" t="n">
        <v>9234</v>
      </c>
      <c r="P1108" s="6" t="n">
        <v>807</v>
      </c>
      <c r="Q1108" s="1" t="n">
        <f aca="false">IF($A1108="","",IF(OR(F1108="",I1108=""),"",F1108-I1108))</f>
        <v>59985</v>
      </c>
      <c r="R1108" s="1" t="n">
        <f aca="false">IF($A1108="","",IF(Q1108="","",Q1108+IF(O1108="",0,O1108)))</f>
        <v>69219</v>
      </c>
      <c r="T1108" s="1" t="n">
        <f aca="false">IF($A1108="","",IF(R1108="","",R1108-IF(S1108="",0,S1108)))</f>
        <v>69219</v>
      </c>
      <c r="U1108" s="1" t="n">
        <f aca="false">IF($A1108="","",IF(I1108="","",I1108-SUM(J1108:P1108)))</f>
        <v>3</v>
      </c>
      <c r="V1108" s="6" t="s">
        <v>4749</v>
      </c>
      <c r="W1108" s="9" t="s">
        <v>528</v>
      </c>
      <c r="X1108" s="9" t="s">
        <v>4750</v>
      </c>
      <c r="AC1108" s="9" t="s">
        <v>4369</v>
      </c>
      <c r="AD1108" s="9" t="s">
        <v>4370</v>
      </c>
      <c r="AE1108" s="9" t="s">
        <v>4371</v>
      </c>
    </row>
    <row r="1109" customFormat="false" ht="15" hidden="false" customHeight="true" outlineLevel="0" collapsed="false">
      <c r="A1109" s="6" t="s">
        <v>3936</v>
      </c>
      <c r="B1109" s="6" t="s">
        <v>440</v>
      </c>
      <c r="C1109" s="6" t="s">
        <v>446</v>
      </c>
      <c r="D1109" s="6" t="n">
        <v>6</v>
      </c>
      <c r="E1109" s="9" t="s">
        <v>4396</v>
      </c>
      <c r="F1109" s="6" t="n">
        <v>121475</v>
      </c>
      <c r="G1109" s="6" t="n">
        <v>106604</v>
      </c>
      <c r="H1109" s="6" t="n">
        <v>14870</v>
      </c>
      <c r="I1109" s="6" t="n">
        <v>41801</v>
      </c>
      <c r="J1109" s="6" t="n">
        <v>8734</v>
      </c>
      <c r="K1109" s="6" t="n">
        <v>10756</v>
      </c>
      <c r="L1109" s="6" t="n">
        <v>12045</v>
      </c>
      <c r="M1109" s="6" t="n">
        <v>148</v>
      </c>
      <c r="N1109" s="6" t="n">
        <v>1987</v>
      </c>
      <c r="O1109" s="6" t="n">
        <v>5536</v>
      </c>
      <c r="P1109" s="6" t="n">
        <v>2592</v>
      </c>
      <c r="Q1109" s="1" t="n">
        <f aca="false">IF($A1109="","",IF(OR(F1109="",I1109=""),"",F1109-I1109))</f>
        <v>79674</v>
      </c>
      <c r="R1109" s="1" t="n">
        <f aca="false">IF($A1109="","",IF(Q1109="","",Q1109+IF(O1109="",0,O1109)))</f>
        <v>85210</v>
      </c>
      <c r="T1109" s="1" t="n">
        <f aca="false">IF($A1109="","",IF(R1109="","",R1109-IF(S1109="",0,S1109)))</f>
        <v>85210</v>
      </c>
      <c r="U1109" s="1" t="n">
        <f aca="false">IF($A1109="","",IF(I1109="","",I1109-SUM(J1109:P1109)))</f>
        <v>3</v>
      </c>
      <c r="V1109" s="6" t="s">
        <v>4749</v>
      </c>
      <c r="W1109" s="9" t="s">
        <v>528</v>
      </c>
      <c r="X1109" s="9" t="s">
        <v>4750</v>
      </c>
      <c r="AC1109" s="9" t="s">
        <v>4369</v>
      </c>
      <c r="AD1109" s="9" t="s">
        <v>4370</v>
      </c>
      <c r="AE1109" s="9" t="s">
        <v>4371</v>
      </c>
    </row>
    <row r="1110" customFormat="false" ht="15" hidden="false" customHeight="true" outlineLevel="0" collapsed="false">
      <c r="A1110" s="6" t="s">
        <v>3938</v>
      </c>
      <c r="B1110" s="6" t="s">
        <v>440</v>
      </c>
      <c r="C1110" s="6" t="s">
        <v>446</v>
      </c>
      <c r="D1110" s="6" t="n">
        <v>6</v>
      </c>
      <c r="E1110" s="9" t="s">
        <v>4396</v>
      </c>
      <c r="F1110" s="6" t="n">
        <v>279410</v>
      </c>
      <c r="G1110" s="6" t="n">
        <v>263856</v>
      </c>
      <c r="H1110" s="6" t="n">
        <v>15554</v>
      </c>
      <c r="I1110" s="6" t="n">
        <v>95875</v>
      </c>
      <c r="J1110" s="6" t="n">
        <v>22149</v>
      </c>
      <c r="K1110" s="6" t="n">
        <v>13045</v>
      </c>
      <c r="L1110" s="6" t="n">
        <v>28791</v>
      </c>
      <c r="M1110" s="6" t="n">
        <v>284</v>
      </c>
      <c r="N1110" s="6" t="n">
        <v>985</v>
      </c>
      <c r="O1110" s="6" t="n">
        <v>28945</v>
      </c>
      <c r="P1110" s="6" t="n">
        <v>1672</v>
      </c>
      <c r="Q1110" s="1" t="n">
        <f aca="false">IF($A1110="","",IF(OR(F1110="",I1110=""),"",F1110-I1110))</f>
        <v>183535</v>
      </c>
      <c r="R1110" s="1" t="n">
        <f aca="false">IF($A1110="","",IF(Q1110="","",Q1110+IF(O1110="",0,O1110)))</f>
        <v>212480</v>
      </c>
      <c r="T1110" s="1" t="n">
        <f aca="false">IF($A1110="","",IF(R1110="","",R1110-IF(S1110="",0,S1110)))</f>
        <v>212480</v>
      </c>
      <c r="U1110" s="1" t="n">
        <f aca="false">IF($A1110="","",IF(I1110="","",I1110-SUM(J1110:P1110)))</f>
        <v>4</v>
      </c>
      <c r="V1110" s="6" t="s">
        <v>4749</v>
      </c>
      <c r="W1110" s="9" t="s">
        <v>528</v>
      </c>
      <c r="X1110" s="9" t="s">
        <v>4750</v>
      </c>
      <c r="AC1110" s="9" t="s">
        <v>4369</v>
      </c>
      <c r="AD1110" s="9" t="s">
        <v>4370</v>
      </c>
      <c r="AE1110" s="9" t="s">
        <v>4371</v>
      </c>
    </row>
    <row r="1111" customFormat="false" ht="15" hidden="false" customHeight="true" outlineLevel="0" collapsed="false">
      <c r="A1111" s="6" t="s">
        <v>3940</v>
      </c>
      <c r="B1111" s="6" t="s">
        <v>440</v>
      </c>
      <c r="C1111" s="6" t="s">
        <v>446</v>
      </c>
      <c r="D1111" s="6" t="n">
        <v>6</v>
      </c>
      <c r="E1111" s="9" t="s">
        <v>4751</v>
      </c>
      <c r="Q1111" s="1" t="str">
        <f aca="false">IF($A1111="","",IF(OR(F1111="",I1111=""),"",F1111-I1111))</f>
        <v/>
      </c>
      <c r="R1111" s="1" t="str">
        <f aca="false">IF($A1111="","",IF(Q1111="","",Q1111+IF(O1111="",0,O1111)))</f>
        <v/>
      </c>
      <c r="T1111" s="1" t="str">
        <f aca="false">IF($A1111="","",IF(R1111="","",R1111-IF(S1111="",0,S1111)))</f>
        <v/>
      </c>
      <c r="U1111" s="1" t="str">
        <f aca="false">IF($A1111="","",IF(I1111="","",I1111-SUM(J1111:P1111)))</f>
        <v/>
      </c>
      <c r="V1111" s="6" t="s">
        <v>4749</v>
      </c>
      <c r="W1111" s="9" t="s">
        <v>528</v>
      </c>
      <c r="X1111" s="9" t="s">
        <v>4755</v>
      </c>
      <c r="AC1111" s="9" t="s">
        <v>4369</v>
      </c>
      <c r="AD1111" s="9" t="s">
        <v>4370</v>
      </c>
      <c r="AE1111" s="9" t="s">
        <v>4371</v>
      </c>
    </row>
    <row r="1112" customFormat="false" ht="15" hidden="false" customHeight="true" outlineLevel="0" collapsed="false">
      <c r="A1112" s="6" t="s">
        <v>3942</v>
      </c>
      <c r="B1112" s="6" t="s">
        <v>440</v>
      </c>
      <c r="C1112" s="6" t="s">
        <v>446</v>
      </c>
      <c r="D1112" s="6" t="n">
        <v>6</v>
      </c>
      <c r="E1112" s="9" t="s">
        <v>4396</v>
      </c>
      <c r="F1112" s="6" t="n">
        <v>156772</v>
      </c>
      <c r="G1112" s="6" t="n">
        <v>142312</v>
      </c>
      <c r="H1112" s="6" t="n">
        <v>14460</v>
      </c>
      <c r="I1112" s="6" t="n">
        <v>42486</v>
      </c>
      <c r="J1112" s="6" t="n">
        <v>8263</v>
      </c>
      <c r="K1112" s="6" t="n">
        <v>11248</v>
      </c>
      <c r="L1112" s="6" t="n">
        <v>6667</v>
      </c>
      <c r="M1112" s="6" t="n">
        <v>169</v>
      </c>
      <c r="N1112" s="6" t="n">
        <v>449</v>
      </c>
      <c r="O1112" s="6" t="n">
        <v>14817</v>
      </c>
      <c r="P1112" s="6" t="n">
        <v>872</v>
      </c>
      <c r="Q1112" s="1" t="n">
        <f aca="false">IF($A1112="","",IF(OR(F1112="",I1112=""),"",F1112-I1112))</f>
        <v>114286</v>
      </c>
      <c r="R1112" s="1" t="n">
        <f aca="false">IF($A1112="","",IF(Q1112="","",Q1112+IF(O1112="",0,O1112)))</f>
        <v>129103</v>
      </c>
      <c r="T1112" s="1" t="n">
        <f aca="false">IF($A1112="","",IF(R1112="","",R1112-IF(S1112="",0,S1112)))</f>
        <v>129103</v>
      </c>
      <c r="U1112" s="1" t="n">
        <f aca="false">IF($A1112="","",IF(I1112="","",I1112-SUM(J1112:P1112)))</f>
        <v>1</v>
      </c>
      <c r="V1112" s="6" t="s">
        <v>4749</v>
      </c>
      <c r="W1112" s="9" t="s">
        <v>528</v>
      </c>
      <c r="X1112" s="9" t="s">
        <v>4750</v>
      </c>
      <c r="AC1112" s="9" t="s">
        <v>4369</v>
      </c>
      <c r="AD1112" s="9" t="s">
        <v>4370</v>
      </c>
      <c r="AE1112" s="9" t="s">
        <v>4371</v>
      </c>
    </row>
    <row r="1113" customFormat="false" ht="15" hidden="false" customHeight="true" outlineLevel="0" collapsed="false">
      <c r="A1113" s="6" t="s">
        <v>3944</v>
      </c>
      <c r="B1113" s="6" t="s">
        <v>440</v>
      </c>
      <c r="C1113" s="6" t="s">
        <v>446</v>
      </c>
      <c r="D1113" s="6" t="n">
        <v>6</v>
      </c>
      <c r="E1113" s="9" t="s">
        <v>4396</v>
      </c>
      <c r="F1113" s="6" t="n">
        <v>216827</v>
      </c>
      <c r="G1113" s="6" t="n">
        <v>198548</v>
      </c>
      <c r="H1113" s="6" t="n">
        <v>18279</v>
      </c>
      <c r="I1113" s="6" t="n">
        <v>67734</v>
      </c>
      <c r="J1113" s="6" t="n">
        <v>21387</v>
      </c>
      <c r="K1113" s="6" t="n">
        <v>12587</v>
      </c>
      <c r="L1113" s="6" t="n">
        <v>18029</v>
      </c>
      <c r="M1113" s="6" t="n">
        <v>224</v>
      </c>
      <c r="N1113" s="6" t="n">
        <v>3381</v>
      </c>
      <c r="O1113" s="6" t="n">
        <v>10904</v>
      </c>
      <c r="P1113" s="6" t="n">
        <v>1219</v>
      </c>
      <c r="Q1113" s="1" t="n">
        <f aca="false">IF($A1113="","",IF(OR(F1113="",I1113=""),"",F1113-I1113))</f>
        <v>149093</v>
      </c>
      <c r="R1113" s="1" t="n">
        <f aca="false">IF($A1113="","",IF(Q1113="","",Q1113+IF(O1113="",0,O1113)))</f>
        <v>159997</v>
      </c>
      <c r="T1113" s="1" t="n">
        <f aca="false">IF($A1113="","",IF(R1113="","",R1113-IF(S1113="",0,S1113)))</f>
        <v>159997</v>
      </c>
      <c r="U1113" s="1" t="n">
        <f aca="false">IF($A1113="","",IF(I1113="","",I1113-SUM(J1113:P1113)))</f>
        <v>3</v>
      </c>
      <c r="V1113" s="6" t="s">
        <v>4749</v>
      </c>
      <c r="W1113" s="9" t="s">
        <v>528</v>
      </c>
      <c r="X1113" s="9" t="s">
        <v>4750</v>
      </c>
      <c r="AC1113" s="9" t="s">
        <v>4369</v>
      </c>
      <c r="AD1113" s="9" t="s">
        <v>4370</v>
      </c>
      <c r="AE1113" s="9" t="s">
        <v>4371</v>
      </c>
    </row>
    <row r="1114" customFormat="false" ht="15" hidden="false" customHeight="true" outlineLevel="0" collapsed="false">
      <c r="A1114" s="6" t="s">
        <v>3946</v>
      </c>
      <c r="B1114" s="6" t="s">
        <v>440</v>
      </c>
      <c r="C1114" s="6" t="s">
        <v>446</v>
      </c>
      <c r="D1114" s="6" t="n">
        <v>6</v>
      </c>
      <c r="E1114" s="9" t="s">
        <v>4396</v>
      </c>
      <c r="F1114" s="6" t="n">
        <v>161311</v>
      </c>
      <c r="G1114" s="6" t="n">
        <v>148991</v>
      </c>
      <c r="H1114" s="6" t="n">
        <v>12319</v>
      </c>
      <c r="I1114" s="6" t="n">
        <v>45557</v>
      </c>
      <c r="J1114" s="6" t="n">
        <v>8686</v>
      </c>
      <c r="K1114" s="6" t="n">
        <v>10185</v>
      </c>
      <c r="L1114" s="6" t="n">
        <v>14443</v>
      </c>
      <c r="M1114" s="6" t="n">
        <v>193</v>
      </c>
      <c r="N1114" s="6" t="n">
        <v>452</v>
      </c>
      <c r="O1114" s="6" t="n">
        <v>10879</v>
      </c>
      <c r="P1114" s="6" t="n">
        <v>715</v>
      </c>
      <c r="Q1114" s="1" t="n">
        <f aca="false">IF($A1114="","",IF(OR(F1114="",I1114=""),"",F1114-I1114))</f>
        <v>115754</v>
      </c>
      <c r="R1114" s="1" t="n">
        <f aca="false">IF($A1114="","",IF(Q1114="","",Q1114+IF(O1114="",0,O1114)))</f>
        <v>126633</v>
      </c>
      <c r="T1114" s="1" t="n">
        <f aca="false">IF($A1114="","",IF(R1114="","",R1114-IF(S1114="",0,S1114)))</f>
        <v>126633</v>
      </c>
      <c r="U1114" s="1" t="n">
        <f aca="false">IF($A1114="","",IF(I1114="","",I1114-SUM(J1114:P1114)))</f>
        <v>4</v>
      </c>
      <c r="V1114" s="6" t="s">
        <v>4749</v>
      </c>
      <c r="W1114" s="9" t="s">
        <v>528</v>
      </c>
      <c r="X1114" s="9" t="s">
        <v>4750</v>
      </c>
      <c r="AC1114" s="9" t="s">
        <v>4369</v>
      </c>
      <c r="AD1114" s="9" t="s">
        <v>4370</v>
      </c>
      <c r="AE1114" s="9" t="s">
        <v>4371</v>
      </c>
    </row>
    <row r="1115" customFormat="false" ht="15" hidden="false" customHeight="true" outlineLevel="0" collapsed="false">
      <c r="A1115" s="6" t="s">
        <v>3948</v>
      </c>
      <c r="B1115" s="6" t="s">
        <v>440</v>
      </c>
      <c r="C1115" s="6" t="s">
        <v>446</v>
      </c>
      <c r="D1115" s="6" t="n">
        <v>6</v>
      </c>
      <c r="E1115" s="9" t="s">
        <v>4396</v>
      </c>
      <c r="F1115" s="6" t="n">
        <v>150696</v>
      </c>
      <c r="G1115" s="6" t="n">
        <v>131678</v>
      </c>
      <c r="H1115" s="6" t="n">
        <v>19017</v>
      </c>
      <c r="I1115" s="6" t="n">
        <v>69584</v>
      </c>
      <c r="J1115" s="6" t="n">
        <v>10481</v>
      </c>
      <c r="K1115" s="6" t="n">
        <v>14617</v>
      </c>
      <c r="L1115" s="6" t="n">
        <v>11111</v>
      </c>
      <c r="M1115" s="6" t="n">
        <v>170</v>
      </c>
      <c r="N1115" s="6" t="n">
        <v>10864</v>
      </c>
      <c r="O1115" s="6" t="n">
        <v>21737</v>
      </c>
      <c r="P1115" s="6" t="n">
        <v>600</v>
      </c>
      <c r="Q1115" s="1" t="n">
        <f aca="false">IF($A1115="","",IF(OR(F1115="",I1115=""),"",F1115-I1115))</f>
        <v>81112</v>
      </c>
      <c r="R1115" s="1" t="n">
        <f aca="false">IF($A1115="","",IF(Q1115="","",Q1115+IF(O1115="",0,O1115)))</f>
        <v>102849</v>
      </c>
      <c r="T1115" s="1" t="n">
        <f aca="false">IF($A1115="","",IF(R1115="","",R1115-IF(S1115="",0,S1115)))</f>
        <v>102849</v>
      </c>
      <c r="U1115" s="1" t="n">
        <f aca="false">IF($A1115="","",IF(I1115="","",I1115-SUM(J1115:P1115)))</f>
        <v>4</v>
      </c>
      <c r="V1115" s="6" t="s">
        <v>4749</v>
      </c>
      <c r="W1115" s="9" t="s">
        <v>528</v>
      </c>
      <c r="X1115" s="9" t="s">
        <v>4750</v>
      </c>
      <c r="AC1115" s="9" t="s">
        <v>4369</v>
      </c>
      <c r="AD1115" s="9" t="s">
        <v>4370</v>
      </c>
      <c r="AE1115" s="9" t="s">
        <v>4371</v>
      </c>
    </row>
    <row r="1116" customFormat="false" ht="15" hidden="false" customHeight="true" outlineLevel="0" collapsed="false">
      <c r="A1116" s="6" t="s">
        <v>3950</v>
      </c>
      <c r="B1116" s="6" t="s">
        <v>440</v>
      </c>
      <c r="C1116" s="6" t="s">
        <v>446</v>
      </c>
      <c r="D1116" s="6" t="n">
        <v>6</v>
      </c>
      <c r="E1116" s="9" t="s">
        <v>4396</v>
      </c>
      <c r="F1116" s="6" t="n">
        <v>320170</v>
      </c>
      <c r="G1116" s="6" t="n">
        <v>292017</v>
      </c>
      <c r="H1116" s="6" t="n">
        <v>28153</v>
      </c>
      <c r="I1116" s="6" t="n">
        <v>123025</v>
      </c>
      <c r="J1116" s="6" t="n">
        <v>32021</v>
      </c>
      <c r="K1116" s="6" t="n">
        <v>21530</v>
      </c>
      <c r="L1116" s="6" t="n">
        <v>35123</v>
      </c>
      <c r="M1116" s="6" t="n">
        <v>578</v>
      </c>
      <c r="N1116" s="6" t="n">
        <v>4779</v>
      </c>
      <c r="O1116" s="6" t="n">
        <v>26884</v>
      </c>
      <c r="P1116" s="6" t="n">
        <v>2108</v>
      </c>
      <c r="Q1116" s="1" t="n">
        <f aca="false">IF($A1116="","",IF(OR(F1116="",I1116=""),"",F1116-I1116))</f>
        <v>197145</v>
      </c>
      <c r="R1116" s="1" t="n">
        <f aca="false">IF($A1116="","",IF(Q1116="","",Q1116+IF(O1116="",0,O1116)))</f>
        <v>224029</v>
      </c>
      <c r="T1116" s="1" t="n">
        <f aca="false">IF($A1116="","",IF(R1116="","",R1116-IF(S1116="",0,S1116)))</f>
        <v>224029</v>
      </c>
      <c r="U1116" s="1" t="n">
        <f aca="false">IF($A1116="","",IF(I1116="","",I1116-SUM(J1116:P1116)))</f>
        <v>2</v>
      </c>
      <c r="V1116" s="6" t="s">
        <v>4749</v>
      </c>
      <c r="W1116" s="9" t="s">
        <v>528</v>
      </c>
      <c r="X1116" s="9" t="s">
        <v>4750</v>
      </c>
      <c r="AC1116" s="9" t="s">
        <v>4369</v>
      </c>
      <c r="AD1116" s="9" t="s">
        <v>4370</v>
      </c>
      <c r="AE1116" s="9" t="s">
        <v>4371</v>
      </c>
    </row>
    <row r="1117" customFormat="false" ht="15" hidden="false" customHeight="true" outlineLevel="0" collapsed="false">
      <c r="A1117" s="6" t="s">
        <v>3952</v>
      </c>
      <c r="B1117" s="6" t="s">
        <v>440</v>
      </c>
      <c r="C1117" s="6" t="s">
        <v>446</v>
      </c>
      <c r="D1117" s="6" t="n">
        <v>6</v>
      </c>
      <c r="E1117" s="9" t="s">
        <v>4751</v>
      </c>
      <c r="Q1117" s="1" t="str">
        <f aca="false">IF($A1117="","",IF(OR(F1117="",I1117=""),"",F1117-I1117))</f>
        <v/>
      </c>
      <c r="R1117" s="1" t="str">
        <f aca="false">IF($A1117="","",IF(Q1117="","",Q1117+IF(O1117="",0,O1117)))</f>
        <v/>
      </c>
      <c r="T1117" s="1" t="str">
        <f aca="false">IF($A1117="","",IF(R1117="","",R1117-IF(S1117="",0,S1117)))</f>
        <v/>
      </c>
      <c r="U1117" s="1" t="str">
        <f aca="false">IF($A1117="","",IF(I1117="","",I1117-SUM(J1117:P1117)))</f>
        <v/>
      </c>
      <c r="V1117" s="6" t="s">
        <v>4749</v>
      </c>
      <c r="W1117" s="9" t="s">
        <v>528</v>
      </c>
      <c r="X1117" s="9" t="s">
        <v>4756</v>
      </c>
      <c r="AC1117" s="9" t="s">
        <v>4369</v>
      </c>
      <c r="AD1117" s="9" t="s">
        <v>4370</v>
      </c>
      <c r="AE1117" s="9" t="s">
        <v>4371</v>
      </c>
    </row>
    <row r="1118" customFormat="false" ht="15" hidden="false" customHeight="true" outlineLevel="0" collapsed="false">
      <c r="A1118" s="6" t="s">
        <v>3954</v>
      </c>
      <c r="B1118" s="6" t="s">
        <v>440</v>
      </c>
      <c r="C1118" s="6" t="s">
        <v>446</v>
      </c>
      <c r="D1118" s="6" t="n">
        <v>6</v>
      </c>
      <c r="E1118" s="9" t="s">
        <v>4751</v>
      </c>
      <c r="Q1118" s="1" t="str">
        <f aca="false">IF($A1118="","",IF(OR(F1118="",I1118=""),"",F1118-I1118))</f>
        <v/>
      </c>
      <c r="R1118" s="1" t="str">
        <f aca="false">IF($A1118="","",IF(Q1118="","",Q1118+IF(O1118="",0,O1118)))</f>
        <v/>
      </c>
      <c r="T1118" s="1" t="str">
        <f aca="false">IF($A1118="","",IF(R1118="","",R1118-IF(S1118="",0,S1118)))</f>
        <v/>
      </c>
      <c r="U1118" s="1" t="str">
        <f aca="false">IF($A1118="","",IF(I1118="","",I1118-SUM(J1118:P1118)))</f>
        <v/>
      </c>
      <c r="V1118" s="6" t="s">
        <v>4749</v>
      </c>
      <c r="W1118" s="9" t="s">
        <v>528</v>
      </c>
      <c r="X1118" s="9" t="s">
        <v>4757</v>
      </c>
      <c r="AC1118" s="9" t="s">
        <v>4369</v>
      </c>
      <c r="AD1118" s="9" t="s">
        <v>4370</v>
      </c>
      <c r="AE1118" s="9" t="s">
        <v>4371</v>
      </c>
    </row>
    <row r="1119" customFormat="false" ht="15" hidden="false" customHeight="true" outlineLevel="0" collapsed="false">
      <c r="A1119" s="6" t="s">
        <v>3956</v>
      </c>
      <c r="B1119" s="6" t="s">
        <v>440</v>
      </c>
      <c r="C1119" s="6" t="s">
        <v>446</v>
      </c>
      <c r="D1119" s="6" t="n">
        <v>6</v>
      </c>
      <c r="E1119" s="9" t="s">
        <v>4396</v>
      </c>
      <c r="F1119" s="6" t="n">
        <v>447179</v>
      </c>
      <c r="G1119" s="6" t="n">
        <v>430895</v>
      </c>
      <c r="H1119" s="6" t="n">
        <v>16283</v>
      </c>
      <c r="I1119" s="6" t="n">
        <v>46348</v>
      </c>
      <c r="J1119" s="6" t="n">
        <v>16953</v>
      </c>
      <c r="K1119" s="6" t="n">
        <v>11885</v>
      </c>
      <c r="L1119" s="6" t="n">
        <v>0</v>
      </c>
      <c r="M1119" s="6" t="n">
        <v>318</v>
      </c>
      <c r="N1119" s="6" t="n">
        <v>1532</v>
      </c>
      <c r="O1119" s="6" t="n">
        <v>14039</v>
      </c>
      <c r="P1119" s="6" t="n">
        <v>1618</v>
      </c>
      <c r="Q1119" s="1" t="n">
        <f aca="false">IF($A1119="","",IF(OR(F1119="",I1119=""),"",F1119-I1119))</f>
        <v>400831</v>
      </c>
      <c r="R1119" s="1" t="n">
        <f aca="false">IF($A1119="","",IF(Q1119="","",Q1119+IF(O1119="",0,O1119)))</f>
        <v>414870</v>
      </c>
      <c r="T1119" s="1" t="n">
        <f aca="false">IF($A1119="","",IF(R1119="","",R1119-IF(S1119="",0,S1119)))</f>
        <v>414870</v>
      </c>
      <c r="U1119" s="1" t="n">
        <f aca="false">IF($A1119="","",IF(I1119="","",I1119-SUM(J1119:P1119)))</f>
        <v>3</v>
      </c>
      <c r="V1119" s="6" t="s">
        <v>4749</v>
      </c>
      <c r="W1119" s="9" t="s">
        <v>528</v>
      </c>
      <c r="X1119" s="9" t="s">
        <v>4750</v>
      </c>
      <c r="AC1119" s="9" t="s">
        <v>4369</v>
      </c>
      <c r="AD1119" s="9" t="s">
        <v>4370</v>
      </c>
      <c r="AE1119" s="9" t="s">
        <v>4371</v>
      </c>
    </row>
    <row r="1120" customFormat="false" ht="15" hidden="false" customHeight="true" outlineLevel="0" collapsed="false">
      <c r="A1120" s="6" t="s">
        <v>3959</v>
      </c>
      <c r="B1120" s="6" t="s">
        <v>440</v>
      </c>
      <c r="C1120" s="6" t="s">
        <v>446</v>
      </c>
      <c r="D1120" s="6" t="n">
        <v>6</v>
      </c>
      <c r="E1120" s="9" t="s">
        <v>4396</v>
      </c>
      <c r="F1120" s="6" t="n">
        <v>312000</v>
      </c>
      <c r="G1120" s="6" t="n">
        <v>312000</v>
      </c>
      <c r="H1120" s="6" t="n">
        <v>0</v>
      </c>
      <c r="I1120" s="6" t="n">
        <v>88682</v>
      </c>
      <c r="J1120" s="6" t="n">
        <v>6240</v>
      </c>
      <c r="K1120" s="6" t="n">
        <v>0</v>
      </c>
      <c r="L1120" s="6" t="n">
        <v>37996</v>
      </c>
      <c r="M1120" s="6" t="n">
        <v>425</v>
      </c>
      <c r="N1120" s="6" t="n">
        <v>0</v>
      </c>
      <c r="O1120" s="6" t="n">
        <v>43515</v>
      </c>
      <c r="P1120" s="6" t="n">
        <v>505</v>
      </c>
      <c r="Q1120" s="1" t="n">
        <f aca="false">IF($A1120="","",IF(OR(F1120="",I1120=""),"",F1120-I1120))</f>
        <v>223318</v>
      </c>
      <c r="R1120" s="1" t="n">
        <f aca="false">IF($A1120="","",IF(Q1120="","",Q1120+IF(O1120="",0,O1120)))</f>
        <v>266833</v>
      </c>
      <c r="T1120" s="1" t="n">
        <f aca="false">IF($A1120="","",IF(R1120="","",R1120-IF(S1120="",0,S1120)))</f>
        <v>266833</v>
      </c>
      <c r="U1120" s="1" t="n">
        <f aca="false">IF($A1120="","",IF(I1120="","",I1120-SUM(J1120:P1120)))</f>
        <v>1</v>
      </c>
      <c r="V1120" s="6" t="s">
        <v>4749</v>
      </c>
      <c r="W1120" s="9" t="s">
        <v>528</v>
      </c>
      <c r="X1120" s="9" t="s">
        <v>4750</v>
      </c>
      <c r="AC1120" s="9" t="s">
        <v>4369</v>
      </c>
      <c r="AD1120" s="9" t="s">
        <v>4370</v>
      </c>
      <c r="AE1120" s="9" t="s">
        <v>4371</v>
      </c>
    </row>
    <row r="1121" customFormat="false" ht="15" hidden="false" customHeight="true" outlineLevel="0" collapsed="false">
      <c r="A1121" s="6" t="s">
        <v>3961</v>
      </c>
      <c r="B1121" s="6" t="s">
        <v>440</v>
      </c>
      <c r="C1121" s="6" t="s">
        <v>446</v>
      </c>
      <c r="D1121" s="6" t="n">
        <v>6</v>
      </c>
      <c r="E1121" s="9" t="s">
        <v>4396</v>
      </c>
      <c r="F1121" s="6" t="n">
        <v>218931</v>
      </c>
      <c r="G1121" s="6" t="n">
        <v>218931</v>
      </c>
      <c r="H1121" s="6" t="n">
        <v>0</v>
      </c>
      <c r="I1121" s="6" t="n">
        <v>83597</v>
      </c>
      <c r="J1121" s="6" t="n">
        <v>4378</v>
      </c>
      <c r="K1121" s="6" t="n">
        <v>0</v>
      </c>
      <c r="L1121" s="6" t="n">
        <v>41723</v>
      </c>
      <c r="M1121" s="6" t="n">
        <v>1722</v>
      </c>
      <c r="N1121" s="6" t="n">
        <v>824</v>
      </c>
      <c r="O1121" s="6" t="n">
        <v>27022</v>
      </c>
      <c r="P1121" s="6" t="n">
        <v>7925</v>
      </c>
      <c r="Q1121" s="1" t="n">
        <f aca="false">IF($A1121="","",IF(OR(F1121="",I1121=""),"",F1121-I1121))</f>
        <v>135334</v>
      </c>
      <c r="R1121" s="1" t="n">
        <f aca="false">IF($A1121="","",IF(Q1121="","",Q1121+IF(O1121="",0,O1121)))</f>
        <v>162356</v>
      </c>
      <c r="T1121" s="1" t="n">
        <f aca="false">IF($A1121="","",IF(R1121="","",R1121-IF(S1121="",0,S1121)))</f>
        <v>162356</v>
      </c>
      <c r="U1121" s="1" t="n">
        <f aca="false">IF($A1121="","",IF(I1121="","",I1121-SUM(J1121:P1121)))</f>
        <v>3</v>
      </c>
      <c r="V1121" s="6" t="s">
        <v>4749</v>
      </c>
      <c r="W1121" s="9" t="s">
        <v>528</v>
      </c>
      <c r="X1121" s="9" t="s">
        <v>4750</v>
      </c>
      <c r="AC1121" s="9" t="s">
        <v>4369</v>
      </c>
      <c r="AD1121" s="9" t="s">
        <v>4370</v>
      </c>
      <c r="AE1121" s="9" t="s">
        <v>4371</v>
      </c>
    </row>
    <row r="1122" customFormat="false" ht="15" hidden="false" customHeight="true" outlineLevel="0" collapsed="false">
      <c r="A1122" s="6" t="s">
        <v>3963</v>
      </c>
      <c r="B1122" s="6" t="s">
        <v>440</v>
      </c>
      <c r="C1122" s="6" t="s">
        <v>446</v>
      </c>
      <c r="D1122" s="6" t="n">
        <v>6</v>
      </c>
      <c r="E1122" s="9" t="s">
        <v>4396</v>
      </c>
      <c r="F1122" s="6" t="n">
        <v>88945</v>
      </c>
      <c r="G1122" s="6" t="n">
        <v>82246</v>
      </c>
      <c r="H1122" s="6" t="n">
        <v>6698</v>
      </c>
      <c r="I1122" s="6" t="n">
        <v>25053</v>
      </c>
      <c r="J1122" s="6" t="n">
        <v>3237</v>
      </c>
      <c r="K1122" s="6" t="n">
        <v>5144</v>
      </c>
      <c r="L1122" s="6" t="n">
        <v>8297</v>
      </c>
      <c r="M1122" s="6" t="n">
        <v>62</v>
      </c>
      <c r="N1122" s="6" t="n">
        <v>1241</v>
      </c>
      <c r="O1122" s="6" t="n">
        <v>5815</v>
      </c>
      <c r="P1122" s="6" t="n">
        <v>1254</v>
      </c>
      <c r="Q1122" s="1" t="n">
        <f aca="false">IF($A1122="","",IF(OR(F1122="",I1122=""),"",F1122-I1122))</f>
        <v>63892</v>
      </c>
      <c r="R1122" s="1" t="n">
        <f aca="false">IF($A1122="","",IF(Q1122="","",Q1122+IF(O1122="",0,O1122)))</f>
        <v>69707</v>
      </c>
      <c r="T1122" s="1" t="n">
        <f aca="false">IF($A1122="","",IF(R1122="","",R1122-IF(S1122="",0,S1122)))</f>
        <v>69707</v>
      </c>
      <c r="U1122" s="1" t="n">
        <f aca="false">IF($A1122="","",IF(I1122="","",I1122-SUM(J1122:P1122)))</f>
        <v>3</v>
      </c>
      <c r="V1122" s="6" t="s">
        <v>4749</v>
      </c>
      <c r="W1122" s="9" t="s">
        <v>528</v>
      </c>
      <c r="X1122" s="9" t="s">
        <v>4750</v>
      </c>
      <c r="AC1122" s="9" t="s">
        <v>4369</v>
      </c>
      <c r="AD1122" s="9" t="s">
        <v>4370</v>
      </c>
      <c r="AE1122" s="9" t="s">
        <v>4371</v>
      </c>
    </row>
    <row r="1123" customFormat="false" ht="15" hidden="false" customHeight="true" outlineLevel="0" collapsed="false">
      <c r="A1123" s="6" t="s">
        <v>3965</v>
      </c>
      <c r="B1123" s="6" t="s">
        <v>440</v>
      </c>
      <c r="C1123" s="6" t="s">
        <v>446</v>
      </c>
      <c r="D1123" s="6" t="n">
        <v>6</v>
      </c>
      <c r="E1123" s="9" t="s">
        <v>4396</v>
      </c>
      <c r="F1123" s="6" t="n">
        <v>55821</v>
      </c>
      <c r="G1123" s="6" t="n">
        <v>47506</v>
      </c>
      <c r="H1123" s="6" t="n">
        <v>8314</v>
      </c>
      <c r="I1123" s="6" t="n">
        <v>25516</v>
      </c>
      <c r="J1123" s="6" t="n">
        <v>4576</v>
      </c>
      <c r="K1123" s="6" t="n">
        <v>6660</v>
      </c>
      <c r="L1123" s="6" t="n">
        <v>4670</v>
      </c>
      <c r="M1123" s="6" t="n">
        <v>74</v>
      </c>
      <c r="N1123" s="6" t="n">
        <v>2652</v>
      </c>
      <c r="O1123" s="6" t="n">
        <v>5707</v>
      </c>
      <c r="P1123" s="6" t="n">
        <v>1175</v>
      </c>
      <c r="Q1123" s="1" t="n">
        <f aca="false">IF($A1123="","",IF(OR(F1123="",I1123=""),"",F1123-I1123))</f>
        <v>30305</v>
      </c>
      <c r="R1123" s="1" t="n">
        <f aca="false">IF($A1123="","",IF(Q1123="","",Q1123+IF(O1123="",0,O1123)))</f>
        <v>36012</v>
      </c>
      <c r="T1123" s="1" t="n">
        <f aca="false">IF($A1123="","",IF(R1123="","",R1123-IF(S1123="",0,S1123)))</f>
        <v>36012</v>
      </c>
      <c r="U1123" s="1" t="n">
        <f aca="false">IF($A1123="","",IF(I1123="","",I1123-SUM(J1123:P1123)))</f>
        <v>2</v>
      </c>
      <c r="V1123" s="6" t="s">
        <v>4749</v>
      </c>
      <c r="W1123" s="9" t="s">
        <v>528</v>
      </c>
      <c r="X1123" s="9" t="s">
        <v>4750</v>
      </c>
      <c r="AC1123" s="9" t="s">
        <v>4369</v>
      </c>
      <c r="AD1123" s="9" t="s">
        <v>4370</v>
      </c>
      <c r="AE1123" s="9" t="s">
        <v>4371</v>
      </c>
    </row>
    <row r="1124" customFormat="false" ht="15" hidden="false" customHeight="true" outlineLevel="0" collapsed="false">
      <c r="A1124" s="6" t="s">
        <v>3967</v>
      </c>
      <c r="B1124" s="6" t="s">
        <v>440</v>
      </c>
      <c r="C1124" s="6" t="s">
        <v>446</v>
      </c>
      <c r="D1124" s="6" t="n">
        <v>6</v>
      </c>
      <c r="E1124" s="9" t="s">
        <v>4396</v>
      </c>
      <c r="F1124" s="6" t="n">
        <v>71038</v>
      </c>
      <c r="G1124" s="6" t="n">
        <v>63599</v>
      </c>
      <c r="H1124" s="6" t="n">
        <v>7438</v>
      </c>
      <c r="I1124" s="6" t="n">
        <v>25229</v>
      </c>
      <c r="J1124" s="6" t="n">
        <v>2989</v>
      </c>
      <c r="K1124" s="6" t="n">
        <v>6247</v>
      </c>
      <c r="L1124" s="6" t="n">
        <v>4852</v>
      </c>
      <c r="M1124" s="6" t="n">
        <v>50</v>
      </c>
      <c r="N1124" s="6" t="n">
        <v>1149</v>
      </c>
      <c r="O1124" s="6" t="n">
        <v>8696</v>
      </c>
      <c r="P1124" s="6" t="n">
        <v>1241</v>
      </c>
      <c r="Q1124" s="1" t="n">
        <f aca="false">IF($A1124="","",IF(OR(F1124="",I1124=""),"",F1124-I1124))</f>
        <v>45809</v>
      </c>
      <c r="R1124" s="1" t="n">
        <f aca="false">IF($A1124="","",IF(Q1124="","",Q1124+IF(O1124="",0,O1124)))</f>
        <v>54505</v>
      </c>
      <c r="T1124" s="1" t="n">
        <f aca="false">IF($A1124="","",IF(R1124="","",R1124-IF(S1124="",0,S1124)))</f>
        <v>54505</v>
      </c>
      <c r="U1124" s="1" t="n">
        <f aca="false">IF($A1124="","",IF(I1124="","",I1124-SUM(J1124:P1124)))</f>
        <v>5</v>
      </c>
      <c r="V1124" s="6" t="s">
        <v>4749</v>
      </c>
      <c r="W1124" s="9" t="s">
        <v>528</v>
      </c>
      <c r="X1124" s="9" t="s">
        <v>4750</v>
      </c>
      <c r="AC1124" s="9" t="s">
        <v>4369</v>
      </c>
      <c r="AD1124" s="9" t="s">
        <v>4370</v>
      </c>
      <c r="AE1124" s="9" t="s">
        <v>4371</v>
      </c>
    </row>
    <row r="1125" customFormat="false" ht="15" hidden="false" customHeight="true" outlineLevel="0" collapsed="false">
      <c r="A1125" s="6" t="s">
        <v>3969</v>
      </c>
      <c r="B1125" s="6" t="s">
        <v>440</v>
      </c>
      <c r="C1125" s="6" t="s">
        <v>446</v>
      </c>
      <c r="D1125" s="6" t="n">
        <v>6</v>
      </c>
      <c r="E1125" s="9" t="s">
        <v>4396</v>
      </c>
      <c r="F1125" s="6" t="n">
        <v>84966</v>
      </c>
      <c r="G1125" s="6" t="n">
        <v>77020</v>
      </c>
      <c r="H1125" s="6" t="n">
        <v>7946</v>
      </c>
      <c r="I1125" s="6" t="n">
        <v>33127</v>
      </c>
      <c r="J1125" s="6" t="n">
        <v>5887</v>
      </c>
      <c r="K1125" s="6" t="n">
        <v>6800</v>
      </c>
      <c r="L1125" s="6" t="n">
        <v>5702</v>
      </c>
      <c r="M1125" s="6" t="n">
        <v>92</v>
      </c>
      <c r="N1125" s="6" t="n">
        <v>511</v>
      </c>
      <c r="O1125" s="6" t="n">
        <v>13081</v>
      </c>
      <c r="P1125" s="6" t="n">
        <v>1050</v>
      </c>
      <c r="Q1125" s="1" t="n">
        <f aca="false">IF($A1125="","",IF(OR(F1125="",I1125=""),"",F1125-I1125))</f>
        <v>51839</v>
      </c>
      <c r="R1125" s="1" t="n">
        <f aca="false">IF($A1125="","",IF(Q1125="","",Q1125+IF(O1125="",0,O1125)))</f>
        <v>64920</v>
      </c>
      <c r="T1125" s="1" t="n">
        <f aca="false">IF($A1125="","",IF(R1125="","",R1125-IF(S1125="",0,S1125)))</f>
        <v>64920</v>
      </c>
      <c r="U1125" s="1" t="n">
        <f aca="false">IF($A1125="","",IF(I1125="","",I1125-SUM(J1125:P1125)))</f>
        <v>4</v>
      </c>
      <c r="V1125" s="6" t="s">
        <v>4749</v>
      </c>
      <c r="W1125" s="9" t="s">
        <v>528</v>
      </c>
      <c r="X1125" s="9" t="s">
        <v>4750</v>
      </c>
      <c r="AC1125" s="9" t="s">
        <v>4369</v>
      </c>
      <c r="AD1125" s="9" t="s">
        <v>4370</v>
      </c>
      <c r="AE1125" s="9" t="s">
        <v>4371</v>
      </c>
    </row>
    <row r="1126" customFormat="false" ht="15" hidden="false" customHeight="true" outlineLevel="0" collapsed="false">
      <c r="A1126" s="6" t="s">
        <v>3971</v>
      </c>
      <c r="B1126" s="6" t="s">
        <v>440</v>
      </c>
      <c r="C1126" s="6" t="s">
        <v>446</v>
      </c>
      <c r="D1126" s="6" t="n">
        <v>6</v>
      </c>
      <c r="E1126" s="9" t="s">
        <v>4396</v>
      </c>
      <c r="F1126" s="6" t="n">
        <v>246445</v>
      </c>
      <c r="G1126" s="6" t="n">
        <v>219172</v>
      </c>
      <c r="H1126" s="6" t="n">
        <v>27273</v>
      </c>
      <c r="I1126" s="6" t="n">
        <v>135165</v>
      </c>
      <c r="J1126" s="6" t="n">
        <v>27137</v>
      </c>
      <c r="K1126" s="6" t="n">
        <v>24181</v>
      </c>
      <c r="L1126" s="6" t="n">
        <v>22644</v>
      </c>
      <c r="M1126" s="6" t="n">
        <v>369</v>
      </c>
      <c r="N1126" s="6" t="n">
        <v>1177</v>
      </c>
      <c r="O1126" s="6" t="n">
        <v>52938</v>
      </c>
      <c r="P1126" s="6" t="n">
        <v>6717</v>
      </c>
      <c r="Q1126" s="1" t="n">
        <f aca="false">IF($A1126="","",IF(OR(F1126="",I1126=""),"",F1126-I1126))</f>
        <v>111280</v>
      </c>
      <c r="R1126" s="1" t="n">
        <f aca="false">IF($A1126="","",IF(Q1126="","",Q1126+IF(O1126="",0,O1126)))</f>
        <v>164218</v>
      </c>
      <c r="T1126" s="1" t="n">
        <f aca="false">IF($A1126="","",IF(R1126="","",R1126-IF(S1126="",0,S1126)))</f>
        <v>164218</v>
      </c>
      <c r="U1126" s="1" t="n">
        <f aca="false">IF($A1126="","",IF(I1126="","",I1126-SUM(J1126:P1126)))</f>
        <v>2</v>
      </c>
      <c r="V1126" s="6" t="s">
        <v>4749</v>
      </c>
      <c r="W1126" s="9" t="s">
        <v>528</v>
      </c>
      <c r="X1126" s="9" t="s">
        <v>4750</v>
      </c>
      <c r="AC1126" s="9" t="s">
        <v>4369</v>
      </c>
      <c r="AD1126" s="9" t="s">
        <v>4370</v>
      </c>
      <c r="AE1126" s="9" t="s">
        <v>4371</v>
      </c>
    </row>
    <row r="1127" customFormat="false" ht="15" hidden="false" customHeight="true" outlineLevel="0" collapsed="false">
      <c r="A1127" s="6" t="s">
        <v>3973</v>
      </c>
      <c r="B1127" s="6" t="s">
        <v>440</v>
      </c>
      <c r="C1127" s="6" t="s">
        <v>446</v>
      </c>
      <c r="D1127" s="6" t="n">
        <v>6</v>
      </c>
      <c r="E1127" s="9" t="s">
        <v>4396</v>
      </c>
      <c r="F1127" s="6" t="n">
        <v>152573</v>
      </c>
      <c r="G1127" s="6" t="n">
        <v>140213</v>
      </c>
      <c r="H1127" s="6" t="n">
        <v>12359</v>
      </c>
      <c r="I1127" s="6" t="n">
        <v>56226</v>
      </c>
      <c r="J1127" s="6" t="n">
        <v>10685</v>
      </c>
      <c r="K1127" s="6" t="n">
        <v>8254</v>
      </c>
      <c r="L1127" s="6" t="n">
        <v>10888</v>
      </c>
      <c r="M1127" s="6" t="n">
        <v>184</v>
      </c>
      <c r="N1127" s="6" t="n">
        <v>1517</v>
      </c>
      <c r="O1127" s="6" t="n">
        <v>23701</v>
      </c>
      <c r="P1127" s="6" t="n">
        <v>994</v>
      </c>
      <c r="Q1127" s="1" t="n">
        <f aca="false">IF($A1127="","",IF(OR(F1127="",I1127=""),"",F1127-I1127))</f>
        <v>96347</v>
      </c>
      <c r="R1127" s="1" t="n">
        <f aca="false">IF($A1127="","",IF(Q1127="","",Q1127+IF(O1127="",0,O1127)))</f>
        <v>120048</v>
      </c>
      <c r="T1127" s="1" t="n">
        <f aca="false">IF($A1127="","",IF(R1127="","",R1127-IF(S1127="",0,S1127)))</f>
        <v>120048</v>
      </c>
      <c r="U1127" s="1" t="n">
        <f aca="false">IF($A1127="","",IF(I1127="","",I1127-SUM(J1127:P1127)))</f>
        <v>3</v>
      </c>
      <c r="V1127" s="6" t="s">
        <v>4749</v>
      </c>
      <c r="W1127" s="9" t="s">
        <v>528</v>
      </c>
      <c r="X1127" s="9" t="s">
        <v>4750</v>
      </c>
      <c r="AC1127" s="9" t="s">
        <v>4369</v>
      </c>
      <c r="AD1127" s="9" t="s">
        <v>4370</v>
      </c>
      <c r="AE1127" s="9" t="s">
        <v>4371</v>
      </c>
    </row>
    <row r="1128" customFormat="false" ht="15" hidden="false" customHeight="true" outlineLevel="0" collapsed="false">
      <c r="A1128" s="6" t="s">
        <v>3975</v>
      </c>
      <c r="B1128" s="6" t="s">
        <v>440</v>
      </c>
      <c r="C1128" s="6" t="s">
        <v>446</v>
      </c>
      <c r="D1128" s="6" t="n">
        <v>6</v>
      </c>
      <c r="E1128" s="9" t="s">
        <v>4396</v>
      </c>
      <c r="F1128" s="6" t="n">
        <v>388810</v>
      </c>
      <c r="G1128" s="6" t="n">
        <v>388810</v>
      </c>
      <c r="H1128" s="6" t="n">
        <v>0</v>
      </c>
      <c r="I1128" s="6" t="n">
        <v>60577</v>
      </c>
      <c r="J1128" s="6" t="n">
        <v>2400</v>
      </c>
      <c r="K1128" s="6" t="n">
        <v>0</v>
      </c>
      <c r="L1128" s="6" t="n">
        <v>28601</v>
      </c>
      <c r="M1128" s="6" t="n">
        <v>267</v>
      </c>
      <c r="N1128" s="6" t="n">
        <v>200</v>
      </c>
      <c r="O1128" s="6" t="n">
        <v>28504</v>
      </c>
      <c r="P1128" s="6" t="n">
        <v>605</v>
      </c>
      <c r="Q1128" s="1" t="n">
        <f aca="false">IF($A1128="","",IF(OR(F1128="",I1128=""),"",F1128-I1128))</f>
        <v>328233</v>
      </c>
      <c r="R1128" s="1" t="n">
        <f aca="false">IF($A1128="","",IF(Q1128="","",Q1128+IF(O1128="",0,O1128)))</f>
        <v>356737</v>
      </c>
      <c r="T1128" s="1" t="n">
        <f aca="false">IF($A1128="","",IF(R1128="","",R1128-IF(S1128="",0,S1128)))</f>
        <v>356737</v>
      </c>
      <c r="U1128" s="1" t="n">
        <f aca="false">IF($A1128="","",IF(I1128="","",I1128-SUM(J1128:P1128)))</f>
        <v>0</v>
      </c>
      <c r="V1128" s="6" t="s">
        <v>4749</v>
      </c>
      <c r="W1128" s="9" t="s">
        <v>528</v>
      </c>
      <c r="X1128" s="9" t="s">
        <v>4750</v>
      </c>
      <c r="AC1128" s="9" t="s">
        <v>4369</v>
      </c>
      <c r="AD1128" s="9" t="s">
        <v>4370</v>
      </c>
      <c r="AE1128" s="9" t="s">
        <v>4371</v>
      </c>
    </row>
    <row r="1129" customFormat="false" ht="15" hidden="false" customHeight="true" outlineLevel="0" collapsed="false">
      <c r="A1129" s="6" t="s">
        <v>3977</v>
      </c>
      <c r="B1129" s="6" t="s">
        <v>440</v>
      </c>
      <c r="C1129" s="6" t="s">
        <v>446</v>
      </c>
      <c r="D1129" s="6" t="n">
        <v>6</v>
      </c>
      <c r="E1129" s="9" t="s">
        <v>4396</v>
      </c>
      <c r="F1129" s="6" t="n">
        <v>258593</v>
      </c>
      <c r="G1129" s="6" t="n">
        <v>255875</v>
      </c>
      <c r="H1129" s="6" t="n">
        <v>2718</v>
      </c>
      <c r="I1129" s="6" t="n">
        <v>66512</v>
      </c>
      <c r="J1129" s="6" t="n">
        <v>2160</v>
      </c>
      <c r="K1129" s="6" t="n">
        <v>0</v>
      </c>
      <c r="L1129" s="6" t="n">
        <v>25180</v>
      </c>
      <c r="M1129" s="6" t="n">
        <v>233</v>
      </c>
      <c r="N1129" s="6" t="n">
        <v>0</v>
      </c>
      <c r="O1129" s="6" t="n">
        <v>38433</v>
      </c>
      <c r="P1129" s="6" t="n">
        <v>505</v>
      </c>
      <c r="Q1129" s="1" t="n">
        <f aca="false">IF($A1129="","",IF(OR(F1129="",I1129=""),"",F1129-I1129))</f>
        <v>192081</v>
      </c>
      <c r="R1129" s="1" t="n">
        <f aca="false">IF($A1129="","",IF(Q1129="","",Q1129+IF(O1129="",0,O1129)))</f>
        <v>230514</v>
      </c>
      <c r="T1129" s="1" t="n">
        <f aca="false">IF($A1129="","",IF(R1129="","",R1129-IF(S1129="",0,S1129)))</f>
        <v>230514</v>
      </c>
      <c r="U1129" s="1" t="n">
        <f aca="false">IF($A1129="","",IF(I1129="","",I1129-SUM(J1129:P1129)))</f>
        <v>1</v>
      </c>
      <c r="V1129" s="6" t="s">
        <v>4749</v>
      </c>
      <c r="W1129" s="9" t="s">
        <v>528</v>
      </c>
      <c r="X1129" s="9" t="s">
        <v>4750</v>
      </c>
      <c r="AC1129" s="9" t="s">
        <v>4369</v>
      </c>
      <c r="AD1129" s="9" t="s">
        <v>4370</v>
      </c>
      <c r="AE1129" s="9" t="s">
        <v>4371</v>
      </c>
    </row>
    <row r="1130" customFormat="false" ht="15" hidden="false" customHeight="true" outlineLevel="0" collapsed="false">
      <c r="A1130" s="6" t="s">
        <v>3979</v>
      </c>
      <c r="B1130" s="6" t="s">
        <v>440</v>
      </c>
      <c r="C1130" s="6" t="s">
        <v>446</v>
      </c>
      <c r="D1130" s="6" t="n">
        <v>6</v>
      </c>
      <c r="E1130" s="9" t="s">
        <v>4738</v>
      </c>
      <c r="Q1130" s="1" t="str">
        <f aca="false">IF($A1130="","",IF(OR(F1130="",I1130=""),"",F1130-I1130))</f>
        <v/>
      </c>
      <c r="R1130" s="1" t="str">
        <f aca="false">IF($A1130="","",IF(Q1130="","",Q1130+IF(O1130="",0,O1130)))</f>
        <v/>
      </c>
      <c r="T1130" s="1" t="str">
        <f aca="false">IF($A1130="","",IF(R1130="","",R1130-IF(S1130="",0,S1130)))</f>
        <v/>
      </c>
      <c r="U1130" s="1" t="str">
        <f aca="false">IF($A1130="","",IF(I1130="","",I1130-SUM(J1130:P1130)))</f>
        <v/>
      </c>
      <c r="V1130" s="6" t="s">
        <v>4749</v>
      </c>
      <c r="W1130" s="9" t="s">
        <v>528</v>
      </c>
      <c r="X1130" s="9" t="s">
        <v>4758</v>
      </c>
      <c r="AC1130" s="9" t="s">
        <v>4369</v>
      </c>
      <c r="AD1130" s="9" t="s">
        <v>4370</v>
      </c>
      <c r="AE1130" s="9" t="s">
        <v>4371</v>
      </c>
    </row>
    <row r="1131" customFormat="false" ht="15" hidden="false" customHeight="true" outlineLevel="0" collapsed="false">
      <c r="A1131" s="6" t="s">
        <v>3981</v>
      </c>
      <c r="B1131" s="6" t="s">
        <v>440</v>
      </c>
      <c r="C1131" s="6" t="s">
        <v>446</v>
      </c>
      <c r="D1131" s="6" t="n">
        <v>6</v>
      </c>
      <c r="E1131" s="9" t="s">
        <v>4751</v>
      </c>
      <c r="Q1131" s="1" t="str">
        <f aca="false">IF($A1131="","",IF(OR(F1131="",I1131=""),"",F1131-I1131))</f>
        <v/>
      </c>
      <c r="R1131" s="1" t="str">
        <f aca="false">IF($A1131="","",IF(Q1131="","",Q1131+IF(O1131="",0,O1131)))</f>
        <v/>
      </c>
      <c r="T1131" s="1" t="str">
        <f aca="false">IF($A1131="","",IF(R1131="","",R1131-IF(S1131="",0,S1131)))</f>
        <v/>
      </c>
      <c r="U1131" s="1" t="str">
        <f aca="false">IF($A1131="","",IF(I1131="","",I1131-SUM(J1131:P1131)))</f>
        <v/>
      </c>
      <c r="V1131" s="6" t="s">
        <v>4749</v>
      </c>
      <c r="W1131" s="9" t="s">
        <v>528</v>
      </c>
      <c r="X1131" s="9" t="s">
        <v>4759</v>
      </c>
      <c r="AC1131" s="9" t="s">
        <v>4369</v>
      </c>
      <c r="AD1131" s="9" t="s">
        <v>4370</v>
      </c>
      <c r="AE1131" s="9" t="s">
        <v>4371</v>
      </c>
    </row>
    <row r="1132" customFormat="false" ht="15" hidden="false" customHeight="true" outlineLevel="0" collapsed="false">
      <c r="A1132" s="6" t="s">
        <v>3983</v>
      </c>
      <c r="B1132" s="6" t="s">
        <v>440</v>
      </c>
      <c r="C1132" s="6" t="s">
        <v>446</v>
      </c>
      <c r="D1132" s="6" t="n">
        <v>6</v>
      </c>
      <c r="E1132" s="9" t="s">
        <v>4751</v>
      </c>
      <c r="Q1132" s="1" t="str">
        <f aca="false">IF($A1132="","",IF(OR(F1132="",I1132=""),"",F1132-I1132))</f>
        <v/>
      </c>
      <c r="R1132" s="1" t="str">
        <f aca="false">IF($A1132="","",IF(Q1132="","",Q1132+IF(O1132="",0,O1132)))</f>
        <v/>
      </c>
      <c r="T1132" s="1" t="str">
        <f aca="false">IF($A1132="","",IF(R1132="","",R1132-IF(S1132="",0,S1132)))</f>
        <v/>
      </c>
      <c r="U1132" s="1" t="str">
        <f aca="false">IF($A1132="","",IF(I1132="","",I1132-SUM(J1132:P1132)))</f>
        <v/>
      </c>
      <c r="V1132" s="6" t="s">
        <v>4749</v>
      </c>
      <c r="W1132" s="9" t="s">
        <v>528</v>
      </c>
      <c r="X1132" s="9" t="s">
        <v>4760</v>
      </c>
      <c r="AC1132" s="9" t="s">
        <v>4369</v>
      </c>
      <c r="AD1132" s="9" t="s">
        <v>4370</v>
      </c>
      <c r="AE1132" s="9" t="s">
        <v>4371</v>
      </c>
    </row>
    <row r="1133" customFormat="false" ht="15" hidden="false" customHeight="true" outlineLevel="0" collapsed="false">
      <c r="A1133" s="6" t="s">
        <v>3987</v>
      </c>
      <c r="B1133" s="6" t="s">
        <v>440</v>
      </c>
      <c r="C1133" s="6" t="s">
        <v>446</v>
      </c>
      <c r="D1133" s="6" t="n">
        <v>6</v>
      </c>
      <c r="E1133" s="9" t="s">
        <v>4751</v>
      </c>
      <c r="Q1133" s="1" t="str">
        <f aca="false">IF($A1133="","",IF(OR(F1133="",I1133=""),"",F1133-I1133))</f>
        <v/>
      </c>
      <c r="R1133" s="1" t="str">
        <f aca="false">IF($A1133="","",IF(Q1133="","",Q1133+IF(O1133="",0,O1133)))</f>
        <v/>
      </c>
      <c r="T1133" s="1" t="str">
        <f aca="false">IF($A1133="","",IF(R1133="","",R1133-IF(S1133="",0,S1133)))</f>
        <v/>
      </c>
      <c r="U1133" s="1" t="str">
        <f aca="false">IF($A1133="","",IF(I1133="","",I1133-SUM(J1133:P1133)))</f>
        <v/>
      </c>
      <c r="V1133" s="6" t="s">
        <v>4749</v>
      </c>
      <c r="W1133" s="9" t="s">
        <v>528</v>
      </c>
      <c r="X1133" s="9" t="s">
        <v>4761</v>
      </c>
      <c r="AC1133" s="9" t="s">
        <v>4369</v>
      </c>
      <c r="AD1133" s="9" t="s">
        <v>4370</v>
      </c>
      <c r="AE1133" s="9" t="s">
        <v>4371</v>
      </c>
    </row>
    <row r="1134" customFormat="false" ht="15" hidden="false" customHeight="true" outlineLevel="0" collapsed="false">
      <c r="A1134" s="6" t="s">
        <v>3990</v>
      </c>
      <c r="B1134" s="6" t="s">
        <v>440</v>
      </c>
      <c r="C1134" s="6" t="s">
        <v>446</v>
      </c>
      <c r="D1134" s="6" t="n">
        <v>6</v>
      </c>
      <c r="E1134" s="9" t="s">
        <v>4751</v>
      </c>
      <c r="Q1134" s="1" t="str">
        <f aca="false">IF($A1134="","",IF(OR(F1134="",I1134=""),"",F1134-I1134))</f>
        <v/>
      </c>
      <c r="R1134" s="1" t="str">
        <f aca="false">IF($A1134="","",IF(Q1134="","",Q1134+IF(O1134="",0,O1134)))</f>
        <v/>
      </c>
      <c r="T1134" s="1" t="str">
        <f aca="false">IF($A1134="","",IF(R1134="","",R1134-IF(S1134="",0,S1134)))</f>
        <v/>
      </c>
      <c r="U1134" s="1" t="str">
        <f aca="false">IF($A1134="","",IF(I1134="","",I1134-SUM(J1134:P1134)))</f>
        <v/>
      </c>
      <c r="V1134" s="6" t="s">
        <v>4749</v>
      </c>
      <c r="W1134" s="9" t="s">
        <v>528</v>
      </c>
      <c r="X1134" s="9" t="s">
        <v>4762</v>
      </c>
      <c r="AC1134" s="9" t="s">
        <v>4369</v>
      </c>
      <c r="AD1134" s="9" t="s">
        <v>4370</v>
      </c>
      <c r="AE1134" s="9" t="s">
        <v>4371</v>
      </c>
    </row>
    <row r="1135" customFormat="false" ht="15" hidden="false" customHeight="true" outlineLevel="0" collapsed="false">
      <c r="A1135" s="6" t="s">
        <v>3992</v>
      </c>
      <c r="B1135" s="6" t="s">
        <v>440</v>
      </c>
      <c r="C1135" s="6" t="s">
        <v>446</v>
      </c>
      <c r="D1135" s="6" t="n">
        <v>6</v>
      </c>
      <c r="E1135" s="9" t="s">
        <v>4751</v>
      </c>
      <c r="Q1135" s="1" t="str">
        <f aca="false">IF($A1135="","",IF(OR(F1135="",I1135=""),"",F1135-I1135))</f>
        <v/>
      </c>
      <c r="R1135" s="1" t="str">
        <f aca="false">IF($A1135="","",IF(Q1135="","",Q1135+IF(O1135="",0,O1135)))</f>
        <v/>
      </c>
      <c r="T1135" s="1" t="str">
        <f aca="false">IF($A1135="","",IF(R1135="","",R1135-IF(S1135="",0,S1135)))</f>
        <v/>
      </c>
      <c r="U1135" s="1" t="str">
        <f aca="false">IF($A1135="","",IF(I1135="","",I1135-SUM(J1135:P1135)))</f>
        <v/>
      </c>
      <c r="V1135" s="6" t="s">
        <v>4749</v>
      </c>
      <c r="W1135" s="9" t="s">
        <v>528</v>
      </c>
      <c r="X1135" s="9" t="s">
        <v>4763</v>
      </c>
      <c r="AC1135" s="9" t="s">
        <v>4369</v>
      </c>
      <c r="AD1135" s="9" t="s">
        <v>4370</v>
      </c>
      <c r="AE1135" s="9" t="s">
        <v>4371</v>
      </c>
    </row>
    <row r="1136" customFormat="false" ht="15" hidden="false" customHeight="true" outlineLevel="0" collapsed="false">
      <c r="A1136" s="6" t="s">
        <v>3994</v>
      </c>
      <c r="B1136" s="6" t="s">
        <v>440</v>
      </c>
      <c r="C1136" s="6" t="s">
        <v>446</v>
      </c>
      <c r="D1136" s="6" t="n">
        <v>6</v>
      </c>
      <c r="E1136" s="9" t="s">
        <v>4751</v>
      </c>
      <c r="Q1136" s="1" t="str">
        <f aca="false">IF($A1136="","",IF(OR(F1136="",I1136=""),"",F1136-I1136))</f>
        <v/>
      </c>
      <c r="R1136" s="1" t="str">
        <f aca="false">IF($A1136="","",IF(Q1136="","",Q1136+IF(O1136="",0,O1136)))</f>
        <v/>
      </c>
      <c r="T1136" s="1" t="str">
        <f aca="false">IF($A1136="","",IF(R1136="","",R1136-IF(S1136="",0,S1136)))</f>
        <v/>
      </c>
      <c r="U1136" s="1" t="str">
        <f aca="false">IF($A1136="","",IF(I1136="","",I1136-SUM(J1136:P1136)))</f>
        <v/>
      </c>
      <c r="V1136" s="6" t="s">
        <v>4749</v>
      </c>
      <c r="W1136" s="9" t="s">
        <v>528</v>
      </c>
      <c r="X1136" s="9" t="s">
        <v>4764</v>
      </c>
      <c r="AC1136" s="9" t="s">
        <v>4369</v>
      </c>
      <c r="AD1136" s="9" t="s">
        <v>4370</v>
      </c>
      <c r="AE1136" s="9" t="s">
        <v>4371</v>
      </c>
    </row>
    <row r="1137" customFormat="false" ht="15" hidden="false" customHeight="true" outlineLevel="0" collapsed="false">
      <c r="A1137" s="6" t="s">
        <v>3996</v>
      </c>
      <c r="B1137" s="6" t="s">
        <v>440</v>
      </c>
      <c r="C1137" s="6" t="s">
        <v>446</v>
      </c>
      <c r="D1137" s="6" t="n">
        <v>6</v>
      </c>
      <c r="E1137" s="9" t="s">
        <v>4751</v>
      </c>
      <c r="Q1137" s="1" t="str">
        <f aca="false">IF($A1137="","",IF(OR(F1137="",I1137=""),"",F1137-I1137))</f>
        <v/>
      </c>
      <c r="R1137" s="1" t="str">
        <f aca="false">IF($A1137="","",IF(Q1137="","",Q1137+IF(O1137="",0,O1137)))</f>
        <v/>
      </c>
      <c r="T1137" s="1" t="str">
        <f aca="false">IF($A1137="","",IF(R1137="","",R1137-IF(S1137="",0,S1137)))</f>
        <v/>
      </c>
      <c r="U1137" s="1" t="str">
        <f aca="false">IF($A1137="","",IF(I1137="","",I1137-SUM(J1137:P1137)))</f>
        <v/>
      </c>
      <c r="V1137" s="6" t="s">
        <v>4749</v>
      </c>
      <c r="W1137" s="9" t="s">
        <v>528</v>
      </c>
      <c r="X1137" s="9" t="s">
        <v>4765</v>
      </c>
      <c r="AC1137" s="9" t="s">
        <v>4369</v>
      </c>
      <c r="AD1137" s="9" t="s">
        <v>4370</v>
      </c>
      <c r="AE1137" s="9" t="s">
        <v>4371</v>
      </c>
    </row>
    <row r="1138" customFormat="false" ht="15" hidden="false" customHeight="true" outlineLevel="0" collapsed="false">
      <c r="A1138" s="6" t="s">
        <v>3998</v>
      </c>
      <c r="B1138" s="6" t="s">
        <v>440</v>
      </c>
      <c r="C1138" s="6" t="s">
        <v>446</v>
      </c>
      <c r="D1138" s="6" t="n">
        <v>6</v>
      </c>
      <c r="E1138" s="9" t="s">
        <v>4751</v>
      </c>
      <c r="Q1138" s="1" t="str">
        <f aca="false">IF($A1138="","",IF(OR(F1138="",I1138=""),"",F1138-I1138))</f>
        <v/>
      </c>
      <c r="R1138" s="1" t="str">
        <f aca="false">IF($A1138="","",IF(Q1138="","",Q1138+IF(O1138="",0,O1138)))</f>
        <v/>
      </c>
      <c r="T1138" s="1" t="str">
        <f aca="false">IF($A1138="","",IF(R1138="","",R1138-IF(S1138="",0,S1138)))</f>
        <v/>
      </c>
      <c r="U1138" s="1" t="str">
        <f aca="false">IF($A1138="","",IF(I1138="","",I1138-SUM(J1138:P1138)))</f>
        <v/>
      </c>
      <c r="V1138" s="6" t="s">
        <v>4749</v>
      </c>
      <c r="W1138" s="9" t="s">
        <v>528</v>
      </c>
      <c r="X1138" s="9" t="s">
        <v>4766</v>
      </c>
      <c r="AC1138" s="9" t="s">
        <v>4369</v>
      </c>
      <c r="AD1138" s="9" t="s">
        <v>4370</v>
      </c>
      <c r="AE1138" s="9" t="s">
        <v>4371</v>
      </c>
    </row>
    <row r="1139" customFormat="false" ht="15" hidden="false" customHeight="true" outlineLevel="0" collapsed="false">
      <c r="A1139" s="6" t="s">
        <v>4001</v>
      </c>
      <c r="B1139" s="6" t="s">
        <v>440</v>
      </c>
      <c r="C1139" s="6" t="s">
        <v>446</v>
      </c>
      <c r="D1139" s="6" t="n">
        <v>6</v>
      </c>
      <c r="E1139" s="9" t="s">
        <v>4751</v>
      </c>
      <c r="Q1139" s="1" t="str">
        <f aca="false">IF($A1139="","",IF(OR(F1139="",I1139=""),"",F1139-I1139))</f>
        <v/>
      </c>
      <c r="R1139" s="1" t="str">
        <f aca="false">IF($A1139="","",IF(Q1139="","",Q1139+IF(O1139="",0,O1139)))</f>
        <v/>
      </c>
      <c r="T1139" s="1" t="str">
        <f aca="false">IF($A1139="","",IF(R1139="","",R1139-IF(S1139="",0,S1139)))</f>
        <v/>
      </c>
      <c r="U1139" s="1" t="str">
        <f aca="false">IF($A1139="","",IF(I1139="","",I1139-SUM(J1139:P1139)))</f>
        <v/>
      </c>
      <c r="V1139" s="6" t="s">
        <v>4749</v>
      </c>
      <c r="W1139" s="9" t="s">
        <v>528</v>
      </c>
      <c r="X1139" s="9" t="s">
        <v>4767</v>
      </c>
      <c r="AC1139" s="9" t="s">
        <v>4369</v>
      </c>
      <c r="AD1139" s="9" t="s">
        <v>4370</v>
      </c>
      <c r="AE1139" s="9" t="s">
        <v>4371</v>
      </c>
    </row>
    <row r="1140" customFormat="false" ht="15" hidden="false" customHeight="true" outlineLevel="0" collapsed="false">
      <c r="A1140" s="6" t="s">
        <v>4004</v>
      </c>
      <c r="B1140" s="6" t="s">
        <v>440</v>
      </c>
      <c r="C1140" s="6" t="s">
        <v>446</v>
      </c>
      <c r="D1140" s="6" t="n">
        <v>6</v>
      </c>
      <c r="E1140" s="9" t="s">
        <v>4751</v>
      </c>
      <c r="Q1140" s="1" t="str">
        <f aca="false">IF($A1140="","",IF(OR(F1140="",I1140=""),"",F1140-I1140))</f>
        <v/>
      </c>
      <c r="R1140" s="1" t="str">
        <f aca="false">IF($A1140="","",IF(Q1140="","",Q1140+IF(O1140="",0,O1140)))</f>
        <v/>
      </c>
      <c r="T1140" s="1" t="str">
        <f aca="false">IF($A1140="","",IF(R1140="","",R1140-IF(S1140="",0,S1140)))</f>
        <v/>
      </c>
      <c r="U1140" s="1" t="str">
        <f aca="false">IF($A1140="","",IF(I1140="","",I1140-SUM(J1140:P1140)))</f>
        <v/>
      </c>
      <c r="V1140" s="6" t="s">
        <v>4749</v>
      </c>
      <c r="W1140" s="9" t="s">
        <v>528</v>
      </c>
      <c r="X1140" s="9" t="s">
        <v>4768</v>
      </c>
      <c r="AC1140" s="9" t="s">
        <v>4369</v>
      </c>
      <c r="AD1140" s="9" t="s">
        <v>4370</v>
      </c>
      <c r="AE1140" s="9" t="s">
        <v>4371</v>
      </c>
    </row>
    <row r="1141" customFormat="false" ht="15" hidden="false" customHeight="true" outlineLevel="0" collapsed="false">
      <c r="A1141" s="6" t="s">
        <v>4006</v>
      </c>
      <c r="B1141" s="6" t="s">
        <v>440</v>
      </c>
      <c r="C1141" s="6" t="s">
        <v>446</v>
      </c>
      <c r="D1141" s="6" t="n">
        <v>6</v>
      </c>
      <c r="E1141" s="9" t="s">
        <v>4751</v>
      </c>
      <c r="Q1141" s="1" t="str">
        <f aca="false">IF($A1141="","",IF(OR(F1141="",I1141=""),"",F1141-I1141))</f>
        <v/>
      </c>
      <c r="R1141" s="1" t="str">
        <f aca="false">IF($A1141="","",IF(Q1141="","",Q1141+IF(O1141="",0,O1141)))</f>
        <v/>
      </c>
      <c r="T1141" s="1" t="str">
        <f aca="false">IF($A1141="","",IF(R1141="","",R1141-IF(S1141="",0,S1141)))</f>
        <v/>
      </c>
      <c r="U1141" s="1" t="str">
        <f aca="false">IF($A1141="","",IF(I1141="","",I1141-SUM(J1141:P1141)))</f>
        <v/>
      </c>
      <c r="V1141" s="6" t="s">
        <v>4749</v>
      </c>
      <c r="W1141" s="9" t="s">
        <v>528</v>
      </c>
      <c r="X1141" s="9" t="s">
        <v>4769</v>
      </c>
      <c r="AC1141" s="9" t="s">
        <v>4369</v>
      </c>
      <c r="AD1141" s="9" t="s">
        <v>4370</v>
      </c>
      <c r="AE1141" s="9" t="s">
        <v>4371</v>
      </c>
    </row>
    <row r="1142" customFormat="false" ht="15" hidden="false" customHeight="true" outlineLevel="0" collapsed="false">
      <c r="A1142" s="6" t="s">
        <v>4008</v>
      </c>
      <c r="B1142" s="6" t="s">
        <v>440</v>
      </c>
      <c r="C1142" s="6" t="s">
        <v>446</v>
      </c>
      <c r="D1142" s="6" t="n">
        <v>6</v>
      </c>
      <c r="E1142" s="9" t="s">
        <v>4396</v>
      </c>
      <c r="F1142" s="6" t="n">
        <v>94785</v>
      </c>
      <c r="G1142" s="6" t="n">
        <v>86368</v>
      </c>
      <c r="H1142" s="6" t="n">
        <v>8416</v>
      </c>
      <c r="I1142" s="6" t="n">
        <v>37121</v>
      </c>
      <c r="J1142" s="6" t="n">
        <v>2167</v>
      </c>
      <c r="K1142" s="6" t="n">
        <v>7602</v>
      </c>
      <c r="L1142" s="6" t="n">
        <v>6866</v>
      </c>
      <c r="M1142" s="6" t="n">
        <v>119</v>
      </c>
      <c r="N1142" s="6" t="n">
        <v>595</v>
      </c>
      <c r="O1142" s="6" t="n">
        <v>19262</v>
      </c>
      <c r="P1142" s="6" t="n">
        <v>508</v>
      </c>
      <c r="Q1142" s="1" t="n">
        <f aca="false">IF($A1142="","",IF(OR(F1142="",I1142=""),"",F1142-I1142))</f>
        <v>57664</v>
      </c>
      <c r="R1142" s="1" t="n">
        <f aca="false">IF($A1142="","",IF(Q1142="","",Q1142+IF(O1142="",0,O1142)))</f>
        <v>76926</v>
      </c>
      <c r="T1142" s="1" t="n">
        <f aca="false">IF($A1142="","",IF(R1142="","",R1142-IF(S1142="",0,S1142)))</f>
        <v>76926</v>
      </c>
      <c r="U1142" s="1" t="n">
        <f aca="false">IF($A1142="","",IF(I1142="","",I1142-SUM(J1142:P1142)))</f>
        <v>2</v>
      </c>
      <c r="V1142" s="6" t="s">
        <v>4749</v>
      </c>
      <c r="W1142" s="9" t="s">
        <v>528</v>
      </c>
      <c r="X1142" s="9" t="s">
        <v>4750</v>
      </c>
      <c r="AC1142" s="9" t="s">
        <v>4369</v>
      </c>
      <c r="AD1142" s="9" t="s">
        <v>4370</v>
      </c>
      <c r="AE1142" s="9" t="s">
        <v>4371</v>
      </c>
    </row>
    <row r="1143" customFormat="false" ht="15" hidden="false" customHeight="true" outlineLevel="0" collapsed="false">
      <c r="A1143" s="6" t="s">
        <v>4010</v>
      </c>
      <c r="B1143" s="6" t="s">
        <v>440</v>
      </c>
      <c r="C1143" s="6" t="s">
        <v>446</v>
      </c>
      <c r="D1143" s="6" t="n">
        <v>6</v>
      </c>
      <c r="E1143" s="9" t="s">
        <v>4751</v>
      </c>
      <c r="Q1143" s="1" t="str">
        <f aca="false">IF($A1143="","",IF(OR(F1143="",I1143=""),"",F1143-I1143))</f>
        <v/>
      </c>
      <c r="R1143" s="1" t="str">
        <f aca="false">IF($A1143="","",IF(Q1143="","",Q1143+IF(O1143="",0,O1143)))</f>
        <v/>
      </c>
      <c r="T1143" s="1" t="str">
        <f aca="false">IF($A1143="","",IF(R1143="","",R1143-IF(S1143="",0,S1143)))</f>
        <v/>
      </c>
      <c r="U1143" s="1" t="str">
        <f aca="false">IF($A1143="","",IF(I1143="","",I1143-SUM(J1143:P1143)))</f>
        <v/>
      </c>
      <c r="V1143" s="6" t="s">
        <v>4749</v>
      </c>
      <c r="W1143" s="9" t="s">
        <v>528</v>
      </c>
      <c r="X1143" s="9" t="s">
        <v>4770</v>
      </c>
      <c r="AC1143" s="9" t="s">
        <v>4369</v>
      </c>
      <c r="AD1143" s="9" t="s">
        <v>4370</v>
      </c>
      <c r="AE1143" s="9" t="s">
        <v>4371</v>
      </c>
    </row>
    <row r="1144" customFormat="false" ht="15" hidden="false" customHeight="true" outlineLevel="0" collapsed="false">
      <c r="A1144" s="6" t="s">
        <v>4012</v>
      </c>
      <c r="B1144" s="6" t="s">
        <v>440</v>
      </c>
      <c r="C1144" s="6" t="s">
        <v>446</v>
      </c>
      <c r="D1144" s="6" t="n">
        <v>6</v>
      </c>
      <c r="E1144" s="9" t="s">
        <v>4751</v>
      </c>
      <c r="Q1144" s="1" t="str">
        <f aca="false">IF($A1144="","",IF(OR(F1144="",I1144=""),"",F1144-I1144))</f>
        <v/>
      </c>
      <c r="R1144" s="1" t="str">
        <f aca="false">IF($A1144="","",IF(Q1144="","",Q1144+IF(O1144="",0,O1144)))</f>
        <v/>
      </c>
      <c r="T1144" s="1" t="str">
        <f aca="false">IF($A1144="","",IF(R1144="","",R1144-IF(S1144="",0,S1144)))</f>
        <v/>
      </c>
      <c r="U1144" s="1" t="str">
        <f aca="false">IF($A1144="","",IF(I1144="","",I1144-SUM(J1144:P1144)))</f>
        <v/>
      </c>
      <c r="V1144" s="6" t="s">
        <v>4749</v>
      </c>
      <c r="W1144" s="9" t="s">
        <v>528</v>
      </c>
      <c r="X1144" s="9" t="s">
        <v>4771</v>
      </c>
      <c r="AC1144" s="9" t="s">
        <v>4369</v>
      </c>
      <c r="AD1144" s="9" t="s">
        <v>4370</v>
      </c>
      <c r="AE1144" s="9" t="s">
        <v>4371</v>
      </c>
    </row>
    <row r="1145" customFormat="false" ht="15" hidden="false" customHeight="true" outlineLevel="0" collapsed="false">
      <c r="A1145" s="6" t="s">
        <v>4014</v>
      </c>
      <c r="B1145" s="6" t="s">
        <v>440</v>
      </c>
      <c r="C1145" s="6" t="s">
        <v>446</v>
      </c>
      <c r="D1145" s="6" t="n">
        <v>6</v>
      </c>
      <c r="E1145" s="9" t="s">
        <v>4751</v>
      </c>
      <c r="Q1145" s="1" t="str">
        <f aca="false">IF($A1145="","",IF(OR(F1145="",I1145=""),"",F1145-I1145))</f>
        <v/>
      </c>
      <c r="R1145" s="1" t="str">
        <f aca="false">IF($A1145="","",IF(Q1145="","",Q1145+IF(O1145="",0,O1145)))</f>
        <v/>
      </c>
      <c r="T1145" s="1" t="str">
        <f aca="false">IF($A1145="","",IF(R1145="","",R1145-IF(S1145="",0,S1145)))</f>
        <v/>
      </c>
      <c r="U1145" s="1" t="str">
        <f aca="false">IF($A1145="","",IF(I1145="","",I1145-SUM(J1145:P1145)))</f>
        <v/>
      </c>
      <c r="V1145" s="6" t="s">
        <v>4749</v>
      </c>
      <c r="W1145" s="9" t="s">
        <v>528</v>
      </c>
      <c r="X1145" s="9" t="s">
        <v>4772</v>
      </c>
      <c r="AC1145" s="9" t="s">
        <v>4369</v>
      </c>
      <c r="AD1145" s="9" t="s">
        <v>4370</v>
      </c>
      <c r="AE1145" s="9" t="s">
        <v>4371</v>
      </c>
    </row>
    <row r="1146" customFormat="false" ht="15" hidden="false" customHeight="true" outlineLevel="0" collapsed="false">
      <c r="A1146" s="6" t="s">
        <v>4016</v>
      </c>
      <c r="B1146" s="6" t="s">
        <v>440</v>
      </c>
      <c r="C1146" s="6" t="s">
        <v>446</v>
      </c>
      <c r="D1146" s="6" t="n">
        <v>6</v>
      </c>
      <c r="E1146" s="9" t="s">
        <v>4751</v>
      </c>
      <c r="Q1146" s="1" t="str">
        <f aca="false">IF($A1146="","",IF(OR(F1146="",I1146=""),"",F1146-I1146))</f>
        <v/>
      </c>
      <c r="R1146" s="1" t="str">
        <f aca="false">IF($A1146="","",IF(Q1146="","",Q1146+IF(O1146="",0,O1146)))</f>
        <v/>
      </c>
      <c r="T1146" s="1" t="str">
        <f aca="false">IF($A1146="","",IF(R1146="","",R1146-IF(S1146="",0,S1146)))</f>
        <v/>
      </c>
      <c r="U1146" s="1" t="str">
        <f aca="false">IF($A1146="","",IF(I1146="","",I1146-SUM(J1146:P1146)))</f>
        <v/>
      </c>
      <c r="V1146" s="6" t="s">
        <v>4749</v>
      </c>
      <c r="W1146" s="9" t="s">
        <v>528</v>
      </c>
      <c r="X1146" s="9" t="s">
        <v>4773</v>
      </c>
      <c r="AC1146" s="9" t="s">
        <v>4369</v>
      </c>
      <c r="AD1146" s="9" t="s">
        <v>4370</v>
      </c>
      <c r="AE1146" s="9" t="s">
        <v>4371</v>
      </c>
    </row>
    <row r="1147" customFormat="false" ht="15" hidden="false" customHeight="true" outlineLevel="0" collapsed="false">
      <c r="A1147" s="6" t="s">
        <v>4018</v>
      </c>
      <c r="B1147" s="6" t="s">
        <v>440</v>
      </c>
      <c r="C1147" s="6" t="s">
        <v>446</v>
      </c>
      <c r="D1147" s="6" t="n">
        <v>6</v>
      </c>
      <c r="E1147" s="9" t="s">
        <v>4751</v>
      </c>
      <c r="Q1147" s="1" t="str">
        <f aca="false">IF($A1147="","",IF(OR(F1147="",I1147=""),"",F1147-I1147))</f>
        <v/>
      </c>
      <c r="R1147" s="1" t="str">
        <f aca="false">IF($A1147="","",IF(Q1147="","",Q1147+IF(O1147="",0,O1147)))</f>
        <v/>
      </c>
      <c r="T1147" s="1" t="str">
        <f aca="false">IF($A1147="","",IF(R1147="","",R1147-IF(S1147="",0,S1147)))</f>
        <v/>
      </c>
      <c r="U1147" s="1" t="str">
        <f aca="false">IF($A1147="","",IF(I1147="","",I1147-SUM(J1147:P1147)))</f>
        <v/>
      </c>
      <c r="V1147" s="6" t="s">
        <v>4749</v>
      </c>
      <c r="W1147" s="9" t="s">
        <v>528</v>
      </c>
      <c r="X1147" s="9" t="s">
        <v>4774</v>
      </c>
      <c r="AC1147" s="9" t="s">
        <v>4369</v>
      </c>
      <c r="AD1147" s="9" t="s">
        <v>4370</v>
      </c>
      <c r="AE1147" s="9" t="s">
        <v>4371</v>
      </c>
    </row>
    <row r="1148" customFormat="false" ht="15" hidden="false" customHeight="true" outlineLevel="0" collapsed="false">
      <c r="A1148" s="6" t="s">
        <v>4021</v>
      </c>
      <c r="B1148" s="6" t="s">
        <v>440</v>
      </c>
      <c r="C1148" s="6" t="s">
        <v>446</v>
      </c>
      <c r="D1148" s="6" t="n">
        <v>6</v>
      </c>
      <c r="E1148" s="9" t="s">
        <v>4396</v>
      </c>
      <c r="F1148" s="6" t="n">
        <v>5273</v>
      </c>
      <c r="G1148" s="6" t="n">
        <v>5273</v>
      </c>
      <c r="H1148" s="6" t="n">
        <v>0</v>
      </c>
      <c r="I1148" s="6" t="n">
        <v>2098</v>
      </c>
      <c r="J1148" s="6" t="n">
        <v>37</v>
      </c>
      <c r="K1148" s="6" t="n">
        <v>0</v>
      </c>
      <c r="L1148" s="6" t="n">
        <v>0</v>
      </c>
      <c r="M1148" s="6" t="n">
        <v>35</v>
      </c>
      <c r="N1148" s="6" t="n">
        <v>0</v>
      </c>
      <c r="O1148" s="6" t="n">
        <v>2000</v>
      </c>
      <c r="P1148" s="6" t="n">
        <v>25</v>
      </c>
      <c r="Q1148" s="1" t="n">
        <f aca="false">IF($A1148="","",IF(OR(F1148="",I1148=""),"",F1148-I1148))</f>
        <v>3175</v>
      </c>
      <c r="R1148" s="1" t="n">
        <f aca="false">IF($A1148="","",IF(Q1148="","",Q1148+IF(O1148="",0,O1148)))</f>
        <v>5175</v>
      </c>
      <c r="T1148" s="1" t="n">
        <f aca="false">IF($A1148="","",IF(R1148="","",R1148-IF(S1148="",0,S1148)))</f>
        <v>5175</v>
      </c>
      <c r="U1148" s="1" t="n">
        <f aca="false">IF($A1148="","",IF(I1148="","",I1148-SUM(J1148:P1148)))</f>
        <v>1</v>
      </c>
      <c r="V1148" s="6" t="s">
        <v>4749</v>
      </c>
      <c r="W1148" s="9" t="s">
        <v>528</v>
      </c>
      <c r="X1148" s="9" t="s">
        <v>4775</v>
      </c>
      <c r="AC1148" s="9" t="s">
        <v>4369</v>
      </c>
      <c r="AD1148" s="9" t="s">
        <v>4370</v>
      </c>
      <c r="AE1148" s="9" t="s">
        <v>4371</v>
      </c>
    </row>
    <row r="1149" customFormat="false" ht="15" hidden="false" customHeight="true" outlineLevel="0" collapsed="false">
      <c r="A1149" s="6" t="s">
        <v>4025</v>
      </c>
      <c r="B1149" s="6" t="s">
        <v>440</v>
      </c>
      <c r="C1149" s="6" t="s">
        <v>446</v>
      </c>
      <c r="D1149" s="6" t="n">
        <v>6</v>
      </c>
      <c r="E1149" s="9" t="s">
        <v>4396</v>
      </c>
      <c r="F1149" s="6" t="n">
        <v>43285</v>
      </c>
      <c r="G1149" s="6" t="n">
        <v>43285</v>
      </c>
      <c r="H1149" s="6" t="n">
        <v>0</v>
      </c>
      <c r="I1149" s="6" t="n">
        <v>10839</v>
      </c>
      <c r="J1149" s="6" t="n">
        <v>720</v>
      </c>
      <c r="K1149" s="6" t="n">
        <v>0</v>
      </c>
      <c r="L1149" s="6" t="n">
        <v>5448</v>
      </c>
      <c r="M1149" s="6" t="n">
        <v>63</v>
      </c>
      <c r="N1149" s="6" t="n">
        <v>0</v>
      </c>
      <c r="O1149" s="6" t="n">
        <v>4102</v>
      </c>
      <c r="P1149" s="6" t="n">
        <v>504</v>
      </c>
      <c r="Q1149" s="1" t="n">
        <f aca="false">IF($A1149="","",IF(OR(F1149="",I1149=""),"",F1149-I1149))</f>
        <v>32446</v>
      </c>
      <c r="R1149" s="1" t="n">
        <f aca="false">IF($A1149="","",IF(Q1149="","",Q1149+IF(O1149="",0,O1149)))</f>
        <v>36548</v>
      </c>
      <c r="T1149" s="1" t="n">
        <f aca="false">IF($A1149="","",IF(R1149="","",R1149-IF(S1149="",0,S1149)))</f>
        <v>36548</v>
      </c>
      <c r="U1149" s="1" t="n">
        <f aca="false">IF($A1149="","",IF(I1149="","",I1149-SUM(J1149:P1149)))</f>
        <v>2</v>
      </c>
      <c r="V1149" s="6" t="s">
        <v>4749</v>
      </c>
      <c r="W1149" s="9" t="s">
        <v>528</v>
      </c>
      <c r="X1149" s="9" t="s">
        <v>4750</v>
      </c>
      <c r="AC1149" s="9" t="s">
        <v>4369</v>
      </c>
      <c r="AD1149" s="9" t="s">
        <v>4370</v>
      </c>
      <c r="AE1149" s="9" t="s">
        <v>4371</v>
      </c>
    </row>
    <row r="1150" customFormat="false" ht="15" hidden="false" customHeight="true" outlineLevel="0" collapsed="false">
      <c r="A1150" s="6" t="s">
        <v>4028</v>
      </c>
      <c r="B1150" s="6" t="s">
        <v>440</v>
      </c>
      <c r="C1150" s="6" t="s">
        <v>446</v>
      </c>
      <c r="D1150" s="6" t="n">
        <v>6</v>
      </c>
      <c r="E1150" s="9" t="s">
        <v>4396</v>
      </c>
      <c r="F1150" s="6" t="n">
        <v>42091</v>
      </c>
      <c r="G1150" s="6" t="n">
        <v>42091</v>
      </c>
      <c r="H1150" s="6" t="n">
        <v>0</v>
      </c>
      <c r="I1150" s="6" t="n">
        <v>22836</v>
      </c>
      <c r="J1150" s="6" t="n">
        <v>1444</v>
      </c>
      <c r="K1150" s="6" t="n">
        <v>0</v>
      </c>
      <c r="L1150" s="6" t="n">
        <v>6121</v>
      </c>
      <c r="M1150" s="6" t="n">
        <v>90</v>
      </c>
      <c r="N1150" s="6" t="n">
        <v>8545</v>
      </c>
      <c r="O1150" s="6" t="n">
        <v>6129</v>
      </c>
      <c r="P1150" s="6" t="n">
        <v>504</v>
      </c>
      <c r="Q1150" s="1" t="n">
        <f aca="false">IF($A1150="","",IF(OR(F1150="",I1150=""),"",F1150-I1150))</f>
        <v>19255</v>
      </c>
      <c r="R1150" s="1" t="n">
        <f aca="false">IF($A1150="","",IF(Q1150="","",Q1150+IF(O1150="",0,O1150)))</f>
        <v>25384</v>
      </c>
      <c r="T1150" s="1" t="n">
        <f aca="false">IF($A1150="","",IF(R1150="","",R1150-IF(S1150="",0,S1150)))</f>
        <v>25384</v>
      </c>
      <c r="U1150" s="1" t="n">
        <f aca="false">IF($A1150="","",IF(I1150="","",I1150-SUM(J1150:P1150)))</f>
        <v>3</v>
      </c>
      <c r="V1150" s="6" t="s">
        <v>4749</v>
      </c>
      <c r="W1150" s="9" t="s">
        <v>528</v>
      </c>
      <c r="X1150" s="9" t="s">
        <v>4750</v>
      </c>
      <c r="AC1150" s="9" t="s">
        <v>4369</v>
      </c>
      <c r="AD1150" s="9" t="s">
        <v>4370</v>
      </c>
      <c r="AE1150" s="9" t="s">
        <v>4371</v>
      </c>
    </row>
    <row r="1151" customFormat="false" ht="15" hidden="false" customHeight="true" outlineLevel="0" collapsed="false">
      <c r="A1151" s="6" t="s">
        <v>4030</v>
      </c>
      <c r="B1151" s="6" t="s">
        <v>440</v>
      </c>
      <c r="C1151" s="6" t="s">
        <v>446</v>
      </c>
      <c r="D1151" s="6" t="n">
        <v>6</v>
      </c>
      <c r="E1151" s="9" t="s">
        <v>4396</v>
      </c>
      <c r="F1151" s="6" t="n">
        <v>35273</v>
      </c>
      <c r="G1151" s="6" t="n">
        <v>35273</v>
      </c>
      <c r="H1151" s="6" t="n">
        <v>0</v>
      </c>
      <c r="I1151" s="6" t="n">
        <v>11990</v>
      </c>
      <c r="J1151" s="6" t="n">
        <v>963</v>
      </c>
      <c r="K1151" s="6" t="n">
        <v>0</v>
      </c>
      <c r="L1151" s="6" t="n">
        <v>4761</v>
      </c>
      <c r="M1151" s="6" t="n">
        <v>76</v>
      </c>
      <c r="N1151" s="6" t="n">
        <v>755</v>
      </c>
      <c r="O1151" s="6" t="n">
        <v>4929</v>
      </c>
      <c r="P1151" s="6" t="n">
        <v>504</v>
      </c>
      <c r="Q1151" s="1" t="n">
        <f aca="false">IF($A1151="","",IF(OR(F1151="",I1151=""),"",F1151-I1151))</f>
        <v>23283</v>
      </c>
      <c r="R1151" s="1" t="n">
        <f aca="false">IF($A1151="","",IF(Q1151="","",Q1151+IF(O1151="",0,O1151)))</f>
        <v>28212</v>
      </c>
      <c r="T1151" s="1" t="n">
        <f aca="false">IF($A1151="","",IF(R1151="","",R1151-IF(S1151="",0,S1151)))</f>
        <v>28212</v>
      </c>
      <c r="U1151" s="1" t="n">
        <f aca="false">IF($A1151="","",IF(I1151="","",I1151-SUM(J1151:P1151)))</f>
        <v>2</v>
      </c>
      <c r="V1151" s="6" t="s">
        <v>4749</v>
      </c>
      <c r="W1151" s="9" t="s">
        <v>528</v>
      </c>
      <c r="X1151" s="9" t="s">
        <v>4750</v>
      </c>
      <c r="AC1151" s="9" t="s">
        <v>4369</v>
      </c>
      <c r="AD1151" s="9" t="s">
        <v>4370</v>
      </c>
      <c r="AE1151" s="9" t="s">
        <v>4371</v>
      </c>
    </row>
    <row r="1152" customFormat="false" ht="15" hidden="false" customHeight="true" outlineLevel="0" collapsed="false">
      <c r="A1152" s="6" t="s">
        <v>4032</v>
      </c>
      <c r="B1152" s="6" t="s">
        <v>440</v>
      </c>
      <c r="C1152" s="6" t="s">
        <v>446</v>
      </c>
      <c r="D1152" s="6" t="n">
        <v>6</v>
      </c>
      <c r="E1152" s="9" t="s">
        <v>4396</v>
      </c>
      <c r="F1152" s="6" t="n">
        <v>649</v>
      </c>
      <c r="G1152" s="6" t="n">
        <v>649</v>
      </c>
      <c r="H1152" s="6" t="n">
        <v>0</v>
      </c>
      <c r="I1152" s="6" t="n">
        <v>624</v>
      </c>
      <c r="J1152" s="6" t="n">
        <v>32</v>
      </c>
      <c r="K1152" s="6" t="n">
        <v>0</v>
      </c>
      <c r="L1152" s="6" t="n">
        <v>0</v>
      </c>
      <c r="M1152" s="6" t="n">
        <v>8</v>
      </c>
      <c r="N1152" s="6" t="n">
        <v>0</v>
      </c>
      <c r="O1152" s="6" t="n">
        <v>558</v>
      </c>
      <c r="P1152" s="6" t="n">
        <v>25</v>
      </c>
      <c r="Q1152" s="1" t="n">
        <f aca="false">IF($A1152="","",IF(OR(F1152="",I1152=""),"",F1152-I1152))</f>
        <v>25</v>
      </c>
      <c r="R1152" s="1" t="n">
        <f aca="false">IF($A1152="","",IF(Q1152="","",Q1152+IF(O1152="",0,O1152)))</f>
        <v>583</v>
      </c>
      <c r="T1152" s="1" t="n">
        <f aca="false">IF($A1152="","",IF(R1152="","",R1152-IF(S1152="",0,S1152)))</f>
        <v>583</v>
      </c>
      <c r="U1152" s="1" t="n">
        <f aca="false">IF($A1152="","",IF(I1152="","",I1152-SUM(J1152:P1152)))</f>
        <v>1</v>
      </c>
      <c r="V1152" s="6" t="s">
        <v>4749</v>
      </c>
      <c r="W1152" s="9" t="s">
        <v>528</v>
      </c>
      <c r="X1152" s="9" t="s">
        <v>4775</v>
      </c>
      <c r="AC1152" s="9" t="s">
        <v>4369</v>
      </c>
      <c r="AD1152" s="9" t="s">
        <v>4370</v>
      </c>
      <c r="AE1152" s="9" t="s">
        <v>4371</v>
      </c>
    </row>
    <row r="1153" customFormat="false" ht="15" hidden="false" customHeight="true" outlineLevel="0" collapsed="false">
      <c r="A1153" s="6" t="s">
        <v>4034</v>
      </c>
      <c r="B1153" s="6" t="s">
        <v>440</v>
      </c>
      <c r="C1153" s="6" t="s">
        <v>446</v>
      </c>
      <c r="D1153" s="6" t="n">
        <v>6</v>
      </c>
      <c r="E1153" s="9" t="s">
        <v>4396</v>
      </c>
      <c r="F1153" s="6" t="n">
        <v>80358</v>
      </c>
      <c r="G1153" s="6" t="n">
        <v>80358</v>
      </c>
      <c r="H1153" s="6" t="n">
        <v>0</v>
      </c>
      <c r="I1153" s="6" t="n">
        <v>26244</v>
      </c>
      <c r="J1153" s="6" t="n">
        <v>780</v>
      </c>
      <c r="K1153" s="6" t="n">
        <v>0</v>
      </c>
      <c r="L1153" s="6" t="n">
        <v>15065</v>
      </c>
      <c r="M1153" s="6" t="n">
        <v>229</v>
      </c>
      <c r="N1153" s="6" t="n">
        <v>400</v>
      </c>
      <c r="O1153" s="6" t="n">
        <v>9264</v>
      </c>
      <c r="P1153" s="6" t="n">
        <v>504</v>
      </c>
      <c r="Q1153" s="1" t="n">
        <f aca="false">IF($A1153="","",IF(OR(F1153="",I1153=""),"",F1153-I1153))</f>
        <v>54114</v>
      </c>
      <c r="R1153" s="1" t="n">
        <f aca="false">IF($A1153="","",IF(Q1153="","",Q1153+IF(O1153="",0,O1153)))</f>
        <v>63378</v>
      </c>
      <c r="T1153" s="1" t="n">
        <f aca="false">IF($A1153="","",IF(R1153="","",R1153-IF(S1153="",0,S1153)))</f>
        <v>63378</v>
      </c>
      <c r="U1153" s="1" t="n">
        <f aca="false">IF($A1153="","",IF(I1153="","",I1153-SUM(J1153:P1153)))</f>
        <v>2</v>
      </c>
      <c r="V1153" s="6" t="s">
        <v>4749</v>
      </c>
      <c r="W1153" s="9" t="s">
        <v>528</v>
      </c>
      <c r="X1153" s="9" t="s">
        <v>4750</v>
      </c>
      <c r="AC1153" s="9" t="s">
        <v>4369</v>
      </c>
      <c r="AD1153" s="9" t="s">
        <v>4370</v>
      </c>
      <c r="AE1153" s="9" t="s">
        <v>4371</v>
      </c>
    </row>
    <row r="1154" customFormat="false" ht="15" hidden="false" customHeight="true" outlineLevel="0" collapsed="false">
      <c r="A1154" s="6" t="s">
        <v>4036</v>
      </c>
      <c r="B1154" s="6" t="s">
        <v>440</v>
      </c>
      <c r="C1154" s="6" t="s">
        <v>446</v>
      </c>
      <c r="D1154" s="6" t="n">
        <v>6</v>
      </c>
      <c r="E1154" s="9" t="s">
        <v>4396</v>
      </c>
      <c r="F1154" s="6" t="n">
        <v>45166</v>
      </c>
      <c r="G1154" s="6" t="n">
        <v>45166</v>
      </c>
      <c r="H1154" s="6" t="n">
        <v>0</v>
      </c>
      <c r="I1154" s="6" t="n">
        <v>20330</v>
      </c>
      <c r="J1154" s="6" t="n">
        <v>1212</v>
      </c>
      <c r="K1154" s="6" t="n">
        <v>0</v>
      </c>
      <c r="L1154" s="6" t="n">
        <v>8490</v>
      </c>
      <c r="M1154" s="6" t="n">
        <v>131</v>
      </c>
      <c r="N1154" s="6" t="n">
        <v>1400</v>
      </c>
      <c r="O1154" s="6" t="n">
        <v>8593</v>
      </c>
      <c r="P1154" s="6" t="n">
        <v>504</v>
      </c>
      <c r="Q1154" s="1" t="n">
        <f aca="false">IF($A1154="","",IF(OR(F1154="",I1154=""),"",F1154-I1154))</f>
        <v>24836</v>
      </c>
      <c r="R1154" s="1" t="n">
        <f aca="false">IF($A1154="","",IF(Q1154="","",Q1154+IF(O1154="",0,O1154)))</f>
        <v>33429</v>
      </c>
      <c r="T1154" s="1" t="n">
        <f aca="false">IF($A1154="","",IF(R1154="","",R1154-IF(S1154="",0,S1154)))</f>
        <v>33429</v>
      </c>
      <c r="U1154" s="1" t="n">
        <f aca="false">IF($A1154="","",IF(I1154="","",I1154-SUM(J1154:P1154)))</f>
        <v>0</v>
      </c>
      <c r="V1154" s="6" t="s">
        <v>4749</v>
      </c>
      <c r="W1154" s="9" t="s">
        <v>528</v>
      </c>
      <c r="X1154" s="9" t="s">
        <v>4750</v>
      </c>
      <c r="AC1154" s="9" t="s">
        <v>4369</v>
      </c>
      <c r="AD1154" s="9" t="s">
        <v>4370</v>
      </c>
      <c r="AE1154" s="9" t="s">
        <v>4371</v>
      </c>
    </row>
    <row r="1155" customFormat="false" ht="15" hidden="false" customHeight="true" outlineLevel="0" collapsed="false">
      <c r="A1155" s="6" t="s">
        <v>4039</v>
      </c>
      <c r="B1155" s="6" t="s">
        <v>440</v>
      </c>
      <c r="C1155" s="6" t="s">
        <v>446</v>
      </c>
      <c r="D1155" s="6" t="n">
        <v>6</v>
      </c>
      <c r="E1155" s="9" t="s">
        <v>4776</v>
      </c>
      <c r="F1155" s="6" t="n">
        <v>11416272</v>
      </c>
      <c r="G1155" s="6" t="n">
        <v>10841245</v>
      </c>
      <c r="H1155" s="6" t="n">
        <v>575027</v>
      </c>
      <c r="I1155" s="6" t="n">
        <v>3849536</v>
      </c>
      <c r="J1155" s="6" t="n">
        <v>615645</v>
      </c>
      <c r="K1155" s="6" t="n">
        <v>462420</v>
      </c>
      <c r="L1155" s="6" t="n">
        <v>935264</v>
      </c>
      <c r="M1155" s="6" t="n">
        <v>18986</v>
      </c>
      <c r="N1155" s="6" t="n">
        <v>153258</v>
      </c>
      <c r="O1155" s="6" t="n">
        <v>1415769</v>
      </c>
      <c r="P1155" s="6" t="n">
        <v>248191</v>
      </c>
      <c r="Q1155" s="1" t="n">
        <f aca="false">IF($A1155="","",IF(OR(F1155="",I1155=""),"",F1155-I1155))</f>
        <v>7566736</v>
      </c>
      <c r="R1155" s="1" t="n">
        <f aca="false">IF($A1155="","",IF(Q1155="","",Q1155+IF(O1155="",0,O1155)))</f>
        <v>8982505</v>
      </c>
      <c r="S1155" s="6" t="n">
        <v>735060</v>
      </c>
      <c r="T1155" s="1" t="n">
        <f aca="false">IF($A1155="","",IF(R1155="","",R1155-IF(S1155="",0,S1155)))</f>
        <v>8247445</v>
      </c>
      <c r="U1155" s="1" t="n">
        <f aca="false">IF($A1155="","",IF(I1155="","",I1155-SUM(J1155:P1155)))</f>
        <v>3</v>
      </c>
      <c r="V1155" s="6" t="s">
        <v>4777</v>
      </c>
      <c r="W1155" s="44" t="s">
        <v>1168</v>
      </c>
      <c r="X1155" s="9" t="s">
        <v>4778</v>
      </c>
      <c r="AC1155" s="9" t="s">
        <v>4369</v>
      </c>
      <c r="AD1155" s="9" t="s">
        <v>4370</v>
      </c>
      <c r="AE1155" s="9" t="s">
        <v>4371</v>
      </c>
    </row>
    <row r="1156" customFormat="false" ht="15" hidden="false" customHeight="true" outlineLevel="0" collapsed="false">
      <c r="A1156" s="6" t="s">
        <v>4044</v>
      </c>
      <c r="B1156" s="6" t="s">
        <v>477</v>
      </c>
      <c r="C1156" s="6" t="s">
        <v>483</v>
      </c>
      <c r="D1156" s="6" t="n">
        <v>6</v>
      </c>
      <c r="E1156" s="9" t="s">
        <v>4779</v>
      </c>
      <c r="Q1156" s="1" t="str">
        <f aca="false">IF($A1156="","",IF(OR(F1156="",I1156=""),"",F1156-I1156))</f>
        <v/>
      </c>
      <c r="R1156" s="1" t="str">
        <f aca="false">IF($A1156="","",IF(Q1156="","",Q1156+IF(O1156="",0,O1156)))</f>
        <v/>
      </c>
      <c r="T1156" s="1" t="str">
        <f aca="false">IF($A1156="","",IF(R1156="","",R1156-IF(S1156="",0,S1156)))</f>
        <v/>
      </c>
      <c r="U1156" s="1" t="str">
        <f aca="false">IF($A1156="","",IF(I1156="","",I1156-SUM(J1156:P1156)))</f>
        <v/>
      </c>
      <c r="V1156" s="6" t="s">
        <v>4046</v>
      </c>
      <c r="W1156" s="9" t="s">
        <v>528</v>
      </c>
      <c r="X1156" s="9" t="s">
        <v>4780</v>
      </c>
      <c r="AC1156" s="9" t="s">
        <v>4369</v>
      </c>
      <c r="AD1156" s="9" t="s">
        <v>4370</v>
      </c>
      <c r="AE1156" s="9" t="s">
        <v>4371</v>
      </c>
    </row>
    <row r="1157" customFormat="false" ht="15" hidden="false" customHeight="true" outlineLevel="0" collapsed="false">
      <c r="A1157" s="6" t="s">
        <v>4047</v>
      </c>
      <c r="B1157" s="6" t="s">
        <v>477</v>
      </c>
      <c r="C1157" s="6" t="s">
        <v>483</v>
      </c>
      <c r="D1157" s="6" t="n">
        <v>6</v>
      </c>
      <c r="E1157" s="9" t="s">
        <v>4779</v>
      </c>
      <c r="Q1157" s="1" t="str">
        <f aca="false">IF($A1157="","",IF(OR(F1157="",I1157=""),"",F1157-I1157))</f>
        <v/>
      </c>
      <c r="R1157" s="1" t="str">
        <f aca="false">IF($A1157="","",IF(Q1157="","",Q1157+IF(O1157="",0,O1157)))</f>
        <v/>
      </c>
      <c r="T1157" s="1" t="str">
        <f aca="false">IF($A1157="","",IF(R1157="","",R1157-IF(S1157="",0,S1157)))</f>
        <v/>
      </c>
      <c r="U1157" s="1" t="str">
        <f aca="false">IF($A1157="","",IF(I1157="","",I1157-SUM(J1157:P1157)))</f>
        <v/>
      </c>
      <c r="V1157" s="6" t="s">
        <v>4046</v>
      </c>
      <c r="W1157" s="9" t="s">
        <v>528</v>
      </c>
      <c r="X1157" s="9" t="s">
        <v>4781</v>
      </c>
      <c r="AC1157" s="9" t="s">
        <v>4369</v>
      </c>
      <c r="AD1157" s="9" t="s">
        <v>4370</v>
      </c>
      <c r="AE1157" s="9" t="s">
        <v>4371</v>
      </c>
    </row>
    <row r="1158" customFormat="false" ht="15" hidden="false" customHeight="true" outlineLevel="0" collapsed="false">
      <c r="A1158" s="6" t="s">
        <v>4049</v>
      </c>
      <c r="B1158" s="6" t="s">
        <v>477</v>
      </c>
      <c r="C1158" s="6" t="s">
        <v>483</v>
      </c>
      <c r="D1158" s="6" t="n">
        <v>6</v>
      </c>
      <c r="E1158" s="9" t="s">
        <v>4779</v>
      </c>
      <c r="Q1158" s="1" t="str">
        <f aca="false">IF($A1158="","",IF(OR(F1158="",I1158=""),"",F1158-I1158))</f>
        <v/>
      </c>
      <c r="R1158" s="1" t="str">
        <f aca="false">IF($A1158="","",IF(Q1158="","",Q1158+IF(O1158="",0,O1158)))</f>
        <v/>
      </c>
      <c r="T1158" s="1" t="str">
        <f aca="false">IF($A1158="","",IF(R1158="","",R1158-IF(S1158="",0,S1158)))</f>
        <v/>
      </c>
      <c r="U1158" s="1" t="str">
        <f aca="false">IF($A1158="","",IF(I1158="","",I1158-SUM(J1158:P1158)))</f>
        <v/>
      </c>
      <c r="V1158" s="6" t="s">
        <v>4046</v>
      </c>
      <c r="W1158" s="9" t="s">
        <v>528</v>
      </c>
      <c r="X1158" s="9" t="s">
        <v>4782</v>
      </c>
      <c r="AC1158" s="9" t="s">
        <v>4369</v>
      </c>
      <c r="AD1158" s="9" t="s">
        <v>4370</v>
      </c>
      <c r="AE1158" s="9" t="s">
        <v>4371</v>
      </c>
    </row>
    <row r="1159" customFormat="false" ht="15" hidden="false" customHeight="true" outlineLevel="0" collapsed="false">
      <c r="A1159" s="6" t="s">
        <v>4052</v>
      </c>
      <c r="B1159" s="6" t="s">
        <v>477</v>
      </c>
      <c r="C1159" s="6" t="s">
        <v>483</v>
      </c>
      <c r="D1159" s="6" t="n">
        <v>6</v>
      </c>
      <c r="E1159" s="9" t="s">
        <v>4779</v>
      </c>
      <c r="Q1159" s="1" t="str">
        <f aca="false">IF($A1159="","",IF(OR(F1159="",I1159=""),"",F1159-I1159))</f>
        <v/>
      </c>
      <c r="R1159" s="1" t="str">
        <f aca="false">IF($A1159="","",IF(Q1159="","",Q1159+IF(O1159="",0,O1159)))</f>
        <v/>
      </c>
      <c r="T1159" s="1" t="str">
        <f aca="false">IF($A1159="","",IF(R1159="","",R1159-IF(S1159="",0,S1159)))</f>
        <v/>
      </c>
      <c r="U1159" s="1" t="str">
        <f aca="false">IF($A1159="","",IF(I1159="","",I1159-SUM(J1159:P1159)))</f>
        <v/>
      </c>
      <c r="V1159" s="6" t="s">
        <v>4046</v>
      </c>
      <c r="W1159" s="9" t="s">
        <v>528</v>
      </c>
      <c r="X1159" s="9" t="s">
        <v>4783</v>
      </c>
      <c r="AC1159" s="9" t="s">
        <v>4369</v>
      </c>
      <c r="AD1159" s="9" t="s">
        <v>4370</v>
      </c>
      <c r="AE1159" s="9" t="s">
        <v>4371</v>
      </c>
    </row>
    <row r="1160" customFormat="false" ht="15" hidden="false" customHeight="true" outlineLevel="0" collapsed="false">
      <c r="A1160" s="6" t="s">
        <v>4055</v>
      </c>
      <c r="B1160" s="6" t="s">
        <v>477</v>
      </c>
      <c r="C1160" s="6" t="s">
        <v>483</v>
      </c>
      <c r="D1160" s="6" t="n">
        <v>6</v>
      </c>
      <c r="E1160" s="9" t="s">
        <v>4779</v>
      </c>
      <c r="Q1160" s="1" t="str">
        <f aca="false">IF($A1160="","",IF(OR(F1160="",I1160=""),"",F1160-I1160))</f>
        <v/>
      </c>
      <c r="R1160" s="1" t="str">
        <f aca="false">IF($A1160="","",IF(Q1160="","",Q1160+IF(O1160="",0,O1160)))</f>
        <v/>
      </c>
      <c r="T1160" s="1" t="str">
        <f aca="false">IF($A1160="","",IF(R1160="","",R1160-IF(S1160="",0,S1160)))</f>
        <v/>
      </c>
      <c r="U1160" s="1" t="str">
        <f aca="false">IF($A1160="","",IF(I1160="","",I1160-SUM(J1160:P1160)))</f>
        <v/>
      </c>
      <c r="V1160" s="6" t="s">
        <v>4046</v>
      </c>
      <c r="W1160" s="9" t="s">
        <v>528</v>
      </c>
      <c r="X1160" s="9" t="s">
        <v>4784</v>
      </c>
      <c r="AC1160" s="9" t="s">
        <v>4369</v>
      </c>
      <c r="AD1160" s="9" t="s">
        <v>4370</v>
      </c>
      <c r="AE1160" s="9" t="s">
        <v>4371</v>
      </c>
    </row>
    <row r="1161" customFormat="false" ht="15" hidden="false" customHeight="true" outlineLevel="0" collapsed="false">
      <c r="A1161" s="6" t="s">
        <v>4057</v>
      </c>
      <c r="B1161" s="6" t="s">
        <v>477</v>
      </c>
      <c r="C1161" s="6" t="s">
        <v>483</v>
      </c>
      <c r="D1161" s="6" t="n">
        <v>6</v>
      </c>
      <c r="E1161" s="9" t="s">
        <v>4779</v>
      </c>
      <c r="Q1161" s="1" t="str">
        <f aca="false">IF($A1161="","",IF(OR(F1161="",I1161=""),"",F1161-I1161))</f>
        <v/>
      </c>
      <c r="R1161" s="1" t="str">
        <f aca="false">IF($A1161="","",IF(Q1161="","",Q1161+IF(O1161="",0,O1161)))</f>
        <v/>
      </c>
      <c r="T1161" s="1" t="str">
        <f aca="false">IF($A1161="","",IF(R1161="","",R1161-IF(S1161="",0,S1161)))</f>
        <v/>
      </c>
      <c r="U1161" s="1" t="str">
        <f aca="false">IF($A1161="","",IF(I1161="","",I1161-SUM(J1161:P1161)))</f>
        <v/>
      </c>
      <c r="V1161" s="6" t="s">
        <v>4046</v>
      </c>
      <c r="W1161" s="9" t="s">
        <v>528</v>
      </c>
      <c r="X1161" s="9" t="s">
        <v>4785</v>
      </c>
      <c r="AC1161" s="9" t="s">
        <v>4369</v>
      </c>
      <c r="AD1161" s="9" t="s">
        <v>4370</v>
      </c>
      <c r="AE1161" s="9" t="s">
        <v>4371</v>
      </c>
    </row>
    <row r="1162" customFormat="false" ht="15" hidden="false" customHeight="true" outlineLevel="0" collapsed="false">
      <c r="A1162" s="6" t="s">
        <v>4059</v>
      </c>
      <c r="B1162" s="6" t="s">
        <v>477</v>
      </c>
      <c r="C1162" s="6" t="s">
        <v>483</v>
      </c>
      <c r="D1162" s="6" t="n">
        <v>6</v>
      </c>
      <c r="E1162" s="9" t="s">
        <v>4779</v>
      </c>
      <c r="Q1162" s="1" t="str">
        <f aca="false">IF($A1162="","",IF(OR(F1162="",I1162=""),"",F1162-I1162))</f>
        <v/>
      </c>
      <c r="R1162" s="1" t="str">
        <f aca="false">IF($A1162="","",IF(Q1162="","",Q1162+IF(O1162="",0,O1162)))</f>
        <v/>
      </c>
      <c r="T1162" s="1" t="str">
        <f aca="false">IF($A1162="","",IF(R1162="","",R1162-IF(S1162="",0,S1162)))</f>
        <v/>
      </c>
      <c r="U1162" s="1" t="str">
        <f aca="false">IF($A1162="","",IF(I1162="","",I1162-SUM(J1162:P1162)))</f>
        <v/>
      </c>
      <c r="V1162" s="6" t="s">
        <v>4046</v>
      </c>
      <c r="W1162" s="9" t="s">
        <v>528</v>
      </c>
      <c r="X1162" s="9" t="s">
        <v>4786</v>
      </c>
      <c r="AC1162" s="9" t="s">
        <v>4369</v>
      </c>
      <c r="AD1162" s="9" t="s">
        <v>4370</v>
      </c>
      <c r="AE1162" s="9" t="s">
        <v>4371</v>
      </c>
    </row>
    <row r="1163" customFormat="false" ht="15" hidden="false" customHeight="true" outlineLevel="0" collapsed="false">
      <c r="A1163" s="6" t="s">
        <v>4062</v>
      </c>
      <c r="B1163" s="6" t="s">
        <v>477</v>
      </c>
      <c r="C1163" s="6" t="s">
        <v>483</v>
      </c>
      <c r="D1163" s="6" t="n">
        <v>6</v>
      </c>
      <c r="E1163" s="9" t="s">
        <v>4779</v>
      </c>
      <c r="Q1163" s="1" t="str">
        <f aca="false">IF($A1163="","",IF(OR(F1163="",I1163=""),"",F1163-I1163))</f>
        <v/>
      </c>
      <c r="R1163" s="1" t="str">
        <f aca="false">IF($A1163="","",IF(Q1163="","",Q1163+IF(O1163="",0,O1163)))</f>
        <v/>
      </c>
      <c r="T1163" s="1" t="str">
        <f aca="false">IF($A1163="","",IF(R1163="","",R1163-IF(S1163="",0,S1163)))</f>
        <v/>
      </c>
      <c r="U1163" s="1" t="str">
        <f aca="false">IF($A1163="","",IF(I1163="","",I1163-SUM(J1163:P1163)))</f>
        <v/>
      </c>
      <c r="V1163" s="6" t="s">
        <v>4046</v>
      </c>
      <c r="W1163" s="9" t="s">
        <v>528</v>
      </c>
      <c r="X1163" s="9" t="s">
        <v>4787</v>
      </c>
      <c r="AC1163" s="9" t="s">
        <v>4369</v>
      </c>
      <c r="AD1163" s="9" t="s">
        <v>4370</v>
      </c>
      <c r="AE1163" s="9" t="s">
        <v>4371</v>
      </c>
    </row>
    <row r="1164" customFormat="false" ht="15" hidden="false" customHeight="true" outlineLevel="0" collapsed="false">
      <c r="A1164" s="6" t="s">
        <v>4065</v>
      </c>
      <c r="B1164" s="6" t="s">
        <v>477</v>
      </c>
      <c r="C1164" s="6" t="s">
        <v>483</v>
      </c>
      <c r="D1164" s="6" t="n">
        <v>6</v>
      </c>
      <c r="E1164" s="9" t="s">
        <v>4779</v>
      </c>
      <c r="Q1164" s="1" t="str">
        <f aca="false">IF($A1164="","",IF(OR(F1164="",I1164=""),"",F1164-I1164))</f>
        <v/>
      </c>
      <c r="R1164" s="1" t="str">
        <f aca="false">IF($A1164="","",IF(Q1164="","",Q1164+IF(O1164="",0,O1164)))</f>
        <v/>
      </c>
      <c r="T1164" s="1" t="str">
        <f aca="false">IF($A1164="","",IF(R1164="","",R1164-IF(S1164="",0,S1164)))</f>
        <v/>
      </c>
      <c r="U1164" s="1" t="str">
        <f aca="false">IF($A1164="","",IF(I1164="","",I1164-SUM(J1164:P1164)))</f>
        <v/>
      </c>
      <c r="V1164" s="6" t="s">
        <v>4046</v>
      </c>
      <c r="W1164" s="9" t="s">
        <v>528</v>
      </c>
      <c r="X1164" s="9" t="s">
        <v>4788</v>
      </c>
      <c r="AC1164" s="9" t="s">
        <v>4369</v>
      </c>
      <c r="AD1164" s="9" t="s">
        <v>4370</v>
      </c>
      <c r="AE1164" s="9" t="s">
        <v>4371</v>
      </c>
    </row>
    <row r="1165" customFormat="false" ht="15" hidden="false" customHeight="true" outlineLevel="0" collapsed="false">
      <c r="A1165" s="6" t="s">
        <v>4069</v>
      </c>
      <c r="B1165" s="6" t="s">
        <v>477</v>
      </c>
      <c r="C1165" s="6" t="s">
        <v>483</v>
      </c>
      <c r="D1165" s="6" t="n">
        <v>6</v>
      </c>
      <c r="E1165" s="9" t="s">
        <v>4779</v>
      </c>
      <c r="Q1165" s="1" t="str">
        <f aca="false">IF($A1165="","",IF(OR(F1165="",I1165=""),"",F1165-I1165))</f>
        <v/>
      </c>
      <c r="R1165" s="1" t="str">
        <f aca="false">IF($A1165="","",IF(Q1165="","",Q1165+IF(O1165="",0,O1165)))</f>
        <v/>
      </c>
      <c r="T1165" s="1" t="str">
        <f aca="false">IF($A1165="","",IF(R1165="","",R1165-IF(S1165="",0,S1165)))</f>
        <v/>
      </c>
      <c r="U1165" s="1" t="str">
        <f aca="false">IF($A1165="","",IF(I1165="","",I1165-SUM(J1165:P1165)))</f>
        <v/>
      </c>
      <c r="V1165" s="6" t="s">
        <v>4046</v>
      </c>
      <c r="W1165" s="9" t="s">
        <v>528</v>
      </c>
      <c r="X1165" s="9" t="s">
        <v>4789</v>
      </c>
      <c r="AC1165" s="9" t="s">
        <v>4369</v>
      </c>
      <c r="AD1165" s="9" t="s">
        <v>4370</v>
      </c>
      <c r="AE1165" s="9" t="s">
        <v>4371</v>
      </c>
    </row>
    <row r="1166" customFormat="false" ht="15" hidden="false" customHeight="true" outlineLevel="0" collapsed="false">
      <c r="A1166" s="6" t="s">
        <v>4071</v>
      </c>
      <c r="B1166" s="6" t="s">
        <v>477</v>
      </c>
      <c r="C1166" s="6" t="s">
        <v>483</v>
      </c>
      <c r="D1166" s="6" t="n">
        <v>6</v>
      </c>
      <c r="E1166" s="9" t="s">
        <v>4779</v>
      </c>
      <c r="Q1166" s="1" t="str">
        <f aca="false">IF($A1166="","",IF(OR(F1166="",I1166=""),"",F1166-I1166))</f>
        <v/>
      </c>
      <c r="R1166" s="1" t="str">
        <f aca="false">IF($A1166="","",IF(Q1166="","",Q1166+IF(O1166="",0,O1166)))</f>
        <v/>
      </c>
      <c r="T1166" s="1" t="str">
        <f aca="false">IF($A1166="","",IF(R1166="","",R1166-IF(S1166="",0,S1166)))</f>
        <v/>
      </c>
      <c r="U1166" s="1" t="str">
        <f aca="false">IF($A1166="","",IF(I1166="","",I1166-SUM(J1166:P1166)))</f>
        <v/>
      </c>
      <c r="V1166" s="6" t="s">
        <v>4046</v>
      </c>
      <c r="W1166" s="9" t="s">
        <v>528</v>
      </c>
      <c r="X1166" s="9" t="s">
        <v>4790</v>
      </c>
      <c r="AC1166" s="9" t="s">
        <v>4369</v>
      </c>
      <c r="AD1166" s="9" t="s">
        <v>4370</v>
      </c>
      <c r="AE1166" s="9" t="s">
        <v>4371</v>
      </c>
    </row>
    <row r="1167" customFormat="false" ht="15" hidden="false" customHeight="true" outlineLevel="0" collapsed="false">
      <c r="A1167" s="6" t="s">
        <v>4074</v>
      </c>
      <c r="B1167" s="6" t="s">
        <v>477</v>
      </c>
      <c r="C1167" s="6" t="s">
        <v>483</v>
      </c>
      <c r="D1167" s="6" t="n">
        <v>6</v>
      </c>
      <c r="E1167" s="9" t="s">
        <v>4779</v>
      </c>
      <c r="Q1167" s="1" t="str">
        <f aca="false">IF($A1167="","",IF(OR(F1167="",I1167=""),"",F1167-I1167))</f>
        <v/>
      </c>
      <c r="R1167" s="1" t="str">
        <f aca="false">IF($A1167="","",IF(Q1167="","",Q1167+IF(O1167="",0,O1167)))</f>
        <v/>
      </c>
      <c r="T1167" s="1" t="str">
        <f aca="false">IF($A1167="","",IF(R1167="","",R1167-IF(S1167="",0,S1167)))</f>
        <v/>
      </c>
      <c r="U1167" s="1" t="str">
        <f aca="false">IF($A1167="","",IF(I1167="","",I1167-SUM(J1167:P1167)))</f>
        <v/>
      </c>
      <c r="V1167" s="6" t="s">
        <v>4046</v>
      </c>
      <c r="W1167" s="9" t="s">
        <v>528</v>
      </c>
      <c r="X1167" s="9" t="s">
        <v>4790</v>
      </c>
      <c r="AC1167" s="9" t="s">
        <v>4369</v>
      </c>
      <c r="AD1167" s="9" t="s">
        <v>4370</v>
      </c>
      <c r="AE1167" s="9" t="s">
        <v>4371</v>
      </c>
    </row>
    <row r="1168" customFormat="false" ht="15" hidden="false" customHeight="true" outlineLevel="0" collapsed="false">
      <c r="A1168" s="6" t="s">
        <v>4078</v>
      </c>
      <c r="B1168" s="6" t="s">
        <v>477</v>
      </c>
      <c r="C1168" s="6" t="s">
        <v>483</v>
      </c>
      <c r="D1168" s="6" t="n">
        <v>6</v>
      </c>
      <c r="E1168" s="9" t="s">
        <v>4779</v>
      </c>
      <c r="Q1168" s="1" t="str">
        <f aca="false">IF($A1168="","",IF(OR(F1168="",I1168=""),"",F1168-I1168))</f>
        <v/>
      </c>
      <c r="R1168" s="1" t="str">
        <f aca="false">IF($A1168="","",IF(Q1168="","",Q1168+IF(O1168="",0,O1168)))</f>
        <v/>
      </c>
      <c r="T1168" s="1" t="str">
        <f aca="false">IF($A1168="","",IF(R1168="","",R1168-IF(S1168="",0,S1168)))</f>
        <v/>
      </c>
      <c r="U1168" s="1" t="str">
        <f aca="false">IF($A1168="","",IF(I1168="","",I1168-SUM(J1168:P1168)))</f>
        <v/>
      </c>
      <c r="V1168" s="6" t="s">
        <v>4046</v>
      </c>
      <c r="W1168" s="9" t="s">
        <v>528</v>
      </c>
      <c r="X1168" s="9" t="s">
        <v>4791</v>
      </c>
      <c r="AC1168" s="9" t="s">
        <v>4369</v>
      </c>
      <c r="AD1168" s="9" t="s">
        <v>4370</v>
      </c>
      <c r="AE1168" s="9" t="s">
        <v>4371</v>
      </c>
    </row>
    <row r="1169" customFormat="false" ht="15" hidden="false" customHeight="true" outlineLevel="0" collapsed="false">
      <c r="A1169" s="6" t="s">
        <v>4082</v>
      </c>
      <c r="B1169" s="6" t="s">
        <v>477</v>
      </c>
      <c r="C1169" s="6" t="s">
        <v>483</v>
      </c>
      <c r="D1169" s="6" t="n">
        <v>6</v>
      </c>
      <c r="E1169" s="9" t="s">
        <v>4779</v>
      </c>
      <c r="Q1169" s="1" t="str">
        <f aca="false">IF($A1169="","",IF(OR(F1169="",I1169=""),"",F1169-I1169))</f>
        <v/>
      </c>
      <c r="R1169" s="1" t="str">
        <f aca="false">IF($A1169="","",IF(Q1169="","",Q1169+IF(O1169="",0,O1169)))</f>
        <v/>
      </c>
      <c r="T1169" s="1" t="str">
        <f aca="false">IF($A1169="","",IF(R1169="","",R1169-IF(S1169="",0,S1169)))</f>
        <v/>
      </c>
      <c r="U1169" s="1" t="str">
        <f aca="false">IF($A1169="","",IF(I1169="","",I1169-SUM(J1169:P1169)))</f>
        <v/>
      </c>
      <c r="V1169" s="6" t="s">
        <v>4046</v>
      </c>
      <c r="W1169" s="9" t="s">
        <v>528</v>
      </c>
      <c r="X1169" s="9" t="s">
        <v>4792</v>
      </c>
      <c r="AC1169" s="9" t="s">
        <v>4369</v>
      </c>
      <c r="AD1169" s="9" t="s">
        <v>4370</v>
      </c>
      <c r="AE1169" s="9" t="s">
        <v>4371</v>
      </c>
    </row>
    <row r="1170" customFormat="false" ht="15" hidden="false" customHeight="true" outlineLevel="0" collapsed="false">
      <c r="A1170" s="6" t="s">
        <v>4086</v>
      </c>
      <c r="B1170" s="6" t="s">
        <v>477</v>
      </c>
      <c r="C1170" s="6" t="s">
        <v>483</v>
      </c>
      <c r="D1170" s="6" t="n">
        <v>6</v>
      </c>
      <c r="E1170" s="9" t="s">
        <v>4779</v>
      </c>
      <c r="Q1170" s="1" t="str">
        <f aca="false">IF($A1170="","",IF(OR(F1170="",I1170=""),"",F1170-I1170))</f>
        <v/>
      </c>
      <c r="R1170" s="1" t="str">
        <f aca="false">IF($A1170="","",IF(Q1170="","",Q1170+IF(O1170="",0,O1170)))</f>
        <v/>
      </c>
      <c r="T1170" s="1" t="str">
        <f aca="false">IF($A1170="","",IF(R1170="","",R1170-IF(S1170="",0,S1170)))</f>
        <v/>
      </c>
      <c r="U1170" s="1" t="str">
        <f aca="false">IF($A1170="","",IF(I1170="","",I1170-SUM(J1170:P1170)))</f>
        <v/>
      </c>
      <c r="V1170" s="6" t="s">
        <v>4046</v>
      </c>
      <c r="W1170" s="9" t="s">
        <v>528</v>
      </c>
      <c r="X1170" s="9" t="s">
        <v>4786</v>
      </c>
      <c r="AC1170" s="9" t="s">
        <v>4369</v>
      </c>
      <c r="AD1170" s="9" t="s">
        <v>4370</v>
      </c>
      <c r="AE1170" s="9" t="s">
        <v>4371</v>
      </c>
    </row>
    <row r="1171" customFormat="false" ht="15" hidden="false" customHeight="true" outlineLevel="0" collapsed="false">
      <c r="A1171" s="6" t="s">
        <v>4090</v>
      </c>
      <c r="B1171" s="6" t="s">
        <v>477</v>
      </c>
      <c r="C1171" s="6" t="s">
        <v>483</v>
      </c>
      <c r="D1171" s="6" t="n">
        <v>6</v>
      </c>
      <c r="E1171" s="9" t="s">
        <v>4779</v>
      </c>
      <c r="Q1171" s="1" t="str">
        <f aca="false">IF($A1171="","",IF(OR(F1171="",I1171=""),"",F1171-I1171))</f>
        <v/>
      </c>
      <c r="R1171" s="1" t="str">
        <f aca="false">IF($A1171="","",IF(Q1171="","",Q1171+IF(O1171="",0,O1171)))</f>
        <v/>
      </c>
      <c r="T1171" s="1" t="str">
        <f aca="false">IF($A1171="","",IF(R1171="","",R1171-IF(S1171="",0,S1171)))</f>
        <v/>
      </c>
      <c r="U1171" s="1" t="str">
        <f aca="false">IF($A1171="","",IF(I1171="","",I1171-SUM(J1171:P1171)))</f>
        <v/>
      </c>
      <c r="V1171" s="6" t="s">
        <v>4046</v>
      </c>
      <c r="W1171" s="9" t="s">
        <v>528</v>
      </c>
      <c r="X1171" s="9" t="s">
        <v>4786</v>
      </c>
      <c r="AC1171" s="9" t="s">
        <v>4369</v>
      </c>
      <c r="AD1171" s="9" t="s">
        <v>4370</v>
      </c>
      <c r="AE1171" s="9" t="s">
        <v>4371</v>
      </c>
    </row>
    <row r="1172" customFormat="false" ht="15" hidden="false" customHeight="true" outlineLevel="0" collapsed="false">
      <c r="A1172" s="6" t="s">
        <v>4094</v>
      </c>
      <c r="B1172" s="6" t="s">
        <v>477</v>
      </c>
      <c r="C1172" s="6" t="s">
        <v>483</v>
      </c>
      <c r="D1172" s="6" t="n">
        <v>6</v>
      </c>
      <c r="E1172" s="9" t="s">
        <v>4776</v>
      </c>
      <c r="F1172" s="6" t="n">
        <v>2882078</v>
      </c>
      <c r="G1172" s="6" t="n">
        <v>2181224</v>
      </c>
      <c r="H1172" s="6" t="n">
        <v>700853</v>
      </c>
      <c r="I1172" s="6" t="n">
        <v>947798</v>
      </c>
      <c r="J1172" s="6" t="n">
        <v>140863</v>
      </c>
      <c r="K1172" s="6" t="n">
        <v>104845</v>
      </c>
      <c r="L1172" s="6" t="n">
        <v>283718</v>
      </c>
      <c r="M1172" s="6" t="n">
        <v>7100</v>
      </c>
      <c r="N1172" s="6" t="n">
        <v>78469</v>
      </c>
      <c r="O1172" s="6" t="n">
        <v>319927</v>
      </c>
      <c r="P1172" s="6" t="n">
        <v>12874</v>
      </c>
      <c r="Q1172" s="1" t="n">
        <f aca="false">IF($A1172="","",IF(OR(F1172="",I1172=""),"",F1172-I1172))</f>
        <v>1934280</v>
      </c>
      <c r="R1172" s="1" t="n">
        <f aca="false">IF($A1172="","",IF(Q1172="","",Q1172+IF(O1172="",0,O1172)))</f>
        <v>2254207</v>
      </c>
      <c r="S1172" s="6" t="n">
        <v>147562</v>
      </c>
      <c r="T1172" s="1" t="n">
        <f aca="false">IF($A1172="","",IF(R1172="","",R1172-IF(S1172="",0,S1172)))</f>
        <v>2106645</v>
      </c>
      <c r="U1172" s="1" t="n">
        <f aca="false">IF($A1172="","",IF(I1172="","",I1172-SUM(J1172:P1172)))</f>
        <v>2</v>
      </c>
      <c r="V1172" s="6" t="s">
        <v>4793</v>
      </c>
      <c r="W1172" s="44" t="s">
        <v>1168</v>
      </c>
      <c r="X1172" s="9" t="s">
        <v>4794</v>
      </c>
      <c r="AC1172" s="9" t="s">
        <v>4369</v>
      </c>
      <c r="AD1172" s="9" t="s">
        <v>4370</v>
      </c>
      <c r="AE1172" s="9" t="s">
        <v>4371</v>
      </c>
    </row>
    <row r="1173" customFormat="false" ht="15" hidden="false" customHeight="true" outlineLevel="0" collapsed="false">
      <c r="A1173" s="6" t="s">
        <v>4097</v>
      </c>
      <c r="B1173" s="6" t="s">
        <v>383</v>
      </c>
      <c r="C1173" s="6" t="s">
        <v>388</v>
      </c>
      <c r="D1173" s="6" t="n">
        <v>6</v>
      </c>
      <c r="E1173" s="9" t="s">
        <v>4795</v>
      </c>
      <c r="F1173" s="6" t="n">
        <v>1786000</v>
      </c>
      <c r="I1173" s="6" t="n">
        <v>659000</v>
      </c>
      <c r="J1173" s="6" t="n">
        <v>134000</v>
      </c>
      <c r="K1173" s="6" t="n">
        <v>88000</v>
      </c>
      <c r="L1173" s="6" t="n">
        <v>103000</v>
      </c>
      <c r="M1173" s="6" t="n">
        <v>1000</v>
      </c>
      <c r="N1173" s="6" t="n">
        <v>82000</v>
      </c>
      <c r="O1173" s="6" t="n">
        <v>249000</v>
      </c>
      <c r="P1173" s="6" t="n">
        <v>0</v>
      </c>
      <c r="Q1173" s="1" t="n">
        <f aca="false">IF($A1173="","",IF(OR(F1173="",I1173=""),"",F1173-I1173))</f>
        <v>1127000</v>
      </c>
      <c r="R1173" s="1" t="n">
        <f aca="false">IF($A1173="","",IF(Q1173="","",Q1173+IF(O1173="",0,O1173)))</f>
        <v>1376000</v>
      </c>
      <c r="S1173" s="6" t="n">
        <v>278000</v>
      </c>
      <c r="T1173" s="1" t="n">
        <f aca="false">IF($A1173="","",IF(R1173="","",R1173-IF(S1173="",0,S1173)))</f>
        <v>1098000</v>
      </c>
      <c r="U1173" s="1" t="n">
        <f aca="false">IF($A1173="","",IF(I1173="","",I1173-SUM(J1173:P1173)))</f>
        <v>2000</v>
      </c>
      <c r="V1173" s="6" t="s">
        <v>4796</v>
      </c>
      <c r="W1173" s="9" t="s">
        <v>528</v>
      </c>
      <c r="X1173" s="9" t="s">
        <v>4797</v>
      </c>
      <c r="AC1173" s="9" t="s">
        <v>4369</v>
      </c>
      <c r="AD1173" s="9" t="s">
        <v>4370</v>
      </c>
      <c r="AE1173" s="9" t="s">
        <v>4408</v>
      </c>
    </row>
    <row r="1174" customFormat="false" ht="15" hidden="false" customHeight="true" outlineLevel="0" collapsed="false">
      <c r="A1174" s="6" t="s">
        <v>4101</v>
      </c>
      <c r="B1174" s="6" t="s">
        <v>383</v>
      </c>
      <c r="C1174" s="6" t="s">
        <v>388</v>
      </c>
      <c r="D1174" s="6" t="n">
        <v>6</v>
      </c>
      <c r="E1174" s="9" t="s">
        <v>4795</v>
      </c>
      <c r="F1174" s="6" t="n">
        <v>247000</v>
      </c>
      <c r="I1174" s="6" t="n">
        <v>93000</v>
      </c>
      <c r="J1174" s="6" t="n">
        <v>16000</v>
      </c>
      <c r="K1174" s="6" t="n">
        <v>16000</v>
      </c>
      <c r="L1174" s="6" t="n">
        <v>24000</v>
      </c>
      <c r="M1174" s="6" t="n">
        <v>0</v>
      </c>
      <c r="N1174" s="6" t="n">
        <v>3000</v>
      </c>
      <c r="O1174" s="6" t="n">
        <v>32000</v>
      </c>
      <c r="P1174" s="6" t="n">
        <v>0</v>
      </c>
      <c r="Q1174" s="1" t="n">
        <f aca="false">IF($A1174="","",IF(OR(F1174="",I1174=""),"",F1174-I1174))</f>
        <v>154000</v>
      </c>
      <c r="R1174" s="1" t="n">
        <f aca="false">IF($A1174="","",IF(Q1174="","",Q1174+IF(O1174="",0,O1174)))</f>
        <v>186000</v>
      </c>
      <c r="S1174" s="6" t="n">
        <v>2000</v>
      </c>
      <c r="T1174" s="1" t="n">
        <f aca="false">IF($A1174="","",IF(R1174="","",R1174-IF(S1174="",0,S1174)))</f>
        <v>184000</v>
      </c>
      <c r="U1174" s="1" t="n">
        <f aca="false">IF($A1174="","",IF(I1174="","",I1174-SUM(J1174:P1174)))</f>
        <v>2000</v>
      </c>
      <c r="V1174" s="6" t="s">
        <v>4796</v>
      </c>
      <c r="W1174" s="9" t="s">
        <v>528</v>
      </c>
      <c r="X1174" s="9" t="s">
        <v>4797</v>
      </c>
      <c r="AC1174" s="9" t="s">
        <v>4369</v>
      </c>
      <c r="AD1174" s="9" t="s">
        <v>4370</v>
      </c>
      <c r="AE1174" s="9" t="s">
        <v>4408</v>
      </c>
    </row>
    <row r="1175" customFormat="false" ht="15" hidden="false" customHeight="true" outlineLevel="0" collapsed="false">
      <c r="A1175" s="6" t="s">
        <v>4103</v>
      </c>
      <c r="B1175" s="6" t="s">
        <v>383</v>
      </c>
      <c r="C1175" s="6" t="s">
        <v>388</v>
      </c>
      <c r="D1175" s="6" t="n">
        <v>6</v>
      </c>
      <c r="E1175" s="9" t="s">
        <v>4795</v>
      </c>
      <c r="F1175" s="6" t="n">
        <v>158000</v>
      </c>
      <c r="I1175" s="6" t="n">
        <v>46000</v>
      </c>
      <c r="J1175" s="6" t="n">
        <v>1000</v>
      </c>
      <c r="K1175" s="6" t="n">
        <v>0</v>
      </c>
      <c r="L1175" s="6" t="n">
        <v>21000</v>
      </c>
      <c r="M1175" s="6" t="n">
        <v>0</v>
      </c>
      <c r="N1175" s="6" t="n">
        <v>3000</v>
      </c>
      <c r="O1175" s="6" t="n">
        <v>20000</v>
      </c>
      <c r="P1175" s="6" t="n">
        <v>0</v>
      </c>
      <c r="Q1175" s="1" t="n">
        <f aca="false">IF($A1175="","",IF(OR(F1175="",I1175=""),"",F1175-I1175))</f>
        <v>112000</v>
      </c>
      <c r="R1175" s="1" t="n">
        <f aca="false">IF($A1175="","",IF(Q1175="","",Q1175+IF(O1175="",0,O1175)))</f>
        <v>132000</v>
      </c>
      <c r="S1175" s="6" t="n">
        <v>25000</v>
      </c>
      <c r="T1175" s="1" t="n">
        <f aca="false">IF($A1175="","",IF(R1175="","",R1175-IF(S1175="",0,S1175)))</f>
        <v>107000</v>
      </c>
      <c r="U1175" s="1" t="n">
        <f aca="false">IF($A1175="","",IF(I1175="","",I1175-SUM(J1175:P1175)))</f>
        <v>1000</v>
      </c>
      <c r="V1175" s="6" t="s">
        <v>4796</v>
      </c>
      <c r="W1175" s="9" t="s">
        <v>528</v>
      </c>
      <c r="X1175" s="9" t="s">
        <v>4797</v>
      </c>
      <c r="AC1175" s="9" t="s">
        <v>4369</v>
      </c>
      <c r="AD1175" s="9" t="s">
        <v>4370</v>
      </c>
      <c r="AE1175" s="9" t="s">
        <v>4408</v>
      </c>
    </row>
    <row r="1176" customFormat="false" ht="15" hidden="false" customHeight="true" outlineLevel="0" collapsed="false">
      <c r="A1176" s="6" t="s">
        <v>4106</v>
      </c>
      <c r="B1176" s="6" t="s">
        <v>383</v>
      </c>
      <c r="C1176" s="6" t="s">
        <v>388</v>
      </c>
      <c r="D1176" s="6" t="n">
        <v>6</v>
      </c>
      <c r="E1176" s="9" t="s">
        <v>4795</v>
      </c>
      <c r="F1176" s="6" t="n">
        <v>475000</v>
      </c>
      <c r="I1176" s="6" t="n">
        <v>301000</v>
      </c>
      <c r="J1176" s="6" t="n">
        <v>69000</v>
      </c>
      <c r="K1176" s="6" t="n">
        <v>51000</v>
      </c>
      <c r="L1176" s="6" t="n">
        <v>69000</v>
      </c>
      <c r="M1176" s="6" t="n">
        <v>0</v>
      </c>
      <c r="N1176" s="6" t="n">
        <v>8000</v>
      </c>
      <c r="O1176" s="6" t="n">
        <v>101000</v>
      </c>
      <c r="P1176" s="6" t="n">
        <v>0</v>
      </c>
      <c r="Q1176" s="1" t="n">
        <f aca="false">IF($A1176="","",IF(OR(F1176="",I1176=""),"",F1176-I1176))</f>
        <v>174000</v>
      </c>
      <c r="R1176" s="1" t="n">
        <f aca="false">IF($A1176="","",IF(Q1176="","",Q1176+IF(O1176="",0,O1176)))</f>
        <v>275000</v>
      </c>
      <c r="S1176" s="6" t="n">
        <v>38000</v>
      </c>
      <c r="T1176" s="1" t="n">
        <f aca="false">IF($A1176="","",IF(R1176="","",R1176-IF(S1176="",0,S1176)))</f>
        <v>237000</v>
      </c>
      <c r="U1176" s="1" t="n">
        <f aca="false">IF($A1176="","",IF(I1176="","",I1176-SUM(J1176:P1176)))</f>
        <v>3000</v>
      </c>
      <c r="V1176" s="6" t="s">
        <v>4796</v>
      </c>
      <c r="W1176" s="9" t="s">
        <v>528</v>
      </c>
      <c r="X1176" s="9" t="s">
        <v>4797</v>
      </c>
      <c r="AC1176" s="9" t="s">
        <v>4369</v>
      </c>
      <c r="AD1176" s="9" t="s">
        <v>4370</v>
      </c>
      <c r="AE1176" s="9" t="s">
        <v>4408</v>
      </c>
    </row>
    <row r="1177" customFormat="false" ht="15" hidden="false" customHeight="true" outlineLevel="0" collapsed="false">
      <c r="A1177" s="6" t="s">
        <v>4108</v>
      </c>
      <c r="B1177" s="6" t="s">
        <v>383</v>
      </c>
      <c r="C1177" s="6" t="s">
        <v>388</v>
      </c>
      <c r="D1177" s="6" t="n">
        <v>6</v>
      </c>
      <c r="E1177" s="9" t="s">
        <v>4795</v>
      </c>
      <c r="F1177" s="6" t="n">
        <v>186000</v>
      </c>
      <c r="I1177" s="6" t="n">
        <v>92000</v>
      </c>
      <c r="J1177" s="6" t="n">
        <v>9000</v>
      </c>
      <c r="K1177" s="6" t="n">
        <v>12000</v>
      </c>
      <c r="L1177" s="6" t="n">
        <v>34000</v>
      </c>
      <c r="M1177" s="6" t="n">
        <v>0</v>
      </c>
      <c r="N1177" s="6" t="n">
        <v>4000</v>
      </c>
      <c r="O1177" s="6" t="n">
        <v>31000</v>
      </c>
      <c r="P1177" s="6" t="n">
        <v>0</v>
      </c>
      <c r="Q1177" s="1" t="n">
        <f aca="false">IF($A1177="","",IF(OR(F1177="",I1177=""),"",F1177-I1177))</f>
        <v>94000</v>
      </c>
      <c r="R1177" s="1" t="n">
        <f aca="false">IF($A1177="","",IF(Q1177="","",Q1177+IF(O1177="",0,O1177)))</f>
        <v>125000</v>
      </c>
      <c r="S1177" s="6" t="n">
        <v>2000</v>
      </c>
      <c r="T1177" s="1" t="n">
        <f aca="false">IF($A1177="","",IF(R1177="","",R1177-IF(S1177="",0,S1177)))</f>
        <v>123000</v>
      </c>
      <c r="U1177" s="1" t="n">
        <f aca="false">IF($A1177="","",IF(I1177="","",I1177-SUM(J1177:P1177)))</f>
        <v>2000</v>
      </c>
      <c r="V1177" s="6" t="s">
        <v>4796</v>
      </c>
      <c r="W1177" s="9" t="s">
        <v>528</v>
      </c>
      <c r="X1177" s="9" t="s">
        <v>4797</v>
      </c>
      <c r="AC1177" s="9" t="s">
        <v>4369</v>
      </c>
      <c r="AD1177" s="9" t="s">
        <v>4370</v>
      </c>
      <c r="AE1177" s="9" t="s">
        <v>4408</v>
      </c>
    </row>
    <row r="1178" customFormat="false" ht="15" hidden="false" customHeight="true" outlineLevel="0" collapsed="false">
      <c r="A1178" s="6" t="s">
        <v>4110</v>
      </c>
      <c r="B1178" s="6" t="s">
        <v>383</v>
      </c>
      <c r="C1178" s="6" t="s">
        <v>388</v>
      </c>
      <c r="D1178" s="6" t="n">
        <v>6</v>
      </c>
      <c r="E1178" s="9" t="s">
        <v>4795</v>
      </c>
      <c r="F1178" s="6" t="n">
        <v>530000</v>
      </c>
      <c r="I1178" s="6" t="n">
        <v>263000</v>
      </c>
      <c r="J1178" s="6" t="n">
        <v>62000</v>
      </c>
      <c r="K1178" s="6" t="n">
        <v>29000</v>
      </c>
      <c r="L1178" s="6" t="n">
        <v>60000</v>
      </c>
      <c r="M1178" s="6" t="n">
        <v>0</v>
      </c>
      <c r="N1178" s="6" t="n">
        <v>44000</v>
      </c>
      <c r="O1178" s="6" t="n">
        <v>64000</v>
      </c>
      <c r="P1178" s="6" t="n">
        <v>0</v>
      </c>
      <c r="Q1178" s="1" t="n">
        <f aca="false">IF($A1178="","",IF(OR(F1178="",I1178=""),"",F1178-I1178))</f>
        <v>267000</v>
      </c>
      <c r="R1178" s="1" t="n">
        <f aca="false">IF($A1178="","",IF(Q1178="","",Q1178+IF(O1178="",0,O1178)))</f>
        <v>331000</v>
      </c>
      <c r="S1178" s="6" t="n">
        <v>239000</v>
      </c>
      <c r="T1178" s="1" t="n">
        <f aca="false">IF($A1178="","",IF(R1178="","",R1178-IF(S1178="",0,S1178)))</f>
        <v>92000</v>
      </c>
      <c r="U1178" s="1" t="n">
        <f aca="false">IF($A1178="","",IF(I1178="","",I1178-SUM(J1178:P1178)))</f>
        <v>4000</v>
      </c>
      <c r="V1178" s="6" t="s">
        <v>4796</v>
      </c>
      <c r="W1178" s="9" t="s">
        <v>528</v>
      </c>
      <c r="X1178" s="9" t="s">
        <v>4797</v>
      </c>
      <c r="AC1178" s="9" t="s">
        <v>4369</v>
      </c>
      <c r="AD1178" s="9" t="s">
        <v>4370</v>
      </c>
      <c r="AE1178" s="9" t="s">
        <v>4408</v>
      </c>
    </row>
    <row r="1179" customFormat="false" ht="15" hidden="false" customHeight="true" outlineLevel="0" collapsed="false">
      <c r="A1179" s="6" t="s">
        <v>4113</v>
      </c>
      <c r="B1179" s="6" t="s">
        <v>383</v>
      </c>
      <c r="C1179" s="6" t="s">
        <v>388</v>
      </c>
      <c r="D1179" s="6" t="n">
        <v>6</v>
      </c>
      <c r="E1179" s="9" t="s">
        <v>4795</v>
      </c>
      <c r="F1179" s="6" t="n">
        <v>997000</v>
      </c>
      <c r="I1179" s="6" t="n">
        <v>455000</v>
      </c>
      <c r="J1179" s="6" t="n">
        <v>58000</v>
      </c>
      <c r="K1179" s="6" t="n">
        <v>57000</v>
      </c>
      <c r="L1179" s="6" t="n">
        <v>173000</v>
      </c>
      <c r="M1179" s="6" t="n">
        <v>0</v>
      </c>
      <c r="N1179" s="6" t="n">
        <v>68000</v>
      </c>
      <c r="O1179" s="6" t="n">
        <v>94000</v>
      </c>
      <c r="P1179" s="6" t="n">
        <v>2000</v>
      </c>
      <c r="Q1179" s="1" t="n">
        <f aca="false">IF($A1179="","",IF(OR(F1179="",I1179=""),"",F1179-I1179))</f>
        <v>542000</v>
      </c>
      <c r="R1179" s="1" t="n">
        <f aca="false">IF($A1179="","",IF(Q1179="","",Q1179+IF(O1179="",0,O1179)))</f>
        <v>636000</v>
      </c>
      <c r="S1179" s="6" t="n">
        <v>127000</v>
      </c>
      <c r="T1179" s="1" t="n">
        <f aca="false">IF($A1179="","",IF(R1179="","",R1179-IF(S1179="",0,S1179)))</f>
        <v>509000</v>
      </c>
      <c r="U1179" s="1" t="n">
        <f aca="false">IF($A1179="","",IF(I1179="","",I1179-SUM(J1179:P1179)))</f>
        <v>3000</v>
      </c>
      <c r="V1179" s="6" t="s">
        <v>4796</v>
      </c>
      <c r="W1179" s="9" t="s">
        <v>528</v>
      </c>
      <c r="X1179" s="9" t="s">
        <v>4797</v>
      </c>
      <c r="AC1179" s="9" t="s">
        <v>4369</v>
      </c>
      <c r="AD1179" s="9" t="s">
        <v>4370</v>
      </c>
      <c r="AE1179" s="9" t="s">
        <v>4408</v>
      </c>
    </row>
    <row r="1180" customFormat="false" ht="15" hidden="false" customHeight="true" outlineLevel="0" collapsed="false">
      <c r="A1180" s="6" t="s">
        <v>4115</v>
      </c>
      <c r="B1180" s="6" t="s">
        <v>383</v>
      </c>
      <c r="C1180" s="6" t="s">
        <v>388</v>
      </c>
      <c r="D1180" s="6" t="n">
        <v>6</v>
      </c>
      <c r="E1180" s="9" t="s">
        <v>4795</v>
      </c>
      <c r="F1180" s="6" t="n">
        <v>162000</v>
      </c>
      <c r="I1180" s="6" t="n">
        <v>66000</v>
      </c>
      <c r="J1180" s="6" t="n">
        <v>0</v>
      </c>
      <c r="K1180" s="6" t="n">
        <v>0</v>
      </c>
      <c r="L1180" s="6" t="n">
        <v>16000</v>
      </c>
      <c r="M1180" s="6" t="n">
        <v>0</v>
      </c>
      <c r="N1180" s="6" t="n">
        <v>14000</v>
      </c>
      <c r="O1180" s="6" t="n">
        <v>35000</v>
      </c>
      <c r="P1180" s="6" t="n">
        <v>0</v>
      </c>
      <c r="Q1180" s="1" t="n">
        <f aca="false">IF($A1180="","",IF(OR(F1180="",I1180=""),"",F1180-I1180))</f>
        <v>96000</v>
      </c>
      <c r="R1180" s="1" t="n">
        <f aca="false">IF($A1180="","",IF(Q1180="","",Q1180+IF(O1180="",0,O1180)))</f>
        <v>131000</v>
      </c>
      <c r="S1180" s="6" t="n">
        <v>0</v>
      </c>
      <c r="T1180" s="1" t="n">
        <f aca="false">IF($A1180="","",IF(R1180="","",R1180-IF(S1180="",0,S1180)))</f>
        <v>131000</v>
      </c>
      <c r="U1180" s="1" t="n">
        <f aca="false">IF($A1180="","",IF(I1180="","",I1180-SUM(J1180:P1180)))</f>
        <v>1000</v>
      </c>
      <c r="V1180" s="6" t="s">
        <v>4796</v>
      </c>
      <c r="W1180" s="9" t="s">
        <v>528</v>
      </c>
      <c r="X1180" s="9" t="s">
        <v>4797</v>
      </c>
      <c r="AC1180" s="9" t="s">
        <v>4369</v>
      </c>
      <c r="AD1180" s="9" t="s">
        <v>4370</v>
      </c>
      <c r="AE1180" s="9" t="s">
        <v>4408</v>
      </c>
    </row>
    <row r="1181" customFormat="false" ht="15" hidden="false" customHeight="true" outlineLevel="0" collapsed="false">
      <c r="A1181" s="6" t="s">
        <v>4117</v>
      </c>
      <c r="B1181" s="6" t="s">
        <v>383</v>
      </c>
      <c r="C1181" s="6" t="s">
        <v>388</v>
      </c>
      <c r="D1181" s="6" t="n">
        <v>6</v>
      </c>
      <c r="E1181" s="9" t="s">
        <v>4795</v>
      </c>
      <c r="F1181" s="6" t="n">
        <v>36000</v>
      </c>
      <c r="I1181" s="6" t="n">
        <v>21000</v>
      </c>
      <c r="J1181" s="6" t="n">
        <v>4000</v>
      </c>
      <c r="K1181" s="6" t="n">
        <v>1000</v>
      </c>
      <c r="L1181" s="6" t="n">
        <v>3000</v>
      </c>
      <c r="M1181" s="6" t="n">
        <v>0</v>
      </c>
      <c r="N1181" s="6" t="n">
        <v>0</v>
      </c>
      <c r="O1181" s="6" t="n">
        <v>11000</v>
      </c>
      <c r="P1181" s="6" t="n">
        <v>0</v>
      </c>
      <c r="Q1181" s="1" t="n">
        <f aca="false">IF($A1181="","",IF(OR(F1181="",I1181=""),"",F1181-I1181))</f>
        <v>15000</v>
      </c>
      <c r="R1181" s="1" t="n">
        <f aca="false">IF($A1181="","",IF(Q1181="","",Q1181+IF(O1181="",0,O1181)))</f>
        <v>26000</v>
      </c>
      <c r="S1181" s="6" t="n">
        <v>0</v>
      </c>
      <c r="T1181" s="1" t="n">
        <f aca="false">IF($A1181="","",IF(R1181="","",R1181-IF(S1181="",0,S1181)))</f>
        <v>26000</v>
      </c>
      <c r="U1181" s="1" t="n">
        <f aca="false">IF($A1181="","",IF(I1181="","",I1181-SUM(J1181:P1181)))</f>
        <v>2000</v>
      </c>
      <c r="V1181" s="6" t="s">
        <v>4796</v>
      </c>
      <c r="W1181" s="9" t="s">
        <v>528</v>
      </c>
      <c r="X1181" s="9" t="s">
        <v>4797</v>
      </c>
      <c r="AC1181" s="9" t="s">
        <v>4369</v>
      </c>
      <c r="AD1181" s="9" t="s">
        <v>4370</v>
      </c>
      <c r="AE1181" s="9" t="s">
        <v>4445</v>
      </c>
    </row>
    <row r="1182" customFormat="false" ht="15" hidden="false" customHeight="true" outlineLevel="0" collapsed="false">
      <c r="A1182" s="6" t="s">
        <v>4119</v>
      </c>
      <c r="B1182" s="6" t="s">
        <v>383</v>
      </c>
      <c r="C1182" s="6" t="s">
        <v>388</v>
      </c>
      <c r="D1182" s="6" t="n">
        <v>6</v>
      </c>
      <c r="E1182" s="9" t="s">
        <v>4795</v>
      </c>
      <c r="F1182" s="6" t="n">
        <v>647000</v>
      </c>
      <c r="I1182" s="6" t="n">
        <v>532000</v>
      </c>
      <c r="J1182" s="6" t="n">
        <v>131000</v>
      </c>
      <c r="K1182" s="6" t="n">
        <v>48000</v>
      </c>
      <c r="L1182" s="6" t="n">
        <v>132000</v>
      </c>
      <c r="M1182" s="6" t="n">
        <v>1000</v>
      </c>
      <c r="N1182" s="6" t="n">
        <v>162000</v>
      </c>
      <c r="O1182" s="6" t="n">
        <v>56000</v>
      </c>
      <c r="P1182" s="6" t="n">
        <v>0</v>
      </c>
      <c r="Q1182" s="1" t="n">
        <f aca="false">IF($A1182="","",IF(OR(F1182="",I1182=""),"",F1182-I1182))</f>
        <v>115000</v>
      </c>
      <c r="R1182" s="1" t="n">
        <f aca="false">IF($A1182="","",IF(Q1182="","",Q1182+IF(O1182="",0,O1182)))</f>
        <v>171000</v>
      </c>
      <c r="S1182" s="6" t="n">
        <v>390000</v>
      </c>
      <c r="T1182" s="1" t="n">
        <f aca="false">IF($A1182="","",IF(R1182="","",R1182-IF(S1182="",0,S1182)))</f>
        <v>-219000</v>
      </c>
      <c r="U1182" s="1" t="n">
        <f aca="false">IF($A1182="","",IF(I1182="","",I1182-SUM(J1182:P1182)))</f>
        <v>2000</v>
      </c>
      <c r="V1182" s="6" t="s">
        <v>4796</v>
      </c>
      <c r="W1182" s="9" t="s">
        <v>528</v>
      </c>
      <c r="X1182" s="9" t="s">
        <v>4797</v>
      </c>
      <c r="AC1182" s="9" t="s">
        <v>4369</v>
      </c>
      <c r="AD1182" s="9" t="s">
        <v>4370</v>
      </c>
      <c r="AE1182" s="9" t="s">
        <v>4408</v>
      </c>
    </row>
    <row r="1183" customFormat="false" ht="15" hidden="false" customHeight="true" outlineLevel="0" collapsed="false">
      <c r="A1183" s="6" t="s">
        <v>4122</v>
      </c>
      <c r="B1183" s="6" t="s">
        <v>383</v>
      </c>
      <c r="C1183" s="6" t="s">
        <v>388</v>
      </c>
      <c r="D1183" s="6" t="n">
        <v>6</v>
      </c>
      <c r="E1183" s="9" t="s">
        <v>4795</v>
      </c>
      <c r="F1183" s="6" t="n">
        <v>290000</v>
      </c>
      <c r="I1183" s="6" t="n">
        <v>142000</v>
      </c>
      <c r="J1183" s="6" t="n">
        <v>28000</v>
      </c>
      <c r="K1183" s="6" t="n">
        <v>20000</v>
      </c>
      <c r="L1183" s="6" t="n">
        <v>53000</v>
      </c>
      <c r="M1183" s="6" t="n">
        <v>0</v>
      </c>
      <c r="N1183" s="6" t="n">
        <v>17000</v>
      </c>
      <c r="O1183" s="6" t="n">
        <v>19000</v>
      </c>
      <c r="P1183" s="6" t="n">
        <v>1000</v>
      </c>
      <c r="Q1183" s="1" t="n">
        <f aca="false">IF($A1183="","",IF(OR(F1183="",I1183=""),"",F1183-I1183))</f>
        <v>148000</v>
      </c>
      <c r="R1183" s="1" t="n">
        <f aca="false">IF($A1183="","",IF(Q1183="","",Q1183+IF(O1183="",0,O1183)))</f>
        <v>167000</v>
      </c>
      <c r="S1183" s="6" t="n">
        <v>54000</v>
      </c>
      <c r="T1183" s="1" t="n">
        <f aca="false">IF($A1183="","",IF(R1183="","",R1183-IF(S1183="",0,S1183)))</f>
        <v>113000</v>
      </c>
      <c r="U1183" s="1" t="n">
        <f aca="false">IF($A1183="","",IF(I1183="","",I1183-SUM(J1183:P1183)))</f>
        <v>4000</v>
      </c>
      <c r="V1183" s="6" t="s">
        <v>4796</v>
      </c>
      <c r="W1183" s="9" t="s">
        <v>528</v>
      </c>
      <c r="X1183" s="9" t="s">
        <v>4797</v>
      </c>
      <c r="AC1183" s="9" t="s">
        <v>4369</v>
      </c>
      <c r="AD1183" s="9" t="s">
        <v>4370</v>
      </c>
      <c r="AE1183" s="9" t="s">
        <v>4408</v>
      </c>
    </row>
    <row r="1184" customFormat="false" ht="15" hidden="false" customHeight="true" outlineLevel="0" collapsed="false">
      <c r="A1184" s="6" t="s">
        <v>4124</v>
      </c>
      <c r="B1184" s="6" t="s">
        <v>383</v>
      </c>
      <c r="C1184" s="6" t="s">
        <v>388</v>
      </c>
      <c r="D1184" s="6" t="n">
        <v>6</v>
      </c>
      <c r="E1184" s="9" t="s">
        <v>4795</v>
      </c>
      <c r="F1184" s="6" t="n">
        <v>422000</v>
      </c>
      <c r="I1184" s="6" t="n">
        <v>176000</v>
      </c>
      <c r="J1184" s="6" t="n">
        <v>26000</v>
      </c>
      <c r="K1184" s="6" t="n">
        <v>20000</v>
      </c>
      <c r="L1184" s="6" t="n">
        <v>45000</v>
      </c>
      <c r="M1184" s="6" t="n">
        <v>0</v>
      </c>
      <c r="N1184" s="6" t="n">
        <v>32000</v>
      </c>
      <c r="O1184" s="6" t="n">
        <v>50000</v>
      </c>
      <c r="P1184" s="6" t="n">
        <v>0</v>
      </c>
      <c r="Q1184" s="1" t="n">
        <f aca="false">IF($A1184="","",IF(OR(F1184="",I1184=""),"",F1184-I1184))</f>
        <v>246000</v>
      </c>
      <c r="R1184" s="1" t="n">
        <f aca="false">IF($A1184="","",IF(Q1184="","",Q1184+IF(O1184="",0,O1184)))</f>
        <v>296000</v>
      </c>
      <c r="S1184" s="6" t="n">
        <v>6000</v>
      </c>
      <c r="T1184" s="1" t="n">
        <f aca="false">IF($A1184="","",IF(R1184="","",R1184-IF(S1184="",0,S1184)))</f>
        <v>290000</v>
      </c>
      <c r="U1184" s="1" t="n">
        <f aca="false">IF($A1184="","",IF(I1184="","",I1184-SUM(J1184:P1184)))</f>
        <v>3000</v>
      </c>
      <c r="V1184" s="6" t="s">
        <v>4796</v>
      </c>
      <c r="W1184" s="9" t="s">
        <v>528</v>
      </c>
      <c r="X1184" s="9" t="s">
        <v>4797</v>
      </c>
      <c r="AC1184" s="9" t="s">
        <v>4369</v>
      </c>
      <c r="AD1184" s="9" t="s">
        <v>4370</v>
      </c>
      <c r="AE1184" s="9" t="s">
        <v>4408</v>
      </c>
    </row>
    <row r="1185" customFormat="false" ht="15" hidden="false" customHeight="true" outlineLevel="0" collapsed="false">
      <c r="A1185" s="6" t="s">
        <v>4126</v>
      </c>
      <c r="B1185" s="6" t="s">
        <v>383</v>
      </c>
      <c r="C1185" s="6" t="s">
        <v>388</v>
      </c>
      <c r="D1185" s="6" t="n">
        <v>6</v>
      </c>
      <c r="E1185" s="9" t="s">
        <v>4795</v>
      </c>
      <c r="F1185" s="6" t="n">
        <v>151000</v>
      </c>
      <c r="I1185" s="6" t="n">
        <v>56000</v>
      </c>
      <c r="J1185" s="6" t="n">
        <v>11000</v>
      </c>
      <c r="K1185" s="6" t="n">
        <v>9000</v>
      </c>
      <c r="L1185" s="6" t="n">
        <v>14000</v>
      </c>
      <c r="M1185" s="6" t="n">
        <v>0</v>
      </c>
      <c r="N1185" s="6" t="n">
        <v>4000</v>
      </c>
      <c r="O1185" s="6" t="n">
        <v>16000</v>
      </c>
      <c r="P1185" s="6" t="n">
        <v>0</v>
      </c>
      <c r="Q1185" s="1" t="n">
        <f aca="false">IF($A1185="","",IF(OR(F1185="",I1185=""),"",F1185-I1185))</f>
        <v>95000</v>
      </c>
      <c r="R1185" s="1" t="n">
        <f aca="false">IF($A1185="","",IF(Q1185="","",Q1185+IF(O1185="",0,O1185)))</f>
        <v>111000</v>
      </c>
      <c r="S1185" s="6" t="n">
        <v>2000</v>
      </c>
      <c r="T1185" s="1" t="n">
        <f aca="false">IF($A1185="","",IF(R1185="","",R1185-IF(S1185="",0,S1185)))</f>
        <v>109000</v>
      </c>
      <c r="U1185" s="1" t="n">
        <f aca="false">IF($A1185="","",IF(I1185="","",I1185-SUM(J1185:P1185)))</f>
        <v>2000</v>
      </c>
      <c r="V1185" s="6" t="s">
        <v>4796</v>
      </c>
      <c r="W1185" s="9" t="s">
        <v>528</v>
      </c>
      <c r="X1185" s="9" t="s">
        <v>4797</v>
      </c>
      <c r="AC1185" s="9" t="s">
        <v>4369</v>
      </c>
      <c r="AD1185" s="9" t="s">
        <v>4370</v>
      </c>
      <c r="AE1185" s="9" t="s">
        <v>4408</v>
      </c>
    </row>
    <row r="1186" customFormat="false" ht="15" hidden="false" customHeight="true" outlineLevel="0" collapsed="false">
      <c r="A1186" s="6" t="s">
        <v>4128</v>
      </c>
      <c r="B1186" s="6" t="s">
        <v>383</v>
      </c>
      <c r="C1186" s="6" t="s">
        <v>388</v>
      </c>
      <c r="D1186" s="6" t="n">
        <v>6</v>
      </c>
      <c r="E1186" s="9" t="s">
        <v>4795</v>
      </c>
      <c r="F1186" s="6" t="n">
        <v>165000</v>
      </c>
      <c r="I1186" s="6" t="n">
        <v>46000</v>
      </c>
      <c r="J1186" s="6" t="n">
        <v>0</v>
      </c>
      <c r="K1186" s="6" t="n">
        <v>0</v>
      </c>
      <c r="L1186" s="6" t="n">
        <v>13000</v>
      </c>
      <c r="M1186" s="6" t="n">
        <v>0</v>
      </c>
      <c r="N1186" s="6" t="n">
        <v>3000</v>
      </c>
      <c r="O1186" s="6" t="n">
        <v>29000</v>
      </c>
      <c r="P1186" s="6" t="n">
        <v>0</v>
      </c>
      <c r="Q1186" s="1" t="n">
        <f aca="false">IF($A1186="","",IF(OR(F1186="",I1186=""),"",F1186-I1186))</f>
        <v>119000</v>
      </c>
      <c r="R1186" s="1" t="n">
        <f aca="false">IF($A1186="","",IF(Q1186="","",Q1186+IF(O1186="",0,O1186)))</f>
        <v>148000</v>
      </c>
      <c r="S1186" s="6" t="n">
        <v>2000</v>
      </c>
      <c r="T1186" s="1" t="n">
        <f aca="false">IF($A1186="","",IF(R1186="","",R1186-IF(S1186="",0,S1186)))</f>
        <v>146000</v>
      </c>
      <c r="U1186" s="1" t="n">
        <f aca="false">IF($A1186="","",IF(I1186="","",I1186-SUM(J1186:P1186)))</f>
        <v>1000</v>
      </c>
      <c r="V1186" s="6" t="s">
        <v>4796</v>
      </c>
      <c r="W1186" s="9" t="s">
        <v>528</v>
      </c>
      <c r="X1186" s="9" t="s">
        <v>4797</v>
      </c>
      <c r="AC1186" s="9" t="s">
        <v>4369</v>
      </c>
      <c r="AD1186" s="9" t="s">
        <v>4370</v>
      </c>
      <c r="AE1186" s="9" t="s">
        <v>4408</v>
      </c>
    </row>
    <row r="1187" customFormat="false" ht="15" hidden="false" customHeight="true" outlineLevel="0" collapsed="false">
      <c r="A1187" s="6" t="s">
        <v>4130</v>
      </c>
      <c r="B1187" s="6" t="s">
        <v>383</v>
      </c>
      <c r="C1187" s="6" t="s">
        <v>388</v>
      </c>
      <c r="D1187" s="6" t="n">
        <v>6</v>
      </c>
      <c r="E1187" s="9" t="s">
        <v>4795</v>
      </c>
      <c r="F1187" s="6" t="n">
        <v>196000</v>
      </c>
      <c r="I1187" s="6" t="n">
        <v>80000</v>
      </c>
      <c r="J1187" s="6" t="n">
        <v>17000</v>
      </c>
      <c r="K1187" s="6" t="n">
        <v>9000</v>
      </c>
      <c r="L1187" s="6" t="n">
        <v>12000</v>
      </c>
      <c r="M1187" s="6" t="n">
        <v>0</v>
      </c>
      <c r="N1187" s="6" t="n">
        <v>10000</v>
      </c>
      <c r="O1187" s="6" t="n">
        <v>31000</v>
      </c>
      <c r="P1187" s="6" t="n">
        <v>0</v>
      </c>
      <c r="Q1187" s="1" t="n">
        <f aca="false">IF($A1187="","",IF(OR(F1187="",I1187=""),"",F1187-I1187))</f>
        <v>116000</v>
      </c>
      <c r="R1187" s="1" t="n">
        <f aca="false">IF($A1187="","",IF(Q1187="","",Q1187+IF(O1187="",0,O1187)))</f>
        <v>147000</v>
      </c>
      <c r="S1187" s="6" t="n">
        <v>8000</v>
      </c>
      <c r="T1187" s="1" t="n">
        <f aca="false">IF($A1187="","",IF(R1187="","",R1187-IF(S1187="",0,S1187)))</f>
        <v>139000</v>
      </c>
      <c r="U1187" s="1" t="n">
        <f aca="false">IF($A1187="","",IF(I1187="","",I1187-SUM(J1187:P1187)))</f>
        <v>1000</v>
      </c>
      <c r="V1187" s="6" t="s">
        <v>4796</v>
      </c>
      <c r="W1187" s="9" t="s">
        <v>528</v>
      </c>
      <c r="X1187" s="9" t="s">
        <v>4797</v>
      </c>
      <c r="AC1187" s="9" t="s">
        <v>4369</v>
      </c>
      <c r="AD1187" s="9" t="s">
        <v>4370</v>
      </c>
      <c r="AE1187" s="9" t="s">
        <v>4408</v>
      </c>
    </row>
    <row r="1188" customFormat="false" ht="15" hidden="false" customHeight="true" outlineLevel="0" collapsed="false">
      <c r="A1188" s="6" t="s">
        <v>4132</v>
      </c>
      <c r="B1188" s="6" t="s">
        <v>383</v>
      </c>
      <c r="C1188" s="6" t="s">
        <v>388</v>
      </c>
      <c r="D1188" s="6" t="n">
        <v>6</v>
      </c>
      <c r="E1188" s="9" t="s">
        <v>4795</v>
      </c>
      <c r="F1188" s="6" t="n">
        <v>740000</v>
      </c>
      <c r="I1188" s="6" t="n">
        <v>229000</v>
      </c>
      <c r="J1188" s="6" t="n">
        <v>30000</v>
      </c>
      <c r="K1188" s="6" t="n">
        <v>15000</v>
      </c>
      <c r="L1188" s="6" t="n">
        <v>115000</v>
      </c>
      <c r="M1188" s="6" t="n">
        <v>0</v>
      </c>
      <c r="N1188" s="6" t="n">
        <v>19000</v>
      </c>
      <c r="O1188" s="6" t="n">
        <v>44000</v>
      </c>
      <c r="P1188" s="6" t="n">
        <v>3000</v>
      </c>
      <c r="Q1188" s="1" t="n">
        <f aca="false">IF($A1188="","",IF(OR(F1188="",I1188=""),"",F1188-I1188))</f>
        <v>511000</v>
      </c>
      <c r="R1188" s="1" t="n">
        <f aca="false">IF($A1188="","",IF(Q1188="","",Q1188+IF(O1188="",0,O1188)))</f>
        <v>555000</v>
      </c>
      <c r="S1188" s="6" t="n">
        <v>6000</v>
      </c>
      <c r="T1188" s="1" t="n">
        <f aca="false">IF($A1188="","",IF(R1188="","",R1188-IF(S1188="",0,S1188)))</f>
        <v>549000</v>
      </c>
      <c r="U1188" s="1" t="n">
        <f aca="false">IF($A1188="","",IF(I1188="","",I1188-SUM(J1188:P1188)))</f>
        <v>3000</v>
      </c>
      <c r="V1188" s="6" t="s">
        <v>4796</v>
      </c>
      <c r="W1188" s="9" t="s">
        <v>528</v>
      </c>
      <c r="X1188" s="9" t="s">
        <v>4797</v>
      </c>
      <c r="AC1188" s="9" t="s">
        <v>4369</v>
      </c>
      <c r="AD1188" s="9" t="s">
        <v>4370</v>
      </c>
      <c r="AE1188" s="9" t="s">
        <v>4408</v>
      </c>
    </row>
    <row r="1189" customFormat="false" ht="15" hidden="false" customHeight="true" outlineLevel="0" collapsed="false">
      <c r="A1189" s="6" t="s">
        <v>4133</v>
      </c>
      <c r="B1189" s="6" t="s">
        <v>383</v>
      </c>
      <c r="C1189" s="6" t="s">
        <v>388</v>
      </c>
      <c r="D1189" s="6" t="n">
        <v>6</v>
      </c>
      <c r="E1189" s="9" t="s">
        <v>4795</v>
      </c>
      <c r="F1189" s="6" t="n">
        <v>176000</v>
      </c>
      <c r="I1189" s="6" t="n">
        <v>95000</v>
      </c>
      <c r="J1189" s="6" t="n">
        <v>14000</v>
      </c>
      <c r="K1189" s="6" t="n">
        <v>11000</v>
      </c>
      <c r="L1189" s="6" t="n">
        <v>20000</v>
      </c>
      <c r="M1189" s="6" t="n">
        <v>0</v>
      </c>
      <c r="N1189" s="6" t="n">
        <v>10000</v>
      </c>
      <c r="O1189" s="6" t="n">
        <v>38000</v>
      </c>
      <c r="P1189" s="6" t="n">
        <v>0</v>
      </c>
      <c r="Q1189" s="1" t="n">
        <f aca="false">IF($A1189="","",IF(OR(F1189="",I1189=""),"",F1189-I1189))</f>
        <v>81000</v>
      </c>
      <c r="R1189" s="1" t="n">
        <f aca="false">IF($A1189="","",IF(Q1189="","",Q1189+IF(O1189="",0,O1189)))</f>
        <v>119000</v>
      </c>
      <c r="S1189" s="6" t="n">
        <v>27000</v>
      </c>
      <c r="T1189" s="1" t="n">
        <f aca="false">IF($A1189="","",IF(R1189="","",R1189-IF(S1189="",0,S1189)))</f>
        <v>92000</v>
      </c>
      <c r="U1189" s="1" t="n">
        <f aca="false">IF($A1189="","",IF(I1189="","",I1189-SUM(J1189:P1189)))</f>
        <v>2000</v>
      </c>
      <c r="V1189" s="6" t="s">
        <v>4796</v>
      </c>
      <c r="W1189" s="9" t="s">
        <v>528</v>
      </c>
      <c r="X1189" s="9" t="s">
        <v>4797</v>
      </c>
      <c r="AC1189" s="9" t="s">
        <v>4369</v>
      </c>
      <c r="AD1189" s="9" t="s">
        <v>4370</v>
      </c>
      <c r="AE1189" s="9" t="s">
        <v>4408</v>
      </c>
    </row>
    <row r="1190" customFormat="false" ht="15" hidden="false" customHeight="true" outlineLevel="0" collapsed="false">
      <c r="A1190" s="6" t="s">
        <v>4136</v>
      </c>
      <c r="B1190" s="6" t="s">
        <v>383</v>
      </c>
      <c r="C1190" s="6" t="s">
        <v>388</v>
      </c>
      <c r="D1190" s="6" t="n">
        <v>6</v>
      </c>
      <c r="E1190" s="9" t="s">
        <v>4795</v>
      </c>
      <c r="F1190" s="6" t="n">
        <v>1301000</v>
      </c>
      <c r="I1190" s="6" t="n">
        <v>846000</v>
      </c>
      <c r="J1190" s="6" t="n">
        <v>165000</v>
      </c>
      <c r="K1190" s="6" t="n">
        <v>167000</v>
      </c>
      <c r="L1190" s="6" t="n">
        <v>198000</v>
      </c>
      <c r="M1190" s="6" t="n">
        <v>2000</v>
      </c>
      <c r="N1190" s="6" t="n">
        <v>59000</v>
      </c>
      <c r="O1190" s="6" t="n">
        <v>252000</v>
      </c>
      <c r="P1190" s="6" t="n">
        <v>0</v>
      </c>
      <c r="Q1190" s="1" t="n">
        <f aca="false">IF($A1190="","",IF(OR(F1190="",I1190=""),"",F1190-I1190))</f>
        <v>455000</v>
      </c>
      <c r="R1190" s="1" t="n">
        <f aca="false">IF($A1190="","",IF(Q1190="","",Q1190+IF(O1190="",0,O1190)))</f>
        <v>707000</v>
      </c>
      <c r="S1190" s="6" t="n">
        <v>117000</v>
      </c>
      <c r="T1190" s="1" t="n">
        <f aca="false">IF($A1190="","",IF(R1190="","",R1190-IF(S1190="",0,S1190)))</f>
        <v>590000</v>
      </c>
      <c r="U1190" s="1" t="n">
        <f aca="false">IF($A1190="","",IF(I1190="","",I1190-SUM(J1190:P1190)))</f>
        <v>3000</v>
      </c>
      <c r="V1190" s="6" t="s">
        <v>4796</v>
      </c>
      <c r="W1190" s="9" t="s">
        <v>528</v>
      </c>
      <c r="X1190" s="9" t="s">
        <v>4798</v>
      </c>
      <c r="AC1190" s="9" t="s">
        <v>4369</v>
      </c>
      <c r="AD1190" s="9" t="s">
        <v>4370</v>
      </c>
      <c r="AE1190" s="9" t="s">
        <v>4408</v>
      </c>
    </row>
    <row r="1191" customFormat="false" ht="15" hidden="false" customHeight="true" outlineLevel="0" collapsed="false">
      <c r="A1191" s="6" t="s">
        <v>4139</v>
      </c>
      <c r="B1191" s="6" t="s">
        <v>383</v>
      </c>
      <c r="C1191" s="6" t="s">
        <v>388</v>
      </c>
      <c r="D1191" s="6" t="n">
        <v>6</v>
      </c>
      <c r="E1191" s="9" t="s">
        <v>4795</v>
      </c>
      <c r="F1191" s="6" t="n">
        <v>487000</v>
      </c>
      <c r="I1191" s="6" t="n">
        <v>225000</v>
      </c>
      <c r="J1191" s="6" t="n">
        <v>38000</v>
      </c>
      <c r="K1191" s="6" t="n">
        <v>34000</v>
      </c>
      <c r="L1191" s="6" t="n">
        <v>59000</v>
      </c>
      <c r="M1191" s="6" t="n">
        <v>0</v>
      </c>
      <c r="N1191" s="6" t="n">
        <v>5000</v>
      </c>
      <c r="O1191" s="6" t="n">
        <v>86000</v>
      </c>
      <c r="P1191" s="6" t="n">
        <v>0</v>
      </c>
      <c r="Q1191" s="1" t="n">
        <f aca="false">IF($A1191="","",IF(OR(F1191="",I1191=""),"",F1191-I1191))</f>
        <v>262000</v>
      </c>
      <c r="R1191" s="1" t="n">
        <f aca="false">IF($A1191="","",IF(Q1191="","",Q1191+IF(O1191="",0,O1191)))</f>
        <v>348000</v>
      </c>
      <c r="S1191" s="6" t="n">
        <v>7000</v>
      </c>
      <c r="T1191" s="1" t="n">
        <f aca="false">IF($A1191="","",IF(R1191="","",R1191-IF(S1191="",0,S1191)))</f>
        <v>341000</v>
      </c>
      <c r="U1191" s="1" t="n">
        <f aca="false">IF($A1191="","",IF(I1191="","",I1191-SUM(J1191:P1191)))</f>
        <v>3000</v>
      </c>
      <c r="V1191" s="6" t="s">
        <v>4796</v>
      </c>
      <c r="W1191" s="9" t="s">
        <v>528</v>
      </c>
      <c r="X1191" s="9" t="s">
        <v>4797</v>
      </c>
      <c r="AC1191" s="9" t="s">
        <v>4369</v>
      </c>
      <c r="AD1191" s="9" t="s">
        <v>4370</v>
      </c>
      <c r="AE1191" s="9" t="s">
        <v>4408</v>
      </c>
    </row>
    <row r="1192" customFormat="false" ht="15" hidden="false" customHeight="true" outlineLevel="0" collapsed="false">
      <c r="A1192" s="6" t="s">
        <v>4141</v>
      </c>
      <c r="B1192" s="6" t="s">
        <v>383</v>
      </c>
      <c r="C1192" s="6" t="s">
        <v>388</v>
      </c>
      <c r="D1192" s="6" t="n">
        <v>6</v>
      </c>
      <c r="E1192" s="9" t="s">
        <v>4795</v>
      </c>
      <c r="F1192" s="6" t="n">
        <v>584000</v>
      </c>
      <c r="I1192" s="6" t="n">
        <v>306000</v>
      </c>
      <c r="J1192" s="6" t="n">
        <v>33000</v>
      </c>
      <c r="K1192" s="6" t="n">
        <v>21000</v>
      </c>
      <c r="L1192" s="6" t="n">
        <v>66000</v>
      </c>
      <c r="M1192" s="6" t="n">
        <v>0</v>
      </c>
      <c r="N1192" s="6" t="n">
        <v>0</v>
      </c>
      <c r="O1192" s="6" t="n">
        <v>83000</v>
      </c>
      <c r="P1192" s="6" t="n">
        <v>99000</v>
      </c>
      <c r="Q1192" s="1" t="n">
        <f aca="false">IF($A1192="","",IF(OR(F1192="",I1192=""),"",F1192-I1192))</f>
        <v>278000</v>
      </c>
      <c r="R1192" s="1" t="n">
        <f aca="false">IF($A1192="","",IF(Q1192="","",Q1192+IF(O1192="",0,O1192)))</f>
        <v>361000</v>
      </c>
      <c r="S1192" s="6" t="n">
        <v>0</v>
      </c>
      <c r="T1192" s="1" t="n">
        <f aca="false">IF($A1192="","",IF(R1192="","",R1192-IF(S1192="",0,S1192)))</f>
        <v>361000</v>
      </c>
      <c r="U1192" s="1" t="n">
        <f aca="false">IF($A1192="","",IF(I1192="","",I1192-SUM(J1192:P1192)))</f>
        <v>4000</v>
      </c>
      <c r="V1192" s="6" t="s">
        <v>4796</v>
      </c>
      <c r="W1192" s="9" t="s">
        <v>528</v>
      </c>
      <c r="X1192" s="9" t="s">
        <v>4797</v>
      </c>
      <c r="AC1192" s="9" t="s">
        <v>4369</v>
      </c>
      <c r="AD1192" s="9" t="s">
        <v>4370</v>
      </c>
      <c r="AE1192" s="9" t="s">
        <v>4408</v>
      </c>
    </row>
    <row r="1193" customFormat="false" ht="15" hidden="false" customHeight="true" outlineLevel="0" collapsed="false">
      <c r="A1193" s="6" t="s">
        <v>4143</v>
      </c>
      <c r="B1193" s="6" t="s">
        <v>383</v>
      </c>
      <c r="C1193" s="6" t="s">
        <v>388</v>
      </c>
      <c r="D1193" s="6" t="n">
        <v>6</v>
      </c>
      <c r="E1193" s="9" t="s">
        <v>4795</v>
      </c>
      <c r="F1193" s="6" t="n">
        <v>240000</v>
      </c>
      <c r="I1193" s="6" t="n">
        <v>97000</v>
      </c>
      <c r="J1193" s="6" t="n">
        <v>15000</v>
      </c>
      <c r="K1193" s="6" t="n">
        <v>12000</v>
      </c>
      <c r="L1193" s="6" t="n">
        <v>39000</v>
      </c>
      <c r="M1193" s="6" t="n">
        <v>0</v>
      </c>
      <c r="N1193" s="6" t="n">
        <v>6000</v>
      </c>
      <c r="O1193" s="6" t="n">
        <v>23000</v>
      </c>
      <c r="P1193" s="6" t="n">
        <v>0</v>
      </c>
      <c r="Q1193" s="1" t="n">
        <f aca="false">IF($A1193="","",IF(OR(F1193="",I1193=""),"",F1193-I1193))</f>
        <v>143000</v>
      </c>
      <c r="R1193" s="1" t="n">
        <f aca="false">IF($A1193="","",IF(Q1193="","",Q1193+IF(O1193="",0,O1193)))</f>
        <v>166000</v>
      </c>
      <c r="S1193" s="6" t="n">
        <v>2000</v>
      </c>
      <c r="T1193" s="1" t="n">
        <f aca="false">IF($A1193="","",IF(R1193="","",R1193-IF(S1193="",0,S1193)))</f>
        <v>164000</v>
      </c>
      <c r="U1193" s="1" t="n">
        <f aca="false">IF($A1193="","",IF(I1193="","",I1193-SUM(J1193:P1193)))</f>
        <v>2000</v>
      </c>
      <c r="V1193" s="6" t="s">
        <v>4796</v>
      </c>
      <c r="W1193" s="9" t="s">
        <v>528</v>
      </c>
      <c r="X1193" s="9" t="s">
        <v>4797</v>
      </c>
      <c r="AC1193" s="9" t="s">
        <v>4369</v>
      </c>
      <c r="AD1193" s="9" t="s">
        <v>4370</v>
      </c>
      <c r="AE1193" s="9" t="s">
        <v>4408</v>
      </c>
    </row>
    <row r="1194" customFormat="false" ht="15" hidden="false" customHeight="true" outlineLevel="0" collapsed="false">
      <c r="A1194" s="6" t="s">
        <v>4145</v>
      </c>
      <c r="B1194" s="6" t="s">
        <v>383</v>
      </c>
      <c r="C1194" s="6" t="s">
        <v>388</v>
      </c>
      <c r="D1194" s="6" t="n">
        <v>6</v>
      </c>
      <c r="E1194" s="9" t="s">
        <v>4795</v>
      </c>
      <c r="F1194" s="6" t="n">
        <v>107000</v>
      </c>
      <c r="I1194" s="6" t="n">
        <v>50000</v>
      </c>
      <c r="J1194" s="6" t="n">
        <v>12000</v>
      </c>
      <c r="K1194" s="6" t="n">
        <v>7000</v>
      </c>
      <c r="L1194" s="6" t="n">
        <v>8000</v>
      </c>
      <c r="M1194" s="6" t="n">
        <v>0</v>
      </c>
      <c r="N1194" s="6" t="n">
        <v>10000</v>
      </c>
      <c r="O1194" s="6" t="n">
        <v>11000</v>
      </c>
      <c r="P1194" s="6" t="n">
        <v>0</v>
      </c>
      <c r="Q1194" s="1" t="n">
        <f aca="false">IF($A1194="","",IF(OR(F1194="",I1194=""),"",F1194-I1194))</f>
        <v>57000</v>
      </c>
      <c r="R1194" s="1" t="n">
        <f aca="false">IF($A1194="","",IF(Q1194="","",Q1194+IF(O1194="",0,O1194)))</f>
        <v>68000</v>
      </c>
      <c r="S1194" s="6" t="n">
        <v>22000</v>
      </c>
      <c r="T1194" s="1" t="n">
        <f aca="false">IF($A1194="","",IF(R1194="","",R1194-IF(S1194="",0,S1194)))</f>
        <v>46000</v>
      </c>
      <c r="U1194" s="1" t="n">
        <f aca="false">IF($A1194="","",IF(I1194="","",I1194-SUM(J1194:P1194)))</f>
        <v>2000</v>
      </c>
      <c r="V1194" s="6" t="s">
        <v>4796</v>
      </c>
      <c r="W1194" s="9" t="s">
        <v>528</v>
      </c>
      <c r="X1194" s="9" t="s">
        <v>4797</v>
      </c>
      <c r="AC1194" s="9" t="s">
        <v>4369</v>
      </c>
      <c r="AD1194" s="9" t="s">
        <v>4370</v>
      </c>
      <c r="AE1194" s="9" t="s">
        <v>4408</v>
      </c>
    </row>
    <row r="1195" customFormat="false" ht="15" hidden="false" customHeight="true" outlineLevel="0" collapsed="false">
      <c r="A1195" s="6" t="s">
        <v>4147</v>
      </c>
      <c r="B1195" s="6" t="s">
        <v>383</v>
      </c>
      <c r="C1195" s="6" t="s">
        <v>388</v>
      </c>
      <c r="D1195" s="6" t="n">
        <v>6</v>
      </c>
      <c r="E1195" s="9" t="s">
        <v>4795</v>
      </c>
      <c r="F1195" s="6" t="n">
        <v>2245000</v>
      </c>
      <c r="I1195" s="6" t="n">
        <v>875000</v>
      </c>
      <c r="J1195" s="6" t="n">
        <v>188000</v>
      </c>
      <c r="K1195" s="6" t="n">
        <v>151000</v>
      </c>
      <c r="L1195" s="6" t="n">
        <v>222000</v>
      </c>
      <c r="M1195" s="6" t="n">
        <v>1000</v>
      </c>
      <c r="N1195" s="6" t="n">
        <v>55000</v>
      </c>
      <c r="O1195" s="6" t="n">
        <v>253000</v>
      </c>
      <c r="P1195" s="6" t="n">
        <v>2000</v>
      </c>
      <c r="Q1195" s="1" t="n">
        <f aca="false">IF($A1195="","",IF(OR(F1195="",I1195=""),"",F1195-I1195))</f>
        <v>1370000</v>
      </c>
      <c r="R1195" s="1" t="n">
        <f aca="false">IF($A1195="","",IF(Q1195="","",Q1195+IF(O1195="",0,O1195)))</f>
        <v>1623000</v>
      </c>
      <c r="S1195" s="6" t="n">
        <v>114000</v>
      </c>
      <c r="T1195" s="1" t="n">
        <f aca="false">IF($A1195="","",IF(R1195="","",R1195-IF(S1195="",0,S1195)))</f>
        <v>1509000</v>
      </c>
      <c r="U1195" s="1" t="n">
        <f aca="false">IF($A1195="","",IF(I1195="","",I1195-SUM(J1195:P1195)))</f>
        <v>3000</v>
      </c>
      <c r="V1195" s="6" t="s">
        <v>4796</v>
      </c>
      <c r="W1195" s="9" t="s">
        <v>528</v>
      </c>
      <c r="X1195" s="9" t="s">
        <v>4797</v>
      </c>
      <c r="AC1195" s="9" t="s">
        <v>4369</v>
      </c>
      <c r="AD1195" s="9" t="s">
        <v>4370</v>
      </c>
      <c r="AE1195" s="9" t="s">
        <v>4408</v>
      </c>
    </row>
    <row r="1196" customFormat="false" ht="15" hidden="false" customHeight="true" outlineLevel="0" collapsed="false">
      <c r="A1196" s="6" t="s">
        <v>4149</v>
      </c>
      <c r="B1196" s="6" t="s">
        <v>383</v>
      </c>
      <c r="C1196" s="6" t="s">
        <v>388</v>
      </c>
      <c r="D1196" s="6" t="n">
        <v>6</v>
      </c>
      <c r="E1196" s="9" t="s">
        <v>4795</v>
      </c>
      <c r="F1196" s="6" t="n">
        <v>329000</v>
      </c>
      <c r="I1196" s="6" t="n">
        <v>174000</v>
      </c>
      <c r="J1196" s="6" t="n">
        <v>37000</v>
      </c>
      <c r="K1196" s="6" t="n">
        <v>23000</v>
      </c>
      <c r="L1196" s="6" t="n">
        <v>47000</v>
      </c>
      <c r="M1196" s="6" t="n">
        <v>0</v>
      </c>
      <c r="N1196" s="6" t="n">
        <v>0</v>
      </c>
      <c r="O1196" s="6" t="n">
        <v>65000</v>
      </c>
      <c r="P1196" s="6" t="n">
        <v>0</v>
      </c>
      <c r="Q1196" s="1" t="n">
        <f aca="false">IF($A1196="","",IF(OR(F1196="",I1196=""),"",F1196-I1196))</f>
        <v>155000</v>
      </c>
      <c r="R1196" s="1" t="n">
        <f aca="false">IF($A1196="","",IF(Q1196="","",Q1196+IF(O1196="",0,O1196)))</f>
        <v>220000</v>
      </c>
      <c r="S1196" s="6" t="n">
        <v>0</v>
      </c>
      <c r="T1196" s="1" t="n">
        <f aca="false">IF($A1196="","",IF(R1196="","",R1196-IF(S1196="",0,S1196)))</f>
        <v>220000</v>
      </c>
      <c r="U1196" s="1" t="n">
        <f aca="false">IF($A1196="","",IF(I1196="","",I1196-SUM(J1196:P1196)))</f>
        <v>2000</v>
      </c>
      <c r="V1196" s="6" t="s">
        <v>4796</v>
      </c>
      <c r="W1196" s="9" t="s">
        <v>528</v>
      </c>
      <c r="X1196" s="9" t="s">
        <v>4797</v>
      </c>
      <c r="AC1196" s="9" t="s">
        <v>4369</v>
      </c>
      <c r="AD1196" s="9" t="s">
        <v>4370</v>
      </c>
      <c r="AE1196" s="9" t="s">
        <v>4408</v>
      </c>
    </row>
    <row r="1197" customFormat="false" ht="15" hidden="false" customHeight="true" outlineLevel="0" collapsed="false">
      <c r="A1197" s="6" t="s">
        <v>4151</v>
      </c>
      <c r="B1197" s="6" t="s">
        <v>383</v>
      </c>
      <c r="C1197" s="6" t="s">
        <v>388</v>
      </c>
      <c r="D1197" s="6" t="n">
        <v>6</v>
      </c>
      <c r="E1197" s="9" t="s">
        <v>4795</v>
      </c>
      <c r="F1197" s="6" t="n">
        <v>126000</v>
      </c>
      <c r="I1197" s="6" t="n">
        <v>54000</v>
      </c>
      <c r="J1197" s="6" t="n">
        <v>13000</v>
      </c>
      <c r="K1197" s="6" t="n">
        <v>7000</v>
      </c>
      <c r="L1197" s="6" t="n">
        <v>15000</v>
      </c>
      <c r="M1197" s="6" t="n">
        <v>0</v>
      </c>
      <c r="N1197" s="6" t="n">
        <v>2000</v>
      </c>
      <c r="O1197" s="6" t="n">
        <v>15000</v>
      </c>
      <c r="P1197" s="6" t="n">
        <v>0</v>
      </c>
      <c r="Q1197" s="1" t="n">
        <f aca="false">IF($A1197="","",IF(OR(F1197="",I1197=""),"",F1197-I1197))</f>
        <v>72000</v>
      </c>
      <c r="R1197" s="1" t="n">
        <f aca="false">IF($A1197="","",IF(Q1197="","",Q1197+IF(O1197="",0,O1197)))</f>
        <v>87000</v>
      </c>
      <c r="S1197" s="6" t="n">
        <v>1000</v>
      </c>
      <c r="T1197" s="1" t="n">
        <f aca="false">IF($A1197="","",IF(R1197="","",R1197-IF(S1197="",0,S1197)))</f>
        <v>86000</v>
      </c>
      <c r="U1197" s="1" t="n">
        <f aca="false">IF($A1197="","",IF(I1197="","",I1197-SUM(J1197:P1197)))</f>
        <v>2000</v>
      </c>
      <c r="V1197" s="6" t="s">
        <v>4796</v>
      </c>
      <c r="W1197" s="9" t="s">
        <v>528</v>
      </c>
      <c r="X1197" s="9" t="s">
        <v>4797</v>
      </c>
      <c r="AC1197" s="9" t="s">
        <v>4369</v>
      </c>
      <c r="AD1197" s="9" t="s">
        <v>4370</v>
      </c>
      <c r="AE1197" s="9" t="s">
        <v>4408</v>
      </c>
    </row>
    <row r="1198" customFormat="false" ht="15" hidden="false" customHeight="true" outlineLevel="0" collapsed="false">
      <c r="A1198" s="6" t="s">
        <v>4153</v>
      </c>
      <c r="B1198" s="6" t="s">
        <v>383</v>
      </c>
      <c r="C1198" s="6" t="s">
        <v>388</v>
      </c>
      <c r="D1198" s="6" t="n">
        <v>6</v>
      </c>
      <c r="E1198" s="9" t="s">
        <v>4795</v>
      </c>
      <c r="F1198" s="6" t="n">
        <v>330000</v>
      </c>
      <c r="I1198" s="6" t="n">
        <v>212000</v>
      </c>
      <c r="J1198" s="6" t="n">
        <v>48000</v>
      </c>
      <c r="K1198" s="6" t="n">
        <v>43000</v>
      </c>
      <c r="L1198" s="6" t="n">
        <v>30000</v>
      </c>
      <c r="M1198" s="6" t="n">
        <v>0</v>
      </c>
      <c r="N1198" s="6" t="n">
        <v>40000</v>
      </c>
      <c r="O1198" s="6" t="n">
        <v>48000</v>
      </c>
      <c r="P1198" s="6" t="n">
        <v>0</v>
      </c>
      <c r="Q1198" s="1" t="n">
        <f aca="false">IF($A1198="","",IF(OR(F1198="",I1198=""),"",F1198-I1198))</f>
        <v>118000</v>
      </c>
      <c r="R1198" s="1" t="n">
        <f aca="false">IF($A1198="","",IF(Q1198="","",Q1198+IF(O1198="",0,O1198)))</f>
        <v>166000</v>
      </c>
      <c r="S1198" s="6" t="n">
        <v>70000</v>
      </c>
      <c r="T1198" s="1" t="n">
        <f aca="false">IF($A1198="","",IF(R1198="","",R1198-IF(S1198="",0,S1198)))</f>
        <v>96000</v>
      </c>
      <c r="U1198" s="1" t="n">
        <f aca="false">IF($A1198="","",IF(I1198="","",I1198-SUM(J1198:P1198)))</f>
        <v>3000</v>
      </c>
      <c r="V1198" s="6" t="s">
        <v>4796</v>
      </c>
      <c r="W1198" s="9" t="s">
        <v>528</v>
      </c>
      <c r="X1198" s="9" t="s">
        <v>4797</v>
      </c>
      <c r="AC1198" s="9" t="s">
        <v>4369</v>
      </c>
      <c r="AD1198" s="9" t="s">
        <v>4370</v>
      </c>
      <c r="AE1198" s="9" t="s">
        <v>4408</v>
      </c>
    </row>
    <row r="1199" customFormat="false" ht="15" hidden="false" customHeight="true" outlineLevel="0" collapsed="false">
      <c r="A1199" s="6" t="s">
        <v>4155</v>
      </c>
      <c r="B1199" s="6" t="s">
        <v>383</v>
      </c>
      <c r="C1199" s="6" t="s">
        <v>388</v>
      </c>
      <c r="D1199" s="6" t="n">
        <v>6</v>
      </c>
      <c r="E1199" s="9" t="s">
        <v>4795</v>
      </c>
      <c r="F1199" s="6" t="n">
        <v>174000</v>
      </c>
      <c r="I1199" s="6" t="n">
        <v>65000</v>
      </c>
      <c r="J1199" s="6" t="n">
        <v>12000</v>
      </c>
      <c r="K1199" s="6" t="n">
        <v>8000</v>
      </c>
      <c r="L1199" s="6" t="n">
        <v>14000</v>
      </c>
      <c r="M1199" s="6" t="n">
        <v>0</v>
      </c>
      <c r="N1199" s="6" t="n">
        <v>1000</v>
      </c>
      <c r="O1199" s="6" t="n">
        <v>27000</v>
      </c>
      <c r="P1199" s="6" t="n">
        <v>0</v>
      </c>
      <c r="Q1199" s="1" t="n">
        <f aca="false">IF($A1199="","",IF(OR(F1199="",I1199=""),"",F1199-I1199))</f>
        <v>109000</v>
      </c>
      <c r="R1199" s="1" t="n">
        <f aca="false">IF($A1199="","",IF(Q1199="","",Q1199+IF(O1199="",0,O1199)))</f>
        <v>136000</v>
      </c>
      <c r="S1199" s="6" t="n">
        <v>0</v>
      </c>
      <c r="T1199" s="1" t="n">
        <f aca="false">IF($A1199="","",IF(R1199="","",R1199-IF(S1199="",0,S1199)))</f>
        <v>136000</v>
      </c>
      <c r="U1199" s="1" t="n">
        <f aca="false">IF($A1199="","",IF(I1199="","",I1199-SUM(J1199:P1199)))</f>
        <v>3000</v>
      </c>
      <c r="V1199" s="6" t="s">
        <v>4796</v>
      </c>
      <c r="W1199" s="9" t="s">
        <v>528</v>
      </c>
      <c r="X1199" s="9" t="s">
        <v>4797</v>
      </c>
      <c r="AC1199" s="9" t="s">
        <v>4369</v>
      </c>
      <c r="AD1199" s="9" t="s">
        <v>4370</v>
      </c>
      <c r="AE1199" s="9" t="s">
        <v>4408</v>
      </c>
    </row>
    <row r="1200" customFormat="false" ht="15" hidden="false" customHeight="true" outlineLevel="0" collapsed="false">
      <c r="A1200" s="6" t="s">
        <v>4157</v>
      </c>
      <c r="B1200" s="6" t="s">
        <v>383</v>
      </c>
      <c r="C1200" s="6" t="s">
        <v>388</v>
      </c>
      <c r="D1200" s="6" t="n">
        <v>6</v>
      </c>
      <c r="E1200" s="9" t="s">
        <v>4795</v>
      </c>
      <c r="F1200" s="6" t="n">
        <v>1805000</v>
      </c>
      <c r="I1200" s="6" t="n">
        <v>856000</v>
      </c>
      <c r="J1200" s="6" t="n">
        <v>169000</v>
      </c>
      <c r="K1200" s="6" t="n">
        <v>124000</v>
      </c>
      <c r="L1200" s="6" t="n">
        <v>149000</v>
      </c>
      <c r="M1200" s="6" t="n">
        <v>2000</v>
      </c>
      <c r="N1200" s="6" t="n">
        <v>67000</v>
      </c>
      <c r="O1200" s="6" t="n">
        <v>343000</v>
      </c>
      <c r="P1200" s="6" t="n">
        <v>0</v>
      </c>
      <c r="Q1200" s="1" t="n">
        <f aca="false">IF($A1200="","",IF(OR(F1200="",I1200=""),"",F1200-I1200))</f>
        <v>949000</v>
      </c>
      <c r="R1200" s="1" t="n">
        <f aca="false">IF($A1200="","",IF(Q1200="","",Q1200+IF(O1200="",0,O1200)))</f>
        <v>1292000</v>
      </c>
      <c r="S1200" s="6" t="n">
        <v>297000</v>
      </c>
      <c r="T1200" s="1" t="n">
        <f aca="false">IF($A1200="","",IF(R1200="","",R1200-IF(S1200="",0,S1200)))</f>
        <v>995000</v>
      </c>
      <c r="U1200" s="1" t="n">
        <f aca="false">IF($A1200="","",IF(I1200="","",I1200-SUM(J1200:P1200)))</f>
        <v>2000</v>
      </c>
      <c r="V1200" s="6" t="s">
        <v>4796</v>
      </c>
      <c r="W1200" s="9" t="s">
        <v>528</v>
      </c>
      <c r="X1200" s="9" t="s">
        <v>4797</v>
      </c>
      <c r="AC1200" s="9" t="s">
        <v>4369</v>
      </c>
      <c r="AD1200" s="9" t="s">
        <v>4370</v>
      </c>
      <c r="AE1200" s="9" t="s">
        <v>4408</v>
      </c>
    </row>
    <row r="1201" customFormat="false" ht="15" hidden="false" customHeight="true" outlineLevel="0" collapsed="false">
      <c r="A1201" s="6" t="s">
        <v>4160</v>
      </c>
      <c r="B1201" s="6" t="s">
        <v>383</v>
      </c>
      <c r="C1201" s="6" t="s">
        <v>388</v>
      </c>
      <c r="D1201" s="6" t="n">
        <v>6</v>
      </c>
      <c r="E1201" s="9" t="s">
        <v>4795</v>
      </c>
      <c r="F1201" s="6" t="n">
        <v>902000</v>
      </c>
      <c r="I1201" s="6" t="n">
        <v>470000</v>
      </c>
      <c r="J1201" s="6" t="n">
        <v>75000</v>
      </c>
      <c r="K1201" s="6" t="n">
        <v>56000</v>
      </c>
      <c r="L1201" s="6" t="n">
        <v>99000</v>
      </c>
      <c r="M1201" s="6" t="n">
        <v>0</v>
      </c>
      <c r="N1201" s="6" t="n">
        <v>60000</v>
      </c>
      <c r="O1201" s="6" t="n">
        <v>177000</v>
      </c>
      <c r="P1201" s="6" t="n">
        <v>0</v>
      </c>
      <c r="Q1201" s="1" t="n">
        <f aca="false">IF($A1201="","",IF(OR(F1201="",I1201=""),"",F1201-I1201))</f>
        <v>432000</v>
      </c>
      <c r="R1201" s="1" t="n">
        <f aca="false">IF($A1201="","",IF(Q1201="","",Q1201+IF(O1201="",0,O1201)))</f>
        <v>609000</v>
      </c>
      <c r="S1201" s="6" t="n">
        <v>53000</v>
      </c>
      <c r="T1201" s="1" t="n">
        <f aca="false">IF($A1201="","",IF(R1201="","",R1201-IF(S1201="",0,S1201)))</f>
        <v>556000</v>
      </c>
      <c r="U1201" s="1" t="n">
        <f aca="false">IF($A1201="","",IF(I1201="","",I1201-SUM(J1201:P1201)))</f>
        <v>3000</v>
      </c>
      <c r="V1201" s="6" t="s">
        <v>4796</v>
      </c>
      <c r="W1201" s="9" t="s">
        <v>528</v>
      </c>
      <c r="X1201" s="9" t="s">
        <v>4797</v>
      </c>
      <c r="AC1201" s="9" t="s">
        <v>4369</v>
      </c>
      <c r="AD1201" s="9" t="s">
        <v>4370</v>
      </c>
      <c r="AE1201" s="9" t="s">
        <v>4408</v>
      </c>
    </row>
    <row r="1202" customFormat="false" ht="15" hidden="false" customHeight="true" outlineLevel="0" collapsed="false">
      <c r="A1202" s="6" t="s">
        <v>4162</v>
      </c>
      <c r="B1202" s="6" t="s">
        <v>383</v>
      </c>
      <c r="C1202" s="6" t="s">
        <v>388</v>
      </c>
      <c r="D1202" s="6" t="n">
        <v>6</v>
      </c>
      <c r="E1202" s="9" t="s">
        <v>4795</v>
      </c>
      <c r="F1202" s="6" t="n">
        <v>653000</v>
      </c>
      <c r="I1202" s="6" t="n">
        <v>241000</v>
      </c>
      <c r="J1202" s="6" t="n">
        <v>65000</v>
      </c>
      <c r="K1202" s="6" t="n">
        <v>16000</v>
      </c>
      <c r="L1202" s="6" t="n">
        <v>0</v>
      </c>
      <c r="M1202" s="6" t="n">
        <v>0</v>
      </c>
      <c r="N1202" s="6" t="n">
        <v>7000</v>
      </c>
      <c r="O1202" s="6" t="n">
        <v>147000</v>
      </c>
      <c r="P1202" s="6" t="n">
        <v>3000</v>
      </c>
      <c r="Q1202" s="1" t="n">
        <f aca="false">IF($A1202="","",IF(OR(F1202="",I1202=""),"",F1202-I1202))</f>
        <v>412000</v>
      </c>
      <c r="R1202" s="1" t="n">
        <f aca="false">IF($A1202="","",IF(Q1202="","",Q1202+IF(O1202="",0,O1202)))</f>
        <v>559000</v>
      </c>
      <c r="S1202" s="6" t="n">
        <v>3000</v>
      </c>
      <c r="T1202" s="1" t="n">
        <f aca="false">IF($A1202="","",IF(R1202="","",R1202-IF(S1202="",0,S1202)))</f>
        <v>556000</v>
      </c>
      <c r="U1202" s="1" t="n">
        <f aca="false">IF($A1202="","",IF(I1202="","",I1202-SUM(J1202:P1202)))</f>
        <v>3000</v>
      </c>
      <c r="V1202" s="6" t="s">
        <v>4796</v>
      </c>
      <c r="W1202" s="9" t="s">
        <v>528</v>
      </c>
      <c r="X1202" s="9" t="s">
        <v>4797</v>
      </c>
      <c r="AC1202" s="9" t="s">
        <v>4369</v>
      </c>
      <c r="AD1202" s="9" t="s">
        <v>4370</v>
      </c>
      <c r="AE1202" s="9" t="s">
        <v>4408</v>
      </c>
    </row>
    <row r="1203" customFormat="false" ht="15" hidden="false" customHeight="true" outlineLevel="0" collapsed="false">
      <c r="A1203" s="6" t="s">
        <v>4165</v>
      </c>
      <c r="B1203" s="6" t="s">
        <v>383</v>
      </c>
      <c r="C1203" s="6" t="s">
        <v>388</v>
      </c>
      <c r="D1203" s="6" t="n">
        <v>6</v>
      </c>
      <c r="E1203" s="9" t="s">
        <v>4795</v>
      </c>
      <c r="F1203" s="6" t="n">
        <v>249000</v>
      </c>
      <c r="I1203" s="6" t="n">
        <v>119000</v>
      </c>
      <c r="J1203" s="6" t="n">
        <v>24000</v>
      </c>
      <c r="K1203" s="6" t="n">
        <v>15000</v>
      </c>
      <c r="L1203" s="6" t="n">
        <v>23000</v>
      </c>
      <c r="M1203" s="6" t="n">
        <v>0</v>
      </c>
      <c r="N1203" s="6" t="n">
        <v>10000</v>
      </c>
      <c r="O1203" s="6" t="n">
        <v>44000</v>
      </c>
      <c r="P1203" s="6" t="n">
        <v>0</v>
      </c>
      <c r="Q1203" s="1" t="n">
        <f aca="false">IF($A1203="","",IF(OR(F1203="",I1203=""),"",F1203-I1203))</f>
        <v>130000</v>
      </c>
      <c r="R1203" s="1" t="n">
        <f aca="false">IF($A1203="","",IF(Q1203="","",Q1203+IF(O1203="",0,O1203)))</f>
        <v>174000</v>
      </c>
      <c r="S1203" s="6" t="n">
        <v>62000</v>
      </c>
      <c r="T1203" s="1" t="n">
        <f aca="false">IF($A1203="","",IF(R1203="","",R1203-IF(S1203="",0,S1203)))</f>
        <v>112000</v>
      </c>
      <c r="U1203" s="1" t="n">
        <f aca="false">IF($A1203="","",IF(I1203="","",I1203-SUM(J1203:P1203)))</f>
        <v>3000</v>
      </c>
      <c r="V1203" s="6" t="s">
        <v>4796</v>
      </c>
      <c r="W1203" s="9" t="s">
        <v>528</v>
      </c>
      <c r="X1203" s="9" t="s">
        <v>4797</v>
      </c>
      <c r="AC1203" s="9" t="s">
        <v>4369</v>
      </c>
      <c r="AD1203" s="9" t="s">
        <v>4370</v>
      </c>
      <c r="AE1203" s="9" t="s">
        <v>4408</v>
      </c>
    </row>
    <row r="1204" customFormat="false" ht="15" hidden="false" customHeight="true" outlineLevel="0" collapsed="false">
      <c r="A1204" s="6" t="s">
        <v>4167</v>
      </c>
      <c r="B1204" s="6" t="s">
        <v>383</v>
      </c>
      <c r="C1204" s="6" t="s">
        <v>388</v>
      </c>
      <c r="D1204" s="6" t="n">
        <v>6</v>
      </c>
      <c r="E1204" s="9" t="s">
        <v>4799</v>
      </c>
      <c r="F1204" s="6" t="n">
        <v>1570000</v>
      </c>
      <c r="I1204" s="6" t="n">
        <v>1363000</v>
      </c>
      <c r="Q1204" s="1" t="n">
        <f aca="false">IF($A1204="","",IF(OR(F1204="",I1204=""),"",F1204-I1204))</f>
        <v>207000</v>
      </c>
      <c r="R1204" s="1" t="n">
        <f aca="false">IF($A1204="","",IF(Q1204="","",Q1204+IF(O1204="",0,O1204)))</f>
        <v>207000</v>
      </c>
      <c r="S1204" s="6" t="n">
        <v>690000</v>
      </c>
      <c r="T1204" s="1" t="n">
        <f aca="false">IF($A1204="","",IF(R1204="","",R1204-IF(S1204="",0,S1204)))</f>
        <v>-483000</v>
      </c>
      <c r="U1204" s="1" t="n">
        <f aca="false">IF($A1204="","",IF(I1204="","",I1204-SUM(J1204:P1204)))</f>
        <v>1363000</v>
      </c>
      <c r="V1204" s="6" t="s">
        <v>4796</v>
      </c>
      <c r="W1204" s="9" t="s">
        <v>528</v>
      </c>
      <c r="X1204" s="9" t="s">
        <v>4800</v>
      </c>
      <c r="AC1204" s="9" t="s">
        <v>4369</v>
      </c>
      <c r="AD1204" s="9" t="s">
        <v>4370</v>
      </c>
      <c r="AE1204" s="9" t="s">
        <v>4408</v>
      </c>
    </row>
    <row r="1205" customFormat="false" ht="15" hidden="false" customHeight="true" outlineLevel="0" collapsed="false">
      <c r="A1205" s="6" t="s">
        <v>4169</v>
      </c>
      <c r="B1205" s="6" t="s">
        <v>383</v>
      </c>
      <c r="C1205" s="6" t="s">
        <v>388</v>
      </c>
      <c r="D1205" s="6" t="n">
        <v>6</v>
      </c>
      <c r="E1205" s="9" t="s">
        <v>4795</v>
      </c>
      <c r="F1205" s="6" t="n">
        <v>200000</v>
      </c>
      <c r="I1205" s="6" t="n">
        <v>93000</v>
      </c>
      <c r="J1205" s="6" t="n">
        <v>16000</v>
      </c>
      <c r="K1205" s="6" t="n">
        <v>11000</v>
      </c>
      <c r="L1205" s="6" t="n">
        <v>32000</v>
      </c>
      <c r="M1205" s="6" t="n">
        <v>0</v>
      </c>
      <c r="N1205" s="6" t="n">
        <v>5000</v>
      </c>
      <c r="O1205" s="6" t="n">
        <v>28000</v>
      </c>
      <c r="P1205" s="6" t="n">
        <v>0</v>
      </c>
      <c r="Q1205" s="1" t="n">
        <f aca="false">IF($A1205="","",IF(OR(F1205="",I1205=""),"",F1205-I1205))</f>
        <v>107000</v>
      </c>
      <c r="R1205" s="1" t="n">
        <f aca="false">IF($A1205="","",IF(Q1205="","",Q1205+IF(O1205="",0,O1205)))</f>
        <v>135000</v>
      </c>
      <c r="S1205" s="6" t="n">
        <v>1000</v>
      </c>
      <c r="T1205" s="1" t="n">
        <f aca="false">IF($A1205="","",IF(R1205="","",R1205-IF(S1205="",0,S1205)))</f>
        <v>134000</v>
      </c>
      <c r="U1205" s="1" t="n">
        <f aca="false">IF($A1205="","",IF(I1205="","",I1205-SUM(J1205:P1205)))</f>
        <v>1000</v>
      </c>
      <c r="V1205" s="6" t="s">
        <v>4796</v>
      </c>
      <c r="W1205" s="9" t="s">
        <v>528</v>
      </c>
      <c r="X1205" s="9" t="s">
        <v>4797</v>
      </c>
      <c r="AC1205" s="9" t="s">
        <v>4369</v>
      </c>
      <c r="AD1205" s="9" t="s">
        <v>4370</v>
      </c>
      <c r="AE1205" s="9" t="s">
        <v>4408</v>
      </c>
    </row>
    <row r="1206" customFormat="false" ht="15" hidden="false" customHeight="true" outlineLevel="0" collapsed="false">
      <c r="A1206" s="6" t="s">
        <v>4171</v>
      </c>
      <c r="B1206" s="6" t="s">
        <v>383</v>
      </c>
      <c r="C1206" s="6" t="s">
        <v>388</v>
      </c>
      <c r="D1206" s="6" t="n">
        <v>6</v>
      </c>
      <c r="E1206" s="9" t="s">
        <v>4795</v>
      </c>
      <c r="F1206" s="6" t="n">
        <v>599000</v>
      </c>
      <c r="I1206" s="6" t="n">
        <v>271000</v>
      </c>
      <c r="J1206" s="6" t="n">
        <v>45000</v>
      </c>
      <c r="K1206" s="6" t="n">
        <v>32000</v>
      </c>
      <c r="L1206" s="6" t="n">
        <v>58000</v>
      </c>
      <c r="M1206" s="6" t="n">
        <v>0</v>
      </c>
      <c r="N1206" s="6" t="n">
        <v>1000</v>
      </c>
      <c r="O1206" s="6" t="n">
        <v>132000</v>
      </c>
      <c r="P1206" s="6" t="n">
        <v>0</v>
      </c>
      <c r="Q1206" s="1" t="n">
        <f aca="false">IF($A1206="","",IF(OR(F1206="",I1206=""),"",F1206-I1206))</f>
        <v>328000</v>
      </c>
      <c r="R1206" s="1" t="n">
        <f aca="false">IF($A1206="","",IF(Q1206="","",Q1206+IF(O1206="",0,O1206)))</f>
        <v>460000</v>
      </c>
      <c r="S1206" s="6" t="n">
        <v>0</v>
      </c>
      <c r="T1206" s="1" t="n">
        <f aca="false">IF($A1206="","",IF(R1206="","",R1206-IF(S1206="",0,S1206)))</f>
        <v>460000</v>
      </c>
      <c r="U1206" s="1" t="n">
        <f aca="false">IF($A1206="","",IF(I1206="","",I1206-SUM(J1206:P1206)))</f>
        <v>3000</v>
      </c>
      <c r="V1206" s="6" t="s">
        <v>4796</v>
      </c>
      <c r="W1206" s="9" t="s">
        <v>528</v>
      </c>
      <c r="X1206" s="9" t="s">
        <v>4797</v>
      </c>
      <c r="AC1206" s="9" t="s">
        <v>4369</v>
      </c>
      <c r="AD1206" s="9" t="s">
        <v>4370</v>
      </c>
      <c r="AE1206" s="9" t="s">
        <v>4408</v>
      </c>
    </row>
    <row r="1207" customFormat="false" ht="15" hidden="false" customHeight="true" outlineLevel="0" collapsed="false">
      <c r="A1207" s="6" t="s">
        <v>4173</v>
      </c>
      <c r="B1207" s="6" t="s">
        <v>383</v>
      </c>
      <c r="C1207" s="6" t="s">
        <v>388</v>
      </c>
      <c r="D1207" s="6" t="n">
        <v>6</v>
      </c>
      <c r="E1207" s="9" t="s">
        <v>4795</v>
      </c>
      <c r="F1207" s="6" t="n">
        <v>352000</v>
      </c>
      <c r="I1207" s="6" t="n">
        <v>135000</v>
      </c>
      <c r="J1207" s="6" t="n">
        <v>26000</v>
      </c>
      <c r="K1207" s="6" t="n">
        <v>18000</v>
      </c>
      <c r="L1207" s="6" t="n">
        <v>30000</v>
      </c>
      <c r="M1207" s="6" t="n">
        <v>0</v>
      </c>
      <c r="N1207" s="6" t="n">
        <v>1000</v>
      </c>
      <c r="O1207" s="6" t="n">
        <v>58000</v>
      </c>
      <c r="P1207" s="6" t="n">
        <v>0</v>
      </c>
      <c r="Q1207" s="1" t="n">
        <f aca="false">IF($A1207="","",IF(OR(F1207="",I1207=""),"",F1207-I1207))</f>
        <v>217000</v>
      </c>
      <c r="R1207" s="1" t="n">
        <f aca="false">IF($A1207="","",IF(Q1207="","",Q1207+IF(O1207="",0,O1207)))</f>
        <v>275000</v>
      </c>
      <c r="S1207" s="6" t="n">
        <v>5000</v>
      </c>
      <c r="T1207" s="1" t="n">
        <f aca="false">IF($A1207="","",IF(R1207="","",R1207-IF(S1207="",0,S1207)))</f>
        <v>270000</v>
      </c>
      <c r="U1207" s="1" t="n">
        <f aca="false">IF($A1207="","",IF(I1207="","",I1207-SUM(J1207:P1207)))</f>
        <v>2000</v>
      </c>
      <c r="V1207" s="6" t="s">
        <v>4796</v>
      </c>
      <c r="W1207" s="9" t="s">
        <v>528</v>
      </c>
      <c r="X1207" s="9" t="s">
        <v>4797</v>
      </c>
      <c r="AC1207" s="9" t="s">
        <v>4369</v>
      </c>
      <c r="AD1207" s="9" t="s">
        <v>4370</v>
      </c>
      <c r="AE1207" s="9" t="s">
        <v>4408</v>
      </c>
    </row>
    <row r="1208" customFormat="false" ht="15" hidden="false" customHeight="true" outlineLevel="0" collapsed="false">
      <c r="A1208" s="6" t="s">
        <v>4175</v>
      </c>
      <c r="B1208" s="6" t="s">
        <v>383</v>
      </c>
      <c r="C1208" s="6" t="s">
        <v>388</v>
      </c>
      <c r="D1208" s="6" t="n">
        <v>6</v>
      </c>
      <c r="E1208" s="9" t="s">
        <v>4795</v>
      </c>
      <c r="F1208" s="6" t="n">
        <v>185000</v>
      </c>
      <c r="I1208" s="6" t="n">
        <v>63000</v>
      </c>
      <c r="J1208" s="6" t="n">
        <v>11000</v>
      </c>
      <c r="K1208" s="6" t="n">
        <v>8000</v>
      </c>
      <c r="L1208" s="6" t="n">
        <v>26000</v>
      </c>
      <c r="M1208" s="6" t="n">
        <v>0</v>
      </c>
      <c r="N1208" s="6" t="n">
        <v>3000</v>
      </c>
      <c r="O1208" s="6" t="n">
        <v>13000</v>
      </c>
      <c r="P1208" s="6" t="n">
        <v>0</v>
      </c>
      <c r="Q1208" s="1" t="n">
        <f aca="false">IF($A1208="","",IF(OR(F1208="",I1208=""),"",F1208-I1208))</f>
        <v>122000</v>
      </c>
      <c r="R1208" s="1" t="n">
        <f aca="false">IF($A1208="","",IF(Q1208="","",Q1208+IF(O1208="",0,O1208)))</f>
        <v>135000</v>
      </c>
      <c r="S1208" s="6" t="n">
        <v>0</v>
      </c>
      <c r="T1208" s="1" t="n">
        <f aca="false">IF($A1208="","",IF(R1208="","",R1208-IF(S1208="",0,S1208)))</f>
        <v>135000</v>
      </c>
      <c r="U1208" s="1" t="n">
        <f aca="false">IF($A1208="","",IF(I1208="","",I1208-SUM(J1208:P1208)))</f>
        <v>2000</v>
      </c>
      <c r="V1208" s="6" t="s">
        <v>4796</v>
      </c>
      <c r="W1208" s="9" t="s">
        <v>528</v>
      </c>
      <c r="X1208" s="9" t="s">
        <v>4797</v>
      </c>
      <c r="AC1208" s="9" t="s">
        <v>4369</v>
      </c>
      <c r="AD1208" s="9" t="s">
        <v>4370</v>
      </c>
      <c r="AE1208" s="9" t="s">
        <v>4408</v>
      </c>
    </row>
    <row r="1209" customFormat="false" ht="15" hidden="false" customHeight="true" outlineLevel="0" collapsed="false">
      <c r="A1209" s="6" t="s">
        <v>4177</v>
      </c>
      <c r="B1209" s="6" t="s">
        <v>383</v>
      </c>
      <c r="C1209" s="6" t="s">
        <v>388</v>
      </c>
      <c r="D1209" s="6" t="n">
        <v>6</v>
      </c>
      <c r="E1209" s="9" t="s">
        <v>4795</v>
      </c>
      <c r="F1209" s="6" t="n">
        <v>336000</v>
      </c>
      <c r="I1209" s="6" t="n">
        <v>207000</v>
      </c>
      <c r="J1209" s="6" t="n">
        <v>29000</v>
      </c>
      <c r="K1209" s="6" t="n">
        <v>26000</v>
      </c>
      <c r="L1209" s="6" t="n">
        <v>80000</v>
      </c>
      <c r="M1209" s="6" t="n">
        <v>0</v>
      </c>
      <c r="N1209" s="6" t="n">
        <v>13000</v>
      </c>
      <c r="O1209" s="6" t="n">
        <v>57000</v>
      </c>
      <c r="P1209" s="6" t="n">
        <v>0</v>
      </c>
      <c r="Q1209" s="1" t="n">
        <f aca="false">IF($A1209="","",IF(OR(F1209="",I1209=""),"",F1209-I1209))</f>
        <v>129000</v>
      </c>
      <c r="R1209" s="1" t="n">
        <f aca="false">IF($A1209="","",IF(Q1209="","",Q1209+IF(O1209="",0,O1209)))</f>
        <v>186000</v>
      </c>
      <c r="S1209" s="6" t="n">
        <v>9000</v>
      </c>
      <c r="T1209" s="1" t="n">
        <f aca="false">IF($A1209="","",IF(R1209="","",R1209-IF(S1209="",0,S1209)))</f>
        <v>177000</v>
      </c>
      <c r="U1209" s="1" t="n">
        <f aca="false">IF($A1209="","",IF(I1209="","",I1209-SUM(J1209:P1209)))</f>
        <v>2000</v>
      </c>
      <c r="V1209" s="6" t="s">
        <v>4796</v>
      </c>
      <c r="W1209" s="9" t="s">
        <v>528</v>
      </c>
      <c r="X1209" s="9" t="s">
        <v>4797</v>
      </c>
      <c r="AC1209" s="9" t="s">
        <v>4369</v>
      </c>
      <c r="AD1209" s="9" t="s">
        <v>4370</v>
      </c>
      <c r="AE1209" s="9" t="s">
        <v>4408</v>
      </c>
    </row>
    <row r="1210" customFormat="false" ht="15" hidden="false" customHeight="true" outlineLevel="0" collapsed="false">
      <c r="A1210" s="6" t="s">
        <v>4179</v>
      </c>
      <c r="B1210" s="6" t="s">
        <v>383</v>
      </c>
      <c r="C1210" s="6" t="s">
        <v>388</v>
      </c>
      <c r="D1210" s="6" t="n">
        <v>6</v>
      </c>
      <c r="E1210" s="9" t="s">
        <v>4795</v>
      </c>
      <c r="F1210" s="6" t="n">
        <v>600000</v>
      </c>
      <c r="I1210" s="6" t="n">
        <v>120000</v>
      </c>
      <c r="J1210" s="6" t="n">
        <v>0</v>
      </c>
      <c r="K1210" s="6" t="n">
        <v>0</v>
      </c>
      <c r="L1210" s="6" t="n">
        <v>120000</v>
      </c>
      <c r="M1210" s="6" t="n">
        <v>0</v>
      </c>
      <c r="N1210" s="6" t="n">
        <v>0</v>
      </c>
      <c r="O1210" s="6" t="n">
        <v>0</v>
      </c>
      <c r="P1210" s="6" t="n">
        <v>0</v>
      </c>
      <c r="Q1210" s="1" t="n">
        <f aca="false">IF($A1210="","",IF(OR(F1210="",I1210=""),"",F1210-I1210))</f>
        <v>480000</v>
      </c>
      <c r="R1210" s="1" t="n">
        <f aca="false">IF($A1210="","",IF(Q1210="","",Q1210+IF(O1210="",0,O1210)))</f>
        <v>480000</v>
      </c>
      <c r="S1210" s="6" t="n">
        <v>0</v>
      </c>
      <c r="T1210" s="1" t="n">
        <f aca="false">IF($A1210="","",IF(R1210="","",R1210-IF(S1210="",0,S1210)))</f>
        <v>480000</v>
      </c>
      <c r="U1210" s="1" t="n">
        <f aca="false">IF($A1210="","",IF(I1210="","",I1210-SUM(J1210:P1210)))</f>
        <v>0</v>
      </c>
      <c r="V1210" s="6" t="s">
        <v>4796</v>
      </c>
      <c r="W1210" s="9" t="s">
        <v>528</v>
      </c>
      <c r="X1210" s="9" t="s">
        <v>4797</v>
      </c>
      <c r="AC1210" s="9" t="s">
        <v>4369</v>
      </c>
      <c r="AD1210" s="9" t="s">
        <v>4370</v>
      </c>
      <c r="AE1210" s="9" t="s">
        <v>4408</v>
      </c>
    </row>
    <row r="1211" customFormat="false" ht="15" hidden="false" customHeight="true" outlineLevel="0" collapsed="false">
      <c r="A1211" s="6" t="s">
        <v>4182</v>
      </c>
      <c r="B1211" s="6" t="s">
        <v>383</v>
      </c>
      <c r="C1211" s="6" t="s">
        <v>388</v>
      </c>
      <c r="D1211" s="6" t="n">
        <v>6</v>
      </c>
      <c r="E1211" s="9" t="s">
        <v>4795</v>
      </c>
      <c r="F1211" s="6" t="n">
        <v>485000</v>
      </c>
      <c r="I1211" s="6" t="n">
        <v>245000</v>
      </c>
      <c r="J1211" s="6" t="n">
        <v>55000</v>
      </c>
      <c r="K1211" s="6" t="n">
        <v>28000</v>
      </c>
      <c r="L1211" s="6" t="n">
        <v>43000</v>
      </c>
      <c r="M1211" s="6" t="n">
        <v>2000</v>
      </c>
      <c r="N1211" s="6" t="n">
        <v>3000</v>
      </c>
      <c r="O1211" s="6" t="n">
        <v>112000</v>
      </c>
      <c r="P1211" s="6" t="n">
        <v>0</v>
      </c>
      <c r="Q1211" s="1" t="n">
        <f aca="false">IF($A1211="","",IF(OR(F1211="",I1211=""),"",F1211-I1211))</f>
        <v>240000</v>
      </c>
      <c r="R1211" s="1" t="n">
        <f aca="false">IF($A1211="","",IF(Q1211="","",Q1211+IF(O1211="",0,O1211)))</f>
        <v>352000</v>
      </c>
      <c r="S1211" s="6" t="n">
        <v>7000</v>
      </c>
      <c r="T1211" s="1" t="n">
        <f aca="false">IF($A1211="","",IF(R1211="","",R1211-IF(S1211="",0,S1211)))</f>
        <v>345000</v>
      </c>
      <c r="U1211" s="1" t="n">
        <f aca="false">IF($A1211="","",IF(I1211="","",I1211-SUM(J1211:P1211)))</f>
        <v>2000</v>
      </c>
      <c r="V1211" s="6" t="s">
        <v>4796</v>
      </c>
      <c r="W1211" s="9" t="s">
        <v>528</v>
      </c>
      <c r="X1211" s="9" t="s">
        <v>4797</v>
      </c>
      <c r="AC1211" s="9" t="s">
        <v>4369</v>
      </c>
      <c r="AD1211" s="9" t="s">
        <v>4370</v>
      </c>
      <c r="AE1211" s="9" t="s">
        <v>4408</v>
      </c>
    </row>
    <row r="1212" customFormat="false" ht="15" hidden="false" customHeight="true" outlineLevel="0" collapsed="false">
      <c r="A1212" s="6" t="s">
        <v>4184</v>
      </c>
      <c r="B1212" s="6" t="s">
        <v>383</v>
      </c>
      <c r="C1212" s="6" t="s">
        <v>388</v>
      </c>
      <c r="D1212" s="6" t="n">
        <v>6</v>
      </c>
      <c r="E1212" s="9" t="s">
        <v>4795</v>
      </c>
      <c r="F1212" s="6" t="n">
        <v>714000</v>
      </c>
      <c r="I1212" s="6" t="n">
        <v>300000</v>
      </c>
      <c r="J1212" s="6" t="n">
        <v>69000</v>
      </c>
      <c r="K1212" s="6" t="n">
        <v>48000</v>
      </c>
      <c r="L1212" s="6" t="n">
        <v>41000</v>
      </c>
      <c r="M1212" s="6" t="n">
        <v>1000</v>
      </c>
      <c r="N1212" s="6" t="n">
        <v>21000</v>
      </c>
      <c r="O1212" s="6" t="n">
        <v>118000</v>
      </c>
      <c r="P1212" s="6" t="n">
        <v>0</v>
      </c>
      <c r="Q1212" s="1" t="n">
        <f aca="false">IF($A1212="","",IF(OR(F1212="",I1212=""),"",F1212-I1212))</f>
        <v>414000</v>
      </c>
      <c r="R1212" s="1" t="n">
        <f aca="false">IF($A1212="","",IF(Q1212="","",Q1212+IF(O1212="",0,O1212)))</f>
        <v>532000</v>
      </c>
      <c r="S1212" s="6" t="n">
        <v>6000</v>
      </c>
      <c r="T1212" s="1" t="n">
        <f aca="false">IF($A1212="","",IF(R1212="","",R1212-IF(S1212="",0,S1212)))</f>
        <v>526000</v>
      </c>
      <c r="U1212" s="1" t="n">
        <f aca="false">IF($A1212="","",IF(I1212="","",I1212-SUM(J1212:P1212)))</f>
        <v>2000</v>
      </c>
      <c r="V1212" s="6" t="s">
        <v>4796</v>
      </c>
      <c r="W1212" s="9" t="s">
        <v>528</v>
      </c>
      <c r="X1212" s="9" t="s">
        <v>4797</v>
      </c>
      <c r="AC1212" s="9" t="s">
        <v>4369</v>
      </c>
      <c r="AD1212" s="9" t="s">
        <v>4370</v>
      </c>
      <c r="AE1212" s="9" t="s">
        <v>4408</v>
      </c>
    </row>
    <row r="1213" customFormat="false" ht="15" hidden="false" customHeight="true" outlineLevel="0" collapsed="false">
      <c r="A1213" s="6" t="s">
        <v>4186</v>
      </c>
      <c r="B1213" s="6" t="s">
        <v>383</v>
      </c>
      <c r="C1213" s="6" t="s">
        <v>388</v>
      </c>
      <c r="D1213" s="6" t="n">
        <v>6</v>
      </c>
      <c r="E1213" s="9" t="s">
        <v>4795</v>
      </c>
      <c r="F1213" s="6" t="n">
        <v>818000</v>
      </c>
      <c r="I1213" s="6" t="n">
        <v>409000</v>
      </c>
      <c r="J1213" s="6" t="n">
        <v>70000</v>
      </c>
      <c r="K1213" s="6" t="n">
        <v>67000</v>
      </c>
      <c r="L1213" s="6" t="n">
        <v>67000</v>
      </c>
      <c r="M1213" s="6" t="n">
        <v>1000</v>
      </c>
      <c r="N1213" s="6" t="n">
        <v>15000</v>
      </c>
      <c r="O1213" s="6" t="n">
        <v>186000</v>
      </c>
      <c r="P1213" s="6" t="n">
        <v>0</v>
      </c>
      <c r="Q1213" s="1" t="n">
        <f aca="false">IF($A1213="","",IF(OR(F1213="",I1213=""),"",F1213-I1213))</f>
        <v>409000</v>
      </c>
      <c r="R1213" s="1" t="n">
        <f aca="false">IF($A1213="","",IF(Q1213="","",Q1213+IF(O1213="",0,O1213)))</f>
        <v>595000</v>
      </c>
      <c r="S1213" s="6" t="n">
        <v>44000</v>
      </c>
      <c r="T1213" s="1" t="n">
        <f aca="false">IF($A1213="","",IF(R1213="","",R1213-IF(S1213="",0,S1213)))</f>
        <v>551000</v>
      </c>
      <c r="U1213" s="1" t="n">
        <f aca="false">IF($A1213="","",IF(I1213="","",I1213-SUM(J1213:P1213)))</f>
        <v>3000</v>
      </c>
      <c r="V1213" s="6" t="s">
        <v>4796</v>
      </c>
      <c r="W1213" s="9" t="s">
        <v>528</v>
      </c>
      <c r="X1213" s="9" t="s">
        <v>4797</v>
      </c>
      <c r="AC1213" s="9" t="s">
        <v>4369</v>
      </c>
      <c r="AD1213" s="9" t="s">
        <v>4370</v>
      </c>
      <c r="AE1213" s="9" t="s">
        <v>4408</v>
      </c>
    </row>
    <row r="1214" customFormat="false" ht="15" hidden="false" customHeight="true" outlineLevel="0" collapsed="false">
      <c r="A1214" s="6" t="s">
        <v>4188</v>
      </c>
      <c r="B1214" s="6" t="s">
        <v>383</v>
      </c>
      <c r="C1214" s="6" t="s">
        <v>388</v>
      </c>
      <c r="D1214" s="6" t="n">
        <v>6</v>
      </c>
      <c r="E1214" s="9" t="s">
        <v>4795</v>
      </c>
      <c r="F1214" s="6" t="n">
        <v>625000</v>
      </c>
      <c r="I1214" s="6" t="n">
        <v>396000</v>
      </c>
      <c r="J1214" s="6" t="n">
        <v>69000</v>
      </c>
      <c r="K1214" s="6" t="n">
        <v>49000</v>
      </c>
      <c r="L1214" s="6" t="n">
        <v>47000</v>
      </c>
      <c r="M1214" s="6" t="n">
        <v>1000</v>
      </c>
      <c r="N1214" s="6" t="n">
        <v>59000</v>
      </c>
      <c r="O1214" s="6" t="n">
        <v>169000</v>
      </c>
      <c r="P1214" s="6" t="n">
        <v>0</v>
      </c>
      <c r="Q1214" s="1" t="n">
        <f aca="false">IF($A1214="","",IF(OR(F1214="",I1214=""),"",F1214-I1214))</f>
        <v>229000</v>
      </c>
      <c r="R1214" s="1" t="n">
        <f aca="false">IF($A1214="","",IF(Q1214="","",Q1214+IF(O1214="",0,O1214)))</f>
        <v>398000</v>
      </c>
      <c r="S1214" s="6" t="n">
        <v>67000</v>
      </c>
      <c r="T1214" s="1" t="n">
        <f aca="false">IF($A1214="","",IF(R1214="","",R1214-IF(S1214="",0,S1214)))</f>
        <v>331000</v>
      </c>
      <c r="U1214" s="1" t="n">
        <f aca="false">IF($A1214="","",IF(I1214="","",I1214-SUM(J1214:P1214)))</f>
        <v>2000</v>
      </c>
      <c r="V1214" s="6" t="s">
        <v>4796</v>
      </c>
      <c r="W1214" s="9" t="s">
        <v>528</v>
      </c>
      <c r="X1214" s="9" t="s">
        <v>4797</v>
      </c>
      <c r="AC1214" s="9" t="s">
        <v>4369</v>
      </c>
      <c r="AD1214" s="9" t="s">
        <v>4370</v>
      </c>
      <c r="AE1214" s="9" t="s">
        <v>4408</v>
      </c>
    </row>
    <row r="1215" customFormat="false" ht="15" hidden="false" customHeight="true" outlineLevel="0" collapsed="false">
      <c r="A1215" s="6" t="s">
        <v>4190</v>
      </c>
      <c r="B1215" s="6" t="s">
        <v>383</v>
      </c>
      <c r="C1215" s="6" t="s">
        <v>388</v>
      </c>
      <c r="D1215" s="6" t="n">
        <v>6</v>
      </c>
      <c r="E1215" s="9" t="s">
        <v>4795</v>
      </c>
      <c r="F1215" s="6" t="n">
        <v>199000</v>
      </c>
      <c r="I1215" s="6" t="n">
        <v>87000</v>
      </c>
      <c r="J1215" s="6" t="n">
        <v>14000</v>
      </c>
      <c r="K1215" s="6" t="n">
        <v>17000</v>
      </c>
      <c r="L1215" s="6" t="n">
        <v>17000</v>
      </c>
      <c r="M1215" s="6" t="n">
        <v>0</v>
      </c>
      <c r="N1215" s="6" t="n">
        <v>6000</v>
      </c>
      <c r="O1215" s="6" t="n">
        <v>31000</v>
      </c>
      <c r="P1215" s="6" t="n">
        <v>0</v>
      </c>
      <c r="Q1215" s="1" t="n">
        <f aca="false">IF($A1215="","",IF(OR(F1215="",I1215=""),"",F1215-I1215))</f>
        <v>112000</v>
      </c>
      <c r="R1215" s="1" t="n">
        <f aca="false">IF($A1215="","",IF(Q1215="","",Q1215+IF(O1215="",0,O1215)))</f>
        <v>143000</v>
      </c>
      <c r="S1215" s="6" t="n">
        <v>16000</v>
      </c>
      <c r="T1215" s="1" t="n">
        <f aca="false">IF($A1215="","",IF(R1215="","",R1215-IF(S1215="",0,S1215)))</f>
        <v>127000</v>
      </c>
      <c r="U1215" s="1" t="n">
        <f aca="false">IF($A1215="","",IF(I1215="","",I1215-SUM(J1215:P1215)))</f>
        <v>2000</v>
      </c>
      <c r="V1215" s="6" t="s">
        <v>4796</v>
      </c>
      <c r="W1215" s="9" t="s">
        <v>528</v>
      </c>
      <c r="X1215" s="9" t="s">
        <v>4797</v>
      </c>
      <c r="AC1215" s="9" t="s">
        <v>4369</v>
      </c>
      <c r="AD1215" s="9" t="s">
        <v>4370</v>
      </c>
      <c r="AE1215" s="9" t="s">
        <v>4408</v>
      </c>
    </row>
    <row r="1216" customFormat="false" ht="15" hidden="false" customHeight="true" outlineLevel="0" collapsed="false">
      <c r="A1216" s="6" t="s">
        <v>4192</v>
      </c>
      <c r="B1216" s="6" t="s">
        <v>383</v>
      </c>
      <c r="C1216" s="6" t="s">
        <v>388</v>
      </c>
      <c r="D1216" s="6" t="n">
        <v>6</v>
      </c>
      <c r="E1216" s="9" t="s">
        <v>4795</v>
      </c>
      <c r="F1216" s="6" t="n">
        <v>735000</v>
      </c>
      <c r="I1216" s="6" t="n">
        <v>452000</v>
      </c>
      <c r="J1216" s="6" t="n">
        <v>57000</v>
      </c>
      <c r="K1216" s="6" t="n">
        <v>44000</v>
      </c>
      <c r="L1216" s="6" t="n">
        <v>25000</v>
      </c>
      <c r="M1216" s="6" t="n">
        <v>0</v>
      </c>
      <c r="N1216" s="6" t="n">
        <v>17000</v>
      </c>
      <c r="O1216" s="6" t="n">
        <v>203000</v>
      </c>
      <c r="P1216" s="6" t="n">
        <v>103000</v>
      </c>
      <c r="Q1216" s="1" t="n">
        <f aca="false">IF($A1216="","",IF(OR(F1216="",I1216=""),"",F1216-I1216))</f>
        <v>283000</v>
      </c>
      <c r="R1216" s="1" t="n">
        <f aca="false">IF($A1216="","",IF(Q1216="","",Q1216+IF(O1216="",0,O1216)))</f>
        <v>486000</v>
      </c>
      <c r="S1216" s="6" t="n">
        <v>138000</v>
      </c>
      <c r="T1216" s="1" t="n">
        <f aca="false">IF($A1216="","",IF(R1216="","",R1216-IF(S1216="",0,S1216)))</f>
        <v>348000</v>
      </c>
      <c r="U1216" s="1" t="n">
        <f aca="false">IF($A1216="","",IF(I1216="","",I1216-SUM(J1216:P1216)))</f>
        <v>3000</v>
      </c>
      <c r="V1216" s="6" t="s">
        <v>4796</v>
      </c>
      <c r="W1216" s="9" t="s">
        <v>528</v>
      </c>
      <c r="X1216" s="9" t="s">
        <v>4797</v>
      </c>
      <c r="AC1216" s="9" t="s">
        <v>4369</v>
      </c>
      <c r="AD1216" s="9" t="s">
        <v>4370</v>
      </c>
      <c r="AE1216" s="9" t="s">
        <v>4408</v>
      </c>
    </row>
    <row r="1217" customFormat="false" ht="15" hidden="false" customHeight="true" outlineLevel="0" collapsed="false">
      <c r="A1217" s="6" t="s">
        <v>4195</v>
      </c>
      <c r="B1217" s="6" t="s">
        <v>383</v>
      </c>
      <c r="C1217" s="6" t="s">
        <v>388</v>
      </c>
      <c r="D1217" s="6" t="n">
        <v>6</v>
      </c>
      <c r="E1217" s="9" t="s">
        <v>4795</v>
      </c>
      <c r="F1217" s="6" t="n">
        <v>244000</v>
      </c>
      <c r="I1217" s="6" t="n">
        <v>128000</v>
      </c>
      <c r="J1217" s="6" t="n">
        <v>29000</v>
      </c>
      <c r="K1217" s="6" t="n">
        <v>18000</v>
      </c>
      <c r="L1217" s="6" t="n">
        <v>28000</v>
      </c>
      <c r="M1217" s="6" t="n">
        <v>0</v>
      </c>
      <c r="N1217" s="6" t="n">
        <v>0</v>
      </c>
      <c r="O1217" s="6" t="n">
        <v>51000</v>
      </c>
      <c r="P1217" s="6" t="n">
        <v>0</v>
      </c>
      <c r="Q1217" s="1" t="n">
        <f aca="false">IF($A1217="","",IF(OR(F1217="",I1217=""),"",F1217-I1217))</f>
        <v>116000</v>
      </c>
      <c r="R1217" s="1" t="n">
        <f aca="false">IF($A1217="","",IF(Q1217="","",Q1217+IF(O1217="",0,O1217)))</f>
        <v>167000</v>
      </c>
      <c r="S1217" s="6" t="n">
        <v>6000</v>
      </c>
      <c r="T1217" s="1" t="n">
        <f aca="false">IF($A1217="","",IF(R1217="","",R1217-IF(S1217="",0,S1217)))</f>
        <v>161000</v>
      </c>
      <c r="U1217" s="1" t="n">
        <f aca="false">IF($A1217="","",IF(I1217="","",I1217-SUM(J1217:P1217)))</f>
        <v>2000</v>
      </c>
      <c r="V1217" s="6" t="s">
        <v>4796</v>
      </c>
      <c r="W1217" s="9" t="s">
        <v>528</v>
      </c>
      <c r="X1217" s="9" t="s">
        <v>4797</v>
      </c>
      <c r="AC1217" s="9" t="s">
        <v>4369</v>
      </c>
      <c r="AD1217" s="9" t="s">
        <v>4370</v>
      </c>
      <c r="AE1217" s="9" t="s">
        <v>4408</v>
      </c>
    </row>
    <row r="1218" customFormat="false" ht="15" hidden="false" customHeight="true" outlineLevel="0" collapsed="false">
      <c r="A1218" s="6" t="s">
        <v>4197</v>
      </c>
      <c r="B1218" s="6" t="s">
        <v>383</v>
      </c>
      <c r="C1218" s="6" t="s">
        <v>388</v>
      </c>
      <c r="D1218" s="6" t="n">
        <v>6</v>
      </c>
      <c r="E1218" s="9" t="s">
        <v>4795</v>
      </c>
      <c r="F1218" s="6" t="n">
        <v>499000</v>
      </c>
      <c r="I1218" s="6" t="n">
        <v>280000</v>
      </c>
      <c r="J1218" s="6" t="n">
        <v>154000</v>
      </c>
      <c r="K1218" s="6" t="n">
        <v>0</v>
      </c>
      <c r="L1218" s="6" t="n">
        <v>61000</v>
      </c>
      <c r="M1218" s="6" t="n">
        <v>1000</v>
      </c>
      <c r="N1218" s="6" t="n">
        <v>13000</v>
      </c>
      <c r="O1218" s="6" t="n">
        <v>50000</v>
      </c>
      <c r="P1218" s="6" t="n">
        <v>0</v>
      </c>
      <c r="Q1218" s="1" t="n">
        <f aca="false">IF($A1218="","",IF(OR(F1218="",I1218=""),"",F1218-I1218))</f>
        <v>219000</v>
      </c>
      <c r="R1218" s="1" t="n">
        <f aca="false">IF($A1218="","",IF(Q1218="","",Q1218+IF(O1218="",0,O1218)))</f>
        <v>269000</v>
      </c>
      <c r="S1218" s="6" t="n">
        <v>0</v>
      </c>
      <c r="T1218" s="1" t="n">
        <f aca="false">IF($A1218="","",IF(R1218="","",R1218-IF(S1218="",0,S1218)))</f>
        <v>269000</v>
      </c>
      <c r="U1218" s="1" t="n">
        <f aca="false">IF($A1218="","",IF(I1218="","",I1218-SUM(J1218:P1218)))</f>
        <v>1000</v>
      </c>
      <c r="V1218" s="6" t="s">
        <v>4796</v>
      </c>
      <c r="W1218" s="9" t="s">
        <v>528</v>
      </c>
      <c r="X1218" s="9" t="s">
        <v>4797</v>
      </c>
      <c r="AC1218" s="9" t="s">
        <v>4369</v>
      </c>
      <c r="AD1218" s="9" t="s">
        <v>4370</v>
      </c>
      <c r="AE1218" s="9" t="s">
        <v>4408</v>
      </c>
    </row>
    <row r="1219" customFormat="false" ht="15" hidden="false" customHeight="true" outlineLevel="0" collapsed="false">
      <c r="A1219" s="6" t="s">
        <v>4199</v>
      </c>
      <c r="B1219" s="6" t="s">
        <v>383</v>
      </c>
      <c r="C1219" s="6" t="s">
        <v>388</v>
      </c>
      <c r="D1219" s="6" t="n">
        <v>6</v>
      </c>
      <c r="E1219" s="9" t="s">
        <v>4795</v>
      </c>
      <c r="F1219" s="6" t="n">
        <v>74000</v>
      </c>
      <c r="I1219" s="6" t="n">
        <v>36000</v>
      </c>
      <c r="J1219" s="6" t="n">
        <v>8000</v>
      </c>
      <c r="K1219" s="6" t="n">
        <v>6000</v>
      </c>
      <c r="L1219" s="6" t="n">
        <v>6000</v>
      </c>
      <c r="M1219" s="6" t="n">
        <v>0</v>
      </c>
      <c r="N1219" s="6" t="n">
        <v>6000</v>
      </c>
      <c r="O1219" s="6" t="n">
        <v>9000</v>
      </c>
      <c r="P1219" s="6" t="n">
        <v>0</v>
      </c>
      <c r="Q1219" s="1" t="n">
        <f aca="false">IF($A1219="","",IF(OR(F1219="",I1219=""),"",F1219-I1219))</f>
        <v>38000</v>
      </c>
      <c r="R1219" s="1" t="n">
        <f aca="false">IF($A1219="","",IF(Q1219="","",Q1219+IF(O1219="",0,O1219)))</f>
        <v>47000</v>
      </c>
      <c r="S1219" s="6" t="n">
        <v>14000</v>
      </c>
      <c r="T1219" s="1" t="n">
        <f aca="false">IF($A1219="","",IF(R1219="","",R1219-IF(S1219="",0,S1219)))</f>
        <v>33000</v>
      </c>
      <c r="U1219" s="1" t="n">
        <f aca="false">IF($A1219="","",IF(I1219="","",I1219-SUM(J1219:P1219)))</f>
        <v>1000</v>
      </c>
      <c r="V1219" s="6" t="s">
        <v>4796</v>
      </c>
      <c r="W1219" s="9" t="s">
        <v>528</v>
      </c>
      <c r="X1219" s="9" t="s">
        <v>4797</v>
      </c>
      <c r="AC1219" s="9" t="s">
        <v>4369</v>
      </c>
      <c r="AD1219" s="9" t="s">
        <v>4370</v>
      </c>
      <c r="AE1219" s="9" t="s">
        <v>4408</v>
      </c>
    </row>
    <row r="1220" customFormat="false" ht="15" hidden="false" customHeight="true" outlineLevel="0" collapsed="false">
      <c r="A1220" s="6" t="s">
        <v>4201</v>
      </c>
      <c r="B1220" s="6" t="s">
        <v>383</v>
      </c>
      <c r="C1220" s="6" t="s">
        <v>388</v>
      </c>
      <c r="D1220" s="6" t="n">
        <v>6</v>
      </c>
      <c r="E1220" s="9" t="s">
        <v>4795</v>
      </c>
      <c r="F1220" s="6" t="n">
        <v>207000</v>
      </c>
      <c r="I1220" s="6" t="n">
        <v>86000</v>
      </c>
      <c r="J1220" s="6" t="n">
        <v>17000</v>
      </c>
      <c r="K1220" s="6" t="n">
        <v>15000</v>
      </c>
      <c r="L1220" s="6" t="n">
        <v>18000</v>
      </c>
      <c r="M1220" s="6" t="n">
        <v>0</v>
      </c>
      <c r="N1220" s="6" t="n">
        <v>8000</v>
      </c>
      <c r="O1220" s="6" t="n">
        <v>25000</v>
      </c>
      <c r="P1220" s="6" t="n">
        <v>0</v>
      </c>
      <c r="Q1220" s="1" t="n">
        <f aca="false">IF($A1220="","",IF(OR(F1220="",I1220=""),"",F1220-I1220))</f>
        <v>121000</v>
      </c>
      <c r="R1220" s="1" t="n">
        <f aca="false">IF($A1220="","",IF(Q1220="","",Q1220+IF(O1220="",0,O1220)))</f>
        <v>146000</v>
      </c>
      <c r="S1220" s="6" t="n">
        <v>9000</v>
      </c>
      <c r="T1220" s="1" t="n">
        <f aca="false">IF($A1220="","",IF(R1220="","",R1220-IF(S1220="",0,S1220)))</f>
        <v>137000</v>
      </c>
      <c r="U1220" s="1" t="n">
        <f aca="false">IF($A1220="","",IF(I1220="","",I1220-SUM(J1220:P1220)))</f>
        <v>3000</v>
      </c>
      <c r="V1220" s="6" t="s">
        <v>4796</v>
      </c>
      <c r="W1220" s="9" t="s">
        <v>528</v>
      </c>
      <c r="X1220" s="9" t="s">
        <v>4797</v>
      </c>
      <c r="AC1220" s="9" t="s">
        <v>4369</v>
      </c>
      <c r="AD1220" s="9" t="s">
        <v>4370</v>
      </c>
      <c r="AE1220" s="9" t="s">
        <v>4408</v>
      </c>
    </row>
    <row r="1221" customFormat="false" ht="15" hidden="false" customHeight="true" outlineLevel="0" collapsed="false">
      <c r="A1221" s="6" t="s">
        <v>4203</v>
      </c>
      <c r="B1221" s="6" t="s">
        <v>383</v>
      </c>
      <c r="C1221" s="6" t="s">
        <v>388</v>
      </c>
      <c r="D1221" s="6" t="n">
        <v>6</v>
      </c>
      <c r="E1221" s="9" t="s">
        <v>4795</v>
      </c>
      <c r="F1221" s="6" t="n">
        <v>258000</v>
      </c>
      <c r="I1221" s="6" t="n">
        <v>137000</v>
      </c>
      <c r="J1221" s="6" t="n">
        <v>51000</v>
      </c>
      <c r="K1221" s="6" t="n">
        <v>7000</v>
      </c>
      <c r="L1221" s="6" t="n">
        <v>27000</v>
      </c>
      <c r="M1221" s="6" t="n">
        <v>0</v>
      </c>
      <c r="N1221" s="6" t="n">
        <v>8000</v>
      </c>
      <c r="O1221" s="6" t="n">
        <v>41000</v>
      </c>
      <c r="P1221" s="6" t="n">
        <v>0</v>
      </c>
      <c r="Q1221" s="1" t="n">
        <f aca="false">IF($A1221="","",IF(OR(F1221="",I1221=""),"",F1221-I1221))</f>
        <v>121000</v>
      </c>
      <c r="R1221" s="1" t="n">
        <f aca="false">IF($A1221="","",IF(Q1221="","",Q1221+IF(O1221="",0,O1221)))</f>
        <v>162000</v>
      </c>
      <c r="S1221" s="6" t="n">
        <v>3000</v>
      </c>
      <c r="T1221" s="1" t="n">
        <f aca="false">IF($A1221="","",IF(R1221="","",R1221-IF(S1221="",0,S1221)))</f>
        <v>159000</v>
      </c>
      <c r="U1221" s="1" t="n">
        <f aca="false">IF($A1221="","",IF(I1221="","",I1221-SUM(J1221:P1221)))</f>
        <v>3000</v>
      </c>
      <c r="V1221" s="6" t="s">
        <v>4796</v>
      </c>
      <c r="W1221" s="9" t="s">
        <v>528</v>
      </c>
      <c r="X1221" s="9" t="s">
        <v>4797</v>
      </c>
      <c r="AC1221" s="9" t="s">
        <v>4369</v>
      </c>
      <c r="AD1221" s="9" t="s">
        <v>4370</v>
      </c>
      <c r="AE1221" s="9" t="s">
        <v>4408</v>
      </c>
    </row>
    <row r="1222" customFormat="false" ht="15" hidden="false" customHeight="true" outlineLevel="0" collapsed="false">
      <c r="A1222" s="6" t="s">
        <v>4205</v>
      </c>
      <c r="B1222" s="6" t="s">
        <v>383</v>
      </c>
      <c r="C1222" s="6" t="s">
        <v>388</v>
      </c>
      <c r="D1222" s="6" t="n">
        <v>6</v>
      </c>
      <c r="E1222" s="9" t="s">
        <v>4795</v>
      </c>
      <c r="F1222" s="6" t="n">
        <v>144000</v>
      </c>
      <c r="I1222" s="6" t="n">
        <v>59000</v>
      </c>
      <c r="J1222" s="6" t="n">
        <v>15000</v>
      </c>
      <c r="K1222" s="6" t="n">
        <v>9000</v>
      </c>
      <c r="L1222" s="6" t="n">
        <v>10000</v>
      </c>
      <c r="M1222" s="6" t="n">
        <v>0</v>
      </c>
      <c r="N1222" s="6" t="n">
        <v>2000</v>
      </c>
      <c r="O1222" s="6" t="n">
        <v>21000</v>
      </c>
      <c r="P1222" s="6" t="n">
        <v>0</v>
      </c>
      <c r="Q1222" s="1" t="n">
        <f aca="false">IF($A1222="","",IF(OR(F1222="",I1222=""),"",F1222-I1222))</f>
        <v>85000</v>
      </c>
      <c r="R1222" s="1" t="n">
        <f aca="false">IF($A1222="","",IF(Q1222="","",Q1222+IF(O1222="",0,O1222)))</f>
        <v>106000</v>
      </c>
      <c r="S1222" s="6" t="n">
        <v>5000</v>
      </c>
      <c r="T1222" s="1" t="n">
        <f aca="false">IF($A1222="","",IF(R1222="","",R1222-IF(S1222="",0,S1222)))</f>
        <v>101000</v>
      </c>
      <c r="U1222" s="1" t="n">
        <f aca="false">IF($A1222="","",IF(I1222="","",I1222-SUM(J1222:P1222)))</f>
        <v>2000</v>
      </c>
      <c r="V1222" s="6" t="s">
        <v>4796</v>
      </c>
      <c r="W1222" s="9" t="s">
        <v>528</v>
      </c>
      <c r="X1222" s="9" t="s">
        <v>4797</v>
      </c>
      <c r="AC1222" s="9" t="s">
        <v>4369</v>
      </c>
      <c r="AD1222" s="9" t="s">
        <v>4370</v>
      </c>
      <c r="AE1222" s="9" t="s">
        <v>4408</v>
      </c>
    </row>
    <row r="1223" customFormat="false" ht="15" hidden="false" customHeight="true" outlineLevel="0" collapsed="false">
      <c r="A1223" s="6" t="s">
        <v>4207</v>
      </c>
      <c r="B1223" s="6" t="s">
        <v>383</v>
      </c>
      <c r="C1223" s="6" t="s">
        <v>388</v>
      </c>
      <c r="D1223" s="6" t="n">
        <v>6</v>
      </c>
      <c r="E1223" s="9" t="s">
        <v>4795</v>
      </c>
      <c r="F1223" s="6" t="n">
        <v>1292000</v>
      </c>
      <c r="I1223" s="6" t="n">
        <v>612000</v>
      </c>
      <c r="J1223" s="6" t="n">
        <v>150000</v>
      </c>
      <c r="K1223" s="6" t="n">
        <v>165000</v>
      </c>
      <c r="L1223" s="6" t="n">
        <v>91000</v>
      </c>
      <c r="M1223" s="6" t="n">
        <v>1000</v>
      </c>
      <c r="N1223" s="6" t="n">
        <v>20000</v>
      </c>
      <c r="O1223" s="6" t="n">
        <v>182000</v>
      </c>
      <c r="P1223" s="6" t="n">
        <v>1000</v>
      </c>
      <c r="Q1223" s="1" t="n">
        <f aca="false">IF($A1223="","",IF(OR(F1223="",I1223=""),"",F1223-I1223))</f>
        <v>680000</v>
      </c>
      <c r="R1223" s="1" t="n">
        <f aca="false">IF($A1223="","",IF(Q1223="","",Q1223+IF(O1223="",0,O1223)))</f>
        <v>862000</v>
      </c>
      <c r="S1223" s="6" t="n">
        <v>40000</v>
      </c>
      <c r="T1223" s="1" t="n">
        <f aca="false">IF($A1223="","",IF(R1223="","",R1223-IF(S1223="",0,S1223)))</f>
        <v>822000</v>
      </c>
      <c r="U1223" s="1" t="n">
        <f aca="false">IF($A1223="","",IF(I1223="","",I1223-SUM(J1223:P1223)))</f>
        <v>2000</v>
      </c>
      <c r="V1223" s="6" t="s">
        <v>4796</v>
      </c>
      <c r="W1223" s="9" t="s">
        <v>528</v>
      </c>
      <c r="X1223" s="9" t="s">
        <v>4797</v>
      </c>
      <c r="AC1223" s="9" t="s">
        <v>4369</v>
      </c>
      <c r="AD1223" s="9" t="s">
        <v>4370</v>
      </c>
      <c r="AE1223" s="9" t="s">
        <v>4408</v>
      </c>
    </row>
    <row r="1224" customFormat="false" ht="15" hidden="false" customHeight="true" outlineLevel="0" collapsed="false">
      <c r="A1224" s="6" t="s">
        <v>4209</v>
      </c>
      <c r="B1224" s="6" t="s">
        <v>383</v>
      </c>
      <c r="C1224" s="6" t="s">
        <v>388</v>
      </c>
      <c r="D1224" s="6" t="n">
        <v>6</v>
      </c>
      <c r="E1224" s="9" t="s">
        <v>4795</v>
      </c>
      <c r="F1224" s="6" t="n">
        <v>1064000</v>
      </c>
      <c r="I1224" s="6" t="n">
        <v>776000</v>
      </c>
      <c r="J1224" s="6" t="n">
        <v>218000</v>
      </c>
      <c r="K1224" s="6" t="n">
        <v>103000</v>
      </c>
      <c r="L1224" s="6" t="n">
        <v>132000</v>
      </c>
      <c r="M1224" s="6" t="n">
        <v>3000</v>
      </c>
      <c r="N1224" s="6" t="n">
        <v>32000</v>
      </c>
      <c r="O1224" s="6" t="n">
        <v>279000</v>
      </c>
      <c r="P1224" s="6" t="n">
        <v>7000</v>
      </c>
      <c r="Q1224" s="1" t="n">
        <f aca="false">IF($A1224="","",IF(OR(F1224="",I1224=""),"",F1224-I1224))</f>
        <v>288000</v>
      </c>
      <c r="R1224" s="1" t="n">
        <f aca="false">IF($A1224="","",IF(Q1224="","",Q1224+IF(O1224="",0,O1224)))</f>
        <v>567000</v>
      </c>
      <c r="S1224" s="6" t="n">
        <v>234000</v>
      </c>
      <c r="T1224" s="1" t="n">
        <f aca="false">IF($A1224="","",IF(R1224="","",R1224-IF(S1224="",0,S1224)))</f>
        <v>333000</v>
      </c>
      <c r="U1224" s="1" t="n">
        <f aca="false">IF($A1224="","",IF(I1224="","",I1224-SUM(J1224:P1224)))</f>
        <v>2000</v>
      </c>
      <c r="V1224" s="6" t="s">
        <v>4796</v>
      </c>
      <c r="W1224" s="9" t="s">
        <v>528</v>
      </c>
      <c r="X1224" s="9" t="s">
        <v>4797</v>
      </c>
      <c r="AC1224" s="9" t="s">
        <v>4369</v>
      </c>
      <c r="AD1224" s="9" t="s">
        <v>4370</v>
      </c>
      <c r="AE1224" s="9" t="s">
        <v>4408</v>
      </c>
    </row>
    <row r="1225" customFormat="false" ht="15" hidden="false" customHeight="true" outlineLevel="0" collapsed="false">
      <c r="A1225" s="6" t="s">
        <v>4211</v>
      </c>
      <c r="B1225" s="6" t="s">
        <v>383</v>
      </c>
      <c r="C1225" s="6" t="s">
        <v>388</v>
      </c>
      <c r="D1225" s="6" t="n">
        <v>6</v>
      </c>
      <c r="E1225" s="9" t="s">
        <v>4795</v>
      </c>
      <c r="F1225" s="6" t="n">
        <v>175000</v>
      </c>
      <c r="I1225" s="6" t="n">
        <v>74000</v>
      </c>
      <c r="J1225" s="6" t="n">
        <v>21000</v>
      </c>
      <c r="K1225" s="6" t="n">
        <v>3000</v>
      </c>
      <c r="L1225" s="6" t="n">
        <v>15000</v>
      </c>
      <c r="M1225" s="6" t="n">
        <v>0</v>
      </c>
      <c r="N1225" s="6" t="n">
        <v>4000</v>
      </c>
      <c r="O1225" s="6" t="n">
        <v>29000</v>
      </c>
      <c r="P1225" s="6" t="n">
        <v>0</v>
      </c>
      <c r="Q1225" s="1" t="n">
        <f aca="false">IF($A1225="","",IF(OR(F1225="",I1225=""),"",F1225-I1225))</f>
        <v>101000</v>
      </c>
      <c r="R1225" s="1" t="n">
        <f aca="false">IF($A1225="","",IF(Q1225="","",Q1225+IF(O1225="",0,O1225)))</f>
        <v>130000</v>
      </c>
      <c r="S1225" s="6" t="n">
        <v>45000</v>
      </c>
      <c r="T1225" s="1" t="n">
        <f aca="false">IF($A1225="","",IF(R1225="","",R1225-IF(S1225="",0,S1225)))</f>
        <v>85000</v>
      </c>
      <c r="U1225" s="1" t="n">
        <f aca="false">IF($A1225="","",IF(I1225="","",I1225-SUM(J1225:P1225)))</f>
        <v>2000</v>
      </c>
      <c r="V1225" s="6" t="s">
        <v>4796</v>
      </c>
      <c r="W1225" s="9" t="s">
        <v>528</v>
      </c>
      <c r="X1225" s="9" t="s">
        <v>4797</v>
      </c>
      <c r="AC1225" s="9" t="s">
        <v>4369</v>
      </c>
      <c r="AD1225" s="9" t="s">
        <v>4370</v>
      </c>
      <c r="AE1225" s="9" t="s">
        <v>4408</v>
      </c>
    </row>
    <row r="1226" customFormat="false" ht="15" hidden="false" customHeight="true" outlineLevel="0" collapsed="false">
      <c r="A1226" s="6" t="s">
        <v>4213</v>
      </c>
      <c r="B1226" s="6" t="s">
        <v>383</v>
      </c>
      <c r="C1226" s="6" t="s">
        <v>388</v>
      </c>
      <c r="D1226" s="6" t="n">
        <v>6</v>
      </c>
      <c r="E1226" s="9" t="s">
        <v>4795</v>
      </c>
      <c r="F1226" s="6" t="n">
        <v>0</v>
      </c>
      <c r="I1226" s="6" t="n">
        <v>9000</v>
      </c>
      <c r="J1226" s="6" t="n">
        <v>0</v>
      </c>
      <c r="K1226" s="6" t="n">
        <v>0</v>
      </c>
      <c r="L1226" s="6" t="n">
        <v>0</v>
      </c>
      <c r="M1226" s="6" t="n">
        <v>0</v>
      </c>
      <c r="N1226" s="6" t="n">
        <v>0</v>
      </c>
      <c r="O1226" s="6" t="n">
        <v>8000</v>
      </c>
      <c r="P1226" s="6" t="n">
        <v>0</v>
      </c>
      <c r="Q1226" s="1" t="n">
        <f aca="false">IF($A1226="","",IF(OR(F1226="",I1226=""),"",F1226-I1226))</f>
        <v>-9000</v>
      </c>
      <c r="R1226" s="1" t="n">
        <f aca="false">IF($A1226="","",IF(Q1226="","",Q1226+IF(O1226="",0,O1226)))</f>
        <v>-1000</v>
      </c>
      <c r="S1226" s="6" t="n">
        <v>0</v>
      </c>
      <c r="T1226" s="1" t="n">
        <f aca="false">IF($A1226="","",IF(R1226="","",R1226-IF(S1226="",0,S1226)))</f>
        <v>-1000</v>
      </c>
      <c r="U1226" s="1" t="n">
        <f aca="false">IF($A1226="","",IF(I1226="","",I1226-SUM(J1226:P1226)))</f>
        <v>1000</v>
      </c>
      <c r="V1226" s="6" t="s">
        <v>4796</v>
      </c>
      <c r="W1226" s="9" t="s">
        <v>528</v>
      </c>
      <c r="X1226" s="6" t="s">
        <v>4801</v>
      </c>
      <c r="AC1226" s="9" t="s">
        <v>4369</v>
      </c>
      <c r="AD1226" s="9" t="s">
        <v>4370</v>
      </c>
      <c r="AE1226" s="9" t="s">
        <v>4408</v>
      </c>
    </row>
    <row r="1227" customFormat="false" ht="15" hidden="false" customHeight="true" outlineLevel="0" collapsed="false">
      <c r="A1227" s="6" t="s">
        <v>4216</v>
      </c>
      <c r="B1227" s="6" t="s">
        <v>383</v>
      </c>
      <c r="C1227" s="6" t="s">
        <v>388</v>
      </c>
      <c r="D1227" s="6" t="n">
        <v>6</v>
      </c>
      <c r="E1227" s="9" t="s">
        <v>4795</v>
      </c>
      <c r="F1227" s="6" t="n">
        <v>404000</v>
      </c>
      <c r="I1227" s="6" t="n">
        <v>162000</v>
      </c>
      <c r="J1227" s="6" t="n">
        <v>31000</v>
      </c>
      <c r="K1227" s="6" t="n">
        <v>52000</v>
      </c>
      <c r="L1227" s="6" t="n">
        <v>26000</v>
      </c>
      <c r="M1227" s="6" t="n">
        <v>0</v>
      </c>
      <c r="N1227" s="6" t="n">
        <v>10000</v>
      </c>
      <c r="O1227" s="6" t="n">
        <v>41000</v>
      </c>
      <c r="P1227" s="6" t="n">
        <v>0</v>
      </c>
      <c r="Q1227" s="1" t="n">
        <f aca="false">IF($A1227="","",IF(OR(F1227="",I1227=""),"",F1227-I1227))</f>
        <v>242000</v>
      </c>
      <c r="R1227" s="1" t="n">
        <f aca="false">IF($A1227="","",IF(Q1227="","",Q1227+IF(O1227="",0,O1227)))</f>
        <v>283000</v>
      </c>
      <c r="S1227" s="6" t="n">
        <v>13000</v>
      </c>
      <c r="T1227" s="1" t="n">
        <f aca="false">IF($A1227="","",IF(R1227="","",R1227-IF(S1227="",0,S1227)))</f>
        <v>270000</v>
      </c>
      <c r="U1227" s="1" t="n">
        <f aca="false">IF($A1227="","",IF(I1227="","",I1227-SUM(J1227:P1227)))</f>
        <v>2000</v>
      </c>
      <c r="V1227" s="6" t="s">
        <v>4796</v>
      </c>
      <c r="W1227" s="9" t="s">
        <v>528</v>
      </c>
      <c r="X1227" s="9" t="s">
        <v>4797</v>
      </c>
      <c r="AC1227" s="9" t="s">
        <v>4369</v>
      </c>
      <c r="AD1227" s="9" t="s">
        <v>4370</v>
      </c>
      <c r="AE1227" s="9" t="s">
        <v>4408</v>
      </c>
    </row>
    <row r="1228" customFormat="false" ht="15" hidden="false" customHeight="true" outlineLevel="0" collapsed="false">
      <c r="A1228" s="6" t="s">
        <v>4218</v>
      </c>
      <c r="B1228" s="6" t="s">
        <v>383</v>
      </c>
      <c r="C1228" s="6" t="s">
        <v>388</v>
      </c>
      <c r="D1228" s="6" t="n">
        <v>6</v>
      </c>
      <c r="E1228" s="9" t="s">
        <v>4795</v>
      </c>
      <c r="F1228" s="6" t="n">
        <v>303000</v>
      </c>
      <c r="I1228" s="6" t="n">
        <v>205000</v>
      </c>
      <c r="J1228" s="6" t="n">
        <v>31000</v>
      </c>
      <c r="K1228" s="6" t="n">
        <v>27000</v>
      </c>
      <c r="L1228" s="6" t="n">
        <v>0</v>
      </c>
      <c r="M1228" s="6" t="n">
        <v>0</v>
      </c>
      <c r="N1228" s="6" t="n">
        <v>0</v>
      </c>
      <c r="O1228" s="6" t="n">
        <v>145000</v>
      </c>
      <c r="P1228" s="6" t="n">
        <v>0</v>
      </c>
      <c r="Q1228" s="1" t="n">
        <f aca="false">IF($A1228="","",IF(OR(F1228="",I1228=""),"",F1228-I1228))</f>
        <v>98000</v>
      </c>
      <c r="R1228" s="1" t="n">
        <f aca="false">IF($A1228="","",IF(Q1228="","",Q1228+IF(O1228="",0,O1228)))</f>
        <v>243000</v>
      </c>
      <c r="S1228" s="6" t="n">
        <v>3000</v>
      </c>
      <c r="T1228" s="1" t="n">
        <f aca="false">IF($A1228="","",IF(R1228="","",R1228-IF(S1228="",0,S1228)))</f>
        <v>240000</v>
      </c>
      <c r="U1228" s="1" t="n">
        <f aca="false">IF($A1228="","",IF(I1228="","",I1228-SUM(J1228:P1228)))</f>
        <v>2000</v>
      </c>
      <c r="V1228" s="6" t="s">
        <v>4796</v>
      </c>
      <c r="W1228" s="9" t="s">
        <v>528</v>
      </c>
      <c r="X1228" s="9" t="s">
        <v>4802</v>
      </c>
      <c r="AC1228" s="6" t="s">
        <v>4373</v>
      </c>
      <c r="AD1228" s="9" t="s">
        <v>4745</v>
      </c>
      <c r="AE1228" s="9" t="s">
        <v>4408</v>
      </c>
    </row>
    <row r="1229" customFormat="false" ht="15" hidden="false" customHeight="true" outlineLevel="0" collapsed="false">
      <c r="A1229" s="6" t="s">
        <v>4221</v>
      </c>
      <c r="B1229" s="6" t="s">
        <v>383</v>
      </c>
      <c r="C1229" s="6" t="s">
        <v>388</v>
      </c>
      <c r="D1229" s="6" t="n">
        <v>6</v>
      </c>
      <c r="E1229" s="9" t="s">
        <v>4795</v>
      </c>
      <c r="F1229" s="6" t="n">
        <v>69000</v>
      </c>
      <c r="I1229" s="6" t="n">
        <v>50000</v>
      </c>
      <c r="J1229" s="6" t="n">
        <v>11000</v>
      </c>
      <c r="K1229" s="6" t="n">
        <v>8000</v>
      </c>
      <c r="L1229" s="6" t="n">
        <v>8000</v>
      </c>
      <c r="M1229" s="6" t="n">
        <v>0</v>
      </c>
      <c r="N1229" s="6" t="n">
        <v>9000</v>
      </c>
      <c r="O1229" s="6" t="n">
        <v>13000</v>
      </c>
      <c r="P1229" s="6" t="n">
        <v>0</v>
      </c>
      <c r="Q1229" s="1" t="n">
        <f aca="false">IF($A1229="","",IF(OR(F1229="",I1229=""),"",F1229-I1229))</f>
        <v>19000</v>
      </c>
      <c r="R1229" s="1" t="n">
        <f aca="false">IF($A1229="","",IF(Q1229="","",Q1229+IF(O1229="",0,O1229)))</f>
        <v>32000</v>
      </c>
      <c r="S1229" s="6" t="n">
        <v>40000</v>
      </c>
      <c r="T1229" s="1" t="n">
        <f aca="false">IF($A1229="","",IF(R1229="","",R1229-IF(S1229="",0,S1229)))</f>
        <v>-8000</v>
      </c>
      <c r="U1229" s="1" t="n">
        <f aca="false">IF($A1229="","",IF(I1229="","",I1229-SUM(J1229:P1229)))</f>
        <v>1000</v>
      </c>
      <c r="V1229" s="6" t="s">
        <v>4796</v>
      </c>
      <c r="W1229" s="9" t="s">
        <v>528</v>
      </c>
      <c r="X1229" s="9" t="s">
        <v>4797</v>
      </c>
      <c r="AC1229" s="9" t="s">
        <v>4369</v>
      </c>
      <c r="AD1229" s="9" t="s">
        <v>4370</v>
      </c>
      <c r="AE1229" s="9" t="s">
        <v>4408</v>
      </c>
    </row>
    <row r="1230" customFormat="false" ht="15" hidden="false" customHeight="true" outlineLevel="0" collapsed="false">
      <c r="A1230" s="6" t="s">
        <v>4223</v>
      </c>
      <c r="B1230" s="6" t="s">
        <v>383</v>
      </c>
      <c r="C1230" s="6" t="s">
        <v>388</v>
      </c>
      <c r="D1230" s="6" t="n">
        <v>6</v>
      </c>
      <c r="E1230" s="9" t="s">
        <v>4795</v>
      </c>
      <c r="F1230" s="6" t="n">
        <v>661000</v>
      </c>
      <c r="I1230" s="6" t="n">
        <v>275000</v>
      </c>
      <c r="J1230" s="6" t="n">
        <v>74000</v>
      </c>
      <c r="K1230" s="6" t="n">
        <v>59000</v>
      </c>
      <c r="L1230" s="6" t="n">
        <v>49000</v>
      </c>
      <c r="M1230" s="6" t="n">
        <v>0</v>
      </c>
      <c r="N1230" s="6" t="n">
        <v>24000</v>
      </c>
      <c r="O1230" s="6" t="n">
        <v>67000</v>
      </c>
      <c r="P1230" s="6" t="n">
        <v>0</v>
      </c>
      <c r="Q1230" s="1" t="n">
        <f aca="false">IF($A1230="","",IF(OR(F1230="",I1230=""),"",F1230-I1230))</f>
        <v>386000</v>
      </c>
      <c r="R1230" s="1" t="n">
        <f aca="false">IF($A1230="","",IF(Q1230="","",Q1230+IF(O1230="",0,O1230)))</f>
        <v>453000</v>
      </c>
      <c r="S1230" s="6" t="n">
        <v>80000</v>
      </c>
      <c r="T1230" s="1" t="n">
        <f aca="false">IF($A1230="","",IF(R1230="","",R1230-IF(S1230="",0,S1230)))</f>
        <v>373000</v>
      </c>
      <c r="U1230" s="1" t="n">
        <f aca="false">IF($A1230="","",IF(I1230="","",I1230-SUM(J1230:P1230)))</f>
        <v>2000</v>
      </c>
      <c r="V1230" s="6" t="s">
        <v>4796</v>
      </c>
      <c r="W1230" s="9" t="s">
        <v>528</v>
      </c>
      <c r="X1230" s="9" t="s">
        <v>4797</v>
      </c>
      <c r="AC1230" s="9" t="s">
        <v>4369</v>
      </c>
      <c r="AD1230" s="9" t="s">
        <v>4370</v>
      </c>
      <c r="AE1230" s="9" t="s">
        <v>4408</v>
      </c>
    </row>
    <row r="1231" customFormat="false" ht="15" hidden="false" customHeight="true" outlineLevel="0" collapsed="false">
      <c r="A1231" s="6" t="s">
        <v>4225</v>
      </c>
      <c r="B1231" s="6" t="s">
        <v>383</v>
      </c>
      <c r="C1231" s="6" t="s">
        <v>388</v>
      </c>
      <c r="D1231" s="6" t="n">
        <v>6</v>
      </c>
      <c r="E1231" s="9" t="s">
        <v>4795</v>
      </c>
      <c r="F1231" s="6" t="n">
        <v>152000</v>
      </c>
      <c r="I1231" s="6" t="n">
        <v>135000</v>
      </c>
      <c r="J1231" s="6" t="n">
        <v>24000</v>
      </c>
      <c r="K1231" s="6" t="n">
        <v>16000</v>
      </c>
      <c r="L1231" s="6" t="n">
        <v>19000</v>
      </c>
      <c r="M1231" s="6" t="n">
        <v>0</v>
      </c>
      <c r="N1231" s="6" t="n">
        <v>50000</v>
      </c>
      <c r="O1231" s="6" t="n">
        <v>23000</v>
      </c>
      <c r="P1231" s="6" t="n">
        <v>0</v>
      </c>
      <c r="Q1231" s="1" t="n">
        <f aca="false">IF($A1231="","",IF(OR(F1231="",I1231=""),"",F1231-I1231))</f>
        <v>17000</v>
      </c>
      <c r="R1231" s="1" t="n">
        <f aca="false">IF($A1231="","",IF(Q1231="","",Q1231+IF(O1231="",0,O1231)))</f>
        <v>40000</v>
      </c>
      <c r="S1231" s="6" t="n">
        <v>0</v>
      </c>
      <c r="T1231" s="1" t="n">
        <f aca="false">IF($A1231="","",IF(R1231="","",R1231-IF(S1231="",0,S1231)))</f>
        <v>40000</v>
      </c>
      <c r="U1231" s="1" t="n">
        <f aca="false">IF($A1231="","",IF(I1231="","",I1231-SUM(J1231:P1231)))</f>
        <v>3000</v>
      </c>
      <c r="V1231" s="6" t="s">
        <v>4796</v>
      </c>
      <c r="W1231" s="9" t="s">
        <v>528</v>
      </c>
      <c r="X1231" s="9" t="s">
        <v>4797</v>
      </c>
      <c r="AC1231" s="9" t="s">
        <v>4369</v>
      </c>
      <c r="AD1231" s="9" t="s">
        <v>4370</v>
      </c>
      <c r="AE1231" s="9" t="s">
        <v>4408</v>
      </c>
    </row>
    <row r="1232" customFormat="false" ht="15" hidden="false" customHeight="true" outlineLevel="0" collapsed="false">
      <c r="A1232" s="6" t="s">
        <v>4227</v>
      </c>
      <c r="B1232" s="6" t="s">
        <v>383</v>
      </c>
      <c r="C1232" s="6" t="s">
        <v>388</v>
      </c>
      <c r="D1232" s="6" t="n">
        <v>6</v>
      </c>
      <c r="E1232" s="9" t="s">
        <v>4795</v>
      </c>
      <c r="F1232" s="6" t="n">
        <v>736000</v>
      </c>
      <c r="I1232" s="6" t="n">
        <v>384000</v>
      </c>
      <c r="J1232" s="6" t="n">
        <v>107000</v>
      </c>
      <c r="K1232" s="6" t="n">
        <v>65000</v>
      </c>
      <c r="L1232" s="6" t="n">
        <v>75000</v>
      </c>
      <c r="M1232" s="6" t="n">
        <v>0</v>
      </c>
      <c r="N1232" s="6" t="n">
        <v>0</v>
      </c>
      <c r="O1232" s="6" t="n">
        <v>134000</v>
      </c>
      <c r="P1232" s="6" t="n">
        <v>0</v>
      </c>
      <c r="Q1232" s="1" t="n">
        <f aca="false">IF($A1232="","",IF(OR(F1232="",I1232=""),"",F1232-I1232))</f>
        <v>352000</v>
      </c>
      <c r="R1232" s="1" t="n">
        <f aca="false">IF($A1232="","",IF(Q1232="","",Q1232+IF(O1232="",0,O1232)))</f>
        <v>486000</v>
      </c>
      <c r="S1232" s="6" t="n">
        <v>0</v>
      </c>
      <c r="T1232" s="1" t="n">
        <f aca="false">IF($A1232="","",IF(R1232="","",R1232-IF(S1232="",0,S1232)))</f>
        <v>486000</v>
      </c>
      <c r="U1232" s="1" t="n">
        <f aca="false">IF($A1232="","",IF(I1232="","",I1232-SUM(J1232:P1232)))</f>
        <v>3000</v>
      </c>
      <c r="V1232" s="6" t="s">
        <v>4796</v>
      </c>
      <c r="W1232" s="9" t="s">
        <v>528</v>
      </c>
      <c r="X1232" s="9" t="s">
        <v>4797</v>
      </c>
      <c r="AC1232" s="9" t="s">
        <v>4369</v>
      </c>
      <c r="AD1232" s="9" t="s">
        <v>4370</v>
      </c>
      <c r="AE1232" s="9" t="s">
        <v>4408</v>
      </c>
    </row>
    <row r="1233" customFormat="false" ht="15" hidden="false" customHeight="true" outlineLevel="0" collapsed="false">
      <c r="A1233" s="6" t="s">
        <v>4229</v>
      </c>
      <c r="B1233" s="6" t="s">
        <v>383</v>
      </c>
      <c r="C1233" s="6" t="s">
        <v>388</v>
      </c>
      <c r="D1233" s="6" t="n">
        <v>6</v>
      </c>
      <c r="E1233" s="9" t="s">
        <v>4795</v>
      </c>
      <c r="F1233" s="6" t="n">
        <v>71000</v>
      </c>
      <c r="I1233" s="6" t="n">
        <v>62000</v>
      </c>
      <c r="J1233" s="6" t="n">
        <v>12000</v>
      </c>
      <c r="K1233" s="6" t="n">
        <v>7000</v>
      </c>
      <c r="L1233" s="6" t="n">
        <v>6000</v>
      </c>
      <c r="M1233" s="6" t="n">
        <v>0</v>
      </c>
      <c r="N1233" s="6" t="n">
        <v>5000</v>
      </c>
      <c r="O1233" s="6" t="n">
        <v>30000</v>
      </c>
      <c r="P1233" s="6" t="n">
        <v>0</v>
      </c>
      <c r="Q1233" s="1" t="n">
        <f aca="false">IF($A1233="","",IF(OR(F1233="",I1233=""),"",F1233-I1233))</f>
        <v>9000</v>
      </c>
      <c r="R1233" s="1" t="n">
        <f aca="false">IF($A1233="","",IF(Q1233="","",Q1233+IF(O1233="",0,O1233)))</f>
        <v>39000</v>
      </c>
      <c r="S1233" s="6" t="n">
        <v>27000</v>
      </c>
      <c r="T1233" s="1" t="n">
        <f aca="false">IF($A1233="","",IF(R1233="","",R1233-IF(S1233="",0,S1233)))</f>
        <v>12000</v>
      </c>
      <c r="U1233" s="1" t="n">
        <f aca="false">IF($A1233="","",IF(I1233="","",I1233-SUM(J1233:P1233)))</f>
        <v>2000</v>
      </c>
      <c r="V1233" s="6" t="s">
        <v>4796</v>
      </c>
      <c r="W1233" s="9" t="s">
        <v>528</v>
      </c>
      <c r="X1233" s="9" t="s">
        <v>4797</v>
      </c>
      <c r="AC1233" s="9" t="s">
        <v>4369</v>
      </c>
      <c r="AD1233" s="9" t="s">
        <v>4370</v>
      </c>
      <c r="AE1233" s="9" t="s">
        <v>4408</v>
      </c>
    </row>
    <row r="1234" customFormat="false" ht="15" hidden="false" customHeight="true" outlineLevel="0" collapsed="false">
      <c r="A1234" s="6" t="s">
        <v>4232</v>
      </c>
      <c r="B1234" s="6" t="s">
        <v>383</v>
      </c>
      <c r="C1234" s="6" t="s">
        <v>388</v>
      </c>
      <c r="D1234" s="6" t="n">
        <v>6</v>
      </c>
      <c r="E1234" s="9" t="s">
        <v>4795</v>
      </c>
      <c r="F1234" s="6" t="n">
        <v>559000</v>
      </c>
      <c r="I1234" s="6" t="n">
        <v>342000</v>
      </c>
      <c r="J1234" s="6" t="n">
        <v>99000</v>
      </c>
      <c r="K1234" s="6" t="n">
        <v>47000</v>
      </c>
      <c r="L1234" s="6" t="n">
        <v>71000</v>
      </c>
      <c r="M1234" s="6" t="n">
        <v>1000</v>
      </c>
      <c r="N1234" s="6" t="n">
        <v>17000</v>
      </c>
      <c r="O1234" s="6" t="n">
        <v>104000</v>
      </c>
      <c r="P1234" s="6" t="n">
        <v>0</v>
      </c>
      <c r="Q1234" s="1" t="n">
        <f aca="false">IF($A1234="","",IF(OR(F1234="",I1234=""),"",F1234-I1234))</f>
        <v>217000</v>
      </c>
      <c r="R1234" s="1" t="n">
        <f aca="false">IF($A1234="","",IF(Q1234="","",Q1234+IF(O1234="",0,O1234)))</f>
        <v>321000</v>
      </c>
      <c r="S1234" s="6" t="n">
        <v>490000</v>
      </c>
      <c r="T1234" s="1" t="n">
        <f aca="false">IF($A1234="","",IF(R1234="","",R1234-IF(S1234="",0,S1234)))</f>
        <v>-169000</v>
      </c>
      <c r="U1234" s="1" t="n">
        <f aca="false">IF($A1234="","",IF(I1234="","",I1234-SUM(J1234:P1234)))</f>
        <v>3000</v>
      </c>
      <c r="V1234" s="6" t="s">
        <v>4796</v>
      </c>
      <c r="W1234" s="9" t="s">
        <v>528</v>
      </c>
      <c r="X1234" s="9" t="s">
        <v>4797</v>
      </c>
      <c r="AC1234" s="9" t="s">
        <v>4369</v>
      </c>
      <c r="AD1234" s="9" t="s">
        <v>4370</v>
      </c>
      <c r="AE1234" s="9" t="s">
        <v>4408</v>
      </c>
    </row>
    <row r="1235" customFormat="false" ht="15" hidden="false" customHeight="true" outlineLevel="0" collapsed="false">
      <c r="A1235" s="6" t="s">
        <v>4234</v>
      </c>
      <c r="B1235" s="6" t="s">
        <v>383</v>
      </c>
      <c r="C1235" s="6" t="s">
        <v>388</v>
      </c>
      <c r="D1235" s="6" t="n">
        <v>6</v>
      </c>
      <c r="E1235" s="9" t="s">
        <v>4795</v>
      </c>
      <c r="F1235" s="6" t="n">
        <v>134000</v>
      </c>
      <c r="I1235" s="6" t="n">
        <v>80000</v>
      </c>
      <c r="J1235" s="6" t="n">
        <v>18000</v>
      </c>
      <c r="K1235" s="6" t="n">
        <v>12000</v>
      </c>
      <c r="L1235" s="6" t="n">
        <v>10000</v>
      </c>
      <c r="M1235" s="6" t="n">
        <v>0</v>
      </c>
      <c r="N1235" s="6" t="n">
        <v>10000</v>
      </c>
      <c r="O1235" s="6" t="n">
        <v>27000</v>
      </c>
      <c r="P1235" s="6" t="n">
        <v>0</v>
      </c>
      <c r="Q1235" s="1" t="n">
        <f aca="false">IF($A1235="","",IF(OR(F1235="",I1235=""),"",F1235-I1235))</f>
        <v>54000</v>
      </c>
      <c r="R1235" s="1" t="n">
        <f aca="false">IF($A1235="","",IF(Q1235="","",Q1235+IF(O1235="",0,O1235)))</f>
        <v>81000</v>
      </c>
      <c r="S1235" s="6" t="n">
        <v>2000</v>
      </c>
      <c r="T1235" s="1" t="n">
        <f aca="false">IF($A1235="","",IF(R1235="","",R1235-IF(S1235="",0,S1235)))</f>
        <v>79000</v>
      </c>
      <c r="U1235" s="1" t="n">
        <f aca="false">IF($A1235="","",IF(I1235="","",I1235-SUM(J1235:P1235)))</f>
        <v>3000</v>
      </c>
      <c r="V1235" s="6" t="s">
        <v>4796</v>
      </c>
      <c r="W1235" s="9" t="s">
        <v>528</v>
      </c>
      <c r="X1235" s="9" t="s">
        <v>4797</v>
      </c>
      <c r="AC1235" s="9" t="s">
        <v>4369</v>
      </c>
      <c r="AD1235" s="9" t="s">
        <v>4370</v>
      </c>
      <c r="AE1235" s="9" t="s">
        <v>4408</v>
      </c>
    </row>
    <row r="1236" customFormat="false" ht="15" hidden="false" customHeight="true" outlineLevel="0" collapsed="false">
      <c r="A1236" s="6" t="s">
        <v>4236</v>
      </c>
      <c r="B1236" s="6" t="s">
        <v>383</v>
      </c>
      <c r="C1236" s="6" t="s">
        <v>388</v>
      </c>
      <c r="D1236" s="6" t="n">
        <v>6</v>
      </c>
      <c r="E1236" s="9" t="s">
        <v>4795</v>
      </c>
      <c r="F1236" s="6" t="n">
        <v>313000</v>
      </c>
      <c r="I1236" s="6" t="n">
        <v>214000</v>
      </c>
      <c r="J1236" s="6" t="n">
        <v>52000</v>
      </c>
      <c r="K1236" s="6" t="n">
        <v>24000</v>
      </c>
      <c r="L1236" s="6" t="n">
        <v>28000</v>
      </c>
      <c r="M1236" s="6" t="n">
        <v>0</v>
      </c>
      <c r="N1236" s="6" t="n">
        <v>37000</v>
      </c>
      <c r="O1236" s="6" t="n">
        <v>64000</v>
      </c>
      <c r="P1236" s="6" t="n">
        <v>6000</v>
      </c>
      <c r="Q1236" s="1" t="n">
        <f aca="false">IF($A1236="","",IF(OR(F1236="",I1236=""),"",F1236-I1236))</f>
        <v>99000</v>
      </c>
      <c r="R1236" s="1" t="n">
        <f aca="false">IF($A1236="","",IF(Q1236="","",Q1236+IF(O1236="",0,O1236)))</f>
        <v>163000</v>
      </c>
      <c r="S1236" s="6" t="n">
        <v>273000</v>
      </c>
      <c r="T1236" s="1" t="n">
        <f aca="false">IF($A1236="","",IF(R1236="","",R1236-IF(S1236="",0,S1236)))</f>
        <v>-110000</v>
      </c>
      <c r="U1236" s="1" t="n">
        <f aca="false">IF($A1236="","",IF(I1236="","",I1236-SUM(J1236:P1236)))</f>
        <v>3000</v>
      </c>
      <c r="V1236" s="6" t="s">
        <v>4796</v>
      </c>
      <c r="W1236" s="9" t="s">
        <v>528</v>
      </c>
      <c r="X1236" s="9" t="s">
        <v>4797</v>
      </c>
      <c r="AC1236" s="9" t="s">
        <v>4369</v>
      </c>
      <c r="AD1236" s="9" t="s">
        <v>4370</v>
      </c>
      <c r="AE1236" s="9" t="s">
        <v>4408</v>
      </c>
    </row>
    <row r="1237" customFormat="false" ht="15" hidden="false" customHeight="true" outlineLevel="0" collapsed="false">
      <c r="A1237" s="6" t="s">
        <v>4239</v>
      </c>
      <c r="B1237" s="6" t="s">
        <v>383</v>
      </c>
      <c r="C1237" s="6" t="s">
        <v>388</v>
      </c>
      <c r="D1237" s="6" t="n">
        <v>6</v>
      </c>
      <c r="E1237" s="9" t="s">
        <v>4795</v>
      </c>
      <c r="F1237" s="6" t="n">
        <v>425000</v>
      </c>
      <c r="I1237" s="6" t="n">
        <v>223000</v>
      </c>
      <c r="J1237" s="6" t="n">
        <v>45000</v>
      </c>
      <c r="K1237" s="6" t="n">
        <v>40000</v>
      </c>
      <c r="L1237" s="6" t="n">
        <v>44000</v>
      </c>
      <c r="M1237" s="6" t="n">
        <v>0</v>
      </c>
      <c r="N1237" s="6" t="n">
        <v>28000</v>
      </c>
      <c r="O1237" s="6" t="n">
        <v>63000</v>
      </c>
      <c r="P1237" s="6" t="n">
        <v>0</v>
      </c>
      <c r="Q1237" s="1" t="n">
        <f aca="false">IF($A1237="","",IF(OR(F1237="",I1237=""),"",F1237-I1237))</f>
        <v>202000</v>
      </c>
      <c r="R1237" s="1" t="n">
        <f aca="false">IF($A1237="","",IF(Q1237="","",Q1237+IF(O1237="",0,O1237)))</f>
        <v>265000</v>
      </c>
      <c r="S1237" s="6" t="n">
        <v>14000</v>
      </c>
      <c r="T1237" s="1" t="n">
        <f aca="false">IF($A1237="","",IF(R1237="","",R1237-IF(S1237="",0,S1237)))</f>
        <v>251000</v>
      </c>
      <c r="U1237" s="1" t="n">
        <f aca="false">IF($A1237="","",IF(I1237="","",I1237-SUM(J1237:P1237)))</f>
        <v>3000</v>
      </c>
      <c r="V1237" s="6" t="s">
        <v>4796</v>
      </c>
      <c r="W1237" s="9" t="s">
        <v>528</v>
      </c>
      <c r="X1237" s="9" t="s">
        <v>4797</v>
      </c>
      <c r="AC1237" s="9" t="s">
        <v>4369</v>
      </c>
      <c r="AD1237" s="9" t="s">
        <v>4370</v>
      </c>
      <c r="AE1237" s="9" t="s">
        <v>4408</v>
      </c>
    </row>
    <row r="1238" customFormat="false" ht="15" hidden="false" customHeight="true" outlineLevel="0" collapsed="false">
      <c r="A1238" s="6" t="s">
        <v>4241</v>
      </c>
      <c r="B1238" s="6" t="s">
        <v>383</v>
      </c>
      <c r="C1238" s="6" t="s">
        <v>388</v>
      </c>
      <c r="D1238" s="6" t="n">
        <v>6</v>
      </c>
      <c r="E1238" s="9" t="s">
        <v>4795</v>
      </c>
      <c r="F1238" s="6" t="n">
        <v>575000</v>
      </c>
      <c r="I1238" s="6" t="n">
        <v>517000</v>
      </c>
      <c r="J1238" s="6" t="n">
        <v>105000</v>
      </c>
      <c r="K1238" s="6" t="n">
        <v>52000</v>
      </c>
      <c r="L1238" s="6" t="n">
        <v>83000</v>
      </c>
      <c r="M1238" s="6" t="n">
        <v>0</v>
      </c>
      <c r="N1238" s="6" t="n">
        <v>122000</v>
      </c>
      <c r="O1238" s="6" t="n">
        <v>147000</v>
      </c>
      <c r="P1238" s="6" t="n">
        <v>4000</v>
      </c>
      <c r="Q1238" s="1" t="n">
        <f aca="false">IF($A1238="","",IF(OR(F1238="",I1238=""),"",F1238-I1238))</f>
        <v>58000</v>
      </c>
      <c r="R1238" s="1" t="n">
        <f aca="false">IF($A1238="","",IF(Q1238="","",Q1238+IF(O1238="",0,O1238)))</f>
        <v>205000</v>
      </c>
      <c r="S1238" s="6" t="n">
        <v>400000</v>
      </c>
      <c r="T1238" s="1" t="n">
        <f aca="false">IF($A1238="","",IF(R1238="","",R1238-IF(S1238="",0,S1238)))</f>
        <v>-195000</v>
      </c>
      <c r="U1238" s="1" t="n">
        <f aca="false">IF($A1238="","",IF(I1238="","",I1238-SUM(J1238:P1238)))</f>
        <v>4000</v>
      </c>
      <c r="V1238" s="6" t="s">
        <v>4796</v>
      </c>
      <c r="W1238" s="9" t="s">
        <v>528</v>
      </c>
      <c r="X1238" s="9" t="s">
        <v>4797</v>
      </c>
      <c r="AC1238" s="9" t="s">
        <v>4369</v>
      </c>
      <c r="AD1238" s="9" t="s">
        <v>4370</v>
      </c>
      <c r="AE1238" s="9" t="s">
        <v>4408</v>
      </c>
    </row>
    <row r="1239" customFormat="false" ht="15" hidden="false" customHeight="true" outlineLevel="0" collapsed="false">
      <c r="A1239" s="6" t="s">
        <v>4243</v>
      </c>
      <c r="B1239" s="6" t="s">
        <v>383</v>
      </c>
      <c r="C1239" s="6" t="s">
        <v>388</v>
      </c>
      <c r="D1239" s="6" t="n">
        <v>6</v>
      </c>
      <c r="E1239" s="9" t="s">
        <v>4795</v>
      </c>
      <c r="F1239" s="6" t="n">
        <v>257000</v>
      </c>
      <c r="I1239" s="6" t="n">
        <v>89000</v>
      </c>
      <c r="J1239" s="6" t="n">
        <v>32000</v>
      </c>
      <c r="K1239" s="6" t="n">
        <v>13000</v>
      </c>
      <c r="L1239" s="6" t="n">
        <v>12000</v>
      </c>
      <c r="M1239" s="6" t="n">
        <v>0</v>
      </c>
      <c r="N1239" s="6" t="n">
        <v>6000</v>
      </c>
      <c r="O1239" s="6" t="n">
        <v>22000</v>
      </c>
      <c r="P1239" s="6" t="n">
        <v>0</v>
      </c>
      <c r="Q1239" s="1" t="n">
        <f aca="false">IF($A1239="","",IF(OR(F1239="",I1239=""),"",F1239-I1239))</f>
        <v>168000</v>
      </c>
      <c r="R1239" s="1" t="n">
        <f aca="false">IF($A1239="","",IF(Q1239="","",Q1239+IF(O1239="",0,O1239)))</f>
        <v>190000</v>
      </c>
      <c r="S1239" s="6" t="n">
        <v>2000</v>
      </c>
      <c r="T1239" s="1" t="n">
        <f aca="false">IF($A1239="","",IF(R1239="","",R1239-IF(S1239="",0,S1239)))</f>
        <v>188000</v>
      </c>
      <c r="U1239" s="1" t="n">
        <f aca="false">IF($A1239="","",IF(I1239="","",I1239-SUM(J1239:P1239)))</f>
        <v>4000</v>
      </c>
      <c r="V1239" s="6" t="s">
        <v>4796</v>
      </c>
      <c r="W1239" s="9" t="s">
        <v>528</v>
      </c>
      <c r="X1239" s="9" t="s">
        <v>4797</v>
      </c>
      <c r="AC1239" s="9" t="s">
        <v>4369</v>
      </c>
      <c r="AD1239" s="9" t="s">
        <v>4370</v>
      </c>
      <c r="AE1239" s="9" t="s">
        <v>4408</v>
      </c>
    </row>
    <row r="1240" customFormat="false" ht="15" hidden="false" customHeight="true" outlineLevel="0" collapsed="false">
      <c r="A1240" s="6" t="s">
        <v>4245</v>
      </c>
      <c r="B1240" s="6" t="s">
        <v>383</v>
      </c>
      <c r="C1240" s="6" t="s">
        <v>388</v>
      </c>
      <c r="D1240" s="6" t="n">
        <v>6</v>
      </c>
      <c r="E1240" s="9" t="s">
        <v>4803</v>
      </c>
      <c r="Q1240" s="1" t="str">
        <f aca="false">IF($A1240="","",IF(OR(F1240="",I1240=""),"",F1240-I1240))</f>
        <v/>
      </c>
      <c r="R1240" s="1" t="str">
        <f aca="false">IF($A1240="","",IF(Q1240="","",Q1240+IF(O1240="",0,O1240)))</f>
        <v/>
      </c>
      <c r="S1240" s="6" t="n">
        <v>5000</v>
      </c>
      <c r="T1240" s="1" t="str">
        <f aca="false">IF($A1240="","",IF(R1240="","",R1240-IF(S1240="",0,S1240)))</f>
        <v/>
      </c>
      <c r="U1240" s="1" t="str">
        <f aca="false">IF($A1240="","",IF(I1240="","",I1240-SUM(J1240:P1240)))</f>
        <v/>
      </c>
      <c r="V1240" s="6" t="s">
        <v>4796</v>
      </c>
      <c r="W1240" s="9" t="s">
        <v>528</v>
      </c>
      <c r="X1240" s="9" t="s">
        <v>4804</v>
      </c>
      <c r="AC1240" s="9" t="s">
        <v>4369</v>
      </c>
      <c r="AD1240" s="9" t="s">
        <v>4370</v>
      </c>
      <c r="AE1240" s="9" t="s">
        <v>4371</v>
      </c>
    </row>
    <row r="1241" customFormat="false" ht="15" hidden="false" customHeight="true" outlineLevel="0" collapsed="false">
      <c r="A1241" s="6" t="s">
        <v>4247</v>
      </c>
      <c r="B1241" s="6" t="s">
        <v>383</v>
      </c>
      <c r="C1241" s="6" t="s">
        <v>388</v>
      </c>
      <c r="D1241" s="6" t="n">
        <v>6</v>
      </c>
      <c r="E1241" s="9" t="s">
        <v>4803</v>
      </c>
      <c r="Q1241" s="1" t="str">
        <f aca="false">IF($A1241="","",IF(OR(F1241="",I1241=""),"",F1241-I1241))</f>
        <v/>
      </c>
      <c r="R1241" s="1" t="str">
        <f aca="false">IF($A1241="","",IF(Q1241="","",Q1241+IF(O1241="",0,O1241)))</f>
        <v/>
      </c>
      <c r="S1241" s="6" t="n">
        <v>1000</v>
      </c>
      <c r="T1241" s="1" t="str">
        <f aca="false">IF($A1241="","",IF(R1241="","",R1241-IF(S1241="",0,S1241)))</f>
        <v/>
      </c>
      <c r="U1241" s="1" t="str">
        <f aca="false">IF($A1241="","",IF(I1241="","",I1241-SUM(J1241:P1241)))</f>
        <v/>
      </c>
      <c r="V1241" s="6" t="s">
        <v>4796</v>
      </c>
      <c r="W1241" s="9" t="s">
        <v>528</v>
      </c>
      <c r="X1241" s="9" t="s">
        <v>4805</v>
      </c>
      <c r="AC1241" s="9" t="s">
        <v>4369</v>
      </c>
      <c r="AD1241" s="9" t="s">
        <v>4370</v>
      </c>
      <c r="AE1241" s="9" t="s">
        <v>4371</v>
      </c>
    </row>
    <row r="1242" customFormat="false" ht="15" hidden="false" customHeight="true" outlineLevel="0" collapsed="false">
      <c r="A1242" s="6" t="s">
        <v>4248</v>
      </c>
      <c r="B1242" s="6" t="s">
        <v>383</v>
      </c>
      <c r="C1242" s="6" t="s">
        <v>388</v>
      </c>
      <c r="D1242" s="6" t="n">
        <v>6</v>
      </c>
      <c r="E1242" s="9" t="s">
        <v>4795</v>
      </c>
      <c r="F1242" s="6" t="n">
        <v>514000</v>
      </c>
      <c r="I1242" s="6" t="n">
        <v>255000</v>
      </c>
      <c r="J1242" s="6" t="n">
        <v>63000</v>
      </c>
      <c r="K1242" s="6" t="n">
        <v>32000</v>
      </c>
      <c r="L1242" s="6" t="n">
        <v>64000</v>
      </c>
      <c r="M1242" s="6" t="n">
        <v>0</v>
      </c>
      <c r="N1242" s="6" t="n">
        <v>4000</v>
      </c>
      <c r="O1242" s="6" t="n">
        <v>90000</v>
      </c>
      <c r="P1242" s="6" t="n">
        <v>0</v>
      </c>
      <c r="Q1242" s="1" t="n">
        <f aca="false">IF($A1242="","",IF(OR(F1242="",I1242=""),"",F1242-I1242))</f>
        <v>259000</v>
      </c>
      <c r="R1242" s="1" t="n">
        <f aca="false">IF($A1242="","",IF(Q1242="","",Q1242+IF(O1242="",0,O1242)))</f>
        <v>349000</v>
      </c>
      <c r="S1242" s="6" t="n">
        <v>11000</v>
      </c>
      <c r="T1242" s="1" t="n">
        <f aca="false">IF($A1242="","",IF(R1242="","",R1242-IF(S1242="",0,S1242)))</f>
        <v>338000</v>
      </c>
      <c r="U1242" s="1" t="n">
        <f aca="false">IF($A1242="","",IF(I1242="","",I1242-SUM(J1242:P1242)))</f>
        <v>2000</v>
      </c>
      <c r="V1242" s="6" t="s">
        <v>4796</v>
      </c>
      <c r="W1242" s="9" t="s">
        <v>528</v>
      </c>
      <c r="X1242" s="9" t="s">
        <v>4797</v>
      </c>
      <c r="AC1242" s="9" t="s">
        <v>4369</v>
      </c>
      <c r="AD1242" s="9" t="s">
        <v>4370</v>
      </c>
      <c r="AE1242" s="9" t="s">
        <v>4408</v>
      </c>
    </row>
    <row r="1243" customFormat="false" ht="15" hidden="false" customHeight="true" outlineLevel="0" collapsed="false">
      <c r="A1243" s="6" t="s">
        <v>4250</v>
      </c>
      <c r="B1243" s="6" t="s">
        <v>383</v>
      </c>
      <c r="C1243" s="6" t="s">
        <v>388</v>
      </c>
      <c r="D1243" s="6" t="n">
        <v>6</v>
      </c>
      <c r="E1243" s="9" t="s">
        <v>4795</v>
      </c>
      <c r="F1243" s="6" t="n">
        <v>294000</v>
      </c>
      <c r="I1243" s="6" t="n">
        <v>148000</v>
      </c>
      <c r="J1243" s="6" t="n">
        <v>45000</v>
      </c>
      <c r="K1243" s="6" t="n">
        <v>25000</v>
      </c>
      <c r="L1243" s="6" t="n">
        <v>40000</v>
      </c>
      <c r="M1243" s="6" t="n">
        <v>0</v>
      </c>
      <c r="N1243" s="6" t="n">
        <v>11000</v>
      </c>
      <c r="O1243" s="6" t="n">
        <v>24000</v>
      </c>
      <c r="P1243" s="6" t="n">
        <v>0</v>
      </c>
      <c r="Q1243" s="1" t="n">
        <f aca="false">IF($A1243="","",IF(OR(F1243="",I1243=""),"",F1243-I1243))</f>
        <v>146000</v>
      </c>
      <c r="R1243" s="1" t="n">
        <f aca="false">IF($A1243="","",IF(Q1243="","",Q1243+IF(O1243="",0,O1243)))</f>
        <v>170000</v>
      </c>
      <c r="S1243" s="6" t="n">
        <v>10000</v>
      </c>
      <c r="T1243" s="1" t="n">
        <f aca="false">IF($A1243="","",IF(R1243="","",R1243-IF(S1243="",0,S1243)))</f>
        <v>160000</v>
      </c>
      <c r="U1243" s="1" t="n">
        <f aca="false">IF($A1243="","",IF(I1243="","",I1243-SUM(J1243:P1243)))</f>
        <v>3000</v>
      </c>
      <c r="V1243" s="6" t="s">
        <v>4796</v>
      </c>
      <c r="W1243" s="9" t="s">
        <v>528</v>
      </c>
      <c r="X1243" s="9" t="s">
        <v>4797</v>
      </c>
      <c r="AC1243" s="9" t="s">
        <v>4369</v>
      </c>
      <c r="AD1243" s="9" t="s">
        <v>4370</v>
      </c>
      <c r="AE1243" s="9" t="s">
        <v>4408</v>
      </c>
    </row>
    <row r="1244" customFormat="false" ht="15" hidden="false" customHeight="true" outlineLevel="0" collapsed="false">
      <c r="A1244" s="6" t="s">
        <v>4252</v>
      </c>
      <c r="B1244" s="6" t="s">
        <v>383</v>
      </c>
      <c r="C1244" s="6" t="s">
        <v>388</v>
      </c>
      <c r="D1244" s="6" t="n">
        <v>6</v>
      </c>
      <c r="E1244" s="9" t="s">
        <v>4795</v>
      </c>
      <c r="F1244" s="6" t="n">
        <v>385000</v>
      </c>
      <c r="I1244" s="6" t="n">
        <v>217000</v>
      </c>
      <c r="J1244" s="6" t="n">
        <v>24000</v>
      </c>
      <c r="K1244" s="6" t="n">
        <v>27000</v>
      </c>
      <c r="L1244" s="6" t="n">
        <v>26000</v>
      </c>
      <c r="M1244" s="6" t="n">
        <v>0</v>
      </c>
      <c r="N1244" s="6" t="n">
        <v>7000</v>
      </c>
      <c r="O1244" s="6" t="n">
        <v>130000</v>
      </c>
      <c r="P1244" s="6" t="n">
        <v>0</v>
      </c>
      <c r="Q1244" s="1" t="n">
        <f aca="false">IF($A1244="","",IF(OR(F1244="",I1244=""),"",F1244-I1244))</f>
        <v>168000</v>
      </c>
      <c r="R1244" s="1" t="n">
        <f aca="false">IF($A1244="","",IF(Q1244="","",Q1244+IF(O1244="",0,O1244)))</f>
        <v>298000</v>
      </c>
      <c r="S1244" s="6" t="n">
        <v>11000</v>
      </c>
      <c r="T1244" s="1" t="n">
        <f aca="false">IF($A1244="","",IF(R1244="","",R1244-IF(S1244="",0,S1244)))</f>
        <v>287000</v>
      </c>
      <c r="U1244" s="1" t="n">
        <f aca="false">IF($A1244="","",IF(I1244="","",I1244-SUM(J1244:P1244)))</f>
        <v>3000</v>
      </c>
      <c r="V1244" s="6" t="s">
        <v>4796</v>
      </c>
      <c r="W1244" s="9" t="s">
        <v>528</v>
      </c>
      <c r="X1244" s="9" t="s">
        <v>4797</v>
      </c>
      <c r="AC1244" s="9" t="s">
        <v>4369</v>
      </c>
      <c r="AD1244" s="9" t="s">
        <v>4370</v>
      </c>
      <c r="AE1244" s="9" t="s">
        <v>4408</v>
      </c>
    </row>
    <row r="1245" customFormat="false" ht="15" hidden="false" customHeight="true" outlineLevel="0" collapsed="false">
      <c r="A1245" s="6" t="s">
        <v>4254</v>
      </c>
      <c r="B1245" s="6" t="s">
        <v>383</v>
      </c>
      <c r="C1245" s="6" t="s">
        <v>388</v>
      </c>
      <c r="D1245" s="6" t="n">
        <v>6</v>
      </c>
      <c r="E1245" s="9" t="s">
        <v>4795</v>
      </c>
      <c r="F1245" s="6" t="n">
        <v>595000</v>
      </c>
      <c r="I1245" s="6" t="n">
        <v>301000</v>
      </c>
      <c r="J1245" s="6" t="n">
        <v>67000</v>
      </c>
      <c r="K1245" s="6" t="n">
        <v>44000</v>
      </c>
      <c r="L1245" s="6" t="n">
        <v>94000</v>
      </c>
      <c r="M1245" s="6" t="n">
        <v>0</v>
      </c>
      <c r="N1245" s="6" t="n">
        <v>10000</v>
      </c>
      <c r="O1245" s="6" t="n">
        <v>83000</v>
      </c>
      <c r="P1245" s="6" t="n">
        <v>0</v>
      </c>
      <c r="Q1245" s="1" t="n">
        <f aca="false">IF($A1245="","",IF(OR(F1245="",I1245=""),"",F1245-I1245))</f>
        <v>294000</v>
      </c>
      <c r="R1245" s="1" t="n">
        <f aca="false">IF($A1245="","",IF(Q1245="","",Q1245+IF(O1245="",0,O1245)))</f>
        <v>377000</v>
      </c>
      <c r="S1245" s="6" t="n">
        <v>0</v>
      </c>
      <c r="T1245" s="1" t="n">
        <f aca="false">IF($A1245="","",IF(R1245="","",R1245-IF(S1245="",0,S1245)))</f>
        <v>377000</v>
      </c>
      <c r="U1245" s="1" t="n">
        <f aca="false">IF($A1245="","",IF(I1245="","",I1245-SUM(J1245:P1245)))</f>
        <v>3000</v>
      </c>
      <c r="V1245" s="6" t="s">
        <v>4796</v>
      </c>
      <c r="W1245" s="9" t="s">
        <v>528</v>
      </c>
      <c r="X1245" s="9" t="s">
        <v>4797</v>
      </c>
      <c r="AC1245" s="9" t="s">
        <v>4369</v>
      </c>
      <c r="AD1245" s="9" t="s">
        <v>4370</v>
      </c>
      <c r="AE1245" s="9" t="s">
        <v>4408</v>
      </c>
    </row>
    <row r="1246" customFormat="false" ht="15" hidden="false" customHeight="true" outlineLevel="0" collapsed="false">
      <c r="A1246" s="6" t="s">
        <v>4256</v>
      </c>
      <c r="B1246" s="6" t="s">
        <v>383</v>
      </c>
      <c r="C1246" s="6" t="s">
        <v>388</v>
      </c>
      <c r="D1246" s="6" t="n">
        <v>6</v>
      </c>
      <c r="E1246" s="9" t="s">
        <v>4795</v>
      </c>
      <c r="F1246" s="6" t="n">
        <v>449000</v>
      </c>
      <c r="I1246" s="6" t="n">
        <v>214000</v>
      </c>
      <c r="J1246" s="6" t="n">
        <v>68000</v>
      </c>
      <c r="K1246" s="6" t="n">
        <v>31000</v>
      </c>
      <c r="L1246" s="6" t="n">
        <v>27000</v>
      </c>
      <c r="M1246" s="6" t="n">
        <v>0</v>
      </c>
      <c r="N1246" s="6" t="n">
        <v>11000</v>
      </c>
      <c r="O1246" s="6" t="n">
        <v>74000</v>
      </c>
      <c r="P1246" s="6" t="n">
        <v>0</v>
      </c>
      <c r="Q1246" s="1" t="n">
        <f aca="false">IF($A1246="","",IF(OR(F1246="",I1246=""),"",F1246-I1246))</f>
        <v>235000</v>
      </c>
      <c r="R1246" s="1" t="n">
        <f aca="false">IF($A1246="","",IF(Q1246="","",Q1246+IF(O1246="",0,O1246)))</f>
        <v>309000</v>
      </c>
      <c r="S1246" s="6" t="n">
        <v>6000</v>
      </c>
      <c r="T1246" s="1" t="n">
        <f aca="false">IF($A1246="","",IF(R1246="","",R1246-IF(S1246="",0,S1246)))</f>
        <v>303000</v>
      </c>
      <c r="U1246" s="1" t="n">
        <f aca="false">IF($A1246="","",IF(I1246="","",I1246-SUM(J1246:P1246)))</f>
        <v>3000</v>
      </c>
      <c r="V1246" s="6" t="s">
        <v>4796</v>
      </c>
      <c r="W1246" s="9" t="s">
        <v>528</v>
      </c>
      <c r="X1246" s="9" t="s">
        <v>4797</v>
      </c>
      <c r="AC1246" s="9" t="s">
        <v>4369</v>
      </c>
      <c r="AD1246" s="9" t="s">
        <v>4370</v>
      </c>
      <c r="AE1246" s="9" t="s">
        <v>4408</v>
      </c>
    </row>
    <row r="1247" customFormat="false" ht="15" hidden="false" customHeight="true" outlineLevel="0" collapsed="false">
      <c r="A1247" s="6" t="s">
        <v>4259</v>
      </c>
      <c r="B1247" s="6" t="s">
        <v>383</v>
      </c>
      <c r="C1247" s="6" t="s">
        <v>388</v>
      </c>
      <c r="D1247" s="6" t="n">
        <v>6</v>
      </c>
      <c r="E1247" s="9" t="s">
        <v>4795</v>
      </c>
      <c r="F1247" s="6" t="n">
        <v>277000</v>
      </c>
      <c r="I1247" s="6" t="n">
        <v>194000</v>
      </c>
      <c r="J1247" s="6" t="n">
        <v>33000</v>
      </c>
      <c r="K1247" s="6" t="n">
        <v>20000</v>
      </c>
      <c r="L1247" s="6" t="n">
        <v>17000</v>
      </c>
      <c r="M1247" s="6" t="n">
        <v>1000</v>
      </c>
      <c r="N1247" s="6" t="n">
        <v>78000</v>
      </c>
      <c r="O1247" s="6" t="n">
        <v>44000</v>
      </c>
      <c r="P1247" s="6" t="n">
        <v>0</v>
      </c>
      <c r="Q1247" s="1" t="n">
        <f aca="false">IF($A1247="","",IF(OR(F1247="",I1247=""),"",F1247-I1247))</f>
        <v>83000</v>
      </c>
      <c r="R1247" s="1" t="n">
        <f aca="false">IF($A1247="","",IF(Q1247="","",Q1247+IF(O1247="",0,O1247)))</f>
        <v>127000</v>
      </c>
      <c r="S1247" s="6" t="n">
        <v>428000</v>
      </c>
      <c r="T1247" s="1" t="n">
        <f aca="false">IF($A1247="","",IF(R1247="","",R1247-IF(S1247="",0,S1247)))</f>
        <v>-301000</v>
      </c>
      <c r="U1247" s="1" t="n">
        <f aca="false">IF($A1247="","",IF(I1247="","",I1247-SUM(J1247:P1247)))</f>
        <v>1000</v>
      </c>
      <c r="V1247" s="6" t="s">
        <v>4796</v>
      </c>
      <c r="W1247" s="9" t="s">
        <v>528</v>
      </c>
      <c r="X1247" s="9" t="s">
        <v>4797</v>
      </c>
      <c r="AC1247" s="9" t="s">
        <v>4369</v>
      </c>
      <c r="AD1247" s="9" t="s">
        <v>4370</v>
      </c>
      <c r="AE1247" s="9" t="s">
        <v>4408</v>
      </c>
    </row>
    <row r="1248" customFormat="false" ht="15" hidden="false" customHeight="true" outlineLevel="0" collapsed="false">
      <c r="A1248" s="6" t="s">
        <v>4263</v>
      </c>
      <c r="B1248" s="6" t="s">
        <v>383</v>
      </c>
      <c r="C1248" s="6" t="s">
        <v>388</v>
      </c>
      <c r="D1248" s="6" t="n">
        <v>6</v>
      </c>
      <c r="E1248" s="9" t="s">
        <v>4795</v>
      </c>
      <c r="F1248" s="6" t="n">
        <v>276000</v>
      </c>
      <c r="I1248" s="6" t="n">
        <v>252000</v>
      </c>
      <c r="J1248" s="6" t="n">
        <v>52000</v>
      </c>
      <c r="K1248" s="6" t="n">
        <v>26000</v>
      </c>
      <c r="L1248" s="6" t="n">
        <v>24000</v>
      </c>
      <c r="M1248" s="6" t="n">
        <v>0</v>
      </c>
      <c r="N1248" s="6" t="n">
        <v>33000</v>
      </c>
      <c r="O1248" s="6" t="n">
        <v>83000</v>
      </c>
      <c r="P1248" s="6" t="n">
        <v>31000</v>
      </c>
      <c r="Q1248" s="1" t="n">
        <f aca="false">IF($A1248="","",IF(OR(F1248="",I1248=""),"",F1248-I1248))</f>
        <v>24000</v>
      </c>
      <c r="R1248" s="1" t="n">
        <f aca="false">IF($A1248="","",IF(Q1248="","",Q1248+IF(O1248="",0,O1248)))</f>
        <v>107000</v>
      </c>
      <c r="S1248" s="6" t="n">
        <v>166000</v>
      </c>
      <c r="T1248" s="1" t="n">
        <f aca="false">IF($A1248="","",IF(R1248="","",R1248-IF(S1248="",0,S1248)))</f>
        <v>-59000</v>
      </c>
      <c r="U1248" s="1" t="n">
        <f aca="false">IF($A1248="","",IF(I1248="","",I1248-SUM(J1248:P1248)))</f>
        <v>3000</v>
      </c>
      <c r="V1248" s="6" t="s">
        <v>4796</v>
      </c>
      <c r="W1248" s="9" t="s">
        <v>528</v>
      </c>
      <c r="X1248" s="9" t="s">
        <v>4797</v>
      </c>
      <c r="AC1248" s="9" t="s">
        <v>4369</v>
      </c>
      <c r="AD1248" s="9" t="s">
        <v>4370</v>
      </c>
      <c r="AE1248" s="9" t="s">
        <v>4408</v>
      </c>
    </row>
    <row r="1249" customFormat="false" ht="15" hidden="false" customHeight="true" outlineLevel="0" collapsed="false">
      <c r="A1249" s="6" t="s">
        <v>4265</v>
      </c>
      <c r="B1249" s="6" t="s">
        <v>383</v>
      </c>
      <c r="C1249" s="6" t="s">
        <v>388</v>
      </c>
      <c r="D1249" s="6" t="n">
        <v>6</v>
      </c>
      <c r="E1249" s="9" t="s">
        <v>4795</v>
      </c>
      <c r="F1249" s="6" t="n">
        <v>96000</v>
      </c>
      <c r="I1249" s="6" t="n">
        <v>46000</v>
      </c>
      <c r="J1249" s="6" t="n">
        <v>14000</v>
      </c>
      <c r="K1249" s="6" t="n">
        <v>6000</v>
      </c>
      <c r="L1249" s="6" t="n">
        <v>8000</v>
      </c>
      <c r="M1249" s="6" t="n">
        <v>0</v>
      </c>
      <c r="N1249" s="6" t="n">
        <v>3000</v>
      </c>
      <c r="O1249" s="6" t="n">
        <v>14000</v>
      </c>
      <c r="P1249" s="6" t="n">
        <v>0</v>
      </c>
      <c r="Q1249" s="1" t="n">
        <f aca="false">IF($A1249="","",IF(OR(F1249="",I1249=""),"",F1249-I1249))</f>
        <v>50000</v>
      </c>
      <c r="R1249" s="1" t="n">
        <f aca="false">IF($A1249="","",IF(Q1249="","",Q1249+IF(O1249="",0,O1249)))</f>
        <v>64000</v>
      </c>
      <c r="S1249" s="6" t="n">
        <v>4000</v>
      </c>
      <c r="T1249" s="1" t="n">
        <f aca="false">IF($A1249="","",IF(R1249="","",R1249-IF(S1249="",0,S1249)))</f>
        <v>60000</v>
      </c>
      <c r="U1249" s="1" t="n">
        <f aca="false">IF($A1249="","",IF(I1249="","",I1249-SUM(J1249:P1249)))</f>
        <v>1000</v>
      </c>
      <c r="V1249" s="6" t="s">
        <v>4796</v>
      </c>
      <c r="W1249" s="9" t="s">
        <v>528</v>
      </c>
      <c r="X1249" s="9" t="s">
        <v>4797</v>
      </c>
      <c r="AC1249" s="9" t="s">
        <v>4369</v>
      </c>
      <c r="AD1249" s="9" t="s">
        <v>4370</v>
      </c>
      <c r="AE1249" s="9" t="s">
        <v>4408</v>
      </c>
    </row>
    <row r="1250" customFormat="false" ht="15" hidden="false" customHeight="true" outlineLevel="0" collapsed="false">
      <c r="A1250" s="6" t="s">
        <v>4267</v>
      </c>
      <c r="B1250" s="6" t="s">
        <v>383</v>
      </c>
      <c r="C1250" s="6" t="s">
        <v>388</v>
      </c>
      <c r="D1250" s="6" t="n">
        <v>6</v>
      </c>
      <c r="E1250" s="9" t="s">
        <v>4795</v>
      </c>
      <c r="F1250" s="6" t="n">
        <v>154000</v>
      </c>
      <c r="I1250" s="6" t="n">
        <v>134000</v>
      </c>
      <c r="J1250" s="6" t="n">
        <v>20000</v>
      </c>
      <c r="K1250" s="6" t="n">
        <v>14000</v>
      </c>
      <c r="L1250" s="6" t="n">
        <v>21000</v>
      </c>
      <c r="M1250" s="6" t="n">
        <v>0</v>
      </c>
      <c r="N1250" s="6" t="n">
        <v>10000</v>
      </c>
      <c r="O1250" s="6" t="n">
        <v>68000</v>
      </c>
      <c r="P1250" s="6" t="n">
        <v>0</v>
      </c>
      <c r="Q1250" s="1" t="n">
        <f aca="false">IF($A1250="","",IF(OR(F1250="",I1250=""),"",F1250-I1250))</f>
        <v>20000</v>
      </c>
      <c r="R1250" s="1" t="n">
        <f aca="false">IF($A1250="","",IF(Q1250="","",Q1250+IF(O1250="",0,O1250)))</f>
        <v>88000</v>
      </c>
      <c r="S1250" s="6" t="n">
        <v>10000</v>
      </c>
      <c r="T1250" s="1" t="n">
        <f aca="false">IF($A1250="","",IF(R1250="","",R1250-IF(S1250="",0,S1250)))</f>
        <v>78000</v>
      </c>
      <c r="U1250" s="1" t="n">
        <f aca="false">IF($A1250="","",IF(I1250="","",I1250-SUM(J1250:P1250)))</f>
        <v>1000</v>
      </c>
      <c r="V1250" s="6" t="s">
        <v>4796</v>
      </c>
      <c r="W1250" s="9" t="s">
        <v>528</v>
      </c>
      <c r="X1250" s="9" t="s">
        <v>4806</v>
      </c>
      <c r="AC1250" s="9" t="s">
        <v>4369</v>
      </c>
      <c r="AD1250" s="9" t="s">
        <v>4370</v>
      </c>
      <c r="AE1250" s="9" t="s">
        <v>4408</v>
      </c>
    </row>
    <row r="1251" customFormat="false" ht="15" hidden="false" customHeight="true" outlineLevel="0" collapsed="false">
      <c r="A1251" s="6" t="s">
        <v>4270</v>
      </c>
      <c r="B1251" s="6" t="s">
        <v>383</v>
      </c>
      <c r="C1251" s="6" t="s">
        <v>388</v>
      </c>
      <c r="D1251" s="6" t="n">
        <v>6</v>
      </c>
      <c r="E1251" s="9" t="s">
        <v>4795</v>
      </c>
      <c r="F1251" s="6" t="n">
        <v>163000</v>
      </c>
      <c r="I1251" s="6" t="n">
        <v>84000</v>
      </c>
      <c r="J1251" s="6" t="n">
        <v>24000</v>
      </c>
      <c r="K1251" s="6" t="n">
        <v>19000</v>
      </c>
      <c r="L1251" s="6" t="n">
        <v>20000</v>
      </c>
      <c r="M1251" s="6" t="n">
        <v>0</v>
      </c>
      <c r="N1251" s="6" t="n">
        <v>1000</v>
      </c>
      <c r="O1251" s="6" t="n">
        <v>18000</v>
      </c>
      <c r="P1251" s="6" t="n">
        <v>0</v>
      </c>
      <c r="Q1251" s="1" t="n">
        <f aca="false">IF($A1251="","",IF(OR(F1251="",I1251=""),"",F1251-I1251))</f>
        <v>79000</v>
      </c>
      <c r="R1251" s="1" t="n">
        <f aca="false">IF($A1251="","",IF(Q1251="","",Q1251+IF(O1251="",0,O1251)))</f>
        <v>97000</v>
      </c>
      <c r="S1251" s="6" t="n">
        <v>0</v>
      </c>
      <c r="T1251" s="1" t="n">
        <f aca="false">IF($A1251="","",IF(R1251="","",R1251-IF(S1251="",0,S1251)))</f>
        <v>97000</v>
      </c>
      <c r="U1251" s="1" t="n">
        <f aca="false">IF($A1251="","",IF(I1251="","",I1251-SUM(J1251:P1251)))</f>
        <v>2000</v>
      </c>
      <c r="V1251" s="6" t="s">
        <v>4796</v>
      </c>
      <c r="W1251" s="9" t="s">
        <v>528</v>
      </c>
      <c r="X1251" s="9" t="s">
        <v>4797</v>
      </c>
      <c r="AC1251" s="9" t="s">
        <v>4369</v>
      </c>
      <c r="AD1251" s="9" t="s">
        <v>4370</v>
      </c>
      <c r="AE1251" s="9" t="s">
        <v>4408</v>
      </c>
    </row>
    <row r="1252" customFormat="false" ht="15" hidden="false" customHeight="true" outlineLevel="0" collapsed="false">
      <c r="A1252" s="6" t="s">
        <v>4272</v>
      </c>
      <c r="B1252" s="6" t="s">
        <v>383</v>
      </c>
      <c r="C1252" s="6" t="s">
        <v>388</v>
      </c>
      <c r="D1252" s="6" t="n">
        <v>6</v>
      </c>
      <c r="E1252" s="9" t="s">
        <v>4776</v>
      </c>
      <c r="F1252" s="6" t="n">
        <v>36817129</v>
      </c>
      <c r="G1252" s="6" t="n">
        <v>36743295</v>
      </c>
      <c r="H1252" s="6" t="n">
        <v>73833</v>
      </c>
      <c r="I1252" s="6" t="n">
        <v>19317966</v>
      </c>
      <c r="J1252" s="6" t="n">
        <v>4157545</v>
      </c>
      <c r="K1252" s="6" t="n">
        <v>2748341</v>
      </c>
      <c r="L1252" s="6" t="n">
        <v>3906597</v>
      </c>
      <c r="M1252" s="6" t="n">
        <v>50981</v>
      </c>
      <c r="N1252" s="6" t="n">
        <v>1832972</v>
      </c>
      <c r="O1252" s="6" t="n">
        <v>6309528</v>
      </c>
      <c r="P1252" s="6" t="n">
        <v>311999</v>
      </c>
      <c r="Q1252" s="1" t="n">
        <f aca="false">IF($A1252="","",IF(OR(F1252="",I1252=""),"",F1252-I1252))</f>
        <v>17499163</v>
      </c>
      <c r="R1252" s="1" t="n">
        <f aca="false">IF($A1252="","",IF(Q1252="","",Q1252+IF(O1252="",0,O1252)))</f>
        <v>23808691</v>
      </c>
      <c r="S1252" s="6" t="n">
        <v>5325000</v>
      </c>
      <c r="T1252" s="1" t="n">
        <f aca="false">IF($A1252="","",IF(R1252="","",R1252-IF(S1252="",0,S1252)))</f>
        <v>18483691</v>
      </c>
      <c r="U1252" s="1" t="n">
        <f aca="false">IF($A1252="","",IF(I1252="","",I1252-SUM(J1252:P1252)))</f>
        <v>3</v>
      </c>
      <c r="V1252" s="6" t="s">
        <v>4807</v>
      </c>
      <c r="W1252" s="44" t="s">
        <v>1168</v>
      </c>
      <c r="X1252" s="9" t="s">
        <v>4808</v>
      </c>
      <c r="AC1252" s="9" t="s">
        <v>4369</v>
      </c>
      <c r="AD1252" s="9" t="s">
        <v>4370</v>
      </c>
      <c r="AE1252" s="9" t="s">
        <v>4371</v>
      </c>
    </row>
    <row r="1253" customFormat="false" ht="15" hidden="false" customHeight="true" outlineLevel="0" collapsed="false">
      <c r="A1253" s="6" t="s">
        <v>4275</v>
      </c>
      <c r="B1253" s="6" t="s">
        <v>469</v>
      </c>
      <c r="C1253" s="6" t="s">
        <v>475</v>
      </c>
      <c r="D1253" s="6" t="n">
        <v>6</v>
      </c>
      <c r="E1253" s="9" t="s">
        <v>4396</v>
      </c>
      <c r="F1253" s="6" t="n">
        <v>1739703</v>
      </c>
      <c r="I1253" s="6" t="n">
        <v>698351</v>
      </c>
      <c r="J1253" s="6" t="n">
        <v>210570</v>
      </c>
      <c r="K1253" s="6" t="n">
        <v>0</v>
      </c>
      <c r="L1253" s="6" t="n">
        <v>367983</v>
      </c>
      <c r="M1253" s="6" t="n">
        <v>4507</v>
      </c>
      <c r="O1253" s="6" t="n">
        <v>72682</v>
      </c>
      <c r="P1253" s="6" t="n">
        <v>42606</v>
      </c>
      <c r="Q1253" s="1" t="n">
        <f aca="false">IF($A1253="","",IF(OR(F1253="",I1253=""),"",F1253-I1253))</f>
        <v>1041352</v>
      </c>
      <c r="R1253" s="1" t="n">
        <f aca="false">IF($A1253="","",IF(Q1253="","",Q1253+IF(O1253="",0,O1253)))</f>
        <v>1114034</v>
      </c>
      <c r="S1253" s="6" t="n">
        <v>179364</v>
      </c>
      <c r="T1253" s="1" t="n">
        <f aca="false">IF($A1253="","",IF(R1253="","",R1253-IF(S1253="",0,S1253)))</f>
        <v>934670</v>
      </c>
      <c r="U1253" s="1" t="n">
        <f aca="false">IF($A1253="","",IF(I1253="","",I1253-SUM(J1253:P1253)))</f>
        <v>3</v>
      </c>
      <c r="V1253" s="6" t="s">
        <v>4809</v>
      </c>
      <c r="W1253" s="9" t="s">
        <v>528</v>
      </c>
      <c r="X1253" s="9" t="s">
        <v>4810</v>
      </c>
      <c r="AC1253" s="9" t="s">
        <v>4369</v>
      </c>
      <c r="AD1253" s="9" t="s">
        <v>4370</v>
      </c>
      <c r="AE1253" s="9" t="s">
        <v>4371</v>
      </c>
    </row>
    <row r="1254" customFormat="false" ht="15" hidden="false" customHeight="true" outlineLevel="0" collapsed="false">
      <c r="A1254" s="6" t="s">
        <v>4279</v>
      </c>
      <c r="B1254" s="6" t="s">
        <v>469</v>
      </c>
      <c r="C1254" s="6" t="s">
        <v>475</v>
      </c>
      <c r="D1254" s="6" t="n">
        <v>6</v>
      </c>
      <c r="E1254" s="9" t="s">
        <v>4396</v>
      </c>
      <c r="F1254" s="6" t="n">
        <v>905345</v>
      </c>
      <c r="I1254" s="6" t="n">
        <v>318681</v>
      </c>
      <c r="J1254" s="6" t="n">
        <v>78003</v>
      </c>
      <c r="K1254" s="6" t="n">
        <v>34393</v>
      </c>
      <c r="L1254" s="6" t="n">
        <v>47797</v>
      </c>
      <c r="M1254" s="6" t="n">
        <v>572</v>
      </c>
      <c r="O1254" s="6" t="n">
        <v>156235</v>
      </c>
      <c r="P1254" s="6" t="n">
        <v>1679</v>
      </c>
      <c r="Q1254" s="1" t="n">
        <f aca="false">IF($A1254="","",IF(OR(F1254="",I1254=""),"",F1254-I1254))</f>
        <v>586664</v>
      </c>
      <c r="R1254" s="1" t="n">
        <f aca="false">IF($A1254="","",IF(Q1254="","",Q1254+IF(O1254="",0,O1254)))</f>
        <v>742899</v>
      </c>
      <c r="S1254" s="6" t="n">
        <v>0</v>
      </c>
      <c r="T1254" s="1" t="n">
        <f aca="false">IF($A1254="","",IF(R1254="","",R1254-IF(S1254="",0,S1254)))</f>
        <v>742899</v>
      </c>
      <c r="U1254" s="1" t="n">
        <f aca="false">IF($A1254="","",IF(I1254="","",I1254-SUM(J1254:P1254)))</f>
        <v>2</v>
      </c>
      <c r="V1254" s="6" t="s">
        <v>4809</v>
      </c>
      <c r="W1254" s="9" t="s">
        <v>528</v>
      </c>
      <c r="X1254" s="9" t="s">
        <v>4810</v>
      </c>
      <c r="AC1254" s="9" t="s">
        <v>4369</v>
      </c>
      <c r="AD1254" s="9" t="s">
        <v>4370</v>
      </c>
      <c r="AE1254" s="9" t="s">
        <v>4371</v>
      </c>
    </row>
    <row r="1255" customFormat="false" ht="15" hidden="false" customHeight="true" outlineLevel="0" collapsed="false">
      <c r="A1255" s="6" t="s">
        <v>4282</v>
      </c>
      <c r="B1255" s="6" t="s">
        <v>469</v>
      </c>
      <c r="C1255" s="6" t="s">
        <v>475</v>
      </c>
      <c r="D1255" s="6" t="n">
        <v>6</v>
      </c>
      <c r="E1255" s="9" t="s">
        <v>4811</v>
      </c>
      <c r="Q1255" s="1" t="str">
        <f aca="false">IF($A1255="","",IF(OR(F1255="",I1255=""),"",F1255-I1255))</f>
        <v/>
      </c>
      <c r="R1255" s="1" t="str">
        <f aca="false">IF($A1255="","",IF(Q1255="","",Q1255+IF(O1255="",0,O1255)))</f>
        <v/>
      </c>
      <c r="S1255" s="6" t="n">
        <v>581</v>
      </c>
      <c r="T1255" s="1" t="str">
        <f aca="false">IF($A1255="","",IF(R1255="","",R1255-IF(S1255="",0,S1255)))</f>
        <v/>
      </c>
      <c r="U1255" s="1" t="str">
        <f aca="false">IF($A1255="","",IF(I1255="","",I1255-SUM(J1255:P1255)))</f>
        <v/>
      </c>
      <c r="V1255" s="6" t="s">
        <v>4809</v>
      </c>
      <c r="W1255" s="9" t="s">
        <v>528</v>
      </c>
      <c r="X1255" s="9" t="s">
        <v>4812</v>
      </c>
      <c r="AC1255" s="9" t="s">
        <v>4369</v>
      </c>
      <c r="AD1255" s="9" t="s">
        <v>4370</v>
      </c>
      <c r="AE1255" s="9" t="s">
        <v>4371</v>
      </c>
    </row>
    <row r="1256" customFormat="false" ht="15" hidden="false" customHeight="true" outlineLevel="0" collapsed="false">
      <c r="A1256" s="6" t="s">
        <v>4285</v>
      </c>
      <c r="B1256" s="6" t="s">
        <v>469</v>
      </c>
      <c r="C1256" s="6" t="s">
        <v>475</v>
      </c>
      <c r="D1256" s="6" t="n">
        <v>6</v>
      </c>
      <c r="E1256" s="9" t="s">
        <v>4396</v>
      </c>
      <c r="F1256" s="6" t="n">
        <v>1060985</v>
      </c>
      <c r="I1256" s="6" t="n">
        <v>474498</v>
      </c>
      <c r="J1256" s="6" t="n">
        <v>241642</v>
      </c>
      <c r="K1256" s="6" t="n">
        <v>61217</v>
      </c>
      <c r="L1256" s="6" t="n">
        <v>91289</v>
      </c>
      <c r="M1256" s="6" t="n">
        <v>1995</v>
      </c>
      <c r="O1256" s="6" t="n">
        <v>65473</v>
      </c>
      <c r="P1256" s="6" t="n">
        <v>12878</v>
      </c>
      <c r="Q1256" s="1" t="n">
        <f aca="false">IF($A1256="","",IF(OR(F1256="",I1256=""),"",F1256-I1256))</f>
        <v>586487</v>
      </c>
      <c r="R1256" s="1" t="n">
        <f aca="false">IF($A1256="","",IF(Q1256="","",Q1256+IF(O1256="",0,O1256)))</f>
        <v>651960</v>
      </c>
      <c r="S1256" s="6" t="n">
        <v>28890</v>
      </c>
      <c r="T1256" s="1" t="n">
        <f aca="false">IF($A1256="","",IF(R1256="","",R1256-IF(S1256="",0,S1256)))</f>
        <v>623070</v>
      </c>
      <c r="U1256" s="1" t="n">
        <f aca="false">IF($A1256="","",IF(I1256="","",I1256-SUM(J1256:P1256)))</f>
        <v>4</v>
      </c>
      <c r="V1256" s="6" t="s">
        <v>4809</v>
      </c>
      <c r="W1256" s="9" t="s">
        <v>528</v>
      </c>
      <c r="X1256" s="9" t="s">
        <v>4810</v>
      </c>
      <c r="AC1256" s="9" t="s">
        <v>4369</v>
      </c>
      <c r="AD1256" s="9" t="s">
        <v>4370</v>
      </c>
      <c r="AE1256" s="9" t="s">
        <v>4371</v>
      </c>
    </row>
    <row r="1257" customFormat="false" ht="15" hidden="false" customHeight="true" outlineLevel="0" collapsed="false">
      <c r="A1257" s="6" t="s">
        <v>4288</v>
      </c>
      <c r="B1257" s="6" t="s">
        <v>469</v>
      </c>
      <c r="C1257" s="6" t="s">
        <v>475</v>
      </c>
      <c r="D1257" s="6" t="n">
        <v>6</v>
      </c>
      <c r="E1257" s="9" t="s">
        <v>4396</v>
      </c>
      <c r="F1257" s="6" t="n">
        <v>338219</v>
      </c>
      <c r="I1257" s="6" t="n">
        <v>84860</v>
      </c>
      <c r="J1257" s="6" t="n">
        <v>0</v>
      </c>
      <c r="K1257" s="6" t="n">
        <v>0</v>
      </c>
      <c r="L1257" s="6" t="n">
        <v>41893</v>
      </c>
      <c r="M1257" s="6" t="n">
        <v>1184</v>
      </c>
      <c r="O1257" s="6" t="n">
        <v>39038</v>
      </c>
      <c r="P1257" s="6" t="n">
        <v>2743</v>
      </c>
      <c r="Q1257" s="1" t="n">
        <f aca="false">IF($A1257="","",IF(OR(F1257="",I1257=""),"",F1257-I1257))</f>
        <v>253359</v>
      </c>
      <c r="R1257" s="1" t="n">
        <f aca="false">IF($A1257="","",IF(Q1257="","",Q1257+IF(O1257="",0,O1257)))</f>
        <v>292397</v>
      </c>
      <c r="S1257" s="6" t="n">
        <v>49279</v>
      </c>
      <c r="T1257" s="1" t="n">
        <f aca="false">IF($A1257="","",IF(R1257="","",R1257-IF(S1257="",0,S1257)))</f>
        <v>243118</v>
      </c>
      <c r="U1257" s="1" t="n">
        <f aca="false">IF($A1257="","",IF(I1257="","",I1257-SUM(J1257:P1257)))</f>
        <v>2</v>
      </c>
      <c r="V1257" s="6" t="s">
        <v>4809</v>
      </c>
      <c r="W1257" s="9" t="s">
        <v>528</v>
      </c>
      <c r="X1257" s="9" t="s">
        <v>4810</v>
      </c>
      <c r="AC1257" s="9" t="s">
        <v>4369</v>
      </c>
      <c r="AD1257" s="9" t="s">
        <v>4370</v>
      </c>
      <c r="AE1257" s="9" t="s">
        <v>4371</v>
      </c>
    </row>
    <row r="1258" customFormat="false" ht="15" hidden="false" customHeight="true" outlineLevel="0" collapsed="false">
      <c r="A1258" s="6" t="s">
        <v>4291</v>
      </c>
      <c r="B1258" s="6" t="s">
        <v>469</v>
      </c>
      <c r="C1258" s="6" t="s">
        <v>475</v>
      </c>
      <c r="D1258" s="6" t="n">
        <v>6</v>
      </c>
      <c r="E1258" s="9" t="s">
        <v>4396</v>
      </c>
      <c r="F1258" s="6" t="n">
        <v>170065</v>
      </c>
      <c r="I1258" s="6" t="n">
        <v>41432</v>
      </c>
      <c r="J1258" s="6" t="n">
        <v>8432</v>
      </c>
      <c r="K1258" s="6" t="n">
        <v>2448</v>
      </c>
      <c r="L1258" s="6" t="n">
        <v>12475</v>
      </c>
      <c r="M1258" s="6" t="n">
        <v>342</v>
      </c>
      <c r="O1258" s="6" t="n">
        <v>13027</v>
      </c>
      <c r="P1258" s="6" t="n">
        <v>4705</v>
      </c>
      <c r="Q1258" s="1" t="n">
        <f aca="false">IF($A1258="","",IF(OR(F1258="",I1258=""),"",F1258-I1258))</f>
        <v>128633</v>
      </c>
      <c r="R1258" s="1" t="n">
        <f aca="false">IF($A1258="","",IF(Q1258="","",Q1258+IF(O1258="",0,O1258)))</f>
        <v>141660</v>
      </c>
      <c r="S1258" s="6" t="n">
        <v>16358</v>
      </c>
      <c r="T1258" s="1" t="n">
        <f aca="false">IF($A1258="","",IF(R1258="","",R1258-IF(S1258="",0,S1258)))</f>
        <v>125302</v>
      </c>
      <c r="U1258" s="1" t="n">
        <f aca="false">IF($A1258="","",IF(I1258="","",I1258-SUM(J1258:P1258)))</f>
        <v>3</v>
      </c>
      <c r="V1258" s="6" t="s">
        <v>4809</v>
      </c>
      <c r="W1258" s="9" t="s">
        <v>528</v>
      </c>
      <c r="X1258" s="9" t="s">
        <v>4810</v>
      </c>
      <c r="AC1258" s="9" t="s">
        <v>4369</v>
      </c>
      <c r="AD1258" s="9" t="s">
        <v>4370</v>
      </c>
      <c r="AE1258" s="9" t="s">
        <v>4371</v>
      </c>
    </row>
    <row r="1259" customFormat="false" ht="15" hidden="false" customHeight="true" outlineLevel="0" collapsed="false">
      <c r="A1259" s="6" t="s">
        <v>4293</v>
      </c>
      <c r="B1259" s="6" t="s">
        <v>469</v>
      </c>
      <c r="C1259" s="6" t="s">
        <v>475</v>
      </c>
      <c r="D1259" s="6" t="n">
        <v>6</v>
      </c>
      <c r="E1259" s="9" t="s">
        <v>4396</v>
      </c>
      <c r="F1259" s="6" t="n">
        <v>754601</v>
      </c>
      <c r="I1259" s="6" t="n">
        <v>307909</v>
      </c>
      <c r="J1259" s="6" t="n">
        <v>82472</v>
      </c>
      <c r="K1259" s="6" t="n">
        <v>94596</v>
      </c>
      <c r="L1259" s="6" t="n">
        <v>56047</v>
      </c>
      <c r="M1259" s="6" t="n">
        <v>1759</v>
      </c>
      <c r="O1259" s="6" t="n">
        <v>62854</v>
      </c>
      <c r="P1259" s="6" t="n">
        <v>10179</v>
      </c>
      <c r="Q1259" s="1" t="n">
        <f aca="false">IF($A1259="","",IF(OR(F1259="",I1259=""),"",F1259-I1259))</f>
        <v>446692</v>
      </c>
      <c r="R1259" s="1" t="n">
        <f aca="false">IF($A1259="","",IF(Q1259="","",Q1259+IF(O1259="",0,O1259)))</f>
        <v>509546</v>
      </c>
      <c r="S1259" s="6" t="n">
        <v>928</v>
      </c>
      <c r="T1259" s="1" t="n">
        <f aca="false">IF($A1259="","",IF(R1259="","",R1259-IF(S1259="",0,S1259)))</f>
        <v>508618</v>
      </c>
      <c r="U1259" s="1" t="n">
        <f aca="false">IF($A1259="","",IF(I1259="","",I1259-SUM(J1259:P1259)))</f>
        <v>2</v>
      </c>
      <c r="V1259" s="6" t="s">
        <v>4809</v>
      </c>
      <c r="W1259" s="9" t="s">
        <v>528</v>
      </c>
      <c r="X1259" s="9" t="s">
        <v>4810</v>
      </c>
      <c r="AC1259" s="9" t="s">
        <v>4369</v>
      </c>
      <c r="AD1259" s="9" t="s">
        <v>4370</v>
      </c>
      <c r="AE1259" s="9" t="s">
        <v>4371</v>
      </c>
    </row>
    <row r="1260" customFormat="false" ht="15" hidden="false" customHeight="true" outlineLevel="0" collapsed="false">
      <c r="A1260" s="6" t="s">
        <v>4297</v>
      </c>
      <c r="B1260" s="6" t="s">
        <v>469</v>
      </c>
      <c r="C1260" s="6" t="s">
        <v>475</v>
      </c>
      <c r="D1260" s="6" t="n">
        <v>6</v>
      </c>
      <c r="E1260" s="9" t="s">
        <v>4396</v>
      </c>
      <c r="F1260" s="6" t="n">
        <v>319821</v>
      </c>
      <c r="I1260" s="6" t="n">
        <v>132631</v>
      </c>
      <c r="J1260" s="6" t="n">
        <v>34442</v>
      </c>
      <c r="K1260" s="6" t="n">
        <v>17043</v>
      </c>
      <c r="L1260" s="6" t="n">
        <v>51204</v>
      </c>
      <c r="M1260" s="6" t="n">
        <v>810</v>
      </c>
      <c r="O1260" s="6" t="n">
        <v>26014</v>
      </c>
      <c r="P1260" s="6" t="n">
        <v>3116</v>
      </c>
      <c r="Q1260" s="1" t="n">
        <f aca="false">IF($A1260="","",IF(OR(F1260="",I1260=""),"",F1260-I1260))</f>
        <v>187190</v>
      </c>
      <c r="R1260" s="1" t="n">
        <f aca="false">IF($A1260="","",IF(Q1260="","",Q1260+IF(O1260="",0,O1260)))</f>
        <v>213204</v>
      </c>
      <c r="S1260" s="6" t="n">
        <v>20989</v>
      </c>
      <c r="T1260" s="1" t="n">
        <f aca="false">IF($A1260="","",IF(R1260="","",R1260-IF(S1260="",0,S1260)))</f>
        <v>192215</v>
      </c>
      <c r="U1260" s="1" t="n">
        <f aca="false">IF($A1260="","",IF(I1260="","",I1260-SUM(J1260:P1260)))</f>
        <v>2</v>
      </c>
      <c r="V1260" s="6" t="s">
        <v>4809</v>
      </c>
      <c r="W1260" s="9" t="s">
        <v>528</v>
      </c>
      <c r="X1260" s="9" t="s">
        <v>4810</v>
      </c>
      <c r="AC1260" s="9" t="s">
        <v>4369</v>
      </c>
      <c r="AD1260" s="9" t="s">
        <v>4370</v>
      </c>
      <c r="AE1260" s="9" t="s">
        <v>4371</v>
      </c>
    </row>
    <row r="1261" customFormat="false" ht="15" hidden="false" customHeight="true" outlineLevel="0" collapsed="false">
      <c r="A1261" s="6" t="s">
        <v>4300</v>
      </c>
      <c r="B1261" s="6" t="s">
        <v>469</v>
      </c>
      <c r="C1261" s="6" t="s">
        <v>475</v>
      </c>
      <c r="D1261" s="6" t="n">
        <v>6</v>
      </c>
      <c r="E1261" s="9" t="s">
        <v>4396</v>
      </c>
      <c r="F1261" s="6" t="n">
        <v>227548</v>
      </c>
      <c r="I1261" s="6" t="n">
        <v>92185</v>
      </c>
      <c r="J1261" s="6" t="n">
        <v>21333</v>
      </c>
      <c r="K1261" s="6" t="n">
        <v>13469</v>
      </c>
      <c r="L1261" s="6" t="n">
        <v>35778</v>
      </c>
      <c r="M1261" s="6" t="n">
        <v>312</v>
      </c>
      <c r="O1261" s="6" t="n">
        <v>14951</v>
      </c>
      <c r="P1261" s="6" t="n">
        <v>6340</v>
      </c>
      <c r="Q1261" s="1" t="n">
        <f aca="false">IF($A1261="","",IF(OR(F1261="",I1261=""),"",F1261-I1261))</f>
        <v>135363</v>
      </c>
      <c r="R1261" s="1" t="n">
        <f aca="false">IF($A1261="","",IF(Q1261="","",Q1261+IF(O1261="",0,O1261)))</f>
        <v>150314</v>
      </c>
      <c r="S1261" s="6" t="n">
        <v>4204</v>
      </c>
      <c r="T1261" s="1" t="n">
        <f aca="false">IF($A1261="","",IF(R1261="","",R1261-IF(S1261="",0,S1261)))</f>
        <v>146110</v>
      </c>
      <c r="U1261" s="1" t="n">
        <f aca="false">IF($A1261="","",IF(I1261="","",I1261-SUM(J1261:P1261)))</f>
        <v>2</v>
      </c>
      <c r="V1261" s="6" t="s">
        <v>4809</v>
      </c>
      <c r="W1261" s="9" t="s">
        <v>528</v>
      </c>
      <c r="X1261" s="9" t="s">
        <v>4810</v>
      </c>
      <c r="AC1261" s="9" t="s">
        <v>4369</v>
      </c>
      <c r="AD1261" s="9" t="s">
        <v>4370</v>
      </c>
      <c r="AE1261" s="9" t="s">
        <v>4371</v>
      </c>
    </row>
    <row r="1262" customFormat="false" ht="15" hidden="false" customHeight="true" outlineLevel="0" collapsed="false">
      <c r="A1262" s="6" t="s">
        <v>4303</v>
      </c>
      <c r="B1262" s="6" t="s">
        <v>469</v>
      </c>
      <c r="C1262" s="6" t="s">
        <v>475</v>
      </c>
      <c r="D1262" s="6" t="n">
        <v>6</v>
      </c>
      <c r="E1262" s="9" t="s">
        <v>4396</v>
      </c>
      <c r="F1262" s="6" t="n">
        <v>362917</v>
      </c>
      <c r="I1262" s="6" t="n">
        <v>164015</v>
      </c>
      <c r="J1262" s="6" t="n">
        <v>47536</v>
      </c>
      <c r="K1262" s="6" t="n">
        <v>26663</v>
      </c>
      <c r="L1262" s="6" t="n">
        <v>31842</v>
      </c>
      <c r="M1262" s="6" t="n">
        <v>1198</v>
      </c>
      <c r="O1262" s="6" t="n">
        <v>52907</v>
      </c>
      <c r="P1262" s="6" t="n">
        <v>3866</v>
      </c>
      <c r="Q1262" s="1" t="n">
        <f aca="false">IF($A1262="","",IF(OR(F1262="",I1262=""),"",F1262-I1262))</f>
        <v>198902</v>
      </c>
      <c r="R1262" s="1" t="n">
        <f aca="false">IF($A1262="","",IF(Q1262="","",Q1262+IF(O1262="",0,O1262)))</f>
        <v>251809</v>
      </c>
      <c r="S1262" s="6" t="n">
        <v>780</v>
      </c>
      <c r="T1262" s="1" t="n">
        <f aca="false">IF($A1262="","",IF(R1262="","",R1262-IF(S1262="",0,S1262)))</f>
        <v>251029</v>
      </c>
      <c r="U1262" s="1" t="n">
        <f aca="false">IF($A1262="","",IF(I1262="","",I1262-SUM(J1262:P1262)))</f>
        <v>3</v>
      </c>
      <c r="V1262" s="6" t="s">
        <v>4809</v>
      </c>
      <c r="W1262" s="9" t="s">
        <v>528</v>
      </c>
      <c r="X1262" s="9" t="s">
        <v>4810</v>
      </c>
      <c r="AC1262" s="9" t="s">
        <v>4369</v>
      </c>
      <c r="AD1262" s="9" t="s">
        <v>4370</v>
      </c>
      <c r="AE1262" s="9" t="s">
        <v>4371</v>
      </c>
    </row>
    <row r="1263" customFormat="false" ht="15" hidden="false" customHeight="true" outlineLevel="0" collapsed="false">
      <c r="A1263" s="6" t="s">
        <v>4307</v>
      </c>
      <c r="B1263" s="6" t="s">
        <v>469</v>
      </c>
      <c r="C1263" s="6" t="s">
        <v>475</v>
      </c>
      <c r="D1263" s="6" t="n">
        <v>6</v>
      </c>
      <c r="E1263" s="9" t="s">
        <v>4396</v>
      </c>
      <c r="F1263" s="6" t="n">
        <v>1077981</v>
      </c>
      <c r="I1263" s="6" t="n">
        <v>208825</v>
      </c>
      <c r="J1263" s="6" t="n">
        <v>0</v>
      </c>
      <c r="K1263" s="6" t="n">
        <v>0</v>
      </c>
      <c r="L1263" s="6" t="n">
        <v>138414</v>
      </c>
      <c r="M1263" s="6" t="n">
        <v>1965</v>
      </c>
      <c r="O1263" s="6" t="n">
        <v>67439</v>
      </c>
      <c r="P1263" s="6" t="n">
        <v>1006</v>
      </c>
      <c r="Q1263" s="1" t="n">
        <f aca="false">IF($A1263="","",IF(OR(F1263="",I1263=""),"",F1263-I1263))</f>
        <v>869156</v>
      </c>
      <c r="R1263" s="1" t="n">
        <f aca="false">IF($A1263="","",IF(Q1263="","",Q1263+IF(O1263="",0,O1263)))</f>
        <v>936595</v>
      </c>
      <c r="S1263" s="6" t="n">
        <v>9862</v>
      </c>
      <c r="T1263" s="1" t="n">
        <f aca="false">IF($A1263="","",IF(R1263="","",R1263-IF(S1263="",0,S1263)))</f>
        <v>926733</v>
      </c>
      <c r="U1263" s="1" t="n">
        <f aca="false">IF($A1263="","",IF(I1263="","",I1263-SUM(J1263:P1263)))</f>
        <v>1</v>
      </c>
      <c r="V1263" s="6" t="s">
        <v>4809</v>
      </c>
      <c r="W1263" s="9" t="s">
        <v>528</v>
      </c>
      <c r="X1263" s="9" t="s">
        <v>4810</v>
      </c>
      <c r="AC1263" s="9" t="s">
        <v>4369</v>
      </c>
      <c r="AD1263" s="9" t="s">
        <v>4370</v>
      </c>
      <c r="AE1263" s="9" t="s">
        <v>4371</v>
      </c>
    </row>
    <row r="1264" customFormat="false" ht="15" hidden="false" customHeight="true" outlineLevel="0" collapsed="false">
      <c r="A1264" s="6" t="s">
        <v>4310</v>
      </c>
      <c r="B1264" s="6" t="s">
        <v>469</v>
      </c>
      <c r="C1264" s="6" t="s">
        <v>475</v>
      </c>
      <c r="D1264" s="6" t="n">
        <v>6</v>
      </c>
      <c r="E1264" s="9" t="s">
        <v>4396</v>
      </c>
      <c r="F1264" s="6" t="n">
        <v>626222</v>
      </c>
      <c r="I1264" s="6" t="n">
        <v>182363</v>
      </c>
      <c r="J1264" s="6" t="n">
        <v>0</v>
      </c>
      <c r="K1264" s="6" t="n">
        <v>0</v>
      </c>
      <c r="L1264" s="6" t="n">
        <v>67988</v>
      </c>
      <c r="M1264" s="6" t="n">
        <v>8585</v>
      </c>
      <c r="O1264" s="6" t="n">
        <v>91745</v>
      </c>
      <c r="P1264" s="6" t="n">
        <v>14043</v>
      </c>
      <c r="Q1264" s="1" t="n">
        <f aca="false">IF($A1264="","",IF(OR(F1264="",I1264=""),"",F1264-I1264))</f>
        <v>443859</v>
      </c>
      <c r="R1264" s="1" t="n">
        <f aca="false">IF($A1264="","",IF(Q1264="","",Q1264+IF(O1264="",0,O1264)))</f>
        <v>535604</v>
      </c>
      <c r="S1264" s="6" t="n">
        <v>136545</v>
      </c>
      <c r="T1264" s="1" t="n">
        <f aca="false">IF($A1264="","",IF(R1264="","",R1264-IF(S1264="",0,S1264)))</f>
        <v>399059</v>
      </c>
      <c r="U1264" s="1" t="n">
        <f aca="false">IF($A1264="","",IF(I1264="","",I1264-SUM(J1264:P1264)))</f>
        <v>2</v>
      </c>
      <c r="V1264" s="6" t="s">
        <v>4809</v>
      </c>
      <c r="W1264" s="9" t="s">
        <v>528</v>
      </c>
      <c r="X1264" s="9" t="s">
        <v>4810</v>
      </c>
      <c r="AC1264" s="9" t="s">
        <v>4369</v>
      </c>
      <c r="AD1264" s="9" t="s">
        <v>4370</v>
      </c>
      <c r="AE1264" s="9" t="s">
        <v>4371</v>
      </c>
    </row>
    <row r="1265" customFormat="false" ht="15" hidden="false" customHeight="true" outlineLevel="0" collapsed="false">
      <c r="A1265" s="6" t="s">
        <v>4314</v>
      </c>
      <c r="B1265" s="6" t="s">
        <v>469</v>
      </c>
      <c r="C1265" s="6" t="s">
        <v>475</v>
      </c>
      <c r="D1265" s="6" t="n">
        <v>6</v>
      </c>
      <c r="E1265" s="9" t="s">
        <v>4396</v>
      </c>
      <c r="F1265" s="6" t="n">
        <v>209304</v>
      </c>
      <c r="I1265" s="6" t="n">
        <v>118824</v>
      </c>
      <c r="J1265" s="6" t="n">
        <v>0</v>
      </c>
      <c r="K1265" s="6" t="n">
        <v>0</v>
      </c>
      <c r="L1265" s="6" t="n">
        <v>39845</v>
      </c>
      <c r="M1265" s="6" t="n">
        <v>2233</v>
      </c>
      <c r="O1265" s="6" t="n">
        <v>65825</v>
      </c>
      <c r="P1265" s="6" t="n">
        <v>10919</v>
      </c>
      <c r="Q1265" s="1" t="n">
        <f aca="false">IF($A1265="","",IF(OR(F1265="",I1265=""),"",F1265-I1265))</f>
        <v>90480</v>
      </c>
      <c r="R1265" s="1" t="n">
        <f aca="false">IF($A1265="","",IF(Q1265="","",Q1265+IF(O1265="",0,O1265)))</f>
        <v>156305</v>
      </c>
      <c r="S1265" s="6" t="n">
        <v>45850</v>
      </c>
      <c r="T1265" s="1" t="n">
        <f aca="false">IF($A1265="","",IF(R1265="","",R1265-IF(S1265="",0,S1265)))</f>
        <v>110455</v>
      </c>
      <c r="U1265" s="1" t="n">
        <f aca="false">IF($A1265="","",IF(I1265="","",I1265-SUM(J1265:P1265)))</f>
        <v>2</v>
      </c>
      <c r="V1265" s="6" t="s">
        <v>4809</v>
      </c>
      <c r="W1265" s="9" t="s">
        <v>528</v>
      </c>
      <c r="X1265" s="9" t="s">
        <v>4810</v>
      </c>
      <c r="AC1265" s="9" t="s">
        <v>4369</v>
      </c>
      <c r="AD1265" s="9" t="s">
        <v>4370</v>
      </c>
      <c r="AE1265" s="9" t="s">
        <v>4371</v>
      </c>
    </row>
    <row r="1266" customFormat="false" ht="15" hidden="false" customHeight="true" outlineLevel="0" collapsed="false">
      <c r="A1266" s="6" t="s">
        <v>4318</v>
      </c>
      <c r="B1266" s="6" t="s">
        <v>469</v>
      </c>
      <c r="C1266" s="6" t="s">
        <v>475</v>
      </c>
      <c r="D1266" s="6" t="n">
        <v>6</v>
      </c>
      <c r="E1266" s="9" t="s">
        <v>4396</v>
      </c>
      <c r="F1266" s="6" t="n">
        <v>505497</v>
      </c>
      <c r="I1266" s="6" t="n">
        <v>93982</v>
      </c>
      <c r="J1266" s="6" t="n">
        <v>0</v>
      </c>
      <c r="K1266" s="6" t="n">
        <v>0</v>
      </c>
      <c r="L1266" s="6" t="n">
        <v>14497</v>
      </c>
      <c r="M1266" s="6" t="n">
        <v>931</v>
      </c>
      <c r="O1266" s="6" t="n">
        <v>69126</v>
      </c>
      <c r="P1266" s="6" t="n">
        <v>9426</v>
      </c>
      <c r="Q1266" s="1" t="n">
        <f aca="false">IF($A1266="","",IF(OR(F1266="",I1266=""),"",F1266-I1266))</f>
        <v>411515</v>
      </c>
      <c r="R1266" s="1" t="n">
        <f aca="false">IF($A1266="","",IF(Q1266="","",Q1266+IF(O1266="",0,O1266)))</f>
        <v>480641</v>
      </c>
      <c r="S1266" s="6" t="n">
        <v>47047</v>
      </c>
      <c r="T1266" s="1" t="n">
        <f aca="false">IF($A1266="","",IF(R1266="","",R1266-IF(S1266="",0,S1266)))</f>
        <v>433594</v>
      </c>
      <c r="U1266" s="1" t="n">
        <f aca="false">IF($A1266="","",IF(I1266="","",I1266-SUM(J1266:P1266)))</f>
        <v>2</v>
      </c>
      <c r="V1266" s="6" t="s">
        <v>4809</v>
      </c>
      <c r="W1266" s="9" t="s">
        <v>528</v>
      </c>
      <c r="X1266" s="9" t="s">
        <v>4810</v>
      </c>
      <c r="AC1266" s="9" t="s">
        <v>4369</v>
      </c>
      <c r="AD1266" s="9" t="s">
        <v>4370</v>
      </c>
      <c r="AE1266" s="9" t="s">
        <v>4371</v>
      </c>
    </row>
    <row r="1267" customFormat="false" ht="15" hidden="false" customHeight="true" outlineLevel="0" collapsed="false">
      <c r="A1267" s="6" t="s">
        <v>4322</v>
      </c>
      <c r="B1267" s="6" t="s">
        <v>469</v>
      </c>
      <c r="C1267" s="6" t="s">
        <v>475</v>
      </c>
      <c r="D1267" s="6" t="n">
        <v>6</v>
      </c>
      <c r="E1267" s="9" t="s">
        <v>4396</v>
      </c>
      <c r="F1267" s="6" t="n">
        <v>502021</v>
      </c>
      <c r="I1267" s="6" t="n">
        <v>68102</v>
      </c>
      <c r="J1267" s="6" t="n">
        <v>0</v>
      </c>
      <c r="K1267" s="6" t="n">
        <v>0</v>
      </c>
      <c r="L1267" s="6" t="n">
        <v>22991</v>
      </c>
      <c r="M1267" s="6" t="n">
        <v>472</v>
      </c>
      <c r="O1267" s="6" t="n">
        <v>40500</v>
      </c>
      <c r="P1267" s="6" t="n">
        <v>4137</v>
      </c>
      <c r="Q1267" s="1" t="n">
        <f aca="false">IF($A1267="","",IF(OR(F1267="",I1267=""),"",F1267-I1267))</f>
        <v>433919</v>
      </c>
      <c r="R1267" s="1" t="n">
        <f aca="false">IF($A1267="","",IF(Q1267="","",Q1267+IF(O1267="",0,O1267)))</f>
        <v>474419</v>
      </c>
      <c r="S1267" s="6" t="n">
        <v>3355</v>
      </c>
      <c r="T1267" s="1" t="n">
        <f aca="false">IF($A1267="","",IF(R1267="","",R1267-IF(S1267="",0,S1267)))</f>
        <v>471064</v>
      </c>
      <c r="U1267" s="1" t="n">
        <f aca="false">IF($A1267="","",IF(I1267="","",I1267-SUM(J1267:P1267)))</f>
        <v>2</v>
      </c>
      <c r="V1267" s="6" t="s">
        <v>4809</v>
      </c>
      <c r="W1267" s="9" t="s">
        <v>528</v>
      </c>
      <c r="X1267" s="9" t="s">
        <v>4810</v>
      </c>
      <c r="AC1267" s="9" t="s">
        <v>4369</v>
      </c>
      <c r="AD1267" s="9" t="s">
        <v>4370</v>
      </c>
      <c r="AE1267" s="9" t="s">
        <v>4371</v>
      </c>
    </row>
    <row r="1268" customFormat="false" ht="15" hidden="false" customHeight="true" outlineLevel="0" collapsed="false">
      <c r="A1268" s="6" t="s">
        <v>4325</v>
      </c>
      <c r="B1268" s="6" t="s">
        <v>469</v>
      </c>
      <c r="C1268" s="6" t="s">
        <v>475</v>
      </c>
      <c r="D1268" s="6" t="n">
        <v>6</v>
      </c>
      <c r="E1268" s="9" t="s">
        <v>4396</v>
      </c>
      <c r="F1268" s="6" t="n">
        <v>653716</v>
      </c>
      <c r="I1268" s="6" t="n">
        <v>130272</v>
      </c>
      <c r="J1268" s="6" t="n">
        <v>0</v>
      </c>
      <c r="K1268" s="6" t="n">
        <v>0</v>
      </c>
      <c r="L1268" s="6" t="n">
        <v>76545</v>
      </c>
      <c r="M1268" s="6" t="n">
        <v>1358</v>
      </c>
      <c r="O1268" s="6" t="n">
        <v>52159</v>
      </c>
      <c r="P1268" s="6" t="n">
        <v>209</v>
      </c>
      <c r="Q1268" s="1" t="n">
        <f aca="false">IF($A1268="","",IF(OR(F1268="",I1268=""),"",F1268-I1268))</f>
        <v>523444</v>
      </c>
      <c r="R1268" s="1" t="n">
        <f aca="false">IF($A1268="","",IF(Q1268="","",Q1268+IF(O1268="",0,O1268)))</f>
        <v>575603</v>
      </c>
      <c r="S1268" s="6" t="n">
        <v>0</v>
      </c>
      <c r="T1268" s="1" t="n">
        <f aca="false">IF($A1268="","",IF(R1268="","",R1268-IF(S1268="",0,S1268)))</f>
        <v>575603</v>
      </c>
      <c r="U1268" s="1" t="n">
        <f aca="false">IF($A1268="","",IF(I1268="","",I1268-SUM(J1268:P1268)))</f>
        <v>1</v>
      </c>
      <c r="V1268" s="6" t="s">
        <v>4809</v>
      </c>
      <c r="W1268" s="9" t="s">
        <v>528</v>
      </c>
      <c r="X1268" s="9" t="s">
        <v>4810</v>
      </c>
      <c r="AC1268" s="9" t="s">
        <v>4369</v>
      </c>
      <c r="AD1268" s="9" t="s">
        <v>4370</v>
      </c>
      <c r="AE1268" s="9" t="s">
        <v>4371</v>
      </c>
    </row>
    <row r="1269" customFormat="false" ht="15" hidden="false" customHeight="true" outlineLevel="0" collapsed="false">
      <c r="A1269" s="6" t="s">
        <v>4328</v>
      </c>
      <c r="B1269" s="6" t="s">
        <v>469</v>
      </c>
      <c r="C1269" s="6" t="s">
        <v>475</v>
      </c>
      <c r="D1269" s="6" t="n">
        <v>6</v>
      </c>
      <c r="E1269" s="9" t="s">
        <v>4811</v>
      </c>
      <c r="Q1269" s="1" t="str">
        <f aca="false">IF($A1269="","",IF(OR(F1269="",I1269=""),"",F1269-I1269))</f>
        <v/>
      </c>
      <c r="R1269" s="1" t="str">
        <f aca="false">IF($A1269="","",IF(Q1269="","",Q1269+IF(O1269="",0,O1269)))</f>
        <v/>
      </c>
      <c r="S1269" s="6" t="n">
        <v>1659</v>
      </c>
      <c r="T1269" s="1" t="str">
        <f aca="false">IF($A1269="","",IF(R1269="","",R1269-IF(S1269="",0,S1269)))</f>
        <v/>
      </c>
      <c r="U1269" s="1" t="str">
        <f aca="false">IF($A1269="","",IF(I1269="","",I1269-SUM(J1269:P1269)))</f>
        <v/>
      </c>
      <c r="V1269" s="6" t="s">
        <v>4809</v>
      </c>
      <c r="W1269" s="9" t="s">
        <v>528</v>
      </c>
      <c r="X1269" s="9" t="s">
        <v>4813</v>
      </c>
      <c r="AC1269" s="9" t="s">
        <v>4369</v>
      </c>
      <c r="AD1269" s="9" t="s">
        <v>4370</v>
      </c>
      <c r="AE1269" s="9" t="s">
        <v>4371</v>
      </c>
    </row>
    <row r="1270" customFormat="false" ht="15" hidden="false" customHeight="true" outlineLevel="0" collapsed="false">
      <c r="A1270" s="6" t="s">
        <v>4331</v>
      </c>
      <c r="B1270" s="6" t="s">
        <v>469</v>
      </c>
      <c r="C1270" s="6" t="s">
        <v>475</v>
      </c>
      <c r="D1270" s="6" t="n">
        <v>6</v>
      </c>
      <c r="E1270" s="9" t="s">
        <v>4396</v>
      </c>
      <c r="F1270" s="6" t="n">
        <v>375022</v>
      </c>
      <c r="I1270" s="6" t="n">
        <v>77279</v>
      </c>
      <c r="J1270" s="6" t="n">
        <v>780</v>
      </c>
      <c r="K1270" s="6" t="n">
        <v>0</v>
      </c>
      <c r="L1270" s="6" t="n">
        <v>38280</v>
      </c>
      <c r="M1270" s="6" t="n">
        <v>1379</v>
      </c>
      <c r="O1270" s="6" t="n">
        <v>36000</v>
      </c>
      <c r="P1270" s="6" t="n">
        <v>839</v>
      </c>
      <c r="Q1270" s="1" t="n">
        <f aca="false">IF($A1270="","",IF(OR(F1270="",I1270=""),"",F1270-I1270))</f>
        <v>297743</v>
      </c>
      <c r="R1270" s="1" t="n">
        <f aca="false">IF($A1270="","",IF(Q1270="","",Q1270+IF(O1270="",0,O1270)))</f>
        <v>333743</v>
      </c>
      <c r="S1270" s="6" t="n">
        <v>6544</v>
      </c>
      <c r="T1270" s="1" t="n">
        <f aca="false">IF($A1270="","",IF(R1270="","",R1270-IF(S1270="",0,S1270)))</f>
        <v>327199</v>
      </c>
      <c r="U1270" s="1" t="n">
        <f aca="false">IF($A1270="","",IF(I1270="","",I1270-SUM(J1270:P1270)))</f>
        <v>1</v>
      </c>
      <c r="V1270" s="6" t="s">
        <v>4809</v>
      </c>
      <c r="W1270" s="9" t="s">
        <v>528</v>
      </c>
      <c r="X1270" s="9" t="s">
        <v>4810</v>
      </c>
      <c r="AC1270" s="9" t="s">
        <v>4369</v>
      </c>
      <c r="AD1270" s="9" t="s">
        <v>4370</v>
      </c>
      <c r="AE1270" s="9" t="s">
        <v>4371</v>
      </c>
    </row>
    <row r="1271" customFormat="false" ht="15" hidden="false" customHeight="true" outlineLevel="0" collapsed="false">
      <c r="A1271" s="6" t="s">
        <v>4334</v>
      </c>
      <c r="B1271" s="6" t="s">
        <v>469</v>
      </c>
      <c r="C1271" s="6" t="s">
        <v>475</v>
      </c>
      <c r="D1271" s="6" t="n">
        <v>6</v>
      </c>
      <c r="E1271" s="9" t="s">
        <v>4396</v>
      </c>
      <c r="F1271" s="6" t="n">
        <v>123609</v>
      </c>
      <c r="I1271" s="6" t="n">
        <v>8019</v>
      </c>
      <c r="J1271" s="6" t="n">
        <v>0</v>
      </c>
      <c r="K1271" s="6" t="n">
        <v>0</v>
      </c>
      <c r="L1271" s="6" t="n">
        <v>7269</v>
      </c>
      <c r="M1271" s="6" t="n">
        <v>0</v>
      </c>
      <c r="O1271" s="6" t="n">
        <v>0</v>
      </c>
      <c r="P1271" s="6" t="n">
        <v>750</v>
      </c>
      <c r="Q1271" s="1" t="n">
        <f aca="false">IF($A1271="","",IF(OR(F1271="",I1271=""),"",F1271-I1271))</f>
        <v>115590</v>
      </c>
      <c r="R1271" s="1" t="n">
        <f aca="false">IF($A1271="","",IF(Q1271="","",Q1271+IF(O1271="",0,O1271)))</f>
        <v>115590</v>
      </c>
      <c r="S1271" s="6" t="n">
        <v>0</v>
      </c>
      <c r="T1271" s="1" t="n">
        <f aca="false">IF($A1271="","",IF(R1271="","",R1271-IF(S1271="",0,S1271)))</f>
        <v>115590</v>
      </c>
      <c r="U1271" s="1" t="n">
        <f aca="false">IF($A1271="","",IF(I1271="","",I1271-SUM(J1271:P1271)))</f>
        <v>0</v>
      </c>
      <c r="V1271" s="6" t="s">
        <v>4809</v>
      </c>
      <c r="W1271" s="9" t="s">
        <v>528</v>
      </c>
      <c r="X1271" s="9" t="s">
        <v>4814</v>
      </c>
      <c r="AC1271" s="9" t="s">
        <v>4369</v>
      </c>
      <c r="AD1271" s="9" t="s">
        <v>4370</v>
      </c>
      <c r="AE1271" s="9" t="s">
        <v>4371</v>
      </c>
    </row>
    <row r="1272" customFormat="false" ht="15" hidden="false" customHeight="true" outlineLevel="0" collapsed="false">
      <c r="A1272" s="6" t="s">
        <v>4338</v>
      </c>
      <c r="B1272" s="6" t="s">
        <v>469</v>
      </c>
      <c r="C1272" s="6" t="s">
        <v>475</v>
      </c>
      <c r="D1272" s="6" t="n">
        <v>6</v>
      </c>
      <c r="E1272" s="9" t="s">
        <v>4396</v>
      </c>
      <c r="F1272" s="6" t="n">
        <v>100605</v>
      </c>
      <c r="I1272" s="6" t="n">
        <v>32707</v>
      </c>
      <c r="J1272" s="6" t="n">
        <v>9808</v>
      </c>
      <c r="K1272" s="6" t="n">
        <v>1995</v>
      </c>
      <c r="L1272" s="6" t="n">
        <v>8736</v>
      </c>
      <c r="M1272" s="6" t="n">
        <v>238</v>
      </c>
      <c r="O1272" s="6" t="n">
        <v>7776</v>
      </c>
      <c r="P1272" s="6" t="n">
        <v>4152</v>
      </c>
      <c r="Q1272" s="1" t="n">
        <f aca="false">IF($A1272="","",IF(OR(F1272="",I1272=""),"",F1272-I1272))</f>
        <v>67898</v>
      </c>
      <c r="R1272" s="1" t="n">
        <f aca="false">IF($A1272="","",IF(Q1272="","",Q1272+IF(O1272="",0,O1272)))</f>
        <v>75674</v>
      </c>
      <c r="S1272" s="6" t="n">
        <v>16993</v>
      </c>
      <c r="T1272" s="1" t="n">
        <f aca="false">IF($A1272="","",IF(R1272="","",R1272-IF(S1272="",0,S1272)))</f>
        <v>58681</v>
      </c>
      <c r="U1272" s="1" t="n">
        <f aca="false">IF($A1272="","",IF(I1272="","",I1272-SUM(J1272:P1272)))</f>
        <v>2</v>
      </c>
      <c r="V1272" s="6" t="s">
        <v>4809</v>
      </c>
      <c r="W1272" s="9" t="s">
        <v>528</v>
      </c>
      <c r="X1272" s="9" t="s">
        <v>4810</v>
      </c>
      <c r="AC1272" s="9" t="s">
        <v>4369</v>
      </c>
      <c r="AD1272" s="9" t="s">
        <v>4370</v>
      </c>
      <c r="AE1272" s="9" t="s">
        <v>4371</v>
      </c>
    </row>
    <row r="1273" customFormat="false" ht="15" hidden="false" customHeight="true" outlineLevel="0" collapsed="false">
      <c r="A1273" s="6" t="s">
        <v>4341</v>
      </c>
      <c r="B1273" s="6" t="s">
        <v>469</v>
      </c>
      <c r="C1273" s="6" t="s">
        <v>475</v>
      </c>
      <c r="D1273" s="6" t="n">
        <v>6</v>
      </c>
      <c r="E1273" s="9" t="s">
        <v>4776</v>
      </c>
      <c r="F1273" s="6" t="n">
        <v>11584936</v>
      </c>
      <c r="G1273" s="6" t="n">
        <v>11247205</v>
      </c>
      <c r="H1273" s="6" t="n">
        <v>337731</v>
      </c>
      <c r="I1273" s="6" t="n">
        <v>3558722</v>
      </c>
      <c r="J1273" s="6" t="n">
        <v>805651</v>
      </c>
      <c r="K1273" s="6" t="n">
        <v>301784</v>
      </c>
      <c r="L1273" s="6" t="n">
        <v>1257978</v>
      </c>
      <c r="M1273" s="6" t="n">
        <v>32004</v>
      </c>
      <c r="N1273" s="6" t="n">
        <v>110166</v>
      </c>
      <c r="O1273" s="6" t="n">
        <v>1016319</v>
      </c>
      <c r="P1273" s="6" t="n">
        <v>34818</v>
      </c>
      <c r="Q1273" s="1" t="n">
        <f aca="false">IF($A1273="","",IF(OR(F1273="",I1273=""),"",F1273-I1273))</f>
        <v>8026214</v>
      </c>
      <c r="R1273" s="1" t="n">
        <f aca="false">IF($A1273="","",IF(Q1273="","",Q1273+IF(O1273="",0,O1273)))</f>
        <v>9042533</v>
      </c>
      <c r="S1273" s="6" t="n">
        <v>569228</v>
      </c>
      <c r="T1273" s="1" t="n">
        <f aca="false">IF($A1273="","",IF(R1273="","",R1273-IF(S1273="",0,S1273)))</f>
        <v>8473305</v>
      </c>
      <c r="U1273" s="1" t="n">
        <f aca="false">IF($A1273="","",IF(I1273="","",I1273-SUM(J1273:P1273)))</f>
        <v>2</v>
      </c>
      <c r="V1273" s="6" t="s">
        <v>4815</v>
      </c>
      <c r="W1273" s="44" t="s">
        <v>1168</v>
      </c>
      <c r="X1273" s="9" t="s">
        <v>4816</v>
      </c>
      <c r="AC1273" s="9" t="s">
        <v>4369</v>
      </c>
      <c r="AD1273" s="9" t="s">
        <v>4370</v>
      </c>
      <c r="AE1273" s="9" t="s">
        <v>4371</v>
      </c>
    </row>
    <row r="1274" customFormat="false" ht="15" hidden="false" customHeight="true" outlineLevel="0" collapsed="false">
      <c r="A1274" s="6" t="s">
        <v>613</v>
      </c>
      <c r="B1274" s="6" t="s">
        <v>390</v>
      </c>
      <c r="C1274" s="6" t="s">
        <v>394</v>
      </c>
      <c r="D1274" s="6" t="n">
        <v>6</v>
      </c>
      <c r="E1274" s="9" t="s">
        <v>4817</v>
      </c>
      <c r="Q1274" s="1" t="str">
        <f aca="false">IF($A1274="","",IF(OR(F1274="",I1274=""),"",F1274-I1274))</f>
        <v/>
      </c>
      <c r="R1274" s="1" t="str">
        <f aca="false">IF($A1274="","",IF(Q1274="","",Q1274+IF(O1274="",0,O1274)))</f>
        <v/>
      </c>
      <c r="T1274" s="1" t="str">
        <f aca="false">IF($A1274="","",IF(R1274="","",R1274-IF(S1274="",0,S1274)))</f>
        <v/>
      </c>
      <c r="U1274" s="1" t="str">
        <f aca="false">IF($A1274="","",IF(I1274="","",I1274-SUM(J1274:P1274)))</f>
        <v/>
      </c>
      <c r="V1274" s="6" t="s">
        <v>4818</v>
      </c>
      <c r="W1274" s="9" t="s">
        <v>528</v>
      </c>
      <c r="X1274" s="6" t="s">
        <v>4819</v>
      </c>
      <c r="AC1274" s="6" t="s">
        <v>4373</v>
      </c>
      <c r="AD1274" s="9" t="s">
        <v>4374</v>
      </c>
      <c r="AE1274" s="9" t="s">
        <v>4371</v>
      </c>
    </row>
    <row r="1275" customFormat="false" ht="15" hidden="false" customHeight="true" outlineLevel="0" collapsed="false">
      <c r="Q1275" s="1" t="str">
        <f aca="false">IF($A1275="","",IF(OR(F1275="",I1275=""),"",F1275-I1275))</f>
        <v/>
      </c>
      <c r="R1275" s="1" t="str">
        <f aca="false">IF($A1275="","",IF(Q1275="","",Q1275+IF(O1275="",0,O1275)))</f>
        <v/>
      </c>
      <c r="T1275" s="1" t="str">
        <f aca="false">IF($A1275="","",IF(R1275="","",R1275-IF(S1275="",0,S1275)))</f>
        <v/>
      </c>
      <c r="U1275" s="1" t="str">
        <f aca="false">IF($A1275="","",IF(I1275="","",I1275-SUM(J1275:P1275)))</f>
        <v/>
      </c>
    </row>
    <row r="1276" customFormat="false" ht="15" hidden="false" customHeight="true" outlineLevel="0" collapsed="false">
      <c r="Q1276" s="1" t="str">
        <f aca="false">IF($A1276="","",IF(OR(F1276="",I1276=""),"",F1276-I1276))</f>
        <v/>
      </c>
      <c r="R1276" s="1" t="str">
        <f aca="false">IF($A1276="","",IF(Q1276="","",Q1276+IF(O1276="",0,O1276)))</f>
        <v/>
      </c>
      <c r="T1276" s="1" t="str">
        <f aca="false">IF($A1276="","",IF(R1276="","",R1276-IF(S1276="",0,S1276)))</f>
        <v/>
      </c>
      <c r="U1276" s="1" t="str">
        <f aca="false">IF($A1276="","",IF(I1276="","",I1276-SUM(J1276:P1276)))</f>
        <v/>
      </c>
    </row>
    <row r="1277" customFormat="false" ht="15" hidden="false" customHeight="true" outlineLevel="0" collapsed="false">
      <c r="Q1277" s="1" t="str">
        <f aca="false">IF($A1277="","",IF(OR(F1277="",I1277=""),"",F1277-I1277))</f>
        <v/>
      </c>
      <c r="R1277" s="1" t="str">
        <f aca="false">IF($A1277="","",IF(Q1277="","",Q1277+IF(O1277="",0,O1277)))</f>
        <v/>
      </c>
      <c r="T1277" s="1" t="str">
        <f aca="false">IF($A1277="","",IF(R1277="","",R1277-IF(S1277="",0,S1277)))</f>
        <v/>
      </c>
      <c r="U1277" s="1" t="str">
        <f aca="false">IF($A1277="","",IF(I1277="","",I1277-SUM(J1277:P1277)))</f>
        <v/>
      </c>
    </row>
    <row r="1278" customFormat="false" ht="15" hidden="false" customHeight="true" outlineLevel="0" collapsed="false">
      <c r="Q1278" s="1" t="str">
        <f aca="false">IF($A1278="","",IF(OR(F1278="",I1278=""),"",F1278-I1278))</f>
        <v/>
      </c>
      <c r="R1278" s="1" t="str">
        <f aca="false">IF($A1278="","",IF(Q1278="","",Q1278+IF(O1278="",0,O1278)))</f>
        <v/>
      </c>
      <c r="T1278" s="1" t="str">
        <f aca="false">IF($A1278="","",IF(R1278="","",R1278-IF(S1278="",0,S1278)))</f>
        <v/>
      </c>
      <c r="U1278" s="1" t="str">
        <f aca="false">IF($A1278="","",IF(I1278="","",I1278-SUM(J1278:P1278)))</f>
        <v/>
      </c>
    </row>
    <row r="1279" customFormat="false" ht="15" hidden="false" customHeight="true" outlineLevel="0" collapsed="false">
      <c r="Q1279" s="1" t="str">
        <f aca="false">IF($A1279="","",IF(OR(F1279="",I1279=""),"",F1279-I1279))</f>
        <v/>
      </c>
      <c r="R1279" s="1" t="str">
        <f aca="false">IF($A1279="","",IF(Q1279="","",Q1279+IF(O1279="",0,O1279)))</f>
        <v/>
      </c>
      <c r="T1279" s="1" t="str">
        <f aca="false">IF($A1279="","",IF(R1279="","",R1279-IF(S1279="",0,S1279)))</f>
        <v/>
      </c>
      <c r="U1279" s="1" t="str">
        <f aca="false">IF($A1279="","",IF(I1279="","",I1279-SUM(J1279:P1279)))</f>
        <v/>
      </c>
    </row>
    <row r="1280" customFormat="false" ht="15" hidden="false" customHeight="true" outlineLevel="0" collapsed="false">
      <c r="Q1280" s="1" t="str">
        <f aca="false">IF($A1280="","",IF(OR(F1280="",I1280=""),"",F1280-I1280))</f>
        <v/>
      </c>
      <c r="R1280" s="1" t="str">
        <f aca="false">IF($A1280="","",IF(Q1280="","",Q1280+IF(O1280="",0,O1280)))</f>
        <v/>
      </c>
      <c r="T1280" s="1" t="str">
        <f aca="false">IF($A1280="","",IF(R1280="","",R1280-IF(S1280="",0,S1280)))</f>
        <v/>
      </c>
      <c r="U1280" s="1" t="str">
        <f aca="false">IF($A1280="","",IF(I1280="","",I1280-SUM(J1280:P1280)))</f>
        <v/>
      </c>
    </row>
    <row r="1281" customFormat="false" ht="15" hidden="false" customHeight="true" outlineLevel="0" collapsed="false">
      <c r="Q1281" s="1" t="str">
        <f aca="false">IF($A1281="","",IF(OR(F1281="",I1281=""),"",F1281-I1281))</f>
        <v/>
      </c>
      <c r="R1281" s="1" t="str">
        <f aca="false">IF($A1281="","",IF(Q1281="","",Q1281+IF(O1281="",0,O1281)))</f>
        <v/>
      </c>
      <c r="T1281" s="1" t="str">
        <f aca="false">IF($A1281="","",IF(R1281="","",R1281-IF(S1281="",0,S1281)))</f>
        <v/>
      </c>
      <c r="U1281" s="1" t="str">
        <f aca="false">IF($A1281="","",IF(I1281="","",I1281-SUM(J1281:P1281)))</f>
        <v/>
      </c>
    </row>
    <row r="1282" customFormat="false" ht="15" hidden="false" customHeight="true" outlineLevel="0" collapsed="false">
      <c r="Q1282" s="1" t="str">
        <f aca="false">IF($A1282="","",IF(OR(F1282="",I1282=""),"",F1282-I1282))</f>
        <v/>
      </c>
      <c r="R1282" s="1" t="str">
        <f aca="false">IF($A1282="","",IF(Q1282="","",Q1282+IF(O1282="",0,O1282)))</f>
        <v/>
      </c>
      <c r="T1282" s="1" t="str">
        <f aca="false">IF($A1282="","",IF(R1282="","",R1282-IF(S1282="",0,S1282)))</f>
        <v/>
      </c>
      <c r="U1282" s="1" t="str">
        <f aca="false">IF($A1282="","",IF(I1282="","",I1282-SUM(J1282:P1282)))</f>
        <v/>
      </c>
    </row>
    <row r="1283" customFormat="false" ht="15" hidden="false" customHeight="true" outlineLevel="0" collapsed="false">
      <c r="Q1283" s="1" t="str">
        <f aca="false">IF($A1283="","",IF(OR(F1283="",I1283=""),"",F1283-I1283))</f>
        <v/>
      </c>
      <c r="R1283" s="1" t="str">
        <f aca="false">IF($A1283="","",IF(Q1283="","",Q1283+IF(O1283="",0,O1283)))</f>
        <v/>
      </c>
      <c r="T1283" s="1" t="str">
        <f aca="false">IF($A1283="","",IF(R1283="","",R1283-IF(S1283="",0,S1283)))</f>
        <v/>
      </c>
      <c r="U1283" s="1" t="str">
        <f aca="false">IF($A1283="","",IF(I1283="","",I1283-SUM(J1283:P1283)))</f>
        <v/>
      </c>
    </row>
    <row r="1284" customFormat="false" ht="15" hidden="false" customHeight="true" outlineLevel="0" collapsed="false">
      <c r="Q1284" s="1" t="str">
        <f aca="false">IF($A1284="","",IF(OR(F1284="",I1284=""),"",F1284-I1284))</f>
        <v/>
      </c>
      <c r="R1284" s="1" t="str">
        <f aca="false">IF($A1284="","",IF(Q1284="","",Q1284+IF(O1284="",0,O1284)))</f>
        <v/>
      </c>
      <c r="T1284" s="1" t="str">
        <f aca="false">IF($A1284="","",IF(R1284="","",R1284-IF(S1284="",0,S1284)))</f>
        <v/>
      </c>
      <c r="U1284" s="1" t="str">
        <f aca="false">IF($A1284="","",IF(I1284="","",I1284-SUM(J1284:P1284)))</f>
        <v/>
      </c>
    </row>
    <row r="1285" customFormat="false" ht="15" hidden="false" customHeight="true" outlineLevel="0" collapsed="false">
      <c r="Q1285" s="1" t="str">
        <f aca="false">IF($A1285="","",IF(OR(F1285="",I1285=""),"",F1285-I1285))</f>
        <v/>
      </c>
      <c r="R1285" s="1" t="str">
        <f aca="false">IF($A1285="","",IF(Q1285="","",Q1285+IF(O1285="",0,O1285)))</f>
        <v/>
      </c>
      <c r="T1285" s="1" t="str">
        <f aca="false">IF($A1285="","",IF(R1285="","",R1285-IF(S1285="",0,S1285)))</f>
        <v/>
      </c>
      <c r="U1285" s="1" t="str">
        <f aca="false">IF($A1285="","",IF(I1285="","",I1285-SUM(J1285:P1285)))</f>
        <v/>
      </c>
    </row>
    <row r="1286" customFormat="false" ht="15" hidden="false" customHeight="true" outlineLevel="0" collapsed="false">
      <c r="Q1286" s="1" t="str">
        <f aca="false">IF($A1286="","",IF(OR(F1286="",I1286=""),"",F1286-I1286))</f>
        <v/>
      </c>
      <c r="R1286" s="1" t="str">
        <f aca="false">IF($A1286="","",IF(Q1286="","",Q1286+IF(O1286="",0,O1286)))</f>
        <v/>
      </c>
      <c r="T1286" s="1" t="str">
        <f aca="false">IF($A1286="","",IF(R1286="","",R1286-IF(S1286="",0,S1286)))</f>
        <v/>
      </c>
      <c r="U1286" s="1" t="str">
        <f aca="false">IF($A1286="","",IF(I1286="","",I1286-SUM(J1286:P1286)))</f>
        <v/>
      </c>
    </row>
    <row r="1287" customFormat="false" ht="15" hidden="false" customHeight="true" outlineLevel="0" collapsed="false">
      <c r="Q1287" s="1" t="str">
        <f aca="false">IF($A1287="","",IF(OR(F1287="",I1287=""),"",F1287-I1287))</f>
        <v/>
      </c>
      <c r="R1287" s="1" t="str">
        <f aca="false">IF($A1287="","",IF(Q1287="","",Q1287+IF(O1287="",0,O1287)))</f>
        <v/>
      </c>
      <c r="T1287" s="1" t="str">
        <f aca="false">IF($A1287="","",IF(R1287="","",R1287-IF(S1287="",0,S1287)))</f>
        <v/>
      </c>
      <c r="U1287" s="1" t="str">
        <f aca="false">IF($A1287="","",IF(I1287="","",I1287-SUM(J1287:P1287)))</f>
        <v/>
      </c>
    </row>
    <row r="1288" customFormat="false" ht="15" hidden="false" customHeight="true" outlineLevel="0" collapsed="false">
      <c r="Q1288" s="1" t="str">
        <f aca="false">IF($A1288="","",IF(OR(F1288="",I1288=""),"",F1288-I1288))</f>
        <v/>
      </c>
      <c r="R1288" s="1" t="str">
        <f aca="false">IF($A1288="","",IF(Q1288="","",Q1288+IF(O1288="",0,O1288)))</f>
        <v/>
      </c>
      <c r="T1288" s="1" t="str">
        <f aca="false">IF($A1288="","",IF(R1288="","",R1288-IF(S1288="",0,S1288)))</f>
        <v/>
      </c>
      <c r="U1288" s="1" t="str">
        <f aca="false">IF($A1288="","",IF(I1288="","",I1288-SUM(J1288:P1288)))</f>
        <v/>
      </c>
    </row>
    <row r="1289" customFormat="false" ht="15" hidden="false" customHeight="true" outlineLevel="0" collapsed="false">
      <c r="Q1289" s="1" t="str">
        <f aca="false">IF($A1289="","",IF(OR(F1289="",I1289=""),"",F1289-I1289))</f>
        <v/>
      </c>
      <c r="R1289" s="1" t="str">
        <f aca="false">IF($A1289="","",IF(Q1289="","",Q1289+IF(O1289="",0,O1289)))</f>
        <v/>
      </c>
      <c r="T1289" s="1" t="str">
        <f aca="false">IF($A1289="","",IF(R1289="","",R1289-IF(S1289="",0,S1289)))</f>
        <v/>
      </c>
      <c r="U1289" s="1" t="str">
        <f aca="false">IF($A1289="","",IF(I1289="","",I1289-SUM(J1289:P1289)))</f>
        <v/>
      </c>
    </row>
    <row r="1290" customFormat="false" ht="15" hidden="false" customHeight="true" outlineLevel="0" collapsed="false">
      <c r="Q1290" s="1" t="str">
        <f aca="false">IF($A1290="","",IF(OR(F1290="",I1290=""),"",F1290-I1290))</f>
        <v/>
      </c>
      <c r="R1290" s="1" t="str">
        <f aca="false">IF($A1290="","",IF(Q1290="","",Q1290+IF(O1290="",0,O1290)))</f>
        <v/>
      </c>
      <c r="T1290" s="1" t="str">
        <f aca="false">IF($A1290="","",IF(R1290="","",R1290-IF(S1290="",0,S1290)))</f>
        <v/>
      </c>
      <c r="U1290" s="1" t="str">
        <f aca="false">IF($A1290="","",IF(I1290="","",I1290-SUM(J1290:P1290)))</f>
        <v/>
      </c>
    </row>
    <row r="1291" customFormat="false" ht="15" hidden="false" customHeight="true" outlineLevel="0" collapsed="false">
      <c r="Q1291" s="1" t="str">
        <f aca="false">IF($A1291="","",IF(OR(F1291="",I1291=""),"",F1291-I1291))</f>
        <v/>
      </c>
      <c r="R1291" s="1" t="str">
        <f aca="false">IF($A1291="","",IF(Q1291="","",Q1291+IF(O1291="",0,O1291)))</f>
        <v/>
      </c>
      <c r="T1291" s="1" t="str">
        <f aca="false">IF($A1291="","",IF(R1291="","",R1291-IF(S1291="",0,S1291)))</f>
        <v/>
      </c>
      <c r="U1291" s="1" t="str">
        <f aca="false">IF($A1291="","",IF(I1291="","",I1291-SUM(J1291:P1291)))</f>
        <v/>
      </c>
    </row>
    <row r="1292" customFormat="false" ht="15" hidden="false" customHeight="true" outlineLevel="0" collapsed="false">
      <c r="Q1292" s="1" t="str">
        <f aca="false">IF($A1292="","",IF(OR(F1292="",I1292=""),"",F1292-I1292))</f>
        <v/>
      </c>
      <c r="R1292" s="1" t="str">
        <f aca="false">IF($A1292="","",IF(Q1292="","",Q1292+IF(O1292="",0,O1292)))</f>
        <v/>
      </c>
      <c r="T1292" s="1" t="str">
        <f aca="false">IF($A1292="","",IF(R1292="","",R1292-IF(S1292="",0,S1292)))</f>
        <v/>
      </c>
      <c r="U1292" s="1" t="str">
        <f aca="false">IF($A1292="","",IF(I1292="","",I1292-SUM(J1292:P1292)))</f>
        <v/>
      </c>
    </row>
    <row r="1293" customFormat="false" ht="15" hidden="false" customHeight="true" outlineLevel="0" collapsed="false">
      <c r="Q1293" s="1" t="str">
        <f aca="false">IF($A1293="","",IF(OR(F1293="",I1293=""),"",F1293-I1293))</f>
        <v/>
      </c>
      <c r="R1293" s="1" t="str">
        <f aca="false">IF($A1293="","",IF(Q1293="","",Q1293+IF(O1293="",0,O1293)))</f>
        <v/>
      </c>
      <c r="T1293" s="1" t="str">
        <f aca="false">IF($A1293="","",IF(R1293="","",R1293-IF(S1293="",0,S1293)))</f>
        <v/>
      </c>
      <c r="U1293" s="1" t="str">
        <f aca="false">IF($A1293="","",IF(I1293="","",I1293-SUM(J1293:P1293)))</f>
        <v/>
      </c>
    </row>
    <row r="1294" customFormat="false" ht="15" hidden="false" customHeight="true" outlineLevel="0" collapsed="false">
      <c r="Q1294" s="1" t="str">
        <f aca="false">IF($A1294="","",IF(OR(F1294="",I1294=""),"",F1294-I1294))</f>
        <v/>
      </c>
      <c r="R1294" s="1" t="str">
        <f aca="false">IF($A1294="","",IF(Q1294="","",Q1294+IF(O1294="",0,O1294)))</f>
        <v/>
      </c>
      <c r="T1294" s="1" t="str">
        <f aca="false">IF($A1294="","",IF(R1294="","",R1294-IF(S1294="",0,S1294)))</f>
        <v/>
      </c>
      <c r="U1294" s="1" t="str">
        <f aca="false">IF($A1294="","",IF(I1294="","",I1294-SUM(J1294:P1294)))</f>
        <v/>
      </c>
    </row>
    <row r="1295" customFormat="false" ht="15" hidden="false" customHeight="true" outlineLevel="0" collapsed="false">
      <c r="Q1295" s="1" t="str">
        <f aca="false">IF($A1295="","",IF(OR(F1295="",I1295=""),"",F1295-I1295))</f>
        <v/>
      </c>
      <c r="R1295" s="1" t="str">
        <f aca="false">IF($A1295="","",IF(Q1295="","",Q1295+IF(O1295="",0,O1295)))</f>
        <v/>
      </c>
      <c r="T1295" s="1" t="str">
        <f aca="false">IF($A1295="","",IF(R1295="","",R1295-IF(S1295="",0,S1295)))</f>
        <v/>
      </c>
      <c r="U1295" s="1" t="str">
        <f aca="false">IF($A1295="","",IF(I1295="","",I1295-SUM(J1295:P1295)))</f>
        <v/>
      </c>
    </row>
    <row r="1296" customFormat="false" ht="15" hidden="false" customHeight="true" outlineLevel="0" collapsed="false">
      <c r="Q1296" s="1" t="str">
        <f aca="false">IF($A1296="","",IF(OR(F1296="",I1296=""),"",F1296-I1296))</f>
        <v/>
      </c>
      <c r="R1296" s="1" t="str">
        <f aca="false">IF($A1296="","",IF(Q1296="","",Q1296+IF(O1296="",0,O1296)))</f>
        <v/>
      </c>
      <c r="T1296" s="1" t="str">
        <f aca="false">IF($A1296="","",IF(R1296="","",R1296-IF(S1296="",0,S1296)))</f>
        <v/>
      </c>
      <c r="U1296" s="1" t="str">
        <f aca="false">IF($A1296="","",IF(I1296="","",I1296-SUM(J1296:P1296)))</f>
        <v/>
      </c>
    </row>
    <row r="1297" customFormat="false" ht="15" hidden="false" customHeight="true" outlineLevel="0" collapsed="false">
      <c r="Q1297" s="1" t="str">
        <f aca="false">IF($A1297="","",IF(OR(F1297="",I1297=""),"",F1297-I1297))</f>
        <v/>
      </c>
      <c r="R1297" s="1" t="str">
        <f aca="false">IF($A1297="","",IF(Q1297="","",Q1297+IF(O1297="",0,O1297)))</f>
        <v/>
      </c>
      <c r="T1297" s="1" t="str">
        <f aca="false">IF($A1297="","",IF(R1297="","",R1297-IF(S1297="",0,S1297)))</f>
        <v/>
      </c>
      <c r="U1297" s="1" t="str">
        <f aca="false">IF($A1297="","",IF(I1297="","",I1297-SUM(J1297:P1297)))</f>
        <v/>
      </c>
    </row>
    <row r="1298" customFormat="false" ht="15" hidden="false" customHeight="true" outlineLevel="0" collapsed="false">
      <c r="Q1298" s="1" t="str">
        <f aca="false">IF($A1298="","",IF(OR(F1298="",I1298=""),"",F1298-I1298))</f>
        <v/>
      </c>
      <c r="R1298" s="1" t="str">
        <f aca="false">IF($A1298="","",IF(Q1298="","",Q1298+IF(O1298="",0,O1298)))</f>
        <v/>
      </c>
      <c r="T1298" s="1" t="str">
        <f aca="false">IF($A1298="","",IF(R1298="","",R1298-IF(S1298="",0,S1298)))</f>
        <v/>
      </c>
      <c r="U1298" s="1" t="str">
        <f aca="false">IF($A1298="","",IF(I1298="","",I1298-SUM(J1298:P1298)))</f>
        <v/>
      </c>
    </row>
    <row r="1299" customFormat="false" ht="15" hidden="false" customHeight="true" outlineLevel="0" collapsed="false">
      <c r="Q1299" s="1" t="str">
        <f aca="false">IF($A1299="","",IF(OR(F1299="",I1299=""),"",F1299-I1299))</f>
        <v/>
      </c>
      <c r="R1299" s="1" t="str">
        <f aca="false">IF($A1299="","",IF(Q1299="","",Q1299+IF(O1299="",0,O1299)))</f>
        <v/>
      </c>
      <c r="T1299" s="1" t="str">
        <f aca="false">IF($A1299="","",IF(R1299="","",R1299-IF(S1299="",0,S1299)))</f>
        <v/>
      </c>
      <c r="U1299" s="1" t="str">
        <f aca="false">IF($A1299="","",IF(I1299="","",I1299-SUM(J1299:P1299)))</f>
        <v/>
      </c>
    </row>
    <row r="1300" customFormat="false" ht="15" hidden="false" customHeight="true" outlineLevel="0" collapsed="false">
      <c r="Q1300" s="1" t="str">
        <f aca="false">IF($A1300="","",IF(OR(F1300="",I1300=""),"",F1300-I1300))</f>
        <v/>
      </c>
      <c r="R1300" s="1" t="str">
        <f aca="false">IF($A1300="","",IF(Q1300="","",Q1300+IF(O1300="",0,O1300)))</f>
        <v/>
      </c>
      <c r="T1300" s="1" t="str">
        <f aca="false">IF($A1300="","",IF(R1300="","",R1300-IF(S1300="",0,S1300)))</f>
        <v/>
      </c>
      <c r="U1300" s="1" t="str">
        <f aca="false">IF($A1300="","",IF(I1300="","",I1300-SUM(J1300:P1300)))</f>
        <v/>
      </c>
    </row>
  </sheetData>
  <autoFilter ref="A1:X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4"/>
    <col collapsed="false" customWidth="true" hidden="false" outlineLevel="0" max="4" min="4" style="1" width="28"/>
    <col collapsed="false" customWidth="true" hidden="false" outlineLevel="0" max="5" min="5" style="1" width="13"/>
    <col collapsed="false" customWidth="true" hidden="false" outlineLevel="0" max="6" min="6" style="1" width="11"/>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4"/>
    <col collapsed="false" customWidth="true" hidden="false" outlineLevel="0" max="12" min="12" style="1" width="10"/>
    <col collapsed="false" customWidth="true" hidden="false" outlineLevel="0" max="13" min="13" style="1" width="22"/>
    <col collapsed="false" customWidth="true" hidden="false" outlineLevel="0" max="14" min="14" style="1" width="9"/>
    <col collapsed="false" customWidth="true" hidden="false" outlineLevel="0" max="16" min="15" style="1" width="14"/>
    <col collapsed="false" customWidth="true" hidden="false" outlineLevel="0" max="20" min="17" style="1" width="13"/>
    <col collapsed="false" customWidth="true" hidden="false" outlineLevel="0" max="23" min="21" style="1" width="12"/>
    <col collapsed="false" customWidth="true" hidden="false" outlineLevel="0" max="24" min="24" style="1" width="13"/>
    <col collapsed="false" customWidth="true" hidden="false" outlineLevel="0" max="25" min="25" style="1" width="9"/>
    <col collapsed="false" customWidth="true" hidden="false" outlineLevel="0" max="26" min="26" style="1" width="10"/>
  </cols>
  <sheetData>
    <row r="1" customFormat="false" ht="43.5" hidden="false" customHeight="true" outlineLevel="0" collapsed="false">
      <c r="A1" s="21" t="s">
        <v>492</v>
      </c>
      <c r="B1" s="21" t="s">
        <v>360</v>
      </c>
      <c r="C1" s="21" t="s">
        <v>362</v>
      </c>
      <c r="D1" s="21" t="s">
        <v>493</v>
      </c>
      <c r="E1" s="21" t="s">
        <v>498</v>
      </c>
      <c r="F1" s="21" t="s">
        <v>506</v>
      </c>
      <c r="G1" s="21" t="s">
        <v>507</v>
      </c>
      <c r="H1" s="21" t="s">
        <v>502</v>
      </c>
      <c r="I1" s="21" t="s">
        <v>503</v>
      </c>
      <c r="J1" s="21" t="s">
        <v>509</v>
      </c>
      <c r="K1" s="21" t="s">
        <v>511</v>
      </c>
      <c r="L1" s="21" t="s">
        <v>513</v>
      </c>
      <c r="M1" s="21" t="s">
        <v>12</v>
      </c>
      <c r="N1" s="21" t="s">
        <v>4345</v>
      </c>
      <c r="O1" s="21" t="s">
        <v>4820</v>
      </c>
      <c r="P1" s="21" t="s">
        <v>4821</v>
      </c>
      <c r="Q1" s="21" t="s">
        <v>4822</v>
      </c>
      <c r="R1" s="21" t="s">
        <v>4358</v>
      </c>
      <c r="S1" s="28" t="s">
        <v>4359</v>
      </c>
      <c r="T1" s="21" t="s">
        <v>4823</v>
      </c>
      <c r="U1" s="28" t="s">
        <v>4824</v>
      </c>
      <c r="V1" s="21" t="s">
        <v>4825</v>
      </c>
      <c r="W1" s="21" t="s">
        <v>4826</v>
      </c>
      <c r="X1" s="21" t="s">
        <v>4827</v>
      </c>
      <c r="Y1" s="21" t="s">
        <v>4828</v>
      </c>
      <c r="Z1" s="21" t="s">
        <v>4346</v>
      </c>
    </row>
    <row r="2" customFormat="false" ht="15" hidden="false" customHeight="true" outlineLevel="0" collapsed="false">
      <c r="A2" s="17" t="str">
        <f aca="false">IF(物件マスタ!A2="","",物件マスタ!A2)</f>
        <v>GOR-01</v>
      </c>
      <c r="B2" s="17" t="str">
        <f aca="false">IF($A2="","",物件マスタ!B2)</f>
        <v>GOR</v>
      </c>
      <c r="C2" s="17" t="str">
        <f aca="false">IF($A2="","",IFERROR(INDEX(法人マスタ!$C:$C,MATCH($B2,法人マスタ!$A:$A,0)),""))</f>
        <v>グローバル・ワン不動産投資法人</v>
      </c>
      <c r="D2" s="17" t="str">
        <f aca="false">IF($A2="","",物件マスタ!C2)</f>
        <v>平河町森タワー</v>
      </c>
      <c r="E2" s="17" t="str">
        <f aca="false">IF($A2="","",物件マスタ!H2)</f>
        <v>都心5区</v>
      </c>
      <c r="F2" s="48" t="n">
        <f aca="false">IF($A2="","",物件マスタ!P2)</f>
        <v>40148</v>
      </c>
      <c r="G2" s="34" t="n">
        <f aca="false">IF($A2="","",物件マスタ!Q2)</f>
        <v>16.7</v>
      </c>
      <c r="H2" s="49" t="n">
        <f aca="false">IF($A2="","",物件マスタ!L2)</f>
        <v>51094.82</v>
      </c>
      <c r="I2" s="49" t="n">
        <f aca="false">IF($A2="","",物件マスタ!M2)</f>
        <v>9814.43</v>
      </c>
      <c r="J2" s="43" t="n">
        <f aca="false">IF($A2="","",物件マスタ!S2)</f>
        <v>18200</v>
      </c>
      <c r="K2" s="43" t="n">
        <f aca="false">IF($A2="","",物件マスタ!U2)</f>
        <v>23600</v>
      </c>
      <c r="L2" s="50" t="n">
        <f aca="false">IF($A2="","",物件マスタ!W2)</f>
        <v>0.955</v>
      </c>
      <c r="M2" s="17" t="str">
        <f aca="false">IF($A2="","",IFERROR(INDEX(法人マスタ!$H:$H,MATCH($B2,法人マスタ!$A:$A,0)),""))</f>
        <v>2026年3月期（第45期）</v>
      </c>
      <c r="N2" s="51" t="n">
        <f aca="false">IF($A2="","",SUMIFS(物件収支!$D:$D,物件収支!$A:$A,$A2,物件収支!$C:$C,$M2))</f>
        <v>6</v>
      </c>
      <c r="O2" s="43" t="n">
        <f aca="false">IF($A2="","",SUMIFS(物件収支!$F:$F,物件収支!$A:$A,$A2,物件収支!$C:$C,$M2))</f>
        <v>486000</v>
      </c>
      <c r="P2" s="43" t="n">
        <f aca="false">IF($A2="","",SUMIFS(物件収支!$I:$I,物件収支!$A:$A,$A2,物件収支!$C:$C,$M2))</f>
        <v>0</v>
      </c>
      <c r="Q2" s="43" t="n">
        <f aca="false">IF($A2="","",SUMIFS(物件収支!$O:$O,物件収支!$A:$A,$A2,物件収支!$C:$C,$M2))</f>
        <v>0</v>
      </c>
      <c r="R2" s="43" t="str">
        <f aca="false">IF($A2="","",IF(P2=0,"",O2-P2))</f>
        <v/>
      </c>
      <c r="S2" s="43" t="str">
        <f aca="false">IF($A2="","",IF(R2="","",R2+Q2))</f>
        <v/>
      </c>
      <c r="T2" s="43" t="str">
        <f aca="false">IF($A2="","",IF(OR(S2="",N2&lt;=0),"",S2/1000*12/N2))</f>
        <v/>
      </c>
      <c r="U2" s="52" t="str">
        <f aca="false">IF($A2="","",IF(OR(T2="",J2=0,J2=""),"",T2/J2))</f>
        <v/>
      </c>
      <c r="V2" s="52" t="str">
        <f aca="false">IF($A2="","",IF(OR(R2="",N2&lt;=0,J2=0,J2=""),"",(R2/1000*12/N2)/J2))</f>
        <v/>
      </c>
      <c r="W2" s="52" t="str">
        <f aca="false">IF($A2="","",IF(OR(T2="",K2=0,K2=""),"",T2/K2))</f>
        <v/>
      </c>
      <c r="X2" s="43" t="n">
        <f aca="false">IF($A2="","",IF(OR(N2&lt;=0,I2=0,I2="",O2=0),"",O2*1000/(I2*0.3025)/N2))</f>
        <v>27283.1529738683</v>
      </c>
      <c r="Y2" s="50" t="str">
        <f aca="false">IF($A2="","",IF(OR(O2=0,O2="",P2=0),"",P2/O2))</f>
        <v/>
      </c>
      <c r="Z2" s="17" t="str">
        <f aca="false">IF($A2="","",IFERROR(INDEX(物件収支!$E:$E,MATCH($A2,物件収支!$A:$A,0)),""))</f>
        <v>一部開示（収益のみ）</v>
      </c>
    </row>
    <row r="3" customFormat="false" ht="15" hidden="false" customHeight="true" outlineLevel="0" collapsed="false">
      <c r="A3" s="17" t="str">
        <f aca="false">IF(物件マスタ!A3="","",物件マスタ!A3)</f>
        <v>GOR-02</v>
      </c>
      <c r="B3" s="17" t="str">
        <f aca="false">IF($A3="","",物件マスタ!B3)</f>
        <v>GOR</v>
      </c>
      <c r="C3" s="17" t="str">
        <f aca="false">IF($A3="","",IFERROR(INDEX(法人マスタ!$C:$C,MATCH($B3,法人マスタ!$A:$A,0)),""))</f>
        <v>グローバル・ワン不動産投資法人</v>
      </c>
      <c r="D3" s="17" t="str">
        <f aca="false">IF($A3="","",物件マスタ!C3)</f>
        <v>楽天クリムゾンハウス青山</v>
      </c>
      <c r="E3" s="17" t="str">
        <f aca="false">IF($A3="","",物件マスタ!H3)</f>
        <v>都心5区</v>
      </c>
      <c r="F3" s="48" t="n">
        <f aca="false">IF($A3="","",物件マスタ!P3)</f>
        <v>37742</v>
      </c>
      <c r="G3" s="34" t="n">
        <f aca="false">IF($A3="","",物件マスタ!Q3)</f>
        <v>23.3</v>
      </c>
      <c r="H3" s="49" t="n">
        <f aca="false">IF($A3="","",物件マスタ!L3)</f>
        <v>20958.79</v>
      </c>
      <c r="I3" s="49" t="n">
        <f aca="false">IF($A3="","",物件マスタ!M3)</f>
        <v>11210.11</v>
      </c>
      <c r="J3" s="43" t="n">
        <f aca="false">IF($A3="","",物件マスタ!S3)</f>
        <v>28000</v>
      </c>
      <c r="K3" s="43" t="n">
        <f aca="false">IF($A3="","",物件マスタ!U3)</f>
        <v>30400</v>
      </c>
      <c r="L3" s="50" t="n">
        <f aca="false">IF($A3="","",物件マスタ!W3)</f>
        <v>1</v>
      </c>
      <c r="M3" s="17" t="str">
        <f aca="false">IF($A3="","",IFERROR(INDEX(法人マスタ!$H:$H,MATCH($B3,法人マスタ!$A:$A,0)),""))</f>
        <v>2026年3月期（第45期）</v>
      </c>
      <c r="N3" s="51" t="n">
        <f aca="false">IF($A3="","",SUMIFS(物件収支!$D:$D,物件収支!$A:$A,$A3,物件収支!$C:$C,$M3))</f>
        <v>6</v>
      </c>
      <c r="O3" s="43" t="n">
        <f aca="false">IF($A3="","",SUMIFS(物件収支!$F:$F,物件収支!$A:$A,$A3,物件収支!$C:$C,$M3))</f>
        <v>717000</v>
      </c>
      <c r="P3" s="43" t="n">
        <f aca="false">IF($A3="","",SUMIFS(物件収支!$I:$I,物件収支!$A:$A,$A3,物件収支!$C:$C,$M3))</f>
        <v>0</v>
      </c>
      <c r="Q3" s="43" t="n">
        <f aca="false">IF($A3="","",SUMIFS(物件収支!$O:$O,物件収支!$A:$A,$A3,物件収支!$C:$C,$M3))</f>
        <v>0</v>
      </c>
      <c r="R3" s="43" t="str">
        <f aca="false">IF($A3="","",IF(P3=0,"",O3-P3))</f>
        <v/>
      </c>
      <c r="S3" s="43" t="str">
        <f aca="false">IF($A3="","",IF(R3="","",R3+Q3))</f>
        <v/>
      </c>
      <c r="T3" s="43" t="str">
        <f aca="false">IF($A3="","",IF(OR(S3="",N3&lt;=0),"",S3/1000*12/N3))</f>
        <v/>
      </c>
      <c r="U3" s="52" t="str">
        <f aca="false">IF($A3="","",IF(OR(T3="",J3=0,J3=""),"",T3/J3))</f>
        <v/>
      </c>
      <c r="V3" s="52" t="str">
        <f aca="false">IF($A3="","",IF(OR(R3="",N3&lt;=0,J3=0,J3=""),"",(R3/1000*12/N3)/J3))</f>
        <v/>
      </c>
      <c r="W3" s="52" t="str">
        <f aca="false">IF($A3="","",IF(OR(T3="",K3=0,K3=""),"",T3/K3))</f>
        <v/>
      </c>
      <c r="X3" s="43" t="n">
        <f aca="false">IF($A3="","",IF(OR(N3&lt;=0,I3=0,I3="",O3=0),"",O3*1000/(I3*0.3025)/N3))</f>
        <v>35239.7364801995</v>
      </c>
      <c r="Y3" s="50" t="str">
        <f aca="false">IF($A3="","",IF(OR(O3=0,O3="",P3=0),"",P3/O3))</f>
        <v/>
      </c>
      <c r="Z3" s="17" t="str">
        <f aca="false">IF($A3="","",IFERROR(INDEX(物件収支!$E:$E,MATCH($A3,物件収支!$A:$A,0)),""))</f>
        <v>一部開示（収益のみ）</v>
      </c>
    </row>
    <row r="4" customFormat="false" ht="15" hidden="false" customHeight="true" outlineLevel="0" collapsed="false">
      <c r="A4" s="17" t="str">
        <f aca="false">IF(物件マスタ!A4="","",物件マスタ!A4)</f>
        <v>GOR-03</v>
      </c>
      <c r="B4" s="17" t="str">
        <f aca="false">IF($A4="","",物件マスタ!B4)</f>
        <v>GOR</v>
      </c>
      <c r="C4" s="17" t="str">
        <f aca="false">IF($A4="","",IFERROR(INDEX(法人マスタ!$C:$C,MATCH($B4,法人マスタ!$A:$A,0)),""))</f>
        <v>グローバル・ワン不動産投資法人</v>
      </c>
      <c r="D4" s="17" t="str">
        <f aca="false">IF($A4="","",物件マスタ!C4)</f>
        <v>アークヒルズ 仙石山森タワー</v>
      </c>
      <c r="E4" s="17" t="str">
        <f aca="false">IF($A4="","",物件マスタ!H4)</f>
        <v>都心5区</v>
      </c>
      <c r="F4" s="48" t="n">
        <f aca="false">IF($A4="","",物件マスタ!P4)</f>
        <v>41122</v>
      </c>
      <c r="G4" s="34" t="n">
        <f aca="false">IF($A4="","",物件マスタ!Q4)</f>
        <v>14</v>
      </c>
      <c r="H4" s="49" t="n">
        <f aca="false">IF($A4="","",物件マスタ!L4)</f>
        <v>140667.09</v>
      </c>
      <c r="I4" s="49" t="n">
        <f aca="false">IF($A4="","",物件マスタ!M4)</f>
        <v>3944.81</v>
      </c>
      <c r="J4" s="43" t="n">
        <f aca="false">IF($A4="","",物件マスタ!S4)</f>
        <v>8423</v>
      </c>
      <c r="K4" s="43" t="n">
        <f aca="false">IF($A4="","",物件マスタ!U4)</f>
        <v>11500</v>
      </c>
      <c r="L4" s="50" t="n">
        <f aca="false">IF($A4="","",物件マスタ!W4)</f>
        <v>0.948</v>
      </c>
      <c r="M4" s="17" t="str">
        <f aca="false">IF($A4="","",IFERROR(INDEX(法人マスタ!$H:$H,MATCH($B4,法人マスタ!$A:$A,0)),""))</f>
        <v>2026年3月期（第45期）</v>
      </c>
      <c r="N4" s="51" t="n">
        <f aca="false">IF($A4="","",SUMIFS(物件収支!$D:$D,物件収支!$A:$A,$A4,物件収支!$C:$C,$M4))</f>
        <v>6</v>
      </c>
      <c r="O4" s="43" t="n">
        <f aca="false">IF($A4="","",SUMIFS(物件収支!$F:$F,物件収支!$A:$A,$A4,物件収支!$C:$C,$M4))</f>
        <v>227000</v>
      </c>
      <c r="P4" s="43" t="n">
        <f aca="false">IF($A4="","",SUMIFS(物件収支!$I:$I,物件収支!$A:$A,$A4,物件収支!$C:$C,$M4))</f>
        <v>0</v>
      </c>
      <c r="Q4" s="43" t="n">
        <f aca="false">IF($A4="","",SUMIFS(物件収支!$O:$O,物件収支!$A:$A,$A4,物件収支!$C:$C,$M4))</f>
        <v>0</v>
      </c>
      <c r="R4" s="43" t="str">
        <f aca="false">IF($A4="","",IF(P4=0,"",O4-P4))</f>
        <v/>
      </c>
      <c r="S4" s="43" t="str">
        <f aca="false">IF($A4="","",IF(R4="","",R4+Q4))</f>
        <v/>
      </c>
      <c r="T4" s="43" t="str">
        <f aca="false">IF($A4="","",IF(OR(S4="",N4&lt;=0),"",S4/1000*12/N4))</f>
        <v/>
      </c>
      <c r="U4" s="52" t="str">
        <f aca="false">IF($A4="","",IF(OR(T4="",J4=0,J4=""),"",T4/J4))</f>
        <v/>
      </c>
      <c r="V4" s="52" t="str">
        <f aca="false">IF($A4="","",IF(OR(R4="",N4&lt;=0,J4=0,J4=""),"",(R4/1000*12/N4)/J4))</f>
        <v/>
      </c>
      <c r="W4" s="52" t="str">
        <f aca="false">IF($A4="","",IF(OR(T4="",K4=0,K4=""),"",T4/K4))</f>
        <v/>
      </c>
      <c r="X4" s="43" t="n">
        <f aca="false">IF($A4="","",IF(OR(N4&lt;=0,I4=0,I4="",O4=0),"",O4*1000/(I4*0.3025)/N4))</f>
        <v>31704.6627146595</v>
      </c>
      <c r="Y4" s="50" t="str">
        <f aca="false">IF($A4="","",IF(OR(O4=0,O4="",P4=0),"",P4/O4))</f>
        <v/>
      </c>
      <c r="Z4" s="17" t="str">
        <f aca="false">IF($A4="","",IFERROR(INDEX(物件収支!$E:$E,MATCH($A4,物件収支!$A:$A,0)),""))</f>
        <v>一部開示（収益のみ）</v>
      </c>
    </row>
    <row r="5" customFormat="false" ht="15" hidden="false" customHeight="true" outlineLevel="0" collapsed="false">
      <c r="A5" s="17" t="str">
        <f aca="false">IF(物件マスタ!A5="","",物件マスタ!A5)</f>
        <v>GOR-04</v>
      </c>
      <c r="B5" s="17" t="str">
        <f aca="false">IF($A5="","",物件マスタ!B5)</f>
        <v>GOR</v>
      </c>
      <c r="C5" s="17" t="str">
        <f aca="false">IF($A5="","",IFERROR(INDEX(法人マスタ!$C:$C,MATCH($B5,法人マスタ!$A:$A,0)),""))</f>
        <v>グローバル・ワン不動産投資法人</v>
      </c>
      <c r="D5" s="17" t="str">
        <f aca="false">IF($A5="","",物件マスタ!C5)</f>
        <v>グローバル・ワン上野</v>
      </c>
      <c r="E5" s="17" t="str">
        <f aca="false">IF($A5="","",物件マスタ!H5)</f>
        <v>その他東京23区</v>
      </c>
      <c r="F5" s="48" t="n">
        <f aca="false">IF($A5="","",物件マスタ!P5)</f>
        <v>40179</v>
      </c>
      <c r="G5" s="34" t="n">
        <f aca="false">IF($A5="","",物件マスタ!Q5)</f>
        <v>16.6</v>
      </c>
      <c r="H5" s="49" t="n">
        <f aca="false">IF($A5="","",物件マスタ!L5)</f>
        <v>15467.77</v>
      </c>
      <c r="I5" s="49" t="n">
        <f aca="false">IF($A5="","",物件マスタ!M5)</f>
        <v>8503.82</v>
      </c>
      <c r="J5" s="43" t="n">
        <f aca="false">IF($A5="","",物件マスタ!S5)</f>
        <v>9900</v>
      </c>
      <c r="K5" s="43" t="n">
        <f aca="false">IF($A5="","",物件マスタ!U5)</f>
        <v>11800</v>
      </c>
      <c r="L5" s="50" t="n">
        <f aca="false">IF($A5="","",物件マスタ!W5)</f>
        <v>1</v>
      </c>
      <c r="M5" s="17" t="str">
        <f aca="false">IF($A5="","",IFERROR(INDEX(法人マスタ!$H:$H,MATCH($B5,法人マスタ!$A:$A,0)),""))</f>
        <v>2026年3月期（第45期）</v>
      </c>
      <c r="N5" s="51" t="n">
        <f aca="false">IF($A5="","",SUMIFS(物件収支!$D:$D,物件収支!$A:$A,$A5,物件収支!$C:$C,$M5))</f>
        <v>6</v>
      </c>
      <c r="O5" s="43" t="n">
        <f aca="false">IF($A5="","",SUMIFS(物件収支!$F:$F,物件収支!$A:$A,$A5,物件収支!$C:$C,$M5))</f>
        <v>306000</v>
      </c>
      <c r="P5" s="43" t="n">
        <f aca="false">IF($A5="","",SUMIFS(物件収支!$I:$I,物件収支!$A:$A,$A5,物件収支!$C:$C,$M5))</f>
        <v>0</v>
      </c>
      <c r="Q5" s="43" t="n">
        <f aca="false">IF($A5="","",SUMIFS(物件収支!$O:$O,物件収支!$A:$A,$A5,物件収支!$C:$C,$M5))</f>
        <v>0</v>
      </c>
      <c r="R5" s="43" t="str">
        <f aca="false">IF($A5="","",IF(P5=0,"",O5-P5))</f>
        <v/>
      </c>
      <c r="S5" s="43" t="str">
        <f aca="false">IF($A5="","",IF(R5="","",R5+Q5))</f>
        <v/>
      </c>
      <c r="T5" s="43" t="str">
        <f aca="false">IF($A5="","",IF(OR(S5="",N5&lt;=0),"",S5/1000*12/N5))</f>
        <v/>
      </c>
      <c r="U5" s="52" t="str">
        <f aca="false">IF($A5="","",IF(OR(T5="",J5=0,J5=""),"",T5/J5))</f>
        <v/>
      </c>
      <c r="V5" s="52" t="str">
        <f aca="false">IF($A5="","",IF(OR(R5="",N5&lt;=0,J5=0,J5=""),"",(R5/1000*12/N5)/J5))</f>
        <v/>
      </c>
      <c r="W5" s="52" t="str">
        <f aca="false">IF($A5="","",IF(OR(T5="",K5=0,K5=""),"",T5/K5))</f>
        <v/>
      </c>
      <c r="X5" s="43" t="n">
        <f aca="false">IF($A5="","",IF(OR(N5&lt;=0,I5=0,I5="",O5=0),"",O5*1000/(I5*0.3025)/N5))</f>
        <v>19825.8007956794</v>
      </c>
      <c r="Y5" s="50" t="str">
        <f aca="false">IF($A5="","",IF(OR(O5=0,O5="",P5=0),"",P5/O5))</f>
        <v/>
      </c>
      <c r="Z5" s="17" t="str">
        <f aca="false">IF($A5="","",IFERROR(INDEX(物件収支!$E:$E,MATCH($A5,物件収支!$A:$A,0)),""))</f>
        <v>一部開示（収益のみ）</v>
      </c>
    </row>
    <row r="6" customFormat="false" ht="15" hidden="false" customHeight="true" outlineLevel="0" collapsed="false">
      <c r="A6" s="17" t="str">
        <f aca="false">IF(物件マスタ!A6="","",物件マスタ!A6)</f>
        <v>GOR-05</v>
      </c>
      <c r="B6" s="17" t="str">
        <f aca="false">IF($A6="","",物件マスタ!B6)</f>
        <v>GOR</v>
      </c>
      <c r="C6" s="17" t="str">
        <f aca="false">IF($A6="","",IFERROR(INDEX(法人マスタ!$C:$C,MATCH($B6,法人マスタ!$A:$A,0)),""))</f>
        <v>グローバル・ワン不動産投資法人</v>
      </c>
      <c r="D6" s="17" t="str">
        <f aca="false">IF($A6="","",物件マスタ!C6)</f>
        <v>豊洲プライムスクエア</v>
      </c>
      <c r="E6" s="17" t="str">
        <f aca="false">IF($A6="","",物件マスタ!H6)</f>
        <v>その他東京23区</v>
      </c>
      <c r="F6" s="48" t="n">
        <f aca="false">IF($A6="","",物件マスタ!P6)</f>
        <v>40391</v>
      </c>
      <c r="G6" s="34" t="n">
        <f aca="false">IF($A6="","",物件マスタ!Q6)</f>
        <v>16</v>
      </c>
      <c r="H6" s="49" t="n">
        <f aca="false">IF($A6="","",物件マスタ!L6)</f>
        <v>41741.18</v>
      </c>
      <c r="I6" s="49" t="n">
        <f aca="false">IF($A6="","",物件マスタ!M6)</f>
        <v>16140.82</v>
      </c>
      <c r="J6" s="43" t="n">
        <f aca="false">IF($A6="","",物件マスタ!S6)</f>
        <v>21000</v>
      </c>
      <c r="K6" s="43" t="n">
        <f aca="false">IF($A6="","",物件マスタ!U6)</f>
        <v>25700</v>
      </c>
      <c r="L6" s="50" t="n">
        <f aca="false">IF($A6="","",物件マスタ!W6)</f>
        <v>0.948</v>
      </c>
      <c r="M6" s="17" t="str">
        <f aca="false">IF($A6="","",IFERROR(INDEX(法人マスタ!$H:$H,MATCH($B6,法人マスタ!$A:$A,0)),""))</f>
        <v>2026年3月期（第45期）</v>
      </c>
      <c r="N6" s="51" t="n">
        <f aca="false">IF($A6="","",SUMIFS(物件収支!$D:$D,物件収支!$A:$A,$A6,物件収支!$C:$C,$M6))</f>
        <v>6</v>
      </c>
      <c r="O6" s="43" t="n">
        <f aca="false">IF($A6="","",SUMIFS(物件収支!$F:$F,物件収支!$A:$A,$A6,物件収支!$C:$C,$M6))</f>
        <v>523000</v>
      </c>
      <c r="P6" s="43" t="n">
        <f aca="false">IF($A6="","",SUMIFS(物件収支!$I:$I,物件収支!$A:$A,$A6,物件収支!$C:$C,$M6))</f>
        <v>0</v>
      </c>
      <c r="Q6" s="43" t="n">
        <f aca="false">IF($A6="","",SUMIFS(物件収支!$O:$O,物件収支!$A:$A,$A6,物件収支!$C:$C,$M6))</f>
        <v>0</v>
      </c>
      <c r="R6" s="43" t="str">
        <f aca="false">IF($A6="","",IF(P6=0,"",O6-P6))</f>
        <v/>
      </c>
      <c r="S6" s="43" t="str">
        <f aca="false">IF($A6="","",IF(R6="","",R6+Q6))</f>
        <v/>
      </c>
      <c r="T6" s="43" t="str">
        <f aca="false">IF($A6="","",IF(OR(S6="",N6&lt;=0),"",S6/1000*12/N6))</f>
        <v/>
      </c>
      <c r="U6" s="52" t="str">
        <f aca="false">IF($A6="","",IF(OR(T6="",J6=0,J6=""),"",T6/J6))</f>
        <v/>
      </c>
      <c r="V6" s="52" t="str">
        <f aca="false">IF($A6="","",IF(OR(R6="",N6&lt;=0,J6=0,J6=""),"",(R6/1000*12/N6)/J6))</f>
        <v/>
      </c>
      <c r="W6" s="52" t="str">
        <f aca="false">IF($A6="","",IF(OR(T6="",K6=0,K6=""),"",T6/K6))</f>
        <v/>
      </c>
      <c r="X6" s="43" t="n">
        <f aca="false">IF($A6="","",IF(OR(N6&lt;=0,I6=0,I6="",O6=0),"",O6*1000/(I6*0.3025)/N6))</f>
        <v>17852.5174044721</v>
      </c>
      <c r="Y6" s="50" t="str">
        <f aca="false">IF($A6="","",IF(OR(O6=0,O6="",P6=0),"",P6/O6))</f>
        <v/>
      </c>
      <c r="Z6" s="17" t="str">
        <f aca="false">IF($A6="","",IFERROR(INDEX(物件収支!$E:$E,MATCH($A6,物件収支!$A:$A,0)),""))</f>
        <v>一部開示（収益のみ）</v>
      </c>
    </row>
    <row r="7" customFormat="false" ht="15" hidden="false" customHeight="true" outlineLevel="0" collapsed="false">
      <c r="A7" s="17" t="str">
        <f aca="false">IF(物件マスタ!A7="","",物件マスタ!A7)</f>
        <v>GOR-06</v>
      </c>
      <c r="B7" s="17" t="str">
        <f aca="false">IF($A7="","",物件マスタ!B7)</f>
        <v>GOR</v>
      </c>
      <c r="C7" s="17" t="str">
        <f aca="false">IF($A7="","",IFERROR(INDEX(法人マスタ!$C:$C,MATCH($B7,法人マスタ!$A:$A,0)),""))</f>
        <v>グローバル・ワン不動産投資法人</v>
      </c>
      <c r="D7" s="17" t="str">
        <f aca="false">IF($A7="","",物件マスタ!C7)</f>
        <v>横浜プラザビル</v>
      </c>
      <c r="E7" s="17" t="str">
        <f aca="false">IF($A7="","",物件マスタ!H7)</f>
        <v>東京周辺都市部</v>
      </c>
      <c r="F7" s="48" t="n">
        <f aca="false">IF($A7="","",物件マスタ!P7)</f>
        <v>40210</v>
      </c>
      <c r="G7" s="34" t="n">
        <f aca="false">IF($A7="","",物件マスタ!Q7)</f>
        <v>16.5</v>
      </c>
      <c r="H7" s="49" t="n">
        <f aca="false">IF($A7="","",物件マスタ!L7)</f>
        <v>19968.2</v>
      </c>
      <c r="I7" s="49" t="n">
        <f aca="false">IF($A7="","",物件マスタ!M7)</f>
        <v>8376.44</v>
      </c>
      <c r="J7" s="43" t="n">
        <f aca="false">IF($A7="","",物件マスタ!S7)</f>
        <v>10770</v>
      </c>
      <c r="K7" s="43" t="n">
        <f aca="false">IF($A7="","",物件マスタ!U7)</f>
        <v>14160</v>
      </c>
      <c r="L7" s="50" t="n">
        <f aca="false">IF($A7="","",物件マスタ!W7)</f>
        <v>1</v>
      </c>
      <c r="M7" s="17" t="str">
        <f aca="false">IF($A7="","",IFERROR(INDEX(法人マスタ!$H:$H,MATCH($B7,法人マスタ!$A:$A,0)),""))</f>
        <v>2026年3月期（第45期）</v>
      </c>
      <c r="N7" s="51" t="n">
        <f aca="false">IF($A7="","",SUMIFS(物件収支!$D:$D,物件収支!$A:$A,$A7,物件収支!$C:$C,$M7))</f>
        <v>6</v>
      </c>
      <c r="O7" s="43" t="n">
        <f aca="false">IF($A7="","",SUMIFS(物件収支!$F:$F,物件収支!$A:$A,$A7,物件収支!$C:$C,$M7))</f>
        <v>331000</v>
      </c>
      <c r="P7" s="43" t="n">
        <f aca="false">IF($A7="","",SUMIFS(物件収支!$I:$I,物件収支!$A:$A,$A7,物件収支!$C:$C,$M7))</f>
        <v>0</v>
      </c>
      <c r="Q7" s="43" t="n">
        <f aca="false">IF($A7="","",SUMIFS(物件収支!$O:$O,物件収支!$A:$A,$A7,物件収支!$C:$C,$M7))</f>
        <v>0</v>
      </c>
      <c r="R7" s="43" t="str">
        <f aca="false">IF($A7="","",IF(P7=0,"",O7-P7))</f>
        <v/>
      </c>
      <c r="S7" s="43" t="str">
        <f aca="false">IF($A7="","",IF(R7="","",R7+Q7))</f>
        <v/>
      </c>
      <c r="T7" s="43" t="str">
        <f aca="false">IF($A7="","",IF(OR(S7="",N7&lt;=0),"",S7/1000*12/N7))</f>
        <v/>
      </c>
      <c r="U7" s="52" t="str">
        <f aca="false">IF($A7="","",IF(OR(T7="",J7=0,J7=""),"",T7/J7))</f>
        <v/>
      </c>
      <c r="V7" s="52" t="str">
        <f aca="false">IF($A7="","",IF(OR(R7="",N7&lt;=0,J7=0,J7=""),"",(R7/1000*12/N7)/J7))</f>
        <v/>
      </c>
      <c r="W7" s="52" t="str">
        <f aca="false">IF($A7="","",IF(OR(T7="",K7=0,K7=""),"",T7/K7))</f>
        <v/>
      </c>
      <c r="X7" s="43" t="n">
        <f aca="false">IF($A7="","",IF(OR(N7&lt;=0,I7=0,I7="",O7=0),"",O7*1000/(I7*0.3025)/N7))</f>
        <v>21771.6769899277</v>
      </c>
      <c r="Y7" s="50" t="str">
        <f aca="false">IF($A7="","",IF(OR(O7=0,O7="",P7=0),"",P7/O7))</f>
        <v/>
      </c>
      <c r="Z7" s="17" t="str">
        <f aca="false">IF($A7="","",IFERROR(INDEX(物件収支!$E:$E,MATCH($A7,物件収支!$A:$A,0)),""))</f>
        <v>一部開示（収益のみ）</v>
      </c>
    </row>
    <row r="8" customFormat="false" ht="15" hidden="false" customHeight="true" outlineLevel="0" collapsed="false">
      <c r="A8" s="17" t="str">
        <f aca="false">IF(物件マスタ!A8="","",物件マスタ!A8)</f>
        <v>GOR-07</v>
      </c>
      <c r="B8" s="17" t="str">
        <f aca="false">IF($A8="","",物件マスタ!B8)</f>
        <v>GOR</v>
      </c>
      <c r="C8" s="17" t="str">
        <f aca="false">IF($A8="","",IFERROR(INDEX(法人マスタ!$C:$C,MATCH($B8,法人マスタ!$A:$A,0)),""))</f>
        <v>グローバル・ワン不動産投資法人</v>
      </c>
      <c r="D8" s="17" t="str">
        <f aca="false">IF($A8="","",物件マスタ!C8)</f>
        <v>明治安田生命さいたま新都心ビル</v>
      </c>
      <c r="E8" s="17" t="str">
        <f aca="false">IF($A8="","",物件マスタ!H8)</f>
        <v>東京周辺都市部</v>
      </c>
      <c r="F8" s="48" t="n">
        <f aca="false">IF($A8="","",物件マスタ!P8)</f>
        <v>37316</v>
      </c>
      <c r="G8" s="34" t="n">
        <f aca="false">IF($A8="","",物件マスタ!Q8)</f>
        <v>24.4</v>
      </c>
      <c r="H8" s="49" t="n">
        <f aca="false">IF($A8="","",物件マスタ!L8)</f>
        <v>78897.42</v>
      </c>
      <c r="I8" s="49" t="n">
        <f aca="false">IF($A8="","",物件マスタ!M8)</f>
        <v>21715.52</v>
      </c>
      <c r="J8" s="43" t="n">
        <f aca="false">IF($A8="","",物件マスタ!S8)</f>
        <v>22700</v>
      </c>
      <c r="K8" s="43" t="n">
        <f aca="false">IF($A8="","",物件マスタ!U8)</f>
        <v>25300</v>
      </c>
      <c r="L8" s="50" t="n">
        <f aca="false">IF($A8="","",物件マスタ!W8)</f>
        <v>0.996</v>
      </c>
      <c r="M8" s="17" t="str">
        <f aca="false">IF($A8="","",IFERROR(INDEX(法人マスタ!$H:$H,MATCH($B8,法人マスタ!$A:$A,0)),""))</f>
        <v>2026年3月期（第45期）</v>
      </c>
      <c r="N8" s="51" t="n">
        <f aca="false">IF($A8="","",SUMIFS(物件収支!$D:$D,物件収支!$A:$A,$A8,物件収支!$C:$C,$M8))</f>
        <v>6</v>
      </c>
      <c r="O8" s="43" t="n">
        <f aca="false">IF($A8="","",SUMIFS(物件収支!$F:$F,物件収支!$A:$A,$A8,物件収支!$C:$C,$M8))</f>
        <v>1001000</v>
      </c>
      <c r="P8" s="43" t="n">
        <f aca="false">IF($A8="","",SUMIFS(物件収支!$I:$I,物件収支!$A:$A,$A8,物件収支!$C:$C,$M8))</f>
        <v>0</v>
      </c>
      <c r="Q8" s="43" t="n">
        <f aca="false">IF($A8="","",SUMIFS(物件収支!$O:$O,物件収支!$A:$A,$A8,物件収支!$C:$C,$M8))</f>
        <v>0</v>
      </c>
      <c r="R8" s="43" t="str">
        <f aca="false">IF($A8="","",IF(P8=0,"",O8-P8))</f>
        <v/>
      </c>
      <c r="S8" s="43" t="str">
        <f aca="false">IF($A8="","",IF(R8="","",R8+Q8))</f>
        <v/>
      </c>
      <c r="T8" s="43" t="str">
        <f aca="false">IF($A8="","",IF(OR(S8="",N8&lt;=0),"",S8/1000*12/N8))</f>
        <v/>
      </c>
      <c r="U8" s="52" t="str">
        <f aca="false">IF($A8="","",IF(OR(T8="",J8=0,J8=""),"",T8/J8))</f>
        <v/>
      </c>
      <c r="V8" s="52" t="str">
        <f aca="false">IF($A8="","",IF(OR(R8="",N8&lt;=0,J8=0,J8=""),"",(R8/1000*12/N8)/J8))</f>
        <v/>
      </c>
      <c r="W8" s="52" t="str">
        <f aca="false">IF($A8="","",IF(OR(T8="",K8=0,K8=""),"",T8/K8))</f>
        <v/>
      </c>
      <c r="X8" s="43" t="n">
        <f aca="false">IF($A8="","",IF(OR(N8&lt;=0,I8=0,I8="",O8=0),"",O8*1000/(I8*0.3025)/N8))</f>
        <v>25397.280448046</v>
      </c>
      <c r="Y8" s="50" t="str">
        <f aca="false">IF($A8="","",IF(OR(O8=0,O8="",P8=0),"",P8/O8))</f>
        <v/>
      </c>
      <c r="Z8" s="17" t="str">
        <f aca="false">IF($A8="","",IFERROR(INDEX(物件収支!$E:$E,MATCH($A8,物件収支!$A:$A,0)),""))</f>
        <v>一部開示（収益のみ）</v>
      </c>
    </row>
    <row r="9" customFormat="false" ht="15" hidden="false" customHeight="true" outlineLevel="0" collapsed="false">
      <c r="A9" s="17" t="str">
        <f aca="false">IF(物件マスタ!A9="","",物件マスタ!A9)</f>
        <v>GOR-08</v>
      </c>
      <c r="B9" s="17" t="str">
        <f aca="false">IF($A9="","",物件マスタ!B9)</f>
        <v>GOR</v>
      </c>
      <c r="C9" s="17" t="str">
        <f aca="false">IF($A9="","",IFERROR(INDEX(法人マスタ!$C:$C,MATCH($B9,法人マスタ!$A:$A,0)),""))</f>
        <v>グローバル・ワン不動産投資法人</v>
      </c>
      <c r="D9" s="17" t="str">
        <f aca="false">IF($A9="","",物件マスタ!C9)</f>
        <v>GRAND CENTRAL CHIBA</v>
      </c>
      <c r="E9" s="17" t="str">
        <f aca="false">IF($A9="","",物件マスタ!H9)</f>
        <v>東京周辺都市部</v>
      </c>
      <c r="F9" s="48" t="n">
        <f aca="false">IF($A9="","",物件マスタ!P9)</f>
        <v>44927</v>
      </c>
      <c r="G9" s="34" t="n">
        <f aca="false">IF($A9="","",物件マスタ!Q9)</f>
        <v>3.6</v>
      </c>
      <c r="H9" s="49" t="n">
        <f aca="false">IF($A9="","",物件マスタ!L9)</f>
        <v>14201.97</v>
      </c>
      <c r="I9" s="49" t="n">
        <f aca="false">IF($A9="","",物件マスタ!M9)</f>
        <v>10412.41</v>
      </c>
      <c r="J9" s="43" t="n">
        <f aca="false">IF($A9="","",物件マスタ!S9)</f>
        <v>17500</v>
      </c>
      <c r="K9" s="43" t="n">
        <f aca="false">IF($A9="","",物件マスタ!U9)</f>
        <v>17500</v>
      </c>
      <c r="L9" s="50" t="n">
        <f aca="false">IF($A9="","",物件マスタ!W9)</f>
        <v>0.96</v>
      </c>
      <c r="M9" s="17" t="str">
        <f aca="false">IF($A9="","",IFERROR(INDEX(法人マスタ!$H:$H,MATCH($B9,法人マスタ!$A:$A,0)),""))</f>
        <v>2026年3月期（第45期）</v>
      </c>
      <c r="N9" s="51" t="n">
        <f aca="false">IF($A9="","",SUMIFS(物件収支!$D:$D,物件収支!$A:$A,$A9,物件収支!$C:$C,$M9))</f>
        <v>6</v>
      </c>
      <c r="O9" s="43" t="n">
        <f aca="false">IF($A9="","",SUMIFS(物件収支!$F:$F,物件収支!$A:$A,$A9,物件収支!$C:$C,$M9))</f>
        <v>2000</v>
      </c>
      <c r="P9" s="43" t="n">
        <f aca="false">IF($A9="","",SUMIFS(物件収支!$I:$I,物件収支!$A:$A,$A9,物件収支!$C:$C,$M9))</f>
        <v>0</v>
      </c>
      <c r="Q9" s="43" t="n">
        <f aca="false">IF($A9="","",SUMIFS(物件収支!$O:$O,物件収支!$A:$A,$A9,物件収支!$C:$C,$M9))</f>
        <v>0</v>
      </c>
      <c r="R9" s="43" t="str">
        <f aca="false">IF($A9="","",IF(P9=0,"",O9-P9))</f>
        <v/>
      </c>
      <c r="S9" s="43" t="str">
        <f aca="false">IF($A9="","",IF(R9="","",R9+Q9))</f>
        <v/>
      </c>
      <c r="T9" s="43" t="str">
        <f aca="false">IF($A9="","",IF(OR(S9="",N9&lt;=0),"",S9/1000*12/N9))</f>
        <v/>
      </c>
      <c r="U9" s="52" t="str">
        <f aca="false">IF($A9="","",IF(OR(T9="",J9=0,J9=""),"",T9/J9))</f>
        <v/>
      </c>
      <c r="V9" s="52" t="str">
        <f aca="false">IF($A9="","",IF(OR(R9="",N9&lt;=0,J9=0,J9=""),"",(R9/1000*12/N9)/J9))</f>
        <v/>
      </c>
      <c r="W9" s="52" t="str">
        <f aca="false">IF($A9="","",IF(OR(T9="",K9=0,K9=""),"",T9/K9))</f>
        <v/>
      </c>
      <c r="X9" s="43" t="n">
        <f aca="false">IF($A9="","",IF(OR(N9&lt;=0,I9=0,I9="",O9=0),"",O9*1000/(I9*0.3025)/N9))</f>
        <v>105.828369671925</v>
      </c>
      <c r="Y9" s="50" t="str">
        <f aca="false">IF($A9="","",IF(OR(O9=0,O9="",P9=0),"",P9/O9))</f>
        <v/>
      </c>
      <c r="Z9" s="17" t="str">
        <f aca="false">IF($A9="","",IFERROR(INDEX(物件収支!$E:$E,MATCH($A9,物件収支!$A:$A,0)),""))</f>
        <v>一部開示（収益のみ）</v>
      </c>
    </row>
    <row r="10" customFormat="false" ht="15" hidden="false" customHeight="true" outlineLevel="0" collapsed="false">
      <c r="A10" s="17" t="str">
        <f aca="false">IF(物件マスタ!A10="","",物件マスタ!A10)</f>
        <v>GOR-09</v>
      </c>
      <c r="B10" s="17" t="str">
        <f aca="false">IF($A10="","",物件マスタ!B10)</f>
        <v>GOR</v>
      </c>
      <c r="C10" s="17" t="str">
        <f aca="false">IF($A10="","",IFERROR(INDEX(法人マスタ!$C:$C,MATCH($B10,法人マスタ!$A:$A,0)),""))</f>
        <v>グローバル・ワン不動産投資法人</v>
      </c>
      <c r="D10" s="17" t="str">
        <f aca="false">IF($A10="","",物件マスタ!C10)</f>
        <v>グローバル・ワン名古屋伏見</v>
      </c>
      <c r="E10" s="17" t="str">
        <f aca="false">IF($A10="","",物件マスタ!H10)</f>
        <v>その他3大都市圏</v>
      </c>
      <c r="F10" s="48" t="n">
        <f aca="false">IF($A10="","",物件マスタ!P10)</f>
        <v>34759</v>
      </c>
      <c r="G10" s="34" t="n">
        <f aca="false">IF($A10="","",物件マスタ!Q10)</f>
        <v>31.4</v>
      </c>
      <c r="H10" s="49" t="n">
        <f aca="false">IF($A10="","",物件マスタ!L10)</f>
        <v>23161.27</v>
      </c>
      <c r="I10" s="49" t="n">
        <f aca="false">IF($A10="","",物件マスタ!M10)</f>
        <v>15041.74</v>
      </c>
      <c r="J10" s="43" t="n">
        <f aca="false">IF($A10="","",物件マスタ!S10)</f>
        <v>17300</v>
      </c>
      <c r="K10" s="43" t="n">
        <f aca="false">IF($A10="","",物件マスタ!U10)</f>
        <v>18400</v>
      </c>
      <c r="L10" s="50" t="n">
        <f aca="false">IF($A10="","",物件マスタ!W10)</f>
        <v>1</v>
      </c>
      <c r="M10" s="17" t="str">
        <f aca="false">IF($A10="","",IFERROR(INDEX(法人マスタ!$H:$H,MATCH($B10,法人マスタ!$A:$A,0)),""))</f>
        <v>2026年3月期（第45期）</v>
      </c>
      <c r="N10" s="51" t="n">
        <f aca="false">IF($A10="","",SUMIFS(物件収支!$D:$D,物件収支!$A:$A,$A10,物件収支!$C:$C,$M10))</f>
        <v>6</v>
      </c>
      <c r="O10" s="43" t="n">
        <f aca="false">IF($A10="","",SUMIFS(物件収支!$F:$F,物件収支!$A:$A,$A10,物件収支!$C:$C,$M10))</f>
        <v>325000</v>
      </c>
      <c r="P10" s="43" t="n">
        <f aca="false">IF($A10="","",SUMIFS(物件収支!$I:$I,物件収支!$A:$A,$A10,物件収支!$C:$C,$M10))</f>
        <v>0</v>
      </c>
      <c r="Q10" s="43" t="n">
        <f aca="false">IF($A10="","",SUMIFS(物件収支!$O:$O,物件収支!$A:$A,$A10,物件収支!$C:$C,$M10))</f>
        <v>0</v>
      </c>
      <c r="R10" s="43" t="str">
        <f aca="false">IF($A10="","",IF(P10=0,"",O10-P10))</f>
        <v/>
      </c>
      <c r="S10" s="43" t="str">
        <f aca="false">IF($A10="","",IF(R10="","",R10+Q10))</f>
        <v/>
      </c>
      <c r="T10" s="43" t="str">
        <f aca="false">IF($A10="","",IF(OR(S10="",N10&lt;=0),"",S10/1000*12/N10))</f>
        <v/>
      </c>
      <c r="U10" s="52" t="str">
        <f aca="false">IF($A10="","",IF(OR(T10="",J10=0,J10=""),"",T10/J10))</f>
        <v/>
      </c>
      <c r="V10" s="52" t="str">
        <f aca="false">IF($A10="","",IF(OR(R10="",N10&lt;=0,J10=0,J10=""),"",(R10/1000*12/N10)/J10))</f>
        <v/>
      </c>
      <c r="W10" s="52" t="str">
        <f aca="false">IF($A10="","",IF(OR(T10="",K10=0,K10=""),"",T10/K10))</f>
        <v/>
      </c>
      <c r="X10" s="43" t="n">
        <f aca="false">IF($A10="","",IF(OR(N10&lt;=0,I10=0,I10="",O10=0),"",O10*1000/(I10*0.3025)/N10))</f>
        <v>11904.4313278612</v>
      </c>
      <c r="Y10" s="50" t="str">
        <f aca="false">IF($A10="","",IF(OR(O10=0,O10="",P10=0),"",P10/O10))</f>
        <v/>
      </c>
      <c r="Z10" s="17" t="str">
        <f aca="false">IF($A10="","",IFERROR(INDEX(物件収支!$E:$E,MATCH($A10,物件収支!$A:$A,0)),""))</f>
        <v>一部開示（収益のみ）</v>
      </c>
    </row>
    <row r="11" customFormat="false" ht="15" hidden="false" customHeight="true" outlineLevel="0" collapsed="false">
      <c r="A11" s="17" t="str">
        <f aca="false">IF(物件マスタ!A11="","",物件マスタ!A11)</f>
        <v>GOR-10</v>
      </c>
      <c r="B11" s="17" t="str">
        <f aca="false">IF($A11="","",物件マスタ!B11)</f>
        <v>GOR</v>
      </c>
      <c r="C11" s="17" t="str">
        <f aca="false">IF($A11="","",IFERROR(INDEX(法人マスタ!$C:$C,MATCH($B11,法人マスタ!$A:$A,0)),""))</f>
        <v>グローバル・ワン不動産投資法人</v>
      </c>
      <c r="D11" s="17" t="str">
        <f aca="false">IF($A11="","",物件マスタ!C11)</f>
        <v>土佐堀ダイビル</v>
      </c>
      <c r="E11" s="17" t="str">
        <f aca="false">IF($A11="","",物件マスタ!H11)</f>
        <v>その他3大都市圏</v>
      </c>
      <c r="F11" s="48" t="n">
        <f aca="false">IF($A11="","",物件マスタ!P11)</f>
        <v>39995</v>
      </c>
      <c r="G11" s="34" t="n">
        <f aca="false">IF($A11="","",物件マスタ!Q11)</f>
        <v>17.1</v>
      </c>
      <c r="H11" s="49" t="n">
        <f aca="false">IF($A11="","",物件マスタ!L11)</f>
        <v>35198.77</v>
      </c>
      <c r="I11" s="49" t="n">
        <f aca="false">IF($A11="","",物件マスタ!M11)</f>
        <v>5145.27</v>
      </c>
      <c r="J11" s="43" t="n">
        <f aca="false">IF($A11="","",物件マスタ!S11)</f>
        <v>4461</v>
      </c>
      <c r="K11" s="43" t="n">
        <f aca="false">IF($A11="","",物件マスタ!U11)</f>
        <v>4960</v>
      </c>
      <c r="L11" s="50" t="n">
        <f aca="false">IF($A11="","",物件マスタ!W11)</f>
        <v>1</v>
      </c>
      <c r="M11" s="17" t="str">
        <f aca="false">IF($A11="","",IFERROR(INDEX(法人マスタ!$H:$H,MATCH($B11,法人マスタ!$A:$A,0)),""))</f>
        <v>2026年3月期（第45期）</v>
      </c>
      <c r="N11" s="51" t="n">
        <f aca="false">IF($A11="","",SUMIFS(物件収支!$D:$D,物件収支!$A:$A,$A11,物件収支!$C:$C,$M11))</f>
        <v>6</v>
      </c>
      <c r="O11" s="43" t="n">
        <f aca="false">IF($A11="","",SUMIFS(物件収支!$F:$F,物件収支!$A:$A,$A11,物件収支!$C:$C,$M11))</f>
        <v>142000</v>
      </c>
      <c r="P11" s="43" t="n">
        <f aca="false">IF($A11="","",SUMIFS(物件収支!$I:$I,物件収支!$A:$A,$A11,物件収支!$C:$C,$M11))</f>
        <v>0</v>
      </c>
      <c r="Q11" s="43" t="n">
        <f aca="false">IF($A11="","",SUMIFS(物件収支!$O:$O,物件収支!$A:$A,$A11,物件収支!$C:$C,$M11))</f>
        <v>0</v>
      </c>
      <c r="R11" s="43" t="str">
        <f aca="false">IF($A11="","",IF(P11=0,"",O11-P11))</f>
        <v/>
      </c>
      <c r="S11" s="43" t="str">
        <f aca="false">IF($A11="","",IF(R11="","",R11+Q11))</f>
        <v/>
      </c>
      <c r="T11" s="43" t="str">
        <f aca="false">IF($A11="","",IF(OR(S11="",N11&lt;=0),"",S11/1000*12/N11))</f>
        <v/>
      </c>
      <c r="U11" s="52" t="str">
        <f aca="false">IF($A11="","",IF(OR(T11="",J11=0,J11=""),"",T11/J11))</f>
        <v/>
      </c>
      <c r="V11" s="52" t="str">
        <f aca="false">IF($A11="","",IF(OR(R11="",N11&lt;=0,J11=0,J11=""),"",(R11/1000*12/N11)/J11))</f>
        <v/>
      </c>
      <c r="W11" s="52" t="str">
        <f aca="false">IF($A11="","",IF(OR(T11="",K11=0,K11=""),"",T11/K11))</f>
        <v/>
      </c>
      <c r="X11" s="43" t="n">
        <f aca="false">IF($A11="","",IF(OR(N11&lt;=0,I11=0,I11="",O11=0),"",O11*1000/(I11*0.3025)/N11))</f>
        <v>15205.5994341504</v>
      </c>
      <c r="Y11" s="50" t="str">
        <f aca="false">IF($A11="","",IF(OR(O11=0,O11="",P11=0),"",P11/O11))</f>
        <v/>
      </c>
      <c r="Z11" s="17" t="str">
        <f aca="false">IF($A11="","",IFERROR(INDEX(物件収支!$E:$E,MATCH($A11,物件収支!$A:$A,0)),""))</f>
        <v>一部開示（収益のみ）</v>
      </c>
    </row>
    <row r="12" customFormat="false" ht="15" hidden="false" customHeight="true" outlineLevel="0" collapsed="false">
      <c r="A12" s="17" t="str">
        <f aca="false">IF(物件マスタ!A12="","",物件マスタ!A12)</f>
        <v>GOR-11</v>
      </c>
      <c r="B12" s="17" t="str">
        <f aca="false">IF($A12="","",物件マスタ!B12)</f>
        <v>GOR</v>
      </c>
      <c r="C12" s="17" t="str">
        <f aca="false">IF($A12="","",IFERROR(INDEX(法人マスタ!$C:$C,MATCH($B12,法人マスタ!$A:$A,0)),""))</f>
        <v>グローバル・ワン不動産投資法人</v>
      </c>
      <c r="D12" s="17" t="str">
        <f aca="false">IF($A12="","",物件マスタ!C12)</f>
        <v>ルーシッドスクエア新大阪</v>
      </c>
      <c r="E12" s="17" t="str">
        <f aca="false">IF($A12="","",物件マスタ!H12)</f>
        <v>その他3大都市圏</v>
      </c>
      <c r="F12" s="48" t="n">
        <f aca="false">IF($A12="","",物件マスタ!P12)</f>
        <v>33178</v>
      </c>
      <c r="G12" s="34" t="n">
        <f aca="false">IF($A12="","",物件マスタ!Q12)</f>
        <v>35.8</v>
      </c>
      <c r="H12" s="49" t="n">
        <f aca="false">IF($A12="","",物件マスタ!L12)</f>
        <v>9383.85</v>
      </c>
      <c r="I12" s="49" t="n">
        <f aca="false">IF($A12="","",物件マスタ!M12)</f>
        <v>7099.42</v>
      </c>
      <c r="J12" s="43" t="n">
        <f aca="false">IF($A12="","",物件マスタ!S12)</f>
        <v>9720</v>
      </c>
      <c r="K12" s="43" t="n">
        <f aca="false">IF($A12="","",物件マスタ!U12)</f>
        <v>9870</v>
      </c>
      <c r="L12" s="50" t="n">
        <f aca="false">IF($A12="","",物件マスタ!W12)</f>
        <v>1</v>
      </c>
      <c r="M12" s="17" t="str">
        <f aca="false">IF($A12="","",IFERROR(INDEX(法人マスタ!$H:$H,MATCH($B12,法人マスタ!$A:$A,0)),""))</f>
        <v>2026年3月期（第45期）</v>
      </c>
      <c r="N12" s="51" t="n">
        <f aca="false">IF($A12="","",SUMIFS(物件収支!$D:$D,物件収支!$A:$A,$A12,物件収支!$C:$C,$M12))</f>
        <v>6</v>
      </c>
      <c r="O12" s="43" t="n">
        <f aca="false">IF($A12="","",SUMIFS(物件収支!$F:$F,物件収支!$A:$A,$A12,物件収支!$C:$C,$M12))</f>
        <v>135000</v>
      </c>
      <c r="P12" s="43" t="n">
        <f aca="false">IF($A12="","",SUMIFS(物件収支!$I:$I,物件収支!$A:$A,$A12,物件収支!$C:$C,$M12))</f>
        <v>0</v>
      </c>
      <c r="Q12" s="43" t="n">
        <f aca="false">IF($A12="","",SUMIFS(物件収支!$O:$O,物件収支!$A:$A,$A12,物件収支!$C:$C,$M12))</f>
        <v>0</v>
      </c>
      <c r="R12" s="43" t="str">
        <f aca="false">IF($A12="","",IF(P12=0,"",O12-P12))</f>
        <v/>
      </c>
      <c r="S12" s="43" t="str">
        <f aca="false">IF($A12="","",IF(R12="","",R12+Q12))</f>
        <v/>
      </c>
      <c r="T12" s="43" t="str">
        <f aca="false">IF($A12="","",IF(OR(S12="",N12&lt;=0),"",S12/1000*12/N12))</f>
        <v/>
      </c>
      <c r="U12" s="52" t="str">
        <f aca="false">IF($A12="","",IF(OR(T12="",J12=0,J12=""),"",T12/J12))</f>
        <v/>
      </c>
      <c r="V12" s="52" t="str">
        <f aca="false">IF($A12="","",IF(OR(R12="",N12&lt;=0,J12=0,J12=""),"",(R12/1000*12/N12)/J12))</f>
        <v/>
      </c>
      <c r="W12" s="52" t="str">
        <f aca="false">IF($A12="","",IF(OR(T12="",K12=0,K12=""),"",T12/K12))</f>
        <v/>
      </c>
      <c r="X12" s="43" t="n">
        <f aca="false">IF($A12="","",IF(OR(N12&lt;=0,I12=0,I12="",O12=0),"",O12*1000/(I12*0.3025)/N12))</f>
        <v>10476.9354805401</v>
      </c>
      <c r="Y12" s="50" t="str">
        <f aca="false">IF($A12="","",IF(OR(O12=0,O12="",P12=0),"",P12/O12))</f>
        <v/>
      </c>
      <c r="Z12" s="17" t="str">
        <f aca="false">IF($A12="","",IFERROR(INDEX(物件収支!$E:$E,MATCH($A12,物件収支!$A:$A,0)),""))</f>
        <v>一部開示（収益のみ）</v>
      </c>
    </row>
    <row r="13" customFormat="false" ht="15" hidden="false" customHeight="true" outlineLevel="0" collapsed="false">
      <c r="A13" s="17" t="str">
        <f aca="false">IF(物件マスタ!A13="","",物件マスタ!A13)</f>
        <v>GOR-12</v>
      </c>
      <c r="B13" s="17" t="str">
        <f aca="false">IF($A13="","",物件マスタ!B13)</f>
        <v>GOR</v>
      </c>
      <c r="C13" s="17" t="str">
        <f aca="false">IF($A13="","",IFERROR(INDEX(法人マスタ!$C:$C,MATCH($B13,法人マスタ!$A:$A,0)),""))</f>
        <v>グローバル・ワン不動産投資法人</v>
      </c>
      <c r="D13" s="17" t="str">
        <f aca="false">IF($A13="","",物件マスタ!C13)</f>
        <v>新ダイビル</v>
      </c>
      <c r="E13" s="17" t="str">
        <f aca="false">IF($A13="","",物件マスタ!H13)</f>
        <v>その他3大都市圏</v>
      </c>
      <c r="F13" s="48" t="n">
        <f aca="false">IF($A13="","",物件マスタ!P13)</f>
        <v>42064</v>
      </c>
      <c r="G13" s="34" t="n">
        <f aca="false">IF($A13="","",物件マスタ!Q13)</f>
        <v>11.4</v>
      </c>
      <c r="H13" s="49" t="n">
        <f aca="false">IF($A13="","",物件マスタ!L13)</f>
        <v>75826.76</v>
      </c>
      <c r="I13" s="49" t="n">
        <f aca="false">IF($A13="","",物件マスタ!M13)</f>
        <v>2108.56</v>
      </c>
      <c r="J13" s="43" t="n">
        <f aca="false">IF($A13="","",物件マスタ!S13)</f>
        <v>3455</v>
      </c>
      <c r="K13" s="43" t="n">
        <f aca="false">IF($A13="","",物件マスタ!U13)</f>
        <v>3960</v>
      </c>
      <c r="L13" s="50" t="n">
        <f aca="false">IF($A13="","",物件マスタ!W13)</f>
        <v>0.966</v>
      </c>
      <c r="M13" s="17" t="str">
        <f aca="false">IF($A13="","",IFERROR(INDEX(法人マスタ!$H:$H,MATCH($B13,法人マスタ!$A:$A,0)),""))</f>
        <v>2026年3月期（第45期）</v>
      </c>
      <c r="N13" s="51" t="n">
        <f aca="false">IF($A13="","",SUMIFS(物件収支!$D:$D,物件収支!$A:$A,$A13,物件収支!$C:$C,$M13))</f>
        <v>6</v>
      </c>
      <c r="O13" s="43" t="n">
        <f aca="false">IF($A13="","",SUMIFS(物件収支!$F:$F,物件収支!$A:$A,$A13,物件収支!$C:$C,$M13))</f>
        <v>91000</v>
      </c>
      <c r="P13" s="43" t="n">
        <f aca="false">IF($A13="","",SUMIFS(物件収支!$I:$I,物件収支!$A:$A,$A13,物件収支!$C:$C,$M13))</f>
        <v>0</v>
      </c>
      <c r="Q13" s="43" t="n">
        <f aca="false">IF($A13="","",SUMIFS(物件収支!$O:$O,物件収支!$A:$A,$A13,物件収支!$C:$C,$M13))</f>
        <v>0</v>
      </c>
      <c r="R13" s="43" t="str">
        <f aca="false">IF($A13="","",IF(P13=0,"",O13-P13))</f>
        <v/>
      </c>
      <c r="S13" s="43" t="str">
        <f aca="false">IF($A13="","",IF(R13="","",R13+Q13))</f>
        <v/>
      </c>
      <c r="T13" s="43" t="str">
        <f aca="false">IF($A13="","",IF(OR(S13="",N13&lt;=0),"",S13/1000*12/N13))</f>
        <v/>
      </c>
      <c r="U13" s="52" t="str">
        <f aca="false">IF($A13="","",IF(OR(T13="",J13=0,J13=""),"",T13/J13))</f>
        <v/>
      </c>
      <c r="V13" s="52" t="str">
        <f aca="false">IF($A13="","",IF(OR(R13="",N13&lt;=0,J13=0,J13=""),"",(R13/1000*12/N13)/J13))</f>
        <v/>
      </c>
      <c r="W13" s="52" t="str">
        <f aca="false">IF($A13="","",IF(OR(T13="",K13=0,K13=""),"",T13/K13))</f>
        <v/>
      </c>
      <c r="X13" s="43" t="n">
        <f aca="false">IF($A13="","",IF(OR(N13&lt;=0,I13=0,I13="",O13=0),"",O13*1000/(I13*0.3025)/N13))</f>
        <v>23778.1903511553</v>
      </c>
      <c r="Y13" s="50" t="str">
        <f aca="false">IF($A13="","",IF(OR(O13=0,O13="",P13=0),"",P13/O13))</f>
        <v/>
      </c>
      <c r="Z13" s="17" t="str">
        <f aca="false">IF($A13="","",IFERROR(INDEX(物件収支!$E:$E,MATCH($A13,物件収支!$A:$A,0)),""))</f>
        <v>一部開示（収益のみ）</v>
      </c>
    </row>
    <row r="14" customFormat="false" ht="15" hidden="false" customHeight="true" outlineLevel="0" collapsed="false">
      <c r="A14" s="17" t="str">
        <f aca="false">IF(物件マスタ!A14="","",物件マスタ!A14)</f>
        <v>GOR-13</v>
      </c>
      <c r="B14" s="17" t="str">
        <f aca="false">IF($A14="","",物件マスタ!B14)</f>
        <v>GOR</v>
      </c>
      <c r="C14" s="17" t="str">
        <f aca="false">IF($A14="","",IFERROR(INDEX(法人マスタ!$C:$C,MATCH($B14,法人マスタ!$A:$A,0)),""))</f>
        <v>グローバル・ワン不動産投資法人</v>
      </c>
      <c r="D14" s="17" t="str">
        <f aca="false">IF($A14="","",物件マスタ!C14)</f>
        <v>明治安田生命大阪梅田ビル</v>
      </c>
      <c r="E14" s="17" t="str">
        <f aca="false">IF($A14="","",物件マスタ!H14)</f>
        <v>その他3大都市圏</v>
      </c>
      <c r="F14" s="48" t="n">
        <f aca="false">IF($A14="","",物件マスタ!P14)</f>
        <v>36678</v>
      </c>
      <c r="G14" s="34" t="n">
        <f aca="false">IF($A14="","",物件マスタ!Q14)</f>
        <v>26.2</v>
      </c>
      <c r="H14" s="49" t="n">
        <f aca="false">IF($A14="","",物件マスタ!L14)</f>
        <v>52982.94</v>
      </c>
      <c r="I14" s="49" t="n">
        <f aca="false">IF($A14="","",物件マスタ!M14)</f>
        <v>8079.32</v>
      </c>
      <c r="J14" s="43" t="n">
        <f aca="false">IF($A14="","",物件マスタ!S14)</f>
        <v>9651</v>
      </c>
      <c r="K14" s="43" t="n">
        <f aca="false">IF($A14="","",物件マスタ!U14)</f>
        <v>11400</v>
      </c>
      <c r="L14" s="50" t="n">
        <f aca="false">IF($A14="","",物件マスタ!W14)</f>
        <v>0.932</v>
      </c>
      <c r="M14" s="17" t="str">
        <f aca="false">IF($A14="","",IFERROR(INDEX(法人マスタ!$H:$H,MATCH($B14,法人マスタ!$A:$A,0)),""))</f>
        <v>2026年3月期（第45期）</v>
      </c>
      <c r="N14" s="51" t="n">
        <f aca="false">IF($A14="","",SUMIFS(物件収支!$D:$D,物件収支!$A:$A,$A14,物件収支!$C:$C,$M14))</f>
        <v>6</v>
      </c>
      <c r="O14" s="43" t="n">
        <f aca="false">IF($A14="","",SUMIFS(物件収支!$F:$F,物件収支!$A:$A,$A14,物件収支!$C:$C,$M14))</f>
        <v>274000</v>
      </c>
      <c r="P14" s="43" t="n">
        <f aca="false">IF($A14="","",SUMIFS(物件収支!$I:$I,物件収支!$A:$A,$A14,物件収支!$C:$C,$M14))</f>
        <v>0</v>
      </c>
      <c r="Q14" s="43" t="n">
        <f aca="false">IF($A14="","",SUMIFS(物件収支!$O:$O,物件収支!$A:$A,$A14,物件収支!$C:$C,$M14))</f>
        <v>0</v>
      </c>
      <c r="R14" s="43" t="str">
        <f aca="false">IF($A14="","",IF(P14=0,"",O14-P14))</f>
        <v/>
      </c>
      <c r="S14" s="43" t="str">
        <f aca="false">IF($A14="","",IF(R14="","",R14+Q14))</f>
        <v/>
      </c>
      <c r="T14" s="43" t="str">
        <f aca="false">IF($A14="","",IF(OR(S14="",N14&lt;=0),"",S14/1000*12/N14))</f>
        <v/>
      </c>
      <c r="U14" s="52" t="str">
        <f aca="false">IF($A14="","",IF(OR(T14="",J14=0,J14=""),"",T14/J14))</f>
        <v/>
      </c>
      <c r="V14" s="52" t="str">
        <f aca="false">IF($A14="","",IF(OR(R14="",N14&lt;=0,J14=0,J14=""),"",(R14/1000*12/N14)/J14))</f>
        <v/>
      </c>
      <c r="W14" s="52" t="str">
        <f aca="false">IF($A14="","",IF(OR(T14="",K14=0,K14=""),"",T14/K14))</f>
        <v/>
      </c>
      <c r="X14" s="43" t="n">
        <f aca="false">IF($A14="","",IF(OR(N14&lt;=0,I14=0,I14="",O14=0),"",O14*1000/(I14*0.3025)/N14))</f>
        <v>18685.2590722763</v>
      </c>
      <c r="Y14" s="50" t="str">
        <f aca="false">IF($A14="","",IF(OR(O14=0,O14="",P14=0),"",P14/O14))</f>
        <v/>
      </c>
      <c r="Z14" s="17" t="str">
        <f aca="false">IF($A14="","",IFERROR(INDEX(物件収支!$E:$E,MATCH($A14,物件収支!$A:$A,0)),""))</f>
        <v>一部開示（収益のみ）</v>
      </c>
    </row>
    <row r="15" customFormat="false" ht="15" hidden="false" customHeight="true" outlineLevel="0" collapsed="false">
      <c r="A15" s="17" t="str">
        <f aca="false">IF(物件マスタ!A15="","",物件マスタ!A15)</f>
        <v>GOR-14</v>
      </c>
      <c r="B15" s="17" t="str">
        <f aca="false">IF($A15="","",物件マスタ!B15)</f>
        <v>GOR</v>
      </c>
      <c r="C15" s="17" t="str">
        <f aca="false">IF($A15="","",IFERROR(INDEX(法人マスタ!$C:$C,MATCH($B15,法人マスタ!$A:$A,0)),""))</f>
        <v>グローバル・ワン不動産投資法人</v>
      </c>
      <c r="D15" s="17" t="str">
        <f aca="false">IF($A15="","",物件マスタ!C15)</f>
        <v>明治安田生命大阪御堂筋ビル</v>
      </c>
      <c r="E15" s="17" t="str">
        <f aca="false">IF($A15="","",物件マスタ!H15)</f>
        <v>その他3大都市圏</v>
      </c>
      <c r="F15" s="48" t="n">
        <f aca="false">IF($A15="","",物件マスタ!P15)</f>
        <v>37073</v>
      </c>
      <c r="G15" s="34" t="n">
        <f aca="false">IF($A15="","",物件マスタ!Q15)</f>
        <v>25.1</v>
      </c>
      <c r="H15" s="49" t="n">
        <f aca="false">IF($A15="","",物件マスタ!L15)</f>
        <v>32997.6</v>
      </c>
      <c r="I15" s="49" t="n">
        <f aca="false">IF($A15="","",物件マスタ!M15)</f>
        <v>8890.28</v>
      </c>
      <c r="J15" s="43" t="n">
        <f aca="false">IF($A15="","",物件マスタ!S15)</f>
        <v>9200</v>
      </c>
      <c r="K15" s="43" t="n">
        <f aca="false">IF($A15="","",物件マスタ!U15)</f>
        <v>11600</v>
      </c>
      <c r="L15" s="50" t="n">
        <f aca="false">IF($A15="","",物件マスタ!W15)</f>
        <v>1</v>
      </c>
      <c r="M15" s="17" t="str">
        <f aca="false">IF($A15="","",IFERROR(INDEX(法人マスタ!$H:$H,MATCH($B15,法人マスタ!$A:$A,0)),""))</f>
        <v>2026年3月期（第45期）</v>
      </c>
      <c r="N15" s="51" t="n">
        <f aca="false">IF($A15="","",SUMIFS(物件収支!$D:$D,物件収支!$A:$A,$A15,物件収支!$C:$C,$M15))</f>
        <v>6</v>
      </c>
      <c r="O15" s="43" t="n">
        <f aca="false">IF($A15="","",SUMIFS(物件収支!$F:$F,物件収支!$A:$A,$A15,物件収支!$C:$C,$M15))</f>
        <v>353000</v>
      </c>
      <c r="P15" s="43" t="n">
        <f aca="false">IF($A15="","",SUMIFS(物件収支!$I:$I,物件収支!$A:$A,$A15,物件収支!$C:$C,$M15))</f>
        <v>0</v>
      </c>
      <c r="Q15" s="43" t="n">
        <f aca="false">IF($A15="","",SUMIFS(物件収支!$O:$O,物件収支!$A:$A,$A15,物件収支!$C:$C,$M15))</f>
        <v>0</v>
      </c>
      <c r="R15" s="43" t="str">
        <f aca="false">IF($A15="","",IF(P15=0,"",O15-P15))</f>
        <v/>
      </c>
      <c r="S15" s="43" t="str">
        <f aca="false">IF($A15="","",IF(R15="","",R15+Q15))</f>
        <v/>
      </c>
      <c r="T15" s="43" t="str">
        <f aca="false">IF($A15="","",IF(OR(S15="",N15&lt;=0),"",S15/1000*12/N15))</f>
        <v/>
      </c>
      <c r="U15" s="52" t="str">
        <f aca="false">IF($A15="","",IF(OR(T15="",J15=0,J15=""),"",T15/J15))</f>
        <v/>
      </c>
      <c r="V15" s="52" t="str">
        <f aca="false">IF($A15="","",IF(OR(R15="",N15&lt;=0,J15=0,J15=""),"",(R15/1000*12/N15)/J15))</f>
        <v/>
      </c>
      <c r="W15" s="52" t="str">
        <f aca="false">IF($A15="","",IF(OR(T15="",K15=0,K15=""),"",T15/K15))</f>
        <v/>
      </c>
      <c r="X15" s="43" t="n">
        <f aca="false">IF($A15="","",IF(OR(N15&lt;=0,I15=0,I15="",O15=0),"",O15*1000/(I15*0.3025)/N15))</f>
        <v>21876.7415791991</v>
      </c>
      <c r="Y15" s="50" t="str">
        <f aca="false">IF($A15="","",IF(OR(O15=0,O15="",P15=0),"",P15/O15))</f>
        <v/>
      </c>
      <c r="Z15" s="17" t="str">
        <f aca="false">IF($A15="","",IFERROR(INDEX(物件収支!$E:$E,MATCH($A15,物件収支!$A:$A,0)),""))</f>
        <v>一部開示（収益のみ）</v>
      </c>
    </row>
    <row r="16" customFormat="false" ht="15" hidden="false" customHeight="true" outlineLevel="0" collapsed="false">
      <c r="A16" s="17" t="str">
        <f aca="false">IF(物件マスタ!A16="","",物件マスタ!A16)</f>
        <v>GOR-15</v>
      </c>
      <c r="B16" s="17" t="str">
        <f aca="false">IF($A16="","",物件マスタ!B16)</f>
        <v>GOR</v>
      </c>
      <c r="C16" s="17" t="str">
        <f aca="false">IF($A16="","",IFERROR(INDEX(法人マスタ!$C:$C,MATCH($B16,法人マスタ!$A:$A,0)),""))</f>
        <v>グローバル・ワン不動産投資法人</v>
      </c>
      <c r="D16" s="17" t="str">
        <f aca="false">IF($A16="","",物件マスタ!C16)</f>
        <v>福岡Kスクエア</v>
      </c>
      <c r="E16" s="17" t="str">
        <f aca="false">IF($A16="","",物件マスタ!H16)</f>
        <v>3大都市圏以外の政令市</v>
      </c>
      <c r="F16" s="48" t="n">
        <f aca="false">IF($A16="","",物件マスタ!P16)</f>
        <v>45078</v>
      </c>
      <c r="G16" s="34" t="n">
        <f aca="false">IF($A16="","",物件マスタ!Q16)</f>
        <v>3.2</v>
      </c>
      <c r="H16" s="49" t="n">
        <f aca="false">IF($A16="","",物件マスタ!L16)</f>
        <v>15647.62</v>
      </c>
      <c r="I16" s="49" t="n">
        <f aca="false">IF($A16="","",物件マスタ!M16)</f>
        <v>9313.83</v>
      </c>
      <c r="J16" s="43" t="n">
        <f aca="false">IF($A16="","",物件マスタ!S16)</f>
        <v>14865</v>
      </c>
      <c r="K16" s="43" t="n">
        <f aca="false">IF($A16="","",物件マスタ!U16)</f>
        <v>15355</v>
      </c>
      <c r="L16" s="50" t="n">
        <f aca="false">IF($A16="","",物件マスタ!W16)</f>
        <v>1</v>
      </c>
      <c r="M16" s="17" t="str">
        <f aca="false">IF($A16="","",IFERROR(INDEX(法人マスタ!$H:$H,MATCH($B16,法人マスタ!$A:$A,0)),""))</f>
        <v>2026年3月期（第45期）</v>
      </c>
      <c r="N16" s="51" t="n">
        <f aca="false">IF($A16="","",SUMIFS(物件収支!$D:$D,物件収支!$A:$A,$A16,物件収支!$C:$C,$M16))</f>
        <v>6</v>
      </c>
      <c r="O16" s="43" t="n">
        <f aca="false">IF($A16="","",SUMIFS(物件収支!$F:$F,物件収支!$A:$A,$A16,物件収支!$C:$C,$M16))</f>
        <v>227000</v>
      </c>
      <c r="P16" s="43" t="n">
        <f aca="false">IF($A16="","",SUMIFS(物件収支!$I:$I,物件収支!$A:$A,$A16,物件収支!$C:$C,$M16))</f>
        <v>0</v>
      </c>
      <c r="Q16" s="43" t="n">
        <f aca="false">IF($A16="","",SUMIFS(物件収支!$O:$O,物件収支!$A:$A,$A16,物件収支!$C:$C,$M16))</f>
        <v>0</v>
      </c>
      <c r="R16" s="43" t="str">
        <f aca="false">IF($A16="","",IF(P16=0,"",O16-P16))</f>
        <v/>
      </c>
      <c r="S16" s="43" t="str">
        <f aca="false">IF($A16="","",IF(R16="","",R16+Q16))</f>
        <v/>
      </c>
      <c r="T16" s="43" t="str">
        <f aca="false">IF($A16="","",IF(OR(S16="",N16&lt;=0),"",S16/1000*12/N16))</f>
        <v/>
      </c>
      <c r="U16" s="52" t="str">
        <f aca="false">IF($A16="","",IF(OR(T16="",J16=0,J16=""),"",T16/J16))</f>
        <v/>
      </c>
      <c r="V16" s="52" t="str">
        <f aca="false">IF($A16="","",IF(OR(R16="",N16&lt;=0,J16=0,J16=""),"",(R16/1000*12/N16)/J16))</f>
        <v/>
      </c>
      <c r="W16" s="52" t="str">
        <f aca="false">IF($A16="","",IF(OR(T16="",K16=0,K16=""),"",T16/K16))</f>
        <v/>
      </c>
      <c r="X16" s="43" t="n">
        <f aca="false">IF($A16="","",IF(OR(N16&lt;=0,I16=0,I16="",O16=0),"",O16*1000/(I16*0.3025)/N16))</f>
        <v>13428.2964713137</v>
      </c>
      <c r="Y16" s="50" t="str">
        <f aca="false">IF($A16="","",IF(OR(O16=0,O16="",P16=0),"",P16/O16))</f>
        <v/>
      </c>
      <c r="Z16" s="17" t="str">
        <f aca="false">IF($A16="","",IFERROR(INDEX(物件収支!$E:$E,MATCH($A16,物件収支!$A:$A,0)),""))</f>
        <v>一部開示（収益のみ）</v>
      </c>
    </row>
    <row r="17" customFormat="false" ht="15" hidden="false" customHeight="true" outlineLevel="0" collapsed="false">
      <c r="A17" s="17" t="str">
        <f aca="false">IF(物件マスタ!A17="","",物件マスタ!A17)</f>
        <v>GOR-16</v>
      </c>
      <c r="B17" s="17" t="str">
        <f aca="false">IF($A17="","",物件マスタ!B17)</f>
        <v>GOR</v>
      </c>
      <c r="C17" s="17" t="str">
        <f aca="false">IF($A17="","",IFERROR(INDEX(法人マスタ!$C:$C,MATCH($B17,法人マスタ!$A:$A,0)),""))</f>
        <v>グローバル・ワン不動産投資法人</v>
      </c>
      <c r="D17" s="17" t="str">
        <f aca="false">IF($A17="","",物件マスタ!C17)</f>
        <v>THE PEAK SAPPORO</v>
      </c>
      <c r="E17" s="17" t="str">
        <f aca="false">IF($A17="","",物件マスタ!H17)</f>
        <v>3大都市圏以外の政令市</v>
      </c>
      <c r="F17" s="48" t="n">
        <f aca="false">IF($A17="","",物件マスタ!P17)</f>
        <v>44348</v>
      </c>
      <c r="G17" s="34" t="n">
        <f aca="false">IF($A17="","",物件マスタ!Q17)</f>
        <v>5.2</v>
      </c>
      <c r="H17" s="49" t="n">
        <f aca="false">IF($A17="","",物件マスタ!L17)</f>
        <v>12823.15</v>
      </c>
      <c r="I17" s="49" t="n">
        <f aca="false">IF($A17="","",物件マスタ!M17)</f>
        <v>10440.1</v>
      </c>
      <c r="J17" s="43" t="n">
        <f aca="false">IF($A17="","",物件マスタ!S17)</f>
        <v>17000</v>
      </c>
      <c r="K17" s="43" t="n">
        <f aca="false">IF($A17="","",物件マスタ!U17)</f>
        <v>17100</v>
      </c>
      <c r="L17" s="50" t="n">
        <f aca="false">IF($A17="","",物件マスタ!W17)</f>
        <v>1</v>
      </c>
      <c r="M17" s="17" t="str">
        <f aca="false">IF($A17="","",IFERROR(INDEX(法人マスタ!$H:$H,MATCH($B17,法人マスタ!$A:$A,0)),""))</f>
        <v>2026年3月期（第45期）</v>
      </c>
      <c r="N17" s="51" t="n">
        <f aca="false">IF($A17="","",SUMIFS(物件収支!$D:$D,物件収支!$A:$A,$A17,物件収支!$C:$C,$M17))</f>
        <v>6</v>
      </c>
      <c r="O17" s="43" t="n">
        <f aca="false">IF($A17="","",SUMIFS(物件収支!$F:$F,物件収支!$A:$A,$A17,物件収支!$C:$C,$M17))</f>
        <v>380000</v>
      </c>
      <c r="P17" s="43" t="n">
        <f aca="false">IF($A17="","",SUMIFS(物件収支!$I:$I,物件収支!$A:$A,$A17,物件収支!$C:$C,$M17))</f>
        <v>0</v>
      </c>
      <c r="Q17" s="43" t="n">
        <f aca="false">IF($A17="","",SUMIFS(物件収支!$O:$O,物件収支!$A:$A,$A17,物件収支!$C:$C,$M17))</f>
        <v>0</v>
      </c>
      <c r="R17" s="43" t="str">
        <f aca="false">IF($A17="","",IF(P17=0,"",O17-P17))</f>
        <v/>
      </c>
      <c r="S17" s="43" t="str">
        <f aca="false">IF($A17="","",IF(R17="","",R17+Q17))</f>
        <v/>
      </c>
      <c r="T17" s="43" t="str">
        <f aca="false">IF($A17="","",IF(OR(S17="",N17&lt;=0),"",S17/1000*12/N17))</f>
        <v/>
      </c>
      <c r="U17" s="52" t="str">
        <f aca="false">IF($A17="","",IF(OR(T17="",J17=0,J17=""),"",T17/J17))</f>
        <v/>
      </c>
      <c r="V17" s="52" t="str">
        <f aca="false">IF($A17="","",IF(OR(R17="",N17&lt;=0,J17=0,J17=""),"",(R17/1000*12/N17)/J17))</f>
        <v/>
      </c>
      <c r="W17" s="52" t="str">
        <f aca="false">IF($A17="","",IF(OR(T17="",K17=0,K17=""),"",T17/K17))</f>
        <v/>
      </c>
      <c r="X17" s="43" t="n">
        <f aca="false">IF($A17="","",IF(OR(N17&lt;=0,I17=0,I17="",O17=0),"",O17*1000/(I17*0.3025)/N17))</f>
        <v>20054.0599404769</v>
      </c>
      <c r="Y17" s="50" t="str">
        <f aca="false">IF($A17="","",IF(OR(O17=0,O17="",P17=0),"",P17/O17))</f>
        <v/>
      </c>
      <c r="Z17" s="17" t="str">
        <f aca="false">IF($A17="","",IFERROR(INDEX(物件収支!$E:$E,MATCH($A17,物件収支!$A:$A,0)),""))</f>
        <v>一部開示（収益のみ）</v>
      </c>
    </row>
    <row r="18" customFormat="false" ht="15" hidden="false" customHeight="true" outlineLevel="0" collapsed="false">
      <c r="A18" s="17" t="str">
        <f aca="false">IF(物件マスタ!A18="","",物件マスタ!A18)</f>
        <v>GOR-17</v>
      </c>
      <c r="B18" s="17" t="str">
        <f aca="false">IF($A18="","",物件マスタ!B18)</f>
        <v>GOR</v>
      </c>
      <c r="C18" s="17" t="str">
        <f aca="false">IF($A18="","",IFERROR(INDEX(法人マスタ!$C:$C,MATCH($B18,法人マスタ!$A:$A,0)),""))</f>
        <v>グローバル・ワン不動産投資法人</v>
      </c>
      <c r="D18" s="17" t="str">
        <f aca="false">IF($A18="","",物件マスタ!C18)</f>
        <v>アルカセントラル</v>
      </c>
      <c r="E18" s="17" t="str">
        <f aca="false">IF($A18="","",物件マスタ!H18)</f>
        <v>その他東京23区</v>
      </c>
      <c r="F18" s="48" t="n">
        <f aca="false">IF($A18="","",物件マスタ!P18)</f>
        <v>0</v>
      </c>
      <c r="G18" s="34" t="str">
        <f aca="false">IF($A18="","",物件マスタ!Q18)</f>
        <v/>
      </c>
      <c r="H18" s="49" t="n">
        <f aca="false">IF($A18="","",物件マスタ!L18)</f>
        <v>49753.92</v>
      </c>
      <c r="I18" s="49" t="n">
        <f aca="false">IF($A18="","",物件マスタ!M18)</f>
        <v>0</v>
      </c>
      <c r="J18" s="43" t="n">
        <f aca="false">IF($A18="","",物件マスタ!S18)</f>
        <v>0</v>
      </c>
      <c r="K18" s="43" t="n">
        <f aca="false">IF($A18="","",物件マスタ!U18)</f>
        <v>0</v>
      </c>
      <c r="L18" s="50" t="n">
        <f aca="false">IF($A18="","",物件マスタ!W18)</f>
        <v>0</v>
      </c>
      <c r="M18" s="17" t="str">
        <f aca="false">IF($A18="","",IFERROR(INDEX(法人マスタ!$H:$H,MATCH($B18,法人マスタ!$A:$A,0)),""))</f>
        <v>2026年3月期（第45期）</v>
      </c>
      <c r="N18" s="51" t="n">
        <f aca="false">IF($A18="","",SUMIFS(物件収支!$D:$D,物件収支!$A:$A,$A18,物件収支!$C:$C,$M18))</f>
        <v>6</v>
      </c>
      <c r="O18" s="43" t="n">
        <f aca="false">IF($A18="","",SUMIFS(物件収支!$F:$F,物件収支!$A:$A,$A18,物件収支!$C:$C,$M18))</f>
        <v>10000</v>
      </c>
      <c r="P18" s="43" t="n">
        <f aca="false">IF($A18="","",SUMIFS(物件収支!$I:$I,物件収支!$A:$A,$A18,物件収支!$C:$C,$M18))</f>
        <v>0</v>
      </c>
      <c r="Q18" s="43" t="n">
        <f aca="false">IF($A18="","",SUMIFS(物件収支!$O:$O,物件収支!$A:$A,$A18,物件収支!$C:$C,$M18))</f>
        <v>0</v>
      </c>
      <c r="R18" s="43" t="str">
        <f aca="false">IF($A18="","",IF(P18=0,"",O18-P18))</f>
        <v/>
      </c>
      <c r="S18" s="43" t="str">
        <f aca="false">IF($A18="","",IF(R18="","",R18+Q18))</f>
        <v/>
      </c>
      <c r="T18" s="43" t="str">
        <f aca="false">IF($A18="","",IF(OR(S18="",N18&lt;=0),"",S18/1000*12/N18))</f>
        <v/>
      </c>
      <c r="U18" s="52" t="str">
        <f aca="false">IF($A18="","",IF(OR(T18="",J18=0,J18=""),"",T18/J18))</f>
        <v/>
      </c>
      <c r="V18" s="52" t="str">
        <f aca="false">IF($A18="","",IF(OR(R18="",N18&lt;=0,J18=0,J18=""),"",(R18/1000*12/N18)/J18))</f>
        <v/>
      </c>
      <c r="W18" s="52" t="str">
        <f aca="false">IF($A18="","",IF(OR(T18="",K18=0,K18=""),"",T18/K18))</f>
        <v/>
      </c>
      <c r="X18" s="43" t="str">
        <f aca="false">IF($A18="","",IF(OR(N18&lt;=0,I18=0,I18="",O18=0),"",O18*1000/(I18*0.3025)/N18))</f>
        <v/>
      </c>
      <c r="Y18" s="50" t="str">
        <f aca="false">IF($A18="","",IF(OR(O18=0,O18="",P18=0),"",P18/O18))</f>
        <v/>
      </c>
      <c r="Z18" s="17" t="str">
        <f aca="false">IF($A18="","",IFERROR(INDEX(物件収支!$E:$E,MATCH($A18,物件収支!$A:$A,0)),""))</f>
        <v>一部開示（収益のみ）</v>
      </c>
    </row>
    <row r="19" customFormat="false" ht="15" hidden="false" customHeight="true" outlineLevel="0" collapsed="false">
      <c r="A19" s="17" t="str">
        <f aca="false">IF(物件マスタ!A19="","",物件マスタ!A19)</f>
        <v>GOR-18</v>
      </c>
      <c r="B19" s="17" t="str">
        <f aca="false">IF($A19="","",物件マスタ!B19)</f>
        <v>GOR</v>
      </c>
      <c r="C19" s="17" t="str">
        <f aca="false">IF($A19="","",IFERROR(INDEX(法人マスタ!$C:$C,MATCH($B19,法人マスタ!$A:$A,0)),""))</f>
        <v>グローバル・ワン不動産投資法人</v>
      </c>
      <c r="D19" s="17" t="str">
        <f aca="false">IF($A19="","",物件マスタ!C19)</f>
        <v>ICON PLACE SHIBAKOEN</v>
      </c>
      <c r="E19" s="17" t="str">
        <f aca="false">IF($A19="","",物件マスタ!H19)</f>
        <v>都心5区</v>
      </c>
      <c r="F19" s="48" t="n">
        <f aca="false">IF($A19="","",物件マスタ!P19)</f>
        <v>33086</v>
      </c>
      <c r="G19" s="34" t="n">
        <f aca="false">IF($A19="","",物件マスタ!Q19)</f>
        <v>36</v>
      </c>
      <c r="H19" s="49" t="n">
        <f aca="false">IF($A19="","",物件マスタ!L19)</f>
        <v>11661.69</v>
      </c>
      <c r="I19" s="49" t="n">
        <f aca="false">IF($A19="","",物件マスタ!M19)</f>
        <v>7253.87</v>
      </c>
      <c r="J19" s="43" t="n">
        <f aca="false">IF($A19="","",物件マスタ!S19)</f>
        <v>9200</v>
      </c>
      <c r="K19" s="43" t="n">
        <f aca="false">IF($A19="","",物件マスタ!U19)</f>
        <v>0</v>
      </c>
      <c r="L19" s="50" t="n">
        <f aca="false">IF($A19="","",物件マスタ!W19)</f>
        <v>0</v>
      </c>
      <c r="M19" s="17" t="str">
        <f aca="false">IF($A19="","",IFERROR(INDEX(法人マスタ!$H:$H,MATCH($B19,法人マスタ!$A:$A,0)),""))</f>
        <v>2026年3月期（第45期）</v>
      </c>
      <c r="N19" s="51" t="n">
        <f aca="false">IF($A19="","",SUMIFS(物件収支!$D:$D,物件収支!$A:$A,$A19,物件収支!$C:$C,$M19))</f>
        <v>6</v>
      </c>
      <c r="O19" s="43" t="n">
        <f aca="false">IF($A19="","",SUMIFS(物件収支!$F:$F,物件収支!$A:$A,$A19,物件収支!$C:$C,$M19))</f>
        <v>0</v>
      </c>
      <c r="P19" s="43" t="n">
        <f aca="false">IF($A19="","",SUMIFS(物件収支!$I:$I,物件収支!$A:$A,$A19,物件収支!$C:$C,$M19))</f>
        <v>0</v>
      </c>
      <c r="Q19" s="43" t="n">
        <f aca="false">IF($A19="","",SUMIFS(物件収支!$O:$O,物件収支!$A:$A,$A19,物件収支!$C:$C,$M19))</f>
        <v>0</v>
      </c>
      <c r="R19" s="43" t="str">
        <f aca="false">IF($A19="","",IF(P19=0,"",O19-P19))</f>
        <v/>
      </c>
      <c r="S19" s="43" t="str">
        <f aca="false">IF($A19="","",IF(R19="","",R19+Q19))</f>
        <v/>
      </c>
      <c r="T19" s="43" t="str">
        <f aca="false">IF($A19="","",IF(OR(S19="",N19&lt;=0),"",S19/1000*12/N19))</f>
        <v/>
      </c>
      <c r="U19" s="52" t="str">
        <f aca="false">IF($A19="","",IF(OR(T19="",J19=0,J19=""),"",T19/J19))</f>
        <v/>
      </c>
      <c r="V19" s="52" t="str">
        <f aca="false">IF($A19="","",IF(OR(R19="",N19&lt;=0,J19=0,J19=""),"",(R19/1000*12/N19)/J19))</f>
        <v/>
      </c>
      <c r="W19" s="52" t="str">
        <f aca="false">IF($A19="","",IF(OR(T19="",K19=0,K19=""),"",T19/K19))</f>
        <v/>
      </c>
      <c r="X19" s="43" t="str">
        <f aca="false">IF($A19="","",IF(OR(N19&lt;=0,I19=0,I19="",O19=0),"",O19*1000/(I19*0.3025)/N19))</f>
        <v/>
      </c>
      <c r="Y19" s="50" t="str">
        <f aca="false">IF($A19="","",IF(OR(O19=0,O19="",P19=0),"",P19/O19))</f>
        <v/>
      </c>
      <c r="Z19" s="17" t="str">
        <f aca="false">IF($A19="","",IFERROR(INDEX(物件収支!$E:$E,MATCH($A19,物件収支!$A:$A,0)),""))</f>
        <v>対象外（期後取得・当期収支なし）</v>
      </c>
    </row>
    <row r="20" customFormat="false" ht="15" hidden="false" customHeight="true" outlineLevel="0" collapsed="false">
      <c r="A20" s="17" t="str">
        <f aca="false">IF(物件マスタ!A20="","",物件マスタ!A20)</f>
        <v>GOR-ALL</v>
      </c>
      <c r="B20" s="17" t="str">
        <f aca="false">IF($A20="","",物件マスタ!B20)</f>
        <v>GOR</v>
      </c>
      <c r="C20" s="17" t="str">
        <f aca="false">IF($A20="","",IFERROR(INDEX(法人マスタ!$C:$C,MATCH($B20,法人マスタ!$A:$A,0)),""))</f>
        <v>グローバル・ワン不動産投資法人</v>
      </c>
      <c r="D20" s="17" t="str">
        <f aca="false">IF($A20="","",物件マスタ!C20)</f>
        <v>【GORポートフォリオ全体】</v>
      </c>
      <c r="E20" s="17" t="str">
        <f aca="false">IF($A20="","",物件マスタ!H20)</f>
        <v>─</v>
      </c>
      <c r="F20" s="48" t="n">
        <f aca="false">IF($A20="","",物件マスタ!P20)</f>
        <v>0</v>
      </c>
      <c r="G20" s="34" t="str">
        <f aca="false">IF($A20="","",物件マスタ!Q20)</f>
        <v/>
      </c>
      <c r="H20" s="49" t="n">
        <f aca="false">IF($A20="","",物件マスタ!L20)</f>
        <v>0</v>
      </c>
      <c r="I20" s="49" t="n">
        <f aca="false">IF($A20="","",物件マスタ!M20)</f>
        <v>156236.87</v>
      </c>
      <c r="J20" s="43" t="n">
        <f aca="false">IF($A20="","",物件マスタ!S20)</f>
        <v>222146</v>
      </c>
      <c r="K20" s="43" t="n">
        <f aca="false">IF($A20="","",物件マスタ!U20)</f>
        <v>252605</v>
      </c>
      <c r="L20" s="50" t="n">
        <f aca="false">IF($A20="","",物件マスタ!W20)</f>
        <v>0.983</v>
      </c>
      <c r="M20" s="17" t="str">
        <f aca="false">IF($A20="","",IFERROR(INDEX(法人マスタ!$H:$H,MATCH($B20,法人マスタ!$A:$A,0)),""))</f>
        <v>2026年3月期（第45期）</v>
      </c>
      <c r="N20" s="51" t="n">
        <f aca="false">IF($A20="","",SUMIFS(物件収支!$D:$D,物件収支!$A:$A,$A20,物件収支!$C:$C,$M20))</f>
        <v>6</v>
      </c>
      <c r="O20" s="43" t="n">
        <f aca="false">IF($A20="","",SUMIFS(物件収支!$F:$F,物件収支!$A:$A,$A20,物件収支!$C:$C,$M20))</f>
        <v>5539262</v>
      </c>
      <c r="P20" s="43" t="n">
        <f aca="false">IF($A20="","",SUMIFS(物件収支!$I:$I,物件収支!$A:$A,$A20,物件収支!$C:$C,$M20))</f>
        <v>2268046</v>
      </c>
      <c r="Q20" s="43" t="n">
        <f aca="false">IF($A20="","",SUMIFS(物件収支!$O:$O,物件収支!$A:$A,$A20,物件収支!$C:$C,$M20))</f>
        <v>774962</v>
      </c>
      <c r="R20" s="43" t="n">
        <f aca="false">IF($A20="","",IF(P20=0,"",O20-P20))</f>
        <v>3271216</v>
      </c>
      <c r="S20" s="43" t="n">
        <f aca="false">IF($A20="","",IF(R20="","",R20+Q20))</f>
        <v>4046178</v>
      </c>
      <c r="T20" s="43" t="n">
        <f aca="false">IF($A20="","",IF(OR(S20="",N20&lt;=0),"",S20/1000*12/N20))</f>
        <v>8092.356</v>
      </c>
      <c r="U20" s="52" t="n">
        <f aca="false">IF($A20="","",IF(OR(T20="",J20=0,J20=""),"",T20/J20))</f>
        <v>0.0364280968372152</v>
      </c>
      <c r="V20" s="52" t="n">
        <f aca="false">IF($A20="","",IF(OR(R20="",N20&lt;=0,J20=0,J20=""),"",(R20/1000*12/N20)/J20))</f>
        <v>0.0294510457086781</v>
      </c>
      <c r="W20" s="52" t="n">
        <f aca="false">IF($A20="","",IF(OR(T20="",K20=0,K20=""),"",T20/K20))</f>
        <v>0.0320356129134419</v>
      </c>
      <c r="X20" s="43" t="n">
        <f aca="false">IF($A20="","",IF(OR(N20&lt;=0,I20=0,I20="",O20=0),"",O20*1000/(I20*0.3025)/N20))</f>
        <v>19534.0253950677</v>
      </c>
      <c r="Y20" s="50" t="n">
        <f aca="false">IF($A20="","",IF(OR(O20=0,O20="",P20=0),"",P20/O20))</f>
        <v>0.40944912878286</v>
      </c>
      <c r="Z20" s="17" t="str">
        <f aca="false">IF($A20="","",IFERROR(INDEX(物件収支!$E:$E,MATCH($A20,物件収支!$A:$A,0)),""))</f>
        <v>開示（法人一括）</v>
      </c>
    </row>
    <row r="21" customFormat="false" ht="15" hidden="false" customHeight="true" outlineLevel="0" collapsed="false">
      <c r="A21" s="17" t="str">
        <f aca="false">IF(物件マスタ!A21="","",物件マスタ!A21)</f>
        <v>JEI-01</v>
      </c>
      <c r="B21" s="17" t="str">
        <f aca="false">IF($A21="","",物件マスタ!B21)</f>
        <v>JEI</v>
      </c>
      <c r="C21" s="17" t="str">
        <f aca="false">IF($A21="","",IFERROR(INDEX(法人マスタ!$C:$C,MATCH($B21,法人マスタ!$A:$A,0)),""))</f>
        <v>ジャパンエクセレント投資法人</v>
      </c>
      <c r="D21" s="17" t="str">
        <f aca="false">IF($A21="","",物件マスタ!C21)</f>
        <v>大森ベルポートD館</v>
      </c>
      <c r="E21" s="17" t="str">
        <f aca="false">IF($A21="","",物件マスタ!H21)</f>
        <v>その他東京23区</v>
      </c>
      <c r="F21" s="48" t="n">
        <f aca="false">IF($A21="","",物件マスタ!P21)</f>
        <v>0</v>
      </c>
      <c r="G21" s="34" t="str">
        <f aca="false">IF($A21="","",物件マスタ!Q21)</f>
        <v/>
      </c>
      <c r="H21" s="49" t="n">
        <f aca="false">IF($A21="","",物件マスタ!L21)</f>
        <v>0</v>
      </c>
      <c r="I21" s="49" t="n">
        <f aca="false">IF($A21="","",物件マスタ!M21)</f>
        <v>25828.29</v>
      </c>
      <c r="J21" s="43" t="n">
        <f aca="false">IF($A21="","",物件マスタ!S21)</f>
        <v>22552</v>
      </c>
      <c r="K21" s="43" t="n">
        <f aca="false">IF($A21="","",物件マスタ!U21)</f>
        <v>25900</v>
      </c>
      <c r="L21" s="50" t="n">
        <f aca="false">IF($A21="","",物件マスタ!W21)</f>
        <v>1</v>
      </c>
      <c r="M21" s="17" t="str">
        <f aca="false">IF($A21="","",IFERROR(INDEX(法人マスタ!$H:$H,MATCH($B21,法人マスタ!$A:$A,0)),""))</f>
        <v>2025年12月期（第39期）</v>
      </c>
      <c r="N21" s="51" t="n">
        <f aca="false">IF($A21="","",SUMIFS(物件収支!$D:$D,物件収支!$A:$A,$A21,物件収支!$C:$C,$M21))</f>
        <v>6</v>
      </c>
      <c r="O21" s="43" t="n">
        <f aca="false">IF($A21="","",SUMIFS(物件収支!$F:$F,物件収支!$A:$A,$A21,物件収支!$C:$C,$M21))</f>
        <v>907446</v>
      </c>
      <c r="P21" s="43" t="n">
        <f aca="false">IF($A21="","",SUMIFS(物件収支!$I:$I,物件収支!$A:$A,$A21,物件収支!$C:$C,$M21))</f>
        <v>0</v>
      </c>
      <c r="Q21" s="43" t="n">
        <f aca="false">IF($A21="","",SUMIFS(物件収支!$O:$O,物件収支!$A:$A,$A21,物件収支!$C:$C,$M21))</f>
        <v>0</v>
      </c>
      <c r="R21" s="43" t="str">
        <f aca="false">IF($A21="","",IF(P21=0,"",O21-P21))</f>
        <v/>
      </c>
      <c r="S21" s="43" t="str">
        <f aca="false">IF($A21="","",IF(R21="","",R21+Q21))</f>
        <v/>
      </c>
      <c r="T21" s="43" t="str">
        <f aca="false">IF($A21="","",IF(OR(S21="",N21&lt;=0),"",S21/1000*12/N21))</f>
        <v/>
      </c>
      <c r="U21" s="52" t="str">
        <f aca="false">IF($A21="","",IF(OR(T21="",J21=0,J21=""),"",T21/J21))</f>
        <v/>
      </c>
      <c r="V21" s="52" t="str">
        <f aca="false">IF($A21="","",IF(OR(R21="",N21&lt;=0,J21=0,J21=""),"",(R21/1000*12/N21)/J21))</f>
        <v/>
      </c>
      <c r="W21" s="52" t="str">
        <f aca="false">IF($A21="","",IF(OR(T21="",K21=0,K21=""),"",T21/K21))</f>
        <v/>
      </c>
      <c r="X21" s="43" t="n">
        <f aca="false">IF($A21="","",IF(OR(N21&lt;=0,I21=0,I21="",O21=0),"",O21*1000/(I21*0.3025)/N21))</f>
        <v>19357.4660937245</v>
      </c>
      <c r="Y21" s="50" t="str">
        <f aca="false">IF($A21="","",IF(OR(O21=0,O21="",P21=0),"",P21/O21))</f>
        <v/>
      </c>
      <c r="Z21" s="17" t="str">
        <f aca="false">IF($A21="","",IFERROR(INDEX(物件収支!$E:$E,MATCH($A21,物件収支!$A:$A,0)),""))</f>
        <v>一部開示（収益のみ）</v>
      </c>
    </row>
    <row r="22" customFormat="false" ht="15" hidden="false" customHeight="true" outlineLevel="0" collapsed="false">
      <c r="A22" s="17" t="str">
        <f aca="false">IF(物件マスタ!A22="","",物件マスタ!A22)</f>
        <v>JEI-02</v>
      </c>
      <c r="B22" s="17" t="str">
        <f aca="false">IF($A22="","",物件マスタ!B22)</f>
        <v>JEI</v>
      </c>
      <c r="C22" s="17" t="str">
        <f aca="false">IF($A22="","",IFERROR(INDEX(法人マスタ!$C:$C,MATCH($B22,法人マスタ!$A:$A,0)),""))</f>
        <v>ジャパンエクセレント投資法人</v>
      </c>
      <c r="D22" s="17" t="str">
        <f aca="false">IF($A22="","",物件マスタ!C22)</f>
        <v>芝二丁目ビルディング</v>
      </c>
      <c r="E22" s="17" t="str">
        <f aca="false">IF($A22="","",物件マスタ!H22)</f>
        <v>都心5区</v>
      </c>
      <c r="F22" s="48" t="n">
        <f aca="false">IF($A22="","",物件マスタ!P22)</f>
        <v>0</v>
      </c>
      <c r="G22" s="34" t="str">
        <f aca="false">IF($A22="","",物件マスタ!Q22)</f>
        <v/>
      </c>
      <c r="H22" s="49" t="n">
        <f aca="false">IF($A22="","",物件マスタ!L22)</f>
        <v>0</v>
      </c>
      <c r="I22" s="49" t="n">
        <f aca="false">IF($A22="","",物件マスタ!M22)</f>
        <v>11749.3</v>
      </c>
      <c r="J22" s="43" t="n">
        <f aca="false">IF($A22="","",物件マスタ!S22)</f>
        <v>9450</v>
      </c>
      <c r="K22" s="43" t="n">
        <f aca="false">IF($A22="","",物件マスタ!U22)</f>
        <v>13800</v>
      </c>
      <c r="L22" s="50" t="n">
        <f aca="false">IF($A22="","",物件マスタ!W22)</f>
        <v>1</v>
      </c>
      <c r="M22" s="17" t="str">
        <f aca="false">IF($A22="","",IFERROR(INDEX(法人マスタ!$H:$H,MATCH($B22,法人マスタ!$A:$A,0)),""))</f>
        <v>2025年12月期（第39期）</v>
      </c>
      <c r="N22" s="51" t="n">
        <f aca="false">IF($A22="","",SUMIFS(物件収支!$D:$D,物件収支!$A:$A,$A22,物件収支!$C:$C,$M22))</f>
        <v>6</v>
      </c>
      <c r="O22" s="43" t="n">
        <f aca="false">IF($A22="","",SUMIFS(物件収支!$F:$F,物件収支!$A:$A,$A22,物件収支!$C:$C,$M22))</f>
        <v>381861</v>
      </c>
      <c r="P22" s="43" t="n">
        <f aca="false">IF($A22="","",SUMIFS(物件収支!$I:$I,物件収支!$A:$A,$A22,物件収支!$C:$C,$M22))</f>
        <v>0</v>
      </c>
      <c r="Q22" s="43" t="n">
        <f aca="false">IF($A22="","",SUMIFS(物件収支!$O:$O,物件収支!$A:$A,$A22,物件収支!$C:$C,$M22))</f>
        <v>0</v>
      </c>
      <c r="R22" s="43" t="str">
        <f aca="false">IF($A22="","",IF(P22=0,"",O22-P22))</f>
        <v/>
      </c>
      <c r="S22" s="43" t="str">
        <f aca="false">IF($A22="","",IF(R22="","",R22+Q22))</f>
        <v/>
      </c>
      <c r="T22" s="43" t="str">
        <f aca="false">IF($A22="","",IF(OR(S22="",N22&lt;=0),"",S22/1000*12/N22))</f>
        <v/>
      </c>
      <c r="U22" s="52" t="str">
        <f aca="false">IF($A22="","",IF(OR(T22="",J22=0,J22=""),"",T22/J22))</f>
        <v/>
      </c>
      <c r="V22" s="52" t="str">
        <f aca="false">IF($A22="","",IF(OR(R22="",N22&lt;=0,J22=0,J22=""),"",(R22/1000*12/N22)/J22))</f>
        <v/>
      </c>
      <c r="W22" s="52" t="str">
        <f aca="false">IF($A22="","",IF(OR(T22="",K22=0,K22=""),"",T22/K22))</f>
        <v/>
      </c>
      <c r="X22" s="43" t="n">
        <f aca="false">IF($A22="","",IF(OR(N22&lt;=0,I22=0,I22="",O22=0),"",O22*1000/(I22*0.3025)/N22))</f>
        <v>17906.7464050786</v>
      </c>
      <c r="Y22" s="50" t="str">
        <f aca="false">IF($A22="","",IF(OR(O22=0,O22="",P22=0),"",P22/O22))</f>
        <v/>
      </c>
      <c r="Z22" s="17" t="str">
        <f aca="false">IF($A22="","",IFERROR(INDEX(物件収支!$E:$E,MATCH($A22,物件収支!$A:$A,0)),""))</f>
        <v>一部開示（収益のみ）</v>
      </c>
    </row>
    <row r="23" customFormat="false" ht="15" hidden="false" customHeight="true" outlineLevel="0" collapsed="false">
      <c r="A23" s="17" t="str">
        <f aca="false">IF(物件マスタ!A23="","",物件マスタ!A23)</f>
        <v>JEI-03</v>
      </c>
      <c r="B23" s="17" t="str">
        <f aca="false">IF($A23="","",物件マスタ!B23)</f>
        <v>JEI</v>
      </c>
      <c r="C23" s="17" t="str">
        <f aca="false">IF($A23="","",IFERROR(INDEX(法人マスタ!$C:$C,MATCH($B23,法人マスタ!$A:$A,0)),""))</f>
        <v>ジャパンエクセレント投資法人</v>
      </c>
      <c r="D23" s="17" t="str">
        <f aca="false">IF($A23="","",物件マスタ!C23)</f>
        <v>JEI浜松町ビル</v>
      </c>
      <c r="E23" s="17" t="str">
        <f aca="false">IF($A23="","",物件マスタ!H23)</f>
        <v>都心5区</v>
      </c>
      <c r="F23" s="48" t="n">
        <f aca="false">IF($A23="","",物件マスタ!P23)</f>
        <v>0</v>
      </c>
      <c r="G23" s="34" t="str">
        <f aca="false">IF($A23="","",物件マスタ!Q23)</f>
        <v/>
      </c>
      <c r="H23" s="49" t="n">
        <f aca="false">IF($A23="","",物件マスタ!L23)</f>
        <v>0</v>
      </c>
      <c r="I23" s="49" t="n">
        <f aca="false">IF($A23="","",物件マスタ!M23)</f>
        <v>3526.21</v>
      </c>
      <c r="J23" s="43" t="n">
        <f aca="false">IF($A23="","",物件マスタ!S23)</f>
        <v>4592</v>
      </c>
      <c r="K23" s="43" t="n">
        <f aca="false">IF($A23="","",物件マスタ!U23)</f>
        <v>4818</v>
      </c>
      <c r="L23" s="50" t="n">
        <f aca="false">IF($A23="","",物件マスタ!W23)</f>
        <v>1</v>
      </c>
      <c r="M23" s="17" t="str">
        <f aca="false">IF($A23="","",IFERROR(INDEX(法人マスタ!$H:$H,MATCH($B23,法人マスタ!$A:$A,0)),""))</f>
        <v>2025年12月期（第39期）</v>
      </c>
      <c r="N23" s="51" t="n">
        <f aca="false">IF($A23="","",SUMIFS(物件収支!$D:$D,物件収支!$A:$A,$A23,物件収支!$C:$C,$M23))</f>
        <v>6</v>
      </c>
      <c r="O23" s="43" t="n">
        <f aca="false">IF($A23="","",SUMIFS(物件収支!$F:$F,物件収支!$A:$A,$A23,物件収支!$C:$C,$M23))</f>
        <v>220394</v>
      </c>
      <c r="P23" s="43" t="n">
        <f aca="false">IF($A23="","",SUMIFS(物件収支!$I:$I,物件収支!$A:$A,$A23,物件収支!$C:$C,$M23))</f>
        <v>0</v>
      </c>
      <c r="Q23" s="43" t="n">
        <f aca="false">IF($A23="","",SUMIFS(物件収支!$O:$O,物件収支!$A:$A,$A23,物件収支!$C:$C,$M23))</f>
        <v>0</v>
      </c>
      <c r="R23" s="43" t="str">
        <f aca="false">IF($A23="","",IF(P23=0,"",O23-P23))</f>
        <v/>
      </c>
      <c r="S23" s="43" t="str">
        <f aca="false">IF($A23="","",IF(R23="","",R23+Q23))</f>
        <v/>
      </c>
      <c r="T23" s="43" t="str">
        <f aca="false">IF($A23="","",IF(OR(S23="",N23&lt;=0),"",S23/1000*12/N23))</f>
        <v/>
      </c>
      <c r="U23" s="52" t="str">
        <f aca="false">IF($A23="","",IF(OR(T23="",J23=0,J23=""),"",T23/J23))</f>
        <v/>
      </c>
      <c r="V23" s="52" t="str">
        <f aca="false">IF($A23="","",IF(OR(R23="",N23&lt;=0,J23=0,J23=""),"",(R23/1000*12/N23)/J23))</f>
        <v/>
      </c>
      <c r="W23" s="52" t="str">
        <f aca="false">IF($A23="","",IF(OR(T23="",K23=0,K23=""),"",T23/K23))</f>
        <v/>
      </c>
      <c r="X23" s="43" t="n">
        <f aca="false">IF($A23="","",IF(OR(N23&lt;=0,I23=0,I23="",O23=0),"",O23*1000/(I23*0.3025)/N23))</f>
        <v>34436.1796665339</v>
      </c>
      <c r="Y23" s="50" t="str">
        <f aca="false">IF($A23="","",IF(OR(O23=0,O23="",P23=0),"",P23/O23))</f>
        <v/>
      </c>
      <c r="Z23" s="17" t="str">
        <f aca="false">IF($A23="","",IFERROR(INDEX(物件収支!$E:$E,MATCH($A23,物件収支!$A:$A,0)),""))</f>
        <v>一部開示（収益のみ）</v>
      </c>
    </row>
    <row r="24" customFormat="false" ht="15" hidden="false" customHeight="true" outlineLevel="0" collapsed="false">
      <c r="A24" s="17" t="str">
        <f aca="false">IF(物件マスタ!A24="","",物件マスタ!A24)</f>
        <v>JEI-04</v>
      </c>
      <c r="B24" s="17" t="str">
        <f aca="false">IF($A24="","",物件マスタ!B24)</f>
        <v>JEI</v>
      </c>
      <c r="C24" s="17" t="str">
        <f aca="false">IF($A24="","",IFERROR(INDEX(法人マスタ!$C:$C,MATCH($B24,法人マスタ!$A:$A,0)),""))</f>
        <v>ジャパンエクセレント投資法人</v>
      </c>
      <c r="D24" s="17" t="str">
        <f aca="false">IF($A24="","",物件マスタ!C24)</f>
        <v>赤坂インターシティ</v>
      </c>
      <c r="E24" s="17" t="str">
        <f aca="false">IF($A24="","",物件マスタ!H24)</f>
        <v>都心5区</v>
      </c>
      <c r="F24" s="48" t="n">
        <f aca="false">IF($A24="","",物件マスタ!P24)</f>
        <v>0</v>
      </c>
      <c r="G24" s="34" t="str">
        <f aca="false">IF($A24="","",物件マスタ!Q24)</f>
        <v/>
      </c>
      <c r="H24" s="49" t="n">
        <f aca="false">IF($A24="","",物件マスタ!L24)</f>
        <v>0</v>
      </c>
      <c r="I24" s="49" t="n">
        <f aca="false">IF($A24="","",物件マスタ!M24)</f>
        <v>11021.03</v>
      </c>
      <c r="J24" s="43" t="n">
        <f aca="false">IF($A24="","",物件マスタ!S24)</f>
        <v>28146</v>
      </c>
      <c r="K24" s="43" t="n">
        <f aca="false">IF($A24="","",物件マスタ!U24)</f>
        <v>30700</v>
      </c>
      <c r="L24" s="50" t="n">
        <f aca="false">IF($A24="","",物件マスタ!W24)</f>
        <v>1</v>
      </c>
      <c r="M24" s="17" t="str">
        <f aca="false">IF($A24="","",IFERROR(INDEX(法人マスタ!$H:$H,MATCH($B24,法人マスタ!$A:$A,0)),""))</f>
        <v>2025年12月期（第39期）</v>
      </c>
      <c r="N24" s="51" t="n">
        <f aca="false">IF($A24="","",SUMIFS(物件収支!$D:$D,物件収支!$A:$A,$A24,物件収支!$C:$C,$M24))</f>
        <v>6</v>
      </c>
      <c r="O24" s="43" t="n">
        <f aca="false">IF($A24="","",SUMIFS(物件収支!$F:$F,物件収支!$A:$A,$A24,物件収支!$C:$C,$M24))</f>
        <v>626694</v>
      </c>
      <c r="P24" s="43" t="n">
        <f aca="false">IF($A24="","",SUMIFS(物件収支!$I:$I,物件収支!$A:$A,$A24,物件収支!$C:$C,$M24))</f>
        <v>0</v>
      </c>
      <c r="Q24" s="43" t="n">
        <f aca="false">IF($A24="","",SUMIFS(物件収支!$O:$O,物件収支!$A:$A,$A24,物件収支!$C:$C,$M24))</f>
        <v>0</v>
      </c>
      <c r="R24" s="43" t="str">
        <f aca="false">IF($A24="","",IF(P24=0,"",O24-P24))</f>
        <v/>
      </c>
      <c r="S24" s="43" t="str">
        <f aca="false">IF($A24="","",IF(R24="","",R24+Q24))</f>
        <v/>
      </c>
      <c r="T24" s="43" t="str">
        <f aca="false">IF($A24="","",IF(OR(S24="",N24&lt;=0),"",S24/1000*12/N24))</f>
        <v/>
      </c>
      <c r="U24" s="52" t="str">
        <f aca="false">IF($A24="","",IF(OR(T24="",J24=0,J24=""),"",T24/J24))</f>
        <v/>
      </c>
      <c r="V24" s="52" t="str">
        <f aca="false">IF($A24="","",IF(OR(R24="",N24&lt;=0,J24=0,J24=""),"",(R24/1000*12/N24)/J24))</f>
        <v/>
      </c>
      <c r="W24" s="52" t="str">
        <f aca="false">IF($A24="","",IF(OR(T24="",K24=0,K24=""),"",T24/K24))</f>
        <v/>
      </c>
      <c r="X24" s="43" t="n">
        <f aca="false">IF($A24="","",IF(OR(N24&lt;=0,I24=0,I24="",O24=0),"",O24*1000/(I24*0.3025)/N24))</f>
        <v>31329.7350985546</v>
      </c>
      <c r="Y24" s="50" t="str">
        <f aca="false">IF($A24="","",IF(OR(O24=0,O24="",P24=0),"",P24/O24))</f>
        <v/>
      </c>
      <c r="Z24" s="17" t="str">
        <f aca="false">IF($A24="","",IFERROR(INDEX(物件収支!$E:$E,MATCH($A24,物件収支!$A:$A,0)),""))</f>
        <v>一部開示（収益のみ）</v>
      </c>
    </row>
    <row r="25" customFormat="false" ht="15" hidden="false" customHeight="true" outlineLevel="0" collapsed="false">
      <c r="A25" s="17" t="str">
        <f aca="false">IF(物件マスタ!A25="","",物件マスタ!A25)</f>
        <v>JEI-05</v>
      </c>
      <c r="B25" s="17" t="str">
        <f aca="false">IF($A25="","",物件マスタ!B25)</f>
        <v>JEI</v>
      </c>
      <c r="C25" s="17" t="str">
        <f aca="false">IF($A25="","",IFERROR(INDEX(法人マスタ!$C:$C,MATCH($B25,法人マスタ!$A:$A,0)),""))</f>
        <v>ジャパンエクセレント投資法人</v>
      </c>
      <c r="D25" s="17" t="str">
        <f aca="false">IF($A25="","",物件マスタ!C25)</f>
        <v>台場ガーデンシティビル</v>
      </c>
      <c r="E25" s="17" t="str">
        <f aca="false">IF($A25="","",物件マスタ!H25)</f>
        <v>都心5区</v>
      </c>
      <c r="F25" s="48" t="n">
        <f aca="false">IF($A25="","",物件マスタ!P25)</f>
        <v>0</v>
      </c>
      <c r="G25" s="34" t="str">
        <f aca="false">IF($A25="","",物件マスタ!Q25)</f>
        <v/>
      </c>
      <c r="H25" s="49" t="n">
        <f aca="false">IF($A25="","",物件マスタ!L25)</f>
        <v>0</v>
      </c>
      <c r="I25" s="49" t="n">
        <f aca="false">IF($A25="","",物件マスタ!M25)</f>
        <v>12122.85</v>
      </c>
      <c r="J25" s="43" t="n">
        <f aca="false">IF($A25="","",物件マスタ!S25)</f>
        <v>11000</v>
      </c>
      <c r="K25" s="43" t="n">
        <f aca="false">IF($A25="","",物件マスタ!U25)</f>
        <v>8380</v>
      </c>
      <c r="L25" s="50" t="n">
        <f aca="false">IF($A25="","",物件マスタ!W25)</f>
        <v>0.91</v>
      </c>
      <c r="M25" s="17" t="str">
        <f aca="false">IF($A25="","",IFERROR(INDEX(法人マスタ!$H:$H,MATCH($B25,法人マスタ!$A:$A,0)),""))</f>
        <v>2025年12月期（第39期）</v>
      </c>
      <c r="N25" s="51" t="n">
        <f aca="false">IF($A25="","",SUMIFS(物件収支!$D:$D,物件収支!$A:$A,$A25,物件収支!$C:$C,$M25))</f>
        <v>6</v>
      </c>
      <c r="O25" s="43" t="n">
        <f aca="false">IF($A25="","",SUMIFS(物件収支!$F:$F,物件収支!$A:$A,$A25,物件収支!$C:$C,$M25))</f>
        <v>419943</v>
      </c>
      <c r="P25" s="43" t="n">
        <f aca="false">IF($A25="","",SUMIFS(物件収支!$I:$I,物件収支!$A:$A,$A25,物件収支!$C:$C,$M25))</f>
        <v>0</v>
      </c>
      <c r="Q25" s="43" t="n">
        <f aca="false">IF($A25="","",SUMIFS(物件収支!$O:$O,物件収支!$A:$A,$A25,物件収支!$C:$C,$M25))</f>
        <v>0</v>
      </c>
      <c r="R25" s="43" t="str">
        <f aca="false">IF($A25="","",IF(P25=0,"",O25-P25))</f>
        <v/>
      </c>
      <c r="S25" s="43" t="str">
        <f aca="false">IF($A25="","",IF(R25="","",R25+Q25))</f>
        <v/>
      </c>
      <c r="T25" s="43" t="str">
        <f aca="false">IF($A25="","",IF(OR(S25="",N25&lt;=0),"",S25/1000*12/N25))</f>
        <v/>
      </c>
      <c r="U25" s="52" t="str">
        <f aca="false">IF($A25="","",IF(OR(T25="",J25=0,J25=""),"",T25/J25))</f>
        <v/>
      </c>
      <c r="V25" s="52" t="str">
        <f aca="false">IF($A25="","",IF(OR(R25="",N25&lt;=0,J25=0,J25=""),"",(R25/1000*12/N25)/J25))</f>
        <v/>
      </c>
      <c r="W25" s="52" t="str">
        <f aca="false">IF($A25="","",IF(OR(T25="",K25=0,K25=""),"",T25/K25))</f>
        <v/>
      </c>
      <c r="X25" s="43" t="n">
        <f aca="false">IF($A25="","",IF(OR(N25&lt;=0,I25=0,I25="",O25=0),"",O25*1000/(I25*0.3025)/N25))</f>
        <v>19085.7392213059</v>
      </c>
      <c r="Y25" s="50" t="str">
        <f aca="false">IF($A25="","",IF(OR(O25=0,O25="",P25=0),"",P25/O25))</f>
        <v/>
      </c>
      <c r="Z25" s="17" t="str">
        <f aca="false">IF($A25="","",IFERROR(INDEX(物件収支!$E:$E,MATCH($A25,物件収支!$A:$A,0)),""))</f>
        <v>一部開示（収益のみ）</v>
      </c>
    </row>
    <row r="26" customFormat="false" ht="15" hidden="false" customHeight="true" outlineLevel="0" collapsed="false">
      <c r="A26" s="17" t="str">
        <f aca="false">IF(物件マスタ!A26="","",物件マスタ!A26)</f>
        <v>JEI-06</v>
      </c>
      <c r="B26" s="17" t="str">
        <f aca="false">IF($A26="","",物件マスタ!B26)</f>
        <v>JEI</v>
      </c>
      <c r="C26" s="17" t="str">
        <f aca="false">IF($A26="","",IFERROR(INDEX(法人マスタ!$C:$C,MATCH($B26,法人マスタ!$A:$A,0)),""))</f>
        <v>ジャパンエクセレント投資法人</v>
      </c>
      <c r="D26" s="17" t="str">
        <f aca="false">IF($A26="","",物件マスタ!C26)</f>
        <v>浜離宮インターシティ</v>
      </c>
      <c r="E26" s="17" t="str">
        <f aca="false">IF($A26="","",物件マスタ!H26)</f>
        <v>都心5区</v>
      </c>
      <c r="F26" s="48" t="n">
        <f aca="false">IF($A26="","",物件マスタ!P26)</f>
        <v>0</v>
      </c>
      <c r="G26" s="34" t="str">
        <f aca="false">IF($A26="","",物件マスタ!Q26)</f>
        <v/>
      </c>
      <c r="H26" s="49" t="n">
        <f aca="false">IF($A26="","",物件マスタ!L26)</f>
        <v>0</v>
      </c>
      <c r="I26" s="49" t="n">
        <f aca="false">IF($A26="","",物件マスタ!M26)</f>
        <v>19718.11</v>
      </c>
      <c r="J26" s="43" t="n">
        <f aca="false">IF($A26="","",物件マスタ!S26)</f>
        <v>19080</v>
      </c>
      <c r="K26" s="43" t="n">
        <f aca="false">IF($A26="","",物件マスタ!U26)</f>
        <v>29500</v>
      </c>
      <c r="L26" s="50" t="n">
        <f aca="false">IF($A26="","",物件マスタ!W26)</f>
        <v>0.971</v>
      </c>
      <c r="M26" s="17" t="str">
        <f aca="false">IF($A26="","",IFERROR(INDEX(法人マスタ!$H:$H,MATCH($B26,法人マスタ!$A:$A,0)),""))</f>
        <v>2025年12月期（第39期）</v>
      </c>
      <c r="N26" s="51" t="n">
        <f aca="false">IF($A26="","",SUMIFS(物件収支!$D:$D,物件収支!$A:$A,$A26,物件収支!$C:$C,$M26))</f>
        <v>6</v>
      </c>
      <c r="O26" s="43" t="n">
        <f aca="false">IF($A26="","",SUMIFS(物件収支!$F:$F,物件収支!$A:$A,$A26,物件収支!$C:$C,$M26))</f>
        <v>830820</v>
      </c>
      <c r="P26" s="43" t="n">
        <f aca="false">IF($A26="","",SUMIFS(物件収支!$I:$I,物件収支!$A:$A,$A26,物件収支!$C:$C,$M26))</f>
        <v>0</v>
      </c>
      <c r="Q26" s="43" t="n">
        <f aca="false">IF($A26="","",SUMIFS(物件収支!$O:$O,物件収支!$A:$A,$A26,物件収支!$C:$C,$M26))</f>
        <v>0</v>
      </c>
      <c r="R26" s="43" t="str">
        <f aca="false">IF($A26="","",IF(P26=0,"",O26-P26))</f>
        <v/>
      </c>
      <c r="S26" s="43" t="str">
        <f aca="false">IF($A26="","",IF(R26="","",R26+Q26))</f>
        <v/>
      </c>
      <c r="T26" s="43" t="str">
        <f aca="false">IF($A26="","",IF(OR(S26="",N26&lt;=0),"",S26/1000*12/N26))</f>
        <v/>
      </c>
      <c r="U26" s="52" t="str">
        <f aca="false">IF($A26="","",IF(OR(T26="",J26=0,J26=""),"",T26/J26))</f>
        <v/>
      </c>
      <c r="V26" s="52" t="str">
        <f aca="false">IF($A26="","",IF(OR(R26="",N26&lt;=0,J26=0,J26=""),"",(R26/1000*12/N26)/J26))</f>
        <v/>
      </c>
      <c r="W26" s="52" t="str">
        <f aca="false">IF($A26="","",IF(OR(T26="",K26=0,K26=""),"",T26/K26))</f>
        <v/>
      </c>
      <c r="X26" s="43" t="n">
        <f aca="false">IF($A26="","",IF(OR(N26&lt;=0,I26=0,I26="",O26=0),"",O26*1000/(I26*0.3025)/N26))</f>
        <v>23214.8043659206</v>
      </c>
      <c r="Y26" s="50" t="str">
        <f aca="false">IF($A26="","",IF(OR(O26=0,O26="",P26=0),"",P26/O26))</f>
        <v/>
      </c>
      <c r="Z26" s="17" t="str">
        <f aca="false">IF($A26="","",IFERROR(INDEX(物件収支!$E:$E,MATCH($A26,物件収支!$A:$A,0)),""))</f>
        <v>一部開示（収益のみ）</v>
      </c>
    </row>
    <row r="27" customFormat="false" ht="15" hidden="false" customHeight="true" outlineLevel="0" collapsed="false">
      <c r="A27" s="17" t="str">
        <f aca="false">IF(物件マスタ!A27="","",物件マスタ!A27)</f>
        <v>JEI-07</v>
      </c>
      <c r="B27" s="17" t="str">
        <f aca="false">IF($A27="","",物件マスタ!B27)</f>
        <v>JEI</v>
      </c>
      <c r="C27" s="17" t="str">
        <f aca="false">IF($A27="","",IFERROR(INDEX(法人マスタ!$C:$C,MATCH($B27,法人マスタ!$A:$A,0)),""))</f>
        <v>ジャパンエクセレント投資法人</v>
      </c>
      <c r="D27" s="17" t="str">
        <f aca="false">IF($A27="","",物件マスタ!C27)</f>
        <v>興和西新橋ビル</v>
      </c>
      <c r="E27" s="17" t="str">
        <f aca="false">IF($A27="","",物件マスタ!H27)</f>
        <v>都心5区</v>
      </c>
      <c r="F27" s="48" t="n">
        <f aca="false">IF($A27="","",物件マスタ!P27)</f>
        <v>0</v>
      </c>
      <c r="G27" s="34" t="str">
        <f aca="false">IF($A27="","",物件マスタ!Q27)</f>
        <v/>
      </c>
      <c r="H27" s="49" t="n">
        <f aca="false">IF($A27="","",物件マスタ!L27)</f>
        <v>0</v>
      </c>
      <c r="I27" s="49" t="n">
        <f aca="false">IF($A27="","",物件マスタ!M27)</f>
        <v>8949.04</v>
      </c>
      <c r="J27" s="43" t="n">
        <f aca="false">IF($A27="","",物件マスタ!S27)</f>
        <v>11431</v>
      </c>
      <c r="K27" s="43" t="n">
        <f aca="false">IF($A27="","",物件マスタ!U27)</f>
        <v>12700</v>
      </c>
      <c r="L27" s="50" t="n">
        <f aca="false">IF($A27="","",物件マスタ!W27)</f>
        <v>1</v>
      </c>
      <c r="M27" s="17" t="str">
        <f aca="false">IF($A27="","",IFERROR(INDEX(法人マスタ!$H:$H,MATCH($B27,法人マスタ!$A:$A,0)),""))</f>
        <v>2025年12月期（第39期）</v>
      </c>
      <c r="N27" s="51" t="n">
        <f aca="false">IF($A27="","",SUMIFS(物件収支!$D:$D,物件収支!$A:$A,$A27,物件収支!$C:$C,$M27))</f>
        <v>6</v>
      </c>
      <c r="O27" s="43" t="n">
        <f aca="false">IF($A27="","",SUMIFS(物件収支!$F:$F,物件収支!$A:$A,$A27,物件収支!$C:$C,$M27))</f>
        <v>0</v>
      </c>
      <c r="P27" s="43" t="n">
        <f aca="false">IF($A27="","",SUMIFS(物件収支!$I:$I,物件収支!$A:$A,$A27,物件収支!$C:$C,$M27))</f>
        <v>0</v>
      </c>
      <c r="Q27" s="43" t="n">
        <f aca="false">IF($A27="","",SUMIFS(物件収支!$O:$O,物件収支!$A:$A,$A27,物件収支!$C:$C,$M27))</f>
        <v>0</v>
      </c>
      <c r="R27" s="43" t="str">
        <f aca="false">IF($A27="","",IF(P27=0,"",O27-P27))</f>
        <v/>
      </c>
      <c r="S27" s="43" t="str">
        <f aca="false">IF($A27="","",IF(R27="","",R27+Q27))</f>
        <v/>
      </c>
      <c r="T27" s="43" t="str">
        <f aca="false">IF($A27="","",IF(OR(S27="",N27&lt;=0),"",S27/1000*12/N27))</f>
        <v/>
      </c>
      <c r="U27" s="52" t="str">
        <f aca="false">IF($A27="","",IF(OR(T27="",J27=0,J27=""),"",T27/J27))</f>
        <v/>
      </c>
      <c r="V27" s="52" t="str">
        <f aca="false">IF($A27="","",IF(OR(R27="",N27&lt;=0,J27=0,J27=""),"",(R27/1000*12/N27)/J27))</f>
        <v/>
      </c>
      <c r="W27" s="52" t="str">
        <f aca="false">IF($A27="","",IF(OR(T27="",K27=0,K27=""),"",T27/K27))</f>
        <v/>
      </c>
      <c r="X27" s="43" t="str">
        <f aca="false">IF($A27="","",IF(OR(N27&lt;=0,I27=0,I27="",O27=0),"",O27*1000/(I27*0.3025)/N27))</f>
        <v/>
      </c>
      <c r="Y27" s="50" t="str">
        <f aca="false">IF($A27="","",IF(OR(O27=0,O27="",P27=0),"",P27/O27))</f>
        <v/>
      </c>
      <c r="Z27" s="17" t="str">
        <f aca="false">IF($A27="","",IFERROR(INDEX(物件収支!$E:$E,MATCH($A27,物件収支!$A:$A,0)),""))</f>
        <v>非開示（テナント同意なし）</v>
      </c>
    </row>
    <row r="28" customFormat="false" ht="15" hidden="false" customHeight="true" outlineLevel="0" collapsed="false">
      <c r="A28" s="17" t="str">
        <f aca="false">IF(物件マスタ!A28="","",物件マスタ!A28)</f>
        <v>JEI-08</v>
      </c>
      <c r="B28" s="17" t="str">
        <f aca="false">IF($A28="","",物件マスタ!B28)</f>
        <v>JEI</v>
      </c>
      <c r="C28" s="17" t="str">
        <f aca="false">IF($A28="","",IFERROR(INDEX(法人マスタ!$C:$C,MATCH($B28,法人マスタ!$A:$A,0)),""))</f>
        <v>ジャパンエクセレント投資法人</v>
      </c>
      <c r="D28" s="17" t="str">
        <f aca="false">IF($A28="","",物件マスタ!C28)</f>
        <v>マンサード代官山</v>
      </c>
      <c r="E28" s="17" t="str">
        <f aca="false">IF($A28="","",物件マスタ!H28)</f>
        <v>都心5区</v>
      </c>
      <c r="F28" s="48" t="n">
        <f aca="false">IF($A28="","",物件マスタ!P28)</f>
        <v>0</v>
      </c>
      <c r="G28" s="34" t="str">
        <f aca="false">IF($A28="","",物件マスタ!Q28)</f>
        <v/>
      </c>
      <c r="H28" s="49" t="n">
        <f aca="false">IF($A28="","",物件マスタ!L28)</f>
        <v>0</v>
      </c>
      <c r="I28" s="49" t="n">
        <f aca="false">IF($A28="","",物件マスタ!M28)</f>
        <v>5420.81</v>
      </c>
      <c r="J28" s="43" t="n">
        <f aca="false">IF($A28="","",物件マスタ!S28)</f>
        <v>11420</v>
      </c>
      <c r="K28" s="43" t="n">
        <f aca="false">IF($A28="","",物件マスタ!U28)</f>
        <v>13900</v>
      </c>
      <c r="L28" s="50" t="n">
        <f aca="false">IF($A28="","",物件マスタ!W28)</f>
        <v>1</v>
      </c>
      <c r="M28" s="17" t="str">
        <f aca="false">IF($A28="","",IFERROR(INDEX(法人マスタ!$H:$H,MATCH($B28,法人マスタ!$A:$A,0)),""))</f>
        <v>2025年12月期（第39期）</v>
      </c>
      <c r="N28" s="51" t="n">
        <f aca="false">IF($A28="","",SUMIFS(物件収支!$D:$D,物件収支!$A:$A,$A28,物件収支!$C:$C,$M28))</f>
        <v>6</v>
      </c>
      <c r="O28" s="43" t="n">
        <f aca="false">IF($A28="","",SUMIFS(物件収支!$F:$F,物件収支!$A:$A,$A28,物件収支!$C:$C,$M28))</f>
        <v>291577</v>
      </c>
      <c r="P28" s="43" t="n">
        <f aca="false">IF($A28="","",SUMIFS(物件収支!$I:$I,物件収支!$A:$A,$A28,物件収支!$C:$C,$M28))</f>
        <v>0</v>
      </c>
      <c r="Q28" s="43" t="n">
        <f aca="false">IF($A28="","",SUMIFS(物件収支!$O:$O,物件収支!$A:$A,$A28,物件収支!$C:$C,$M28))</f>
        <v>0</v>
      </c>
      <c r="R28" s="43" t="str">
        <f aca="false">IF($A28="","",IF(P28=0,"",O28-P28))</f>
        <v/>
      </c>
      <c r="S28" s="43" t="str">
        <f aca="false">IF($A28="","",IF(R28="","",R28+Q28))</f>
        <v/>
      </c>
      <c r="T28" s="43" t="str">
        <f aca="false">IF($A28="","",IF(OR(S28="",N28&lt;=0),"",S28/1000*12/N28))</f>
        <v/>
      </c>
      <c r="U28" s="52" t="str">
        <f aca="false">IF($A28="","",IF(OR(T28="",J28=0,J28=""),"",T28/J28))</f>
        <v/>
      </c>
      <c r="V28" s="52" t="str">
        <f aca="false">IF($A28="","",IF(OR(R28="",N28&lt;=0,J28=0,J28=""),"",(R28/1000*12/N28)/J28))</f>
        <v/>
      </c>
      <c r="W28" s="52" t="str">
        <f aca="false">IF($A28="","",IF(OR(T28="",K28=0,K28=""),"",T28/K28))</f>
        <v/>
      </c>
      <c r="X28" s="43" t="n">
        <f aca="false">IF($A28="","",IF(OR(N28&lt;=0,I28=0,I28="",O28=0),"",O28*1000/(I28*0.3025)/N28))</f>
        <v>29635.5129304449</v>
      </c>
      <c r="Y28" s="50" t="str">
        <f aca="false">IF($A28="","",IF(OR(O28=0,O28="",P28=0),"",P28/O28))</f>
        <v/>
      </c>
      <c r="Z28" s="17" t="str">
        <f aca="false">IF($A28="","",IFERROR(INDEX(物件収支!$E:$E,MATCH($A28,物件収支!$A:$A,0)),""))</f>
        <v>一部開示（収益のみ）</v>
      </c>
    </row>
    <row r="29" customFormat="false" ht="15" hidden="false" customHeight="true" outlineLevel="0" collapsed="false">
      <c r="A29" s="17" t="str">
        <f aca="false">IF(物件マスタ!A29="","",物件マスタ!A29)</f>
        <v>JEI-09</v>
      </c>
      <c r="B29" s="17" t="str">
        <f aca="false">IF($A29="","",物件マスタ!B29)</f>
        <v>JEI</v>
      </c>
      <c r="C29" s="17" t="str">
        <f aca="false">IF($A29="","",IFERROR(INDEX(法人マスタ!$C:$C,MATCH($B29,法人マスタ!$A:$A,0)),""))</f>
        <v>ジャパンエクセレント投資法人</v>
      </c>
      <c r="D29" s="17" t="str">
        <f aca="false">IF($A29="","",物件マスタ!C29)</f>
        <v>赤坂インターシティAIR</v>
      </c>
      <c r="E29" s="17" t="str">
        <f aca="false">IF($A29="","",物件マスタ!H29)</f>
        <v>都心5区</v>
      </c>
      <c r="F29" s="48" t="n">
        <f aca="false">IF($A29="","",物件マスタ!P29)</f>
        <v>0</v>
      </c>
      <c r="G29" s="34" t="str">
        <f aca="false">IF($A29="","",物件マスタ!Q29)</f>
        <v/>
      </c>
      <c r="H29" s="49" t="n">
        <f aca="false">IF($A29="","",物件マスタ!L29)</f>
        <v>0</v>
      </c>
      <c r="I29" s="49" t="n">
        <f aca="false">IF($A29="","",物件マスタ!M29)</f>
        <v>2580.24</v>
      </c>
      <c r="J29" s="43" t="n">
        <f aca="false">IF($A29="","",物件マスタ!S29)</f>
        <v>6590</v>
      </c>
      <c r="K29" s="43" t="n">
        <f aca="false">IF($A29="","",物件マスタ!U29)</f>
        <v>7970</v>
      </c>
      <c r="L29" s="50" t="n">
        <f aca="false">IF($A29="","",物件マスタ!W29)</f>
        <v>0.877</v>
      </c>
      <c r="M29" s="17" t="str">
        <f aca="false">IF($A29="","",IFERROR(INDEX(法人マスタ!$H:$H,MATCH($B29,法人マスタ!$A:$A,0)),""))</f>
        <v>2025年12月期（第39期）</v>
      </c>
      <c r="N29" s="51" t="n">
        <f aca="false">IF($A29="","",SUMIFS(物件収支!$D:$D,物件収支!$A:$A,$A29,物件収支!$C:$C,$M29))</f>
        <v>6</v>
      </c>
      <c r="O29" s="43" t="n">
        <f aca="false">IF($A29="","",SUMIFS(物件収支!$F:$F,物件収支!$A:$A,$A29,物件収支!$C:$C,$M29))</f>
        <v>0</v>
      </c>
      <c r="P29" s="43" t="n">
        <f aca="false">IF($A29="","",SUMIFS(物件収支!$I:$I,物件収支!$A:$A,$A29,物件収支!$C:$C,$M29))</f>
        <v>0</v>
      </c>
      <c r="Q29" s="43" t="n">
        <f aca="false">IF($A29="","",SUMIFS(物件収支!$O:$O,物件収支!$A:$A,$A29,物件収支!$C:$C,$M29))</f>
        <v>0</v>
      </c>
      <c r="R29" s="43" t="str">
        <f aca="false">IF($A29="","",IF(P29=0,"",O29-P29))</f>
        <v/>
      </c>
      <c r="S29" s="43" t="str">
        <f aca="false">IF($A29="","",IF(R29="","",R29+Q29))</f>
        <v/>
      </c>
      <c r="T29" s="43" t="str">
        <f aca="false">IF($A29="","",IF(OR(S29="",N29&lt;=0),"",S29/1000*12/N29))</f>
        <v/>
      </c>
      <c r="U29" s="52" t="str">
        <f aca="false">IF($A29="","",IF(OR(T29="",J29=0,J29=""),"",T29/J29))</f>
        <v/>
      </c>
      <c r="V29" s="52" t="str">
        <f aca="false">IF($A29="","",IF(OR(R29="",N29&lt;=0,J29=0,J29=""),"",(R29/1000*12/N29)/J29))</f>
        <v/>
      </c>
      <c r="W29" s="52" t="str">
        <f aca="false">IF($A29="","",IF(OR(T29="",K29=0,K29=""),"",T29/K29))</f>
        <v/>
      </c>
      <c r="X29" s="43" t="str">
        <f aca="false">IF($A29="","",IF(OR(N29&lt;=0,I29=0,I29="",O29=0),"",O29*1000/(I29*0.3025)/N29))</f>
        <v/>
      </c>
      <c r="Y29" s="50" t="str">
        <f aca="false">IF($A29="","",IF(OR(O29=0,O29="",P29=0),"",P29/O29))</f>
        <v/>
      </c>
      <c r="Z29" s="17" t="str">
        <f aca="false">IF($A29="","",IFERROR(INDEX(物件収支!$E:$E,MATCH($A29,物件収支!$A:$A,0)),""))</f>
        <v>非開示（テナント同意なし）</v>
      </c>
    </row>
    <row r="30" customFormat="false" ht="15" hidden="false" customHeight="true" outlineLevel="0" collapsed="false">
      <c r="A30" s="17" t="str">
        <f aca="false">IF(物件マスタ!A30="","",物件マスタ!A30)</f>
        <v>JEI-10</v>
      </c>
      <c r="B30" s="17" t="str">
        <f aca="false">IF($A30="","",物件マスタ!B30)</f>
        <v>JEI</v>
      </c>
      <c r="C30" s="17" t="str">
        <f aca="false">IF($A30="","",IFERROR(INDEX(法人マスタ!$C:$C,MATCH($B30,法人マスタ!$A:$A,0)),""))</f>
        <v>ジャパンエクセレント投資法人</v>
      </c>
      <c r="D30" s="17" t="str">
        <f aca="false">IF($A30="","",物件マスタ!C30)</f>
        <v>BIZCORE赤坂見附</v>
      </c>
      <c r="E30" s="17" t="str">
        <f aca="false">IF($A30="","",物件マスタ!H30)</f>
        <v>都心5区</v>
      </c>
      <c r="F30" s="48" t="n">
        <f aca="false">IF($A30="","",物件マスタ!P30)</f>
        <v>0</v>
      </c>
      <c r="G30" s="34" t="str">
        <f aca="false">IF($A30="","",物件マスタ!Q30)</f>
        <v/>
      </c>
      <c r="H30" s="49" t="n">
        <f aca="false">IF($A30="","",物件マスタ!L30)</f>
        <v>0</v>
      </c>
      <c r="I30" s="49" t="n">
        <f aca="false">IF($A30="","",物件マスタ!M30)</f>
        <v>2387.43</v>
      </c>
      <c r="J30" s="43" t="n">
        <f aca="false">IF($A30="","",物件マスタ!S30)</f>
        <v>6200</v>
      </c>
      <c r="K30" s="43" t="n">
        <f aca="false">IF($A30="","",物件マスタ!U30)</f>
        <v>5910</v>
      </c>
      <c r="L30" s="50" t="n">
        <f aca="false">IF($A30="","",物件マスタ!W30)</f>
        <v>0.889</v>
      </c>
      <c r="M30" s="17" t="str">
        <f aca="false">IF($A30="","",IFERROR(INDEX(法人マスタ!$H:$H,MATCH($B30,法人マスタ!$A:$A,0)),""))</f>
        <v>2025年12月期（第39期）</v>
      </c>
      <c r="N30" s="51" t="n">
        <f aca="false">IF($A30="","",SUMIFS(物件収支!$D:$D,物件収支!$A:$A,$A30,物件収支!$C:$C,$M30))</f>
        <v>6</v>
      </c>
      <c r="O30" s="43" t="n">
        <f aca="false">IF($A30="","",SUMIFS(物件収支!$F:$F,物件収支!$A:$A,$A30,物件収支!$C:$C,$M30))</f>
        <v>134808</v>
      </c>
      <c r="P30" s="43" t="n">
        <f aca="false">IF($A30="","",SUMIFS(物件収支!$I:$I,物件収支!$A:$A,$A30,物件収支!$C:$C,$M30))</f>
        <v>0</v>
      </c>
      <c r="Q30" s="43" t="n">
        <f aca="false">IF($A30="","",SUMIFS(物件収支!$O:$O,物件収支!$A:$A,$A30,物件収支!$C:$C,$M30))</f>
        <v>0</v>
      </c>
      <c r="R30" s="43" t="str">
        <f aca="false">IF($A30="","",IF(P30=0,"",O30-P30))</f>
        <v/>
      </c>
      <c r="S30" s="43" t="str">
        <f aca="false">IF($A30="","",IF(R30="","",R30+Q30))</f>
        <v/>
      </c>
      <c r="T30" s="43" t="str">
        <f aca="false">IF($A30="","",IF(OR(S30="",N30&lt;=0),"",S30/1000*12/N30))</f>
        <v/>
      </c>
      <c r="U30" s="52" t="str">
        <f aca="false">IF($A30="","",IF(OR(T30="",J30=0,J30=""),"",T30/J30))</f>
        <v/>
      </c>
      <c r="V30" s="52" t="str">
        <f aca="false">IF($A30="","",IF(OR(R30="",N30&lt;=0,J30=0,J30=""),"",(R30/1000*12/N30)/J30))</f>
        <v/>
      </c>
      <c r="W30" s="52" t="str">
        <f aca="false">IF($A30="","",IF(OR(T30="",K30=0,K30=""),"",T30/K30))</f>
        <v/>
      </c>
      <c r="X30" s="43" t="n">
        <f aca="false">IF($A30="","",IF(OR(N30&lt;=0,I30=0,I30="",O30=0),"",O30*1000/(I30*0.3025)/N30))</f>
        <v>31110.6001705974</v>
      </c>
      <c r="Y30" s="50" t="str">
        <f aca="false">IF($A30="","",IF(OR(O30=0,O30="",P30=0),"",P30/O30))</f>
        <v/>
      </c>
      <c r="Z30" s="17" t="str">
        <f aca="false">IF($A30="","",IFERROR(INDEX(物件収支!$E:$E,MATCH($A30,物件収支!$A:$A,0)),""))</f>
        <v>一部開示（収益のみ）</v>
      </c>
    </row>
    <row r="31" customFormat="false" ht="15" hidden="false" customHeight="true" outlineLevel="0" collapsed="false">
      <c r="A31" s="17" t="str">
        <f aca="false">IF(物件マスタ!A31="","",物件マスタ!A31)</f>
        <v>JEI-11</v>
      </c>
      <c r="B31" s="17" t="str">
        <f aca="false">IF($A31="","",物件マスタ!B31)</f>
        <v>JEI</v>
      </c>
      <c r="C31" s="17" t="str">
        <f aca="false">IF($A31="","",IFERROR(INDEX(法人マスタ!$C:$C,MATCH($B31,法人マスタ!$A:$A,0)),""))</f>
        <v>ジャパンエクセレント投資法人</v>
      </c>
      <c r="D31" s="17" t="str">
        <f aca="false">IF($A31="","",物件マスタ!C31)</f>
        <v>BIZCORE神保町</v>
      </c>
      <c r="E31" s="17" t="str">
        <f aca="false">IF($A31="","",物件マスタ!H31)</f>
        <v>都心5区</v>
      </c>
      <c r="F31" s="48" t="n">
        <f aca="false">IF($A31="","",物件マスタ!P31)</f>
        <v>0</v>
      </c>
      <c r="G31" s="34" t="str">
        <f aca="false">IF($A31="","",物件マスタ!Q31)</f>
        <v/>
      </c>
      <c r="H31" s="49" t="n">
        <f aca="false">IF($A31="","",物件マスタ!L31)</f>
        <v>0</v>
      </c>
      <c r="I31" s="49" t="n">
        <f aca="false">IF($A31="","",物件マスタ!M31)</f>
        <v>5592.4</v>
      </c>
      <c r="J31" s="43" t="n">
        <f aca="false">IF($A31="","",物件マスタ!S31)</f>
        <v>10860</v>
      </c>
      <c r="K31" s="43" t="n">
        <f aca="false">IF($A31="","",物件マスタ!U31)</f>
        <v>10600</v>
      </c>
      <c r="L31" s="50" t="n">
        <f aca="false">IF($A31="","",物件マスタ!W31)</f>
        <v>1</v>
      </c>
      <c r="M31" s="17" t="str">
        <f aca="false">IF($A31="","",IFERROR(INDEX(法人マスタ!$H:$H,MATCH($B31,法人マスタ!$A:$A,0)),""))</f>
        <v>2025年12月期（第39期）</v>
      </c>
      <c r="N31" s="51" t="n">
        <f aca="false">IF($A31="","",SUMIFS(物件収支!$D:$D,物件収支!$A:$A,$A31,物件収支!$C:$C,$M31))</f>
        <v>6</v>
      </c>
      <c r="O31" s="43" t="n">
        <f aca="false">IF($A31="","",SUMIFS(物件収支!$F:$F,物件収支!$A:$A,$A31,物件収支!$C:$C,$M31))</f>
        <v>0</v>
      </c>
      <c r="P31" s="43" t="n">
        <f aca="false">IF($A31="","",SUMIFS(物件収支!$I:$I,物件収支!$A:$A,$A31,物件収支!$C:$C,$M31))</f>
        <v>0</v>
      </c>
      <c r="Q31" s="43" t="n">
        <f aca="false">IF($A31="","",SUMIFS(物件収支!$O:$O,物件収支!$A:$A,$A31,物件収支!$C:$C,$M31))</f>
        <v>0</v>
      </c>
      <c r="R31" s="43" t="str">
        <f aca="false">IF($A31="","",IF(P31=0,"",O31-P31))</f>
        <v/>
      </c>
      <c r="S31" s="43" t="str">
        <f aca="false">IF($A31="","",IF(R31="","",R31+Q31))</f>
        <v/>
      </c>
      <c r="T31" s="43" t="str">
        <f aca="false">IF($A31="","",IF(OR(S31="",N31&lt;=0),"",S31/1000*12/N31))</f>
        <v/>
      </c>
      <c r="U31" s="52" t="str">
        <f aca="false">IF($A31="","",IF(OR(T31="",J31=0,J31=""),"",T31/J31))</f>
        <v/>
      </c>
      <c r="V31" s="52" t="str">
        <f aca="false">IF($A31="","",IF(OR(R31="",N31&lt;=0,J31=0,J31=""),"",(R31/1000*12/N31)/J31))</f>
        <v/>
      </c>
      <c r="W31" s="52" t="str">
        <f aca="false">IF($A31="","",IF(OR(T31="",K31=0,K31=""),"",T31/K31))</f>
        <v/>
      </c>
      <c r="X31" s="43" t="str">
        <f aca="false">IF($A31="","",IF(OR(N31&lt;=0,I31=0,I31="",O31=0),"",O31*1000/(I31*0.3025)/N31))</f>
        <v/>
      </c>
      <c r="Y31" s="50" t="str">
        <f aca="false">IF($A31="","",IF(OR(O31=0,O31="",P31=0),"",P31/O31))</f>
        <v/>
      </c>
      <c r="Z31" s="17" t="str">
        <f aca="false">IF($A31="","",IFERROR(INDEX(物件収支!$E:$E,MATCH($A31,物件収支!$A:$A,0)),""))</f>
        <v>非開示（テナント同意なし）</v>
      </c>
    </row>
    <row r="32" customFormat="false" ht="15" hidden="false" customHeight="true" outlineLevel="0" collapsed="false">
      <c r="A32" s="17" t="str">
        <f aca="false">IF(物件マスタ!A32="","",物件マスタ!A32)</f>
        <v>JEI-12</v>
      </c>
      <c r="B32" s="17" t="str">
        <f aca="false">IF($A32="","",物件マスタ!B32)</f>
        <v>JEI</v>
      </c>
      <c r="C32" s="17" t="str">
        <f aca="false">IF($A32="","",IFERROR(INDEX(法人マスタ!$C:$C,MATCH($B32,法人マスタ!$A:$A,0)),""))</f>
        <v>ジャパンエクセレント投資法人</v>
      </c>
      <c r="D32" s="17" t="str">
        <f aca="false">IF($A32="","",物件マスタ!C32)</f>
        <v>BIZCORE渋谷</v>
      </c>
      <c r="E32" s="17" t="str">
        <f aca="false">IF($A32="","",物件マスタ!H32)</f>
        <v>都心5区</v>
      </c>
      <c r="F32" s="48" t="n">
        <f aca="false">IF($A32="","",物件マスタ!P32)</f>
        <v>0</v>
      </c>
      <c r="G32" s="34" t="str">
        <f aca="false">IF($A32="","",物件マスタ!Q32)</f>
        <v/>
      </c>
      <c r="H32" s="49" t="n">
        <f aca="false">IF($A32="","",物件マスタ!L32)</f>
        <v>0</v>
      </c>
      <c r="I32" s="49" t="n">
        <f aca="false">IF($A32="","",物件マスタ!M32)</f>
        <v>2788.64</v>
      </c>
      <c r="J32" s="43" t="n">
        <f aca="false">IF($A32="","",物件マスタ!S32)</f>
        <v>6640</v>
      </c>
      <c r="K32" s="43" t="n">
        <f aca="false">IF($A32="","",物件マスタ!U32)</f>
        <v>7330</v>
      </c>
      <c r="L32" s="50" t="n">
        <f aca="false">IF($A32="","",物件マスタ!W32)</f>
        <v>1</v>
      </c>
      <c r="M32" s="17" t="str">
        <f aca="false">IF($A32="","",IFERROR(INDEX(法人マスタ!$H:$H,MATCH($B32,法人マスタ!$A:$A,0)),""))</f>
        <v>2025年12月期（第39期）</v>
      </c>
      <c r="N32" s="51" t="n">
        <f aca="false">IF($A32="","",SUMIFS(物件収支!$D:$D,物件収支!$A:$A,$A32,物件収支!$C:$C,$M32))</f>
        <v>6</v>
      </c>
      <c r="O32" s="43" t="n">
        <f aca="false">IF($A32="","",SUMIFS(物件収支!$F:$F,物件収支!$A:$A,$A32,物件収支!$C:$C,$M32))</f>
        <v>163769</v>
      </c>
      <c r="P32" s="43" t="n">
        <f aca="false">IF($A32="","",SUMIFS(物件収支!$I:$I,物件収支!$A:$A,$A32,物件収支!$C:$C,$M32))</f>
        <v>0</v>
      </c>
      <c r="Q32" s="43" t="n">
        <f aca="false">IF($A32="","",SUMIFS(物件収支!$O:$O,物件収支!$A:$A,$A32,物件収支!$C:$C,$M32))</f>
        <v>0</v>
      </c>
      <c r="R32" s="43" t="str">
        <f aca="false">IF($A32="","",IF(P32=0,"",O32-P32))</f>
        <v/>
      </c>
      <c r="S32" s="43" t="str">
        <f aca="false">IF($A32="","",IF(R32="","",R32+Q32))</f>
        <v/>
      </c>
      <c r="T32" s="43" t="str">
        <f aca="false">IF($A32="","",IF(OR(S32="",N32&lt;=0),"",S32/1000*12/N32))</f>
        <v/>
      </c>
      <c r="U32" s="52" t="str">
        <f aca="false">IF($A32="","",IF(OR(T32="",J32=0,J32=""),"",T32/J32))</f>
        <v/>
      </c>
      <c r="V32" s="52" t="str">
        <f aca="false">IF($A32="","",IF(OR(R32="",N32&lt;=0,J32=0,J32=""),"",(R32/1000*12/N32)/J32))</f>
        <v/>
      </c>
      <c r="W32" s="52" t="str">
        <f aca="false">IF($A32="","",IF(OR(T32="",K32=0,K32=""),"",T32/K32))</f>
        <v/>
      </c>
      <c r="X32" s="43" t="n">
        <f aca="false">IF($A32="","",IF(OR(N32&lt;=0,I32=0,I32="",O32=0),"",O32*1000/(I32*0.3025)/N32))</f>
        <v>32356.5802665422</v>
      </c>
      <c r="Y32" s="50" t="str">
        <f aca="false">IF($A32="","",IF(OR(O32=0,O32="",P32=0),"",P32/O32))</f>
        <v/>
      </c>
      <c r="Z32" s="17" t="str">
        <f aca="false">IF($A32="","",IFERROR(INDEX(物件収支!$E:$E,MATCH($A32,物件収支!$A:$A,0)),""))</f>
        <v>一部開示（収益のみ）</v>
      </c>
    </row>
    <row r="33" customFormat="false" ht="15" hidden="false" customHeight="true" outlineLevel="0" collapsed="false">
      <c r="A33" s="17" t="str">
        <f aca="false">IF(物件マスタ!A33="","",物件マスタ!A33)</f>
        <v>JEI-13</v>
      </c>
      <c r="B33" s="17" t="str">
        <f aca="false">IF($A33="","",物件マスタ!B33)</f>
        <v>JEI</v>
      </c>
      <c r="C33" s="17" t="str">
        <f aca="false">IF($A33="","",IFERROR(INDEX(法人マスタ!$C:$C,MATCH($B33,法人マスタ!$A:$A,0)),""))</f>
        <v>ジャパンエクセレント投資法人</v>
      </c>
      <c r="D33" s="17" t="str">
        <f aca="false">IF($A33="","",物件マスタ!C33)</f>
        <v>BIZCORE築地</v>
      </c>
      <c r="E33" s="17" t="str">
        <f aca="false">IF($A33="","",物件マスタ!H33)</f>
        <v>都心5区</v>
      </c>
      <c r="F33" s="48" t="n">
        <f aca="false">IF($A33="","",物件マスタ!P33)</f>
        <v>0</v>
      </c>
      <c r="G33" s="34" t="str">
        <f aca="false">IF($A33="","",物件マスタ!Q33)</f>
        <v/>
      </c>
      <c r="H33" s="49" t="n">
        <f aca="false">IF($A33="","",物件マスタ!L33)</f>
        <v>0</v>
      </c>
      <c r="I33" s="49" t="n">
        <f aca="false">IF($A33="","",物件マスタ!M33)</f>
        <v>4829.68</v>
      </c>
      <c r="J33" s="43" t="n">
        <f aca="false">IF($A33="","",物件マスタ!S33)</f>
        <v>9800</v>
      </c>
      <c r="K33" s="43" t="n">
        <f aca="false">IF($A33="","",物件マスタ!U33)</f>
        <v>10400</v>
      </c>
      <c r="L33" s="50" t="n">
        <f aca="false">IF($A33="","",物件マスタ!W33)</f>
        <v>1</v>
      </c>
      <c r="M33" s="17" t="str">
        <f aca="false">IF($A33="","",IFERROR(INDEX(法人マスタ!$H:$H,MATCH($B33,法人マスタ!$A:$A,0)),""))</f>
        <v>2025年12月期（第39期）</v>
      </c>
      <c r="N33" s="51" t="n">
        <f aca="false">IF($A33="","",SUMIFS(物件収支!$D:$D,物件収支!$A:$A,$A33,物件収支!$C:$C,$M33))</f>
        <v>6</v>
      </c>
      <c r="O33" s="43" t="n">
        <f aca="false">IF($A33="","",SUMIFS(物件収支!$F:$F,物件収支!$A:$A,$A33,物件収支!$C:$C,$M33))</f>
        <v>0</v>
      </c>
      <c r="P33" s="43" t="n">
        <f aca="false">IF($A33="","",SUMIFS(物件収支!$I:$I,物件収支!$A:$A,$A33,物件収支!$C:$C,$M33))</f>
        <v>0</v>
      </c>
      <c r="Q33" s="43" t="n">
        <f aca="false">IF($A33="","",SUMIFS(物件収支!$O:$O,物件収支!$A:$A,$A33,物件収支!$C:$C,$M33))</f>
        <v>0</v>
      </c>
      <c r="R33" s="43" t="str">
        <f aca="false">IF($A33="","",IF(P33=0,"",O33-P33))</f>
        <v/>
      </c>
      <c r="S33" s="43" t="str">
        <f aca="false">IF($A33="","",IF(R33="","",R33+Q33))</f>
        <v/>
      </c>
      <c r="T33" s="43" t="str">
        <f aca="false">IF($A33="","",IF(OR(S33="",N33&lt;=0),"",S33/1000*12/N33))</f>
        <v/>
      </c>
      <c r="U33" s="52" t="str">
        <f aca="false">IF($A33="","",IF(OR(T33="",J33=0,J33=""),"",T33/J33))</f>
        <v/>
      </c>
      <c r="V33" s="52" t="str">
        <f aca="false">IF($A33="","",IF(OR(R33="",N33&lt;=0,J33=0,J33=""),"",(R33/1000*12/N33)/J33))</f>
        <v/>
      </c>
      <c r="W33" s="52" t="str">
        <f aca="false">IF($A33="","",IF(OR(T33="",K33=0,K33=""),"",T33/K33))</f>
        <v/>
      </c>
      <c r="X33" s="43" t="str">
        <f aca="false">IF($A33="","",IF(OR(N33&lt;=0,I33=0,I33="",O33=0),"",O33*1000/(I33*0.3025)/N33))</f>
        <v/>
      </c>
      <c r="Y33" s="50" t="str">
        <f aca="false">IF($A33="","",IF(OR(O33=0,O33="",P33=0),"",P33/O33))</f>
        <v/>
      </c>
      <c r="Z33" s="17" t="str">
        <f aca="false">IF($A33="","",IFERROR(INDEX(物件収支!$E:$E,MATCH($A33,物件収支!$A:$A,0)),""))</f>
        <v>非開示（テナント同意なし）</v>
      </c>
    </row>
    <row r="34" customFormat="false" ht="15" hidden="false" customHeight="true" outlineLevel="0" collapsed="false">
      <c r="A34" s="17" t="str">
        <f aca="false">IF(物件マスタ!A34="","",物件マスタ!A34)</f>
        <v>JEI-14</v>
      </c>
      <c r="B34" s="17" t="str">
        <f aca="false">IF($A34="","",物件マスタ!B34)</f>
        <v>JEI</v>
      </c>
      <c r="C34" s="17" t="str">
        <f aca="false">IF($A34="","",IFERROR(INDEX(法人マスタ!$C:$C,MATCH($B34,法人マスタ!$A:$A,0)),""))</f>
        <v>ジャパンエクセレント投資法人</v>
      </c>
      <c r="D34" s="17" t="str">
        <f aca="false">IF($A34="","",物件マスタ!C34)</f>
        <v>大崎ブライトタワー・大崎ブライトプラザ</v>
      </c>
      <c r="E34" s="17" t="str">
        <f aca="false">IF($A34="","",物件マスタ!H34)</f>
        <v>その他東京23区</v>
      </c>
      <c r="F34" s="48" t="n">
        <f aca="false">IF($A34="","",物件マスタ!P34)</f>
        <v>0</v>
      </c>
      <c r="G34" s="34" t="str">
        <f aca="false">IF($A34="","",物件マスタ!Q34)</f>
        <v/>
      </c>
      <c r="H34" s="49" t="n">
        <f aca="false">IF($A34="","",物件マスタ!L34)</f>
        <v>0</v>
      </c>
      <c r="I34" s="49" t="n">
        <f aca="false">IF($A34="","",物件マスタ!M34)</f>
        <v>5930.27</v>
      </c>
      <c r="J34" s="43" t="n">
        <f aca="false">IF($A34="","",物件マスタ!S34)</f>
        <v>13100</v>
      </c>
      <c r="K34" s="43" t="n">
        <f aca="false">IF($A34="","",物件マスタ!U34)</f>
        <v>13400</v>
      </c>
      <c r="L34" s="50" t="n">
        <f aca="false">IF($A34="","",物件マスタ!W34)</f>
        <v>0.997</v>
      </c>
      <c r="M34" s="17" t="str">
        <f aca="false">IF($A34="","",IFERROR(INDEX(法人マスタ!$H:$H,MATCH($B34,法人マスタ!$A:$A,0)),""))</f>
        <v>2025年12月期（第39期）</v>
      </c>
      <c r="N34" s="51" t="n">
        <f aca="false">IF($A34="","",SUMIFS(物件収支!$D:$D,物件収支!$A:$A,$A34,物件収支!$C:$C,$M34))</f>
        <v>6</v>
      </c>
      <c r="O34" s="43" t="n">
        <f aca="false">IF($A34="","",SUMIFS(物件収支!$F:$F,物件収支!$A:$A,$A34,物件収支!$C:$C,$M34))</f>
        <v>0</v>
      </c>
      <c r="P34" s="43" t="n">
        <f aca="false">IF($A34="","",SUMIFS(物件収支!$I:$I,物件収支!$A:$A,$A34,物件収支!$C:$C,$M34))</f>
        <v>0</v>
      </c>
      <c r="Q34" s="43" t="n">
        <f aca="false">IF($A34="","",SUMIFS(物件収支!$O:$O,物件収支!$A:$A,$A34,物件収支!$C:$C,$M34))</f>
        <v>0</v>
      </c>
      <c r="R34" s="43" t="str">
        <f aca="false">IF($A34="","",IF(P34=0,"",O34-P34))</f>
        <v/>
      </c>
      <c r="S34" s="43" t="str">
        <f aca="false">IF($A34="","",IF(R34="","",R34+Q34))</f>
        <v/>
      </c>
      <c r="T34" s="43" t="str">
        <f aca="false">IF($A34="","",IF(OR(S34="",N34&lt;=0),"",S34/1000*12/N34))</f>
        <v/>
      </c>
      <c r="U34" s="52" t="str">
        <f aca="false">IF($A34="","",IF(OR(T34="",J34=0,J34=""),"",T34/J34))</f>
        <v/>
      </c>
      <c r="V34" s="52" t="str">
        <f aca="false">IF($A34="","",IF(OR(R34="",N34&lt;=0,J34=0,J34=""),"",(R34/1000*12/N34)/J34))</f>
        <v/>
      </c>
      <c r="W34" s="52" t="str">
        <f aca="false">IF($A34="","",IF(OR(T34="",K34=0,K34=""),"",T34/K34))</f>
        <v/>
      </c>
      <c r="X34" s="43" t="str">
        <f aca="false">IF($A34="","",IF(OR(N34&lt;=0,I34=0,I34="",O34=0),"",O34*1000/(I34*0.3025)/N34))</f>
        <v/>
      </c>
      <c r="Y34" s="50" t="str">
        <f aca="false">IF($A34="","",IF(OR(O34=0,O34="",P34=0),"",P34/O34))</f>
        <v/>
      </c>
      <c r="Z34" s="17" t="str">
        <f aca="false">IF($A34="","",IFERROR(INDEX(物件収支!$E:$E,MATCH($A34,物件収支!$A:$A,0)),""))</f>
        <v>非開示（テナント同意なし）</v>
      </c>
    </row>
    <row r="35" customFormat="false" ht="15" hidden="false" customHeight="true" outlineLevel="0" collapsed="false">
      <c r="A35" s="17" t="str">
        <f aca="false">IF(物件マスタ!A35="","",物件マスタ!A35)</f>
        <v>JEI-15</v>
      </c>
      <c r="B35" s="17" t="str">
        <f aca="false">IF($A35="","",物件マスタ!B35)</f>
        <v>JEI</v>
      </c>
      <c r="C35" s="17" t="str">
        <f aca="false">IF($A35="","",IFERROR(INDEX(法人マスタ!$C:$C,MATCH($B35,法人マスタ!$A:$A,0)),""))</f>
        <v>ジャパンエクセレント投資法人</v>
      </c>
      <c r="D35" s="17" t="str">
        <f aca="false">IF($A35="","",物件マスタ!C35)</f>
        <v>アークヒルズフロントタワー</v>
      </c>
      <c r="E35" s="17" t="str">
        <f aca="false">IF($A35="","",物件マスタ!H35)</f>
        <v>都心5区</v>
      </c>
      <c r="F35" s="48" t="n">
        <f aca="false">IF($A35="","",物件マスタ!P35)</f>
        <v>0</v>
      </c>
      <c r="G35" s="34" t="str">
        <f aca="false">IF($A35="","",物件マスタ!Q35)</f>
        <v/>
      </c>
      <c r="H35" s="49" t="n">
        <f aca="false">IF($A35="","",物件マスタ!L35)</f>
        <v>0</v>
      </c>
      <c r="I35" s="49" t="n">
        <f aca="false">IF($A35="","",物件マスタ!M35)</f>
        <v>8973.84</v>
      </c>
      <c r="J35" s="43" t="n">
        <f aca="false">IF($A35="","",物件マスタ!S35)</f>
        <v>17250</v>
      </c>
      <c r="K35" s="43" t="n">
        <f aca="false">IF($A35="","",物件マスタ!U35)</f>
        <v>17700</v>
      </c>
      <c r="L35" s="50" t="n">
        <f aca="false">IF($A35="","",物件マスタ!W35)</f>
        <v>1</v>
      </c>
      <c r="M35" s="17" t="str">
        <f aca="false">IF($A35="","",IFERROR(INDEX(法人マスタ!$H:$H,MATCH($B35,法人マスタ!$A:$A,0)),""))</f>
        <v>2025年12月期（第39期）</v>
      </c>
      <c r="N35" s="51" t="n">
        <f aca="false">IF($A35="","",SUMIFS(物件収支!$D:$D,物件収支!$A:$A,$A35,物件収支!$C:$C,$M35))</f>
        <v>6</v>
      </c>
      <c r="O35" s="43" t="n">
        <f aca="false">IF($A35="","",SUMIFS(物件収支!$F:$F,物件収支!$A:$A,$A35,物件収支!$C:$C,$M35))</f>
        <v>421097</v>
      </c>
      <c r="P35" s="43" t="n">
        <f aca="false">IF($A35="","",SUMIFS(物件収支!$I:$I,物件収支!$A:$A,$A35,物件収支!$C:$C,$M35))</f>
        <v>0</v>
      </c>
      <c r="Q35" s="43" t="n">
        <f aca="false">IF($A35="","",SUMIFS(物件収支!$O:$O,物件収支!$A:$A,$A35,物件収支!$C:$C,$M35))</f>
        <v>0</v>
      </c>
      <c r="R35" s="43" t="str">
        <f aca="false">IF($A35="","",IF(P35=0,"",O35-P35))</f>
        <v/>
      </c>
      <c r="S35" s="43" t="str">
        <f aca="false">IF($A35="","",IF(R35="","",R35+Q35))</f>
        <v/>
      </c>
      <c r="T35" s="43" t="str">
        <f aca="false">IF($A35="","",IF(OR(S35="",N35&lt;=0),"",S35/1000*12/N35))</f>
        <v/>
      </c>
      <c r="U35" s="52" t="str">
        <f aca="false">IF($A35="","",IF(OR(T35="",J35=0,J35=""),"",T35/J35))</f>
        <v/>
      </c>
      <c r="V35" s="52" t="str">
        <f aca="false">IF($A35="","",IF(OR(R35="",N35&lt;=0,J35=0,J35=""),"",(R35/1000*12/N35)/J35))</f>
        <v/>
      </c>
      <c r="W35" s="52" t="str">
        <f aca="false">IF($A35="","",IF(OR(T35="",K35=0,K35=""),"",T35/K35))</f>
        <v/>
      </c>
      <c r="X35" s="43" t="n">
        <f aca="false">IF($A35="","",IF(OR(N35&lt;=0,I35=0,I35="",O35=0),"",O35*1000/(I35*0.3025)/N35))</f>
        <v>25853.9673530155</v>
      </c>
      <c r="Y35" s="50" t="str">
        <f aca="false">IF($A35="","",IF(OR(O35=0,O35="",P35=0),"",P35/O35))</f>
        <v/>
      </c>
      <c r="Z35" s="17" t="str">
        <f aca="false">IF($A35="","",IFERROR(INDEX(物件収支!$E:$E,MATCH($A35,物件収支!$A:$A,0)),""))</f>
        <v>一部開示（収益のみ）</v>
      </c>
    </row>
    <row r="36" customFormat="false" ht="15" hidden="false" customHeight="true" outlineLevel="0" collapsed="false">
      <c r="A36" s="17" t="str">
        <f aca="false">IF(物件マスタ!A36="","",物件マスタ!A36)</f>
        <v>JEI-16</v>
      </c>
      <c r="B36" s="17" t="str">
        <f aca="false">IF($A36="","",物件マスタ!B36)</f>
        <v>JEI</v>
      </c>
      <c r="C36" s="17" t="str">
        <f aca="false">IF($A36="","",IFERROR(INDEX(法人マスタ!$C:$C,MATCH($B36,法人マスタ!$A:$A,0)),""))</f>
        <v>ジャパンエクセレント投資法人</v>
      </c>
      <c r="D36" s="17" t="str">
        <f aca="false">IF($A36="","",物件マスタ!C36)</f>
        <v>NHK名古屋放送センタービル</v>
      </c>
      <c r="E36" s="17" t="str">
        <f aca="false">IF($A36="","",物件マスタ!H36)</f>
        <v>その他3大都市圏</v>
      </c>
      <c r="F36" s="48" t="n">
        <f aca="false">IF($A36="","",物件マスタ!P36)</f>
        <v>0</v>
      </c>
      <c r="G36" s="34" t="str">
        <f aca="false">IF($A36="","",物件マスタ!Q36)</f>
        <v/>
      </c>
      <c r="H36" s="49" t="n">
        <f aca="false">IF($A36="","",物件マスタ!L36)</f>
        <v>0</v>
      </c>
      <c r="I36" s="49" t="n">
        <f aca="false">IF($A36="","",物件マスタ!M36)</f>
        <v>11773.6</v>
      </c>
      <c r="J36" s="43" t="n">
        <f aca="false">IF($A36="","",物件マスタ!S36)</f>
        <v>5610</v>
      </c>
      <c r="K36" s="43" t="n">
        <f aca="false">IF($A36="","",物件マスタ!U36)</f>
        <v>5100</v>
      </c>
      <c r="L36" s="50" t="n">
        <f aca="false">IF($A36="","",物件マスタ!W36)</f>
        <v>0.97</v>
      </c>
      <c r="M36" s="17" t="str">
        <f aca="false">IF($A36="","",IFERROR(INDEX(法人マスタ!$H:$H,MATCH($B36,法人マスタ!$A:$A,0)),""))</f>
        <v>2025年12月期（第39期）</v>
      </c>
      <c r="N36" s="51" t="n">
        <f aca="false">IF($A36="","",SUMIFS(物件収支!$D:$D,物件収支!$A:$A,$A36,物件収支!$C:$C,$M36))</f>
        <v>6</v>
      </c>
      <c r="O36" s="43" t="n">
        <f aca="false">IF($A36="","",SUMIFS(物件収支!$F:$F,物件収支!$A:$A,$A36,物件収支!$C:$C,$M36))</f>
        <v>369172</v>
      </c>
      <c r="P36" s="43" t="n">
        <f aca="false">IF($A36="","",SUMIFS(物件収支!$I:$I,物件収支!$A:$A,$A36,物件収支!$C:$C,$M36))</f>
        <v>0</v>
      </c>
      <c r="Q36" s="43" t="n">
        <f aca="false">IF($A36="","",SUMIFS(物件収支!$O:$O,物件収支!$A:$A,$A36,物件収支!$C:$C,$M36))</f>
        <v>0</v>
      </c>
      <c r="R36" s="43" t="str">
        <f aca="false">IF($A36="","",IF(P36=0,"",O36-P36))</f>
        <v/>
      </c>
      <c r="S36" s="43" t="str">
        <f aca="false">IF($A36="","",IF(R36="","",R36+Q36))</f>
        <v/>
      </c>
      <c r="T36" s="43" t="str">
        <f aca="false">IF($A36="","",IF(OR(S36="",N36&lt;=0),"",S36/1000*12/N36))</f>
        <v/>
      </c>
      <c r="U36" s="52" t="str">
        <f aca="false">IF($A36="","",IF(OR(T36="",J36=0,J36=""),"",T36/J36))</f>
        <v/>
      </c>
      <c r="V36" s="52" t="str">
        <f aca="false">IF($A36="","",IF(OR(R36="",N36&lt;=0,J36=0,J36=""),"",(R36/1000*12/N36)/J36))</f>
        <v/>
      </c>
      <c r="W36" s="52" t="str">
        <f aca="false">IF($A36="","",IF(OR(T36="",K36=0,K36=""),"",T36/K36))</f>
        <v/>
      </c>
      <c r="X36" s="43" t="n">
        <f aca="false">IF($A36="","",IF(OR(N36&lt;=0,I36=0,I36="",O36=0),"",O36*1000/(I36*0.3025)/N36))</f>
        <v>17275.986186399</v>
      </c>
      <c r="Y36" s="50" t="str">
        <f aca="false">IF($A36="","",IF(OR(O36=0,O36="",P36=0),"",P36/O36))</f>
        <v/>
      </c>
      <c r="Z36" s="17" t="str">
        <f aca="false">IF($A36="","",IFERROR(INDEX(物件収支!$E:$E,MATCH($A36,物件収支!$A:$A,0)),""))</f>
        <v>一部開示（収益のみ）</v>
      </c>
    </row>
    <row r="37" customFormat="false" ht="15" hidden="false" customHeight="true" outlineLevel="0" collapsed="false">
      <c r="A37" s="17" t="str">
        <f aca="false">IF(物件マスタ!A37="","",物件マスタ!A37)</f>
        <v>JEI-17</v>
      </c>
      <c r="B37" s="17" t="str">
        <f aca="false">IF($A37="","",物件マスタ!B37)</f>
        <v>JEI</v>
      </c>
      <c r="C37" s="17" t="str">
        <f aca="false">IF($A37="","",IFERROR(INDEX(法人マスタ!$C:$C,MATCH($B37,法人マスタ!$A:$A,0)),""))</f>
        <v>ジャパンエクセレント投資法人</v>
      </c>
      <c r="D37" s="17" t="str">
        <f aca="false">IF($A37="","",物件マスタ!C37)</f>
        <v>グランフロント大阪（うめきた広場・南館）</v>
      </c>
      <c r="E37" s="17" t="str">
        <f aca="false">IF($A37="","",物件マスタ!H37)</f>
        <v>その他3大都市圏</v>
      </c>
      <c r="F37" s="48" t="n">
        <f aca="false">IF($A37="","",物件マスタ!P37)</f>
        <v>0</v>
      </c>
      <c r="G37" s="34" t="str">
        <f aca="false">IF($A37="","",物件マスタ!Q37)</f>
        <v/>
      </c>
      <c r="H37" s="49" t="n">
        <f aca="false">IF($A37="","",物件マスタ!L37)</f>
        <v>0</v>
      </c>
      <c r="I37" s="49" t="n">
        <f aca="false">IF($A37="","",物件マスタ!M37)</f>
        <v>5084.45</v>
      </c>
      <c r="J37" s="43" t="n">
        <f aca="false">IF($A37="","",物件マスタ!S37)</f>
        <v>9518</v>
      </c>
      <c r="K37" s="43" t="n">
        <f aca="false">IF($A37="","",物件マスタ!U37)</f>
        <v>10600</v>
      </c>
      <c r="L37" s="50" t="n">
        <f aca="false">IF($A37="","",物件マスタ!W37)</f>
        <v>0.986</v>
      </c>
      <c r="M37" s="17" t="str">
        <f aca="false">IF($A37="","",IFERROR(INDEX(法人マスタ!$H:$H,MATCH($B37,法人マスタ!$A:$A,0)),""))</f>
        <v>2025年12月期（第39期）</v>
      </c>
      <c r="N37" s="51" t="n">
        <f aca="false">IF($A37="","",SUMIFS(物件収支!$D:$D,物件収支!$A:$A,$A37,物件収支!$C:$C,$M37))</f>
        <v>6</v>
      </c>
      <c r="O37" s="43" t="n">
        <f aca="false">IF($A37="","",SUMIFS(物件収支!$F:$F,物件収支!$A:$A,$A37,物件収支!$C:$C,$M37))</f>
        <v>0</v>
      </c>
      <c r="P37" s="43" t="n">
        <f aca="false">IF($A37="","",SUMIFS(物件収支!$I:$I,物件収支!$A:$A,$A37,物件収支!$C:$C,$M37))</f>
        <v>0</v>
      </c>
      <c r="Q37" s="43" t="n">
        <f aca="false">IF($A37="","",SUMIFS(物件収支!$O:$O,物件収支!$A:$A,$A37,物件収支!$C:$C,$M37))</f>
        <v>0</v>
      </c>
      <c r="R37" s="43" t="str">
        <f aca="false">IF($A37="","",IF(P37=0,"",O37-P37))</f>
        <v/>
      </c>
      <c r="S37" s="43" t="str">
        <f aca="false">IF($A37="","",IF(R37="","",R37+Q37))</f>
        <v/>
      </c>
      <c r="T37" s="43" t="str">
        <f aca="false">IF($A37="","",IF(OR(S37="",N37&lt;=0),"",S37/1000*12/N37))</f>
        <v/>
      </c>
      <c r="U37" s="52" t="str">
        <f aca="false">IF($A37="","",IF(OR(T37="",J37=0,J37=""),"",T37/J37))</f>
        <v/>
      </c>
      <c r="V37" s="52" t="str">
        <f aca="false">IF($A37="","",IF(OR(R37="",N37&lt;=0,J37=0,J37=""),"",(R37/1000*12/N37)/J37))</f>
        <v/>
      </c>
      <c r="W37" s="52" t="str">
        <f aca="false">IF($A37="","",IF(OR(T37="",K37=0,K37=""),"",T37/K37))</f>
        <v/>
      </c>
      <c r="X37" s="43" t="str">
        <f aca="false">IF($A37="","",IF(OR(N37&lt;=0,I37=0,I37="",O37=0),"",O37*1000/(I37*0.3025)/N37))</f>
        <v/>
      </c>
      <c r="Y37" s="50" t="str">
        <f aca="false">IF($A37="","",IF(OR(O37=0,O37="",P37=0),"",P37/O37))</f>
        <v/>
      </c>
      <c r="Z37" s="17" t="str">
        <f aca="false">IF($A37="","",IFERROR(INDEX(物件収支!$E:$E,MATCH($A37,物件収支!$A:$A,0)),""))</f>
        <v>非開示（テナント同意なし）</v>
      </c>
    </row>
    <row r="38" customFormat="false" ht="15" hidden="false" customHeight="true" outlineLevel="0" collapsed="false">
      <c r="A38" s="17" t="str">
        <f aca="false">IF(物件マスタ!A38="","",物件マスタ!A38)</f>
        <v>JEI-18</v>
      </c>
      <c r="B38" s="17" t="str">
        <f aca="false">IF($A38="","",物件マスタ!B38)</f>
        <v>JEI</v>
      </c>
      <c r="C38" s="17" t="str">
        <f aca="false">IF($A38="","",IFERROR(INDEX(法人マスタ!$C:$C,MATCH($B38,法人マスタ!$A:$A,0)),""))</f>
        <v>ジャパンエクセレント投資法人</v>
      </c>
      <c r="D38" s="17" t="str">
        <f aca="false">IF($A38="","",物件マスタ!C38)</f>
        <v>グランフロント大阪（北館）</v>
      </c>
      <c r="E38" s="17" t="str">
        <f aca="false">IF($A38="","",物件マスタ!H38)</f>
        <v>その他3大都市圏</v>
      </c>
      <c r="F38" s="48" t="n">
        <f aca="false">IF($A38="","",物件マスタ!P38)</f>
        <v>0</v>
      </c>
      <c r="G38" s="34" t="str">
        <f aca="false">IF($A38="","",物件マスタ!Q38)</f>
        <v/>
      </c>
      <c r="H38" s="49" t="n">
        <f aca="false">IF($A38="","",物件マスタ!L38)</f>
        <v>0</v>
      </c>
      <c r="I38" s="49" t="n">
        <f aca="false">IF($A38="","",物件マスタ!M38)</f>
        <v>8025.61</v>
      </c>
      <c r="J38" s="43" t="n">
        <f aca="false">IF($A38="","",物件マスタ!S38)</f>
        <v>7632</v>
      </c>
      <c r="K38" s="43" t="n">
        <f aca="false">IF($A38="","",物件マスタ!U38)</f>
        <v>8410</v>
      </c>
      <c r="L38" s="50" t="n">
        <f aca="false">IF($A38="","",物件マスタ!W38)</f>
        <v>0.961</v>
      </c>
      <c r="M38" s="17" t="str">
        <f aca="false">IF($A38="","",IFERROR(INDEX(法人マスタ!$H:$H,MATCH($B38,法人マスタ!$A:$A,0)),""))</f>
        <v>2025年12月期（第39期）</v>
      </c>
      <c r="N38" s="51" t="n">
        <f aca="false">IF($A38="","",SUMIFS(物件収支!$D:$D,物件収支!$A:$A,$A38,物件収支!$C:$C,$M38))</f>
        <v>6</v>
      </c>
      <c r="O38" s="43" t="n">
        <f aca="false">IF($A38="","",SUMIFS(物件収支!$F:$F,物件収支!$A:$A,$A38,物件収支!$C:$C,$M38))</f>
        <v>0</v>
      </c>
      <c r="P38" s="43" t="n">
        <f aca="false">IF($A38="","",SUMIFS(物件収支!$I:$I,物件収支!$A:$A,$A38,物件収支!$C:$C,$M38))</f>
        <v>0</v>
      </c>
      <c r="Q38" s="43" t="n">
        <f aca="false">IF($A38="","",SUMIFS(物件収支!$O:$O,物件収支!$A:$A,$A38,物件収支!$C:$C,$M38))</f>
        <v>0</v>
      </c>
      <c r="R38" s="43" t="str">
        <f aca="false">IF($A38="","",IF(P38=0,"",O38-P38))</f>
        <v/>
      </c>
      <c r="S38" s="43" t="str">
        <f aca="false">IF($A38="","",IF(R38="","",R38+Q38))</f>
        <v/>
      </c>
      <c r="T38" s="43" t="str">
        <f aca="false">IF($A38="","",IF(OR(S38="",N38&lt;=0),"",S38/1000*12/N38))</f>
        <v/>
      </c>
      <c r="U38" s="52" t="str">
        <f aca="false">IF($A38="","",IF(OR(T38="",J38=0,J38=""),"",T38/J38))</f>
        <v/>
      </c>
      <c r="V38" s="52" t="str">
        <f aca="false">IF($A38="","",IF(OR(R38="",N38&lt;=0,J38=0,J38=""),"",(R38/1000*12/N38)/J38))</f>
        <v/>
      </c>
      <c r="W38" s="52" t="str">
        <f aca="false">IF($A38="","",IF(OR(T38="",K38=0,K38=""),"",T38/K38))</f>
        <v/>
      </c>
      <c r="X38" s="43" t="str">
        <f aca="false">IF($A38="","",IF(OR(N38&lt;=0,I38=0,I38="",O38=0),"",O38*1000/(I38*0.3025)/N38))</f>
        <v/>
      </c>
      <c r="Y38" s="50" t="str">
        <f aca="false">IF($A38="","",IF(OR(O38=0,O38="",P38=0),"",P38/O38))</f>
        <v/>
      </c>
      <c r="Z38" s="17" t="str">
        <f aca="false">IF($A38="","",IFERROR(INDEX(物件収支!$E:$E,MATCH($A38,物件収支!$A:$A,0)),""))</f>
        <v>非開示（テナント同意なし）</v>
      </c>
    </row>
    <row r="39" customFormat="false" ht="15" hidden="false" customHeight="true" outlineLevel="0" collapsed="false">
      <c r="A39" s="17" t="str">
        <f aca="false">IF(物件マスタ!A39="","",物件マスタ!A39)</f>
        <v>JEI-19</v>
      </c>
      <c r="B39" s="17" t="str">
        <f aca="false">IF($A39="","",物件マスタ!B39)</f>
        <v>JEI</v>
      </c>
      <c r="C39" s="17" t="str">
        <f aca="false">IF($A39="","",IFERROR(INDEX(法人マスタ!$C:$C,MATCH($B39,法人マスタ!$A:$A,0)),""))</f>
        <v>ジャパンエクセレント投資法人</v>
      </c>
      <c r="D39" s="17" t="str">
        <f aca="false">IF($A39="","",物件マスタ!C39)</f>
        <v>武蔵小杉タワープレイス</v>
      </c>
      <c r="E39" s="17" t="str">
        <f aca="false">IF($A39="","",物件マスタ!H39)</f>
        <v>東京周辺都市部</v>
      </c>
      <c r="F39" s="48" t="n">
        <f aca="false">IF($A39="","",物件マスタ!P39)</f>
        <v>0</v>
      </c>
      <c r="G39" s="34" t="str">
        <f aca="false">IF($A39="","",物件マスタ!Q39)</f>
        <v/>
      </c>
      <c r="H39" s="49" t="n">
        <f aca="false">IF($A39="","",物件マスタ!L39)</f>
        <v>0</v>
      </c>
      <c r="I39" s="49" t="n">
        <f aca="false">IF($A39="","",物件マスタ!M39)</f>
        <v>24928.37</v>
      </c>
      <c r="J39" s="43" t="n">
        <f aca="false">IF($A39="","",物件マスタ!S39)</f>
        <v>13890</v>
      </c>
      <c r="K39" s="43" t="n">
        <f aca="false">IF($A39="","",物件マスタ!U39)</f>
        <v>22900</v>
      </c>
      <c r="L39" s="50" t="n">
        <f aca="false">IF($A39="","",物件マスタ!W39)</f>
        <v>1</v>
      </c>
      <c r="M39" s="17" t="str">
        <f aca="false">IF($A39="","",IFERROR(INDEX(法人マスタ!$H:$H,MATCH($B39,法人マスタ!$A:$A,0)),""))</f>
        <v>2025年12月期（第39期）</v>
      </c>
      <c r="N39" s="51" t="n">
        <f aca="false">IF($A39="","",SUMIFS(物件収支!$D:$D,物件収支!$A:$A,$A39,物件収支!$C:$C,$M39))</f>
        <v>6</v>
      </c>
      <c r="O39" s="43" t="n">
        <f aca="false">IF($A39="","",SUMIFS(物件収支!$F:$F,物件収支!$A:$A,$A39,物件収支!$C:$C,$M39))</f>
        <v>807893</v>
      </c>
      <c r="P39" s="43" t="n">
        <f aca="false">IF($A39="","",SUMIFS(物件収支!$I:$I,物件収支!$A:$A,$A39,物件収支!$C:$C,$M39))</f>
        <v>0</v>
      </c>
      <c r="Q39" s="43" t="n">
        <f aca="false">IF($A39="","",SUMIFS(物件収支!$O:$O,物件収支!$A:$A,$A39,物件収支!$C:$C,$M39))</f>
        <v>0</v>
      </c>
      <c r="R39" s="43" t="str">
        <f aca="false">IF($A39="","",IF(P39=0,"",O39-P39))</f>
        <v/>
      </c>
      <c r="S39" s="43" t="str">
        <f aca="false">IF($A39="","",IF(R39="","",R39+Q39))</f>
        <v/>
      </c>
      <c r="T39" s="43" t="str">
        <f aca="false">IF($A39="","",IF(OR(S39="",N39&lt;=0),"",S39/1000*12/N39))</f>
        <v/>
      </c>
      <c r="U39" s="52" t="str">
        <f aca="false">IF($A39="","",IF(OR(T39="",J39=0,J39=""),"",T39/J39))</f>
        <v/>
      </c>
      <c r="V39" s="52" t="str">
        <f aca="false">IF($A39="","",IF(OR(R39="",N39&lt;=0,J39=0,J39=""),"",(R39/1000*12/N39)/J39))</f>
        <v/>
      </c>
      <c r="W39" s="52" t="str">
        <f aca="false">IF($A39="","",IF(OR(T39="",K39=0,K39=""),"",T39/K39))</f>
        <v/>
      </c>
      <c r="X39" s="43" t="n">
        <f aca="false">IF($A39="","",IF(OR(N39&lt;=0,I39=0,I39="",O39=0),"",O39*1000/(I39*0.3025)/N39))</f>
        <v>17855.9653195471</v>
      </c>
      <c r="Y39" s="50" t="str">
        <f aca="false">IF($A39="","",IF(OR(O39=0,O39="",P39=0),"",P39/O39))</f>
        <v/>
      </c>
      <c r="Z39" s="17" t="str">
        <f aca="false">IF($A39="","",IFERROR(INDEX(物件収支!$E:$E,MATCH($A39,物件収支!$A:$A,0)),""))</f>
        <v>一部開示（収益のみ）</v>
      </c>
    </row>
    <row r="40" customFormat="false" ht="15" hidden="false" customHeight="true" outlineLevel="0" collapsed="false">
      <c r="A40" s="17" t="str">
        <f aca="false">IF(物件マスタ!A40="","",物件マスタ!A40)</f>
        <v>JEI-20</v>
      </c>
      <c r="B40" s="17" t="str">
        <f aca="false">IF($A40="","",物件マスタ!B40)</f>
        <v>JEI</v>
      </c>
      <c r="C40" s="17" t="str">
        <f aca="false">IF($A40="","",IFERROR(INDEX(法人マスタ!$C:$C,MATCH($B40,法人マスタ!$A:$A,0)),""))</f>
        <v>ジャパンエクセレント投資法人</v>
      </c>
      <c r="D40" s="17" t="str">
        <f aca="false">IF($A40="","",物件マスタ!C40)</f>
        <v>川崎日進町ビルディング</v>
      </c>
      <c r="E40" s="17" t="str">
        <f aca="false">IF($A40="","",物件マスタ!H40)</f>
        <v>東京周辺都市部</v>
      </c>
      <c r="F40" s="48" t="n">
        <f aca="false">IF($A40="","",物件マスタ!P40)</f>
        <v>0</v>
      </c>
      <c r="G40" s="34" t="str">
        <f aca="false">IF($A40="","",物件マスタ!Q40)</f>
        <v/>
      </c>
      <c r="H40" s="49" t="n">
        <f aca="false">IF($A40="","",物件マスタ!L40)</f>
        <v>0</v>
      </c>
      <c r="I40" s="49" t="n">
        <f aca="false">IF($A40="","",物件マスタ!M40)</f>
        <v>10466.21</v>
      </c>
      <c r="J40" s="43" t="n">
        <f aca="false">IF($A40="","",物件マスタ!S40)</f>
        <v>4725</v>
      </c>
      <c r="K40" s="43" t="n">
        <f aca="false">IF($A40="","",物件マスタ!U40)</f>
        <v>3520</v>
      </c>
      <c r="L40" s="50" t="n">
        <f aca="false">IF($A40="","",物件マスタ!W40)</f>
        <v>1</v>
      </c>
      <c r="M40" s="17" t="str">
        <f aca="false">IF($A40="","",IFERROR(INDEX(法人マスタ!$H:$H,MATCH($B40,法人マスタ!$A:$A,0)),""))</f>
        <v>2025年12月期（第39期）</v>
      </c>
      <c r="N40" s="51" t="n">
        <f aca="false">IF($A40="","",SUMIFS(物件収支!$D:$D,物件収支!$A:$A,$A40,物件収支!$C:$C,$M40))</f>
        <v>6</v>
      </c>
      <c r="O40" s="43" t="n">
        <f aca="false">IF($A40="","",SUMIFS(物件収支!$F:$F,物件収支!$A:$A,$A40,物件収支!$C:$C,$M40))</f>
        <v>217275</v>
      </c>
      <c r="P40" s="43" t="n">
        <f aca="false">IF($A40="","",SUMIFS(物件収支!$I:$I,物件収支!$A:$A,$A40,物件収支!$C:$C,$M40))</f>
        <v>0</v>
      </c>
      <c r="Q40" s="43" t="n">
        <f aca="false">IF($A40="","",SUMIFS(物件収支!$O:$O,物件収支!$A:$A,$A40,物件収支!$C:$C,$M40))</f>
        <v>0</v>
      </c>
      <c r="R40" s="43" t="str">
        <f aca="false">IF($A40="","",IF(P40=0,"",O40-P40))</f>
        <v/>
      </c>
      <c r="S40" s="43" t="str">
        <f aca="false">IF($A40="","",IF(R40="","",R40+Q40))</f>
        <v/>
      </c>
      <c r="T40" s="43" t="str">
        <f aca="false">IF($A40="","",IF(OR(S40="",N40&lt;=0),"",S40/1000*12/N40))</f>
        <v/>
      </c>
      <c r="U40" s="52" t="str">
        <f aca="false">IF($A40="","",IF(OR(T40="",J40=0,J40=""),"",T40/J40))</f>
        <v/>
      </c>
      <c r="V40" s="52" t="str">
        <f aca="false">IF($A40="","",IF(OR(R40="",N40&lt;=0,J40=0,J40=""),"",(R40/1000*12/N40)/J40))</f>
        <v/>
      </c>
      <c r="W40" s="52" t="str">
        <f aca="false">IF($A40="","",IF(OR(T40="",K40=0,K40=""),"",T40/K40))</f>
        <v/>
      </c>
      <c r="X40" s="43" t="n">
        <f aca="false">IF($A40="","",IF(OR(N40&lt;=0,I40=0,I40="",O40=0),"",O40*1000/(I40*0.3025)/N40))</f>
        <v>11437.8312494831</v>
      </c>
      <c r="Y40" s="50" t="str">
        <f aca="false">IF($A40="","",IF(OR(O40=0,O40="",P40=0),"",P40/O40))</f>
        <v/>
      </c>
      <c r="Z40" s="17" t="str">
        <f aca="false">IF($A40="","",IFERROR(INDEX(物件収支!$E:$E,MATCH($A40,物件収支!$A:$A,0)),""))</f>
        <v>一部開示（収益のみ）</v>
      </c>
    </row>
    <row r="41" customFormat="false" ht="15" hidden="false" customHeight="true" outlineLevel="0" collapsed="false">
      <c r="A41" s="17" t="str">
        <f aca="false">IF(物件マスタ!A41="","",物件マスタ!A41)</f>
        <v>JEI-21</v>
      </c>
      <c r="B41" s="17" t="str">
        <f aca="false">IF($A41="","",物件マスタ!B41)</f>
        <v>JEI</v>
      </c>
      <c r="C41" s="17" t="str">
        <f aca="false">IF($A41="","",IFERROR(INDEX(法人マスタ!$C:$C,MATCH($B41,法人マスタ!$A:$A,0)),""))</f>
        <v>ジャパンエクセレント投資法人</v>
      </c>
      <c r="D41" s="17" t="str">
        <f aca="false">IF($A41="","",物件マスタ!C41)</f>
        <v>JEI両国ビル</v>
      </c>
      <c r="E41" s="17" t="str">
        <f aca="false">IF($A41="","",物件マスタ!H41)</f>
        <v>その他東京23区</v>
      </c>
      <c r="F41" s="48" t="n">
        <f aca="false">IF($A41="","",物件マスタ!P41)</f>
        <v>0</v>
      </c>
      <c r="G41" s="34" t="str">
        <f aca="false">IF($A41="","",物件マスタ!Q41)</f>
        <v/>
      </c>
      <c r="H41" s="49" t="n">
        <f aca="false">IF($A41="","",物件マスタ!L41)</f>
        <v>0</v>
      </c>
      <c r="I41" s="49" t="n">
        <f aca="false">IF($A41="","",物件マスタ!M41)</f>
        <v>3871.64</v>
      </c>
      <c r="J41" s="43" t="n">
        <f aca="false">IF($A41="","",物件マスタ!S41)</f>
        <v>2550</v>
      </c>
      <c r="K41" s="43" t="n">
        <f aca="false">IF($A41="","",物件マスタ!U41)</f>
        <v>3070</v>
      </c>
      <c r="L41" s="50" t="n">
        <f aca="false">IF($A41="","",物件マスタ!W41)</f>
        <v>1</v>
      </c>
      <c r="M41" s="17" t="str">
        <f aca="false">IF($A41="","",IFERROR(INDEX(法人マスタ!$H:$H,MATCH($B41,法人マスタ!$A:$A,0)),""))</f>
        <v>2025年12月期（第39期）</v>
      </c>
      <c r="N41" s="51" t="n">
        <f aca="false">IF($A41="","",SUMIFS(物件収支!$D:$D,物件収支!$A:$A,$A41,物件収支!$C:$C,$M41))</f>
        <v>6</v>
      </c>
      <c r="O41" s="43" t="n">
        <f aca="false">IF($A41="","",SUMIFS(物件収支!$F:$F,物件収支!$A:$A,$A41,物件収支!$C:$C,$M41))</f>
        <v>126752</v>
      </c>
      <c r="P41" s="43" t="n">
        <f aca="false">IF($A41="","",SUMIFS(物件収支!$I:$I,物件収支!$A:$A,$A41,物件収支!$C:$C,$M41))</f>
        <v>0</v>
      </c>
      <c r="Q41" s="43" t="n">
        <f aca="false">IF($A41="","",SUMIFS(物件収支!$O:$O,物件収支!$A:$A,$A41,物件収支!$C:$C,$M41))</f>
        <v>0</v>
      </c>
      <c r="R41" s="43" t="str">
        <f aca="false">IF($A41="","",IF(P41=0,"",O41-P41))</f>
        <v/>
      </c>
      <c r="S41" s="43" t="str">
        <f aca="false">IF($A41="","",IF(R41="","",R41+Q41))</f>
        <v/>
      </c>
      <c r="T41" s="43" t="str">
        <f aca="false">IF($A41="","",IF(OR(S41="",N41&lt;=0),"",S41/1000*12/N41))</f>
        <v/>
      </c>
      <c r="U41" s="52" t="str">
        <f aca="false">IF($A41="","",IF(OR(T41="",J41=0,J41=""),"",T41/J41))</f>
        <v/>
      </c>
      <c r="V41" s="52" t="str">
        <f aca="false">IF($A41="","",IF(OR(R41="",N41&lt;=0,J41=0,J41=""),"",(R41/1000*12/N41)/J41))</f>
        <v/>
      </c>
      <c r="W41" s="52" t="str">
        <f aca="false">IF($A41="","",IF(OR(T41="",K41=0,K41=""),"",T41/K41))</f>
        <v/>
      </c>
      <c r="X41" s="43" t="n">
        <f aca="false">IF($A41="","",IF(OR(N41&lt;=0,I41=0,I41="",O41=0),"",O41*1000/(I41*0.3025)/N41))</f>
        <v>18037.785711527</v>
      </c>
      <c r="Y41" s="50" t="str">
        <f aca="false">IF($A41="","",IF(OR(O41=0,O41="",P41=0),"",P41/O41))</f>
        <v/>
      </c>
      <c r="Z41" s="17" t="str">
        <f aca="false">IF($A41="","",IFERROR(INDEX(物件収支!$E:$E,MATCH($A41,物件収支!$A:$A,0)),""))</f>
        <v>一部開示（収益のみ）</v>
      </c>
    </row>
    <row r="42" customFormat="false" ht="15" hidden="false" customHeight="true" outlineLevel="0" collapsed="false">
      <c r="A42" s="17" t="str">
        <f aca="false">IF(物件マスタ!A42="","",物件マスタ!A42)</f>
        <v>JEI-22</v>
      </c>
      <c r="B42" s="17" t="str">
        <f aca="false">IF($A42="","",物件マスタ!B42)</f>
        <v>JEI</v>
      </c>
      <c r="C42" s="17" t="str">
        <f aca="false">IF($A42="","",IFERROR(INDEX(法人マスタ!$C:$C,MATCH($B42,法人マスタ!$A:$A,0)),""))</f>
        <v>ジャパンエクセレント投資法人</v>
      </c>
      <c r="D42" s="17" t="str">
        <f aca="false">IF($A42="","",物件マスタ!C42)</f>
        <v>コアシティ立川</v>
      </c>
      <c r="E42" s="17" t="str">
        <f aca="false">IF($A42="","",物件マスタ!H42)</f>
        <v>東京周辺都市部</v>
      </c>
      <c r="F42" s="48" t="n">
        <f aca="false">IF($A42="","",物件マスタ!P42)</f>
        <v>0</v>
      </c>
      <c r="G42" s="34" t="str">
        <f aca="false">IF($A42="","",物件マスタ!Q42)</f>
        <v/>
      </c>
      <c r="H42" s="49" t="n">
        <f aca="false">IF($A42="","",物件マスタ!L42)</f>
        <v>0</v>
      </c>
      <c r="I42" s="49" t="n">
        <f aca="false">IF($A42="","",物件マスタ!M42)</f>
        <v>9228.13</v>
      </c>
      <c r="J42" s="43" t="n">
        <f aca="false">IF($A42="","",物件マスタ!S42)</f>
        <v>6500</v>
      </c>
      <c r="K42" s="43" t="n">
        <f aca="false">IF($A42="","",物件マスタ!U42)</f>
        <v>10200</v>
      </c>
      <c r="L42" s="50" t="n">
        <f aca="false">IF($A42="","",物件マスタ!W42)</f>
        <v>1</v>
      </c>
      <c r="M42" s="17" t="str">
        <f aca="false">IF($A42="","",IFERROR(INDEX(法人マスタ!$H:$H,MATCH($B42,法人マスタ!$A:$A,0)),""))</f>
        <v>2025年12月期（第39期）</v>
      </c>
      <c r="N42" s="51" t="n">
        <f aca="false">IF($A42="","",SUMIFS(物件収支!$D:$D,物件収支!$A:$A,$A42,物件収支!$C:$C,$M42))</f>
        <v>6</v>
      </c>
      <c r="O42" s="43" t="n">
        <f aca="false">IF($A42="","",SUMIFS(物件収支!$F:$F,物件収支!$A:$A,$A42,物件収支!$C:$C,$M42))</f>
        <v>318929</v>
      </c>
      <c r="P42" s="43" t="n">
        <f aca="false">IF($A42="","",SUMIFS(物件収支!$I:$I,物件収支!$A:$A,$A42,物件収支!$C:$C,$M42))</f>
        <v>0</v>
      </c>
      <c r="Q42" s="43" t="n">
        <f aca="false">IF($A42="","",SUMIFS(物件収支!$O:$O,物件収支!$A:$A,$A42,物件収支!$C:$C,$M42))</f>
        <v>0</v>
      </c>
      <c r="R42" s="43" t="str">
        <f aca="false">IF($A42="","",IF(P42=0,"",O42-P42))</f>
        <v/>
      </c>
      <c r="S42" s="43" t="str">
        <f aca="false">IF($A42="","",IF(R42="","",R42+Q42))</f>
        <v/>
      </c>
      <c r="T42" s="43" t="str">
        <f aca="false">IF($A42="","",IF(OR(S42="",N42&lt;=0),"",S42/1000*12/N42))</f>
        <v/>
      </c>
      <c r="U42" s="52" t="str">
        <f aca="false">IF($A42="","",IF(OR(T42="",J42=0,J42=""),"",T42/J42))</f>
        <v/>
      </c>
      <c r="V42" s="52" t="str">
        <f aca="false">IF($A42="","",IF(OR(R42="",N42&lt;=0,J42=0,J42=""),"",(R42/1000*12/N42)/J42))</f>
        <v/>
      </c>
      <c r="W42" s="52" t="str">
        <f aca="false">IF($A42="","",IF(OR(T42="",K42=0,K42=""),"",T42/K42))</f>
        <v/>
      </c>
      <c r="X42" s="43" t="n">
        <f aca="false">IF($A42="","",IF(OR(N42&lt;=0,I42=0,I42="",O42=0),"",O42*1000/(I42*0.3025)/N42))</f>
        <v>19041.6105213381</v>
      </c>
      <c r="Y42" s="50" t="str">
        <f aca="false">IF($A42="","",IF(OR(O42=0,O42="",P42=0),"",P42/O42))</f>
        <v/>
      </c>
      <c r="Z42" s="17" t="str">
        <f aca="false">IF($A42="","",IFERROR(INDEX(物件収支!$E:$E,MATCH($A42,物件収支!$A:$A,0)),""))</f>
        <v>一部開示（収益のみ）</v>
      </c>
    </row>
    <row r="43" customFormat="false" ht="15" hidden="false" customHeight="true" outlineLevel="0" collapsed="false">
      <c r="A43" s="17" t="str">
        <f aca="false">IF(物件マスタ!A43="","",物件マスタ!A43)</f>
        <v>JEI-23</v>
      </c>
      <c r="B43" s="17" t="str">
        <f aca="false">IF($A43="","",物件マスタ!B43)</f>
        <v>JEI</v>
      </c>
      <c r="C43" s="17" t="str">
        <f aca="false">IF($A43="","",IFERROR(INDEX(法人マスタ!$C:$C,MATCH($B43,法人マスタ!$A:$A,0)),""))</f>
        <v>ジャパンエクセレント投資法人</v>
      </c>
      <c r="D43" s="17" t="str">
        <f aca="false">IF($A43="","",物件マスタ!C43)</f>
        <v>日石横浜ビル</v>
      </c>
      <c r="E43" s="17" t="str">
        <f aca="false">IF($A43="","",物件マスタ!H43)</f>
        <v>東京周辺都市部</v>
      </c>
      <c r="F43" s="48" t="n">
        <f aca="false">IF($A43="","",物件マスタ!P43)</f>
        <v>0</v>
      </c>
      <c r="G43" s="34" t="str">
        <f aca="false">IF($A43="","",物件マスタ!Q43)</f>
        <v/>
      </c>
      <c r="H43" s="49" t="n">
        <f aca="false">IF($A43="","",物件マスタ!L43)</f>
        <v>0</v>
      </c>
      <c r="I43" s="49" t="n">
        <f aca="false">IF($A43="","",物件マスタ!M43)</f>
        <v>40414.24</v>
      </c>
      <c r="J43" s="43" t="n">
        <f aca="false">IF($A43="","",物件マスタ!S43)</f>
        <v>24500</v>
      </c>
      <c r="K43" s="43" t="n">
        <f aca="false">IF($A43="","",物件マスタ!U43)</f>
        <v>31600</v>
      </c>
      <c r="L43" s="50" t="n">
        <f aca="false">IF($A43="","",物件マスタ!W43)</f>
        <v>0.998</v>
      </c>
      <c r="M43" s="17" t="str">
        <f aca="false">IF($A43="","",IFERROR(INDEX(法人マスタ!$H:$H,MATCH($B43,法人マスタ!$A:$A,0)),""))</f>
        <v>2025年12月期（第39期）</v>
      </c>
      <c r="N43" s="51" t="n">
        <f aca="false">IF($A43="","",SUMIFS(物件収支!$D:$D,物件収支!$A:$A,$A43,物件収支!$C:$C,$M43))</f>
        <v>6</v>
      </c>
      <c r="O43" s="43" t="n">
        <f aca="false">IF($A43="","",SUMIFS(物件収支!$F:$F,物件収支!$A:$A,$A43,物件収支!$C:$C,$M43))</f>
        <v>1282915</v>
      </c>
      <c r="P43" s="43" t="n">
        <f aca="false">IF($A43="","",SUMIFS(物件収支!$I:$I,物件収支!$A:$A,$A43,物件収支!$C:$C,$M43))</f>
        <v>0</v>
      </c>
      <c r="Q43" s="43" t="n">
        <f aca="false">IF($A43="","",SUMIFS(物件収支!$O:$O,物件収支!$A:$A,$A43,物件収支!$C:$C,$M43))</f>
        <v>0</v>
      </c>
      <c r="R43" s="43" t="str">
        <f aca="false">IF($A43="","",IF(P43=0,"",O43-P43))</f>
        <v/>
      </c>
      <c r="S43" s="43" t="str">
        <f aca="false">IF($A43="","",IF(R43="","",R43+Q43))</f>
        <v/>
      </c>
      <c r="T43" s="43" t="str">
        <f aca="false">IF($A43="","",IF(OR(S43="",N43&lt;=0),"",S43/1000*12/N43))</f>
        <v/>
      </c>
      <c r="U43" s="52" t="str">
        <f aca="false">IF($A43="","",IF(OR(T43="",J43=0,J43=""),"",T43/J43))</f>
        <v/>
      </c>
      <c r="V43" s="52" t="str">
        <f aca="false">IF($A43="","",IF(OR(R43="",N43&lt;=0,J43=0,J43=""),"",(R43/1000*12/N43)/J43))</f>
        <v/>
      </c>
      <c r="W43" s="52" t="str">
        <f aca="false">IF($A43="","",IF(OR(T43="",K43=0,K43=""),"",T43/K43))</f>
        <v/>
      </c>
      <c r="X43" s="43" t="n">
        <f aca="false">IF($A43="","",IF(OR(N43&lt;=0,I43=0,I43="",O43=0),"",O43*1000/(I43*0.3025)/N43))</f>
        <v>17489.8803091602</v>
      </c>
      <c r="Y43" s="50" t="str">
        <f aca="false">IF($A43="","",IF(OR(O43=0,O43="",P43=0),"",P43/O43))</f>
        <v/>
      </c>
      <c r="Z43" s="17" t="str">
        <f aca="false">IF($A43="","",IFERROR(INDEX(物件収支!$E:$E,MATCH($A43,物件収支!$A:$A,0)),""))</f>
        <v>一部開示（収益のみ）</v>
      </c>
    </row>
    <row r="44" customFormat="false" ht="15" hidden="false" customHeight="true" outlineLevel="0" collapsed="false">
      <c r="A44" s="17" t="str">
        <f aca="false">IF(物件マスタ!A44="","",物件マスタ!A44)</f>
        <v>JEI-24</v>
      </c>
      <c r="B44" s="17" t="str">
        <f aca="false">IF($A44="","",物件マスタ!B44)</f>
        <v>JEI</v>
      </c>
      <c r="C44" s="17" t="str">
        <f aca="false">IF($A44="","",IFERROR(INDEX(法人マスタ!$C:$C,MATCH($B44,法人マスタ!$A:$A,0)),""))</f>
        <v>ジャパンエクセレント投資法人</v>
      </c>
      <c r="D44" s="17" t="str">
        <f aca="false">IF($A44="","",物件マスタ!C44)</f>
        <v>横浜弁天通第一生命ビルディング</v>
      </c>
      <c r="E44" s="17" t="str">
        <f aca="false">IF($A44="","",物件マスタ!H44)</f>
        <v>東京周辺都市部</v>
      </c>
      <c r="F44" s="48" t="n">
        <f aca="false">IF($A44="","",物件マスタ!P44)</f>
        <v>0</v>
      </c>
      <c r="G44" s="34" t="str">
        <f aca="false">IF($A44="","",物件マスタ!Q44)</f>
        <v/>
      </c>
      <c r="H44" s="49" t="n">
        <f aca="false">IF($A44="","",物件マスタ!L44)</f>
        <v>0</v>
      </c>
      <c r="I44" s="49" t="n">
        <f aca="false">IF($A44="","",物件マスタ!M44)</f>
        <v>2119.49</v>
      </c>
      <c r="J44" s="43" t="n">
        <f aca="false">IF($A44="","",物件マスタ!S44)</f>
        <v>640</v>
      </c>
      <c r="K44" s="43" t="n">
        <f aca="false">IF($A44="","",物件マスタ!U44)</f>
        <v>844</v>
      </c>
      <c r="L44" s="50" t="n">
        <f aca="false">IF($A44="","",物件マスタ!W44)</f>
        <v>1</v>
      </c>
      <c r="M44" s="17" t="str">
        <f aca="false">IF($A44="","",IFERROR(INDEX(法人マスタ!$H:$H,MATCH($B44,法人マスタ!$A:$A,0)),""))</f>
        <v>2025年12月期（第39期）</v>
      </c>
      <c r="N44" s="51" t="n">
        <f aca="false">IF($A44="","",SUMIFS(物件収支!$D:$D,物件収支!$A:$A,$A44,物件収支!$C:$C,$M44))</f>
        <v>6</v>
      </c>
      <c r="O44" s="43" t="n">
        <f aca="false">IF($A44="","",SUMIFS(物件収支!$F:$F,物件収支!$A:$A,$A44,物件収支!$C:$C,$M44))</f>
        <v>44345</v>
      </c>
      <c r="P44" s="43" t="n">
        <f aca="false">IF($A44="","",SUMIFS(物件収支!$I:$I,物件収支!$A:$A,$A44,物件収支!$C:$C,$M44))</f>
        <v>0</v>
      </c>
      <c r="Q44" s="43" t="n">
        <f aca="false">IF($A44="","",SUMIFS(物件収支!$O:$O,物件収支!$A:$A,$A44,物件収支!$C:$C,$M44))</f>
        <v>0</v>
      </c>
      <c r="R44" s="43" t="str">
        <f aca="false">IF($A44="","",IF(P44=0,"",O44-P44))</f>
        <v/>
      </c>
      <c r="S44" s="43" t="str">
        <f aca="false">IF($A44="","",IF(R44="","",R44+Q44))</f>
        <v/>
      </c>
      <c r="T44" s="43" t="str">
        <f aca="false">IF($A44="","",IF(OR(S44="",N44&lt;=0),"",S44/1000*12/N44))</f>
        <v/>
      </c>
      <c r="U44" s="52" t="str">
        <f aca="false">IF($A44="","",IF(OR(T44="",J44=0,J44=""),"",T44/J44))</f>
        <v/>
      </c>
      <c r="V44" s="52" t="str">
        <f aca="false">IF($A44="","",IF(OR(R44="",N44&lt;=0,J44=0,J44=""),"",(R44/1000*12/N44)/J44))</f>
        <v/>
      </c>
      <c r="W44" s="52" t="str">
        <f aca="false">IF($A44="","",IF(OR(T44="",K44=0,K44=""),"",T44/K44))</f>
        <v/>
      </c>
      <c r="X44" s="43" t="n">
        <f aca="false">IF($A44="","",IF(OR(N44&lt;=0,I44=0,I44="",O44=0),"",O44*1000/(I44*0.3025)/N44))</f>
        <v>11527.5405343042</v>
      </c>
      <c r="Y44" s="50" t="str">
        <f aca="false">IF($A44="","",IF(OR(O44=0,O44="",P44=0),"",P44/O44))</f>
        <v/>
      </c>
      <c r="Z44" s="17" t="str">
        <f aca="false">IF($A44="","",IFERROR(INDEX(物件収支!$E:$E,MATCH($A44,物件収支!$A:$A,0)),""))</f>
        <v>一部開示（収益のみ）</v>
      </c>
    </row>
    <row r="45" customFormat="false" ht="15" hidden="false" customHeight="true" outlineLevel="0" collapsed="false">
      <c r="A45" s="17" t="str">
        <f aca="false">IF(物件マスタ!A45="","",物件マスタ!A45)</f>
        <v>JEI-25</v>
      </c>
      <c r="B45" s="17" t="str">
        <f aca="false">IF($A45="","",物件マスタ!B45)</f>
        <v>JEI</v>
      </c>
      <c r="C45" s="17" t="str">
        <f aca="false">IF($A45="","",IFERROR(INDEX(法人マスタ!$C:$C,MATCH($B45,法人マスタ!$A:$A,0)),""))</f>
        <v>ジャパンエクセレント投資法人</v>
      </c>
      <c r="D45" s="17" t="str">
        <f aca="false">IF($A45="","",物件マスタ!C45)</f>
        <v>新横浜アリーナ通りビル</v>
      </c>
      <c r="E45" s="17" t="str">
        <f aca="false">IF($A45="","",物件マスタ!H45)</f>
        <v>東京周辺都市部</v>
      </c>
      <c r="F45" s="48" t="n">
        <f aca="false">IF($A45="","",物件マスタ!P45)</f>
        <v>0</v>
      </c>
      <c r="G45" s="34" t="str">
        <f aca="false">IF($A45="","",物件マスタ!Q45)</f>
        <v/>
      </c>
      <c r="H45" s="49" t="n">
        <f aca="false">IF($A45="","",物件マスタ!L45)</f>
        <v>0</v>
      </c>
      <c r="I45" s="49" t="n">
        <f aca="false">IF($A45="","",物件マスタ!M45)</f>
        <v>1953.66</v>
      </c>
      <c r="J45" s="43" t="n">
        <f aca="false">IF($A45="","",物件マスタ!S45)</f>
        <v>2077</v>
      </c>
      <c r="K45" s="43" t="n">
        <f aca="false">IF($A45="","",物件マスタ!U45)</f>
        <v>2200</v>
      </c>
      <c r="L45" s="50" t="n">
        <f aca="false">IF($A45="","",物件マスタ!W45)</f>
        <v>0.848</v>
      </c>
      <c r="M45" s="17" t="str">
        <f aca="false">IF($A45="","",IFERROR(INDEX(法人マスタ!$H:$H,MATCH($B45,法人マスタ!$A:$A,0)),""))</f>
        <v>2025年12月期（第39期）</v>
      </c>
      <c r="N45" s="51" t="n">
        <f aca="false">IF($A45="","",SUMIFS(物件収支!$D:$D,物件収支!$A:$A,$A45,物件収支!$C:$C,$M45))</f>
        <v>6</v>
      </c>
      <c r="O45" s="43" t="n">
        <f aca="false">IF($A45="","",SUMIFS(物件収支!$F:$F,物件収支!$A:$A,$A45,物件収支!$C:$C,$M45))</f>
        <v>60927</v>
      </c>
      <c r="P45" s="43" t="n">
        <f aca="false">IF($A45="","",SUMIFS(物件収支!$I:$I,物件収支!$A:$A,$A45,物件収支!$C:$C,$M45))</f>
        <v>0</v>
      </c>
      <c r="Q45" s="43" t="n">
        <f aca="false">IF($A45="","",SUMIFS(物件収支!$O:$O,物件収支!$A:$A,$A45,物件収支!$C:$C,$M45))</f>
        <v>0</v>
      </c>
      <c r="R45" s="43" t="str">
        <f aca="false">IF($A45="","",IF(P45=0,"",O45-P45))</f>
        <v/>
      </c>
      <c r="S45" s="43" t="str">
        <f aca="false">IF($A45="","",IF(R45="","",R45+Q45))</f>
        <v/>
      </c>
      <c r="T45" s="43" t="str">
        <f aca="false">IF($A45="","",IF(OR(S45="",N45&lt;=0),"",S45/1000*12/N45))</f>
        <v/>
      </c>
      <c r="U45" s="52" t="str">
        <f aca="false">IF($A45="","",IF(OR(T45="",J45=0,J45=""),"",T45/J45))</f>
        <v/>
      </c>
      <c r="V45" s="52" t="str">
        <f aca="false">IF($A45="","",IF(OR(R45="",N45&lt;=0,J45=0,J45=""),"",(R45/1000*12/N45)/J45))</f>
        <v/>
      </c>
      <c r="W45" s="52" t="str">
        <f aca="false">IF($A45="","",IF(OR(T45="",K45=0,K45=""),"",T45/K45))</f>
        <v/>
      </c>
      <c r="X45" s="43" t="n">
        <f aca="false">IF($A45="","",IF(OR(N45&lt;=0,I45=0,I45="",O45=0),"",O45*1000/(I45*0.3025)/N45))</f>
        <v>17182.4140542993</v>
      </c>
      <c r="Y45" s="50" t="str">
        <f aca="false">IF($A45="","",IF(OR(O45=0,O45="",P45=0),"",P45/O45))</f>
        <v/>
      </c>
      <c r="Z45" s="17" t="str">
        <f aca="false">IF($A45="","",IFERROR(INDEX(物件収支!$E:$E,MATCH($A45,物件収支!$A:$A,0)),""))</f>
        <v>一部開示（収益のみ）</v>
      </c>
    </row>
    <row r="46" customFormat="false" ht="15" hidden="false" customHeight="true" outlineLevel="0" collapsed="false">
      <c r="A46" s="17" t="str">
        <f aca="false">IF(物件マスタ!A46="","",物件マスタ!A46)</f>
        <v>JEI-26</v>
      </c>
      <c r="B46" s="17" t="str">
        <f aca="false">IF($A46="","",物件マスタ!B46)</f>
        <v>JEI</v>
      </c>
      <c r="C46" s="17" t="str">
        <f aca="false">IF($A46="","",IFERROR(INDEX(法人マスタ!$C:$C,MATCH($B46,法人マスタ!$A:$A,0)),""))</f>
        <v>ジャパンエクセレント投資法人</v>
      </c>
      <c r="D46" s="17" t="str">
        <f aca="false">IF($A46="","",物件マスタ!C46)</f>
        <v>浦和SHビル</v>
      </c>
      <c r="E46" s="17" t="str">
        <f aca="false">IF($A46="","",物件マスタ!H46)</f>
        <v>東京周辺都市部</v>
      </c>
      <c r="F46" s="48" t="n">
        <f aca="false">IF($A46="","",物件マスタ!P46)</f>
        <v>0</v>
      </c>
      <c r="G46" s="34" t="str">
        <f aca="false">IF($A46="","",物件マスタ!Q46)</f>
        <v/>
      </c>
      <c r="H46" s="49" t="n">
        <f aca="false">IF($A46="","",物件マスタ!L46)</f>
        <v>0</v>
      </c>
      <c r="I46" s="49" t="n">
        <f aca="false">IF($A46="","",物件マスタ!M46)</f>
        <v>2610.91</v>
      </c>
      <c r="J46" s="43" t="n">
        <f aca="false">IF($A46="","",物件マスタ!S46)</f>
        <v>1760</v>
      </c>
      <c r="K46" s="43" t="n">
        <f aca="false">IF($A46="","",物件マスタ!U46)</f>
        <v>1800</v>
      </c>
      <c r="L46" s="50" t="n">
        <f aca="false">IF($A46="","",物件マスタ!W46)</f>
        <v>1</v>
      </c>
      <c r="M46" s="17" t="str">
        <f aca="false">IF($A46="","",IFERROR(INDEX(法人マスタ!$H:$H,MATCH($B46,法人マスタ!$A:$A,0)),""))</f>
        <v>2025年12月期（第39期）</v>
      </c>
      <c r="N46" s="51" t="n">
        <f aca="false">IF($A46="","",SUMIFS(物件収支!$D:$D,物件収支!$A:$A,$A46,物件収支!$C:$C,$M46))</f>
        <v>6</v>
      </c>
      <c r="O46" s="43" t="n">
        <f aca="false">IF($A46="","",SUMIFS(物件収支!$F:$F,物件収支!$A:$A,$A46,物件収支!$C:$C,$M46))</f>
        <v>0</v>
      </c>
      <c r="P46" s="43" t="n">
        <f aca="false">IF($A46="","",SUMIFS(物件収支!$I:$I,物件収支!$A:$A,$A46,物件収支!$C:$C,$M46))</f>
        <v>0</v>
      </c>
      <c r="Q46" s="43" t="n">
        <f aca="false">IF($A46="","",SUMIFS(物件収支!$O:$O,物件収支!$A:$A,$A46,物件収支!$C:$C,$M46))</f>
        <v>0</v>
      </c>
      <c r="R46" s="43" t="str">
        <f aca="false">IF($A46="","",IF(P46=0,"",O46-P46))</f>
        <v/>
      </c>
      <c r="S46" s="43" t="str">
        <f aca="false">IF($A46="","",IF(R46="","",R46+Q46))</f>
        <v/>
      </c>
      <c r="T46" s="43" t="str">
        <f aca="false">IF($A46="","",IF(OR(S46="",N46&lt;=0),"",S46/1000*12/N46))</f>
        <v/>
      </c>
      <c r="U46" s="52" t="str">
        <f aca="false">IF($A46="","",IF(OR(T46="",J46=0,J46=""),"",T46/J46))</f>
        <v/>
      </c>
      <c r="V46" s="52" t="str">
        <f aca="false">IF($A46="","",IF(OR(R46="",N46&lt;=0,J46=0,J46=""),"",(R46/1000*12/N46)/J46))</f>
        <v/>
      </c>
      <c r="W46" s="52" t="str">
        <f aca="false">IF($A46="","",IF(OR(T46="",K46=0,K46=""),"",T46/K46))</f>
        <v/>
      </c>
      <c r="X46" s="43" t="str">
        <f aca="false">IF($A46="","",IF(OR(N46&lt;=0,I46=0,I46="",O46=0),"",O46*1000/(I46*0.3025)/N46))</f>
        <v/>
      </c>
      <c r="Y46" s="50" t="str">
        <f aca="false">IF($A46="","",IF(OR(O46=0,O46="",P46=0),"",P46/O46))</f>
        <v/>
      </c>
      <c r="Z46" s="17" t="str">
        <f aca="false">IF($A46="","",IFERROR(INDEX(物件収支!$E:$E,MATCH($A46,物件収支!$A:$A,0)),""))</f>
        <v>非開示（テナント同意なし）</v>
      </c>
    </row>
    <row r="47" customFormat="false" ht="15" hidden="false" customHeight="true" outlineLevel="0" collapsed="false">
      <c r="A47" s="17" t="str">
        <f aca="false">IF(物件マスタ!A47="","",物件マスタ!A47)</f>
        <v>JEI-27</v>
      </c>
      <c r="B47" s="17" t="str">
        <f aca="false">IF($A47="","",物件マスタ!B47)</f>
        <v>JEI</v>
      </c>
      <c r="C47" s="17" t="str">
        <f aca="false">IF($A47="","",IFERROR(INDEX(法人マスタ!$C:$C,MATCH($B47,法人マスタ!$A:$A,0)),""))</f>
        <v>ジャパンエクセレント投資法人</v>
      </c>
      <c r="D47" s="17" t="str">
        <f aca="false">IF($A47="","",物件マスタ!C47)</f>
        <v>JEI広島八丁堀ビル</v>
      </c>
      <c r="E47" s="17" t="str">
        <f aca="false">IF($A47="","",物件マスタ!H47)</f>
        <v>3大都市圏以外の政令市</v>
      </c>
      <c r="F47" s="48" t="n">
        <f aca="false">IF($A47="","",物件マスタ!P47)</f>
        <v>0</v>
      </c>
      <c r="G47" s="34" t="str">
        <f aca="false">IF($A47="","",物件マスタ!Q47)</f>
        <v/>
      </c>
      <c r="H47" s="49" t="n">
        <f aca="false">IF($A47="","",物件マスタ!L47)</f>
        <v>0</v>
      </c>
      <c r="I47" s="49" t="n">
        <f aca="false">IF($A47="","",物件マスタ!M47)</f>
        <v>6639.38</v>
      </c>
      <c r="J47" s="43" t="n">
        <f aca="false">IF($A47="","",物件マスタ!S47)</f>
        <v>2760</v>
      </c>
      <c r="K47" s="43" t="n">
        <f aca="false">IF($A47="","",物件マスタ!U47)</f>
        <v>4680</v>
      </c>
      <c r="L47" s="50" t="n">
        <f aca="false">IF($A47="","",物件マスタ!W47)</f>
        <v>0.93</v>
      </c>
      <c r="M47" s="17" t="str">
        <f aca="false">IF($A47="","",IFERROR(INDEX(法人マスタ!$H:$H,MATCH($B47,法人マスタ!$A:$A,0)),""))</f>
        <v>2025年12月期（第39期）</v>
      </c>
      <c r="N47" s="51" t="n">
        <f aca="false">IF($A47="","",SUMIFS(物件収支!$D:$D,物件収支!$A:$A,$A47,物件収支!$C:$C,$M47))</f>
        <v>6</v>
      </c>
      <c r="O47" s="43" t="n">
        <f aca="false">IF($A47="","",SUMIFS(物件収支!$F:$F,物件収支!$A:$A,$A47,物件収支!$C:$C,$M47))</f>
        <v>158392</v>
      </c>
      <c r="P47" s="43" t="n">
        <f aca="false">IF($A47="","",SUMIFS(物件収支!$I:$I,物件収支!$A:$A,$A47,物件収支!$C:$C,$M47))</f>
        <v>0</v>
      </c>
      <c r="Q47" s="43" t="n">
        <f aca="false">IF($A47="","",SUMIFS(物件収支!$O:$O,物件収支!$A:$A,$A47,物件収支!$C:$C,$M47))</f>
        <v>0</v>
      </c>
      <c r="R47" s="43" t="str">
        <f aca="false">IF($A47="","",IF(P47=0,"",O47-P47))</f>
        <v/>
      </c>
      <c r="S47" s="43" t="str">
        <f aca="false">IF($A47="","",IF(R47="","",R47+Q47))</f>
        <v/>
      </c>
      <c r="T47" s="43" t="str">
        <f aca="false">IF($A47="","",IF(OR(S47="",N47&lt;=0),"",S47/1000*12/N47))</f>
        <v/>
      </c>
      <c r="U47" s="52" t="str">
        <f aca="false">IF($A47="","",IF(OR(T47="",J47=0,J47=""),"",T47/J47))</f>
        <v/>
      </c>
      <c r="V47" s="52" t="str">
        <f aca="false">IF($A47="","",IF(OR(R47="",N47&lt;=0,J47=0,J47=""),"",(R47/1000*12/N47)/J47))</f>
        <v/>
      </c>
      <c r="W47" s="52" t="str">
        <f aca="false">IF($A47="","",IF(OR(T47="",K47=0,K47=""),"",T47/K47))</f>
        <v/>
      </c>
      <c r="X47" s="43" t="n">
        <f aca="false">IF($A47="","",IF(OR(N47&lt;=0,I47=0,I47="",O47=0),"",O47*1000/(I47*0.3025)/N47))</f>
        <v>13144.0465162754</v>
      </c>
      <c r="Y47" s="50" t="str">
        <f aca="false">IF($A47="","",IF(OR(O47=0,O47="",P47=0),"",P47/O47))</f>
        <v/>
      </c>
      <c r="Z47" s="17" t="str">
        <f aca="false">IF($A47="","",IFERROR(INDEX(物件収支!$E:$E,MATCH($A47,物件収支!$A:$A,0)),""))</f>
        <v>一部開示（収益のみ）</v>
      </c>
    </row>
    <row r="48" customFormat="false" ht="15" hidden="false" customHeight="true" outlineLevel="0" collapsed="false">
      <c r="A48" s="17" t="str">
        <f aca="false">IF(物件マスタ!A48="","",物件マスタ!A48)</f>
        <v>JEI-28</v>
      </c>
      <c r="B48" s="17" t="str">
        <f aca="false">IF($A48="","",物件マスタ!B48)</f>
        <v>JEI</v>
      </c>
      <c r="C48" s="17" t="str">
        <f aca="false">IF($A48="","",IFERROR(INDEX(法人マスタ!$C:$C,MATCH($B48,法人マスタ!$A:$A,0)),""))</f>
        <v>ジャパンエクセレント投資法人</v>
      </c>
      <c r="D48" s="17" t="str">
        <f aca="false">IF($A48="","",物件マスタ!C48)</f>
        <v>SE札幌ビル</v>
      </c>
      <c r="E48" s="17" t="str">
        <f aca="false">IF($A48="","",物件マスタ!H48)</f>
        <v>3大都市圏以外の政令市</v>
      </c>
      <c r="F48" s="48" t="n">
        <f aca="false">IF($A48="","",物件マスタ!P48)</f>
        <v>0</v>
      </c>
      <c r="G48" s="34" t="str">
        <f aca="false">IF($A48="","",物件マスタ!Q48)</f>
        <v/>
      </c>
      <c r="H48" s="49" t="n">
        <f aca="false">IF($A48="","",物件マスタ!L48)</f>
        <v>0</v>
      </c>
      <c r="I48" s="49" t="n">
        <f aca="false">IF($A48="","",物件マスタ!M48)</f>
        <v>13384.95</v>
      </c>
      <c r="J48" s="43" t="n">
        <f aca="false">IF($A48="","",物件マスタ!S48)</f>
        <v>5500</v>
      </c>
      <c r="K48" s="43" t="n">
        <f aca="false">IF($A48="","",物件マスタ!U48)</f>
        <v>12700</v>
      </c>
      <c r="L48" s="50" t="n">
        <f aca="false">IF($A48="","",物件マスタ!W48)</f>
        <v>0.957</v>
      </c>
      <c r="M48" s="17" t="str">
        <f aca="false">IF($A48="","",IFERROR(INDEX(法人マスタ!$H:$H,MATCH($B48,法人マスタ!$A:$A,0)),""))</f>
        <v>2025年12月期（第39期）</v>
      </c>
      <c r="N48" s="51" t="n">
        <f aca="false">IF($A48="","",SUMIFS(物件収支!$D:$D,物件収支!$A:$A,$A48,物件収支!$C:$C,$M48))</f>
        <v>6</v>
      </c>
      <c r="O48" s="43" t="n">
        <f aca="false">IF($A48="","",SUMIFS(物件収支!$F:$F,物件収支!$A:$A,$A48,物件収支!$C:$C,$M48))</f>
        <v>447518</v>
      </c>
      <c r="P48" s="43" t="n">
        <f aca="false">IF($A48="","",SUMIFS(物件収支!$I:$I,物件収支!$A:$A,$A48,物件収支!$C:$C,$M48))</f>
        <v>0</v>
      </c>
      <c r="Q48" s="43" t="n">
        <f aca="false">IF($A48="","",SUMIFS(物件収支!$O:$O,物件収支!$A:$A,$A48,物件収支!$C:$C,$M48))</f>
        <v>0</v>
      </c>
      <c r="R48" s="43" t="str">
        <f aca="false">IF($A48="","",IF(P48=0,"",O48-P48))</f>
        <v/>
      </c>
      <c r="S48" s="43" t="str">
        <f aca="false">IF($A48="","",IF(R48="","",R48+Q48))</f>
        <v/>
      </c>
      <c r="T48" s="43" t="str">
        <f aca="false">IF($A48="","",IF(OR(S48="",N48&lt;=0),"",S48/1000*12/N48))</f>
        <v/>
      </c>
      <c r="U48" s="52" t="str">
        <f aca="false">IF($A48="","",IF(OR(T48="",J48=0,J48=""),"",T48/J48))</f>
        <v/>
      </c>
      <c r="V48" s="52" t="str">
        <f aca="false">IF($A48="","",IF(OR(R48="",N48&lt;=0,J48=0,J48=""),"",(R48/1000*12/N48)/J48))</f>
        <v/>
      </c>
      <c r="W48" s="52" t="str">
        <f aca="false">IF($A48="","",IF(OR(T48="",K48=0,K48=""),"",T48/K48))</f>
        <v/>
      </c>
      <c r="X48" s="43" t="n">
        <f aca="false">IF($A48="","",IF(OR(N48&lt;=0,I48=0,I48="",O48=0),"",O48*1000/(I48*0.3025)/N48))</f>
        <v>18421.1663984231</v>
      </c>
      <c r="Y48" s="50" t="str">
        <f aca="false">IF($A48="","",IF(OR(O48=0,O48="",P48=0),"",P48/O48))</f>
        <v/>
      </c>
      <c r="Z48" s="17" t="str">
        <f aca="false">IF($A48="","",IFERROR(INDEX(物件収支!$E:$E,MATCH($A48,物件収支!$A:$A,0)),""))</f>
        <v>一部開示（収益のみ）</v>
      </c>
    </row>
    <row r="49" customFormat="false" ht="15" hidden="false" customHeight="true" outlineLevel="0" collapsed="false">
      <c r="A49" s="17" t="str">
        <f aca="false">IF(物件マスタ!A49="","",物件マスタ!A49)</f>
        <v>JEI-29</v>
      </c>
      <c r="B49" s="17" t="str">
        <f aca="false">IF($A49="","",物件マスタ!B49)</f>
        <v>JEI</v>
      </c>
      <c r="C49" s="17" t="str">
        <f aca="false">IF($A49="","",IFERROR(INDEX(法人マスタ!$C:$C,MATCH($B49,法人マスタ!$A:$A,0)),""))</f>
        <v>ジャパンエクセレント投資法人</v>
      </c>
      <c r="D49" s="17" t="str">
        <f aca="false">IF($A49="","",物件マスタ!C49)</f>
        <v>青葉通プラザ</v>
      </c>
      <c r="E49" s="17" t="str">
        <f aca="false">IF($A49="","",物件マスタ!H49)</f>
        <v>3大都市圏以外の政令市</v>
      </c>
      <c r="F49" s="48" t="n">
        <f aca="false">IF($A49="","",物件マスタ!P49)</f>
        <v>0</v>
      </c>
      <c r="G49" s="34" t="str">
        <f aca="false">IF($A49="","",物件マスタ!Q49)</f>
        <v/>
      </c>
      <c r="H49" s="49" t="n">
        <f aca="false">IF($A49="","",物件マスタ!L49)</f>
        <v>0</v>
      </c>
      <c r="I49" s="49" t="n">
        <f aca="false">IF($A49="","",物件マスタ!M49)</f>
        <v>6215.02</v>
      </c>
      <c r="J49" s="43" t="n">
        <f aca="false">IF($A49="","",物件マスタ!S49)</f>
        <v>2120</v>
      </c>
      <c r="K49" s="43" t="n">
        <f aca="false">IF($A49="","",物件マスタ!U49)</f>
        <v>4670</v>
      </c>
      <c r="L49" s="50" t="n">
        <f aca="false">IF($A49="","",物件マスタ!W49)</f>
        <v>0.991</v>
      </c>
      <c r="M49" s="17" t="str">
        <f aca="false">IF($A49="","",IFERROR(INDEX(法人マスタ!$H:$H,MATCH($B49,法人マスタ!$A:$A,0)),""))</f>
        <v>2025年12月期（第39期）</v>
      </c>
      <c r="N49" s="51" t="n">
        <f aca="false">IF($A49="","",SUMIFS(物件収支!$D:$D,物件収支!$A:$A,$A49,物件収支!$C:$C,$M49))</f>
        <v>6</v>
      </c>
      <c r="O49" s="43" t="n">
        <f aca="false">IF($A49="","",SUMIFS(物件収支!$F:$F,物件収支!$A:$A,$A49,物件収支!$C:$C,$M49))</f>
        <v>191618</v>
      </c>
      <c r="P49" s="43" t="n">
        <f aca="false">IF($A49="","",SUMIFS(物件収支!$I:$I,物件収支!$A:$A,$A49,物件収支!$C:$C,$M49))</f>
        <v>0</v>
      </c>
      <c r="Q49" s="43" t="n">
        <f aca="false">IF($A49="","",SUMIFS(物件収支!$O:$O,物件収支!$A:$A,$A49,物件収支!$C:$C,$M49))</f>
        <v>0</v>
      </c>
      <c r="R49" s="43" t="str">
        <f aca="false">IF($A49="","",IF(P49=0,"",O49-P49))</f>
        <v/>
      </c>
      <c r="S49" s="43" t="str">
        <f aca="false">IF($A49="","",IF(R49="","",R49+Q49))</f>
        <v/>
      </c>
      <c r="T49" s="43" t="str">
        <f aca="false">IF($A49="","",IF(OR(S49="",N49&lt;=0),"",S49/1000*12/N49))</f>
        <v/>
      </c>
      <c r="U49" s="52" t="str">
        <f aca="false">IF($A49="","",IF(OR(T49="",J49=0,J49=""),"",T49/J49))</f>
        <v/>
      </c>
      <c r="V49" s="52" t="str">
        <f aca="false">IF($A49="","",IF(OR(R49="",N49&lt;=0,J49=0,J49=""),"",(R49/1000*12/N49)/J49))</f>
        <v/>
      </c>
      <c r="W49" s="52" t="str">
        <f aca="false">IF($A49="","",IF(OR(T49="",K49=0,K49=""),"",T49/K49))</f>
        <v/>
      </c>
      <c r="X49" s="43" t="n">
        <f aca="false">IF($A49="","",IF(OR(N49&lt;=0,I49=0,I49="",O49=0),"",O49*1000/(I49*0.3025)/N49))</f>
        <v>16987.0178450565</v>
      </c>
      <c r="Y49" s="50" t="str">
        <f aca="false">IF($A49="","",IF(OR(O49=0,O49="",P49=0),"",P49/O49))</f>
        <v/>
      </c>
      <c r="Z49" s="17" t="str">
        <f aca="false">IF($A49="","",IFERROR(INDEX(物件収支!$E:$E,MATCH($A49,物件収支!$A:$A,0)),""))</f>
        <v>一部開示（収益のみ）</v>
      </c>
    </row>
    <row r="50" customFormat="false" ht="15" hidden="false" customHeight="true" outlineLevel="0" collapsed="false">
      <c r="A50" s="17" t="str">
        <f aca="false">IF(物件マスタ!A50="","",物件マスタ!A50)</f>
        <v>JEI-30</v>
      </c>
      <c r="B50" s="17" t="str">
        <f aca="false">IF($A50="","",物件マスタ!B50)</f>
        <v>JEI</v>
      </c>
      <c r="C50" s="17" t="str">
        <f aca="false">IF($A50="","",IFERROR(INDEX(法人マスタ!$C:$C,MATCH($B50,法人マスタ!$A:$A,0)),""))</f>
        <v>ジャパンエクセレント投資法人</v>
      </c>
      <c r="D50" s="17" t="str">
        <f aca="false">IF($A50="","",物件マスタ!C50)</f>
        <v>大和南森町ビル</v>
      </c>
      <c r="E50" s="17" t="str">
        <f aca="false">IF($A50="","",物件マスタ!H50)</f>
        <v>その他3大都市圏</v>
      </c>
      <c r="F50" s="48" t="n">
        <f aca="false">IF($A50="","",物件マスタ!P50)</f>
        <v>0</v>
      </c>
      <c r="G50" s="34" t="str">
        <f aca="false">IF($A50="","",物件マスタ!Q50)</f>
        <v/>
      </c>
      <c r="H50" s="49" t="n">
        <f aca="false">IF($A50="","",物件マスタ!L50)</f>
        <v>0</v>
      </c>
      <c r="I50" s="49" t="n">
        <f aca="false">IF($A50="","",物件マスタ!M50)</f>
        <v>6633.93</v>
      </c>
      <c r="J50" s="43" t="n">
        <f aca="false">IF($A50="","",物件マスタ!S50)</f>
        <v>4410</v>
      </c>
      <c r="K50" s="43" t="n">
        <f aca="false">IF($A50="","",物件マスタ!U50)</f>
        <v>5440</v>
      </c>
      <c r="L50" s="50" t="n">
        <f aca="false">IF($A50="","",物件マスタ!W50)</f>
        <v>1</v>
      </c>
      <c r="M50" s="17" t="str">
        <f aca="false">IF($A50="","",IFERROR(INDEX(法人マスタ!$H:$H,MATCH($B50,法人マスタ!$A:$A,0)),""))</f>
        <v>2025年12月期（第39期）</v>
      </c>
      <c r="N50" s="51" t="n">
        <f aca="false">IF($A50="","",SUMIFS(物件収支!$D:$D,物件収支!$A:$A,$A50,物件収支!$C:$C,$M50))</f>
        <v>6</v>
      </c>
      <c r="O50" s="43" t="n">
        <f aca="false">IF($A50="","",SUMIFS(物件収支!$F:$F,物件収支!$A:$A,$A50,物件収支!$C:$C,$M50))</f>
        <v>197079</v>
      </c>
      <c r="P50" s="43" t="n">
        <f aca="false">IF($A50="","",SUMIFS(物件収支!$I:$I,物件収支!$A:$A,$A50,物件収支!$C:$C,$M50))</f>
        <v>0</v>
      </c>
      <c r="Q50" s="43" t="n">
        <f aca="false">IF($A50="","",SUMIFS(物件収支!$O:$O,物件収支!$A:$A,$A50,物件収支!$C:$C,$M50))</f>
        <v>0</v>
      </c>
      <c r="R50" s="43" t="str">
        <f aca="false">IF($A50="","",IF(P50=0,"",O50-P50))</f>
        <v/>
      </c>
      <c r="S50" s="43" t="str">
        <f aca="false">IF($A50="","",IF(R50="","",R50+Q50))</f>
        <v/>
      </c>
      <c r="T50" s="43" t="str">
        <f aca="false">IF($A50="","",IF(OR(S50="",N50&lt;=0),"",S50/1000*12/N50))</f>
        <v/>
      </c>
      <c r="U50" s="52" t="str">
        <f aca="false">IF($A50="","",IF(OR(T50="",J50=0,J50=""),"",T50/J50))</f>
        <v/>
      </c>
      <c r="V50" s="52" t="str">
        <f aca="false">IF($A50="","",IF(OR(R50="",N50&lt;=0,J50=0,J50=""),"",(R50/1000*12/N50)/J50))</f>
        <v/>
      </c>
      <c r="W50" s="52" t="str">
        <f aca="false">IF($A50="","",IF(OR(T50="",K50=0,K50=""),"",T50/K50))</f>
        <v/>
      </c>
      <c r="X50" s="43" t="n">
        <f aca="false">IF($A50="","",IF(OR(N50&lt;=0,I50=0,I50="",O50=0),"",O50*1000/(I50*0.3025)/N50))</f>
        <v>16367.8952105886</v>
      </c>
      <c r="Y50" s="50" t="str">
        <f aca="false">IF($A50="","",IF(OR(O50=0,O50="",P50=0),"",P50/O50))</f>
        <v/>
      </c>
      <c r="Z50" s="17" t="str">
        <f aca="false">IF($A50="","",IFERROR(INDEX(物件収支!$E:$E,MATCH($A50,物件収支!$A:$A,0)),""))</f>
        <v>一部開示（収益のみ）</v>
      </c>
    </row>
    <row r="51" customFormat="false" ht="15" hidden="false" customHeight="true" outlineLevel="0" collapsed="false">
      <c r="A51" s="17" t="str">
        <f aca="false">IF(物件マスタ!A51="","",物件マスタ!A51)</f>
        <v>JEI-31</v>
      </c>
      <c r="B51" s="17" t="str">
        <f aca="false">IF($A51="","",物件マスタ!B51)</f>
        <v>JEI</v>
      </c>
      <c r="C51" s="17" t="str">
        <f aca="false">IF($A51="","",IFERROR(INDEX(法人マスタ!$C:$C,MATCH($B51,法人マスタ!$A:$A,0)),""))</f>
        <v>ジャパンエクセレント投資法人</v>
      </c>
      <c r="D51" s="17" t="str">
        <f aca="false">IF($A51="","",物件マスタ!C51)</f>
        <v>JEI那覇ビル</v>
      </c>
      <c r="E51" s="17" t="str">
        <f aca="false">IF($A51="","",物件マスタ!H51)</f>
        <v>その他地方都市</v>
      </c>
      <c r="F51" s="48" t="n">
        <f aca="false">IF($A51="","",物件マスタ!P51)</f>
        <v>0</v>
      </c>
      <c r="G51" s="34" t="str">
        <f aca="false">IF($A51="","",物件マスタ!Q51)</f>
        <v/>
      </c>
      <c r="H51" s="49" t="n">
        <f aca="false">IF($A51="","",物件マスタ!L51)</f>
        <v>0</v>
      </c>
      <c r="I51" s="49" t="n">
        <f aca="false">IF($A51="","",物件マスタ!M51)</f>
        <v>3220.59</v>
      </c>
      <c r="J51" s="43" t="n">
        <f aca="false">IF($A51="","",物件マスタ!S51)</f>
        <v>1380</v>
      </c>
      <c r="K51" s="43" t="n">
        <f aca="false">IF($A51="","",物件マスタ!U51)</f>
        <v>2290</v>
      </c>
      <c r="L51" s="50" t="n">
        <f aca="false">IF($A51="","",物件マスタ!W51)</f>
        <v>1</v>
      </c>
      <c r="M51" s="17" t="str">
        <f aca="false">IF($A51="","",IFERROR(INDEX(法人マスタ!$H:$H,MATCH($B51,法人マスタ!$A:$A,0)),""))</f>
        <v>2025年12月期（第39期）</v>
      </c>
      <c r="N51" s="51" t="n">
        <f aca="false">IF($A51="","",SUMIFS(物件収支!$D:$D,物件収支!$A:$A,$A51,物件収支!$C:$C,$M51))</f>
        <v>6</v>
      </c>
      <c r="O51" s="43" t="n">
        <f aca="false">IF($A51="","",SUMIFS(物件収支!$F:$F,物件収支!$A:$A,$A51,物件収支!$C:$C,$M51))</f>
        <v>95449</v>
      </c>
      <c r="P51" s="43" t="n">
        <f aca="false">IF($A51="","",SUMIFS(物件収支!$I:$I,物件収支!$A:$A,$A51,物件収支!$C:$C,$M51))</f>
        <v>0</v>
      </c>
      <c r="Q51" s="43" t="n">
        <f aca="false">IF($A51="","",SUMIFS(物件収支!$O:$O,物件収支!$A:$A,$A51,物件収支!$C:$C,$M51))</f>
        <v>0</v>
      </c>
      <c r="R51" s="43" t="str">
        <f aca="false">IF($A51="","",IF(P51=0,"",O51-P51))</f>
        <v/>
      </c>
      <c r="S51" s="43" t="str">
        <f aca="false">IF($A51="","",IF(R51="","",R51+Q51))</f>
        <v/>
      </c>
      <c r="T51" s="43" t="str">
        <f aca="false">IF($A51="","",IF(OR(S51="",N51&lt;=0),"",S51/1000*12/N51))</f>
        <v/>
      </c>
      <c r="U51" s="52" t="str">
        <f aca="false">IF($A51="","",IF(OR(T51="",J51=0,J51=""),"",T51/J51))</f>
        <v/>
      </c>
      <c r="V51" s="52" t="str">
        <f aca="false">IF($A51="","",IF(OR(R51="",N51&lt;=0,J51=0,J51=""),"",(R51/1000*12/N51)/J51))</f>
        <v/>
      </c>
      <c r="W51" s="52" t="str">
        <f aca="false">IF($A51="","",IF(OR(T51="",K51=0,K51=""),"",T51/K51))</f>
        <v/>
      </c>
      <c r="X51" s="43" t="n">
        <f aca="false">IF($A51="","",IF(OR(N51&lt;=0,I51=0,I51="",O51=0),"",O51*1000/(I51*0.3025)/N51))</f>
        <v>16328.9896311711</v>
      </c>
      <c r="Y51" s="50" t="str">
        <f aca="false">IF($A51="","",IF(OR(O51=0,O51="",P51=0),"",P51/O51))</f>
        <v/>
      </c>
      <c r="Z51" s="17" t="str">
        <f aca="false">IF($A51="","",IFERROR(INDEX(物件収支!$E:$E,MATCH($A51,物件収支!$A:$A,0)),""))</f>
        <v>一部開示（収益のみ）</v>
      </c>
    </row>
    <row r="52" customFormat="false" ht="15" hidden="false" customHeight="true" outlineLevel="0" collapsed="false">
      <c r="A52" s="17" t="str">
        <f aca="false">IF(物件マスタ!A52="","",物件マスタ!A52)</f>
        <v>JEI-32</v>
      </c>
      <c r="B52" s="17" t="str">
        <f aca="false">IF($A52="","",物件マスタ!B52)</f>
        <v>JEI</v>
      </c>
      <c r="C52" s="17" t="str">
        <f aca="false">IF($A52="","",IFERROR(INDEX(法人マスタ!$C:$C,MATCH($B52,法人マスタ!$A:$A,0)),""))</f>
        <v>ジャパンエクセレント投資法人</v>
      </c>
      <c r="D52" s="17" t="str">
        <f aca="false">IF($A52="","",物件マスタ!C52)</f>
        <v>広島第一生命OSビルディング</v>
      </c>
      <c r="E52" s="17" t="str">
        <f aca="false">IF($A52="","",物件マスタ!H52)</f>
        <v>3大都市圏以外の政令市</v>
      </c>
      <c r="F52" s="48" t="n">
        <f aca="false">IF($A52="","",物件マスタ!P52)</f>
        <v>0</v>
      </c>
      <c r="G52" s="34" t="str">
        <f aca="false">IF($A52="","",物件マスタ!Q52)</f>
        <v/>
      </c>
      <c r="H52" s="49" t="n">
        <f aca="false">IF($A52="","",物件マスタ!L52)</f>
        <v>0</v>
      </c>
      <c r="I52" s="49" t="n">
        <f aca="false">IF($A52="","",物件マスタ!M52)</f>
        <v>7517.73</v>
      </c>
      <c r="J52" s="43" t="n">
        <f aca="false">IF($A52="","",物件マスタ!S52)</f>
        <v>2780</v>
      </c>
      <c r="K52" s="43" t="n">
        <f aca="false">IF($A52="","",物件マスタ!U52)</f>
        <v>3930</v>
      </c>
      <c r="L52" s="50" t="n">
        <f aca="false">IF($A52="","",物件マスタ!W52)</f>
        <v>1</v>
      </c>
      <c r="M52" s="17" t="str">
        <f aca="false">IF($A52="","",IFERROR(INDEX(法人マスタ!$H:$H,MATCH($B52,法人マスタ!$A:$A,0)),""))</f>
        <v>2025年12月期（第39期）</v>
      </c>
      <c r="N52" s="51" t="n">
        <f aca="false">IF($A52="","",SUMIFS(物件収支!$D:$D,物件収支!$A:$A,$A52,物件収支!$C:$C,$M52))</f>
        <v>6</v>
      </c>
      <c r="O52" s="43" t="n">
        <f aca="false">IF($A52="","",SUMIFS(物件収支!$F:$F,物件収支!$A:$A,$A52,物件収支!$C:$C,$M52))</f>
        <v>156859</v>
      </c>
      <c r="P52" s="43" t="n">
        <f aca="false">IF($A52="","",SUMIFS(物件収支!$I:$I,物件収支!$A:$A,$A52,物件収支!$C:$C,$M52))</f>
        <v>0</v>
      </c>
      <c r="Q52" s="43" t="n">
        <f aca="false">IF($A52="","",SUMIFS(物件収支!$O:$O,物件収支!$A:$A,$A52,物件収支!$C:$C,$M52))</f>
        <v>0</v>
      </c>
      <c r="R52" s="43" t="str">
        <f aca="false">IF($A52="","",IF(P52=0,"",O52-P52))</f>
        <v/>
      </c>
      <c r="S52" s="43" t="str">
        <f aca="false">IF($A52="","",IF(R52="","",R52+Q52))</f>
        <v/>
      </c>
      <c r="T52" s="43" t="str">
        <f aca="false">IF($A52="","",IF(OR(S52="",N52&lt;=0),"",S52/1000*12/N52))</f>
        <v/>
      </c>
      <c r="U52" s="52" t="str">
        <f aca="false">IF($A52="","",IF(OR(T52="",J52=0,J52=""),"",T52/J52))</f>
        <v/>
      </c>
      <c r="V52" s="52" t="str">
        <f aca="false">IF($A52="","",IF(OR(R52="",N52&lt;=0,J52=0,J52=""),"",(R52/1000*12/N52)/J52))</f>
        <v/>
      </c>
      <c r="W52" s="52" t="str">
        <f aca="false">IF($A52="","",IF(OR(T52="",K52=0,K52=""),"",T52/K52))</f>
        <v/>
      </c>
      <c r="X52" s="43" t="n">
        <f aca="false">IF($A52="","",IF(OR(N52&lt;=0,I52=0,I52="",O52=0),"",O52*1000/(I52*0.3025)/N52))</f>
        <v>11495.9823590439</v>
      </c>
      <c r="Y52" s="50" t="str">
        <f aca="false">IF($A52="","",IF(OR(O52=0,O52="",P52=0),"",P52/O52))</f>
        <v/>
      </c>
      <c r="Z52" s="17" t="str">
        <f aca="false">IF($A52="","",IFERROR(INDEX(物件収支!$E:$E,MATCH($A52,物件収支!$A:$A,0)),""))</f>
        <v>一部開示（収益のみ）</v>
      </c>
    </row>
    <row r="53" customFormat="false" ht="15" hidden="false" customHeight="true" outlineLevel="0" collapsed="false">
      <c r="A53" s="17" t="str">
        <f aca="false">IF(物件マスタ!A53="","",物件マスタ!A53)</f>
        <v>JEI-33</v>
      </c>
      <c r="B53" s="17" t="str">
        <f aca="false">IF($A53="","",物件マスタ!B53)</f>
        <v>JEI</v>
      </c>
      <c r="C53" s="17" t="str">
        <f aca="false">IF($A53="","",IFERROR(INDEX(法人マスタ!$C:$C,MATCH($B53,法人マスタ!$A:$A,0)),""))</f>
        <v>ジャパンエクセレント投資法人</v>
      </c>
      <c r="D53" s="17" t="str">
        <f aca="false">IF($A53="","",物件マスタ!C53)</f>
        <v>札幌大手町ビル</v>
      </c>
      <c r="E53" s="17" t="str">
        <f aca="false">IF($A53="","",物件マスタ!H53)</f>
        <v>3大都市圏以外の政令市</v>
      </c>
      <c r="F53" s="48" t="n">
        <f aca="false">IF($A53="","",物件マスタ!P53)</f>
        <v>0</v>
      </c>
      <c r="G53" s="34" t="str">
        <f aca="false">IF($A53="","",物件マスタ!Q53)</f>
        <v/>
      </c>
      <c r="H53" s="49" t="n">
        <f aca="false">IF($A53="","",物件マスタ!L53)</f>
        <v>0</v>
      </c>
      <c r="I53" s="49" t="n">
        <f aca="false">IF($A53="","",物件マスタ!M53)</f>
        <v>4693.99</v>
      </c>
      <c r="J53" s="43" t="n">
        <f aca="false">IF($A53="","",物件マスタ!S53)</f>
        <v>4069</v>
      </c>
      <c r="K53" s="43" t="n">
        <f aca="false">IF($A53="","",物件マスタ!U53)</f>
        <v>4641</v>
      </c>
      <c r="L53" s="50" t="n">
        <f aca="false">IF($A53="","",物件マスタ!W53)</f>
        <v>0.884</v>
      </c>
      <c r="M53" s="17" t="str">
        <f aca="false">IF($A53="","",IFERROR(INDEX(法人マスタ!$H:$H,MATCH($B53,法人マスタ!$A:$A,0)),""))</f>
        <v>2025年12月期（第39期）</v>
      </c>
      <c r="N53" s="51" t="n">
        <f aca="false">IF($A53="","",SUMIFS(物件収支!$D:$D,物件収支!$A:$A,$A53,物件収支!$C:$C,$M53))</f>
        <v>6</v>
      </c>
      <c r="O53" s="43" t="n">
        <f aca="false">IF($A53="","",SUMIFS(物件収支!$F:$F,物件収支!$A:$A,$A53,物件収支!$C:$C,$M53))</f>
        <v>178437</v>
      </c>
      <c r="P53" s="43" t="n">
        <f aca="false">IF($A53="","",SUMIFS(物件収支!$I:$I,物件収支!$A:$A,$A53,物件収支!$C:$C,$M53))</f>
        <v>0</v>
      </c>
      <c r="Q53" s="43" t="n">
        <f aca="false">IF($A53="","",SUMIFS(物件収支!$O:$O,物件収支!$A:$A,$A53,物件収支!$C:$C,$M53))</f>
        <v>0</v>
      </c>
      <c r="R53" s="43" t="str">
        <f aca="false">IF($A53="","",IF(P53=0,"",O53-P53))</f>
        <v/>
      </c>
      <c r="S53" s="43" t="str">
        <f aca="false">IF($A53="","",IF(R53="","",R53+Q53))</f>
        <v/>
      </c>
      <c r="T53" s="43" t="str">
        <f aca="false">IF($A53="","",IF(OR(S53="",N53&lt;=0),"",S53/1000*12/N53))</f>
        <v/>
      </c>
      <c r="U53" s="52" t="str">
        <f aca="false">IF($A53="","",IF(OR(T53="",J53=0,J53=""),"",T53/J53))</f>
        <v/>
      </c>
      <c r="V53" s="52" t="str">
        <f aca="false">IF($A53="","",IF(OR(R53="",N53&lt;=0,J53=0,J53=""),"",(R53/1000*12/N53)/J53))</f>
        <v/>
      </c>
      <c r="W53" s="52" t="str">
        <f aca="false">IF($A53="","",IF(OR(T53="",K53=0,K53=""),"",T53/K53))</f>
        <v/>
      </c>
      <c r="X53" s="43" t="n">
        <f aca="false">IF($A53="","",IF(OR(N53&lt;=0,I53=0,I53="",O53=0),"",O53*1000/(I53*0.3025)/N53))</f>
        <v>20944.3131950036</v>
      </c>
      <c r="Y53" s="50" t="str">
        <f aca="false">IF($A53="","",IF(OR(O53=0,O53="",P53=0),"",P53/O53))</f>
        <v/>
      </c>
      <c r="Z53" s="17" t="str">
        <f aca="false">IF($A53="","",IFERROR(INDEX(物件収支!$E:$E,MATCH($A53,物件収支!$A:$A,0)),""))</f>
        <v>一部開示（収益のみ）</v>
      </c>
    </row>
    <row r="54" customFormat="false" ht="15" hidden="false" customHeight="true" outlineLevel="0" collapsed="false">
      <c r="A54" s="17" t="str">
        <f aca="false">IF(物件マスタ!A54="","",物件マスタ!A54)</f>
        <v>JEI-34</v>
      </c>
      <c r="B54" s="17" t="str">
        <f aca="false">IF($A54="","",物件マスタ!B54)</f>
        <v>JEI</v>
      </c>
      <c r="C54" s="17" t="str">
        <f aca="false">IF($A54="","",IFERROR(INDEX(法人マスタ!$C:$C,MATCH($B54,法人マスタ!$A:$A,0)),""))</f>
        <v>ジャパンエクセレント投資法人</v>
      </c>
      <c r="D54" s="17" t="str">
        <f aca="false">IF($A54="","",物件マスタ!C54)</f>
        <v>仙信ビル</v>
      </c>
      <c r="E54" s="17" t="str">
        <f aca="false">IF($A54="","",物件マスタ!H54)</f>
        <v>（期中譲渡済）</v>
      </c>
      <c r="F54" s="48" t="n">
        <f aca="false">IF($A54="","",物件マスタ!P54)</f>
        <v>0</v>
      </c>
      <c r="G54" s="34" t="str">
        <f aca="false">IF($A54="","",物件マスタ!Q54)</f>
        <v/>
      </c>
      <c r="H54" s="49" t="n">
        <f aca="false">IF($A54="","",物件マスタ!L54)</f>
        <v>0</v>
      </c>
      <c r="I54" s="49" t="n">
        <f aca="false">IF($A54="","",物件マスタ!M54)</f>
        <v>0</v>
      </c>
      <c r="J54" s="43" t="n">
        <f aca="false">IF($A54="","",物件マスタ!S54)</f>
        <v>0</v>
      </c>
      <c r="K54" s="43" t="n">
        <f aca="false">IF($A54="","",物件マスタ!U54)</f>
        <v>0</v>
      </c>
      <c r="L54" s="50" t="n">
        <f aca="false">IF($A54="","",物件マスタ!W54)</f>
        <v>0</v>
      </c>
      <c r="M54" s="17" t="str">
        <f aca="false">IF($A54="","",IFERROR(INDEX(法人マスタ!$H:$H,MATCH($B54,法人マスタ!$A:$A,0)),""))</f>
        <v>2025年12月期（第39期）</v>
      </c>
      <c r="N54" s="51" t="n">
        <f aca="false">IF($A54="","",SUMIFS(物件収支!$D:$D,物件収支!$A:$A,$A54,物件収支!$C:$C,$M54))</f>
        <v>6</v>
      </c>
      <c r="O54" s="43" t="n">
        <f aca="false">IF($A54="","",SUMIFS(物件収支!$F:$F,物件収支!$A:$A,$A54,物件収支!$C:$C,$M54))</f>
        <v>36582</v>
      </c>
      <c r="P54" s="43" t="n">
        <f aca="false">IF($A54="","",SUMIFS(物件収支!$I:$I,物件収支!$A:$A,$A54,物件収支!$C:$C,$M54))</f>
        <v>0</v>
      </c>
      <c r="Q54" s="43" t="n">
        <f aca="false">IF($A54="","",SUMIFS(物件収支!$O:$O,物件収支!$A:$A,$A54,物件収支!$C:$C,$M54))</f>
        <v>0</v>
      </c>
      <c r="R54" s="43" t="str">
        <f aca="false">IF($A54="","",IF(P54=0,"",O54-P54))</f>
        <v/>
      </c>
      <c r="S54" s="43" t="str">
        <f aca="false">IF($A54="","",IF(R54="","",R54+Q54))</f>
        <v/>
      </c>
      <c r="T54" s="43" t="str">
        <f aca="false">IF($A54="","",IF(OR(S54="",N54&lt;=0),"",S54/1000*12/N54))</f>
        <v/>
      </c>
      <c r="U54" s="52" t="str">
        <f aca="false">IF($A54="","",IF(OR(T54="",J54=0,J54=""),"",T54/J54))</f>
        <v/>
      </c>
      <c r="V54" s="52" t="str">
        <f aca="false">IF($A54="","",IF(OR(R54="",N54&lt;=0,J54=0,J54=""),"",(R54/1000*12/N54)/J54))</f>
        <v/>
      </c>
      <c r="W54" s="52" t="str">
        <f aca="false">IF($A54="","",IF(OR(T54="",K54=0,K54=""),"",T54/K54))</f>
        <v/>
      </c>
      <c r="X54" s="43" t="str">
        <f aca="false">IF($A54="","",IF(OR(N54&lt;=0,I54=0,I54="",O54=0),"",O54*1000/(I54*0.3025)/N54))</f>
        <v/>
      </c>
      <c r="Y54" s="50" t="str">
        <f aca="false">IF($A54="","",IF(OR(O54=0,O54="",P54=0),"",P54/O54))</f>
        <v/>
      </c>
      <c r="Z54" s="17" t="str">
        <f aca="false">IF($A54="","",IFERROR(INDEX(物件収支!$E:$E,MATCH($A54,物件収支!$A:$A,0)),""))</f>
        <v>一部開示（収益のみ）</v>
      </c>
    </row>
    <row r="55" customFormat="false" ht="15" hidden="false" customHeight="true" outlineLevel="0" collapsed="false">
      <c r="A55" s="17" t="str">
        <f aca="false">IF(物件マスタ!A55="","",物件マスタ!A55)</f>
        <v>JEI-ALL</v>
      </c>
      <c r="B55" s="17" t="str">
        <f aca="false">IF($A55="","",物件マスタ!B55)</f>
        <v>JEI</v>
      </c>
      <c r="C55" s="17" t="str">
        <f aca="false">IF($A55="","",IFERROR(INDEX(法人マスタ!$C:$C,MATCH($B55,法人マスタ!$A:$A,0)),""))</f>
        <v>ジャパンエクセレント投資法人</v>
      </c>
      <c r="D55" s="17" t="str">
        <f aca="false">IF($A55="","",物件マスタ!C55)</f>
        <v>【JEIポートフォリオ全体】</v>
      </c>
      <c r="E55" s="17" t="str">
        <f aca="false">IF($A55="","",物件マスタ!H55)</f>
        <v>─</v>
      </c>
      <c r="F55" s="48" t="n">
        <f aca="false">IF($A55="","",物件マスタ!P55)</f>
        <v>0</v>
      </c>
      <c r="G55" s="34" t="str">
        <f aca="false">IF($A55="","",物件マスタ!Q55)</f>
        <v/>
      </c>
      <c r="H55" s="49" t="n">
        <f aca="false">IF($A55="","",物件マスタ!L55)</f>
        <v>0</v>
      </c>
      <c r="I55" s="49" t="n">
        <f aca="false">IF($A55="","",物件マスタ!M55)</f>
        <v>300200.04</v>
      </c>
      <c r="J55" s="43" t="n">
        <f aca="false">IF($A55="","",物件マスタ!S55)</f>
        <v>290534</v>
      </c>
      <c r="K55" s="43" t="n">
        <f aca="false">IF($A55="","",物件マスタ!U55)</f>
        <v>351603</v>
      </c>
      <c r="L55" s="50" t="n">
        <f aca="false">IF($A55="","",物件マスタ!W55)</f>
        <v>0.983</v>
      </c>
      <c r="M55" s="17" t="str">
        <f aca="false">IF($A55="","",IFERROR(INDEX(法人マスタ!$H:$H,MATCH($B55,法人マスタ!$A:$A,0)),""))</f>
        <v>2025年12月期（第39期）</v>
      </c>
      <c r="N55" s="51" t="n">
        <f aca="false">IF($A55="","",SUMIFS(物件収支!$D:$D,物件収支!$A:$A,$A55,物件収支!$C:$C,$M55))</f>
        <v>6</v>
      </c>
      <c r="O55" s="43" t="n">
        <f aca="false">IF($A55="","",SUMIFS(物件収支!$F:$F,物件収支!$A:$A,$A55,物件収支!$C:$C,$M55))</f>
        <v>11115458</v>
      </c>
      <c r="P55" s="43" t="n">
        <f aca="false">IF($A55="","",SUMIFS(物件収支!$I:$I,物件収支!$A:$A,$A55,物件収支!$C:$C,$M55))</f>
        <v>5799809</v>
      </c>
      <c r="Q55" s="43" t="n">
        <f aca="false">IF($A55="","",SUMIFS(物件収支!$O:$O,物件収支!$A:$A,$A55,物件収支!$C:$C,$M55))</f>
        <v>1789009</v>
      </c>
      <c r="R55" s="43" t="n">
        <f aca="false">IF($A55="","",IF(P55=0,"",O55-P55))</f>
        <v>5315649</v>
      </c>
      <c r="S55" s="43" t="n">
        <f aca="false">IF($A55="","",IF(R55="","",R55+Q55))</f>
        <v>7104658</v>
      </c>
      <c r="T55" s="43" t="n">
        <f aca="false">IF($A55="","",IF(OR(S55="",N55&lt;=0),"",S55/1000*12/N55))</f>
        <v>14209.316</v>
      </c>
      <c r="U55" s="52" t="n">
        <f aca="false">IF($A55="","",IF(OR(T55="",J55=0,J55=""),"",T55/J55))</f>
        <v>0.0489075839660763</v>
      </c>
      <c r="V55" s="52" t="n">
        <f aca="false">IF($A55="","",IF(OR(R55="",N55&lt;=0,J55=0,J55=""),"",(R55/1000*12/N55)/J55))</f>
        <v>0.036592268030592</v>
      </c>
      <c r="W55" s="52" t="n">
        <f aca="false">IF($A55="","",IF(OR(T55="",K55=0,K55=""),"",T55/K55))</f>
        <v>0.0404129543832106</v>
      </c>
      <c r="X55" s="43" t="n">
        <f aca="false">IF($A55="","",IF(OR(N55&lt;=0,I55=0,I55="",O55=0),"",O55*1000/(I55*0.3025)/N55))</f>
        <v>20400.4612515926</v>
      </c>
      <c r="Y55" s="50" t="n">
        <f aca="false">IF($A55="","",IF(OR(O55=0,O55="",P55=0),"",P55/O55))</f>
        <v>0.52177867974491</v>
      </c>
      <c r="Z55" s="17" t="str">
        <f aca="false">IF($A55="","",IFERROR(INDEX(物件収支!$E:$E,MATCH($A55,物件収支!$A:$A,0)),""))</f>
        <v>開示（法人一括）</v>
      </c>
    </row>
    <row r="56" customFormat="false" ht="15" hidden="false" customHeight="true" outlineLevel="0" collapsed="false">
      <c r="A56" s="17" t="str">
        <f aca="false">IF(物件マスタ!A56="","",物件マスタ!A56)</f>
        <v>DOI-01</v>
      </c>
      <c r="B56" s="17" t="str">
        <f aca="false">IF($A56="","",物件マスタ!B56)</f>
        <v>DOI</v>
      </c>
      <c r="C56" s="17" t="str">
        <f aca="false">IF($A56="","",IFERROR(INDEX(法人マスタ!$C:$C,MATCH($B56,法人マスタ!$A:$A,0)),""))</f>
        <v>大和証券オフィス投資法人</v>
      </c>
      <c r="D56" s="17" t="str">
        <f aca="false">IF($A56="","",物件マスタ!C56)</f>
        <v>Ｄａｉｗａ銀座ビル</v>
      </c>
      <c r="E56" s="17" t="str">
        <f aca="false">IF($A56="","",物件マスタ!H56)</f>
        <v>都心5区</v>
      </c>
      <c r="F56" s="48" t="n">
        <f aca="false">IF($A56="","",物件マスタ!P56)</f>
        <v>23193</v>
      </c>
      <c r="G56" s="34" t="n">
        <f aca="false">IF($A56="","",物件マスタ!Q56)</f>
        <v>63.1</v>
      </c>
      <c r="H56" s="49" t="n">
        <f aca="false">IF($A56="","",物件マスタ!L56)</f>
        <v>0</v>
      </c>
      <c r="I56" s="49" t="n">
        <f aca="false">IF($A56="","",物件マスタ!M56)</f>
        <v>8117.07</v>
      </c>
      <c r="J56" s="43" t="n">
        <f aca="false">IF($A56="","",物件マスタ!S56)</f>
        <v>14100</v>
      </c>
      <c r="K56" s="43" t="n">
        <f aca="false">IF($A56="","",物件マスタ!U56)</f>
        <v>15100</v>
      </c>
      <c r="L56" s="50" t="n">
        <f aca="false">IF($A56="","",物件マスタ!W56)</f>
        <v>0.992</v>
      </c>
      <c r="M56" s="17" t="str">
        <f aca="false">IF($A56="","",IFERROR(INDEX(法人マスタ!$H:$H,MATCH($B56,法人マスタ!$A:$A,0)),""))</f>
        <v>2026年5月期（第41期）</v>
      </c>
      <c r="N56" s="51" t="n">
        <f aca="false">IF($A56="","",SUMIFS(物件収支!$D:$D,物件収支!$A:$A,$A56,物件収支!$C:$C,$M56))</f>
        <v>6</v>
      </c>
      <c r="O56" s="43" t="n">
        <f aca="false">IF($A56="","",SUMIFS(物件収支!$F:$F,物件収支!$A:$A,$A56,物件収支!$C:$C,$M56))</f>
        <v>450251</v>
      </c>
      <c r="P56" s="43" t="n">
        <f aca="false">IF($A56="","",SUMIFS(物件収支!$I:$I,物件収支!$A:$A,$A56,物件収支!$C:$C,$M56))</f>
        <v>0</v>
      </c>
      <c r="Q56" s="43" t="n">
        <f aca="false">IF($A56="","",SUMIFS(物件収支!$O:$O,物件収支!$A:$A,$A56,物件収支!$C:$C,$M56))</f>
        <v>0</v>
      </c>
      <c r="R56" s="43" t="str">
        <f aca="false">IF($A56="","",IF(P56=0,"",O56-P56))</f>
        <v/>
      </c>
      <c r="S56" s="43" t="str">
        <f aca="false">IF($A56="","",IF(R56="","",R56+Q56))</f>
        <v/>
      </c>
      <c r="T56" s="43" t="str">
        <f aca="false">IF($A56="","",IF(OR(S56="",N56&lt;=0),"",S56/1000*12/N56))</f>
        <v/>
      </c>
      <c r="U56" s="52" t="str">
        <f aca="false">IF($A56="","",IF(OR(T56="",J56=0,J56=""),"",T56/J56))</f>
        <v/>
      </c>
      <c r="V56" s="52" t="str">
        <f aca="false">IF($A56="","",IF(OR(R56="",N56&lt;=0,J56=0,J56=""),"",(R56/1000*12/N56)/J56))</f>
        <v/>
      </c>
      <c r="W56" s="52" t="str">
        <f aca="false">IF($A56="","",IF(OR(T56="",K56=0,K56=""),"",T56/K56))</f>
        <v/>
      </c>
      <c r="X56" s="43" t="n">
        <f aca="false">IF($A56="","",IF(OR(N56&lt;=0,I56=0,I56="",O56=0),"",O56*1000/(I56*0.3025)/N56))</f>
        <v>30561.7884665945</v>
      </c>
      <c r="Y56" s="50" t="str">
        <f aca="false">IF($A56="","",IF(OR(O56=0,O56="",P56=0),"",P56/O56))</f>
        <v/>
      </c>
      <c r="Z56" s="17" t="str">
        <f aca="false">IF($A56="","",IFERROR(INDEX(物件収支!$E:$E,MATCH($A56,物件収支!$A:$A,0)),""))</f>
        <v>一部開示（収益のみ）</v>
      </c>
    </row>
    <row r="57" customFormat="false" ht="15" hidden="false" customHeight="true" outlineLevel="0" collapsed="false">
      <c r="A57" s="17" t="str">
        <f aca="false">IF(物件マスタ!A57="","",物件マスタ!A57)</f>
        <v>DOI-02</v>
      </c>
      <c r="B57" s="17" t="str">
        <f aca="false">IF($A57="","",物件マスタ!B57)</f>
        <v>DOI</v>
      </c>
      <c r="C57" s="17" t="str">
        <f aca="false">IF($A57="","",IFERROR(INDEX(法人マスタ!$C:$C,MATCH($B57,法人マスタ!$A:$A,0)),""))</f>
        <v>大和証券オフィス投資法人</v>
      </c>
      <c r="D57" s="17" t="str">
        <f aca="false">IF($A57="","",物件マスタ!C57)</f>
        <v>Ｄａｉｗａ銀座アネックス</v>
      </c>
      <c r="E57" s="17" t="str">
        <f aca="false">IF($A57="","",物件マスタ!H57)</f>
        <v>都心5区</v>
      </c>
      <c r="F57" s="48" t="n">
        <f aca="false">IF($A57="","",物件マスタ!P57)</f>
        <v>26512</v>
      </c>
      <c r="G57" s="34" t="n">
        <f aca="false">IF($A57="","",物件マスタ!Q57)</f>
        <v>54</v>
      </c>
      <c r="H57" s="49" t="n">
        <f aca="false">IF($A57="","",物件マスタ!L57)</f>
        <v>0</v>
      </c>
      <c r="I57" s="49" t="n">
        <f aca="false">IF($A57="","",物件マスタ!M57)</f>
        <v>2032.11</v>
      </c>
      <c r="J57" s="43" t="n">
        <f aca="false">IF($A57="","",物件マスタ!S57)</f>
        <v>3050</v>
      </c>
      <c r="K57" s="43" t="n">
        <f aca="false">IF($A57="","",物件マスタ!U57)</f>
        <v>3120</v>
      </c>
      <c r="L57" s="50" t="n">
        <f aca="false">IF($A57="","",物件マスタ!W57)</f>
        <v>1</v>
      </c>
      <c r="M57" s="17" t="str">
        <f aca="false">IF($A57="","",IFERROR(INDEX(法人マスタ!$H:$H,MATCH($B57,法人マスタ!$A:$A,0)),""))</f>
        <v>2026年5月期（第41期）</v>
      </c>
      <c r="N57" s="51" t="n">
        <f aca="false">IF($A57="","",SUMIFS(物件収支!$D:$D,物件収支!$A:$A,$A57,物件収支!$C:$C,$M57))</f>
        <v>6</v>
      </c>
      <c r="O57" s="43" t="n">
        <f aca="false">IF($A57="","",SUMIFS(物件収支!$F:$F,物件収支!$A:$A,$A57,物件収支!$C:$C,$M57))</f>
        <v>96425</v>
      </c>
      <c r="P57" s="43" t="n">
        <f aca="false">IF($A57="","",SUMIFS(物件収支!$I:$I,物件収支!$A:$A,$A57,物件収支!$C:$C,$M57))</f>
        <v>0</v>
      </c>
      <c r="Q57" s="43" t="n">
        <f aca="false">IF($A57="","",SUMIFS(物件収支!$O:$O,物件収支!$A:$A,$A57,物件収支!$C:$C,$M57))</f>
        <v>0</v>
      </c>
      <c r="R57" s="43" t="str">
        <f aca="false">IF($A57="","",IF(P57=0,"",O57-P57))</f>
        <v/>
      </c>
      <c r="S57" s="43" t="str">
        <f aca="false">IF($A57="","",IF(R57="","",R57+Q57))</f>
        <v/>
      </c>
      <c r="T57" s="43" t="str">
        <f aca="false">IF($A57="","",IF(OR(S57="",N57&lt;=0),"",S57/1000*12/N57))</f>
        <v/>
      </c>
      <c r="U57" s="52" t="str">
        <f aca="false">IF($A57="","",IF(OR(T57="",J57=0,J57=""),"",T57/J57))</f>
        <v/>
      </c>
      <c r="V57" s="52" t="str">
        <f aca="false">IF($A57="","",IF(OR(R57="",N57&lt;=0,J57=0,J57=""),"",(R57/1000*12/N57)/J57))</f>
        <v/>
      </c>
      <c r="W57" s="52" t="str">
        <f aca="false">IF($A57="","",IF(OR(T57="",K57=0,K57=""),"",T57/K57))</f>
        <v/>
      </c>
      <c r="X57" s="43" t="n">
        <f aca="false">IF($A57="","",IF(OR(N57&lt;=0,I57=0,I57="",O57=0),"",O57*1000/(I57*0.3025)/N57))</f>
        <v>26143.6249824495</v>
      </c>
      <c r="Y57" s="50" t="str">
        <f aca="false">IF($A57="","",IF(OR(O57=0,O57="",P57=0),"",P57/O57))</f>
        <v/>
      </c>
      <c r="Z57" s="17" t="str">
        <f aca="false">IF($A57="","",IFERROR(INDEX(物件収支!$E:$E,MATCH($A57,物件収支!$A:$A,0)),""))</f>
        <v>一部開示（収益のみ）</v>
      </c>
    </row>
    <row r="58" customFormat="false" ht="15" hidden="false" customHeight="true" outlineLevel="0" collapsed="false">
      <c r="A58" s="17" t="str">
        <f aca="false">IF(物件マスタ!A58="","",物件マスタ!A58)</f>
        <v>DOI-03</v>
      </c>
      <c r="B58" s="17" t="str">
        <f aca="false">IF($A58="","",物件マスタ!B58)</f>
        <v>DOI</v>
      </c>
      <c r="C58" s="17" t="str">
        <f aca="false">IF($A58="","",IFERROR(INDEX(法人マスタ!$C:$C,MATCH($B58,法人マスタ!$A:$A,0)),""))</f>
        <v>大和証券オフィス投資法人</v>
      </c>
      <c r="D58" s="17" t="str">
        <f aca="false">IF($A58="","",物件マスタ!C58)</f>
        <v>Ｄａｉｗａ芝浦ビル</v>
      </c>
      <c r="E58" s="17" t="str">
        <f aca="false">IF($A58="","",物件マスタ!H58)</f>
        <v>都心5区</v>
      </c>
      <c r="F58" s="48" t="n">
        <f aca="false">IF($A58="","",物件マスタ!P58)</f>
        <v>32051</v>
      </c>
      <c r="G58" s="34" t="n">
        <f aca="false">IF($A58="","",物件マスタ!Q58)</f>
        <v>38.9</v>
      </c>
      <c r="H58" s="49" t="n">
        <f aca="false">IF($A58="","",物件マスタ!L58)</f>
        <v>0</v>
      </c>
      <c r="I58" s="49" t="n">
        <f aca="false">IF($A58="","",物件マスタ!M58)</f>
        <v>9619.67</v>
      </c>
      <c r="J58" s="43" t="n">
        <f aca="false">IF($A58="","",物件マスタ!S58)</f>
        <v>8265</v>
      </c>
      <c r="K58" s="43" t="n">
        <f aca="false">IF($A58="","",物件マスタ!U58)</f>
        <v>9320</v>
      </c>
      <c r="L58" s="50" t="n">
        <f aca="false">IF($A58="","",物件マスタ!W58)</f>
        <v>0.983</v>
      </c>
      <c r="M58" s="17" t="str">
        <f aca="false">IF($A58="","",IFERROR(INDEX(法人マスタ!$H:$H,MATCH($B58,法人マスタ!$A:$A,0)),""))</f>
        <v>2026年5月期（第41期）</v>
      </c>
      <c r="N58" s="51" t="n">
        <f aca="false">IF($A58="","",SUMIFS(物件収支!$D:$D,物件収支!$A:$A,$A58,物件収支!$C:$C,$M58))</f>
        <v>6</v>
      </c>
      <c r="O58" s="43" t="n">
        <f aca="false">IF($A58="","",SUMIFS(物件収支!$F:$F,物件収支!$A:$A,$A58,物件収支!$C:$C,$M58))</f>
        <v>281619</v>
      </c>
      <c r="P58" s="43" t="n">
        <f aca="false">IF($A58="","",SUMIFS(物件収支!$I:$I,物件収支!$A:$A,$A58,物件収支!$C:$C,$M58))</f>
        <v>0</v>
      </c>
      <c r="Q58" s="43" t="n">
        <f aca="false">IF($A58="","",SUMIFS(物件収支!$O:$O,物件収支!$A:$A,$A58,物件収支!$C:$C,$M58))</f>
        <v>0</v>
      </c>
      <c r="R58" s="43" t="str">
        <f aca="false">IF($A58="","",IF(P58=0,"",O58-P58))</f>
        <v/>
      </c>
      <c r="S58" s="43" t="str">
        <f aca="false">IF($A58="","",IF(R58="","",R58+Q58))</f>
        <v/>
      </c>
      <c r="T58" s="43" t="str">
        <f aca="false">IF($A58="","",IF(OR(S58="",N58&lt;=0),"",S58/1000*12/N58))</f>
        <v/>
      </c>
      <c r="U58" s="52" t="str">
        <f aca="false">IF($A58="","",IF(OR(T58="",J58=0,J58=""),"",T58/J58))</f>
        <v/>
      </c>
      <c r="V58" s="52" t="str">
        <f aca="false">IF($A58="","",IF(OR(R58="",N58&lt;=0,J58=0,J58=""),"",(R58/1000*12/N58)/J58))</f>
        <v/>
      </c>
      <c r="W58" s="52" t="str">
        <f aca="false">IF($A58="","",IF(OR(T58="",K58=0,K58=""),"",T58/K58))</f>
        <v/>
      </c>
      <c r="X58" s="43" t="n">
        <f aca="false">IF($A58="","",IF(OR(N58&lt;=0,I58=0,I58="",O58=0),"",O58*1000/(I58*0.3025)/N58))</f>
        <v>16129.6576151858</v>
      </c>
      <c r="Y58" s="50" t="str">
        <f aca="false">IF($A58="","",IF(OR(O58=0,O58="",P58=0),"",P58/O58))</f>
        <v/>
      </c>
      <c r="Z58" s="17" t="str">
        <f aca="false">IF($A58="","",IFERROR(INDEX(物件収支!$E:$E,MATCH($A58,物件収支!$A:$A,0)),""))</f>
        <v>一部開示（収益のみ）</v>
      </c>
    </row>
    <row r="59" customFormat="false" ht="15" hidden="false" customHeight="true" outlineLevel="0" collapsed="false">
      <c r="A59" s="17" t="str">
        <f aca="false">IF(物件マスタ!A59="","",物件マスタ!A59)</f>
        <v>DOI-04</v>
      </c>
      <c r="B59" s="17" t="str">
        <f aca="false">IF($A59="","",物件マスタ!B59)</f>
        <v>DOI</v>
      </c>
      <c r="C59" s="17" t="str">
        <f aca="false">IF($A59="","",IFERROR(INDEX(法人マスタ!$C:$C,MATCH($B59,法人マスタ!$A:$A,0)),""))</f>
        <v>大和証券オフィス投資法人</v>
      </c>
      <c r="D59" s="17" t="str">
        <f aca="false">IF($A59="","",物件マスタ!C59)</f>
        <v>Ｄａｉｗａ猿楽町ビル</v>
      </c>
      <c r="E59" s="17" t="str">
        <f aca="false">IF($A59="","",物件マスタ!H59)</f>
        <v>（期中譲渡済）</v>
      </c>
      <c r="F59" s="48" t="n">
        <f aca="false">IF($A59="","",物件マスタ!P59)</f>
        <v>31199</v>
      </c>
      <c r="G59" s="34" t="n">
        <f aca="false">IF($A59="","",物件マスタ!Q59)</f>
        <v>41.2</v>
      </c>
      <c r="H59" s="49" t="n">
        <f aca="false">IF($A59="","",物件マスタ!L59)</f>
        <v>0</v>
      </c>
      <c r="I59" s="49" t="n">
        <f aca="false">IF($A59="","",物件マスタ!M59)</f>
        <v>0</v>
      </c>
      <c r="J59" s="43" t="n">
        <f aca="false">IF($A59="","",物件マスタ!S59)</f>
        <v>0</v>
      </c>
      <c r="K59" s="43" t="n">
        <f aca="false">IF($A59="","",物件マスタ!U59)</f>
        <v>0</v>
      </c>
      <c r="L59" s="50" t="n">
        <f aca="false">IF($A59="","",物件マスタ!W59)</f>
        <v>0</v>
      </c>
      <c r="M59" s="17" t="str">
        <f aca="false">IF($A59="","",IFERROR(INDEX(法人マスタ!$H:$H,MATCH($B59,法人マスタ!$A:$A,0)),""))</f>
        <v>2026年5月期（第41期）</v>
      </c>
      <c r="N59" s="51" t="n">
        <f aca="false">IF($A59="","",SUMIFS(物件収支!$D:$D,物件収支!$A:$A,$A59,物件収支!$C:$C,$M59))</f>
        <v>6</v>
      </c>
      <c r="O59" s="43" t="n">
        <f aca="false">IF($A59="","",SUMIFS(物件収支!$F:$F,物件収支!$A:$A,$A59,物件収支!$C:$C,$M59))</f>
        <v>0</v>
      </c>
      <c r="P59" s="43" t="n">
        <f aca="false">IF($A59="","",SUMIFS(物件収支!$I:$I,物件収支!$A:$A,$A59,物件収支!$C:$C,$M59))</f>
        <v>0</v>
      </c>
      <c r="Q59" s="43" t="n">
        <f aca="false">IF($A59="","",SUMIFS(物件収支!$O:$O,物件収支!$A:$A,$A59,物件収支!$C:$C,$M59))</f>
        <v>0</v>
      </c>
      <c r="R59" s="43" t="str">
        <f aca="false">IF($A59="","",IF(P59=0,"",O59-P59))</f>
        <v/>
      </c>
      <c r="S59" s="43" t="str">
        <f aca="false">IF($A59="","",IF(R59="","",R59+Q59))</f>
        <v/>
      </c>
      <c r="T59" s="43" t="str">
        <f aca="false">IF($A59="","",IF(OR(S59="",N59&lt;=0),"",S59/1000*12/N59))</f>
        <v/>
      </c>
      <c r="U59" s="52" t="str">
        <f aca="false">IF($A59="","",IF(OR(T59="",J59=0,J59=""),"",T59/J59))</f>
        <v/>
      </c>
      <c r="V59" s="52" t="str">
        <f aca="false">IF($A59="","",IF(OR(R59="",N59&lt;=0,J59=0,J59=""),"",(R59/1000*12/N59)/J59))</f>
        <v/>
      </c>
      <c r="W59" s="52" t="str">
        <f aca="false">IF($A59="","",IF(OR(T59="",K59=0,K59=""),"",T59/K59))</f>
        <v/>
      </c>
      <c r="X59" s="43" t="str">
        <f aca="false">IF($A59="","",IF(OR(N59&lt;=0,I59=0,I59="",O59=0),"",O59*1000/(I59*0.3025)/N59))</f>
        <v/>
      </c>
      <c r="Y59" s="50" t="str">
        <f aca="false">IF($A59="","",IF(OR(O59=0,O59="",P59=0),"",P59/O59))</f>
        <v/>
      </c>
      <c r="Z59" s="17" t="str">
        <f aca="false">IF($A59="","",IFERROR(INDEX(物件収支!$E:$E,MATCH($A59,物件収支!$A:$A,0)),""))</f>
        <v>非開示（テナント同意なし）</v>
      </c>
    </row>
    <row r="60" customFormat="false" ht="15" hidden="false" customHeight="true" outlineLevel="0" collapsed="false">
      <c r="A60" s="17" t="str">
        <f aca="false">IF(物件マスタ!A60="","",物件マスタ!A60)</f>
        <v>DOI-05</v>
      </c>
      <c r="B60" s="17" t="str">
        <f aca="false">IF($A60="","",物件マスタ!B60)</f>
        <v>DOI</v>
      </c>
      <c r="C60" s="17" t="str">
        <f aca="false">IF($A60="","",IFERROR(INDEX(法人マスタ!$C:$C,MATCH($B60,法人マスタ!$A:$A,0)),""))</f>
        <v>大和証券オフィス投資法人</v>
      </c>
      <c r="D60" s="17" t="str">
        <f aca="false">IF($A60="","",物件マスタ!C60)</f>
        <v>ＤａｉｗａＡ浜松町ビル</v>
      </c>
      <c r="E60" s="17" t="str">
        <f aca="false">IF($A60="","",物件マスタ!H60)</f>
        <v>都心5区</v>
      </c>
      <c r="F60" s="48" t="n">
        <f aca="false">IF($A60="","",物件マスタ!P60)</f>
        <v>34151</v>
      </c>
      <c r="G60" s="34" t="n">
        <f aca="false">IF($A60="","",物件マスタ!Q60)</f>
        <v>33.1</v>
      </c>
      <c r="H60" s="49" t="n">
        <f aca="false">IF($A60="","",物件マスタ!L60)</f>
        <v>0</v>
      </c>
      <c r="I60" s="49" t="n">
        <f aca="false">IF($A60="","",物件マスタ!M60)</f>
        <v>3663.38</v>
      </c>
      <c r="J60" s="43" t="n">
        <f aca="false">IF($A60="","",物件マスタ!S60)</f>
        <v>2865</v>
      </c>
      <c r="K60" s="43" t="n">
        <f aca="false">IF($A60="","",物件マスタ!U60)</f>
        <v>3990</v>
      </c>
      <c r="L60" s="50" t="n">
        <f aca="false">IF($A60="","",物件マスタ!W60)</f>
        <v>0.942</v>
      </c>
      <c r="M60" s="17" t="str">
        <f aca="false">IF($A60="","",IFERROR(INDEX(法人マスタ!$H:$H,MATCH($B60,法人マスタ!$A:$A,0)),""))</f>
        <v>2026年5月期（第41期）</v>
      </c>
      <c r="N60" s="51" t="n">
        <f aca="false">IF($A60="","",SUMIFS(物件収支!$D:$D,物件収支!$A:$A,$A60,物件収支!$C:$C,$M60))</f>
        <v>6</v>
      </c>
      <c r="O60" s="43" t="n">
        <f aca="false">IF($A60="","",SUMIFS(物件収支!$F:$F,物件収支!$A:$A,$A60,物件収支!$C:$C,$M60))</f>
        <v>136850</v>
      </c>
      <c r="P60" s="43" t="n">
        <f aca="false">IF($A60="","",SUMIFS(物件収支!$I:$I,物件収支!$A:$A,$A60,物件収支!$C:$C,$M60))</f>
        <v>0</v>
      </c>
      <c r="Q60" s="43" t="n">
        <f aca="false">IF($A60="","",SUMIFS(物件収支!$O:$O,物件収支!$A:$A,$A60,物件収支!$C:$C,$M60))</f>
        <v>0</v>
      </c>
      <c r="R60" s="43" t="str">
        <f aca="false">IF($A60="","",IF(P60=0,"",O60-P60))</f>
        <v/>
      </c>
      <c r="S60" s="43" t="str">
        <f aca="false">IF($A60="","",IF(R60="","",R60+Q60))</f>
        <v/>
      </c>
      <c r="T60" s="43" t="str">
        <f aca="false">IF($A60="","",IF(OR(S60="",N60&lt;=0),"",S60/1000*12/N60))</f>
        <v/>
      </c>
      <c r="U60" s="52" t="str">
        <f aca="false">IF($A60="","",IF(OR(T60="",J60=0,J60=""),"",T60/J60))</f>
        <v/>
      </c>
      <c r="V60" s="52" t="str">
        <f aca="false">IF($A60="","",IF(OR(R60="",N60&lt;=0,J60=0,J60=""),"",(R60/1000*12/N60)/J60))</f>
        <v/>
      </c>
      <c r="W60" s="52" t="str">
        <f aca="false">IF($A60="","",IF(OR(T60="",K60=0,K60=""),"",T60/K60))</f>
        <v/>
      </c>
      <c r="X60" s="43" t="n">
        <f aca="false">IF($A60="","",IF(OR(N60&lt;=0,I60=0,I60="",O60=0),"",O60*1000/(I60*0.3025)/N60))</f>
        <v>20581.9349987751</v>
      </c>
      <c r="Y60" s="50" t="str">
        <f aca="false">IF($A60="","",IF(OR(O60=0,O60="",P60=0),"",P60/O60))</f>
        <v/>
      </c>
      <c r="Z60" s="17" t="str">
        <f aca="false">IF($A60="","",IFERROR(INDEX(物件収支!$E:$E,MATCH($A60,物件収支!$A:$A,0)),""))</f>
        <v>一部開示（収益のみ）</v>
      </c>
    </row>
    <row r="61" customFormat="false" ht="15" hidden="false" customHeight="true" outlineLevel="0" collapsed="false">
      <c r="A61" s="17" t="str">
        <f aca="false">IF(物件マスタ!A61="","",物件マスタ!A61)</f>
        <v>DOI-06</v>
      </c>
      <c r="B61" s="17" t="str">
        <f aca="false">IF($A61="","",物件マスタ!B61)</f>
        <v>DOI</v>
      </c>
      <c r="C61" s="17" t="str">
        <f aca="false">IF($A61="","",IFERROR(INDEX(法人マスタ!$C:$C,MATCH($B61,法人マスタ!$A:$A,0)),""))</f>
        <v>大和証券オフィス投資法人</v>
      </c>
      <c r="D61" s="17" t="str">
        <f aca="false">IF($A61="","",物件マスタ!C61)</f>
        <v>Ｄａｉｗａ神宮前ビル</v>
      </c>
      <c r="E61" s="17" t="str">
        <f aca="false">IF($A61="","",物件マスタ!H61)</f>
        <v>都心5区</v>
      </c>
      <c r="F61" s="48" t="n">
        <f aca="false">IF($A61="","",物件マスタ!P61)</f>
        <v>35765</v>
      </c>
      <c r="G61" s="34" t="n">
        <f aca="false">IF($A61="","",物件マスタ!Q61)</f>
        <v>28.7</v>
      </c>
      <c r="H61" s="49" t="n">
        <f aca="false">IF($A61="","",物件マスタ!L61)</f>
        <v>0</v>
      </c>
      <c r="I61" s="49" t="n">
        <f aca="false">IF($A61="","",物件マスタ!M61)</f>
        <v>2198.61</v>
      </c>
      <c r="J61" s="43" t="n">
        <f aca="false">IF($A61="","",物件マスタ!S61)</f>
        <v>2800</v>
      </c>
      <c r="K61" s="43" t="n">
        <f aca="false">IF($A61="","",物件マスタ!U61)</f>
        <v>3320</v>
      </c>
      <c r="L61" s="50" t="n">
        <f aca="false">IF($A61="","",物件マスタ!W61)</f>
        <v>1</v>
      </c>
      <c r="M61" s="17" t="str">
        <f aca="false">IF($A61="","",IFERROR(INDEX(法人マスタ!$H:$H,MATCH($B61,法人マスタ!$A:$A,0)),""))</f>
        <v>2026年5月期（第41期）</v>
      </c>
      <c r="N61" s="51" t="n">
        <f aca="false">IF($A61="","",SUMIFS(物件収支!$D:$D,物件収支!$A:$A,$A61,物件収支!$C:$C,$M61))</f>
        <v>6</v>
      </c>
      <c r="O61" s="43" t="n">
        <f aca="false">IF($A61="","",SUMIFS(物件収支!$F:$F,物件収支!$A:$A,$A61,物件収支!$C:$C,$M61))</f>
        <v>76886</v>
      </c>
      <c r="P61" s="43" t="n">
        <f aca="false">IF($A61="","",SUMIFS(物件収支!$I:$I,物件収支!$A:$A,$A61,物件収支!$C:$C,$M61))</f>
        <v>0</v>
      </c>
      <c r="Q61" s="43" t="n">
        <f aca="false">IF($A61="","",SUMIFS(物件収支!$O:$O,物件収支!$A:$A,$A61,物件収支!$C:$C,$M61))</f>
        <v>0</v>
      </c>
      <c r="R61" s="43" t="str">
        <f aca="false">IF($A61="","",IF(P61=0,"",O61-P61))</f>
        <v/>
      </c>
      <c r="S61" s="43" t="str">
        <f aca="false">IF($A61="","",IF(R61="","",R61+Q61))</f>
        <v/>
      </c>
      <c r="T61" s="43" t="str">
        <f aca="false">IF($A61="","",IF(OR(S61="",N61&lt;=0),"",S61/1000*12/N61))</f>
        <v/>
      </c>
      <c r="U61" s="52" t="str">
        <f aca="false">IF($A61="","",IF(OR(T61="",J61=0,J61=""),"",T61/J61))</f>
        <v/>
      </c>
      <c r="V61" s="52" t="str">
        <f aca="false">IF($A61="","",IF(OR(R61="",N61&lt;=0,J61=0,J61=""),"",(R61/1000*12/N61)/J61))</f>
        <v/>
      </c>
      <c r="W61" s="52" t="str">
        <f aca="false">IF($A61="","",IF(OR(T61="",K61=0,K61=""),"",T61/K61))</f>
        <v/>
      </c>
      <c r="X61" s="43" t="n">
        <f aca="false">IF($A61="","",IF(OR(N61&lt;=0,I61=0,I61="",O61=0),"",O61*1000/(I61*0.3025)/N61))</f>
        <v>19267.3700687648</v>
      </c>
      <c r="Y61" s="50" t="str">
        <f aca="false">IF($A61="","",IF(OR(O61=0,O61="",P61=0),"",P61/O61))</f>
        <v/>
      </c>
      <c r="Z61" s="17" t="str">
        <f aca="false">IF($A61="","",IFERROR(INDEX(物件収支!$E:$E,MATCH($A61,物件収支!$A:$A,0)),""))</f>
        <v>一部開示（収益のみ）</v>
      </c>
    </row>
    <row r="62" customFormat="false" ht="15" hidden="false" customHeight="true" outlineLevel="0" collapsed="false">
      <c r="A62" s="17" t="str">
        <f aca="false">IF(物件マスタ!A62="","",物件マスタ!A62)</f>
        <v>DOI-07</v>
      </c>
      <c r="B62" s="17" t="str">
        <f aca="false">IF($A62="","",物件マスタ!B62)</f>
        <v>DOI</v>
      </c>
      <c r="C62" s="17" t="str">
        <f aca="false">IF($A62="","",IFERROR(INDEX(法人マスタ!$C:$C,MATCH($B62,法人マスタ!$A:$A,0)),""))</f>
        <v>大和証券オフィス投資法人</v>
      </c>
      <c r="D62" s="17" t="str">
        <f aca="false">IF($A62="","",物件マスタ!C62)</f>
        <v>Ｄａｉｗａ芝大門ビル</v>
      </c>
      <c r="E62" s="17" t="str">
        <f aca="false">IF($A62="","",物件マスタ!H62)</f>
        <v>都心5区</v>
      </c>
      <c r="F62" s="48" t="n">
        <f aca="false">IF($A62="","",物件マスタ!P62)</f>
        <v>35370</v>
      </c>
      <c r="G62" s="34" t="n">
        <f aca="false">IF($A62="","",物件マスタ!Q62)</f>
        <v>29.8</v>
      </c>
      <c r="H62" s="49" t="n">
        <f aca="false">IF($A62="","",物件マスタ!L62)</f>
        <v>0</v>
      </c>
      <c r="I62" s="49" t="n">
        <f aca="false">IF($A62="","",物件マスタ!M62)</f>
        <v>2386.48</v>
      </c>
      <c r="J62" s="43" t="n">
        <f aca="false">IF($A62="","",物件マスタ!S62)</f>
        <v>2578</v>
      </c>
      <c r="K62" s="43" t="n">
        <f aca="false">IF($A62="","",物件マスタ!U62)</f>
        <v>4140</v>
      </c>
      <c r="L62" s="50" t="n">
        <f aca="false">IF($A62="","",物件マスタ!W62)</f>
        <v>0.846</v>
      </c>
      <c r="M62" s="17" t="str">
        <f aca="false">IF($A62="","",IFERROR(INDEX(法人マスタ!$H:$H,MATCH($B62,法人マスタ!$A:$A,0)),""))</f>
        <v>2026年5月期（第41期）</v>
      </c>
      <c r="N62" s="51" t="n">
        <f aca="false">IF($A62="","",SUMIFS(物件収支!$D:$D,物件収支!$A:$A,$A62,物件収支!$C:$C,$M62))</f>
        <v>6</v>
      </c>
      <c r="O62" s="43" t="n">
        <f aca="false">IF($A62="","",SUMIFS(物件収支!$F:$F,物件収支!$A:$A,$A62,物件収支!$C:$C,$M62))</f>
        <v>105128</v>
      </c>
      <c r="P62" s="43" t="n">
        <f aca="false">IF($A62="","",SUMIFS(物件収支!$I:$I,物件収支!$A:$A,$A62,物件収支!$C:$C,$M62))</f>
        <v>0</v>
      </c>
      <c r="Q62" s="43" t="n">
        <f aca="false">IF($A62="","",SUMIFS(物件収支!$O:$O,物件収支!$A:$A,$A62,物件収支!$C:$C,$M62))</f>
        <v>0</v>
      </c>
      <c r="R62" s="43" t="str">
        <f aca="false">IF($A62="","",IF(P62=0,"",O62-P62))</f>
        <v/>
      </c>
      <c r="S62" s="43" t="str">
        <f aca="false">IF($A62="","",IF(R62="","",R62+Q62))</f>
        <v/>
      </c>
      <c r="T62" s="43" t="str">
        <f aca="false">IF($A62="","",IF(OR(S62="",N62&lt;=0),"",S62/1000*12/N62))</f>
        <v/>
      </c>
      <c r="U62" s="52" t="str">
        <f aca="false">IF($A62="","",IF(OR(T62="",J62=0,J62=""),"",T62/J62))</f>
        <v/>
      </c>
      <c r="V62" s="52" t="str">
        <f aca="false">IF($A62="","",IF(OR(R62="",N62&lt;=0,J62=0,J62=""),"",(R62/1000*12/N62)/J62))</f>
        <v/>
      </c>
      <c r="W62" s="52" t="str">
        <f aca="false">IF($A62="","",IF(OR(T62="",K62=0,K62=""),"",T62/K62))</f>
        <v/>
      </c>
      <c r="X62" s="43" t="n">
        <f aca="false">IF($A62="","",IF(OR(N62&lt;=0,I62=0,I62="",O62=0),"",O62*1000/(I62*0.3025)/N62))</f>
        <v>24270.7934218596</v>
      </c>
      <c r="Y62" s="50" t="str">
        <f aca="false">IF($A62="","",IF(OR(O62=0,O62="",P62=0),"",P62/O62))</f>
        <v/>
      </c>
      <c r="Z62" s="17" t="str">
        <f aca="false">IF($A62="","",IFERROR(INDEX(物件収支!$E:$E,MATCH($A62,物件収支!$A:$A,0)),""))</f>
        <v>一部開示（収益のみ）</v>
      </c>
    </row>
    <row r="63" customFormat="false" ht="15" hidden="false" customHeight="true" outlineLevel="0" collapsed="false">
      <c r="A63" s="17" t="str">
        <f aca="false">IF(物件マスタ!A63="","",物件マスタ!A63)</f>
        <v>DOI-08</v>
      </c>
      <c r="B63" s="17" t="str">
        <f aca="false">IF($A63="","",物件マスタ!B63)</f>
        <v>DOI</v>
      </c>
      <c r="C63" s="17" t="str">
        <f aca="false">IF($A63="","",IFERROR(INDEX(法人マスタ!$C:$C,MATCH($B63,法人マスタ!$A:$A,0)),""))</f>
        <v>大和証券オフィス投資法人</v>
      </c>
      <c r="D63" s="17" t="str">
        <f aca="false">IF($A63="","",物件マスタ!C63)</f>
        <v>Ｄａｉｗａ三崎町ビル</v>
      </c>
      <c r="E63" s="17" t="str">
        <f aca="false">IF($A63="","",物件マスタ!H63)</f>
        <v>都心5区</v>
      </c>
      <c r="F63" s="48" t="n">
        <f aca="false">IF($A63="","",物件マスタ!P63)</f>
        <v>35247</v>
      </c>
      <c r="G63" s="34" t="n">
        <f aca="false">IF($A63="","",物件マスタ!Q63)</f>
        <v>30.1</v>
      </c>
      <c r="H63" s="49" t="n">
        <f aca="false">IF($A63="","",物件マスタ!L63)</f>
        <v>0</v>
      </c>
      <c r="I63" s="49" t="n">
        <f aca="false">IF($A63="","",物件マスタ!M63)</f>
        <v>2137.53</v>
      </c>
      <c r="J63" s="43" t="n">
        <f aca="false">IF($A63="","",物件マスタ!S63)</f>
        <v>2346</v>
      </c>
      <c r="K63" s="43" t="n">
        <f aca="false">IF($A63="","",物件マスタ!U63)</f>
        <v>2960</v>
      </c>
      <c r="L63" s="50" t="n">
        <f aca="false">IF($A63="","",物件マスタ!W63)</f>
        <v>1</v>
      </c>
      <c r="M63" s="17" t="str">
        <f aca="false">IF($A63="","",IFERROR(INDEX(法人マスタ!$H:$H,MATCH($B63,法人マスタ!$A:$A,0)),""))</f>
        <v>2026年5月期（第41期）</v>
      </c>
      <c r="N63" s="51" t="n">
        <f aca="false">IF($A63="","",SUMIFS(物件収支!$D:$D,物件収支!$A:$A,$A63,物件収支!$C:$C,$M63))</f>
        <v>6</v>
      </c>
      <c r="O63" s="43" t="n">
        <f aca="false">IF($A63="","",SUMIFS(物件収支!$F:$F,物件収支!$A:$A,$A63,物件収支!$C:$C,$M63))</f>
        <v>0</v>
      </c>
      <c r="P63" s="43" t="n">
        <f aca="false">IF($A63="","",SUMIFS(物件収支!$I:$I,物件収支!$A:$A,$A63,物件収支!$C:$C,$M63))</f>
        <v>0</v>
      </c>
      <c r="Q63" s="43" t="n">
        <f aca="false">IF($A63="","",SUMIFS(物件収支!$O:$O,物件収支!$A:$A,$A63,物件収支!$C:$C,$M63))</f>
        <v>0</v>
      </c>
      <c r="R63" s="43" t="str">
        <f aca="false">IF($A63="","",IF(P63=0,"",O63-P63))</f>
        <v/>
      </c>
      <c r="S63" s="43" t="str">
        <f aca="false">IF($A63="","",IF(R63="","",R63+Q63))</f>
        <v/>
      </c>
      <c r="T63" s="43" t="str">
        <f aca="false">IF($A63="","",IF(OR(S63="",N63&lt;=0),"",S63/1000*12/N63))</f>
        <v/>
      </c>
      <c r="U63" s="52" t="str">
        <f aca="false">IF($A63="","",IF(OR(T63="",J63=0,J63=""),"",T63/J63))</f>
        <v/>
      </c>
      <c r="V63" s="52" t="str">
        <f aca="false">IF($A63="","",IF(OR(R63="",N63&lt;=0,J63=0,J63=""),"",(R63/1000*12/N63)/J63))</f>
        <v/>
      </c>
      <c r="W63" s="52" t="str">
        <f aca="false">IF($A63="","",IF(OR(T63="",K63=0,K63=""),"",T63/K63))</f>
        <v/>
      </c>
      <c r="X63" s="43" t="str">
        <f aca="false">IF($A63="","",IF(OR(N63&lt;=0,I63=0,I63="",O63=0),"",O63*1000/(I63*0.3025)/N63))</f>
        <v/>
      </c>
      <c r="Y63" s="50" t="str">
        <f aca="false">IF($A63="","",IF(OR(O63=0,O63="",P63=0),"",P63/O63))</f>
        <v/>
      </c>
      <c r="Z63" s="17" t="str">
        <f aca="false">IF($A63="","",IFERROR(INDEX(物件収支!$E:$E,MATCH($A63,物件収支!$A:$A,0)),""))</f>
        <v>非開示（テナント同意なし）</v>
      </c>
    </row>
    <row r="64" customFormat="false" ht="15" hidden="false" customHeight="true" outlineLevel="0" collapsed="false">
      <c r="A64" s="17" t="str">
        <f aca="false">IF(物件マスタ!A64="","",物件マスタ!A64)</f>
        <v>DOI-09</v>
      </c>
      <c r="B64" s="17" t="str">
        <f aca="false">IF($A64="","",物件マスタ!B64)</f>
        <v>DOI</v>
      </c>
      <c r="C64" s="17" t="str">
        <f aca="false">IF($A64="","",IFERROR(INDEX(法人マスタ!$C:$C,MATCH($B64,法人マスタ!$A:$A,0)),""))</f>
        <v>大和証券オフィス投資法人</v>
      </c>
      <c r="D64" s="17" t="str">
        <f aca="false">IF($A64="","",物件マスタ!C64)</f>
        <v>Ｄａｉｗａ築地駅前ビル</v>
      </c>
      <c r="E64" s="17" t="str">
        <f aca="false">IF($A64="","",物件マスタ!H64)</f>
        <v>都心5区</v>
      </c>
      <c r="F64" s="48" t="n">
        <f aca="false">IF($A64="","",物件マスタ!P64)</f>
        <v>35065</v>
      </c>
      <c r="G64" s="34" t="n">
        <f aca="false">IF($A64="","",物件マスタ!Q64)</f>
        <v>30.6</v>
      </c>
      <c r="H64" s="49" t="n">
        <f aca="false">IF($A64="","",物件マスタ!L64)</f>
        <v>0</v>
      </c>
      <c r="I64" s="49" t="n">
        <f aca="false">IF($A64="","",物件マスタ!M64)</f>
        <v>2659.59</v>
      </c>
      <c r="J64" s="43" t="n">
        <f aca="false">IF($A64="","",物件マスタ!S64)</f>
        <v>1560</v>
      </c>
      <c r="K64" s="43" t="n">
        <f aca="false">IF($A64="","",物件マスタ!U64)</f>
        <v>2450</v>
      </c>
      <c r="L64" s="50" t="n">
        <f aca="false">IF($A64="","",物件マスタ!W64)</f>
        <v>1</v>
      </c>
      <c r="M64" s="17" t="str">
        <f aca="false">IF($A64="","",IFERROR(INDEX(法人マスタ!$H:$H,MATCH($B64,法人マスタ!$A:$A,0)),""))</f>
        <v>2026年5月期（第41期）</v>
      </c>
      <c r="N64" s="51" t="n">
        <f aca="false">IF($A64="","",SUMIFS(物件収支!$D:$D,物件収支!$A:$A,$A64,物件収支!$C:$C,$M64))</f>
        <v>6</v>
      </c>
      <c r="O64" s="43" t="n">
        <f aca="false">IF($A64="","",SUMIFS(物件収支!$F:$F,物件収支!$A:$A,$A64,物件収支!$C:$C,$M64))</f>
        <v>73116</v>
      </c>
      <c r="P64" s="43" t="n">
        <f aca="false">IF($A64="","",SUMIFS(物件収支!$I:$I,物件収支!$A:$A,$A64,物件収支!$C:$C,$M64))</f>
        <v>0</v>
      </c>
      <c r="Q64" s="43" t="n">
        <f aca="false">IF($A64="","",SUMIFS(物件収支!$O:$O,物件収支!$A:$A,$A64,物件収支!$C:$C,$M64))</f>
        <v>0</v>
      </c>
      <c r="R64" s="43" t="str">
        <f aca="false">IF($A64="","",IF(P64=0,"",O64-P64))</f>
        <v/>
      </c>
      <c r="S64" s="43" t="str">
        <f aca="false">IF($A64="","",IF(R64="","",R64+Q64))</f>
        <v/>
      </c>
      <c r="T64" s="43" t="str">
        <f aca="false">IF($A64="","",IF(OR(S64="",N64&lt;=0),"",S64/1000*12/N64))</f>
        <v/>
      </c>
      <c r="U64" s="52" t="str">
        <f aca="false">IF($A64="","",IF(OR(T64="",J64=0,J64=""),"",T64/J64))</f>
        <v/>
      </c>
      <c r="V64" s="52" t="str">
        <f aca="false">IF($A64="","",IF(OR(R64="",N64&lt;=0,J64=0,J64=""),"",(R64/1000*12/N64)/J64))</f>
        <v/>
      </c>
      <c r="W64" s="52" t="str">
        <f aca="false">IF($A64="","",IF(OR(T64="",K64=0,K64=""),"",T64/K64))</f>
        <v/>
      </c>
      <c r="X64" s="43" t="n">
        <f aca="false">IF($A64="","",IF(OR(N64&lt;=0,I64=0,I64="",O64=0),"",O64*1000/(I64*0.3025)/N64))</f>
        <v>15146.8074104133</v>
      </c>
      <c r="Y64" s="50" t="str">
        <f aca="false">IF($A64="","",IF(OR(O64=0,O64="",P64=0),"",P64/O64))</f>
        <v/>
      </c>
      <c r="Z64" s="17" t="str">
        <f aca="false">IF($A64="","",IFERROR(INDEX(物件収支!$E:$E,MATCH($A64,物件収支!$A:$A,0)),""))</f>
        <v>一部開示（収益のみ）</v>
      </c>
    </row>
    <row r="65" customFormat="false" ht="15" hidden="false" customHeight="true" outlineLevel="0" collapsed="false">
      <c r="A65" s="17" t="str">
        <f aca="false">IF(物件マスタ!A65="","",物件マスタ!A65)</f>
        <v>DOI-10</v>
      </c>
      <c r="B65" s="17" t="str">
        <f aca="false">IF($A65="","",物件マスタ!B65)</f>
        <v>DOI</v>
      </c>
      <c r="C65" s="17" t="str">
        <f aca="false">IF($A65="","",IFERROR(INDEX(法人マスタ!$C:$C,MATCH($B65,法人マスタ!$A:$A,0)),""))</f>
        <v>大和証券オフィス投資法人</v>
      </c>
      <c r="D65" s="17" t="str">
        <f aca="false">IF($A65="","",物件マスタ!C65)</f>
        <v>Ｄａｉｗａ築地ビル</v>
      </c>
      <c r="E65" s="17" t="str">
        <f aca="false">IF($A65="","",物件マスタ!H65)</f>
        <v>都心5区</v>
      </c>
      <c r="F65" s="48" t="n">
        <f aca="false">IF($A65="","",物件マスタ!P65)</f>
        <v>32874</v>
      </c>
      <c r="G65" s="34" t="n">
        <f aca="false">IF($A65="","",物件マスタ!Q65)</f>
        <v>36.6</v>
      </c>
      <c r="H65" s="49" t="n">
        <f aca="false">IF($A65="","",物件マスタ!L65)</f>
        <v>0</v>
      </c>
      <c r="I65" s="49" t="n">
        <f aca="false">IF($A65="","",物件マスタ!M65)</f>
        <v>1487.44</v>
      </c>
      <c r="J65" s="43" t="n">
        <f aca="false">IF($A65="","",物件マスタ!S65)</f>
        <v>1240</v>
      </c>
      <c r="K65" s="43" t="n">
        <f aca="false">IF($A65="","",物件マスタ!U65)</f>
        <v>1640</v>
      </c>
      <c r="L65" s="50" t="n">
        <f aca="false">IF($A65="","",物件マスタ!W65)</f>
        <v>0.851</v>
      </c>
      <c r="M65" s="17" t="str">
        <f aca="false">IF($A65="","",IFERROR(INDEX(法人マスタ!$H:$H,MATCH($B65,法人マスタ!$A:$A,0)),""))</f>
        <v>2026年5月期（第41期）</v>
      </c>
      <c r="N65" s="51" t="n">
        <f aca="false">IF($A65="","",SUMIFS(物件収支!$D:$D,物件収支!$A:$A,$A65,物件収支!$C:$C,$M65))</f>
        <v>6</v>
      </c>
      <c r="O65" s="43" t="n">
        <f aca="false">IF($A65="","",SUMIFS(物件収支!$F:$F,物件収支!$A:$A,$A65,物件収支!$C:$C,$M65))</f>
        <v>42781</v>
      </c>
      <c r="P65" s="43" t="n">
        <f aca="false">IF($A65="","",SUMIFS(物件収支!$I:$I,物件収支!$A:$A,$A65,物件収支!$C:$C,$M65))</f>
        <v>0</v>
      </c>
      <c r="Q65" s="43" t="n">
        <f aca="false">IF($A65="","",SUMIFS(物件収支!$O:$O,物件収支!$A:$A,$A65,物件収支!$C:$C,$M65))</f>
        <v>0</v>
      </c>
      <c r="R65" s="43" t="str">
        <f aca="false">IF($A65="","",IF(P65=0,"",O65-P65))</f>
        <v/>
      </c>
      <c r="S65" s="43" t="str">
        <f aca="false">IF($A65="","",IF(R65="","",R65+Q65))</f>
        <v/>
      </c>
      <c r="T65" s="43" t="str">
        <f aca="false">IF($A65="","",IF(OR(S65="",N65&lt;=0),"",S65/1000*12/N65))</f>
        <v/>
      </c>
      <c r="U65" s="52" t="str">
        <f aca="false">IF($A65="","",IF(OR(T65="",J65=0,J65=""),"",T65/J65))</f>
        <v/>
      </c>
      <c r="V65" s="52" t="str">
        <f aca="false">IF($A65="","",IF(OR(R65="",N65&lt;=0,J65=0,J65=""),"",(R65/1000*12/N65)/J65))</f>
        <v/>
      </c>
      <c r="W65" s="52" t="str">
        <f aca="false">IF($A65="","",IF(OR(T65="",K65=0,K65=""),"",T65/K65))</f>
        <v/>
      </c>
      <c r="X65" s="43" t="n">
        <f aca="false">IF($A65="","",IF(OR(N65&lt;=0,I65=0,I65="",O65=0),"",O65*1000/(I65*0.3025)/N65))</f>
        <v>15846.5544143439</v>
      </c>
      <c r="Y65" s="50" t="str">
        <f aca="false">IF($A65="","",IF(OR(O65=0,O65="",P65=0),"",P65/O65))</f>
        <v/>
      </c>
      <c r="Z65" s="17" t="str">
        <f aca="false">IF($A65="","",IFERROR(INDEX(物件収支!$E:$E,MATCH($A65,物件収支!$A:$A,0)),""))</f>
        <v>一部開示（収益のみ）</v>
      </c>
    </row>
    <row r="66" customFormat="false" ht="15" hidden="false" customHeight="true" outlineLevel="0" collapsed="false">
      <c r="A66" s="17" t="str">
        <f aca="false">IF(物件マスタ!A66="","",物件マスタ!A66)</f>
        <v>DOI-11</v>
      </c>
      <c r="B66" s="17" t="str">
        <f aca="false">IF($A66="","",物件マスタ!B66)</f>
        <v>DOI</v>
      </c>
      <c r="C66" s="17" t="str">
        <f aca="false">IF($A66="","",IFERROR(INDEX(法人マスタ!$C:$C,MATCH($B66,法人マスタ!$A:$A,0)),""))</f>
        <v>大和証券オフィス投資法人</v>
      </c>
      <c r="D66" s="17" t="str">
        <f aca="false">IF($A66="","",物件マスタ!C66)</f>
        <v>Ｄａｉｗａ日本橋堀留町ビル</v>
      </c>
      <c r="E66" s="17" t="str">
        <f aca="false">IF($A66="","",物件マスタ!H66)</f>
        <v>都心5区</v>
      </c>
      <c r="F66" s="48" t="n">
        <f aca="false">IF($A66="","",物件マスタ!P66)</f>
        <v>34060</v>
      </c>
      <c r="G66" s="34" t="n">
        <f aca="false">IF($A66="","",物件マスタ!Q66)</f>
        <v>33.4</v>
      </c>
      <c r="H66" s="49" t="n">
        <f aca="false">IF($A66="","",物件マスタ!L66)</f>
        <v>0</v>
      </c>
      <c r="I66" s="49" t="n">
        <f aca="false">IF($A66="","",物件マスタ!M66)</f>
        <v>2848.91</v>
      </c>
      <c r="J66" s="43" t="n">
        <f aca="false">IF($A66="","",物件マスタ!S66)</f>
        <v>2520</v>
      </c>
      <c r="K66" s="43" t="n">
        <f aca="false">IF($A66="","",物件マスタ!U66)</f>
        <v>3130</v>
      </c>
      <c r="L66" s="50" t="n">
        <f aca="false">IF($A66="","",物件マスタ!W66)</f>
        <v>1</v>
      </c>
      <c r="M66" s="17" t="str">
        <f aca="false">IF($A66="","",IFERROR(INDEX(法人マスタ!$H:$H,MATCH($B66,法人マスタ!$A:$A,0)),""))</f>
        <v>2026年5月期（第41期）</v>
      </c>
      <c r="N66" s="51" t="n">
        <f aca="false">IF($A66="","",SUMIFS(物件収支!$D:$D,物件収支!$A:$A,$A66,物件収支!$C:$C,$M66))</f>
        <v>6</v>
      </c>
      <c r="O66" s="43" t="n">
        <f aca="false">IF($A66="","",SUMIFS(物件収支!$F:$F,物件収支!$A:$A,$A66,物件収支!$C:$C,$M66))</f>
        <v>93584</v>
      </c>
      <c r="P66" s="43" t="n">
        <f aca="false">IF($A66="","",SUMIFS(物件収支!$I:$I,物件収支!$A:$A,$A66,物件収支!$C:$C,$M66))</f>
        <v>0</v>
      </c>
      <c r="Q66" s="43" t="n">
        <f aca="false">IF($A66="","",SUMIFS(物件収支!$O:$O,物件収支!$A:$A,$A66,物件収支!$C:$C,$M66))</f>
        <v>0</v>
      </c>
      <c r="R66" s="43" t="str">
        <f aca="false">IF($A66="","",IF(P66=0,"",O66-P66))</f>
        <v/>
      </c>
      <c r="S66" s="43" t="str">
        <f aca="false">IF($A66="","",IF(R66="","",R66+Q66))</f>
        <v/>
      </c>
      <c r="T66" s="43" t="str">
        <f aca="false">IF($A66="","",IF(OR(S66="",N66&lt;=0),"",S66/1000*12/N66))</f>
        <v/>
      </c>
      <c r="U66" s="52" t="str">
        <f aca="false">IF($A66="","",IF(OR(T66="",J66=0,J66=""),"",T66/J66))</f>
        <v/>
      </c>
      <c r="V66" s="52" t="str">
        <f aca="false">IF($A66="","",IF(OR(R66="",N66&lt;=0,J66=0,J66=""),"",(R66/1000*12/N66)/J66))</f>
        <v/>
      </c>
      <c r="W66" s="52" t="str">
        <f aca="false">IF($A66="","",IF(OR(T66="",K66=0,K66=""),"",T66/K66))</f>
        <v/>
      </c>
      <c r="X66" s="43" t="n">
        <f aca="false">IF($A66="","",IF(OR(N66&lt;=0,I66=0,I66="",O66=0),"",O66*1000/(I66*0.3025)/N66))</f>
        <v>18098.6526450071</v>
      </c>
      <c r="Y66" s="50" t="str">
        <f aca="false">IF($A66="","",IF(OR(O66=0,O66="",P66=0),"",P66/O66))</f>
        <v/>
      </c>
      <c r="Z66" s="17" t="str">
        <f aca="false">IF($A66="","",IFERROR(INDEX(物件収支!$E:$E,MATCH($A66,物件収支!$A:$A,0)),""))</f>
        <v>一部開示（収益のみ）</v>
      </c>
    </row>
    <row r="67" customFormat="false" ht="15" hidden="false" customHeight="true" outlineLevel="0" collapsed="false">
      <c r="A67" s="17" t="str">
        <f aca="false">IF(物件マスタ!A67="","",物件マスタ!A67)</f>
        <v>DOI-12</v>
      </c>
      <c r="B67" s="17" t="str">
        <f aca="false">IF($A67="","",物件マスタ!B67)</f>
        <v>DOI</v>
      </c>
      <c r="C67" s="17" t="str">
        <f aca="false">IF($A67="","",IFERROR(INDEX(法人マスタ!$C:$C,MATCH($B67,法人マスタ!$A:$A,0)),""))</f>
        <v>大和証券オフィス投資法人</v>
      </c>
      <c r="D67" s="17" t="str">
        <f aca="false">IF($A67="","",物件マスタ!C67)</f>
        <v>Ｄａｉｗａ麻布台ビル</v>
      </c>
      <c r="E67" s="17" t="str">
        <f aca="false">IF($A67="","",物件マスタ!H67)</f>
        <v>（期中譲渡済）</v>
      </c>
      <c r="F67" s="48" t="n">
        <f aca="false">IF($A67="","",物件マスタ!P67)</f>
        <v>30773</v>
      </c>
      <c r="G67" s="34" t="n">
        <f aca="false">IF($A67="","",物件マスタ!Q67)</f>
        <v>42.4</v>
      </c>
      <c r="H67" s="49" t="n">
        <f aca="false">IF($A67="","",物件マスタ!L67)</f>
        <v>0</v>
      </c>
      <c r="I67" s="49" t="n">
        <f aca="false">IF($A67="","",物件マスタ!M67)</f>
        <v>0</v>
      </c>
      <c r="J67" s="43" t="n">
        <f aca="false">IF($A67="","",物件マスタ!S67)</f>
        <v>0</v>
      </c>
      <c r="K67" s="43" t="n">
        <f aca="false">IF($A67="","",物件マスタ!U67)</f>
        <v>0</v>
      </c>
      <c r="L67" s="50" t="n">
        <f aca="false">IF($A67="","",物件マスタ!W67)</f>
        <v>0</v>
      </c>
      <c r="M67" s="17" t="str">
        <f aca="false">IF($A67="","",IFERROR(INDEX(法人マスタ!$H:$H,MATCH($B67,法人マスタ!$A:$A,0)),""))</f>
        <v>2026年5月期（第41期）</v>
      </c>
      <c r="N67" s="51" t="n">
        <f aca="false">IF($A67="","",SUMIFS(物件収支!$D:$D,物件収支!$A:$A,$A67,物件収支!$C:$C,$M67))</f>
        <v>6</v>
      </c>
      <c r="O67" s="43" t="n">
        <f aca="false">IF($A67="","",SUMIFS(物件収支!$F:$F,物件収支!$A:$A,$A67,物件収支!$C:$C,$M67))</f>
        <v>34611</v>
      </c>
      <c r="P67" s="43" t="n">
        <f aca="false">IF($A67="","",SUMIFS(物件収支!$I:$I,物件収支!$A:$A,$A67,物件収支!$C:$C,$M67))</f>
        <v>0</v>
      </c>
      <c r="Q67" s="43" t="n">
        <f aca="false">IF($A67="","",SUMIFS(物件収支!$O:$O,物件収支!$A:$A,$A67,物件収支!$C:$C,$M67))</f>
        <v>0</v>
      </c>
      <c r="R67" s="43" t="str">
        <f aca="false">IF($A67="","",IF(P67=0,"",O67-P67))</f>
        <v/>
      </c>
      <c r="S67" s="43" t="str">
        <f aca="false">IF($A67="","",IF(R67="","",R67+Q67))</f>
        <v/>
      </c>
      <c r="T67" s="43" t="str">
        <f aca="false">IF($A67="","",IF(OR(S67="",N67&lt;=0),"",S67/1000*12/N67))</f>
        <v/>
      </c>
      <c r="U67" s="52" t="str">
        <f aca="false">IF($A67="","",IF(OR(T67="",J67=0,J67=""),"",T67/J67))</f>
        <v/>
      </c>
      <c r="V67" s="52" t="str">
        <f aca="false">IF($A67="","",IF(OR(R67="",N67&lt;=0,J67=0,J67=""),"",(R67/1000*12/N67)/J67))</f>
        <v/>
      </c>
      <c r="W67" s="52" t="str">
        <f aca="false">IF($A67="","",IF(OR(T67="",K67=0,K67=""),"",T67/K67))</f>
        <v/>
      </c>
      <c r="X67" s="43" t="str">
        <f aca="false">IF($A67="","",IF(OR(N67&lt;=0,I67=0,I67="",O67=0),"",O67*1000/(I67*0.3025)/N67))</f>
        <v/>
      </c>
      <c r="Y67" s="50" t="str">
        <f aca="false">IF($A67="","",IF(OR(O67=0,O67="",P67=0),"",P67/O67))</f>
        <v/>
      </c>
      <c r="Z67" s="17" t="str">
        <f aca="false">IF($A67="","",IFERROR(INDEX(物件収支!$E:$E,MATCH($A67,物件収支!$A:$A,0)),""))</f>
        <v>一部開示（収益のみ）</v>
      </c>
    </row>
    <row r="68" customFormat="false" ht="15" hidden="false" customHeight="true" outlineLevel="0" collapsed="false">
      <c r="A68" s="17" t="str">
        <f aca="false">IF(物件マスタ!A68="","",物件マスタ!A68)</f>
        <v>DOI-13</v>
      </c>
      <c r="B68" s="17" t="str">
        <f aca="false">IF($A68="","",物件マスタ!B68)</f>
        <v>DOI</v>
      </c>
      <c r="C68" s="17" t="str">
        <f aca="false">IF($A68="","",IFERROR(INDEX(法人マスタ!$C:$C,MATCH($B68,法人マスタ!$A:$A,0)),""))</f>
        <v>大和証券オフィス投資法人</v>
      </c>
      <c r="D68" s="17" t="str">
        <f aca="false">IF($A68="","",物件マスタ!C68)</f>
        <v>新宿マインズタワー</v>
      </c>
      <c r="E68" s="17" t="str">
        <f aca="false">IF($A68="","",物件マスタ!H68)</f>
        <v>都心5区</v>
      </c>
      <c r="F68" s="48" t="n">
        <f aca="false">IF($A68="","",物件マスタ!P68)</f>
        <v>34943</v>
      </c>
      <c r="G68" s="34" t="n">
        <f aca="false">IF($A68="","",物件マスタ!Q68)</f>
        <v>30.9</v>
      </c>
      <c r="H68" s="49" t="n">
        <f aca="false">IF($A68="","",物件マスタ!L68)</f>
        <v>0</v>
      </c>
      <c r="I68" s="49" t="n">
        <f aca="false">IF($A68="","",物件マスタ!M68)</f>
        <v>22790.7</v>
      </c>
      <c r="J68" s="43" t="n">
        <f aca="false">IF($A68="","",物件マスタ!S68)</f>
        <v>66900</v>
      </c>
      <c r="K68" s="43" t="n">
        <f aca="false">IF($A68="","",物件マスタ!U68)</f>
        <v>70700</v>
      </c>
      <c r="L68" s="50" t="n">
        <f aca="false">IF($A68="","",物件マスタ!W68)</f>
        <v>0.993</v>
      </c>
      <c r="M68" s="17" t="str">
        <f aca="false">IF($A68="","",IFERROR(INDEX(法人マスタ!$H:$H,MATCH($B68,法人マスタ!$A:$A,0)),""))</f>
        <v>2026年5月期（第41期）</v>
      </c>
      <c r="N68" s="51" t="n">
        <f aca="false">IF($A68="","",SUMIFS(物件収支!$D:$D,物件収支!$A:$A,$A68,物件収支!$C:$C,$M68))</f>
        <v>6</v>
      </c>
      <c r="O68" s="43" t="n">
        <f aca="false">IF($A68="","",SUMIFS(物件収支!$F:$F,物件収支!$A:$A,$A68,物件収支!$C:$C,$M68))</f>
        <v>1455529</v>
      </c>
      <c r="P68" s="43" t="n">
        <f aca="false">IF($A68="","",SUMIFS(物件収支!$I:$I,物件収支!$A:$A,$A68,物件収支!$C:$C,$M68))</f>
        <v>0</v>
      </c>
      <c r="Q68" s="43" t="n">
        <f aca="false">IF($A68="","",SUMIFS(物件収支!$O:$O,物件収支!$A:$A,$A68,物件収支!$C:$C,$M68))</f>
        <v>0</v>
      </c>
      <c r="R68" s="43" t="str">
        <f aca="false">IF($A68="","",IF(P68=0,"",O68-P68))</f>
        <v/>
      </c>
      <c r="S68" s="43" t="str">
        <f aca="false">IF($A68="","",IF(R68="","",R68+Q68))</f>
        <v/>
      </c>
      <c r="T68" s="43" t="str">
        <f aca="false">IF($A68="","",IF(OR(S68="",N68&lt;=0),"",S68/1000*12/N68))</f>
        <v/>
      </c>
      <c r="U68" s="52" t="str">
        <f aca="false">IF($A68="","",IF(OR(T68="",J68=0,J68=""),"",T68/J68))</f>
        <v/>
      </c>
      <c r="V68" s="52" t="str">
        <f aca="false">IF($A68="","",IF(OR(R68="",N68&lt;=0,J68=0,J68=""),"",(R68/1000*12/N68)/J68))</f>
        <v/>
      </c>
      <c r="W68" s="52" t="str">
        <f aca="false">IF($A68="","",IF(OR(T68="",K68=0,K68=""),"",T68/K68))</f>
        <v/>
      </c>
      <c r="X68" s="43" t="n">
        <f aca="false">IF($A68="","",IF(OR(N68&lt;=0,I68=0,I68="",O68=0),"",O68*1000/(I68*0.3025)/N68))</f>
        <v>35187.3506569381</v>
      </c>
      <c r="Y68" s="50" t="str">
        <f aca="false">IF($A68="","",IF(OR(O68=0,O68="",P68=0),"",P68/O68))</f>
        <v/>
      </c>
      <c r="Z68" s="17" t="str">
        <f aca="false">IF($A68="","",IFERROR(INDEX(物件収支!$E:$E,MATCH($A68,物件収支!$A:$A,0)),""))</f>
        <v>一部開示（収益のみ）</v>
      </c>
    </row>
    <row r="69" customFormat="false" ht="15" hidden="false" customHeight="true" outlineLevel="0" collapsed="false">
      <c r="A69" s="17" t="str">
        <f aca="false">IF(物件マスタ!A69="","",物件マスタ!A69)</f>
        <v>DOI-14</v>
      </c>
      <c r="B69" s="17" t="str">
        <f aca="false">IF($A69="","",物件マスタ!B69)</f>
        <v>DOI</v>
      </c>
      <c r="C69" s="17" t="str">
        <f aca="false">IF($A69="","",IFERROR(INDEX(法人マスタ!$C:$C,MATCH($B69,法人マスタ!$A:$A,0)),""))</f>
        <v>大和証券オフィス投資法人</v>
      </c>
      <c r="D69" s="17" t="str">
        <f aca="false">IF($A69="","",物件マスタ!C69)</f>
        <v>Ｄａｉｗａ小伝馬町ビル</v>
      </c>
      <c r="E69" s="17" t="str">
        <f aca="false">IF($A69="","",物件マスタ!H69)</f>
        <v>都心5区</v>
      </c>
      <c r="F69" s="48" t="n">
        <f aca="false">IF($A69="","",物件マスタ!P69)</f>
        <v>31107</v>
      </c>
      <c r="G69" s="34" t="n">
        <f aca="false">IF($A69="","",物件マスタ!Q69)</f>
        <v>41.4</v>
      </c>
      <c r="H69" s="49" t="n">
        <f aca="false">IF($A69="","",物件マスタ!L69)</f>
        <v>0</v>
      </c>
      <c r="I69" s="49" t="n">
        <f aca="false">IF($A69="","",物件マスタ!M69)</f>
        <v>2379.31</v>
      </c>
      <c r="J69" s="43" t="n">
        <f aca="false">IF($A69="","",物件マスタ!S69)</f>
        <v>2460</v>
      </c>
      <c r="K69" s="43" t="n">
        <f aca="false">IF($A69="","",物件マスタ!U69)</f>
        <v>2260</v>
      </c>
      <c r="L69" s="50" t="n">
        <f aca="false">IF($A69="","",物件マスタ!W69)</f>
        <v>1</v>
      </c>
      <c r="M69" s="17" t="str">
        <f aca="false">IF($A69="","",IFERROR(INDEX(法人マスタ!$H:$H,MATCH($B69,法人マスタ!$A:$A,0)),""))</f>
        <v>2026年5月期（第41期）</v>
      </c>
      <c r="N69" s="51" t="n">
        <f aca="false">IF($A69="","",SUMIFS(物件収支!$D:$D,物件収支!$A:$A,$A69,物件収支!$C:$C,$M69))</f>
        <v>6</v>
      </c>
      <c r="O69" s="43" t="n">
        <f aca="false">IF($A69="","",SUMIFS(物件収支!$F:$F,物件収支!$A:$A,$A69,物件収支!$C:$C,$M69))</f>
        <v>72257</v>
      </c>
      <c r="P69" s="43" t="n">
        <f aca="false">IF($A69="","",SUMIFS(物件収支!$I:$I,物件収支!$A:$A,$A69,物件収支!$C:$C,$M69))</f>
        <v>0</v>
      </c>
      <c r="Q69" s="43" t="n">
        <f aca="false">IF($A69="","",SUMIFS(物件収支!$O:$O,物件収支!$A:$A,$A69,物件収支!$C:$C,$M69))</f>
        <v>0</v>
      </c>
      <c r="R69" s="43" t="str">
        <f aca="false">IF($A69="","",IF(P69=0,"",O69-P69))</f>
        <v/>
      </c>
      <c r="S69" s="43" t="str">
        <f aca="false">IF($A69="","",IF(R69="","",R69+Q69))</f>
        <v/>
      </c>
      <c r="T69" s="43" t="str">
        <f aca="false">IF($A69="","",IF(OR(S69="",N69&lt;=0),"",S69/1000*12/N69))</f>
        <v/>
      </c>
      <c r="U69" s="52" t="str">
        <f aca="false">IF($A69="","",IF(OR(T69="",J69=0,J69=""),"",T69/J69))</f>
        <v/>
      </c>
      <c r="V69" s="52" t="str">
        <f aca="false">IF($A69="","",IF(OR(R69="",N69&lt;=0,J69=0,J69=""),"",(R69/1000*12/N69)/J69))</f>
        <v/>
      </c>
      <c r="W69" s="52" t="str">
        <f aca="false">IF($A69="","",IF(OR(T69="",K69=0,K69=""),"",T69/K69))</f>
        <v/>
      </c>
      <c r="X69" s="43" t="n">
        <f aca="false">IF($A69="","",IF(OR(N69&lt;=0,I69=0,I69="",O69=0),"",O69*1000/(I69*0.3025)/N69))</f>
        <v>16732.1699500051</v>
      </c>
      <c r="Y69" s="50" t="str">
        <f aca="false">IF($A69="","",IF(OR(O69=0,O69="",P69=0),"",P69/O69))</f>
        <v/>
      </c>
      <c r="Z69" s="17" t="str">
        <f aca="false">IF($A69="","",IFERROR(INDEX(物件収支!$E:$E,MATCH($A69,物件収支!$A:$A,0)),""))</f>
        <v>一部開示（収益のみ）</v>
      </c>
    </row>
    <row r="70" customFormat="false" ht="15" hidden="false" customHeight="true" outlineLevel="0" collapsed="false">
      <c r="A70" s="17" t="str">
        <f aca="false">IF(物件マスタ!A70="","",物件マスタ!A70)</f>
        <v>DOI-15</v>
      </c>
      <c r="B70" s="17" t="str">
        <f aca="false">IF($A70="","",物件マスタ!B70)</f>
        <v>DOI</v>
      </c>
      <c r="C70" s="17" t="str">
        <f aca="false">IF($A70="","",IFERROR(INDEX(法人マスタ!$C:$C,MATCH($B70,法人マスタ!$A:$A,0)),""))</f>
        <v>大和証券オフィス投資法人</v>
      </c>
      <c r="D70" s="17" t="str">
        <f aca="false">IF($A70="","",物件マスタ!C70)</f>
        <v>Ｄａｉｗａ西新橋ビル</v>
      </c>
      <c r="E70" s="17" t="str">
        <f aca="false">IF($A70="","",物件マスタ!H70)</f>
        <v>都心5区</v>
      </c>
      <c r="F70" s="48" t="n">
        <f aca="false">IF($A70="","",物件マスタ!P70)</f>
        <v>34151</v>
      </c>
      <c r="G70" s="34" t="n">
        <f aca="false">IF($A70="","",物件マスタ!Q70)</f>
        <v>33.1</v>
      </c>
      <c r="H70" s="49" t="n">
        <f aca="false">IF($A70="","",物件マスタ!L70)</f>
        <v>0</v>
      </c>
      <c r="I70" s="49" t="n">
        <f aca="false">IF($A70="","",物件マスタ!M70)</f>
        <v>4816.37</v>
      </c>
      <c r="J70" s="43" t="n">
        <f aca="false">IF($A70="","",物件マスタ!S70)</f>
        <v>5000</v>
      </c>
      <c r="K70" s="43" t="n">
        <f aca="false">IF($A70="","",物件マスタ!U70)</f>
        <v>7620</v>
      </c>
      <c r="L70" s="50" t="n">
        <f aca="false">IF($A70="","",物件マスタ!W70)</f>
        <v>1</v>
      </c>
      <c r="M70" s="17" t="str">
        <f aca="false">IF($A70="","",IFERROR(INDEX(法人マスタ!$H:$H,MATCH($B70,法人マスタ!$A:$A,0)),""))</f>
        <v>2026年5月期（第41期）</v>
      </c>
      <c r="N70" s="51" t="n">
        <f aca="false">IF($A70="","",SUMIFS(物件収支!$D:$D,物件収支!$A:$A,$A70,物件収支!$C:$C,$M70))</f>
        <v>6</v>
      </c>
      <c r="O70" s="43" t="n">
        <f aca="false">IF($A70="","",SUMIFS(物件収支!$F:$F,物件収支!$A:$A,$A70,物件収支!$C:$C,$M70))</f>
        <v>197465</v>
      </c>
      <c r="P70" s="43" t="n">
        <f aca="false">IF($A70="","",SUMIFS(物件収支!$I:$I,物件収支!$A:$A,$A70,物件収支!$C:$C,$M70))</f>
        <v>0</v>
      </c>
      <c r="Q70" s="43" t="n">
        <f aca="false">IF($A70="","",SUMIFS(物件収支!$O:$O,物件収支!$A:$A,$A70,物件収支!$C:$C,$M70))</f>
        <v>0</v>
      </c>
      <c r="R70" s="43" t="str">
        <f aca="false">IF($A70="","",IF(P70=0,"",O70-P70))</f>
        <v/>
      </c>
      <c r="S70" s="43" t="str">
        <f aca="false">IF($A70="","",IF(R70="","",R70+Q70))</f>
        <v/>
      </c>
      <c r="T70" s="43" t="str">
        <f aca="false">IF($A70="","",IF(OR(S70="",N70&lt;=0),"",S70/1000*12/N70))</f>
        <v/>
      </c>
      <c r="U70" s="52" t="str">
        <f aca="false">IF($A70="","",IF(OR(T70="",J70=0,J70=""),"",T70/J70))</f>
        <v/>
      </c>
      <c r="V70" s="52" t="str">
        <f aca="false">IF($A70="","",IF(OR(R70="",N70&lt;=0,J70=0,J70=""),"",(R70/1000*12/N70)/J70))</f>
        <v/>
      </c>
      <c r="W70" s="52" t="str">
        <f aca="false">IF($A70="","",IF(OR(T70="",K70=0,K70=""),"",T70/K70))</f>
        <v/>
      </c>
      <c r="X70" s="43" t="n">
        <f aca="false">IF($A70="","",IF(OR(N70&lt;=0,I70=0,I70="",O70=0),"",O70*1000/(I70*0.3025)/N70))</f>
        <v>22588.8258690027</v>
      </c>
      <c r="Y70" s="50" t="str">
        <f aca="false">IF($A70="","",IF(OR(O70=0,O70="",P70=0),"",P70/O70))</f>
        <v/>
      </c>
      <c r="Z70" s="17" t="str">
        <f aca="false">IF($A70="","",IFERROR(INDEX(物件収支!$E:$E,MATCH($A70,物件収支!$A:$A,0)),""))</f>
        <v>一部開示（収益のみ）</v>
      </c>
    </row>
    <row r="71" customFormat="false" ht="15" hidden="false" customHeight="true" outlineLevel="0" collapsed="false">
      <c r="A71" s="17" t="str">
        <f aca="false">IF(物件マスタ!A71="","",物件マスタ!A71)</f>
        <v>DOI-16</v>
      </c>
      <c r="B71" s="17" t="str">
        <f aca="false">IF($A71="","",物件マスタ!B71)</f>
        <v>DOI</v>
      </c>
      <c r="C71" s="17" t="str">
        <f aca="false">IF($A71="","",IFERROR(INDEX(法人マスタ!$C:$C,MATCH($B71,法人マスタ!$A:$A,0)),""))</f>
        <v>大和証券オフィス投資法人</v>
      </c>
      <c r="D71" s="17" t="str">
        <f aca="false">IF($A71="","",物件マスタ!C71)</f>
        <v>大和茅場町ビル</v>
      </c>
      <c r="E71" s="17" t="str">
        <f aca="false">IF($A71="","",物件マスタ!H71)</f>
        <v>都心5区</v>
      </c>
      <c r="F71" s="48" t="n">
        <f aca="false">IF($A71="","",物件マスタ!P71)</f>
        <v>40269</v>
      </c>
      <c r="G71" s="34" t="n">
        <f aca="false">IF($A71="","",物件マスタ!Q71)</f>
        <v>16.4</v>
      </c>
      <c r="H71" s="49" t="n">
        <f aca="false">IF($A71="","",物件マスタ!L71)</f>
        <v>0</v>
      </c>
      <c r="I71" s="49" t="n">
        <f aca="false">IF($A71="","",物件マスタ!M71)</f>
        <v>5899.11</v>
      </c>
      <c r="J71" s="43" t="n">
        <f aca="false">IF($A71="","",物件マスタ!S71)</f>
        <v>5600</v>
      </c>
      <c r="K71" s="43" t="n">
        <f aca="false">IF($A71="","",物件マスタ!U71)</f>
        <v>8650</v>
      </c>
      <c r="L71" s="50" t="n">
        <f aca="false">IF($A71="","",物件マスタ!W71)</f>
        <v>1</v>
      </c>
      <c r="M71" s="17" t="str">
        <f aca="false">IF($A71="","",IFERROR(INDEX(法人マスタ!$H:$H,MATCH($B71,法人マスタ!$A:$A,0)),""))</f>
        <v>2026年5月期（第41期）</v>
      </c>
      <c r="N71" s="51" t="n">
        <f aca="false">IF($A71="","",SUMIFS(物件収支!$D:$D,物件収支!$A:$A,$A71,物件収支!$C:$C,$M71))</f>
        <v>6</v>
      </c>
      <c r="O71" s="43" t="n">
        <f aca="false">IF($A71="","",SUMIFS(物件収支!$F:$F,物件収支!$A:$A,$A71,物件収支!$C:$C,$M71))</f>
        <v>0</v>
      </c>
      <c r="P71" s="43" t="n">
        <f aca="false">IF($A71="","",SUMIFS(物件収支!$I:$I,物件収支!$A:$A,$A71,物件収支!$C:$C,$M71))</f>
        <v>0</v>
      </c>
      <c r="Q71" s="43" t="n">
        <f aca="false">IF($A71="","",SUMIFS(物件収支!$O:$O,物件収支!$A:$A,$A71,物件収支!$C:$C,$M71))</f>
        <v>0</v>
      </c>
      <c r="R71" s="43" t="str">
        <f aca="false">IF($A71="","",IF(P71=0,"",O71-P71))</f>
        <v/>
      </c>
      <c r="S71" s="43" t="str">
        <f aca="false">IF($A71="","",IF(R71="","",R71+Q71))</f>
        <v/>
      </c>
      <c r="T71" s="43" t="str">
        <f aca="false">IF($A71="","",IF(OR(S71="",N71&lt;=0),"",S71/1000*12/N71))</f>
        <v/>
      </c>
      <c r="U71" s="52" t="str">
        <f aca="false">IF($A71="","",IF(OR(T71="",J71=0,J71=""),"",T71/J71))</f>
        <v/>
      </c>
      <c r="V71" s="52" t="str">
        <f aca="false">IF($A71="","",IF(OR(R71="",N71&lt;=0,J71=0,J71=""),"",(R71/1000*12/N71)/J71))</f>
        <v/>
      </c>
      <c r="W71" s="52" t="str">
        <f aca="false">IF($A71="","",IF(OR(T71="",K71=0,K71=""),"",T71/K71))</f>
        <v/>
      </c>
      <c r="X71" s="43" t="str">
        <f aca="false">IF($A71="","",IF(OR(N71&lt;=0,I71=0,I71="",O71=0),"",O71*1000/(I71*0.3025)/N71))</f>
        <v/>
      </c>
      <c r="Y71" s="50" t="str">
        <f aca="false">IF($A71="","",IF(OR(O71=0,O71="",P71=0),"",P71/O71))</f>
        <v/>
      </c>
      <c r="Z71" s="17" t="str">
        <f aca="false">IF($A71="","",IFERROR(INDEX(物件収支!$E:$E,MATCH($A71,物件収支!$A:$A,0)),""))</f>
        <v>非開示（テナント同意なし）</v>
      </c>
    </row>
    <row r="72" customFormat="false" ht="15" hidden="false" customHeight="true" outlineLevel="0" collapsed="false">
      <c r="A72" s="17" t="str">
        <f aca="false">IF(物件マスタ!A72="","",物件マスタ!A72)</f>
        <v>DOI-17</v>
      </c>
      <c r="B72" s="17" t="str">
        <f aca="false">IF($A72="","",物件マスタ!B72)</f>
        <v>DOI</v>
      </c>
      <c r="C72" s="17" t="str">
        <f aca="false">IF($A72="","",IFERROR(INDEX(法人マスタ!$C:$C,MATCH($B72,法人マスタ!$A:$A,0)),""))</f>
        <v>大和証券オフィス投資法人</v>
      </c>
      <c r="D72" s="17" t="str">
        <f aca="false">IF($A72="","",物件マスタ!C72)</f>
        <v>Ｄａｉｗａ神保町３丁目ビル</v>
      </c>
      <c r="E72" s="17" t="str">
        <f aca="false">IF($A72="","",物件マスタ!H72)</f>
        <v>都心5区</v>
      </c>
      <c r="F72" s="48" t="n">
        <f aca="false">IF($A72="","",物件マスタ!P72)</f>
        <v>40210</v>
      </c>
      <c r="G72" s="34" t="n">
        <f aca="false">IF($A72="","",物件マスタ!Q72)</f>
        <v>16.5</v>
      </c>
      <c r="H72" s="49" t="n">
        <f aca="false">IF($A72="","",物件マスタ!L72)</f>
        <v>0</v>
      </c>
      <c r="I72" s="49" t="n">
        <f aca="false">IF($A72="","",物件マスタ!M72)</f>
        <v>2889.34</v>
      </c>
      <c r="J72" s="43" t="n">
        <f aca="false">IF($A72="","",物件マスタ!S72)</f>
        <v>3550</v>
      </c>
      <c r="K72" s="43" t="n">
        <f aca="false">IF($A72="","",物件マスタ!U72)</f>
        <v>5530</v>
      </c>
      <c r="L72" s="50" t="n">
        <f aca="false">IF($A72="","",物件マスタ!W72)</f>
        <v>1</v>
      </c>
      <c r="M72" s="17" t="str">
        <f aca="false">IF($A72="","",IFERROR(INDEX(法人マスタ!$H:$H,MATCH($B72,法人マスタ!$A:$A,0)),""))</f>
        <v>2026年5月期（第41期）</v>
      </c>
      <c r="N72" s="51" t="n">
        <f aca="false">IF($A72="","",SUMIFS(物件収支!$D:$D,物件収支!$A:$A,$A72,物件収支!$C:$C,$M72))</f>
        <v>6</v>
      </c>
      <c r="O72" s="43" t="n">
        <f aca="false">IF($A72="","",SUMIFS(物件収支!$F:$F,物件収支!$A:$A,$A72,物件収支!$C:$C,$M72))</f>
        <v>124175</v>
      </c>
      <c r="P72" s="43" t="n">
        <f aca="false">IF($A72="","",SUMIFS(物件収支!$I:$I,物件収支!$A:$A,$A72,物件収支!$C:$C,$M72))</f>
        <v>0</v>
      </c>
      <c r="Q72" s="43" t="n">
        <f aca="false">IF($A72="","",SUMIFS(物件収支!$O:$O,物件収支!$A:$A,$A72,物件収支!$C:$C,$M72))</f>
        <v>0</v>
      </c>
      <c r="R72" s="43" t="str">
        <f aca="false">IF($A72="","",IF(P72=0,"",O72-P72))</f>
        <v/>
      </c>
      <c r="S72" s="43" t="str">
        <f aca="false">IF($A72="","",IF(R72="","",R72+Q72))</f>
        <v/>
      </c>
      <c r="T72" s="43" t="str">
        <f aca="false">IF($A72="","",IF(OR(S72="",N72&lt;=0),"",S72/1000*12/N72))</f>
        <v/>
      </c>
      <c r="U72" s="52" t="str">
        <f aca="false">IF($A72="","",IF(OR(T72="",J72=0,J72=""),"",T72/J72))</f>
        <v/>
      </c>
      <c r="V72" s="52" t="str">
        <f aca="false">IF($A72="","",IF(OR(R72="",N72&lt;=0,J72=0,J72=""),"",(R72/1000*12/N72)/J72))</f>
        <v/>
      </c>
      <c r="W72" s="52" t="str">
        <f aca="false">IF($A72="","",IF(OR(T72="",K72=0,K72=""),"",T72/K72))</f>
        <v/>
      </c>
      <c r="X72" s="43" t="n">
        <f aca="false">IF($A72="","",IF(OR(N72&lt;=0,I72=0,I72="",O72=0),"",O72*1000/(I72*0.3025)/N72))</f>
        <v>23678.7563808456</v>
      </c>
      <c r="Y72" s="50" t="str">
        <f aca="false">IF($A72="","",IF(OR(O72=0,O72="",P72=0),"",P72/O72))</f>
        <v/>
      </c>
      <c r="Z72" s="17" t="str">
        <f aca="false">IF($A72="","",IFERROR(INDEX(物件収支!$E:$E,MATCH($A72,物件収支!$A:$A,0)),""))</f>
        <v>一部開示（収益のみ）</v>
      </c>
    </row>
    <row r="73" customFormat="false" ht="15" hidden="false" customHeight="true" outlineLevel="0" collapsed="false">
      <c r="A73" s="17" t="str">
        <f aca="false">IF(物件マスタ!A73="","",物件マスタ!A73)</f>
        <v>DOI-18</v>
      </c>
      <c r="B73" s="17" t="str">
        <f aca="false">IF($A73="","",物件マスタ!B73)</f>
        <v>DOI</v>
      </c>
      <c r="C73" s="17" t="str">
        <f aca="false">IF($A73="","",IFERROR(INDEX(法人マスタ!$C:$C,MATCH($B73,法人マスタ!$A:$A,0)),""))</f>
        <v>大和証券オフィス投資法人</v>
      </c>
      <c r="D73" s="17" t="str">
        <f aca="false">IF($A73="","",物件マスタ!C73)</f>
        <v>Ｅ・スペースタワー</v>
      </c>
      <c r="E73" s="17" t="str">
        <f aca="false">IF($A73="","",物件マスタ!H73)</f>
        <v>都心5区</v>
      </c>
      <c r="F73" s="48" t="n">
        <f aca="false">IF($A73="","",物件マスタ!P73)</f>
        <v>37530</v>
      </c>
      <c r="G73" s="34" t="n">
        <f aca="false">IF($A73="","",物件マスタ!Q73)</f>
        <v>23.9</v>
      </c>
      <c r="H73" s="49" t="n">
        <f aca="false">IF($A73="","",物件マスタ!L73)</f>
        <v>0</v>
      </c>
      <c r="I73" s="49" t="n">
        <f aca="false">IF($A73="","",物件マスタ!M73)</f>
        <v>13960.84</v>
      </c>
      <c r="J73" s="43" t="n">
        <f aca="false">IF($A73="","",物件マスタ!S73)</f>
        <v>24000</v>
      </c>
      <c r="K73" s="43" t="n">
        <f aca="false">IF($A73="","",物件マスタ!U73)</f>
        <v>40300</v>
      </c>
      <c r="L73" s="50" t="n">
        <f aca="false">IF($A73="","",物件マスタ!W73)</f>
        <v>1</v>
      </c>
      <c r="M73" s="17" t="str">
        <f aca="false">IF($A73="","",IFERROR(INDEX(法人マスタ!$H:$H,MATCH($B73,法人マスタ!$A:$A,0)),""))</f>
        <v>2026年5月期（第41期）</v>
      </c>
      <c r="N73" s="51" t="n">
        <f aca="false">IF($A73="","",SUMIFS(物件収支!$D:$D,物件収支!$A:$A,$A73,物件収支!$C:$C,$M73))</f>
        <v>6</v>
      </c>
      <c r="O73" s="43" t="n">
        <f aca="false">IF($A73="","",SUMIFS(物件収支!$F:$F,物件収支!$A:$A,$A73,物件収支!$C:$C,$M73))</f>
        <v>824182</v>
      </c>
      <c r="P73" s="43" t="n">
        <f aca="false">IF($A73="","",SUMIFS(物件収支!$I:$I,物件収支!$A:$A,$A73,物件収支!$C:$C,$M73))</f>
        <v>0</v>
      </c>
      <c r="Q73" s="43" t="n">
        <f aca="false">IF($A73="","",SUMIFS(物件収支!$O:$O,物件収支!$A:$A,$A73,物件収支!$C:$C,$M73))</f>
        <v>0</v>
      </c>
      <c r="R73" s="43" t="str">
        <f aca="false">IF($A73="","",IF(P73=0,"",O73-P73))</f>
        <v/>
      </c>
      <c r="S73" s="43" t="str">
        <f aca="false">IF($A73="","",IF(R73="","",R73+Q73))</f>
        <v/>
      </c>
      <c r="T73" s="43" t="str">
        <f aca="false">IF($A73="","",IF(OR(S73="",N73&lt;=0),"",S73/1000*12/N73))</f>
        <v/>
      </c>
      <c r="U73" s="52" t="str">
        <f aca="false">IF($A73="","",IF(OR(T73="",J73=0,J73=""),"",T73/J73))</f>
        <v/>
      </c>
      <c r="V73" s="52" t="str">
        <f aca="false">IF($A73="","",IF(OR(R73="",N73&lt;=0,J73=0,J73=""),"",(R73/1000*12/N73)/J73))</f>
        <v/>
      </c>
      <c r="W73" s="52" t="str">
        <f aca="false">IF($A73="","",IF(OR(T73="",K73=0,K73=""),"",T73/K73))</f>
        <v/>
      </c>
      <c r="X73" s="43" t="n">
        <f aca="false">IF($A73="","",IF(OR(N73&lt;=0,I73=0,I73="",O73=0),"",O73*1000/(I73*0.3025)/N73))</f>
        <v>32526.3211841279</v>
      </c>
      <c r="Y73" s="50" t="str">
        <f aca="false">IF($A73="","",IF(OR(O73=0,O73="",P73=0),"",P73/O73))</f>
        <v/>
      </c>
      <c r="Z73" s="17" t="str">
        <f aca="false">IF($A73="","",IFERROR(INDEX(物件収支!$E:$E,MATCH($A73,物件収支!$A:$A,0)),""))</f>
        <v>一部開示（収益のみ）</v>
      </c>
    </row>
    <row r="74" customFormat="false" ht="15" hidden="false" customHeight="true" outlineLevel="0" collapsed="false">
      <c r="A74" s="17" t="str">
        <f aca="false">IF(物件マスタ!A74="","",物件マスタ!A74)</f>
        <v>DOI-19</v>
      </c>
      <c r="B74" s="17" t="str">
        <f aca="false">IF($A74="","",物件マスタ!B74)</f>
        <v>DOI</v>
      </c>
      <c r="C74" s="17" t="str">
        <f aca="false">IF($A74="","",IFERROR(INDEX(法人マスタ!$C:$C,MATCH($B74,法人マスタ!$A:$A,0)),""))</f>
        <v>大和証券オフィス投資法人</v>
      </c>
      <c r="D74" s="17" t="str">
        <f aca="false">IF($A74="","",物件マスタ!C74)</f>
        <v>Ｄａｉｗａ日本橋本石町ビル</v>
      </c>
      <c r="E74" s="17" t="str">
        <f aca="false">IF($A74="","",物件マスタ!H74)</f>
        <v>都心5区</v>
      </c>
      <c r="F74" s="48" t="n">
        <f aca="false">IF($A74="","",物件マスタ!P74)</f>
        <v>40299</v>
      </c>
      <c r="G74" s="34" t="n">
        <f aca="false">IF($A74="","",物件マスタ!Q74)</f>
        <v>16.3</v>
      </c>
      <c r="H74" s="49" t="n">
        <f aca="false">IF($A74="","",物件マスタ!L74)</f>
        <v>0</v>
      </c>
      <c r="I74" s="49" t="n">
        <f aca="false">IF($A74="","",物件マスタ!M74)</f>
        <v>2143.08</v>
      </c>
      <c r="J74" s="43" t="n">
        <f aca="false">IF($A74="","",物件マスタ!S74)</f>
        <v>1721</v>
      </c>
      <c r="K74" s="43" t="n">
        <f aca="false">IF($A74="","",物件マスタ!U74)</f>
        <v>2960</v>
      </c>
      <c r="L74" s="50" t="n">
        <f aca="false">IF($A74="","",物件マスタ!W74)</f>
        <v>1</v>
      </c>
      <c r="M74" s="17" t="str">
        <f aca="false">IF($A74="","",IFERROR(INDEX(法人マスタ!$H:$H,MATCH($B74,法人マスタ!$A:$A,0)),""))</f>
        <v>2026年5月期（第41期）</v>
      </c>
      <c r="N74" s="51" t="n">
        <f aca="false">IF($A74="","",SUMIFS(物件収支!$D:$D,物件収支!$A:$A,$A74,物件収支!$C:$C,$M74))</f>
        <v>6</v>
      </c>
      <c r="O74" s="43" t="n">
        <f aca="false">IF($A74="","",SUMIFS(物件収支!$F:$F,物件収支!$A:$A,$A74,物件収支!$C:$C,$M74))</f>
        <v>80805</v>
      </c>
      <c r="P74" s="43" t="n">
        <f aca="false">IF($A74="","",SUMIFS(物件収支!$I:$I,物件収支!$A:$A,$A74,物件収支!$C:$C,$M74))</f>
        <v>0</v>
      </c>
      <c r="Q74" s="43" t="n">
        <f aca="false">IF($A74="","",SUMIFS(物件収支!$O:$O,物件収支!$A:$A,$A74,物件収支!$C:$C,$M74))</f>
        <v>0</v>
      </c>
      <c r="R74" s="43" t="str">
        <f aca="false">IF($A74="","",IF(P74=0,"",O74-P74))</f>
        <v/>
      </c>
      <c r="S74" s="43" t="str">
        <f aca="false">IF($A74="","",IF(R74="","",R74+Q74))</f>
        <v/>
      </c>
      <c r="T74" s="43" t="str">
        <f aca="false">IF($A74="","",IF(OR(S74="",N74&lt;=0),"",S74/1000*12/N74))</f>
        <v/>
      </c>
      <c r="U74" s="52" t="str">
        <f aca="false">IF($A74="","",IF(OR(T74="",J74=0,J74=""),"",T74/J74))</f>
        <v/>
      </c>
      <c r="V74" s="52" t="str">
        <f aca="false">IF($A74="","",IF(OR(R74="",N74&lt;=0,J74=0,J74=""),"",(R74/1000*12/N74)/J74))</f>
        <v/>
      </c>
      <c r="W74" s="52" t="str">
        <f aca="false">IF($A74="","",IF(OR(T74="",K74=0,K74=""),"",T74/K74))</f>
        <v/>
      </c>
      <c r="X74" s="43" t="n">
        <f aca="false">IF($A74="","",IF(OR(N74&lt;=0,I74=0,I74="",O74=0),"",O74*1000/(I74*0.3025)/N74))</f>
        <v>20774.1480285499</v>
      </c>
      <c r="Y74" s="50" t="str">
        <f aca="false">IF($A74="","",IF(OR(O74=0,O74="",P74=0),"",P74/O74))</f>
        <v/>
      </c>
      <c r="Z74" s="17" t="str">
        <f aca="false">IF($A74="","",IFERROR(INDEX(物件収支!$E:$E,MATCH($A74,物件収支!$A:$A,0)),""))</f>
        <v>一部開示（収益のみ）</v>
      </c>
    </row>
    <row r="75" customFormat="false" ht="15" hidden="false" customHeight="true" outlineLevel="0" collapsed="false">
      <c r="A75" s="17" t="str">
        <f aca="false">IF(物件マスタ!A75="","",物件マスタ!A75)</f>
        <v>DOI-20</v>
      </c>
      <c r="B75" s="17" t="str">
        <f aca="false">IF($A75="","",物件マスタ!B75)</f>
        <v>DOI</v>
      </c>
      <c r="C75" s="17" t="str">
        <f aca="false">IF($A75="","",IFERROR(INDEX(法人マスタ!$C:$C,MATCH($B75,法人マスタ!$A:$A,0)),""))</f>
        <v>大和証券オフィス投資法人</v>
      </c>
      <c r="D75" s="17" t="str">
        <f aca="false">IF($A75="","",物件マスタ!C75)</f>
        <v>新四ｃｕｒｕｍｕビル</v>
      </c>
      <c r="E75" s="17" t="str">
        <f aca="false">IF($A75="","",物件マスタ!H75)</f>
        <v>都心5区</v>
      </c>
      <c r="F75" s="48" t="n">
        <f aca="false">IF($A75="","",物件マスタ!P75)</f>
        <v>40909</v>
      </c>
      <c r="G75" s="34" t="n">
        <f aca="false">IF($A75="","",物件マスタ!Q75)</f>
        <v>14.6</v>
      </c>
      <c r="H75" s="49" t="n">
        <f aca="false">IF($A75="","",物件マスタ!L75)</f>
        <v>0</v>
      </c>
      <c r="I75" s="49" t="n">
        <f aca="false">IF($A75="","",物件マスタ!M75)</f>
        <v>6751.31</v>
      </c>
      <c r="J75" s="43" t="n">
        <f aca="false">IF($A75="","",物件マスタ!S75)</f>
        <v>9650</v>
      </c>
      <c r="K75" s="43" t="n">
        <f aca="false">IF($A75="","",物件マスタ!U75)</f>
        <v>17600</v>
      </c>
      <c r="L75" s="50" t="n">
        <f aca="false">IF($A75="","",物件マスタ!W75)</f>
        <v>1</v>
      </c>
      <c r="M75" s="17" t="str">
        <f aca="false">IF($A75="","",IFERROR(INDEX(法人マスタ!$H:$H,MATCH($B75,法人マスタ!$A:$A,0)),""))</f>
        <v>2026年5月期（第41期）</v>
      </c>
      <c r="N75" s="51" t="n">
        <f aca="false">IF($A75="","",SUMIFS(物件収支!$D:$D,物件収支!$A:$A,$A75,物件収支!$C:$C,$M75))</f>
        <v>6</v>
      </c>
      <c r="O75" s="43" t="n">
        <f aca="false">IF($A75="","",SUMIFS(物件収支!$F:$F,物件収支!$A:$A,$A75,物件収支!$C:$C,$M75))</f>
        <v>408757</v>
      </c>
      <c r="P75" s="43" t="n">
        <f aca="false">IF($A75="","",SUMIFS(物件収支!$I:$I,物件収支!$A:$A,$A75,物件収支!$C:$C,$M75))</f>
        <v>0</v>
      </c>
      <c r="Q75" s="43" t="n">
        <f aca="false">IF($A75="","",SUMIFS(物件収支!$O:$O,物件収支!$A:$A,$A75,物件収支!$C:$C,$M75))</f>
        <v>0</v>
      </c>
      <c r="R75" s="43" t="str">
        <f aca="false">IF($A75="","",IF(P75=0,"",O75-P75))</f>
        <v/>
      </c>
      <c r="S75" s="43" t="str">
        <f aca="false">IF($A75="","",IF(R75="","",R75+Q75))</f>
        <v/>
      </c>
      <c r="T75" s="43" t="str">
        <f aca="false">IF($A75="","",IF(OR(S75="",N75&lt;=0),"",S75/1000*12/N75))</f>
        <v/>
      </c>
      <c r="U75" s="52" t="str">
        <f aca="false">IF($A75="","",IF(OR(T75="",J75=0,J75=""),"",T75/J75))</f>
        <v/>
      </c>
      <c r="V75" s="52" t="str">
        <f aca="false">IF($A75="","",IF(OR(R75="",N75&lt;=0,J75=0,J75=""),"",(R75/1000*12/N75)/J75))</f>
        <v/>
      </c>
      <c r="W75" s="52" t="str">
        <f aca="false">IF($A75="","",IF(OR(T75="",K75=0,K75=""),"",T75/K75))</f>
        <v/>
      </c>
      <c r="X75" s="43" t="n">
        <f aca="false">IF($A75="","",IF(OR(N75&lt;=0,I75=0,I75="",O75=0),"",O75*1000/(I75*0.3025)/N75))</f>
        <v>33358.0398944145</v>
      </c>
      <c r="Y75" s="50" t="str">
        <f aca="false">IF($A75="","",IF(OR(O75=0,O75="",P75=0),"",P75/O75))</f>
        <v/>
      </c>
      <c r="Z75" s="17" t="str">
        <f aca="false">IF($A75="","",IFERROR(INDEX(物件収支!$E:$E,MATCH($A75,物件収支!$A:$A,0)),""))</f>
        <v>一部開示（収益のみ）</v>
      </c>
    </row>
    <row r="76" customFormat="false" ht="15" hidden="false" customHeight="true" outlineLevel="0" collapsed="false">
      <c r="A76" s="17" t="str">
        <f aca="false">IF(物件マスタ!A76="","",物件マスタ!A76)</f>
        <v>DOI-21</v>
      </c>
      <c r="B76" s="17" t="str">
        <f aca="false">IF($A76="","",物件マスタ!B76)</f>
        <v>DOI</v>
      </c>
      <c r="C76" s="17" t="str">
        <f aca="false">IF($A76="","",IFERROR(INDEX(法人マスタ!$C:$C,MATCH($B76,法人マスタ!$A:$A,0)),""))</f>
        <v>大和証券オフィス投資法人</v>
      </c>
      <c r="D76" s="17" t="str">
        <f aca="false">IF($A76="","",物件マスタ!C76)</f>
        <v>Ｄａｉｗａ赤坂ビル</v>
      </c>
      <c r="E76" s="17" t="str">
        <f aca="false">IF($A76="","",物件マスタ!H76)</f>
        <v>都心5区</v>
      </c>
      <c r="F76" s="48" t="n">
        <f aca="false">IF($A76="","",物件マスタ!P76)</f>
        <v>33117</v>
      </c>
      <c r="G76" s="34" t="n">
        <f aca="false">IF($A76="","",物件マスタ!Q76)</f>
        <v>35.9</v>
      </c>
      <c r="H76" s="49" t="n">
        <f aca="false">IF($A76="","",物件マスタ!L76)</f>
        <v>0</v>
      </c>
      <c r="I76" s="49" t="n">
        <f aca="false">IF($A76="","",物件マスタ!M76)</f>
        <v>8752.21</v>
      </c>
      <c r="J76" s="43" t="n">
        <f aca="false">IF($A76="","",物件マスタ!S76)</f>
        <v>9200</v>
      </c>
      <c r="K76" s="43" t="n">
        <f aca="false">IF($A76="","",物件マスタ!U76)</f>
        <v>17400</v>
      </c>
      <c r="L76" s="50" t="n">
        <f aca="false">IF($A76="","",物件マスタ!W76)</f>
        <v>1</v>
      </c>
      <c r="M76" s="17" t="str">
        <f aca="false">IF($A76="","",IFERROR(INDEX(法人マスタ!$H:$H,MATCH($B76,法人マスタ!$A:$A,0)),""))</f>
        <v>2026年5月期（第41期）</v>
      </c>
      <c r="N76" s="51" t="n">
        <f aca="false">IF($A76="","",SUMIFS(物件収支!$D:$D,物件収支!$A:$A,$A76,物件収支!$C:$C,$M76))</f>
        <v>6</v>
      </c>
      <c r="O76" s="43" t="n">
        <f aca="false">IF($A76="","",SUMIFS(物件収支!$F:$F,物件収支!$A:$A,$A76,物件収支!$C:$C,$M76))</f>
        <v>402753</v>
      </c>
      <c r="P76" s="43" t="n">
        <f aca="false">IF($A76="","",SUMIFS(物件収支!$I:$I,物件収支!$A:$A,$A76,物件収支!$C:$C,$M76))</f>
        <v>0</v>
      </c>
      <c r="Q76" s="43" t="n">
        <f aca="false">IF($A76="","",SUMIFS(物件収支!$O:$O,物件収支!$A:$A,$A76,物件収支!$C:$C,$M76))</f>
        <v>0</v>
      </c>
      <c r="R76" s="43" t="str">
        <f aca="false">IF($A76="","",IF(P76=0,"",O76-P76))</f>
        <v/>
      </c>
      <c r="S76" s="43" t="str">
        <f aca="false">IF($A76="","",IF(R76="","",R76+Q76))</f>
        <v/>
      </c>
      <c r="T76" s="43" t="str">
        <f aca="false">IF($A76="","",IF(OR(S76="",N76&lt;=0),"",S76/1000*12/N76))</f>
        <v/>
      </c>
      <c r="U76" s="52" t="str">
        <f aca="false">IF($A76="","",IF(OR(T76="",J76=0,J76=""),"",T76/J76))</f>
        <v/>
      </c>
      <c r="V76" s="52" t="str">
        <f aca="false">IF($A76="","",IF(OR(R76="",N76&lt;=0,J76=0,J76=""),"",(R76/1000*12/N76)/J76))</f>
        <v/>
      </c>
      <c r="W76" s="52" t="str">
        <f aca="false">IF($A76="","",IF(OR(T76="",K76=0,K76=""),"",T76/K76))</f>
        <v/>
      </c>
      <c r="X76" s="43" t="n">
        <f aca="false">IF($A76="","",IF(OR(N76&lt;=0,I76=0,I76="",O76=0),"",O76*1000/(I76*0.3025)/N76))</f>
        <v>25353.8796873982</v>
      </c>
      <c r="Y76" s="50" t="str">
        <f aca="false">IF($A76="","",IF(OR(O76=0,O76="",P76=0),"",P76/O76))</f>
        <v/>
      </c>
      <c r="Z76" s="17" t="str">
        <f aca="false">IF($A76="","",IFERROR(INDEX(物件収支!$E:$E,MATCH($A76,物件収支!$A:$A,0)),""))</f>
        <v>一部開示（収益のみ）</v>
      </c>
    </row>
    <row r="77" customFormat="false" ht="15" hidden="false" customHeight="true" outlineLevel="0" collapsed="false">
      <c r="A77" s="17" t="str">
        <f aca="false">IF(物件マスタ!A77="","",物件マスタ!A77)</f>
        <v>DOI-22</v>
      </c>
      <c r="B77" s="17" t="str">
        <f aca="false">IF($A77="","",物件マスタ!B77)</f>
        <v>DOI</v>
      </c>
      <c r="C77" s="17" t="str">
        <f aca="false">IF($A77="","",IFERROR(INDEX(法人マスタ!$C:$C,MATCH($B77,法人マスタ!$A:$A,0)),""))</f>
        <v>大和証券オフィス投資法人</v>
      </c>
      <c r="D77" s="17" t="str">
        <f aca="false">IF($A77="","",物件マスタ!C77)</f>
        <v>Ｄａｉｗａ渋谷宮益坂ビル</v>
      </c>
      <c r="E77" s="17" t="str">
        <f aca="false">IF($A77="","",物件マスタ!H77)</f>
        <v>都心5区</v>
      </c>
      <c r="F77" s="48" t="n">
        <f aca="false">IF($A77="","",物件マスタ!P77)</f>
        <v>32478</v>
      </c>
      <c r="G77" s="34" t="n">
        <f aca="false">IF($A77="","",物件マスタ!Q77)</f>
        <v>37.7</v>
      </c>
      <c r="H77" s="49" t="n">
        <f aca="false">IF($A77="","",物件マスタ!L77)</f>
        <v>0</v>
      </c>
      <c r="I77" s="49" t="n">
        <f aca="false">IF($A77="","",物件マスタ!M77)</f>
        <v>6328.28</v>
      </c>
      <c r="J77" s="43" t="n">
        <f aca="false">IF($A77="","",物件マスタ!S77)</f>
        <v>7000</v>
      </c>
      <c r="K77" s="43" t="n">
        <f aca="false">IF($A77="","",物件マスタ!U77)</f>
        <v>13100</v>
      </c>
      <c r="L77" s="50" t="n">
        <f aca="false">IF($A77="","",物件マスタ!W77)</f>
        <v>1</v>
      </c>
      <c r="M77" s="17" t="str">
        <f aca="false">IF($A77="","",IFERROR(INDEX(法人マスタ!$H:$H,MATCH($B77,法人マスタ!$A:$A,0)),""))</f>
        <v>2026年5月期（第41期）</v>
      </c>
      <c r="N77" s="51" t="n">
        <f aca="false">IF($A77="","",SUMIFS(物件収支!$D:$D,物件収支!$A:$A,$A77,物件収支!$C:$C,$M77))</f>
        <v>6</v>
      </c>
      <c r="O77" s="43" t="n">
        <f aca="false">IF($A77="","",SUMIFS(物件収支!$F:$F,物件収支!$A:$A,$A77,物件収支!$C:$C,$M77))</f>
        <v>334042</v>
      </c>
      <c r="P77" s="43" t="n">
        <f aca="false">IF($A77="","",SUMIFS(物件収支!$I:$I,物件収支!$A:$A,$A77,物件収支!$C:$C,$M77))</f>
        <v>0</v>
      </c>
      <c r="Q77" s="43" t="n">
        <f aca="false">IF($A77="","",SUMIFS(物件収支!$O:$O,物件収支!$A:$A,$A77,物件収支!$C:$C,$M77))</f>
        <v>0</v>
      </c>
      <c r="R77" s="43" t="str">
        <f aca="false">IF($A77="","",IF(P77=0,"",O77-P77))</f>
        <v/>
      </c>
      <c r="S77" s="43" t="str">
        <f aca="false">IF($A77="","",IF(R77="","",R77+Q77))</f>
        <v/>
      </c>
      <c r="T77" s="43" t="str">
        <f aca="false">IF($A77="","",IF(OR(S77="",N77&lt;=0),"",S77/1000*12/N77))</f>
        <v/>
      </c>
      <c r="U77" s="52" t="str">
        <f aca="false">IF($A77="","",IF(OR(T77="",J77=0,J77=""),"",T77/J77))</f>
        <v/>
      </c>
      <c r="V77" s="52" t="str">
        <f aca="false">IF($A77="","",IF(OR(R77="",N77&lt;=0,J77=0,J77=""),"",(R77/1000*12/N77)/J77))</f>
        <v/>
      </c>
      <c r="W77" s="52" t="str">
        <f aca="false">IF($A77="","",IF(OR(T77="",K77=0,K77=""),"",T77/K77))</f>
        <v/>
      </c>
      <c r="X77" s="43" t="n">
        <f aca="false">IF($A77="","",IF(OR(N77&lt;=0,I77=0,I77="",O77=0),"",O77*1000/(I77*0.3025)/N77))</f>
        <v>29082.970264173</v>
      </c>
      <c r="Y77" s="50" t="str">
        <f aca="false">IF($A77="","",IF(OR(O77=0,O77="",P77=0),"",P77/O77))</f>
        <v/>
      </c>
      <c r="Z77" s="17" t="str">
        <f aca="false">IF($A77="","",IFERROR(INDEX(物件収支!$E:$E,MATCH($A77,物件収支!$A:$A,0)),""))</f>
        <v>一部開示（収益のみ）</v>
      </c>
    </row>
    <row r="78" customFormat="false" ht="15" hidden="false" customHeight="true" outlineLevel="0" collapsed="false">
      <c r="A78" s="17" t="str">
        <f aca="false">IF(物件マスタ!A78="","",物件マスタ!A78)</f>
        <v>DOI-23</v>
      </c>
      <c r="B78" s="17" t="str">
        <f aca="false">IF($A78="","",物件マスタ!B78)</f>
        <v>DOI</v>
      </c>
      <c r="C78" s="17" t="str">
        <f aca="false">IF($A78="","",IFERROR(INDEX(法人マスタ!$C:$C,MATCH($B78,法人マスタ!$A:$A,0)),""))</f>
        <v>大和証券オフィス投資法人</v>
      </c>
      <c r="D78" s="17" t="str">
        <f aca="false">IF($A78="","",物件マスタ!C78)</f>
        <v>Ｄａｉｗａ麻布テラス</v>
      </c>
      <c r="E78" s="17" t="str">
        <f aca="false">IF($A78="","",物件マスタ!H78)</f>
        <v>都心5区</v>
      </c>
      <c r="F78" s="48" t="n">
        <f aca="false">IF($A78="","",物件マスタ!P78)</f>
        <v>40057</v>
      </c>
      <c r="G78" s="34" t="n">
        <f aca="false">IF($A78="","",物件マスタ!Q78)</f>
        <v>16.9</v>
      </c>
      <c r="H78" s="49" t="n">
        <f aca="false">IF($A78="","",物件マスタ!L78)</f>
        <v>0</v>
      </c>
      <c r="I78" s="49" t="n">
        <f aca="false">IF($A78="","",物件マスタ!M78)</f>
        <v>13240.61</v>
      </c>
      <c r="J78" s="43" t="n">
        <f aca="false">IF($A78="","",物件マスタ!S78)</f>
        <v>14000</v>
      </c>
      <c r="K78" s="43" t="n">
        <f aca="false">IF($A78="","",物件マスタ!U78)</f>
        <v>18700</v>
      </c>
      <c r="L78" s="50" t="n">
        <f aca="false">IF($A78="","",物件マスタ!W78)</f>
        <v>0.934</v>
      </c>
      <c r="M78" s="17" t="str">
        <f aca="false">IF($A78="","",IFERROR(INDEX(法人マスタ!$H:$H,MATCH($B78,法人マスタ!$A:$A,0)),""))</f>
        <v>2026年5月期（第41期）</v>
      </c>
      <c r="N78" s="51" t="n">
        <f aca="false">IF($A78="","",SUMIFS(物件収支!$D:$D,物件収支!$A:$A,$A78,物件収支!$C:$C,$M78))</f>
        <v>6</v>
      </c>
      <c r="O78" s="43" t="n">
        <f aca="false">IF($A78="","",SUMIFS(物件収支!$F:$F,物件収支!$A:$A,$A78,物件収支!$C:$C,$M78))</f>
        <v>450754</v>
      </c>
      <c r="P78" s="43" t="n">
        <f aca="false">IF($A78="","",SUMIFS(物件収支!$I:$I,物件収支!$A:$A,$A78,物件収支!$C:$C,$M78))</f>
        <v>0</v>
      </c>
      <c r="Q78" s="43" t="n">
        <f aca="false">IF($A78="","",SUMIFS(物件収支!$O:$O,物件収支!$A:$A,$A78,物件収支!$C:$C,$M78))</f>
        <v>0</v>
      </c>
      <c r="R78" s="43" t="str">
        <f aca="false">IF($A78="","",IF(P78=0,"",O78-P78))</f>
        <v/>
      </c>
      <c r="S78" s="43" t="str">
        <f aca="false">IF($A78="","",IF(R78="","",R78+Q78))</f>
        <v/>
      </c>
      <c r="T78" s="43" t="str">
        <f aca="false">IF($A78="","",IF(OR(S78="",N78&lt;=0),"",S78/1000*12/N78))</f>
        <v/>
      </c>
      <c r="U78" s="52" t="str">
        <f aca="false">IF($A78="","",IF(OR(T78="",J78=0,J78=""),"",T78/J78))</f>
        <v/>
      </c>
      <c r="V78" s="52" t="str">
        <f aca="false">IF($A78="","",IF(OR(R78="",N78&lt;=0,J78=0,J78=""),"",(R78/1000*12/N78)/J78))</f>
        <v/>
      </c>
      <c r="W78" s="52" t="str">
        <f aca="false">IF($A78="","",IF(OR(T78="",K78=0,K78=""),"",T78/K78))</f>
        <v/>
      </c>
      <c r="X78" s="43" t="n">
        <f aca="false">IF($A78="","",IF(OR(N78&lt;=0,I78=0,I78="",O78=0),"",O78*1000/(I78*0.3025)/N78))</f>
        <v>18756.6366877935</v>
      </c>
      <c r="Y78" s="50" t="str">
        <f aca="false">IF($A78="","",IF(OR(O78=0,O78="",P78=0),"",P78/O78))</f>
        <v/>
      </c>
      <c r="Z78" s="17" t="str">
        <f aca="false">IF($A78="","",IFERROR(INDEX(物件収支!$E:$E,MATCH($A78,物件収支!$A:$A,0)),""))</f>
        <v>一部開示（収益のみ）</v>
      </c>
    </row>
    <row r="79" customFormat="false" ht="15" hidden="false" customHeight="true" outlineLevel="0" collapsed="false">
      <c r="A79" s="17" t="str">
        <f aca="false">IF(物件マスタ!A79="","",物件マスタ!A79)</f>
        <v>DOI-24</v>
      </c>
      <c r="B79" s="17" t="str">
        <f aca="false">IF($A79="","",物件マスタ!B79)</f>
        <v>DOI</v>
      </c>
      <c r="C79" s="17" t="str">
        <f aca="false">IF($A79="","",IFERROR(INDEX(法人マスタ!$C:$C,MATCH($B79,法人マスタ!$A:$A,0)),""))</f>
        <v>大和証券オフィス投資法人</v>
      </c>
      <c r="D79" s="17" t="str">
        <f aca="false">IF($A79="","",物件マスタ!C79)</f>
        <v>Ｄａｉｗａ恵比寿４丁目ビル</v>
      </c>
      <c r="E79" s="17" t="str">
        <f aca="false">IF($A79="","",物件マスタ!H79)</f>
        <v>都心5区</v>
      </c>
      <c r="F79" s="48" t="n">
        <f aca="false">IF($A79="","",物件マスタ!P79)</f>
        <v>35765</v>
      </c>
      <c r="G79" s="34" t="n">
        <f aca="false">IF($A79="","",物件マスタ!Q79)</f>
        <v>28.7</v>
      </c>
      <c r="H79" s="49" t="n">
        <f aca="false">IF($A79="","",物件マスタ!L79)</f>
        <v>0</v>
      </c>
      <c r="I79" s="49" t="n">
        <f aca="false">IF($A79="","",物件マスタ!M79)</f>
        <v>2951.7</v>
      </c>
      <c r="J79" s="43" t="n">
        <f aca="false">IF($A79="","",物件マスタ!S79)</f>
        <v>4135</v>
      </c>
      <c r="K79" s="43" t="n">
        <f aca="false">IF($A79="","",物件マスタ!U79)</f>
        <v>6810</v>
      </c>
      <c r="L79" s="50" t="n">
        <f aca="false">IF($A79="","",物件マスタ!W79)</f>
        <v>1</v>
      </c>
      <c r="M79" s="17" t="str">
        <f aca="false">IF($A79="","",IFERROR(INDEX(法人マスタ!$H:$H,MATCH($B79,法人マスタ!$A:$A,0)),""))</f>
        <v>2026年5月期（第41期）</v>
      </c>
      <c r="N79" s="51" t="n">
        <f aca="false">IF($A79="","",SUMIFS(物件収支!$D:$D,物件収支!$A:$A,$A79,物件収支!$C:$C,$M79))</f>
        <v>6</v>
      </c>
      <c r="O79" s="43" t="n">
        <f aca="false">IF($A79="","",SUMIFS(物件収支!$F:$F,物件収支!$A:$A,$A79,物件収支!$C:$C,$M79))</f>
        <v>0</v>
      </c>
      <c r="P79" s="43" t="n">
        <f aca="false">IF($A79="","",SUMIFS(物件収支!$I:$I,物件収支!$A:$A,$A79,物件収支!$C:$C,$M79))</f>
        <v>0</v>
      </c>
      <c r="Q79" s="43" t="n">
        <f aca="false">IF($A79="","",SUMIFS(物件収支!$O:$O,物件収支!$A:$A,$A79,物件収支!$C:$C,$M79))</f>
        <v>0</v>
      </c>
      <c r="R79" s="43" t="str">
        <f aca="false">IF($A79="","",IF(P79=0,"",O79-P79))</f>
        <v/>
      </c>
      <c r="S79" s="43" t="str">
        <f aca="false">IF($A79="","",IF(R79="","",R79+Q79))</f>
        <v/>
      </c>
      <c r="T79" s="43" t="str">
        <f aca="false">IF($A79="","",IF(OR(S79="",N79&lt;=0),"",S79/1000*12/N79))</f>
        <v/>
      </c>
      <c r="U79" s="52" t="str">
        <f aca="false">IF($A79="","",IF(OR(T79="",J79=0,J79=""),"",T79/J79))</f>
        <v/>
      </c>
      <c r="V79" s="52" t="str">
        <f aca="false">IF($A79="","",IF(OR(R79="",N79&lt;=0,J79=0,J79=""),"",(R79/1000*12/N79)/J79))</f>
        <v/>
      </c>
      <c r="W79" s="52" t="str">
        <f aca="false">IF($A79="","",IF(OR(T79="",K79=0,K79=""),"",T79/K79))</f>
        <v/>
      </c>
      <c r="X79" s="43" t="str">
        <f aca="false">IF($A79="","",IF(OR(N79&lt;=0,I79=0,I79="",O79=0),"",O79*1000/(I79*0.3025)/N79))</f>
        <v/>
      </c>
      <c r="Y79" s="50" t="str">
        <f aca="false">IF($A79="","",IF(OR(O79=0,O79="",P79=0),"",P79/O79))</f>
        <v/>
      </c>
      <c r="Z79" s="17" t="str">
        <f aca="false">IF($A79="","",IFERROR(INDEX(物件収支!$E:$E,MATCH($A79,物件収支!$A:$A,0)),""))</f>
        <v>非開示（テナント同意なし）</v>
      </c>
    </row>
    <row r="80" customFormat="false" ht="15" hidden="false" customHeight="true" outlineLevel="0" collapsed="false">
      <c r="A80" s="17" t="str">
        <f aca="false">IF(物件マスタ!A80="","",物件マスタ!A80)</f>
        <v>DOI-25</v>
      </c>
      <c r="B80" s="17" t="str">
        <f aca="false">IF($A80="","",物件マスタ!B80)</f>
        <v>DOI</v>
      </c>
      <c r="C80" s="17" t="str">
        <f aca="false">IF($A80="","",IFERROR(INDEX(法人マスタ!$C:$C,MATCH($B80,法人マスタ!$A:$A,0)),""))</f>
        <v>大和証券オフィス投資法人</v>
      </c>
      <c r="D80" s="17" t="str">
        <f aca="false">IF($A80="","",物件マスタ!C80)</f>
        <v>ラクアス東新宿</v>
      </c>
      <c r="E80" s="17" t="str">
        <f aca="false">IF($A80="","",物件マスタ!H80)</f>
        <v>都心5区</v>
      </c>
      <c r="F80" s="48" t="n">
        <f aca="false">IF($A80="","",物件マスタ!P80)</f>
        <v>40391</v>
      </c>
      <c r="G80" s="34" t="n">
        <f aca="false">IF($A80="","",物件マスタ!Q80)</f>
        <v>16</v>
      </c>
      <c r="H80" s="49" t="n">
        <f aca="false">IF($A80="","",物件マスタ!L80)</f>
        <v>0</v>
      </c>
      <c r="I80" s="49" t="n">
        <f aca="false">IF($A80="","",物件マスタ!M80)</f>
        <v>7498.33</v>
      </c>
      <c r="J80" s="43" t="n">
        <f aca="false">IF($A80="","",物件マスタ!S80)</f>
        <v>8450</v>
      </c>
      <c r="K80" s="43" t="n">
        <f aca="false">IF($A80="","",物件マスタ!U80)</f>
        <v>12100</v>
      </c>
      <c r="L80" s="50" t="n">
        <f aca="false">IF($A80="","",物件マスタ!W80)</f>
        <v>1</v>
      </c>
      <c r="M80" s="17" t="str">
        <f aca="false">IF($A80="","",IFERROR(INDEX(法人マスタ!$H:$H,MATCH($B80,法人マスタ!$A:$A,0)),""))</f>
        <v>2026年5月期（第41期）</v>
      </c>
      <c r="N80" s="51" t="n">
        <f aca="false">IF($A80="","",SUMIFS(物件収支!$D:$D,物件収支!$A:$A,$A80,物件収支!$C:$C,$M80))</f>
        <v>6</v>
      </c>
      <c r="O80" s="43" t="n">
        <f aca="false">IF($A80="","",SUMIFS(物件収支!$F:$F,物件収支!$A:$A,$A80,物件収支!$C:$C,$M80))</f>
        <v>240328</v>
      </c>
      <c r="P80" s="43" t="n">
        <f aca="false">IF($A80="","",SUMIFS(物件収支!$I:$I,物件収支!$A:$A,$A80,物件収支!$C:$C,$M80))</f>
        <v>0</v>
      </c>
      <c r="Q80" s="43" t="n">
        <f aca="false">IF($A80="","",SUMIFS(物件収支!$O:$O,物件収支!$A:$A,$A80,物件収支!$C:$C,$M80))</f>
        <v>0</v>
      </c>
      <c r="R80" s="43" t="str">
        <f aca="false">IF($A80="","",IF(P80=0,"",O80-P80))</f>
        <v/>
      </c>
      <c r="S80" s="43" t="str">
        <f aca="false">IF($A80="","",IF(R80="","",R80+Q80))</f>
        <v/>
      </c>
      <c r="T80" s="43" t="str">
        <f aca="false">IF($A80="","",IF(OR(S80="",N80&lt;=0),"",S80/1000*12/N80))</f>
        <v/>
      </c>
      <c r="U80" s="52" t="str">
        <f aca="false">IF($A80="","",IF(OR(T80="",J80=0,J80=""),"",T80/J80))</f>
        <v/>
      </c>
      <c r="V80" s="52" t="str">
        <f aca="false">IF($A80="","",IF(OR(R80="",N80&lt;=0,J80=0,J80=""),"",(R80/1000*12/N80)/J80))</f>
        <v/>
      </c>
      <c r="W80" s="52" t="str">
        <f aca="false">IF($A80="","",IF(OR(T80="",K80=0,K80=""),"",T80/K80))</f>
        <v/>
      </c>
      <c r="X80" s="43" t="n">
        <f aca="false">IF($A80="","",IF(OR(N80&lt;=0,I80=0,I80="",O80=0),"",O80*1000/(I80*0.3025)/N80))</f>
        <v>17658.8815392389</v>
      </c>
      <c r="Y80" s="50" t="str">
        <f aca="false">IF($A80="","",IF(OR(O80=0,O80="",P80=0),"",P80/O80))</f>
        <v/>
      </c>
      <c r="Z80" s="17" t="str">
        <f aca="false">IF($A80="","",IFERROR(INDEX(物件収支!$E:$E,MATCH($A80,物件収支!$A:$A,0)),""))</f>
        <v>一部開示（収益のみ）</v>
      </c>
    </row>
    <row r="81" customFormat="false" ht="15" hidden="false" customHeight="true" outlineLevel="0" collapsed="false">
      <c r="A81" s="17" t="str">
        <f aca="false">IF(物件マスタ!A81="","",物件マスタ!A81)</f>
        <v>DOI-26</v>
      </c>
      <c r="B81" s="17" t="str">
        <f aca="false">IF($A81="","",物件マスタ!B81)</f>
        <v>DOI</v>
      </c>
      <c r="C81" s="17" t="str">
        <f aca="false">IF($A81="","",IFERROR(INDEX(法人マスタ!$C:$C,MATCH($B81,法人マスタ!$A:$A,0)),""))</f>
        <v>大和証券オフィス投資法人</v>
      </c>
      <c r="D81" s="17" t="str">
        <f aca="false">IF($A81="","",物件マスタ!C81)</f>
        <v>Ｄａｉｗａ青山ビル</v>
      </c>
      <c r="E81" s="17" t="str">
        <f aca="false">IF($A81="","",物件マスタ!H81)</f>
        <v>都心5区</v>
      </c>
      <c r="F81" s="48" t="n">
        <f aca="false">IF($A81="","",物件マスタ!P81)</f>
        <v>37196</v>
      </c>
      <c r="G81" s="34" t="n">
        <f aca="false">IF($A81="","",物件マスタ!Q81)</f>
        <v>24.8</v>
      </c>
      <c r="H81" s="49" t="n">
        <f aca="false">IF($A81="","",物件マスタ!L81)</f>
        <v>0</v>
      </c>
      <c r="I81" s="49" t="n">
        <f aca="false">IF($A81="","",物件マスタ!M81)</f>
        <v>4426.1</v>
      </c>
      <c r="J81" s="43" t="n">
        <f aca="false">IF($A81="","",物件マスタ!S81)</f>
        <v>9800</v>
      </c>
      <c r="K81" s="43" t="n">
        <f aca="false">IF($A81="","",物件マスタ!U81)</f>
        <v>13600</v>
      </c>
      <c r="L81" s="50" t="n">
        <f aca="false">IF($A81="","",物件マスタ!W81)</f>
        <v>1</v>
      </c>
      <c r="M81" s="17" t="str">
        <f aca="false">IF($A81="","",IFERROR(INDEX(法人マスタ!$H:$H,MATCH($B81,法人マスタ!$A:$A,0)),""))</f>
        <v>2026年5月期（第41期）</v>
      </c>
      <c r="N81" s="51" t="n">
        <f aca="false">IF($A81="","",SUMIFS(物件収支!$D:$D,物件収支!$A:$A,$A81,物件収支!$C:$C,$M81))</f>
        <v>6</v>
      </c>
      <c r="O81" s="43" t="n">
        <f aca="false">IF($A81="","",SUMIFS(物件収支!$F:$F,物件収支!$A:$A,$A81,物件収支!$C:$C,$M81))</f>
        <v>272318</v>
      </c>
      <c r="P81" s="43" t="n">
        <f aca="false">IF($A81="","",SUMIFS(物件収支!$I:$I,物件収支!$A:$A,$A81,物件収支!$C:$C,$M81))</f>
        <v>0</v>
      </c>
      <c r="Q81" s="43" t="n">
        <f aca="false">IF($A81="","",SUMIFS(物件収支!$O:$O,物件収支!$A:$A,$A81,物件収支!$C:$C,$M81))</f>
        <v>0</v>
      </c>
      <c r="R81" s="43" t="str">
        <f aca="false">IF($A81="","",IF(P81=0,"",O81-P81))</f>
        <v/>
      </c>
      <c r="S81" s="43" t="str">
        <f aca="false">IF($A81="","",IF(R81="","",R81+Q81))</f>
        <v/>
      </c>
      <c r="T81" s="43" t="str">
        <f aca="false">IF($A81="","",IF(OR(S81="",N81&lt;=0),"",S81/1000*12/N81))</f>
        <v/>
      </c>
      <c r="U81" s="52" t="str">
        <f aca="false">IF($A81="","",IF(OR(T81="",J81=0,J81=""),"",T81/J81))</f>
        <v/>
      </c>
      <c r="V81" s="52" t="str">
        <f aca="false">IF($A81="","",IF(OR(R81="",N81&lt;=0,J81=0,J81=""),"",(R81/1000*12/N81)/J81))</f>
        <v/>
      </c>
      <c r="W81" s="52" t="str">
        <f aca="false">IF($A81="","",IF(OR(T81="",K81=0,K81=""),"",T81/K81))</f>
        <v/>
      </c>
      <c r="X81" s="43" t="n">
        <f aca="false">IF($A81="","",IF(OR(N81&lt;=0,I81=0,I81="",O81=0),"",O81*1000/(I81*0.3025)/N81))</f>
        <v>33898.3451717626</v>
      </c>
      <c r="Y81" s="50" t="str">
        <f aca="false">IF($A81="","",IF(OR(O81=0,O81="",P81=0),"",P81/O81))</f>
        <v/>
      </c>
      <c r="Z81" s="17" t="str">
        <f aca="false">IF($A81="","",IFERROR(INDEX(物件収支!$E:$E,MATCH($A81,物件収支!$A:$A,0)),""))</f>
        <v>一部開示（収益のみ）</v>
      </c>
    </row>
    <row r="82" customFormat="false" ht="15" hidden="false" customHeight="true" outlineLevel="0" collapsed="false">
      <c r="A82" s="17" t="str">
        <f aca="false">IF(物件マスタ!A82="","",物件マスタ!A82)</f>
        <v>DOI-27</v>
      </c>
      <c r="B82" s="17" t="str">
        <f aca="false">IF($A82="","",物件マスタ!B82)</f>
        <v>DOI</v>
      </c>
      <c r="C82" s="17" t="str">
        <f aca="false">IF($A82="","",IFERROR(INDEX(法人マスタ!$C:$C,MATCH($B82,法人マスタ!$A:$A,0)),""))</f>
        <v>大和証券オフィス投資法人</v>
      </c>
      <c r="D82" s="17" t="str">
        <f aca="false">IF($A82="","",物件マスタ!C82)</f>
        <v>Ｄａｉｗａ渋谷神泉ビル</v>
      </c>
      <c r="E82" s="17" t="str">
        <f aca="false">IF($A82="","",物件マスタ!H82)</f>
        <v>都心5区</v>
      </c>
      <c r="F82" s="48" t="n">
        <f aca="false">IF($A82="","",物件マスタ!P82)</f>
        <v>37135</v>
      </c>
      <c r="G82" s="34" t="n">
        <f aca="false">IF($A82="","",物件マスタ!Q82)</f>
        <v>24.9</v>
      </c>
      <c r="H82" s="49" t="n">
        <f aca="false">IF($A82="","",物件マスタ!L82)</f>
        <v>0</v>
      </c>
      <c r="I82" s="49" t="n">
        <f aca="false">IF($A82="","",物件マスタ!M82)</f>
        <v>2674.97</v>
      </c>
      <c r="J82" s="43" t="n">
        <f aca="false">IF($A82="","",物件マスタ!S82)</f>
        <v>4800</v>
      </c>
      <c r="K82" s="43" t="n">
        <f aca="false">IF($A82="","",物件マスタ!U82)</f>
        <v>6760</v>
      </c>
      <c r="L82" s="50" t="n">
        <f aca="false">IF($A82="","",物件マスタ!W82)</f>
        <v>1</v>
      </c>
      <c r="M82" s="17" t="str">
        <f aca="false">IF($A82="","",IFERROR(INDEX(法人マスタ!$H:$H,MATCH($B82,法人マスタ!$A:$A,0)),""))</f>
        <v>2026年5月期（第41期）</v>
      </c>
      <c r="N82" s="51" t="n">
        <f aca="false">IF($A82="","",SUMIFS(物件収支!$D:$D,物件収支!$A:$A,$A82,物件収支!$C:$C,$M82))</f>
        <v>6</v>
      </c>
      <c r="O82" s="43" t="n">
        <f aca="false">IF($A82="","",SUMIFS(物件収支!$F:$F,物件収支!$A:$A,$A82,物件収支!$C:$C,$M82))</f>
        <v>109058</v>
      </c>
      <c r="P82" s="43" t="n">
        <f aca="false">IF($A82="","",SUMIFS(物件収支!$I:$I,物件収支!$A:$A,$A82,物件収支!$C:$C,$M82))</f>
        <v>0</v>
      </c>
      <c r="Q82" s="43" t="n">
        <f aca="false">IF($A82="","",SUMIFS(物件収支!$O:$O,物件収支!$A:$A,$A82,物件収支!$C:$C,$M82))</f>
        <v>0</v>
      </c>
      <c r="R82" s="43" t="str">
        <f aca="false">IF($A82="","",IF(P82=0,"",O82-P82))</f>
        <v/>
      </c>
      <c r="S82" s="43" t="str">
        <f aca="false">IF($A82="","",IF(R82="","",R82+Q82))</f>
        <v/>
      </c>
      <c r="T82" s="43" t="str">
        <f aca="false">IF($A82="","",IF(OR(S82="",N82&lt;=0),"",S82/1000*12/N82))</f>
        <v/>
      </c>
      <c r="U82" s="52" t="str">
        <f aca="false">IF($A82="","",IF(OR(T82="",J82=0,J82=""),"",T82/J82))</f>
        <v/>
      </c>
      <c r="V82" s="52" t="str">
        <f aca="false">IF($A82="","",IF(OR(R82="",N82&lt;=0,J82=0,J82=""),"",(R82/1000*12/N82)/J82))</f>
        <v/>
      </c>
      <c r="W82" s="52" t="str">
        <f aca="false">IF($A82="","",IF(OR(T82="",K82=0,K82=""),"",T82/K82))</f>
        <v/>
      </c>
      <c r="X82" s="43" t="n">
        <f aca="false">IF($A82="","",IF(OR(N82&lt;=0,I82=0,I82="",O82=0),"",O82*1000/(I82*0.3025)/N82))</f>
        <v>22462.701391641</v>
      </c>
      <c r="Y82" s="50" t="str">
        <f aca="false">IF($A82="","",IF(OR(O82=0,O82="",P82=0),"",P82/O82))</f>
        <v/>
      </c>
      <c r="Z82" s="17" t="str">
        <f aca="false">IF($A82="","",IFERROR(INDEX(物件収支!$E:$E,MATCH($A82,物件収支!$A:$A,0)),""))</f>
        <v>一部開示（収益のみ）</v>
      </c>
    </row>
    <row r="83" customFormat="false" ht="15" hidden="false" customHeight="true" outlineLevel="0" collapsed="false">
      <c r="A83" s="17" t="str">
        <f aca="false">IF(物件マスタ!A83="","",物件マスタ!A83)</f>
        <v>DOI-28</v>
      </c>
      <c r="B83" s="17" t="str">
        <f aca="false">IF($A83="","",物件マスタ!B83)</f>
        <v>DOI</v>
      </c>
      <c r="C83" s="17" t="str">
        <f aca="false">IF($A83="","",IFERROR(INDEX(法人マスタ!$C:$C,MATCH($B83,法人マスタ!$A:$A,0)),""))</f>
        <v>大和証券オフィス投資法人</v>
      </c>
      <c r="D83" s="17" t="str">
        <f aca="false">IF($A83="","",物件マスタ!C83)</f>
        <v>Ｄａｉｗａ渋谷スクエア</v>
      </c>
      <c r="E83" s="17" t="str">
        <f aca="false">IF($A83="","",物件マスタ!H83)</f>
        <v>都心5区</v>
      </c>
      <c r="F83" s="48" t="n">
        <f aca="false">IF($A83="","",物件マスタ!P83)</f>
        <v>38018</v>
      </c>
      <c r="G83" s="34" t="n">
        <f aca="false">IF($A83="","",物件マスタ!Q83)</f>
        <v>22.5</v>
      </c>
      <c r="H83" s="49" t="n">
        <f aca="false">IF($A83="","",物件マスタ!L83)</f>
        <v>0</v>
      </c>
      <c r="I83" s="49" t="n">
        <f aca="false">IF($A83="","",物件マスタ!M83)</f>
        <v>8566.73</v>
      </c>
      <c r="J83" s="43" t="n">
        <f aca="false">IF($A83="","",物件マスタ!S83)</f>
        <v>16000</v>
      </c>
      <c r="K83" s="43" t="n">
        <f aca="false">IF($A83="","",物件マスタ!U83)</f>
        <v>24100</v>
      </c>
      <c r="L83" s="50" t="n">
        <f aca="false">IF($A83="","",物件マスタ!W83)</f>
        <v>0.965</v>
      </c>
      <c r="M83" s="17" t="str">
        <f aca="false">IF($A83="","",IFERROR(INDEX(法人マスタ!$H:$H,MATCH($B83,法人マスタ!$A:$A,0)),""))</f>
        <v>2026年5月期（第41期）</v>
      </c>
      <c r="N83" s="51" t="n">
        <f aca="false">IF($A83="","",SUMIFS(物件収支!$D:$D,物件収支!$A:$A,$A83,物件収支!$C:$C,$M83))</f>
        <v>6</v>
      </c>
      <c r="O83" s="43" t="n">
        <f aca="false">IF($A83="","",SUMIFS(物件収支!$F:$F,物件収支!$A:$A,$A83,物件収支!$C:$C,$M83))</f>
        <v>490585</v>
      </c>
      <c r="P83" s="43" t="n">
        <f aca="false">IF($A83="","",SUMIFS(物件収支!$I:$I,物件収支!$A:$A,$A83,物件収支!$C:$C,$M83))</f>
        <v>0</v>
      </c>
      <c r="Q83" s="43" t="n">
        <f aca="false">IF($A83="","",SUMIFS(物件収支!$O:$O,物件収支!$A:$A,$A83,物件収支!$C:$C,$M83))</f>
        <v>0</v>
      </c>
      <c r="R83" s="43" t="str">
        <f aca="false">IF($A83="","",IF(P83=0,"",O83-P83))</f>
        <v/>
      </c>
      <c r="S83" s="43" t="str">
        <f aca="false">IF($A83="","",IF(R83="","",R83+Q83))</f>
        <v/>
      </c>
      <c r="T83" s="43" t="str">
        <f aca="false">IF($A83="","",IF(OR(S83="",N83&lt;=0),"",S83/1000*12/N83))</f>
        <v/>
      </c>
      <c r="U83" s="52" t="str">
        <f aca="false">IF($A83="","",IF(OR(T83="",J83=0,J83=""),"",T83/J83))</f>
        <v/>
      </c>
      <c r="V83" s="52" t="str">
        <f aca="false">IF($A83="","",IF(OR(R83="",N83&lt;=0,J83=0,J83=""),"",(R83/1000*12/N83)/J83))</f>
        <v/>
      </c>
      <c r="W83" s="52" t="str">
        <f aca="false">IF($A83="","",IF(OR(T83="",K83=0,K83=""),"",T83/K83))</f>
        <v/>
      </c>
      <c r="X83" s="43" t="n">
        <f aca="false">IF($A83="","",IF(OR(N83&lt;=0,I83=0,I83="",O83=0),"",O83*1000/(I83*0.3025)/N83))</f>
        <v>31551.6849299815</v>
      </c>
      <c r="Y83" s="50" t="str">
        <f aca="false">IF($A83="","",IF(OR(O83=0,O83="",P83=0),"",P83/O83))</f>
        <v/>
      </c>
      <c r="Z83" s="17" t="str">
        <f aca="false">IF($A83="","",IFERROR(INDEX(物件収支!$E:$E,MATCH($A83,物件収支!$A:$A,0)),""))</f>
        <v>一部開示（収益のみ）</v>
      </c>
    </row>
    <row r="84" customFormat="false" ht="15" hidden="false" customHeight="true" outlineLevel="0" collapsed="false">
      <c r="A84" s="17" t="str">
        <f aca="false">IF(物件マスタ!A84="","",物件マスタ!A84)</f>
        <v>DOI-29</v>
      </c>
      <c r="B84" s="17" t="str">
        <f aca="false">IF($A84="","",物件マスタ!B84)</f>
        <v>DOI</v>
      </c>
      <c r="C84" s="17" t="str">
        <f aca="false">IF($A84="","",IFERROR(INDEX(法人マスタ!$C:$C,MATCH($B84,法人マスタ!$A:$A,0)),""))</f>
        <v>大和証券オフィス投資法人</v>
      </c>
      <c r="D84" s="17" t="str">
        <f aca="false">IF($A84="","",物件マスタ!C84)</f>
        <v>Ｄａｉｗａリバーゲート</v>
      </c>
      <c r="E84" s="17" t="str">
        <f aca="false">IF($A84="","",物件マスタ!H84)</f>
        <v>都心5区</v>
      </c>
      <c r="F84" s="48" t="n">
        <f aca="false">IF($A84="","",物件マスタ!P84)</f>
        <v>34366</v>
      </c>
      <c r="G84" s="34" t="n">
        <f aca="false">IF($A84="","",物件マスタ!Q84)</f>
        <v>32.5</v>
      </c>
      <c r="H84" s="49" t="n">
        <f aca="false">IF($A84="","",物件マスタ!L84)</f>
        <v>0</v>
      </c>
      <c r="I84" s="49" t="n">
        <f aca="false">IF($A84="","",物件マスタ!M84)</f>
        <v>32042.62</v>
      </c>
      <c r="J84" s="43" t="n">
        <f aca="false">IF($A84="","",物件マスタ!S84)</f>
        <v>28000</v>
      </c>
      <c r="K84" s="43" t="n">
        <f aca="false">IF($A84="","",物件マスタ!U84)</f>
        <v>38300</v>
      </c>
      <c r="L84" s="50" t="n">
        <f aca="false">IF($A84="","",物件マスタ!W84)</f>
        <v>0.99</v>
      </c>
      <c r="M84" s="17" t="str">
        <f aca="false">IF($A84="","",IFERROR(INDEX(法人マスタ!$H:$H,MATCH($B84,法人マスタ!$A:$A,0)),""))</f>
        <v>2026年5月期（第41期）</v>
      </c>
      <c r="N84" s="51" t="n">
        <f aca="false">IF($A84="","",SUMIFS(物件収支!$D:$D,物件収支!$A:$A,$A84,物件収支!$C:$C,$M84))</f>
        <v>6</v>
      </c>
      <c r="O84" s="43" t="n">
        <f aca="false">IF($A84="","",SUMIFS(物件収支!$F:$F,物件収支!$A:$A,$A84,物件収支!$C:$C,$M84))</f>
        <v>1077384</v>
      </c>
      <c r="P84" s="43" t="n">
        <f aca="false">IF($A84="","",SUMIFS(物件収支!$I:$I,物件収支!$A:$A,$A84,物件収支!$C:$C,$M84))</f>
        <v>0</v>
      </c>
      <c r="Q84" s="43" t="n">
        <f aca="false">IF($A84="","",SUMIFS(物件収支!$O:$O,物件収支!$A:$A,$A84,物件収支!$C:$C,$M84))</f>
        <v>0</v>
      </c>
      <c r="R84" s="43" t="str">
        <f aca="false">IF($A84="","",IF(P84=0,"",O84-P84))</f>
        <v/>
      </c>
      <c r="S84" s="43" t="str">
        <f aca="false">IF($A84="","",IF(R84="","",R84+Q84))</f>
        <v/>
      </c>
      <c r="T84" s="43" t="str">
        <f aca="false">IF($A84="","",IF(OR(S84="",N84&lt;=0),"",S84/1000*12/N84))</f>
        <v/>
      </c>
      <c r="U84" s="52" t="str">
        <f aca="false">IF($A84="","",IF(OR(T84="",J84=0,J84=""),"",T84/J84))</f>
        <v/>
      </c>
      <c r="V84" s="52" t="str">
        <f aca="false">IF($A84="","",IF(OR(R84="",N84&lt;=0,J84=0,J84=""),"",(R84/1000*12/N84)/J84))</f>
        <v/>
      </c>
      <c r="W84" s="52" t="str">
        <f aca="false">IF($A84="","",IF(OR(T84="",K84=0,K84=""),"",T84/K84))</f>
        <v/>
      </c>
      <c r="X84" s="43" t="n">
        <f aca="false">IF($A84="","",IF(OR(N84&lt;=0,I84=0,I84="",O84=0),"",O84*1000/(I84*0.3025)/N84))</f>
        <v>18525.3265806604</v>
      </c>
      <c r="Y84" s="50" t="str">
        <f aca="false">IF($A84="","",IF(OR(O84=0,O84="",P84=0),"",P84/O84))</f>
        <v/>
      </c>
      <c r="Z84" s="17" t="str">
        <f aca="false">IF($A84="","",IFERROR(INDEX(物件収支!$E:$E,MATCH($A84,物件収支!$A:$A,0)),""))</f>
        <v>一部開示（収益のみ）</v>
      </c>
    </row>
    <row r="85" customFormat="false" ht="15" hidden="false" customHeight="true" outlineLevel="0" collapsed="false">
      <c r="A85" s="17" t="str">
        <f aca="false">IF(物件マスタ!A85="","",物件マスタ!A85)</f>
        <v>DOI-30</v>
      </c>
      <c r="B85" s="17" t="str">
        <f aca="false">IF($A85="","",物件マスタ!B85)</f>
        <v>DOI</v>
      </c>
      <c r="C85" s="17" t="str">
        <f aca="false">IF($A85="","",IFERROR(INDEX(法人マスタ!$C:$C,MATCH($B85,法人マスタ!$A:$A,0)),""))</f>
        <v>大和証券オフィス投資法人</v>
      </c>
      <c r="D85" s="17" t="str">
        <f aca="false">IF($A85="","",物件マスタ!C85)</f>
        <v>Ｄａｉｗａ八丁堀駅前ビル</v>
      </c>
      <c r="E85" s="17" t="str">
        <f aca="false">IF($A85="","",物件マスタ!H85)</f>
        <v>都心5区</v>
      </c>
      <c r="F85" s="48" t="n">
        <f aca="false">IF($A85="","",物件マスタ!P85)</f>
        <v>38749</v>
      </c>
      <c r="G85" s="34" t="n">
        <f aca="false">IF($A85="","",物件マスタ!Q85)</f>
        <v>20.5</v>
      </c>
      <c r="H85" s="49" t="n">
        <f aca="false">IF($A85="","",物件マスタ!L85)</f>
        <v>0</v>
      </c>
      <c r="I85" s="49" t="n">
        <f aca="false">IF($A85="","",物件マスタ!M85)</f>
        <v>2622.42</v>
      </c>
      <c r="J85" s="43" t="n">
        <f aca="false">IF($A85="","",物件マスタ!S85)</f>
        <v>2871</v>
      </c>
      <c r="K85" s="43" t="n">
        <f aca="false">IF($A85="","",物件マスタ!U85)</f>
        <v>3490</v>
      </c>
      <c r="L85" s="50" t="n">
        <f aca="false">IF($A85="","",物件マスタ!W85)</f>
        <v>1</v>
      </c>
      <c r="M85" s="17" t="str">
        <f aca="false">IF($A85="","",IFERROR(INDEX(法人マスタ!$H:$H,MATCH($B85,法人マスタ!$A:$A,0)),""))</f>
        <v>2026年5月期（第41期）</v>
      </c>
      <c r="N85" s="51" t="n">
        <f aca="false">IF($A85="","",SUMIFS(物件収支!$D:$D,物件収支!$A:$A,$A85,物件収支!$C:$C,$M85))</f>
        <v>6</v>
      </c>
      <c r="O85" s="43" t="n">
        <f aca="false">IF($A85="","",SUMIFS(物件収支!$F:$F,物件収支!$A:$A,$A85,物件収支!$C:$C,$M85))</f>
        <v>99105</v>
      </c>
      <c r="P85" s="43" t="n">
        <f aca="false">IF($A85="","",SUMIFS(物件収支!$I:$I,物件収支!$A:$A,$A85,物件収支!$C:$C,$M85))</f>
        <v>0</v>
      </c>
      <c r="Q85" s="43" t="n">
        <f aca="false">IF($A85="","",SUMIFS(物件収支!$O:$O,物件収支!$A:$A,$A85,物件収支!$C:$C,$M85))</f>
        <v>0</v>
      </c>
      <c r="R85" s="43" t="str">
        <f aca="false">IF($A85="","",IF(P85=0,"",O85-P85))</f>
        <v/>
      </c>
      <c r="S85" s="43" t="str">
        <f aca="false">IF($A85="","",IF(R85="","",R85+Q85))</f>
        <v/>
      </c>
      <c r="T85" s="43" t="str">
        <f aca="false">IF($A85="","",IF(OR(S85="",N85&lt;=0),"",S85/1000*12/N85))</f>
        <v/>
      </c>
      <c r="U85" s="52" t="str">
        <f aca="false">IF($A85="","",IF(OR(T85="",J85=0,J85=""),"",T85/J85))</f>
        <v/>
      </c>
      <c r="V85" s="52" t="str">
        <f aca="false">IF($A85="","",IF(OR(R85="",N85&lt;=0,J85=0,J85=""),"",(R85/1000*12/N85)/J85))</f>
        <v/>
      </c>
      <c r="W85" s="52" t="str">
        <f aca="false">IF($A85="","",IF(OR(T85="",K85=0,K85=""),"",T85/K85))</f>
        <v/>
      </c>
      <c r="X85" s="43" t="n">
        <f aca="false">IF($A85="","",IF(OR(N85&lt;=0,I85=0,I85="",O85=0),"",O85*1000/(I85*0.3025)/N85))</f>
        <v>20821.7241269987</v>
      </c>
      <c r="Y85" s="50" t="str">
        <f aca="false">IF($A85="","",IF(OR(O85=0,O85="",P85=0),"",P85/O85))</f>
        <v/>
      </c>
      <c r="Z85" s="17" t="str">
        <f aca="false">IF($A85="","",IFERROR(INDEX(物件収支!$E:$E,MATCH($A85,物件収支!$A:$A,0)),""))</f>
        <v>一部開示（収益のみ）</v>
      </c>
    </row>
    <row r="86" customFormat="false" ht="15" hidden="false" customHeight="true" outlineLevel="0" collapsed="false">
      <c r="A86" s="17" t="str">
        <f aca="false">IF(物件マスタ!A86="","",物件マスタ!A86)</f>
        <v>DOI-31</v>
      </c>
      <c r="B86" s="17" t="str">
        <f aca="false">IF($A86="","",物件マスタ!B86)</f>
        <v>DOI</v>
      </c>
      <c r="C86" s="17" t="str">
        <f aca="false">IF($A86="","",IFERROR(INDEX(法人マスタ!$C:$C,MATCH($B86,法人マスタ!$A:$A,0)),""))</f>
        <v>大和証券オフィス投資法人</v>
      </c>
      <c r="D86" s="17" t="str">
        <f aca="false">IF($A86="","",物件マスタ!C86)</f>
        <v>Ｄａｉｗａ八丁堀駅前ビル西館</v>
      </c>
      <c r="E86" s="17" t="str">
        <f aca="false">IF($A86="","",物件マスタ!H86)</f>
        <v>都心5区</v>
      </c>
      <c r="F86" s="48" t="n">
        <f aca="false">IF($A86="","",物件マスタ!P86)</f>
        <v>35096</v>
      </c>
      <c r="G86" s="34" t="n">
        <f aca="false">IF($A86="","",物件マスタ!Q86)</f>
        <v>30.5</v>
      </c>
      <c r="H86" s="49" t="n">
        <f aca="false">IF($A86="","",物件マスタ!L86)</f>
        <v>0</v>
      </c>
      <c r="I86" s="49" t="n">
        <f aca="false">IF($A86="","",物件マスタ!M86)</f>
        <v>1760.24</v>
      </c>
      <c r="J86" s="43" t="n">
        <f aca="false">IF($A86="","",物件マスタ!S86)</f>
        <v>1647</v>
      </c>
      <c r="K86" s="43" t="n">
        <f aca="false">IF($A86="","",物件マスタ!U86)</f>
        <v>2160</v>
      </c>
      <c r="L86" s="50" t="n">
        <f aca="false">IF($A86="","",物件マスタ!W86)</f>
        <v>1</v>
      </c>
      <c r="M86" s="17" t="str">
        <f aca="false">IF($A86="","",IFERROR(INDEX(法人マスタ!$H:$H,MATCH($B86,法人マスタ!$A:$A,0)),""))</f>
        <v>2026年5月期（第41期）</v>
      </c>
      <c r="N86" s="51" t="n">
        <f aca="false">IF($A86="","",SUMIFS(物件収支!$D:$D,物件収支!$A:$A,$A86,物件収支!$C:$C,$M86))</f>
        <v>6</v>
      </c>
      <c r="O86" s="43" t="n">
        <f aca="false">IF($A86="","",SUMIFS(物件収支!$F:$F,物件収支!$A:$A,$A86,物件収支!$C:$C,$M86))</f>
        <v>52456</v>
      </c>
      <c r="P86" s="43" t="n">
        <f aca="false">IF($A86="","",SUMIFS(物件収支!$I:$I,物件収支!$A:$A,$A86,物件収支!$C:$C,$M86))</f>
        <v>0</v>
      </c>
      <c r="Q86" s="43" t="n">
        <f aca="false">IF($A86="","",SUMIFS(物件収支!$O:$O,物件収支!$A:$A,$A86,物件収支!$C:$C,$M86))</f>
        <v>0</v>
      </c>
      <c r="R86" s="43" t="str">
        <f aca="false">IF($A86="","",IF(P86=0,"",O86-P86))</f>
        <v/>
      </c>
      <c r="S86" s="43" t="str">
        <f aca="false">IF($A86="","",IF(R86="","",R86+Q86))</f>
        <v/>
      </c>
      <c r="T86" s="43" t="str">
        <f aca="false">IF($A86="","",IF(OR(S86="",N86&lt;=0),"",S86/1000*12/N86))</f>
        <v/>
      </c>
      <c r="U86" s="52" t="str">
        <f aca="false">IF($A86="","",IF(OR(T86="",J86=0,J86=""),"",T86/J86))</f>
        <v/>
      </c>
      <c r="V86" s="52" t="str">
        <f aca="false">IF($A86="","",IF(OR(R86="",N86&lt;=0,J86=0,J86=""),"",(R86/1000*12/N86)/J86))</f>
        <v/>
      </c>
      <c r="W86" s="52" t="str">
        <f aca="false">IF($A86="","",IF(OR(T86="",K86=0,K86=""),"",T86/K86))</f>
        <v/>
      </c>
      <c r="X86" s="43" t="n">
        <f aca="false">IF($A86="","",IF(OR(N86&lt;=0,I86=0,I86="",O86=0),"",O86*1000/(I86*0.3025)/N86))</f>
        <v>16418.9982107374</v>
      </c>
      <c r="Y86" s="50" t="str">
        <f aca="false">IF($A86="","",IF(OR(O86=0,O86="",P86=0),"",P86/O86))</f>
        <v/>
      </c>
      <c r="Z86" s="17" t="str">
        <f aca="false">IF($A86="","",IFERROR(INDEX(物件収支!$E:$E,MATCH($A86,物件収支!$A:$A,0)),""))</f>
        <v>一部開示（収益のみ）</v>
      </c>
    </row>
    <row r="87" customFormat="false" ht="15" hidden="false" customHeight="true" outlineLevel="0" collapsed="false">
      <c r="A87" s="17" t="str">
        <f aca="false">IF(物件マスタ!A87="","",物件マスタ!A87)</f>
        <v>DOI-32</v>
      </c>
      <c r="B87" s="17" t="str">
        <f aca="false">IF($A87="","",物件マスタ!B87)</f>
        <v>DOI</v>
      </c>
      <c r="C87" s="17" t="str">
        <f aca="false">IF($A87="","",IFERROR(INDEX(法人マスタ!$C:$C,MATCH($B87,法人マスタ!$A:$A,0)),""))</f>
        <v>大和証券オフィス投資法人</v>
      </c>
      <c r="D87" s="17" t="str">
        <f aca="false">IF($A87="","",物件マスタ!C87)</f>
        <v>Ｄａｉｗａ西新宿ビル</v>
      </c>
      <c r="E87" s="17" t="str">
        <f aca="false">IF($A87="","",物件マスタ!H87)</f>
        <v>都心5区</v>
      </c>
      <c r="F87" s="48" t="n">
        <f aca="false">IF($A87="","",物件マスタ!P87)</f>
        <v>33451</v>
      </c>
      <c r="G87" s="34" t="n">
        <f aca="false">IF($A87="","",物件マスタ!Q87)</f>
        <v>35</v>
      </c>
      <c r="H87" s="49" t="n">
        <f aca="false">IF($A87="","",物件マスタ!L87)</f>
        <v>0</v>
      </c>
      <c r="I87" s="49" t="n">
        <f aca="false">IF($A87="","",物件マスタ!M87)</f>
        <v>6965.73</v>
      </c>
      <c r="J87" s="43" t="n">
        <f aca="false">IF($A87="","",物件マスタ!S87)</f>
        <v>13710</v>
      </c>
      <c r="K87" s="43" t="n">
        <f aca="false">IF($A87="","",物件マスタ!U87)</f>
        <v>16600</v>
      </c>
      <c r="L87" s="50" t="n">
        <f aca="false">IF($A87="","",物件マスタ!W87)</f>
        <v>1</v>
      </c>
      <c r="M87" s="17" t="str">
        <f aca="false">IF($A87="","",IFERROR(INDEX(法人マスタ!$H:$H,MATCH($B87,法人マスタ!$A:$A,0)),""))</f>
        <v>2026年5月期（第41期）</v>
      </c>
      <c r="N87" s="51" t="n">
        <f aca="false">IF($A87="","",SUMIFS(物件収支!$D:$D,物件収支!$A:$A,$A87,物件収支!$C:$C,$M87))</f>
        <v>6</v>
      </c>
      <c r="O87" s="43" t="n">
        <f aca="false">IF($A87="","",SUMIFS(物件収支!$F:$F,物件収支!$A:$A,$A87,物件収支!$C:$C,$M87))</f>
        <v>342775</v>
      </c>
      <c r="P87" s="43" t="n">
        <f aca="false">IF($A87="","",SUMIFS(物件収支!$I:$I,物件収支!$A:$A,$A87,物件収支!$C:$C,$M87))</f>
        <v>0</v>
      </c>
      <c r="Q87" s="43" t="n">
        <f aca="false">IF($A87="","",SUMIFS(物件収支!$O:$O,物件収支!$A:$A,$A87,物件収支!$C:$C,$M87))</f>
        <v>0</v>
      </c>
      <c r="R87" s="43" t="str">
        <f aca="false">IF($A87="","",IF(P87=0,"",O87-P87))</f>
        <v/>
      </c>
      <c r="S87" s="43" t="str">
        <f aca="false">IF($A87="","",IF(R87="","",R87+Q87))</f>
        <v/>
      </c>
      <c r="T87" s="43" t="str">
        <f aca="false">IF($A87="","",IF(OR(S87="",N87&lt;=0),"",S87/1000*12/N87))</f>
        <v/>
      </c>
      <c r="U87" s="52" t="str">
        <f aca="false">IF($A87="","",IF(OR(T87="",J87=0,J87=""),"",T87/J87))</f>
        <v/>
      </c>
      <c r="V87" s="52" t="str">
        <f aca="false">IF($A87="","",IF(OR(R87="",N87&lt;=0,J87=0,J87=""),"",(R87/1000*12/N87)/J87))</f>
        <v/>
      </c>
      <c r="W87" s="52" t="str">
        <f aca="false">IF($A87="","",IF(OR(T87="",K87=0,K87=""),"",T87/K87))</f>
        <v/>
      </c>
      <c r="X87" s="43" t="n">
        <f aca="false">IF($A87="","",IF(OR(N87&lt;=0,I87=0,I87="",O87=0),"",O87*1000/(I87*0.3025)/N87))</f>
        <v>27112.2695412103</v>
      </c>
      <c r="Y87" s="50" t="str">
        <f aca="false">IF($A87="","",IF(OR(O87=0,O87="",P87=0),"",P87/O87))</f>
        <v/>
      </c>
      <c r="Z87" s="17" t="str">
        <f aca="false">IF($A87="","",IFERROR(INDEX(物件収支!$E:$E,MATCH($A87,物件収支!$A:$A,0)),""))</f>
        <v>一部開示（収益のみ）</v>
      </c>
    </row>
    <row r="88" customFormat="false" ht="15" hidden="false" customHeight="true" outlineLevel="0" collapsed="false">
      <c r="A88" s="17" t="str">
        <f aca="false">IF(物件マスタ!A88="","",物件マスタ!A88)</f>
        <v>DOI-33</v>
      </c>
      <c r="B88" s="17" t="str">
        <f aca="false">IF($A88="","",物件マスタ!B88)</f>
        <v>DOI</v>
      </c>
      <c r="C88" s="17" t="str">
        <f aca="false">IF($A88="","",IFERROR(INDEX(法人マスタ!$C:$C,MATCH($B88,法人マスタ!$A:$A,0)),""))</f>
        <v>大和証券オフィス投資法人</v>
      </c>
      <c r="D88" s="17" t="str">
        <f aca="false">IF($A88="","",物件マスタ!C88)</f>
        <v>キリン日本橋ビル</v>
      </c>
      <c r="E88" s="17" t="str">
        <f aca="false">IF($A88="","",物件マスタ!H88)</f>
        <v>都心5区</v>
      </c>
      <c r="F88" s="48" t="n">
        <f aca="false">IF($A88="","",物件マスタ!P88)</f>
        <v>36192</v>
      </c>
      <c r="G88" s="34" t="n">
        <f aca="false">IF($A88="","",物件マスタ!Q88)</f>
        <v>27.5</v>
      </c>
      <c r="H88" s="49" t="n">
        <f aca="false">IF($A88="","",物件マスタ!L88)</f>
        <v>0</v>
      </c>
      <c r="I88" s="49" t="n">
        <f aca="false">IF($A88="","",物件マスタ!M88)</f>
        <v>5630.17</v>
      </c>
      <c r="J88" s="43" t="n">
        <f aca="false">IF($A88="","",物件マスタ!S88)</f>
        <v>8180</v>
      </c>
      <c r="K88" s="43" t="n">
        <f aca="false">IF($A88="","",物件マスタ!U88)</f>
        <v>10600</v>
      </c>
      <c r="L88" s="50" t="n">
        <f aca="false">IF($A88="","",物件マスタ!W88)</f>
        <v>1</v>
      </c>
      <c r="M88" s="17" t="str">
        <f aca="false">IF($A88="","",IFERROR(INDEX(法人マスタ!$H:$H,MATCH($B88,法人マスタ!$A:$A,0)),""))</f>
        <v>2026年5月期（第41期）</v>
      </c>
      <c r="N88" s="51" t="n">
        <f aca="false">IF($A88="","",SUMIFS(物件収支!$D:$D,物件収支!$A:$A,$A88,物件収支!$C:$C,$M88))</f>
        <v>6</v>
      </c>
      <c r="O88" s="43" t="n">
        <f aca="false">IF($A88="","",SUMIFS(物件収支!$F:$F,物件収支!$A:$A,$A88,物件収支!$C:$C,$M88))</f>
        <v>0</v>
      </c>
      <c r="P88" s="43" t="n">
        <f aca="false">IF($A88="","",SUMIFS(物件収支!$I:$I,物件収支!$A:$A,$A88,物件収支!$C:$C,$M88))</f>
        <v>0</v>
      </c>
      <c r="Q88" s="43" t="n">
        <f aca="false">IF($A88="","",SUMIFS(物件収支!$O:$O,物件収支!$A:$A,$A88,物件収支!$C:$C,$M88))</f>
        <v>0</v>
      </c>
      <c r="R88" s="43" t="str">
        <f aca="false">IF($A88="","",IF(P88=0,"",O88-P88))</f>
        <v/>
      </c>
      <c r="S88" s="43" t="str">
        <f aca="false">IF($A88="","",IF(R88="","",R88+Q88))</f>
        <v/>
      </c>
      <c r="T88" s="43" t="str">
        <f aca="false">IF($A88="","",IF(OR(S88="",N88&lt;=0),"",S88/1000*12/N88))</f>
        <v/>
      </c>
      <c r="U88" s="52" t="str">
        <f aca="false">IF($A88="","",IF(OR(T88="",J88=0,J88=""),"",T88/J88))</f>
        <v/>
      </c>
      <c r="V88" s="52" t="str">
        <f aca="false">IF($A88="","",IF(OR(R88="",N88&lt;=0,J88=0,J88=""),"",(R88/1000*12/N88)/J88))</f>
        <v/>
      </c>
      <c r="W88" s="52" t="str">
        <f aca="false">IF($A88="","",IF(OR(T88="",K88=0,K88=""),"",T88/K88))</f>
        <v/>
      </c>
      <c r="X88" s="43" t="str">
        <f aca="false">IF($A88="","",IF(OR(N88&lt;=0,I88=0,I88="",O88=0),"",O88*1000/(I88*0.3025)/N88))</f>
        <v/>
      </c>
      <c r="Y88" s="50" t="str">
        <f aca="false">IF($A88="","",IF(OR(O88=0,O88="",P88=0),"",P88/O88))</f>
        <v/>
      </c>
      <c r="Z88" s="17" t="str">
        <f aca="false">IF($A88="","",IFERROR(INDEX(物件収支!$E:$E,MATCH($A88,物件収支!$A:$A,0)),""))</f>
        <v>非開示（テナント同意なし）</v>
      </c>
    </row>
    <row r="89" customFormat="false" ht="15" hidden="false" customHeight="true" outlineLevel="0" collapsed="false">
      <c r="A89" s="17" t="str">
        <f aca="false">IF(物件マスタ!A89="","",物件マスタ!A89)</f>
        <v>DOI-34</v>
      </c>
      <c r="B89" s="17" t="str">
        <f aca="false">IF($A89="","",物件マスタ!B89)</f>
        <v>DOI</v>
      </c>
      <c r="C89" s="17" t="str">
        <f aca="false">IF($A89="","",IFERROR(INDEX(法人マスタ!$C:$C,MATCH($B89,法人マスタ!$A:$A,0)),""))</f>
        <v>大和証券オフィス投資法人</v>
      </c>
      <c r="D89" s="17" t="str">
        <f aca="false">IF($A89="","",物件マスタ!C89)</f>
        <v>Ｄａｉｗａ東日本橋ビル</v>
      </c>
      <c r="E89" s="17" t="str">
        <f aca="false">IF($A89="","",物件マスタ!H89)</f>
        <v>都心5区</v>
      </c>
      <c r="F89" s="48" t="n">
        <f aca="false">IF($A89="","",物件マスタ!P89)</f>
        <v>39508</v>
      </c>
      <c r="G89" s="34" t="n">
        <f aca="false">IF($A89="","",物件マスタ!Q89)</f>
        <v>18.4</v>
      </c>
      <c r="H89" s="49" t="n">
        <f aca="false">IF($A89="","",物件マスタ!L89)</f>
        <v>0</v>
      </c>
      <c r="I89" s="49" t="n">
        <f aca="false">IF($A89="","",物件マスタ!M89)</f>
        <v>5015.88</v>
      </c>
      <c r="J89" s="43" t="n">
        <f aca="false">IF($A89="","",物件マスタ!S89)</f>
        <v>6370</v>
      </c>
      <c r="K89" s="43" t="n">
        <f aca="false">IF($A89="","",物件マスタ!U89)</f>
        <v>7540</v>
      </c>
      <c r="L89" s="50" t="n">
        <f aca="false">IF($A89="","",物件マスタ!W89)</f>
        <v>1</v>
      </c>
      <c r="M89" s="17" t="str">
        <f aca="false">IF($A89="","",IFERROR(INDEX(法人マスタ!$H:$H,MATCH($B89,法人マスタ!$A:$A,0)),""))</f>
        <v>2026年5月期（第41期）</v>
      </c>
      <c r="N89" s="51" t="n">
        <f aca="false">IF($A89="","",SUMIFS(物件収支!$D:$D,物件収支!$A:$A,$A89,物件収支!$C:$C,$M89))</f>
        <v>6</v>
      </c>
      <c r="O89" s="43" t="n">
        <f aca="false">IF($A89="","",SUMIFS(物件収支!$F:$F,物件収支!$A:$A,$A89,物件収支!$C:$C,$M89))</f>
        <v>185852</v>
      </c>
      <c r="P89" s="43" t="n">
        <f aca="false">IF($A89="","",SUMIFS(物件収支!$I:$I,物件収支!$A:$A,$A89,物件収支!$C:$C,$M89))</f>
        <v>0</v>
      </c>
      <c r="Q89" s="43" t="n">
        <f aca="false">IF($A89="","",SUMIFS(物件収支!$O:$O,物件収支!$A:$A,$A89,物件収支!$C:$C,$M89))</f>
        <v>0</v>
      </c>
      <c r="R89" s="43" t="str">
        <f aca="false">IF($A89="","",IF(P89=0,"",O89-P89))</f>
        <v/>
      </c>
      <c r="S89" s="43" t="str">
        <f aca="false">IF($A89="","",IF(R89="","",R89+Q89))</f>
        <v/>
      </c>
      <c r="T89" s="43" t="str">
        <f aca="false">IF($A89="","",IF(OR(S89="",N89&lt;=0),"",S89/1000*12/N89))</f>
        <v/>
      </c>
      <c r="U89" s="52" t="str">
        <f aca="false">IF($A89="","",IF(OR(T89="",J89=0,J89=""),"",T89/J89))</f>
        <v/>
      </c>
      <c r="V89" s="52" t="str">
        <f aca="false">IF($A89="","",IF(OR(R89="",N89&lt;=0,J89=0,J89=""),"",(R89/1000*12/N89)/J89))</f>
        <v/>
      </c>
      <c r="W89" s="52" t="str">
        <f aca="false">IF($A89="","",IF(OR(T89="",K89=0,K89=""),"",T89/K89))</f>
        <v/>
      </c>
      <c r="X89" s="43" t="n">
        <f aca="false">IF($A89="","",IF(OR(N89&lt;=0,I89=0,I89="",O89=0),"",O89*1000/(I89*0.3025)/N89))</f>
        <v>20414.7220713515</v>
      </c>
      <c r="Y89" s="50" t="str">
        <f aca="false">IF($A89="","",IF(OR(O89=0,O89="",P89=0),"",P89/O89))</f>
        <v/>
      </c>
      <c r="Z89" s="17" t="str">
        <f aca="false">IF($A89="","",IFERROR(INDEX(物件収支!$E:$E,MATCH($A89,物件収支!$A:$A,0)),""))</f>
        <v>一部開示（収益のみ）</v>
      </c>
    </row>
    <row r="90" customFormat="false" ht="15" hidden="false" customHeight="true" outlineLevel="0" collapsed="false">
      <c r="A90" s="17" t="str">
        <f aca="false">IF(物件マスタ!A90="","",物件マスタ!A90)</f>
        <v>DOI-35</v>
      </c>
      <c r="B90" s="17" t="str">
        <f aca="false">IF($A90="","",物件マスタ!B90)</f>
        <v>DOI</v>
      </c>
      <c r="C90" s="17" t="str">
        <f aca="false">IF($A90="","",IFERROR(INDEX(法人マスタ!$C:$C,MATCH($B90,法人マスタ!$A:$A,0)),""))</f>
        <v>大和証券オフィス投資法人</v>
      </c>
      <c r="D90" s="17" t="str">
        <f aca="false">IF($A90="","",物件マスタ!C90)</f>
        <v>Ｄａｉｗａ代官山ビル</v>
      </c>
      <c r="E90" s="17" t="str">
        <f aca="false">IF($A90="","",物件マスタ!H90)</f>
        <v>都心5区</v>
      </c>
      <c r="F90" s="48" t="n">
        <f aca="false">IF($A90="","",物件マスタ!P90)</f>
        <v>36951</v>
      </c>
      <c r="G90" s="34" t="n">
        <f aca="false">IF($A90="","",物件マスタ!Q90)</f>
        <v>25.4</v>
      </c>
      <c r="H90" s="49" t="n">
        <f aca="false">IF($A90="","",物件マスタ!L90)</f>
        <v>0</v>
      </c>
      <c r="I90" s="49" t="n">
        <f aca="false">IF($A90="","",物件マスタ!M90)</f>
        <v>1642.83</v>
      </c>
      <c r="J90" s="43" t="n">
        <f aca="false">IF($A90="","",物件マスタ!S90)</f>
        <v>2280</v>
      </c>
      <c r="K90" s="43" t="n">
        <f aca="false">IF($A90="","",物件マスタ!U90)</f>
        <v>3510</v>
      </c>
      <c r="L90" s="50" t="n">
        <f aca="false">IF($A90="","",物件マスタ!W90)</f>
        <v>1</v>
      </c>
      <c r="M90" s="17" t="str">
        <f aca="false">IF($A90="","",IFERROR(INDEX(法人マスタ!$H:$H,MATCH($B90,法人マスタ!$A:$A,0)),""))</f>
        <v>2026年5月期（第41期）</v>
      </c>
      <c r="N90" s="51" t="n">
        <f aca="false">IF($A90="","",SUMIFS(物件収支!$D:$D,物件収支!$A:$A,$A90,物件収支!$C:$C,$M90))</f>
        <v>6</v>
      </c>
      <c r="O90" s="43" t="n">
        <f aca="false">IF($A90="","",SUMIFS(物件収支!$F:$F,物件収支!$A:$A,$A90,物件収支!$C:$C,$M90))</f>
        <v>0</v>
      </c>
      <c r="P90" s="43" t="n">
        <f aca="false">IF($A90="","",SUMIFS(物件収支!$I:$I,物件収支!$A:$A,$A90,物件収支!$C:$C,$M90))</f>
        <v>0</v>
      </c>
      <c r="Q90" s="43" t="n">
        <f aca="false">IF($A90="","",SUMIFS(物件収支!$O:$O,物件収支!$A:$A,$A90,物件収支!$C:$C,$M90))</f>
        <v>0</v>
      </c>
      <c r="R90" s="43" t="str">
        <f aca="false">IF($A90="","",IF(P90=0,"",O90-P90))</f>
        <v/>
      </c>
      <c r="S90" s="43" t="str">
        <f aca="false">IF($A90="","",IF(R90="","",R90+Q90))</f>
        <v/>
      </c>
      <c r="T90" s="43" t="str">
        <f aca="false">IF($A90="","",IF(OR(S90="",N90&lt;=0),"",S90/1000*12/N90))</f>
        <v/>
      </c>
      <c r="U90" s="52" t="str">
        <f aca="false">IF($A90="","",IF(OR(T90="",J90=0,J90=""),"",T90/J90))</f>
        <v/>
      </c>
      <c r="V90" s="52" t="str">
        <f aca="false">IF($A90="","",IF(OR(R90="",N90&lt;=0,J90=0,J90=""),"",(R90/1000*12/N90)/J90))</f>
        <v/>
      </c>
      <c r="W90" s="52" t="str">
        <f aca="false">IF($A90="","",IF(OR(T90="",K90=0,K90=""),"",T90/K90))</f>
        <v/>
      </c>
      <c r="X90" s="43" t="str">
        <f aca="false">IF($A90="","",IF(OR(N90&lt;=0,I90=0,I90="",O90=0),"",O90*1000/(I90*0.3025)/N90))</f>
        <v/>
      </c>
      <c r="Y90" s="50" t="str">
        <f aca="false">IF($A90="","",IF(OR(O90=0,O90="",P90=0),"",P90/O90))</f>
        <v/>
      </c>
      <c r="Z90" s="17" t="str">
        <f aca="false">IF($A90="","",IFERROR(INDEX(物件収支!$E:$E,MATCH($A90,物件収支!$A:$A,0)),""))</f>
        <v>非開示（テナント同意なし）</v>
      </c>
    </row>
    <row r="91" customFormat="false" ht="15" hidden="false" customHeight="true" outlineLevel="0" collapsed="false">
      <c r="A91" s="17" t="str">
        <f aca="false">IF(物件マスタ!A91="","",物件マスタ!A91)</f>
        <v>DOI-36</v>
      </c>
      <c r="B91" s="17" t="str">
        <f aca="false">IF($A91="","",物件マスタ!B91)</f>
        <v>DOI</v>
      </c>
      <c r="C91" s="17" t="str">
        <f aca="false">IF($A91="","",IFERROR(INDEX(法人マスタ!$C:$C,MATCH($B91,法人マスタ!$A:$A,0)),""))</f>
        <v>大和証券オフィス投資法人</v>
      </c>
      <c r="D91" s="17" t="str">
        <f aca="false">IF($A91="","",物件マスタ!C91)</f>
        <v>Ｄａｉｗａ新宿ウエストビル</v>
      </c>
      <c r="E91" s="17" t="str">
        <f aca="false">IF($A91="","",物件マスタ!H91)</f>
        <v>都心5区</v>
      </c>
      <c r="F91" s="48" t="n">
        <f aca="false">IF($A91="","",物件マスタ!P91)</f>
        <v>32568</v>
      </c>
      <c r="G91" s="34" t="n">
        <f aca="false">IF($A91="","",物件マスタ!Q91)</f>
        <v>37.4</v>
      </c>
      <c r="H91" s="49" t="n">
        <f aca="false">IF($A91="","",物件マスタ!L91)</f>
        <v>0</v>
      </c>
      <c r="I91" s="49" t="n">
        <f aca="false">IF($A91="","",物件マスタ!M91)</f>
        <v>1131.93</v>
      </c>
      <c r="J91" s="43" t="n">
        <f aca="false">IF($A91="","",物件マスタ!S91)</f>
        <v>942</v>
      </c>
      <c r="K91" s="43" t="n">
        <f aca="false">IF($A91="","",物件マスタ!U91)</f>
        <v>1360</v>
      </c>
      <c r="L91" s="50" t="n">
        <f aca="false">IF($A91="","",物件マスタ!W91)</f>
        <v>1</v>
      </c>
      <c r="M91" s="17" t="str">
        <f aca="false">IF($A91="","",IFERROR(INDEX(法人マスタ!$H:$H,MATCH($B91,法人マスタ!$A:$A,0)),""))</f>
        <v>2026年5月期（第41期）</v>
      </c>
      <c r="N91" s="51" t="n">
        <f aca="false">IF($A91="","",SUMIFS(物件収支!$D:$D,物件収支!$A:$A,$A91,物件収支!$C:$C,$M91))</f>
        <v>6</v>
      </c>
      <c r="O91" s="43" t="n">
        <f aca="false">IF($A91="","",SUMIFS(物件収支!$F:$F,物件収支!$A:$A,$A91,物件収支!$C:$C,$M91))</f>
        <v>40717</v>
      </c>
      <c r="P91" s="43" t="n">
        <f aca="false">IF($A91="","",SUMIFS(物件収支!$I:$I,物件収支!$A:$A,$A91,物件収支!$C:$C,$M91))</f>
        <v>0</v>
      </c>
      <c r="Q91" s="43" t="n">
        <f aca="false">IF($A91="","",SUMIFS(物件収支!$O:$O,物件収支!$A:$A,$A91,物件収支!$C:$C,$M91))</f>
        <v>0</v>
      </c>
      <c r="R91" s="43" t="str">
        <f aca="false">IF($A91="","",IF(P91=0,"",O91-P91))</f>
        <v/>
      </c>
      <c r="S91" s="43" t="str">
        <f aca="false">IF($A91="","",IF(R91="","",R91+Q91))</f>
        <v/>
      </c>
      <c r="T91" s="43" t="str">
        <f aca="false">IF($A91="","",IF(OR(S91="",N91&lt;=0),"",S91/1000*12/N91))</f>
        <v/>
      </c>
      <c r="U91" s="52" t="str">
        <f aca="false">IF($A91="","",IF(OR(T91="",J91=0,J91=""),"",T91/J91))</f>
        <v/>
      </c>
      <c r="V91" s="52" t="str">
        <f aca="false">IF($A91="","",IF(OR(R91="",N91&lt;=0,J91=0,J91=""),"",(R91/1000*12/N91)/J91))</f>
        <v/>
      </c>
      <c r="W91" s="52" t="str">
        <f aca="false">IF($A91="","",IF(OR(T91="",K91=0,K91=""),"",T91/K91))</f>
        <v/>
      </c>
      <c r="X91" s="43" t="n">
        <f aca="false">IF($A91="","",IF(OR(N91&lt;=0,I91=0,I91="",O91=0),"",O91*1000/(I91*0.3025)/N91))</f>
        <v>19818.9011824291</v>
      </c>
      <c r="Y91" s="50" t="str">
        <f aca="false">IF($A91="","",IF(OR(O91=0,O91="",P91=0),"",P91/O91))</f>
        <v/>
      </c>
      <c r="Z91" s="17" t="str">
        <f aca="false">IF($A91="","",IFERROR(INDEX(物件収支!$E:$E,MATCH($A91,物件収支!$A:$A,0)),""))</f>
        <v>一部開示（収益のみ）</v>
      </c>
    </row>
    <row r="92" customFormat="false" ht="15" hidden="false" customHeight="true" outlineLevel="0" collapsed="false">
      <c r="A92" s="17" t="str">
        <f aca="false">IF(物件マスタ!A92="","",物件マスタ!A92)</f>
        <v>DOI-37</v>
      </c>
      <c r="B92" s="17" t="str">
        <f aca="false">IF($A92="","",物件マスタ!B92)</f>
        <v>DOI</v>
      </c>
      <c r="C92" s="17" t="str">
        <f aca="false">IF($A92="","",IFERROR(INDEX(法人マスタ!$C:$C,MATCH($B92,法人マスタ!$A:$A,0)),""))</f>
        <v>大和証券オフィス投資法人</v>
      </c>
      <c r="D92" s="17" t="str">
        <f aca="false">IF($A92="","",物件マスタ!C92)</f>
        <v>Ｄａｉｗａ神田美倉町ビル</v>
      </c>
      <c r="E92" s="17" t="str">
        <f aca="false">IF($A92="","",物件マスタ!H92)</f>
        <v>都心5区</v>
      </c>
      <c r="F92" s="48" t="n">
        <f aca="false">IF($A92="","",物件マスタ!P92)</f>
        <v>33239</v>
      </c>
      <c r="G92" s="34" t="n">
        <f aca="false">IF($A92="","",物件マスタ!Q92)</f>
        <v>35.6</v>
      </c>
      <c r="H92" s="49" t="n">
        <f aca="false">IF($A92="","",物件マスタ!L92)</f>
        <v>0</v>
      </c>
      <c r="I92" s="49" t="n">
        <f aca="false">IF($A92="","",物件マスタ!M92)</f>
        <v>1719.51</v>
      </c>
      <c r="J92" s="43" t="n">
        <f aca="false">IF($A92="","",物件マスタ!S92)</f>
        <v>1592</v>
      </c>
      <c r="K92" s="43" t="n">
        <f aca="false">IF($A92="","",物件マスタ!U92)</f>
        <v>1970</v>
      </c>
      <c r="L92" s="50" t="n">
        <f aca="false">IF($A92="","",物件マスタ!W92)</f>
        <v>1</v>
      </c>
      <c r="M92" s="17" t="str">
        <f aca="false">IF($A92="","",IFERROR(INDEX(法人マスタ!$H:$H,MATCH($B92,法人マスタ!$A:$A,0)),""))</f>
        <v>2026年5月期（第41期）</v>
      </c>
      <c r="N92" s="51" t="n">
        <f aca="false">IF($A92="","",SUMIFS(物件収支!$D:$D,物件収支!$A:$A,$A92,物件収支!$C:$C,$M92))</f>
        <v>6</v>
      </c>
      <c r="O92" s="43" t="n">
        <f aca="false">IF($A92="","",SUMIFS(物件収支!$F:$F,物件収支!$A:$A,$A92,物件収支!$C:$C,$M92))</f>
        <v>55938</v>
      </c>
      <c r="P92" s="43" t="n">
        <f aca="false">IF($A92="","",SUMIFS(物件収支!$I:$I,物件収支!$A:$A,$A92,物件収支!$C:$C,$M92))</f>
        <v>0</v>
      </c>
      <c r="Q92" s="43" t="n">
        <f aca="false">IF($A92="","",SUMIFS(物件収支!$O:$O,物件収支!$A:$A,$A92,物件収支!$C:$C,$M92))</f>
        <v>0</v>
      </c>
      <c r="R92" s="43" t="str">
        <f aca="false">IF($A92="","",IF(P92=0,"",O92-P92))</f>
        <v/>
      </c>
      <c r="S92" s="43" t="str">
        <f aca="false">IF($A92="","",IF(R92="","",R92+Q92))</f>
        <v/>
      </c>
      <c r="T92" s="43" t="str">
        <f aca="false">IF($A92="","",IF(OR(S92="",N92&lt;=0),"",S92/1000*12/N92))</f>
        <v/>
      </c>
      <c r="U92" s="52" t="str">
        <f aca="false">IF($A92="","",IF(OR(T92="",J92=0,J92=""),"",T92/J92))</f>
        <v/>
      </c>
      <c r="V92" s="52" t="str">
        <f aca="false">IF($A92="","",IF(OR(R92="",N92&lt;=0,J92=0,J92=""),"",(R92/1000*12/N92)/J92))</f>
        <v/>
      </c>
      <c r="W92" s="52" t="str">
        <f aca="false">IF($A92="","",IF(OR(T92="",K92=0,K92=""),"",T92/K92))</f>
        <v/>
      </c>
      <c r="X92" s="43" t="n">
        <f aca="false">IF($A92="","",IF(OR(N92&lt;=0,I92=0,I92="",O92=0),"",O92*1000/(I92*0.3025)/N92))</f>
        <v>17923.6146988059</v>
      </c>
      <c r="Y92" s="50" t="str">
        <f aca="false">IF($A92="","",IF(OR(O92=0,O92="",P92=0),"",P92/O92))</f>
        <v/>
      </c>
      <c r="Z92" s="17" t="str">
        <f aca="false">IF($A92="","",IFERROR(INDEX(物件収支!$E:$E,MATCH($A92,物件収支!$A:$A,0)),""))</f>
        <v>一部開示（収益のみ）</v>
      </c>
    </row>
    <row r="93" customFormat="false" ht="15" hidden="false" customHeight="true" outlineLevel="0" collapsed="false">
      <c r="A93" s="17" t="str">
        <f aca="false">IF(物件マスタ!A93="","",物件マスタ!A93)</f>
        <v>DOI-38</v>
      </c>
      <c r="B93" s="17" t="str">
        <f aca="false">IF($A93="","",物件マスタ!B93)</f>
        <v>DOI</v>
      </c>
      <c r="C93" s="17" t="str">
        <f aca="false">IF($A93="","",IFERROR(INDEX(法人マスタ!$C:$C,MATCH($B93,法人マスタ!$A:$A,0)),""))</f>
        <v>大和証券オフィス投資法人</v>
      </c>
      <c r="D93" s="17" t="str">
        <f aca="false">IF($A93="","",物件マスタ!C93)</f>
        <v>Ｄａｉｗａ神田イーストビル</v>
      </c>
      <c r="E93" s="17" t="str">
        <f aca="false">IF($A93="","",物件マスタ!H93)</f>
        <v>都心5区</v>
      </c>
      <c r="F93" s="48" t="n">
        <f aca="false">IF($A93="","",物件マスタ!P93)</f>
        <v>38384</v>
      </c>
      <c r="G93" s="34" t="n">
        <f aca="false">IF($A93="","",物件マスタ!Q93)</f>
        <v>21.5</v>
      </c>
      <c r="H93" s="49" t="n">
        <f aca="false">IF($A93="","",物件マスタ!L93)</f>
        <v>0</v>
      </c>
      <c r="I93" s="49" t="n">
        <f aca="false">IF($A93="","",物件マスタ!M93)</f>
        <v>3980.56</v>
      </c>
      <c r="J93" s="43" t="n">
        <f aca="false">IF($A93="","",物件マスタ!S93)</f>
        <v>4200</v>
      </c>
      <c r="K93" s="43" t="n">
        <f aca="false">IF($A93="","",物件マスタ!U93)</f>
        <v>6010</v>
      </c>
      <c r="L93" s="50" t="n">
        <f aca="false">IF($A93="","",物件マスタ!W93)</f>
        <v>1</v>
      </c>
      <c r="M93" s="17" t="str">
        <f aca="false">IF($A93="","",IFERROR(INDEX(法人マスタ!$H:$H,MATCH($B93,法人マスタ!$A:$A,0)),""))</f>
        <v>2026年5月期（第41期）</v>
      </c>
      <c r="N93" s="51" t="n">
        <f aca="false">IF($A93="","",SUMIFS(物件収支!$D:$D,物件収支!$A:$A,$A93,物件収支!$C:$C,$M93))</f>
        <v>6</v>
      </c>
      <c r="O93" s="43" t="n">
        <f aca="false">IF($A93="","",SUMIFS(物件収支!$F:$F,物件収支!$A:$A,$A93,物件収支!$C:$C,$M93))</f>
        <v>148105</v>
      </c>
      <c r="P93" s="43" t="n">
        <f aca="false">IF($A93="","",SUMIFS(物件収支!$I:$I,物件収支!$A:$A,$A93,物件収支!$C:$C,$M93))</f>
        <v>0</v>
      </c>
      <c r="Q93" s="43" t="n">
        <f aca="false">IF($A93="","",SUMIFS(物件収支!$O:$O,物件収支!$A:$A,$A93,物件収支!$C:$C,$M93))</f>
        <v>0</v>
      </c>
      <c r="R93" s="43" t="str">
        <f aca="false">IF($A93="","",IF(P93=0,"",O93-P93))</f>
        <v/>
      </c>
      <c r="S93" s="43" t="str">
        <f aca="false">IF($A93="","",IF(R93="","",R93+Q93))</f>
        <v/>
      </c>
      <c r="T93" s="43" t="str">
        <f aca="false">IF($A93="","",IF(OR(S93="",N93&lt;=0),"",S93/1000*12/N93))</f>
        <v/>
      </c>
      <c r="U93" s="52" t="str">
        <f aca="false">IF($A93="","",IF(OR(T93="",J93=0,J93=""),"",T93/J93))</f>
        <v/>
      </c>
      <c r="V93" s="52" t="str">
        <f aca="false">IF($A93="","",IF(OR(R93="",N93&lt;=0,J93=0,J93=""),"",(R93/1000*12/N93)/J93))</f>
        <v/>
      </c>
      <c r="W93" s="52" t="str">
        <f aca="false">IF($A93="","",IF(OR(T93="",K93=0,K93=""),"",T93/K93))</f>
        <v/>
      </c>
      <c r="X93" s="43" t="n">
        <f aca="false">IF($A93="","",IF(OR(N93&lt;=0,I93=0,I93="",O93=0),"",O93*1000/(I93*0.3025)/N93))</f>
        <v>20499.7666067557</v>
      </c>
      <c r="Y93" s="50" t="str">
        <f aca="false">IF($A93="","",IF(OR(O93=0,O93="",P93=0),"",P93/O93))</f>
        <v/>
      </c>
      <c r="Z93" s="17" t="str">
        <f aca="false">IF($A93="","",IFERROR(INDEX(物件収支!$E:$E,MATCH($A93,物件収支!$A:$A,0)),""))</f>
        <v>一部開示（収益のみ）</v>
      </c>
    </row>
    <row r="94" customFormat="false" ht="15" hidden="false" customHeight="true" outlineLevel="0" collapsed="false">
      <c r="A94" s="17" t="str">
        <f aca="false">IF(物件マスタ!A94="","",物件マスタ!A94)</f>
        <v>DOI-39</v>
      </c>
      <c r="B94" s="17" t="str">
        <f aca="false">IF($A94="","",物件マスタ!B94)</f>
        <v>DOI</v>
      </c>
      <c r="C94" s="17" t="str">
        <f aca="false">IF($A94="","",IFERROR(INDEX(法人マスタ!$C:$C,MATCH($B94,法人マスタ!$A:$A,0)),""))</f>
        <v>大和証券オフィス投資法人</v>
      </c>
      <c r="D94" s="17" t="str">
        <f aca="false">IF($A94="","",物件マスタ!C94)</f>
        <v>Ｄａｉｗａ神田須田町ビル</v>
      </c>
      <c r="E94" s="17" t="str">
        <f aca="false">IF($A94="","",物件マスタ!H94)</f>
        <v>都心5区</v>
      </c>
      <c r="F94" s="48" t="n">
        <f aca="false">IF($A94="","",物件マスタ!P94)</f>
        <v>33086</v>
      </c>
      <c r="G94" s="34" t="n">
        <f aca="false">IF($A94="","",物件マスタ!Q94)</f>
        <v>36</v>
      </c>
      <c r="H94" s="49" t="n">
        <f aca="false">IF($A94="","",物件マスタ!L94)</f>
        <v>0</v>
      </c>
      <c r="I94" s="49" t="n">
        <f aca="false">IF($A94="","",物件マスタ!M94)</f>
        <v>2211.59</v>
      </c>
      <c r="J94" s="43" t="n">
        <f aca="false">IF($A94="","",物件マスタ!S94)</f>
        <v>2295</v>
      </c>
      <c r="K94" s="43" t="n">
        <f aca="false">IF($A94="","",物件マスタ!U94)</f>
        <v>3220</v>
      </c>
      <c r="L94" s="50" t="n">
        <f aca="false">IF($A94="","",物件マスタ!W94)</f>
        <v>1</v>
      </c>
      <c r="M94" s="17" t="str">
        <f aca="false">IF($A94="","",IFERROR(INDEX(法人マスタ!$H:$H,MATCH($B94,法人マスタ!$A:$A,0)),""))</f>
        <v>2026年5月期（第41期）</v>
      </c>
      <c r="N94" s="51" t="n">
        <f aca="false">IF($A94="","",SUMIFS(物件収支!$D:$D,物件収支!$A:$A,$A94,物件収支!$C:$C,$M94))</f>
        <v>6</v>
      </c>
      <c r="O94" s="43" t="n">
        <f aca="false">IF($A94="","",SUMIFS(物件収支!$F:$F,物件収支!$A:$A,$A94,物件収支!$C:$C,$M94))</f>
        <v>81645</v>
      </c>
      <c r="P94" s="43" t="n">
        <f aca="false">IF($A94="","",SUMIFS(物件収支!$I:$I,物件収支!$A:$A,$A94,物件収支!$C:$C,$M94))</f>
        <v>0</v>
      </c>
      <c r="Q94" s="43" t="n">
        <f aca="false">IF($A94="","",SUMIFS(物件収支!$O:$O,物件収支!$A:$A,$A94,物件収支!$C:$C,$M94))</f>
        <v>0</v>
      </c>
      <c r="R94" s="43" t="str">
        <f aca="false">IF($A94="","",IF(P94=0,"",O94-P94))</f>
        <v/>
      </c>
      <c r="S94" s="43" t="str">
        <f aca="false">IF($A94="","",IF(R94="","",R94+Q94))</f>
        <v/>
      </c>
      <c r="T94" s="43" t="str">
        <f aca="false">IF($A94="","",IF(OR(S94="",N94&lt;=0),"",S94/1000*12/N94))</f>
        <v/>
      </c>
      <c r="U94" s="52" t="str">
        <f aca="false">IF($A94="","",IF(OR(T94="",J94=0,J94=""),"",T94/J94))</f>
        <v/>
      </c>
      <c r="V94" s="52" t="str">
        <f aca="false">IF($A94="","",IF(OR(R94="",N94&lt;=0,J94=0,J94=""),"",(R94/1000*12/N94)/J94))</f>
        <v/>
      </c>
      <c r="W94" s="52" t="str">
        <f aca="false">IF($A94="","",IF(OR(T94="",K94=0,K94=""),"",T94/K94))</f>
        <v/>
      </c>
      <c r="X94" s="43" t="n">
        <f aca="false">IF($A94="","",IF(OR(N94&lt;=0,I94=0,I94="",O94=0),"",O94*1000/(I94*0.3025)/N94))</f>
        <v>20339.8781303859</v>
      </c>
      <c r="Y94" s="50" t="str">
        <f aca="false">IF($A94="","",IF(OR(O94=0,O94="",P94=0),"",P94/O94))</f>
        <v/>
      </c>
      <c r="Z94" s="17" t="str">
        <f aca="false">IF($A94="","",IFERROR(INDEX(物件収支!$E:$E,MATCH($A94,物件収支!$A:$A,0)),""))</f>
        <v>一部開示（収益のみ）</v>
      </c>
    </row>
    <row r="95" customFormat="false" ht="15" hidden="false" customHeight="true" outlineLevel="0" collapsed="false">
      <c r="A95" s="17" t="str">
        <f aca="false">IF(物件マスタ!A95="","",物件マスタ!A95)</f>
        <v>DOI-40</v>
      </c>
      <c r="B95" s="17" t="str">
        <f aca="false">IF($A95="","",物件マスタ!B95)</f>
        <v>DOI</v>
      </c>
      <c r="C95" s="17" t="str">
        <f aca="false">IF($A95="","",IFERROR(INDEX(法人マスタ!$C:$C,MATCH($B95,法人マスタ!$A:$A,0)),""))</f>
        <v>大和証券オフィス投資法人</v>
      </c>
      <c r="D95" s="17" t="str">
        <f aca="false">IF($A95="","",物件マスタ!C95)</f>
        <v>Ｄａｉｗａ笹塚タワー</v>
      </c>
      <c r="E95" s="17" t="str">
        <f aca="false">IF($A95="","",物件マスタ!H95)</f>
        <v>都心5区</v>
      </c>
      <c r="F95" s="48" t="n">
        <f aca="false">IF($A95="","",物件マスタ!P95)</f>
        <v>34001</v>
      </c>
      <c r="G95" s="34" t="n">
        <f aca="false">IF($A95="","",物件マスタ!Q95)</f>
        <v>33.5</v>
      </c>
      <c r="H95" s="49" t="n">
        <f aca="false">IF($A95="","",物件マスタ!L95)</f>
        <v>0</v>
      </c>
      <c r="I95" s="49" t="n">
        <f aca="false">IF($A95="","",物件マスタ!M95)</f>
        <v>16151.52</v>
      </c>
      <c r="J95" s="43" t="n">
        <f aca="false">IF($A95="","",物件マスタ!S95)</f>
        <v>15500</v>
      </c>
      <c r="K95" s="43" t="n">
        <f aca="false">IF($A95="","",物件マスタ!U95)</f>
        <v>15300</v>
      </c>
      <c r="L95" s="50" t="n">
        <f aca="false">IF($A95="","",物件マスタ!W95)</f>
        <v>1</v>
      </c>
      <c r="M95" s="17" t="str">
        <f aca="false">IF($A95="","",IFERROR(INDEX(法人マスタ!$H:$H,MATCH($B95,法人マスタ!$A:$A,0)),""))</f>
        <v>2026年5月期（第41期）</v>
      </c>
      <c r="N95" s="51" t="n">
        <f aca="false">IF($A95="","",SUMIFS(物件収支!$D:$D,物件収支!$A:$A,$A95,物件収支!$C:$C,$M95))</f>
        <v>6</v>
      </c>
      <c r="O95" s="43" t="n">
        <f aca="false">IF($A95="","",SUMIFS(物件収支!$F:$F,物件収支!$A:$A,$A95,物件収支!$C:$C,$M95))</f>
        <v>539688</v>
      </c>
      <c r="P95" s="43" t="n">
        <f aca="false">IF($A95="","",SUMIFS(物件収支!$I:$I,物件収支!$A:$A,$A95,物件収支!$C:$C,$M95))</f>
        <v>0</v>
      </c>
      <c r="Q95" s="43" t="n">
        <f aca="false">IF($A95="","",SUMIFS(物件収支!$O:$O,物件収支!$A:$A,$A95,物件収支!$C:$C,$M95))</f>
        <v>0</v>
      </c>
      <c r="R95" s="43" t="str">
        <f aca="false">IF($A95="","",IF(P95=0,"",O95-P95))</f>
        <v/>
      </c>
      <c r="S95" s="43" t="str">
        <f aca="false">IF($A95="","",IF(R95="","",R95+Q95))</f>
        <v/>
      </c>
      <c r="T95" s="43" t="str">
        <f aca="false">IF($A95="","",IF(OR(S95="",N95&lt;=0),"",S95/1000*12/N95))</f>
        <v/>
      </c>
      <c r="U95" s="52" t="str">
        <f aca="false">IF($A95="","",IF(OR(T95="",J95=0,J95=""),"",T95/J95))</f>
        <v/>
      </c>
      <c r="V95" s="52" t="str">
        <f aca="false">IF($A95="","",IF(OR(R95="",N95&lt;=0,J95=0,J95=""),"",(R95/1000*12/N95)/J95))</f>
        <v/>
      </c>
      <c r="W95" s="52" t="str">
        <f aca="false">IF($A95="","",IF(OR(T95="",K95=0,K95=""),"",T95/K95))</f>
        <v/>
      </c>
      <c r="X95" s="43" t="n">
        <f aca="false">IF($A95="","",IF(OR(N95&lt;=0,I95=0,I95="",O95=0),"",O95*1000/(I95*0.3025)/N95))</f>
        <v>18409.9552444958</v>
      </c>
      <c r="Y95" s="50" t="str">
        <f aca="false">IF($A95="","",IF(OR(O95=0,O95="",P95=0),"",P95/O95))</f>
        <v/>
      </c>
      <c r="Z95" s="17" t="str">
        <f aca="false">IF($A95="","",IFERROR(INDEX(物件収支!$E:$E,MATCH($A95,物件収支!$A:$A,0)),""))</f>
        <v>一部開示（収益のみ）</v>
      </c>
    </row>
    <row r="96" customFormat="false" ht="15" hidden="false" customHeight="true" outlineLevel="0" collapsed="false">
      <c r="A96" s="17" t="str">
        <f aca="false">IF(物件マスタ!A96="","",物件マスタ!A96)</f>
        <v>DOI-41</v>
      </c>
      <c r="B96" s="17" t="str">
        <f aca="false">IF($A96="","",物件マスタ!B96)</f>
        <v>DOI</v>
      </c>
      <c r="C96" s="17" t="str">
        <f aca="false">IF($A96="","",IFERROR(INDEX(法人マスタ!$C:$C,MATCH($B96,法人マスタ!$A:$A,0)),""))</f>
        <v>大和証券オフィス投資法人</v>
      </c>
      <c r="D96" s="17" t="str">
        <f aca="false">IF($A96="","",物件マスタ!C96)</f>
        <v>Ｄａｉｗａ笹塚ビル</v>
      </c>
      <c r="E96" s="17" t="str">
        <f aca="false">IF($A96="","",物件マスタ!H96)</f>
        <v>都心5区</v>
      </c>
      <c r="F96" s="48" t="n">
        <f aca="false">IF($A96="","",物件マスタ!P96)</f>
        <v>33573</v>
      </c>
      <c r="G96" s="34" t="n">
        <f aca="false">IF($A96="","",物件マスタ!Q96)</f>
        <v>34.7</v>
      </c>
      <c r="H96" s="49" t="n">
        <f aca="false">IF($A96="","",物件マスタ!L96)</f>
        <v>0</v>
      </c>
      <c r="I96" s="49" t="n">
        <f aca="false">IF($A96="","",物件マスタ!M96)</f>
        <v>3829.4</v>
      </c>
      <c r="J96" s="43" t="n">
        <f aca="false">IF($A96="","",物件マスタ!S96)</f>
        <v>3000</v>
      </c>
      <c r="K96" s="43" t="n">
        <f aca="false">IF($A96="","",物件マスタ!U96)</f>
        <v>3540</v>
      </c>
      <c r="L96" s="50" t="n">
        <f aca="false">IF($A96="","",物件マスタ!W96)</f>
        <v>1</v>
      </c>
      <c r="M96" s="17" t="str">
        <f aca="false">IF($A96="","",IFERROR(INDEX(法人マスタ!$H:$H,MATCH($B96,法人マスタ!$A:$A,0)),""))</f>
        <v>2026年5月期（第41期）</v>
      </c>
      <c r="N96" s="51" t="n">
        <f aca="false">IF($A96="","",SUMIFS(物件収支!$D:$D,物件収支!$A:$A,$A96,物件収支!$C:$C,$M96))</f>
        <v>6</v>
      </c>
      <c r="O96" s="43" t="n">
        <f aca="false">IF($A96="","",SUMIFS(物件収支!$F:$F,物件収支!$A:$A,$A96,物件収支!$C:$C,$M96))</f>
        <v>105623</v>
      </c>
      <c r="P96" s="43" t="n">
        <f aca="false">IF($A96="","",SUMIFS(物件収支!$I:$I,物件収支!$A:$A,$A96,物件収支!$C:$C,$M96))</f>
        <v>0</v>
      </c>
      <c r="Q96" s="43" t="n">
        <f aca="false">IF($A96="","",SUMIFS(物件収支!$O:$O,物件収支!$A:$A,$A96,物件収支!$C:$C,$M96))</f>
        <v>0</v>
      </c>
      <c r="R96" s="43" t="str">
        <f aca="false">IF($A96="","",IF(P96=0,"",O96-P96))</f>
        <v/>
      </c>
      <c r="S96" s="43" t="str">
        <f aca="false">IF($A96="","",IF(R96="","",R96+Q96))</f>
        <v/>
      </c>
      <c r="T96" s="43" t="str">
        <f aca="false">IF($A96="","",IF(OR(S96="",N96&lt;=0),"",S96/1000*12/N96))</f>
        <v/>
      </c>
      <c r="U96" s="52" t="str">
        <f aca="false">IF($A96="","",IF(OR(T96="",J96=0,J96=""),"",T96/J96))</f>
        <v/>
      </c>
      <c r="V96" s="52" t="str">
        <f aca="false">IF($A96="","",IF(OR(R96="",N96&lt;=0,J96=0,J96=""),"",(R96/1000*12/N96)/J96))</f>
        <v/>
      </c>
      <c r="W96" s="52" t="str">
        <f aca="false">IF($A96="","",IF(OR(T96="",K96=0,K96=""),"",T96/K96))</f>
        <v/>
      </c>
      <c r="X96" s="43" t="n">
        <f aca="false">IF($A96="","",IF(OR(N96&lt;=0,I96=0,I96="",O96=0),"",O96*1000/(I96*0.3025)/N96))</f>
        <v>15196.7645997093</v>
      </c>
      <c r="Y96" s="50" t="str">
        <f aca="false">IF($A96="","",IF(OR(O96=0,O96="",P96=0),"",P96/O96))</f>
        <v/>
      </c>
      <c r="Z96" s="17" t="str">
        <f aca="false">IF($A96="","",IFERROR(INDEX(物件収支!$E:$E,MATCH($A96,物件収支!$A:$A,0)),""))</f>
        <v>一部開示（収益のみ）</v>
      </c>
    </row>
    <row r="97" customFormat="false" ht="15" hidden="false" customHeight="true" outlineLevel="0" collapsed="false">
      <c r="A97" s="17" t="str">
        <f aca="false">IF(物件マスタ!A97="","",物件マスタ!A97)</f>
        <v>DOI-42</v>
      </c>
      <c r="B97" s="17" t="str">
        <f aca="false">IF($A97="","",物件マスタ!B97)</f>
        <v>DOI</v>
      </c>
      <c r="C97" s="17" t="str">
        <f aca="false">IF($A97="","",IFERROR(INDEX(法人マスタ!$C:$C,MATCH($B97,法人マスタ!$A:$A,0)),""))</f>
        <v>大和証券オフィス投資法人</v>
      </c>
      <c r="D97" s="17" t="str">
        <f aca="false">IF($A97="","",物件マスタ!C97)</f>
        <v>Ｄａｉｗａ晴海ビル</v>
      </c>
      <c r="E97" s="17" t="str">
        <f aca="false">IF($A97="","",物件マスタ!H97)</f>
        <v>都心5区</v>
      </c>
      <c r="F97" s="48" t="n">
        <f aca="false">IF($A97="","",物件マスタ!P97)</f>
        <v>39448</v>
      </c>
      <c r="G97" s="34" t="n">
        <f aca="false">IF($A97="","",物件マスタ!Q97)</f>
        <v>18.6</v>
      </c>
      <c r="H97" s="49" t="n">
        <f aca="false">IF($A97="","",物件マスタ!L97)</f>
        <v>0</v>
      </c>
      <c r="I97" s="49" t="n">
        <f aca="false">IF($A97="","",物件マスタ!M97)</f>
        <v>11227.13</v>
      </c>
      <c r="J97" s="43" t="n">
        <f aca="false">IF($A97="","",物件マスタ!S97)</f>
        <v>11200</v>
      </c>
      <c r="K97" s="43" t="n">
        <f aca="false">IF($A97="","",物件マスタ!U97)</f>
        <v>12000</v>
      </c>
      <c r="L97" s="50" t="n">
        <f aca="false">IF($A97="","",物件マスタ!W97)</f>
        <v>1</v>
      </c>
      <c r="M97" s="17" t="str">
        <f aca="false">IF($A97="","",IFERROR(INDEX(法人マスタ!$H:$H,MATCH($B97,法人マスタ!$A:$A,0)),""))</f>
        <v>2026年5月期（第41期）</v>
      </c>
      <c r="N97" s="51" t="n">
        <f aca="false">IF($A97="","",SUMIFS(物件収支!$D:$D,物件収支!$A:$A,$A97,物件収支!$C:$C,$M97))</f>
        <v>6</v>
      </c>
      <c r="O97" s="43" t="n">
        <f aca="false">IF($A97="","",SUMIFS(物件収支!$F:$F,物件収支!$A:$A,$A97,物件収支!$C:$C,$M97))</f>
        <v>349235</v>
      </c>
      <c r="P97" s="43" t="n">
        <f aca="false">IF($A97="","",SUMIFS(物件収支!$I:$I,物件収支!$A:$A,$A97,物件収支!$C:$C,$M97))</f>
        <v>0</v>
      </c>
      <c r="Q97" s="43" t="n">
        <f aca="false">IF($A97="","",SUMIFS(物件収支!$O:$O,物件収支!$A:$A,$A97,物件収支!$C:$C,$M97))</f>
        <v>0</v>
      </c>
      <c r="R97" s="43" t="str">
        <f aca="false">IF($A97="","",IF(P97=0,"",O97-P97))</f>
        <v/>
      </c>
      <c r="S97" s="43" t="str">
        <f aca="false">IF($A97="","",IF(R97="","",R97+Q97))</f>
        <v/>
      </c>
      <c r="T97" s="43" t="str">
        <f aca="false">IF($A97="","",IF(OR(S97="",N97&lt;=0),"",S97/1000*12/N97))</f>
        <v/>
      </c>
      <c r="U97" s="52" t="str">
        <f aca="false">IF($A97="","",IF(OR(T97="",J97=0,J97=""),"",T97/J97))</f>
        <v/>
      </c>
      <c r="V97" s="52" t="str">
        <f aca="false">IF($A97="","",IF(OR(R97="",N97&lt;=0,J97=0,J97=""),"",(R97/1000*12/N97)/J97))</f>
        <v/>
      </c>
      <c r="W97" s="52" t="str">
        <f aca="false">IF($A97="","",IF(OR(T97="",K97=0,K97=""),"",T97/K97))</f>
        <v/>
      </c>
      <c r="X97" s="43" t="n">
        <f aca="false">IF($A97="","",IF(OR(N97&lt;=0,I97=0,I97="",O97=0),"",O97*1000/(I97*0.3025)/N97))</f>
        <v>17138.4831173624</v>
      </c>
      <c r="Y97" s="50" t="str">
        <f aca="false">IF($A97="","",IF(OR(O97=0,O97="",P97=0),"",P97/O97))</f>
        <v/>
      </c>
      <c r="Z97" s="17" t="str">
        <f aca="false">IF($A97="","",IFERROR(INDEX(物件収支!$E:$E,MATCH($A97,物件収支!$A:$A,0)),""))</f>
        <v>一部開示（収益のみ）</v>
      </c>
    </row>
    <row r="98" customFormat="false" ht="15" hidden="false" customHeight="true" outlineLevel="0" collapsed="false">
      <c r="A98" s="17" t="str">
        <f aca="false">IF(物件マスタ!A98="","",物件マスタ!A98)</f>
        <v>DOI-43</v>
      </c>
      <c r="B98" s="17" t="str">
        <f aca="false">IF($A98="","",物件マスタ!B98)</f>
        <v>DOI</v>
      </c>
      <c r="C98" s="17" t="str">
        <f aca="false">IF($A98="","",IFERROR(INDEX(法人マスタ!$C:$C,MATCH($B98,法人マスタ!$A:$A,0)),""))</f>
        <v>大和証券オフィス投資法人</v>
      </c>
      <c r="D98" s="17" t="str">
        <f aca="false">IF($A98="","",物件マスタ!C98)</f>
        <v>Ｄａｉｗａ三田２丁目ビル</v>
      </c>
      <c r="E98" s="17" t="str">
        <f aca="false">IF($A98="","",物件マスタ!H98)</f>
        <v>都心5区</v>
      </c>
      <c r="F98" s="48" t="n">
        <f aca="false">IF($A98="","",物件マスタ!P98)</f>
        <v>42795</v>
      </c>
      <c r="G98" s="34" t="n">
        <f aca="false">IF($A98="","",物件マスタ!Q98)</f>
        <v>9.4</v>
      </c>
      <c r="H98" s="49" t="n">
        <f aca="false">IF($A98="","",物件マスタ!L98)</f>
        <v>0</v>
      </c>
      <c r="I98" s="49" t="n">
        <f aca="false">IF($A98="","",物件マスタ!M98)</f>
        <v>2101.61</v>
      </c>
      <c r="J98" s="43" t="n">
        <f aca="false">IF($A98="","",物件マスタ!S98)</f>
        <v>2635</v>
      </c>
      <c r="K98" s="43" t="n">
        <f aca="false">IF($A98="","",物件マスタ!U98)</f>
        <v>4270</v>
      </c>
      <c r="L98" s="50" t="n">
        <f aca="false">IF($A98="","",物件マスタ!W98)</f>
        <v>1</v>
      </c>
      <c r="M98" s="17" t="str">
        <f aca="false">IF($A98="","",IFERROR(INDEX(法人マスタ!$H:$H,MATCH($B98,法人マスタ!$A:$A,0)),""))</f>
        <v>2026年5月期（第41期）</v>
      </c>
      <c r="N98" s="51" t="n">
        <f aca="false">IF($A98="","",SUMIFS(物件収支!$D:$D,物件収支!$A:$A,$A98,物件収支!$C:$C,$M98))</f>
        <v>6</v>
      </c>
      <c r="O98" s="43" t="n">
        <f aca="false">IF($A98="","",SUMIFS(物件収支!$F:$F,物件収支!$A:$A,$A98,物件収支!$C:$C,$M98))</f>
        <v>0</v>
      </c>
      <c r="P98" s="43" t="n">
        <f aca="false">IF($A98="","",SUMIFS(物件収支!$I:$I,物件収支!$A:$A,$A98,物件収支!$C:$C,$M98))</f>
        <v>0</v>
      </c>
      <c r="Q98" s="43" t="n">
        <f aca="false">IF($A98="","",SUMIFS(物件収支!$O:$O,物件収支!$A:$A,$A98,物件収支!$C:$C,$M98))</f>
        <v>0</v>
      </c>
      <c r="R98" s="43" t="str">
        <f aca="false">IF($A98="","",IF(P98=0,"",O98-P98))</f>
        <v/>
      </c>
      <c r="S98" s="43" t="str">
        <f aca="false">IF($A98="","",IF(R98="","",R98+Q98))</f>
        <v/>
      </c>
      <c r="T98" s="43" t="str">
        <f aca="false">IF($A98="","",IF(OR(S98="",N98&lt;=0),"",S98/1000*12/N98))</f>
        <v/>
      </c>
      <c r="U98" s="52" t="str">
        <f aca="false">IF($A98="","",IF(OR(T98="",J98=0,J98=""),"",T98/J98))</f>
        <v/>
      </c>
      <c r="V98" s="52" t="str">
        <f aca="false">IF($A98="","",IF(OR(R98="",N98&lt;=0,J98=0,J98=""),"",(R98/1000*12/N98)/J98))</f>
        <v/>
      </c>
      <c r="W98" s="52" t="str">
        <f aca="false">IF($A98="","",IF(OR(T98="",K98=0,K98=""),"",T98/K98))</f>
        <v/>
      </c>
      <c r="X98" s="43" t="str">
        <f aca="false">IF($A98="","",IF(OR(N98&lt;=0,I98=0,I98="",O98=0),"",O98*1000/(I98*0.3025)/N98))</f>
        <v/>
      </c>
      <c r="Y98" s="50" t="str">
        <f aca="false">IF($A98="","",IF(OR(O98=0,O98="",P98=0),"",P98/O98))</f>
        <v/>
      </c>
      <c r="Z98" s="17" t="str">
        <f aca="false">IF($A98="","",IFERROR(INDEX(物件収支!$E:$E,MATCH($A98,物件収支!$A:$A,0)),""))</f>
        <v>非開示（テナント同意なし）</v>
      </c>
    </row>
    <row r="99" customFormat="false" ht="15" hidden="false" customHeight="true" outlineLevel="0" collapsed="false">
      <c r="A99" s="17" t="str">
        <f aca="false">IF(物件マスタ!A99="","",物件マスタ!A99)</f>
        <v>DOI-44</v>
      </c>
      <c r="B99" s="17" t="str">
        <f aca="false">IF($A99="","",物件マスタ!B99)</f>
        <v>DOI</v>
      </c>
      <c r="C99" s="17" t="str">
        <f aca="false">IF($A99="","",IFERROR(INDEX(法人マスタ!$C:$C,MATCH($B99,法人マスタ!$A:$A,0)),""))</f>
        <v>大和証券オフィス投資法人</v>
      </c>
      <c r="D99" s="17" t="str">
        <f aca="false">IF($A99="","",物件マスタ!C99)</f>
        <v>日本橋セントラルスクエア</v>
      </c>
      <c r="E99" s="17" t="str">
        <f aca="false">IF($A99="","",物件マスタ!H99)</f>
        <v>都心5区</v>
      </c>
      <c r="F99" s="48" t="n">
        <f aca="false">IF($A99="","",物件マスタ!P99)</f>
        <v>40179</v>
      </c>
      <c r="G99" s="34" t="n">
        <f aca="false">IF($A99="","",物件マスタ!Q99)</f>
        <v>16.6</v>
      </c>
      <c r="H99" s="49" t="n">
        <f aca="false">IF($A99="","",物件マスタ!L99)</f>
        <v>0</v>
      </c>
      <c r="I99" s="49" t="n">
        <f aca="false">IF($A99="","",物件マスタ!M99)</f>
        <v>1837.05</v>
      </c>
      <c r="J99" s="43" t="n">
        <f aca="false">IF($A99="","",物件マスタ!S99)</f>
        <v>3521</v>
      </c>
      <c r="K99" s="43" t="n">
        <f aca="false">IF($A99="","",物件マスタ!U99)</f>
        <v>3990</v>
      </c>
      <c r="L99" s="50" t="n">
        <f aca="false">IF($A99="","",物件マスタ!W99)</f>
        <v>1</v>
      </c>
      <c r="M99" s="17" t="str">
        <f aca="false">IF($A99="","",IFERROR(INDEX(法人マスタ!$H:$H,MATCH($B99,法人マスタ!$A:$A,0)),""))</f>
        <v>2026年5月期（第41期）</v>
      </c>
      <c r="N99" s="51" t="n">
        <f aca="false">IF($A99="","",SUMIFS(物件収支!$D:$D,物件収支!$A:$A,$A99,物件収支!$C:$C,$M99))</f>
        <v>6</v>
      </c>
      <c r="O99" s="43" t="n">
        <f aca="false">IF($A99="","",SUMIFS(物件収支!$F:$F,物件収支!$A:$A,$A99,物件収支!$C:$C,$M99))</f>
        <v>91289</v>
      </c>
      <c r="P99" s="43" t="n">
        <f aca="false">IF($A99="","",SUMIFS(物件収支!$I:$I,物件収支!$A:$A,$A99,物件収支!$C:$C,$M99))</f>
        <v>0</v>
      </c>
      <c r="Q99" s="43" t="n">
        <f aca="false">IF($A99="","",SUMIFS(物件収支!$O:$O,物件収支!$A:$A,$A99,物件収支!$C:$C,$M99))</f>
        <v>0</v>
      </c>
      <c r="R99" s="43" t="str">
        <f aca="false">IF($A99="","",IF(P99=0,"",O99-P99))</f>
        <v/>
      </c>
      <c r="S99" s="43" t="str">
        <f aca="false">IF($A99="","",IF(R99="","",R99+Q99))</f>
        <v/>
      </c>
      <c r="T99" s="43" t="str">
        <f aca="false">IF($A99="","",IF(OR(S99="",N99&lt;=0),"",S99/1000*12/N99))</f>
        <v/>
      </c>
      <c r="U99" s="52" t="str">
        <f aca="false">IF($A99="","",IF(OR(T99="",J99=0,J99=""),"",T99/J99))</f>
        <v/>
      </c>
      <c r="V99" s="52" t="str">
        <f aca="false">IF($A99="","",IF(OR(R99="",N99&lt;=0,J99=0,J99=""),"",(R99/1000*12/N99)/J99))</f>
        <v/>
      </c>
      <c r="W99" s="52" t="str">
        <f aca="false">IF($A99="","",IF(OR(T99="",K99=0,K99=""),"",T99/K99))</f>
        <v/>
      </c>
      <c r="X99" s="43" t="n">
        <f aca="false">IF($A99="","",IF(OR(N99&lt;=0,I99=0,I99="",O99=0),"",O99*1000/(I99*0.3025)/N99))</f>
        <v>27379.2056269398</v>
      </c>
      <c r="Y99" s="50" t="str">
        <f aca="false">IF($A99="","",IF(OR(O99=0,O99="",P99=0),"",P99/O99))</f>
        <v/>
      </c>
      <c r="Z99" s="17" t="str">
        <f aca="false">IF($A99="","",IFERROR(INDEX(物件収支!$E:$E,MATCH($A99,物件収支!$A:$A,0)),""))</f>
        <v>一部開示（収益のみ）</v>
      </c>
    </row>
    <row r="100" customFormat="false" ht="15" hidden="false" customHeight="true" outlineLevel="0" collapsed="false">
      <c r="A100" s="17" t="str">
        <f aca="false">IF(物件マスタ!A100="","",物件マスタ!A100)</f>
        <v>DOI-45</v>
      </c>
      <c r="B100" s="17" t="str">
        <f aca="false">IF($A100="","",物件マスタ!B100)</f>
        <v>DOI</v>
      </c>
      <c r="C100" s="17" t="str">
        <f aca="false">IF($A100="","",IFERROR(INDEX(法人マスタ!$C:$C,MATCH($B100,法人マスタ!$A:$A,0)),""))</f>
        <v>大和証券オフィス投資法人</v>
      </c>
      <c r="D100" s="17" t="str">
        <f aca="false">IF($A100="","",物件マスタ!C100)</f>
        <v>Ｄａｉｗａ日本橋馬喰町ビル</v>
      </c>
      <c r="E100" s="17" t="str">
        <f aca="false">IF($A100="","",物件マスタ!H100)</f>
        <v>都心5区</v>
      </c>
      <c r="F100" s="48" t="n">
        <f aca="false">IF($A100="","",物件マスタ!P100)</f>
        <v>44866</v>
      </c>
      <c r="G100" s="34" t="n">
        <f aca="false">IF($A100="","",物件マスタ!Q100)</f>
        <v>3.8</v>
      </c>
      <c r="H100" s="49" t="n">
        <f aca="false">IF($A100="","",物件マスタ!L100)</f>
        <v>0</v>
      </c>
      <c r="I100" s="49" t="n">
        <f aca="false">IF($A100="","",物件マスタ!M100)</f>
        <v>3677.63</v>
      </c>
      <c r="J100" s="43" t="n">
        <f aca="false">IF($A100="","",物件マスタ!S100)</f>
        <v>5733</v>
      </c>
      <c r="K100" s="43" t="n">
        <f aca="false">IF($A100="","",物件マスタ!U100)</f>
        <v>7040</v>
      </c>
      <c r="L100" s="50" t="n">
        <f aca="false">IF($A100="","",物件マスタ!W100)</f>
        <v>1</v>
      </c>
      <c r="M100" s="17" t="str">
        <f aca="false">IF($A100="","",IFERROR(INDEX(法人マスタ!$H:$H,MATCH($B100,法人マスタ!$A:$A,0)),""))</f>
        <v>2026年5月期（第41期）</v>
      </c>
      <c r="N100" s="51" t="n">
        <f aca="false">IF($A100="","",SUMIFS(物件収支!$D:$D,物件収支!$A:$A,$A100,物件収支!$C:$C,$M100))</f>
        <v>6</v>
      </c>
      <c r="O100" s="43" t="n">
        <f aca="false">IF($A100="","",SUMIFS(物件収支!$F:$F,物件収支!$A:$A,$A100,物件収支!$C:$C,$M100))</f>
        <v>165636</v>
      </c>
      <c r="P100" s="43" t="n">
        <f aca="false">IF($A100="","",SUMIFS(物件収支!$I:$I,物件収支!$A:$A,$A100,物件収支!$C:$C,$M100))</f>
        <v>0</v>
      </c>
      <c r="Q100" s="43" t="n">
        <f aca="false">IF($A100="","",SUMIFS(物件収支!$O:$O,物件収支!$A:$A,$A100,物件収支!$C:$C,$M100))</f>
        <v>0</v>
      </c>
      <c r="R100" s="43" t="str">
        <f aca="false">IF($A100="","",IF(P100=0,"",O100-P100))</f>
        <v/>
      </c>
      <c r="S100" s="43" t="str">
        <f aca="false">IF($A100="","",IF(R100="","",R100+Q100))</f>
        <v/>
      </c>
      <c r="T100" s="43" t="str">
        <f aca="false">IF($A100="","",IF(OR(S100="",N100&lt;=0),"",S100/1000*12/N100))</f>
        <v/>
      </c>
      <c r="U100" s="52" t="str">
        <f aca="false">IF($A100="","",IF(OR(T100="",J100=0,J100=""),"",T100/J100))</f>
        <v/>
      </c>
      <c r="V100" s="52" t="str">
        <f aca="false">IF($A100="","",IF(OR(R100="",N100&lt;=0,J100=0,J100=""),"",(R100/1000*12/N100)/J100))</f>
        <v/>
      </c>
      <c r="W100" s="52" t="str">
        <f aca="false">IF($A100="","",IF(OR(T100="",K100=0,K100=""),"",T100/K100))</f>
        <v/>
      </c>
      <c r="X100" s="43" t="n">
        <f aca="false">IF($A100="","",IF(OR(N100&lt;=0,I100=0,I100="",O100=0),"",O100*1000/(I100*0.3025)/N100))</f>
        <v>24814.759541398</v>
      </c>
      <c r="Y100" s="50" t="str">
        <f aca="false">IF($A100="","",IF(OR(O100=0,O100="",P100=0),"",P100/O100))</f>
        <v/>
      </c>
      <c r="Z100" s="17" t="str">
        <f aca="false">IF($A100="","",IFERROR(INDEX(物件収支!$E:$E,MATCH($A100,物件収支!$A:$A,0)),""))</f>
        <v>一部開示（収益のみ）</v>
      </c>
    </row>
    <row r="101" customFormat="false" ht="15" hidden="false" customHeight="true" outlineLevel="0" collapsed="false">
      <c r="A101" s="17" t="str">
        <f aca="false">IF(物件マスタ!A101="","",物件マスタ!A101)</f>
        <v>DOI-46</v>
      </c>
      <c r="B101" s="17" t="str">
        <f aca="false">IF($A101="","",物件マスタ!B101)</f>
        <v>DOI</v>
      </c>
      <c r="C101" s="17" t="str">
        <f aca="false">IF($A101="","",IFERROR(INDEX(法人マスタ!$C:$C,MATCH($B101,法人マスタ!$A:$A,0)),""))</f>
        <v>大和証券オフィス投資法人</v>
      </c>
      <c r="D101" s="17" t="str">
        <f aca="false">IF($A101="","",物件マスタ!C101)</f>
        <v>Ｄａｉｗａ神田橋ビル</v>
      </c>
      <c r="E101" s="17" t="str">
        <f aca="false">IF($A101="","",物件マスタ!H101)</f>
        <v>都心5区</v>
      </c>
      <c r="F101" s="48" t="n">
        <f aca="false">IF($A101="","",物件マスタ!P101)</f>
        <v>40026</v>
      </c>
      <c r="G101" s="34" t="n">
        <f aca="false">IF($A101="","",物件マスタ!Q101)</f>
        <v>17</v>
      </c>
      <c r="H101" s="49" t="n">
        <f aca="false">IF($A101="","",物件マスタ!L101)</f>
        <v>0</v>
      </c>
      <c r="I101" s="49" t="n">
        <f aca="false">IF($A101="","",物件マスタ!M101)</f>
        <v>1224</v>
      </c>
      <c r="J101" s="43" t="n">
        <f aca="false">IF($A101="","",物件マスタ!S101)</f>
        <v>1970</v>
      </c>
      <c r="K101" s="43" t="n">
        <f aca="false">IF($A101="","",物件マスタ!U101)</f>
        <v>2170</v>
      </c>
      <c r="L101" s="50" t="n">
        <f aca="false">IF($A101="","",物件マスタ!W101)</f>
        <v>0.955</v>
      </c>
      <c r="M101" s="17" t="str">
        <f aca="false">IF($A101="","",IFERROR(INDEX(法人マスタ!$H:$H,MATCH($B101,法人マスタ!$A:$A,0)),""))</f>
        <v>2026年5月期（第41期）</v>
      </c>
      <c r="N101" s="51" t="n">
        <f aca="false">IF($A101="","",SUMIFS(物件収支!$D:$D,物件収支!$A:$A,$A101,物件収支!$C:$C,$M101))</f>
        <v>6</v>
      </c>
      <c r="O101" s="43" t="n">
        <f aca="false">IF($A101="","",SUMIFS(物件収支!$F:$F,物件収支!$A:$A,$A101,物件収支!$C:$C,$M101))</f>
        <v>42032</v>
      </c>
      <c r="P101" s="43" t="n">
        <f aca="false">IF($A101="","",SUMIFS(物件収支!$I:$I,物件収支!$A:$A,$A101,物件収支!$C:$C,$M101))</f>
        <v>0</v>
      </c>
      <c r="Q101" s="43" t="n">
        <f aca="false">IF($A101="","",SUMIFS(物件収支!$O:$O,物件収支!$A:$A,$A101,物件収支!$C:$C,$M101))</f>
        <v>0</v>
      </c>
      <c r="R101" s="43" t="str">
        <f aca="false">IF($A101="","",IF(P101=0,"",O101-P101))</f>
        <v/>
      </c>
      <c r="S101" s="43" t="str">
        <f aca="false">IF($A101="","",IF(R101="","",R101+Q101))</f>
        <v/>
      </c>
      <c r="T101" s="43" t="str">
        <f aca="false">IF($A101="","",IF(OR(S101="",N101&lt;=0),"",S101/1000*12/N101))</f>
        <v/>
      </c>
      <c r="U101" s="52" t="str">
        <f aca="false">IF($A101="","",IF(OR(T101="",J101=0,J101=""),"",T101/J101))</f>
        <v/>
      </c>
      <c r="V101" s="52" t="str">
        <f aca="false">IF($A101="","",IF(OR(R101="",N101&lt;=0,J101=0,J101=""),"",(R101/1000*12/N101)/J101))</f>
        <v/>
      </c>
      <c r="W101" s="52" t="str">
        <f aca="false">IF($A101="","",IF(OR(T101="",K101=0,K101=""),"",T101/K101))</f>
        <v/>
      </c>
      <c r="X101" s="43" t="n">
        <f aca="false">IF($A101="","",IF(OR(N101&lt;=0,I101=0,I101="",O101=0),"",O101*1000/(I101*0.3025)/N101))</f>
        <v>18920.0381713751</v>
      </c>
      <c r="Y101" s="50" t="str">
        <f aca="false">IF($A101="","",IF(OR(O101=0,O101="",P101=0),"",P101/O101))</f>
        <v/>
      </c>
      <c r="Z101" s="17" t="str">
        <f aca="false">IF($A101="","",IFERROR(INDEX(物件収支!$E:$E,MATCH($A101,物件収支!$A:$A,0)),""))</f>
        <v>一部開示（収益のみ）</v>
      </c>
    </row>
    <row r="102" customFormat="false" ht="15" hidden="false" customHeight="true" outlineLevel="0" collapsed="false">
      <c r="A102" s="17" t="str">
        <f aca="false">IF(物件マスタ!A102="","",物件マスタ!A102)</f>
        <v>DOI-47</v>
      </c>
      <c r="B102" s="17" t="str">
        <f aca="false">IF($A102="","",物件マスタ!B102)</f>
        <v>DOI</v>
      </c>
      <c r="C102" s="17" t="str">
        <f aca="false">IF($A102="","",IFERROR(INDEX(法人マスタ!$C:$C,MATCH($B102,法人マスタ!$A:$A,0)),""))</f>
        <v>大和証券オフィス投資法人</v>
      </c>
      <c r="D102" s="17" t="str">
        <f aca="false">IF($A102="","",物件マスタ!C102)</f>
        <v>Ｄａｉｗａ秋葉原ビル</v>
      </c>
      <c r="E102" s="17" t="str">
        <f aca="false">IF($A102="","",物件マスタ!H102)</f>
        <v>都心5区</v>
      </c>
      <c r="F102" s="48" t="n">
        <f aca="false">IF($A102="","",物件マスタ!P102)</f>
        <v>45444</v>
      </c>
      <c r="G102" s="34" t="n">
        <f aca="false">IF($A102="","",物件マスタ!Q102)</f>
        <v>2.2</v>
      </c>
      <c r="H102" s="49" t="n">
        <f aca="false">IF($A102="","",物件マスタ!L102)</f>
        <v>0</v>
      </c>
      <c r="I102" s="49" t="n">
        <f aca="false">IF($A102="","",物件マスタ!M102)</f>
        <v>9385.73</v>
      </c>
      <c r="J102" s="43" t="n">
        <f aca="false">IF($A102="","",物件マスタ!S102)</f>
        <v>15503</v>
      </c>
      <c r="K102" s="43" t="n">
        <f aca="false">IF($A102="","",物件マスタ!U102)</f>
        <v>20600</v>
      </c>
      <c r="L102" s="50" t="n">
        <f aca="false">IF($A102="","",物件マスタ!W102)</f>
        <v>1</v>
      </c>
      <c r="M102" s="17" t="str">
        <f aca="false">IF($A102="","",IFERROR(INDEX(法人マスタ!$H:$H,MATCH($B102,法人マスタ!$A:$A,0)),""))</f>
        <v>2026年5月期（第41期）</v>
      </c>
      <c r="N102" s="51" t="n">
        <f aca="false">IF($A102="","",SUMIFS(物件収支!$D:$D,物件収支!$A:$A,$A102,物件収支!$C:$C,$M102))</f>
        <v>6</v>
      </c>
      <c r="O102" s="43" t="n">
        <f aca="false">IF($A102="","",SUMIFS(物件収支!$F:$F,物件収支!$A:$A,$A102,物件収支!$C:$C,$M102))</f>
        <v>442464</v>
      </c>
      <c r="P102" s="43" t="n">
        <f aca="false">IF($A102="","",SUMIFS(物件収支!$I:$I,物件収支!$A:$A,$A102,物件収支!$C:$C,$M102))</f>
        <v>0</v>
      </c>
      <c r="Q102" s="43" t="n">
        <f aca="false">IF($A102="","",SUMIFS(物件収支!$O:$O,物件収支!$A:$A,$A102,物件収支!$C:$C,$M102))</f>
        <v>0</v>
      </c>
      <c r="R102" s="43" t="str">
        <f aca="false">IF($A102="","",IF(P102=0,"",O102-P102))</f>
        <v/>
      </c>
      <c r="S102" s="43" t="str">
        <f aca="false">IF($A102="","",IF(R102="","",R102+Q102))</f>
        <v/>
      </c>
      <c r="T102" s="43" t="str">
        <f aca="false">IF($A102="","",IF(OR(S102="",N102&lt;=0),"",S102/1000*12/N102))</f>
        <v/>
      </c>
      <c r="U102" s="52" t="str">
        <f aca="false">IF($A102="","",IF(OR(T102="",J102=0,J102=""),"",T102/J102))</f>
        <v/>
      </c>
      <c r="V102" s="52" t="str">
        <f aca="false">IF($A102="","",IF(OR(R102="",N102&lt;=0,J102=0,J102=""),"",(R102/1000*12/N102)/J102))</f>
        <v/>
      </c>
      <c r="W102" s="52" t="str">
        <f aca="false">IF($A102="","",IF(OR(T102="",K102=0,K102=""),"",T102/K102))</f>
        <v/>
      </c>
      <c r="X102" s="43" t="n">
        <f aca="false">IF($A102="","",IF(OR(N102&lt;=0,I102=0,I102="",O102=0),"",O102*1000/(I102*0.3025)/N102))</f>
        <v>25973.6662126247</v>
      </c>
      <c r="Y102" s="50" t="str">
        <f aca="false">IF($A102="","",IF(OR(O102=0,O102="",P102=0),"",P102/O102))</f>
        <v/>
      </c>
      <c r="Z102" s="17" t="str">
        <f aca="false">IF($A102="","",IFERROR(INDEX(物件収支!$E:$E,MATCH($A102,物件収支!$A:$A,0)),""))</f>
        <v>一部開示（収益のみ）</v>
      </c>
    </row>
    <row r="103" customFormat="false" ht="15" hidden="false" customHeight="true" outlineLevel="0" collapsed="false">
      <c r="A103" s="17" t="str">
        <f aca="false">IF(物件マスタ!A103="","",物件マスタ!A103)</f>
        <v>DOI-48</v>
      </c>
      <c r="B103" s="17" t="str">
        <f aca="false">IF($A103="","",物件マスタ!B103)</f>
        <v>DOI</v>
      </c>
      <c r="C103" s="17" t="str">
        <f aca="false">IF($A103="","",IFERROR(INDEX(法人マスタ!$C:$C,MATCH($B103,法人マスタ!$A:$A,0)),""))</f>
        <v>大和証券オフィス投資法人</v>
      </c>
      <c r="D103" s="17" t="str">
        <f aca="false">IF($A103="","",物件マスタ!C103)</f>
        <v>Ｄａｉｗａ日本橋馬喰町Ⅱ</v>
      </c>
      <c r="E103" s="17" t="str">
        <f aca="false">IF($A103="","",物件マスタ!H103)</f>
        <v>都心5区</v>
      </c>
      <c r="F103" s="48" t="n">
        <f aca="false">IF($A103="","",物件マスタ!P103)</f>
        <v>45017</v>
      </c>
      <c r="G103" s="34" t="n">
        <f aca="false">IF($A103="","",物件マスタ!Q103)</f>
        <v>3.4</v>
      </c>
      <c r="H103" s="49" t="n">
        <f aca="false">IF($A103="","",物件マスタ!L103)</f>
        <v>0</v>
      </c>
      <c r="I103" s="49" t="n">
        <f aca="false">IF($A103="","",物件マスタ!M103)</f>
        <v>3757.52</v>
      </c>
      <c r="J103" s="43" t="n">
        <f aca="false">IF($A103="","",物件マスタ!S103)</f>
        <v>6300</v>
      </c>
      <c r="K103" s="43" t="n">
        <f aca="false">IF($A103="","",物件マスタ!U103)</f>
        <v>6910</v>
      </c>
      <c r="L103" s="50" t="n">
        <f aca="false">IF($A103="","",物件マスタ!W103)</f>
        <v>1</v>
      </c>
      <c r="M103" s="17" t="str">
        <f aca="false">IF($A103="","",IFERROR(INDEX(法人マスタ!$H:$H,MATCH($B103,法人マスタ!$A:$A,0)),""))</f>
        <v>2026年5月期（第41期）</v>
      </c>
      <c r="N103" s="51" t="n">
        <f aca="false">IF($A103="","",SUMIFS(物件収支!$D:$D,物件収支!$A:$A,$A103,物件収支!$C:$C,$M103))</f>
        <v>6</v>
      </c>
      <c r="O103" s="43" t="n">
        <f aca="false">IF($A103="","",SUMIFS(物件収支!$F:$F,物件収支!$A:$A,$A103,物件収支!$C:$C,$M103))</f>
        <v>156171</v>
      </c>
      <c r="P103" s="43" t="n">
        <f aca="false">IF($A103="","",SUMIFS(物件収支!$I:$I,物件収支!$A:$A,$A103,物件収支!$C:$C,$M103))</f>
        <v>0</v>
      </c>
      <c r="Q103" s="43" t="n">
        <f aca="false">IF($A103="","",SUMIFS(物件収支!$O:$O,物件収支!$A:$A,$A103,物件収支!$C:$C,$M103))</f>
        <v>0</v>
      </c>
      <c r="R103" s="43" t="str">
        <f aca="false">IF($A103="","",IF(P103=0,"",O103-P103))</f>
        <v/>
      </c>
      <c r="S103" s="43" t="str">
        <f aca="false">IF($A103="","",IF(R103="","",R103+Q103))</f>
        <v/>
      </c>
      <c r="T103" s="43" t="str">
        <f aca="false">IF($A103="","",IF(OR(S103="",N103&lt;=0),"",S103/1000*12/N103))</f>
        <v/>
      </c>
      <c r="U103" s="52" t="str">
        <f aca="false">IF($A103="","",IF(OR(T103="",J103=0,J103=""),"",T103/J103))</f>
        <v/>
      </c>
      <c r="V103" s="52" t="str">
        <f aca="false">IF($A103="","",IF(OR(R103="",N103&lt;=0,J103=0,J103=""),"",(R103/1000*12/N103)/J103))</f>
        <v/>
      </c>
      <c r="W103" s="52" t="str">
        <f aca="false">IF($A103="","",IF(OR(T103="",K103=0,K103=""),"",T103/K103))</f>
        <v/>
      </c>
      <c r="X103" s="43" t="n">
        <f aca="false">IF($A103="","",IF(OR(N103&lt;=0,I103=0,I103="",O103=0),"",O103*1000/(I103*0.3025)/N103))</f>
        <v>22899.3134033015</v>
      </c>
      <c r="Y103" s="50" t="str">
        <f aca="false">IF($A103="","",IF(OR(O103=0,O103="",P103=0),"",P103/O103))</f>
        <v/>
      </c>
      <c r="Z103" s="17" t="str">
        <f aca="false">IF($A103="","",IFERROR(INDEX(物件収支!$E:$E,MATCH($A103,物件収支!$A:$A,0)),""))</f>
        <v>一部開示（収益のみ）</v>
      </c>
    </row>
    <row r="104" customFormat="false" ht="15" hidden="false" customHeight="true" outlineLevel="0" collapsed="false">
      <c r="A104" s="17" t="str">
        <f aca="false">IF(物件マスタ!A104="","",物件マスタ!A104)</f>
        <v>DOI-49</v>
      </c>
      <c r="B104" s="17" t="str">
        <f aca="false">IF($A104="","",物件マスタ!B104)</f>
        <v>DOI</v>
      </c>
      <c r="C104" s="17" t="str">
        <f aca="false">IF($A104="","",IFERROR(INDEX(法人マスタ!$C:$C,MATCH($B104,法人マスタ!$A:$A,0)),""))</f>
        <v>大和証券オフィス投資法人</v>
      </c>
      <c r="D104" s="17" t="str">
        <f aca="false">IF($A104="","",物件マスタ!C104)</f>
        <v>浜松町ＰＲＥＸ</v>
      </c>
      <c r="E104" s="17" t="str">
        <f aca="false">IF($A104="","",物件マスタ!H104)</f>
        <v>都心5区</v>
      </c>
      <c r="F104" s="48" t="n">
        <f aca="false">IF($A104="","",物件マスタ!P104)</f>
        <v>44927</v>
      </c>
      <c r="G104" s="34" t="n">
        <f aca="false">IF($A104="","",物件マスタ!Q104)</f>
        <v>3.6</v>
      </c>
      <c r="H104" s="49" t="n">
        <f aca="false">IF($A104="","",物件マスタ!L104)</f>
        <v>0</v>
      </c>
      <c r="I104" s="49" t="n">
        <f aca="false">IF($A104="","",物件マスタ!M104)</f>
        <v>2309.1</v>
      </c>
      <c r="J104" s="43" t="n">
        <f aca="false">IF($A104="","",物件マスタ!S104)</f>
        <v>7150</v>
      </c>
      <c r="K104" s="43" t="n">
        <f aca="false">IF($A104="","",物件マスタ!U104)</f>
        <v>7310</v>
      </c>
      <c r="L104" s="50" t="n">
        <f aca="false">IF($A104="","",物件マスタ!W104)</f>
        <v>1</v>
      </c>
      <c r="M104" s="17" t="str">
        <f aca="false">IF($A104="","",IFERROR(INDEX(法人マスタ!$H:$H,MATCH($B104,法人マスタ!$A:$A,0)),""))</f>
        <v>2026年5月期（第41期）</v>
      </c>
      <c r="N104" s="51" t="n">
        <f aca="false">IF($A104="","",SUMIFS(物件収支!$D:$D,物件収支!$A:$A,$A104,物件収支!$C:$C,$M104))</f>
        <v>6</v>
      </c>
      <c r="O104" s="43" t="n">
        <f aca="false">IF($A104="","",SUMIFS(物件収支!$F:$F,物件収支!$A:$A,$A104,物件収支!$C:$C,$M104))</f>
        <v>44870</v>
      </c>
      <c r="P104" s="43" t="n">
        <f aca="false">IF($A104="","",SUMIFS(物件収支!$I:$I,物件収支!$A:$A,$A104,物件収支!$C:$C,$M104))</f>
        <v>0</v>
      </c>
      <c r="Q104" s="43" t="n">
        <f aca="false">IF($A104="","",SUMIFS(物件収支!$O:$O,物件収支!$A:$A,$A104,物件収支!$C:$C,$M104))</f>
        <v>0</v>
      </c>
      <c r="R104" s="43" t="str">
        <f aca="false">IF($A104="","",IF(P104=0,"",O104-P104))</f>
        <v/>
      </c>
      <c r="S104" s="43" t="str">
        <f aca="false">IF($A104="","",IF(R104="","",R104+Q104))</f>
        <v/>
      </c>
      <c r="T104" s="43" t="str">
        <f aca="false">IF($A104="","",IF(OR(S104="",N104&lt;=0),"",S104/1000*12/N104))</f>
        <v/>
      </c>
      <c r="U104" s="52" t="str">
        <f aca="false">IF($A104="","",IF(OR(T104="",J104=0,J104=""),"",T104/J104))</f>
        <v/>
      </c>
      <c r="V104" s="52" t="str">
        <f aca="false">IF($A104="","",IF(OR(R104="",N104&lt;=0,J104=0,J104=""),"",(R104/1000*12/N104)/J104))</f>
        <v/>
      </c>
      <c r="W104" s="52" t="str">
        <f aca="false">IF($A104="","",IF(OR(T104="",K104=0,K104=""),"",T104/K104))</f>
        <v/>
      </c>
      <c r="X104" s="43" t="n">
        <f aca="false">IF($A104="","",IF(OR(N104&lt;=0,I104=0,I104="",O104=0),"",O104*1000/(I104*0.3025)/N104))</f>
        <v>10706.2332014202</v>
      </c>
      <c r="Y104" s="50" t="str">
        <f aca="false">IF($A104="","",IF(OR(O104=0,O104="",P104=0),"",P104/O104))</f>
        <v/>
      </c>
      <c r="Z104" s="17" t="str">
        <f aca="false">IF($A104="","",IFERROR(INDEX(物件収支!$E:$E,MATCH($A104,物件収支!$A:$A,0)),""))</f>
        <v>一部開示（収益のみ）</v>
      </c>
    </row>
    <row r="105" customFormat="false" ht="15" hidden="false" customHeight="true" outlineLevel="0" collapsed="false">
      <c r="A105" s="17" t="str">
        <f aca="false">IF(物件マスタ!A105="","",物件マスタ!A105)</f>
        <v>DOI-50</v>
      </c>
      <c r="B105" s="17" t="str">
        <f aca="false">IF($A105="","",物件マスタ!B105)</f>
        <v>DOI</v>
      </c>
      <c r="C105" s="17" t="str">
        <f aca="false">IF($A105="","",IFERROR(INDEX(法人マスタ!$C:$C,MATCH($B105,法人マスタ!$A:$A,0)),""))</f>
        <v>大和証券オフィス投資法人</v>
      </c>
      <c r="D105" s="17" t="str">
        <f aca="false">IF($A105="","",物件マスタ!C105)</f>
        <v>プライム千駄ヶ谷ビル</v>
      </c>
      <c r="E105" s="17" t="str">
        <f aca="false">IF($A105="","",物件マスタ!H105)</f>
        <v>都心5区</v>
      </c>
      <c r="F105" s="48" t="n">
        <f aca="false">IF($A105="","",物件マスタ!P105)</f>
        <v>39934</v>
      </c>
      <c r="G105" s="34" t="n">
        <f aca="false">IF($A105="","",物件マスタ!Q105)</f>
        <v>17.3</v>
      </c>
      <c r="H105" s="49" t="n">
        <f aca="false">IF($A105="","",物件マスタ!L105)</f>
        <v>0</v>
      </c>
      <c r="I105" s="49" t="n">
        <f aca="false">IF($A105="","",物件マスタ!M105)</f>
        <v>6177.74</v>
      </c>
      <c r="J105" s="43" t="n">
        <f aca="false">IF($A105="","",物件マスタ!S105)</f>
        <v>19400</v>
      </c>
      <c r="K105" s="43" t="n">
        <f aca="false">IF($A105="","",物件マスタ!U105)</f>
        <v>20600</v>
      </c>
      <c r="L105" s="50" t="n">
        <f aca="false">IF($A105="","",物件マスタ!W105)</f>
        <v>1</v>
      </c>
      <c r="M105" s="17" t="str">
        <f aca="false">IF($A105="","",IFERROR(INDEX(法人マスタ!$H:$H,MATCH($B105,法人マスタ!$A:$A,0)),""))</f>
        <v>2026年5月期（第41期）</v>
      </c>
      <c r="N105" s="51" t="n">
        <f aca="false">IF($A105="","",SUMIFS(物件収支!$D:$D,物件収支!$A:$A,$A105,物件収支!$C:$C,$M105))</f>
        <v>6</v>
      </c>
      <c r="O105" s="43" t="n">
        <f aca="false">IF($A105="","",SUMIFS(物件収支!$F:$F,物件収支!$A:$A,$A105,物件収支!$C:$C,$M105))</f>
        <v>114427</v>
      </c>
      <c r="P105" s="43" t="n">
        <f aca="false">IF($A105="","",SUMIFS(物件収支!$I:$I,物件収支!$A:$A,$A105,物件収支!$C:$C,$M105))</f>
        <v>0</v>
      </c>
      <c r="Q105" s="43" t="n">
        <f aca="false">IF($A105="","",SUMIFS(物件収支!$O:$O,物件収支!$A:$A,$A105,物件収支!$C:$C,$M105))</f>
        <v>0</v>
      </c>
      <c r="R105" s="43" t="str">
        <f aca="false">IF($A105="","",IF(P105=0,"",O105-P105))</f>
        <v/>
      </c>
      <c r="S105" s="43" t="str">
        <f aca="false">IF($A105="","",IF(R105="","",R105+Q105))</f>
        <v/>
      </c>
      <c r="T105" s="43" t="str">
        <f aca="false">IF($A105="","",IF(OR(S105="",N105&lt;=0),"",S105/1000*12/N105))</f>
        <v/>
      </c>
      <c r="U105" s="52" t="str">
        <f aca="false">IF($A105="","",IF(OR(T105="",J105=0,J105=""),"",T105/J105))</f>
        <v/>
      </c>
      <c r="V105" s="52" t="str">
        <f aca="false">IF($A105="","",IF(OR(R105="",N105&lt;=0,J105=0,J105=""),"",(R105/1000*12/N105)/J105))</f>
        <v/>
      </c>
      <c r="W105" s="52" t="str">
        <f aca="false">IF($A105="","",IF(OR(T105="",K105=0,K105=""),"",T105/K105))</f>
        <v/>
      </c>
      <c r="X105" s="43" t="n">
        <f aca="false">IF($A105="","",IF(OR(N105&lt;=0,I105=0,I105="",O105=0),"",O105*1000/(I105*0.3025)/N105))</f>
        <v>10205.217290362</v>
      </c>
      <c r="Y105" s="50" t="str">
        <f aca="false">IF($A105="","",IF(OR(O105=0,O105="",P105=0),"",P105/O105))</f>
        <v/>
      </c>
      <c r="Z105" s="17" t="str">
        <f aca="false">IF($A105="","",IFERROR(INDEX(物件収支!$E:$E,MATCH($A105,物件収支!$A:$A,0)),""))</f>
        <v>一部開示（収益のみ）</v>
      </c>
    </row>
    <row r="106" customFormat="false" ht="15" hidden="false" customHeight="true" outlineLevel="0" collapsed="false">
      <c r="A106" s="17" t="str">
        <f aca="false">IF(物件マスタ!A106="","",物件マスタ!A106)</f>
        <v>DOI-51</v>
      </c>
      <c r="B106" s="17" t="str">
        <f aca="false">IF($A106="","",物件マスタ!B106)</f>
        <v>DOI</v>
      </c>
      <c r="C106" s="17" t="str">
        <f aca="false">IF($A106="","",IFERROR(INDEX(法人マスタ!$C:$C,MATCH($B106,法人マスタ!$A:$A,0)),""))</f>
        <v>大和証券オフィス投資法人</v>
      </c>
      <c r="D106" s="17" t="str">
        <f aca="false">IF($A106="","",物件マスタ!C106)</f>
        <v>Ｄａｉｗａ東池袋ビル</v>
      </c>
      <c r="E106" s="17" t="str">
        <f aca="false">IF($A106="","",物件マスタ!H106)</f>
        <v>その他東京23区</v>
      </c>
      <c r="F106" s="48" t="n">
        <f aca="false">IF($A106="","",物件マスタ!P106)</f>
        <v>34121</v>
      </c>
      <c r="G106" s="34" t="n">
        <f aca="false">IF($A106="","",物件マスタ!Q106)</f>
        <v>33.2</v>
      </c>
      <c r="H106" s="49" t="n">
        <f aca="false">IF($A106="","",物件マスタ!L106)</f>
        <v>0</v>
      </c>
      <c r="I106" s="49" t="n">
        <f aca="false">IF($A106="","",物件マスタ!M106)</f>
        <v>4462.28</v>
      </c>
      <c r="J106" s="43" t="n">
        <f aca="false">IF($A106="","",物件マスタ!S106)</f>
        <v>2958</v>
      </c>
      <c r="K106" s="43" t="n">
        <f aca="false">IF($A106="","",物件マスタ!U106)</f>
        <v>4290</v>
      </c>
      <c r="L106" s="50" t="n">
        <f aca="false">IF($A106="","",物件マスタ!W106)</f>
        <v>1</v>
      </c>
      <c r="M106" s="17" t="str">
        <f aca="false">IF($A106="","",IFERROR(INDEX(法人マスタ!$H:$H,MATCH($B106,法人マスタ!$A:$A,0)),""))</f>
        <v>2026年5月期（第41期）</v>
      </c>
      <c r="N106" s="51" t="n">
        <f aca="false">IF($A106="","",SUMIFS(物件収支!$D:$D,物件収支!$A:$A,$A106,物件収支!$C:$C,$M106))</f>
        <v>6</v>
      </c>
      <c r="O106" s="43" t="n">
        <f aca="false">IF($A106="","",SUMIFS(物件収支!$F:$F,物件収支!$A:$A,$A106,物件収支!$C:$C,$M106))</f>
        <v>144872</v>
      </c>
      <c r="P106" s="43" t="n">
        <f aca="false">IF($A106="","",SUMIFS(物件収支!$I:$I,物件収支!$A:$A,$A106,物件収支!$C:$C,$M106))</f>
        <v>0</v>
      </c>
      <c r="Q106" s="43" t="n">
        <f aca="false">IF($A106="","",SUMIFS(物件収支!$O:$O,物件収支!$A:$A,$A106,物件収支!$C:$C,$M106))</f>
        <v>0</v>
      </c>
      <c r="R106" s="43" t="str">
        <f aca="false">IF($A106="","",IF(P106=0,"",O106-P106))</f>
        <v/>
      </c>
      <c r="S106" s="43" t="str">
        <f aca="false">IF($A106="","",IF(R106="","",R106+Q106))</f>
        <v/>
      </c>
      <c r="T106" s="43" t="str">
        <f aca="false">IF($A106="","",IF(OR(S106="",N106&lt;=0),"",S106/1000*12/N106))</f>
        <v/>
      </c>
      <c r="U106" s="52" t="str">
        <f aca="false">IF($A106="","",IF(OR(T106="",J106=0,J106=""),"",T106/J106))</f>
        <v/>
      </c>
      <c r="V106" s="52" t="str">
        <f aca="false">IF($A106="","",IF(OR(R106="",N106&lt;=0,J106=0,J106=""),"",(R106/1000*12/N106)/J106))</f>
        <v/>
      </c>
      <c r="W106" s="52" t="str">
        <f aca="false">IF($A106="","",IF(OR(T106="",K106=0,K106=""),"",T106/K106))</f>
        <v/>
      </c>
      <c r="X106" s="43" t="n">
        <f aca="false">IF($A106="","",IF(OR(N106&lt;=0,I106=0,I106="",O106=0),"",O106*1000/(I106*0.3025)/N106))</f>
        <v>17887.5560804245</v>
      </c>
      <c r="Y106" s="50" t="str">
        <f aca="false">IF($A106="","",IF(OR(O106=0,O106="",P106=0),"",P106/O106))</f>
        <v/>
      </c>
      <c r="Z106" s="17" t="str">
        <f aca="false">IF($A106="","",IFERROR(INDEX(物件収支!$E:$E,MATCH($A106,物件収支!$A:$A,0)),""))</f>
        <v>一部開示（収益のみ）</v>
      </c>
    </row>
    <row r="107" customFormat="false" ht="15" hidden="false" customHeight="true" outlineLevel="0" collapsed="false">
      <c r="A107" s="17" t="str">
        <f aca="false">IF(物件マスタ!A107="","",物件マスタ!A107)</f>
        <v>DOI-52</v>
      </c>
      <c r="B107" s="17" t="str">
        <f aca="false">IF($A107="","",物件マスタ!B107)</f>
        <v>DOI</v>
      </c>
      <c r="C107" s="17" t="str">
        <f aca="false">IF($A107="","",IFERROR(INDEX(法人マスタ!$C:$C,MATCH($B107,法人マスタ!$A:$A,0)),""))</f>
        <v>大和証券オフィス投資法人</v>
      </c>
      <c r="D107" s="17" t="str">
        <f aca="false">IF($A107="","",物件マスタ!C107)</f>
        <v>Ｄａｉｗａ品川Ｎｏｒｔｈビル</v>
      </c>
      <c r="E107" s="17" t="str">
        <f aca="false">IF($A107="","",物件マスタ!H107)</f>
        <v>その他東京23区</v>
      </c>
      <c r="F107" s="48" t="n">
        <f aca="false">IF($A107="","",物件マスタ!P107)</f>
        <v>33420</v>
      </c>
      <c r="G107" s="34" t="n">
        <f aca="false">IF($A107="","",物件マスタ!Q107)</f>
        <v>35.1</v>
      </c>
      <c r="H107" s="49" t="n">
        <f aca="false">IF($A107="","",物件マスタ!L107)</f>
        <v>0</v>
      </c>
      <c r="I107" s="49" t="n">
        <f aca="false">IF($A107="","",物件マスタ!M107)</f>
        <v>6546.03</v>
      </c>
      <c r="J107" s="43" t="n">
        <f aca="false">IF($A107="","",物件マスタ!S107)</f>
        <v>7710</v>
      </c>
      <c r="K107" s="43" t="n">
        <f aca="false">IF($A107="","",物件マスタ!U107)</f>
        <v>6780</v>
      </c>
      <c r="L107" s="50" t="n">
        <f aca="false">IF($A107="","",物件マスタ!W107)</f>
        <v>1</v>
      </c>
      <c r="M107" s="17" t="str">
        <f aca="false">IF($A107="","",IFERROR(INDEX(法人マスタ!$H:$H,MATCH($B107,法人マスタ!$A:$A,0)),""))</f>
        <v>2026年5月期（第41期）</v>
      </c>
      <c r="N107" s="51" t="n">
        <f aca="false">IF($A107="","",SUMIFS(物件収支!$D:$D,物件収支!$A:$A,$A107,物件収支!$C:$C,$M107))</f>
        <v>6</v>
      </c>
      <c r="O107" s="43" t="n">
        <f aca="false">IF($A107="","",SUMIFS(物件収支!$F:$F,物件収支!$A:$A,$A107,物件収支!$C:$C,$M107))</f>
        <v>190037</v>
      </c>
      <c r="P107" s="43" t="n">
        <f aca="false">IF($A107="","",SUMIFS(物件収支!$I:$I,物件収支!$A:$A,$A107,物件収支!$C:$C,$M107))</f>
        <v>0</v>
      </c>
      <c r="Q107" s="43" t="n">
        <f aca="false">IF($A107="","",SUMIFS(物件収支!$O:$O,物件収支!$A:$A,$A107,物件収支!$C:$C,$M107))</f>
        <v>0</v>
      </c>
      <c r="R107" s="43" t="str">
        <f aca="false">IF($A107="","",IF(P107=0,"",O107-P107))</f>
        <v/>
      </c>
      <c r="S107" s="43" t="str">
        <f aca="false">IF($A107="","",IF(R107="","",R107+Q107))</f>
        <v/>
      </c>
      <c r="T107" s="43" t="str">
        <f aca="false">IF($A107="","",IF(OR(S107="",N107&lt;=0),"",S107/1000*12/N107))</f>
        <v/>
      </c>
      <c r="U107" s="52" t="str">
        <f aca="false">IF($A107="","",IF(OR(T107="",J107=0,J107=""),"",T107/J107))</f>
        <v/>
      </c>
      <c r="V107" s="52" t="str">
        <f aca="false">IF($A107="","",IF(OR(R107="",N107&lt;=0,J107=0,J107=""),"",(R107/1000*12/N107)/J107))</f>
        <v/>
      </c>
      <c r="W107" s="52" t="str">
        <f aca="false">IF($A107="","",IF(OR(T107="",K107=0,K107=""),"",T107/K107))</f>
        <v/>
      </c>
      <c r="X107" s="43" t="n">
        <f aca="false">IF($A107="","",IF(OR(N107&lt;=0,I107=0,I107="",O107=0),"",O107*1000/(I107*0.3025)/N107))</f>
        <v>15994.9742465613</v>
      </c>
      <c r="Y107" s="50" t="str">
        <f aca="false">IF($A107="","",IF(OR(O107=0,O107="",P107=0),"",P107/O107))</f>
        <v/>
      </c>
      <c r="Z107" s="17" t="str">
        <f aca="false">IF($A107="","",IFERROR(INDEX(物件収支!$E:$E,MATCH($A107,物件収支!$A:$A,0)),""))</f>
        <v>一部開示（収益のみ）</v>
      </c>
    </row>
    <row r="108" customFormat="false" ht="15" hidden="false" customHeight="true" outlineLevel="0" collapsed="false">
      <c r="A108" s="17" t="str">
        <f aca="false">IF(物件マスタ!A108="","",物件マスタ!A108)</f>
        <v>DOI-53</v>
      </c>
      <c r="B108" s="17" t="str">
        <f aca="false">IF($A108="","",物件マスタ!B108)</f>
        <v>DOI</v>
      </c>
      <c r="C108" s="17" t="str">
        <f aca="false">IF($A108="","",IFERROR(INDEX(法人マスタ!$C:$C,MATCH($B108,法人マスタ!$A:$A,0)),""))</f>
        <v>大和証券オフィス投資法人</v>
      </c>
      <c r="D108" s="17" t="str">
        <f aca="false">IF($A108="","",物件マスタ!C108)</f>
        <v>Ｄａｉｗａ上大岡ビル</v>
      </c>
      <c r="E108" s="17" t="str">
        <f aca="false">IF($A108="","",物件マスタ!H108)</f>
        <v>東京周辺都市部</v>
      </c>
      <c r="F108" s="48" t="n">
        <f aca="false">IF($A108="","",物件マスタ!P108)</f>
        <v>40664</v>
      </c>
      <c r="G108" s="34" t="n">
        <f aca="false">IF($A108="","",物件マスタ!Q108)</f>
        <v>15.3</v>
      </c>
      <c r="H108" s="49" t="n">
        <f aca="false">IF($A108="","",物件マスタ!L108)</f>
        <v>0</v>
      </c>
      <c r="I108" s="49" t="n">
        <f aca="false">IF($A108="","",物件マスタ!M108)</f>
        <v>2630.3</v>
      </c>
      <c r="J108" s="43" t="n">
        <f aca="false">IF($A108="","",物件マスタ!S108)</f>
        <v>2000</v>
      </c>
      <c r="K108" s="43" t="n">
        <f aca="false">IF($A108="","",物件マスタ!U108)</f>
        <v>2950</v>
      </c>
      <c r="L108" s="50" t="n">
        <f aca="false">IF($A108="","",物件マスタ!W108)</f>
        <v>0.937</v>
      </c>
      <c r="M108" s="17" t="str">
        <f aca="false">IF($A108="","",IFERROR(INDEX(法人マスタ!$H:$H,MATCH($B108,法人マスタ!$A:$A,0)),""))</f>
        <v>2026年5月期（第41期）</v>
      </c>
      <c r="N108" s="51" t="n">
        <f aca="false">IF($A108="","",SUMIFS(物件収支!$D:$D,物件収支!$A:$A,$A108,物件収支!$C:$C,$M108))</f>
        <v>6</v>
      </c>
      <c r="O108" s="43" t="n">
        <f aca="false">IF($A108="","",SUMIFS(物件収支!$F:$F,物件収支!$A:$A,$A108,物件収支!$C:$C,$M108))</f>
        <v>90416</v>
      </c>
      <c r="P108" s="43" t="n">
        <f aca="false">IF($A108="","",SUMIFS(物件収支!$I:$I,物件収支!$A:$A,$A108,物件収支!$C:$C,$M108))</f>
        <v>0</v>
      </c>
      <c r="Q108" s="43" t="n">
        <f aca="false">IF($A108="","",SUMIFS(物件収支!$O:$O,物件収支!$A:$A,$A108,物件収支!$C:$C,$M108))</f>
        <v>0</v>
      </c>
      <c r="R108" s="43" t="str">
        <f aca="false">IF($A108="","",IF(P108=0,"",O108-P108))</f>
        <v/>
      </c>
      <c r="S108" s="43" t="str">
        <f aca="false">IF($A108="","",IF(R108="","",R108+Q108))</f>
        <v/>
      </c>
      <c r="T108" s="43" t="str">
        <f aca="false">IF($A108="","",IF(OR(S108="",N108&lt;=0),"",S108/1000*12/N108))</f>
        <v/>
      </c>
      <c r="U108" s="52" t="str">
        <f aca="false">IF($A108="","",IF(OR(T108="",J108=0,J108=""),"",T108/J108))</f>
        <v/>
      </c>
      <c r="V108" s="52" t="str">
        <f aca="false">IF($A108="","",IF(OR(R108="",N108&lt;=0,J108=0,J108=""),"",(R108/1000*12/N108)/J108))</f>
        <v/>
      </c>
      <c r="W108" s="52" t="str">
        <f aca="false">IF($A108="","",IF(OR(T108="",K108=0,K108=""),"",T108/K108))</f>
        <v/>
      </c>
      <c r="X108" s="43" t="n">
        <f aca="false">IF($A108="","",IF(OR(N108&lt;=0,I108=0,I108="",O108=0),"",O108*1000/(I108*0.3025)/N108))</f>
        <v>18939.2761135355</v>
      </c>
      <c r="Y108" s="50" t="str">
        <f aca="false">IF($A108="","",IF(OR(O108=0,O108="",P108=0),"",P108/O108))</f>
        <v/>
      </c>
      <c r="Z108" s="17" t="str">
        <f aca="false">IF($A108="","",IFERROR(INDEX(物件収支!$E:$E,MATCH($A108,物件収支!$A:$A,0)),""))</f>
        <v>一部開示（収益のみ）</v>
      </c>
    </row>
    <row r="109" customFormat="false" ht="15" hidden="false" customHeight="true" outlineLevel="0" collapsed="false">
      <c r="A109" s="17" t="str">
        <f aca="false">IF(物件マスタ!A109="","",物件マスタ!A109)</f>
        <v>DOI-54</v>
      </c>
      <c r="B109" s="17" t="str">
        <f aca="false">IF($A109="","",物件マスタ!B109)</f>
        <v>DOI</v>
      </c>
      <c r="C109" s="17" t="str">
        <f aca="false">IF($A109="","",IFERROR(INDEX(法人マスタ!$C:$C,MATCH($B109,法人マスタ!$A:$A,0)),""))</f>
        <v>大和証券オフィス投資法人</v>
      </c>
      <c r="D109" s="17" t="str">
        <f aca="false">IF($A109="","",物件マスタ!C109)</f>
        <v>Ｄａｉｗａ荻窪タワー</v>
      </c>
      <c r="E109" s="17" t="str">
        <f aca="false">IF($A109="","",物件マスタ!H109)</f>
        <v>その他東京23区</v>
      </c>
      <c r="F109" s="48" t="n">
        <f aca="false">IF($A109="","",物件マスタ!P109)</f>
        <v>34121</v>
      </c>
      <c r="G109" s="34" t="n">
        <f aca="false">IF($A109="","",物件マスタ!Q109)</f>
        <v>33.2</v>
      </c>
      <c r="H109" s="49" t="n">
        <f aca="false">IF($A109="","",物件マスタ!L109)</f>
        <v>0</v>
      </c>
      <c r="I109" s="49" t="n">
        <f aca="false">IF($A109="","",物件マスタ!M109)</f>
        <v>17778.14</v>
      </c>
      <c r="J109" s="43" t="n">
        <f aca="false">IF($A109="","",物件マスタ!S109)</f>
        <v>15220</v>
      </c>
      <c r="K109" s="43" t="n">
        <f aca="false">IF($A109="","",物件マスタ!U109)</f>
        <v>23300</v>
      </c>
      <c r="L109" s="50" t="n">
        <f aca="false">IF($A109="","",物件マスタ!W109)</f>
        <v>1</v>
      </c>
      <c r="M109" s="17" t="str">
        <f aca="false">IF($A109="","",IFERROR(INDEX(法人マスタ!$H:$H,MATCH($B109,法人マスタ!$A:$A,0)),""))</f>
        <v>2026年5月期（第41期）</v>
      </c>
      <c r="N109" s="51" t="n">
        <f aca="false">IF($A109="","",SUMIFS(物件収支!$D:$D,物件収支!$A:$A,$A109,物件収支!$C:$C,$M109))</f>
        <v>6</v>
      </c>
      <c r="O109" s="43" t="n">
        <f aca="false">IF($A109="","",SUMIFS(物件収支!$F:$F,物件収支!$A:$A,$A109,物件収支!$C:$C,$M109))</f>
        <v>712284</v>
      </c>
      <c r="P109" s="43" t="n">
        <f aca="false">IF($A109="","",SUMIFS(物件収支!$I:$I,物件収支!$A:$A,$A109,物件収支!$C:$C,$M109))</f>
        <v>0</v>
      </c>
      <c r="Q109" s="43" t="n">
        <f aca="false">IF($A109="","",SUMIFS(物件収支!$O:$O,物件収支!$A:$A,$A109,物件収支!$C:$C,$M109))</f>
        <v>0</v>
      </c>
      <c r="R109" s="43" t="str">
        <f aca="false">IF($A109="","",IF(P109=0,"",O109-P109))</f>
        <v/>
      </c>
      <c r="S109" s="43" t="str">
        <f aca="false">IF($A109="","",IF(R109="","",R109+Q109))</f>
        <v/>
      </c>
      <c r="T109" s="43" t="str">
        <f aca="false">IF($A109="","",IF(OR(S109="",N109&lt;=0),"",S109/1000*12/N109))</f>
        <v/>
      </c>
      <c r="U109" s="52" t="str">
        <f aca="false">IF($A109="","",IF(OR(T109="",J109=0,J109=""),"",T109/J109))</f>
        <v/>
      </c>
      <c r="V109" s="52" t="str">
        <f aca="false">IF($A109="","",IF(OR(R109="",N109&lt;=0,J109=0,J109=""),"",(R109/1000*12/N109)/J109))</f>
        <v/>
      </c>
      <c r="W109" s="52" t="str">
        <f aca="false">IF($A109="","",IF(OR(T109="",K109=0,K109=""),"",T109/K109))</f>
        <v/>
      </c>
      <c r="X109" s="43" t="n">
        <f aca="false">IF($A109="","",IF(OR(N109&lt;=0,I109=0,I109="",O109=0),"",O109*1000/(I109*0.3025)/N109))</f>
        <v>22074.4675880948</v>
      </c>
      <c r="Y109" s="50" t="str">
        <f aca="false">IF($A109="","",IF(OR(O109=0,O109="",P109=0),"",P109/O109))</f>
        <v/>
      </c>
      <c r="Z109" s="17" t="str">
        <f aca="false">IF($A109="","",IFERROR(INDEX(物件収支!$E:$E,MATCH($A109,物件収支!$A:$A,0)),""))</f>
        <v>一部開示（収益のみ）</v>
      </c>
    </row>
    <row r="110" customFormat="false" ht="15" hidden="false" customHeight="true" outlineLevel="0" collapsed="false">
      <c r="A110" s="17" t="str">
        <f aca="false">IF(物件マスタ!A110="","",物件マスタ!A110)</f>
        <v>DOI-55</v>
      </c>
      <c r="B110" s="17" t="str">
        <f aca="false">IF($A110="","",物件マスタ!B110)</f>
        <v>DOI</v>
      </c>
      <c r="C110" s="17" t="str">
        <f aca="false">IF($A110="","",IFERROR(INDEX(法人マスタ!$C:$C,MATCH($B110,法人マスタ!$A:$A,0)),""))</f>
        <v>大和証券オフィス投資法人</v>
      </c>
      <c r="D110" s="17" t="str">
        <f aca="false">IF($A110="","",物件マスタ!C110)</f>
        <v>Ｄａｉｗａ目黒スクエア</v>
      </c>
      <c r="E110" s="17" t="str">
        <f aca="false">IF($A110="","",物件マスタ!H110)</f>
        <v>その他東京23区</v>
      </c>
      <c r="F110" s="48" t="n">
        <f aca="false">IF($A110="","",物件マスタ!P110)</f>
        <v>39995</v>
      </c>
      <c r="G110" s="34" t="n">
        <f aca="false">IF($A110="","",物件マスタ!Q110)</f>
        <v>17.1</v>
      </c>
      <c r="H110" s="49" t="n">
        <f aca="false">IF($A110="","",物件マスタ!L110)</f>
        <v>0</v>
      </c>
      <c r="I110" s="49" t="n">
        <f aca="false">IF($A110="","",物件マスタ!M110)</f>
        <v>3519.5</v>
      </c>
      <c r="J110" s="43" t="n">
        <f aca="false">IF($A110="","",物件マスタ!S110)</f>
        <v>5600</v>
      </c>
      <c r="K110" s="43" t="n">
        <f aca="false">IF($A110="","",物件マスタ!U110)</f>
        <v>7390</v>
      </c>
      <c r="L110" s="50" t="n">
        <f aca="false">IF($A110="","",物件マスタ!W110)</f>
        <v>0.966</v>
      </c>
      <c r="M110" s="17" t="str">
        <f aca="false">IF($A110="","",IFERROR(INDEX(法人マスタ!$H:$H,MATCH($B110,法人マスタ!$A:$A,0)),""))</f>
        <v>2026年5月期（第41期）</v>
      </c>
      <c r="N110" s="51" t="n">
        <f aca="false">IF($A110="","",SUMIFS(物件収支!$D:$D,物件収支!$A:$A,$A110,物件収支!$C:$C,$M110))</f>
        <v>6</v>
      </c>
      <c r="O110" s="43" t="n">
        <f aca="false">IF($A110="","",SUMIFS(物件収支!$F:$F,物件収支!$A:$A,$A110,物件収支!$C:$C,$M110))</f>
        <v>161218</v>
      </c>
      <c r="P110" s="43" t="n">
        <f aca="false">IF($A110="","",SUMIFS(物件収支!$I:$I,物件収支!$A:$A,$A110,物件収支!$C:$C,$M110))</f>
        <v>0</v>
      </c>
      <c r="Q110" s="43" t="n">
        <f aca="false">IF($A110="","",SUMIFS(物件収支!$O:$O,物件収支!$A:$A,$A110,物件収支!$C:$C,$M110))</f>
        <v>0</v>
      </c>
      <c r="R110" s="43" t="str">
        <f aca="false">IF($A110="","",IF(P110=0,"",O110-P110))</f>
        <v/>
      </c>
      <c r="S110" s="43" t="str">
        <f aca="false">IF($A110="","",IF(R110="","",R110+Q110))</f>
        <v/>
      </c>
      <c r="T110" s="43" t="str">
        <f aca="false">IF($A110="","",IF(OR(S110="",N110&lt;=0),"",S110/1000*12/N110))</f>
        <v/>
      </c>
      <c r="U110" s="52" t="str">
        <f aca="false">IF($A110="","",IF(OR(T110="",J110=0,J110=""),"",T110/J110))</f>
        <v/>
      </c>
      <c r="V110" s="52" t="str">
        <f aca="false">IF($A110="","",IF(OR(R110="",N110&lt;=0,J110=0,J110=""),"",(R110/1000*12/N110)/J110))</f>
        <v/>
      </c>
      <c r="W110" s="52" t="str">
        <f aca="false">IF($A110="","",IF(OR(T110="",K110=0,K110=""),"",T110/K110))</f>
        <v/>
      </c>
      <c r="X110" s="43" t="n">
        <f aca="false">IF($A110="","",IF(OR(N110&lt;=0,I110=0,I110="",O110=0),"",O110*1000/(I110*0.3025)/N110))</f>
        <v>25238.0577788371</v>
      </c>
      <c r="Y110" s="50" t="str">
        <f aca="false">IF($A110="","",IF(OR(O110=0,O110="",P110=0),"",P110/O110))</f>
        <v/>
      </c>
      <c r="Z110" s="17" t="str">
        <f aca="false">IF($A110="","",IFERROR(INDEX(物件収支!$E:$E,MATCH($A110,物件収支!$A:$A,0)),""))</f>
        <v>一部開示（収益のみ）</v>
      </c>
    </row>
    <row r="111" customFormat="false" ht="15" hidden="false" customHeight="true" outlineLevel="0" collapsed="false">
      <c r="A111" s="17" t="str">
        <f aca="false">IF(物件マスタ!A111="","",物件マスタ!A111)</f>
        <v>DOI-56</v>
      </c>
      <c r="B111" s="17" t="str">
        <f aca="false">IF($A111="","",物件マスタ!B111)</f>
        <v>DOI</v>
      </c>
      <c r="C111" s="17" t="str">
        <f aca="false">IF($A111="","",IFERROR(INDEX(法人マスタ!$C:$C,MATCH($B111,法人マスタ!$A:$A,0)),""))</f>
        <v>大和証券オフィス投資法人</v>
      </c>
      <c r="D111" s="17" t="str">
        <f aca="false">IF($A111="","",物件マスタ!C111)</f>
        <v>Ｄａｉｗａ荻窪ビル</v>
      </c>
      <c r="E111" s="17" t="str">
        <f aca="false">IF($A111="","",物件マスタ!H111)</f>
        <v>その他東京23区</v>
      </c>
      <c r="F111" s="48" t="n">
        <f aca="false">IF($A111="","",物件マスタ!P111)</f>
        <v>33178</v>
      </c>
      <c r="G111" s="34" t="n">
        <f aca="false">IF($A111="","",物件マスタ!Q111)</f>
        <v>35.8</v>
      </c>
      <c r="H111" s="49" t="n">
        <f aca="false">IF($A111="","",物件マスタ!L111)</f>
        <v>0</v>
      </c>
      <c r="I111" s="49" t="n">
        <f aca="false">IF($A111="","",物件マスタ!M111)</f>
        <v>3849.63</v>
      </c>
      <c r="J111" s="43" t="n">
        <f aca="false">IF($A111="","",物件マスタ!S111)</f>
        <v>3800</v>
      </c>
      <c r="K111" s="43" t="n">
        <f aca="false">IF($A111="","",物件マスタ!U111)</f>
        <v>5240</v>
      </c>
      <c r="L111" s="50" t="n">
        <f aca="false">IF($A111="","",物件マスタ!W111)</f>
        <v>1</v>
      </c>
      <c r="M111" s="17" t="str">
        <f aca="false">IF($A111="","",IFERROR(INDEX(法人マスタ!$H:$H,MATCH($B111,法人マスタ!$A:$A,0)),""))</f>
        <v>2026年5月期（第41期）</v>
      </c>
      <c r="N111" s="51" t="n">
        <f aca="false">IF($A111="","",SUMIFS(物件収支!$D:$D,物件収支!$A:$A,$A111,物件収支!$C:$C,$M111))</f>
        <v>6</v>
      </c>
      <c r="O111" s="43" t="n">
        <f aca="false">IF($A111="","",SUMIFS(物件収支!$F:$F,物件収支!$A:$A,$A111,物件収支!$C:$C,$M111))</f>
        <v>141501</v>
      </c>
      <c r="P111" s="43" t="n">
        <f aca="false">IF($A111="","",SUMIFS(物件収支!$I:$I,物件収支!$A:$A,$A111,物件収支!$C:$C,$M111))</f>
        <v>0</v>
      </c>
      <c r="Q111" s="43" t="n">
        <f aca="false">IF($A111="","",SUMIFS(物件収支!$O:$O,物件収支!$A:$A,$A111,物件収支!$C:$C,$M111))</f>
        <v>0</v>
      </c>
      <c r="R111" s="43" t="str">
        <f aca="false">IF($A111="","",IF(P111=0,"",O111-P111))</f>
        <v/>
      </c>
      <c r="S111" s="43" t="str">
        <f aca="false">IF($A111="","",IF(R111="","",R111+Q111))</f>
        <v/>
      </c>
      <c r="T111" s="43" t="str">
        <f aca="false">IF($A111="","",IF(OR(S111="",N111&lt;=0),"",S111/1000*12/N111))</f>
        <v/>
      </c>
      <c r="U111" s="52" t="str">
        <f aca="false">IF($A111="","",IF(OR(T111="",J111=0,J111=""),"",T111/J111))</f>
        <v/>
      </c>
      <c r="V111" s="52" t="str">
        <f aca="false">IF($A111="","",IF(OR(R111="",N111&lt;=0,J111=0,J111=""),"",(R111/1000*12/N111)/J111))</f>
        <v/>
      </c>
      <c r="W111" s="52" t="str">
        <f aca="false">IF($A111="","",IF(OR(T111="",K111=0,K111=""),"",T111/K111))</f>
        <v/>
      </c>
      <c r="X111" s="43" t="n">
        <f aca="false">IF($A111="","",IF(OR(N111&lt;=0,I111=0,I111="",O111=0),"",O111*1000/(I111*0.3025)/N111))</f>
        <v>20251.8121146901</v>
      </c>
      <c r="Y111" s="50" t="str">
        <f aca="false">IF($A111="","",IF(OR(O111=0,O111="",P111=0),"",P111/O111))</f>
        <v/>
      </c>
      <c r="Z111" s="17" t="str">
        <f aca="false">IF($A111="","",IFERROR(INDEX(物件収支!$E:$E,MATCH($A111,物件収支!$A:$A,0)),""))</f>
        <v>一部開示（収益のみ）</v>
      </c>
    </row>
    <row r="112" customFormat="false" ht="15" hidden="false" customHeight="true" outlineLevel="0" collapsed="false">
      <c r="A112" s="17" t="str">
        <f aca="false">IF(物件マスタ!A112="","",物件マスタ!A112)</f>
        <v>DOI-57</v>
      </c>
      <c r="B112" s="17" t="str">
        <f aca="false">IF($A112="","",物件マスタ!B112)</f>
        <v>DOI</v>
      </c>
      <c r="C112" s="17" t="str">
        <f aca="false">IF($A112="","",IFERROR(INDEX(法人マスタ!$C:$C,MATCH($B112,法人マスタ!$A:$A,0)),""))</f>
        <v>大和証券オフィス投資法人</v>
      </c>
      <c r="D112" s="17" t="str">
        <f aca="false">IF($A112="","",物件マスタ!C112)</f>
        <v>コンカード横浜</v>
      </c>
      <c r="E112" s="17" t="str">
        <f aca="false">IF($A112="","",物件マスタ!H112)</f>
        <v>東京周辺都市部</v>
      </c>
      <c r="F112" s="48" t="n">
        <f aca="false">IF($A112="","",物件マスタ!P112)</f>
        <v>39479</v>
      </c>
      <c r="G112" s="34" t="n">
        <f aca="false">IF($A112="","",物件マスタ!Q112)</f>
        <v>18.5</v>
      </c>
      <c r="H112" s="49" t="n">
        <f aca="false">IF($A112="","",物件マスタ!L112)</f>
        <v>0</v>
      </c>
      <c r="I112" s="49" t="n">
        <f aca="false">IF($A112="","",物件マスタ!M112)</f>
        <v>28052.98</v>
      </c>
      <c r="J112" s="43" t="n">
        <f aca="false">IF($A112="","",物件マスタ!S112)</f>
        <v>38100</v>
      </c>
      <c r="K112" s="43" t="n">
        <f aca="false">IF($A112="","",物件マスタ!U112)</f>
        <v>42200</v>
      </c>
      <c r="L112" s="50" t="n">
        <f aca="false">IF($A112="","",物件マスタ!W112)</f>
        <v>1</v>
      </c>
      <c r="M112" s="17" t="str">
        <f aca="false">IF($A112="","",IFERROR(INDEX(法人マスタ!$H:$H,MATCH($B112,法人マスタ!$A:$A,0)),""))</f>
        <v>2026年5月期（第41期）</v>
      </c>
      <c r="N112" s="51" t="n">
        <f aca="false">IF($A112="","",SUMIFS(物件収支!$D:$D,物件収支!$A:$A,$A112,物件収支!$C:$C,$M112))</f>
        <v>6</v>
      </c>
      <c r="O112" s="43" t="n">
        <f aca="false">IF($A112="","",SUMIFS(物件収支!$F:$F,物件収支!$A:$A,$A112,物件収支!$C:$C,$M112))</f>
        <v>1110272</v>
      </c>
      <c r="P112" s="43" t="n">
        <f aca="false">IF($A112="","",SUMIFS(物件収支!$I:$I,物件収支!$A:$A,$A112,物件収支!$C:$C,$M112))</f>
        <v>0</v>
      </c>
      <c r="Q112" s="43" t="n">
        <f aca="false">IF($A112="","",SUMIFS(物件収支!$O:$O,物件収支!$A:$A,$A112,物件収支!$C:$C,$M112))</f>
        <v>0</v>
      </c>
      <c r="R112" s="43" t="str">
        <f aca="false">IF($A112="","",IF(P112=0,"",O112-P112))</f>
        <v/>
      </c>
      <c r="S112" s="43" t="str">
        <f aca="false">IF($A112="","",IF(R112="","",R112+Q112))</f>
        <v/>
      </c>
      <c r="T112" s="43" t="str">
        <f aca="false">IF($A112="","",IF(OR(S112="",N112&lt;=0),"",S112/1000*12/N112))</f>
        <v/>
      </c>
      <c r="U112" s="52" t="str">
        <f aca="false">IF($A112="","",IF(OR(T112="",J112=0,J112=""),"",T112/J112))</f>
        <v/>
      </c>
      <c r="V112" s="52" t="str">
        <f aca="false">IF($A112="","",IF(OR(R112="",N112&lt;=0,J112=0,J112=""),"",(R112/1000*12/N112)/J112))</f>
        <v/>
      </c>
      <c r="W112" s="52" t="str">
        <f aca="false">IF($A112="","",IF(OR(T112="",K112=0,K112=""),"",T112/K112))</f>
        <v/>
      </c>
      <c r="X112" s="43" t="n">
        <f aca="false">IF($A112="","",IF(OR(N112&lt;=0,I112=0,I112="",O112=0),"",O112*1000/(I112*0.3025)/N112))</f>
        <v>21805.8869393853</v>
      </c>
      <c r="Y112" s="50" t="str">
        <f aca="false">IF($A112="","",IF(OR(O112=0,O112="",P112=0),"",P112/O112))</f>
        <v/>
      </c>
      <c r="Z112" s="17" t="str">
        <f aca="false">IF($A112="","",IFERROR(INDEX(物件収支!$E:$E,MATCH($A112,物件収支!$A:$A,0)),""))</f>
        <v>一部開示（収益のみ）</v>
      </c>
    </row>
    <row r="113" customFormat="false" ht="15" hidden="false" customHeight="true" outlineLevel="0" collapsed="false">
      <c r="A113" s="17" t="str">
        <f aca="false">IF(物件マスタ!A113="","",物件マスタ!A113)</f>
        <v>DOI-58</v>
      </c>
      <c r="B113" s="17" t="str">
        <f aca="false">IF($A113="","",物件マスタ!B113)</f>
        <v>DOI</v>
      </c>
      <c r="C113" s="17" t="str">
        <f aca="false">IF($A113="","",IFERROR(INDEX(法人マスタ!$C:$C,MATCH($B113,法人マスタ!$A:$A,0)),""))</f>
        <v>大和証券オフィス投資法人</v>
      </c>
      <c r="D113" s="17" t="str">
        <f aca="false">IF($A113="","",物件マスタ!C113)</f>
        <v>Ｄａｉｗａ品川御殿山ビル</v>
      </c>
      <c r="E113" s="17" t="str">
        <f aca="false">IF($A113="","",物件マスタ!H113)</f>
        <v>その他東京23区</v>
      </c>
      <c r="F113" s="48" t="n">
        <f aca="false">IF($A113="","",物件マスタ!P113)</f>
        <v>33786</v>
      </c>
      <c r="G113" s="34" t="n">
        <f aca="false">IF($A113="","",物件マスタ!Q113)</f>
        <v>34.1</v>
      </c>
      <c r="H113" s="49" t="n">
        <f aca="false">IF($A113="","",物件マスタ!L113)</f>
        <v>0</v>
      </c>
      <c r="I113" s="49" t="n">
        <f aca="false">IF($A113="","",物件マスタ!M113)</f>
        <v>2396.96</v>
      </c>
      <c r="J113" s="43" t="n">
        <f aca="false">IF($A113="","",物件マスタ!S113)</f>
        <v>2500</v>
      </c>
      <c r="K113" s="43" t="n">
        <f aca="false">IF($A113="","",物件マスタ!U113)</f>
        <v>2880</v>
      </c>
      <c r="L113" s="50" t="n">
        <f aca="false">IF($A113="","",物件マスタ!W113)</f>
        <v>1</v>
      </c>
      <c r="M113" s="17" t="str">
        <f aca="false">IF($A113="","",IFERROR(INDEX(法人マスタ!$H:$H,MATCH($B113,法人マスタ!$A:$A,0)),""))</f>
        <v>2026年5月期（第41期）</v>
      </c>
      <c r="N113" s="51" t="n">
        <f aca="false">IF($A113="","",SUMIFS(物件収支!$D:$D,物件収支!$A:$A,$A113,物件収支!$C:$C,$M113))</f>
        <v>6</v>
      </c>
      <c r="O113" s="43" t="n">
        <f aca="false">IF($A113="","",SUMIFS(物件収支!$F:$F,物件収支!$A:$A,$A113,物件収支!$C:$C,$M113))</f>
        <v>81789</v>
      </c>
      <c r="P113" s="43" t="n">
        <f aca="false">IF($A113="","",SUMIFS(物件収支!$I:$I,物件収支!$A:$A,$A113,物件収支!$C:$C,$M113))</f>
        <v>0</v>
      </c>
      <c r="Q113" s="43" t="n">
        <f aca="false">IF($A113="","",SUMIFS(物件収支!$O:$O,物件収支!$A:$A,$A113,物件収支!$C:$C,$M113))</f>
        <v>0</v>
      </c>
      <c r="R113" s="43" t="str">
        <f aca="false">IF($A113="","",IF(P113=0,"",O113-P113))</f>
        <v/>
      </c>
      <c r="S113" s="43" t="str">
        <f aca="false">IF($A113="","",IF(R113="","",R113+Q113))</f>
        <v/>
      </c>
      <c r="T113" s="43" t="str">
        <f aca="false">IF($A113="","",IF(OR(S113="",N113&lt;=0),"",S113/1000*12/N113))</f>
        <v/>
      </c>
      <c r="U113" s="52" t="str">
        <f aca="false">IF($A113="","",IF(OR(T113="",J113=0,J113=""),"",T113/J113))</f>
        <v/>
      </c>
      <c r="V113" s="52" t="str">
        <f aca="false">IF($A113="","",IF(OR(R113="",N113&lt;=0,J113=0,J113=""),"",(R113/1000*12/N113)/J113))</f>
        <v/>
      </c>
      <c r="W113" s="52" t="str">
        <f aca="false">IF($A113="","",IF(OR(T113="",K113=0,K113=""),"",T113/K113))</f>
        <v/>
      </c>
      <c r="X113" s="43" t="n">
        <f aca="false">IF($A113="","",IF(OR(N113&lt;=0,I113=0,I113="",O113=0),"",O113*1000/(I113*0.3025)/N113))</f>
        <v>18799.9841121067</v>
      </c>
      <c r="Y113" s="50" t="str">
        <f aca="false">IF($A113="","",IF(OR(O113=0,O113="",P113=0),"",P113/O113))</f>
        <v/>
      </c>
      <c r="Z113" s="17" t="str">
        <f aca="false">IF($A113="","",IFERROR(INDEX(物件収支!$E:$E,MATCH($A113,物件収支!$A:$A,0)),""))</f>
        <v>一部開示（収益のみ）</v>
      </c>
    </row>
    <row r="114" customFormat="false" ht="15" hidden="false" customHeight="true" outlineLevel="0" collapsed="false">
      <c r="A114" s="17" t="str">
        <f aca="false">IF(物件マスタ!A114="","",物件マスタ!A114)</f>
        <v>DOI-59</v>
      </c>
      <c r="B114" s="17" t="str">
        <f aca="false">IF($A114="","",物件マスタ!B114)</f>
        <v>DOI</v>
      </c>
      <c r="C114" s="17" t="str">
        <f aca="false">IF($A114="","",IFERROR(INDEX(法人マスタ!$C:$C,MATCH($B114,法人マスタ!$A:$A,0)),""))</f>
        <v>大和証券オフィス投資法人</v>
      </c>
      <c r="D114" s="17" t="str">
        <f aca="false">IF($A114="","",物件マスタ!C114)</f>
        <v>Ｄａｉｗａ中野坂上ビル</v>
      </c>
      <c r="E114" s="17" t="str">
        <f aca="false">IF($A114="","",物件マスタ!H114)</f>
        <v>その他東京23区</v>
      </c>
      <c r="F114" s="48" t="n">
        <f aca="false">IF($A114="","",物件マスタ!P114)</f>
        <v>34700</v>
      </c>
      <c r="G114" s="34" t="n">
        <f aca="false">IF($A114="","",物件マスタ!Q114)</f>
        <v>31.6</v>
      </c>
      <c r="H114" s="49" t="n">
        <f aca="false">IF($A114="","",物件マスタ!L114)</f>
        <v>0</v>
      </c>
      <c r="I114" s="49" t="n">
        <f aca="false">IF($A114="","",物件マスタ!M114)</f>
        <v>2716.92</v>
      </c>
      <c r="J114" s="43" t="n">
        <f aca="false">IF($A114="","",物件マスタ!S114)</f>
        <v>2750</v>
      </c>
      <c r="K114" s="43" t="n">
        <f aca="false">IF($A114="","",物件マスタ!U114)</f>
        <v>2320</v>
      </c>
      <c r="L114" s="50" t="n">
        <f aca="false">IF($A114="","",物件マスタ!W114)</f>
        <v>1</v>
      </c>
      <c r="M114" s="17" t="str">
        <f aca="false">IF($A114="","",IFERROR(INDEX(法人マスタ!$H:$H,MATCH($B114,法人マスタ!$A:$A,0)),""))</f>
        <v>2026年5月期（第41期）</v>
      </c>
      <c r="N114" s="51" t="n">
        <f aca="false">IF($A114="","",SUMIFS(物件収支!$D:$D,物件収支!$A:$A,$A114,物件収支!$C:$C,$M114))</f>
        <v>6</v>
      </c>
      <c r="O114" s="43" t="n">
        <f aca="false">IF($A114="","",SUMIFS(物件収支!$F:$F,物件収支!$A:$A,$A114,物件収支!$C:$C,$M114))</f>
        <v>77739</v>
      </c>
      <c r="P114" s="43" t="n">
        <f aca="false">IF($A114="","",SUMIFS(物件収支!$I:$I,物件収支!$A:$A,$A114,物件収支!$C:$C,$M114))</f>
        <v>0</v>
      </c>
      <c r="Q114" s="43" t="n">
        <f aca="false">IF($A114="","",SUMIFS(物件収支!$O:$O,物件収支!$A:$A,$A114,物件収支!$C:$C,$M114))</f>
        <v>0</v>
      </c>
      <c r="R114" s="43" t="str">
        <f aca="false">IF($A114="","",IF(P114=0,"",O114-P114))</f>
        <v/>
      </c>
      <c r="S114" s="43" t="str">
        <f aca="false">IF($A114="","",IF(R114="","",R114+Q114))</f>
        <v/>
      </c>
      <c r="T114" s="43" t="str">
        <f aca="false">IF($A114="","",IF(OR(S114="",N114&lt;=0),"",S114/1000*12/N114))</f>
        <v/>
      </c>
      <c r="U114" s="52" t="str">
        <f aca="false">IF($A114="","",IF(OR(T114="",J114=0,J114=""),"",T114/J114))</f>
        <v/>
      </c>
      <c r="V114" s="52" t="str">
        <f aca="false">IF($A114="","",IF(OR(R114="",N114&lt;=0,J114=0,J114=""),"",(R114/1000*12/N114)/J114))</f>
        <v/>
      </c>
      <c r="W114" s="52" t="str">
        <f aca="false">IF($A114="","",IF(OR(T114="",K114=0,K114=""),"",T114/K114))</f>
        <v/>
      </c>
      <c r="X114" s="43" t="n">
        <f aca="false">IF($A114="","",IF(OR(N114&lt;=0,I114=0,I114="",O114=0),"",O114*1000/(I114*0.3025)/N114))</f>
        <v>15764.6912528443</v>
      </c>
      <c r="Y114" s="50" t="str">
        <f aca="false">IF($A114="","",IF(OR(O114=0,O114="",P114=0),"",P114/O114))</f>
        <v/>
      </c>
      <c r="Z114" s="17" t="str">
        <f aca="false">IF($A114="","",IFERROR(INDEX(物件収支!$E:$E,MATCH($A114,物件収支!$A:$A,0)),""))</f>
        <v>一部開示（収益のみ）</v>
      </c>
    </row>
    <row r="115" customFormat="false" ht="15" hidden="false" customHeight="true" outlineLevel="0" collapsed="false">
      <c r="A115" s="17" t="str">
        <f aca="false">IF(物件マスタ!A115="","",物件マスタ!A115)</f>
        <v>DOI-60</v>
      </c>
      <c r="B115" s="17" t="str">
        <f aca="false">IF($A115="","",物件マスタ!B115)</f>
        <v>DOI</v>
      </c>
      <c r="C115" s="17" t="str">
        <f aca="false">IF($A115="","",IFERROR(INDEX(法人マスタ!$C:$C,MATCH($B115,法人マスタ!$A:$A,0)),""))</f>
        <v>大和証券オフィス投資法人</v>
      </c>
      <c r="D115" s="17" t="str">
        <f aca="false">IF($A115="","",物件マスタ!C115)</f>
        <v>Ｄａｉｗａ北浜ビル</v>
      </c>
      <c r="E115" s="17" t="str">
        <f aca="false">IF($A115="","",物件マスタ!H115)</f>
        <v>その他3大都市圏</v>
      </c>
      <c r="F115" s="48" t="n">
        <f aca="false">IF($A115="","",物件マスタ!P115)</f>
        <v>39479</v>
      </c>
      <c r="G115" s="34" t="n">
        <f aca="false">IF($A115="","",物件マスタ!Q115)</f>
        <v>18.5</v>
      </c>
      <c r="H115" s="49" t="n">
        <f aca="false">IF($A115="","",物件マスタ!L115)</f>
        <v>0</v>
      </c>
      <c r="I115" s="49" t="n">
        <f aca="false">IF($A115="","",物件マスタ!M115)</f>
        <v>13517.62</v>
      </c>
      <c r="J115" s="43" t="n">
        <f aca="false">IF($A115="","",物件マスタ!S115)</f>
        <v>9481</v>
      </c>
      <c r="K115" s="43" t="n">
        <f aca="false">IF($A115="","",物件マスタ!U115)</f>
        <v>14800</v>
      </c>
      <c r="L115" s="50" t="n">
        <f aca="false">IF($A115="","",物件マスタ!W115)</f>
        <v>1</v>
      </c>
      <c r="M115" s="17" t="str">
        <f aca="false">IF($A115="","",IFERROR(INDEX(法人マスタ!$H:$H,MATCH($B115,法人マスタ!$A:$A,0)),""))</f>
        <v>2026年5月期（第41期）</v>
      </c>
      <c r="N115" s="51" t="n">
        <f aca="false">IF($A115="","",SUMIFS(物件収支!$D:$D,物件収支!$A:$A,$A115,物件収支!$C:$C,$M115))</f>
        <v>6</v>
      </c>
      <c r="O115" s="43" t="n">
        <f aca="false">IF($A115="","",SUMIFS(物件収支!$F:$F,物件収支!$A:$A,$A115,物件収支!$C:$C,$M115))</f>
        <v>414499</v>
      </c>
      <c r="P115" s="43" t="n">
        <f aca="false">IF($A115="","",SUMIFS(物件収支!$I:$I,物件収支!$A:$A,$A115,物件収支!$C:$C,$M115))</f>
        <v>0</v>
      </c>
      <c r="Q115" s="43" t="n">
        <f aca="false">IF($A115="","",SUMIFS(物件収支!$O:$O,物件収支!$A:$A,$A115,物件収支!$C:$C,$M115))</f>
        <v>0</v>
      </c>
      <c r="R115" s="43" t="str">
        <f aca="false">IF($A115="","",IF(P115=0,"",O115-P115))</f>
        <v/>
      </c>
      <c r="S115" s="43" t="str">
        <f aca="false">IF($A115="","",IF(R115="","",R115+Q115))</f>
        <v/>
      </c>
      <c r="T115" s="43" t="str">
        <f aca="false">IF($A115="","",IF(OR(S115="",N115&lt;=0),"",S115/1000*12/N115))</f>
        <v/>
      </c>
      <c r="U115" s="52" t="str">
        <f aca="false">IF($A115="","",IF(OR(T115="",J115=0,J115=""),"",T115/J115))</f>
        <v/>
      </c>
      <c r="V115" s="52" t="str">
        <f aca="false">IF($A115="","",IF(OR(R115="",N115&lt;=0,J115=0,J115=""),"",(R115/1000*12/N115)/J115))</f>
        <v/>
      </c>
      <c r="W115" s="52" t="str">
        <f aca="false">IF($A115="","",IF(OR(T115="",K115=0,K115=""),"",T115/K115))</f>
        <v/>
      </c>
      <c r="X115" s="43" t="n">
        <f aca="false">IF($A115="","",IF(OR(N115&lt;=0,I115=0,I115="",O115=0),"",O115*1000/(I115*0.3025)/N115))</f>
        <v>16894.5498307539</v>
      </c>
      <c r="Y115" s="50" t="str">
        <f aca="false">IF($A115="","",IF(OR(O115=0,O115="",P115=0),"",P115/O115))</f>
        <v/>
      </c>
      <c r="Z115" s="17" t="str">
        <f aca="false">IF($A115="","",IFERROR(INDEX(物件収支!$E:$E,MATCH($A115,物件収支!$A:$A,0)),""))</f>
        <v>一部開示（収益のみ）</v>
      </c>
    </row>
    <row r="116" customFormat="false" ht="15" hidden="false" customHeight="true" outlineLevel="0" collapsed="false">
      <c r="A116" s="17" t="str">
        <f aca="false">IF(物件マスタ!A116="","",物件マスタ!A116)</f>
        <v>DOI-ALL</v>
      </c>
      <c r="B116" s="17" t="str">
        <f aca="false">IF($A116="","",物件マスタ!B116)</f>
        <v>DOI</v>
      </c>
      <c r="C116" s="17" t="str">
        <f aca="false">IF($A116="","",IFERROR(INDEX(法人マスタ!$C:$C,MATCH($B116,法人マスタ!$A:$A,0)),""))</f>
        <v>大和証券オフィス投資法人</v>
      </c>
      <c r="D116" s="17" t="str">
        <f aca="false">IF($A116="","",物件マスタ!C116)</f>
        <v>【DOIポートフォリオ全体】</v>
      </c>
      <c r="E116" s="17" t="str">
        <f aca="false">IF($A116="","",物件マスタ!H116)</f>
        <v>─</v>
      </c>
      <c r="F116" s="48" t="n">
        <f aca="false">IF($A116="","",物件マスタ!P116)</f>
        <v>0</v>
      </c>
      <c r="G116" s="34" t="str">
        <f aca="false">IF($A116="","",物件マスタ!Q116)</f>
        <v/>
      </c>
      <c r="H116" s="49" t="n">
        <f aca="false">IF($A116="","",物件マスタ!L116)</f>
        <v>0</v>
      </c>
      <c r="I116" s="49" t="n">
        <f aca="false">IF($A116="","",物件マスタ!M116)</f>
        <v>365092.05</v>
      </c>
      <c r="J116" s="43" t="n">
        <f aca="false">IF($A116="","",物件マスタ!S116)</f>
        <v>487709</v>
      </c>
      <c r="K116" s="43" t="n">
        <f aca="false">IF($A116="","",物件マスタ!U116)</f>
        <v>628000</v>
      </c>
      <c r="L116" s="50" t="n">
        <f aca="false">IF($A116="","",物件マスタ!W116)</f>
        <v>0.991</v>
      </c>
      <c r="M116" s="17" t="str">
        <f aca="false">IF($A116="","",IFERROR(INDEX(法人マスタ!$H:$H,MATCH($B116,法人マスタ!$A:$A,0)),""))</f>
        <v>2026年5月期（第41期）</v>
      </c>
      <c r="N116" s="51" t="n">
        <f aca="false">IF($A116="","",SUMIFS(物件収支!$D:$D,物件収支!$A:$A,$A116,物件収支!$C:$C,$M116))</f>
        <v>6</v>
      </c>
      <c r="O116" s="43" t="n">
        <f aca="false">IF($A116="","",SUMIFS(物件収支!$F:$F,物件収支!$A:$A,$A116,物件収支!$C:$C,$M116))</f>
        <v>14926240</v>
      </c>
      <c r="P116" s="43" t="n">
        <f aca="false">IF($A116="","",SUMIFS(物件収支!$I:$I,物件収支!$A:$A,$A116,物件収支!$C:$C,$M116))</f>
        <v>5794624</v>
      </c>
      <c r="Q116" s="43" t="n">
        <f aca="false">IF($A116="","",SUMIFS(物件収支!$O:$O,物件収支!$A:$A,$A116,物件収支!$C:$C,$M116))</f>
        <v>1917809</v>
      </c>
      <c r="R116" s="43" t="n">
        <f aca="false">IF($A116="","",IF(P116=0,"",O116-P116))</f>
        <v>9131616</v>
      </c>
      <c r="S116" s="43" t="n">
        <f aca="false">IF($A116="","",IF(R116="","",R116+Q116))</f>
        <v>11049425</v>
      </c>
      <c r="T116" s="43" t="n">
        <f aca="false">IF($A116="","",IF(OR(S116="",N116&lt;=0),"",S116/1000*12/N116))</f>
        <v>22098.85</v>
      </c>
      <c r="U116" s="52" t="n">
        <f aca="false">IF($A116="","",IF(OR(T116="",J116=0,J116=""),"",T116/J116))</f>
        <v>0.0453115484848547</v>
      </c>
      <c r="V116" s="52" t="n">
        <f aca="false">IF($A116="","",IF(OR(R116="",N116&lt;=0,J116=0,J116=""),"",(R116/1000*12/N116)/J116))</f>
        <v>0.03744698580506</v>
      </c>
      <c r="W116" s="52" t="n">
        <f aca="false">IF($A116="","",IF(OR(T116="",K116=0,K116=""),"",T116/K116))</f>
        <v>0.0351892515923567</v>
      </c>
      <c r="X116" s="43" t="n">
        <f aca="false">IF($A116="","",IF(OR(N116&lt;=0,I116=0,I116="",O116=0),"",O116*1000/(I116*0.3025)/N116))</f>
        <v>22525.3431058278</v>
      </c>
      <c r="Y116" s="50" t="n">
        <f aca="false">IF($A116="","",IF(OR(O116=0,O116="",P116=0),"",P116/O116))</f>
        <v>0.388217260341519</v>
      </c>
      <c r="Z116" s="17" t="str">
        <f aca="false">IF($A116="","",IFERROR(INDEX(物件収支!$E:$E,MATCH($A116,物件収支!$A:$A,0)),""))</f>
        <v>開示（法人一括）</v>
      </c>
    </row>
    <row r="117" customFormat="false" ht="15" hidden="false" customHeight="true" outlineLevel="0" collapsed="false">
      <c r="A117" s="17" t="str">
        <f aca="false">IF(物件マスタ!A117="","",物件マスタ!A117)</f>
        <v>MHR-01</v>
      </c>
      <c r="B117" s="17" t="str">
        <f aca="false">IF($A117="","",物件マスタ!B117)</f>
        <v>MHR</v>
      </c>
      <c r="C117" s="17" t="str">
        <f aca="false">IF($A117="","",IFERROR(INDEX(法人マスタ!$C:$C,MATCH($B117,法人マスタ!$A:$A,0)),""))</f>
        <v>森ヒルズリート投資法人</v>
      </c>
      <c r="D117" s="17" t="str">
        <f aca="false">IF($A117="","",物件マスタ!C117)</f>
        <v>六本木ヒルズ森タワー</v>
      </c>
      <c r="E117" s="17" t="str">
        <f aca="false">IF($A117="","",物件マスタ!H117)</f>
        <v>都心5区</v>
      </c>
      <c r="F117" s="48" t="n">
        <f aca="false">IF($A117="","",物件マスタ!P117)</f>
        <v>37712</v>
      </c>
      <c r="G117" s="34" t="n">
        <f aca="false">IF($A117="","",物件マスタ!Q117)</f>
        <v>23.4</v>
      </c>
      <c r="H117" s="49" t="n">
        <f aca="false">IF($A117="","",物件マスタ!L117)</f>
        <v>442150.7</v>
      </c>
      <c r="I117" s="49" t="n">
        <f aca="false">IF($A117="","",物件マスタ!M117)</f>
        <v>43041.54</v>
      </c>
      <c r="J117" s="43" t="n">
        <f aca="false">IF($A117="","",物件マスタ!S117)</f>
        <v>115380</v>
      </c>
      <c r="K117" s="43" t="n">
        <f aca="false">IF($A117="","",物件マスタ!U117)</f>
        <v>159200</v>
      </c>
      <c r="L117" s="50" t="n">
        <f aca="false">IF($A117="","",物件マスタ!W117)</f>
        <v>1</v>
      </c>
      <c r="M117" s="17" t="str">
        <f aca="false">IF($A117="","",IFERROR(INDEX(法人マスタ!$H:$H,MATCH($B117,法人マスタ!$A:$A,0)),""))</f>
        <v>2026年1月期（第39期）</v>
      </c>
      <c r="N117" s="51" t="n">
        <f aca="false">IF($A117="","",SUMIFS(物件収支!$D:$D,物件収支!$A:$A,$A117,物件収支!$C:$C,$M117))</f>
        <v>6</v>
      </c>
      <c r="O117" s="43" t="n">
        <f aca="false">IF($A117="","",SUMIFS(物件収支!$F:$F,物件収支!$A:$A,$A117,物件収支!$C:$C,$M117))</f>
        <v>2851394</v>
      </c>
      <c r="P117" s="43" t="n">
        <f aca="false">IF($A117="","",SUMIFS(物件収支!$I:$I,物件収支!$A:$A,$A117,物件収支!$C:$C,$M117))</f>
        <v>1001160</v>
      </c>
      <c r="Q117" s="43" t="n">
        <f aca="false">IF($A117="","",SUMIFS(物件収支!$O:$O,物件収支!$A:$A,$A117,物件収支!$C:$C,$M117))</f>
        <v>267849</v>
      </c>
      <c r="R117" s="43" t="n">
        <f aca="false">IF($A117="","",IF(P117=0,"",O117-P117))</f>
        <v>1850234</v>
      </c>
      <c r="S117" s="43" t="n">
        <f aca="false">IF($A117="","",IF(R117="","",R117+Q117))</f>
        <v>2118083</v>
      </c>
      <c r="T117" s="43" t="n">
        <f aca="false">IF($A117="","",IF(OR(S117="",N117&lt;=0),"",S117/1000*12/N117))</f>
        <v>4236.166</v>
      </c>
      <c r="U117" s="52" t="n">
        <f aca="false">IF($A117="","",IF(OR(T117="",J117=0,J117=""),"",T117/J117))</f>
        <v>0.0367149072629572</v>
      </c>
      <c r="V117" s="52" t="n">
        <f aca="false">IF($A117="","",IF(OR(R117="",N117&lt;=0,J117=0,J117=""),"",(R117/1000*12/N117)/J117))</f>
        <v>0.0320720055468885</v>
      </c>
      <c r="W117" s="52" t="n">
        <f aca="false">IF($A117="","",IF(OR(T117="",K117=0,K117=""),"",T117/K117))</f>
        <v>0.0266090829145729</v>
      </c>
      <c r="X117" s="43" t="n">
        <f aca="false">IF($A117="","",IF(OR(N117&lt;=0,I117=0,I117="",O117=0),"",O117*1000/(I117*0.3025)/N117))</f>
        <v>36499.9946089622</v>
      </c>
      <c r="Y117" s="50" t="n">
        <f aca="false">IF($A117="","",IF(OR(O117=0,O117="",P117=0),"",P117/O117))</f>
        <v>0.351112473407744</v>
      </c>
      <c r="Z117" s="17" t="str">
        <f aca="false">IF($A117="","",IFERROR(INDEX(物件収支!$E:$E,MATCH($A117,物件収支!$A:$A,0)),""))</f>
        <v>開示（物件別・費用内訳含む）</v>
      </c>
    </row>
    <row r="118" customFormat="false" ht="15" hidden="false" customHeight="true" outlineLevel="0" collapsed="false">
      <c r="A118" s="17" t="str">
        <f aca="false">IF(物件マスタ!A118="","",物件マスタ!A118)</f>
        <v>MHR-02</v>
      </c>
      <c r="B118" s="17" t="str">
        <f aca="false">IF($A118="","",物件マスタ!B118)</f>
        <v>MHR</v>
      </c>
      <c r="C118" s="17" t="str">
        <f aca="false">IF($A118="","",IFERROR(INDEX(法人マスタ!$C:$C,MATCH($B118,法人マスタ!$A:$A,0)),""))</f>
        <v>森ヒルズリート投資法人</v>
      </c>
      <c r="D118" s="17" t="str">
        <f aca="false">IF($A118="","",物件マスタ!C118)</f>
        <v>アーク森ビル</v>
      </c>
      <c r="E118" s="17" t="str">
        <f aca="false">IF($A118="","",物件マスタ!H118)</f>
        <v>都心5区</v>
      </c>
      <c r="F118" s="48" t="n">
        <f aca="false">IF($A118="","",物件マスタ!P118)</f>
        <v>31472</v>
      </c>
      <c r="G118" s="34" t="n">
        <f aca="false">IF($A118="","",物件マスタ!Q118)</f>
        <v>40.4</v>
      </c>
      <c r="H118" s="49" t="n">
        <f aca="false">IF($A118="","",物件マスタ!L118)</f>
        <v>177486.95</v>
      </c>
      <c r="I118" s="49" t="n">
        <f aca="false">IF($A118="","",物件マスタ!M118)</f>
        <v>24588.43</v>
      </c>
      <c r="J118" s="43" t="n">
        <f aca="false">IF($A118="","",物件マスタ!S118)</f>
        <v>62480</v>
      </c>
      <c r="K118" s="43" t="n">
        <f aca="false">IF($A118="","",物件マスタ!U118)</f>
        <v>65000</v>
      </c>
      <c r="L118" s="50" t="n">
        <f aca="false">IF($A118="","",物件マスタ!W118)</f>
        <v>1</v>
      </c>
      <c r="M118" s="17" t="str">
        <f aca="false">IF($A118="","",IFERROR(INDEX(法人マスタ!$H:$H,MATCH($B118,法人マスタ!$A:$A,0)),""))</f>
        <v>2026年1月期（第39期）</v>
      </c>
      <c r="N118" s="51" t="n">
        <f aca="false">IF($A118="","",SUMIFS(物件収支!$D:$D,物件収支!$A:$A,$A118,物件収支!$C:$C,$M118))</f>
        <v>6</v>
      </c>
      <c r="O118" s="43" t="n">
        <f aca="false">IF($A118="","",SUMIFS(物件収支!$F:$F,物件収支!$A:$A,$A118,物件収支!$C:$C,$M118))</f>
        <v>1351486</v>
      </c>
      <c r="P118" s="43" t="n">
        <f aca="false">IF($A118="","",SUMIFS(物件収支!$I:$I,物件収支!$A:$A,$A118,物件収支!$C:$C,$M118))</f>
        <v>396783</v>
      </c>
      <c r="Q118" s="43" t="n">
        <f aca="false">IF($A118="","",SUMIFS(物件収支!$O:$O,物件収支!$A:$A,$A118,物件収支!$C:$C,$M118))</f>
        <v>92072</v>
      </c>
      <c r="R118" s="43" t="n">
        <f aca="false">IF($A118="","",IF(P118=0,"",O118-P118))</f>
        <v>954703</v>
      </c>
      <c r="S118" s="43" t="n">
        <f aca="false">IF($A118="","",IF(R118="","",R118+Q118))</f>
        <v>1046775</v>
      </c>
      <c r="T118" s="43" t="n">
        <f aca="false">IF($A118="","",IF(OR(S118="",N118&lt;=0),"",S118/1000*12/N118))</f>
        <v>2093.55</v>
      </c>
      <c r="U118" s="52" t="n">
        <f aca="false">IF($A118="","",IF(OR(T118="",J118=0,J118=""),"",T118/J118))</f>
        <v>0.0335075224071703</v>
      </c>
      <c r="V118" s="52" t="n">
        <f aca="false">IF($A118="","",IF(OR(R118="",N118&lt;=0,J118=0,J118=""),"",(R118/1000*12/N118)/J118))</f>
        <v>0.0305602752880922</v>
      </c>
      <c r="W118" s="52" t="n">
        <f aca="false">IF($A118="","",IF(OR(T118="",K118=0,K118=""),"",T118/K118))</f>
        <v>0.0322084615384615</v>
      </c>
      <c r="X118" s="43" t="n">
        <f aca="false">IF($A118="","",IF(OR(N118&lt;=0,I118=0,I118="",O118=0),"",O118*1000/(I118*0.3025)/N118))</f>
        <v>30283.3643984155</v>
      </c>
      <c r="Y118" s="50" t="n">
        <f aca="false">IF($A118="","",IF(OR(O118=0,O118="",P118=0),"",P118/O118))</f>
        <v>0.293590166675792</v>
      </c>
      <c r="Z118" s="17" t="str">
        <f aca="false">IF($A118="","",IFERROR(INDEX(物件収支!$E:$E,MATCH($A118,物件収支!$A:$A,0)),""))</f>
        <v>開示（物件別・費用内訳含む）</v>
      </c>
    </row>
    <row r="119" customFormat="false" ht="15" hidden="false" customHeight="true" outlineLevel="0" collapsed="false">
      <c r="A119" s="17" t="str">
        <f aca="false">IF(物件マスタ!A119="","",物件マスタ!A119)</f>
        <v>MHR-03</v>
      </c>
      <c r="B119" s="17" t="str">
        <f aca="false">IF($A119="","",物件マスタ!B119)</f>
        <v>MHR</v>
      </c>
      <c r="C119" s="17" t="str">
        <f aca="false">IF($A119="","",IFERROR(INDEX(法人マスタ!$C:$C,MATCH($B119,法人マスタ!$A:$A,0)),""))</f>
        <v>森ヒルズリート投資法人</v>
      </c>
      <c r="D119" s="17" t="str">
        <f aca="false">IF($A119="","",物件マスタ!C119)</f>
        <v>後楽森ビル</v>
      </c>
      <c r="E119" s="17" t="str">
        <f aca="false">IF($A119="","",物件マスタ!H119)</f>
        <v>都心5区</v>
      </c>
      <c r="F119" s="48" t="n">
        <f aca="false">IF($A119="","",物件マスタ!P119)</f>
        <v>36586</v>
      </c>
      <c r="G119" s="34" t="n">
        <f aca="false">IF($A119="","",物件マスタ!Q119)</f>
        <v>26.4</v>
      </c>
      <c r="H119" s="49" t="n">
        <f aca="false">IF($A119="","",物件マスタ!L119)</f>
        <v>46154.65</v>
      </c>
      <c r="I119" s="49" t="n">
        <f aca="false">IF($A119="","",物件マスタ!M119)</f>
        <v>16152.65</v>
      </c>
      <c r="J119" s="43" t="n">
        <f aca="false">IF($A119="","",物件マスタ!S119)</f>
        <v>27200</v>
      </c>
      <c r="K119" s="43" t="n">
        <f aca="false">IF($A119="","",物件マスタ!U119)</f>
        <v>25440</v>
      </c>
      <c r="L119" s="50" t="n">
        <f aca="false">IF($A119="","",物件マスタ!W119)</f>
        <v>1</v>
      </c>
      <c r="M119" s="17" t="str">
        <f aca="false">IF($A119="","",IFERROR(INDEX(法人マスタ!$H:$H,MATCH($B119,法人マスタ!$A:$A,0)),""))</f>
        <v>2026年1月期（第39期）</v>
      </c>
      <c r="N119" s="51" t="n">
        <f aca="false">IF($A119="","",SUMIFS(物件収支!$D:$D,物件収支!$A:$A,$A119,物件収支!$C:$C,$M119))</f>
        <v>6</v>
      </c>
      <c r="O119" s="43" t="n">
        <f aca="false">IF($A119="","",SUMIFS(物件収支!$F:$F,物件収支!$A:$A,$A119,物件収支!$C:$C,$M119))</f>
        <v>740772</v>
      </c>
      <c r="P119" s="43" t="n">
        <f aca="false">IF($A119="","",SUMIFS(物件収支!$I:$I,物件収支!$A:$A,$A119,物件収支!$C:$C,$M119))</f>
        <v>400441</v>
      </c>
      <c r="Q119" s="43" t="n">
        <f aca="false">IF($A119="","",SUMIFS(物件収支!$O:$O,物件収支!$A:$A,$A119,物件収支!$C:$C,$M119))</f>
        <v>105579</v>
      </c>
      <c r="R119" s="43" t="n">
        <f aca="false">IF($A119="","",IF(P119=0,"",O119-P119))</f>
        <v>340331</v>
      </c>
      <c r="S119" s="43" t="n">
        <f aca="false">IF($A119="","",IF(R119="","",R119+Q119))</f>
        <v>445910</v>
      </c>
      <c r="T119" s="43" t="n">
        <f aca="false">IF($A119="","",IF(OR(S119="",N119&lt;=0),"",S119/1000*12/N119))</f>
        <v>891.82</v>
      </c>
      <c r="U119" s="52" t="n">
        <f aca="false">IF($A119="","",IF(OR(T119="",J119=0,J119=""),"",T119/J119))</f>
        <v>0.0327875</v>
      </c>
      <c r="V119" s="52" t="n">
        <f aca="false">IF($A119="","",IF(OR(R119="",N119&lt;=0,J119=0,J119=""),"",(R119/1000*12/N119)/J119))</f>
        <v>0.0250243382352941</v>
      </c>
      <c r="W119" s="52" t="n">
        <f aca="false">IF($A119="","",IF(OR(T119="",K119=0,K119=""),"",T119/K119))</f>
        <v>0.0350558176100629</v>
      </c>
      <c r="X119" s="43" t="n">
        <f aca="false">IF($A119="","",IF(OR(N119&lt;=0,I119=0,I119="",O119=0),"",O119*1000/(I119*0.3025)/N119))</f>
        <v>25267.6089047436</v>
      </c>
      <c r="Y119" s="50" t="n">
        <f aca="false">IF($A119="","",IF(OR(O119=0,O119="",P119=0),"",P119/O119))</f>
        <v>0.540572537838903</v>
      </c>
      <c r="Z119" s="17" t="str">
        <f aca="false">IF($A119="","",IFERROR(INDEX(物件収支!$E:$E,MATCH($A119,物件収支!$A:$A,0)),""))</f>
        <v>開示（物件別・費用内訳含む）</v>
      </c>
    </row>
    <row r="120" customFormat="false" ht="15" hidden="false" customHeight="true" outlineLevel="0" collapsed="false">
      <c r="A120" s="17" t="str">
        <f aca="false">IF(物件マスタ!A120="","",物件マスタ!A120)</f>
        <v>MHR-04</v>
      </c>
      <c r="B120" s="17" t="str">
        <f aca="false">IF($A120="","",物件マスタ!B120)</f>
        <v>MHR</v>
      </c>
      <c r="C120" s="17" t="str">
        <f aca="false">IF($A120="","",IFERROR(INDEX(法人マスタ!$C:$C,MATCH($B120,法人マスタ!$A:$A,0)),""))</f>
        <v>森ヒルズリート投資法人</v>
      </c>
      <c r="D120" s="17" t="str">
        <f aca="false">IF($A120="","",物件マスタ!C120)</f>
        <v>赤坂溜池タワー</v>
      </c>
      <c r="E120" s="17" t="str">
        <f aca="false">IF($A120="","",物件マスタ!H120)</f>
        <v>都心5区</v>
      </c>
      <c r="F120" s="48" t="n">
        <f aca="false">IF($A120="","",物件マスタ!P120)</f>
        <v>36770</v>
      </c>
      <c r="G120" s="34" t="n">
        <f aca="false">IF($A120="","",物件マスタ!Q120)</f>
        <v>25.9</v>
      </c>
      <c r="H120" s="49" t="n">
        <f aca="false">IF($A120="","",物件マスタ!L120)</f>
        <v>46971.43</v>
      </c>
      <c r="I120" s="49" t="n">
        <f aca="false">IF($A120="","",物件マスタ!M120)</f>
        <v>19777.54</v>
      </c>
      <c r="J120" s="43" t="n">
        <f aca="false">IF($A120="","",物件マスタ!S120)</f>
        <v>43930</v>
      </c>
      <c r="K120" s="43" t="n">
        <f aca="false">IF($A120="","",物件マスタ!U120)</f>
        <v>36400</v>
      </c>
      <c r="L120" s="50" t="n">
        <f aca="false">IF($A120="","",物件マスタ!W120)</f>
        <v>0.963</v>
      </c>
      <c r="M120" s="17" t="str">
        <f aca="false">IF($A120="","",IFERROR(INDEX(法人マスタ!$H:$H,MATCH($B120,法人マスタ!$A:$A,0)),""))</f>
        <v>2026年1月期（第39期）</v>
      </c>
      <c r="N120" s="51" t="n">
        <f aca="false">IF($A120="","",SUMIFS(物件収支!$D:$D,物件収支!$A:$A,$A120,物件収支!$C:$C,$M120))</f>
        <v>6</v>
      </c>
      <c r="O120" s="43" t="n">
        <f aca="false">IF($A120="","",SUMIFS(物件収支!$F:$F,物件収支!$A:$A,$A120,物件収支!$C:$C,$M120))</f>
        <v>911771</v>
      </c>
      <c r="P120" s="43" t="n">
        <f aca="false">IF($A120="","",SUMIFS(物件収支!$I:$I,物件収支!$A:$A,$A120,物件収支!$C:$C,$M120))</f>
        <v>464226</v>
      </c>
      <c r="Q120" s="43" t="n">
        <f aca="false">IF($A120="","",SUMIFS(物件収支!$O:$O,物件収支!$A:$A,$A120,物件収支!$C:$C,$M120))</f>
        <v>132844</v>
      </c>
      <c r="R120" s="43" t="n">
        <f aca="false">IF($A120="","",IF(P120=0,"",O120-P120))</f>
        <v>447545</v>
      </c>
      <c r="S120" s="43" t="n">
        <f aca="false">IF($A120="","",IF(R120="","",R120+Q120))</f>
        <v>580389</v>
      </c>
      <c r="T120" s="43" t="n">
        <f aca="false">IF($A120="","",IF(OR(S120="",N120&lt;=0),"",S120/1000*12/N120))</f>
        <v>1160.778</v>
      </c>
      <c r="U120" s="52" t="n">
        <f aca="false">IF($A120="","",IF(OR(T120="",J120=0,J120=""),"",T120/J120))</f>
        <v>0.0264233553380378</v>
      </c>
      <c r="V120" s="52" t="n">
        <f aca="false">IF($A120="","",IF(OR(R120="",N120&lt;=0,J120=0,J120=""),"",(R120/1000*12/N120)/J120))</f>
        <v>0.0203753699066697</v>
      </c>
      <c r="W120" s="52" t="n">
        <f aca="false">IF($A120="","",IF(OR(T120="",K120=0,K120=""),"",T120/K120))</f>
        <v>0.0318895054945055</v>
      </c>
      <c r="X120" s="43" t="n">
        <f aca="false">IF($A120="","",IF(OR(N120&lt;=0,I120=0,I120="",O120=0),"",O120*1000/(I120*0.3025)/N120))</f>
        <v>25400.184656134</v>
      </c>
      <c r="Y120" s="50" t="n">
        <f aca="false">IF($A120="","",IF(OR(O120=0,O120="",P120=0),"",P120/O120))</f>
        <v>0.509147582013466</v>
      </c>
      <c r="Z120" s="17" t="str">
        <f aca="false">IF($A120="","",IFERROR(INDEX(物件収支!$E:$E,MATCH($A120,物件収支!$A:$A,0)),""))</f>
        <v>開示（物件別・費用内訳含む）</v>
      </c>
    </row>
    <row r="121" customFormat="false" ht="15" hidden="false" customHeight="true" outlineLevel="0" collapsed="false">
      <c r="A121" s="17" t="str">
        <f aca="false">IF(物件マスタ!A121="","",物件マスタ!A121)</f>
        <v>MHR-05</v>
      </c>
      <c r="B121" s="17" t="str">
        <f aca="false">IF($A121="","",物件マスタ!B121)</f>
        <v>MHR</v>
      </c>
      <c r="C121" s="17" t="str">
        <f aca="false">IF($A121="","",IFERROR(INDEX(法人マスタ!$C:$C,MATCH($B121,法人マスタ!$A:$A,0)),""))</f>
        <v>森ヒルズリート投資法人</v>
      </c>
      <c r="D121" s="17" t="str">
        <f aca="false">IF($A121="","",物件マスタ!C121)</f>
        <v>愛宕グリーンヒルズ</v>
      </c>
      <c r="E121" s="17" t="str">
        <f aca="false">IF($A121="","",物件マスタ!H121)</f>
        <v>都心5区</v>
      </c>
      <c r="F121" s="48" t="n">
        <f aca="false">IF($A121="","",物件マスタ!P121)</f>
        <v>37073</v>
      </c>
      <c r="G121" s="34" t="n">
        <f aca="false">IF($A121="","",物件マスタ!Q121)</f>
        <v>25.1</v>
      </c>
      <c r="H121" s="49" t="n">
        <f aca="false">IF($A121="","",物件マスタ!L121)</f>
        <v>148165.61</v>
      </c>
      <c r="I121" s="49" t="n">
        <f aca="false">IF($A121="","",物件マスタ!M121)</f>
        <v>29667.58</v>
      </c>
      <c r="J121" s="43" t="n">
        <f aca="false">IF($A121="","",物件マスタ!S121)</f>
        <v>42090</v>
      </c>
      <c r="K121" s="43" t="n">
        <f aca="false">IF($A121="","",物件マスタ!U121)</f>
        <v>46176</v>
      </c>
      <c r="L121" s="50" t="n">
        <f aca="false">IF($A121="","",物件マスタ!W121)</f>
        <v>1</v>
      </c>
      <c r="M121" s="17" t="str">
        <f aca="false">IF($A121="","",IFERROR(INDEX(法人マスタ!$H:$H,MATCH($B121,法人マスタ!$A:$A,0)),""))</f>
        <v>2026年1月期（第39期）</v>
      </c>
      <c r="N121" s="51" t="n">
        <f aca="false">IF($A121="","",SUMIFS(物件収支!$D:$D,物件収支!$A:$A,$A121,物件収支!$C:$C,$M121))</f>
        <v>6</v>
      </c>
      <c r="O121" s="43" t="n">
        <f aca="false">IF($A121="","",SUMIFS(物件収支!$F:$F,物件収支!$A:$A,$A121,物件収支!$C:$C,$M121))</f>
        <v>1012320</v>
      </c>
      <c r="P121" s="43" t="n">
        <f aca="false">IF($A121="","",SUMIFS(物件収支!$I:$I,物件収支!$A:$A,$A121,物件収支!$C:$C,$M121))</f>
        <v>337683</v>
      </c>
      <c r="Q121" s="43" t="n">
        <f aca="false">IF($A121="","",SUMIFS(物件収支!$O:$O,物件収支!$A:$A,$A121,物件収支!$C:$C,$M121))</f>
        <v>191378</v>
      </c>
      <c r="R121" s="43" t="n">
        <f aca="false">IF($A121="","",IF(P121=0,"",O121-P121))</f>
        <v>674637</v>
      </c>
      <c r="S121" s="43" t="n">
        <f aca="false">IF($A121="","",IF(R121="","",R121+Q121))</f>
        <v>866015</v>
      </c>
      <c r="T121" s="43" t="n">
        <f aca="false">IF($A121="","",IF(OR(S121="",N121&lt;=0),"",S121/1000*12/N121))</f>
        <v>1732.03</v>
      </c>
      <c r="U121" s="52" t="n">
        <f aca="false">IF($A121="","",IF(OR(T121="",J121=0,J121=""),"",T121/J121))</f>
        <v>0.0411506296032312</v>
      </c>
      <c r="V121" s="52" t="n">
        <f aca="false">IF($A121="","",IF(OR(R121="",N121&lt;=0,J121=0,J121=""),"",(R121/1000*12/N121)/J121))</f>
        <v>0.0320568781183179</v>
      </c>
      <c r="W121" s="52" t="n">
        <f aca="false">IF($A121="","",IF(OR(T121="",K121=0,K121=""),"",T121/K121))</f>
        <v>0.0375093121968122</v>
      </c>
      <c r="X121" s="43" t="n">
        <f aca="false">IF($A121="","",IF(OR(N121&lt;=0,I121=0,I121="",O121=0),"",O121*1000/(I121*0.3025)/N121))</f>
        <v>18800.0526539644</v>
      </c>
      <c r="Y121" s="50" t="n">
        <f aca="false">IF($A121="","",IF(OR(O121=0,O121="",P121=0),"",P121/O121))</f>
        <v>0.333573376007587</v>
      </c>
      <c r="Z121" s="17" t="str">
        <f aca="false">IF($A121="","",IFERROR(INDEX(物件収支!$E:$E,MATCH($A121,物件収支!$A:$A,0)),""))</f>
        <v>開示（物件別・費用内訳含む）</v>
      </c>
    </row>
    <row r="122" customFormat="false" ht="15" hidden="false" customHeight="true" outlineLevel="0" collapsed="false">
      <c r="A122" s="17" t="str">
        <f aca="false">IF(物件マスタ!A122="","",物件マスタ!A122)</f>
        <v>MHR-06</v>
      </c>
      <c r="B122" s="17" t="str">
        <f aca="false">IF($A122="","",物件マスタ!B122)</f>
        <v>MHR</v>
      </c>
      <c r="C122" s="17" t="str">
        <f aca="false">IF($A122="","",IFERROR(INDEX(法人マスタ!$C:$C,MATCH($B122,法人マスタ!$A:$A,0)),""))</f>
        <v>森ヒルズリート投資法人</v>
      </c>
      <c r="D122" s="17" t="str">
        <f aca="false">IF($A122="","",物件マスタ!C122)</f>
        <v>アークヒルズ サウスタワー</v>
      </c>
      <c r="E122" s="17" t="str">
        <f aca="false">IF($A122="","",物件マスタ!H122)</f>
        <v>都心5区</v>
      </c>
      <c r="F122" s="48" t="n">
        <f aca="false">IF($A122="","",物件マスタ!P122)</f>
        <v>41456</v>
      </c>
      <c r="G122" s="34" t="n">
        <f aca="false">IF($A122="","",物件マスタ!Q122)</f>
        <v>13.1</v>
      </c>
      <c r="H122" s="49" t="n">
        <f aca="false">IF($A122="","",物件マスタ!L122)</f>
        <v>53043.48</v>
      </c>
      <c r="I122" s="49" t="n">
        <f aca="false">IF($A122="","",物件マスタ!M122)</f>
        <v>8994.6</v>
      </c>
      <c r="J122" s="43" t="n">
        <f aca="false">IF($A122="","",物件マスタ!S122)</f>
        <v>19150</v>
      </c>
      <c r="K122" s="43" t="n">
        <f aca="false">IF($A122="","",物件マスタ!U122)</f>
        <v>23900</v>
      </c>
      <c r="L122" s="50" t="n">
        <f aca="false">IF($A122="","",物件マスタ!W122)</f>
        <v>0.996</v>
      </c>
      <c r="M122" s="17" t="str">
        <f aca="false">IF($A122="","",IFERROR(INDEX(法人マスタ!$H:$H,MATCH($B122,法人マスタ!$A:$A,0)),""))</f>
        <v>2026年1月期（第39期）</v>
      </c>
      <c r="N122" s="51" t="n">
        <f aca="false">IF($A122="","",SUMIFS(物件収支!$D:$D,物件収支!$A:$A,$A122,物件収支!$C:$C,$M122))</f>
        <v>6</v>
      </c>
      <c r="O122" s="43" t="n">
        <f aca="false">IF($A122="","",SUMIFS(物件収支!$F:$F,物件収支!$A:$A,$A122,物件収支!$C:$C,$M122))</f>
        <v>495909</v>
      </c>
      <c r="P122" s="43" t="n">
        <f aca="false">IF($A122="","",SUMIFS(物件収支!$I:$I,物件収支!$A:$A,$A122,物件収支!$C:$C,$M122))</f>
        <v>189881</v>
      </c>
      <c r="Q122" s="43" t="n">
        <f aca="false">IF($A122="","",SUMIFS(物件収支!$O:$O,物件収支!$A:$A,$A122,物件収支!$C:$C,$M122))</f>
        <v>46837</v>
      </c>
      <c r="R122" s="43" t="n">
        <f aca="false">IF($A122="","",IF(P122=0,"",O122-P122))</f>
        <v>306028</v>
      </c>
      <c r="S122" s="43" t="n">
        <f aca="false">IF($A122="","",IF(R122="","",R122+Q122))</f>
        <v>352865</v>
      </c>
      <c r="T122" s="43" t="n">
        <f aca="false">IF($A122="","",IF(OR(S122="",N122&lt;=0),"",S122/1000*12/N122))</f>
        <v>705.73</v>
      </c>
      <c r="U122" s="52" t="n">
        <f aca="false">IF($A122="","",IF(OR(T122="",J122=0,J122=""),"",T122/J122))</f>
        <v>0.0368527415143603</v>
      </c>
      <c r="V122" s="52" t="n">
        <f aca="false">IF($A122="","",IF(OR(R122="",N122&lt;=0,J122=0,J122=""),"",(R122/1000*12/N122)/J122))</f>
        <v>0.0319611488250653</v>
      </c>
      <c r="W122" s="52" t="n">
        <f aca="false">IF($A122="","",IF(OR(T122="",K122=0,K122=""),"",T122/K122))</f>
        <v>0.0295284518828452</v>
      </c>
      <c r="X122" s="43" t="n">
        <f aca="false">IF($A122="","",IF(OR(N122&lt;=0,I122=0,I122="",O122=0),"",O122*1000/(I122*0.3025)/N122))</f>
        <v>30376.9038282474</v>
      </c>
      <c r="Y122" s="50" t="n">
        <f aca="false">IF($A122="","",IF(OR(O122=0,O122="",P122=0),"",P122/O122))</f>
        <v>0.382894845626919</v>
      </c>
      <c r="Z122" s="17" t="str">
        <f aca="false">IF($A122="","",IFERROR(INDEX(物件収支!$E:$E,MATCH($A122,物件収支!$A:$A,0)),""))</f>
        <v>開示（物件別・費用内訳含む）</v>
      </c>
    </row>
    <row r="123" customFormat="false" ht="15" hidden="false" customHeight="true" outlineLevel="0" collapsed="false">
      <c r="A123" s="17" t="str">
        <f aca="false">IF(物件マスタ!A123="","",物件マスタ!A123)</f>
        <v>MHR-07</v>
      </c>
      <c r="B123" s="17" t="str">
        <f aca="false">IF($A123="","",物件マスタ!B123)</f>
        <v>MHR</v>
      </c>
      <c r="C123" s="17" t="str">
        <f aca="false">IF($A123="","",IFERROR(INDEX(法人マスタ!$C:$C,MATCH($B123,法人マスタ!$A:$A,0)),""))</f>
        <v>森ヒルズリート投資法人</v>
      </c>
      <c r="D123" s="17" t="str">
        <f aca="false">IF($A123="","",物件マスタ!C123)</f>
        <v>虎ノ門ヒルズ 森タワー</v>
      </c>
      <c r="E123" s="17" t="str">
        <f aca="false">IF($A123="","",物件マスタ!H123)</f>
        <v>都心5区</v>
      </c>
      <c r="F123" s="48" t="n">
        <f aca="false">IF($A123="","",物件マスタ!P123)</f>
        <v>41760</v>
      </c>
      <c r="G123" s="34" t="n">
        <f aca="false">IF($A123="","",物件マスタ!Q123)</f>
        <v>12.3</v>
      </c>
      <c r="H123" s="49" t="n">
        <f aca="false">IF($A123="","",物件マスタ!L123)</f>
        <v>241581.95</v>
      </c>
      <c r="I123" s="49" t="n">
        <f aca="false">IF($A123="","",物件マスタ!M123)</f>
        <v>24393.73</v>
      </c>
      <c r="J123" s="43" t="n">
        <f aca="false">IF($A123="","",物件マスタ!S123)</f>
        <v>73789</v>
      </c>
      <c r="K123" s="43" t="n">
        <f aca="false">IF($A123="","",物件マスタ!U123)</f>
        <v>97502</v>
      </c>
      <c r="L123" s="50" t="n">
        <f aca="false">IF($A123="","",物件マスタ!W123)</f>
        <v>1</v>
      </c>
      <c r="M123" s="17" t="str">
        <f aca="false">IF($A123="","",IFERROR(INDEX(法人マスタ!$H:$H,MATCH($B123,法人マスタ!$A:$A,0)),""))</f>
        <v>2026年1月期（第39期）</v>
      </c>
      <c r="N123" s="51" t="n">
        <f aca="false">IF($A123="","",SUMIFS(物件収支!$D:$D,物件収支!$A:$A,$A123,物件収支!$C:$C,$M123))</f>
        <v>6</v>
      </c>
      <c r="O123" s="43" t="n">
        <f aca="false">IF($A123="","",SUMIFS(物件収支!$F:$F,物件収支!$A:$A,$A123,物件収支!$C:$C,$M123))</f>
        <v>1426552</v>
      </c>
      <c r="P123" s="43" t="n">
        <f aca="false">IF($A123="","",SUMIFS(物件収支!$I:$I,物件収支!$A:$A,$A123,物件収支!$C:$C,$M123))</f>
        <v>461244</v>
      </c>
      <c r="Q123" s="43" t="n">
        <f aca="false">IF($A123="","",SUMIFS(物件収支!$O:$O,物件収支!$A:$A,$A123,物件収支!$C:$C,$M123))</f>
        <v>177954</v>
      </c>
      <c r="R123" s="43" t="n">
        <f aca="false">IF($A123="","",IF(P123=0,"",O123-P123))</f>
        <v>965308</v>
      </c>
      <c r="S123" s="43" t="n">
        <f aca="false">IF($A123="","",IF(R123="","",R123+Q123))</f>
        <v>1143262</v>
      </c>
      <c r="T123" s="43" t="n">
        <f aca="false">IF($A123="","",IF(OR(S123="",N123&lt;=0),"",S123/1000*12/N123))</f>
        <v>2286.524</v>
      </c>
      <c r="U123" s="52" t="n">
        <f aca="false">IF($A123="","",IF(OR(T123="",J123=0,J123=""),"",T123/J123))</f>
        <v>0.0309873287346352</v>
      </c>
      <c r="V123" s="52" t="n">
        <f aca="false">IF($A123="","",IF(OR(R123="",N123&lt;=0,J123=0,J123=""),"",(R123/1000*12/N123)/J123))</f>
        <v>0.0261640081855019</v>
      </c>
      <c r="W123" s="52" t="n">
        <f aca="false">IF($A123="","",IF(OR(T123="",K123=0,K123=""),"",T123/K123))</f>
        <v>0.023451047158007</v>
      </c>
      <c r="X123" s="43" t="n">
        <f aca="false">IF($A123="","",IF(OR(N123&lt;=0,I123=0,I123="",O123=0),"",O123*1000/(I123*0.3025)/N123))</f>
        <v>32220.5363165404</v>
      </c>
      <c r="Y123" s="50" t="n">
        <f aca="false">IF($A123="","",IF(OR(O123=0,O123="",P123=0),"",P123/O123))</f>
        <v>0.323327856257606</v>
      </c>
      <c r="Z123" s="17" t="str">
        <f aca="false">IF($A123="","",IFERROR(INDEX(物件収支!$E:$E,MATCH($A123,物件収支!$A:$A,0)),""))</f>
        <v>開示（物件別・費用内訳含む）</v>
      </c>
    </row>
    <row r="124" customFormat="false" ht="15" hidden="false" customHeight="true" outlineLevel="0" collapsed="false">
      <c r="A124" s="17" t="str">
        <f aca="false">IF(物件マスタ!A124="","",物件マスタ!A124)</f>
        <v>MHR-08</v>
      </c>
      <c r="B124" s="17" t="str">
        <f aca="false">IF($A124="","",物件マスタ!B124)</f>
        <v>MHR</v>
      </c>
      <c r="C124" s="17" t="str">
        <f aca="false">IF($A124="","",IFERROR(INDEX(法人マスタ!$C:$C,MATCH($B124,法人マスタ!$A:$A,0)),""))</f>
        <v>森ヒルズリート投資法人</v>
      </c>
      <c r="D124" s="17" t="str">
        <f aca="false">IF($A124="","",物件マスタ!C124)</f>
        <v>オランダヒルズ森タワー</v>
      </c>
      <c r="E124" s="17" t="str">
        <f aca="false">IF($A124="","",物件マスタ!H124)</f>
        <v>都心5区</v>
      </c>
      <c r="F124" s="48" t="n">
        <f aca="false">IF($A124="","",物件マスタ!P124)</f>
        <v>38353</v>
      </c>
      <c r="G124" s="34" t="n">
        <f aca="false">IF($A124="","",物件マスタ!Q124)</f>
        <v>21.6</v>
      </c>
      <c r="H124" s="49" t="n">
        <f aca="false">IF($A124="","",物件マスタ!L124)</f>
        <v>35076.12</v>
      </c>
      <c r="I124" s="49" t="n">
        <f aca="false">IF($A124="","",物件マスタ!M124)</f>
        <v>10165.01</v>
      </c>
      <c r="J124" s="43" t="n">
        <f aca="false">IF($A124="","",物件マスタ!S124)</f>
        <v>16330</v>
      </c>
      <c r="K124" s="43" t="n">
        <f aca="false">IF($A124="","",物件マスタ!U124)</f>
        <v>22700</v>
      </c>
      <c r="L124" s="50" t="n">
        <f aca="false">IF($A124="","",物件マスタ!W124)</f>
        <v>1</v>
      </c>
      <c r="M124" s="17" t="str">
        <f aca="false">IF($A124="","",IFERROR(INDEX(法人マスタ!$H:$H,MATCH($B124,法人マスタ!$A:$A,0)),""))</f>
        <v>2026年1月期（第39期）</v>
      </c>
      <c r="N124" s="51" t="n">
        <f aca="false">IF($A124="","",SUMIFS(物件収支!$D:$D,物件収支!$A:$A,$A124,物件収支!$C:$C,$M124))</f>
        <v>6</v>
      </c>
      <c r="O124" s="43" t="n">
        <f aca="false">IF($A124="","",SUMIFS(物件収支!$F:$F,物件収支!$A:$A,$A124,物件収支!$C:$C,$M124))</f>
        <v>510429</v>
      </c>
      <c r="P124" s="43" t="n">
        <f aca="false">IF($A124="","",SUMIFS(物件収支!$I:$I,物件収支!$A:$A,$A124,物件収支!$C:$C,$M124))</f>
        <v>198481</v>
      </c>
      <c r="Q124" s="43" t="n">
        <f aca="false">IF($A124="","",SUMIFS(物件収支!$O:$O,物件収支!$A:$A,$A124,物件収支!$C:$C,$M124))</f>
        <v>46731</v>
      </c>
      <c r="R124" s="43" t="n">
        <f aca="false">IF($A124="","",IF(P124=0,"",O124-P124))</f>
        <v>311948</v>
      </c>
      <c r="S124" s="43" t="n">
        <f aca="false">IF($A124="","",IF(R124="","",R124+Q124))</f>
        <v>358679</v>
      </c>
      <c r="T124" s="43" t="n">
        <f aca="false">IF($A124="","",IF(OR(S124="",N124&lt;=0),"",S124/1000*12/N124))</f>
        <v>717.358</v>
      </c>
      <c r="U124" s="52" t="n">
        <f aca="false">IF($A124="","",IF(OR(T124="",J124=0,J124=""),"",T124/J124))</f>
        <v>0.043928842620943</v>
      </c>
      <c r="V124" s="52" t="n">
        <f aca="false">IF($A124="","",IF(OR(R124="",N124&lt;=0,J124=0,J124=""),"",(R124/1000*12/N124)/J124))</f>
        <v>0.0382055113288426</v>
      </c>
      <c r="W124" s="52" t="n">
        <f aca="false">IF($A124="","",IF(OR(T124="",K124=0,K124=""),"",T124/K124))</f>
        <v>0.0316016740088106</v>
      </c>
      <c r="X124" s="43" t="n">
        <f aca="false">IF($A124="","",IF(OR(N124&lt;=0,I124=0,I124="",O124=0),"",O124*1000/(I124*0.3025)/N124))</f>
        <v>27666.2884909659</v>
      </c>
      <c r="Y124" s="50" t="n">
        <f aca="false">IF($A124="","",IF(OR(O124=0,O124="",P124=0),"",P124/O124))</f>
        <v>0.388851338775814</v>
      </c>
      <c r="Z124" s="17" t="str">
        <f aca="false">IF($A124="","",IFERROR(INDEX(物件収支!$E:$E,MATCH($A124,物件収支!$A:$A,0)),""))</f>
        <v>開示（物件別・費用内訳含む）</v>
      </c>
    </row>
    <row r="125" customFormat="false" ht="15" hidden="false" customHeight="true" outlineLevel="0" collapsed="false">
      <c r="A125" s="17" t="str">
        <f aca="false">IF(物件マスタ!A125="","",物件マスタ!A125)</f>
        <v>MHR-09</v>
      </c>
      <c r="B125" s="17" t="str">
        <f aca="false">IF($A125="","",物件マスタ!B125)</f>
        <v>MHR</v>
      </c>
      <c r="C125" s="17" t="str">
        <f aca="false">IF($A125="","",IFERROR(INDEX(法人マスタ!$C:$C,MATCH($B125,法人マスタ!$A:$A,0)),""))</f>
        <v>森ヒルズリート投資法人</v>
      </c>
      <c r="D125" s="17" t="str">
        <f aca="false">IF($A125="","",物件マスタ!C125)</f>
        <v>六本木ファーストプラザ</v>
      </c>
      <c r="E125" s="17" t="str">
        <f aca="false">IF($A125="","",物件マスタ!H125)</f>
        <v>都心5区</v>
      </c>
      <c r="F125" s="48" t="n">
        <f aca="false">IF($A125="","",物件マスタ!P125)</f>
        <v>34243</v>
      </c>
      <c r="G125" s="34" t="n">
        <f aca="false">IF($A125="","",物件マスタ!Q125)</f>
        <v>32.9</v>
      </c>
      <c r="H125" s="49" t="n">
        <f aca="false">IF($A125="","",物件マスタ!L125)</f>
        <v>22906.74</v>
      </c>
      <c r="I125" s="49" t="n">
        <f aca="false">IF($A125="","",物件マスタ!M125)</f>
        <v>2956.77</v>
      </c>
      <c r="J125" s="43" t="n">
        <f aca="false">IF($A125="","",物件マスタ!S125)</f>
        <v>2100</v>
      </c>
      <c r="K125" s="43" t="n">
        <f aca="false">IF($A125="","",物件マスタ!U125)</f>
        <v>4300</v>
      </c>
      <c r="L125" s="50" t="n">
        <f aca="false">IF($A125="","",物件マスタ!W125)</f>
        <v>0.861</v>
      </c>
      <c r="M125" s="17" t="str">
        <f aca="false">IF($A125="","",IFERROR(INDEX(法人マスタ!$H:$H,MATCH($B125,法人マスタ!$A:$A,0)),""))</f>
        <v>2026年1月期（第39期）</v>
      </c>
      <c r="N125" s="51" t="n">
        <f aca="false">IF($A125="","",SUMIFS(物件収支!$D:$D,物件収支!$A:$A,$A125,物件収支!$C:$C,$M125))</f>
        <v>6</v>
      </c>
      <c r="O125" s="43" t="n">
        <f aca="false">IF($A125="","",SUMIFS(物件収支!$F:$F,物件収支!$A:$A,$A125,物件収支!$C:$C,$M125))</f>
        <v>105837</v>
      </c>
      <c r="P125" s="43" t="n">
        <f aca="false">IF($A125="","",SUMIFS(物件収支!$I:$I,物件収支!$A:$A,$A125,物件収支!$C:$C,$M125))</f>
        <v>111213</v>
      </c>
      <c r="Q125" s="43" t="n">
        <f aca="false">IF($A125="","",SUMIFS(物件収支!$O:$O,物件収支!$A:$A,$A125,物件収支!$C:$C,$M125))</f>
        <v>12935</v>
      </c>
      <c r="R125" s="43" t="n">
        <f aca="false">IF($A125="","",IF(P125=0,"",O125-P125))</f>
        <v>-5376</v>
      </c>
      <c r="S125" s="43" t="n">
        <f aca="false">IF($A125="","",IF(R125="","",R125+Q125))</f>
        <v>7559</v>
      </c>
      <c r="T125" s="43" t="n">
        <f aca="false">IF($A125="","",IF(OR(S125="",N125&lt;=0),"",S125/1000*12/N125))</f>
        <v>15.118</v>
      </c>
      <c r="U125" s="52" t="n">
        <f aca="false">IF($A125="","",IF(OR(T125="",J125=0,J125=""),"",T125/J125))</f>
        <v>0.00719904761904762</v>
      </c>
      <c r="V125" s="52" t="n">
        <f aca="false">IF($A125="","",IF(OR(R125="",N125&lt;=0,J125=0,J125=""),"",(R125/1000*12/N125)/J125))</f>
        <v>-0.00512</v>
      </c>
      <c r="W125" s="52" t="n">
        <f aca="false">IF($A125="","",IF(OR(T125="",K125=0,K125=""),"",T125/K125))</f>
        <v>0.00351581395348837</v>
      </c>
      <c r="X125" s="43" t="n">
        <f aca="false">IF($A125="","",IF(OR(N125&lt;=0,I125=0,I125="",O125=0),"",O125*1000/(I125*0.3025)/N125))</f>
        <v>19721.6546076343</v>
      </c>
      <c r="Y125" s="50" t="n">
        <f aca="false">IF($A125="","",IF(OR(O125=0,O125="",P125=0),"",P125/O125))</f>
        <v>1.05079509056379</v>
      </c>
      <c r="Z125" s="17" t="str">
        <f aca="false">IF($A125="","",IFERROR(INDEX(物件収支!$E:$E,MATCH($A125,物件収支!$A:$A,0)),""))</f>
        <v>開示（物件別・費用内訳含む）</v>
      </c>
    </row>
    <row r="126" customFormat="false" ht="15" hidden="false" customHeight="true" outlineLevel="0" collapsed="false">
      <c r="A126" s="17" t="str">
        <f aca="false">IF(物件マスタ!A126="","",物件マスタ!A126)</f>
        <v>MHR-10</v>
      </c>
      <c r="B126" s="17" t="str">
        <f aca="false">IF($A126="","",物件マスタ!B126)</f>
        <v>MHR</v>
      </c>
      <c r="C126" s="17" t="str">
        <f aca="false">IF($A126="","",IFERROR(INDEX(法人マスタ!$C:$C,MATCH($B126,法人マスタ!$A:$A,0)),""))</f>
        <v>森ヒルズリート投資法人</v>
      </c>
      <c r="D126" s="17" t="str">
        <f aca="false">IF($A126="","",物件マスタ!C126)</f>
        <v>六本木ビュータワー</v>
      </c>
      <c r="E126" s="17" t="str">
        <f aca="false">IF($A126="","",物件マスタ!H126)</f>
        <v>都心5区</v>
      </c>
      <c r="F126" s="48" t="n">
        <f aca="false">IF($A126="","",物件マスタ!P126)</f>
        <v>34243</v>
      </c>
      <c r="G126" s="34" t="n">
        <f aca="false">IF($A126="","",物件マスタ!Q126)</f>
        <v>32.9</v>
      </c>
      <c r="H126" s="49" t="n">
        <f aca="false">IF($A126="","",物件マスタ!L126)</f>
        <v>22906.74</v>
      </c>
      <c r="I126" s="49" t="n">
        <f aca="false">IF($A126="","",物件マスタ!M126)</f>
        <v>4515.25</v>
      </c>
      <c r="J126" s="43" t="n">
        <f aca="false">IF($A126="","",物件マスタ!S126)</f>
        <v>4000</v>
      </c>
      <c r="K126" s="43" t="n">
        <f aca="false">IF($A126="","",物件マスタ!U126)</f>
        <v>4570</v>
      </c>
      <c r="L126" s="50" t="n">
        <f aca="false">IF($A126="","",物件マスタ!W126)</f>
        <v>0.818</v>
      </c>
      <c r="M126" s="17" t="str">
        <f aca="false">IF($A126="","",IFERROR(INDEX(法人マスタ!$H:$H,MATCH($B126,法人マスタ!$A:$A,0)),""))</f>
        <v>2026年1月期（第39期）</v>
      </c>
      <c r="N126" s="51" t="n">
        <f aca="false">IF($A126="","",SUMIFS(物件収支!$D:$D,物件収支!$A:$A,$A126,物件収支!$C:$C,$M126))</f>
        <v>6</v>
      </c>
      <c r="O126" s="43" t="n">
        <f aca="false">IF($A126="","",SUMIFS(物件収支!$F:$F,物件収支!$A:$A,$A126,物件収支!$C:$C,$M126))</f>
        <v>111507</v>
      </c>
      <c r="P126" s="43" t="n">
        <f aca="false">IF($A126="","",SUMIFS(物件収支!$I:$I,物件収支!$A:$A,$A126,物件収支!$C:$C,$M126))</f>
        <v>109182</v>
      </c>
      <c r="Q126" s="43" t="n">
        <f aca="false">IF($A126="","",SUMIFS(物件収支!$O:$O,物件収支!$A:$A,$A126,物件収支!$C:$C,$M126))</f>
        <v>16104</v>
      </c>
      <c r="R126" s="43" t="n">
        <f aca="false">IF($A126="","",IF(P126=0,"",O126-P126))</f>
        <v>2325</v>
      </c>
      <c r="S126" s="43" t="n">
        <f aca="false">IF($A126="","",IF(R126="","",R126+Q126))</f>
        <v>18429</v>
      </c>
      <c r="T126" s="43" t="n">
        <f aca="false">IF($A126="","",IF(OR(S126="",N126&lt;=0),"",S126/1000*12/N126))</f>
        <v>36.858</v>
      </c>
      <c r="U126" s="52" t="n">
        <f aca="false">IF($A126="","",IF(OR(T126="",J126=0,J126=""),"",T126/J126))</f>
        <v>0.0092145</v>
      </c>
      <c r="V126" s="52" t="n">
        <f aca="false">IF($A126="","",IF(OR(R126="",N126&lt;=0,J126=0,J126=""),"",(R126/1000*12/N126)/J126))</f>
        <v>0.0011625</v>
      </c>
      <c r="W126" s="52" t="n">
        <f aca="false">IF($A126="","",IF(OR(T126="",K126=0,K126=""),"",T126/K126))</f>
        <v>0.00806520787746171</v>
      </c>
      <c r="X126" s="43" t="n">
        <f aca="false">IF($A126="","",IF(OR(N126&lt;=0,I126=0,I126="",O126=0),"",O126*1000/(I126*0.3025)/N126))</f>
        <v>13606.4146251844</v>
      </c>
      <c r="Y126" s="50" t="n">
        <f aca="false">IF($A126="","",IF(OR(O126=0,O126="",P126=0),"",P126/O126))</f>
        <v>0.979149291075897</v>
      </c>
      <c r="Z126" s="17" t="str">
        <f aca="false">IF($A126="","",IFERROR(INDEX(物件収支!$E:$E,MATCH($A126,物件収支!$A:$A,0)),""))</f>
        <v>開示（物件別・費用内訳含む）</v>
      </c>
    </row>
    <row r="127" customFormat="false" ht="15" hidden="false" customHeight="true" outlineLevel="0" collapsed="false">
      <c r="A127" s="17" t="str">
        <f aca="false">IF(物件マスタ!A127="","",物件マスタ!A127)</f>
        <v>MHR-11</v>
      </c>
      <c r="B127" s="17" t="str">
        <f aca="false">IF($A127="","",物件マスタ!B127)</f>
        <v>MHR</v>
      </c>
      <c r="C127" s="17" t="str">
        <f aca="false">IF($A127="","",IFERROR(INDEX(法人マスタ!$C:$C,MATCH($B127,法人マスタ!$A:$A,0)),""))</f>
        <v>森ヒルズリート投資法人</v>
      </c>
      <c r="D127" s="17" t="str">
        <f aca="false">IF($A127="","",物件マスタ!C127)</f>
        <v>ラフォーレ原宿（底地）</v>
      </c>
      <c r="E127" s="17" t="str">
        <f aca="false">IF($A127="","",物件マスタ!H127)</f>
        <v>都心5区</v>
      </c>
      <c r="F127" s="48" t="n">
        <f aca="false">IF($A127="","",物件マスタ!P127)</f>
        <v>0</v>
      </c>
      <c r="G127" s="34" t="str">
        <f aca="false">IF($A127="","",物件マスタ!Q127)</f>
        <v/>
      </c>
      <c r="H127" s="49" t="n">
        <f aca="false">IF($A127="","",物件マスタ!L127)</f>
        <v>0</v>
      </c>
      <c r="I127" s="49" t="n">
        <f aca="false">IF($A127="","",物件マスタ!M127)</f>
        <v>1128.63</v>
      </c>
      <c r="J127" s="43" t="n">
        <f aca="false">IF($A127="","",物件マスタ!S127)</f>
        <v>9600</v>
      </c>
      <c r="K127" s="43" t="n">
        <f aca="false">IF($A127="","",物件マスタ!U127)</f>
        <v>20812</v>
      </c>
      <c r="L127" s="50" t="n">
        <f aca="false">IF($A127="","",物件マスタ!W127)</f>
        <v>1</v>
      </c>
      <c r="M127" s="17" t="str">
        <f aca="false">IF($A127="","",IFERROR(INDEX(法人マスタ!$H:$H,MATCH($B127,法人マスタ!$A:$A,0)),""))</f>
        <v>2026年1月期（第39期）</v>
      </c>
      <c r="N127" s="51" t="n">
        <f aca="false">IF($A127="","",SUMIFS(物件収支!$D:$D,物件収支!$A:$A,$A127,物件収支!$C:$C,$M127))</f>
        <v>6</v>
      </c>
      <c r="O127" s="43" t="n">
        <f aca="false">IF($A127="","",SUMIFS(物件収支!$F:$F,物件収支!$A:$A,$A127,物件収支!$C:$C,$M127))</f>
        <v>343806</v>
      </c>
      <c r="P127" s="43" t="n">
        <f aca="false">IF($A127="","",SUMIFS(物件収支!$I:$I,物件収支!$A:$A,$A127,物件収支!$C:$C,$M127))</f>
        <v>62959</v>
      </c>
      <c r="Q127" s="43" t="n">
        <f aca="false">IF($A127="","",SUMIFS(物件収支!$O:$O,物件収支!$A:$A,$A127,物件収支!$C:$C,$M127))</f>
        <v>0</v>
      </c>
      <c r="R127" s="43" t="n">
        <f aca="false">IF($A127="","",IF(P127=0,"",O127-P127))</f>
        <v>280847</v>
      </c>
      <c r="S127" s="43" t="n">
        <f aca="false">IF($A127="","",IF(R127="","",R127+Q127))</f>
        <v>280847</v>
      </c>
      <c r="T127" s="43" t="n">
        <f aca="false">IF($A127="","",IF(OR(S127="",N127&lt;=0),"",S127/1000*12/N127))</f>
        <v>561.694</v>
      </c>
      <c r="U127" s="52" t="n">
        <f aca="false">IF($A127="","",IF(OR(T127="",J127=0,J127=""),"",T127/J127))</f>
        <v>0.0585097916666667</v>
      </c>
      <c r="V127" s="52" t="n">
        <f aca="false">IF($A127="","",IF(OR(R127="",N127&lt;=0,J127=0,J127=""),"",(R127/1000*12/N127)/J127))</f>
        <v>0.0585097916666667</v>
      </c>
      <c r="W127" s="52" t="n">
        <f aca="false">IF($A127="","",IF(OR(T127="",K127=0,K127=""),"",T127/K127))</f>
        <v>0.0269889486834519</v>
      </c>
      <c r="X127" s="43" t="n">
        <f aca="false">IF($A127="","",IF(OR(N127&lt;=0,I127=0,I127="",O127=0),"",O127*1000/(I127*0.3025)/N127))</f>
        <v>167836.043157128</v>
      </c>
      <c r="Y127" s="50" t="n">
        <f aca="false">IF($A127="","",IF(OR(O127=0,O127="",P127=0),"",P127/O127))</f>
        <v>0.183123622042664</v>
      </c>
      <c r="Z127" s="17" t="str">
        <f aca="false">IF($A127="","",IFERROR(INDEX(物件収支!$E:$E,MATCH($A127,物件収支!$A:$A,0)),""))</f>
        <v>開示（物件別・費用内訳含む）</v>
      </c>
    </row>
    <row r="128" customFormat="false" ht="15" hidden="false" customHeight="true" outlineLevel="0" collapsed="false">
      <c r="A128" s="17" t="str">
        <f aca="false">IF(物件マスタ!A128="","",物件マスタ!A128)</f>
        <v>MHR-ALL</v>
      </c>
      <c r="B128" s="17" t="str">
        <f aca="false">IF($A128="","",物件マスタ!B128)</f>
        <v>MHR</v>
      </c>
      <c r="C128" s="17" t="str">
        <f aca="false">IF($A128="","",IFERROR(INDEX(法人マスタ!$C:$C,MATCH($B128,法人マスタ!$A:$A,0)),""))</f>
        <v>森ヒルズリート投資法人</v>
      </c>
      <c r="D128" s="17" t="str">
        <f aca="false">IF($A128="","",物件マスタ!C128)</f>
        <v>【MHRポートフォリオ全体】</v>
      </c>
      <c r="E128" s="17" t="str">
        <f aca="false">IF($A128="","",物件マスタ!H128)</f>
        <v>─</v>
      </c>
      <c r="F128" s="48" t="n">
        <f aca="false">IF($A128="","",物件マスタ!P128)</f>
        <v>0</v>
      </c>
      <c r="G128" s="34" t="str">
        <f aca="false">IF($A128="","",物件マスタ!Q128)</f>
        <v/>
      </c>
      <c r="H128" s="49" t="n">
        <f aca="false">IF($A128="","",物件マスタ!L128)</f>
        <v>0</v>
      </c>
      <c r="I128" s="49" t="n">
        <f aca="false">IF($A128="","",物件マスタ!M128)</f>
        <v>185381.73</v>
      </c>
      <c r="J128" s="43" t="n">
        <f aca="false">IF($A128="","",物件マスタ!S128)</f>
        <v>416049</v>
      </c>
      <c r="K128" s="43" t="n">
        <f aca="false">IF($A128="","",物件マスタ!U128)</f>
        <v>506000</v>
      </c>
      <c r="L128" s="50" t="n">
        <f aca="false">IF($A128="","",物件マスタ!W128)</f>
        <v>0.989</v>
      </c>
      <c r="M128" s="17" t="str">
        <f aca="false">IF($A128="","",IFERROR(INDEX(法人マスタ!$H:$H,MATCH($B128,法人マスタ!$A:$A,0)),""))</f>
        <v>2026年1月期（第39期）</v>
      </c>
      <c r="N128" s="51" t="n">
        <f aca="false">IF($A128="","",SUMIFS(物件収支!$D:$D,物件収支!$A:$A,$A128,物件収支!$C:$C,$M128))</f>
        <v>6</v>
      </c>
      <c r="O128" s="43" t="n">
        <f aca="false">IF($A128="","",SUMIFS(物件収支!$F:$F,物件収支!$A:$A,$A128,物件収支!$C:$C,$M128))</f>
        <v>9861789</v>
      </c>
      <c r="P128" s="43" t="n">
        <f aca="false">IF($A128="","",SUMIFS(物件収支!$I:$I,物件収支!$A:$A,$A128,物件収支!$C:$C,$M128))</f>
        <v>3733257</v>
      </c>
      <c r="Q128" s="43" t="n">
        <f aca="false">IF($A128="","",SUMIFS(物件収支!$O:$O,物件収支!$A:$A,$A128,物件収支!$C:$C,$M128))</f>
        <v>1090287</v>
      </c>
      <c r="R128" s="43" t="n">
        <f aca="false">IF($A128="","",IF(P128=0,"",O128-P128))</f>
        <v>6128532</v>
      </c>
      <c r="S128" s="43" t="n">
        <f aca="false">IF($A128="","",IF(R128="","",R128+Q128))</f>
        <v>7218819</v>
      </c>
      <c r="T128" s="43" t="n">
        <f aca="false">IF($A128="","",IF(OR(S128="",N128&lt;=0),"",S128/1000*12/N128))</f>
        <v>14437.638</v>
      </c>
      <c r="U128" s="52" t="n">
        <f aca="false">IF($A128="","",IF(OR(T128="",J128=0,J128=""),"",T128/J128))</f>
        <v>0.034701773108456</v>
      </c>
      <c r="V128" s="52" t="n">
        <f aca="false">IF($A128="","",IF(OR(R128="",N128&lt;=0,J128=0,J128=""),"",(R128/1000*12/N128)/J128))</f>
        <v>0.0294606260320299</v>
      </c>
      <c r="W128" s="52" t="n">
        <f aca="false">IF($A128="","",IF(OR(T128="",K128=0,K128=""),"",T128/K128))</f>
        <v>0.0285328814229249</v>
      </c>
      <c r="X128" s="43" t="n">
        <f aca="false">IF($A128="","",IF(OR(N128&lt;=0,I128=0,I128="",O128=0),"",O128*1000/(I128*0.3025)/N128))</f>
        <v>29309.7521637298</v>
      </c>
      <c r="Y128" s="50" t="n">
        <f aca="false">IF($A128="","",IF(OR(O128=0,O128="",P128=0),"",P128/O128))</f>
        <v>0.378557785002295</v>
      </c>
      <c r="Z128" s="17" t="str">
        <f aca="false">IF($A128="","",IFERROR(INDEX(物件収支!$E:$E,MATCH($A128,物件収支!$A:$A,0)),""))</f>
        <v>開示（法人一括）</v>
      </c>
    </row>
    <row r="129" customFormat="false" ht="15" hidden="false" customHeight="true" outlineLevel="0" collapsed="false">
      <c r="A129" s="17" t="str">
        <f aca="false">IF(物件マスタ!A129="","",物件マスタ!A129)</f>
        <v>NBF-01</v>
      </c>
      <c r="B129" s="17" t="str">
        <f aca="false">IF($A129="","",物件マスタ!B129)</f>
        <v>NBF</v>
      </c>
      <c r="C129" s="17" t="str">
        <f aca="false">IF($A129="","",IFERROR(INDEX(法人マスタ!$C:$C,MATCH($B129,法人マスタ!$A:$A,0)),""))</f>
        <v>日本ビルファンド投資法人</v>
      </c>
      <c r="D129" s="17" t="str">
        <f aca="false">IF($A129="","",物件マスタ!C129)</f>
        <v>新宿三井ビルディング</v>
      </c>
      <c r="E129" s="17" t="str">
        <f aca="false">IF($A129="","",物件マスタ!H129)</f>
        <v>都心5区</v>
      </c>
      <c r="F129" s="48" t="n">
        <f aca="false">IF($A129="","",物件マスタ!P129)</f>
        <v>0</v>
      </c>
      <c r="G129" s="34" t="str">
        <f aca="false">IF($A129="","",物件マスタ!Q129)</f>
        <v/>
      </c>
      <c r="H129" s="49" t="n">
        <f aca="false">IF($A129="","",物件マスタ!L129)</f>
        <v>0</v>
      </c>
      <c r="I129" s="49" t="n">
        <f aca="false">IF($A129="","",物件マスタ!M129)</f>
        <v>102718</v>
      </c>
      <c r="J129" s="43" t="n">
        <f aca="false">IF($A129="","",物件マスタ!S129)</f>
        <v>170000</v>
      </c>
      <c r="K129" s="43" t="n">
        <f aca="false">IF($A129="","",物件マスタ!U129)</f>
        <v>184000</v>
      </c>
      <c r="L129" s="50" t="n">
        <f aca="false">IF($A129="","",物件マスタ!W129)</f>
        <v>0.984</v>
      </c>
      <c r="M129" s="17" t="str">
        <f aca="false">IF($A129="","",IFERROR(INDEX(法人マスタ!$H:$H,MATCH($B129,法人マスタ!$A:$A,0)),""))</f>
        <v>2025年12月期（第49期）</v>
      </c>
      <c r="N129" s="51" t="n">
        <f aca="false">IF($A129="","",SUMIFS(物件収支!$D:$D,物件収支!$A:$A,$A129,物件収支!$C:$C,$M129))</f>
        <v>6</v>
      </c>
      <c r="O129" s="43" t="n">
        <f aca="false">IF($A129="","",SUMIFS(物件収支!$F:$F,物件収支!$A:$A,$A129,物件収支!$C:$C,$M129))</f>
        <v>5077000</v>
      </c>
      <c r="P129" s="43" t="n">
        <f aca="false">IF($A129="","",SUMIFS(物件収支!$I:$I,物件収支!$A:$A,$A129,物件収支!$C:$C,$M129))</f>
        <v>0</v>
      </c>
      <c r="Q129" s="43" t="n">
        <f aca="false">IF($A129="","",SUMIFS(物件収支!$O:$O,物件収支!$A:$A,$A129,物件収支!$C:$C,$M129))</f>
        <v>0</v>
      </c>
      <c r="R129" s="43" t="str">
        <f aca="false">IF($A129="","",IF(P129=0,"",O129-P129))</f>
        <v/>
      </c>
      <c r="S129" s="43" t="str">
        <f aca="false">IF($A129="","",IF(R129="","",R129+Q129))</f>
        <v/>
      </c>
      <c r="T129" s="43" t="str">
        <f aca="false">IF($A129="","",IF(OR(S129="",N129&lt;=0),"",S129/1000*12/N129))</f>
        <v/>
      </c>
      <c r="U129" s="52" t="str">
        <f aca="false">IF($A129="","",IF(OR(T129="",J129=0,J129=""),"",T129/J129))</f>
        <v/>
      </c>
      <c r="V129" s="52" t="str">
        <f aca="false">IF($A129="","",IF(OR(R129="",N129&lt;=0,J129=0,J129=""),"",(R129/1000*12/N129)/J129))</f>
        <v/>
      </c>
      <c r="W129" s="52" t="str">
        <f aca="false">IF($A129="","",IF(OR(T129="",K129=0,K129=""),"",T129/K129))</f>
        <v/>
      </c>
      <c r="X129" s="43" t="n">
        <f aca="false">IF($A129="","",IF(OR(N129&lt;=0,I129=0,I129="",O129=0),"",O129*1000/(I129*0.3025)/N129))</f>
        <v>27232.2784620355</v>
      </c>
      <c r="Y129" s="50" t="str">
        <f aca="false">IF($A129="","",IF(OR(O129=0,O129="",P129=0),"",P129/O129))</f>
        <v/>
      </c>
      <c r="Z129" s="17" t="str">
        <f aca="false">IF($A129="","",IFERROR(INDEX(物件収支!$E:$E,MATCH($A129,物件収支!$A:$A,0)),""))</f>
        <v>開示（物件別・収益のみ、百万円単位）</v>
      </c>
    </row>
    <row r="130" customFormat="false" ht="15" hidden="false" customHeight="true" outlineLevel="0" collapsed="false">
      <c r="A130" s="17" t="str">
        <f aca="false">IF(物件マスタ!A130="","",物件マスタ!A130)</f>
        <v>NBF-02</v>
      </c>
      <c r="B130" s="17" t="str">
        <f aca="false">IF($A130="","",物件マスタ!B130)</f>
        <v>NBF</v>
      </c>
      <c r="C130" s="17" t="str">
        <f aca="false">IF($A130="","",IFERROR(INDEX(法人マスタ!$C:$C,MATCH($B130,法人マスタ!$A:$A,0)),""))</f>
        <v>日本ビルファンド投資法人</v>
      </c>
      <c r="D130" s="17" t="str">
        <f aca="false">IF($A130="","",物件マスタ!C130)</f>
        <v>飯田橋グラン・ブルーム</v>
      </c>
      <c r="E130" s="17" t="str">
        <f aca="false">IF($A130="","",物件マスタ!H130)</f>
        <v>都心5区</v>
      </c>
      <c r="F130" s="48" t="n">
        <f aca="false">IF($A130="","",物件マスタ!P130)</f>
        <v>0</v>
      </c>
      <c r="G130" s="34" t="str">
        <f aca="false">IF($A130="","",物件マスタ!Q130)</f>
        <v/>
      </c>
      <c r="H130" s="49" t="n">
        <f aca="false">IF($A130="","",物件マスタ!L130)</f>
        <v>0</v>
      </c>
      <c r="I130" s="49" t="n">
        <f aca="false">IF($A130="","",物件マスタ!M130)</f>
        <v>54185</v>
      </c>
      <c r="J130" s="43" t="n">
        <f aca="false">IF($A130="","",物件マスタ!S130)</f>
        <v>138909.102</v>
      </c>
      <c r="K130" s="43" t="n">
        <f aca="false">IF($A130="","",物件マスタ!U130)</f>
        <v>154000</v>
      </c>
      <c r="L130" s="50" t="n">
        <f aca="false">IF($A130="","",物件マスタ!W130)</f>
        <v>1</v>
      </c>
      <c r="M130" s="17" t="str">
        <f aca="false">IF($A130="","",IFERROR(INDEX(法人マスタ!$H:$H,MATCH($B130,法人マスタ!$A:$A,0)),""))</f>
        <v>2025年12月期（第49期）</v>
      </c>
      <c r="N130" s="51" t="n">
        <f aca="false">IF($A130="","",SUMIFS(物件収支!$D:$D,物件収支!$A:$A,$A130,物件収支!$C:$C,$M130))</f>
        <v>6</v>
      </c>
      <c r="O130" s="43" t="n">
        <f aca="false">IF($A130="","",SUMIFS(物件収支!$F:$F,物件収支!$A:$A,$A130,物件収支!$C:$C,$M130))</f>
        <v>3084000</v>
      </c>
      <c r="P130" s="43" t="n">
        <f aca="false">IF($A130="","",SUMIFS(物件収支!$I:$I,物件収支!$A:$A,$A130,物件収支!$C:$C,$M130))</f>
        <v>0</v>
      </c>
      <c r="Q130" s="43" t="n">
        <f aca="false">IF($A130="","",SUMIFS(物件収支!$O:$O,物件収支!$A:$A,$A130,物件収支!$C:$C,$M130))</f>
        <v>0</v>
      </c>
      <c r="R130" s="43" t="str">
        <f aca="false">IF($A130="","",IF(P130=0,"",O130-P130))</f>
        <v/>
      </c>
      <c r="S130" s="43" t="str">
        <f aca="false">IF($A130="","",IF(R130="","",R130+Q130))</f>
        <v/>
      </c>
      <c r="T130" s="43" t="str">
        <f aca="false">IF($A130="","",IF(OR(S130="",N130&lt;=0),"",S130/1000*12/N130))</f>
        <v/>
      </c>
      <c r="U130" s="52" t="str">
        <f aca="false">IF($A130="","",IF(OR(T130="",J130=0,J130=""),"",T130/J130))</f>
        <v/>
      </c>
      <c r="V130" s="52" t="str">
        <f aca="false">IF($A130="","",IF(OR(R130="",N130&lt;=0,J130=0,J130=""),"",(R130/1000*12/N130)/J130))</f>
        <v/>
      </c>
      <c r="W130" s="52" t="str">
        <f aca="false">IF($A130="","",IF(OR(T130="",K130=0,K130=""),"",T130/K130))</f>
        <v/>
      </c>
      <c r="X130" s="43" t="n">
        <f aca="false">IF($A130="","",IF(OR(N130&lt;=0,I130=0,I130="",O130=0),"",O130*1000/(I130*0.3025)/N130))</f>
        <v>31358.744186011</v>
      </c>
      <c r="Y130" s="50" t="str">
        <f aca="false">IF($A130="","",IF(OR(O130=0,O130="",P130=0),"",P130/O130))</f>
        <v/>
      </c>
      <c r="Z130" s="17" t="str">
        <f aca="false">IF($A130="","",IFERROR(INDEX(物件収支!$E:$E,MATCH($A130,物件収支!$A:$A,0)),""))</f>
        <v>開示（物件別・収益のみ、百万円単位）</v>
      </c>
    </row>
    <row r="131" customFormat="false" ht="15" hidden="false" customHeight="true" outlineLevel="0" collapsed="false">
      <c r="A131" s="17" t="str">
        <f aca="false">IF(物件マスタ!A131="","",物件マスタ!A131)</f>
        <v>NBF-03</v>
      </c>
      <c r="B131" s="17" t="str">
        <f aca="false">IF($A131="","",物件マスタ!B131)</f>
        <v>NBF</v>
      </c>
      <c r="C131" s="17" t="str">
        <f aca="false">IF($A131="","",IFERROR(INDEX(法人マスタ!$C:$C,MATCH($B131,法人マスタ!$A:$A,0)),""))</f>
        <v>日本ビルファンド投資法人</v>
      </c>
      <c r="D131" s="17" t="str">
        <f aca="false">IF($A131="","",物件マスタ!C131)</f>
        <v>六本木ティーキューブ</v>
      </c>
      <c r="E131" s="17" t="str">
        <f aca="false">IF($A131="","",物件マスタ!H131)</f>
        <v>都心5区</v>
      </c>
      <c r="F131" s="48" t="n">
        <f aca="false">IF($A131="","",物件マスタ!P131)</f>
        <v>0</v>
      </c>
      <c r="G131" s="34" t="str">
        <f aca="false">IF($A131="","",物件マスタ!Q131)</f>
        <v/>
      </c>
      <c r="H131" s="49" t="n">
        <f aca="false">IF($A131="","",物件マスタ!L131)</f>
        <v>0</v>
      </c>
      <c r="I131" s="49" t="n">
        <f aca="false">IF($A131="","",物件マスタ!M131)</f>
        <v>34608</v>
      </c>
      <c r="J131" s="43" t="n">
        <f aca="false">IF($A131="","",物件マスタ!S131)</f>
        <v>62800</v>
      </c>
      <c r="K131" s="43" t="n">
        <f aca="false">IF($A131="","",物件マスタ!U131)</f>
        <v>63200</v>
      </c>
      <c r="L131" s="50" t="n">
        <f aca="false">IF($A131="","",物件マスタ!W131)</f>
        <v>0.965</v>
      </c>
      <c r="M131" s="17" t="str">
        <f aca="false">IF($A131="","",IFERROR(INDEX(法人マスタ!$H:$H,MATCH($B131,法人マスタ!$A:$A,0)),""))</f>
        <v>2025年12月期（第49期）</v>
      </c>
      <c r="N131" s="51" t="n">
        <f aca="false">IF($A131="","",SUMIFS(物件収支!$D:$D,物件収支!$A:$A,$A131,物件収支!$C:$C,$M131))</f>
        <v>6</v>
      </c>
      <c r="O131" s="43" t="n">
        <f aca="false">IF($A131="","",SUMIFS(物件収支!$F:$F,物件収支!$A:$A,$A131,物件収支!$C:$C,$M131))</f>
        <v>1532000</v>
      </c>
      <c r="P131" s="43" t="n">
        <f aca="false">IF($A131="","",SUMIFS(物件収支!$I:$I,物件収支!$A:$A,$A131,物件収支!$C:$C,$M131))</f>
        <v>0</v>
      </c>
      <c r="Q131" s="43" t="n">
        <f aca="false">IF($A131="","",SUMIFS(物件収支!$O:$O,物件収支!$A:$A,$A131,物件収支!$C:$C,$M131))</f>
        <v>0</v>
      </c>
      <c r="R131" s="43" t="str">
        <f aca="false">IF($A131="","",IF(P131=0,"",O131-P131))</f>
        <v/>
      </c>
      <c r="S131" s="43" t="str">
        <f aca="false">IF($A131="","",IF(R131="","",R131+Q131))</f>
        <v/>
      </c>
      <c r="T131" s="43" t="str">
        <f aca="false">IF($A131="","",IF(OR(S131="",N131&lt;=0),"",S131/1000*12/N131))</f>
        <v/>
      </c>
      <c r="U131" s="52" t="str">
        <f aca="false">IF($A131="","",IF(OR(T131="",J131=0,J131=""),"",T131/J131))</f>
        <v/>
      </c>
      <c r="V131" s="52" t="str">
        <f aca="false">IF($A131="","",IF(OR(R131="",N131&lt;=0,J131=0,J131=""),"",(R131/1000*12/N131)/J131))</f>
        <v/>
      </c>
      <c r="W131" s="52" t="str">
        <f aca="false">IF($A131="","",IF(OR(T131="",K131=0,K131=""),"",T131/K131))</f>
        <v/>
      </c>
      <c r="X131" s="43" t="n">
        <f aca="false">IF($A131="","",IF(OR(N131&lt;=0,I131=0,I131="",O131=0),"",O131*1000/(I131*0.3025)/N131))</f>
        <v>24389.6536923898</v>
      </c>
      <c r="Y131" s="50" t="str">
        <f aca="false">IF($A131="","",IF(OR(O131=0,O131="",P131=0),"",P131/O131))</f>
        <v/>
      </c>
      <c r="Z131" s="17" t="str">
        <f aca="false">IF($A131="","",IFERROR(INDEX(物件収支!$E:$E,MATCH($A131,物件収支!$A:$A,0)),""))</f>
        <v>開示（物件別・収益のみ、百万円単位）</v>
      </c>
    </row>
    <row r="132" customFormat="false" ht="15" hidden="false" customHeight="true" outlineLevel="0" collapsed="false">
      <c r="A132" s="17" t="str">
        <f aca="false">IF(物件マスタ!A132="","",物件マスタ!A132)</f>
        <v>NBF-04</v>
      </c>
      <c r="B132" s="17" t="str">
        <f aca="false">IF($A132="","",物件マスタ!B132)</f>
        <v>NBF</v>
      </c>
      <c r="C132" s="17" t="str">
        <f aca="false">IF($A132="","",IFERROR(INDEX(法人マスタ!$C:$C,MATCH($B132,法人マスタ!$A:$A,0)),""))</f>
        <v>日本ビルファンド投資法人</v>
      </c>
      <c r="D132" s="17" t="str">
        <f aca="false">IF($A132="","",物件マスタ!C132)</f>
        <v>西新宿三井ビルディング</v>
      </c>
      <c r="E132" s="17" t="str">
        <f aca="false">IF($A132="","",物件マスタ!H132)</f>
        <v>都心5区</v>
      </c>
      <c r="F132" s="48" t="n">
        <f aca="false">IF($A132="","",物件マスタ!P132)</f>
        <v>0</v>
      </c>
      <c r="G132" s="34" t="str">
        <f aca="false">IF($A132="","",物件マスタ!Q132)</f>
        <v/>
      </c>
      <c r="H132" s="49" t="n">
        <f aca="false">IF($A132="","",物件マスタ!L132)</f>
        <v>0</v>
      </c>
      <c r="I132" s="49" t="n">
        <f aca="false">IF($A132="","",物件マスタ!M132)</f>
        <v>33770</v>
      </c>
      <c r="J132" s="43" t="n">
        <f aca="false">IF($A132="","",物件マスタ!S132)</f>
        <v>45392.204</v>
      </c>
      <c r="K132" s="43" t="n">
        <f aca="false">IF($A132="","",物件マスタ!U132)</f>
        <v>46100</v>
      </c>
      <c r="L132" s="50" t="n">
        <f aca="false">IF($A132="","",物件マスタ!W132)</f>
        <v>0.997</v>
      </c>
      <c r="M132" s="17" t="str">
        <f aca="false">IF($A132="","",IFERROR(INDEX(法人マスタ!$H:$H,MATCH($B132,法人マスタ!$A:$A,0)),""))</f>
        <v>2025年12月期（第49期）</v>
      </c>
      <c r="N132" s="51" t="n">
        <f aca="false">IF($A132="","",SUMIFS(物件収支!$D:$D,物件収支!$A:$A,$A132,物件収支!$C:$C,$M132))</f>
        <v>6</v>
      </c>
      <c r="O132" s="43" t="n">
        <f aca="false">IF($A132="","",SUMIFS(物件収支!$F:$F,物件収支!$A:$A,$A132,物件収支!$C:$C,$M132))</f>
        <v>1283000</v>
      </c>
      <c r="P132" s="43" t="n">
        <f aca="false">IF($A132="","",SUMIFS(物件収支!$I:$I,物件収支!$A:$A,$A132,物件収支!$C:$C,$M132))</f>
        <v>0</v>
      </c>
      <c r="Q132" s="43" t="n">
        <f aca="false">IF($A132="","",SUMIFS(物件収支!$O:$O,物件収支!$A:$A,$A132,物件収支!$C:$C,$M132))</f>
        <v>0</v>
      </c>
      <c r="R132" s="43" t="str">
        <f aca="false">IF($A132="","",IF(P132=0,"",O132-P132))</f>
        <v/>
      </c>
      <c r="S132" s="43" t="str">
        <f aca="false">IF($A132="","",IF(R132="","",R132+Q132))</f>
        <v/>
      </c>
      <c r="T132" s="43" t="str">
        <f aca="false">IF($A132="","",IF(OR(S132="",N132&lt;=0),"",S132/1000*12/N132))</f>
        <v/>
      </c>
      <c r="U132" s="52" t="str">
        <f aca="false">IF($A132="","",IF(OR(T132="",J132=0,J132=""),"",T132/J132))</f>
        <v/>
      </c>
      <c r="V132" s="52" t="str">
        <f aca="false">IF($A132="","",IF(OR(R132="",N132&lt;=0,J132=0,J132=""),"",(R132/1000*12/N132)/J132))</f>
        <v/>
      </c>
      <c r="W132" s="52" t="str">
        <f aca="false">IF($A132="","",IF(OR(T132="",K132=0,K132=""),"",T132/K132))</f>
        <v/>
      </c>
      <c r="X132" s="43" t="n">
        <f aca="false">IF($A132="","",IF(OR(N132&lt;=0,I132=0,I132="",O132=0),"",O132*1000/(I132*0.3025)/N132))</f>
        <v>20932.3971673556</v>
      </c>
      <c r="Y132" s="50" t="str">
        <f aca="false">IF($A132="","",IF(OR(O132=0,O132="",P132=0),"",P132/O132))</f>
        <v/>
      </c>
      <c r="Z132" s="17" t="str">
        <f aca="false">IF($A132="","",IFERROR(INDEX(物件収支!$E:$E,MATCH($A132,物件収支!$A:$A,0)),""))</f>
        <v>開示（物件別・収益のみ、百万円単位）</v>
      </c>
    </row>
    <row r="133" customFormat="false" ht="15" hidden="false" customHeight="true" outlineLevel="0" collapsed="false">
      <c r="A133" s="17" t="str">
        <f aca="false">IF(物件マスタ!A133="","",物件マスタ!A133)</f>
        <v>NBF-05</v>
      </c>
      <c r="B133" s="17" t="str">
        <f aca="false">IF($A133="","",物件マスタ!B133)</f>
        <v>NBF</v>
      </c>
      <c r="C133" s="17" t="str">
        <f aca="false">IF($A133="","",IFERROR(INDEX(法人マスタ!$C:$C,MATCH($B133,法人マスタ!$A:$A,0)),""))</f>
        <v>日本ビルファンド投資法人</v>
      </c>
      <c r="D133" s="17" t="str">
        <f aca="false">IF($A133="","",物件マスタ!C133)</f>
        <v>セレスティン芝三井ビルディング</v>
      </c>
      <c r="E133" s="17" t="str">
        <f aca="false">IF($A133="","",物件マスタ!H133)</f>
        <v>都心5区</v>
      </c>
      <c r="F133" s="48" t="n">
        <f aca="false">IF($A133="","",物件マスタ!P133)</f>
        <v>0</v>
      </c>
      <c r="G133" s="34" t="str">
        <f aca="false">IF($A133="","",物件マスタ!Q133)</f>
        <v/>
      </c>
      <c r="H133" s="49" t="n">
        <f aca="false">IF($A133="","",物件マスタ!L133)</f>
        <v>0</v>
      </c>
      <c r="I133" s="49" t="n">
        <f aca="false">IF($A133="","",物件マスタ!M133)</f>
        <v>38011</v>
      </c>
      <c r="J133" s="43" t="n">
        <f aca="false">IF($A133="","",物件マスタ!S133)</f>
        <v>42000</v>
      </c>
      <c r="K133" s="43" t="n">
        <f aca="false">IF($A133="","",物件マスタ!U133)</f>
        <v>47200</v>
      </c>
      <c r="L133" s="50" t="n">
        <f aca="false">IF($A133="","",物件マスタ!W133)</f>
        <v>1</v>
      </c>
      <c r="M133" s="17" t="str">
        <f aca="false">IF($A133="","",IFERROR(INDEX(法人マスタ!$H:$H,MATCH($B133,法人マスタ!$A:$A,0)),""))</f>
        <v>2025年12月期（第49期）</v>
      </c>
      <c r="N133" s="51" t="n">
        <f aca="false">IF($A133="","",SUMIFS(物件収支!$D:$D,物件収支!$A:$A,$A133,物件収支!$C:$C,$M133))</f>
        <v>6</v>
      </c>
      <c r="O133" s="43" t="n">
        <f aca="false">IF($A133="","",SUMIFS(物件収支!$F:$F,物件収支!$A:$A,$A133,物件収支!$C:$C,$M133))</f>
        <v>1481000</v>
      </c>
      <c r="P133" s="43" t="n">
        <f aca="false">IF($A133="","",SUMIFS(物件収支!$I:$I,物件収支!$A:$A,$A133,物件収支!$C:$C,$M133))</f>
        <v>0</v>
      </c>
      <c r="Q133" s="43" t="n">
        <f aca="false">IF($A133="","",SUMIFS(物件収支!$O:$O,物件収支!$A:$A,$A133,物件収支!$C:$C,$M133))</f>
        <v>0</v>
      </c>
      <c r="R133" s="43" t="str">
        <f aca="false">IF($A133="","",IF(P133=0,"",O133-P133))</f>
        <v/>
      </c>
      <c r="S133" s="43" t="str">
        <f aca="false">IF($A133="","",IF(R133="","",R133+Q133))</f>
        <v/>
      </c>
      <c r="T133" s="43" t="str">
        <f aca="false">IF($A133="","",IF(OR(S133="",N133&lt;=0),"",S133/1000*12/N133))</f>
        <v/>
      </c>
      <c r="U133" s="52" t="str">
        <f aca="false">IF($A133="","",IF(OR(T133="",J133=0,J133=""),"",T133/J133))</f>
        <v/>
      </c>
      <c r="V133" s="52" t="str">
        <f aca="false">IF($A133="","",IF(OR(R133="",N133&lt;=0,J133=0,J133=""),"",(R133/1000*12/N133)/J133))</f>
        <v/>
      </c>
      <c r="W133" s="52" t="str">
        <f aca="false">IF($A133="","",IF(OR(T133="",K133=0,K133=""),"",T133/K133))</f>
        <v/>
      </c>
      <c r="X133" s="43" t="n">
        <f aca="false">IF($A133="","",IF(OR(N133&lt;=0,I133=0,I133="",O133=0),"",O133*1000/(I133*0.3025)/N133))</f>
        <v>21466.8901484441</v>
      </c>
      <c r="Y133" s="50" t="str">
        <f aca="false">IF($A133="","",IF(OR(O133=0,O133="",P133=0),"",P133/O133))</f>
        <v/>
      </c>
      <c r="Z133" s="17" t="str">
        <f aca="false">IF($A133="","",IFERROR(INDEX(物件収支!$E:$E,MATCH($A133,物件収支!$A:$A,0)),""))</f>
        <v>開示（物件別・収益のみ、百万円単位）</v>
      </c>
    </row>
    <row r="134" customFormat="false" ht="15" hidden="false" customHeight="true" outlineLevel="0" collapsed="false">
      <c r="A134" s="17" t="str">
        <f aca="false">IF(物件マスタ!A134="","",物件マスタ!A134)</f>
        <v>NBF-06</v>
      </c>
      <c r="B134" s="17" t="str">
        <f aca="false">IF($A134="","",物件マスタ!B134)</f>
        <v>NBF</v>
      </c>
      <c r="C134" s="17" t="str">
        <f aca="false">IF($A134="","",IFERROR(INDEX(法人マスタ!$C:$C,MATCH($B134,法人マスタ!$A:$A,0)),""))</f>
        <v>日本ビルファンド投資法人</v>
      </c>
      <c r="D134" s="17" t="str">
        <f aca="false">IF($A134="","",物件マスタ!C134)</f>
        <v>ＮＢＦ品川タワー</v>
      </c>
      <c r="E134" s="17" t="str">
        <f aca="false">IF($A134="","",物件マスタ!H134)</f>
        <v>都心5区</v>
      </c>
      <c r="F134" s="48" t="n">
        <f aca="false">IF($A134="","",物件マスタ!P134)</f>
        <v>0</v>
      </c>
      <c r="G134" s="34" t="str">
        <f aca="false">IF($A134="","",物件マスタ!Q134)</f>
        <v/>
      </c>
      <c r="H134" s="49" t="n">
        <f aca="false">IF($A134="","",物件マスタ!L134)</f>
        <v>0</v>
      </c>
      <c r="I134" s="49" t="n">
        <f aca="false">IF($A134="","",物件マスタ!M134)</f>
        <v>22778</v>
      </c>
      <c r="J134" s="43" t="n">
        <f aca="false">IF($A134="","",物件マスタ!S134)</f>
        <v>36300</v>
      </c>
      <c r="K134" s="43" t="n">
        <f aca="false">IF($A134="","",物件マスタ!U134)</f>
        <v>47700</v>
      </c>
      <c r="L134" s="50" t="n">
        <f aca="false">IF($A134="","",物件マスタ!W134)</f>
        <v>0.997</v>
      </c>
      <c r="M134" s="17" t="str">
        <f aca="false">IF($A134="","",IFERROR(INDEX(法人マスタ!$H:$H,MATCH($B134,法人マスタ!$A:$A,0)),""))</f>
        <v>2025年12月期（第49期）</v>
      </c>
      <c r="N134" s="51" t="n">
        <f aca="false">IF($A134="","",SUMIFS(物件収支!$D:$D,物件収支!$A:$A,$A134,物件収支!$C:$C,$M134))</f>
        <v>6</v>
      </c>
      <c r="O134" s="43" t="n">
        <f aca="false">IF($A134="","",SUMIFS(物件収支!$F:$F,物件収支!$A:$A,$A134,物件収支!$C:$C,$M134))</f>
        <v>0</v>
      </c>
      <c r="P134" s="43" t="n">
        <f aca="false">IF($A134="","",SUMIFS(物件収支!$I:$I,物件収支!$A:$A,$A134,物件収支!$C:$C,$M134))</f>
        <v>0</v>
      </c>
      <c r="Q134" s="43" t="n">
        <f aca="false">IF($A134="","",SUMIFS(物件収支!$O:$O,物件収支!$A:$A,$A134,物件収支!$C:$C,$M134))</f>
        <v>0</v>
      </c>
      <c r="R134" s="43" t="str">
        <f aca="false">IF($A134="","",IF(P134=0,"",O134-P134))</f>
        <v/>
      </c>
      <c r="S134" s="43" t="str">
        <f aca="false">IF($A134="","",IF(R134="","",R134+Q134))</f>
        <v/>
      </c>
      <c r="T134" s="43" t="str">
        <f aca="false">IF($A134="","",IF(OR(S134="",N134&lt;=0),"",S134/1000*12/N134))</f>
        <v/>
      </c>
      <c r="U134" s="52" t="str">
        <f aca="false">IF($A134="","",IF(OR(T134="",J134=0,J134=""),"",T134/J134))</f>
        <v/>
      </c>
      <c r="V134" s="52" t="str">
        <f aca="false">IF($A134="","",IF(OR(R134="",N134&lt;=0,J134=0,J134=""),"",(R134/1000*12/N134)/J134))</f>
        <v/>
      </c>
      <c r="W134" s="52" t="str">
        <f aca="false">IF($A134="","",IF(OR(T134="",K134=0,K134=""),"",T134/K134))</f>
        <v/>
      </c>
      <c r="X134" s="43" t="str">
        <f aca="false">IF($A134="","",IF(OR(N134&lt;=0,I134=0,I134="",O134=0),"",O134*1000/(I134*0.3025)/N134))</f>
        <v/>
      </c>
      <c r="Y134" s="50" t="str">
        <f aca="false">IF($A134="","",IF(OR(O134=0,O134="",P134=0),"",P134/O134))</f>
        <v/>
      </c>
      <c r="Z134" s="17" t="str">
        <f aca="false">IF($A134="","",IFERROR(INDEX(物件収支!$E:$E,MATCH($A134,物件収支!$A:$A,0)),""))</f>
        <v>非開示（テナント同意なし）</v>
      </c>
    </row>
    <row r="135" customFormat="false" ht="15" hidden="false" customHeight="true" outlineLevel="0" collapsed="false">
      <c r="A135" s="17" t="str">
        <f aca="false">IF(物件マスタ!A135="","",物件マスタ!A135)</f>
        <v>NBF-07</v>
      </c>
      <c r="B135" s="17" t="str">
        <f aca="false">IF($A135="","",物件マスタ!B135)</f>
        <v>NBF</v>
      </c>
      <c r="C135" s="17" t="str">
        <f aca="false">IF($A135="","",IFERROR(INDEX(法人マスタ!$C:$C,MATCH($B135,法人マスタ!$A:$A,0)),""))</f>
        <v>日本ビルファンド投資法人</v>
      </c>
      <c r="D135" s="17" t="str">
        <f aca="false">IF($A135="","",物件マスタ!C135)</f>
        <v>ＮＢＦプラチナタワー</v>
      </c>
      <c r="E135" s="17" t="str">
        <f aca="false">IF($A135="","",物件マスタ!H135)</f>
        <v>都心5区</v>
      </c>
      <c r="F135" s="48" t="n">
        <f aca="false">IF($A135="","",物件マスタ!P135)</f>
        <v>0</v>
      </c>
      <c r="G135" s="34" t="str">
        <f aca="false">IF($A135="","",物件マスタ!Q135)</f>
        <v/>
      </c>
      <c r="H135" s="49" t="n">
        <f aca="false">IF($A135="","",物件マスタ!L135)</f>
        <v>0</v>
      </c>
      <c r="I135" s="49" t="n">
        <f aca="false">IF($A135="","",物件マスタ!M135)</f>
        <v>33503</v>
      </c>
      <c r="J135" s="43" t="n">
        <f aca="false">IF($A135="","",物件マスタ!S135)</f>
        <v>31000</v>
      </c>
      <c r="K135" s="43" t="n">
        <f aca="false">IF($A135="","",物件マスタ!U135)</f>
        <v>60800</v>
      </c>
      <c r="L135" s="50" t="n">
        <f aca="false">IF($A135="","",物件マスタ!W135)</f>
        <v>0.981</v>
      </c>
      <c r="M135" s="17" t="str">
        <f aca="false">IF($A135="","",IFERROR(INDEX(法人マスタ!$H:$H,MATCH($B135,法人マスタ!$A:$A,0)),""))</f>
        <v>2025年12月期（第49期）</v>
      </c>
      <c r="N135" s="51" t="n">
        <f aca="false">IF($A135="","",SUMIFS(物件収支!$D:$D,物件収支!$A:$A,$A135,物件収支!$C:$C,$M135))</f>
        <v>6</v>
      </c>
      <c r="O135" s="43" t="n">
        <f aca="false">IF($A135="","",SUMIFS(物件収支!$F:$F,物件収支!$A:$A,$A135,物件収支!$C:$C,$M135))</f>
        <v>1420000</v>
      </c>
      <c r="P135" s="43" t="n">
        <f aca="false">IF($A135="","",SUMIFS(物件収支!$I:$I,物件収支!$A:$A,$A135,物件収支!$C:$C,$M135))</f>
        <v>0</v>
      </c>
      <c r="Q135" s="43" t="n">
        <f aca="false">IF($A135="","",SUMIFS(物件収支!$O:$O,物件収支!$A:$A,$A135,物件収支!$C:$C,$M135))</f>
        <v>0</v>
      </c>
      <c r="R135" s="43" t="str">
        <f aca="false">IF($A135="","",IF(P135=0,"",O135-P135))</f>
        <v/>
      </c>
      <c r="S135" s="43" t="str">
        <f aca="false">IF($A135="","",IF(R135="","",R135+Q135))</f>
        <v/>
      </c>
      <c r="T135" s="43" t="str">
        <f aca="false">IF($A135="","",IF(OR(S135="",N135&lt;=0),"",S135/1000*12/N135))</f>
        <v/>
      </c>
      <c r="U135" s="52" t="str">
        <f aca="false">IF($A135="","",IF(OR(T135="",J135=0,J135=""),"",T135/J135))</f>
        <v/>
      </c>
      <c r="V135" s="52" t="str">
        <f aca="false">IF($A135="","",IF(OR(R135="",N135&lt;=0,J135=0,J135=""),"",(R135/1000*12/N135)/J135))</f>
        <v/>
      </c>
      <c r="W135" s="52" t="str">
        <f aca="false">IF($A135="","",IF(OR(T135="",K135=0,K135=""),"",T135/K135))</f>
        <v/>
      </c>
      <c r="X135" s="43" t="n">
        <f aca="false">IF($A135="","",IF(OR(N135&lt;=0,I135=0,I135="",O135=0),"",O135*1000/(I135*0.3025)/N135))</f>
        <v>23352.2116230042</v>
      </c>
      <c r="Y135" s="50" t="str">
        <f aca="false">IF($A135="","",IF(OR(O135=0,O135="",P135=0),"",P135/O135))</f>
        <v/>
      </c>
      <c r="Z135" s="17" t="str">
        <f aca="false">IF($A135="","",IFERROR(INDEX(物件収支!$E:$E,MATCH($A135,物件収支!$A:$A,0)),""))</f>
        <v>開示（物件別・収益のみ、百万円単位）</v>
      </c>
    </row>
    <row r="136" customFormat="false" ht="15" hidden="false" customHeight="true" outlineLevel="0" collapsed="false">
      <c r="A136" s="17" t="str">
        <f aca="false">IF(物件マスタ!A136="","",物件マスタ!A136)</f>
        <v>NBF-08</v>
      </c>
      <c r="B136" s="17" t="str">
        <f aca="false">IF($A136="","",物件マスタ!B136)</f>
        <v>NBF</v>
      </c>
      <c r="C136" s="17" t="str">
        <f aca="false">IF($A136="","",IFERROR(INDEX(法人マスタ!$C:$C,MATCH($B136,法人マスタ!$A:$A,0)),""))</f>
        <v>日本ビルファンド投資法人</v>
      </c>
      <c r="D136" s="17" t="str">
        <f aca="false">IF($A136="","",物件マスタ!C136)</f>
        <v>ＮＢＦコモディオ汐留</v>
      </c>
      <c r="E136" s="17" t="str">
        <f aca="false">IF($A136="","",物件マスタ!H136)</f>
        <v>都心5区</v>
      </c>
      <c r="F136" s="48" t="n">
        <f aca="false">IF($A136="","",物件マスタ!P136)</f>
        <v>0</v>
      </c>
      <c r="G136" s="34" t="str">
        <f aca="false">IF($A136="","",物件マスタ!Q136)</f>
        <v/>
      </c>
      <c r="H136" s="49" t="n">
        <f aca="false">IF($A136="","",物件マスタ!L136)</f>
        <v>0</v>
      </c>
      <c r="I136" s="49" t="n">
        <f aca="false">IF($A136="","",物件マスタ!M136)</f>
        <v>20538</v>
      </c>
      <c r="J136" s="43" t="n">
        <f aca="false">IF($A136="","",物件マスタ!S136)</f>
        <v>28800</v>
      </c>
      <c r="K136" s="43" t="n">
        <f aca="false">IF($A136="","",物件マスタ!U136)</f>
        <v>35800</v>
      </c>
      <c r="L136" s="50" t="n">
        <f aca="false">IF($A136="","",物件マスタ!W136)</f>
        <v>1</v>
      </c>
      <c r="M136" s="17" t="str">
        <f aca="false">IF($A136="","",IFERROR(INDEX(法人マスタ!$H:$H,MATCH($B136,法人マスタ!$A:$A,0)),""))</f>
        <v>2025年12月期（第49期）</v>
      </c>
      <c r="N136" s="51" t="n">
        <f aca="false">IF($A136="","",SUMIFS(物件収支!$D:$D,物件収支!$A:$A,$A136,物件収支!$C:$C,$M136))</f>
        <v>6</v>
      </c>
      <c r="O136" s="43" t="n">
        <f aca="false">IF($A136="","",SUMIFS(物件収支!$F:$F,物件収支!$A:$A,$A136,物件収支!$C:$C,$M136))</f>
        <v>856000</v>
      </c>
      <c r="P136" s="43" t="n">
        <f aca="false">IF($A136="","",SUMIFS(物件収支!$I:$I,物件収支!$A:$A,$A136,物件収支!$C:$C,$M136))</f>
        <v>0</v>
      </c>
      <c r="Q136" s="43" t="n">
        <f aca="false">IF($A136="","",SUMIFS(物件収支!$O:$O,物件収支!$A:$A,$A136,物件収支!$C:$C,$M136))</f>
        <v>0</v>
      </c>
      <c r="R136" s="43" t="str">
        <f aca="false">IF($A136="","",IF(P136=0,"",O136-P136))</f>
        <v/>
      </c>
      <c r="S136" s="43" t="str">
        <f aca="false">IF($A136="","",IF(R136="","",R136+Q136))</f>
        <v/>
      </c>
      <c r="T136" s="43" t="str">
        <f aca="false">IF($A136="","",IF(OR(S136="",N136&lt;=0),"",S136/1000*12/N136))</f>
        <v/>
      </c>
      <c r="U136" s="52" t="str">
        <f aca="false">IF($A136="","",IF(OR(T136="",J136=0,J136=""),"",T136/J136))</f>
        <v/>
      </c>
      <c r="V136" s="52" t="str">
        <f aca="false">IF($A136="","",IF(OR(R136="",N136&lt;=0,J136=0,J136=""),"",(R136/1000*12/N136)/J136))</f>
        <v/>
      </c>
      <c r="W136" s="52" t="str">
        <f aca="false">IF($A136="","",IF(OR(T136="",K136=0,K136=""),"",T136/K136))</f>
        <v/>
      </c>
      <c r="X136" s="43" t="n">
        <f aca="false">IF($A136="","",IF(OR(N136&lt;=0,I136=0,I136="",O136=0),"",O136*1000/(I136*0.3025)/N136))</f>
        <v>22963.5477822873</v>
      </c>
      <c r="Y136" s="50" t="str">
        <f aca="false">IF($A136="","",IF(OR(O136=0,O136="",P136=0),"",P136/O136))</f>
        <v/>
      </c>
      <c r="Z136" s="17" t="str">
        <f aca="false">IF($A136="","",IFERROR(INDEX(物件収支!$E:$E,MATCH($A136,物件収支!$A:$A,0)),""))</f>
        <v>開示（物件別・収益のみ、百万円単位）</v>
      </c>
    </row>
    <row r="137" customFormat="false" ht="15" hidden="false" customHeight="true" outlineLevel="0" collapsed="false">
      <c r="A137" s="17" t="str">
        <f aca="false">IF(物件マスタ!A137="","",物件マスタ!A137)</f>
        <v>NBF-09</v>
      </c>
      <c r="B137" s="17" t="str">
        <f aca="false">IF($A137="","",物件マスタ!B137)</f>
        <v>NBF</v>
      </c>
      <c r="C137" s="17" t="str">
        <f aca="false">IF($A137="","",IFERROR(INDEX(法人マスタ!$C:$C,MATCH($B137,法人マスタ!$A:$A,0)),""))</f>
        <v>日本ビルファンド投資法人</v>
      </c>
      <c r="D137" s="17" t="str">
        <f aca="false">IF($A137="","",物件マスタ!C137)</f>
        <v>Ｇ－ＢＡＳＥ田町</v>
      </c>
      <c r="E137" s="17" t="str">
        <f aca="false">IF($A137="","",物件マスタ!H137)</f>
        <v>都心5区</v>
      </c>
      <c r="F137" s="48" t="n">
        <f aca="false">IF($A137="","",物件マスタ!P137)</f>
        <v>0</v>
      </c>
      <c r="G137" s="34" t="str">
        <f aca="false">IF($A137="","",物件マスタ!Q137)</f>
        <v/>
      </c>
      <c r="H137" s="49" t="n">
        <f aca="false">IF($A137="","",物件マスタ!L137)</f>
        <v>0</v>
      </c>
      <c r="I137" s="49" t="n">
        <f aca="false">IF($A137="","",物件マスタ!M137)</f>
        <v>12481</v>
      </c>
      <c r="J137" s="43" t="n">
        <f aca="false">IF($A137="","",物件マスタ!S137)</f>
        <v>28200</v>
      </c>
      <c r="K137" s="43" t="n">
        <f aca="false">IF($A137="","",物件マスタ!U137)</f>
        <v>29100</v>
      </c>
      <c r="L137" s="50" t="n">
        <f aca="false">IF($A137="","",物件マスタ!W137)</f>
        <v>1</v>
      </c>
      <c r="M137" s="17" t="str">
        <f aca="false">IF($A137="","",IFERROR(INDEX(法人マスタ!$H:$H,MATCH($B137,法人マスタ!$A:$A,0)),""))</f>
        <v>2025年12月期（第49期）</v>
      </c>
      <c r="N137" s="51" t="n">
        <f aca="false">IF($A137="","",SUMIFS(物件収支!$D:$D,物件収支!$A:$A,$A137,物件収支!$C:$C,$M137))</f>
        <v>6</v>
      </c>
      <c r="O137" s="43" t="n">
        <f aca="false">IF($A137="","",SUMIFS(物件収支!$F:$F,物件収支!$A:$A,$A137,物件収支!$C:$C,$M137))</f>
        <v>551000</v>
      </c>
      <c r="P137" s="43" t="n">
        <f aca="false">IF($A137="","",SUMIFS(物件収支!$I:$I,物件収支!$A:$A,$A137,物件収支!$C:$C,$M137))</f>
        <v>0</v>
      </c>
      <c r="Q137" s="43" t="n">
        <f aca="false">IF($A137="","",SUMIFS(物件収支!$O:$O,物件収支!$A:$A,$A137,物件収支!$C:$C,$M137))</f>
        <v>0</v>
      </c>
      <c r="R137" s="43" t="str">
        <f aca="false">IF($A137="","",IF(P137=0,"",O137-P137))</f>
        <v/>
      </c>
      <c r="S137" s="43" t="str">
        <f aca="false">IF($A137="","",IF(R137="","",R137+Q137))</f>
        <v/>
      </c>
      <c r="T137" s="43" t="str">
        <f aca="false">IF($A137="","",IF(OR(S137="",N137&lt;=0),"",S137/1000*12/N137))</f>
        <v/>
      </c>
      <c r="U137" s="52" t="str">
        <f aca="false">IF($A137="","",IF(OR(T137="",J137=0,J137=""),"",T137/J137))</f>
        <v/>
      </c>
      <c r="V137" s="52" t="str">
        <f aca="false">IF($A137="","",IF(OR(R137="",N137&lt;=0,J137=0,J137=""),"",(R137/1000*12/N137)/J137))</f>
        <v/>
      </c>
      <c r="W137" s="52" t="str">
        <f aca="false">IF($A137="","",IF(OR(T137="",K137=0,K137=""),"",T137/K137))</f>
        <v/>
      </c>
      <c r="X137" s="43" t="n">
        <f aca="false">IF($A137="","",IF(OR(N137&lt;=0,I137=0,I137="",O137=0),"",O137*1000/(I137*0.3025)/N137))</f>
        <v>24323.4730564563</v>
      </c>
      <c r="Y137" s="50" t="str">
        <f aca="false">IF($A137="","",IF(OR(O137=0,O137="",P137=0),"",P137/O137))</f>
        <v/>
      </c>
      <c r="Z137" s="17" t="str">
        <f aca="false">IF($A137="","",IFERROR(INDEX(物件収支!$E:$E,MATCH($A137,物件収支!$A:$A,0)),""))</f>
        <v>開示（物件別・収益のみ、百万円単位）</v>
      </c>
    </row>
    <row r="138" customFormat="false" ht="15" hidden="false" customHeight="true" outlineLevel="0" collapsed="false">
      <c r="A138" s="17" t="str">
        <f aca="false">IF(物件マスタ!A138="","",物件マスタ!A138)</f>
        <v>NBF-10</v>
      </c>
      <c r="B138" s="17" t="str">
        <f aca="false">IF($A138="","",物件マスタ!B138)</f>
        <v>NBF</v>
      </c>
      <c r="C138" s="17" t="str">
        <f aca="false">IF($A138="","",IFERROR(INDEX(法人マスタ!$C:$C,MATCH($B138,法人マスタ!$A:$A,0)),""))</f>
        <v>日本ビルファンド投資法人</v>
      </c>
      <c r="D138" s="17" t="str">
        <f aca="false">IF($A138="","",物件マスタ!C138)</f>
        <v>虎ノ門琴平タワー</v>
      </c>
      <c r="E138" s="17" t="str">
        <f aca="false">IF($A138="","",物件マスタ!H138)</f>
        <v>都心5区</v>
      </c>
      <c r="F138" s="48" t="n">
        <f aca="false">IF($A138="","",物件マスタ!P138)</f>
        <v>0</v>
      </c>
      <c r="G138" s="34" t="str">
        <f aca="false">IF($A138="","",物件マスタ!Q138)</f>
        <v/>
      </c>
      <c r="H138" s="49" t="n">
        <f aca="false">IF($A138="","",物件マスタ!L138)</f>
        <v>0</v>
      </c>
      <c r="I138" s="49" t="n">
        <f aca="false">IF($A138="","",物件マスタ!M138)</f>
        <v>16848</v>
      </c>
      <c r="J138" s="43" t="n">
        <f aca="false">IF($A138="","",物件マスタ!S138)</f>
        <v>24543</v>
      </c>
      <c r="K138" s="43" t="n">
        <f aca="false">IF($A138="","",物件マスタ!U138)</f>
        <v>34300</v>
      </c>
      <c r="L138" s="50" t="n">
        <f aca="false">IF($A138="","",物件マスタ!W138)</f>
        <v>0.988</v>
      </c>
      <c r="M138" s="17" t="str">
        <f aca="false">IF($A138="","",IFERROR(INDEX(法人マスタ!$H:$H,MATCH($B138,法人マスタ!$A:$A,0)),""))</f>
        <v>2025年12月期（第49期）</v>
      </c>
      <c r="N138" s="51" t="n">
        <f aca="false">IF($A138="","",SUMIFS(物件収支!$D:$D,物件収支!$A:$A,$A138,物件収支!$C:$C,$M138))</f>
        <v>6</v>
      </c>
      <c r="O138" s="43" t="n">
        <f aca="false">IF($A138="","",SUMIFS(物件収支!$F:$F,物件収支!$A:$A,$A138,物件収支!$C:$C,$M138))</f>
        <v>889000</v>
      </c>
      <c r="P138" s="43" t="n">
        <f aca="false">IF($A138="","",SUMIFS(物件収支!$I:$I,物件収支!$A:$A,$A138,物件収支!$C:$C,$M138))</f>
        <v>0</v>
      </c>
      <c r="Q138" s="43" t="n">
        <f aca="false">IF($A138="","",SUMIFS(物件収支!$O:$O,物件収支!$A:$A,$A138,物件収支!$C:$C,$M138))</f>
        <v>0</v>
      </c>
      <c r="R138" s="43" t="str">
        <f aca="false">IF($A138="","",IF(P138=0,"",O138-P138))</f>
        <v/>
      </c>
      <c r="S138" s="43" t="str">
        <f aca="false">IF($A138="","",IF(R138="","",R138+Q138))</f>
        <v/>
      </c>
      <c r="T138" s="43" t="str">
        <f aca="false">IF($A138="","",IF(OR(S138="",N138&lt;=0),"",S138/1000*12/N138))</f>
        <v/>
      </c>
      <c r="U138" s="52" t="str">
        <f aca="false">IF($A138="","",IF(OR(T138="",J138=0,J138=""),"",T138/J138))</f>
        <v/>
      </c>
      <c r="V138" s="52" t="str">
        <f aca="false">IF($A138="","",IF(OR(R138="",N138&lt;=0,J138=0,J138=""),"",(R138/1000*12/N138)/J138))</f>
        <v/>
      </c>
      <c r="W138" s="52" t="str">
        <f aca="false">IF($A138="","",IF(OR(T138="",K138=0,K138=""),"",T138/K138))</f>
        <v/>
      </c>
      <c r="X138" s="43" t="n">
        <f aca="false">IF($A138="","",IF(OR(N138&lt;=0,I138=0,I138="",O138=0),"",O138*1000/(I138*0.3025)/N138))</f>
        <v>29072.125031721</v>
      </c>
      <c r="Y138" s="50" t="str">
        <f aca="false">IF($A138="","",IF(OR(O138=0,O138="",P138=0),"",P138/O138))</f>
        <v/>
      </c>
      <c r="Z138" s="17" t="str">
        <f aca="false">IF($A138="","",IFERROR(INDEX(物件収支!$E:$E,MATCH($A138,物件収支!$A:$A,0)),""))</f>
        <v>開示（物件別・収益のみ、百万円単位）</v>
      </c>
    </row>
    <row r="139" customFormat="false" ht="15" hidden="false" customHeight="true" outlineLevel="0" collapsed="false">
      <c r="A139" s="17" t="str">
        <f aca="false">IF(物件マスタ!A139="","",物件マスタ!A139)</f>
        <v>NBF-11</v>
      </c>
      <c r="B139" s="17" t="str">
        <f aca="false">IF($A139="","",物件マスタ!B139)</f>
        <v>NBF</v>
      </c>
      <c r="C139" s="17" t="str">
        <f aca="false">IF($A139="","",IFERROR(INDEX(法人マスタ!$C:$C,MATCH($B139,法人マスタ!$A:$A,0)),""))</f>
        <v>日本ビルファンド投資法人</v>
      </c>
      <c r="D139" s="17" t="str">
        <f aca="false">IF($A139="","",物件マスタ!C139)</f>
        <v>ＮＢＦ渋谷ガーデンフロント</v>
      </c>
      <c r="E139" s="17" t="str">
        <f aca="false">IF($A139="","",物件マスタ!H139)</f>
        <v>都心5区</v>
      </c>
      <c r="F139" s="48" t="n">
        <f aca="false">IF($A139="","",物件マスタ!P139)</f>
        <v>0</v>
      </c>
      <c r="G139" s="34" t="str">
        <f aca="false">IF($A139="","",物件マスタ!Q139)</f>
        <v/>
      </c>
      <c r="H139" s="49" t="n">
        <f aca="false">IF($A139="","",物件マスタ!L139)</f>
        <v>0</v>
      </c>
      <c r="I139" s="49" t="n">
        <f aca="false">IF($A139="","",物件マスタ!M139)</f>
        <v>14887</v>
      </c>
      <c r="J139" s="43" t="n">
        <f aca="false">IF($A139="","",物件マスタ!S139)</f>
        <v>20269</v>
      </c>
      <c r="K139" s="43" t="n">
        <f aca="false">IF($A139="","",物件マスタ!U139)</f>
        <v>37200</v>
      </c>
      <c r="L139" s="50" t="n">
        <f aca="false">IF($A139="","",物件マスタ!W139)</f>
        <v>0.999</v>
      </c>
      <c r="M139" s="17" t="str">
        <f aca="false">IF($A139="","",IFERROR(INDEX(法人マスタ!$H:$H,MATCH($B139,法人マスタ!$A:$A,0)),""))</f>
        <v>2025年12月期（第49期）</v>
      </c>
      <c r="N139" s="51" t="n">
        <f aca="false">IF($A139="","",SUMIFS(物件収支!$D:$D,物件収支!$A:$A,$A139,物件収支!$C:$C,$M139))</f>
        <v>6</v>
      </c>
      <c r="O139" s="43" t="n">
        <f aca="false">IF($A139="","",SUMIFS(物件収支!$F:$F,物件収支!$A:$A,$A139,物件収支!$C:$C,$M139))</f>
        <v>0</v>
      </c>
      <c r="P139" s="43" t="n">
        <f aca="false">IF($A139="","",SUMIFS(物件収支!$I:$I,物件収支!$A:$A,$A139,物件収支!$C:$C,$M139))</f>
        <v>0</v>
      </c>
      <c r="Q139" s="43" t="n">
        <f aca="false">IF($A139="","",SUMIFS(物件収支!$O:$O,物件収支!$A:$A,$A139,物件収支!$C:$C,$M139))</f>
        <v>0</v>
      </c>
      <c r="R139" s="43" t="str">
        <f aca="false">IF($A139="","",IF(P139=0,"",O139-P139))</f>
        <v/>
      </c>
      <c r="S139" s="43" t="str">
        <f aca="false">IF($A139="","",IF(R139="","",R139+Q139))</f>
        <v/>
      </c>
      <c r="T139" s="43" t="str">
        <f aca="false">IF($A139="","",IF(OR(S139="",N139&lt;=0),"",S139/1000*12/N139))</f>
        <v/>
      </c>
      <c r="U139" s="52" t="str">
        <f aca="false">IF($A139="","",IF(OR(T139="",J139=0,J139=""),"",T139/J139))</f>
        <v/>
      </c>
      <c r="V139" s="52" t="str">
        <f aca="false">IF($A139="","",IF(OR(R139="",N139&lt;=0,J139=0,J139=""),"",(R139/1000*12/N139)/J139))</f>
        <v/>
      </c>
      <c r="W139" s="52" t="str">
        <f aca="false">IF($A139="","",IF(OR(T139="",K139=0,K139=""),"",T139/K139))</f>
        <v/>
      </c>
      <c r="X139" s="43" t="str">
        <f aca="false">IF($A139="","",IF(OR(N139&lt;=0,I139=0,I139="",O139=0),"",O139*1000/(I139*0.3025)/N139))</f>
        <v/>
      </c>
      <c r="Y139" s="50" t="str">
        <f aca="false">IF($A139="","",IF(OR(O139=0,O139="",P139=0),"",P139/O139))</f>
        <v/>
      </c>
      <c r="Z139" s="17" t="str">
        <f aca="false">IF($A139="","",IFERROR(INDEX(物件収支!$E:$E,MATCH($A139,物件収支!$A:$A,0)),""))</f>
        <v>非開示（テナント同意なし）</v>
      </c>
    </row>
    <row r="140" customFormat="false" ht="15" hidden="false" customHeight="true" outlineLevel="0" collapsed="false">
      <c r="A140" s="17" t="str">
        <f aca="false">IF(物件マスタ!A140="","",物件マスタ!A140)</f>
        <v>NBF-12</v>
      </c>
      <c r="B140" s="17" t="str">
        <f aca="false">IF($A140="","",物件マスタ!B140)</f>
        <v>NBF</v>
      </c>
      <c r="C140" s="17" t="str">
        <f aca="false">IF($A140="","",IFERROR(INDEX(法人マスタ!$C:$C,MATCH($B140,法人マスタ!$A:$A,0)),""))</f>
        <v>日本ビルファンド投資法人</v>
      </c>
      <c r="D140" s="17" t="str">
        <f aca="false">IF($A140="","",物件マスタ!C140)</f>
        <v>ＮＢＦ銀座通りビル</v>
      </c>
      <c r="E140" s="17" t="str">
        <f aca="false">IF($A140="","",物件マスタ!H140)</f>
        <v>都心5区</v>
      </c>
      <c r="F140" s="48" t="n">
        <f aca="false">IF($A140="","",物件マスタ!P140)</f>
        <v>0</v>
      </c>
      <c r="G140" s="34" t="str">
        <f aca="false">IF($A140="","",物件マスタ!Q140)</f>
        <v/>
      </c>
      <c r="H140" s="49" t="n">
        <f aca="false">IF($A140="","",物件マスタ!L140)</f>
        <v>0</v>
      </c>
      <c r="I140" s="49" t="n">
        <f aca="false">IF($A140="","",物件マスタ!M140)</f>
        <v>3440</v>
      </c>
      <c r="J140" s="43" t="n">
        <f aca="false">IF($A140="","",物件マスタ!S140)</f>
        <v>17000</v>
      </c>
      <c r="K140" s="43" t="n">
        <f aca="false">IF($A140="","",物件マスタ!U140)</f>
        <v>19000</v>
      </c>
      <c r="L140" s="50" t="n">
        <f aca="false">IF($A140="","",物件マスタ!W140)</f>
        <v>1</v>
      </c>
      <c r="M140" s="17" t="str">
        <f aca="false">IF($A140="","",IFERROR(INDEX(法人マスタ!$H:$H,MATCH($B140,法人マスタ!$A:$A,0)),""))</f>
        <v>2025年12月期（第49期）</v>
      </c>
      <c r="N140" s="51" t="n">
        <f aca="false">IF($A140="","",SUMIFS(物件収支!$D:$D,物件収支!$A:$A,$A140,物件収支!$C:$C,$M140))</f>
        <v>6</v>
      </c>
      <c r="O140" s="43" t="n">
        <f aca="false">IF($A140="","",SUMIFS(物件収支!$F:$F,物件収支!$A:$A,$A140,物件収支!$C:$C,$M140))</f>
        <v>0</v>
      </c>
      <c r="P140" s="43" t="n">
        <f aca="false">IF($A140="","",SUMIFS(物件収支!$I:$I,物件収支!$A:$A,$A140,物件収支!$C:$C,$M140))</f>
        <v>0</v>
      </c>
      <c r="Q140" s="43" t="n">
        <f aca="false">IF($A140="","",SUMIFS(物件収支!$O:$O,物件収支!$A:$A,$A140,物件収支!$C:$C,$M140))</f>
        <v>0</v>
      </c>
      <c r="R140" s="43" t="str">
        <f aca="false">IF($A140="","",IF(P140=0,"",O140-P140))</f>
        <v/>
      </c>
      <c r="S140" s="43" t="str">
        <f aca="false">IF($A140="","",IF(R140="","",R140+Q140))</f>
        <v/>
      </c>
      <c r="T140" s="43" t="str">
        <f aca="false">IF($A140="","",IF(OR(S140="",N140&lt;=0),"",S140/1000*12/N140))</f>
        <v/>
      </c>
      <c r="U140" s="52" t="str">
        <f aca="false">IF($A140="","",IF(OR(T140="",J140=0,J140=""),"",T140/J140))</f>
        <v/>
      </c>
      <c r="V140" s="52" t="str">
        <f aca="false">IF($A140="","",IF(OR(R140="",N140&lt;=0,J140=0,J140=""),"",(R140/1000*12/N140)/J140))</f>
        <v/>
      </c>
      <c r="W140" s="52" t="str">
        <f aca="false">IF($A140="","",IF(OR(T140="",K140=0,K140=""),"",T140/K140))</f>
        <v/>
      </c>
      <c r="X140" s="43" t="str">
        <f aca="false">IF($A140="","",IF(OR(N140&lt;=0,I140=0,I140="",O140=0),"",O140*1000/(I140*0.3025)/N140))</f>
        <v/>
      </c>
      <c r="Y140" s="50" t="str">
        <f aca="false">IF($A140="","",IF(OR(O140=0,O140="",P140=0),"",P140/O140))</f>
        <v/>
      </c>
      <c r="Z140" s="17" t="str">
        <f aca="false">IF($A140="","",IFERROR(INDEX(物件収支!$E:$E,MATCH($A140,物件収支!$A:$A,0)),""))</f>
        <v>非開示（テナント同意なし）</v>
      </c>
    </row>
    <row r="141" customFormat="false" ht="15" hidden="false" customHeight="true" outlineLevel="0" collapsed="false">
      <c r="A141" s="17" t="str">
        <f aca="false">IF(物件マスタ!A141="","",物件マスタ!A141)</f>
        <v>NBF-13</v>
      </c>
      <c r="B141" s="17" t="str">
        <f aca="false">IF($A141="","",物件マスタ!B141)</f>
        <v>NBF</v>
      </c>
      <c r="C141" s="17" t="str">
        <f aca="false">IF($A141="","",IFERROR(INDEX(法人マスタ!$C:$C,MATCH($B141,法人マスタ!$A:$A,0)),""))</f>
        <v>日本ビルファンド投資法人</v>
      </c>
      <c r="D141" s="17" t="str">
        <f aca="false">IF($A141="","",物件マスタ!C141)</f>
        <v>新宿三井ビルディング二号館</v>
      </c>
      <c r="E141" s="17" t="str">
        <f aca="false">IF($A141="","",物件マスタ!H141)</f>
        <v>都心5区</v>
      </c>
      <c r="F141" s="48" t="n">
        <f aca="false">IF($A141="","",物件マスタ!P141)</f>
        <v>0</v>
      </c>
      <c r="G141" s="34" t="str">
        <f aca="false">IF($A141="","",物件マスタ!Q141)</f>
        <v/>
      </c>
      <c r="H141" s="49" t="n">
        <f aca="false">IF($A141="","",物件マスタ!L141)</f>
        <v>0</v>
      </c>
      <c r="I141" s="49" t="n">
        <f aca="false">IF($A141="","",物件マスタ!M141)</f>
        <v>14617</v>
      </c>
      <c r="J141" s="43" t="n">
        <f aca="false">IF($A141="","",物件マスタ!S141)</f>
        <v>16285.4</v>
      </c>
      <c r="K141" s="43" t="n">
        <f aca="false">IF($A141="","",物件マスタ!U141)</f>
        <v>19600</v>
      </c>
      <c r="L141" s="50" t="n">
        <f aca="false">IF($A141="","",物件マスタ!W141)</f>
        <v>1</v>
      </c>
      <c r="M141" s="17" t="str">
        <f aca="false">IF($A141="","",IFERROR(INDEX(法人マスタ!$H:$H,MATCH($B141,法人マスタ!$A:$A,0)),""))</f>
        <v>2025年12月期（第49期）</v>
      </c>
      <c r="N141" s="51" t="n">
        <f aca="false">IF($A141="","",SUMIFS(物件収支!$D:$D,物件収支!$A:$A,$A141,物件収支!$C:$C,$M141))</f>
        <v>6</v>
      </c>
      <c r="O141" s="43" t="n">
        <f aca="false">IF($A141="","",SUMIFS(物件収支!$F:$F,物件収支!$A:$A,$A141,物件収支!$C:$C,$M141))</f>
        <v>617000</v>
      </c>
      <c r="P141" s="43" t="n">
        <f aca="false">IF($A141="","",SUMIFS(物件収支!$I:$I,物件収支!$A:$A,$A141,物件収支!$C:$C,$M141))</f>
        <v>0</v>
      </c>
      <c r="Q141" s="43" t="n">
        <f aca="false">IF($A141="","",SUMIFS(物件収支!$O:$O,物件収支!$A:$A,$A141,物件収支!$C:$C,$M141))</f>
        <v>0</v>
      </c>
      <c r="R141" s="43" t="str">
        <f aca="false">IF($A141="","",IF(P141=0,"",O141-P141))</f>
        <v/>
      </c>
      <c r="S141" s="43" t="str">
        <f aca="false">IF($A141="","",IF(R141="","",R141+Q141))</f>
        <v/>
      </c>
      <c r="T141" s="43" t="str">
        <f aca="false">IF($A141="","",IF(OR(S141="",N141&lt;=0),"",S141/1000*12/N141))</f>
        <v/>
      </c>
      <c r="U141" s="52" t="str">
        <f aca="false">IF($A141="","",IF(OR(T141="",J141=0,J141=""),"",T141/J141))</f>
        <v/>
      </c>
      <c r="V141" s="52" t="str">
        <f aca="false">IF($A141="","",IF(OR(R141="",N141&lt;=0,J141=0,J141=""),"",(R141/1000*12/N141)/J141))</f>
        <v/>
      </c>
      <c r="W141" s="52" t="str">
        <f aca="false">IF($A141="","",IF(OR(T141="",K141=0,K141=""),"",T141/K141))</f>
        <v/>
      </c>
      <c r="X141" s="43" t="n">
        <f aca="false">IF($A141="","",IF(OR(N141&lt;=0,I141=0,I141="",O141=0),"",O141*1000/(I141*0.3025)/N141))</f>
        <v>23256.8176493991</v>
      </c>
      <c r="Y141" s="50" t="str">
        <f aca="false">IF($A141="","",IF(OR(O141=0,O141="",P141=0),"",P141/O141))</f>
        <v/>
      </c>
      <c r="Z141" s="17" t="str">
        <f aca="false">IF($A141="","",IFERROR(INDEX(物件収支!$E:$E,MATCH($A141,物件収支!$A:$A,0)),""))</f>
        <v>開示（物件別・収益のみ、百万円単位）</v>
      </c>
    </row>
    <row r="142" customFormat="false" ht="15" hidden="false" customHeight="true" outlineLevel="0" collapsed="false">
      <c r="A142" s="17" t="str">
        <f aca="false">IF(物件マスタ!A142="","",物件マスタ!A142)</f>
        <v>NBF-14</v>
      </c>
      <c r="B142" s="17" t="str">
        <f aca="false">IF($A142="","",物件マスタ!B142)</f>
        <v>NBF</v>
      </c>
      <c r="C142" s="17" t="str">
        <f aca="false">IF($A142="","",IFERROR(INDEX(法人マスタ!$C:$C,MATCH($B142,法人マスタ!$A:$A,0)),""))</f>
        <v>日本ビルファンド投資法人</v>
      </c>
      <c r="D142" s="17" t="str">
        <f aca="false">IF($A142="","",物件マスタ!C142)</f>
        <v>興和西新橋ビルＢ棟</v>
      </c>
      <c r="E142" s="17" t="str">
        <f aca="false">IF($A142="","",物件マスタ!H142)</f>
        <v>都心5区</v>
      </c>
      <c r="F142" s="48" t="n">
        <f aca="false">IF($A142="","",物件マスタ!P142)</f>
        <v>0</v>
      </c>
      <c r="G142" s="34" t="str">
        <f aca="false">IF($A142="","",物件マスタ!Q142)</f>
        <v/>
      </c>
      <c r="H142" s="49" t="n">
        <f aca="false">IF($A142="","",物件マスタ!L142)</f>
        <v>0</v>
      </c>
      <c r="I142" s="49" t="n">
        <f aca="false">IF($A142="","",物件マスタ!M142)</f>
        <v>10405</v>
      </c>
      <c r="J142" s="43" t="n">
        <f aca="false">IF($A142="","",物件マスタ!S142)</f>
        <v>13536.2</v>
      </c>
      <c r="K142" s="43" t="n">
        <f aca="false">IF($A142="","",物件マスタ!U142)</f>
        <v>13400</v>
      </c>
      <c r="L142" s="50" t="n">
        <f aca="false">IF($A142="","",物件マスタ!W142)</f>
        <v>0.989</v>
      </c>
      <c r="M142" s="17" t="str">
        <f aca="false">IF($A142="","",IFERROR(INDEX(法人マスタ!$H:$H,MATCH($B142,法人マスタ!$A:$A,0)),""))</f>
        <v>2025年12月期（第49期）</v>
      </c>
      <c r="N142" s="51" t="n">
        <f aca="false">IF($A142="","",SUMIFS(物件収支!$D:$D,物件収支!$A:$A,$A142,物件収支!$C:$C,$M142))</f>
        <v>6</v>
      </c>
      <c r="O142" s="43" t="n">
        <f aca="false">IF($A142="","",SUMIFS(物件収支!$F:$F,物件収支!$A:$A,$A142,物件収支!$C:$C,$M142))</f>
        <v>422000</v>
      </c>
      <c r="P142" s="43" t="n">
        <f aca="false">IF($A142="","",SUMIFS(物件収支!$I:$I,物件収支!$A:$A,$A142,物件収支!$C:$C,$M142))</f>
        <v>0</v>
      </c>
      <c r="Q142" s="43" t="n">
        <f aca="false">IF($A142="","",SUMIFS(物件収支!$O:$O,物件収支!$A:$A,$A142,物件収支!$C:$C,$M142))</f>
        <v>0</v>
      </c>
      <c r="R142" s="43" t="str">
        <f aca="false">IF($A142="","",IF(P142=0,"",O142-P142))</f>
        <v/>
      </c>
      <c r="S142" s="43" t="str">
        <f aca="false">IF($A142="","",IF(R142="","",R142+Q142))</f>
        <v/>
      </c>
      <c r="T142" s="43" t="str">
        <f aca="false">IF($A142="","",IF(OR(S142="",N142&lt;=0),"",S142/1000*12/N142))</f>
        <v/>
      </c>
      <c r="U142" s="52" t="str">
        <f aca="false">IF($A142="","",IF(OR(T142="",J142=0,J142=""),"",T142/J142))</f>
        <v/>
      </c>
      <c r="V142" s="52" t="str">
        <f aca="false">IF($A142="","",IF(OR(R142="",N142&lt;=0,J142=0,J142=""),"",(R142/1000*12/N142)/J142))</f>
        <v/>
      </c>
      <c r="W142" s="52" t="str">
        <f aca="false">IF($A142="","",IF(OR(T142="",K142=0,K142=""),"",T142/K142))</f>
        <v/>
      </c>
      <c r="X142" s="43" t="n">
        <f aca="false">IF($A142="","",IF(OR(N142&lt;=0,I142=0,I142="",O142=0),"",O142*1000/(I142*0.3025)/N142))</f>
        <v>22345.6883279521</v>
      </c>
      <c r="Y142" s="50" t="str">
        <f aca="false">IF($A142="","",IF(OR(O142=0,O142="",P142=0),"",P142/O142))</f>
        <v/>
      </c>
      <c r="Z142" s="17" t="str">
        <f aca="false">IF($A142="","",IFERROR(INDEX(物件収支!$E:$E,MATCH($A142,物件収支!$A:$A,0)),""))</f>
        <v>開示（物件別・収益のみ、百万円単位）</v>
      </c>
    </row>
    <row r="143" customFormat="false" ht="15" hidden="false" customHeight="true" outlineLevel="0" collapsed="false">
      <c r="A143" s="17" t="str">
        <f aca="false">IF(物件マスタ!A143="","",物件マスタ!A143)</f>
        <v>NBF-15</v>
      </c>
      <c r="B143" s="17" t="str">
        <f aca="false">IF($A143="","",物件マスタ!B143)</f>
        <v>NBF</v>
      </c>
      <c r="C143" s="17" t="str">
        <f aca="false">IF($A143="","",IFERROR(INDEX(法人マスタ!$C:$C,MATCH($B143,法人マスタ!$A:$A,0)),""))</f>
        <v>日本ビルファンド投資法人</v>
      </c>
      <c r="D143" s="17" t="str">
        <f aca="false">IF($A143="","",物件マスタ!C143)</f>
        <v>リバーシティＭ－ＳＱＵＡＲＥ</v>
      </c>
      <c r="E143" s="17" t="str">
        <f aca="false">IF($A143="","",物件マスタ!H143)</f>
        <v>都心5区</v>
      </c>
      <c r="F143" s="48" t="n">
        <f aca="false">IF($A143="","",物件マスタ!P143)</f>
        <v>0</v>
      </c>
      <c r="G143" s="34" t="str">
        <f aca="false">IF($A143="","",物件マスタ!Q143)</f>
        <v/>
      </c>
      <c r="H143" s="49" t="n">
        <f aca="false">IF($A143="","",物件マスタ!L143)</f>
        <v>0</v>
      </c>
      <c r="I143" s="49" t="n">
        <f aca="false">IF($A143="","",物件マスタ!M143)</f>
        <v>16261</v>
      </c>
      <c r="J143" s="43" t="n">
        <f aca="false">IF($A143="","",物件マスタ!S143)</f>
        <v>13350</v>
      </c>
      <c r="K143" s="43" t="n">
        <f aca="false">IF($A143="","",物件マスタ!U143)</f>
        <v>13500</v>
      </c>
      <c r="L143" s="50" t="n">
        <f aca="false">IF($A143="","",物件マスタ!W143)</f>
        <v>1</v>
      </c>
      <c r="M143" s="17" t="str">
        <f aca="false">IF($A143="","",IFERROR(INDEX(法人マスタ!$H:$H,MATCH($B143,法人マスタ!$A:$A,0)),""))</f>
        <v>2025年12月期（第49期）</v>
      </c>
      <c r="N143" s="51" t="n">
        <f aca="false">IF($A143="","",SUMIFS(物件収支!$D:$D,物件収支!$A:$A,$A143,物件収支!$C:$C,$M143))</f>
        <v>6</v>
      </c>
      <c r="O143" s="43" t="n">
        <f aca="false">IF($A143="","",SUMIFS(物件収支!$F:$F,物件収支!$A:$A,$A143,物件収支!$C:$C,$M143))</f>
        <v>564000</v>
      </c>
      <c r="P143" s="43" t="n">
        <f aca="false">IF($A143="","",SUMIFS(物件収支!$I:$I,物件収支!$A:$A,$A143,物件収支!$C:$C,$M143))</f>
        <v>0</v>
      </c>
      <c r="Q143" s="43" t="n">
        <f aca="false">IF($A143="","",SUMIFS(物件収支!$O:$O,物件収支!$A:$A,$A143,物件収支!$C:$C,$M143))</f>
        <v>0</v>
      </c>
      <c r="R143" s="43" t="str">
        <f aca="false">IF($A143="","",IF(P143=0,"",O143-P143))</f>
        <v/>
      </c>
      <c r="S143" s="43" t="str">
        <f aca="false">IF($A143="","",IF(R143="","",R143+Q143))</f>
        <v/>
      </c>
      <c r="T143" s="43" t="str">
        <f aca="false">IF($A143="","",IF(OR(S143="",N143&lt;=0),"",S143/1000*12/N143))</f>
        <v/>
      </c>
      <c r="U143" s="52" t="str">
        <f aca="false">IF($A143="","",IF(OR(T143="",J143=0,J143=""),"",T143/J143))</f>
        <v/>
      </c>
      <c r="V143" s="52" t="str">
        <f aca="false">IF($A143="","",IF(OR(R143="",N143&lt;=0,J143=0,J143=""),"",(R143/1000*12/N143)/J143))</f>
        <v/>
      </c>
      <c r="W143" s="52" t="str">
        <f aca="false">IF($A143="","",IF(OR(T143="",K143=0,K143=""),"",T143/K143))</f>
        <v/>
      </c>
      <c r="X143" s="43" t="n">
        <f aca="false">IF($A143="","",IF(OR(N143&lt;=0,I143=0,I143="",O143=0),"",O143*1000/(I143*0.3025)/N143))</f>
        <v>19109.759649031</v>
      </c>
      <c r="Y143" s="50" t="str">
        <f aca="false">IF($A143="","",IF(OR(O143=0,O143="",P143=0),"",P143/O143))</f>
        <v/>
      </c>
      <c r="Z143" s="17" t="str">
        <f aca="false">IF($A143="","",IFERROR(INDEX(物件収支!$E:$E,MATCH($A143,物件収支!$A:$A,0)),""))</f>
        <v>開示（物件別・収益のみ、百万円単位）</v>
      </c>
    </row>
    <row r="144" customFormat="false" ht="15" hidden="false" customHeight="true" outlineLevel="0" collapsed="false">
      <c r="A144" s="17" t="str">
        <f aca="false">IF(物件マスタ!A144="","",物件マスタ!A144)</f>
        <v>NBF-16</v>
      </c>
      <c r="B144" s="17" t="str">
        <f aca="false">IF($A144="","",物件マスタ!B144)</f>
        <v>NBF</v>
      </c>
      <c r="C144" s="17" t="str">
        <f aca="false">IF($A144="","",IFERROR(INDEX(法人マスタ!$C:$C,MATCH($B144,法人マスタ!$A:$A,0)),""))</f>
        <v>日本ビルファンド投資法人</v>
      </c>
      <c r="D144" s="17" t="str">
        <f aca="false">IF($A144="","",物件マスタ!C144)</f>
        <v>新橋Ｍ－ＳＱＵＡＲＥ</v>
      </c>
      <c r="E144" s="17" t="str">
        <f aca="false">IF($A144="","",物件マスタ!H144)</f>
        <v>都心5区</v>
      </c>
      <c r="F144" s="48" t="n">
        <f aca="false">IF($A144="","",物件マスタ!P144)</f>
        <v>0</v>
      </c>
      <c r="G144" s="34" t="str">
        <f aca="false">IF($A144="","",物件マスタ!Q144)</f>
        <v/>
      </c>
      <c r="H144" s="49" t="n">
        <f aca="false">IF($A144="","",物件マスタ!L144)</f>
        <v>0</v>
      </c>
      <c r="I144" s="49" t="n">
        <f aca="false">IF($A144="","",物件マスタ!M144)</f>
        <v>5390</v>
      </c>
      <c r="J144" s="43" t="n">
        <f aca="false">IF($A144="","",物件マスタ!S144)</f>
        <v>11900</v>
      </c>
      <c r="K144" s="43" t="n">
        <f aca="false">IF($A144="","",物件マスタ!U144)</f>
        <v>15100</v>
      </c>
      <c r="L144" s="50" t="n">
        <f aca="false">IF($A144="","",物件マスタ!W144)</f>
        <v>1</v>
      </c>
      <c r="M144" s="17" t="str">
        <f aca="false">IF($A144="","",IFERROR(INDEX(法人マスタ!$H:$H,MATCH($B144,法人マスタ!$A:$A,0)),""))</f>
        <v>2025年12月期（第49期）</v>
      </c>
      <c r="N144" s="51" t="n">
        <f aca="false">IF($A144="","",SUMIFS(物件収支!$D:$D,物件収支!$A:$A,$A144,物件収支!$C:$C,$M144))</f>
        <v>6</v>
      </c>
      <c r="O144" s="43" t="n">
        <f aca="false">IF($A144="","",SUMIFS(物件収支!$F:$F,物件収支!$A:$A,$A144,物件収支!$C:$C,$M144))</f>
        <v>318000</v>
      </c>
      <c r="P144" s="43" t="n">
        <f aca="false">IF($A144="","",SUMIFS(物件収支!$I:$I,物件収支!$A:$A,$A144,物件収支!$C:$C,$M144))</f>
        <v>0</v>
      </c>
      <c r="Q144" s="43" t="n">
        <f aca="false">IF($A144="","",SUMIFS(物件収支!$O:$O,物件収支!$A:$A,$A144,物件収支!$C:$C,$M144))</f>
        <v>0</v>
      </c>
      <c r="R144" s="43" t="str">
        <f aca="false">IF($A144="","",IF(P144=0,"",O144-P144))</f>
        <v/>
      </c>
      <c r="S144" s="43" t="str">
        <f aca="false">IF($A144="","",IF(R144="","",R144+Q144))</f>
        <v/>
      </c>
      <c r="T144" s="43" t="str">
        <f aca="false">IF($A144="","",IF(OR(S144="",N144&lt;=0),"",S144/1000*12/N144))</f>
        <v/>
      </c>
      <c r="U144" s="52" t="str">
        <f aca="false">IF($A144="","",IF(OR(T144="",J144=0,J144=""),"",T144/J144))</f>
        <v/>
      </c>
      <c r="V144" s="52" t="str">
        <f aca="false">IF($A144="","",IF(OR(R144="",N144&lt;=0,J144=0,J144=""),"",(R144/1000*12/N144)/J144))</f>
        <v/>
      </c>
      <c r="W144" s="52" t="str">
        <f aca="false">IF($A144="","",IF(OR(T144="",K144=0,K144=""),"",T144/K144))</f>
        <v/>
      </c>
      <c r="X144" s="43" t="n">
        <f aca="false">IF($A144="","",IF(OR(N144&lt;=0,I144=0,I144="",O144=0),"",O144*1000/(I144*0.3025)/N144))</f>
        <v>32505.8648553336</v>
      </c>
      <c r="Y144" s="50" t="str">
        <f aca="false">IF($A144="","",IF(OR(O144=0,O144="",P144=0),"",P144/O144))</f>
        <v/>
      </c>
      <c r="Z144" s="17" t="str">
        <f aca="false">IF($A144="","",IFERROR(INDEX(物件収支!$E:$E,MATCH($A144,物件収支!$A:$A,0)),""))</f>
        <v>開示（物件別・収益のみ、百万円単位）</v>
      </c>
    </row>
    <row r="145" customFormat="false" ht="15" hidden="false" customHeight="true" outlineLevel="0" collapsed="false">
      <c r="A145" s="17" t="str">
        <f aca="false">IF(物件マスタ!A145="","",物件マスタ!A145)</f>
        <v>NBF-17</v>
      </c>
      <c r="B145" s="17" t="str">
        <f aca="false">IF($A145="","",物件マスタ!B145)</f>
        <v>NBF</v>
      </c>
      <c r="C145" s="17" t="str">
        <f aca="false">IF($A145="","",IFERROR(INDEX(法人マスタ!$C:$C,MATCH($B145,法人マスタ!$A:$A,0)),""))</f>
        <v>日本ビルファンド投資法人</v>
      </c>
      <c r="D145" s="17" t="str">
        <f aca="false">IF($A145="","",物件マスタ!C145)</f>
        <v>ＮＢＦ虎ノ門ビル（底地）</v>
      </c>
      <c r="E145" s="17" t="str">
        <f aca="false">IF($A145="","",物件マスタ!H145)</f>
        <v>都心5区</v>
      </c>
      <c r="F145" s="48" t="n">
        <f aca="false">IF($A145="","",物件マスタ!P145)</f>
        <v>0</v>
      </c>
      <c r="G145" s="34" t="str">
        <f aca="false">IF($A145="","",物件マスタ!Q145)</f>
        <v/>
      </c>
      <c r="H145" s="49" t="n">
        <f aca="false">IF($A145="","",物件マスタ!L145)</f>
        <v>0</v>
      </c>
      <c r="I145" s="49" t="n">
        <f aca="false">IF($A145="","",物件マスタ!M145)</f>
        <v>0</v>
      </c>
      <c r="J145" s="43" t="n">
        <f aca="false">IF($A145="","",物件マスタ!S145)</f>
        <v>11416</v>
      </c>
      <c r="K145" s="43" t="n">
        <f aca="false">IF($A145="","",物件マスタ!U145)</f>
        <v>18600</v>
      </c>
      <c r="L145" s="50" t="n">
        <f aca="false">IF($A145="","",物件マスタ!W145)</f>
        <v>0</v>
      </c>
      <c r="M145" s="17" t="str">
        <f aca="false">IF($A145="","",IFERROR(INDEX(法人マスタ!$H:$H,MATCH($B145,法人マスタ!$A:$A,0)),""))</f>
        <v>2025年12月期（第49期）</v>
      </c>
      <c r="N145" s="51" t="n">
        <f aca="false">IF($A145="","",SUMIFS(物件収支!$D:$D,物件収支!$A:$A,$A145,物件収支!$C:$C,$M145))</f>
        <v>6</v>
      </c>
      <c r="O145" s="43" t="n">
        <f aca="false">IF($A145="","",SUMIFS(物件収支!$F:$F,物件収支!$A:$A,$A145,物件収支!$C:$C,$M145))</f>
        <v>98000</v>
      </c>
      <c r="P145" s="43" t="n">
        <f aca="false">IF($A145="","",SUMIFS(物件収支!$I:$I,物件収支!$A:$A,$A145,物件収支!$C:$C,$M145))</f>
        <v>0</v>
      </c>
      <c r="Q145" s="43" t="n">
        <f aca="false">IF($A145="","",SUMIFS(物件収支!$O:$O,物件収支!$A:$A,$A145,物件収支!$C:$C,$M145))</f>
        <v>0</v>
      </c>
      <c r="R145" s="43" t="str">
        <f aca="false">IF($A145="","",IF(P145=0,"",O145-P145))</f>
        <v/>
      </c>
      <c r="S145" s="43" t="str">
        <f aca="false">IF($A145="","",IF(R145="","",R145+Q145))</f>
        <v/>
      </c>
      <c r="T145" s="43" t="str">
        <f aca="false">IF($A145="","",IF(OR(S145="",N145&lt;=0),"",S145/1000*12/N145))</f>
        <v/>
      </c>
      <c r="U145" s="52" t="str">
        <f aca="false">IF($A145="","",IF(OR(T145="",J145=0,J145=""),"",T145/J145))</f>
        <v/>
      </c>
      <c r="V145" s="52" t="str">
        <f aca="false">IF($A145="","",IF(OR(R145="",N145&lt;=0,J145=0,J145=""),"",(R145/1000*12/N145)/J145))</f>
        <v/>
      </c>
      <c r="W145" s="52" t="str">
        <f aca="false">IF($A145="","",IF(OR(T145="",K145=0,K145=""),"",T145/K145))</f>
        <v/>
      </c>
      <c r="X145" s="43" t="str">
        <f aca="false">IF($A145="","",IF(OR(N145&lt;=0,I145=0,I145="",O145=0),"",O145*1000/(I145*0.3025)/N145))</f>
        <v/>
      </c>
      <c r="Y145" s="50" t="str">
        <f aca="false">IF($A145="","",IF(OR(O145=0,O145="",P145=0),"",P145/O145))</f>
        <v/>
      </c>
      <c r="Z145" s="17" t="str">
        <f aca="false">IF($A145="","",IFERROR(INDEX(物件収支!$E:$E,MATCH($A145,物件収支!$A:$A,0)),""))</f>
        <v>開示（物件別・収益のみ、百万円単位）</v>
      </c>
    </row>
    <row r="146" customFormat="false" ht="15" hidden="false" customHeight="true" outlineLevel="0" collapsed="false">
      <c r="A146" s="17" t="str">
        <f aca="false">IF(物件マスタ!A146="","",物件マスタ!A146)</f>
        <v>NBF-18</v>
      </c>
      <c r="B146" s="17" t="str">
        <f aca="false">IF($A146="","",物件マスタ!B146)</f>
        <v>NBF</v>
      </c>
      <c r="C146" s="17" t="str">
        <f aca="false">IF($A146="","",IFERROR(INDEX(法人マスタ!$C:$C,MATCH($B146,法人マスタ!$A:$A,0)),""))</f>
        <v>日本ビルファンド投資法人</v>
      </c>
      <c r="D146" s="17" t="str">
        <f aca="false">IF($A146="","",物件マスタ!C146)</f>
        <v>グラントウキョウサウスタワー</v>
      </c>
      <c r="E146" s="17" t="str">
        <f aca="false">IF($A146="","",物件マスタ!H146)</f>
        <v>都心5区</v>
      </c>
      <c r="F146" s="48" t="n">
        <f aca="false">IF($A146="","",物件マスタ!P146)</f>
        <v>0</v>
      </c>
      <c r="G146" s="34" t="str">
        <f aca="false">IF($A146="","",物件マスタ!Q146)</f>
        <v/>
      </c>
      <c r="H146" s="49" t="n">
        <f aca="false">IF($A146="","",物件マスタ!L146)</f>
        <v>0</v>
      </c>
      <c r="I146" s="49" t="n">
        <f aca="false">IF($A146="","",物件マスタ!M146)</f>
        <v>2175</v>
      </c>
      <c r="J146" s="43" t="n">
        <f aca="false">IF($A146="","",物件マスタ!S146)</f>
        <v>9398.168</v>
      </c>
      <c r="K146" s="43" t="n">
        <f aca="false">IF($A146="","",物件マスタ!U146)</f>
        <v>9610</v>
      </c>
      <c r="L146" s="50" t="n">
        <f aca="false">IF($A146="","",物件マスタ!W146)</f>
        <v>0.961</v>
      </c>
      <c r="M146" s="17" t="str">
        <f aca="false">IF($A146="","",IFERROR(INDEX(法人マスタ!$H:$H,MATCH($B146,法人マスタ!$A:$A,0)),""))</f>
        <v>2025年12月期（第49期）</v>
      </c>
      <c r="N146" s="51" t="n">
        <f aca="false">IF($A146="","",SUMIFS(物件収支!$D:$D,物件収支!$A:$A,$A146,物件収支!$C:$C,$M146))</f>
        <v>6</v>
      </c>
      <c r="O146" s="43" t="n">
        <f aca="false">IF($A146="","",SUMIFS(物件収支!$F:$F,物件収支!$A:$A,$A146,物件収支!$C:$C,$M146))</f>
        <v>151000</v>
      </c>
      <c r="P146" s="43" t="n">
        <f aca="false">IF($A146="","",SUMIFS(物件収支!$I:$I,物件収支!$A:$A,$A146,物件収支!$C:$C,$M146))</f>
        <v>0</v>
      </c>
      <c r="Q146" s="43" t="n">
        <f aca="false">IF($A146="","",SUMIFS(物件収支!$O:$O,物件収支!$A:$A,$A146,物件収支!$C:$C,$M146))</f>
        <v>0</v>
      </c>
      <c r="R146" s="43" t="str">
        <f aca="false">IF($A146="","",IF(P146=0,"",O146-P146))</f>
        <v/>
      </c>
      <c r="S146" s="43" t="str">
        <f aca="false">IF($A146="","",IF(R146="","",R146+Q146))</f>
        <v/>
      </c>
      <c r="T146" s="43" t="str">
        <f aca="false">IF($A146="","",IF(OR(S146="",N146&lt;=0),"",S146/1000*12/N146))</f>
        <v/>
      </c>
      <c r="U146" s="52" t="str">
        <f aca="false">IF($A146="","",IF(OR(T146="",J146=0,J146=""),"",T146/J146))</f>
        <v/>
      </c>
      <c r="V146" s="52" t="str">
        <f aca="false">IF($A146="","",IF(OR(R146="",N146&lt;=0,J146=0,J146=""),"",(R146/1000*12/N146)/J146))</f>
        <v/>
      </c>
      <c r="W146" s="52" t="str">
        <f aca="false">IF($A146="","",IF(OR(T146="",K146=0,K146=""),"",T146/K146))</f>
        <v/>
      </c>
      <c r="X146" s="43" t="n">
        <f aca="false">IF($A146="","",IF(OR(N146&lt;=0,I146=0,I146="",O146=0),"",O146*1000/(I146*0.3025)/N146))</f>
        <v>38250.8470282765</v>
      </c>
      <c r="Y146" s="50" t="str">
        <f aca="false">IF($A146="","",IF(OR(O146=0,O146="",P146=0),"",P146/O146))</f>
        <v/>
      </c>
      <c r="Z146" s="17" t="str">
        <f aca="false">IF($A146="","",IFERROR(INDEX(物件収支!$E:$E,MATCH($A146,物件収支!$A:$A,0)),""))</f>
        <v>開示（物件別・収益のみ、百万円単位）</v>
      </c>
    </row>
    <row r="147" customFormat="false" ht="15" hidden="false" customHeight="true" outlineLevel="0" collapsed="false">
      <c r="A147" s="17" t="str">
        <f aca="false">IF(物件マスタ!A147="","",物件マスタ!A147)</f>
        <v>NBF-19</v>
      </c>
      <c r="B147" s="17" t="str">
        <f aca="false">IF($A147="","",物件マスタ!B147)</f>
        <v>NBF</v>
      </c>
      <c r="C147" s="17" t="str">
        <f aca="false">IF($A147="","",IFERROR(INDEX(法人マスタ!$C:$C,MATCH($B147,法人マスタ!$A:$A,0)),""))</f>
        <v>日本ビルファンド投資法人</v>
      </c>
      <c r="D147" s="17" t="str">
        <f aca="false">IF($A147="","",物件マスタ!C147)</f>
        <v>ＮＢＦ　ＡＬＬＩＡＮＣＥ</v>
      </c>
      <c r="E147" s="17" t="str">
        <f aca="false">IF($A147="","",物件マスタ!H147)</f>
        <v>都心5区</v>
      </c>
      <c r="F147" s="48" t="n">
        <f aca="false">IF($A147="","",物件マスタ!P147)</f>
        <v>0</v>
      </c>
      <c r="G147" s="34" t="str">
        <f aca="false">IF($A147="","",物件マスタ!Q147)</f>
        <v/>
      </c>
      <c r="H147" s="49" t="n">
        <f aca="false">IF($A147="","",物件マスタ!L147)</f>
        <v>0</v>
      </c>
      <c r="I147" s="49" t="n">
        <f aca="false">IF($A147="","",物件マスタ!M147)</f>
        <v>4035</v>
      </c>
      <c r="J147" s="43" t="n">
        <f aca="false">IF($A147="","",物件マスタ!S147)</f>
        <v>9126</v>
      </c>
      <c r="K147" s="43" t="n">
        <f aca="false">IF($A147="","",物件マスタ!U147)</f>
        <v>13700</v>
      </c>
      <c r="L147" s="50" t="n">
        <f aca="false">IF($A147="","",物件マスタ!W147)</f>
        <v>1</v>
      </c>
      <c r="M147" s="17" t="str">
        <f aca="false">IF($A147="","",IFERROR(INDEX(法人マスタ!$H:$H,MATCH($B147,法人マスタ!$A:$A,0)),""))</f>
        <v>2025年12月期（第49期）</v>
      </c>
      <c r="N147" s="51" t="n">
        <f aca="false">IF($A147="","",SUMIFS(物件収支!$D:$D,物件収支!$A:$A,$A147,物件収支!$C:$C,$M147))</f>
        <v>6</v>
      </c>
      <c r="O147" s="43" t="n">
        <f aca="false">IF($A147="","",SUMIFS(物件収支!$F:$F,物件収支!$A:$A,$A147,物件収支!$C:$C,$M147))</f>
        <v>323000</v>
      </c>
      <c r="P147" s="43" t="n">
        <f aca="false">IF($A147="","",SUMIFS(物件収支!$I:$I,物件収支!$A:$A,$A147,物件収支!$C:$C,$M147))</f>
        <v>0</v>
      </c>
      <c r="Q147" s="43" t="n">
        <f aca="false">IF($A147="","",SUMIFS(物件収支!$O:$O,物件収支!$A:$A,$A147,物件収支!$C:$C,$M147))</f>
        <v>0</v>
      </c>
      <c r="R147" s="43" t="str">
        <f aca="false">IF($A147="","",IF(P147=0,"",O147-P147))</f>
        <v/>
      </c>
      <c r="S147" s="43" t="str">
        <f aca="false">IF($A147="","",IF(R147="","",R147+Q147))</f>
        <v/>
      </c>
      <c r="T147" s="43" t="str">
        <f aca="false">IF($A147="","",IF(OR(S147="",N147&lt;=0),"",S147/1000*12/N147))</f>
        <v/>
      </c>
      <c r="U147" s="52" t="str">
        <f aca="false">IF($A147="","",IF(OR(T147="",J147=0,J147=""),"",T147/J147))</f>
        <v/>
      </c>
      <c r="V147" s="52" t="str">
        <f aca="false">IF($A147="","",IF(OR(R147="",N147&lt;=0,J147=0,J147=""),"",(R147/1000*12/N147)/J147))</f>
        <v/>
      </c>
      <c r="W147" s="52" t="str">
        <f aca="false">IF($A147="","",IF(OR(T147="",K147=0,K147=""),"",T147/K147))</f>
        <v/>
      </c>
      <c r="X147" s="43" t="n">
        <f aca="false">IF($A147="","",IF(OR(N147&lt;=0,I147=0,I147="",O147=0),"",O147*1000/(I147*0.3025)/N147))</f>
        <v>44104.444239625</v>
      </c>
      <c r="Y147" s="50" t="str">
        <f aca="false">IF($A147="","",IF(OR(O147=0,O147="",P147=0),"",P147/O147))</f>
        <v/>
      </c>
      <c r="Z147" s="17" t="str">
        <f aca="false">IF($A147="","",IFERROR(INDEX(物件収支!$E:$E,MATCH($A147,物件収支!$A:$A,0)),""))</f>
        <v>開示（物件別・収益のみ、百万円単位）</v>
      </c>
    </row>
    <row r="148" customFormat="false" ht="15" hidden="false" customHeight="true" outlineLevel="0" collapsed="false">
      <c r="A148" s="17" t="str">
        <f aca="false">IF(物件マスタ!A148="","",物件マスタ!A148)</f>
        <v>NBF-20</v>
      </c>
      <c r="B148" s="17" t="str">
        <f aca="false">IF($A148="","",物件マスタ!B148)</f>
        <v>NBF</v>
      </c>
      <c r="C148" s="17" t="str">
        <f aca="false">IF($A148="","",IFERROR(INDEX(法人マスタ!$C:$C,MATCH($B148,法人マスタ!$A:$A,0)),""))</f>
        <v>日本ビルファンド投資法人</v>
      </c>
      <c r="D148" s="17" t="str">
        <f aca="false">IF($A148="","",物件マスタ!C148)</f>
        <v>四谷メディカルビル</v>
      </c>
      <c r="E148" s="17" t="str">
        <f aca="false">IF($A148="","",物件マスタ!H148)</f>
        <v>都心5区</v>
      </c>
      <c r="F148" s="48" t="n">
        <f aca="false">IF($A148="","",物件マスタ!P148)</f>
        <v>0</v>
      </c>
      <c r="G148" s="34" t="str">
        <f aca="false">IF($A148="","",物件マスタ!Q148)</f>
        <v/>
      </c>
      <c r="H148" s="49" t="n">
        <f aca="false">IF($A148="","",物件マスタ!L148)</f>
        <v>0</v>
      </c>
      <c r="I148" s="49" t="n">
        <f aca="false">IF($A148="","",物件マスタ!M148)</f>
        <v>7481</v>
      </c>
      <c r="J148" s="43" t="n">
        <f aca="false">IF($A148="","",物件マスタ!S148)</f>
        <v>8800</v>
      </c>
      <c r="K148" s="43" t="n">
        <f aca="false">IF($A148="","",物件マスタ!U148)</f>
        <v>7460</v>
      </c>
      <c r="L148" s="50" t="n">
        <f aca="false">IF($A148="","",物件マスタ!W148)</f>
        <v>0.971</v>
      </c>
      <c r="M148" s="17" t="str">
        <f aca="false">IF($A148="","",IFERROR(INDEX(法人マスタ!$H:$H,MATCH($B148,法人マスタ!$A:$A,0)),""))</f>
        <v>2025年12月期（第49期）</v>
      </c>
      <c r="N148" s="51" t="n">
        <f aca="false">IF($A148="","",SUMIFS(物件収支!$D:$D,物件収支!$A:$A,$A148,物件収支!$C:$C,$M148))</f>
        <v>6</v>
      </c>
      <c r="O148" s="43" t="n">
        <f aca="false">IF($A148="","",SUMIFS(物件収支!$F:$F,物件収支!$A:$A,$A148,物件収支!$C:$C,$M148))</f>
        <v>236000</v>
      </c>
      <c r="P148" s="43" t="n">
        <f aca="false">IF($A148="","",SUMIFS(物件収支!$I:$I,物件収支!$A:$A,$A148,物件収支!$C:$C,$M148))</f>
        <v>0</v>
      </c>
      <c r="Q148" s="43" t="n">
        <f aca="false">IF($A148="","",SUMIFS(物件収支!$O:$O,物件収支!$A:$A,$A148,物件収支!$C:$C,$M148))</f>
        <v>0</v>
      </c>
      <c r="R148" s="43" t="str">
        <f aca="false">IF($A148="","",IF(P148=0,"",O148-P148))</f>
        <v/>
      </c>
      <c r="S148" s="43" t="str">
        <f aca="false">IF($A148="","",IF(R148="","",R148+Q148))</f>
        <v/>
      </c>
      <c r="T148" s="43" t="str">
        <f aca="false">IF($A148="","",IF(OR(S148="",N148&lt;=0),"",S148/1000*12/N148))</f>
        <v/>
      </c>
      <c r="U148" s="52" t="str">
        <f aca="false">IF($A148="","",IF(OR(T148="",J148=0,J148=""),"",T148/J148))</f>
        <v/>
      </c>
      <c r="V148" s="52" t="str">
        <f aca="false">IF($A148="","",IF(OR(R148="",N148&lt;=0,J148=0,J148=""),"",(R148/1000*12/N148)/J148))</f>
        <v/>
      </c>
      <c r="W148" s="52" t="str">
        <f aca="false">IF($A148="","",IF(OR(T148="",K148=0,K148=""),"",T148/K148))</f>
        <v/>
      </c>
      <c r="X148" s="43" t="n">
        <f aca="false">IF($A148="","",IF(OR(N148&lt;=0,I148=0,I148="",O148=0),"",O148*1000/(I148*0.3025)/N148))</f>
        <v>17381.0383918415</v>
      </c>
      <c r="Y148" s="50" t="str">
        <f aca="false">IF($A148="","",IF(OR(O148=0,O148="",P148=0),"",P148/O148))</f>
        <v/>
      </c>
      <c r="Z148" s="17" t="str">
        <f aca="false">IF($A148="","",IFERROR(INDEX(物件収支!$E:$E,MATCH($A148,物件収支!$A:$A,0)),""))</f>
        <v>開示（物件別・収益のみ、百万円単位）</v>
      </c>
    </row>
    <row r="149" customFormat="false" ht="15" hidden="false" customHeight="true" outlineLevel="0" collapsed="false">
      <c r="A149" s="17" t="str">
        <f aca="false">IF(物件マスタ!A149="","",物件マスタ!A149)</f>
        <v>NBF-21</v>
      </c>
      <c r="B149" s="17" t="str">
        <f aca="false">IF($A149="","",物件マスタ!B149)</f>
        <v>NBF</v>
      </c>
      <c r="C149" s="17" t="str">
        <f aca="false">IF($A149="","",IFERROR(INDEX(法人マスタ!$C:$C,MATCH($B149,法人マスタ!$A:$A,0)),""))</f>
        <v>日本ビルファンド投資法人</v>
      </c>
      <c r="D149" s="17" t="str">
        <f aca="false">IF($A149="","",物件マスタ!C149)</f>
        <v>ＮＢＦ渋谷イースト</v>
      </c>
      <c r="E149" s="17" t="str">
        <f aca="false">IF($A149="","",物件マスタ!H149)</f>
        <v>都心5区</v>
      </c>
      <c r="F149" s="48" t="n">
        <f aca="false">IF($A149="","",物件マスタ!P149)</f>
        <v>0</v>
      </c>
      <c r="G149" s="34" t="str">
        <f aca="false">IF($A149="","",物件マスタ!Q149)</f>
        <v/>
      </c>
      <c r="H149" s="49" t="n">
        <f aca="false">IF($A149="","",物件マスタ!L149)</f>
        <v>0</v>
      </c>
      <c r="I149" s="49" t="n">
        <f aca="false">IF($A149="","",物件マスタ!M149)</f>
        <v>4999</v>
      </c>
      <c r="J149" s="43" t="n">
        <f aca="false">IF($A149="","",物件マスタ!S149)</f>
        <v>8000</v>
      </c>
      <c r="K149" s="43" t="n">
        <f aca="false">IF($A149="","",物件マスタ!U149)</f>
        <v>11000</v>
      </c>
      <c r="L149" s="50" t="n">
        <f aca="false">IF($A149="","",物件マスタ!W149)</f>
        <v>1</v>
      </c>
      <c r="M149" s="17" t="str">
        <f aca="false">IF($A149="","",IFERROR(INDEX(法人マスタ!$H:$H,MATCH($B149,法人マスタ!$A:$A,0)),""))</f>
        <v>2025年12月期（第49期）</v>
      </c>
      <c r="N149" s="51" t="n">
        <f aca="false">IF($A149="","",SUMIFS(物件収支!$D:$D,物件収支!$A:$A,$A149,物件収支!$C:$C,$M149))</f>
        <v>6</v>
      </c>
      <c r="O149" s="43" t="n">
        <f aca="false">IF($A149="","",SUMIFS(物件収支!$F:$F,物件収支!$A:$A,$A149,物件収支!$C:$C,$M149))</f>
        <v>242000</v>
      </c>
      <c r="P149" s="43" t="n">
        <f aca="false">IF($A149="","",SUMIFS(物件収支!$I:$I,物件収支!$A:$A,$A149,物件収支!$C:$C,$M149))</f>
        <v>0</v>
      </c>
      <c r="Q149" s="43" t="n">
        <f aca="false">IF($A149="","",SUMIFS(物件収支!$O:$O,物件収支!$A:$A,$A149,物件収支!$C:$C,$M149))</f>
        <v>0</v>
      </c>
      <c r="R149" s="43" t="str">
        <f aca="false">IF($A149="","",IF(P149=0,"",O149-P149))</f>
        <v/>
      </c>
      <c r="S149" s="43" t="str">
        <f aca="false">IF($A149="","",IF(R149="","",R149+Q149))</f>
        <v/>
      </c>
      <c r="T149" s="43" t="str">
        <f aca="false">IF($A149="","",IF(OR(S149="",N149&lt;=0),"",S149/1000*12/N149))</f>
        <v/>
      </c>
      <c r="U149" s="52" t="str">
        <f aca="false">IF($A149="","",IF(OR(T149="",J149=0,J149=""),"",T149/J149))</f>
        <v/>
      </c>
      <c r="V149" s="52" t="str">
        <f aca="false">IF($A149="","",IF(OR(R149="",N149&lt;=0,J149=0,J149=""),"",(R149/1000*12/N149)/J149))</f>
        <v/>
      </c>
      <c r="W149" s="52" t="str">
        <f aca="false">IF($A149="","",IF(OR(T149="",K149=0,K149=""),"",T149/K149))</f>
        <v/>
      </c>
      <c r="X149" s="43" t="n">
        <f aca="false">IF($A149="","",IF(OR(N149&lt;=0,I149=0,I149="",O149=0),"",O149*1000/(I149*0.3025)/N149))</f>
        <v>26672.00106688</v>
      </c>
      <c r="Y149" s="50" t="str">
        <f aca="false">IF($A149="","",IF(OR(O149=0,O149="",P149=0),"",P149/O149))</f>
        <v/>
      </c>
      <c r="Z149" s="17" t="str">
        <f aca="false">IF($A149="","",IFERROR(INDEX(物件収支!$E:$E,MATCH($A149,物件収支!$A:$A,0)),""))</f>
        <v>開示（物件別・収益のみ、百万円単位）</v>
      </c>
    </row>
    <row r="150" customFormat="false" ht="15" hidden="false" customHeight="true" outlineLevel="0" collapsed="false">
      <c r="A150" s="17" t="str">
        <f aca="false">IF(物件マスタ!A150="","",物件マスタ!A150)</f>
        <v>NBF-22</v>
      </c>
      <c r="B150" s="17" t="str">
        <f aca="false">IF($A150="","",物件マスタ!B150)</f>
        <v>NBF</v>
      </c>
      <c r="C150" s="17" t="str">
        <f aca="false">IF($A150="","",IFERROR(INDEX(法人マスタ!$C:$C,MATCH($B150,法人マスタ!$A:$A,0)),""))</f>
        <v>日本ビルファンド投資法人</v>
      </c>
      <c r="D150" s="17" t="str">
        <f aca="false">IF($A150="","",物件マスタ!C150)</f>
        <v>ＮＢＦ高輪ビル</v>
      </c>
      <c r="E150" s="17" t="str">
        <f aca="false">IF($A150="","",物件マスタ!H150)</f>
        <v>都心5区</v>
      </c>
      <c r="F150" s="48" t="n">
        <f aca="false">IF($A150="","",物件マスタ!P150)</f>
        <v>0</v>
      </c>
      <c r="G150" s="34" t="str">
        <f aca="false">IF($A150="","",物件マスタ!Q150)</f>
        <v/>
      </c>
      <c r="H150" s="49" t="n">
        <f aca="false">IF($A150="","",物件マスタ!L150)</f>
        <v>0</v>
      </c>
      <c r="I150" s="49" t="n">
        <f aca="false">IF($A150="","",物件マスタ!M150)</f>
        <v>10448</v>
      </c>
      <c r="J150" s="43" t="n">
        <f aca="false">IF($A150="","",物件マスタ!S150)</f>
        <v>6667.2</v>
      </c>
      <c r="K150" s="43" t="n">
        <f aca="false">IF($A150="","",物件マスタ!U150)</f>
        <v>7850</v>
      </c>
      <c r="L150" s="50" t="n">
        <f aca="false">IF($A150="","",物件マスタ!W150)</f>
        <v>1</v>
      </c>
      <c r="M150" s="17" t="str">
        <f aca="false">IF($A150="","",IFERROR(INDEX(法人マスタ!$H:$H,MATCH($B150,法人マスタ!$A:$A,0)),""))</f>
        <v>2025年12月期（第49期）</v>
      </c>
      <c r="N150" s="51" t="n">
        <f aca="false">IF($A150="","",SUMIFS(物件収支!$D:$D,物件収支!$A:$A,$A150,物件収支!$C:$C,$M150))</f>
        <v>6</v>
      </c>
      <c r="O150" s="43" t="n">
        <f aca="false">IF($A150="","",SUMIFS(物件収支!$F:$F,物件収支!$A:$A,$A150,物件収支!$C:$C,$M150))</f>
        <v>304000</v>
      </c>
      <c r="P150" s="43" t="n">
        <f aca="false">IF($A150="","",SUMIFS(物件収支!$I:$I,物件収支!$A:$A,$A150,物件収支!$C:$C,$M150))</f>
        <v>0</v>
      </c>
      <c r="Q150" s="43" t="n">
        <f aca="false">IF($A150="","",SUMIFS(物件収支!$O:$O,物件収支!$A:$A,$A150,物件収支!$C:$C,$M150))</f>
        <v>0</v>
      </c>
      <c r="R150" s="43" t="str">
        <f aca="false">IF($A150="","",IF(P150=0,"",O150-P150))</f>
        <v/>
      </c>
      <c r="S150" s="43" t="str">
        <f aca="false">IF($A150="","",IF(R150="","",R150+Q150))</f>
        <v/>
      </c>
      <c r="T150" s="43" t="str">
        <f aca="false">IF($A150="","",IF(OR(S150="",N150&lt;=0),"",S150/1000*12/N150))</f>
        <v/>
      </c>
      <c r="U150" s="52" t="str">
        <f aca="false">IF($A150="","",IF(OR(T150="",J150=0,J150=""),"",T150/J150))</f>
        <v/>
      </c>
      <c r="V150" s="52" t="str">
        <f aca="false">IF($A150="","",IF(OR(R150="",N150&lt;=0,J150=0,J150=""),"",(R150/1000*12/N150)/J150))</f>
        <v/>
      </c>
      <c r="W150" s="52" t="str">
        <f aca="false">IF($A150="","",IF(OR(T150="",K150=0,K150=""),"",T150/K150))</f>
        <v/>
      </c>
      <c r="X150" s="43" t="n">
        <f aca="false">IF($A150="","",IF(OR(N150&lt;=0,I150=0,I150="",O150=0),"",O150*1000/(I150*0.3025)/N150))</f>
        <v>16031.1172423103</v>
      </c>
      <c r="Y150" s="50" t="str">
        <f aca="false">IF($A150="","",IF(OR(O150=0,O150="",P150=0),"",P150/O150))</f>
        <v/>
      </c>
      <c r="Z150" s="17" t="str">
        <f aca="false">IF($A150="","",IFERROR(INDEX(物件収支!$E:$E,MATCH($A150,物件収支!$A:$A,0)),""))</f>
        <v>開示（物件別・収益のみ、百万円単位）</v>
      </c>
    </row>
    <row r="151" customFormat="false" ht="15" hidden="false" customHeight="true" outlineLevel="0" collapsed="false">
      <c r="A151" s="17" t="str">
        <f aca="false">IF(物件マスタ!A151="","",物件マスタ!A151)</f>
        <v>NBF-23</v>
      </c>
      <c r="B151" s="17" t="str">
        <f aca="false">IF($A151="","",物件マスタ!B151)</f>
        <v>NBF</v>
      </c>
      <c r="C151" s="17" t="str">
        <f aca="false">IF($A151="","",IFERROR(INDEX(法人マスタ!$C:$C,MATCH($B151,法人マスタ!$A:$A,0)),""))</f>
        <v>日本ビルファンド投資法人</v>
      </c>
      <c r="D151" s="17" t="str">
        <f aca="false">IF($A151="","",物件マスタ!C151)</f>
        <v>ＮＢＦ赤坂山王スクエア</v>
      </c>
      <c r="E151" s="17" t="str">
        <f aca="false">IF($A151="","",物件マスタ!H151)</f>
        <v>都心5区</v>
      </c>
      <c r="F151" s="48" t="n">
        <f aca="false">IF($A151="","",物件マスタ!P151)</f>
        <v>0</v>
      </c>
      <c r="G151" s="34" t="str">
        <f aca="false">IF($A151="","",物件マスタ!Q151)</f>
        <v/>
      </c>
      <c r="H151" s="49" t="n">
        <f aca="false">IF($A151="","",物件マスタ!L151)</f>
        <v>0</v>
      </c>
      <c r="I151" s="49" t="n">
        <f aca="false">IF($A151="","",物件マスタ!M151)</f>
        <v>5258</v>
      </c>
      <c r="J151" s="43" t="n">
        <f aca="false">IF($A151="","",物件マスタ!S151)</f>
        <v>6250</v>
      </c>
      <c r="K151" s="43" t="n">
        <f aca="false">IF($A151="","",物件マスタ!U151)</f>
        <v>8140</v>
      </c>
      <c r="L151" s="50" t="n">
        <f aca="false">IF($A151="","",物件マスタ!W151)</f>
        <v>1</v>
      </c>
      <c r="M151" s="17" t="str">
        <f aca="false">IF($A151="","",IFERROR(INDEX(法人マスタ!$H:$H,MATCH($B151,法人マスタ!$A:$A,0)),""))</f>
        <v>2025年12月期（第49期）</v>
      </c>
      <c r="N151" s="51" t="n">
        <f aca="false">IF($A151="","",SUMIFS(物件収支!$D:$D,物件収支!$A:$A,$A151,物件収支!$C:$C,$M151))</f>
        <v>6</v>
      </c>
      <c r="O151" s="43" t="n">
        <f aca="false">IF($A151="","",SUMIFS(物件収支!$F:$F,物件収支!$A:$A,$A151,物件収支!$C:$C,$M151))</f>
        <v>203000</v>
      </c>
      <c r="P151" s="43" t="n">
        <f aca="false">IF($A151="","",SUMIFS(物件収支!$I:$I,物件収支!$A:$A,$A151,物件収支!$C:$C,$M151))</f>
        <v>0</v>
      </c>
      <c r="Q151" s="43" t="n">
        <f aca="false">IF($A151="","",SUMIFS(物件収支!$O:$O,物件収支!$A:$A,$A151,物件収支!$C:$C,$M151))</f>
        <v>0</v>
      </c>
      <c r="R151" s="43" t="str">
        <f aca="false">IF($A151="","",IF(P151=0,"",O151-P151))</f>
        <v/>
      </c>
      <c r="S151" s="43" t="str">
        <f aca="false">IF($A151="","",IF(R151="","",R151+Q151))</f>
        <v/>
      </c>
      <c r="T151" s="43" t="str">
        <f aca="false">IF($A151="","",IF(OR(S151="",N151&lt;=0),"",S151/1000*12/N151))</f>
        <v/>
      </c>
      <c r="U151" s="52" t="str">
        <f aca="false">IF($A151="","",IF(OR(T151="",J151=0,J151=""),"",T151/J151))</f>
        <v/>
      </c>
      <c r="V151" s="52" t="str">
        <f aca="false">IF($A151="","",IF(OR(R151="",N151&lt;=0,J151=0,J151=""),"",(R151/1000*12/N151)/J151))</f>
        <v/>
      </c>
      <c r="W151" s="52" t="str">
        <f aca="false">IF($A151="","",IF(OR(T151="",K151=0,K151=""),"",T151/K151))</f>
        <v/>
      </c>
      <c r="X151" s="43" t="n">
        <f aca="false">IF($A151="","",IF(OR(N151&lt;=0,I151=0,I151="",O151=0),"",O151*1000/(I151*0.3025)/N151))</f>
        <v>21271.5348093473</v>
      </c>
      <c r="Y151" s="50" t="str">
        <f aca="false">IF($A151="","",IF(OR(O151=0,O151="",P151=0),"",P151/O151))</f>
        <v/>
      </c>
      <c r="Z151" s="17" t="str">
        <f aca="false">IF($A151="","",IFERROR(INDEX(物件収支!$E:$E,MATCH($A151,物件収支!$A:$A,0)),""))</f>
        <v>開示（物件別・収益のみ、百万円単位）</v>
      </c>
    </row>
    <row r="152" customFormat="false" ht="15" hidden="false" customHeight="true" outlineLevel="0" collapsed="false">
      <c r="A152" s="17" t="str">
        <f aca="false">IF(物件マスタ!A152="","",物件マスタ!A152)</f>
        <v>NBF-24</v>
      </c>
      <c r="B152" s="17" t="str">
        <f aca="false">IF($A152="","",物件マスタ!B152)</f>
        <v>NBF</v>
      </c>
      <c r="C152" s="17" t="str">
        <f aca="false">IF($A152="","",IFERROR(INDEX(法人マスタ!$C:$C,MATCH($B152,法人マスタ!$A:$A,0)),""))</f>
        <v>日本ビルファンド投資法人</v>
      </c>
      <c r="D152" s="17" t="str">
        <f aca="false">IF($A152="","",物件マスタ!C152)</f>
        <v>ＮＢＦ神田須田町ビル</v>
      </c>
      <c r="E152" s="17" t="str">
        <f aca="false">IF($A152="","",物件マスタ!H152)</f>
        <v>都心5区</v>
      </c>
      <c r="F152" s="48" t="n">
        <f aca="false">IF($A152="","",物件マスタ!P152)</f>
        <v>0</v>
      </c>
      <c r="G152" s="34" t="str">
        <f aca="false">IF($A152="","",物件マスタ!Q152)</f>
        <v/>
      </c>
      <c r="H152" s="49" t="n">
        <f aca="false">IF($A152="","",物件マスタ!L152)</f>
        <v>0</v>
      </c>
      <c r="I152" s="49" t="n">
        <f aca="false">IF($A152="","",物件マスタ!M152)</f>
        <v>4470</v>
      </c>
      <c r="J152" s="43" t="n">
        <f aca="false">IF($A152="","",物件マスタ!S152)</f>
        <v>5960</v>
      </c>
      <c r="K152" s="43" t="n">
        <f aca="false">IF($A152="","",物件マスタ!U152)</f>
        <v>8680</v>
      </c>
      <c r="L152" s="50" t="n">
        <f aca="false">IF($A152="","",物件マスタ!W152)</f>
        <v>1</v>
      </c>
      <c r="M152" s="17" t="str">
        <f aca="false">IF($A152="","",IFERROR(INDEX(法人マスタ!$H:$H,MATCH($B152,法人マスタ!$A:$A,0)),""))</f>
        <v>2025年12月期（第49期）</v>
      </c>
      <c r="N152" s="51" t="n">
        <f aca="false">IF($A152="","",SUMIFS(物件収支!$D:$D,物件収支!$A:$A,$A152,物件収支!$C:$C,$M152))</f>
        <v>6</v>
      </c>
      <c r="O152" s="43" t="n">
        <f aca="false">IF($A152="","",SUMIFS(物件収支!$F:$F,物件収支!$A:$A,$A152,物件収支!$C:$C,$M152))</f>
        <v>211000</v>
      </c>
      <c r="P152" s="43" t="n">
        <f aca="false">IF($A152="","",SUMIFS(物件収支!$I:$I,物件収支!$A:$A,$A152,物件収支!$C:$C,$M152))</f>
        <v>0</v>
      </c>
      <c r="Q152" s="43" t="n">
        <f aca="false">IF($A152="","",SUMIFS(物件収支!$O:$O,物件収支!$A:$A,$A152,物件収支!$C:$C,$M152))</f>
        <v>0</v>
      </c>
      <c r="R152" s="43" t="str">
        <f aca="false">IF($A152="","",IF(P152=0,"",O152-P152))</f>
        <v/>
      </c>
      <c r="S152" s="43" t="str">
        <f aca="false">IF($A152="","",IF(R152="","",R152+Q152))</f>
        <v/>
      </c>
      <c r="T152" s="43" t="str">
        <f aca="false">IF($A152="","",IF(OR(S152="",N152&lt;=0),"",S152/1000*12/N152))</f>
        <v/>
      </c>
      <c r="U152" s="52" t="str">
        <f aca="false">IF($A152="","",IF(OR(T152="",J152=0,J152=""),"",T152/J152))</f>
        <v/>
      </c>
      <c r="V152" s="52" t="str">
        <f aca="false">IF($A152="","",IF(OR(R152="",N152&lt;=0,J152=0,J152=""),"",(R152/1000*12/N152)/J152))</f>
        <v/>
      </c>
      <c r="W152" s="52" t="str">
        <f aca="false">IF($A152="","",IF(OR(T152="",K152=0,K152=""),"",T152/K152))</f>
        <v/>
      </c>
      <c r="X152" s="43" t="n">
        <f aca="false">IF($A152="","",IF(OR(N152&lt;=0,I152=0,I152="",O152=0),"",O152*1000/(I152*0.3025)/N152))</f>
        <v>26007.4817731926</v>
      </c>
      <c r="Y152" s="50" t="str">
        <f aca="false">IF($A152="","",IF(OR(O152=0,O152="",P152=0),"",P152/O152))</f>
        <v/>
      </c>
      <c r="Z152" s="17" t="str">
        <f aca="false">IF($A152="","",IFERROR(INDEX(物件収支!$E:$E,MATCH($A152,物件収支!$A:$A,0)),""))</f>
        <v>開示（物件別・収益のみ、百万円単位）</v>
      </c>
    </row>
    <row r="153" customFormat="false" ht="15" hidden="false" customHeight="true" outlineLevel="0" collapsed="false">
      <c r="A153" s="17" t="str">
        <f aca="false">IF(物件マスタ!A153="","",物件マスタ!A153)</f>
        <v>NBF-25</v>
      </c>
      <c r="B153" s="17" t="str">
        <f aca="false">IF($A153="","",物件マスタ!B153)</f>
        <v>NBF</v>
      </c>
      <c r="C153" s="17" t="str">
        <f aca="false">IF($A153="","",IFERROR(INDEX(法人マスタ!$C:$C,MATCH($B153,法人マスタ!$A:$A,0)),""))</f>
        <v>日本ビルファンド投資法人</v>
      </c>
      <c r="D153" s="17" t="str">
        <f aca="false">IF($A153="","",物件マスタ!C153)</f>
        <v>ＮＢＦ小川町ビルディング</v>
      </c>
      <c r="E153" s="17" t="str">
        <f aca="false">IF($A153="","",物件マスタ!H153)</f>
        <v>都心5区</v>
      </c>
      <c r="F153" s="48" t="n">
        <f aca="false">IF($A153="","",物件マスタ!P153)</f>
        <v>0</v>
      </c>
      <c r="G153" s="34" t="str">
        <f aca="false">IF($A153="","",物件マスタ!Q153)</f>
        <v/>
      </c>
      <c r="H153" s="49" t="n">
        <f aca="false">IF($A153="","",物件マスタ!L153)</f>
        <v>0</v>
      </c>
      <c r="I153" s="49" t="n">
        <f aca="false">IF($A153="","",物件マスタ!M153)</f>
        <v>5340</v>
      </c>
      <c r="J153" s="43" t="n">
        <f aca="false">IF($A153="","",物件マスタ!S153)</f>
        <v>5420</v>
      </c>
      <c r="K153" s="43" t="n">
        <f aca="false">IF($A153="","",物件マスタ!U153)</f>
        <v>6600</v>
      </c>
      <c r="L153" s="50" t="n">
        <f aca="false">IF($A153="","",物件マスタ!W153)</f>
        <v>1</v>
      </c>
      <c r="M153" s="17" t="str">
        <f aca="false">IF($A153="","",IFERROR(INDEX(法人マスタ!$H:$H,MATCH($B153,法人マスタ!$A:$A,0)),""))</f>
        <v>2025年12月期（第49期）</v>
      </c>
      <c r="N153" s="51" t="n">
        <f aca="false">IF($A153="","",SUMIFS(物件収支!$D:$D,物件収支!$A:$A,$A153,物件収支!$C:$C,$M153))</f>
        <v>6</v>
      </c>
      <c r="O153" s="43" t="n">
        <f aca="false">IF($A153="","",SUMIFS(物件収支!$F:$F,物件収支!$A:$A,$A153,物件収支!$C:$C,$M153))</f>
        <v>199000</v>
      </c>
      <c r="P153" s="43" t="n">
        <f aca="false">IF($A153="","",SUMIFS(物件収支!$I:$I,物件収支!$A:$A,$A153,物件収支!$C:$C,$M153))</f>
        <v>0</v>
      </c>
      <c r="Q153" s="43" t="n">
        <f aca="false">IF($A153="","",SUMIFS(物件収支!$O:$O,物件収支!$A:$A,$A153,物件収支!$C:$C,$M153))</f>
        <v>0</v>
      </c>
      <c r="R153" s="43" t="str">
        <f aca="false">IF($A153="","",IF(P153=0,"",O153-P153))</f>
        <v/>
      </c>
      <c r="S153" s="43" t="str">
        <f aca="false">IF($A153="","",IF(R153="","",R153+Q153))</f>
        <v/>
      </c>
      <c r="T153" s="43" t="str">
        <f aca="false">IF($A153="","",IF(OR(S153="",N153&lt;=0),"",S153/1000*12/N153))</f>
        <v/>
      </c>
      <c r="U153" s="52" t="str">
        <f aca="false">IF($A153="","",IF(OR(T153="",J153=0,J153=""),"",T153/J153))</f>
        <v/>
      </c>
      <c r="V153" s="52" t="str">
        <f aca="false">IF($A153="","",IF(OR(R153="",N153&lt;=0,J153=0,J153=""),"",(R153/1000*12/N153)/J153))</f>
        <v/>
      </c>
      <c r="W153" s="52" t="str">
        <f aca="false">IF($A153="","",IF(OR(T153="",K153=0,K153=""),"",T153/K153))</f>
        <v/>
      </c>
      <c r="X153" s="43" t="n">
        <f aca="false">IF($A153="","",IF(OR(N153&lt;=0,I153=0,I153="",O153=0),"",O153*1000/(I153*0.3025)/N153))</f>
        <v>20532.1860071605</v>
      </c>
      <c r="Y153" s="50" t="str">
        <f aca="false">IF($A153="","",IF(OR(O153=0,O153="",P153=0),"",P153/O153))</f>
        <v/>
      </c>
      <c r="Z153" s="17" t="str">
        <f aca="false">IF($A153="","",IFERROR(INDEX(物件収支!$E:$E,MATCH($A153,物件収支!$A:$A,0)),""))</f>
        <v>開示（物件別・収益のみ、百万円単位）</v>
      </c>
    </row>
    <row r="154" customFormat="false" ht="15" hidden="false" customHeight="true" outlineLevel="0" collapsed="false">
      <c r="A154" s="17" t="str">
        <f aca="false">IF(物件マスタ!A154="","",物件マスタ!A154)</f>
        <v>NBF-26</v>
      </c>
      <c r="B154" s="17" t="str">
        <f aca="false">IF($A154="","",物件マスタ!B154)</f>
        <v>NBF</v>
      </c>
      <c r="C154" s="17" t="str">
        <f aca="false">IF($A154="","",IFERROR(INDEX(法人マスタ!$C:$C,MATCH($B154,法人マスタ!$A:$A,0)),""))</f>
        <v>日本ビルファンド投資法人</v>
      </c>
      <c r="D154" s="17" t="str">
        <f aca="false">IF($A154="","",物件マスタ!C154)</f>
        <v>住友電設ビル</v>
      </c>
      <c r="E154" s="17" t="str">
        <f aca="false">IF($A154="","",物件マスタ!H154)</f>
        <v>都心5区</v>
      </c>
      <c r="F154" s="48" t="n">
        <f aca="false">IF($A154="","",物件マスタ!P154)</f>
        <v>0</v>
      </c>
      <c r="G154" s="34" t="str">
        <f aca="false">IF($A154="","",物件マスタ!Q154)</f>
        <v/>
      </c>
      <c r="H154" s="49" t="n">
        <f aca="false">IF($A154="","",物件マスタ!L154)</f>
        <v>0</v>
      </c>
      <c r="I154" s="49" t="n">
        <f aca="false">IF($A154="","",物件マスタ!M154)</f>
        <v>5971</v>
      </c>
      <c r="J154" s="43" t="n">
        <f aca="false">IF($A154="","",物件マスタ!S154)</f>
        <v>5365</v>
      </c>
      <c r="K154" s="43" t="n">
        <f aca="false">IF($A154="","",物件マスタ!U154)</f>
        <v>5360</v>
      </c>
      <c r="L154" s="50" t="n">
        <f aca="false">IF($A154="","",物件マスタ!W154)</f>
        <v>1</v>
      </c>
      <c r="M154" s="17" t="str">
        <f aca="false">IF($A154="","",IFERROR(INDEX(法人マスタ!$H:$H,MATCH($B154,法人マスタ!$A:$A,0)),""))</f>
        <v>2025年12月期（第49期）</v>
      </c>
      <c r="N154" s="51" t="n">
        <f aca="false">IF($A154="","",SUMIFS(物件収支!$D:$D,物件収支!$A:$A,$A154,物件収支!$C:$C,$M154))</f>
        <v>6</v>
      </c>
      <c r="O154" s="43" t="n">
        <f aca="false">IF($A154="","",SUMIFS(物件収支!$F:$F,物件収支!$A:$A,$A154,物件収支!$C:$C,$M154))</f>
        <v>0</v>
      </c>
      <c r="P154" s="43" t="n">
        <f aca="false">IF($A154="","",SUMIFS(物件収支!$I:$I,物件収支!$A:$A,$A154,物件収支!$C:$C,$M154))</f>
        <v>0</v>
      </c>
      <c r="Q154" s="43" t="n">
        <f aca="false">IF($A154="","",SUMIFS(物件収支!$O:$O,物件収支!$A:$A,$A154,物件収支!$C:$C,$M154))</f>
        <v>0</v>
      </c>
      <c r="R154" s="43" t="str">
        <f aca="false">IF($A154="","",IF(P154=0,"",O154-P154))</f>
        <v/>
      </c>
      <c r="S154" s="43" t="str">
        <f aca="false">IF($A154="","",IF(R154="","",R154+Q154))</f>
        <v/>
      </c>
      <c r="T154" s="43" t="str">
        <f aca="false">IF($A154="","",IF(OR(S154="",N154&lt;=0),"",S154/1000*12/N154))</f>
        <v/>
      </c>
      <c r="U154" s="52" t="str">
        <f aca="false">IF($A154="","",IF(OR(T154="",J154=0,J154=""),"",T154/J154))</f>
        <v/>
      </c>
      <c r="V154" s="52" t="str">
        <f aca="false">IF($A154="","",IF(OR(R154="",N154&lt;=0,J154=0,J154=""),"",(R154/1000*12/N154)/J154))</f>
        <v/>
      </c>
      <c r="W154" s="52" t="str">
        <f aca="false">IF($A154="","",IF(OR(T154="",K154=0,K154=""),"",T154/K154))</f>
        <v/>
      </c>
      <c r="X154" s="43" t="str">
        <f aca="false">IF($A154="","",IF(OR(N154&lt;=0,I154=0,I154="",O154=0),"",O154*1000/(I154*0.3025)/N154))</f>
        <v/>
      </c>
      <c r="Y154" s="50" t="str">
        <f aca="false">IF($A154="","",IF(OR(O154=0,O154="",P154=0),"",P154/O154))</f>
        <v/>
      </c>
      <c r="Z154" s="17" t="str">
        <f aca="false">IF($A154="","",IFERROR(INDEX(物件収支!$E:$E,MATCH($A154,物件収支!$A:$A,0)),""))</f>
        <v>非開示（テナント同意なし）</v>
      </c>
    </row>
    <row r="155" customFormat="false" ht="15" hidden="false" customHeight="true" outlineLevel="0" collapsed="false">
      <c r="A155" s="17" t="str">
        <f aca="false">IF(物件マスタ!A155="","",物件マスタ!A155)</f>
        <v>NBF-27</v>
      </c>
      <c r="B155" s="17" t="str">
        <f aca="false">IF($A155="","",物件マスタ!B155)</f>
        <v>NBF</v>
      </c>
      <c r="C155" s="17" t="str">
        <f aca="false">IF($A155="","",IFERROR(INDEX(法人マスタ!$C:$C,MATCH($B155,法人マスタ!$A:$A,0)),""))</f>
        <v>日本ビルファンド投資法人</v>
      </c>
      <c r="D155" s="17" t="str">
        <f aca="false">IF($A155="","",物件マスタ!C155)</f>
        <v>ＮＢＦ東銀座スクエア</v>
      </c>
      <c r="E155" s="17" t="str">
        <f aca="false">IF($A155="","",物件マスタ!H155)</f>
        <v>都心5区</v>
      </c>
      <c r="F155" s="48" t="n">
        <f aca="false">IF($A155="","",物件マスタ!P155)</f>
        <v>0</v>
      </c>
      <c r="G155" s="34" t="str">
        <f aca="false">IF($A155="","",物件マスタ!Q155)</f>
        <v/>
      </c>
      <c r="H155" s="49" t="n">
        <f aca="false">IF($A155="","",物件マスタ!L155)</f>
        <v>0</v>
      </c>
      <c r="I155" s="49" t="n">
        <f aca="false">IF($A155="","",物件マスタ!M155)</f>
        <v>4871</v>
      </c>
      <c r="J155" s="43" t="n">
        <f aca="false">IF($A155="","",物件マスタ!S155)</f>
        <v>5200</v>
      </c>
      <c r="K155" s="43" t="n">
        <f aca="false">IF($A155="","",物件マスタ!U155)</f>
        <v>7990</v>
      </c>
      <c r="L155" s="50" t="n">
        <f aca="false">IF($A155="","",物件マスタ!W155)</f>
        <v>1</v>
      </c>
      <c r="M155" s="17" t="str">
        <f aca="false">IF($A155="","",IFERROR(INDEX(法人マスタ!$H:$H,MATCH($B155,法人マスタ!$A:$A,0)),""))</f>
        <v>2025年12月期（第49期）</v>
      </c>
      <c r="N155" s="51" t="n">
        <f aca="false">IF($A155="","",SUMIFS(物件収支!$D:$D,物件収支!$A:$A,$A155,物件収支!$C:$C,$M155))</f>
        <v>6</v>
      </c>
      <c r="O155" s="43" t="n">
        <f aca="false">IF($A155="","",SUMIFS(物件収支!$F:$F,物件収支!$A:$A,$A155,物件収支!$C:$C,$M155))</f>
        <v>194000</v>
      </c>
      <c r="P155" s="43" t="n">
        <f aca="false">IF($A155="","",SUMIFS(物件収支!$I:$I,物件収支!$A:$A,$A155,物件収支!$C:$C,$M155))</f>
        <v>0</v>
      </c>
      <c r="Q155" s="43" t="n">
        <f aca="false">IF($A155="","",SUMIFS(物件収支!$O:$O,物件収支!$A:$A,$A155,物件収支!$C:$C,$M155))</f>
        <v>0</v>
      </c>
      <c r="R155" s="43" t="str">
        <f aca="false">IF($A155="","",IF(P155=0,"",O155-P155))</f>
        <v/>
      </c>
      <c r="S155" s="43" t="str">
        <f aca="false">IF($A155="","",IF(R155="","",R155+Q155))</f>
        <v/>
      </c>
      <c r="T155" s="43" t="str">
        <f aca="false">IF($A155="","",IF(OR(S155="",N155&lt;=0),"",S155/1000*12/N155))</f>
        <v/>
      </c>
      <c r="U155" s="52" t="str">
        <f aca="false">IF($A155="","",IF(OR(T155="",J155=0,J155=""),"",T155/J155))</f>
        <v/>
      </c>
      <c r="V155" s="52" t="str">
        <f aca="false">IF($A155="","",IF(OR(R155="",N155&lt;=0,J155=0,J155=""),"",(R155/1000*12/N155)/J155))</f>
        <v/>
      </c>
      <c r="W155" s="52" t="str">
        <f aca="false">IF($A155="","",IF(OR(T155="",K155=0,K155=""),"",T155/K155))</f>
        <v/>
      </c>
      <c r="X155" s="43" t="n">
        <f aca="false">IF($A155="","",IF(OR(N155&lt;=0,I155=0,I155="",O155=0),"",O155*1000/(I155*0.3025)/N155))</f>
        <v>21943.5541657971</v>
      </c>
      <c r="Y155" s="50" t="str">
        <f aca="false">IF($A155="","",IF(OR(O155=0,O155="",P155=0),"",P155/O155))</f>
        <v/>
      </c>
      <c r="Z155" s="17" t="str">
        <f aca="false">IF($A155="","",IFERROR(INDEX(物件収支!$E:$E,MATCH($A155,物件収支!$A:$A,0)),""))</f>
        <v>開示（物件別・収益のみ、百万円単位）</v>
      </c>
    </row>
    <row r="156" customFormat="false" ht="15" hidden="false" customHeight="true" outlineLevel="0" collapsed="false">
      <c r="A156" s="17" t="str">
        <f aca="false">IF(物件マスタ!A156="","",物件マスタ!A156)</f>
        <v>NBF-28</v>
      </c>
      <c r="B156" s="17" t="str">
        <f aca="false">IF($A156="","",物件マスタ!B156)</f>
        <v>NBF</v>
      </c>
      <c r="C156" s="17" t="str">
        <f aca="false">IF($A156="","",IFERROR(INDEX(法人マスタ!$C:$C,MATCH($B156,法人マスタ!$A:$A,0)),""))</f>
        <v>日本ビルファンド投資法人</v>
      </c>
      <c r="D156" s="17" t="str">
        <f aca="false">IF($A156="","",物件マスタ!C156)</f>
        <v>日本橋兜町Ｍ－ＳＱＵＡＲＥ</v>
      </c>
      <c r="E156" s="17" t="str">
        <f aca="false">IF($A156="","",物件マスタ!H156)</f>
        <v>都心5区</v>
      </c>
      <c r="F156" s="48" t="n">
        <f aca="false">IF($A156="","",物件マスタ!P156)</f>
        <v>0</v>
      </c>
      <c r="G156" s="34" t="str">
        <f aca="false">IF($A156="","",物件マスタ!Q156)</f>
        <v/>
      </c>
      <c r="H156" s="49" t="n">
        <f aca="false">IF($A156="","",物件マスタ!L156)</f>
        <v>0</v>
      </c>
      <c r="I156" s="49" t="n">
        <f aca="false">IF($A156="","",物件マスタ!M156)</f>
        <v>3298</v>
      </c>
      <c r="J156" s="43" t="n">
        <f aca="false">IF($A156="","",物件マスタ!S156)</f>
        <v>4850</v>
      </c>
      <c r="K156" s="43" t="n">
        <f aca="false">IF($A156="","",物件マスタ!U156)</f>
        <v>5570</v>
      </c>
      <c r="L156" s="50" t="n">
        <f aca="false">IF($A156="","",物件マスタ!W156)</f>
        <v>1</v>
      </c>
      <c r="M156" s="17" t="str">
        <f aca="false">IF($A156="","",IFERROR(INDEX(法人マスタ!$H:$H,MATCH($B156,法人マスタ!$A:$A,0)),""))</f>
        <v>2025年12月期（第49期）</v>
      </c>
      <c r="N156" s="51" t="n">
        <f aca="false">IF($A156="","",SUMIFS(物件収支!$D:$D,物件収支!$A:$A,$A156,物件収支!$C:$C,$M156))</f>
        <v>6</v>
      </c>
      <c r="O156" s="43" t="n">
        <f aca="false">IF($A156="","",SUMIFS(物件収支!$F:$F,物件収支!$A:$A,$A156,物件収支!$C:$C,$M156))</f>
        <v>0</v>
      </c>
      <c r="P156" s="43" t="n">
        <f aca="false">IF($A156="","",SUMIFS(物件収支!$I:$I,物件収支!$A:$A,$A156,物件収支!$C:$C,$M156))</f>
        <v>0</v>
      </c>
      <c r="Q156" s="43" t="n">
        <f aca="false">IF($A156="","",SUMIFS(物件収支!$O:$O,物件収支!$A:$A,$A156,物件収支!$C:$C,$M156))</f>
        <v>0</v>
      </c>
      <c r="R156" s="43" t="str">
        <f aca="false">IF($A156="","",IF(P156=0,"",O156-P156))</f>
        <v/>
      </c>
      <c r="S156" s="43" t="str">
        <f aca="false">IF($A156="","",IF(R156="","",R156+Q156))</f>
        <v/>
      </c>
      <c r="T156" s="43" t="str">
        <f aca="false">IF($A156="","",IF(OR(S156="",N156&lt;=0),"",S156/1000*12/N156))</f>
        <v/>
      </c>
      <c r="U156" s="52" t="str">
        <f aca="false">IF($A156="","",IF(OR(T156="",J156=0,J156=""),"",T156/J156))</f>
        <v/>
      </c>
      <c r="V156" s="52" t="str">
        <f aca="false">IF($A156="","",IF(OR(R156="",N156&lt;=0,J156=0,J156=""),"",(R156/1000*12/N156)/J156))</f>
        <v/>
      </c>
      <c r="W156" s="52" t="str">
        <f aca="false">IF($A156="","",IF(OR(T156="",K156=0,K156=""),"",T156/K156))</f>
        <v/>
      </c>
      <c r="X156" s="43" t="str">
        <f aca="false">IF($A156="","",IF(OR(N156&lt;=0,I156=0,I156="",O156=0),"",O156*1000/(I156*0.3025)/N156))</f>
        <v/>
      </c>
      <c r="Y156" s="50" t="str">
        <f aca="false">IF($A156="","",IF(OR(O156=0,O156="",P156=0),"",P156/O156))</f>
        <v/>
      </c>
      <c r="Z156" s="17" t="str">
        <f aca="false">IF($A156="","",IFERROR(INDEX(物件収支!$E:$E,MATCH($A156,物件収支!$A:$A,0)),""))</f>
        <v>非開示（テナント同意なし）</v>
      </c>
    </row>
    <row r="157" customFormat="false" ht="15" hidden="false" customHeight="true" outlineLevel="0" collapsed="false">
      <c r="A157" s="17" t="str">
        <f aca="false">IF(物件マスタ!A157="","",物件マスタ!A157)</f>
        <v>NBF-29</v>
      </c>
      <c r="B157" s="17" t="str">
        <f aca="false">IF($A157="","",物件マスタ!B157)</f>
        <v>NBF</v>
      </c>
      <c r="C157" s="17" t="str">
        <f aca="false">IF($A157="","",IFERROR(INDEX(法人マスタ!$C:$C,MATCH($B157,法人マスタ!$A:$A,0)),""))</f>
        <v>日本ビルファンド投資法人</v>
      </c>
      <c r="D157" s="17" t="str">
        <f aca="false">IF($A157="","",物件マスタ!C157)</f>
        <v>ＮＢＦ八丁堀テラス</v>
      </c>
      <c r="E157" s="17" t="str">
        <f aca="false">IF($A157="","",物件マスタ!H157)</f>
        <v>都心5区</v>
      </c>
      <c r="F157" s="48" t="n">
        <f aca="false">IF($A157="","",物件マスタ!P157)</f>
        <v>0</v>
      </c>
      <c r="G157" s="34" t="str">
        <f aca="false">IF($A157="","",物件マスタ!Q157)</f>
        <v/>
      </c>
      <c r="H157" s="49" t="n">
        <f aca="false">IF($A157="","",物件マスタ!L157)</f>
        <v>0</v>
      </c>
      <c r="I157" s="49" t="n">
        <f aca="false">IF($A157="","",物件マスタ!M157)</f>
        <v>5270</v>
      </c>
      <c r="J157" s="43" t="n">
        <f aca="false">IF($A157="","",物件マスタ!S157)</f>
        <v>4528.349</v>
      </c>
      <c r="K157" s="43" t="n">
        <f aca="false">IF($A157="","",物件マスタ!U157)</f>
        <v>5540</v>
      </c>
      <c r="L157" s="50" t="n">
        <f aca="false">IF($A157="","",物件マスタ!W157)</f>
        <v>1</v>
      </c>
      <c r="M157" s="17" t="str">
        <f aca="false">IF($A157="","",IFERROR(INDEX(法人マスタ!$H:$H,MATCH($B157,法人マスタ!$A:$A,0)),""))</f>
        <v>2025年12月期（第49期）</v>
      </c>
      <c r="N157" s="51" t="n">
        <f aca="false">IF($A157="","",SUMIFS(物件収支!$D:$D,物件収支!$A:$A,$A157,物件収支!$C:$C,$M157))</f>
        <v>6</v>
      </c>
      <c r="O157" s="43" t="n">
        <f aca="false">IF($A157="","",SUMIFS(物件収支!$F:$F,物件収支!$A:$A,$A157,物件収支!$C:$C,$M157))</f>
        <v>0</v>
      </c>
      <c r="P157" s="43" t="n">
        <f aca="false">IF($A157="","",SUMIFS(物件収支!$I:$I,物件収支!$A:$A,$A157,物件収支!$C:$C,$M157))</f>
        <v>0</v>
      </c>
      <c r="Q157" s="43" t="n">
        <f aca="false">IF($A157="","",SUMIFS(物件収支!$O:$O,物件収支!$A:$A,$A157,物件収支!$C:$C,$M157))</f>
        <v>0</v>
      </c>
      <c r="R157" s="43" t="str">
        <f aca="false">IF($A157="","",IF(P157=0,"",O157-P157))</f>
        <v/>
      </c>
      <c r="S157" s="43" t="str">
        <f aca="false">IF($A157="","",IF(R157="","",R157+Q157))</f>
        <v/>
      </c>
      <c r="T157" s="43" t="str">
        <f aca="false">IF($A157="","",IF(OR(S157="",N157&lt;=0),"",S157/1000*12/N157))</f>
        <v/>
      </c>
      <c r="U157" s="52" t="str">
        <f aca="false">IF($A157="","",IF(OR(T157="",J157=0,J157=""),"",T157/J157))</f>
        <v/>
      </c>
      <c r="V157" s="52" t="str">
        <f aca="false">IF($A157="","",IF(OR(R157="",N157&lt;=0,J157=0,J157=""),"",(R157/1000*12/N157)/J157))</f>
        <v/>
      </c>
      <c r="W157" s="52" t="str">
        <f aca="false">IF($A157="","",IF(OR(T157="",K157=0,K157=""),"",T157/K157))</f>
        <v/>
      </c>
      <c r="X157" s="43" t="str">
        <f aca="false">IF($A157="","",IF(OR(N157&lt;=0,I157=0,I157="",O157=0),"",O157*1000/(I157*0.3025)/N157))</f>
        <v/>
      </c>
      <c r="Y157" s="50" t="str">
        <f aca="false">IF($A157="","",IF(OR(O157=0,O157="",P157=0),"",P157/O157))</f>
        <v/>
      </c>
      <c r="Z157" s="17" t="str">
        <f aca="false">IF($A157="","",IFERROR(INDEX(物件収支!$E:$E,MATCH($A157,物件収支!$A:$A,0)),""))</f>
        <v>非開示（テナント同意なし）</v>
      </c>
    </row>
    <row r="158" customFormat="false" ht="15" hidden="false" customHeight="true" outlineLevel="0" collapsed="false">
      <c r="A158" s="17" t="str">
        <f aca="false">IF(物件マスタ!A158="","",物件マスタ!A158)</f>
        <v>NBF-30</v>
      </c>
      <c r="B158" s="17" t="str">
        <f aca="false">IF($A158="","",物件マスタ!B158)</f>
        <v>NBF</v>
      </c>
      <c r="C158" s="17" t="str">
        <f aca="false">IF($A158="","",IFERROR(INDEX(法人マスタ!$C:$C,MATCH($B158,法人マスタ!$A:$A,0)),""))</f>
        <v>日本ビルファンド投資法人</v>
      </c>
      <c r="D158" s="17" t="str">
        <f aca="false">IF($A158="","",物件マスタ!C158)</f>
        <v>龍角散ビル</v>
      </c>
      <c r="E158" s="17" t="str">
        <f aca="false">IF($A158="","",物件マスタ!H158)</f>
        <v>都心5区</v>
      </c>
      <c r="F158" s="48" t="n">
        <f aca="false">IF($A158="","",物件マスタ!P158)</f>
        <v>0</v>
      </c>
      <c r="G158" s="34" t="str">
        <f aca="false">IF($A158="","",物件マスタ!Q158)</f>
        <v/>
      </c>
      <c r="H158" s="49" t="n">
        <f aca="false">IF($A158="","",物件マスタ!L158)</f>
        <v>0</v>
      </c>
      <c r="I158" s="49" t="n">
        <f aca="false">IF($A158="","",物件マスタ!M158)</f>
        <v>5332</v>
      </c>
      <c r="J158" s="43" t="n">
        <f aca="false">IF($A158="","",物件マスタ!S158)</f>
        <v>4050</v>
      </c>
      <c r="K158" s="43" t="n">
        <f aca="false">IF($A158="","",物件マスタ!U158)</f>
        <v>5270</v>
      </c>
      <c r="L158" s="50" t="n">
        <f aca="false">IF($A158="","",物件マスタ!W158)</f>
        <v>1</v>
      </c>
      <c r="M158" s="17" t="str">
        <f aca="false">IF($A158="","",IFERROR(INDEX(法人マスタ!$H:$H,MATCH($B158,法人マスタ!$A:$A,0)),""))</f>
        <v>2025年12月期（第49期）</v>
      </c>
      <c r="N158" s="51" t="n">
        <f aca="false">IF($A158="","",SUMIFS(物件収支!$D:$D,物件収支!$A:$A,$A158,物件収支!$C:$C,$M158))</f>
        <v>6</v>
      </c>
      <c r="O158" s="43" t="n">
        <f aca="false">IF($A158="","",SUMIFS(物件収支!$F:$F,物件収支!$A:$A,$A158,物件収支!$C:$C,$M158))</f>
        <v>185000</v>
      </c>
      <c r="P158" s="43" t="n">
        <f aca="false">IF($A158="","",SUMIFS(物件収支!$I:$I,物件収支!$A:$A,$A158,物件収支!$C:$C,$M158))</f>
        <v>0</v>
      </c>
      <c r="Q158" s="43" t="n">
        <f aca="false">IF($A158="","",SUMIFS(物件収支!$O:$O,物件収支!$A:$A,$A158,物件収支!$C:$C,$M158))</f>
        <v>0</v>
      </c>
      <c r="R158" s="43" t="str">
        <f aca="false">IF($A158="","",IF(P158=0,"",O158-P158))</f>
        <v/>
      </c>
      <c r="S158" s="43" t="str">
        <f aca="false">IF($A158="","",IF(R158="","",R158+Q158))</f>
        <v/>
      </c>
      <c r="T158" s="43" t="str">
        <f aca="false">IF($A158="","",IF(OR(S158="",N158&lt;=0),"",S158/1000*12/N158))</f>
        <v/>
      </c>
      <c r="U158" s="52" t="str">
        <f aca="false">IF($A158="","",IF(OR(T158="",J158=0,J158=""),"",T158/J158))</f>
        <v/>
      </c>
      <c r="V158" s="52" t="str">
        <f aca="false">IF($A158="","",IF(OR(R158="",N158&lt;=0,J158=0,J158=""),"",(R158/1000*12/N158)/J158))</f>
        <v/>
      </c>
      <c r="W158" s="52" t="str">
        <f aca="false">IF($A158="","",IF(OR(T158="",K158=0,K158=""),"",T158/K158))</f>
        <v/>
      </c>
      <c r="X158" s="43" t="n">
        <f aca="false">IF($A158="","",IF(OR(N158&lt;=0,I158=0,I158="",O158=0),"",O158*1000/(I158*0.3025)/N158))</f>
        <v>19116.3493352677</v>
      </c>
      <c r="Y158" s="50" t="str">
        <f aca="false">IF($A158="","",IF(OR(O158=0,O158="",P158=0),"",P158/O158))</f>
        <v/>
      </c>
      <c r="Z158" s="17" t="str">
        <f aca="false">IF($A158="","",IFERROR(INDEX(物件収支!$E:$E,MATCH($A158,物件収支!$A:$A,0)),""))</f>
        <v>開示（物件別・収益のみ、百万円単位）</v>
      </c>
    </row>
    <row r="159" customFormat="false" ht="15" hidden="false" customHeight="true" outlineLevel="0" collapsed="false">
      <c r="A159" s="17" t="str">
        <f aca="false">IF(物件マスタ!A159="","",物件マスタ!A159)</f>
        <v>NBF-31</v>
      </c>
      <c r="B159" s="17" t="str">
        <f aca="false">IF($A159="","",物件マスタ!B159)</f>
        <v>NBF</v>
      </c>
      <c r="C159" s="17" t="str">
        <f aca="false">IF($A159="","",IFERROR(INDEX(法人マスタ!$C:$C,MATCH($B159,法人マスタ!$A:$A,0)),""))</f>
        <v>日本ビルファンド投資法人</v>
      </c>
      <c r="D159" s="17" t="str">
        <f aca="false">IF($A159="","",物件マスタ!C159)</f>
        <v>神宮前Ｍ－ＳＱＵＡＲＥ</v>
      </c>
      <c r="E159" s="17" t="str">
        <f aca="false">IF($A159="","",物件マスタ!H159)</f>
        <v>都心5区</v>
      </c>
      <c r="F159" s="48" t="n">
        <f aca="false">IF($A159="","",物件マスタ!P159)</f>
        <v>0</v>
      </c>
      <c r="G159" s="34" t="str">
        <f aca="false">IF($A159="","",物件マスタ!Q159)</f>
        <v/>
      </c>
      <c r="H159" s="49" t="n">
        <f aca="false">IF($A159="","",物件マスタ!L159)</f>
        <v>0</v>
      </c>
      <c r="I159" s="49" t="n">
        <f aca="false">IF($A159="","",物件マスタ!M159)</f>
        <v>7213</v>
      </c>
      <c r="J159" s="43" t="n">
        <f aca="false">IF($A159="","",物件マスタ!S159)</f>
        <v>3700</v>
      </c>
      <c r="K159" s="43" t="n">
        <f aca="false">IF($A159="","",物件マスタ!U159)</f>
        <v>4320</v>
      </c>
      <c r="L159" s="50" t="n">
        <f aca="false">IF($A159="","",物件マスタ!W159)</f>
        <v>0.88</v>
      </c>
      <c r="M159" s="17" t="str">
        <f aca="false">IF($A159="","",IFERROR(INDEX(法人マスタ!$H:$H,MATCH($B159,法人マスタ!$A:$A,0)),""))</f>
        <v>2025年12月期（第49期）</v>
      </c>
      <c r="N159" s="51" t="n">
        <f aca="false">IF($A159="","",SUMIFS(物件収支!$D:$D,物件収支!$A:$A,$A159,物件収支!$C:$C,$M159))</f>
        <v>6</v>
      </c>
      <c r="O159" s="43" t="n">
        <f aca="false">IF($A159="","",SUMIFS(物件収支!$F:$F,物件収支!$A:$A,$A159,物件収支!$C:$C,$M159))</f>
        <v>400000</v>
      </c>
      <c r="P159" s="43" t="n">
        <f aca="false">IF($A159="","",SUMIFS(物件収支!$I:$I,物件収支!$A:$A,$A159,物件収支!$C:$C,$M159))</f>
        <v>0</v>
      </c>
      <c r="Q159" s="43" t="n">
        <f aca="false">IF($A159="","",SUMIFS(物件収支!$O:$O,物件収支!$A:$A,$A159,物件収支!$C:$C,$M159))</f>
        <v>0</v>
      </c>
      <c r="R159" s="43" t="str">
        <f aca="false">IF($A159="","",IF(P159=0,"",O159-P159))</f>
        <v/>
      </c>
      <c r="S159" s="43" t="str">
        <f aca="false">IF($A159="","",IF(R159="","",R159+Q159))</f>
        <v/>
      </c>
      <c r="T159" s="43" t="str">
        <f aca="false">IF($A159="","",IF(OR(S159="",N159&lt;=0),"",S159/1000*12/N159))</f>
        <v/>
      </c>
      <c r="U159" s="52" t="str">
        <f aca="false">IF($A159="","",IF(OR(T159="",J159=0,J159=""),"",T159/J159))</f>
        <v/>
      </c>
      <c r="V159" s="52" t="str">
        <f aca="false">IF($A159="","",IF(OR(R159="",N159&lt;=0,J159=0,J159=""),"",(R159/1000*12/N159)/J159))</f>
        <v/>
      </c>
      <c r="W159" s="52" t="str">
        <f aca="false">IF($A159="","",IF(OR(T159="",K159=0,K159=""),"",T159/K159))</f>
        <v/>
      </c>
      <c r="X159" s="43" t="n">
        <f aca="false">IF($A159="","",IF(OR(N159&lt;=0,I159=0,I159="",O159=0),"",O159*1000/(I159*0.3025)/N159))</f>
        <v>30553.9546556397</v>
      </c>
      <c r="Y159" s="50" t="str">
        <f aca="false">IF($A159="","",IF(OR(O159=0,O159="",P159=0),"",P159/O159))</f>
        <v/>
      </c>
      <c r="Z159" s="17" t="str">
        <f aca="false">IF($A159="","",IFERROR(INDEX(物件収支!$E:$E,MATCH($A159,物件収支!$A:$A,0)),""))</f>
        <v>開示（物件別・収益のみ、百万円単位）</v>
      </c>
    </row>
    <row r="160" customFormat="false" ht="15" hidden="false" customHeight="true" outlineLevel="0" collapsed="false">
      <c r="A160" s="17" t="str">
        <f aca="false">IF(物件マスタ!A160="","",物件マスタ!A160)</f>
        <v>NBF-32</v>
      </c>
      <c r="B160" s="17" t="str">
        <f aca="false">IF($A160="","",物件マスタ!B160)</f>
        <v>NBF</v>
      </c>
      <c r="C160" s="17" t="str">
        <f aca="false">IF($A160="","",IFERROR(INDEX(法人マスタ!$C:$C,MATCH($B160,法人マスタ!$A:$A,0)),""))</f>
        <v>日本ビルファンド投資法人</v>
      </c>
      <c r="D160" s="17" t="str">
        <f aca="false">IF($A160="","",物件マスタ!C160)</f>
        <v>豊洲ベイサイドクロスタワー</v>
      </c>
      <c r="E160" s="17" t="str">
        <f aca="false">IF($A160="","",物件マスタ!H160)</f>
        <v>その他東京23区</v>
      </c>
      <c r="F160" s="48" t="n">
        <f aca="false">IF($A160="","",物件マスタ!P160)</f>
        <v>0</v>
      </c>
      <c r="G160" s="34" t="str">
        <f aca="false">IF($A160="","",物件マスタ!Q160)</f>
        <v/>
      </c>
      <c r="H160" s="49" t="n">
        <f aca="false">IF($A160="","",物件マスタ!L160)</f>
        <v>0</v>
      </c>
      <c r="I160" s="49" t="n">
        <f aca="false">IF($A160="","",物件マスタ!M160)</f>
        <v>51512</v>
      </c>
      <c r="J160" s="43" t="n">
        <f aca="false">IF($A160="","",物件マスタ!S160)</f>
        <v>80100</v>
      </c>
      <c r="K160" s="43" t="n">
        <f aca="false">IF($A160="","",物件マスタ!U160)</f>
        <v>80900</v>
      </c>
      <c r="L160" s="50" t="n">
        <f aca="false">IF($A160="","",物件マスタ!W160)</f>
        <v>1</v>
      </c>
      <c r="M160" s="17" t="str">
        <f aca="false">IF($A160="","",IFERROR(INDEX(法人マスタ!$H:$H,MATCH($B160,法人マスタ!$A:$A,0)),""))</f>
        <v>2025年12月期（第49期）</v>
      </c>
      <c r="N160" s="51" t="n">
        <f aca="false">IF($A160="","",SUMIFS(物件収支!$D:$D,物件収支!$A:$A,$A160,物件収支!$C:$C,$M160))</f>
        <v>6</v>
      </c>
      <c r="O160" s="43" t="n">
        <f aca="false">IF($A160="","",SUMIFS(物件収支!$F:$F,物件収支!$A:$A,$A160,物件収支!$C:$C,$M160))</f>
        <v>0</v>
      </c>
      <c r="P160" s="43" t="n">
        <f aca="false">IF($A160="","",SUMIFS(物件収支!$I:$I,物件収支!$A:$A,$A160,物件収支!$C:$C,$M160))</f>
        <v>0</v>
      </c>
      <c r="Q160" s="43" t="n">
        <f aca="false">IF($A160="","",SUMIFS(物件収支!$O:$O,物件収支!$A:$A,$A160,物件収支!$C:$C,$M160))</f>
        <v>0</v>
      </c>
      <c r="R160" s="43" t="str">
        <f aca="false">IF($A160="","",IF(P160=0,"",O160-P160))</f>
        <v/>
      </c>
      <c r="S160" s="43" t="str">
        <f aca="false">IF($A160="","",IF(R160="","",R160+Q160))</f>
        <v/>
      </c>
      <c r="T160" s="43" t="str">
        <f aca="false">IF($A160="","",IF(OR(S160="",N160&lt;=0),"",S160/1000*12/N160))</f>
        <v/>
      </c>
      <c r="U160" s="52" t="str">
        <f aca="false">IF($A160="","",IF(OR(T160="",J160=0,J160=""),"",T160/J160))</f>
        <v/>
      </c>
      <c r="V160" s="52" t="str">
        <f aca="false">IF($A160="","",IF(OR(R160="",N160&lt;=0,J160=0,J160=""),"",(R160/1000*12/N160)/J160))</f>
        <v/>
      </c>
      <c r="W160" s="52" t="str">
        <f aca="false">IF($A160="","",IF(OR(T160="",K160=0,K160=""),"",T160/K160))</f>
        <v/>
      </c>
      <c r="X160" s="43" t="str">
        <f aca="false">IF($A160="","",IF(OR(N160&lt;=0,I160=0,I160="",O160=0),"",O160*1000/(I160*0.3025)/N160))</f>
        <v/>
      </c>
      <c r="Y160" s="50" t="str">
        <f aca="false">IF($A160="","",IF(OR(O160=0,O160="",P160=0),"",P160/O160))</f>
        <v/>
      </c>
      <c r="Z160" s="17" t="str">
        <f aca="false">IF($A160="","",IFERROR(INDEX(物件収支!$E:$E,MATCH($A160,物件収支!$A:$A,0)),""))</f>
        <v>非開示（テナント同意なし）</v>
      </c>
    </row>
    <row r="161" customFormat="false" ht="15" hidden="false" customHeight="true" outlineLevel="0" collapsed="false">
      <c r="A161" s="17" t="str">
        <f aca="false">IF(物件マスタ!A161="","",物件マスタ!A161)</f>
        <v>NBF-33</v>
      </c>
      <c r="B161" s="17" t="str">
        <f aca="false">IF($A161="","",物件マスタ!B161)</f>
        <v>NBF</v>
      </c>
      <c r="C161" s="17" t="str">
        <f aca="false">IF($A161="","",IFERROR(INDEX(法人マスタ!$C:$C,MATCH($B161,法人マスタ!$A:$A,0)),""))</f>
        <v>日本ビルファンド投資法人</v>
      </c>
      <c r="D161" s="17" t="str">
        <f aca="false">IF($A161="","",物件マスタ!C161)</f>
        <v>ＮＢＦ大崎ビル</v>
      </c>
      <c r="E161" s="17" t="str">
        <f aca="false">IF($A161="","",物件マスタ!H161)</f>
        <v>その他東京23区</v>
      </c>
      <c r="F161" s="48" t="n">
        <f aca="false">IF($A161="","",物件マスタ!P161)</f>
        <v>0</v>
      </c>
      <c r="G161" s="34" t="str">
        <f aca="false">IF($A161="","",物件マスタ!Q161)</f>
        <v/>
      </c>
      <c r="H161" s="49" t="n">
        <f aca="false">IF($A161="","",物件マスタ!L161)</f>
        <v>0</v>
      </c>
      <c r="I161" s="49" t="n">
        <f aca="false">IF($A161="","",物件マスタ!M161)</f>
        <v>74425</v>
      </c>
      <c r="J161" s="43" t="n">
        <f aca="false">IF($A161="","",物件マスタ!S161)</f>
        <v>66660</v>
      </c>
      <c r="K161" s="43" t="n">
        <f aca="false">IF($A161="","",物件マスタ!U161)</f>
        <v>87400</v>
      </c>
      <c r="L161" s="50" t="n">
        <f aca="false">IF($A161="","",物件マスタ!W161)</f>
        <v>1</v>
      </c>
      <c r="M161" s="17" t="str">
        <f aca="false">IF($A161="","",IFERROR(INDEX(法人マスタ!$H:$H,MATCH($B161,法人マスタ!$A:$A,0)),""))</f>
        <v>2025年12月期（第49期）</v>
      </c>
      <c r="N161" s="51" t="n">
        <f aca="false">IF($A161="","",SUMIFS(物件収支!$D:$D,物件収支!$A:$A,$A161,物件収支!$C:$C,$M161))</f>
        <v>6</v>
      </c>
      <c r="O161" s="43" t="n">
        <f aca="false">IF($A161="","",SUMIFS(物件収支!$F:$F,物件収支!$A:$A,$A161,物件収支!$C:$C,$M161))</f>
        <v>0</v>
      </c>
      <c r="P161" s="43" t="n">
        <f aca="false">IF($A161="","",SUMIFS(物件収支!$I:$I,物件収支!$A:$A,$A161,物件収支!$C:$C,$M161))</f>
        <v>0</v>
      </c>
      <c r="Q161" s="43" t="n">
        <f aca="false">IF($A161="","",SUMIFS(物件収支!$O:$O,物件収支!$A:$A,$A161,物件収支!$C:$C,$M161))</f>
        <v>0</v>
      </c>
      <c r="R161" s="43" t="str">
        <f aca="false">IF($A161="","",IF(P161=0,"",O161-P161))</f>
        <v/>
      </c>
      <c r="S161" s="43" t="str">
        <f aca="false">IF($A161="","",IF(R161="","",R161+Q161))</f>
        <v/>
      </c>
      <c r="T161" s="43" t="str">
        <f aca="false">IF($A161="","",IF(OR(S161="",N161&lt;=0),"",S161/1000*12/N161))</f>
        <v/>
      </c>
      <c r="U161" s="52" t="str">
        <f aca="false">IF($A161="","",IF(OR(T161="",J161=0,J161=""),"",T161/J161))</f>
        <v/>
      </c>
      <c r="V161" s="52" t="str">
        <f aca="false">IF($A161="","",IF(OR(R161="",N161&lt;=0,J161=0,J161=""),"",(R161/1000*12/N161)/J161))</f>
        <v/>
      </c>
      <c r="W161" s="52" t="str">
        <f aca="false">IF($A161="","",IF(OR(T161="",K161=0,K161=""),"",T161/K161))</f>
        <v/>
      </c>
      <c r="X161" s="43" t="str">
        <f aca="false">IF($A161="","",IF(OR(N161&lt;=0,I161=0,I161="",O161=0),"",O161*1000/(I161*0.3025)/N161))</f>
        <v/>
      </c>
      <c r="Y161" s="50" t="str">
        <f aca="false">IF($A161="","",IF(OR(O161=0,O161="",P161=0),"",P161/O161))</f>
        <v/>
      </c>
      <c r="Z161" s="17" t="str">
        <f aca="false">IF($A161="","",IFERROR(INDEX(物件収支!$E:$E,MATCH($A161,物件収支!$A:$A,0)),""))</f>
        <v>非開示（テナント同意なし）</v>
      </c>
    </row>
    <row r="162" customFormat="false" ht="15" hidden="false" customHeight="true" outlineLevel="0" collapsed="false">
      <c r="A162" s="17" t="str">
        <f aca="false">IF(物件マスタ!A162="","",物件マスタ!A162)</f>
        <v>NBF-34</v>
      </c>
      <c r="B162" s="17" t="str">
        <f aca="false">IF($A162="","",物件マスタ!B162)</f>
        <v>NBF</v>
      </c>
      <c r="C162" s="17" t="str">
        <f aca="false">IF($A162="","",IFERROR(INDEX(法人マスタ!$C:$C,MATCH($B162,法人マスタ!$A:$A,0)),""))</f>
        <v>日本ビルファンド投資法人</v>
      </c>
      <c r="D162" s="17" t="str">
        <f aca="false">IF($A162="","",物件マスタ!C162)</f>
        <v>ゲートシティ大崎</v>
      </c>
      <c r="E162" s="17" t="str">
        <f aca="false">IF($A162="","",物件マスタ!H162)</f>
        <v>その他東京23区</v>
      </c>
      <c r="F162" s="48" t="n">
        <f aca="false">IF($A162="","",物件マスタ!P162)</f>
        <v>0</v>
      </c>
      <c r="G162" s="34" t="str">
        <f aca="false">IF($A162="","",物件マスタ!Q162)</f>
        <v/>
      </c>
      <c r="H162" s="49" t="n">
        <f aca="false">IF($A162="","",物件マスタ!L162)</f>
        <v>0</v>
      </c>
      <c r="I162" s="49" t="n">
        <f aca="false">IF($A162="","",物件マスタ!M162)</f>
        <v>41880</v>
      </c>
      <c r="J162" s="43" t="n">
        <f aca="false">IF($A162="","",物件マスタ!S162)</f>
        <v>57281.06</v>
      </c>
      <c r="K162" s="43" t="n">
        <f aca="false">IF($A162="","",物件マスタ!U162)</f>
        <v>72000</v>
      </c>
      <c r="L162" s="50" t="n">
        <f aca="false">IF($A162="","",物件マスタ!W162)</f>
        <v>0.996</v>
      </c>
      <c r="M162" s="17" t="str">
        <f aca="false">IF($A162="","",IFERROR(INDEX(法人マスタ!$H:$H,MATCH($B162,法人マスタ!$A:$A,0)),""))</f>
        <v>2025年12月期（第49期）</v>
      </c>
      <c r="N162" s="51" t="n">
        <f aca="false">IF($A162="","",SUMIFS(物件収支!$D:$D,物件収支!$A:$A,$A162,物件収支!$C:$C,$M162))</f>
        <v>6</v>
      </c>
      <c r="O162" s="43" t="n">
        <f aca="false">IF($A162="","",SUMIFS(物件収支!$F:$F,物件収支!$A:$A,$A162,物件収支!$C:$C,$M162))</f>
        <v>2084000</v>
      </c>
      <c r="P162" s="43" t="n">
        <f aca="false">IF($A162="","",SUMIFS(物件収支!$I:$I,物件収支!$A:$A,$A162,物件収支!$C:$C,$M162))</f>
        <v>0</v>
      </c>
      <c r="Q162" s="43" t="n">
        <f aca="false">IF($A162="","",SUMIFS(物件収支!$O:$O,物件収支!$A:$A,$A162,物件収支!$C:$C,$M162))</f>
        <v>0</v>
      </c>
      <c r="R162" s="43" t="str">
        <f aca="false">IF($A162="","",IF(P162=0,"",O162-P162))</f>
        <v/>
      </c>
      <c r="S162" s="43" t="str">
        <f aca="false">IF($A162="","",IF(R162="","",R162+Q162))</f>
        <v/>
      </c>
      <c r="T162" s="43" t="str">
        <f aca="false">IF($A162="","",IF(OR(S162="",N162&lt;=0),"",S162/1000*12/N162))</f>
        <v/>
      </c>
      <c r="U162" s="52" t="str">
        <f aca="false">IF($A162="","",IF(OR(T162="",J162=0,J162=""),"",T162/J162))</f>
        <v/>
      </c>
      <c r="V162" s="52" t="str">
        <f aca="false">IF($A162="","",IF(OR(R162="",N162&lt;=0,J162=0,J162=""),"",(R162/1000*12/N162)/J162))</f>
        <v/>
      </c>
      <c r="W162" s="52" t="str">
        <f aca="false">IF($A162="","",IF(OR(T162="",K162=0,K162=""),"",T162/K162))</f>
        <v/>
      </c>
      <c r="X162" s="43" t="n">
        <f aca="false">IF($A162="","",IF(OR(N162&lt;=0,I162=0,I162="",O162=0),"",O162*1000/(I162*0.3025)/N162))</f>
        <v>27416.6515375163</v>
      </c>
      <c r="Y162" s="50" t="str">
        <f aca="false">IF($A162="","",IF(OR(O162=0,O162="",P162=0),"",P162/O162))</f>
        <v/>
      </c>
      <c r="Z162" s="17" t="str">
        <f aca="false">IF($A162="","",IFERROR(INDEX(物件収支!$E:$E,MATCH($A162,物件収支!$A:$A,0)),""))</f>
        <v>開示（物件別・収益のみ、百万円単位）</v>
      </c>
    </row>
    <row r="163" customFormat="false" ht="15" hidden="false" customHeight="true" outlineLevel="0" collapsed="false">
      <c r="A163" s="17" t="str">
        <f aca="false">IF(物件マスタ!A163="","",物件マスタ!A163)</f>
        <v>NBF-35</v>
      </c>
      <c r="B163" s="17" t="str">
        <f aca="false">IF($A163="","",物件マスタ!B163)</f>
        <v>NBF</v>
      </c>
      <c r="C163" s="17" t="str">
        <f aca="false">IF($A163="","",IFERROR(INDEX(法人マスタ!$C:$C,MATCH($B163,法人マスタ!$A:$A,0)),""))</f>
        <v>日本ビルファンド投資法人</v>
      </c>
      <c r="D163" s="17" t="str">
        <f aca="false">IF($A163="","",物件マスタ!C163)</f>
        <v>ＮＢＦ豊洲キャナルフロント</v>
      </c>
      <c r="E163" s="17" t="str">
        <f aca="false">IF($A163="","",物件マスタ!H163)</f>
        <v>その他東京23区</v>
      </c>
      <c r="F163" s="48" t="n">
        <f aca="false">IF($A163="","",物件マスタ!P163)</f>
        <v>0</v>
      </c>
      <c r="G163" s="34" t="str">
        <f aca="false">IF($A163="","",物件マスタ!Q163)</f>
        <v/>
      </c>
      <c r="H163" s="49" t="n">
        <f aca="false">IF($A163="","",物件マスタ!L163)</f>
        <v>0</v>
      </c>
      <c r="I163" s="49" t="n">
        <f aca="false">IF($A163="","",物件マスタ!M163)</f>
        <v>36639</v>
      </c>
      <c r="J163" s="43" t="n">
        <f aca="false">IF($A163="","",物件マスタ!S163)</f>
        <v>35200</v>
      </c>
      <c r="K163" s="43" t="n">
        <f aca="false">IF($A163="","",物件マスタ!U163)</f>
        <v>38500</v>
      </c>
      <c r="L163" s="50" t="n">
        <f aca="false">IF($A163="","",物件マスタ!W163)</f>
        <v>1</v>
      </c>
      <c r="M163" s="17" t="str">
        <f aca="false">IF($A163="","",IFERROR(INDEX(法人マスタ!$H:$H,MATCH($B163,法人マスタ!$A:$A,0)),""))</f>
        <v>2025年12月期（第49期）</v>
      </c>
      <c r="N163" s="51" t="n">
        <f aca="false">IF($A163="","",SUMIFS(物件収支!$D:$D,物件収支!$A:$A,$A163,物件収支!$C:$C,$M163))</f>
        <v>6</v>
      </c>
      <c r="O163" s="43" t="n">
        <f aca="false">IF($A163="","",SUMIFS(物件収支!$F:$F,物件収支!$A:$A,$A163,物件収支!$C:$C,$M163))</f>
        <v>1062000</v>
      </c>
      <c r="P163" s="43" t="n">
        <f aca="false">IF($A163="","",SUMIFS(物件収支!$I:$I,物件収支!$A:$A,$A163,物件収支!$C:$C,$M163))</f>
        <v>0</v>
      </c>
      <c r="Q163" s="43" t="n">
        <f aca="false">IF($A163="","",SUMIFS(物件収支!$O:$O,物件収支!$A:$A,$A163,物件収支!$C:$C,$M163))</f>
        <v>0</v>
      </c>
      <c r="R163" s="43" t="str">
        <f aca="false">IF($A163="","",IF(P163=0,"",O163-P163))</f>
        <v/>
      </c>
      <c r="S163" s="43" t="str">
        <f aca="false">IF($A163="","",IF(R163="","",R163+Q163))</f>
        <v/>
      </c>
      <c r="T163" s="43" t="str">
        <f aca="false">IF($A163="","",IF(OR(S163="",N163&lt;=0),"",S163/1000*12/N163))</f>
        <v/>
      </c>
      <c r="U163" s="52" t="str">
        <f aca="false">IF($A163="","",IF(OR(T163="",J163=0,J163=""),"",T163/J163))</f>
        <v/>
      </c>
      <c r="V163" s="52" t="str">
        <f aca="false">IF($A163="","",IF(OR(R163="",N163&lt;=0,J163=0,J163=""),"",(R163/1000*12/N163)/J163))</f>
        <v/>
      </c>
      <c r="W163" s="52" t="str">
        <f aca="false">IF($A163="","",IF(OR(T163="",K163=0,K163=""),"",T163/K163))</f>
        <v/>
      </c>
      <c r="X163" s="43" t="n">
        <f aca="false">IF($A163="","",IF(OR(N163&lt;=0,I163=0,I163="",O163=0),"",O163*1000/(I163*0.3025)/N163))</f>
        <v>15969.9764442847</v>
      </c>
      <c r="Y163" s="50" t="str">
        <f aca="false">IF($A163="","",IF(OR(O163=0,O163="",P163=0),"",P163/O163))</f>
        <v/>
      </c>
      <c r="Z163" s="17" t="str">
        <f aca="false">IF($A163="","",IFERROR(INDEX(物件収支!$E:$E,MATCH($A163,物件収支!$A:$A,0)),""))</f>
        <v>開示（物件別・収益のみ、百万円単位）</v>
      </c>
    </row>
    <row r="164" customFormat="false" ht="15" hidden="false" customHeight="true" outlineLevel="0" collapsed="false">
      <c r="A164" s="17" t="str">
        <f aca="false">IF(物件マスタ!A164="","",物件マスタ!A164)</f>
        <v>NBF-36</v>
      </c>
      <c r="B164" s="17" t="str">
        <f aca="false">IF($A164="","",物件マスタ!B164)</f>
        <v>NBF</v>
      </c>
      <c r="C164" s="17" t="str">
        <f aca="false">IF($A164="","",IFERROR(INDEX(法人マスタ!$C:$C,MATCH($B164,法人マスタ!$A:$A,0)),""))</f>
        <v>日本ビルファンド投資法人</v>
      </c>
      <c r="D164" s="17" t="str">
        <f aca="false">IF($A164="","",物件マスタ!C164)</f>
        <v>上野イーストタワー</v>
      </c>
      <c r="E164" s="17" t="str">
        <f aca="false">IF($A164="","",物件マスタ!H164)</f>
        <v>その他東京23区</v>
      </c>
      <c r="F164" s="48" t="n">
        <f aca="false">IF($A164="","",物件マスタ!P164)</f>
        <v>0</v>
      </c>
      <c r="G164" s="34" t="str">
        <f aca="false">IF($A164="","",物件マスタ!Q164)</f>
        <v/>
      </c>
      <c r="H164" s="49" t="n">
        <f aca="false">IF($A164="","",物件マスタ!L164)</f>
        <v>0</v>
      </c>
      <c r="I164" s="49" t="n">
        <f aca="false">IF($A164="","",物件マスタ!M164)</f>
        <v>28711</v>
      </c>
      <c r="J164" s="43" t="n">
        <f aca="false">IF($A164="","",物件マスタ!S164)</f>
        <v>35000</v>
      </c>
      <c r="K164" s="43" t="n">
        <f aca="false">IF($A164="","",物件マスタ!U164)</f>
        <v>42300</v>
      </c>
      <c r="L164" s="50" t="n">
        <f aca="false">IF($A164="","",物件マスタ!W164)</f>
        <v>1</v>
      </c>
      <c r="M164" s="17" t="str">
        <f aca="false">IF($A164="","",IFERROR(INDEX(法人マスタ!$H:$H,MATCH($B164,法人マスタ!$A:$A,0)),""))</f>
        <v>2025年12月期（第49期）</v>
      </c>
      <c r="N164" s="51" t="n">
        <f aca="false">IF($A164="","",SUMIFS(物件収支!$D:$D,物件収支!$A:$A,$A164,物件収支!$C:$C,$M164))</f>
        <v>6</v>
      </c>
      <c r="O164" s="43" t="n">
        <f aca="false">IF($A164="","",SUMIFS(物件収支!$F:$F,物件収支!$A:$A,$A164,物件収支!$C:$C,$M164))</f>
        <v>0</v>
      </c>
      <c r="P164" s="43" t="n">
        <f aca="false">IF($A164="","",SUMIFS(物件収支!$I:$I,物件収支!$A:$A,$A164,物件収支!$C:$C,$M164))</f>
        <v>0</v>
      </c>
      <c r="Q164" s="43" t="n">
        <f aca="false">IF($A164="","",SUMIFS(物件収支!$O:$O,物件収支!$A:$A,$A164,物件収支!$C:$C,$M164))</f>
        <v>0</v>
      </c>
      <c r="R164" s="43" t="str">
        <f aca="false">IF($A164="","",IF(P164=0,"",O164-P164))</f>
        <v/>
      </c>
      <c r="S164" s="43" t="str">
        <f aca="false">IF($A164="","",IF(R164="","",R164+Q164))</f>
        <v/>
      </c>
      <c r="T164" s="43" t="str">
        <f aca="false">IF($A164="","",IF(OR(S164="",N164&lt;=0),"",S164/1000*12/N164))</f>
        <v/>
      </c>
      <c r="U164" s="52" t="str">
        <f aca="false">IF($A164="","",IF(OR(T164="",J164=0,J164=""),"",T164/J164))</f>
        <v/>
      </c>
      <c r="V164" s="52" t="str">
        <f aca="false">IF($A164="","",IF(OR(R164="",N164&lt;=0,J164=0,J164=""),"",(R164/1000*12/N164)/J164))</f>
        <v/>
      </c>
      <c r="W164" s="52" t="str">
        <f aca="false">IF($A164="","",IF(OR(T164="",K164=0,K164=""),"",T164/K164))</f>
        <v/>
      </c>
      <c r="X164" s="43" t="str">
        <f aca="false">IF($A164="","",IF(OR(N164&lt;=0,I164=0,I164="",O164=0),"",O164*1000/(I164*0.3025)/N164))</f>
        <v/>
      </c>
      <c r="Y164" s="50" t="str">
        <f aca="false">IF($A164="","",IF(OR(O164=0,O164="",P164=0),"",P164/O164))</f>
        <v/>
      </c>
      <c r="Z164" s="17" t="str">
        <f aca="false">IF($A164="","",IFERROR(INDEX(物件収支!$E:$E,MATCH($A164,物件収支!$A:$A,0)),""))</f>
        <v>非開示（テナント同意なし）</v>
      </c>
    </row>
    <row r="165" customFormat="false" ht="15" hidden="false" customHeight="true" outlineLevel="0" collapsed="false">
      <c r="A165" s="17" t="str">
        <f aca="false">IF(物件マスタ!A165="","",物件マスタ!A165)</f>
        <v>NBF-37</v>
      </c>
      <c r="B165" s="17" t="str">
        <f aca="false">IF($A165="","",物件マスタ!B165)</f>
        <v>NBF</v>
      </c>
      <c r="C165" s="17" t="str">
        <f aca="false">IF($A165="","",IFERROR(INDEX(法人マスタ!$C:$C,MATCH($B165,法人マスタ!$A:$A,0)),""))</f>
        <v>日本ビルファンド投資法人</v>
      </c>
      <c r="D165" s="17" t="str">
        <f aca="false">IF($A165="","",物件マスタ!C165)</f>
        <v>ＮＢＦ豊洲ガーデンフロント</v>
      </c>
      <c r="E165" s="17" t="str">
        <f aca="false">IF($A165="","",物件マスタ!H165)</f>
        <v>その他東京23区</v>
      </c>
      <c r="F165" s="48" t="n">
        <f aca="false">IF($A165="","",物件マスタ!P165)</f>
        <v>0</v>
      </c>
      <c r="G165" s="34" t="str">
        <f aca="false">IF($A165="","",物件マスタ!Q165)</f>
        <v/>
      </c>
      <c r="H165" s="49" t="n">
        <f aca="false">IF($A165="","",物件マスタ!L165)</f>
        <v>0</v>
      </c>
      <c r="I165" s="49" t="n">
        <f aca="false">IF($A165="","",物件マスタ!M165)</f>
        <v>28299</v>
      </c>
      <c r="J165" s="43" t="n">
        <f aca="false">IF($A165="","",物件マスタ!S165)</f>
        <v>25018</v>
      </c>
      <c r="K165" s="43" t="n">
        <f aca="false">IF($A165="","",物件マスタ!U165)</f>
        <v>30100</v>
      </c>
      <c r="L165" s="50" t="n">
        <f aca="false">IF($A165="","",物件マスタ!W165)</f>
        <v>1</v>
      </c>
      <c r="M165" s="17" t="str">
        <f aca="false">IF($A165="","",IFERROR(INDEX(法人マスタ!$H:$H,MATCH($B165,法人マスタ!$A:$A,0)),""))</f>
        <v>2025年12月期（第49期）</v>
      </c>
      <c r="N165" s="51" t="n">
        <f aca="false">IF($A165="","",SUMIFS(物件収支!$D:$D,物件収支!$A:$A,$A165,物件収支!$C:$C,$M165))</f>
        <v>6</v>
      </c>
      <c r="O165" s="43" t="n">
        <f aca="false">IF($A165="","",SUMIFS(物件収支!$F:$F,物件収支!$A:$A,$A165,物件収支!$C:$C,$M165))</f>
        <v>834000</v>
      </c>
      <c r="P165" s="43" t="n">
        <f aca="false">IF($A165="","",SUMIFS(物件収支!$I:$I,物件収支!$A:$A,$A165,物件収支!$C:$C,$M165))</f>
        <v>0</v>
      </c>
      <c r="Q165" s="43" t="n">
        <f aca="false">IF($A165="","",SUMIFS(物件収支!$O:$O,物件収支!$A:$A,$A165,物件収支!$C:$C,$M165))</f>
        <v>0</v>
      </c>
      <c r="R165" s="43" t="str">
        <f aca="false">IF($A165="","",IF(P165=0,"",O165-P165))</f>
        <v/>
      </c>
      <c r="S165" s="43" t="str">
        <f aca="false">IF($A165="","",IF(R165="","",R165+Q165))</f>
        <v/>
      </c>
      <c r="T165" s="43" t="str">
        <f aca="false">IF($A165="","",IF(OR(S165="",N165&lt;=0),"",S165/1000*12/N165))</f>
        <v/>
      </c>
      <c r="U165" s="52" t="str">
        <f aca="false">IF($A165="","",IF(OR(T165="",J165=0,J165=""),"",T165/J165))</f>
        <v/>
      </c>
      <c r="V165" s="52" t="str">
        <f aca="false">IF($A165="","",IF(OR(R165="",N165&lt;=0,J165=0,J165=""),"",(R165/1000*12/N165)/J165))</f>
        <v/>
      </c>
      <c r="W165" s="52" t="str">
        <f aca="false">IF($A165="","",IF(OR(T165="",K165=0,K165=""),"",T165/K165))</f>
        <v/>
      </c>
      <c r="X165" s="43" t="n">
        <f aca="false">IF($A165="","",IF(OR(N165&lt;=0,I165=0,I165="",O165=0),"",O165*1000/(I165*0.3025)/N165))</f>
        <v>16237.4688940035</v>
      </c>
      <c r="Y165" s="50" t="str">
        <f aca="false">IF($A165="","",IF(OR(O165=0,O165="",P165=0),"",P165/O165))</f>
        <v/>
      </c>
      <c r="Z165" s="17" t="str">
        <f aca="false">IF($A165="","",IFERROR(INDEX(物件収支!$E:$E,MATCH($A165,物件収支!$A:$A,0)),""))</f>
        <v>開示（物件別・収益のみ、百万円単位）</v>
      </c>
    </row>
    <row r="166" customFormat="false" ht="15" hidden="false" customHeight="true" outlineLevel="0" collapsed="false">
      <c r="A166" s="17" t="str">
        <f aca="false">IF(物件マスタ!A166="","",物件マスタ!A166)</f>
        <v>NBF-38</v>
      </c>
      <c r="B166" s="17" t="str">
        <f aca="false">IF($A166="","",物件マスタ!B166)</f>
        <v>NBF</v>
      </c>
      <c r="C166" s="17" t="str">
        <f aca="false">IF($A166="","",IFERROR(INDEX(法人マスタ!$C:$C,MATCH($B166,法人マスタ!$A:$A,0)),""))</f>
        <v>日本ビルファンド投資法人</v>
      </c>
      <c r="D166" s="17" t="str">
        <f aca="false">IF($A166="","",物件マスタ!C166)</f>
        <v>大崎ブライトコア・ブライトプラザ</v>
      </c>
      <c r="E166" s="17" t="str">
        <f aca="false">IF($A166="","",物件マスタ!H166)</f>
        <v>その他東京23区</v>
      </c>
      <c r="F166" s="48" t="n">
        <f aca="false">IF($A166="","",物件マスタ!P166)</f>
        <v>0</v>
      </c>
      <c r="G166" s="34" t="str">
        <f aca="false">IF($A166="","",物件マスタ!Q166)</f>
        <v/>
      </c>
      <c r="H166" s="49" t="n">
        <f aca="false">IF($A166="","",物件マスタ!L166)</f>
        <v>0</v>
      </c>
      <c r="I166" s="49" t="n">
        <f aca="false">IF($A166="","",物件マスタ!M166)</f>
        <v>14179</v>
      </c>
      <c r="J166" s="43" t="n">
        <f aca="false">IF($A166="","",物件マスタ!S166)</f>
        <v>24380</v>
      </c>
      <c r="K166" s="43" t="n">
        <f aca="false">IF($A166="","",物件マスタ!U166)</f>
        <v>25600</v>
      </c>
      <c r="L166" s="50" t="n">
        <f aca="false">IF($A166="","",物件マスタ!W166)</f>
        <v>0.994</v>
      </c>
      <c r="M166" s="17" t="str">
        <f aca="false">IF($A166="","",IFERROR(INDEX(法人マスタ!$H:$H,MATCH($B166,法人マスタ!$A:$A,0)),""))</f>
        <v>2025年12月期（第49期）</v>
      </c>
      <c r="N166" s="51" t="n">
        <f aca="false">IF($A166="","",SUMIFS(物件収支!$D:$D,物件収支!$A:$A,$A166,物件収支!$C:$C,$M166))</f>
        <v>6</v>
      </c>
      <c r="O166" s="43" t="n">
        <f aca="false">IF($A166="","",SUMIFS(物件収支!$F:$F,物件収支!$A:$A,$A166,物件収支!$C:$C,$M166))</f>
        <v>670000</v>
      </c>
      <c r="P166" s="43" t="n">
        <f aca="false">IF($A166="","",SUMIFS(物件収支!$I:$I,物件収支!$A:$A,$A166,物件収支!$C:$C,$M166))</f>
        <v>0</v>
      </c>
      <c r="Q166" s="43" t="n">
        <f aca="false">IF($A166="","",SUMIFS(物件収支!$O:$O,物件収支!$A:$A,$A166,物件収支!$C:$C,$M166))</f>
        <v>0</v>
      </c>
      <c r="R166" s="43" t="str">
        <f aca="false">IF($A166="","",IF(P166=0,"",O166-P166))</f>
        <v/>
      </c>
      <c r="S166" s="43" t="str">
        <f aca="false">IF($A166="","",IF(R166="","",R166+Q166))</f>
        <v/>
      </c>
      <c r="T166" s="43" t="str">
        <f aca="false">IF($A166="","",IF(OR(S166="",N166&lt;=0),"",S166/1000*12/N166))</f>
        <v/>
      </c>
      <c r="U166" s="52" t="str">
        <f aca="false">IF($A166="","",IF(OR(T166="",J166=0,J166=""),"",T166/J166))</f>
        <v/>
      </c>
      <c r="V166" s="52" t="str">
        <f aca="false">IF($A166="","",IF(OR(R166="",N166&lt;=0,J166=0,J166=""),"",(R166/1000*12/N166)/J166))</f>
        <v/>
      </c>
      <c r="W166" s="52" t="str">
        <f aca="false">IF($A166="","",IF(OR(T166="",K166=0,K166=""),"",T166/K166))</f>
        <v/>
      </c>
      <c r="X166" s="43" t="n">
        <f aca="false">IF($A166="","",IF(OR(N166&lt;=0,I166=0,I166="",O166=0),"",O166*1000/(I166*0.3025)/N166))</f>
        <v>26034.6995916244</v>
      </c>
      <c r="Y166" s="50" t="str">
        <f aca="false">IF($A166="","",IF(OR(O166=0,O166="",P166=0),"",P166/O166))</f>
        <v/>
      </c>
      <c r="Z166" s="17" t="str">
        <f aca="false">IF($A166="","",IFERROR(INDEX(物件収支!$E:$E,MATCH($A166,物件収支!$A:$A,0)),""))</f>
        <v>開示（物件別・収益のみ、百万円単位）</v>
      </c>
    </row>
    <row r="167" customFormat="false" ht="15" hidden="false" customHeight="true" outlineLevel="0" collapsed="false">
      <c r="A167" s="17" t="str">
        <f aca="false">IF(物件マスタ!A167="","",物件マスタ!A167)</f>
        <v>NBF-39</v>
      </c>
      <c r="B167" s="17" t="str">
        <f aca="false">IF($A167="","",物件マスタ!B167)</f>
        <v>NBF</v>
      </c>
      <c r="C167" s="17" t="str">
        <f aca="false">IF($A167="","",IFERROR(INDEX(法人マスタ!$C:$C,MATCH($B167,法人マスタ!$A:$A,0)),""))</f>
        <v>日本ビルファンド投資法人</v>
      </c>
      <c r="D167" s="17" t="str">
        <f aca="false">IF($A167="","",物件マスタ!C167)</f>
        <v>中目黒ＧＴタワー</v>
      </c>
      <c r="E167" s="17" t="str">
        <f aca="false">IF($A167="","",物件マスタ!H167)</f>
        <v>その他東京23区</v>
      </c>
      <c r="F167" s="48" t="n">
        <f aca="false">IF($A167="","",物件マスタ!P167)</f>
        <v>0</v>
      </c>
      <c r="G167" s="34" t="str">
        <f aca="false">IF($A167="","",物件マスタ!Q167)</f>
        <v/>
      </c>
      <c r="H167" s="49" t="n">
        <f aca="false">IF($A167="","",物件マスタ!L167)</f>
        <v>0</v>
      </c>
      <c r="I167" s="49" t="n">
        <f aca="false">IF($A167="","",物件マスタ!M167)</f>
        <v>21438</v>
      </c>
      <c r="J167" s="43" t="n">
        <f aca="false">IF($A167="","",物件マスタ!S167)</f>
        <v>23856</v>
      </c>
      <c r="K167" s="43" t="n">
        <f aca="false">IF($A167="","",物件マスタ!U167)</f>
        <v>21000</v>
      </c>
      <c r="L167" s="50" t="n">
        <f aca="false">IF($A167="","",物件マスタ!W167)</f>
        <v>1</v>
      </c>
      <c r="M167" s="17" t="str">
        <f aca="false">IF($A167="","",IFERROR(INDEX(法人マスタ!$H:$H,MATCH($B167,法人マスタ!$A:$A,0)),""))</f>
        <v>2025年12月期（第49期）</v>
      </c>
      <c r="N167" s="51" t="n">
        <f aca="false">IF($A167="","",SUMIFS(物件収支!$D:$D,物件収支!$A:$A,$A167,物件収支!$C:$C,$M167))</f>
        <v>6</v>
      </c>
      <c r="O167" s="43" t="n">
        <f aca="false">IF($A167="","",SUMIFS(物件収支!$F:$F,物件収支!$A:$A,$A167,物件収支!$C:$C,$M167))</f>
        <v>940000</v>
      </c>
      <c r="P167" s="43" t="n">
        <f aca="false">IF($A167="","",SUMIFS(物件収支!$I:$I,物件収支!$A:$A,$A167,物件収支!$C:$C,$M167))</f>
        <v>0</v>
      </c>
      <c r="Q167" s="43" t="n">
        <f aca="false">IF($A167="","",SUMIFS(物件収支!$O:$O,物件収支!$A:$A,$A167,物件収支!$C:$C,$M167))</f>
        <v>0</v>
      </c>
      <c r="R167" s="43" t="str">
        <f aca="false">IF($A167="","",IF(P167=0,"",O167-P167))</f>
        <v/>
      </c>
      <c r="S167" s="43" t="str">
        <f aca="false">IF($A167="","",IF(R167="","",R167+Q167))</f>
        <v/>
      </c>
      <c r="T167" s="43" t="str">
        <f aca="false">IF($A167="","",IF(OR(S167="",N167&lt;=0),"",S167/1000*12/N167))</f>
        <v/>
      </c>
      <c r="U167" s="52" t="str">
        <f aca="false">IF($A167="","",IF(OR(T167="",J167=0,J167=""),"",T167/J167))</f>
        <v/>
      </c>
      <c r="V167" s="52" t="str">
        <f aca="false">IF($A167="","",IF(OR(R167="",N167&lt;=0,J167=0,J167=""),"",(R167/1000*12/N167)/J167))</f>
        <v/>
      </c>
      <c r="W167" s="52" t="str">
        <f aca="false">IF($A167="","",IF(OR(T167="",K167=0,K167=""),"",T167/K167))</f>
        <v/>
      </c>
      <c r="X167" s="43" t="n">
        <f aca="false">IF($A167="","",IF(OR(N167&lt;=0,I167=0,I167="",O167=0),"",O167*1000/(I167*0.3025)/N167))</f>
        <v>24158.3326843994</v>
      </c>
      <c r="Y167" s="50" t="str">
        <f aca="false">IF($A167="","",IF(OR(O167=0,O167="",P167=0),"",P167/O167))</f>
        <v/>
      </c>
      <c r="Z167" s="17" t="str">
        <f aca="false">IF($A167="","",IFERROR(INDEX(物件収支!$E:$E,MATCH($A167,物件収支!$A:$A,0)),""))</f>
        <v>開示（物件別・収益のみ、百万円単位）</v>
      </c>
    </row>
    <row r="168" customFormat="false" ht="15" hidden="false" customHeight="true" outlineLevel="0" collapsed="false">
      <c r="A168" s="17" t="str">
        <f aca="false">IF(物件マスタ!A168="","",物件マスタ!A168)</f>
        <v>NBF-40</v>
      </c>
      <c r="B168" s="17" t="str">
        <f aca="false">IF($A168="","",物件マスタ!B168)</f>
        <v>NBF</v>
      </c>
      <c r="C168" s="17" t="str">
        <f aca="false">IF($A168="","",IFERROR(INDEX(法人マスタ!$C:$C,MATCH($B168,法人マスタ!$A:$A,0)),""))</f>
        <v>日本ビルファンド投資法人</v>
      </c>
      <c r="D168" s="17" t="str">
        <f aca="false">IF($A168="","",物件マスタ!C168)</f>
        <v>大崎ブライトタワー</v>
      </c>
      <c r="E168" s="17" t="str">
        <f aca="false">IF($A168="","",物件マスタ!H168)</f>
        <v>その他東京23区</v>
      </c>
      <c r="F168" s="48" t="n">
        <f aca="false">IF($A168="","",物件マスタ!P168)</f>
        <v>0</v>
      </c>
      <c r="G168" s="34" t="str">
        <f aca="false">IF($A168="","",物件マスタ!Q168)</f>
        <v/>
      </c>
      <c r="H168" s="49" t="n">
        <f aca="false">IF($A168="","",物件マスタ!L168)</f>
        <v>0</v>
      </c>
      <c r="I168" s="49" t="n">
        <f aca="false">IF($A168="","",物件マスタ!M168)</f>
        <v>6079</v>
      </c>
      <c r="J168" s="43" t="n">
        <f aca="false">IF($A168="","",物件マスタ!S168)</f>
        <v>13970</v>
      </c>
      <c r="K168" s="43" t="n">
        <f aca="false">IF($A168="","",物件マスタ!U168)</f>
        <v>14700</v>
      </c>
      <c r="L168" s="50" t="n">
        <f aca="false">IF($A168="","",物件マスタ!W168)</f>
        <v>0.998</v>
      </c>
      <c r="M168" s="17" t="str">
        <f aca="false">IF($A168="","",IFERROR(INDEX(法人マスタ!$H:$H,MATCH($B168,法人マスタ!$A:$A,0)),""))</f>
        <v>2025年12月期（第49期）</v>
      </c>
      <c r="N168" s="51" t="n">
        <f aca="false">IF($A168="","",SUMIFS(物件収支!$D:$D,物件収支!$A:$A,$A168,物件収支!$C:$C,$M168))</f>
        <v>6</v>
      </c>
      <c r="O168" s="43" t="n">
        <f aca="false">IF($A168="","",SUMIFS(物件収支!$F:$F,物件収支!$A:$A,$A168,物件収支!$C:$C,$M168))</f>
        <v>0</v>
      </c>
      <c r="P168" s="43" t="n">
        <f aca="false">IF($A168="","",SUMIFS(物件収支!$I:$I,物件収支!$A:$A,$A168,物件収支!$C:$C,$M168))</f>
        <v>0</v>
      </c>
      <c r="Q168" s="43" t="n">
        <f aca="false">IF($A168="","",SUMIFS(物件収支!$O:$O,物件収支!$A:$A,$A168,物件収支!$C:$C,$M168))</f>
        <v>0</v>
      </c>
      <c r="R168" s="43" t="str">
        <f aca="false">IF($A168="","",IF(P168=0,"",O168-P168))</f>
        <v/>
      </c>
      <c r="S168" s="43" t="str">
        <f aca="false">IF($A168="","",IF(R168="","",R168+Q168))</f>
        <v/>
      </c>
      <c r="T168" s="43" t="str">
        <f aca="false">IF($A168="","",IF(OR(S168="",N168&lt;=0),"",S168/1000*12/N168))</f>
        <v/>
      </c>
      <c r="U168" s="52" t="str">
        <f aca="false">IF($A168="","",IF(OR(T168="",J168=0,J168=""),"",T168/J168))</f>
        <v/>
      </c>
      <c r="V168" s="52" t="str">
        <f aca="false">IF($A168="","",IF(OR(R168="",N168&lt;=0,J168=0,J168=""),"",(R168/1000*12/N168)/J168))</f>
        <v/>
      </c>
      <c r="W168" s="52" t="str">
        <f aca="false">IF($A168="","",IF(OR(T168="",K168=0,K168=""),"",T168/K168))</f>
        <v/>
      </c>
      <c r="X168" s="43" t="str">
        <f aca="false">IF($A168="","",IF(OR(N168&lt;=0,I168=0,I168="",O168=0),"",O168*1000/(I168*0.3025)/N168))</f>
        <v/>
      </c>
      <c r="Y168" s="50" t="str">
        <f aca="false">IF($A168="","",IF(OR(O168=0,O168="",P168=0),"",P168/O168))</f>
        <v/>
      </c>
      <c r="Z168" s="17" t="str">
        <f aca="false">IF($A168="","",IFERROR(INDEX(物件収支!$E:$E,MATCH($A168,物件収支!$A:$A,0)),""))</f>
        <v>非開示（テナント同意なし）</v>
      </c>
    </row>
    <row r="169" customFormat="false" ht="15" hidden="false" customHeight="true" outlineLevel="0" collapsed="false">
      <c r="A169" s="17" t="str">
        <f aca="false">IF(物件マスタ!A169="","",物件マスタ!A169)</f>
        <v>NBF-41</v>
      </c>
      <c r="B169" s="17" t="str">
        <f aca="false">IF($A169="","",物件マスタ!B169)</f>
        <v>NBF</v>
      </c>
      <c r="C169" s="17" t="str">
        <f aca="false">IF($A169="","",IFERROR(INDEX(法人マスタ!$C:$C,MATCH($B169,法人マスタ!$A:$A,0)),""))</f>
        <v>日本ビルファンド投資法人</v>
      </c>
      <c r="D169" s="17" t="str">
        <f aca="false">IF($A169="","",物件マスタ!C169)</f>
        <v>ＮＢＦ池袋イースト</v>
      </c>
      <c r="E169" s="17" t="str">
        <f aca="false">IF($A169="","",物件マスタ!H169)</f>
        <v>その他東京23区</v>
      </c>
      <c r="F169" s="48" t="n">
        <f aca="false">IF($A169="","",物件マスタ!P169)</f>
        <v>0</v>
      </c>
      <c r="G169" s="34" t="str">
        <f aca="false">IF($A169="","",物件マスタ!Q169)</f>
        <v/>
      </c>
      <c r="H169" s="49" t="n">
        <f aca="false">IF($A169="","",物件マスタ!L169)</f>
        <v>0</v>
      </c>
      <c r="I169" s="49" t="n">
        <f aca="false">IF($A169="","",物件マスタ!M169)</f>
        <v>11073</v>
      </c>
      <c r="J169" s="43" t="n">
        <f aca="false">IF($A169="","",物件マスタ!S169)</f>
        <v>8630</v>
      </c>
      <c r="K169" s="43" t="n">
        <f aca="false">IF($A169="","",物件マスタ!U169)</f>
        <v>14300</v>
      </c>
      <c r="L169" s="50" t="n">
        <f aca="false">IF($A169="","",物件マスタ!W169)</f>
        <v>0.979</v>
      </c>
      <c r="M169" s="17" t="str">
        <f aca="false">IF($A169="","",IFERROR(INDEX(法人マスタ!$H:$H,MATCH($B169,法人マスタ!$A:$A,0)),""))</f>
        <v>2025年12月期（第49期）</v>
      </c>
      <c r="N169" s="51" t="n">
        <f aca="false">IF($A169="","",SUMIFS(物件収支!$D:$D,物件収支!$A:$A,$A169,物件収支!$C:$C,$M169))</f>
        <v>6</v>
      </c>
      <c r="O169" s="43" t="n">
        <f aca="false">IF($A169="","",SUMIFS(物件収支!$F:$F,物件収支!$A:$A,$A169,物件収支!$C:$C,$M169))</f>
        <v>447000</v>
      </c>
      <c r="P169" s="43" t="n">
        <f aca="false">IF($A169="","",SUMIFS(物件収支!$I:$I,物件収支!$A:$A,$A169,物件収支!$C:$C,$M169))</f>
        <v>0</v>
      </c>
      <c r="Q169" s="43" t="n">
        <f aca="false">IF($A169="","",SUMIFS(物件収支!$O:$O,物件収支!$A:$A,$A169,物件収支!$C:$C,$M169))</f>
        <v>0</v>
      </c>
      <c r="R169" s="43" t="str">
        <f aca="false">IF($A169="","",IF(P169=0,"",O169-P169))</f>
        <v/>
      </c>
      <c r="S169" s="43" t="str">
        <f aca="false">IF($A169="","",IF(R169="","",R169+Q169))</f>
        <v/>
      </c>
      <c r="T169" s="43" t="str">
        <f aca="false">IF($A169="","",IF(OR(S169="",N169&lt;=0),"",S169/1000*12/N169))</f>
        <v/>
      </c>
      <c r="U169" s="52" t="str">
        <f aca="false">IF($A169="","",IF(OR(T169="",J169=0,J169=""),"",T169/J169))</f>
        <v/>
      </c>
      <c r="V169" s="52" t="str">
        <f aca="false">IF($A169="","",IF(OR(R169="",N169&lt;=0,J169=0,J169=""),"",(R169/1000*12/N169)/J169))</f>
        <v/>
      </c>
      <c r="W169" s="52" t="str">
        <f aca="false">IF($A169="","",IF(OR(T169="",K169=0,K169=""),"",T169/K169))</f>
        <v/>
      </c>
      <c r="X169" s="43" t="n">
        <f aca="false">IF($A169="","",IF(OR(N169&lt;=0,I169=0,I169="",O169=0),"",O169*1000/(I169*0.3025)/N169))</f>
        <v>22241.5778682866</v>
      </c>
      <c r="Y169" s="50" t="str">
        <f aca="false">IF($A169="","",IF(OR(O169=0,O169="",P169=0),"",P169/O169))</f>
        <v/>
      </c>
      <c r="Z169" s="17" t="str">
        <f aca="false">IF($A169="","",IFERROR(INDEX(物件収支!$E:$E,MATCH($A169,物件収支!$A:$A,0)),""))</f>
        <v>開示（物件別・収益のみ、百万円単位）</v>
      </c>
    </row>
    <row r="170" customFormat="false" ht="15" hidden="false" customHeight="true" outlineLevel="0" collapsed="false">
      <c r="A170" s="17" t="str">
        <f aca="false">IF(物件マスタ!A170="","",物件マスタ!A170)</f>
        <v>NBF-42</v>
      </c>
      <c r="B170" s="17" t="str">
        <f aca="false">IF($A170="","",物件マスタ!B170)</f>
        <v>NBF</v>
      </c>
      <c r="C170" s="17" t="str">
        <f aca="false">IF($A170="","",IFERROR(INDEX(法人マスタ!$C:$C,MATCH($B170,法人マスタ!$A:$A,0)),""))</f>
        <v>日本ビルファンド投資法人</v>
      </c>
      <c r="D170" s="17" t="str">
        <f aca="false">IF($A170="","",物件マスタ!C170)</f>
        <v>東五反田スクエア</v>
      </c>
      <c r="E170" s="17" t="str">
        <f aca="false">IF($A170="","",物件マスタ!H170)</f>
        <v>その他東京23区</v>
      </c>
      <c r="F170" s="48" t="n">
        <f aca="false">IF($A170="","",物件マスタ!P170)</f>
        <v>0</v>
      </c>
      <c r="G170" s="34" t="str">
        <f aca="false">IF($A170="","",物件マスタ!Q170)</f>
        <v/>
      </c>
      <c r="H170" s="49" t="n">
        <f aca="false">IF($A170="","",物件マスタ!L170)</f>
        <v>0</v>
      </c>
      <c r="I170" s="49" t="n">
        <f aca="false">IF($A170="","",物件マスタ!M170)</f>
        <v>6166</v>
      </c>
      <c r="J170" s="43" t="n">
        <f aca="false">IF($A170="","",物件マスタ!S170)</f>
        <v>8350</v>
      </c>
      <c r="K170" s="43" t="n">
        <f aca="false">IF($A170="","",物件マスタ!U170)</f>
        <v>9050</v>
      </c>
      <c r="L170" s="50" t="n">
        <f aca="false">IF($A170="","",物件マスタ!W170)</f>
        <v>1</v>
      </c>
      <c r="M170" s="17" t="str">
        <f aca="false">IF($A170="","",IFERROR(INDEX(法人マスタ!$H:$H,MATCH($B170,法人マスタ!$A:$A,0)),""))</f>
        <v>2025年12月期（第49期）</v>
      </c>
      <c r="N170" s="51" t="n">
        <f aca="false">IF($A170="","",SUMIFS(物件収支!$D:$D,物件収支!$A:$A,$A170,物件収支!$C:$C,$M170))</f>
        <v>6</v>
      </c>
      <c r="O170" s="43" t="n">
        <f aca="false">IF($A170="","",SUMIFS(物件収支!$F:$F,物件収支!$A:$A,$A170,物件収支!$C:$C,$M170))</f>
        <v>264000</v>
      </c>
      <c r="P170" s="43" t="n">
        <f aca="false">IF($A170="","",SUMIFS(物件収支!$I:$I,物件収支!$A:$A,$A170,物件収支!$C:$C,$M170))</f>
        <v>0</v>
      </c>
      <c r="Q170" s="43" t="n">
        <f aca="false">IF($A170="","",SUMIFS(物件収支!$O:$O,物件収支!$A:$A,$A170,物件収支!$C:$C,$M170))</f>
        <v>0</v>
      </c>
      <c r="R170" s="43" t="str">
        <f aca="false">IF($A170="","",IF(P170=0,"",O170-P170))</f>
        <v/>
      </c>
      <c r="S170" s="43" t="str">
        <f aca="false">IF($A170="","",IF(R170="","",R170+Q170))</f>
        <v/>
      </c>
      <c r="T170" s="43" t="str">
        <f aca="false">IF($A170="","",IF(OR(S170="",N170&lt;=0),"",S170/1000*12/N170))</f>
        <v/>
      </c>
      <c r="U170" s="52" t="str">
        <f aca="false">IF($A170="","",IF(OR(T170="",J170=0,J170=""),"",T170/J170))</f>
        <v/>
      </c>
      <c r="V170" s="52" t="str">
        <f aca="false">IF($A170="","",IF(OR(R170="",N170&lt;=0,J170=0,J170=""),"",(R170/1000*12/N170)/J170))</f>
        <v/>
      </c>
      <c r="W170" s="52" t="str">
        <f aca="false">IF($A170="","",IF(OR(T170="",K170=0,K170=""),"",T170/K170))</f>
        <v/>
      </c>
      <c r="X170" s="43" t="n">
        <f aca="false">IF($A170="","",IF(OR(N170&lt;=0,I170=0,I170="",O170=0),"",O170*1000/(I170*0.3025)/N170))</f>
        <v>23589.7738330434</v>
      </c>
      <c r="Y170" s="50" t="str">
        <f aca="false">IF($A170="","",IF(OR(O170=0,O170="",P170=0),"",P170/O170))</f>
        <v/>
      </c>
      <c r="Z170" s="17" t="str">
        <f aca="false">IF($A170="","",IFERROR(INDEX(物件収支!$E:$E,MATCH($A170,物件収支!$A:$A,0)),""))</f>
        <v>開示（物件別・収益のみ、百万円単位）</v>
      </c>
    </row>
    <row r="171" customFormat="false" ht="15" hidden="false" customHeight="true" outlineLevel="0" collapsed="false">
      <c r="A171" s="17" t="str">
        <f aca="false">IF(物件マスタ!A171="","",物件マスタ!A171)</f>
        <v>NBF-43</v>
      </c>
      <c r="B171" s="17" t="str">
        <f aca="false">IF($A171="","",物件マスタ!B171)</f>
        <v>NBF</v>
      </c>
      <c r="C171" s="17" t="str">
        <f aca="false">IF($A171="","",IFERROR(INDEX(法人マスタ!$C:$C,MATCH($B171,法人マスタ!$A:$A,0)),""))</f>
        <v>日本ビルファンド投資法人</v>
      </c>
      <c r="D171" s="17" t="str">
        <f aca="false">IF($A171="","",物件マスタ!C171)</f>
        <v>ＮＢＦ池袋タワー</v>
      </c>
      <c r="E171" s="17" t="str">
        <f aca="false">IF($A171="","",物件マスタ!H171)</f>
        <v>その他東京23区</v>
      </c>
      <c r="F171" s="48" t="n">
        <f aca="false">IF($A171="","",物件マスタ!P171)</f>
        <v>0</v>
      </c>
      <c r="G171" s="34" t="str">
        <f aca="false">IF($A171="","",物件マスタ!Q171)</f>
        <v/>
      </c>
      <c r="H171" s="49" t="n">
        <f aca="false">IF($A171="","",物件マスタ!L171)</f>
        <v>0</v>
      </c>
      <c r="I171" s="49" t="n">
        <f aca="false">IF($A171="","",物件マスタ!M171)</f>
        <v>5642</v>
      </c>
      <c r="J171" s="43" t="n">
        <f aca="false">IF($A171="","",物件マスタ!S171)</f>
        <v>4695</v>
      </c>
      <c r="K171" s="43" t="n">
        <f aca="false">IF($A171="","",物件マスタ!U171)</f>
        <v>6000</v>
      </c>
      <c r="L171" s="50" t="n">
        <f aca="false">IF($A171="","",物件マスタ!W171)</f>
        <v>1</v>
      </c>
      <c r="M171" s="17" t="str">
        <f aca="false">IF($A171="","",IFERROR(INDEX(法人マスタ!$H:$H,MATCH($B171,法人マスタ!$A:$A,0)),""))</f>
        <v>2025年12月期（第49期）</v>
      </c>
      <c r="N171" s="51" t="n">
        <f aca="false">IF($A171="","",SUMIFS(物件収支!$D:$D,物件収支!$A:$A,$A171,物件収支!$C:$C,$M171))</f>
        <v>6</v>
      </c>
      <c r="O171" s="43" t="n">
        <f aca="false">IF($A171="","",SUMIFS(物件収支!$F:$F,物件収支!$A:$A,$A171,物件収支!$C:$C,$M171))</f>
        <v>211000</v>
      </c>
      <c r="P171" s="43" t="n">
        <f aca="false">IF($A171="","",SUMIFS(物件収支!$I:$I,物件収支!$A:$A,$A171,物件収支!$C:$C,$M171))</f>
        <v>0</v>
      </c>
      <c r="Q171" s="43" t="n">
        <f aca="false">IF($A171="","",SUMIFS(物件収支!$O:$O,物件収支!$A:$A,$A171,物件収支!$C:$C,$M171))</f>
        <v>0</v>
      </c>
      <c r="R171" s="43" t="str">
        <f aca="false">IF($A171="","",IF(P171=0,"",O171-P171))</f>
        <v/>
      </c>
      <c r="S171" s="43" t="str">
        <f aca="false">IF($A171="","",IF(R171="","",R171+Q171))</f>
        <v/>
      </c>
      <c r="T171" s="43" t="str">
        <f aca="false">IF($A171="","",IF(OR(S171="",N171&lt;=0),"",S171/1000*12/N171))</f>
        <v/>
      </c>
      <c r="U171" s="52" t="str">
        <f aca="false">IF($A171="","",IF(OR(T171="",J171=0,J171=""),"",T171/J171))</f>
        <v/>
      </c>
      <c r="V171" s="52" t="str">
        <f aca="false">IF($A171="","",IF(OR(R171="",N171&lt;=0,J171=0,J171=""),"",(R171/1000*12/N171)/J171))</f>
        <v/>
      </c>
      <c r="W171" s="52" t="str">
        <f aca="false">IF($A171="","",IF(OR(T171="",K171=0,K171=""),"",T171/K171))</f>
        <v/>
      </c>
      <c r="X171" s="43" t="n">
        <f aca="false">IF($A171="","",IF(OR(N171&lt;=0,I171=0,I171="",O171=0),"",O171*1000/(I171*0.3025)/N171))</f>
        <v>20605.0059422493</v>
      </c>
      <c r="Y171" s="50" t="str">
        <f aca="false">IF($A171="","",IF(OR(O171=0,O171="",P171=0),"",P171/O171))</f>
        <v/>
      </c>
      <c r="Z171" s="17" t="str">
        <f aca="false">IF($A171="","",IFERROR(INDEX(物件収支!$E:$E,MATCH($A171,物件収支!$A:$A,0)),""))</f>
        <v>開示（物件別・収益のみ、百万円単位）</v>
      </c>
    </row>
    <row r="172" customFormat="false" ht="15" hidden="false" customHeight="true" outlineLevel="0" collapsed="false">
      <c r="A172" s="17" t="str">
        <f aca="false">IF(物件マスタ!A172="","",物件マスタ!A172)</f>
        <v>NBF-44</v>
      </c>
      <c r="B172" s="17" t="str">
        <f aca="false">IF($A172="","",物件マスタ!B172)</f>
        <v>NBF</v>
      </c>
      <c r="C172" s="17" t="str">
        <f aca="false">IF($A172="","",IFERROR(INDEX(法人マスタ!$C:$C,MATCH($B172,法人マスタ!$A:$A,0)),""))</f>
        <v>日本ビルファンド投資法人</v>
      </c>
      <c r="D172" s="17" t="str">
        <f aca="false">IF($A172="","",物件マスタ!C172)</f>
        <v>ＮＢＦ池袋シティビル</v>
      </c>
      <c r="E172" s="17" t="str">
        <f aca="false">IF($A172="","",物件マスタ!H172)</f>
        <v>その他東京23区</v>
      </c>
      <c r="F172" s="48" t="n">
        <f aca="false">IF($A172="","",物件マスタ!P172)</f>
        <v>0</v>
      </c>
      <c r="G172" s="34" t="str">
        <f aca="false">IF($A172="","",物件マスタ!Q172)</f>
        <v/>
      </c>
      <c r="H172" s="49" t="n">
        <f aca="false">IF($A172="","",物件マスタ!L172)</f>
        <v>0</v>
      </c>
      <c r="I172" s="49" t="n">
        <f aca="false">IF($A172="","",物件マスタ!M172)</f>
        <v>5021</v>
      </c>
      <c r="J172" s="43" t="n">
        <f aca="false">IF($A172="","",物件マスタ!S172)</f>
        <v>4428</v>
      </c>
      <c r="K172" s="43" t="n">
        <f aca="false">IF($A172="","",物件マスタ!U172)</f>
        <v>5820</v>
      </c>
      <c r="L172" s="50" t="n">
        <f aca="false">IF($A172="","",物件マスタ!W172)</f>
        <v>1</v>
      </c>
      <c r="M172" s="17" t="str">
        <f aca="false">IF($A172="","",IFERROR(INDEX(法人マスタ!$H:$H,MATCH($B172,法人マスタ!$A:$A,0)),""))</f>
        <v>2025年12月期（第49期）</v>
      </c>
      <c r="N172" s="51" t="n">
        <f aca="false">IF($A172="","",SUMIFS(物件収支!$D:$D,物件収支!$A:$A,$A172,物件収支!$C:$C,$M172))</f>
        <v>6</v>
      </c>
      <c r="O172" s="43" t="n">
        <f aca="false">IF($A172="","",SUMIFS(物件収支!$F:$F,物件収支!$A:$A,$A172,物件収支!$C:$C,$M172))</f>
        <v>182000</v>
      </c>
      <c r="P172" s="43" t="n">
        <f aca="false">IF($A172="","",SUMIFS(物件収支!$I:$I,物件収支!$A:$A,$A172,物件収支!$C:$C,$M172))</f>
        <v>0</v>
      </c>
      <c r="Q172" s="43" t="n">
        <f aca="false">IF($A172="","",SUMIFS(物件収支!$O:$O,物件収支!$A:$A,$A172,物件収支!$C:$C,$M172))</f>
        <v>0</v>
      </c>
      <c r="R172" s="43" t="str">
        <f aca="false">IF($A172="","",IF(P172=0,"",O172-P172))</f>
        <v/>
      </c>
      <c r="S172" s="43" t="str">
        <f aca="false">IF($A172="","",IF(R172="","",R172+Q172))</f>
        <v/>
      </c>
      <c r="T172" s="43" t="str">
        <f aca="false">IF($A172="","",IF(OR(S172="",N172&lt;=0),"",S172/1000*12/N172))</f>
        <v/>
      </c>
      <c r="U172" s="52" t="str">
        <f aca="false">IF($A172="","",IF(OR(T172="",J172=0,J172=""),"",T172/J172))</f>
        <v/>
      </c>
      <c r="V172" s="52" t="str">
        <f aca="false">IF($A172="","",IF(OR(R172="",N172&lt;=0,J172=0,J172=""),"",(R172/1000*12/N172)/J172))</f>
        <v/>
      </c>
      <c r="W172" s="52" t="str">
        <f aca="false">IF($A172="","",IF(OR(T172="",K172=0,K172=""),"",T172/K172))</f>
        <v/>
      </c>
      <c r="X172" s="43" t="n">
        <f aca="false">IF($A172="","",IF(OR(N172&lt;=0,I172=0,I172="",O172=0),"",O172*1000/(I172*0.3025)/N172))</f>
        <v>19971.2173060474</v>
      </c>
      <c r="Y172" s="50" t="str">
        <f aca="false">IF($A172="","",IF(OR(O172=0,O172="",P172=0),"",P172/O172))</f>
        <v/>
      </c>
      <c r="Z172" s="17" t="str">
        <f aca="false">IF($A172="","",IFERROR(INDEX(物件収支!$E:$E,MATCH($A172,物件収支!$A:$A,0)),""))</f>
        <v>開示（物件別・収益のみ、百万円単位）</v>
      </c>
    </row>
    <row r="173" customFormat="false" ht="15" hidden="false" customHeight="true" outlineLevel="0" collapsed="false">
      <c r="A173" s="17" t="str">
        <f aca="false">IF(物件マスタ!A173="","",物件マスタ!A173)</f>
        <v>NBF-45</v>
      </c>
      <c r="B173" s="17" t="str">
        <f aca="false">IF($A173="","",物件マスタ!B173)</f>
        <v>NBF</v>
      </c>
      <c r="C173" s="17" t="str">
        <f aca="false">IF($A173="","",IFERROR(INDEX(法人マスタ!$C:$C,MATCH($B173,法人マスタ!$A:$A,0)),""))</f>
        <v>日本ビルファンド投資法人</v>
      </c>
      <c r="D173" s="17" t="str">
        <f aca="false">IF($A173="","",物件マスタ!C173)</f>
        <v>調布サウスゲートビル</v>
      </c>
      <c r="E173" s="17" t="str">
        <f aca="false">IF($A173="","",物件マスタ!H173)</f>
        <v>東京周辺都市部</v>
      </c>
      <c r="F173" s="48" t="n">
        <f aca="false">IF($A173="","",物件マスタ!P173)</f>
        <v>0</v>
      </c>
      <c r="G173" s="34" t="str">
        <f aca="false">IF($A173="","",物件マスタ!Q173)</f>
        <v/>
      </c>
      <c r="H173" s="49" t="n">
        <f aca="false">IF($A173="","",物件マスタ!L173)</f>
        <v>0</v>
      </c>
      <c r="I173" s="49" t="n">
        <f aca="false">IF($A173="","",物件マスタ!M173)</f>
        <v>13762</v>
      </c>
      <c r="J173" s="43" t="n">
        <f aca="false">IF($A173="","",物件マスタ!S173)</f>
        <v>9320</v>
      </c>
      <c r="K173" s="43" t="n">
        <f aca="false">IF($A173="","",物件マスタ!U173)</f>
        <v>9240</v>
      </c>
      <c r="L173" s="50" t="n">
        <f aca="false">IF($A173="","",物件マスタ!W173)</f>
        <v>1</v>
      </c>
      <c r="M173" s="17" t="str">
        <f aca="false">IF($A173="","",IFERROR(INDEX(法人マスタ!$H:$H,MATCH($B173,法人マスタ!$A:$A,0)),""))</f>
        <v>2025年12月期（第49期）</v>
      </c>
      <c r="N173" s="51" t="n">
        <f aca="false">IF($A173="","",SUMIFS(物件収支!$D:$D,物件収支!$A:$A,$A173,物件収支!$C:$C,$M173))</f>
        <v>6</v>
      </c>
      <c r="O173" s="43" t="n">
        <f aca="false">IF($A173="","",SUMIFS(物件収支!$F:$F,物件収支!$A:$A,$A173,物件収支!$C:$C,$M173))</f>
        <v>0</v>
      </c>
      <c r="P173" s="43" t="n">
        <f aca="false">IF($A173="","",SUMIFS(物件収支!$I:$I,物件収支!$A:$A,$A173,物件収支!$C:$C,$M173))</f>
        <v>0</v>
      </c>
      <c r="Q173" s="43" t="n">
        <f aca="false">IF($A173="","",SUMIFS(物件収支!$O:$O,物件収支!$A:$A,$A173,物件収支!$C:$C,$M173))</f>
        <v>0</v>
      </c>
      <c r="R173" s="43" t="str">
        <f aca="false">IF($A173="","",IF(P173=0,"",O173-P173))</f>
        <v/>
      </c>
      <c r="S173" s="43" t="str">
        <f aca="false">IF($A173="","",IF(R173="","",R173+Q173))</f>
        <v/>
      </c>
      <c r="T173" s="43" t="str">
        <f aca="false">IF($A173="","",IF(OR(S173="",N173&lt;=0),"",S173/1000*12/N173))</f>
        <v/>
      </c>
      <c r="U173" s="52" t="str">
        <f aca="false">IF($A173="","",IF(OR(T173="",J173=0,J173=""),"",T173/J173))</f>
        <v/>
      </c>
      <c r="V173" s="52" t="str">
        <f aca="false">IF($A173="","",IF(OR(R173="",N173&lt;=0,J173=0,J173=""),"",(R173/1000*12/N173)/J173))</f>
        <v/>
      </c>
      <c r="W173" s="52" t="str">
        <f aca="false">IF($A173="","",IF(OR(T173="",K173=0,K173=""),"",T173/K173))</f>
        <v/>
      </c>
      <c r="X173" s="43" t="str">
        <f aca="false">IF($A173="","",IF(OR(N173&lt;=0,I173=0,I173="",O173=0),"",O173*1000/(I173*0.3025)/N173))</f>
        <v/>
      </c>
      <c r="Y173" s="50" t="str">
        <f aca="false">IF($A173="","",IF(OR(O173=0,O173="",P173=0),"",P173/O173))</f>
        <v/>
      </c>
      <c r="Z173" s="17" t="str">
        <f aca="false">IF($A173="","",IFERROR(INDEX(物件収支!$E:$E,MATCH($A173,物件収支!$A:$A,0)),""))</f>
        <v>非開示（テナント同意なし）</v>
      </c>
    </row>
    <row r="174" customFormat="false" ht="15" hidden="false" customHeight="true" outlineLevel="0" collapsed="false">
      <c r="A174" s="17" t="str">
        <f aca="false">IF(物件マスタ!A174="","",物件マスタ!A174)</f>
        <v>NBF-46</v>
      </c>
      <c r="B174" s="17" t="str">
        <f aca="false">IF($A174="","",物件マスタ!B174)</f>
        <v>NBF</v>
      </c>
      <c r="C174" s="17" t="str">
        <f aca="false">IF($A174="","",IFERROR(INDEX(法人マスタ!$C:$C,MATCH($B174,法人マスタ!$A:$A,0)),""))</f>
        <v>日本ビルファンド投資法人</v>
      </c>
      <c r="D174" s="17" t="str">
        <f aca="false">IF($A174="","",物件マスタ!C174)</f>
        <v>横浜三井ビルディング</v>
      </c>
      <c r="E174" s="17" t="str">
        <f aca="false">IF($A174="","",物件マスタ!H174)</f>
        <v>東京周辺都市部</v>
      </c>
      <c r="F174" s="48" t="n">
        <f aca="false">IF($A174="","",物件マスタ!P174)</f>
        <v>0</v>
      </c>
      <c r="G174" s="34" t="str">
        <f aca="false">IF($A174="","",物件マスタ!Q174)</f>
        <v/>
      </c>
      <c r="H174" s="49" t="n">
        <f aca="false">IF($A174="","",物件マスタ!L174)</f>
        <v>0</v>
      </c>
      <c r="I174" s="49" t="n">
        <f aca="false">IF($A174="","",物件マスタ!M174)</f>
        <v>38372</v>
      </c>
      <c r="J174" s="43" t="n">
        <f aca="false">IF($A174="","",物件マスタ!S174)</f>
        <v>43190</v>
      </c>
      <c r="K174" s="43" t="n">
        <f aca="false">IF($A174="","",物件マスタ!U174)</f>
        <v>44200</v>
      </c>
      <c r="L174" s="50" t="n">
        <f aca="false">IF($A174="","",物件マスタ!W174)</f>
        <v>0.996</v>
      </c>
      <c r="M174" s="17" t="str">
        <f aca="false">IF($A174="","",IFERROR(INDEX(法人マスタ!$H:$H,MATCH($B174,法人マスタ!$A:$A,0)),""))</f>
        <v>2025年12月期（第49期）</v>
      </c>
      <c r="N174" s="51" t="n">
        <f aca="false">IF($A174="","",SUMIFS(物件収支!$D:$D,物件収支!$A:$A,$A174,物件収支!$C:$C,$M174))</f>
        <v>6</v>
      </c>
      <c r="O174" s="43" t="n">
        <f aca="false">IF($A174="","",SUMIFS(物件収支!$F:$F,物件収支!$A:$A,$A174,物件収支!$C:$C,$M174))</f>
        <v>1371000</v>
      </c>
      <c r="P174" s="43" t="n">
        <f aca="false">IF($A174="","",SUMIFS(物件収支!$I:$I,物件収支!$A:$A,$A174,物件収支!$C:$C,$M174))</f>
        <v>0</v>
      </c>
      <c r="Q174" s="43" t="n">
        <f aca="false">IF($A174="","",SUMIFS(物件収支!$O:$O,物件収支!$A:$A,$A174,物件収支!$C:$C,$M174))</f>
        <v>0</v>
      </c>
      <c r="R174" s="43" t="str">
        <f aca="false">IF($A174="","",IF(P174=0,"",O174-P174))</f>
        <v/>
      </c>
      <c r="S174" s="43" t="str">
        <f aca="false">IF($A174="","",IF(R174="","",R174+Q174))</f>
        <v/>
      </c>
      <c r="T174" s="43" t="str">
        <f aca="false">IF($A174="","",IF(OR(S174="",N174&lt;=0),"",S174/1000*12/N174))</f>
        <v/>
      </c>
      <c r="U174" s="52" t="str">
        <f aca="false">IF($A174="","",IF(OR(T174="",J174=0,J174=""),"",T174/J174))</f>
        <v/>
      </c>
      <c r="V174" s="52" t="str">
        <f aca="false">IF($A174="","",IF(OR(R174="",N174&lt;=0,J174=0,J174=""),"",(R174/1000*12/N174)/J174))</f>
        <v/>
      </c>
      <c r="W174" s="52" t="str">
        <f aca="false">IF($A174="","",IF(OR(T174="",K174=0,K174=""),"",T174/K174))</f>
        <v/>
      </c>
      <c r="X174" s="43" t="n">
        <f aca="false">IF($A174="","",IF(OR(N174&lt;=0,I174=0,I174="",O174=0),"",O174*1000/(I174*0.3025)/N174))</f>
        <v>19685.4972591068</v>
      </c>
      <c r="Y174" s="50" t="str">
        <f aca="false">IF($A174="","",IF(OR(O174=0,O174="",P174=0),"",P174/O174))</f>
        <v/>
      </c>
      <c r="Z174" s="17" t="str">
        <f aca="false">IF($A174="","",IFERROR(INDEX(物件収支!$E:$E,MATCH($A174,物件収支!$A:$A,0)),""))</f>
        <v>開示（物件別・収益のみ、百万円単位）</v>
      </c>
    </row>
    <row r="175" customFormat="false" ht="15" hidden="false" customHeight="true" outlineLevel="0" collapsed="false">
      <c r="A175" s="17" t="str">
        <f aca="false">IF(物件マスタ!A175="","",物件マスタ!A175)</f>
        <v>NBF-47</v>
      </c>
      <c r="B175" s="17" t="str">
        <f aca="false">IF($A175="","",物件マスタ!B175)</f>
        <v>NBF</v>
      </c>
      <c r="C175" s="17" t="str">
        <f aca="false">IF($A175="","",IFERROR(INDEX(法人マスタ!$C:$C,MATCH($B175,法人マスタ!$A:$A,0)),""))</f>
        <v>日本ビルファンド投資法人</v>
      </c>
      <c r="D175" s="17" t="str">
        <f aca="false">IF($A175="","",物件マスタ!C175)</f>
        <v>フロンティア武蔵小杉Ｎ棟・Ｓ棟</v>
      </c>
      <c r="E175" s="17" t="str">
        <f aca="false">IF($A175="","",物件マスタ!H175)</f>
        <v>東京周辺都市部</v>
      </c>
      <c r="F175" s="48" t="n">
        <f aca="false">IF($A175="","",物件マスタ!P175)</f>
        <v>0</v>
      </c>
      <c r="G175" s="34" t="str">
        <f aca="false">IF($A175="","",物件マスタ!Q175)</f>
        <v/>
      </c>
      <c r="H175" s="49" t="n">
        <f aca="false">IF($A175="","",物件マスタ!L175)</f>
        <v>0</v>
      </c>
      <c r="I175" s="49" t="n">
        <f aca="false">IF($A175="","",物件マスタ!M175)</f>
        <v>22410</v>
      </c>
      <c r="J175" s="43" t="n">
        <f aca="false">IF($A175="","",物件マスタ!S175)</f>
        <v>29000</v>
      </c>
      <c r="K175" s="43" t="n">
        <f aca="false">IF($A175="","",物件マスタ!U175)</f>
        <v>30500</v>
      </c>
      <c r="L175" s="50" t="n">
        <f aca="false">IF($A175="","",物件マスタ!W175)</f>
        <v>0.988</v>
      </c>
      <c r="M175" s="17" t="str">
        <f aca="false">IF($A175="","",IFERROR(INDEX(法人マスタ!$H:$H,MATCH($B175,法人マスタ!$A:$A,0)),""))</f>
        <v>2025年12月期（第49期）</v>
      </c>
      <c r="N175" s="51" t="n">
        <f aca="false">IF($A175="","",SUMIFS(物件収支!$D:$D,物件収支!$A:$A,$A175,物件収支!$C:$C,$M175))</f>
        <v>6</v>
      </c>
      <c r="O175" s="43" t="n">
        <f aca="false">IF($A175="","",SUMIFS(物件収支!$F:$F,物件収支!$A:$A,$A175,物件収支!$C:$C,$M175))</f>
        <v>856000</v>
      </c>
      <c r="P175" s="43" t="n">
        <f aca="false">IF($A175="","",SUMIFS(物件収支!$I:$I,物件収支!$A:$A,$A175,物件収支!$C:$C,$M175))</f>
        <v>0</v>
      </c>
      <c r="Q175" s="43" t="n">
        <f aca="false">IF($A175="","",SUMIFS(物件収支!$O:$O,物件収支!$A:$A,$A175,物件収支!$C:$C,$M175))</f>
        <v>0</v>
      </c>
      <c r="R175" s="43" t="str">
        <f aca="false">IF($A175="","",IF(P175=0,"",O175-P175))</f>
        <v/>
      </c>
      <c r="S175" s="43" t="str">
        <f aca="false">IF($A175="","",IF(R175="","",R175+Q175))</f>
        <v/>
      </c>
      <c r="T175" s="43" t="str">
        <f aca="false">IF($A175="","",IF(OR(S175="",N175&lt;=0),"",S175/1000*12/N175))</f>
        <v/>
      </c>
      <c r="U175" s="52" t="str">
        <f aca="false">IF($A175="","",IF(OR(T175="",J175=0,J175=""),"",T175/J175))</f>
        <v/>
      </c>
      <c r="V175" s="52" t="str">
        <f aca="false">IF($A175="","",IF(OR(R175="",N175&lt;=0,J175=0,J175=""),"",(R175/1000*12/N175)/J175))</f>
        <v/>
      </c>
      <c r="W175" s="52" t="str">
        <f aca="false">IF($A175="","",IF(OR(T175="",K175=0,K175=""),"",T175/K175))</f>
        <v/>
      </c>
      <c r="X175" s="43" t="n">
        <f aca="false">IF($A175="","",IF(OR(N175&lt;=0,I175=0,I175="",O175=0),"",O175*1000/(I175*0.3025)/N175))</f>
        <v>21045.3076462569</v>
      </c>
      <c r="Y175" s="50" t="str">
        <f aca="false">IF($A175="","",IF(OR(O175=0,O175="",P175=0),"",P175/O175))</f>
        <v/>
      </c>
      <c r="Z175" s="17" t="str">
        <f aca="false">IF($A175="","",IFERROR(INDEX(物件収支!$E:$E,MATCH($A175,物件収支!$A:$A,0)),""))</f>
        <v>開示（物件別・収益のみ、百万円単位）</v>
      </c>
    </row>
    <row r="176" customFormat="false" ht="15" hidden="false" customHeight="true" outlineLevel="0" collapsed="false">
      <c r="A176" s="17" t="str">
        <f aca="false">IF(物件マスタ!A176="","",物件マスタ!A176)</f>
        <v>NBF-48</v>
      </c>
      <c r="B176" s="17" t="str">
        <f aca="false">IF($A176="","",物件マスタ!B176)</f>
        <v>NBF</v>
      </c>
      <c r="C176" s="17" t="str">
        <f aca="false">IF($A176="","",IFERROR(INDEX(法人マスタ!$C:$C,MATCH($B176,法人マスタ!$A:$A,0)),""))</f>
        <v>日本ビルファンド投資法人</v>
      </c>
      <c r="D176" s="17" t="str">
        <f aca="false">IF($A176="","",物件マスタ!C176)</f>
        <v>横浜ＳＴビル</v>
      </c>
      <c r="E176" s="17" t="str">
        <f aca="false">IF($A176="","",物件マスタ!H176)</f>
        <v>東京周辺都市部</v>
      </c>
      <c r="F176" s="48" t="n">
        <f aca="false">IF($A176="","",物件マスタ!P176)</f>
        <v>0</v>
      </c>
      <c r="G176" s="34" t="str">
        <f aca="false">IF($A176="","",物件マスタ!Q176)</f>
        <v/>
      </c>
      <c r="H176" s="49" t="n">
        <f aca="false">IF($A176="","",物件マスタ!L176)</f>
        <v>0</v>
      </c>
      <c r="I176" s="49" t="n">
        <f aca="false">IF($A176="","",物件マスタ!M176)</f>
        <v>24104</v>
      </c>
      <c r="J176" s="43" t="n">
        <f aca="false">IF($A176="","",物件マスタ!S176)</f>
        <v>16749.3</v>
      </c>
      <c r="K176" s="43" t="n">
        <f aca="false">IF($A176="","",物件マスタ!U176)</f>
        <v>23700</v>
      </c>
      <c r="L176" s="50" t="n">
        <f aca="false">IF($A176="","",物件マスタ!W176)</f>
        <v>0.973</v>
      </c>
      <c r="M176" s="17" t="str">
        <f aca="false">IF($A176="","",IFERROR(INDEX(法人マスタ!$H:$H,MATCH($B176,法人マスタ!$A:$A,0)),""))</f>
        <v>2025年12月期（第49期）</v>
      </c>
      <c r="N176" s="51" t="n">
        <f aca="false">IF($A176="","",SUMIFS(物件収支!$D:$D,物件収支!$A:$A,$A176,物件収支!$C:$C,$M176))</f>
        <v>6</v>
      </c>
      <c r="O176" s="43" t="n">
        <f aca="false">IF($A176="","",SUMIFS(物件収支!$F:$F,物件収支!$A:$A,$A176,物件収支!$C:$C,$M176))</f>
        <v>857000</v>
      </c>
      <c r="P176" s="43" t="n">
        <f aca="false">IF($A176="","",SUMIFS(物件収支!$I:$I,物件収支!$A:$A,$A176,物件収支!$C:$C,$M176))</f>
        <v>0</v>
      </c>
      <c r="Q176" s="43" t="n">
        <f aca="false">IF($A176="","",SUMIFS(物件収支!$O:$O,物件収支!$A:$A,$A176,物件収支!$C:$C,$M176))</f>
        <v>0</v>
      </c>
      <c r="R176" s="43" t="str">
        <f aca="false">IF($A176="","",IF(P176=0,"",O176-P176))</f>
        <v/>
      </c>
      <c r="S176" s="43" t="str">
        <f aca="false">IF($A176="","",IF(R176="","",R176+Q176))</f>
        <v/>
      </c>
      <c r="T176" s="43" t="str">
        <f aca="false">IF($A176="","",IF(OR(S176="",N176&lt;=0),"",S176/1000*12/N176))</f>
        <v/>
      </c>
      <c r="U176" s="52" t="str">
        <f aca="false">IF($A176="","",IF(OR(T176="",J176=0,J176=""),"",T176/J176))</f>
        <v/>
      </c>
      <c r="V176" s="52" t="str">
        <f aca="false">IF($A176="","",IF(OR(R176="",N176&lt;=0,J176=0,J176=""),"",(R176/1000*12/N176)/J176))</f>
        <v/>
      </c>
      <c r="W176" s="52" t="str">
        <f aca="false">IF($A176="","",IF(OR(T176="",K176=0,K176=""),"",T176/K176))</f>
        <v/>
      </c>
      <c r="X176" s="43" t="n">
        <f aca="false">IF($A176="","",IF(OR(N176&lt;=0,I176=0,I176="",O176=0),"",O176*1000/(I176*0.3025)/N176))</f>
        <v>19589.1266403894</v>
      </c>
      <c r="Y176" s="50" t="str">
        <f aca="false">IF($A176="","",IF(OR(O176=0,O176="",P176=0),"",P176/O176))</f>
        <v/>
      </c>
      <c r="Z176" s="17" t="str">
        <f aca="false">IF($A176="","",IFERROR(INDEX(物件収支!$E:$E,MATCH($A176,物件収支!$A:$A,0)),""))</f>
        <v>開示（物件別・収益のみ、百万円単位）</v>
      </c>
    </row>
    <row r="177" customFormat="false" ht="15" hidden="false" customHeight="true" outlineLevel="0" collapsed="false">
      <c r="A177" s="17" t="str">
        <f aca="false">IF(物件マスタ!A177="","",物件マスタ!A177)</f>
        <v>NBF-49</v>
      </c>
      <c r="B177" s="17" t="str">
        <f aca="false">IF($A177="","",物件マスタ!B177)</f>
        <v>NBF</v>
      </c>
      <c r="C177" s="17" t="str">
        <f aca="false">IF($A177="","",IFERROR(INDEX(法人マスタ!$C:$C,MATCH($B177,法人マスタ!$A:$A,0)),""))</f>
        <v>日本ビルファンド投資法人</v>
      </c>
      <c r="D177" s="17" t="str">
        <f aca="false">IF($A177="","",物件マスタ!C177)</f>
        <v>パレール三井ビルディング</v>
      </c>
      <c r="E177" s="17" t="str">
        <f aca="false">IF($A177="","",物件マスタ!H177)</f>
        <v>東京周辺都市部</v>
      </c>
      <c r="F177" s="48" t="n">
        <f aca="false">IF($A177="","",物件マスタ!P177)</f>
        <v>0</v>
      </c>
      <c r="G177" s="34" t="str">
        <f aca="false">IF($A177="","",物件マスタ!Q177)</f>
        <v/>
      </c>
      <c r="H177" s="49" t="n">
        <f aca="false">IF($A177="","",物件マスタ!L177)</f>
        <v>0</v>
      </c>
      <c r="I177" s="49" t="n">
        <f aca="false">IF($A177="","",物件マスタ!M177)</f>
        <v>12545</v>
      </c>
      <c r="J177" s="43" t="n">
        <f aca="false">IF($A177="","",物件マスタ!S177)</f>
        <v>3800</v>
      </c>
      <c r="K177" s="43" t="n">
        <f aca="false">IF($A177="","",物件マスタ!U177)</f>
        <v>4990</v>
      </c>
      <c r="L177" s="50" t="n">
        <f aca="false">IF($A177="","",物件マスタ!W177)</f>
        <v>0.956</v>
      </c>
      <c r="M177" s="17" t="str">
        <f aca="false">IF($A177="","",IFERROR(INDEX(法人マスタ!$H:$H,MATCH($B177,法人マスタ!$A:$A,0)),""))</f>
        <v>2025年12月期（第49期）</v>
      </c>
      <c r="N177" s="51" t="n">
        <f aca="false">IF($A177="","",SUMIFS(物件収支!$D:$D,物件収支!$A:$A,$A177,物件収支!$C:$C,$M177))</f>
        <v>6</v>
      </c>
      <c r="O177" s="43" t="n">
        <f aca="false">IF($A177="","",SUMIFS(物件収支!$F:$F,物件収支!$A:$A,$A177,物件収支!$C:$C,$M177))</f>
        <v>309000</v>
      </c>
      <c r="P177" s="43" t="n">
        <f aca="false">IF($A177="","",SUMIFS(物件収支!$I:$I,物件収支!$A:$A,$A177,物件収支!$C:$C,$M177))</f>
        <v>0</v>
      </c>
      <c r="Q177" s="43" t="n">
        <f aca="false">IF($A177="","",SUMIFS(物件収支!$O:$O,物件収支!$A:$A,$A177,物件収支!$C:$C,$M177))</f>
        <v>0</v>
      </c>
      <c r="R177" s="43" t="str">
        <f aca="false">IF($A177="","",IF(P177=0,"",O177-P177))</f>
        <v/>
      </c>
      <c r="S177" s="43" t="str">
        <f aca="false">IF($A177="","",IF(R177="","",R177+Q177))</f>
        <v/>
      </c>
      <c r="T177" s="43" t="str">
        <f aca="false">IF($A177="","",IF(OR(S177="",N177&lt;=0),"",S177/1000*12/N177))</f>
        <v/>
      </c>
      <c r="U177" s="52" t="str">
        <f aca="false">IF($A177="","",IF(OR(T177="",J177=0,J177=""),"",T177/J177))</f>
        <v/>
      </c>
      <c r="V177" s="52" t="str">
        <f aca="false">IF($A177="","",IF(OR(R177="",N177&lt;=0,J177=0,J177=""),"",(R177/1000*12/N177)/J177))</f>
        <v/>
      </c>
      <c r="W177" s="52" t="str">
        <f aca="false">IF($A177="","",IF(OR(T177="",K177=0,K177=""),"",T177/K177))</f>
        <v/>
      </c>
      <c r="X177" s="43" t="n">
        <f aca="false">IF($A177="","",IF(OR(N177&lt;=0,I177=0,I177="",O177=0),"",O177*1000/(I177*0.3025)/N177))</f>
        <v>13570.9791856754</v>
      </c>
      <c r="Y177" s="50" t="str">
        <f aca="false">IF($A177="","",IF(OR(O177=0,O177="",P177=0),"",P177/O177))</f>
        <v/>
      </c>
      <c r="Z177" s="17" t="str">
        <f aca="false">IF($A177="","",IFERROR(INDEX(物件収支!$E:$E,MATCH($A177,物件収支!$A:$A,0)),""))</f>
        <v>開示（物件別・収益のみ、百万円単位）</v>
      </c>
    </row>
    <row r="178" customFormat="false" ht="15" hidden="false" customHeight="true" outlineLevel="0" collapsed="false">
      <c r="A178" s="17" t="str">
        <f aca="false">IF(物件マスタ!A178="","",物件マスタ!A178)</f>
        <v>NBF-50</v>
      </c>
      <c r="B178" s="17" t="str">
        <f aca="false">IF($A178="","",物件マスタ!B178)</f>
        <v>NBF</v>
      </c>
      <c r="C178" s="17" t="str">
        <f aca="false">IF($A178="","",IFERROR(INDEX(法人マスタ!$C:$C,MATCH($B178,法人マスタ!$A:$A,0)),""))</f>
        <v>日本ビルファンド投資法人</v>
      </c>
      <c r="D178" s="17" t="str">
        <f aca="false">IF($A178="","",物件マスタ!C178)</f>
        <v>シーノ大宮ノースウィング</v>
      </c>
      <c r="E178" s="17" t="str">
        <f aca="false">IF($A178="","",物件マスタ!H178)</f>
        <v>東京周辺都市部</v>
      </c>
      <c r="F178" s="48" t="n">
        <f aca="false">IF($A178="","",物件マスタ!P178)</f>
        <v>0</v>
      </c>
      <c r="G178" s="34" t="str">
        <f aca="false">IF($A178="","",物件マスタ!Q178)</f>
        <v/>
      </c>
      <c r="H178" s="49" t="n">
        <f aca="false">IF($A178="","",物件マスタ!L178)</f>
        <v>0</v>
      </c>
      <c r="I178" s="49" t="n">
        <f aca="false">IF($A178="","",物件マスタ!M178)</f>
        <v>20698</v>
      </c>
      <c r="J178" s="43" t="n">
        <f aca="false">IF($A178="","",物件マスタ!S178)</f>
        <v>16816.345</v>
      </c>
      <c r="K178" s="43" t="n">
        <f aca="false">IF($A178="","",物件マスタ!U178)</f>
        <v>24300</v>
      </c>
      <c r="L178" s="50" t="n">
        <f aca="false">IF($A178="","",物件マスタ!W178)</f>
        <v>0.998</v>
      </c>
      <c r="M178" s="17" t="str">
        <f aca="false">IF($A178="","",IFERROR(INDEX(法人マスタ!$H:$H,MATCH($B178,法人マスタ!$A:$A,0)),""))</f>
        <v>2025年12月期（第49期）</v>
      </c>
      <c r="N178" s="51" t="n">
        <f aca="false">IF($A178="","",SUMIFS(物件収支!$D:$D,物件収支!$A:$A,$A178,物件収支!$C:$C,$M178))</f>
        <v>6</v>
      </c>
      <c r="O178" s="43" t="n">
        <f aca="false">IF($A178="","",SUMIFS(物件収支!$F:$F,物件収支!$A:$A,$A178,物件収支!$C:$C,$M178))</f>
        <v>874000</v>
      </c>
      <c r="P178" s="43" t="n">
        <f aca="false">IF($A178="","",SUMIFS(物件収支!$I:$I,物件収支!$A:$A,$A178,物件収支!$C:$C,$M178))</f>
        <v>0</v>
      </c>
      <c r="Q178" s="43" t="n">
        <f aca="false">IF($A178="","",SUMIFS(物件収支!$O:$O,物件収支!$A:$A,$A178,物件収支!$C:$C,$M178))</f>
        <v>0</v>
      </c>
      <c r="R178" s="43" t="str">
        <f aca="false">IF($A178="","",IF(P178=0,"",O178-P178))</f>
        <v/>
      </c>
      <c r="S178" s="43" t="str">
        <f aca="false">IF($A178="","",IF(R178="","",R178+Q178))</f>
        <v/>
      </c>
      <c r="T178" s="43" t="str">
        <f aca="false">IF($A178="","",IF(OR(S178="",N178&lt;=0),"",S178/1000*12/N178))</f>
        <v/>
      </c>
      <c r="U178" s="52" t="str">
        <f aca="false">IF($A178="","",IF(OR(T178="",J178=0,J178=""),"",T178/J178))</f>
        <v/>
      </c>
      <c r="V178" s="52" t="str">
        <f aca="false">IF($A178="","",IF(OR(R178="",N178&lt;=0,J178=0,J178=""),"",(R178/1000*12/N178)/J178))</f>
        <v/>
      </c>
      <c r="W178" s="52" t="str">
        <f aca="false">IF($A178="","",IF(OR(T178="",K178=0,K178=""),"",T178/K178))</f>
        <v/>
      </c>
      <c r="X178" s="43" t="n">
        <f aca="false">IF($A178="","",IF(OR(N178&lt;=0,I178=0,I178="",O178=0),"",O178*1000/(I178*0.3025)/N178))</f>
        <v>23265.1801973388</v>
      </c>
      <c r="Y178" s="50" t="str">
        <f aca="false">IF($A178="","",IF(OR(O178=0,O178="",P178=0),"",P178/O178))</f>
        <v/>
      </c>
      <c r="Z178" s="17" t="str">
        <f aca="false">IF($A178="","",IFERROR(INDEX(物件収支!$E:$E,MATCH($A178,物件収支!$A:$A,0)),""))</f>
        <v>開示（物件別・収益のみ、百万円単位）</v>
      </c>
    </row>
    <row r="179" customFormat="false" ht="15" hidden="false" customHeight="true" outlineLevel="0" collapsed="false">
      <c r="A179" s="17" t="str">
        <f aca="false">IF(物件マスタ!A179="","",物件マスタ!A179)</f>
        <v>NBF-51</v>
      </c>
      <c r="B179" s="17" t="str">
        <f aca="false">IF($A179="","",物件マスタ!B179)</f>
        <v>NBF</v>
      </c>
      <c r="C179" s="17" t="str">
        <f aca="false">IF($A179="","",IFERROR(INDEX(法人マスタ!$C:$C,MATCH($B179,法人マスタ!$A:$A,0)),""))</f>
        <v>日本ビルファンド投資法人</v>
      </c>
      <c r="D179" s="17" t="str">
        <f aca="false">IF($A179="","",物件マスタ!C179)</f>
        <v>ＮＢＦ浦和ビル</v>
      </c>
      <c r="E179" s="17" t="str">
        <f aca="false">IF($A179="","",物件マスタ!H179)</f>
        <v>東京周辺都市部</v>
      </c>
      <c r="F179" s="48" t="n">
        <f aca="false">IF($A179="","",物件マスタ!P179)</f>
        <v>0</v>
      </c>
      <c r="G179" s="34" t="str">
        <f aca="false">IF($A179="","",物件マスタ!Q179)</f>
        <v/>
      </c>
      <c r="H179" s="49" t="n">
        <f aca="false">IF($A179="","",物件マスタ!L179)</f>
        <v>0</v>
      </c>
      <c r="I179" s="49" t="n">
        <f aca="false">IF($A179="","",物件マスタ!M179)</f>
        <v>3455</v>
      </c>
      <c r="J179" s="43" t="n">
        <f aca="false">IF($A179="","",物件マスタ!S179)</f>
        <v>2000</v>
      </c>
      <c r="K179" s="43" t="n">
        <f aca="false">IF($A179="","",物件マスタ!U179)</f>
        <v>2230</v>
      </c>
      <c r="L179" s="50" t="n">
        <f aca="false">IF($A179="","",物件マスタ!W179)</f>
        <v>1</v>
      </c>
      <c r="M179" s="17" t="str">
        <f aca="false">IF($A179="","",IFERROR(INDEX(法人マスタ!$H:$H,MATCH($B179,法人マスタ!$A:$A,0)),""))</f>
        <v>2025年12月期（第49期）</v>
      </c>
      <c r="N179" s="51" t="n">
        <f aca="false">IF($A179="","",SUMIFS(物件収支!$D:$D,物件収支!$A:$A,$A179,物件収支!$C:$C,$M179))</f>
        <v>6</v>
      </c>
      <c r="O179" s="43" t="n">
        <f aca="false">IF($A179="","",SUMIFS(物件収支!$F:$F,物件収支!$A:$A,$A179,物件収支!$C:$C,$M179))</f>
        <v>110000</v>
      </c>
      <c r="P179" s="43" t="n">
        <f aca="false">IF($A179="","",SUMIFS(物件収支!$I:$I,物件収支!$A:$A,$A179,物件収支!$C:$C,$M179))</f>
        <v>0</v>
      </c>
      <c r="Q179" s="43" t="n">
        <f aca="false">IF($A179="","",SUMIFS(物件収支!$O:$O,物件収支!$A:$A,$A179,物件収支!$C:$C,$M179))</f>
        <v>0</v>
      </c>
      <c r="R179" s="43" t="str">
        <f aca="false">IF($A179="","",IF(P179=0,"",O179-P179))</f>
        <v/>
      </c>
      <c r="S179" s="43" t="str">
        <f aca="false">IF($A179="","",IF(R179="","",R179+Q179))</f>
        <v/>
      </c>
      <c r="T179" s="43" t="str">
        <f aca="false">IF($A179="","",IF(OR(S179="",N179&lt;=0),"",S179/1000*12/N179))</f>
        <v/>
      </c>
      <c r="U179" s="52" t="str">
        <f aca="false">IF($A179="","",IF(OR(T179="",J179=0,J179=""),"",T179/J179))</f>
        <v/>
      </c>
      <c r="V179" s="52" t="str">
        <f aca="false">IF($A179="","",IF(OR(R179="",N179&lt;=0,J179=0,J179=""),"",(R179/1000*12/N179)/J179))</f>
        <v/>
      </c>
      <c r="W179" s="52" t="str">
        <f aca="false">IF($A179="","",IF(OR(T179="",K179=0,K179=""),"",T179/K179))</f>
        <v/>
      </c>
      <c r="X179" s="43" t="n">
        <f aca="false">IF($A179="","",IF(OR(N179&lt;=0,I179=0,I179="",O179=0),"",O179*1000/(I179*0.3025)/N179))</f>
        <v>17541.5515502346</v>
      </c>
      <c r="Y179" s="50" t="str">
        <f aca="false">IF($A179="","",IF(OR(O179=0,O179="",P179=0),"",P179/O179))</f>
        <v/>
      </c>
      <c r="Z179" s="17" t="str">
        <f aca="false">IF($A179="","",IFERROR(INDEX(物件収支!$E:$E,MATCH($A179,物件収支!$A:$A,0)),""))</f>
        <v>開示（物件別・収益のみ、百万円単位）</v>
      </c>
    </row>
    <row r="180" customFormat="false" ht="15" hidden="false" customHeight="true" outlineLevel="0" collapsed="false">
      <c r="A180" s="17" t="str">
        <f aca="false">IF(物件マスタ!A180="","",物件マスタ!A180)</f>
        <v>NBF-52</v>
      </c>
      <c r="B180" s="17" t="str">
        <f aca="false">IF($A180="","",物件マスタ!B180)</f>
        <v>NBF</v>
      </c>
      <c r="C180" s="17" t="str">
        <f aca="false">IF($A180="","",IFERROR(INDEX(法人マスタ!$C:$C,MATCH($B180,法人マスタ!$A:$A,0)),""))</f>
        <v>日本ビルファンド投資法人</v>
      </c>
      <c r="D180" s="17" t="str">
        <f aca="false">IF($A180="","",物件マスタ!C180)</f>
        <v>ＮＢＦ松戸ビル</v>
      </c>
      <c r="E180" s="17" t="str">
        <f aca="false">IF($A180="","",物件マスタ!H180)</f>
        <v>東京周辺都市部</v>
      </c>
      <c r="F180" s="48" t="n">
        <f aca="false">IF($A180="","",物件マスタ!P180)</f>
        <v>0</v>
      </c>
      <c r="G180" s="34" t="str">
        <f aca="false">IF($A180="","",物件マスタ!Q180)</f>
        <v/>
      </c>
      <c r="H180" s="49" t="n">
        <f aca="false">IF($A180="","",物件マスタ!L180)</f>
        <v>0</v>
      </c>
      <c r="I180" s="49" t="n">
        <f aca="false">IF($A180="","",物件マスタ!M180)</f>
        <v>4770</v>
      </c>
      <c r="J180" s="43" t="n">
        <f aca="false">IF($A180="","",物件マスタ!S180)</f>
        <v>2455</v>
      </c>
      <c r="K180" s="43" t="n">
        <f aca="false">IF($A180="","",物件マスタ!U180)</f>
        <v>2550</v>
      </c>
      <c r="L180" s="50" t="n">
        <f aca="false">IF($A180="","",物件マスタ!W180)</f>
        <v>1</v>
      </c>
      <c r="M180" s="17" t="str">
        <f aca="false">IF($A180="","",IFERROR(INDEX(法人マスタ!$H:$H,MATCH($B180,法人マスタ!$A:$A,0)),""))</f>
        <v>2025年12月期（第49期）</v>
      </c>
      <c r="N180" s="51" t="n">
        <f aca="false">IF($A180="","",SUMIFS(物件収支!$D:$D,物件収支!$A:$A,$A180,物件収支!$C:$C,$M180))</f>
        <v>6</v>
      </c>
      <c r="O180" s="43" t="n">
        <f aca="false">IF($A180="","",SUMIFS(物件収支!$F:$F,物件収支!$A:$A,$A180,物件収支!$C:$C,$M180))</f>
        <v>110000</v>
      </c>
      <c r="P180" s="43" t="n">
        <f aca="false">IF($A180="","",SUMIFS(物件収支!$I:$I,物件収支!$A:$A,$A180,物件収支!$C:$C,$M180))</f>
        <v>0</v>
      </c>
      <c r="Q180" s="43" t="n">
        <f aca="false">IF($A180="","",SUMIFS(物件収支!$O:$O,物件収支!$A:$A,$A180,物件収支!$C:$C,$M180))</f>
        <v>0</v>
      </c>
      <c r="R180" s="43" t="str">
        <f aca="false">IF($A180="","",IF(P180=0,"",O180-P180))</f>
        <v/>
      </c>
      <c r="S180" s="43" t="str">
        <f aca="false">IF($A180="","",IF(R180="","",R180+Q180))</f>
        <v/>
      </c>
      <c r="T180" s="43" t="str">
        <f aca="false">IF($A180="","",IF(OR(S180="",N180&lt;=0),"",S180/1000*12/N180))</f>
        <v/>
      </c>
      <c r="U180" s="52" t="str">
        <f aca="false">IF($A180="","",IF(OR(T180="",J180=0,J180=""),"",T180/J180))</f>
        <v/>
      </c>
      <c r="V180" s="52" t="str">
        <f aca="false">IF($A180="","",IF(OR(R180="",N180&lt;=0,J180=0,J180=""),"",(R180/1000*12/N180)/J180))</f>
        <v/>
      </c>
      <c r="W180" s="52" t="str">
        <f aca="false">IF($A180="","",IF(OR(T180="",K180=0,K180=""),"",T180/K180))</f>
        <v/>
      </c>
      <c r="X180" s="43" t="n">
        <f aca="false">IF($A180="","",IF(OR(N180&lt;=0,I180=0,I180="",O180=0),"",O180*1000/(I180*0.3025)/N180))</f>
        <v>12705.6730830316</v>
      </c>
      <c r="Y180" s="50" t="str">
        <f aca="false">IF($A180="","",IF(OR(O180=0,O180="",P180=0),"",P180/O180))</f>
        <v/>
      </c>
      <c r="Z180" s="17" t="str">
        <f aca="false">IF($A180="","",IFERROR(INDEX(物件収支!$E:$E,MATCH($A180,物件収支!$A:$A,0)),""))</f>
        <v>開示（物件別・収益のみ、百万円単位）</v>
      </c>
    </row>
    <row r="181" customFormat="false" ht="15" hidden="false" customHeight="true" outlineLevel="0" collapsed="false">
      <c r="A181" s="17" t="str">
        <f aca="false">IF(物件マスタ!A181="","",物件マスタ!A181)</f>
        <v>NBF-53</v>
      </c>
      <c r="B181" s="17" t="str">
        <f aca="false">IF($A181="","",物件マスタ!B181)</f>
        <v>NBF</v>
      </c>
      <c r="C181" s="17" t="str">
        <f aca="false">IF($A181="","",IFERROR(INDEX(法人マスタ!$C:$C,MATCH($B181,法人マスタ!$A:$A,0)),""))</f>
        <v>日本ビルファンド投資法人</v>
      </c>
      <c r="D181" s="17" t="str">
        <f aca="false">IF($A181="","",物件マスタ!C181)</f>
        <v>ＮＢＦ ＣＯＮＮＥＣＴ ＳＡＰＰＯＲＯ</v>
      </c>
      <c r="E181" s="17" t="str">
        <f aca="false">IF($A181="","",物件マスタ!H181)</f>
        <v>3大都市圏以外の政令市</v>
      </c>
      <c r="F181" s="48" t="n">
        <f aca="false">IF($A181="","",物件マスタ!P181)</f>
        <v>0</v>
      </c>
      <c r="G181" s="34" t="str">
        <f aca="false">IF($A181="","",物件マスタ!Q181)</f>
        <v/>
      </c>
      <c r="H181" s="49" t="n">
        <f aca="false">IF($A181="","",物件マスタ!L181)</f>
        <v>0</v>
      </c>
      <c r="I181" s="49" t="n">
        <f aca="false">IF($A181="","",物件マスタ!M181)</f>
        <v>9422</v>
      </c>
      <c r="J181" s="43" t="n">
        <f aca="false">IF($A181="","",物件マスタ!S181)</f>
        <v>13800</v>
      </c>
      <c r="K181" s="43" t="n">
        <f aca="false">IF($A181="","",物件マスタ!U181)</f>
        <v>14600</v>
      </c>
      <c r="L181" s="50" t="n">
        <f aca="false">IF($A181="","",物件マスタ!W181)</f>
        <v>0.623</v>
      </c>
      <c r="M181" s="17" t="str">
        <f aca="false">IF($A181="","",IFERROR(INDEX(法人マスタ!$H:$H,MATCH($B181,法人マスタ!$A:$A,0)),""))</f>
        <v>2025年12月期（第49期）</v>
      </c>
      <c r="N181" s="51" t="n">
        <f aca="false">IF($A181="","",SUMIFS(物件収支!$D:$D,物件収支!$A:$A,$A181,物件収支!$C:$C,$M181))</f>
        <v>6</v>
      </c>
      <c r="O181" s="43" t="n">
        <f aca="false">IF($A181="","",SUMIFS(物件収支!$F:$F,物件収支!$A:$A,$A181,物件収支!$C:$C,$M181))</f>
        <v>17000</v>
      </c>
      <c r="P181" s="43" t="n">
        <f aca="false">IF($A181="","",SUMIFS(物件収支!$I:$I,物件収支!$A:$A,$A181,物件収支!$C:$C,$M181))</f>
        <v>0</v>
      </c>
      <c r="Q181" s="43" t="n">
        <f aca="false">IF($A181="","",SUMIFS(物件収支!$O:$O,物件収支!$A:$A,$A181,物件収支!$C:$C,$M181))</f>
        <v>0</v>
      </c>
      <c r="R181" s="43" t="str">
        <f aca="false">IF($A181="","",IF(P181=0,"",O181-P181))</f>
        <v/>
      </c>
      <c r="S181" s="43" t="str">
        <f aca="false">IF($A181="","",IF(R181="","",R181+Q181))</f>
        <v/>
      </c>
      <c r="T181" s="43" t="str">
        <f aca="false">IF($A181="","",IF(OR(S181="",N181&lt;=0),"",S181/1000*12/N181))</f>
        <v/>
      </c>
      <c r="U181" s="52" t="str">
        <f aca="false">IF($A181="","",IF(OR(T181="",J181=0,J181=""),"",T181/J181))</f>
        <v/>
      </c>
      <c r="V181" s="52" t="str">
        <f aca="false">IF($A181="","",IF(OR(R181="",N181&lt;=0,J181=0,J181=""),"",(R181/1000*12/N181)/J181))</f>
        <v/>
      </c>
      <c r="W181" s="52" t="str">
        <f aca="false">IF($A181="","",IF(OR(T181="",K181=0,K181=""),"",T181/K181))</f>
        <v/>
      </c>
      <c r="X181" s="43" t="n">
        <f aca="false">IF($A181="","",IF(OR(N181&lt;=0,I181=0,I181="",O181=0),"",O181*1000/(I181*0.3025)/N181))</f>
        <v>994.097981805668</v>
      </c>
      <c r="Y181" s="50" t="str">
        <f aca="false">IF($A181="","",IF(OR(O181=0,O181="",P181=0),"",P181/O181))</f>
        <v/>
      </c>
      <c r="Z181" s="17" t="str">
        <f aca="false">IF($A181="","",IFERROR(INDEX(物件収支!$E:$E,MATCH($A181,物件収支!$A:$A,0)),""))</f>
        <v>開示（物件別・収益のみ、百万円単位）</v>
      </c>
    </row>
    <row r="182" customFormat="false" ht="15" hidden="false" customHeight="true" outlineLevel="0" collapsed="false">
      <c r="A182" s="17" t="str">
        <f aca="false">IF(物件マスタ!A182="","",物件マスタ!A182)</f>
        <v>NBF-54</v>
      </c>
      <c r="B182" s="17" t="str">
        <f aca="false">IF($A182="","",物件マスタ!B182)</f>
        <v>NBF</v>
      </c>
      <c r="C182" s="17" t="str">
        <f aca="false">IF($A182="","",IFERROR(INDEX(法人マスタ!$C:$C,MATCH($B182,法人マスタ!$A:$A,0)),""))</f>
        <v>日本ビルファンド投資法人</v>
      </c>
      <c r="D182" s="17" t="str">
        <f aca="false">IF($A182="","",物件マスタ!C182)</f>
        <v>札幌エルプラザ</v>
      </c>
      <c r="E182" s="17" t="str">
        <f aca="false">IF($A182="","",物件マスタ!H182)</f>
        <v>3大都市圏以外の政令市</v>
      </c>
      <c r="F182" s="48" t="n">
        <f aca="false">IF($A182="","",物件マスタ!P182)</f>
        <v>0</v>
      </c>
      <c r="G182" s="34" t="str">
        <f aca="false">IF($A182="","",物件マスタ!Q182)</f>
        <v/>
      </c>
      <c r="H182" s="49" t="n">
        <f aca="false">IF($A182="","",物件マスタ!L182)</f>
        <v>0</v>
      </c>
      <c r="I182" s="49" t="n">
        <f aca="false">IF($A182="","",物件マスタ!M182)</f>
        <v>11396</v>
      </c>
      <c r="J182" s="43" t="n">
        <f aca="false">IF($A182="","",物件マスタ!S182)</f>
        <v>4404.405</v>
      </c>
      <c r="K182" s="43" t="n">
        <f aca="false">IF($A182="","",物件マスタ!U182)</f>
        <v>9240</v>
      </c>
      <c r="L182" s="50" t="n">
        <f aca="false">IF($A182="","",物件マスタ!W182)</f>
        <v>1</v>
      </c>
      <c r="M182" s="17" t="str">
        <f aca="false">IF($A182="","",IFERROR(INDEX(法人マスタ!$H:$H,MATCH($B182,法人マスタ!$A:$A,0)),""))</f>
        <v>2025年12月期（第49期）</v>
      </c>
      <c r="N182" s="51" t="n">
        <f aca="false">IF($A182="","",SUMIFS(物件収支!$D:$D,物件収支!$A:$A,$A182,物件収支!$C:$C,$M182))</f>
        <v>6</v>
      </c>
      <c r="O182" s="43" t="n">
        <f aca="false">IF($A182="","",SUMIFS(物件収支!$F:$F,物件収支!$A:$A,$A182,物件収支!$C:$C,$M182))</f>
        <v>348000</v>
      </c>
      <c r="P182" s="43" t="n">
        <f aca="false">IF($A182="","",SUMIFS(物件収支!$I:$I,物件収支!$A:$A,$A182,物件収支!$C:$C,$M182))</f>
        <v>0</v>
      </c>
      <c r="Q182" s="43" t="n">
        <f aca="false">IF($A182="","",SUMIFS(物件収支!$O:$O,物件収支!$A:$A,$A182,物件収支!$C:$C,$M182))</f>
        <v>0</v>
      </c>
      <c r="R182" s="43" t="str">
        <f aca="false">IF($A182="","",IF(P182=0,"",O182-P182))</f>
        <v/>
      </c>
      <c r="S182" s="43" t="str">
        <f aca="false">IF($A182="","",IF(R182="","",R182+Q182))</f>
        <v/>
      </c>
      <c r="T182" s="43" t="str">
        <f aca="false">IF($A182="","",IF(OR(S182="",N182&lt;=0),"",S182/1000*12/N182))</f>
        <v/>
      </c>
      <c r="U182" s="52" t="str">
        <f aca="false">IF($A182="","",IF(OR(T182="",J182=0,J182=""),"",T182/J182))</f>
        <v/>
      </c>
      <c r="V182" s="52" t="str">
        <f aca="false">IF($A182="","",IF(OR(R182="",N182&lt;=0,J182=0,J182=""),"",(R182/1000*12/N182)/J182))</f>
        <v/>
      </c>
      <c r="W182" s="52" t="str">
        <f aca="false">IF($A182="","",IF(OR(T182="",K182=0,K182=""),"",T182/K182))</f>
        <v/>
      </c>
      <c r="X182" s="43" t="n">
        <f aca="false">IF($A182="","",IF(OR(N182&lt;=0,I182=0,I182="",O182=0),"",O182*1000/(I182*0.3025)/N182))</f>
        <v>16824.81021324</v>
      </c>
      <c r="Y182" s="50" t="str">
        <f aca="false">IF($A182="","",IF(OR(O182=0,O182="",P182=0),"",P182/O182))</f>
        <v/>
      </c>
      <c r="Z182" s="17" t="str">
        <f aca="false">IF($A182="","",IFERROR(INDEX(物件収支!$E:$E,MATCH($A182,物件収支!$A:$A,0)),""))</f>
        <v>開示（物件別・収益のみ、百万円単位）</v>
      </c>
    </row>
    <row r="183" customFormat="false" ht="15" hidden="false" customHeight="true" outlineLevel="0" collapsed="false">
      <c r="A183" s="17" t="str">
        <f aca="false">IF(物件マスタ!A183="","",物件マスタ!A183)</f>
        <v>NBF-55</v>
      </c>
      <c r="B183" s="17" t="str">
        <f aca="false">IF($A183="","",物件マスタ!B183)</f>
        <v>NBF</v>
      </c>
      <c r="C183" s="17" t="str">
        <f aca="false">IF($A183="","",IFERROR(INDEX(法人マスタ!$C:$C,MATCH($B183,法人マスタ!$A:$A,0)),""))</f>
        <v>日本ビルファンド投資法人</v>
      </c>
      <c r="D183" s="17" t="str">
        <f aca="false">IF($A183="","",物件マスタ!C183)</f>
        <v>ＮＢＦ札幌南二条ビル</v>
      </c>
      <c r="E183" s="17" t="str">
        <f aca="false">IF($A183="","",物件マスタ!H183)</f>
        <v>3大都市圏以外の政令市</v>
      </c>
      <c r="F183" s="48" t="n">
        <f aca="false">IF($A183="","",物件マスタ!P183)</f>
        <v>0</v>
      </c>
      <c r="G183" s="34" t="str">
        <f aca="false">IF($A183="","",物件マスタ!Q183)</f>
        <v/>
      </c>
      <c r="H183" s="49" t="n">
        <f aca="false">IF($A183="","",物件マスタ!L183)</f>
        <v>0</v>
      </c>
      <c r="I183" s="49" t="n">
        <f aca="false">IF($A183="","",物件マスタ!M183)</f>
        <v>5351</v>
      </c>
      <c r="J183" s="43" t="n">
        <f aca="false">IF($A183="","",物件マスタ!S183)</f>
        <v>1870.3</v>
      </c>
      <c r="K183" s="43" t="n">
        <f aca="false">IF($A183="","",物件マスタ!U183)</f>
        <v>1740</v>
      </c>
      <c r="L183" s="50" t="n">
        <f aca="false">IF($A183="","",物件マスタ!W183)</f>
        <v>1</v>
      </c>
      <c r="M183" s="17" t="str">
        <f aca="false">IF($A183="","",IFERROR(INDEX(法人マスタ!$H:$H,MATCH($B183,法人マスタ!$A:$A,0)),""))</f>
        <v>2025年12月期（第49期）</v>
      </c>
      <c r="N183" s="51" t="n">
        <f aca="false">IF($A183="","",SUMIFS(物件収支!$D:$D,物件収支!$A:$A,$A183,物件収支!$C:$C,$M183))</f>
        <v>6</v>
      </c>
      <c r="O183" s="43" t="n">
        <f aca="false">IF($A183="","",SUMIFS(物件収支!$F:$F,物件収支!$A:$A,$A183,物件収支!$C:$C,$M183))</f>
        <v>126000</v>
      </c>
      <c r="P183" s="43" t="n">
        <f aca="false">IF($A183="","",SUMIFS(物件収支!$I:$I,物件収支!$A:$A,$A183,物件収支!$C:$C,$M183))</f>
        <v>0</v>
      </c>
      <c r="Q183" s="43" t="n">
        <f aca="false">IF($A183="","",SUMIFS(物件収支!$O:$O,物件収支!$A:$A,$A183,物件収支!$C:$C,$M183))</f>
        <v>0</v>
      </c>
      <c r="R183" s="43" t="str">
        <f aca="false">IF($A183="","",IF(P183=0,"",O183-P183))</f>
        <v/>
      </c>
      <c r="S183" s="43" t="str">
        <f aca="false">IF($A183="","",IF(R183="","",R183+Q183))</f>
        <v/>
      </c>
      <c r="T183" s="43" t="str">
        <f aca="false">IF($A183="","",IF(OR(S183="",N183&lt;=0),"",S183/1000*12/N183))</f>
        <v/>
      </c>
      <c r="U183" s="52" t="str">
        <f aca="false">IF($A183="","",IF(OR(T183="",J183=0,J183=""),"",T183/J183))</f>
        <v/>
      </c>
      <c r="V183" s="52" t="str">
        <f aca="false">IF($A183="","",IF(OR(R183="",N183&lt;=0,J183=0,J183=""),"",(R183/1000*12/N183)/J183))</f>
        <v/>
      </c>
      <c r="W183" s="52" t="str">
        <f aca="false">IF($A183="","",IF(OR(T183="",K183=0,K183=""),"",T183/K183))</f>
        <v/>
      </c>
      <c r="X183" s="43" t="n">
        <f aca="false">IF($A183="","",IF(OR(N183&lt;=0,I183=0,I183="",O183=0),"",O183*1000/(I183*0.3025)/N183))</f>
        <v>12973.5540279024</v>
      </c>
      <c r="Y183" s="50" t="str">
        <f aca="false">IF($A183="","",IF(OR(O183=0,O183="",P183=0),"",P183/O183))</f>
        <v/>
      </c>
      <c r="Z183" s="17" t="str">
        <f aca="false">IF($A183="","",IFERROR(INDEX(物件収支!$E:$E,MATCH($A183,物件収支!$A:$A,0)),""))</f>
        <v>開示（物件別・収益のみ、百万円単位）</v>
      </c>
    </row>
    <row r="184" customFormat="false" ht="15" hidden="false" customHeight="true" outlineLevel="0" collapsed="false">
      <c r="A184" s="17" t="str">
        <f aca="false">IF(物件マスタ!A184="","",物件マスタ!A184)</f>
        <v>NBF-56</v>
      </c>
      <c r="B184" s="17" t="str">
        <f aca="false">IF($A184="","",物件マスタ!B184)</f>
        <v>NBF</v>
      </c>
      <c r="C184" s="17" t="str">
        <f aca="false">IF($A184="","",IFERROR(INDEX(法人マスタ!$C:$C,MATCH($B184,法人マスタ!$A:$A,0)),""))</f>
        <v>日本ビルファンド投資法人</v>
      </c>
      <c r="D184" s="17" t="str">
        <f aca="false">IF($A184="","",物件マスタ!C184)</f>
        <v>Ｄタワー富山</v>
      </c>
      <c r="E184" s="17" t="str">
        <f aca="false">IF($A184="","",物件マスタ!H184)</f>
        <v>その他地方都市</v>
      </c>
      <c r="F184" s="48" t="n">
        <f aca="false">IF($A184="","",物件マスタ!P184)</f>
        <v>0</v>
      </c>
      <c r="G184" s="34" t="str">
        <f aca="false">IF($A184="","",物件マスタ!Q184)</f>
        <v/>
      </c>
      <c r="H184" s="49" t="n">
        <f aca="false">IF($A184="","",物件マスタ!L184)</f>
        <v>0</v>
      </c>
      <c r="I184" s="49" t="n">
        <f aca="false">IF($A184="","",物件マスタ!M184)</f>
        <v>10949</v>
      </c>
      <c r="J184" s="43" t="n">
        <f aca="false">IF($A184="","",物件マスタ!S184)</f>
        <v>9000</v>
      </c>
      <c r="K184" s="43" t="n">
        <f aca="false">IF($A184="","",物件マスタ!U184)</f>
        <v>9240</v>
      </c>
      <c r="L184" s="50" t="n">
        <f aca="false">IF($A184="","",物件マスタ!W184)</f>
        <v>0.466</v>
      </c>
      <c r="M184" s="17" t="str">
        <f aca="false">IF($A184="","",IFERROR(INDEX(法人マスタ!$H:$H,MATCH($B184,法人マスタ!$A:$A,0)),""))</f>
        <v>2025年12月期（第49期）</v>
      </c>
      <c r="N184" s="51" t="n">
        <f aca="false">IF($A184="","",SUMIFS(物件収支!$D:$D,物件収支!$A:$A,$A184,物件収支!$C:$C,$M184))</f>
        <v>6</v>
      </c>
      <c r="O184" s="43" t="n">
        <f aca="false">IF($A184="","",SUMIFS(物件収支!$F:$F,物件収支!$A:$A,$A184,物件収支!$C:$C,$M184))</f>
        <v>161000</v>
      </c>
      <c r="P184" s="43" t="n">
        <f aca="false">IF($A184="","",SUMIFS(物件収支!$I:$I,物件収支!$A:$A,$A184,物件収支!$C:$C,$M184))</f>
        <v>0</v>
      </c>
      <c r="Q184" s="43" t="n">
        <f aca="false">IF($A184="","",SUMIFS(物件収支!$O:$O,物件収支!$A:$A,$A184,物件収支!$C:$C,$M184))</f>
        <v>0</v>
      </c>
      <c r="R184" s="43" t="str">
        <f aca="false">IF($A184="","",IF(P184=0,"",O184-P184))</f>
        <v/>
      </c>
      <c r="S184" s="43" t="str">
        <f aca="false">IF($A184="","",IF(R184="","",R184+Q184))</f>
        <v/>
      </c>
      <c r="T184" s="43" t="str">
        <f aca="false">IF($A184="","",IF(OR(S184="",N184&lt;=0),"",S184/1000*12/N184))</f>
        <v/>
      </c>
      <c r="U184" s="52" t="str">
        <f aca="false">IF($A184="","",IF(OR(T184="",J184=0,J184=""),"",T184/J184))</f>
        <v/>
      </c>
      <c r="V184" s="52" t="str">
        <f aca="false">IF($A184="","",IF(OR(R184="",N184&lt;=0,J184=0,J184=""),"",(R184/1000*12/N184)/J184))</f>
        <v/>
      </c>
      <c r="W184" s="52" t="str">
        <f aca="false">IF($A184="","",IF(OR(T184="",K184=0,K184=""),"",T184/K184))</f>
        <v/>
      </c>
      <c r="X184" s="43" t="n">
        <f aca="false">IF($A184="","",IF(OR(N184&lt;=0,I184=0,I184="",O184=0),"",O184*1000/(I184*0.3025)/N184))</f>
        <v>8101.67450541416</v>
      </c>
      <c r="Y184" s="50" t="str">
        <f aca="false">IF($A184="","",IF(OR(O184=0,O184="",P184=0),"",P184/O184))</f>
        <v/>
      </c>
      <c r="Z184" s="17" t="str">
        <f aca="false">IF($A184="","",IFERROR(INDEX(物件収支!$E:$E,MATCH($A184,物件収支!$A:$A,0)),""))</f>
        <v>開示（物件別・収益のみ、百万円単位）</v>
      </c>
    </row>
    <row r="185" customFormat="false" ht="15" hidden="false" customHeight="true" outlineLevel="0" collapsed="false">
      <c r="A185" s="17" t="str">
        <f aca="false">IF(物件マスタ!A185="","",物件マスタ!A185)</f>
        <v>NBF-57</v>
      </c>
      <c r="B185" s="17" t="str">
        <f aca="false">IF($A185="","",物件マスタ!B185)</f>
        <v>NBF</v>
      </c>
      <c r="C185" s="17" t="str">
        <f aca="false">IF($A185="","",IFERROR(INDEX(法人マスタ!$C:$C,MATCH($B185,法人マスタ!$A:$A,0)),""))</f>
        <v>日本ビルファンド投資法人</v>
      </c>
      <c r="D185" s="17" t="str">
        <f aca="false">IF($A185="","",物件マスタ!C185)</f>
        <v>三井住友銀行名古屋ビル</v>
      </c>
      <c r="E185" s="17" t="str">
        <f aca="false">IF($A185="","",物件マスタ!H185)</f>
        <v>その他3大都市圏</v>
      </c>
      <c r="F185" s="48" t="n">
        <f aca="false">IF($A185="","",物件マスタ!P185)</f>
        <v>0</v>
      </c>
      <c r="G185" s="34" t="str">
        <f aca="false">IF($A185="","",物件マスタ!Q185)</f>
        <v/>
      </c>
      <c r="H185" s="49" t="n">
        <f aca="false">IF($A185="","",物件マスタ!L185)</f>
        <v>0</v>
      </c>
      <c r="I185" s="49" t="n">
        <f aca="false">IF($A185="","",物件マスタ!M185)</f>
        <v>17658</v>
      </c>
      <c r="J185" s="43" t="n">
        <f aca="false">IF($A185="","",物件マスタ!S185)</f>
        <v>14900</v>
      </c>
      <c r="K185" s="43" t="n">
        <f aca="false">IF($A185="","",物件マスタ!U185)</f>
        <v>16900</v>
      </c>
      <c r="L185" s="50" t="n">
        <f aca="false">IF($A185="","",物件マスタ!W185)</f>
        <v>0.98</v>
      </c>
      <c r="M185" s="17" t="str">
        <f aca="false">IF($A185="","",IFERROR(INDEX(法人マスタ!$H:$H,MATCH($B185,法人マスタ!$A:$A,0)),""))</f>
        <v>2025年12月期（第49期）</v>
      </c>
      <c r="N185" s="51" t="n">
        <f aca="false">IF($A185="","",SUMIFS(物件収支!$D:$D,物件収支!$A:$A,$A185,物件収支!$C:$C,$M185))</f>
        <v>6</v>
      </c>
      <c r="O185" s="43" t="n">
        <f aca="false">IF($A185="","",SUMIFS(物件収支!$F:$F,物件収支!$A:$A,$A185,物件収支!$C:$C,$M185))</f>
        <v>614000</v>
      </c>
      <c r="P185" s="43" t="n">
        <f aca="false">IF($A185="","",SUMIFS(物件収支!$I:$I,物件収支!$A:$A,$A185,物件収支!$C:$C,$M185))</f>
        <v>0</v>
      </c>
      <c r="Q185" s="43" t="n">
        <f aca="false">IF($A185="","",SUMIFS(物件収支!$O:$O,物件収支!$A:$A,$A185,物件収支!$C:$C,$M185))</f>
        <v>0</v>
      </c>
      <c r="R185" s="43" t="str">
        <f aca="false">IF($A185="","",IF(P185=0,"",O185-P185))</f>
        <v/>
      </c>
      <c r="S185" s="43" t="str">
        <f aca="false">IF($A185="","",IF(R185="","",R185+Q185))</f>
        <v/>
      </c>
      <c r="T185" s="43" t="str">
        <f aca="false">IF($A185="","",IF(OR(S185="",N185&lt;=0),"",S185/1000*12/N185))</f>
        <v/>
      </c>
      <c r="U185" s="52" t="str">
        <f aca="false">IF($A185="","",IF(OR(T185="",J185=0,J185=""),"",T185/J185))</f>
        <v/>
      </c>
      <c r="V185" s="52" t="str">
        <f aca="false">IF($A185="","",IF(OR(R185="",N185&lt;=0,J185=0,J185=""),"",(R185/1000*12/N185)/J185))</f>
        <v/>
      </c>
      <c r="W185" s="52" t="str">
        <f aca="false">IF($A185="","",IF(OR(T185="",K185=0,K185=""),"",T185/K185))</f>
        <v/>
      </c>
      <c r="X185" s="43" t="n">
        <f aca="false">IF($A185="","",IF(OR(N185&lt;=0,I185=0,I185="",O185=0),"",O185*1000/(I185*0.3025)/N185))</f>
        <v>19158.0026627752</v>
      </c>
      <c r="Y185" s="50" t="str">
        <f aca="false">IF($A185="","",IF(OR(O185=0,O185="",P185=0),"",P185/O185))</f>
        <v/>
      </c>
      <c r="Z185" s="17" t="str">
        <f aca="false">IF($A185="","",IFERROR(INDEX(物件収支!$E:$E,MATCH($A185,物件収支!$A:$A,0)),""))</f>
        <v>開示（物件別・収益のみ、百万円単位）</v>
      </c>
    </row>
    <row r="186" customFormat="false" ht="15" hidden="false" customHeight="true" outlineLevel="0" collapsed="false">
      <c r="A186" s="17" t="str">
        <f aca="false">IF(物件マスタ!A186="","",物件マスタ!A186)</f>
        <v>NBF-58</v>
      </c>
      <c r="B186" s="17" t="str">
        <f aca="false">IF($A186="","",物件マスタ!B186)</f>
        <v>NBF</v>
      </c>
      <c r="C186" s="17" t="str">
        <f aca="false">IF($A186="","",IFERROR(INDEX(法人マスタ!$C:$C,MATCH($B186,法人マスタ!$A:$A,0)),""))</f>
        <v>日本ビルファンド投資法人</v>
      </c>
      <c r="D186" s="17" t="str">
        <f aca="false">IF($A186="","",物件マスタ!C186)</f>
        <v>名古屋三井ビルディング新館</v>
      </c>
      <c r="E186" s="17" t="str">
        <f aca="false">IF($A186="","",物件マスタ!H186)</f>
        <v>その他3大都市圏</v>
      </c>
      <c r="F186" s="48" t="n">
        <f aca="false">IF($A186="","",物件マスタ!P186)</f>
        <v>0</v>
      </c>
      <c r="G186" s="34" t="str">
        <f aca="false">IF($A186="","",物件マスタ!Q186)</f>
        <v/>
      </c>
      <c r="H186" s="49" t="n">
        <f aca="false">IF($A186="","",物件マスタ!L186)</f>
        <v>0</v>
      </c>
      <c r="I186" s="49" t="n">
        <f aca="false">IF($A186="","",物件マスタ!M186)</f>
        <v>11222</v>
      </c>
      <c r="J186" s="43" t="n">
        <f aca="false">IF($A186="","",物件マスタ!S186)</f>
        <v>13200</v>
      </c>
      <c r="K186" s="43" t="n">
        <f aca="false">IF($A186="","",物件マスタ!U186)</f>
        <v>15300</v>
      </c>
      <c r="L186" s="50" t="n">
        <f aca="false">IF($A186="","",物件マスタ!W186)</f>
        <v>1</v>
      </c>
      <c r="M186" s="17" t="str">
        <f aca="false">IF($A186="","",IFERROR(INDEX(法人マスタ!$H:$H,MATCH($B186,法人マスタ!$A:$A,0)),""))</f>
        <v>2025年12月期（第49期）</v>
      </c>
      <c r="N186" s="51" t="n">
        <f aca="false">IF($A186="","",SUMIFS(物件収支!$D:$D,物件収支!$A:$A,$A186,物件収支!$C:$C,$M186))</f>
        <v>6</v>
      </c>
      <c r="O186" s="43" t="n">
        <f aca="false">IF($A186="","",SUMIFS(物件収支!$F:$F,物件収支!$A:$A,$A186,物件収支!$C:$C,$M186))</f>
        <v>457000</v>
      </c>
      <c r="P186" s="43" t="n">
        <f aca="false">IF($A186="","",SUMIFS(物件収支!$I:$I,物件収支!$A:$A,$A186,物件収支!$C:$C,$M186))</f>
        <v>0</v>
      </c>
      <c r="Q186" s="43" t="n">
        <f aca="false">IF($A186="","",SUMIFS(物件収支!$O:$O,物件収支!$A:$A,$A186,物件収支!$C:$C,$M186))</f>
        <v>0</v>
      </c>
      <c r="R186" s="43" t="str">
        <f aca="false">IF($A186="","",IF(P186=0,"",O186-P186))</f>
        <v/>
      </c>
      <c r="S186" s="43" t="str">
        <f aca="false">IF($A186="","",IF(R186="","",R186+Q186))</f>
        <v/>
      </c>
      <c r="T186" s="43" t="str">
        <f aca="false">IF($A186="","",IF(OR(S186="",N186&lt;=0),"",S186/1000*12/N186))</f>
        <v/>
      </c>
      <c r="U186" s="52" t="str">
        <f aca="false">IF($A186="","",IF(OR(T186="",J186=0,J186=""),"",T186/J186))</f>
        <v/>
      </c>
      <c r="V186" s="52" t="str">
        <f aca="false">IF($A186="","",IF(OR(R186="",N186&lt;=0,J186=0,J186=""),"",(R186/1000*12/N186)/J186))</f>
        <v/>
      </c>
      <c r="W186" s="52" t="str">
        <f aca="false">IF($A186="","",IF(OR(T186="",K186=0,K186=""),"",T186/K186))</f>
        <v/>
      </c>
      <c r="X186" s="43" t="n">
        <f aca="false">IF($A186="","",IF(OR(N186&lt;=0,I186=0,I186="",O186=0),"",O186*1000/(I186*0.3025)/N186))</f>
        <v>22437.233435111</v>
      </c>
      <c r="Y186" s="50" t="str">
        <f aca="false">IF($A186="","",IF(OR(O186=0,O186="",P186=0),"",P186/O186))</f>
        <v/>
      </c>
      <c r="Z186" s="17" t="str">
        <f aca="false">IF($A186="","",IFERROR(INDEX(物件収支!$E:$E,MATCH($A186,物件収支!$A:$A,0)),""))</f>
        <v>開示（物件別・収益のみ、百万円単位）</v>
      </c>
    </row>
    <row r="187" customFormat="false" ht="15" hidden="false" customHeight="true" outlineLevel="0" collapsed="false">
      <c r="A187" s="17" t="str">
        <f aca="false">IF(物件マスタ!A187="","",物件マスタ!A187)</f>
        <v>NBF-59</v>
      </c>
      <c r="B187" s="17" t="str">
        <f aca="false">IF($A187="","",物件マスタ!B187)</f>
        <v>NBF</v>
      </c>
      <c r="C187" s="17" t="str">
        <f aca="false">IF($A187="","",IFERROR(INDEX(法人マスタ!$C:$C,MATCH($B187,法人マスタ!$A:$A,0)),""))</f>
        <v>日本ビルファンド投資法人</v>
      </c>
      <c r="D187" s="17" t="str">
        <f aca="false">IF($A187="","",物件マスタ!C187)</f>
        <v>名古屋三井ビルディング本館</v>
      </c>
      <c r="E187" s="17" t="str">
        <f aca="false">IF($A187="","",物件マスタ!H187)</f>
        <v>その他3大都市圏</v>
      </c>
      <c r="F187" s="48" t="n">
        <f aca="false">IF($A187="","",物件マスタ!P187)</f>
        <v>0</v>
      </c>
      <c r="G187" s="34" t="str">
        <f aca="false">IF($A187="","",物件マスタ!Q187)</f>
        <v/>
      </c>
      <c r="H187" s="49" t="n">
        <f aca="false">IF($A187="","",物件マスタ!L187)</f>
        <v>0</v>
      </c>
      <c r="I187" s="49" t="n">
        <f aca="false">IF($A187="","",物件マスタ!M187)</f>
        <v>12989</v>
      </c>
      <c r="J187" s="43" t="n">
        <f aca="false">IF($A187="","",物件マスタ!S187)</f>
        <v>13050</v>
      </c>
      <c r="K187" s="43" t="n">
        <f aca="false">IF($A187="","",物件マスタ!U187)</f>
        <v>14300</v>
      </c>
      <c r="L187" s="50" t="n">
        <f aca="false">IF($A187="","",物件マスタ!W187)</f>
        <v>0.971</v>
      </c>
      <c r="M187" s="17" t="str">
        <f aca="false">IF($A187="","",IFERROR(INDEX(法人マスタ!$H:$H,MATCH($B187,法人マスタ!$A:$A,0)),""))</f>
        <v>2025年12月期（第49期）</v>
      </c>
      <c r="N187" s="51" t="n">
        <f aca="false">IF($A187="","",SUMIFS(物件収支!$D:$D,物件収支!$A:$A,$A187,物件収支!$C:$C,$M187))</f>
        <v>6</v>
      </c>
      <c r="O187" s="43" t="n">
        <f aca="false">IF($A187="","",SUMIFS(物件収支!$F:$F,物件収支!$A:$A,$A187,物件収支!$C:$C,$M187))</f>
        <v>508000</v>
      </c>
      <c r="P187" s="43" t="n">
        <f aca="false">IF($A187="","",SUMIFS(物件収支!$I:$I,物件収支!$A:$A,$A187,物件収支!$C:$C,$M187))</f>
        <v>0</v>
      </c>
      <c r="Q187" s="43" t="n">
        <f aca="false">IF($A187="","",SUMIFS(物件収支!$O:$O,物件収支!$A:$A,$A187,物件収支!$C:$C,$M187))</f>
        <v>0</v>
      </c>
      <c r="R187" s="43" t="str">
        <f aca="false">IF($A187="","",IF(P187=0,"",O187-P187))</f>
        <v/>
      </c>
      <c r="S187" s="43" t="str">
        <f aca="false">IF($A187="","",IF(R187="","",R187+Q187))</f>
        <v/>
      </c>
      <c r="T187" s="43" t="str">
        <f aca="false">IF($A187="","",IF(OR(S187="",N187&lt;=0),"",S187/1000*12/N187))</f>
        <v/>
      </c>
      <c r="U187" s="52" t="str">
        <f aca="false">IF($A187="","",IF(OR(T187="",J187=0,J187=""),"",T187/J187))</f>
        <v/>
      </c>
      <c r="V187" s="52" t="str">
        <f aca="false">IF($A187="","",IF(OR(R187="",N187&lt;=0,J187=0,J187=""),"",(R187/1000*12/N187)/J187))</f>
        <v/>
      </c>
      <c r="W187" s="52" t="str">
        <f aca="false">IF($A187="","",IF(OR(T187="",K187=0,K187=""),"",T187/K187))</f>
        <v/>
      </c>
      <c r="X187" s="43" t="n">
        <f aca="false">IF($A187="","",IF(OR(N187&lt;=0,I187=0,I187="",O187=0),"",O187*1000/(I187*0.3025)/N187))</f>
        <v>21548.2182741192</v>
      </c>
      <c r="Y187" s="50" t="str">
        <f aca="false">IF($A187="","",IF(OR(O187=0,O187="",P187=0),"",P187/O187))</f>
        <v/>
      </c>
      <c r="Z187" s="17" t="str">
        <f aca="false">IF($A187="","",IFERROR(INDEX(物件収支!$E:$E,MATCH($A187,物件収支!$A:$A,0)),""))</f>
        <v>開示（物件別・収益のみ、百万円単位）</v>
      </c>
    </row>
    <row r="188" customFormat="false" ht="15" hidden="false" customHeight="true" outlineLevel="0" collapsed="false">
      <c r="A188" s="17" t="str">
        <f aca="false">IF(物件マスタ!A188="","",物件マスタ!A188)</f>
        <v>NBF-60</v>
      </c>
      <c r="B188" s="17" t="str">
        <f aca="false">IF($A188="","",物件マスタ!B188)</f>
        <v>NBF</v>
      </c>
      <c r="C188" s="17" t="str">
        <f aca="false">IF($A188="","",IFERROR(INDEX(法人マスタ!$C:$C,MATCH($B188,法人マスタ!$A:$A,0)),""))</f>
        <v>日本ビルファンド投資法人</v>
      </c>
      <c r="D188" s="17" t="str">
        <f aca="false">IF($A188="","",物件マスタ!C188)</f>
        <v>ＮＢＦ名古屋広小路ビル</v>
      </c>
      <c r="E188" s="17" t="str">
        <f aca="false">IF($A188="","",物件マスタ!H188)</f>
        <v>その他3大都市圏</v>
      </c>
      <c r="F188" s="48" t="n">
        <f aca="false">IF($A188="","",物件マスタ!P188)</f>
        <v>0</v>
      </c>
      <c r="G188" s="34" t="str">
        <f aca="false">IF($A188="","",物件マスタ!Q188)</f>
        <v/>
      </c>
      <c r="H188" s="49" t="n">
        <f aca="false">IF($A188="","",物件マスタ!L188)</f>
        <v>0</v>
      </c>
      <c r="I188" s="49" t="n">
        <f aca="false">IF($A188="","",物件マスタ!M188)</f>
        <v>9883</v>
      </c>
      <c r="J188" s="43" t="n">
        <f aca="false">IF($A188="","",物件マスタ!S188)</f>
        <v>7232</v>
      </c>
      <c r="K188" s="43" t="n">
        <f aca="false">IF($A188="","",物件マスタ!U188)</f>
        <v>6790</v>
      </c>
      <c r="L188" s="50" t="n">
        <f aca="false">IF($A188="","",物件マスタ!W188)</f>
        <v>0.976</v>
      </c>
      <c r="M188" s="17" t="str">
        <f aca="false">IF($A188="","",IFERROR(INDEX(法人マスタ!$H:$H,MATCH($B188,法人マスタ!$A:$A,0)),""))</f>
        <v>2025年12月期（第49期）</v>
      </c>
      <c r="N188" s="51" t="n">
        <f aca="false">IF($A188="","",SUMIFS(物件収支!$D:$D,物件収支!$A:$A,$A188,物件収支!$C:$C,$M188))</f>
        <v>6</v>
      </c>
      <c r="O188" s="43" t="n">
        <f aca="false">IF($A188="","",SUMIFS(物件収支!$F:$F,物件収支!$A:$A,$A188,物件収支!$C:$C,$M188))</f>
        <v>253000</v>
      </c>
      <c r="P188" s="43" t="n">
        <f aca="false">IF($A188="","",SUMIFS(物件収支!$I:$I,物件収支!$A:$A,$A188,物件収支!$C:$C,$M188))</f>
        <v>0</v>
      </c>
      <c r="Q188" s="43" t="n">
        <f aca="false">IF($A188="","",SUMIFS(物件収支!$O:$O,物件収支!$A:$A,$A188,物件収支!$C:$C,$M188))</f>
        <v>0</v>
      </c>
      <c r="R188" s="43" t="str">
        <f aca="false">IF($A188="","",IF(P188=0,"",O188-P188))</f>
        <v/>
      </c>
      <c r="S188" s="43" t="str">
        <f aca="false">IF($A188="","",IF(R188="","",R188+Q188))</f>
        <v/>
      </c>
      <c r="T188" s="43" t="str">
        <f aca="false">IF($A188="","",IF(OR(S188="",N188&lt;=0),"",S188/1000*12/N188))</f>
        <v/>
      </c>
      <c r="U188" s="52" t="str">
        <f aca="false">IF($A188="","",IF(OR(T188="",J188=0,J188=""),"",T188/J188))</f>
        <v/>
      </c>
      <c r="V188" s="52" t="str">
        <f aca="false">IF($A188="","",IF(OR(R188="",N188&lt;=0,J188=0,J188=""),"",(R188/1000*12/N188)/J188))</f>
        <v/>
      </c>
      <c r="W188" s="52" t="str">
        <f aca="false">IF($A188="","",IF(OR(T188="",K188=0,K188=""),"",T188/K188))</f>
        <v/>
      </c>
      <c r="X188" s="43" t="n">
        <f aca="false">IF($A188="","",IF(OR(N188&lt;=0,I188=0,I188="",O188=0),"",O188*1000/(I188*0.3025)/N188))</f>
        <v>14104.4156019366</v>
      </c>
      <c r="Y188" s="50" t="str">
        <f aca="false">IF($A188="","",IF(OR(O188=0,O188="",P188=0),"",P188/O188))</f>
        <v/>
      </c>
      <c r="Z188" s="17" t="str">
        <f aca="false">IF($A188="","",IFERROR(INDEX(物件収支!$E:$E,MATCH($A188,物件収支!$A:$A,0)),""))</f>
        <v>開示（物件別・収益のみ、百万円単位）</v>
      </c>
    </row>
    <row r="189" customFormat="false" ht="15" hidden="false" customHeight="true" outlineLevel="0" collapsed="false">
      <c r="A189" s="17" t="str">
        <f aca="false">IF(物件マスタ!A189="","",物件マスタ!A189)</f>
        <v>NBF-61</v>
      </c>
      <c r="B189" s="17" t="str">
        <f aca="false">IF($A189="","",物件マスタ!B189)</f>
        <v>NBF</v>
      </c>
      <c r="C189" s="17" t="str">
        <f aca="false">IF($A189="","",IFERROR(INDEX(法人マスタ!$C:$C,MATCH($B189,法人マスタ!$A:$A,0)),""))</f>
        <v>日本ビルファンド投資法人</v>
      </c>
      <c r="D189" s="17" t="str">
        <f aca="false">IF($A189="","",物件マスタ!C189)</f>
        <v>中之島三井ビルディング</v>
      </c>
      <c r="E189" s="17" t="str">
        <f aca="false">IF($A189="","",物件マスタ!H189)</f>
        <v>その他3大都市圏</v>
      </c>
      <c r="F189" s="48" t="n">
        <f aca="false">IF($A189="","",物件マスタ!P189)</f>
        <v>0</v>
      </c>
      <c r="G189" s="34" t="str">
        <f aca="false">IF($A189="","",物件マスタ!Q189)</f>
        <v/>
      </c>
      <c r="H189" s="49" t="n">
        <f aca="false">IF($A189="","",物件マスタ!L189)</f>
        <v>0</v>
      </c>
      <c r="I189" s="49" t="n">
        <f aca="false">IF($A189="","",物件マスタ!M189)</f>
        <v>42389</v>
      </c>
      <c r="J189" s="43" t="n">
        <f aca="false">IF($A189="","",物件マスタ!S189)</f>
        <v>44000</v>
      </c>
      <c r="K189" s="43" t="n">
        <f aca="false">IF($A189="","",物件マスタ!U189)</f>
        <v>46500</v>
      </c>
      <c r="L189" s="50" t="n">
        <f aca="false">IF($A189="","",物件マスタ!W189)</f>
        <v>0.985</v>
      </c>
      <c r="M189" s="17" t="str">
        <f aca="false">IF($A189="","",IFERROR(INDEX(法人マスタ!$H:$H,MATCH($B189,法人マスタ!$A:$A,0)),""))</f>
        <v>2025年12月期（第49期）</v>
      </c>
      <c r="N189" s="51" t="n">
        <f aca="false">IF($A189="","",SUMIFS(物件収支!$D:$D,物件収支!$A:$A,$A189,物件収支!$C:$C,$M189))</f>
        <v>6</v>
      </c>
      <c r="O189" s="43" t="n">
        <f aca="false">IF($A189="","",SUMIFS(物件収支!$F:$F,物件収支!$A:$A,$A189,物件収支!$C:$C,$M189))</f>
        <v>1413000</v>
      </c>
      <c r="P189" s="43" t="n">
        <f aca="false">IF($A189="","",SUMIFS(物件収支!$I:$I,物件収支!$A:$A,$A189,物件収支!$C:$C,$M189))</f>
        <v>0</v>
      </c>
      <c r="Q189" s="43" t="n">
        <f aca="false">IF($A189="","",SUMIFS(物件収支!$O:$O,物件収支!$A:$A,$A189,物件収支!$C:$C,$M189))</f>
        <v>0</v>
      </c>
      <c r="R189" s="43" t="str">
        <f aca="false">IF($A189="","",IF(P189=0,"",O189-P189))</f>
        <v/>
      </c>
      <c r="S189" s="43" t="str">
        <f aca="false">IF($A189="","",IF(R189="","",R189+Q189))</f>
        <v/>
      </c>
      <c r="T189" s="43" t="str">
        <f aca="false">IF($A189="","",IF(OR(S189="",N189&lt;=0),"",S189/1000*12/N189))</f>
        <v/>
      </c>
      <c r="U189" s="52" t="str">
        <f aca="false">IF($A189="","",IF(OR(T189="",J189=0,J189=""),"",T189/J189))</f>
        <v/>
      </c>
      <c r="V189" s="52" t="str">
        <f aca="false">IF($A189="","",IF(OR(R189="",N189&lt;=0,J189=0,J189=""),"",(R189/1000*12/N189)/J189))</f>
        <v/>
      </c>
      <c r="W189" s="52" t="str">
        <f aca="false">IF($A189="","",IF(OR(T189="",K189=0,K189=""),"",T189/K189))</f>
        <v/>
      </c>
      <c r="X189" s="43" t="n">
        <f aca="false">IF($A189="","",IF(OR(N189&lt;=0,I189=0,I189="",O189=0),"",O189*1000/(I189*0.3025)/N189))</f>
        <v>18365.9061712759</v>
      </c>
      <c r="Y189" s="50" t="str">
        <f aca="false">IF($A189="","",IF(OR(O189=0,O189="",P189=0),"",P189/O189))</f>
        <v/>
      </c>
      <c r="Z189" s="17" t="str">
        <f aca="false">IF($A189="","",IFERROR(INDEX(物件収支!$E:$E,MATCH($A189,物件収支!$A:$A,0)),""))</f>
        <v>開示（物件別・収益のみ、百万円単位）</v>
      </c>
    </row>
    <row r="190" customFormat="false" ht="15" hidden="false" customHeight="true" outlineLevel="0" collapsed="false">
      <c r="A190" s="17" t="str">
        <f aca="false">IF(物件マスタ!A190="","",物件マスタ!A190)</f>
        <v>NBF-62</v>
      </c>
      <c r="B190" s="17" t="str">
        <f aca="false">IF($A190="","",物件マスタ!B190)</f>
        <v>NBF</v>
      </c>
      <c r="C190" s="17" t="str">
        <f aca="false">IF($A190="","",IFERROR(INDEX(法人マスタ!$C:$C,MATCH($B190,法人マスタ!$A:$A,0)),""))</f>
        <v>日本ビルファンド投資法人</v>
      </c>
      <c r="D190" s="17" t="str">
        <f aca="false">IF($A190="","",物件マスタ!C190)</f>
        <v>アクア堂島ＮＢＦタワー</v>
      </c>
      <c r="E190" s="17" t="str">
        <f aca="false">IF($A190="","",物件マスタ!H190)</f>
        <v>その他3大都市圏</v>
      </c>
      <c r="F190" s="48" t="n">
        <f aca="false">IF($A190="","",物件マスタ!P190)</f>
        <v>0</v>
      </c>
      <c r="G190" s="34" t="str">
        <f aca="false">IF($A190="","",物件マスタ!Q190)</f>
        <v/>
      </c>
      <c r="H190" s="49" t="n">
        <f aca="false">IF($A190="","",物件マスタ!L190)</f>
        <v>0</v>
      </c>
      <c r="I190" s="49" t="n">
        <f aca="false">IF($A190="","",物件マスタ!M190)</f>
        <v>21917</v>
      </c>
      <c r="J190" s="43" t="n">
        <f aca="false">IF($A190="","",物件マスタ!S190)</f>
        <v>17810</v>
      </c>
      <c r="K190" s="43" t="n">
        <f aca="false">IF($A190="","",物件マスタ!U190)</f>
        <v>22400</v>
      </c>
      <c r="L190" s="50" t="n">
        <f aca="false">IF($A190="","",物件マスタ!W190)</f>
        <v>0.95</v>
      </c>
      <c r="M190" s="17" t="str">
        <f aca="false">IF($A190="","",IFERROR(INDEX(法人マスタ!$H:$H,MATCH($B190,法人マスタ!$A:$A,0)),""))</f>
        <v>2025年12月期（第49期）</v>
      </c>
      <c r="N190" s="51" t="n">
        <f aca="false">IF($A190="","",SUMIFS(物件収支!$D:$D,物件収支!$A:$A,$A190,物件収支!$C:$C,$M190))</f>
        <v>6</v>
      </c>
      <c r="O190" s="43" t="n">
        <f aca="false">IF($A190="","",SUMIFS(物件収支!$F:$F,物件収支!$A:$A,$A190,物件収支!$C:$C,$M190))</f>
        <v>666000</v>
      </c>
      <c r="P190" s="43" t="n">
        <f aca="false">IF($A190="","",SUMIFS(物件収支!$I:$I,物件収支!$A:$A,$A190,物件収支!$C:$C,$M190))</f>
        <v>0</v>
      </c>
      <c r="Q190" s="43" t="n">
        <f aca="false">IF($A190="","",SUMIFS(物件収支!$O:$O,物件収支!$A:$A,$A190,物件収支!$C:$C,$M190))</f>
        <v>0</v>
      </c>
      <c r="R190" s="43" t="str">
        <f aca="false">IF($A190="","",IF(P190=0,"",O190-P190))</f>
        <v/>
      </c>
      <c r="S190" s="43" t="str">
        <f aca="false">IF($A190="","",IF(R190="","",R190+Q190))</f>
        <v/>
      </c>
      <c r="T190" s="43" t="str">
        <f aca="false">IF($A190="","",IF(OR(S190="",N190&lt;=0),"",S190/1000*12/N190))</f>
        <v/>
      </c>
      <c r="U190" s="52" t="str">
        <f aca="false">IF($A190="","",IF(OR(T190="",J190=0,J190=""),"",T190/J190))</f>
        <v/>
      </c>
      <c r="V190" s="52" t="str">
        <f aca="false">IF($A190="","",IF(OR(R190="",N190&lt;=0,J190=0,J190=""),"",(R190/1000*12/N190)/J190))</f>
        <v/>
      </c>
      <c r="W190" s="52" t="str">
        <f aca="false">IF($A190="","",IF(OR(T190="",K190=0,K190=""),"",T190/K190))</f>
        <v/>
      </c>
      <c r="X190" s="43" t="n">
        <f aca="false">IF($A190="","",IF(OR(N190&lt;=0,I190=0,I190="",O190=0),"",O190*1000/(I190*0.3025)/N190))</f>
        <v>16742.3529114537</v>
      </c>
      <c r="Y190" s="50" t="str">
        <f aca="false">IF($A190="","",IF(OR(O190=0,O190="",P190=0),"",P190/O190))</f>
        <v/>
      </c>
      <c r="Z190" s="17" t="str">
        <f aca="false">IF($A190="","",IFERROR(INDEX(物件収支!$E:$E,MATCH($A190,物件収支!$A:$A,0)),""))</f>
        <v>開示（物件別・収益のみ、百万円単位）</v>
      </c>
    </row>
    <row r="191" customFormat="false" ht="15" hidden="false" customHeight="true" outlineLevel="0" collapsed="false">
      <c r="A191" s="17" t="str">
        <f aca="false">IF(物件マスタ!A191="","",物件マスタ!A191)</f>
        <v>NBF-63</v>
      </c>
      <c r="B191" s="17" t="str">
        <f aca="false">IF($A191="","",物件マスタ!B191)</f>
        <v>NBF</v>
      </c>
      <c r="C191" s="17" t="str">
        <f aca="false">IF($A191="","",IFERROR(INDEX(法人マスタ!$C:$C,MATCH($B191,法人マスタ!$A:$A,0)),""))</f>
        <v>日本ビルファンド投資法人</v>
      </c>
      <c r="D191" s="17" t="str">
        <f aca="false">IF($A191="","",物件マスタ!C191)</f>
        <v>中之島セントラルタワー</v>
      </c>
      <c r="E191" s="17" t="str">
        <f aca="false">IF($A191="","",物件マスタ!H191)</f>
        <v>その他3大都市圏</v>
      </c>
      <c r="F191" s="48" t="n">
        <f aca="false">IF($A191="","",物件マスタ!P191)</f>
        <v>0</v>
      </c>
      <c r="G191" s="34" t="str">
        <f aca="false">IF($A191="","",物件マスタ!Q191)</f>
        <v/>
      </c>
      <c r="H191" s="49" t="n">
        <f aca="false">IF($A191="","",物件マスタ!L191)</f>
        <v>0</v>
      </c>
      <c r="I191" s="49" t="n">
        <f aca="false">IF($A191="","",物件マスタ!M191)</f>
        <v>17279</v>
      </c>
      <c r="J191" s="43" t="n">
        <f aca="false">IF($A191="","",物件マスタ!S191)</f>
        <v>14900</v>
      </c>
      <c r="K191" s="43" t="n">
        <f aca="false">IF($A191="","",物件マスタ!U191)</f>
        <v>20200</v>
      </c>
      <c r="L191" s="50" t="n">
        <f aca="false">IF($A191="","",物件マスタ!W191)</f>
        <v>1</v>
      </c>
      <c r="M191" s="17" t="str">
        <f aca="false">IF($A191="","",IFERROR(INDEX(法人マスタ!$H:$H,MATCH($B191,法人マスタ!$A:$A,0)),""))</f>
        <v>2025年12月期（第49期）</v>
      </c>
      <c r="N191" s="51" t="n">
        <f aca="false">IF($A191="","",SUMIFS(物件収支!$D:$D,物件収支!$A:$A,$A191,物件収支!$C:$C,$M191))</f>
        <v>6</v>
      </c>
      <c r="O191" s="43" t="n">
        <f aca="false">IF($A191="","",SUMIFS(物件収支!$F:$F,物件収支!$A:$A,$A191,物件収支!$C:$C,$M191))</f>
        <v>633000</v>
      </c>
      <c r="P191" s="43" t="n">
        <f aca="false">IF($A191="","",SUMIFS(物件収支!$I:$I,物件収支!$A:$A,$A191,物件収支!$C:$C,$M191))</f>
        <v>0</v>
      </c>
      <c r="Q191" s="43" t="n">
        <f aca="false">IF($A191="","",SUMIFS(物件収支!$O:$O,物件収支!$A:$A,$A191,物件収支!$C:$C,$M191))</f>
        <v>0</v>
      </c>
      <c r="R191" s="43" t="str">
        <f aca="false">IF($A191="","",IF(P191=0,"",O191-P191))</f>
        <v/>
      </c>
      <c r="S191" s="43" t="str">
        <f aca="false">IF($A191="","",IF(R191="","",R191+Q191))</f>
        <v/>
      </c>
      <c r="T191" s="43" t="str">
        <f aca="false">IF($A191="","",IF(OR(S191="",N191&lt;=0),"",S191/1000*12/N191))</f>
        <v/>
      </c>
      <c r="U191" s="52" t="str">
        <f aca="false">IF($A191="","",IF(OR(T191="",J191=0,J191=""),"",T191/J191))</f>
        <v/>
      </c>
      <c r="V191" s="52" t="str">
        <f aca="false">IF($A191="","",IF(OR(R191="",N191&lt;=0,J191=0,J191=""),"",(R191/1000*12/N191)/J191))</f>
        <v/>
      </c>
      <c r="W191" s="52" t="str">
        <f aca="false">IF($A191="","",IF(OR(T191="",K191=0,K191=""),"",T191/K191))</f>
        <v/>
      </c>
      <c r="X191" s="43" t="n">
        <f aca="false">IF($A191="","",IF(OR(N191&lt;=0,I191=0,I191="",O191=0),"",O191*1000/(I191*0.3025)/N191))</f>
        <v>20184.0575599579</v>
      </c>
      <c r="Y191" s="50" t="str">
        <f aca="false">IF($A191="","",IF(OR(O191=0,O191="",P191=0),"",P191/O191))</f>
        <v/>
      </c>
      <c r="Z191" s="17" t="str">
        <f aca="false">IF($A191="","",IFERROR(INDEX(物件収支!$E:$E,MATCH($A191,物件収支!$A:$A,0)),""))</f>
        <v>開示（物件別・収益のみ、百万円単位）</v>
      </c>
    </row>
    <row r="192" customFormat="false" ht="15" hidden="false" customHeight="true" outlineLevel="0" collapsed="false">
      <c r="A192" s="17" t="str">
        <f aca="false">IF(物件マスタ!A192="","",物件マスタ!A192)</f>
        <v>NBF-64</v>
      </c>
      <c r="B192" s="17" t="str">
        <f aca="false">IF($A192="","",物件マスタ!B192)</f>
        <v>NBF</v>
      </c>
      <c r="C192" s="17" t="str">
        <f aca="false">IF($A192="","",IFERROR(INDEX(法人マスタ!$C:$C,MATCH($B192,法人マスタ!$A:$A,0)),""))</f>
        <v>日本ビルファンド投資法人</v>
      </c>
      <c r="D192" s="17" t="str">
        <f aca="false">IF($A192="","",物件マスタ!C192)</f>
        <v>信濃橋三井ビルディング</v>
      </c>
      <c r="E192" s="17" t="str">
        <f aca="false">IF($A192="","",物件マスタ!H192)</f>
        <v>その他3大都市圏</v>
      </c>
      <c r="F192" s="48" t="n">
        <f aca="false">IF($A192="","",物件マスタ!P192)</f>
        <v>0</v>
      </c>
      <c r="G192" s="34" t="str">
        <f aca="false">IF($A192="","",物件マスタ!Q192)</f>
        <v/>
      </c>
      <c r="H192" s="49" t="n">
        <f aca="false">IF($A192="","",物件マスタ!L192)</f>
        <v>0</v>
      </c>
      <c r="I192" s="49" t="n">
        <f aca="false">IF($A192="","",物件マスタ!M192)</f>
        <v>24413</v>
      </c>
      <c r="J192" s="43" t="n">
        <f aca="false">IF($A192="","",物件マスタ!S192)</f>
        <v>14400</v>
      </c>
      <c r="K192" s="43" t="n">
        <f aca="false">IF($A192="","",物件マスタ!U192)</f>
        <v>14000</v>
      </c>
      <c r="L192" s="50" t="n">
        <f aca="false">IF($A192="","",物件マスタ!W192)</f>
        <v>0.985</v>
      </c>
      <c r="M192" s="17" t="str">
        <f aca="false">IF($A192="","",IFERROR(INDEX(法人マスタ!$H:$H,MATCH($B192,法人マスタ!$A:$A,0)),""))</f>
        <v>2025年12月期（第49期）</v>
      </c>
      <c r="N192" s="51" t="n">
        <f aca="false">IF($A192="","",SUMIFS(物件収支!$D:$D,物件収支!$A:$A,$A192,物件収支!$C:$C,$M192))</f>
        <v>6</v>
      </c>
      <c r="O192" s="43" t="n">
        <f aca="false">IF($A192="","",SUMIFS(物件収支!$F:$F,物件収支!$A:$A,$A192,物件収支!$C:$C,$M192))</f>
        <v>627000</v>
      </c>
      <c r="P192" s="43" t="n">
        <f aca="false">IF($A192="","",SUMIFS(物件収支!$I:$I,物件収支!$A:$A,$A192,物件収支!$C:$C,$M192))</f>
        <v>0</v>
      </c>
      <c r="Q192" s="43" t="n">
        <f aca="false">IF($A192="","",SUMIFS(物件収支!$O:$O,物件収支!$A:$A,$A192,物件収支!$C:$C,$M192))</f>
        <v>0</v>
      </c>
      <c r="R192" s="43" t="str">
        <f aca="false">IF($A192="","",IF(P192=0,"",O192-P192))</f>
        <v/>
      </c>
      <c r="S192" s="43" t="str">
        <f aca="false">IF($A192="","",IF(R192="","",R192+Q192))</f>
        <v/>
      </c>
      <c r="T192" s="43" t="str">
        <f aca="false">IF($A192="","",IF(OR(S192="",N192&lt;=0),"",S192/1000*12/N192))</f>
        <v/>
      </c>
      <c r="U192" s="52" t="str">
        <f aca="false">IF($A192="","",IF(OR(T192="",J192=0,J192=""),"",T192/J192))</f>
        <v/>
      </c>
      <c r="V192" s="52" t="str">
        <f aca="false">IF($A192="","",IF(OR(R192="",N192&lt;=0,J192=0,J192=""),"",(R192/1000*12/N192)/J192))</f>
        <v/>
      </c>
      <c r="W192" s="52" t="str">
        <f aca="false">IF($A192="","",IF(OR(T192="",K192=0,K192=""),"",T192/K192))</f>
        <v/>
      </c>
      <c r="X192" s="43" t="n">
        <f aca="false">IF($A192="","",IF(OR(N192&lt;=0,I192=0,I192="",O192=0),"",O192*1000/(I192*0.3025)/N192))</f>
        <v>14150.4340087062</v>
      </c>
      <c r="Y192" s="50" t="str">
        <f aca="false">IF($A192="","",IF(OR(O192=0,O192="",P192=0),"",P192/O192))</f>
        <v/>
      </c>
      <c r="Z192" s="17" t="str">
        <f aca="false">IF($A192="","",IFERROR(INDEX(物件収支!$E:$E,MATCH($A192,物件収支!$A:$A,0)),""))</f>
        <v>開示（物件別・収益のみ、百万円単位）</v>
      </c>
    </row>
    <row r="193" customFormat="false" ht="15" hidden="false" customHeight="true" outlineLevel="0" collapsed="false">
      <c r="A193" s="17" t="str">
        <f aca="false">IF(物件マスタ!A193="","",物件マスタ!A193)</f>
        <v>NBF-65</v>
      </c>
      <c r="B193" s="17" t="str">
        <f aca="false">IF($A193="","",物件マスタ!B193)</f>
        <v>NBF</v>
      </c>
      <c r="C193" s="17" t="str">
        <f aca="false">IF($A193="","",IFERROR(INDEX(法人マスタ!$C:$C,MATCH($B193,法人マスタ!$A:$A,0)),""))</f>
        <v>日本ビルファンド投資法人</v>
      </c>
      <c r="D193" s="17" t="str">
        <f aca="false">IF($A193="","",物件マスタ!C193)</f>
        <v>堺筋本町センタービル</v>
      </c>
      <c r="E193" s="17" t="str">
        <f aca="false">IF($A193="","",物件マスタ!H193)</f>
        <v>その他3大都市圏</v>
      </c>
      <c r="F193" s="48" t="n">
        <f aca="false">IF($A193="","",物件マスタ!P193)</f>
        <v>0</v>
      </c>
      <c r="G193" s="34" t="str">
        <f aca="false">IF($A193="","",物件マスタ!Q193)</f>
        <v/>
      </c>
      <c r="H193" s="49" t="n">
        <f aca="false">IF($A193="","",物件マスタ!L193)</f>
        <v>0</v>
      </c>
      <c r="I193" s="49" t="n">
        <f aca="false">IF($A193="","",物件マスタ!M193)</f>
        <v>23163</v>
      </c>
      <c r="J193" s="43" t="n">
        <f aca="false">IF($A193="","",物件マスタ!S193)</f>
        <v>12700</v>
      </c>
      <c r="K193" s="43" t="n">
        <f aca="false">IF($A193="","",物件マスタ!U193)</f>
        <v>16200</v>
      </c>
      <c r="L193" s="50" t="n">
        <f aca="false">IF($A193="","",物件マスタ!W193)</f>
        <v>0.991</v>
      </c>
      <c r="M193" s="17" t="str">
        <f aca="false">IF($A193="","",IFERROR(INDEX(法人マスタ!$H:$H,MATCH($B193,法人マスタ!$A:$A,0)),""))</f>
        <v>2025年12月期（第49期）</v>
      </c>
      <c r="N193" s="51" t="n">
        <f aca="false">IF($A193="","",SUMIFS(物件収支!$D:$D,物件収支!$A:$A,$A193,物件収支!$C:$C,$M193))</f>
        <v>6</v>
      </c>
      <c r="O193" s="43" t="n">
        <f aca="false">IF($A193="","",SUMIFS(物件収支!$F:$F,物件収支!$A:$A,$A193,物件収支!$C:$C,$M193))</f>
        <v>607000</v>
      </c>
      <c r="P193" s="43" t="n">
        <f aca="false">IF($A193="","",SUMIFS(物件収支!$I:$I,物件収支!$A:$A,$A193,物件収支!$C:$C,$M193))</f>
        <v>0</v>
      </c>
      <c r="Q193" s="43" t="n">
        <f aca="false">IF($A193="","",SUMIFS(物件収支!$O:$O,物件収支!$A:$A,$A193,物件収支!$C:$C,$M193))</f>
        <v>0</v>
      </c>
      <c r="R193" s="43" t="str">
        <f aca="false">IF($A193="","",IF(P193=0,"",O193-P193))</f>
        <v/>
      </c>
      <c r="S193" s="43" t="str">
        <f aca="false">IF($A193="","",IF(R193="","",R193+Q193))</f>
        <v/>
      </c>
      <c r="T193" s="43" t="str">
        <f aca="false">IF($A193="","",IF(OR(S193="",N193&lt;=0),"",S193/1000*12/N193))</f>
        <v/>
      </c>
      <c r="U193" s="52" t="str">
        <f aca="false">IF($A193="","",IF(OR(T193="",J193=0,J193=""),"",T193/J193))</f>
        <v/>
      </c>
      <c r="V193" s="52" t="str">
        <f aca="false">IF($A193="","",IF(OR(R193="",N193&lt;=0,J193=0,J193=""),"",(R193/1000*12/N193)/J193))</f>
        <v/>
      </c>
      <c r="W193" s="52" t="str">
        <f aca="false">IF($A193="","",IF(OR(T193="",K193=0,K193=""),"",T193/K193))</f>
        <v/>
      </c>
      <c r="X193" s="43" t="n">
        <f aca="false">IF($A193="","",IF(OR(N193&lt;=0,I193=0,I193="",O193=0),"",O193*1000/(I193*0.3025)/N193))</f>
        <v>14438.3396670547</v>
      </c>
      <c r="Y193" s="50" t="str">
        <f aca="false">IF($A193="","",IF(OR(O193=0,O193="",P193=0),"",P193/O193))</f>
        <v/>
      </c>
      <c r="Z193" s="17" t="str">
        <f aca="false">IF($A193="","",IFERROR(INDEX(物件収支!$E:$E,MATCH($A193,物件収支!$A:$A,0)),""))</f>
        <v>開示（物件別・収益のみ、百万円単位）</v>
      </c>
    </row>
    <row r="194" customFormat="false" ht="15" hidden="false" customHeight="true" outlineLevel="0" collapsed="false">
      <c r="A194" s="17" t="str">
        <f aca="false">IF(物件マスタ!A194="","",物件マスタ!A194)</f>
        <v>NBF-66</v>
      </c>
      <c r="B194" s="17" t="str">
        <f aca="false">IF($A194="","",物件マスタ!B194)</f>
        <v>NBF</v>
      </c>
      <c r="C194" s="17" t="str">
        <f aca="false">IF($A194="","",IFERROR(INDEX(法人マスタ!$C:$C,MATCH($B194,法人マスタ!$A:$A,0)),""))</f>
        <v>日本ビルファンド投資法人</v>
      </c>
      <c r="D194" s="17" t="str">
        <f aca="false">IF($A194="","",物件マスタ!C194)</f>
        <v>淀屋橋フレックスタワー</v>
      </c>
      <c r="E194" s="17" t="str">
        <f aca="false">IF($A194="","",物件マスタ!H194)</f>
        <v>その他3大都市圏</v>
      </c>
      <c r="F194" s="48" t="n">
        <f aca="false">IF($A194="","",物件マスタ!P194)</f>
        <v>0</v>
      </c>
      <c r="G194" s="34" t="str">
        <f aca="false">IF($A194="","",物件マスタ!Q194)</f>
        <v/>
      </c>
      <c r="H194" s="49" t="n">
        <f aca="false">IF($A194="","",物件マスタ!L194)</f>
        <v>0</v>
      </c>
      <c r="I194" s="49" t="n">
        <f aca="false">IF($A194="","",物件マスタ!M194)</f>
        <v>7432</v>
      </c>
      <c r="J194" s="43" t="n">
        <f aca="false">IF($A194="","",物件マスタ!S194)</f>
        <v>9833</v>
      </c>
      <c r="K194" s="43" t="n">
        <f aca="false">IF($A194="","",物件マスタ!U194)</f>
        <v>10600</v>
      </c>
      <c r="L194" s="50" t="n">
        <f aca="false">IF($A194="","",物件マスタ!W194)</f>
        <v>1</v>
      </c>
      <c r="M194" s="17" t="str">
        <f aca="false">IF($A194="","",IFERROR(INDEX(法人マスタ!$H:$H,MATCH($B194,法人マスタ!$A:$A,0)),""))</f>
        <v>2025年12月期（第49期）</v>
      </c>
      <c r="N194" s="51" t="n">
        <f aca="false">IF($A194="","",SUMIFS(物件収支!$D:$D,物件収支!$A:$A,$A194,物件収支!$C:$C,$M194))</f>
        <v>6</v>
      </c>
      <c r="O194" s="43" t="n">
        <f aca="false">IF($A194="","",SUMIFS(物件収支!$F:$F,物件収支!$A:$A,$A194,物件収支!$C:$C,$M194))</f>
        <v>282000</v>
      </c>
      <c r="P194" s="43" t="n">
        <f aca="false">IF($A194="","",SUMIFS(物件収支!$I:$I,物件収支!$A:$A,$A194,物件収支!$C:$C,$M194))</f>
        <v>0</v>
      </c>
      <c r="Q194" s="43" t="n">
        <f aca="false">IF($A194="","",SUMIFS(物件収支!$O:$O,物件収支!$A:$A,$A194,物件収支!$C:$C,$M194))</f>
        <v>0</v>
      </c>
      <c r="R194" s="43" t="str">
        <f aca="false">IF($A194="","",IF(P194=0,"",O194-P194))</f>
        <v/>
      </c>
      <c r="S194" s="43" t="str">
        <f aca="false">IF($A194="","",IF(R194="","",R194+Q194))</f>
        <v/>
      </c>
      <c r="T194" s="43" t="str">
        <f aca="false">IF($A194="","",IF(OR(S194="",N194&lt;=0),"",S194/1000*12/N194))</f>
        <v/>
      </c>
      <c r="U194" s="52" t="str">
        <f aca="false">IF($A194="","",IF(OR(T194="",J194=0,J194=""),"",T194/J194))</f>
        <v/>
      </c>
      <c r="V194" s="52" t="str">
        <f aca="false">IF($A194="","",IF(OR(R194="",N194&lt;=0,J194=0,J194=""),"",(R194/1000*12/N194)/J194))</f>
        <v/>
      </c>
      <c r="W194" s="52" t="str">
        <f aca="false">IF($A194="","",IF(OR(T194="",K194=0,K194=""),"",T194/K194))</f>
        <v/>
      </c>
      <c r="X194" s="43" t="n">
        <f aca="false">IF($A194="","",IF(OR(N194&lt;=0,I194=0,I194="",O194=0),"",O194*1000/(I194*0.3025)/N194))</f>
        <v>20905.7993577027</v>
      </c>
      <c r="Y194" s="50" t="str">
        <f aca="false">IF($A194="","",IF(OR(O194=0,O194="",P194=0),"",P194/O194))</f>
        <v/>
      </c>
      <c r="Z194" s="17" t="str">
        <f aca="false">IF($A194="","",IFERROR(INDEX(物件収支!$E:$E,MATCH($A194,物件収支!$A:$A,0)),""))</f>
        <v>開示（物件別・収益のみ、百万円単位）</v>
      </c>
    </row>
    <row r="195" customFormat="false" ht="15" hidden="false" customHeight="true" outlineLevel="0" collapsed="false">
      <c r="A195" s="17" t="str">
        <f aca="false">IF(物件マスタ!A195="","",物件マスタ!A195)</f>
        <v>NBF-67</v>
      </c>
      <c r="B195" s="17" t="str">
        <f aca="false">IF($A195="","",物件マスタ!B195)</f>
        <v>NBF</v>
      </c>
      <c r="C195" s="17" t="str">
        <f aca="false">IF($A195="","",IFERROR(INDEX(法人マスタ!$C:$C,MATCH($B195,法人マスタ!$A:$A,0)),""))</f>
        <v>日本ビルファンド投資法人</v>
      </c>
      <c r="D195" s="17" t="str">
        <f aca="false">IF($A195="","",物件マスタ!C195)</f>
        <v>広島袋町ビルディング</v>
      </c>
      <c r="E195" s="17" t="str">
        <f aca="false">IF($A195="","",物件マスタ!H195)</f>
        <v>3大都市圏以外の政令市</v>
      </c>
      <c r="F195" s="48" t="n">
        <f aca="false">IF($A195="","",物件マスタ!P195)</f>
        <v>0</v>
      </c>
      <c r="G195" s="34" t="str">
        <f aca="false">IF($A195="","",物件マスタ!Q195)</f>
        <v/>
      </c>
      <c r="H195" s="49" t="n">
        <f aca="false">IF($A195="","",物件マスタ!L195)</f>
        <v>0</v>
      </c>
      <c r="I195" s="49" t="n">
        <f aca="false">IF($A195="","",物件マスタ!M195)</f>
        <v>3930</v>
      </c>
      <c r="J195" s="43" t="n">
        <f aca="false">IF($A195="","",物件マスタ!S195)</f>
        <v>2215</v>
      </c>
      <c r="K195" s="43" t="n">
        <f aca="false">IF($A195="","",物件マスタ!U195)</f>
        <v>2390</v>
      </c>
      <c r="L195" s="50" t="n">
        <f aca="false">IF($A195="","",物件マスタ!W195)</f>
        <v>1</v>
      </c>
      <c r="M195" s="17" t="str">
        <f aca="false">IF($A195="","",IFERROR(INDEX(法人マスタ!$H:$H,MATCH($B195,法人マスタ!$A:$A,0)),""))</f>
        <v>2025年12月期（第49期）</v>
      </c>
      <c r="N195" s="51" t="n">
        <f aca="false">IF($A195="","",SUMIFS(物件収支!$D:$D,物件収支!$A:$A,$A195,物件収支!$C:$C,$M195))</f>
        <v>6</v>
      </c>
      <c r="O195" s="43" t="n">
        <f aca="false">IF($A195="","",SUMIFS(物件収支!$F:$F,物件収支!$A:$A,$A195,物件収支!$C:$C,$M195))</f>
        <v>103000</v>
      </c>
      <c r="P195" s="43" t="n">
        <f aca="false">IF($A195="","",SUMIFS(物件収支!$I:$I,物件収支!$A:$A,$A195,物件収支!$C:$C,$M195))</f>
        <v>0</v>
      </c>
      <c r="Q195" s="43" t="n">
        <f aca="false">IF($A195="","",SUMIFS(物件収支!$O:$O,物件収支!$A:$A,$A195,物件収支!$C:$C,$M195))</f>
        <v>0</v>
      </c>
      <c r="R195" s="43" t="str">
        <f aca="false">IF($A195="","",IF(P195=0,"",O195-P195))</f>
        <v/>
      </c>
      <c r="S195" s="43" t="str">
        <f aca="false">IF($A195="","",IF(R195="","",R195+Q195))</f>
        <v/>
      </c>
      <c r="T195" s="43" t="str">
        <f aca="false">IF($A195="","",IF(OR(S195="",N195&lt;=0),"",S195/1000*12/N195))</f>
        <v/>
      </c>
      <c r="U195" s="52" t="str">
        <f aca="false">IF($A195="","",IF(OR(T195="",J195=0,J195=""),"",T195/J195))</f>
        <v/>
      </c>
      <c r="V195" s="52" t="str">
        <f aca="false">IF($A195="","",IF(OR(R195="",N195&lt;=0,J195=0,J195=""),"",(R195/1000*12/N195)/J195))</f>
        <v/>
      </c>
      <c r="W195" s="52" t="str">
        <f aca="false">IF($A195="","",IF(OR(T195="",K195=0,K195=""),"",T195/K195))</f>
        <v/>
      </c>
      <c r="X195" s="43" t="n">
        <f aca="false">IF($A195="","",IF(OR(N195&lt;=0,I195=0,I195="",O195=0),"",O195*1000/(I195*0.3025)/N195))</f>
        <v>14440.0283192788</v>
      </c>
      <c r="Y195" s="50" t="str">
        <f aca="false">IF($A195="","",IF(OR(O195=0,O195="",P195=0),"",P195/O195))</f>
        <v/>
      </c>
      <c r="Z195" s="17" t="str">
        <f aca="false">IF($A195="","",IFERROR(INDEX(物件収支!$E:$E,MATCH($A195,物件収支!$A:$A,0)),""))</f>
        <v>開示（物件別・収益のみ、百万円単位）</v>
      </c>
    </row>
    <row r="196" customFormat="false" ht="15" hidden="false" customHeight="true" outlineLevel="0" collapsed="false">
      <c r="A196" s="17" t="str">
        <f aca="false">IF(物件マスタ!A196="","",物件マスタ!A196)</f>
        <v>NBF-68</v>
      </c>
      <c r="B196" s="17" t="str">
        <f aca="false">IF($A196="","",物件マスタ!B196)</f>
        <v>NBF</v>
      </c>
      <c r="C196" s="17" t="str">
        <f aca="false">IF($A196="","",IFERROR(INDEX(法人マスタ!$C:$C,MATCH($B196,法人マスタ!$A:$A,0)),""))</f>
        <v>日本ビルファンド投資法人</v>
      </c>
      <c r="D196" s="17" t="str">
        <f aca="false">IF($A196="","",物件マスタ!C196)</f>
        <v>ＮＢＦ松山日銀前ビル</v>
      </c>
      <c r="E196" s="17" t="str">
        <f aca="false">IF($A196="","",物件マスタ!H196)</f>
        <v>その他地方都市</v>
      </c>
      <c r="F196" s="48" t="n">
        <f aca="false">IF($A196="","",物件マスタ!P196)</f>
        <v>0</v>
      </c>
      <c r="G196" s="34" t="str">
        <f aca="false">IF($A196="","",物件マスタ!Q196)</f>
        <v/>
      </c>
      <c r="H196" s="49" t="n">
        <f aca="false">IF($A196="","",物件マスタ!L196)</f>
        <v>0</v>
      </c>
      <c r="I196" s="49" t="n">
        <f aca="false">IF($A196="","",物件マスタ!M196)</f>
        <v>5984</v>
      </c>
      <c r="J196" s="43" t="n">
        <f aca="false">IF($A196="","",物件マスタ!S196)</f>
        <v>3310</v>
      </c>
      <c r="K196" s="43" t="n">
        <f aca="false">IF($A196="","",物件マスタ!U196)</f>
        <v>4040</v>
      </c>
      <c r="L196" s="50" t="n">
        <f aca="false">IF($A196="","",物件マスタ!W196)</f>
        <v>0.947</v>
      </c>
      <c r="M196" s="17" t="str">
        <f aca="false">IF($A196="","",IFERROR(INDEX(法人マスタ!$H:$H,MATCH($B196,法人マスタ!$A:$A,0)),""))</f>
        <v>2025年12月期（第49期）</v>
      </c>
      <c r="N196" s="51" t="n">
        <f aca="false">IF($A196="","",SUMIFS(物件収支!$D:$D,物件収支!$A:$A,$A196,物件収支!$C:$C,$M196))</f>
        <v>6</v>
      </c>
      <c r="O196" s="43" t="n">
        <f aca="false">IF($A196="","",SUMIFS(物件収支!$F:$F,物件収支!$A:$A,$A196,物件収支!$C:$C,$M196))</f>
        <v>160000</v>
      </c>
      <c r="P196" s="43" t="n">
        <f aca="false">IF($A196="","",SUMIFS(物件収支!$I:$I,物件収支!$A:$A,$A196,物件収支!$C:$C,$M196))</f>
        <v>0</v>
      </c>
      <c r="Q196" s="43" t="n">
        <f aca="false">IF($A196="","",SUMIFS(物件収支!$O:$O,物件収支!$A:$A,$A196,物件収支!$C:$C,$M196))</f>
        <v>0</v>
      </c>
      <c r="R196" s="43" t="str">
        <f aca="false">IF($A196="","",IF(P196=0,"",O196-P196))</f>
        <v/>
      </c>
      <c r="S196" s="43" t="str">
        <f aca="false">IF($A196="","",IF(R196="","",R196+Q196))</f>
        <v/>
      </c>
      <c r="T196" s="43" t="str">
        <f aca="false">IF($A196="","",IF(OR(S196="",N196&lt;=0),"",S196/1000*12/N196))</f>
        <v/>
      </c>
      <c r="U196" s="52" t="str">
        <f aca="false">IF($A196="","",IF(OR(T196="",J196=0,J196=""),"",T196/J196))</f>
        <v/>
      </c>
      <c r="V196" s="52" t="str">
        <f aca="false">IF($A196="","",IF(OR(R196="",N196&lt;=0,J196=0,J196=""),"",(R196/1000*12/N196)/J196))</f>
        <v/>
      </c>
      <c r="W196" s="52" t="str">
        <f aca="false">IF($A196="","",IF(OR(T196="",K196=0,K196=""),"",T196/K196))</f>
        <v/>
      </c>
      <c r="X196" s="43" t="n">
        <f aca="false">IF($A196="","",IF(OR(N196&lt;=0,I196=0,I196="",O196=0),"",O196*1000/(I196*0.3025)/N196))</f>
        <v>14731.662762776</v>
      </c>
      <c r="Y196" s="50" t="str">
        <f aca="false">IF($A196="","",IF(OR(O196=0,O196="",P196=0),"",P196/O196))</f>
        <v/>
      </c>
      <c r="Z196" s="17" t="str">
        <f aca="false">IF($A196="","",IFERROR(INDEX(物件収支!$E:$E,MATCH($A196,物件収支!$A:$A,0)),""))</f>
        <v>開示（物件別・収益のみ、百万円単位）</v>
      </c>
    </row>
    <row r="197" customFormat="false" ht="15" hidden="false" customHeight="true" outlineLevel="0" collapsed="false">
      <c r="A197" s="17" t="str">
        <f aca="false">IF(物件マスタ!A197="","",物件マスタ!A197)</f>
        <v>NBF-69</v>
      </c>
      <c r="B197" s="17" t="str">
        <f aca="false">IF($A197="","",物件マスタ!B197)</f>
        <v>NBF</v>
      </c>
      <c r="C197" s="17" t="str">
        <f aca="false">IF($A197="","",IFERROR(INDEX(法人マスタ!$C:$C,MATCH($B197,法人マスタ!$A:$A,0)),""))</f>
        <v>日本ビルファンド投資法人</v>
      </c>
      <c r="D197" s="17" t="str">
        <f aca="false">IF($A197="","",物件マスタ!C197)</f>
        <v>博多祇園Ｍ－ＳＱＵＡＲＥ</v>
      </c>
      <c r="E197" s="17" t="str">
        <f aca="false">IF($A197="","",物件マスタ!H197)</f>
        <v>3大都市圏以外の政令市</v>
      </c>
      <c r="F197" s="48" t="n">
        <f aca="false">IF($A197="","",物件マスタ!P197)</f>
        <v>0</v>
      </c>
      <c r="G197" s="34" t="str">
        <f aca="false">IF($A197="","",物件マスタ!Q197)</f>
        <v/>
      </c>
      <c r="H197" s="49" t="n">
        <f aca="false">IF($A197="","",物件マスタ!L197)</f>
        <v>0</v>
      </c>
      <c r="I197" s="49" t="n">
        <f aca="false">IF($A197="","",物件マスタ!M197)</f>
        <v>14328</v>
      </c>
      <c r="J197" s="43" t="n">
        <f aca="false">IF($A197="","",物件マスタ!S197)</f>
        <v>8000</v>
      </c>
      <c r="K197" s="43" t="n">
        <f aca="false">IF($A197="","",物件マスタ!U197)</f>
        <v>13800</v>
      </c>
      <c r="L197" s="50" t="n">
        <f aca="false">IF($A197="","",物件マスタ!W197)</f>
        <v>0.97</v>
      </c>
      <c r="M197" s="17" t="str">
        <f aca="false">IF($A197="","",IFERROR(INDEX(法人マスタ!$H:$H,MATCH($B197,法人マスタ!$A:$A,0)),""))</f>
        <v>2025年12月期（第49期）</v>
      </c>
      <c r="N197" s="51" t="n">
        <f aca="false">IF($A197="","",SUMIFS(物件収支!$D:$D,物件収支!$A:$A,$A197,物件収支!$C:$C,$M197))</f>
        <v>6</v>
      </c>
      <c r="O197" s="43" t="n">
        <f aca="false">IF($A197="","",SUMIFS(物件収支!$F:$F,物件収支!$A:$A,$A197,物件収支!$C:$C,$M197))</f>
        <v>488000</v>
      </c>
      <c r="P197" s="43" t="n">
        <f aca="false">IF($A197="","",SUMIFS(物件収支!$I:$I,物件収支!$A:$A,$A197,物件収支!$C:$C,$M197))</f>
        <v>0</v>
      </c>
      <c r="Q197" s="43" t="n">
        <f aca="false">IF($A197="","",SUMIFS(物件収支!$O:$O,物件収支!$A:$A,$A197,物件収支!$C:$C,$M197))</f>
        <v>0</v>
      </c>
      <c r="R197" s="43" t="str">
        <f aca="false">IF($A197="","",IF(P197=0,"",O197-P197))</f>
        <v/>
      </c>
      <c r="S197" s="43" t="str">
        <f aca="false">IF($A197="","",IF(R197="","",R197+Q197))</f>
        <v/>
      </c>
      <c r="T197" s="43" t="str">
        <f aca="false">IF($A197="","",IF(OR(S197="",N197&lt;=0),"",S197/1000*12/N197))</f>
        <v/>
      </c>
      <c r="U197" s="52" t="str">
        <f aca="false">IF($A197="","",IF(OR(T197="",J197=0,J197=""),"",T197/J197))</f>
        <v/>
      </c>
      <c r="V197" s="52" t="str">
        <f aca="false">IF($A197="","",IF(OR(R197="",N197&lt;=0,J197=0,J197=""),"",(R197/1000*12/N197)/J197))</f>
        <v/>
      </c>
      <c r="W197" s="52" t="str">
        <f aca="false">IF($A197="","",IF(OR(T197="",K197=0,K197=""),"",T197/K197))</f>
        <v/>
      </c>
      <c r="X197" s="43" t="n">
        <f aca="false">IF($A197="","",IF(OR(N197&lt;=0,I197=0,I197="",O197=0),"",O197*1000/(I197*0.3025)/N197))</f>
        <v>18765.3910815172</v>
      </c>
      <c r="Y197" s="50" t="str">
        <f aca="false">IF($A197="","",IF(OR(O197=0,O197="",P197=0),"",P197/O197))</f>
        <v/>
      </c>
      <c r="Z197" s="17" t="str">
        <f aca="false">IF($A197="","",IFERROR(INDEX(物件収支!$E:$E,MATCH($A197,物件収支!$A:$A,0)),""))</f>
        <v>開示（物件別・収益のみ、百万円単位）</v>
      </c>
    </row>
    <row r="198" customFormat="false" ht="15" hidden="false" customHeight="true" outlineLevel="0" collapsed="false">
      <c r="A198" s="17" t="str">
        <f aca="false">IF(物件マスタ!A198="","",物件マスタ!A198)</f>
        <v>NBF-70</v>
      </c>
      <c r="B198" s="17" t="str">
        <f aca="false">IF($A198="","",物件マスタ!B198)</f>
        <v>NBF</v>
      </c>
      <c r="C198" s="17" t="str">
        <f aca="false">IF($A198="","",IFERROR(INDEX(法人マスタ!$C:$C,MATCH($B198,法人マスタ!$A:$A,0)),""))</f>
        <v>日本ビルファンド投資法人</v>
      </c>
      <c r="D198" s="17" t="str">
        <f aca="false">IF($A198="","",物件マスタ!C198)</f>
        <v>ＮＢＦ熊本ビル</v>
      </c>
      <c r="E198" s="17" t="str">
        <f aca="false">IF($A198="","",物件マスタ!H198)</f>
        <v>3大都市圏以外の政令市</v>
      </c>
      <c r="F198" s="48" t="n">
        <f aca="false">IF($A198="","",物件マスタ!P198)</f>
        <v>0</v>
      </c>
      <c r="G198" s="34" t="str">
        <f aca="false">IF($A198="","",物件マスタ!Q198)</f>
        <v/>
      </c>
      <c r="H198" s="49" t="n">
        <f aca="false">IF($A198="","",物件マスタ!L198)</f>
        <v>0</v>
      </c>
      <c r="I198" s="49" t="n">
        <f aca="false">IF($A198="","",物件マスタ!M198)</f>
        <v>7931</v>
      </c>
      <c r="J198" s="43" t="n">
        <f aca="false">IF($A198="","",物件マスタ!S198)</f>
        <v>4500</v>
      </c>
      <c r="K198" s="43" t="n">
        <f aca="false">IF($A198="","",物件マスタ!U198)</f>
        <v>4880</v>
      </c>
      <c r="L198" s="50" t="n">
        <f aca="false">IF($A198="","",物件マスタ!W198)</f>
        <v>1</v>
      </c>
      <c r="M198" s="17" t="str">
        <f aca="false">IF($A198="","",IFERROR(INDEX(法人マスタ!$H:$H,MATCH($B198,法人マスタ!$A:$A,0)),""))</f>
        <v>2025年12月期（第49期）</v>
      </c>
      <c r="N198" s="51" t="n">
        <f aca="false">IF($A198="","",SUMIFS(物件収支!$D:$D,物件収支!$A:$A,$A198,物件収支!$C:$C,$M198))</f>
        <v>6</v>
      </c>
      <c r="O198" s="43" t="n">
        <f aca="false">IF($A198="","",SUMIFS(物件収支!$F:$F,物件収支!$A:$A,$A198,物件収支!$C:$C,$M198))</f>
        <v>201000</v>
      </c>
      <c r="P198" s="43" t="n">
        <f aca="false">IF($A198="","",SUMIFS(物件収支!$I:$I,物件収支!$A:$A,$A198,物件収支!$C:$C,$M198))</f>
        <v>0</v>
      </c>
      <c r="Q198" s="43" t="n">
        <f aca="false">IF($A198="","",SUMIFS(物件収支!$O:$O,物件収支!$A:$A,$A198,物件収支!$C:$C,$M198))</f>
        <v>0</v>
      </c>
      <c r="R198" s="43" t="str">
        <f aca="false">IF($A198="","",IF(P198=0,"",O198-P198))</f>
        <v/>
      </c>
      <c r="S198" s="43" t="str">
        <f aca="false">IF($A198="","",IF(R198="","",R198+Q198))</f>
        <v/>
      </c>
      <c r="T198" s="43" t="str">
        <f aca="false">IF($A198="","",IF(OR(S198="",N198&lt;=0),"",S198/1000*12/N198))</f>
        <v/>
      </c>
      <c r="U198" s="52" t="str">
        <f aca="false">IF($A198="","",IF(OR(T198="",J198=0,J198=""),"",T198/J198))</f>
        <v/>
      </c>
      <c r="V198" s="52" t="str">
        <f aca="false">IF($A198="","",IF(OR(R198="",N198&lt;=0,J198=0,J198=""),"",(R198/1000*12/N198)/J198))</f>
        <v/>
      </c>
      <c r="W198" s="52" t="str">
        <f aca="false">IF($A198="","",IF(OR(T198="",K198=0,K198=""),"",T198/K198))</f>
        <v/>
      </c>
      <c r="X198" s="43" t="n">
        <f aca="false">IF($A198="","",IF(OR(N198&lt;=0,I198=0,I198="",O198=0),"",O198*1000/(I198*0.3025)/N198))</f>
        <v>13963.409614537</v>
      </c>
      <c r="Y198" s="50" t="str">
        <f aca="false">IF($A198="","",IF(OR(O198=0,O198="",P198=0),"",P198/O198))</f>
        <v/>
      </c>
      <c r="Z198" s="17" t="str">
        <f aca="false">IF($A198="","",IFERROR(INDEX(物件収支!$E:$E,MATCH($A198,物件収支!$A:$A,0)),""))</f>
        <v>開示（物件別・収益のみ、百万円単位）</v>
      </c>
    </row>
    <row r="199" customFormat="false" ht="15" hidden="false" customHeight="true" outlineLevel="0" collapsed="false">
      <c r="A199" s="17" t="str">
        <f aca="false">IF(物件マスタ!A199="","",物件マスタ!A199)</f>
        <v>NBF-ALL</v>
      </c>
      <c r="B199" s="17" t="str">
        <f aca="false">IF($A199="","",物件マスタ!B199)</f>
        <v>NBF</v>
      </c>
      <c r="C199" s="17" t="str">
        <f aca="false">IF($A199="","",IFERROR(INDEX(法人マスタ!$C:$C,MATCH($B199,法人マスタ!$A:$A,0)),""))</f>
        <v>日本ビルファンド投資法人</v>
      </c>
      <c r="D199" s="17" t="str">
        <f aca="false">IF($A199="","",物件マスタ!C199)</f>
        <v>【NBFポートフォリオ全体】</v>
      </c>
      <c r="E199" s="17" t="str">
        <f aca="false">IF($A199="","",物件マスタ!H199)</f>
        <v>─</v>
      </c>
      <c r="F199" s="48" t="n">
        <f aca="false">IF($A199="","",物件マスタ!P199)</f>
        <v>0</v>
      </c>
      <c r="G199" s="34" t="str">
        <f aca="false">IF($A199="","",物件マスタ!Q199)</f>
        <v/>
      </c>
      <c r="H199" s="49" t="n">
        <f aca="false">IF($A199="","",物件マスタ!L199)</f>
        <v>0</v>
      </c>
      <c r="I199" s="49" t="n">
        <f aca="false">IF($A199="","",物件マスタ!M199)</f>
        <v>1239418</v>
      </c>
      <c r="J199" s="43" t="n">
        <f aca="false">IF($A199="","",物件マスタ!S199)</f>
        <v>1519039.034</v>
      </c>
      <c r="K199" s="43" t="n">
        <f aca="false">IF($A199="","",物件マスタ!U199)</f>
        <v>1778190</v>
      </c>
      <c r="L199" s="50" t="n">
        <f aca="false">IF($A199="","",物件マスタ!W199)</f>
        <v>0.983</v>
      </c>
      <c r="M199" s="17" t="str">
        <f aca="false">IF($A199="","",IFERROR(INDEX(法人マスタ!$H:$H,MATCH($B199,法人マスタ!$A:$A,0)),""))</f>
        <v>2025年12月期（第49期）</v>
      </c>
      <c r="N199" s="51" t="n">
        <f aca="false">IF($A199="","",SUMIFS(物件収支!$D:$D,物件収支!$A:$A,$A199,物件収支!$C:$C,$M199))</f>
        <v>6</v>
      </c>
      <c r="O199" s="43" t="n">
        <f aca="false">IF($A199="","",SUMIFS(物件収支!$F:$F,物件収支!$A:$A,$A199,物件収支!$C:$C,$M199))</f>
        <v>48547009</v>
      </c>
      <c r="P199" s="43" t="n">
        <f aca="false">IF($A199="","",SUMIFS(物件収支!$I:$I,物件収支!$A:$A,$A199,物件収支!$C:$C,$M199))</f>
        <v>25250123</v>
      </c>
      <c r="Q199" s="43" t="n">
        <f aca="false">IF($A199="","",SUMIFS(物件収支!$O:$O,物件収支!$A:$A,$A199,物件収支!$C:$C,$M199))</f>
        <v>7852749</v>
      </c>
      <c r="R199" s="43" t="n">
        <f aca="false">IF($A199="","",IF(P199=0,"",O199-P199))</f>
        <v>23296886</v>
      </c>
      <c r="S199" s="43" t="n">
        <f aca="false">IF($A199="","",IF(R199="","",R199+Q199))</f>
        <v>31149635</v>
      </c>
      <c r="T199" s="43" t="n">
        <f aca="false">IF($A199="","",IF(OR(S199="",N199&lt;=0),"",S199/1000*12/N199))</f>
        <v>62299.27</v>
      </c>
      <c r="U199" s="52" t="n">
        <f aca="false">IF($A199="","",IF(OR(T199="",J199=0,J199=""),"",T199/J199))</f>
        <v>0.0410122904056987</v>
      </c>
      <c r="V199" s="52" t="n">
        <f aca="false">IF($A199="","",IF(OR(R199="",N199&lt;=0,J199=0,J199=""),"",(R199/1000*12/N199)/J199))</f>
        <v>0.0306731894027155</v>
      </c>
      <c r="W199" s="52" t="n">
        <f aca="false">IF($A199="","",IF(OR(T199="",K199=0,K199=""),"",T199/K199))</f>
        <v>0.0350352155843864</v>
      </c>
      <c r="X199" s="43" t="n">
        <f aca="false">IF($A199="","",IF(OR(N199&lt;=0,I199=0,I199="",O199=0),"",O199*1000/(I199*0.3025)/N199))</f>
        <v>21580.8253235644</v>
      </c>
      <c r="Y199" s="50" t="n">
        <f aca="false">IF($A199="","",IF(OR(O199=0,O199="",P199=0),"",P199/O199))</f>
        <v>0.520116965393275</v>
      </c>
      <c r="Z199" s="17" t="str">
        <f aca="false">IF($A199="","",IFERROR(INDEX(物件収支!$E:$E,MATCH($A199,物件収支!$A:$A,0)),""))</f>
        <v>開示（法人一括）</v>
      </c>
    </row>
    <row r="200" customFormat="false" ht="15" hidden="false" customHeight="true" outlineLevel="0" collapsed="false">
      <c r="A200" s="17" t="str">
        <f aca="false">IF(物件マスタ!A200="","",物件マスタ!A200)</f>
        <v>JPR-01</v>
      </c>
      <c r="B200" s="17" t="str">
        <f aca="false">IF($A200="","",物件マスタ!B200)</f>
        <v>JPR</v>
      </c>
      <c r="C200" s="17" t="str">
        <f aca="false">IF($A200="","",IFERROR(INDEX(法人マスタ!$C:$C,MATCH($B200,法人マスタ!$A:$A,0)),""))</f>
        <v>日本プライムリアルティ投資法人</v>
      </c>
      <c r="D200" s="17" t="str">
        <f aca="false">IF($A200="","",物件マスタ!C200)</f>
        <v>兼松ビル</v>
      </c>
      <c r="E200" s="17" t="str">
        <f aca="false">IF($A200="","",物件マスタ!H200)</f>
        <v>都心5区</v>
      </c>
      <c r="F200" s="48" t="n">
        <f aca="false">IF($A200="","",物件マスタ!P200)</f>
        <v>34001</v>
      </c>
      <c r="G200" s="34" t="n">
        <f aca="false">IF($A200="","",物件マスタ!Q200)</f>
        <v>33.5</v>
      </c>
      <c r="H200" s="49" t="n">
        <f aca="false">IF($A200="","",物件マスタ!L200)</f>
        <v>14995.09</v>
      </c>
      <c r="I200" s="49" t="n">
        <f aca="false">IF($A200="","",物件マスタ!M200)</f>
        <v>8090.74</v>
      </c>
      <c r="J200" s="43" t="n">
        <f aca="false">IF($A200="","",物件マスタ!S200)</f>
        <v>16276</v>
      </c>
      <c r="K200" s="43" t="n">
        <f aca="false">IF($A200="","",物件マスタ!U200)</f>
        <v>14100</v>
      </c>
      <c r="L200" s="50" t="n">
        <f aca="false">IF($A200="","",物件マスタ!W200)</f>
        <v>1</v>
      </c>
      <c r="M200" s="17" t="str">
        <f aca="false">IF($A200="","",IFERROR(INDEX(法人マスタ!$H:$H,MATCH($B200,法人マスタ!$A:$A,0)),""))</f>
        <v>2025年12月期（第48期）</v>
      </c>
      <c r="N200" s="51" t="n">
        <f aca="false">IF($A200="","",SUMIFS(物件収支!$D:$D,物件収支!$A:$A,$A200,物件収支!$C:$C,$M200))</f>
        <v>6</v>
      </c>
      <c r="O200" s="43" t="n">
        <f aca="false">IF($A200="","",SUMIFS(物件収支!$F:$F,物件収支!$A:$A,$A200,物件収支!$C:$C,$M200))</f>
        <v>401058</v>
      </c>
      <c r="P200" s="43" t="n">
        <f aca="false">IF($A200="","",SUMIFS(物件収支!$I:$I,物件収支!$A:$A,$A200,物件収支!$C:$C,$M200))</f>
        <v>0</v>
      </c>
      <c r="Q200" s="43" t="n">
        <f aca="false">IF($A200="","",SUMIFS(物件収支!$O:$O,物件収支!$A:$A,$A200,物件収支!$C:$C,$M200))</f>
        <v>0</v>
      </c>
      <c r="R200" s="43" t="str">
        <f aca="false">IF($A200="","",IF(P200=0,"",O200-P200))</f>
        <v/>
      </c>
      <c r="S200" s="43" t="str">
        <f aca="false">IF($A200="","",IF(R200="","",R200+Q200))</f>
        <v/>
      </c>
      <c r="T200" s="43" t="str">
        <f aca="false">IF($A200="","",IF(OR(S200="",N200&lt;=0),"",S200/1000*12/N200))</f>
        <v/>
      </c>
      <c r="U200" s="52" t="str">
        <f aca="false">IF($A200="","",IF(OR(T200="",J200=0,J200=""),"",T200/J200))</f>
        <v/>
      </c>
      <c r="V200" s="52" t="str">
        <f aca="false">IF($A200="","",IF(OR(R200="",N200&lt;=0,J200=0,J200=""),"",(R200/1000*12/N200)/J200))</f>
        <v/>
      </c>
      <c r="W200" s="52" t="str">
        <f aca="false">IF($A200="","",IF(OR(T200="",K200=0,K200=""),"",T200/K200))</f>
        <v/>
      </c>
      <c r="X200" s="43" t="n">
        <f aca="false">IF($A200="","",IF(OR(N200&lt;=0,I200=0,I200="",O200=0),"",O200*1000/(I200*0.3025)/N200))</f>
        <v>27311.296005226</v>
      </c>
      <c r="Y200" s="50" t="str">
        <f aca="false">IF($A200="","",IF(OR(O200=0,O200="",P200=0),"",P200/O200))</f>
        <v/>
      </c>
      <c r="Z200" s="17" t="str">
        <f aca="false">IF($A200="","",IFERROR(INDEX(物件収支!$E:$E,MATCH($A200,物件収支!$A:$A,0)),""))</f>
        <v>開示（物件別・収益のみ）</v>
      </c>
    </row>
    <row r="201" customFormat="false" ht="15" hidden="false" customHeight="true" outlineLevel="0" collapsed="false">
      <c r="A201" s="17" t="str">
        <f aca="false">IF(物件マスタ!A201="","",物件マスタ!A201)</f>
        <v>JPR-02</v>
      </c>
      <c r="B201" s="17" t="str">
        <f aca="false">IF($A201="","",物件マスタ!B201)</f>
        <v>JPR</v>
      </c>
      <c r="C201" s="17" t="str">
        <f aca="false">IF($A201="","",IFERROR(INDEX(法人マスタ!$C:$C,MATCH($B201,法人マスタ!$A:$A,0)),""))</f>
        <v>日本プライムリアルティ投資法人</v>
      </c>
      <c r="D201" s="17" t="str">
        <f aca="false">IF($A201="","",物件マスタ!C201)</f>
        <v>兼松ビル別館</v>
      </c>
      <c r="E201" s="17" t="str">
        <f aca="false">IF($A201="","",物件マスタ!H201)</f>
        <v>都心5区</v>
      </c>
      <c r="F201" s="48" t="n">
        <f aca="false">IF($A201="","",物件マスタ!P201)</f>
        <v>34001</v>
      </c>
      <c r="G201" s="34" t="n">
        <f aca="false">IF($A201="","",物件マスタ!Q201)</f>
        <v>33.5</v>
      </c>
      <c r="H201" s="49" t="n">
        <f aca="false">IF($A201="","",物件マスタ!L201)</f>
        <v>4351.46</v>
      </c>
      <c r="I201" s="49" t="n">
        <f aca="false">IF($A201="","",物件マスタ!M201)</f>
        <v>2291.13</v>
      </c>
      <c r="J201" s="43" t="n">
        <f aca="false">IF($A201="","",物件マスタ!S201)</f>
        <v>2874</v>
      </c>
      <c r="K201" s="43" t="n">
        <f aca="false">IF($A201="","",物件マスタ!U201)</f>
        <v>2960</v>
      </c>
      <c r="L201" s="50" t="n">
        <f aca="false">IF($A201="","",物件マスタ!W201)</f>
        <v>1</v>
      </c>
      <c r="M201" s="17" t="str">
        <f aca="false">IF($A201="","",IFERROR(INDEX(法人マスタ!$H:$H,MATCH($B201,法人マスタ!$A:$A,0)),""))</f>
        <v>2025年12月期（第48期）</v>
      </c>
      <c r="N201" s="51" t="n">
        <f aca="false">IF($A201="","",SUMIFS(物件収支!$D:$D,物件収支!$A:$A,$A201,物件収支!$C:$C,$M201))</f>
        <v>6</v>
      </c>
      <c r="O201" s="43" t="n">
        <f aca="false">IF($A201="","",SUMIFS(物件収支!$F:$F,物件収支!$A:$A,$A201,物件収支!$C:$C,$M201))</f>
        <v>0</v>
      </c>
      <c r="P201" s="43" t="n">
        <f aca="false">IF($A201="","",SUMIFS(物件収支!$I:$I,物件収支!$A:$A,$A201,物件収支!$C:$C,$M201))</f>
        <v>0</v>
      </c>
      <c r="Q201" s="43" t="n">
        <f aca="false">IF($A201="","",SUMIFS(物件収支!$O:$O,物件収支!$A:$A,$A201,物件収支!$C:$C,$M201))</f>
        <v>0</v>
      </c>
      <c r="R201" s="43" t="str">
        <f aca="false">IF($A201="","",IF(P201=0,"",O201-P201))</f>
        <v/>
      </c>
      <c r="S201" s="43" t="str">
        <f aca="false">IF($A201="","",IF(R201="","",R201+Q201))</f>
        <v/>
      </c>
      <c r="T201" s="43" t="str">
        <f aca="false">IF($A201="","",IF(OR(S201="",N201&lt;=0),"",S201/1000*12/N201))</f>
        <v/>
      </c>
      <c r="U201" s="52" t="str">
        <f aca="false">IF($A201="","",IF(OR(T201="",J201=0,J201=""),"",T201/J201))</f>
        <v/>
      </c>
      <c r="V201" s="52" t="str">
        <f aca="false">IF($A201="","",IF(OR(R201="",N201&lt;=0,J201=0,J201=""),"",(R201/1000*12/N201)/J201))</f>
        <v/>
      </c>
      <c r="W201" s="52" t="str">
        <f aca="false">IF($A201="","",IF(OR(T201="",K201=0,K201=""),"",T201/K201))</f>
        <v/>
      </c>
      <c r="X201" s="43" t="str">
        <f aca="false">IF($A201="","",IF(OR(N201&lt;=0,I201=0,I201="",O201=0),"",O201*1000/(I201*0.3025)/N201))</f>
        <v/>
      </c>
      <c r="Y201" s="50" t="str">
        <f aca="false">IF($A201="","",IF(OR(O201=0,O201="",P201=0),"",P201/O201))</f>
        <v/>
      </c>
      <c r="Z201" s="17" t="str">
        <f aca="false">IF($A201="","",IFERROR(INDEX(物件収支!$E:$E,MATCH($A201,物件収支!$A:$A,0)),""))</f>
        <v>非開示（テナント同意なし）</v>
      </c>
    </row>
    <row r="202" customFormat="false" ht="15" hidden="false" customHeight="true" outlineLevel="0" collapsed="false">
      <c r="A202" s="17" t="str">
        <f aca="false">IF(物件マスタ!A202="","",物件マスタ!A202)</f>
        <v>JPR-03</v>
      </c>
      <c r="B202" s="17" t="str">
        <f aca="false">IF($A202="","",物件マスタ!B202)</f>
        <v>JPR</v>
      </c>
      <c r="C202" s="17" t="str">
        <f aca="false">IF($A202="","",IFERROR(INDEX(法人マスタ!$C:$C,MATCH($B202,法人マスタ!$A:$A,0)),""))</f>
        <v>日本プライムリアルティ投資法人</v>
      </c>
      <c r="D202" s="17" t="str">
        <f aca="false">IF($A202="","",物件マスタ!C202)</f>
        <v>ＪＰＲ人形町ビル</v>
      </c>
      <c r="E202" s="17" t="str">
        <f aca="false">IF($A202="","",物件マスタ!H202)</f>
        <v>都心5区</v>
      </c>
      <c r="F202" s="48" t="n">
        <f aca="false">IF($A202="","",物件マスタ!P202)</f>
        <v>32843</v>
      </c>
      <c r="G202" s="34" t="n">
        <f aca="false">IF($A202="","",物件マスタ!Q202)</f>
        <v>36.7</v>
      </c>
      <c r="H202" s="49" t="n">
        <f aca="false">IF($A202="","",物件マスタ!L202)</f>
        <v>4117.7</v>
      </c>
      <c r="I202" s="49" t="n">
        <f aca="false">IF($A202="","",物件マスタ!M202)</f>
        <v>2802.22</v>
      </c>
      <c r="J202" s="43" t="n">
        <f aca="false">IF($A202="","",物件マスタ!S202)</f>
        <v>2100</v>
      </c>
      <c r="K202" s="43" t="n">
        <f aca="false">IF($A202="","",物件マスタ!U202)</f>
        <v>3290</v>
      </c>
      <c r="L202" s="50" t="n">
        <f aca="false">IF($A202="","",物件マスタ!W202)</f>
        <v>1</v>
      </c>
      <c r="M202" s="17" t="str">
        <f aca="false">IF($A202="","",IFERROR(INDEX(法人マスタ!$H:$H,MATCH($B202,法人マスタ!$A:$A,0)),""))</f>
        <v>2025年12月期（第48期）</v>
      </c>
      <c r="N202" s="51" t="n">
        <f aca="false">IF($A202="","",SUMIFS(物件収支!$D:$D,物件収支!$A:$A,$A202,物件収支!$C:$C,$M202))</f>
        <v>6</v>
      </c>
      <c r="O202" s="43" t="n">
        <f aca="false">IF($A202="","",SUMIFS(物件収支!$F:$F,物件収支!$A:$A,$A202,物件収支!$C:$C,$M202))</f>
        <v>100332</v>
      </c>
      <c r="P202" s="43" t="n">
        <f aca="false">IF($A202="","",SUMIFS(物件収支!$I:$I,物件収支!$A:$A,$A202,物件収支!$C:$C,$M202))</f>
        <v>0</v>
      </c>
      <c r="Q202" s="43" t="n">
        <f aca="false">IF($A202="","",SUMIFS(物件収支!$O:$O,物件収支!$A:$A,$A202,物件収支!$C:$C,$M202))</f>
        <v>0</v>
      </c>
      <c r="R202" s="43" t="str">
        <f aca="false">IF($A202="","",IF(P202=0,"",O202-P202))</f>
        <v/>
      </c>
      <c r="S202" s="43" t="str">
        <f aca="false">IF($A202="","",IF(R202="","",R202+Q202))</f>
        <v/>
      </c>
      <c r="T202" s="43" t="str">
        <f aca="false">IF($A202="","",IF(OR(S202="",N202&lt;=0),"",S202/1000*12/N202))</f>
        <v/>
      </c>
      <c r="U202" s="52" t="str">
        <f aca="false">IF($A202="","",IF(OR(T202="",J202=0,J202=""),"",T202/J202))</f>
        <v/>
      </c>
      <c r="V202" s="52" t="str">
        <f aca="false">IF($A202="","",IF(OR(R202="",N202&lt;=0,J202=0,J202=""),"",(R202/1000*12/N202)/J202))</f>
        <v/>
      </c>
      <c r="W202" s="52" t="str">
        <f aca="false">IF($A202="","",IF(OR(T202="",K202=0,K202=""),"",T202/K202))</f>
        <v/>
      </c>
      <c r="X202" s="43" t="n">
        <f aca="false">IF($A202="","",IF(OR(N202&lt;=0,I202=0,I202="",O202=0),"",O202*1000/(I202*0.3025)/N202))</f>
        <v>19726.9803380802</v>
      </c>
      <c r="Y202" s="50" t="str">
        <f aca="false">IF($A202="","",IF(OR(O202=0,O202="",P202=0),"",P202/O202))</f>
        <v/>
      </c>
      <c r="Z202" s="17" t="str">
        <f aca="false">IF($A202="","",IFERROR(INDEX(物件収支!$E:$E,MATCH($A202,物件収支!$A:$A,0)),""))</f>
        <v>開示（物件別・収益のみ）</v>
      </c>
    </row>
    <row r="203" customFormat="false" ht="15" hidden="false" customHeight="true" outlineLevel="0" collapsed="false">
      <c r="A203" s="17" t="str">
        <f aca="false">IF(物件マスタ!A203="","",物件マスタ!A203)</f>
        <v>JPR-04</v>
      </c>
      <c r="B203" s="17" t="str">
        <f aca="false">IF($A203="","",物件マスタ!B203)</f>
        <v>JPR</v>
      </c>
      <c r="C203" s="17" t="str">
        <f aca="false">IF($A203="","",IFERROR(INDEX(法人マスタ!$C:$C,MATCH($B203,法人マスタ!$A:$A,0)),""))</f>
        <v>日本プライムリアルティ投資法人</v>
      </c>
      <c r="D203" s="17" t="str">
        <f aca="false">IF($A203="","",物件マスタ!C203)</f>
        <v>新麹町ビル</v>
      </c>
      <c r="E203" s="17" t="str">
        <f aca="false">IF($A203="","",物件マスタ!H203)</f>
        <v>都心5区</v>
      </c>
      <c r="F203" s="48" t="n">
        <f aca="false">IF($A203="","",物件マスタ!P203)</f>
        <v>30956</v>
      </c>
      <c r="G203" s="34" t="n">
        <f aca="false">IF($A203="","",物件マスタ!Q203)</f>
        <v>41.9</v>
      </c>
      <c r="H203" s="49" t="n">
        <f aca="false">IF($A203="","",物件マスタ!L203)</f>
        <v>5152.98</v>
      </c>
      <c r="I203" s="49" t="n">
        <f aca="false">IF($A203="","",物件マスタ!M203)</f>
        <v>3319.37</v>
      </c>
      <c r="J203" s="43" t="n">
        <f aca="false">IF($A203="","",物件マスタ!S203)</f>
        <v>2420</v>
      </c>
      <c r="K203" s="43" t="n">
        <f aca="false">IF($A203="","",物件マスタ!U203)</f>
        <v>4160</v>
      </c>
      <c r="L203" s="50" t="n">
        <f aca="false">IF($A203="","",物件マスタ!W203)</f>
        <v>1</v>
      </c>
      <c r="M203" s="17" t="str">
        <f aca="false">IF($A203="","",IFERROR(INDEX(法人マスタ!$H:$H,MATCH($B203,法人マスタ!$A:$A,0)),""))</f>
        <v>2025年12月期（第48期）</v>
      </c>
      <c r="N203" s="51" t="n">
        <f aca="false">IF($A203="","",SUMIFS(物件収支!$D:$D,物件収支!$A:$A,$A203,物件収支!$C:$C,$M203))</f>
        <v>6</v>
      </c>
      <c r="O203" s="43" t="n">
        <f aca="false">IF($A203="","",SUMIFS(物件収支!$F:$F,物件収支!$A:$A,$A203,物件収支!$C:$C,$M203))</f>
        <v>118965</v>
      </c>
      <c r="P203" s="43" t="n">
        <f aca="false">IF($A203="","",SUMIFS(物件収支!$I:$I,物件収支!$A:$A,$A203,物件収支!$C:$C,$M203))</f>
        <v>0</v>
      </c>
      <c r="Q203" s="43" t="n">
        <f aca="false">IF($A203="","",SUMIFS(物件収支!$O:$O,物件収支!$A:$A,$A203,物件収支!$C:$C,$M203))</f>
        <v>0</v>
      </c>
      <c r="R203" s="43" t="str">
        <f aca="false">IF($A203="","",IF(P203=0,"",O203-P203))</f>
        <v/>
      </c>
      <c r="S203" s="43" t="str">
        <f aca="false">IF($A203="","",IF(R203="","",R203+Q203))</f>
        <v/>
      </c>
      <c r="T203" s="43" t="str">
        <f aca="false">IF($A203="","",IF(OR(S203="",N203&lt;=0),"",S203/1000*12/N203))</f>
        <v/>
      </c>
      <c r="U203" s="52" t="str">
        <f aca="false">IF($A203="","",IF(OR(T203="",J203=0,J203=""),"",T203/J203))</f>
        <v/>
      </c>
      <c r="V203" s="52" t="str">
        <f aca="false">IF($A203="","",IF(OR(R203="",N203&lt;=0,J203=0,J203=""),"",(R203/1000*12/N203)/J203))</f>
        <v/>
      </c>
      <c r="W203" s="52" t="str">
        <f aca="false">IF($A203="","",IF(OR(T203="",K203=0,K203=""),"",T203/K203))</f>
        <v/>
      </c>
      <c r="X203" s="43" t="n">
        <f aca="false">IF($A203="","",IF(OR(N203&lt;=0,I203=0,I203="",O203=0),"",O203*1000/(I203*0.3025)/N203))</f>
        <v>19746.3538398716</v>
      </c>
      <c r="Y203" s="50" t="str">
        <f aca="false">IF($A203="","",IF(OR(O203=0,O203="",P203=0),"",P203/O203))</f>
        <v/>
      </c>
      <c r="Z203" s="17" t="str">
        <f aca="false">IF($A203="","",IFERROR(INDEX(物件収支!$E:$E,MATCH($A203,物件収支!$A:$A,0)),""))</f>
        <v>開示（物件別・収益のみ）</v>
      </c>
    </row>
    <row r="204" customFormat="false" ht="15" hidden="false" customHeight="true" outlineLevel="0" collapsed="false">
      <c r="A204" s="17" t="str">
        <f aca="false">IF(物件マスタ!A204="","",物件マスタ!A204)</f>
        <v>JPR-05</v>
      </c>
      <c r="B204" s="17" t="str">
        <f aca="false">IF($A204="","",物件マスタ!B204)</f>
        <v>JPR</v>
      </c>
      <c r="C204" s="17" t="str">
        <f aca="false">IF($A204="","",IFERROR(INDEX(法人マスタ!$C:$C,MATCH($B204,法人マスタ!$A:$A,0)),""))</f>
        <v>日本プライムリアルティ投資法人</v>
      </c>
      <c r="D204" s="17" t="str">
        <f aca="false">IF($A204="","",物件マスタ!C204)</f>
        <v>ＭＳ芝浦ビル</v>
      </c>
      <c r="E204" s="17" t="str">
        <f aca="false">IF($A204="","",物件マスタ!H204)</f>
        <v>都心5区</v>
      </c>
      <c r="F204" s="48" t="n">
        <f aca="false">IF($A204="","",物件マスタ!P204)</f>
        <v>32174</v>
      </c>
      <c r="G204" s="34" t="n">
        <f aca="false">IF($A204="","",物件マスタ!Q204)</f>
        <v>38.5</v>
      </c>
      <c r="H204" s="49" t="n">
        <f aca="false">IF($A204="","",物件マスタ!L204)</f>
        <v>31020.21</v>
      </c>
      <c r="I204" s="49" t="n">
        <f aca="false">IF($A204="","",物件マスタ!M204)</f>
        <v>14466.03</v>
      </c>
      <c r="J204" s="43" t="n">
        <f aca="false">IF($A204="","",物件マスタ!S204)</f>
        <v>11200</v>
      </c>
      <c r="K204" s="43" t="n">
        <f aca="false">IF($A204="","",物件マスタ!U204)</f>
        <v>13000</v>
      </c>
      <c r="L204" s="50" t="n">
        <f aca="false">IF($A204="","",物件マスタ!W204)</f>
        <v>1</v>
      </c>
      <c r="M204" s="17" t="str">
        <f aca="false">IF($A204="","",IFERROR(INDEX(法人マスタ!$H:$H,MATCH($B204,法人マスタ!$A:$A,0)),""))</f>
        <v>2025年12月期（第48期）</v>
      </c>
      <c r="N204" s="51" t="n">
        <f aca="false">IF($A204="","",SUMIFS(物件収支!$D:$D,物件収支!$A:$A,$A204,物件収支!$C:$C,$M204))</f>
        <v>6</v>
      </c>
      <c r="O204" s="43" t="n">
        <f aca="false">IF($A204="","",SUMIFS(物件収支!$F:$F,物件収支!$A:$A,$A204,物件収支!$C:$C,$M204))</f>
        <v>403252</v>
      </c>
      <c r="P204" s="43" t="n">
        <f aca="false">IF($A204="","",SUMIFS(物件収支!$I:$I,物件収支!$A:$A,$A204,物件収支!$C:$C,$M204))</f>
        <v>0</v>
      </c>
      <c r="Q204" s="43" t="n">
        <f aca="false">IF($A204="","",SUMIFS(物件収支!$O:$O,物件収支!$A:$A,$A204,物件収支!$C:$C,$M204))</f>
        <v>0</v>
      </c>
      <c r="R204" s="43" t="str">
        <f aca="false">IF($A204="","",IF(P204=0,"",O204-P204))</f>
        <v/>
      </c>
      <c r="S204" s="43" t="str">
        <f aca="false">IF($A204="","",IF(R204="","",R204+Q204))</f>
        <v/>
      </c>
      <c r="T204" s="43" t="str">
        <f aca="false">IF($A204="","",IF(OR(S204="",N204&lt;=0),"",S204/1000*12/N204))</f>
        <v/>
      </c>
      <c r="U204" s="52" t="str">
        <f aca="false">IF($A204="","",IF(OR(T204="",J204=0,J204=""),"",T204/J204))</f>
        <v/>
      </c>
      <c r="V204" s="52" t="str">
        <f aca="false">IF($A204="","",IF(OR(R204="",N204&lt;=0,J204=0,J204=""),"",(R204/1000*12/N204)/J204))</f>
        <v/>
      </c>
      <c r="W204" s="52" t="str">
        <f aca="false">IF($A204="","",IF(OR(T204="",K204=0,K204=""),"",T204/K204))</f>
        <v/>
      </c>
      <c r="X204" s="43" t="n">
        <f aca="false">IF($A204="","",IF(OR(N204&lt;=0,I204=0,I204="",O204=0),"",O204*1000/(I204*0.3025)/N204))</f>
        <v>15358.5614345</v>
      </c>
      <c r="Y204" s="50" t="str">
        <f aca="false">IF($A204="","",IF(OR(O204=0,O204="",P204=0),"",P204/O204))</f>
        <v/>
      </c>
      <c r="Z204" s="17" t="str">
        <f aca="false">IF($A204="","",IFERROR(INDEX(物件収支!$E:$E,MATCH($A204,物件収支!$A:$A,0)),""))</f>
        <v>開示（物件別・収益のみ）</v>
      </c>
    </row>
    <row r="205" customFormat="false" ht="15" hidden="false" customHeight="true" outlineLevel="0" collapsed="false">
      <c r="A205" s="17" t="str">
        <f aca="false">IF(物件マスタ!A205="","",物件マスタ!A205)</f>
        <v>JPR-06</v>
      </c>
      <c r="B205" s="17" t="str">
        <f aca="false">IF($A205="","",物件マスタ!B205)</f>
        <v>JPR</v>
      </c>
      <c r="C205" s="17" t="str">
        <f aca="false">IF($A205="","",IFERROR(INDEX(法人マスタ!$C:$C,MATCH($B205,法人マスタ!$A:$A,0)),""))</f>
        <v>日本プライムリアルティ投資法人</v>
      </c>
      <c r="D205" s="17" t="str">
        <f aca="false">IF($A205="","",物件マスタ!C205)</f>
        <v>ＪＰＲ市ヶ谷ビル</v>
      </c>
      <c r="E205" s="17" t="str">
        <f aca="false">IF($A205="","",物件マスタ!H205)</f>
        <v>都心5区</v>
      </c>
      <c r="F205" s="48" t="n">
        <f aca="false">IF($A205="","",物件マスタ!P205)</f>
        <v>32568</v>
      </c>
      <c r="G205" s="34" t="n">
        <f aca="false">IF($A205="","",物件マスタ!Q205)</f>
        <v>37.4</v>
      </c>
      <c r="H205" s="49" t="n">
        <f aca="false">IF($A205="","",物件マスタ!L205)</f>
        <v>5888.82</v>
      </c>
      <c r="I205" s="49" t="n">
        <f aca="false">IF($A205="","",物件マスタ!M205)</f>
        <v>3855.01</v>
      </c>
      <c r="J205" s="43" t="n">
        <f aca="false">IF($A205="","",物件マスタ!S205)</f>
        <v>5100</v>
      </c>
      <c r="K205" s="43" t="n">
        <f aca="false">IF($A205="","",物件マスタ!U205)</f>
        <v>4790</v>
      </c>
      <c r="L205" s="50" t="n">
        <f aca="false">IF($A205="","",物件マスタ!W205)</f>
        <v>1</v>
      </c>
      <c r="M205" s="17" t="str">
        <f aca="false">IF($A205="","",IFERROR(INDEX(法人マスタ!$H:$H,MATCH($B205,法人マスタ!$A:$A,0)),""))</f>
        <v>2025年12月期（第48期）</v>
      </c>
      <c r="N205" s="51" t="n">
        <f aca="false">IF($A205="","",SUMIFS(物件収支!$D:$D,物件収支!$A:$A,$A205,物件収支!$C:$C,$M205))</f>
        <v>6</v>
      </c>
      <c r="O205" s="43" t="n">
        <f aca="false">IF($A205="","",SUMIFS(物件収支!$F:$F,物件収支!$A:$A,$A205,物件収支!$C:$C,$M205))</f>
        <v>157830</v>
      </c>
      <c r="P205" s="43" t="n">
        <f aca="false">IF($A205="","",SUMIFS(物件収支!$I:$I,物件収支!$A:$A,$A205,物件収支!$C:$C,$M205))</f>
        <v>0</v>
      </c>
      <c r="Q205" s="43" t="n">
        <f aca="false">IF($A205="","",SUMIFS(物件収支!$O:$O,物件収支!$A:$A,$A205,物件収支!$C:$C,$M205))</f>
        <v>0</v>
      </c>
      <c r="R205" s="43" t="str">
        <f aca="false">IF($A205="","",IF(P205=0,"",O205-P205))</f>
        <v/>
      </c>
      <c r="S205" s="43" t="str">
        <f aca="false">IF($A205="","",IF(R205="","",R205+Q205))</f>
        <v/>
      </c>
      <c r="T205" s="43" t="str">
        <f aca="false">IF($A205="","",IF(OR(S205="",N205&lt;=0),"",S205/1000*12/N205))</f>
        <v/>
      </c>
      <c r="U205" s="52" t="str">
        <f aca="false">IF($A205="","",IF(OR(T205="",J205=0,J205=""),"",T205/J205))</f>
        <v/>
      </c>
      <c r="V205" s="52" t="str">
        <f aca="false">IF($A205="","",IF(OR(R205="",N205&lt;=0,J205=0,J205=""),"",(R205/1000*12/N205)/J205))</f>
        <v/>
      </c>
      <c r="W205" s="52" t="str">
        <f aca="false">IF($A205="","",IF(OR(T205="",K205=0,K205=""),"",T205/K205))</f>
        <v/>
      </c>
      <c r="X205" s="43" t="n">
        <f aca="false">IF($A205="","",IF(OR(N205&lt;=0,I205=0,I205="",O205=0),"",O205*1000/(I205*0.3025)/N205))</f>
        <v>22557.315723163</v>
      </c>
      <c r="Y205" s="50" t="str">
        <f aca="false">IF($A205="","",IF(OR(O205=0,O205="",P205=0),"",P205/O205))</f>
        <v/>
      </c>
      <c r="Z205" s="17" t="str">
        <f aca="false">IF($A205="","",IFERROR(INDEX(物件収支!$E:$E,MATCH($A205,物件収支!$A:$A,0)),""))</f>
        <v>開示（物件別・収益のみ）</v>
      </c>
    </row>
    <row r="206" customFormat="false" ht="15" hidden="false" customHeight="true" outlineLevel="0" collapsed="false">
      <c r="A206" s="17" t="str">
        <f aca="false">IF(物件マスタ!A206="","",物件マスタ!A206)</f>
        <v>JPR-07</v>
      </c>
      <c r="B206" s="17" t="str">
        <f aca="false">IF($A206="","",物件マスタ!B206)</f>
        <v>JPR</v>
      </c>
      <c r="C206" s="17" t="str">
        <f aca="false">IF($A206="","",IFERROR(INDEX(法人マスタ!$C:$C,MATCH($B206,法人マスタ!$A:$A,0)),""))</f>
        <v>日本プライムリアルティ投資法人</v>
      </c>
      <c r="D206" s="17" t="str">
        <f aca="false">IF($A206="","",物件マスタ!C206)</f>
        <v>オーバルコート大崎マークウエスト</v>
      </c>
      <c r="E206" s="17" t="str">
        <f aca="false">IF($A206="","",物件マスタ!H206)</f>
        <v>その他東京23区</v>
      </c>
      <c r="F206" s="48" t="n">
        <f aca="false">IF($A206="","",物件マスタ!P206)</f>
        <v>37043</v>
      </c>
      <c r="G206" s="34" t="n">
        <f aca="false">IF($A206="","",物件マスタ!Q206)</f>
        <v>25.2</v>
      </c>
      <c r="H206" s="49" t="n">
        <f aca="false">IF($A206="","",物件マスタ!L206)</f>
        <v>28575.8</v>
      </c>
      <c r="I206" s="49" t="n">
        <f aca="false">IF($A206="","",物件マスタ!M206)</f>
        <v>4088.44</v>
      </c>
      <c r="J206" s="43" t="n">
        <f aca="false">IF($A206="","",物件マスタ!S206)</f>
        <v>3500</v>
      </c>
      <c r="K206" s="43" t="n">
        <f aca="false">IF($A206="","",物件マスタ!U206)</f>
        <v>4050</v>
      </c>
      <c r="L206" s="50" t="n">
        <f aca="false">IF($A206="","",物件マスタ!W206)</f>
        <v>1</v>
      </c>
      <c r="M206" s="17" t="str">
        <f aca="false">IF($A206="","",IFERROR(INDEX(法人マスタ!$H:$H,MATCH($B206,法人マスタ!$A:$A,0)),""))</f>
        <v>2025年12月期（第48期）</v>
      </c>
      <c r="N206" s="51" t="n">
        <f aca="false">IF($A206="","",SUMIFS(物件収支!$D:$D,物件収支!$A:$A,$A206,物件収支!$C:$C,$M206))</f>
        <v>6</v>
      </c>
      <c r="O206" s="43" t="n">
        <f aca="false">IF($A206="","",SUMIFS(物件収支!$F:$F,物件収支!$A:$A,$A206,物件収支!$C:$C,$M206))</f>
        <v>0</v>
      </c>
      <c r="P206" s="43" t="n">
        <f aca="false">IF($A206="","",SUMIFS(物件収支!$I:$I,物件収支!$A:$A,$A206,物件収支!$C:$C,$M206))</f>
        <v>0</v>
      </c>
      <c r="Q206" s="43" t="n">
        <f aca="false">IF($A206="","",SUMIFS(物件収支!$O:$O,物件収支!$A:$A,$A206,物件収支!$C:$C,$M206))</f>
        <v>0</v>
      </c>
      <c r="R206" s="43" t="str">
        <f aca="false">IF($A206="","",IF(P206=0,"",O206-P206))</f>
        <v/>
      </c>
      <c r="S206" s="43" t="str">
        <f aca="false">IF($A206="","",IF(R206="","",R206+Q206))</f>
        <v/>
      </c>
      <c r="T206" s="43" t="str">
        <f aca="false">IF($A206="","",IF(OR(S206="",N206&lt;=0),"",S206/1000*12/N206))</f>
        <v/>
      </c>
      <c r="U206" s="52" t="str">
        <f aca="false">IF($A206="","",IF(OR(T206="",J206=0,J206=""),"",T206/J206))</f>
        <v/>
      </c>
      <c r="V206" s="52" t="str">
        <f aca="false">IF($A206="","",IF(OR(R206="",N206&lt;=0,J206=0,J206=""),"",(R206/1000*12/N206)/J206))</f>
        <v/>
      </c>
      <c r="W206" s="52" t="str">
        <f aca="false">IF($A206="","",IF(OR(T206="",K206=0,K206=""),"",T206/K206))</f>
        <v/>
      </c>
      <c r="X206" s="43" t="str">
        <f aca="false">IF($A206="","",IF(OR(N206&lt;=0,I206=0,I206="",O206=0),"",O206*1000/(I206*0.3025)/N206))</f>
        <v/>
      </c>
      <c r="Y206" s="50" t="str">
        <f aca="false">IF($A206="","",IF(OR(O206=0,O206="",P206=0),"",P206/O206))</f>
        <v/>
      </c>
      <c r="Z206" s="17" t="str">
        <f aca="false">IF($A206="","",IFERROR(INDEX(物件収支!$E:$E,MATCH($A206,物件収支!$A:$A,0)),""))</f>
        <v>非開示（テナント同意なし）</v>
      </c>
    </row>
    <row r="207" customFormat="false" ht="15" hidden="false" customHeight="true" outlineLevel="0" collapsed="false">
      <c r="A207" s="17" t="str">
        <f aca="false">IF(物件マスタ!A207="","",物件マスタ!A207)</f>
        <v>JPR-08</v>
      </c>
      <c r="B207" s="17" t="str">
        <f aca="false">IF($A207="","",物件マスタ!B207)</f>
        <v>JPR</v>
      </c>
      <c r="C207" s="17" t="str">
        <f aca="false">IF($A207="","",IFERROR(INDEX(法人マスタ!$C:$C,MATCH($B207,法人マスタ!$A:$A,0)),""))</f>
        <v>日本プライムリアルティ投資法人</v>
      </c>
      <c r="D207" s="17" t="str">
        <f aca="false">IF($A207="","",物件マスタ!C207)</f>
        <v>新宿スクエアタワー</v>
      </c>
      <c r="E207" s="17" t="str">
        <f aca="false">IF($A207="","",物件マスタ!H207)</f>
        <v>都心5区</v>
      </c>
      <c r="F207" s="48" t="n">
        <f aca="false">IF($A207="","",物件マスタ!P207)</f>
        <v>34608</v>
      </c>
      <c r="G207" s="34" t="n">
        <f aca="false">IF($A207="","",物件マスタ!Q207)</f>
        <v>31.9</v>
      </c>
      <c r="H207" s="49" t="n">
        <f aca="false">IF($A207="","",物件マスタ!L207)</f>
        <v>78796</v>
      </c>
      <c r="I207" s="49" t="n">
        <f aca="false">IF($A207="","",物件マスタ!M207)</f>
        <v>19266.47</v>
      </c>
      <c r="J207" s="43" t="n">
        <f aca="false">IF($A207="","",物件マスタ!S207)</f>
        <v>14966</v>
      </c>
      <c r="K207" s="43" t="n">
        <f aca="false">IF($A207="","",物件マスタ!U207)</f>
        <v>16200</v>
      </c>
      <c r="L207" s="50" t="n">
        <f aca="false">IF($A207="","",物件マスタ!W207)</f>
        <v>1</v>
      </c>
      <c r="M207" s="17" t="str">
        <f aca="false">IF($A207="","",IFERROR(INDEX(法人マスタ!$H:$H,MATCH($B207,法人マスタ!$A:$A,0)),""))</f>
        <v>2025年12月期（第48期）</v>
      </c>
      <c r="N207" s="51" t="n">
        <f aca="false">IF($A207="","",SUMIFS(物件収支!$D:$D,物件収支!$A:$A,$A207,物件収支!$C:$C,$M207))</f>
        <v>6</v>
      </c>
      <c r="O207" s="43" t="n">
        <f aca="false">IF($A207="","",SUMIFS(物件収支!$F:$F,物件収支!$A:$A,$A207,物件収支!$C:$C,$M207))</f>
        <v>445058</v>
      </c>
      <c r="P207" s="43" t="n">
        <f aca="false">IF($A207="","",SUMIFS(物件収支!$I:$I,物件収支!$A:$A,$A207,物件収支!$C:$C,$M207))</f>
        <v>0</v>
      </c>
      <c r="Q207" s="43" t="n">
        <f aca="false">IF($A207="","",SUMIFS(物件収支!$O:$O,物件収支!$A:$A,$A207,物件収支!$C:$C,$M207))</f>
        <v>0</v>
      </c>
      <c r="R207" s="43" t="str">
        <f aca="false">IF($A207="","",IF(P207=0,"",O207-P207))</f>
        <v/>
      </c>
      <c r="S207" s="43" t="str">
        <f aca="false">IF($A207="","",IF(R207="","",R207+Q207))</f>
        <v/>
      </c>
      <c r="T207" s="43" t="str">
        <f aca="false">IF($A207="","",IF(OR(S207="",N207&lt;=0),"",S207/1000*12/N207))</f>
        <v/>
      </c>
      <c r="U207" s="52" t="str">
        <f aca="false">IF($A207="","",IF(OR(T207="",J207=0,J207=""),"",T207/J207))</f>
        <v/>
      </c>
      <c r="V207" s="52" t="str">
        <f aca="false">IF($A207="","",IF(OR(R207="",N207&lt;=0,J207=0,J207=""),"",(R207/1000*12/N207)/J207))</f>
        <v/>
      </c>
      <c r="W207" s="52" t="str">
        <f aca="false">IF($A207="","",IF(OR(T207="",K207=0,K207=""),"",T207/K207))</f>
        <v/>
      </c>
      <c r="X207" s="43" t="n">
        <f aca="false">IF($A207="","",IF(OR(N207&lt;=0,I207=0,I207="",O207=0),"",O207*1000/(I207*0.3025)/N207))</f>
        <v>12727.3454495684</v>
      </c>
      <c r="Y207" s="50" t="str">
        <f aca="false">IF($A207="","",IF(OR(O207=0,O207="",P207=0),"",P207/O207))</f>
        <v/>
      </c>
      <c r="Z207" s="17" t="str">
        <f aca="false">IF($A207="","",IFERROR(INDEX(物件収支!$E:$E,MATCH($A207,物件収支!$A:$A,0)),""))</f>
        <v>開示（物件別・収益のみ）</v>
      </c>
    </row>
    <row r="208" customFormat="false" ht="15" hidden="false" customHeight="true" outlineLevel="0" collapsed="false">
      <c r="A208" s="17" t="str">
        <f aca="false">IF(物件マスタ!A208="","",物件マスタ!A208)</f>
        <v>JPR-09</v>
      </c>
      <c r="B208" s="17" t="str">
        <f aca="false">IF($A208="","",物件マスタ!B208)</f>
        <v>JPR</v>
      </c>
      <c r="C208" s="17" t="str">
        <f aca="false">IF($A208="","",IFERROR(INDEX(法人マスタ!$C:$C,MATCH($B208,法人マスタ!$A:$A,0)),""))</f>
        <v>日本プライムリアルティ投資法人</v>
      </c>
      <c r="D208" s="17" t="str">
        <f aca="false">IF($A208="","",物件マスタ!C208)</f>
        <v>ビッグス新宿ビル</v>
      </c>
      <c r="E208" s="17" t="str">
        <f aca="false">IF($A208="","",物件マスタ!H208)</f>
        <v>都心5区</v>
      </c>
      <c r="F208" s="48" t="n">
        <f aca="false">IF($A208="","",物件マスタ!P208)</f>
        <v>31138</v>
      </c>
      <c r="G208" s="34" t="n">
        <f aca="false">IF($A208="","",物件マスタ!Q208)</f>
        <v>41.4</v>
      </c>
      <c r="H208" s="49" t="n">
        <f aca="false">IF($A208="","",物件マスタ!L208)</f>
        <v>25733.1</v>
      </c>
      <c r="I208" s="49" t="n">
        <f aca="false">IF($A208="","",物件マスタ!M208)</f>
        <v>15222.72</v>
      </c>
      <c r="J208" s="43" t="n">
        <f aca="false">IF($A208="","",物件マスタ!S208)</f>
        <v>15121</v>
      </c>
      <c r="K208" s="43" t="n">
        <f aca="false">IF($A208="","",物件マスタ!U208)</f>
        <v>18900</v>
      </c>
      <c r="L208" s="50" t="n">
        <f aca="false">IF($A208="","",物件マスタ!W208)</f>
        <v>0.985</v>
      </c>
      <c r="M208" s="17" t="str">
        <f aca="false">IF($A208="","",IFERROR(INDEX(法人マスタ!$H:$H,MATCH($B208,法人マスタ!$A:$A,0)),""))</f>
        <v>2025年12月期（第48期）</v>
      </c>
      <c r="N208" s="51" t="n">
        <f aca="false">IF($A208="","",SUMIFS(物件収支!$D:$D,物件収支!$A:$A,$A208,物件収支!$C:$C,$M208))</f>
        <v>6</v>
      </c>
      <c r="O208" s="43" t="n">
        <f aca="false">IF($A208="","",SUMIFS(物件収支!$F:$F,物件収支!$A:$A,$A208,物件収支!$C:$C,$M208))</f>
        <v>640659</v>
      </c>
      <c r="P208" s="43" t="n">
        <f aca="false">IF($A208="","",SUMIFS(物件収支!$I:$I,物件収支!$A:$A,$A208,物件収支!$C:$C,$M208))</f>
        <v>0</v>
      </c>
      <c r="Q208" s="43" t="n">
        <f aca="false">IF($A208="","",SUMIFS(物件収支!$O:$O,物件収支!$A:$A,$A208,物件収支!$C:$C,$M208))</f>
        <v>0</v>
      </c>
      <c r="R208" s="43" t="str">
        <f aca="false">IF($A208="","",IF(P208=0,"",O208-P208))</f>
        <v/>
      </c>
      <c r="S208" s="43" t="str">
        <f aca="false">IF($A208="","",IF(R208="","",R208+Q208))</f>
        <v/>
      </c>
      <c r="T208" s="43" t="str">
        <f aca="false">IF($A208="","",IF(OR(S208="",N208&lt;=0),"",S208/1000*12/N208))</f>
        <v/>
      </c>
      <c r="U208" s="52" t="str">
        <f aca="false">IF($A208="","",IF(OR(T208="",J208=0,J208=""),"",T208/J208))</f>
        <v/>
      </c>
      <c r="V208" s="52" t="str">
        <f aca="false">IF($A208="","",IF(OR(R208="",N208&lt;=0,J208=0,J208=""),"",(R208/1000*12/N208)/J208))</f>
        <v/>
      </c>
      <c r="W208" s="52" t="str">
        <f aca="false">IF($A208="","",IF(OR(T208="",K208=0,K208=""),"",T208/K208))</f>
        <v/>
      </c>
      <c r="X208" s="43" t="n">
        <f aca="false">IF($A208="","",IF(OR(N208&lt;=0,I208=0,I208="",O208=0),"",O208*1000/(I208*0.3025)/N208))</f>
        <v>23187.7197563416</v>
      </c>
      <c r="Y208" s="50" t="str">
        <f aca="false">IF($A208="","",IF(OR(O208=0,O208="",P208=0),"",P208/O208))</f>
        <v/>
      </c>
      <c r="Z208" s="17" t="str">
        <f aca="false">IF($A208="","",IFERROR(INDEX(物件収支!$E:$E,MATCH($A208,物件収支!$A:$A,0)),""))</f>
        <v>開示（物件別・収益のみ）</v>
      </c>
    </row>
    <row r="209" customFormat="false" ht="15" hidden="false" customHeight="true" outlineLevel="0" collapsed="false">
      <c r="A209" s="17" t="str">
        <f aca="false">IF(物件マスタ!A209="","",物件マスタ!A209)</f>
        <v>JPR-10</v>
      </c>
      <c r="B209" s="17" t="str">
        <f aca="false">IF($A209="","",物件マスタ!B209)</f>
        <v>JPR</v>
      </c>
      <c r="C209" s="17" t="str">
        <f aca="false">IF($A209="","",IFERROR(INDEX(法人マスタ!$C:$C,MATCH($B209,法人マスタ!$A:$A,0)),""))</f>
        <v>日本プライムリアルティ投資法人</v>
      </c>
      <c r="D209" s="17" t="str">
        <f aca="false">IF($A209="","",物件マスタ!C209)</f>
        <v>アクロス新川ビル・アネックス</v>
      </c>
      <c r="E209" s="17" t="str">
        <f aca="false">IF($A209="","",物件マスタ!H209)</f>
        <v>都心5区</v>
      </c>
      <c r="F209" s="48" t="n">
        <f aca="false">IF($A209="","",物件マスタ!P209)</f>
        <v>34486</v>
      </c>
      <c r="G209" s="34" t="n">
        <f aca="false">IF($A209="","",物件マスタ!Q209)</f>
        <v>32.2</v>
      </c>
      <c r="H209" s="49" t="n">
        <f aca="false">IF($A209="","",物件マスタ!L209)</f>
        <v>5535.9</v>
      </c>
      <c r="I209" s="49" t="n">
        <f aca="false">IF($A209="","",物件マスタ!M209)</f>
        <v>1264.51</v>
      </c>
      <c r="J209" s="43" t="n">
        <f aca="false">IF($A209="","",物件マスタ!S209)</f>
        <v>710</v>
      </c>
      <c r="K209" s="43" t="n">
        <f aca="false">IF($A209="","",物件マスタ!U209)</f>
        <v>811</v>
      </c>
      <c r="L209" s="50" t="n">
        <f aca="false">IF($A209="","",物件マスタ!W209)</f>
        <v>1</v>
      </c>
      <c r="M209" s="17" t="str">
        <f aca="false">IF($A209="","",IFERROR(INDEX(法人マスタ!$H:$H,MATCH($B209,法人マスタ!$A:$A,0)),""))</f>
        <v>2025年12月期（第48期）</v>
      </c>
      <c r="N209" s="51" t="n">
        <f aca="false">IF($A209="","",SUMIFS(物件収支!$D:$D,物件収支!$A:$A,$A209,物件収支!$C:$C,$M209))</f>
        <v>6</v>
      </c>
      <c r="O209" s="43" t="n">
        <f aca="false">IF($A209="","",SUMIFS(物件収支!$F:$F,物件収支!$A:$A,$A209,物件収支!$C:$C,$M209))</f>
        <v>39218</v>
      </c>
      <c r="P209" s="43" t="n">
        <f aca="false">IF($A209="","",SUMIFS(物件収支!$I:$I,物件収支!$A:$A,$A209,物件収支!$C:$C,$M209))</f>
        <v>0</v>
      </c>
      <c r="Q209" s="43" t="n">
        <f aca="false">IF($A209="","",SUMIFS(物件収支!$O:$O,物件収支!$A:$A,$A209,物件収支!$C:$C,$M209))</f>
        <v>0</v>
      </c>
      <c r="R209" s="43" t="str">
        <f aca="false">IF($A209="","",IF(P209=0,"",O209-P209))</f>
        <v/>
      </c>
      <c r="S209" s="43" t="str">
        <f aca="false">IF($A209="","",IF(R209="","",R209+Q209))</f>
        <v/>
      </c>
      <c r="T209" s="43" t="str">
        <f aca="false">IF($A209="","",IF(OR(S209="",N209&lt;=0),"",S209/1000*12/N209))</f>
        <v/>
      </c>
      <c r="U209" s="52" t="str">
        <f aca="false">IF($A209="","",IF(OR(T209="",J209=0,J209=""),"",T209/J209))</f>
        <v/>
      </c>
      <c r="V209" s="52" t="str">
        <f aca="false">IF($A209="","",IF(OR(R209="",N209&lt;=0,J209=0,J209=""),"",(R209/1000*12/N209)/J209))</f>
        <v/>
      </c>
      <c r="W209" s="52" t="str">
        <f aca="false">IF($A209="","",IF(OR(T209="",K209=0,K209=""),"",T209/K209))</f>
        <v/>
      </c>
      <c r="X209" s="43" t="n">
        <f aca="false">IF($A209="","",IF(OR(N209&lt;=0,I209=0,I209="",O209=0),"",O209*1000/(I209*0.3025)/N209))</f>
        <v>17087.8154373019</v>
      </c>
      <c r="Y209" s="50" t="str">
        <f aca="false">IF($A209="","",IF(OR(O209=0,O209="",P209=0),"",P209/O209))</f>
        <v/>
      </c>
      <c r="Z209" s="17" t="str">
        <f aca="false">IF($A209="","",IFERROR(INDEX(物件収支!$E:$E,MATCH($A209,物件収支!$A:$A,0)),""))</f>
        <v>開示（物件別・収益のみ）</v>
      </c>
    </row>
    <row r="210" customFormat="false" ht="15" hidden="false" customHeight="true" outlineLevel="0" collapsed="false">
      <c r="A210" s="17" t="str">
        <f aca="false">IF(物件マスタ!A210="","",物件マスタ!A210)</f>
        <v>JPR-11</v>
      </c>
      <c r="B210" s="17" t="str">
        <f aca="false">IF($A210="","",物件マスタ!B210)</f>
        <v>JPR</v>
      </c>
      <c r="C210" s="17" t="str">
        <f aca="false">IF($A210="","",IFERROR(INDEX(法人マスタ!$C:$C,MATCH($B210,法人マスタ!$A:$A,0)),""))</f>
        <v>日本プライムリアルティ投資法人</v>
      </c>
      <c r="D210" s="17" t="str">
        <f aca="false">IF($A210="","",物件マスタ!C210)</f>
        <v>新宿センタービル</v>
      </c>
      <c r="E210" s="17" t="str">
        <f aca="false">IF($A210="","",物件マスタ!H210)</f>
        <v>都心5区</v>
      </c>
      <c r="F210" s="48" t="n">
        <f aca="false">IF($A210="","",物件マスタ!P210)</f>
        <v>29129</v>
      </c>
      <c r="G210" s="34" t="n">
        <f aca="false">IF($A210="","",物件マスタ!Q210)</f>
        <v>46.9</v>
      </c>
      <c r="H210" s="49" t="n">
        <f aca="false">IF($A210="","",物件マスタ!L210)</f>
        <v>176607.89</v>
      </c>
      <c r="I210" s="49" t="n">
        <f aca="false">IF($A210="","",物件マスタ!M210)</f>
        <v>10436.17</v>
      </c>
      <c r="J210" s="43" t="n">
        <f aca="false">IF($A210="","",物件マスタ!S210)</f>
        <v>24320</v>
      </c>
      <c r="K210" s="43" t="n">
        <f aca="false">IF($A210="","",物件マスタ!U210)</f>
        <v>20900</v>
      </c>
      <c r="L210" s="50" t="n">
        <f aca="false">IF($A210="","",物件マスタ!W210)</f>
        <v>0.99</v>
      </c>
      <c r="M210" s="17" t="str">
        <f aca="false">IF($A210="","",IFERROR(INDEX(法人マスタ!$H:$H,MATCH($B210,法人マスタ!$A:$A,0)),""))</f>
        <v>2025年12月期（第48期）</v>
      </c>
      <c r="N210" s="51" t="n">
        <f aca="false">IF($A210="","",SUMIFS(物件収支!$D:$D,物件収支!$A:$A,$A210,物件収支!$C:$C,$M210))</f>
        <v>6</v>
      </c>
      <c r="O210" s="43" t="n">
        <f aca="false">IF($A210="","",SUMIFS(物件収支!$F:$F,物件収支!$A:$A,$A210,物件収支!$C:$C,$M210))</f>
        <v>642412</v>
      </c>
      <c r="P210" s="43" t="n">
        <f aca="false">IF($A210="","",SUMIFS(物件収支!$I:$I,物件収支!$A:$A,$A210,物件収支!$C:$C,$M210))</f>
        <v>0</v>
      </c>
      <c r="Q210" s="43" t="n">
        <f aca="false">IF($A210="","",SUMIFS(物件収支!$O:$O,物件収支!$A:$A,$A210,物件収支!$C:$C,$M210))</f>
        <v>0</v>
      </c>
      <c r="R210" s="43" t="str">
        <f aca="false">IF($A210="","",IF(P210=0,"",O210-P210))</f>
        <v/>
      </c>
      <c r="S210" s="43" t="str">
        <f aca="false">IF($A210="","",IF(R210="","",R210+Q210))</f>
        <v/>
      </c>
      <c r="T210" s="43" t="str">
        <f aca="false">IF($A210="","",IF(OR(S210="",N210&lt;=0),"",S210/1000*12/N210))</f>
        <v/>
      </c>
      <c r="U210" s="52" t="str">
        <f aca="false">IF($A210="","",IF(OR(T210="",J210=0,J210=""),"",T210/J210))</f>
        <v/>
      </c>
      <c r="V210" s="52" t="str">
        <f aca="false">IF($A210="","",IF(OR(R210="",N210&lt;=0,J210=0,J210=""),"",(R210/1000*12/N210)/J210))</f>
        <v/>
      </c>
      <c r="W210" s="52" t="str">
        <f aca="false">IF($A210="","",IF(OR(T210="",K210=0,K210=""),"",T210/K210))</f>
        <v/>
      </c>
      <c r="X210" s="43" t="n">
        <f aca="false">IF($A210="","",IF(OR(N210&lt;=0,I210=0,I210="",O210=0),"",O210*1000/(I210*0.3025)/N210))</f>
        <v>33915.3162040904</v>
      </c>
      <c r="Y210" s="50" t="str">
        <f aca="false">IF($A210="","",IF(OR(O210=0,O210="",P210=0),"",P210/O210))</f>
        <v/>
      </c>
      <c r="Z210" s="17" t="str">
        <f aca="false">IF($A210="","",IFERROR(INDEX(物件収支!$E:$E,MATCH($A210,物件収支!$A:$A,0)),""))</f>
        <v>開示（物件別・収益のみ）</v>
      </c>
    </row>
    <row r="211" customFormat="false" ht="15" hidden="false" customHeight="true" outlineLevel="0" collapsed="false">
      <c r="A211" s="17" t="str">
        <f aca="false">IF(物件マスタ!A211="","",物件マスタ!A211)</f>
        <v>JPR-12</v>
      </c>
      <c r="B211" s="17" t="str">
        <f aca="false">IF($A211="","",物件マスタ!B211)</f>
        <v>JPR</v>
      </c>
      <c r="C211" s="17" t="str">
        <f aca="false">IF($A211="","",IFERROR(INDEX(法人マスタ!$C:$C,MATCH($B211,法人マスタ!$A:$A,0)),""))</f>
        <v>日本プライムリアルティ投資法人</v>
      </c>
      <c r="D211" s="17" t="str">
        <f aca="false">IF($A211="","",物件マスタ!C211)</f>
        <v>南麻布ビル</v>
      </c>
      <c r="E211" s="17" t="str">
        <f aca="false">IF($A211="","",物件マスタ!H211)</f>
        <v>都心5区</v>
      </c>
      <c r="F211" s="48" t="n">
        <f aca="false">IF($A211="","",物件マスタ!P211)</f>
        <v>33756</v>
      </c>
      <c r="G211" s="34" t="n">
        <f aca="false">IF($A211="","",物件マスタ!Q211)</f>
        <v>34.2</v>
      </c>
      <c r="H211" s="49" t="n">
        <f aca="false">IF($A211="","",物件マスタ!L211)</f>
        <v>4570.63</v>
      </c>
      <c r="I211" s="49" t="n">
        <f aca="false">IF($A211="","",物件マスタ!M211)</f>
        <v>3405.73</v>
      </c>
      <c r="J211" s="43" t="n">
        <f aca="false">IF($A211="","",物件マスタ!S211)</f>
        <v>3760</v>
      </c>
      <c r="K211" s="43" t="n">
        <f aca="false">IF($A211="","",物件マスタ!U211)</f>
        <v>3420</v>
      </c>
      <c r="L211" s="50" t="n">
        <f aca="false">IF($A211="","",物件マスタ!W211)</f>
        <v>1</v>
      </c>
      <c r="M211" s="17" t="str">
        <f aca="false">IF($A211="","",IFERROR(INDEX(法人マスタ!$H:$H,MATCH($B211,法人マスタ!$A:$A,0)),""))</f>
        <v>2025年12月期（第48期）</v>
      </c>
      <c r="N211" s="51" t="n">
        <f aca="false">IF($A211="","",SUMIFS(物件収支!$D:$D,物件収支!$A:$A,$A211,物件収支!$C:$C,$M211))</f>
        <v>6</v>
      </c>
      <c r="O211" s="43" t="n">
        <f aca="false">IF($A211="","",SUMIFS(物件収支!$F:$F,物件収支!$A:$A,$A211,物件収支!$C:$C,$M211))</f>
        <v>0</v>
      </c>
      <c r="P211" s="43" t="n">
        <f aca="false">IF($A211="","",SUMIFS(物件収支!$I:$I,物件収支!$A:$A,$A211,物件収支!$C:$C,$M211))</f>
        <v>0</v>
      </c>
      <c r="Q211" s="43" t="n">
        <f aca="false">IF($A211="","",SUMIFS(物件収支!$O:$O,物件収支!$A:$A,$A211,物件収支!$C:$C,$M211))</f>
        <v>0</v>
      </c>
      <c r="R211" s="43" t="str">
        <f aca="false">IF($A211="","",IF(P211=0,"",O211-P211))</f>
        <v/>
      </c>
      <c r="S211" s="43" t="str">
        <f aca="false">IF($A211="","",IF(R211="","",R211+Q211))</f>
        <v/>
      </c>
      <c r="T211" s="43" t="str">
        <f aca="false">IF($A211="","",IF(OR(S211="",N211&lt;=0),"",S211/1000*12/N211))</f>
        <v/>
      </c>
      <c r="U211" s="52" t="str">
        <f aca="false">IF($A211="","",IF(OR(T211="",J211=0,J211=""),"",T211/J211))</f>
        <v/>
      </c>
      <c r="V211" s="52" t="str">
        <f aca="false">IF($A211="","",IF(OR(R211="",N211&lt;=0,J211=0,J211=""),"",(R211/1000*12/N211)/J211))</f>
        <v/>
      </c>
      <c r="W211" s="52" t="str">
        <f aca="false">IF($A211="","",IF(OR(T211="",K211=0,K211=""),"",T211/K211))</f>
        <v/>
      </c>
      <c r="X211" s="43" t="str">
        <f aca="false">IF($A211="","",IF(OR(N211&lt;=0,I211=0,I211="",O211=0),"",O211*1000/(I211*0.3025)/N211))</f>
        <v/>
      </c>
      <c r="Y211" s="50" t="str">
        <f aca="false">IF($A211="","",IF(OR(O211=0,O211="",P211=0),"",P211/O211))</f>
        <v/>
      </c>
      <c r="Z211" s="17" t="str">
        <f aca="false">IF($A211="","",IFERROR(INDEX(物件収支!$E:$E,MATCH($A211,物件収支!$A:$A,0)),""))</f>
        <v>非開示（テナント同意なし）</v>
      </c>
    </row>
    <row r="212" customFormat="false" ht="15" hidden="false" customHeight="true" outlineLevel="0" collapsed="false">
      <c r="A212" s="17" t="str">
        <f aca="false">IF(物件マスタ!A212="","",物件マスタ!A212)</f>
        <v>JPR-13</v>
      </c>
      <c r="B212" s="17" t="str">
        <f aca="false">IF($A212="","",物件マスタ!B212)</f>
        <v>JPR</v>
      </c>
      <c r="C212" s="17" t="str">
        <f aca="false">IF($A212="","",IFERROR(INDEX(法人マスタ!$C:$C,MATCH($B212,法人マスタ!$A:$A,0)),""))</f>
        <v>日本プライムリアルティ投資法人</v>
      </c>
      <c r="D212" s="17" t="str">
        <f aca="false">IF($A212="","",物件マスタ!C212)</f>
        <v>品川キャナルビル</v>
      </c>
      <c r="E212" s="17" t="str">
        <f aca="false">IF($A212="","",物件マスタ!H212)</f>
        <v>都心5区</v>
      </c>
      <c r="F212" s="48" t="n">
        <f aca="false">IF($A212="","",物件マスタ!P212)</f>
        <v>39630</v>
      </c>
      <c r="G212" s="34" t="n">
        <f aca="false">IF($A212="","",物件マスタ!Q212)</f>
        <v>18.1</v>
      </c>
      <c r="H212" s="49" t="n">
        <f aca="false">IF($A212="","",物件マスタ!L212)</f>
        <v>5216.21</v>
      </c>
      <c r="I212" s="49" t="n">
        <f aca="false">IF($A212="","",物件マスタ!M212)</f>
        <v>1870.5</v>
      </c>
      <c r="J212" s="43" t="n">
        <f aca="false">IF($A212="","",物件マスタ!S212)</f>
        <v>2041</v>
      </c>
      <c r="K212" s="43" t="n">
        <f aca="false">IF($A212="","",物件マスタ!U212)</f>
        <v>2110</v>
      </c>
      <c r="L212" s="50" t="n">
        <f aca="false">IF($A212="","",物件マスタ!W212)</f>
        <v>1</v>
      </c>
      <c r="M212" s="17" t="str">
        <f aca="false">IF($A212="","",IFERROR(INDEX(法人マスタ!$H:$H,MATCH($B212,法人マスタ!$A:$A,0)),""))</f>
        <v>2025年12月期（第48期）</v>
      </c>
      <c r="N212" s="51" t="n">
        <f aca="false">IF($A212="","",SUMIFS(物件収支!$D:$D,物件収支!$A:$A,$A212,物件収支!$C:$C,$M212))</f>
        <v>6</v>
      </c>
      <c r="O212" s="43" t="n">
        <f aca="false">IF($A212="","",SUMIFS(物件収支!$F:$F,物件収支!$A:$A,$A212,物件収支!$C:$C,$M212))</f>
        <v>75220</v>
      </c>
      <c r="P212" s="43" t="n">
        <f aca="false">IF($A212="","",SUMIFS(物件収支!$I:$I,物件収支!$A:$A,$A212,物件収支!$C:$C,$M212))</f>
        <v>0</v>
      </c>
      <c r="Q212" s="43" t="n">
        <f aca="false">IF($A212="","",SUMIFS(物件収支!$O:$O,物件収支!$A:$A,$A212,物件収支!$C:$C,$M212))</f>
        <v>0</v>
      </c>
      <c r="R212" s="43" t="str">
        <f aca="false">IF($A212="","",IF(P212=0,"",O212-P212))</f>
        <v/>
      </c>
      <c r="S212" s="43" t="str">
        <f aca="false">IF($A212="","",IF(R212="","",R212+Q212))</f>
        <v/>
      </c>
      <c r="T212" s="43" t="str">
        <f aca="false">IF($A212="","",IF(OR(S212="",N212&lt;=0),"",S212/1000*12/N212))</f>
        <v/>
      </c>
      <c r="U212" s="52" t="str">
        <f aca="false">IF($A212="","",IF(OR(T212="",J212=0,J212=""),"",T212/J212))</f>
        <v/>
      </c>
      <c r="V212" s="52" t="str">
        <f aca="false">IF($A212="","",IF(OR(R212="",N212&lt;=0,J212=0,J212=""),"",(R212/1000*12/N212)/J212))</f>
        <v/>
      </c>
      <c r="W212" s="52" t="str">
        <f aca="false">IF($A212="","",IF(OR(T212="",K212=0,K212=""),"",T212/K212))</f>
        <v/>
      </c>
      <c r="X212" s="43" t="n">
        <f aca="false">IF($A212="","",IF(OR(N212&lt;=0,I212=0,I212="",O212=0),"",O212*1000/(I212*0.3025)/N212))</f>
        <v>22156.3892920604</v>
      </c>
      <c r="Y212" s="50" t="str">
        <f aca="false">IF($A212="","",IF(OR(O212=0,O212="",P212=0),"",P212/O212))</f>
        <v/>
      </c>
      <c r="Z212" s="17" t="str">
        <f aca="false">IF($A212="","",IFERROR(INDEX(物件収支!$E:$E,MATCH($A212,物件収支!$A:$A,0)),""))</f>
        <v>開示（物件別・収益のみ）</v>
      </c>
    </row>
    <row r="213" customFormat="false" ht="15" hidden="false" customHeight="true" outlineLevel="0" collapsed="false">
      <c r="A213" s="17" t="str">
        <f aca="false">IF(物件マスタ!A213="","",物件マスタ!A213)</f>
        <v>JPR-14</v>
      </c>
      <c r="B213" s="17" t="str">
        <f aca="false">IF($A213="","",物件マスタ!B213)</f>
        <v>JPR</v>
      </c>
      <c r="C213" s="17" t="str">
        <f aca="false">IF($A213="","",IFERROR(INDEX(法人マスタ!$C:$C,MATCH($B213,法人マスタ!$A:$A,0)),""))</f>
        <v>日本プライムリアルティ投資法人</v>
      </c>
      <c r="D213" s="17" t="str">
        <f aca="false">IF($A213="","",物件マスタ!C213)</f>
        <v>六番町ビル</v>
      </c>
      <c r="E213" s="17" t="str">
        <f aca="false">IF($A213="","",物件マスタ!H213)</f>
        <v>都心5区</v>
      </c>
      <c r="F213" s="48" t="n">
        <f aca="false">IF($A213="","",物件マスタ!P213)</f>
        <v>33512</v>
      </c>
      <c r="G213" s="34" t="n">
        <f aca="false">IF($A213="","",物件マスタ!Q213)</f>
        <v>34.9</v>
      </c>
      <c r="H213" s="49" t="n">
        <f aca="false">IF($A213="","",物件マスタ!L213)</f>
        <v>4205.09</v>
      </c>
      <c r="I213" s="49" t="n">
        <f aca="false">IF($A213="","",物件マスタ!M213)</f>
        <v>2501.16</v>
      </c>
      <c r="J213" s="43" t="n">
        <f aca="false">IF($A213="","",物件マスタ!S213)</f>
        <v>2800</v>
      </c>
      <c r="K213" s="43" t="n">
        <f aca="false">IF($A213="","",物件マスタ!U213)</f>
        <v>3610</v>
      </c>
      <c r="L213" s="50" t="n">
        <f aca="false">IF($A213="","",物件マスタ!W213)</f>
        <v>1</v>
      </c>
      <c r="M213" s="17" t="str">
        <f aca="false">IF($A213="","",IFERROR(INDEX(法人マスタ!$H:$H,MATCH($B213,法人マスタ!$A:$A,0)),""))</f>
        <v>2025年12月期（第48期）</v>
      </c>
      <c r="N213" s="51" t="n">
        <f aca="false">IF($A213="","",SUMIFS(物件収支!$D:$D,物件収支!$A:$A,$A213,物件収支!$C:$C,$M213))</f>
        <v>6</v>
      </c>
      <c r="O213" s="43" t="n">
        <f aca="false">IF($A213="","",SUMIFS(物件収支!$F:$F,物件収支!$A:$A,$A213,物件収支!$C:$C,$M213))</f>
        <v>0</v>
      </c>
      <c r="P213" s="43" t="n">
        <f aca="false">IF($A213="","",SUMIFS(物件収支!$I:$I,物件収支!$A:$A,$A213,物件収支!$C:$C,$M213))</f>
        <v>0</v>
      </c>
      <c r="Q213" s="43" t="n">
        <f aca="false">IF($A213="","",SUMIFS(物件収支!$O:$O,物件収支!$A:$A,$A213,物件収支!$C:$C,$M213))</f>
        <v>0</v>
      </c>
      <c r="R213" s="43" t="str">
        <f aca="false">IF($A213="","",IF(P213=0,"",O213-P213))</f>
        <v/>
      </c>
      <c r="S213" s="43" t="str">
        <f aca="false">IF($A213="","",IF(R213="","",R213+Q213))</f>
        <v/>
      </c>
      <c r="T213" s="43" t="str">
        <f aca="false">IF($A213="","",IF(OR(S213="",N213&lt;=0),"",S213/1000*12/N213))</f>
        <v/>
      </c>
      <c r="U213" s="52" t="str">
        <f aca="false">IF($A213="","",IF(OR(T213="",J213=0,J213=""),"",T213/J213))</f>
        <v/>
      </c>
      <c r="V213" s="52" t="str">
        <f aca="false">IF($A213="","",IF(OR(R213="",N213&lt;=0,J213=0,J213=""),"",(R213/1000*12/N213)/J213))</f>
        <v/>
      </c>
      <c r="W213" s="52" t="str">
        <f aca="false">IF($A213="","",IF(OR(T213="",K213=0,K213=""),"",T213/K213))</f>
        <v/>
      </c>
      <c r="X213" s="43" t="str">
        <f aca="false">IF($A213="","",IF(OR(N213&lt;=0,I213=0,I213="",O213=0),"",O213*1000/(I213*0.3025)/N213))</f>
        <v/>
      </c>
      <c r="Y213" s="50" t="str">
        <f aca="false">IF($A213="","",IF(OR(O213=0,O213="",P213=0),"",P213/O213))</f>
        <v/>
      </c>
      <c r="Z213" s="17" t="str">
        <f aca="false">IF($A213="","",IFERROR(INDEX(物件収支!$E:$E,MATCH($A213,物件収支!$A:$A,0)),""))</f>
        <v>非開示（テナント同意なし）</v>
      </c>
    </row>
    <row r="214" customFormat="false" ht="15" hidden="false" customHeight="true" outlineLevel="0" collapsed="false">
      <c r="A214" s="17" t="str">
        <f aca="false">IF(物件マスタ!A214="","",物件マスタ!A214)</f>
        <v>JPR-15</v>
      </c>
      <c r="B214" s="17" t="str">
        <f aca="false">IF($A214="","",物件マスタ!B214)</f>
        <v>JPR</v>
      </c>
      <c r="C214" s="17" t="str">
        <f aca="false">IF($A214="","",IFERROR(INDEX(法人マスタ!$C:$C,MATCH($B214,法人マスタ!$A:$A,0)),""))</f>
        <v>日本プライムリアルティ投資法人</v>
      </c>
      <c r="D214" s="17" t="str">
        <f aca="false">IF($A214="","",物件マスタ!C214)</f>
        <v>ＪＰＲ原宿ビル</v>
      </c>
      <c r="E214" s="17" t="str">
        <f aca="false">IF($A214="","",物件マスタ!H214)</f>
        <v>都心5区</v>
      </c>
      <c r="F214" s="48" t="n">
        <f aca="false">IF($A214="","",物件マスタ!P214)</f>
        <v>32568</v>
      </c>
      <c r="G214" s="34" t="n">
        <f aca="false">IF($A214="","",物件マスタ!Q214)</f>
        <v>37.4</v>
      </c>
      <c r="H214" s="49" t="n">
        <f aca="false">IF($A214="","",物件マスタ!L214)</f>
        <v>6466.94</v>
      </c>
      <c r="I214" s="49" t="n">
        <f aca="false">IF($A214="","",物件マスタ!M214)</f>
        <v>4759.8</v>
      </c>
      <c r="J214" s="43" t="n">
        <f aca="false">IF($A214="","",物件マスタ!S214)</f>
        <v>8400</v>
      </c>
      <c r="K214" s="43" t="n">
        <f aca="false">IF($A214="","",物件マスタ!U214)</f>
        <v>10100</v>
      </c>
      <c r="L214" s="50" t="n">
        <f aca="false">IF($A214="","",物件マスタ!W214)</f>
        <v>1</v>
      </c>
      <c r="M214" s="17" t="str">
        <f aca="false">IF($A214="","",IFERROR(INDEX(法人マスタ!$H:$H,MATCH($B214,法人マスタ!$A:$A,0)),""))</f>
        <v>2025年12月期（第48期）</v>
      </c>
      <c r="N214" s="51" t="n">
        <f aca="false">IF($A214="","",SUMIFS(物件収支!$D:$D,物件収支!$A:$A,$A214,物件収支!$C:$C,$M214))</f>
        <v>6</v>
      </c>
      <c r="O214" s="43" t="n">
        <f aca="false">IF($A214="","",SUMIFS(物件収支!$F:$F,物件収支!$A:$A,$A214,物件収支!$C:$C,$M214))</f>
        <v>287129</v>
      </c>
      <c r="P214" s="43" t="n">
        <f aca="false">IF($A214="","",SUMIFS(物件収支!$I:$I,物件収支!$A:$A,$A214,物件収支!$C:$C,$M214))</f>
        <v>0</v>
      </c>
      <c r="Q214" s="43" t="n">
        <f aca="false">IF($A214="","",SUMIFS(物件収支!$O:$O,物件収支!$A:$A,$A214,物件収支!$C:$C,$M214))</f>
        <v>0</v>
      </c>
      <c r="R214" s="43" t="str">
        <f aca="false">IF($A214="","",IF(P214=0,"",O214-P214))</f>
        <v/>
      </c>
      <c r="S214" s="43" t="str">
        <f aca="false">IF($A214="","",IF(R214="","",R214+Q214))</f>
        <v/>
      </c>
      <c r="T214" s="43" t="str">
        <f aca="false">IF($A214="","",IF(OR(S214="",N214&lt;=0),"",S214/1000*12/N214))</f>
        <v/>
      </c>
      <c r="U214" s="52" t="str">
        <f aca="false">IF($A214="","",IF(OR(T214="",J214=0,J214=""),"",T214/J214))</f>
        <v/>
      </c>
      <c r="V214" s="52" t="str">
        <f aca="false">IF($A214="","",IF(OR(R214="",N214&lt;=0,J214=0,J214=""),"",(R214/1000*12/N214)/J214))</f>
        <v/>
      </c>
      <c r="W214" s="52" t="str">
        <f aca="false">IF($A214="","",IF(OR(T214="",K214=0,K214=""),"",T214/K214))</f>
        <v/>
      </c>
      <c r="X214" s="43" t="n">
        <f aca="false">IF($A214="","",IF(OR(N214&lt;=0,I214=0,I214="",O214=0),"",O214*1000/(I214*0.3025)/N214))</f>
        <v>33236.227602683</v>
      </c>
      <c r="Y214" s="50" t="str">
        <f aca="false">IF($A214="","",IF(OR(O214=0,O214="",P214=0),"",P214/O214))</f>
        <v/>
      </c>
      <c r="Z214" s="17" t="str">
        <f aca="false">IF($A214="","",IFERROR(INDEX(物件収支!$E:$E,MATCH($A214,物件収支!$A:$A,0)),""))</f>
        <v>開示（物件別・収益のみ）</v>
      </c>
    </row>
    <row r="215" customFormat="false" ht="15" hidden="false" customHeight="true" outlineLevel="0" collapsed="false">
      <c r="A215" s="17" t="str">
        <f aca="false">IF(物件マスタ!A215="","",物件マスタ!A215)</f>
        <v>JPR-16</v>
      </c>
      <c r="B215" s="17" t="str">
        <f aca="false">IF($A215="","",物件マスタ!B215)</f>
        <v>JPR</v>
      </c>
      <c r="C215" s="17" t="str">
        <f aca="false">IF($A215="","",IFERROR(INDEX(法人マスタ!$C:$C,MATCH($B215,法人マスタ!$A:$A,0)),""))</f>
        <v>日本プライムリアルティ投資法人</v>
      </c>
      <c r="D215" s="17" t="str">
        <f aca="false">IF($A215="","",物件マスタ!C215)</f>
        <v>ＪＰＲ日本橋堀留ビル</v>
      </c>
      <c r="E215" s="17" t="str">
        <f aca="false">IF($A215="","",物件マスタ!H215)</f>
        <v>都心5区</v>
      </c>
      <c r="F215" s="48" t="n">
        <f aca="false">IF($A215="","",物件マスタ!P215)</f>
        <v>37408</v>
      </c>
      <c r="G215" s="34" t="n">
        <f aca="false">IF($A215="","",物件マスタ!Q215)</f>
        <v>24.2</v>
      </c>
      <c r="H215" s="49" t="n">
        <f aca="false">IF($A215="","",物件マスタ!L215)</f>
        <v>7190.82</v>
      </c>
      <c r="I215" s="49" t="n">
        <f aca="false">IF($A215="","",物件マスタ!M215)</f>
        <v>5299.88</v>
      </c>
      <c r="J215" s="43" t="n">
        <f aca="false">IF($A215="","",物件マスタ!S215)</f>
        <v>5100</v>
      </c>
      <c r="K215" s="43" t="n">
        <f aca="false">IF($A215="","",物件マスタ!U215)</f>
        <v>6840</v>
      </c>
      <c r="L215" s="50" t="n">
        <f aca="false">IF($A215="","",物件マスタ!W215)</f>
        <v>1</v>
      </c>
      <c r="M215" s="17" t="str">
        <f aca="false">IF($A215="","",IFERROR(INDEX(法人マスタ!$H:$H,MATCH($B215,法人マスタ!$A:$A,0)),""))</f>
        <v>2025年12月期（第48期）</v>
      </c>
      <c r="N215" s="51" t="n">
        <f aca="false">IF($A215="","",SUMIFS(物件収支!$D:$D,物件収支!$A:$A,$A215,物件収支!$C:$C,$M215))</f>
        <v>6</v>
      </c>
      <c r="O215" s="43" t="n">
        <f aca="false">IF($A215="","",SUMIFS(物件収支!$F:$F,物件収支!$A:$A,$A215,物件収支!$C:$C,$M215))</f>
        <v>189374</v>
      </c>
      <c r="P215" s="43" t="n">
        <f aca="false">IF($A215="","",SUMIFS(物件収支!$I:$I,物件収支!$A:$A,$A215,物件収支!$C:$C,$M215))</f>
        <v>0</v>
      </c>
      <c r="Q215" s="43" t="n">
        <f aca="false">IF($A215="","",SUMIFS(物件収支!$O:$O,物件収支!$A:$A,$A215,物件収支!$C:$C,$M215))</f>
        <v>0</v>
      </c>
      <c r="R215" s="43" t="str">
        <f aca="false">IF($A215="","",IF(P215=0,"",O215-P215))</f>
        <v/>
      </c>
      <c r="S215" s="43" t="str">
        <f aca="false">IF($A215="","",IF(R215="","",R215+Q215))</f>
        <v/>
      </c>
      <c r="T215" s="43" t="str">
        <f aca="false">IF($A215="","",IF(OR(S215="",N215&lt;=0),"",S215/1000*12/N215))</f>
        <v/>
      </c>
      <c r="U215" s="52" t="str">
        <f aca="false">IF($A215="","",IF(OR(T215="",J215=0,J215=""),"",T215/J215))</f>
        <v/>
      </c>
      <c r="V215" s="52" t="str">
        <f aca="false">IF($A215="","",IF(OR(R215="",N215&lt;=0,J215=0,J215=""),"",(R215/1000*12/N215)/J215))</f>
        <v/>
      </c>
      <c r="W215" s="52" t="str">
        <f aca="false">IF($A215="","",IF(OR(T215="",K215=0,K215=""),"",T215/K215))</f>
        <v/>
      </c>
      <c r="X215" s="43" t="n">
        <f aca="false">IF($A215="","",IF(OR(N215&lt;=0,I215=0,I215="",O215=0),"",O215*1000/(I215*0.3025)/N215))</f>
        <v>19686.9159322512</v>
      </c>
      <c r="Y215" s="50" t="str">
        <f aca="false">IF($A215="","",IF(OR(O215=0,O215="",P215=0),"",P215/O215))</f>
        <v/>
      </c>
      <c r="Z215" s="17" t="str">
        <f aca="false">IF($A215="","",IFERROR(INDEX(物件収支!$E:$E,MATCH($A215,物件収支!$A:$A,0)),""))</f>
        <v>開示（物件別・収益のみ）</v>
      </c>
    </row>
    <row r="216" customFormat="false" ht="15" hidden="false" customHeight="true" outlineLevel="0" collapsed="false">
      <c r="A216" s="17" t="str">
        <f aca="false">IF(物件マスタ!A216="","",物件マスタ!A216)</f>
        <v>JPR-17</v>
      </c>
      <c r="B216" s="17" t="str">
        <f aca="false">IF($A216="","",物件マスタ!B216)</f>
        <v>JPR</v>
      </c>
      <c r="C216" s="17" t="str">
        <f aca="false">IF($A216="","",IFERROR(INDEX(法人マスタ!$C:$C,MATCH($B216,法人マスタ!$A:$A,0)),""))</f>
        <v>日本プライムリアルティ投資法人</v>
      </c>
      <c r="D216" s="17" t="str">
        <f aca="false">IF($A216="","",物件マスタ!C216)</f>
        <v>銀座三和ビル</v>
      </c>
      <c r="E216" s="17" t="str">
        <f aca="false">IF($A216="","",物件マスタ!H216)</f>
        <v>都心5区</v>
      </c>
      <c r="F216" s="48" t="n">
        <f aca="false">IF($A216="","",物件マスタ!P216)</f>
        <v>30225</v>
      </c>
      <c r="G216" s="34" t="n">
        <f aca="false">IF($A216="","",物件マスタ!Q216)</f>
        <v>43.9</v>
      </c>
      <c r="H216" s="49" t="n">
        <f aca="false">IF($A216="","",物件マスタ!L216)</f>
        <v>8851</v>
      </c>
      <c r="I216" s="49" t="n">
        <f aca="false">IF($A216="","",物件マスタ!M216)</f>
        <v>1896.7</v>
      </c>
      <c r="J216" s="43" t="n">
        <f aca="false">IF($A216="","",物件マスタ!S216)</f>
        <v>3400</v>
      </c>
      <c r="K216" s="43" t="n">
        <f aca="false">IF($A216="","",物件マスタ!U216)</f>
        <v>4110</v>
      </c>
      <c r="L216" s="50" t="n">
        <f aca="false">IF($A216="","",物件マスタ!W216)</f>
        <v>1</v>
      </c>
      <c r="M216" s="17" t="str">
        <f aca="false">IF($A216="","",IFERROR(INDEX(法人マスタ!$H:$H,MATCH($B216,法人マスタ!$A:$A,0)),""))</f>
        <v>2025年12月期（第48期）</v>
      </c>
      <c r="N216" s="51" t="n">
        <f aca="false">IF($A216="","",SUMIFS(物件収支!$D:$D,物件収支!$A:$A,$A216,物件収支!$C:$C,$M216))</f>
        <v>6</v>
      </c>
      <c r="O216" s="43" t="n">
        <f aca="false">IF($A216="","",SUMIFS(物件収支!$F:$F,物件収支!$A:$A,$A216,物件収支!$C:$C,$M216))</f>
        <v>126830</v>
      </c>
      <c r="P216" s="43" t="n">
        <f aca="false">IF($A216="","",SUMIFS(物件収支!$I:$I,物件収支!$A:$A,$A216,物件収支!$C:$C,$M216))</f>
        <v>0</v>
      </c>
      <c r="Q216" s="43" t="n">
        <f aca="false">IF($A216="","",SUMIFS(物件収支!$O:$O,物件収支!$A:$A,$A216,物件収支!$C:$C,$M216))</f>
        <v>0</v>
      </c>
      <c r="R216" s="43" t="str">
        <f aca="false">IF($A216="","",IF(P216=0,"",O216-P216))</f>
        <v/>
      </c>
      <c r="S216" s="43" t="str">
        <f aca="false">IF($A216="","",IF(R216="","",R216+Q216))</f>
        <v/>
      </c>
      <c r="T216" s="43" t="str">
        <f aca="false">IF($A216="","",IF(OR(S216="",N216&lt;=0),"",S216/1000*12/N216))</f>
        <v/>
      </c>
      <c r="U216" s="52" t="str">
        <f aca="false">IF($A216="","",IF(OR(T216="",J216=0,J216=""),"",T216/J216))</f>
        <v/>
      </c>
      <c r="V216" s="52" t="str">
        <f aca="false">IF($A216="","",IF(OR(R216="",N216&lt;=0,J216=0,J216=""),"",(R216/1000*12/N216)/J216))</f>
        <v/>
      </c>
      <c r="W216" s="52" t="str">
        <f aca="false">IF($A216="","",IF(OR(T216="",K216=0,K216=""),"",T216/K216))</f>
        <v/>
      </c>
      <c r="X216" s="43" t="n">
        <f aca="false">IF($A216="","",IF(OR(N216&lt;=0,I216=0,I216="",O216=0),"",O216*1000/(I216*0.3025)/N216))</f>
        <v>36842.2986654652</v>
      </c>
      <c r="Y216" s="50" t="str">
        <f aca="false">IF($A216="","",IF(OR(O216=0,O216="",P216=0),"",P216/O216))</f>
        <v/>
      </c>
      <c r="Z216" s="17" t="str">
        <f aca="false">IF($A216="","",IFERROR(INDEX(物件収支!$E:$E,MATCH($A216,物件収支!$A:$A,0)),""))</f>
        <v>開示（物件別・収益のみ）</v>
      </c>
    </row>
    <row r="217" customFormat="false" ht="15" hidden="false" customHeight="true" outlineLevel="0" collapsed="false">
      <c r="A217" s="17" t="str">
        <f aca="false">IF(物件マスタ!A217="","",物件マスタ!A217)</f>
        <v>JPR-18</v>
      </c>
      <c r="B217" s="17" t="str">
        <f aca="false">IF($A217="","",物件マスタ!B217)</f>
        <v>JPR</v>
      </c>
      <c r="C217" s="17" t="str">
        <f aca="false">IF($A217="","",IFERROR(INDEX(法人マスタ!$C:$C,MATCH($B217,法人マスタ!$A:$A,0)),""))</f>
        <v>日本プライムリアルティ投資法人</v>
      </c>
      <c r="D217" s="17" t="str">
        <f aca="false">IF($A217="","",物件マスタ!C217)</f>
        <v>大手町タワー（底地）</v>
      </c>
      <c r="E217" s="17" t="str">
        <f aca="false">IF($A217="","",物件マスタ!H217)</f>
        <v>都心5区</v>
      </c>
      <c r="F217" s="48" t="n">
        <f aca="false">IF($A217="","",物件マスタ!P217)</f>
        <v>0</v>
      </c>
      <c r="G217" s="34" t="str">
        <f aca="false">IF($A217="","",物件マスタ!Q217)</f>
        <v/>
      </c>
      <c r="H217" s="49" t="n">
        <f aca="false">IF($A217="","",物件マスタ!L217)</f>
        <v>0</v>
      </c>
      <c r="I217" s="49" t="n">
        <f aca="false">IF($A217="","",物件マスタ!M217)</f>
        <v>11034.78</v>
      </c>
      <c r="J217" s="43" t="n">
        <f aca="false">IF($A217="","",物件マスタ!S217)</f>
        <v>36000</v>
      </c>
      <c r="K217" s="43" t="n">
        <f aca="false">IF($A217="","",物件マスタ!U217)</f>
        <v>59800</v>
      </c>
      <c r="L217" s="50" t="n">
        <f aca="false">IF($A217="","",物件マスタ!W217)</f>
        <v>1</v>
      </c>
      <c r="M217" s="17" t="str">
        <f aca="false">IF($A217="","",IFERROR(INDEX(法人マスタ!$H:$H,MATCH($B217,法人マスタ!$A:$A,0)),""))</f>
        <v>2025年12月期（第48期）</v>
      </c>
      <c r="N217" s="51" t="n">
        <f aca="false">IF($A217="","",SUMIFS(物件収支!$D:$D,物件収支!$A:$A,$A217,物件収支!$C:$C,$M217))</f>
        <v>6</v>
      </c>
      <c r="O217" s="43" t="n">
        <f aca="false">IF($A217="","",SUMIFS(物件収支!$F:$F,物件収支!$A:$A,$A217,物件収支!$C:$C,$M217))</f>
        <v>1839000</v>
      </c>
      <c r="P217" s="43" t="n">
        <f aca="false">IF($A217="","",SUMIFS(物件収支!$I:$I,物件収支!$A:$A,$A217,物件収支!$C:$C,$M217))</f>
        <v>0</v>
      </c>
      <c r="Q217" s="43" t="n">
        <f aca="false">IF($A217="","",SUMIFS(物件収支!$O:$O,物件収支!$A:$A,$A217,物件収支!$C:$C,$M217))</f>
        <v>0</v>
      </c>
      <c r="R217" s="43" t="str">
        <f aca="false">IF($A217="","",IF(P217=0,"",O217-P217))</f>
        <v/>
      </c>
      <c r="S217" s="43" t="str">
        <f aca="false">IF($A217="","",IF(R217="","",R217+Q217))</f>
        <v/>
      </c>
      <c r="T217" s="43" t="str">
        <f aca="false">IF($A217="","",IF(OR(S217="",N217&lt;=0),"",S217/1000*12/N217))</f>
        <v/>
      </c>
      <c r="U217" s="52" t="str">
        <f aca="false">IF($A217="","",IF(OR(T217="",J217=0,J217=""),"",T217/J217))</f>
        <v/>
      </c>
      <c r="V217" s="52" t="str">
        <f aca="false">IF($A217="","",IF(OR(R217="",N217&lt;=0,J217=0,J217=""),"",(R217/1000*12/N217)/J217))</f>
        <v/>
      </c>
      <c r="W217" s="52" t="str">
        <f aca="false">IF($A217="","",IF(OR(T217="",K217=0,K217=""),"",T217/K217))</f>
        <v/>
      </c>
      <c r="X217" s="43" t="n">
        <f aca="false">IF($A217="","",IF(OR(N217&lt;=0,I217=0,I217="",O217=0),"",O217*1000/(I217*0.3025)/N217))</f>
        <v>91820.8736826532</v>
      </c>
      <c r="Y217" s="50" t="str">
        <f aca="false">IF($A217="","",IF(OR(O217=0,O217="",P217=0),"",P217/O217))</f>
        <v/>
      </c>
      <c r="Z217" s="17" t="str">
        <f aca="false">IF($A217="","",IFERROR(INDEX(物件収支!$E:$E,MATCH($A217,物件収支!$A:$A,0)),""))</f>
        <v>開示（物件別・収益のみ）</v>
      </c>
    </row>
    <row r="218" customFormat="false" ht="15" hidden="false" customHeight="true" outlineLevel="0" collapsed="false">
      <c r="A218" s="17" t="str">
        <f aca="false">IF(物件マスタ!A218="","",物件マスタ!A218)</f>
        <v>JPR-19</v>
      </c>
      <c r="B218" s="17" t="str">
        <f aca="false">IF($A218="","",物件マスタ!B218)</f>
        <v>JPR</v>
      </c>
      <c r="C218" s="17" t="str">
        <f aca="false">IF($A218="","",IFERROR(INDEX(法人マスタ!$C:$C,MATCH($B218,法人マスタ!$A:$A,0)),""))</f>
        <v>日本プライムリアルティ投資法人</v>
      </c>
      <c r="D218" s="17" t="str">
        <f aca="false">IF($A218="","",物件マスタ!C218)</f>
        <v>サイエンスプラザ・四番町プラザ</v>
      </c>
      <c r="E218" s="17" t="str">
        <f aca="false">IF($A218="","",物件マスタ!H218)</f>
        <v>都心5区</v>
      </c>
      <c r="F218" s="48" t="n">
        <f aca="false">IF($A218="","",物件マスタ!P218)</f>
        <v>34731</v>
      </c>
      <c r="G218" s="34" t="n">
        <f aca="false">IF($A218="","",物件マスタ!Q218)</f>
        <v>31.5</v>
      </c>
      <c r="H218" s="49" t="n">
        <f aca="false">IF($A218="","",物件マスタ!L218)</f>
        <v>24560.36</v>
      </c>
      <c r="I218" s="49" t="n">
        <f aca="false">IF($A218="","",物件マスタ!M218)</f>
        <v>3325.29</v>
      </c>
      <c r="J218" s="43" t="n">
        <f aca="false">IF($A218="","",物件マスタ!S218)</f>
        <v>2660</v>
      </c>
      <c r="K218" s="43" t="n">
        <f aca="false">IF($A218="","",物件マスタ!U218)</f>
        <v>3620</v>
      </c>
      <c r="L218" s="50" t="n">
        <f aca="false">IF($A218="","",物件マスタ!W218)</f>
        <v>0.975</v>
      </c>
      <c r="M218" s="17" t="str">
        <f aca="false">IF($A218="","",IFERROR(INDEX(法人マスタ!$H:$H,MATCH($B218,法人マスタ!$A:$A,0)),""))</f>
        <v>2025年12月期（第48期）</v>
      </c>
      <c r="N218" s="51" t="n">
        <f aca="false">IF($A218="","",SUMIFS(物件収支!$D:$D,物件収支!$A:$A,$A218,物件収支!$C:$C,$M218))</f>
        <v>6</v>
      </c>
      <c r="O218" s="43" t="n">
        <f aca="false">IF($A218="","",SUMIFS(物件収支!$F:$F,物件収支!$A:$A,$A218,物件収支!$C:$C,$M218))</f>
        <v>118679</v>
      </c>
      <c r="P218" s="43" t="n">
        <f aca="false">IF($A218="","",SUMIFS(物件収支!$I:$I,物件収支!$A:$A,$A218,物件収支!$C:$C,$M218))</f>
        <v>0</v>
      </c>
      <c r="Q218" s="43" t="n">
        <f aca="false">IF($A218="","",SUMIFS(物件収支!$O:$O,物件収支!$A:$A,$A218,物件収支!$C:$C,$M218))</f>
        <v>0</v>
      </c>
      <c r="R218" s="43" t="str">
        <f aca="false">IF($A218="","",IF(P218=0,"",O218-P218))</f>
        <v/>
      </c>
      <c r="S218" s="43" t="str">
        <f aca="false">IF($A218="","",IF(R218="","",R218+Q218))</f>
        <v/>
      </c>
      <c r="T218" s="43" t="str">
        <f aca="false">IF($A218="","",IF(OR(S218="",N218&lt;=0),"",S218/1000*12/N218))</f>
        <v/>
      </c>
      <c r="U218" s="52" t="str">
        <f aca="false">IF($A218="","",IF(OR(T218="",J218=0,J218=""),"",T218/J218))</f>
        <v/>
      </c>
      <c r="V218" s="52" t="str">
        <f aca="false">IF($A218="","",IF(OR(R218="",N218&lt;=0,J218=0,J218=""),"",(R218/1000*12/N218)/J218))</f>
        <v/>
      </c>
      <c r="W218" s="52" t="str">
        <f aca="false">IF($A218="","",IF(OR(T218="",K218=0,K218=""),"",T218/K218))</f>
        <v/>
      </c>
      <c r="X218" s="43" t="n">
        <f aca="false">IF($A218="","",IF(OR(N218&lt;=0,I218=0,I218="",O218=0),"",O218*1000/(I218*0.3025)/N218))</f>
        <v>19663.8124157228</v>
      </c>
      <c r="Y218" s="50" t="str">
        <f aca="false">IF($A218="","",IF(OR(O218=0,O218="",P218=0),"",P218/O218))</f>
        <v/>
      </c>
      <c r="Z218" s="17" t="str">
        <f aca="false">IF($A218="","",IFERROR(INDEX(物件収支!$E:$E,MATCH($A218,物件収支!$A:$A,0)),""))</f>
        <v>開示（物件別・収益のみ）</v>
      </c>
    </row>
    <row r="219" customFormat="false" ht="15" hidden="false" customHeight="true" outlineLevel="0" collapsed="false">
      <c r="A219" s="17" t="str">
        <f aca="false">IF(物件マスタ!A219="","",物件マスタ!A219)</f>
        <v>JPR-20</v>
      </c>
      <c r="B219" s="17" t="str">
        <f aca="false">IF($A219="","",物件マスタ!B219)</f>
        <v>JPR</v>
      </c>
      <c r="C219" s="17" t="str">
        <f aca="false">IF($A219="","",IFERROR(INDEX(法人マスタ!$C:$C,MATCH($B219,法人マスタ!$A:$A,0)),""))</f>
        <v>日本プライムリアルティ投資法人</v>
      </c>
      <c r="D219" s="17" t="str">
        <f aca="false">IF($A219="","",物件マスタ!C219)</f>
        <v>芝大門センタービル</v>
      </c>
      <c r="E219" s="17" t="str">
        <f aca="false">IF($A219="","",物件マスタ!H219)</f>
        <v>都心5区</v>
      </c>
      <c r="F219" s="48" t="n">
        <f aca="false">IF($A219="","",物件マスタ!P219)</f>
        <v>34151</v>
      </c>
      <c r="G219" s="34" t="n">
        <f aca="false">IF($A219="","",物件マスタ!Q219)</f>
        <v>33.1</v>
      </c>
      <c r="H219" s="49" t="n">
        <f aca="false">IF($A219="","",物件マスタ!L219)</f>
        <v>11419.93</v>
      </c>
      <c r="I219" s="49" t="n">
        <f aca="false">IF($A219="","",物件マスタ!M219)</f>
        <v>5401.48</v>
      </c>
      <c r="J219" s="43" t="n">
        <f aca="false">IF($A219="","",物件マスタ!S219)</f>
        <v>4213</v>
      </c>
      <c r="K219" s="43" t="n">
        <f aca="false">IF($A219="","",物件マスタ!U219)</f>
        <v>7610</v>
      </c>
      <c r="L219" s="50" t="n">
        <f aca="false">IF($A219="","",物件マスタ!W219)</f>
        <v>1</v>
      </c>
      <c r="M219" s="17" t="str">
        <f aca="false">IF($A219="","",IFERROR(INDEX(法人マスタ!$H:$H,MATCH($B219,法人マスタ!$A:$A,0)),""))</f>
        <v>2025年12月期（第48期）</v>
      </c>
      <c r="N219" s="51" t="n">
        <f aca="false">IF($A219="","",SUMIFS(物件収支!$D:$D,物件収支!$A:$A,$A219,物件収支!$C:$C,$M219))</f>
        <v>6</v>
      </c>
      <c r="O219" s="43" t="n">
        <f aca="false">IF($A219="","",SUMIFS(物件収支!$F:$F,物件収支!$A:$A,$A219,物件収支!$C:$C,$M219))</f>
        <v>180356</v>
      </c>
      <c r="P219" s="43" t="n">
        <f aca="false">IF($A219="","",SUMIFS(物件収支!$I:$I,物件収支!$A:$A,$A219,物件収支!$C:$C,$M219))</f>
        <v>0</v>
      </c>
      <c r="Q219" s="43" t="n">
        <f aca="false">IF($A219="","",SUMIFS(物件収支!$O:$O,物件収支!$A:$A,$A219,物件収支!$C:$C,$M219))</f>
        <v>0</v>
      </c>
      <c r="R219" s="43" t="str">
        <f aca="false">IF($A219="","",IF(P219=0,"",O219-P219))</f>
        <v/>
      </c>
      <c r="S219" s="43" t="str">
        <f aca="false">IF($A219="","",IF(R219="","",R219+Q219))</f>
        <v/>
      </c>
      <c r="T219" s="43" t="str">
        <f aca="false">IF($A219="","",IF(OR(S219="",N219&lt;=0),"",S219/1000*12/N219))</f>
        <v/>
      </c>
      <c r="U219" s="52" t="str">
        <f aca="false">IF($A219="","",IF(OR(T219="",J219=0,J219=""),"",T219/J219))</f>
        <v/>
      </c>
      <c r="V219" s="52" t="str">
        <f aca="false">IF($A219="","",IF(OR(R219="",N219&lt;=0,J219=0,J219=""),"",(R219/1000*12/N219)/J219))</f>
        <v/>
      </c>
      <c r="W219" s="52" t="str">
        <f aca="false">IF($A219="","",IF(OR(T219="",K219=0,K219=""),"",T219/K219))</f>
        <v/>
      </c>
      <c r="X219" s="43" t="n">
        <f aca="false">IF($A219="","",IF(OR(N219&lt;=0,I219=0,I219="",O219=0),"",O219*1000/(I219*0.3025)/N219))</f>
        <v>18396.7536619032</v>
      </c>
      <c r="Y219" s="50" t="str">
        <f aca="false">IF($A219="","",IF(OR(O219=0,O219="",P219=0),"",P219/O219))</f>
        <v/>
      </c>
      <c r="Z219" s="17" t="str">
        <f aca="false">IF($A219="","",IFERROR(INDEX(物件収支!$E:$E,MATCH($A219,物件収支!$A:$A,0)),""))</f>
        <v>開示（物件別・収益のみ）</v>
      </c>
    </row>
    <row r="220" customFormat="false" ht="15" hidden="false" customHeight="true" outlineLevel="0" collapsed="false">
      <c r="A220" s="17" t="str">
        <f aca="false">IF(物件マスタ!A220="","",物件マスタ!A220)</f>
        <v>JPR-21</v>
      </c>
      <c r="B220" s="17" t="str">
        <f aca="false">IF($A220="","",物件マスタ!B220)</f>
        <v>JPR</v>
      </c>
      <c r="C220" s="17" t="str">
        <f aca="false">IF($A220="","",IFERROR(INDEX(法人マスタ!$C:$C,MATCH($B220,法人マスタ!$A:$A,0)),""))</f>
        <v>日本プライムリアルティ投資法人</v>
      </c>
      <c r="D220" s="17" t="str">
        <f aca="false">IF($A220="","",物件マスタ!C220)</f>
        <v>東京スクエアガーデン</v>
      </c>
      <c r="E220" s="17" t="str">
        <f aca="false">IF($A220="","",物件マスタ!H220)</f>
        <v>都心5区</v>
      </c>
      <c r="F220" s="48" t="n">
        <f aca="false">IF($A220="","",物件マスタ!P220)</f>
        <v>41306</v>
      </c>
      <c r="G220" s="34" t="n">
        <f aca="false">IF($A220="","",物件マスタ!Q220)</f>
        <v>13.5</v>
      </c>
      <c r="H220" s="49" t="n">
        <f aca="false">IF($A220="","",物件マスタ!L220)</f>
        <v>112645.83</v>
      </c>
      <c r="I220" s="49" t="n">
        <f aca="false">IF($A220="","",物件マスタ!M220)</f>
        <v>5971.69</v>
      </c>
      <c r="J220" s="43" t="n">
        <f aca="false">IF($A220="","",物件マスタ!S220)</f>
        <v>18400</v>
      </c>
      <c r="K220" s="43" t="n">
        <f aca="false">IF($A220="","",物件マスタ!U220)</f>
        <v>22100</v>
      </c>
      <c r="L220" s="50" t="n">
        <f aca="false">IF($A220="","",物件マスタ!W220)</f>
        <v>0.979</v>
      </c>
      <c r="M220" s="17" t="str">
        <f aca="false">IF($A220="","",IFERROR(INDEX(法人マスタ!$H:$H,MATCH($B220,法人マスタ!$A:$A,0)),""))</f>
        <v>2025年12月期（第48期）</v>
      </c>
      <c r="N220" s="51" t="n">
        <f aca="false">IF($A220="","",SUMIFS(物件収支!$D:$D,物件収支!$A:$A,$A220,物件収支!$C:$C,$M220))</f>
        <v>6</v>
      </c>
      <c r="O220" s="43" t="n">
        <f aca="false">IF($A220="","",SUMIFS(物件収支!$F:$F,物件収支!$A:$A,$A220,物件収支!$C:$C,$M220))</f>
        <v>412034</v>
      </c>
      <c r="P220" s="43" t="n">
        <f aca="false">IF($A220="","",SUMIFS(物件収支!$I:$I,物件収支!$A:$A,$A220,物件収支!$C:$C,$M220))</f>
        <v>0</v>
      </c>
      <c r="Q220" s="43" t="n">
        <f aca="false">IF($A220="","",SUMIFS(物件収支!$O:$O,物件収支!$A:$A,$A220,物件収支!$C:$C,$M220))</f>
        <v>0</v>
      </c>
      <c r="R220" s="43" t="str">
        <f aca="false">IF($A220="","",IF(P220=0,"",O220-P220))</f>
        <v/>
      </c>
      <c r="S220" s="43" t="str">
        <f aca="false">IF($A220="","",IF(R220="","",R220+Q220))</f>
        <v/>
      </c>
      <c r="T220" s="43" t="str">
        <f aca="false">IF($A220="","",IF(OR(S220="",N220&lt;=0),"",S220/1000*12/N220))</f>
        <v/>
      </c>
      <c r="U220" s="52" t="str">
        <f aca="false">IF($A220="","",IF(OR(T220="",J220=0,J220=""),"",T220/J220))</f>
        <v/>
      </c>
      <c r="V220" s="52" t="str">
        <f aca="false">IF($A220="","",IF(OR(R220="",N220&lt;=0,J220=0,J220=""),"",(R220/1000*12/N220)/J220))</f>
        <v/>
      </c>
      <c r="W220" s="52" t="str">
        <f aca="false">IF($A220="","",IF(OR(T220="",K220=0,K220=""),"",T220/K220))</f>
        <v/>
      </c>
      <c r="X220" s="43" t="n">
        <f aca="false">IF($A220="","",IF(OR(N220&lt;=0,I220=0,I220="",O220=0),"",O220*1000/(I220*0.3025)/N220))</f>
        <v>38015.3654930903</v>
      </c>
      <c r="Y220" s="50" t="str">
        <f aca="false">IF($A220="","",IF(OR(O220=0,O220="",P220=0),"",P220/O220))</f>
        <v/>
      </c>
      <c r="Z220" s="17" t="str">
        <f aca="false">IF($A220="","",IFERROR(INDEX(物件収支!$E:$E,MATCH($A220,物件収支!$A:$A,0)),""))</f>
        <v>開示（物件別・収益のみ）</v>
      </c>
    </row>
    <row r="221" customFormat="false" ht="15" hidden="false" customHeight="true" outlineLevel="0" collapsed="false">
      <c r="A221" s="17" t="str">
        <f aca="false">IF(物件マスタ!A221="","",物件マスタ!A221)</f>
        <v>JPR-22</v>
      </c>
      <c r="B221" s="17" t="str">
        <f aca="false">IF($A221="","",物件マスタ!B221)</f>
        <v>JPR</v>
      </c>
      <c r="C221" s="17" t="str">
        <f aca="false">IF($A221="","",IFERROR(INDEX(法人マスタ!$C:$C,MATCH($B221,法人マスタ!$A:$A,0)),""))</f>
        <v>日本プライムリアルティ投資法人</v>
      </c>
      <c r="D221" s="17" t="str">
        <f aca="false">IF($A221="","",物件マスタ!C221)</f>
        <v>ＪＰＲ麹町ビル</v>
      </c>
      <c r="E221" s="17" t="str">
        <f aca="false">IF($A221="","",物件マスタ!H221)</f>
        <v>都心5区</v>
      </c>
      <c r="F221" s="48" t="n">
        <f aca="false">IF($A221="","",物件マスタ!P221)</f>
        <v>36192</v>
      </c>
      <c r="G221" s="34" t="n">
        <f aca="false">IF($A221="","",物件マスタ!Q221)</f>
        <v>27.5</v>
      </c>
      <c r="H221" s="49" t="n">
        <f aca="false">IF($A221="","",物件マスタ!L221)</f>
        <v>4438.46</v>
      </c>
      <c r="I221" s="49" t="n">
        <f aca="false">IF($A221="","",物件マスタ!M221)</f>
        <v>3493.67</v>
      </c>
      <c r="J221" s="43" t="n">
        <f aca="false">IF($A221="","",物件マスタ!S221)</f>
        <v>5750</v>
      </c>
      <c r="K221" s="43" t="n">
        <f aca="false">IF($A221="","",物件マスタ!U221)</f>
        <v>5880</v>
      </c>
      <c r="L221" s="50" t="n">
        <f aca="false">IF($A221="","",物件マスタ!W221)</f>
        <v>1</v>
      </c>
      <c r="M221" s="17" t="str">
        <f aca="false">IF($A221="","",IFERROR(INDEX(法人マスタ!$H:$H,MATCH($B221,法人マスタ!$A:$A,0)),""))</f>
        <v>2025年12月期（第48期）</v>
      </c>
      <c r="N221" s="51" t="n">
        <f aca="false">IF($A221="","",SUMIFS(物件収支!$D:$D,物件収支!$A:$A,$A221,物件収支!$C:$C,$M221))</f>
        <v>6</v>
      </c>
      <c r="O221" s="43" t="n">
        <f aca="false">IF($A221="","",SUMIFS(物件収支!$F:$F,物件収支!$A:$A,$A221,物件収支!$C:$C,$M221))</f>
        <v>123923</v>
      </c>
      <c r="P221" s="43" t="n">
        <f aca="false">IF($A221="","",SUMIFS(物件収支!$I:$I,物件収支!$A:$A,$A221,物件収支!$C:$C,$M221))</f>
        <v>0</v>
      </c>
      <c r="Q221" s="43" t="n">
        <f aca="false">IF($A221="","",SUMIFS(物件収支!$O:$O,物件収支!$A:$A,$A221,物件収支!$C:$C,$M221))</f>
        <v>0</v>
      </c>
      <c r="R221" s="43" t="str">
        <f aca="false">IF($A221="","",IF(P221=0,"",O221-P221))</f>
        <v/>
      </c>
      <c r="S221" s="43" t="str">
        <f aca="false">IF($A221="","",IF(R221="","",R221+Q221))</f>
        <v/>
      </c>
      <c r="T221" s="43" t="str">
        <f aca="false">IF($A221="","",IF(OR(S221="",N221&lt;=0),"",S221/1000*12/N221))</f>
        <v/>
      </c>
      <c r="U221" s="52" t="str">
        <f aca="false">IF($A221="","",IF(OR(T221="",J221=0,J221=""),"",T221/J221))</f>
        <v/>
      </c>
      <c r="V221" s="52" t="str">
        <f aca="false">IF($A221="","",IF(OR(R221="",N221&lt;=0,J221=0,J221=""),"",(R221/1000*12/N221)/J221))</f>
        <v/>
      </c>
      <c r="W221" s="52" t="str">
        <f aca="false">IF($A221="","",IF(OR(T221="",K221=0,K221=""),"",T221/K221))</f>
        <v/>
      </c>
      <c r="X221" s="43" t="n">
        <f aca="false">IF($A221="","",IF(OR(N221&lt;=0,I221=0,I221="",O221=0),"",O221*1000/(I221*0.3025)/N221))</f>
        <v>19543.0979417707</v>
      </c>
      <c r="Y221" s="50" t="str">
        <f aca="false">IF($A221="","",IF(OR(O221=0,O221="",P221=0),"",P221/O221))</f>
        <v/>
      </c>
      <c r="Z221" s="17" t="str">
        <f aca="false">IF($A221="","",IFERROR(INDEX(物件収支!$E:$E,MATCH($A221,物件収支!$A:$A,0)),""))</f>
        <v>開示（物件別・収益のみ）</v>
      </c>
    </row>
    <row r="222" customFormat="false" ht="15" hidden="false" customHeight="true" outlineLevel="0" collapsed="false">
      <c r="A222" s="17" t="str">
        <f aca="false">IF(物件マスタ!A222="","",物件マスタ!A222)</f>
        <v>JPR-23</v>
      </c>
      <c r="B222" s="17" t="str">
        <f aca="false">IF($A222="","",物件マスタ!B222)</f>
        <v>JPR</v>
      </c>
      <c r="C222" s="17" t="str">
        <f aca="false">IF($A222="","",IFERROR(INDEX(法人マスタ!$C:$C,MATCH($B222,法人マスタ!$A:$A,0)),""))</f>
        <v>日本プライムリアルティ投資法人</v>
      </c>
      <c r="D222" s="17" t="str">
        <f aca="false">IF($A222="","",物件マスタ!C222)</f>
        <v>大手町フィナンシャルシティ ノースタワー</v>
      </c>
      <c r="E222" s="17" t="str">
        <f aca="false">IF($A222="","",物件マスタ!H222)</f>
        <v>都心5区</v>
      </c>
      <c r="F222" s="48" t="n">
        <f aca="false">IF($A222="","",物件マスタ!P222)</f>
        <v>41183</v>
      </c>
      <c r="G222" s="34" t="n">
        <f aca="false">IF($A222="","",物件マスタ!Q222)</f>
        <v>13.9</v>
      </c>
      <c r="H222" s="49" t="n">
        <f aca="false">IF($A222="","",物件マスタ!L222)</f>
        <v>239769.07</v>
      </c>
      <c r="I222" s="49" t="n">
        <f aca="false">IF($A222="","",物件マスタ!M222)</f>
        <v>4191.96</v>
      </c>
      <c r="J222" s="43" t="n">
        <f aca="false">IF($A222="","",物件マスタ!S222)</f>
        <v>11400</v>
      </c>
      <c r="K222" s="43" t="n">
        <f aca="false">IF($A222="","",物件マスタ!U222)</f>
        <v>12900</v>
      </c>
      <c r="L222" s="50" t="n">
        <f aca="false">IF($A222="","",物件マスタ!W222)</f>
        <v>0.996</v>
      </c>
      <c r="M222" s="17" t="str">
        <f aca="false">IF($A222="","",IFERROR(INDEX(法人マスタ!$H:$H,MATCH($B222,法人マスタ!$A:$A,0)),""))</f>
        <v>2025年12月期（第48期）</v>
      </c>
      <c r="N222" s="51" t="n">
        <f aca="false">IF($A222="","",SUMIFS(物件収支!$D:$D,物件収支!$A:$A,$A222,物件収支!$C:$C,$M222))</f>
        <v>6</v>
      </c>
      <c r="O222" s="43" t="n">
        <f aca="false">IF($A222="","",SUMIFS(物件収支!$F:$F,物件収支!$A:$A,$A222,物件収支!$C:$C,$M222))</f>
        <v>250288</v>
      </c>
      <c r="P222" s="43" t="n">
        <f aca="false">IF($A222="","",SUMIFS(物件収支!$I:$I,物件収支!$A:$A,$A222,物件収支!$C:$C,$M222))</f>
        <v>0</v>
      </c>
      <c r="Q222" s="43" t="n">
        <f aca="false">IF($A222="","",SUMIFS(物件収支!$O:$O,物件収支!$A:$A,$A222,物件収支!$C:$C,$M222))</f>
        <v>0</v>
      </c>
      <c r="R222" s="43" t="str">
        <f aca="false">IF($A222="","",IF(P222=0,"",O222-P222))</f>
        <v/>
      </c>
      <c r="S222" s="43" t="str">
        <f aca="false">IF($A222="","",IF(R222="","",R222+Q222))</f>
        <v/>
      </c>
      <c r="T222" s="43" t="str">
        <f aca="false">IF($A222="","",IF(OR(S222="",N222&lt;=0),"",S222/1000*12/N222))</f>
        <v/>
      </c>
      <c r="U222" s="52" t="str">
        <f aca="false">IF($A222="","",IF(OR(T222="",J222=0,J222=""),"",T222/J222))</f>
        <v/>
      </c>
      <c r="V222" s="52" t="str">
        <f aca="false">IF($A222="","",IF(OR(R222="",N222&lt;=0,J222=0,J222=""),"",(R222/1000*12/N222)/J222))</f>
        <v/>
      </c>
      <c r="W222" s="52" t="str">
        <f aca="false">IF($A222="","",IF(OR(T222="",K222=0,K222=""),"",T222/K222))</f>
        <v/>
      </c>
      <c r="X222" s="43" t="n">
        <f aca="false">IF($A222="","",IF(OR(N222&lt;=0,I222=0,I222="",O222=0),"",O222*1000/(I222*0.3025)/N222))</f>
        <v>32896.240545689</v>
      </c>
      <c r="Y222" s="50" t="str">
        <f aca="false">IF($A222="","",IF(OR(O222=0,O222="",P222=0),"",P222/O222))</f>
        <v/>
      </c>
      <c r="Z222" s="17" t="str">
        <f aca="false">IF($A222="","",IFERROR(INDEX(物件収支!$E:$E,MATCH($A222,物件収支!$A:$A,0)),""))</f>
        <v>開示（物件別・収益のみ）</v>
      </c>
    </row>
    <row r="223" customFormat="false" ht="15" hidden="false" customHeight="true" outlineLevel="0" collapsed="false">
      <c r="A223" s="17" t="str">
        <f aca="false">IF(物件マスタ!A223="","",物件マスタ!A223)</f>
        <v>JPR-24</v>
      </c>
      <c r="B223" s="17" t="str">
        <f aca="false">IF($A223="","",物件マスタ!B223)</f>
        <v>JPR</v>
      </c>
      <c r="C223" s="17" t="str">
        <f aca="false">IF($A223="","",IFERROR(INDEX(法人マスタ!$C:$C,MATCH($B223,法人マスタ!$A:$A,0)),""))</f>
        <v>日本プライムリアルティ投資法人</v>
      </c>
      <c r="D223" s="17" t="str">
        <f aca="false">IF($A223="","",物件マスタ!C223)</f>
        <v>東京建物東渋谷ビル</v>
      </c>
      <c r="E223" s="17" t="str">
        <f aca="false">IF($A223="","",物件マスタ!H223)</f>
        <v>都心5区</v>
      </c>
      <c r="F223" s="48" t="n">
        <f aca="false">IF($A223="","",物件マスタ!P223)</f>
        <v>34090</v>
      </c>
      <c r="G223" s="34" t="n">
        <f aca="false">IF($A223="","",物件マスタ!Q223)</f>
        <v>33.3</v>
      </c>
      <c r="H223" s="49" t="n">
        <f aca="false">IF($A223="","",物件マスタ!L223)</f>
        <v>15662.2</v>
      </c>
      <c r="I223" s="49" t="n">
        <f aca="false">IF($A223="","",物件マスタ!M223)</f>
        <v>7822.77</v>
      </c>
      <c r="J223" s="43" t="n">
        <f aca="false">IF($A223="","",物件マスタ!S223)</f>
        <v>11300</v>
      </c>
      <c r="K223" s="43" t="n">
        <f aca="false">IF($A223="","",物件マスタ!U223)</f>
        <v>12200</v>
      </c>
      <c r="L223" s="50" t="n">
        <f aca="false">IF($A223="","",物件マスタ!W223)</f>
        <v>0.99</v>
      </c>
      <c r="M223" s="17" t="str">
        <f aca="false">IF($A223="","",IFERROR(INDEX(法人マスタ!$H:$H,MATCH($B223,法人マスタ!$A:$A,0)),""))</f>
        <v>2025年12月期（第48期）</v>
      </c>
      <c r="N223" s="51" t="n">
        <f aca="false">IF($A223="","",SUMIFS(物件収支!$D:$D,物件収支!$A:$A,$A223,物件収支!$C:$C,$M223))</f>
        <v>6</v>
      </c>
      <c r="O223" s="43" t="n">
        <f aca="false">IF($A223="","",SUMIFS(物件収支!$F:$F,物件収支!$A:$A,$A223,物件収支!$C:$C,$M223))</f>
        <v>354254</v>
      </c>
      <c r="P223" s="43" t="n">
        <f aca="false">IF($A223="","",SUMIFS(物件収支!$I:$I,物件収支!$A:$A,$A223,物件収支!$C:$C,$M223))</f>
        <v>0</v>
      </c>
      <c r="Q223" s="43" t="n">
        <f aca="false">IF($A223="","",SUMIFS(物件収支!$O:$O,物件収支!$A:$A,$A223,物件収支!$C:$C,$M223))</f>
        <v>0</v>
      </c>
      <c r="R223" s="43" t="str">
        <f aca="false">IF($A223="","",IF(P223=0,"",O223-P223))</f>
        <v/>
      </c>
      <c r="S223" s="43" t="str">
        <f aca="false">IF($A223="","",IF(R223="","",R223+Q223))</f>
        <v/>
      </c>
      <c r="T223" s="43" t="str">
        <f aca="false">IF($A223="","",IF(OR(S223="",N223&lt;=0),"",S223/1000*12/N223))</f>
        <v/>
      </c>
      <c r="U223" s="52" t="str">
        <f aca="false">IF($A223="","",IF(OR(T223="",J223=0,J223=""),"",T223/J223))</f>
        <v/>
      </c>
      <c r="V223" s="52" t="str">
        <f aca="false">IF($A223="","",IF(OR(R223="",N223&lt;=0,J223=0,J223=""),"",(R223/1000*12/N223)/J223))</f>
        <v/>
      </c>
      <c r="W223" s="52" t="str">
        <f aca="false">IF($A223="","",IF(OR(T223="",K223=0,K223=""),"",T223/K223))</f>
        <v/>
      </c>
      <c r="X223" s="43" t="n">
        <f aca="false">IF($A223="","",IF(OR(N223&lt;=0,I223=0,I223="",O223=0),"",O223*1000/(I223*0.3025)/N223))</f>
        <v>24950.4034015612</v>
      </c>
      <c r="Y223" s="50" t="str">
        <f aca="false">IF($A223="","",IF(OR(O223=0,O223="",P223=0),"",P223/O223))</f>
        <v/>
      </c>
      <c r="Z223" s="17" t="str">
        <f aca="false">IF($A223="","",IFERROR(INDEX(物件収支!$E:$E,MATCH($A223,物件収支!$A:$A,0)),""))</f>
        <v>開示（物件別・収益のみ）</v>
      </c>
    </row>
    <row r="224" customFormat="false" ht="15" hidden="false" customHeight="true" outlineLevel="0" collapsed="false">
      <c r="A224" s="17" t="str">
        <f aca="false">IF(物件マスタ!A224="","",物件マスタ!A224)</f>
        <v>JPR-25</v>
      </c>
      <c r="B224" s="17" t="str">
        <f aca="false">IF($A224="","",物件マスタ!B224)</f>
        <v>JPR</v>
      </c>
      <c r="C224" s="17" t="str">
        <f aca="false">IF($A224="","",IFERROR(INDEX(法人マスタ!$C:$C,MATCH($B224,法人マスタ!$A:$A,0)),""))</f>
        <v>日本プライムリアルティ投資法人</v>
      </c>
      <c r="D224" s="17" t="str">
        <f aca="false">IF($A224="","",物件マスタ!C224)</f>
        <v>御茶ノ水ソラシティ</v>
      </c>
      <c r="E224" s="17" t="str">
        <f aca="false">IF($A224="","",物件マスタ!H224)</f>
        <v>都心5区</v>
      </c>
      <c r="F224" s="48" t="n">
        <f aca="false">IF($A224="","",物件マスタ!P224)</f>
        <v>41306</v>
      </c>
      <c r="G224" s="34" t="n">
        <f aca="false">IF($A224="","",物件マスタ!Q224)</f>
        <v>13.5</v>
      </c>
      <c r="H224" s="49" t="n">
        <f aca="false">IF($A224="","",物件マスタ!L224)</f>
        <v>96897.25</v>
      </c>
      <c r="I224" s="49" t="n">
        <f aca="false">IF($A224="","",物件マスタ!M224)</f>
        <v>2234.95</v>
      </c>
      <c r="J224" s="43" t="n">
        <f aca="false">IF($A224="","",物件マスタ!S224)</f>
        <v>6490</v>
      </c>
      <c r="K224" s="43" t="n">
        <f aca="false">IF($A224="","",物件マスタ!U224)</f>
        <v>7040</v>
      </c>
      <c r="L224" s="50" t="n">
        <f aca="false">IF($A224="","",物件マスタ!W224)</f>
        <v>0.999</v>
      </c>
      <c r="M224" s="17" t="str">
        <f aca="false">IF($A224="","",IFERROR(INDEX(法人マスタ!$H:$H,MATCH($B224,法人マスタ!$A:$A,0)),""))</f>
        <v>2025年12月期（第48期）</v>
      </c>
      <c r="N224" s="51" t="n">
        <f aca="false">IF($A224="","",SUMIFS(物件収支!$D:$D,物件収支!$A:$A,$A224,物件収支!$C:$C,$M224))</f>
        <v>6</v>
      </c>
      <c r="O224" s="43" t="n">
        <f aca="false">IF($A224="","",SUMIFS(物件収支!$F:$F,物件収支!$A:$A,$A224,物件収支!$C:$C,$M224))</f>
        <v>0</v>
      </c>
      <c r="P224" s="43" t="n">
        <f aca="false">IF($A224="","",SUMIFS(物件収支!$I:$I,物件収支!$A:$A,$A224,物件収支!$C:$C,$M224))</f>
        <v>0</v>
      </c>
      <c r="Q224" s="43" t="n">
        <f aca="false">IF($A224="","",SUMIFS(物件収支!$O:$O,物件収支!$A:$A,$A224,物件収支!$C:$C,$M224))</f>
        <v>0</v>
      </c>
      <c r="R224" s="43" t="str">
        <f aca="false">IF($A224="","",IF(P224=0,"",O224-P224))</f>
        <v/>
      </c>
      <c r="S224" s="43" t="str">
        <f aca="false">IF($A224="","",IF(R224="","",R224+Q224))</f>
        <v/>
      </c>
      <c r="T224" s="43" t="str">
        <f aca="false">IF($A224="","",IF(OR(S224="",N224&lt;=0),"",S224/1000*12/N224))</f>
        <v/>
      </c>
      <c r="U224" s="52" t="str">
        <f aca="false">IF($A224="","",IF(OR(T224="",J224=0,J224=""),"",T224/J224))</f>
        <v/>
      </c>
      <c r="V224" s="52" t="str">
        <f aca="false">IF($A224="","",IF(OR(R224="",N224&lt;=0,J224=0,J224=""),"",(R224/1000*12/N224)/J224))</f>
        <v/>
      </c>
      <c r="W224" s="52" t="str">
        <f aca="false">IF($A224="","",IF(OR(T224="",K224=0,K224=""),"",T224/K224))</f>
        <v/>
      </c>
      <c r="X224" s="43" t="str">
        <f aca="false">IF($A224="","",IF(OR(N224&lt;=0,I224=0,I224="",O224=0),"",O224*1000/(I224*0.3025)/N224))</f>
        <v/>
      </c>
      <c r="Y224" s="50" t="str">
        <f aca="false">IF($A224="","",IF(OR(O224=0,O224="",P224=0),"",P224/O224))</f>
        <v/>
      </c>
      <c r="Z224" s="17" t="str">
        <f aca="false">IF($A224="","",IFERROR(INDEX(物件収支!$E:$E,MATCH($A224,物件収支!$A:$A,0)),""))</f>
        <v>非開示（テナント同意なし）</v>
      </c>
    </row>
    <row r="225" customFormat="false" ht="15" hidden="false" customHeight="true" outlineLevel="0" collapsed="false">
      <c r="A225" s="17" t="str">
        <f aca="false">IF(物件マスタ!A225="","",物件マスタ!A225)</f>
        <v>JPR-26</v>
      </c>
      <c r="B225" s="17" t="str">
        <f aca="false">IF($A225="","",物件マスタ!B225)</f>
        <v>JPR</v>
      </c>
      <c r="C225" s="17" t="str">
        <f aca="false">IF($A225="","",IFERROR(INDEX(法人マスタ!$C:$C,MATCH($B225,法人マスタ!$A:$A,0)),""))</f>
        <v>日本プライムリアルティ投資法人</v>
      </c>
      <c r="D225" s="17" t="str">
        <f aca="false">IF($A225="","",物件マスタ!C225)</f>
        <v>ＪＰＲ渋谷タワーレコードビル</v>
      </c>
      <c r="E225" s="17" t="str">
        <f aca="false">IF($A225="","",物件マスタ!H225)</f>
        <v>都心5区</v>
      </c>
      <c r="F225" s="48" t="n">
        <f aca="false">IF($A225="","",物件マスタ!P225)</f>
        <v>33635</v>
      </c>
      <c r="G225" s="34" t="n">
        <f aca="false">IF($A225="","",物件マスタ!Q225)</f>
        <v>34.5</v>
      </c>
      <c r="H225" s="49" t="n">
        <f aca="false">IF($A225="","",物件マスタ!L225)</f>
        <v>8449.56</v>
      </c>
      <c r="I225" s="49" t="n">
        <f aca="false">IF($A225="","",物件マスタ!M225)</f>
        <v>8076.85</v>
      </c>
      <c r="J225" s="43" t="n">
        <f aca="false">IF($A225="","",物件マスタ!S225)</f>
        <v>12000</v>
      </c>
      <c r="K225" s="43" t="n">
        <f aca="false">IF($A225="","",物件マスタ!U225)</f>
        <v>16000</v>
      </c>
      <c r="L225" s="50" t="n">
        <f aca="false">IF($A225="","",物件マスタ!W225)</f>
        <v>1</v>
      </c>
      <c r="M225" s="17" t="str">
        <f aca="false">IF($A225="","",IFERROR(INDEX(法人マスタ!$H:$H,MATCH($B225,法人マスタ!$A:$A,0)),""))</f>
        <v>2025年12月期（第48期）</v>
      </c>
      <c r="N225" s="51" t="n">
        <f aca="false">IF($A225="","",SUMIFS(物件収支!$D:$D,物件収支!$A:$A,$A225,物件収支!$C:$C,$M225))</f>
        <v>6</v>
      </c>
      <c r="O225" s="43" t="n">
        <f aca="false">IF($A225="","",SUMIFS(物件収支!$F:$F,物件収支!$A:$A,$A225,物件収支!$C:$C,$M225))</f>
        <v>0</v>
      </c>
      <c r="P225" s="43" t="n">
        <f aca="false">IF($A225="","",SUMIFS(物件収支!$I:$I,物件収支!$A:$A,$A225,物件収支!$C:$C,$M225))</f>
        <v>0</v>
      </c>
      <c r="Q225" s="43" t="n">
        <f aca="false">IF($A225="","",SUMIFS(物件収支!$O:$O,物件収支!$A:$A,$A225,物件収支!$C:$C,$M225))</f>
        <v>0</v>
      </c>
      <c r="R225" s="43" t="str">
        <f aca="false">IF($A225="","",IF(P225=0,"",O225-P225))</f>
        <v/>
      </c>
      <c r="S225" s="43" t="str">
        <f aca="false">IF($A225="","",IF(R225="","",R225+Q225))</f>
        <v/>
      </c>
      <c r="T225" s="43" t="str">
        <f aca="false">IF($A225="","",IF(OR(S225="",N225&lt;=0),"",S225/1000*12/N225))</f>
        <v/>
      </c>
      <c r="U225" s="52" t="str">
        <f aca="false">IF($A225="","",IF(OR(T225="",J225=0,J225=""),"",T225/J225))</f>
        <v/>
      </c>
      <c r="V225" s="52" t="str">
        <f aca="false">IF($A225="","",IF(OR(R225="",N225&lt;=0,J225=0,J225=""),"",(R225/1000*12/N225)/J225))</f>
        <v/>
      </c>
      <c r="W225" s="52" t="str">
        <f aca="false">IF($A225="","",IF(OR(T225="",K225=0,K225=""),"",T225/K225))</f>
        <v/>
      </c>
      <c r="X225" s="43" t="str">
        <f aca="false">IF($A225="","",IF(OR(N225&lt;=0,I225=0,I225="",O225=0),"",O225*1000/(I225*0.3025)/N225))</f>
        <v/>
      </c>
      <c r="Y225" s="50" t="str">
        <f aca="false">IF($A225="","",IF(OR(O225=0,O225="",P225=0),"",P225/O225))</f>
        <v/>
      </c>
      <c r="Z225" s="17" t="str">
        <f aca="false">IF($A225="","",IFERROR(INDEX(物件収支!$E:$E,MATCH($A225,物件収支!$A:$A,0)),""))</f>
        <v>非開示（テナント同意なし）</v>
      </c>
    </row>
    <row r="226" customFormat="false" ht="15" hidden="false" customHeight="true" outlineLevel="0" collapsed="false">
      <c r="A226" s="17" t="str">
        <f aca="false">IF(物件マスタ!A226="","",物件マスタ!A226)</f>
        <v>JPR-27</v>
      </c>
      <c r="B226" s="17" t="str">
        <f aca="false">IF($A226="","",物件マスタ!B226)</f>
        <v>JPR</v>
      </c>
      <c r="C226" s="17" t="str">
        <f aca="false">IF($A226="","",IFERROR(INDEX(法人マスタ!$C:$C,MATCH($B226,法人マスタ!$A:$A,0)),""))</f>
        <v>日本プライムリアルティ投資法人</v>
      </c>
      <c r="D226" s="17" t="str">
        <f aca="false">IF($A226="","",物件マスタ!C226)</f>
        <v>ＪＰＲ神宮前４３２</v>
      </c>
      <c r="E226" s="17" t="str">
        <f aca="false">IF($A226="","",物件マスタ!H226)</f>
        <v>都心5区</v>
      </c>
      <c r="F226" s="48" t="n">
        <f aca="false">IF($A226="","",物件マスタ!P226)</f>
        <v>38749</v>
      </c>
      <c r="G226" s="34" t="n">
        <f aca="false">IF($A226="","",物件マスタ!Q226)</f>
        <v>20.5</v>
      </c>
      <c r="H226" s="49" t="n">
        <f aca="false">IF($A226="","",物件マスタ!L226)</f>
        <v>1066.81</v>
      </c>
      <c r="I226" s="49" t="n">
        <f aca="false">IF($A226="","",物件マスタ!M226)</f>
        <v>1027.33</v>
      </c>
      <c r="J226" s="43" t="n">
        <f aca="false">IF($A226="","",物件マスタ!S226)</f>
        <v>4275</v>
      </c>
      <c r="K226" s="43" t="n">
        <f aca="false">IF($A226="","",物件マスタ!U226)</f>
        <v>4360</v>
      </c>
      <c r="L226" s="50" t="n">
        <f aca="false">IF($A226="","",物件マスタ!W226)</f>
        <v>1</v>
      </c>
      <c r="M226" s="17" t="str">
        <f aca="false">IF($A226="","",IFERROR(INDEX(法人マスタ!$H:$H,MATCH($B226,法人マスタ!$A:$A,0)),""))</f>
        <v>2025年12月期（第48期）</v>
      </c>
      <c r="N226" s="51" t="n">
        <f aca="false">IF($A226="","",SUMIFS(物件収支!$D:$D,物件収支!$A:$A,$A226,物件収支!$C:$C,$M226))</f>
        <v>6</v>
      </c>
      <c r="O226" s="43" t="n">
        <f aca="false">IF($A226="","",SUMIFS(物件収支!$F:$F,物件収支!$A:$A,$A226,物件収支!$C:$C,$M226))</f>
        <v>92055</v>
      </c>
      <c r="P226" s="43" t="n">
        <f aca="false">IF($A226="","",SUMIFS(物件収支!$I:$I,物件収支!$A:$A,$A226,物件収支!$C:$C,$M226))</f>
        <v>0</v>
      </c>
      <c r="Q226" s="43" t="n">
        <f aca="false">IF($A226="","",SUMIFS(物件収支!$O:$O,物件収支!$A:$A,$A226,物件収支!$C:$C,$M226))</f>
        <v>0</v>
      </c>
      <c r="R226" s="43" t="str">
        <f aca="false">IF($A226="","",IF(P226=0,"",O226-P226))</f>
        <v/>
      </c>
      <c r="S226" s="43" t="str">
        <f aca="false">IF($A226="","",IF(R226="","",R226+Q226))</f>
        <v/>
      </c>
      <c r="T226" s="43" t="str">
        <f aca="false">IF($A226="","",IF(OR(S226="",N226&lt;=0),"",S226/1000*12/N226))</f>
        <v/>
      </c>
      <c r="U226" s="52" t="str">
        <f aca="false">IF($A226="","",IF(OR(T226="",J226=0,J226=""),"",T226/J226))</f>
        <v/>
      </c>
      <c r="V226" s="52" t="str">
        <f aca="false">IF($A226="","",IF(OR(R226="",N226&lt;=0,J226=0,J226=""),"",(R226/1000*12/N226)/J226))</f>
        <v/>
      </c>
      <c r="W226" s="52" t="str">
        <f aca="false">IF($A226="","",IF(OR(T226="",K226=0,K226=""),"",T226/K226))</f>
        <v/>
      </c>
      <c r="X226" s="43" t="n">
        <f aca="false">IF($A226="","",IF(OR(N226&lt;=0,I226=0,I226="",O226=0),"",O226*1000/(I226*0.3025)/N226))</f>
        <v>49369.7334492936</v>
      </c>
      <c r="Y226" s="50" t="str">
        <f aca="false">IF($A226="","",IF(OR(O226=0,O226="",P226=0),"",P226/O226))</f>
        <v/>
      </c>
      <c r="Z226" s="17" t="str">
        <f aca="false">IF($A226="","",IFERROR(INDEX(物件収支!$E:$E,MATCH($A226,物件収支!$A:$A,0)),""))</f>
        <v>開示（物件別・収益のみ）</v>
      </c>
    </row>
    <row r="227" customFormat="false" ht="15" hidden="false" customHeight="true" outlineLevel="0" collapsed="false">
      <c r="A227" s="17" t="str">
        <f aca="false">IF(物件マスタ!A227="","",物件マスタ!A227)</f>
        <v>JPR-28</v>
      </c>
      <c r="B227" s="17" t="str">
        <f aca="false">IF($A227="","",物件マスタ!B227)</f>
        <v>JPR</v>
      </c>
      <c r="C227" s="17" t="str">
        <f aca="false">IF($A227="","",IFERROR(INDEX(法人マスタ!$C:$C,MATCH($B227,法人マスタ!$A:$A,0)),""))</f>
        <v>日本プライムリアルティ投資法人</v>
      </c>
      <c r="D227" s="17" t="str">
        <f aca="false">IF($A227="","",物件マスタ!C227)</f>
        <v>新宿三丁目イーストビル</v>
      </c>
      <c r="E227" s="17" t="str">
        <f aca="false">IF($A227="","",物件マスタ!H227)</f>
        <v>都心5区</v>
      </c>
      <c r="F227" s="48" t="n">
        <f aca="false">IF($A227="","",物件マスタ!P227)</f>
        <v>39083</v>
      </c>
      <c r="G227" s="34" t="n">
        <f aca="false">IF($A227="","",物件マスタ!Q227)</f>
        <v>19.6</v>
      </c>
      <c r="H227" s="49" t="n">
        <f aca="false">IF($A227="","",物件マスタ!L227)</f>
        <v>24617.65</v>
      </c>
      <c r="I227" s="49" t="n">
        <f aca="false">IF($A227="","",物件マスタ!M227)</f>
        <v>2347.81</v>
      </c>
      <c r="J227" s="43" t="n">
        <f aca="false">IF($A227="","",物件マスタ!S227)</f>
        <v>2740</v>
      </c>
      <c r="K227" s="43" t="n">
        <f aca="false">IF($A227="","",物件マスタ!U227)</f>
        <v>2250</v>
      </c>
      <c r="L227" s="50" t="n">
        <f aca="false">IF($A227="","",物件マスタ!W227)</f>
        <v>1</v>
      </c>
      <c r="M227" s="17" t="str">
        <f aca="false">IF($A227="","",IFERROR(INDEX(法人マスタ!$H:$H,MATCH($B227,法人マスタ!$A:$A,0)),""))</f>
        <v>2025年12月期（第48期）</v>
      </c>
      <c r="N227" s="51" t="n">
        <f aca="false">IF($A227="","",SUMIFS(物件収支!$D:$D,物件収支!$A:$A,$A227,物件収支!$C:$C,$M227))</f>
        <v>6</v>
      </c>
      <c r="O227" s="43" t="n">
        <f aca="false">IF($A227="","",SUMIFS(物件収支!$F:$F,物件収支!$A:$A,$A227,物件収支!$C:$C,$M227))</f>
        <v>0</v>
      </c>
      <c r="P227" s="43" t="n">
        <f aca="false">IF($A227="","",SUMIFS(物件収支!$I:$I,物件収支!$A:$A,$A227,物件収支!$C:$C,$M227))</f>
        <v>0</v>
      </c>
      <c r="Q227" s="43" t="n">
        <f aca="false">IF($A227="","",SUMIFS(物件収支!$O:$O,物件収支!$A:$A,$A227,物件収支!$C:$C,$M227))</f>
        <v>0</v>
      </c>
      <c r="R227" s="43" t="str">
        <f aca="false">IF($A227="","",IF(P227=0,"",O227-P227))</f>
        <v/>
      </c>
      <c r="S227" s="43" t="str">
        <f aca="false">IF($A227="","",IF(R227="","",R227+Q227))</f>
        <v/>
      </c>
      <c r="T227" s="43" t="str">
        <f aca="false">IF($A227="","",IF(OR(S227="",N227&lt;=0),"",S227/1000*12/N227))</f>
        <v/>
      </c>
      <c r="U227" s="52" t="str">
        <f aca="false">IF($A227="","",IF(OR(T227="",J227=0,J227=""),"",T227/J227))</f>
        <v/>
      </c>
      <c r="V227" s="52" t="str">
        <f aca="false">IF($A227="","",IF(OR(R227="",N227&lt;=0,J227=0,J227=""),"",(R227/1000*12/N227)/J227))</f>
        <v/>
      </c>
      <c r="W227" s="52" t="str">
        <f aca="false">IF($A227="","",IF(OR(T227="",K227=0,K227=""),"",T227/K227))</f>
        <v/>
      </c>
      <c r="X227" s="43" t="str">
        <f aca="false">IF($A227="","",IF(OR(N227&lt;=0,I227=0,I227="",O227=0),"",O227*1000/(I227*0.3025)/N227))</f>
        <v/>
      </c>
      <c r="Y227" s="50" t="str">
        <f aca="false">IF($A227="","",IF(OR(O227=0,O227="",P227=0),"",P227/O227))</f>
        <v/>
      </c>
      <c r="Z227" s="17" t="str">
        <f aca="false">IF($A227="","",IFERROR(INDEX(物件収支!$E:$E,MATCH($A227,物件収支!$A:$A,0)),""))</f>
        <v>非開示（テナント同意なし）</v>
      </c>
    </row>
    <row r="228" customFormat="false" ht="15" hidden="false" customHeight="true" outlineLevel="0" collapsed="false">
      <c r="A228" s="17" t="str">
        <f aca="false">IF(物件マスタ!A228="","",物件マスタ!A228)</f>
        <v>JPR-29</v>
      </c>
      <c r="B228" s="17" t="str">
        <f aca="false">IF($A228="","",物件マスタ!B228)</f>
        <v>JPR</v>
      </c>
      <c r="C228" s="17" t="str">
        <f aca="false">IF($A228="","",IFERROR(INDEX(法人マスタ!$C:$C,MATCH($B228,法人マスタ!$A:$A,0)),""))</f>
        <v>日本プライムリアルティ投資法人</v>
      </c>
      <c r="D228" s="17" t="str">
        <f aca="false">IF($A228="","",物件マスタ!C228)</f>
        <v>有楽町駅前ビルディング（有楽町イトシア）</v>
      </c>
      <c r="E228" s="17" t="str">
        <f aca="false">IF($A228="","",物件マスタ!H228)</f>
        <v>都心5区</v>
      </c>
      <c r="F228" s="48" t="n">
        <f aca="false">IF($A228="","",物件マスタ!P228)</f>
        <v>39356</v>
      </c>
      <c r="G228" s="34" t="n">
        <f aca="false">IF($A228="","",物件マスタ!Q228)</f>
        <v>18.9</v>
      </c>
      <c r="H228" s="49" t="n">
        <f aca="false">IF($A228="","",物件マスタ!L228)</f>
        <v>71957.65</v>
      </c>
      <c r="I228" s="49" t="n">
        <f aca="false">IF($A228="","",物件マスタ!M228)</f>
        <v>1101.92</v>
      </c>
      <c r="J228" s="43" t="n">
        <f aca="false">IF($A228="","",物件マスタ!S228)</f>
        <v>3400</v>
      </c>
      <c r="K228" s="43" t="n">
        <f aca="false">IF($A228="","",物件マスタ!U228)</f>
        <v>3630</v>
      </c>
      <c r="L228" s="50" t="n">
        <f aca="false">IF($A228="","",物件マスタ!W228)</f>
        <v>1</v>
      </c>
      <c r="M228" s="17" t="str">
        <f aca="false">IF($A228="","",IFERROR(INDEX(法人マスタ!$H:$H,MATCH($B228,法人マスタ!$A:$A,0)),""))</f>
        <v>2025年12月期（第48期）</v>
      </c>
      <c r="N228" s="51" t="n">
        <f aca="false">IF($A228="","",SUMIFS(物件収支!$D:$D,物件収支!$A:$A,$A228,物件収支!$C:$C,$M228))</f>
        <v>6</v>
      </c>
      <c r="O228" s="43" t="n">
        <f aca="false">IF($A228="","",SUMIFS(物件収支!$F:$F,物件収支!$A:$A,$A228,物件収支!$C:$C,$M228))</f>
        <v>0</v>
      </c>
      <c r="P228" s="43" t="n">
        <f aca="false">IF($A228="","",SUMIFS(物件収支!$I:$I,物件収支!$A:$A,$A228,物件収支!$C:$C,$M228))</f>
        <v>0</v>
      </c>
      <c r="Q228" s="43" t="n">
        <f aca="false">IF($A228="","",SUMIFS(物件収支!$O:$O,物件収支!$A:$A,$A228,物件収支!$C:$C,$M228))</f>
        <v>0</v>
      </c>
      <c r="R228" s="43" t="str">
        <f aca="false">IF($A228="","",IF(P228=0,"",O228-P228))</f>
        <v/>
      </c>
      <c r="S228" s="43" t="str">
        <f aca="false">IF($A228="","",IF(R228="","",R228+Q228))</f>
        <v/>
      </c>
      <c r="T228" s="43" t="str">
        <f aca="false">IF($A228="","",IF(OR(S228="",N228&lt;=0),"",S228/1000*12/N228))</f>
        <v/>
      </c>
      <c r="U228" s="52" t="str">
        <f aca="false">IF($A228="","",IF(OR(T228="",J228=0,J228=""),"",T228/J228))</f>
        <v/>
      </c>
      <c r="V228" s="52" t="str">
        <f aca="false">IF($A228="","",IF(OR(R228="",N228&lt;=0,J228=0,J228=""),"",(R228/1000*12/N228)/J228))</f>
        <v/>
      </c>
      <c r="W228" s="52" t="str">
        <f aca="false">IF($A228="","",IF(OR(T228="",K228=0,K228=""),"",T228/K228))</f>
        <v/>
      </c>
      <c r="X228" s="43" t="str">
        <f aca="false">IF($A228="","",IF(OR(N228&lt;=0,I228=0,I228="",O228=0),"",O228*1000/(I228*0.3025)/N228))</f>
        <v/>
      </c>
      <c r="Y228" s="50" t="str">
        <f aca="false">IF($A228="","",IF(OR(O228=0,O228="",P228=0),"",P228/O228))</f>
        <v/>
      </c>
      <c r="Z228" s="17" t="str">
        <f aca="false">IF($A228="","",IFERROR(INDEX(物件収支!$E:$E,MATCH($A228,物件収支!$A:$A,0)),""))</f>
        <v>非開示（テナント同意なし）</v>
      </c>
    </row>
    <row r="229" customFormat="false" ht="15" hidden="false" customHeight="true" outlineLevel="0" collapsed="false">
      <c r="A229" s="17" t="str">
        <f aca="false">IF(物件マスタ!A229="","",物件マスタ!A229)</f>
        <v>JPR-30</v>
      </c>
      <c r="B229" s="17" t="str">
        <f aca="false">IF($A229="","",物件マスタ!B229)</f>
        <v>JPR</v>
      </c>
      <c r="C229" s="17" t="str">
        <f aca="false">IF($A229="","",IFERROR(INDEX(法人マスタ!$C:$C,MATCH($B229,法人マスタ!$A:$A,0)),""))</f>
        <v>日本プライムリアルティ投資法人</v>
      </c>
      <c r="D229" s="17" t="str">
        <f aca="false">IF($A229="","",物件マスタ!C229)</f>
        <v>ＪＰＲ銀座並木通りビル</v>
      </c>
      <c r="E229" s="17" t="str">
        <f aca="false">IF($A229="","",物件マスタ!H229)</f>
        <v>都心5区</v>
      </c>
      <c r="F229" s="48" t="n">
        <f aca="false">IF($A229="","",物件マスタ!P229)</f>
        <v>39600</v>
      </c>
      <c r="G229" s="34" t="n">
        <f aca="false">IF($A229="","",物件マスタ!Q229)</f>
        <v>18.2</v>
      </c>
      <c r="H229" s="49" t="n">
        <f aca="false">IF($A229="","",物件マスタ!L229)</f>
        <v>1821.67</v>
      </c>
      <c r="I229" s="49" t="n">
        <f aca="false">IF($A229="","",物件マスタ!M229)</f>
        <v>1667.92</v>
      </c>
      <c r="J229" s="43" t="n">
        <f aca="false">IF($A229="","",物件マスタ!S229)</f>
        <v>10100</v>
      </c>
      <c r="K229" s="43" t="n">
        <f aca="false">IF($A229="","",物件マスタ!U229)</f>
        <v>11000</v>
      </c>
      <c r="L229" s="50" t="n">
        <f aca="false">IF($A229="","",物件マスタ!W229)</f>
        <v>1</v>
      </c>
      <c r="M229" s="17" t="str">
        <f aca="false">IF($A229="","",IFERROR(INDEX(法人マスタ!$H:$H,MATCH($B229,法人マスタ!$A:$A,0)),""))</f>
        <v>2025年12月期（第48期）</v>
      </c>
      <c r="N229" s="51" t="n">
        <f aca="false">IF($A229="","",SUMIFS(物件収支!$D:$D,物件収支!$A:$A,$A229,物件収支!$C:$C,$M229))</f>
        <v>6</v>
      </c>
      <c r="O229" s="43" t="n">
        <f aca="false">IF($A229="","",SUMIFS(物件収支!$F:$F,物件収支!$A:$A,$A229,物件収支!$C:$C,$M229))</f>
        <v>202859</v>
      </c>
      <c r="P229" s="43" t="n">
        <f aca="false">IF($A229="","",SUMIFS(物件収支!$I:$I,物件収支!$A:$A,$A229,物件収支!$C:$C,$M229))</f>
        <v>0</v>
      </c>
      <c r="Q229" s="43" t="n">
        <f aca="false">IF($A229="","",SUMIFS(物件収支!$O:$O,物件収支!$A:$A,$A229,物件収支!$C:$C,$M229))</f>
        <v>0</v>
      </c>
      <c r="R229" s="43" t="str">
        <f aca="false">IF($A229="","",IF(P229=0,"",O229-P229))</f>
        <v/>
      </c>
      <c r="S229" s="43" t="str">
        <f aca="false">IF($A229="","",IF(R229="","",R229+Q229))</f>
        <v/>
      </c>
      <c r="T229" s="43" t="str">
        <f aca="false">IF($A229="","",IF(OR(S229="",N229&lt;=0),"",S229/1000*12/N229))</f>
        <v/>
      </c>
      <c r="U229" s="52" t="str">
        <f aca="false">IF($A229="","",IF(OR(T229="",J229=0,J229=""),"",T229/J229))</f>
        <v/>
      </c>
      <c r="V229" s="52" t="str">
        <f aca="false">IF($A229="","",IF(OR(R229="",N229&lt;=0,J229=0,J229=""),"",(R229/1000*12/N229)/J229))</f>
        <v/>
      </c>
      <c r="W229" s="52" t="str">
        <f aca="false">IF($A229="","",IF(OR(T229="",K229=0,K229=""),"",T229/K229))</f>
        <v/>
      </c>
      <c r="X229" s="43" t="n">
        <f aca="false">IF($A229="","",IF(OR(N229&lt;=0,I229=0,I229="",O229=0),"",O229*1000/(I229*0.3025)/N229))</f>
        <v>67010.4345994622</v>
      </c>
      <c r="Y229" s="50" t="str">
        <f aca="false">IF($A229="","",IF(OR(O229=0,O229="",P229=0),"",P229/O229))</f>
        <v/>
      </c>
      <c r="Z229" s="17" t="str">
        <f aca="false">IF($A229="","",IFERROR(INDEX(物件収支!$E:$E,MATCH($A229,物件収支!$A:$A,0)),""))</f>
        <v>開示（物件別・収益のみ）</v>
      </c>
    </row>
    <row r="230" customFormat="false" ht="15" hidden="false" customHeight="true" outlineLevel="0" collapsed="false">
      <c r="A230" s="17" t="str">
        <f aca="false">IF(物件マスタ!A230="","",物件マスタ!A230)</f>
        <v>JPR-31</v>
      </c>
      <c r="B230" s="17" t="str">
        <f aca="false">IF($A230="","",物件マスタ!B230)</f>
        <v>JPR</v>
      </c>
      <c r="C230" s="17" t="str">
        <f aca="false">IF($A230="","",IFERROR(INDEX(法人マスタ!$C:$C,MATCH($B230,法人マスタ!$A:$A,0)),""))</f>
        <v>日本プライムリアルティ投資法人</v>
      </c>
      <c r="D230" s="17" t="str">
        <f aca="false">IF($A230="","",物件マスタ!C230)</f>
        <v>ＦＵＮＤＥＳ水道橋</v>
      </c>
      <c r="E230" s="17" t="str">
        <f aca="false">IF($A230="","",物件マスタ!H230)</f>
        <v>都心5区</v>
      </c>
      <c r="F230" s="48" t="n">
        <f aca="false">IF($A230="","",物件マスタ!P230)</f>
        <v>42186</v>
      </c>
      <c r="G230" s="34" t="n">
        <f aca="false">IF($A230="","",物件マスタ!Q230)</f>
        <v>11.1</v>
      </c>
      <c r="H230" s="49" t="n">
        <f aca="false">IF($A230="","",物件マスタ!L230)</f>
        <v>1477.91</v>
      </c>
      <c r="I230" s="49" t="n">
        <f aca="false">IF($A230="","",物件マスタ!M230)</f>
        <v>1367.56</v>
      </c>
      <c r="J230" s="43" t="n">
        <f aca="false">IF($A230="","",物件マスタ!S230)</f>
        <v>3250</v>
      </c>
      <c r="K230" s="43" t="n">
        <f aca="false">IF($A230="","",物件マスタ!U230)</f>
        <v>3460</v>
      </c>
      <c r="L230" s="50" t="n">
        <f aca="false">IF($A230="","",物件マスタ!W230)</f>
        <v>1</v>
      </c>
      <c r="M230" s="17" t="str">
        <f aca="false">IF($A230="","",IFERROR(INDEX(法人マスタ!$H:$H,MATCH($B230,法人マスタ!$A:$A,0)),""))</f>
        <v>2025年12月期（第48期）</v>
      </c>
      <c r="N230" s="51" t="n">
        <f aca="false">IF($A230="","",SUMIFS(物件収支!$D:$D,物件収支!$A:$A,$A230,物件収支!$C:$C,$M230))</f>
        <v>6</v>
      </c>
      <c r="O230" s="43" t="n">
        <f aca="false">IF($A230="","",SUMIFS(物件収支!$F:$F,物件収支!$A:$A,$A230,物件収支!$C:$C,$M230))</f>
        <v>88804</v>
      </c>
      <c r="P230" s="43" t="n">
        <f aca="false">IF($A230="","",SUMIFS(物件収支!$I:$I,物件収支!$A:$A,$A230,物件収支!$C:$C,$M230))</f>
        <v>0</v>
      </c>
      <c r="Q230" s="43" t="n">
        <f aca="false">IF($A230="","",SUMIFS(物件収支!$O:$O,物件収支!$A:$A,$A230,物件収支!$C:$C,$M230))</f>
        <v>0</v>
      </c>
      <c r="R230" s="43" t="str">
        <f aca="false">IF($A230="","",IF(P230=0,"",O230-P230))</f>
        <v/>
      </c>
      <c r="S230" s="43" t="str">
        <f aca="false">IF($A230="","",IF(R230="","",R230+Q230))</f>
        <v/>
      </c>
      <c r="T230" s="43" t="str">
        <f aca="false">IF($A230="","",IF(OR(S230="",N230&lt;=0),"",S230/1000*12/N230))</f>
        <v/>
      </c>
      <c r="U230" s="52" t="str">
        <f aca="false">IF($A230="","",IF(OR(T230="",J230=0,J230=""),"",T230/J230))</f>
        <v/>
      </c>
      <c r="V230" s="52" t="str">
        <f aca="false">IF($A230="","",IF(OR(R230="",N230&lt;=0,J230=0,J230=""),"",(R230/1000*12/N230)/J230))</f>
        <v/>
      </c>
      <c r="W230" s="52" t="str">
        <f aca="false">IF($A230="","",IF(OR(T230="",K230=0,K230=""),"",T230/K230))</f>
        <v/>
      </c>
      <c r="X230" s="43" t="n">
        <f aca="false">IF($A230="","",IF(OR(N230&lt;=0,I230=0,I230="",O230=0),"",O230*1000/(I230*0.3025)/N230))</f>
        <v>35777.460361125</v>
      </c>
      <c r="Y230" s="50" t="str">
        <f aca="false">IF($A230="","",IF(OR(O230=0,O230="",P230=0),"",P230/O230))</f>
        <v/>
      </c>
      <c r="Z230" s="17" t="str">
        <f aca="false">IF($A230="","",IFERROR(INDEX(物件収支!$E:$E,MATCH($A230,物件収支!$A:$A,0)),""))</f>
        <v>開示（物件別・収益のみ）</v>
      </c>
    </row>
    <row r="231" customFormat="false" ht="15" hidden="false" customHeight="true" outlineLevel="0" collapsed="false">
      <c r="A231" s="17" t="str">
        <f aca="false">IF(物件マスタ!A231="","",物件マスタ!A231)</f>
        <v>JPR-32</v>
      </c>
      <c r="B231" s="17" t="str">
        <f aca="false">IF($A231="","",物件マスタ!B231)</f>
        <v>JPR</v>
      </c>
      <c r="C231" s="17" t="str">
        <f aca="false">IF($A231="","",IFERROR(INDEX(法人マスタ!$C:$C,MATCH($B231,法人マスタ!$A:$A,0)),""))</f>
        <v>日本プライムリアルティ投資法人</v>
      </c>
      <c r="D231" s="17" t="str">
        <f aca="false">IF($A231="","",物件マスタ!C231)</f>
        <v>アルカイースト</v>
      </c>
      <c r="E231" s="17" t="str">
        <f aca="false">IF($A231="","",物件マスタ!H231)</f>
        <v>その他東京23区</v>
      </c>
      <c r="F231" s="48" t="n">
        <f aca="false">IF($A231="","",物件マスタ!P231)</f>
        <v>35490</v>
      </c>
      <c r="G231" s="34" t="n">
        <f aca="false">IF($A231="","",物件マスタ!Q231)</f>
        <v>29.4</v>
      </c>
      <c r="H231" s="49" t="n">
        <f aca="false">IF($A231="","",物件マスタ!L231)</f>
        <v>34281.86</v>
      </c>
      <c r="I231" s="49" t="n">
        <f aca="false">IF($A231="","",物件マスタ!M231)</f>
        <v>7022.76</v>
      </c>
      <c r="J231" s="43" t="n">
        <f aca="false">IF($A231="","",物件マスタ!S231)</f>
        <v>5880</v>
      </c>
      <c r="K231" s="43" t="n">
        <f aca="false">IF($A231="","",物件マスタ!U231)</f>
        <v>6640</v>
      </c>
      <c r="L231" s="50" t="n">
        <f aca="false">IF($A231="","",物件マスタ!W231)</f>
        <v>1</v>
      </c>
      <c r="M231" s="17" t="str">
        <f aca="false">IF($A231="","",IFERROR(INDEX(法人マスタ!$H:$H,MATCH($B231,法人マスタ!$A:$A,0)),""))</f>
        <v>2025年12月期（第48期）</v>
      </c>
      <c r="N231" s="51" t="n">
        <f aca="false">IF($A231="","",SUMIFS(物件収支!$D:$D,物件収支!$A:$A,$A231,物件収支!$C:$C,$M231))</f>
        <v>6</v>
      </c>
      <c r="O231" s="43" t="n">
        <f aca="false">IF($A231="","",SUMIFS(物件収支!$F:$F,物件収支!$A:$A,$A231,物件収支!$C:$C,$M231))</f>
        <v>273348</v>
      </c>
      <c r="P231" s="43" t="n">
        <f aca="false">IF($A231="","",SUMIFS(物件収支!$I:$I,物件収支!$A:$A,$A231,物件収支!$C:$C,$M231))</f>
        <v>0</v>
      </c>
      <c r="Q231" s="43" t="n">
        <f aca="false">IF($A231="","",SUMIFS(物件収支!$O:$O,物件収支!$A:$A,$A231,物件収支!$C:$C,$M231))</f>
        <v>0</v>
      </c>
      <c r="R231" s="43" t="str">
        <f aca="false">IF($A231="","",IF(P231=0,"",O231-P231))</f>
        <v/>
      </c>
      <c r="S231" s="43" t="str">
        <f aca="false">IF($A231="","",IF(R231="","",R231+Q231))</f>
        <v/>
      </c>
      <c r="T231" s="43" t="str">
        <f aca="false">IF($A231="","",IF(OR(S231="",N231&lt;=0),"",S231/1000*12/N231))</f>
        <v/>
      </c>
      <c r="U231" s="52" t="str">
        <f aca="false">IF($A231="","",IF(OR(T231="",J231=0,J231=""),"",T231/J231))</f>
        <v/>
      </c>
      <c r="V231" s="52" t="str">
        <f aca="false">IF($A231="","",IF(OR(R231="",N231&lt;=0,J231=0,J231=""),"",(R231/1000*12/N231)/J231))</f>
        <v/>
      </c>
      <c r="W231" s="52" t="str">
        <f aca="false">IF($A231="","",IF(OR(T231="",K231=0,K231=""),"",T231/K231))</f>
        <v/>
      </c>
      <c r="X231" s="43" t="n">
        <f aca="false">IF($A231="","",IF(OR(N231&lt;=0,I231=0,I231="",O231=0),"",O231*1000/(I231*0.3025)/N231))</f>
        <v>21445.2663450959</v>
      </c>
      <c r="Y231" s="50" t="str">
        <f aca="false">IF($A231="","",IF(OR(O231=0,O231="",P231=0),"",P231/O231))</f>
        <v/>
      </c>
      <c r="Z231" s="17" t="str">
        <f aca="false">IF($A231="","",IFERROR(INDEX(物件収支!$E:$E,MATCH($A231,物件収支!$A:$A,0)),""))</f>
        <v>開示（物件別・収益のみ）</v>
      </c>
    </row>
    <row r="232" customFormat="false" ht="15" hidden="false" customHeight="true" outlineLevel="0" collapsed="false">
      <c r="A232" s="17" t="str">
        <f aca="false">IF(物件マスタ!A232="","",物件マスタ!A232)</f>
        <v>JPR-33</v>
      </c>
      <c r="B232" s="17" t="str">
        <f aca="false">IF($A232="","",物件マスタ!B232)</f>
        <v>JPR</v>
      </c>
      <c r="C232" s="17" t="str">
        <f aca="false">IF($A232="","",IFERROR(INDEX(法人マスタ!$C:$C,MATCH($B232,法人マスタ!$A:$A,0)),""))</f>
        <v>日本プライムリアルティ投資法人</v>
      </c>
      <c r="D232" s="17" t="str">
        <f aca="false">IF($A232="","",物件マスタ!C232)</f>
        <v>ＪＰＲ千葉ビル</v>
      </c>
      <c r="E232" s="17" t="str">
        <f aca="false">IF($A232="","",物件マスタ!H232)</f>
        <v>東京周辺都市部</v>
      </c>
      <c r="F232" s="48" t="n">
        <f aca="false">IF($A232="","",物件マスタ!P232)</f>
        <v>33239</v>
      </c>
      <c r="G232" s="34" t="n">
        <f aca="false">IF($A232="","",物件マスタ!Q232)</f>
        <v>35.6</v>
      </c>
      <c r="H232" s="49" t="n">
        <f aca="false">IF($A232="","",物件マスタ!L232)</f>
        <v>9072.57</v>
      </c>
      <c r="I232" s="49" t="n">
        <f aca="false">IF($A232="","",物件マスタ!M232)</f>
        <v>5542.93</v>
      </c>
      <c r="J232" s="43" t="n">
        <f aca="false">IF($A232="","",物件マスタ!S232)</f>
        <v>2350</v>
      </c>
      <c r="K232" s="43" t="n">
        <f aca="false">IF($A232="","",物件マスタ!U232)</f>
        <v>1930</v>
      </c>
      <c r="L232" s="50" t="n">
        <f aca="false">IF($A232="","",物件マスタ!W232)</f>
        <v>0.984</v>
      </c>
      <c r="M232" s="17" t="str">
        <f aca="false">IF($A232="","",IFERROR(INDEX(法人マスタ!$H:$H,MATCH($B232,法人マスタ!$A:$A,0)),""))</f>
        <v>2025年12月期（第48期）</v>
      </c>
      <c r="N232" s="51" t="n">
        <f aca="false">IF($A232="","",SUMIFS(物件収支!$D:$D,物件収支!$A:$A,$A232,物件収支!$C:$C,$M232))</f>
        <v>6</v>
      </c>
      <c r="O232" s="43" t="n">
        <f aca="false">IF($A232="","",SUMIFS(物件収支!$F:$F,物件収支!$A:$A,$A232,物件収支!$C:$C,$M232))</f>
        <v>138347</v>
      </c>
      <c r="P232" s="43" t="n">
        <f aca="false">IF($A232="","",SUMIFS(物件収支!$I:$I,物件収支!$A:$A,$A232,物件収支!$C:$C,$M232))</f>
        <v>0</v>
      </c>
      <c r="Q232" s="43" t="n">
        <f aca="false">IF($A232="","",SUMIFS(物件収支!$O:$O,物件収支!$A:$A,$A232,物件収支!$C:$C,$M232))</f>
        <v>0</v>
      </c>
      <c r="R232" s="43" t="str">
        <f aca="false">IF($A232="","",IF(P232=0,"",O232-P232))</f>
        <v/>
      </c>
      <c r="S232" s="43" t="str">
        <f aca="false">IF($A232="","",IF(R232="","",R232+Q232))</f>
        <v/>
      </c>
      <c r="T232" s="43" t="str">
        <f aca="false">IF($A232="","",IF(OR(S232="",N232&lt;=0),"",S232/1000*12/N232))</f>
        <v/>
      </c>
      <c r="U232" s="52" t="str">
        <f aca="false">IF($A232="","",IF(OR(T232="",J232=0,J232=""),"",T232/J232))</f>
        <v/>
      </c>
      <c r="V232" s="52" t="str">
        <f aca="false">IF($A232="","",IF(OR(R232="",N232&lt;=0,J232=0,J232=""),"",(R232/1000*12/N232)/J232))</f>
        <v/>
      </c>
      <c r="W232" s="52" t="str">
        <f aca="false">IF($A232="","",IF(OR(T232="",K232=0,K232=""),"",T232/K232))</f>
        <v/>
      </c>
      <c r="X232" s="43" t="n">
        <f aca="false">IF($A232="","",IF(OR(N232&lt;=0,I232=0,I232="",O232=0),"",O232*1000/(I232*0.3025)/N232))</f>
        <v>13751.6155578805</v>
      </c>
      <c r="Y232" s="50" t="str">
        <f aca="false">IF($A232="","",IF(OR(O232=0,O232="",P232=0),"",P232/O232))</f>
        <v/>
      </c>
      <c r="Z232" s="17" t="str">
        <f aca="false">IF($A232="","",IFERROR(INDEX(物件収支!$E:$E,MATCH($A232,物件収支!$A:$A,0)),""))</f>
        <v>開示（物件別・収益のみ）</v>
      </c>
    </row>
    <row r="233" customFormat="false" ht="15" hidden="false" customHeight="true" outlineLevel="0" collapsed="false">
      <c r="A233" s="17" t="str">
        <f aca="false">IF(物件マスタ!A233="","",物件マスタ!A233)</f>
        <v>JPR-34</v>
      </c>
      <c r="B233" s="17" t="str">
        <f aca="false">IF($A233="","",物件マスタ!B233)</f>
        <v>JPR</v>
      </c>
      <c r="C233" s="17" t="str">
        <f aca="false">IF($A233="","",IFERROR(INDEX(法人マスタ!$C:$C,MATCH($B233,法人マスタ!$A:$A,0)),""))</f>
        <v>日本プライムリアルティ投資法人</v>
      </c>
      <c r="D233" s="17" t="str">
        <f aca="false">IF($A233="","",物件マスタ!C233)</f>
        <v>ＪＰＲ横浜日本大通ビル</v>
      </c>
      <c r="E233" s="17" t="str">
        <f aca="false">IF($A233="","",物件マスタ!H233)</f>
        <v>東京周辺都市部</v>
      </c>
      <c r="F233" s="48" t="n">
        <f aca="false">IF($A233="","",物件マスタ!P233)</f>
        <v>32782</v>
      </c>
      <c r="G233" s="34" t="n">
        <f aca="false">IF($A233="","",物件マスタ!Q233)</f>
        <v>36.9</v>
      </c>
      <c r="H233" s="49" t="n">
        <f aca="false">IF($A233="","",物件マスタ!L233)</f>
        <v>9146.52</v>
      </c>
      <c r="I233" s="49" t="n">
        <f aca="false">IF($A233="","",物件マスタ!M233)</f>
        <v>2127.87</v>
      </c>
      <c r="J233" s="43" t="n">
        <f aca="false">IF($A233="","",物件マスタ!S233)</f>
        <v>1024</v>
      </c>
      <c r="K233" s="43" t="n">
        <f aca="false">IF($A233="","",物件マスタ!U233)</f>
        <v>883</v>
      </c>
      <c r="L233" s="50" t="n">
        <f aca="false">IF($A233="","",物件マスタ!W233)</f>
        <v>0.998</v>
      </c>
      <c r="M233" s="17" t="str">
        <f aca="false">IF($A233="","",IFERROR(INDEX(法人マスタ!$H:$H,MATCH($B233,法人マスタ!$A:$A,0)),""))</f>
        <v>2025年12月期（第48期）</v>
      </c>
      <c r="N233" s="51" t="n">
        <f aca="false">IF($A233="","",SUMIFS(物件収支!$D:$D,物件収支!$A:$A,$A233,物件収支!$C:$C,$M233))</f>
        <v>6</v>
      </c>
      <c r="O233" s="43" t="n">
        <f aca="false">IF($A233="","",SUMIFS(物件収支!$F:$F,物件収支!$A:$A,$A233,物件収支!$C:$C,$M233))</f>
        <v>132043</v>
      </c>
      <c r="P233" s="43" t="n">
        <f aca="false">IF($A233="","",SUMIFS(物件収支!$I:$I,物件収支!$A:$A,$A233,物件収支!$C:$C,$M233))</f>
        <v>0</v>
      </c>
      <c r="Q233" s="43" t="n">
        <f aca="false">IF($A233="","",SUMIFS(物件収支!$O:$O,物件収支!$A:$A,$A233,物件収支!$C:$C,$M233))</f>
        <v>0</v>
      </c>
      <c r="R233" s="43" t="str">
        <f aca="false">IF($A233="","",IF(P233=0,"",O233-P233))</f>
        <v/>
      </c>
      <c r="S233" s="43" t="str">
        <f aca="false">IF($A233="","",IF(R233="","",R233+Q233))</f>
        <v/>
      </c>
      <c r="T233" s="43" t="str">
        <f aca="false">IF($A233="","",IF(OR(S233="",N233&lt;=0),"",S233/1000*12/N233))</f>
        <v/>
      </c>
      <c r="U233" s="52" t="str">
        <f aca="false">IF($A233="","",IF(OR(T233="",J233=0,J233=""),"",T233/J233))</f>
        <v/>
      </c>
      <c r="V233" s="52" t="str">
        <f aca="false">IF($A233="","",IF(OR(R233="",N233&lt;=0,J233=0,J233=""),"",(R233/1000*12/N233)/J233))</f>
        <v/>
      </c>
      <c r="W233" s="52" t="str">
        <f aca="false">IF($A233="","",IF(OR(T233="",K233=0,K233=""),"",T233/K233))</f>
        <v/>
      </c>
      <c r="X233" s="43" t="n">
        <f aca="false">IF($A233="","",IF(OR(N233&lt;=0,I233=0,I233="",O233=0),"",O233*1000/(I233*0.3025)/N233))</f>
        <v>34189.5718193911</v>
      </c>
      <c r="Y233" s="50" t="str">
        <f aca="false">IF($A233="","",IF(OR(O233=0,O233="",P233=0),"",P233/O233))</f>
        <v/>
      </c>
      <c r="Z233" s="17" t="str">
        <f aca="false">IF($A233="","",IFERROR(INDEX(物件収支!$E:$E,MATCH($A233,物件収支!$A:$A,0)),""))</f>
        <v>開示（物件別・収益のみ）</v>
      </c>
    </row>
    <row r="234" customFormat="false" ht="15" hidden="false" customHeight="true" outlineLevel="0" collapsed="false">
      <c r="A234" s="17" t="str">
        <f aca="false">IF(物件マスタ!A234="","",物件マスタ!A234)</f>
        <v>JPR-35</v>
      </c>
      <c r="B234" s="17" t="str">
        <f aca="false">IF($A234="","",物件マスタ!B234)</f>
        <v>JPR</v>
      </c>
      <c r="C234" s="17" t="str">
        <f aca="false">IF($A234="","",IFERROR(INDEX(法人マスタ!$C:$C,MATCH($B234,法人マスタ!$A:$A,0)),""))</f>
        <v>日本プライムリアルティ投資法人</v>
      </c>
      <c r="D234" s="17" t="str">
        <f aca="false">IF($A234="","",物件マスタ!C234)</f>
        <v>新横浜第二センタービル</v>
      </c>
      <c r="E234" s="17" t="str">
        <f aca="false">IF($A234="","",物件マスタ!H234)</f>
        <v>東京周辺都市部</v>
      </c>
      <c r="F234" s="48" t="n">
        <f aca="false">IF($A234="","",物件マスタ!P234)</f>
        <v>33451</v>
      </c>
      <c r="G234" s="34" t="n">
        <f aca="false">IF($A234="","",物件マスタ!Q234)</f>
        <v>35</v>
      </c>
      <c r="H234" s="49" t="n">
        <f aca="false">IF($A234="","",物件マスタ!L234)</f>
        <v>7781.93</v>
      </c>
      <c r="I234" s="49" t="n">
        <f aca="false">IF($A234="","",物件マスタ!M234)</f>
        <v>5287.41</v>
      </c>
      <c r="J234" s="43" t="n">
        <f aca="false">IF($A234="","",物件マスタ!S234)</f>
        <v>1490</v>
      </c>
      <c r="K234" s="43" t="n">
        <f aca="false">IF($A234="","",物件マスタ!U234)</f>
        <v>2930</v>
      </c>
      <c r="L234" s="50" t="n">
        <f aca="false">IF($A234="","",物件マスタ!W234)</f>
        <v>0.969</v>
      </c>
      <c r="M234" s="17" t="str">
        <f aca="false">IF($A234="","",IFERROR(INDEX(法人マスタ!$H:$H,MATCH($B234,法人マスタ!$A:$A,0)),""))</f>
        <v>2025年12月期（第48期）</v>
      </c>
      <c r="N234" s="51" t="n">
        <f aca="false">IF($A234="","",SUMIFS(物件収支!$D:$D,物件収支!$A:$A,$A234,物件収支!$C:$C,$M234))</f>
        <v>6</v>
      </c>
      <c r="O234" s="43" t="n">
        <f aca="false">IF($A234="","",SUMIFS(物件収支!$F:$F,物件収支!$A:$A,$A234,物件収支!$C:$C,$M234))</f>
        <v>124848</v>
      </c>
      <c r="P234" s="43" t="n">
        <f aca="false">IF($A234="","",SUMIFS(物件収支!$I:$I,物件収支!$A:$A,$A234,物件収支!$C:$C,$M234))</f>
        <v>0</v>
      </c>
      <c r="Q234" s="43" t="n">
        <f aca="false">IF($A234="","",SUMIFS(物件収支!$O:$O,物件収支!$A:$A,$A234,物件収支!$C:$C,$M234))</f>
        <v>0</v>
      </c>
      <c r="R234" s="43" t="str">
        <f aca="false">IF($A234="","",IF(P234=0,"",O234-P234))</f>
        <v/>
      </c>
      <c r="S234" s="43" t="str">
        <f aca="false">IF($A234="","",IF(R234="","",R234+Q234))</f>
        <v/>
      </c>
      <c r="T234" s="43" t="str">
        <f aca="false">IF($A234="","",IF(OR(S234="",N234&lt;=0),"",S234/1000*12/N234))</f>
        <v/>
      </c>
      <c r="U234" s="52" t="str">
        <f aca="false">IF($A234="","",IF(OR(T234="",J234=0,J234=""),"",T234/J234))</f>
        <v/>
      </c>
      <c r="V234" s="52" t="str">
        <f aca="false">IF($A234="","",IF(OR(R234="",N234&lt;=0,J234=0,J234=""),"",(R234/1000*12/N234)/J234))</f>
        <v/>
      </c>
      <c r="W234" s="52" t="str">
        <f aca="false">IF($A234="","",IF(OR(T234="",K234=0,K234=""),"",T234/K234))</f>
        <v/>
      </c>
      <c r="X234" s="43" t="n">
        <f aca="false">IF($A234="","",IF(OR(N234&lt;=0,I234=0,I234="",O234=0),"",O234*1000/(I234*0.3025)/N234))</f>
        <v>13009.5409396102</v>
      </c>
      <c r="Y234" s="50" t="str">
        <f aca="false">IF($A234="","",IF(OR(O234=0,O234="",P234=0),"",P234/O234))</f>
        <v/>
      </c>
      <c r="Z234" s="17" t="str">
        <f aca="false">IF($A234="","",IFERROR(INDEX(物件収支!$E:$E,MATCH($A234,物件収支!$A:$A,0)),""))</f>
        <v>開示（物件別・収益のみ）</v>
      </c>
    </row>
    <row r="235" customFormat="false" ht="15" hidden="false" customHeight="true" outlineLevel="0" collapsed="false">
      <c r="A235" s="17" t="str">
        <f aca="false">IF(物件マスタ!A235="","",物件マスタ!A235)</f>
        <v>JPR-36</v>
      </c>
      <c r="B235" s="17" t="str">
        <f aca="false">IF($A235="","",物件マスタ!B235)</f>
        <v>JPR</v>
      </c>
      <c r="C235" s="17" t="str">
        <f aca="false">IF($A235="","",IFERROR(INDEX(法人マスタ!$C:$C,MATCH($B235,法人マスタ!$A:$A,0)),""))</f>
        <v>日本プライムリアルティ投資法人</v>
      </c>
      <c r="D235" s="17" t="str">
        <f aca="false">IF($A235="","",物件マスタ!C235)</f>
        <v>川口センタービル</v>
      </c>
      <c r="E235" s="17" t="str">
        <f aca="false">IF($A235="","",物件マスタ!H235)</f>
        <v>東京周辺都市部</v>
      </c>
      <c r="F235" s="48" t="n">
        <f aca="false">IF($A235="","",物件マスタ!P235)</f>
        <v>34366</v>
      </c>
      <c r="G235" s="34" t="n">
        <f aca="false">IF($A235="","",物件マスタ!Q235)</f>
        <v>32.5</v>
      </c>
      <c r="H235" s="49" t="n">
        <f aca="false">IF($A235="","",物件マスタ!L235)</f>
        <v>28420.85</v>
      </c>
      <c r="I235" s="49" t="n">
        <f aca="false">IF($A235="","",物件マスタ!M235)</f>
        <v>15587.96</v>
      </c>
      <c r="J235" s="43" t="n">
        <f aca="false">IF($A235="","",物件マスタ!S235)</f>
        <v>8100</v>
      </c>
      <c r="K235" s="43" t="n">
        <f aca="false">IF($A235="","",物件マスタ!U235)</f>
        <v>13800</v>
      </c>
      <c r="L235" s="50" t="n">
        <f aca="false">IF($A235="","",物件マスタ!W235)</f>
        <v>1</v>
      </c>
      <c r="M235" s="17" t="str">
        <f aca="false">IF($A235="","",IFERROR(INDEX(法人マスタ!$H:$H,MATCH($B235,法人マスタ!$A:$A,0)),""))</f>
        <v>2025年12月期（第48期）</v>
      </c>
      <c r="N235" s="51" t="n">
        <f aca="false">IF($A235="","",SUMIFS(物件収支!$D:$D,物件収支!$A:$A,$A235,物件収支!$C:$C,$M235))</f>
        <v>6</v>
      </c>
      <c r="O235" s="43" t="n">
        <f aca="false">IF($A235="","",SUMIFS(物件収支!$F:$F,物件収支!$A:$A,$A235,物件収支!$C:$C,$M235))</f>
        <v>509506</v>
      </c>
      <c r="P235" s="43" t="n">
        <f aca="false">IF($A235="","",SUMIFS(物件収支!$I:$I,物件収支!$A:$A,$A235,物件収支!$C:$C,$M235))</f>
        <v>0</v>
      </c>
      <c r="Q235" s="43" t="n">
        <f aca="false">IF($A235="","",SUMIFS(物件収支!$O:$O,物件収支!$A:$A,$A235,物件収支!$C:$C,$M235))</f>
        <v>0</v>
      </c>
      <c r="R235" s="43" t="str">
        <f aca="false">IF($A235="","",IF(P235=0,"",O235-P235))</f>
        <v/>
      </c>
      <c r="S235" s="43" t="str">
        <f aca="false">IF($A235="","",IF(R235="","",R235+Q235))</f>
        <v/>
      </c>
      <c r="T235" s="43" t="str">
        <f aca="false">IF($A235="","",IF(OR(S235="",N235&lt;=0),"",S235/1000*12/N235))</f>
        <v/>
      </c>
      <c r="U235" s="52" t="str">
        <f aca="false">IF($A235="","",IF(OR(T235="",J235=0,J235=""),"",T235/J235))</f>
        <v/>
      </c>
      <c r="V235" s="52" t="str">
        <f aca="false">IF($A235="","",IF(OR(R235="",N235&lt;=0,J235=0,J235=""),"",(R235/1000*12/N235)/J235))</f>
        <v/>
      </c>
      <c r="W235" s="52" t="str">
        <f aca="false">IF($A235="","",IF(OR(T235="",K235=0,K235=""),"",T235/K235))</f>
        <v/>
      </c>
      <c r="X235" s="43" t="n">
        <f aca="false">IF($A235="","",IF(OR(N235&lt;=0,I235=0,I235="",O235=0),"",O235*1000/(I235*0.3025)/N235))</f>
        <v>18008.7425954808</v>
      </c>
      <c r="Y235" s="50" t="str">
        <f aca="false">IF($A235="","",IF(OR(O235=0,O235="",P235=0),"",P235/O235))</f>
        <v/>
      </c>
      <c r="Z235" s="17" t="str">
        <f aca="false">IF($A235="","",IFERROR(INDEX(物件収支!$E:$E,MATCH($A235,物件収支!$A:$A,0)),""))</f>
        <v>開示（物件別・収益のみ）</v>
      </c>
    </row>
    <row r="236" customFormat="false" ht="15" hidden="false" customHeight="true" outlineLevel="0" collapsed="false">
      <c r="A236" s="17" t="str">
        <f aca="false">IF(物件マスタ!A236="","",物件マスタ!A236)</f>
        <v>JPR-37</v>
      </c>
      <c r="B236" s="17" t="str">
        <f aca="false">IF($A236="","",物件マスタ!B236)</f>
        <v>JPR</v>
      </c>
      <c r="C236" s="17" t="str">
        <f aca="false">IF($A236="","",IFERROR(INDEX(法人マスタ!$C:$C,MATCH($B236,法人マスタ!$A:$A,0)),""))</f>
        <v>日本プライムリアルティ投資法人</v>
      </c>
      <c r="D236" s="17" t="str">
        <f aca="false">IF($A236="","",物件マスタ!C236)</f>
        <v>立川ビジネスセンタービル</v>
      </c>
      <c r="E236" s="17" t="str">
        <f aca="false">IF($A236="","",物件マスタ!H236)</f>
        <v>東京周辺都市部</v>
      </c>
      <c r="F236" s="48" t="n">
        <f aca="false">IF($A236="","",物件マスタ!P236)</f>
        <v>34669</v>
      </c>
      <c r="G236" s="34" t="n">
        <f aca="false">IF($A236="","",物件マスタ!Q236)</f>
        <v>31.7</v>
      </c>
      <c r="H236" s="49" t="n">
        <f aca="false">IF($A236="","",物件マスタ!L236)</f>
        <v>14706.36</v>
      </c>
      <c r="I236" s="49" t="n">
        <f aca="false">IF($A236="","",物件マスタ!M236)</f>
        <v>4587.93</v>
      </c>
      <c r="J236" s="43" t="n">
        <f aca="false">IF($A236="","",物件マスタ!S236)</f>
        <v>3188</v>
      </c>
      <c r="K236" s="43" t="n">
        <f aca="false">IF($A236="","",物件マスタ!U236)</f>
        <v>4680</v>
      </c>
      <c r="L236" s="50" t="n">
        <f aca="false">IF($A236="","",物件マスタ!W236)</f>
        <v>1</v>
      </c>
      <c r="M236" s="17" t="str">
        <f aca="false">IF($A236="","",IFERROR(INDEX(法人マスタ!$H:$H,MATCH($B236,法人マスタ!$A:$A,0)),""))</f>
        <v>2025年12月期（第48期）</v>
      </c>
      <c r="N236" s="51" t="n">
        <f aca="false">IF($A236="","",SUMIFS(物件収支!$D:$D,物件収支!$A:$A,$A236,物件収支!$C:$C,$M236))</f>
        <v>6</v>
      </c>
      <c r="O236" s="43" t="n">
        <f aca="false">IF($A236="","",SUMIFS(物件収支!$F:$F,物件収支!$A:$A,$A236,物件収支!$C:$C,$M236))</f>
        <v>153825</v>
      </c>
      <c r="P236" s="43" t="n">
        <f aca="false">IF($A236="","",SUMIFS(物件収支!$I:$I,物件収支!$A:$A,$A236,物件収支!$C:$C,$M236))</f>
        <v>0</v>
      </c>
      <c r="Q236" s="43" t="n">
        <f aca="false">IF($A236="","",SUMIFS(物件収支!$O:$O,物件収支!$A:$A,$A236,物件収支!$C:$C,$M236))</f>
        <v>0</v>
      </c>
      <c r="R236" s="43" t="str">
        <f aca="false">IF($A236="","",IF(P236=0,"",O236-P236))</f>
        <v/>
      </c>
      <c r="S236" s="43" t="str">
        <f aca="false">IF($A236="","",IF(R236="","",R236+Q236))</f>
        <v/>
      </c>
      <c r="T236" s="43" t="str">
        <f aca="false">IF($A236="","",IF(OR(S236="",N236&lt;=0),"",S236/1000*12/N236))</f>
        <v/>
      </c>
      <c r="U236" s="52" t="str">
        <f aca="false">IF($A236="","",IF(OR(T236="",J236=0,J236=""),"",T236/J236))</f>
        <v/>
      </c>
      <c r="V236" s="52" t="str">
        <f aca="false">IF($A236="","",IF(OR(R236="",N236&lt;=0,J236=0,J236=""),"",(R236/1000*12/N236)/J236))</f>
        <v/>
      </c>
      <c r="W236" s="52" t="str">
        <f aca="false">IF($A236="","",IF(OR(T236="",K236=0,K236=""),"",T236/K236))</f>
        <v/>
      </c>
      <c r="X236" s="43" t="n">
        <f aca="false">IF($A236="","",IF(OR(N236&lt;=0,I236=0,I236="",O236=0),"",O236*1000/(I236*0.3025)/N236))</f>
        <v>18472.8333073309</v>
      </c>
      <c r="Y236" s="50" t="str">
        <f aca="false">IF($A236="","",IF(OR(O236=0,O236="",P236=0),"",P236/O236))</f>
        <v/>
      </c>
      <c r="Z236" s="17" t="str">
        <f aca="false">IF($A236="","",IFERROR(INDEX(物件収支!$E:$E,MATCH($A236,物件収支!$A:$A,0)),""))</f>
        <v>開示（物件別・収益のみ）</v>
      </c>
    </row>
    <row r="237" customFormat="false" ht="15" hidden="false" customHeight="true" outlineLevel="0" collapsed="false">
      <c r="A237" s="17" t="str">
        <f aca="false">IF(物件マスタ!A237="","",物件マスタ!A237)</f>
        <v>JPR-38</v>
      </c>
      <c r="B237" s="17" t="str">
        <f aca="false">IF($A237="","",物件マスタ!B237)</f>
        <v>JPR</v>
      </c>
      <c r="C237" s="17" t="str">
        <f aca="false">IF($A237="","",IFERROR(INDEX(法人マスタ!$C:$C,MATCH($B237,法人マスタ!$A:$A,0)),""))</f>
        <v>日本プライムリアルティ投資法人</v>
      </c>
      <c r="D237" s="17" t="str">
        <f aca="false">IF($A237="","",物件マスタ!C237)</f>
        <v>ライズアリーナビル</v>
      </c>
      <c r="E237" s="17" t="str">
        <f aca="false">IF($A237="","",物件マスタ!H237)</f>
        <v>その他東京23区</v>
      </c>
      <c r="F237" s="48" t="n">
        <f aca="false">IF($A237="","",物件マスタ!P237)</f>
        <v>39083</v>
      </c>
      <c r="G237" s="34" t="n">
        <f aca="false">IF($A237="","",物件マスタ!Q237)</f>
        <v>19.6</v>
      </c>
      <c r="H237" s="49" t="n">
        <f aca="false">IF($A237="","",物件マスタ!L237)</f>
        <v>91280.94</v>
      </c>
      <c r="I237" s="49" t="n">
        <f aca="false">IF($A237="","",物件マスタ!M237)</f>
        <v>10531.13</v>
      </c>
      <c r="J237" s="43" t="n">
        <f aca="false">IF($A237="","",物件マスタ!S237)</f>
        <v>13131</v>
      </c>
      <c r="K237" s="43" t="n">
        <f aca="false">IF($A237="","",物件マスタ!U237)</f>
        <v>19400</v>
      </c>
      <c r="L237" s="50" t="n">
        <f aca="false">IF($A237="","",物件マスタ!W237)</f>
        <v>1</v>
      </c>
      <c r="M237" s="17" t="str">
        <f aca="false">IF($A237="","",IFERROR(INDEX(法人マスタ!$H:$H,MATCH($B237,法人マスタ!$A:$A,0)),""))</f>
        <v>2025年12月期（第48期）</v>
      </c>
      <c r="N237" s="51" t="n">
        <f aca="false">IF($A237="","",SUMIFS(物件収支!$D:$D,物件収支!$A:$A,$A237,物件収支!$C:$C,$M237))</f>
        <v>6</v>
      </c>
      <c r="O237" s="43" t="n">
        <f aca="false">IF($A237="","",SUMIFS(物件収支!$F:$F,物件収支!$A:$A,$A237,物件収支!$C:$C,$M237))</f>
        <v>516199</v>
      </c>
      <c r="P237" s="43" t="n">
        <f aca="false">IF($A237="","",SUMIFS(物件収支!$I:$I,物件収支!$A:$A,$A237,物件収支!$C:$C,$M237))</f>
        <v>0</v>
      </c>
      <c r="Q237" s="43" t="n">
        <f aca="false">IF($A237="","",SUMIFS(物件収支!$O:$O,物件収支!$A:$A,$A237,物件収支!$C:$C,$M237))</f>
        <v>0</v>
      </c>
      <c r="R237" s="43" t="str">
        <f aca="false">IF($A237="","",IF(P237=0,"",O237-P237))</f>
        <v/>
      </c>
      <c r="S237" s="43" t="str">
        <f aca="false">IF($A237="","",IF(R237="","",R237+Q237))</f>
        <v/>
      </c>
      <c r="T237" s="43" t="str">
        <f aca="false">IF($A237="","",IF(OR(S237="",N237&lt;=0),"",S237/1000*12/N237))</f>
        <v/>
      </c>
      <c r="U237" s="52" t="str">
        <f aca="false">IF($A237="","",IF(OR(T237="",J237=0,J237=""),"",T237/J237))</f>
        <v/>
      </c>
      <c r="V237" s="52" t="str">
        <f aca="false">IF($A237="","",IF(OR(R237="",N237&lt;=0,J237=0,J237=""),"",(R237/1000*12/N237)/J237))</f>
        <v/>
      </c>
      <c r="W237" s="52" t="str">
        <f aca="false">IF($A237="","",IF(OR(T237="",K237=0,K237=""),"",T237/K237))</f>
        <v/>
      </c>
      <c r="X237" s="43" t="n">
        <f aca="false">IF($A237="","",IF(OR(N237&lt;=0,I237=0,I237="",O237=0),"",O237*1000/(I237*0.3025)/N237))</f>
        <v>27006.3290961592</v>
      </c>
      <c r="Y237" s="50" t="str">
        <f aca="false">IF($A237="","",IF(OR(O237=0,O237="",P237=0),"",P237/O237))</f>
        <v/>
      </c>
      <c r="Z237" s="17" t="str">
        <f aca="false">IF($A237="","",IFERROR(INDEX(物件収支!$E:$E,MATCH($A237,物件収支!$A:$A,0)),""))</f>
        <v>開示（物件別・収益のみ）</v>
      </c>
    </row>
    <row r="238" customFormat="false" ht="15" hidden="false" customHeight="true" outlineLevel="0" collapsed="false">
      <c r="A238" s="17" t="str">
        <f aca="false">IF(物件マスタ!A238="","",物件マスタ!A238)</f>
        <v>JPR-39</v>
      </c>
      <c r="B238" s="17" t="str">
        <f aca="false">IF($A238="","",物件マスタ!B238)</f>
        <v>JPR</v>
      </c>
      <c r="C238" s="17" t="str">
        <f aca="false">IF($A238="","",IFERROR(INDEX(法人マスタ!$C:$C,MATCH($B238,法人マスタ!$A:$A,0)),""))</f>
        <v>日本プライムリアルティ投資法人</v>
      </c>
      <c r="D238" s="17" t="str">
        <f aca="false">IF($A238="","",物件マスタ!C238)</f>
        <v>ゆめおおおかオフィスタワー</v>
      </c>
      <c r="E238" s="17" t="str">
        <f aca="false">IF($A238="","",物件マスタ!H238)</f>
        <v>東京周辺都市部</v>
      </c>
      <c r="F238" s="48" t="n">
        <f aca="false">IF($A238="","",物件マスタ!P238)</f>
        <v>35490</v>
      </c>
      <c r="G238" s="34" t="n">
        <f aca="false">IF($A238="","",物件マスタ!Q238)</f>
        <v>29.4</v>
      </c>
      <c r="H238" s="49" t="n">
        <f aca="false">IF($A238="","",物件マスタ!L238)</f>
        <v>185974.87</v>
      </c>
      <c r="I238" s="49" t="n">
        <f aca="false">IF($A238="","",物件マスタ!M238)</f>
        <v>12000.67</v>
      </c>
      <c r="J238" s="43" t="n">
        <f aca="false">IF($A238="","",物件マスタ!S238)</f>
        <v>6510</v>
      </c>
      <c r="K238" s="43" t="n">
        <f aca="false">IF($A238="","",物件マスタ!U238)</f>
        <v>6210</v>
      </c>
      <c r="L238" s="50" t="n">
        <f aca="false">IF($A238="","",物件マスタ!W238)</f>
        <v>0.991</v>
      </c>
      <c r="M238" s="17" t="str">
        <f aca="false">IF($A238="","",IFERROR(INDEX(法人マスタ!$H:$H,MATCH($B238,法人マスタ!$A:$A,0)),""))</f>
        <v>2025年12月期（第48期）</v>
      </c>
      <c r="N238" s="51" t="n">
        <f aca="false">IF($A238="","",SUMIFS(物件収支!$D:$D,物件収支!$A:$A,$A238,物件収支!$C:$C,$M238))</f>
        <v>6</v>
      </c>
      <c r="O238" s="43" t="n">
        <f aca="false">IF($A238="","",SUMIFS(物件収支!$F:$F,物件収支!$A:$A,$A238,物件収支!$C:$C,$M238))</f>
        <v>342713</v>
      </c>
      <c r="P238" s="43" t="n">
        <f aca="false">IF($A238="","",SUMIFS(物件収支!$I:$I,物件収支!$A:$A,$A238,物件収支!$C:$C,$M238))</f>
        <v>0</v>
      </c>
      <c r="Q238" s="43" t="n">
        <f aca="false">IF($A238="","",SUMIFS(物件収支!$O:$O,物件収支!$A:$A,$A238,物件収支!$C:$C,$M238))</f>
        <v>0</v>
      </c>
      <c r="R238" s="43" t="str">
        <f aca="false">IF($A238="","",IF(P238=0,"",O238-P238))</f>
        <v/>
      </c>
      <c r="S238" s="43" t="str">
        <f aca="false">IF($A238="","",IF(R238="","",R238+Q238))</f>
        <v/>
      </c>
      <c r="T238" s="43" t="str">
        <f aca="false">IF($A238="","",IF(OR(S238="",N238&lt;=0),"",S238/1000*12/N238))</f>
        <v/>
      </c>
      <c r="U238" s="52" t="str">
        <f aca="false">IF($A238="","",IF(OR(T238="",J238=0,J238=""),"",T238/J238))</f>
        <v/>
      </c>
      <c r="V238" s="52" t="str">
        <f aca="false">IF($A238="","",IF(OR(R238="",N238&lt;=0,J238=0,J238=""),"",(R238/1000*12/N238)/J238))</f>
        <v/>
      </c>
      <c r="W238" s="52" t="str">
        <f aca="false">IF($A238="","",IF(OR(T238="",K238=0,K238=""),"",T238/K238))</f>
        <v/>
      </c>
      <c r="X238" s="43" t="n">
        <f aca="false">IF($A238="","",IF(OR(N238&lt;=0,I238=0,I238="",O238=0),"",O238*1000/(I238*0.3025)/N238))</f>
        <v>15734.3372938078</v>
      </c>
      <c r="Y238" s="50" t="str">
        <f aca="false">IF($A238="","",IF(OR(O238=0,O238="",P238=0),"",P238/O238))</f>
        <v/>
      </c>
      <c r="Z238" s="17" t="str">
        <f aca="false">IF($A238="","",IFERROR(INDEX(物件収支!$E:$E,MATCH($A238,物件収支!$A:$A,0)),""))</f>
        <v>開示（物件別・収益のみ）</v>
      </c>
    </row>
    <row r="239" customFormat="false" ht="15" hidden="false" customHeight="true" outlineLevel="0" collapsed="false">
      <c r="A239" s="17" t="str">
        <f aca="false">IF(物件マスタ!A239="","",物件マスタ!A239)</f>
        <v>JPR-40</v>
      </c>
      <c r="B239" s="17" t="str">
        <f aca="false">IF($A239="","",物件マスタ!B239)</f>
        <v>JPR</v>
      </c>
      <c r="C239" s="17" t="str">
        <f aca="false">IF($A239="","",IFERROR(INDEX(法人マスタ!$C:$C,MATCH($B239,法人マスタ!$A:$A,0)),""))</f>
        <v>日本プライムリアルティ投資法人</v>
      </c>
      <c r="D239" s="17" t="str">
        <f aca="false">IF($A239="","",物件マスタ!C239)</f>
        <v>オリナスタワー</v>
      </c>
      <c r="E239" s="17" t="str">
        <f aca="false">IF($A239="","",物件マスタ!H239)</f>
        <v>その他東京23区</v>
      </c>
      <c r="F239" s="48" t="n">
        <f aca="false">IF($A239="","",物件マスタ!P239)</f>
        <v>38749</v>
      </c>
      <c r="G239" s="34" t="n">
        <f aca="false">IF($A239="","",物件マスタ!Q239)</f>
        <v>20.5</v>
      </c>
      <c r="H239" s="49" t="n">
        <f aca="false">IF($A239="","",物件マスタ!L239)</f>
        <v>257842.41</v>
      </c>
      <c r="I239" s="49" t="n">
        <f aca="false">IF($A239="","",物件マスタ!M239)</f>
        <v>23987.4</v>
      </c>
      <c r="J239" s="43" t="n">
        <f aca="false">IF($A239="","",物件マスタ!S239)</f>
        <v>31300</v>
      </c>
      <c r="K239" s="43" t="n">
        <f aca="false">IF($A239="","",物件マスタ!U239)</f>
        <v>40400</v>
      </c>
      <c r="L239" s="50" t="n">
        <f aca="false">IF($A239="","",物件マスタ!W239)</f>
        <v>0.984</v>
      </c>
      <c r="M239" s="17" t="str">
        <f aca="false">IF($A239="","",IFERROR(INDEX(法人マスタ!$H:$H,MATCH($B239,法人マスタ!$A:$A,0)),""))</f>
        <v>2025年12月期（第48期）</v>
      </c>
      <c r="N239" s="51" t="n">
        <f aca="false">IF($A239="","",SUMIFS(物件収支!$D:$D,物件収支!$A:$A,$A239,物件収支!$C:$C,$M239))</f>
        <v>6</v>
      </c>
      <c r="O239" s="43" t="n">
        <f aca="false">IF($A239="","",SUMIFS(物件収支!$F:$F,物件収支!$A:$A,$A239,物件収支!$C:$C,$M239))</f>
        <v>998074</v>
      </c>
      <c r="P239" s="43" t="n">
        <f aca="false">IF($A239="","",SUMIFS(物件収支!$I:$I,物件収支!$A:$A,$A239,物件収支!$C:$C,$M239))</f>
        <v>0</v>
      </c>
      <c r="Q239" s="43" t="n">
        <f aca="false">IF($A239="","",SUMIFS(物件収支!$O:$O,物件収支!$A:$A,$A239,物件収支!$C:$C,$M239))</f>
        <v>0</v>
      </c>
      <c r="R239" s="43" t="str">
        <f aca="false">IF($A239="","",IF(P239=0,"",O239-P239))</f>
        <v/>
      </c>
      <c r="S239" s="43" t="str">
        <f aca="false">IF($A239="","",IF(R239="","",R239+Q239))</f>
        <v/>
      </c>
      <c r="T239" s="43" t="str">
        <f aca="false">IF($A239="","",IF(OR(S239="",N239&lt;=0),"",S239/1000*12/N239))</f>
        <v/>
      </c>
      <c r="U239" s="52" t="str">
        <f aca="false">IF($A239="","",IF(OR(T239="",J239=0,J239=""),"",T239/J239))</f>
        <v/>
      </c>
      <c r="V239" s="52" t="str">
        <f aca="false">IF($A239="","",IF(OR(R239="",N239&lt;=0,J239=0,J239=""),"",(R239/1000*12/N239)/J239))</f>
        <v/>
      </c>
      <c r="W239" s="52" t="str">
        <f aca="false">IF($A239="","",IF(OR(T239="",K239=0,K239=""),"",T239/K239))</f>
        <v/>
      </c>
      <c r="X239" s="43" t="n">
        <f aca="false">IF($A239="","",IF(OR(N239&lt;=0,I239=0,I239="",O239=0),"",O239*1000/(I239*0.3025)/N239))</f>
        <v>22924.661710024</v>
      </c>
      <c r="Y239" s="50" t="str">
        <f aca="false">IF($A239="","",IF(OR(O239=0,O239="",P239=0),"",P239/O239))</f>
        <v/>
      </c>
      <c r="Z239" s="17" t="str">
        <f aca="false">IF($A239="","",IFERROR(INDEX(物件収支!$E:$E,MATCH($A239,物件収支!$A:$A,0)),""))</f>
        <v>開示（物件別・収益のみ）</v>
      </c>
    </row>
    <row r="240" customFormat="false" ht="15" hidden="false" customHeight="true" outlineLevel="0" collapsed="false">
      <c r="A240" s="17" t="str">
        <f aca="false">IF(物件マスタ!A240="","",物件マスタ!A240)</f>
        <v>JPR-41</v>
      </c>
      <c r="B240" s="17" t="str">
        <f aca="false">IF($A240="","",物件マスタ!B240)</f>
        <v>JPR</v>
      </c>
      <c r="C240" s="17" t="str">
        <f aca="false">IF($A240="","",IFERROR(INDEX(法人マスタ!$C:$C,MATCH($B240,法人マスタ!$A:$A,0)),""))</f>
        <v>日本プライムリアルティ投資法人</v>
      </c>
      <c r="D240" s="17" t="str">
        <f aca="false">IF($A240="","",物件マスタ!C240)</f>
        <v>ＪＰＲ横浜ビル</v>
      </c>
      <c r="E240" s="17" t="str">
        <f aca="false">IF($A240="","",物件マスタ!H240)</f>
        <v>東京周辺都市部</v>
      </c>
      <c r="F240" s="48" t="n">
        <f aca="false">IF($A240="","",物件マスタ!P240)</f>
        <v>29707</v>
      </c>
      <c r="G240" s="34" t="n">
        <f aca="false">IF($A240="","",物件マスタ!Q240)</f>
        <v>45.3</v>
      </c>
      <c r="H240" s="49" t="n">
        <f aca="false">IF($A240="","",物件マスタ!L240)</f>
        <v>8772.51</v>
      </c>
      <c r="I240" s="49" t="n">
        <f aca="false">IF($A240="","",物件マスタ!M240)</f>
        <v>6494.67</v>
      </c>
      <c r="J240" s="43" t="n">
        <f aca="false">IF($A240="","",物件マスタ!S240)</f>
        <v>7000</v>
      </c>
      <c r="K240" s="43" t="n">
        <f aca="false">IF($A240="","",物件マスタ!U240)</f>
        <v>10600</v>
      </c>
      <c r="L240" s="50" t="n">
        <f aca="false">IF($A240="","",物件マスタ!W240)</f>
        <v>1</v>
      </c>
      <c r="M240" s="17" t="str">
        <f aca="false">IF($A240="","",IFERROR(INDEX(法人マスタ!$H:$H,MATCH($B240,法人マスタ!$A:$A,0)),""))</f>
        <v>2025年12月期（第48期）</v>
      </c>
      <c r="N240" s="51" t="n">
        <f aca="false">IF($A240="","",SUMIFS(物件収支!$D:$D,物件収支!$A:$A,$A240,物件収支!$C:$C,$M240))</f>
        <v>6</v>
      </c>
      <c r="O240" s="43" t="n">
        <f aca="false">IF($A240="","",SUMIFS(物件収支!$F:$F,物件収支!$A:$A,$A240,物件収支!$C:$C,$M240))</f>
        <v>307314</v>
      </c>
      <c r="P240" s="43" t="n">
        <f aca="false">IF($A240="","",SUMIFS(物件収支!$I:$I,物件収支!$A:$A,$A240,物件収支!$C:$C,$M240))</f>
        <v>0</v>
      </c>
      <c r="Q240" s="43" t="n">
        <f aca="false">IF($A240="","",SUMIFS(物件収支!$O:$O,物件収支!$A:$A,$A240,物件収支!$C:$C,$M240))</f>
        <v>0</v>
      </c>
      <c r="R240" s="43" t="str">
        <f aca="false">IF($A240="","",IF(P240=0,"",O240-P240))</f>
        <v/>
      </c>
      <c r="S240" s="43" t="str">
        <f aca="false">IF($A240="","",IF(R240="","",R240+Q240))</f>
        <v/>
      </c>
      <c r="T240" s="43" t="str">
        <f aca="false">IF($A240="","",IF(OR(S240="",N240&lt;=0),"",S240/1000*12/N240))</f>
        <v/>
      </c>
      <c r="U240" s="52" t="str">
        <f aca="false">IF($A240="","",IF(OR(T240="",J240=0,J240=""),"",T240/J240))</f>
        <v/>
      </c>
      <c r="V240" s="52" t="str">
        <f aca="false">IF($A240="","",IF(OR(R240="",N240&lt;=0,J240=0,J240=""),"",(R240/1000*12/N240)/J240))</f>
        <v/>
      </c>
      <c r="W240" s="52" t="str">
        <f aca="false">IF($A240="","",IF(OR(T240="",K240=0,K240=""),"",T240/K240))</f>
        <v/>
      </c>
      <c r="X240" s="43" t="n">
        <f aca="false">IF($A240="","",IF(OR(N240&lt;=0,I240=0,I240="",O240=0),"",O240*1000/(I240*0.3025)/N240))</f>
        <v>26070.4559684269</v>
      </c>
      <c r="Y240" s="50" t="str">
        <f aca="false">IF($A240="","",IF(OR(O240=0,O240="",P240=0),"",P240/O240))</f>
        <v/>
      </c>
      <c r="Z240" s="17" t="str">
        <f aca="false">IF($A240="","",IFERROR(INDEX(物件収支!$E:$E,MATCH($A240,物件収支!$A:$A,0)),""))</f>
        <v>開示（物件別・収益のみ）</v>
      </c>
    </row>
    <row r="241" customFormat="false" ht="15" hidden="false" customHeight="true" outlineLevel="0" collapsed="false">
      <c r="A241" s="17" t="str">
        <f aca="false">IF(物件マスタ!A241="","",物件マスタ!A241)</f>
        <v>JPR-42</v>
      </c>
      <c r="B241" s="17" t="str">
        <f aca="false">IF($A241="","",物件マスタ!B241)</f>
        <v>JPR</v>
      </c>
      <c r="C241" s="17" t="str">
        <f aca="false">IF($A241="","",IFERROR(INDEX(法人マスタ!$C:$C,MATCH($B241,法人マスタ!$A:$A,0)),""))</f>
        <v>日本プライムリアルティ投資法人</v>
      </c>
      <c r="D241" s="17" t="str">
        <f aca="false">IF($A241="","",物件マスタ!C241)</f>
        <v>ＪＰＲ大宮ビル</v>
      </c>
      <c r="E241" s="17" t="str">
        <f aca="false">IF($A241="","",物件マスタ!H241)</f>
        <v>東京周辺都市部</v>
      </c>
      <c r="F241" s="48" t="n">
        <f aca="false">IF($A241="","",物件マスタ!P241)</f>
        <v>39845</v>
      </c>
      <c r="G241" s="34" t="n">
        <f aca="false">IF($A241="","",物件マスタ!Q241)</f>
        <v>17.5</v>
      </c>
      <c r="H241" s="49" t="n">
        <f aca="false">IF($A241="","",物件マスタ!L241)</f>
        <v>9203.98</v>
      </c>
      <c r="I241" s="49" t="n">
        <f aca="false">IF($A241="","",物件マスタ!M241)</f>
        <v>6755.32</v>
      </c>
      <c r="J241" s="43" t="n">
        <f aca="false">IF($A241="","",物件マスタ!S241)</f>
        <v>6090</v>
      </c>
      <c r="K241" s="43" t="n">
        <f aca="false">IF($A241="","",物件マスタ!U241)</f>
        <v>11400</v>
      </c>
      <c r="L241" s="50" t="n">
        <f aca="false">IF($A241="","",物件マスタ!W241)</f>
        <v>1</v>
      </c>
      <c r="M241" s="17" t="str">
        <f aca="false">IF($A241="","",IFERROR(INDEX(法人マスタ!$H:$H,MATCH($B241,法人マスタ!$A:$A,0)),""))</f>
        <v>2025年12月期（第48期）</v>
      </c>
      <c r="N241" s="51" t="n">
        <f aca="false">IF($A241="","",SUMIFS(物件収支!$D:$D,物件収支!$A:$A,$A241,物件収支!$C:$C,$M241))</f>
        <v>6</v>
      </c>
      <c r="O241" s="43" t="n">
        <f aca="false">IF($A241="","",SUMIFS(物件収支!$F:$F,物件収支!$A:$A,$A241,物件収支!$C:$C,$M241))</f>
        <v>282546</v>
      </c>
      <c r="P241" s="43" t="n">
        <f aca="false">IF($A241="","",SUMIFS(物件収支!$I:$I,物件収支!$A:$A,$A241,物件収支!$C:$C,$M241))</f>
        <v>0</v>
      </c>
      <c r="Q241" s="43" t="n">
        <f aca="false">IF($A241="","",SUMIFS(物件収支!$O:$O,物件収支!$A:$A,$A241,物件収支!$C:$C,$M241))</f>
        <v>0</v>
      </c>
      <c r="R241" s="43" t="str">
        <f aca="false">IF($A241="","",IF(P241=0,"",O241-P241))</f>
        <v/>
      </c>
      <c r="S241" s="43" t="str">
        <f aca="false">IF($A241="","",IF(R241="","",R241+Q241))</f>
        <v/>
      </c>
      <c r="T241" s="43" t="str">
        <f aca="false">IF($A241="","",IF(OR(S241="",N241&lt;=0),"",S241/1000*12/N241))</f>
        <v/>
      </c>
      <c r="U241" s="52" t="str">
        <f aca="false">IF($A241="","",IF(OR(T241="",J241=0,J241=""),"",T241/J241))</f>
        <v/>
      </c>
      <c r="V241" s="52" t="str">
        <f aca="false">IF($A241="","",IF(OR(R241="",N241&lt;=0,J241=0,J241=""),"",(R241/1000*12/N241)/J241))</f>
        <v/>
      </c>
      <c r="W241" s="52" t="str">
        <f aca="false">IF($A241="","",IF(OR(T241="",K241=0,K241=""),"",T241/K241))</f>
        <v/>
      </c>
      <c r="X241" s="43" t="n">
        <f aca="false">IF($A241="","",IF(OR(N241&lt;=0,I241=0,I241="",O241=0),"",O241*1000/(I241*0.3025)/N241))</f>
        <v>23044.4638111484</v>
      </c>
      <c r="Y241" s="50" t="str">
        <f aca="false">IF($A241="","",IF(OR(O241=0,O241="",P241=0),"",P241/O241))</f>
        <v/>
      </c>
      <c r="Z241" s="17" t="str">
        <f aca="false">IF($A241="","",IFERROR(INDEX(物件収支!$E:$E,MATCH($A241,物件収支!$A:$A,0)),""))</f>
        <v>開示（物件別・収益のみ）</v>
      </c>
    </row>
    <row r="242" customFormat="false" ht="15" hidden="false" customHeight="true" outlineLevel="0" collapsed="false">
      <c r="A242" s="17" t="str">
        <f aca="false">IF(物件マスタ!A242="","",物件マスタ!A242)</f>
        <v>JPR-43</v>
      </c>
      <c r="B242" s="17" t="str">
        <f aca="false">IF($A242="","",物件マスタ!B242)</f>
        <v>JPR</v>
      </c>
      <c r="C242" s="17" t="str">
        <f aca="false">IF($A242="","",IFERROR(INDEX(法人マスタ!$C:$C,MATCH($B242,法人マスタ!$A:$A,0)),""))</f>
        <v>日本プライムリアルティ投資法人</v>
      </c>
      <c r="D242" s="17" t="str">
        <f aca="false">IF($A242="","",物件マスタ!C242)</f>
        <v>センシティビルディング</v>
      </c>
      <c r="E242" s="17" t="str">
        <f aca="false">IF($A242="","",物件マスタ!H242)</f>
        <v>東京周辺都市部</v>
      </c>
      <c r="F242" s="48" t="n">
        <f aca="false">IF($A242="","",物件マスタ!P242)</f>
        <v>34060</v>
      </c>
      <c r="G242" s="34" t="n">
        <f aca="false">IF($A242="","",物件マスタ!Q242)</f>
        <v>33.4</v>
      </c>
      <c r="H242" s="49" t="n">
        <f aca="false">IF($A242="","",物件マスタ!L242)</f>
        <v>158663.55</v>
      </c>
      <c r="I242" s="49" t="n">
        <f aca="false">IF($A242="","",物件マスタ!M242)</f>
        <v>13271.26</v>
      </c>
      <c r="J242" s="43" t="n">
        <f aca="false">IF($A242="","",物件マスタ!S242)</f>
        <v>13870</v>
      </c>
      <c r="K242" s="43" t="n">
        <f aca="false">IF($A242="","",物件マスタ!U242)</f>
        <v>13400</v>
      </c>
      <c r="L242" s="50" t="n">
        <f aca="false">IF($A242="","",物件マスタ!W242)</f>
        <v>0.887</v>
      </c>
      <c r="M242" s="17" t="str">
        <f aca="false">IF($A242="","",IFERROR(INDEX(法人マスタ!$H:$H,MATCH($B242,法人マスタ!$A:$A,0)),""))</f>
        <v>2025年12月期（第48期）</v>
      </c>
      <c r="N242" s="51" t="n">
        <f aca="false">IF($A242="","",SUMIFS(物件収支!$D:$D,物件収支!$A:$A,$A242,物件収支!$C:$C,$M242))</f>
        <v>6</v>
      </c>
      <c r="O242" s="43" t="n">
        <f aca="false">IF($A242="","",SUMIFS(物件収支!$F:$F,物件収支!$A:$A,$A242,物件収支!$C:$C,$M242))</f>
        <v>435066</v>
      </c>
      <c r="P242" s="43" t="n">
        <f aca="false">IF($A242="","",SUMIFS(物件収支!$I:$I,物件収支!$A:$A,$A242,物件収支!$C:$C,$M242))</f>
        <v>0</v>
      </c>
      <c r="Q242" s="43" t="n">
        <f aca="false">IF($A242="","",SUMIFS(物件収支!$O:$O,物件収支!$A:$A,$A242,物件収支!$C:$C,$M242))</f>
        <v>0</v>
      </c>
      <c r="R242" s="43" t="str">
        <f aca="false">IF($A242="","",IF(P242=0,"",O242-P242))</f>
        <v/>
      </c>
      <c r="S242" s="43" t="str">
        <f aca="false">IF($A242="","",IF(R242="","",R242+Q242))</f>
        <v/>
      </c>
      <c r="T242" s="43" t="str">
        <f aca="false">IF($A242="","",IF(OR(S242="",N242&lt;=0),"",S242/1000*12/N242))</f>
        <v/>
      </c>
      <c r="U242" s="52" t="str">
        <f aca="false">IF($A242="","",IF(OR(T242="",J242=0,J242=""),"",T242/J242))</f>
        <v/>
      </c>
      <c r="V242" s="52" t="str">
        <f aca="false">IF($A242="","",IF(OR(R242="",N242&lt;=0,J242=0,J242=""),"",(R242/1000*12/N242)/J242))</f>
        <v/>
      </c>
      <c r="W242" s="52" t="str">
        <f aca="false">IF($A242="","",IF(OR(T242="",K242=0,K242=""),"",T242/K242))</f>
        <v/>
      </c>
      <c r="X242" s="43" t="n">
        <f aca="false">IF($A242="","",IF(OR(N242&lt;=0,I242=0,I242="",O242=0),"",O242*1000/(I242*0.3025)/N242))</f>
        <v>18062.0216259773</v>
      </c>
      <c r="Y242" s="50" t="str">
        <f aca="false">IF($A242="","",IF(OR(O242=0,O242="",P242=0),"",P242/O242))</f>
        <v/>
      </c>
      <c r="Z242" s="17" t="str">
        <f aca="false">IF($A242="","",IFERROR(INDEX(物件収支!$E:$E,MATCH($A242,物件収支!$A:$A,0)),""))</f>
        <v>開示（物件別・収益のみ）</v>
      </c>
    </row>
    <row r="243" customFormat="false" ht="15" hidden="false" customHeight="true" outlineLevel="0" collapsed="false">
      <c r="A243" s="17" t="str">
        <f aca="false">IF(物件マスタ!A243="","",物件マスタ!A243)</f>
        <v>JPR-44</v>
      </c>
      <c r="B243" s="17" t="str">
        <f aca="false">IF($A243="","",物件マスタ!B243)</f>
        <v>JPR</v>
      </c>
      <c r="C243" s="17" t="str">
        <f aca="false">IF($A243="","",IFERROR(INDEX(法人マスタ!$C:$C,MATCH($B243,法人マスタ!$A:$A,0)),""))</f>
        <v>日本プライムリアルティ投資法人</v>
      </c>
      <c r="D243" s="17" t="str">
        <f aca="false">IF($A243="","",物件マスタ!C243)</f>
        <v>中野セントラルパークイースト</v>
      </c>
      <c r="E243" s="17" t="str">
        <f aca="false">IF($A243="","",物件マスタ!H243)</f>
        <v>その他東京23区</v>
      </c>
      <c r="F243" s="48" t="n">
        <f aca="false">IF($A243="","",物件マスタ!P243)</f>
        <v>40969</v>
      </c>
      <c r="G243" s="34" t="n">
        <f aca="false">IF($A243="","",物件マスタ!Q243)</f>
        <v>14.4</v>
      </c>
      <c r="H243" s="49" t="n">
        <f aca="false">IF($A243="","",物件マスタ!L243)</f>
        <v>37870.65</v>
      </c>
      <c r="I243" s="49" t="n">
        <f aca="false">IF($A243="","",物件マスタ!M243)</f>
        <v>25516.37</v>
      </c>
      <c r="J243" s="43" t="n">
        <f aca="false">IF($A243="","",物件マスタ!S243)</f>
        <v>52907</v>
      </c>
      <c r="K243" s="43" t="n">
        <f aca="false">IF($A243="","",物件マスタ!U243)</f>
        <v>58600</v>
      </c>
      <c r="L243" s="50" t="n">
        <f aca="false">IF($A243="","",物件マスタ!W243)</f>
        <v>1</v>
      </c>
      <c r="M243" s="17" t="str">
        <f aca="false">IF($A243="","",IFERROR(INDEX(法人マスタ!$H:$H,MATCH($B243,法人マスタ!$A:$A,0)),""))</f>
        <v>2025年12月期（第48期）</v>
      </c>
      <c r="N243" s="51" t="n">
        <f aca="false">IF($A243="","",SUMIFS(物件収支!$D:$D,物件収支!$A:$A,$A243,物件収支!$C:$C,$M243))</f>
        <v>6</v>
      </c>
      <c r="O243" s="43" t="n">
        <f aca="false">IF($A243="","",SUMIFS(物件収支!$F:$F,物件収支!$A:$A,$A243,物件収支!$C:$C,$M243))</f>
        <v>1194667</v>
      </c>
      <c r="P243" s="43" t="n">
        <f aca="false">IF($A243="","",SUMIFS(物件収支!$I:$I,物件収支!$A:$A,$A243,物件収支!$C:$C,$M243))</f>
        <v>0</v>
      </c>
      <c r="Q243" s="43" t="n">
        <f aca="false">IF($A243="","",SUMIFS(物件収支!$O:$O,物件収支!$A:$A,$A243,物件収支!$C:$C,$M243))</f>
        <v>0</v>
      </c>
      <c r="R243" s="43" t="str">
        <f aca="false">IF($A243="","",IF(P243=0,"",O243-P243))</f>
        <v/>
      </c>
      <c r="S243" s="43" t="str">
        <f aca="false">IF($A243="","",IF(R243="","",R243+Q243))</f>
        <v/>
      </c>
      <c r="T243" s="43" t="str">
        <f aca="false">IF($A243="","",IF(OR(S243="",N243&lt;=0),"",S243/1000*12/N243))</f>
        <v/>
      </c>
      <c r="U243" s="52" t="str">
        <f aca="false">IF($A243="","",IF(OR(T243="",J243=0,J243=""),"",T243/J243))</f>
        <v/>
      </c>
      <c r="V243" s="52" t="str">
        <f aca="false">IF($A243="","",IF(OR(R243="",N243&lt;=0,J243=0,J243=""),"",(R243/1000*12/N243)/J243))</f>
        <v/>
      </c>
      <c r="W243" s="52" t="str">
        <f aca="false">IF($A243="","",IF(OR(T243="",K243=0,K243=""),"",T243/K243))</f>
        <v/>
      </c>
      <c r="X243" s="43" t="n">
        <f aca="false">IF($A243="","",IF(OR(N243&lt;=0,I243=0,I243="",O243=0),"",O243*1000/(I243*0.3025)/N243))</f>
        <v>25795.9393433458</v>
      </c>
      <c r="Y243" s="50" t="str">
        <f aca="false">IF($A243="","",IF(OR(O243=0,O243="",P243=0),"",P243/O243))</f>
        <v/>
      </c>
      <c r="Z243" s="17" t="str">
        <f aca="false">IF($A243="","",IFERROR(INDEX(物件収支!$E:$E,MATCH($A243,物件収支!$A:$A,0)),""))</f>
        <v>開示（物件別・収益のみ）</v>
      </c>
    </row>
    <row r="244" customFormat="false" ht="15" hidden="false" customHeight="true" outlineLevel="0" collapsed="false">
      <c r="A244" s="17" t="str">
        <f aca="false">IF(物件マスタ!A244="","",物件マスタ!A244)</f>
        <v>JPR-45</v>
      </c>
      <c r="B244" s="17" t="str">
        <f aca="false">IF($A244="","",物件マスタ!B244)</f>
        <v>JPR</v>
      </c>
      <c r="C244" s="17" t="str">
        <f aca="false">IF($A244="","",IFERROR(INDEX(法人マスタ!$C:$C,MATCH($B244,法人マスタ!$A:$A,0)),""))</f>
        <v>日本プライムリアルティ投資法人</v>
      </c>
      <c r="D244" s="17" t="str">
        <f aca="false">IF($A244="","",物件マスタ!C244)</f>
        <v>田無アスタ</v>
      </c>
      <c r="E244" s="17" t="str">
        <f aca="false">IF($A244="","",物件マスタ!H244)</f>
        <v>東京周辺都市部</v>
      </c>
      <c r="F244" s="48" t="n">
        <f aca="false">IF($A244="","",物件マスタ!P244)</f>
        <v>34731</v>
      </c>
      <c r="G244" s="34" t="n">
        <f aca="false">IF($A244="","",物件マスタ!Q244)</f>
        <v>31.5</v>
      </c>
      <c r="H244" s="49" t="n">
        <f aca="false">IF($A244="","",物件マスタ!L244)</f>
        <v>80675.27</v>
      </c>
      <c r="I244" s="49" t="n">
        <f aca="false">IF($A244="","",物件マスタ!M244)</f>
        <v>31121.71</v>
      </c>
      <c r="J244" s="43" t="n">
        <f aca="false">IF($A244="","",物件マスタ!S244)</f>
        <v>10200</v>
      </c>
      <c r="K244" s="43" t="n">
        <f aca="false">IF($A244="","",物件マスタ!U244)</f>
        <v>11200</v>
      </c>
      <c r="L244" s="50" t="n">
        <f aca="false">IF($A244="","",物件マスタ!W244)</f>
        <v>1</v>
      </c>
      <c r="M244" s="17" t="str">
        <f aca="false">IF($A244="","",IFERROR(INDEX(法人マスタ!$H:$H,MATCH($B244,法人マスタ!$A:$A,0)),""))</f>
        <v>2025年12月期（第48期）</v>
      </c>
      <c r="N244" s="51" t="n">
        <f aca="false">IF($A244="","",SUMIFS(物件収支!$D:$D,物件収支!$A:$A,$A244,物件収支!$C:$C,$M244))</f>
        <v>6</v>
      </c>
      <c r="O244" s="43" t="n">
        <f aca="false">IF($A244="","",SUMIFS(物件収支!$F:$F,物件収支!$A:$A,$A244,物件収支!$C:$C,$M244))</f>
        <v>0</v>
      </c>
      <c r="P244" s="43" t="n">
        <f aca="false">IF($A244="","",SUMIFS(物件収支!$I:$I,物件収支!$A:$A,$A244,物件収支!$C:$C,$M244))</f>
        <v>0</v>
      </c>
      <c r="Q244" s="43" t="n">
        <f aca="false">IF($A244="","",SUMIFS(物件収支!$O:$O,物件収支!$A:$A,$A244,物件収支!$C:$C,$M244))</f>
        <v>0</v>
      </c>
      <c r="R244" s="43" t="str">
        <f aca="false">IF($A244="","",IF(P244=0,"",O244-P244))</f>
        <v/>
      </c>
      <c r="S244" s="43" t="str">
        <f aca="false">IF($A244="","",IF(R244="","",R244+Q244))</f>
        <v/>
      </c>
      <c r="T244" s="43" t="str">
        <f aca="false">IF($A244="","",IF(OR(S244="",N244&lt;=0),"",S244/1000*12/N244))</f>
        <v/>
      </c>
      <c r="U244" s="52" t="str">
        <f aca="false">IF($A244="","",IF(OR(T244="",J244=0,J244=""),"",T244/J244))</f>
        <v/>
      </c>
      <c r="V244" s="52" t="str">
        <f aca="false">IF($A244="","",IF(OR(R244="",N244&lt;=0,J244=0,J244=""),"",(R244/1000*12/N244)/J244))</f>
        <v/>
      </c>
      <c r="W244" s="52" t="str">
        <f aca="false">IF($A244="","",IF(OR(T244="",K244=0,K244=""),"",T244/K244))</f>
        <v/>
      </c>
      <c r="X244" s="43" t="str">
        <f aca="false">IF($A244="","",IF(OR(N244&lt;=0,I244=0,I244="",O244=0),"",O244*1000/(I244*0.3025)/N244))</f>
        <v/>
      </c>
      <c r="Y244" s="50" t="str">
        <f aca="false">IF($A244="","",IF(OR(O244=0,O244="",P244=0),"",P244/O244))</f>
        <v/>
      </c>
      <c r="Z244" s="17" t="str">
        <f aca="false">IF($A244="","",IFERROR(INDEX(物件収支!$E:$E,MATCH($A244,物件収支!$A:$A,0)),""))</f>
        <v>非開示（テナント同意なし）</v>
      </c>
    </row>
    <row r="245" customFormat="false" ht="15" hidden="false" customHeight="true" outlineLevel="0" collapsed="false">
      <c r="A245" s="17" t="str">
        <f aca="false">IF(物件マスタ!A245="","",物件マスタ!A245)</f>
        <v>JPR-46</v>
      </c>
      <c r="B245" s="17" t="str">
        <f aca="false">IF($A245="","",物件マスタ!B245)</f>
        <v>JPR</v>
      </c>
      <c r="C245" s="17" t="str">
        <f aca="false">IF($A245="","",IFERROR(INDEX(法人マスタ!$C:$C,MATCH($B245,法人マスタ!$A:$A,0)),""))</f>
        <v>日本プライムリアルティ投資法人</v>
      </c>
      <c r="D245" s="17" t="str">
        <f aca="false">IF($A245="","",物件マスタ!C245)</f>
        <v>キュポ・ラ本館棟</v>
      </c>
      <c r="E245" s="17" t="str">
        <f aca="false">IF($A245="","",物件マスタ!H245)</f>
        <v>東京周辺都市部</v>
      </c>
      <c r="F245" s="48" t="n">
        <f aca="false">IF($A245="","",物件マスタ!P245)</f>
        <v>38718</v>
      </c>
      <c r="G245" s="34" t="n">
        <f aca="false">IF($A245="","",物件マスタ!Q245)</f>
        <v>20.6</v>
      </c>
      <c r="H245" s="49" t="n">
        <f aca="false">IF($A245="","",物件マスタ!L245)</f>
        <v>48321.96</v>
      </c>
      <c r="I245" s="49" t="n">
        <f aca="false">IF($A245="","",物件マスタ!M245)</f>
        <v>5963</v>
      </c>
      <c r="J245" s="43" t="n">
        <f aca="false">IF($A245="","",物件マスタ!S245)</f>
        <v>2100</v>
      </c>
      <c r="K245" s="43" t="n">
        <f aca="false">IF($A245="","",物件マスタ!U245)</f>
        <v>3530</v>
      </c>
      <c r="L245" s="50" t="n">
        <f aca="false">IF($A245="","",物件マスタ!W245)</f>
        <v>1</v>
      </c>
      <c r="M245" s="17" t="str">
        <f aca="false">IF($A245="","",IFERROR(INDEX(法人マスタ!$H:$H,MATCH($B245,法人マスタ!$A:$A,0)),""))</f>
        <v>2025年12月期（第48期）</v>
      </c>
      <c r="N245" s="51" t="n">
        <f aca="false">IF($A245="","",SUMIFS(物件収支!$D:$D,物件収支!$A:$A,$A245,物件収支!$C:$C,$M245))</f>
        <v>6</v>
      </c>
      <c r="O245" s="43" t="n">
        <f aca="false">IF($A245="","",SUMIFS(物件収支!$F:$F,物件収支!$A:$A,$A245,物件収支!$C:$C,$M245))</f>
        <v>0</v>
      </c>
      <c r="P245" s="43" t="n">
        <f aca="false">IF($A245="","",SUMIFS(物件収支!$I:$I,物件収支!$A:$A,$A245,物件収支!$C:$C,$M245))</f>
        <v>0</v>
      </c>
      <c r="Q245" s="43" t="n">
        <f aca="false">IF($A245="","",SUMIFS(物件収支!$O:$O,物件収支!$A:$A,$A245,物件収支!$C:$C,$M245))</f>
        <v>0</v>
      </c>
      <c r="R245" s="43" t="str">
        <f aca="false">IF($A245="","",IF(P245=0,"",O245-P245))</f>
        <v/>
      </c>
      <c r="S245" s="43" t="str">
        <f aca="false">IF($A245="","",IF(R245="","",R245+Q245))</f>
        <v/>
      </c>
      <c r="T245" s="43" t="str">
        <f aca="false">IF($A245="","",IF(OR(S245="",N245&lt;=0),"",S245/1000*12/N245))</f>
        <v/>
      </c>
      <c r="U245" s="52" t="str">
        <f aca="false">IF($A245="","",IF(OR(T245="",J245=0,J245=""),"",T245/J245))</f>
        <v/>
      </c>
      <c r="V245" s="52" t="str">
        <f aca="false">IF($A245="","",IF(OR(R245="",N245&lt;=0,J245=0,J245=""),"",(R245/1000*12/N245)/J245))</f>
        <v/>
      </c>
      <c r="W245" s="52" t="str">
        <f aca="false">IF($A245="","",IF(OR(T245="",K245=0,K245=""),"",T245/K245))</f>
        <v/>
      </c>
      <c r="X245" s="43" t="str">
        <f aca="false">IF($A245="","",IF(OR(N245&lt;=0,I245=0,I245="",O245=0),"",O245*1000/(I245*0.3025)/N245))</f>
        <v/>
      </c>
      <c r="Y245" s="50" t="str">
        <f aca="false">IF($A245="","",IF(OR(O245=0,O245="",P245=0),"",P245/O245))</f>
        <v/>
      </c>
      <c r="Z245" s="17" t="str">
        <f aca="false">IF($A245="","",IFERROR(INDEX(物件収支!$E:$E,MATCH($A245,物件収支!$A:$A,0)),""))</f>
        <v>非開示（テナント同意なし）</v>
      </c>
    </row>
    <row r="246" customFormat="false" ht="15" hidden="false" customHeight="true" outlineLevel="0" collapsed="false">
      <c r="A246" s="17" t="str">
        <f aca="false">IF(物件マスタ!A246="","",物件マスタ!A246)</f>
        <v>JPR-47</v>
      </c>
      <c r="B246" s="17" t="str">
        <f aca="false">IF($A246="","",物件マスタ!B246)</f>
        <v>JPR</v>
      </c>
      <c r="C246" s="17" t="str">
        <f aca="false">IF($A246="","",IFERROR(INDEX(法人マスタ!$C:$C,MATCH($B246,法人マスタ!$A:$A,0)),""))</f>
        <v>日本プライムリアルティ投資法人</v>
      </c>
      <c r="D246" s="17" t="str">
        <f aca="false">IF($A246="","",物件マスタ!C246)</f>
        <v>ＪＰＲ武蔵小杉ビル</v>
      </c>
      <c r="E246" s="17" t="str">
        <f aca="false">IF($A246="","",物件マスタ!H246)</f>
        <v>東京周辺都市部</v>
      </c>
      <c r="F246" s="48" t="n">
        <f aca="false">IF($A246="","",物件マスタ!P246)</f>
        <v>30376</v>
      </c>
      <c r="G246" s="34" t="n">
        <f aca="false">IF($A246="","",物件マスタ!Q246)</f>
        <v>43.4</v>
      </c>
      <c r="H246" s="49" t="n">
        <f aca="false">IF($A246="","",物件マスタ!L246)</f>
        <v>18394.32</v>
      </c>
      <c r="I246" s="49" t="n">
        <f aca="false">IF($A246="","",物件マスタ!M246)</f>
        <v>19740.95</v>
      </c>
      <c r="J246" s="43" t="n">
        <f aca="false">IF($A246="","",物件マスタ!S246)</f>
        <v>7254</v>
      </c>
      <c r="K246" s="43" t="n">
        <f aca="false">IF($A246="","",物件マスタ!U246)</f>
        <v>5350</v>
      </c>
      <c r="L246" s="50" t="n">
        <f aca="false">IF($A246="","",物件マスタ!W246)</f>
        <v>1</v>
      </c>
      <c r="M246" s="17" t="str">
        <f aca="false">IF($A246="","",IFERROR(INDEX(法人マスタ!$H:$H,MATCH($B246,法人マスタ!$A:$A,0)),""))</f>
        <v>2025年12月期（第48期）</v>
      </c>
      <c r="N246" s="51" t="n">
        <f aca="false">IF($A246="","",SUMIFS(物件収支!$D:$D,物件収支!$A:$A,$A246,物件収支!$C:$C,$M246))</f>
        <v>6</v>
      </c>
      <c r="O246" s="43" t="n">
        <f aca="false">IF($A246="","",SUMIFS(物件収支!$F:$F,物件収支!$A:$A,$A246,物件収支!$C:$C,$M246))</f>
        <v>0</v>
      </c>
      <c r="P246" s="43" t="n">
        <f aca="false">IF($A246="","",SUMIFS(物件収支!$I:$I,物件収支!$A:$A,$A246,物件収支!$C:$C,$M246))</f>
        <v>0</v>
      </c>
      <c r="Q246" s="43" t="n">
        <f aca="false">IF($A246="","",SUMIFS(物件収支!$O:$O,物件収支!$A:$A,$A246,物件収支!$C:$C,$M246))</f>
        <v>0</v>
      </c>
      <c r="R246" s="43" t="str">
        <f aca="false">IF($A246="","",IF(P246=0,"",O246-P246))</f>
        <v/>
      </c>
      <c r="S246" s="43" t="str">
        <f aca="false">IF($A246="","",IF(R246="","",R246+Q246))</f>
        <v/>
      </c>
      <c r="T246" s="43" t="str">
        <f aca="false">IF($A246="","",IF(OR(S246="",N246&lt;=0),"",S246/1000*12/N246))</f>
        <v/>
      </c>
      <c r="U246" s="52" t="str">
        <f aca="false">IF($A246="","",IF(OR(T246="",J246=0,J246=""),"",T246/J246))</f>
        <v/>
      </c>
      <c r="V246" s="52" t="str">
        <f aca="false">IF($A246="","",IF(OR(R246="",N246&lt;=0,J246=0,J246=""),"",(R246/1000*12/N246)/J246))</f>
        <v/>
      </c>
      <c r="W246" s="52" t="str">
        <f aca="false">IF($A246="","",IF(OR(T246="",K246=0,K246=""),"",T246/K246))</f>
        <v/>
      </c>
      <c r="X246" s="43" t="str">
        <f aca="false">IF($A246="","",IF(OR(N246&lt;=0,I246=0,I246="",O246=0),"",O246*1000/(I246*0.3025)/N246))</f>
        <v/>
      </c>
      <c r="Y246" s="50" t="str">
        <f aca="false">IF($A246="","",IF(OR(O246=0,O246="",P246=0),"",P246/O246))</f>
        <v/>
      </c>
      <c r="Z246" s="17" t="str">
        <f aca="false">IF($A246="","",IFERROR(INDEX(物件収支!$E:$E,MATCH($A246,物件収支!$A:$A,0)),""))</f>
        <v>非開示（テナント同意なし）</v>
      </c>
    </row>
    <row r="247" customFormat="false" ht="15" hidden="false" customHeight="true" outlineLevel="0" collapsed="false">
      <c r="A247" s="17" t="str">
        <f aca="false">IF(物件マスタ!A247="","",物件マスタ!A247)</f>
        <v>JPR-48</v>
      </c>
      <c r="B247" s="17" t="str">
        <f aca="false">IF($A247="","",物件マスタ!B247)</f>
        <v>JPR</v>
      </c>
      <c r="C247" s="17" t="str">
        <f aca="false">IF($A247="","",IFERROR(INDEX(法人マスタ!$C:$C,MATCH($B247,法人マスタ!$A:$A,0)),""))</f>
        <v>日本プライムリアルティ投資法人</v>
      </c>
      <c r="D247" s="17" t="str">
        <f aca="false">IF($A247="","",物件マスタ!C247)</f>
        <v>武蔵浦和ショッピングスクエア</v>
      </c>
      <c r="E247" s="17" t="str">
        <f aca="false">IF($A247="","",物件マスタ!H247)</f>
        <v>東京周辺都市部</v>
      </c>
      <c r="F247" s="48" t="n">
        <f aca="false">IF($A247="","",物件マスタ!P247)</f>
        <v>38626</v>
      </c>
      <c r="G247" s="34" t="n">
        <f aca="false">IF($A247="","",物件マスタ!Q247)</f>
        <v>20.9</v>
      </c>
      <c r="H247" s="49" t="n">
        <f aca="false">IF($A247="","",物件マスタ!L247)</f>
        <v>28930.36</v>
      </c>
      <c r="I247" s="49" t="n">
        <f aca="false">IF($A247="","",物件マスタ!M247)</f>
        <v>14960.7</v>
      </c>
      <c r="J247" s="43" t="n">
        <f aca="false">IF($A247="","",物件マスタ!S247)</f>
        <v>4335</v>
      </c>
      <c r="K247" s="43" t="n">
        <f aca="false">IF($A247="","",物件マスタ!U247)</f>
        <v>4350</v>
      </c>
      <c r="L247" s="50" t="n">
        <f aca="false">IF($A247="","",物件マスタ!W247)</f>
        <v>1</v>
      </c>
      <c r="M247" s="17" t="str">
        <f aca="false">IF($A247="","",IFERROR(INDEX(法人マスタ!$H:$H,MATCH($B247,法人マスタ!$A:$A,0)),""))</f>
        <v>2025年12月期（第48期）</v>
      </c>
      <c r="N247" s="51" t="n">
        <f aca="false">IF($A247="","",SUMIFS(物件収支!$D:$D,物件収支!$A:$A,$A247,物件収支!$C:$C,$M247))</f>
        <v>6</v>
      </c>
      <c r="O247" s="43" t="n">
        <f aca="false">IF($A247="","",SUMIFS(物件収支!$F:$F,物件収支!$A:$A,$A247,物件収支!$C:$C,$M247))</f>
        <v>127071</v>
      </c>
      <c r="P247" s="43" t="n">
        <f aca="false">IF($A247="","",SUMIFS(物件収支!$I:$I,物件収支!$A:$A,$A247,物件収支!$C:$C,$M247))</f>
        <v>0</v>
      </c>
      <c r="Q247" s="43" t="n">
        <f aca="false">IF($A247="","",SUMIFS(物件収支!$O:$O,物件収支!$A:$A,$A247,物件収支!$C:$C,$M247))</f>
        <v>0</v>
      </c>
      <c r="R247" s="43" t="str">
        <f aca="false">IF($A247="","",IF(P247=0,"",O247-P247))</f>
        <v/>
      </c>
      <c r="S247" s="43" t="str">
        <f aca="false">IF($A247="","",IF(R247="","",R247+Q247))</f>
        <v/>
      </c>
      <c r="T247" s="43" t="str">
        <f aca="false">IF($A247="","",IF(OR(S247="",N247&lt;=0),"",S247/1000*12/N247))</f>
        <v/>
      </c>
      <c r="U247" s="52" t="str">
        <f aca="false">IF($A247="","",IF(OR(T247="",J247=0,J247=""),"",T247/J247))</f>
        <v/>
      </c>
      <c r="V247" s="52" t="str">
        <f aca="false">IF($A247="","",IF(OR(R247="",N247&lt;=0,J247=0,J247=""),"",(R247/1000*12/N247)/J247))</f>
        <v/>
      </c>
      <c r="W247" s="52" t="str">
        <f aca="false">IF($A247="","",IF(OR(T247="",K247=0,K247=""),"",T247/K247))</f>
        <v/>
      </c>
      <c r="X247" s="43" t="n">
        <f aca="false">IF($A247="","",IF(OR(N247&lt;=0,I247=0,I247="",O247=0),"",O247*1000/(I247*0.3025)/N247))</f>
        <v>4679.69882745686</v>
      </c>
      <c r="Y247" s="50" t="str">
        <f aca="false">IF($A247="","",IF(OR(O247=0,O247="",P247=0),"",P247/O247))</f>
        <v/>
      </c>
      <c r="Z247" s="17" t="str">
        <f aca="false">IF($A247="","",IFERROR(INDEX(物件収支!$E:$E,MATCH($A247,物件収支!$A:$A,0)),""))</f>
        <v>開示（物件別・収益のみ）</v>
      </c>
    </row>
    <row r="248" customFormat="false" ht="15" hidden="false" customHeight="true" outlineLevel="0" collapsed="false">
      <c r="A248" s="17" t="str">
        <f aca="false">IF(物件マスタ!A248="","",物件マスタ!A248)</f>
        <v>JPR-49</v>
      </c>
      <c r="B248" s="17" t="str">
        <f aca="false">IF($A248="","",物件マスタ!B248)</f>
        <v>JPR</v>
      </c>
      <c r="C248" s="17" t="str">
        <f aca="false">IF($A248="","",IFERROR(INDEX(法人マスタ!$C:$C,MATCH($B248,法人マスタ!$A:$A,0)),""))</f>
        <v>日本プライムリアルティ投資法人</v>
      </c>
      <c r="D248" s="17" t="str">
        <f aca="false">IF($A248="","",物件マスタ!C248)</f>
        <v>川崎ダイスビル</v>
      </c>
      <c r="E248" s="17" t="str">
        <f aca="false">IF($A248="","",物件マスタ!H248)</f>
        <v>東京周辺都市部</v>
      </c>
      <c r="F248" s="48" t="n">
        <f aca="false">IF($A248="","",物件マスタ!P248)</f>
        <v>37834</v>
      </c>
      <c r="G248" s="34" t="n">
        <f aca="false">IF($A248="","",物件マスタ!Q248)</f>
        <v>23</v>
      </c>
      <c r="H248" s="49" t="n">
        <f aca="false">IF($A248="","",物件マスタ!L248)</f>
        <v>36902.01</v>
      </c>
      <c r="I248" s="49" t="n">
        <f aca="false">IF($A248="","",物件マスタ!M248)</f>
        <v>12113.1</v>
      </c>
      <c r="J248" s="43" t="n">
        <f aca="false">IF($A248="","",物件マスタ!S248)</f>
        <v>15080</v>
      </c>
      <c r="K248" s="43" t="n">
        <f aca="false">IF($A248="","",物件マスタ!U248)</f>
        <v>11900</v>
      </c>
      <c r="L248" s="50" t="n">
        <f aca="false">IF($A248="","",物件マスタ!W248)</f>
        <v>1</v>
      </c>
      <c r="M248" s="17" t="str">
        <f aca="false">IF($A248="","",IFERROR(INDEX(法人マスタ!$H:$H,MATCH($B248,法人マスタ!$A:$A,0)),""))</f>
        <v>2025年12月期（第48期）</v>
      </c>
      <c r="N248" s="51" t="n">
        <f aca="false">IF($A248="","",SUMIFS(物件収支!$D:$D,物件収支!$A:$A,$A248,物件収支!$C:$C,$M248))</f>
        <v>6</v>
      </c>
      <c r="O248" s="43" t="n">
        <f aca="false">IF($A248="","",SUMIFS(物件収支!$F:$F,物件収支!$A:$A,$A248,物件収支!$C:$C,$M248))</f>
        <v>462208</v>
      </c>
      <c r="P248" s="43" t="n">
        <f aca="false">IF($A248="","",SUMIFS(物件収支!$I:$I,物件収支!$A:$A,$A248,物件収支!$C:$C,$M248))</f>
        <v>0</v>
      </c>
      <c r="Q248" s="43" t="n">
        <f aca="false">IF($A248="","",SUMIFS(物件収支!$O:$O,物件収支!$A:$A,$A248,物件収支!$C:$C,$M248))</f>
        <v>0</v>
      </c>
      <c r="R248" s="43" t="str">
        <f aca="false">IF($A248="","",IF(P248=0,"",O248-P248))</f>
        <v/>
      </c>
      <c r="S248" s="43" t="str">
        <f aca="false">IF($A248="","",IF(R248="","",R248+Q248))</f>
        <v/>
      </c>
      <c r="T248" s="43" t="str">
        <f aca="false">IF($A248="","",IF(OR(S248="",N248&lt;=0),"",S248/1000*12/N248))</f>
        <v/>
      </c>
      <c r="U248" s="52" t="str">
        <f aca="false">IF($A248="","",IF(OR(T248="",J248=0,J248=""),"",T248/J248))</f>
        <v/>
      </c>
      <c r="V248" s="52" t="str">
        <f aca="false">IF($A248="","",IF(OR(R248="",N248&lt;=0,J248=0,J248=""),"",(R248/1000*12/N248)/J248))</f>
        <v/>
      </c>
      <c r="W248" s="52" t="str">
        <f aca="false">IF($A248="","",IF(OR(T248="",K248=0,K248=""),"",T248/K248))</f>
        <v/>
      </c>
      <c r="X248" s="43" t="n">
        <f aca="false">IF($A248="","",IF(OR(N248&lt;=0,I248=0,I248="",O248=0),"",O248*1000/(I248*0.3025)/N248))</f>
        <v>21023.5245392524</v>
      </c>
      <c r="Y248" s="50" t="str">
        <f aca="false">IF($A248="","",IF(OR(O248=0,O248="",P248=0),"",P248/O248))</f>
        <v/>
      </c>
      <c r="Z248" s="17" t="str">
        <f aca="false">IF($A248="","",IFERROR(INDEX(物件収支!$E:$E,MATCH($A248,物件収支!$A:$A,0)),""))</f>
        <v>開示（物件別・収益のみ）</v>
      </c>
    </row>
    <row r="249" customFormat="false" ht="15" hidden="false" customHeight="true" outlineLevel="0" collapsed="false">
      <c r="A249" s="17" t="str">
        <f aca="false">IF(物件マスタ!A249="","",物件マスタ!A249)</f>
        <v>JPR-50</v>
      </c>
      <c r="B249" s="17" t="str">
        <f aca="false">IF($A249="","",物件マスタ!B249)</f>
        <v>JPR</v>
      </c>
      <c r="C249" s="17" t="str">
        <f aca="false">IF($A249="","",IFERROR(INDEX(法人マスタ!$C:$C,MATCH($B249,法人マスタ!$A:$A,0)),""))</f>
        <v>日本プライムリアルティ投資法人</v>
      </c>
      <c r="D249" s="17" t="str">
        <f aca="false">IF($A249="","",物件マスタ!C249)</f>
        <v>ＦＵＮＤＥＳ上野</v>
      </c>
      <c r="E249" s="17" t="str">
        <f aca="false">IF($A249="","",物件マスタ!H249)</f>
        <v>その他東京23区</v>
      </c>
      <c r="F249" s="48" t="n">
        <f aca="false">IF($A249="","",物件マスタ!P249)</f>
        <v>42917</v>
      </c>
      <c r="G249" s="34" t="n">
        <f aca="false">IF($A249="","",物件マスタ!Q249)</f>
        <v>9.1</v>
      </c>
      <c r="H249" s="49" t="n">
        <f aca="false">IF($A249="","",物件マスタ!L249)</f>
        <v>2235.6</v>
      </c>
      <c r="I249" s="49" t="n">
        <f aca="false">IF($A249="","",物件マスタ!M249)</f>
        <v>1989.66</v>
      </c>
      <c r="J249" s="43" t="n">
        <f aca="false">IF($A249="","",物件マスタ!S249)</f>
        <v>3800</v>
      </c>
      <c r="K249" s="43" t="n">
        <f aca="false">IF($A249="","",物件マスタ!U249)</f>
        <v>4320</v>
      </c>
      <c r="L249" s="50" t="n">
        <f aca="false">IF($A249="","",物件マスタ!W249)</f>
        <v>1</v>
      </c>
      <c r="M249" s="17" t="str">
        <f aca="false">IF($A249="","",IFERROR(INDEX(法人マスタ!$H:$H,MATCH($B249,法人マスタ!$A:$A,0)),""))</f>
        <v>2025年12月期（第48期）</v>
      </c>
      <c r="N249" s="51" t="n">
        <f aca="false">IF($A249="","",SUMIFS(物件収支!$D:$D,物件収支!$A:$A,$A249,物件収支!$C:$C,$M249))</f>
        <v>6</v>
      </c>
      <c r="O249" s="43" t="n">
        <f aca="false">IF($A249="","",SUMIFS(物件収支!$F:$F,物件収支!$A:$A,$A249,物件収支!$C:$C,$M249))</f>
        <v>141809</v>
      </c>
      <c r="P249" s="43" t="n">
        <f aca="false">IF($A249="","",SUMIFS(物件収支!$I:$I,物件収支!$A:$A,$A249,物件収支!$C:$C,$M249))</f>
        <v>0</v>
      </c>
      <c r="Q249" s="43" t="n">
        <f aca="false">IF($A249="","",SUMIFS(物件収支!$O:$O,物件収支!$A:$A,$A249,物件収支!$C:$C,$M249))</f>
        <v>0</v>
      </c>
      <c r="R249" s="43" t="str">
        <f aca="false">IF($A249="","",IF(P249=0,"",O249-P249))</f>
        <v/>
      </c>
      <c r="S249" s="43" t="str">
        <f aca="false">IF($A249="","",IF(R249="","",R249+Q249))</f>
        <v/>
      </c>
      <c r="T249" s="43" t="str">
        <f aca="false">IF($A249="","",IF(OR(S249="",N249&lt;=0),"",S249/1000*12/N249))</f>
        <v/>
      </c>
      <c r="U249" s="52" t="str">
        <f aca="false">IF($A249="","",IF(OR(T249="",J249=0,J249=""),"",T249/J249))</f>
        <v/>
      </c>
      <c r="V249" s="52" t="str">
        <f aca="false">IF($A249="","",IF(OR(R249="",N249&lt;=0,J249=0,J249=""),"",(R249/1000*12/N249)/J249))</f>
        <v/>
      </c>
      <c r="W249" s="52" t="str">
        <f aca="false">IF($A249="","",IF(OR(T249="",K249=0,K249=""),"",T249/K249))</f>
        <v/>
      </c>
      <c r="X249" s="43" t="n">
        <f aca="false">IF($A249="","",IF(OR(N249&lt;=0,I249=0,I249="",O249=0),"",O249*1000/(I249*0.3025)/N249))</f>
        <v>39268.8602277632</v>
      </c>
      <c r="Y249" s="50" t="str">
        <f aca="false">IF($A249="","",IF(OR(O249=0,O249="",P249=0),"",P249/O249))</f>
        <v/>
      </c>
      <c r="Z249" s="17" t="str">
        <f aca="false">IF($A249="","",IFERROR(INDEX(物件収支!$E:$E,MATCH($A249,物件収支!$A:$A,0)),""))</f>
        <v>開示（物件別・収益のみ）</v>
      </c>
    </row>
    <row r="250" customFormat="false" ht="15" hidden="false" customHeight="true" outlineLevel="0" collapsed="false">
      <c r="A250" s="17" t="str">
        <f aca="false">IF(物件マスタ!A250="","",物件マスタ!A250)</f>
        <v>JPR-51</v>
      </c>
      <c r="B250" s="17" t="str">
        <f aca="false">IF($A250="","",物件マスタ!B250)</f>
        <v>JPR</v>
      </c>
      <c r="C250" s="17" t="str">
        <f aca="false">IF($A250="","",IFERROR(INDEX(法人マスタ!$C:$C,MATCH($B250,法人マスタ!$A:$A,0)),""))</f>
        <v>日本プライムリアルティ投資法人</v>
      </c>
      <c r="D250" s="17" t="str">
        <f aca="false">IF($A250="","",物件マスタ!C250)</f>
        <v>ＦＵＮＤＥＳ蒲田</v>
      </c>
      <c r="E250" s="17" t="str">
        <f aca="false">IF($A250="","",物件マスタ!H250)</f>
        <v>その他東京23区</v>
      </c>
      <c r="F250" s="48" t="n">
        <f aca="false">IF($A250="","",物件マスタ!P250)</f>
        <v>45323</v>
      </c>
      <c r="G250" s="34" t="n">
        <f aca="false">IF($A250="","",物件マスタ!Q250)</f>
        <v>2.5</v>
      </c>
      <c r="H250" s="49" t="n">
        <f aca="false">IF($A250="","",物件マスタ!L250)</f>
        <v>3738.15</v>
      </c>
      <c r="I250" s="49" t="n">
        <f aca="false">IF($A250="","",物件マスタ!M250)</f>
        <v>3320.26</v>
      </c>
      <c r="J250" s="43" t="n">
        <f aca="false">IF($A250="","",物件マスタ!S250)</f>
        <v>8010</v>
      </c>
      <c r="K250" s="43" t="n">
        <f aca="false">IF($A250="","",物件マスタ!U250)</f>
        <v>8580</v>
      </c>
      <c r="L250" s="50" t="n">
        <f aca="false">IF($A250="","",物件マスタ!W250)</f>
        <v>1</v>
      </c>
      <c r="M250" s="17" t="str">
        <f aca="false">IF($A250="","",IFERROR(INDEX(法人マスタ!$H:$H,MATCH($B250,法人マスタ!$A:$A,0)),""))</f>
        <v>2025年12月期（第48期）</v>
      </c>
      <c r="N250" s="51" t="n">
        <f aca="false">IF($A250="","",SUMIFS(物件収支!$D:$D,物件収支!$A:$A,$A250,物件収支!$C:$C,$M250))</f>
        <v>6</v>
      </c>
      <c r="O250" s="43" t="n">
        <f aca="false">IF($A250="","",SUMIFS(物件収支!$F:$F,物件収支!$A:$A,$A250,物件収支!$C:$C,$M250))</f>
        <v>14394</v>
      </c>
      <c r="P250" s="43" t="n">
        <f aca="false">IF($A250="","",SUMIFS(物件収支!$I:$I,物件収支!$A:$A,$A250,物件収支!$C:$C,$M250))</f>
        <v>0</v>
      </c>
      <c r="Q250" s="43" t="n">
        <f aca="false">IF($A250="","",SUMIFS(物件収支!$O:$O,物件収支!$A:$A,$A250,物件収支!$C:$C,$M250))</f>
        <v>0</v>
      </c>
      <c r="R250" s="43" t="str">
        <f aca="false">IF($A250="","",IF(P250=0,"",O250-P250))</f>
        <v/>
      </c>
      <c r="S250" s="43" t="str">
        <f aca="false">IF($A250="","",IF(R250="","",R250+Q250))</f>
        <v/>
      </c>
      <c r="T250" s="43" t="str">
        <f aca="false">IF($A250="","",IF(OR(S250="",N250&lt;=0),"",S250/1000*12/N250))</f>
        <v/>
      </c>
      <c r="U250" s="52" t="str">
        <f aca="false">IF($A250="","",IF(OR(T250="",J250=0,J250=""),"",T250/J250))</f>
        <v/>
      </c>
      <c r="V250" s="52" t="str">
        <f aca="false">IF($A250="","",IF(OR(R250="",N250&lt;=0,J250=0,J250=""),"",(R250/1000*12/N250)/J250))</f>
        <v/>
      </c>
      <c r="W250" s="52" t="str">
        <f aca="false">IF($A250="","",IF(OR(T250="",K250=0,K250=""),"",T250/K250))</f>
        <v/>
      </c>
      <c r="X250" s="43" t="n">
        <f aca="false">IF($A250="","",IF(OR(N250&lt;=0,I250=0,I250="",O250=0),"",O250*1000/(I250*0.3025)/N250))</f>
        <v>2388.54141314135</v>
      </c>
      <c r="Y250" s="50" t="str">
        <f aca="false">IF($A250="","",IF(OR(O250=0,O250="",P250=0),"",P250/O250))</f>
        <v/>
      </c>
      <c r="Z250" s="17" t="str">
        <f aca="false">IF($A250="","",IFERROR(INDEX(物件収支!$E:$E,MATCH($A250,物件収支!$A:$A,0)),""))</f>
        <v>開示（物件別・収益のみ）</v>
      </c>
    </row>
    <row r="251" customFormat="false" ht="15" hidden="false" customHeight="true" outlineLevel="0" collapsed="false">
      <c r="A251" s="17" t="str">
        <f aca="false">IF(物件マスタ!A251="","",物件マスタ!A251)</f>
        <v>JPR-52</v>
      </c>
      <c r="B251" s="17" t="str">
        <f aca="false">IF($A251="","",物件マスタ!B251)</f>
        <v>JPR</v>
      </c>
      <c r="C251" s="17" t="str">
        <f aca="false">IF($A251="","",IFERROR(INDEX(法人マスタ!$C:$C,MATCH($B251,法人マスタ!$A:$A,0)),""))</f>
        <v>日本プライムリアルティ投資法人</v>
      </c>
      <c r="D251" s="17" t="str">
        <f aca="false">IF($A251="","",物件マスタ!C251)</f>
        <v>ホテルグレイスリー浅草</v>
      </c>
      <c r="E251" s="17" t="str">
        <f aca="false">IF($A251="","",物件マスタ!H251)</f>
        <v>その他東京23区</v>
      </c>
      <c r="F251" s="48" t="n">
        <f aca="false">IF($A251="","",物件マスタ!P251)</f>
        <v>43313</v>
      </c>
      <c r="G251" s="34" t="n">
        <f aca="false">IF($A251="","",物件マスタ!Q251)</f>
        <v>8</v>
      </c>
      <c r="H251" s="49" t="n">
        <f aca="false">IF($A251="","",物件マスタ!L251)</f>
        <v>3668.1</v>
      </c>
      <c r="I251" s="49" t="n">
        <f aca="false">IF($A251="","",物件マスタ!M251)</f>
        <v>3663.23</v>
      </c>
      <c r="J251" s="43" t="n">
        <f aca="false">IF($A251="","",物件マスタ!S251)</f>
        <v>6700</v>
      </c>
      <c r="K251" s="43" t="n">
        <f aca="false">IF($A251="","",物件マスタ!U251)</f>
        <v>7390</v>
      </c>
      <c r="L251" s="50" t="n">
        <f aca="false">IF($A251="","",物件マスタ!W251)</f>
        <v>1</v>
      </c>
      <c r="M251" s="17" t="str">
        <f aca="false">IF($A251="","",IFERROR(INDEX(法人マスタ!$H:$H,MATCH($B251,法人マスタ!$A:$A,0)),""))</f>
        <v>2025年12月期（第48期）</v>
      </c>
      <c r="N251" s="51" t="n">
        <f aca="false">IF($A251="","",SUMIFS(物件収支!$D:$D,物件収支!$A:$A,$A251,物件収支!$C:$C,$M251))</f>
        <v>6</v>
      </c>
      <c r="O251" s="43" t="n">
        <f aca="false">IF($A251="","",SUMIFS(物件収支!$F:$F,物件収支!$A:$A,$A251,物件収支!$C:$C,$M251))</f>
        <v>0</v>
      </c>
      <c r="P251" s="43" t="n">
        <f aca="false">IF($A251="","",SUMIFS(物件収支!$I:$I,物件収支!$A:$A,$A251,物件収支!$C:$C,$M251))</f>
        <v>0</v>
      </c>
      <c r="Q251" s="43" t="n">
        <f aca="false">IF($A251="","",SUMIFS(物件収支!$O:$O,物件収支!$A:$A,$A251,物件収支!$C:$C,$M251))</f>
        <v>0</v>
      </c>
      <c r="R251" s="43" t="str">
        <f aca="false">IF($A251="","",IF(P251=0,"",O251-P251))</f>
        <v/>
      </c>
      <c r="S251" s="43" t="str">
        <f aca="false">IF($A251="","",IF(R251="","",R251+Q251))</f>
        <v/>
      </c>
      <c r="T251" s="43" t="str">
        <f aca="false">IF($A251="","",IF(OR(S251="",N251&lt;=0),"",S251/1000*12/N251))</f>
        <v/>
      </c>
      <c r="U251" s="52" t="str">
        <f aca="false">IF($A251="","",IF(OR(T251="",J251=0,J251=""),"",T251/J251))</f>
        <v/>
      </c>
      <c r="V251" s="52" t="str">
        <f aca="false">IF($A251="","",IF(OR(R251="",N251&lt;=0,J251=0,J251=""),"",(R251/1000*12/N251)/J251))</f>
        <v/>
      </c>
      <c r="W251" s="52" t="str">
        <f aca="false">IF($A251="","",IF(OR(T251="",K251=0,K251=""),"",T251/K251))</f>
        <v/>
      </c>
      <c r="X251" s="43" t="str">
        <f aca="false">IF($A251="","",IF(OR(N251&lt;=0,I251=0,I251="",O251=0),"",O251*1000/(I251*0.3025)/N251))</f>
        <v/>
      </c>
      <c r="Y251" s="50" t="str">
        <f aca="false">IF($A251="","",IF(OR(O251=0,O251="",P251=0),"",P251/O251))</f>
        <v/>
      </c>
      <c r="Z251" s="17" t="str">
        <f aca="false">IF($A251="","",IFERROR(INDEX(物件収支!$E:$E,MATCH($A251,物件収支!$A:$A,0)),""))</f>
        <v>非開示（テナント同意なし）</v>
      </c>
    </row>
    <row r="252" customFormat="false" ht="15" hidden="false" customHeight="true" outlineLevel="0" collapsed="false">
      <c r="A252" s="17" t="str">
        <f aca="false">IF(物件マスタ!A252="","",物件マスタ!A252)</f>
        <v>JPR-53</v>
      </c>
      <c r="B252" s="17" t="str">
        <f aca="false">IF($A252="","",物件マスタ!B252)</f>
        <v>JPR</v>
      </c>
      <c r="C252" s="17" t="str">
        <f aca="false">IF($A252="","",IFERROR(INDEX(法人マスタ!$C:$C,MATCH($B252,法人マスタ!$A:$A,0)),""))</f>
        <v>日本プライムリアルティ投資法人</v>
      </c>
      <c r="D252" s="17" t="str">
        <f aca="false">IF($A252="","",物件マスタ!C252)</f>
        <v>新潟駅南センタービル</v>
      </c>
      <c r="E252" s="17" t="str">
        <f aca="false">IF($A252="","",物件マスタ!H252)</f>
        <v>3大都市圏以外の政令市</v>
      </c>
      <c r="F252" s="48" t="n">
        <f aca="false">IF($A252="","",物件マスタ!P252)</f>
        <v>35125</v>
      </c>
      <c r="G252" s="34" t="n">
        <f aca="false">IF($A252="","",物件マスタ!Q252)</f>
        <v>30.4</v>
      </c>
      <c r="H252" s="49" t="n">
        <f aca="false">IF($A252="","",物件マスタ!L252)</f>
        <v>19950.42</v>
      </c>
      <c r="I252" s="49" t="n">
        <f aca="false">IF($A252="","",物件マスタ!M252)</f>
        <v>5327.48</v>
      </c>
      <c r="J252" s="43" t="n">
        <f aca="false">IF($A252="","",物件マスタ!S252)</f>
        <v>2140</v>
      </c>
      <c r="K252" s="43" t="n">
        <f aca="false">IF($A252="","",物件マスタ!U252)</f>
        <v>2090</v>
      </c>
      <c r="L252" s="50" t="n">
        <f aca="false">IF($A252="","",物件マスタ!W252)</f>
        <v>1</v>
      </c>
      <c r="M252" s="17" t="str">
        <f aca="false">IF($A252="","",IFERROR(INDEX(法人マスタ!$H:$H,MATCH($B252,法人マスタ!$A:$A,0)),""))</f>
        <v>2025年12月期（第48期）</v>
      </c>
      <c r="N252" s="51" t="n">
        <f aca="false">IF($A252="","",SUMIFS(物件収支!$D:$D,物件収支!$A:$A,$A252,物件収支!$C:$C,$M252))</f>
        <v>6</v>
      </c>
      <c r="O252" s="43" t="n">
        <f aca="false">IF($A252="","",SUMIFS(物件収支!$F:$F,物件収支!$A:$A,$A252,物件収支!$C:$C,$M252))</f>
        <v>126555</v>
      </c>
      <c r="P252" s="43" t="n">
        <f aca="false">IF($A252="","",SUMIFS(物件収支!$I:$I,物件収支!$A:$A,$A252,物件収支!$C:$C,$M252))</f>
        <v>0</v>
      </c>
      <c r="Q252" s="43" t="n">
        <f aca="false">IF($A252="","",SUMIFS(物件収支!$O:$O,物件収支!$A:$A,$A252,物件収支!$C:$C,$M252))</f>
        <v>0</v>
      </c>
      <c r="R252" s="43" t="str">
        <f aca="false">IF($A252="","",IF(P252=0,"",O252-P252))</f>
        <v/>
      </c>
      <c r="S252" s="43" t="str">
        <f aca="false">IF($A252="","",IF(R252="","",R252+Q252))</f>
        <v/>
      </c>
      <c r="T252" s="43" t="str">
        <f aca="false">IF($A252="","",IF(OR(S252="",N252&lt;=0),"",S252/1000*12/N252))</f>
        <v/>
      </c>
      <c r="U252" s="52" t="str">
        <f aca="false">IF($A252="","",IF(OR(T252="",J252=0,J252=""),"",T252/J252))</f>
        <v/>
      </c>
      <c r="V252" s="52" t="str">
        <f aca="false">IF($A252="","",IF(OR(R252="",N252&lt;=0,J252=0,J252=""),"",(R252/1000*12/N252)/J252))</f>
        <v/>
      </c>
      <c r="W252" s="52" t="str">
        <f aca="false">IF($A252="","",IF(OR(T252="",K252=0,K252=""),"",T252/K252))</f>
        <v/>
      </c>
      <c r="X252" s="43" t="n">
        <f aca="false">IF($A252="","",IF(OR(N252&lt;=0,I252=0,I252="",O252=0),"",O252*1000/(I252*0.3025)/N252))</f>
        <v>13088.2279665569</v>
      </c>
      <c r="Y252" s="50" t="str">
        <f aca="false">IF($A252="","",IF(OR(O252=0,O252="",P252=0),"",P252/O252))</f>
        <v/>
      </c>
      <c r="Z252" s="17" t="str">
        <f aca="false">IF($A252="","",IFERROR(INDEX(物件収支!$E:$E,MATCH($A252,物件収支!$A:$A,0)),""))</f>
        <v>開示（物件別・収益のみ）</v>
      </c>
    </row>
    <row r="253" customFormat="false" ht="15" hidden="false" customHeight="true" outlineLevel="0" collapsed="false">
      <c r="A253" s="17" t="str">
        <f aca="false">IF(物件マスタ!A253="","",物件マスタ!A253)</f>
        <v>JPR-54</v>
      </c>
      <c r="B253" s="17" t="str">
        <f aca="false">IF($A253="","",物件マスタ!B253)</f>
        <v>JPR</v>
      </c>
      <c r="C253" s="17" t="str">
        <f aca="false">IF($A253="","",IFERROR(INDEX(法人マスタ!$C:$C,MATCH($B253,法人マスタ!$A:$A,0)),""))</f>
        <v>日本プライムリアルティ投資法人</v>
      </c>
      <c r="D253" s="17" t="str">
        <f aca="false">IF($A253="","",物件マスタ!C253)</f>
        <v>ＪＰＲ那覇ビル</v>
      </c>
      <c r="E253" s="17" t="str">
        <f aca="false">IF($A253="","",物件マスタ!H253)</f>
        <v>その他地方都市</v>
      </c>
      <c r="F253" s="48" t="n">
        <f aca="false">IF($A253="","",物件マスタ!P253)</f>
        <v>33512</v>
      </c>
      <c r="G253" s="34" t="n">
        <f aca="false">IF($A253="","",物件マスタ!Q253)</f>
        <v>34.9</v>
      </c>
      <c r="H253" s="49" t="n">
        <f aca="false">IF($A253="","",物件マスタ!L253)</f>
        <v>5780.71</v>
      </c>
      <c r="I253" s="49" t="n">
        <f aca="false">IF($A253="","",物件マスタ!M253)</f>
        <v>3944.5</v>
      </c>
      <c r="J253" s="43" t="n">
        <f aca="false">IF($A253="","",物件マスタ!S253)</f>
        <v>1560</v>
      </c>
      <c r="K253" s="43" t="n">
        <f aca="false">IF($A253="","",物件マスタ!U253)</f>
        <v>2460</v>
      </c>
      <c r="L253" s="50" t="n">
        <f aca="false">IF($A253="","",物件マスタ!W253)</f>
        <v>0.947</v>
      </c>
      <c r="M253" s="17" t="str">
        <f aca="false">IF($A253="","",IFERROR(INDEX(法人マスタ!$H:$H,MATCH($B253,法人マスタ!$A:$A,0)),""))</f>
        <v>2025年12月期（第48期）</v>
      </c>
      <c r="N253" s="51" t="n">
        <f aca="false">IF($A253="","",SUMIFS(物件収支!$D:$D,物件収支!$A:$A,$A253,物件収支!$C:$C,$M253))</f>
        <v>6</v>
      </c>
      <c r="O253" s="43" t="n">
        <f aca="false">IF($A253="","",SUMIFS(物件収支!$F:$F,物件収支!$A:$A,$A253,物件収支!$C:$C,$M253))</f>
        <v>115117</v>
      </c>
      <c r="P253" s="43" t="n">
        <f aca="false">IF($A253="","",SUMIFS(物件収支!$I:$I,物件収支!$A:$A,$A253,物件収支!$C:$C,$M253))</f>
        <v>0</v>
      </c>
      <c r="Q253" s="43" t="n">
        <f aca="false">IF($A253="","",SUMIFS(物件収支!$O:$O,物件収支!$A:$A,$A253,物件収支!$C:$C,$M253))</f>
        <v>0</v>
      </c>
      <c r="R253" s="43" t="str">
        <f aca="false">IF($A253="","",IF(P253=0,"",O253-P253))</f>
        <v/>
      </c>
      <c r="S253" s="43" t="str">
        <f aca="false">IF($A253="","",IF(R253="","",R253+Q253))</f>
        <v/>
      </c>
      <c r="T253" s="43" t="str">
        <f aca="false">IF($A253="","",IF(OR(S253="",N253&lt;=0),"",S253/1000*12/N253))</f>
        <v/>
      </c>
      <c r="U253" s="52" t="str">
        <f aca="false">IF($A253="","",IF(OR(T253="",J253=0,J253=""),"",T253/J253))</f>
        <v/>
      </c>
      <c r="V253" s="52" t="str">
        <f aca="false">IF($A253="","",IF(OR(R253="",N253&lt;=0,J253=0,J253=""),"",(R253/1000*12/N253)/J253))</f>
        <v/>
      </c>
      <c r="W253" s="52" t="str">
        <f aca="false">IF($A253="","",IF(OR(T253="",K253=0,K253=""),"",T253/K253))</f>
        <v/>
      </c>
      <c r="X253" s="43" t="n">
        <f aca="false">IF($A253="","",IF(OR(N253&lt;=0,I253=0,I253="",O253=0),"",O253*1000/(I253*0.3025)/N253))</f>
        <v>16079.4382944903</v>
      </c>
      <c r="Y253" s="50" t="str">
        <f aca="false">IF($A253="","",IF(OR(O253=0,O253="",P253=0),"",P253/O253))</f>
        <v/>
      </c>
      <c r="Z253" s="17" t="str">
        <f aca="false">IF($A253="","",IFERROR(INDEX(物件収支!$E:$E,MATCH($A253,物件収支!$A:$A,0)),""))</f>
        <v>開示（物件別・収益のみ）</v>
      </c>
    </row>
    <row r="254" customFormat="false" ht="15" hidden="false" customHeight="true" outlineLevel="0" collapsed="false">
      <c r="A254" s="17" t="str">
        <f aca="false">IF(物件マスタ!A254="","",物件マスタ!A254)</f>
        <v>JPR-55</v>
      </c>
      <c r="B254" s="17" t="str">
        <f aca="false">IF($A254="","",物件マスタ!B254)</f>
        <v>JPR</v>
      </c>
      <c r="C254" s="17" t="str">
        <f aca="false">IF($A254="","",IFERROR(INDEX(法人マスタ!$C:$C,MATCH($B254,法人マスタ!$A:$A,0)),""))</f>
        <v>日本プライムリアルティ投資法人</v>
      </c>
      <c r="D254" s="17" t="str">
        <f aca="false">IF($A254="","",物件マスタ!C254)</f>
        <v>損保ジャパン仙台ビル</v>
      </c>
      <c r="E254" s="17" t="str">
        <f aca="false">IF($A254="","",物件マスタ!H254)</f>
        <v>3大都市圏以外の政令市</v>
      </c>
      <c r="F254" s="48" t="n">
        <f aca="false">IF($A254="","",物件マスタ!P254)</f>
        <v>35765</v>
      </c>
      <c r="G254" s="34" t="n">
        <f aca="false">IF($A254="","",物件マスタ!Q254)</f>
        <v>28.7</v>
      </c>
      <c r="H254" s="49" t="n">
        <f aca="false">IF($A254="","",物件マスタ!L254)</f>
        <v>10783.52</v>
      </c>
      <c r="I254" s="49" t="n">
        <f aca="false">IF($A254="","",物件マスタ!M254)</f>
        <v>7107.9</v>
      </c>
      <c r="J254" s="43" t="n">
        <f aca="false">IF($A254="","",物件マスタ!S254)</f>
        <v>3150</v>
      </c>
      <c r="K254" s="43" t="n">
        <f aca="false">IF($A254="","",物件マスタ!U254)</f>
        <v>4160</v>
      </c>
      <c r="L254" s="50" t="n">
        <f aca="false">IF($A254="","",物件マスタ!W254)</f>
        <v>0.965</v>
      </c>
      <c r="M254" s="17" t="str">
        <f aca="false">IF($A254="","",IFERROR(INDEX(法人マスタ!$H:$H,MATCH($B254,法人マスタ!$A:$A,0)),""))</f>
        <v>2025年12月期（第48期）</v>
      </c>
      <c r="N254" s="51" t="n">
        <f aca="false">IF($A254="","",SUMIFS(物件収支!$D:$D,物件収支!$A:$A,$A254,物件収支!$C:$C,$M254))</f>
        <v>6</v>
      </c>
      <c r="O254" s="43" t="n">
        <f aca="false">IF($A254="","",SUMIFS(物件収支!$F:$F,物件収支!$A:$A,$A254,物件収支!$C:$C,$M254))</f>
        <v>192245</v>
      </c>
      <c r="P254" s="43" t="n">
        <f aca="false">IF($A254="","",SUMIFS(物件収支!$I:$I,物件収支!$A:$A,$A254,物件収支!$C:$C,$M254))</f>
        <v>0</v>
      </c>
      <c r="Q254" s="43" t="n">
        <f aca="false">IF($A254="","",SUMIFS(物件収支!$O:$O,物件収支!$A:$A,$A254,物件収支!$C:$C,$M254))</f>
        <v>0</v>
      </c>
      <c r="R254" s="43" t="str">
        <f aca="false">IF($A254="","",IF(P254=0,"",O254-P254))</f>
        <v/>
      </c>
      <c r="S254" s="43" t="str">
        <f aca="false">IF($A254="","",IF(R254="","",R254+Q254))</f>
        <v/>
      </c>
      <c r="T254" s="43" t="str">
        <f aca="false">IF($A254="","",IF(OR(S254="",N254&lt;=0),"",S254/1000*12/N254))</f>
        <v/>
      </c>
      <c r="U254" s="52" t="str">
        <f aca="false">IF($A254="","",IF(OR(T254="",J254=0,J254=""),"",T254/J254))</f>
        <v/>
      </c>
      <c r="V254" s="52" t="str">
        <f aca="false">IF($A254="","",IF(OR(R254="",N254&lt;=0,J254=0,J254=""),"",(R254/1000*12/N254)/J254))</f>
        <v/>
      </c>
      <c r="W254" s="52" t="str">
        <f aca="false">IF($A254="","",IF(OR(T254="",K254=0,K254=""),"",T254/K254))</f>
        <v/>
      </c>
      <c r="X254" s="43" t="n">
        <f aca="false">IF($A254="","",IF(OR(N254&lt;=0,I254=0,I254="",O254=0),"",O254*1000/(I254*0.3025)/N254))</f>
        <v>14901.7445648979</v>
      </c>
      <c r="Y254" s="50" t="str">
        <f aca="false">IF($A254="","",IF(OR(O254=0,O254="",P254=0),"",P254/O254))</f>
        <v/>
      </c>
      <c r="Z254" s="17" t="str">
        <f aca="false">IF($A254="","",IFERROR(INDEX(物件収支!$E:$E,MATCH($A254,物件収支!$A:$A,0)),""))</f>
        <v>開示（物件別・収益のみ）</v>
      </c>
    </row>
    <row r="255" customFormat="false" ht="15" hidden="false" customHeight="true" outlineLevel="0" collapsed="false">
      <c r="A255" s="17" t="str">
        <f aca="false">IF(物件マスタ!A255="","",物件マスタ!A255)</f>
        <v>JPR-56</v>
      </c>
      <c r="B255" s="17" t="str">
        <f aca="false">IF($A255="","",物件マスタ!B255)</f>
        <v>JPR</v>
      </c>
      <c r="C255" s="17" t="str">
        <f aca="false">IF($A255="","",IFERROR(INDEX(法人マスタ!$C:$C,MATCH($B255,法人マスタ!$A:$A,0)),""))</f>
        <v>日本プライムリアルティ投資法人</v>
      </c>
      <c r="D255" s="17" t="str">
        <f aca="false">IF($A255="","",物件マスタ!C255)</f>
        <v>損保ジャパン和歌山ビル</v>
      </c>
      <c r="E255" s="17" t="str">
        <f aca="false">IF($A255="","",物件マスタ!H255)</f>
        <v>その他地方都市</v>
      </c>
      <c r="F255" s="48" t="n">
        <f aca="false">IF($A255="","",物件マスタ!P255)</f>
        <v>35247</v>
      </c>
      <c r="G255" s="34" t="n">
        <f aca="false">IF($A255="","",物件マスタ!Q255)</f>
        <v>30.1</v>
      </c>
      <c r="H255" s="49" t="n">
        <f aca="false">IF($A255="","",物件マスタ!L255)</f>
        <v>6715.07</v>
      </c>
      <c r="I255" s="49" t="n">
        <f aca="false">IF($A255="","",物件マスタ!M255)</f>
        <v>4866.34</v>
      </c>
      <c r="J255" s="43" t="n">
        <f aca="false">IF($A255="","",物件マスタ!S255)</f>
        <v>1670</v>
      </c>
      <c r="K255" s="43" t="n">
        <f aca="false">IF($A255="","",物件マスタ!U255)</f>
        <v>1500</v>
      </c>
      <c r="L255" s="50" t="n">
        <f aca="false">IF($A255="","",物件マスタ!W255)</f>
        <v>0.983</v>
      </c>
      <c r="M255" s="17" t="str">
        <f aca="false">IF($A255="","",IFERROR(INDEX(法人マスタ!$H:$H,MATCH($B255,法人マスタ!$A:$A,0)),""))</f>
        <v>2025年12月期（第48期）</v>
      </c>
      <c r="N255" s="51" t="n">
        <f aca="false">IF($A255="","",SUMIFS(物件収支!$D:$D,物件収支!$A:$A,$A255,物件収支!$C:$C,$M255))</f>
        <v>6</v>
      </c>
      <c r="O255" s="43" t="n">
        <f aca="false">IF($A255="","",SUMIFS(物件収支!$F:$F,物件収支!$A:$A,$A255,物件収支!$C:$C,$M255))</f>
        <v>105755</v>
      </c>
      <c r="P255" s="43" t="n">
        <f aca="false">IF($A255="","",SUMIFS(物件収支!$I:$I,物件収支!$A:$A,$A255,物件収支!$C:$C,$M255))</f>
        <v>0</v>
      </c>
      <c r="Q255" s="43" t="n">
        <f aca="false">IF($A255="","",SUMIFS(物件収支!$O:$O,物件収支!$A:$A,$A255,物件収支!$C:$C,$M255))</f>
        <v>0</v>
      </c>
      <c r="R255" s="43" t="str">
        <f aca="false">IF($A255="","",IF(P255=0,"",O255-P255))</f>
        <v/>
      </c>
      <c r="S255" s="43" t="str">
        <f aca="false">IF($A255="","",IF(R255="","",R255+Q255))</f>
        <v/>
      </c>
      <c r="T255" s="43" t="str">
        <f aca="false">IF($A255="","",IF(OR(S255="",N255&lt;=0),"",S255/1000*12/N255))</f>
        <v/>
      </c>
      <c r="U255" s="52" t="str">
        <f aca="false">IF($A255="","",IF(OR(T255="",J255=0,J255=""),"",T255/J255))</f>
        <v/>
      </c>
      <c r="V255" s="52" t="str">
        <f aca="false">IF($A255="","",IF(OR(R255="",N255&lt;=0,J255=0,J255=""),"",(R255/1000*12/N255)/J255))</f>
        <v/>
      </c>
      <c r="W255" s="52" t="str">
        <f aca="false">IF($A255="","",IF(OR(T255="",K255=0,K255=""),"",T255/K255))</f>
        <v/>
      </c>
      <c r="X255" s="43" t="n">
        <f aca="false">IF($A255="","",IF(OR(N255&lt;=0,I255=0,I255="",O255=0),"",O255*1000/(I255*0.3025)/N255))</f>
        <v>11973.5196535495</v>
      </c>
      <c r="Y255" s="50" t="str">
        <f aca="false">IF($A255="","",IF(OR(O255=0,O255="",P255=0),"",P255/O255))</f>
        <v/>
      </c>
      <c r="Z255" s="17" t="str">
        <f aca="false">IF($A255="","",IFERROR(INDEX(物件収支!$E:$E,MATCH($A255,物件収支!$A:$A,0)),""))</f>
        <v>開示（物件別・収益のみ）</v>
      </c>
    </row>
    <row r="256" customFormat="false" ht="15" hidden="false" customHeight="true" outlineLevel="0" collapsed="false">
      <c r="A256" s="17" t="str">
        <f aca="false">IF(物件マスタ!A256="","",物件マスタ!A256)</f>
        <v>JPR-57</v>
      </c>
      <c r="B256" s="17" t="str">
        <f aca="false">IF($A256="","",物件マスタ!B256)</f>
        <v>JPR</v>
      </c>
      <c r="C256" s="17" t="str">
        <f aca="false">IF($A256="","",IFERROR(INDEX(法人マスタ!$C:$C,MATCH($B256,法人マスタ!$A:$A,0)),""))</f>
        <v>日本プライムリアルティ投資法人</v>
      </c>
      <c r="D256" s="17" t="str">
        <f aca="false">IF($A256="","",物件マスタ!C256)</f>
        <v>天神１２１ビル</v>
      </c>
      <c r="E256" s="17" t="str">
        <f aca="false">IF($A256="","",物件マスタ!H256)</f>
        <v>3大都市圏以外の政令市</v>
      </c>
      <c r="F256" s="48" t="n">
        <f aca="false">IF($A256="","",物件マスタ!P256)</f>
        <v>36708</v>
      </c>
      <c r="G256" s="34" t="n">
        <f aca="false">IF($A256="","",物件マスタ!Q256)</f>
        <v>26.1</v>
      </c>
      <c r="H256" s="49" t="n">
        <f aca="false">IF($A256="","",物件マスタ!L256)</f>
        <v>8690.95</v>
      </c>
      <c r="I256" s="49" t="n">
        <f aca="false">IF($A256="","",物件マスタ!M256)</f>
        <v>3258.68</v>
      </c>
      <c r="J256" s="43" t="n">
        <f aca="false">IF($A256="","",物件マスタ!S256)</f>
        <v>2810</v>
      </c>
      <c r="K256" s="43" t="n">
        <f aca="false">IF($A256="","",物件マスタ!U256)</f>
        <v>4040</v>
      </c>
      <c r="L256" s="50" t="n">
        <f aca="false">IF($A256="","",物件マスタ!W256)</f>
        <v>1</v>
      </c>
      <c r="M256" s="17" t="str">
        <f aca="false">IF($A256="","",IFERROR(INDEX(法人マスタ!$H:$H,MATCH($B256,法人マスタ!$A:$A,0)),""))</f>
        <v>2025年12月期（第48期）</v>
      </c>
      <c r="N256" s="51" t="n">
        <f aca="false">IF($A256="","",SUMIFS(物件収支!$D:$D,物件収支!$A:$A,$A256,物件収支!$C:$C,$M256))</f>
        <v>6</v>
      </c>
      <c r="O256" s="43" t="n">
        <f aca="false">IF($A256="","",SUMIFS(物件収支!$F:$F,物件収支!$A:$A,$A256,物件収支!$C:$C,$M256))</f>
        <v>126844</v>
      </c>
      <c r="P256" s="43" t="n">
        <f aca="false">IF($A256="","",SUMIFS(物件収支!$I:$I,物件収支!$A:$A,$A256,物件収支!$C:$C,$M256))</f>
        <v>0</v>
      </c>
      <c r="Q256" s="43" t="n">
        <f aca="false">IF($A256="","",SUMIFS(物件収支!$O:$O,物件収支!$A:$A,$A256,物件収支!$C:$C,$M256))</f>
        <v>0</v>
      </c>
      <c r="R256" s="43" t="str">
        <f aca="false">IF($A256="","",IF(P256=0,"",O256-P256))</f>
        <v/>
      </c>
      <c r="S256" s="43" t="str">
        <f aca="false">IF($A256="","",IF(R256="","",R256+Q256))</f>
        <v/>
      </c>
      <c r="T256" s="43" t="str">
        <f aca="false">IF($A256="","",IF(OR(S256="",N256&lt;=0),"",S256/1000*12/N256))</f>
        <v/>
      </c>
      <c r="U256" s="52" t="str">
        <f aca="false">IF($A256="","",IF(OR(T256="",J256=0,J256=""),"",T256/J256))</f>
        <v/>
      </c>
      <c r="V256" s="52" t="str">
        <f aca="false">IF($A256="","",IF(OR(R256="",N256&lt;=0,J256=0,J256=""),"",(R256/1000*12/N256)/J256))</f>
        <v/>
      </c>
      <c r="W256" s="52" t="str">
        <f aca="false">IF($A256="","",IF(OR(T256="",K256=0,K256=""),"",T256/K256))</f>
        <v/>
      </c>
      <c r="X256" s="43" t="n">
        <f aca="false">IF($A256="","",IF(OR(N256&lt;=0,I256=0,I256="",O256=0),"",O256*1000/(I256*0.3025)/N256))</f>
        <v>21446.2608717059</v>
      </c>
      <c r="Y256" s="50" t="str">
        <f aca="false">IF($A256="","",IF(OR(O256=0,O256="",P256=0),"",P256/O256))</f>
        <v/>
      </c>
      <c r="Z256" s="17" t="str">
        <f aca="false">IF($A256="","",IFERROR(INDEX(物件収支!$E:$E,MATCH($A256,物件収支!$A:$A,0)),""))</f>
        <v>開示（物件別・収益のみ）</v>
      </c>
    </row>
    <row r="257" customFormat="false" ht="15" hidden="false" customHeight="true" outlineLevel="0" collapsed="false">
      <c r="A257" s="17" t="str">
        <f aca="false">IF(物件マスタ!A257="","",物件マスタ!A257)</f>
        <v>JPR-58</v>
      </c>
      <c r="B257" s="17" t="str">
        <f aca="false">IF($A257="","",物件マスタ!B257)</f>
        <v>JPR</v>
      </c>
      <c r="C257" s="17" t="str">
        <f aca="false">IF($A257="","",IFERROR(INDEX(法人マスタ!$C:$C,MATCH($B257,法人マスタ!$A:$A,0)),""))</f>
        <v>日本プライムリアルティ投資法人</v>
      </c>
      <c r="D257" s="17" t="str">
        <f aca="false">IF($A257="","",物件マスタ!C257)</f>
        <v>ＪＰＲ堂島ビル</v>
      </c>
      <c r="E257" s="17" t="str">
        <f aca="false">IF($A257="","",物件マスタ!H257)</f>
        <v>その他3大都市圏</v>
      </c>
      <c r="F257" s="48" t="n">
        <f aca="false">IF($A257="","",物件マスタ!P257)</f>
        <v>34243</v>
      </c>
      <c r="G257" s="34" t="n">
        <f aca="false">IF($A257="","",物件マスタ!Q257)</f>
        <v>32.9</v>
      </c>
      <c r="H257" s="49" t="n">
        <f aca="false">IF($A257="","",物件マスタ!L257)</f>
        <v>5696.01</v>
      </c>
      <c r="I257" s="49" t="n">
        <f aca="false">IF($A257="","",物件マスタ!M257)</f>
        <v>3917.91</v>
      </c>
      <c r="J257" s="43" t="n">
        <f aca="false">IF($A257="","",物件マスタ!S257)</f>
        <v>2140</v>
      </c>
      <c r="K257" s="43" t="n">
        <f aca="false">IF($A257="","",物件マスタ!U257)</f>
        <v>4200</v>
      </c>
      <c r="L257" s="50" t="n">
        <f aca="false">IF($A257="","",物件マスタ!W257)</f>
        <v>1</v>
      </c>
      <c r="M257" s="17" t="str">
        <f aca="false">IF($A257="","",IFERROR(INDEX(法人マスタ!$H:$H,MATCH($B257,法人マスタ!$A:$A,0)),""))</f>
        <v>2025年12月期（第48期）</v>
      </c>
      <c r="N257" s="51" t="n">
        <f aca="false">IF($A257="","",SUMIFS(物件収支!$D:$D,物件収支!$A:$A,$A257,物件収支!$C:$C,$M257))</f>
        <v>6</v>
      </c>
      <c r="O257" s="43" t="n">
        <f aca="false">IF($A257="","",SUMIFS(物件収支!$F:$F,物件収支!$A:$A,$A257,物件収支!$C:$C,$M257))</f>
        <v>141893</v>
      </c>
      <c r="P257" s="43" t="n">
        <f aca="false">IF($A257="","",SUMIFS(物件収支!$I:$I,物件収支!$A:$A,$A257,物件収支!$C:$C,$M257))</f>
        <v>0</v>
      </c>
      <c r="Q257" s="43" t="n">
        <f aca="false">IF($A257="","",SUMIFS(物件収支!$O:$O,物件収支!$A:$A,$A257,物件収支!$C:$C,$M257))</f>
        <v>0</v>
      </c>
      <c r="R257" s="43" t="str">
        <f aca="false">IF($A257="","",IF(P257=0,"",O257-P257))</f>
        <v/>
      </c>
      <c r="S257" s="43" t="str">
        <f aca="false">IF($A257="","",IF(R257="","",R257+Q257))</f>
        <v/>
      </c>
      <c r="T257" s="43" t="str">
        <f aca="false">IF($A257="","",IF(OR(S257="",N257&lt;=0),"",S257/1000*12/N257))</f>
        <v/>
      </c>
      <c r="U257" s="52" t="str">
        <f aca="false">IF($A257="","",IF(OR(T257="",J257=0,J257=""),"",T257/J257))</f>
        <v/>
      </c>
      <c r="V257" s="52" t="str">
        <f aca="false">IF($A257="","",IF(OR(R257="",N257&lt;=0,J257=0,J257=""),"",(R257/1000*12/N257)/J257))</f>
        <v/>
      </c>
      <c r="W257" s="52" t="str">
        <f aca="false">IF($A257="","",IF(OR(T257="",K257=0,K257=""),"",T257/K257))</f>
        <v/>
      </c>
      <c r="X257" s="43" t="n">
        <f aca="false">IF($A257="","",IF(OR(N257&lt;=0,I257=0,I257="",O257=0),"",O257*1000/(I257*0.3025)/N257))</f>
        <v>19953.996246087</v>
      </c>
      <c r="Y257" s="50" t="str">
        <f aca="false">IF($A257="","",IF(OR(O257=0,O257="",P257=0),"",P257/O257))</f>
        <v/>
      </c>
      <c r="Z257" s="17" t="str">
        <f aca="false">IF($A257="","",IFERROR(INDEX(物件収支!$E:$E,MATCH($A257,物件収支!$A:$A,0)),""))</f>
        <v>開示（物件別・収益のみ）</v>
      </c>
    </row>
    <row r="258" customFormat="false" ht="15" hidden="false" customHeight="true" outlineLevel="0" collapsed="false">
      <c r="A258" s="17" t="str">
        <f aca="false">IF(物件マスタ!A258="","",物件マスタ!A258)</f>
        <v>JPR-59</v>
      </c>
      <c r="B258" s="17" t="str">
        <f aca="false">IF($A258="","",物件マスタ!B258)</f>
        <v>JPR</v>
      </c>
      <c r="C258" s="17" t="str">
        <f aca="false">IF($A258="","",IFERROR(INDEX(法人マスタ!$C:$C,MATCH($B258,法人マスタ!$A:$A,0)),""))</f>
        <v>日本プライムリアルティ投資法人</v>
      </c>
      <c r="D258" s="17" t="str">
        <f aca="false">IF($A258="","",物件マスタ!C258)</f>
        <v>薬院ビジネスガーデン</v>
      </c>
      <c r="E258" s="17" t="str">
        <f aca="false">IF($A258="","",物件マスタ!H258)</f>
        <v>3大都市圏以外の政令市</v>
      </c>
      <c r="F258" s="48" t="n">
        <f aca="false">IF($A258="","",物件マスタ!P258)</f>
        <v>39814</v>
      </c>
      <c r="G258" s="34" t="n">
        <f aca="false">IF($A258="","",物件マスタ!Q258)</f>
        <v>17.6</v>
      </c>
      <c r="H258" s="49" t="n">
        <f aca="false">IF($A258="","",物件マスタ!L258)</f>
        <v>22286.35</v>
      </c>
      <c r="I258" s="49" t="n">
        <f aca="false">IF($A258="","",物件マスタ!M258)</f>
        <v>16654.33</v>
      </c>
      <c r="J258" s="43" t="n">
        <f aca="false">IF($A258="","",物件マスタ!S258)</f>
        <v>10996</v>
      </c>
      <c r="K258" s="43" t="n">
        <f aca="false">IF($A258="","",物件マスタ!U258)</f>
        <v>24800</v>
      </c>
      <c r="L258" s="50" t="n">
        <f aca="false">IF($A258="","",物件マスタ!W258)</f>
        <v>0.999</v>
      </c>
      <c r="M258" s="17" t="str">
        <f aca="false">IF($A258="","",IFERROR(INDEX(法人マスタ!$H:$H,MATCH($B258,法人マスタ!$A:$A,0)),""))</f>
        <v>2025年12月期（第48期）</v>
      </c>
      <c r="N258" s="51" t="n">
        <f aca="false">IF($A258="","",SUMIFS(物件収支!$D:$D,物件収支!$A:$A,$A258,物件収支!$C:$C,$M258))</f>
        <v>6</v>
      </c>
      <c r="O258" s="43" t="n">
        <f aca="false">IF($A258="","",SUMIFS(物件収支!$F:$F,物件収支!$A:$A,$A258,物件収支!$C:$C,$M258))</f>
        <v>602639</v>
      </c>
      <c r="P258" s="43" t="n">
        <f aca="false">IF($A258="","",SUMIFS(物件収支!$I:$I,物件収支!$A:$A,$A258,物件収支!$C:$C,$M258))</f>
        <v>0</v>
      </c>
      <c r="Q258" s="43" t="n">
        <f aca="false">IF($A258="","",SUMIFS(物件収支!$O:$O,物件収支!$A:$A,$A258,物件収支!$C:$C,$M258))</f>
        <v>0</v>
      </c>
      <c r="R258" s="43" t="str">
        <f aca="false">IF($A258="","",IF(P258=0,"",O258-P258))</f>
        <v/>
      </c>
      <c r="S258" s="43" t="str">
        <f aca="false">IF($A258="","",IF(R258="","",R258+Q258))</f>
        <v/>
      </c>
      <c r="T258" s="43" t="str">
        <f aca="false">IF($A258="","",IF(OR(S258="",N258&lt;=0),"",S258/1000*12/N258))</f>
        <v/>
      </c>
      <c r="U258" s="52" t="str">
        <f aca="false">IF($A258="","",IF(OR(T258="",J258=0,J258=""),"",T258/J258))</f>
        <v/>
      </c>
      <c r="V258" s="52" t="str">
        <f aca="false">IF($A258="","",IF(OR(R258="",N258&lt;=0,J258=0,J258=""),"",(R258/1000*12/N258)/J258))</f>
        <v/>
      </c>
      <c r="W258" s="52" t="str">
        <f aca="false">IF($A258="","",IF(OR(T258="",K258=0,K258=""),"",T258/K258))</f>
        <v/>
      </c>
      <c r="X258" s="43" t="n">
        <f aca="false">IF($A258="","",IF(OR(N258&lt;=0,I258=0,I258="",O258=0),"",O258*1000/(I258*0.3025)/N258))</f>
        <v>19936.7075641621</v>
      </c>
      <c r="Y258" s="50" t="str">
        <f aca="false">IF($A258="","",IF(OR(O258=0,O258="",P258=0),"",P258/O258))</f>
        <v/>
      </c>
      <c r="Z258" s="17" t="str">
        <f aca="false">IF($A258="","",IFERROR(INDEX(物件収支!$E:$E,MATCH($A258,物件収支!$A:$A,0)),""))</f>
        <v>開示（物件別・収益のみ）</v>
      </c>
    </row>
    <row r="259" customFormat="false" ht="15" hidden="false" customHeight="true" outlineLevel="0" collapsed="false">
      <c r="A259" s="17" t="str">
        <f aca="false">IF(物件マスタ!A259="","",物件マスタ!A259)</f>
        <v>JPR-60</v>
      </c>
      <c r="B259" s="17" t="str">
        <f aca="false">IF($A259="","",物件マスタ!B259)</f>
        <v>JPR</v>
      </c>
      <c r="C259" s="17" t="str">
        <f aca="false">IF($A259="","",IFERROR(INDEX(法人マスタ!$C:$C,MATCH($B259,法人マスタ!$A:$A,0)),""))</f>
        <v>日本プライムリアルティ投資法人</v>
      </c>
      <c r="D259" s="17" t="str">
        <f aca="false">IF($A259="","",物件マスタ!C259)</f>
        <v>ＪＰＲ心斎橋ビル</v>
      </c>
      <c r="E259" s="17" t="str">
        <f aca="false">IF($A259="","",物件マスタ!H259)</f>
        <v>その他3大都市圏</v>
      </c>
      <c r="F259" s="48" t="n">
        <f aca="false">IF($A259="","",物件マスタ!P259)</f>
        <v>37653</v>
      </c>
      <c r="G259" s="34" t="n">
        <f aca="false">IF($A259="","",物件マスタ!Q259)</f>
        <v>23.5</v>
      </c>
      <c r="H259" s="49" t="n">
        <f aca="false">IF($A259="","",物件マスタ!L259)</f>
        <v>5303.98</v>
      </c>
      <c r="I259" s="49" t="n">
        <f aca="false">IF($A259="","",物件マスタ!M259)</f>
        <v>4021.63</v>
      </c>
      <c r="J259" s="43" t="n">
        <f aca="false">IF($A259="","",物件マスタ!S259)</f>
        <v>5430</v>
      </c>
      <c r="K259" s="43" t="n">
        <f aca="false">IF($A259="","",物件マスタ!U259)</f>
        <v>4640</v>
      </c>
      <c r="L259" s="50" t="n">
        <f aca="false">IF($A259="","",物件マスタ!W259)</f>
        <v>1</v>
      </c>
      <c r="M259" s="17" t="str">
        <f aca="false">IF($A259="","",IFERROR(INDEX(法人マスタ!$H:$H,MATCH($B259,法人マスタ!$A:$A,0)),""))</f>
        <v>2025年12月期（第48期）</v>
      </c>
      <c r="N259" s="51" t="n">
        <f aca="false">IF($A259="","",SUMIFS(物件収支!$D:$D,物件収支!$A:$A,$A259,物件収支!$C:$C,$M259))</f>
        <v>6</v>
      </c>
      <c r="O259" s="43" t="n">
        <f aca="false">IF($A259="","",SUMIFS(物件収支!$F:$F,物件収支!$A:$A,$A259,物件収支!$C:$C,$M259))</f>
        <v>133914</v>
      </c>
      <c r="P259" s="43" t="n">
        <f aca="false">IF($A259="","",SUMIFS(物件収支!$I:$I,物件収支!$A:$A,$A259,物件収支!$C:$C,$M259))</f>
        <v>0</v>
      </c>
      <c r="Q259" s="43" t="n">
        <f aca="false">IF($A259="","",SUMIFS(物件収支!$O:$O,物件収支!$A:$A,$A259,物件収支!$C:$C,$M259))</f>
        <v>0</v>
      </c>
      <c r="R259" s="43" t="str">
        <f aca="false">IF($A259="","",IF(P259=0,"",O259-P259))</f>
        <v/>
      </c>
      <c r="S259" s="43" t="str">
        <f aca="false">IF($A259="","",IF(R259="","",R259+Q259))</f>
        <v/>
      </c>
      <c r="T259" s="43" t="str">
        <f aca="false">IF($A259="","",IF(OR(S259="",N259&lt;=0),"",S259/1000*12/N259))</f>
        <v/>
      </c>
      <c r="U259" s="52" t="str">
        <f aca="false">IF($A259="","",IF(OR(T259="",J259=0,J259=""),"",T259/J259))</f>
        <v/>
      </c>
      <c r="V259" s="52" t="str">
        <f aca="false">IF($A259="","",IF(OR(R259="",N259&lt;=0,J259=0,J259=""),"",(R259/1000*12/N259)/J259))</f>
        <v/>
      </c>
      <c r="W259" s="52" t="str">
        <f aca="false">IF($A259="","",IF(OR(T259="",K259=0,K259=""),"",T259/K259))</f>
        <v/>
      </c>
      <c r="X259" s="43" t="n">
        <f aca="false">IF($A259="","",IF(OR(N259&lt;=0,I259=0,I259="",O259=0),"",O259*1000/(I259*0.3025)/N259))</f>
        <v>18346.2472136468</v>
      </c>
      <c r="Y259" s="50" t="str">
        <f aca="false">IF($A259="","",IF(OR(O259=0,O259="",P259=0),"",P259/O259))</f>
        <v/>
      </c>
      <c r="Z259" s="17" t="str">
        <f aca="false">IF($A259="","",IFERROR(INDEX(物件収支!$E:$E,MATCH($A259,物件収支!$A:$A,0)),""))</f>
        <v>開示（物件別・収益のみ）</v>
      </c>
    </row>
    <row r="260" customFormat="false" ht="15" hidden="false" customHeight="true" outlineLevel="0" collapsed="false">
      <c r="A260" s="17" t="str">
        <f aca="false">IF(物件マスタ!A260="","",物件マスタ!A260)</f>
        <v>JPR-61</v>
      </c>
      <c r="B260" s="17" t="str">
        <f aca="false">IF($A260="","",物件マスタ!B260)</f>
        <v>JPR</v>
      </c>
      <c r="C260" s="17" t="str">
        <f aca="false">IF($A260="","",IFERROR(INDEX(法人マスタ!$C:$C,MATCH($B260,法人マスタ!$A:$A,0)),""))</f>
        <v>日本プライムリアルティ投資法人</v>
      </c>
      <c r="D260" s="17" t="str">
        <f aca="false">IF($A260="","",物件マスタ!C260)</f>
        <v>ＪＰＲ心斎橋ウエスト</v>
      </c>
      <c r="E260" s="17" t="str">
        <f aca="false">IF($A260="","",物件マスタ!H260)</f>
        <v>その他3大都市圏</v>
      </c>
      <c r="F260" s="48" t="n">
        <f aca="false">IF($A260="","",物件マスタ!P260)</f>
        <v>31656</v>
      </c>
      <c r="G260" s="34" t="n">
        <f aca="false">IF($A260="","",物件マスタ!Q260)</f>
        <v>39.9</v>
      </c>
      <c r="H260" s="49" t="n">
        <f aca="false">IF($A260="","",物件マスタ!L260)</f>
        <v>7738.47</v>
      </c>
      <c r="I260" s="49" t="n">
        <f aca="false">IF($A260="","",物件マスタ!M260)</f>
        <v>5695.71</v>
      </c>
      <c r="J260" s="43" t="n">
        <f aca="false">IF($A260="","",物件マスタ!S260)</f>
        <v>3776</v>
      </c>
      <c r="K260" s="43" t="n">
        <f aca="false">IF($A260="","",物件マスタ!U260)</f>
        <v>5460</v>
      </c>
      <c r="L260" s="50" t="n">
        <f aca="false">IF($A260="","",物件マスタ!W260)</f>
        <v>0.999</v>
      </c>
      <c r="M260" s="17" t="str">
        <f aca="false">IF($A260="","",IFERROR(INDEX(法人マスタ!$H:$H,MATCH($B260,法人マスタ!$A:$A,0)),""))</f>
        <v>2025年12月期（第48期）</v>
      </c>
      <c r="N260" s="51" t="n">
        <f aca="false">IF($A260="","",SUMIFS(物件収支!$D:$D,物件収支!$A:$A,$A260,物件収支!$C:$C,$M260))</f>
        <v>6</v>
      </c>
      <c r="O260" s="43" t="n">
        <f aca="false">IF($A260="","",SUMIFS(物件収支!$F:$F,物件収支!$A:$A,$A260,物件収支!$C:$C,$M260))</f>
        <v>160746</v>
      </c>
      <c r="P260" s="43" t="n">
        <f aca="false">IF($A260="","",SUMIFS(物件収支!$I:$I,物件収支!$A:$A,$A260,物件収支!$C:$C,$M260))</f>
        <v>0</v>
      </c>
      <c r="Q260" s="43" t="n">
        <f aca="false">IF($A260="","",SUMIFS(物件収支!$O:$O,物件収支!$A:$A,$A260,物件収支!$C:$C,$M260))</f>
        <v>0</v>
      </c>
      <c r="R260" s="43" t="str">
        <f aca="false">IF($A260="","",IF(P260=0,"",O260-P260))</f>
        <v/>
      </c>
      <c r="S260" s="43" t="str">
        <f aca="false">IF($A260="","",IF(R260="","",R260+Q260))</f>
        <v/>
      </c>
      <c r="T260" s="43" t="str">
        <f aca="false">IF($A260="","",IF(OR(S260="",N260&lt;=0),"",S260/1000*12/N260))</f>
        <v/>
      </c>
      <c r="U260" s="52" t="str">
        <f aca="false">IF($A260="","",IF(OR(T260="",J260=0,J260=""),"",T260/J260))</f>
        <v/>
      </c>
      <c r="V260" s="52" t="str">
        <f aca="false">IF($A260="","",IF(OR(R260="",N260&lt;=0,J260=0,J260=""),"",(R260/1000*12/N260)/J260))</f>
        <v/>
      </c>
      <c r="W260" s="52" t="str">
        <f aca="false">IF($A260="","",IF(OR(T260="",K260=0,K260=""),"",T260/K260))</f>
        <v/>
      </c>
      <c r="X260" s="43" t="n">
        <f aca="false">IF($A260="","",IF(OR(N260&lt;=0,I260=0,I260="",O260=0),"",O260*1000/(I260*0.3025)/N260))</f>
        <v>15549.4730694151</v>
      </c>
      <c r="Y260" s="50" t="str">
        <f aca="false">IF($A260="","",IF(OR(O260=0,O260="",P260=0),"",P260/O260))</f>
        <v/>
      </c>
      <c r="Z260" s="17" t="str">
        <f aca="false">IF($A260="","",IFERROR(INDEX(物件収支!$E:$E,MATCH($A260,物件収支!$A:$A,0)),""))</f>
        <v>開示（物件別・収益のみ）</v>
      </c>
    </row>
    <row r="261" customFormat="false" ht="15" hidden="false" customHeight="true" outlineLevel="0" collapsed="false">
      <c r="A261" s="17" t="str">
        <f aca="false">IF(物件マスタ!A261="","",物件マスタ!A261)</f>
        <v>JPR-62</v>
      </c>
      <c r="B261" s="17" t="str">
        <f aca="false">IF($A261="","",物件マスタ!B261)</f>
        <v>JPR</v>
      </c>
      <c r="C261" s="17" t="str">
        <f aca="false">IF($A261="","",IFERROR(INDEX(法人マスタ!$C:$C,MATCH($B261,法人マスタ!$A:$A,0)),""))</f>
        <v>日本プライムリアルティ投資法人</v>
      </c>
      <c r="D261" s="17" t="str">
        <f aca="false">IF($A261="","",物件マスタ!C261)</f>
        <v>グランフロント大阪（うめきた広場・南館）</v>
      </c>
      <c r="E261" s="17" t="str">
        <f aca="false">IF($A261="","",物件マスタ!H261)</f>
        <v>その他3大都市圏</v>
      </c>
      <c r="F261" s="48" t="n">
        <f aca="false">IF($A261="","",物件マスタ!P261)</f>
        <v>41334</v>
      </c>
      <c r="G261" s="34" t="n">
        <f aca="false">IF($A261="","",物件マスタ!Q261)</f>
        <v>13.4</v>
      </c>
      <c r="H261" s="49" t="n">
        <f aca="false">IF($A261="","",物件マスタ!L261)</f>
        <v>191597.49</v>
      </c>
      <c r="I261" s="49" t="n">
        <f aca="false">IF($A261="","",物件マスタ!M261)</f>
        <v>10249.33</v>
      </c>
      <c r="J261" s="43" t="n">
        <f aca="false">IF($A261="","",物件マスタ!S261)</f>
        <v>21000</v>
      </c>
      <c r="K261" s="43" t="n">
        <f aca="false">IF($A261="","",物件マスタ!U261)</f>
        <v>23400</v>
      </c>
      <c r="L261" s="50" t="n">
        <f aca="false">IF($A261="","",物件マスタ!W261)</f>
        <v>0.986</v>
      </c>
      <c r="M261" s="17" t="str">
        <f aca="false">IF($A261="","",IFERROR(INDEX(法人マスタ!$H:$H,MATCH($B261,法人マスタ!$A:$A,0)),""))</f>
        <v>2025年12月期（第48期）</v>
      </c>
      <c r="N261" s="51" t="n">
        <f aca="false">IF($A261="","",SUMIFS(物件収支!$D:$D,物件収支!$A:$A,$A261,物件収支!$C:$C,$M261))</f>
        <v>6</v>
      </c>
      <c r="O261" s="43" t="n">
        <f aca="false">IF($A261="","",SUMIFS(物件収支!$F:$F,物件収支!$A:$A,$A261,物件収支!$C:$C,$M261))</f>
        <v>0</v>
      </c>
      <c r="P261" s="43" t="n">
        <f aca="false">IF($A261="","",SUMIFS(物件収支!$I:$I,物件収支!$A:$A,$A261,物件収支!$C:$C,$M261))</f>
        <v>0</v>
      </c>
      <c r="Q261" s="43" t="n">
        <f aca="false">IF($A261="","",SUMIFS(物件収支!$O:$O,物件収支!$A:$A,$A261,物件収支!$C:$C,$M261))</f>
        <v>0</v>
      </c>
      <c r="R261" s="43" t="str">
        <f aca="false">IF($A261="","",IF(P261=0,"",O261-P261))</f>
        <v/>
      </c>
      <c r="S261" s="43" t="str">
        <f aca="false">IF($A261="","",IF(R261="","",R261+Q261))</f>
        <v/>
      </c>
      <c r="T261" s="43" t="str">
        <f aca="false">IF($A261="","",IF(OR(S261="",N261&lt;=0),"",S261/1000*12/N261))</f>
        <v/>
      </c>
      <c r="U261" s="52" t="str">
        <f aca="false">IF($A261="","",IF(OR(T261="",J261=0,J261=""),"",T261/J261))</f>
        <v/>
      </c>
      <c r="V261" s="52" t="str">
        <f aca="false">IF($A261="","",IF(OR(R261="",N261&lt;=0,J261=0,J261=""),"",(R261/1000*12/N261)/J261))</f>
        <v/>
      </c>
      <c r="W261" s="52" t="str">
        <f aca="false">IF($A261="","",IF(OR(T261="",K261=0,K261=""),"",T261/K261))</f>
        <v/>
      </c>
      <c r="X261" s="43" t="str">
        <f aca="false">IF($A261="","",IF(OR(N261&lt;=0,I261=0,I261="",O261=0),"",O261*1000/(I261*0.3025)/N261))</f>
        <v/>
      </c>
      <c r="Y261" s="50" t="str">
        <f aca="false">IF($A261="","",IF(OR(O261=0,O261="",P261=0),"",P261/O261))</f>
        <v/>
      </c>
      <c r="Z261" s="17" t="str">
        <f aca="false">IF($A261="","",IFERROR(INDEX(物件収支!$E:$E,MATCH($A261,物件収支!$A:$A,0)),""))</f>
        <v>非開示（テナント同意なし）</v>
      </c>
    </row>
    <row r="262" customFormat="false" ht="15" hidden="false" customHeight="true" outlineLevel="0" collapsed="false">
      <c r="A262" s="17" t="str">
        <f aca="false">IF(物件マスタ!A262="","",物件マスタ!A262)</f>
        <v>JPR-63</v>
      </c>
      <c r="B262" s="17" t="str">
        <f aca="false">IF($A262="","",物件マスタ!B262)</f>
        <v>JPR</v>
      </c>
      <c r="C262" s="17" t="str">
        <f aca="false">IF($A262="","",IFERROR(INDEX(法人マスタ!$C:$C,MATCH($B262,法人マスタ!$A:$A,0)),""))</f>
        <v>日本プライムリアルティ投資法人</v>
      </c>
      <c r="D262" s="17" t="str">
        <f aca="false">IF($A262="","",物件マスタ!C262)</f>
        <v>グランフロント大阪（北館）</v>
      </c>
      <c r="E262" s="17" t="str">
        <f aca="false">IF($A262="","",物件マスタ!H262)</f>
        <v>その他3大都市圏</v>
      </c>
      <c r="F262" s="48" t="n">
        <f aca="false">IF($A262="","",物件マスタ!P262)</f>
        <v>41306</v>
      </c>
      <c r="G262" s="34" t="n">
        <f aca="false">IF($A262="","",物件マスタ!Q262)</f>
        <v>13.5</v>
      </c>
      <c r="H262" s="49" t="n">
        <f aca="false">IF($A262="","",物件マスタ!L262)</f>
        <v>290030.59</v>
      </c>
      <c r="I262" s="49" t="n">
        <f aca="false">IF($A262="","",物件マスタ!M262)</f>
        <v>16465.93</v>
      </c>
      <c r="J262" s="43" t="n">
        <f aca="false">IF($A262="","",物件マスタ!S262)</f>
        <v>17500</v>
      </c>
      <c r="K262" s="43" t="n">
        <f aca="false">IF($A262="","",物件マスタ!U262)</f>
        <v>19700</v>
      </c>
      <c r="L262" s="50" t="n">
        <f aca="false">IF($A262="","",物件マスタ!W262)</f>
        <v>0.978</v>
      </c>
      <c r="M262" s="17" t="str">
        <f aca="false">IF($A262="","",IFERROR(INDEX(法人マスタ!$H:$H,MATCH($B262,法人マスタ!$A:$A,0)),""))</f>
        <v>2025年12月期（第48期）</v>
      </c>
      <c r="N262" s="51" t="n">
        <f aca="false">IF($A262="","",SUMIFS(物件収支!$D:$D,物件収支!$A:$A,$A262,物件収支!$C:$C,$M262))</f>
        <v>6</v>
      </c>
      <c r="O262" s="43" t="n">
        <f aca="false">IF($A262="","",SUMIFS(物件収支!$F:$F,物件収支!$A:$A,$A262,物件収支!$C:$C,$M262))</f>
        <v>0</v>
      </c>
      <c r="P262" s="43" t="n">
        <f aca="false">IF($A262="","",SUMIFS(物件収支!$I:$I,物件収支!$A:$A,$A262,物件収支!$C:$C,$M262))</f>
        <v>0</v>
      </c>
      <c r="Q262" s="43" t="n">
        <f aca="false">IF($A262="","",SUMIFS(物件収支!$O:$O,物件収支!$A:$A,$A262,物件収支!$C:$C,$M262))</f>
        <v>0</v>
      </c>
      <c r="R262" s="43" t="str">
        <f aca="false">IF($A262="","",IF(P262=0,"",O262-P262))</f>
        <v/>
      </c>
      <c r="S262" s="43" t="str">
        <f aca="false">IF($A262="","",IF(R262="","",R262+Q262))</f>
        <v/>
      </c>
      <c r="T262" s="43" t="str">
        <f aca="false">IF($A262="","",IF(OR(S262="",N262&lt;=0),"",S262/1000*12/N262))</f>
        <v/>
      </c>
      <c r="U262" s="52" t="str">
        <f aca="false">IF($A262="","",IF(OR(T262="",J262=0,J262=""),"",T262/J262))</f>
        <v/>
      </c>
      <c r="V262" s="52" t="str">
        <f aca="false">IF($A262="","",IF(OR(R262="",N262&lt;=0,J262=0,J262=""),"",(R262/1000*12/N262)/J262))</f>
        <v/>
      </c>
      <c r="W262" s="52" t="str">
        <f aca="false">IF($A262="","",IF(OR(T262="",K262=0,K262=""),"",T262/K262))</f>
        <v/>
      </c>
      <c r="X262" s="43" t="str">
        <f aca="false">IF($A262="","",IF(OR(N262&lt;=0,I262=0,I262="",O262=0),"",O262*1000/(I262*0.3025)/N262))</f>
        <v/>
      </c>
      <c r="Y262" s="50" t="str">
        <f aca="false">IF($A262="","",IF(OR(O262=0,O262="",P262=0),"",P262/O262))</f>
        <v/>
      </c>
      <c r="Z262" s="17" t="str">
        <f aca="false">IF($A262="","",IFERROR(INDEX(物件収支!$E:$E,MATCH($A262,物件収支!$A:$A,0)),""))</f>
        <v>非開示（テナント同意なし）</v>
      </c>
    </row>
    <row r="263" customFormat="false" ht="15" hidden="false" customHeight="true" outlineLevel="0" collapsed="false">
      <c r="A263" s="17" t="str">
        <f aca="false">IF(物件マスタ!A263="","",物件マスタ!A263)</f>
        <v>JPR-64</v>
      </c>
      <c r="B263" s="17" t="str">
        <f aca="false">IF($A263="","",物件マスタ!B263)</f>
        <v>JPR</v>
      </c>
      <c r="C263" s="17" t="str">
        <f aca="false">IF($A263="","",IFERROR(INDEX(法人マスタ!$C:$C,MATCH($B263,法人マスタ!$A:$A,0)),""))</f>
        <v>日本プライムリアルティ投資法人</v>
      </c>
      <c r="D263" s="17" t="str">
        <f aca="false">IF($A263="","",物件マスタ!C263)</f>
        <v>ＪＰＲ堂島ウエスト</v>
      </c>
      <c r="E263" s="17" t="str">
        <f aca="false">IF($A263="","",物件マスタ!H263)</f>
        <v>その他3大都市圏</v>
      </c>
      <c r="F263" s="48" t="n">
        <f aca="false">IF($A263="","",物件マスタ!P263)</f>
        <v>35247</v>
      </c>
      <c r="G263" s="34" t="n">
        <f aca="false">IF($A263="","",物件マスタ!Q263)</f>
        <v>30.1</v>
      </c>
      <c r="H263" s="49" t="n">
        <f aca="false">IF($A263="","",物件マスタ!L263)</f>
        <v>4977.52</v>
      </c>
      <c r="I263" s="49" t="n">
        <f aca="false">IF($A263="","",物件マスタ!M263)</f>
        <v>3074.3</v>
      </c>
      <c r="J263" s="43" t="n">
        <f aca="false">IF($A263="","",物件マスタ!S263)</f>
        <v>2460</v>
      </c>
      <c r="K263" s="43" t="n">
        <f aca="false">IF($A263="","",物件マスタ!U263)</f>
        <v>2760</v>
      </c>
      <c r="L263" s="50" t="n">
        <f aca="false">IF($A263="","",物件マスタ!W263)</f>
        <v>1</v>
      </c>
      <c r="M263" s="17" t="str">
        <f aca="false">IF($A263="","",IFERROR(INDEX(法人マスタ!$H:$H,MATCH($B263,法人マスタ!$A:$A,0)),""))</f>
        <v>2025年12月期（第48期）</v>
      </c>
      <c r="N263" s="51" t="n">
        <f aca="false">IF($A263="","",SUMIFS(物件収支!$D:$D,物件収支!$A:$A,$A263,物件収支!$C:$C,$M263))</f>
        <v>6</v>
      </c>
      <c r="O263" s="43" t="n">
        <f aca="false">IF($A263="","",SUMIFS(物件収支!$F:$F,物件収支!$A:$A,$A263,物件収支!$C:$C,$M263))</f>
        <v>91074</v>
      </c>
      <c r="P263" s="43" t="n">
        <f aca="false">IF($A263="","",SUMIFS(物件収支!$I:$I,物件収支!$A:$A,$A263,物件収支!$C:$C,$M263))</f>
        <v>0</v>
      </c>
      <c r="Q263" s="43" t="n">
        <f aca="false">IF($A263="","",SUMIFS(物件収支!$O:$O,物件収支!$A:$A,$A263,物件収支!$C:$C,$M263))</f>
        <v>0</v>
      </c>
      <c r="R263" s="43" t="str">
        <f aca="false">IF($A263="","",IF(P263=0,"",O263-P263))</f>
        <v/>
      </c>
      <c r="S263" s="43" t="str">
        <f aca="false">IF($A263="","",IF(R263="","",R263+Q263))</f>
        <v/>
      </c>
      <c r="T263" s="43" t="str">
        <f aca="false">IF($A263="","",IF(OR(S263="",N263&lt;=0),"",S263/1000*12/N263))</f>
        <v/>
      </c>
      <c r="U263" s="52" t="str">
        <f aca="false">IF($A263="","",IF(OR(T263="",J263=0,J263=""),"",T263/J263))</f>
        <v/>
      </c>
      <c r="V263" s="52" t="str">
        <f aca="false">IF($A263="","",IF(OR(R263="",N263&lt;=0,J263=0,J263=""),"",(R263/1000*12/N263)/J263))</f>
        <v/>
      </c>
      <c r="W263" s="52" t="str">
        <f aca="false">IF($A263="","",IF(OR(T263="",K263=0,K263=""),"",T263/K263))</f>
        <v/>
      </c>
      <c r="X263" s="43" t="n">
        <f aca="false">IF($A263="","",IF(OR(N263&lt;=0,I263=0,I263="",O263=0),"",O263*1000/(I263*0.3025)/N263))</f>
        <v>16321.9309750819</v>
      </c>
      <c r="Y263" s="50" t="str">
        <f aca="false">IF($A263="","",IF(OR(O263=0,O263="",P263=0),"",P263/O263))</f>
        <v/>
      </c>
      <c r="Z263" s="17" t="str">
        <f aca="false">IF($A263="","",IFERROR(INDEX(物件収支!$E:$E,MATCH($A263,物件収支!$A:$A,0)),""))</f>
        <v>開示（物件別・収益のみ）</v>
      </c>
    </row>
    <row r="264" customFormat="false" ht="15" hidden="false" customHeight="true" outlineLevel="0" collapsed="false">
      <c r="A264" s="17" t="str">
        <f aca="false">IF(物件マスタ!A264="","",物件マスタ!A264)</f>
        <v>JPR-65</v>
      </c>
      <c r="B264" s="17" t="str">
        <f aca="false">IF($A264="","",物件マスタ!B264)</f>
        <v>JPR</v>
      </c>
      <c r="C264" s="17" t="str">
        <f aca="false">IF($A264="","",IFERROR(INDEX(法人マスタ!$C:$C,MATCH($B264,法人マスタ!$A:$A,0)),""))</f>
        <v>日本プライムリアルティ投資法人</v>
      </c>
      <c r="D264" s="17" t="str">
        <f aca="false">IF($A264="","",物件マスタ!C264)</f>
        <v>ＪＰＲ茶屋町ビル</v>
      </c>
      <c r="E264" s="17" t="str">
        <f aca="false">IF($A264="","",物件マスタ!H264)</f>
        <v>その他3大都市圏</v>
      </c>
      <c r="F264" s="48" t="n">
        <f aca="false">IF($A264="","",物件マスタ!P264)</f>
        <v>34486</v>
      </c>
      <c r="G264" s="34" t="n">
        <f aca="false">IF($A264="","",物件マスタ!Q264)</f>
        <v>32.2</v>
      </c>
      <c r="H264" s="49" t="n">
        <f aca="false">IF($A264="","",物件マスタ!L264)</f>
        <v>3219.36</v>
      </c>
      <c r="I264" s="49" t="n">
        <f aca="false">IF($A264="","",物件マスタ!M264)</f>
        <v>2406.45</v>
      </c>
      <c r="J264" s="43" t="n">
        <f aca="false">IF($A264="","",物件マスタ!S264)</f>
        <v>6000</v>
      </c>
      <c r="K264" s="43" t="n">
        <f aca="false">IF($A264="","",物件マスタ!U264)</f>
        <v>8710</v>
      </c>
      <c r="L264" s="50" t="n">
        <f aca="false">IF($A264="","",物件マスタ!W264)</f>
        <v>1</v>
      </c>
      <c r="M264" s="17" t="str">
        <f aca="false">IF($A264="","",IFERROR(INDEX(法人マスタ!$H:$H,MATCH($B264,法人マスタ!$A:$A,0)),""))</f>
        <v>2025年12月期（第48期）</v>
      </c>
      <c r="N264" s="51" t="n">
        <f aca="false">IF($A264="","",SUMIFS(物件収支!$D:$D,物件収支!$A:$A,$A264,物件収支!$C:$C,$M264))</f>
        <v>6</v>
      </c>
      <c r="O264" s="43" t="n">
        <f aca="false">IF($A264="","",SUMIFS(物件収支!$F:$F,物件収支!$A:$A,$A264,物件収支!$C:$C,$M264))</f>
        <v>218454</v>
      </c>
      <c r="P264" s="43" t="n">
        <f aca="false">IF($A264="","",SUMIFS(物件収支!$I:$I,物件収支!$A:$A,$A264,物件収支!$C:$C,$M264))</f>
        <v>0</v>
      </c>
      <c r="Q264" s="43" t="n">
        <f aca="false">IF($A264="","",SUMIFS(物件収支!$O:$O,物件収支!$A:$A,$A264,物件収支!$C:$C,$M264))</f>
        <v>0</v>
      </c>
      <c r="R264" s="43" t="str">
        <f aca="false">IF($A264="","",IF(P264=0,"",O264-P264))</f>
        <v/>
      </c>
      <c r="S264" s="43" t="str">
        <f aca="false">IF($A264="","",IF(R264="","",R264+Q264))</f>
        <v/>
      </c>
      <c r="T264" s="43" t="str">
        <f aca="false">IF($A264="","",IF(OR(S264="",N264&lt;=0),"",S264/1000*12/N264))</f>
        <v/>
      </c>
      <c r="U264" s="52" t="str">
        <f aca="false">IF($A264="","",IF(OR(T264="",J264=0,J264=""),"",T264/J264))</f>
        <v/>
      </c>
      <c r="V264" s="52" t="str">
        <f aca="false">IF($A264="","",IF(OR(R264="",N264&lt;=0,J264=0,J264=""),"",(R264/1000*12/N264)/J264))</f>
        <v/>
      </c>
      <c r="W264" s="52" t="str">
        <f aca="false">IF($A264="","",IF(OR(T264="",K264=0,K264=""),"",T264/K264))</f>
        <v/>
      </c>
      <c r="X264" s="43" t="n">
        <f aca="false">IF($A264="","",IF(OR(N264&lt;=0,I264=0,I264="",O264=0),"",O264*1000/(I264*0.3025)/N264))</f>
        <v>50015.720492224</v>
      </c>
      <c r="Y264" s="50" t="str">
        <f aca="false">IF($A264="","",IF(OR(O264=0,O264="",P264=0),"",P264/O264))</f>
        <v/>
      </c>
      <c r="Z264" s="17" t="str">
        <f aca="false">IF($A264="","",IFERROR(INDEX(物件収支!$E:$E,MATCH($A264,物件収支!$A:$A,0)),""))</f>
        <v>開示（物件別・収益のみ）</v>
      </c>
    </row>
    <row r="265" customFormat="false" ht="15" hidden="false" customHeight="true" outlineLevel="0" collapsed="false">
      <c r="A265" s="17" t="str">
        <f aca="false">IF(物件マスタ!A265="","",物件マスタ!A265)</f>
        <v>JPR-66</v>
      </c>
      <c r="B265" s="17" t="str">
        <f aca="false">IF($A265="","",物件マスタ!B265)</f>
        <v>JPR</v>
      </c>
      <c r="C265" s="17" t="str">
        <f aca="false">IF($A265="","",IFERROR(INDEX(法人マスタ!$C:$C,MATCH($B265,法人マスタ!$A:$A,0)),""))</f>
        <v>日本プライムリアルティ投資法人</v>
      </c>
      <c r="D265" s="17" t="str">
        <f aca="false">IF($A265="","",物件マスタ!C265)</f>
        <v>ＦＵＮＤＥＳ天神西通り</v>
      </c>
      <c r="E265" s="17" t="str">
        <f aca="false">IF($A265="","",物件マスタ!H265)</f>
        <v>3大都市圏以外の政令市</v>
      </c>
      <c r="F265" s="48" t="n">
        <f aca="false">IF($A265="","",物件マスタ!P265)</f>
        <v>44621</v>
      </c>
      <c r="G265" s="34" t="n">
        <f aca="false">IF($A265="","",物件マスタ!Q265)</f>
        <v>4.4</v>
      </c>
      <c r="H265" s="49" t="n">
        <f aca="false">IF($A265="","",物件マスタ!L265)</f>
        <v>1135.67</v>
      </c>
      <c r="I265" s="49" t="n">
        <f aca="false">IF($A265="","",物件マスタ!M265)</f>
        <v>1054.3</v>
      </c>
      <c r="J265" s="43" t="n">
        <f aca="false">IF($A265="","",物件マスタ!S265)</f>
        <v>3310</v>
      </c>
      <c r="K265" s="43" t="n">
        <f aca="false">IF($A265="","",物件マスタ!U265)</f>
        <v>3640</v>
      </c>
      <c r="L265" s="50" t="n">
        <f aca="false">IF($A265="","",物件マスタ!W265)</f>
        <v>0.838</v>
      </c>
      <c r="M265" s="17" t="str">
        <f aca="false">IF($A265="","",IFERROR(INDEX(法人マスタ!$H:$H,MATCH($B265,法人マスタ!$A:$A,0)),""))</f>
        <v>2025年12月期（第48期）</v>
      </c>
      <c r="N265" s="51" t="n">
        <f aca="false">IF($A265="","",SUMIFS(物件収支!$D:$D,物件収支!$A:$A,$A265,物件収支!$C:$C,$M265))</f>
        <v>6</v>
      </c>
      <c r="O265" s="43" t="n">
        <f aca="false">IF($A265="","",SUMIFS(物件収支!$F:$F,物件収支!$A:$A,$A265,物件収支!$C:$C,$M265))</f>
        <v>75759</v>
      </c>
      <c r="P265" s="43" t="n">
        <f aca="false">IF($A265="","",SUMIFS(物件収支!$I:$I,物件収支!$A:$A,$A265,物件収支!$C:$C,$M265))</f>
        <v>0</v>
      </c>
      <c r="Q265" s="43" t="n">
        <f aca="false">IF($A265="","",SUMIFS(物件収支!$O:$O,物件収支!$A:$A,$A265,物件収支!$C:$C,$M265))</f>
        <v>0</v>
      </c>
      <c r="R265" s="43" t="str">
        <f aca="false">IF($A265="","",IF(P265=0,"",O265-P265))</f>
        <v/>
      </c>
      <c r="S265" s="43" t="str">
        <f aca="false">IF($A265="","",IF(R265="","",R265+Q265))</f>
        <v/>
      </c>
      <c r="T265" s="43" t="str">
        <f aca="false">IF($A265="","",IF(OR(S265="",N265&lt;=0),"",S265/1000*12/N265))</f>
        <v/>
      </c>
      <c r="U265" s="52" t="str">
        <f aca="false">IF($A265="","",IF(OR(T265="",J265=0,J265=""),"",T265/J265))</f>
        <v/>
      </c>
      <c r="V265" s="52" t="str">
        <f aca="false">IF($A265="","",IF(OR(R265="",N265&lt;=0,J265=0,J265=""),"",(R265/1000*12/N265)/J265))</f>
        <v/>
      </c>
      <c r="W265" s="52" t="str">
        <f aca="false">IF($A265="","",IF(OR(T265="",K265=0,K265=""),"",T265/K265))</f>
        <v/>
      </c>
      <c r="X265" s="43" t="n">
        <f aca="false">IF($A265="","",IF(OR(N265&lt;=0,I265=0,I265="",O265=0),"",O265*1000/(I265*0.3025)/N265))</f>
        <v>39590.7197835233</v>
      </c>
      <c r="Y265" s="50" t="str">
        <f aca="false">IF($A265="","",IF(OR(O265=0,O265="",P265=0),"",P265/O265))</f>
        <v/>
      </c>
      <c r="Z265" s="17" t="str">
        <f aca="false">IF($A265="","",IFERROR(INDEX(物件収支!$E:$E,MATCH($A265,物件収支!$A:$A,0)),""))</f>
        <v>開示（物件別・収益のみ）</v>
      </c>
    </row>
    <row r="266" customFormat="false" ht="15" hidden="false" customHeight="true" outlineLevel="0" collapsed="false">
      <c r="A266" s="17" t="str">
        <f aca="false">IF(物件マスタ!A266="","",物件マスタ!A266)</f>
        <v>JPR-67</v>
      </c>
      <c r="B266" s="17" t="str">
        <f aca="false">IF($A266="","",物件マスタ!B266)</f>
        <v>JPR</v>
      </c>
      <c r="C266" s="17" t="str">
        <f aca="false">IF($A266="","",IFERROR(INDEX(法人マスタ!$C:$C,MATCH($B266,法人マスタ!$A:$A,0)),""))</f>
        <v>日本プライムリアルティ投資法人</v>
      </c>
      <c r="D266" s="17" t="str">
        <f aca="false">IF($A266="","",物件マスタ!C266)</f>
        <v>ザ ロイヤルパーク キャンバス 名古屋</v>
      </c>
      <c r="E266" s="17" t="str">
        <f aca="false">IF($A266="","",物件マスタ!H266)</f>
        <v>その他3大都市圏</v>
      </c>
      <c r="F266" s="48" t="n">
        <f aca="false">IF($A266="","",物件マスタ!P266)</f>
        <v>41548</v>
      </c>
      <c r="G266" s="34" t="n">
        <f aca="false">IF($A266="","",物件マスタ!Q266)</f>
        <v>12.9</v>
      </c>
      <c r="H266" s="49" t="n">
        <f aca="false">IF($A266="","",物件マスタ!L266)</f>
        <v>5226.8</v>
      </c>
      <c r="I266" s="49" t="n">
        <f aca="false">IF($A266="","",物件マスタ!M266)</f>
        <v>5185.05</v>
      </c>
      <c r="J266" s="43" t="n">
        <f aca="false">IF($A266="","",物件マスタ!S266)</f>
        <v>6500</v>
      </c>
      <c r="K266" s="43" t="n">
        <f aca="false">IF($A266="","",物件マスタ!U266)</f>
        <v>6770</v>
      </c>
      <c r="L266" s="50" t="n">
        <f aca="false">IF($A266="","",物件マスタ!W266)</f>
        <v>1</v>
      </c>
      <c r="M266" s="17" t="str">
        <f aca="false">IF($A266="","",IFERROR(INDEX(法人マスタ!$H:$H,MATCH($B266,法人マスタ!$A:$A,0)),""))</f>
        <v>2025年12月期（第48期）</v>
      </c>
      <c r="N266" s="51" t="n">
        <f aca="false">IF($A266="","",SUMIFS(物件収支!$D:$D,物件収支!$A:$A,$A266,物件収支!$C:$C,$M266))</f>
        <v>6</v>
      </c>
      <c r="O266" s="43" t="n">
        <f aca="false">IF($A266="","",SUMIFS(物件収支!$F:$F,物件収支!$A:$A,$A266,物件収支!$C:$C,$M266))</f>
        <v>0</v>
      </c>
      <c r="P266" s="43" t="n">
        <f aca="false">IF($A266="","",SUMIFS(物件収支!$I:$I,物件収支!$A:$A,$A266,物件収支!$C:$C,$M266))</f>
        <v>0</v>
      </c>
      <c r="Q266" s="43" t="n">
        <f aca="false">IF($A266="","",SUMIFS(物件収支!$O:$O,物件収支!$A:$A,$A266,物件収支!$C:$C,$M266))</f>
        <v>0</v>
      </c>
      <c r="R266" s="43" t="str">
        <f aca="false">IF($A266="","",IF(P266=0,"",O266-P266))</f>
        <v/>
      </c>
      <c r="S266" s="43" t="str">
        <f aca="false">IF($A266="","",IF(R266="","",R266+Q266))</f>
        <v/>
      </c>
      <c r="T266" s="43" t="str">
        <f aca="false">IF($A266="","",IF(OR(S266="",N266&lt;=0),"",S266/1000*12/N266))</f>
        <v/>
      </c>
      <c r="U266" s="52" t="str">
        <f aca="false">IF($A266="","",IF(OR(T266="",J266=0,J266=""),"",T266/J266))</f>
        <v/>
      </c>
      <c r="V266" s="52" t="str">
        <f aca="false">IF($A266="","",IF(OR(R266="",N266&lt;=0,J266=0,J266=""),"",(R266/1000*12/N266)/J266))</f>
        <v/>
      </c>
      <c r="W266" s="52" t="str">
        <f aca="false">IF($A266="","",IF(OR(T266="",K266=0,K266=""),"",T266/K266))</f>
        <v/>
      </c>
      <c r="X266" s="43" t="str">
        <f aca="false">IF($A266="","",IF(OR(N266&lt;=0,I266=0,I266="",O266=0),"",O266*1000/(I266*0.3025)/N266))</f>
        <v/>
      </c>
      <c r="Y266" s="50" t="str">
        <f aca="false">IF($A266="","",IF(OR(O266=0,O266="",P266=0),"",P266/O266))</f>
        <v/>
      </c>
      <c r="Z266" s="17" t="str">
        <f aca="false">IF($A266="","",IFERROR(INDEX(物件収支!$E:$E,MATCH($A266,物件収支!$A:$A,0)),""))</f>
        <v>非開示（テナント同意なし）</v>
      </c>
    </row>
    <row r="267" customFormat="false" ht="15" hidden="false" customHeight="true" outlineLevel="0" collapsed="false">
      <c r="A267" s="17" t="str">
        <f aca="false">IF(物件マスタ!A267="","",物件マスタ!A267)</f>
        <v>JPR-68</v>
      </c>
      <c r="B267" s="17" t="str">
        <f aca="false">IF($A267="","",物件マスタ!B267)</f>
        <v>JPR</v>
      </c>
      <c r="C267" s="17" t="str">
        <f aca="false">IF($A267="","",IFERROR(INDEX(法人マスタ!$C:$C,MATCH($B267,法人マスタ!$A:$A,0)),""))</f>
        <v>日本プライムリアルティ投資法人</v>
      </c>
      <c r="D267" s="17" t="str">
        <f aca="false">IF($A267="","",物件マスタ!C267)</f>
        <v>ハウジング・デザイン・センター神戸</v>
      </c>
      <c r="E267" s="17" t="str">
        <f aca="false">IF($A267="","",物件マスタ!H267)</f>
        <v>（期中譲渡済）</v>
      </c>
      <c r="F267" s="48" t="n">
        <f aca="false">IF($A267="","",物件マスタ!P267)</f>
        <v>0</v>
      </c>
      <c r="G267" s="34" t="str">
        <f aca="false">IF($A267="","",物件マスタ!Q267)</f>
        <v/>
      </c>
      <c r="H267" s="49" t="n">
        <f aca="false">IF($A267="","",物件マスタ!L267)</f>
        <v>0</v>
      </c>
      <c r="I267" s="49" t="n">
        <f aca="false">IF($A267="","",物件マスタ!M267)</f>
        <v>0</v>
      </c>
      <c r="J267" s="43" t="n">
        <f aca="false">IF($A267="","",物件マスタ!S267)</f>
        <v>0</v>
      </c>
      <c r="K267" s="43" t="n">
        <f aca="false">IF($A267="","",物件マスタ!U267)</f>
        <v>0</v>
      </c>
      <c r="L267" s="50" t="n">
        <f aca="false">IF($A267="","",物件マスタ!W267)</f>
        <v>0</v>
      </c>
      <c r="M267" s="17" t="str">
        <f aca="false">IF($A267="","",IFERROR(INDEX(法人マスタ!$H:$H,MATCH($B267,法人マスタ!$A:$A,0)),""))</f>
        <v>2025年12月期（第48期）</v>
      </c>
      <c r="N267" s="51" t="n">
        <f aca="false">IF($A267="","",SUMIFS(物件収支!$D:$D,物件収支!$A:$A,$A267,物件収支!$C:$C,$M267))</f>
        <v>6</v>
      </c>
      <c r="O267" s="43" t="n">
        <f aca="false">IF($A267="","",SUMIFS(物件収支!$F:$F,物件収支!$A:$A,$A267,物件収支!$C:$C,$M267))</f>
        <v>0</v>
      </c>
      <c r="P267" s="43" t="n">
        <f aca="false">IF($A267="","",SUMIFS(物件収支!$I:$I,物件収支!$A:$A,$A267,物件収支!$C:$C,$M267))</f>
        <v>0</v>
      </c>
      <c r="Q267" s="43" t="n">
        <f aca="false">IF($A267="","",SUMIFS(物件収支!$O:$O,物件収支!$A:$A,$A267,物件収支!$C:$C,$M267))</f>
        <v>0</v>
      </c>
      <c r="R267" s="43" t="str">
        <f aca="false">IF($A267="","",IF(P267=0,"",O267-P267))</f>
        <v/>
      </c>
      <c r="S267" s="43" t="str">
        <f aca="false">IF($A267="","",IF(R267="","",R267+Q267))</f>
        <v/>
      </c>
      <c r="T267" s="43" t="str">
        <f aca="false">IF($A267="","",IF(OR(S267="",N267&lt;=0),"",S267/1000*12/N267))</f>
        <v/>
      </c>
      <c r="U267" s="52" t="str">
        <f aca="false">IF($A267="","",IF(OR(T267="",J267=0,J267=""),"",T267/J267))</f>
        <v/>
      </c>
      <c r="V267" s="52" t="str">
        <f aca="false">IF($A267="","",IF(OR(R267="",N267&lt;=0,J267=0,J267=""),"",(R267/1000*12/N267)/J267))</f>
        <v/>
      </c>
      <c r="W267" s="52" t="str">
        <f aca="false">IF($A267="","",IF(OR(T267="",K267=0,K267=""),"",T267/K267))</f>
        <v/>
      </c>
      <c r="X267" s="43" t="str">
        <f aca="false">IF($A267="","",IF(OR(N267&lt;=0,I267=0,I267="",O267=0),"",O267*1000/(I267*0.3025)/N267))</f>
        <v/>
      </c>
      <c r="Y267" s="50" t="str">
        <f aca="false">IF($A267="","",IF(OR(O267=0,O267="",P267=0),"",P267/O267))</f>
        <v/>
      </c>
      <c r="Z267" s="17" t="str">
        <f aca="false">IF($A267="","",IFERROR(INDEX(物件収支!$E:$E,MATCH($A267,物件収支!$A:$A,0)),""))</f>
        <v>非開示（期中譲渡・テナント同意なし）</v>
      </c>
    </row>
    <row r="268" customFormat="false" ht="15" hidden="false" customHeight="true" outlineLevel="0" collapsed="false">
      <c r="A268" s="17" t="str">
        <f aca="false">IF(物件マスタ!A268="","",物件マスタ!A268)</f>
        <v>JPR-ALL</v>
      </c>
      <c r="B268" s="17" t="str">
        <f aca="false">IF($A268="","",物件マスタ!B268)</f>
        <v>JPR</v>
      </c>
      <c r="C268" s="17" t="str">
        <f aca="false">IF($A268="","",IFERROR(INDEX(法人マスタ!$C:$C,MATCH($B268,法人マスタ!$A:$A,0)),""))</f>
        <v>日本プライムリアルティ投資法人</v>
      </c>
      <c r="D268" s="17" t="str">
        <f aca="false">IF($A268="","",物件マスタ!C268)</f>
        <v>【JPRポートフォリオ全体】</v>
      </c>
      <c r="E268" s="17" t="str">
        <f aca="false">IF($A268="","",物件マスタ!H268)</f>
        <v>─</v>
      </c>
      <c r="F268" s="48" t="n">
        <f aca="false">IF($A268="","",物件マスタ!P268)</f>
        <v>0</v>
      </c>
      <c r="G268" s="34" t="str">
        <f aca="false">IF($A268="","",物件マスタ!Q268)</f>
        <v/>
      </c>
      <c r="H268" s="49" t="n">
        <f aca="false">IF($A268="","",物件マスタ!L268)</f>
        <v>0</v>
      </c>
      <c r="I268" s="49" t="n">
        <f aca="false">IF($A268="","",物件マスタ!M268)</f>
        <v>488718.69</v>
      </c>
      <c r="J268" s="43" t="n">
        <f aca="false">IF($A268="","",物件マスタ!S268)</f>
        <v>556828</v>
      </c>
      <c r="K268" s="43" t="n">
        <f aca="false">IF($A268="","",物件マスタ!U268)</f>
        <v>671024</v>
      </c>
      <c r="L268" s="50" t="n">
        <f aca="false">IF($A268="","",物件マスタ!W268)</f>
        <v>0.992</v>
      </c>
      <c r="M268" s="17" t="str">
        <f aca="false">IF($A268="","",IFERROR(INDEX(法人マスタ!$H:$H,MATCH($B268,法人マスタ!$A:$A,0)),""))</f>
        <v>2025年12月期（第48期）</v>
      </c>
      <c r="N268" s="51" t="n">
        <f aca="false">IF($A268="","",SUMIFS(物件収支!$D:$D,物件収支!$A:$A,$A268,物件収支!$C:$C,$M268))</f>
        <v>6</v>
      </c>
      <c r="O268" s="43" t="n">
        <f aca="false">IF($A268="","",SUMIFS(物件収支!$F:$F,物件収支!$A:$A,$A268,物件収支!$C:$C,$M268))</f>
        <v>18460367</v>
      </c>
      <c r="P268" s="43" t="n">
        <f aca="false">IF($A268="","",SUMIFS(物件収支!$I:$I,物件収支!$A:$A,$A268,物件収支!$C:$C,$M268))</f>
        <v>8718295</v>
      </c>
      <c r="Q268" s="43" t="n">
        <f aca="false">IF($A268="","",SUMIFS(物件収支!$O:$O,物件収支!$A:$A,$A268,物件収支!$C:$C,$M268))</f>
        <v>2188623</v>
      </c>
      <c r="R268" s="43" t="n">
        <f aca="false">IF($A268="","",IF(P268=0,"",O268-P268))</f>
        <v>9742072</v>
      </c>
      <c r="S268" s="43" t="n">
        <f aca="false">IF($A268="","",IF(R268="","",R268+Q268))</f>
        <v>11930695</v>
      </c>
      <c r="T268" s="43" t="n">
        <f aca="false">IF($A268="","",IF(OR(S268="",N268&lt;=0),"",S268/1000*12/N268))</f>
        <v>23861.39</v>
      </c>
      <c r="U268" s="52" t="n">
        <f aca="false">IF($A268="","",IF(OR(T268="",J268=0,J268=""),"",T268/J268))</f>
        <v>0.0428523529707558</v>
      </c>
      <c r="V268" s="52" t="n">
        <f aca="false">IF($A268="","",IF(OR(R268="",N268&lt;=0,J268=0,J268=""),"",(R268/1000*12/N268)/J268))</f>
        <v>0.0349913150919135</v>
      </c>
      <c r="W268" s="52" t="n">
        <f aca="false">IF($A268="","",IF(OR(T268="",K268=0,K268=""),"",T268/K268))</f>
        <v>0.0355596670163809</v>
      </c>
      <c r="X268" s="43" t="n">
        <f aca="false">IF($A268="","",IF(OR(N268&lt;=0,I268=0,I268="",O268=0),"",O268*1000/(I268*0.3025)/N268))</f>
        <v>20811.565651251</v>
      </c>
      <c r="Y268" s="50" t="n">
        <f aca="false">IF($A268="","",IF(OR(O268=0,O268="",P268=0),"",P268/O268))</f>
        <v>0.472270946726032</v>
      </c>
      <c r="Z268" s="17" t="str">
        <f aca="false">IF($A268="","",IFERROR(INDEX(物件収支!$E:$E,MATCH($A268,物件収支!$A:$A,0)),""))</f>
        <v>開示（法人一括）</v>
      </c>
    </row>
    <row r="269" customFormat="false" ht="15" hidden="false" customHeight="true" outlineLevel="0" collapsed="false">
      <c r="A269" s="17" t="str">
        <f aca="false">IF(物件マスタ!A269="","",物件マスタ!A269)</f>
        <v>TRE-01</v>
      </c>
      <c r="B269" s="17" t="str">
        <f aca="false">IF($A269="","",物件マスタ!B269)</f>
        <v>TRE</v>
      </c>
      <c r="C269" s="17" t="str">
        <f aca="false">IF($A269="","",IFERROR(INDEX(法人マスタ!$C:$C,MATCH($B269,法人マスタ!$A:$A,0)),""))</f>
        <v>東急リアル・エステート投資法人</v>
      </c>
      <c r="D269" s="17" t="str">
        <f aca="false">IF($A269="","",物件マスタ!C269)</f>
        <v>ＱＦＲＯＮＴ（キューフロント）</v>
      </c>
      <c r="E269" s="17" t="str">
        <f aca="false">IF($A269="","",物件マスタ!H269)</f>
        <v>都心5区</v>
      </c>
      <c r="F269" s="48" t="n">
        <f aca="false">IF($A269="","",物件マスタ!P269)</f>
        <v>36434</v>
      </c>
      <c r="G269" s="34" t="n">
        <f aca="false">IF($A269="","",物件マスタ!Q269)</f>
        <v>26.9</v>
      </c>
      <c r="H269" s="49" t="n">
        <f aca="false">IF($A269="","",物件マスタ!L269)</f>
        <v>6675.52</v>
      </c>
      <c r="I269" s="49" t="n">
        <f aca="false">IF($A269="","",物件マスタ!M269)</f>
        <v>4493.54</v>
      </c>
      <c r="J269" s="43" t="n">
        <f aca="false">IF($A269="","",物件マスタ!S269)</f>
        <v>0</v>
      </c>
      <c r="K269" s="43" t="n">
        <f aca="false">IF($A269="","",物件マスタ!U269)</f>
        <v>40700</v>
      </c>
      <c r="L269" s="50" t="n">
        <f aca="false">IF($A269="","",物件マスタ!W269)</f>
        <v>1</v>
      </c>
      <c r="M269" s="17" t="str">
        <f aca="false">IF($A269="","",IFERROR(INDEX(法人マスタ!$H:$H,MATCH($B269,法人マスタ!$A:$A,0)),""))</f>
        <v>2026年1月期（第45期）</v>
      </c>
      <c r="N269" s="51" t="n">
        <f aca="false">IF($A269="","",SUMIFS(物件収支!$D:$D,物件収支!$A:$A,$A269,物件収支!$C:$C,$M269))</f>
        <v>6</v>
      </c>
      <c r="O269" s="43" t="n">
        <f aca="false">IF($A269="","",SUMIFS(物件収支!$F:$F,物件収支!$A:$A,$A269,物件収支!$C:$C,$M269))</f>
        <v>0</v>
      </c>
      <c r="P269" s="43" t="n">
        <f aca="false">IF($A269="","",SUMIFS(物件収支!$I:$I,物件収支!$A:$A,$A269,物件収支!$C:$C,$M269))</f>
        <v>0</v>
      </c>
      <c r="Q269" s="43" t="n">
        <f aca="false">IF($A269="","",SUMIFS(物件収支!$O:$O,物件収支!$A:$A,$A269,物件収支!$C:$C,$M269))</f>
        <v>0</v>
      </c>
      <c r="R269" s="43" t="str">
        <f aca="false">IF($A269="","",IF(P269=0,"",O269-P269))</f>
        <v/>
      </c>
      <c r="S269" s="43" t="str">
        <f aca="false">IF($A269="","",IF(R269="","",R269+Q269))</f>
        <v/>
      </c>
      <c r="T269" s="43" t="str">
        <f aca="false">IF($A269="","",IF(OR(S269="",N269&lt;=0),"",S269/1000*12/N269))</f>
        <v/>
      </c>
      <c r="U269" s="52" t="str">
        <f aca="false">IF($A269="","",IF(OR(T269="",J269=0,J269=""),"",T269/J269))</f>
        <v/>
      </c>
      <c r="V269" s="52" t="str">
        <f aca="false">IF($A269="","",IF(OR(R269="",N269&lt;=0,J269=0,J269=""),"",(R269/1000*12/N269)/J269))</f>
        <v/>
      </c>
      <c r="W269" s="52" t="str">
        <f aca="false">IF($A269="","",IF(OR(T269="",K269=0,K269=""),"",T269/K269))</f>
        <v/>
      </c>
      <c r="X269" s="43" t="str">
        <f aca="false">IF($A269="","",IF(OR(N269&lt;=0,I269=0,I269="",O269=0),"",O269*1000/(I269*0.3025)/N269))</f>
        <v/>
      </c>
      <c r="Y269" s="50" t="str">
        <f aca="false">IF($A269="","",IF(OR(O269=0,O269="",P269=0),"",P269/O269))</f>
        <v/>
      </c>
      <c r="Z269" s="17" t="str">
        <f aca="false">IF($A269="","",IFERROR(INDEX(物件収支!$E:$E,MATCH($A269,物件収支!$A:$A,0)),""))</f>
        <v>非開示（物件別収支非開示・契約賃料のみ開示）</v>
      </c>
    </row>
    <row r="270" customFormat="false" ht="15" hidden="false" customHeight="true" outlineLevel="0" collapsed="false">
      <c r="A270" s="17" t="str">
        <f aca="false">IF(物件マスタ!A270="","",物件マスタ!A270)</f>
        <v>TRE-02</v>
      </c>
      <c r="B270" s="17" t="str">
        <f aca="false">IF($A270="","",物件マスタ!B270)</f>
        <v>TRE</v>
      </c>
      <c r="C270" s="17" t="str">
        <f aca="false">IF($A270="","",IFERROR(INDEX(法人マスタ!$C:$C,MATCH($B270,法人マスタ!$A:$A,0)),""))</f>
        <v>東急リアル・エステート投資法人</v>
      </c>
      <c r="D270" s="17" t="str">
        <f aca="false">IF($A270="","",物件マスタ!C270)</f>
        <v>レキシントン青山</v>
      </c>
      <c r="E270" s="17" t="str">
        <f aca="false">IF($A270="","",物件マスタ!H270)</f>
        <v>都心5区</v>
      </c>
      <c r="F270" s="48" t="n">
        <f aca="false">IF($A270="","",物件マスタ!P270)</f>
        <v>35796</v>
      </c>
      <c r="G270" s="34" t="n">
        <f aca="false">IF($A270="","",物件マスタ!Q270)</f>
        <v>28.6</v>
      </c>
      <c r="H270" s="49" t="n">
        <f aca="false">IF($A270="","",物件マスタ!L270)</f>
        <v>2342.21</v>
      </c>
      <c r="I270" s="49" t="n">
        <f aca="false">IF($A270="","",物件マスタ!M270)</f>
        <v>2094.96</v>
      </c>
      <c r="J270" s="43" t="n">
        <f aca="false">IF($A270="","",物件マスタ!S270)</f>
        <v>0</v>
      </c>
      <c r="K270" s="43" t="n">
        <f aca="false">IF($A270="","",物件マスタ!U270)</f>
        <v>6500</v>
      </c>
      <c r="L270" s="50" t="n">
        <f aca="false">IF($A270="","",物件マスタ!W270)</f>
        <v>1</v>
      </c>
      <c r="M270" s="17" t="str">
        <f aca="false">IF($A270="","",IFERROR(INDEX(法人マスタ!$H:$H,MATCH($B270,法人マスタ!$A:$A,0)),""))</f>
        <v>2026年1月期（第45期）</v>
      </c>
      <c r="N270" s="51" t="n">
        <f aca="false">IF($A270="","",SUMIFS(物件収支!$D:$D,物件収支!$A:$A,$A270,物件収支!$C:$C,$M270))</f>
        <v>6</v>
      </c>
      <c r="O270" s="43" t="n">
        <f aca="false">IF($A270="","",SUMIFS(物件収支!$F:$F,物件収支!$A:$A,$A270,物件収支!$C:$C,$M270))</f>
        <v>0</v>
      </c>
      <c r="P270" s="43" t="n">
        <f aca="false">IF($A270="","",SUMIFS(物件収支!$I:$I,物件収支!$A:$A,$A270,物件収支!$C:$C,$M270))</f>
        <v>0</v>
      </c>
      <c r="Q270" s="43" t="n">
        <f aca="false">IF($A270="","",SUMIFS(物件収支!$O:$O,物件収支!$A:$A,$A270,物件収支!$C:$C,$M270))</f>
        <v>0</v>
      </c>
      <c r="R270" s="43" t="str">
        <f aca="false">IF($A270="","",IF(P270=0,"",O270-P270))</f>
        <v/>
      </c>
      <c r="S270" s="43" t="str">
        <f aca="false">IF($A270="","",IF(R270="","",R270+Q270))</f>
        <v/>
      </c>
      <c r="T270" s="43" t="str">
        <f aca="false">IF($A270="","",IF(OR(S270="",N270&lt;=0),"",S270/1000*12/N270))</f>
        <v/>
      </c>
      <c r="U270" s="52" t="str">
        <f aca="false">IF($A270="","",IF(OR(T270="",J270=0,J270=""),"",T270/J270))</f>
        <v/>
      </c>
      <c r="V270" s="52" t="str">
        <f aca="false">IF($A270="","",IF(OR(R270="",N270&lt;=0,J270=0,J270=""),"",(R270/1000*12/N270)/J270))</f>
        <v/>
      </c>
      <c r="W270" s="52" t="str">
        <f aca="false">IF($A270="","",IF(OR(T270="",K270=0,K270=""),"",T270/K270))</f>
        <v/>
      </c>
      <c r="X270" s="43" t="str">
        <f aca="false">IF($A270="","",IF(OR(N270&lt;=0,I270=0,I270="",O270=0),"",O270*1000/(I270*0.3025)/N270))</f>
        <v/>
      </c>
      <c r="Y270" s="50" t="str">
        <f aca="false">IF($A270="","",IF(OR(O270=0,O270="",P270=0),"",P270/O270))</f>
        <v/>
      </c>
      <c r="Z270" s="17" t="str">
        <f aca="false">IF($A270="","",IFERROR(INDEX(物件収支!$E:$E,MATCH($A270,物件収支!$A:$A,0)),""))</f>
        <v>非開示（物件別収支非開示・契約賃料のみ開示）</v>
      </c>
    </row>
    <row r="271" customFormat="false" ht="15" hidden="false" customHeight="true" outlineLevel="0" collapsed="false">
      <c r="A271" s="17" t="str">
        <f aca="false">IF(物件マスタ!A271="","",物件マスタ!A271)</f>
        <v>TRE-03</v>
      </c>
      <c r="B271" s="17" t="str">
        <f aca="false">IF($A271="","",物件マスタ!B271)</f>
        <v>TRE</v>
      </c>
      <c r="C271" s="17" t="str">
        <f aca="false">IF($A271="","",IFERROR(INDEX(法人マスタ!$C:$C,MATCH($B271,法人マスタ!$A:$A,0)),""))</f>
        <v>東急リアル・エステート投資法人</v>
      </c>
      <c r="D271" s="17" t="str">
        <f aca="false">IF($A271="","",物件マスタ!C271)</f>
        <v>ＴＯＫＹＵ ＲＥＩＴ表参道スクエア</v>
      </c>
      <c r="E271" s="17" t="str">
        <f aca="false">IF($A271="","",物件マスタ!H271)</f>
        <v>都心5区</v>
      </c>
      <c r="F271" s="48" t="n">
        <f aca="false">IF($A271="","",物件マスタ!P271)</f>
        <v>31321</v>
      </c>
      <c r="G271" s="34" t="n">
        <f aca="false">IF($A271="","",物件マスタ!Q271)</f>
        <v>40.9</v>
      </c>
      <c r="H271" s="49" t="n">
        <f aca="false">IF($A271="","",物件マスタ!L271)</f>
        <v>3321.2</v>
      </c>
      <c r="I271" s="49" t="n">
        <f aca="false">IF($A271="","",物件マスタ!M271)</f>
        <v>2669.1</v>
      </c>
      <c r="J271" s="43" t="n">
        <f aca="false">IF($A271="","",物件マスタ!S271)</f>
        <v>0</v>
      </c>
      <c r="K271" s="43" t="n">
        <f aca="false">IF($A271="","",物件マスタ!U271)</f>
        <v>8510</v>
      </c>
      <c r="L271" s="50" t="n">
        <f aca="false">IF($A271="","",物件マスタ!W271)</f>
        <v>1</v>
      </c>
      <c r="M271" s="17" t="str">
        <f aca="false">IF($A271="","",IFERROR(INDEX(法人マスタ!$H:$H,MATCH($B271,法人マスタ!$A:$A,0)),""))</f>
        <v>2026年1月期（第45期）</v>
      </c>
      <c r="N271" s="51" t="n">
        <f aca="false">IF($A271="","",SUMIFS(物件収支!$D:$D,物件収支!$A:$A,$A271,物件収支!$C:$C,$M271))</f>
        <v>6</v>
      </c>
      <c r="O271" s="43" t="n">
        <f aca="false">IF($A271="","",SUMIFS(物件収支!$F:$F,物件収支!$A:$A,$A271,物件収支!$C:$C,$M271))</f>
        <v>0</v>
      </c>
      <c r="P271" s="43" t="n">
        <f aca="false">IF($A271="","",SUMIFS(物件収支!$I:$I,物件収支!$A:$A,$A271,物件収支!$C:$C,$M271))</f>
        <v>0</v>
      </c>
      <c r="Q271" s="43" t="n">
        <f aca="false">IF($A271="","",SUMIFS(物件収支!$O:$O,物件収支!$A:$A,$A271,物件収支!$C:$C,$M271))</f>
        <v>0</v>
      </c>
      <c r="R271" s="43" t="str">
        <f aca="false">IF($A271="","",IF(P271=0,"",O271-P271))</f>
        <v/>
      </c>
      <c r="S271" s="43" t="str">
        <f aca="false">IF($A271="","",IF(R271="","",R271+Q271))</f>
        <v/>
      </c>
      <c r="T271" s="43" t="str">
        <f aca="false">IF($A271="","",IF(OR(S271="",N271&lt;=0),"",S271/1000*12/N271))</f>
        <v/>
      </c>
      <c r="U271" s="52" t="str">
        <f aca="false">IF($A271="","",IF(OR(T271="",J271=0,J271=""),"",T271/J271))</f>
        <v/>
      </c>
      <c r="V271" s="52" t="str">
        <f aca="false">IF($A271="","",IF(OR(R271="",N271&lt;=0,J271=0,J271=""),"",(R271/1000*12/N271)/J271))</f>
        <v/>
      </c>
      <c r="W271" s="52" t="str">
        <f aca="false">IF($A271="","",IF(OR(T271="",K271=0,K271=""),"",T271/K271))</f>
        <v/>
      </c>
      <c r="X271" s="43" t="str">
        <f aca="false">IF($A271="","",IF(OR(N271&lt;=0,I271=0,I271="",O271=0),"",O271*1000/(I271*0.3025)/N271))</f>
        <v/>
      </c>
      <c r="Y271" s="50" t="str">
        <f aca="false">IF($A271="","",IF(OR(O271=0,O271="",P271=0),"",P271/O271))</f>
        <v/>
      </c>
      <c r="Z271" s="17" t="str">
        <f aca="false">IF($A271="","",IFERROR(INDEX(物件収支!$E:$E,MATCH($A271,物件収支!$A:$A,0)),""))</f>
        <v>非開示（物件別収支非開示・契約賃料のみ開示）</v>
      </c>
    </row>
    <row r="272" customFormat="false" ht="15" hidden="false" customHeight="true" outlineLevel="0" collapsed="false">
      <c r="A272" s="17" t="str">
        <f aca="false">IF(物件マスタ!A272="","",物件マスタ!A272)</f>
        <v>TRE-04</v>
      </c>
      <c r="B272" s="17" t="str">
        <f aca="false">IF($A272="","",物件マスタ!B272)</f>
        <v>TRE</v>
      </c>
      <c r="C272" s="17" t="str">
        <f aca="false">IF($A272="","",IFERROR(INDEX(法人マスタ!$C:$C,MATCH($B272,法人マスタ!$A:$A,0)),""))</f>
        <v>東急リアル・エステート投資法人</v>
      </c>
      <c r="D272" s="17" t="str">
        <f aca="false">IF($A272="","",物件マスタ!C272)</f>
        <v>ＴＯＫＹＵ ＲＥＩＴ渋谷宇田川町スクエア</v>
      </c>
      <c r="E272" s="17" t="str">
        <f aca="false">IF($A272="","",物件マスタ!H272)</f>
        <v>都心5区</v>
      </c>
      <c r="F272" s="48" t="n">
        <f aca="false">IF($A272="","",物件マスタ!P272)</f>
        <v>35977</v>
      </c>
      <c r="G272" s="34" t="n">
        <f aca="false">IF($A272="","",物件マスタ!Q272)</f>
        <v>28.1</v>
      </c>
      <c r="H272" s="49" t="n">
        <f aca="false">IF($A272="","",物件マスタ!L272)</f>
        <v>1529.49</v>
      </c>
      <c r="I272" s="49" t="n">
        <f aca="false">IF($A272="","",物件マスタ!M272)</f>
        <v>1547.13</v>
      </c>
      <c r="J272" s="43" t="n">
        <f aca="false">IF($A272="","",物件マスタ!S272)</f>
        <v>0</v>
      </c>
      <c r="K272" s="43" t="n">
        <f aca="false">IF($A272="","",物件マスタ!U272)</f>
        <v>15300</v>
      </c>
      <c r="L272" s="50" t="n">
        <f aca="false">IF($A272="","",物件マスタ!W272)</f>
        <v>1</v>
      </c>
      <c r="M272" s="17" t="str">
        <f aca="false">IF($A272="","",IFERROR(INDEX(法人マスタ!$H:$H,MATCH($B272,法人マスタ!$A:$A,0)),""))</f>
        <v>2026年1月期（第45期）</v>
      </c>
      <c r="N272" s="51" t="n">
        <f aca="false">IF($A272="","",SUMIFS(物件収支!$D:$D,物件収支!$A:$A,$A272,物件収支!$C:$C,$M272))</f>
        <v>6</v>
      </c>
      <c r="O272" s="43" t="n">
        <f aca="false">IF($A272="","",SUMIFS(物件収支!$F:$F,物件収支!$A:$A,$A272,物件収支!$C:$C,$M272))</f>
        <v>0</v>
      </c>
      <c r="P272" s="43" t="n">
        <f aca="false">IF($A272="","",SUMIFS(物件収支!$I:$I,物件収支!$A:$A,$A272,物件収支!$C:$C,$M272))</f>
        <v>0</v>
      </c>
      <c r="Q272" s="43" t="n">
        <f aca="false">IF($A272="","",SUMIFS(物件収支!$O:$O,物件収支!$A:$A,$A272,物件収支!$C:$C,$M272))</f>
        <v>0</v>
      </c>
      <c r="R272" s="43" t="str">
        <f aca="false">IF($A272="","",IF(P272=0,"",O272-P272))</f>
        <v/>
      </c>
      <c r="S272" s="43" t="str">
        <f aca="false">IF($A272="","",IF(R272="","",R272+Q272))</f>
        <v/>
      </c>
      <c r="T272" s="43" t="str">
        <f aca="false">IF($A272="","",IF(OR(S272="",N272&lt;=0),"",S272/1000*12/N272))</f>
        <v/>
      </c>
      <c r="U272" s="52" t="str">
        <f aca="false">IF($A272="","",IF(OR(T272="",J272=0,J272=""),"",T272/J272))</f>
        <v/>
      </c>
      <c r="V272" s="52" t="str">
        <f aca="false">IF($A272="","",IF(OR(R272="",N272&lt;=0,J272=0,J272=""),"",(R272/1000*12/N272)/J272))</f>
        <v/>
      </c>
      <c r="W272" s="52" t="str">
        <f aca="false">IF($A272="","",IF(OR(T272="",K272=0,K272=""),"",T272/K272))</f>
        <v/>
      </c>
      <c r="X272" s="43" t="str">
        <f aca="false">IF($A272="","",IF(OR(N272&lt;=0,I272=0,I272="",O272=0),"",O272*1000/(I272*0.3025)/N272))</f>
        <v/>
      </c>
      <c r="Y272" s="50" t="str">
        <f aca="false">IF($A272="","",IF(OR(O272=0,O272="",P272=0),"",P272/O272))</f>
        <v/>
      </c>
      <c r="Z272" s="17" t="str">
        <f aca="false">IF($A272="","",IFERROR(INDEX(物件収支!$E:$E,MATCH($A272,物件収支!$A:$A,0)),""))</f>
        <v>非開示（物件別収支非開示・契約賃料のみ開示）</v>
      </c>
    </row>
    <row r="273" customFormat="false" ht="15" hidden="false" customHeight="true" outlineLevel="0" collapsed="false">
      <c r="A273" s="17" t="str">
        <f aca="false">IF(物件マスタ!A273="","",物件マスタ!A273)</f>
        <v>TRE-05</v>
      </c>
      <c r="B273" s="17" t="str">
        <f aca="false">IF($A273="","",物件マスタ!B273)</f>
        <v>TRE</v>
      </c>
      <c r="C273" s="17" t="str">
        <f aca="false">IF($A273="","",IFERROR(INDEX(法人マスタ!$C:$C,MATCH($B273,法人マスタ!$A:$A,0)),""))</f>
        <v>東急リアル・エステート投資法人</v>
      </c>
      <c r="D273" s="17" t="str">
        <f aca="false">IF($A273="","",物件マスタ!C273)</f>
        <v>ｃｏｃｏｔｉ（ココチ）</v>
      </c>
      <c r="E273" s="17" t="str">
        <f aca="false">IF($A273="","",物件マスタ!H273)</f>
        <v>都心5区</v>
      </c>
      <c r="F273" s="48" t="n">
        <f aca="false">IF($A273="","",物件マスタ!P273)</f>
        <v>38231</v>
      </c>
      <c r="G273" s="34" t="n">
        <f aca="false">IF($A273="","",物件マスタ!Q273)</f>
        <v>21.9</v>
      </c>
      <c r="H273" s="49" t="n">
        <f aca="false">IF($A273="","",物件マスタ!L273)</f>
        <v>11847.87</v>
      </c>
      <c r="I273" s="49" t="n">
        <f aca="false">IF($A273="","",物件マスタ!M273)</f>
        <v>8295.62</v>
      </c>
      <c r="J273" s="43" t="n">
        <f aca="false">IF($A273="","",物件マスタ!S273)</f>
        <v>0</v>
      </c>
      <c r="K273" s="43" t="n">
        <f aca="false">IF($A273="","",物件マスタ!U273)</f>
        <v>23900</v>
      </c>
      <c r="L273" s="50" t="n">
        <f aca="false">IF($A273="","",物件マスタ!W273)</f>
        <v>1</v>
      </c>
      <c r="M273" s="17" t="str">
        <f aca="false">IF($A273="","",IFERROR(INDEX(法人マスタ!$H:$H,MATCH($B273,法人マスタ!$A:$A,0)),""))</f>
        <v>2026年1月期（第45期）</v>
      </c>
      <c r="N273" s="51" t="n">
        <f aca="false">IF($A273="","",SUMIFS(物件収支!$D:$D,物件収支!$A:$A,$A273,物件収支!$C:$C,$M273))</f>
        <v>6</v>
      </c>
      <c r="O273" s="43" t="n">
        <f aca="false">IF($A273="","",SUMIFS(物件収支!$F:$F,物件収支!$A:$A,$A273,物件収支!$C:$C,$M273))</f>
        <v>0</v>
      </c>
      <c r="P273" s="43" t="n">
        <f aca="false">IF($A273="","",SUMIFS(物件収支!$I:$I,物件収支!$A:$A,$A273,物件収支!$C:$C,$M273))</f>
        <v>0</v>
      </c>
      <c r="Q273" s="43" t="n">
        <f aca="false">IF($A273="","",SUMIFS(物件収支!$O:$O,物件収支!$A:$A,$A273,物件収支!$C:$C,$M273))</f>
        <v>0</v>
      </c>
      <c r="R273" s="43" t="str">
        <f aca="false">IF($A273="","",IF(P273=0,"",O273-P273))</f>
        <v/>
      </c>
      <c r="S273" s="43" t="str">
        <f aca="false">IF($A273="","",IF(R273="","",R273+Q273))</f>
        <v/>
      </c>
      <c r="T273" s="43" t="str">
        <f aca="false">IF($A273="","",IF(OR(S273="",N273&lt;=0),"",S273/1000*12/N273))</f>
        <v/>
      </c>
      <c r="U273" s="52" t="str">
        <f aca="false">IF($A273="","",IF(OR(T273="",J273=0,J273=""),"",T273/J273))</f>
        <v/>
      </c>
      <c r="V273" s="52" t="str">
        <f aca="false">IF($A273="","",IF(OR(R273="",N273&lt;=0,J273=0,J273=""),"",(R273/1000*12/N273)/J273))</f>
        <v/>
      </c>
      <c r="W273" s="52" t="str">
        <f aca="false">IF($A273="","",IF(OR(T273="",K273=0,K273=""),"",T273/K273))</f>
        <v/>
      </c>
      <c r="X273" s="43" t="str">
        <f aca="false">IF($A273="","",IF(OR(N273&lt;=0,I273=0,I273="",O273=0),"",O273*1000/(I273*0.3025)/N273))</f>
        <v/>
      </c>
      <c r="Y273" s="50" t="str">
        <f aca="false">IF($A273="","",IF(OR(O273=0,O273="",P273=0),"",P273/O273))</f>
        <v/>
      </c>
      <c r="Z273" s="17" t="str">
        <f aca="false">IF($A273="","",IFERROR(INDEX(物件収支!$E:$E,MATCH($A273,物件収支!$A:$A,0)),""))</f>
        <v>非開示（物件別収支非開示・契約賃料のみ開示）</v>
      </c>
    </row>
    <row r="274" customFormat="false" ht="15" hidden="false" customHeight="true" outlineLevel="0" collapsed="false">
      <c r="A274" s="17" t="str">
        <f aca="false">IF(物件マスタ!A274="","",物件マスタ!A274)</f>
        <v>TRE-06</v>
      </c>
      <c r="B274" s="17" t="str">
        <f aca="false">IF($A274="","",物件マスタ!B274)</f>
        <v>TRE</v>
      </c>
      <c r="C274" s="17" t="str">
        <f aca="false">IF($A274="","",IFERROR(INDEX(法人マスタ!$C:$C,MATCH($B274,法人マスタ!$A:$A,0)),""))</f>
        <v>東急リアル・エステート投資法人</v>
      </c>
      <c r="D274" s="17" t="str">
        <f aca="false">IF($A274="","",物件マスタ!C274)</f>
        <v>ＴＯＫＹＵ ＲＥＩＴ自由が丘スクエア</v>
      </c>
      <c r="E274" s="17" t="str">
        <f aca="false">IF($A274="","",物件マスタ!H274)</f>
        <v>その他東京23区</v>
      </c>
      <c r="F274" s="48" t="n">
        <f aca="false">IF($A274="","",物件マスタ!P274)</f>
        <v>37226</v>
      </c>
      <c r="G274" s="34" t="n">
        <f aca="false">IF($A274="","",物件マスタ!Q274)</f>
        <v>24.7</v>
      </c>
      <c r="H274" s="49" t="n">
        <f aca="false">IF($A274="","",物件マスタ!L274)</f>
        <v>1272.6</v>
      </c>
      <c r="I274" s="49" t="n">
        <f aca="false">IF($A274="","",物件マスタ!M274)</f>
        <v>1231.8</v>
      </c>
      <c r="J274" s="43" t="n">
        <f aca="false">IF($A274="","",物件マスタ!S274)</f>
        <v>0</v>
      </c>
      <c r="K274" s="43" t="n">
        <f aca="false">IF($A274="","",物件マスタ!U274)</f>
        <v>3640</v>
      </c>
      <c r="L274" s="50" t="n">
        <f aca="false">IF($A274="","",物件マスタ!W274)</f>
        <v>1</v>
      </c>
      <c r="M274" s="17" t="str">
        <f aca="false">IF($A274="","",IFERROR(INDEX(法人マスタ!$H:$H,MATCH($B274,法人マスタ!$A:$A,0)),""))</f>
        <v>2026年1月期（第45期）</v>
      </c>
      <c r="N274" s="51" t="n">
        <f aca="false">IF($A274="","",SUMIFS(物件収支!$D:$D,物件収支!$A:$A,$A274,物件収支!$C:$C,$M274))</f>
        <v>6</v>
      </c>
      <c r="O274" s="43" t="n">
        <f aca="false">IF($A274="","",SUMIFS(物件収支!$F:$F,物件収支!$A:$A,$A274,物件収支!$C:$C,$M274))</f>
        <v>0</v>
      </c>
      <c r="P274" s="43" t="n">
        <f aca="false">IF($A274="","",SUMIFS(物件収支!$I:$I,物件収支!$A:$A,$A274,物件収支!$C:$C,$M274))</f>
        <v>0</v>
      </c>
      <c r="Q274" s="43" t="n">
        <f aca="false">IF($A274="","",SUMIFS(物件収支!$O:$O,物件収支!$A:$A,$A274,物件収支!$C:$C,$M274))</f>
        <v>0</v>
      </c>
      <c r="R274" s="43" t="str">
        <f aca="false">IF($A274="","",IF(P274=0,"",O274-P274))</f>
        <v/>
      </c>
      <c r="S274" s="43" t="str">
        <f aca="false">IF($A274="","",IF(R274="","",R274+Q274))</f>
        <v/>
      </c>
      <c r="T274" s="43" t="str">
        <f aca="false">IF($A274="","",IF(OR(S274="",N274&lt;=0),"",S274/1000*12/N274))</f>
        <v/>
      </c>
      <c r="U274" s="52" t="str">
        <f aca="false">IF($A274="","",IF(OR(T274="",J274=0,J274=""),"",T274/J274))</f>
        <v/>
      </c>
      <c r="V274" s="52" t="str">
        <f aca="false">IF($A274="","",IF(OR(R274="",N274&lt;=0,J274=0,J274=""),"",(R274/1000*12/N274)/J274))</f>
        <v/>
      </c>
      <c r="W274" s="52" t="str">
        <f aca="false">IF($A274="","",IF(OR(T274="",K274=0,K274=""),"",T274/K274))</f>
        <v/>
      </c>
      <c r="X274" s="43" t="str">
        <f aca="false">IF($A274="","",IF(OR(N274&lt;=0,I274=0,I274="",O274=0),"",O274*1000/(I274*0.3025)/N274))</f>
        <v/>
      </c>
      <c r="Y274" s="50" t="str">
        <f aca="false">IF($A274="","",IF(OR(O274=0,O274="",P274=0),"",P274/O274))</f>
        <v/>
      </c>
      <c r="Z274" s="17" t="str">
        <f aca="false">IF($A274="","",IFERROR(INDEX(物件収支!$E:$E,MATCH($A274,物件収支!$A:$A,0)),""))</f>
        <v>非開示（物件別収支非開示・契約賃料のみ開示）</v>
      </c>
    </row>
    <row r="275" customFormat="false" ht="15" hidden="false" customHeight="true" outlineLevel="0" collapsed="false">
      <c r="A275" s="17" t="str">
        <f aca="false">IF(物件マスタ!A275="","",物件マスタ!A275)</f>
        <v>TRE-07</v>
      </c>
      <c r="B275" s="17" t="str">
        <f aca="false">IF($A275="","",物件マスタ!B275)</f>
        <v>TRE</v>
      </c>
      <c r="C275" s="17" t="str">
        <f aca="false">IF($A275="","",IFERROR(INDEX(法人マスタ!$C:$C,MATCH($B275,法人マスタ!$A:$A,0)),""))</f>
        <v>東急リアル・エステート投資法人</v>
      </c>
      <c r="D275" s="17" t="str">
        <f aca="false">IF($A275="","",物件マスタ!C275)</f>
        <v>東急南平台町ビル</v>
      </c>
      <c r="E275" s="17" t="str">
        <f aca="false">IF($A275="","",物件マスタ!H275)</f>
        <v>都心5区</v>
      </c>
      <c r="F275" s="48" t="n">
        <f aca="false">IF($A275="","",物件マスタ!P275)</f>
        <v>33786</v>
      </c>
      <c r="G275" s="34" t="n">
        <f aca="false">IF($A275="","",物件マスタ!Q275)</f>
        <v>34.1</v>
      </c>
      <c r="H275" s="49" t="n">
        <f aca="false">IF($A275="","",物件マスタ!L275)</f>
        <v>7003.88</v>
      </c>
      <c r="I275" s="49" t="n">
        <f aca="false">IF($A275="","",物件マスタ!M275)</f>
        <v>7148.18</v>
      </c>
      <c r="J275" s="43" t="n">
        <f aca="false">IF($A275="","",物件マスタ!S275)</f>
        <v>0</v>
      </c>
      <c r="K275" s="43" t="n">
        <f aca="false">IF($A275="","",物件マスタ!U275)</f>
        <v>8270</v>
      </c>
      <c r="L275" s="50" t="n">
        <f aca="false">IF($A275="","",物件マスタ!W275)</f>
        <v>1</v>
      </c>
      <c r="M275" s="17" t="str">
        <f aca="false">IF($A275="","",IFERROR(INDEX(法人マスタ!$H:$H,MATCH($B275,法人マスタ!$A:$A,0)),""))</f>
        <v>2026年1月期（第45期）</v>
      </c>
      <c r="N275" s="51" t="n">
        <f aca="false">IF($A275="","",SUMIFS(物件収支!$D:$D,物件収支!$A:$A,$A275,物件収支!$C:$C,$M275))</f>
        <v>6</v>
      </c>
      <c r="O275" s="43" t="n">
        <f aca="false">IF($A275="","",SUMIFS(物件収支!$F:$F,物件収支!$A:$A,$A275,物件収支!$C:$C,$M275))</f>
        <v>0</v>
      </c>
      <c r="P275" s="43" t="n">
        <f aca="false">IF($A275="","",SUMIFS(物件収支!$I:$I,物件収支!$A:$A,$A275,物件収支!$C:$C,$M275))</f>
        <v>0</v>
      </c>
      <c r="Q275" s="43" t="n">
        <f aca="false">IF($A275="","",SUMIFS(物件収支!$O:$O,物件収支!$A:$A,$A275,物件収支!$C:$C,$M275))</f>
        <v>0</v>
      </c>
      <c r="R275" s="43" t="str">
        <f aca="false">IF($A275="","",IF(P275=0,"",O275-P275))</f>
        <v/>
      </c>
      <c r="S275" s="43" t="str">
        <f aca="false">IF($A275="","",IF(R275="","",R275+Q275))</f>
        <v/>
      </c>
      <c r="T275" s="43" t="str">
        <f aca="false">IF($A275="","",IF(OR(S275="",N275&lt;=0),"",S275/1000*12/N275))</f>
        <v/>
      </c>
      <c r="U275" s="52" t="str">
        <f aca="false">IF($A275="","",IF(OR(T275="",J275=0,J275=""),"",T275/J275))</f>
        <v/>
      </c>
      <c r="V275" s="52" t="str">
        <f aca="false">IF($A275="","",IF(OR(R275="",N275&lt;=0,J275=0,J275=""),"",(R275/1000*12/N275)/J275))</f>
        <v/>
      </c>
      <c r="W275" s="52" t="str">
        <f aca="false">IF($A275="","",IF(OR(T275="",K275=0,K275=""),"",T275/K275))</f>
        <v/>
      </c>
      <c r="X275" s="43" t="str">
        <f aca="false">IF($A275="","",IF(OR(N275&lt;=0,I275=0,I275="",O275=0),"",O275*1000/(I275*0.3025)/N275))</f>
        <v/>
      </c>
      <c r="Y275" s="50" t="str">
        <f aca="false">IF($A275="","",IF(OR(O275=0,O275="",P275=0),"",P275/O275))</f>
        <v/>
      </c>
      <c r="Z275" s="17" t="str">
        <f aca="false">IF($A275="","",IFERROR(INDEX(物件収支!$E:$E,MATCH($A275,物件収支!$A:$A,0)),""))</f>
        <v>非開示（物件別収支非開示・契約賃料のみ開示）</v>
      </c>
    </row>
    <row r="276" customFormat="false" ht="15" hidden="false" customHeight="true" outlineLevel="0" collapsed="false">
      <c r="A276" s="17" t="str">
        <f aca="false">IF(物件マスタ!A276="","",物件マスタ!A276)</f>
        <v>TRE-08</v>
      </c>
      <c r="B276" s="17" t="str">
        <f aca="false">IF($A276="","",物件マスタ!B276)</f>
        <v>TRE</v>
      </c>
      <c r="C276" s="17" t="str">
        <f aca="false">IF($A276="","",IFERROR(INDEX(法人マスタ!$C:$C,MATCH($B276,法人マスタ!$A:$A,0)),""))</f>
        <v>東急リアル・エステート投資法人</v>
      </c>
      <c r="D276" s="17" t="str">
        <f aca="false">IF($A276="","",物件マスタ!C276)</f>
        <v>東急桜丘町ビル</v>
      </c>
      <c r="E276" s="17" t="str">
        <f aca="false">IF($A276="","",物件マスタ!H276)</f>
        <v>都心5区</v>
      </c>
      <c r="F276" s="48" t="n">
        <f aca="false">IF($A276="","",物件マスタ!P276)</f>
        <v>31929</v>
      </c>
      <c r="G276" s="34" t="n">
        <f aca="false">IF($A276="","",物件マスタ!Q276)</f>
        <v>39.2</v>
      </c>
      <c r="H276" s="49" t="n">
        <f aca="false">IF($A276="","",物件マスタ!L276)</f>
        <v>6505.39</v>
      </c>
      <c r="I276" s="49" t="n">
        <f aca="false">IF($A276="","",物件マスタ!M276)</f>
        <v>4737.19</v>
      </c>
      <c r="J276" s="43" t="n">
        <f aca="false">IF($A276="","",物件マスタ!S276)</f>
        <v>0</v>
      </c>
      <c r="K276" s="43" t="n">
        <f aca="false">IF($A276="","",物件マスタ!U276)</f>
        <v>12800</v>
      </c>
      <c r="L276" s="50" t="n">
        <f aca="false">IF($A276="","",物件マスタ!W276)</f>
        <v>1</v>
      </c>
      <c r="M276" s="17" t="str">
        <f aca="false">IF($A276="","",IFERROR(INDEX(法人マスタ!$H:$H,MATCH($B276,法人マスタ!$A:$A,0)),""))</f>
        <v>2026年1月期（第45期）</v>
      </c>
      <c r="N276" s="51" t="n">
        <f aca="false">IF($A276="","",SUMIFS(物件収支!$D:$D,物件収支!$A:$A,$A276,物件収支!$C:$C,$M276))</f>
        <v>6</v>
      </c>
      <c r="O276" s="43" t="n">
        <f aca="false">IF($A276="","",SUMIFS(物件収支!$F:$F,物件収支!$A:$A,$A276,物件収支!$C:$C,$M276))</f>
        <v>0</v>
      </c>
      <c r="P276" s="43" t="n">
        <f aca="false">IF($A276="","",SUMIFS(物件収支!$I:$I,物件収支!$A:$A,$A276,物件収支!$C:$C,$M276))</f>
        <v>0</v>
      </c>
      <c r="Q276" s="43" t="n">
        <f aca="false">IF($A276="","",SUMIFS(物件収支!$O:$O,物件収支!$A:$A,$A276,物件収支!$C:$C,$M276))</f>
        <v>0</v>
      </c>
      <c r="R276" s="43" t="str">
        <f aca="false">IF($A276="","",IF(P276=0,"",O276-P276))</f>
        <v/>
      </c>
      <c r="S276" s="43" t="str">
        <f aca="false">IF($A276="","",IF(R276="","",R276+Q276))</f>
        <v/>
      </c>
      <c r="T276" s="43" t="str">
        <f aca="false">IF($A276="","",IF(OR(S276="",N276&lt;=0),"",S276/1000*12/N276))</f>
        <v/>
      </c>
      <c r="U276" s="52" t="str">
        <f aca="false">IF($A276="","",IF(OR(T276="",J276=0,J276=""),"",T276/J276))</f>
        <v/>
      </c>
      <c r="V276" s="52" t="str">
        <f aca="false">IF($A276="","",IF(OR(R276="",N276&lt;=0,J276=0,J276=""),"",(R276/1000*12/N276)/J276))</f>
        <v/>
      </c>
      <c r="W276" s="52" t="str">
        <f aca="false">IF($A276="","",IF(OR(T276="",K276=0,K276=""),"",T276/K276))</f>
        <v/>
      </c>
      <c r="X276" s="43" t="str">
        <f aca="false">IF($A276="","",IF(OR(N276&lt;=0,I276=0,I276="",O276=0),"",O276*1000/(I276*0.3025)/N276))</f>
        <v/>
      </c>
      <c r="Y276" s="50" t="str">
        <f aca="false">IF($A276="","",IF(OR(O276=0,O276="",P276=0),"",P276/O276))</f>
        <v/>
      </c>
      <c r="Z276" s="17" t="str">
        <f aca="false">IF($A276="","",IFERROR(INDEX(物件収支!$E:$E,MATCH($A276,物件収支!$A:$A,0)),""))</f>
        <v>非開示（物件別収支非開示・契約賃料のみ開示）</v>
      </c>
    </row>
    <row r="277" customFormat="false" ht="15" hidden="false" customHeight="true" outlineLevel="0" collapsed="false">
      <c r="A277" s="17" t="str">
        <f aca="false">IF(物件マスタ!A277="","",物件マスタ!A277)</f>
        <v>TRE-09</v>
      </c>
      <c r="B277" s="17" t="str">
        <f aca="false">IF($A277="","",物件マスタ!B277)</f>
        <v>TRE</v>
      </c>
      <c r="C277" s="17" t="str">
        <f aca="false">IF($A277="","",IFERROR(INDEX(法人マスタ!$C:$C,MATCH($B277,法人マスタ!$A:$A,0)),""))</f>
        <v>東急リアル・エステート投資法人</v>
      </c>
      <c r="D277" s="17" t="str">
        <f aca="false">IF($A277="","",物件マスタ!C277)</f>
        <v>ＴＯＫＹＵ ＲＥＩＴ蒲田ビル</v>
      </c>
      <c r="E277" s="17" t="str">
        <f aca="false">IF($A277="","",物件マスタ!H277)</f>
        <v>その他東京23区</v>
      </c>
      <c r="F277" s="48" t="n">
        <f aca="false">IF($A277="","",物件マスタ!P277)</f>
        <v>33635</v>
      </c>
      <c r="G277" s="34" t="n">
        <f aca="false">IF($A277="","",物件マスタ!Q277)</f>
        <v>34.5</v>
      </c>
      <c r="H277" s="49" t="n">
        <f aca="false">IF($A277="","",物件マスタ!L277)</f>
        <v>10244.51</v>
      </c>
      <c r="I277" s="49" t="n">
        <f aca="false">IF($A277="","",物件マスタ!M277)</f>
        <v>7337.82</v>
      </c>
      <c r="J277" s="43" t="n">
        <f aca="false">IF($A277="","",物件マスタ!S277)</f>
        <v>0</v>
      </c>
      <c r="K277" s="43" t="n">
        <f aca="false">IF($A277="","",物件マスタ!U277)</f>
        <v>6220</v>
      </c>
      <c r="L277" s="50" t="n">
        <f aca="false">IF($A277="","",物件マスタ!W277)</f>
        <v>1</v>
      </c>
      <c r="M277" s="17" t="str">
        <f aca="false">IF($A277="","",IFERROR(INDEX(法人マスタ!$H:$H,MATCH($B277,法人マスタ!$A:$A,0)),""))</f>
        <v>2026年1月期（第45期）</v>
      </c>
      <c r="N277" s="51" t="n">
        <f aca="false">IF($A277="","",SUMIFS(物件収支!$D:$D,物件収支!$A:$A,$A277,物件収支!$C:$C,$M277))</f>
        <v>6</v>
      </c>
      <c r="O277" s="43" t="n">
        <f aca="false">IF($A277="","",SUMIFS(物件収支!$F:$F,物件収支!$A:$A,$A277,物件収支!$C:$C,$M277))</f>
        <v>0</v>
      </c>
      <c r="P277" s="43" t="n">
        <f aca="false">IF($A277="","",SUMIFS(物件収支!$I:$I,物件収支!$A:$A,$A277,物件収支!$C:$C,$M277))</f>
        <v>0</v>
      </c>
      <c r="Q277" s="43" t="n">
        <f aca="false">IF($A277="","",SUMIFS(物件収支!$O:$O,物件収支!$A:$A,$A277,物件収支!$C:$C,$M277))</f>
        <v>0</v>
      </c>
      <c r="R277" s="43" t="str">
        <f aca="false">IF($A277="","",IF(P277=0,"",O277-P277))</f>
        <v/>
      </c>
      <c r="S277" s="43" t="str">
        <f aca="false">IF($A277="","",IF(R277="","",R277+Q277))</f>
        <v/>
      </c>
      <c r="T277" s="43" t="str">
        <f aca="false">IF($A277="","",IF(OR(S277="",N277&lt;=0),"",S277/1000*12/N277))</f>
        <v/>
      </c>
      <c r="U277" s="52" t="str">
        <f aca="false">IF($A277="","",IF(OR(T277="",J277=0,J277=""),"",T277/J277))</f>
        <v/>
      </c>
      <c r="V277" s="52" t="str">
        <f aca="false">IF($A277="","",IF(OR(R277="",N277&lt;=0,J277=0,J277=""),"",(R277/1000*12/N277)/J277))</f>
        <v/>
      </c>
      <c r="W277" s="52" t="str">
        <f aca="false">IF($A277="","",IF(OR(T277="",K277=0,K277=""),"",T277/K277))</f>
        <v/>
      </c>
      <c r="X277" s="43" t="str">
        <f aca="false">IF($A277="","",IF(OR(N277&lt;=0,I277=0,I277="",O277=0),"",O277*1000/(I277*0.3025)/N277))</f>
        <v/>
      </c>
      <c r="Y277" s="50" t="str">
        <f aca="false">IF($A277="","",IF(OR(O277=0,O277="",P277=0),"",P277/O277))</f>
        <v/>
      </c>
      <c r="Z277" s="17" t="str">
        <f aca="false">IF($A277="","",IFERROR(INDEX(物件収支!$E:$E,MATCH($A277,物件収支!$A:$A,0)),""))</f>
        <v>非開示（物件別収支非開示・契約賃料のみ開示）</v>
      </c>
    </row>
    <row r="278" customFormat="false" ht="15" hidden="false" customHeight="true" outlineLevel="0" collapsed="false">
      <c r="A278" s="17" t="str">
        <f aca="false">IF(物件マスタ!A278="","",物件マスタ!A278)</f>
        <v>TRE-10</v>
      </c>
      <c r="B278" s="17" t="str">
        <f aca="false">IF($A278="","",物件マスタ!B278)</f>
        <v>TRE</v>
      </c>
      <c r="C278" s="17" t="str">
        <f aca="false">IF($A278="","",IFERROR(INDEX(法人マスタ!$C:$C,MATCH($B278,法人マスタ!$A:$A,0)),""))</f>
        <v>東急リアル・エステート投資法人</v>
      </c>
      <c r="D278" s="17" t="str">
        <f aca="false">IF($A278="","",物件マスタ!C278)</f>
        <v>ＴＯＫＹＵ ＲＥＩＴ虎ノ門ビル</v>
      </c>
      <c r="E278" s="17" t="str">
        <f aca="false">IF($A278="","",物件マスタ!H278)</f>
        <v>都心5区</v>
      </c>
      <c r="F278" s="48" t="n">
        <f aca="false">IF($A278="","",物件マスタ!P278)</f>
        <v>32234</v>
      </c>
      <c r="G278" s="34" t="n">
        <f aca="false">IF($A278="","",物件マスタ!Q278)</f>
        <v>38.4</v>
      </c>
      <c r="H278" s="49" t="n">
        <f aca="false">IF($A278="","",物件マスタ!L278)</f>
        <v>15343.73</v>
      </c>
      <c r="I278" s="49" t="n">
        <f aca="false">IF($A278="","",物件マスタ!M278)</f>
        <v>4095.22</v>
      </c>
      <c r="J278" s="43" t="n">
        <f aca="false">IF($A278="","",物件マスタ!S278)</f>
        <v>0</v>
      </c>
      <c r="K278" s="43" t="n">
        <f aca="false">IF($A278="","",物件マスタ!U278)</f>
        <v>5770</v>
      </c>
      <c r="L278" s="50" t="n">
        <f aca="false">IF($A278="","",物件マスタ!W278)</f>
        <v>1</v>
      </c>
      <c r="M278" s="17" t="str">
        <f aca="false">IF($A278="","",IFERROR(INDEX(法人マスタ!$H:$H,MATCH($B278,法人マスタ!$A:$A,0)),""))</f>
        <v>2026年1月期（第45期）</v>
      </c>
      <c r="N278" s="51" t="n">
        <f aca="false">IF($A278="","",SUMIFS(物件収支!$D:$D,物件収支!$A:$A,$A278,物件収支!$C:$C,$M278))</f>
        <v>6</v>
      </c>
      <c r="O278" s="43" t="n">
        <f aca="false">IF($A278="","",SUMIFS(物件収支!$F:$F,物件収支!$A:$A,$A278,物件収支!$C:$C,$M278))</f>
        <v>0</v>
      </c>
      <c r="P278" s="43" t="n">
        <f aca="false">IF($A278="","",SUMIFS(物件収支!$I:$I,物件収支!$A:$A,$A278,物件収支!$C:$C,$M278))</f>
        <v>0</v>
      </c>
      <c r="Q278" s="43" t="n">
        <f aca="false">IF($A278="","",SUMIFS(物件収支!$O:$O,物件収支!$A:$A,$A278,物件収支!$C:$C,$M278))</f>
        <v>0</v>
      </c>
      <c r="R278" s="43" t="str">
        <f aca="false">IF($A278="","",IF(P278=0,"",O278-P278))</f>
        <v/>
      </c>
      <c r="S278" s="43" t="str">
        <f aca="false">IF($A278="","",IF(R278="","",R278+Q278))</f>
        <v/>
      </c>
      <c r="T278" s="43" t="str">
        <f aca="false">IF($A278="","",IF(OR(S278="",N278&lt;=0),"",S278/1000*12/N278))</f>
        <v/>
      </c>
      <c r="U278" s="52" t="str">
        <f aca="false">IF($A278="","",IF(OR(T278="",J278=0,J278=""),"",T278/J278))</f>
        <v/>
      </c>
      <c r="V278" s="52" t="str">
        <f aca="false">IF($A278="","",IF(OR(R278="",N278&lt;=0,J278=0,J278=""),"",(R278/1000*12/N278)/J278))</f>
        <v/>
      </c>
      <c r="W278" s="52" t="str">
        <f aca="false">IF($A278="","",IF(OR(T278="",K278=0,K278=""),"",T278/K278))</f>
        <v/>
      </c>
      <c r="X278" s="43" t="str">
        <f aca="false">IF($A278="","",IF(OR(N278&lt;=0,I278=0,I278="",O278=0),"",O278*1000/(I278*0.3025)/N278))</f>
        <v/>
      </c>
      <c r="Y278" s="50" t="str">
        <f aca="false">IF($A278="","",IF(OR(O278=0,O278="",P278=0),"",P278/O278))</f>
        <v/>
      </c>
      <c r="Z278" s="17" t="str">
        <f aca="false">IF($A278="","",IFERROR(INDEX(物件収支!$E:$E,MATCH($A278,物件収支!$A:$A,0)),""))</f>
        <v>非開示（物件別収支非開示・契約賃料のみ開示）</v>
      </c>
    </row>
    <row r="279" customFormat="false" ht="15" hidden="false" customHeight="true" outlineLevel="0" collapsed="false">
      <c r="A279" s="17" t="str">
        <f aca="false">IF(物件マスタ!A279="","",物件マスタ!A279)</f>
        <v>TRE-11</v>
      </c>
      <c r="B279" s="17" t="str">
        <f aca="false">IF($A279="","",物件マスタ!B279)</f>
        <v>TRE</v>
      </c>
      <c r="C279" s="17" t="str">
        <f aca="false">IF($A279="","",IFERROR(INDEX(法人マスタ!$C:$C,MATCH($B279,法人マスタ!$A:$A,0)),""))</f>
        <v>東急リアル・エステート投資法人</v>
      </c>
      <c r="D279" s="17" t="str">
        <f aca="false">IF($A279="","",物件マスタ!C279)</f>
        <v>東急池尻大橋ビル</v>
      </c>
      <c r="E279" s="17" t="str">
        <f aca="false">IF($A279="","",物件マスタ!H279)</f>
        <v>その他東京23区</v>
      </c>
      <c r="F279" s="48" t="n">
        <f aca="false">IF($A279="","",物件マスタ!P279)</f>
        <v>32782</v>
      </c>
      <c r="G279" s="34" t="n">
        <f aca="false">IF($A279="","",物件マスタ!Q279)</f>
        <v>36.9</v>
      </c>
      <c r="H279" s="49" t="n">
        <f aca="false">IF($A279="","",物件マスタ!L279)</f>
        <v>7619.56</v>
      </c>
      <c r="I279" s="49" t="n">
        <f aca="false">IF($A279="","",物件マスタ!M279)</f>
        <v>5710.32</v>
      </c>
      <c r="J279" s="43" t="n">
        <f aca="false">IF($A279="","",物件マスタ!S279)</f>
        <v>0</v>
      </c>
      <c r="K279" s="43" t="n">
        <f aca="false">IF($A279="","",物件マスタ!U279)</f>
        <v>6680</v>
      </c>
      <c r="L279" s="50" t="n">
        <f aca="false">IF($A279="","",物件マスタ!W279)</f>
        <v>1</v>
      </c>
      <c r="M279" s="17" t="str">
        <f aca="false">IF($A279="","",IFERROR(INDEX(法人マスタ!$H:$H,MATCH($B279,法人マスタ!$A:$A,0)),""))</f>
        <v>2026年1月期（第45期）</v>
      </c>
      <c r="N279" s="51" t="n">
        <f aca="false">IF($A279="","",SUMIFS(物件収支!$D:$D,物件収支!$A:$A,$A279,物件収支!$C:$C,$M279))</f>
        <v>6</v>
      </c>
      <c r="O279" s="43" t="n">
        <f aca="false">IF($A279="","",SUMIFS(物件収支!$F:$F,物件収支!$A:$A,$A279,物件収支!$C:$C,$M279))</f>
        <v>0</v>
      </c>
      <c r="P279" s="43" t="n">
        <f aca="false">IF($A279="","",SUMIFS(物件収支!$I:$I,物件収支!$A:$A,$A279,物件収支!$C:$C,$M279))</f>
        <v>0</v>
      </c>
      <c r="Q279" s="43" t="n">
        <f aca="false">IF($A279="","",SUMIFS(物件収支!$O:$O,物件収支!$A:$A,$A279,物件収支!$C:$C,$M279))</f>
        <v>0</v>
      </c>
      <c r="R279" s="43" t="str">
        <f aca="false">IF($A279="","",IF(P279=0,"",O279-P279))</f>
        <v/>
      </c>
      <c r="S279" s="43" t="str">
        <f aca="false">IF($A279="","",IF(R279="","",R279+Q279))</f>
        <v/>
      </c>
      <c r="T279" s="43" t="str">
        <f aca="false">IF($A279="","",IF(OR(S279="",N279&lt;=0),"",S279/1000*12/N279))</f>
        <v/>
      </c>
      <c r="U279" s="52" t="str">
        <f aca="false">IF($A279="","",IF(OR(T279="",J279=0,J279=""),"",T279/J279))</f>
        <v/>
      </c>
      <c r="V279" s="52" t="str">
        <f aca="false">IF($A279="","",IF(OR(R279="",N279&lt;=0,J279=0,J279=""),"",(R279/1000*12/N279)/J279))</f>
        <v/>
      </c>
      <c r="W279" s="52" t="str">
        <f aca="false">IF($A279="","",IF(OR(T279="",K279=0,K279=""),"",T279/K279))</f>
        <v/>
      </c>
      <c r="X279" s="43" t="str">
        <f aca="false">IF($A279="","",IF(OR(N279&lt;=0,I279=0,I279="",O279=0),"",O279*1000/(I279*0.3025)/N279))</f>
        <v/>
      </c>
      <c r="Y279" s="50" t="str">
        <f aca="false">IF($A279="","",IF(OR(O279=0,O279="",P279=0),"",P279/O279))</f>
        <v/>
      </c>
      <c r="Z279" s="17" t="str">
        <f aca="false">IF($A279="","",IFERROR(INDEX(物件収支!$E:$E,MATCH($A279,物件収支!$A:$A,0)),""))</f>
        <v>非開示（物件別収支非開示・契約賃料のみ開示）</v>
      </c>
    </row>
    <row r="280" customFormat="false" ht="15" hidden="false" customHeight="true" outlineLevel="0" collapsed="false">
      <c r="A280" s="17" t="str">
        <f aca="false">IF(物件マスタ!A280="","",物件マスタ!A280)</f>
        <v>TRE-12</v>
      </c>
      <c r="B280" s="17" t="str">
        <f aca="false">IF($A280="","",物件マスタ!B280)</f>
        <v>TRE</v>
      </c>
      <c r="C280" s="17" t="str">
        <f aca="false">IF($A280="","",IFERROR(INDEX(法人マスタ!$C:$C,MATCH($B280,法人マスタ!$A:$A,0)),""))</f>
        <v>東急リアル・エステート投資法人</v>
      </c>
      <c r="D280" s="17" t="str">
        <f aca="false">IF($A280="","",物件マスタ!C280)</f>
        <v>麹町スクエア</v>
      </c>
      <c r="E280" s="17" t="str">
        <f aca="false">IF($A280="","",物件マスタ!H280)</f>
        <v>都心5区</v>
      </c>
      <c r="F280" s="48" t="n">
        <f aca="false">IF($A280="","",物件マスタ!P280)</f>
        <v>37622</v>
      </c>
      <c r="G280" s="34" t="n">
        <f aca="false">IF($A280="","",物件マスタ!Q280)</f>
        <v>23.6</v>
      </c>
      <c r="H280" s="49" t="n">
        <f aca="false">IF($A280="","",物件マスタ!L280)</f>
        <v>6803.47</v>
      </c>
      <c r="I280" s="49" t="n">
        <f aca="false">IF($A280="","",物件マスタ!M280)</f>
        <v>5409.07</v>
      </c>
      <c r="J280" s="43" t="n">
        <f aca="false">IF($A280="","",物件マスタ!S280)</f>
        <v>0</v>
      </c>
      <c r="K280" s="43" t="n">
        <f aca="false">IF($A280="","",物件マスタ!U280)</f>
        <v>10600</v>
      </c>
      <c r="L280" s="50" t="n">
        <f aca="false">IF($A280="","",物件マスタ!W280)</f>
        <v>1</v>
      </c>
      <c r="M280" s="17" t="str">
        <f aca="false">IF($A280="","",IFERROR(INDEX(法人マスタ!$H:$H,MATCH($B280,法人マスタ!$A:$A,0)),""))</f>
        <v>2026年1月期（第45期）</v>
      </c>
      <c r="N280" s="51" t="n">
        <f aca="false">IF($A280="","",SUMIFS(物件収支!$D:$D,物件収支!$A:$A,$A280,物件収支!$C:$C,$M280))</f>
        <v>6</v>
      </c>
      <c r="O280" s="43" t="n">
        <f aca="false">IF($A280="","",SUMIFS(物件収支!$F:$F,物件収支!$A:$A,$A280,物件収支!$C:$C,$M280))</f>
        <v>0</v>
      </c>
      <c r="P280" s="43" t="n">
        <f aca="false">IF($A280="","",SUMIFS(物件収支!$I:$I,物件収支!$A:$A,$A280,物件収支!$C:$C,$M280))</f>
        <v>0</v>
      </c>
      <c r="Q280" s="43" t="n">
        <f aca="false">IF($A280="","",SUMIFS(物件収支!$O:$O,物件収支!$A:$A,$A280,物件収支!$C:$C,$M280))</f>
        <v>0</v>
      </c>
      <c r="R280" s="43" t="str">
        <f aca="false">IF($A280="","",IF(P280=0,"",O280-P280))</f>
        <v/>
      </c>
      <c r="S280" s="43" t="str">
        <f aca="false">IF($A280="","",IF(R280="","",R280+Q280))</f>
        <v/>
      </c>
      <c r="T280" s="43" t="str">
        <f aca="false">IF($A280="","",IF(OR(S280="",N280&lt;=0),"",S280/1000*12/N280))</f>
        <v/>
      </c>
      <c r="U280" s="52" t="str">
        <f aca="false">IF($A280="","",IF(OR(T280="",J280=0,J280=""),"",T280/J280))</f>
        <v/>
      </c>
      <c r="V280" s="52" t="str">
        <f aca="false">IF($A280="","",IF(OR(R280="",N280&lt;=0,J280=0,J280=""),"",(R280/1000*12/N280)/J280))</f>
        <v/>
      </c>
      <c r="W280" s="52" t="str">
        <f aca="false">IF($A280="","",IF(OR(T280="",K280=0,K280=""),"",T280/K280))</f>
        <v/>
      </c>
      <c r="X280" s="43" t="str">
        <f aca="false">IF($A280="","",IF(OR(N280&lt;=0,I280=0,I280="",O280=0),"",O280*1000/(I280*0.3025)/N280))</f>
        <v/>
      </c>
      <c r="Y280" s="50" t="str">
        <f aca="false">IF($A280="","",IF(OR(O280=0,O280="",P280=0),"",P280/O280))</f>
        <v/>
      </c>
      <c r="Z280" s="17" t="str">
        <f aca="false">IF($A280="","",IFERROR(INDEX(物件収支!$E:$E,MATCH($A280,物件収支!$A:$A,0)),""))</f>
        <v>非開示（物件別収支非開示・契約賃料のみ開示）</v>
      </c>
    </row>
    <row r="281" customFormat="false" ht="15" hidden="false" customHeight="true" outlineLevel="0" collapsed="false">
      <c r="A281" s="17" t="str">
        <f aca="false">IF(物件マスタ!A281="","",物件マスタ!A281)</f>
        <v>TRE-13</v>
      </c>
      <c r="B281" s="17" t="str">
        <f aca="false">IF($A281="","",物件マスタ!B281)</f>
        <v>TRE</v>
      </c>
      <c r="C281" s="17" t="str">
        <f aca="false">IF($A281="","",IFERROR(INDEX(法人マスタ!$C:$C,MATCH($B281,法人マスタ!$A:$A,0)),""))</f>
        <v>東急リアル・エステート投資法人</v>
      </c>
      <c r="D281" s="17" t="str">
        <f aca="false">IF($A281="","",物件マスタ!C281)</f>
        <v>ＴＯＫＹＵ ＲＥＩＴ新宿ビル</v>
      </c>
      <c r="E281" s="17" t="str">
        <f aca="false">IF($A281="","",物件マスタ!H281)</f>
        <v>都心5区</v>
      </c>
      <c r="F281" s="48" t="n">
        <f aca="false">IF($A281="","",物件マスタ!P281)</f>
        <v>37742</v>
      </c>
      <c r="G281" s="34" t="n">
        <f aca="false">IF($A281="","",物件マスタ!Q281)</f>
        <v>23.3</v>
      </c>
      <c r="H281" s="49" t="n">
        <f aca="false">IF($A281="","",物件マスタ!L281)</f>
        <v>8720.09</v>
      </c>
      <c r="I281" s="49" t="n">
        <f aca="false">IF($A281="","",物件マスタ!M281)</f>
        <v>6273.51</v>
      </c>
      <c r="J281" s="43" t="n">
        <f aca="false">IF($A281="","",物件マスタ!S281)</f>
        <v>0</v>
      </c>
      <c r="K281" s="43" t="n">
        <f aca="false">IF($A281="","",物件マスタ!U281)</f>
        <v>13600</v>
      </c>
      <c r="L281" s="50" t="n">
        <f aca="false">IF($A281="","",物件マスタ!W281)</f>
        <v>1</v>
      </c>
      <c r="M281" s="17" t="str">
        <f aca="false">IF($A281="","",IFERROR(INDEX(法人マスタ!$H:$H,MATCH($B281,法人マスタ!$A:$A,0)),""))</f>
        <v>2026年1月期（第45期）</v>
      </c>
      <c r="N281" s="51" t="n">
        <f aca="false">IF($A281="","",SUMIFS(物件収支!$D:$D,物件収支!$A:$A,$A281,物件収支!$C:$C,$M281))</f>
        <v>6</v>
      </c>
      <c r="O281" s="43" t="n">
        <f aca="false">IF($A281="","",SUMIFS(物件収支!$F:$F,物件収支!$A:$A,$A281,物件収支!$C:$C,$M281))</f>
        <v>0</v>
      </c>
      <c r="P281" s="43" t="n">
        <f aca="false">IF($A281="","",SUMIFS(物件収支!$I:$I,物件収支!$A:$A,$A281,物件収支!$C:$C,$M281))</f>
        <v>0</v>
      </c>
      <c r="Q281" s="43" t="n">
        <f aca="false">IF($A281="","",SUMIFS(物件収支!$O:$O,物件収支!$A:$A,$A281,物件収支!$C:$C,$M281))</f>
        <v>0</v>
      </c>
      <c r="R281" s="43" t="str">
        <f aca="false">IF($A281="","",IF(P281=0,"",O281-P281))</f>
        <v/>
      </c>
      <c r="S281" s="43" t="str">
        <f aca="false">IF($A281="","",IF(R281="","",R281+Q281))</f>
        <v/>
      </c>
      <c r="T281" s="43" t="str">
        <f aca="false">IF($A281="","",IF(OR(S281="",N281&lt;=0),"",S281/1000*12/N281))</f>
        <v/>
      </c>
      <c r="U281" s="52" t="str">
        <f aca="false">IF($A281="","",IF(OR(T281="",J281=0,J281=""),"",T281/J281))</f>
        <v/>
      </c>
      <c r="V281" s="52" t="str">
        <f aca="false">IF($A281="","",IF(OR(R281="",N281&lt;=0,J281=0,J281=""),"",(R281/1000*12/N281)/J281))</f>
        <v/>
      </c>
      <c r="W281" s="52" t="str">
        <f aca="false">IF($A281="","",IF(OR(T281="",K281=0,K281=""),"",T281/K281))</f>
        <v/>
      </c>
      <c r="X281" s="43" t="str">
        <f aca="false">IF($A281="","",IF(OR(N281&lt;=0,I281=0,I281="",O281=0),"",O281*1000/(I281*0.3025)/N281))</f>
        <v/>
      </c>
      <c r="Y281" s="50" t="str">
        <f aca="false">IF($A281="","",IF(OR(O281=0,O281="",P281=0),"",P281/O281))</f>
        <v/>
      </c>
      <c r="Z281" s="17" t="str">
        <f aca="false">IF($A281="","",IFERROR(INDEX(物件収支!$E:$E,MATCH($A281,物件収支!$A:$A,0)),""))</f>
        <v>非開示（物件別収支非開示・契約賃料のみ開示）</v>
      </c>
    </row>
    <row r="282" customFormat="false" ht="15" hidden="false" customHeight="true" outlineLevel="0" collapsed="false">
      <c r="A282" s="17" t="str">
        <f aca="false">IF(物件マスタ!A282="","",物件マスタ!A282)</f>
        <v>TRE-14</v>
      </c>
      <c r="B282" s="17" t="str">
        <f aca="false">IF($A282="","",物件マスタ!B282)</f>
        <v>TRE</v>
      </c>
      <c r="C282" s="17" t="str">
        <f aca="false">IF($A282="","",IFERROR(INDEX(法人マスタ!$C:$C,MATCH($B282,法人マスタ!$A:$A,0)),""))</f>
        <v>東急リアル・エステート投資法人</v>
      </c>
      <c r="D282" s="17" t="str">
        <f aca="false">IF($A282="","",物件マスタ!C282)</f>
        <v>秋葉原三和東洋ビル</v>
      </c>
      <c r="E282" s="17" t="str">
        <f aca="false">IF($A282="","",物件マスタ!H282)</f>
        <v>都心5区</v>
      </c>
      <c r="F282" s="48" t="n">
        <f aca="false">IF($A282="","",物件マスタ!P282)</f>
        <v>31291</v>
      </c>
      <c r="G282" s="34" t="n">
        <f aca="false">IF($A282="","",物件マスタ!Q282)</f>
        <v>40.9</v>
      </c>
      <c r="H282" s="49" t="n">
        <f aca="false">IF($A282="","",物件マスタ!L282)</f>
        <v>5704.69</v>
      </c>
      <c r="I282" s="49" t="n">
        <f aca="false">IF($A282="","",物件マスタ!M282)</f>
        <v>4426.65</v>
      </c>
      <c r="J282" s="43" t="n">
        <f aca="false">IF($A282="","",物件マスタ!S282)</f>
        <v>0</v>
      </c>
      <c r="K282" s="43" t="n">
        <f aca="false">IF($A282="","",物件マスタ!U282)</f>
        <v>7300</v>
      </c>
      <c r="L282" s="50" t="n">
        <f aca="false">IF($A282="","",物件マスタ!W282)</f>
        <v>1</v>
      </c>
      <c r="M282" s="17" t="str">
        <f aca="false">IF($A282="","",IFERROR(INDEX(法人マスタ!$H:$H,MATCH($B282,法人マスタ!$A:$A,0)),""))</f>
        <v>2026年1月期（第45期）</v>
      </c>
      <c r="N282" s="51" t="n">
        <f aca="false">IF($A282="","",SUMIFS(物件収支!$D:$D,物件収支!$A:$A,$A282,物件収支!$C:$C,$M282))</f>
        <v>6</v>
      </c>
      <c r="O282" s="43" t="n">
        <f aca="false">IF($A282="","",SUMIFS(物件収支!$F:$F,物件収支!$A:$A,$A282,物件収支!$C:$C,$M282))</f>
        <v>0</v>
      </c>
      <c r="P282" s="43" t="n">
        <f aca="false">IF($A282="","",SUMIFS(物件収支!$I:$I,物件収支!$A:$A,$A282,物件収支!$C:$C,$M282))</f>
        <v>0</v>
      </c>
      <c r="Q282" s="43" t="n">
        <f aca="false">IF($A282="","",SUMIFS(物件収支!$O:$O,物件収支!$A:$A,$A282,物件収支!$C:$C,$M282))</f>
        <v>0</v>
      </c>
      <c r="R282" s="43" t="str">
        <f aca="false">IF($A282="","",IF(P282=0,"",O282-P282))</f>
        <v/>
      </c>
      <c r="S282" s="43" t="str">
        <f aca="false">IF($A282="","",IF(R282="","",R282+Q282))</f>
        <v/>
      </c>
      <c r="T282" s="43" t="str">
        <f aca="false">IF($A282="","",IF(OR(S282="",N282&lt;=0),"",S282/1000*12/N282))</f>
        <v/>
      </c>
      <c r="U282" s="52" t="str">
        <f aca="false">IF($A282="","",IF(OR(T282="",J282=0,J282=""),"",T282/J282))</f>
        <v/>
      </c>
      <c r="V282" s="52" t="str">
        <f aca="false">IF($A282="","",IF(OR(R282="",N282&lt;=0,J282=0,J282=""),"",(R282/1000*12/N282)/J282))</f>
        <v/>
      </c>
      <c r="W282" s="52" t="str">
        <f aca="false">IF($A282="","",IF(OR(T282="",K282=0,K282=""),"",T282/K282))</f>
        <v/>
      </c>
      <c r="X282" s="43" t="str">
        <f aca="false">IF($A282="","",IF(OR(N282&lt;=0,I282=0,I282="",O282=0),"",O282*1000/(I282*0.3025)/N282))</f>
        <v/>
      </c>
      <c r="Y282" s="50" t="str">
        <f aca="false">IF($A282="","",IF(OR(O282=0,O282="",P282=0),"",P282/O282))</f>
        <v/>
      </c>
      <c r="Z282" s="17" t="str">
        <f aca="false">IF($A282="","",IFERROR(INDEX(物件収支!$E:$E,MATCH($A282,物件収支!$A:$A,0)),""))</f>
        <v>非開示（物件別収支非開示・契約賃料のみ開示）</v>
      </c>
    </row>
    <row r="283" customFormat="false" ht="15" hidden="false" customHeight="true" outlineLevel="0" collapsed="false">
      <c r="A283" s="17" t="str">
        <f aca="false">IF(物件マスタ!A283="","",物件マスタ!A283)</f>
        <v>TRE-15</v>
      </c>
      <c r="B283" s="17" t="str">
        <f aca="false">IF($A283="","",物件マスタ!B283)</f>
        <v>TRE</v>
      </c>
      <c r="C283" s="17" t="str">
        <f aca="false">IF($A283="","",IFERROR(INDEX(法人マスタ!$C:$C,MATCH($B283,法人マスタ!$A:$A,0)),""))</f>
        <v>東急リアル・エステート投資法人</v>
      </c>
      <c r="D283" s="17" t="str">
        <f aca="false">IF($A283="","",物件マスタ!C283)</f>
        <v>ＴＯＫＹＵ ＲＥＩＴ渋谷Ｒビル</v>
      </c>
      <c r="E283" s="17" t="str">
        <f aca="false">IF($A283="","",物件マスタ!H283)</f>
        <v>都心5区</v>
      </c>
      <c r="F283" s="48" t="n">
        <f aca="false">IF($A283="","",物件マスタ!P283)</f>
        <v>32933</v>
      </c>
      <c r="G283" s="34" t="n">
        <f aca="false">IF($A283="","",物件マスタ!Q283)</f>
        <v>36.4</v>
      </c>
      <c r="H283" s="49" t="n">
        <f aca="false">IF($A283="","",物件マスタ!L283)</f>
        <v>7289.38</v>
      </c>
      <c r="I283" s="49" t="n">
        <f aca="false">IF($A283="","",物件マスタ!M283)</f>
        <v>5246.68</v>
      </c>
      <c r="J283" s="43" t="n">
        <f aca="false">IF($A283="","",物件マスタ!S283)</f>
        <v>0</v>
      </c>
      <c r="K283" s="43" t="n">
        <f aca="false">IF($A283="","",物件マスタ!U283)</f>
        <v>10400</v>
      </c>
      <c r="L283" s="50" t="n">
        <f aca="false">IF($A283="","",物件マスタ!W283)</f>
        <v>0.877</v>
      </c>
      <c r="M283" s="17" t="str">
        <f aca="false">IF($A283="","",IFERROR(INDEX(法人マスタ!$H:$H,MATCH($B283,法人マスタ!$A:$A,0)),""))</f>
        <v>2026年1月期（第45期）</v>
      </c>
      <c r="N283" s="51" t="n">
        <f aca="false">IF($A283="","",SUMIFS(物件収支!$D:$D,物件収支!$A:$A,$A283,物件収支!$C:$C,$M283))</f>
        <v>6</v>
      </c>
      <c r="O283" s="43" t="n">
        <f aca="false">IF($A283="","",SUMIFS(物件収支!$F:$F,物件収支!$A:$A,$A283,物件収支!$C:$C,$M283))</f>
        <v>0</v>
      </c>
      <c r="P283" s="43" t="n">
        <f aca="false">IF($A283="","",SUMIFS(物件収支!$I:$I,物件収支!$A:$A,$A283,物件収支!$C:$C,$M283))</f>
        <v>0</v>
      </c>
      <c r="Q283" s="43" t="n">
        <f aca="false">IF($A283="","",SUMIFS(物件収支!$O:$O,物件収支!$A:$A,$A283,物件収支!$C:$C,$M283))</f>
        <v>0</v>
      </c>
      <c r="R283" s="43" t="str">
        <f aca="false">IF($A283="","",IF(P283=0,"",O283-P283))</f>
        <v/>
      </c>
      <c r="S283" s="43" t="str">
        <f aca="false">IF($A283="","",IF(R283="","",R283+Q283))</f>
        <v/>
      </c>
      <c r="T283" s="43" t="str">
        <f aca="false">IF($A283="","",IF(OR(S283="",N283&lt;=0),"",S283/1000*12/N283))</f>
        <v/>
      </c>
      <c r="U283" s="52" t="str">
        <f aca="false">IF($A283="","",IF(OR(T283="",J283=0,J283=""),"",T283/J283))</f>
        <v/>
      </c>
      <c r="V283" s="52" t="str">
        <f aca="false">IF($A283="","",IF(OR(R283="",N283&lt;=0,J283=0,J283=""),"",(R283/1000*12/N283)/J283))</f>
        <v/>
      </c>
      <c r="W283" s="52" t="str">
        <f aca="false">IF($A283="","",IF(OR(T283="",K283=0,K283=""),"",T283/K283))</f>
        <v/>
      </c>
      <c r="X283" s="43" t="str">
        <f aca="false">IF($A283="","",IF(OR(N283&lt;=0,I283=0,I283="",O283=0),"",O283*1000/(I283*0.3025)/N283))</f>
        <v/>
      </c>
      <c r="Y283" s="50" t="str">
        <f aca="false">IF($A283="","",IF(OR(O283=0,O283="",P283=0),"",P283/O283))</f>
        <v/>
      </c>
      <c r="Z283" s="17" t="str">
        <f aca="false">IF($A283="","",IFERROR(INDEX(物件収支!$E:$E,MATCH($A283,物件収支!$A:$A,0)),""))</f>
        <v>非開示（物件別収支非開示・契約賃料のみ開示）</v>
      </c>
    </row>
    <row r="284" customFormat="false" ht="15" hidden="false" customHeight="true" outlineLevel="0" collapsed="false">
      <c r="A284" s="17" t="str">
        <f aca="false">IF(物件マスタ!A284="","",物件マスタ!A284)</f>
        <v>TRE-16</v>
      </c>
      <c r="B284" s="17" t="str">
        <f aca="false">IF($A284="","",物件マスタ!B284)</f>
        <v>TRE</v>
      </c>
      <c r="C284" s="17" t="str">
        <f aca="false">IF($A284="","",IFERROR(INDEX(法人マスタ!$C:$C,MATCH($B284,法人マスタ!$A:$A,0)),""))</f>
        <v>東急リアル・エステート投資法人</v>
      </c>
      <c r="D284" s="17" t="str">
        <f aca="false">IF($A284="","",物件マスタ!C284)</f>
        <v>東急虎ノ門ビル</v>
      </c>
      <c r="E284" s="17" t="str">
        <f aca="false">IF($A284="","",物件マスタ!H284)</f>
        <v>都心5区</v>
      </c>
      <c r="F284" s="48" t="n">
        <f aca="false">IF($A284="","",物件マスタ!P284)</f>
        <v>40269</v>
      </c>
      <c r="G284" s="34" t="n">
        <f aca="false">IF($A284="","",物件マスタ!Q284)</f>
        <v>16.4</v>
      </c>
      <c r="H284" s="49" t="n">
        <f aca="false">IF($A284="","",物件マスタ!L284)</f>
        <v>14033.73</v>
      </c>
      <c r="I284" s="49" t="n">
        <f aca="false">IF($A284="","",物件マスタ!M284)</f>
        <v>11029.27</v>
      </c>
      <c r="J284" s="43" t="n">
        <f aca="false">IF($A284="","",物件マスタ!S284)</f>
        <v>0</v>
      </c>
      <c r="K284" s="43" t="n">
        <f aca="false">IF($A284="","",物件マスタ!U284)</f>
        <v>26100</v>
      </c>
      <c r="L284" s="50" t="n">
        <f aca="false">IF($A284="","",物件マスタ!W284)</f>
        <v>1</v>
      </c>
      <c r="M284" s="17" t="str">
        <f aca="false">IF($A284="","",IFERROR(INDEX(法人マスタ!$H:$H,MATCH($B284,法人マスタ!$A:$A,0)),""))</f>
        <v>2026年1月期（第45期）</v>
      </c>
      <c r="N284" s="51" t="n">
        <f aca="false">IF($A284="","",SUMIFS(物件収支!$D:$D,物件収支!$A:$A,$A284,物件収支!$C:$C,$M284))</f>
        <v>6</v>
      </c>
      <c r="O284" s="43" t="n">
        <f aca="false">IF($A284="","",SUMIFS(物件収支!$F:$F,物件収支!$A:$A,$A284,物件収支!$C:$C,$M284))</f>
        <v>0</v>
      </c>
      <c r="P284" s="43" t="n">
        <f aca="false">IF($A284="","",SUMIFS(物件収支!$I:$I,物件収支!$A:$A,$A284,物件収支!$C:$C,$M284))</f>
        <v>0</v>
      </c>
      <c r="Q284" s="43" t="n">
        <f aca="false">IF($A284="","",SUMIFS(物件収支!$O:$O,物件収支!$A:$A,$A284,物件収支!$C:$C,$M284))</f>
        <v>0</v>
      </c>
      <c r="R284" s="43" t="str">
        <f aca="false">IF($A284="","",IF(P284=0,"",O284-P284))</f>
        <v/>
      </c>
      <c r="S284" s="43" t="str">
        <f aca="false">IF($A284="","",IF(R284="","",R284+Q284))</f>
        <v/>
      </c>
      <c r="T284" s="43" t="str">
        <f aca="false">IF($A284="","",IF(OR(S284="",N284&lt;=0),"",S284/1000*12/N284))</f>
        <v/>
      </c>
      <c r="U284" s="52" t="str">
        <f aca="false">IF($A284="","",IF(OR(T284="",J284=0,J284=""),"",T284/J284))</f>
        <v/>
      </c>
      <c r="V284" s="52" t="str">
        <f aca="false">IF($A284="","",IF(OR(R284="",N284&lt;=0,J284=0,J284=""),"",(R284/1000*12/N284)/J284))</f>
        <v/>
      </c>
      <c r="W284" s="52" t="str">
        <f aca="false">IF($A284="","",IF(OR(T284="",K284=0,K284=""),"",T284/K284))</f>
        <v/>
      </c>
      <c r="X284" s="43" t="str">
        <f aca="false">IF($A284="","",IF(OR(N284&lt;=0,I284=0,I284="",O284=0),"",O284*1000/(I284*0.3025)/N284))</f>
        <v/>
      </c>
      <c r="Y284" s="50" t="str">
        <f aca="false">IF($A284="","",IF(OR(O284=0,O284="",P284=0),"",P284/O284))</f>
        <v/>
      </c>
      <c r="Z284" s="17" t="str">
        <f aca="false">IF($A284="","",IFERROR(INDEX(物件収支!$E:$E,MATCH($A284,物件収支!$A:$A,0)),""))</f>
        <v>非開示（物件別収支非開示・契約賃料のみ開示）</v>
      </c>
    </row>
    <row r="285" customFormat="false" ht="15" hidden="false" customHeight="true" outlineLevel="0" collapsed="false">
      <c r="A285" s="17" t="str">
        <f aca="false">IF(物件マスタ!A285="","",物件マスタ!A285)</f>
        <v>TRE-17</v>
      </c>
      <c r="B285" s="17" t="str">
        <f aca="false">IF($A285="","",物件マスタ!B285)</f>
        <v>TRE</v>
      </c>
      <c r="C285" s="17" t="str">
        <f aca="false">IF($A285="","",IFERROR(INDEX(法人マスタ!$C:$C,MATCH($B285,法人マスタ!$A:$A,0)),""))</f>
        <v>東急リアル・エステート投資法人</v>
      </c>
      <c r="D285" s="17" t="str">
        <f aca="false">IF($A285="","",物件マスタ!C285)</f>
        <v>ＴＯＫＹＵ ＲＥＩＴ第２新宿ビル</v>
      </c>
      <c r="E285" s="17" t="str">
        <f aca="false">IF($A285="","",物件マスタ!H285)</f>
        <v>都心5区</v>
      </c>
      <c r="F285" s="48" t="n">
        <f aca="false">IF($A285="","",物件マスタ!P285)</f>
        <v>33573</v>
      </c>
      <c r="G285" s="34" t="n">
        <f aca="false">IF($A285="","",物件マスタ!Q285)</f>
        <v>34.7</v>
      </c>
      <c r="H285" s="49" t="n">
        <f aca="false">IF($A285="","",物件マスタ!L285)</f>
        <v>2006.13</v>
      </c>
      <c r="I285" s="49" t="n">
        <f aca="false">IF($A285="","",物件マスタ!M285)</f>
        <v>1790.46</v>
      </c>
      <c r="J285" s="43" t="n">
        <f aca="false">IF($A285="","",物件マスタ!S285)</f>
        <v>0</v>
      </c>
      <c r="K285" s="43" t="n">
        <f aca="false">IF($A285="","",物件マスタ!U285)</f>
        <v>3400</v>
      </c>
      <c r="L285" s="50" t="n">
        <f aca="false">IF($A285="","",物件マスタ!W285)</f>
        <v>1</v>
      </c>
      <c r="M285" s="17" t="str">
        <f aca="false">IF($A285="","",IFERROR(INDEX(法人マスタ!$H:$H,MATCH($B285,法人マスタ!$A:$A,0)),""))</f>
        <v>2026年1月期（第45期）</v>
      </c>
      <c r="N285" s="51" t="n">
        <f aca="false">IF($A285="","",SUMIFS(物件収支!$D:$D,物件収支!$A:$A,$A285,物件収支!$C:$C,$M285))</f>
        <v>6</v>
      </c>
      <c r="O285" s="43" t="n">
        <f aca="false">IF($A285="","",SUMIFS(物件収支!$F:$F,物件収支!$A:$A,$A285,物件収支!$C:$C,$M285))</f>
        <v>0</v>
      </c>
      <c r="P285" s="43" t="n">
        <f aca="false">IF($A285="","",SUMIFS(物件収支!$I:$I,物件収支!$A:$A,$A285,物件収支!$C:$C,$M285))</f>
        <v>0</v>
      </c>
      <c r="Q285" s="43" t="n">
        <f aca="false">IF($A285="","",SUMIFS(物件収支!$O:$O,物件収支!$A:$A,$A285,物件収支!$C:$C,$M285))</f>
        <v>0</v>
      </c>
      <c r="R285" s="43" t="str">
        <f aca="false">IF($A285="","",IF(P285=0,"",O285-P285))</f>
        <v/>
      </c>
      <c r="S285" s="43" t="str">
        <f aca="false">IF($A285="","",IF(R285="","",R285+Q285))</f>
        <v/>
      </c>
      <c r="T285" s="43" t="str">
        <f aca="false">IF($A285="","",IF(OR(S285="",N285&lt;=0),"",S285/1000*12/N285))</f>
        <v/>
      </c>
      <c r="U285" s="52" t="str">
        <f aca="false">IF($A285="","",IF(OR(T285="",J285=0,J285=""),"",T285/J285))</f>
        <v/>
      </c>
      <c r="V285" s="52" t="str">
        <f aca="false">IF($A285="","",IF(OR(R285="",N285&lt;=0,J285=0,J285=""),"",(R285/1000*12/N285)/J285))</f>
        <v/>
      </c>
      <c r="W285" s="52" t="str">
        <f aca="false">IF($A285="","",IF(OR(T285="",K285=0,K285=""),"",T285/K285))</f>
        <v/>
      </c>
      <c r="X285" s="43" t="str">
        <f aca="false">IF($A285="","",IF(OR(N285&lt;=0,I285=0,I285="",O285=0),"",O285*1000/(I285*0.3025)/N285))</f>
        <v/>
      </c>
      <c r="Y285" s="50" t="str">
        <f aca="false">IF($A285="","",IF(OR(O285=0,O285="",P285=0),"",P285/O285))</f>
        <v/>
      </c>
      <c r="Z285" s="17" t="str">
        <f aca="false">IF($A285="","",IFERROR(INDEX(物件収支!$E:$E,MATCH($A285,物件収支!$A:$A,0)),""))</f>
        <v>非開示（物件別収支非開示・契約賃料のみ開示）</v>
      </c>
    </row>
    <row r="286" customFormat="false" ht="15" hidden="false" customHeight="true" outlineLevel="0" collapsed="false">
      <c r="A286" s="17" t="str">
        <f aca="false">IF(物件マスタ!A286="","",物件マスタ!A286)</f>
        <v>TRE-18</v>
      </c>
      <c r="B286" s="17" t="str">
        <f aca="false">IF($A286="","",物件マスタ!B286)</f>
        <v>TRE</v>
      </c>
      <c r="C286" s="17" t="str">
        <f aca="false">IF($A286="","",IFERROR(INDEX(法人マスタ!$C:$C,MATCH($B286,法人マスタ!$A:$A,0)),""))</f>
        <v>東急リアル・エステート投資法人</v>
      </c>
      <c r="D286" s="17" t="str">
        <f aca="false">IF($A286="","",物件マスタ!C286)</f>
        <v>東急番町ビル</v>
      </c>
      <c r="E286" s="17" t="str">
        <f aca="false">IF($A286="","",物件マスタ!H286)</f>
        <v>都心5区</v>
      </c>
      <c r="F286" s="48" t="n">
        <f aca="false">IF($A286="","",物件マスタ!P286)</f>
        <v>40787</v>
      </c>
      <c r="G286" s="34" t="n">
        <f aca="false">IF($A286="","",物件マスタ!Q286)</f>
        <v>14.9</v>
      </c>
      <c r="H286" s="49" t="n">
        <f aca="false">IF($A286="","",物件マスタ!L286)</f>
        <v>15834.55</v>
      </c>
      <c r="I286" s="49" t="n">
        <f aca="false">IF($A286="","",物件マスタ!M286)</f>
        <v>11668.25</v>
      </c>
      <c r="J286" s="43" t="n">
        <f aca="false">IF($A286="","",物件マスタ!S286)</f>
        <v>0</v>
      </c>
      <c r="K286" s="43" t="n">
        <f aca="false">IF($A286="","",物件マスタ!U286)</f>
        <v>31000</v>
      </c>
      <c r="L286" s="50" t="n">
        <f aca="false">IF($A286="","",物件マスタ!W286)</f>
        <v>1</v>
      </c>
      <c r="M286" s="17" t="str">
        <f aca="false">IF($A286="","",IFERROR(INDEX(法人マスタ!$H:$H,MATCH($B286,法人マスタ!$A:$A,0)),""))</f>
        <v>2026年1月期（第45期）</v>
      </c>
      <c r="N286" s="51" t="n">
        <f aca="false">IF($A286="","",SUMIFS(物件収支!$D:$D,物件収支!$A:$A,$A286,物件収支!$C:$C,$M286))</f>
        <v>6</v>
      </c>
      <c r="O286" s="43" t="n">
        <f aca="false">IF($A286="","",SUMIFS(物件収支!$F:$F,物件収支!$A:$A,$A286,物件収支!$C:$C,$M286))</f>
        <v>0</v>
      </c>
      <c r="P286" s="43" t="n">
        <f aca="false">IF($A286="","",SUMIFS(物件収支!$I:$I,物件収支!$A:$A,$A286,物件収支!$C:$C,$M286))</f>
        <v>0</v>
      </c>
      <c r="Q286" s="43" t="n">
        <f aca="false">IF($A286="","",SUMIFS(物件収支!$O:$O,物件収支!$A:$A,$A286,物件収支!$C:$C,$M286))</f>
        <v>0</v>
      </c>
      <c r="R286" s="43" t="str">
        <f aca="false">IF($A286="","",IF(P286=0,"",O286-P286))</f>
        <v/>
      </c>
      <c r="S286" s="43" t="str">
        <f aca="false">IF($A286="","",IF(R286="","",R286+Q286))</f>
        <v/>
      </c>
      <c r="T286" s="43" t="str">
        <f aca="false">IF($A286="","",IF(OR(S286="",N286&lt;=0),"",S286/1000*12/N286))</f>
        <v/>
      </c>
      <c r="U286" s="52" t="str">
        <f aca="false">IF($A286="","",IF(OR(T286="",J286=0,J286=""),"",T286/J286))</f>
        <v/>
      </c>
      <c r="V286" s="52" t="str">
        <f aca="false">IF($A286="","",IF(OR(R286="",N286&lt;=0,J286=0,J286=""),"",(R286/1000*12/N286)/J286))</f>
        <v/>
      </c>
      <c r="W286" s="52" t="str">
        <f aca="false">IF($A286="","",IF(OR(T286="",K286=0,K286=""),"",T286/K286))</f>
        <v/>
      </c>
      <c r="X286" s="43" t="str">
        <f aca="false">IF($A286="","",IF(OR(N286&lt;=0,I286=0,I286="",O286=0),"",O286*1000/(I286*0.3025)/N286))</f>
        <v/>
      </c>
      <c r="Y286" s="50" t="str">
        <f aca="false">IF($A286="","",IF(OR(O286=0,O286="",P286=0),"",P286/O286))</f>
        <v/>
      </c>
      <c r="Z286" s="17" t="str">
        <f aca="false">IF($A286="","",IFERROR(INDEX(物件収支!$E:$E,MATCH($A286,物件収支!$A:$A,0)),""))</f>
        <v>非開示（物件別収支非開示・契約賃料のみ開示）</v>
      </c>
    </row>
    <row r="287" customFormat="false" ht="15" hidden="false" customHeight="true" outlineLevel="0" collapsed="false">
      <c r="A287" s="17" t="str">
        <f aca="false">IF(物件マスタ!A287="","",物件マスタ!A287)</f>
        <v>TRE-19</v>
      </c>
      <c r="B287" s="17" t="str">
        <f aca="false">IF($A287="","",物件マスタ!B287)</f>
        <v>TRE</v>
      </c>
      <c r="C287" s="17" t="str">
        <f aca="false">IF($A287="","",IFERROR(INDEX(法人マスタ!$C:$C,MATCH($B287,法人マスタ!$A:$A,0)),""))</f>
        <v>東急リアル・エステート投資法人</v>
      </c>
      <c r="D287" s="17" t="str">
        <f aca="false">IF($A287="","",物件マスタ!C287)</f>
        <v>ＴＯＫＹＵ ＲＥＩＴ恵比寿ビル</v>
      </c>
      <c r="E287" s="17" t="str">
        <f aca="false">IF($A287="","",物件マスタ!H287)</f>
        <v>都心5区</v>
      </c>
      <c r="F287" s="48" t="n">
        <f aca="false">IF($A287="","",物件マスタ!P287)</f>
        <v>33695</v>
      </c>
      <c r="G287" s="34" t="n">
        <f aca="false">IF($A287="","",物件マスタ!Q287)</f>
        <v>34.4</v>
      </c>
      <c r="H287" s="49" t="n">
        <f aca="false">IF($A287="","",物件マスタ!L287)</f>
        <v>2603.3</v>
      </c>
      <c r="I287" s="49" t="n">
        <f aca="false">IF($A287="","",物件マスタ!M287)</f>
        <v>1872.8</v>
      </c>
      <c r="J287" s="43" t="n">
        <f aca="false">IF($A287="","",物件マスタ!S287)</f>
        <v>0</v>
      </c>
      <c r="K287" s="43" t="n">
        <f aca="false">IF($A287="","",物件マスタ!U287)</f>
        <v>4820</v>
      </c>
      <c r="L287" s="50" t="n">
        <f aca="false">IF($A287="","",物件マスタ!W287)</f>
        <v>1</v>
      </c>
      <c r="M287" s="17" t="str">
        <f aca="false">IF($A287="","",IFERROR(INDEX(法人マスタ!$H:$H,MATCH($B287,法人マスタ!$A:$A,0)),""))</f>
        <v>2026年1月期（第45期）</v>
      </c>
      <c r="N287" s="51" t="n">
        <f aca="false">IF($A287="","",SUMIFS(物件収支!$D:$D,物件収支!$A:$A,$A287,物件収支!$C:$C,$M287))</f>
        <v>6</v>
      </c>
      <c r="O287" s="43" t="n">
        <f aca="false">IF($A287="","",SUMIFS(物件収支!$F:$F,物件収支!$A:$A,$A287,物件収支!$C:$C,$M287))</f>
        <v>0</v>
      </c>
      <c r="P287" s="43" t="n">
        <f aca="false">IF($A287="","",SUMIFS(物件収支!$I:$I,物件収支!$A:$A,$A287,物件収支!$C:$C,$M287))</f>
        <v>0</v>
      </c>
      <c r="Q287" s="43" t="n">
        <f aca="false">IF($A287="","",SUMIFS(物件収支!$O:$O,物件収支!$A:$A,$A287,物件収支!$C:$C,$M287))</f>
        <v>0</v>
      </c>
      <c r="R287" s="43" t="str">
        <f aca="false">IF($A287="","",IF(P287=0,"",O287-P287))</f>
        <v/>
      </c>
      <c r="S287" s="43" t="str">
        <f aca="false">IF($A287="","",IF(R287="","",R287+Q287))</f>
        <v/>
      </c>
      <c r="T287" s="43" t="str">
        <f aca="false">IF($A287="","",IF(OR(S287="",N287&lt;=0),"",S287/1000*12/N287))</f>
        <v/>
      </c>
      <c r="U287" s="52" t="str">
        <f aca="false">IF($A287="","",IF(OR(T287="",J287=0,J287=""),"",T287/J287))</f>
        <v/>
      </c>
      <c r="V287" s="52" t="str">
        <f aca="false">IF($A287="","",IF(OR(R287="",N287&lt;=0,J287=0,J287=""),"",(R287/1000*12/N287)/J287))</f>
        <v/>
      </c>
      <c r="W287" s="52" t="str">
        <f aca="false">IF($A287="","",IF(OR(T287="",K287=0,K287=""),"",T287/K287))</f>
        <v/>
      </c>
      <c r="X287" s="43" t="str">
        <f aca="false">IF($A287="","",IF(OR(N287&lt;=0,I287=0,I287="",O287=0),"",O287*1000/(I287*0.3025)/N287))</f>
        <v/>
      </c>
      <c r="Y287" s="50" t="str">
        <f aca="false">IF($A287="","",IF(OR(O287=0,O287="",P287=0),"",P287/O287))</f>
        <v/>
      </c>
      <c r="Z287" s="17" t="str">
        <f aca="false">IF($A287="","",IFERROR(INDEX(物件収支!$E:$E,MATCH($A287,物件収支!$A:$A,0)),""))</f>
        <v>非開示（物件別収支非開示・契約賃料のみ開示）</v>
      </c>
    </row>
    <row r="288" customFormat="false" ht="15" hidden="false" customHeight="true" outlineLevel="0" collapsed="false">
      <c r="A288" s="17" t="str">
        <f aca="false">IF(物件マスタ!A288="","",物件マスタ!A288)</f>
        <v>TRE-20</v>
      </c>
      <c r="B288" s="17" t="str">
        <f aca="false">IF($A288="","",物件マスタ!B288)</f>
        <v>TRE</v>
      </c>
      <c r="C288" s="17" t="str">
        <f aca="false">IF($A288="","",IFERROR(INDEX(法人マスタ!$C:$C,MATCH($B288,法人マスタ!$A:$A,0)),""))</f>
        <v>東急リアル・エステート投資法人</v>
      </c>
      <c r="D288" s="17" t="str">
        <f aca="false">IF($A288="","",物件マスタ!C288)</f>
        <v>渋谷道玄坂スカイビル</v>
      </c>
      <c r="E288" s="17" t="str">
        <f aca="false">IF($A288="","",物件マスタ!H288)</f>
        <v>都心5区</v>
      </c>
      <c r="F288" s="48" t="n">
        <f aca="false">IF($A288="","",物件マスタ!P288)</f>
        <v>32203</v>
      </c>
      <c r="G288" s="34" t="n">
        <f aca="false">IF($A288="","",物件マスタ!Q288)</f>
        <v>38.4</v>
      </c>
      <c r="H288" s="49" t="n">
        <f aca="false">IF($A288="","",物件マスタ!L288)</f>
        <v>5644.91</v>
      </c>
      <c r="I288" s="49" t="n">
        <f aca="false">IF($A288="","",物件マスタ!M288)</f>
        <v>4136.05</v>
      </c>
      <c r="J288" s="43" t="n">
        <f aca="false">IF($A288="","",物件マスタ!S288)</f>
        <v>0</v>
      </c>
      <c r="K288" s="43" t="n">
        <f aca="false">IF($A288="","",物件マスタ!U288)</f>
        <v>8940</v>
      </c>
      <c r="L288" s="50" t="n">
        <f aca="false">IF($A288="","",物件マスタ!W288)</f>
        <v>1</v>
      </c>
      <c r="M288" s="17" t="str">
        <f aca="false">IF($A288="","",IFERROR(INDEX(法人マスタ!$H:$H,MATCH($B288,法人マスタ!$A:$A,0)),""))</f>
        <v>2026年1月期（第45期）</v>
      </c>
      <c r="N288" s="51" t="n">
        <f aca="false">IF($A288="","",SUMIFS(物件収支!$D:$D,物件収支!$A:$A,$A288,物件収支!$C:$C,$M288))</f>
        <v>6</v>
      </c>
      <c r="O288" s="43" t="n">
        <f aca="false">IF($A288="","",SUMIFS(物件収支!$F:$F,物件収支!$A:$A,$A288,物件収支!$C:$C,$M288))</f>
        <v>0</v>
      </c>
      <c r="P288" s="43" t="n">
        <f aca="false">IF($A288="","",SUMIFS(物件収支!$I:$I,物件収支!$A:$A,$A288,物件収支!$C:$C,$M288))</f>
        <v>0</v>
      </c>
      <c r="Q288" s="43" t="n">
        <f aca="false">IF($A288="","",SUMIFS(物件収支!$O:$O,物件収支!$A:$A,$A288,物件収支!$C:$C,$M288))</f>
        <v>0</v>
      </c>
      <c r="R288" s="43" t="str">
        <f aca="false">IF($A288="","",IF(P288=0,"",O288-P288))</f>
        <v/>
      </c>
      <c r="S288" s="43" t="str">
        <f aca="false">IF($A288="","",IF(R288="","",R288+Q288))</f>
        <v/>
      </c>
      <c r="T288" s="43" t="str">
        <f aca="false">IF($A288="","",IF(OR(S288="",N288&lt;=0),"",S288/1000*12/N288))</f>
        <v/>
      </c>
      <c r="U288" s="52" t="str">
        <f aca="false">IF($A288="","",IF(OR(T288="",J288=0,J288=""),"",T288/J288))</f>
        <v/>
      </c>
      <c r="V288" s="52" t="str">
        <f aca="false">IF($A288="","",IF(OR(R288="",N288&lt;=0,J288=0,J288=""),"",(R288/1000*12/N288)/J288))</f>
        <v/>
      </c>
      <c r="W288" s="52" t="str">
        <f aca="false">IF($A288="","",IF(OR(T288="",K288=0,K288=""),"",T288/K288))</f>
        <v/>
      </c>
      <c r="X288" s="43" t="str">
        <f aca="false">IF($A288="","",IF(OR(N288&lt;=0,I288=0,I288="",O288=0),"",O288*1000/(I288*0.3025)/N288))</f>
        <v/>
      </c>
      <c r="Y288" s="50" t="str">
        <f aca="false">IF($A288="","",IF(OR(O288=0,O288="",P288=0),"",P288/O288))</f>
        <v/>
      </c>
      <c r="Z288" s="17" t="str">
        <f aca="false">IF($A288="","",IFERROR(INDEX(物件収支!$E:$E,MATCH($A288,物件収支!$A:$A,0)),""))</f>
        <v>非開示（物件別収支非開示・契約賃料のみ開示）</v>
      </c>
    </row>
    <row r="289" customFormat="false" ht="15" hidden="false" customHeight="true" outlineLevel="0" collapsed="false">
      <c r="A289" s="17" t="str">
        <f aca="false">IF(物件マスタ!A289="","",物件マスタ!A289)</f>
        <v>TRE-21</v>
      </c>
      <c r="B289" s="17" t="str">
        <f aca="false">IF($A289="","",物件マスタ!B289)</f>
        <v>TRE</v>
      </c>
      <c r="C289" s="17" t="str">
        <f aca="false">IF($A289="","",IFERROR(INDEX(法人マスタ!$C:$C,MATCH($B289,法人マスタ!$A:$A,0)),""))</f>
        <v>東急リアル・エステート投資法人</v>
      </c>
      <c r="D289" s="17" t="str">
        <f aca="false">IF($A289="","",物件マスタ!C289)</f>
        <v>ＯＫＩ芝浦オフィス</v>
      </c>
      <c r="E289" s="17" t="str">
        <f aca="false">IF($A289="","",物件マスタ!H289)</f>
        <v>都心5区</v>
      </c>
      <c r="F289" s="48" t="n">
        <f aca="false">IF($A289="","",物件マスタ!P289)</f>
        <v>30103</v>
      </c>
      <c r="G289" s="34" t="n">
        <f aca="false">IF($A289="","",物件マスタ!Q289)</f>
        <v>44.2</v>
      </c>
      <c r="H289" s="49" t="n">
        <f aca="false">IF($A289="","",物件マスタ!L289)</f>
        <v>18102.32</v>
      </c>
      <c r="I289" s="49" t="n">
        <f aca="false">IF($A289="","",物件マスタ!M289)</f>
        <v>18102.32</v>
      </c>
      <c r="J289" s="43" t="n">
        <f aca="false">IF($A289="","",物件マスタ!S289)</f>
        <v>0</v>
      </c>
      <c r="K289" s="43" t="n">
        <f aca="false">IF($A289="","",物件マスタ!U289)</f>
        <v>14000</v>
      </c>
      <c r="L289" s="50" t="n">
        <f aca="false">IF($A289="","",物件マスタ!W289)</f>
        <v>1</v>
      </c>
      <c r="M289" s="17" t="str">
        <f aca="false">IF($A289="","",IFERROR(INDEX(法人マスタ!$H:$H,MATCH($B289,法人マスタ!$A:$A,0)),""))</f>
        <v>2026年1月期（第45期）</v>
      </c>
      <c r="N289" s="51" t="n">
        <f aca="false">IF($A289="","",SUMIFS(物件収支!$D:$D,物件収支!$A:$A,$A289,物件収支!$C:$C,$M289))</f>
        <v>6</v>
      </c>
      <c r="O289" s="43" t="n">
        <f aca="false">IF($A289="","",SUMIFS(物件収支!$F:$F,物件収支!$A:$A,$A289,物件収支!$C:$C,$M289))</f>
        <v>0</v>
      </c>
      <c r="P289" s="43" t="n">
        <f aca="false">IF($A289="","",SUMIFS(物件収支!$I:$I,物件収支!$A:$A,$A289,物件収支!$C:$C,$M289))</f>
        <v>0</v>
      </c>
      <c r="Q289" s="43" t="n">
        <f aca="false">IF($A289="","",SUMIFS(物件収支!$O:$O,物件収支!$A:$A,$A289,物件収支!$C:$C,$M289))</f>
        <v>0</v>
      </c>
      <c r="R289" s="43" t="str">
        <f aca="false">IF($A289="","",IF(P289=0,"",O289-P289))</f>
        <v/>
      </c>
      <c r="S289" s="43" t="str">
        <f aca="false">IF($A289="","",IF(R289="","",R289+Q289))</f>
        <v/>
      </c>
      <c r="T289" s="43" t="str">
        <f aca="false">IF($A289="","",IF(OR(S289="",N289&lt;=0),"",S289/1000*12/N289))</f>
        <v/>
      </c>
      <c r="U289" s="52" t="str">
        <f aca="false">IF($A289="","",IF(OR(T289="",J289=0,J289=""),"",T289/J289))</f>
        <v/>
      </c>
      <c r="V289" s="52" t="str">
        <f aca="false">IF($A289="","",IF(OR(R289="",N289&lt;=0,J289=0,J289=""),"",(R289/1000*12/N289)/J289))</f>
        <v/>
      </c>
      <c r="W289" s="52" t="str">
        <f aca="false">IF($A289="","",IF(OR(T289="",K289=0,K289=""),"",T289/K289))</f>
        <v/>
      </c>
      <c r="X289" s="43" t="str">
        <f aca="false">IF($A289="","",IF(OR(N289&lt;=0,I289=0,I289="",O289=0),"",O289*1000/(I289*0.3025)/N289))</f>
        <v/>
      </c>
      <c r="Y289" s="50" t="str">
        <f aca="false">IF($A289="","",IF(OR(O289=0,O289="",P289=0),"",P289/O289))</f>
        <v/>
      </c>
      <c r="Z289" s="17" t="str">
        <f aca="false">IF($A289="","",IFERROR(INDEX(物件収支!$E:$E,MATCH($A289,物件収支!$A:$A,0)),""))</f>
        <v>非開示（物件別収支非開示・契約賃料のみ開示）</v>
      </c>
    </row>
    <row r="290" customFormat="false" ht="15" hidden="false" customHeight="true" outlineLevel="0" collapsed="false">
      <c r="A290" s="17" t="str">
        <f aca="false">IF(物件マスタ!A290="","",物件マスタ!A290)</f>
        <v>TRE-22</v>
      </c>
      <c r="B290" s="17" t="str">
        <f aca="false">IF($A290="","",物件マスタ!B290)</f>
        <v>TRE</v>
      </c>
      <c r="C290" s="17" t="str">
        <f aca="false">IF($A290="","",IFERROR(INDEX(法人マスタ!$C:$C,MATCH($B290,法人マスタ!$A:$A,0)),""))</f>
        <v>東急リアル・エステート投資法人</v>
      </c>
      <c r="D290" s="17" t="str">
        <f aca="false">IF($A290="","",物件マスタ!C290)</f>
        <v>ＴＯＫＹＵ ＲＥＩＴ渋谷宮下公園ビル</v>
      </c>
      <c r="E290" s="17" t="str">
        <f aca="false">IF($A290="","",物件マスタ!H290)</f>
        <v>都心5区</v>
      </c>
      <c r="F290" s="48" t="n">
        <f aca="false">IF($A290="","",物件マスタ!P290)</f>
        <v>39539</v>
      </c>
      <c r="G290" s="34" t="n">
        <f aca="false">IF($A290="","",物件マスタ!Q290)</f>
        <v>18.4</v>
      </c>
      <c r="H290" s="49" t="n">
        <f aca="false">IF($A290="","",物件マスタ!L290)</f>
        <v>2568.3</v>
      </c>
      <c r="I290" s="49" t="n">
        <f aca="false">IF($A290="","",物件マスタ!M290)</f>
        <v>2299.68</v>
      </c>
      <c r="J290" s="43" t="n">
        <f aca="false">IF($A290="","",物件マスタ!S290)</f>
        <v>0</v>
      </c>
      <c r="K290" s="43" t="n">
        <f aca="false">IF($A290="","",物件マスタ!U290)</f>
        <v>6270</v>
      </c>
      <c r="L290" s="50" t="n">
        <f aca="false">IF($A290="","",物件マスタ!W290)</f>
        <v>0.917</v>
      </c>
      <c r="M290" s="17" t="str">
        <f aca="false">IF($A290="","",IFERROR(INDEX(法人マスタ!$H:$H,MATCH($B290,法人マスタ!$A:$A,0)),""))</f>
        <v>2026年1月期（第45期）</v>
      </c>
      <c r="N290" s="51" t="n">
        <f aca="false">IF($A290="","",SUMIFS(物件収支!$D:$D,物件収支!$A:$A,$A290,物件収支!$C:$C,$M290))</f>
        <v>6</v>
      </c>
      <c r="O290" s="43" t="n">
        <f aca="false">IF($A290="","",SUMIFS(物件収支!$F:$F,物件収支!$A:$A,$A290,物件収支!$C:$C,$M290))</f>
        <v>0</v>
      </c>
      <c r="P290" s="43" t="n">
        <f aca="false">IF($A290="","",SUMIFS(物件収支!$I:$I,物件収支!$A:$A,$A290,物件収支!$C:$C,$M290))</f>
        <v>0</v>
      </c>
      <c r="Q290" s="43" t="n">
        <f aca="false">IF($A290="","",SUMIFS(物件収支!$O:$O,物件収支!$A:$A,$A290,物件収支!$C:$C,$M290))</f>
        <v>0</v>
      </c>
      <c r="R290" s="43" t="str">
        <f aca="false">IF($A290="","",IF(P290=0,"",O290-P290))</f>
        <v/>
      </c>
      <c r="S290" s="43" t="str">
        <f aca="false">IF($A290="","",IF(R290="","",R290+Q290))</f>
        <v/>
      </c>
      <c r="T290" s="43" t="str">
        <f aca="false">IF($A290="","",IF(OR(S290="",N290&lt;=0),"",S290/1000*12/N290))</f>
        <v/>
      </c>
      <c r="U290" s="52" t="str">
        <f aca="false">IF($A290="","",IF(OR(T290="",J290=0,J290=""),"",T290/J290))</f>
        <v/>
      </c>
      <c r="V290" s="52" t="str">
        <f aca="false">IF($A290="","",IF(OR(R290="",N290&lt;=0,J290=0,J290=""),"",(R290/1000*12/N290)/J290))</f>
        <v/>
      </c>
      <c r="W290" s="52" t="str">
        <f aca="false">IF($A290="","",IF(OR(T290="",K290=0,K290=""),"",T290/K290))</f>
        <v/>
      </c>
      <c r="X290" s="43" t="str">
        <f aca="false">IF($A290="","",IF(OR(N290&lt;=0,I290=0,I290="",O290=0),"",O290*1000/(I290*0.3025)/N290))</f>
        <v/>
      </c>
      <c r="Y290" s="50" t="str">
        <f aca="false">IF($A290="","",IF(OR(O290=0,O290="",P290=0),"",P290/O290))</f>
        <v/>
      </c>
      <c r="Z290" s="17" t="str">
        <f aca="false">IF($A290="","",IFERROR(INDEX(物件収支!$E:$E,MATCH($A290,物件収支!$A:$A,0)),""))</f>
        <v>非開示（物件別収支非開示・契約賃料のみ開示）</v>
      </c>
    </row>
    <row r="291" customFormat="false" ht="15" hidden="false" customHeight="true" outlineLevel="0" collapsed="false">
      <c r="A291" s="17" t="str">
        <f aca="false">IF(物件マスタ!A291="","",物件マスタ!A291)</f>
        <v>TRE-23</v>
      </c>
      <c r="B291" s="17" t="str">
        <f aca="false">IF($A291="","",物件マスタ!B291)</f>
        <v>TRE</v>
      </c>
      <c r="C291" s="17" t="str">
        <f aca="false">IF($A291="","",IFERROR(INDEX(法人マスタ!$C:$C,MATCH($B291,法人マスタ!$A:$A,0)),""))</f>
        <v>東急リアル・エステート投資法人</v>
      </c>
      <c r="D291" s="17" t="str">
        <f aca="false">IF($A291="","",物件マスタ!C291)</f>
        <v>青山オーバルビル</v>
      </c>
      <c r="E291" s="17" t="str">
        <f aca="false">IF($A291="","",物件マスタ!H291)</f>
        <v>都心5区</v>
      </c>
      <c r="F291" s="48" t="n">
        <f aca="false">IF($A291="","",物件マスタ!P291)</f>
        <v>32417</v>
      </c>
      <c r="G291" s="34" t="n">
        <f aca="false">IF($A291="","",物件マスタ!Q291)</f>
        <v>37.9</v>
      </c>
      <c r="H291" s="49" t="n">
        <f aca="false">IF($A291="","",物件マスタ!L291)</f>
        <v>28629.19</v>
      </c>
      <c r="I291" s="49" t="n">
        <f aca="false">IF($A291="","",物件マスタ!M291)</f>
        <v>8105.04</v>
      </c>
      <c r="J291" s="43" t="n">
        <f aca="false">IF($A291="","",物件マスタ!S291)</f>
        <v>0</v>
      </c>
      <c r="K291" s="43" t="n">
        <f aca="false">IF($A291="","",物件マスタ!U291)</f>
        <v>19000</v>
      </c>
      <c r="L291" s="50" t="n">
        <f aca="false">IF($A291="","",物件マスタ!W291)</f>
        <v>0.887</v>
      </c>
      <c r="M291" s="17" t="str">
        <f aca="false">IF($A291="","",IFERROR(INDEX(法人マスタ!$H:$H,MATCH($B291,法人マスタ!$A:$A,0)),""))</f>
        <v>2026年1月期（第45期）</v>
      </c>
      <c r="N291" s="51" t="n">
        <f aca="false">IF($A291="","",SUMIFS(物件収支!$D:$D,物件収支!$A:$A,$A291,物件収支!$C:$C,$M291))</f>
        <v>6</v>
      </c>
      <c r="O291" s="43" t="n">
        <f aca="false">IF($A291="","",SUMIFS(物件収支!$F:$F,物件収支!$A:$A,$A291,物件収支!$C:$C,$M291))</f>
        <v>0</v>
      </c>
      <c r="P291" s="43" t="n">
        <f aca="false">IF($A291="","",SUMIFS(物件収支!$I:$I,物件収支!$A:$A,$A291,物件収支!$C:$C,$M291))</f>
        <v>0</v>
      </c>
      <c r="Q291" s="43" t="n">
        <f aca="false">IF($A291="","",SUMIFS(物件収支!$O:$O,物件収支!$A:$A,$A291,物件収支!$C:$C,$M291))</f>
        <v>0</v>
      </c>
      <c r="R291" s="43" t="str">
        <f aca="false">IF($A291="","",IF(P291=0,"",O291-P291))</f>
        <v/>
      </c>
      <c r="S291" s="43" t="str">
        <f aca="false">IF($A291="","",IF(R291="","",R291+Q291))</f>
        <v/>
      </c>
      <c r="T291" s="43" t="str">
        <f aca="false">IF($A291="","",IF(OR(S291="",N291&lt;=0),"",S291/1000*12/N291))</f>
        <v/>
      </c>
      <c r="U291" s="52" t="str">
        <f aca="false">IF($A291="","",IF(OR(T291="",J291=0,J291=""),"",T291/J291))</f>
        <v/>
      </c>
      <c r="V291" s="52" t="str">
        <f aca="false">IF($A291="","",IF(OR(R291="",N291&lt;=0,J291=0,J291=""),"",(R291/1000*12/N291)/J291))</f>
        <v/>
      </c>
      <c r="W291" s="52" t="str">
        <f aca="false">IF($A291="","",IF(OR(T291="",K291=0,K291=""),"",T291/K291))</f>
        <v/>
      </c>
      <c r="X291" s="43" t="str">
        <f aca="false">IF($A291="","",IF(OR(N291&lt;=0,I291=0,I291="",O291=0),"",O291*1000/(I291*0.3025)/N291))</f>
        <v/>
      </c>
      <c r="Y291" s="50" t="str">
        <f aca="false">IF($A291="","",IF(OR(O291=0,O291="",P291=0),"",P291/O291))</f>
        <v/>
      </c>
      <c r="Z291" s="17" t="str">
        <f aca="false">IF($A291="","",IFERROR(INDEX(物件収支!$E:$E,MATCH($A291,物件収支!$A:$A,0)),""))</f>
        <v>非開示（物件別収支非開示・契約賃料のみ開示）</v>
      </c>
    </row>
    <row r="292" customFormat="false" ht="15" hidden="false" customHeight="true" outlineLevel="0" collapsed="false">
      <c r="A292" s="17" t="str">
        <f aca="false">IF(物件マスタ!A292="","",物件マスタ!A292)</f>
        <v>TRE-24</v>
      </c>
      <c r="B292" s="17" t="str">
        <f aca="false">IF($A292="","",物件マスタ!B292)</f>
        <v>TRE</v>
      </c>
      <c r="C292" s="17" t="str">
        <f aca="false">IF($A292="","",IFERROR(INDEX(法人マスタ!$C:$C,MATCH($B292,法人マスタ!$A:$A,0)),""))</f>
        <v>東急リアル・エステート投資法人</v>
      </c>
      <c r="D292" s="17" t="str">
        <f aca="false">IF($A292="","",物件マスタ!C292)</f>
        <v>目黒東山ビル</v>
      </c>
      <c r="E292" s="17" t="str">
        <f aca="false">IF($A292="","",物件マスタ!H292)</f>
        <v>その他東京23区</v>
      </c>
      <c r="F292" s="48" t="n">
        <f aca="false">IF($A292="","",物件マスタ!P292)</f>
        <v>34759</v>
      </c>
      <c r="G292" s="34" t="n">
        <f aca="false">IF($A292="","",物件マスタ!Q292)</f>
        <v>31.4</v>
      </c>
      <c r="H292" s="49" t="n">
        <f aca="false">IF($A292="","",物件マスタ!L292)</f>
        <v>8540.29</v>
      </c>
      <c r="I292" s="49" t="n">
        <f aca="false">IF($A292="","",物件マスタ!M292)</f>
        <v>6152.42</v>
      </c>
      <c r="J292" s="43" t="n">
        <f aca="false">IF($A292="","",物件マスタ!S292)</f>
        <v>0</v>
      </c>
      <c r="K292" s="43" t="n">
        <f aca="false">IF($A292="","",物件マスタ!U292)</f>
        <v>8500</v>
      </c>
      <c r="L292" s="50" t="n">
        <f aca="false">IF($A292="","",物件マスタ!W292)</f>
        <v>1</v>
      </c>
      <c r="M292" s="17" t="str">
        <f aca="false">IF($A292="","",IFERROR(INDEX(法人マスタ!$H:$H,MATCH($B292,法人マスタ!$A:$A,0)),""))</f>
        <v>2026年1月期（第45期）</v>
      </c>
      <c r="N292" s="51" t="n">
        <f aca="false">IF($A292="","",SUMIFS(物件収支!$D:$D,物件収支!$A:$A,$A292,物件収支!$C:$C,$M292))</f>
        <v>6</v>
      </c>
      <c r="O292" s="43" t="n">
        <f aca="false">IF($A292="","",SUMIFS(物件収支!$F:$F,物件収支!$A:$A,$A292,物件収支!$C:$C,$M292))</f>
        <v>0</v>
      </c>
      <c r="P292" s="43" t="n">
        <f aca="false">IF($A292="","",SUMIFS(物件収支!$I:$I,物件収支!$A:$A,$A292,物件収支!$C:$C,$M292))</f>
        <v>0</v>
      </c>
      <c r="Q292" s="43" t="n">
        <f aca="false">IF($A292="","",SUMIFS(物件収支!$O:$O,物件収支!$A:$A,$A292,物件収支!$C:$C,$M292))</f>
        <v>0</v>
      </c>
      <c r="R292" s="43" t="str">
        <f aca="false">IF($A292="","",IF(P292=0,"",O292-P292))</f>
        <v/>
      </c>
      <c r="S292" s="43" t="str">
        <f aca="false">IF($A292="","",IF(R292="","",R292+Q292))</f>
        <v/>
      </c>
      <c r="T292" s="43" t="str">
        <f aca="false">IF($A292="","",IF(OR(S292="",N292&lt;=0),"",S292/1000*12/N292))</f>
        <v/>
      </c>
      <c r="U292" s="52" t="str">
        <f aca="false">IF($A292="","",IF(OR(T292="",J292=0,J292=""),"",T292/J292))</f>
        <v/>
      </c>
      <c r="V292" s="52" t="str">
        <f aca="false">IF($A292="","",IF(OR(R292="",N292&lt;=0,J292=0,J292=""),"",(R292/1000*12/N292)/J292))</f>
        <v/>
      </c>
      <c r="W292" s="52" t="str">
        <f aca="false">IF($A292="","",IF(OR(T292="",K292=0,K292=""),"",T292/K292))</f>
        <v/>
      </c>
      <c r="X292" s="43" t="str">
        <f aca="false">IF($A292="","",IF(OR(N292&lt;=0,I292=0,I292="",O292=0),"",O292*1000/(I292*0.3025)/N292))</f>
        <v/>
      </c>
      <c r="Y292" s="50" t="str">
        <f aca="false">IF($A292="","",IF(OR(O292=0,O292="",P292=0),"",P292/O292))</f>
        <v/>
      </c>
      <c r="Z292" s="17" t="str">
        <f aca="false">IF($A292="","",IFERROR(INDEX(物件収支!$E:$E,MATCH($A292,物件収支!$A:$A,0)),""))</f>
        <v>非開示（物件別収支非開示・契約賃料のみ開示）</v>
      </c>
    </row>
    <row r="293" customFormat="false" ht="15" hidden="false" customHeight="true" outlineLevel="0" collapsed="false">
      <c r="A293" s="17" t="str">
        <f aca="false">IF(物件マスタ!A293="","",物件マスタ!A293)</f>
        <v>TRE-25</v>
      </c>
      <c r="B293" s="17" t="str">
        <f aca="false">IF($A293="","",物件マスタ!B293)</f>
        <v>TRE</v>
      </c>
      <c r="C293" s="17" t="str">
        <f aca="false">IF($A293="","",IFERROR(INDEX(法人マスタ!$C:$C,MATCH($B293,法人マスタ!$A:$A,0)),""))</f>
        <v>東急リアル・エステート投資法人</v>
      </c>
      <c r="D293" s="17" t="str">
        <f aca="false">IF($A293="","",物件マスタ!C293)</f>
        <v>スタイリオ都立大学</v>
      </c>
      <c r="E293" s="17" t="str">
        <f aca="false">IF($A293="","",物件マスタ!H293)</f>
        <v>その他東京23区</v>
      </c>
      <c r="F293" s="48" t="n">
        <f aca="false">IF($A293="","",物件マスタ!P293)</f>
        <v>41852</v>
      </c>
      <c r="G293" s="34" t="n">
        <f aca="false">IF($A293="","",物件マスタ!Q293)</f>
        <v>12</v>
      </c>
      <c r="H293" s="49" t="n">
        <f aca="false">IF($A293="","",物件マスタ!L293)</f>
        <v>950.36</v>
      </c>
      <c r="I293" s="49" t="n">
        <f aca="false">IF($A293="","",物件マスタ!M293)</f>
        <v>852.16</v>
      </c>
      <c r="J293" s="43" t="n">
        <f aca="false">IF($A293="","",物件マスタ!S293)</f>
        <v>0</v>
      </c>
      <c r="K293" s="43" t="n">
        <f aca="false">IF($A293="","",物件マスタ!U293)</f>
        <v>1420</v>
      </c>
      <c r="L293" s="50" t="n">
        <f aca="false">IF($A293="","",物件マスタ!W293)</f>
        <v>0.969</v>
      </c>
      <c r="M293" s="17" t="str">
        <f aca="false">IF($A293="","",IFERROR(INDEX(法人マスタ!$H:$H,MATCH($B293,法人マスタ!$A:$A,0)),""))</f>
        <v>2026年1月期（第45期）</v>
      </c>
      <c r="N293" s="51" t="n">
        <f aca="false">IF($A293="","",SUMIFS(物件収支!$D:$D,物件収支!$A:$A,$A293,物件収支!$C:$C,$M293))</f>
        <v>6</v>
      </c>
      <c r="O293" s="43" t="n">
        <f aca="false">IF($A293="","",SUMIFS(物件収支!$F:$F,物件収支!$A:$A,$A293,物件収支!$C:$C,$M293))</f>
        <v>0</v>
      </c>
      <c r="P293" s="43" t="n">
        <f aca="false">IF($A293="","",SUMIFS(物件収支!$I:$I,物件収支!$A:$A,$A293,物件収支!$C:$C,$M293))</f>
        <v>0</v>
      </c>
      <c r="Q293" s="43" t="n">
        <f aca="false">IF($A293="","",SUMIFS(物件収支!$O:$O,物件収支!$A:$A,$A293,物件収支!$C:$C,$M293))</f>
        <v>0</v>
      </c>
      <c r="R293" s="43" t="str">
        <f aca="false">IF($A293="","",IF(P293=0,"",O293-P293))</f>
        <v/>
      </c>
      <c r="S293" s="43" t="str">
        <f aca="false">IF($A293="","",IF(R293="","",R293+Q293))</f>
        <v/>
      </c>
      <c r="T293" s="43" t="str">
        <f aca="false">IF($A293="","",IF(OR(S293="",N293&lt;=0),"",S293/1000*12/N293))</f>
        <v/>
      </c>
      <c r="U293" s="52" t="str">
        <f aca="false">IF($A293="","",IF(OR(T293="",J293=0,J293=""),"",T293/J293))</f>
        <v/>
      </c>
      <c r="V293" s="52" t="str">
        <f aca="false">IF($A293="","",IF(OR(R293="",N293&lt;=0,J293=0,J293=""),"",(R293/1000*12/N293)/J293))</f>
        <v/>
      </c>
      <c r="W293" s="52" t="str">
        <f aca="false">IF($A293="","",IF(OR(T293="",K293=0,K293=""),"",T293/K293))</f>
        <v/>
      </c>
      <c r="X293" s="43" t="str">
        <f aca="false">IF($A293="","",IF(OR(N293&lt;=0,I293=0,I293="",O293=0),"",O293*1000/(I293*0.3025)/N293))</f>
        <v/>
      </c>
      <c r="Y293" s="50" t="str">
        <f aca="false">IF($A293="","",IF(OR(O293=0,O293="",P293=0),"",P293/O293))</f>
        <v/>
      </c>
      <c r="Z293" s="17" t="str">
        <f aca="false">IF($A293="","",IFERROR(INDEX(物件収支!$E:$E,MATCH($A293,物件収支!$A:$A,0)),""))</f>
        <v>非開示（物件別収支非開示・契約賃料のみ開示）</v>
      </c>
    </row>
    <row r="294" customFormat="false" ht="15" hidden="false" customHeight="true" outlineLevel="0" collapsed="false">
      <c r="A294" s="17" t="str">
        <f aca="false">IF(物件マスタ!A294="","",物件マスタ!A294)</f>
        <v>TRE-26</v>
      </c>
      <c r="B294" s="17" t="str">
        <f aca="false">IF($A294="","",物件マスタ!B294)</f>
        <v>TRE</v>
      </c>
      <c r="C294" s="17" t="str">
        <f aca="false">IF($A294="","",IFERROR(INDEX(法人マスタ!$C:$C,MATCH($B294,法人マスタ!$A:$A,0)),""))</f>
        <v>東急リアル・エステート投資法人</v>
      </c>
      <c r="D294" s="17" t="str">
        <f aca="false">IF($A294="","",物件マスタ!C294)</f>
        <v>スタイリオフィット武蔵小杉</v>
      </c>
      <c r="E294" s="17" t="str">
        <f aca="false">IF($A294="","",物件マスタ!H294)</f>
        <v>東京周辺都市部</v>
      </c>
      <c r="F294" s="48" t="n">
        <f aca="false">IF($A294="","",物件マスタ!P294)</f>
        <v>43922</v>
      </c>
      <c r="G294" s="34" t="n">
        <f aca="false">IF($A294="","",物件マスタ!Q294)</f>
        <v>6.4</v>
      </c>
      <c r="H294" s="49" t="n">
        <f aca="false">IF($A294="","",物件マスタ!L294)</f>
        <v>2320.12</v>
      </c>
      <c r="I294" s="49" t="n">
        <f aca="false">IF($A294="","",物件マスタ!M294)</f>
        <v>1830</v>
      </c>
      <c r="J294" s="43" t="n">
        <f aca="false">IF($A294="","",物件マスタ!S294)</f>
        <v>0</v>
      </c>
      <c r="K294" s="43" t="n">
        <f aca="false">IF($A294="","",物件マスタ!U294)</f>
        <v>1690</v>
      </c>
      <c r="L294" s="50" t="n">
        <f aca="false">IF($A294="","",物件マスタ!W294)</f>
        <v>1</v>
      </c>
      <c r="M294" s="17" t="str">
        <f aca="false">IF($A294="","",IFERROR(INDEX(法人マスタ!$H:$H,MATCH($B294,法人マスタ!$A:$A,0)),""))</f>
        <v>2026年1月期（第45期）</v>
      </c>
      <c r="N294" s="51" t="n">
        <f aca="false">IF($A294="","",SUMIFS(物件収支!$D:$D,物件収支!$A:$A,$A294,物件収支!$C:$C,$M294))</f>
        <v>6</v>
      </c>
      <c r="O294" s="43" t="n">
        <f aca="false">IF($A294="","",SUMIFS(物件収支!$F:$F,物件収支!$A:$A,$A294,物件収支!$C:$C,$M294))</f>
        <v>0</v>
      </c>
      <c r="P294" s="43" t="n">
        <f aca="false">IF($A294="","",SUMIFS(物件収支!$I:$I,物件収支!$A:$A,$A294,物件収支!$C:$C,$M294))</f>
        <v>0</v>
      </c>
      <c r="Q294" s="43" t="n">
        <f aca="false">IF($A294="","",SUMIFS(物件収支!$O:$O,物件収支!$A:$A,$A294,物件収支!$C:$C,$M294))</f>
        <v>0</v>
      </c>
      <c r="R294" s="43" t="str">
        <f aca="false">IF($A294="","",IF(P294=0,"",O294-P294))</f>
        <v/>
      </c>
      <c r="S294" s="43" t="str">
        <f aca="false">IF($A294="","",IF(R294="","",R294+Q294))</f>
        <v/>
      </c>
      <c r="T294" s="43" t="str">
        <f aca="false">IF($A294="","",IF(OR(S294="",N294&lt;=0),"",S294/1000*12/N294))</f>
        <v/>
      </c>
      <c r="U294" s="52" t="str">
        <f aca="false">IF($A294="","",IF(OR(T294="",J294=0,J294=""),"",T294/J294))</f>
        <v/>
      </c>
      <c r="V294" s="52" t="str">
        <f aca="false">IF($A294="","",IF(OR(R294="",N294&lt;=0,J294=0,J294=""),"",(R294/1000*12/N294)/J294))</f>
        <v/>
      </c>
      <c r="W294" s="52" t="str">
        <f aca="false">IF($A294="","",IF(OR(T294="",K294=0,K294=""),"",T294/K294))</f>
        <v/>
      </c>
      <c r="X294" s="43" t="str">
        <f aca="false">IF($A294="","",IF(OR(N294&lt;=0,I294=0,I294="",O294=0),"",O294*1000/(I294*0.3025)/N294))</f>
        <v/>
      </c>
      <c r="Y294" s="50" t="str">
        <f aca="false">IF($A294="","",IF(OR(O294=0,O294="",P294=0),"",P294/O294))</f>
        <v/>
      </c>
      <c r="Z294" s="17" t="str">
        <f aca="false">IF($A294="","",IFERROR(INDEX(物件収支!$E:$E,MATCH($A294,物件収支!$A:$A,0)),""))</f>
        <v>非開示（物件別収支非開示・契約賃料のみ開示）</v>
      </c>
    </row>
    <row r="295" customFormat="false" ht="15" hidden="false" customHeight="true" outlineLevel="0" collapsed="false">
      <c r="A295" s="17" t="str">
        <f aca="false">IF(物件マスタ!A295="","",物件マスタ!A295)</f>
        <v>TRE-27</v>
      </c>
      <c r="B295" s="17" t="str">
        <f aca="false">IF($A295="","",物件マスタ!B295)</f>
        <v>TRE</v>
      </c>
      <c r="C295" s="17" t="str">
        <f aca="false">IF($A295="","",IFERROR(INDEX(法人マスタ!$C:$C,MATCH($B295,法人マスタ!$A:$A,0)),""))</f>
        <v>東急リアル・エステート投資法人</v>
      </c>
      <c r="D295" s="17" t="str">
        <f aca="false">IF($A295="","",物件マスタ!C295)</f>
        <v>スタイリオフィット新綱島</v>
      </c>
      <c r="E295" s="17" t="str">
        <f aca="false">IF($A295="","",物件マスタ!H295)</f>
        <v>東京周辺都市部</v>
      </c>
      <c r="F295" s="48" t="n">
        <f aca="false">IF($A295="","",物件マスタ!P295)</f>
        <v>36192</v>
      </c>
      <c r="G295" s="34" t="n">
        <f aca="false">IF($A295="","",物件マスタ!Q295)</f>
        <v>27.5</v>
      </c>
      <c r="H295" s="49" t="n">
        <f aca="false">IF($A295="","",物件マスタ!L295)</f>
        <v>1112.71</v>
      </c>
      <c r="I295" s="49" t="n">
        <f aca="false">IF($A295="","",物件マスタ!M295)</f>
        <v>901.76</v>
      </c>
      <c r="J295" s="43" t="n">
        <f aca="false">IF($A295="","",物件マスタ!S295)</f>
        <v>0</v>
      </c>
      <c r="K295" s="43" t="n">
        <f aca="false">IF($A295="","",物件マスタ!U295)</f>
        <v>1190</v>
      </c>
      <c r="L295" s="50" t="n">
        <f aca="false">IF($A295="","",物件マスタ!W295)</f>
        <v>0.96</v>
      </c>
      <c r="M295" s="17" t="str">
        <f aca="false">IF($A295="","",IFERROR(INDEX(法人マスタ!$H:$H,MATCH($B295,法人マスタ!$A:$A,0)),""))</f>
        <v>2026年1月期（第45期）</v>
      </c>
      <c r="N295" s="51" t="n">
        <f aca="false">IF($A295="","",SUMIFS(物件収支!$D:$D,物件収支!$A:$A,$A295,物件収支!$C:$C,$M295))</f>
        <v>6</v>
      </c>
      <c r="O295" s="43" t="n">
        <f aca="false">IF($A295="","",SUMIFS(物件収支!$F:$F,物件収支!$A:$A,$A295,物件収支!$C:$C,$M295))</f>
        <v>0</v>
      </c>
      <c r="P295" s="43" t="n">
        <f aca="false">IF($A295="","",SUMIFS(物件収支!$I:$I,物件収支!$A:$A,$A295,物件収支!$C:$C,$M295))</f>
        <v>0</v>
      </c>
      <c r="Q295" s="43" t="n">
        <f aca="false">IF($A295="","",SUMIFS(物件収支!$O:$O,物件収支!$A:$A,$A295,物件収支!$C:$C,$M295))</f>
        <v>0</v>
      </c>
      <c r="R295" s="43" t="str">
        <f aca="false">IF($A295="","",IF(P295=0,"",O295-P295))</f>
        <v/>
      </c>
      <c r="S295" s="43" t="str">
        <f aca="false">IF($A295="","",IF(R295="","",R295+Q295))</f>
        <v/>
      </c>
      <c r="T295" s="43" t="str">
        <f aca="false">IF($A295="","",IF(OR(S295="",N295&lt;=0),"",S295/1000*12/N295))</f>
        <v/>
      </c>
      <c r="U295" s="52" t="str">
        <f aca="false">IF($A295="","",IF(OR(T295="",J295=0,J295=""),"",T295/J295))</f>
        <v/>
      </c>
      <c r="V295" s="52" t="str">
        <f aca="false">IF($A295="","",IF(OR(R295="",N295&lt;=0,J295=0,J295=""),"",(R295/1000*12/N295)/J295))</f>
        <v/>
      </c>
      <c r="W295" s="52" t="str">
        <f aca="false">IF($A295="","",IF(OR(T295="",K295=0,K295=""),"",T295/K295))</f>
        <v/>
      </c>
      <c r="X295" s="43" t="str">
        <f aca="false">IF($A295="","",IF(OR(N295&lt;=0,I295=0,I295="",O295=0),"",O295*1000/(I295*0.3025)/N295))</f>
        <v/>
      </c>
      <c r="Y295" s="50" t="str">
        <f aca="false">IF($A295="","",IF(OR(O295=0,O295="",P295=0),"",P295/O295))</f>
        <v/>
      </c>
      <c r="Z295" s="17" t="str">
        <f aca="false">IF($A295="","",IFERROR(INDEX(物件収支!$E:$E,MATCH($A295,物件収支!$A:$A,0)),""))</f>
        <v>非開示（物件別収支非開示・契約賃料のみ開示）</v>
      </c>
    </row>
    <row r="296" customFormat="false" ht="15" hidden="false" customHeight="true" outlineLevel="0" collapsed="false">
      <c r="A296" s="17" t="str">
        <f aca="false">IF(物件マスタ!A296="","",物件マスタ!A296)</f>
        <v>TRE-28</v>
      </c>
      <c r="B296" s="17" t="str">
        <f aca="false">IF($A296="","",物件マスタ!B296)</f>
        <v>TRE</v>
      </c>
      <c r="C296" s="17" t="str">
        <f aca="false">IF($A296="","",IFERROR(INDEX(法人マスタ!$C:$C,MATCH($B296,法人マスタ!$A:$A,0)),""))</f>
        <v>東急リアル・エステート投資法人</v>
      </c>
      <c r="D296" s="17" t="str">
        <f aca="false">IF($A296="","",物件マスタ!C296)</f>
        <v>二子玉川ライズ</v>
      </c>
      <c r="E296" s="17" t="str">
        <f aca="false">IF($A296="","",物件マスタ!H296)</f>
        <v>その他東京23区</v>
      </c>
      <c r="F296" s="48" t="n">
        <f aca="false">IF($A296="","",物件マスタ!P296)</f>
        <v>0</v>
      </c>
      <c r="G296" s="34" t="str">
        <f aca="false">IF($A296="","",物件マスタ!Q296)</f>
        <v/>
      </c>
      <c r="H296" s="49" t="n">
        <f aca="false">IF($A296="","",物件マスタ!L296)</f>
        <v>262257.33</v>
      </c>
      <c r="I296" s="49" t="n">
        <f aca="false">IF($A296="","",物件マスタ!M296)</f>
        <v>18919.73</v>
      </c>
      <c r="J296" s="43" t="n">
        <f aca="false">IF($A296="","",物件マスタ!S296)</f>
        <v>0</v>
      </c>
      <c r="K296" s="43" t="n">
        <f aca="false">IF($A296="","",物件マスタ!U296)</f>
        <v>20400</v>
      </c>
      <c r="L296" s="50" t="n">
        <f aca="false">IF($A296="","",物件マスタ!W296)</f>
        <v>1</v>
      </c>
      <c r="M296" s="17" t="str">
        <f aca="false">IF($A296="","",IFERROR(INDEX(法人マスタ!$H:$H,MATCH($B296,法人マスタ!$A:$A,0)),""))</f>
        <v>2026年1月期（第45期）</v>
      </c>
      <c r="N296" s="51" t="n">
        <f aca="false">IF($A296="","",SUMIFS(物件収支!$D:$D,物件収支!$A:$A,$A296,物件収支!$C:$C,$M296))</f>
        <v>6</v>
      </c>
      <c r="O296" s="43" t="n">
        <f aca="false">IF($A296="","",SUMIFS(物件収支!$F:$F,物件収支!$A:$A,$A296,物件収支!$C:$C,$M296))</f>
        <v>0</v>
      </c>
      <c r="P296" s="43" t="n">
        <f aca="false">IF($A296="","",SUMIFS(物件収支!$I:$I,物件収支!$A:$A,$A296,物件収支!$C:$C,$M296))</f>
        <v>0</v>
      </c>
      <c r="Q296" s="43" t="n">
        <f aca="false">IF($A296="","",SUMIFS(物件収支!$O:$O,物件収支!$A:$A,$A296,物件収支!$C:$C,$M296))</f>
        <v>0</v>
      </c>
      <c r="R296" s="43" t="str">
        <f aca="false">IF($A296="","",IF(P296=0,"",O296-P296))</f>
        <v/>
      </c>
      <c r="S296" s="43" t="str">
        <f aca="false">IF($A296="","",IF(R296="","",R296+Q296))</f>
        <v/>
      </c>
      <c r="T296" s="43" t="str">
        <f aca="false">IF($A296="","",IF(OR(S296="",N296&lt;=0),"",S296/1000*12/N296))</f>
        <v/>
      </c>
      <c r="U296" s="52" t="str">
        <f aca="false">IF($A296="","",IF(OR(T296="",J296=0,J296=""),"",T296/J296))</f>
        <v/>
      </c>
      <c r="V296" s="52" t="str">
        <f aca="false">IF($A296="","",IF(OR(R296="",N296&lt;=0,J296=0,J296=""),"",(R296/1000*12/N296)/J296))</f>
        <v/>
      </c>
      <c r="W296" s="52" t="str">
        <f aca="false">IF($A296="","",IF(OR(T296="",K296=0,K296=""),"",T296/K296))</f>
        <v/>
      </c>
      <c r="X296" s="43" t="str">
        <f aca="false">IF($A296="","",IF(OR(N296&lt;=0,I296=0,I296="",O296=0),"",O296*1000/(I296*0.3025)/N296))</f>
        <v/>
      </c>
      <c r="Y296" s="50" t="str">
        <f aca="false">IF($A296="","",IF(OR(O296=0,O296="",P296=0),"",P296/O296))</f>
        <v/>
      </c>
      <c r="Z296" s="17" t="str">
        <f aca="false">IF($A296="","",IFERROR(INDEX(物件収支!$E:$E,MATCH($A296,物件収支!$A:$A,0)),""))</f>
        <v>非開示（物件別収支非開示・契約賃料のみ開示）</v>
      </c>
    </row>
    <row r="297" customFormat="false" ht="15" hidden="false" customHeight="true" outlineLevel="0" collapsed="false">
      <c r="A297" s="17" t="str">
        <f aca="false">IF(物件マスタ!A297="","",物件マスタ!A297)</f>
        <v>TRE-ALL</v>
      </c>
      <c r="B297" s="17" t="str">
        <f aca="false">IF($A297="","",物件マスタ!B297)</f>
        <v>TRE</v>
      </c>
      <c r="C297" s="17" t="str">
        <f aca="false">IF($A297="","",IFERROR(INDEX(法人マスタ!$C:$C,MATCH($B297,法人マスタ!$A:$A,0)),""))</f>
        <v>東急リアル・エステート投資法人</v>
      </c>
      <c r="D297" s="17" t="str">
        <f aca="false">IF($A297="","",物件マスタ!C297)</f>
        <v>【TREポートフォリオ全体】</v>
      </c>
      <c r="E297" s="17" t="str">
        <f aca="false">IF($A297="","",物件マスタ!H297)</f>
        <v>─</v>
      </c>
      <c r="F297" s="48" t="n">
        <f aca="false">IF($A297="","",物件マスタ!P297)</f>
        <v>0</v>
      </c>
      <c r="G297" s="34" t="str">
        <f aca="false">IF($A297="","",物件マスタ!Q297)</f>
        <v/>
      </c>
      <c r="H297" s="49" t="n">
        <f aca="false">IF($A297="","",物件マスタ!L297)</f>
        <v>0</v>
      </c>
      <c r="I297" s="49" t="n">
        <f aca="false">IF($A297="","",物件マスタ!M297)</f>
        <v>158376.73</v>
      </c>
      <c r="J297" s="43" t="n">
        <f aca="false">IF($A297="","",物件マスタ!S297)</f>
        <v>244261</v>
      </c>
      <c r="K297" s="43" t="n">
        <f aca="false">IF($A297="","",物件マスタ!U297)</f>
        <v>326920</v>
      </c>
      <c r="L297" s="50" t="n">
        <f aca="false">IF($A297="","",物件マスタ!W297)</f>
        <v>0.989</v>
      </c>
      <c r="M297" s="17" t="str">
        <f aca="false">IF($A297="","",IFERROR(INDEX(法人マスタ!$H:$H,MATCH($B297,法人マスタ!$A:$A,0)),""))</f>
        <v>2026年1月期（第45期）</v>
      </c>
      <c r="N297" s="51" t="n">
        <f aca="false">IF($A297="","",SUMIFS(物件収支!$D:$D,物件収支!$A:$A,$A297,物件収支!$C:$C,$M297))</f>
        <v>6</v>
      </c>
      <c r="O297" s="43" t="n">
        <f aca="false">IF($A297="","",SUMIFS(物件収支!$F:$F,物件収支!$A:$A,$A297,物件収支!$C:$C,$M297))</f>
        <v>7885535</v>
      </c>
      <c r="P297" s="43" t="n">
        <f aca="false">IF($A297="","",SUMIFS(物件収支!$I:$I,物件収支!$A:$A,$A297,物件収支!$C:$C,$M297))</f>
        <v>3801500</v>
      </c>
      <c r="Q297" s="43" t="n">
        <f aca="false">IF($A297="","",SUMIFS(物件収支!$O:$O,物件収支!$A:$A,$A297,物件収支!$C:$C,$M297))</f>
        <v>986051</v>
      </c>
      <c r="R297" s="43" t="n">
        <f aca="false">IF($A297="","",IF(P297=0,"",O297-P297))</f>
        <v>4084035</v>
      </c>
      <c r="S297" s="43" t="n">
        <f aca="false">IF($A297="","",IF(R297="","",R297+Q297))</f>
        <v>5070086</v>
      </c>
      <c r="T297" s="43" t="n">
        <f aca="false">IF($A297="","",IF(OR(S297="",N297&lt;=0),"",S297/1000*12/N297))</f>
        <v>10140.172</v>
      </c>
      <c r="U297" s="52" t="n">
        <f aca="false">IF($A297="","",IF(OR(T297="",J297=0,J297=""),"",T297/J297))</f>
        <v>0.0415136759449933</v>
      </c>
      <c r="V297" s="52" t="n">
        <f aca="false">IF($A297="","",IF(OR(R297="",N297&lt;=0,J297=0,J297=""),"",(R297/1000*12/N297)/J297))</f>
        <v>0.0334399269633712</v>
      </c>
      <c r="W297" s="52" t="n">
        <f aca="false">IF($A297="","",IF(OR(T297="",K297=0,K297=""),"",T297/K297))</f>
        <v>0.0310172886333048</v>
      </c>
      <c r="X297" s="43" t="n">
        <f aca="false">IF($A297="","",IF(OR(N297&lt;=0,I297=0,I297="",O297=0),"",O297*1000/(I297*0.3025)/N297))</f>
        <v>27432.3594313389</v>
      </c>
      <c r="Y297" s="50" t="n">
        <f aca="false">IF($A297="","",IF(OR(O297=0,O297="",P297=0),"",P297/O297))</f>
        <v>0.482085235814691</v>
      </c>
      <c r="Z297" s="17" t="str">
        <f aca="false">IF($A297="","",IFERROR(INDEX(物件収支!$E:$E,MATCH($A297,物件収支!$A:$A,0)),""))</f>
        <v>開示（法人一括）</v>
      </c>
    </row>
    <row r="298" customFormat="false" ht="15" hidden="false" customHeight="true" outlineLevel="0" collapsed="false">
      <c r="A298" s="17" t="str">
        <f aca="false">IF(物件マスタ!A298="","",物件マスタ!A298)</f>
        <v>ICG-01</v>
      </c>
      <c r="B298" s="17" t="str">
        <f aca="false">IF($A298="","",物件マスタ!B298)</f>
        <v>ICG</v>
      </c>
      <c r="C298" s="17" t="str">
        <f aca="false">IF($A298="","",IFERROR(INDEX(法人マスタ!$C:$C,MATCH($B298,法人マスタ!$A:$A,0)),""))</f>
        <v>いちごオフィスリート投資法人</v>
      </c>
      <c r="D298" s="17" t="str">
        <f aca="false">IF($A298="","",物件マスタ!C298)</f>
        <v>いちご西参道ビル</v>
      </c>
      <c r="E298" s="17" t="str">
        <f aca="false">IF($A298="","",物件マスタ!H298)</f>
        <v>都心5区</v>
      </c>
      <c r="F298" s="48" t="n">
        <f aca="false">IF($A298="","",物件マスタ!P298)</f>
        <v>0</v>
      </c>
      <c r="G298" s="34" t="str">
        <f aca="false">IF($A298="","",物件マスタ!Q298)</f>
        <v/>
      </c>
      <c r="H298" s="49" t="n">
        <f aca="false">IF($A298="","",物件マスタ!L298)</f>
        <v>0</v>
      </c>
      <c r="I298" s="49" t="n">
        <f aca="false">IF($A298="","",物件マスタ!M298)</f>
        <v>4523.19</v>
      </c>
      <c r="J298" s="43" t="n">
        <f aca="false">IF($A298="","",物件マスタ!S298)</f>
        <v>0</v>
      </c>
      <c r="K298" s="43" t="n">
        <f aca="false">IF($A298="","",物件マスタ!U298)</f>
        <v>4060</v>
      </c>
      <c r="L298" s="50" t="n">
        <f aca="false">IF($A298="","",物件マスタ!W298)</f>
        <v>1</v>
      </c>
      <c r="M298" s="17" t="str">
        <f aca="false">IF($A298="","",IFERROR(INDEX(法人マスタ!$H:$H,MATCH($B298,法人マスタ!$A:$A,0)),""))</f>
        <v>2026年4月期（第41期）</v>
      </c>
      <c r="N298" s="51" t="n">
        <f aca="false">IF($A298="","",SUMIFS(物件収支!$D:$D,物件収支!$A:$A,$A298,物件収支!$C:$C,$M298))</f>
        <v>6</v>
      </c>
      <c r="O298" s="43" t="n">
        <f aca="false">IF($A298="","",SUMIFS(物件収支!$F:$F,物件収支!$A:$A,$A298,物件収支!$C:$C,$M298))</f>
        <v>138858</v>
      </c>
      <c r="P298" s="43" t="n">
        <f aca="false">IF($A298="","",SUMIFS(物件収支!$I:$I,物件収支!$A:$A,$A298,物件収支!$C:$C,$M298))</f>
        <v>0</v>
      </c>
      <c r="Q298" s="43" t="n">
        <f aca="false">IF($A298="","",SUMIFS(物件収支!$O:$O,物件収支!$A:$A,$A298,物件収支!$C:$C,$M298))</f>
        <v>0</v>
      </c>
      <c r="R298" s="43" t="str">
        <f aca="false">IF($A298="","",IF(P298=0,"",O298-P298))</f>
        <v/>
      </c>
      <c r="S298" s="43" t="str">
        <f aca="false">IF($A298="","",IF(R298="","",R298+Q298))</f>
        <v/>
      </c>
      <c r="T298" s="43" t="str">
        <f aca="false">IF($A298="","",IF(OR(S298="",N298&lt;=0),"",S298/1000*12/N298))</f>
        <v/>
      </c>
      <c r="U298" s="52" t="str">
        <f aca="false">IF($A298="","",IF(OR(T298="",J298=0,J298=""),"",T298/J298))</f>
        <v/>
      </c>
      <c r="V298" s="52" t="str">
        <f aca="false">IF($A298="","",IF(OR(R298="",N298&lt;=0,J298=0,J298=""),"",(R298/1000*12/N298)/J298))</f>
        <v/>
      </c>
      <c r="W298" s="52" t="str">
        <f aca="false">IF($A298="","",IF(OR(T298="",K298=0,K298=""),"",T298/K298))</f>
        <v/>
      </c>
      <c r="X298" s="43" t="n">
        <f aca="false">IF($A298="","",IF(OR(N298&lt;=0,I298=0,I298="",O298=0),"",O298*1000/(I298*0.3025)/N298))</f>
        <v>16914.1214770918</v>
      </c>
      <c r="Y298" s="50" t="str">
        <f aca="false">IF($A298="","",IF(OR(O298=0,O298="",P298=0),"",P298/O298))</f>
        <v/>
      </c>
      <c r="Z298" s="17" t="str">
        <f aca="false">IF($A298="","",IFERROR(INDEX(物件収支!$E:$E,MATCH($A298,物件収支!$A:$A,0)),""))</f>
        <v>開示（物件別・収益のみ）</v>
      </c>
    </row>
    <row r="299" customFormat="false" ht="15" hidden="false" customHeight="true" outlineLevel="0" collapsed="false">
      <c r="A299" s="17" t="str">
        <f aca="false">IF(物件マスタ!A299="","",物件マスタ!A299)</f>
        <v>ICG-02</v>
      </c>
      <c r="B299" s="17" t="str">
        <f aca="false">IF($A299="","",物件マスタ!B299)</f>
        <v>ICG</v>
      </c>
      <c r="C299" s="17" t="str">
        <f aca="false">IF($A299="","",IFERROR(INDEX(法人マスタ!$C:$C,MATCH($B299,法人マスタ!$A:$A,0)),""))</f>
        <v>いちごオフィスリート投資法人</v>
      </c>
      <c r="D299" s="17" t="str">
        <f aca="false">IF($A299="","",物件マスタ!C299)</f>
        <v>いちご三田ビル</v>
      </c>
      <c r="E299" s="17" t="str">
        <f aca="false">IF($A299="","",物件マスタ!H299)</f>
        <v>都心5区</v>
      </c>
      <c r="F299" s="48" t="n">
        <f aca="false">IF($A299="","",物件マスタ!P299)</f>
        <v>0</v>
      </c>
      <c r="G299" s="34" t="str">
        <f aca="false">IF($A299="","",物件マスタ!Q299)</f>
        <v/>
      </c>
      <c r="H299" s="49" t="n">
        <f aca="false">IF($A299="","",物件マスタ!L299)</f>
        <v>0</v>
      </c>
      <c r="I299" s="49" t="n">
        <f aca="false">IF($A299="","",物件マスタ!M299)</f>
        <v>4119.74</v>
      </c>
      <c r="J299" s="43" t="n">
        <f aca="false">IF($A299="","",物件マスタ!S299)</f>
        <v>0</v>
      </c>
      <c r="K299" s="43" t="n">
        <f aca="false">IF($A299="","",物件マスタ!U299)</f>
        <v>4040</v>
      </c>
      <c r="L299" s="50" t="n">
        <f aca="false">IF($A299="","",物件マスタ!W299)</f>
        <v>0.864</v>
      </c>
      <c r="M299" s="17" t="str">
        <f aca="false">IF($A299="","",IFERROR(INDEX(法人マスタ!$H:$H,MATCH($B299,法人マスタ!$A:$A,0)),""))</f>
        <v>2026年4月期（第41期）</v>
      </c>
      <c r="N299" s="51" t="n">
        <f aca="false">IF($A299="","",SUMIFS(物件収支!$D:$D,物件収支!$A:$A,$A299,物件収支!$C:$C,$M299))</f>
        <v>6</v>
      </c>
      <c r="O299" s="43" t="n">
        <f aca="false">IF($A299="","",SUMIFS(物件収支!$F:$F,物件収支!$A:$A,$A299,物件収支!$C:$C,$M299))</f>
        <v>129629</v>
      </c>
      <c r="P299" s="43" t="n">
        <f aca="false">IF($A299="","",SUMIFS(物件収支!$I:$I,物件収支!$A:$A,$A299,物件収支!$C:$C,$M299))</f>
        <v>0</v>
      </c>
      <c r="Q299" s="43" t="n">
        <f aca="false">IF($A299="","",SUMIFS(物件収支!$O:$O,物件収支!$A:$A,$A299,物件収支!$C:$C,$M299))</f>
        <v>0</v>
      </c>
      <c r="R299" s="43" t="str">
        <f aca="false">IF($A299="","",IF(P299=0,"",O299-P299))</f>
        <v/>
      </c>
      <c r="S299" s="43" t="str">
        <f aca="false">IF($A299="","",IF(R299="","",R299+Q299))</f>
        <v/>
      </c>
      <c r="T299" s="43" t="str">
        <f aca="false">IF($A299="","",IF(OR(S299="",N299&lt;=0),"",S299/1000*12/N299))</f>
        <v/>
      </c>
      <c r="U299" s="52" t="str">
        <f aca="false">IF($A299="","",IF(OR(T299="",J299=0,J299=""),"",T299/J299))</f>
        <v/>
      </c>
      <c r="V299" s="52" t="str">
        <f aca="false">IF($A299="","",IF(OR(R299="",N299&lt;=0,J299=0,J299=""),"",(R299/1000*12/N299)/J299))</f>
        <v/>
      </c>
      <c r="W299" s="52" t="str">
        <f aca="false">IF($A299="","",IF(OR(T299="",K299=0,K299=""),"",T299/K299))</f>
        <v/>
      </c>
      <c r="X299" s="43" t="n">
        <f aca="false">IF($A299="","",IF(OR(N299&lt;=0,I299=0,I299="",O299=0),"",O299*1000/(I299*0.3025)/N299))</f>
        <v>17336.2728325376</v>
      </c>
      <c r="Y299" s="50" t="str">
        <f aca="false">IF($A299="","",IF(OR(O299=0,O299="",P299=0),"",P299/O299))</f>
        <v/>
      </c>
      <c r="Z299" s="17" t="str">
        <f aca="false">IF($A299="","",IFERROR(INDEX(物件収支!$E:$E,MATCH($A299,物件収支!$A:$A,0)),""))</f>
        <v>開示（物件別・収益のみ）</v>
      </c>
    </row>
    <row r="300" customFormat="false" ht="15" hidden="false" customHeight="true" outlineLevel="0" collapsed="false">
      <c r="A300" s="17" t="str">
        <f aca="false">IF(物件マスタ!A300="","",物件マスタ!A300)</f>
        <v>ICG-03</v>
      </c>
      <c r="B300" s="17" t="str">
        <f aca="false">IF($A300="","",物件マスタ!B300)</f>
        <v>ICG</v>
      </c>
      <c r="C300" s="17" t="str">
        <f aca="false">IF($A300="","",IFERROR(INDEX(法人マスタ!$C:$C,MATCH($B300,法人マスタ!$A:$A,0)),""))</f>
        <v>いちごオフィスリート投資法人</v>
      </c>
      <c r="D300" s="17" t="str">
        <f aca="false">IF($A300="","",物件マスタ!C300)</f>
        <v>いちご南平台ビル</v>
      </c>
      <c r="E300" s="17" t="str">
        <f aca="false">IF($A300="","",物件マスタ!H300)</f>
        <v>都心5区</v>
      </c>
      <c r="F300" s="48" t="n">
        <f aca="false">IF($A300="","",物件マスタ!P300)</f>
        <v>0</v>
      </c>
      <c r="G300" s="34" t="str">
        <f aca="false">IF($A300="","",物件マスタ!Q300)</f>
        <v/>
      </c>
      <c r="H300" s="49" t="n">
        <f aca="false">IF($A300="","",物件マスタ!L300)</f>
        <v>0</v>
      </c>
      <c r="I300" s="49" t="n">
        <f aca="false">IF($A300="","",物件マスタ!M300)</f>
        <v>1925.24</v>
      </c>
      <c r="J300" s="43" t="n">
        <f aca="false">IF($A300="","",物件マスタ!S300)</f>
        <v>0</v>
      </c>
      <c r="K300" s="43" t="n">
        <f aca="false">IF($A300="","",物件マスタ!U300)</f>
        <v>3130</v>
      </c>
      <c r="L300" s="50" t="n">
        <f aca="false">IF($A300="","",物件マスタ!W300)</f>
        <v>0.919</v>
      </c>
      <c r="M300" s="17" t="str">
        <f aca="false">IF($A300="","",IFERROR(INDEX(法人マスタ!$H:$H,MATCH($B300,法人マスタ!$A:$A,0)),""))</f>
        <v>2026年4月期（第41期）</v>
      </c>
      <c r="N300" s="51" t="n">
        <f aca="false">IF($A300="","",SUMIFS(物件収支!$D:$D,物件収支!$A:$A,$A300,物件収支!$C:$C,$M300))</f>
        <v>6</v>
      </c>
      <c r="O300" s="43" t="n">
        <f aca="false">IF($A300="","",SUMIFS(物件収支!$F:$F,物件収支!$A:$A,$A300,物件収支!$C:$C,$M300))</f>
        <v>86973</v>
      </c>
      <c r="P300" s="43" t="n">
        <f aca="false">IF($A300="","",SUMIFS(物件収支!$I:$I,物件収支!$A:$A,$A300,物件収支!$C:$C,$M300))</f>
        <v>0</v>
      </c>
      <c r="Q300" s="43" t="n">
        <f aca="false">IF($A300="","",SUMIFS(物件収支!$O:$O,物件収支!$A:$A,$A300,物件収支!$C:$C,$M300))</f>
        <v>0</v>
      </c>
      <c r="R300" s="43" t="str">
        <f aca="false">IF($A300="","",IF(P300=0,"",O300-P300))</f>
        <v/>
      </c>
      <c r="S300" s="43" t="str">
        <f aca="false">IF($A300="","",IF(R300="","",R300+Q300))</f>
        <v/>
      </c>
      <c r="T300" s="43" t="str">
        <f aca="false">IF($A300="","",IF(OR(S300="",N300&lt;=0),"",S300/1000*12/N300))</f>
        <v/>
      </c>
      <c r="U300" s="52" t="str">
        <f aca="false">IF($A300="","",IF(OR(T300="",J300=0,J300=""),"",T300/J300))</f>
        <v/>
      </c>
      <c r="V300" s="52" t="str">
        <f aca="false">IF($A300="","",IF(OR(R300="",N300&lt;=0,J300=0,J300=""),"",(R300/1000*12/N300)/J300))</f>
        <v/>
      </c>
      <c r="W300" s="52" t="str">
        <f aca="false">IF($A300="","",IF(OR(T300="",K300=0,K300=""),"",T300/K300))</f>
        <v/>
      </c>
      <c r="X300" s="43" t="n">
        <f aca="false">IF($A300="","",IF(OR(N300&lt;=0,I300=0,I300="",O300=0),"",O300*1000/(I300*0.3025)/N300))</f>
        <v>24889.8881513281</v>
      </c>
      <c r="Y300" s="50" t="str">
        <f aca="false">IF($A300="","",IF(OR(O300=0,O300="",P300=0),"",P300/O300))</f>
        <v/>
      </c>
      <c r="Z300" s="17" t="str">
        <f aca="false">IF($A300="","",IFERROR(INDEX(物件収支!$E:$E,MATCH($A300,物件収支!$A:$A,0)),""))</f>
        <v>開示（物件別・収益のみ）</v>
      </c>
    </row>
    <row r="301" customFormat="false" ht="15" hidden="false" customHeight="true" outlineLevel="0" collapsed="false">
      <c r="A301" s="17" t="str">
        <f aca="false">IF(物件マスタ!A301="","",物件マスタ!A301)</f>
        <v>ICG-04</v>
      </c>
      <c r="B301" s="17" t="str">
        <f aca="false">IF($A301="","",物件マスタ!B301)</f>
        <v>ICG</v>
      </c>
      <c r="C301" s="17" t="str">
        <f aca="false">IF($A301="","",IFERROR(INDEX(法人マスタ!$C:$C,MATCH($B301,法人マスタ!$A:$A,0)),""))</f>
        <v>いちごオフィスリート投資法人</v>
      </c>
      <c r="D301" s="17" t="str">
        <f aca="false">IF($A301="","",物件マスタ!C301)</f>
        <v>いちご半蔵門ビル</v>
      </c>
      <c r="E301" s="17" t="str">
        <f aca="false">IF($A301="","",物件マスタ!H301)</f>
        <v>都心5区</v>
      </c>
      <c r="F301" s="48" t="n">
        <f aca="false">IF($A301="","",物件マスタ!P301)</f>
        <v>0</v>
      </c>
      <c r="G301" s="34" t="str">
        <f aca="false">IF($A301="","",物件マスタ!Q301)</f>
        <v/>
      </c>
      <c r="H301" s="49" t="n">
        <f aca="false">IF($A301="","",物件マスタ!L301)</f>
        <v>0</v>
      </c>
      <c r="I301" s="49" t="n">
        <f aca="false">IF($A301="","",物件マスタ!M301)</f>
        <v>2080.37</v>
      </c>
      <c r="J301" s="43" t="n">
        <f aca="false">IF($A301="","",物件マスタ!S301)</f>
        <v>0</v>
      </c>
      <c r="K301" s="43" t="n">
        <f aca="false">IF($A301="","",物件マスタ!U301)</f>
        <v>2300</v>
      </c>
      <c r="L301" s="50" t="n">
        <f aca="false">IF($A301="","",物件マスタ!W301)</f>
        <v>0.794</v>
      </c>
      <c r="M301" s="17" t="str">
        <f aca="false">IF($A301="","",IFERROR(INDEX(法人マスタ!$H:$H,MATCH($B301,法人マスタ!$A:$A,0)),""))</f>
        <v>2026年4月期（第41期）</v>
      </c>
      <c r="N301" s="51" t="n">
        <f aca="false">IF($A301="","",SUMIFS(物件収支!$D:$D,物件収支!$A:$A,$A301,物件収支!$C:$C,$M301))</f>
        <v>6</v>
      </c>
      <c r="O301" s="43" t="n">
        <f aca="false">IF($A301="","",SUMIFS(物件収支!$F:$F,物件収支!$A:$A,$A301,物件収支!$C:$C,$M301))</f>
        <v>61142</v>
      </c>
      <c r="P301" s="43" t="n">
        <f aca="false">IF($A301="","",SUMIFS(物件収支!$I:$I,物件収支!$A:$A,$A301,物件収支!$C:$C,$M301))</f>
        <v>0</v>
      </c>
      <c r="Q301" s="43" t="n">
        <f aca="false">IF($A301="","",SUMIFS(物件収支!$O:$O,物件収支!$A:$A,$A301,物件収支!$C:$C,$M301))</f>
        <v>0</v>
      </c>
      <c r="R301" s="43" t="str">
        <f aca="false">IF($A301="","",IF(P301=0,"",O301-P301))</f>
        <v/>
      </c>
      <c r="S301" s="43" t="str">
        <f aca="false">IF($A301="","",IF(R301="","",R301+Q301))</f>
        <v/>
      </c>
      <c r="T301" s="43" t="str">
        <f aca="false">IF($A301="","",IF(OR(S301="",N301&lt;=0),"",S301/1000*12/N301))</f>
        <v/>
      </c>
      <c r="U301" s="52" t="str">
        <f aca="false">IF($A301="","",IF(OR(T301="",J301=0,J301=""),"",T301/J301))</f>
        <v/>
      </c>
      <c r="V301" s="52" t="str">
        <f aca="false">IF($A301="","",IF(OR(R301="",N301&lt;=0,J301=0,J301=""),"",(R301/1000*12/N301)/J301))</f>
        <v/>
      </c>
      <c r="W301" s="52" t="str">
        <f aca="false">IF($A301="","",IF(OR(T301="",K301=0,K301=""),"",T301/K301))</f>
        <v/>
      </c>
      <c r="X301" s="43" t="n">
        <f aca="false">IF($A301="","",IF(OR(N301&lt;=0,I301=0,I301="",O301=0),"",O301*1000/(I301*0.3025)/N301))</f>
        <v>16192.8177879886</v>
      </c>
      <c r="Y301" s="50" t="str">
        <f aca="false">IF($A301="","",IF(OR(O301=0,O301="",P301=0),"",P301/O301))</f>
        <v/>
      </c>
      <c r="Z301" s="17" t="str">
        <f aca="false">IF($A301="","",IFERROR(INDEX(物件収支!$E:$E,MATCH($A301,物件収支!$A:$A,0)),""))</f>
        <v>開示（物件別・収益のみ）</v>
      </c>
    </row>
    <row r="302" customFormat="false" ht="16.5" hidden="false" customHeight="true" outlineLevel="0" collapsed="false">
      <c r="A302" s="1" t="str">
        <f aca="false">IF(物件マスタ!A302="","",物件マスタ!A302)</f>
        <v>ICG-05</v>
      </c>
      <c r="B302" s="1" t="str">
        <f aca="false">IF($A302="","",物件マスタ!B302)</f>
        <v>ICG</v>
      </c>
      <c r="C302" s="1" t="str">
        <f aca="false">IF($A302="","",IFERROR(INDEX(法人マスタ!$C:$C,MATCH($B302,法人マスタ!$A:$A,0)),""))</f>
        <v>いちごオフィスリート投資法人</v>
      </c>
      <c r="D302" s="1" t="str">
        <f aca="false">IF($A302="","",物件マスタ!C302)</f>
        <v>いちご聖坂ビル</v>
      </c>
      <c r="E302" s="1" t="str">
        <f aca="false">IF($A302="","",物件マスタ!H302)</f>
        <v>都心5区</v>
      </c>
      <c r="F302" s="1" t="n">
        <f aca="false">IF($A302="","",物件マスタ!P302)</f>
        <v>0</v>
      </c>
      <c r="G302" s="1" t="str">
        <f aca="false">IF($A302="","",物件マスタ!Q302)</f>
        <v/>
      </c>
      <c r="H302" s="1" t="n">
        <f aca="false">IF($A302="","",物件マスタ!L302)</f>
        <v>0</v>
      </c>
      <c r="I302" s="1" t="n">
        <f aca="false">IF($A302="","",物件マスタ!M302)</f>
        <v>1940.65</v>
      </c>
      <c r="J302" s="1" t="n">
        <f aca="false">IF($A302="","",物件マスタ!S302)</f>
        <v>0</v>
      </c>
      <c r="K302" s="1" t="n">
        <f aca="false">IF($A302="","",物件マスタ!U302)</f>
        <v>2090</v>
      </c>
      <c r="L302" s="1" t="n">
        <f aca="false">IF($A302="","",物件マスタ!W302)</f>
        <v>0.808</v>
      </c>
      <c r="M302" s="1" t="str">
        <f aca="false">IF($A302="","",IFERROR(INDEX(法人マスタ!$H:$H,MATCH($B302,法人マスタ!$A:$A,0)),""))</f>
        <v>2026年4月期（第41期）</v>
      </c>
      <c r="N302" s="1" t="n">
        <f aca="false">IF($A302="","",SUMIFS(物件収支!$D:$D,物件収支!$A:$A,$A302,物件収支!$C:$C,$M302))</f>
        <v>6</v>
      </c>
      <c r="O302" s="1" t="n">
        <f aca="false">IF($A302="","",SUMIFS(物件収支!$F:$F,物件収支!$A:$A,$A302,物件収支!$C:$C,$M302))</f>
        <v>68442</v>
      </c>
      <c r="P302" s="1" t="n">
        <f aca="false">IF($A302="","",SUMIFS(物件収支!$I:$I,物件収支!$A:$A,$A302,物件収支!$C:$C,$M302))</f>
        <v>0</v>
      </c>
      <c r="Q302" s="1" t="n">
        <f aca="false">IF($A302="","",SUMIFS(物件収支!$O:$O,物件収支!$A:$A,$A302,物件収支!$C:$C,$M302))</f>
        <v>0</v>
      </c>
      <c r="R302" s="1" t="str">
        <f aca="false">IF($A302="","",IF(P302=0,"",O302-P302))</f>
        <v/>
      </c>
      <c r="S302" s="1" t="str">
        <f aca="false">IF($A302="","",IF(R302="","",R302+Q302))</f>
        <v/>
      </c>
      <c r="T302" s="1" t="str">
        <f aca="false">IF($A302="","",IF(OR(S302="",N302&lt;=0),"",S302/1000*12/N302))</f>
        <v/>
      </c>
      <c r="U302" s="1" t="str">
        <f aca="false">IF($A302="","",IF(OR(T302="",J302=0,J302=""),"",T302/J302))</f>
        <v/>
      </c>
      <c r="V302" s="1" t="str">
        <f aca="false">IF($A302="","",IF(OR(R302="",N302&lt;=0,J302=0,J302=""),"",(R302/1000*12/N302)/J302))</f>
        <v/>
      </c>
      <c r="W302" s="1" t="str">
        <f aca="false">IF($A302="","",IF(OR(T302="",K302=0,K302=""),"",T302/K302))</f>
        <v/>
      </c>
      <c r="X302" s="1" t="n">
        <f aca="false">IF($A302="","",IF(OR(N302&lt;=0,I302=0,I302="",O302=0),"",O302*1000/(I302*0.3025)/N302))</f>
        <v>19431.1652843588</v>
      </c>
      <c r="Y302" s="1" t="str">
        <f aca="false">IF($A302="","",IF(OR(O302=0,O302="",P302=0),"",P302/O302))</f>
        <v/>
      </c>
      <c r="Z302" s="1" t="str">
        <f aca="false">IF($A302="","",IFERROR(INDEX(物件収支!$E:$E,MATCH($A302,物件収支!$A:$A,0)),""))</f>
        <v>開示（物件別・収益のみ）</v>
      </c>
    </row>
    <row r="303" customFormat="false" ht="16.5" hidden="false" customHeight="true" outlineLevel="0" collapsed="false">
      <c r="A303" s="1" t="str">
        <f aca="false">IF(物件マスタ!A303="","",物件マスタ!A303)</f>
        <v>ICG-06</v>
      </c>
      <c r="B303" s="1" t="str">
        <f aca="false">IF($A303="","",物件マスタ!B303)</f>
        <v>ICG</v>
      </c>
      <c r="C303" s="1" t="str">
        <f aca="false">IF($A303="","",IFERROR(INDEX(法人マスタ!$C:$C,MATCH($B303,法人マスタ!$A:$A,0)),""))</f>
        <v>いちごオフィスリート投資法人</v>
      </c>
      <c r="D303" s="1" t="str">
        <f aca="false">IF($A303="","",物件マスタ!C303)</f>
        <v>いちご渋谷神山町ビル</v>
      </c>
      <c r="E303" s="1" t="str">
        <f aca="false">IF($A303="","",物件マスタ!H303)</f>
        <v>都心5区</v>
      </c>
      <c r="F303" s="1" t="n">
        <f aca="false">IF($A303="","",物件マスタ!P303)</f>
        <v>0</v>
      </c>
      <c r="G303" s="1" t="str">
        <f aca="false">IF($A303="","",物件マスタ!Q303)</f>
        <v/>
      </c>
      <c r="H303" s="1" t="n">
        <f aca="false">IF($A303="","",物件マスタ!L303)</f>
        <v>0</v>
      </c>
      <c r="I303" s="1" t="n">
        <f aca="false">IF($A303="","",物件マスタ!M303)</f>
        <v>1321.54</v>
      </c>
      <c r="J303" s="1" t="n">
        <f aca="false">IF($A303="","",物件マスタ!S303)</f>
        <v>0</v>
      </c>
      <c r="K303" s="1" t="n">
        <f aca="false">IF($A303="","",物件マスタ!U303)</f>
        <v>2150</v>
      </c>
      <c r="L303" s="1" t="n">
        <f aca="false">IF($A303="","",物件マスタ!W303)</f>
        <v>0.866</v>
      </c>
      <c r="M303" s="1" t="str">
        <f aca="false">IF($A303="","",IFERROR(INDEX(法人マスタ!$H:$H,MATCH($B303,法人マスタ!$A:$A,0)),""))</f>
        <v>2026年4月期（第41期）</v>
      </c>
      <c r="N303" s="1" t="n">
        <f aca="false">IF($A303="","",SUMIFS(物件収支!$D:$D,物件収支!$A:$A,$A303,物件収支!$C:$C,$M303))</f>
        <v>6</v>
      </c>
      <c r="O303" s="1" t="n">
        <f aca="false">IF($A303="","",SUMIFS(物件収支!$F:$F,物件収支!$A:$A,$A303,物件収支!$C:$C,$M303))</f>
        <v>53023</v>
      </c>
      <c r="P303" s="1" t="n">
        <f aca="false">IF($A303="","",SUMIFS(物件収支!$I:$I,物件収支!$A:$A,$A303,物件収支!$C:$C,$M303))</f>
        <v>0</v>
      </c>
      <c r="Q303" s="1" t="n">
        <f aca="false">IF($A303="","",SUMIFS(物件収支!$O:$O,物件収支!$A:$A,$A303,物件収支!$C:$C,$M303))</f>
        <v>0</v>
      </c>
      <c r="R303" s="1" t="str">
        <f aca="false">IF($A303="","",IF(P303=0,"",O303-P303))</f>
        <v/>
      </c>
      <c r="S303" s="1" t="str">
        <f aca="false">IF($A303="","",IF(R303="","",R303+Q303))</f>
        <v/>
      </c>
      <c r="T303" s="1" t="str">
        <f aca="false">IF($A303="","",IF(OR(S303="",N303&lt;=0),"",S303/1000*12/N303))</f>
        <v/>
      </c>
      <c r="U303" s="1" t="str">
        <f aca="false">IF($A303="","",IF(OR(T303="",J303=0,J303=""),"",T303/J303))</f>
        <v/>
      </c>
      <c r="V303" s="1" t="str">
        <f aca="false">IF($A303="","",IF(OR(R303="",N303&lt;=0,J303=0,J303=""),"",(R303/1000*12/N303)/J303))</f>
        <v/>
      </c>
      <c r="W303" s="1" t="str">
        <f aca="false">IF($A303="","",IF(OR(T303="",K303=0,K303=""),"",T303/K303))</f>
        <v/>
      </c>
      <c r="X303" s="1" t="n">
        <f aca="false">IF($A303="","",IF(OR(N303&lt;=0,I303=0,I303="",O303=0),"",O303*1000/(I303*0.3025)/N303))</f>
        <v>22105.8568826393</v>
      </c>
      <c r="Y303" s="1" t="str">
        <f aca="false">IF($A303="","",IF(OR(O303=0,O303="",P303=0),"",P303/O303))</f>
        <v/>
      </c>
      <c r="Z303" s="1" t="str">
        <f aca="false">IF($A303="","",IFERROR(INDEX(物件収支!$E:$E,MATCH($A303,物件収支!$A:$A,0)),""))</f>
        <v>開示（物件別・収益のみ）</v>
      </c>
    </row>
    <row r="304" customFormat="false" ht="16.5" hidden="false" customHeight="true" outlineLevel="0" collapsed="false">
      <c r="A304" s="1" t="str">
        <f aca="false">IF(物件マスタ!A304="","",物件マスタ!A304)</f>
        <v>ICG-07</v>
      </c>
      <c r="B304" s="1" t="str">
        <f aca="false">IF($A304="","",物件マスタ!B304)</f>
        <v>ICG</v>
      </c>
      <c r="C304" s="1" t="str">
        <f aca="false">IF($A304="","",IFERROR(INDEX(法人マスタ!$C:$C,MATCH($B304,法人マスタ!$A:$A,0)),""))</f>
        <v>いちごオフィスリート投資法人</v>
      </c>
      <c r="D304" s="1" t="str">
        <f aca="false">IF($A304="","",物件マスタ!C304)</f>
        <v>いちご芝公園ビル</v>
      </c>
      <c r="E304" s="1" t="str">
        <f aca="false">IF($A304="","",物件マスタ!H304)</f>
        <v>都心5区</v>
      </c>
      <c r="F304" s="1" t="n">
        <f aca="false">IF($A304="","",物件マスタ!P304)</f>
        <v>0</v>
      </c>
      <c r="G304" s="1" t="str">
        <f aca="false">IF($A304="","",物件マスタ!Q304)</f>
        <v/>
      </c>
      <c r="H304" s="1" t="n">
        <f aca="false">IF($A304="","",物件マスタ!L304)</f>
        <v>0</v>
      </c>
      <c r="I304" s="1" t="n">
        <f aca="false">IF($A304="","",物件マスタ!M304)</f>
        <v>1602.29</v>
      </c>
      <c r="J304" s="1" t="n">
        <f aca="false">IF($A304="","",物件マスタ!S304)</f>
        <v>0</v>
      </c>
      <c r="K304" s="1" t="n">
        <f aca="false">IF($A304="","",物件マスタ!U304)</f>
        <v>1320</v>
      </c>
      <c r="L304" s="1" t="n">
        <f aca="false">IF($A304="","",物件マスタ!W304)</f>
        <v>0.863</v>
      </c>
      <c r="M304" s="1" t="str">
        <f aca="false">IF($A304="","",IFERROR(INDEX(法人マスタ!$H:$H,MATCH($B304,法人マスタ!$A:$A,0)),""))</f>
        <v>2026年4月期（第41期）</v>
      </c>
      <c r="N304" s="1" t="n">
        <f aca="false">IF($A304="","",SUMIFS(物件収支!$D:$D,物件収支!$A:$A,$A304,物件収支!$C:$C,$M304))</f>
        <v>6</v>
      </c>
      <c r="O304" s="1" t="n">
        <f aca="false">IF($A304="","",SUMIFS(物件収支!$F:$F,物件収支!$A:$A,$A304,物件収支!$C:$C,$M304))</f>
        <v>40121</v>
      </c>
      <c r="P304" s="1" t="n">
        <f aca="false">IF($A304="","",SUMIFS(物件収支!$I:$I,物件収支!$A:$A,$A304,物件収支!$C:$C,$M304))</f>
        <v>0</v>
      </c>
      <c r="Q304" s="1" t="n">
        <f aca="false">IF($A304="","",SUMIFS(物件収支!$O:$O,物件収支!$A:$A,$A304,物件収支!$C:$C,$M304))</f>
        <v>0</v>
      </c>
      <c r="R304" s="1" t="str">
        <f aca="false">IF($A304="","",IF(P304=0,"",O304-P304))</f>
        <v/>
      </c>
      <c r="S304" s="1" t="str">
        <f aca="false">IF($A304="","",IF(R304="","",R304+Q304))</f>
        <v/>
      </c>
      <c r="T304" s="1" t="str">
        <f aca="false">IF($A304="","",IF(OR(S304="",N304&lt;=0),"",S304/1000*12/N304))</f>
        <v/>
      </c>
      <c r="U304" s="1" t="str">
        <f aca="false">IF($A304="","",IF(OR(T304="",J304=0,J304=""),"",T304/J304))</f>
        <v/>
      </c>
      <c r="V304" s="1" t="str">
        <f aca="false">IF($A304="","",IF(OR(R304="",N304&lt;=0,J304=0,J304=""),"",(R304/1000*12/N304)/J304))</f>
        <v/>
      </c>
      <c r="W304" s="1" t="str">
        <f aca="false">IF($A304="","",IF(OR(T304="",K304=0,K304=""),"",T304/K304))</f>
        <v/>
      </c>
      <c r="X304" s="1" t="n">
        <f aca="false">IF($A304="","",IF(OR(N304&lt;=0,I304=0,I304="",O304=0),"",O304*1000/(I304*0.3025)/N304))</f>
        <v>13796.0257879533</v>
      </c>
      <c r="Y304" s="1" t="str">
        <f aca="false">IF($A304="","",IF(OR(O304=0,O304="",P304=0),"",P304/O304))</f>
        <v/>
      </c>
      <c r="Z304" s="1" t="str">
        <f aca="false">IF($A304="","",IFERROR(INDEX(物件収支!$E:$E,MATCH($A304,物件収支!$A:$A,0)),""))</f>
        <v>開示（物件別・収益のみ）</v>
      </c>
    </row>
    <row r="305" customFormat="false" ht="16.5" hidden="false" customHeight="true" outlineLevel="0" collapsed="false">
      <c r="A305" s="1" t="str">
        <f aca="false">IF(物件マスタ!A305="","",物件マスタ!A305)</f>
        <v>ICG-08</v>
      </c>
      <c r="B305" s="1" t="str">
        <f aca="false">IF($A305="","",物件マスタ!B305)</f>
        <v>ICG</v>
      </c>
      <c r="C305" s="1" t="str">
        <f aca="false">IF($A305="","",IFERROR(INDEX(法人マスタ!$C:$C,MATCH($B305,法人マスタ!$A:$A,0)),""))</f>
        <v>いちごオフィスリート投資法人</v>
      </c>
      <c r="D305" s="1" t="str">
        <f aca="false">IF($A305="","",物件マスタ!C305)</f>
        <v>いちご恵比寿西ビル</v>
      </c>
      <c r="E305" s="1" t="str">
        <f aca="false">IF($A305="","",物件マスタ!H305)</f>
        <v>都心5区</v>
      </c>
      <c r="F305" s="1" t="n">
        <f aca="false">IF($A305="","",物件マスタ!P305)</f>
        <v>0</v>
      </c>
      <c r="G305" s="1" t="str">
        <f aca="false">IF($A305="","",物件マスタ!Q305)</f>
        <v/>
      </c>
      <c r="H305" s="1" t="n">
        <f aca="false">IF($A305="","",物件マスタ!L305)</f>
        <v>0</v>
      </c>
      <c r="I305" s="1" t="n">
        <f aca="false">IF($A305="","",物件マスタ!M305)</f>
        <v>1484.39</v>
      </c>
      <c r="J305" s="1" t="n">
        <f aca="false">IF($A305="","",物件マスタ!S305)</f>
        <v>0</v>
      </c>
      <c r="K305" s="1" t="n">
        <f aca="false">IF($A305="","",物件マスタ!U305)</f>
        <v>2910</v>
      </c>
      <c r="L305" s="1" t="n">
        <f aca="false">IF($A305="","",物件マスタ!W305)</f>
        <v>1</v>
      </c>
      <c r="M305" s="1" t="str">
        <f aca="false">IF($A305="","",IFERROR(INDEX(法人マスタ!$H:$H,MATCH($B305,法人マスタ!$A:$A,0)),""))</f>
        <v>2026年4月期（第41期）</v>
      </c>
      <c r="N305" s="1" t="n">
        <f aca="false">IF($A305="","",SUMIFS(物件収支!$D:$D,物件収支!$A:$A,$A305,物件収支!$C:$C,$M305))</f>
        <v>6</v>
      </c>
      <c r="O305" s="1" t="n">
        <f aca="false">IF($A305="","",SUMIFS(物件収支!$F:$F,物件収支!$A:$A,$A305,物件収支!$C:$C,$M305))</f>
        <v>67561</v>
      </c>
      <c r="P305" s="1" t="n">
        <f aca="false">IF($A305="","",SUMIFS(物件収支!$I:$I,物件収支!$A:$A,$A305,物件収支!$C:$C,$M305))</f>
        <v>0</v>
      </c>
      <c r="Q305" s="1" t="n">
        <f aca="false">IF($A305="","",SUMIFS(物件収支!$O:$O,物件収支!$A:$A,$A305,物件収支!$C:$C,$M305))</f>
        <v>0</v>
      </c>
      <c r="R305" s="1" t="str">
        <f aca="false">IF($A305="","",IF(P305=0,"",O305-P305))</f>
        <v/>
      </c>
      <c r="S305" s="1" t="str">
        <f aca="false">IF($A305="","",IF(R305="","",R305+Q305))</f>
        <v/>
      </c>
      <c r="T305" s="1" t="str">
        <f aca="false">IF($A305="","",IF(OR(S305="",N305&lt;=0),"",S305/1000*12/N305))</f>
        <v/>
      </c>
      <c r="U305" s="1" t="str">
        <f aca="false">IF($A305="","",IF(OR(T305="",J305=0,J305=""),"",T305/J305))</f>
        <v/>
      </c>
      <c r="V305" s="1" t="str">
        <f aca="false">IF($A305="","",IF(OR(R305="",N305&lt;=0,J305=0,J305=""),"",(R305/1000*12/N305)/J305))</f>
        <v/>
      </c>
      <c r="W305" s="1" t="str">
        <f aca="false">IF($A305="","",IF(OR(T305="",K305=0,K305=""),"",T305/K305))</f>
        <v/>
      </c>
      <c r="X305" s="1" t="n">
        <f aca="false">IF($A305="","",IF(OR(N305&lt;=0,I305=0,I305="",O305=0),"",O305*1000/(I305*0.3025)/N305))</f>
        <v>25076.7597868856</v>
      </c>
      <c r="Y305" s="1" t="str">
        <f aca="false">IF($A305="","",IF(OR(O305=0,O305="",P305=0),"",P305/O305))</f>
        <v/>
      </c>
      <c r="Z305" s="1" t="str">
        <f aca="false">IF($A305="","",IFERROR(INDEX(物件収支!$E:$E,MATCH($A305,物件収支!$A:$A,0)),""))</f>
        <v>開示（物件別・収益のみ）</v>
      </c>
    </row>
    <row r="306" customFormat="false" ht="16.5" hidden="false" customHeight="true" outlineLevel="0" collapsed="false">
      <c r="A306" s="1" t="str">
        <f aca="false">IF(物件マスタ!A306="","",物件マスタ!A306)</f>
        <v>ICG-09</v>
      </c>
      <c r="B306" s="1" t="str">
        <f aca="false">IF($A306="","",物件マスタ!B306)</f>
        <v>ICG</v>
      </c>
      <c r="C306" s="1" t="str">
        <f aca="false">IF($A306="","",IFERROR(INDEX(法人マスタ!$C:$C,MATCH($B306,法人マスタ!$A:$A,0)),""))</f>
        <v>いちごオフィスリート投資法人</v>
      </c>
      <c r="D306" s="1" t="str">
        <f aca="false">IF($A306="","",物件マスタ!C306)</f>
        <v>いちご銀座６１２ビル</v>
      </c>
      <c r="E306" s="1" t="str">
        <f aca="false">IF($A306="","",物件マスタ!H306)</f>
        <v>都心5区</v>
      </c>
      <c r="F306" s="1" t="n">
        <f aca="false">IF($A306="","",物件マスタ!P306)</f>
        <v>0</v>
      </c>
      <c r="G306" s="1" t="str">
        <f aca="false">IF($A306="","",物件マスタ!Q306)</f>
        <v/>
      </c>
      <c r="H306" s="1" t="n">
        <f aca="false">IF($A306="","",物件マスタ!L306)</f>
        <v>0</v>
      </c>
      <c r="I306" s="1" t="n">
        <f aca="false">IF($A306="","",物件マスタ!M306)</f>
        <v>1363.22</v>
      </c>
      <c r="J306" s="1" t="n">
        <f aca="false">IF($A306="","",物件マスタ!S306)</f>
        <v>0</v>
      </c>
      <c r="K306" s="1" t="n">
        <f aca="false">IF($A306="","",物件マスタ!U306)</f>
        <v>2580</v>
      </c>
      <c r="L306" s="1" t="n">
        <f aca="false">IF($A306="","",物件マスタ!W306)</f>
        <v>1</v>
      </c>
      <c r="M306" s="1" t="str">
        <f aca="false">IF($A306="","",IFERROR(INDEX(法人マスタ!$H:$H,MATCH($B306,法人マスタ!$A:$A,0)),""))</f>
        <v>2026年4月期（第41期）</v>
      </c>
      <c r="N306" s="1" t="n">
        <f aca="false">IF($A306="","",SUMIFS(物件収支!$D:$D,物件収支!$A:$A,$A306,物件収支!$C:$C,$M306))</f>
        <v>6</v>
      </c>
      <c r="O306" s="1" t="n">
        <f aca="false">IF($A306="","",SUMIFS(物件収支!$F:$F,物件収支!$A:$A,$A306,物件収支!$C:$C,$M306))</f>
        <v>75004</v>
      </c>
      <c r="P306" s="1" t="n">
        <f aca="false">IF($A306="","",SUMIFS(物件収支!$I:$I,物件収支!$A:$A,$A306,物件収支!$C:$C,$M306))</f>
        <v>0</v>
      </c>
      <c r="Q306" s="1" t="n">
        <f aca="false">IF($A306="","",SUMIFS(物件収支!$O:$O,物件収支!$A:$A,$A306,物件収支!$C:$C,$M306))</f>
        <v>0</v>
      </c>
      <c r="R306" s="1" t="str">
        <f aca="false">IF($A306="","",IF(P306=0,"",O306-P306))</f>
        <v/>
      </c>
      <c r="S306" s="1" t="str">
        <f aca="false">IF($A306="","",IF(R306="","",R306+Q306))</f>
        <v/>
      </c>
      <c r="T306" s="1" t="str">
        <f aca="false">IF($A306="","",IF(OR(S306="",N306&lt;=0),"",S306/1000*12/N306))</f>
        <v/>
      </c>
      <c r="U306" s="1" t="str">
        <f aca="false">IF($A306="","",IF(OR(T306="",J306=0,J306=""),"",T306/J306))</f>
        <v/>
      </c>
      <c r="V306" s="1" t="str">
        <f aca="false">IF($A306="","",IF(OR(R306="",N306&lt;=0,J306=0,J306=""),"",(R306/1000*12/N306)/J306))</f>
        <v/>
      </c>
      <c r="W306" s="1" t="str">
        <f aca="false">IF($A306="","",IF(OR(T306="",K306=0,K306=""),"",T306/K306))</f>
        <v/>
      </c>
      <c r="X306" s="1" t="n">
        <f aca="false">IF($A306="","",IF(OR(N306&lt;=0,I306=0,I306="",O306=0),"",O306*1000/(I306*0.3025)/N306))</f>
        <v>30313.902309485</v>
      </c>
      <c r="Y306" s="1" t="str">
        <f aca="false">IF($A306="","",IF(OR(O306=0,O306="",P306=0),"",P306/O306))</f>
        <v/>
      </c>
      <c r="Z306" s="1" t="str">
        <f aca="false">IF($A306="","",IFERROR(INDEX(物件収支!$E:$E,MATCH($A306,物件収支!$A:$A,0)),""))</f>
        <v>開示（物件別・収益のみ）</v>
      </c>
    </row>
    <row r="307" customFormat="false" ht="16.5" hidden="false" customHeight="true" outlineLevel="0" collapsed="false">
      <c r="A307" s="1" t="str">
        <f aca="false">IF(物件マスタ!A307="","",物件マスタ!A307)</f>
        <v>ICG-10</v>
      </c>
      <c r="B307" s="1" t="str">
        <f aca="false">IF($A307="","",物件マスタ!B307)</f>
        <v>ICG</v>
      </c>
      <c r="C307" s="1" t="str">
        <f aca="false">IF($A307="","",IFERROR(INDEX(法人マスタ!$C:$C,MATCH($B307,法人マスタ!$A:$A,0)),""))</f>
        <v>いちごオフィスリート投資法人</v>
      </c>
      <c r="D307" s="1" t="str">
        <f aca="false">IF($A307="","",物件マスタ!C307)</f>
        <v>いちご内神田ビル</v>
      </c>
      <c r="E307" s="1" t="str">
        <f aca="false">IF($A307="","",物件マスタ!H307)</f>
        <v>都心5区</v>
      </c>
      <c r="F307" s="1" t="n">
        <f aca="false">IF($A307="","",物件マスタ!P307)</f>
        <v>0</v>
      </c>
      <c r="G307" s="1" t="str">
        <f aca="false">IF($A307="","",物件マスタ!Q307)</f>
        <v/>
      </c>
      <c r="H307" s="1" t="n">
        <f aca="false">IF($A307="","",物件マスタ!L307)</f>
        <v>0</v>
      </c>
      <c r="I307" s="1" t="n">
        <f aca="false">IF($A307="","",物件マスタ!M307)</f>
        <v>1378.83</v>
      </c>
      <c r="J307" s="1" t="n">
        <f aca="false">IF($A307="","",物件マスタ!S307)</f>
        <v>0</v>
      </c>
      <c r="K307" s="1" t="n">
        <f aca="false">IF($A307="","",物件マスタ!U307)</f>
        <v>1550</v>
      </c>
      <c r="L307" s="1" t="n">
        <f aca="false">IF($A307="","",物件マスタ!W307)</f>
        <v>1</v>
      </c>
      <c r="M307" s="1" t="str">
        <f aca="false">IF($A307="","",IFERROR(INDEX(法人マスタ!$H:$H,MATCH($B307,法人マスタ!$A:$A,0)),""))</f>
        <v>2026年4月期（第41期）</v>
      </c>
      <c r="N307" s="1" t="n">
        <f aca="false">IF($A307="","",SUMIFS(物件収支!$D:$D,物件収支!$A:$A,$A307,物件収支!$C:$C,$M307))</f>
        <v>6</v>
      </c>
      <c r="O307" s="1" t="n">
        <f aca="false">IF($A307="","",SUMIFS(物件収支!$F:$F,物件収支!$A:$A,$A307,物件収支!$C:$C,$M307))</f>
        <v>48464</v>
      </c>
      <c r="P307" s="1" t="n">
        <f aca="false">IF($A307="","",SUMIFS(物件収支!$I:$I,物件収支!$A:$A,$A307,物件収支!$C:$C,$M307))</f>
        <v>0</v>
      </c>
      <c r="Q307" s="1" t="n">
        <f aca="false">IF($A307="","",SUMIFS(物件収支!$O:$O,物件収支!$A:$A,$A307,物件収支!$C:$C,$M307))</f>
        <v>0</v>
      </c>
      <c r="R307" s="1" t="str">
        <f aca="false">IF($A307="","",IF(P307=0,"",O307-P307))</f>
        <v/>
      </c>
      <c r="S307" s="1" t="str">
        <f aca="false">IF($A307="","",IF(R307="","",R307+Q307))</f>
        <v/>
      </c>
      <c r="T307" s="1" t="str">
        <f aca="false">IF($A307="","",IF(OR(S307="",N307&lt;=0),"",S307/1000*12/N307))</f>
        <v/>
      </c>
      <c r="U307" s="1" t="str">
        <f aca="false">IF($A307="","",IF(OR(T307="",J307=0,J307=""),"",T307/J307))</f>
        <v/>
      </c>
      <c r="V307" s="1" t="str">
        <f aca="false">IF($A307="","",IF(OR(R307="",N307&lt;=0,J307=0,J307=""),"",(R307/1000*12/N307)/J307))</f>
        <v/>
      </c>
      <c r="W307" s="1" t="str">
        <f aca="false">IF($A307="","",IF(OR(T307="",K307=0,K307=""),"",T307/K307))</f>
        <v/>
      </c>
      <c r="X307" s="1" t="n">
        <f aca="false">IF($A307="","",IF(OR(N307&lt;=0,I307=0,I307="",O307=0),"",O307*1000/(I307*0.3025)/N307))</f>
        <v>19365.6421565063</v>
      </c>
      <c r="Y307" s="1" t="str">
        <f aca="false">IF($A307="","",IF(OR(O307=0,O307="",P307=0),"",P307/O307))</f>
        <v/>
      </c>
      <c r="Z307" s="1" t="str">
        <f aca="false">IF($A307="","",IFERROR(INDEX(物件収支!$E:$E,MATCH($A307,物件収支!$A:$A,0)),""))</f>
        <v>開示（物件別・収益のみ）</v>
      </c>
    </row>
    <row r="308" customFormat="false" ht="16.5" hidden="false" customHeight="true" outlineLevel="0" collapsed="false">
      <c r="A308" s="1" t="str">
        <f aca="false">IF(物件マスタ!A308="","",物件マスタ!A308)</f>
        <v>ICG-11</v>
      </c>
      <c r="B308" s="1" t="str">
        <f aca="false">IF($A308="","",物件マスタ!B308)</f>
        <v>ICG</v>
      </c>
      <c r="C308" s="1" t="str">
        <f aca="false">IF($A308="","",IFERROR(INDEX(法人マスタ!$C:$C,MATCH($B308,法人マスタ!$A:$A,0)),""))</f>
        <v>いちごオフィスリート投資法人</v>
      </c>
      <c r="D308" s="1" t="str">
        <f aca="false">IF($A308="","",物件マスタ!C308)</f>
        <v>いちご神保町ビル</v>
      </c>
      <c r="E308" s="1" t="str">
        <f aca="false">IF($A308="","",物件マスタ!H308)</f>
        <v>都心5区</v>
      </c>
      <c r="F308" s="1" t="n">
        <f aca="false">IF($A308="","",物件マスタ!P308)</f>
        <v>0</v>
      </c>
      <c r="G308" s="1" t="str">
        <f aca="false">IF($A308="","",物件マスタ!Q308)</f>
        <v/>
      </c>
      <c r="H308" s="1" t="n">
        <f aca="false">IF($A308="","",物件マスタ!L308)</f>
        <v>0</v>
      </c>
      <c r="I308" s="1" t="n">
        <f aca="false">IF($A308="","",物件マスタ!M308)</f>
        <v>1926.88</v>
      </c>
      <c r="J308" s="1" t="n">
        <f aca="false">IF($A308="","",物件マスタ!S308)</f>
        <v>0</v>
      </c>
      <c r="K308" s="1" t="n">
        <f aca="false">IF($A308="","",物件マスタ!U308)</f>
        <v>2840</v>
      </c>
      <c r="L308" s="1" t="n">
        <f aca="false">IF($A308="","",物件マスタ!W308)</f>
        <v>0.927</v>
      </c>
      <c r="M308" s="1" t="str">
        <f aca="false">IF($A308="","",IFERROR(INDEX(法人マスタ!$H:$H,MATCH($B308,法人マスタ!$A:$A,0)),""))</f>
        <v>2026年4月期（第41期）</v>
      </c>
      <c r="N308" s="1" t="n">
        <f aca="false">IF($A308="","",SUMIFS(物件収支!$D:$D,物件収支!$A:$A,$A308,物件収支!$C:$C,$M308))</f>
        <v>6</v>
      </c>
      <c r="O308" s="1" t="n">
        <f aca="false">IF($A308="","",SUMIFS(物件収支!$F:$F,物件収支!$A:$A,$A308,物件収支!$C:$C,$M308))</f>
        <v>84570</v>
      </c>
      <c r="P308" s="1" t="n">
        <f aca="false">IF($A308="","",SUMIFS(物件収支!$I:$I,物件収支!$A:$A,$A308,物件収支!$C:$C,$M308))</f>
        <v>0</v>
      </c>
      <c r="Q308" s="1" t="n">
        <f aca="false">IF($A308="","",SUMIFS(物件収支!$O:$O,物件収支!$A:$A,$A308,物件収支!$C:$C,$M308))</f>
        <v>0</v>
      </c>
      <c r="R308" s="1" t="str">
        <f aca="false">IF($A308="","",IF(P308=0,"",O308-P308))</f>
        <v/>
      </c>
      <c r="S308" s="1" t="str">
        <f aca="false">IF($A308="","",IF(R308="","",R308+Q308))</f>
        <v/>
      </c>
      <c r="T308" s="1" t="str">
        <f aca="false">IF($A308="","",IF(OR(S308="",N308&lt;=0),"",S308/1000*12/N308))</f>
        <v/>
      </c>
      <c r="U308" s="1" t="str">
        <f aca="false">IF($A308="","",IF(OR(T308="",J308=0,J308=""),"",T308/J308))</f>
        <v/>
      </c>
      <c r="V308" s="1" t="str">
        <f aca="false">IF($A308="","",IF(OR(R308="",N308&lt;=0,J308=0,J308=""),"",(R308/1000*12/N308)/J308))</f>
        <v/>
      </c>
      <c r="W308" s="1" t="str">
        <f aca="false">IF($A308="","",IF(OR(T308="",K308=0,K308=""),"",T308/K308))</f>
        <v/>
      </c>
      <c r="X308" s="1" t="n">
        <f aca="false">IF($A308="","",IF(OR(N308&lt;=0,I308=0,I308="",O308=0),"",O308*1000/(I308*0.3025)/N308))</f>
        <v>24181.5999555312</v>
      </c>
      <c r="Y308" s="1" t="str">
        <f aca="false">IF($A308="","",IF(OR(O308=0,O308="",P308=0),"",P308/O308))</f>
        <v/>
      </c>
      <c r="Z308" s="1" t="str">
        <f aca="false">IF($A308="","",IFERROR(INDEX(物件収支!$E:$E,MATCH($A308,物件収支!$A:$A,0)),""))</f>
        <v>開示（物件別・収益のみ）</v>
      </c>
    </row>
    <row r="309" customFormat="false" ht="16.5" hidden="false" customHeight="true" outlineLevel="0" collapsed="false">
      <c r="A309" s="1" t="str">
        <f aca="false">IF(物件マスタ!A309="","",物件マスタ!A309)</f>
        <v>ICG-12</v>
      </c>
      <c r="B309" s="1" t="str">
        <f aca="false">IF($A309="","",物件マスタ!B309)</f>
        <v>ICG</v>
      </c>
      <c r="C309" s="1" t="str">
        <f aca="false">IF($A309="","",IFERROR(INDEX(法人マスタ!$C:$C,MATCH($B309,法人マスタ!$A:$A,0)),""))</f>
        <v>いちごオフィスリート投資法人</v>
      </c>
      <c r="D309" s="1" t="str">
        <f aca="false">IF($A309="","",物件マスタ!C309)</f>
        <v>いちご箱崎ビル</v>
      </c>
      <c r="E309" s="1" t="str">
        <f aca="false">IF($A309="","",物件マスタ!H309)</f>
        <v>都心5区</v>
      </c>
      <c r="F309" s="1" t="n">
        <f aca="false">IF($A309="","",物件マスタ!P309)</f>
        <v>0</v>
      </c>
      <c r="G309" s="1" t="str">
        <f aca="false">IF($A309="","",物件マスタ!Q309)</f>
        <v/>
      </c>
      <c r="H309" s="1" t="n">
        <f aca="false">IF($A309="","",物件マスタ!L309)</f>
        <v>0</v>
      </c>
      <c r="I309" s="1" t="n">
        <f aca="false">IF($A309="","",物件マスタ!M309)</f>
        <v>2397.73</v>
      </c>
      <c r="J309" s="1" t="n">
        <f aca="false">IF($A309="","",物件マスタ!S309)</f>
        <v>0</v>
      </c>
      <c r="K309" s="1" t="n">
        <f aca="false">IF($A309="","",物件マスタ!U309)</f>
        <v>1800</v>
      </c>
      <c r="L309" s="1" t="n">
        <f aca="false">IF($A309="","",物件マスタ!W309)</f>
        <v>1</v>
      </c>
      <c r="M309" s="1" t="str">
        <f aca="false">IF($A309="","",IFERROR(INDEX(法人マスタ!$H:$H,MATCH($B309,法人マスタ!$A:$A,0)),""))</f>
        <v>2026年4月期（第41期）</v>
      </c>
      <c r="N309" s="1" t="n">
        <f aca="false">IF($A309="","",SUMIFS(物件収支!$D:$D,物件収支!$A:$A,$A309,物件収支!$C:$C,$M309))</f>
        <v>6</v>
      </c>
      <c r="O309" s="1" t="n">
        <f aca="false">IF($A309="","",SUMIFS(物件収支!$F:$F,物件収支!$A:$A,$A309,物件収支!$C:$C,$M309))</f>
        <v>78222</v>
      </c>
      <c r="P309" s="1" t="n">
        <f aca="false">IF($A309="","",SUMIFS(物件収支!$I:$I,物件収支!$A:$A,$A309,物件収支!$C:$C,$M309))</f>
        <v>0</v>
      </c>
      <c r="Q309" s="1" t="n">
        <f aca="false">IF($A309="","",SUMIFS(物件収支!$O:$O,物件収支!$A:$A,$A309,物件収支!$C:$C,$M309))</f>
        <v>0</v>
      </c>
      <c r="R309" s="1" t="str">
        <f aca="false">IF($A309="","",IF(P309=0,"",O309-P309))</f>
        <v/>
      </c>
      <c r="S309" s="1" t="str">
        <f aca="false">IF($A309="","",IF(R309="","",R309+Q309))</f>
        <v/>
      </c>
      <c r="T309" s="1" t="str">
        <f aca="false">IF($A309="","",IF(OR(S309="",N309&lt;=0),"",S309/1000*12/N309))</f>
        <v/>
      </c>
      <c r="U309" s="1" t="str">
        <f aca="false">IF($A309="","",IF(OR(T309="",J309=0,J309=""),"",T309/J309))</f>
        <v/>
      </c>
      <c r="V309" s="1" t="str">
        <f aca="false">IF($A309="","",IF(OR(R309="",N309&lt;=0,J309=0,J309=""),"",(R309/1000*12/N309)/J309))</f>
        <v/>
      </c>
      <c r="W309" s="1" t="str">
        <f aca="false">IF($A309="","",IF(OR(T309="",K309=0,K309=""),"",T309/K309))</f>
        <v/>
      </c>
      <c r="X309" s="1" t="n">
        <f aca="false">IF($A309="","",IF(OR(N309&lt;=0,I309=0,I309="",O309=0),"",O309*1000/(I309*0.3025)/N309))</f>
        <v>17974.3009684815</v>
      </c>
      <c r="Y309" s="1" t="str">
        <f aca="false">IF($A309="","",IF(OR(O309=0,O309="",P309=0),"",P309/O309))</f>
        <v/>
      </c>
      <c r="Z309" s="1" t="str">
        <f aca="false">IF($A309="","",IFERROR(INDEX(物件収支!$E:$E,MATCH($A309,物件収支!$A:$A,0)),""))</f>
        <v>開示（物件別・収益のみ）</v>
      </c>
    </row>
    <row r="310" customFormat="false" ht="16.5" hidden="false" customHeight="true" outlineLevel="0" collapsed="false">
      <c r="A310" s="1" t="str">
        <f aca="false">IF(物件マスタ!A310="","",物件マスタ!A310)</f>
        <v>ICG-13</v>
      </c>
      <c r="B310" s="1" t="str">
        <f aca="false">IF($A310="","",物件マスタ!B310)</f>
        <v>ICG</v>
      </c>
      <c r="C310" s="1" t="str">
        <f aca="false">IF($A310="","",IFERROR(INDEX(法人マスタ!$C:$C,MATCH($B310,法人マスタ!$A:$A,0)),""))</f>
        <v>いちごオフィスリート投資法人</v>
      </c>
      <c r="D310" s="1" t="str">
        <f aca="false">IF($A310="","",物件マスタ!C310)</f>
        <v>いちご五反田ビル</v>
      </c>
      <c r="E310" s="1" t="str">
        <f aca="false">IF($A310="","",物件マスタ!H310)</f>
        <v>その他東京23区</v>
      </c>
      <c r="F310" s="1" t="n">
        <f aca="false">IF($A310="","",物件マスタ!P310)</f>
        <v>0</v>
      </c>
      <c r="G310" s="1" t="str">
        <f aca="false">IF($A310="","",物件マスタ!Q310)</f>
        <v/>
      </c>
      <c r="H310" s="1" t="n">
        <f aca="false">IF($A310="","",物件マスタ!L310)</f>
        <v>0</v>
      </c>
      <c r="I310" s="1" t="n">
        <f aca="false">IF($A310="","",物件マスタ!M310)</f>
        <v>5346.39</v>
      </c>
      <c r="J310" s="1" t="n">
        <f aca="false">IF($A310="","",物件マスタ!S310)</f>
        <v>0</v>
      </c>
      <c r="K310" s="1" t="n">
        <f aca="false">IF($A310="","",物件マスタ!U310)</f>
        <v>6970</v>
      </c>
      <c r="L310" s="1" t="n">
        <f aca="false">IF($A310="","",物件マスタ!W310)</f>
        <v>0.945</v>
      </c>
      <c r="M310" s="1" t="str">
        <f aca="false">IF($A310="","",IFERROR(INDEX(法人マスタ!$H:$H,MATCH($B310,法人マスタ!$A:$A,0)),""))</f>
        <v>2026年4月期（第41期）</v>
      </c>
      <c r="N310" s="1" t="n">
        <f aca="false">IF($A310="","",SUMIFS(物件収支!$D:$D,物件収支!$A:$A,$A310,物件収支!$C:$C,$M310))</f>
        <v>6</v>
      </c>
      <c r="O310" s="1" t="n">
        <f aca="false">IF($A310="","",SUMIFS(物件収支!$F:$F,物件収支!$A:$A,$A310,物件収支!$C:$C,$M310))</f>
        <v>186255</v>
      </c>
      <c r="P310" s="1" t="n">
        <f aca="false">IF($A310="","",SUMIFS(物件収支!$I:$I,物件収支!$A:$A,$A310,物件収支!$C:$C,$M310))</f>
        <v>0</v>
      </c>
      <c r="Q310" s="1" t="n">
        <f aca="false">IF($A310="","",SUMIFS(物件収支!$O:$O,物件収支!$A:$A,$A310,物件収支!$C:$C,$M310))</f>
        <v>0</v>
      </c>
      <c r="R310" s="1" t="str">
        <f aca="false">IF($A310="","",IF(P310=0,"",O310-P310))</f>
        <v/>
      </c>
      <c r="S310" s="1" t="str">
        <f aca="false">IF($A310="","",IF(R310="","",R310+Q310))</f>
        <v/>
      </c>
      <c r="T310" s="1" t="str">
        <f aca="false">IF($A310="","",IF(OR(S310="",N310&lt;=0),"",S310/1000*12/N310))</f>
        <v/>
      </c>
      <c r="U310" s="1" t="str">
        <f aca="false">IF($A310="","",IF(OR(T310="",J310=0,J310=""),"",T310/J310))</f>
        <v/>
      </c>
      <c r="V310" s="1" t="str">
        <f aca="false">IF($A310="","",IF(OR(R310="",N310&lt;=0,J310=0,J310=""),"",(R310/1000*12/N310)/J310))</f>
        <v/>
      </c>
      <c r="W310" s="1" t="str">
        <f aca="false">IF($A310="","",IF(OR(T310="",K310=0,K310=""),"",T310/K310))</f>
        <v/>
      </c>
      <c r="X310" s="1" t="n">
        <f aca="false">IF($A310="","",IF(OR(N310&lt;=0,I310=0,I310="",O310=0),"",O310*1000/(I310*0.3025)/N310))</f>
        <v>19194.2291360607</v>
      </c>
      <c r="Y310" s="1" t="str">
        <f aca="false">IF($A310="","",IF(OR(O310=0,O310="",P310=0),"",P310/O310))</f>
        <v/>
      </c>
      <c r="Z310" s="1" t="str">
        <f aca="false">IF($A310="","",IFERROR(INDEX(物件収支!$E:$E,MATCH($A310,物件収支!$A:$A,0)),""))</f>
        <v>開示（物件別・収益のみ）</v>
      </c>
    </row>
    <row r="311" customFormat="false" ht="16.5" hidden="false" customHeight="true" outlineLevel="0" collapsed="false">
      <c r="A311" s="1" t="str">
        <f aca="false">IF(物件マスタ!A311="","",物件マスタ!A311)</f>
        <v>ICG-14</v>
      </c>
      <c r="B311" s="1" t="str">
        <f aca="false">IF($A311="","",物件マスタ!B311)</f>
        <v>ICG</v>
      </c>
      <c r="C311" s="1" t="str">
        <f aca="false">IF($A311="","",IFERROR(INDEX(法人マスタ!$C:$C,MATCH($B311,法人マスタ!$A:$A,0)),""))</f>
        <v>いちごオフィスリート投資法人</v>
      </c>
      <c r="D311" s="1" t="str">
        <f aca="false">IF($A311="","",物件マスタ!C311)</f>
        <v>いちご新横浜ビル</v>
      </c>
      <c r="E311" s="1" t="str">
        <f aca="false">IF($A311="","",物件マスタ!H311)</f>
        <v>東京周辺都市部</v>
      </c>
      <c r="F311" s="1" t="n">
        <f aca="false">IF($A311="","",物件マスタ!P311)</f>
        <v>0</v>
      </c>
      <c r="G311" s="1" t="str">
        <f aca="false">IF($A311="","",物件マスタ!Q311)</f>
        <v/>
      </c>
      <c r="H311" s="1" t="n">
        <f aca="false">IF($A311="","",物件マスタ!L311)</f>
        <v>0</v>
      </c>
      <c r="I311" s="1" t="n">
        <f aca="false">IF($A311="","",物件マスタ!M311)</f>
        <v>4097.85</v>
      </c>
      <c r="J311" s="1" t="n">
        <f aca="false">IF($A311="","",物件マスタ!S311)</f>
        <v>0</v>
      </c>
      <c r="K311" s="1" t="n">
        <f aca="false">IF($A311="","",物件マスタ!U311)</f>
        <v>1930</v>
      </c>
      <c r="L311" s="1" t="n">
        <f aca="false">IF($A311="","",物件マスタ!W311)</f>
        <v>0.814</v>
      </c>
      <c r="M311" s="1" t="str">
        <f aca="false">IF($A311="","",IFERROR(INDEX(法人マスタ!$H:$H,MATCH($B311,法人マスタ!$A:$A,0)),""))</f>
        <v>2026年4月期（第41期）</v>
      </c>
      <c r="N311" s="1" t="n">
        <f aca="false">IF($A311="","",SUMIFS(物件収支!$D:$D,物件収支!$A:$A,$A311,物件収支!$C:$C,$M311))</f>
        <v>6</v>
      </c>
      <c r="O311" s="1" t="n">
        <f aca="false">IF($A311="","",SUMIFS(物件収支!$F:$F,物件収支!$A:$A,$A311,物件収支!$C:$C,$M311))</f>
        <v>77220</v>
      </c>
      <c r="P311" s="1" t="n">
        <f aca="false">IF($A311="","",SUMIFS(物件収支!$I:$I,物件収支!$A:$A,$A311,物件収支!$C:$C,$M311))</f>
        <v>0</v>
      </c>
      <c r="Q311" s="1" t="n">
        <f aca="false">IF($A311="","",SUMIFS(物件収支!$O:$O,物件収支!$A:$A,$A311,物件収支!$C:$C,$M311))</f>
        <v>0</v>
      </c>
      <c r="R311" s="1" t="str">
        <f aca="false">IF($A311="","",IF(P311=0,"",O311-P311))</f>
        <v/>
      </c>
      <c r="S311" s="1" t="str">
        <f aca="false">IF($A311="","",IF(R311="","",R311+Q311))</f>
        <v/>
      </c>
      <c r="T311" s="1" t="str">
        <f aca="false">IF($A311="","",IF(OR(S311="",N311&lt;=0),"",S311/1000*12/N311))</f>
        <v/>
      </c>
      <c r="U311" s="1" t="str">
        <f aca="false">IF($A311="","",IF(OR(T311="",J311=0,J311=""),"",T311/J311))</f>
        <v/>
      </c>
      <c r="V311" s="1" t="str">
        <f aca="false">IF($A311="","",IF(OR(R311="",N311&lt;=0,J311=0,J311=""),"",(R311/1000*12/N311)/J311))</f>
        <v/>
      </c>
      <c r="W311" s="1" t="str">
        <f aca="false">IF($A311="","",IF(OR(T311="",K311=0,K311=""),"",T311/K311))</f>
        <v/>
      </c>
      <c r="X311" s="1" t="n">
        <f aca="false">IF($A311="","",IF(OR(N311&lt;=0,I311=0,I311="",O311=0),"",O311*1000/(I311*0.3025)/N311))</f>
        <v>10382.3845542064</v>
      </c>
      <c r="Y311" s="1" t="str">
        <f aca="false">IF($A311="","",IF(OR(O311=0,O311="",P311=0),"",P311/O311))</f>
        <v/>
      </c>
      <c r="Z311" s="1" t="str">
        <f aca="false">IF($A311="","",IFERROR(INDEX(物件収支!$E:$E,MATCH($A311,物件収支!$A:$A,0)),""))</f>
        <v>開示（物件別・収益のみ）</v>
      </c>
    </row>
    <row r="312" customFormat="false" ht="16.5" hidden="false" customHeight="true" outlineLevel="0" collapsed="false">
      <c r="A312" s="1" t="str">
        <f aca="false">IF(物件マスタ!A312="","",物件マスタ!A312)</f>
        <v>ICG-15</v>
      </c>
      <c r="B312" s="1" t="str">
        <f aca="false">IF($A312="","",物件マスタ!B312)</f>
        <v>ICG</v>
      </c>
      <c r="C312" s="1" t="str">
        <f aca="false">IF($A312="","",IFERROR(INDEX(法人マスタ!$C:$C,MATCH($B312,法人マスタ!$A:$A,0)),""))</f>
        <v>いちごオフィスリート投資法人</v>
      </c>
      <c r="D312" s="1" t="str">
        <f aca="false">IF($A312="","",物件マスタ!C312)</f>
        <v>いちご南池袋ビル</v>
      </c>
      <c r="E312" s="1" t="str">
        <f aca="false">IF($A312="","",物件マスタ!H312)</f>
        <v>その他東京23区</v>
      </c>
      <c r="F312" s="1" t="n">
        <f aca="false">IF($A312="","",物件マスタ!P312)</f>
        <v>0</v>
      </c>
      <c r="G312" s="1" t="str">
        <f aca="false">IF($A312="","",物件マスタ!Q312)</f>
        <v/>
      </c>
      <c r="H312" s="1" t="n">
        <f aca="false">IF($A312="","",物件マスタ!L312)</f>
        <v>0</v>
      </c>
      <c r="I312" s="1" t="n">
        <f aca="false">IF($A312="","",物件マスタ!M312)</f>
        <v>1491.5</v>
      </c>
      <c r="J312" s="1" t="n">
        <f aca="false">IF($A312="","",物件マスタ!S312)</f>
        <v>0</v>
      </c>
      <c r="K312" s="1" t="n">
        <f aca="false">IF($A312="","",物件マスタ!U312)</f>
        <v>2360</v>
      </c>
      <c r="L312" s="1" t="n">
        <f aca="false">IF($A312="","",物件マスタ!W312)</f>
        <v>1</v>
      </c>
      <c r="M312" s="1" t="str">
        <f aca="false">IF($A312="","",IFERROR(INDEX(法人マスタ!$H:$H,MATCH($B312,法人マスタ!$A:$A,0)),""))</f>
        <v>2026年4月期（第41期）</v>
      </c>
      <c r="N312" s="1" t="n">
        <f aca="false">IF($A312="","",SUMIFS(物件収支!$D:$D,物件収支!$A:$A,$A312,物件収支!$C:$C,$M312))</f>
        <v>6</v>
      </c>
      <c r="O312" s="1" t="n">
        <f aca="false">IF($A312="","",SUMIFS(物件収支!$F:$F,物件収支!$A:$A,$A312,物件収支!$C:$C,$M312))</f>
        <v>61140</v>
      </c>
      <c r="P312" s="1" t="n">
        <f aca="false">IF($A312="","",SUMIFS(物件収支!$I:$I,物件収支!$A:$A,$A312,物件収支!$C:$C,$M312))</f>
        <v>0</v>
      </c>
      <c r="Q312" s="1" t="n">
        <f aca="false">IF($A312="","",SUMIFS(物件収支!$O:$O,物件収支!$A:$A,$A312,物件収支!$C:$C,$M312))</f>
        <v>0</v>
      </c>
      <c r="R312" s="1" t="str">
        <f aca="false">IF($A312="","",IF(P312=0,"",O312-P312))</f>
        <v/>
      </c>
      <c r="S312" s="1" t="str">
        <f aca="false">IF($A312="","",IF(R312="","",R312+Q312))</f>
        <v/>
      </c>
      <c r="T312" s="1" t="str">
        <f aca="false">IF($A312="","",IF(OR(S312="",N312&lt;=0),"",S312/1000*12/N312))</f>
        <v/>
      </c>
      <c r="U312" s="1" t="str">
        <f aca="false">IF($A312="","",IF(OR(T312="",J312=0,J312=""),"",T312/J312))</f>
        <v/>
      </c>
      <c r="V312" s="1" t="str">
        <f aca="false">IF($A312="","",IF(OR(R312="",N312&lt;=0,J312=0,J312=""),"",(R312/1000*12/N312)/J312))</f>
        <v/>
      </c>
      <c r="W312" s="1" t="str">
        <f aca="false">IF($A312="","",IF(OR(T312="",K312=0,K312=""),"",T312/K312))</f>
        <v/>
      </c>
      <c r="X312" s="1" t="n">
        <f aca="false">IF($A312="","",IF(OR(N312&lt;=0,I312=0,I312="",O312=0),"",O312*1000/(I312*0.3025)/N312))</f>
        <v>22585.283548926</v>
      </c>
      <c r="Y312" s="1" t="str">
        <f aca="false">IF($A312="","",IF(OR(O312=0,O312="",P312=0),"",P312/O312))</f>
        <v/>
      </c>
      <c r="Z312" s="1" t="str">
        <f aca="false">IF($A312="","",IFERROR(INDEX(物件収支!$E:$E,MATCH($A312,物件収支!$A:$A,0)),""))</f>
        <v>開示（物件別・収益のみ）</v>
      </c>
    </row>
    <row r="313" customFormat="false" ht="16.5" hidden="false" customHeight="true" outlineLevel="0" collapsed="false">
      <c r="A313" s="1" t="str">
        <f aca="false">IF(物件マスタ!A313="","",物件マスタ!A313)</f>
        <v>ICG-16</v>
      </c>
      <c r="B313" s="1" t="str">
        <f aca="false">IF($A313="","",物件マスタ!B313)</f>
        <v>ICG</v>
      </c>
      <c r="C313" s="1" t="str">
        <f aca="false">IF($A313="","",IFERROR(INDEX(法人マスタ!$C:$C,MATCH($B313,法人マスタ!$A:$A,0)),""))</f>
        <v>いちごオフィスリート投資法人</v>
      </c>
      <c r="D313" s="1" t="str">
        <f aca="false">IF($A313="","",物件マスタ!C313)</f>
        <v>いちご中野ノースビル</v>
      </c>
      <c r="E313" s="1" t="str">
        <f aca="false">IF($A313="","",物件マスタ!H313)</f>
        <v>その他東京23区</v>
      </c>
      <c r="F313" s="1" t="n">
        <f aca="false">IF($A313="","",物件マスタ!P313)</f>
        <v>0</v>
      </c>
      <c r="G313" s="1" t="str">
        <f aca="false">IF($A313="","",物件マスタ!Q313)</f>
        <v/>
      </c>
      <c r="H313" s="1" t="n">
        <f aca="false">IF($A313="","",物件マスタ!L313)</f>
        <v>0</v>
      </c>
      <c r="I313" s="1" t="n">
        <f aca="false">IF($A313="","",物件マスタ!M313)</f>
        <v>1264.11</v>
      </c>
      <c r="J313" s="1" t="n">
        <f aca="false">IF($A313="","",物件マスタ!S313)</f>
        <v>0</v>
      </c>
      <c r="K313" s="1" t="n">
        <f aca="false">IF($A313="","",物件マスタ!U313)</f>
        <v>1080</v>
      </c>
      <c r="L313" s="1" t="n">
        <f aca="false">IF($A313="","",物件マスタ!W313)</f>
        <v>1</v>
      </c>
      <c r="M313" s="1" t="str">
        <f aca="false">IF($A313="","",IFERROR(INDEX(法人マスタ!$H:$H,MATCH($B313,法人マスタ!$A:$A,0)),""))</f>
        <v>2026年4月期（第41期）</v>
      </c>
      <c r="N313" s="1" t="n">
        <f aca="false">IF($A313="","",SUMIFS(物件収支!$D:$D,物件収支!$A:$A,$A313,物件収支!$C:$C,$M313))</f>
        <v>6</v>
      </c>
      <c r="O313" s="1" t="n">
        <f aca="false">IF($A313="","",SUMIFS(物件収支!$F:$F,物件収支!$A:$A,$A313,物件収支!$C:$C,$M313))</f>
        <v>43159</v>
      </c>
      <c r="P313" s="1" t="n">
        <f aca="false">IF($A313="","",SUMIFS(物件収支!$I:$I,物件収支!$A:$A,$A313,物件収支!$C:$C,$M313))</f>
        <v>0</v>
      </c>
      <c r="Q313" s="1" t="n">
        <f aca="false">IF($A313="","",SUMIFS(物件収支!$O:$O,物件収支!$A:$A,$A313,物件収支!$C:$C,$M313))</f>
        <v>0</v>
      </c>
      <c r="R313" s="1" t="str">
        <f aca="false">IF($A313="","",IF(P313=0,"",O313-P313))</f>
        <v/>
      </c>
      <c r="S313" s="1" t="str">
        <f aca="false">IF($A313="","",IF(R313="","",R313+Q313))</f>
        <v/>
      </c>
      <c r="T313" s="1" t="str">
        <f aca="false">IF($A313="","",IF(OR(S313="",N313&lt;=0),"",S313/1000*12/N313))</f>
        <v/>
      </c>
      <c r="U313" s="1" t="str">
        <f aca="false">IF($A313="","",IF(OR(T313="",J313=0,J313=""),"",T313/J313))</f>
        <v/>
      </c>
      <c r="V313" s="1" t="str">
        <f aca="false">IF($A313="","",IF(OR(R313="",N313&lt;=0,J313=0,J313=""),"",(R313/1000*12/N313)/J313))</f>
        <v/>
      </c>
      <c r="W313" s="1" t="str">
        <f aca="false">IF($A313="","",IF(OR(T313="",K313=0,K313=""),"",T313/K313))</f>
        <v/>
      </c>
      <c r="X313" s="1" t="n">
        <f aca="false">IF($A313="","",IF(OR(N313&lt;=0,I313=0,I313="",O313=0),"",O313*1000/(I313*0.3025)/N313))</f>
        <v>18810.9131016142</v>
      </c>
      <c r="Y313" s="1" t="str">
        <f aca="false">IF($A313="","",IF(OR(O313=0,O313="",P313=0),"",P313/O313))</f>
        <v/>
      </c>
      <c r="Z313" s="1" t="str">
        <f aca="false">IF($A313="","",IFERROR(INDEX(物件収支!$E:$E,MATCH($A313,物件収支!$A:$A,0)),""))</f>
        <v>開示（物件別・収益のみ）</v>
      </c>
    </row>
    <row r="314" customFormat="false" ht="16.5" hidden="false" customHeight="true" outlineLevel="0" collapsed="false">
      <c r="A314" s="1" t="str">
        <f aca="false">IF(物件マスタ!A314="","",物件マスタ!A314)</f>
        <v>ICG-17</v>
      </c>
      <c r="B314" s="1" t="str">
        <f aca="false">IF($A314="","",物件マスタ!B314)</f>
        <v>ICG</v>
      </c>
      <c r="C314" s="1" t="str">
        <f aca="false">IF($A314="","",IFERROR(INDEX(法人マスタ!$C:$C,MATCH($B314,法人マスタ!$A:$A,0)),""))</f>
        <v>いちごオフィスリート投資法人</v>
      </c>
      <c r="D314" s="1" t="str">
        <f aca="false">IF($A314="","",物件マスタ!C314)</f>
        <v>いちご永代ビル</v>
      </c>
      <c r="E314" s="1" t="str">
        <f aca="false">IF($A314="","",物件マスタ!H314)</f>
        <v>その他東京23区</v>
      </c>
      <c r="F314" s="1" t="n">
        <f aca="false">IF($A314="","",物件マスタ!P314)</f>
        <v>0</v>
      </c>
      <c r="G314" s="1" t="str">
        <f aca="false">IF($A314="","",物件マスタ!Q314)</f>
        <v/>
      </c>
      <c r="H314" s="1" t="n">
        <f aca="false">IF($A314="","",物件マスタ!L314)</f>
        <v>0</v>
      </c>
      <c r="I314" s="1" t="n">
        <f aca="false">IF($A314="","",物件マスタ!M314)</f>
        <v>2605.54</v>
      </c>
      <c r="J314" s="1" t="n">
        <f aca="false">IF($A314="","",物件マスタ!S314)</f>
        <v>0</v>
      </c>
      <c r="K314" s="1" t="n">
        <f aca="false">IF($A314="","",物件マスタ!U314)</f>
        <v>1850</v>
      </c>
      <c r="L314" s="1" t="n">
        <f aca="false">IF($A314="","",物件マスタ!W314)</f>
        <v>1</v>
      </c>
      <c r="M314" s="1" t="str">
        <f aca="false">IF($A314="","",IFERROR(INDEX(法人マスタ!$H:$H,MATCH($B314,法人マスタ!$A:$A,0)),""))</f>
        <v>2026年4月期（第41期）</v>
      </c>
      <c r="N314" s="1" t="n">
        <f aca="false">IF($A314="","",SUMIFS(物件収支!$D:$D,物件収支!$A:$A,$A314,物件収支!$C:$C,$M314))</f>
        <v>6</v>
      </c>
      <c r="O314" s="1" t="n">
        <f aca="false">IF($A314="","",SUMIFS(物件収支!$F:$F,物件収支!$A:$A,$A314,物件収支!$C:$C,$M314))</f>
        <v>74882</v>
      </c>
      <c r="P314" s="1" t="n">
        <f aca="false">IF($A314="","",SUMIFS(物件収支!$I:$I,物件収支!$A:$A,$A314,物件収支!$C:$C,$M314))</f>
        <v>0</v>
      </c>
      <c r="Q314" s="1" t="n">
        <f aca="false">IF($A314="","",SUMIFS(物件収支!$O:$O,物件収支!$A:$A,$A314,物件収支!$C:$C,$M314))</f>
        <v>0</v>
      </c>
      <c r="R314" s="1" t="str">
        <f aca="false">IF($A314="","",IF(P314=0,"",O314-P314))</f>
        <v/>
      </c>
      <c r="S314" s="1" t="str">
        <f aca="false">IF($A314="","",IF(R314="","",R314+Q314))</f>
        <v/>
      </c>
      <c r="T314" s="1" t="str">
        <f aca="false">IF($A314="","",IF(OR(S314="",N314&lt;=0),"",S314/1000*12/N314))</f>
        <v/>
      </c>
      <c r="U314" s="1" t="str">
        <f aca="false">IF($A314="","",IF(OR(T314="",J314=0,J314=""),"",T314/J314))</f>
        <v/>
      </c>
      <c r="V314" s="1" t="str">
        <f aca="false">IF($A314="","",IF(OR(R314="",N314&lt;=0,J314=0,J314=""),"",(R314/1000*12/N314)/J314))</f>
        <v/>
      </c>
      <c r="W314" s="1" t="str">
        <f aca="false">IF($A314="","",IF(OR(T314="",K314=0,K314=""),"",T314/K314))</f>
        <v/>
      </c>
      <c r="X314" s="1" t="n">
        <f aca="false">IF($A314="","",IF(OR(N314&lt;=0,I314=0,I314="",O314=0),"",O314*1000/(I314*0.3025)/N314))</f>
        <v>15834.4528487308</v>
      </c>
      <c r="Y314" s="1" t="str">
        <f aca="false">IF($A314="","",IF(OR(O314=0,O314="",P314=0),"",P314/O314))</f>
        <v/>
      </c>
      <c r="Z314" s="1" t="str">
        <f aca="false">IF($A314="","",IFERROR(INDEX(物件収支!$E:$E,MATCH($A314,物件収支!$A:$A,0)),""))</f>
        <v>開示（物件別・収益のみ）</v>
      </c>
    </row>
    <row r="315" customFormat="false" ht="16.5" hidden="false" customHeight="true" outlineLevel="0" collapsed="false">
      <c r="A315" s="1" t="str">
        <f aca="false">IF(物件マスタ!A315="","",物件マスタ!A315)</f>
        <v>ICG-18</v>
      </c>
      <c r="B315" s="1" t="str">
        <f aca="false">IF($A315="","",物件マスタ!B315)</f>
        <v>ICG</v>
      </c>
      <c r="C315" s="1" t="str">
        <f aca="false">IF($A315="","",IFERROR(INDEX(法人マスタ!$C:$C,MATCH($B315,法人マスタ!$A:$A,0)),""))</f>
        <v>いちごオフィスリート投資法人</v>
      </c>
      <c r="D315" s="1" t="str">
        <f aca="false">IF($A315="","",物件マスタ!C315)</f>
        <v>いちご池尻ビル</v>
      </c>
      <c r="E315" s="1" t="str">
        <f aca="false">IF($A315="","",物件マスタ!H315)</f>
        <v>その他東京23区</v>
      </c>
      <c r="F315" s="1" t="n">
        <f aca="false">IF($A315="","",物件マスタ!P315)</f>
        <v>0</v>
      </c>
      <c r="G315" s="1" t="str">
        <f aca="false">IF($A315="","",物件マスタ!Q315)</f>
        <v/>
      </c>
      <c r="H315" s="1" t="n">
        <f aca="false">IF($A315="","",物件マスタ!L315)</f>
        <v>0</v>
      </c>
      <c r="I315" s="1" t="n">
        <f aca="false">IF($A315="","",物件マスタ!M315)</f>
        <v>2385.69</v>
      </c>
      <c r="J315" s="1" t="n">
        <f aca="false">IF($A315="","",物件マスタ!S315)</f>
        <v>0</v>
      </c>
      <c r="K315" s="1" t="n">
        <f aca="false">IF($A315="","",物件マスタ!U315)</f>
        <v>2700</v>
      </c>
      <c r="L315" s="1" t="n">
        <f aca="false">IF($A315="","",物件マスタ!W315)</f>
        <v>1</v>
      </c>
      <c r="M315" s="1" t="str">
        <f aca="false">IF($A315="","",IFERROR(INDEX(法人マスタ!$H:$H,MATCH($B315,法人マスタ!$A:$A,0)),""))</f>
        <v>2026年4月期（第41期）</v>
      </c>
      <c r="N315" s="1" t="n">
        <f aca="false">IF($A315="","",SUMIFS(物件収支!$D:$D,物件収支!$A:$A,$A315,物件収支!$C:$C,$M315))</f>
        <v>6</v>
      </c>
      <c r="O315" s="1" t="n">
        <f aca="false">IF($A315="","",SUMIFS(物件収支!$F:$F,物件収支!$A:$A,$A315,物件収支!$C:$C,$M315))</f>
        <v>93584</v>
      </c>
      <c r="P315" s="1" t="n">
        <f aca="false">IF($A315="","",SUMIFS(物件収支!$I:$I,物件収支!$A:$A,$A315,物件収支!$C:$C,$M315))</f>
        <v>0</v>
      </c>
      <c r="Q315" s="1" t="n">
        <f aca="false">IF($A315="","",SUMIFS(物件収支!$O:$O,物件収支!$A:$A,$A315,物件収支!$C:$C,$M315))</f>
        <v>0</v>
      </c>
      <c r="R315" s="1" t="str">
        <f aca="false">IF($A315="","",IF(P315=0,"",O315-P315))</f>
        <v/>
      </c>
      <c r="S315" s="1" t="str">
        <f aca="false">IF($A315="","",IF(R315="","",R315+Q315))</f>
        <v/>
      </c>
      <c r="T315" s="1" t="str">
        <f aca="false">IF($A315="","",IF(OR(S315="",N315&lt;=0),"",S315/1000*12/N315))</f>
        <v/>
      </c>
      <c r="U315" s="1" t="str">
        <f aca="false">IF($A315="","",IF(OR(T315="",J315=0,J315=""),"",T315/J315))</f>
        <v/>
      </c>
      <c r="V315" s="1" t="str">
        <f aca="false">IF($A315="","",IF(OR(R315="",N315&lt;=0,J315=0,J315=""),"",(R315/1000*12/N315)/J315))</f>
        <v/>
      </c>
      <c r="W315" s="1" t="str">
        <f aca="false">IF($A315="","",IF(OR(T315="",K315=0,K315=""),"",T315/K315))</f>
        <v/>
      </c>
      <c r="X315" s="1" t="n">
        <f aca="false">IF($A315="","",IF(OR(N315&lt;=0,I315=0,I315="",O315=0),"",O315*1000/(I315*0.3025)/N315))</f>
        <v>21612.7965103962</v>
      </c>
      <c r="Y315" s="1" t="str">
        <f aca="false">IF($A315="","",IF(OR(O315=0,O315="",P315=0),"",P315/O315))</f>
        <v/>
      </c>
      <c r="Z315" s="1" t="str">
        <f aca="false">IF($A315="","",IFERROR(INDEX(物件収支!$E:$E,MATCH($A315,物件収支!$A:$A,0)),""))</f>
        <v>開示（物件別・収益のみ）</v>
      </c>
    </row>
    <row r="316" customFormat="false" ht="16.5" hidden="false" customHeight="true" outlineLevel="0" collapsed="false">
      <c r="A316" s="1" t="str">
        <f aca="false">IF(物件マスタ!A316="","",物件マスタ!A316)</f>
        <v>ICG-19</v>
      </c>
      <c r="B316" s="1" t="str">
        <f aca="false">IF($A316="","",物件マスタ!B316)</f>
        <v>ICG</v>
      </c>
      <c r="C316" s="1" t="str">
        <f aca="false">IF($A316="","",IFERROR(INDEX(法人マスタ!$C:$C,MATCH($B316,法人マスタ!$A:$A,0)),""))</f>
        <v>いちごオフィスリート投資法人</v>
      </c>
      <c r="D316" s="1" t="str">
        <f aca="false">IF($A316="","",物件マスタ!C316)</f>
        <v>いちご西池袋ビル</v>
      </c>
      <c r="E316" s="1" t="str">
        <f aca="false">IF($A316="","",物件マスタ!H316)</f>
        <v>その他東京23区</v>
      </c>
      <c r="F316" s="1" t="n">
        <f aca="false">IF($A316="","",物件マスタ!P316)</f>
        <v>0</v>
      </c>
      <c r="G316" s="1" t="str">
        <f aca="false">IF($A316="","",物件マスタ!Q316)</f>
        <v/>
      </c>
      <c r="H316" s="1" t="n">
        <f aca="false">IF($A316="","",物件マスタ!L316)</f>
        <v>0</v>
      </c>
      <c r="I316" s="1" t="n">
        <f aca="false">IF($A316="","",物件マスタ!M316)</f>
        <v>1261.91</v>
      </c>
      <c r="J316" s="1" t="n">
        <f aca="false">IF($A316="","",物件マスタ!S316)</f>
        <v>0</v>
      </c>
      <c r="K316" s="1" t="n">
        <f aca="false">IF($A316="","",物件マスタ!U316)</f>
        <v>1080</v>
      </c>
      <c r="L316" s="1" t="n">
        <f aca="false">IF($A316="","",物件マスタ!W316)</f>
        <v>1</v>
      </c>
      <c r="M316" s="1" t="str">
        <f aca="false">IF($A316="","",IFERROR(INDEX(法人マスタ!$H:$H,MATCH($B316,法人マスタ!$A:$A,0)),""))</f>
        <v>2026年4月期（第41期）</v>
      </c>
      <c r="N316" s="1" t="n">
        <f aca="false">IF($A316="","",SUMIFS(物件収支!$D:$D,物件収支!$A:$A,$A316,物件収支!$C:$C,$M316))</f>
        <v>6</v>
      </c>
      <c r="O316" s="1" t="n">
        <f aca="false">IF($A316="","",SUMIFS(物件収支!$F:$F,物件収支!$A:$A,$A316,物件収支!$C:$C,$M316))</f>
        <v>29217</v>
      </c>
      <c r="P316" s="1" t="n">
        <f aca="false">IF($A316="","",SUMIFS(物件収支!$I:$I,物件収支!$A:$A,$A316,物件収支!$C:$C,$M316))</f>
        <v>0</v>
      </c>
      <c r="Q316" s="1" t="n">
        <f aca="false">IF($A316="","",SUMIFS(物件収支!$O:$O,物件収支!$A:$A,$A316,物件収支!$C:$C,$M316))</f>
        <v>0</v>
      </c>
      <c r="R316" s="1" t="str">
        <f aca="false">IF($A316="","",IF(P316=0,"",O316-P316))</f>
        <v/>
      </c>
      <c r="S316" s="1" t="str">
        <f aca="false">IF($A316="","",IF(R316="","",R316+Q316))</f>
        <v/>
      </c>
      <c r="T316" s="1" t="str">
        <f aca="false">IF($A316="","",IF(OR(S316="",N316&lt;=0),"",S316/1000*12/N316))</f>
        <v/>
      </c>
      <c r="U316" s="1" t="str">
        <f aca="false">IF($A316="","",IF(OR(T316="",J316=0,J316=""),"",T316/J316))</f>
        <v/>
      </c>
      <c r="V316" s="1" t="str">
        <f aca="false">IF($A316="","",IF(OR(R316="",N316&lt;=0,J316=0,J316=""),"",(R316/1000*12/N316)/J316))</f>
        <v/>
      </c>
      <c r="W316" s="1" t="str">
        <f aca="false">IF($A316="","",IF(OR(T316="",K316=0,K316=""),"",T316/K316))</f>
        <v/>
      </c>
      <c r="X316" s="1" t="n">
        <f aca="false">IF($A316="","",IF(OR(N316&lt;=0,I316=0,I316="",O316=0),"",O316*1000/(I316*0.3025)/N316))</f>
        <v>12756.4728555579</v>
      </c>
      <c r="Y316" s="1" t="str">
        <f aca="false">IF($A316="","",IF(OR(O316=0,O316="",P316=0),"",P316/O316))</f>
        <v/>
      </c>
      <c r="Z316" s="1" t="str">
        <f aca="false">IF($A316="","",IFERROR(INDEX(物件収支!$E:$E,MATCH($A316,物件収支!$A:$A,0)),""))</f>
        <v>開示（物件別・収益のみ）</v>
      </c>
    </row>
    <row r="317" customFormat="false" ht="16.5" hidden="false" customHeight="true" outlineLevel="0" collapsed="false">
      <c r="A317" s="1" t="str">
        <f aca="false">IF(物件マスタ!A317="","",物件マスタ!A317)</f>
        <v>ICG-20</v>
      </c>
      <c r="B317" s="1" t="str">
        <f aca="false">IF($A317="","",物件マスタ!B317)</f>
        <v>ICG</v>
      </c>
      <c r="C317" s="1" t="str">
        <f aca="false">IF($A317="","",IFERROR(INDEX(法人マスタ!$C:$C,MATCH($B317,法人マスタ!$A:$A,0)),""))</f>
        <v>いちごオフィスリート投資法人</v>
      </c>
      <c r="D317" s="1" t="str">
        <f aca="false">IF($A317="","",物件マスタ!C317)</f>
        <v>いちご西五反田ビル</v>
      </c>
      <c r="E317" s="1" t="str">
        <f aca="false">IF($A317="","",物件マスタ!H317)</f>
        <v>その他東京23区</v>
      </c>
      <c r="F317" s="1" t="n">
        <f aca="false">IF($A317="","",物件マスタ!P317)</f>
        <v>0</v>
      </c>
      <c r="G317" s="1" t="str">
        <f aca="false">IF($A317="","",物件マスタ!Q317)</f>
        <v/>
      </c>
      <c r="H317" s="1" t="n">
        <f aca="false">IF($A317="","",物件マスタ!L317)</f>
        <v>0</v>
      </c>
      <c r="I317" s="1" t="n">
        <f aca="false">IF($A317="","",物件マスタ!M317)</f>
        <v>1341.59</v>
      </c>
      <c r="J317" s="1" t="n">
        <f aca="false">IF($A317="","",物件マスタ!S317)</f>
        <v>0</v>
      </c>
      <c r="K317" s="1" t="n">
        <f aca="false">IF($A317="","",物件マスタ!U317)</f>
        <v>1040</v>
      </c>
      <c r="L317" s="1" t="n">
        <f aca="false">IF($A317="","",物件マスタ!W317)</f>
        <v>1</v>
      </c>
      <c r="M317" s="1" t="str">
        <f aca="false">IF($A317="","",IFERROR(INDEX(法人マスタ!$H:$H,MATCH($B317,法人マスタ!$A:$A,0)),""))</f>
        <v>2026年4月期（第41期）</v>
      </c>
      <c r="N317" s="1" t="n">
        <f aca="false">IF($A317="","",SUMIFS(物件収支!$D:$D,物件収支!$A:$A,$A317,物件収支!$C:$C,$M317))</f>
        <v>6</v>
      </c>
      <c r="O317" s="1" t="n">
        <f aca="false">IF($A317="","",SUMIFS(物件収支!$F:$F,物件収支!$A:$A,$A317,物件収支!$C:$C,$M317))</f>
        <v>38669</v>
      </c>
      <c r="P317" s="1" t="n">
        <f aca="false">IF($A317="","",SUMIFS(物件収支!$I:$I,物件収支!$A:$A,$A317,物件収支!$C:$C,$M317))</f>
        <v>0</v>
      </c>
      <c r="Q317" s="1" t="n">
        <f aca="false">IF($A317="","",SUMIFS(物件収支!$O:$O,物件収支!$A:$A,$A317,物件収支!$C:$C,$M317))</f>
        <v>0</v>
      </c>
      <c r="R317" s="1" t="str">
        <f aca="false">IF($A317="","",IF(P317=0,"",O317-P317))</f>
        <v/>
      </c>
      <c r="S317" s="1" t="str">
        <f aca="false">IF($A317="","",IF(R317="","",R317+Q317))</f>
        <v/>
      </c>
      <c r="T317" s="1" t="str">
        <f aca="false">IF($A317="","",IF(OR(S317="",N317&lt;=0),"",S317/1000*12/N317))</f>
        <v/>
      </c>
      <c r="U317" s="1" t="str">
        <f aca="false">IF($A317="","",IF(OR(T317="",J317=0,J317=""),"",T317/J317))</f>
        <v/>
      </c>
      <c r="V317" s="1" t="str">
        <f aca="false">IF($A317="","",IF(OR(R317="",N317&lt;=0,J317=0,J317=""),"",(R317/1000*12/N317)/J317))</f>
        <v/>
      </c>
      <c r="W317" s="1" t="str">
        <f aca="false">IF($A317="","",IF(OR(T317="",K317=0,K317=""),"",T317/K317))</f>
        <v/>
      </c>
      <c r="X317" s="1" t="n">
        <f aca="false">IF($A317="","",IF(OR(N317&lt;=0,I317=0,I317="",O317=0),"",O317*1000/(I317*0.3025)/N317))</f>
        <v>15880.5850966239</v>
      </c>
      <c r="Y317" s="1" t="str">
        <f aca="false">IF($A317="","",IF(OR(O317=0,O317="",P317=0),"",P317/O317))</f>
        <v/>
      </c>
      <c r="Z317" s="1" t="str">
        <f aca="false">IF($A317="","",IFERROR(INDEX(物件収支!$E:$E,MATCH($A317,物件収支!$A:$A,0)),""))</f>
        <v>開示（物件別・収益のみ）</v>
      </c>
    </row>
    <row r="318" customFormat="false" ht="16.5" hidden="false" customHeight="true" outlineLevel="0" collapsed="false">
      <c r="A318" s="1" t="str">
        <f aca="false">IF(物件マスタ!A318="","",物件マスタ!A318)</f>
        <v>ICG-21</v>
      </c>
      <c r="B318" s="1" t="str">
        <f aca="false">IF($A318="","",物件マスタ!B318)</f>
        <v>ICG</v>
      </c>
      <c r="C318" s="1" t="str">
        <f aca="false">IF($A318="","",IFERROR(INDEX(法人マスタ!$C:$C,MATCH($B318,法人マスタ!$A:$A,0)),""))</f>
        <v>いちごオフィスリート投資法人</v>
      </c>
      <c r="D318" s="1" t="str">
        <f aca="false">IF($A318="","",物件マスタ!C318)</f>
        <v>いちご吉祥寺ビル</v>
      </c>
      <c r="E318" s="1" t="str">
        <f aca="false">IF($A318="","",物件マスタ!H318)</f>
        <v>東京周辺都市部</v>
      </c>
      <c r="F318" s="1" t="n">
        <f aca="false">IF($A318="","",物件マスタ!P318)</f>
        <v>0</v>
      </c>
      <c r="G318" s="1" t="str">
        <f aca="false">IF($A318="","",物件マスタ!Q318)</f>
        <v/>
      </c>
      <c r="H318" s="1" t="n">
        <f aca="false">IF($A318="","",物件マスタ!L318)</f>
        <v>0</v>
      </c>
      <c r="I318" s="1" t="n">
        <f aca="false">IF($A318="","",物件マスタ!M318)</f>
        <v>4210.87</v>
      </c>
      <c r="J318" s="1" t="n">
        <f aca="false">IF($A318="","",物件マスタ!S318)</f>
        <v>0</v>
      </c>
      <c r="K318" s="1" t="n">
        <f aca="false">IF($A318="","",物件マスタ!U318)</f>
        <v>3370</v>
      </c>
      <c r="L318" s="1" t="n">
        <f aca="false">IF($A318="","",物件マスタ!W318)</f>
        <v>1</v>
      </c>
      <c r="M318" s="1" t="str">
        <f aca="false">IF($A318="","",IFERROR(INDEX(法人マスタ!$H:$H,MATCH($B318,法人マスタ!$A:$A,0)),""))</f>
        <v>2026年4月期（第41期）</v>
      </c>
      <c r="N318" s="1" t="n">
        <f aca="false">IF($A318="","",SUMIFS(物件収支!$D:$D,物件収支!$A:$A,$A318,物件収支!$C:$C,$M318))</f>
        <v>6</v>
      </c>
      <c r="O318" s="1" t="n">
        <f aca="false">IF($A318="","",SUMIFS(物件収支!$F:$F,物件収支!$A:$A,$A318,物件収支!$C:$C,$M318))</f>
        <v>129784</v>
      </c>
      <c r="P318" s="1" t="n">
        <f aca="false">IF($A318="","",SUMIFS(物件収支!$I:$I,物件収支!$A:$A,$A318,物件収支!$C:$C,$M318))</f>
        <v>0</v>
      </c>
      <c r="Q318" s="1" t="n">
        <f aca="false">IF($A318="","",SUMIFS(物件収支!$O:$O,物件収支!$A:$A,$A318,物件収支!$C:$C,$M318))</f>
        <v>0</v>
      </c>
      <c r="R318" s="1" t="str">
        <f aca="false">IF($A318="","",IF(P318=0,"",O318-P318))</f>
        <v/>
      </c>
      <c r="S318" s="1" t="str">
        <f aca="false">IF($A318="","",IF(R318="","",R318+Q318))</f>
        <v/>
      </c>
      <c r="T318" s="1" t="str">
        <f aca="false">IF($A318="","",IF(OR(S318="",N318&lt;=0),"",S318/1000*12/N318))</f>
        <v/>
      </c>
      <c r="U318" s="1" t="str">
        <f aca="false">IF($A318="","",IF(OR(T318="",J318=0,J318=""),"",T318/J318))</f>
        <v/>
      </c>
      <c r="V318" s="1" t="str">
        <f aca="false">IF($A318="","",IF(OR(R318="",N318&lt;=0,J318=0,J318=""),"",(R318/1000*12/N318)/J318))</f>
        <v/>
      </c>
      <c r="W318" s="1" t="str">
        <f aca="false">IF($A318="","",IF(OR(T318="",K318=0,K318=""),"",T318/K318))</f>
        <v/>
      </c>
      <c r="X318" s="1" t="n">
        <f aca="false">IF($A318="","",IF(OR(N318&lt;=0,I318=0,I318="",O318=0),"",O318*1000/(I318*0.3025)/N318))</f>
        <v>16981.3687167151</v>
      </c>
      <c r="Y318" s="1" t="str">
        <f aca="false">IF($A318="","",IF(OR(O318=0,O318="",P318=0),"",P318/O318))</f>
        <v/>
      </c>
      <c r="Z318" s="1" t="str">
        <f aca="false">IF($A318="","",IFERROR(INDEX(物件収支!$E:$E,MATCH($A318,物件収支!$A:$A,0)),""))</f>
        <v>開示（物件別・収益のみ）</v>
      </c>
    </row>
    <row r="319" customFormat="false" ht="16.5" hidden="false" customHeight="true" outlineLevel="0" collapsed="false">
      <c r="A319" s="1" t="str">
        <f aca="false">IF(物件マスタ!A319="","",物件マスタ!A319)</f>
        <v>ICG-22</v>
      </c>
      <c r="B319" s="1" t="str">
        <f aca="false">IF($A319="","",物件マスタ!B319)</f>
        <v>ICG</v>
      </c>
      <c r="C319" s="1" t="str">
        <f aca="false">IF($A319="","",IFERROR(INDEX(法人マスタ!$C:$C,MATCH($B319,法人マスタ!$A:$A,0)),""))</f>
        <v>いちごオフィスリート投資法人</v>
      </c>
      <c r="D319" s="1" t="str">
        <f aca="false">IF($A319="","",物件マスタ!C319)</f>
        <v>いちご栄ビル</v>
      </c>
      <c r="E319" s="1" t="str">
        <f aca="false">IF($A319="","",物件マスタ!H319)</f>
        <v>その他3大都市圏</v>
      </c>
      <c r="F319" s="1" t="n">
        <f aca="false">IF($A319="","",物件マスタ!P319)</f>
        <v>0</v>
      </c>
      <c r="G319" s="1" t="str">
        <f aca="false">IF($A319="","",物件マスタ!Q319)</f>
        <v/>
      </c>
      <c r="H319" s="1" t="n">
        <f aca="false">IF($A319="","",物件マスタ!L319)</f>
        <v>0</v>
      </c>
      <c r="I319" s="1" t="n">
        <f aca="false">IF($A319="","",物件マスタ!M319)</f>
        <v>3928.12</v>
      </c>
      <c r="J319" s="1" t="n">
        <f aca="false">IF($A319="","",物件マスタ!S319)</f>
        <v>0</v>
      </c>
      <c r="K319" s="1" t="n">
        <f aca="false">IF($A319="","",物件マスタ!U319)</f>
        <v>5500</v>
      </c>
      <c r="L319" s="1" t="n">
        <f aca="false">IF($A319="","",物件マスタ!W319)</f>
        <v>0.937</v>
      </c>
      <c r="M319" s="1" t="str">
        <f aca="false">IF($A319="","",IFERROR(INDEX(法人マスタ!$H:$H,MATCH($B319,法人マスタ!$A:$A,0)),""))</f>
        <v>2026年4月期（第41期）</v>
      </c>
      <c r="N319" s="1" t="n">
        <f aca="false">IF($A319="","",SUMIFS(物件収支!$D:$D,物件収支!$A:$A,$A319,物件収支!$C:$C,$M319))</f>
        <v>6</v>
      </c>
      <c r="O319" s="1" t="n">
        <f aca="false">IF($A319="","",SUMIFS(物件収支!$F:$F,物件収支!$A:$A,$A319,物件収支!$C:$C,$M319))</f>
        <v>146963</v>
      </c>
      <c r="P319" s="1" t="n">
        <f aca="false">IF($A319="","",SUMIFS(物件収支!$I:$I,物件収支!$A:$A,$A319,物件収支!$C:$C,$M319))</f>
        <v>0</v>
      </c>
      <c r="Q319" s="1" t="n">
        <f aca="false">IF($A319="","",SUMIFS(物件収支!$O:$O,物件収支!$A:$A,$A319,物件収支!$C:$C,$M319))</f>
        <v>0</v>
      </c>
      <c r="R319" s="1" t="str">
        <f aca="false">IF($A319="","",IF(P319=0,"",O319-P319))</f>
        <v/>
      </c>
      <c r="S319" s="1" t="str">
        <f aca="false">IF($A319="","",IF(R319="","",R319+Q319))</f>
        <v/>
      </c>
      <c r="T319" s="1" t="str">
        <f aca="false">IF($A319="","",IF(OR(S319="",N319&lt;=0),"",S319/1000*12/N319))</f>
        <v/>
      </c>
      <c r="U319" s="1" t="str">
        <f aca="false">IF($A319="","",IF(OR(T319="",J319=0,J319=""),"",T319/J319))</f>
        <v/>
      </c>
      <c r="V319" s="1" t="str">
        <f aca="false">IF($A319="","",IF(OR(R319="",N319&lt;=0,J319=0,J319=""),"",(R319/1000*12/N319)/J319))</f>
        <v/>
      </c>
      <c r="W319" s="1" t="str">
        <f aca="false">IF($A319="","",IF(OR(T319="",K319=0,K319=""),"",T319/K319))</f>
        <v/>
      </c>
      <c r="X319" s="1" t="n">
        <f aca="false">IF($A319="","",IF(OR(N319&lt;=0,I319=0,I319="",O319=0),"",O319*1000/(I319*0.3025)/N319))</f>
        <v>20613.2577065515</v>
      </c>
      <c r="Y319" s="1" t="str">
        <f aca="false">IF($A319="","",IF(OR(O319=0,O319="",P319=0),"",P319/O319))</f>
        <v/>
      </c>
      <c r="Z319" s="1" t="str">
        <f aca="false">IF($A319="","",IFERROR(INDEX(物件収支!$E:$E,MATCH($A319,物件収支!$A:$A,0)),""))</f>
        <v>開示（物件別・収益のみ）</v>
      </c>
    </row>
    <row r="320" customFormat="false" ht="16.5" hidden="false" customHeight="true" outlineLevel="0" collapsed="false">
      <c r="A320" s="1" t="str">
        <f aca="false">IF(物件マスタ!A320="","",物件マスタ!A320)</f>
        <v>ICG-23</v>
      </c>
      <c r="B320" s="1" t="str">
        <f aca="false">IF($A320="","",物件マスタ!B320)</f>
        <v>ICG</v>
      </c>
      <c r="C320" s="1" t="str">
        <f aca="false">IF($A320="","",IFERROR(INDEX(法人マスタ!$C:$C,MATCH($B320,法人マスタ!$A:$A,0)),""))</f>
        <v>いちごオフィスリート投資法人</v>
      </c>
      <c r="D320" s="1" t="str">
        <f aca="false">IF($A320="","",物件マスタ!C320)</f>
        <v>いちご丸の内ビル</v>
      </c>
      <c r="E320" s="1" t="str">
        <f aca="false">IF($A320="","",物件マスタ!H320)</f>
        <v>その他3大都市圏</v>
      </c>
      <c r="F320" s="1" t="n">
        <f aca="false">IF($A320="","",物件マスタ!P320)</f>
        <v>0</v>
      </c>
      <c r="G320" s="1" t="str">
        <f aca="false">IF($A320="","",物件マスタ!Q320)</f>
        <v/>
      </c>
      <c r="H320" s="1" t="n">
        <f aca="false">IF($A320="","",物件マスタ!L320)</f>
        <v>0</v>
      </c>
      <c r="I320" s="1" t="n">
        <f aca="false">IF($A320="","",物件マスタ!M320)</f>
        <v>8009.11</v>
      </c>
      <c r="J320" s="1" t="n">
        <f aca="false">IF($A320="","",物件マスタ!S320)</f>
        <v>0</v>
      </c>
      <c r="K320" s="1" t="n">
        <f aca="false">IF($A320="","",物件マスタ!U320)</f>
        <v>8210</v>
      </c>
      <c r="L320" s="1" t="n">
        <f aca="false">IF($A320="","",物件マスタ!W320)</f>
        <v>1</v>
      </c>
      <c r="M320" s="1" t="str">
        <f aca="false">IF($A320="","",IFERROR(INDEX(法人マスタ!$H:$H,MATCH($B320,法人マスタ!$A:$A,0)),""))</f>
        <v>2026年4月期（第41期）</v>
      </c>
      <c r="N320" s="1" t="n">
        <f aca="false">IF($A320="","",SUMIFS(物件収支!$D:$D,物件収支!$A:$A,$A320,物件収支!$C:$C,$M320))</f>
        <v>6</v>
      </c>
      <c r="O320" s="1" t="n">
        <f aca="false">IF($A320="","",SUMIFS(物件収支!$F:$F,物件収支!$A:$A,$A320,物件収支!$C:$C,$M320))</f>
        <v>231560</v>
      </c>
      <c r="P320" s="1" t="n">
        <f aca="false">IF($A320="","",SUMIFS(物件収支!$I:$I,物件収支!$A:$A,$A320,物件収支!$C:$C,$M320))</f>
        <v>0</v>
      </c>
      <c r="Q320" s="1" t="n">
        <f aca="false">IF($A320="","",SUMIFS(物件収支!$O:$O,物件収支!$A:$A,$A320,物件収支!$C:$C,$M320))</f>
        <v>0</v>
      </c>
      <c r="R320" s="1" t="str">
        <f aca="false">IF($A320="","",IF(P320=0,"",O320-P320))</f>
        <v/>
      </c>
      <c r="S320" s="1" t="str">
        <f aca="false">IF($A320="","",IF(R320="","",R320+Q320))</f>
        <v/>
      </c>
      <c r="T320" s="1" t="str">
        <f aca="false">IF($A320="","",IF(OR(S320="",N320&lt;=0),"",S320/1000*12/N320))</f>
        <v/>
      </c>
      <c r="U320" s="1" t="str">
        <f aca="false">IF($A320="","",IF(OR(T320="",J320=0,J320=""),"",T320/J320))</f>
        <v/>
      </c>
      <c r="V320" s="1" t="str">
        <f aca="false">IF($A320="","",IF(OR(R320="",N320&lt;=0,J320=0,J320=""),"",(R320/1000*12/N320)/J320))</f>
        <v/>
      </c>
      <c r="W320" s="1" t="str">
        <f aca="false">IF($A320="","",IF(OR(T320="",K320=0,K320=""),"",T320/K320))</f>
        <v/>
      </c>
      <c r="X320" s="1" t="n">
        <f aca="false">IF($A320="","",IF(OR(N320&lt;=0,I320=0,I320="",O320=0),"",O320*1000/(I320*0.3025)/N320))</f>
        <v>15929.5186628266</v>
      </c>
      <c r="Y320" s="1" t="str">
        <f aca="false">IF($A320="","",IF(OR(O320=0,O320="",P320=0),"",P320/O320))</f>
        <v/>
      </c>
      <c r="Z320" s="1" t="str">
        <f aca="false">IF($A320="","",IFERROR(INDEX(物件収支!$E:$E,MATCH($A320,物件収支!$A:$A,0)),""))</f>
        <v>開示（物件別・収益のみ）</v>
      </c>
    </row>
    <row r="321" customFormat="false" ht="16.5" hidden="false" customHeight="true" outlineLevel="0" collapsed="false">
      <c r="A321" s="1" t="str">
        <f aca="false">IF(物件マスタ!A321="","",物件マスタ!A321)</f>
        <v>ICG-24</v>
      </c>
      <c r="B321" s="1" t="str">
        <f aca="false">IF($A321="","",物件マスタ!B321)</f>
        <v>ICG</v>
      </c>
      <c r="C321" s="1" t="str">
        <f aca="false">IF($A321="","",IFERROR(INDEX(法人マスタ!$C:$C,MATCH($B321,法人マスタ!$A:$A,0)),""))</f>
        <v>いちごオフィスリート投資法人</v>
      </c>
      <c r="D321" s="1" t="str">
        <f aca="false">IF($A321="","",物件マスタ!C321)</f>
        <v>いちご・みらい信金ビル</v>
      </c>
      <c r="E321" s="1" t="str">
        <f aca="false">IF($A321="","",物件マスタ!H321)</f>
        <v>（期中譲渡済）</v>
      </c>
      <c r="F321" s="1" t="n">
        <f aca="false">IF($A321="","",物件マスタ!P321)</f>
        <v>0</v>
      </c>
      <c r="G321" s="1" t="str">
        <f aca="false">IF($A321="","",物件マスタ!Q321)</f>
        <v/>
      </c>
      <c r="H321" s="1" t="n">
        <f aca="false">IF($A321="","",物件マスタ!L321)</f>
        <v>0</v>
      </c>
      <c r="I321" s="1" t="n">
        <f aca="false">IF($A321="","",物件マスタ!M321)</f>
        <v>0</v>
      </c>
      <c r="J321" s="1" t="n">
        <f aca="false">IF($A321="","",物件マスタ!S321)</f>
        <v>0</v>
      </c>
      <c r="K321" s="1" t="n">
        <f aca="false">IF($A321="","",物件マスタ!U321)</f>
        <v>0</v>
      </c>
      <c r="L321" s="1" t="n">
        <f aca="false">IF($A321="","",物件マスタ!W321)</f>
        <v>0</v>
      </c>
      <c r="M321" s="1" t="str">
        <f aca="false">IF($A321="","",IFERROR(INDEX(法人マスタ!$H:$H,MATCH($B321,法人マスタ!$A:$A,0)),""))</f>
        <v>2026年4月期（第41期）</v>
      </c>
      <c r="N321" s="1" t="n">
        <f aca="false">IF($A321="","",SUMIFS(物件収支!$D:$D,物件収支!$A:$A,$A321,物件収支!$C:$C,$M321))</f>
        <v>6</v>
      </c>
      <c r="O321" s="1" t="n">
        <f aca="false">IF($A321="","",SUMIFS(物件収支!$F:$F,物件収支!$A:$A,$A321,物件収支!$C:$C,$M321))</f>
        <v>4806</v>
      </c>
      <c r="P321" s="1" t="n">
        <f aca="false">IF($A321="","",SUMIFS(物件収支!$I:$I,物件収支!$A:$A,$A321,物件収支!$C:$C,$M321))</f>
        <v>0</v>
      </c>
      <c r="Q321" s="1" t="n">
        <f aca="false">IF($A321="","",SUMIFS(物件収支!$O:$O,物件収支!$A:$A,$A321,物件収支!$C:$C,$M321))</f>
        <v>0</v>
      </c>
      <c r="R321" s="1" t="str">
        <f aca="false">IF($A321="","",IF(P321=0,"",O321-P321))</f>
        <v/>
      </c>
      <c r="S321" s="1" t="str">
        <f aca="false">IF($A321="","",IF(R321="","",R321+Q321))</f>
        <v/>
      </c>
      <c r="T321" s="1" t="str">
        <f aca="false">IF($A321="","",IF(OR(S321="",N321&lt;=0),"",S321/1000*12/N321))</f>
        <v/>
      </c>
      <c r="U321" s="1" t="str">
        <f aca="false">IF($A321="","",IF(OR(T321="",J321=0,J321=""),"",T321/J321))</f>
        <v/>
      </c>
      <c r="V321" s="1" t="str">
        <f aca="false">IF($A321="","",IF(OR(R321="",N321&lt;=0,J321=0,J321=""),"",(R321/1000*12/N321)/J321))</f>
        <v/>
      </c>
      <c r="W321" s="1" t="str">
        <f aca="false">IF($A321="","",IF(OR(T321="",K321=0,K321=""),"",T321/K321))</f>
        <v/>
      </c>
      <c r="X321" s="1" t="str">
        <f aca="false">IF($A321="","",IF(OR(N321&lt;=0,I321=0,I321="",O321=0),"",O321*1000/(I321*0.3025)/N321))</f>
        <v/>
      </c>
      <c r="Y321" s="1" t="str">
        <f aca="false">IF($A321="","",IF(OR(O321=0,O321="",P321=0),"",P321/O321))</f>
        <v/>
      </c>
      <c r="Z321" s="1" t="str">
        <f aca="false">IF($A321="","",IFERROR(INDEX(物件収支!$E:$E,MATCH($A321,物件収支!$A:$A,0)),""))</f>
        <v>開示（期中譲渡・期間僅少）</v>
      </c>
    </row>
    <row r="322" customFormat="false" ht="16.5" hidden="false" customHeight="true" outlineLevel="0" collapsed="false">
      <c r="A322" s="1" t="str">
        <f aca="false">IF(物件マスタ!A322="","",物件マスタ!A322)</f>
        <v>ICG-25</v>
      </c>
      <c r="B322" s="1" t="str">
        <f aca="false">IF($A322="","",物件マスタ!B322)</f>
        <v>ICG</v>
      </c>
      <c r="C322" s="1" t="str">
        <f aca="false">IF($A322="","",IFERROR(INDEX(法人マスタ!$C:$C,MATCH($B322,法人マスタ!$A:$A,0)),""))</f>
        <v>いちごオフィスリート投資法人</v>
      </c>
      <c r="D322" s="1" t="str">
        <f aca="false">IF($A322="","",物件マスタ!C322)</f>
        <v>いちご高松ビル</v>
      </c>
      <c r="E322" s="1" t="str">
        <f aca="false">IF($A322="","",物件マスタ!H322)</f>
        <v>その他地方都市</v>
      </c>
      <c r="F322" s="1" t="n">
        <f aca="false">IF($A322="","",物件マスタ!P322)</f>
        <v>0</v>
      </c>
      <c r="G322" s="1" t="str">
        <f aca="false">IF($A322="","",物件マスタ!Q322)</f>
        <v/>
      </c>
      <c r="H322" s="1" t="n">
        <f aca="false">IF($A322="","",物件マスタ!L322)</f>
        <v>0</v>
      </c>
      <c r="I322" s="1" t="n">
        <f aca="false">IF($A322="","",物件マスタ!M322)</f>
        <v>6329.33</v>
      </c>
      <c r="J322" s="1" t="n">
        <f aca="false">IF($A322="","",物件マスタ!S322)</f>
        <v>0</v>
      </c>
      <c r="K322" s="1" t="n">
        <f aca="false">IF($A322="","",物件マスタ!U322)</f>
        <v>4070</v>
      </c>
      <c r="L322" s="1" t="n">
        <f aca="false">IF($A322="","",物件マスタ!W322)</f>
        <v>0.987</v>
      </c>
      <c r="M322" s="1" t="str">
        <f aca="false">IF($A322="","",IFERROR(INDEX(法人マスタ!$H:$H,MATCH($B322,法人マスタ!$A:$A,0)),""))</f>
        <v>2026年4月期（第41期）</v>
      </c>
      <c r="N322" s="1" t="n">
        <f aca="false">IF($A322="","",SUMIFS(物件収支!$D:$D,物件収支!$A:$A,$A322,物件収支!$C:$C,$M322))</f>
        <v>6</v>
      </c>
      <c r="O322" s="1" t="n">
        <f aca="false">IF($A322="","",SUMIFS(物件収支!$F:$F,物件収支!$A:$A,$A322,物件収支!$C:$C,$M322))</f>
        <v>155614</v>
      </c>
      <c r="P322" s="1" t="n">
        <f aca="false">IF($A322="","",SUMIFS(物件収支!$I:$I,物件収支!$A:$A,$A322,物件収支!$C:$C,$M322))</f>
        <v>0</v>
      </c>
      <c r="Q322" s="1" t="n">
        <f aca="false">IF($A322="","",SUMIFS(物件収支!$O:$O,物件収支!$A:$A,$A322,物件収支!$C:$C,$M322))</f>
        <v>0</v>
      </c>
      <c r="R322" s="1" t="str">
        <f aca="false">IF($A322="","",IF(P322=0,"",O322-P322))</f>
        <v/>
      </c>
      <c r="S322" s="1" t="str">
        <f aca="false">IF($A322="","",IF(R322="","",R322+Q322))</f>
        <v/>
      </c>
      <c r="T322" s="1" t="str">
        <f aca="false">IF($A322="","",IF(OR(S322="",N322&lt;=0),"",S322/1000*12/N322))</f>
        <v/>
      </c>
      <c r="U322" s="1" t="str">
        <f aca="false">IF($A322="","",IF(OR(T322="",J322=0,J322=""),"",T322/J322))</f>
        <v/>
      </c>
      <c r="V322" s="1" t="str">
        <f aca="false">IF($A322="","",IF(OR(R322="",N322&lt;=0,J322=0,J322=""),"",(R322/1000*12/N322)/J322))</f>
        <v/>
      </c>
      <c r="W322" s="1" t="str">
        <f aca="false">IF($A322="","",IF(OR(T322="",K322=0,K322=""),"",T322/K322))</f>
        <v/>
      </c>
      <c r="X322" s="1" t="n">
        <f aca="false">IF($A322="","",IF(OR(N322&lt;=0,I322=0,I322="",O322=0),"",O322*1000/(I322*0.3025)/N322))</f>
        <v>13546.1006215242</v>
      </c>
      <c r="Y322" s="1" t="str">
        <f aca="false">IF($A322="","",IF(OR(O322=0,O322="",P322=0),"",P322/O322))</f>
        <v/>
      </c>
      <c r="Z322" s="1" t="str">
        <f aca="false">IF($A322="","",IFERROR(INDEX(物件収支!$E:$E,MATCH($A322,物件収支!$A:$A,0)),""))</f>
        <v>開示（物件別・収益のみ）</v>
      </c>
    </row>
    <row r="323" customFormat="false" ht="16.5" hidden="false" customHeight="true" outlineLevel="0" collapsed="false">
      <c r="A323" s="1" t="str">
        <f aca="false">IF(物件マスタ!A323="","",物件マスタ!A323)</f>
        <v>ICG-26</v>
      </c>
      <c r="B323" s="1" t="str">
        <f aca="false">IF($A323="","",物件マスタ!B323)</f>
        <v>ICG</v>
      </c>
      <c r="C323" s="1" t="str">
        <f aca="false">IF($A323="","",IFERROR(INDEX(法人マスタ!$C:$C,MATCH($B323,法人マスタ!$A:$A,0)),""))</f>
        <v>いちごオフィスリート投資法人</v>
      </c>
      <c r="D323" s="1" t="str">
        <f aca="false">IF($A323="","",物件マスタ!C323)</f>
        <v>いちご神田錦町ビル</v>
      </c>
      <c r="E323" s="1" t="str">
        <f aca="false">IF($A323="","",物件マスタ!H323)</f>
        <v>都心5区</v>
      </c>
      <c r="F323" s="1" t="n">
        <f aca="false">IF($A323="","",物件マスタ!P323)</f>
        <v>0</v>
      </c>
      <c r="G323" s="1" t="str">
        <f aca="false">IF($A323="","",物件マスタ!Q323)</f>
        <v/>
      </c>
      <c r="H323" s="1" t="n">
        <f aca="false">IF($A323="","",物件マスタ!L323)</f>
        <v>0</v>
      </c>
      <c r="I323" s="1" t="n">
        <f aca="false">IF($A323="","",物件マスタ!M323)</f>
        <v>2523.09</v>
      </c>
      <c r="J323" s="1" t="n">
        <f aca="false">IF($A323="","",物件マスタ!S323)</f>
        <v>0</v>
      </c>
      <c r="K323" s="1" t="n">
        <f aca="false">IF($A323="","",物件マスタ!U323)</f>
        <v>3330</v>
      </c>
      <c r="L323" s="1" t="n">
        <f aca="false">IF($A323="","",物件マスタ!W323)</f>
        <v>1</v>
      </c>
      <c r="M323" s="1" t="str">
        <f aca="false">IF($A323="","",IFERROR(INDEX(法人マスタ!$H:$H,MATCH($B323,法人マスタ!$A:$A,0)),""))</f>
        <v>2026年4月期（第41期）</v>
      </c>
      <c r="N323" s="1" t="n">
        <f aca="false">IF($A323="","",SUMIFS(物件収支!$D:$D,物件収支!$A:$A,$A323,物件収支!$C:$C,$M323))</f>
        <v>6</v>
      </c>
      <c r="O323" s="1" t="n">
        <f aca="false">IF($A323="","",SUMIFS(物件収支!$F:$F,物件収支!$A:$A,$A323,物件収支!$C:$C,$M323))</f>
        <v>98468</v>
      </c>
      <c r="P323" s="1" t="n">
        <f aca="false">IF($A323="","",SUMIFS(物件収支!$I:$I,物件収支!$A:$A,$A323,物件収支!$C:$C,$M323))</f>
        <v>0</v>
      </c>
      <c r="Q323" s="1" t="n">
        <f aca="false">IF($A323="","",SUMIFS(物件収支!$O:$O,物件収支!$A:$A,$A323,物件収支!$C:$C,$M323))</f>
        <v>0</v>
      </c>
      <c r="R323" s="1" t="str">
        <f aca="false">IF($A323="","",IF(P323=0,"",O323-P323))</f>
        <v/>
      </c>
      <c r="S323" s="1" t="str">
        <f aca="false">IF($A323="","",IF(R323="","",R323+Q323))</f>
        <v/>
      </c>
      <c r="T323" s="1" t="str">
        <f aca="false">IF($A323="","",IF(OR(S323="",N323&lt;=0),"",S323/1000*12/N323))</f>
        <v/>
      </c>
      <c r="U323" s="1" t="str">
        <f aca="false">IF($A323="","",IF(OR(T323="",J323=0,J323=""),"",T323/J323))</f>
        <v/>
      </c>
      <c r="V323" s="1" t="str">
        <f aca="false">IF($A323="","",IF(OR(R323="",N323&lt;=0,J323=0,J323=""),"",(R323/1000*12/N323)/J323))</f>
        <v/>
      </c>
      <c r="W323" s="1" t="str">
        <f aca="false">IF($A323="","",IF(OR(T323="",K323=0,K323=""),"",T323/K323))</f>
        <v/>
      </c>
      <c r="X323" s="1" t="n">
        <f aca="false">IF($A323="","",IF(OR(N323&lt;=0,I323=0,I323="",O323=0),"",O323*1000/(I323*0.3025)/N323))</f>
        <v>21502.341017481</v>
      </c>
      <c r="Y323" s="1" t="str">
        <f aca="false">IF($A323="","",IF(OR(O323=0,O323="",P323=0),"",P323/O323))</f>
        <v/>
      </c>
      <c r="Z323" s="1" t="str">
        <f aca="false">IF($A323="","",IFERROR(INDEX(物件収支!$E:$E,MATCH($A323,物件収支!$A:$A,0)),""))</f>
        <v>開示（物件別・収益のみ）</v>
      </c>
    </row>
    <row r="324" customFormat="false" ht="16.5" hidden="false" customHeight="true" outlineLevel="0" collapsed="false">
      <c r="A324" s="1" t="str">
        <f aca="false">IF(物件マスタ!A324="","",物件マスタ!A324)</f>
        <v>ICG-27</v>
      </c>
      <c r="B324" s="1" t="str">
        <f aca="false">IF($A324="","",物件マスタ!B324)</f>
        <v>ICG</v>
      </c>
      <c r="C324" s="1" t="str">
        <f aca="false">IF($A324="","",IFERROR(INDEX(法人マスタ!$C:$C,MATCH($B324,法人マスタ!$A:$A,0)),""))</f>
        <v>いちごオフィスリート投資法人</v>
      </c>
      <c r="D324" s="1" t="str">
        <f aca="false">IF($A324="","",物件マスタ!C324)</f>
        <v>いちご秋葉原ノースビル</v>
      </c>
      <c r="E324" s="1" t="str">
        <f aca="false">IF($A324="","",物件マスタ!H324)</f>
        <v>都心5区</v>
      </c>
      <c r="F324" s="1" t="n">
        <f aca="false">IF($A324="","",物件マスタ!P324)</f>
        <v>0</v>
      </c>
      <c r="G324" s="1" t="str">
        <f aca="false">IF($A324="","",物件マスタ!Q324)</f>
        <v/>
      </c>
      <c r="H324" s="1" t="n">
        <f aca="false">IF($A324="","",物件マスタ!L324)</f>
        <v>0</v>
      </c>
      <c r="I324" s="1" t="n">
        <f aca="false">IF($A324="","",物件マスタ!M324)</f>
        <v>6250.53</v>
      </c>
      <c r="J324" s="1" t="n">
        <f aca="false">IF($A324="","",物件マスタ!S324)</f>
        <v>0</v>
      </c>
      <c r="K324" s="1" t="n">
        <f aca="false">IF($A324="","",物件マスタ!U324)</f>
        <v>8720</v>
      </c>
      <c r="L324" s="1" t="n">
        <f aca="false">IF($A324="","",物件マスタ!W324)</f>
        <v>1</v>
      </c>
      <c r="M324" s="1" t="str">
        <f aca="false">IF($A324="","",IFERROR(INDEX(法人マスタ!$H:$H,MATCH($B324,法人マスタ!$A:$A,0)),""))</f>
        <v>2026年4月期（第41期）</v>
      </c>
      <c r="N324" s="1" t="n">
        <f aca="false">IF($A324="","",SUMIFS(物件収支!$D:$D,物件収支!$A:$A,$A324,物件収支!$C:$C,$M324))</f>
        <v>6</v>
      </c>
      <c r="O324" s="1" t="n">
        <f aca="false">IF($A324="","",SUMIFS(物件収支!$F:$F,物件収支!$A:$A,$A324,物件収支!$C:$C,$M324))</f>
        <v>246010</v>
      </c>
      <c r="P324" s="1" t="n">
        <f aca="false">IF($A324="","",SUMIFS(物件収支!$I:$I,物件収支!$A:$A,$A324,物件収支!$C:$C,$M324))</f>
        <v>0</v>
      </c>
      <c r="Q324" s="1" t="n">
        <f aca="false">IF($A324="","",SUMIFS(物件収支!$O:$O,物件収支!$A:$A,$A324,物件収支!$C:$C,$M324))</f>
        <v>0</v>
      </c>
      <c r="R324" s="1" t="str">
        <f aca="false">IF($A324="","",IF(P324=0,"",O324-P324))</f>
        <v/>
      </c>
      <c r="S324" s="1" t="str">
        <f aca="false">IF($A324="","",IF(R324="","",R324+Q324))</f>
        <v/>
      </c>
      <c r="T324" s="1" t="str">
        <f aca="false">IF($A324="","",IF(OR(S324="",N324&lt;=0),"",S324/1000*12/N324))</f>
        <v/>
      </c>
      <c r="U324" s="1" t="str">
        <f aca="false">IF($A324="","",IF(OR(T324="",J324=0,J324=""),"",T324/J324))</f>
        <v/>
      </c>
      <c r="V324" s="1" t="str">
        <f aca="false">IF($A324="","",IF(OR(R324="",N324&lt;=0,J324=0,J324=""),"",(R324/1000*12/N324)/J324))</f>
        <v/>
      </c>
      <c r="W324" s="1" t="str">
        <f aca="false">IF($A324="","",IF(OR(T324="",K324=0,K324=""),"",T324/K324))</f>
        <v/>
      </c>
      <c r="X324" s="1" t="n">
        <f aca="false">IF($A324="","",IF(OR(N324&lt;=0,I324=0,I324="",O324=0),"",O324*1000/(I324*0.3025)/N324))</f>
        <v>21684.9930685107</v>
      </c>
      <c r="Y324" s="1" t="str">
        <f aca="false">IF($A324="","",IF(OR(O324=0,O324="",P324=0),"",P324/O324))</f>
        <v/>
      </c>
      <c r="Z324" s="1" t="str">
        <f aca="false">IF($A324="","",IFERROR(INDEX(物件収支!$E:$E,MATCH($A324,物件収支!$A:$A,0)),""))</f>
        <v>開示（物件別・収益のみ）</v>
      </c>
    </row>
    <row r="325" customFormat="false" ht="16.5" hidden="false" customHeight="true" outlineLevel="0" collapsed="false">
      <c r="A325" s="1" t="str">
        <f aca="false">IF(物件マスタ!A325="","",物件マスタ!A325)</f>
        <v>ICG-28</v>
      </c>
      <c r="B325" s="1" t="str">
        <f aca="false">IF($A325="","",物件マスタ!B325)</f>
        <v>ICG</v>
      </c>
      <c r="C325" s="1" t="str">
        <f aca="false">IF($A325="","",IFERROR(INDEX(法人マスタ!$C:$C,MATCH($B325,法人マスタ!$A:$A,0)),""))</f>
        <v>いちごオフィスリート投資法人</v>
      </c>
      <c r="D325" s="1" t="str">
        <f aca="false">IF($A325="","",物件マスタ!C325)</f>
        <v>いちご堺筋本町ビル</v>
      </c>
      <c r="E325" s="1" t="str">
        <f aca="false">IF($A325="","",物件マスタ!H325)</f>
        <v>その他3大都市圏</v>
      </c>
      <c r="F325" s="1" t="n">
        <f aca="false">IF($A325="","",物件マスタ!P325)</f>
        <v>0</v>
      </c>
      <c r="G325" s="1" t="str">
        <f aca="false">IF($A325="","",物件マスタ!Q325)</f>
        <v/>
      </c>
      <c r="H325" s="1" t="n">
        <f aca="false">IF($A325="","",物件マスタ!L325)</f>
        <v>0</v>
      </c>
      <c r="I325" s="1" t="n">
        <f aca="false">IF($A325="","",物件マスタ!M325)</f>
        <v>3729.35</v>
      </c>
      <c r="J325" s="1" t="n">
        <f aca="false">IF($A325="","",物件マスタ!S325)</f>
        <v>0</v>
      </c>
      <c r="K325" s="1" t="n">
        <f aca="false">IF($A325="","",物件マスタ!U325)</f>
        <v>2810</v>
      </c>
      <c r="L325" s="1" t="n">
        <f aca="false">IF($A325="","",物件マスタ!W325)</f>
        <v>1</v>
      </c>
      <c r="M325" s="1" t="str">
        <f aca="false">IF($A325="","",IFERROR(INDEX(法人マスタ!$H:$H,MATCH($B325,法人マスタ!$A:$A,0)),""))</f>
        <v>2026年4月期（第41期）</v>
      </c>
      <c r="N325" s="1" t="n">
        <f aca="false">IF($A325="","",SUMIFS(物件収支!$D:$D,物件収支!$A:$A,$A325,物件収支!$C:$C,$M325))</f>
        <v>6</v>
      </c>
      <c r="O325" s="1" t="n">
        <f aca="false">IF($A325="","",SUMIFS(物件収支!$F:$F,物件収支!$A:$A,$A325,物件収支!$C:$C,$M325))</f>
        <v>98299</v>
      </c>
      <c r="P325" s="1" t="n">
        <f aca="false">IF($A325="","",SUMIFS(物件収支!$I:$I,物件収支!$A:$A,$A325,物件収支!$C:$C,$M325))</f>
        <v>0</v>
      </c>
      <c r="Q325" s="1" t="n">
        <f aca="false">IF($A325="","",SUMIFS(物件収支!$O:$O,物件収支!$A:$A,$A325,物件収支!$C:$C,$M325))</f>
        <v>0</v>
      </c>
      <c r="R325" s="1" t="str">
        <f aca="false">IF($A325="","",IF(P325=0,"",O325-P325))</f>
        <v/>
      </c>
      <c r="S325" s="1" t="str">
        <f aca="false">IF($A325="","",IF(R325="","",R325+Q325))</f>
        <v/>
      </c>
      <c r="T325" s="1" t="str">
        <f aca="false">IF($A325="","",IF(OR(S325="",N325&lt;=0),"",S325/1000*12/N325))</f>
        <v/>
      </c>
      <c r="U325" s="1" t="str">
        <f aca="false">IF($A325="","",IF(OR(T325="",J325=0,J325=""),"",T325/J325))</f>
        <v/>
      </c>
      <c r="V325" s="1" t="str">
        <f aca="false">IF($A325="","",IF(OR(R325="",N325&lt;=0,J325=0,J325=""),"",(R325/1000*12/N325)/J325))</f>
        <v/>
      </c>
      <c r="W325" s="1" t="str">
        <f aca="false">IF($A325="","",IF(OR(T325="",K325=0,K325=""),"",T325/K325))</f>
        <v/>
      </c>
      <c r="X325" s="1" t="n">
        <f aca="false">IF($A325="","",IF(OR(N325&lt;=0,I325=0,I325="",O325=0),"",O325*1000/(I325*0.3025)/N325))</f>
        <v>14522.4311609631</v>
      </c>
      <c r="Y325" s="1" t="str">
        <f aca="false">IF($A325="","",IF(OR(O325=0,O325="",P325=0),"",P325/O325))</f>
        <v/>
      </c>
      <c r="Z325" s="1" t="str">
        <f aca="false">IF($A325="","",IFERROR(INDEX(物件収支!$E:$E,MATCH($A325,物件収支!$A:$A,0)),""))</f>
        <v>開示（物件別・収益のみ）</v>
      </c>
    </row>
    <row r="326" customFormat="false" ht="16.5" hidden="false" customHeight="true" outlineLevel="0" collapsed="false">
      <c r="A326" s="1" t="str">
        <f aca="false">IF(物件マスタ!A326="","",物件マスタ!A326)</f>
        <v>ICG-29</v>
      </c>
      <c r="B326" s="1" t="str">
        <f aca="false">IF($A326="","",物件マスタ!B326)</f>
        <v>ICG</v>
      </c>
      <c r="C326" s="1" t="str">
        <f aca="false">IF($A326="","",IFERROR(INDEX(法人マスタ!$C:$C,MATCH($B326,法人マスタ!$A:$A,0)),""))</f>
        <v>いちごオフィスリート投資法人</v>
      </c>
      <c r="D326" s="1" t="str">
        <f aca="false">IF($A326="","",物件マスタ!C326)</f>
        <v>いちご神田小川町ビル</v>
      </c>
      <c r="E326" s="1" t="str">
        <f aca="false">IF($A326="","",物件マスタ!H326)</f>
        <v>都心5区</v>
      </c>
      <c r="F326" s="1" t="n">
        <f aca="false">IF($A326="","",物件マスタ!P326)</f>
        <v>0</v>
      </c>
      <c r="G326" s="1" t="str">
        <f aca="false">IF($A326="","",物件マスタ!Q326)</f>
        <v/>
      </c>
      <c r="H326" s="1" t="n">
        <f aca="false">IF($A326="","",物件マスタ!L326)</f>
        <v>0</v>
      </c>
      <c r="I326" s="1" t="n">
        <f aca="false">IF($A326="","",物件マスタ!M326)</f>
        <v>2323.25</v>
      </c>
      <c r="J326" s="1" t="n">
        <f aca="false">IF($A326="","",物件マスタ!S326)</f>
        <v>0</v>
      </c>
      <c r="K326" s="1" t="n">
        <f aca="false">IF($A326="","",物件マスタ!U326)</f>
        <v>3440</v>
      </c>
      <c r="L326" s="1" t="n">
        <f aca="false">IF($A326="","",物件マスタ!W326)</f>
        <v>1</v>
      </c>
      <c r="M326" s="1" t="str">
        <f aca="false">IF($A326="","",IFERROR(INDEX(法人マスタ!$H:$H,MATCH($B326,法人マスタ!$A:$A,0)),""))</f>
        <v>2026年4月期（第41期）</v>
      </c>
      <c r="N326" s="1" t="n">
        <f aca="false">IF($A326="","",SUMIFS(物件収支!$D:$D,物件収支!$A:$A,$A326,物件収支!$C:$C,$M326))</f>
        <v>6</v>
      </c>
      <c r="O326" s="1" t="n">
        <f aca="false">IF($A326="","",SUMIFS(物件収支!$F:$F,物件収支!$A:$A,$A326,物件収支!$C:$C,$M326))</f>
        <v>91257</v>
      </c>
      <c r="P326" s="1" t="n">
        <f aca="false">IF($A326="","",SUMIFS(物件収支!$I:$I,物件収支!$A:$A,$A326,物件収支!$C:$C,$M326))</f>
        <v>0</v>
      </c>
      <c r="Q326" s="1" t="n">
        <f aca="false">IF($A326="","",SUMIFS(物件収支!$O:$O,物件収支!$A:$A,$A326,物件収支!$C:$C,$M326))</f>
        <v>0</v>
      </c>
      <c r="R326" s="1" t="str">
        <f aca="false">IF($A326="","",IF(P326=0,"",O326-P326))</f>
        <v/>
      </c>
      <c r="S326" s="1" t="str">
        <f aca="false">IF($A326="","",IF(R326="","",R326+Q326))</f>
        <v/>
      </c>
      <c r="T326" s="1" t="str">
        <f aca="false">IF($A326="","",IF(OR(S326="",N326&lt;=0),"",S326/1000*12/N326))</f>
        <v/>
      </c>
      <c r="U326" s="1" t="str">
        <f aca="false">IF($A326="","",IF(OR(T326="",J326=0,J326=""),"",T326/J326))</f>
        <v/>
      </c>
      <c r="V326" s="1" t="str">
        <f aca="false">IF($A326="","",IF(OR(R326="",N326&lt;=0,J326=0,J326=""),"",(R326/1000*12/N326)/J326))</f>
        <v/>
      </c>
      <c r="W326" s="1" t="str">
        <f aca="false">IF($A326="","",IF(OR(T326="",K326=0,K326=""),"",T326/K326))</f>
        <v/>
      </c>
      <c r="X326" s="1" t="n">
        <f aca="false">IF($A326="","",IF(OR(N326&lt;=0,I326=0,I326="",O326=0),"",O326*1000/(I326*0.3025)/N326))</f>
        <v>21641.811618627</v>
      </c>
      <c r="Y326" s="1" t="str">
        <f aca="false">IF($A326="","",IF(OR(O326=0,O326="",P326=0),"",P326/O326))</f>
        <v/>
      </c>
      <c r="Z326" s="1" t="str">
        <f aca="false">IF($A326="","",IFERROR(INDEX(物件収支!$E:$E,MATCH($A326,物件収支!$A:$A,0)),""))</f>
        <v>開示（物件別・収益のみ）</v>
      </c>
    </row>
    <row r="327" customFormat="false" ht="16.5" hidden="false" customHeight="true" outlineLevel="0" collapsed="false">
      <c r="A327" s="1" t="str">
        <f aca="false">IF(物件マスタ!A327="","",物件マスタ!A327)</f>
        <v>ICG-30</v>
      </c>
      <c r="B327" s="1" t="str">
        <f aca="false">IF($A327="","",物件マスタ!B327)</f>
        <v>ICG</v>
      </c>
      <c r="C327" s="1" t="str">
        <f aca="false">IF($A327="","",IFERROR(INDEX(法人マスタ!$C:$C,MATCH($B327,法人マスタ!$A:$A,0)),""))</f>
        <v>いちごオフィスリート投資法人</v>
      </c>
      <c r="D327" s="1" t="str">
        <f aca="false">IF($A327="","",物件マスタ!C327)</f>
        <v>いちご八丁堀ビル</v>
      </c>
      <c r="E327" s="1" t="str">
        <f aca="false">IF($A327="","",物件マスタ!H327)</f>
        <v>都心5区</v>
      </c>
      <c r="F327" s="1" t="n">
        <f aca="false">IF($A327="","",物件マスタ!P327)</f>
        <v>0</v>
      </c>
      <c r="G327" s="1" t="str">
        <f aca="false">IF($A327="","",物件マスタ!Q327)</f>
        <v/>
      </c>
      <c r="H327" s="1" t="n">
        <f aca="false">IF($A327="","",物件マスタ!L327)</f>
        <v>0</v>
      </c>
      <c r="I327" s="1" t="n">
        <f aca="false">IF($A327="","",物件マスタ!M327)</f>
        <v>2716.33</v>
      </c>
      <c r="J327" s="1" t="n">
        <f aca="false">IF($A327="","",物件マスタ!S327)</f>
        <v>0</v>
      </c>
      <c r="K327" s="1" t="n">
        <f aca="false">IF($A327="","",物件マスタ!U327)</f>
        <v>3230</v>
      </c>
      <c r="L327" s="1" t="n">
        <f aca="false">IF($A327="","",物件マスタ!W327)</f>
        <v>1</v>
      </c>
      <c r="M327" s="1" t="str">
        <f aca="false">IF($A327="","",IFERROR(INDEX(法人マスタ!$H:$H,MATCH($B327,法人マスタ!$A:$A,0)),""))</f>
        <v>2026年4月期（第41期）</v>
      </c>
      <c r="N327" s="1" t="n">
        <f aca="false">IF($A327="","",SUMIFS(物件収支!$D:$D,物件収支!$A:$A,$A327,物件収支!$C:$C,$M327))</f>
        <v>6</v>
      </c>
      <c r="O327" s="1" t="n">
        <f aca="false">IF($A327="","",SUMIFS(物件収支!$F:$F,物件収支!$A:$A,$A327,物件収支!$C:$C,$M327))</f>
        <v>97311</v>
      </c>
      <c r="P327" s="1" t="n">
        <f aca="false">IF($A327="","",SUMIFS(物件収支!$I:$I,物件収支!$A:$A,$A327,物件収支!$C:$C,$M327))</f>
        <v>0</v>
      </c>
      <c r="Q327" s="1" t="n">
        <f aca="false">IF($A327="","",SUMIFS(物件収支!$O:$O,物件収支!$A:$A,$A327,物件収支!$C:$C,$M327))</f>
        <v>0</v>
      </c>
      <c r="R327" s="1" t="str">
        <f aca="false">IF($A327="","",IF(P327=0,"",O327-P327))</f>
        <v/>
      </c>
      <c r="S327" s="1" t="str">
        <f aca="false">IF($A327="","",IF(R327="","",R327+Q327))</f>
        <v/>
      </c>
      <c r="T327" s="1" t="str">
        <f aca="false">IF($A327="","",IF(OR(S327="",N327&lt;=0),"",S327/1000*12/N327))</f>
        <v/>
      </c>
      <c r="U327" s="1" t="str">
        <f aca="false">IF($A327="","",IF(OR(T327="",J327=0,J327=""),"",T327/J327))</f>
        <v/>
      </c>
      <c r="V327" s="1" t="str">
        <f aca="false">IF($A327="","",IF(OR(R327="",N327&lt;=0,J327=0,J327=""),"",(R327/1000*12/N327)/J327))</f>
        <v/>
      </c>
      <c r="W327" s="1" t="str">
        <f aca="false">IF($A327="","",IF(OR(T327="",K327=0,K327=""),"",T327/K327))</f>
        <v/>
      </c>
      <c r="X327" s="1" t="n">
        <f aca="false">IF($A327="","",IF(OR(N327&lt;=0,I327=0,I327="",O327=0),"",O327*1000/(I327*0.3025)/N327))</f>
        <v>19737.9832469022</v>
      </c>
      <c r="Y327" s="1" t="str">
        <f aca="false">IF($A327="","",IF(OR(O327=0,O327="",P327=0),"",P327/O327))</f>
        <v/>
      </c>
      <c r="Z327" s="1" t="str">
        <f aca="false">IF($A327="","",IFERROR(INDEX(物件収支!$E:$E,MATCH($A327,物件収支!$A:$A,0)),""))</f>
        <v>開示（物件別・収益のみ）</v>
      </c>
    </row>
    <row r="328" customFormat="false" ht="16.5" hidden="false" customHeight="true" outlineLevel="0" collapsed="false">
      <c r="A328" s="1" t="str">
        <f aca="false">IF(物件マスタ!A328="","",物件マスタ!A328)</f>
        <v>ICG-31</v>
      </c>
      <c r="B328" s="1" t="str">
        <f aca="false">IF($A328="","",物件マスタ!B328)</f>
        <v>ICG</v>
      </c>
      <c r="C328" s="1" t="str">
        <f aca="false">IF($A328="","",IFERROR(INDEX(法人マスタ!$C:$C,MATCH($B328,法人マスタ!$A:$A,0)),""))</f>
        <v>いちごオフィスリート投資法人</v>
      </c>
      <c r="D328" s="1" t="str">
        <f aca="false">IF($A328="","",物件マスタ!C328)</f>
        <v>いちご恵比寿グリーングラス</v>
      </c>
      <c r="E328" s="1" t="str">
        <f aca="false">IF($A328="","",物件マスタ!H328)</f>
        <v>都心5区</v>
      </c>
      <c r="F328" s="1" t="n">
        <f aca="false">IF($A328="","",物件マスタ!P328)</f>
        <v>0</v>
      </c>
      <c r="G328" s="1" t="str">
        <f aca="false">IF($A328="","",物件マスタ!Q328)</f>
        <v/>
      </c>
      <c r="H328" s="1" t="n">
        <f aca="false">IF($A328="","",物件マスタ!L328)</f>
        <v>0</v>
      </c>
      <c r="I328" s="1" t="n">
        <f aca="false">IF($A328="","",物件マスタ!M328)</f>
        <v>3159.27</v>
      </c>
      <c r="J328" s="1" t="n">
        <f aca="false">IF($A328="","",物件マスタ!S328)</f>
        <v>0</v>
      </c>
      <c r="K328" s="1" t="n">
        <f aca="false">IF($A328="","",物件マスタ!U328)</f>
        <v>8580</v>
      </c>
      <c r="L328" s="1" t="n">
        <f aca="false">IF($A328="","",物件マスタ!W328)</f>
        <v>1</v>
      </c>
      <c r="M328" s="1" t="str">
        <f aca="false">IF($A328="","",IFERROR(INDEX(法人マスタ!$H:$H,MATCH($B328,法人マスタ!$A:$A,0)),""))</f>
        <v>2026年4月期（第41期）</v>
      </c>
      <c r="N328" s="1" t="n">
        <f aca="false">IF($A328="","",SUMIFS(物件収支!$D:$D,物件収支!$A:$A,$A328,物件収支!$C:$C,$M328))</f>
        <v>6</v>
      </c>
      <c r="O328" s="1" t="n">
        <f aca="false">IF($A328="","",SUMIFS(物件収支!$F:$F,物件収支!$A:$A,$A328,物件収支!$C:$C,$M328))</f>
        <v>211087</v>
      </c>
      <c r="P328" s="1" t="n">
        <f aca="false">IF($A328="","",SUMIFS(物件収支!$I:$I,物件収支!$A:$A,$A328,物件収支!$C:$C,$M328))</f>
        <v>0</v>
      </c>
      <c r="Q328" s="1" t="n">
        <f aca="false">IF($A328="","",SUMIFS(物件収支!$O:$O,物件収支!$A:$A,$A328,物件収支!$C:$C,$M328))</f>
        <v>0</v>
      </c>
      <c r="R328" s="1" t="str">
        <f aca="false">IF($A328="","",IF(P328=0,"",O328-P328))</f>
        <v/>
      </c>
      <c r="S328" s="1" t="str">
        <f aca="false">IF($A328="","",IF(R328="","",R328+Q328))</f>
        <v/>
      </c>
      <c r="T328" s="1" t="str">
        <f aca="false">IF($A328="","",IF(OR(S328="",N328&lt;=0),"",S328/1000*12/N328))</f>
        <v/>
      </c>
      <c r="U328" s="1" t="str">
        <f aca="false">IF($A328="","",IF(OR(T328="",J328=0,J328=""),"",T328/J328))</f>
        <v/>
      </c>
      <c r="V328" s="1" t="str">
        <f aca="false">IF($A328="","",IF(OR(R328="",N328&lt;=0,J328=0,J328=""),"",(R328/1000*12/N328)/J328))</f>
        <v/>
      </c>
      <c r="W328" s="1" t="str">
        <f aca="false">IF($A328="","",IF(OR(T328="",K328=0,K328=""),"",T328/K328))</f>
        <v/>
      </c>
      <c r="X328" s="1" t="n">
        <f aca="false">IF($A328="","",IF(OR(N328&lt;=0,I328=0,I328="",O328=0),"",O328*1000/(I328*0.3025)/N328))</f>
        <v>36812.7375661049</v>
      </c>
      <c r="Y328" s="1" t="str">
        <f aca="false">IF($A328="","",IF(OR(O328=0,O328="",P328=0),"",P328/O328))</f>
        <v/>
      </c>
      <c r="Z328" s="1" t="str">
        <f aca="false">IF($A328="","",IFERROR(INDEX(物件収支!$E:$E,MATCH($A328,物件収支!$A:$A,0)),""))</f>
        <v>開示（物件別・収益のみ）</v>
      </c>
    </row>
    <row r="329" customFormat="false" ht="16.5" hidden="false" customHeight="true" outlineLevel="0" collapsed="false">
      <c r="A329" s="1" t="str">
        <f aca="false">IF(物件マスタ!A329="","",物件マスタ!A329)</f>
        <v>ICG-32</v>
      </c>
      <c r="B329" s="1" t="str">
        <f aca="false">IF($A329="","",物件マスタ!B329)</f>
        <v>ICG</v>
      </c>
      <c r="C329" s="1" t="str">
        <f aca="false">IF($A329="","",IFERROR(INDEX(法人マスタ!$C:$C,MATCH($B329,法人マスタ!$A:$A,0)),""))</f>
        <v>いちごオフィスリート投資法人</v>
      </c>
      <c r="D329" s="1" t="str">
        <f aca="false">IF($A329="","",物件マスタ!C329)</f>
        <v>いちご大森ビル</v>
      </c>
      <c r="E329" s="1" t="str">
        <f aca="false">IF($A329="","",物件マスタ!H329)</f>
        <v>その他東京23区</v>
      </c>
      <c r="F329" s="1" t="n">
        <f aca="false">IF($A329="","",物件マスタ!P329)</f>
        <v>0</v>
      </c>
      <c r="G329" s="1" t="str">
        <f aca="false">IF($A329="","",物件マスタ!Q329)</f>
        <v/>
      </c>
      <c r="H329" s="1" t="n">
        <f aca="false">IF($A329="","",物件マスタ!L329)</f>
        <v>0</v>
      </c>
      <c r="I329" s="1" t="n">
        <f aca="false">IF($A329="","",物件マスタ!M329)</f>
        <v>3585.93</v>
      </c>
      <c r="J329" s="1" t="n">
        <f aca="false">IF($A329="","",物件マスタ!S329)</f>
        <v>0</v>
      </c>
      <c r="K329" s="1" t="n">
        <f aca="false">IF($A329="","",物件マスタ!U329)</f>
        <v>4920</v>
      </c>
      <c r="L329" s="1" t="n">
        <f aca="false">IF($A329="","",物件マスタ!W329)</f>
        <v>1</v>
      </c>
      <c r="M329" s="1" t="str">
        <f aca="false">IF($A329="","",IFERROR(INDEX(法人マスタ!$H:$H,MATCH($B329,法人マスタ!$A:$A,0)),""))</f>
        <v>2026年4月期（第41期）</v>
      </c>
      <c r="N329" s="1" t="n">
        <f aca="false">IF($A329="","",SUMIFS(物件収支!$D:$D,物件収支!$A:$A,$A329,物件収支!$C:$C,$M329))</f>
        <v>6</v>
      </c>
      <c r="O329" s="1" t="n">
        <f aca="false">IF($A329="","",SUMIFS(物件収支!$F:$F,物件収支!$A:$A,$A329,物件収支!$C:$C,$M329))</f>
        <v>135731</v>
      </c>
      <c r="P329" s="1" t="n">
        <f aca="false">IF($A329="","",SUMIFS(物件収支!$I:$I,物件収支!$A:$A,$A329,物件収支!$C:$C,$M329))</f>
        <v>0</v>
      </c>
      <c r="Q329" s="1" t="n">
        <f aca="false">IF($A329="","",SUMIFS(物件収支!$O:$O,物件収支!$A:$A,$A329,物件収支!$C:$C,$M329))</f>
        <v>0</v>
      </c>
      <c r="R329" s="1" t="str">
        <f aca="false">IF($A329="","",IF(P329=0,"",O329-P329))</f>
        <v/>
      </c>
      <c r="S329" s="1" t="str">
        <f aca="false">IF($A329="","",IF(R329="","",R329+Q329))</f>
        <v/>
      </c>
      <c r="T329" s="1" t="str">
        <f aca="false">IF($A329="","",IF(OR(S329="",N329&lt;=0),"",S329/1000*12/N329))</f>
        <v/>
      </c>
      <c r="U329" s="1" t="str">
        <f aca="false">IF($A329="","",IF(OR(T329="",J329=0,J329=""),"",T329/J329))</f>
        <v/>
      </c>
      <c r="V329" s="1" t="str">
        <f aca="false">IF($A329="","",IF(OR(R329="",N329&lt;=0,J329=0,J329=""),"",(R329/1000*12/N329)/J329))</f>
        <v/>
      </c>
      <c r="W329" s="1" t="str">
        <f aca="false">IF($A329="","",IF(OR(T329="",K329=0,K329=""),"",T329/K329))</f>
        <v/>
      </c>
      <c r="X329" s="1" t="n">
        <f aca="false">IF($A329="","",IF(OR(N329&lt;=0,I329=0,I329="",O329=0),"",O329*1000/(I329*0.3025)/N329))</f>
        <v>20854.5398572177</v>
      </c>
      <c r="Y329" s="1" t="str">
        <f aca="false">IF($A329="","",IF(OR(O329=0,O329="",P329=0),"",P329/O329))</f>
        <v/>
      </c>
      <c r="Z329" s="1" t="str">
        <f aca="false">IF($A329="","",IFERROR(INDEX(物件収支!$E:$E,MATCH($A329,物件収支!$A:$A,0)),""))</f>
        <v>開示（物件別・収益のみ）</v>
      </c>
    </row>
    <row r="330" customFormat="false" ht="16.5" hidden="false" customHeight="true" outlineLevel="0" collapsed="false">
      <c r="A330" s="1" t="str">
        <f aca="false">IF(物件マスタ!A330="","",物件マスタ!A330)</f>
        <v>ICG-33</v>
      </c>
      <c r="B330" s="1" t="str">
        <f aca="false">IF($A330="","",物件マスタ!B330)</f>
        <v>ICG</v>
      </c>
      <c r="C330" s="1" t="str">
        <f aca="false">IF($A330="","",IFERROR(INDEX(法人マスタ!$C:$C,MATCH($B330,法人マスタ!$A:$A,0)),""))</f>
        <v>いちごオフィスリート投資法人</v>
      </c>
      <c r="D330" s="1" t="str">
        <f aca="false">IF($A330="","",物件マスタ!C330)</f>
        <v>いちご高田馬場ビル</v>
      </c>
      <c r="E330" s="1" t="str">
        <f aca="false">IF($A330="","",物件マスタ!H330)</f>
        <v>都心5区</v>
      </c>
      <c r="F330" s="1" t="n">
        <f aca="false">IF($A330="","",物件マスタ!P330)</f>
        <v>0</v>
      </c>
      <c r="G330" s="1" t="str">
        <f aca="false">IF($A330="","",物件マスタ!Q330)</f>
        <v/>
      </c>
      <c r="H330" s="1" t="n">
        <f aca="false">IF($A330="","",物件マスタ!L330)</f>
        <v>0</v>
      </c>
      <c r="I330" s="1" t="n">
        <f aca="false">IF($A330="","",物件マスタ!M330)</f>
        <v>1609.56</v>
      </c>
      <c r="J330" s="1" t="n">
        <f aca="false">IF($A330="","",物件マスタ!S330)</f>
        <v>0</v>
      </c>
      <c r="K330" s="1" t="n">
        <f aca="false">IF($A330="","",物件マスタ!U330)</f>
        <v>2020</v>
      </c>
      <c r="L330" s="1" t="n">
        <f aca="false">IF($A330="","",物件マスタ!W330)</f>
        <v>1</v>
      </c>
      <c r="M330" s="1" t="str">
        <f aca="false">IF($A330="","",IFERROR(INDEX(法人マスタ!$H:$H,MATCH($B330,法人マスタ!$A:$A,0)),""))</f>
        <v>2026年4月期（第41期）</v>
      </c>
      <c r="N330" s="1" t="n">
        <f aca="false">IF($A330="","",SUMIFS(物件収支!$D:$D,物件収支!$A:$A,$A330,物件収支!$C:$C,$M330))</f>
        <v>6</v>
      </c>
      <c r="O330" s="1" t="n">
        <f aca="false">IF($A330="","",SUMIFS(物件収支!$F:$F,物件収支!$A:$A,$A330,物件収支!$C:$C,$M330))</f>
        <v>60967</v>
      </c>
      <c r="P330" s="1" t="n">
        <f aca="false">IF($A330="","",SUMIFS(物件収支!$I:$I,物件収支!$A:$A,$A330,物件収支!$C:$C,$M330))</f>
        <v>0</v>
      </c>
      <c r="Q330" s="1" t="n">
        <f aca="false">IF($A330="","",SUMIFS(物件収支!$O:$O,物件収支!$A:$A,$A330,物件収支!$C:$C,$M330))</f>
        <v>0</v>
      </c>
      <c r="R330" s="1" t="str">
        <f aca="false">IF($A330="","",IF(P330=0,"",O330-P330))</f>
        <v/>
      </c>
      <c r="S330" s="1" t="str">
        <f aca="false">IF($A330="","",IF(R330="","",R330+Q330))</f>
        <v/>
      </c>
      <c r="T330" s="1" t="str">
        <f aca="false">IF($A330="","",IF(OR(S330="",N330&lt;=0),"",S330/1000*12/N330))</f>
        <v/>
      </c>
      <c r="U330" s="1" t="str">
        <f aca="false">IF($A330="","",IF(OR(T330="",J330=0,J330=""),"",T330/J330))</f>
        <v/>
      </c>
      <c r="V330" s="1" t="str">
        <f aca="false">IF($A330="","",IF(OR(R330="",N330&lt;=0,J330=0,J330=""),"",(R330/1000*12/N330)/J330))</f>
        <v/>
      </c>
      <c r="W330" s="1" t="str">
        <f aca="false">IF($A330="","",IF(OR(T330="",K330=0,K330=""),"",T330/K330))</f>
        <v/>
      </c>
      <c r="X330" s="1" t="n">
        <f aca="false">IF($A330="","",IF(OR(N330&lt;=0,I330=0,I330="",O330=0),"",O330*1000/(I330*0.3025)/N330))</f>
        <v>20869.4510355721</v>
      </c>
      <c r="Y330" s="1" t="str">
        <f aca="false">IF($A330="","",IF(OR(O330=0,O330="",P330=0),"",P330/O330))</f>
        <v/>
      </c>
      <c r="Z330" s="1" t="str">
        <f aca="false">IF($A330="","",IFERROR(INDEX(物件収支!$E:$E,MATCH($A330,物件収支!$A:$A,0)),""))</f>
        <v>開示（物件別・収益のみ）</v>
      </c>
    </row>
    <row r="331" customFormat="false" ht="16.5" hidden="false" customHeight="true" outlineLevel="0" collapsed="false">
      <c r="A331" s="1" t="str">
        <f aca="false">IF(物件マスタ!A331="","",物件マスタ!A331)</f>
        <v>ICG-34</v>
      </c>
      <c r="B331" s="1" t="str">
        <f aca="false">IF($A331="","",物件マスタ!B331)</f>
        <v>ICG</v>
      </c>
      <c r="C331" s="1" t="str">
        <f aca="false">IF($A331="","",IFERROR(INDEX(法人マスタ!$C:$C,MATCH($B331,法人マスタ!$A:$A,0)),""))</f>
        <v>いちごオフィスリート投資法人</v>
      </c>
      <c r="D331" s="1" t="str">
        <f aca="false">IF($A331="","",物件マスタ!C331)</f>
        <v>いちご大宮ビル</v>
      </c>
      <c r="E331" s="1" t="str">
        <f aca="false">IF($A331="","",物件マスタ!H331)</f>
        <v>東京周辺都市部</v>
      </c>
      <c r="F331" s="1" t="n">
        <f aca="false">IF($A331="","",物件マスタ!P331)</f>
        <v>0</v>
      </c>
      <c r="G331" s="1" t="str">
        <f aca="false">IF($A331="","",物件マスタ!Q331)</f>
        <v/>
      </c>
      <c r="H331" s="1" t="n">
        <f aca="false">IF($A331="","",物件マスタ!L331)</f>
        <v>0</v>
      </c>
      <c r="I331" s="1" t="n">
        <f aca="false">IF($A331="","",物件マスタ!M331)</f>
        <v>6213.3</v>
      </c>
      <c r="J331" s="1" t="n">
        <f aca="false">IF($A331="","",物件マスタ!S331)</f>
        <v>0</v>
      </c>
      <c r="K331" s="1" t="n">
        <f aca="false">IF($A331="","",物件マスタ!U331)</f>
        <v>4830</v>
      </c>
      <c r="L331" s="1" t="n">
        <f aca="false">IF($A331="","",物件マスタ!W331)</f>
        <v>0.937</v>
      </c>
      <c r="M331" s="1" t="str">
        <f aca="false">IF($A331="","",IFERROR(INDEX(法人マスタ!$H:$H,MATCH($B331,法人マスタ!$A:$A,0)),""))</f>
        <v>2026年4月期（第41期）</v>
      </c>
      <c r="N331" s="1" t="n">
        <f aca="false">IF($A331="","",SUMIFS(物件収支!$D:$D,物件収支!$A:$A,$A331,物件収支!$C:$C,$M331))</f>
        <v>6</v>
      </c>
      <c r="O331" s="1" t="n">
        <f aca="false">IF($A331="","",SUMIFS(物件収支!$F:$F,物件収支!$A:$A,$A331,物件収支!$C:$C,$M331))</f>
        <v>180032</v>
      </c>
      <c r="P331" s="1" t="n">
        <f aca="false">IF($A331="","",SUMIFS(物件収支!$I:$I,物件収支!$A:$A,$A331,物件収支!$C:$C,$M331))</f>
        <v>0</v>
      </c>
      <c r="Q331" s="1" t="n">
        <f aca="false">IF($A331="","",SUMIFS(物件収支!$O:$O,物件収支!$A:$A,$A331,物件収支!$C:$C,$M331))</f>
        <v>0</v>
      </c>
      <c r="R331" s="1" t="str">
        <f aca="false">IF($A331="","",IF(P331=0,"",O331-P331))</f>
        <v/>
      </c>
      <c r="S331" s="1" t="str">
        <f aca="false">IF($A331="","",IF(R331="","",R331+Q331))</f>
        <v/>
      </c>
      <c r="T331" s="1" t="str">
        <f aca="false">IF($A331="","",IF(OR(S331="",N331&lt;=0),"",S331/1000*12/N331))</f>
        <v/>
      </c>
      <c r="U331" s="1" t="str">
        <f aca="false">IF($A331="","",IF(OR(T331="",J331=0,J331=""),"",T331/J331))</f>
        <v/>
      </c>
      <c r="V331" s="1" t="str">
        <f aca="false">IF($A331="","",IF(OR(R331="",N331&lt;=0,J331=0,J331=""),"",(R331/1000*12/N331)/J331))</f>
        <v/>
      </c>
      <c r="W331" s="1" t="str">
        <f aca="false">IF($A331="","",IF(OR(T331="",K331=0,K331=""),"",T331/K331))</f>
        <v/>
      </c>
      <c r="X331" s="1" t="n">
        <f aca="false">IF($A331="","",IF(OR(N331&lt;=0,I331=0,I331="",O331=0),"",O331*1000/(I331*0.3025)/N331))</f>
        <v>15964.3320897112</v>
      </c>
      <c r="Y331" s="1" t="str">
        <f aca="false">IF($A331="","",IF(OR(O331=0,O331="",P331=0),"",P331/O331))</f>
        <v/>
      </c>
      <c r="Z331" s="1" t="str">
        <f aca="false">IF($A331="","",IFERROR(INDEX(物件収支!$E:$E,MATCH($A331,物件収支!$A:$A,0)),""))</f>
        <v>開示（物件別・収益のみ）</v>
      </c>
    </row>
    <row r="332" customFormat="false" ht="16.5" hidden="false" customHeight="true" outlineLevel="0" collapsed="false">
      <c r="A332" s="1" t="str">
        <f aca="false">IF(物件マスタ!A332="","",物件マスタ!A332)</f>
        <v>ICG-35</v>
      </c>
      <c r="B332" s="1" t="str">
        <f aca="false">IF($A332="","",物件マスタ!B332)</f>
        <v>ICG</v>
      </c>
      <c r="C332" s="1" t="str">
        <f aca="false">IF($A332="","",IFERROR(INDEX(法人マスタ!$C:$C,MATCH($B332,法人マスタ!$A:$A,0)),""))</f>
        <v>いちごオフィスリート投資法人</v>
      </c>
      <c r="D332" s="1" t="str">
        <f aca="false">IF($A332="","",物件マスタ!C332)</f>
        <v>いちご相模原ビル</v>
      </c>
      <c r="E332" s="1" t="str">
        <f aca="false">IF($A332="","",物件マスタ!H332)</f>
        <v>東京周辺都市部</v>
      </c>
      <c r="F332" s="1" t="n">
        <f aca="false">IF($A332="","",物件マスタ!P332)</f>
        <v>0</v>
      </c>
      <c r="G332" s="1" t="str">
        <f aca="false">IF($A332="","",物件マスタ!Q332)</f>
        <v/>
      </c>
      <c r="H332" s="1" t="n">
        <f aca="false">IF($A332="","",物件マスタ!L332)</f>
        <v>0</v>
      </c>
      <c r="I332" s="1" t="n">
        <f aca="false">IF($A332="","",物件マスタ!M332)</f>
        <v>2960.81</v>
      </c>
      <c r="J332" s="1" t="n">
        <f aca="false">IF($A332="","",物件マスタ!S332)</f>
        <v>0</v>
      </c>
      <c r="K332" s="1" t="n">
        <f aca="false">IF($A332="","",物件マスタ!U332)</f>
        <v>1350</v>
      </c>
      <c r="L332" s="1" t="n">
        <f aca="false">IF($A332="","",物件マスタ!W332)</f>
        <v>1</v>
      </c>
      <c r="M332" s="1" t="str">
        <f aca="false">IF($A332="","",IFERROR(INDEX(法人マスタ!$H:$H,MATCH($B332,法人マスタ!$A:$A,0)),""))</f>
        <v>2026年4月期（第41期）</v>
      </c>
      <c r="N332" s="1" t="n">
        <f aca="false">IF($A332="","",SUMIFS(物件収支!$D:$D,物件収支!$A:$A,$A332,物件収支!$C:$C,$M332))</f>
        <v>6</v>
      </c>
      <c r="O332" s="1" t="n">
        <f aca="false">IF($A332="","",SUMIFS(物件収支!$F:$F,物件収支!$A:$A,$A332,物件収支!$C:$C,$M332))</f>
        <v>59250</v>
      </c>
      <c r="P332" s="1" t="n">
        <f aca="false">IF($A332="","",SUMIFS(物件収支!$I:$I,物件収支!$A:$A,$A332,物件収支!$C:$C,$M332))</f>
        <v>0</v>
      </c>
      <c r="Q332" s="1" t="n">
        <f aca="false">IF($A332="","",SUMIFS(物件収支!$O:$O,物件収支!$A:$A,$A332,物件収支!$C:$C,$M332))</f>
        <v>0</v>
      </c>
      <c r="R332" s="1" t="str">
        <f aca="false">IF($A332="","",IF(P332=0,"",O332-P332))</f>
        <v/>
      </c>
      <c r="S332" s="1" t="str">
        <f aca="false">IF($A332="","",IF(R332="","",R332+Q332))</f>
        <v/>
      </c>
      <c r="T332" s="1" t="str">
        <f aca="false">IF($A332="","",IF(OR(S332="",N332&lt;=0),"",S332/1000*12/N332))</f>
        <v/>
      </c>
      <c r="U332" s="1" t="str">
        <f aca="false">IF($A332="","",IF(OR(T332="",J332=0,J332=""),"",T332/J332))</f>
        <v/>
      </c>
      <c r="V332" s="1" t="str">
        <f aca="false">IF($A332="","",IF(OR(R332="",N332&lt;=0,J332=0,J332=""),"",(R332/1000*12/N332)/J332))</f>
        <v/>
      </c>
      <c r="W332" s="1" t="str">
        <f aca="false">IF($A332="","",IF(OR(T332="",K332=0,K332=""),"",T332/K332))</f>
        <v/>
      </c>
      <c r="X332" s="1" t="n">
        <f aca="false">IF($A332="","",IF(OR(N332&lt;=0,I332=0,I332="",O332=0),"",O332*1000/(I332*0.3025)/N332))</f>
        <v>11025.5734407725</v>
      </c>
      <c r="Y332" s="1" t="str">
        <f aca="false">IF($A332="","",IF(OR(O332=0,O332="",P332=0),"",P332/O332))</f>
        <v/>
      </c>
      <c r="Z332" s="1" t="str">
        <f aca="false">IF($A332="","",IFERROR(INDEX(物件収支!$E:$E,MATCH($A332,物件収支!$A:$A,0)),""))</f>
        <v>開示（物件別・収益のみ）</v>
      </c>
    </row>
    <row r="333" customFormat="false" ht="16.5" hidden="false" customHeight="true" outlineLevel="0" collapsed="false">
      <c r="A333" s="1" t="str">
        <f aca="false">IF(物件マスタ!A333="","",物件マスタ!A333)</f>
        <v>ICG-36</v>
      </c>
      <c r="B333" s="1" t="str">
        <f aca="false">IF($A333="","",物件マスタ!B333)</f>
        <v>ICG</v>
      </c>
      <c r="C333" s="1" t="str">
        <f aca="false">IF($A333="","",IFERROR(INDEX(法人マスタ!$C:$C,MATCH($B333,法人マスタ!$A:$A,0)),""))</f>
        <v>いちごオフィスリート投資法人</v>
      </c>
      <c r="D333" s="1" t="str">
        <f aca="false">IF($A333="","",物件マスタ!C333)</f>
        <v>いちご仙台イーストビル</v>
      </c>
      <c r="E333" s="1" t="str">
        <f aca="false">IF($A333="","",物件マスタ!H333)</f>
        <v>3大都市圏以外の政令市</v>
      </c>
      <c r="F333" s="1" t="n">
        <f aca="false">IF($A333="","",物件マスタ!P333)</f>
        <v>0</v>
      </c>
      <c r="G333" s="1" t="str">
        <f aca="false">IF($A333="","",物件マスタ!Q333)</f>
        <v/>
      </c>
      <c r="H333" s="1" t="n">
        <f aca="false">IF($A333="","",物件マスタ!L333)</f>
        <v>0</v>
      </c>
      <c r="I333" s="1" t="n">
        <f aca="false">IF($A333="","",物件マスタ!M333)</f>
        <v>5205.49</v>
      </c>
      <c r="J333" s="1" t="n">
        <f aca="false">IF($A333="","",物件マスタ!S333)</f>
        <v>0</v>
      </c>
      <c r="K333" s="1" t="n">
        <f aca="false">IF($A333="","",物件マスタ!U333)</f>
        <v>2220</v>
      </c>
      <c r="L333" s="1" t="n">
        <f aca="false">IF($A333="","",物件マスタ!W333)</f>
        <v>1</v>
      </c>
      <c r="M333" s="1" t="str">
        <f aca="false">IF($A333="","",IFERROR(INDEX(法人マスタ!$H:$H,MATCH($B333,法人マスタ!$A:$A,0)),""))</f>
        <v>2026年4月期（第41期）</v>
      </c>
      <c r="N333" s="1" t="n">
        <f aca="false">IF($A333="","",SUMIFS(物件収支!$D:$D,物件収支!$A:$A,$A333,物件収支!$C:$C,$M333))</f>
        <v>6</v>
      </c>
      <c r="O333" s="1" t="n">
        <f aca="false">IF($A333="","",SUMIFS(物件収支!$F:$F,物件収支!$A:$A,$A333,物件収支!$C:$C,$M333))</f>
        <v>102642</v>
      </c>
      <c r="P333" s="1" t="n">
        <f aca="false">IF($A333="","",SUMIFS(物件収支!$I:$I,物件収支!$A:$A,$A333,物件収支!$C:$C,$M333))</f>
        <v>0</v>
      </c>
      <c r="Q333" s="1" t="n">
        <f aca="false">IF($A333="","",SUMIFS(物件収支!$O:$O,物件収支!$A:$A,$A333,物件収支!$C:$C,$M333))</f>
        <v>0</v>
      </c>
      <c r="R333" s="1" t="str">
        <f aca="false">IF($A333="","",IF(P333=0,"",O333-P333))</f>
        <v/>
      </c>
      <c r="S333" s="1" t="str">
        <f aca="false">IF($A333="","",IF(R333="","",R333+Q333))</f>
        <v/>
      </c>
      <c r="T333" s="1" t="str">
        <f aca="false">IF($A333="","",IF(OR(S333="",N333&lt;=0),"",S333/1000*12/N333))</f>
        <v/>
      </c>
      <c r="U333" s="1" t="str">
        <f aca="false">IF($A333="","",IF(OR(T333="",J333=0,J333=""),"",T333/J333))</f>
        <v/>
      </c>
      <c r="V333" s="1" t="str">
        <f aca="false">IF($A333="","",IF(OR(R333="",N333&lt;=0,J333=0,J333=""),"",(R333/1000*12/N333)/J333))</f>
        <v/>
      </c>
      <c r="W333" s="1" t="str">
        <f aca="false">IF($A333="","",IF(OR(T333="",K333=0,K333=""),"",T333/K333))</f>
        <v/>
      </c>
      <c r="X333" s="1" t="n">
        <f aca="false">IF($A333="","",IF(OR(N333&lt;=0,I333=0,I333="",O333=0),"",O333*1000/(I333*0.3025)/N333))</f>
        <v>10863.9275295318</v>
      </c>
      <c r="Y333" s="1" t="str">
        <f aca="false">IF($A333="","",IF(OR(O333=0,O333="",P333=0),"",P333/O333))</f>
        <v/>
      </c>
      <c r="Z333" s="1" t="str">
        <f aca="false">IF($A333="","",IFERROR(INDEX(物件収支!$E:$E,MATCH($A333,物件収支!$A:$A,0)),""))</f>
        <v>開示（物件別・収益のみ）</v>
      </c>
    </row>
    <row r="334" customFormat="false" ht="16.5" hidden="false" customHeight="true" outlineLevel="0" collapsed="false">
      <c r="A334" s="1" t="str">
        <f aca="false">IF(物件マスタ!A334="","",物件マスタ!A334)</f>
        <v>ICG-37</v>
      </c>
      <c r="B334" s="1" t="str">
        <f aca="false">IF($A334="","",物件マスタ!B334)</f>
        <v>ICG</v>
      </c>
      <c r="C334" s="1" t="str">
        <f aca="false">IF($A334="","",IFERROR(INDEX(法人マスタ!$C:$C,MATCH($B334,法人マスタ!$A:$A,0)),""))</f>
        <v>いちごオフィスリート投資法人</v>
      </c>
      <c r="D334" s="1" t="str">
        <f aca="false">IF($A334="","",物件マスタ!C334)</f>
        <v>いちご熊本ビル</v>
      </c>
      <c r="E334" s="1" t="str">
        <f aca="false">IF($A334="","",物件マスタ!H334)</f>
        <v>3大都市圏以外の政令市</v>
      </c>
      <c r="F334" s="1" t="n">
        <f aca="false">IF($A334="","",物件マスタ!P334)</f>
        <v>0</v>
      </c>
      <c r="G334" s="1" t="str">
        <f aca="false">IF($A334="","",物件マスタ!Q334)</f>
        <v/>
      </c>
      <c r="H334" s="1" t="n">
        <f aca="false">IF($A334="","",物件マスタ!L334)</f>
        <v>0</v>
      </c>
      <c r="I334" s="1" t="n">
        <f aca="false">IF($A334="","",物件マスタ!M334)</f>
        <v>4507.59</v>
      </c>
      <c r="J334" s="1" t="n">
        <f aca="false">IF($A334="","",物件マスタ!S334)</f>
        <v>0</v>
      </c>
      <c r="K334" s="1" t="n">
        <f aca="false">IF($A334="","",物件マスタ!U334)</f>
        <v>1760</v>
      </c>
      <c r="L334" s="1" t="n">
        <f aca="false">IF($A334="","",物件マスタ!W334)</f>
        <v>1</v>
      </c>
      <c r="M334" s="1" t="str">
        <f aca="false">IF($A334="","",IFERROR(INDEX(法人マスタ!$H:$H,MATCH($B334,法人マスタ!$A:$A,0)),""))</f>
        <v>2026年4月期（第41期）</v>
      </c>
      <c r="N334" s="1" t="n">
        <f aca="false">IF($A334="","",SUMIFS(物件収支!$D:$D,物件収支!$A:$A,$A334,物件収支!$C:$C,$M334))</f>
        <v>6</v>
      </c>
      <c r="O334" s="1" t="n">
        <f aca="false">IF($A334="","",SUMIFS(物件収支!$F:$F,物件収支!$A:$A,$A334,物件収支!$C:$C,$M334))</f>
        <v>89072</v>
      </c>
      <c r="P334" s="1" t="n">
        <f aca="false">IF($A334="","",SUMIFS(物件収支!$I:$I,物件収支!$A:$A,$A334,物件収支!$C:$C,$M334))</f>
        <v>0</v>
      </c>
      <c r="Q334" s="1" t="n">
        <f aca="false">IF($A334="","",SUMIFS(物件収支!$O:$O,物件収支!$A:$A,$A334,物件収支!$C:$C,$M334))</f>
        <v>0</v>
      </c>
      <c r="R334" s="1" t="str">
        <f aca="false">IF($A334="","",IF(P334=0,"",O334-P334))</f>
        <v/>
      </c>
      <c r="S334" s="1" t="str">
        <f aca="false">IF($A334="","",IF(R334="","",R334+Q334))</f>
        <v/>
      </c>
      <c r="T334" s="1" t="str">
        <f aca="false">IF($A334="","",IF(OR(S334="",N334&lt;=0),"",S334/1000*12/N334))</f>
        <v/>
      </c>
      <c r="U334" s="1" t="str">
        <f aca="false">IF($A334="","",IF(OR(T334="",J334=0,J334=""),"",T334/J334))</f>
        <v/>
      </c>
      <c r="V334" s="1" t="str">
        <f aca="false">IF($A334="","",IF(OR(R334="",N334&lt;=0,J334=0,J334=""),"",(R334/1000*12/N334)/J334))</f>
        <v/>
      </c>
      <c r="W334" s="1" t="str">
        <f aca="false">IF($A334="","",IF(OR(T334="",K334=0,K334=""),"",T334/K334))</f>
        <v/>
      </c>
      <c r="X334" s="1" t="n">
        <f aca="false">IF($A334="","",IF(OR(N334&lt;=0,I334=0,I334="",O334=0),"",O334*1000/(I334*0.3025)/N334))</f>
        <v>10887.2994424213</v>
      </c>
      <c r="Y334" s="1" t="str">
        <f aca="false">IF($A334="","",IF(OR(O334=0,O334="",P334=0),"",P334/O334))</f>
        <v/>
      </c>
      <c r="Z334" s="1" t="str">
        <f aca="false">IF($A334="","",IFERROR(INDEX(物件収支!$E:$E,MATCH($A334,物件収支!$A:$A,0)),""))</f>
        <v>開示（物件別・収益のみ）</v>
      </c>
    </row>
    <row r="335" customFormat="false" ht="16.5" hidden="false" customHeight="true" outlineLevel="0" collapsed="false">
      <c r="A335" s="1" t="str">
        <f aca="false">IF(物件マスタ!A335="","",物件マスタ!A335)</f>
        <v>ICG-38</v>
      </c>
      <c r="B335" s="1" t="str">
        <f aca="false">IF($A335="","",物件マスタ!B335)</f>
        <v>ICG</v>
      </c>
      <c r="C335" s="1" t="str">
        <f aca="false">IF($A335="","",IFERROR(INDEX(法人マスタ!$C:$C,MATCH($B335,法人マスタ!$A:$A,0)),""))</f>
        <v>いちごオフィスリート投資法人</v>
      </c>
      <c r="D335" s="1" t="str">
        <f aca="false">IF($A335="","",物件マスタ!C335)</f>
        <v>いちご神宮前ビル</v>
      </c>
      <c r="E335" s="1" t="str">
        <f aca="false">IF($A335="","",物件マスタ!H335)</f>
        <v>都心5区</v>
      </c>
      <c r="F335" s="1" t="n">
        <f aca="false">IF($A335="","",物件マスタ!P335)</f>
        <v>0</v>
      </c>
      <c r="G335" s="1" t="str">
        <f aca="false">IF($A335="","",物件マスタ!Q335)</f>
        <v/>
      </c>
      <c r="H335" s="1" t="n">
        <f aca="false">IF($A335="","",物件マスタ!L335)</f>
        <v>0</v>
      </c>
      <c r="I335" s="1" t="n">
        <f aca="false">IF($A335="","",物件マスタ!M335)</f>
        <v>4524.24</v>
      </c>
      <c r="J335" s="1" t="n">
        <f aca="false">IF($A335="","",物件マスタ!S335)</f>
        <v>0</v>
      </c>
      <c r="K335" s="1" t="n">
        <f aca="false">IF($A335="","",物件マスタ!U335)</f>
        <v>9200</v>
      </c>
      <c r="L335" s="1" t="n">
        <f aca="false">IF($A335="","",物件マスタ!W335)</f>
        <v>0.922</v>
      </c>
      <c r="M335" s="1" t="str">
        <f aca="false">IF($A335="","",IFERROR(INDEX(法人マスタ!$H:$H,MATCH($B335,法人マスタ!$A:$A,0)),""))</f>
        <v>2026年4月期（第41期）</v>
      </c>
      <c r="N335" s="1" t="n">
        <f aca="false">IF($A335="","",SUMIFS(物件収支!$D:$D,物件収支!$A:$A,$A335,物件収支!$C:$C,$M335))</f>
        <v>6</v>
      </c>
      <c r="O335" s="1" t="n">
        <f aca="false">IF($A335="","",SUMIFS(物件収支!$F:$F,物件収支!$A:$A,$A335,物件収支!$C:$C,$M335))</f>
        <v>184180</v>
      </c>
      <c r="P335" s="1" t="n">
        <f aca="false">IF($A335="","",SUMIFS(物件収支!$I:$I,物件収支!$A:$A,$A335,物件収支!$C:$C,$M335))</f>
        <v>0</v>
      </c>
      <c r="Q335" s="1" t="n">
        <f aca="false">IF($A335="","",SUMIFS(物件収支!$O:$O,物件収支!$A:$A,$A335,物件収支!$C:$C,$M335))</f>
        <v>0</v>
      </c>
      <c r="R335" s="1" t="str">
        <f aca="false">IF($A335="","",IF(P335=0,"",O335-P335))</f>
        <v/>
      </c>
      <c r="S335" s="1" t="str">
        <f aca="false">IF($A335="","",IF(R335="","",R335+Q335))</f>
        <v/>
      </c>
      <c r="T335" s="1" t="str">
        <f aca="false">IF($A335="","",IF(OR(S335="",N335&lt;=0),"",S335/1000*12/N335))</f>
        <v/>
      </c>
      <c r="U335" s="1" t="str">
        <f aca="false">IF($A335="","",IF(OR(T335="",J335=0,J335=""),"",T335/J335))</f>
        <v/>
      </c>
      <c r="V335" s="1" t="str">
        <f aca="false">IF($A335="","",IF(OR(R335="",N335&lt;=0,J335=0,J335=""),"",(R335/1000*12/N335)/J335))</f>
        <v/>
      </c>
      <c r="W335" s="1" t="str">
        <f aca="false">IF($A335="","",IF(OR(T335="",K335=0,K335=""),"",T335/K335))</f>
        <v/>
      </c>
      <c r="X335" s="1" t="n">
        <f aca="false">IF($A335="","",IF(OR(N335&lt;=0,I335=0,I335="",O335=0),"",O335*1000/(I335*0.3025)/N335))</f>
        <v>22429.5315947073</v>
      </c>
      <c r="Y335" s="1" t="str">
        <f aca="false">IF($A335="","",IF(OR(O335=0,O335="",P335=0),"",P335/O335))</f>
        <v/>
      </c>
      <c r="Z335" s="1" t="str">
        <f aca="false">IF($A335="","",IFERROR(INDEX(物件収支!$E:$E,MATCH($A335,物件収支!$A:$A,0)),""))</f>
        <v>開示（物件別・収益のみ）</v>
      </c>
    </row>
    <row r="336" customFormat="false" ht="16.5" hidden="false" customHeight="true" outlineLevel="0" collapsed="false">
      <c r="A336" s="1" t="str">
        <f aca="false">IF(物件マスタ!A336="","",物件マスタ!A336)</f>
        <v>ICG-39</v>
      </c>
      <c r="B336" s="1" t="str">
        <f aca="false">IF($A336="","",物件マスタ!B336)</f>
        <v>ICG</v>
      </c>
      <c r="C336" s="1" t="str">
        <f aca="false">IF($A336="","",IFERROR(INDEX(法人マスタ!$C:$C,MATCH($B336,法人マスタ!$A:$A,0)),""))</f>
        <v>いちごオフィスリート投資法人</v>
      </c>
      <c r="D336" s="1" t="str">
        <f aca="false">IF($A336="","",物件マスタ!C336)</f>
        <v>いちご渋谷道玄坂ビル</v>
      </c>
      <c r="E336" s="1" t="str">
        <f aca="false">IF($A336="","",物件マスタ!H336)</f>
        <v>都心5区</v>
      </c>
      <c r="F336" s="1" t="n">
        <f aca="false">IF($A336="","",物件マスタ!P336)</f>
        <v>0</v>
      </c>
      <c r="G336" s="1" t="str">
        <f aca="false">IF($A336="","",物件マスタ!Q336)</f>
        <v/>
      </c>
      <c r="H336" s="1" t="n">
        <f aca="false">IF($A336="","",物件マスタ!L336)</f>
        <v>0</v>
      </c>
      <c r="I336" s="1" t="n">
        <f aca="false">IF($A336="","",物件マスタ!M336)</f>
        <v>2789.86</v>
      </c>
      <c r="J336" s="1" t="n">
        <f aca="false">IF($A336="","",物件マスタ!S336)</f>
        <v>0</v>
      </c>
      <c r="K336" s="1" t="n">
        <f aca="false">IF($A336="","",物件マスタ!U336)</f>
        <v>6320</v>
      </c>
      <c r="L336" s="1" t="n">
        <f aca="false">IF($A336="","",物件マスタ!W336)</f>
        <v>0.953</v>
      </c>
      <c r="M336" s="1" t="str">
        <f aca="false">IF($A336="","",IFERROR(INDEX(法人マスタ!$H:$H,MATCH($B336,法人マスタ!$A:$A,0)),""))</f>
        <v>2026年4月期（第41期）</v>
      </c>
      <c r="N336" s="1" t="n">
        <f aca="false">IF($A336="","",SUMIFS(物件収支!$D:$D,物件収支!$A:$A,$A336,物件収支!$C:$C,$M336))</f>
        <v>6</v>
      </c>
      <c r="O336" s="1" t="n">
        <f aca="false">IF($A336="","",SUMIFS(物件収支!$F:$F,物件収支!$A:$A,$A336,物件収支!$C:$C,$M336))</f>
        <v>119375</v>
      </c>
      <c r="P336" s="1" t="n">
        <f aca="false">IF($A336="","",SUMIFS(物件収支!$I:$I,物件収支!$A:$A,$A336,物件収支!$C:$C,$M336))</f>
        <v>0</v>
      </c>
      <c r="Q336" s="1" t="n">
        <f aca="false">IF($A336="","",SUMIFS(物件収支!$O:$O,物件収支!$A:$A,$A336,物件収支!$C:$C,$M336))</f>
        <v>0</v>
      </c>
      <c r="R336" s="1" t="str">
        <f aca="false">IF($A336="","",IF(P336=0,"",O336-P336))</f>
        <v/>
      </c>
      <c r="S336" s="1" t="str">
        <f aca="false">IF($A336="","",IF(R336="","",R336+Q336))</f>
        <v/>
      </c>
      <c r="T336" s="1" t="str">
        <f aca="false">IF($A336="","",IF(OR(S336="",N336&lt;=0),"",S336/1000*12/N336))</f>
        <v/>
      </c>
      <c r="U336" s="1" t="str">
        <f aca="false">IF($A336="","",IF(OR(T336="",J336=0,J336=""),"",T336/J336))</f>
        <v/>
      </c>
      <c r="V336" s="1" t="str">
        <f aca="false">IF($A336="","",IF(OR(R336="",N336&lt;=0,J336=0,J336=""),"",(R336/1000*12/N336)/J336))</f>
        <v/>
      </c>
      <c r="W336" s="1" t="str">
        <f aca="false">IF($A336="","",IF(OR(T336="",K336=0,K336=""),"",T336/K336))</f>
        <v/>
      </c>
      <c r="X336" s="1" t="n">
        <f aca="false">IF($A336="","",IF(OR(N336&lt;=0,I336=0,I336="",O336=0),"",O336*1000/(I336*0.3025)/N336))</f>
        <v>23575.1435062186</v>
      </c>
      <c r="Y336" s="1" t="str">
        <f aca="false">IF($A336="","",IF(OR(O336=0,O336="",P336=0),"",P336/O336))</f>
        <v/>
      </c>
      <c r="Z336" s="1" t="str">
        <f aca="false">IF($A336="","",IFERROR(INDEX(物件収支!$E:$E,MATCH($A336,物件収支!$A:$A,0)),""))</f>
        <v>開示（物件別・収益のみ）</v>
      </c>
    </row>
    <row r="337" customFormat="false" ht="16.5" hidden="false" customHeight="true" outlineLevel="0" collapsed="false">
      <c r="A337" s="1" t="str">
        <f aca="false">IF(物件マスタ!A337="","",物件マスタ!A337)</f>
        <v>ICG-40</v>
      </c>
      <c r="B337" s="1" t="str">
        <f aca="false">IF($A337="","",物件マスタ!B337)</f>
        <v>ICG</v>
      </c>
      <c r="C337" s="1" t="str">
        <f aca="false">IF($A337="","",IFERROR(INDEX(法人マスタ!$C:$C,MATCH($B337,法人マスタ!$A:$A,0)),""))</f>
        <v>いちごオフィスリート投資法人</v>
      </c>
      <c r="D337" s="1" t="str">
        <f aca="false">IF($A337="","",物件マスタ!C337)</f>
        <v>いちご広尾ビル</v>
      </c>
      <c r="E337" s="1" t="str">
        <f aca="false">IF($A337="","",物件マスタ!H337)</f>
        <v>都心5区</v>
      </c>
      <c r="F337" s="1" t="n">
        <f aca="false">IF($A337="","",物件マスタ!P337)</f>
        <v>0</v>
      </c>
      <c r="G337" s="1" t="str">
        <f aca="false">IF($A337="","",物件マスタ!Q337)</f>
        <v/>
      </c>
      <c r="H337" s="1" t="n">
        <f aca="false">IF($A337="","",物件マスタ!L337)</f>
        <v>0</v>
      </c>
      <c r="I337" s="1" t="n">
        <f aca="false">IF($A337="","",物件マスタ!M337)</f>
        <v>3510.44</v>
      </c>
      <c r="J337" s="1" t="n">
        <f aca="false">IF($A337="","",物件マスタ!S337)</f>
        <v>0</v>
      </c>
      <c r="K337" s="1" t="n">
        <f aca="false">IF($A337="","",物件マスタ!U337)</f>
        <v>4980</v>
      </c>
      <c r="L337" s="1" t="n">
        <f aca="false">IF($A337="","",物件マスタ!W337)</f>
        <v>1</v>
      </c>
      <c r="M337" s="1" t="str">
        <f aca="false">IF($A337="","",IFERROR(INDEX(法人マスタ!$H:$H,MATCH($B337,法人マスタ!$A:$A,0)),""))</f>
        <v>2026年4月期（第41期）</v>
      </c>
      <c r="N337" s="1" t="n">
        <f aca="false">IF($A337="","",SUMIFS(物件収支!$D:$D,物件収支!$A:$A,$A337,物件収支!$C:$C,$M337))</f>
        <v>6</v>
      </c>
      <c r="O337" s="1" t="n">
        <f aca="false">IF($A337="","",SUMIFS(物件収支!$F:$F,物件収支!$A:$A,$A337,物件収支!$C:$C,$M337))</f>
        <v>131697</v>
      </c>
      <c r="P337" s="1" t="n">
        <f aca="false">IF($A337="","",SUMIFS(物件収支!$I:$I,物件収支!$A:$A,$A337,物件収支!$C:$C,$M337))</f>
        <v>0</v>
      </c>
      <c r="Q337" s="1" t="n">
        <f aca="false">IF($A337="","",SUMIFS(物件収支!$O:$O,物件収支!$A:$A,$A337,物件収支!$C:$C,$M337))</f>
        <v>0</v>
      </c>
      <c r="R337" s="1" t="str">
        <f aca="false">IF($A337="","",IF(P337=0,"",O337-P337))</f>
        <v/>
      </c>
      <c r="S337" s="1" t="str">
        <f aca="false">IF($A337="","",IF(R337="","",R337+Q337))</f>
        <v/>
      </c>
      <c r="T337" s="1" t="str">
        <f aca="false">IF($A337="","",IF(OR(S337="",N337&lt;=0),"",S337/1000*12/N337))</f>
        <v/>
      </c>
      <c r="U337" s="1" t="str">
        <f aca="false">IF($A337="","",IF(OR(T337="",J337=0,J337=""),"",T337/J337))</f>
        <v/>
      </c>
      <c r="V337" s="1" t="str">
        <f aca="false">IF($A337="","",IF(OR(R337="",N337&lt;=0,J337=0,J337=""),"",(R337/1000*12/N337)/J337))</f>
        <v/>
      </c>
      <c r="W337" s="1" t="str">
        <f aca="false">IF($A337="","",IF(OR(T337="",K337=0,K337=""),"",T337/K337))</f>
        <v/>
      </c>
      <c r="X337" s="1" t="n">
        <f aca="false">IF($A337="","",IF(OR(N337&lt;=0,I337=0,I337="",O337=0),"",O337*1000/(I337*0.3025)/N337))</f>
        <v>20669.8677597431</v>
      </c>
      <c r="Y337" s="1" t="str">
        <f aca="false">IF($A337="","",IF(OR(O337=0,O337="",P337=0),"",P337/O337))</f>
        <v/>
      </c>
      <c r="Z337" s="1" t="str">
        <f aca="false">IF($A337="","",IFERROR(INDEX(物件収支!$E:$E,MATCH($A337,物件収支!$A:$A,0)),""))</f>
        <v>開示（物件別・収益のみ）</v>
      </c>
    </row>
    <row r="338" customFormat="false" ht="16.5" hidden="false" customHeight="true" outlineLevel="0" collapsed="false">
      <c r="A338" s="1" t="str">
        <f aca="false">IF(物件マスタ!A338="","",物件マスタ!A338)</f>
        <v>ICG-41</v>
      </c>
      <c r="B338" s="1" t="str">
        <f aca="false">IF($A338="","",物件マスタ!B338)</f>
        <v>ICG</v>
      </c>
      <c r="C338" s="1" t="str">
        <f aca="false">IF($A338="","",IFERROR(INDEX(法人マスタ!$C:$C,MATCH($B338,法人マスタ!$A:$A,0)),""))</f>
        <v>いちごオフィスリート投資法人</v>
      </c>
      <c r="D338" s="1" t="str">
        <f aca="false">IF($A338="","",物件マスタ!C338)</f>
        <v>いちご笹塚ビル</v>
      </c>
      <c r="E338" s="1" t="str">
        <f aca="false">IF($A338="","",物件マスタ!H338)</f>
        <v>都心5区</v>
      </c>
      <c r="F338" s="1" t="n">
        <f aca="false">IF($A338="","",物件マスタ!P338)</f>
        <v>0</v>
      </c>
      <c r="G338" s="1" t="str">
        <f aca="false">IF($A338="","",物件マスタ!Q338)</f>
        <v/>
      </c>
      <c r="H338" s="1" t="n">
        <f aca="false">IF($A338="","",物件マスタ!L338)</f>
        <v>0</v>
      </c>
      <c r="I338" s="1" t="n">
        <f aca="false">IF($A338="","",物件マスタ!M338)</f>
        <v>6425.29</v>
      </c>
      <c r="J338" s="1" t="n">
        <f aca="false">IF($A338="","",物件マスタ!S338)</f>
        <v>0</v>
      </c>
      <c r="K338" s="1" t="n">
        <f aca="false">IF($A338="","",物件マスタ!U338)</f>
        <v>8430</v>
      </c>
      <c r="L338" s="1" t="n">
        <f aca="false">IF($A338="","",物件マスタ!W338)</f>
        <v>1</v>
      </c>
      <c r="M338" s="1" t="str">
        <f aca="false">IF($A338="","",IFERROR(INDEX(法人マスタ!$H:$H,MATCH($B338,法人マスタ!$A:$A,0)),""))</f>
        <v>2026年4月期（第41期）</v>
      </c>
      <c r="N338" s="1" t="n">
        <f aca="false">IF($A338="","",SUMIFS(物件収支!$D:$D,物件収支!$A:$A,$A338,物件収支!$C:$C,$M338))</f>
        <v>6</v>
      </c>
      <c r="O338" s="1" t="n">
        <f aca="false">IF($A338="","",SUMIFS(物件収支!$F:$F,物件収支!$A:$A,$A338,物件収支!$C:$C,$M338))</f>
        <v>188995</v>
      </c>
      <c r="P338" s="1" t="n">
        <f aca="false">IF($A338="","",SUMIFS(物件収支!$I:$I,物件収支!$A:$A,$A338,物件収支!$C:$C,$M338))</f>
        <v>0</v>
      </c>
      <c r="Q338" s="1" t="n">
        <f aca="false">IF($A338="","",SUMIFS(物件収支!$O:$O,物件収支!$A:$A,$A338,物件収支!$C:$C,$M338))</f>
        <v>0</v>
      </c>
      <c r="R338" s="1" t="str">
        <f aca="false">IF($A338="","",IF(P338=0,"",O338-P338))</f>
        <v/>
      </c>
      <c r="S338" s="1" t="str">
        <f aca="false">IF($A338="","",IF(R338="","",R338+Q338))</f>
        <v/>
      </c>
      <c r="T338" s="1" t="str">
        <f aca="false">IF($A338="","",IF(OR(S338="",N338&lt;=0),"",S338/1000*12/N338))</f>
        <v/>
      </c>
      <c r="U338" s="1" t="str">
        <f aca="false">IF($A338="","",IF(OR(T338="",J338=0,J338=""),"",T338/J338))</f>
        <v/>
      </c>
      <c r="V338" s="1" t="str">
        <f aca="false">IF($A338="","",IF(OR(R338="",N338&lt;=0,J338=0,J338=""),"",(R338/1000*12/N338)/J338))</f>
        <v/>
      </c>
      <c r="W338" s="1" t="str">
        <f aca="false">IF($A338="","",IF(OR(T338="",K338=0,K338=""),"",T338/K338))</f>
        <v/>
      </c>
      <c r="X338" s="1" t="n">
        <f aca="false">IF($A338="","",IF(OR(N338&lt;=0,I338=0,I338="",O338=0),"",O338*1000/(I338*0.3025)/N338))</f>
        <v>16206.1909398676</v>
      </c>
      <c r="Y338" s="1" t="str">
        <f aca="false">IF($A338="","",IF(OR(O338=0,O338="",P338=0),"",P338/O338))</f>
        <v/>
      </c>
      <c r="Z338" s="1" t="str">
        <f aca="false">IF($A338="","",IFERROR(INDEX(物件収支!$E:$E,MATCH($A338,物件収支!$A:$A,0)),""))</f>
        <v>開示（物件別・収益のみ）</v>
      </c>
    </row>
    <row r="339" customFormat="false" ht="16.5" hidden="false" customHeight="true" outlineLevel="0" collapsed="false">
      <c r="A339" s="1" t="str">
        <f aca="false">IF(物件マスタ!A339="","",物件マスタ!A339)</f>
        <v>ICG-42</v>
      </c>
      <c r="B339" s="1" t="str">
        <f aca="false">IF($A339="","",物件マスタ!B339)</f>
        <v>ICG</v>
      </c>
      <c r="C339" s="1" t="str">
        <f aca="false">IF($A339="","",IFERROR(INDEX(法人マスタ!$C:$C,MATCH($B339,法人マスタ!$A:$A,0)),""))</f>
        <v>いちごオフィスリート投資法人</v>
      </c>
      <c r="D339" s="1" t="str">
        <f aca="false">IF($A339="","",物件マスタ!C339)</f>
        <v>いちご日本橋イーストビル</v>
      </c>
      <c r="E339" s="1" t="str">
        <f aca="false">IF($A339="","",物件マスタ!H339)</f>
        <v>都心5区</v>
      </c>
      <c r="F339" s="1" t="n">
        <f aca="false">IF($A339="","",物件マスタ!P339)</f>
        <v>0</v>
      </c>
      <c r="G339" s="1" t="str">
        <f aca="false">IF($A339="","",物件マスタ!Q339)</f>
        <v/>
      </c>
      <c r="H339" s="1" t="n">
        <f aca="false">IF($A339="","",物件マスタ!L339)</f>
        <v>0</v>
      </c>
      <c r="I339" s="1" t="n">
        <f aca="false">IF($A339="","",物件マスタ!M339)</f>
        <v>4216.97</v>
      </c>
      <c r="J339" s="1" t="n">
        <f aca="false">IF($A339="","",物件マスタ!S339)</f>
        <v>0</v>
      </c>
      <c r="K339" s="1" t="n">
        <f aca="false">IF($A339="","",物件マスタ!U339)</f>
        <v>5730</v>
      </c>
      <c r="L339" s="1" t="n">
        <f aca="false">IF($A339="","",物件マスタ!W339)</f>
        <v>1</v>
      </c>
      <c r="M339" s="1" t="str">
        <f aca="false">IF($A339="","",IFERROR(INDEX(法人マスタ!$H:$H,MATCH($B339,法人マスタ!$A:$A,0)),""))</f>
        <v>2026年4月期（第41期）</v>
      </c>
      <c r="N339" s="1" t="n">
        <f aca="false">IF($A339="","",SUMIFS(物件収支!$D:$D,物件収支!$A:$A,$A339,物件収支!$C:$C,$M339))</f>
        <v>6</v>
      </c>
      <c r="O339" s="1" t="n">
        <f aca="false">IF($A339="","",SUMIFS(物件収支!$F:$F,物件収支!$A:$A,$A339,物件収支!$C:$C,$M339))</f>
        <v>150716</v>
      </c>
      <c r="P339" s="1" t="n">
        <f aca="false">IF($A339="","",SUMIFS(物件収支!$I:$I,物件収支!$A:$A,$A339,物件収支!$C:$C,$M339))</f>
        <v>0</v>
      </c>
      <c r="Q339" s="1" t="n">
        <f aca="false">IF($A339="","",SUMIFS(物件収支!$O:$O,物件収支!$A:$A,$A339,物件収支!$C:$C,$M339))</f>
        <v>0</v>
      </c>
      <c r="R339" s="1" t="str">
        <f aca="false">IF($A339="","",IF(P339=0,"",O339-P339))</f>
        <v/>
      </c>
      <c r="S339" s="1" t="str">
        <f aca="false">IF($A339="","",IF(R339="","",R339+Q339))</f>
        <v/>
      </c>
      <c r="T339" s="1" t="str">
        <f aca="false">IF($A339="","",IF(OR(S339="",N339&lt;=0),"",S339/1000*12/N339))</f>
        <v/>
      </c>
      <c r="U339" s="1" t="str">
        <f aca="false">IF($A339="","",IF(OR(T339="",J339=0,J339=""),"",T339/J339))</f>
        <v/>
      </c>
      <c r="V339" s="1" t="str">
        <f aca="false">IF($A339="","",IF(OR(R339="",N339&lt;=0,J339=0,J339=""),"",(R339/1000*12/N339)/J339))</f>
        <v/>
      </c>
      <c r="W339" s="1" t="str">
        <f aca="false">IF($A339="","",IF(OR(T339="",K339=0,K339=""),"",T339/K339))</f>
        <v/>
      </c>
      <c r="X339" s="1" t="n">
        <f aca="false">IF($A339="","",IF(OR(N339&lt;=0,I339=0,I339="",O339=0),"",O339*1000/(I339*0.3025)/N339))</f>
        <v>19691.6550170621</v>
      </c>
      <c r="Y339" s="1" t="str">
        <f aca="false">IF($A339="","",IF(OR(O339=0,O339="",P339=0),"",P339/O339))</f>
        <v/>
      </c>
      <c r="Z339" s="1" t="str">
        <f aca="false">IF($A339="","",IFERROR(INDEX(物件収支!$E:$E,MATCH($A339,物件収支!$A:$A,0)),""))</f>
        <v>開示（物件別・収益のみ）</v>
      </c>
    </row>
    <row r="340" customFormat="false" ht="16.5" hidden="false" customHeight="true" outlineLevel="0" collapsed="false">
      <c r="A340" s="1" t="str">
        <f aca="false">IF(物件マスタ!A340="","",物件マスタ!A340)</f>
        <v>ICG-43</v>
      </c>
      <c r="B340" s="1" t="str">
        <f aca="false">IF($A340="","",物件マスタ!B340)</f>
        <v>ICG</v>
      </c>
      <c r="C340" s="1" t="str">
        <f aca="false">IF($A340="","",IFERROR(INDEX(法人マスタ!$C:$C,MATCH($B340,法人マスタ!$A:$A,0)),""))</f>
        <v>いちごオフィスリート投資法人</v>
      </c>
      <c r="D340" s="1" t="str">
        <f aca="false">IF($A340="","",物件マスタ!C340)</f>
        <v>いちご桜橋ビル</v>
      </c>
      <c r="E340" s="1" t="str">
        <f aca="false">IF($A340="","",物件マスタ!H340)</f>
        <v>都心5区</v>
      </c>
      <c r="F340" s="1" t="n">
        <f aca="false">IF($A340="","",物件マスタ!P340)</f>
        <v>0</v>
      </c>
      <c r="G340" s="1" t="str">
        <f aca="false">IF($A340="","",物件マスタ!Q340)</f>
        <v/>
      </c>
      <c r="H340" s="1" t="n">
        <f aca="false">IF($A340="","",物件マスタ!L340)</f>
        <v>0</v>
      </c>
      <c r="I340" s="1" t="n">
        <f aca="false">IF($A340="","",物件マスタ!M340)</f>
        <v>2971.22</v>
      </c>
      <c r="J340" s="1" t="n">
        <f aca="false">IF($A340="","",物件マスタ!S340)</f>
        <v>0</v>
      </c>
      <c r="K340" s="1" t="n">
        <f aca="false">IF($A340="","",物件マスタ!U340)</f>
        <v>3670</v>
      </c>
      <c r="L340" s="1" t="n">
        <f aca="false">IF($A340="","",物件マスタ!W340)</f>
        <v>1</v>
      </c>
      <c r="M340" s="1" t="str">
        <f aca="false">IF($A340="","",IFERROR(INDEX(法人マスタ!$H:$H,MATCH($B340,法人マスタ!$A:$A,0)),""))</f>
        <v>2026年4月期（第41期）</v>
      </c>
      <c r="N340" s="1" t="n">
        <f aca="false">IF($A340="","",SUMIFS(物件収支!$D:$D,物件収支!$A:$A,$A340,物件収支!$C:$C,$M340))</f>
        <v>6</v>
      </c>
      <c r="O340" s="1" t="n">
        <f aca="false">IF($A340="","",SUMIFS(物件収支!$F:$F,物件収支!$A:$A,$A340,物件収支!$C:$C,$M340))</f>
        <v>92429</v>
      </c>
      <c r="P340" s="1" t="n">
        <f aca="false">IF($A340="","",SUMIFS(物件収支!$I:$I,物件収支!$A:$A,$A340,物件収支!$C:$C,$M340))</f>
        <v>0</v>
      </c>
      <c r="Q340" s="1" t="n">
        <f aca="false">IF($A340="","",SUMIFS(物件収支!$O:$O,物件収支!$A:$A,$A340,物件収支!$C:$C,$M340))</f>
        <v>0</v>
      </c>
      <c r="R340" s="1" t="str">
        <f aca="false">IF($A340="","",IF(P340=0,"",O340-P340))</f>
        <v/>
      </c>
      <c r="S340" s="1" t="str">
        <f aca="false">IF($A340="","",IF(R340="","",R340+Q340))</f>
        <v/>
      </c>
      <c r="T340" s="1" t="str">
        <f aca="false">IF($A340="","",IF(OR(S340="",N340&lt;=0),"",S340/1000*12/N340))</f>
        <v/>
      </c>
      <c r="U340" s="1" t="str">
        <f aca="false">IF($A340="","",IF(OR(T340="",J340=0,J340=""),"",T340/J340))</f>
        <v/>
      </c>
      <c r="V340" s="1" t="str">
        <f aca="false">IF($A340="","",IF(OR(R340="",N340&lt;=0,J340=0,J340=""),"",(R340/1000*12/N340)/J340))</f>
        <v/>
      </c>
      <c r="W340" s="1" t="str">
        <f aca="false">IF($A340="","",IF(OR(T340="",K340=0,K340=""),"",T340/K340))</f>
        <v/>
      </c>
      <c r="X340" s="1" t="n">
        <f aca="false">IF($A340="","",IF(OR(N340&lt;=0,I340=0,I340="",O340=0),"",O340*1000/(I340*0.3025)/N340))</f>
        <v>17139.4473887909</v>
      </c>
      <c r="Y340" s="1" t="str">
        <f aca="false">IF($A340="","",IF(OR(O340=0,O340="",P340=0),"",P340/O340))</f>
        <v/>
      </c>
      <c r="Z340" s="1" t="str">
        <f aca="false">IF($A340="","",IFERROR(INDEX(物件収支!$E:$E,MATCH($A340,物件収支!$A:$A,0)),""))</f>
        <v>開示（物件別・収益のみ）</v>
      </c>
    </row>
    <row r="341" customFormat="false" ht="16.5" hidden="false" customHeight="true" outlineLevel="0" collapsed="false">
      <c r="A341" s="1" t="str">
        <f aca="false">IF(物件マスタ!A341="","",物件マスタ!A341)</f>
        <v>ICG-44</v>
      </c>
      <c r="B341" s="1" t="str">
        <f aca="false">IF($A341="","",物件マスタ!B341)</f>
        <v>ICG</v>
      </c>
      <c r="C341" s="1" t="str">
        <f aca="false">IF($A341="","",IFERROR(INDEX(法人マスタ!$C:$C,MATCH($B341,法人マスタ!$A:$A,0)),""))</f>
        <v>いちごオフィスリート投資法人</v>
      </c>
      <c r="D341" s="1" t="str">
        <f aca="false">IF($A341="","",物件マスタ!C341)</f>
        <v>いちご新川ビル</v>
      </c>
      <c r="E341" s="1" t="str">
        <f aca="false">IF($A341="","",物件マスタ!H341)</f>
        <v>都心5区</v>
      </c>
      <c r="F341" s="1" t="n">
        <f aca="false">IF($A341="","",物件マスタ!P341)</f>
        <v>0</v>
      </c>
      <c r="G341" s="1" t="str">
        <f aca="false">IF($A341="","",物件マスタ!Q341)</f>
        <v/>
      </c>
      <c r="H341" s="1" t="n">
        <f aca="false">IF($A341="","",物件マスタ!L341)</f>
        <v>0</v>
      </c>
      <c r="I341" s="1" t="n">
        <f aca="false">IF($A341="","",物件マスタ!M341)</f>
        <v>2312.03</v>
      </c>
      <c r="J341" s="1" t="n">
        <f aca="false">IF($A341="","",物件マスタ!S341)</f>
        <v>0</v>
      </c>
      <c r="K341" s="1" t="n">
        <f aca="false">IF($A341="","",物件マスタ!U341)</f>
        <v>3360</v>
      </c>
      <c r="L341" s="1" t="n">
        <f aca="false">IF($A341="","",物件マスタ!W341)</f>
        <v>1</v>
      </c>
      <c r="M341" s="1" t="str">
        <f aca="false">IF($A341="","",IFERROR(INDEX(法人マスタ!$H:$H,MATCH($B341,法人マスタ!$A:$A,0)),""))</f>
        <v>2026年4月期（第41期）</v>
      </c>
      <c r="N341" s="1" t="n">
        <f aca="false">IF($A341="","",SUMIFS(物件収支!$D:$D,物件収支!$A:$A,$A341,物件収支!$C:$C,$M341))</f>
        <v>6</v>
      </c>
      <c r="O341" s="1" t="n">
        <f aca="false">IF($A341="","",SUMIFS(物件収支!$F:$F,物件収支!$A:$A,$A341,物件収支!$C:$C,$M341))</f>
        <v>87194</v>
      </c>
      <c r="P341" s="1" t="n">
        <f aca="false">IF($A341="","",SUMIFS(物件収支!$I:$I,物件収支!$A:$A,$A341,物件収支!$C:$C,$M341))</f>
        <v>0</v>
      </c>
      <c r="Q341" s="1" t="n">
        <f aca="false">IF($A341="","",SUMIFS(物件収支!$O:$O,物件収支!$A:$A,$A341,物件収支!$C:$C,$M341))</f>
        <v>0</v>
      </c>
      <c r="R341" s="1" t="str">
        <f aca="false">IF($A341="","",IF(P341=0,"",O341-P341))</f>
        <v/>
      </c>
      <c r="S341" s="1" t="str">
        <f aca="false">IF($A341="","",IF(R341="","",R341+Q341))</f>
        <v/>
      </c>
      <c r="T341" s="1" t="str">
        <f aca="false">IF($A341="","",IF(OR(S341="",N341&lt;=0),"",S341/1000*12/N341))</f>
        <v/>
      </c>
      <c r="U341" s="1" t="str">
        <f aca="false">IF($A341="","",IF(OR(T341="",J341=0,J341=""),"",T341/J341))</f>
        <v/>
      </c>
      <c r="V341" s="1" t="str">
        <f aca="false">IF($A341="","",IF(OR(R341="",N341&lt;=0,J341=0,J341=""),"",(R341/1000*12/N341)/J341))</f>
        <v/>
      </c>
      <c r="W341" s="1" t="str">
        <f aca="false">IF($A341="","",IF(OR(T341="",K341=0,K341=""),"",T341/K341))</f>
        <v/>
      </c>
      <c r="X341" s="1" t="n">
        <f aca="false">IF($A341="","",IF(OR(N341&lt;=0,I341=0,I341="",O341=0),"",O341*1000/(I341*0.3025)/N341))</f>
        <v>20778.6107229847</v>
      </c>
      <c r="Y341" s="1" t="str">
        <f aca="false">IF($A341="","",IF(OR(O341=0,O341="",P341=0),"",P341/O341))</f>
        <v/>
      </c>
      <c r="Z341" s="1" t="str">
        <f aca="false">IF($A341="","",IFERROR(INDEX(物件収支!$E:$E,MATCH($A341,物件収支!$A:$A,0)),""))</f>
        <v>開示（物件別・収益のみ）</v>
      </c>
    </row>
    <row r="342" customFormat="false" ht="16.5" hidden="false" customHeight="true" outlineLevel="0" collapsed="false">
      <c r="A342" s="1" t="str">
        <f aca="false">IF(物件マスタ!A342="","",物件マスタ!A342)</f>
        <v>ICG-45</v>
      </c>
      <c r="B342" s="1" t="str">
        <f aca="false">IF($A342="","",物件マスタ!B342)</f>
        <v>ICG</v>
      </c>
      <c r="C342" s="1" t="str">
        <f aca="false">IF($A342="","",IFERROR(INDEX(法人マスタ!$C:$C,MATCH($B342,法人マスタ!$A:$A,0)),""))</f>
        <v>いちごオフィスリート投資法人</v>
      </c>
      <c r="D342" s="1" t="str">
        <f aca="false">IF($A342="","",物件マスタ!C342)</f>
        <v>いちご九段ビル</v>
      </c>
      <c r="E342" s="1" t="str">
        <f aca="false">IF($A342="","",物件マスタ!H342)</f>
        <v>都心5区</v>
      </c>
      <c r="F342" s="1" t="n">
        <f aca="false">IF($A342="","",物件マスタ!P342)</f>
        <v>0</v>
      </c>
      <c r="G342" s="1" t="str">
        <f aca="false">IF($A342="","",物件マスタ!Q342)</f>
        <v/>
      </c>
      <c r="H342" s="1" t="n">
        <f aca="false">IF($A342="","",物件マスタ!L342)</f>
        <v>0</v>
      </c>
      <c r="I342" s="1" t="n">
        <f aca="false">IF($A342="","",物件マスタ!M342)</f>
        <v>3090.65</v>
      </c>
      <c r="J342" s="1" t="n">
        <f aca="false">IF($A342="","",物件マスタ!S342)</f>
        <v>0</v>
      </c>
      <c r="K342" s="1" t="n">
        <f aca="false">IF($A342="","",物件マスタ!U342)</f>
        <v>3750</v>
      </c>
      <c r="L342" s="1" t="n">
        <f aca="false">IF($A342="","",物件マスタ!W342)</f>
        <v>1</v>
      </c>
      <c r="M342" s="1" t="str">
        <f aca="false">IF($A342="","",IFERROR(INDEX(法人マスタ!$H:$H,MATCH($B342,法人マスタ!$A:$A,0)),""))</f>
        <v>2026年4月期（第41期）</v>
      </c>
      <c r="N342" s="1" t="n">
        <f aca="false">IF($A342="","",SUMIFS(物件収支!$D:$D,物件収支!$A:$A,$A342,物件収支!$C:$C,$M342))</f>
        <v>6</v>
      </c>
      <c r="O342" s="1" t="n">
        <f aca="false">IF($A342="","",SUMIFS(物件収支!$F:$F,物件収支!$A:$A,$A342,物件収支!$C:$C,$M342))</f>
        <v>109674</v>
      </c>
      <c r="P342" s="1" t="n">
        <f aca="false">IF($A342="","",SUMIFS(物件収支!$I:$I,物件収支!$A:$A,$A342,物件収支!$C:$C,$M342))</f>
        <v>0</v>
      </c>
      <c r="Q342" s="1" t="n">
        <f aca="false">IF($A342="","",SUMIFS(物件収支!$O:$O,物件収支!$A:$A,$A342,物件収支!$C:$C,$M342))</f>
        <v>0</v>
      </c>
      <c r="R342" s="1" t="str">
        <f aca="false">IF($A342="","",IF(P342=0,"",O342-P342))</f>
        <v/>
      </c>
      <c r="S342" s="1" t="str">
        <f aca="false">IF($A342="","",IF(R342="","",R342+Q342))</f>
        <v/>
      </c>
      <c r="T342" s="1" t="str">
        <f aca="false">IF($A342="","",IF(OR(S342="",N342&lt;=0),"",S342/1000*12/N342))</f>
        <v/>
      </c>
      <c r="U342" s="1" t="str">
        <f aca="false">IF($A342="","",IF(OR(T342="",J342=0,J342=""),"",T342/J342))</f>
        <v/>
      </c>
      <c r="V342" s="1" t="str">
        <f aca="false">IF($A342="","",IF(OR(R342="",N342&lt;=0,J342=0,J342=""),"",(R342/1000*12/N342)/J342))</f>
        <v/>
      </c>
      <c r="W342" s="1" t="str">
        <f aca="false">IF($A342="","",IF(OR(T342="",K342=0,K342=""),"",T342/K342))</f>
        <v/>
      </c>
      <c r="X342" s="1" t="n">
        <f aca="false">IF($A342="","",IF(OR(N342&lt;=0,I342=0,I342="",O342=0),"",O342*1000/(I342*0.3025)/N342))</f>
        <v>19551.3714852836</v>
      </c>
      <c r="Y342" s="1" t="str">
        <f aca="false">IF($A342="","",IF(OR(O342=0,O342="",P342=0),"",P342/O342))</f>
        <v/>
      </c>
      <c r="Z342" s="1" t="str">
        <f aca="false">IF($A342="","",IFERROR(INDEX(物件収支!$E:$E,MATCH($A342,物件収支!$A:$A,0)),""))</f>
        <v>開示（物件別・収益のみ）</v>
      </c>
    </row>
    <row r="343" customFormat="false" ht="16.5" hidden="false" customHeight="true" outlineLevel="0" collapsed="false">
      <c r="A343" s="1" t="str">
        <f aca="false">IF(物件マスタ!A343="","",物件マスタ!A343)</f>
        <v>ICG-46</v>
      </c>
      <c r="B343" s="1" t="str">
        <f aca="false">IF($A343="","",物件マスタ!B343)</f>
        <v>ICG</v>
      </c>
      <c r="C343" s="1" t="str">
        <f aca="false">IF($A343="","",IFERROR(INDEX(法人マスタ!$C:$C,MATCH($B343,法人マスタ!$A:$A,0)),""))</f>
        <v>いちごオフィスリート投資法人</v>
      </c>
      <c r="D343" s="1" t="str">
        <f aca="false">IF($A343="","",物件マスタ!C343)</f>
        <v>いちご東五反田ビル</v>
      </c>
      <c r="E343" s="1" t="str">
        <f aca="false">IF($A343="","",物件マスタ!H343)</f>
        <v>その他東京23区</v>
      </c>
      <c r="F343" s="1" t="n">
        <f aca="false">IF($A343="","",物件マスタ!P343)</f>
        <v>0</v>
      </c>
      <c r="G343" s="1" t="str">
        <f aca="false">IF($A343="","",物件マスタ!Q343)</f>
        <v/>
      </c>
      <c r="H343" s="1" t="n">
        <f aca="false">IF($A343="","",物件マスタ!L343)</f>
        <v>0</v>
      </c>
      <c r="I343" s="1" t="n">
        <f aca="false">IF($A343="","",物件マスタ!M343)</f>
        <v>4548.1</v>
      </c>
      <c r="J343" s="1" t="n">
        <f aca="false">IF($A343="","",物件マスタ!S343)</f>
        <v>0</v>
      </c>
      <c r="K343" s="1" t="n">
        <f aca="false">IF($A343="","",物件マスタ!U343)</f>
        <v>4650</v>
      </c>
      <c r="L343" s="1" t="n">
        <f aca="false">IF($A343="","",物件マスタ!W343)</f>
        <v>1</v>
      </c>
      <c r="M343" s="1" t="str">
        <f aca="false">IF($A343="","",IFERROR(INDEX(法人マスタ!$H:$H,MATCH($B343,法人マスタ!$A:$A,0)),""))</f>
        <v>2026年4月期（第41期）</v>
      </c>
      <c r="N343" s="1" t="n">
        <f aca="false">IF($A343="","",SUMIFS(物件収支!$D:$D,物件収支!$A:$A,$A343,物件収支!$C:$C,$M343))</f>
        <v>6</v>
      </c>
      <c r="O343" s="1" t="n">
        <f aca="false">IF($A343="","",SUMIFS(物件収支!$F:$F,物件収支!$A:$A,$A343,物件収支!$C:$C,$M343))</f>
        <v>136297</v>
      </c>
      <c r="P343" s="1" t="n">
        <f aca="false">IF($A343="","",SUMIFS(物件収支!$I:$I,物件収支!$A:$A,$A343,物件収支!$C:$C,$M343))</f>
        <v>0</v>
      </c>
      <c r="Q343" s="1" t="n">
        <f aca="false">IF($A343="","",SUMIFS(物件収支!$O:$O,物件収支!$A:$A,$A343,物件収支!$C:$C,$M343))</f>
        <v>0</v>
      </c>
      <c r="R343" s="1" t="str">
        <f aca="false">IF($A343="","",IF(P343=0,"",O343-P343))</f>
        <v/>
      </c>
      <c r="S343" s="1" t="str">
        <f aca="false">IF($A343="","",IF(R343="","",R343+Q343))</f>
        <v/>
      </c>
      <c r="T343" s="1" t="str">
        <f aca="false">IF($A343="","",IF(OR(S343="",N343&lt;=0),"",S343/1000*12/N343))</f>
        <v/>
      </c>
      <c r="U343" s="1" t="str">
        <f aca="false">IF($A343="","",IF(OR(T343="",J343=0,J343=""),"",T343/J343))</f>
        <v/>
      </c>
      <c r="V343" s="1" t="str">
        <f aca="false">IF($A343="","",IF(OR(R343="",N343&lt;=0,J343=0,J343=""),"",(R343/1000*12/N343)/J343))</f>
        <v/>
      </c>
      <c r="W343" s="1" t="str">
        <f aca="false">IF($A343="","",IF(OR(T343="",K343=0,K343=""),"",T343/K343))</f>
        <v/>
      </c>
      <c r="X343" s="1" t="n">
        <f aca="false">IF($A343="","",IF(OR(N343&lt;=0,I343=0,I343="",O343=0),"",O343*1000/(I343*0.3025)/N343))</f>
        <v>16511.2389437832</v>
      </c>
      <c r="Y343" s="1" t="str">
        <f aca="false">IF($A343="","",IF(OR(O343=0,O343="",P343=0),"",P343/O343))</f>
        <v/>
      </c>
      <c r="Z343" s="1" t="str">
        <f aca="false">IF($A343="","",IFERROR(INDEX(物件収支!$E:$E,MATCH($A343,物件収支!$A:$A,0)),""))</f>
        <v>開示（物件別・収益のみ）</v>
      </c>
    </row>
    <row r="344" customFormat="false" ht="16.5" hidden="false" customHeight="true" outlineLevel="0" collapsed="false">
      <c r="A344" s="1" t="str">
        <f aca="false">IF(物件マスタ!A344="","",物件マスタ!A344)</f>
        <v>ICG-47</v>
      </c>
      <c r="B344" s="1" t="str">
        <f aca="false">IF($A344="","",物件マスタ!B344)</f>
        <v>ICG</v>
      </c>
      <c r="C344" s="1" t="str">
        <f aca="false">IF($A344="","",IFERROR(INDEX(法人マスタ!$C:$C,MATCH($B344,法人マスタ!$A:$A,0)),""))</f>
        <v>いちごオフィスリート投資法人</v>
      </c>
      <c r="D344" s="1" t="str">
        <f aca="false">IF($A344="","",物件マスタ!C344)</f>
        <v>アクシオール三田</v>
      </c>
      <c r="E344" s="1" t="str">
        <f aca="false">IF($A344="","",物件マスタ!H344)</f>
        <v>都心5区</v>
      </c>
      <c r="F344" s="1" t="n">
        <f aca="false">IF($A344="","",物件マスタ!P344)</f>
        <v>0</v>
      </c>
      <c r="G344" s="1" t="str">
        <f aca="false">IF($A344="","",物件マスタ!Q344)</f>
        <v/>
      </c>
      <c r="H344" s="1" t="n">
        <f aca="false">IF($A344="","",物件マスタ!L344)</f>
        <v>0</v>
      </c>
      <c r="I344" s="1" t="n">
        <f aca="false">IF($A344="","",物件マスタ!M344)</f>
        <v>2369.82</v>
      </c>
      <c r="J344" s="1" t="n">
        <f aca="false">IF($A344="","",物件マスタ!S344)</f>
        <v>0</v>
      </c>
      <c r="K344" s="1" t="n">
        <f aca="false">IF($A344="","",物件マスタ!U344)</f>
        <v>3190</v>
      </c>
      <c r="L344" s="1" t="n">
        <f aca="false">IF($A344="","",物件マスタ!W344)</f>
        <v>0.9</v>
      </c>
      <c r="M344" s="1" t="str">
        <f aca="false">IF($A344="","",IFERROR(INDEX(法人マスタ!$H:$H,MATCH($B344,法人マスタ!$A:$A,0)),""))</f>
        <v>2026年4月期（第41期）</v>
      </c>
      <c r="N344" s="1" t="n">
        <f aca="false">IF($A344="","",SUMIFS(物件収支!$D:$D,物件収支!$A:$A,$A344,物件収支!$C:$C,$M344))</f>
        <v>6</v>
      </c>
      <c r="O344" s="1" t="n">
        <f aca="false">IF($A344="","",SUMIFS(物件収支!$F:$F,物件収支!$A:$A,$A344,物件収支!$C:$C,$M344))</f>
        <v>73108</v>
      </c>
      <c r="P344" s="1" t="n">
        <f aca="false">IF($A344="","",SUMIFS(物件収支!$I:$I,物件収支!$A:$A,$A344,物件収支!$C:$C,$M344))</f>
        <v>0</v>
      </c>
      <c r="Q344" s="1" t="n">
        <f aca="false">IF($A344="","",SUMIFS(物件収支!$O:$O,物件収支!$A:$A,$A344,物件収支!$C:$C,$M344))</f>
        <v>0</v>
      </c>
      <c r="R344" s="1" t="str">
        <f aca="false">IF($A344="","",IF(P344=0,"",O344-P344))</f>
        <v/>
      </c>
      <c r="S344" s="1" t="str">
        <f aca="false">IF($A344="","",IF(R344="","",R344+Q344))</f>
        <v/>
      </c>
      <c r="T344" s="1" t="str">
        <f aca="false">IF($A344="","",IF(OR(S344="",N344&lt;=0),"",S344/1000*12/N344))</f>
        <v/>
      </c>
      <c r="U344" s="1" t="str">
        <f aca="false">IF($A344="","",IF(OR(T344="",J344=0,J344=""),"",T344/J344))</f>
        <v/>
      </c>
      <c r="V344" s="1" t="str">
        <f aca="false">IF($A344="","",IF(OR(R344="",N344&lt;=0,J344=0,J344=""),"",(R344/1000*12/N344)/J344))</f>
        <v/>
      </c>
      <c r="W344" s="1" t="str">
        <f aca="false">IF($A344="","",IF(OR(T344="",K344=0,K344=""),"",T344/K344))</f>
        <v/>
      </c>
      <c r="X344" s="1" t="n">
        <f aca="false">IF($A344="","",IF(OR(N344&lt;=0,I344=0,I344="",O344=0),"",O344*1000/(I344*0.3025)/N344))</f>
        <v>16997.025009141</v>
      </c>
      <c r="Y344" s="1" t="str">
        <f aca="false">IF($A344="","",IF(OR(O344=0,O344="",P344=0),"",P344/O344))</f>
        <v/>
      </c>
      <c r="Z344" s="1" t="str">
        <f aca="false">IF($A344="","",IFERROR(INDEX(物件収支!$E:$E,MATCH($A344,物件収支!$A:$A,0)),""))</f>
        <v>開示（物件別・収益のみ）</v>
      </c>
    </row>
    <row r="345" customFormat="false" ht="16.5" hidden="false" customHeight="true" outlineLevel="0" collapsed="false">
      <c r="A345" s="1" t="str">
        <f aca="false">IF(物件マスタ!A345="","",物件マスタ!A345)</f>
        <v>ICG-48</v>
      </c>
      <c r="B345" s="1" t="str">
        <f aca="false">IF($A345="","",物件マスタ!B345)</f>
        <v>ICG</v>
      </c>
      <c r="C345" s="1" t="str">
        <f aca="false">IF($A345="","",IFERROR(INDEX(法人マスタ!$C:$C,MATCH($B345,法人マスタ!$A:$A,0)),""))</f>
        <v>いちごオフィスリート投資法人</v>
      </c>
      <c r="D345" s="1" t="str">
        <f aca="false">IF($A345="","",物件マスタ!C345)</f>
        <v>いちご東池袋ビル</v>
      </c>
      <c r="E345" s="1" t="str">
        <f aca="false">IF($A345="","",物件マスタ!H345)</f>
        <v>その他東京23区</v>
      </c>
      <c r="F345" s="1" t="n">
        <f aca="false">IF($A345="","",物件マスタ!P345)</f>
        <v>0</v>
      </c>
      <c r="G345" s="1" t="str">
        <f aca="false">IF($A345="","",物件マスタ!Q345)</f>
        <v/>
      </c>
      <c r="H345" s="1" t="n">
        <f aca="false">IF($A345="","",物件マスタ!L345)</f>
        <v>0</v>
      </c>
      <c r="I345" s="1" t="n">
        <f aca="false">IF($A345="","",物件マスタ!M345)</f>
        <v>4443.97</v>
      </c>
      <c r="J345" s="1" t="n">
        <f aca="false">IF($A345="","",物件マスタ!S345)</f>
        <v>0</v>
      </c>
      <c r="K345" s="1" t="n">
        <f aca="false">IF($A345="","",物件マスタ!U345)</f>
        <v>5610</v>
      </c>
      <c r="L345" s="1" t="n">
        <f aca="false">IF($A345="","",物件マスタ!W345)</f>
        <v>1</v>
      </c>
      <c r="M345" s="1" t="str">
        <f aca="false">IF($A345="","",IFERROR(INDEX(法人マスタ!$H:$H,MATCH($B345,法人マスタ!$A:$A,0)),""))</f>
        <v>2026年4月期（第41期）</v>
      </c>
      <c r="N345" s="1" t="n">
        <f aca="false">IF($A345="","",SUMIFS(物件収支!$D:$D,物件収支!$A:$A,$A345,物件収支!$C:$C,$M345))</f>
        <v>6</v>
      </c>
      <c r="O345" s="1" t="n">
        <f aca="false">IF($A345="","",SUMIFS(物件収支!$F:$F,物件収支!$A:$A,$A345,物件収支!$C:$C,$M345))</f>
        <v>169681</v>
      </c>
      <c r="P345" s="1" t="n">
        <f aca="false">IF($A345="","",SUMIFS(物件収支!$I:$I,物件収支!$A:$A,$A345,物件収支!$C:$C,$M345))</f>
        <v>0</v>
      </c>
      <c r="Q345" s="1" t="n">
        <f aca="false">IF($A345="","",SUMIFS(物件収支!$O:$O,物件収支!$A:$A,$A345,物件収支!$C:$C,$M345))</f>
        <v>0</v>
      </c>
      <c r="R345" s="1" t="str">
        <f aca="false">IF($A345="","",IF(P345=0,"",O345-P345))</f>
        <v/>
      </c>
      <c r="S345" s="1" t="str">
        <f aca="false">IF($A345="","",IF(R345="","",R345+Q345))</f>
        <v/>
      </c>
      <c r="T345" s="1" t="str">
        <f aca="false">IF($A345="","",IF(OR(S345="",N345&lt;=0),"",S345/1000*12/N345))</f>
        <v/>
      </c>
      <c r="U345" s="1" t="str">
        <f aca="false">IF($A345="","",IF(OR(T345="",J345=0,J345=""),"",T345/J345))</f>
        <v/>
      </c>
      <c r="V345" s="1" t="str">
        <f aca="false">IF($A345="","",IF(OR(R345="",N345&lt;=0,J345=0,J345=""),"",(R345/1000*12/N345)/J345))</f>
        <v/>
      </c>
      <c r="W345" s="1" t="str">
        <f aca="false">IF($A345="","",IF(OR(T345="",K345=0,K345=""),"",T345/K345))</f>
        <v/>
      </c>
      <c r="X345" s="1" t="n">
        <f aca="false">IF($A345="","",IF(OR(N345&lt;=0,I345=0,I345="",O345=0),"",O345*1000/(I345*0.3025)/N345))</f>
        <v>21037.0804190785</v>
      </c>
      <c r="Y345" s="1" t="str">
        <f aca="false">IF($A345="","",IF(OR(O345=0,O345="",P345=0),"",P345/O345))</f>
        <v/>
      </c>
      <c r="Z345" s="1" t="str">
        <f aca="false">IF($A345="","",IFERROR(INDEX(物件収支!$E:$E,MATCH($A345,物件収支!$A:$A,0)),""))</f>
        <v>開示（物件別・収益のみ）</v>
      </c>
    </row>
    <row r="346" customFormat="false" ht="16.5" hidden="false" customHeight="true" outlineLevel="0" collapsed="false">
      <c r="A346" s="1" t="str">
        <f aca="false">IF(物件マスタ!A346="","",物件マスタ!A346)</f>
        <v>ICG-49</v>
      </c>
      <c r="B346" s="1" t="str">
        <f aca="false">IF($A346="","",物件マスタ!B346)</f>
        <v>ICG</v>
      </c>
      <c r="C346" s="1" t="str">
        <f aca="false">IF($A346="","",IFERROR(INDEX(法人マスタ!$C:$C,MATCH($B346,法人マスタ!$A:$A,0)),""))</f>
        <v>いちごオフィスリート投資法人</v>
      </c>
      <c r="D346" s="1" t="str">
        <f aca="false">IF($A346="","",物件マスタ!C346)</f>
        <v>郡山ビッグアイ（オフィス区画）</v>
      </c>
      <c r="E346" s="1" t="str">
        <f aca="false">IF($A346="","",物件マスタ!H346)</f>
        <v>その他地方都市</v>
      </c>
      <c r="F346" s="1" t="n">
        <f aca="false">IF($A346="","",物件マスタ!P346)</f>
        <v>0</v>
      </c>
      <c r="G346" s="1" t="str">
        <f aca="false">IF($A346="","",物件マスタ!Q346)</f>
        <v/>
      </c>
      <c r="H346" s="1" t="n">
        <f aca="false">IF($A346="","",物件マスタ!L346)</f>
        <v>0</v>
      </c>
      <c r="I346" s="1" t="n">
        <f aca="false">IF($A346="","",物件マスタ!M346)</f>
        <v>3433.07</v>
      </c>
      <c r="J346" s="1" t="n">
        <f aca="false">IF($A346="","",物件マスタ!S346)</f>
        <v>0</v>
      </c>
      <c r="K346" s="1" t="n">
        <f aca="false">IF($A346="","",物件マスタ!U346)</f>
        <v>2290</v>
      </c>
      <c r="L346" s="1" t="n">
        <f aca="false">IF($A346="","",物件マスタ!W346)</f>
        <v>1</v>
      </c>
      <c r="M346" s="1" t="str">
        <f aca="false">IF($A346="","",IFERROR(INDEX(法人マスタ!$H:$H,MATCH($B346,法人マスタ!$A:$A,0)),""))</f>
        <v>2026年4月期（第41期）</v>
      </c>
      <c r="N346" s="1" t="n">
        <f aca="false">IF($A346="","",SUMIFS(物件収支!$D:$D,物件収支!$A:$A,$A346,物件収支!$C:$C,$M346))</f>
        <v>6</v>
      </c>
      <c r="O346" s="1" t="n">
        <f aca="false">IF($A346="","",SUMIFS(物件収支!$F:$F,物件収支!$A:$A,$A346,物件収支!$C:$C,$M346))</f>
        <v>110384</v>
      </c>
      <c r="P346" s="1" t="n">
        <f aca="false">IF($A346="","",SUMIFS(物件収支!$I:$I,物件収支!$A:$A,$A346,物件収支!$C:$C,$M346))</f>
        <v>0</v>
      </c>
      <c r="Q346" s="1" t="n">
        <f aca="false">IF($A346="","",SUMIFS(物件収支!$O:$O,物件収支!$A:$A,$A346,物件収支!$C:$C,$M346))</f>
        <v>0</v>
      </c>
      <c r="R346" s="1" t="str">
        <f aca="false">IF($A346="","",IF(P346=0,"",O346-P346))</f>
        <v/>
      </c>
      <c r="S346" s="1" t="str">
        <f aca="false">IF($A346="","",IF(R346="","",R346+Q346))</f>
        <v/>
      </c>
      <c r="T346" s="1" t="str">
        <f aca="false">IF($A346="","",IF(OR(S346="",N346&lt;=0),"",S346/1000*12/N346))</f>
        <v/>
      </c>
      <c r="U346" s="1" t="str">
        <f aca="false">IF($A346="","",IF(OR(T346="",J346=0,J346=""),"",T346/J346))</f>
        <v/>
      </c>
      <c r="V346" s="1" t="str">
        <f aca="false">IF($A346="","",IF(OR(R346="",N346&lt;=0,J346=0,J346=""),"",(R346/1000*12/N346)/J346))</f>
        <v/>
      </c>
      <c r="W346" s="1" t="str">
        <f aca="false">IF($A346="","",IF(OR(T346="",K346=0,K346=""),"",T346/K346))</f>
        <v/>
      </c>
      <c r="X346" s="1" t="n">
        <f aca="false">IF($A346="","",IF(OR(N346&lt;=0,I346=0,I346="",O346=0),"",O346*1000/(I346*0.3025)/N346))</f>
        <v>17715.2318053505</v>
      </c>
      <c r="Y346" s="1" t="str">
        <f aca="false">IF($A346="","",IF(OR(O346=0,O346="",P346=0),"",P346/O346))</f>
        <v/>
      </c>
      <c r="Z346" s="1" t="str">
        <f aca="false">IF($A346="","",IFERROR(INDEX(物件収支!$E:$E,MATCH($A346,物件収支!$A:$A,0)),""))</f>
        <v>開示（物件別・収益のみ）</v>
      </c>
    </row>
    <row r="347" customFormat="false" ht="16.5" hidden="false" customHeight="true" outlineLevel="0" collapsed="false">
      <c r="A347" s="1" t="str">
        <f aca="false">IF(物件マスタ!A347="","",物件マスタ!A347)</f>
        <v>ICG-50</v>
      </c>
      <c r="B347" s="1" t="str">
        <f aca="false">IF($A347="","",物件マスタ!B347)</f>
        <v>ICG</v>
      </c>
      <c r="C347" s="1" t="str">
        <f aca="false">IF($A347="","",IFERROR(INDEX(法人マスタ!$C:$C,MATCH($B347,法人マスタ!$A:$A,0)),""))</f>
        <v>いちごオフィスリート投資法人</v>
      </c>
      <c r="D347" s="1" t="str">
        <f aca="false">IF($A347="","",物件マスタ!C347)</f>
        <v>いちご川崎ビル</v>
      </c>
      <c r="E347" s="1" t="str">
        <f aca="false">IF($A347="","",物件マスタ!H347)</f>
        <v>東京周辺都市部</v>
      </c>
      <c r="F347" s="1" t="n">
        <f aca="false">IF($A347="","",物件マスタ!P347)</f>
        <v>0</v>
      </c>
      <c r="G347" s="1" t="str">
        <f aca="false">IF($A347="","",物件マスタ!Q347)</f>
        <v/>
      </c>
      <c r="H347" s="1" t="n">
        <f aca="false">IF($A347="","",物件マスタ!L347)</f>
        <v>0</v>
      </c>
      <c r="I347" s="1" t="n">
        <f aca="false">IF($A347="","",物件マスタ!M347)</f>
        <v>3950.5</v>
      </c>
      <c r="J347" s="1" t="n">
        <f aca="false">IF($A347="","",物件マスタ!S347)</f>
        <v>0</v>
      </c>
      <c r="K347" s="1" t="n">
        <f aca="false">IF($A347="","",物件マスタ!U347)</f>
        <v>2420</v>
      </c>
      <c r="L347" s="1" t="n">
        <f aca="false">IF($A347="","",物件マスタ!W347)</f>
        <v>0.946</v>
      </c>
      <c r="M347" s="1" t="str">
        <f aca="false">IF($A347="","",IFERROR(INDEX(法人マスタ!$H:$H,MATCH($B347,法人マスタ!$A:$A,0)),""))</f>
        <v>2026年4月期（第41期）</v>
      </c>
      <c r="N347" s="1" t="n">
        <f aca="false">IF($A347="","",SUMIFS(物件収支!$D:$D,物件収支!$A:$A,$A347,物件収支!$C:$C,$M347))</f>
        <v>6</v>
      </c>
      <c r="O347" s="1" t="n">
        <f aca="false">IF($A347="","",SUMIFS(物件収支!$F:$F,物件収支!$A:$A,$A347,物件収支!$C:$C,$M347))</f>
        <v>97842</v>
      </c>
      <c r="P347" s="1" t="n">
        <f aca="false">IF($A347="","",SUMIFS(物件収支!$I:$I,物件収支!$A:$A,$A347,物件収支!$C:$C,$M347))</f>
        <v>0</v>
      </c>
      <c r="Q347" s="1" t="n">
        <f aca="false">IF($A347="","",SUMIFS(物件収支!$O:$O,物件収支!$A:$A,$A347,物件収支!$C:$C,$M347))</f>
        <v>0</v>
      </c>
      <c r="R347" s="1" t="str">
        <f aca="false">IF($A347="","",IF(P347=0,"",O347-P347))</f>
        <v/>
      </c>
      <c r="S347" s="1" t="str">
        <f aca="false">IF($A347="","",IF(R347="","",R347+Q347))</f>
        <v/>
      </c>
      <c r="T347" s="1" t="str">
        <f aca="false">IF($A347="","",IF(OR(S347="",N347&lt;=0),"",S347/1000*12/N347))</f>
        <v/>
      </c>
      <c r="U347" s="1" t="str">
        <f aca="false">IF($A347="","",IF(OR(T347="",J347=0,J347=""),"",T347/J347))</f>
        <v/>
      </c>
      <c r="V347" s="1" t="str">
        <f aca="false">IF($A347="","",IF(OR(R347="",N347&lt;=0,J347=0,J347=""),"",(R347/1000*12/N347)/J347))</f>
        <v/>
      </c>
      <c r="W347" s="1" t="str">
        <f aca="false">IF($A347="","",IF(OR(T347="",K347=0,K347=""),"",T347/K347))</f>
        <v/>
      </c>
      <c r="X347" s="1" t="n">
        <f aca="false">IF($A347="","",IF(OR(N347&lt;=0,I347=0,I347="",O347=0),"",O347*1000/(I347*0.3025)/N347))</f>
        <v>13645.7253554054</v>
      </c>
      <c r="Y347" s="1" t="str">
        <f aca="false">IF($A347="","",IF(OR(O347=0,O347="",P347=0),"",P347/O347))</f>
        <v/>
      </c>
      <c r="Z347" s="1" t="str">
        <f aca="false">IF($A347="","",IFERROR(INDEX(物件収支!$E:$E,MATCH($A347,物件収支!$A:$A,0)),""))</f>
        <v>開示（物件別・収益のみ）</v>
      </c>
    </row>
    <row r="348" customFormat="false" ht="16.5" hidden="false" customHeight="true" outlineLevel="0" collapsed="false">
      <c r="A348" s="1" t="str">
        <f aca="false">IF(物件マスタ!A348="","",物件マスタ!A348)</f>
        <v>ICG-51</v>
      </c>
      <c r="B348" s="1" t="str">
        <f aca="false">IF($A348="","",物件マスタ!B348)</f>
        <v>ICG</v>
      </c>
      <c r="C348" s="1" t="str">
        <f aca="false">IF($A348="","",IFERROR(INDEX(法人マスタ!$C:$C,MATCH($B348,法人マスタ!$A:$A,0)),""))</f>
        <v>いちごオフィスリート投資法人</v>
      </c>
      <c r="D348" s="1" t="str">
        <f aca="false">IF($A348="","",物件マスタ!C348)</f>
        <v>いちご渋谷イーストビル</v>
      </c>
      <c r="E348" s="1" t="str">
        <f aca="false">IF($A348="","",物件マスタ!H348)</f>
        <v>都心5区</v>
      </c>
      <c r="F348" s="1" t="n">
        <f aca="false">IF($A348="","",物件マスタ!P348)</f>
        <v>0</v>
      </c>
      <c r="G348" s="1" t="str">
        <f aca="false">IF($A348="","",物件マスタ!Q348)</f>
        <v/>
      </c>
      <c r="H348" s="1" t="n">
        <f aca="false">IF($A348="","",物件マスタ!L348)</f>
        <v>0</v>
      </c>
      <c r="I348" s="1" t="n">
        <f aca="false">IF($A348="","",物件マスタ!M348)</f>
        <v>1041.36</v>
      </c>
      <c r="J348" s="1" t="n">
        <f aca="false">IF($A348="","",物件マスタ!S348)</f>
        <v>0</v>
      </c>
      <c r="K348" s="1" t="n">
        <f aca="false">IF($A348="","",物件マスタ!U348)</f>
        <v>2510</v>
      </c>
      <c r="L348" s="1" t="n">
        <f aca="false">IF($A348="","",物件マスタ!W348)</f>
        <v>0.828</v>
      </c>
      <c r="M348" s="1" t="str">
        <f aca="false">IF($A348="","",IFERROR(INDEX(法人マスタ!$H:$H,MATCH($B348,法人マスタ!$A:$A,0)),""))</f>
        <v>2026年4月期（第41期）</v>
      </c>
      <c r="N348" s="1" t="n">
        <f aca="false">IF($A348="","",SUMIFS(物件収支!$D:$D,物件収支!$A:$A,$A348,物件収支!$C:$C,$M348))</f>
        <v>6</v>
      </c>
      <c r="O348" s="1" t="n">
        <f aca="false">IF($A348="","",SUMIFS(物件収支!$F:$F,物件収支!$A:$A,$A348,物件収支!$C:$C,$M348))</f>
        <v>45577</v>
      </c>
      <c r="P348" s="1" t="n">
        <f aca="false">IF($A348="","",SUMIFS(物件収支!$I:$I,物件収支!$A:$A,$A348,物件収支!$C:$C,$M348))</f>
        <v>0</v>
      </c>
      <c r="Q348" s="1" t="n">
        <f aca="false">IF($A348="","",SUMIFS(物件収支!$O:$O,物件収支!$A:$A,$A348,物件収支!$C:$C,$M348))</f>
        <v>0</v>
      </c>
      <c r="R348" s="1" t="str">
        <f aca="false">IF($A348="","",IF(P348=0,"",O348-P348))</f>
        <v/>
      </c>
      <c r="S348" s="1" t="str">
        <f aca="false">IF($A348="","",IF(R348="","",R348+Q348))</f>
        <v/>
      </c>
      <c r="T348" s="1" t="str">
        <f aca="false">IF($A348="","",IF(OR(S348="",N348&lt;=0),"",S348/1000*12/N348))</f>
        <v/>
      </c>
      <c r="U348" s="1" t="str">
        <f aca="false">IF($A348="","",IF(OR(T348="",J348=0,J348=""),"",T348/J348))</f>
        <v/>
      </c>
      <c r="V348" s="1" t="str">
        <f aca="false">IF($A348="","",IF(OR(R348="",N348&lt;=0,J348=0,J348=""),"",(R348/1000*12/N348)/J348))</f>
        <v/>
      </c>
      <c r="W348" s="1" t="str">
        <f aca="false">IF($A348="","",IF(OR(T348="",K348=0,K348=""),"",T348/K348))</f>
        <v/>
      </c>
      <c r="X348" s="1" t="n">
        <f aca="false">IF($A348="","",IF(OR(N348&lt;=0,I348=0,I348="",O348=0),"",O348*1000/(I348*0.3025)/N348))</f>
        <v>24113.9421197667</v>
      </c>
      <c r="Y348" s="1" t="str">
        <f aca="false">IF($A348="","",IF(OR(O348=0,O348="",P348=0),"",P348/O348))</f>
        <v/>
      </c>
      <c r="Z348" s="1" t="str">
        <f aca="false">IF($A348="","",IFERROR(INDEX(物件収支!$E:$E,MATCH($A348,物件収支!$A:$A,0)),""))</f>
        <v>開示（物件別・収益のみ）</v>
      </c>
    </row>
    <row r="349" customFormat="false" ht="16.5" hidden="false" customHeight="true" outlineLevel="0" collapsed="false">
      <c r="A349" s="1" t="str">
        <f aca="false">IF(物件マスタ!A349="","",物件マスタ!A349)</f>
        <v>ICG-52</v>
      </c>
      <c r="B349" s="1" t="str">
        <f aca="false">IF($A349="","",物件マスタ!B349)</f>
        <v>ICG</v>
      </c>
      <c r="C349" s="1" t="str">
        <f aca="false">IF($A349="","",IFERROR(INDEX(法人マスタ!$C:$C,MATCH($B349,法人マスタ!$A:$A,0)),""))</f>
        <v>いちごオフィスリート投資法人</v>
      </c>
      <c r="D349" s="1" t="str">
        <f aca="false">IF($A349="","",物件マスタ!C349)</f>
        <v>いちご人形町ビル</v>
      </c>
      <c r="E349" s="1" t="str">
        <f aca="false">IF($A349="","",物件マスタ!H349)</f>
        <v>都心5区</v>
      </c>
      <c r="F349" s="1" t="n">
        <f aca="false">IF($A349="","",物件マスタ!P349)</f>
        <v>0</v>
      </c>
      <c r="G349" s="1" t="str">
        <f aca="false">IF($A349="","",物件マスタ!Q349)</f>
        <v/>
      </c>
      <c r="H349" s="1" t="n">
        <f aca="false">IF($A349="","",物件マスタ!L349)</f>
        <v>0</v>
      </c>
      <c r="I349" s="1" t="n">
        <f aca="false">IF($A349="","",物件マスタ!M349)</f>
        <v>1769.75</v>
      </c>
      <c r="J349" s="1" t="n">
        <f aca="false">IF($A349="","",物件マスタ!S349)</f>
        <v>0</v>
      </c>
      <c r="K349" s="1" t="n">
        <f aca="false">IF($A349="","",物件マスタ!U349)</f>
        <v>1960</v>
      </c>
      <c r="L349" s="1" t="n">
        <f aca="false">IF($A349="","",物件マスタ!W349)</f>
        <v>1</v>
      </c>
      <c r="M349" s="1" t="str">
        <f aca="false">IF($A349="","",IFERROR(INDEX(法人マスタ!$H:$H,MATCH($B349,法人マスタ!$A:$A,0)),""))</f>
        <v>2026年4月期（第41期）</v>
      </c>
      <c r="N349" s="1" t="n">
        <f aca="false">IF($A349="","",SUMIFS(物件収支!$D:$D,物件収支!$A:$A,$A349,物件収支!$C:$C,$M349))</f>
        <v>6</v>
      </c>
      <c r="O349" s="1" t="n">
        <f aca="false">IF($A349="","",SUMIFS(物件収支!$F:$F,物件収支!$A:$A,$A349,物件収支!$C:$C,$M349))</f>
        <v>57589</v>
      </c>
      <c r="P349" s="1" t="n">
        <f aca="false">IF($A349="","",SUMIFS(物件収支!$I:$I,物件収支!$A:$A,$A349,物件収支!$C:$C,$M349))</f>
        <v>0</v>
      </c>
      <c r="Q349" s="1" t="n">
        <f aca="false">IF($A349="","",SUMIFS(物件収支!$O:$O,物件収支!$A:$A,$A349,物件収支!$C:$C,$M349))</f>
        <v>0</v>
      </c>
      <c r="R349" s="1" t="str">
        <f aca="false">IF($A349="","",IF(P349=0,"",O349-P349))</f>
        <v/>
      </c>
      <c r="S349" s="1" t="str">
        <f aca="false">IF($A349="","",IF(R349="","",R349+Q349))</f>
        <v/>
      </c>
      <c r="T349" s="1" t="str">
        <f aca="false">IF($A349="","",IF(OR(S349="",N349&lt;=0),"",S349/1000*12/N349))</f>
        <v/>
      </c>
      <c r="U349" s="1" t="str">
        <f aca="false">IF($A349="","",IF(OR(T349="",J349=0,J349=""),"",T349/J349))</f>
        <v/>
      </c>
      <c r="V349" s="1" t="str">
        <f aca="false">IF($A349="","",IF(OR(R349="",N349&lt;=0,J349=0,J349=""),"",(R349/1000*12/N349)/J349))</f>
        <v/>
      </c>
      <c r="W349" s="1" t="str">
        <f aca="false">IF($A349="","",IF(OR(T349="",K349=0,K349=""),"",T349/K349))</f>
        <v/>
      </c>
      <c r="X349" s="1" t="n">
        <f aca="false">IF($A349="","",IF(OR(N349&lt;=0,I349=0,I349="",O349=0),"",O349*1000/(I349*0.3025)/N349))</f>
        <v>17928.7902720848</v>
      </c>
      <c r="Y349" s="1" t="str">
        <f aca="false">IF($A349="","",IF(OR(O349=0,O349="",P349=0),"",P349/O349))</f>
        <v/>
      </c>
      <c r="Z349" s="1" t="str">
        <f aca="false">IF($A349="","",IFERROR(INDEX(物件収支!$E:$E,MATCH($A349,物件収支!$A:$A,0)),""))</f>
        <v>開示（物件別・収益のみ）</v>
      </c>
    </row>
    <row r="350" customFormat="false" ht="16.5" hidden="false" customHeight="true" outlineLevel="0" collapsed="false">
      <c r="A350" s="1" t="str">
        <f aca="false">IF(物件マスタ!A350="","",物件マスタ!A350)</f>
        <v>ICG-53</v>
      </c>
      <c r="B350" s="1" t="str">
        <f aca="false">IF($A350="","",物件マスタ!B350)</f>
        <v>ICG</v>
      </c>
      <c r="C350" s="1" t="str">
        <f aca="false">IF($A350="","",IFERROR(INDEX(法人マスタ!$C:$C,MATCH($B350,法人マスタ!$A:$A,0)),""))</f>
        <v>いちごオフィスリート投資法人</v>
      </c>
      <c r="D350" s="1" t="str">
        <f aca="false">IF($A350="","",物件マスタ!C350)</f>
        <v>いちご博多ビル</v>
      </c>
      <c r="E350" s="1" t="str">
        <f aca="false">IF($A350="","",物件マスタ!H350)</f>
        <v>その他3大都市圏</v>
      </c>
      <c r="F350" s="1" t="n">
        <f aca="false">IF($A350="","",物件マスタ!P350)</f>
        <v>0</v>
      </c>
      <c r="G350" s="1" t="str">
        <f aca="false">IF($A350="","",物件マスタ!Q350)</f>
        <v/>
      </c>
      <c r="H350" s="1" t="n">
        <f aca="false">IF($A350="","",物件マスタ!L350)</f>
        <v>0</v>
      </c>
      <c r="I350" s="1" t="n">
        <f aca="false">IF($A350="","",物件マスタ!M350)</f>
        <v>2423.86</v>
      </c>
      <c r="J350" s="1" t="n">
        <f aca="false">IF($A350="","",物件マスタ!S350)</f>
        <v>0</v>
      </c>
      <c r="K350" s="1" t="n">
        <f aca="false">IF($A350="","",物件マスタ!U350)</f>
        <v>1660</v>
      </c>
      <c r="L350" s="1" t="n">
        <f aca="false">IF($A350="","",物件マスタ!W350)</f>
        <v>1</v>
      </c>
      <c r="M350" s="1" t="str">
        <f aca="false">IF($A350="","",IFERROR(INDEX(法人マスタ!$H:$H,MATCH($B350,法人マスタ!$A:$A,0)),""))</f>
        <v>2026年4月期（第41期）</v>
      </c>
      <c r="N350" s="1" t="n">
        <f aca="false">IF($A350="","",SUMIFS(物件収支!$D:$D,物件収支!$A:$A,$A350,物件収支!$C:$C,$M350))</f>
        <v>6</v>
      </c>
      <c r="O350" s="1" t="n">
        <f aca="false">IF($A350="","",SUMIFS(物件収支!$F:$F,物件収支!$A:$A,$A350,物件収支!$C:$C,$M350))</f>
        <v>58866</v>
      </c>
      <c r="P350" s="1" t="n">
        <f aca="false">IF($A350="","",SUMIFS(物件収支!$I:$I,物件収支!$A:$A,$A350,物件収支!$C:$C,$M350))</f>
        <v>0</v>
      </c>
      <c r="Q350" s="1" t="n">
        <f aca="false">IF($A350="","",SUMIFS(物件収支!$O:$O,物件収支!$A:$A,$A350,物件収支!$C:$C,$M350))</f>
        <v>0</v>
      </c>
      <c r="R350" s="1" t="str">
        <f aca="false">IF($A350="","",IF(P350=0,"",O350-P350))</f>
        <v/>
      </c>
      <c r="S350" s="1" t="str">
        <f aca="false">IF($A350="","",IF(R350="","",R350+Q350))</f>
        <v/>
      </c>
      <c r="T350" s="1" t="str">
        <f aca="false">IF($A350="","",IF(OR(S350="",N350&lt;=0),"",S350/1000*12/N350))</f>
        <v/>
      </c>
      <c r="U350" s="1" t="str">
        <f aca="false">IF($A350="","",IF(OR(T350="",J350=0,J350=""),"",T350/J350))</f>
        <v/>
      </c>
      <c r="V350" s="1" t="str">
        <f aca="false">IF($A350="","",IF(OR(R350="",N350&lt;=0,J350=0,J350=""),"",(R350/1000*12/N350)/J350))</f>
        <v/>
      </c>
      <c r="W350" s="1" t="str">
        <f aca="false">IF($A350="","",IF(OR(T350="",K350=0,K350=""),"",T350/K350))</f>
        <v/>
      </c>
      <c r="X350" s="1" t="n">
        <f aca="false">IF($A350="","",IF(OR(N350&lt;=0,I350=0,I350="",O350=0),"",O350*1000/(I350*0.3025)/N350))</f>
        <v>13380.7471765035</v>
      </c>
      <c r="Y350" s="1" t="str">
        <f aca="false">IF($A350="","",IF(OR(O350=0,O350="",P350=0),"",P350/O350))</f>
        <v/>
      </c>
      <c r="Z350" s="1" t="str">
        <f aca="false">IF($A350="","",IFERROR(INDEX(物件収支!$E:$E,MATCH($A350,物件収支!$A:$A,0)),""))</f>
        <v>開示（物件別・収益のみ）</v>
      </c>
    </row>
    <row r="351" customFormat="false" ht="16.5" hidden="false" customHeight="true" outlineLevel="0" collapsed="false">
      <c r="A351" s="1" t="str">
        <f aca="false">IF(物件マスタ!A351="","",物件マスタ!A351)</f>
        <v>ICG-54</v>
      </c>
      <c r="B351" s="1" t="str">
        <f aca="false">IF($A351="","",物件マスタ!B351)</f>
        <v>ICG</v>
      </c>
      <c r="C351" s="1" t="str">
        <f aca="false">IF($A351="","",IFERROR(INDEX(法人マスタ!$C:$C,MATCH($B351,法人マスタ!$A:$A,0)),""))</f>
        <v>いちごオフィスリート投資法人</v>
      </c>
      <c r="D351" s="1" t="str">
        <f aca="false">IF($A351="","",物件マスタ!C351)</f>
        <v>いちご錦ファーストビル</v>
      </c>
      <c r="E351" s="1" t="str">
        <f aca="false">IF($A351="","",物件マスタ!H351)</f>
        <v>その他3大都市圏</v>
      </c>
      <c r="F351" s="1" t="n">
        <f aca="false">IF($A351="","",物件マスタ!P351)</f>
        <v>0</v>
      </c>
      <c r="G351" s="1" t="str">
        <f aca="false">IF($A351="","",物件マスタ!Q351)</f>
        <v/>
      </c>
      <c r="H351" s="1" t="n">
        <f aca="false">IF($A351="","",物件マスタ!L351)</f>
        <v>0</v>
      </c>
      <c r="I351" s="1" t="n">
        <f aca="false">IF($A351="","",物件マスタ!M351)</f>
        <v>3324.74</v>
      </c>
      <c r="J351" s="1" t="n">
        <f aca="false">IF($A351="","",物件マスタ!S351)</f>
        <v>0</v>
      </c>
      <c r="K351" s="1" t="n">
        <f aca="false">IF($A351="","",物件マスタ!U351)</f>
        <v>2530</v>
      </c>
      <c r="L351" s="1" t="n">
        <f aca="false">IF($A351="","",物件マスタ!W351)</f>
        <v>0.896</v>
      </c>
      <c r="M351" s="1" t="str">
        <f aca="false">IF($A351="","",IFERROR(INDEX(法人マスタ!$H:$H,MATCH($B351,法人マスタ!$A:$A,0)),""))</f>
        <v>2026年4月期（第41期）</v>
      </c>
      <c r="N351" s="1" t="n">
        <f aca="false">IF($A351="","",SUMIFS(物件収支!$D:$D,物件収支!$A:$A,$A351,物件収支!$C:$C,$M351))</f>
        <v>6</v>
      </c>
      <c r="O351" s="1" t="n">
        <f aca="false">IF($A351="","",SUMIFS(物件収支!$F:$F,物件収支!$A:$A,$A351,物件収支!$C:$C,$M351))</f>
        <v>71303</v>
      </c>
      <c r="P351" s="1" t="n">
        <f aca="false">IF($A351="","",SUMIFS(物件収支!$I:$I,物件収支!$A:$A,$A351,物件収支!$C:$C,$M351))</f>
        <v>0</v>
      </c>
      <c r="Q351" s="1" t="n">
        <f aca="false">IF($A351="","",SUMIFS(物件収支!$O:$O,物件収支!$A:$A,$A351,物件収支!$C:$C,$M351))</f>
        <v>0</v>
      </c>
      <c r="R351" s="1" t="str">
        <f aca="false">IF($A351="","",IF(P351=0,"",O351-P351))</f>
        <v/>
      </c>
      <c r="S351" s="1" t="str">
        <f aca="false">IF($A351="","",IF(R351="","",R351+Q351))</f>
        <v/>
      </c>
      <c r="T351" s="1" t="str">
        <f aca="false">IF($A351="","",IF(OR(S351="",N351&lt;=0),"",S351/1000*12/N351))</f>
        <v/>
      </c>
      <c r="U351" s="1" t="str">
        <f aca="false">IF($A351="","",IF(OR(T351="",J351=0,J351=""),"",T351/J351))</f>
        <v/>
      </c>
      <c r="V351" s="1" t="str">
        <f aca="false">IF($A351="","",IF(OR(R351="",N351&lt;=0,J351=0,J351=""),"",(R351/1000*12/N351)/J351))</f>
        <v/>
      </c>
      <c r="W351" s="1" t="str">
        <f aca="false">IF($A351="","",IF(OR(T351="",K351=0,K351=""),"",T351/K351))</f>
        <v/>
      </c>
      <c r="X351" s="1" t="n">
        <f aca="false">IF($A351="","",IF(OR(N351&lt;=0,I351=0,I351="",O351=0),"",O351*1000/(I351*0.3025)/N351))</f>
        <v>11816.0816933161</v>
      </c>
      <c r="Y351" s="1" t="str">
        <f aca="false">IF($A351="","",IF(OR(O351=0,O351="",P351=0),"",P351/O351))</f>
        <v/>
      </c>
      <c r="Z351" s="1" t="str">
        <f aca="false">IF($A351="","",IFERROR(INDEX(物件収支!$E:$E,MATCH($A351,物件収支!$A:$A,0)),""))</f>
        <v>開示（物件別・収益のみ）</v>
      </c>
    </row>
    <row r="352" customFormat="false" ht="16.5" hidden="false" customHeight="true" outlineLevel="0" collapsed="false">
      <c r="A352" s="1" t="str">
        <f aca="false">IF(物件マスタ!A352="","",物件マスタ!A352)</f>
        <v>ICG-55</v>
      </c>
      <c r="B352" s="1" t="str">
        <f aca="false">IF($A352="","",物件マスタ!B352)</f>
        <v>ICG</v>
      </c>
      <c r="C352" s="1" t="str">
        <f aca="false">IF($A352="","",IFERROR(INDEX(法人マスタ!$C:$C,MATCH($B352,法人マスタ!$A:$A,0)),""))</f>
        <v>いちごオフィスリート投資法人</v>
      </c>
      <c r="D352" s="1" t="str">
        <f aca="false">IF($A352="","",物件マスタ!C352)</f>
        <v>いちご池袋イーストビル</v>
      </c>
      <c r="E352" s="1" t="str">
        <f aca="false">IF($A352="","",物件マスタ!H352)</f>
        <v>その他東京23区</v>
      </c>
      <c r="F352" s="1" t="n">
        <f aca="false">IF($A352="","",物件マスタ!P352)</f>
        <v>0</v>
      </c>
      <c r="G352" s="1" t="str">
        <f aca="false">IF($A352="","",物件マスタ!Q352)</f>
        <v/>
      </c>
      <c r="H352" s="1" t="n">
        <f aca="false">IF($A352="","",物件マスタ!L352)</f>
        <v>0</v>
      </c>
      <c r="I352" s="1" t="n">
        <f aca="false">IF($A352="","",物件マスタ!M352)</f>
        <v>3118.69</v>
      </c>
      <c r="J352" s="1" t="n">
        <f aca="false">IF($A352="","",物件マスタ!S352)</f>
        <v>0</v>
      </c>
      <c r="K352" s="1" t="n">
        <f aca="false">IF($A352="","",物件マスタ!U352)</f>
        <v>3670</v>
      </c>
      <c r="L352" s="1" t="n">
        <f aca="false">IF($A352="","",物件マスタ!W352)</f>
        <v>1</v>
      </c>
      <c r="M352" s="1" t="str">
        <f aca="false">IF($A352="","",IFERROR(INDEX(法人マスタ!$H:$H,MATCH($B352,法人マスタ!$A:$A,0)),""))</f>
        <v>2026年4月期（第41期）</v>
      </c>
      <c r="N352" s="1" t="n">
        <f aca="false">IF($A352="","",SUMIFS(物件収支!$D:$D,物件収支!$A:$A,$A352,物件収支!$C:$C,$M352))</f>
        <v>6</v>
      </c>
      <c r="O352" s="1" t="n">
        <f aca="false">IF($A352="","",SUMIFS(物件収支!$F:$F,物件収支!$A:$A,$A352,物件収支!$C:$C,$M352))</f>
        <v>101035</v>
      </c>
      <c r="P352" s="1" t="n">
        <f aca="false">IF($A352="","",SUMIFS(物件収支!$I:$I,物件収支!$A:$A,$A352,物件収支!$C:$C,$M352))</f>
        <v>0</v>
      </c>
      <c r="Q352" s="1" t="n">
        <f aca="false">IF($A352="","",SUMIFS(物件収支!$O:$O,物件収支!$A:$A,$A352,物件収支!$C:$C,$M352))</f>
        <v>0</v>
      </c>
      <c r="R352" s="1" t="str">
        <f aca="false">IF($A352="","",IF(P352=0,"",O352-P352))</f>
        <v/>
      </c>
      <c r="S352" s="1" t="str">
        <f aca="false">IF($A352="","",IF(R352="","",R352+Q352))</f>
        <v/>
      </c>
      <c r="T352" s="1" t="str">
        <f aca="false">IF($A352="","",IF(OR(S352="",N352&lt;=0),"",S352/1000*12/N352))</f>
        <v/>
      </c>
      <c r="U352" s="1" t="str">
        <f aca="false">IF($A352="","",IF(OR(T352="",J352=0,J352=""),"",T352/J352))</f>
        <v/>
      </c>
      <c r="V352" s="1" t="str">
        <f aca="false">IF($A352="","",IF(OR(R352="",N352&lt;=0,J352=0,J352=""),"",(R352/1000*12/N352)/J352))</f>
        <v/>
      </c>
      <c r="W352" s="1" t="str">
        <f aca="false">IF($A352="","",IF(OR(T352="",K352=0,K352=""),"",T352/K352))</f>
        <v/>
      </c>
      <c r="X352" s="1" t="n">
        <f aca="false">IF($A352="","",IF(OR(N352&lt;=0,I352=0,I352="",O352=0),"",O352*1000/(I352*0.3025)/N352))</f>
        <v>17849.3747909111</v>
      </c>
      <c r="Y352" s="1" t="str">
        <f aca="false">IF($A352="","",IF(OR(O352=0,O352="",P352=0),"",P352/O352))</f>
        <v/>
      </c>
      <c r="Z352" s="1" t="str">
        <f aca="false">IF($A352="","",IFERROR(INDEX(物件収支!$E:$E,MATCH($A352,物件収支!$A:$A,0)),""))</f>
        <v>開示（物件別・収益のみ）</v>
      </c>
    </row>
    <row r="353" customFormat="false" ht="16.5" hidden="false" customHeight="true" outlineLevel="0" collapsed="false">
      <c r="A353" s="1" t="str">
        <f aca="false">IF(物件マスタ!A353="","",物件マスタ!A353)</f>
        <v>ICG-56</v>
      </c>
      <c r="B353" s="1" t="str">
        <f aca="false">IF($A353="","",物件マスタ!B353)</f>
        <v>ICG</v>
      </c>
      <c r="C353" s="1" t="str">
        <f aca="false">IF($A353="","",IFERROR(INDEX(法人マスタ!$C:$C,MATCH($B353,法人マスタ!$A:$A,0)),""))</f>
        <v>いちごオフィスリート投資法人</v>
      </c>
      <c r="D353" s="1" t="str">
        <f aca="false">IF($A353="","",物件マスタ!C353)</f>
        <v>いちご元麻布ビル</v>
      </c>
      <c r="E353" s="1" t="str">
        <f aca="false">IF($A353="","",物件マスタ!H353)</f>
        <v>都心5区</v>
      </c>
      <c r="F353" s="1" t="n">
        <f aca="false">IF($A353="","",物件マスタ!P353)</f>
        <v>0</v>
      </c>
      <c r="G353" s="1" t="str">
        <f aca="false">IF($A353="","",物件マスタ!Q353)</f>
        <v/>
      </c>
      <c r="H353" s="1" t="n">
        <f aca="false">IF($A353="","",物件マスタ!L353)</f>
        <v>0</v>
      </c>
      <c r="I353" s="1" t="n">
        <f aca="false">IF($A353="","",物件マスタ!M353)</f>
        <v>1329.96</v>
      </c>
      <c r="J353" s="1" t="n">
        <f aca="false">IF($A353="","",物件マスタ!S353)</f>
        <v>0</v>
      </c>
      <c r="K353" s="1" t="n">
        <f aca="false">IF($A353="","",物件マスタ!U353)</f>
        <v>2250</v>
      </c>
      <c r="L353" s="1" t="n">
        <f aca="false">IF($A353="","",物件マスタ!W353)</f>
        <v>1</v>
      </c>
      <c r="M353" s="1" t="str">
        <f aca="false">IF($A353="","",IFERROR(INDEX(法人マスタ!$H:$H,MATCH($B353,法人マスタ!$A:$A,0)),""))</f>
        <v>2026年4月期（第41期）</v>
      </c>
      <c r="N353" s="1" t="n">
        <f aca="false">IF($A353="","",SUMIFS(物件収支!$D:$D,物件収支!$A:$A,$A353,物件収支!$C:$C,$M353))</f>
        <v>6</v>
      </c>
      <c r="O353" s="1" t="n">
        <f aca="false">IF($A353="","",SUMIFS(物件収支!$F:$F,物件収支!$A:$A,$A353,物件収支!$C:$C,$M353))</f>
        <v>60010</v>
      </c>
      <c r="P353" s="1" t="n">
        <f aca="false">IF($A353="","",SUMIFS(物件収支!$I:$I,物件収支!$A:$A,$A353,物件収支!$C:$C,$M353))</f>
        <v>0</v>
      </c>
      <c r="Q353" s="1" t="n">
        <f aca="false">IF($A353="","",SUMIFS(物件収支!$O:$O,物件収支!$A:$A,$A353,物件収支!$C:$C,$M353))</f>
        <v>0</v>
      </c>
      <c r="R353" s="1" t="str">
        <f aca="false">IF($A353="","",IF(P353=0,"",O353-P353))</f>
        <v/>
      </c>
      <c r="S353" s="1" t="str">
        <f aca="false">IF($A353="","",IF(R353="","",R353+Q353))</f>
        <v/>
      </c>
      <c r="T353" s="1" t="str">
        <f aca="false">IF($A353="","",IF(OR(S353="",N353&lt;=0),"",S353/1000*12/N353))</f>
        <v/>
      </c>
      <c r="U353" s="1" t="str">
        <f aca="false">IF($A353="","",IF(OR(T353="",J353=0,J353=""),"",T353/J353))</f>
        <v/>
      </c>
      <c r="V353" s="1" t="str">
        <f aca="false">IF($A353="","",IF(OR(R353="",N353&lt;=0,J353=0,J353=""),"",(R353/1000*12/N353)/J353))</f>
        <v/>
      </c>
      <c r="W353" s="1" t="str">
        <f aca="false">IF($A353="","",IF(OR(T353="",K353=0,K353=""),"",T353/K353))</f>
        <v/>
      </c>
      <c r="X353" s="1" t="n">
        <f aca="false">IF($A353="","",IF(OR(N353&lt;=0,I353=0,I353="",O353=0),"",O353*1000/(I353*0.3025)/N353))</f>
        <v>24860.4175174762</v>
      </c>
      <c r="Y353" s="1" t="str">
        <f aca="false">IF($A353="","",IF(OR(O353=0,O353="",P353=0),"",P353/O353))</f>
        <v/>
      </c>
      <c r="Z353" s="1" t="str">
        <f aca="false">IF($A353="","",IFERROR(INDEX(物件収支!$E:$E,MATCH($A353,物件収支!$A:$A,0)),""))</f>
        <v>開示（物件別・収益のみ）</v>
      </c>
    </row>
    <row r="354" customFormat="false" ht="16.5" hidden="false" customHeight="true" outlineLevel="0" collapsed="false">
      <c r="A354" s="1" t="str">
        <f aca="false">IF(物件マスタ!A354="","",物件マスタ!A354)</f>
        <v>ICG-57</v>
      </c>
      <c r="B354" s="1" t="str">
        <f aca="false">IF($A354="","",物件マスタ!B354)</f>
        <v>ICG</v>
      </c>
      <c r="C354" s="1" t="str">
        <f aca="false">IF($A354="","",IFERROR(INDEX(法人マスタ!$C:$C,MATCH($B354,法人マスタ!$A:$A,0)),""))</f>
        <v>いちごオフィスリート投資法人</v>
      </c>
      <c r="D354" s="1" t="str">
        <f aca="false">IF($A354="","",物件マスタ!C354)</f>
        <v>いちご大塚ビル</v>
      </c>
      <c r="E354" s="1" t="str">
        <f aca="false">IF($A354="","",物件マスタ!H354)</f>
        <v>その他東京23区</v>
      </c>
      <c r="F354" s="1" t="n">
        <f aca="false">IF($A354="","",物件マスタ!P354)</f>
        <v>0</v>
      </c>
      <c r="G354" s="1" t="str">
        <f aca="false">IF($A354="","",物件マスタ!Q354)</f>
        <v/>
      </c>
      <c r="H354" s="1" t="n">
        <f aca="false">IF($A354="","",物件マスタ!L354)</f>
        <v>0</v>
      </c>
      <c r="I354" s="1" t="n">
        <f aca="false">IF($A354="","",物件マスタ!M354)</f>
        <v>3616.77</v>
      </c>
      <c r="J354" s="1" t="n">
        <f aca="false">IF($A354="","",物件マスタ!S354)</f>
        <v>0</v>
      </c>
      <c r="K354" s="1" t="n">
        <f aca="false">IF($A354="","",物件マスタ!U354)</f>
        <v>3460</v>
      </c>
      <c r="L354" s="1" t="n">
        <f aca="false">IF($A354="","",物件マスタ!W354)</f>
        <v>1</v>
      </c>
      <c r="M354" s="1" t="str">
        <f aca="false">IF($A354="","",IFERROR(INDEX(法人マスタ!$H:$H,MATCH($B354,法人マスタ!$A:$A,0)),""))</f>
        <v>2026年4月期（第41期）</v>
      </c>
      <c r="N354" s="1" t="n">
        <f aca="false">IF($A354="","",SUMIFS(物件収支!$D:$D,物件収支!$A:$A,$A354,物件収支!$C:$C,$M354))</f>
        <v>6</v>
      </c>
      <c r="O354" s="1" t="n">
        <f aca="false">IF($A354="","",SUMIFS(物件収支!$F:$F,物件収支!$A:$A,$A354,物件収支!$C:$C,$M354))</f>
        <v>102517</v>
      </c>
      <c r="P354" s="1" t="n">
        <f aca="false">IF($A354="","",SUMIFS(物件収支!$I:$I,物件収支!$A:$A,$A354,物件収支!$C:$C,$M354))</f>
        <v>0</v>
      </c>
      <c r="Q354" s="1" t="n">
        <f aca="false">IF($A354="","",SUMIFS(物件収支!$O:$O,物件収支!$A:$A,$A354,物件収支!$C:$C,$M354))</f>
        <v>0</v>
      </c>
      <c r="R354" s="1" t="str">
        <f aca="false">IF($A354="","",IF(P354=0,"",O354-P354))</f>
        <v/>
      </c>
      <c r="S354" s="1" t="str">
        <f aca="false">IF($A354="","",IF(R354="","",R354+Q354))</f>
        <v/>
      </c>
      <c r="T354" s="1" t="str">
        <f aca="false">IF($A354="","",IF(OR(S354="",N354&lt;=0),"",S354/1000*12/N354))</f>
        <v/>
      </c>
      <c r="U354" s="1" t="str">
        <f aca="false">IF($A354="","",IF(OR(T354="",J354=0,J354=""),"",T354/J354))</f>
        <v/>
      </c>
      <c r="V354" s="1" t="str">
        <f aca="false">IF($A354="","",IF(OR(R354="",N354&lt;=0,J354=0,J354=""),"",(R354/1000*12/N354)/J354))</f>
        <v/>
      </c>
      <c r="W354" s="1" t="str">
        <f aca="false">IF($A354="","",IF(OR(T354="",K354=0,K354=""),"",T354/K354))</f>
        <v/>
      </c>
      <c r="X354" s="1" t="n">
        <f aca="false">IF($A354="","",IF(OR(N354&lt;=0,I354=0,I354="",O354=0),"",O354*1000/(I354*0.3025)/N354))</f>
        <v>15617.0272348771</v>
      </c>
      <c r="Y354" s="1" t="str">
        <f aca="false">IF($A354="","",IF(OR(O354=0,O354="",P354=0),"",P354/O354))</f>
        <v/>
      </c>
      <c r="Z354" s="1" t="str">
        <f aca="false">IF($A354="","",IFERROR(INDEX(物件収支!$E:$E,MATCH($A354,物件収支!$A:$A,0)),""))</f>
        <v>開示（物件別・収益のみ）</v>
      </c>
    </row>
    <row r="355" customFormat="false" ht="16.5" hidden="false" customHeight="true" outlineLevel="0" collapsed="false">
      <c r="A355" s="1" t="str">
        <f aca="false">IF(物件マスタ!A355="","",物件マスタ!A355)</f>
        <v>ICG-58</v>
      </c>
      <c r="B355" s="1" t="str">
        <f aca="false">IF($A355="","",物件マスタ!B355)</f>
        <v>ICG</v>
      </c>
      <c r="C355" s="1" t="str">
        <f aca="false">IF($A355="","",IFERROR(INDEX(法人マスタ!$C:$C,MATCH($B355,法人マスタ!$A:$A,0)),""))</f>
        <v>いちごオフィスリート投資法人</v>
      </c>
      <c r="D355" s="1" t="str">
        <f aca="false">IF($A355="","",物件マスタ!C355)</f>
        <v>いちご名古屋ビル</v>
      </c>
      <c r="E355" s="1" t="str">
        <f aca="false">IF($A355="","",物件マスタ!H355)</f>
        <v>その他3大都市圏</v>
      </c>
      <c r="F355" s="1" t="n">
        <f aca="false">IF($A355="","",物件マスタ!P355)</f>
        <v>0</v>
      </c>
      <c r="G355" s="1" t="str">
        <f aca="false">IF($A355="","",物件マスタ!Q355)</f>
        <v/>
      </c>
      <c r="H355" s="1" t="n">
        <f aca="false">IF($A355="","",物件マスタ!L355)</f>
        <v>0</v>
      </c>
      <c r="I355" s="1" t="n">
        <f aca="false">IF($A355="","",物件マスタ!M355)</f>
        <v>4929.97</v>
      </c>
      <c r="J355" s="1" t="n">
        <f aca="false">IF($A355="","",物件マスタ!S355)</f>
        <v>0</v>
      </c>
      <c r="K355" s="1" t="n">
        <f aca="false">IF($A355="","",物件マスタ!U355)</f>
        <v>4330</v>
      </c>
      <c r="L355" s="1" t="n">
        <f aca="false">IF($A355="","",物件マスタ!W355)</f>
        <v>0.99</v>
      </c>
      <c r="M355" s="1" t="str">
        <f aca="false">IF($A355="","",IFERROR(INDEX(法人マスタ!$H:$H,MATCH($B355,法人マスタ!$A:$A,0)),""))</f>
        <v>2026年4月期（第41期）</v>
      </c>
      <c r="N355" s="1" t="n">
        <f aca="false">IF($A355="","",SUMIFS(物件収支!$D:$D,物件収支!$A:$A,$A355,物件収支!$C:$C,$M355))</f>
        <v>6</v>
      </c>
      <c r="O355" s="1" t="n">
        <f aca="false">IF($A355="","",SUMIFS(物件収支!$F:$F,物件収支!$A:$A,$A355,物件収支!$C:$C,$M355))</f>
        <v>160304</v>
      </c>
      <c r="P355" s="1" t="n">
        <f aca="false">IF($A355="","",SUMIFS(物件収支!$I:$I,物件収支!$A:$A,$A355,物件収支!$C:$C,$M355))</f>
        <v>0</v>
      </c>
      <c r="Q355" s="1" t="n">
        <f aca="false">IF($A355="","",SUMIFS(物件収支!$O:$O,物件収支!$A:$A,$A355,物件収支!$C:$C,$M355))</f>
        <v>0</v>
      </c>
      <c r="R355" s="1" t="str">
        <f aca="false">IF($A355="","",IF(P355=0,"",O355-P355))</f>
        <v/>
      </c>
      <c r="S355" s="1" t="str">
        <f aca="false">IF($A355="","",IF(R355="","",R355+Q355))</f>
        <v/>
      </c>
      <c r="T355" s="1" t="str">
        <f aca="false">IF($A355="","",IF(OR(S355="",N355&lt;=0),"",S355/1000*12/N355))</f>
        <v/>
      </c>
      <c r="U355" s="1" t="str">
        <f aca="false">IF($A355="","",IF(OR(T355="",J355=0,J355=""),"",T355/J355))</f>
        <v/>
      </c>
      <c r="V355" s="1" t="str">
        <f aca="false">IF($A355="","",IF(OR(R355="",N355&lt;=0,J355=0,J355=""),"",(R355/1000*12/N355)/J355))</f>
        <v/>
      </c>
      <c r="W355" s="1" t="str">
        <f aca="false">IF($A355="","",IF(OR(T355="",K355=0,K355=""),"",T355/K355))</f>
        <v/>
      </c>
      <c r="X355" s="1" t="n">
        <f aca="false">IF($A355="","",IF(OR(N355&lt;=0,I355=0,I355="",O355=0),"",O355*1000/(I355*0.3025)/N355))</f>
        <v>17915.2739439387</v>
      </c>
      <c r="Y355" s="1" t="str">
        <f aca="false">IF($A355="","",IF(OR(O355=0,O355="",P355=0),"",P355/O355))</f>
        <v/>
      </c>
      <c r="Z355" s="1" t="str">
        <f aca="false">IF($A355="","",IFERROR(INDEX(物件収支!$E:$E,MATCH($A355,物件収支!$A:$A,0)),""))</f>
        <v>開示（物件別・収益のみ）</v>
      </c>
    </row>
    <row r="356" customFormat="false" ht="16.5" hidden="false" customHeight="true" outlineLevel="0" collapsed="false">
      <c r="A356" s="1" t="str">
        <f aca="false">IF(物件マスタ!A356="","",物件マスタ!A356)</f>
        <v>ICG-59</v>
      </c>
      <c r="B356" s="1" t="str">
        <f aca="false">IF($A356="","",物件マスタ!B356)</f>
        <v>ICG</v>
      </c>
      <c r="C356" s="1" t="str">
        <f aca="false">IF($A356="","",IFERROR(INDEX(法人マスタ!$C:$C,MATCH($B356,法人マスタ!$A:$A,0)),""))</f>
        <v>いちごオフィスリート投資法人</v>
      </c>
      <c r="D356" s="1" t="str">
        <f aca="false">IF($A356="","",物件マスタ!C356)</f>
        <v>いちご伏見ビル</v>
      </c>
      <c r="E356" s="1" t="str">
        <f aca="false">IF($A356="","",物件マスタ!H356)</f>
        <v>その他3大都市圏</v>
      </c>
      <c r="F356" s="1" t="n">
        <f aca="false">IF($A356="","",物件マスタ!P356)</f>
        <v>0</v>
      </c>
      <c r="G356" s="1" t="str">
        <f aca="false">IF($A356="","",物件マスタ!Q356)</f>
        <v/>
      </c>
      <c r="H356" s="1" t="n">
        <f aca="false">IF($A356="","",物件マスタ!L356)</f>
        <v>0</v>
      </c>
      <c r="I356" s="1" t="n">
        <f aca="false">IF($A356="","",物件マスタ!M356)</f>
        <v>4155.6</v>
      </c>
      <c r="J356" s="1" t="n">
        <f aca="false">IF($A356="","",物件マスタ!S356)</f>
        <v>0</v>
      </c>
      <c r="K356" s="1" t="n">
        <f aca="false">IF($A356="","",物件マスタ!U356)</f>
        <v>2630</v>
      </c>
      <c r="L356" s="1" t="n">
        <f aca="false">IF($A356="","",物件マスタ!W356)</f>
        <v>0.938</v>
      </c>
      <c r="M356" s="1" t="str">
        <f aca="false">IF($A356="","",IFERROR(INDEX(法人マスタ!$H:$H,MATCH($B356,法人マスタ!$A:$A,0)),""))</f>
        <v>2026年4月期（第41期）</v>
      </c>
      <c r="N356" s="1" t="n">
        <f aca="false">IF($A356="","",SUMIFS(物件収支!$D:$D,物件収支!$A:$A,$A356,物件収支!$C:$C,$M356))</f>
        <v>6</v>
      </c>
      <c r="O356" s="1" t="n">
        <f aca="false">IF($A356="","",SUMIFS(物件収支!$F:$F,物件収支!$A:$A,$A356,物件収支!$C:$C,$M356))</f>
        <v>94432</v>
      </c>
      <c r="P356" s="1" t="n">
        <f aca="false">IF($A356="","",SUMIFS(物件収支!$I:$I,物件収支!$A:$A,$A356,物件収支!$C:$C,$M356))</f>
        <v>0</v>
      </c>
      <c r="Q356" s="1" t="n">
        <f aca="false">IF($A356="","",SUMIFS(物件収支!$O:$O,物件収支!$A:$A,$A356,物件収支!$C:$C,$M356))</f>
        <v>0</v>
      </c>
      <c r="R356" s="1" t="str">
        <f aca="false">IF($A356="","",IF(P356=0,"",O356-P356))</f>
        <v/>
      </c>
      <c r="S356" s="1" t="str">
        <f aca="false">IF($A356="","",IF(R356="","",R356+Q356))</f>
        <v/>
      </c>
      <c r="T356" s="1" t="str">
        <f aca="false">IF($A356="","",IF(OR(S356="",N356&lt;=0),"",S356/1000*12/N356))</f>
        <v/>
      </c>
      <c r="U356" s="1" t="str">
        <f aca="false">IF($A356="","",IF(OR(T356="",J356=0,J356=""),"",T356/J356))</f>
        <v/>
      </c>
      <c r="V356" s="1" t="str">
        <f aca="false">IF($A356="","",IF(OR(R356="",N356&lt;=0,J356=0,J356=""),"",(R356/1000*12/N356)/J356))</f>
        <v/>
      </c>
      <c r="W356" s="1" t="str">
        <f aca="false">IF($A356="","",IF(OR(T356="",K356=0,K356=""),"",T356/K356))</f>
        <v/>
      </c>
      <c r="X356" s="1" t="n">
        <f aca="false">IF($A356="","",IF(OR(N356&lt;=0,I356=0,I356="",O356=0),"",O356*1000/(I356*0.3025)/N356))</f>
        <v>12520.1294970019</v>
      </c>
      <c r="Y356" s="1" t="str">
        <f aca="false">IF($A356="","",IF(OR(O356=0,O356="",P356=0),"",P356/O356))</f>
        <v/>
      </c>
      <c r="Z356" s="1" t="str">
        <f aca="false">IF($A356="","",IFERROR(INDEX(物件収支!$E:$E,MATCH($A356,物件収支!$A:$A,0)),""))</f>
        <v>開示（物件別・収益のみ）</v>
      </c>
    </row>
    <row r="357" customFormat="false" ht="16.5" hidden="false" customHeight="true" outlineLevel="0" collapsed="false">
      <c r="A357" s="1" t="str">
        <f aca="false">IF(物件マスタ!A357="","",物件マスタ!A357)</f>
        <v>ICG-60</v>
      </c>
      <c r="B357" s="1" t="str">
        <f aca="false">IF($A357="","",物件マスタ!B357)</f>
        <v>ICG</v>
      </c>
      <c r="C357" s="1" t="str">
        <f aca="false">IF($A357="","",IFERROR(INDEX(法人マスタ!$C:$C,MATCH($B357,法人マスタ!$A:$A,0)),""))</f>
        <v>いちごオフィスリート投資法人</v>
      </c>
      <c r="D357" s="1" t="str">
        <f aca="false">IF($A357="","",物件マスタ!C357)</f>
        <v>いちご錦ビル</v>
      </c>
      <c r="E357" s="1" t="str">
        <f aca="false">IF($A357="","",物件マスタ!H357)</f>
        <v>その他3大都市圏</v>
      </c>
      <c r="F357" s="1" t="n">
        <f aca="false">IF($A357="","",物件マスタ!P357)</f>
        <v>0</v>
      </c>
      <c r="G357" s="1" t="str">
        <f aca="false">IF($A357="","",物件マスタ!Q357)</f>
        <v/>
      </c>
      <c r="H357" s="1" t="n">
        <f aca="false">IF($A357="","",物件マスタ!L357)</f>
        <v>0</v>
      </c>
      <c r="I357" s="1" t="n">
        <f aca="false">IF($A357="","",物件マスタ!M357)</f>
        <v>2007.77</v>
      </c>
      <c r="J357" s="1" t="n">
        <f aca="false">IF($A357="","",物件マスタ!S357)</f>
        <v>0</v>
      </c>
      <c r="K357" s="1" t="n">
        <f aca="false">IF($A357="","",物件マスタ!U357)</f>
        <v>1460</v>
      </c>
      <c r="L357" s="1" t="n">
        <f aca="false">IF($A357="","",物件マスタ!W357)</f>
        <v>1</v>
      </c>
      <c r="M357" s="1" t="str">
        <f aca="false">IF($A357="","",IFERROR(INDEX(法人マスタ!$H:$H,MATCH($B357,法人マスタ!$A:$A,0)),""))</f>
        <v>2026年4月期（第41期）</v>
      </c>
      <c r="N357" s="1" t="n">
        <f aca="false">IF($A357="","",SUMIFS(物件収支!$D:$D,物件収支!$A:$A,$A357,物件収支!$C:$C,$M357))</f>
        <v>6</v>
      </c>
      <c r="O357" s="1" t="n">
        <f aca="false">IF($A357="","",SUMIFS(物件収支!$F:$F,物件収支!$A:$A,$A357,物件収支!$C:$C,$M357))</f>
        <v>49868</v>
      </c>
      <c r="P357" s="1" t="n">
        <f aca="false">IF($A357="","",SUMIFS(物件収支!$I:$I,物件収支!$A:$A,$A357,物件収支!$C:$C,$M357))</f>
        <v>0</v>
      </c>
      <c r="Q357" s="1" t="n">
        <f aca="false">IF($A357="","",SUMIFS(物件収支!$O:$O,物件収支!$A:$A,$A357,物件収支!$C:$C,$M357))</f>
        <v>0</v>
      </c>
      <c r="R357" s="1" t="str">
        <f aca="false">IF($A357="","",IF(P357=0,"",O357-P357))</f>
        <v/>
      </c>
      <c r="S357" s="1" t="str">
        <f aca="false">IF($A357="","",IF(R357="","",R357+Q357))</f>
        <v/>
      </c>
      <c r="T357" s="1" t="str">
        <f aca="false">IF($A357="","",IF(OR(S357="",N357&lt;=0),"",S357/1000*12/N357))</f>
        <v/>
      </c>
      <c r="U357" s="1" t="str">
        <f aca="false">IF($A357="","",IF(OR(T357="",J357=0,J357=""),"",T357/J357))</f>
        <v/>
      </c>
      <c r="V357" s="1" t="str">
        <f aca="false">IF($A357="","",IF(OR(R357="",N357&lt;=0,J357=0,J357=""),"",(R357/1000*12/N357)/J357))</f>
        <v/>
      </c>
      <c r="W357" s="1" t="str">
        <f aca="false">IF($A357="","",IF(OR(T357="",K357=0,K357=""),"",T357/K357))</f>
        <v/>
      </c>
      <c r="X357" s="1" t="n">
        <f aca="false">IF($A357="","",IF(OR(N357&lt;=0,I357=0,I357="",O357=0),"",O357*1000/(I357*0.3025)/N357))</f>
        <v>13684.5764672567</v>
      </c>
      <c r="Y357" s="1" t="str">
        <f aca="false">IF($A357="","",IF(OR(O357=0,O357="",P357=0),"",P357/O357))</f>
        <v/>
      </c>
      <c r="Z357" s="1" t="str">
        <f aca="false">IF($A357="","",IFERROR(INDEX(物件収支!$E:$E,MATCH($A357,物件収支!$A:$A,0)),""))</f>
        <v>開示（物件別・収益のみ）</v>
      </c>
    </row>
    <row r="358" customFormat="false" ht="16.5" hidden="false" customHeight="true" outlineLevel="0" collapsed="false">
      <c r="A358" s="1" t="str">
        <f aca="false">IF(物件マスタ!A358="","",物件マスタ!A358)</f>
        <v>ICG-61</v>
      </c>
      <c r="B358" s="1" t="str">
        <f aca="false">IF($A358="","",物件マスタ!B358)</f>
        <v>ICG</v>
      </c>
      <c r="C358" s="1" t="str">
        <f aca="false">IF($A358="","",IFERROR(INDEX(法人マスタ!$C:$C,MATCH($B358,法人マスタ!$A:$A,0)),""))</f>
        <v>いちごオフィスリート投資法人</v>
      </c>
      <c r="D358" s="1" t="str">
        <f aca="false">IF($A358="","",物件マスタ!C358)</f>
        <v>いちご南森町ビル</v>
      </c>
      <c r="E358" s="1" t="str">
        <f aca="false">IF($A358="","",物件マスタ!H358)</f>
        <v>その他3大都市圏</v>
      </c>
      <c r="F358" s="1" t="n">
        <f aca="false">IF($A358="","",物件マスタ!P358)</f>
        <v>0</v>
      </c>
      <c r="G358" s="1" t="str">
        <f aca="false">IF($A358="","",物件マスタ!Q358)</f>
        <v/>
      </c>
      <c r="H358" s="1" t="n">
        <f aca="false">IF($A358="","",物件マスタ!L358)</f>
        <v>0</v>
      </c>
      <c r="I358" s="1" t="n">
        <f aca="false">IF($A358="","",物件マスタ!M358)</f>
        <v>2521.51</v>
      </c>
      <c r="J358" s="1" t="n">
        <f aca="false">IF($A358="","",物件マスタ!S358)</f>
        <v>0</v>
      </c>
      <c r="K358" s="1" t="n">
        <f aca="false">IF($A358="","",物件マスタ!U358)</f>
        <v>1360</v>
      </c>
      <c r="L358" s="1" t="n">
        <f aca="false">IF($A358="","",物件マスタ!W358)</f>
        <v>1</v>
      </c>
      <c r="M358" s="1" t="str">
        <f aca="false">IF($A358="","",IFERROR(INDEX(法人マスタ!$H:$H,MATCH($B358,法人マスタ!$A:$A,0)),""))</f>
        <v>2026年4月期（第41期）</v>
      </c>
      <c r="N358" s="1" t="n">
        <f aca="false">IF($A358="","",SUMIFS(物件収支!$D:$D,物件収支!$A:$A,$A358,物件収支!$C:$C,$M358))</f>
        <v>6</v>
      </c>
      <c r="O358" s="1" t="n">
        <f aca="false">IF($A358="","",SUMIFS(物件収支!$F:$F,物件収支!$A:$A,$A358,物件収支!$C:$C,$M358))</f>
        <v>52203</v>
      </c>
      <c r="P358" s="1" t="n">
        <f aca="false">IF($A358="","",SUMIFS(物件収支!$I:$I,物件収支!$A:$A,$A358,物件収支!$C:$C,$M358))</f>
        <v>0</v>
      </c>
      <c r="Q358" s="1" t="n">
        <f aca="false">IF($A358="","",SUMIFS(物件収支!$O:$O,物件収支!$A:$A,$A358,物件収支!$C:$C,$M358))</f>
        <v>0</v>
      </c>
      <c r="R358" s="1" t="str">
        <f aca="false">IF($A358="","",IF(P358=0,"",O358-P358))</f>
        <v/>
      </c>
      <c r="S358" s="1" t="str">
        <f aca="false">IF($A358="","",IF(R358="","",R358+Q358))</f>
        <v/>
      </c>
      <c r="T358" s="1" t="str">
        <f aca="false">IF($A358="","",IF(OR(S358="",N358&lt;=0),"",S358/1000*12/N358))</f>
        <v/>
      </c>
      <c r="U358" s="1" t="str">
        <f aca="false">IF($A358="","",IF(OR(T358="",J358=0,J358=""),"",T358/J358))</f>
        <v/>
      </c>
      <c r="V358" s="1" t="str">
        <f aca="false">IF($A358="","",IF(OR(R358="",N358&lt;=0,J358=0,J358=""),"",(R358/1000*12/N358)/J358))</f>
        <v/>
      </c>
      <c r="W358" s="1" t="str">
        <f aca="false">IF($A358="","",IF(OR(T358="",K358=0,K358=""),"",T358/K358))</f>
        <v/>
      </c>
      <c r="X358" s="1" t="n">
        <f aca="false">IF($A358="","",IF(OR(N358&lt;=0,I358=0,I358="",O358=0),"",O358*1000/(I358*0.3025)/N358))</f>
        <v>11406.6505669517</v>
      </c>
      <c r="Y358" s="1" t="str">
        <f aca="false">IF($A358="","",IF(OR(O358=0,O358="",P358=0),"",P358/O358))</f>
        <v/>
      </c>
      <c r="Z358" s="1" t="str">
        <f aca="false">IF($A358="","",IFERROR(INDEX(物件収支!$E:$E,MATCH($A358,物件収支!$A:$A,0)),""))</f>
        <v>開示（物件別・収益のみ）</v>
      </c>
    </row>
    <row r="359" customFormat="false" ht="16.5" hidden="false" customHeight="true" outlineLevel="0" collapsed="false">
      <c r="A359" s="1" t="str">
        <f aca="false">IF(物件マスタ!A359="","",物件マスタ!A359)</f>
        <v>ICG-62</v>
      </c>
      <c r="B359" s="1" t="str">
        <f aca="false">IF($A359="","",物件マスタ!B359)</f>
        <v>ICG</v>
      </c>
      <c r="C359" s="1" t="str">
        <f aca="false">IF($A359="","",IFERROR(INDEX(法人マスタ!$C:$C,MATCH($B359,法人マスタ!$A:$A,0)),""))</f>
        <v>いちごオフィスリート投資法人</v>
      </c>
      <c r="D359" s="1" t="str">
        <f aca="false">IF($A359="","",物件マスタ!C359)</f>
        <v>いちご渋谷宇田川町ビル</v>
      </c>
      <c r="E359" s="1" t="str">
        <f aca="false">IF($A359="","",物件マスタ!H359)</f>
        <v>都心5区</v>
      </c>
      <c r="F359" s="1" t="n">
        <f aca="false">IF($A359="","",物件マスタ!P359)</f>
        <v>0</v>
      </c>
      <c r="G359" s="1" t="str">
        <f aca="false">IF($A359="","",物件マスタ!Q359)</f>
        <v/>
      </c>
      <c r="H359" s="1" t="n">
        <f aca="false">IF($A359="","",物件マスタ!L359)</f>
        <v>0</v>
      </c>
      <c r="I359" s="1" t="n">
        <f aca="false">IF($A359="","",物件マスタ!M359)</f>
        <v>1491.68</v>
      </c>
      <c r="J359" s="1" t="n">
        <f aca="false">IF($A359="","",物件マスタ!S359)</f>
        <v>0</v>
      </c>
      <c r="K359" s="1" t="n">
        <f aca="false">IF($A359="","",物件マスタ!U359)</f>
        <v>4480</v>
      </c>
      <c r="L359" s="1" t="n">
        <f aca="false">IF($A359="","",物件マスタ!W359)</f>
        <v>1</v>
      </c>
      <c r="M359" s="1" t="str">
        <f aca="false">IF($A359="","",IFERROR(INDEX(法人マスタ!$H:$H,MATCH($B359,法人マスタ!$A:$A,0)),""))</f>
        <v>2026年4月期（第41期）</v>
      </c>
      <c r="N359" s="1" t="n">
        <f aca="false">IF($A359="","",SUMIFS(物件収支!$D:$D,物件収支!$A:$A,$A359,物件収支!$C:$C,$M359))</f>
        <v>6</v>
      </c>
      <c r="O359" s="1" t="n">
        <f aca="false">IF($A359="","",SUMIFS(物件収支!$F:$F,物件収支!$A:$A,$A359,物件収支!$C:$C,$M359))</f>
        <v>79221</v>
      </c>
      <c r="P359" s="1" t="n">
        <f aca="false">IF($A359="","",SUMIFS(物件収支!$I:$I,物件収支!$A:$A,$A359,物件収支!$C:$C,$M359))</f>
        <v>0</v>
      </c>
      <c r="Q359" s="1" t="n">
        <f aca="false">IF($A359="","",SUMIFS(物件収支!$O:$O,物件収支!$A:$A,$A359,物件収支!$C:$C,$M359))</f>
        <v>0</v>
      </c>
      <c r="R359" s="1" t="str">
        <f aca="false">IF($A359="","",IF(P359=0,"",O359-P359))</f>
        <v/>
      </c>
      <c r="S359" s="1" t="str">
        <f aca="false">IF($A359="","",IF(R359="","",R359+Q359))</f>
        <v/>
      </c>
      <c r="T359" s="1" t="str">
        <f aca="false">IF($A359="","",IF(OR(S359="",N359&lt;=0),"",S359/1000*12/N359))</f>
        <v/>
      </c>
      <c r="U359" s="1" t="str">
        <f aca="false">IF($A359="","",IF(OR(T359="",J359=0,J359=""),"",T359/J359))</f>
        <v/>
      </c>
      <c r="V359" s="1" t="str">
        <f aca="false">IF($A359="","",IF(OR(R359="",N359&lt;=0,J359=0,J359=""),"",(R359/1000*12/N359)/J359))</f>
        <v/>
      </c>
      <c r="W359" s="1" t="str">
        <f aca="false">IF($A359="","",IF(OR(T359="",K359=0,K359=""),"",T359/K359))</f>
        <v/>
      </c>
      <c r="X359" s="1" t="n">
        <f aca="false">IF($A359="","",IF(OR(N359&lt;=0,I359=0,I359="",O359=0),"",O359*1000/(I359*0.3025)/N359))</f>
        <v>29260.9231767521</v>
      </c>
      <c r="Y359" s="1" t="str">
        <f aca="false">IF($A359="","",IF(OR(O359=0,O359="",P359=0),"",P359/O359))</f>
        <v/>
      </c>
      <c r="Z359" s="1" t="str">
        <f aca="false">IF($A359="","",IFERROR(INDEX(物件収支!$E:$E,MATCH($A359,物件収支!$A:$A,0)),""))</f>
        <v>開示（物件別・収益のみ）</v>
      </c>
    </row>
    <row r="360" customFormat="false" ht="16.5" hidden="false" customHeight="true" outlineLevel="0" collapsed="false">
      <c r="A360" s="1" t="str">
        <f aca="false">IF(物件マスタ!A360="","",物件マスタ!A360)</f>
        <v>ICG-63</v>
      </c>
      <c r="B360" s="1" t="str">
        <f aca="false">IF($A360="","",物件マスタ!B360)</f>
        <v>ICG</v>
      </c>
      <c r="C360" s="1" t="str">
        <f aca="false">IF($A360="","",IFERROR(INDEX(法人マスタ!$C:$C,MATCH($B360,法人マスタ!$A:$A,0)),""))</f>
        <v>いちごオフィスリート投資法人</v>
      </c>
      <c r="D360" s="1" t="str">
        <f aca="false">IF($A360="","",物件マスタ!C360)</f>
        <v>ウィン五反田ビル</v>
      </c>
      <c r="E360" s="1" t="str">
        <f aca="false">IF($A360="","",物件マスタ!H360)</f>
        <v>その他東京23区</v>
      </c>
      <c r="F360" s="1" t="n">
        <f aca="false">IF($A360="","",物件マスタ!P360)</f>
        <v>0</v>
      </c>
      <c r="G360" s="1" t="str">
        <f aca="false">IF($A360="","",物件マスタ!Q360)</f>
        <v/>
      </c>
      <c r="H360" s="1" t="n">
        <f aca="false">IF($A360="","",物件マスタ!L360)</f>
        <v>0</v>
      </c>
      <c r="I360" s="1" t="n">
        <f aca="false">IF($A360="","",物件マスタ!M360)</f>
        <v>3689.88</v>
      </c>
      <c r="J360" s="1" t="n">
        <f aca="false">IF($A360="","",物件マスタ!S360)</f>
        <v>0</v>
      </c>
      <c r="K360" s="1" t="n">
        <f aca="false">IF($A360="","",物件マスタ!U360)</f>
        <v>4360</v>
      </c>
      <c r="L360" s="1" t="n">
        <f aca="false">IF($A360="","",物件マスタ!W360)</f>
        <v>1</v>
      </c>
      <c r="M360" s="1" t="str">
        <f aca="false">IF($A360="","",IFERROR(INDEX(法人マスタ!$H:$H,MATCH($B360,法人マスタ!$A:$A,0)),""))</f>
        <v>2026年4月期（第41期）</v>
      </c>
      <c r="N360" s="1" t="n">
        <f aca="false">IF($A360="","",SUMIFS(物件収支!$D:$D,物件収支!$A:$A,$A360,物件収支!$C:$C,$M360))</f>
        <v>6</v>
      </c>
      <c r="O360" s="1" t="n">
        <f aca="false">IF($A360="","",SUMIFS(物件収支!$F:$F,物件収支!$A:$A,$A360,物件収支!$C:$C,$M360))</f>
        <v>124152</v>
      </c>
      <c r="P360" s="1" t="n">
        <f aca="false">IF($A360="","",SUMIFS(物件収支!$I:$I,物件収支!$A:$A,$A360,物件収支!$C:$C,$M360))</f>
        <v>0</v>
      </c>
      <c r="Q360" s="1" t="n">
        <f aca="false">IF($A360="","",SUMIFS(物件収支!$O:$O,物件収支!$A:$A,$A360,物件収支!$C:$C,$M360))</f>
        <v>0</v>
      </c>
      <c r="R360" s="1" t="str">
        <f aca="false">IF($A360="","",IF(P360=0,"",O360-P360))</f>
        <v/>
      </c>
      <c r="S360" s="1" t="str">
        <f aca="false">IF($A360="","",IF(R360="","",R360+Q360))</f>
        <v/>
      </c>
      <c r="T360" s="1" t="str">
        <f aca="false">IF($A360="","",IF(OR(S360="",N360&lt;=0),"",S360/1000*12/N360))</f>
        <v/>
      </c>
      <c r="U360" s="1" t="str">
        <f aca="false">IF($A360="","",IF(OR(T360="",J360=0,J360=""),"",T360/J360))</f>
        <v/>
      </c>
      <c r="V360" s="1" t="str">
        <f aca="false">IF($A360="","",IF(OR(R360="",N360&lt;=0,J360=0,J360=""),"",(R360/1000*12/N360)/J360))</f>
        <v/>
      </c>
      <c r="W360" s="1" t="str">
        <f aca="false">IF($A360="","",IF(OR(T360="",K360=0,K360=""),"",T360/K360))</f>
        <v/>
      </c>
      <c r="X360" s="1" t="n">
        <f aca="false">IF($A360="","",IF(OR(N360&lt;=0,I360=0,I360="",O360=0),"",O360*1000/(I360*0.3025)/N360))</f>
        <v>18538.0841071048</v>
      </c>
      <c r="Y360" s="1" t="str">
        <f aca="false">IF($A360="","",IF(OR(O360=0,O360="",P360=0),"",P360/O360))</f>
        <v/>
      </c>
      <c r="Z360" s="1" t="str">
        <f aca="false">IF($A360="","",IFERROR(INDEX(物件収支!$E:$E,MATCH($A360,物件収支!$A:$A,0)),""))</f>
        <v>開示（物件別・収益のみ）</v>
      </c>
    </row>
    <row r="361" customFormat="false" ht="16.5" hidden="false" customHeight="true" outlineLevel="0" collapsed="false">
      <c r="A361" s="1" t="str">
        <f aca="false">IF(物件マスタ!A361="","",物件マスタ!A361)</f>
        <v>ICG-64</v>
      </c>
      <c r="B361" s="1" t="str">
        <f aca="false">IF($A361="","",物件マスタ!B361)</f>
        <v>ICG</v>
      </c>
      <c r="C361" s="1" t="str">
        <f aca="false">IF($A361="","",IFERROR(INDEX(法人マスタ!$C:$C,MATCH($B361,法人マスタ!$A:$A,0)),""))</f>
        <v>いちごオフィスリート投資法人</v>
      </c>
      <c r="D361" s="1" t="str">
        <f aca="false">IF($A361="","",物件マスタ!C361)</f>
        <v>いちご本郷ビル</v>
      </c>
      <c r="E361" s="1" t="str">
        <f aca="false">IF($A361="","",物件マスタ!H361)</f>
        <v>その他東京23区</v>
      </c>
      <c r="F361" s="1" t="n">
        <f aca="false">IF($A361="","",物件マスタ!P361)</f>
        <v>0</v>
      </c>
      <c r="G361" s="1" t="str">
        <f aca="false">IF($A361="","",物件マスタ!Q361)</f>
        <v/>
      </c>
      <c r="H361" s="1" t="n">
        <f aca="false">IF($A361="","",物件マスタ!L361)</f>
        <v>0</v>
      </c>
      <c r="I361" s="1" t="n">
        <f aca="false">IF($A361="","",物件マスタ!M361)</f>
        <v>2744.02</v>
      </c>
      <c r="J361" s="1" t="n">
        <f aca="false">IF($A361="","",物件マスタ!S361)</f>
        <v>0</v>
      </c>
      <c r="K361" s="1" t="n">
        <f aca="false">IF($A361="","",物件マスタ!U361)</f>
        <v>2960</v>
      </c>
      <c r="L361" s="1" t="n">
        <f aca="false">IF($A361="","",物件マスタ!W361)</f>
        <v>1</v>
      </c>
      <c r="M361" s="1" t="str">
        <f aca="false">IF($A361="","",IFERROR(INDEX(法人マスタ!$H:$H,MATCH($B361,法人マスタ!$A:$A,0)),""))</f>
        <v>2026年4月期（第41期）</v>
      </c>
      <c r="N361" s="1" t="n">
        <f aca="false">IF($A361="","",SUMIFS(物件収支!$D:$D,物件収支!$A:$A,$A361,物件収支!$C:$C,$M361))</f>
        <v>6</v>
      </c>
      <c r="O361" s="1" t="n">
        <f aca="false">IF($A361="","",SUMIFS(物件収支!$F:$F,物件収支!$A:$A,$A361,物件収支!$C:$C,$M361))</f>
        <v>92919</v>
      </c>
      <c r="P361" s="1" t="n">
        <f aca="false">IF($A361="","",SUMIFS(物件収支!$I:$I,物件収支!$A:$A,$A361,物件収支!$C:$C,$M361))</f>
        <v>0</v>
      </c>
      <c r="Q361" s="1" t="n">
        <f aca="false">IF($A361="","",SUMIFS(物件収支!$O:$O,物件収支!$A:$A,$A361,物件収支!$C:$C,$M361))</f>
        <v>0</v>
      </c>
      <c r="R361" s="1" t="str">
        <f aca="false">IF($A361="","",IF(P361=0,"",O361-P361))</f>
        <v/>
      </c>
      <c r="S361" s="1" t="str">
        <f aca="false">IF($A361="","",IF(R361="","",R361+Q361))</f>
        <v/>
      </c>
      <c r="T361" s="1" t="str">
        <f aca="false">IF($A361="","",IF(OR(S361="",N361&lt;=0),"",S361/1000*12/N361))</f>
        <v/>
      </c>
      <c r="U361" s="1" t="str">
        <f aca="false">IF($A361="","",IF(OR(T361="",J361=0,J361=""),"",T361/J361))</f>
        <v/>
      </c>
      <c r="V361" s="1" t="str">
        <f aca="false">IF($A361="","",IF(OR(R361="",N361&lt;=0,J361=0,J361=""),"",(R361/1000*12/N361)/J361))</f>
        <v/>
      </c>
      <c r="W361" s="1" t="str">
        <f aca="false">IF($A361="","",IF(OR(T361="",K361=0,K361=""),"",T361/K361))</f>
        <v/>
      </c>
      <c r="X361" s="1" t="n">
        <f aca="false">IF($A361="","",IF(OR(N361&lt;=0,I361=0,I361="",O361=0),"",O361*1000/(I361*0.3025)/N361))</f>
        <v>18656.9490464042</v>
      </c>
      <c r="Y361" s="1" t="str">
        <f aca="false">IF($A361="","",IF(OR(O361=0,O361="",P361=0),"",P361/O361))</f>
        <v/>
      </c>
      <c r="Z361" s="1" t="str">
        <f aca="false">IF($A361="","",IFERROR(INDEX(物件収支!$E:$E,MATCH($A361,物件収支!$A:$A,0)),""))</f>
        <v>開示（物件別・収益のみ）</v>
      </c>
    </row>
    <row r="362" customFormat="false" ht="16.5" hidden="false" customHeight="true" outlineLevel="0" collapsed="false">
      <c r="A362" s="1" t="str">
        <f aca="false">IF(物件マスタ!A362="","",物件マスタ!A362)</f>
        <v>ICG-65</v>
      </c>
      <c r="B362" s="1" t="str">
        <f aca="false">IF($A362="","",物件マスタ!B362)</f>
        <v>ICG</v>
      </c>
      <c r="C362" s="1" t="str">
        <f aca="false">IF($A362="","",IFERROR(INDEX(法人マスタ!$C:$C,MATCH($B362,法人マスタ!$A:$A,0)),""))</f>
        <v>いちごオフィスリート投資法人</v>
      </c>
      <c r="D362" s="1" t="str">
        <f aca="false">IF($A362="","",物件マスタ!C362)</f>
        <v>大井町センタービル</v>
      </c>
      <c r="E362" s="1" t="str">
        <f aca="false">IF($A362="","",物件マスタ!H362)</f>
        <v>その他東京23区</v>
      </c>
      <c r="F362" s="1" t="n">
        <f aca="false">IF($A362="","",物件マスタ!P362)</f>
        <v>0</v>
      </c>
      <c r="G362" s="1" t="str">
        <f aca="false">IF($A362="","",物件マスタ!Q362)</f>
        <v/>
      </c>
      <c r="H362" s="1" t="n">
        <f aca="false">IF($A362="","",物件マスタ!L362)</f>
        <v>0</v>
      </c>
      <c r="I362" s="1" t="n">
        <f aca="false">IF($A362="","",物件マスタ!M362)</f>
        <v>2771.33</v>
      </c>
      <c r="J362" s="1" t="n">
        <f aca="false">IF($A362="","",物件マスタ!S362)</f>
        <v>0</v>
      </c>
      <c r="K362" s="1" t="n">
        <f aca="false">IF($A362="","",物件マスタ!U362)</f>
        <v>2270</v>
      </c>
      <c r="L362" s="1" t="n">
        <f aca="false">IF($A362="","",物件マスタ!W362)</f>
        <v>1</v>
      </c>
      <c r="M362" s="1" t="str">
        <f aca="false">IF($A362="","",IFERROR(INDEX(法人マスタ!$H:$H,MATCH($B362,法人マスタ!$A:$A,0)),""))</f>
        <v>2026年4月期（第41期）</v>
      </c>
      <c r="N362" s="1" t="n">
        <f aca="false">IF($A362="","",SUMIFS(物件収支!$D:$D,物件収支!$A:$A,$A362,物件収支!$C:$C,$M362))</f>
        <v>6</v>
      </c>
      <c r="O362" s="1" t="n">
        <f aca="false">IF($A362="","",SUMIFS(物件収支!$F:$F,物件収支!$A:$A,$A362,物件収支!$C:$C,$M362))</f>
        <v>74559</v>
      </c>
      <c r="P362" s="1" t="n">
        <f aca="false">IF($A362="","",SUMIFS(物件収支!$I:$I,物件収支!$A:$A,$A362,物件収支!$C:$C,$M362))</f>
        <v>0</v>
      </c>
      <c r="Q362" s="1" t="n">
        <f aca="false">IF($A362="","",SUMIFS(物件収支!$O:$O,物件収支!$A:$A,$A362,物件収支!$C:$C,$M362))</f>
        <v>0</v>
      </c>
      <c r="R362" s="1" t="str">
        <f aca="false">IF($A362="","",IF(P362=0,"",O362-P362))</f>
        <v/>
      </c>
      <c r="S362" s="1" t="str">
        <f aca="false">IF($A362="","",IF(R362="","",R362+Q362))</f>
        <v/>
      </c>
      <c r="T362" s="1" t="str">
        <f aca="false">IF($A362="","",IF(OR(S362="",N362&lt;=0),"",S362/1000*12/N362))</f>
        <v/>
      </c>
      <c r="U362" s="1" t="str">
        <f aca="false">IF($A362="","",IF(OR(T362="",J362=0,J362=""),"",T362/J362))</f>
        <v/>
      </c>
      <c r="V362" s="1" t="str">
        <f aca="false">IF($A362="","",IF(OR(R362="",N362&lt;=0,J362=0,J362=""),"",(R362/1000*12/N362)/J362))</f>
        <v/>
      </c>
      <c r="W362" s="1" t="str">
        <f aca="false">IF($A362="","",IF(OR(T362="",K362=0,K362=""),"",T362/K362))</f>
        <v/>
      </c>
      <c r="X362" s="1" t="n">
        <f aca="false">IF($A362="","",IF(OR(N362&lt;=0,I362=0,I362="",O362=0),"",O362*1000/(I362*0.3025)/N362))</f>
        <v>14822.9690592514</v>
      </c>
      <c r="Y362" s="1" t="str">
        <f aca="false">IF($A362="","",IF(OR(O362=0,O362="",P362=0),"",P362/O362))</f>
        <v/>
      </c>
      <c r="Z362" s="1" t="str">
        <f aca="false">IF($A362="","",IFERROR(INDEX(物件収支!$E:$E,MATCH($A362,物件収支!$A:$A,0)),""))</f>
        <v>開示（物件別・収益のみ）</v>
      </c>
    </row>
    <row r="363" customFormat="false" ht="16.5" hidden="false" customHeight="true" outlineLevel="0" collapsed="false">
      <c r="A363" s="1" t="str">
        <f aca="false">IF(物件マスタ!A363="","",物件マスタ!A363)</f>
        <v>ICG-66</v>
      </c>
      <c r="B363" s="1" t="str">
        <f aca="false">IF($A363="","",物件マスタ!B363)</f>
        <v>ICG</v>
      </c>
      <c r="C363" s="1" t="str">
        <f aca="false">IF($A363="","",IFERROR(INDEX(法人マスタ!$C:$C,MATCH($B363,法人マスタ!$A:$A,0)),""))</f>
        <v>いちごオフィスリート投資法人</v>
      </c>
      <c r="D363" s="1" t="str">
        <f aca="false">IF($A363="","",物件マスタ!C363)</f>
        <v>ウィン第2五反田ビル</v>
      </c>
      <c r="E363" s="1" t="str">
        <f aca="false">IF($A363="","",物件マスタ!H363)</f>
        <v>その他東京23区</v>
      </c>
      <c r="F363" s="1" t="n">
        <f aca="false">IF($A363="","",物件マスタ!P363)</f>
        <v>0</v>
      </c>
      <c r="G363" s="1" t="str">
        <f aca="false">IF($A363="","",物件マスタ!Q363)</f>
        <v/>
      </c>
      <c r="H363" s="1" t="n">
        <f aca="false">IF($A363="","",物件マスタ!L363)</f>
        <v>0</v>
      </c>
      <c r="I363" s="1" t="n">
        <f aca="false">IF($A363="","",物件マスタ!M363)</f>
        <v>3434.69</v>
      </c>
      <c r="J363" s="1" t="n">
        <f aca="false">IF($A363="","",物件マスタ!S363)</f>
        <v>0</v>
      </c>
      <c r="K363" s="1" t="n">
        <f aca="false">IF($A363="","",物件マスタ!U363)</f>
        <v>4010</v>
      </c>
      <c r="L363" s="1" t="n">
        <f aca="false">IF($A363="","",物件マスタ!W363)</f>
        <v>1</v>
      </c>
      <c r="M363" s="1" t="str">
        <f aca="false">IF($A363="","",IFERROR(INDEX(法人マスタ!$H:$H,MATCH($B363,法人マスタ!$A:$A,0)),""))</f>
        <v>2026年4月期（第41期）</v>
      </c>
      <c r="N363" s="1" t="n">
        <f aca="false">IF($A363="","",SUMIFS(物件収支!$D:$D,物件収支!$A:$A,$A363,物件収支!$C:$C,$M363))</f>
        <v>6</v>
      </c>
      <c r="O363" s="1" t="n">
        <f aca="false">IF($A363="","",SUMIFS(物件収支!$F:$F,物件収支!$A:$A,$A363,物件収支!$C:$C,$M363))</f>
        <v>112420</v>
      </c>
      <c r="P363" s="1" t="n">
        <f aca="false">IF($A363="","",SUMIFS(物件収支!$I:$I,物件収支!$A:$A,$A363,物件収支!$C:$C,$M363))</f>
        <v>0</v>
      </c>
      <c r="Q363" s="1" t="n">
        <f aca="false">IF($A363="","",SUMIFS(物件収支!$O:$O,物件収支!$A:$A,$A363,物件収支!$C:$C,$M363))</f>
        <v>0</v>
      </c>
      <c r="R363" s="1" t="str">
        <f aca="false">IF($A363="","",IF(P363=0,"",O363-P363))</f>
        <v/>
      </c>
      <c r="S363" s="1" t="str">
        <f aca="false">IF($A363="","",IF(R363="","",R363+Q363))</f>
        <v/>
      </c>
      <c r="T363" s="1" t="str">
        <f aca="false">IF($A363="","",IF(OR(S363="",N363&lt;=0),"",S363/1000*12/N363))</f>
        <v/>
      </c>
      <c r="U363" s="1" t="str">
        <f aca="false">IF($A363="","",IF(OR(T363="",J363=0,J363=""),"",T363/J363))</f>
        <v/>
      </c>
      <c r="V363" s="1" t="str">
        <f aca="false">IF($A363="","",IF(OR(R363="",N363&lt;=0,J363=0,J363=""),"",(R363/1000*12/N363)/J363))</f>
        <v/>
      </c>
      <c r="W363" s="1" t="str">
        <f aca="false">IF($A363="","",IF(OR(T363="",K363=0,K363=""),"",T363/K363))</f>
        <v/>
      </c>
      <c r="X363" s="1" t="n">
        <f aca="false">IF($A363="","",IF(OR(N363&lt;=0,I363=0,I363="",O363=0),"",O363*1000/(I363*0.3025)/N363))</f>
        <v>18033.4743279289</v>
      </c>
      <c r="Y363" s="1" t="str">
        <f aca="false">IF($A363="","",IF(OR(O363=0,O363="",P363=0),"",P363/O363))</f>
        <v/>
      </c>
      <c r="Z363" s="1" t="str">
        <f aca="false">IF($A363="","",IFERROR(INDEX(物件収支!$E:$E,MATCH($A363,物件収支!$A:$A,0)),""))</f>
        <v>開示（物件別・収益のみ）</v>
      </c>
    </row>
    <row r="364" customFormat="false" ht="16.5" hidden="false" customHeight="true" outlineLevel="0" collapsed="false">
      <c r="A364" s="1" t="str">
        <f aca="false">IF(物件マスタ!A364="","",物件マスタ!A364)</f>
        <v>ICG-67</v>
      </c>
      <c r="B364" s="1" t="str">
        <f aca="false">IF($A364="","",物件マスタ!B364)</f>
        <v>ICG</v>
      </c>
      <c r="C364" s="1" t="str">
        <f aca="false">IF($A364="","",IFERROR(INDEX(法人マスタ!$C:$C,MATCH($B364,法人マスタ!$A:$A,0)),""))</f>
        <v>いちごオフィスリート投資法人</v>
      </c>
      <c r="D364" s="1" t="str">
        <f aca="false">IF($A364="","",物件マスタ!C364)</f>
        <v>ＭＩＦビル</v>
      </c>
      <c r="E364" s="1" t="str">
        <f aca="false">IF($A364="","",物件マスタ!H364)</f>
        <v>都心5区</v>
      </c>
      <c r="F364" s="1" t="n">
        <f aca="false">IF($A364="","",物件マスタ!P364)</f>
        <v>0</v>
      </c>
      <c r="G364" s="1" t="str">
        <f aca="false">IF($A364="","",物件マスタ!Q364)</f>
        <v/>
      </c>
      <c r="H364" s="1" t="n">
        <f aca="false">IF($A364="","",物件マスタ!L364)</f>
        <v>0</v>
      </c>
      <c r="I364" s="1" t="n">
        <f aca="false">IF($A364="","",物件マスタ!M364)</f>
        <v>1690.27</v>
      </c>
      <c r="J364" s="1" t="n">
        <f aca="false">IF($A364="","",物件マスタ!S364)</f>
        <v>0</v>
      </c>
      <c r="K364" s="1" t="n">
        <f aca="false">IF($A364="","",物件マスタ!U364)</f>
        <v>2360</v>
      </c>
      <c r="L364" s="1" t="n">
        <f aca="false">IF($A364="","",物件マスタ!W364)</f>
        <v>1</v>
      </c>
      <c r="M364" s="1" t="str">
        <f aca="false">IF($A364="","",IFERROR(INDEX(法人マスタ!$H:$H,MATCH($B364,法人マスタ!$A:$A,0)),""))</f>
        <v>2026年4月期（第41期）</v>
      </c>
      <c r="N364" s="1" t="n">
        <f aca="false">IF($A364="","",SUMIFS(物件収支!$D:$D,物件収支!$A:$A,$A364,物件収支!$C:$C,$M364))</f>
        <v>6</v>
      </c>
      <c r="O364" s="1" t="n">
        <f aca="false">IF($A364="","",SUMIFS(物件収支!$F:$F,物件収支!$A:$A,$A364,物件収支!$C:$C,$M364))</f>
        <v>66306</v>
      </c>
      <c r="P364" s="1" t="n">
        <f aca="false">IF($A364="","",SUMIFS(物件収支!$I:$I,物件収支!$A:$A,$A364,物件収支!$C:$C,$M364))</f>
        <v>0</v>
      </c>
      <c r="Q364" s="1" t="n">
        <f aca="false">IF($A364="","",SUMIFS(物件収支!$O:$O,物件収支!$A:$A,$A364,物件収支!$C:$C,$M364))</f>
        <v>0</v>
      </c>
      <c r="R364" s="1" t="str">
        <f aca="false">IF($A364="","",IF(P364=0,"",O364-P364))</f>
        <v/>
      </c>
      <c r="S364" s="1" t="str">
        <f aca="false">IF($A364="","",IF(R364="","",R364+Q364))</f>
        <v/>
      </c>
      <c r="T364" s="1" t="str">
        <f aca="false">IF($A364="","",IF(OR(S364="",N364&lt;=0),"",S364/1000*12/N364))</f>
        <v/>
      </c>
      <c r="U364" s="1" t="str">
        <f aca="false">IF($A364="","",IF(OR(T364="",J364=0,J364=""),"",T364/J364))</f>
        <v/>
      </c>
      <c r="V364" s="1" t="str">
        <f aca="false">IF($A364="","",IF(OR(R364="",N364&lt;=0,J364=0,J364=""),"",(R364/1000*12/N364)/J364))</f>
        <v/>
      </c>
      <c r="W364" s="1" t="str">
        <f aca="false">IF($A364="","",IF(OR(T364="",K364=0,K364=""),"",T364/K364))</f>
        <v/>
      </c>
      <c r="X364" s="1" t="n">
        <f aca="false">IF($A364="","",IF(OR(N364&lt;=0,I364=0,I364="",O364=0),"",O364*1000/(I364*0.3025)/N364))</f>
        <v>21613.251968596</v>
      </c>
      <c r="Y364" s="1" t="str">
        <f aca="false">IF($A364="","",IF(OR(O364=0,O364="",P364=0),"",P364/O364))</f>
        <v/>
      </c>
      <c r="Z364" s="1" t="str">
        <f aca="false">IF($A364="","",IFERROR(INDEX(物件収支!$E:$E,MATCH($A364,物件収支!$A:$A,0)),""))</f>
        <v>開示（物件別・収益のみ）</v>
      </c>
    </row>
    <row r="365" customFormat="false" ht="16.5" hidden="false" customHeight="true" outlineLevel="0" collapsed="false">
      <c r="A365" s="1" t="str">
        <f aca="false">IF(物件マスタ!A365="","",物件マスタ!A365)</f>
        <v>ICG-68</v>
      </c>
      <c r="B365" s="1" t="str">
        <f aca="false">IF($A365="","",物件マスタ!B365)</f>
        <v>ICG</v>
      </c>
      <c r="C365" s="1" t="str">
        <f aca="false">IF($A365="","",IFERROR(INDEX(法人マスタ!$C:$C,MATCH($B365,法人マスタ!$A:$A,0)),""))</f>
        <v>いちごオフィスリート投資法人</v>
      </c>
      <c r="D365" s="1" t="str">
        <f aca="false">IF($A365="","",物件マスタ!C365)</f>
        <v>いちご内本町ビル</v>
      </c>
      <c r="E365" s="1" t="str">
        <f aca="false">IF($A365="","",物件マスタ!H365)</f>
        <v>その他3大都市圏</v>
      </c>
      <c r="F365" s="1" t="n">
        <f aca="false">IF($A365="","",物件マスタ!P365)</f>
        <v>0</v>
      </c>
      <c r="G365" s="1" t="str">
        <f aca="false">IF($A365="","",物件マスタ!Q365)</f>
        <v/>
      </c>
      <c r="H365" s="1" t="n">
        <f aca="false">IF($A365="","",物件マスタ!L365)</f>
        <v>0</v>
      </c>
      <c r="I365" s="1" t="n">
        <f aca="false">IF($A365="","",物件マスタ!M365)</f>
        <v>3004.07</v>
      </c>
      <c r="J365" s="1" t="n">
        <f aca="false">IF($A365="","",物件マスタ!S365)</f>
        <v>0</v>
      </c>
      <c r="K365" s="1" t="n">
        <f aca="false">IF($A365="","",物件マスタ!U365)</f>
        <v>1940</v>
      </c>
      <c r="L365" s="1" t="n">
        <f aca="false">IF($A365="","",物件マスタ!W365)</f>
        <v>1</v>
      </c>
      <c r="M365" s="1" t="str">
        <f aca="false">IF($A365="","",IFERROR(INDEX(法人マスタ!$H:$H,MATCH($B365,法人マスタ!$A:$A,0)),""))</f>
        <v>2026年4月期（第41期）</v>
      </c>
      <c r="N365" s="1" t="n">
        <f aca="false">IF($A365="","",SUMIFS(物件収支!$D:$D,物件収支!$A:$A,$A365,物件収支!$C:$C,$M365))</f>
        <v>6</v>
      </c>
      <c r="O365" s="1" t="n">
        <f aca="false">IF($A365="","",SUMIFS(物件収支!$F:$F,物件収支!$A:$A,$A365,物件収支!$C:$C,$M365))</f>
        <v>68816</v>
      </c>
      <c r="P365" s="1" t="n">
        <f aca="false">IF($A365="","",SUMIFS(物件収支!$I:$I,物件収支!$A:$A,$A365,物件収支!$C:$C,$M365))</f>
        <v>0</v>
      </c>
      <c r="Q365" s="1" t="n">
        <f aca="false">IF($A365="","",SUMIFS(物件収支!$O:$O,物件収支!$A:$A,$A365,物件収支!$C:$C,$M365))</f>
        <v>0</v>
      </c>
      <c r="R365" s="1" t="str">
        <f aca="false">IF($A365="","",IF(P365=0,"",O365-P365))</f>
        <v/>
      </c>
      <c r="S365" s="1" t="str">
        <f aca="false">IF($A365="","",IF(R365="","",R365+Q365))</f>
        <v/>
      </c>
      <c r="T365" s="1" t="str">
        <f aca="false">IF($A365="","",IF(OR(S365="",N365&lt;=0),"",S365/1000*12/N365))</f>
        <v/>
      </c>
      <c r="U365" s="1" t="str">
        <f aca="false">IF($A365="","",IF(OR(T365="",J365=0,J365=""),"",T365/J365))</f>
        <v/>
      </c>
      <c r="V365" s="1" t="str">
        <f aca="false">IF($A365="","",IF(OR(R365="",N365&lt;=0,J365=0,J365=""),"",(R365/1000*12/N365)/J365))</f>
        <v/>
      </c>
      <c r="W365" s="1" t="str">
        <f aca="false">IF($A365="","",IF(OR(T365="",K365=0,K365=""),"",T365/K365))</f>
        <v/>
      </c>
      <c r="X365" s="1" t="n">
        <f aca="false">IF($A365="","",IF(OR(N365&lt;=0,I365=0,I365="",O365=0),"",O365*1000/(I365*0.3025)/N365))</f>
        <v>12621.2609943016</v>
      </c>
      <c r="Y365" s="1" t="str">
        <f aca="false">IF($A365="","",IF(OR(O365=0,O365="",P365=0),"",P365/O365))</f>
        <v/>
      </c>
      <c r="Z365" s="1" t="str">
        <f aca="false">IF($A365="","",IFERROR(INDEX(物件収支!$E:$E,MATCH($A365,物件収支!$A:$A,0)),""))</f>
        <v>開示（物件別・収益のみ）</v>
      </c>
    </row>
    <row r="366" customFormat="false" ht="16.5" hidden="false" customHeight="true" outlineLevel="0" collapsed="false">
      <c r="A366" s="1" t="str">
        <f aca="false">IF(物件マスタ!A366="","",物件マスタ!A366)</f>
        <v>ICG-69</v>
      </c>
      <c r="B366" s="1" t="str">
        <f aca="false">IF($A366="","",物件マスタ!B366)</f>
        <v>ICG</v>
      </c>
      <c r="C366" s="1" t="str">
        <f aca="false">IF($A366="","",IFERROR(INDEX(法人マスタ!$C:$C,MATCH($B366,法人マスタ!$A:$A,0)),""))</f>
        <v>いちごオフィスリート投資法人</v>
      </c>
      <c r="D366" s="1" t="str">
        <f aca="false">IF($A366="","",物件マスタ!C366)</f>
        <v>いちご南大塚ビル</v>
      </c>
      <c r="E366" s="1" t="str">
        <f aca="false">IF($A366="","",物件マスタ!H366)</f>
        <v>その他東京23区</v>
      </c>
      <c r="F366" s="1" t="n">
        <f aca="false">IF($A366="","",物件マスタ!P366)</f>
        <v>0</v>
      </c>
      <c r="G366" s="1" t="str">
        <f aca="false">IF($A366="","",物件マスタ!Q366)</f>
        <v/>
      </c>
      <c r="H366" s="1" t="n">
        <f aca="false">IF($A366="","",物件マスタ!L366)</f>
        <v>0</v>
      </c>
      <c r="I366" s="1" t="n">
        <f aca="false">IF($A366="","",物件マスタ!M366)</f>
        <v>3129.49</v>
      </c>
      <c r="J366" s="1" t="n">
        <f aca="false">IF($A366="","",物件マスタ!S366)</f>
        <v>0</v>
      </c>
      <c r="K366" s="1" t="n">
        <f aca="false">IF($A366="","",物件マスタ!U366)</f>
        <v>3390</v>
      </c>
      <c r="L366" s="1" t="n">
        <f aca="false">IF($A366="","",物件マスタ!W366)</f>
        <v>1</v>
      </c>
      <c r="M366" s="1" t="str">
        <f aca="false">IF($A366="","",IFERROR(INDEX(法人マスタ!$H:$H,MATCH($B366,法人マスタ!$A:$A,0)),""))</f>
        <v>2026年4月期（第41期）</v>
      </c>
      <c r="N366" s="1" t="n">
        <f aca="false">IF($A366="","",SUMIFS(物件収支!$D:$D,物件収支!$A:$A,$A366,物件収支!$C:$C,$M366))</f>
        <v>6</v>
      </c>
      <c r="O366" s="1" t="n">
        <f aca="false">IF($A366="","",SUMIFS(物件収支!$F:$F,物件収支!$A:$A,$A366,物件収支!$C:$C,$M366))</f>
        <v>73768</v>
      </c>
      <c r="P366" s="1" t="n">
        <f aca="false">IF($A366="","",SUMIFS(物件収支!$I:$I,物件収支!$A:$A,$A366,物件収支!$C:$C,$M366))</f>
        <v>0</v>
      </c>
      <c r="Q366" s="1" t="n">
        <f aca="false">IF($A366="","",SUMIFS(物件収支!$O:$O,物件収支!$A:$A,$A366,物件収支!$C:$C,$M366))</f>
        <v>0</v>
      </c>
      <c r="R366" s="1" t="str">
        <f aca="false">IF($A366="","",IF(P366=0,"",O366-P366))</f>
        <v/>
      </c>
      <c r="S366" s="1" t="str">
        <f aca="false">IF($A366="","",IF(R366="","",R366+Q366))</f>
        <v/>
      </c>
      <c r="T366" s="1" t="str">
        <f aca="false">IF($A366="","",IF(OR(S366="",N366&lt;=0),"",S366/1000*12/N366))</f>
        <v/>
      </c>
      <c r="U366" s="1" t="str">
        <f aca="false">IF($A366="","",IF(OR(T366="",J366=0,J366=""),"",T366/J366))</f>
        <v/>
      </c>
      <c r="V366" s="1" t="str">
        <f aca="false">IF($A366="","",IF(OR(R366="",N366&lt;=0,J366=0,J366=""),"",(R366/1000*12/N366)/J366))</f>
        <v/>
      </c>
      <c r="W366" s="1" t="str">
        <f aca="false">IF($A366="","",IF(OR(T366="",K366=0,K366=""),"",T366/K366))</f>
        <v/>
      </c>
      <c r="X366" s="1" t="n">
        <f aca="false">IF($A366="","",IF(OR(N366&lt;=0,I366=0,I366="",O366=0),"",O366*1000/(I366*0.3025)/N366))</f>
        <v>12987.2682676087</v>
      </c>
      <c r="Y366" s="1" t="str">
        <f aca="false">IF($A366="","",IF(OR(O366=0,O366="",P366=0),"",P366/O366))</f>
        <v/>
      </c>
      <c r="Z366" s="1" t="str">
        <f aca="false">IF($A366="","",IFERROR(INDEX(物件収支!$E:$E,MATCH($A366,物件収支!$A:$A,0)),""))</f>
        <v>開示（物件別・収益のみ）</v>
      </c>
    </row>
    <row r="367" customFormat="false" ht="16.5" hidden="false" customHeight="true" outlineLevel="0" collapsed="false">
      <c r="A367" s="1" t="str">
        <f aca="false">IF(物件マスタ!A367="","",物件マスタ!A367)</f>
        <v>ICG-70</v>
      </c>
      <c r="B367" s="1" t="str">
        <f aca="false">IF($A367="","",物件マスタ!B367)</f>
        <v>ICG</v>
      </c>
      <c r="C367" s="1" t="str">
        <f aca="false">IF($A367="","",IFERROR(INDEX(法人マスタ!$C:$C,MATCH($B367,法人マスタ!$A:$A,0)),""))</f>
        <v>いちごオフィスリート投資法人</v>
      </c>
      <c r="D367" s="1" t="str">
        <f aca="false">IF($A367="","",物件マスタ!C367)</f>
        <v>いちご乃木坂ビル</v>
      </c>
      <c r="E367" s="1" t="str">
        <f aca="false">IF($A367="","",物件マスタ!H367)</f>
        <v>都心5区</v>
      </c>
      <c r="F367" s="1" t="n">
        <f aca="false">IF($A367="","",物件マスタ!P367)</f>
        <v>0</v>
      </c>
      <c r="G367" s="1" t="str">
        <f aca="false">IF($A367="","",物件マスタ!Q367)</f>
        <v/>
      </c>
      <c r="H367" s="1" t="n">
        <f aca="false">IF($A367="","",物件マスタ!L367)</f>
        <v>0</v>
      </c>
      <c r="I367" s="1" t="n">
        <f aca="false">IF($A367="","",物件マスタ!M367)</f>
        <v>2228.26</v>
      </c>
      <c r="J367" s="1" t="n">
        <f aca="false">IF($A367="","",物件マスタ!S367)</f>
        <v>0</v>
      </c>
      <c r="K367" s="1" t="n">
        <f aca="false">IF($A367="","",物件マスタ!U367)</f>
        <v>3770</v>
      </c>
      <c r="L367" s="1" t="n">
        <f aca="false">IF($A367="","",物件マスタ!W367)</f>
        <v>1</v>
      </c>
      <c r="M367" s="1" t="str">
        <f aca="false">IF($A367="","",IFERROR(INDEX(法人マスタ!$H:$H,MATCH($B367,法人マスタ!$A:$A,0)),""))</f>
        <v>2026年4月期（第41期）</v>
      </c>
      <c r="N367" s="1" t="n">
        <f aca="false">IF($A367="","",SUMIFS(物件収支!$D:$D,物件収支!$A:$A,$A367,物件収支!$C:$C,$M367))</f>
        <v>6</v>
      </c>
      <c r="O367" s="1" t="n">
        <f aca="false">IF($A367="","",SUMIFS(物件収支!$F:$F,物件収支!$A:$A,$A367,物件収支!$C:$C,$M367))</f>
        <v>93111</v>
      </c>
      <c r="P367" s="1" t="n">
        <f aca="false">IF($A367="","",SUMIFS(物件収支!$I:$I,物件収支!$A:$A,$A367,物件収支!$C:$C,$M367))</f>
        <v>0</v>
      </c>
      <c r="Q367" s="1" t="n">
        <f aca="false">IF($A367="","",SUMIFS(物件収支!$O:$O,物件収支!$A:$A,$A367,物件収支!$C:$C,$M367))</f>
        <v>0</v>
      </c>
      <c r="R367" s="1" t="str">
        <f aca="false">IF($A367="","",IF(P367=0,"",O367-P367))</f>
        <v/>
      </c>
      <c r="S367" s="1" t="str">
        <f aca="false">IF($A367="","",IF(R367="","",R367+Q367))</f>
        <v/>
      </c>
      <c r="T367" s="1" t="str">
        <f aca="false">IF($A367="","",IF(OR(S367="",N367&lt;=0),"",S367/1000*12/N367))</f>
        <v/>
      </c>
      <c r="U367" s="1" t="str">
        <f aca="false">IF($A367="","",IF(OR(T367="",J367=0,J367=""),"",T367/J367))</f>
        <v/>
      </c>
      <c r="V367" s="1" t="str">
        <f aca="false">IF($A367="","",IF(OR(R367="",N367&lt;=0,J367=0,J367=""),"",(R367/1000*12/N367)/J367))</f>
        <v/>
      </c>
      <c r="W367" s="1" t="str">
        <f aca="false">IF($A367="","",IF(OR(T367="",K367=0,K367=""),"",T367/K367))</f>
        <v/>
      </c>
      <c r="X367" s="1" t="n">
        <f aca="false">IF($A367="","",IF(OR(N367&lt;=0,I367=0,I367="",O367=0),"",O367*1000/(I367*0.3025)/N367))</f>
        <v>23022.8189018701</v>
      </c>
      <c r="Y367" s="1" t="str">
        <f aca="false">IF($A367="","",IF(OR(O367=0,O367="",P367=0),"",P367/O367))</f>
        <v/>
      </c>
      <c r="Z367" s="1" t="str">
        <f aca="false">IF($A367="","",IFERROR(INDEX(物件収支!$E:$E,MATCH($A367,物件収支!$A:$A,0)),""))</f>
        <v>開示（物件別・収益のみ）</v>
      </c>
    </row>
    <row r="368" customFormat="false" ht="16.5" hidden="false" customHeight="true" outlineLevel="0" collapsed="false">
      <c r="A368" s="1" t="str">
        <f aca="false">IF(物件マスタ!A368="","",物件マスタ!A368)</f>
        <v>ICG-71</v>
      </c>
      <c r="B368" s="1" t="str">
        <f aca="false">IF($A368="","",物件マスタ!B368)</f>
        <v>ICG</v>
      </c>
      <c r="C368" s="1" t="str">
        <f aca="false">IF($A368="","",IFERROR(INDEX(法人マスタ!$C:$C,MATCH($B368,法人マスタ!$A:$A,0)),""))</f>
        <v>いちごオフィスリート投資法人</v>
      </c>
      <c r="D368" s="1" t="str">
        <f aca="false">IF($A368="","",物件マスタ!C368)</f>
        <v>いちご博多イーストビル</v>
      </c>
      <c r="E368" s="1" t="str">
        <f aca="false">IF($A368="","",物件マスタ!H368)</f>
        <v>その他3大都市圏</v>
      </c>
      <c r="F368" s="1" t="n">
        <f aca="false">IF($A368="","",物件マスタ!P368)</f>
        <v>0</v>
      </c>
      <c r="G368" s="1" t="str">
        <f aca="false">IF($A368="","",物件マスタ!Q368)</f>
        <v/>
      </c>
      <c r="H368" s="1" t="n">
        <f aca="false">IF($A368="","",物件マスタ!L368)</f>
        <v>0</v>
      </c>
      <c r="I368" s="1" t="n">
        <f aca="false">IF($A368="","",物件マスタ!M368)</f>
        <v>2901.99</v>
      </c>
      <c r="J368" s="1" t="n">
        <f aca="false">IF($A368="","",物件マスタ!S368)</f>
        <v>0</v>
      </c>
      <c r="K368" s="1" t="n">
        <f aca="false">IF($A368="","",物件マスタ!U368)</f>
        <v>2990</v>
      </c>
      <c r="L368" s="1" t="n">
        <f aca="false">IF($A368="","",物件マスタ!W368)</f>
        <v>1</v>
      </c>
      <c r="M368" s="1" t="str">
        <f aca="false">IF($A368="","",IFERROR(INDEX(法人マスタ!$H:$H,MATCH($B368,法人マスタ!$A:$A,0)),""))</f>
        <v>2026年4月期（第41期）</v>
      </c>
      <c r="N368" s="1" t="n">
        <f aca="false">IF($A368="","",SUMIFS(物件収支!$D:$D,物件収支!$A:$A,$A368,物件収支!$C:$C,$M368))</f>
        <v>6</v>
      </c>
      <c r="O368" s="1" t="n">
        <f aca="false">IF($A368="","",SUMIFS(物件収支!$F:$F,物件収支!$A:$A,$A368,物件収支!$C:$C,$M368))</f>
        <v>73072</v>
      </c>
      <c r="P368" s="1" t="n">
        <f aca="false">IF($A368="","",SUMIFS(物件収支!$I:$I,物件収支!$A:$A,$A368,物件収支!$C:$C,$M368))</f>
        <v>0</v>
      </c>
      <c r="Q368" s="1" t="n">
        <f aca="false">IF($A368="","",SUMIFS(物件収支!$O:$O,物件収支!$A:$A,$A368,物件収支!$C:$C,$M368))</f>
        <v>0</v>
      </c>
      <c r="R368" s="1" t="str">
        <f aca="false">IF($A368="","",IF(P368=0,"",O368-P368))</f>
        <v/>
      </c>
      <c r="S368" s="1" t="str">
        <f aca="false">IF($A368="","",IF(R368="","",R368+Q368))</f>
        <v/>
      </c>
      <c r="T368" s="1" t="str">
        <f aca="false">IF($A368="","",IF(OR(S368="",N368&lt;=0),"",S368/1000*12/N368))</f>
        <v/>
      </c>
      <c r="U368" s="1" t="str">
        <f aca="false">IF($A368="","",IF(OR(T368="",J368=0,J368=""),"",T368/J368))</f>
        <v/>
      </c>
      <c r="V368" s="1" t="str">
        <f aca="false">IF($A368="","",IF(OR(R368="",N368&lt;=0,J368=0,J368=""),"",(R368/1000*12/N368)/J368))</f>
        <v/>
      </c>
      <c r="W368" s="1" t="str">
        <f aca="false">IF($A368="","",IF(OR(T368="",K368=0,K368=""),"",T368/K368))</f>
        <v/>
      </c>
      <c r="X368" s="1" t="n">
        <f aca="false">IF($A368="","",IF(OR(N368&lt;=0,I368=0,I368="",O368=0),"",O368*1000/(I368*0.3025)/N368))</f>
        <v>13873.2576943472</v>
      </c>
      <c r="Y368" s="1" t="str">
        <f aca="false">IF($A368="","",IF(OR(O368=0,O368="",P368=0),"",P368/O368))</f>
        <v/>
      </c>
      <c r="Z368" s="1" t="str">
        <f aca="false">IF($A368="","",IFERROR(INDEX(物件収支!$E:$E,MATCH($A368,物件収支!$A:$A,0)),""))</f>
        <v>開示（物件別・収益のみ）</v>
      </c>
    </row>
    <row r="369" customFormat="false" ht="16.5" hidden="false" customHeight="true" outlineLevel="0" collapsed="false">
      <c r="A369" s="1" t="str">
        <f aca="false">IF(物件マスタ!A369="","",物件マスタ!A369)</f>
        <v>ICG-72</v>
      </c>
      <c r="B369" s="1" t="str">
        <f aca="false">IF($A369="","",物件マスタ!B369)</f>
        <v>ICG</v>
      </c>
      <c r="C369" s="1" t="str">
        <f aca="false">IF($A369="","",IFERROR(INDEX(法人マスタ!$C:$C,MATCH($B369,法人マスタ!$A:$A,0)),""))</f>
        <v>いちごオフィスリート投資法人</v>
      </c>
      <c r="D369" s="1" t="str">
        <f aca="false">IF($A369="","",物件マスタ!C369)</f>
        <v>いちご中目黒ビル</v>
      </c>
      <c r="E369" s="1" t="str">
        <f aca="false">IF($A369="","",物件マスタ!H369)</f>
        <v>その他東京23区</v>
      </c>
      <c r="F369" s="1" t="n">
        <f aca="false">IF($A369="","",物件マスタ!P369)</f>
        <v>0</v>
      </c>
      <c r="G369" s="1" t="str">
        <f aca="false">IF($A369="","",物件マスタ!Q369)</f>
        <v/>
      </c>
      <c r="H369" s="1" t="n">
        <f aca="false">IF($A369="","",物件マスタ!L369)</f>
        <v>0</v>
      </c>
      <c r="I369" s="1" t="n">
        <f aca="false">IF($A369="","",物件マスタ!M369)</f>
        <v>1083.7</v>
      </c>
      <c r="J369" s="1" t="n">
        <f aca="false">IF($A369="","",物件マスタ!S369)</f>
        <v>0</v>
      </c>
      <c r="K369" s="1" t="n">
        <f aca="false">IF($A369="","",物件マスタ!U369)</f>
        <v>1690</v>
      </c>
      <c r="L369" s="1" t="n">
        <f aca="false">IF($A369="","",物件マスタ!W369)</f>
        <v>0.904</v>
      </c>
      <c r="M369" s="1" t="str">
        <f aca="false">IF($A369="","",IFERROR(INDEX(法人マスタ!$H:$H,MATCH($B369,法人マスタ!$A:$A,0)),""))</f>
        <v>2026年4月期（第41期）</v>
      </c>
      <c r="N369" s="1" t="n">
        <f aca="false">IF($A369="","",SUMIFS(物件収支!$D:$D,物件収支!$A:$A,$A369,物件収支!$C:$C,$M369))</f>
        <v>6</v>
      </c>
      <c r="O369" s="1" t="n">
        <f aca="false">IF($A369="","",SUMIFS(物件収支!$F:$F,物件収支!$A:$A,$A369,物件収支!$C:$C,$M369))</f>
        <v>40057</v>
      </c>
      <c r="P369" s="1" t="n">
        <f aca="false">IF($A369="","",SUMIFS(物件収支!$I:$I,物件収支!$A:$A,$A369,物件収支!$C:$C,$M369))</f>
        <v>0</v>
      </c>
      <c r="Q369" s="1" t="n">
        <f aca="false">IF($A369="","",SUMIFS(物件収支!$O:$O,物件収支!$A:$A,$A369,物件収支!$C:$C,$M369))</f>
        <v>0</v>
      </c>
      <c r="R369" s="1" t="str">
        <f aca="false">IF($A369="","",IF(P369=0,"",O369-P369))</f>
        <v/>
      </c>
      <c r="S369" s="1" t="str">
        <f aca="false">IF($A369="","",IF(R369="","",R369+Q369))</f>
        <v/>
      </c>
      <c r="T369" s="1" t="str">
        <f aca="false">IF($A369="","",IF(OR(S369="",N369&lt;=0),"",S369/1000*12/N369))</f>
        <v/>
      </c>
      <c r="U369" s="1" t="str">
        <f aca="false">IF($A369="","",IF(OR(T369="",J369=0,J369=""),"",T369/J369))</f>
        <v/>
      </c>
      <c r="V369" s="1" t="str">
        <f aca="false">IF($A369="","",IF(OR(R369="",N369&lt;=0,J369=0,J369=""),"",(R369/1000*12/N369)/J369))</f>
        <v/>
      </c>
      <c r="W369" s="1" t="str">
        <f aca="false">IF($A369="","",IF(OR(T369="",K369=0,K369=""),"",T369/K369))</f>
        <v/>
      </c>
      <c r="X369" s="1" t="n">
        <f aca="false">IF($A369="","",IF(OR(N369&lt;=0,I369=0,I369="",O369=0),"",O369*1000/(I369*0.3025)/N369))</f>
        <v>20365.3893621765</v>
      </c>
      <c r="Y369" s="1" t="str">
        <f aca="false">IF($A369="","",IF(OR(O369=0,O369="",P369=0),"",P369/O369))</f>
        <v/>
      </c>
      <c r="Z369" s="1" t="str">
        <f aca="false">IF($A369="","",IFERROR(INDEX(物件収支!$E:$E,MATCH($A369,物件収支!$A:$A,0)),""))</f>
        <v>開示（物件別・収益のみ）</v>
      </c>
    </row>
    <row r="370" customFormat="false" ht="16.5" hidden="false" customHeight="true" outlineLevel="0" collapsed="false">
      <c r="A370" s="1" t="str">
        <f aca="false">IF(物件マスタ!A370="","",物件マスタ!A370)</f>
        <v>ICG-73</v>
      </c>
      <c r="B370" s="1" t="str">
        <f aca="false">IF($A370="","",物件マスタ!B370)</f>
        <v>ICG</v>
      </c>
      <c r="C370" s="1" t="str">
        <f aca="false">IF($A370="","",IFERROR(INDEX(法人マスタ!$C:$C,MATCH($B370,法人マスタ!$A:$A,0)),""))</f>
        <v>いちごオフィスリート投資法人</v>
      </c>
      <c r="D370" s="1" t="str">
        <f aca="false">IF($A370="","",物件マスタ!C370)</f>
        <v>いちご立川ビル</v>
      </c>
      <c r="E370" s="1" t="str">
        <f aca="false">IF($A370="","",物件マスタ!H370)</f>
        <v>東京周辺都市部</v>
      </c>
      <c r="F370" s="1" t="n">
        <f aca="false">IF($A370="","",物件マスタ!P370)</f>
        <v>0</v>
      </c>
      <c r="G370" s="1" t="str">
        <f aca="false">IF($A370="","",物件マスタ!Q370)</f>
        <v/>
      </c>
      <c r="H370" s="1" t="n">
        <f aca="false">IF($A370="","",物件マスタ!L370)</f>
        <v>0</v>
      </c>
      <c r="I370" s="1" t="n">
        <f aca="false">IF($A370="","",物件マスタ!M370)</f>
        <v>4879.78</v>
      </c>
      <c r="J370" s="1" t="n">
        <f aca="false">IF($A370="","",物件マスタ!S370)</f>
        <v>0</v>
      </c>
      <c r="K370" s="1" t="n">
        <f aca="false">IF($A370="","",物件マスタ!U370)</f>
        <v>3940</v>
      </c>
      <c r="L370" s="1" t="n">
        <f aca="false">IF($A370="","",物件マスタ!W370)</f>
        <v>1</v>
      </c>
      <c r="M370" s="1" t="str">
        <f aca="false">IF($A370="","",IFERROR(INDEX(法人マスタ!$H:$H,MATCH($B370,法人マスタ!$A:$A,0)),""))</f>
        <v>2026年4月期（第41期）</v>
      </c>
      <c r="N370" s="1" t="n">
        <f aca="false">IF($A370="","",SUMIFS(物件収支!$D:$D,物件収支!$A:$A,$A370,物件収支!$C:$C,$M370))</f>
        <v>6</v>
      </c>
      <c r="O370" s="1" t="n">
        <f aca="false">IF($A370="","",SUMIFS(物件収支!$F:$F,物件収支!$A:$A,$A370,物件収支!$C:$C,$M370))</f>
        <v>122903</v>
      </c>
      <c r="P370" s="1" t="n">
        <f aca="false">IF($A370="","",SUMIFS(物件収支!$I:$I,物件収支!$A:$A,$A370,物件収支!$C:$C,$M370))</f>
        <v>0</v>
      </c>
      <c r="Q370" s="1" t="n">
        <f aca="false">IF($A370="","",SUMIFS(物件収支!$O:$O,物件収支!$A:$A,$A370,物件収支!$C:$C,$M370))</f>
        <v>0</v>
      </c>
      <c r="R370" s="1" t="str">
        <f aca="false">IF($A370="","",IF(P370=0,"",O370-P370))</f>
        <v/>
      </c>
      <c r="S370" s="1" t="str">
        <f aca="false">IF($A370="","",IF(R370="","",R370+Q370))</f>
        <v/>
      </c>
      <c r="T370" s="1" t="str">
        <f aca="false">IF($A370="","",IF(OR(S370="",N370&lt;=0),"",S370/1000*12/N370))</f>
        <v/>
      </c>
      <c r="U370" s="1" t="str">
        <f aca="false">IF($A370="","",IF(OR(T370="",J370=0,J370=""),"",T370/J370))</f>
        <v/>
      </c>
      <c r="V370" s="1" t="str">
        <f aca="false">IF($A370="","",IF(OR(R370="",N370&lt;=0,J370=0,J370=""),"",(R370/1000*12/N370)/J370))</f>
        <v/>
      </c>
      <c r="W370" s="1" t="str">
        <f aca="false">IF($A370="","",IF(OR(T370="",K370=0,K370=""),"",T370/K370))</f>
        <v/>
      </c>
      <c r="X370" s="1" t="n">
        <f aca="false">IF($A370="","",IF(OR(N370&lt;=0,I370=0,I370="",O370=0),"",O370*1000/(I370*0.3025)/N370))</f>
        <v>13876.6812264388</v>
      </c>
      <c r="Y370" s="1" t="str">
        <f aca="false">IF($A370="","",IF(OR(O370=0,O370="",P370=0),"",P370/O370))</f>
        <v/>
      </c>
      <c r="Z370" s="1" t="str">
        <f aca="false">IF($A370="","",IFERROR(INDEX(物件収支!$E:$E,MATCH($A370,物件収支!$A:$A,0)),""))</f>
        <v>開示（物件別・収益のみ）</v>
      </c>
    </row>
    <row r="371" customFormat="false" ht="16.5" hidden="false" customHeight="true" outlineLevel="0" collapsed="false">
      <c r="A371" s="1" t="str">
        <f aca="false">IF(物件マスタ!A371="","",物件マスタ!A371)</f>
        <v>ICG-74</v>
      </c>
      <c r="B371" s="1" t="str">
        <f aca="false">IF($A371="","",物件マスタ!B371)</f>
        <v>ICG</v>
      </c>
      <c r="C371" s="1" t="str">
        <f aca="false">IF($A371="","",IFERROR(INDEX(法人マスタ!$C:$C,MATCH($B371,法人マスタ!$A:$A,0)),""))</f>
        <v>いちごオフィスリート投資法人</v>
      </c>
      <c r="D371" s="1" t="str">
        <f aca="false">IF($A371="","",物件マスタ!C371)</f>
        <v>いちご東池袋三丁目ビル</v>
      </c>
      <c r="E371" s="1" t="str">
        <f aca="false">IF($A371="","",物件マスタ!H371)</f>
        <v>その他東京23区</v>
      </c>
      <c r="F371" s="1" t="n">
        <f aca="false">IF($A371="","",物件マスタ!P371)</f>
        <v>0</v>
      </c>
      <c r="G371" s="1" t="str">
        <f aca="false">IF($A371="","",物件マスタ!Q371)</f>
        <v/>
      </c>
      <c r="H371" s="1" t="n">
        <f aca="false">IF($A371="","",物件マスタ!L371)</f>
        <v>0</v>
      </c>
      <c r="I371" s="1" t="n">
        <f aca="false">IF($A371="","",物件マスタ!M371)</f>
        <v>2764.59</v>
      </c>
      <c r="J371" s="1" t="n">
        <f aca="false">IF($A371="","",物件マスタ!S371)</f>
        <v>0</v>
      </c>
      <c r="K371" s="1" t="n">
        <f aca="false">IF($A371="","",物件マスタ!U371)</f>
        <v>3680</v>
      </c>
      <c r="L371" s="1" t="n">
        <f aca="false">IF($A371="","",物件マスタ!W371)</f>
        <v>1</v>
      </c>
      <c r="M371" s="1" t="str">
        <f aca="false">IF($A371="","",IFERROR(INDEX(法人マスタ!$H:$H,MATCH($B371,法人マスタ!$A:$A,0)),""))</f>
        <v>2026年4月期（第41期）</v>
      </c>
      <c r="N371" s="1" t="n">
        <f aca="false">IF($A371="","",SUMIFS(物件収支!$D:$D,物件収支!$A:$A,$A371,物件収支!$C:$C,$M371))</f>
        <v>6</v>
      </c>
      <c r="O371" s="1" t="n">
        <f aca="false">IF($A371="","",SUMIFS(物件収支!$F:$F,物件収支!$A:$A,$A371,物件収支!$C:$C,$M371))</f>
        <v>92484</v>
      </c>
      <c r="P371" s="1" t="n">
        <f aca="false">IF($A371="","",SUMIFS(物件収支!$I:$I,物件収支!$A:$A,$A371,物件収支!$C:$C,$M371))</f>
        <v>0</v>
      </c>
      <c r="Q371" s="1" t="n">
        <f aca="false">IF($A371="","",SUMIFS(物件収支!$O:$O,物件収支!$A:$A,$A371,物件収支!$C:$C,$M371))</f>
        <v>0</v>
      </c>
      <c r="R371" s="1" t="str">
        <f aca="false">IF($A371="","",IF(P371=0,"",O371-P371))</f>
        <v/>
      </c>
      <c r="S371" s="1" t="str">
        <f aca="false">IF($A371="","",IF(R371="","",R371+Q371))</f>
        <v/>
      </c>
      <c r="T371" s="1" t="str">
        <f aca="false">IF($A371="","",IF(OR(S371="",N371&lt;=0),"",S371/1000*12/N371))</f>
        <v/>
      </c>
      <c r="U371" s="1" t="str">
        <f aca="false">IF($A371="","",IF(OR(T371="",J371=0,J371=""),"",T371/J371))</f>
        <v/>
      </c>
      <c r="V371" s="1" t="str">
        <f aca="false">IF($A371="","",IF(OR(R371="",N371&lt;=0,J371=0,J371=""),"",(R371/1000*12/N371)/J371))</f>
        <v/>
      </c>
      <c r="W371" s="1" t="str">
        <f aca="false">IF($A371="","",IF(OR(T371="",K371=0,K371=""),"",T371/K371))</f>
        <v/>
      </c>
      <c r="X371" s="1" t="n">
        <f aca="false">IF($A371="","",IF(OR(N371&lt;=0,I371=0,I371="",O371=0),"",O371*1000/(I371*0.3025)/N371))</f>
        <v>18431.438984018</v>
      </c>
      <c r="Y371" s="1" t="str">
        <f aca="false">IF($A371="","",IF(OR(O371=0,O371="",P371=0),"",P371/O371))</f>
        <v/>
      </c>
      <c r="Z371" s="1" t="str">
        <f aca="false">IF($A371="","",IFERROR(INDEX(物件収支!$E:$E,MATCH($A371,物件収支!$A:$A,0)),""))</f>
        <v>開示（物件別・収益のみ）</v>
      </c>
    </row>
    <row r="372" customFormat="false" ht="16.5" hidden="false" customHeight="true" outlineLevel="0" collapsed="false">
      <c r="A372" s="1" t="str">
        <f aca="false">IF(物件マスタ!A372="","",物件マスタ!A372)</f>
        <v>ICG-75</v>
      </c>
      <c r="B372" s="1" t="str">
        <f aca="false">IF($A372="","",物件マスタ!B372)</f>
        <v>ICG</v>
      </c>
      <c r="C372" s="1" t="str">
        <f aca="false">IF($A372="","",IFERROR(INDEX(法人マスタ!$C:$C,MATCH($B372,法人マスタ!$A:$A,0)),""))</f>
        <v>いちごオフィスリート投資法人</v>
      </c>
      <c r="D372" s="1" t="str">
        <f aca="false">IF($A372="","",物件マスタ!C372)</f>
        <v>いちご丸の内サウスビル</v>
      </c>
      <c r="E372" s="1" t="str">
        <f aca="false">IF($A372="","",物件マスタ!H372)</f>
        <v>その他3大都市圏</v>
      </c>
      <c r="F372" s="1" t="n">
        <f aca="false">IF($A372="","",物件マスタ!P372)</f>
        <v>0</v>
      </c>
      <c r="G372" s="1" t="str">
        <f aca="false">IF($A372="","",物件マスタ!Q372)</f>
        <v/>
      </c>
      <c r="H372" s="1" t="n">
        <f aca="false">IF($A372="","",物件マスタ!L372)</f>
        <v>0</v>
      </c>
      <c r="I372" s="1" t="n">
        <f aca="false">IF($A372="","",物件マスタ!M372)</f>
        <v>1973.27</v>
      </c>
      <c r="J372" s="1" t="n">
        <f aca="false">IF($A372="","",物件マスタ!S372)</f>
        <v>0</v>
      </c>
      <c r="K372" s="1" t="n">
        <f aca="false">IF($A372="","",物件マスタ!U372)</f>
        <v>1830</v>
      </c>
      <c r="L372" s="1" t="n">
        <f aca="false">IF($A372="","",物件マスタ!W372)</f>
        <v>0.951</v>
      </c>
      <c r="M372" s="1" t="str">
        <f aca="false">IF($A372="","",IFERROR(INDEX(法人マスタ!$H:$H,MATCH($B372,法人マスタ!$A:$A,0)),""))</f>
        <v>2026年4月期（第41期）</v>
      </c>
      <c r="N372" s="1" t="n">
        <f aca="false">IF($A372="","",SUMIFS(物件収支!$D:$D,物件収支!$A:$A,$A372,物件収支!$C:$C,$M372))</f>
        <v>6</v>
      </c>
      <c r="O372" s="1" t="n">
        <f aca="false">IF($A372="","",SUMIFS(物件収支!$F:$F,物件収支!$A:$A,$A372,物件収支!$C:$C,$M372))</f>
        <v>47952</v>
      </c>
      <c r="P372" s="1" t="n">
        <f aca="false">IF($A372="","",SUMIFS(物件収支!$I:$I,物件収支!$A:$A,$A372,物件収支!$C:$C,$M372))</f>
        <v>0</v>
      </c>
      <c r="Q372" s="1" t="n">
        <f aca="false">IF($A372="","",SUMIFS(物件収支!$O:$O,物件収支!$A:$A,$A372,物件収支!$C:$C,$M372))</f>
        <v>0</v>
      </c>
      <c r="R372" s="1" t="str">
        <f aca="false">IF($A372="","",IF(P372=0,"",O372-P372))</f>
        <v/>
      </c>
      <c r="S372" s="1" t="str">
        <f aca="false">IF($A372="","",IF(R372="","",R372+Q372))</f>
        <v/>
      </c>
      <c r="T372" s="1" t="str">
        <f aca="false">IF($A372="","",IF(OR(S372="",N372&lt;=0),"",S372/1000*12/N372))</f>
        <v/>
      </c>
      <c r="U372" s="1" t="str">
        <f aca="false">IF($A372="","",IF(OR(T372="",J372=0,J372=""),"",T372/J372))</f>
        <v/>
      </c>
      <c r="V372" s="1" t="str">
        <f aca="false">IF($A372="","",IF(OR(R372="",N372&lt;=0,J372=0,J372=""),"",(R372/1000*12/N372)/J372))</f>
        <v/>
      </c>
      <c r="W372" s="1" t="str">
        <f aca="false">IF($A372="","",IF(OR(T372="",K372=0,K372=""),"",T372/K372))</f>
        <v/>
      </c>
      <c r="X372" s="1" t="n">
        <f aca="false">IF($A372="","",IF(OR(N372&lt;=0,I372=0,I372="",O372=0),"",O372*1000/(I372*0.3025)/N372))</f>
        <v>13388.8594620826</v>
      </c>
      <c r="Y372" s="1" t="str">
        <f aca="false">IF($A372="","",IF(OR(O372=0,O372="",P372=0),"",P372/O372))</f>
        <v/>
      </c>
      <c r="Z372" s="1" t="str">
        <f aca="false">IF($A372="","",IFERROR(INDEX(物件収支!$E:$E,MATCH($A372,物件収支!$A:$A,0)),""))</f>
        <v>開示（物件別・収益のみ）</v>
      </c>
    </row>
    <row r="373" customFormat="false" ht="16.5" hidden="false" customHeight="true" outlineLevel="0" collapsed="false">
      <c r="A373" s="1" t="str">
        <f aca="false">IF(物件マスタ!A373="","",物件マスタ!A373)</f>
        <v>ICG-76</v>
      </c>
      <c r="B373" s="1" t="str">
        <f aca="false">IF($A373="","",物件マスタ!B373)</f>
        <v>ICG</v>
      </c>
      <c r="C373" s="1" t="str">
        <f aca="false">IF($A373="","",IFERROR(INDEX(法人マスタ!$C:$C,MATCH($B373,法人マスタ!$A:$A,0)),""))</f>
        <v>いちごオフィスリート投資法人</v>
      </c>
      <c r="D373" s="1" t="str">
        <f aca="false">IF($A373="","",物件マスタ!C373)</f>
        <v>いちご博多駅東ビル</v>
      </c>
      <c r="E373" s="1" t="str">
        <f aca="false">IF($A373="","",物件マスタ!H373)</f>
        <v>その他3大都市圏</v>
      </c>
      <c r="F373" s="1" t="n">
        <f aca="false">IF($A373="","",物件マスタ!P373)</f>
        <v>0</v>
      </c>
      <c r="G373" s="1" t="str">
        <f aca="false">IF($A373="","",物件マスタ!Q373)</f>
        <v/>
      </c>
      <c r="H373" s="1" t="n">
        <f aca="false">IF($A373="","",物件マスタ!L373)</f>
        <v>0</v>
      </c>
      <c r="I373" s="1" t="n">
        <f aca="false">IF($A373="","",物件マスタ!M373)</f>
        <v>3596.7</v>
      </c>
      <c r="J373" s="1" t="n">
        <f aca="false">IF($A373="","",物件マスタ!S373)</f>
        <v>0</v>
      </c>
      <c r="K373" s="1" t="n">
        <f aca="false">IF($A373="","",物件マスタ!U373)</f>
        <v>3850</v>
      </c>
      <c r="L373" s="1" t="n">
        <f aca="false">IF($A373="","",物件マスタ!W373)</f>
        <v>1</v>
      </c>
      <c r="M373" s="1" t="str">
        <f aca="false">IF($A373="","",IFERROR(INDEX(法人マスタ!$H:$H,MATCH($B373,法人マスタ!$A:$A,0)),""))</f>
        <v>2026年4月期（第41期）</v>
      </c>
      <c r="N373" s="1" t="n">
        <f aca="false">IF($A373="","",SUMIFS(物件収支!$D:$D,物件収支!$A:$A,$A373,物件収支!$C:$C,$M373))</f>
        <v>6</v>
      </c>
      <c r="O373" s="1" t="n">
        <f aca="false">IF($A373="","",SUMIFS(物件収支!$F:$F,物件収支!$A:$A,$A373,物件収支!$C:$C,$M373))</f>
        <v>96709</v>
      </c>
      <c r="P373" s="1" t="n">
        <f aca="false">IF($A373="","",SUMIFS(物件収支!$I:$I,物件収支!$A:$A,$A373,物件収支!$C:$C,$M373))</f>
        <v>0</v>
      </c>
      <c r="Q373" s="1" t="n">
        <f aca="false">IF($A373="","",SUMIFS(物件収支!$O:$O,物件収支!$A:$A,$A373,物件収支!$C:$C,$M373))</f>
        <v>0</v>
      </c>
      <c r="R373" s="1" t="str">
        <f aca="false">IF($A373="","",IF(P373=0,"",O373-P373))</f>
        <v/>
      </c>
      <c r="S373" s="1" t="str">
        <f aca="false">IF($A373="","",IF(R373="","",R373+Q373))</f>
        <v/>
      </c>
      <c r="T373" s="1" t="str">
        <f aca="false">IF($A373="","",IF(OR(S373="",N373&lt;=0),"",S373/1000*12/N373))</f>
        <v/>
      </c>
      <c r="U373" s="1" t="str">
        <f aca="false">IF($A373="","",IF(OR(T373="",J373=0,J373=""),"",T373/J373))</f>
        <v/>
      </c>
      <c r="V373" s="1" t="str">
        <f aca="false">IF($A373="","",IF(OR(R373="",N373&lt;=0,J373=0,J373=""),"",(R373/1000*12/N373)/J373))</f>
        <v/>
      </c>
      <c r="W373" s="1" t="str">
        <f aca="false">IF($A373="","",IF(OR(T373="",K373=0,K373=""),"",T373/K373))</f>
        <v/>
      </c>
      <c r="X373" s="1" t="n">
        <f aca="false">IF($A373="","",IF(OR(N373&lt;=0,I373=0,I373="",O373=0),"",O373*1000/(I373*0.3025)/N373))</f>
        <v>14814.4675931511</v>
      </c>
      <c r="Y373" s="1" t="str">
        <f aca="false">IF($A373="","",IF(OR(O373=0,O373="",P373=0),"",P373/O373))</f>
        <v/>
      </c>
      <c r="Z373" s="1" t="str">
        <f aca="false">IF($A373="","",IFERROR(INDEX(物件収支!$E:$E,MATCH($A373,物件収支!$A:$A,0)),""))</f>
        <v>開示（物件別・収益のみ）</v>
      </c>
    </row>
    <row r="374" customFormat="false" ht="16.5" hidden="false" customHeight="true" outlineLevel="0" collapsed="false">
      <c r="A374" s="1" t="str">
        <f aca="false">IF(物件マスタ!A374="","",物件マスタ!A374)</f>
        <v>ICG-77</v>
      </c>
      <c r="B374" s="1" t="str">
        <f aca="false">IF($A374="","",物件マスタ!B374)</f>
        <v>ICG</v>
      </c>
      <c r="C374" s="1" t="str">
        <f aca="false">IF($A374="","",IFERROR(INDEX(法人マスタ!$C:$C,MATCH($B374,法人マスタ!$A:$A,0)),""))</f>
        <v>いちごオフィスリート投資法人</v>
      </c>
      <c r="D374" s="1" t="str">
        <f aca="false">IF($A374="","",物件マスタ!C374)</f>
        <v>いちご博多駅東三丁目ビル</v>
      </c>
      <c r="E374" s="1" t="str">
        <f aca="false">IF($A374="","",物件マスタ!H374)</f>
        <v>その他3大都市圏</v>
      </c>
      <c r="F374" s="1" t="n">
        <f aca="false">IF($A374="","",物件マスタ!P374)</f>
        <v>0</v>
      </c>
      <c r="G374" s="1" t="str">
        <f aca="false">IF($A374="","",物件マスタ!Q374)</f>
        <v/>
      </c>
      <c r="H374" s="1" t="n">
        <f aca="false">IF($A374="","",物件マスタ!L374)</f>
        <v>0</v>
      </c>
      <c r="I374" s="1" t="n">
        <f aca="false">IF($A374="","",物件マスタ!M374)</f>
        <v>2949.22</v>
      </c>
      <c r="J374" s="1" t="n">
        <f aca="false">IF($A374="","",物件マスタ!S374)</f>
        <v>0</v>
      </c>
      <c r="K374" s="1" t="n">
        <f aca="false">IF($A374="","",物件マスタ!U374)</f>
        <v>2860</v>
      </c>
      <c r="L374" s="1" t="n">
        <f aca="false">IF($A374="","",物件マスタ!W374)</f>
        <v>0.843</v>
      </c>
      <c r="M374" s="1" t="str">
        <f aca="false">IF($A374="","",IFERROR(INDEX(法人マスタ!$H:$H,MATCH($B374,法人マスタ!$A:$A,0)),""))</f>
        <v>2026年4月期（第41期）</v>
      </c>
      <c r="N374" s="1" t="n">
        <f aca="false">IF($A374="","",SUMIFS(物件収支!$D:$D,物件収支!$A:$A,$A374,物件収支!$C:$C,$M374))</f>
        <v>6</v>
      </c>
      <c r="O374" s="1" t="n">
        <f aca="false">IF($A374="","",SUMIFS(物件収支!$F:$F,物件収支!$A:$A,$A374,物件収支!$C:$C,$M374))</f>
        <v>62092</v>
      </c>
      <c r="P374" s="1" t="n">
        <f aca="false">IF($A374="","",SUMIFS(物件収支!$I:$I,物件収支!$A:$A,$A374,物件収支!$C:$C,$M374))</f>
        <v>0</v>
      </c>
      <c r="Q374" s="1" t="n">
        <f aca="false">IF($A374="","",SUMIFS(物件収支!$O:$O,物件収支!$A:$A,$A374,物件収支!$C:$C,$M374))</f>
        <v>0</v>
      </c>
      <c r="R374" s="1" t="str">
        <f aca="false">IF($A374="","",IF(P374=0,"",O374-P374))</f>
        <v/>
      </c>
      <c r="S374" s="1" t="str">
        <f aca="false">IF($A374="","",IF(R374="","",R374+Q374))</f>
        <v/>
      </c>
      <c r="T374" s="1" t="str">
        <f aca="false">IF($A374="","",IF(OR(S374="",N374&lt;=0),"",S374/1000*12/N374))</f>
        <v/>
      </c>
      <c r="U374" s="1" t="str">
        <f aca="false">IF($A374="","",IF(OR(T374="",J374=0,J374=""),"",T374/J374))</f>
        <v/>
      </c>
      <c r="V374" s="1" t="str">
        <f aca="false">IF($A374="","",IF(OR(R374="",N374&lt;=0,J374=0,J374=""),"",(R374/1000*12/N374)/J374))</f>
        <v/>
      </c>
      <c r="W374" s="1" t="str">
        <f aca="false">IF($A374="","",IF(OR(T374="",K374=0,K374=""),"",T374/K374))</f>
        <v/>
      </c>
      <c r="X374" s="1" t="n">
        <f aca="false">IF($A374="","",IF(OR(N374&lt;=0,I374=0,I374="",O374=0),"",O374*1000/(I374*0.3025)/N374))</f>
        <v>11599.8359971651</v>
      </c>
      <c r="Y374" s="1" t="str">
        <f aca="false">IF($A374="","",IF(OR(O374=0,O374="",P374=0),"",P374/O374))</f>
        <v/>
      </c>
      <c r="Z374" s="1" t="str">
        <f aca="false">IF($A374="","",IFERROR(INDEX(物件収支!$E:$E,MATCH($A374,物件収支!$A:$A,0)),""))</f>
        <v>開示（物件別・収益のみ）</v>
      </c>
    </row>
    <row r="375" customFormat="false" ht="16.5" hidden="false" customHeight="true" outlineLevel="0" collapsed="false">
      <c r="A375" s="1" t="str">
        <f aca="false">IF(物件マスタ!A375="","",物件マスタ!A375)</f>
        <v>ICG-78</v>
      </c>
      <c r="B375" s="1" t="str">
        <f aca="false">IF($A375="","",物件マスタ!B375)</f>
        <v>ICG</v>
      </c>
      <c r="C375" s="1" t="str">
        <f aca="false">IF($A375="","",IFERROR(INDEX(法人マスタ!$C:$C,MATCH($B375,法人マスタ!$A:$A,0)),""))</f>
        <v>いちごオフィスリート投資法人</v>
      </c>
      <c r="D375" s="1" t="str">
        <f aca="false">IF($A375="","",物件マスタ!C375)</f>
        <v>いちご錦糸町サウスビル</v>
      </c>
      <c r="E375" s="1" t="str">
        <f aca="false">IF($A375="","",物件マスタ!H375)</f>
        <v>その他東京23区</v>
      </c>
      <c r="F375" s="1" t="n">
        <f aca="false">IF($A375="","",物件マスタ!P375)</f>
        <v>0</v>
      </c>
      <c r="G375" s="1" t="str">
        <f aca="false">IF($A375="","",物件マスタ!Q375)</f>
        <v/>
      </c>
      <c r="H375" s="1" t="n">
        <f aca="false">IF($A375="","",物件マスタ!L375)</f>
        <v>0</v>
      </c>
      <c r="I375" s="1" t="n">
        <f aca="false">IF($A375="","",物件マスタ!M375)</f>
        <v>2059.86</v>
      </c>
      <c r="J375" s="1" t="n">
        <f aca="false">IF($A375="","",物件マスタ!S375)</f>
        <v>0</v>
      </c>
      <c r="K375" s="1" t="n">
        <f aca="false">IF($A375="","",物件マスタ!U375)</f>
        <v>2170</v>
      </c>
      <c r="L375" s="1" t="n">
        <f aca="false">IF($A375="","",物件マスタ!W375)</f>
        <v>1</v>
      </c>
      <c r="M375" s="1" t="str">
        <f aca="false">IF($A375="","",IFERROR(INDEX(法人マスタ!$H:$H,MATCH($B375,法人マスタ!$A:$A,0)),""))</f>
        <v>2026年4月期（第41期）</v>
      </c>
      <c r="N375" s="1" t="n">
        <f aca="false">IF($A375="","",SUMIFS(物件収支!$D:$D,物件収支!$A:$A,$A375,物件収支!$C:$C,$M375))</f>
        <v>6</v>
      </c>
      <c r="O375" s="1" t="n">
        <f aca="false">IF($A375="","",SUMIFS(物件収支!$F:$F,物件収支!$A:$A,$A375,物件収支!$C:$C,$M375))</f>
        <v>58775</v>
      </c>
      <c r="P375" s="1" t="n">
        <f aca="false">IF($A375="","",SUMIFS(物件収支!$I:$I,物件収支!$A:$A,$A375,物件収支!$C:$C,$M375))</f>
        <v>0</v>
      </c>
      <c r="Q375" s="1" t="n">
        <f aca="false">IF($A375="","",SUMIFS(物件収支!$O:$O,物件収支!$A:$A,$A375,物件収支!$C:$C,$M375))</f>
        <v>0</v>
      </c>
      <c r="R375" s="1" t="str">
        <f aca="false">IF($A375="","",IF(P375=0,"",O375-P375))</f>
        <v/>
      </c>
      <c r="S375" s="1" t="str">
        <f aca="false">IF($A375="","",IF(R375="","",R375+Q375))</f>
        <v/>
      </c>
      <c r="T375" s="1" t="str">
        <f aca="false">IF($A375="","",IF(OR(S375="",N375&lt;=0),"",S375/1000*12/N375))</f>
        <v/>
      </c>
      <c r="U375" s="1" t="str">
        <f aca="false">IF($A375="","",IF(OR(T375="",J375=0,J375=""),"",T375/J375))</f>
        <v/>
      </c>
      <c r="V375" s="1" t="str">
        <f aca="false">IF($A375="","",IF(OR(R375="",N375&lt;=0,J375=0,J375=""),"",(R375/1000*12/N375)/J375))</f>
        <v/>
      </c>
      <c r="W375" s="1" t="str">
        <f aca="false">IF($A375="","",IF(OR(T375="",K375=0,K375=""),"",T375/K375))</f>
        <v/>
      </c>
      <c r="X375" s="1" t="n">
        <f aca="false">IF($A375="","",IF(OR(N375&lt;=0,I375=0,I375="",O375=0),"",O375*1000/(I375*0.3025)/N375))</f>
        <v>15720.9325440529</v>
      </c>
      <c r="Y375" s="1" t="str">
        <f aca="false">IF($A375="","",IF(OR(O375=0,O375="",P375=0),"",P375/O375))</f>
        <v/>
      </c>
      <c r="Z375" s="1" t="str">
        <f aca="false">IF($A375="","",IFERROR(INDEX(物件収支!$E:$E,MATCH($A375,物件収支!$A:$A,0)),""))</f>
        <v>開示（物件別・収益のみ）</v>
      </c>
    </row>
    <row r="376" customFormat="false" ht="16.5" hidden="false" customHeight="true" outlineLevel="0" collapsed="false">
      <c r="A376" s="1" t="str">
        <f aca="false">IF(物件マスタ!A376="","",物件マスタ!A376)</f>
        <v>ICG-79</v>
      </c>
      <c r="B376" s="1" t="str">
        <f aca="false">IF($A376="","",物件マスタ!B376)</f>
        <v>ICG</v>
      </c>
      <c r="C376" s="1" t="str">
        <f aca="false">IF($A376="","",IFERROR(INDEX(法人マスタ!$C:$C,MATCH($B376,法人マスタ!$A:$A,0)),""))</f>
        <v>いちごオフィスリート投資法人</v>
      </c>
      <c r="D376" s="1" t="str">
        <f aca="false">IF($A376="","",物件マスタ!C376)</f>
        <v>いちご秋葉原イーストビル</v>
      </c>
      <c r="E376" s="1" t="str">
        <f aca="false">IF($A376="","",物件マスタ!H376)</f>
        <v>都心5区</v>
      </c>
      <c r="F376" s="1" t="n">
        <f aca="false">IF($A376="","",物件マスタ!P376)</f>
        <v>0</v>
      </c>
      <c r="G376" s="1" t="str">
        <f aca="false">IF($A376="","",物件マスタ!Q376)</f>
        <v/>
      </c>
      <c r="H376" s="1" t="n">
        <f aca="false">IF($A376="","",物件マスタ!L376)</f>
        <v>0</v>
      </c>
      <c r="I376" s="1" t="n">
        <f aca="false">IF($A376="","",物件マスタ!M376)</f>
        <v>2100.93</v>
      </c>
      <c r="J376" s="1" t="n">
        <f aca="false">IF($A376="","",物件マスタ!S376)</f>
        <v>0</v>
      </c>
      <c r="K376" s="1" t="n">
        <f aca="false">IF($A376="","",物件マスタ!U376)</f>
        <v>3350</v>
      </c>
      <c r="L376" s="1" t="n">
        <f aca="false">IF($A376="","",物件マスタ!W376)</f>
        <v>1</v>
      </c>
      <c r="M376" s="1" t="str">
        <f aca="false">IF($A376="","",IFERROR(INDEX(法人マスタ!$H:$H,MATCH($B376,法人マスタ!$A:$A,0)),""))</f>
        <v>2026年4月期（第41期）</v>
      </c>
      <c r="N376" s="1" t="n">
        <f aca="false">IF($A376="","",SUMIFS(物件収支!$D:$D,物件収支!$A:$A,$A376,物件収支!$C:$C,$M376))</f>
        <v>6</v>
      </c>
      <c r="O376" s="1" t="n">
        <f aca="false">IF($A376="","",SUMIFS(物件収支!$F:$F,物件収支!$A:$A,$A376,物件収支!$C:$C,$M376))</f>
        <v>75642</v>
      </c>
      <c r="P376" s="1" t="n">
        <f aca="false">IF($A376="","",SUMIFS(物件収支!$I:$I,物件収支!$A:$A,$A376,物件収支!$C:$C,$M376))</f>
        <v>0</v>
      </c>
      <c r="Q376" s="1" t="n">
        <f aca="false">IF($A376="","",SUMIFS(物件収支!$O:$O,物件収支!$A:$A,$A376,物件収支!$C:$C,$M376))</f>
        <v>0</v>
      </c>
      <c r="R376" s="1" t="str">
        <f aca="false">IF($A376="","",IF(P376=0,"",O376-P376))</f>
        <v/>
      </c>
      <c r="S376" s="1" t="str">
        <f aca="false">IF($A376="","",IF(R376="","",R376+Q376))</f>
        <v/>
      </c>
      <c r="T376" s="1" t="str">
        <f aca="false">IF($A376="","",IF(OR(S376="",N376&lt;=0),"",S376/1000*12/N376))</f>
        <v/>
      </c>
      <c r="U376" s="1" t="str">
        <f aca="false">IF($A376="","",IF(OR(T376="",J376=0,J376=""),"",T376/J376))</f>
        <v/>
      </c>
      <c r="V376" s="1" t="str">
        <f aca="false">IF($A376="","",IF(OR(R376="",N376&lt;=0,J376=0,J376=""),"",(R376/1000*12/N376)/J376))</f>
        <v/>
      </c>
      <c r="W376" s="1" t="str">
        <f aca="false">IF($A376="","",IF(OR(T376="",K376=0,K376=""),"",T376/K376))</f>
        <v/>
      </c>
      <c r="X376" s="1" t="n">
        <f aca="false">IF($A376="","",IF(OR(N376&lt;=0,I376=0,I376="",O376=0),"",O376*1000/(I376*0.3025)/N376))</f>
        <v>19836.9450947206</v>
      </c>
      <c r="Y376" s="1" t="str">
        <f aca="false">IF($A376="","",IF(OR(O376=0,O376="",P376=0),"",P376/O376))</f>
        <v/>
      </c>
      <c r="Z376" s="1" t="str">
        <f aca="false">IF($A376="","",IFERROR(INDEX(物件収支!$E:$E,MATCH($A376,物件収支!$A:$A,0)),""))</f>
        <v>開示（物件別・収益のみ）</v>
      </c>
    </row>
    <row r="377" customFormat="false" ht="16.5" hidden="false" customHeight="true" outlineLevel="0" collapsed="false">
      <c r="A377" s="1" t="str">
        <f aca="false">IF(物件マスタ!A377="","",物件マスタ!A377)</f>
        <v>ICG-80</v>
      </c>
      <c r="B377" s="1" t="str">
        <f aca="false">IF($A377="","",物件マスタ!B377)</f>
        <v>ICG</v>
      </c>
      <c r="C377" s="1" t="str">
        <f aca="false">IF($A377="","",IFERROR(INDEX(法人マスタ!$C:$C,MATCH($B377,法人マスタ!$A:$A,0)),""))</f>
        <v>いちごオフィスリート投資法人</v>
      </c>
      <c r="D377" s="1" t="str">
        <f aca="false">IF($A377="","",物件マスタ!C377)</f>
        <v>いちご博多明治通りビル</v>
      </c>
      <c r="E377" s="1" t="str">
        <f aca="false">IF($A377="","",物件マスタ!H377)</f>
        <v>その他3大都市圏</v>
      </c>
      <c r="F377" s="1" t="n">
        <f aca="false">IF($A377="","",物件マスタ!P377)</f>
        <v>0</v>
      </c>
      <c r="G377" s="1" t="str">
        <f aca="false">IF($A377="","",物件マスタ!Q377)</f>
        <v/>
      </c>
      <c r="H377" s="1" t="n">
        <f aca="false">IF($A377="","",物件マスタ!L377)</f>
        <v>0</v>
      </c>
      <c r="I377" s="1" t="n">
        <f aca="false">IF($A377="","",物件マスタ!M377)</f>
        <v>3374.93</v>
      </c>
      <c r="J377" s="1" t="n">
        <f aca="false">IF($A377="","",物件マスタ!S377)</f>
        <v>0</v>
      </c>
      <c r="K377" s="1" t="n">
        <f aca="false">IF($A377="","",物件マスタ!U377)</f>
        <v>3680</v>
      </c>
      <c r="L377" s="1" t="n">
        <f aca="false">IF($A377="","",物件マスタ!W377)</f>
        <v>1</v>
      </c>
      <c r="M377" s="1" t="str">
        <f aca="false">IF($A377="","",IFERROR(INDEX(法人マスタ!$H:$H,MATCH($B377,法人マスタ!$A:$A,0)),""))</f>
        <v>2026年4月期（第41期）</v>
      </c>
      <c r="N377" s="1" t="n">
        <f aca="false">IF($A377="","",SUMIFS(物件収支!$D:$D,物件収支!$A:$A,$A377,物件収支!$C:$C,$M377))</f>
        <v>6</v>
      </c>
      <c r="O377" s="1" t="n">
        <f aca="false">IF($A377="","",SUMIFS(物件収支!$F:$F,物件収支!$A:$A,$A377,物件収支!$C:$C,$M377))</f>
        <v>97413</v>
      </c>
      <c r="P377" s="1" t="n">
        <f aca="false">IF($A377="","",SUMIFS(物件収支!$I:$I,物件収支!$A:$A,$A377,物件収支!$C:$C,$M377))</f>
        <v>0</v>
      </c>
      <c r="Q377" s="1" t="n">
        <f aca="false">IF($A377="","",SUMIFS(物件収支!$O:$O,物件収支!$A:$A,$A377,物件収支!$C:$C,$M377))</f>
        <v>0</v>
      </c>
      <c r="R377" s="1" t="str">
        <f aca="false">IF($A377="","",IF(P377=0,"",O377-P377))</f>
        <v/>
      </c>
      <c r="S377" s="1" t="str">
        <f aca="false">IF($A377="","",IF(R377="","",R377+Q377))</f>
        <v/>
      </c>
      <c r="T377" s="1" t="str">
        <f aca="false">IF($A377="","",IF(OR(S377="",N377&lt;=0),"",S377/1000*12/N377))</f>
        <v/>
      </c>
      <c r="U377" s="1" t="str">
        <f aca="false">IF($A377="","",IF(OR(T377="",J377=0,J377=""),"",T377/J377))</f>
        <v/>
      </c>
      <c r="V377" s="1" t="str">
        <f aca="false">IF($A377="","",IF(OR(R377="",N377&lt;=0,J377=0,J377=""),"",(R377/1000*12/N377)/J377))</f>
        <v/>
      </c>
      <c r="W377" s="1" t="str">
        <f aca="false">IF($A377="","",IF(OR(T377="",K377=0,K377=""),"",T377/K377))</f>
        <v/>
      </c>
      <c r="X377" s="1" t="n">
        <f aca="false">IF($A377="","",IF(OR(N377&lt;=0,I377=0,I377="",O377=0),"",O377*1000/(I377*0.3025)/N377))</f>
        <v>15902.8703943979</v>
      </c>
      <c r="Y377" s="1" t="str">
        <f aca="false">IF($A377="","",IF(OR(O377=0,O377="",P377=0),"",P377/O377))</f>
        <v/>
      </c>
      <c r="Z377" s="1" t="str">
        <f aca="false">IF($A377="","",IFERROR(INDEX(物件収支!$E:$E,MATCH($A377,物件収支!$A:$A,0)),""))</f>
        <v>開示（物件別・収益のみ）</v>
      </c>
    </row>
    <row r="378" customFormat="false" ht="16.5" hidden="false" customHeight="true" outlineLevel="0" collapsed="false">
      <c r="A378" s="1" t="str">
        <f aca="false">IF(物件マスタ!A378="","",物件マスタ!A378)</f>
        <v>ICG-81</v>
      </c>
      <c r="B378" s="1" t="str">
        <f aca="false">IF($A378="","",物件マスタ!B378)</f>
        <v>ICG</v>
      </c>
      <c r="C378" s="1" t="str">
        <f aca="false">IF($A378="","",IFERROR(INDEX(法人マスタ!$C:$C,MATCH($B378,法人マスタ!$A:$A,0)),""))</f>
        <v>いちごオフィスリート投資法人</v>
      </c>
      <c r="D378" s="1" t="str">
        <f aca="false">IF($A378="","",物件マスタ!C378)</f>
        <v>いちご博多祇園ビル</v>
      </c>
      <c r="E378" s="1" t="str">
        <f aca="false">IF($A378="","",物件マスタ!H378)</f>
        <v>その他3大都市圏</v>
      </c>
      <c r="F378" s="1" t="n">
        <f aca="false">IF($A378="","",物件マスタ!P378)</f>
        <v>0</v>
      </c>
      <c r="G378" s="1" t="str">
        <f aca="false">IF($A378="","",物件マスタ!Q378)</f>
        <v/>
      </c>
      <c r="H378" s="1" t="n">
        <f aca="false">IF($A378="","",物件マスタ!L378)</f>
        <v>0</v>
      </c>
      <c r="I378" s="1" t="n">
        <f aca="false">IF($A378="","",物件マスタ!M378)</f>
        <v>1632.29</v>
      </c>
      <c r="J378" s="1" t="n">
        <f aca="false">IF($A378="","",物件マスタ!S378)</f>
        <v>0</v>
      </c>
      <c r="K378" s="1" t="n">
        <f aca="false">IF($A378="","",物件マスタ!U378)</f>
        <v>1720</v>
      </c>
      <c r="L378" s="1" t="n">
        <f aca="false">IF($A378="","",物件マスタ!W378)</f>
        <v>1</v>
      </c>
      <c r="M378" s="1" t="str">
        <f aca="false">IF($A378="","",IFERROR(INDEX(法人マスタ!$H:$H,MATCH($B378,法人マスタ!$A:$A,0)),""))</f>
        <v>2026年4月期（第41期）</v>
      </c>
      <c r="N378" s="1" t="n">
        <f aca="false">IF($A378="","",SUMIFS(物件収支!$D:$D,物件収支!$A:$A,$A378,物件収支!$C:$C,$M378))</f>
        <v>6</v>
      </c>
      <c r="O378" s="1" t="n">
        <f aca="false">IF($A378="","",SUMIFS(物件収支!$F:$F,物件収支!$A:$A,$A378,物件収支!$C:$C,$M378))</f>
        <v>41561</v>
      </c>
      <c r="P378" s="1" t="n">
        <f aca="false">IF($A378="","",SUMIFS(物件収支!$I:$I,物件収支!$A:$A,$A378,物件収支!$C:$C,$M378))</f>
        <v>0</v>
      </c>
      <c r="Q378" s="1" t="n">
        <f aca="false">IF($A378="","",SUMIFS(物件収支!$O:$O,物件収支!$A:$A,$A378,物件収支!$C:$C,$M378))</f>
        <v>0</v>
      </c>
      <c r="R378" s="1" t="str">
        <f aca="false">IF($A378="","",IF(P378=0,"",O378-P378))</f>
        <v/>
      </c>
      <c r="S378" s="1" t="str">
        <f aca="false">IF($A378="","",IF(R378="","",R378+Q378))</f>
        <v/>
      </c>
      <c r="T378" s="1" t="str">
        <f aca="false">IF($A378="","",IF(OR(S378="",N378&lt;=0),"",S378/1000*12/N378))</f>
        <v/>
      </c>
      <c r="U378" s="1" t="str">
        <f aca="false">IF($A378="","",IF(OR(T378="",J378=0,J378=""),"",T378/J378))</f>
        <v/>
      </c>
      <c r="V378" s="1" t="str">
        <f aca="false">IF($A378="","",IF(OR(R378="",N378&lt;=0,J378=0,J378=""),"",(R378/1000*12/N378)/J378))</f>
        <v/>
      </c>
      <c r="W378" s="1" t="str">
        <f aca="false">IF($A378="","",IF(OR(T378="",K378=0,K378=""),"",T378/K378))</f>
        <v/>
      </c>
      <c r="X378" s="1" t="n">
        <f aca="false">IF($A378="","",IF(OR(N378&lt;=0,I378=0,I378="",O378=0),"",O378*1000/(I378*0.3025)/N378))</f>
        <v>14028.5259295417</v>
      </c>
      <c r="Y378" s="1" t="str">
        <f aca="false">IF($A378="","",IF(OR(O378=0,O378="",P378=0),"",P378/O378))</f>
        <v/>
      </c>
      <c r="Z378" s="1" t="str">
        <f aca="false">IF($A378="","",IFERROR(INDEX(物件収支!$E:$E,MATCH($A378,物件収支!$A:$A,0)),""))</f>
        <v>開示（物件別・収益のみ）</v>
      </c>
    </row>
    <row r="379" customFormat="false" ht="16.5" hidden="false" customHeight="true" outlineLevel="0" collapsed="false">
      <c r="A379" s="1" t="str">
        <f aca="false">IF(物件マスタ!A379="","",物件マスタ!A379)</f>
        <v>ICG-82</v>
      </c>
      <c r="B379" s="1" t="str">
        <f aca="false">IF($A379="","",物件マスタ!B379)</f>
        <v>ICG</v>
      </c>
      <c r="C379" s="1" t="str">
        <f aca="false">IF($A379="","",IFERROR(INDEX(法人マスタ!$C:$C,MATCH($B379,法人マスタ!$A:$A,0)),""))</f>
        <v>いちごオフィスリート投資法人</v>
      </c>
      <c r="D379" s="1" t="str">
        <f aca="false">IF($A379="","",物件マスタ!C379)</f>
        <v>いちご天神ノースビル</v>
      </c>
      <c r="E379" s="1" t="str">
        <f aca="false">IF($A379="","",物件マスタ!H379)</f>
        <v>その他3大都市圏</v>
      </c>
      <c r="F379" s="1" t="n">
        <f aca="false">IF($A379="","",物件マスタ!P379)</f>
        <v>0</v>
      </c>
      <c r="G379" s="1" t="str">
        <f aca="false">IF($A379="","",物件マスタ!Q379)</f>
        <v/>
      </c>
      <c r="H379" s="1" t="n">
        <f aca="false">IF($A379="","",物件マスタ!L379)</f>
        <v>0</v>
      </c>
      <c r="I379" s="1" t="n">
        <f aca="false">IF($A379="","",物件マスタ!M379)</f>
        <v>1475.75</v>
      </c>
      <c r="J379" s="1" t="n">
        <f aca="false">IF($A379="","",物件マスタ!S379)</f>
        <v>0</v>
      </c>
      <c r="K379" s="1" t="n">
        <f aca="false">IF($A379="","",物件マスタ!U379)</f>
        <v>1600</v>
      </c>
      <c r="L379" s="1" t="n">
        <f aca="false">IF($A379="","",物件マスタ!W379)</f>
        <v>0.815</v>
      </c>
      <c r="M379" s="1" t="str">
        <f aca="false">IF($A379="","",IFERROR(INDEX(法人マスタ!$H:$H,MATCH($B379,法人マスタ!$A:$A,0)),""))</f>
        <v>2026年4月期（第41期）</v>
      </c>
      <c r="N379" s="1" t="n">
        <f aca="false">IF($A379="","",SUMIFS(物件収支!$D:$D,物件収支!$A:$A,$A379,物件収支!$C:$C,$M379))</f>
        <v>6</v>
      </c>
      <c r="O379" s="1" t="n">
        <f aca="false">IF($A379="","",SUMIFS(物件収支!$F:$F,物件収支!$A:$A,$A379,物件収支!$C:$C,$M379))</f>
        <v>39921</v>
      </c>
      <c r="P379" s="1" t="n">
        <f aca="false">IF($A379="","",SUMIFS(物件収支!$I:$I,物件収支!$A:$A,$A379,物件収支!$C:$C,$M379))</f>
        <v>0</v>
      </c>
      <c r="Q379" s="1" t="n">
        <f aca="false">IF($A379="","",SUMIFS(物件収支!$O:$O,物件収支!$A:$A,$A379,物件収支!$C:$C,$M379))</f>
        <v>0</v>
      </c>
      <c r="R379" s="1" t="str">
        <f aca="false">IF($A379="","",IF(P379=0,"",O379-P379))</f>
        <v/>
      </c>
      <c r="S379" s="1" t="str">
        <f aca="false">IF($A379="","",IF(R379="","",R379+Q379))</f>
        <v/>
      </c>
      <c r="T379" s="1" t="str">
        <f aca="false">IF($A379="","",IF(OR(S379="",N379&lt;=0),"",S379/1000*12/N379))</f>
        <v/>
      </c>
      <c r="U379" s="1" t="str">
        <f aca="false">IF($A379="","",IF(OR(T379="",J379=0,J379=""),"",T379/J379))</f>
        <v/>
      </c>
      <c r="V379" s="1" t="str">
        <f aca="false">IF($A379="","",IF(OR(R379="",N379&lt;=0,J379=0,J379=""),"",(R379/1000*12/N379)/J379))</f>
        <v/>
      </c>
      <c r="W379" s="1" t="str">
        <f aca="false">IF($A379="","",IF(OR(T379="",K379=0,K379=""),"",T379/K379))</f>
        <v/>
      </c>
      <c r="X379" s="1" t="n">
        <f aca="false">IF($A379="","",IF(OR(N379&lt;=0,I379=0,I379="",O379=0),"",O379*1000/(I379*0.3025)/N379))</f>
        <v>14904.3139571838</v>
      </c>
      <c r="Y379" s="1" t="str">
        <f aca="false">IF($A379="","",IF(OR(O379=0,O379="",P379=0),"",P379/O379))</f>
        <v/>
      </c>
      <c r="Z379" s="1" t="str">
        <f aca="false">IF($A379="","",IFERROR(INDEX(物件収支!$E:$E,MATCH($A379,物件収支!$A:$A,0)),""))</f>
        <v>開示（物件別・収益のみ）</v>
      </c>
    </row>
    <row r="380" customFormat="false" ht="16.5" hidden="false" customHeight="true" outlineLevel="0" collapsed="false">
      <c r="A380" s="1" t="str">
        <f aca="false">IF(物件マスタ!A380="","",物件マスタ!A380)</f>
        <v>ICG-83</v>
      </c>
      <c r="B380" s="1" t="str">
        <f aca="false">IF($A380="","",物件マスタ!B380)</f>
        <v>ICG</v>
      </c>
      <c r="C380" s="1" t="str">
        <f aca="false">IF($A380="","",IFERROR(INDEX(法人マスタ!$C:$C,MATCH($B380,法人マスタ!$A:$A,0)),""))</f>
        <v>いちごオフィスリート投資法人</v>
      </c>
      <c r="D380" s="1" t="str">
        <f aca="false">IF($A380="","",物件マスタ!C380)</f>
        <v>いちご五反田ウエストビル</v>
      </c>
      <c r="E380" s="1" t="str">
        <f aca="false">IF($A380="","",物件マスタ!H380)</f>
        <v>その他東京23区</v>
      </c>
      <c r="F380" s="1" t="n">
        <f aca="false">IF($A380="","",物件マスタ!P380)</f>
        <v>0</v>
      </c>
      <c r="G380" s="1" t="str">
        <f aca="false">IF($A380="","",物件マスタ!Q380)</f>
        <v/>
      </c>
      <c r="H380" s="1" t="n">
        <f aca="false">IF($A380="","",物件マスタ!L380)</f>
        <v>0</v>
      </c>
      <c r="I380" s="1" t="n">
        <f aca="false">IF($A380="","",物件マスタ!M380)</f>
        <v>2735.34</v>
      </c>
      <c r="J380" s="1" t="n">
        <f aca="false">IF($A380="","",物件マスタ!S380)</f>
        <v>0</v>
      </c>
      <c r="K380" s="1" t="n">
        <f aca="false">IF($A380="","",物件マスタ!U380)</f>
        <v>4090</v>
      </c>
      <c r="L380" s="1" t="n">
        <f aca="false">IF($A380="","",物件マスタ!W380)</f>
        <v>1</v>
      </c>
      <c r="M380" s="1" t="str">
        <f aca="false">IF($A380="","",IFERROR(INDEX(法人マスタ!$H:$H,MATCH($B380,法人マスタ!$A:$A,0)),""))</f>
        <v>2026年4月期（第41期）</v>
      </c>
      <c r="N380" s="1" t="n">
        <f aca="false">IF($A380="","",SUMIFS(物件収支!$D:$D,物件収支!$A:$A,$A380,物件収支!$C:$C,$M380))</f>
        <v>6</v>
      </c>
      <c r="O380" s="1" t="n">
        <f aca="false">IF($A380="","",SUMIFS(物件収支!$F:$F,物件収支!$A:$A,$A380,物件収支!$C:$C,$M380))</f>
        <v>104929</v>
      </c>
      <c r="P380" s="1" t="n">
        <f aca="false">IF($A380="","",SUMIFS(物件収支!$I:$I,物件収支!$A:$A,$A380,物件収支!$C:$C,$M380))</f>
        <v>0</v>
      </c>
      <c r="Q380" s="1" t="n">
        <f aca="false">IF($A380="","",SUMIFS(物件収支!$O:$O,物件収支!$A:$A,$A380,物件収支!$C:$C,$M380))</f>
        <v>0</v>
      </c>
      <c r="R380" s="1" t="str">
        <f aca="false">IF($A380="","",IF(P380=0,"",O380-P380))</f>
        <v/>
      </c>
      <c r="S380" s="1" t="str">
        <f aca="false">IF($A380="","",IF(R380="","",R380+Q380))</f>
        <v/>
      </c>
      <c r="T380" s="1" t="str">
        <f aca="false">IF($A380="","",IF(OR(S380="",N380&lt;=0),"",S380/1000*12/N380))</f>
        <v/>
      </c>
      <c r="U380" s="1" t="str">
        <f aca="false">IF($A380="","",IF(OR(T380="",J380=0,J380=""),"",T380/J380))</f>
        <v/>
      </c>
      <c r="V380" s="1" t="str">
        <f aca="false">IF($A380="","",IF(OR(R380="",N380&lt;=0,J380=0,J380=""),"",(R380/1000*12/N380)/J380))</f>
        <v/>
      </c>
      <c r="W380" s="1" t="str">
        <f aca="false">IF($A380="","",IF(OR(T380="",K380=0,K380=""),"",T380/K380))</f>
        <v/>
      </c>
      <c r="X380" s="1" t="n">
        <f aca="false">IF($A380="","",IF(OR(N380&lt;=0,I380=0,I380="",O380=0),"",O380*1000/(I380*0.3025)/N380))</f>
        <v>21135.2596796454</v>
      </c>
      <c r="Y380" s="1" t="str">
        <f aca="false">IF($A380="","",IF(OR(O380=0,O380="",P380=0),"",P380/O380))</f>
        <v/>
      </c>
      <c r="Z380" s="1" t="str">
        <f aca="false">IF($A380="","",IFERROR(INDEX(物件収支!$E:$E,MATCH($A380,物件収支!$A:$A,0)),""))</f>
        <v>開示（物件別・収益のみ）</v>
      </c>
    </row>
    <row r="381" customFormat="false" ht="16.5" hidden="false" customHeight="true" outlineLevel="0" collapsed="false">
      <c r="A381" s="1" t="str">
        <f aca="false">IF(物件マスタ!A381="","",物件マスタ!A381)</f>
        <v>ICG-84</v>
      </c>
      <c r="B381" s="1" t="str">
        <f aca="false">IF($A381="","",物件マスタ!B381)</f>
        <v>ICG</v>
      </c>
      <c r="C381" s="1" t="str">
        <f aca="false">IF($A381="","",IFERROR(INDEX(法人マスタ!$C:$C,MATCH($B381,法人マスタ!$A:$A,0)),""))</f>
        <v>いちごオフィスリート投資法人</v>
      </c>
      <c r="D381" s="1" t="str">
        <f aca="false">IF($A381="","",物件マスタ!C381)</f>
        <v>いちご大手町ノースビル</v>
      </c>
      <c r="E381" s="1" t="str">
        <f aca="false">IF($A381="","",物件マスタ!H381)</f>
        <v>都心5区</v>
      </c>
      <c r="F381" s="1" t="n">
        <f aca="false">IF($A381="","",物件マスタ!P381)</f>
        <v>0</v>
      </c>
      <c r="G381" s="1" t="str">
        <f aca="false">IF($A381="","",物件マスタ!Q381)</f>
        <v/>
      </c>
      <c r="H381" s="1" t="n">
        <f aca="false">IF($A381="","",物件マスタ!L381)</f>
        <v>0</v>
      </c>
      <c r="I381" s="1" t="n">
        <f aca="false">IF($A381="","",物件マスタ!M381)</f>
        <v>1237.43</v>
      </c>
      <c r="J381" s="1" t="n">
        <f aca="false">IF($A381="","",物件マスタ!S381)</f>
        <v>0</v>
      </c>
      <c r="K381" s="1" t="n">
        <f aca="false">IF($A381="","",物件マスタ!U381)</f>
        <v>2100</v>
      </c>
      <c r="L381" s="1" t="n">
        <f aca="false">IF($A381="","",物件マスタ!W381)</f>
        <v>0.915</v>
      </c>
      <c r="M381" s="1" t="str">
        <f aca="false">IF($A381="","",IFERROR(INDEX(法人マスタ!$H:$H,MATCH($B381,法人マスタ!$A:$A,0)),""))</f>
        <v>2026年4月期（第41期）</v>
      </c>
      <c r="N381" s="1" t="n">
        <f aca="false">IF($A381="","",SUMIFS(物件収支!$D:$D,物件収支!$A:$A,$A381,物件収支!$C:$C,$M381))</f>
        <v>6</v>
      </c>
      <c r="O381" s="1" t="n">
        <f aca="false">IF($A381="","",SUMIFS(物件収支!$F:$F,物件収支!$A:$A,$A381,物件収支!$C:$C,$M381))</f>
        <v>49511</v>
      </c>
      <c r="P381" s="1" t="n">
        <f aca="false">IF($A381="","",SUMIFS(物件収支!$I:$I,物件収支!$A:$A,$A381,物件収支!$C:$C,$M381))</f>
        <v>0</v>
      </c>
      <c r="Q381" s="1" t="n">
        <f aca="false">IF($A381="","",SUMIFS(物件収支!$O:$O,物件収支!$A:$A,$A381,物件収支!$C:$C,$M381))</f>
        <v>0</v>
      </c>
      <c r="R381" s="1" t="str">
        <f aca="false">IF($A381="","",IF(P381=0,"",O381-P381))</f>
        <v/>
      </c>
      <c r="S381" s="1" t="str">
        <f aca="false">IF($A381="","",IF(R381="","",R381+Q381))</f>
        <v/>
      </c>
      <c r="T381" s="1" t="str">
        <f aca="false">IF($A381="","",IF(OR(S381="",N381&lt;=0),"",S381/1000*12/N381))</f>
        <v/>
      </c>
      <c r="U381" s="1" t="str">
        <f aca="false">IF($A381="","",IF(OR(T381="",J381=0,J381=""),"",T381/J381))</f>
        <v/>
      </c>
      <c r="V381" s="1" t="str">
        <f aca="false">IF($A381="","",IF(OR(R381="",N381&lt;=0,J381=0,J381=""),"",(R381/1000*12/N381)/J381))</f>
        <v/>
      </c>
      <c r="W381" s="1" t="str">
        <f aca="false">IF($A381="","",IF(OR(T381="",K381=0,K381=""),"",T381/K381))</f>
        <v/>
      </c>
      <c r="X381" s="1" t="n">
        <f aca="false">IF($A381="","",IF(OR(N381&lt;=0,I381=0,I381="",O381=0),"",O381*1000/(I381*0.3025)/N381))</f>
        <v>22044.7119261598</v>
      </c>
      <c r="Y381" s="1" t="str">
        <f aca="false">IF($A381="","",IF(OR(O381=0,O381="",P381=0),"",P381/O381))</f>
        <v/>
      </c>
      <c r="Z381" s="1" t="str">
        <f aca="false">IF($A381="","",IFERROR(INDEX(物件収支!$E:$E,MATCH($A381,物件収支!$A:$A,0)),""))</f>
        <v>開示（物件別・収益のみ）</v>
      </c>
    </row>
    <row r="382" customFormat="false" ht="16.5" hidden="false" customHeight="true" outlineLevel="0" collapsed="false">
      <c r="A382" s="1" t="str">
        <f aca="false">IF(物件マスタ!A382="","",物件マスタ!A382)</f>
        <v>ICG-85</v>
      </c>
      <c r="B382" s="1" t="str">
        <f aca="false">IF($A382="","",物件マスタ!B382)</f>
        <v>ICG</v>
      </c>
      <c r="C382" s="1" t="str">
        <f aca="false">IF($A382="","",IFERROR(INDEX(法人マスタ!$C:$C,MATCH($B382,法人マスタ!$A:$A,0)),""))</f>
        <v>いちごオフィスリート投資法人</v>
      </c>
      <c r="D382" s="1" t="str">
        <f aca="false">IF($A382="","",物件マスタ!C382)</f>
        <v>いちご立川公園通りビル</v>
      </c>
      <c r="E382" s="1" t="str">
        <f aca="false">IF($A382="","",物件マスタ!H382)</f>
        <v>東京周辺都市部</v>
      </c>
      <c r="F382" s="1" t="n">
        <f aca="false">IF($A382="","",物件マスタ!P382)</f>
        <v>0</v>
      </c>
      <c r="G382" s="1" t="str">
        <f aca="false">IF($A382="","",物件マスタ!Q382)</f>
        <v/>
      </c>
      <c r="H382" s="1" t="n">
        <f aca="false">IF($A382="","",物件マスタ!L382)</f>
        <v>0</v>
      </c>
      <c r="I382" s="1" t="n">
        <f aca="false">IF($A382="","",物件マスタ!M382)</f>
        <v>2247.87</v>
      </c>
      <c r="J382" s="1" t="n">
        <f aca="false">IF($A382="","",物件マスタ!S382)</f>
        <v>0</v>
      </c>
      <c r="K382" s="1" t="n">
        <f aca="false">IF($A382="","",物件マスタ!U382)</f>
        <v>1960</v>
      </c>
      <c r="L382" s="1" t="n">
        <f aca="false">IF($A382="","",物件マスタ!W382)</f>
        <v>0.885</v>
      </c>
      <c r="M382" s="1" t="str">
        <f aca="false">IF($A382="","",IFERROR(INDEX(法人マスタ!$H:$H,MATCH($B382,法人マスタ!$A:$A,0)),""))</f>
        <v>2026年4月期（第41期）</v>
      </c>
      <c r="N382" s="1" t="n">
        <f aca="false">IF($A382="","",SUMIFS(物件収支!$D:$D,物件収支!$A:$A,$A382,物件収支!$C:$C,$M382))</f>
        <v>6</v>
      </c>
      <c r="O382" s="1" t="n">
        <f aca="false">IF($A382="","",SUMIFS(物件収支!$F:$F,物件収支!$A:$A,$A382,物件収支!$C:$C,$M382))</f>
        <v>41759</v>
      </c>
      <c r="P382" s="1" t="n">
        <f aca="false">IF($A382="","",SUMIFS(物件収支!$I:$I,物件収支!$A:$A,$A382,物件収支!$C:$C,$M382))</f>
        <v>0</v>
      </c>
      <c r="Q382" s="1" t="n">
        <f aca="false">IF($A382="","",SUMIFS(物件収支!$O:$O,物件収支!$A:$A,$A382,物件収支!$C:$C,$M382))</f>
        <v>0</v>
      </c>
      <c r="R382" s="1" t="str">
        <f aca="false">IF($A382="","",IF(P382=0,"",O382-P382))</f>
        <v/>
      </c>
      <c r="S382" s="1" t="str">
        <f aca="false">IF($A382="","",IF(R382="","",R382+Q382))</f>
        <v/>
      </c>
      <c r="T382" s="1" t="str">
        <f aca="false">IF($A382="","",IF(OR(S382="",N382&lt;=0),"",S382/1000*12/N382))</f>
        <v/>
      </c>
      <c r="U382" s="1" t="str">
        <f aca="false">IF($A382="","",IF(OR(T382="",J382=0,J382=""),"",T382/J382))</f>
        <v/>
      </c>
      <c r="V382" s="1" t="str">
        <f aca="false">IF($A382="","",IF(OR(R382="",N382&lt;=0,J382=0,J382=""),"",(R382/1000*12/N382)/J382))</f>
        <v/>
      </c>
      <c r="W382" s="1" t="str">
        <f aca="false">IF($A382="","",IF(OR(T382="",K382=0,K382=""),"",T382/K382))</f>
        <v/>
      </c>
      <c r="X382" s="1" t="n">
        <f aca="false">IF($A382="","",IF(OR(N382&lt;=0,I382=0,I382="",O382=0),"",O382*1000/(I382*0.3025)/N382))</f>
        <v>10235.3398989366</v>
      </c>
      <c r="Y382" s="1" t="str">
        <f aca="false">IF($A382="","",IF(OR(O382=0,O382="",P382=0),"",P382/O382))</f>
        <v/>
      </c>
      <c r="Z382" s="1" t="str">
        <f aca="false">IF($A382="","",IFERROR(INDEX(物件収支!$E:$E,MATCH($A382,物件収支!$A:$A,0)),""))</f>
        <v>開示（物件別・収益のみ）</v>
      </c>
    </row>
    <row r="383" customFormat="false" ht="16.5" hidden="false" customHeight="true" outlineLevel="0" collapsed="false">
      <c r="A383" s="1" t="str">
        <f aca="false">IF(物件マスタ!A383="","",物件マスタ!A383)</f>
        <v>ICG-86</v>
      </c>
      <c r="B383" s="1" t="str">
        <f aca="false">IF($A383="","",物件マスタ!B383)</f>
        <v>ICG</v>
      </c>
      <c r="C383" s="1" t="str">
        <f aca="false">IF($A383="","",IFERROR(INDEX(法人マスタ!$C:$C,MATCH($B383,法人マスタ!$A:$A,0)),""))</f>
        <v>いちごオフィスリート投資法人</v>
      </c>
      <c r="D383" s="1" t="str">
        <f aca="false">IF($A383="","",物件マスタ!C383)</f>
        <v>いちご船橋ビル</v>
      </c>
      <c r="E383" s="1" t="str">
        <f aca="false">IF($A383="","",物件マスタ!H383)</f>
        <v>東京周辺都市部</v>
      </c>
      <c r="F383" s="1" t="n">
        <f aca="false">IF($A383="","",物件マスタ!P383)</f>
        <v>0</v>
      </c>
      <c r="G383" s="1" t="str">
        <f aca="false">IF($A383="","",物件マスタ!Q383)</f>
        <v/>
      </c>
      <c r="H383" s="1" t="n">
        <f aca="false">IF($A383="","",物件マスタ!L383)</f>
        <v>0</v>
      </c>
      <c r="I383" s="1" t="n">
        <f aca="false">IF($A383="","",物件マスタ!M383)</f>
        <v>4112.19</v>
      </c>
      <c r="J383" s="1" t="n">
        <f aca="false">IF($A383="","",物件マスタ!S383)</f>
        <v>0</v>
      </c>
      <c r="K383" s="1" t="n">
        <f aca="false">IF($A383="","",物件マスタ!U383)</f>
        <v>3960</v>
      </c>
      <c r="L383" s="1" t="n">
        <f aca="false">IF($A383="","",物件マスタ!W383)</f>
        <v>1</v>
      </c>
      <c r="M383" s="1" t="str">
        <f aca="false">IF($A383="","",IFERROR(INDEX(法人マスタ!$H:$H,MATCH($B383,法人マスタ!$A:$A,0)),""))</f>
        <v>2026年4月期（第41期）</v>
      </c>
      <c r="N383" s="1" t="n">
        <f aca="false">IF($A383="","",SUMIFS(物件収支!$D:$D,物件収支!$A:$A,$A383,物件収支!$C:$C,$M383))</f>
        <v>6</v>
      </c>
      <c r="O383" s="1" t="n">
        <f aca="false">IF($A383="","",SUMIFS(物件収支!$F:$F,物件収支!$A:$A,$A383,物件収支!$C:$C,$M383))</f>
        <v>39803</v>
      </c>
      <c r="P383" s="1" t="n">
        <f aca="false">IF($A383="","",SUMIFS(物件収支!$I:$I,物件収支!$A:$A,$A383,物件収支!$C:$C,$M383))</f>
        <v>0</v>
      </c>
      <c r="Q383" s="1" t="n">
        <f aca="false">IF($A383="","",SUMIFS(物件収支!$O:$O,物件収支!$A:$A,$A383,物件収支!$C:$C,$M383))</f>
        <v>0</v>
      </c>
      <c r="R383" s="1" t="str">
        <f aca="false">IF($A383="","",IF(P383=0,"",O383-P383))</f>
        <v/>
      </c>
      <c r="S383" s="1" t="str">
        <f aca="false">IF($A383="","",IF(R383="","",R383+Q383))</f>
        <v/>
      </c>
      <c r="T383" s="1" t="str">
        <f aca="false">IF($A383="","",IF(OR(S383="",N383&lt;=0),"",S383/1000*12/N383))</f>
        <v/>
      </c>
      <c r="U383" s="1" t="str">
        <f aca="false">IF($A383="","",IF(OR(T383="",J383=0,J383=""),"",T383/J383))</f>
        <v/>
      </c>
      <c r="V383" s="1" t="str">
        <f aca="false">IF($A383="","",IF(OR(R383="",N383&lt;=0,J383=0,J383=""),"",(R383/1000*12/N383)/J383))</f>
        <v/>
      </c>
      <c r="W383" s="1" t="str">
        <f aca="false">IF($A383="","",IF(OR(T383="",K383=0,K383=""),"",T383/K383))</f>
        <v/>
      </c>
      <c r="X383" s="1" t="n">
        <f aca="false">IF($A383="","",IF(OR(N383&lt;=0,I383=0,I383="",O383=0),"",O383*1000/(I383*0.3025)/N383))</f>
        <v>5332.93149105692</v>
      </c>
      <c r="Y383" s="1" t="str">
        <f aca="false">IF($A383="","",IF(OR(O383=0,O383="",P383=0),"",P383/O383))</f>
        <v/>
      </c>
      <c r="Z383" s="1" t="str">
        <f aca="false">IF($A383="","",IFERROR(INDEX(物件収支!$E:$E,MATCH($A383,物件収支!$A:$A,0)),""))</f>
        <v>開示（物件別・収益のみ）</v>
      </c>
    </row>
    <row r="384" customFormat="false" ht="16.5" hidden="false" customHeight="true" outlineLevel="0" collapsed="false">
      <c r="A384" s="1" t="str">
        <f aca="false">IF(物件マスタ!A384="","",物件マスタ!A384)</f>
        <v>ICG-87</v>
      </c>
      <c r="B384" s="1" t="str">
        <f aca="false">IF($A384="","",物件マスタ!B384)</f>
        <v>ICG</v>
      </c>
      <c r="C384" s="1" t="str">
        <f aca="false">IF($A384="","",IFERROR(INDEX(法人マスタ!$C:$C,MATCH($B384,法人マスタ!$A:$A,0)),""))</f>
        <v>いちごオフィスリート投資法人</v>
      </c>
      <c r="D384" s="1" t="str">
        <f aca="false">IF($A384="","",物件マスタ!C384)</f>
        <v>いちご渋谷文化村通りビル</v>
      </c>
      <c r="E384" s="1" t="str">
        <f aca="false">IF($A384="","",物件マスタ!H384)</f>
        <v>都心5区</v>
      </c>
      <c r="F384" s="1" t="n">
        <f aca="false">IF($A384="","",物件マスタ!P384)</f>
        <v>0</v>
      </c>
      <c r="G384" s="1" t="str">
        <f aca="false">IF($A384="","",物件マスタ!Q384)</f>
        <v/>
      </c>
      <c r="H384" s="1" t="n">
        <f aca="false">IF($A384="","",物件マスタ!L384)</f>
        <v>0</v>
      </c>
      <c r="I384" s="1" t="n">
        <f aca="false">IF($A384="","",物件マスタ!M384)</f>
        <v>778.77</v>
      </c>
      <c r="J384" s="1" t="n">
        <f aca="false">IF($A384="","",物件マスタ!S384)</f>
        <v>0</v>
      </c>
      <c r="K384" s="1" t="n">
        <f aca="false">IF($A384="","",物件マスタ!U384)</f>
        <v>2910</v>
      </c>
      <c r="L384" s="1" t="n">
        <f aca="false">IF($A384="","",物件マスタ!W384)</f>
        <v>1</v>
      </c>
      <c r="M384" s="1" t="str">
        <f aca="false">IF($A384="","",IFERROR(INDEX(法人マスタ!$H:$H,MATCH($B384,法人マスタ!$A:$A,0)),""))</f>
        <v>2026年4月期（第41期）</v>
      </c>
      <c r="N384" s="1" t="n">
        <f aca="false">IF($A384="","",SUMIFS(物件収支!$D:$D,物件収支!$A:$A,$A384,物件収支!$C:$C,$M384))</f>
        <v>6</v>
      </c>
      <c r="O384" s="1" t="n">
        <f aca="false">IF($A384="","",SUMIFS(物件収支!$F:$F,物件収支!$A:$A,$A384,物件収支!$C:$C,$M384))</f>
        <v>76134</v>
      </c>
      <c r="P384" s="1" t="n">
        <f aca="false">IF($A384="","",SUMIFS(物件収支!$I:$I,物件収支!$A:$A,$A384,物件収支!$C:$C,$M384))</f>
        <v>0</v>
      </c>
      <c r="Q384" s="1" t="n">
        <f aca="false">IF($A384="","",SUMIFS(物件収支!$O:$O,物件収支!$A:$A,$A384,物件収支!$C:$C,$M384))</f>
        <v>0</v>
      </c>
      <c r="R384" s="1" t="str">
        <f aca="false">IF($A384="","",IF(P384=0,"",O384-P384))</f>
        <v/>
      </c>
      <c r="S384" s="1" t="str">
        <f aca="false">IF($A384="","",IF(R384="","",R384+Q384))</f>
        <v/>
      </c>
      <c r="T384" s="1" t="str">
        <f aca="false">IF($A384="","",IF(OR(S384="",N384&lt;=0),"",S384/1000*12/N384))</f>
        <v/>
      </c>
      <c r="U384" s="1" t="str">
        <f aca="false">IF($A384="","",IF(OR(T384="",J384=0,J384=""),"",T384/J384))</f>
        <v/>
      </c>
      <c r="V384" s="1" t="str">
        <f aca="false">IF($A384="","",IF(OR(R384="",N384&lt;=0,J384=0,J384=""),"",(R384/1000*12/N384)/J384))</f>
        <v/>
      </c>
      <c r="W384" s="1" t="str">
        <f aca="false">IF($A384="","",IF(OR(T384="",K384=0,K384=""),"",T384/K384))</f>
        <v/>
      </c>
      <c r="X384" s="1" t="n">
        <f aca="false">IF($A384="","",IF(OR(N384&lt;=0,I384=0,I384="",O384=0),"",O384*1000/(I384*0.3025)/N384))</f>
        <v>53863.2811202493</v>
      </c>
      <c r="Y384" s="1" t="str">
        <f aca="false">IF($A384="","",IF(OR(O384=0,O384="",P384=0),"",P384/O384))</f>
        <v/>
      </c>
      <c r="Z384" s="1" t="str">
        <f aca="false">IF($A384="","",IFERROR(INDEX(物件収支!$E:$E,MATCH($A384,物件収支!$A:$A,0)),""))</f>
        <v>開示（物件別・収益のみ）</v>
      </c>
    </row>
    <row r="385" customFormat="false" ht="16.5" hidden="false" customHeight="true" outlineLevel="0" collapsed="false">
      <c r="A385" s="1" t="str">
        <f aca="false">IF(物件マスタ!A385="","",物件マスタ!A385)</f>
        <v>ICG-88</v>
      </c>
      <c r="B385" s="1" t="str">
        <f aca="false">IF($A385="","",物件マスタ!B385)</f>
        <v>ICG</v>
      </c>
      <c r="C385" s="1" t="str">
        <f aca="false">IF($A385="","",IFERROR(INDEX(法人マスタ!$C:$C,MATCH($B385,法人マスタ!$A:$A,0)),""))</f>
        <v>いちごオフィスリート投資法人</v>
      </c>
      <c r="D385" s="1" t="str">
        <f aca="false">IF($A385="","",物件マスタ!C385)</f>
        <v>いちご蒲田ビル</v>
      </c>
      <c r="E385" s="1" t="str">
        <f aca="false">IF($A385="","",物件マスタ!H385)</f>
        <v>その他東京23区</v>
      </c>
      <c r="F385" s="1" t="n">
        <f aca="false">IF($A385="","",物件マスタ!P385)</f>
        <v>0</v>
      </c>
      <c r="G385" s="1" t="str">
        <f aca="false">IF($A385="","",物件マスタ!Q385)</f>
        <v/>
      </c>
      <c r="H385" s="1" t="n">
        <f aca="false">IF($A385="","",物件マスタ!L385)</f>
        <v>0</v>
      </c>
      <c r="I385" s="1" t="n">
        <f aca="false">IF($A385="","",物件マスタ!M385)</f>
        <v>2124.68</v>
      </c>
      <c r="J385" s="1" t="n">
        <f aca="false">IF($A385="","",物件マスタ!S385)</f>
        <v>0</v>
      </c>
      <c r="K385" s="1" t="n">
        <f aca="false">IF($A385="","",物件マスタ!U385)</f>
        <v>1310</v>
      </c>
      <c r="L385" s="1" t="n">
        <f aca="false">IF($A385="","",物件マスタ!W385)</f>
        <v>1</v>
      </c>
      <c r="M385" s="1" t="str">
        <f aca="false">IF($A385="","",IFERROR(INDEX(法人マスタ!$H:$H,MATCH($B385,法人マスタ!$A:$A,0)),""))</f>
        <v>2026年4月期（第41期）</v>
      </c>
      <c r="N385" s="1" t="n">
        <f aca="false">IF($A385="","",SUMIFS(物件収支!$D:$D,物件収支!$A:$A,$A385,物件収支!$C:$C,$M385))</f>
        <v>6</v>
      </c>
      <c r="O385" s="1" t="n">
        <f aca="false">IF($A385="","",SUMIFS(物件収支!$F:$F,物件収支!$A:$A,$A385,物件収支!$C:$C,$M385))</f>
        <v>53503</v>
      </c>
      <c r="P385" s="1" t="n">
        <f aca="false">IF($A385="","",SUMIFS(物件収支!$I:$I,物件収支!$A:$A,$A385,物件収支!$C:$C,$M385))</f>
        <v>0</v>
      </c>
      <c r="Q385" s="1" t="n">
        <f aca="false">IF($A385="","",SUMIFS(物件収支!$O:$O,物件収支!$A:$A,$A385,物件収支!$C:$C,$M385))</f>
        <v>0</v>
      </c>
      <c r="R385" s="1" t="str">
        <f aca="false">IF($A385="","",IF(P385=0,"",O385-P385))</f>
        <v/>
      </c>
      <c r="S385" s="1" t="str">
        <f aca="false">IF($A385="","",IF(R385="","",R385+Q385))</f>
        <v/>
      </c>
      <c r="T385" s="1" t="str">
        <f aca="false">IF($A385="","",IF(OR(S385="",N385&lt;=0),"",S385/1000*12/N385))</f>
        <v/>
      </c>
      <c r="U385" s="1" t="str">
        <f aca="false">IF($A385="","",IF(OR(T385="",J385=0,J385=""),"",T385/J385))</f>
        <v/>
      </c>
      <c r="V385" s="1" t="str">
        <f aca="false">IF($A385="","",IF(OR(R385="",N385&lt;=0,J385=0,J385=""),"",(R385/1000*12/N385)/J385))</f>
        <v/>
      </c>
      <c r="W385" s="1" t="str">
        <f aca="false">IF($A385="","",IF(OR(T385="",K385=0,K385=""),"",T385/K385))</f>
        <v/>
      </c>
      <c r="X385" s="1" t="n">
        <f aca="false">IF($A385="","",IF(OR(N385&lt;=0,I385=0,I385="",O385=0),"",O385*1000/(I385*0.3025)/N385))</f>
        <v>13874.2007806355</v>
      </c>
      <c r="Y385" s="1" t="str">
        <f aca="false">IF($A385="","",IF(OR(O385=0,O385="",P385=0),"",P385/O385))</f>
        <v/>
      </c>
      <c r="Z385" s="1" t="str">
        <f aca="false">IF($A385="","",IFERROR(INDEX(物件収支!$E:$E,MATCH($A385,物件収支!$A:$A,0)),""))</f>
        <v>開示（物件別・収益のみ）</v>
      </c>
    </row>
    <row r="386" customFormat="false" ht="16.5" hidden="false" customHeight="true" outlineLevel="0" collapsed="false">
      <c r="A386" s="1" t="str">
        <f aca="false">IF(物件マスタ!A386="","",物件マスタ!A386)</f>
        <v>ICG-ALL</v>
      </c>
      <c r="B386" s="1" t="str">
        <f aca="false">IF($A386="","",物件マスタ!B386)</f>
        <v>ICG</v>
      </c>
      <c r="C386" s="1" t="str">
        <f aca="false">IF($A386="","",IFERROR(INDEX(法人マスタ!$C:$C,MATCH($B386,法人マスタ!$A:$A,0)),""))</f>
        <v>いちごオフィスリート投資法人</v>
      </c>
      <c r="D386" s="1" t="str">
        <f aca="false">IF($A386="","",物件マスタ!C386)</f>
        <v>【ICGポートフォリオ全体】</v>
      </c>
      <c r="E386" s="1" t="str">
        <f aca="false">IF($A386="","",物件マスタ!H386)</f>
        <v>─</v>
      </c>
      <c r="F386" s="1" t="n">
        <f aca="false">IF($A386="","",物件マスタ!P386)</f>
        <v>0</v>
      </c>
      <c r="G386" s="1" t="str">
        <f aca="false">IF($A386="","",物件マスタ!Q386)</f>
        <v/>
      </c>
      <c r="H386" s="1" t="n">
        <f aca="false">IF($A386="","",物件マスタ!L386)</f>
        <v>0</v>
      </c>
      <c r="I386" s="1" t="n">
        <f aca="false">IF($A386="","",物件マスタ!M386)</f>
        <v>260159.7</v>
      </c>
      <c r="J386" s="1" t="n">
        <f aca="false">IF($A386="","",物件マスタ!S386)</f>
        <v>222508</v>
      </c>
      <c r="K386" s="1" t="n">
        <f aca="false">IF($A386="","",物件マスタ!U386)</f>
        <v>288790</v>
      </c>
      <c r="L386" s="1" t="n">
        <f aca="false">IF($A386="","",物件マスタ!W386)</f>
        <v>0.973</v>
      </c>
      <c r="M386" s="1" t="str">
        <f aca="false">IF($A386="","",IFERROR(INDEX(法人マスタ!$H:$H,MATCH($B386,法人マスタ!$A:$A,0)),""))</f>
        <v>2026年4月期（第41期）</v>
      </c>
      <c r="N386" s="1" t="n">
        <f aca="false">IF($A386="","",SUMIFS(物件収支!$D:$D,物件収支!$A:$A,$A386,物件収支!$C:$C,$M386))</f>
        <v>6</v>
      </c>
      <c r="O386" s="1" t="n">
        <f aca="false">IF($A386="","",SUMIFS(物件収支!$F:$F,物件収支!$A:$A,$A386,物件収支!$C:$C,$M386))</f>
        <v>8179798</v>
      </c>
      <c r="P386" s="1" t="n">
        <f aca="false">IF($A386="","",SUMIFS(物件収支!$I:$I,物件収支!$A:$A,$A386,物件収支!$C:$C,$M386))</f>
        <v>3240617</v>
      </c>
      <c r="Q386" s="1" t="n">
        <f aca="false">IF($A386="","",SUMIFS(物件収支!$O:$O,物件収支!$A:$A,$A386,物件収支!$C:$C,$M386))</f>
        <v>999845</v>
      </c>
      <c r="R386" s="1" t="n">
        <f aca="false">IF($A386="","",IF(P386=0,"",O386-P386))</f>
        <v>4939181</v>
      </c>
      <c r="S386" s="1" t="n">
        <f aca="false">IF($A386="","",IF(R386="","",R386+Q386))</f>
        <v>5939026</v>
      </c>
      <c r="T386" s="1" t="n">
        <f aca="false">IF($A386="","",IF(OR(S386="",N386&lt;=0),"",S386/1000*12/N386))</f>
        <v>11878.052</v>
      </c>
      <c r="U386" s="1" t="n">
        <f aca="false">IF($A386="","",IF(OR(T386="",J386=0,J386=""),"",T386/J386))</f>
        <v>0.0533825839969799</v>
      </c>
      <c r="V386" s="1" t="n">
        <f aca="false">IF($A386="","",IF(OR(R386="",N386&lt;=0,J386=0,J386=""),"",(R386/1000*12/N386)/J386))</f>
        <v>0.0443955363402664</v>
      </c>
      <c r="W386" s="1" t="n">
        <f aca="false">IF($A386="","",IF(OR(T386="",K386=0,K386=""),"",T386/K386))</f>
        <v>0.0411304131029468</v>
      </c>
      <c r="X386" s="1" t="n">
        <f aca="false">IF($A386="","",IF(OR(N386&lt;=0,I386=0,I386="",O386=0),"",O386*1000/(I386*0.3025)/N386))</f>
        <v>17323.1125250212</v>
      </c>
      <c r="Y386" s="1" t="n">
        <f aca="false">IF($A386="","",IF(OR(O386=0,O386="",P386=0),"",P386/O386))</f>
        <v>0.396173230683692</v>
      </c>
      <c r="Z386" s="1" t="str">
        <f aca="false">IF($A386="","",IFERROR(INDEX(物件収支!$E:$E,MATCH($A386,物件収支!$A:$A,0)),""))</f>
        <v>開示（法人一括）</v>
      </c>
    </row>
    <row r="387" customFormat="false" ht="15" hidden="false" customHeight="true" outlineLevel="0" collapsed="false">
      <c r="A387" s="1" t="str">
        <f aca="false">IF(物件マスタ!A387="","",物件マスタ!A387)</f>
        <v>NUD-01</v>
      </c>
      <c r="B387" s="1" t="str">
        <f aca="false">IF($A387="","",物件マスタ!B387)</f>
        <v>NUD</v>
      </c>
      <c r="C387" s="1" t="str">
        <f aca="false">IF($A387="","",IFERROR(INDEX(法人マスタ!$C:$C,MATCH($B387,法人マスタ!$A:$A,0)),""))</f>
        <v>NTT都市開発リート投資法人</v>
      </c>
      <c r="D387" s="1" t="str">
        <f aca="false">IF($A387="","",物件マスタ!C387)</f>
        <v>ランディック新橋ビル</v>
      </c>
      <c r="E387" s="1" t="str">
        <f aca="false">IF($A387="","",物件マスタ!H387)</f>
        <v>都心5区</v>
      </c>
      <c r="F387" s="1" t="n">
        <f aca="false">IF($A387="","",物件マスタ!P387)</f>
        <v>0</v>
      </c>
      <c r="G387" s="1" t="str">
        <f aca="false">IF($A387="","",物件マスタ!Q387)</f>
        <v/>
      </c>
      <c r="H387" s="1" t="n">
        <f aca="false">IF($A387="","",物件マスタ!L387)</f>
        <v>6914.84</v>
      </c>
      <c r="I387" s="1" t="n">
        <f aca="false">IF($A387="","",物件マスタ!M387)</f>
        <v>0</v>
      </c>
      <c r="J387" s="1" t="n">
        <f aca="false">IF($A387="","",物件マスタ!S387)</f>
        <v>6341</v>
      </c>
      <c r="K387" s="1" t="n">
        <f aca="false">IF($A387="","",物件マスタ!U387)</f>
        <v>7990</v>
      </c>
      <c r="L387" s="1" t="n">
        <f aca="false">IF($A387="","",物件マスタ!W387)</f>
        <v>1</v>
      </c>
      <c r="M387" s="1" t="str">
        <f aca="false">IF($A387="","",IFERROR(INDEX(法人マスタ!$H:$H,MATCH($B387,法人マスタ!$A:$A,0)),""))</f>
        <v>2026年4月期（第47期）</v>
      </c>
      <c r="N387" s="1" t="n">
        <f aca="false">IF($A387="","",SUMIFS(物件収支!$D:$D,物件収支!$A:$A,$A387,物件収支!$C:$C,$M387))</f>
        <v>6</v>
      </c>
      <c r="O387" s="1" t="n">
        <f aca="false">IF($A387="","",SUMIFS(物件収支!$F:$F,物件収支!$A:$A,$A387,物件収支!$C:$C,$M387))</f>
        <v>208000</v>
      </c>
      <c r="P387" s="1" t="n">
        <f aca="false">IF($A387="","",SUMIFS(物件収支!$I:$I,物件収支!$A:$A,$A387,物件収支!$C:$C,$M387))</f>
        <v>87000</v>
      </c>
      <c r="Q387" s="1" t="n">
        <f aca="false">IF($A387="","",SUMIFS(物件収支!$O:$O,物件収支!$A:$A,$A387,物件収支!$C:$C,$M387))</f>
        <v>25000</v>
      </c>
      <c r="R387" s="1" t="n">
        <f aca="false">IF($A387="","",IF(P387=0,"",O387-P387))</f>
        <v>121000</v>
      </c>
      <c r="S387" s="1" t="n">
        <f aca="false">IF($A387="","",IF(R387="","",R387+Q387))</f>
        <v>146000</v>
      </c>
      <c r="T387" s="1" t="n">
        <f aca="false">IF($A387="","",IF(OR(S387="",N387&lt;=0),"",S387/1000*12/N387))</f>
        <v>292</v>
      </c>
      <c r="U387" s="1" t="n">
        <f aca="false">IF($A387="","",IF(OR(T387="",J387=0,J387=""),"",T387/J387))</f>
        <v>0.0460495190033118</v>
      </c>
      <c r="V387" s="1" t="n">
        <f aca="false">IF($A387="","",IF(OR(R387="",N387&lt;=0,J387=0,J387=""),"",(R387/1000*12/N387)/J387))</f>
        <v>0.0381643273931557</v>
      </c>
      <c r="W387" s="1" t="n">
        <f aca="false">IF($A387="","",IF(OR(T387="",K387=0,K387=""),"",T387/K387))</f>
        <v>0.0365456821026283</v>
      </c>
      <c r="X387" s="1" t="str">
        <f aca="false">IF($A387="","",IF(OR(N387&lt;=0,I387=0,I387="",O387=0),"",O387*1000/(I387*0.3025)/N387))</f>
        <v/>
      </c>
      <c r="Y387" s="1" t="n">
        <f aca="false">IF($A387="","",IF(OR(O387=0,O387="",P387=0),"",P387/O387))</f>
        <v>0.418269230769231</v>
      </c>
      <c r="Z387" s="1" t="str">
        <f aca="false">IF($A387="","",IFERROR(INDEX(物件収支!$E:$E,MATCH($A387,物件収支!$A:$A,0)),""))</f>
        <v>開示（物件別・費用内訳含む、百万円単位）</v>
      </c>
    </row>
    <row r="388" customFormat="false" ht="15" hidden="false" customHeight="true" outlineLevel="0" collapsed="false">
      <c r="A388" s="1" t="str">
        <f aca="false">IF(物件マスタ!A388="","",物件マスタ!A388)</f>
        <v>NUD-02</v>
      </c>
      <c r="B388" s="1" t="str">
        <f aca="false">IF($A388="","",物件マスタ!B388)</f>
        <v>NUD</v>
      </c>
      <c r="C388" s="1" t="str">
        <f aca="false">IF($A388="","",IFERROR(INDEX(法人マスタ!$C:$C,MATCH($B388,法人マスタ!$A:$A,0)),""))</f>
        <v>NTT都市開発リート投資法人</v>
      </c>
      <c r="D388" s="1" t="str">
        <f aca="false">IF($A388="","",物件マスタ!C388)</f>
        <v>ランディック第２新橋ビル</v>
      </c>
      <c r="E388" s="1" t="str">
        <f aca="false">IF($A388="","",物件マスタ!H388)</f>
        <v>（期中譲渡済）</v>
      </c>
      <c r="F388" s="1" t="n">
        <f aca="false">IF($A388="","",物件マスタ!P388)</f>
        <v>0</v>
      </c>
      <c r="G388" s="1" t="str">
        <f aca="false">IF($A388="","",物件マスタ!Q388)</f>
        <v/>
      </c>
      <c r="H388" s="1" t="n">
        <f aca="false">IF($A388="","",物件マスタ!L388)</f>
        <v>0</v>
      </c>
      <c r="I388" s="1" t="n">
        <f aca="false">IF($A388="","",物件マスタ!M388)</f>
        <v>0</v>
      </c>
      <c r="J388" s="1" t="n">
        <f aca="false">IF($A388="","",物件マスタ!S388)</f>
        <v>0</v>
      </c>
      <c r="K388" s="1" t="n">
        <f aca="false">IF($A388="","",物件マスタ!U388)</f>
        <v>0</v>
      </c>
      <c r="L388" s="1" t="n">
        <f aca="false">IF($A388="","",物件マスタ!W388)</f>
        <v>0</v>
      </c>
      <c r="M388" s="1" t="str">
        <f aca="false">IF($A388="","",IFERROR(INDEX(法人マスタ!$H:$H,MATCH($B388,法人マスタ!$A:$A,0)),""))</f>
        <v>2026年4月期（第47期）</v>
      </c>
      <c r="N388" s="1" t="n">
        <f aca="false">IF($A388="","",SUMIFS(物件収支!$D:$D,物件収支!$A:$A,$A388,物件収支!$C:$C,$M388))</f>
        <v>6</v>
      </c>
      <c r="O388" s="1" t="n">
        <f aca="false">IF($A388="","",SUMIFS(物件収支!$F:$F,物件収支!$A:$A,$A388,物件収支!$C:$C,$M388))</f>
        <v>31000</v>
      </c>
      <c r="P388" s="1" t="n">
        <f aca="false">IF($A388="","",SUMIFS(物件収支!$I:$I,物件収支!$A:$A,$A388,物件収支!$C:$C,$M388))</f>
        <v>24000</v>
      </c>
      <c r="Q388" s="1" t="n">
        <f aca="false">IF($A388="","",SUMIFS(物件収支!$O:$O,物件収支!$A:$A,$A388,物件収支!$C:$C,$M388))</f>
        <v>10000</v>
      </c>
      <c r="R388" s="1" t="n">
        <f aca="false">IF($A388="","",IF(P388=0,"",O388-P388))</f>
        <v>7000</v>
      </c>
      <c r="S388" s="1" t="n">
        <f aca="false">IF($A388="","",IF(R388="","",R388+Q388))</f>
        <v>17000</v>
      </c>
      <c r="T388" s="1" t="n">
        <f aca="false">IF($A388="","",IF(OR(S388="",N388&lt;=0),"",S388/1000*12/N388))</f>
        <v>34</v>
      </c>
      <c r="U388" s="1" t="str">
        <f aca="false">IF($A388="","",IF(OR(T388="",J388=0,J388=""),"",T388/J388))</f>
        <v/>
      </c>
      <c r="V388" s="1" t="str">
        <f aca="false">IF($A388="","",IF(OR(R388="",N388&lt;=0,J388=0,J388=""),"",(R388/1000*12/N388)/J388))</f>
        <v/>
      </c>
      <c r="W388" s="1" t="str">
        <f aca="false">IF($A388="","",IF(OR(T388="",K388=0,K388=""),"",T388/K388))</f>
        <v/>
      </c>
      <c r="X388" s="1" t="str">
        <f aca="false">IF($A388="","",IF(OR(N388&lt;=0,I388=0,I388="",O388=0),"",O388*1000/(I388*0.3025)/N388))</f>
        <v/>
      </c>
      <c r="Y388" s="1" t="n">
        <f aca="false">IF($A388="","",IF(OR(O388=0,O388="",P388=0),"",P388/O388))</f>
        <v>0.774193548387097</v>
      </c>
      <c r="Z388" s="1" t="str">
        <f aca="false">IF($A388="","",IFERROR(INDEX(物件収支!$E:$E,MATCH($A388,物件収支!$A:$A,0)),""))</f>
        <v>開示（期中譲渡・費用内訳含む、百万円単位）</v>
      </c>
    </row>
    <row r="389" customFormat="false" ht="15" hidden="false" customHeight="true" outlineLevel="0" collapsed="false">
      <c r="A389" s="1" t="str">
        <f aca="false">IF(物件マスタ!A389="","",物件マスタ!A389)</f>
        <v>NUD-03</v>
      </c>
      <c r="B389" s="1" t="str">
        <f aca="false">IF($A389="","",物件マスタ!B389)</f>
        <v>NUD</v>
      </c>
      <c r="C389" s="1" t="str">
        <f aca="false">IF($A389="","",IFERROR(INDEX(法人マスタ!$C:$C,MATCH($B389,法人マスタ!$A:$A,0)),""))</f>
        <v>NTT都市開発リート投資法人</v>
      </c>
      <c r="D389" s="1" t="str">
        <f aca="false">IF($A389="","",物件マスタ!C389)</f>
        <v>プレミア道玄坂ビル</v>
      </c>
      <c r="E389" s="1" t="str">
        <f aca="false">IF($A389="","",物件マスタ!H389)</f>
        <v>都心5区</v>
      </c>
      <c r="F389" s="1" t="n">
        <f aca="false">IF($A389="","",物件マスタ!P389)</f>
        <v>0</v>
      </c>
      <c r="G389" s="1" t="str">
        <f aca="false">IF($A389="","",物件マスタ!Q389)</f>
        <v/>
      </c>
      <c r="H389" s="1" t="n">
        <f aca="false">IF($A389="","",物件マスタ!L389)</f>
        <v>2721.71</v>
      </c>
      <c r="I389" s="1" t="n">
        <f aca="false">IF($A389="","",物件マスタ!M389)</f>
        <v>0</v>
      </c>
      <c r="J389" s="1" t="n">
        <f aca="false">IF($A389="","",物件マスタ!S389)</f>
        <v>1727</v>
      </c>
      <c r="K389" s="1" t="n">
        <f aca="false">IF($A389="","",物件マスタ!U389)</f>
        <v>3770</v>
      </c>
      <c r="L389" s="1" t="n">
        <f aca="false">IF($A389="","",物件マスタ!W389)</f>
        <v>1</v>
      </c>
      <c r="M389" s="1" t="str">
        <f aca="false">IF($A389="","",IFERROR(INDEX(法人マスタ!$H:$H,MATCH($B389,法人マスタ!$A:$A,0)),""))</f>
        <v>2026年4月期（第47期）</v>
      </c>
      <c r="N389" s="1" t="n">
        <f aca="false">IF($A389="","",SUMIFS(物件収支!$D:$D,物件収支!$A:$A,$A389,物件収支!$C:$C,$M389))</f>
        <v>6</v>
      </c>
      <c r="O389" s="1" t="n">
        <f aca="false">IF($A389="","",SUMIFS(物件収支!$F:$F,物件収支!$A:$A,$A389,物件収支!$C:$C,$M389))</f>
        <v>98000</v>
      </c>
      <c r="P389" s="1" t="n">
        <f aca="false">IF($A389="","",SUMIFS(物件収支!$I:$I,物件収支!$A:$A,$A389,物件収支!$C:$C,$M389))</f>
        <v>30000</v>
      </c>
      <c r="Q389" s="1" t="n">
        <f aca="false">IF($A389="","",SUMIFS(物件収支!$O:$O,物件収支!$A:$A,$A389,物件収支!$C:$C,$M389))</f>
        <v>12000</v>
      </c>
      <c r="R389" s="1" t="n">
        <f aca="false">IF($A389="","",IF(P389=0,"",O389-P389))</f>
        <v>68000</v>
      </c>
      <c r="S389" s="1" t="n">
        <f aca="false">IF($A389="","",IF(R389="","",R389+Q389))</f>
        <v>80000</v>
      </c>
      <c r="T389" s="1" t="n">
        <f aca="false">IF($A389="","",IF(OR(S389="",N389&lt;=0),"",S389/1000*12/N389))</f>
        <v>160</v>
      </c>
      <c r="U389" s="1" t="n">
        <f aca="false">IF($A389="","",IF(OR(T389="",J389=0,J389=""),"",T389/J389))</f>
        <v>0.0926462072958888</v>
      </c>
      <c r="V389" s="1" t="n">
        <f aca="false">IF($A389="","",IF(OR(R389="",N389&lt;=0,J389=0,J389=""),"",(R389/1000*12/N389)/J389))</f>
        <v>0.0787492762015055</v>
      </c>
      <c r="W389" s="1" t="n">
        <f aca="false">IF($A389="","",IF(OR(T389="",K389=0,K389=""),"",T389/K389))</f>
        <v>0.0424403183023873</v>
      </c>
      <c r="X389" s="1" t="str">
        <f aca="false">IF($A389="","",IF(OR(N389&lt;=0,I389=0,I389="",O389=0),"",O389*1000/(I389*0.3025)/N389))</f>
        <v/>
      </c>
      <c r="Y389" s="1" t="n">
        <f aca="false">IF($A389="","",IF(OR(O389=0,O389="",P389=0),"",P389/O389))</f>
        <v>0.306122448979592</v>
      </c>
      <c r="Z389" s="1" t="str">
        <f aca="false">IF($A389="","",IFERROR(INDEX(物件収支!$E:$E,MATCH($A389,物件収支!$A:$A,0)),""))</f>
        <v>開示（物件別・費用内訳含む、百万円単位）</v>
      </c>
    </row>
    <row r="390" customFormat="false" ht="15" hidden="false" customHeight="true" outlineLevel="0" collapsed="false">
      <c r="A390" s="1" t="str">
        <f aca="false">IF(物件マスタ!A390="","",物件マスタ!A390)</f>
        <v>NUD-04</v>
      </c>
      <c r="B390" s="1" t="str">
        <f aca="false">IF($A390="","",物件マスタ!B390)</f>
        <v>NUD</v>
      </c>
      <c r="C390" s="1" t="str">
        <f aca="false">IF($A390="","",IFERROR(INDEX(法人マスタ!$C:$C,MATCH($B390,法人マスタ!$A:$A,0)),""))</f>
        <v>NTT都市開発リート投資法人</v>
      </c>
      <c r="D390" s="1" t="str">
        <f aca="false">IF($A390="","",物件マスタ!C390)</f>
        <v>ＫＮ渋谷３</v>
      </c>
      <c r="E390" s="1" t="str">
        <f aca="false">IF($A390="","",物件マスタ!H390)</f>
        <v>都心5区</v>
      </c>
      <c r="F390" s="1" t="n">
        <f aca="false">IF($A390="","",物件マスタ!P390)</f>
        <v>0</v>
      </c>
      <c r="G390" s="1" t="str">
        <f aca="false">IF($A390="","",物件マスタ!Q390)</f>
        <v/>
      </c>
      <c r="H390" s="1" t="n">
        <f aca="false">IF($A390="","",物件マスタ!L390)</f>
        <v>7737.27</v>
      </c>
      <c r="I390" s="1" t="n">
        <f aca="false">IF($A390="","",物件マスタ!M390)</f>
        <v>0</v>
      </c>
      <c r="J390" s="1" t="n">
        <f aca="false">IF($A390="","",物件マスタ!S390)</f>
        <v>5348</v>
      </c>
      <c r="K390" s="1" t="n">
        <f aca="false">IF($A390="","",物件マスタ!U390)</f>
        <v>12100</v>
      </c>
      <c r="L390" s="1" t="n">
        <f aca="false">IF($A390="","",物件マスタ!W390)</f>
        <v>1</v>
      </c>
      <c r="M390" s="1" t="str">
        <f aca="false">IF($A390="","",IFERROR(INDEX(法人マスタ!$H:$H,MATCH($B390,法人マスタ!$A:$A,0)),""))</f>
        <v>2026年4月期（第47期）</v>
      </c>
      <c r="N390" s="1" t="n">
        <f aca="false">IF($A390="","",SUMIFS(物件収支!$D:$D,物件収支!$A:$A,$A390,物件収支!$C:$C,$M390))</f>
        <v>6</v>
      </c>
      <c r="O390" s="1" t="n">
        <f aca="false">IF($A390="","",SUMIFS(物件収支!$F:$F,物件収支!$A:$A,$A390,物件収支!$C:$C,$M390))</f>
        <v>296000</v>
      </c>
      <c r="P390" s="1" t="n">
        <f aca="false">IF($A390="","",SUMIFS(物件収支!$I:$I,物件収支!$A:$A,$A390,物件収支!$C:$C,$M390))</f>
        <v>105000</v>
      </c>
      <c r="Q390" s="1" t="n">
        <f aca="false">IF($A390="","",SUMIFS(物件収支!$O:$O,物件収支!$A:$A,$A390,物件収支!$C:$C,$M390))</f>
        <v>29000</v>
      </c>
      <c r="R390" s="1" t="n">
        <f aca="false">IF($A390="","",IF(P390=0,"",O390-P390))</f>
        <v>191000</v>
      </c>
      <c r="S390" s="1" t="n">
        <f aca="false">IF($A390="","",IF(R390="","",R390+Q390))</f>
        <v>220000</v>
      </c>
      <c r="T390" s="1" t="n">
        <f aca="false">IF($A390="","",IF(OR(S390="",N390&lt;=0),"",S390/1000*12/N390))</f>
        <v>440</v>
      </c>
      <c r="U390" s="1" t="n">
        <f aca="false">IF($A390="","",IF(OR(T390="",J390=0,J390=""),"",T390/J390))</f>
        <v>0.0822737471952132</v>
      </c>
      <c r="V390" s="1" t="n">
        <f aca="false">IF($A390="","",IF(OR(R390="",N390&lt;=0,J390=0,J390=""),"",(R390/1000*12/N390)/J390))</f>
        <v>0.0714285714285714</v>
      </c>
      <c r="W390" s="1" t="n">
        <f aca="false">IF($A390="","",IF(OR(T390="",K390=0,K390=""),"",T390/K390))</f>
        <v>0.0363636363636364</v>
      </c>
      <c r="X390" s="1" t="str">
        <f aca="false">IF($A390="","",IF(OR(N390&lt;=0,I390=0,I390="",O390=0),"",O390*1000/(I390*0.3025)/N390))</f>
        <v/>
      </c>
      <c r="Y390" s="1" t="n">
        <f aca="false">IF($A390="","",IF(OR(O390=0,O390="",P390=0),"",P390/O390))</f>
        <v>0.35472972972973</v>
      </c>
      <c r="Z390" s="1" t="str">
        <f aca="false">IF($A390="","",IFERROR(INDEX(物件収支!$E:$E,MATCH($A390,物件収支!$A:$A,0)),""))</f>
        <v>開示（物件別・費用内訳含む、百万円単位）</v>
      </c>
    </row>
    <row r="391" customFormat="false" ht="15" hidden="false" customHeight="true" outlineLevel="0" collapsed="false">
      <c r="A391" s="1" t="str">
        <f aca="false">IF(物件マスタ!A391="","",物件マスタ!A391)</f>
        <v>NUD-05</v>
      </c>
      <c r="B391" s="1" t="str">
        <f aca="false">IF($A391="","",物件マスタ!B391)</f>
        <v>NUD</v>
      </c>
      <c r="C391" s="1" t="str">
        <f aca="false">IF($A391="","",IFERROR(INDEX(法人マスタ!$C:$C,MATCH($B391,法人マスタ!$A:$A,0)),""))</f>
        <v>NTT都市開発リート投資法人</v>
      </c>
      <c r="D391" s="1" t="str">
        <f aca="false">IF($A391="","",物件マスタ!C391)</f>
        <v>高田馬場センタービル</v>
      </c>
      <c r="E391" s="1" t="str">
        <f aca="false">IF($A391="","",物件マスタ!H391)</f>
        <v>都心5区</v>
      </c>
      <c r="F391" s="1" t="n">
        <f aca="false">IF($A391="","",物件マスタ!P391)</f>
        <v>0</v>
      </c>
      <c r="G391" s="1" t="str">
        <f aca="false">IF($A391="","",物件マスタ!Q391)</f>
        <v/>
      </c>
      <c r="H391" s="1" t="n">
        <f aca="false">IF($A391="","",物件マスタ!L391)</f>
        <v>9906.83</v>
      </c>
      <c r="I391" s="1" t="n">
        <f aca="false">IF($A391="","",物件マスタ!M391)</f>
        <v>0</v>
      </c>
      <c r="J391" s="1" t="n">
        <f aca="false">IF($A391="","",物件マスタ!S391)</f>
        <v>5118</v>
      </c>
      <c r="K391" s="1" t="n">
        <f aca="false">IF($A391="","",物件マスタ!U391)</f>
        <v>7440</v>
      </c>
      <c r="L391" s="1" t="n">
        <f aca="false">IF($A391="","",物件マスタ!W391)</f>
        <v>1</v>
      </c>
      <c r="M391" s="1" t="str">
        <f aca="false">IF($A391="","",IFERROR(INDEX(法人マスタ!$H:$H,MATCH($B391,法人マスタ!$A:$A,0)),""))</f>
        <v>2026年4月期（第47期）</v>
      </c>
      <c r="N391" s="1" t="n">
        <f aca="false">IF($A391="","",SUMIFS(物件収支!$D:$D,物件収支!$A:$A,$A391,物件収支!$C:$C,$M391))</f>
        <v>6</v>
      </c>
      <c r="O391" s="1" t="n">
        <f aca="false">IF($A391="","",SUMIFS(物件収支!$F:$F,物件収支!$A:$A,$A391,物件収支!$C:$C,$M391))</f>
        <v>258000</v>
      </c>
      <c r="P391" s="1" t="n">
        <f aca="false">IF($A391="","",SUMIFS(物件収支!$I:$I,物件収支!$A:$A,$A391,物件収支!$C:$C,$M391))</f>
        <v>112000</v>
      </c>
      <c r="Q391" s="1" t="n">
        <f aca="false">IF($A391="","",SUMIFS(物件収支!$O:$O,物件収支!$A:$A,$A391,物件収支!$C:$C,$M391))</f>
        <v>47000</v>
      </c>
      <c r="R391" s="1" t="n">
        <f aca="false">IF($A391="","",IF(P391=0,"",O391-P391))</f>
        <v>146000</v>
      </c>
      <c r="S391" s="1" t="n">
        <f aca="false">IF($A391="","",IF(R391="","",R391+Q391))</f>
        <v>193000</v>
      </c>
      <c r="T391" s="1" t="n">
        <f aca="false">IF($A391="","",IF(OR(S391="",N391&lt;=0),"",S391/1000*12/N391))</f>
        <v>386</v>
      </c>
      <c r="U391" s="1" t="n">
        <f aca="false">IF($A391="","",IF(OR(T391="",J391=0,J391=""),"",T391/J391))</f>
        <v>0.0754200859710825</v>
      </c>
      <c r="V391" s="1" t="n">
        <f aca="false">IF($A391="","",IF(OR(R391="",N391&lt;=0,J391=0,J391=""),"",(R391/1000*12/N391)/J391))</f>
        <v>0.05705353653771</v>
      </c>
      <c r="W391" s="1" t="n">
        <f aca="false">IF($A391="","",IF(OR(T391="",K391=0,K391=""),"",T391/K391))</f>
        <v>0.0518817204301075</v>
      </c>
      <c r="X391" s="1" t="str">
        <f aca="false">IF($A391="","",IF(OR(N391&lt;=0,I391=0,I391="",O391=0),"",O391*1000/(I391*0.3025)/N391))</f>
        <v/>
      </c>
      <c r="Y391" s="1" t="n">
        <f aca="false">IF($A391="","",IF(OR(O391=0,O391="",P391=0),"",P391/O391))</f>
        <v>0.434108527131783</v>
      </c>
      <c r="Z391" s="1" t="str">
        <f aca="false">IF($A391="","",IFERROR(INDEX(物件収支!$E:$E,MATCH($A391,物件収支!$A:$A,0)),""))</f>
        <v>開示（物件別・費用内訳含む、百万円単位）</v>
      </c>
    </row>
    <row r="392" customFormat="false" ht="15" hidden="false" customHeight="true" outlineLevel="0" collapsed="false">
      <c r="A392" s="1" t="str">
        <f aca="false">IF(物件マスタ!A392="","",物件マスタ!A392)</f>
        <v>NUD-06</v>
      </c>
      <c r="B392" s="1" t="str">
        <f aca="false">IF($A392="","",物件マスタ!B392)</f>
        <v>NUD</v>
      </c>
      <c r="C392" s="1" t="str">
        <f aca="false">IF($A392="","",IFERROR(INDEX(法人マスタ!$C:$C,MATCH($B392,法人マスタ!$A:$A,0)),""))</f>
        <v>NTT都市開発リート投資法人</v>
      </c>
      <c r="D392" s="1" t="str">
        <f aca="false">IF($A392="","",物件マスタ!C392)</f>
        <v>アーバンネット三田ビル</v>
      </c>
      <c r="E392" s="1" t="str">
        <f aca="false">IF($A392="","",物件マスタ!H392)</f>
        <v>都心5区</v>
      </c>
      <c r="F392" s="1" t="n">
        <f aca="false">IF($A392="","",物件マスタ!P392)</f>
        <v>0</v>
      </c>
      <c r="G392" s="1" t="str">
        <f aca="false">IF($A392="","",物件マスタ!Q392)</f>
        <v/>
      </c>
      <c r="H392" s="1" t="n">
        <f aca="false">IF($A392="","",物件マスタ!L392)</f>
        <v>13987.76</v>
      </c>
      <c r="I392" s="1" t="n">
        <f aca="false">IF($A392="","",物件マスタ!M392)</f>
        <v>0</v>
      </c>
      <c r="J392" s="1" t="n">
        <f aca="false">IF($A392="","",物件マスタ!S392)</f>
        <v>10300</v>
      </c>
      <c r="K392" s="1" t="n">
        <f aca="false">IF($A392="","",物件マスタ!U392)</f>
        <v>11400</v>
      </c>
      <c r="L392" s="1" t="n">
        <f aca="false">IF($A392="","",物件マスタ!W392)</f>
        <v>1</v>
      </c>
      <c r="M392" s="1" t="str">
        <f aca="false">IF($A392="","",IFERROR(INDEX(法人マスタ!$H:$H,MATCH($B392,法人マスタ!$A:$A,0)),""))</f>
        <v>2026年4月期（第47期）</v>
      </c>
      <c r="N392" s="1" t="n">
        <f aca="false">IF($A392="","",SUMIFS(物件収支!$D:$D,物件収支!$A:$A,$A392,物件収支!$C:$C,$M392))</f>
        <v>6</v>
      </c>
      <c r="O392" s="1" t="n">
        <f aca="false">IF($A392="","",SUMIFS(物件収支!$F:$F,物件収支!$A:$A,$A392,物件収支!$C:$C,$M392))</f>
        <v>327000</v>
      </c>
      <c r="P392" s="1" t="n">
        <f aca="false">IF($A392="","",SUMIFS(物件収支!$I:$I,物件収支!$A:$A,$A392,物件収支!$C:$C,$M392))</f>
        <v>158000</v>
      </c>
      <c r="Q392" s="1" t="n">
        <f aca="false">IF($A392="","",SUMIFS(物件収支!$O:$O,物件収支!$A:$A,$A392,物件収支!$C:$C,$M392))</f>
        <v>51000</v>
      </c>
      <c r="R392" s="1" t="n">
        <f aca="false">IF($A392="","",IF(P392=0,"",O392-P392))</f>
        <v>169000</v>
      </c>
      <c r="S392" s="1" t="n">
        <f aca="false">IF($A392="","",IF(R392="","",R392+Q392))</f>
        <v>220000</v>
      </c>
      <c r="T392" s="1" t="n">
        <f aca="false">IF($A392="","",IF(OR(S392="",N392&lt;=0),"",S392/1000*12/N392))</f>
        <v>440</v>
      </c>
      <c r="U392" s="1" t="n">
        <f aca="false">IF($A392="","",IF(OR(T392="",J392=0,J392=""),"",T392/J392))</f>
        <v>0.0427184466019418</v>
      </c>
      <c r="V392" s="1" t="n">
        <f aca="false">IF($A392="","",IF(OR(R392="",N392&lt;=0,J392=0,J392=""),"",(R392/1000*12/N392)/J392))</f>
        <v>0.0328155339805825</v>
      </c>
      <c r="W392" s="1" t="n">
        <f aca="false">IF($A392="","",IF(OR(T392="",K392=0,K392=""),"",T392/K392))</f>
        <v>0.0385964912280702</v>
      </c>
      <c r="X392" s="1" t="str">
        <f aca="false">IF($A392="","",IF(OR(N392&lt;=0,I392=0,I392="",O392=0),"",O392*1000/(I392*0.3025)/N392))</f>
        <v/>
      </c>
      <c r="Y392" s="1" t="n">
        <f aca="false">IF($A392="","",IF(OR(O392=0,O392="",P392=0),"",P392/O392))</f>
        <v>0.483180428134557</v>
      </c>
      <c r="Z392" s="1" t="str">
        <f aca="false">IF($A392="","",IFERROR(INDEX(物件収支!$E:$E,MATCH($A392,物件収支!$A:$A,0)),""))</f>
        <v>開示（物件別・費用内訳含む、百万円単位）</v>
      </c>
    </row>
    <row r="393" customFormat="false" ht="15" hidden="false" customHeight="true" outlineLevel="0" collapsed="false">
      <c r="A393" s="1" t="str">
        <f aca="false">IF(物件マスタ!A393="","",物件マスタ!A393)</f>
        <v>NUD-07</v>
      </c>
      <c r="B393" s="1" t="str">
        <f aca="false">IF($A393="","",物件マスタ!B393)</f>
        <v>NUD</v>
      </c>
      <c r="C393" s="1" t="str">
        <f aca="false">IF($A393="","",IFERROR(INDEX(法人マスタ!$C:$C,MATCH($B393,法人マスタ!$A:$A,0)),""))</f>
        <v>NTT都市開発リート投資法人</v>
      </c>
      <c r="D393" s="1" t="str">
        <f aca="false">IF($A393="","",物件マスタ!C393)</f>
        <v>アーバンネット麻布ビル</v>
      </c>
      <c r="E393" s="1" t="str">
        <f aca="false">IF($A393="","",物件マスタ!H393)</f>
        <v>都心5区</v>
      </c>
      <c r="F393" s="1" t="n">
        <f aca="false">IF($A393="","",物件マスタ!P393)</f>
        <v>0</v>
      </c>
      <c r="G393" s="1" t="str">
        <f aca="false">IF($A393="","",物件マスタ!Q393)</f>
        <v/>
      </c>
      <c r="H393" s="1" t="n">
        <f aca="false">IF($A393="","",物件マスタ!L393)</f>
        <v>6486.42</v>
      </c>
      <c r="I393" s="1" t="n">
        <f aca="false">IF($A393="","",物件マスタ!M393)</f>
        <v>0</v>
      </c>
      <c r="J393" s="1" t="n">
        <f aca="false">IF($A393="","",物件マスタ!S393)</f>
        <v>5000</v>
      </c>
      <c r="K393" s="1" t="n">
        <f aca="false">IF($A393="","",物件マスタ!U393)</f>
        <v>5390</v>
      </c>
      <c r="L393" s="1" t="n">
        <f aca="false">IF($A393="","",物件マスタ!W393)</f>
        <v>1</v>
      </c>
      <c r="M393" s="1" t="str">
        <f aca="false">IF($A393="","",IFERROR(INDEX(法人マスタ!$H:$H,MATCH($B393,法人マスタ!$A:$A,0)),""))</f>
        <v>2026年4月期（第47期）</v>
      </c>
      <c r="N393" s="1" t="n">
        <f aca="false">IF($A393="","",SUMIFS(物件収支!$D:$D,物件収支!$A:$A,$A393,物件収支!$C:$C,$M393))</f>
        <v>6</v>
      </c>
      <c r="O393" s="1" t="n">
        <f aca="false">IF($A393="","",SUMIFS(物件収支!$F:$F,物件収支!$A:$A,$A393,物件収支!$C:$C,$M393))</f>
        <v>0</v>
      </c>
      <c r="P393" s="1" t="n">
        <f aca="false">IF($A393="","",SUMIFS(物件収支!$I:$I,物件収支!$A:$A,$A393,物件収支!$C:$C,$M393))</f>
        <v>0</v>
      </c>
      <c r="Q393" s="1" t="n">
        <f aca="false">IF($A393="","",SUMIFS(物件収支!$O:$O,物件収支!$A:$A,$A393,物件収支!$C:$C,$M393))</f>
        <v>0</v>
      </c>
      <c r="R393" s="1" t="str">
        <f aca="false">IF($A393="","",IF(P393=0,"",O393-P393))</f>
        <v/>
      </c>
      <c r="S393" s="1" t="str">
        <f aca="false">IF($A393="","",IF(R393="","",R393+Q393))</f>
        <v/>
      </c>
      <c r="T393" s="1" t="str">
        <f aca="false">IF($A393="","",IF(OR(S393="",N393&lt;=0),"",S393/1000*12/N393))</f>
        <v/>
      </c>
      <c r="U393" s="1" t="str">
        <f aca="false">IF($A393="","",IF(OR(T393="",J393=0,J393=""),"",T393/J393))</f>
        <v/>
      </c>
      <c r="V393" s="1" t="str">
        <f aca="false">IF($A393="","",IF(OR(R393="",N393&lt;=0,J393=0,J393=""),"",(R393/1000*12/N393)/J393))</f>
        <v/>
      </c>
      <c r="W393" s="1" t="str">
        <f aca="false">IF($A393="","",IF(OR(T393="",K393=0,K393=""),"",T393/K393))</f>
        <v/>
      </c>
      <c r="X393" s="1" t="str">
        <f aca="false">IF($A393="","",IF(OR(N393&lt;=0,I393=0,I393="",O393=0),"",O393*1000/(I393*0.3025)/N393))</f>
        <v/>
      </c>
      <c r="Y393" s="1" t="str">
        <f aca="false">IF($A393="","",IF(OR(O393=0,O393="",P393=0),"",P393/O393))</f>
        <v/>
      </c>
      <c r="Z393" s="1" t="str">
        <f aca="false">IF($A393="","",IFERROR(INDEX(物件収支!$E:$E,MATCH($A393,物件収支!$A:$A,0)),""))</f>
        <v>非開示（テナント/共有者同意なし・損益とNOIのみ開示）</v>
      </c>
    </row>
    <row r="394" customFormat="false" ht="15" hidden="false" customHeight="true" outlineLevel="0" collapsed="false">
      <c r="A394" s="1" t="str">
        <f aca="false">IF(物件マスタ!A394="","",物件マスタ!A394)</f>
        <v>NUD-08</v>
      </c>
      <c r="B394" s="1" t="str">
        <f aca="false">IF($A394="","",物件マスタ!B394)</f>
        <v>NUD</v>
      </c>
      <c r="C394" s="1" t="str">
        <f aca="false">IF($A394="","",IFERROR(INDEX(法人マスタ!$C:$C,MATCH($B394,法人マスタ!$A:$A,0)),""))</f>
        <v>NTT都市開発リート投資法人</v>
      </c>
      <c r="D394" s="1" t="str">
        <f aca="false">IF($A394="","",物件マスタ!C394)</f>
        <v>グランパーク</v>
      </c>
      <c r="E394" s="1" t="str">
        <f aca="false">IF($A394="","",物件マスタ!H394)</f>
        <v>都心5区</v>
      </c>
      <c r="F394" s="1" t="n">
        <f aca="false">IF($A394="","",物件マスタ!P394)</f>
        <v>0</v>
      </c>
      <c r="G394" s="1" t="str">
        <f aca="false">IF($A394="","",物件マスタ!Q394)</f>
        <v/>
      </c>
      <c r="H394" s="1" t="n">
        <f aca="false">IF($A394="","",物件マスタ!L394)</f>
        <v>160042.88</v>
      </c>
      <c r="I394" s="1" t="n">
        <f aca="false">IF($A394="","",物件マスタ!M394)</f>
        <v>0</v>
      </c>
      <c r="J394" s="1" t="n">
        <f aca="false">IF($A394="","",物件マスタ!S394)</f>
        <v>26340</v>
      </c>
      <c r="K394" s="1" t="n">
        <f aca="false">IF($A394="","",物件マスタ!U394)</f>
        <v>29700</v>
      </c>
      <c r="L394" s="1" t="n">
        <f aca="false">IF($A394="","",物件マスタ!W394)</f>
        <v>0.988</v>
      </c>
      <c r="M394" s="1" t="str">
        <f aca="false">IF($A394="","",IFERROR(INDEX(法人マスタ!$H:$H,MATCH($B394,法人マスタ!$A:$A,0)),""))</f>
        <v>2026年4月期（第47期）</v>
      </c>
      <c r="N394" s="1" t="n">
        <f aca="false">IF($A394="","",SUMIFS(物件収支!$D:$D,物件収支!$A:$A,$A394,物件収支!$C:$C,$M394))</f>
        <v>6</v>
      </c>
      <c r="O394" s="1" t="n">
        <f aca="false">IF($A394="","",SUMIFS(物件収支!$F:$F,物件収支!$A:$A,$A394,物件収支!$C:$C,$M394))</f>
        <v>1065000</v>
      </c>
      <c r="P394" s="1" t="n">
        <f aca="false">IF($A394="","",SUMIFS(物件収支!$I:$I,物件収支!$A:$A,$A394,物件収支!$C:$C,$M394))</f>
        <v>605000</v>
      </c>
      <c r="Q394" s="1" t="n">
        <f aca="false">IF($A394="","",SUMIFS(物件収支!$O:$O,物件収支!$A:$A,$A394,物件収支!$C:$C,$M394))</f>
        <v>107000</v>
      </c>
      <c r="R394" s="1" t="n">
        <f aca="false">IF($A394="","",IF(P394=0,"",O394-P394))</f>
        <v>460000</v>
      </c>
      <c r="S394" s="1" t="n">
        <f aca="false">IF($A394="","",IF(R394="","",R394+Q394))</f>
        <v>567000</v>
      </c>
      <c r="T394" s="1" t="n">
        <f aca="false">IF($A394="","",IF(OR(S394="",N394&lt;=0),"",S394/1000*12/N394))</f>
        <v>1134</v>
      </c>
      <c r="U394" s="1" t="n">
        <f aca="false">IF($A394="","",IF(OR(T394="",J394=0,J394=""),"",T394/J394))</f>
        <v>0.0430523917995444</v>
      </c>
      <c r="V394" s="1" t="n">
        <f aca="false">IF($A394="","",IF(OR(R394="",N394&lt;=0,J394=0,J394=""),"",(R394/1000*12/N394)/J394))</f>
        <v>0.0349278663629461</v>
      </c>
      <c r="W394" s="1" t="n">
        <f aca="false">IF($A394="","",IF(OR(T394="",K394=0,K394=""),"",T394/K394))</f>
        <v>0.0381818181818182</v>
      </c>
      <c r="X394" s="1" t="str">
        <f aca="false">IF($A394="","",IF(OR(N394&lt;=0,I394=0,I394="",O394=0),"",O394*1000/(I394*0.3025)/N394))</f>
        <v/>
      </c>
      <c r="Y394" s="1" t="n">
        <f aca="false">IF($A394="","",IF(OR(O394=0,O394="",P394=0),"",P394/O394))</f>
        <v>0.568075117370892</v>
      </c>
      <c r="Z394" s="1" t="str">
        <f aca="false">IF($A394="","",IFERROR(INDEX(物件収支!$E:$E,MATCH($A394,物件収支!$A:$A,0)),""))</f>
        <v>開示（物件別・費用内訳含む、百万円単位）</v>
      </c>
    </row>
    <row r="395" customFormat="false" ht="15" hidden="false" customHeight="true" outlineLevel="0" collapsed="false">
      <c r="A395" s="1" t="str">
        <f aca="false">IF(物件マスタ!A395="","",物件マスタ!A395)</f>
        <v>NUD-09</v>
      </c>
      <c r="B395" s="1" t="str">
        <f aca="false">IF($A395="","",物件マスタ!B395)</f>
        <v>NUD</v>
      </c>
      <c r="C395" s="1" t="str">
        <f aca="false">IF($A395="","",IFERROR(INDEX(法人マスタ!$C:$C,MATCH($B395,法人マスタ!$A:$A,0)),""))</f>
        <v>NTT都市開発リート投資法人</v>
      </c>
      <c r="D395" s="1" t="str">
        <f aca="false">IF($A395="","",物件マスタ!C395)</f>
        <v>大手町フィナンシャルシティ グランキューブ</v>
      </c>
      <c r="E395" s="1" t="str">
        <f aca="false">IF($A395="","",物件マスタ!H395)</f>
        <v>都心5区</v>
      </c>
      <c r="F395" s="1" t="n">
        <f aca="false">IF($A395="","",物件マスタ!P395)</f>
        <v>0</v>
      </c>
      <c r="G395" s="1" t="str">
        <f aca="false">IF($A395="","",物件マスタ!Q395)</f>
        <v/>
      </c>
      <c r="H395" s="1" t="n">
        <f aca="false">IF($A395="","",物件マスタ!L395)</f>
        <v>206107.08</v>
      </c>
      <c r="I395" s="1" t="n">
        <f aca="false">IF($A395="","",物件マスタ!M395)</f>
        <v>0</v>
      </c>
      <c r="J395" s="1" t="n">
        <f aca="false">IF($A395="","",物件マスタ!S395)</f>
        <v>4680</v>
      </c>
      <c r="K395" s="1" t="n">
        <f aca="false">IF($A395="","",物件マスタ!U395)</f>
        <v>5772</v>
      </c>
      <c r="L395" s="1" t="n">
        <f aca="false">IF($A395="","",物件マスタ!W395)</f>
        <v>1</v>
      </c>
      <c r="M395" s="1" t="str">
        <f aca="false">IF($A395="","",IFERROR(INDEX(法人マスタ!$H:$H,MATCH($B395,法人マスタ!$A:$A,0)),""))</f>
        <v>2026年4月期（第47期）</v>
      </c>
      <c r="N395" s="1" t="n">
        <f aca="false">IF($A395="","",SUMIFS(物件収支!$D:$D,物件収支!$A:$A,$A395,物件収支!$C:$C,$M395))</f>
        <v>6</v>
      </c>
      <c r="O395" s="1" t="n">
        <f aca="false">IF($A395="","",SUMIFS(物件収支!$F:$F,物件収支!$A:$A,$A395,物件収支!$C:$C,$M395))</f>
        <v>0</v>
      </c>
      <c r="P395" s="1" t="n">
        <f aca="false">IF($A395="","",SUMIFS(物件収支!$I:$I,物件収支!$A:$A,$A395,物件収支!$C:$C,$M395))</f>
        <v>0</v>
      </c>
      <c r="Q395" s="1" t="n">
        <f aca="false">IF($A395="","",SUMIFS(物件収支!$O:$O,物件収支!$A:$A,$A395,物件収支!$C:$C,$M395))</f>
        <v>0</v>
      </c>
      <c r="R395" s="1" t="str">
        <f aca="false">IF($A395="","",IF(P395=0,"",O395-P395))</f>
        <v/>
      </c>
      <c r="S395" s="1" t="str">
        <f aca="false">IF($A395="","",IF(R395="","",R395+Q395))</f>
        <v/>
      </c>
      <c r="T395" s="1" t="str">
        <f aca="false">IF($A395="","",IF(OR(S395="",N395&lt;=0),"",S395/1000*12/N395))</f>
        <v/>
      </c>
      <c r="U395" s="1" t="str">
        <f aca="false">IF($A395="","",IF(OR(T395="",J395=0,J395=""),"",T395/J395))</f>
        <v/>
      </c>
      <c r="V395" s="1" t="str">
        <f aca="false">IF($A395="","",IF(OR(R395="",N395&lt;=0,J395=0,J395=""),"",(R395/1000*12/N395)/J395))</f>
        <v/>
      </c>
      <c r="W395" s="1" t="str">
        <f aca="false">IF($A395="","",IF(OR(T395="",K395=0,K395=""),"",T395/K395))</f>
        <v/>
      </c>
      <c r="X395" s="1" t="str">
        <f aca="false">IF($A395="","",IF(OR(N395&lt;=0,I395=0,I395="",O395=0),"",O395*1000/(I395*0.3025)/N395))</f>
        <v/>
      </c>
      <c r="Y395" s="1" t="str">
        <f aca="false">IF($A395="","",IF(OR(O395=0,O395="",P395=0),"",P395/O395))</f>
        <v/>
      </c>
      <c r="Z395" s="1" t="str">
        <f aca="false">IF($A395="","",IFERROR(INDEX(物件収支!$E:$E,MATCH($A395,物件収支!$A:$A,0)),""))</f>
        <v>非開示（テナント/共有者同意なし・損益とNOIのみ開示）</v>
      </c>
    </row>
    <row r="396" customFormat="false" ht="15" hidden="false" customHeight="true" outlineLevel="0" collapsed="false">
      <c r="A396" s="1" t="str">
        <f aca="false">IF(物件マスタ!A396="","",物件マスタ!A396)</f>
        <v>NUD-10</v>
      </c>
      <c r="B396" s="1" t="str">
        <f aca="false">IF($A396="","",物件マスタ!B396)</f>
        <v>NUD</v>
      </c>
      <c r="C396" s="1" t="str">
        <f aca="false">IF($A396="","",IFERROR(INDEX(法人マスタ!$C:$C,MATCH($B396,法人マスタ!$A:$A,0)),""))</f>
        <v>NTT都市開発リート投資法人</v>
      </c>
      <c r="D396" s="1" t="str">
        <f aca="false">IF($A396="","",物件マスタ!C396)</f>
        <v>品川シーズンテラス</v>
      </c>
      <c r="E396" s="1" t="str">
        <f aca="false">IF($A396="","",物件マスタ!H396)</f>
        <v>都心5区</v>
      </c>
      <c r="F396" s="1" t="n">
        <f aca="false">IF($A396="","",物件マスタ!P396)</f>
        <v>0</v>
      </c>
      <c r="G396" s="1" t="str">
        <f aca="false">IF($A396="","",物件マスタ!Q396)</f>
        <v/>
      </c>
      <c r="H396" s="1" t="n">
        <f aca="false">IF($A396="","",物件マスタ!L396)</f>
        <v>202666.94</v>
      </c>
      <c r="I396" s="1" t="n">
        <f aca="false">IF($A396="","",物件マスタ!M396)</f>
        <v>0</v>
      </c>
      <c r="J396" s="1" t="n">
        <f aca="false">IF($A396="","",物件マスタ!S396)</f>
        <v>18687</v>
      </c>
      <c r="K396" s="1" t="n">
        <f aca="false">IF($A396="","",物件マスタ!U396)</f>
        <v>18100</v>
      </c>
      <c r="L396" s="1" t="n">
        <f aca="false">IF($A396="","",物件マスタ!W396)</f>
        <v>1</v>
      </c>
      <c r="M396" s="1" t="str">
        <f aca="false">IF($A396="","",IFERROR(INDEX(法人マスタ!$H:$H,MATCH($B396,法人マスタ!$A:$A,0)),""))</f>
        <v>2026年4月期（第47期）</v>
      </c>
      <c r="N396" s="1" t="n">
        <f aca="false">IF($A396="","",SUMIFS(物件収支!$D:$D,物件収支!$A:$A,$A396,物件収支!$C:$C,$M396))</f>
        <v>6</v>
      </c>
      <c r="O396" s="1" t="n">
        <f aca="false">IF($A396="","",SUMIFS(物件収支!$F:$F,物件収支!$A:$A,$A396,物件収支!$C:$C,$M396))</f>
        <v>0</v>
      </c>
      <c r="P396" s="1" t="n">
        <f aca="false">IF($A396="","",SUMIFS(物件収支!$I:$I,物件収支!$A:$A,$A396,物件収支!$C:$C,$M396))</f>
        <v>0</v>
      </c>
      <c r="Q396" s="1" t="n">
        <f aca="false">IF($A396="","",SUMIFS(物件収支!$O:$O,物件収支!$A:$A,$A396,物件収支!$C:$C,$M396))</f>
        <v>0</v>
      </c>
      <c r="R396" s="1" t="str">
        <f aca="false">IF($A396="","",IF(P396=0,"",O396-P396))</f>
        <v/>
      </c>
      <c r="S396" s="1" t="str">
        <f aca="false">IF($A396="","",IF(R396="","",R396+Q396))</f>
        <v/>
      </c>
      <c r="T396" s="1" t="str">
        <f aca="false">IF($A396="","",IF(OR(S396="",N396&lt;=0),"",S396/1000*12/N396))</f>
        <v/>
      </c>
      <c r="U396" s="1" t="str">
        <f aca="false">IF($A396="","",IF(OR(T396="",J396=0,J396=""),"",T396/J396))</f>
        <v/>
      </c>
      <c r="V396" s="1" t="str">
        <f aca="false">IF($A396="","",IF(OR(R396="",N396&lt;=0,J396=0,J396=""),"",(R396/1000*12/N396)/J396))</f>
        <v/>
      </c>
      <c r="W396" s="1" t="str">
        <f aca="false">IF($A396="","",IF(OR(T396="",K396=0,K396=""),"",T396/K396))</f>
        <v/>
      </c>
      <c r="X396" s="1" t="str">
        <f aca="false">IF($A396="","",IF(OR(N396&lt;=0,I396=0,I396="",O396=0),"",O396*1000/(I396*0.3025)/N396))</f>
        <v/>
      </c>
      <c r="Y396" s="1" t="str">
        <f aca="false">IF($A396="","",IF(OR(O396=0,O396="",P396=0),"",P396/O396))</f>
        <v/>
      </c>
      <c r="Z396" s="1" t="str">
        <f aca="false">IF($A396="","",IFERROR(INDEX(物件収支!$E:$E,MATCH($A396,物件収支!$A:$A,0)),""))</f>
        <v>非開示（テナント/共有者同意なし・損益とNOIのみ開示）</v>
      </c>
    </row>
    <row r="397" customFormat="false" ht="15" hidden="false" customHeight="true" outlineLevel="0" collapsed="false">
      <c r="A397" s="1" t="str">
        <f aca="false">IF(物件マスタ!A397="","",物件マスタ!A397)</f>
        <v>NUD-11</v>
      </c>
      <c r="B397" s="1" t="str">
        <f aca="false">IF($A397="","",物件マスタ!B397)</f>
        <v>NUD</v>
      </c>
      <c r="C397" s="1" t="str">
        <f aca="false">IF($A397="","",IFERROR(INDEX(法人マスタ!$C:$C,MATCH($B397,法人マスタ!$A:$A,0)),""))</f>
        <v>NTT都市開発リート投資法人</v>
      </c>
      <c r="D397" s="1" t="str">
        <f aca="false">IF($A397="","",物件マスタ!C397)</f>
        <v>東京オペラシティビル</v>
      </c>
      <c r="E397" s="1" t="str">
        <f aca="false">IF($A397="","",物件マスタ!H397)</f>
        <v>都心5区</v>
      </c>
      <c r="F397" s="1" t="n">
        <f aca="false">IF($A397="","",物件マスタ!P397)</f>
        <v>0</v>
      </c>
      <c r="G397" s="1" t="str">
        <f aca="false">IF($A397="","",物件マスタ!Q397)</f>
        <v/>
      </c>
      <c r="H397" s="1" t="n">
        <f aca="false">IF($A397="","",物件マスタ!L397)</f>
        <v>232996.81</v>
      </c>
      <c r="I397" s="1" t="n">
        <f aca="false">IF($A397="","",物件マスタ!M397)</f>
        <v>0</v>
      </c>
      <c r="J397" s="1" t="n">
        <f aca="false">IF($A397="","",物件マスタ!S397)</f>
        <v>22000</v>
      </c>
      <c r="K397" s="1" t="n">
        <f aca="false">IF($A397="","",物件マスタ!U397)</f>
        <v>22300</v>
      </c>
      <c r="L397" s="1" t="n">
        <f aca="false">IF($A397="","",物件マスタ!W397)</f>
        <v>0.999</v>
      </c>
      <c r="M397" s="1" t="str">
        <f aca="false">IF($A397="","",IFERROR(INDEX(法人マスタ!$H:$H,MATCH($B397,法人マスタ!$A:$A,0)),""))</f>
        <v>2026年4月期（第47期）</v>
      </c>
      <c r="N397" s="1" t="n">
        <f aca="false">IF($A397="","",SUMIFS(物件収支!$D:$D,物件収支!$A:$A,$A397,物件収支!$C:$C,$M397))</f>
        <v>6</v>
      </c>
      <c r="O397" s="1" t="n">
        <f aca="false">IF($A397="","",SUMIFS(物件収支!$F:$F,物件収支!$A:$A,$A397,物件収支!$C:$C,$M397))</f>
        <v>0</v>
      </c>
      <c r="P397" s="1" t="n">
        <f aca="false">IF($A397="","",SUMIFS(物件収支!$I:$I,物件収支!$A:$A,$A397,物件収支!$C:$C,$M397))</f>
        <v>0</v>
      </c>
      <c r="Q397" s="1" t="n">
        <f aca="false">IF($A397="","",SUMIFS(物件収支!$O:$O,物件収支!$A:$A,$A397,物件収支!$C:$C,$M397))</f>
        <v>0</v>
      </c>
      <c r="R397" s="1" t="str">
        <f aca="false">IF($A397="","",IF(P397=0,"",O397-P397))</f>
        <v/>
      </c>
      <c r="S397" s="1" t="str">
        <f aca="false">IF($A397="","",IF(R397="","",R397+Q397))</f>
        <v/>
      </c>
      <c r="T397" s="1" t="str">
        <f aca="false">IF($A397="","",IF(OR(S397="",N397&lt;=0),"",S397/1000*12/N397))</f>
        <v/>
      </c>
      <c r="U397" s="1" t="str">
        <f aca="false">IF($A397="","",IF(OR(T397="",J397=0,J397=""),"",T397/J397))</f>
        <v/>
      </c>
      <c r="V397" s="1" t="str">
        <f aca="false">IF($A397="","",IF(OR(R397="",N397&lt;=0,J397=0,J397=""),"",(R397/1000*12/N397)/J397))</f>
        <v/>
      </c>
      <c r="W397" s="1" t="str">
        <f aca="false">IF($A397="","",IF(OR(T397="",K397=0,K397=""),"",T397/K397))</f>
        <v/>
      </c>
      <c r="X397" s="1" t="str">
        <f aca="false">IF($A397="","",IF(OR(N397&lt;=0,I397=0,I397="",O397=0),"",O397*1000/(I397*0.3025)/N397))</f>
        <v/>
      </c>
      <c r="Y397" s="1" t="str">
        <f aca="false">IF($A397="","",IF(OR(O397=0,O397="",P397=0),"",P397/O397))</f>
        <v/>
      </c>
      <c r="Z397" s="1" t="str">
        <f aca="false">IF($A397="","",IFERROR(INDEX(物件収支!$E:$E,MATCH($A397,物件収支!$A:$A,0)),""))</f>
        <v>非開示（テナント/共有者同意なし・損益とNOIのみ開示）</v>
      </c>
    </row>
    <row r="398" customFormat="false" ht="15" hidden="false" customHeight="true" outlineLevel="0" collapsed="false">
      <c r="A398" s="1" t="str">
        <f aca="false">IF(物件マスタ!A398="","",物件マスタ!A398)</f>
        <v>NUD-12</v>
      </c>
      <c r="B398" s="1" t="str">
        <f aca="false">IF($A398="","",物件マスタ!B398)</f>
        <v>NUD</v>
      </c>
      <c r="C398" s="1" t="str">
        <f aca="false">IF($A398="","",IFERROR(INDEX(法人マスタ!$C:$C,MATCH($B398,法人マスタ!$A:$A,0)),""))</f>
        <v>NTT都市開発リート投資法人</v>
      </c>
      <c r="D398" s="1" t="str">
        <f aca="false">IF($A398="","",物件マスタ!C398)</f>
        <v>アーバンネット内幸町ビル</v>
      </c>
      <c r="E398" s="1" t="str">
        <f aca="false">IF($A398="","",物件マスタ!H398)</f>
        <v>都心5区</v>
      </c>
      <c r="F398" s="1" t="n">
        <f aca="false">IF($A398="","",物件マスタ!P398)</f>
        <v>0</v>
      </c>
      <c r="G398" s="1" t="str">
        <f aca="false">IF($A398="","",物件マスタ!Q398)</f>
        <v/>
      </c>
      <c r="H398" s="1" t="n">
        <f aca="false">IF($A398="","",物件マスタ!L398)</f>
        <v>35232.39</v>
      </c>
      <c r="I398" s="1" t="n">
        <f aca="false">IF($A398="","",物件マスタ!M398)</f>
        <v>0</v>
      </c>
      <c r="J398" s="1" t="n">
        <f aca="false">IF($A398="","",物件マスタ!S398)</f>
        <v>5640</v>
      </c>
      <c r="K398" s="1" t="n">
        <f aca="false">IF($A398="","",物件マスタ!U398)</f>
        <v>6108</v>
      </c>
      <c r="L398" s="1" t="n">
        <f aca="false">IF($A398="","",物件マスタ!W398)</f>
        <v>1</v>
      </c>
      <c r="M398" s="1" t="str">
        <f aca="false">IF($A398="","",IFERROR(INDEX(法人マスタ!$H:$H,MATCH($B398,法人マスタ!$A:$A,0)),""))</f>
        <v>2026年4月期（第47期）</v>
      </c>
      <c r="N398" s="1" t="n">
        <f aca="false">IF($A398="","",SUMIFS(物件収支!$D:$D,物件収支!$A:$A,$A398,物件収支!$C:$C,$M398))</f>
        <v>6</v>
      </c>
      <c r="O398" s="1" t="n">
        <f aca="false">IF($A398="","",SUMIFS(物件収支!$F:$F,物件収支!$A:$A,$A398,物件収支!$C:$C,$M398))</f>
        <v>0</v>
      </c>
      <c r="P398" s="1" t="n">
        <f aca="false">IF($A398="","",SUMIFS(物件収支!$I:$I,物件収支!$A:$A,$A398,物件収支!$C:$C,$M398))</f>
        <v>0</v>
      </c>
      <c r="Q398" s="1" t="n">
        <f aca="false">IF($A398="","",SUMIFS(物件収支!$O:$O,物件収支!$A:$A,$A398,物件収支!$C:$C,$M398))</f>
        <v>0</v>
      </c>
      <c r="R398" s="1" t="str">
        <f aca="false">IF($A398="","",IF(P398=0,"",O398-P398))</f>
        <v/>
      </c>
      <c r="S398" s="1" t="str">
        <f aca="false">IF($A398="","",IF(R398="","",R398+Q398))</f>
        <v/>
      </c>
      <c r="T398" s="1" t="str">
        <f aca="false">IF($A398="","",IF(OR(S398="",N398&lt;=0),"",S398/1000*12/N398))</f>
        <v/>
      </c>
      <c r="U398" s="1" t="str">
        <f aca="false">IF($A398="","",IF(OR(T398="",J398=0,J398=""),"",T398/J398))</f>
        <v/>
      </c>
      <c r="V398" s="1" t="str">
        <f aca="false">IF($A398="","",IF(OR(R398="",N398&lt;=0,J398=0,J398=""),"",(R398/1000*12/N398)/J398))</f>
        <v/>
      </c>
      <c r="W398" s="1" t="str">
        <f aca="false">IF($A398="","",IF(OR(T398="",K398=0,K398=""),"",T398/K398))</f>
        <v/>
      </c>
      <c r="X398" s="1" t="str">
        <f aca="false">IF($A398="","",IF(OR(N398&lt;=0,I398=0,I398="",O398=0),"",O398*1000/(I398*0.3025)/N398))</f>
        <v/>
      </c>
      <c r="Y398" s="1" t="str">
        <f aca="false">IF($A398="","",IF(OR(O398=0,O398="",P398=0),"",P398/O398))</f>
        <v/>
      </c>
      <c r="Z398" s="1" t="str">
        <f aca="false">IF($A398="","",IFERROR(INDEX(物件収支!$E:$E,MATCH($A398,物件収支!$A:$A,0)),""))</f>
        <v>非開示（テナント/共有者同意なし・損益とNOIのみ開示）</v>
      </c>
    </row>
    <row r="399" customFormat="false" ht="15" hidden="false" customHeight="true" outlineLevel="0" collapsed="false">
      <c r="A399" s="1" t="str">
        <f aca="false">IF(物件マスタ!A399="","",物件マスタ!A399)</f>
        <v>NUD-13</v>
      </c>
      <c r="B399" s="1" t="str">
        <f aca="false">IF($A399="","",物件マスタ!B399)</f>
        <v>NUD</v>
      </c>
      <c r="C399" s="1" t="str">
        <f aca="false">IF($A399="","",IFERROR(INDEX(法人マスタ!$C:$C,MATCH($B399,法人マスタ!$A:$A,0)),""))</f>
        <v>NTT都市開発リート投資法人</v>
      </c>
      <c r="D399" s="1" t="str">
        <f aca="false">IF($A399="","",物件マスタ!C399)</f>
        <v>プレミア東陽町ビル</v>
      </c>
      <c r="E399" s="1" t="str">
        <f aca="false">IF($A399="","",物件マスタ!H399)</f>
        <v>その他東京23区</v>
      </c>
      <c r="F399" s="1" t="n">
        <f aca="false">IF($A399="","",物件マスタ!P399)</f>
        <v>0</v>
      </c>
      <c r="G399" s="1" t="str">
        <f aca="false">IF($A399="","",物件マスタ!Q399)</f>
        <v/>
      </c>
      <c r="H399" s="1" t="n">
        <f aca="false">IF($A399="","",物件マスタ!L399)</f>
        <v>5054.32</v>
      </c>
      <c r="I399" s="1" t="n">
        <f aca="false">IF($A399="","",物件マスタ!M399)</f>
        <v>0</v>
      </c>
      <c r="J399" s="1" t="n">
        <f aca="false">IF($A399="","",物件マスタ!S399)</f>
        <v>4310</v>
      </c>
      <c r="K399" s="1" t="n">
        <f aca="false">IF($A399="","",物件マスタ!U399)</f>
        <v>3040</v>
      </c>
      <c r="L399" s="1" t="n">
        <f aca="false">IF($A399="","",物件マスタ!W399)</f>
        <v>1</v>
      </c>
      <c r="M399" s="1" t="str">
        <f aca="false">IF($A399="","",IFERROR(INDEX(法人マスタ!$H:$H,MATCH($B399,法人マスタ!$A:$A,0)),""))</f>
        <v>2026年4月期（第47期）</v>
      </c>
      <c r="N399" s="1" t="n">
        <f aca="false">IF($A399="","",SUMIFS(物件収支!$D:$D,物件収支!$A:$A,$A399,物件収支!$C:$C,$M399))</f>
        <v>6</v>
      </c>
      <c r="O399" s="1" t="n">
        <f aca="false">IF($A399="","",SUMIFS(物件収支!$F:$F,物件収支!$A:$A,$A399,物件収支!$C:$C,$M399))</f>
        <v>98000</v>
      </c>
      <c r="P399" s="1" t="n">
        <f aca="false">IF($A399="","",SUMIFS(物件収支!$I:$I,物件収支!$A:$A,$A399,物件収支!$C:$C,$M399))</f>
        <v>45000</v>
      </c>
      <c r="Q399" s="1" t="n">
        <f aca="false">IF($A399="","",SUMIFS(物件収支!$O:$O,物件収支!$A:$A,$A399,物件収支!$C:$C,$M399))</f>
        <v>15000</v>
      </c>
      <c r="R399" s="1" t="n">
        <f aca="false">IF($A399="","",IF(P399=0,"",O399-P399))</f>
        <v>53000</v>
      </c>
      <c r="S399" s="1" t="n">
        <f aca="false">IF($A399="","",IF(R399="","",R399+Q399))</f>
        <v>68000</v>
      </c>
      <c r="T399" s="1" t="n">
        <f aca="false">IF($A399="","",IF(OR(S399="",N399&lt;=0),"",S399/1000*12/N399))</f>
        <v>136</v>
      </c>
      <c r="U399" s="1" t="n">
        <f aca="false">IF($A399="","",IF(OR(T399="",J399=0,J399=""),"",T399/J399))</f>
        <v>0.031554524361949</v>
      </c>
      <c r="V399" s="1" t="n">
        <f aca="false">IF($A399="","",IF(OR(R399="",N399&lt;=0,J399=0,J399=""),"",(R399/1000*12/N399)/J399))</f>
        <v>0.0245939675174014</v>
      </c>
      <c r="W399" s="1" t="n">
        <f aca="false">IF($A399="","",IF(OR(T399="",K399=0,K399=""),"",T399/K399))</f>
        <v>0.0447368421052632</v>
      </c>
      <c r="X399" s="1" t="str">
        <f aca="false">IF($A399="","",IF(OR(N399&lt;=0,I399=0,I399="",O399=0),"",O399*1000/(I399*0.3025)/N399))</f>
        <v/>
      </c>
      <c r="Y399" s="1" t="n">
        <f aca="false">IF($A399="","",IF(OR(O399=0,O399="",P399=0),"",P399/O399))</f>
        <v>0.459183673469388</v>
      </c>
      <c r="Z399" s="1" t="str">
        <f aca="false">IF($A399="","",IFERROR(INDEX(物件収支!$E:$E,MATCH($A399,物件収支!$A:$A,0)),""))</f>
        <v>開示（物件別・費用内訳含む、百万円単位）</v>
      </c>
    </row>
    <row r="400" customFormat="false" ht="15" hidden="false" customHeight="true" outlineLevel="0" collapsed="false">
      <c r="A400" s="1" t="str">
        <f aca="false">IF(物件マスタ!A400="","",物件マスタ!A400)</f>
        <v>NUD-14</v>
      </c>
      <c r="B400" s="1" t="str">
        <f aca="false">IF($A400="","",物件マスタ!B400)</f>
        <v>NUD</v>
      </c>
      <c r="C400" s="1" t="str">
        <f aca="false">IF($A400="","",IFERROR(INDEX(法人マスタ!$C:$C,MATCH($B400,法人マスタ!$A:$A,0)),""))</f>
        <v>NTT都市開発リート投資法人</v>
      </c>
      <c r="D400" s="1" t="str">
        <f aca="false">IF($A400="","",物件マスタ!C400)</f>
        <v>上野ＴＨビル</v>
      </c>
      <c r="E400" s="1" t="str">
        <f aca="false">IF($A400="","",物件マスタ!H400)</f>
        <v>その他東京23区</v>
      </c>
      <c r="F400" s="1" t="n">
        <f aca="false">IF($A400="","",物件マスタ!P400)</f>
        <v>0</v>
      </c>
      <c r="G400" s="1" t="str">
        <f aca="false">IF($A400="","",物件マスタ!Q400)</f>
        <v/>
      </c>
      <c r="H400" s="1" t="n">
        <f aca="false">IF($A400="","",物件マスタ!L400)</f>
        <v>4799.97</v>
      </c>
      <c r="I400" s="1" t="n">
        <f aca="false">IF($A400="","",物件マスタ!M400)</f>
        <v>0</v>
      </c>
      <c r="J400" s="1" t="n">
        <f aca="false">IF($A400="","",物件マスタ!S400)</f>
        <v>4380</v>
      </c>
      <c r="K400" s="1" t="n">
        <f aca="false">IF($A400="","",物件マスタ!U400)</f>
        <v>3630</v>
      </c>
      <c r="L400" s="1" t="n">
        <f aca="false">IF($A400="","",物件マスタ!W400)</f>
        <v>1</v>
      </c>
      <c r="M400" s="1" t="str">
        <f aca="false">IF($A400="","",IFERROR(INDEX(法人マスタ!$H:$H,MATCH($B400,法人マスタ!$A:$A,0)),""))</f>
        <v>2026年4月期（第47期）</v>
      </c>
      <c r="N400" s="1" t="n">
        <f aca="false">IF($A400="","",SUMIFS(物件収支!$D:$D,物件収支!$A:$A,$A400,物件収支!$C:$C,$M400))</f>
        <v>6</v>
      </c>
      <c r="O400" s="1" t="n">
        <f aca="false">IF($A400="","",SUMIFS(物件収支!$F:$F,物件収支!$A:$A,$A400,物件収支!$C:$C,$M400))</f>
        <v>132000</v>
      </c>
      <c r="P400" s="1" t="n">
        <f aca="false">IF($A400="","",SUMIFS(物件収支!$I:$I,物件収支!$A:$A,$A400,物件収支!$C:$C,$M400))</f>
        <v>68000</v>
      </c>
      <c r="Q400" s="1" t="n">
        <f aca="false">IF($A400="","",SUMIFS(物件収支!$O:$O,物件収支!$A:$A,$A400,物件収支!$C:$C,$M400))</f>
        <v>16000</v>
      </c>
      <c r="R400" s="1" t="n">
        <f aca="false">IF($A400="","",IF(P400=0,"",O400-P400))</f>
        <v>64000</v>
      </c>
      <c r="S400" s="1" t="n">
        <f aca="false">IF($A400="","",IF(R400="","",R400+Q400))</f>
        <v>80000</v>
      </c>
      <c r="T400" s="1" t="n">
        <f aca="false">IF($A400="","",IF(OR(S400="",N400&lt;=0),"",S400/1000*12/N400))</f>
        <v>160</v>
      </c>
      <c r="U400" s="1" t="n">
        <f aca="false">IF($A400="","",IF(OR(T400="",J400=0,J400=""),"",T400/J400))</f>
        <v>0.0365296803652968</v>
      </c>
      <c r="V400" s="1" t="n">
        <f aca="false">IF($A400="","",IF(OR(R400="",N400&lt;=0,J400=0,J400=""),"",(R400/1000*12/N400)/J400))</f>
        <v>0.0292237442922374</v>
      </c>
      <c r="W400" s="1" t="n">
        <f aca="false">IF($A400="","",IF(OR(T400="",K400=0,K400=""),"",T400/K400))</f>
        <v>0.0440771349862259</v>
      </c>
      <c r="X400" s="1" t="str">
        <f aca="false">IF($A400="","",IF(OR(N400&lt;=0,I400=0,I400="",O400=0),"",O400*1000/(I400*0.3025)/N400))</f>
        <v/>
      </c>
      <c r="Y400" s="1" t="n">
        <f aca="false">IF($A400="","",IF(OR(O400=0,O400="",P400=0),"",P400/O400))</f>
        <v>0.515151515151515</v>
      </c>
      <c r="Z400" s="1" t="str">
        <f aca="false">IF($A400="","",IFERROR(INDEX(物件収支!$E:$E,MATCH($A400,物件収支!$A:$A,0)),""))</f>
        <v>開示（物件別・費用内訳含む、百万円単位）</v>
      </c>
    </row>
    <row r="401" customFormat="false" ht="15" hidden="false" customHeight="true" outlineLevel="0" collapsed="false">
      <c r="A401" s="1" t="str">
        <f aca="false">IF(物件マスタ!A401="","",物件マスタ!A401)</f>
        <v>NUD-15</v>
      </c>
      <c r="B401" s="1" t="str">
        <f aca="false">IF($A401="","",物件マスタ!B401)</f>
        <v>NUD</v>
      </c>
      <c r="C401" s="1" t="str">
        <f aca="false">IF($A401="","",IFERROR(INDEX(法人マスタ!$C:$C,MATCH($B401,法人マスタ!$A:$A,0)),""))</f>
        <v>NTT都市開発リート投資法人</v>
      </c>
      <c r="D401" s="1" t="str">
        <f aca="false">IF($A401="","",物件マスタ!C401)</f>
        <v>五反田ＮＴビル</v>
      </c>
      <c r="E401" s="1" t="str">
        <f aca="false">IF($A401="","",物件マスタ!H401)</f>
        <v>その他東京23区</v>
      </c>
      <c r="F401" s="1" t="n">
        <f aca="false">IF($A401="","",物件マスタ!P401)</f>
        <v>0</v>
      </c>
      <c r="G401" s="1" t="str">
        <f aca="false">IF($A401="","",物件マスタ!Q401)</f>
        <v/>
      </c>
      <c r="H401" s="1" t="n">
        <f aca="false">IF($A401="","",物件マスタ!L401)</f>
        <v>7545.8</v>
      </c>
      <c r="I401" s="1" t="n">
        <f aca="false">IF($A401="","",物件マスタ!M401)</f>
        <v>0</v>
      </c>
      <c r="J401" s="1" t="n">
        <f aca="false">IF($A401="","",物件マスタ!S401)</f>
        <v>4100</v>
      </c>
      <c r="K401" s="1" t="n">
        <f aca="false">IF($A401="","",物件マスタ!U401)</f>
        <v>3440</v>
      </c>
      <c r="L401" s="1" t="n">
        <f aca="false">IF($A401="","",物件マスタ!W401)</f>
        <v>1</v>
      </c>
      <c r="M401" s="1" t="str">
        <f aca="false">IF($A401="","",IFERROR(INDEX(法人マスタ!$H:$H,MATCH($B401,法人マスタ!$A:$A,0)),""))</f>
        <v>2026年4月期（第47期）</v>
      </c>
      <c r="N401" s="1" t="n">
        <f aca="false">IF($A401="","",SUMIFS(物件収支!$D:$D,物件収支!$A:$A,$A401,物件収支!$C:$C,$M401))</f>
        <v>6</v>
      </c>
      <c r="O401" s="1" t="n">
        <f aca="false">IF($A401="","",SUMIFS(物件収支!$F:$F,物件収支!$A:$A,$A401,物件収支!$C:$C,$M401))</f>
        <v>107000</v>
      </c>
      <c r="P401" s="1" t="n">
        <f aca="false">IF($A401="","",SUMIFS(物件収支!$I:$I,物件収支!$A:$A,$A401,物件収支!$C:$C,$M401))</f>
        <v>51000</v>
      </c>
      <c r="Q401" s="1" t="n">
        <f aca="false">IF($A401="","",SUMIFS(物件収支!$O:$O,物件収支!$A:$A,$A401,物件収支!$C:$C,$M401))</f>
        <v>14000</v>
      </c>
      <c r="R401" s="1" t="n">
        <f aca="false">IF($A401="","",IF(P401=0,"",O401-P401))</f>
        <v>56000</v>
      </c>
      <c r="S401" s="1" t="n">
        <f aca="false">IF($A401="","",IF(R401="","",R401+Q401))</f>
        <v>70000</v>
      </c>
      <c r="T401" s="1" t="n">
        <f aca="false">IF($A401="","",IF(OR(S401="",N401&lt;=0),"",S401/1000*12/N401))</f>
        <v>140</v>
      </c>
      <c r="U401" s="1" t="n">
        <f aca="false">IF($A401="","",IF(OR(T401="",J401=0,J401=""),"",T401/J401))</f>
        <v>0.0341463414634146</v>
      </c>
      <c r="V401" s="1" t="n">
        <f aca="false">IF($A401="","",IF(OR(R401="",N401&lt;=0,J401=0,J401=""),"",(R401/1000*12/N401)/J401))</f>
        <v>0.0273170731707317</v>
      </c>
      <c r="W401" s="1" t="n">
        <f aca="false">IF($A401="","",IF(OR(T401="",K401=0,K401=""),"",T401/K401))</f>
        <v>0.0406976744186047</v>
      </c>
      <c r="X401" s="1" t="str">
        <f aca="false">IF($A401="","",IF(OR(N401&lt;=0,I401=0,I401="",O401=0),"",O401*1000/(I401*0.3025)/N401))</f>
        <v/>
      </c>
      <c r="Y401" s="1" t="n">
        <f aca="false">IF($A401="","",IF(OR(O401=0,O401="",P401=0),"",P401/O401))</f>
        <v>0.476635514018692</v>
      </c>
      <c r="Z401" s="1" t="str">
        <f aca="false">IF($A401="","",IFERROR(INDEX(物件収支!$E:$E,MATCH($A401,物件収支!$A:$A,0)),""))</f>
        <v>開示（物件別・費用内訳含む、百万円単位）</v>
      </c>
    </row>
    <row r="402" customFormat="false" ht="15" hidden="false" customHeight="true" outlineLevel="0" collapsed="false">
      <c r="A402" s="1" t="str">
        <f aca="false">IF(物件マスタ!A402="","",物件マスタ!A402)</f>
        <v>NUD-16</v>
      </c>
      <c r="B402" s="1" t="str">
        <f aca="false">IF($A402="","",物件マスタ!B402)</f>
        <v>NUD</v>
      </c>
      <c r="C402" s="1" t="str">
        <f aca="false">IF($A402="","",IFERROR(INDEX(法人マスタ!$C:$C,MATCH($B402,法人マスタ!$A:$A,0)),""))</f>
        <v>NTT都市開発リート投資法人</v>
      </c>
      <c r="D402" s="1" t="str">
        <f aca="false">IF($A402="","",物件マスタ!C402)</f>
        <v>上野トーセイビル</v>
      </c>
      <c r="E402" s="1" t="str">
        <f aca="false">IF($A402="","",物件マスタ!H402)</f>
        <v>その他東京23区</v>
      </c>
      <c r="F402" s="1" t="n">
        <f aca="false">IF($A402="","",物件マスタ!P402)</f>
        <v>0</v>
      </c>
      <c r="G402" s="1" t="str">
        <f aca="false">IF($A402="","",物件マスタ!Q402)</f>
        <v/>
      </c>
      <c r="H402" s="1" t="n">
        <f aca="false">IF($A402="","",物件マスタ!L402)</f>
        <v>6868.83</v>
      </c>
      <c r="I402" s="1" t="n">
        <f aca="false">IF($A402="","",物件マスタ!M402)</f>
        <v>0</v>
      </c>
      <c r="J402" s="1" t="n">
        <f aca="false">IF($A402="","",物件マスタ!S402)</f>
        <v>5900</v>
      </c>
      <c r="K402" s="1" t="n">
        <f aca="false">IF($A402="","",物件マスタ!U402)</f>
        <v>8070</v>
      </c>
      <c r="L402" s="1" t="n">
        <f aca="false">IF($A402="","",物件マスタ!W402)</f>
        <v>1</v>
      </c>
      <c r="M402" s="1" t="str">
        <f aca="false">IF($A402="","",IFERROR(INDEX(法人マスタ!$H:$H,MATCH($B402,法人マスタ!$A:$A,0)),""))</f>
        <v>2026年4月期（第47期）</v>
      </c>
      <c r="N402" s="1" t="n">
        <f aca="false">IF($A402="","",SUMIFS(物件収支!$D:$D,物件収支!$A:$A,$A402,物件収支!$C:$C,$M402))</f>
        <v>6</v>
      </c>
      <c r="O402" s="1" t="n">
        <f aca="false">IF($A402="","",SUMIFS(物件収支!$F:$F,物件収支!$A:$A,$A402,物件収支!$C:$C,$M402))</f>
        <v>216000</v>
      </c>
      <c r="P402" s="1" t="n">
        <f aca="false">IF($A402="","",SUMIFS(物件収支!$I:$I,物件収支!$A:$A,$A402,物件収支!$C:$C,$M402))</f>
        <v>67000</v>
      </c>
      <c r="Q402" s="1" t="n">
        <f aca="false">IF($A402="","",SUMIFS(物件収支!$O:$O,物件収支!$A:$A,$A402,物件収支!$C:$C,$M402))</f>
        <v>22000</v>
      </c>
      <c r="R402" s="1" t="n">
        <f aca="false">IF($A402="","",IF(P402=0,"",O402-P402))</f>
        <v>149000</v>
      </c>
      <c r="S402" s="1" t="n">
        <f aca="false">IF($A402="","",IF(R402="","",R402+Q402))</f>
        <v>171000</v>
      </c>
      <c r="T402" s="1" t="n">
        <f aca="false">IF($A402="","",IF(OR(S402="",N402&lt;=0),"",S402/1000*12/N402))</f>
        <v>342</v>
      </c>
      <c r="U402" s="1" t="n">
        <f aca="false">IF($A402="","",IF(OR(T402="",J402=0,J402=""),"",T402/J402))</f>
        <v>0.0579661016949153</v>
      </c>
      <c r="V402" s="1" t="n">
        <f aca="false">IF($A402="","",IF(OR(R402="",N402&lt;=0,J402=0,J402=""),"",(R402/1000*12/N402)/J402))</f>
        <v>0.0505084745762712</v>
      </c>
      <c r="W402" s="1" t="n">
        <f aca="false">IF($A402="","",IF(OR(T402="",K402=0,K402=""),"",T402/K402))</f>
        <v>0.0423791821561338</v>
      </c>
      <c r="X402" s="1" t="str">
        <f aca="false">IF($A402="","",IF(OR(N402&lt;=0,I402=0,I402="",O402=0),"",O402*1000/(I402*0.3025)/N402))</f>
        <v/>
      </c>
      <c r="Y402" s="1" t="n">
        <f aca="false">IF($A402="","",IF(OR(O402=0,O402="",P402=0),"",P402/O402))</f>
        <v>0.310185185185185</v>
      </c>
      <c r="Z402" s="1" t="str">
        <f aca="false">IF($A402="","",IFERROR(INDEX(物件収支!$E:$E,MATCH($A402,物件収支!$A:$A,0)),""))</f>
        <v>開示（物件別・費用内訳含む、百万円単位）</v>
      </c>
    </row>
    <row r="403" customFormat="false" ht="15" hidden="false" customHeight="true" outlineLevel="0" collapsed="false">
      <c r="A403" s="1" t="str">
        <f aca="false">IF(物件マスタ!A403="","",物件マスタ!A403)</f>
        <v>NUD-17</v>
      </c>
      <c r="B403" s="1" t="str">
        <f aca="false">IF($A403="","",物件マスタ!B403)</f>
        <v>NUD</v>
      </c>
      <c r="C403" s="1" t="str">
        <f aca="false">IF($A403="","",IFERROR(INDEX(法人マスタ!$C:$C,MATCH($B403,法人マスタ!$A:$A,0)),""))</f>
        <v>NTT都市開発リート投資法人</v>
      </c>
      <c r="D403" s="1" t="str">
        <f aca="false">IF($A403="","",物件マスタ!C403)</f>
        <v>アーバンネット池袋ビル</v>
      </c>
      <c r="E403" s="1" t="str">
        <f aca="false">IF($A403="","",物件マスタ!H403)</f>
        <v>その他東京23区</v>
      </c>
      <c r="F403" s="1" t="n">
        <f aca="false">IF($A403="","",物件マスタ!P403)</f>
        <v>0</v>
      </c>
      <c r="G403" s="1" t="str">
        <f aca="false">IF($A403="","",物件マスタ!Q403)</f>
        <v/>
      </c>
      <c r="H403" s="1" t="n">
        <f aca="false">IF($A403="","",物件マスタ!L403)</f>
        <v>25050.26</v>
      </c>
      <c r="I403" s="1" t="n">
        <f aca="false">IF($A403="","",物件マスタ!M403)</f>
        <v>0</v>
      </c>
      <c r="J403" s="1" t="n">
        <f aca="false">IF($A403="","",物件マスタ!S403)</f>
        <v>13600</v>
      </c>
      <c r="K403" s="1" t="n">
        <f aca="false">IF($A403="","",物件マスタ!U403)</f>
        <v>23300</v>
      </c>
      <c r="L403" s="1" t="n">
        <f aca="false">IF($A403="","",物件マスタ!W403)</f>
        <v>1</v>
      </c>
      <c r="M403" s="1" t="str">
        <f aca="false">IF($A403="","",IFERROR(INDEX(法人マスタ!$H:$H,MATCH($B403,法人マスタ!$A:$A,0)),""))</f>
        <v>2026年4月期（第47期）</v>
      </c>
      <c r="N403" s="1" t="n">
        <f aca="false">IF($A403="","",SUMIFS(物件収支!$D:$D,物件収支!$A:$A,$A403,物件収支!$C:$C,$M403))</f>
        <v>6</v>
      </c>
      <c r="O403" s="1" t="n">
        <f aca="false">IF($A403="","",SUMIFS(物件収支!$F:$F,物件収支!$A:$A,$A403,物件収支!$C:$C,$M403))</f>
        <v>763000</v>
      </c>
      <c r="P403" s="1" t="n">
        <f aca="false">IF($A403="","",SUMIFS(物件収支!$I:$I,物件収支!$A:$A,$A403,物件収支!$C:$C,$M403))</f>
        <v>369000</v>
      </c>
      <c r="Q403" s="1" t="n">
        <f aca="false">IF($A403="","",SUMIFS(物件収支!$O:$O,物件収支!$A:$A,$A403,物件収支!$C:$C,$M403))</f>
        <v>170000</v>
      </c>
      <c r="R403" s="1" t="n">
        <f aca="false">IF($A403="","",IF(P403=0,"",O403-P403))</f>
        <v>394000</v>
      </c>
      <c r="S403" s="1" t="n">
        <f aca="false">IF($A403="","",IF(R403="","",R403+Q403))</f>
        <v>564000</v>
      </c>
      <c r="T403" s="1" t="n">
        <f aca="false">IF($A403="","",IF(OR(S403="",N403&lt;=0),"",S403/1000*12/N403))</f>
        <v>1128</v>
      </c>
      <c r="U403" s="1" t="n">
        <f aca="false">IF($A403="","",IF(OR(T403="",J403=0,J403=""),"",T403/J403))</f>
        <v>0.0829411764705882</v>
      </c>
      <c r="V403" s="1" t="n">
        <f aca="false">IF($A403="","",IF(OR(R403="",N403&lt;=0,J403=0,J403=""),"",(R403/1000*12/N403)/J403))</f>
        <v>0.0579411764705882</v>
      </c>
      <c r="W403" s="1" t="n">
        <f aca="false">IF($A403="","",IF(OR(T403="",K403=0,K403=""),"",T403/K403))</f>
        <v>0.048412017167382</v>
      </c>
      <c r="X403" s="1" t="str">
        <f aca="false">IF($A403="","",IF(OR(N403&lt;=0,I403=0,I403="",O403=0),"",O403*1000/(I403*0.3025)/N403))</f>
        <v/>
      </c>
      <c r="Y403" s="1" t="n">
        <f aca="false">IF($A403="","",IF(OR(O403=0,O403="",P403=0),"",P403/O403))</f>
        <v>0.483617300131062</v>
      </c>
      <c r="Z403" s="1" t="str">
        <f aca="false">IF($A403="","",IFERROR(INDEX(物件収支!$E:$E,MATCH($A403,物件収支!$A:$A,0)),""))</f>
        <v>開示（物件別・費用内訳含む、百万円単位）</v>
      </c>
    </row>
    <row r="404" customFormat="false" ht="15" hidden="false" customHeight="true" outlineLevel="0" collapsed="false">
      <c r="A404" s="1" t="str">
        <f aca="false">IF(物件マスタ!A404="","",物件マスタ!A404)</f>
        <v>NUD-18</v>
      </c>
      <c r="B404" s="1" t="str">
        <f aca="false">IF($A404="","",物件マスタ!B404)</f>
        <v>NUD</v>
      </c>
      <c r="C404" s="1" t="str">
        <f aca="false">IF($A404="","",IFERROR(INDEX(法人マスタ!$C:$C,MATCH($B404,法人マスタ!$A:$A,0)),""))</f>
        <v>NTT都市開発リート投資法人</v>
      </c>
      <c r="D404" s="1" t="str">
        <f aca="false">IF($A404="","",物件マスタ!C404)</f>
        <v>アーバンネット大森ビル</v>
      </c>
      <c r="E404" s="1" t="str">
        <f aca="false">IF($A404="","",物件マスタ!H404)</f>
        <v>その他東京23区</v>
      </c>
      <c r="F404" s="1" t="n">
        <f aca="false">IF($A404="","",物件マスタ!P404)</f>
        <v>0</v>
      </c>
      <c r="G404" s="1" t="str">
        <f aca="false">IF($A404="","",物件マスタ!Q404)</f>
        <v/>
      </c>
      <c r="H404" s="1" t="n">
        <f aca="false">IF($A404="","",物件マスタ!L404)</f>
        <v>11937.25</v>
      </c>
      <c r="I404" s="1" t="n">
        <f aca="false">IF($A404="","",物件マスタ!M404)</f>
        <v>0</v>
      </c>
      <c r="J404" s="1" t="n">
        <f aca="false">IF($A404="","",物件マスタ!S404)</f>
        <v>4800</v>
      </c>
      <c r="K404" s="1" t="n">
        <f aca="false">IF($A404="","",物件マスタ!U404)</f>
        <v>6800</v>
      </c>
      <c r="L404" s="1" t="n">
        <f aca="false">IF($A404="","",物件マスタ!W404)</f>
        <v>1</v>
      </c>
      <c r="M404" s="1" t="str">
        <f aca="false">IF($A404="","",IFERROR(INDEX(法人マスタ!$H:$H,MATCH($B404,法人マスタ!$A:$A,0)),""))</f>
        <v>2026年4月期（第47期）</v>
      </c>
      <c r="N404" s="1" t="n">
        <f aca="false">IF($A404="","",SUMIFS(物件収支!$D:$D,物件収支!$A:$A,$A404,物件収支!$C:$C,$M404))</f>
        <v>6</v>
      </c>
      <c r="O404" s="1" t="n">
        <f aca="false">IF($A404="","",SUMIFS(物件収支!$F:$F,物件収支!$A:$A,$A404,物件収支!$C:$C,$M404))</f>
        <v>250000</v>
      </c>
      <c r="P404" s="1" t="n">
        <f aca="false">IF($A404="","",SUMIFS(物件収支!$I:$I,物件収支!$A:$A,$A404,物件収支!$C:$C,$M404))</f>
        <v>121000</v>
      </c>
      <c r="Q404" s="1" t="n">
        <f aca="false">IF($A404="","",SUMIFS(物件収支!$O:$O,物件収支!$A:$A,$A404,物件収支!$C:$C,$M404))</f>
        <v>51000</v>
      </c>
      <c r="R404" s="1" t="n">
        <f aca="false">IF($A404="","",IF(P404=0,"",O404-P404))</f>
        <v>129000</v>
      </c>
      <c r="S404" s="1" t="n">
        <f aca="false">IF($A404="","",IF(R404="","",R404+Q404))</f>
        <v>180000</v>
      </c>
      <c r="T404" s="1" t="n">
        <f aca="false">IF($A404="","",IF(OR(S404="",N404&lt;=0),"",S404/1000*12/N404))</f>
        <v>360</v>
      </c>
      <c r="U404" s="1" t="n">
        <f aca="false">IF($A404="","",IF(OR(T404="",J404=0,J404=""),"",T404/J404))</f>
        <v>0.075</v>
      </c>
      <c r="V404" s="1" t="n">
        <f aca="false">IF($A404="","",IF(OR(R404="",N404&lt;=0,J404=0,J404=""),"",(R404/1000*12/N404)/J404))</f>
        <v>0.05375</v>
      </c>
      <c r="W404" s="1" t="n">
        <f aca="false">IF($A404="","",IF(OR(T404="",K404=0,K404=""),"",T404/K404))</f>
        <v>0.0529411764705882</v>
      </c>
      <c r="X404" s="1" t="str">
        <f aca="false">IF($A404="","",IF(OR(N404&lt;=0,I404=0,I404="",O404=0),"",O404*1000/(I404*0.3025)/N404))</f>
        <v/>
      </c>
      <c r="Y404" s="1" t="n">
        <f aca="false">IF($A404="","",IF(OR(O404=0,O404="",P404=0),"",P404/O404))</f>
        <v>0.484</v>
      </c>
      <c r="Z404" s="1" t="str">
        <f aca="false">IF($A404="","",IFERROR(INDEX(物件収支!$E:$E,MATCH($A404,物件収支!$A:$A,0)),""))</f>
        <v>開示（物件別・費用内訳含む、百万円単位）</v>
      </c>
    </row>
    <row r="405" customFormat="false" ht="15" hidden="false" customHeight="true" outlineLevel="0" collapsed="false">
      <c r="A405" s="1" t="str">
        <f aca="false">IF(物件マスタ!A405="","",物件マスタ!A405)</f>
        <v>NUD-19</v>
      </c>
      <c r="B405" s="1" t="str">
        <f aca="false">IF($A405="","",物件マスタ!B405)</f>
        <v>NUD</v>
      </c>
      <c r="C405" s="1" t="str">
        <f aca="false">IF($A405="","",IFERROR(INDEX(法人マスタ!$C:$C,MATCH($B405,法人マスタ!$A:$A,0)),""))</f>
        <v>NTT都市開発リート投資法人</v>
      </c>
      <c r="D405" s="1" t="str">
        <f aca="false">IF($A405="","",物件マスタ!C405)</f>
        <v>アーバンネット五反田ＮＮビル</v>
      </c>
      <c r="E405" s="1" t="str">
        <f aca="false">IF($A405="","",物件マスタ!H405)</f>
        <v>その他東京23区</v>
      </c>
      <c r="F405" s="1" t="n">
        <f aca="false">IF($A405="","",物件マスタ!P405)</f>
        <v>0</v>
      </c>
      <c r="G405" s="1" t="str">
        <f aca="false">IF($A405="","",物件マスタ!Q405)</f>
        <v/>
      </c>
      <c r="H405" s="1" t="n">
        <f aca="false">IF($A405="","",物件マスタ!L405)</f>
        <v>9445.54</v>
      </c>
      <c r="I405" s="1" t="n">
        <f aca="false">IF($A405="","",物件マスタ!M405)</f>
        <v>0</v>
      </c>
      <c r="J405" s="1" t="n">
        <f aca="false">IF($A405="","",物件マスタ!S405)</f>
        <v>5250</v>
      </c>
      <c r="K405" s="1" t="n">
        <f aca="false">IF($A405="","",物件マスタ!U405)</f>
        <v>6670</v>
      </c>
      <c r="L405" s="1" t="n">
        <f aca="false">IF($A405="","",物件マスタ!W405)</f>
        <v>1</v>
      </c>
      <c r="M405" s="1" t="str">
        <f aca="false">IF($A405="","",IFERROR(INDEX(法人マスタ!$H:$H,MATCH($B405,法人マスタ!$A:$A,0)),""))</f>
        <v>2026年4月期（第47期）</v>
      </c>
      <c r="N405" s="1" t="n">
        <f aca="false">IF($A405="","",SUMIFS(物件収支!$D:$D,物件収支!$A:$A,$A405,物件収支!$C:$C,$M405))</f>
        <v>6</v>
      </c>
      <c r="O405" s="1" t="n">
        <f aca="false">IF($A405="","",SUMIFS(物件収支!$F:$F,物件収支!$A:$A,$A405,物件収支!$C:$C,$M405))</f>
        <v>208000</v>
      </c>
      <c r="P405" s="1" t="n">
        <f aca="false">IF($A405="","",SUMIFS(物件収支!$I:$I,物件収支!$A:$A,$A405,物件収支!$C:$C,$M405))</f>
        <v>106000</v>
      </c>
      <c r="Q405" s="1" t="n">
        <f aca="false">IF($A405="","",SUMIFS(物件収支!$O:$O,物件収支!$A:$A,$A405,物件収支!$C:$C,$M405))</f>
        <v>37000</v>
      </c>
      <c r="R405" s="1" t="n">
        <f aca="false">IF($A405="","",IF(P405=0,"",O405-P405))</f>
        <v>102000</v>
      </c>
      <c r="S405" s="1" t="n">
        <f aca="false">IF($A405="","",IF(R405="","",R405+Q405))</f>
        <v>139000</v>
      </c>
      <c r="T405" s="1" t="n">
        <f aca="false">IF($A405="","",IF(OR(S405="",N405&lt;=0),"",S405/1000*12/N405))</f>
        <v>278</v>
      </c>
      <c r="U405" s="1" t="n">
        <f aca="false">IF($A405="","",IF(OR(T405="",J405=0,J405=""),"",T405/J405))</f>
        <v>0.052952380952381</v>
      </c>
      <c r="V405" s="1" t="n">
        <f aca="false">IF($A405="","",IF(OR(R405="",N405&lt;=0,J405=0,J405=""),"",(R405/1000*12/N405)/J405))</f>
        <v>0.0388571428571429</v>
      </c>
      <c r="W405" s="1" t="n">
        <f aca="false">IF($A405="","",IF(OR(T405="",K405=0,K405=""),"",T405/K405))</f>
        <v>0.0416791604197901</v>
      </c>
      <c r="X405" s="1" t="str">
        <f aca="false">IF($A405="","",IF(OR(N405&lt;=0,I405=0,I405="",O405=0),"",O405*1000/(I405*0.3025)/N405))</f>
        <v/>
      </c>
      <c r="Y405" s="1" t="n">
        <f aca="false">IF($A405="","",IF(OR(O405=0,O405="",P405=0),"",P405/O405))</f>
        <v>0.509615384615385</v>
      </c>
      <c r="Z405" s="1" t="str">
        <f aca="false">IF($A405="","",IFERROR(INDEX(物件収支!$E:$E,MATCH($A405,物件収支!$A:$A,0)),""))</f>
        <v>開示（物件別・費用内訳含む、百万円単位）</v>
      </c>
    </row>
    <row r="406" customFormat="false" ht="15" hidden="false" customHeight="true" outlineLevel="0" collapsed="false">
      <c r="A406" s="1" t="str">
        <f aca="false">IF(物件マスタ!A406="","",物件マスタ!A406)</f>
        <v>NUD-20</v>
      </c>
      <c r="B406" s="1" t="str">
        <f aca="false">IF($A406="","",物件マスタ!B406)</f>
        <v>NUD</v>
      </c>
      <c r="C406" s="1" t="str">
        <f aca="false">IF($A406="","",IFERROR(INDEX(法人マスタ!$C:$C,MATCH($B406,法人マスタ!$A:$A,0)),""))</f>
        <v>NTT都市開発リート投資法人</v>
      </c>
      <c r="D406" s="1" t="str">
        <f aca="false">IF($A406="","",物件マスタ!C406)</f>
        <v>アーバンネット中野ビル</v>
      </c>
      <c r="E406" s="1" t="str">
        <f aca="false">IF($A406="","",物件マスタ!H406)</f>
        <v>その他東京23区</v>
      </c>
      <c r="F406" s="1" t="n">
        <f aca="false">IF($A406="","",物件マスタ!P406)</f>
        <v>0</v>
      </c>
      <c r="G406" s="1" t="str">
        <f aca="false">IF($A406="","",物件マスタ!Q406)</f>
        <v/>
      </c>
      <c r="H406" s="1" t="n">
        <f aca="false">IF($A406="","",物件マスタ!L406)</f>
        <v>9268.73</v>
      </c>
      <c r="I406" s="1" t="n">
        <f aca="false">IF($A406="","",物件マスタ!M406)</f>
        <v>0</v>
      </c>
      <c r="J406" s="1" t="n">
        <f aca="false">IF($A406="","",物件マスタ!S406)</f>
        <v>6400</v>
      </c>
      <c r="K406" s="1" t="n">
        <f aca="false">IF($A406="","",物件マスタ!U406)</f>
        <v>6960</v>
      </c>
      <c r="L406" s="1" t="n">
        <f aca="false">IF($A406="","",物件マスタ!W406)</f>
        <v>1</v>
      </c>
      <c r="M406" s="1" t="str">
        <f aca="false">IF($A406="","",IFERROR(INDEX(法人マスタ!$H:$H,MATCH($B406,法人マスタ!$A:$A,0)),""))</f>
        <v>2026年4月期（第47期）</v>
      </c>
      <c r="N406" s="1" t="n">
        <f aca="false">IF($A406="","",SUMIFS(物件収支!$D:$D,物件収支!$A:$A,$A406,物件収支!$C:$C,$M406))</f>
        <v>6</v>
      </c>
      <c r="O406" s="1" t="n">
        <f aca="false">IF($A406="","",SUMIFS(物件収支!$F:$F,物件収支!$A:$A,$A406,物件収支!$C:$C,$M406))</f>
        <v>0</v>
      </c>
      <c r="P406" s="1" t="n">
        <f aca="false">IF($A406="","",SUMIFS(物件収支!$I:$I,物件収支!$A:$A,$A406,物件収支!$C:$C,$M406))</f>
        <v>0</v>
      </c>
      <c r="Q406" s="1" t="n">
        <f aca="false">IF($A406="","",SUMIFS(物件収支!$O:$O,物件収支!$A:$A,$A406,物件収支!$C:$C,$M406))</f>
        <v>0</v>
      </c>
      <c r="R406" s="1" t="str">
        <f aca="false">IF($A406="","",IF(P406=0,"",O406-P406))</f>
        <v/>
      </c>
      <c r="S406" s="1" t="str">
        <f aca="false">IF($A406="","",IF(R406="","",R406+Q406))</f>
        <v/>
      </c>
      <c r="T406" s="1" t="str">
        <f aca="false">IF($A406="","",IF(OR(S406="",N406&lt;=0),"",S406/1000*12/N406))</f>
        <v/>
      </c>
      <c r="U406" s="1" t="str">
        <f aca="false">IF($A406="","",IF(OR(T406="",J406=0,J406=""),"",T406/J406))</f>
        <v/>
      </c>
      <c r="V406" s="1" t="str">
        <f aca="false">IF($A406="","",IF(OR(R406="",N406&lt;=0,J406=0,J406=""),"",(R406/1000*12/N406)/J406))</f>
        <v/>
      </c>
      <c r="W406" s="1" t="str">
        <f aca="false">IF($A406="","",IF(OR(T406="",K406=0,K406=""),"",T406/K406))</f>
        <v/>
      </c>
      <c r="X406" s="1" t="str">
        <f aca="false">IF($A406="","",IF(OR(N406&lt;=0,I406=0,I406="",O406=0),"",O406*1000/(I406*0.3025)/N406))</f>
        <v/>
      </c>
      <c r="Y406" s="1" t="str">
        <f aca="false">IF($A406="","",IF(OR(O406=0,O406="",P406=0),"",P406/O406))</f>
        <v/>
      </c>
      <c r="Z406" s="1" t="str">
        <f aca="false">IF($A406="","",IFERROR(INDEX(物件収支!$E:$E,MATCH($A406,物件収支!$A:$A,0)),""))</f>
        <v>非開示（テナント/共有者同意なし・損益とNOIのみ開示）</v>
      </c>
    </row>
    <row r="407" customFormat="false" ht="15" hidden="false" customHeight="true" outlineLevel="0" collapsed="false">
      <c r="A407" s="1" t="str">
        <f aca="false">IF(物件マスタ!A407="","",物件マスタ!A407)</f>
        <v>NUD-21</v>
      </c>
      <c r="B407" s="1" t="str">
        <f aca="false">IF($A407="","",物件マスタ!B407)</f>
        <v>NUD</v>
      </c>
      <c r="C407" s="1" t="str">
        <f aca="false">IF($A407="","",IFERROR(INDEX(法人マスタ!$C:$C,MATCH($B407,法人マスタ!$A:$A,0)),""))</f>
        <v>NTT都市開発リート投資法人</v>
      </c>
      <c r="D407" s="1" t="str">
        <f aca="false">IF($A407="","",物件マスタ!C407)</f>
        <v>プレミア横浜西口ビル</v>
      </c>
      <c r="E407" s="1" t="str">
        <f aca="false">IF($A407="","",物件マスタ!H407)</f>
        <v>東京周辺都市部</v>
      </c>
      <c r="F407" s="1" t="n">
        <f aca="false">IF($A407="","",物件マスタ!P407)</f>
        <v>0</v>
      </c>
      <c r="G407" s="1" t="str">
        <f aca="false">IF($A407="","",物件マスタ!Q407)</f>
        <v/>
      </c>
      <c r="H407" s="1" t="n">
        <f aca="false">IF($A407="","",物件マスタ!L407)</f>
        <v>7562.9</v>
      </c>
      <c r="I407" s="1" t="n">
        <f aca="false">IF($A407="","",物件マスタ!M407)</f>
        <v>0</v>
      </c>
      <c r="J407" s="1" t="n">
        <f aca="false">IF($A407="","",物件マスタ!S407)</f>
        <v>3558</v>
      </c>
      <c r="K407" s="1" t="n">
        <f aca="false">IF($A407="","",物件マスタ!U407)</f>
        <v>5040</v>
      </c>
      <c r="L407" s="1" t="n">
        <f aca="false">IF($A407="","",物件マスタ!W407)</f>
        <v>1</v>
      </c>
      <c r="M407" s="1" t="str">
        <f aca="false">IF($A407="","",IFERROR(INDEX(法人マスタ!$H:$H,MATCH($B407,法人マスタ!$A:$A,0)),""))</f>
        <v>2026年4月期（第47期）</v>
      </c>
      <c r="N407" s="1" t="n">
        <f aca="false">IF($A407="","",SUMIFS(物件収支!$D:$D,物件収支!$A:$A,$A407,物件収支!$C:$C,$M407))</f>
        <v>6</v>
      </c>
      <c r="O407" s="1" t="n">
        <f aca="false">IF($A407="","",SUMIFS(物件収支!$F:$F,物件収支!$A:$A,$A407,物件収支!$C:$C,$M407))</f>
        <v>159000</v>
      </c>
      <c r="P407" s="1" t="n">
        <f aca="false">IF($A407="","",SUMIFS(物件収支!$I:$I,物件収支!$A:$A,$A407,物件収支!$C:$C,$M407))</f>
        <v>76000</v>
      </c>
      <c r="Q407" s="1" t="n">
        <f aca="false">IF($A407="","",SUMIFS(物件収支!$O:$O,物件収支!$A:$A,$A407,物件収支!$C:$C,$M407))</f>
        <v>36000</v>
      </c>
      <c r="R407" s="1" t="n">
        <f aca="false">IF($A407="","",IF(P407=0,"",O407-P407))</f>
        <v>83000</v>
      </c>
      <c r="S407" s="1" t="n">
        <f aca="false">IF($A407="","",IF(R407="","",R407+Q407))</f>
        <v>119000</v>
      </c>
      <c r="T407" s="1" t="n">
        <f aca="false">IF($A407="","",IF(OR(S407="",N407&lt;=0),"",S407/1000*12/N407))</f>
        <v>238</v>
      </c>
      <c r="U407" s="1" t="n">
        <f aca="false">IF($A407="","",IF(OR(T407="",J407=0,J407=""),"",T407/J407))</f>
        <v>0.0668915120854413</v>
      </c>
      <c r="V407" s="1" t="n">
        <f aca="false">IF($A407="","",IF(OR(R407="",N407&lt;=0,J407=0,J407=""),"",(R407/1000*12/N407)/J407))</f>
        <v>0.0466554243957279</v>
      </c>
      <c r="W407" s="1" t="n">
        <f aca="false">IF($A407="","",IF(OR(T407="",K407=0,K407=""),"",T407/K407))</f>
        <v>0.0472222222222222</v>
      </c>
      <c r="X407" s="1" t="str">
        <f aca="false">IF($A407="","",IF(OR(N407&lt;=0,I407=0,I407="",O407=0),"",O407*1000/(I407*0.3025)/N407))</f>
        <v/>
      </c>
      <c r="Y407" s="1" t="n">
        <f aca="false">IF($A407="","",IF(OR(O407=0,O407="",P407=0),"",P407/O407))</f>
        <v>0.477987421383648</v>
      </c>
      <c r="Z407" s="1" t="str">
        <f aca="false">IF($A407="","",IFERROR(INDEX(物件収支!$E:$E,MATCH($A407,物件収支!$A:$A,0)),""))</f>
        <v>開示（物件別・費用内訳含む、百万円単位）</v>
      </c>
    </row>
    <row r="408" customFormat="false" ht="15" hidden="false" customHeight="true" outlineLevel="0" collapsed="false">
      <c r="A408" s="1" t="str">
        <f aca="false">IF(物件マスタ!A408="","",物件マスタ!A408)</f>
        <v>NUD-22</v>
      </c>
      <c r="B408" s="1" t="str">
        <f aca="false">IF($A408="","",物件マスタ!B408)</f>
        <v>NUD</v>
      </c>
      <c r="C408" s="1" t="str">
        <f aca="false">IF($A408="","",IFERROR(INDEX(法人マスタ!$C:$C,MATCH($B408,法人マスタ!$A:$A,0)),""))</f>
        <v>NTT都市開発リート投資法人</v>
      </c>
      <c r="D408" s="1" t="str">
        <f aca="false">IF($A408="","",物件マスタ!C408)</f>
        <v>アーバンネット静岡追手町ビル</v>
      </c>
      <c r="E408" s="1" t="str">
        <f aca="false">IF($A408="","",物件マスタ!H408)</f>
        <v>3大都市圏以外の政令市</v>
      </c>
      <c r="F408" s="1" t="n">
        <f aca="false">IF($A408="","",物件マスタ!P408)</f>
        <v>0</v>
      </c>
      <c r="G408" s="1" t="str">
        <f aca="false">IF($A408="","",物件マスタ!Q408)</f>
        <v/>
      </c>
      <c r="H408" s="1" t="n">
        <f aca="false">IF($A408="","",物件マスタ!L408)</f>
        <v>13817.14</v>
      </c>
      <c r="I408" s="1" t="n">
        <f aca="false">IF($A408="","",物件マスタ!M408)</f>
        <v>0</v>
      </c>
      <c r="J408" s="1" t="n">
        <f aca="false">IF($A408="","",物件マスタ!S408)</f>
        <v>1628</v>
      </c>
      <c r="K408" s="1" t="n">
        <f aca="false">IF($A408="","",物件マスタ!U408)</f>
        <v>1792</v>
      </c>
      <c r="L408" s="1" t="n">
        <f aca="false">IF($A408="","",物件マスタ!W408)</f>
        <v>0.975</v>
      </c>
      <c r="M408" s="1" t="str">
        <f aca="false">IF($A408="","",IFERROR(INDEX(法人マスタ!$H:$H,MATCH($B408,法人マスタ!$A:$A,0)),""))</f>
        <v>2026年4月期（第47期）</v>
      </c>
      <c r="N408" s="1" t="n">
        <f aca="false">IF($A408="","",SUMIFS(物件収支!$D:$D,物件収支!$A:$A,$A408,物件収支!$C:$C,$M408))</f>
        <v>6</v>
      </c>
      <c r="O408" s="1" t="n">
        <f aca="false">IF($A408="","",SUMIFS(物件収支!$F:$F,物件収支!$A:$A,$A408,物件収支!$C:$C,$M408))</f>
        <v>107000</v>
      </c>
      <c r="P408" s="1" t="n">
        <f aca="false">IF($A408="","",SUMIFS(物件収支!$I:$I,物件収支!$A:$A,$A408,物件収支!$C:$C,$M408))</f>
        <v>52000</v>
      </c>
      <c r="Q408" s="1" t="n">
        <f aca="false">IF($A408="","",SUMIFS(物件収支!$O:$O,物件収支!$A:$A,$A408,物件収支!$C:$C,$M408))</f>
        <v>19000</v>
      </c>
      <c r="R408" s="1" t="n">
        <f aca="false">IF($A408="","",IF(P408=0,"",O408-P408))</f>
        <v>55000</v>
      </c>
      <c r="S408" s="1" t="n">
        <f aca="false">IF($A408="","",IF(R408="","",R408+Q408))</f>
        <v>74000</v>
      </c>
      <c r="T408" s="1" t="n">
        <f aca="false">IF($A408="","",IF(OR(S408="",N408&lt;=0),"",S408/1000*12/N408))</f>
        <v>148</v>
      </c>
      <c r="U408" s="1" t="n">
        <f aca="false">IF($A408="","",IF(OR(T408="",J408=0,J408=""),"",T408/J408))</f>
        <v>0.0909090909090909</v>
      </c>
      <c r="V408" s="1" t="n">
        <f aca="false">IF($A408="","",IF(OR(R408="",N408&lt;=0,J408=0,J408=""),"",(R408/1000*12/N408)/J408))</f>
        <v>0.0675675675675676</v>
      </c>
      <c r="W408" s="1" t="n">
        <f aca="false">IF($A408="","",IF(OR(T408="",K408=0,K408=""),"",T408/K408))</f>
        <v>0.0825892857142857</v>
      </c>
      <c r="X408" s="1" t="str">
        <f aca="false">IF($A408="","",IF(OR(N408&lt;=0,I408=0,I408="",O408=0),"",O408*1000/(I408*0.3025)/N408))</f>
        <v/>
      </c>
      <c r="Y408" s="1" t="n">
        <f aca="false">IF($A408="","",IF(OR(O408=0,O408="",P408=0),"",P408/O408))</f>
        <v>0.485981308411215</v>
      </c>
      <c r="Z408" s="1" t="str">
        <f aca="false">IF($A408="","",IFERROR(INDEX(物件収支!$E:$E,MATCH($A408,物件収支!$A:$A,0)),""))</f>
        <v>開示（物件別・費用内訳含む、百万円単位）</v>
      </c>
    </row>
    <row r="409" customFormat="false" ht="15" hidden="false" customHeight="true" outlineLevel="0" collapsed="false">
      <c r="A409" s="1" t="str">
        <f aca="false">IF(物件マスタ!A409="","",物件マスタ!A409)</f>
        <v>NUD-23</v>
      </c>
      <c r="B409" s="1" t="str">
        <f aca="false">IF($A409="","",物件マスタ!B409)</f>
        <v>NUD</v>
      </c>
      <c r="C409" s="1" t="str">
        <f aca="false">IF($A409="","",IFERROR(INDEX(法人マスタ!$C:$C,MATCH($B409,法人マスタ!$A:$A,0)),""))</f>
        <v>NTT都市開発リート投資法人</v>
      </c>
      <c r="D409" s="1" t="str">
        <f aca="false">IF($A409="","",物件マスタ!C409)</f>
        <v>アーバンネット静岡ビル</v>
      </c>
      <c r="E409" s="1" t="str">
        <f aca="false">IF($A409="","",物件マスタ!H409)</f>
        <v>3大都市圏以外の政令市</v>
      </c>
      <c r="F409" s="1" t="n">
        <f aca="false">IF($A409="","",物件マスタ!P409)</f>
        <v>0</v>
      </c>
      <c r="G409" s="1" t="str">
        <f aca="false">IF($A409="","",物件マスタ!Q409)</f>
        <v/>
      </c>
      <c r="H409" s="1" t="n">
        <f aca="false">IF($A409="","",物件マスタ!L409)</f>
        <v>8997.03</v>
      </c>
      <c r="I409" s="1" t="n">
        <f aca="false">IF($A409="","",物件マスタ!M409)</f>
        <v>0</v>
      </c>
      <c r="J409" s="1" t="n">
        <f aca="false">IF($A409="","",物件マスタ!S409)</f>
        <v>1119</v>
      </c>
      <c r="K409" s="1" t="n">
        <f aca="false">IF($A409="","",物件マスタ!U409)</f>
        <v>1228</v>
      </c>
      <c r="L409" s="1" t="n">
        <f aca="false">IF($A409="","",物件マスタ!W409)</f>
        <v>1</v>
      </c>
      <c r="M409" s="1" t="str">
        <f aca="false">IF($A409="","",IFERROR(INDEX(法人マスタ!$H:$H,MATCH($B409,法人マスタ!$A:$A,0)),""))</f>
        <v>2026年4月期（第47期）</v>
      </c>
      <c r="N409" s="1" t="n">
        <f aca="false">IF($A409="","",SUMIFS(物件収支!$D:$D,物件収支!$A:$A,$A409,物件収支!$C:$C,$M409))</f>
        <v>6</v>
      </c>
      <c r="O409" s="1" t="n">
        <f aca="false">IF($A409="","",SUMIFS(物件収支!$F:$F,物件収支!$A:$A,$A409,物件収支!$C:$C,$M409))</f>
        <v>75000</v>
      </c>
      <c r="P409" s="1" t="n">
        <f aca="false">IF($A409="","",SUMIFS(物件収支!$I:$I,物件収支!$A:$A,$A409,物件収支!$C:$C,$M409))</f>
        <v>35000</v>
      </c>
      <c r="Q409" s="1" t="n">
        <f aca="false">IF($A409="","",SUMIFS(物件収支!$O:$O,物件収支!$A:$A,$A409,物件収支!$C:$C,$M409))</f>
        <v>10000</v>
      </c>
      <c r="R409" s="1" t="n">
        <f aca="false">IF($A409="","",IF(P409=0,"",O409-P409))</f>
        <v>40000</v>
      </c>
      <c r="S409" s="1" t="n">
        <f aca="false">IF($A409="","",IF(R409="","",R409+Q409))</f>
        <v>50000</v>
      </c>
      <c r="T409" s="1" t="n">
        <f aca="false">IF($A409="","",IF(OR(S409="",N409&lt;=0),"",S409/1000*12/N409))</f>
        <v>100</v>
      </c>
      <c r="U409" s="1" t="n">
        <f aca="false">IF($A409="","",IF(OR(T409="",J409=0,J409=""),"",T409/J409))</f>
        <v>0.0893655049151028</v>
      </c>
      <c r="V409" s="1" t="n">
        <f aca="false">IF($A409="","",IF(OR(R409="",N409&lt;=0,J409=0,J409=""),"",(R409/1000*12/N409)/J409))</f>
        <v>0.0714924039320822</v>
      </c>
      <c r="W409" s="1" t="n">
        <f aca="false">IF($A409="","",IF(OR(T409="",K409=0,K409=""),"",T409/K409))</f>
        <v>0.0814332247557003</v>
      </c>
      <c r="X409" s="1" t="str">
        <f aca="false">IF($A409="","",IF(OR(N409&lt;=0,I409=0,I409="",O409=0),"",O409*1000/(I409*0.3025)/N409))</f>
        <v/>
      </c>
      <c r="Y409" s="1" t="n">
        <f aca="false">IF($A409="","",IF(OR(O409=0,O409="",P409=0),"",P409/O409))</f>
        <v>0.466666666666667</v>
      </c>
      <c r="Z409" s="1" t="str">
        <f aca="false">IF($A409="","",IFERROR(INDEX(物件収支!$E:$E,MATCH($A409,物件収支!$A:$A,0)),""))</f>
        <v>開示（物件別・費用内訳含む、百万円単位）</v>
      </c>
    </row>
    <row r="410" customFormat="false" ht="15" hidden="false" customHeight="true" outlineLevel="0" collapsed="false">
      <c r="A410" s="1" t="str">
        <f aca="false">IF(物件マスタ!A410="","",物件マスタ!A410)</f>
        <v>NUD-24</v>
      </c>
      <c r="B410" s="1" t="str">
        <f aca="false">IF($A410="","",物件マスタ!B410)</f>
        <v>NUD</v>
      </c>
      <c r="C410" s="1" t="str">
        <f aca="false">IF($A410="","",IFERROR(INDEX(法人マスタ!$C:$C,MATCH($B410,法人マスタ!$A:$A,0)),""))</f>
        <v>NTT都市開発リート投資法人</v>
      </c>
      <c r="D410" s="1" t="str">
        <f aca="false">IF($A410="","",物件マスタ!C410)</f>
        <v>アーバンエース肥後橋ビル</v>
      </c>
      <c r="E410" s="1" t="str">
        <f aca="false">IF($A410="","",物件マスタ!H410)</f>
        <v>その他3大都市圏</v>
      </c>
      <c r="F410" s="1" t="n">
        <f aca="false">IF($A410="","",物件マスタ!P410)</f>
        <v>0</v>
      </c>
      <c r="G410" s="1" t="str">
        <f aca="false">IF($A410="","",物件マスタ!Q410)</f>
        <v/>
      </c>
      <c r="H410" s="1" t="n">
        <f aca="false">IF($A410="","",物件マスタ!L410)</f>
        <v>14192.79</v>
      </c>
      <c r="I410" s="1" t="n">
        <f aca="false">IF($A410="","",物件マスタ!M410)</f>
        <v>0</v>
      </c>
      <c r="J410" s="1" t="n">
        <f aca="false">IF($A410="","",物件マスタ!S410)</f>
        <v>4600</v>
      </c>
      <c r="K410" s="1" t="n">
        <f aca="false">IF($A410="","",物件マスタ!U410)</f>
        <v>6360</v>
      </c>
      <c r="L410" s="1" t="n">
        <f aca="false">IF($A410="","",物件マスタ!W410)</f>
        <v>1</v>
      </c>
      <c r="M410" s="1" t="str">
        <f aca="false">IF($A410="","",IFERROR(INDEX(法人マスタ!$H:$H,MATCH($B410,法人マスタ!$A:$A,0)),""))</f>
        <v>2026年4月期（第47期）</v>
      </c>
      <c r="N410" s="1" t="n">
        <f aca="false">IF($A410="","",SUMIFS(物件収支!$D:$D,物件収支!$A:$A,$A410,物件収支!$C:$C,$M410))</f>
        <v>6</v>
      </c>
      <c r="O410" s="1" t="n">
        <f aca="false">IF($A410="","",SUMIFS(物件収支!$F:$F,物件収支!$A:$A,$A410,物件収支!$C:$C,$M410))</f>
        <v>245000</v>
      </c>
      <c r="P410" s="1" t="n">
        <f aca="false">IF($A410="","",SUMIFS(物件収支!$I:$I,物件収支!$A:$A,$A410,物件収支!$C:$C,$M410))</f>
        <v>137000</v>
      </c>
      <c r="Q410" s="1" t="n">
        <f aca="false">IF($A410="","",SUMIFS(物件収支!$O:$O,物件収支!$A:$A,$A410,物件収支!$C:$C,$M410))</f>
        <v>50000</v>
      </c>
      <c r="R410" s="1" t="n">
        <f aca="false">IF($A410="","",IF(P410=0,"",O410-P410))</f>
        <v>108000</v>
      </c>
      <c r="S410" s="1" t="n">
        <f aca="false">IF($A410="","",IF(R410="","",R410+Q410))</f>
        <v>158000</v>
      </c>
      <c r="T410" s="1" t="n">
        <f aca="false">IF($A410="","",IF(OR(S410="",N410&lt;=0),"",S410/1000*12/N410))</f>
        <v>316</v>
      </c>
      <c r="U410" s="1" t="n">
        <f aca="false">IF($A410="","",IF(OR(T410="",J410=0,J410=""),"",T410/J410))</f>
        <v>0.0686956521739131</v>
      </c>
      <c r="V410" s="1" t="n">
        <f aca="false">IF($A410="","",IF(OR(R410="",N410&lt;=0,J410=0,J410=""),"",(R410/1000*12/N410)/J410))</f>
        <v>0.0469565217391304</v>
      </c>
      <c r="W410" s="1" t="n">
        <f aca="false">IF($A410="","",IF(OR(T410="",K410=0,K410=""),"",T410/K410))</f>
        <v>0.049685534591195</v>
      </c>
      <c r="X410" s="1" t="str">
        <f aca="false">IF($A410="","",IF(OR(N410&lt;=0,I410=0,I410="",O410=0),"",O410*1000/(I410*0.3025)/N410))</f>
        <v/>
      </c>
      <c r="Y410" s="1" t="n">
        <f aca="false">IF($A410="","",IF(OR(O410=0,O410="",P410=0),"",P410/O410))</f>
        <v>0.559183673469388</v>
      </c>
      <c r="Z410" s="1" t="str">
        <f aca="false">IF($A410="","",IFERROR(INDEX(物件収支!$E:$E,MATCH($A410,物件収支!$A:$A,0)),""))</f>
        <v>開示（物件別・費用内訳含む、百万円単位）</v>
      </c>
    </row>
    <row r="411" customFormat="false" ht="15" hidden="false" customHeight="true" outlineLevel="0" collapsed="false">
      <c r="A411" s="1" t="str">
        <f aca="false">IF(物件マスタ!A411="","",物件マスタ!A411)</f>
        <v>NUD-25</v>
      </c>
      <c r="B411" s="1" t="str">
        <f aca="false">IF($A411="","",物件マスタ!B411)</f>
        <v>NUD</v>
      </c>
      <c r="C411" s="1" t="str">
        <f aca="false">IF($A411="","",IFERROR(INDEX(法人マスタ!$C:$C,MATCH($B411,法人マスタ!$A:$A,0)),""))</f>
        <v>NTT都市開発リート投資法人</v>
      </c>
      <c r="D411" s="1" t="str">
        <f aca="false">IF($A411="","",物件マスタ!C411)</f>
        <v>アーバンネット四条烏丸ビル</v>
      </c>
      <c r="E411" s="1" t="str">
        <f aca="false">IF($A411="","",物件マスタ!H411)</f>
        <v>その他3大都市圏</v>
      </c>
      <c r="F411" s="1" t="n">
        <f aca="false">IF($A411="","",物件マスタ!P411)</f>
        <v>0</v>
      </c>
      <c r="G411" s="1" t="str">
        <f aca="false">IF($A411="","",物件マスタ!Q411)</f>
        <v/>
      </c>
      <c r="H411" s="1" t="n">
        <f aca="false">IF($A411="","",物件マスタ!L411)</f>
        <v>16088.35</v>
      </c>
      <c r="I411" s="1" t="n">
        <f aca="false">IF($A411="","",物件マスタ!M411)</f>
        <v>0</v>
      </c>
      <c r="J411" s="1" t="n">
        <f aca="false">IF($A411="","",物件マスタ!S411)</f>
        <v>9700</v>
      </c>
      <c r="K411" s="1" t="n">
        <f aca="false">IF($A411="","",物件マスタ!U411)</f>
        <v>11100</v>
      </c>
      <c r="L411" s="1" t="n">
        <f aca="false">IF($A411="","",物件マスタ!W411)</f>
        <v>0.997</v>
      </c>
      <c r="M411" s="1" t="str">
        <f aca="false">IF($A411="","",IFERROR(INDEX(法人マスタ!$H:$H,MATCH($B411,法人マスタ!$A:$A,0)),""))</f>
        <v>2026年4月期（第47期）</v>
      </c>
      <c r="N411" s="1" t="n">
        <f aca="false">IF($A411="","",SUMIFS(物件収支!$D:$D,物件収支!$A:$A,$A411,物件収支!$C:$C,$M411))</f>
        <v>6</v>
      </c>
      <c r="O411" s="1" t="n">
        <f aca="false">IF($A411="","",SUMIFS(物件収支!$F:$F,物件収支!$A:$A,$A411,物件収支!$C:$C,$M411))</f>
        <v>458000</v>
      </c>
      <c r="P411" s="1" t="n">
        <f aca="false">IF($A411="","",SUMIFS(物件収支!$I:$I,物件収支!$A:$A,$A411,物件収支!$C:$C,$M411))</f>
        <v>276000</v>
      </c>
      <c r="Q411" s="1" t="n">
        <f aca="false">IF($A411="","",SUMIFS(物件収支!$O:$O,物件収支!$A:$A,$A411,物件収支!$C:$C,$M411))</f>
        <v>25000</v>
      </c>
      <c r="R411" s="1" t="n">
        <f aca="false">IF($A411="","",IF(P411=0,"",O411-P411))</f>
        <v>182000</v>
      </c>
      <c r="S411" s="1" t="n">
        <f aca="false">IF($A411="","",IF(R411="","",R411+Q411))</f>
        <v>207000</v>
      </c>
      <c r="T411" s="1" t="n">
        <f aca="false">IF($A411="","",IF(OR(S411="",N411&lt;=0),"",S411/1000*12/N411))</f>
        <v>414</v>
      </c>
      <c r="U411" s="1" t="n">
        <f aca="false">IF($A411="","",IF(OR(T411="",J411=0,J411=""),"",T411/J411))</f>
        <v>0.042680412371134</v>
      </c>
      <c r="V411" s="1" t="n">
        <f aca="false">IF($A411="","",IF(OR(R411="",N411&lt;=0,J411=0,J411=""),"",(R411/1000*12/N411)/J411))</f>
        <v>0.0375257731958763</v>
      </c>
      <c r="W411" s="1" t="n">
        <f aca="false">IF($A411="","",IF(OR(T411="",K411=0,K411=""),"",T411/K411))</f>
        <v>0.0372972972972973</v>
      </c>
      <c r="X411" s="1" t="str">
        <f aca="false">IF($A411="","",IF(OR(N411&lt;=0,I411=0,I411="",O411=0),"",O411*1000/(I411*0.3025)/N411))</f>
        <v/>
      </c>
      <c r="Y411" s="1" t="n">
        <f aca="false">IF($A411="","",IF(OR(O411=0,O411="",P411=0),"",P411/O411))</f>
        <v>0.602620087336245</v>
      </c>
      <c r="Z411" s="1" t="str">
        <f aca="false">IF($A411="","",IFERROR(INDEX(物件収支!$E:$E,MATCH($A411,物件収支!$A:$A,0)),""))</f>
        <v>開示（物件別・費用内訳含む、百万円単位）</v>
      </c>
    </row>
    <row r="412" customFormat="false" ht="15" hidden="false" customHeight="true" outlineLevel="0" collapsed="false">
      <c r="A412" s="1" t="str">
        <f aca="false">IF(物件マスタ!A412="","",物件マスタ!A412)</f>
        <v>NUD-26</v>
      </c>
      <c r="B412" s="1" t="str">
        <f aca="false">IF($A412="","",物件マスタ!B412)</f>
        <v>NUD</v>
      </c>
      <c r="C412" s="1" t="str">
        <f aca="false">IF($A412="","",IFERROR(INDEX(法人マスタ!$C:$C,MATCH($B412,法人マスタ!$A:$A,0)),""))</f>
        <v>NTT都市開発リート投資法人</v>
      </c>
      <c r="D412" s="1" t="str">
        <f aca="false">IF($A412="","",物件マスタ!C412)</f>
        <v>アーバンネット伏見ビル</v>
      </c>
      <c r="E412" s="1" t="str">
        <f aca="false">IF($A412="","",物件マスタ!H412)</f>
        <v>その他3大都市圏</v>
      </c>
      <c r="F412" s="1" t="n">
        <f aca="false">IF($A412="","",物件マスタ!P412)</f>
        <v>0</v>
      </c>
      <c r="G412" s="1" t="str">
        <f aca="false">IF($A412="","",物件マスタ!Q412)</f>
        <v/>
      </c>
      <c r="H412" s="1" t="n">
        <f aca="false">IF($A412="","",物件マスタ!L412)</f>
        <v>14091.85</v>
      </c>
      <c r="I412" s="1" t="n">
        <f aca="false">IF($A412="","",物件マスタ!M412)</f>
        <v>0</v>
      </c>
      <c r="J412" s="1" t="n">
        <f aca="false">IF($A412="","",物件マスタ!S412)</f>
        <v>8750</v>
      </c>
      <c r="K412" s="1" t="n">
        <f aca="false">IF($A412="","",物件マスタ!U412)</f>
        <v>9810</v>
      </c>
      <c r="L412" s="1" t="n">
        <f aca="false">IF($A412="","",物件マスタ!W412)</f>
        <v>1</v>
      </c>
      <c r="M412" s="1" t="str">
        <f aca="false">IF($A412="","",IFERROR(INDEX(法人マスタ!$H:$H,MATCH($B412,法人マスタ!$A:$A,0)),""))</f>
        <v>2026年4月期（第47期）</v>
      </c>
      <c r="N412" s="1" t="n">
        <f aca="false">IF($A412="","",SUMIFS(物件収支!$D:$D,物件収支!$A:$A,$A412,物件収支!$C:$C,$M412))</f>
        <v>6</v>
      </c>
      <c r="O412" s="1" t="n">
        <f aca="false">IF($A412="","",SUMIFS(物件収支!$F:$F,物件収支!$A:$A,$A412,物件収支!$C:$C,$M412))</f>
        <v>317000</v>
      </c>
      <c r="P412" s="1" t="n">
        <f aca="false">IF($A412="","",SUMIFS(物件収支!$I:$I,物件収支!$A:$A,$A412,物件収支!$C:$C,$M412))</f>
        <v>169000</v>
      </c>
      <c r="Q412" s="1" t="n">
        <f aca="false">IF($A412="","",SUMIFS(物件収支!$O:$O,物件収支!$A:$A,$A412,物件収支!$C:$C,$M412))</f>
        <v>20000</v>
      </c>
      <c r="R412" s="1" t="n">
        <f aca="false">IF($A412="","",IF(P412=0,"",O412-P412))</f>
        <v>148000</v>
      </c>
      <c r="S412" s="1" t="n">
        <f aca="false">IF($A412="","",IF(R412="","",R412+Q412))</f>
        <v>168000</v>
      </c>
      <c r="T412" s="1" t="n">
        <f aca="false">IF($A412="","",IF(OR(S412="",N412&lt;=0),"",S412/1000*12/N412))</f>
        <v>336</v>
      </c>
      <c r="U412" s="1" t="n">
        <f aca="false">IF($A412="","",IF(OR(T412="",J412=0,J412=""),"",T412/J412))</f>
        <v>0.0384</v>
      </c>
      <c r="V412" s="1" t="n">
        <f aca="false">IF($A412="","",IF(OR(R412="",N412&lt;=0,J412=0,J412=""),"",(R412/1000*12/N412)/J412))</f>
        <v>0.0338285714285714</v>
      </c>
      <c r="W412" s="1" t="n">
        <f aca="false">IF($A412="","",IF(OR(T412="",K412=0,K412=""),"",T412/K412))</f>
        <v>0.0342507645259939</v>
      </c>
      <c r="X412" s="1" t="str">
        <f aca="false">IF($A412="","",IF(OR(N412&lt;=0,I412=0,I412="",O412=0),"",O412*1000/(I412*0.3025)/N412))</f>
        <v/>
      </c>
      <c r="Y412" s="1" t="n">
        <f aca="false">IF($A412="","",IF(OR(O412=0,O412="",P412=0),"",P412/O412))</f>
        <v>0.533123028391167</v>
      </c>
      <c r="Z412" s="1" t="str">
        <f aca="false">IF($A412="","",IFERROR(INDEX(物件収支!$E:$E,MATCH($A412,物件収支!$A:$A,0)),""))</f>
        <v>開示（物件別・費用内訳含む、百万円単位）</v>
      </c>
    </row>
    <row r="413" customFormat="false" ht="15" hidden="false" customHeight="true" outlineLevel="0" collapsed="false">
      <c r="A413" s="1" t="str">
        <f aca="false">IF(物件マスタ!A413="","",物件マスタ!A413)</f>
        <v>NUD-27</v>
      </c>
      <c r="B413" s="1" t="str">
        <f aca="false">IF($A413="","",物件マスタ!B413)</f>
        <v>NUD</v>
      </c>
      <c r="C413" s="1" t="str">
        <f aca="false">IF($A413="","",IFERROR(INDEX(法人マスタ!$C:$C,MATCH($B413,法人マスタ!$A:$A,0)),""))</f>
        <v>NTT都市開発リート投資法人</v>
      </c>
      <c r="D413" s="1" t="str">
        <f aca="false">IF($A413="","",物件マスタ!C413)</f>
        <v>パークアクシス四谷ステージ</v>
      </c>
      <c r="E413" s="1" t="str">
        <f aca="false">IF($A413="","",物件マスタ!H413)</f>
        <v>都心5区</v>
      </c>
      <c r="F413" s="1" t="n">
        <f aca="false">IF($A413="","",物件マスタ!P413)</f>
        <v>0</v>
      </c>
      <c r="G413" s="1" t="str">
        <f aca="false">IF($A413="","",物件マスタ!Q413)</f>
        <v/>
      </c>
      <c r="H413" s="1" t="n">
        <f aca="false">IF($A413="","",物件マスタ!L413)</f>
        <v>8158.3</v>
      </c>
      <c r="I413" s="1" t="n">
        <f aca="false">IF($A413="","",物件マスタ!M413)</f>
        <v>0</v>
      </c>
      <c r="J413" s="1" t="n">
        <f aca="false">IF($A413="","",物件マスタ!S413)</f>
        <v>5208</v>
      </c>
      <c r="K413" s="1" t="n">
        <f aca="false">IF($A413="","",物件マスタ!U413)</f>
        <v>7240</v>
      </c>
      <c r="L413" s="1" t="n">
        <f aca="false">IF($A413="","",物件マスタ!W413)</f>
        <v>0.992</v>
      </c>
      <c r="M413" s="1" t="str">
        <f aca="false">IF($A413="","",IFERROR(INDEX(法人マスタ!$H:$H,MATCH($B413,法人マスタ!$A:$A,0)),""))</f>
        <v>2026年4月期（第47期）</v>
      </c>
      <c r="N413" s="1" t="n">
        <f aca="false">IF($A413="","",SUMIFS(物件収支!$D:$D,物件収支!$A:$A,$A413,物件収支!$C:$C,$M413))</f>
        <v>6</v>
      </c>
      <c r="O413" s="1" t="n">
        <f aca="false">IF($A413="","",SUMIFS(物件収支!$F:$F,物件収支!$A:$A,$A413,物件収支!$C:$C,$M413))</f>
        <v>173000</v>
      </c>
      <c r="P413" s="1" t="n">
        <f aca="false">IF($A413="","",SUMIFS(物件収支!$I:$I,物件収支!$A:$A,$A413,物件収支!$C:$C,$M413))</f>
        <v>68000</v>
      </c>
      <c r="Q413" s="1" t="n">
        <f aca="false">IF($A413="","",SUMIFS(物件収支!$O:$O,物件収支!$A:$A,$A413,物件収支!$C:$C,$M413))</f>
        <v>25000</v>
      </c>
      <c r="R413" s="1" t="n">
        <f aca="false">IF($A413="","",IF(P413=0,"",O413-P413))</f>
        <v>105000</v>
      </c>
      <c r="S413" s="1" t="n">
        <f aca="false">IF($A413="","",IF(R413="","",R413+Q413))</f>
        <v>130000</v>
      </c>
      <c r="T413" s="1" t="n">
        <f aca="false">IF($A413="","",IF(OR(S413="",N413&lt;=0),"",S413/1000*12/N413))</f>
        <v>260</v>
      </c>
      <c r="U413" s="1" t="n">
        <f aca="false">IF($A413="","",IF(OR(T413="",J413=0,J413=""),"",T413/J413))</f>
        <v>0.0499231950844854</v>
      </c>
      <c r="V413" s="1" t="n">
        <f aca="false">IF($A413="","",IF(OR(R413="",N413&lt;=0,J413=0,J413=""),"",(R413/1000*12/N413)/J413))</f>
        <v>0.0403225806451613</v>
      </c>
      <c r="W413" s="1" t="n">
        <f aca="false">IF($A413="","",IF(OR(T413="",K413=0,K413=""),"",T413/K413))</f>
        <v>0.0359116022099448</v>
      </c>
      <c r="X413" s="1" t="str">
        <f aca="false">IF($A413="","",IF(OR(N413&lt;=0,I413=0,I413="",O413=0),"",O413*1000/(I413*0.3025)/N413))</f>
        <v/>
      </c>
      <c r="Y413" s="1" t="n">
        <f aca="false">IF($A413="","",IF(OR(O413=0,O413="",P413=0),"",P413/O413))</f>
        <v>0.393063583815029</v>
      </c>
      <c r="Z413" s="1" t="str">
        <f aca="false">IF($A413="","",IFERROR(INDEX(物件収支!$E:$E,MATCH($A413,物件収支!$A:$A,0)),""))</f>
        <v>開示（物件別・費用内訳含む、百万円単位）</v>
      </c>
    </row>
    <row r="414" customFormat="false" ht="15" hidden="false" customHeight="true" outlineLevel="0" collapsed="false">
      <c r="A414" s="1" t="str">
        <f aca="false">IF(物件マスタ!A414="","",物件マスタ!A414)</f>
        <v>NUD-28</v>
      </c>
      <c r="B414" s="1" t="str">
        <f aca="false">IF($A414="","",物件マスタ!B414)</f>
        <v>NUD</v>
      </c>
      <c r="C414" s="1" t="str">
        <f aca="false">IF($A414="","",IFERROR(INDEX(法人マスタ!$C:$C,MATCH($B414,法人マスタ!$A:$A,0)),""))</f>
        <v>NTT都市開発リート投資法人</v>
      </c>
      <c r="D414" s="1" t="str">
        <f aca="false">IF($A414="","",物件マスタ!C414)</f>
        <v>パークアクシス明治神宮前</v>
      </c>
      <c r="E414" s="1" t="str">
        <f aca="false">IF($A414="","",物件マスタ!H414)</f>
        <v>都心5区</v>
      </c>
      <c r="F414" s="1" t="n">
        <f aca="false">IF($A414="","",物件マスタ!P414)</f>
        <v>0</v>
      </c>
      <c r="G414" s="1" t="str">
        <f aca="false">IF($A414="","",物件マスタ!Q414)</f>
        <v/>
      </c>
      <c r="H414" s="1" t="n">
        <f aca="false">IF($A414="","",物件マスタ!L414)</f>
        <v>1913.18</v>
      </c>
      <c r="I414" s="1" t="n">
        <f aca="false">IF($A414="","",物件マスタ!M414)</f>
        <v>0</v>
      </c>
      <c r="J414" s="1" t="n">
        <f aca="false">IF($A414="","",物件マスタ!S414)</f>
        <v>2604</v>
      </c>
      <c r="K414" s="1" t="n">
        <f aca="false">IF($A414="","",物件マスタ!U414)</f>
        <v>2670</v>
      </c>
      <c r="L414" s="1" t="n">
        <f aca="false">IF($A414="","",物件マスタ!W414)</f>
        <v>0.979</v>
      </c>
      <c r="M414" s="1" t="str">
        <f aca="false">IF($A414="","",IFERROR(INDEX(法人マスタ!$H:$H,MATCH($B414,法人マスタ!$A:$A,0)),""))</f>
        <v>2026年4月期（第47期）</v>
      </c>
      <c r="N414" s="1" t="n">
        <f aca="false">IF($A414="","",SUMIFS(物件収支!$D:$D,物件収支!$A:$A,$A414,物件収支!$C:$C,$M414))</f>
        <v>6</v>
      </c>
      <c r="O414" s="1" t="n">
        <f aca="false">IF($A414="","",SUMIFS(物件収支!$F:$F,物件収支!$A:$A,$A414,物件収支!$C:$C,$M414))</f>
        <v>62000</v>
      </c>
      <c r="P414" s="1" t="n">
        <f aca="false">IF($A414="","",SUMIFS(物件収支!$I:$I,物件収支!$A:$A,$A414,物件収支!$C:$C,$M414))</f>
        <v>19000</v>
      </c>
      <c r="Q414" s="1" t="n">
        <f aca="false">IF($A414="","",SUMIFS(物件収支!$O:$O,物件収支!$A:$A,$A414,物件収支!$C:$C,$M414))</f>
        <v>6000</v>
      </c>
      <c r="R414" s="1" t="n">
        <f aca="false">IF($A414="","",IF(P414=0,"",O414-P414))</f>
        <v>43000</v>
      </c>
      <c r="S414" s="1" t="n">
        <f aca="false">IF($A414="","",IF(R414="","",R414+Q414))</f>
        <v>49000</v>
      </c>
      <c r="T414" s="1" t="n">
        <f aca="false">IF($A414="","",IF(OR(S414="",N414&lt;=0),"",S414/1000*12/N414))</f>
        <v>98</v>
      </c>
      <c r="U414" s="1" t="n">
        <f aca="false">IF($A414="","",IF(OR(T414="",J414=0,J414=""),"",T414/J414))</f>
        <v>0.0376344086021505</v>
      </c>
      <c r="V414" s="1" t="n">
        <f aca="false">IF($A414="","",IF(OR(R414="",N414&lt;=0,J414=0,J414=""),"",(R414/1000*12/N414)/J414))</f>
        <v>0.033026113671275</v>
      </c>
      <c r="W414" s="1" t="n">
        <f aca="false">IF($A414="","",IF(OR(T414="",K414=0,K414=""),"",T414/K414))</f>
        <v>0.0367041198501873</v>
      </c>
      <c r="X414" s="1" t="str">
        <f aca="false">IF($A414="","",IF(OR(N414&lt;=0,I414=0,I414="",O414=0),"",O414*1000/(I414*0.3025)/N414))</f>
        <v/>
      </c>
      <c r="Y414" s="1" t="n">
        <f aca="false">IF($A414="","",IF(OR(O414=0,O414="",P414=0),"",P414/O414))</f>
        <v>0.306451612903226</v>
      </c>
      <c r="Z414" s="1" t="str">
        <f aca="false">IF($A414="","",IFERROR(INDEX(物件収支!$E:$E,MATCH($A414,物件収支!$A:$A,0)),""))</f>
        <v>開示（物件別・費用内訳含む、百万円単位）</v>
      </c>
    </row>
    <row r="415" customFormat="false" ht="15" hidden="false" customHeight="true" outlineLevel="0" collapsed="false">
      <c r="A415" s="1" t="str">
        <f aca="false">IF(物件マスタ!A415="","",物件マスタ!A415)</f>
        <v>NUD-29</v>
      </c>
      <c r="B415" s="1" t="str">
        <f aca="false">IF($A415="","",物件マスタ!B415)</f>
        <v>NUD</v>
      </c>
      <c r="C415" s="1" t="str">
        <f aca="false">IF($A415="","",IFERROR(INDEX(法人マスタ!$C:$C,MATCH($B415,法人マスタ!$A:$A,0)),""))</f>
        <v>NTT都市開発リート投資法人</v>
      </c>
      <c r="D415" s="1" t="str">
        <f aca="false">IF($A415="","",物件マスタ!C415)</f>
        <v>キャビンアリーナ赤坂</v>
      </c>
      <c r="E415" s="1" t="str">
        <f aca="false">IF($A415="","",物件マスタ!H415)</f>
        <v>都心5区</v>
      </c>
      <c r="F415" s="1" t="n">
        <f aca="false">IF($A415="","",物件マスタ!P415)</f>
        <v>0</v>
      </c>
      <c r="G415" s="1" t="str">
        <f aca="false">IF($A415="","",物件マスタ!Q415)</f>
        <v/>
      </c>
      <c r="H415" s="1" t="n">
        <f aca="false">IF($A415="","",物件マスタ!L415)</f>
        <v>1793.32</v>
      </c>
      <c r="I415" s="1" t="n">
        <f aca="false">IF($A415="","",物件マスタ!M415)</f>
        <v>0</v>
      </c>
      <c r="J415" s="1" t="n">
        <f aca="false">IF($A415="","",物件マスタ!S415)</f>
        <v>1330</v>
      </c>
      <c r="K415" s="1" t="n">
        <f aca="false">IF($A415="","",物件マスタ!U415)</f>
        <v>1670</v>
      </c>
      <c r="L415" s="1" t="n">
        <f aca="false">IF($A415="","",物件マスタ!W415)</f>
        <v>0.875</v>
      </c>
      <c r="M415" s="1" t="str">
        <f aca="false">IF($A415="","",IFERROR(INDEX(法人マスタ!$H:$H,MATCH($B415,法人マスタ!$A:$A,0)),""))</f>
        <v>2026年4月期（第47期）</v>
      </c>
      <c r="N415" s="1" t="n">
        <f aca="false">IF($A415="","",SUMIFS(物件収支!$D:$D,物件収支!$A:$A,$A415,物件収支!$C:$C,$M415))</f>
        <v>6</v>
      </c>
      <c r="O415" s="1" t="n">
        <f aca="false">IF($A415="","",SUMIFS(物件収支!$F:$F,物件収支!$A:$A,$A415,物件収支!$C:$C,$M415))</f>
        <v>40000</v>
      </c>
      <c r="P415" s="1" t="n">
        <f aca="false">IF($A415="","",SUMIFS(物件収支!$I:$I,物件収支!$A:$A,$A415,物件収支!$C:$C,$M415))</f>
        <v>44000</v>
      </c>
      <c r="Q415" s="1" t="n">
        <f aca="false">IF($A415="","",SUMIFS(物件収支!$O:$O,物件収支!$A:$A,$A415,物件収支!$C:$C,$M415))</f>
        <v>5000</v>
      </c>
      <c r="R415" s="1" t="n">
        <f aca="false">IF($A415="","",IF(P415=0,"",O415-P415))</f>
        <v>-4000</v>
      </c>
      <c r="S415" s="1" t="n">
        <f aca="false">IF($A415="","",IF(R415="","",R415+Q415))</f>
        <v>1000</v>
      </c>
      <c r="T415" s="1" t="n">
        <f aca="false">IF($A415="","",IF(OR(S415="",N415&lt;=0),"",S415/1000*12/N415))</f>
        <v>2</v>
      </c>
      <c r="U415" s="1" t="n">
        <f aca="false">IF($A415="","",IF(OR(T415="",J415=0,J415=""),"",T415/J415))</f>
        <v>0.00150375939849624</v>
      </c>
      <c r="V415" s="1" t="n">
        <f aca="false">IF($A415="","",IF(OR(R415="",N415&lt;=0,J415=0,J415=""),"",(R415/1000*12/N415)/J415))</f>
        <v>-0.00601503759398496</v>
      </c>
      <c r="W415" s="1" t="n">
        <f aca="false">IF($A415="","",IF(OR(T415="",K415=0,K415=""),"",T415/K415))</f>
        <v>0.00119760479041916</v>
      </c>
      <c r="X415" s="1" t="str">
        <f aca="false">IF($A415="","",IF(OR(N415&lt;=0,I415=0,I415="",O415=0),"",O415*1000/(I415*0.3025)/N415))</f>
        <v/>
      </c>
      <c r="Y415" s="1" t="n">
        <f aca="false">IF($A415="","",IF(OR(O415=0,O415="",P415=0),"",P415/O415))</f>
        <v>1.1</v>
      </c>
      <c r="Z415" s="1" t="str">
        <f aca="false">IF($A415="","",IFERROR(INDEX(物件収支!$E:$E,MATCH($A415,物件収支!$A:$A,0)),""))</f>
        <v>開示（物件別・費用内訳含む、百万円単位）</v>
      </c>
    </row>
    <row r="416" customFormat="false" ht="15" hidden="false" customHeight="true" outlineLevel="0" collapsed="false">
      <c r="A416" s="1" t="str">
        <f aca="false">IF(物件マスタ!A416="","",物件マスタ!A416)</f>
        <v>NUD-30</v>
      </c>
      <c r="B416" s="1" t="str">
        <f aca="false">IF($A416="","",物件マスタ!B416)</f>
        <v>NUD</v>
      </c>
      <c r="C416" s="1" t="str">
        <f aca="false">IF($A416="","",IFERROR(INDEX(法人マスタ!$C:$C,MATCH($B416,法人マスタ!$A:$A,0)),""))</f>
        <v>NTT都市開発リート投資法人</v>
      </c>
      <c r="D416" s="1" t="str">
        <f aca="false">IF($A416="","",物件マスタ!C416)</f>
        <v>キャビンアリーナ南青山</v>
      </c>
      <c r="E416" s="1" t="str">
        <f aca="false">IF($A416="","",物件マスタ!H416)</f>
        <v>都心5区</v>
      </c>
      <c r="F416" s="1" t="n">
        <f aca="false">IF($A416="","",物件マスタ!P416)</f>
        <v>0</v>
      </c>
      <c r="G416" s="1" t="str">
        <f aca="false">IF($A416="","",物件マスタ!Q416)</f>
        <v/>
      </c>
      <c r="H416" s="1" t="n">
        <f aca="false">IF($A416="","",物件マスタ!L416)</f>
        <v>1399.33</v>
      </c>
      <c r="I416" s="1" t="n">
        <f aca="false">IF($A416="","",物件マスタ!M416)</f>
        <v>0</v>
      </c>
      <c r="J416" s="1" t="n">
        <f aca="false">IF($A416="","",物件マスタ!S416)</f>
        <v>1070</v>
      </c>
      <c r="K416" s="1" t="n">
        <f aca="false">IF($A416="","",物件マスタ!U416)</f>
        <v>1380</v>
      </c>
      <c r="L416" s="1" t="n">
        <f aca="false">IF($A416="","",物件マスタ!W416)</f>
        <v>1</v>
      </c>
      <c r="M416" s="1" t="str">
        <f aca="false">IF($A416="","",IFERROR(INDEX(法人マスタ!$H:$H,MATCH($B416,法人マスタ!$A:$A,0)),""))</f>
        <v>2026年4月期（第47期）</v>
      </c>
      <c r="N416" s="1" t="n">
        <f aca="false">IF($A416="","",SUMIFS(物件収支!$D:$D,物件収支!$A:$A,$A416,物件収支!$C:$C,$M416))</f>
        <v>6</v>
      </c>
      <c r="O416" s="1" t="n">
        <f aca="false">IF($A416="","",SUMIFS(物件収支!$F:$F,物件収支!$A:$A,$A416,物件収支!$C:$C,$M416))</f>
        <v>38000</v>
      </c>
      <c r="P416" s="1" t="n">
        <f aca="false">IF($A416="","",SUMIFS(物件収支!$I:$I,物件収支!$A:$A,$A416,物件収支!$C:$C,$M416))</f>
        <v>35000</v>
      </c>
      <c r="Q416" s="1" t="n">
        <f aca="false">IF($A416="","",SUMIFS(物件収支!$O:$O,物件収支!$A:$A,$A416,物件収支!$C:$C,$M416))</f>
        <v>7000</v>
      </c>
      <c r="R416" s="1" t="n">
        <f aca="false">IF($A416="","",IF(P416=0,"",O416-P416))</f>
        <v>3000</v>
      </c>
      <c r="S416" s="1" t="n">
        <f aca="false">IF($A416="","",IF(R416="","",R416+Q416))</f>
        <v>10000</v>
      </c>
      <c r="T416" s="1" t="n">
        <f aca="false">IF($A416="","",IF(OR(S416="",N416&lt;=0),"",S416/1000*12/N416))</f>
        <v>20</v>
      </c>
      <c r="U416" s="1" t="n">
        <f aca="false">IF($A416="","",IF(OR(T416="",J416=0,J416=""),"",T416/J416))</f>
        <v>0.0186915887850467</v>
      </c>
      <c r="V416" s="1" t="n">
        <f aca="false">IF($A416="","",IF(OR(R416="",N416&lt;=0,J416=0,J416=""),"",(R416/1000*12/N416)/J416))</f>
        <v>0.00560747663551402</v>
      </c>
      <c r="W416" s="1" t="n">
        <f aca="false">IF($A416="","",IF(OR(T416="",K416=0,K416=""),"",T416/K416))</f>
        <v>0.0144927536231884</v>
      </c>
      <c r="X416" s="1" t="str">
        <f aca="false">IF($A416="","",IF(OR(N416&lt;=0,I416=0,I416="",O416=0),"",O416*1000/(I416*0.3025)/N416))</f>
        <v/>
      </c>
      <c r="Y416" s="1" t="n">
        <f aca="false">IF($A416="","",IF(OR(O416=0,O416="",P416=0),"",P416/O416))</f>
        <v>0.921052631578947</v>
      </c>
      <c r="Z416" s="1" t="str">
        <f aca="false">IF($A416="","",IFERROR(INDEX(物件収支!$E:$E,MATCH($A416,物件収支!$A:$A,0)),""))</f>
        <v>開示（物件別・費用内訳含む、百万円単位）</v>
      </c>
    </row>
    <row r="417" customFormat="false" ht="15" hidden="false" customHeight="true" outlineLevel="0" collapsed="false">
      <c r="A417" s="1" t="str">
        <f aca="false">IF(物件マスタ!A417="","",物件マスタ!A417)</f>
        <v>NUD-31</v>
      </c>
      <c r="B417" s="1" t="str">
        <f aca="false">IF($A417="","",物件マスタ!B417)</f>
        <v>NUD</v>
      </c>
      <c r="C417" s="1" t="str">
        <f aca="false">IF($A417="","",IFERROR(INDEX(法人マスタ!$C:$C,MATCH($B417,法人マスタ!$A:$A,0)),""))</f>
        <v>NTT都市開発リート投資法人</v>
      </c>
      <c r="D417" s="1" t="str">
        <f aca="false">IF($A417="","",物件マスタ!C417)</f>
        <v>六本木グリーンテラス</v>
      </c>
      <c r="E417" s="1" t="str">
        <f aca="false">IF($A417="","",物件マスタ!H417)</f>
        <v>都心5区</v>
      </c>
      <c r="F417" s="1" t="n">
        <f aca="false">IF($A417="","",物件マスタ!P417)</f>
        <v>0</v>
      </c>
      <c r="G417" s="1" t="str">
        <f aca="false">IF($A417="","",物件マスタ!Q417)</f>
        <v/>
      </c>
      <c r="H417" s="1" t="n">
        <f aca="false">IF($A417="","",物件マスタ!L417)</f>
        <v>8332.22</v>
      </c>
      <c r="I417" s="1" t="n">
        <f aca="false">IF($A417="","",物件マスタ!M417)</f>
        <v>0</v>
      </c>
      <c r="J417" s="1" t="n">
        <f aca="false">IF($A417="","",物件マスタ!S417)</f>
        <v>4678</v>
      </c>
      <c r="K417" s="1" t="n">
        <f aca="false">IF($A417="","",物件マスタ!U417)</f>
        <v>7230</v>
      </c>
      <c r="L417" s="1" t="n">
        <f aca="false">IF($A417="","",物件マスタ!W417)</f>
        <v>0.967</v>
      </c>
      <c r="M417" s="1" t="str">
        <f aca="false">IF($A417="","",IFERROR(INDEX(法人マスタ!$H:$H,MATCH($B417,法人マスタ!$A:$A,0)),""))</f>
        <v>2026年4月期（第47期）</v>
      </c>
      <c r="N417" s="1" t="n">
        <f aca="false">IF($A417="","",SUMIFS(物件収支!$D:$D,物件収支!$A:$A,$A417,物件収支!$C:$C,$M417))</f>
        <v>6</v>
      </c>
      <c r="O417" s="1" t="n">
        <f aca="false">IF($A417="","",SUMIFS(物件収支!$F:$F,物件収支!$A:$A,$A417,物件収支!$C:$C,$M417))</f>
        <v>173000</v>
      </c>
      <c r="P417" s="1" t="n">
        <f aca="false">IF($A417="","",SUMIFS(物件収支!$I:$I,物件収支!$A:$A,$A417,物件収支!$C:$C,$M417))</f>
        <v>101000</v>
      </c>
      <c r="Q417" s="1" t="n">
        <f aca="false">IF($A417="","",SUMIFS(物件収支!$O:$O,物件収支!$A:$A,$A417,物件収支!$C:$C,$M417))</f>
        <v>26000</v>
      </c>
      <c r="R417" s="1" t="n">
        <f aca="false">IF($A417="","",IF(P417=0,"",O417-P417))</f>
        <v>72000</v>
      </c>
      <c r="S417" s="1" t="n">
        <f aca="false">IF($A417="","",IF(R417="","",R417+Q417))</f>
        <v>98000</v>
      </c>
      <c r="T417" s="1" t="n">
        <f aca="false">IF($A417="","",IF(OR(S417="",N417&lt;=0),"",S417/1000*12/N417))</f>
        <v>196</v>
      </c>
      <c r="U417" s="1" t="n">
        <f aca="false">IF($A417="","",IF(OR(T417="",J417=0,J417=""),"",T417/J417))</f>
        <v>0.0418982471141514</v>
      </c>
      <c r="V417" s="1" t="n">
        <f aca="false">IF($A417="","",IF(OR(R417="",N417&lt;=0,J417=0,J417=""),"",(R417/1000*12/N417)/J417))</f>
        <v>0.0307823856348867</v>
      </c>
      <c r="W417" s="1" t="n">
        <f aca="false">IF($A417="","",IF(OR(T417="",K417=0,K417=""),"",T417/K417))</f>
        <v>0.0271092669432918</v>
      </c>
      <c r="X417" s="1" t="str">
        <f aca="false">IF($A417="","",IF(OR(N417&lt;=0,I417=0,I417="",O417=0),"",O417*1000/(I417*0.3025)/N417))</f>
        <v/>
      </c>
      <c r="Y417" s="1" t="n">
        <f aca="false">IF($A417="","",IF(OR(O417=0,O417="",P417=0),"",P417/O417))</f>
        <v>0.583815028901734</v>
      </c>
      <c r="Z417" s="1" t="str">
        <f aca="false">IF($A417="","",IFERROR(INDEX(物件収支!$E:$E,MATCH($A417,物件収支!$A:$A,0)),""))</f>
        <v>開示（物件別・費用内訳含む、百万円単位）</v>
      </c>
    </row>
    <row r="418" customFormat="false" ht="15" hidden="false" customHeight="true" outlineLevel="0" collapsed="false">
      <c r="A418" s="1" t="str">
        <f aca="false">IF(物件マスタ!A418="","",物件マスタ!A418)</f>
        <v>NUD-32</v>
      </c>
      <c r="B418" s="1" t="str">
        <f aca="false">IF($A418="","",物件マスタ!B418)</f>
        <v>NUD</v>
      </c>
      <c r="C418" s="1" t="str">
        <f aca="false">IF($A418="","",IFERROR(INDEX(法人マスタ!$C:$C,MATCH($B418,法人マスタ!$A:$A,0)),""))</f>
        <v>NTT都市開発リート投資法人</v>
      </c>
      <c r="D418" s="1" t="str">
        <f aca="false">IF($A418="","",物件マスタ!C418)</f>
        <v>プレミアステージ芝公園Ⅱ</v>
      </c>
      <c r="E418" s="1" t="str">
        <f aca="false">IF($A418="","",物件マスタ!H418)</f>
        <v>都心5区</v>
      </c>
      <c r="F418" s="1" t="n">
        <f aca="false">IF($A418="","",物件マスタ!P418)</f>
        <v>0</v>
      </c>
      <c r="G418" s="1" t="str">
        <f aca="false">IF($A418="","",物件マスタ!Q418)</f>
        <v/>
      </c>
      <c r="H418" s="1" t="n">
        <f aca="false">IF($A418="","",物件マスタ!L418)</f>
        <v>2548.44</v>
      </c>
      <c r="I418" s="1" t="n">
        <f aca="false">IF($A418="","",物件マスタ!M418)</f>
        <v>0</v>
      </c>
      <c r="J418" s="1" t="n">
        <f aca="false">IF($A418="","",物件マスタ!S418)</f>
        <v>2181</v>
      </c>
      <c r="K418" s="1" t="n">
        <f aca="false">IF($A418="","",物件マスタ!U418)</f>
        <v>2240</v>
      </c>
      <c r="L418" s="1" t="n">
        <f aca="false">IF($A418="","",物件マスタ!W418)</f>
        <v>0.942</v>
      </c>
      <c r="M418" s="1" t="str">
        <f aca="false">IF($A418="","",IFERROR(INDEX(法人マスタ!$H:$H,MATCH($B418,法人マスタ!$A:$A,0)),""))</f>
        <v>2026年4月期（第47期）</v>
      </c>
      <c r="N418" s="1" t="n">
        <f aca="false">IF($A418="","",SUMIFS(物件収支!$D:$D,物件収支!$A:$A,$A418,物件収支!$C:$C,$M418))</f>
        <v>6</v>
      </c>
      <c r="O418" s="1" t="n">
        <f aca="false">IF($A418="","",SUMIFS(物件収支!$F:$F,物件収支!$A:$A,$A418,物件収支!$C:$C,$M418))</f>
        <v>61000</v>
      </c>
      <c r="P418" s="1" t="n">
        <f aca="false">IF($A418="","",SUMIFS(物件収支!$I:$I,物件収支!$A:$A,$A418,物件収支!$C:$C,$M418))</f>
        <v>55000</v>
      </c>
      <c r="Q418" s="1" t="n">
        <f aca="false">IF($A418="","",SUMIFS(物件収支!$O:$O,物件収支!$A:$A,$A418,物件収支!$C:$C,$M418))</f>
        <v>9000</v>
      </c>
      <c r="R418" s="1" t="n">
        <f aca="false">IF($A418="","",IF(P418=0,"",O418-P418))</f>
        <v>6000</v>
      </c>
      <c r="S418" s="1" t="n">
        <f aca="false">IF($A418="","",IF(R418="","",R418+Q418))</f>
        <v>15000</v>
      </c>
      <c r="T418" s="1" t="n">
        <f aca="false">IF($A418="","",IF(OR(S418="",N418&lt;=0),"",S418/1000*12/N418))</f>
        <v>30</v>
      </c>
      <c r="U418" s="1" t="n">
        <f aca="false">IF($A418="","",IF(OR(T418="",J418=0,J418=""),"",T418/J418))</f>
        <v>0.0137551581843191</v>
      </c>
      <c r="V418" s="1" t="n">
        <f aca="false">IF($A418="","",IF(OR(R418="",N418&lt;=0,J418=0,J418=""),"",(R418/1000*12/N418)/J418))</f>
        <v>0.00550206327372765</v>
      </c>
      <c r="W418" s="1" t="n">
        <f aca="false">IF($A418="","",IF(OR(T418="",K418=0,K418=""),"",T418/K418))</f>
        <v>0.0133928571428571</v>
      </c>
      <c r="X418" s="1" t="str">
        <f aca="false">IF($A418="","",IF(OR(N418&lt;=0,I418=0,I418="",O418=0),"",O418*1000/(I418*0.3025)/N418))</f>
        <v/>
      </c>
      <c r="Y418" s="1" t="n">
        <f aca="false">IF($A418="","",IF(OR(O418=0,O418="",P418=0),"",P418/O418))</f>
        <v>0.901639344262295</v>
      </c>
      <c r="Z418" s="1" t="str">
        <f aca="false">IF($A418="","",IFERROR(INDEX(物件収支!$E:$E,MATCH($A418,物件収支!$A:$A,0)),""))</f>
        <v>開示（物件別・費用内訳含む、百万円単位）</v>
      </c>
    </row>
    <row r="419" customFormat="false" ht="15" hidden="false" customHeight="true" outlineLevel="0" collapsed="false">
      <c r="A419" s="1" t="str">
        <f aca="false">IF(物件マスタ!A419="","",物件マスタ!A419)</f>
        <v>NUD-33</v>
      </c>
      <c r="B419" s="1" t="str">
        <f aca="false">IF($A419="","",物件マスタ!B419)</f>
        <v>NUD</v>
      </c>
      <c r="C419" s="1" t="str">
        <f aca="false">IF($A419="","",IFERROR(INDEX(法人マスタ!$C:$C,MATCH($B419,法人マスタ!$A:$A,0)),""))</f>
        <v>NTT都市開発リート投資法人</v>
      </c>
      <c r="D419" s="1" t="str">
        <f aca="false">IF($A419="","",物件マスタ!C419)</f>
        <v>ラング・タワー京橋</v>
      </c>
      <c r="E419" s="1" t="str">
        <f aca="false">IF($A419="","",物件マスタ!H419)</f>
        <v>都心5区</v>
      </c>
      <c r="F419" s="1" t="n">
        <f aca="false">IF($A419="","",物件マスタ!P419)</f>
        <v>0</v>
      </c>
      <c r="G419" s="1" t="str">
        <f aca="false">IF($A419="","",物件マスタ!Q419)</f>
        <v/>
      </c>
      <c r="H419" s="1" t="n">
        <f aca="false">IF($A419="","",物件マスタ!L419)</f>
        <v>1714.42</v>
      </c>
      <c r="I419" s="1" t="n">
        <f aca="false">IF($A419="","",物件マスタ!M419)</f>
        <v>0</v>
      </c>
      <c r="J419" s="1" t="n">
        <f aca="false">IF($A419="","",物件マスタ!S419)</f>
        <v>927</v>
      </c>
      <c r="K419" s="1" t="n">
        <f aca="false">IF($A419="","",物件マスタ!U419)</f>
        <v>1470</v>
      </c>
      <c r="L419" s="1" t="n">
        <f aca="false">IF($A419="","",物件マスタ!W419)</f>
        <v>0.983</v>
      </c>
      <c r="M419" s="1" t="str">
        <f aca="false">IF($A419="","",IFERROR(INDEX(法人マスタ!$H:$H,MATCH($B419,法人マスタ!$A:$A,0)),""))</f>
        <v>2026年4月期（第47期）</v>
      </c>
      <c r="N419" s="1" t="n">
        <f aca="false">IF($A419="","",SUMIFS(物件収支!$D:$D,物件収支!$A:$A,$A419,物件収支!$C:$C,$M419))</f>
        <v>6</v>
      </c>
      <c r="O419" s="1" t="n">
        <f aca="false">IF($A419="","",SUMIFS(物件収支!$F:$F,物件収支!$A:$A,$A419,物件収支!$C:$C,$M419))</f>
        <v>69000</v>
      </c>
      <c r="P419" s="1" t="n">
        <f aca="false">IF($A419="","",SUMIFS(物件収支!$I:$I,物件収支!$A:$A,$A419,物件収支!$C:$C,$M419))</f>
        <v>48000</v>
      </c>
      <c r="Q419" s="1" t="n">
        <f aca="false">IF($A419="","",SUMIFS(物件収支!$O:$O,物件収支!$A:$A,$A419,物件収支!$C:$C,$M419))</f>
        <v>6000</v>
      </c>
      <c r="R419" s="1" t="n">
        <f aca="false">IF($A419="","",IF(P419=0,"",O419-P419))</f>
        <v>21000</v>
      </c>
      <c r="S419" s="1" t="n">
        <f aca="false">IF($A419="","",IF(R419="","",R419+Q419))</f>
        <v>27000</v>
      </c>
      <c r="T419" s="1" t="n">
        <f aca="false">IF($A419="","",IF(OR(S419="",N419&lt;=0),"",S419/1000*12/N419))</f>
        <v>54</v>
      </c>
      <c r="U419" s="1" t="n">
        <f aca="false">IF($A419="","",IF(OR(T419="",J419=0,J419=""),"",T419/J419))</f>
        <v>0.058252427184466</v>
      </c>
      <c r="V419" s="1" t="n">
        <f aca="false">IF($A419="","",IF(OR(R419="",N419&lt;=0,J419=0,J419=""),"",(R419/1000*12/N419)/J419))</f>
        <v>0.0453074433656958</v>
      </c>
      <c r="W419" s="1" t="n">
        <f aca="false">IF($A419="","",IF(OR(T419="",K419=0,K419=""),"",T419/K419))</f>
        <v>0.036734693877551</v>
      </c>
      <c r="X419" s="1" t="str">
        <f aca="false">IF($A419="","",IF(OR(N419&lt;=0,I419=0,I419="",O419=0),"",O419*1000/(I419*0.3025)/N419))</f>
        <v/>
      </c>
      <c r="Y419" s="1" t="n">
        <f aca="false">IF($A419="","",IF(OR(O419=0,O419="",P419=0),"",P419/O419))</f>
        <v>0.695652173913044</v>
      </c>
      <c r="Z419" s="1" t="str">
        <f aca="false">IF($A419="","",IFERROR(INDEX(物件収支!$E:$E,MATCH($A419,物件収支!$A:$A,0)),""))</f>
        <v>開示（物件別・費用内訳含む、百万円単位）</v>
      </c>
    </row>
    <row r="420" customFormat="false" ht="15" hidden="false" customHeight="true" outlineLevel="0" collapsed="false">
      <c r="A420" s="1" t="str">
        <f aca="false">IF(物件マスタ!A420="","",物件マスタ!A420)</f>
        <v>NUD-34</v>
      </c>
      <c r="B420" s="1" t="str">
        <f aca="false">IF($A420="","",物件マスタ!B420)</f>
        <v>NUD</v>
      </c>
      <c r="C420" s="1" t="str">
        <f aca="false">IF($A420="","",IFERROR(INDEX(法人マスタ!$C:$C,MATCH($B420,法人マスタ!$A:$A,0)),""))</f>
        <v>NTT都市開発リート投資法人</v>
      </c>
      <c r="D420" s="1" t="str">
        <f aca="false">IF($A420="","",物件マスタ!C420)</f>
        <v>プレミアステージ三田慶大前</v>
      </c>
      <c r="E420" s="1" t="str">
        <f aca="false">IF($A420="","",物件マスタ!H420)</f>
        <v>都心5区</v>
      </c>
      <c r="F420" s="1" t="n">
        <f aca="false">IF($A420="","",物件マスタ!P420)</f>
        <v>0</v>
      </c>
      <c r="G420" s="1" t="str">
        <f aca="false">IF($A420="","",物件マスタ!Q420)</f>
        <v/>
      </c>
      <c r="H420" s="1" t="n">
        <f aca="false">IF($A420="","",物件マスタ!L420)</f>
        <v>1748.2</v>
      </c>
      <c r="I420" s="1" t="n">
        <f aca="false">IF($A420="","",物件マスタ!M420)</f>
        <v>0</v>
      </c>
      <c r="J420" s="1" t="n">
        <f aca="false">IF($A420="","",物件マスタ!S420)</f>
        <v>1580</v>
      </c>
      <c r="K420" s="1" t="n">
        <f aca="false">IF($A420="","",物件マスタ!U420)</f>
        <v>2290</v>
      </c>
      <c r="L420" s="1" t="n">
        <f aca="false">IF($A420="","",物件マスタ!W420)</f>
        <v>0.968</v>
      </c>
      <c r="M420" s="1" t="str">
        <f aca="false">IF($A420="","",IFERROR(INDEX(法人マスタ!$H:$H,MATCH($B420,法人マスタ!$A:$A,0)),""))</f>
        <v>2026年4月期（第47期）</v>
      </c>
      <c r="N420" s="1" t="n">
        <f aca="false">IF($A420="","",SUMIFS(物件収支!$D:$D,物件収支!$A:$A,$A420,物件収支!$C:$C,$M420))</f>
        <v>6</v>
      </c>
      <c r="O420" s="1" t="n">
        <f aca="false">IF($A420="","",SUMIFS(物件収支!$F:$F,物件収支!$A:$A,$A420,物件収支!$C:$C,$M420))</f>
        <v>53000</v>
      </c>
      <c r="P420" s="1" t="n">
        <f aca="false">IF($A420="","",SUMIFS(物件収支!$I:$I,物件収支!$A:$A,$A420,物件収支!$C:$C,$M420))</f>
        <v>15000</v>
      </c>
      <c r="Q420" s="1" t="n">
        <f aca="false">IF($A420="","",SUMIFS(物件収支!$O:$O,物件収支!$A:$A,$A420,物件収支!$C:$C,$M420))</f>
        <v>5000</v>
      </c>
      <c r="R420" s="1" t="n">
        <f aca="false">IF($A420="","",IF(P420=0,"",O420-P420))</f>
        <v>38000</v>
      </c>
      <c r="S420" s="1" t="n">
        <f aca="false">IF($A420="","",IF(R420="","",R420+Q420))</f>
        <v>43000</v>
      </c>
      <c r="T420" s="1" t="n">
        <f aca="false">IF($A420="","",IF(OR(S420="",N420&lt;=0),"",S420/1000*12/N420))</f>
        <v>86</v>
      </c>
      <c r="U420" s="1" t="n">
        <f aca="false">IF($A420="","",IF(OR(T420="",J420=0,J420=""),"",T420/J420))</f>
        <v>0.0544303797468354</v>
      </c>
      <c r="V420" s="1" t="n">
        <f aca="false">IF($A420="","",IF(OR(R420="",N420&lt;=0,J420=0,J420=""),"",(R420/1000*12/N420)/J420))</f>
        <v>0.0481012658227848</v>
      </c>
      <c r="W420" s="1" t="n">
        <f aca="false">IF($A420="","",IF(OR(T420="",K420=0,K420=""),"",T420/K420))</f>
        <v>0.0375545851528384</v>
      </c>
      <c r="X420" s="1" t="str">
        <f aca="false">IF($A420="","",IF(OR(N420&lt;=0,I420=0,I420="",O420=0),"",O420*1000/(I420*0.3025)/N420))</f>
        <v/>
      </c>
      <c r="Y420" s="1" t="n">
        <f aca="false">IF($A420="","",IF(OR(O420=0,O420="",P420=0),"",P420/O420))</f>
        <v>0.283018867924528</v>
      </c>
      <c r="Z420" s="1" t="str">
        <f aca="false">IF($A420="","",IFERROR(INDEX(物件収支!$E:$E,MATCH($A420,物件収支!$A:$A,0)),""))</f>
        <v>開示（物件別・費用内訳含む、百万円単位）</v>
      </c>
    </row>
    <row r="421" customFormat="false" ht="15" hidden="false" customHeight="true" outlineLevel="0" collapsed="false">
      <c r="A421" s="1" t="str">
        <f aca="false">IF(物件マスタ!A421="","",物件マスタ!A421)</f>
        <v>NUD-35</v>
      </c>
      <c r="B421" s="1" t="str">
        <f aca="false">IF($A421="","",物件マスタ!B421)</f>
        <v>NUD</v>
      </c>
      <c r="C421" s="1" t="str">
        <f aca="false">IF($A421="","",IFERROR(INDEX(法人マスタ!$C:$C,MATCH($B421,法人マスタ!$A:$A,0)),""))</f>
        <v>NTT都市開発リート投資法人</v>
      </c>
      <c r="D421" s="1" t="str">
        <f aca="false">IF($A421="","",物件マスタ!C421)</f>
        <v>プレミアロッソ</v>
      </c>
      <c r="E421" s="1" t="str">
        <f aca="false">IF($A421="","",物件マスタ!H421)</f>
        <v>都心5区</v>
      </c>
      <c r="F421" s="1" t="n">
        <f aca="false">IF($A421="","",物件マスタ!P421)</f>
        <v>0</v>
      </c>
      <c r="G421" s="1" t="str">
        <f aca="false">IF($A421="","",物件マスタ!Q421)</f>
        <v/>
      </c>
      <c r="H421" s="1" t="n">
        <f aca="false">IF($A421="","",物件マスタ!L421)</f>
        <v>2487.72</v>
      </c>
      <c r="I421" s="1" t="n">
        <f aca="false">IF($A421="","",物件マスタ!M421)</f>
        <v>0</v>
      </c>
      <c r="J421" s="1" t="n">
        <f aca="false">IF($A421="","",物件マスタ!S421)</f>
        <v>1662</v>
      </c>
      <c r="K421" s="1" t="n">
        <f aca="false">IF($A421="","",物件マスタ!U421)</f>
        <v>2290</v>
      </c>
      <c r="L421" s="1" t="n">
        <f aca="false">IF($A421="","",物件マスタ!W421)</f>
        <v>1</v>
      </c>
      <c r="M421" s="1" t="str">
        <f aca="false">IF($A421="","",IFERROR(INDEX(法人マスタ!$H:$H,MATCH($B421,法人マスタ!$A:$A,0)),""))</f>
        <v>2026年4月期（第47期）</v>
      </c>
      <c r="N421" s="1" t="n">
        <f aca="false">IF($A421="","",SUMIFS(物件収支!$D:$D,物件収支!$A:$A,$A421,物件収支!$C:$C,$M421))</f>
        <v>6</v>
      </c>
      <c r="O421" s="1" t="n">
        <f aca="false">IF($A421="","",SUMIFS(物件収支!$F:$F,物件収支!$A:$A,$A421,物件収支!$C:$C,$M421))</f>
        <v>62000</v>
      </c>
      <c r="P421" s="1" t="n">
        <f aca="false">IF($A421="","",SUMIFS(物件収支!$I:$I,物件収支!$A:$A,$A421,物件収支!$C:$C,$M421))</f>
        <v>23000</v>
      </c>
      <c r="Q421" s="1" t="n">
        <f aca="false">IF($A421="","",SUMIFS(物件収支!$O:$O,物件収支!$A:$A,$A421,物件収支!$C:$C,$M421))</f>
        <v>10000</v>
      </c>
      <c r="R421" s="1" t="n">
        <f aca="false">IF($A421="","",IF(P421=0,"",O421-P421))</f>
        <v>39000</v>
      </c>
      <c r="S421" s="1" t="n">
        <f aca="false">IF($A421="","",IF(R421="","",R421+Q421))</f>
        <v>49000</v>
      </c>
      <c r="T421" s="1" t="n">
        <f aca="false">IF($A421="","",IF(OR(S421="",N421&lt;=0),"",S421/1000*12/N421))</f>
        <v>98</v>
      </c>
      <c r="U421" s="1" t="n">
        <f aca="false">IF($A421="","",IF(OR(T421="",J421=0,J421=""),"",T421/J421))</f>
        <v>0.0589651022864019</v>
      </c>
      <c r="V421" s="1" t="n">
        <f aca="false">IF($A421="","",IF(OR(R421="",N421&lt;=0,J421=0,J421=""),"",(R421/1000*12/N421)/J421))</f>
        <v>0.0469314079422383</v>
      </c>
      <c r="W421" s="1" t="n">
        <f aca="false">IF($A421="","",IF(OR(T421="",K421=0,K421=""),"",T421/K421))</f>
        <v>0.0427947598253275</v>
      </c>
      <c r="X421" s="1" t="str">
        <f aca="false">IF($A421="","",IF(OR(N421&lt;=0,I421=0,I421="",O421=0),"",O421*1000/(I421*0.3025)/N421))</f>
        <v/>
      </c>
      <c r="Y421" s="1" t="n">
        <f aca="false">IF($A421="","",IF(OR(O421=0,O421="",P421=0),"",P421/O421))</f>
        <v>0.370967741935484</v>
      </c>
      <c r="Z421" s="1" t="str">
        <f aca="false">IF($A421="","",IFERROR(INDEX(物件収支!$E:$E,MATCH($A421,物件収支!$A:$A,0)),""))</f>
        <v>開示（物件別・費用内訳含む、百万円単位）</v>
      </c>
    </row>
    <row r="422" customFormat="false" ht="15" hidden="false" customHeight="true" outlineLevel="0" collapsed="false">
      <c r="A422" s="1" t="str">
        <f aca="false">IF(物件マスタ!A422="","",物件マスタ!A422)</f>
        <v>NUD-36</v>
      </c>
      <c r="B422" s="1" t="str">
        <f aca="false">IF($A422="","",物件マスタ!B422)</f>
        <v>NUD</v>
      </c>
      <c r="C422" s="1" t="str">
        <f aca="false">IF($A422="","",IFERROR(INDEX(法人マスタ!$C:$C,MATCH($B422,法人マスタ!$A:$A,0)),""))</f>
        <v>NTT都市開発リート投資法人</v>
      </c>
      <c r="D422" s="1" t="str">
        <f aca="false">IF($A422="","",物件マスタ!C422)</f>
        <v>プレミアブラン代々木公園</v>
      </c>
      <c r="E422" s="1" t="str">
        <f aca="false">IF($A422="","",物件マスタ!H422)</f>
        <v>都心5区</v>
      </c>
      <c r="F422" s="1" t="n">
        <f aca="false">IF($A422="","",物件マスタ!P422)</f>
        <v>0</v>
      </c>
      <c r="G422" s="1" t="str">
        <f aca="false">IF($A422="","",物件マスタ!Q422)</f>
        <v/>
      </c>
      <c r="H422" s="1" t="n">
        <f aca="false">IF($A422="","",物件マスタ!L422)</f>
        <v>3086.04</v>
      </c>
      <c r="I422" s="1" t="n">
        <f aca="false">IF($A422="","",物件マスタ!M422)</f>
        <v>0</v>
      </c>
      <c r="J422" s="1" t="n">
        <f aca="false">IF($A422="","",物件マスタ!S422)</f>
        <v>2330</v>
      </c>
      <c r="K422" s="1" t="n">
        <f aca="false">IF($A422="","",物件マスタ!U422)</f>
        <v>3360</v>
      </c>
      <c r="L422" s="1" t="n">
        <f aca="false">IF($A422="","",物件マスタ!W422)</f>
        <v>0.951</v>
      </c>
      <c r="M422" s="1" t="str">
        <f aca="false">IF($A422="","",IFERROR(INDEX(法人マスタ!$H:$H,MATCH($B422,法人マスタ!$A:$A,0)),""))</f>
        <v>2026年4月期（第47期）</v>
      </c>
      <c r="N422" s="1" t="n">
        <f aca="false">IF($A422="","",SUMIFS(物件収支!$D:$D,物件収支!$A:$A,$A422,物件収支!$C:$C,$M422))</f>
        <v>6</v>
      </c>
      <c r="O422" s="1" t="n">
        <f aca="false">IF($A422="","",SUMIFS(物件収支!$F:$F,物件収支!$A:$A,$A422,物件収支!$C:$C,$M422))</f>
        <v>75000</v>
      </c>
      <c r="P422" s="1" t="n">
        <f aca="false">IF($A422="","",SUMIFS(物件収支!$I:$I,物件収支!$A:$A,$A422,物件収支!$C:$C,$M422))</f>
        <v>31000</v>
      </c>
      <c r="Q422" s="1" t="n">
        <f aca="false">IF($A422="","",SUMIFS(物件収支!$O:$O,物件収支!$A:$A,$A422,物件収支!$C:$C,$M422))</f>
        <v>15000</v>
      </c>
      <c r="R422" s="1" t="n">
        <f aca="false">IF($A422="","",IF(P422=0,"",O422-P422))</f>
        <v>44000</v>
      </c>
      <c r="S422" s="1" t="n">
        <f aca="false">IF($A422="","",IF(R422="","",R422+Q422))</f>
        <v>59000</v>
      </c>
      <c r="T422" s="1" t="n">
        <f aca="false">IF($A422="","",IF(OR(S422="",N422&lt;=0),"",S422/1000*12/N422))</f>
        <v>118</v>
      </c>
      <c r="U422" s="1" t="n">
        <f aca="false">IF($A422="","",IF(OR(T422="",J422=0,J422=""),"",T422/J422))</f>
        <v>0.0506437768240343</v>
      </c>
      <c r="V422" s="1" t="n">
        <f aca="false">IF($A422="","",IF(OR(R422="",N422&lt;=0,J422=0,J422=""),"",(R422/1000*12/N422)/J422))</f>
        <v>0.0377682403433476</v>
      </c>
      <c r="W422" s="1" t="n">
        <f aca="false">IF($A422="","",IF(OR(T422="",K422=0,K422=""),"",T422/K422))</f>
        <v>0.0351190476190476</v>
      </c>
      <c r="X422" s="1" t="str">
        <f aca="false">IF($A422="","",IF(OR(N422&lt;=0,I422=0,I422="",O422=0),"",O422*1000/(I422*0.3025)/N422))</f>
        <v/>
      </c>
      <c r="Y422" s="1" t="n">
        <f aca="false">IF($A422="","",IF(OR(O422=0,O422="",P422=0),"",P422/O422))</f>
        <v>0.413333333333333</v>
      </c>
      <c r="Z422" s="1" t="str">
        <f aca="false">IF($A422="","",IFERROR(INDEX(物件収支!$E:$E,MATCH($A422,物件収支!$A:$A,0)),""))</f>
        <v>開示（物件別・費用内訳含む、百万円単位）</v>
      </c>
    </row>
    <row r="423" customFormat="false" ht="15" hidden="false" customHeight="true" outlineLevel="0" collapsed="false">
      <c r="A423" s="1" t="str">
        <f aca="false">IF(物件マスタ!A423="","",物件マスタ!A423)</f>
        <v>NUD-37</v>
      </c>
      <c r="B423" s="1" t="str">
        <f aca="false">IF($A423="","",物件マスタ!B423)</f>
        <v>NUD</v>
      </c>
      <c r="C423" s="1" t="str">
        <f aca="false">IF($A423="","",IFERROR(INDEX(法人マスタ!$C:$C,MATCH($B423,法人マスタ!$A:$A,0)),""))</f>
        <v>NTT都市開発リート投資法人</v>
      </c>
      <c r="D423" s="1" t="str">
        <f aca="false">IF($A423="","",物件マスタ!C423)</f>
        <v>プレミアステージ内神田</v>
      </c>
      <c r="E423" s="1" t="str">
        <f aca="false">IF($A423="","",物件マスタ!H423)</f>
        <v>都心5区</v>
      </c>
      <c r="F423" s="1" t="n">
        <f aca="false">IF($A423="","",物件マスタ!P423)</f>
        <v>0</v>
      </c>
      <c r="G423" s="1" t="str">
        <f aca="false">IF($A423="","",物件マスタ!Q423)</f>
        <v/>
      </c>
      <c r="H423" s="1" t="n">
        <f aca="false">IF($A423="","",物件マスタ!L423)</f>
        <v>2458.84</v>
      </c>
      <c r="I423" s="1" t="n">
        <f aca="false">IF($A423="","",物件マスタ!M423)</f>
        <v>0</v>
      </c>
      <c r="J423" s="1" t="n">
        <f aca="false">IF($A423="","",物件マスタ!S423)</f>
        <v>1723</v>
      </c>
      <c r="K423" s="1" t="n">
        <f aca="false">IF($A423="","",物件マスタ!U423)</f>
        <v>2360</v>
      </c>
      <c r="L423" s="1" t="n">
        <f aca="false">IF($A423="","",物件マスタ!W423)</f>
        <v>1</v>
      </c>
      <c r="M423" s="1" t="str">
        <f aca="false">IF($A423="","",IFERROR(INDEX(法人マスタ!$H:$H,MATCH($B423,法人マスタ!$A:$A,0)),""))</f>
        <v>2026年4月期（第47期）</v>
      </c>
      <c r="N423" s="1" t="n">
        <f aca="false">IF($A423="","",SUMIFS(物件収支!$D:$D,物件収支!$A:$A,$A423,物件収支!$C:$C,$M423))</f>
        <v>6</v>
      </c>
      <c r="O423" s="1" t="n">
        <f aca="false">IF($A423="","",SUMIFS(物件収支!$F:$F,物件収支!$A:$A,$A423,物件収支!$C:$C,$M423))</f>
        <v>63000</v>
      </c>
      <c r="P423" s="1" t="n">
        <f aca="false">IF($A423="","",SUMIFS(物件収支!$I:$I,物件収支!$A:$A,$A423,物件収支!$C:$C,$M423))</f>
        <v>19000</v>
      </c>
      <c r="Q423" s="1" t="n">
        <f aca="false">IF($A423="","",SUMIFS(物件収支!$O:$O,物件収支!$A:$A,$A423,物件収支!$C:$C,$M423))</f>
        <v>9000</v>
      </c>
      <c r="R423" s="1" t="n">
        <f aca="false">IF($A423="","",IF(P423=0,"",O423-P423))</f>
        <v>44000</v>
      </c>
      <c r="S423" s="1" t="n">
        <f aca="false">IF($A423="","",IF(R423="","",R423+Q423))</f>
        <v>53000</v>
      </c>
      <c r="T423" s="1" t="n">
        <f aca="false">IF($A423="","",IF(OR(S423="",N423&lt;=0),"",S423/1000*12/N423))</f>
        <v>106</v>
      </c>
      <c r="U423" s="1" t="n">
        <f aca="false">IF($A423="","",IF(OR(T423="",J423=0,J423=""),"",T423/J423))</f>
        <v>0.0615206035983749</v>
      </c>
      <c r="V423" s="1" t="n">
        <f aca="false">IF($A423="","",IF(OR(R423="",N423&lt;=0,J423=0,J423=""),"",(R423/1000*12/N423)/J423))</f>
        <v>0.0510737086477075</v>
      </c>
      <c r="W423" s="1" t="n">
        <f aca="false">IF($A423="","",IF(OR(T423="",K423=0,K423=""),"",T423/K423))</f>
        <v>0.0449152542372881</v>
      </c>
      <c r="X423" s="1" t="str">
        <f aca="false">IF($A423="","",IF(OR(N423&lt;=0,I423=0,I423="",O423=0),"",O423*1000/(I423*0.3025)/N423))</f>
        <v/>
      </c>
      <c r="Y423" s="1" t="n">
        <f aca="false">IF($A423="","",IF(OR(O423=0,O423="",P423=0),"",P423/O423))</f>
        <v>0.301587301587302</v>
      </c>
      <c r="Z423" s="1" t="str">
        <f aca="false">IF($A423="","",IFERROR(INDEX(物件収支!$E:$E,MATCH($A423,物件収支!$A:$A,0)),""))</f>
        <v>開示（物件別・費用内訳含む、百万円単位）</v>
      </c>
    </row>
    <row r="424" customFormat="false" ht="15" hidden="false" customHeight="true" outlineLevel="0" collapsed="false">
      <c r="A424" s="1" t="str">
        <f aca="false">IF(物件マスタ!A424="","",物件マスタ!A424)</f>
        <v>NUD-38</v>
      </c>
      <c r="B424" s="1" t="str">
        <f aca="false">IF($A424="","",物件マスタ!B424)</f>
        <v>NUD</v>
      </c>
      <c r="C424" s="1" t="str">
        <f aca="false">IF($A424="","",IFERROR(INDEX(法人マスタ!$C:$C,MATCH($B424,法人マスタ!$A:$A,0)),""))</f>
        <v>NTT都市開発リート投資法人</v>
      </c>
      <c r="D424" s="1" t="str">
        <f aca="false">IF($A424="","",物件マスタ!C424)</f>
        <v>プレミアステージ市ヶ谷河田町</v>
      </c>
      <c r="E424" s="1" t="str">
        <f aca="false">IF($A424="","",物件マスタ!H424)</f>
        <v>都心5区</v>
      </c>
      <c r="F424" s="1" t="n">
        <f aca="false">IF($A424="","",物件マスタ!P424)</f>
        <v>0</v>
      </c>
      <c r="G424" s="1" t="str">
        <f aca="false">IF($A424="","",物件マスタ!Q424)</f>
        <v/>
      </c>
      <c r="H424" s="1" t="n">
        <f aca="false">IF($A424="","",物件マスタ!L424)</f>
        <v>1779.32</v>
      </c>
      <c r="I424" s="1" t="n">
        <f aca="false">IF($A424="","",物件マスタ!M424)</f>
        <v>0</v>
      </c>
      <c r="J424" s="1" t="n">
        <f aca="false">IF($A424="","",物件マスタ!S424)</f>
        <v>1460</v>
      </c>
      <c r="K424" s="1" t="n">
        <f aca="false">IF($A424="","",物件マスタ!U424)</f>
        <v>2210</v>
      </c>
      <c r="L424" s="1" t="n">
        <f aca="false">IF($A424="","",物件マスタ!W424)</f>
        <v>0.982</v>
      </c>
      <c r="M424" s="1" t="str">
        <f aca="false">IF($A424="","",IFERROR(INDEX(法人マスタ!$H:$H,MATCH($B424,法人マスタ!$A:$A,0)),""))</f>
        <v>2026年4月期（第47期）</v>
      </c>
      <c r="N424" s="1" t="n">
        <f aca="false">IF($A424="","",SUMIFS(物件収支!$D:$D,物件収支!$A:$A,$A424,物件収支!$C:$C,$M424))</f>
        <v>6</v>
      </c>
      <c r="O424" s="1" t="n">
        <f aca="false">IF($A424="","",SUMIFS(物件収支!$F:$F,物件収支!$A:$A,$A424,物件収支!$C:$C,$M424))</f>
        <v>48000</v>
      </c>
      <c r="P424" s="1" t="n">
        <f aca="false">IF($A424="","",SUMIFS(物件収支!$I:$I,物件収支!$A:$A,$A424,物件収支!$C:$C,$M424))</f>
        <v>68000</v>
      </c>
      <c r="Q424" s="1" t="n">
        <f aca="false">IF($A424="","",SUMIFS(物件収支!$O:$O,物件収支!$A:$A,$A424,物件収支!$C:$C,$M424))</f>
        <v>7000</v>
      </c>
      <c r="R424" s="1" t="n">
        <f aca="false">IF($A424="","",IF(P424=0,"",O424-P424))</f>
        <v>-20000</v>
      </c>
      <c r="S424" s="1" t="n">
        <f aca="false">IF($A424="","",IF(R424="","",R424+Q424))</f>
        <v>-13000</v>
      </c>
      <c r="T424" s="1" t="n">
        <f aca="false">IF($A424="","",IF(OR(S424="",N424&lt;=0),"",S424/1000*12/N424))</f>
        <v>-26</v>
      </c>
      <c r="U424" s="1" t="n">
        <f aca="false">IF($A424="","",IF(OR(T424="",J424=0,J424=""),"",T424/J424))</f>
        <v>-0.0178082191780822</v>
      </c>
      <c r="V424" s="1" t="n">
        <f aca="false">IF($A424="","",IF(OR(R424="",N424&lt;=0,J424=0,J424=""),"",(R424/1000*12/N424)/J424))</f>
        <v>-0.0273972602739726</v>
      </c>
      <c r="W424" s="1" t="n">
        <f aca="false">IF($A424="","",IF(OR(T424="",K424=0,K424=""),"",T424/K424))</f>
        <v>-0.0117647058823529</v>
      </c>
      <c r="X424" s="1" t="str">
        <f aca="false">IF($A424="","",IF(OR(N424&lt;=0,I424=0,I424="",O424=0),"",O424*1000/(I424*0.3025)/N424))</f>
        <v/>
      </c>
      <c r="Y424" s="1" t="n">
        <f aca="false">IF($A424="","",IF(OR(O424=0,O424="",P424=0),"",P424/O424))</f>
        <v>1.41666666666667</v>
      </c>
      <c r="Z424" s="1" t="str">
        <f aca="false">IF($A424="","",IFERROR(INDEX(物件収支!$E:$E,MATCH($A424,物件収支!$A:$A,0)),""))</f>
        <v>開示（物件別・費用内訳含む、百万円単位）</v>
      </c>
    </row>
    <row r="425" customFormat="false" ht="15" hidden="false" customHeight="true" outlineLevel="0" collapsed="false">
      <c r="A425" s="1" t="str">
        <f aca="false">IF(物件マスタ!A425="","",物件マスタ!A425)</f>
        <v>NUD-39</v>
      </c>
      <c r="B425" s="1" t="str">
        <f aca="false">IF($A425="","",物件マスタ!B425)</f>
        <v>NUD</v>
      </c>
      <c r="C425" s="1" t="str">
        <f aca="false">IF($A425="","",IFERROR(INDEX(法人マスタ!$C:$C,MATCH($B425,法人マスタ!$A:$A,0)),""))</f>
        <v>NTT都市開発リート投資法人</v>
      </c>
      <c r="D425" s="1" t="str">
        <f aca="false">IF($A425="","",物件マスタ!C425)</f>
        <v>Ｗａｌｋ赤坂</v>
      </c>
      <c r="E425" s="1" t="str">
        <f aca="false">IF($A425="","",物件マスタ!H425)</f>
        <v>都心5区</v>
      </c>
      <c r="F425" s="1" t="n">
        <f aca="false">IF($A425="","",物件マスタ!P425)</f>
        <v>0</v>
      </c>
      <c r="G425" s="1" t="str">
        <f aca="false">IF($A425="","",物件マスタ!Q425)</f>
        <v/>
      </c>
      <c r="H425" s="1" t="n">
        <f aca="false">IF($A425="","",物件マスタ!L425)</f>
        <v>2357.6</v>
      </c>
      <c r="I425" s="1" t="n">
        <f aca="false">IF($A425="","",物件マスタ!M425)</f>
        <v>0</v>
      </c>
      <c r="J425" s="1" t="n">
        <f aca="false">IF($A425="","",物件マスタ!S425)</f>
        <v>2043</v>
      </c>
      <c r="K425" s="1" t="n">
        <f aca="false">IF($A425="","",物件マスタ!U425)</f>
        <v>2050</v>
      </c>
      <c r="L425" s="1" t="n">
        <f aca="false">IF($A425="","",物件マスタ!W425)</f>
        <v>0.94</v>
      </c>
      <c r="M425" s="1" t="str">
        <f aca="false">IF($A425="","",IFERROR(INDEX(法人マスタ!$H:$H,MATCH($B425,法人マスタ!$A:$A,0)),""))</f>
        <v>2026年4月期（第47期）</v>
      </c>
      <c r="N425" s="1" t="n">
        <f aca="false">IF($A425="","",SUMIFS(物件収支!$D:$D,物件収支!$A:$A,$A425,物件収支!$C:$C,$M425))</f>
        <v>6</v>
      </c>
      <c r="O425" s="1" t="n">
        <f aca="false">IF($A425="","",SUMIFS(物件収支!$F:$F,物件収支!$A:$A,$A425,物件収支!$C:$C,$M425))</f>
        <v>53000</v>
      </c>
      <c r="P425" s="1" t="n">
        <f aca="false">IF($A425="","",SUMIFS(物件収支!$I:$I,物件収支!$A:$A,$A425,物件収支!$C:$C,$M425))</f>
        <v>32000</v>
      </c>
      <c r="Q425" s="1" t="n">
        <f aca="false">IF($A425="","",SUMIFS(物件収支!$O:$O,物件収支!$A:$A,$A425,物件収支!$C:$C,$M425))</f>
        <v>11000</v>
      </c>
      <c r="R425" s="1" t="n">
        <f aca="false">IF($A425="","",IF(P425=0,"",O425-P425))</f>
        <v>21000</v>
      </c>
      <c r="S425" s="1" t="n">
        <f aca="false">IF($A425="","",IF(R425="","",R425+Q425))</f>
        <v>32000</v>
      </c>
      <c r="T425" s="1" t="n">
        <f aca="false">IF($A425="","",IF(OR(S425="",N425&lt;=0),"",S425/1000*12/N425))</f>
        <v>64</v>
      </c>
      <c r="U425" s="1" t="n">
        <f aca="false">IF($A425="","",IF(OR(T425="",J425=0,J425=""),"",T425/J425))</f>
        <v>0.0313264806656877</v>
      </c>
      <c r="V425" s="1" t="n">
        <f aca="false">IF($A425="","",IF(OR(R425="",N425&lt;=0,J425=0,J425=""),"",(R425/1000*12/N425)/J425))</f>
        <v>0.0205580029368576</v>
      </c>
      <c r="W425" s="1" t="n">
        <f aca="false">IF($A425="","",IF(OR(T425="",K425=0,K425=""),"",T425/K425))</f>
        <v>0.031219512195122</v>
      </c>
      <c r="X425" s="1" t="str">
        <f aca="false">IF($A425="","",IF(OR(N425&lt;=0,I425=0,I425="",O425=0),"",O425*1000/(I425*0.3025)/N425))</f>
        <v/>
      </c>
      <c r="Y425" s="1" t="n">
        <f aca="false">IF($A425="","",IF(OR(O425=0,O425="",P425=0),"",P425/O425))</f>
        <v>0.60377358490566</v>
      </c>
      <c r="Z425" s="1" t="str">
        <f aca="false">IF($A425="","",IFERROR(INDEX(物件収支!$E:$E,MATCH($A425,物件収支!$A:$A,0)),""))</f>
        <v>開示（物件別・費用内訳含む、百万円単位）</v>
      </c>
    </row>
    <row r="426" customFormat="false" ht="15" hidden="false" customHeight="true" outlineLevel="0" collapsed="false">
      <c r="A426" s="1" t="str">
        <f aca="false">IF(物件マスタ!A426="","",物件マスタ!A426)</f>
        <v>NUD-40</v>
      </c>
      <c r="B426" s="1" t="str">
        <f aca="false">IF($A426="","",物件マスタ!B426)</f>
        <v>NUD</v>
      </c>
      <c r="C426" s="1" t="str">
        <f aca="false">IF($A426="","",IFERROR(INDEX(法人マスタ!$C:$C,MATCH($B426,法人マスタ!$A:$A,0)),""))</f>
        <v>NTT都市開発リート投資法人</v>
      </c>
      <c r="D426" s="1" t="str">
        <f aca="false">IF($A426="","",物件マスタ!C426)</f>
        <v>プレミアステージ芝公園</v>
      </c>
      <c r="E426" s="1" t="str">
        <f aca="false">IF($A426="","",物件マスタ!H426)</f>
        <v>都心5区</v>
      </c>
      <c r="F426" s="1" t="n">
        <f aca="false">IF($A426="","",物件マスタ!P426)</f>
        <v>0</v>
      </c>
      <c r="G426" s="1" t="str">
        <f aca="false">IF($A426="","",物件マスタ!Q426)</f>
        <v/>
      </c>
      <c r="H426" s="1" t="n">
        <f aca="false">IF($A426="","",物件マスタ!L426)</f>
        <v>2129.78</v>
      </c>
      <c r="I426" s="1" t="n">
        <f aca="false">IF($A426="","",物件マスタ!M426)</f>
        <v>0</v>
      </c>
      <c r="J426" s="1" t="n">
        <f aca="false">IF($A426="","",物件マスタ!S426)</f>
        <v>1585</v>
      </c>
      <c r="K426" s="1" t="n">
        <f aca="false">IF($A426="","",物件マスタ!U426)</f>
        <v>1930</v>
      </c>
      <c r="L426" s="1" t="n">
        <f aca="false">IF($A426="","",物件マスタ!W426)</f>
        <v>0.953</v>
      </c>
      <c r="M426" s="1" t="str">
        <f aca="false">IF($A426="","",IFERROR(INDEX(法人マスタ!$H:$H,MATCH($B426,法人マスタ!$A:$A,0)),""))</f>
        <v>2026年4月期（第47期）</v>
      </c>
      <c r="N426" s="1" t="n">
        <f aca="false">IF($A426="","",SUMIFS(物件収支!$D:$D,物件収支!$A:$A,$A426,物件収支!$C:$C,$M426))</f>
        <v>6</v>
      </c>
      <c r="O426" s="1" t="n">
        <f aca="false">IF($A426="","",SUMIFS(物件収支!$F:$F,物件収支!$A:$A,$A426,物件収支!$C:$C,$M426))</f>
        <v>46000</v>
      </c>
      <c r="P426" s="1" t="n">
        <f aca="false">IF($A426="","",SUMIFS(物件収支!$I:$I,物件収支!$A:$A,$A426,物件収支!$C:$C,$M426))</f>
        <v>24000</v>
      </c>
      <c r="Q426" s="1" t="n">
        <f aca="false">IF($A426="","",SUMIFS(物件収支!$O:$O,物件収支!$A:$A,$A426,物件収支!$C:$C,$M426))</f>
        <v>8000</v>
      </c>
      <c r="R426" s="1" t="n">
        <f aca="false">IF($A426="","",IF(P426=0,"",O426-P426))</f>
        <v>22000</v>
      </c>
      <c r="S426" s="1" t="n">
        <f aca="false">IF($A426="","",IF(R426="","",R426+Q426))</f>
        <v>30000</v>
      </c>
      <c r="T426" s="1" t="n">
        <f aca="false">IF($A426="","",IF(OR(S426="",N426&lt;=0),"",S426/1000*12/N426))</f>
        <v>60</v>
      </c>
      <c r="U426" s="1" t="n">
        <f aca="false">IF($A426="","",IF(OR(T426="",J426=0,J426=""),"",T426/J426))</f>
        <v>0.0378548895899054</v>
      </c>
      <c r="V426" s="1" t="n">
        <f aca="false">IF($A426="","",IF(OR(R426="",N426&lt;=0,J426=0,J426=""),"",(R426/1000*12/N426)/J426))</f>
        <v>0.0277602523659306</v>
      </c>
      <c r="W426" s="1" t="n">
        <f aca="false">IF($A426="","",IF(OR(T426="",K426=0,K426=""),"",T426/K426))</f>
        <v>0.0310880829015544</v>
      </c>
      <c r="X426" s="1" t="str">
        <f aca="false">IF($A426="","",IF(OR(N426&lt;=0,I426=0,I426="",O426=0),"",O426*1000/(I426*0.3025)/N426))</f>
        <v/>
      </c>
      <c r="Y426" s="1" t="n">
        <f aca="false">IF($A426="","",IF(OR(O426=0,O426="",P426=0),"",P426/O426))</f>
        <v>0.521739130434783</v>
      </c>
      <c r="Z426" s="1" t="str">
        <f aca="false">IF($A426="","",IFERROR(INDEX(物件収支!$E:$E,MATCH($A426,物件収支!$A:$A,0)),""))</f>
        <v>開示（物件別・費用内訳含む、百万円単位）</v>
      </c>
    </row>
    <row r="427" customFormat="false" ht="15" hidden="false" customHeight="true" outlineLevel="0" collapsed="false">
      <c r="A427" s="1" t="str">
        <f aca="false">IF(物件マスタ!A427="","",物件マスタ!A427)</f>
        <v>NUD-41</v>
      </c>
      <c r="B427" s="1" t="str">
        <f aca="false">IF($A427="","",物件マスタ!B427)</f>
        <v>NUD</v>
      </c>
      <c r="C427" s="1" t="str">
        <f aca="false">IF($A427="","",IFERROR(INDEX(法人マスタ!$C:$C,MATCH($B427,法人マスタ!$A:$A,0)),""))</f>
        <v>NTT都市開発リート投資法人</v>
      </c>
      <c r="D427" s="1" t="str">
        <f aca="false">IF($A427="","",物件マスタ!C427)</f>
        <v>ＭＥＷ</v>
      </c>
      <c r="E427" s="1" t="str">
        <f aca="false">IF($A427="","",物件マスタ!H427)</f>
        <v>都心5区</v>
      </c>
      <c r="F427" s="1" t="n">
        <f aca="false">IF($A427="","",物件マスタ!P427)</f>
        <v>0</v>
      </c>
      <c r="G427" s="1" t="str">
        <f aca="false">IF($A427="","",物件マスタ!Q427)</f>
        <v/>
      </c>
      <c r="H427" s="1" t="n">
        <f aca="false">IF($A427="","",物件マスタ!L427)</f>
        <v>1826.5</v>
      </c>
      <c r="I427" s="1" t="n">
        <f aca="false">IF($A427="","",物件マスタ!M427)</f>
        <v>0</v>
      </c>
      <c r="J427" s="1" t="n">
        <f aca="false">IF($A427="","",物件マスタ!S427)</f>
        <v>1556</v>
      </c>
      <c r="K427" s="1" t="n">
        <f aca="false">IF($A427="","",物件マスタ!U427)</f>
        <v>1620</v>
      </c>
      <c r="L427" s="1" t="n">
        <f aca="false">IF($A427="","",物件マスタ!W427)</f>
        <v>0.963</v>
      </c>
      <c r="M427" s="1" t="str">
        <f aca="false">IF($A427="","",IFERROR(INDEX(法人マスタ!$H:$H,MATCH($B427,法人マスタ!$A:$A,0)),""))</f>
        <v>2026年4月期（第47期）</v>
      </c>
      <c r="N427" s="1" t="n">
        <f aca="false">IF($A427="","",SUMIFS(物件収支!$D:$D,物件収支!$A:$A,$A427,物件収支!$C:$C,$M427))</f>
        <v>6</v>
      </c>
      <c r="O427" s="1" t="n">
        <f aca="false">IF($A427="","",SUMIFS(物件収支!$F:$F,物件収支!$A:$A,$A427,物件収支!$C:$C,$M427))</f>
        <v>38000</v>
      </c>
      <c r="P427" s="1" t="n">
        <f aca="false">IF($A427="","",SUMIFS(物件収支!$I:$I,物件収支!$A:$A,$A427,物件収支!$C:$C,$M427))</f>
        <v>126000</v>
      </c>
      <c r="Q427" s="1" t="n">
        <f aca="false">IF($A427="","",SUMIFS(物件収支!$O:$O,物件収支!$A:$A,$A427,物件収支!$C:$C,$M427))</f>
        <v>9000</v>
      </c>
      <c r="R427" s="1" t="n">
        <f aca="false">IF($A427="","",IF(P427=0,"",O427-P427))</f>
        <v>-88000</v>
      </c>
      <c r="S427" s="1" t="n">
        <f aca="false">IF($A427="","",IF(R427="","",R427+Q427))</f>
        <v>-79000</v>
      </c>
      <c r="T427" s="1" t="n">
        <f aca="false">IF($A427="","",IF(OR(S427="",N427&lt;=0),"",S427/1000*12/N427))</f>
        <v>-158</v>
      </c>
      <c r="U427" s="1" t="n">
        <f aca="false">IF($A427="","",IF(OR(T427="",J427=0,J427=""),"",T427/J427))</f>
        <v>-0.101542416452442</v>
      </c>
      <c r="V427" s="1" t="n">
        <f aca="false">IF($A427="","",IF(OR(R427="",N427&lt;=0,J427=0,J427=""),"",(R427/1000*12/N427)/J427))</f>
        <v>-0.113110539845758</v>
      </c>
      <c r="W427" s="1" t="n">
        <f aca="false">IF($A427="","",IF(OR(T427="",K427=0,K427=""),"",T427/K427))</f>
        <v>-0.0975308641975309</v>
      </c>
      <c r="X427" s="1" t="str">
        <f aca="false">IF($A427="","",IF(OR(N427&lt;=0,I427=0,I427="",O427=0),"",O427*1000/(I427*0.3025)/N427))</f>
        <v/>
      </c>
      <c r="Y427" s="1" t="n">
        <f aca="false">IF($A427="","",IF(OR(O427=0,O427="",P427=0),"",P427/O427))</f>
        <v>3.31578947368421</v>
      </c>
      <c r="Z427" s="1" t="str">
        <f aca="false">IF($A427="","",IFERROR(INDEX(物件収支!$E:$E,MATCH($A427,物件収支!$A:$A,0)),""))</f>
        <v>開示（物件別・費用内訳含む、百万円単位）</v>
      </c>
    </row>
    <row r="428" customFormat="false" ht="15" hidden="false" customHeight="true" outlineLevel="0" collapsed="false">
      <c r="A428" s="1" t="str">
        <f aca="false">IF(物件マスタ!A428="","",物件マスタ!A428)</f>
        <v>NUD-42</v>
      </c>
      <c r="B428" s="1" t="str">
        <f aca="false">IF($A428="","",物件マスタ!B428)</f>
        <v>NUD</v>
      </c>
      <c r="C428" s="1" t="str">
        <f aca="false">IF($A428="","",IFERROR(INDEX(法人マスタ!$C:$C,MATCH($B428,法人マスタ!$A:$A,0)),""))</f>
        <v>NTT都市開発リート投資法人</v>
      </c>
      <c r="D428" s="1" t="str">
        <f aca="false">IF($A428="","",物件マスタ!C428)</f>
        <v>芝浦アイランド エアタワー</v>
      </c>
      <c r="E428" s="1" t="str">
        <f aca="false">IF($A428="","",物件マスタ!H428)</f>
        <v>都心5区</v>
      </c>
      <c r="F428" s="1" t="n">
        <f aca="false">IF($A428="","",物件マスタ!P428)</f>
        <v>0</v>
      </c>
      <c r="G428" s="1" t="str">
        <f aca="false">IF($A428="","",物件マスタ!Q428)</f>
        <v/>
      </c>
      <c r="H428" s="1" t="n">
        <f aca="false">IF($A428="","",物件マスタ!L428)</f>
        <v>81760</v>
      </c>
      <c r="I428" s="1" t="n">
        <f aca="false">IF($A428="","",物件マスタ!M428)</f>
        <v>0</v>
      </c>
      <c r="J428" s="1" t="n">
        <f aca="false">IF($A428="","",物件マスタ!S428)</f>
        <v>7590</v>
      </c>
      <c r="K428" s="1" t="n">
        <f aca="false">IF($A428="","",物件マスタ!U428)</f>
        <v>8210</v>
      </c>
      <c r="L428" s="1" t="n">
        <f aca="false">IF($A428="","",物件マスタ!W428)</f>
        <v>0.963</v>
      </c>
      <c r="M428" s="1" t="str">
        <f aca="false">IF($A428="","",IFERROR(INDEX(法人マスタ!$H:$H,MATCH($B428,法人マスタ!$A:$A,0)),""))</f>
        <v>2026年4月期（第47期）</v>
      </c>
      <c r="N428" s="1" t="n">
        <f aca="false">IF($A428="","",SUMIFS(物件収支!$D:$D,物件収支!$A:$A,$A428,物件収支!$C:$C,$M428))</f>
        <v>6</v>
      </c>
      <c r="O428" s="1" t="n">
        <f aca="false">IF($A428="","",SUMIFS(物件収支!$F:$F,物件収支!$A:$A,$A428,物件収支!$C:$C,$M428))</f>
        <v>395000</v>
      </c>
      <c r="P428" s="1" t="n">
        <f aca="false">IF($A428="","",SUMIFS(物件収支!$I:$I,物件収支!$A:$A,$A428,物件収支!$C:$C,$M428))</f>
        <v>299000</v>
      </c>
      <c r="Q428" s="1" t="n">
        <f aca="false">IF($A428="","",SUMIFS(物件収支!$O:$O,物件収支!$A:$A,$A428,物件収支!$C:$C,$M428))</f>
        <v>80000</v>
      </c>
      <c r="R428" s="1" t="n">
        <f aca="false">IF($A428="","",IF(P428=0,"",O428-P428))</f>
        <v>96000</v>
      </c>
      <c r="S428" s="1" t="n">
        <f aca="false">IF($A428="","",IF(R428="","",R428+Q428))</f>
        <v>176000</v>
      </c>
      <c r="T428" s="1" t="n">
        <f aca="false">IF($A428="","",IF(OR(S428="",N428&lt;=0),"",S428/1000*12/N428))</f>
        <v>352</v>
      </c>
      <c r="U428" s="1" t="n">
        <f aca="false">IF($A428="","",IF(OR(T428="",J428=0,J428=""),"",T428/J428))</f>
        <v>0.0463768115942029</v>
      </c>
      <c r="V428" s="1" t="n">
        <f aca="false">IF($A428="","",IF(OR(R428="",N428&lt;=0,J428=0,J428=""),"",(R428/1000*12/N428)/J428))</f>
        <v>0.025296442687747</v>
      </c>
      <c r="W428" s="1" t="n">
        <f aca="false">IF($A428="","",IF(OR(T428="",K428=0,K428=""),"",T428/K428))</f>
        <v>0.0428745432399513</v>
      </c>
      <c r="X428" s="1" t="str">
        <f aca="false">IF($A428="","",IF(OR(N428&lt;=0,I428=0,I428="",O428=0),"",O428*1000/(I428*0.3025)/N428))</f>
        <v/>
      </c>
      <c r="Y428" s="1" t="n">
        <f aca="false">IF($A428="","",IF(OR(O428=0,O428="",P428=0),"",P428/O428))</f>
        <v>0.756962025316456</v>
      </c>
      <c r="Z428" s="1" t="str">
        <f aca="false">IF($A428="","",IFERROR(INDEX(物件収支!$E:$E,MATCH($A428,物件収支!$A:$A,0)),""))</f>
        <v>開示（物件別・費用内訳含む、百万円単位）</v>
      </c>
    </row>
    <row r="429" customFormat="false" ht="15" hidden="false" customHeight="true" outlineLevel="0" collapsed="false">
      <c r="A429" s="1" t="str">
        <f aca="false">IF(物件マスタ!A429="","",物件マスタ!A429)</f>
        <v>NUD-43</v>
      </c>
      <c r="B429" s="1" t="str">
        <f aca="false">IF($A429="","",物件マスタ!B429)</f>
        <v>NUD</v>
      </c>
      <c r="C429" s="1" t="str">
        <f aca="false">IF($A429="","",IFERROR(INDEX(法人マスタ!$C:$C,MATCH($B429,法人マスタ!$A:$A,0)),""))</f>
        <v>NTT都市開発リート投資法人</v>
      </c>
      <c r="D429" s="1" t="str">
        <f aca="false">IF($A429="","",物件マスタ!C429)</f>
        <v>ストーリア赤坂</v>
      </c>
      <c r="E429" s="1" t="str">
        <f aca="false">IF($A429="","",物件マスタ!H429)</f>
        <v>都心5区</v>
      </c>
      <c r="F429" s="1" t="n">
        <f aca="false">IF($A429="","",物件マスタ!P429)</f>
        <v>0</v>
      </c>
      <c r="G429" s="1" t="str">
        <f aca="false">IF($A429="","",物件マスタ!Q429)</f>
        <v/>
      </c>
      <c r="H429" s="1" t="n">
        <f aca="false">IF($A429="","",物件マスタ!L429)</f>
        <v>6329.52</v>
      </c>
      <c r="I429" s="1" t="n">
        <f aca="false">IF($A429="","",物件マスタ!M429)</f>
        <v>0</v>
      </c>
      <c r="J429" s="1" t="n">
        <f aca="false">IF($A429="","",物件マスタ!S429)</f>
        <v>3930</v>
      </c>
      <c r="K429" s="1" t="n">
        <f aca="false">IF($A429="","",物件マスタ!U429)</f>
        <v>4680</v>
      </c>
      <c r="L429" s="1" t="n">
        <f aca="false">IF($A429="","",物件マスタ!W429)</f>
        <v>0.953</v>
      </c>
      <c r="M429" s="1" t="str">
        <f aca="false">IF($A429="","",IFERROR(INDEX(法人マスタ!$H:$H,MATCH($B429,法人マスタ!$A:$A,0)),""))</f>
        <v>2026年4月期（第47期）</v>
      </c>
      <c r="N429" s="1" t="n">
        <f aca="false">IF($A429="","",SUMIFS(物件収支!$D:$D,物件収支!$A:$A,$A429,物件収支!$C:$C,$M429))</f>
        <v>6</v>
      </c>
      <c r="O429" s="1" t="n">
        <f aca="false">IF($A429="","",SUMIFS(物件収支!$F:$F,物件収支!$A:$A,$A429,物件収支!$C:$C,$M429))</f>
        <v>102000</v>
      </c>
      <c r="P429" s="1" t="n">
        <f aca="false">IF($A429="","",SUMIFS(物件収支!$I:$I,物件収支!$A:$A,$A429,物件収支!$C:$C,$M429))</f>
        <v>50000</v>
      </c>
      <c r="Q429" s="1" t="n">
        <f aca="false">IF($A429="","",SUMIFS(物件収支!$O:$O,物件収支!$A:$A,$A429,物件収支!$C:$C,$M429))</f>
        <v>20000</v>
      </c>
      <c r="R429" s="1" t="n">
        <f aca="false">IF($A429="","",IF(P429=0,"",O429-P429))</f>
        <v>52000</v>
      </c>
      <c r="S429" s="1" t="n">
        <f aca="false">IF($A429="","",IF(R429="","",R429+Q429))</f>
        <v>72000</v>
      </c>
      <c r="T429" s="1" t="n">
        <f aca="false">IF($A429="","",IF(OR(S429="",N429&lt;=0),"",S429/1000*12/N429))</f>
        <v>144</v>
      </c>
      <c r="U429" s="1" t="n">
        <f aca="false">IF($A429="","",IF(OR(T429="",J429=0,J429=""),"",T429/J429))</f>
        <v>0.0366412213740458</v>
      </c>
      <c r="V429" s="1" t="n">
        <f aca="false">IF($A429="","",IF(OR(R429="",N429&lt;=0,J429=0,J429=""),"",(R429/1000*12/N429)/J429))</f>
        <v>0.0264631043256997</v>
      </c>
      <c r="W429" s="1" t="n">
        <f aca="false">IF($A429="","",IF(OR(T429="",K429=0,K429=""),"",T429/K429))</f>
        <v>0.0307692307692308</v>
      </c>
      <c r="X429" s="1" t="str">
        <f aca="false">IF($A429="","",IF(OR(N429&lt;=0,I429=0,I429="",O429=0),"",O429*1000/(I429*0.3025)/N429))</f>
        <v/>
      </c>
      <c r="Y429" s="1" t="n">
        <f aca="false">IF($A429="","",IF(OR(O429=0,O429="",P429=0),"",P429/O429))</f>
        <v>0.490196078431373</v>
      </c>
      <c r="Z429" s="1" t="str">
        <f aca="false">IF($A429="","",IFERROR(INDEX(物件収支!$E:$E,MATCH($A429,物件収支!$A:$A,0)),""))</f>
        <v>開示（物件別・費用内訳含む、百万円単位）</v>
      </c>
    </row>
    <row r="430" customFormat="false" ht="15" hidden="false" customHeight="true" outlineLevel="0" collapsed="false">
      <c r="A430" s="1" t="str">
        <f aca="false">IF(物件マスタ!A430="","",物件マスタ!A430)</f>
        <v>NUD-44</v>
      </c>
      <c r="B430" s="1" t="str">
        <f aca="false">IF($A430="","",物件マスタ!B430)</f>
        <v>NUD</v>
      </c>
      <c r="C430" s="1" t="str">
        <f aca="false">IF($A430="","",IFERROR(INDEX(法人マスタ!$C:$C,MATCH($B430,法人マスタ!$A:$A,0)),""))</f>
        <v>NTT都市開発リート投資法人</v>
      </c>
      <c r="D430" s="1" t="str">
        <f aca="false">IF($A430="","",物件マスタ!C430)</f>
        <v>ルネ新宿御苑タワー</v>
      </c>
      <c r="E430" s="1" t="str">
        <f aca="false">IF($A430="","",物件マスタ!H430)</f>
        <v>都心5区</v>
      </c>
      <c r="F430" s="1" t="n">
        <f aca="false">IF($A430="","",物件マスタ!P430)</f>
        <v>0</v>
      </c>
      <c r="G430" s="1" t="str">
        <f aca="false">IF($A430="","",物件マスタ!Q430)</f>
        <v/>
      </c>
      <c r="H430" s="1" t="n">
        <f aca="false">IF($A430="","",物件マスタ!L430)</f>
        <v>11203.4</v>
      </c>
      <c r="I430" s="1" t="n">
        <f aca="false">IF($A430="","",物件マスタ!M430)</f>
        <v>0</v>
      </c>
      <c r="J430" s="1" t="n">
        <f aca="false">IF($A430="","",物件マスタ!S430)</f>
        <v>6500</v>
      </c>
      <c r="K430" s="1" t="n">
        <f aca="false">IF($A430="","",物件マスタ!U430)</f>
        <v>5870</v>
      </c>
      <c r="L430" s="1" t="n">
        <f aca="false">IF($A430="","",物件マスタ!W430)</f>
        <v>0.957</v>
      </c>
      <c r="M430" s="1" t="str">
        <f aca="false">IF($A430="","",IFERROR(INDEX(法人マスタ!$H:$H,MATCH($B430,法人マスタ!$A:$A,0)),""))</f>
        <v>2026年4月期（第47期）</v>
      </c>
      <c r="N430" s="1" t="n">
        <f aca="false">IF($A430="","",SUMIFS(物件収支!$D:$D,物件収支!$A:$A,$A430,物件収支!$C:$C,$M430))</f>
        <v>6</v>
      </c>
      <c r="O430" s="1" t="n">
        <f aca="false">IF($A430="","",SUMIFS(物件収支!$F:$F,物件収支!$A:$A,$A430,物件収支!$C:$C,$M430))</f>
        <v>198000</v>
      </c>
      <c r="P430" s="1" t="n">
        <f aca="false">IF($A430="","",SUMIFS(物件収支!$I:$I,物件収支!$A:$A,$A430,物件収支!$C:$C,$M430))</f>
        <v>143000</v>
      </c>
      <c r="Q430" s="1" t="n">
        <f aca="false">IF($A430="","",SUMIFS(物件収支!$O:$O,物件収支!$A:$A,$A430,物件収支!$C:$C,$M430))</f>
        <v>51000</v>
      </c>
      <c r="R430" s="1" t="n">
        <f aca="false">IF($A430="","",IF(P430=0,"",O430-P430))</f>
        <v>55000</v>
      </c>
      <c r="S430" s="1" t="n">
        <f aca="false">IF($A430="","",IF(R430="","",R430+Q430))</f>
        <v>106000</v>
      </c>
      <c r="T430" s="1" t="n">
        <f aca="false">IF($A430="","",IF(OR(S430="",N430&lt;=0),"",S430/1000*12/N430))</f>
        <v>212</v>
      </c>
      <c r="U430" s="1" t="n">
        <f aca="false">IF($A430="","",IF(OR(T430="",J430=0,J430=""),"",T430/J430))</f>
        <v>0.0326153846153846</v>
      </c>
      <c r="V430" s="1" t="n">
        <f aca="false">IF($A430="","",IF(OR(R430="",N430&lt;=0,J430=0,J430=""),"",(R430/1000*12/N430)/J430))</f>
        <v>0.0169230769230769</v>
      </c>
      <c r="W430" s="1" t="n">
        <f aca="false">IF($A430="","",IF(OR(T430="",K430=0,K430=""),"",T430/K430))</f>
        <v>0.0361158432708688</v>
      </c>
      <c r="X430" s="1" t="str">
        <f aca="false">IF($A430="","",IF(OR(N430&lt;=0,I430=0,I430="",O430=0),"",O430*1000/(I430*0.3025)/N430))</f>
        <v/>
      </c>
      <c r="Y430" s="1" t="n">
        <f aca="false">IF($A430="","",IF(OR(O430=0,O430="",P430=0),"",P430/O430))</f>
        <v>0.722222222222222</v>
      </c>
      <c r="Z430" s="1" t="str">
        <f aca="false">IF($A430="","",IFERROR(INDEX(物件収支!$E:$E,MATCH($A430,物件収支!$A:$A,0)),""))</f>
        <v>開示（物件別・費用内訳含む、百万円単位）</v>
      </c>
    </row>
    <row r="431" customFormat="false" ht="15" hidden="false" customHeight="true" outlineLevel="0" collapsed="false">
      <c r="A431" s="1" t="str">
        <f aca="false">IF(物件マスタ!A431="","",物件マスタ!A431)</f>
        <v>NUD-45</v>
      </c>
      <c r="B431" s="1" t="str">
        <f aca="false">IF($A431="","",物件マスタ!B431)</f>
        <v>NUD</v>
      </c>
      <c r="C431" s="1" t="str">
        <f aca="false">IF($A431="","",IFERROR(INDEX(法人マスタ!$C:$C,MATCH($B431,法人マスタ!$A:$A,0)),""))</f>
        <v>NTT都市開発リート投資法人</v>
      </c>
      <c r="D431" s="1" t="str">
        <f aca="false">IF($A431="","",物件マスタ!C431)</f>
        <v>芝浦アイランド ブルームタワー</v>
      </c>
      <c r="E431" s="1" t="str">
        <f aca="false">IF($A431="","",物件マスタ!H431)</f>
        <v>都心5区</v>
      </c>
      <c r="F431" s="1" t="n">
        <f aca="false">IF($A431="","",物件マスタ!P431)</f>
        <v>0</v>
      </c>
      <c r="G431" s="1" t="str">
        <f aca="false">IF($A431="","",物件マスタ!Q431)</f>
        <v/>
      </c>
      <c r="H431" s="1" t="n">
        <f aca="false">IF($A431="","",物件マスタ!L431)</f>
        <v>104186.74</v>
      </c>
      <c r="I431" s="1" t="n">
        <f aca="false">IF($A431="","",物件マスタ!M431)</f>
        <v>0</v>
      </c>
      <c r="J431" s="1" t="n">
        <f aca="false">IF($A431="","",物件マスタ!S431)</f>
        <v>5500</v>
      </c>
      <c r="K431" s="1" t="n">
        <f aca="false">IF($A431="","",物件マスタ!U431)</f>
        <v>7170</v>
      </c>
      <c r="L431" s="1" t="n">
        <f aca="false">IF($A431="","",物件マスタ!W431)</f>
        <v>0.978</v>
      </c>
      <c r="M431" s="1" t="str">
        <f aca="false">IF($A431="","",IFERROR(INDEX(法人マスタ!$H:$H,MATCH($B431,法人マスタ!$A:$A,0)),""))</f>
        <v>2026年4月期（第47期）</v>
      </c>
      <c r="N431" s="1" t="n">
        <f aca="false">IF($A431="","",SUMIFS(物件収支!$D:$D,物件収支!$A:$A,$A431,物件収支!$C:$C,$M431))</f>
        <v>6</v>
      </c>
      <c r="O431" s="1" t="n">
        <f aca="false">IF($A431="","",SUMIFS(物件収支!$F:$F,物件収支!$A:$A,$A431,物件収支!$C:$C,$M431))</f>
        <v>312000</v>
      </c>
      <c r="P431" s="1" t="n">
        <f aca="false">IF($A431="","",SUMIFS(物件収支!$I:$I,物件収支!$A:$A,$A431,物件収支!$C:$C,$M431))</f>
        <v>203000</v>
      </c>
      <c r="Q431" s="1" t="n">
        <f aca="false">IF($A431="","",SUMIFS(物件収支!$O:$O,物件収支!$A:$A,$A431,物件収支!$C:$C,$M431))</f>
        <v>58000</v>
      </c>
      <c r="R431" s="1" t="n">
        <f aca="false">IF($A431="","",IF(P431=0,"",O431-P431))</f>
        <v>109000</v>
      </c>
      <c r="S431" s="1" t="n">
        <f aca="false">IF($A431="","",IF(R431="","",R431+Q431))</f>
        <v>167000</v>
      </c>
      <c r="T431" s="1" t="n">
        <f aca="false">IF($A431="","",IF(OR(S431="",N431&lt;=0),"",S431/1000*12/N431))</f>
        <v>334</v>
      </c>
      <c r="U431" s="1" t="n">
        <f aca="false">IF($A431="","",IF(OR(T431="",J431=0,J431=""),"",T431/J431))</f>
        <v>0.0607272727272727</v>
      </c>
      <c r="V431" s="1" t="n">
        <f aca="false">IF($A431="","",IF(OR(R431="",N431&lt;=0,J431=0,J431=""),"",(R431/1000*12/N431)/J431))</f>
        <v>0.0396363636363636</v>
      </c>
      <c r="W431" s="1" t="n">
        <f aca="false">IF($A431="","",IF(OR(T431="",K431=0,K431=""),"",T431/K431))</f>
        <v>0.0465829846582985</v>
      </c>
      <c r="X431" s="1" t="str">
        <f aca="false">IF($A431="","",IF(OR(N431&lt;=0,I431=0,I431="",O431=0),"",O431*1000/(I431*0.3025)/N431))</f>
        <v/>
      </c>
      <c r="Y431" s="1" t="n">
        <f aca="false">IF($A431="","",IF(OR(O431=0,O431="",P431=0),"",P431/O431))</f>
        <v>0.650641025641026</v>
      </c>
      <c r="Z431" s="1" t="str">
        <f aca="false">IF($A431="","",IFERROR(INDEX(物件収支!$E:$E,MATCH($A431,物件収支!$A:$A,0)),""))</f>
        <v>開示（物件別・費用内訳含む、百万円単位）</v>
      </c>
    </row>
    <row r="432" customFormat="false" ht="15" hidden="false" customHeight="true" outlineLevel="0" collapsed="false">
      <c r="A432" s="1" t="str">
        <f aca="false">IF(物件マスタ!A432="","",物件マスタ!A432)</f>
        <v>NUD-46</v>
      </c>
      <c r="B432" s="1" t="str">
        <f aca="false">IF($A432="","",物件マスタ!B432)</f>
        <v>NUD</v>
      </c>
      <c r="C432" s="1" t="str">
        <f aca="false">IF($A432="","",IFERROR(INDEX(法人マスタ!$C:$C,MATCH($B432,法人マスタ!$A:$A,0)),""))</f>
        <v>NTT都市開発リート投資法人</v>
      </c>
      <c r="D432" s="1" t="str">
        <f aca="false">IF($A432="","",物件マスタ!C432)</f>
        <v>クエストコート原宿</v>
      </c>
      <c r="E432" s="1" t="str">
        <f aca="false">IF($A432="","",物件マスタ!H432)</f>
        <v>都心5区</v>
      </c>
      <c r="F432" s="1" t="n">
        <f aca="false">IF($A432="","",物件マスタ!P432)</f>
        <v>0</v>
      </c>
      <c r="G432" s="1" t="str">
        <f aca="false">IF($A432="","",物件マスタ!Q432)</f>
        <v/>
      </c>
      <c r="H432" s="1" t="n">
        <f aca="false">IF($A432="","",物件マスタ!L432)</f>
        <v>5408.95</v>
      </c>
      <c r="I432" s="1" t="n">
        <f aca="false">IF($A432="","",物件マスタ!M432)</f>
        <v>0</v>
      </c>
      <c r="J432" s="1" t="n">
        <f aca="false">IF($A432="","",物件マスタ!S432)</f>
        <v>4500</v>
      </c>
      <c r="K432" s="1" t="n">
        <f aca="false">IF($A432="","",物件マスタ!U432)</f>
        <v>6880</v>
      </c>
      <c r="L432" s="1" t="n">
        <f aca="false">IF($A432="","",物件マスタ!W432)</f>
        <v>0.952</v>
      </c>
      <c r="M432" s="1" t="str">
        <f aca="false">IF($A432="","",IFERROR(INDEX(法人マスタ!$H:$H,MATCH($B432,法人マスタ!$A:$A,0)),""))</f>
        <v>2026年4月期（第47期）</v>
      </c>
      <c r="N432" s="1" t="n">
        <f aca="false">IF($A432="","",SUMIFS(物件収支!$D:$D,物件収支!$A:$A,$A432,物件収支!$C:$C,$M432))</f>
        <v>6</v>
      </c>
      <c r="O432" s="1" t="n">
        <f aca="false">IF($A432="","",SUMIFS(物件収支!$F:$F,物件収支!$A:$A,$A432,物件収支!$C:$C,$M432))</f>
        <v>162000</v>
      </c>
      <c r="P432" s="1" t="n">
        <f aca="false">IF($A432="","",SUMIFS(物件収支!$I:$I,物件収支!$A:$A,$A432,物件収支!$C:$C,$M432))</f>
        <v>56000</v>
      </c>
      <c r="Q432" s="1" t="n">
        <f aca="false">IF($A432="","",SUMIFS(物件収支!$O:$O,物件収支!$A:$A,$A432,物件収支!$C:$C,$M432))</f>
        <v>22000</v>
      </c>
      <c r="R432" s="1" t="n">
        <f aca="false">IF($A432="","",IF(P432=0,"",O432-P432))</f>
        <v>106000</v>
      </c>
      <c r="S432" s="1" t="n">
        <f aca="false">IF($A432="","",IF(R432="","",R432+Q432))</f>
        <v>128000</v>
      </c>
      <c r="T432" s="1" t="n">
        <f aca="false">IF($A432="","",IF(OR(S432="",N432&lt;=0),"",S432/1000*12/N432))</f>
        <v>256</v>
      </c>
      <c r="U432" s="1" t="n">
        <f aca="false">IF($A432="","",IF(OR(T432="",J432=0,J432=""),"",T432/J432))</f>
        <v>0.0568888888888889</v>
      </c>
      <c r="V432" s="1" t="n">
        <f aca="false">IF($A432="","",IF(OR(R432="",N432&lt;=0,J432=0,J432=""),"",(R432/1000*12/N432)/J432))</f>
        <v>0.0471111111111111</v>
      </c>
      <c r="W432" s="1" t="n">
        <f aca="false">IF($A432="","",IF(OR(T432="",K432=0,K432=""),"",T432/K432))</f>
        <v>0.0372093023255814</v>
      </c>
      <c r="X432" s="1" t="str">
        <f aca="false">IF($A432="","",IF(OR(N432&lt;=0,I432=0,I432="",O432=0),"",O432*1000/(I432*0.3025)/N432))</f>
        <v/>
      </c>
      <c r="Y432" s="1" t="n">
        <f aca="false">IF($A432="","",IF(OR(O432=0,O432="",P432=0),"",P432/O432))</f>
        <v>0.345679012345679</v>
      </c>
      <c r="Z432" s="1" t="str">
        <f aca="false">IF($A432="","",IFERROR(INDEX(物件収支!$E:$E,MATCH($A432,物件収支!$A:$A,0)),""))</f>
        <v>開示（物件別・費用内訳含む、百万円単位）</v>
      </c>
    </row>
    <row r="433" customFormat="false" ht="15" hidden="false" customHeight="true" outlineLevel="0" collapsed="false">
      <c r="A433" s="1" t="str">
        <f aca="false">IF(物件マスタ!A433="","",物件マスタ!A433)</f>
        <v>NUD-47</v>
      </c>
      <c r="B433" s="1" t="str">
        <f aca="false">IF($A433="","",物件マスタ!B433)</f>
        <v>NUD</v>
      </c>
      <c r="C433" s="1" t="str">
        <f aca="false">IF($A433="","",IFERROR(INDEX(法人マスタ!$C:$C,MATCH($B433,法人マスタ!$A:$A,0)),""))</f>
        <v>NTT都市開発リート投資法人</v>
      </c>
      <c r="D433" s="1" t="str">
        <f aca="false">IF($A433="","",物件マスタ!C433)</f>
        <v>アーバンコート市ヶ谷</v>
      </c>
      <c r="E433" s="1" t="str">
        <f aca="false">IF($A433="","",物件マスタ!H433)</f>
        <v>都心5区</v>
      </c>
      <c r="F433" s="1" t="n">
        <f aca="false">IF($A433="","",物件マスタ!P433)</f>
        <v>0</v>
      </c>
      <c r="G433" s="1" t="str">
        <f aca="false">IF($A433="","",物件マスタ!Q433)</f>
        <v/>
      </c>
      <c r="H433" s="1" t="n">
        <f aca="false">IF($A433="","",物件マスタ!L433)</f>
        <v>3662.97</v>
      </c>
      <c r="I433" s="1" t="n">
        <f aca="false">IF($A433="","",物件マスタ!M433)</f>
        <v>0</v>
      </c>
      <c r="J433" s="1" t="n">
        <f aca="false">IF($A433="","",物件マスタ!S433)</f>
        <v>1385</v>
      </c>
      <c r="K433" s="1" t="n">
        <f aca="false">IF($A433="","",物件マスタ!U433)</f>
        <v>2700</v>
      </c>
      <c r="L433" s="1" t="n">
        <f aca="false">IF($A433="","",物件マスタ!W433)</f>
        <v>0.948</v>
      </c>
      <c r="M433" s="1" t="str">
        <f aca="false">IF($A433="","",IFERROR(INDEX(法人マスタ!$H:$H,MATCH($B433,法人マスタ!$A:$A,0)),""))</f>
        <v>2026年4月期（第47期）</v>
      </c>
      <c r="N433" s="1" t="n">
        <f aca="false">IF($A433="","",SUMIFS(物件収支!$D:$D,物件収支!$A:$A,$A433,物件収支!$C:$C,$M433))</f>
        <v>6</v>
      </c>
      <c r="O433" s="1" t="n">
        <f aca="false">IF($A433="","",SUMIFS(物件収支!$F:$F,物件収支!$A:$A,$A433,物件収支!$C:$C,$M433))</f>
        <v>68000</v>
      </c>
      <c r="P433" s="1" t="n">
        <f aca="false">IF($A433="","",SUMIFS(物件収支!$I:$I,物件収支!$A:$A,$A433,物件収支!$C:$C,$M433))</f>
        <v>28000</v>
      </c>
      <c r="Q433" s="1" t="n">
        <f aca="false">IF($A433="","",SUMIFS(物件収支!$O:$O,物件収支!$A:$A,$A433,物件収支!$C:$C,$M433))</f>
        <v>12000</v>
      </c>
      <c r="R433" s="1" t="n">
        <f aca="false">IF($A433="","",IF(P433=0,"",O433-P433))</f>
        <v>40000</v>
      </c>
      <c r="S433" s="1" t="n">
        <f aca="false">IF($A433="","",IF(R433="","",R433+Q433))</f>
        <v>52000</v>
      </c>
      <c r="T433" s="1" t="n">
        <f aca="false">IF($A433="","",IF(OR(S433="",N433&lt;=0),"",S433/1000*12/N433))</f>
        <v>104</v>
      </c>
      <c r="U433" s="1" t="n">
        <f aca="false">IF($A433="","",IF(OR(T433="",J433=0,J433=""),"",T433/J433))</f>
        <v>0.0750902527075812</v>
      </c>
      <c r="V433" s="1" t="n">
        <f aca="false">IF($A433="","",IF(OR(R433="",N433&lt;=0,J433=0,J433=""),"",(R433/1000*12/N433)/J433))</f>
        <v>0.0577617328519856</v>
      </c>
      <c r="W433" s="1" t="n">
        <f aca="false">IF($A433="","",IF(OR(T433="",K433=0,K433=""),"",T433/K433))</f>
        <v>0.0385185185185185</v>
      </c>
      <c r="X433" s="1" t="str">
        <f aca="false">IF($A433="","",IF(OR(N433&lt;=0,I433=0,I433="",O433=0),"",O433*1000/(I433*0.3025)/N433))</f>
        <v/>
      </c>
      <c r="Y433" s="1" t="n">
        <f aca="false">IF($A433="","",IF(OR(O433=0,O433="",P433=0),"",P433/O433))</f>
        <v>0.411764705882353</v>
      </c>
      <c r="Z433" s="1" t="str">
        <f aca="false">IF($A433="","",IFERROR(INDEX(物件収支!$E:$E,MATCH($A433,物件収支!$A:$A,0)),""))</f>
        <v>開示（物件別・費用内訳含む、百万円単位）</v>
      </c>
    </row>
    <row r="434" customFormat="false" ht="15" hidden="false" customHeight="true" outlineLevel="0" collapsed="false">
      <c r="A434" s="1" t="str">
        <f aca="false">IF(物件マスタ!A434="","",物件マスタ!A434)</f>
        <v>NUD-48</v>
      </c>
      <c r="B434" s="1" t="str">
        <f aca="false">IF($A434="","",物件マスタ!B434)</f>
        <v>NUD</v>
      </c>
      <c r="C434" s="1" t="str">
        <f aca="false">IF($A434="","",IFERROR(INDEX(法人マスタ!$C:$C,MATCH($B434,法人マスタ!$A:$A,0)),""))</f>
        <v>NTT都市開発リート投資法人</v>
      </c>
      <c r="D434" s="1" t="str">
        <f aca="false">IF($A434="","",物件マスタ!C434)</f>
        <v>プレミアステージ麻布十番</v>
      </c>
      <c r="E434" s="1" t="str">
        <f aca="false">IF($A434="","",物件マスタ!H434)</f>
        <v>都心5区</v>
      </c>
      <c r="F434" s="1" t="n">
        <f aca="false">IF($A434="","",物件マスタ!P434)</f>
        <v>0</v>
      </c>
      <c r="G434" s="1" t="str">
        <f aca="false">IF($A434="","",物件マスタ!Q434)</f>
        <v/>
      </c>
      <c r="H434" s="1" t="n">
        <f aca="false">IF($A434="","",物件マスタ!L434)</f>
        <v>1354.85</v>
      </c>
      <c r="I434" s="1" t="n">
        <f aca="false">IF($A434="","",物件マスタ!M434)</f>
        <v>0</v>
      </c>
      <c r="J434" s="1" t="n">
        <f aca="false">IF($A434="","",物件マスタ!S434)</f>
        <v>1420</v>
      </c>
      <c r="K434" s="1" t="n">
        <f aca="false">IF($A434="","",物件マスタ!U434)</f>
        <v>1800</v>
      </c>
      <c r="L434" s="1" t="n">
        <f aca="false">IF($A434="","",物件マスタ!W434)</f>
        <v>0.944</v>
      </c>
      <c r="M434" s="1" t="str">
        <f aca="false">IF($A434="","",IFERROR(INDEX(法人マスタ!$H:$H,MATCH($B434,法人マスタ!$A:$A,0)),""))</f>
        <v>2026年4月期（第47期）</v>
      </c>
      <c r="N434" s="1" t="n">
        <f aca="false">IF($A434="","",SUMIFS(物件収支!$D:$D,物件収支!$A:$A,$A434,物件収支!$C:$C,$M434))</f>
        <v>6</v>
      </c>
      <c r="O434" s="1" t="n">
        <f aca="false">IF($A434="","",SUMIFS(物件収支!$F:$F,物件収支!$A:$A,$A434,物件収支!$C:$C,$M434))</f>
        <v>48000</v>
      </c>
      <c r="P434" s="1" t="n">
        <f aca="false">IF($A434="","",SUMIFS(物件収支!$I:$I,物件収支!$A:$A,$A434,物件収支!$C:$C,$M434))</f>
        <v>22000</v>
      </c>
      <c r="Q434" s="1" t="n">
        <f aca="false">IF($A434="","",SUMIFS(物件収支!$O:$O,物件収支!$A:$A,$A434,物件収支!$C:$C,$M434))</f>
        <v>4000</v>
      </c>
      <c r="R434" s="1" t="n">
        <f aca="false">IF($A434="","",IF(P434=0,"",O434-P434))</f>
        <v>26000</v>
      </c>
      <c r="S434" s="1" t="n">
        <f aca="false">IF($A434="","",IF(R434="","",R434+Q434))</f>
        <v>30000</v>
      </c>
      <c r="T434" s="1" t="n">
        <f aca="false">IF($A434="","",IF(OR(S434="",N434&lt;=0),"",S434/1000*12/N434))</f>
        <v>60</v>
      </c>
      <c r="U434" s="1" t="n">
        <f aca="false">IF($A434="","",IF(OR(T434="",J434=0,J434=""),"",T434/J434))</f>
        <v>0.0422535211267606</v>
      </c>
      <c r="V434" s="1" t="n">
        <f aca="false">IF($A434="","",IF(OR(R434="",N434&lt;=0,J434=0,J434=""),"",(R434/1000*12/N434)/J434))</f>
        <v>0.0366197183098592</v>
      </c>
      <c r="W434" s="1" t="n">
        <f aca="false">IF($A434="","",IF(OR(T434="",K434=0,K434=""),"",T434/K434))</f>
        <v>0.0333333333333333</v>
      </c>
      <c r="X434" s="1" t="str">
        <f aca="false">IF($A434="","",IF(OR(N434&lt;=0,I434=0,I434="",O434=0),"",O434*1000/(I434*0.3025)/N434))</f>
        <v/>
      </c>
      <c r="Y434" s="1" t="n">
        <f aca="false">IF($A434="","",IF(OR(O434=0,O434="",P434=0),"",P434/O434))</f>
        <v>0.458333333333333</v>
      </c>
      <c r="Z434" s="1" t="str">
        <f aca="false">IF($A434="","",IFERROR(INDEX(物件収支!$E:$E,MATCH($A434,物件収支!$A:$A,0)),""))</f>
        <v>開示（物件別・費用内訳含む、百万円単位）</v>
      </c>
    </row>
    <row r="435" customFormat="false" ht="15" hidden="false" customHeight="true" outlineLevel="0" collapsed="false">
      <c r="A435" s="1" t="str">
        <f aca="false">IF(物件マスタ!A435="","",物件マスタ!A435)</f>
        <v>NUD-49</v>
      </c>
      <c r="B435" s="1" t="str">
        <f aca="false">IF($A435="","",物件マスタ!B435)</f>
        <v>NUD</v>
      </c>
      <c r="C435" s="1" t="str">
        <f aca="false">IF($A435="","",IFERROR(INDEX(法人マスタ!$C:$C,MATCH($B435,法人マスタ!$A:$A,0)),""))</f>
        <v>NTT都市開発リート投資法人</v>
      </c>
      <c r="D435" s="1" t="str">
        <f aca="false">IF($A435="","",物件マスタ!C435)</f>
        <v>プレミアステージ笹塚</v>
      </c>
      <c r="E435" s="1" t="str">
        <f aca="false">IF($A435="","",物件マスタ!H435)</f>
        <v>都心5区</v>
      </c>
      <c r="F435" s="1" t="n">
        <f aca="false">IF($A435="","",物件マスタ!P435)</f>
        <v>0</v>
      </c>
      <c r="G435" s="1" t="str">
        <f aca="false">IF($A435="","",物件マスタ!Q435)</f>
        <v/>
      </c>
      <c r="H435" s="1" t="n">
        <f aca="false">IF($A435="","",物件マスタ!L435)</f>
        <v>1452.61</v>
      </c>
      <c r="I435" s="1" t="n">
        <f aca="false">IF($A435="","",物件マスタ!M435)</f>
        <v>0</v>
      </c>
      <c r="J435" s="1" t="n">
        <f aca="false">IF($A435="","",物件マスタ!S435)</f>
        <v>1080</v>
      </c>
      <c r="K435" s="1" t="n">
        <f aca="false">IF($A435="","",物件マスタ!U435)</f>
        <v>1350</v>
      </c>
      <c r="L435" s="1" t="n">
        <f aca="false">IF($A435="","",物件マスタ!W435)</f>
        <v>0.948</v>
      </c>
      <c r="M435" s="1" t="str">
        <f aca="false">IF($A435="","",IFERROR(INDEX(法人マスタ!$H:$H,MATCH($B435,法人マスタ!$A:$A,0)),""))</f>
        <v>2026年4月期（第47期）</v>
      </c>
      <c r="N435" s="1" t="n">
        <f aca="false">IF($A435="","",SUMIFS(物件収支!$D:$D,物件収支!$A:$A,$A435,物件収支!$C:$C,$M435))</f>
        <v>6</v>
      </c>
      <c r="O435" s="1" t="n">
        <f aca="false">IF($A435="","",SUMIFS(物件収支!$F:$F,物件収支!$A:$A,$A435,物件収支!$C:$C,$M435))</f>
        <v>33000</v>
      </c>
      <c r="P435" s="1" t="n">
        <f aca="false">IF($A435="","",SUMIFS(物件収支!$I:$I,物件収支!$A:$A,$A435,物件収支!$C:$C,$M435))</f>
        <v>12000</v>
      </c>
      <c r="Q435" s="1" t="n">
        <f aca="false">IF($A435="","",SUMIFS(物件収支!$O:$O,物件収支!$A:$A,$A435,物件収支!$C:$C,$M435))</f>
        <v>5000</v>
      </c>
      <c r="R435" s="1" t="n">
        <f aca="false">IF($A435="","",IF(P435=0,"",O435-P435))</f>
        <v>21000</v>
      </c>
      <c r="S435" s="1" t="n">
        <f aca="false">IF($A435="","",IF(R435="","",R435+Q435))</f>
        <v>26000</v>
      </c>
      <c r="T435" s="1" t="n">
        <f aca="false">IF($A435="","",IF(OR(S435="",N435&lt;=0),"",S435/1000*12/N435))</f>
        <v>52</v>
      </c>
      <c r="U435" s="1" t="n">
        <f aca="false">IF($A435="","",IF(OR(T435="",J435=0,J435=""),"",T435/J435))</f>
        <v>0.0481481481481482</v>
      </c>
      <c r="V435" s="1" t="n">
        <f aca="false">IF($A435="","",IF(OR(R435="",N435&lt;=0,J435=0,J435=""),"",(R435/1000*12/N435)/J435))</f>
        <v>0.0388888888888889</v>
      </c>
      <c r="W435" s="1" t="n">
        <f aca="false">IF($A435="","",IF(OR(T435="",K435=0,K435=""),"",T435/K435))</f>
        <v>0.0385185185185185</v>
      </c>
      <c r="X435" s="1" t="str">
        <f aca="false">IF($A435="","",IF(OR(N435&lt;=0,I435=0,I435="",O435=0),"",O435*1000/(I435*0.3025)/N435))</f>
        <v/>
      </c>
      <c r="Y435" s="1" t="n">
        <f aca="false">IF($A435="","",IF(OR(O435=0,O435="",P435=0),"",P435/O435))</f>
        <v>0.363636363636364</v>
      </c>
      <c r="Z435" s="1" t="str">
        <f aca="false">IF($A435="","",IFERROR(INDEX(物件収支!$E:$E,MATCH($A435,物件収支!$A:$A,0)),""))</f>
        <v>開示（物件別・費用内訳含む、百万円単位）</v>
      </c>
    </row>
    <row r="436" customFormat="false" ht="15" hidden="false" customHeight="true" outlineLevel="0" collapsed="false">
      <c r="A436" s="1" t="str">
        <f aca="false">IF(物件マスタ!A436="","",物件マスタ!A436)</f>
        <v>NUD-50</v>
      </c>
      <c r="B436" s="1" t="str">
        <f aca="false">IF($A436="","",物件マスタ!B436)</f>
        <v>NUD</v>
      </c>
      <c r="C436" s="1" t="str">
        <f aca="false">IF($A436="","",IFERROR(INDEX(法人マスタ!$C:$C,MATCH($B436,法人マスタ!$A:$A,0)),""))</f>
        <v>NTT都市開発リート投資法人</v>
      </c>
      <c r="D436" s="1" t="str">
        <f aca="false">IF($A436="","",物件マスタ!C436)</f>
        <v>プレミアステージ大崎</v>
      </c>
      <c r="E436" s="1" t="str">
        <f aca="false">IF($A436="","",物件マスタ!H436)</f>
        <v>その他東京23区</v>
      </c>
      <c r="F436" s="1" t="n">
        <f aca="false">IF($A436="","",物件マスタ!P436)</f>
        <v>0</v>
      </c>
      <c r="G436" s="1" t="str">
        <f aca="false">IF($A436="","",物件マスタ!Q436)</f>
        <v/>
      </c>
      <c r="H436" s="1" t="n">
        <f aca="false">IF($A436="","",物件マスタ!L436)</f>
        <v>1462.62</v>
      </c>
      <c r="I436" s="1" t="n">
        <f aca="false">IF($A436="","",物件マスタ!M436)</f>
        <v>0</v>
      </c>
      <c r="J436" s="1" t="n">
        <f aca="false">IF($A436="","",物件マスタ!S436)</f>
        <v>1072</v>
      </c>
      <c r="K436" s="1" t="n">
        <f aca="false">IF($A436="","",物件マスタ!U436)</f>
        <v>1270</v>
      </c>
      <c r="L436" s="1" t="n">
        <f aca="false">IF($A436="","",物件マスタ!W436)</f>
        <v>0.984</v>
      </c>
      <c r="M436" s="1" t="str">
        <f aca="false">IF($A436="","",IFERROR(INDEX(法人マスタ!$H:$H,MATCH($B436,法人マスタ!$A:$A,0)),""))</f>
        <v>2026年4月期（第47期）</v>
      </c>
      <c r="N436" s="1" t="n">
        <f aca="false">IF($A436="","",SUMIFS(物件収支!$D:$D,物件収支!$A:$A,$A436,物件収支!$C:$C,$M436))</f>
        <v>6</v>
      </c>
      <c r="O436" s="1" t="n">
        <f aca="false">IF($A436="","",SUMIFS(物件収支!$F:$F,物件収支!$A:$A,$A436,物件収支!$C:$C,$M436))</f>
        <v>39000</v>
      </c>
      <c r="P436" s="1" t="n">
        <f aca="false">IF($A436="","",SUMIFS(物件収支!$I:$I,物件収支!$A:$A,$A436,物件収支!$C:$C,$M436))</f>
        <v>16000</v>
      </c>
      <c r="Q436" s="1" t="n">
        <f aca="false">IF($A436="","",SUMIFS(物件収支!$O:$O,物件収支!$A:$A,$A436,物件収支!$C:$C,$M436))</f>
        <v>5000</v>
      </c>
      <c r="R436" s="1" t="n">
        <f aca="false">IF($A436="","",IF(P436=0,"",O436-P436))</f>
        <v>23000</v>
      </c>
      <c r="S436" s="1" t="n">
        <f aca="false">IF($A436="","",IF(R436="","",R436+Q436))</f>
        <v>28000</v>
      </c>
      <c r="T436" s="1" t="n">
        <f aca="false">IF($A436="","",IF(OR(S436="",N436&lt;=0),"",S436/1000*12/N436))</f>
        <v>56</v>
      </c>
      <c r="U436" s="1" t="n">
        <f aca="false">IF($A436="","",IF(OR(T436="",J436=0,J436=""),"",T436/J436))</f>
        <v>0.0522388059701493</v>
      </c>
      <c r="V436" s="1" t="n">
        <f aca="false">IF($A436="","",IF(OR(R436="",N436&lt;=0,J436=0,J436=""),"",(R436/1000*12/N436)/J436))</f>
        <v>0.042910447761194</v>
      </c>
      <c r="W436" s="1" t="n">
        <f aca="false">IF($A436="","",IF(OR(T436="",K436=0,K436=""),"",T436/K436))</f>
        <v>0.0440944881889764</v>
      </c>
      <c r="X436" s="1" t="str">
        <f aca="false">IF($A436="","",IF(OR(N436&lt;=0,I436=0,I436="",O436=0),"",O436*1000/(I436*0.3025)/N436))</f>
        <v/>
      </c>
      <c r="Y436" s="1" t="n">
        <f aca="false">IF($A436="","",IF(OR(O436=0,O436="",P436=0),"",P436/O436))</f>
        <v>0.41025641025641</v>
      </c>
      <c r="Z436" s="1" t="str">
        <f aca="false">IF($A436="","",IFERROR(INDEX(物件収支!$E:$E,MATCH($A436,物件収支!$A:$A,0)),""))</f>
        <v>開示（物件別・費用内訳含む、百万円単位）</v>
      </c>
    </row>
    <row r="437" customFormat="false" ht="15" hidden="false" customHeight="true" outlineLevel="0" collapsed="false">
      <c r="A437" s="1" t="str">
        <f aca="false">IF(物件マスタ!A437="","",物件マスタ!A437)</f>
        <v>NUD-51</v>
      </c>
      <c r="B437" s="1" t="str">
        <f aca="false">IF($A437="","",物件マスタ!B437)</f>
        <v>NUD</v>
      </c>
      <c r="C437" s="1" t="str">
        <f aca="false">IF($A437="","",IFERROR(INDEX(法人マスタ!$C:$C,MATCH($B437,法人マスタ!$A:$A,0)),""))</f>
        <v>NTT都市開発リート投資法人</v>
      </c>
      <c r="D437" s="1" t="str">
        <f aca="false">IF($A437="","",物件マスタ!C437)</f>
        <v>プレミアガーデン本郷</v>
      </c>
      <c r="E437" s="1" t="str">
        <f aca="false">IF($A437="","",物件マスタ!H437)</f>
        <v>その他東京23区</v>
      </c>
      <c r="F437" s="1" t="n">
        <f aca="false">IF($A437="","",物件マスタ!P437)</f>
        <v>0</v>
      </c>
      <c r="G437" s="1" t="str">
        <f aca="false">IF($A437="","",物件マスタ!Q437)</f>
        <v/>
      </c>
      <c r="H437" s="1" t="n">
        <f aca="false">IF($A437="","",物件マスタ!L437)</f>
        <v>1583.61</v>
      </c>
      <c r="I437" s="1" t="n">
        <f aca="false">IF($A437="","",物件マスタ!M437)</f>
        <v>0</v>
      </c>
      <c r="J437" s="1" t="n">
        <f aca="false">IF($A437="","",物件マスタ!S437)</f>
        <v>975</v>
      </c>
      <c r="K437" s="1" t="n">
        <f aca="false">IF($A437="","",物件マスタ!U437)</f>
        <v>1540</v>
      </c>
      <c r="L437" s="1" t="n">
        <f aca="false">IF($A437="","",物件マスタ!W437)</f>
        <v>0.931</v>
      </c>
      <c r="M437" s="1" t="str">
        <f aca="false">IF($A437="","",IFERROR(INDEX(法人マスタ!$H:$H,MATCH($B437,法人マスタ!$A:$A,0)),""))</f>
        <v>2026年4月期（第47期）</v>
      </c>
      <c r="N437" s="1" t="n">
        <f aca="false">IF($A437="","",SUMIFS(物件収支!$D:$D,物件収支!$A:$A,$A437,物件収支!$C:$C,$M437))</f>
        <v>6</v>
      </c>
      <c r="O437" s="1" t="n">
        <f aca="false">IF($A437="","",SUMIFS(物件収支!$F:$F,物件収支!$A:$A,$A437,物件収支!$C:$C,$M437))</f>
        <v>34000</v>
      </c>
      <c r="P437" s="1" t="n">
        <f aca="false">IF($A437="","",SUMIFS(物件収支!$I:$I,物件収支!$A:$A,$A437,物件収支!$C:$C,$M437))</f>
        <v>47000</v>
      </c>
      <c r="Q437" s="1" t="n">
        <f aca="false">IF($A437="","",SUMIFS(物件収支!$O:$O,物件収支!$A:$A,$A437,物件収支!$C:$C,$M437))</f>
        <v>4000</v>
      </c>
      <c r="R437" s="1" t="n">
        <f aca="false">IF($A437="","",IF(P437=0,"",O437-P437))</f>
        <v>-13000</v>
      </c>
      <c r="S437" s="1" t="n">
        <f aca="false">IF($A437="","",IF(R437="","",R437+Q437))</f>
        <v>-9000</v>
      </c>
      <c r="T437" s="1" t="n">
        <f aca="false">IF($A437="","",IF(OR(S437="",N437&lt;=0),"",S437/1000*12/N437))</f>
        <v>-18</v>
      </c>
      <c r="U437" s="1" t="n">
        <f aca="false">IF($A437="","",IF(OR(T437="",J437=0,J437=""),"",T437/J437))</f>
        <v>-0.0184615384615385</v>
      </c>
      <c r="V437" s="1" t="n">
        <f aca="false">IF($A437="","",IF(OR(R437="",N437&lt;=0,J437=0,J437=""),"",(R437/1000*12/N437)/J437))</f>
        <v>-0.0266666666666667</v>
      </c>
      <c r="W437" s="1" t="n">
        <f aca="false">IF($A437="","",IF(OR(T437="",K437=0,K437=""),"",T437/K437))</f>
        <v>-0.0116883116883117</v>
      </c>
      <c r="X437" s="1" t="str">
        <f aca="false">IF($A437="","",IF(OR(N437&lt;=0,I437=0,I437="",O437=0),"",O437*1000/(I437*0.3025)/N437))</f>
        <v/>
      </c>
      <c r="Y437" s="1" t="n">
        <f aca="false">IF($A437="","",IF(OR(O437=0,O437="",P437=0),"",P437/O437))</f>
        <v>1.38235294117647</v>
      </c>
      <c r="Z437" s="1" t="str">
        <f aca="false">IF($A437="","",IFERROR(INDEX(物件収支!$E:$E,MATCH($A437,物件収支!$A:$A,0)),""))</f>
        <v>開示（物件別・費用内訳含む、百万円単位）</v>
      </c>
    </row>
    <row r="438" customFormat="false" ht="15" hidden="false" customHeight="true" outlineLevel="0" collapsed="false">
      <c r="A438" s="1" t="str">
        <f aca="false">IF(物件マスタ!A438="","",物件マスタ!A438)</f>
        <v>NUD-52</v>
      </c>
      <c r="B438" s="1" t="str">
        <f aca="false">IF($A438="","",物件マスタ!B438)</f>
        <v>NUD</v>
      </c>
      <c r="C438" s="1" t="str">
        <f aca="false">IF($A438="","",IFERROR(INDEX(法人マスタ!$C:$C,MATCH($B438,法人マスタ!$A:$A,0)),""))</f>
        <v>NTT都市開発リート投資法人</v>
      </c>
      <c r="D438" s="1" t="str">
        <f aca="false">IF($A438="","",物件マスタ!C438)</f>
        <v>プレミアグランデ馬込</v>
      </c>
      <c r="E438" s="1" t="str">
        <f aca="false">IF($A438="","",物件マスタ!H438)</f>
        <v>その他東京23区</v>
      </c>
      <c r="F438" s="1" t="n">
        <f aca="false">IF($A438="","",物件マスタ!P438)</f>
        <v>0</v>
      </c>
      <c r="G438" s="1" t="str">
        <f aca="false">IF($A438="","",物件マスタ!Q438)</f>
        <v/>
      </c>
      <c r="H438" s="1" t="n">
        <f aca="false">IF($A438="","",物件マスタ!L438)</f>
        <v>2446.34</v>
      </c>
      <c r="I438" s="1" t="n">
        <f aca="false">IF($A438="","",物件マスタ!M438)</f>
        <v>0</v>
      </c>
      <c r="J438" s="1" t="n">
        <f aca="false">IF($A438="","",物件マスタ!S438)</f>
        <v>1560</v>
      </c>
      <c r="K438" s="1" t="n">
        <f aca="false">IF($A438="","",物件マスタ!U438)</f>
        <v>1460</v>
      </c>
      <c r="L438" s="1" t="n">
        <f aca="false">IF($A438="","",物件マスタ!W438)</f>
        <v>0.97</v>
      </c>
      <c r="M438" s="1" t="str">
        <f aca="false">IF($A438="","",IFERROR(INDEX(法人マスタ!$H:$H,MATCH($B438,法人マスタ!$A:$A,0)),""))</f>
        <v>2026年4月期（第47期）</v>
      </c>
      <c r="N438" s="1" t="n">
        <f aca="false">IF($A438="","",SUMIFS(物件収支!$D:$D,物件収支!$A:$A,$A438,物件収支!$C:$C,$M438))</f>
        <v>6</v>
      </c>
      <c r="O438" s="1" t="n">
        <f aca="false">IF($A438="","",SUMIFS(物件収支!$F:$F,物件収支!$A:$A,$A438,物件収支!$C:$C,$M438))</f>
        <v>46000</v>
      </c>
      <c r="P438" s="1" t="n">
        <f aca="false">IF($A438="","",SUMIFS(物件収支!$I:$I,物件収支!$A:$A,$A438,物件収支!$C:$C,$M438))</f>
        <v>18000</v>
      </c>
      <c r="Q438" s="1" t="n">
        <f aca="false">IF($A438="","",SUMIFS(物件収支!$O:$O,物件収支!$A:$A,$A438,物件収支!$C:$C,$M438))</f>
        <v>8000</v>
      </c>
      <c r="R438" s="1" t="n">
        <f aca="false">IF($A438="","",IF(P438=0,"",O438-P438))</f>
        <v>28000</v>
      </c>
      <c r="S438" s="1" t="n">
        <f aca="false">IF($A438="","",IF(R438="","",R438+Q438))</f>
        <v>36000</v>
      </c>
      <c r="T438" s="1" t="n">
        <f aca="false">IF($A438="","",IF(OR(S438="",N438&lt;=0),"",S438/1000*12/N438))</f>
        <v>72</v>
      </c>
      <c r="U438" s="1" t="n">
        <f aca="false">IF($A438="","",IF(OR(T438="",J438=0,J438=""),"",T438/J438))</f>
        <v>0.0461538461538462</v>
      </c>
      <c r="V438" s="1" t="n">
        <f aca="false">IF($A438="","",IF(OR(R438="",N438&lt;=0,J438=0,J438=""),"",(R438/1000*12/N438)/J438))</f>
        <v>0.0358974358974359</v>
      </c>
      <c r="W438" s="1" t="n">
        <f aca="false">IF($A438="","",IF(OR(T438="",K438=0,K438=""),"",T438/K438))</f>
        <v>0.0493150684931507</v>
      </c>
      <c r="X438" s="1" t="str">
        <f aca="false">IF($A438="","",IF(OR(N438&lt;=0,I438=0,I438="",O438=0),"",O438*1000/(I438*0.3025)/N438))</f>
        <v/>
      </c>
      <c r="Y438" s="1" t="n">
        <f aca="false">IF($A438="","",IF(OR(O438=0,O438="",P438=0),"",P438/O438))</f>
        <v>0.391304347826087</v>
      </c>
      <c r="Z438" s="1" t="str">
        <f aca="false">IF($A438="","",IFERROR(INDEX(物件収支!$E:$E,MATCH($A438,物件収支!$A:$A,0)),""))</f>
        <v>開示（物件別・費用内訳含む、百万円単位）</v>
      </c>
    </row>
    <row r="439" customFormat="false" ht="15" hidden="false" customHeight="true" outlineLevel="0" collapsed="false">
      <c r="A439" s="1" t="str">
        <f aca="false">IF(物件マスタ!A439="","",物件マスタ!A439)</f>
        <v>NUD-53</v>
      </c>
      <c r="B439" s="1" t="str">
        <f aca="false">IF($A439="","",物件マスタ!B439)</f>
        <v>NUD</v>
      </c>
      <c r="C439" s="1" t="str">
        <f aca="false">IF($A439="","",IFERROR(INDEX(法人マスタ!$C:$C,MATCH($B439,法人マスタ!$A:$A,0)),""))</f>
        <v>NTT都市開発リート投資法人</v>
      </c>
      <c r="D439" s="1" t="str">
        <f aca="false">IF($A439="","",物件マスタ!C439)</f>
        <v>プレミアノッツェ祐天寺</v>
      </c>
      <c r="E439" s="1" t="str">
        <f aca="false">IF($A439="","",物件マスタ!H439)</f>
        <v>その他東京23区</v>
      </c>
      <c r="F439" s="1" t="n">
        <f aca="false">IF($A439="","",物件マスタ!P439)</f>
        <v>0</v>
      </c>
      <c r="G439" s="1" t="str">
        <f aca="false">IF($A439="","",物件マスタ!Q439)</f>
        <v/>
      </c>
      <c r="H439" s="1" t="n">
        <f aca="false">IF($A439="","",物件マスタ!L439)</f>
        <v>1904.5</v>
      </c>
      <c r="I439" s="1" t="n">
        <f aca="false">IF($A439="","",物件マスタ!M439)</f>
        <v>0</v>
      </c>
      <c r="J439" s="1" t="n">
        <f aca="false">IF($A439="","",物件マスタ!S439)</f>
        <v>1525</v>
      </c>
      <c r="K439" s="1" t="n">
        <f aca="false">IF($A439="","",物件マスタ!U439)</f>
        <v>1980</v>
      </c>
      <c r="L439" s="1" t="n">
        <f aca="false">IF($A439="","",物件マスタ!W439)</f>
        <v>0.931</v>
      </c>
      <c r="M439" s="1" t="str">
        <f aca="false">IF($A439="","",IFERROR(INDEX(法人マスタ!$H:$H,MATCH($B439,法人マスタ!$A:$A,0)),""))</f>
        <v>2026年4月期（第47期）</v>
      </c>
      <c r="N439" s="1" t="n">
        <f aca="false">IF($A439="","",SUMIFS(物件収支!$D:$D,物件収支!$A:$A,$A439,物件収支!$C:$C,$M439))</f>
        <v>6</v>
      </c>
      <c r="O439" s="1" t="n">
        <f aca="false">IF($A439="","",SUMIFS(物件収支!$F:$F,物件収支!$A:$A,$A439,物件収支!$C:$C,$M439))</f>
        <v>42000</v>
      </c>
      <c r="P439" s="1" t="n">
        <f aca="false">IF($A439="","",SUMIFS(物件収支!$I:$I,物件収支!$A:$A,$A439,物件収支!$C:$C,$M439))</f>
        <v>22000</v>
      </c>
      <c r="Q439" s="1" t="n">
        <f aca="false">IF($A439="","",SUMIFS(物件収支!$O:$O,物件収支!$A:$A,$A439,物件収支!$C:$C,$M439))</f>
        <v>8000</v>
      </c>
      <c r="R439" s="1" t="n">
        <f aca="false">IF($A439="","",IF(P439=0,"",O439-P439))</f>
        <v>20000</v>
      </c>
      <c r="S439" s="1" t="n">
        <f aca="false">IF($A439="","",IF(R439="","",R439+Q439))</f>
        <v>28000</v>
      </c>
      <c r="T439" s="1" t="n">
        <f aca="false">IF($A439="","",IF(OR(S439="",N439&lt;=0),"",S439/1000*12/N439))</f>
        <v>56</v>
      </c>
      <c r="U439" s="1" t="n">
        <f aca="false">IF($A439="","",IF(OR(T439="",J439=0,J439=""),"",T439/J439))</f>
        <v>0.0367213114754098</v>
      </c>
      <c r="V439" s="1" t="n">
        <f aca="false">IF($A439="","",IF(OR(R439="",N439&lt;=0,J439=0,J439=""),"",(R439/1000*12/N439)/J439))</f>
        <v>0.0262295081967213</v>
      </c>
      <c r="W439" s="1" t="n">
        <f aca="false">IF($A439="","",IF(OR(T439="",K439=0,K439=""),"",T439/K439))</f>
        <v>0.0282828282828283</v>
      </c>
      <c r="X439" s="1" t="str">
        <f aca="false">IF($A439="","",IF(OR(N439&lt;=0,I439=0,I439="",O439=0),"",O439*1000/(I439*0.3025)/N439))</f>
        <v/>
      </c>
      <c r="Y439" s="1" t="n">
        <f aca="false">IF($A439="","",IF(OR(O439=0,O439="",P439=0),"",P439/O439))</f>
        <v>0.523809523809524</v>
      </c>
      <c r="Z439" s="1" t="str">
        <f aca="false">IF($A439="","",IFERROR(INDEX(物件収支!$E:$E,MATCH($A439,物件収支!$A:$A,0)),""))</f>
        <v>開示（物件別・費用内訳含む、百万円単位）</v>
      </c>
    </row>
    <row r="440" customFormat="false" ht="15" hidden="false" customHeight="true" outlineLevel="0" collapsed="false">
      <c r="A440" s="1" t="str">
        <f aca="false">IF(物件マスタ!A440="","",物件マスタ!A440)</f>
        <v>NUD-54</v>
      </c>
      <c r="B440" s="1" t="str">
        <f aca="false">IF($A440="","",物件マスタ!B440)</f>
        <v>NUD</v>
      </c>
      <c r="C440" s="1" t="str">
        <f aca="false">IF($A440="","",IFERROR(INDEX(法人マスタ!$C:$C,MATCH($B440,法人マスタ!$A:$A,0)),""))</f>
        <v>NTT都市開発リート投資法人</v>
      </c>
      <c r="D440" s="1" t="str">
        <f aca="false">IF($A440="","",物件マスタ!C440)</f>
        <v>プレミアステージ湯島</v>
      </c>
      <c r="E440" s="1" t="str">
        <f aca="false">IF($A440="","",物件マスタ!H440)</f>
        <v>その他東京23区</v>
      </c>
      <c r="F440" s="1" t="n">
        <f aca="false">IF($A440="","",物件マスタ!P440)</f>
        <v>0</v>
      </c>
      <c r="G440" s="1" t="str">
        <f aca="false">IF($A440="","",物件マスタ!Q440)</f>
        <v/>
      </c>
      <c r="H440" s="1" t="n">
        <f aca="false">IF($A440="","",物件マスタ!L440)</f>
        <v>2527.46</v>
      </c>
      <c r="I440" s="1" t="n">
        <f aca="false">IF($A440="","",物件マスタ!M440)</f>
        <v>0</v>
      </c>
      <c r="J440" s="1" t="n">
        <f aca="false">IF($A440="","",物件マスタ!S440)</f>
        <v>1803</v>
      </c>
      <c r="K440" s="1" t="n">
        <f aca="false">IF($A440="","",物件マスタ!U440)</f>
        <v>2240</v>
      </c>
      <c r="L440" s="1" t="n">
        <f aca="false">IF($A440="","",物件マスタ!W440)</f>
        <v>0.931</v>
      </c>
      <c r="M440" s="1" t="str">
        <f aca="false">IF($A440="","",IFERROR(INDEX(法人マスタ!$H:$H,MATCH($B440,法人マスタ!$A:$A,0)),""))</f>
        <v>2026年4月期（第47期）</v>
      </c>
      <c r="N440" s="1" t="n">
        <f aca="false">IF($A440="","",SUMIFS(物件収支!$D:$D,物件収支!$A:$A,$A440,物件収支!$C:$C,$M440))</f>
        <v>6</v>
      </c>
      <c r="O440" s="1" t="n">
        <f aca="false">IF($A440="","",SUMIFS(物件収支!$F:$F,物件収支!$A:$A,$A440,物件収支!$C:$C,$M440))</f>
        <v>55000</v>
      </c>
      <c r="P440" s="1" t="n">
        <f aca="false">IF($A440="","",SUMIFS(物件収支!$I:$I,物件収支!$A:$A,$A440,物件収支!$C:$C,$M440))</f>
        <v>25000</v>
      </c>
      <c r="Q440" s="1" t="n">
        <f aca="false">IF($A440="","",SUMIFS(物件収支!$O:$O,物件収支!$A:$A,$A440,物件収支!$C:$C,$M440))</f>
        <v>12000</v>
      </c>
      <c r="R440" s="1" t="n">
        <f aca="false">IF($A440="","",IF(P440=0,"",O440-P440))</f>
        <v>30000</v>
      </c>
      <c r="S440" s="1" t="n">
        <f aca="false">IF($A440="","",IF(R440="","",R440+Q440))</f>
        <v>42000</v>
      </c>
      <c r="T440" s="1" t="n">
        <f aca="false">IF($A440="","",IF(OR(S440="",N440&lt;=0),"",S440/1000*12/N440))</f>
        <v>84</v>
      </c>
      <c r="U440" s="1" t="n">
        <f aca="false">IF($A440="","",IF(OR(T440="",J440=0,J440=""),"",T440/J440))</f>
        <v>0.0465890183028286</v>
      </c>
      <c r="V440" s="1" t="n">
        <f aca="false">IF($A440="","",IF(OR(R440="",N440&lt;=0,J440=0,J440=""),"",(R440/1000*12/N440)/J440))</f>
        <v>0.0332778702163062</v>
      </c>
      <c r="W440" s="1" t="n">
        <f aca="false">IF($A440="","",IF(OR(T440="",K440=0,K440=""),"",T440/K440))</f>
        <v>0.0375</v>
      </c>
      <c r="X440" s="1" t="str">
        <f aca="false">IF($A440="","",IF(OR(N440&lt;=0,I440=0,I440="",O440=0),"",O440*1000/(I440*0.3025)/N440))</f>
        <v/>
      </c>
      <c r="Y440" s="1" t="n">
        <f aca="false">IF($A440="","",IF(OR(O440=0,O440="",P440=0),"",P440/O440))</f>
        <v>0.454545454545455</v>
      </c>
      <c r="Z440" s="1" t="str">
        <f aca="false">IF($A440="","",IFERROR(INDEX(物件収支!$E:$E,MATCH($A440,物件収支!$A:$A,0)),""))</f>
        <v>開示（物件別・費用内訳含む、百万円単位）</v>
      </c>
    </row>
    <row r="441" customFormat="false" ht="15" hidden="false" customHeight="true" outlineLevel="0" collapsed="false">
      <c r="A441" s="1" t="str">
        <f aca="false">IF(物件マスタ!A441="","",物件マスタ!A441)</f>
        <v>NUD-55</v>
      </c>
      <c r="B441" s="1" t="str">
        <f aca="false">IF($A441="","",物件マスタ!B441)</f>
        <v>NUD</v>
      </c>
      <c r="C441" s="1" t="str">
        <f aca="false">IF($A441="","",IFERROR(INDEX(法人マスタ!$C:$C,MATCH($B441,法人マスタ!$A:$A,0)),""))</f>
        <v>NTT都市開発リート投資法人</v>
      </c>
      <c r="D441" s="1" t="str">
        <f aca="false">IF($A441="","",物件マスタ!C441)</f>
        <v>プレミアステージ駒込</v>
      </c>
      <c r="E441" s="1" t="str">
        <f aca="false">IF($A441="","",物件マスタ!H441)</f>
        <v>その他東京23区</v>
      </c>
      <c r="F441" s="1" t="n">
        <f aca="false">IF($A441="","",物件マスタ!P441)</f>
        <v>0</v>
      </c>
      <c r="G441" s="1" t="str">
        <f aca="false">IF($A441="","",物件マスタ!Q441)</f>
        <v/>
      </c>
      <c r="H441" s="1" t="n">
        <f aca="false">IF($A441="","",物件マスタ!L441)</f>
        <v>2400.76</v>
      </c>
      <c r="I441" s="1" t="n">
        <f aca="false">IF($A441="","",物件マスタ!M441)</f>
        <v>0</v>
      </c>
      <c r="J441" s="1" t="n">
        <f aca="false">IF($A441="","",物件マスタ!S441)</f>
        <v>1830</v>
      </c>
      <c r="K441" s="1" t="n">
        <f aca="false">IF($A441="","",物件マスタ!U441)</f>
        <v>2400</v>
      </c>
      <c r="L441" s="1" t="n">
        <f aca="false">IF($A441="","",物件マスタ!W441)</f>
        <v>0.95</v>
      </c>
      <c r="M441" s="1" t="str">
        <f aca="false">IF($A441="","",IFERROR(INDEX(法人マスタ!$H:$H,MATCH($B441,法人マスタ!$A:$A,0)),""))</f>
        <v>2026年4月期（第47期）</v>
      </c>
      <c r="N441" s="1" t="n">
        <f aca="false">IF($A441="","",SUMIFS(物件収支!$D:$D,物件収支!$A:$A,$A441,物件収支!$C:$C,$M441))</f>
        <v>6</v>
      </c>
      <c r="O441" s="1" t="n">
        <f aca="false">IF($A441="","",SUMIFS(物件収支!$F:$F,物件収支!$A:$A,$A441,物件収支!$C:$C,$M441))</f>
        <v>57000</v>
      </c>
      <c r="P441" s="1" t="n">
        <f aca="false">IF($A441="","",SUMIFS(物件収支!$I:$I,物件収支!$A:$A,$A441,物件収支!$C:$C,$M441))</f>
        <v>25000</v>
      </c>
      <c r="Q441" s="1" t="n">
        <f aca="false">IF($A441="","",SUMIFS(物件収支!$O:$O,物件収支!$A:$A,$A441,物件収支!$C:$C,$M441))</f>
        <v>11000</v>
      </c>
      <c r="R441" s="1" t="n">
        <f aca="false">IF($A441="","",IF(P441=0,"",O441-P441))</f>
        <v>32000</v>
      </c>
      <c r="S441" s="1" t="n">
        <f aca="false">IF($A441="","",IF(R441="","",R441+Q441))</f>
        <v>43000</v>
      </c>
      <c r="T441" s="1" t="n">
        <f aca="false">IF($A441="","",IF(OR(S441="",N441&lt;=0),"",S441/1000*12/N441))</f>
        <v>86</v>
      </c>
      <c r="U441" s="1" t="n">
        <f aca="false">IF($A441="","",IF(OR(T441="",J441=0,J441=""),"",T441/J441))</f>
        <v>0.0469945355191257</v>
      </c>
      <c r="V441" s="1" t="n">
        <f aca="false">IF($A441="","",IF(OR(R441="",N441&lt;=0,J441=0,J441=""),"",(R441/1000*12/N441)/J441))</f>
        <v>0.0349726775956284</v>
      </c>
      <c r="W441" s="1" t="n">
        <f aca="false">IF($A441="","",IF(OR(T441="",K441=0,K441=""),"",T441/K441))</f>
        <v>0.0358333333333333</v>
      </c>
      <c r="X441" s="1" t="str">
        <f aca="false">IF($A441="","",IF(OR(N441&lt;=0,I441=0,I441="",O441=0),"",O441*1000/(I441*0.3025)/N441))</f>
        <v/>
      </c>
      <c r="Y441" s="1" t="n">
        <f aca="false">IF($A441="","",IF(OR(O441=0,O441="",P441=0),"",P441/O441))</f>
        <v>0.43859649122807</v>
      </c>
      <c r="Z441" s="1" t="str">
        <f aca="false">IF($A441="","",IFERROR(INDEX(物件収支!$E:$E,MATCH($A441,物件収支!$A:$A,0)),""))</f>
        <v>開示（物件別・費用内訳含む、百万円単位）</v>
      </c>
    </row>
    <row r="442" customFormat="false" ht="15" hidden="false" customHeight="true" outlineLevel="0" collapsed="false">
      <c r="A442" s="1" t="str">
        <f aca="false">IF(物件マスタ!A442="","",物件マスタ!A442)</f>
        <v>NUD-56</v>
      </c>
      <c r="B442" s="1" t="str">
        <f aca="false">IF($A442="","",物件マスタ!B442)</f>
        <v>NUD</v>
      </c>
      <c r="C442" s="1" t="str">
        <f aca="false">IF($A442="","",IFERROR(INDEX(法人マスタ!$C:$C,MATCH($B442,法人マスタ!$A:$A,0)),""))</f>
        <v>NTT都市開発リート投資法人</v>
      </c>
      <c r="D442" s="1" t="str">
        <f aca="false">IF($A442="","",物件マスタ!C442)</f>
        <v>プレミアステージ大塚</v>
      </c>
      <c r="E442" s="1" t="str">
        <f aca="false">IF($A442="","",物件マスタ!H442)</f>
        <v>その他東京23区</v>
      </c>
      <c r="F442" s="1" t="n">
        <f aca="false">IF($A442="","",物件マスタ!P442)</f>
        <v>0</v>
      </c>
      <c r="G442" s="1" t="str">
        <f aca="false">IF($A442="","",物件マスタ!Q442)</f>
        <v/>
      </c>
      <c r="H442" s="1" t="n">
        <f aca="false">IF($A442="","",物件マスタ!L442)</f>
        <v>1894.61</v>
      </c>
      <c r="I442" s="1" t="n">
        <f aca="false">IF($A442="","",物件マスタ!M442)</f>
        <v>0</v>
      </c>
      <c r="J442" s="1" t="n">
        <f aca="false">IF($A442="","",物件マスタ!S442)</f>
        <v>1310</v>
      </c>
      <c r="K442" s="1" t="n">
        <f aca="false">IF($A442="","",物件マスタ!U442)</f>
        <v>1710</v>
      </c>
      <c r="L442" s="1" t="n">
        <f aca="false">IF($A442="","",物件マスタ!W442)</f>
        <v>0.986</v>
      </c>
      <c r="M442" s="1" t="str">
        <f aca="false">IF($A442="","",IFERROR(INDEX(法人マスタ!$H:$H,MATCH($B442,法人マスタ!$A:$A,0)),""))</f>
        <v>2026年4月期（第47期）</v>
      </c>
      <c r="N442" s="1" t="n">
        <f aca="false">IF($A442="","",SUMIFS(物件収支!$D:$D,物件収支!$A:$A,$A442,物件収支!$C:$C,$M442))</f>
        <v>6</v>
      </c>
      <c r="O442" s="1" t="n">
        <f aca="false">IF($A442="","",SUMIFS(物件収支!$F:$F,物件収支!$A:$A,$A442,物件収支!$C:$C,$M442))</f>
        <v>45000</v>
      </c>
      <c r="P442" s="1" t="n">
        <f aca="false">IF($A442="","",SUMIFS(物件収支!$I:$I,物件収支!$A:$A,$A442,物件収支!$C:$C,$M442))</f>
        <v>17000</v>
      </c>
      <c r="Q442" s="1" t="n">
        <f aca="false">IF($A442="","",SUMIFS(物件収支!$O:$O,物件収支!$A:$A,$A442,物件収支!$C:$C,$M442))</f>
        <v>7000</v>
      </c>
      <c r="R442" s="1" t="n">
        <f aca="false">IF($A442="","",IF(P442=0,"",O442-P442))</f>
        <v>28000</v>
      </c>
      <c r="S442" s="1" t="n">
        <f aca="false">IF($A442="","",IF(R442="","",R442+Q442))</f>
        <v>35000</v>
      </c>
      <c r="T442" s="1" t="n">
        <f aca="false">IF($A442="","",IF(OR(S442="",N442&lt;=0),"",S442/1000*12/N442))</f>
        <v>70</v>
      </c>
      <c r="U442" s="1" t="n">
        <f aca="false">IF($A442="","",IF(OR(T442="",J442=0,J442=""),"",T442/J442))</f>
        <v>0.0534351145038168</v>
      </c>
      <c r="V442" s="1" t="n">
        <f aca="false">IF($A442="","",IF(OR(R442="",N442&lt;=0,J442=0,J442=""),"",(R442/1000*12/N442)/J442))</f>
        <v>0.0427480916030534</v>
      </c>
      <c r="W442" s="1" t="n">
        <f aca="false">IF($A442="","",IF(OR(T442="",K442=0,K442=""),"",T442/K442))</f>
        <v>0.0409356725146199</v>
      </c>
      <c r="X442" s="1" t="str">
        <f aca="false">IF($A442="","",IF(OR(N442&lt;=0,I442=0,I442="",O442=0),"",O442*1000/(I442*0.3025)/N442))</f>
        <v/>
      </c>
      <c r="Y442" s="1" t="n">
        <f aca="false">IF($A442="","",IF(OR(O442=0,O442="",P442=0),"",P442/O442))</f>
        <v>0.377777777777778</v>
      </c>
      <c r="Z442" s="1" t="str">
        <f aca="false">IF($A442="","",IFERROR(INDEX(物件収支!$E:$E,MATCH($A442,物件収支!$A:$A,0)),""))</f>
        <v>開示（物件別・費用内訳含む、百万円単位）</v>
      </c>
    </row>
    <row r="443" customFormat="false" ht="15" hidden="false" customHeight="true" outlineLevel="0" collapsed="false">
      <c r="A443" s="1" t="str">
        <f aca="false">IF(物件マスタ!A443="","",物件マスタ!A443)</f>
        <v>NUD-57</v>
      </c>
      <c r="B443" s="1" t="str">
        <f aca="false">IF($A443="","",物件マスタ!B443)</f>
        <v>NUD</v>
      </c>
      <c r="C443" s="1" t="str">
        <f aca="false">IF($A443="","",IFERROR(INDEX(法人マスタ!$C:$C,MATCH($B443,法人マスタ!$A:$A,0)),""))</f>
        <v>NTT都市開発リート投資法人</v>
      </c>
      <c r="D443" s="1" t="str">
        <f aca="false">IF($A443="","",物件マスタ!C443)</f>
        <v>プレミアステージ本所吾妻橋</v>
      </c>
      <c r="E443" s="1" t="str">
        <f aca="false">IF($A443="","",物件マスタ!H443)</f>
        <v>その他東京23区</v>
      </c>
      <c r="F443" s="1" t="n">
        <f aca="false">IF($A443="","",物件マスタ!P443)</f>
        <v>0</v>
      </c>
      <c r="G443" s="1" t="str">
        <f aca="false">IF($A443="","",物件マスタ!Q443)</f>
        <v/>
      </c>
      <c r="H443" s="1" t="n">
        <f aca="false">IF($A443="","",物件マスタ!L443)</f>
        <v>3852.86</v>
      </c>
      <c r="I443" s="1" t="n">
        <f aca="false">IF($A443="","",物件マスタ!M443)</f>
        <v>0</v>
      </c>
      <c r="J443" s="1" t="n">
        <f aca="false">IF($A443="","",物件マスタ!S443)</f>
        <v>2640</v>
      </c>
      <c r="K443" s="1" t="n">
        <f aca="false">IF($A443="","",物件マスタ!U443)</f>
        <v>3780</v>
      </c>
      <c r="L443" s="1" t="n">
        <f aca="false">IF($A443="","",物件マスタ!W443)</f>
        <v>0.975</v>
      </c>
      <c r="M443" s="1" t="str">
        <f aca="false">IF($A443="","",IFERROR(INDEX(法人マスタ!$H:$H,MATCH($B443,法人マスタ!$A:$A,0)),""))</f>
        <v>2026年4月期（第47期）</v>
      </c>
      <c r="N443" s="1" t="n">
        <f aca="false">IF($A443="","",SUMIFS(物件収支!$D:$D,物件収支!$A:$A,$A443,物件収支!$C:$C,$M443))</f>
        <v>6</v>
      </c>
      <c r="O443" s="1" t="n">
        <f aca="false">IF($A443="","",SUMIFS(物件収支!$F:$F,物件収支!$A:$A,$A443,物件収支!$C:$C,$M443))</f>
        <v>89000</v>
      </c>
      <c r="P443" s="1" t="n">
        <f aca="false">IF($A443="","",SUMIFS(物件収支!$I:$I,物件収支!$A:$A,$A443,物件収支!$C:$C,$M443))</f>
        <v>33000</v>
      </c>
      <c r="Q443" s="1" t="n">
        <f aca="false">IF($A443="","",SUMIFS(物件収支!$O:$O,物件収支!$A:$A,$A443,物件収支!$C:$C,$M443))</f>
        <v>15000</v>
      </c>
      <c r="R443" s="1" t="n">
        <f aca="false">IF($A443="","",IF(P443=0,"",O443-P443))</f>
        <v>56000</v>
      </c>
      <c r="S443" s="1" t="n">
        <f aca="false">IF($A443="","",IF(R443="","",R443+Q443))</f>
        <v>71000</v>
      </c>
      <c r="T443" s="1" t="n">
        <f aca="false">IF($A443="","",IF(OR(S443="",N443&lt;=0),"",S443/1000*12/N443))</f>
        <v>142</v>
      </c>
      <c r="U443" s="1" t="n">
        <f aca="false">IF($A443="","",IF(OR(T443="",J443=0,J443=""),"",T443/J443))</f>
        <v>0.0537878787878788</v>
      </c>
      <c r="V443" s="1" t="n">
        <f aca="false">IF($A443="","",IF(OR(R443="",N443&lt;=0,J443=0,J443=""),"",(R443/1000*12/N443)/J443))</f>
        <v>0.0424242424242424</v>
      </c>
      <c r="W443" s="1" t="n">
        <f aca="false">IF($A443="","",IF(OR(T443="",K443=0,K443=""),"",T443/K443))</f>
        <v>0.0375661375661376</v>
      </c>
      <c r="X443" s="1" t="str">
        <f aca="false">IF($A443="","",IF(OR(N443&lt;=0,I443=0,I443="",O443=0),"",O443*1000/(I443*0.3025)/N443))</f>
        <v/>
      </c>
      <c r="Y443" s="1" t="n">
        <f aca="false">IF($A443="","",IF(OR(O443=0,O443="",P443=0),"",P443/O443))</f>
        <v>0.370786516853933</v>
      </c>
      <c r="Z443" s="1" t="str">
        <f aca="false">IF($A443="","",IFERROR(INDEX(物件収支!$E:$E,MATCH($A443,物件収支!$A:$A,0)),""))</f>
        <v>開示（物件別・費用内訳含む、百万円単位）</v>
      </c>
    </row>
    <row r="444" customFormat="false" ht="15" hidden="false" customHeight="true" outlineLevel="0" collapsed="false">
      <c r="A444" s="1" t="str">
        <f aca="false">IF(物件マスタ!A444="","",物件マスタ!A444)</f>
        <v>NUD-58</v>
      </c>
      <c r="B444" s="1" t="str">
        <f aca="false">IF($A444="","",物件マスタ!B444)</f>
        <v>NUD</v>
      </c>
      <c r="C444" s="1" t="str">
        <f aca="false">IF($A444="","",IFERROR(INDEX(法人マスタ!$C:$C,MATCH($B444,法人マスタ!$A:$A,0)),""))</f>
        <v>NTT都市開発リート投資法人</v>
      </c>
      <c r="D444" s="1" t="str">
        <f aca="false">IF($A444="","",物件マスタ!C444)</f>
        <v>プレミアステージ両国</v>
      </c>
      <c r="E444" s="1" t="str">
        <f aca="false">IF($A444="","",物件マスタ!H444)</f>
        <v>その他東京23区</v>
      </c>
      <c r="F444" s="1" t="n">
        <f aca="false">IF($A444="","",物件マスタ!P444)</f>
        <v>0</v>
      </c>
      <c r="G444" s="1" t="str">
        <f aca="false">IF($A444="","",物件マスタ!Q444)</f>
        <v/>
      </c>
      <c r="H444" s="1" t="n">
        <f aca="false">IF($A444="","",物件マスタ!L444)</f>
        <v>2475.38</v>
      </c>
      <c r="I444" s="1" t="n">
        <f aca="false">IF($A444="","",物件マスタ!M444)</f>
        <v>0</v>
      </c>
      <c r="J444" s="1" t="n">
        <f aca="false">IF($A444="","",物件マスタ!S444)</f>
        <v>1496</v>
      </c>
      <c r="K444" s="1" t="n">
        <f aca="false">IF($A444="","",物件マスタ!U444)</f>
        <v>2080</v>
      </c>
      <c r="L444" s="1" t="n">
        <f aca="false">IF($A444="","",物件マスタ!W444)</f>
        <v>1</v>
      </c>
      <c r="M444" s="1" t="str">
        <f aca="false">IF($A444="","",IFERROR(INDEX(法人マスタ!$H:$H,MATCH($B444,法人マスタ!$A:$A,0)),""))</f>
        <v>2026年4月期（第47期）</v>
      </c>
      <c r="N444" s="1" t="n">
        <f aca="false">IF($A444="","",SUMIFS(物件収支!$D:$D,物件収支!$A:$A,$A444,物件収支!$C:$C,$M444))</f>
        <v>6</v>
      </c>
      <c r="O444" s="1" t="n">
        <f aca="false">IF($A444="","",SUMIFS(物件収支!$F:$F,物件収支!$A:$A,$A444,物件収支!$C:$C,$M444))</f>
        <v>52000</v>
      </c>
      <c r="P444" s="1" t="n">
        <f aca="false">IF($A444="","",SUMIFS(物件収支!$I:$I,物件収支!$A:$A,$A444,物件収支!$C:$C,$M444))</f>
        <v>20000</v>
      </c>
      <c r="Q444" s="1" t="n">
        <f aca="false">IF($A444="","",SUMIFS(物件収支!$O:$O,物件収支!$A:$A,$A444,物件収支!$C:$C,$M444))</f>
        <v>9000</v>
      </c>
      <c r="R444" s="1" t="n">
        <f aca="false">IF($A444="","",IF(P444=0,"",O444-P444))</f>
        <v>32000</v>
      </c>
      <c r="S444" s="1" t="n">
        <f aca="false">IF($A444="","",IF(R444="","",R444+Q444))</f>
        <v>41000</v>
      </c>
      <c r="T444" s="1" t="n">
        <f aca="false">IF($A444="","",IF(OR(S444="",N444&lt;=0),"",S444/1000*12/N444))</f>
        <v>82</v>
      </c>
      <c r="U444" s="1" t="n">
        <f aca="false">IF($A444="","",IF(OR(T444="",J444=0,J444=""),"",T444/J444))</f>
        <v>0.0548128342245989</v>
      </c>
      <c r="V444" s="1" t="n">
        <f aca="false">IF($A444="","",IF(OR(R444="",N444&lt;=0,J444=0,J444=""),"",(R444/1000*12/N444)/J444))</f>
        <v>0.0427807486631016</v>
      </c>
      <c r="W444" s="1" t="n">
        <f aca="false">IF($A444="","",IF(OR(T444="",K444=0,K444=""),"",T444/K444))</f>
        <v>0.0394230769230769</v>
      </c>
      <c r="X444" s="1" t="str">
        <f aca="false">IF($A444="","",IF(OR(N444&lt;=0,I444=0,I444="",O444=0),"",O444*1000/(I444*0.3025)/N444))</f>
        <v/>
      </c>
      <c r="Y444" s="1" t="n">
        <f aca="false">IF($A444="","",IF(OR(O444=0,O444="",P444=0),"",P444/O444))</f>
        <v>0.384615384615385</v>
      </c>
      <c r="Z444" s="1" t="str">
        <f aca="false">IF($A444="","",IFERROR(INDEX(物件収支!$E:$E,MATCH($A444,物件収支!$A:$A,0)),""))</f>
        <v>開示（物件別・費用内訳含む、百万円単位）</v>
      </c>
    </row>
    <row r="445" customFormat="false" ht="15" hidden="false" customHeight="true" outlineLevel="0" collapsed="false">
      <c r="A445" s="1" t="str">
        <f aca="false">IF(物件マスタ!A445="","",物件マスタ!A445)</f>
        <v>NUD-59</v>
      </c>
      <c r="B445" s="1" t="str">
        <f aca="false">IF($A445="","",物件マスタ!B445)</f>
        <v>NUD</v>
      </c>
      <c r="C445" s="1" t="str">
        <f aca="false">IF($A445="","",IFERROR(INDEX(法人マスタ!$C:$C,MATCH($B445,法人マスタ!$A:$A,0)),""))</f>
        <v>NTT都市開発リート投資法人</v>
      </c>
      <c r="D445" s="1" t="str">
        <f aca="false">IF($A445="","",物件マスタ!C445)</f>
        <v>ガーデン板橋氷川町</v>
      </c>
      <c r="E445" s="1" t="str">
        <f aca="false">IF($A445="","",物件マスタ!H445)</f>
        <v>その他東京23区</v>
      </c>
      <c r="F445" s="1" t="n">
        <f aca="false">IF($A445="","",物件マスタ!P445)</f>
        <v>0</v>
      </c>
      <c r="G445" s="1" t="str">
        <f aca="false">IF($A445="","",物件マスタ!Q445)</f>
        <v/>
      </c>
      <c r="H445" s="1" t="n">
        <f aca="false">IF($A445="","",物件マスタ!L445)</f>
        <v>10934.46</v>
      </c>
      <c r="I445" s="1" t="n">
        <f aca="false">IF($A445="","",物件マスタ!M445)</f>
        <v>0</v>
      </c>
      <c r="J445" s="1" t="n">
        <f aca="false">IF($A445="","",物件マスタ!S445)</f>
        <v>2820</v>
      </c>
      <c r="K445" s="1" t="n">
        <f aca="false">IF($A445="","",物件マスタ!U445)</f>
        <v>3120</v>
      </c>
      <c r="L445" s="1" t="n">
        <f aca="false">IF($A445="","",物件マスタ!W445)</f>
        <v>0.997</v>
      </c>
      <c r="M445" s="1" t="str">
        <f aca="false">IF($A445="","",IFERROR(INDEX(法人マスタ!$H:$H,MATCH($B445,法人マスタ!$A:$A,0)),""))</f>
        <v>2026年4月期（第47期）</v>
      </c>
      <c r="N445" s="1" t="n">
        <f aca="false">IF($A445="","",SUMIFS(物件収支!$D:$D,物件収支!$A:$A,$A445,物件収支!$C:$C,$M445))</f>
        <v>6</v>
      </c>
      <c r="O445" s="1" t="n">
        <f aca="false">IF($A445="","",SUMIFS(物件収支!$F:$F,物件収支!$A:$A,$A445,物件収支!$C:$C,$M445))</f>
        <v>86000</v>
      </c>
      <c r="P445" s="1" t="n">
        <f aca="false">IF($A445="","",SUMIFS(物件収支!$I:$I,物件収支!$A:$A,$A445,物件収支!$C:$C,$M445))</f>
        <v>35000</v>
      </c>
      <c r="Q445" s="1" t="n">
        <f aca="false">IF($A445="","",SUMIFS(物件収支!$O:$O,物件収支!$A:$A,$A445,物件収支!$C:$C,$M445))</f>
        <v>13000</v>
      </c>
      <c r="R445" s="1" t="n">
        <f aca="false">IF($A445="","",IF(P445=0,"",O445-P445))</f>
        <v>51000</v>
      </c>
      <c r="S445" s="1" t="n">
        <f aca="false">IF($A445="","",IF(R445="","",R445+Q445))</f>
        <v>64000</v>
      </c>
      <c r="T445" s="1" t="n">
        <f aca="false">IF($A445="","",IF(OR(S445="",N445&lt;=0),"",S445/1000*12/N445))</f>
        <v>128</v>
      </c>
      <c r="U445" s="1" t="n">
        <f aca="false">IF($A445="","",IF(OR(T445="",J445=0,J445=""),"",T445/J445))</f>
        <v>0.0453900709219858</v>
      </c>
      <c r="V445" s="1" t="n">
        <f aca="false">IF($A445="","",IF(OR(R445="",N445&lt;=0,J445=0,J445=""),"",(R445/1000*12/N445)/J445))</f>
        <v>0.0361702127659574</v>
      </c>
      <c r="W445" s="1" t="n">
        <f aca="false">IF($A445="","",IF(OR(T445="",K445=0,K445=""),"",T445/K445))</f>
        <v>0.041025641025641</v>
      </c>
      <c r="X445" s="1" t="str">
        <f aca="false">IF($A445="","",IF(OR(N445&lt;=0,I445=0,I445="",O445=0),"",O445*1000/(I445*0.3025)/N445))</f>
        <v/>
      </c>
      <c r="Y445" s="1" t="n">
        <f aca="false">IF($A445="","",IF(OR(O445=0,O445="",P445=0),"",P445/O445))</f>
        <v>0.406976744186047</v>
      </c>
      <c r="Z445" s="1" t="str">
        <f aca="false">IF($A445="","",IFERROR(INDEX(物件収支!$E:$E,MATCH($A445,物件収支!$A:$A,0)),""))</f>
        <v>開示（物件別・費用内訳含む、百万円単位）</v>
      </c>
    </row>
    <row r="446" customFormat="false" ht="15" hidden="false" customHeight="true" outlineLevel="0" collapsed="false">
      <c r="A446" s="1" t="str">
        <f aca="false">IF(物件マスタ!A446="","",物件マスタ!A446)</f>
        <v>NUD-60</v>
      </c>
      <c r="B446" s="1" t="str">
        <f aca="false">IF($A446="","",物件マスタ!B446)</f>
        <v>NUD</v>
      </c>
      <c r="C446" s="1" t="str">
        <f aca="false">IF($A446="","",IFERROR(INDEX(法人マスタ!$C:$C,MATCH($B446,法人マスタ!$A:$A,0)),""))</f>
        <v>NTT都市開発リート投資法人</v>
      </c>
      <c r="D446" s="1" t="str">
        <f aca="false">IF($A446="","",物件マスタ!C446)</f>
        <v>ウエリスアイビー旗の台</v>
      </c>
      <c r="E446" s="1" t="str">
        <f aca="false">IF($A446="","",物件マスタ!H446)</f>
        <v>その他東京23区</v>
      </c>
      <c r="F446" s="1" t="n">
        <f aca="false">IF($A446="","",物件マスタ!P446)</f>
        <v>0</v>
      </c>
      <c r="G446" s="1" t="str">
        <f aca="false">IF($A446="","",物件マスタ!Q446)</f>
        <v/>
      </c>
      <c r="H446" s="1" t="n">
        <f aca="false">IF($A446="","",物件マスタ!L446)</f>
        <v>3664.63</v>
      </c>
      <c r="I446" s="1" t="n">
        <f aca="false">IF($A446="","",物件マスタ!M446)</f>
        <v>0</v>
      </c>
      <c r="J446" s="1" t="n">
        <f aca="false">IF($A446="","",物件マスタ!S446)</f>
        <v>2235</v>
      </c>
      <c r="K446" s="1" t="n">
        <f aca="false">IF($A446="","",物件マスタ!U446)</f>
        <v>2600</v>
      </c>
      <c r="L446" s="1" t="n">
        <f aca="false">IF($A446="","",物件マスタ!W446)</f>
        <v>1</v>
      </c>
      <c r="M446" s="1" t="str">
        <f aca="false">IF($A446="","",IFERROR(INDEX(法人マスタ!$H:$H,MATCH($B446,法人マスタ!$A:$A,0)),""))</f>
        <v>2026年4月期（第47期）</v>
      </c>
      <c r="N446" s="1" t="n">
        <f aca="false">IF($A446="","",SUMIFS(物件収支!$D:$D,物件収支!$A:$A,$A446,物件収支!$C:$C,$M446))</f>
        <v>6</v>
      </c>
      <c r="O446" s="1" t="n">
        <f aca="false">IF($A446="","",SUMIFS(物件収支!$F:$F,物件収支!$A:$A,$A446,物件収支!$C:$C,$M446))</f>
        <v>59000</v>
      </c>
      <c r="P446" s="1" t="n">
        <f aca="false">IF($A446="","",SUMIFS(物件収支!$I:$I,物件収支!$A:$A,$A446,物件収支!$C:$C,$M446))</f>
        <v>21000</v>
      </c>
      <c r="Q446" s="1" t="n">
        <f aca="false">IF($A446="","",SUMIFS(物件収支!$O:$O,物件収支!$A:$A,$A446,物件収支!$C:$C,$M446))</f>
        <v>17000</v>
      </c>
      <c r="R446" s="1" t="n">
        <f aca="false">IF($A446="","",IF(P446=0,"",O446-P446))</f>
        <v>38000</v>
      </c>
      <c r="S446" s="1" t="n">
        <f aca="false">IF($A446="","",IF(R446="","",R446+Q446))</f>
        <v>55000</v>
      </c>
      <c r="T446" s="1" t="n">
        <f aca="false">IF($A446="","",IF(OR(S446="",N446&lt;=0),"",S446/1000*12/N446))</f>
        <v>110</v>
      </c>
      <c r="U446" s="1" t="n">
        <f aca="false">IF($A446="","",IF(OR(T446="",J446=0,J446=""),"",T446/J446))</f>
        <v>0.0492170022371365</v>
      </c>
      <c r="V446" s="1" t="n">
        <f aca="false">IF($A446="","",IF(OR(R446="",N446&lt;=0,J446=0,J446=""),"",(R446/1000*12/N446)/J446))</f>
        <v>0.0340044742729307</v>
      </c>
      <c r="W446" s="1" t="n">
        <f aca="false">IF($A446="","",IF(OR(T446="",K446=0,K446=""),"",T446/K446))</f>
        <v>0.0423076923076923</v>
      </c>
      <c r="X446" s="1" t="str">
        <f aca="false">IF($A446="","",IF(OR(N446&lt;=0,I446=0,I446="",O446=0),"",O446*1000/(I446*0.3025)/N446))</f>
        <v/>
      </c>
      <c r="Y446" s="1" t="n">
        <f aca="false">IF($A446="","",IF(OR(O446=0,O446="",P446=0),"",P446/O446))</f>
        <v>0.355932203389831</v>
      </c>
      <c r="Z446" s="1" t="str">
        <f aca="false">IF($A446="","",IFERROR(INDEX(物件収支!$E:$E,MATCH($A446,物件収支!$A:$A,0)),""))</f>
        <v>開示（物件別・費用内訳含む、百万円単位）</v>
      </c>
    </row>
    <row r="447" customFormat="false" ht="15" hidden="false" customHeight="true" outlineLevel="0" collapsed="false">
      <c r="A447" s="1" t="str">
        <f aca="false">IF(物件マスタ!A447="","",物件マスタ!A447)</f>
        <v>NUD-61</v>
      </c>
      <c r="B447" s="1" t="str">
        <f aca="false">IF($A447="","",物件マスタ!B447)</f>
        <v>NUD</v>
      </c>
      <c r="C447" s="1" t="str">
        <f aca="false">IF($A447="","",IFERROR(INDEX(法人マスタ!$C:$C,MATCH($B447,法人マスタ!$A:$A,0)),""))</f>
        <v>NTT都市開発リート投資法人</v>
      </c>
      <c r="D447" s="1" t="str">
        <f aca="false">IF($A447="","",物件マスタ!C447)</f>
        <v>ウエリスアイビー門戸厄神</v>
      </c>
      <c r="E447" s="1" t="str">
        <f aca="false">IF($A447="","",物件マスタ!H447)</f>
        <v>その他3大都市圏</v>
      </c>
      <c r="F447" s="1" t="n">
        <f aca="false">IF($A447="","",物件マスタ!P447)</f>
        <v>0</v>
      </c>
      <c r="G447" s="1" t="str">
        <f aca="false">IF($A447="","",物件マスタ!Q447)</f>
        <v/>
      </c>
      <c r="H447" s="1" t="n">
        <f aca="false">IF($A447="","",物件マスタ!L447)</f>
        <v>4270.71</v>
      </c>
      <c r="I447" s="1" t="n">
        <f aca="false">IF($A447="","",物件マスタ!M447)</f>
        <v>0</v>
      </c>
      <c r="J447" s="1" t="n">
        <f aca="false">IF($A447="","",物件マスタ!S447)</f>
        <v>1800</v>
      </c>
      <c r="K447" s="1" t="n">
        <f aca="false">IF($A447="","",物件マスタ!U447)</f>
        <v>1930</v>
      </c>
      <c r="L447" s="1" t="n">
        <f aca="false">IF($A447="","",物件マスタ!W447)</f>
        <v>0.886</v>
      </c>
      <c r="M447" s="1" t="str">
        <f aca="false">IF($A447="","",IFERROR(INDEX(法人マスタ!$H:$H,MATCH($B447,法人マスタ!$A:$A,0)),""))</f>
        <v>2026年4月期（第47期）</v>
      </c>
      <c r="N447" s="1" t="n">
        <f aca="false">IF($A447="","",SUMIFS(物件収支!$D:$D,物件収支!$A:$A,$A447,物件収支!$C:$C,$M447))</f>
        <v>6</v>
      </c>
      <c r="O447" s="1" t="n">
        <f aca="false">IF($A447="","",SUMIFS(物件収支!$F:$F,物件収支!$A:$A,$A447,物件収支!$C:$C,$M447))</f>
        <v>75000</v>
      </c>
      <c r="P447" s="1" t="n">
        <f aca="false">IF($A447="","",SUMIFS(物件収支!$I:$I,物件収支!$A:$A,$A447,物件収支!$C:$C,$M447))</f>
        <v>48000</v>
      </c>
      <c r="Q447" s="1" t="n">
        <f aca="false">IF($A447="","",SUMIFS(物件収支!$O:$O,物件収支!$A:$A,$A447,物件収支!$C:$C,$M447))</f>
        <v>19000</v>
      </c>
      <c r="R447" s="1" t="n">
        <f aca="false">IF($A447="","",IF(P447=0,"",O447-P447))</f>
        <v>27000</v>
      </c>
      <c r="S447" s="1" t="n">
        <f aca="false">IF($A447="","",IF(R447="","",R447+Q447))</f>
        <v>46000</v>
      </c>
      <c r="T447" s="1" t="n">
        <f aca="false">IF($A447="","",IF(OR(S447="",N447&lt;=0),"",S447/1000*12/N447))</f>
        <v>92</v>
      </c>
      <c r="U447" s="1" t="n">
        <f aca="false">IF($A447="","",IF(OR(T447="",J447=0,J447=""),"",T447/J447))</f>
        <v>0.0511111111111111</v>
      </c>
      <c r="V447" s="1" t="n">
        <f aca="false">IF($A447="","",IF(OR(R447="",N447&lt;=0,J447=0,J447=""),"",(R447/1000*12/N447)/J447))</f>
        <v>0.03</v>
      </c>
      <c r="W447" s="1" t="n">
        <f aca="false">IF($A447="","",IF(OR(T447="",K447=0,K447=""),"",T447/K447))</f>
        <v>0.0476683937823834</v>
      </c>
      <c r="X447" s="1" t="str">
        <f aca="false">IF($A447="","",IF(OR(N447&lt;=0,I447=0,I447="",O447=0),"",O447*1000/(I447*0.3025)/N447))</f>
        <v/>
      </c>
      <c r="Y447" s="1" t="n">
        <f aca="false">IF($A447="","",IF(OR(O447=0,O447="",P447=0),"",P447/O447))</f>
        <v>0.64</v>
      </c>
      <c r="Z447" s="1" t="str">
        <f aca="false">IF($A447="","",IFERROR(INDEX(物件収支!$E:$E,MATCH($A447,物件収支!$A:$A,0)),""))</f>
        <v>開示（物件別・費用内訳含む、百万円単位）</v>
      </c>
    </row>
    <row r="448" customFormat="false" ht="15" hidden="false" customHeight="true" outlineLevel="0" collapsed="false">
      <c r="A448" s="1" t="str">
        <f aca="false">IF(物件マスタ!A448="","",物件マスタ!A448)</f>
        <v>NUD-62</v>
      </c>
      <c r="B448" s="1" t="str">
        <f aca="false">IF($A448="","",物件マスタ!B448)</f>
        <v>NUD</v>
      </c>
      <c r="C448" s="1" t="str">
        <f aca="false">IF($A448="","",IFERROR(INDEX(法人マスタ!$C:$C,MATCH($B448,法人マスタ!$A:$A,0)),""))</f>
        <v>NTT都市開発リート投資法人</v>
      </c>
      <c r="D448" s="1" t="str">
        <f aca="false">IF($A448="","",物件マスタ!C448)</f>
        <v>La Douceur 都島高倉町</v>
      </c>
      <c r="E448" s="1" t="str">
        <f aca="false">IF($A448="","",物件マスタ!H448)</f>
        <v>その他3大都市圏</v>
      </c>
      <c r="F448" s="1" t="n">
        <f aca="false">IF($A448="","",物件マスタ!P448)</f>
        <v>0</v>
      </c>
      <c r="G448" s="1" t="str">
        <f aca="false">IF($A448="","",物件マスタ!Q448)</f>
        <v/>
      </c>
      <c r="H448" s="1" t="n">
        <f aca="false">IF($A448="","",物件マスタ!L448)</f>
        <v>1908.19</v>
      </c>
      <c r="I448" s="1" t="n">
        <f aca="false">IF($A448="","",物件マスタ!M448)</f>
        <v>0</v>
      </c>
      <c r="J448" s="1" t="n">
        <f aca="false">IF($A448="","",物件マスタ!S448)</f>
        <v>1140</v>
      </c>
      <c r="K448" s="1" t="n">
        <f aca="false">IF($A448="","",物件マスタ!U448)</f>
        <v>1220</v>
      </c>
      <c r="L448" s="1" t="n">
        <f aca="false">IF($A448="","",物件マスタ!W448)</f>
        <v>1</v>
      </c>
      <c r="M448" s="1" t="str">
        <f aca="false">IF($A448="","",IFERROR(INDEX(法人マスタ!$H:$H,MATCH($B448,法人マスタ!$A:$A,0)),""))</f>
        <v>2026年4月期（第47期）</v>
      </c>
      <c r="N448" s="1" t="n">
        <f aca="false">IF($A448="","",SUMIFS(物件収支!$D:$D,物件収支!$A:$A,$A448,物件収支!$C:$C,$M448))</f>
        <v>6</v>
      </c>
      <c r="O448" s="1" t="n">
        <f aca="false">IF($A448="","",SUMIFS(物件収支!$F:$F,物件収支!$A:$A,$A448,物件収支!$C:$C,$M448))</f>
        <v>11000</v>
      </c>
      <c r="P448" s="1" t="n">
        <f aca="false">IF($A448="","",SUMIFS(物件収支!$I:$I,物件収支!$A:$A,$A448,物件収支!$C:$C,$M448))</f>
        <v>6000</v>
      </c>
      <c r="Q448" s="1" t="n">
        <f aca="false">IF($A448="","",SUMIFS(物件収支!$O:$O,物件収支!$A:$A,$A448,物件収支!$C:$C,$M448))</f>
        <v>4000</v>
      </c>
      <c r="R448" s="1" t="n">
        <f aca="false">IF($A448="","",IF(P448=0,"",O448-P448))</f>
        <v>5000</v>
      </c>
      <c r="S448" s="1" t="n">
        <f aca="false">IF($A448="","",IF(R448="","",R448+Q448))</f>
        <v>9000</v>
      </c>
      <c r="T448" s="1" t="n">
        <f aca="false">IF($A448="","",IF(OR(S448="",N448&lt;=0),"",S448/1000*12/N448))</f>
        <v>18</v>
      </c>
      <c r="U448" s="1" t="n">
        <f aca="false">IF($A448="","",IF(OR(T448="",J448=0,J448=""),"",T448/J448))</f>
        <v>0.0157894736842105</v>
      </c>
      <c r="V448" s="1" t="n">
        <f aca="false">IF($A448="","",IF(OR(R448="",N448&lt;=0,J448=0,J448=""),"",(R448/1000*12/N448)/J448))</f>
        <v>0.0087719298245614</v>
      </c>
      <c r="W448" s="1" t="n">
        <f aca="false">IF($A448="","",IF(OR(T448="",K448=0,K448=""),"",T448/K448))</f>
        <v>0.0147540983606557</v>
      </c>
      <c r="X448" s="1" t="str">
        <f aca="false">IF($A448="","",IF(OR(N448&lt;=0,I448=0,I448="",O448=0),"",O448*1000/(I448*0.3025)/N448))</f>
        <v/>
      </c>
      <c r="Y448" s="1" t="n">
        <f aca="false">IF($A448="","",IF(OR(O448=0,O448="",P448=0),"",P448/O448))</f>
        <v>0.545454545454545</v>
      </c>
      <c r="Z448" s="1" t="str">
        <f aca="false">IF($A448="","",IFERROR(INDEX(物件収支!$E:$E,MATCH($A448,物件収支!$A:$A,0)),""))</f>
        <v>開示（物件別・費用内訳含む、百万円単位）</v>
      </c>
    </row>
    <row r="449" customFormat="false" ht="15" hidden="false" customHeight="true" outlineLevel="0" collapsed="false">
      <c r="A449" s="1" t="str">
        <f aca="false">IF(物件マスタ!A449="","",物件マスタ!A449)</f>
        <v>NUD-63</v>
      </c>
      <c r="B449" s="1" t="str">
        <f aca="false">IF($A449="","",物件マスタ!B449)</f>
        <v>NUD</v>
      </c>
      <c r="C449" s="1" t="str">
        <f aca="false">IF($A449="","",IFERROR(INDEX(法人マスタ!$C:$C,MATCH($B449,法人マスタ!$A:$A,0)),""))</f>
        <v>NTT都市開発リート投資法人</v>
      </c>
      <c r="D449" s="1" t="str">
        <f aca="false">IF($A449="","",物件マスタ!C449)</f>
        <v>ユーディーエックス特定目的会社優先出資証券（秋葉原ＵＤＸ）</v>
      </c>
      <c r="E449" s="1" t="str">
        <f aca="false">IF($A449="","",物件マスタ!H449)</f>
        <v>都心5区</v>
      </c>
      <c r="F449" s="1" t="n">
        <f aca="false">IF($A449="","",物件マスタ!P449)</f>
        <v>0</v>
      </c>
      <c r="G449" s="1" t="str">
        <f aca="false">IF($A449="","",物件マスタ!Q449)</f>
        <v/>
      </c>
      <c r="H449" s="1" t="n">
        <f aca="false">IF($A449="","",物件マスタ!L449)</f>
        <v>0</v>
      </c>
      <c r="I449" s="1" t="n">
        <f aca="false">IF($A449="","",物件マスタ!M449)</f>
        <v>0</v>
      </c>
      <c r="J449" s="1" t="n">
        <f aca="false">IF($A449="","",物件マスタ!S449)</f>
        <v>19940</v>
      </c>
      <c r="K449" s="1" t="n">
        <f aca="false">IF($A449="","",物件マスタ!U449)</f>
        <v>0</v>
      </c>
      <c r="L449" s="1" t="n">
        <f aca="false">IF($A449="","",物件マスタ!W449)</f>
        <v>0</v>
      </c>
      <c r="M449" s="1" t="str">
        <f aca="false">IF($A449="","",IFERROR(INDEX(法人マスタ!$H:$H,MATCH($B449,法人マスタ!$A:$A,0)),""))</f>
        <v>2026年4月期（第47期）</v>
      </c>
      <c r="N449" s="1" t="n">
        <f aca="false">IF($A449="","",SUMIFS(物件収支!$D:$D,物件収支!$A:$A,$A449,物件収支!$C:$C,$M449))</f>
        <v>6</v>
      </c>
      <c r="O449" s="1" t="n">
        <f aca="false">IF($A449="","",SUMIFS(物件収支!$F:$F,物件収支!$A:$A,$A449,物件収支!$C:$C,$M449))</f>
        <v>0</v>
      </c>
      <c r="P449" s="1" t="n">
        <f aca="false">IF($A449="","",SUMIFS(物件収支!$I:$I,物件収支!$A:$A,$A449,物件収支!$C:$C,$M449))</f>
        <v>0</v>
      </c>
      <c r="Q449" s="1" t="n">
        <f aca="false">IF($A449="","",SUMIFS(物件収支!$O:$O,物件収支!$A:$A,$A449,物件収支!$C:$C,$M449))</f>
        <v>0</v>
      </c>
      <c r="R449" s="1" t="str">
        <f aca="false">IF($A449="","",IF(P449=0,"",O449-P449))</f>
        <v/>
      </c>
      <c r="S449" s="1" t="str">
        <f aca="false">IF($A449="","",IF(R449="","",R449+Q449))</f>
        <v/>
      </c>
      <c r="T449" s="1" t="str">
        <f aca="false">IF($A449="","",IF(OR(S449="",N449&lt;=0),"",S449/1000*12/N449))</f>
        <v/>
      </c>
      <c r="U449" s="1" t="str">
        <f aca="false">IF($A449="","",IF(OR(T449="",J449=0,J449=""),"",T449/J449))</f>
        <v/>
      </c>
      <c r="V449" s="1" t="str">
        <f aca="false">IF($A449="","",IF(OR(R449="",N449&lt;=0,J449=0,J449=""),"",(R449/1000*12/N449)/J449))</f>
        <v/>
      </c>
      <c r="W449" s="1" t="str">
        <f aca="false">IF($A449="","",IF(OR(T449="",K449=0,K449=""),"",T449/K449))</f>
        <v/>
      </c>
      <c r="X449" s="1" t="str">
        <f aca="false">IF($A449="","",IF(OR(N449&lt;=0,I449=0,I449="",O449=0),"",O449*1000/(I449*0.3025)/N449))</f>
        <v/>
      </c>
      <c r="Y449" s="1" t="str">
        <f aca="false">IF($A449="","",IF(OR(O449=0,O449="",P449=0),"",P449/O449))</f>
        <v/>
      </c>
      <c r="Z449" s="1" t="str">
        <f aca="false">IF($A449="","",IFERROR(INDEX(物件収支!$E:$E,MATCH($A449,物件収支!$A:$A,0)),""))</f>
        <v>対象外（優先出資証券）</v>
      </c>
    </row>
    <row r="450" customFormat="false" ht="15" hidden="false" customHeight="true" outlineLevel="0" collapsed="false">
      <c r="A450" s="1" t="str">
        <f aca="false">IF(物件マスタ!A450="","",物件マスタ!A450)</f>
        <v>NUD-ALL</v>
      </c>
      <c r="B450" s="1" t="str">
        <f aca="false">IF($A450="","",物件マスタ!B450)</f>
        <v>NUD</v>
      </c>
      <c r="C450" s="1" t="str">
        <f aca="false">IF($A450="","",IFERROR(INDEX(法人マスタ!$C:$C,MATCH($B450,法人マスタ!$A:$A,0)),""))</f>
        <v>NTT都市開発リート投資法人</v>
      </c>
      <c r="D450" s="1" t="str">
        <f aca="false">IF($A450="","",物件マスタ!C450)</f>
        <v>【NUDポートフォリオ全体】</v>
      </c>
      <c r="E450" s="1" t="str">
        <f aca="false">IF($A450="","",物件マスタ!H450)</f>
        <v>─</v>
      </c>
      <c r="F450" s="1" t="n">
        <f aca="false">IF($A450="","",物件マスタ!P450)</f>
        <v>0</v>
      </c>
      <c r="G450" s="1" t="str">
        <f aca="false">IF($A450="","",物件マスタ!Q450)</f>
        <v/>
      </c>
      <c r="H450" s="1" t="n">
        <f aca="false">IF($A450="","",物件マスタ!L450)</f>
        <v>0</v>
      </c>
      <c r="I450" s="1" t="n">
        <f aca="false">IF($A450="","",物件マスタ!M450)</f>
        <v>0</v>
      </c>
      <c r="J450" s="1" t="n">
        <f aca="false">IF($A450="","",物件マスタ!S450)</f>
        <v>295266</v>
      </c>
      <c r="K450" s="1" t="n">
        <f aca="false">IF($A450="","",物件マスタ!U450)</f>
        <v>335310</v>
      </c>
      <c r="L450" s="1" t="n">
        <f aca="false">IF($A450="","",物件マスタ!W450)</f>
        <v>0.986</v>
      </c>
      <c r="M450" s="1" t="str">
        <f aca="false">IF($A450="","",IFERROR(INDEX(法人マスタ!$H:$H,MATCH($B450,法人マスタ!$A:$A,0)),""))</f>
        <v>2026年4月期（第47期）</v>
      </c>
      <c r="N450" s="1" t="n">
        <f aca="false">IF($A450="","",SUMIFS(物件収支!$D:$D,物件収支!$A:$A,$A450,物件収支!$C:$C,$M450))</f>
        <v>6</v>
      </c>
      <c r="O450" s="1" t="n">
        <f aca="false">IF($A450="","",SUMIFS(物件収支!$F:$F,物件収支!$A:$A,$A450,物件収支!$C:$C,$M450))</f>
        <v>11206538</v>
      </c>
      <c r="P450" s="1" t="n">
        <f aca="false">IF($A450="","",SUMIFS(物件収支!$I:$I,物件収支!$A:$A,$A450,物件収支!$C:$C,$M450))</f>
        <v>6416161</v>
      </c>
      <c r="Q450" s="1" t="n">
        <f aca="false">IF($A450="","",SUMIFS(物件収支!$O:$O,物件収支!$A:$A,$A450,物件収支!$C:$C,$M450))</f>
        <v>1653117</v>
      </c>
      <c r="R450" s="1" t="n">
        <f aca="false">IF($A450="","",IF(P450=0,"",O450-P450))</f>
        <v>4790377</v>
      </c>
      <c r="S450" s="1" t="n">
        <f aca="false">IF($A450="","",IF(R450="","",R450+Q450))</f>
        <v>6443494</v>
      </c>
      <c r="T450" s="1" t="n">
        <f aca="false">IF($A450="","",IF(OR(S450="",N450&lt;=0),"",S450/1000*12/N450))</f>
        <v>12886.988</v>
      </c>
      <c r="U450" s="1" t="n">
        <f aca="false">IF($A450="","",IF(OR(T450="",J450=0,J450=""),"",T450/J450))</f>
        <v>0.0436453502943109</v>
      </c>
      <c r="V450" s="1" t="n">
        <f aca="false">IF($A450="","",IF(OR(R450="",N450&lt;=0,J450=0,J450=""),"",(R450/1000*12/N450)/J450))</f>
        <v>0.0324478741202848</v>
      </c>
      <c r="W450" s="1" t="n">
        <f aca="false">IF($A450="","",IF(OR(T450="",K450=0,K450=""),"",T450/K450))</f>
        <v>0.0384330559780502</v>
      </c>
      <c r="X450" s="1" t="str">
        <f aca="false">IF($A450="","",IF(OR(N450&lt;=0,I450=0,I450="",O450=0),"",O450*1000/(I450*0.3025)/N450))</f>
        <v/>
      </c>
      <c r="Y450" s="1" t="n">
        <f aca="false">IF($A450="","",IF(OR(O450=0,O450="",P450=0),"",P450/O450))</f>
        <v>0.57253729920873</v>
      </c>
      <c r="Z450" s="1" t="str">
        <f aca="false">IF($A450="","",IFERROR(INDEX(物件収支!$E:$E,MATCH($A450,物件収支!$A:$A,0)),""))</f>
        <v>開示（法人一括）</v>
      </c>
    </row>
    <row r="451" customFormat="false" ht="15" hidden="false" customHeight="true" outlineLevel="0" collapsed="false">
      <c r="A451" s="1" t="str">
        <f aca="false">IF(物件マスタ!A451="","",物件マスタ!A451)</f>
        <v>SHR-001</v>
      </c>
      <c r="B451" s="1" t="str">
        <f aca="false">IF($A451="","",物件マスタ!B451)</f>
        <v>SHR</v>
      </c>
      <c r="C451" s="1" t="str">
        <f aca="false">IF($A451="","",IFERROR(INDEX(法人マスタ!$C:$C,MATCH($B451,法人マスタ!$A:$A,0)),""))</f>
        <v>積水ハウス・リート投資法人</v>
      </c>
      <c r="D451" s="1" t="str">
        <f aca="false">IF($A451="","",物件マスタ!C451)</f>
        <v>エスティメゾン銀座</v>
      </c>
      <c r="E451" s="1" t="str">
        <f aca="false">IF($A451="","",物件マスタ!H451)</f>
        <v>都心5区</v>
      </c>
      <c r="F451" s="53" t="n">
        <f aca="false">IF($A451="","",物件マスタ!P451)</f>
        <v>38384</v>
      </c>
      <c r="G451" s="1" t="n">
        <f aca="false">IF($A451="","",物件マスタ!Q451)</f>
        <v>21.5</v>
      </c>
      <c r="H451" s="1" t="n">
        <f aca="false">IF($A451="","",物件マスタ!L451)</f>
        <v>0</v>
      </c>
      <c r="I451" s="1" t="n">
        <f aca="false">IF($A451="","",物件マスタ!M451)</f>
        <v>5515.43</v>
      </c>
      <c r="J451" s="1" t="n">
        <f aca="false">IF($A451="","",物件マスタ!S451)</f>
        <v>6540</v>
      </c>
      <c r="K451" s="1" t="n">
        <f aca="false">IF($A451="","",物件マスタ!U451)</f>
        <v>8380</v>
      </c>
      <c r="L451" s="1" t="n">
        <f aca="false">IF($A451="","",物件マスタ!W451)</f>
        <v>0.963</v>
      </c>
      <c r="M451" s="1" t="str">
        <f aca="false">IF($A451="","",IFERROR(INDEX(法人マスタ!$H:$H,MATCH($B451,法人マスタ!$A:$A,0)),""))</f>
        <v>2026年4月期（第23期）</v>
      </c>
      <c r="N451" s="1" t="n">
        <f aca="false">IF($A451="","",SUMIFS(物件収支!$D:$D,物件収支!$A:$A,$A451,物件収支!$C:$C,$M451))</f>
        <v>6</v>
      </c>
      <c r="O451" s="1" t="n">
        <f aca="false">IF($A451="","",SUMIFS(物件収支!$F:$F,物件収支!$A:$A,$A451,物件収支!$C:$C,$M451))</f>
        <v>178000</v>
      </c>
      <c r="P451" s="1" t="n">
        <f aca="false">IF($A451="","",SUMIFS(物件収支!$I:$I,物件収支!$A:$A,$A451,物件収支!$C:$C,$M451))</f>
        <v>0</v>
      </c>
      <c r="Q451" s="1" t="n">
        <f aca="false">IF($A451="","",SUMIFS(物件収支!$O:$O,物件収支!$A:$A,$A451,物件収支!$C:$C,$M451))</f>
        <v>0</v>
      </c>
      <c r="R451" s="1" t="str">
        <f aca="false">IF($A451="","",IF(P451=0,"",O451-P451))</f>
        <v/>
      </c>
      <c r="S451" s="1" t="str">
        <f aca="false">IF($A451="","",IF(R451="","",R451+Q451))</f>
        <v/>
      </c>
      <c r="T451" s="1" t="str">
        <f aca="false">IF($A451="","",IF(OR(S451="",N451&lt;=0),"",S451/1000*12/N451))</f>
        <v/>
      </c>
      <c r="U451" s="1" t="str">
        <f aca="false">IF($A451="","",IF(OR(T451="",J451=0,J451=""),"",T451/J451))</f>
        <v/>
      </c>
      <c r="V451" s="1" t="str">
        <f aca="false">IF($A451="","",IF(OR(R451="",N451&lt;=0,J451=0,J451=""),"",(R451/1000*12/N451)/J451))</f>
        <v/>
      </c>
      <c r="W451" s="1" t="str">
        <f aca="false">IF($A451="","",IF(OR(T451="",K451=0,K451=""),"",T451/K451))</f>
        <v/>
      </c>
      <c r="X451" s="1" t="n">
        <f aca="false">IF($A451="","",IF(OR(N451&lt;=0,I451=0,I451="",O451=0),"",O451*1000/(I451*0.3025)/N451))</f>
        <v>17781.3199232612</v>
      </c>
      <c r="Y451" s="1" t="str">
        <f aca="false">IF($A451="","",IF(OR(O451=0,O451="",P451=0),"",P451/O451))</f>
        <v/>
      </c>
      <c r="Z451" s="1" t="str">
        <f aca="false">IF($A451="","",IFERROR(INDEX(物件収支!$E:$E,MATCH($A451,物件収支!$A:$A,0)),""))</f>
        <v>開示（物件別・収益のみ・百万円単位）</v>
      </c>
    </row>
    <row r="452" customFormat="false" ht="15" hidden="false" customHeight="true" outlineLevel="0" collapsed="false">
      <c r="A452" s="1" t="str">
        <f aca="false">IF(物件マスタ!A452="","",物件マスタ!A452)</f>
        <v>SHR-002</v>
      </c>
      <c r="B452" s="1" t="str">
        <f aca="false">IF($A452="","",物件マスタ!B452)</f>
        <v>SHR</v>
      </c>
      <c r="C452" s="1" t="str">
        <f aca="false">IF($A452="","",IFERROR(INDEX(法人マスタ!$C:$C,MATCH($B452,法人マスタ!$A:$A,0)),""))</f>
        <v>積水ハウス・リート投資法人</v>
      </c>
      <c r="D452" s="1" t="str">
        <f aca="false">IF($A452="","",物件マスタ!C452)</f>
        <v>エスティメゾン麻布永坂</v>
      </c>
      <c r="E452" s="1" t="str">
        <f aca="false">IF($A452="","",物件マスタ!H452)</f>
        <v>都心5区</v>
      </c>
      <c r="F452" s="53" t="n">
        <f aca="false">IF($A452="","",物件マスタ!P452)</f>
        <v>37987</v>
      </c>
      <c r="G452" s="1" t="n">
        <f aca="false">IF($A452="","",物件マスタ!Q452)</f>
        <v>22.6</v>
      </c>
      <c r="H452" s="1" t="n">
        <f aca="false">IF($A452="","",物件マスタ!L452)</f>
        <v>0</v>
      </c>
      <c r="I452" s="1" t="n">
        <f aca="false">IF($A452="","",物件マスタ!M452)</f>
        <v>2019.1</v>
      </c>
      <c r="J452" s="1" t="n">
        <f aca="false">IF($A452="","",物件マスタ!S452)</f>
        <v>1790</v>
      </c>
      <c r="K452" s="1" t="n">
        <f aca="false">IF($A452="","",物件マスタ!U452)</f>
        <v>2010</v>
      </c>
      <c r="L452" s="1" t="n">
        <f aca="false">IF($A452="","",物件マスタ!W452)</f>
        <v>0.874</v>
      </c>
      <c r="M452" s="1" t="str">
        <f aca="false">IF($A452="","",IFERROR(INDEX(法人マスタ!$H:$H,MATCH($B452,法人マスタ!$A:$A,0)),""))</f>
        <v>2026年4月期（第23期）</v>
      </c>
      <c r="N452" s="1" t="n">
        <f aca="false">IF($A452="","",SUMIFS(物件収支!$D:$D,物件収支!$A:$A,$A452,物件収支!$C:$C,$M452))</f>
        <v>6</v>
      </c>
      <c r="O452" s="1" t="n">
        <f aca="false">IF($A452="","",SUMIFS(物件収支!$F:$F,物件収支!$A:$A,$A452,物件収支!$C:$C,$M452))</f>
        <v>48000</v>
      </c>
      <c r="P452" s="1" t="n">
        <f aca="false">IF($A452="","",SUMIFS(物件収支!$I:$I,物件収支!$A:$A,$A452,物件収支!$C:$C,$M452))</f>
        <v>0</v>
      </c>
      <c r="Q452" s="1" t="n">
        <f aca="false">IF($A452="","",SUMIFS(物件収支!$O:$O,物件収支!$A:$A,$A452,物件収支!$C:$C,$M452))</f>
        <v>0</v>
      </c>
      <c r="R452" s="1" t="str">
        <f aca="false">IF($A452="","",IF(P452=0,"",O452-P452))</f>
        <v/>
      </c>
      <c r="S452" s="1" t="str">
        <f aca="false">IF($A452="","",IF(R452="","",R452+Q452))</f>
        <v/>
      </c>
      <c r="T452" s="1" t="str">
        <f aca="false">IF($A452="","",IF(OR(S452="",N452&lt;=0),"",S452/1000*12/N452))</f>
        <v/>
      </c>
      <c r="U452" s="1" t="str">
        <f aca="false">IF($A452="","",IF(OR(T452="",J452=0,J452=""),"",T452/J452))</f>
        <v/>
      </c>
      <c r="V452" s="1" t="str">
        <f aca="false">IF($A452="","",IF(OR(R452="",N452&lt;=0,J452=0,J452=""),"",(R452/1000*12/N452)/J452))</f>
        <v/>
      </c>
      <c r="W452" s="1" t="str">
        <f aca="false">IF($A452="","",IF(OR(T452="",K452=0,K452=""),"",T452/K452))</f>
        <v/>
      </c>
      <c r="X452" s="1" t="n">
        <f aca="false">IF($A452="","",IF(OR(N452&lt;=0,I452=0,I452="",O452=0),"",O452*1000/(I452*0.3025)/N452))</f>
        <v>13098.0540794094</v>
      </c>
      <c r="Y452" s="1" t="str">
        <f aca="false">IF($A452="","",IF(OR(O452=0,O452="",P452=0),"",P452/O452))</f>
        <v/>
      </c>
      <c r="Z452" s="1" t="str">
        <f aca="false">IF($A452="","",IFERROR(INDEX(物件収支!$E:$E,MATCH($A452,物件収支!$A:$A,0)),""))</f>
        <v>開示（物件別・収益のみ・百万円単位）</v>
      </c>
    </row>
    <row r="453" customFormat="false" ht="15" hidden="false" customHeight="true" outlineLevel="0" collapsed="false">
      <c r="A453" s="1" t="str">
        <f aca="false">IF(物件マスタ!A453="","",物件マスタ!A453)</f>
        <v>SHR-003</v>
      </c>
      <c r="B453" s="1" t="str">
        <f aca="false">IF($A453="","",物件マスタ!B453)</f>
        <v>SHR</v>
      </c>
      <c r="C453" s="1" t="str">
        <f aca="false">IF($A453="","",IFERROR(INDEX(法人マスタ!$C:$C,MATCH($B453,法人マスタ!$A:$A,0)),""))</f>
        <v>積水ハウス・リート投資法人</v>
      </c>
      <c r="D453" s="1" t="str">
        <f aca="false">IF($A453="","",物件マスタ!C453)</f>
        <v>エスティメゾン恵比寿Ⅱ</v>
      </c>
      <c r="E453" s="1" t="str">
        <f aca="false">IF($A453="","",物件マスタ!H453)</f>
        <v>都心5区</v>
      </c>
      <c r="F453" s="53" t="n">
        <f aca="false">IF($A453="","",物件マスタ!P453)</f>
        <v>37773</v>
      </c>
      <c r="G453" s="1" t="n">
        <f aca="false">IF($A453="","",物件マスタ!Q453)</f>
        <v>23.2</v>
      </c>
      <c r="H453" s="1" t="n">
        <f aca="false">IF($A453="","",物件マスタ!L453)</f>
        <v>0</v>
      </c>
      <c r="I453" s="1" t="n">
        <f aca="false">IF($A453="","",物件マスタ!M453)</f>
        <v>2062.1</v>
      </c>
      <c r="J453" s="1" t="n">
        <f aca="false">IF($A453="","",物件マスタ!S453)</f>
        <v>2040</v>
      </c>
      <c r="K453" s="1" t="n">
        <f aca="false">IF($A453="","",物件マスタ!U453)</f>
        <v>2630</v>
      </c>
      <c r="L453" s="1" t="n">
        <f aca="false">IF($A453="","",物件マスタ!W453)</f>
        <v>0.916</v>
      </c>
      <c r="M453" s="1" t="str">
        <f aca="false">IF($A453="","",IFERROR(INDEX(法人マスタ!$H:$H,MATCH($B453,法人マスタ!$A:$A,0)),""))</f>
        <v>2026年4月期（第23期）</v>
      </c>
      <c r="N453" s="1" t="n">
        <f aca="false">IF($A453="","",SUMIFS(物件収支!$D:$D,物件収支!$A:$A,$A453,物件収支!$C:$C,$M453))</f>
        <v>6</v>
      </c>
      <c r="O453" s="1" t="n">
        <f aca="false">IF($A453="","",SUMIFS(物件収支!$F:$F,物件収支!$A:$A,$A453,物件収支!$C:$C,$M453))</f>
        <v>61000</v>
      </c>
      <c r="P453" s="1" t="n">
        <f aca="false">IF($A453="","",SUMIFS(物件収支!$I:$I,物件収支!$A:$A,$A453,物件収支!$C:$C,$M453))</f>
        <v>0</v>
      </c>
      <c r="Q453" s="1" t="n">
        <f aca="false">IF($A453="","",SUMIFS(物件収支!$O:$O,物件収支!$A:$A,$A453,物件収支!$C:$C,$M453))</f>
        <v>0</v>
      </c>
      <c r="R453" s="1" t="str">
        <f aca="false">IF($A453="","",IF(P453=0,"",O453-P453))</f>
        <v/>
      </c>
      <c r="S453" s="1" t="str">
        <f aca="false">IF($A453="","",IF(R453="","",R453+Q453))</f>
        <v/>
      </c>
      <c r="T453" s="1" t="str">
        <f aca="false">IF($A453="","",IF(OR(S453="",N453&lt;=0),"",S453/1000*12/N453))</f>
        <v/>
      </c>
      <c r="U453" s="1" t="str">
        <f aca="false">IF($A453="","",IF(OR(T453="",J453=0,J453=""),"",T453/J453))</f>
        <v/>
      </c>
      <c r="V453" s="1" t="str">
        <f aca="false">IF($A453="","",IF(OR(R453="",N453&lt;=0,J453=0,J453=""),"",(R453/1000*12/N453)/J453))</f>
        <v/>
      </c>
      <c r="W453" s="1" t="str">
        <f aca="false">IF($A453="","",IF(OR(T453="",K453=0,K453=""),"",T453/K453))</f>
        <v/>
      </c>
      <c r="X453" s="1" t="n">
        <f aca="false">IF($A453="","",IF(OR(N453&lt;=0,I453=0,I453="",O453=0),"",O453*1000/(I453*0.3025)/N453))</f>
        <v>16298.3441283145</v>
      </c>
      <c r="Y453" s="1" t="str">
        <f aca="false">IF($A453="","",IF(OR(O453=0,O453="",P453=0),"",P453/O453))</f>
        <v/>
      </c>
      <c r="Z453" s="1" t="str">
        <f aca="false">IF($A453="","",IFERROR(INDEX(物件収支!$E:$E,MATCH($A453,物件収支!$A:$A,0)),""))</f>
        <v>開示（物件別・収益のみ・百万円単位）</v>
      </c>
    </row>
    <row r="454" customFormat="false" ht="15" hidden="false" customHeight="true" outlineLevel="0" collapsed="false">
      <c r="A454" s="1" t="str">
        <f aca="false">IF(物件マスタ!A454="","",物件マスタ!A454)</f>
        <v>SHR-004</v>
      </c>
      <c r="B454" s="1" t="str">
        <f aca="false">IF($A454="","",物件マスタ!B454)</f>
        <v>SHR</v>
      </c>
      <c r="C454" s="1" t="str">
        <f aca="false">IF($A454="","",IFERROR(INDEX(法人マスタ!$C:$C,MATCH($B454,法人マスタ!$A:$A,0)),""))</f>
        <v>積水ハウス・リート投資法人</v>
      </c>
      <c r="D454" s="1" t="str">
        <f aca="false">IF($A454="","",物件マスタ!C454)</f>
        <v>エスティメゾン恵比寿</v>
      </c>
      <c r="E454" s="1" t="str">
        <f aca="false">IF($A454="","",物件マスタ!H454)</f>
        <v>（期中譲渡済）</v>
      </c>
      <c r="F454" s="1" t="n">
        <f aca="false">IF($A454="","",物件マスタ!P454)</f>
        <v>0</v>
      </c>
      <c r="G454" s="1" t="str">
        <f aca="false">IF($A454="","",物件マスタ!Q454)</f>
        <v/>
      </c>
      <c r="H454" s="1" t="n">
        <f aca="false">IF($A454="","",物件マスタ!L454)</f>
        <v>0</v>
      </c>
      <c r="I454" s="1" t="n">
        <f aca="false">IF($A454="","",物件マスタ!M454)</f>
        <v>0</v>
      </c>
      <c r="J454" s="1" t="n">
        <f aca="false">IF($A454="","",物件マスタ!S454)</f>
        <v>0</v>
      </c>
      <c r="K454" s="1" t="n">
        <f aca="false">IF($A454="","",物件マスタ!U454)</f>
        <v>0</v>
      </c>
      <c r="L454" s="1" t="n">
        <f aca="false">IF($A454="","",物件マスタ!W454)</f>
        <v>0</v>
      </c>
      <c r="M454" s="1" t="str">
        <f aca="false">IF($A454="","",IFERROR(INDEX(法人マスタ!$H:$H,MATCH($B454,法人マスタ!$A:$A,0)),""))</f>
        <v>2026年4月期（第23期）</v>
      </c>
      <c r="N454" s="1" t="n">
        <f aca="false">IF($A454="","",SUMIFS(物件収支!$D:$D,物件収支!$A:$A,$A454,物件収支!$C:$C,$M454))</f>
        <v>6</v>
      </c>
      <c r="O454" s="1" t="n">
        <f aca="false">IF($A454="","",SUMIFS(物件収支!$F:$F,物件収支!$A:$A,$A454,物件収支!$C:$C,$M454))</f>
        <v>12000</v>
      </c>
      <c r="P454" s="1" t="n">
        <f aca="false">IF($A454="","",SUMIFS(物件収支!$I:$I,物件収支!$A:$A,$A454,物件収支!$C:$C,$M454))</f>
        <v>0</v>
      </c>
      <c r="Q454" s="1" t="n">
        <f aca="false">IF($A454="","",SUMIFS(物件収支!$O:$O,物件収支!$A:$A,$A454,物件収支!$C:$C,$M454))</f>
        <v>0</v>
      </c>
      <c r="R454" s="1" t="str">
        <f aca="false">IF($A454="","",IF(P454=0,"",O454-P454))</f>
        <v/>
      </c>
      <c r="S454" s="1" t="str">
        <f aca="false">IF($A454="","",IF(R454="","",R454+Q454))</f>
        <v/>
      </c>
      <c r="T454" s="1" t="str">
        <f aca="false">IF($A454="","",IF(OR(S454="",N454&lt;=0),"",S454/1000*12/N454))</f>
        <v/>
      </c>
      <c r="U454" s="1" t="str">
        <f aca="false">IF($A454="","",IF(OR(T454="",J454=0,J454=""),"",T454/J454))</f>
        <v/>
      </c>
      <c r="V454" s="1" t="str">
        <f aca="false">IF($A454="","",IF(OR(R454="",N454&lt;=0,J454=0,J454=""),"",(R454/1000*12/N454)/J454))</f>
        <v/>
      </c>
      <c r="W454" s="1" t="str">
        <f aca="false">IF($A454="","",IF(OR(T454="",K454=0,K454=""),"",T454/K454))</f>
        <v/>
      </c>
      <c r="X454" s="1" t="str">
        <f aca="false">IF($A454="","",IF(OR(N454&lt;=0,I454=0,I454="",O454=0),"",O454*1000/(I454*0.3025)/N454))</f>
        <v/>
      </c>
      <c r="Y454" s="1" t="str">
        <f aca="false">IF($A454="","",IF(OR(O454=0,O454="",P454=0),"",P454/O454))</f>
        <v/>
      </c>
      <c r="Z454" s="1" t="str">
        <f aca="false">IF($A454="","",IFERROR(INDEX(物件収支!$E:$E,MATCH($A454,物件収支!$A:$A,0)),""))</f>
        <v>開示（期中譲渡・収益のみ・百万円単位）</v>
      </c>
    </row>
    <row r="455" customFormat="false" ht="15" hidden="false" customHeight="true" outlineLevel="0" collapsed="false">
      <c r="A455" s="1" t="str">
        <f aca="false">IF(物件マスタ!A455="","",物件マスタ!A455)</f>
        <v>SHR-005</v>
      </c>
      <c r="B455" s="1" t="str">
        <f aca="false">IF($A455="","",物件マスタ!B455)</f>
        <v>SHR</v>
      </c>
      <c r="C455" s="1" t="str">
        <f aca="false">IF($A455="","",IFERROR(INDEX(法人マスタ!$C:$C,MATCH($B455,法人マスタ!$A:$A,0)),""))</f>
        <v>積水ハウス・リート投資法人</v>
      </c>
      <c r="D455" s="1" t="str">
        <f aca="false">IF($A455="","",物件マスタ!C455)</f>
        <v>エスティメゾン神田</v>
      </c>
      <c r="E455" s="1" t="str">
        <f aca="false">IF($A455="","",物件マスタ!H455)</f>
        <v>都心5区</v>
      </c>
      <c r="F455" s="53" t="n">
        <f aca="false">IF($A455="","",物件マスタ!P455)</f>
        <v>38018</v>
      </c>
      <c r="G455" s="1" t="n">
        <f aca="false">IF($A455="","",物件マスタ!Q455)</f>
        <v>22.5</v>
      </c>
      <c r="H455" s="1" t="n">
        <f aca="false">IF($A455="","",物件マスタ!L455)</f>
        <v>0</v>
      </c>
      <c r="I455" s="1" t="n">
        <f aca="false">IF($A455="","",物件マスタ!M455)</f>
        <v>1706.54</v>
      </c>
      <c r="J455" s="1" t="n">
        <f aca="false">IF($A455="","",物件マスタ!S455)</f>
        <v>1610</v>
      </c>
      <c r="K455" s="1" t="n">
        <f aca="false">IF($A455="","",物件マスタ!U455)</f>
        <v>2060</v>
      </c>
      <c r="L455" s="1" t="n">
        <f aca="false">IF($A455="","",物件マスタ!W455)</f>
        <v>0.923</v>
      </c>
      <c r="M455" s="1" t="str">
        <f aca="false">IF($A455="","",IFERROR(INDEX(法人マスタ!$H:$H,MATCH($B455,法人マスタ!$A:$A,0)),""))</f>
        <v>2026年4月期（第23期）</v>
      </c>
      <c r="N455" s="1" t="n">
        <f aca="false">IF($A455="","",SUMIFS(物件収支!$D:$D,物件収支!$A:$A,$A455,物件収支!$C:$C,$M455))</f>
        <v>6</v>
      </c>
      <c r="O455" s="1" t="n">
        <f aca="false">IF($A455="","",SUMIFS(物件収支!$F:$F,物件収支!$A:$A,$A455,物件収支!$C:$C,$M455))</f>
        <v>48000</v>
      </c>
      <c r="P455" s="1" t="n">
        <f aca="false">IF($A455="","",SUMIFS(物件収支!$I:$I,物件収支!$A:$A,$A455,物件収支!$C:$C,$M455))</f>
        <v>0</v>
      </c>
      <c r="Q455" s="1" t="n">
        <f aca="false">IF($A455="","",SUMIFS(物件収支!$O:$O,物件収支!$A:$A,$A455,物件収支!$C:$C,$M455))</f>
        <v>0</v>
      </c>
      <c r="R455" s="1" t="str">
        <f aca="false">IF($A455="","",IF(P455=0,"",O455-P455))</f>
        <v/>
      </c>
      <c r="S455" s="1" t="str">
        <f aca="false">IF($A455="","",IF(R455="","",R455+Q455))</f>
        <v/>
      </c>
      <c r="T455" s="1" t="str">
        <f aca="false">IF($A455="","",IF(OR(S455="",N455&lt;=0),"",S455/1000*12/N455))</f>
        <v/>
      </c>
      <c r="U455" s="1" t="str">
        <f aca="false">IF($A455="","",IF(OR(T455="",J455=0,J455=""),"",T455/J455))</f>
        <v/>
      </c>
      <c r="V455" s="1" t="str">
        <f aca="false">IF($A455="","",IF(OR(R455="",N455&lt;=0,J455=0,J455=""),"",(R455/1000*12/N455)/J455))</f>
        <v/>
      </c>
      <c r="W455" s="1" t="str">
        <f aca="false">IF($A455="","",IF(OR(T455="",K455=0,K455=""),"",T455/K455))</f>
        <v/>
      </c>
      <c r="X455" s="1" t="n">
        <f aca="false">IF($A455="","",IF(OR(N455&lt;=0,I455=0,I455="",O455=0),"",O455*1000/(I455*0.3025)/N455))</f>
        <v>15497.0179378951</v>
      </c>
      <c r="Y455" s="1" t="str">
        <f aca="false">IF($A455="","",IF(OR(O455=0,O455="",P455=0),"",P455/O455))</f>
        <v/>
      </c>
      <c r="Z455" s="1" t="str">
        <f aca="false">IF($A455="","",IFERROR(INDEX(物件収支!$E:$E,MATCH($A455,物件収支!$A:$A,0)),""))</f>
        <v>開示（物件別・収益のみ・百万円単位）</v>
      </c>
    </row>
    <row r="456" customFormat="false" ht="15" hidden="false" customHeight="true" outlineLevel="0" collapsed="false">
      <c r="A456" s="1" t="str">
        <f aca="false">IF(物件マスタ!A456="","",物件マスタ!A456)</f>
        <v>SHR-006</v>
      </c>
      <c r="B456" s="1" t="str">
        <f aca="false">IF($A456="","",物件マスタ!B456)</f>
        <v>SHR</v>
      </c>
      <c r="C456" s="1" t="str">
        <f aca="false">IF($A456="","",IFERROR(INDEX(法人マスタ!$C:$C,MATCH($B456,法人マスタ!$A:$A,0)),""))</f>
        <v>積水ハウス・リート投資法人</v>
      </c>
      <c r="D456" s="1" t="str">
        <f aca="false">IF($A456="","",物件マスタ!C456)</f>
        <v>エスティメゾン北新宿</v>
      </c>
      <c r="E456" s="1" t="str">
        <f aca="false">IF($A456="","",物件マスタ!H456)</f>
        <v>都心5区</v>
      </c>
      <c r="F456" s="53" t="n">
        <f aca="false">IF($A456="","",物件マスタ!P456)</f>
        <v>38200</v>
      </c>
      <c r="G456" s="1" t="n">
        <f aca="false">IF($A456="","",物件マスタ!Q456)</f>
        <v>22</v>
      </c>
      <c r="H456" s="1" t="n">
        <f aca="false">IF($A456="","",物件マスタ!L456)</f>
        <v>0</v>
      </c>
      <c r="I456" s="1" t="n">
        <f aca="false">IF($A456="","",物件マスタ!M456)</f>
        <v>1881.19</v>
      </c>
      <c r="J456" s="1" t="n">
        <f aca="false">IF($A456="","",物件マスタ!S456)</f>
        <v>1590</v>
      </c>
      <c r="K456" s="1" t="n">
        <f aca="false">IF($A456="","",物件マスタ!U456)</f>
        <v>2040</v>
      </c>
      <c r="L456" s="1" t="n">
        <f aca="false">IF($A456="","",物件マスタ!W456)</f>
        <v>0.861</v>
      </c>
      <c r="M456" s="1" t="str">
        <f aca="false">IF($A456="","",IFERROR(INDEX(法人マスタ!$H:$H,MATCH($B456,法人マスタ!$A:$A,0)),""))</f>
        <v>2026年4月期（第23期）</v>
      </c>
      <c r="N456" s="1" t="n">
        <f aca="false">IF($A456="","",SUMIFS(物件収支!$D:$D,物件収支!$A:$A,$A456,物件収支!$C:$C,$M456))</f>
        <v>6</v>
      </c>
      <c r="O456" s="1" t="n">
        <f aca="false">IF($A456="","",SUMIFS(物件収支!$F:$F,物件収支!$A:$A,$A456,物件収支!$C:$C,$M456))</f>
        <v>47000</v>
      </c>
      <c r="P456" s="1" t="n">
        <f aca="false">IF($A456="","",SUMIFS(物件収支!$I:$I,物件収支!$A:$A,$A456,物件収支!$C:$C,$M456))</f>
        <v>0</v>
      </c>
      <c r="Q456" s="1" t="n">
        <f aca="false">IF($A456="","",SUMIFS(物件収支!$O:$O,物件収支!$A:$A,$A456,物件収支!$C:$C,$M456))</f>
        <v>0</v>
      </c>
      <c r="R456" s="1" t="str">
        <f aca="false">IF($A456="","",IF(P456=0,"",O456-P456))</f>
        <v/>
      </c>
      <c r="S456" s="1" t="str">
        <f aca="false">IF($A456="","",IF(R456="","",R456+Q456))</f>
        <v/>
      </c>
      <c r="T456" s="1" t="str">
        <f aca="false">IF($A456="","",IF(OR(S456="",N456&lt;=0),"",S456/1000*12/N456))</f>
        <v/>
      </c>
      <c r="U456" s="1" t="str">
        <f aca="false">IF($A456="","",IF(OR(T456="",J456=0,J456=""),"",T456/J456))</f>
        <v/>
      </c>
      <c r="V456" s="1" t="str">
        <f aca="false">IF($A456="","",IF(OR(R456="",N456&lt;=0,J456=0,J456=""),"",(R456/1000*12/N456)/J456))</f>
        <v/>
      </c>
      <c r="W456" s="1" t="str">
        <f aca="false">IF($A456="","",IF(OR(T456="",K456=0,K456=""),"",T456/K456))</f>
        <v/>
      </c>
      <c r="X456" s="1" t="n">
        <f aca="false">IF($A456="","",IF(OR(N456&lt;=0,I456=0,I456="",O456=0),"",O456*1000/(I456*0.3025)/N456))</f>
        <v>13765.3914832674</v>
      </c>
      <c r="Y456" s="1" t="str">
        <f aca="false">IF($A456="","",IF(OR(O456=0,O456="",P456=0),"",P456/O456))</f>
        <v/>
      </c>
      <c r="Z456" s="1" t="str">
        <f aca="false">IF($A456="","",IFERROR(INDEX(物件収支!$E:$E,MATCH($A456,物件収支!$A:$A,0)),""))</f>
        <v>開示（物件別・収益のみ・百万円単位）</v>
      </c>
    </row>
    <row r="457" customFormat="false" ht="15" hidden="false" customHeight="true" outlineLevel="0" collapsed="false">
      <c r="A457" s="1" t="str">
        <f aca="false">IF(物件マスタ!A457="","",物件マスタ!A457)</f>
        <v>SHR-007</v>
      </c>
      <c r="B457" s="1" t="str">
        <f aca="false">IF($A457="","",物件マスタ!B457)</f>
        <v>SHR</v>
      </c>
      <c r="C457" s="1" t="str">
        <f aca="false">IF($A457="","",IFERROR(INDEX(法人マスタ!$C:$C,MATCH($B457,法人マスタ!$A:$A,0)),""))</f>
        <v>積水ハウス・リート投資法人</v>
      </c>
      <c r="D457" s="1" t="str">
        <f aca="false">IF($A457="","",物件マスタ!C457)</f>
        <v>エスティメゾン浅草駒形</v>
      </c>
      <c r="E457" s="1" t="str">
        <f aca="false">IF($A457="","",物件マスタ!H457)</f>
        <v>その他東京23区</v>
      </c>
      <c r="F457" s="53" t="n">
        <f aca="false">IF($A457="","",物件マスタ!P457)</f>
        <v>38169</v>
      </c>
      <c r="G457" s="1" t="n">
        <f aca="false">IF($A457="","",物件マスタ!Q457)</f>
        <v>22.1</v>
      </c>
      <c r="H457" s="1" t="n">
        <f aca="false">IF($A457="","",物件マスタ!L457)</f>
        <v>0</v>
      </c>
      <c r="I457" s="1" t="n">
        <f aca="false">IF($A457="","",物件マスタ!M457)</f>
        <v>2978.28</v>
      </c>
      <c r="J457" s="1" t="n">
        <f aca="false">IF($A457="","",物件マスタ!S457)</f>
        <v>2190</v>
      </c>
      <c r="K457" s="1" t="n">
        <f aca="false">IF($A457="","",物件マスタ!U457)</f>
        <v>2730</v>
      </c>
      <c r="L457" s="1" t="n">
        <f aca="false">IF($A457="","",物件マスタ!W457)</f>
        <v>0.961</v>
      </c>
      <c r="M457" s="1" t="str">
        <f aca="false">IF($A457="","",IFERROR(INDEX(法人マスタ!$H:$H,MATCH($B457,法人マスタ!$A:$A,0)),""))</f>
        <v>2026年4月期（第23期）</v>
      </c>
      <c r="N457" s="1" t="n">
        <f aca="false">IF($A457="","",SUMIFS(物件収支!$D:$D,物件収支!$A:$A,$A457,物件収支!$C:$C,$M457))</f>
        <v>6</v>
      </c>
      <c r="O457" s="1" t="n">
        <f aca="false">IF($A457="","",SUMIFS(物件収支!$F:$F,物件収支!$A:$A,$A457,物件収支!$C:$C,$M457))</f>
        <v>71000</v>
      </c>
      <c r="P457" s="1" t="n">
        <f aca="false">IF($A457="","",SUMIFS(物件収支!$I:$I,物件収支!$A:$A,$A457,物件収支!$C:$C,$M457))</f>
        <v>0</v>
      </c>
      <c r="Q457" s="1" t="n">
        <f aca="false">IF($A457="","",SUMIFS(物件収支!$O:$O,物件収支!$A:$A,$A457,物件収支!$C:$C,$M457))</f>
        <v>0</v>
      </c>
      <c r="R457" s="1" t="str">
        <f aca="false">IF($A457="","",IF(P457=0,"",O457-P457))</f>
        <v/>
      </c>
      <c r="S457" s="1" t="str">
        <f aca="false">IF($A457="","",IF(R457="","",R457+Q457))</f>
        <v/>
      </c>
      <c r="T457" s="1" t="str">
        <f aca="false">IF($A457="","",IF(OR(S457="",N457&lt;=0),"",S457/1000*12/N457))</f>
        <v/>
      </c>
      <c r="U457" s="1" t="str">
        <f aca="false">IF($A457="","",IF(OR(T457="",J457=0,J457=""),"",T457/J457))</f>
        <v/>
      </c>
      <c r="V457" s="1" t="str">
        <f aca="false">IF($A457="","",IF(OR(R457="",N457&lt;=0,J457=0,J457=""),"",(R457/1000*12/N457)/J457))</f>
        <v/>
      </c>
      <c r="W457" s="1" t="str">
        <f aca="false">IF($A457="","",IF(OR(T457="",K457=0,K457=""),"",T457/K457))</f>
        <v/>
      </c>
      <c r="X457" s="1" t="n">
        <f aca="false">IF($A457="","",IF(OR(N457&lt;=0,I457=0,I457="",O457=0),"",O457*1000/(I457*0.3025)/N457))</f>
        <v>13134.5801268771</v>
      </c>
      <c r="Y457" s="1" t="str">
        <f aca="false">IF($A457="","",IF(OR(O457=0,O457="",P457=0),"",P457/O457))</f>
        <v/>
      </c>
      <c r="Z457" s="1" t="str">
        <f aca="false">IF($A457="","",IFERROR(INDEX(物件収支!$E:$E,MATCH($A457,物件収支!$A:$A,0)),""))</f>
        <v>開示（物件別・収益のみ・百万円単位）</v>
      </c>
    </row>
    <row r="458" customFormat="false" ht="15" hidden="false" customHeight="true" outlineLevel="0" collapsed="false">
      <c r="A458" s="1" t="str">
        <f aca="false">IF(物件マスタ!A458="","",物件マスタ!A458)</f>
        <v>SHR-008</v>
      </c>
      <c r="B458" s="1" t="str">
        <f aca="false">IF($A458="","",物件マスタ!B458)</f>
        <v>SHR</v>
      </c>
      <c r="C458" s="1" t="str">
        <f aca="false">IF($A458="","",IFERROR(INDEX(法人マスタ!$C:$C,MATCH($B458,法人マスタ!$A:$A,0)),""))</f>
        <v>積水ハウス・リート投資法人</v>
      </c>
      <c r="D458" s="1" t="str">
        <f aca="false">IF($A458="","",物件マスタ!C458)</f>
        <v>エスティメゾン川崎</v>
      </c>
      <c r="E458" s="1" t="str">
        <f aca="false">IF($A458="","",物件マスタ!H458)</f>
        <v>（期中譲渡済）</v>
      </c>
      <c r="F458" s="1" t="n">
        <f aca="false">IF($A458="","",物件マスタ!P458)</f>
        <v>0</v>
      </c>
      <c r="G458" s="1" t="str">
        <f aca="false">IF($A458="","",物件マスタ!Q458)</f>
        <v/>
      </c>
      <c r="H458" s="1" t="n">
        <f aca="false">IF($A458="","",物件マスタ!L458)</f>
        <v>0</v>
      </c>
      <c r="I458" s="1" t="n">
        <f aca="false">IF($A458="","",物件マスタ!M458)</f>
        <v>0</v>
      </c>
      <c r="J458" s="1" t="n">
        <f aca="false">IF($A458="","",物件マスタ!S458)</f>
        <v>0</v>
      </c>
      <c r="K458" s="1" t="n">
        <f aca="false">IF($A458="","",物件マスタ!U458)</f>
        <v>0</v>
      </c>
      <c r="L458" s="1" t="n">
        <f aca="false">IF($A458="","",物件マスタ!W458)</f>
        <v>0</v>
      </c>
      <c r="M458" s="1" t="str">
        <f aca="false">IF($A458="","",IFERROR(INDEX(法人マスタ!$H:$H,MATCH($B458,法人マスタ!$A:$A,0)),""))</f>
        <v>2026年4月期（第23期）</v>
      </c>
      <c r="N458" s="1" t="n">
        <f aca="false">IF($A458="","",SUMIFS(物件収支!$D:$D,物件収支!$A:$A,$A458,物件収支!$C:$C,$M458))</f>
        <v>6</v>
      </c>
      <c r="O458" s="1" t="n">
        <f aca="false">IF($A458="","",SUMIFS(物件収支!$F:$F,物件収支!$A:$A,$A458,物件収支!$C:$C,$M458))</f>
        <v>38000</v>
      </c>
      <c r="P458" s="1" t="n">
        <f aca="false">IF($A458="","",SUMIFS(物件収支!$I:$I,物件収支!$A:$A,$A458,物件収支!$C:$C,$M458))</f>
        <v>0</v>
      </c>
      <c r="Q458" s="1" t="n">
        <f aca="false">IF($A458="","",SUMIFS(物件収支!$O:$O,物件収支!$A:$A,$A458,物件収支!$C:$C,$M458))</f>
        <v>0</v>
      </c>
      <c r="R458" s="1" t="str">
        <f aca="false">IF($A458="","",IF(P458=0,"",O458-P458))</f>
        <v/>
      </c>
      <c r="S458" s="1" t="str">
        <f aca="false">IF($A458="","",IF(R458="","",R458+Q458))</f>
        <v/>
      </c>
      <c r="T458" s="1" t="str">
        <f aca="false">IF($A458="","",IF(OR(S458="",N458&lt;=0),"",S458/1000*12/N458))</f>
        <v/>
      </c>
      <c r="U458" s="1" t="str">
        <f aca="false">IF($A458="","",IF(OR(T458="",J458=0,J458=""),"",T458/J458))</f>
        <v/>
      </c>
      <c r="V458" s="1" t="str">
        <f aca="false">IF($A458="","",IF(OR(R458="",N458&lt;=0,J458=0,J458=""),"",(R458/1000*12/N458)/J458))</f>
        <v/>
      </c>
      <c r="W458" s="1" t="str">
        <f aca="false">IF($A458="","",IF(OR(T458="",K458=0,K458=""),"",T458/K458))</f>
        <v/>
      </c>
      <c r="X458" s="1" t="str">
        <f aca="false">IF($A458="","",IF(OR(N458&lt;=0,I458=0,I458="",O458=0),"",O458*1000/(I458*0.3025)/N458))</f>
        <v/>
      </c>
      <c r="Y458" s="1" t="str">
        <f aca="false">IF($A458="","",IF(OR(O458=0,O458="",P458=0),"",P458/O458))</f>
        <v/>
      </c>
      <c r="Z458" s="1" t="str">
        <f aca="false">IF($A458="","",IFERROR(INDEX(物件収支!$E:$E,MATCH($A458,物件収支!$A:$A,0)),""))</f>
        <v>開示（期中譲渡・収益のみ・百万円単位）</v>
      </c>
    </row>
    <row r="459" customFormat="false" ht="15" hidden="false" customHeight="true" outlineLevel="0" collapsed="false">
      <c r="A459" s="1" t="str">
        <f aca="false">IF(物件マスタ!A459="","",物件マスタ!A459)</f>
        <v>SHR-009</v>
      </c>
      <c r="B459" s="1" t="str">
        <f aca="false">IF($A459="","",物件マスタ!B459)</f>
        <v>SHR</v>
      </c>
      <c r="C459" s="1" t="str">
        <f aca="false">IF($A459="","",IFERROR(INDEX(法人マスタ!$C:$C,MATCH($B459,法人マスタ!$A:$A,0)),""))</f>
        <v>積水ハウス・リート投資法人</v>
      </c>
      <c r="D459" s="1" t="str">
        <f aca="false">IF($A459="","",物件マスタ!C459)</f>
        <v>エスティメゾン亀戸</v>
      </c>
      <c r="E459" s="1" t="str">
        <f aca="false">IF($A459="","",物件マスタ!H459)</f>
        <v>その他東京23区</v>
      </c>
      <c r="F459" s="53" t="n">
        <f aca="false">IF($A459="","",物件マスタ!P459)</f>
        <v>38657</v>
      </c>
      <c r="G459" s="1" t="n">
        <f aca="false">IF($A459="","",物件マスタ!Q459)</f>
        <v>20.8</v>
      </c>
      <c r="H459" s="1" t="n">
        <f aca="false">IF($A459="","",物件マスタ!L459)</f>
        <v>0</v>
      </c>
      <c r="I459" s="1" t="n">
        <f aca="false">IF($A459="","",物件マスタ!M459)</f>
        <v>2279.21</v>
      </c>
      <c r="J459" s="1" t="n">
        <f aca="false">IF($A459="","",物件マスタ!S459)</f>
        <v>1580</v>
      </c>
      <c r="K459" s="1" t="n">
        <f aca="false">IF($A459="","",物件マスタ!U459)</f>
        <v>1940</v>
      </c>
      <c r="L459" s="1" t="n">
        <f aca="false">IF($A459="","",物件マスタ!W459)</f>
        <v>0.989</v>
      </c>
      <c r="M459" s="1" t="str">
        <f aca="false">IF($A459="","",IFERROR(INDEX(法人マスタ!$H:$H,MATCH($B459,法人マスタ!$A:$A,0)),""))</f>
        <v>2026年4月期（第23期）</v>
      </c>
      <c r="N459" s="1" t="n">
        <f aca="false">IF($A459="","",SUMIFS(物件収支!$D:$D,物件収支!$A:$A,$A459,物件収支!$C:$C,$M459))</f>
        <v>6</v>
      </c>
      <c r="O459" s="1" t="n">
        <f aca="false">IF($A459="","",SUMIFS(物件収支!$F:$F,物件収支!$A:$A,$A459,物件収支!$C:$C,$M459))</f>
        <v>57000</v>
      </c>
      <c r="P459" s="1" t="n">
        <f aca="false">IF($A459="","",SUMIFS(物件収支!$I:$I,物件収支!$A:$A,$A459,物件収支!$C:$C,$M459))</f>
        <v>0</v>
      </c>
      <c r="Q459" s="1" t="n">
        <f aca="false">IF($A459="","",SUMIFS(物件収支!$O:$O,物件収支!$A:$A,$A459,物件収支!$C:$C,$M459))</f>
        <v>0</v>
      </c>
      <c r="R459" s="1" t="str">
        <f aca="false">IF($A459="","",IF(P459=0,"",O459-P459))</f>
        <v/>
      </c>
      <c r="S459" s="1" t="str">
        <f aca="false">IF($A459="","",IF(R459="","",R459+Q459))</f>
        <v/>
      </c>
      <c r="T459" s="1" t="str">
        <f aca="false">IF($A459="","",IF(OR(S459="",N459&lt;=0),"",S459/1000*12/N459))</f>
        <v/>
      </c>
      <c r="U459" s="1" t="str">
        <f aca="false">IF($A459="","",IF(OR(T459="",J459=0,J459=""),"",T459/J459))</f>
        <v/>
      </c>
      <c r="V459" s="1" t="str">
        <f aca="false">IF($A459="","",IF(OR(R459="",N459&lt;=0,J459=0,J459=""),"",(R459/1000*12/N459)/J459))</f>
        <v/>
      </c>
      <c r="W459" s="1" t="str">
        <f aca="false">IF($A459="","",IF(OR(T459="",K459=0,K459=""),"",T459/K459))</f>
        <v/>
      </c>
      <c r="X459" s="1" t="n">
        <f aca="false">IF($A459="","",IF(OR(N459&lt;=0,I459=0,I459="",O459=0),"",O459*1000/(I459*0.3025)/N459))</f>
        <v>13778.8789438823</v>
      </c>
      <c r="Y459" s="1" t="str">
        <f aca="false">IF($A459="","",IF(OR(O459=0,O459="",P459=0),"",P459/O459))</f>
        <v/>
      </c>
      <c r="Z459" s="1" t="str">
        <f aca="false">IF($A459="","",IFERROR(INDEX(物件収支!$E:$E,MATCH($A459,物件収支!$A:$A,0)),""))</f>
        <v>開示（物件別・収益のみ・百万円単位）</v>
      </c>
    </row>
    <row r="460" customFormat="false" ht="15" hidden="false" customHeight="true" outlineLevel="0" collapsed="false">
      <c r="A460" s="1" t="str">
        <f aca="false">IF(物件マスタ!A460="","",物件マスタ!A460)</f>
        <v>SHR-010</v>
      </c>
      <c r="B460" s="1" t="str">
        <f aca="false">IF($A460="","",物件マスタ!B460)</f>
        <v>SHR</v>
      </c>
      <c r="C460" s="1" t="str">
        <f aca="false">IF($A460="","",IFERROR(INDEX(法人マスタ!$C:$C,MATCH($B460,法人マスタ!$A:$A,0)),""))</f>
        <v>積水ハウス・リート投資法人</v>
      </c>
      <c r="D460" s="1" t="str">
        <f aca="false">IF($A460="","",物件マスタ!C460)</f>
        <v>エスティメゾン目黒</v>
      </c>
      <c r="E460" s="1" t="str">
        <f aca="false">IF($A460="","",物件マスタ!H460)</f>
        <v>その他東京23区</v>
      </c>
      <c r="F460" s="53" t="n">
        <f aca="false">IF($A460="","",物件マスタ!P460)</f>
        <v>38657</v>
      </c>
      <c r="G460" s="1" t="n">
        <f aca="false">IF($A460="","",物件マスタ!Q460)</f>
        <v>20.8</v>
      </c>
      <c r="H460" s="1" t="n">
        <f aca="false">IF($A460="","",物件マスタ!L460)</f>
        <v>0</v>
      </c>
      <c r="I460" s="1" t="n">
        <f aca="false">IF($A460="","",物件マスタ!M460)</f>
        <v>1070.13</v>
      </c>
      <c r="J460" s="1" t="n">
        <f aca="false">IF($A460="","",物件マスタ!S460)</f>
        <v>1060</v>
      </c>
      <c r="K460" s="1" t="n">
        <f aca="false">IF($A460="","",物件マスタ!U460)</f>
        <v>1470</v>
      </c>
      <c r="L460" s="1" t="n">
        <f aca="false">IF($A460="","",物件マスタ!W460)</f>
        <v>0.93</v>
      </c>
      <c r="M460" s="1" t="str">
        <f aca="false">IF($A460="","",IFERROR(INDEX(法人マスタ!$H:$H,MATCH($B460,法人マスタ!$A:$A,0)),""))</f>
        <v>2026年4月期（第23期）</v>
      </c>
      <c r="N460" s="1" t="n">
        <f aca="false">IF($A460="","",SUMIFS(物件収支!$D:$D,物件収支!$A:$A,$A460,物件収支!$C:$C,$M460))</f>
        <v>6</v>
      </c>
      <c r="O460" s="1" t="n">
        <f aca="false">IF($A460="","",SUMIFS(物件収支!$F:$F,物件収支!$A:$A,$A460,物件収支!$C:$C,$M460))</f>
        <v>31000</v>
      </c>
      <c r="P460" s="1" t="n">
        <f aca="false">IF($A460="","",SUMIFS(物件収支!$I:$I,物件収支!$A:$A,$A460,物件収支!$C:$C,$M460))</f>
        <v>0</v>
      </c>
      <c r="Q460" s="1" t="n">
        <f aca="false">IF($A460="","",SUMIFS(物件収支!$O:$O,物件収支!$A:$A,$A460,物件収支!$C:$C,$M460))</f>
        <v>0</v>
      </c>
      <c r="R460" s="1" t="str">
        <f aca="false">IF($A460="","",IF(P460=0,"",O460-P460))</f>
        <v/>
      </c>
      <c r="S460" s="1" t="str">
        <f aca="false">IF($A460="","",IF(R460="","",R460+Q460))</f>
        <v/>
      </c>
      <c r="T460" s="1" t="str">
        <f aca="false">IF($A460="","",IF(OR(S460="",N460&lt;=0),"",S460/1000*12/N460))</f>
        <v/>
      </c>
      <c r="U460" s="1" t="str">
        <f aca="false">IF($A460="","",IF(OR(T460="",J460=0,J460=""),"",T460/J460))</f>
        <v/>
      </c>
      <c r="V460" s="1" t="str">
        <f aca="false">IF($A460="","",IF(OR(R460="",N460&lt;=0,J460=0,J460=""),"",(R460/1000*12/N460)/J460))</f>
        <v/>
      </c>
      <c r="W460" s="1" t="str">
        <f aca="false">IF($A460="","",IF(OR(T460="",K460=0,K460=""),"",T460/K460))</f>
        <v/>
      </c>
      <c r="X460" s="1" t="n">
        <f aca="false">IF($A460="","",IF(OR(N460&lt;=0,I460=0,I460="",O460=0),"",O460*1000/(I460*0.3025)/N460))</f>
        <v>15960.5747032253</v>
      </c>
      <c r="Y460" s="1" t="str">
        <f aca="false">IF($A460="","",IF(OR(O460=0,O460="",P460=0),"",P460/O460))</f>
        <v/>
      </c>
      <c r="Z460" s="1" t="str">
        <f aca="false">IF($A460="","",IFERROR(INDEX(物件収支!$E:$E,MATCH($A460,物件収支!$A:$A,0)),""))</f>
        <v>開示（物件別・収益のみ・百万円単位）</v>
      </c>
    </row>
    <row r="461" customFormat="false" ht="15" hidden="false" customHeight="true" outlineLevel="0" collapsed="false">
      <c r="A461" s="1" t="str">
        <f aca="false">IF(物件マスタ!A461="","",物件マスタ!A461)</f>
        <v>SHR-011</v>
      </c>
      <c r="B461" s="1" t="str">
        <f aca="false">IF($A461="","",物件マスタ!B461)</f>
        <v>SHR</v>
      </c>
      <c r="C461" s="1" t="str">
        <f aca="false">IF($A461="","",IFERROR(INDEX(法人マスタ!$C:$C,MATCH($B461,法人マスタ!$A:$A,0)),""))</f>
        <v>積水ハウス・リート投資法人</v>
      </c>
      <c r="D461" s="1" t="str">
        <f aca="false">IF($A461="","",物件マスタ!C461)</f>
        <v>エスティメゾン巣鴨</v>
      </c>
      <c r="E461" s="1" t="str">
        <f aca="false">IF($A461="","",物件マスタ!H461)</f>
        <v>その他東京23区</v>
      </c>
      <c r="F461" s="53" t="n">
        <f aca="false">IF($A461="","",物件マスタ!P461)</f>
        <v>39114</v>
      </c>
      <c r="G461" s="1" t="n">
        <f aca="false">IF($A461="","",物件マスタ!Q461)</f>
        <v>19.5</v>
      </c>
      <c r="H461" s="1" t="n">
        <f aca="false">IF($A461="","",物件マスタ!L461)</f>
        <v>0</v>
      </c>
      <c r="I461" s="1" t="n">
        <f aca="false">IF($A461="","",物件マスタ!M461)</f>
        <v>2619.17</v>
      </c>
      <c r="J461" s="1" t="n">
        <f aca="false">IF($A461="","",物件マスタ!S461)</f>
        <v>1630</v>
      </c>
      <c r="K461" s="1" t="n">
        <f aca="false">IF($A461="","",物件マスタ!U461)</f>
        <v>2200</v>
      </c>
      <c r="L461" s="1" t="n">
        <f aca="false">IF($A461="","",物件マスタ!W461)</f>
        <v>0.87</v>
      </c>
      <c r="M461" s="1" t="str">
        <f aca="false">IF($A461="","",IFERROR(INDEX(法人マスタ!$H:$H,MATCH($B461,法人マスタ!$A:$A,0)),""))</f>
        <v>2026年4月期（第23期）</v>
      </c>
      <c r="N461" s="1" t="n">
        <f aca="false">IF($A461="","",SUMIFS(物件収支!$D:$D,物件収支!$A:$A,$A461,物件収支!$C:$C,$M461))</f>
        <v>6</v>
      </c>
      <c r="O461" s="1" t="n">
        <f aca="false">IF($A461="","",SUMIFS(物件収支!$F:$F,物件収支!$A:$A,$A461,物件収支!$C:$C,$M461))</f>
        <v>48000</v>
      </c>
      <c r="P461" s="1" t="n">
        <f aca="false">IF($A461="","",SUMIFS(物件収支!$I:$I,物件収支!$A:$A,$A461,物件収支!$C:$C,$M461))</f>
        <v>0</v>
      </c>
      <c r="Q461" s="1" t="n">
        <f aca="false">IF($A461="","",SUMIFS(物件収支!$O:$O,物件収支!$A:$A,$A461,物件収支!$C:$C,$M461))</f>
        <v>0</v>
      </c>
      <c r="R461" s="1" t="str">
        <f aca="false">IF($A461="","",IF(P461=0,"",O461-P461))</f>
        <v/>
      </c>
      <c r="S461" s="1" t="str">
        <f aca="false">IF($A461="","",IF(R461="","",R461+Q461))</f>
        <v/>
      </c>
      <c r="T461" s="1" t="str">
        <f aca="false">IF($A461="","",IF(OR(S461="",N461&lt;=0),"",S461/1000*12/N461))</f>
        <v/>
      </c>
      <c r="U461" s="1" t="str">
        <f aca="false">IF($A461="","",IF(OR(T461="",J461=0,J461=""),"",T461/J461))</f>
        <v/>
      </c>
      <c r="V461" s="1" t="str">
        <f aca="false">IF($A461="","",IF(OR(R461="",N461&lt;=0,J461=0,J461=""),"",(R461/1000*12/N461)/J461))</f>
        <v/>
      </c>
      <c r="W461" s="1" t="str">
        <f aca="false">IF($A461="","",IF(OR(T461="",K461=0,K461=""),"",T461/K461))</f>
        <v/>
      </c>
      <c r="X461" s="1" t="n">
        <f aca="false">IF($A461="","",IF(OR(N461&lt;=0,I461=0,I461="",O461=0),"",O461*1000/(I461*0.3025)/N461))</f>
        <v>10097.1991095406</v>
      </c>
      <c r="Y461" s="1" t="str">
        <f aca="false">IF($A461="","",IF(OR(O461=0,O461="",P461=0),"",P461/O461))</f>
        <v/>
      </c>
      <c r="Z461" s="1" t="str">
        <f aca="false">IF($A461="","",IFERROR(INDEX(物件収支!$E:$E,MATCH($A461,物件収支!$A:$A,0)),""))</f>
        <v>開示（物件別・収益のみ・百万円単位）</v>
      </c>
    </row>
    <row r="462" customFormat="false" ht="15" hidden="false" customHeight="true" outlineLevel="0" collapsed="false">
      <c r="A462" s="1" t="str">
        <f aca="false">IF(物件マスタ!A462="","",物件マスタ!A462)</f>
        <v>SHR-012</v>
      </c>
      <c r="B462" s="1" t="str">
        <f aca="false">IF($A462="","",物件マスタ!B462)</f>
        <v>SHR</v>
      </c>
      <c r="C462" s="1" t="str">
        <f aca="false">IF($A462="","",IFERROR(INDEX(法人マスタ!$C:$C,MATCH($B462,法人マスタ!$A:$A,0)),""))</f>
        <v>積水ハウス・リート投資法人</v>
      </c>
      <c r="D462" s="1" t="str">
        <f aca="false">IF($A462="","",物件マスタ!C462)</f>
        <v>エスティメゾン京橋</v>
      </c>
      <c r="E462" s="1" t="str">
        <f aca="false">IF($A462="","",物件マスタ!H462)</f>
        <v>（期中譲渡済）</v>
      </c>
      <c r="F462" s="1" t="n">
        <f aca="false">IF($A462="","",物件マスタ!P462)</f>
        <v>0</v>
      </c>
      <c r="G462" s="1" t="str">
        <f aca="false">IF($A462="","",物件マスタ!Q462)</f>
        <v/>
      </c>
      <c r="H462" s="1" t="n">
        <f aca="false">IF($A462="","",物件マスタ!L462)</f>
        <v>0</v>
      </c>
      <c r="I462" s="1" t="n">
        <f aca="false">IF($A462="","",物件マスタ!M462)</f>
        <v>0</v>
      </c>
      <c r="J462" s="1" t="n">
        <f aca="false">IF($A462="","",物件マスタ!S462)</f>
        <v>0</v>
      </c>
      <c r="K462" s="1" t="n">
        <f aca="false">IF($A462="","",物件マスタ!U462)</f>
        <v>0</v>
      </c>
      <c r="L462" s="1" t="n">
        <f aca="false">IF($A462="","",物件マスタ!W462)</f>
        <v>0</v>
      </c>
      <c r="M462" s="1" t="str">
        <f aca="false">IF($A462="","",IFERROR(INDEX(法人マスタ!$H:$H,MATCH($B462,法人マスタ!$A:$A,0)),""))</f>
        <v>2026年4月期（第23期）</v>
      </c>
      <c r="N462" s="1" t="n">
        <f aca="false">IF($A462="","",SUMIFS(物件収支!$D:$D,物件収支!$A:$A,$A462,物件収支!$C:$C,$M462))</f>
        <v>6</v>
      </c>
      <c r="O462" s="1" t="n">
        <f aca="false">IF($A462="","",SUMIFS(物件収支!$F:$F,物件収支!$A:$A,$A462,物件収支!$C:$C,$M462))</f>
        <v>42000</v>
      </c>
      <c r="P462" s="1" t="n">
        <f aca="false">IF($A462="","",SUMIFS(物件収支!$I:$I,物件収支!$A:$A,$A462,物件収支!$C:$C,$M462))</f>
        <v>0</v>
      </c>
      <c r="Q462" s="1" t="n">
        <f aca="false">IF($A462="","",SUMIFS(物件収支!$O:$O,物件収支!$A:$A,$A462,物件収支!$C:$C,$M462))</f>
        <v>0</v>
      </c>
      <c r="R462" s="1" t="str">
        <f aca="false">IF($A462="","",IF(P462=0,"",O462-P462))</f>
        <v/>
      </c>
      <c r="S462" s="1" t="str">
        <f aca="false">IF($A462="","",IF(R462="","",R462+Q462))</f>
        <v/>
      </c>
      <c r="T462" s="1" t="str">
        <f aca="false">IF($A462="","",IF(OR(S462="",N462&lt;=0),"",S462/1000*12/N462))</f>
        <v/>
      </c>
      <c r="U462" s="1" t="str">
        <f aca="false">IF($A462="","",IF(OR(T462="",J462=0,J462=""),"",T462/J462))</f>
        <v/>
      </c>
      <c r="V462" s="1" t="str">
        <f aca="false">IF($A462="","",IF(OR(R462="",N462&lt;=0,J462=0,J462=""),"",(R462/1000*12/N462)/J462))</f>
        <v/>
      </c>
      <c r="W462" s="1" t="str">
        <f aca="false">IF($A462="","",IF(OR(T462="",K462=0,K462=""),"",T462/K462))</f>
        <v/>
      </c>
      <c r="X462" s="1" t="str">
        <f aca="false">IF($A462="","",IF(OR(N462&lt;=0,I462=0,I462="",O462=0),"",O462*1000/(I462*0.3025)/N462))</f>
        <v/>
      </c>
      <c r="Y462" s="1" t="str">
        <f aca="false">IF($A462="","",IF(OR(O462=0,O462="",P462=0),"",P462/O462))</f>
        <v/>
      </c>
      <c r="Z462" s="1" t="str">
        <f aca="false">IF($A462="","",IFERROR(INDEX(物件収支!$E:$E,MATCH($A462,物件収支!$A:$A,0)),""))</f>
        <v>開示（期中譲渡・収益のみ・百万円単位）</v>
      </c>
    </row>
    <row r="463" customFormat="false" ht="15" hidden="false" customHeight="true" outlineLevel="0" collapsed="false">
      <c r="A463" s="1" t="str">
        <f aca="false">IF(物件マスタ!A463="","",物件マスタ!A463)</f>
        <v>SHR-013</v>
      </c>
      <c r="B463" s="1" t="str">
        <f aca="false">IF($A463="","",物件マスタ!B463)</f>
        <v>SHR</v>
      </c>
      <c r="C463" s="1" t="str">
        <f aca="false">IF($A463="","",IFERROR(INDEX(法人マスタ!$C:$C,MATCH($B463,法人マスタ!$A:$A,0)),""))</f>
        <v>積水ハウス・リート投資法人</v>
      </c>
      <c r="D463" s="1" t="str">
        <f aca="false">IF($A463="","",物件マスタ!C463)</f>
        <v>エスティメゾン白楽</v>
      </c>
      <c r="E463" s="1" t="str">
        <f aca="false">IF($A463="","",物件マスタ!H463)</f>
        <v>東京周辺都市部</v>
      </c>
      <c r="F463" s="53" t="n">
        <f aca="false">IF($A463="","",物件マスタ!P463)</f>
        <v>38749</v>
      </c>
      <c r="G463" s="1" t="n">
        <f aca="false">IF($A463="","",物件マスタ!Q463)</f>
        <v>20.5</v>
      </c>
      <c r="H463" s="1" t="n">
        <f aca="false">IF($A463="","",物件マスタ!L463)</f>
        <v>0</v>
      </c>
      <c r="I463" s="1" t="n">
        <f aca="false">IF($A463="","",物件マスタ!M463)</f>
        <v>1285.83</v>
      </c>
      <c r="J463" s="1" t="n">
        <f aca="false">IF($A463="","",物件マスタ!S463)</f>
        <v>931</v>
      </c>
      <c r="K463" s="1" t="n">
        <f aca="false">IF($A463="","",物件マスタ!U463)</f>
        <v>1030</v>
      </c>
      <c r="L463" s="1" t="n">
        <f aca="false">IF($A463="","",物件マスタ!W463)</f>
        <v>0.982</v>
      </c>
      <c r="M463" s="1" t="str">
        <f aca="false">IF($A463="","",IFERROR(INDEX(法人マスタ!$H:$H,MATCH($B463,法人マスタ!$A:$A,0)),""))</f>
        <v>2026年4月期（第23期）</v>
      </c>
      <c r="N463" s="1" t="n">
        <f aca="false">IF($A463="","",SUMIFS(物件収支!$D:$D,物件収支!$A:$A,$A463,物件収支!$C:$C,$M463))</f>
        <v>6</v>
      </c>
      <c r="O463" s="1" t="n">
        <f aca="false">IF($A463="","",SUMIFS(物件収支!$F:$F,物件収支!$A:$A,$A463,物件収支!$C:$C,$M463))</f>
        <v>31000</v>
      </c>
      <c r="P463" s="1" t="n">
        <f aca="false">IF($A463="","",SUMIFS(物件収支!$I:$I,物件収支!$A:$A,$A463,物件収支!$C:$C,$M463))</f>
        <v>0</v>
      </c>
      <c r="Q463" s="1" t="n">
        <f aca="false">IF($A463="","",SUMIFS(物件収支!$O:$O,物件収支!$A:$A,$A463,物件収支!$C:$C,$M463))</f>
        <v>0</v>
      </c>
      <c r="R463" s="1" t="str">
        <f aca="false">IF($A463="","",IF(P463=0,"",O463-P463))</f>
        <v/>
      </c>
      <c r="S463" s="1" t="str">
        <f aca="false">IF($A463="","",IF(R463="","",R463+Q463))</f>
        <v/>
      </c>
      <c r="T463" s="1" t="str">
        <f aca="false">IF($A463="","",IF(OR(S463="",N463&lt;=0),"",S463/1000*12/N463))</f>
        <v/>
      </c>
      <c r="U463" s="1" t="str">
        <f aca="false">IF($A463="","",IF(OR(T463="",J463=0,J463=""),"",T463/J463))</f>
        <v/>
      </c>
      <c r="V463" s="1" t="str">
        <f aca="false">IF($A463="","",IF(OR(R463="",N463&lt;=0,J463=0,J463=""),"",(R463/1000*12/N463)/J463))</f>
        <v/>
      </c>
      <c r="W463" s="1" t="str">
        <f aca="false">IF($A463="","",IF(OR(T463="",K463=0,K463=""),"",T463/K463))</f>
        <v/>
      </c>
      <c r="X463" s="1" t="n">
        <f aca="false">IF($A463="","",IF(OR(N463&lt;=0,I463=0,I463="",O463=0),"",O463*1000/(I463*0.3025)/N463))</f>
        <v>13283.1632542113</v>
      </c>
      <c r="Y463" s="1" t="str">
        <f aca="false">IF($A463="","",IF(OR(O463=0,O463="",P463=0),"",P463/O463))</f>
        <v/>
      </c>
      <c r="Z463" s="1" t="str">
        <f aca="false">IF($A463="","",IFERROR(INDEX(物件収支!$E:$E,MATCH($A463,物件収支!$A:$A,0)),""))</f>
        <v>開示（物件別・収益のみ・百万円単位）</v>
      </c>
    </row>
    <row r="464" customFormat="false" ht="15" hidden="false" customHeight="true" outlineLevel="0" collapsed="false">
      <c r="A464" s="1" t="str">
        <f aca="false">IF(物件マスタ!A464="","",物件マスタ!A464)</f>
        <v>SHR-014</v>
      </c>
      <c r="B464" s="1" t="str">
        <f aca="false">IF($A464="","",物件マスタ!B464)</f>
        <v>SHR</v>
      </c>
      <c r="C464" s="1" t="str">
        <f aca="false">IF($A464="","",IFERROR(INDEX(法人マスタ!$C:$C,MATCH($B464,法人マスタ!$A:$A,0)),""))</f>
        <v>積水ハウス・リート投資法人</v>
      </c>
      <c r="D464" s="1" t="str">
        <f aca="false">IF($A464="","",物件マスタ!C464)</f>
        <v>エスティメゾン南堀江</v>
      </c>
      <c r="E464" s="1" t="str">
        <f aca="false">IF($A464="","",物件マスタ!H464)</f>
        <v>その他3大都市圏</v>
      </c>
      <c r="F464" s="53" t="n">
        <f aca="false">IF($A464="","",物件マスタ!P464)</f>
        <v>39114</v>
      </c>
      <c r="G464" s="1" t="n">
        <f aca="false">IF($A464="","",物件マスタ!Q464)</f>
        <v>19.5</v>
      </c>
      <c r="H464" s="1" t="n">
        <f aca="false">IF($A464="","",物件マスタ!L464)</f>
        <v>0</v>
      </c>
      <c r="I464" s="1" t="n">
        <f aca="false">IF($A464="","",物件マスタ!M464)</f>
        <v>1804.48</v>
      </c>
      <c r="J464" s="1" t="n">
        <f aca="false">IF($A464="","",物件マスタ!S464)</f>
        <v>1060</v>
      </c>
      <c r="K464" s="1" t="n">
        <f aca="false">IF($A464="","",物件マスタ!U464)</f>
        <v>1250</v>
      </c>
      <c r="L464" s="1" t="n">
        <f aca="false">IF($A464="","",物件マスタ!W464)</f>
        <v>1</v>
      </c>
      <c r="M464" s="1" t="str">
        <f aca="false">IF($A464="","",IFERROR(INDEX(法人マスタ!$H:$H,MATCH($B464,法人マスタ!$A:$A,0)),""))</f>
        <v>2026年4月期（第23期）</v>
      </c>
      <c r="N464" s="1" t="n">
        <f aca="false">IF($A464="","",SUMIFS(物件収支!$D:$D,物件収支!$A:$A,$A464,物件収支!$C:$C,$M464))</f>
        <v>6</v>
      </c>
      <c r="O464" s="1" t="n">
        <f aca="false">IF($A464="","",SUMIFS(物件収支!$F:$F,物件収支!$A:$A,$A464,物件収支!$C:$C,$M464))</f>
        <v>34000</v>
      </c>
      <c r="P464" s="1" t="n">
        <f aca="false">IF($A464="","",SUMIFS(物件収支!$I:$I,物件収支!$A:$A,$A464,物件収支!$C:$C,$M464))</f>
        <v>0</v>
      </c>
      <c r="Q464" s="1" t="n">
        <f aca="false">IF($A464="","",SUMIFS(物件収支!$O:$O,物件収支!$A:$A,$A464,物件収支!$C:$C,$M464))</f>
        <v>0</v>
      </c>
      <c r="R464" s="1" t="str">
        <f aca="false">IF($A464="","",IF(P464=0,"",O464-P464))</f>
        <v/>
      </c>
      <c r="S464" s="1" t="str">
        <f aca="false">IF($A464="","",IF(R464="","",R464+Q464))</f>
        <v/>
      </c>
      <c r="T464" s="1" t="str">
        <f aca="false">IF($A464="","",IF(OR(S464="",N464&lt;=0),"",S464/1000*12/N464))</f>
        <v/>
      </c>
      <c r="U464" s="1" t="str">
        <f aca="false">IF($A464="","",IF(OR(T464="",J464=0,J464=""),"",T464/J464))</f>
        <v/>
      </c>
      <c r="V464" s="1" t="str">
        <f aca="false">IF($A464="","",IF(OR(R464="",N464&lt;=0,J464=0,J464=""),"",(R464/1000*12/N464)/J464))</f>
        <v/>
      </c>
      <c r="W464" s="1" t="str">
        <f aca="false">IF($A464="","",IF(OR(T464="",K464=0,K464=""),"",T464/K464))</f>
        <v/>
      </c>
      <c r="X464" s="1" t="n">
        <f aca="false">IF($A464="","",IF(OR(N464&lt;=0,I464=0,I464="",O464=0),"",O464*1000/(I464*0.3025)/N464))</f>
        <v>10381.2635048025</v>
      </c>
      <c r="Y464" s="1" t="str">
        <f aca="false">IF($A464="","",IF(OR(O464=0,O464="",P464=0),"",P464/O464))</f>
        <v/>
      </c>
      <c r="Z464" s="1" t="str">
        <f aca="false">IF($A464="","",IFERROR(INDEX(物件収支!$E:$E,MATCH($A464,物件収支!$A:$A,0)),""))</f>
        <v>開示（物件別・収益のみ・百万円単位）</v>
      </c>
    </row>
    <row r="465" customFormat="false" ht="15" hidden="false" customHeight="true" outlineLevel="0" collapsed="false">
      <c r="A465" s="1" t="str">
        <f aca="false">IF(物件マスタ!A465="","",物件マスタ!A465)</f>
        <v>SHR-015</v>
      </c>
      <c r="B465" s="1" t="str">
        <f aca="false">IF($A465="","",物件マスタ!B465)</f>
        <v>SHR</v>
      </c>
      <c r="C465" s="1" t="str">
        <f aca="false">IF($A465="","",IFERROR(INDEX(法人マスタ!$C:$C,MATCH($B465,法人マスタ!$A:$A,0)),""))</f>
        <v>積水ハウス・リート投資法人</v>
      </c>
      <c r="D465" s="1" t="str">
        <f aca="false">IF($A465="","",物件マスタ!C465)</f>
        <v>エスティメゾン五反田</v>
      </c>
      <c r="E465" s="1" t="str">
        <f aca="false">IF($A465="","",物件マスタ!H465)</f>
        <v>その他東京23区</v>
      </c>
      <c r="F465" s="53" t="n">
        <f aca="false">IF($A465="","",物件マスタ!P465)</f>
        <v>38777</v>
      </c>
      <c r="G465" s="1" t="n">
        <f aca="false">IF($A465="","",物件マスタ!Q465)</f>
        <v>20.4</v>
      </c>
      <c r="H465" s="1" t="n">
        <f aca="false">IF($A465="","",物件マスタ!L465)</f>
        <v>0</v>
      </c>
      <c r="I465" s="1" t="n">
        <f aca="false">IF($A465="","",物件マスタ!M465)</f>
        <v>3871.15</v>
      </c>
      <c r="J465" s="1" t="n">
        <f aca="false">IF($A465="","",物件マスタ!S465)</f>
        <v>3110</v>
      </c>
      <c r="K465" s="1" t="n">
        <f aca="false">IF($A465="","",物件マスタ!U465)</f>
        <v>3990</v>
      </c>
      <c r="L465" s="1" t="n">
        <f aca="false">IF($A465="","",物件マスタ!W465)</f>
        <v>0.931</v>
      </c>
      <c r="M465" s="1" t="str">
        <f aca="false">IF($A465="","",IFERROR(INDEX(法人マスタ!$H:$H,MATCH($B465,法人マスタ!$A:$A,0)),""))</f>
        <v>2026年4月期（第23期）</v>
      </c>
      <c r="N465" s="1" t="n">
        <f aca="false">IF($A465="","",SUMIFS(物件収支!$D:$D,物件収支!$A:$A,$A465,物件収支!$C:$C,$M465))</f>
        <v>6</v>
      </c>
      <c r="O465" s="1" t="n">
        <f aca="false">IF($A465="","",SUMIFS(物件収支!$F:$F,物件収支!$A:$A,$A465,物件収支!$C:$C,$M465))</f>
        <v>103000</v>
      </c>
      <c r="P465" s="1" t="n">
        <f aca="false">IF($A465="","",SUMIFS(物件収支!$I:$I,物件収支!$A:$A,$A465,物件収支!$C:$C,$M465))</f>
        <v>0</v>
      </c>
      <c r="Q465" s="1" t="n">
        <f aca="false">IF($A465="","",SUMIFS(物件収支!$O:$O,物件収支!$A:$A,$A465,物件収支!$C:$C,$M465))</f>
        <v>0</v>
      </c>
      <c r="R465" s="1" t="str">
        <f aca="false">IF($A465="","",IF(P465=0,"",O465-P465))</f>
        <v/>
      </c>
      <c r="S465" s="1" t="str">
        <f aca="false">IF($A465="","",IF(R465="","",R465+Q465))</f>
        <v/>
      </c>
      <c r="T465" s="1" t="str">
        <f aca="false">IF($A465="","",IF(OR(S465="",N465&lt;=0),"",S465/1000*12/N465))</f>
        <v/>
      </c>
      <c r="U465" s="1" t="str">
        <f aca="false">IF($A465="","",IF(OR(T465="",J465=0,J465=""),"",T465/J465))</f>
        <v/>
      </c>
      <c r="V465" s="1" t="str">
        <f aca="false">IF($A465="","",IF(OR(R465="",N465&lt;=0,J465=0,J465=""),"",(R465/1000*12/N465)/J465))</f>
        <v/>
      </c>
      <c r="W465" s="1" t="str">
        <f aca="false">IF($A465="","",IF(OR(T465="",K465=0,K465=""),"",T465/K465))</f>
        <v/>
      </c>
      <c r="X465" s="1" t="n">
        <f aca="false">IF($A465="","",IF(OR(N465&lt;=0,I465=0,I465="",O465=0),"",O465*1000/(I465*0.3025)/N465))</f>
        <v>14659.5485307379</v>
      </c>
      <c r="Y465" s="1" t="str">
        <f aca="false">IF($A465="","",IF(OR(O465=0,O465="",P465=0),"",P465/O465))</f>
        <v/>
      </c>
      <c r="Z465" s="1" t="str">
        <f aca="false">IF($A465="","",IFERROR(INDEX(物件収支!$E:$E,MATCH($A465,物件収支!$A:$A,0)),""))</f>
        <v>開示（物件別・収益のみ・百万円単位）</v>
      </c>
    </row>
    <row r="466" customFormat="false" ht="15" hidden="false" customHeight="true" outlineLevel="0" collapsed="false">
      <c r="A466" s="1" t="str">
        <f aca="false">IF(物件マスタ!A466="","",物件マスタ!A466)</f>
        <v>SHR-016</v>
      </c>
      <c r="B466" s="1" t="str">
        <f aca="false">IF($A466="","",物件マスタ!B466)</f>
        <v>SHR</v>
      </c>
      <c r="C466" s="1" t="str">
        <f aca="false">IF($A466="","",IFERROR(INDEX(法人マスタ!$C:$C,MATCH($B466,法人マスタ!$A:$A,0)),""))</f>
        <v>積水ハウス・リート投資法人</v>
      </c>
      <c r="D466" s="1" t="str">
        <f aca="false">IF($A466="","",物件マスタ!C466)</f>
        <v>エスティメゾン大井仙台坂</v>
      </c>
      <c r="E466" s="1" t="str">
        <f aca="false">IF($A466="","",物件マスタ!H466)</f>
        <v>その他東京23区</v>
      </c>
      <c r="F466" s="53" t="n">
        <f aca="false">IF($A466="","",物件マスタ!P466)</f>
        <v>38930</v>
      </c>
      <c r="G466" s="1" t="n">
        <f aca="false">IF($A466="","",物件マスタ!Q466)</f>
        <v>20</v>
      </c>
      <c r="H466" s="1" t="n">
        <f aca="false">IF($A466="","",物件マスタ!L466)</f>
        <v>0</v>
      </c>
      <c r="I466" s="1" t="n">
        <f aca="false">IF($A466="","",物件マスタ!M466)</f>
        <v>2979.85</v>
      </c>
      <c r="J466" s="1" t="n">
        <f aca="false">IF($A466="","",物件マスタ!S466)</f>
        <v>2720</v>
      </c>
      <c r="K466" s="1" t="n">
        <f aca="false">IF($A466="","",物件マスタ!U466)</f>
        <v>3160</v>
      </c>
      <c r="L466" s="1" t="n">
        <f aca="false">IF($A466="","",物件マスタ!W466)</f>
        <v>0.979</v>
      </c>
      <c r="M466" s="1" t="str">
        <f aca="false">IF($A466="","",IFERROR(INDEX(法人マスタ!$H:$H,MATCH($B466,法人マスタ!$A:$A,0)),""))</f>
        <v>2026年4月期（第23期）</v>
      </c>
      <c r="N466" s="1" t="n">
        <f aca="false">IF($A466="","",SUMIFS(物件収支!$D:$D,物件収支!$A:$A,$A466,物件収支!$C:$C,$M466))</f>
        <v>6</v>
      </c>
      <c r="O466" s="1" t="n">
        <f aca="false">IF($A466="","",SUMIFS(物件収支!$F:$F,物件収支!$A:$A,$A466,物件収支!$C:$C,$M466))</f>
        <v>81000</v>
      </c>
      <c r="P466" s="1" t="n">
        <f aca="false">IF($A466="","",SUMIFS(物件収支!$I:$I,物件収支!$A:$A,$A466,物件収支!$C:$C,$M466))</f>
        <v>0</v>
      </c>
      <c r="Q466" s="1" t="n">
        <f aca="false">IF($A466="","",SUMIFS(物件収支!$O:$O,物件収支!$A:$A,$A466,物件収支!$C:$C,$M466))</f>
        <v>0</v>
      </c>
      <c r="R466" s="1" t="str">
        <f aca="false">IF($A466="","",IF(P466=0,"",O466-P466))</f>
        <v/>
      </c>
      <c r="S466" s="1" t="str">
        <f aca="false">IF($A466="","",IF(R466="","",R466+Q466))</f>
        <v/>
      </c>
      <c r="T466" s="1" t="str">
        <f aca="false">IF($A466="","",IF(OR(S466="",N466&lt;=0),"",S466/1000*12/N466))</f>
        <v/>
      </c>
      <c r="U466" s="1" t="str">
        <f aca="false">IF($A466="","",IF(OR(T466="",J466=0,J466=""),"",T466/J466))</f>
        <v/>
      </c>
      <c r="V466" s="1" t="str">
        <f aca="false">IF($A466="","",IF(OR(R466="",N466&lt;=0,J466=0,J466=""),"",(R466/1000*12/N466)/J466))</f>
        <v/>
      </c>
      <c r="W466" s="1" t="str">
        <f aca="false">IF($A466="","",IF(OR(T466="",K466=0,K466=""),"",T466/K466))</f>
        <v/>
      </c>
      <c r="X466" s="1" t="n">
        <f aca="false">IF($A466="","",IF(OR(N466&lt;=0,I466=0,I466="",O466=0),"",O466*1000/(I466*0.3025)/N466))</f>
        <v>14976.6260629071</v>
      </c>
      <c r="Y466" s="1" t="str">
        <f aca="false">IF($A466="","",IF(OR(O466=0,O466="",P466=0),"",P466/O466))</f>
        <v/>
      </c>
      <c r="Z466" s="1" t="str">
        <f aca="false">IF($A466="","",IFERROR(INDEX(物件収支!$E:$E,MATCH($A466,物件収支!$A:$A,0)),""))</f>
        <v>開示（物件別・収益のみ・百万円単位）</v>
      </c>
    </row>
    <row r="467" customFormat="false" ht="15" hidden="false" customHeight="true" outlineLevel="0" collapsed="false">
      <c r="A467" s="1" t="str">
        <f aca="false">IF(物件マスタ!A467="","",物件マスタ!A467)</f>
        <v>SHR-017</v>
      </c>
      <c r="B467" s="1" t="str">
        <f aca="false">IF($A467="","",物件マスタ!B467)</f>
        <v>SHR</v>
      </c>
      <c r="C467" s="1" t="str">
        <f aca="false">IF($A467="","",IFERROR(INDEX(法人マスタ!$C:$C,MATCH($B467,法人マスタ!$A:$A,0)),""))</f>
        <v>積水ハウス・リート投資法人</v>
      </c>
      <c r="D467" s="1" t="str">
        <f aca="false">IF($A467="","",物件マスタ!C467)</f>
        <v>エスティメゾン品川シーサイド</v>
      </c>
      <c r="E467" s="1" t="str">
        <f aca="false">IF($A467="","",物件マスタ!H467)</f>
        <v>（期中譲渡済）</v>
      </c>
      <c r="F467" s="1" t="n">
        <f aca="false">IF($A467="","",物件マスタ!P467)</f>
        <v>0</v>
      </c>
      <c r="G467" s="1" t="str">
        <f aca="false">IF($A467="","",物件マスタ!Q467)</f>
        <v/>
      </c>
      <c r="H467" s="1" t="n">
        <f aca="false">IF($A467="","",物件マスタ!L467)</f>
        <v>0</v>
      </c>
      <c r="I467" s="1" t="n">
        <f aca="false">IF($A467="","",物件マスタ!M467)</f>
        <v>0</v>
      </c>
      <c r="J467" s="1" t="n">
        <f aca="false">IF($A467="","",物件マスタ!S467)</f>
        <v>0</v>
      </c>
      <c r="K467" s="1" t="n">
        <f aca="false">IF($A467="","",物件マスタ!U467)</f>
        <v>0</v>
      </c>
      <c r="L467" s="1" t="n">
        <f aca="false">IF($A467="","",物件マスタ!W467)</f>
        <v>0</v>
      </c>
      <c r="M467" s="1" t="str">
        <f aca="false">IF($A467="","",IFERROR(INDEX(法人マスタ!$H:$H,MATCH($B467,法人マスタ!$A:$A,0)),""))</f>
        <v>2026年4月期（第23期）</v>
      </c>
      <c r="N467" s="1" t="n">
        <f aca="false">IF($A467="","",SUMIFS(物件収支!$D:$D,物件収支!$A:$A,$A467,物件収支!$C:$C,$M467))</f>
        <v>6</v>
      </c>
      <c r="O467" s="1" t="n">
        <f aca="false">IF($A467="","",SUMIFS(物件収支!$F:$F,物件収支!$A:$A,$A467,物件収支!$C:$C,$M467))</f>
        <v>32000</v>
      </c>
      <c r="P467" s="1" t="n">
        <f aca="false">IF($A467="","",SUMIFS(物件収支!$I:$I,物件収支!$A:$A,$A467,物件収支!$C:$C,$M467))</f>
        <v>0</v>
      </c>
      <c r="Q467" s="1" t="n">
        <f aca="false">IF($A467="","",SUMIFS(物件収支!$O:$O,物件収支!$A:$A,$A467,物件収支!$C:$C,$M467))</f>
        <v>0</v>
      </c>
      <c r="R467" s="1" t="str">
        <f aca="false">IF($A467="","",IF(P467=0,"",O467-P467))</f>
        <v/>
      </c>
      <c r="S467" s="1" t="str">
        <f aca="false">IF($A467="","",IF(R467="","",R467+Q467))</f>
        <v/>
      </c>
      <c r="T467" s="1" t="str">
        <f aca="false">IF($A467="","",IF(OR(S467="",N467&lt;=0),"",S467/1000*12/N467))</f>
        <v/>
      </c>
      <c r="U467" s="1" t="str">
        <f aca="false">IF($A467="","",IF(OR(T467="",J467=0,J467=""),"",T467/J467))</f>
        <v/>
      </c>
      <c r="V467" s="1" t="str">
        <f aca="false">IF($A467="","",IF(OR(R467="",N467&lt;=0,J467=0,J467=""),"",(R467/1000*12/N467)/J467))</f>
        <v/>
      </c>
      <c r="W467" s="1" t="str">
        <f aca="false">IF($A467="","",IF(OR(T467="",K467=0,K467=""),"",T467/K467))</f>
        <v/>
      </c>
      <c r="X467" s="1" t="str">
        <f aca="false">IF($A467="","",IF(OR(N467&lt;=0,I467=0,I467="",O467=0),"",O467*1000/(I467*0.3025)/N467))</f>
        <v/>
      </c>
      <c r="Y467" s="1" t="str">
        <f aca="false">IF($A467="","",IF(OR(O467=0,O467="",P467=0),"",P467/O467))</f>
        <v/>
      </c>
      <c r="Z467" s="1" t="str">
        <f aca="false">IF($A467="","",IFERROR(INDEX(物件収支!$E:$E,MATCH($A467,物件収支!$A:$A,0)),""))</f>
        <v>開示（期中譲渡・収益のみ・百万円単位）</v>
      </c>
    </row>
    <row r="468" customFormat="false" ht="15" hidden="false" customHeight="true" outlineLevel="0" collapsed="false">
      <c r="A468" s="1" t="str">
        <f aca="false">IF(物件マスタ!A468="","",物件マスタ!A468)</f>
        <v>SHR-018</v>
      </c>
      <c r="B468" s="1" t="str">
        <f aca="false">IF($A468="","",物件マスタ!B468)</f>
        <v>SHR</v>
      </c>
      <c r="C468" s="1" t="str">
        <f aca="false">IF($A468="","",IFERROR(INDEX(法人マスタ!$C:$C,MATCH($B468,法人マスタ!$A:$A,0)),""))</f>
        <v>積水ハウス・リート投資法人</v>
      </c>
      <c r="D468" s="1" t="str">
        <f aca="false">IF($A468="","",物件マスタ!C468)</f>
        <v>エスティメゾン南麻布</v>
      </c>
      <c r="E468" s="1" t="str">
        <f aca="false">IF($A468="","",物件マスタ!H468)</f>
        <v>都心5区</v>
      </c>
      <c r="F468" s="53" t="n">
        <f aca="false">IF($A468="","",物件マスタ!P468)</f>
        <v>38930</v>
      </c>
      <c r="G468" s="1" t="n">
        <f aca="false">IF($A468="","",物件マスタ!Q468)</f>
        <v>20</v>
      </c>
      <c r="H468" s="1" t="n">
        <f aca="false">IF($A468="","",物件マスタ!L468)</f>
        <v>0</v>
      </c>
      <c r="I468" s="1" t="n">
        <f aca="false">IF($A468="","",物件マスタ!M468)</f>
        <v>1082.12</v>
      </c>
      <c r="J468" s="1" t="n">
        <f aca="false">IF($A468="","",物件マスタ!S468)</f>
        <v>1250</v>
      </c>
      <c r="K468" s="1" t="n">
        <f aca="false">IF($A468="","",物件マスタ!U468)</f>
        <v>1500</v>
      </c>
      <c r="L468" s="1" t="n">
        <f aca="false">IF($A468="","",物件マスタ!W468)</f>
        <v>0.962</v>
      </c>
      <c r="M468" s="1" t="str">
        <f aca="false">IF($A468="","",IFERROR(INDEX(法人マスタ!$H:$H,MATCH($B468,法人マスタ!$A:$A,0)),""))</f>
        <v>2026年4月期（第23期）</v>
      </c>
      <c r="N468" s="1" t="n">
        <f aca="false">IF($A468="","",SUMIFS(物件収支!$D:$D,物件収支!$A:$A,$A468,物件収支!$C:$C,$M468))</f>
        <v>6</v>
      </c>
      <c r="O468" s="1" t="n">
        <f aca="false">IF($A468="","",SUMIFS(物件収支!$F:$F,物件収支!$A:$A,$A468,物件収支!$C:$C,$M468))</f>
        <v>37000</v>
      </c>
      <c r="P468" s="1" t="n">
        <f aca="false">IF($A468="","",SUMIFS(物件収支!$I:$I,物件収支!$A:$A,$A468,物件収支!$C:$C,$M468))</f>
        <v>0</v>
      </c>
      <c r="Q468" s="1" t="n">
        <f aca="false">IF($A468="","",SUMIFS(物件収支!$O:$O,物件収支!$A:$A,$A468,物件収支!$C:$C,$M468))</f>
        <v>0</v>
      </c>
      <c r="R468" s="1" t="str">
        <f aca="false">IF($A468="","",IF(P468=0,"",O468-P468))</f>
        <v/>
      </c>
      <c r="S468" s="1" t="str">
        <f aca="false">IF($A468="","",IF(R468="","",R468+Q468))</f>
        <v/>
      </c>
      <c r="T468" s="1" t="str">
        <f aca="false">IF($A468="","",IF(OR(S468="",N468&lt;=0),"",S468/1000*12/N468))</f>
        <v/>
      </c>
      <c r="U468" s="1" t="str">
        <f aca="false">IF($A468="","",IF(OR(T468="",J468=0,J468=""),"",T468/J468))</f>
        <v/>
      </c>
      <c r="V468" s="1" t="str">
        <f aca="false">IF($A468="","",IF(OR(R468="",N468&lt;=0,J468=0,J468=""),"",(R468/1000*12/N468)/J468))</f>
        <v/>
      </c>
      <c r="W468" s="1" t="str">
        <f aca="false">IF($A468="","",IF(OR(T468="",K468=0,K468=""),"",T468/K468))</f>
        <v/>
      </c>
      <c r="X468" s="1" t="n">
        <f aca="false">IF($A468="","",IF(OR(N468&lt;=0,I468=0,I468="",O468=0),"",O468*1000/(I468*0.3025)/N468))</f>
        <v>18838.6453730912</v>
      </c>
      <c r="Y468" s="1" t="str">
        <f aca="false">IF($A468="","",IF(OR(O468=0,O468="",P468=0),"",P468/O468))</f>
        <v/>
      </c>
      <c r="Z468" s="1" t="str">
        <f aca="false">IF($A468="","",IFERROR(INDEX(物件収支!$E:$E,MATCH($A468,物件収支!$A:$A,0)),""))</f>
        <v>開示（物件別・収益のみ・百万円単位）</v>
      </c>
    </row>
    <row r="469" customFormat="false" ht="15" hidden="false" customHeight="true" outlineLevel="0" collapsed="false">
      <c r="A469" s="1" t="str">
        <f aca="false">IF(物件マスタ!A469="","",物件マスタ!A469)</f>
        <v>SHR-019</v>
      </c>
      <c r="B469" s="1" t="str">
        <f aca="false">IF($A469="","",物件マスタ!B469)</f>
        <v>SHR</v>
      </c>
      <c r="C469" s="1" t="str">
        <f aca="false">IF($A469="","",IFERROR(INDEX(法人マスタ!$C:$C,MATCH($B469,法人マスタ!$A:$A,0)),""))</f>
        <v>積水ハウス・リート投資法人</v>
      </c>
      <c r="D469" s="1" t="str">
        <f aca="false">IF($A469="","",物件マスタ!C469)</f>
        <v>エスティメゾン川崎Ⅱ</v>
      </c>
      <c r="E469" s="1" t="str">
        <f aca="false">IF($A469="","",物件マスタ!H469)</f>
        <v>東京周辺都市部</v>
      </c>
      <c r="F469" s="53" t="n">
        <f aca="false">IF($A469="","",物件マスタ!P469)</f>
        <v>39114</v>
      </c>
      <c r="G469" s="1" t="n">
        <f aca="false">IF($A469="","",物件マスタ!Q469)</f>
        <v>19.5</v>
      </c>
      <c r="H469" s="1" t="n">
        <f aca="false">IF($A469="","",物件マスタ!L469)</f>
        <v>0</v>
      </c>
      <c r="I469" s="1" t="n">
        <f aca="false">IF($A469="","",物件マスタ!M469)</f>
        <v>2824.86</v>
      </c>
      <c r="J469" s="1" t="n">
        <f aca="false">IF($A469="","",物件マスタ!S469)</f>
        <v>1910</v>
      </c>
      <c r="K469" s="1" t="n">
        <f aca="false">IF($A469="","",物件マスタ!U469)</f>
        <v>2680</v>
      </c>
      <c r="L469" s="1" t="n">
        <f aca="false">IF($A469="","",物件マスタ!W469)</f>
        <v>0.992</v>
      </c>
      <c r="M469" s="1" t="str">
        <f aca="false">IF($A469="","",IFERROR(INDEX(法人マスタ!$H:$H,MATCH($B469,法人マスタ!$A:$A,0)),""))</f>
        <v>2026年4月期（第23期）</v>
      </c>
      <c r="N469" s="1" t="n">
        <f aca="false">IF($A469="","",SUMIFS(物件収支!$D:$D,物件収支!$A:$A,$A469,物件収支!$C:$C,$M469))</f>
        <v>6</v>
      </c>
      <c r="O469" s="1" t="n">
        <f aca="false">IF($A469="","",SUMIFS(物件収支!$F:$F,物件収支!$A:$A,$A469,物件収支!$C:$C,$M469))</f>
        <v>64000</v>
      </c>
      <c r="P469" s="1" t="n">
        <f aca="false">IF($A469="","",SUMIFS(物件収支!$I:$I,物件収支!$A:$A,$A469,物件収支!$C:$C,$M469))</f>
        <v>0</v>
      </c>
      <c r="Q469" s="1" t="n">
        <f aca="false">IF($A469="","",SUMIFS(物件収支!$O:$O,物件収支!$A:$A,$A469,物件収支!$C:$C,$M469))</f>
        <v>0</v>
      </c>
      <c r="R469" s="1" t="str">
        <f aca="false">IF($A469="","",IF(P469=0,"",O469-P469))</f>
        <v/>
      </c>
      <c r="S469" s="1" t="str">
        <f aca="false">IF($A469="","",IF(R469="","",R469+Q469))</f>
        <v/>
      </c>
      <c r="T469" s="1" t="str">
        <f aca="false">IF($A469="","",IF(OR(S469="",N469&lt;=0),"",S469/1000*12/N469))</f>
        <v/>
      </c>
      <c r="U469" s="1" t="str">
        <f aca="false">IF($A469="","",IF(OR(T469="",J469=0,J469=""),"",T469/J469))</f>
        <v/>
      </c>
      <c r="V469" s="1" t="str">
        <f aca="false">IF($A469="","",IF(OR(R469="",N469&lt;=0,J469=0,J469=""),"",(R469/1000*12/N469)/J469))</f>
        <v/>
      </c>
      <c r="W469" s="1" t="str">
        <f aca="false">IF($A469="","",IF(OR(T469="",K469=0,K469=""),"",T469/K469))</f>
        <v/>
      </c>
      <c r="X469" s="1" t="n">
        <f aca="false">IF($A469="","",IF(OR(N469&lt;=0,I469=0,I469="",O469=0),"",O469*1000/(I469*0.3025)/N469))</f>
        <v>12482.639135738</v>
      </c>
      <c r="Y469" s="1" t="str">
        <f aca="false">IF($A469="","",IF(OR(O469=0,O469="",P469=0),"",P469/O469))</f>
        <v/>
      </c>
      <c r="Z469" s="1" t="str">
        <f aca="false">IF($A469="","",IFERROR(INDEX(物件収支!$E:$E,MATCH($A469,物件収支!$A:$A,0)),""))</f>
        <v>開示（物件別・収益のみ・百万円単位）</v>
      </c>
    </row>
    <row r="470" customFormat="false" ht="15" hidden="false" customHeight="true" outlineLevel="0" collapsed="false">
      <c r="A470" s="1" t="str">
        <f aca="false">IF(物件マスタ!A470="","",物件マスタ!A470)</f>
        <v>SHR-020</v>
      </c>
      <c r="B470" s="1" t="str">
        <f aca="false">IF($A470="","",物件マスタ!B470)</f>
        <v>SHR</v>
      </c>
      <c r="C470" s="1" t="str">
        <f aca="false">IF($A470="","",IFERROR(INDEX(法人マスタ!$C:$C,MATCH($B470,法人マスタ!$A:$A,0)),""))</f>
        <v>積水ハウス・リート投資法人</v>
      </c>
      <c r="D470" s="1" t="str">
        <f aca="false">IF($A470="","",物件マスタ!C470)</f>
        <v>エスティメゾン麻布十番</v>
      </c>
      <c r="E470" s="1" t="str">
        <f aca="false">IF($A470="","",物件マスタ!H470)</f>
        <v>都心5区</v>
      </c>
      <c r="F470" s="53" t="n">
        <f aca="false">IF($A470="","",物件マスタ!P470)</f>
        <v>39114</v>
      </c>
      <c r="G470" s="1" t="n">
        <f aca="false">IF($A470="","",物件マスタ!Q470)</f>
        <v>19.5</v>
      </c>
      <c r="H470" s="1" t="n">
        <f aca="false">IF($A470="","",物件マスタ!L470)</f>
        <v>0</v>
      </c>
      <c r="I470" s="1" t="n">
        <f aca="false">IF($A470="","",物件マスタ!M470)</f>
        <v>1755.31</v>
      </c>
      <c r="J470" s="1" t="n">
        <f aca="false">IF($A470="","",物件マスタ!S470)</f>
        <v>2690</v>
      </c>
      <c r="K470" s="1" t="n">
        <f aca="false">IF($A470="","",物件マスタ!U470)</f>
        <v>3320</v>
      </c>
      <c r="L470" s="1" t="n">
        <f aca="false">IF($A470="","",物件マスタ!W470)</f>
        <v>0.961</v>
      </c>
      <c r="M470" s="1" t="str">
        <f aca="false">IF($A470="","",IFERROR(INDEX(法人マスタ!$H:$H,MATCH($B470,法人マスタ!$A:$A,0)),""))</f>
        <v>2026年4月期（第23期）</v>
      </c>
      <c r="N470" s="1" t="n">
        <f aca="false">IF($A470="","",SUMIFS(物件収支!$D:$D,物件収支!$A:$A,$A470,物件収支!$C:$C,$M470))</f>
        <v>6</v>
      </c>
      <c r="O470" s="1" t="n">
        <f aca="false">IF($A470="","",SUMIFS(物件収支!$F:$F,物件収支!$A:$A,$A470,物件収支!$C:$C,$M470))</f>
        <v>68000</v>
      </c>
      <c r="P470" s="1" t="n">
        <f aca="false">IF($A470="","",SUMIFS(物件収支!$I:$I,物件収支!$A:$A,$A470,物件収支!$C:$C,$M470))</f>
        <v>0</v>
      </c>
      <c r="Q470" s="1" t="n">
        <f aca="false">IF($A470="","",SUMIFS(物件収支!$O:$O,物件収支!$A:$A,$A470,物件収支!$C:$C,$M470))</f>
        <v>0</v>
      </c>
      <c r="R470" s="1" t="str">
        <f aca="false">IF($A470="","",IF(P470=0,"",O470-P470))</f>
        <v/>
      </c>
      <c r="S470" s="1" t="str">
        <f aca="false">IF($A470="","",IF(R470="","",R470+Q470))</f>
        <v/>
      </c>
      <c r="T470" s="1" t="str">
        <f aca="false">IF($A470="","",IF(OR(S470="",N470&lt;=0),"",S470/1000*12/N470))</f>
        <v/>
      </c>
      <c r="U470" s="1" t="str">
        <f aca="false">IF($A470="","",IF(OR(T470="",J470=0,J470=""),"",T470/J470))</f>
        <v/>
      </c>
      <c r="V470" s="1" t="str">
        <f aca="false">IF($A470="","",IF(OR(R470="",N470&lt;=0,J470=0,J470=""),"",(R470/1000*12/N470)/J470))</f>
        <v/>
      </c>
      <c r="W470" s="1" t="str">
        <f aca="false">IF($A470="","",IF(OR(T470="",K470=0,K470=""),"",T470/K470))</f>
        <v/>
      </c>
      <c r="X470" s="1" t="n">
        <f aca="false">IF($A470="","",IF(OR(N470&lt;=0,I470=0,I470="",O470=0),"",O470*1000/(I470*0.3025)/N470))</f>
        <v>21344.1299475831</v>
      </c>
      <c r="Y470" s="1" t="str">
        <f aca="false">IF($A470="","",IF(OR(O470=0,O470="",P470=0),"",P470/O470))</f>
        <v/>
      </c>
      <c r="Z470" s="1" t="str">
        <f aca="false">IF($A470="","",IFERROR(INDEX(物件収支!$E:$E,MATCH($A470,物件収支!$A:$A,0)),""))</f>
        <v>開示（物件別・収益のみ・百万円単位）</v>
      </c>
    </row>
    <row r="471" customFormat="false" ht="15" hidden="false" customHeight="true" outlineLevel="0" collapsed="false">
      <c r="A471" s="1" t="str">
        <f aca="false">IF(物件マスタ!A471="","",物件マスタ!A471)</f>
        <v>SHR-021</v>
      </c>
      <c r="B471" s="1" t="str">
        <f aca="false">IF($A471="","",物件マスタ!B471)</f>
        <v>SHR</v>
      </c>
      <c r="C471" s="1" t="str">
        <f aca="false">IF($A471="","",IFERROR(INDEX(法人マスタ!$C:$C,MATCH($B471,法人マスタ!$A:$A,0)),""))</f>
        <v>積水ハウス・リート投資法人</v>
      </c>
      <c r="D471" s="1" t="str">
        <f aca="false">IF($A471="","",物件マスタ!C471)</f>
        <v>エスティメゾン板橋本町</v>
      </c>
      <c r="E471" s="1" t="str">
        <f aca="false">IF($A471="","",物件マスタ!H471)</f>
        <v>（期中譲渡済）</v>
      </c>
      <c r="F471" s="1" t="n">
        <f aca="false">IF($A471="","",物件マスタ!P471)</f>
        <v>0</v>
      </c>
      <c r="G471" s="1" t="str">
        <f aca="false">IF($A471="","",物件マスタ!Q471)</f>
        <v/>
      </c>
      <c r="H471" s="1" t="n">
        <f aca="false">IF($A471="","",物件マスタ!L471)</f>
        <v>0</v>
      </c>
      <c r="I471" s="1" t="n">
        <f aca="false">IF($A471="","",物件マスタ!M471)</f>
        <v>0</v>
      </c>
      <c r="J471" s="1" t="n">
        <f aca="false">IF($A471="","",物件マスタ!S471)</f>
        <v>0</v>
      </c>
      <c r="K471" s="1" t="n">
        <f aca="false">IF($A471="","",物件マスタ!U471)</f>
        <v>0</v>
      </c>
      <c r="L471" s="1" t="n">
        <f aca="false">IF($A471="","",物件マスタ!W471)</f>
        <v>0</v>
      </c>
      <c r="M471" s="1" t="str">
        <f aca="false">IF($A471="","",IFERROR(INDEX(法人マスタ!$H:$H,MATCH($B471,法人マスタ!$A:$A,0)),""))</f>
        <v>2026年4月期（第23期）</v>
      </c>
      <c r="N471" s="1" t="n">
        <f aca="false">IF($A471="","",SUMIFS(物件収支!$D:$D,物件収支!$A:$A,$A471,物件収支!$C:$C,$M471))</f>
        <v>6</v>
      </c>
      <c r="O471" s="1" t="n">
        <f aca="false">IF($A471="","",SUMIFS(物件収支!$F:$F,物件収支!$A:$A,$A471,物件収支!$C:$C,$M471))</f>
        <v>15000</v>
      </c>
      <c r="P471" s="1" t="n">
        <f aca="false">IF($A471="","",SUMIFS(物件収支!$I:$I,物件収支!$A:$A,$A471,物件収支!$C:$C,$M471))</f>
        <v>0</v>
      </c>
      <c r="Q471" s="1" t="n">
        <f aca="false">IF($A471="","",SUMIFS(物件収支!$O:$O,物件収支!$A:$A,$A471,物件収支!$C:$C,$M471))</f>
        <v>0</v>
      </c>
      <c r="R471" s="1" t="str">
        <f aca="false">IF($A471="","",IF(P471=0,"",O471-P471))</f>
        <v/>
      </c>
      <c r="S471" s="1" t="str">
        <f aca="false">IF($A471="","",IF(R471="","",R471+Q471))</f>
        <v/>
      </c>
      <c r="T471" s="1" t="str">
        <f aca="false">IF($A471="","",IF(OR(S471="",N471&lt;=0),"",S471/1000*12/N471))</f>
        <v/>
      </c>
      <c r="U471" s="1" t="str">
        <f aca="false">IF($A471="","",IF(OR(T471="",J471=0,J471=""),"",T471/J471))</f>
        <v/>
      </c>
      <c r="V471" s="1" t="str">
        <f aca="false">IF($A471="","",IF(OR(R471="",N471&lt;=0,J471=0,J471=""),"",(R471/1000*12/N471)/J471))</f>
        <v/>
      </c>
      <c r="W471" s="1" t="str">
        <f aca="false">IF($A471="","",IF(OR(T471="",K471=0,K471=""),"",T471/K471))</f>
        <v/>
      </c>
      <c r="X471" s="1" t="str">
        <f aca="false">IF($A471="","",IF(OR(N471&lt;=0,I471=0,I471="",O471=0),"",O471*1000/(I471*0.3025)/N471))</f>
        <v/>
      </c>
      <c r="Y471" s="1" t="str">
        <f aca="false">IF($A471="","",IF(OR(O471=0,O471="",P471=0),"",P471/O471))</f>
        <v/>
      </c>
      <c r="Z471" s="1" t="str">
        <f aca="false">IF($A471="","",IFERROR(INDEX(物件収支!$E:$E,MATCH($A471,物件収支!$A:$A,0)),""))</f>
        <v>開示（期中譲渡・収益のみ・百万円単位）</v>
      </c>
    </row>
    <row r="472" customFormat="false" ht="15" hidden="false" customHeight="true" outlineLevel="0" collapsed="false">
      <c r="A472" s="1" t="str">
        <f aca="false">IF(物件マスタ!A472="","",物件マスタ!A472)</f>
        <v>SHR-022</v>
      </c>
      <c r="B472" s="1" t="str">
        <f aca="false">IF($A472="","",物件マスタ!B472)</f>
        <v>SHR</v>
      </c>
      <c r="C472" s="1" t="str">
        <f aca="false">IF($A472="","",IFERROR(INDEX(法人マスタ!$C:$C,MATCH($B472,法人マスタ!$A:$A,0)),""))</f>
        <v>積水ハウス・リート投資法人</v>
      </c>
      <c r="D472" s="1" t="str">
        <f aca="false">IF($A472="","",物件マスタ!C472)</f>
        <v>エスティメゾン武蔵小山</v>
      </c>
      <c r="E472" s="1" t="str">
        <f aca="false">IF($A472="","",物件マスタ!H472)</f>
        <v>その他東京23区</v>
      </c>
      <c r="F472" s="53" t="n">
        <f aca="false">IF($A472="","",物件マスタ!P472)</f>
        <v>39387</v>
      </c>
      <c r="G472" s="1" t="n">
        <f aca="false">IF($A472="","",物件マスタ!Q472)</f>
        <v>18.8</v>
      </c>
      <c r="H472" s="1" t="n">
        <f aca="false">IF($A472="","",物件マスタ!L472)</f>
        <v>0</v>
      </c>
      <c r="I472" s="1" t="n">
        <f aca="false">IF($A472="","",物件マスタ!M472)</f>
        <v>1176.78</v>
      </c>
      <c r="J472" s="1" t="n">
        <f aca="false">IF($A472="","",物件マスタ!S472)</f>
        <v>1050</v>
      </c>
      <c r="K472" s="1" t="n">
        <f aca="false">IF($A472="","",物件マスタ!U472)</f>
        <v>1340</v>
      </c>
      <c r="L472" s="1" t="n">
        <f aca="false">IF($A472="","",物件マスタ!W472)</f>
        <v>0.965</v>
      </c>
      <c r="M472" s="1" t="str">
        <f aca="false">IF($A472="","",IFERROR(INDEX(法人マスタ!$H:$H,MATCH($B472,法人マスタ!$A:$A,0)),""))</f>
        <v>2026年4月期（第23期）</v>
      </c>
      <c r="N472" s="1" t="n">
        <f aca="false">IF($A472="","",SUMIFS(物件収支!$D:$D,物件収支!$A:$A,$A472,物件収支!$C:$C,$M472))</f>
        <v>6</v>
      </c>
      <c r="O472" s="1" t="n">
        <f aca="false">IF($A472="","",SUMIFS(物件収支!$F:$F,物件収支!$A:$A,$A472,物件収支!$C:$C,$M472))</f>
        <v>33000</v>
      </c>
      <c r="P472" s="1" t="n">
        <f aca="false">IF($A472="","",SUMIFS(物件収支!$I:$I,物件収支!$A:$A,$A472,物件収支!$C:$C,$M472))</f>
        <v>0</v>
      </c>
      <c r="Q472" s="1" t="n">
        <f aca="false">IF($A472="","",SUMIFS(物件収支!$O:$O,物件収支!$A:$A,$A472,物件収支!$C:$C,$M472))</f>
        <v>0</v>
      </c>
      <c r="R472" s="1" t="str">
        <f aca="false">IF($A472="","",IF(P472=0,"",O472-P472))</f>
        <v/>
      </c>
      <c r="S472" s="1" t="str">
        <f aca="false">IF($A472="","",IF(R472="","",R472+Q472))</f>
        <v/>
      </c>
      <c r="T472" s="1" t="str">
        <f aca="false">IF($A472="","",IF(OR(S472="",N472&lt;=0),"",S472/1000*12/N472))</f>
        <v/>
      </c>
      <c r="U472" s="1" t="str">
        <f aca="false">IF($A472="","",IF(OR(T472="",J472=0,J472=""),"",T472/J472))</f>
        <v/>
      </c>
      <c r="V472" s="1" t="str">
        <f aca="false">IF($A472="","",IF(OR(R472="",N472&lt;=0,J472=0,J472=""),"",(R472/1000*12/N472)/J472))</f>
        <v/>
      </c>
      <c r="W472" s="1" t="str">
        <f aca="false">IF($A472="","",IF(OR(T472="",K472=0,K472=""),"",T472/K472))</f>
        <v/>
      </c>
      <c r="X472" s="1" t="n">
        <f aca="false">IF($A472="","",IF(OR(N472&lt;=0,I472=0,I472="",O472=0),"",O472*1000/(I472*0.3025)/N472))</f>
        <v>15450.4819777853</v>
      </c>
      <c r="Y472" s="1" t="str">
        <f aca="false">IF($A472="","",IF(OR(O472=0,O472="",P472=0),"",P472/O472))</f>
        <v/>
      </c>
      <c r="Z472" s="1" t="str">
        <f aca="false">IF($A472="","",IFERROR(INDEX(物件収支!$E:$E,MATCH($A472,物件収支!$A:$A,0)),""))</f>
        <v>開示（物件別・収益のみ・百万円単位）</v>
      </c>
    </row>
    <row r="473" customFormat="false" ht="15" hidden="false" customHeight="true" outlineLevel="0" collapsed="false">
      <c r="A473" s="1" t="str">
        <f aca="false">IF(物件マスタ!A473="","",物件マスタ!A473)</f>
        <v>SHR-023</v>
      </c>
      <c r="B473" s="1" t="str">
        <f aca="false">IF($A473="","",物件マスタ!B473)</f>
        <v>SHR</v>
      </c>
      <c r="C473" s="1" t="str">
        <f aca="false">IF($A473="","",IFERROR(INDEX(法人マスタ!$C:$C,MATCH($B473,法人マスタ!$A:$A,0)),""))</f>
        <v>積水ハウス・リート投資法人</v>
      </c>
      <c r="D473" s="1" t="str">
        <f aca="false">IF($A473="","",物件マスタ!C473)</f>
        <v>エスティメゾン千駄木</v>
      </c>
      <c r="E473" s="1" t="str">
        <f aca="false">IF($A473="","",物件マスタ!H473)</f>
        <v>その他東京23区</v>
      </c>
      <c r="F473" s="53" t="n">
        <f aca="false">IF($A473="","",物件マスタ!P473)</f>
        <v>39448</v>
      </c>
      <c r="G473" s="1" t="n">
        <f aca="false">IF($A473="","",物件マスタ!Q473)</f>
        <v>18.6</v>
      </c>
      <c r="H473" s="1" t="n">
        <f aca="false">IF($A473="","",物件マスタ!L473)</f>
        <v>0</v>
      </c>
      <c r="I473" s="1" t="n">
        <f aca="false">IF($A473="","",物件マスタ!M473)</f>
        <v>897.3</v>
      </c>
      <c r="J473" s="1" t="n">
        <f aca="false">IF($A473="","",物件マスタ!S473)</f>
        <v>698</v>
      </c>
      <c r="K473" s="1" t="n">
        <f aca="false">IF($A473="","",物件マスタ!U473)</f>
        <v>904</v>
      </c>
      <c r="L473" s="1" t="n">
        <f aca="false">IF($A473="","",物件マスタ!W473)</f>
        <v>1</v>
      </c>
      <c r="M473" s="1" t="str">
        <f aca="false">IF($A473="","",IFERROR(INDEX(法人マスタ!$H:$H,MATCH($B473,法人マスタ!$A:$A,0)),""))</f>
        <v>2026年4月期（第23期）</v>
      </c>
      <c r="N473" s="1" t="n">
        <f aca="false">IF($A473="","",SUMIFS(物件収支!$D:$D,物件収支!$A:$A,$A473,物件収支!$C:$C,$M473))</f>
        <v>6</v>
      </c>
      <c r="O473" s="1" t="n">
        <f aca="false">IF($A473="","",SUMIFS(物件収支!$F:$F,物件収支!$A:$A,$A473,物件収支!$C:$C,$M473))</f>
        <v>25000</v>
      </c>
      <c r="P473" s="1" t="n">
        <f aca="false">IF($A473="","",SUMIFS(物件収支!$I:$I,物件収支!$A:$A,$A473,物件収支!$C:$C,$M473))</f>
        <v>0</v>
      </c>
      <c r="Q473" s="1" t="n">
        <f aca="false">IF($A473="","",SUMIFS(物件収支!$O:$O,物件収支!$A:$A,$A473,物件収支!$C:$C,$M473))</f>
        <v>0</v>
      </c>
      <c r="R473" s="1" t="str">
        <f aca="false">IF($A473="","",IF(P473=0,"",O473-P473))</f>
        <v/>
      </c>
      <c r="S473" s="1" t="str">
        <f aca="false">IF($A473="","",IF(R473="","",R473+Q473))</f>
        <v/>
      </c>
      <c r="T473" s="1" t="str">
        <f aca="false">IF($A473="","",IF(OR(S473="",N473&lt;=0),"",S473/1000*12/N473))</f>
        <v/>
      </c>
      <c r="U473" s="1" t="str">
        <f aca="false">IF($A473="","",IF(OR(T473="",J473=0,J473=""),"",T473/J473))</f>
        <v/>
      </c>
      <c r="V473" s="1" t="str">
        <f aca="false">IF($A473="","",IF(OR(R473="",N473&lt;=0,J473=0,J473=""),"",(R473/1000*12/N473)/J473))</f>
        <v/>
      </c>
      <c r="W473" s="1" t="str">
        <f aca="false">IF($A473="","",IF(OR(T473="",K473=0,K473=""),"",T473/K473))</f>
        <v/>
      </c>
      <c r="X473" s="1" t="n">
        <f aca="false">IF($A473="","",IF(OR(N473&lt;=0,I473=0,I473="",O473=0),"",O473*1000/(I473*0.3025)/N473))</f>
        <v>15350.6125968969</v>
      </c>
      <c r="Y473" s="1" t="str">
        <f aca="false">IF($A473="","",IF(OR(O473=0,O473="",P473=0),"",P473/O473))</f>
        <v/>
      </c>
      <c r="Z473" s="1" t="str">
        <f aca="false">IF($A473="","",IFERROR(INDEX(物件収支!$E:$E,MATCH($A473,物件収支!$A:$A,0)),""))</f>
        <v>開示（物件別・収益のみ・百万円単位）</v>
      </c>
    </row>
    <row r="474" customFormat="false" ht="15" hidden="false" customHeight="true" outlineLevel="0" collapsed="false">
      <c r="A474" s="1" t="str">
        <f aca="false">IF(物件マスタ!A474="","",物件マスタ!A474)</f>
        <v>SHR-024</v>
      </c>
      <c r="B474" s="1" t="str">
        <f aca="false">IF($A474="","",物件マスタ!B474)</f>
        <v>SHR</v>
      </c>
      <c r="C474" s="1" t="str">
        <f aca="false">IF($A474="","",IFERROR(INDEX(法人マスタ!$C:$C,MATCH($B474,法人マスタ!$A:$A,0)),""))</f>
        <v>積水ハウス・リート投資法人</v>
      </c>
      <c r="D474" s="1" t="str">
        <f aca="false">IF($A474="","",物件マスタ!C474)</f>
        <v>エスティメゾン博多東</v>
      </c>
      <c r="E474" s="1" t="str">
        <f aca="false">IF($A474="","",物件マスタ!H474)</f>
        <v>3大都市圏以外の政令市</v>
      </c>
      <c r="F474" s="53" t="n">
        <f aca="false">IF($A474="","",物件マスタ!P474)</f>
        <v>39387</v>
      </c>
      <c r="G474" s="1" t="n">
        <f aca="false">IF($A474="","",物件マスタ!Q474)</f>
        <v>18.8</v>
      </c>
      <c r="H474" s="1" t="n">
        <f aca="false">IF($A474="","",物件マスタ!L474)</f>
        <v>0</v>
      </c>
      <c r="I474" s="1" t="n">
        <f aca="false">IF($A474="","",物件マスタ!M474)</f>
        <v>9106.08</v>
      </c>
      <c r="J474" s="1" t="n">
        <f aca="false">IF($A474="","",物件マスタ!S474)</f>
        <v>2400</v>
      </c>
      <c r="K474" s="1" t="n">
        <f aca="false">IF($A474="","",物件マスタ!U474)</f>
        <v>3070</v>
      </c>
      <c r="L474" s="1" t="n">
        <f aca="false">IF($A474="","",物件マスタ!W474)</f>
        <v>0.987</v>
      </c>
      <c r="M474" s="1" t="str">
        <f aca="false">IF($A474="","",IFERROR(INDEX(法人マスタ!$H:$H,MATCH($B474,法人マスタ!$A:$A,0)),""))</f>
        <v>2026年4月期（第23期）</v>
      </c>
      <c r="N474" s="1" t="n">
        <f aca="false">IF($A474="","",SUMIFS(物件収支!$D:$D,物件収支!$A:$A,$A474,物件収支!$C:$C,$M474))</f>
        <v>6</v>
      </c>
      <c r="O474" s="1" t="n">
        <f aca="false">IF($A474="","",SUMIFS(物件収支!$F:$F,物件収支!$A:$A,$A474,物件収支!$C:$C,$M474))</f>
        <v>92000</v>
      </c>
      <c r="P474" s="1" t="n">
        <f aca="false">IF($A474="","",SUMIFS(物件収支!$I:$I,物件収支!$A:$A,$A474,物件収支!$C:$C,$M474))</f>
        <v>0</v>
      </c>
      <c r="Q474" s="1" t="n">
        <f aca="false">IF($A474="","",SUMIFS(物件収支!$O:$O,物件収支!$A:$A,$A474,物件収支!$C:$C,$M474))</f>
        <v>0</v>
      </c>
      <c r="R474" s="1" t="str">
        <f aca="false">IF($A474="","",IF(P474=0,"",O474-P474))</f>
        <v/>
      </c>
      <c r="S474" s="1" t="str">
        <f aca="false">IF($A474="","",IF(R474="","",R474+Q474))</f>
        <v/>
      </c>
      <c r="T474" s="1" t="str">
        <f aca="false">IF($A474="","",IF(OR(S474="",N474&lt;=0),"",S474/1000*12/N474))</f>
        <v/>
      </c>
      <c r="U474" s="1" t="str">
        <f aca="false">IF($A474="","",IF(OR(T474="",J474=0,J474=""),"",T474/J474))</f>
        <v/>
      </c>
      <c r="V474" s="1" t="str">
        <f aca="false">IF($A474="","",IF(OR(R474="",N474&lt;=0,J474=0,J474=""),"",(R474/1000*12/N474)/J474))</f>
        <v/>
      </c>
      <c r="W474" s="1" t="str">
        <f aca="false">IF($A474="","",IF(OR(T474="",K474=0,K474=""),"",T474/K474))</f>
        <v/>
      </c>
      <c r="X474" s="1" t="n">
        <f aca="false">IF($A474="","",IF(OR(N474&lt;=0,I474=0,I474="",O474=0),"",O474*1000/(I474*0.3025)/N474))</f>
        <v>5566.46825353607</v>
      </c>
      <c r="Y474" s="1" t="str">
        <f aca="false">IF($A474="","",IF(OR(O474=0,O474="",P474=0),"",P474/O474))</f>
        <v/>
      </c>
      <c r="Z474" s="1" t="str">
        <f aca="false">IF($A474="","",IFERROR(INDEX(物件収支!$E:$E,MATCH($A474,物件収支!$A:$A,0)),""))</f>
        <v>開示（物件別・収益のみ・百万円単位）</v>
      </c>
    </row>
    <row r="475" customFormat="false" ht="15" hidden="false" customHeight="true" outlineLevel="0" collapsed="false">
      <c r="A475" s="1" t="str">
        <f aca="false">IF(物件マスタ!A475="","",物件マスタ!A475)</f>
        <v>SHR-025</v>
      </c>
      <c r="B475" s="1" t="str">
        <f aca="false">IF($A475="","",物件マスタ!B475)</f>
        <v>SHR</v>
      </c>
      <c r="C475" s="1" t="str">
        <f aca="false">IF($A475="","",IFERROR(INDEX(法人マスタ!$C:$C,MATCH($B475,法人マスタ!$A:$A,0)),""))</f>
        <v>積水ハウス・リート投資法人</v>
      </c>
      <c r="D475" s="1" t="str">
        <f aca="false">IF($A475="","",物件マスタ!C475)</f>
        <v>プライムメゾン武蔵野の杜</v>
      </c>
      <c r="E475" s="1" t="str">
        <f aca="false">IF($A475="","",物件マスタ!H475)</f>
        <v>東京周辺都市部</v>
      </c>
      <c r="F475" s="53" t="n">
        <f aca="false">IF($A475="","",物件マスタ!P475)</f>
        <v>39417</v>
      </c>
      <c r="G475" s="1" t="n">
        <f aca="false">IF($A475="","",物件マスタ!Q475)</f>
        <v>18.7</v>
      </c>
      <c r="H475" s="1" t="n">
        <f aca="false">IF($A475="","",物件マスタ!L475)</f>
        <v>0</v>
      </c>
      <c r="I475" s="1" t="n">
        <f aca="false">IF($A475="","",物件マスタ!M475)</f>
        <v>3924.58</v>
      </c>
      <c r="J475" s="1" t="n">
        <f aca="false">IF($A475="","",物件マスタ!S475)</f>
        <v>1850</v>
      </c>
      <c r="K475" s="1" t="n">
        <f aca="false">IF($A475="","",物件マスタ!U475)</f>
        <v>2580</v>
      </c>
      <c r="L475" s="1" t="n">
        <f aca="false">IF($A475="","",物件マスタ!W475)</f>
        <v>1</v>
      </c>
      <c r="M475" s="1" t="str">
        <f aca="false">IF($A475="","",IFERROR(INDEX(法人マスタ!$H:$H,MATCH($B475,法人マスタ!$A:$A,0)),""))</f>
        <v>2026年4月期（第23期）</v>
      </c>
      <c r="N475" s="1" t="n">
        <f aca="false">IF($A475="","",SUMIFS(物件収支!$D:$D,物件収支!$A:$A,$A475,物件収支!$C:$C,$M475))</f>
        <v>6</v>
      </c>
      <c r="O475" s="1" t="n">
        <f aca="false">IF($A475="","",SUMIFS(物件収支!$F:$F,物件収支!$A:$A,$A475,物件収支!$C:$C,$M475))</f>
        <v>69000</v>
      </c>
      <c r="P475" s="1" t="n">
        <f aca="false">IF($A475="","",SUMIFS(物件収支!$I:$I,物件収支!$A:$A,$A475,物件収支!$C:$C,$M475))</f>
        <v>0</v>
      </c>
      <c r="Q475" s="1" t="n">
        <f aca="false">IF($A475="","",SUMIFS(物件収支!$O:$O,物件収支!$A:$A,$A475,物件収支!$C:$C,$M475))</f>
        <v>0</v>
      </c>
      <c r="R475" s="1" t="str">
        <f aca="false">IF($A475="","",IF(P475=0,"",O475-P475))</f>
        <v/>
      </c>
      <c r="S475" s="1" t="str">
        <f aca="false">IF($A475="","",IF(R475="","",R475+Q475))</f>
        <v/>
      </c>
      <c r="T475" s="1" t="str">
        <f aca="false">IF($A475="","",IF(OR(S475="",N475&lt;=0),"",S475/1000*12/N475))</f>
        <v/>
      </c>
      <c r="U475" s="1" t="str">
        <f aca="false">IF($A475="","",IF(OR(T475="",J475=0,J475=""),"",T475/J475))</f>
        <v/>
      </c>
      <c r="V475" s="1" t="str">
        <f aca="false">IF($A475="","",IF(OR(R475="",N475&lt;=0,J475=0,J475=""),"",(R475/1000*12/N475)/J475))</f>
        <v/>
      </c>
      <c r="W475" s="1" t="str">
        <f aca="false">IF($A475="","",IF(OR(T475="",K475=0,K475=""),"",T475/K475))</f>
        <v/>
      </c>
      <c r="X475" s="1" t="n">
        <f aca="false">IF($A475="","",IF(OR(N475&lt;=0,I475=0,I475="",O475=0),"",O475*1000/(I475*0.3025)/N475))</f>
        <v>9686.77640043517</v>
      </c>
      <c r="Y475" s="1" t="str">
        <f aca="false">IF($A475="","",IF(OR(O475=0,O475="",P475=0),"",P475/O475))</f>
        <v/>
      </c>
      <c r="Z475" s="1" t="str">
        <f aca="false">IF($A475="","",IFERROR(INDEX(物件収支!$E:$E,MATCH($A475,物件収支!$A:$A,0)),""))</f>
        <v>開示（物件別・収益のみ・百万円単位）</v>
      </c>
    </row>
    <row r="476" customFormat="false" ht="15" hidden="false" customHeight="true" outlineLevel="0" collapsed="false">
      <c r="A476" s="1" t="str">
        <f aca="false">IF(物件マスタ!A476="","",物件マスタ!A476)</f>
        <v>SHR-026</v>
      </c>
      <c r="B476" s="1" t="str">
        <f aca="false">IF($A476="","",物件マスタ!B476)</f>
        <v>SHR</v>
      </c>
      <c r="C476" s="1" t="str">
        <f aca="false">IF($A476="","",IFERROR(INDEX(法人マスタ!$C:$C,MATCH($B476,法人マスタ!$A:$A,0)),""))</f>
        <v>積水ハウス・リート投資法人</v>
      </c>
      <c r="D476" s="1" t="str">
        <f aca="false">IF($A476="","",物件マスタ!C476)</f>
        <v>プライムメゾン東桜</v>
      </c>
      <c r="E476" s="1" t="str">
        <f aca="false">IF($A476="","",物件マスタ!H476)</f>
        <v>（期中譲渡済）</v>
      </c>
      <c r="F476" s="1" t="n">
        <f aca="false">IF($A476="","",物件マスタ!P476)</f>
        <v>0</v>
      </c>
      <c r="G476" s="1" t="str">
        <f aca="false">IF($A476="","",物件マスタ!Q476)</f>
        <v/>
      </c>
      <c r="H476" s="1" t="n">
        <f aca="false">IF($A476="","",物件マスタ!L476)</f>
        <v>0</v>
      </c>
      <c r="I476" s="1" t="n">
        <f aca="false">IF($A476="","",物件マスタ!M476)</f>
        <v>0</v>
      </c>
      <c r="J476" s="1" t="n">
        <f aca="false">IF($A476="","",物件マスタ!S476)</f>
        <v>0</v>
      </c>
      <c r="K476" s="1" t="n">
        <f aca="false">IF($A476="","",物件マスタ!U476)</f>
        <v>0</v>
      </c>
      <c r="L476" s="1" t="n">
        <f aca="false">IF($A476="","",物件マスタ!W476)</f>
        <v>0</v>
      </c>
      <c r="M476" s="1" t="str">
        <f aca="false">IF($A476="","",IFERROR(INDEX(法人マスタ!$H:$H,MATCH($B476,法人マスタ!$A:$A,0)),""))</f>
        <v>2026年4月期（第23期）</v>
      </c>
      <c r="N476" s="1" t="n">
        <f aca="false">IF($A476="","",SUMIFS(物件収支!$D:$D,物件収支!$A:$A,$A476,物件収支!$C:$C,$M476))</f>
        <v>6</v>
      </c>
      <c r="O476" s="1" t="n">
        <f aca="false">IF($A476="","",SUMIFS(物件収支!$F:$F,物件収支!$A:$A,$A476,物件収支!$C:$C,$M476))</f>
        <v>25000</v>
      </c>
      <c r="P476" s="1" t="n">
        <f aca="false">IF($A476="","",SUMIFS(物件収支!$I:$I,物件収支!$A:$A,$A476,物件収支!$C:$C,$M476))</f>
        <v>0</v>
      </c>
      <c r="Q476" s="1" t="n">
        <f aca="false">IF($A476="","",SUMIFS(物件収支!$O:$O,物件収支!$A:$A,$A476,物件収支!$C:$C,$M476))</f>
        <v>0</v>
      </c>
      <c r="R476" s="1" t="str">
        <f aca="false">IF($A476="","",IF(P476=0,"",O476-P476))</f>
        <v/>
      </c>
      <c r="S476" s="1" t="str">
        <f aca="false">IF($A476="","",IF(R476="","",R476+Q476))</f>
        <v/>
      </c>
      <c r="T476" s="1" t="str">
        <f aca="false">IF($A476="","",IF(OR(S476="",N476&lt;=0),"",S476/1000*12/N476))</f>
        <v/>
      </c>
      <c r="U476" s="1" t="str">
        <f aca="false">IF($A476="","",IF(OR(T476="",J476=0,J476=""),"",T476/J476))</f>
        <v/>
      </c>
      <c r="V476" s="1" t="str">
        <f aca="false">IF($A476="","",IF(OR(R476="",N476&lt;=0,J476=0,J476=""),"",(R476/1000*12/N476)/J476))</f>
        <v/>
      </c>
      <c r="W476" s="1" t="str">
        <f aca="false">IF($A476="","",IF(OR(T476="",K476=0,K476=""),"",T476/K476))</f>
        <v/>
      </c>
      <c r="X476" s="1" t="str">
        <f aca="false">IF($A476="","",IF(OR(N476&lt;=0,I476=0,I476="",O476=0),"",O476*1000/(I476*0.3025)/N476))</f>
        <v/>
      </c>
      <c r="Y476" s="1" t="str">
        <f aca="false">IF($A476="","",IF(OR(O476=0,O476="",P476=0),"",P476/O476))</f>
        <v/>
      </c>
      <c r="Z476" s="1" t="str">
        <f aca="false">IF($A476="","",IFERROR(INDEX(物件収支!$E:$E,MATCH($A476,物件収支!$A:$A,0)),""))</f>
        <v>開示（期中譲渡・収益のみ・百万円単位）</v>
      </c>
    </row>
    <row r="477" customFormat="false" ht="15" hidden="false" customHeight="true" outlineLevel="0" collapsed="false">
      <c r="A477" s="1" t="str">
        <f aca="false">IF(物件マスタ!A477="","",物件マスタ!A477)</f>
        <v>SHR-027</v>
      </c>
      <c r="B477" s="1" t="str">
        <f aca="false">IF($A477="","",物件マスタ!B477)</f>
        <v>SHR</v>
      </c>
      <c r="C477" s="1" t="str">
        <f aca="false">IF($A477="","",IFERROR(INDEX(法人マスタ!$C:$C,MATCH($B477,法人マスタ!$A:$A,0)),""))</f>
        <v>積水ハウス・リート投資法人</v>
      </c>
      <c r="D477" s="1" t="str">
        <f aca="false">IF($A477="","",物件マスタ!C477)</f>
        <v>プライムメゾン萱場公園</v>
      </c>
      <c r="E477" s="1" t="str">
        <f aca="false">IF($A477="","",物件マスタ!H477)</f>
        <v>その他3大都市圏</v>
      </c>
      <c r="F477" s="53" t="n">
        <f aca="false">IF($A477="","",物件マスタ!P477)</f>
        <v>39022</v>
      </c>
      <c r="G477" s="1" t="n">
        <f aca="false">IF($A477="","",物件マスタ!Q477)</f>
        <v>19.8</v>
      </c>
      <c r="H477" s="1" t="n">
        <f aca="false">IF($A477="","",物件マスタ!L477)</f>
        <v>0</v>
      </c>
      <c r="I477" s="1" t="n">
        <f aca="false">IF($A477="","",物件マスタ!M477)</f>
        <v>2163.98</v>
      </c>
      <c r="J477" s="1" t="n">
        <f aca="false">IF($A477="","",物件マスタ!S477)</f>
        <v>801</v>
      </c>
      <c r="K477" s="1" t="n">
        <f aca="false">IF($A477="","",物件マスタ!U477)</f>
        <v>980</v>
      </c>
      <c r="L477" s="1" t="n">
        <f aca="false">IF($A477="","",物件マスタ!W477)</f>
        <v>0.965</v>
      </c>
      <c r="M477" s="1" t="str">
        <f aca="false">IF($A477="","",IFERROR(INDEX(法人マスタ!$H:$H,MATCH($B477,法人マスタ!$A:$A,0)),""))</f>
        <v>2026年4月期（第23期）</v>
      </c>
      <c r="N477" s="1" t="n">
        <f aca="false">IF($A477="","",SUMIFS(物件収支!$D:$D,物件収支!$A:$A,$A477,物件収支!$C:$C,$M477))</f>
        <v>6</v>
      </c>
      <c r="O477" s="1" t="n">
        <f aca="false">IF($A477="","",SUMIFS(物件収支!$F:$F,物件収支!$A:$A,$A477,物件収支!$C:$C,$M477))</f>
        <v>30000</v>
      </c>
      <c r="P477" s="1" t="n">
        <f aca="false">IF($A477="","",SUMIFS(物件収支!$I:$I,物件収支!$A:$A,$A477,物件収支!$C:$C,$M477))</f>
        <v>0</v>
      </c>
      <c r="Q477" s="1" t="n">
        <f aca="false">IF($A477="","",SUMIFS(物件収支!$O:$O,物件収支!$A:$A,$A477,物件収支!$C:$C,$M477))</f>
        <v>0</v>
      </c>
      <c r="R477" s="1" t="str">
        <f aca="false">IF($A477="","",IF(P477=0,"",O477-P477))</f>
        <v/>
      </c>
      <c r="S477" s="1" t="str">
        <f aca="false">IF($A477="","",IF(R477="","",R477+Q477))</f>
        <v/>
      </c>
      <c r="T477" s="1" t="str">
        <f aca="false">IF($A477="","",IF(OR(S477="",N477&lt;=0),"",S477/1000*12/N477))</f>
        <v/>
      </c>
      <c r="U477" s="1" t="str">
        <f aca="false">IF($A477="","",IF(OR(T477="",J477=0,J477=""),"",T477/J477))</f>
        <v/>
      </c>
      <c r="V477" s="1" t="str">
        <f aca="false">IF($A477="","",IF(OR(R477="",N477&lt;=0,J477=0,J477=""),"",(R477/1000*12/N477)/J477))</f>
        <v/>
      </c>
      <c r="W477" s="1" t="str">
        <f aca="false">IF($A477="","",IF(OR(T477="",K477=0,K477=""),"",T477/K477))</f>
        <v/>
      </c>
      <c r="X477" s="1" t="n">
        <f aca="false">IF($A477="","",IF(OR(N477&lt;=0,I477=0,I477="",O477=0),"",O477*1000/(I477*0.3025)/N477))</f>
        <v>7638.20627724596</v>
      </c>
      <c r="Y477" s="1" t="str">
        <f aca="false">IF($A477="","",IF(OR(O477=0,O477="",P477=0),"",P477/O477))</f>
        <v/>
      </c>
      <c r="Z477" s="1" t="str">
        <f aca="false">IF($A477="","",IFERROR(INDEX(物件収支!$E:$E,MATCH($A477,物件収支!$A:$A,0)),""))</f>
        <v>開示（物件別・収益のみ・百万円単位）</v>
      </c>
    </row>
    <row r="478" customFormat="false" ht="15" hidden="false" customHeight="true" outlineLevel="0" collapsed="false">
      <c r="A478" s="1" t="str">
        <f aca="false">IF(物件マスタ!A478="","",物件マスタ!A478)</f>
        <v>SHR-028</v>
      </c>
      <c r="B478" s="1" t="str">
        <f aca="false">IF($A478="","",物件マスタ!B478)</f>
        <v>SHR</v>
      </c>
      <c r="C478" s="1" t="str">
        <f aca="false">IF($A478="","",IFERROR(INDEX(法人マスタ!$C:$C,MATCH($B478,法人マスタ!$A:$A,0)),""))</f>
        <v>積水ハウス・リート投資法人</v>
      </c>
      <c r="D478" s="1" t="str">
        <f aca="false">IF($A478="","",物件マスタ!C478)</f>
        <v>エスティメゾン三軒茶屋Ⅱ</v>
      </c>
      <c r="E478" s="1" t="str">
        <f aca="false">IF($A478="","",物件マスタ!H478)</f>
        <v>その他東京23区</v>
      </c>
      <c r="F478" s="53" t="n">
        <f aca="false">IF($A478="","",物件マスタ!P478)</f>
        <v>39448</v>
      </c>
      <c r="G478" s="1" t="n">
        <f aca="false">IF($A478="","",物件マスタ!Q478)</f>
        <v>18.6</v>
      </c>
      <c r="H478" s="1" t="n">
        <f aca="false">IF($A478="","",物件マスタ!L478)</f>
        <v>0</v>
      </c>
      <c r="I478" s="1" t="n">
        <f aca="false">IF($A478="","",物件マスタ!M478)</f>
        <v>894.64</v>
      </c>
      <c r="J478" s="1" t="n">
        <f aca="false">IF($A478="","",物件マスタ!S478)</f>
        <v>785</v>
      </c>
      <c r="K478" s="1" t="n">
        <f aca="false">IF($A478="","",物件マスタ!U478)</f>
        <v>1010</v>
      </c>
      <c r="L478" s="1" t="n">
        <f aca="false">IF($A478="","",物件マスタ!W478)</f>
        <v>0.94</v>
      </c>
      <c r="M478" s="1" t="str">
        <f aca="false">IF($A478="","",IFERROR(INDEX(法人マスタ!$H:$H,MATCH($B478,法人マスタ!$A:$A,0)),""))</f>
        <v>2026年4月期（第23期）</v>
      </c>
      <c r="N478" s="1" t="n">
        <f aca="false">IF($A478="","",SUMIFS(物件収支!$D:$D,物件収支!$A:$A,$A478,物件収支!$C:$C,$M478))</f>
        <v>6</v>
      </c>
      <c r="O478" s="1" t="n">
        <f aca="false">IF($A478="","",SUMIFS(物件収支!$F:$F,物件収支!$A:$A,$A478,物件収支!$C:$C,$M478))</f>
        <v>25000</v>
      </c>
      <c r="P478" s="1" t="n">
        <f aca="false">IF($A478="","",SUMIFS(物件収支!$I:$I,物件収支!$A:$A,$A478,物件収支!$C:$C,$M478))</f>
        <v>0</v>
      </c>
      <c r="Q478" s="1" t="n">
        <f aca="false">IF($A478="","",SUMIFS(物件収支!$O:$O,物件収支!$A:$A,$A478,物件収支!$C:$C,$M478))</f>
        <v>0</v>
      </c>
      <c r="R478" s="1" t="str">
        <f aca="false">IF($A478="","",IF(P478=0,"",O478-P478))</f>
        <v/>
      </c>
      <c r="S478" s="1" t="str">
        <f aca="false">IF($A478="","",IF(R478="","",R478+Q478))</f>
        <v/>
      </c>
      <c r="T478" s="1" t="str">
        <f aca="false">IF($A478="","",IF(OR(S478="",N478&lt;=0),"",S478/1000*12/N478))</f>
        <v/>
      </c>
      <c r="U478" s="1" t="str">
        <f aca="false">IF($A478="","",IF(OR(T478="",J478=0,J478=""),"",T478/J478))</f>
        <v/>
      </c>
      <c r="V478" s="1" t="str">
        <f aca="false">IF($A478="","",IF(OR(R478="",N478&lt;=0,J478=0,J478=""),"",(R478/1000*12/N478)/J478))</f>
        <v/>
      </c>
      <c r="W478" s="1" t="str">
        <f aca="false">IF($A478="","",IF(OR(T478="",K478=0,K478=""),"",T478/K478))</f>
        <v/>
      </c>
      <c r="X478" s="1" t="n">
        <f aca="false">IF($A478="","",IF(OR(N478&lt;=0,I478=0,I478="",O478=0),"",O478*1000/(I478*0.3025)/N478))</f>
        <v>15396.2540051815</v>
      </c>
      <c r="Y478" s="1" t="str">
        <f aca="false">IF($A478="","",IF(OR(O478=0,O478="",P478=0),"",P478/O478))</f>
        <v/>
      </c>
      <c r="Z478" s="1" t="str">
        <f aca="false">IF($A478="","",IFERROR(INDEX(物件収支!$E:$E,MATCH($A478,物件収支!$A:$A,0)),""))</f>
        <v>開示（物件別・収益のみ・百万円単位）</v>
      </c>
    </row>
    <row r="479" customFormat="false" ht="15" hidden="false" customHeight="true" outlineLevel="0" collapsed="false">
      <c r="A479" s="1" t="str">
        <f aca="false">IF(物件マスタ!A479="","",物件マスタ!A479)</f>
        <v>SHR-029</v>
      </c>
      <c r="B479" s="1" t="str">
        <f aca="false">IF($A479="","",物件マスタ!B479)</f>
        <v>SHR</v>
      </c>
      <c r="C479" s="1" t="str">
        <f aca="false">IF($A479="","",IFERROR(INDEX(法人マスタ!$C:$C,MATCH($B479,法人マスタ!$A:$A,0)),""))</f>
        <v>積水ハウス・リート投資法人</v>
      </c>
      <c r="D479" s="1" t="str">
        <f aca="false">IF($A479="","",物件マスタ!C479)</f>
        <v>エスティメゾン板橋Ｃ６</v>
      </c>
      <c r="E479" s="1" t="str">
        <f aca="false">IF($A479="","",物件マスタ!H479)</f>
        <v>その他東京23区</v>
      </c>
      <c r="F479" s="53" t="n">
        <f aca="false">IF($A479="","",物件マスタ!P479)</f>
        <v>39508</v>
      </c>
      <c r="G479" s="1" t="n">
        <f aca="false">IF($A479="","",物件マスタ!Q479)</f>
        <v>18.4</v>
      </c>
      <c r="H479" s="1" t="n">
        <f aca="false">IF($A479="","",物件マスタ!L479)</f>
        <v>0</v>
      </c>
      <c r="I479" s="1" t="n">
        <f aca="false">IF($A479="","",物件マスタ!M479)</f>
        <v>4036.66</v>
      </c>
      <c r="J479" s="1" t="n">
        <f aca="false">IF($A479="","",物件マスタ!S479)</f>
        <v>2560</v>
      </c>
      <c r="K479" s="1" t="n">
        <f aca="false">IF($A479="","",物件マスタ!U479)</f>
        <v>3190</v>
      </c>
      <c r="L479" s="1" t="n">
        <f aca="false">IF($A479="","",物件マスタ!W479)</f>
        <v>0.983</v>
      </c>
      <c r="M479" s="1" t="str">
        <f aca="false">IF($A479="","",IFERROR(INDEX(法人マスタ!$H:$H,MATCH($B479,法人マスタ!$A:$A,0)),""))</f>
        <v>2026年4月期（第23期）</v>
      </c>
      <c r="N479" s="1" t="n">
        <f aca="false">IF($A479="","",SUMIFS(物件収支!$D:$D,物件収支!$A:$A,$A479,物件収支!$C:$C,$M479))</f>
        <v>6</v>
      </c>
      <c r="O479" s="1" t="n">
        <f aca="false">IF($A479="","",SUMIFS(物件収支!$F:$F,物件収支!$A:$A,$A479,物件収支!$C:$C,$M479))</f>
        <v>86000</v>
      </c>
      <c r="P479" s="1" t="n">
        <f aca="false">IF($A479="","",SUMIFS(物件収支!$I:$I,物件収支!$A:$A,$A479,物件収支!$C:$C,$M479))</f>
        <v>0</v>
      </c>
      <c r="Q479" s="1" t="n">
        <f aca="false">IF($A479="","",SUMIFS(物件収支!$O:$O,物件収支!$A:$A,$A479,物件収支!$C:$C,$M479))</f>
        <v>0</v>
      </c>
      <c r="R479" s="1" t="str">
        <f aca="false">IF($A479="","",IF(P479=0,"",O479-P479))</f>
        <v/>
      </c>
      <c r="S479" s="1" t="str">
        <f aca="false">IF($A479="","",IF(R479="","",R479+Q479))</f>
        <v/>
      </c>
      <c r="T479" s="1" t="str">
        <f aca="false">IF($A479="","",IF(OR(S479="",N479&lt;=0),"",S479/1000*12/N479))</f>
        <v/>
      </c>
      <c r="U479" s="1" t="str">
        <f aca="false">IF($A479="","",IF(OR(T479="",J479=0,J479=""),"",T479/J479))</f>
        <v/>
      </c>
      <c r="V479" s="1" t="str">
        <f aca="false">IF($A479="","",IF(OR(R479="",N479&lt;=0,J479=0,J479=""),"",(R479/1000*12/N479)/J479))</f>
        <v/>
      </c>
      <c r="W479" s="1" t="str">
        <f aca="false">IF($A479="","",IF(OR(T479="",K479=0,K479=""),"",T479/K479))</f>
        <v/>
      </c>
      <c r="X479" s="1" t="n">
        <f aca="false">IF($A479="","",IF(OR(N479&lt;=0,I479=0,I479="",O479=0),"",O479*1000/(I479*0.3025)/N479))</f>
        <v>11738.1498838626</v>
      </c>
      <c r="Y479" s="1" t="str">
        <f aca="false">IF($A479="","",IF(OR(O479=0,O479="",P479=0),"",P479/O479))</f>
        <v/>
      </c>
      <c r="Z479" s="1" t="str">
        <f aca="false">IF($A479="","",IFERROR(INDEX(物件収支!$E:$E,MATCH($A479,物件収支!$A:$A,0)),""))</f>
        <v>開示（物件別・収益のみ・百万円単位）</v>
      </c>
    </row>
    <row r="480" customFormat="false" ht="15" hidden="false" customHeight="true" outlineLevel="0" collapsed="false">
      <c r="A480" s="1" t="str">
        <f aca="false">IF(物件マスタ!A480="","",物件マスタ!A480)</f>
        <v>SHR-030</v>
      </c>
      <c r="B480" s="1" t="str">
        <f aca="false">IF($A480="","",物件マスタ!B480)</f>
        <v>SHR</v>
      </c>
      <c r="C480" s="1" t="str">
        <f aca="false">IF($A480="","",IFERROR(INDEX(法人マスタ!$C:$C,MATCH($B480,法人マスタ!$A:$A,0)),""))</f>
        <v>積水ハウス・リート投資法人</v>
      </c>
      <c r="D480" s="1" t="str">
        <f aca="false">IF($A480="","",物件マスタ!C480)</f>
        <v>シャーメゾンステージ博多</v>
      </c>
      <c r="E480" s="1" t="str">
        <f aca="false">IF($A480="","",物件マスタ!H480)</f>
        <v>3大都市圏以外の政令市</v>
      </c>
      <c r="F480" s="53" t="n">
        <f aca="false">IF($A480="","",物件マスタ!P480)</f>
        <v>38353</v>
      </c>
      <c r="G480" s="1" t="n">
        <f aca="false">IF($A480="","",物件マスタ!Q480)</f>
        <v>21.6</v>
      </c>
      <c r="H480" s="1" t="n">
        <f aca="false">IF($A480="","",物件マスタ!L480)</f>
        <v>0</v>
      </c>
      <c r="I480" s="1" t="n">
        <f aca="false">IF($A480="","",物件マスタ!M480)</f>
        <v>9614.8</v>
      </c>
      <c r="J480" s="1" t="n">
        <f aca="false">IF($A480="","",物件マスタ!S480)</f>
        <v>2360</v>
      </c>
      <c r="K480" s="1" t="n">
        <f aca="false">IF($A480="","",物件マスタ!U480)</f>
        <v>2640</v>
      </c>
      <c r="L480" s="1" t="n">
        <f aca="false">IF($A480="","",物件マスタ!W480)</f>
        <v>0.993</v>
      </c>
      <c r="M480" s="1" t="str">
        <f aca="false">IF($A480="","",IFERROR(INDEX(法人マスタ!$H:$H,MATCH($B480,法人マスタ!$A:$A,0)),""))</f>
        <v>2026年4月期（第23期）</v>
      </c>
      <c r="N480" s="1" t="n">
        <f aca="false">IF($A480="","",SUMIFS(物件収支!$D:$D,物件収支!$A:$A,$A480,物件収支!$C:$C,$M480))</f>
        <v>6</v>
      </c>
      <c r="O480" s="1" t="n">
        <f aca="false">IF($A480="","",SUMIFS(物件収支!$F:$F,物件収支!$A:$A,$A480,物件収支!$C:$C,$M480))</f>
        <v>116000</v>
      </c>
      <c r="P480" s="1" t="n">
        <f aca="false">IF($A480="","",SUMIFS(物件収支!$I:$I,物件収支!$A:$A,$A480,物件収支!$C:$C,$M480))</f>
        <v>0</v>
      </c>
      <c r="Q480" s="1" t="n">
        <f aca="false">IF($A480="","",SUMIFS(物件収支!$O:$O,物件収支!$A:$A,$A480,物件収支!$C:$C,$M480))</f>
        <v>0</v>
      </c>
      <c r="R480" s="1" t="str">
        <f aca="false">IF($A480="","",IF(P480=0,"",O480-P480))</f>
        <v/>
      </c>
      <c r="S480" s="1" t="str">
        <f aca="false">IF($A480="","",IF(R480="","",R480+Q480))</f>
        <v/>
      </c>
      <c r="T480" s="1" t="str">
        <f aca="false">IF($A480="","",IF(OR(S480="",N480&lt;=0),"",S480/1000*12/N480))</f>
        <v/>
      </c>
      <c r="U480" s="1" t="str">
        <f aca="false">IF($A480="","",IF(OR(T480="",J480=0,J480=""),"",T480/J480))</f>
        <v/>
      </c>
      <c r="V480" s="1" t="str">
        <f aca="false">IF($A480="","",IF(OR(R480="",N480&lt;=0,J480=0,J480=""),"",(R480/1000*12/N480)/J480))</f>
        <v/>
      </c>
      <c r="W480" s="1" t="str">
        <f aca="false">IF($A480="","",IF(OR(T480="",K480=0,K480=""),"",T480/K480))</f>
        <v/>
      </c>
      <c r="X480" s="1" t="n">
        <f aca="false">IF($A480="","",IF(OR(N480&lt;=0,I480=0,I480="",O480=0),"",O480*1000/(I480*0.3025)/N480))</f>
        <v>6647.23610787822</v>
      </c>
      <c r="Y480" s="1" t="str">
        <f aca="false">IF($A480="","",IF(OR(O480=0,O480="",P480=0),"",P480/O480))</f>
        <v/>
      </c>
      <c r="Z480" s="1" t="str">
        <f aca="false">IF($A480="","",IFERROR(INDEX(物件収支!$E:$E,MATCH($A480,物件収支!$A:$A,0)),""))</f>
        <v>開示（物件別・収益のみ・百万円単位）</v>
      </c>
    </row>
    <row r="481" customFormat="false" ht="15" hidden="false" customHeight="true" outlineLevel="0" collapsed="false">
      <c r="A481" s="1" t="str">
        <f aca="false">IF(物件マスタ!A481="","",物件マスタ!A481)</f>
        <v>SHR-031</v>
      </c>
      <c r="B481" s="1" t="str">
        <f aca="false">IF($A481="","",物件マスタ!B481)</f>
        <v>SHR</v>
      </c>
      <c r="C481" s="1" t="str">
        <f aca="false">IF($A481="","",IFERROR(INDEX(法人マスタ!$C:$C,MATCH($B481,法人マスタ!$A:$A,0)),""))</f>
        <v>積水ハウス・リート投資法人</v>
      </c>
      <c r="D481" s="1" t="str">
        <f aca="false">IF($A481="","",物件マスタ!C481)</f>
        <v>エスティメゾン錦糸町</v>
      </c>
      <c r="E481" s="1" t="str">
        <f aca="false">IF($A481="","",物件マスタ!H481)</f>
        <v>（期中譲渡済）</v>
      </c>
      <c r="F481" s="1" t="n">
        <f aca="false">IF($A481="","",物件マスタ!P481)</f>
        <v>0</v>
      </c>
      <c r="G481" s="1" t="str">
        <f aca="false">IF($A481="","",物件マスタ!Q481)</f>
        <v/>
      </c>
      <c r="H481" s="1" t="n">
        <f aca="false">IF($A481="","",物件マスタ!L481)</f>
        <v>0</v>
      </c>
      <c r="I481" s="1" t="n">
        <f aca="false">IF($A481="","",物件マスタ!M481)</f>
        <v>0</v>
      </c>
      <c r="J481" s="1" t="n">
        <f aca="false">IF($A481="","",物件マスタ!S481)</f>
        <v>0</v>
      </c>
      <c r="K481" s="1" t="n">
        <f aca="false">IF($A481="","",物件マスタ!U481)</f>
        <v>0</v>
      </c>
      <c r="L481" s="1" t="n">
        <f aca="false">IF($A481="","",物件マスタ!W481)</f>
        <v>0</v>
      </c>
      <c r="M481" s="1" t="str">
        <f aca="false">IF($A481="","",IFERROR(INDEX(法人マスタ!$H:$H,MATCH($B481,法人マスタ!$A:$A,0)),""))</f>
        <v>2026年4月期（第23期）</v>
      </c>
      <c r="N481" s="1" t="n">
        <f aca="false">IF($A481="","",SUMIFS(物件収支!$D:$D,物件収支!$A:$A,$A481,物件収支!$C:$C,$M481))</f>
        <v>6</v>
      </c>
      <c r="O481" s="1" t="n">
        <f aca="false">IF($A481="","",SUMIFS(物件収支!$F:$F,物件収支!$A:$A,$A481,物件収支!$C:$C,$M481))</f>
        <v>18000</v>
      </c>
      <c r="P481" s="1" t="n">
        <f aca="false">IF($A481="","",SUMIFS(物件収支!$I:$I,物件収支!$A:$A,$A481,物件収支!$C:$C,$M481))</f>
        <v>0</v>
      </c>
      <c r="Q481" s="1" t="n">
        <f aca="false">IF($A481="","",SUMIFS(物件収支!$O:$O,物件収支!$A:$A,$A481,物件収支!$C:$C,$M481))</f>
        <v>0</v>
      </c>
      <c r="R481" s="1" t="str">
        <f aca="false">IF($A481="","",IF(P481=0,"",O481-P481))</f>
        <v/>
      </c>
      <c r="S481" s="1" t="str">
        <f aca="false">IF($A481="","",IF(R481="","",R481+Q481))</f>
        <v/>
      </c>
      <c r="T481" s="1" t="str">
        <f aca="false">IF($A481="","",IF(OR(S481="",N481&lt;=0),"",S481/1000*12/N481))</f>
        <v/>
      </c>
      <c r="U481" s="1" t="str">
        <f aca="false">IF($A481="","",IF(OR(T481="",J481=0,J481=""),"",T481/J481))</f>
        <v/>
      </c>
      <c r="V481" s="1" t="str">
        <f aca="false">IF($A481="","",IF(OR(R481="",N481&lt;=0,J481=0,J481=""),"",(R481/1000*12/N481)/J481))</f>
        <v/>
      </c>
      <c r="W481" s="1" t="str">
        <f aca="false">IF($A481="","",IF(OR(T481="",K481=0,K481=""),"",T481/K481))</f>
        <v/>
      </c>
      <c r="X481" s="1" t="str">
        <f aca="false">IF($A481="","",IF(OR(N481&lt;=0,I481=0,I481="",O481=0),"",O481*1000/(I481*0.3025)/N481))</f>
        <v/>
      </c>
      <c r="Y481" s="1" t="str">
        <f aca="false">IF($A481="","",IF(OR(O481=0,O481="",P481=0),"",P481/O481))</f>
        <v/>
      </c>
      <c r="Z481" s="1" t="str">
        <f aca="false">IF($A481="","",IFERROR(INDEX(物件収支!$E:$E,MATCH($A481,物件収支!$A:$A,0)),""))</f>
        <v>開示（期中譲渡・収益のみ・百万円単位）</v>
      </c>
    </row>
    <row r="482" customFormat="false" ht="15" hidden="false" customHeight="true" outlineLevel="0" collapsed="false">
      <c r="A482" s="1" t="str">
        <f aca="false">IF(物件マスタ!A482="","",物件マスタ!A482)</f>
        <v>SHR-032</v>
      </c>
      <c r="B482" s="1" t="str">
        <f aca="false">IF($A482="","",物件マスタ!B482)</f>
        <v>SHR</v>
      </c>
      <c r="C482" s="1" t="str">
        <f aca="false">IF($A482="","",IFERROR(INDEX(法人マスタ!$C:$C,MATCH($B482,法人マスタ!$A:$A,0)),""))</f>
        <v>積水ハウス・リート投資法人</v>
      </c>
      <c r="D482" s="1" t="str">
        <f aca="false">IF($A482="","",物件マスタ!C482)</f>
        <v>エスティメゾン武蔵小金井</v>
      </c>
      <c r="E482" s="1" t="str">
        <f aca="false">IF($A482="","",物件マスタ!H482)</f>
        <v>東京周辺都市部</v>
      </c>
      <c r="F482" s="53" t="n">
        <f aca="false">IF($A482="","",物件マスタ!P482)</f>
        <v>38384</v>
      </c>
      <c r="G482" s="1" t="n">
        <f aca="false">IF($A482="","",物件マスタ!Q482)</f>
        <v>21.5</v>
      </c>
      <c r="H482" s="1" t="n">
        <f aca="false">IF($A482="","",物件マスタ!L482)</f>
        <v>0</v>
      </c>
      <c r="I482" s="1" t="n">
        <f aca="false">IF($A482="","",物件マスタ!M482)</f>
        <v>2275.24</v>
      </c>
      <c r="J482" s="1" t="n">
        <f aca="false">IF($A482="","",物件マスタ!S482)</f>
        <v>1790</v>
      </c>
      <c r="K482" s="1" t="n">
        <f aca="false">IF($A482="","",物件マスタ!U482)</f>
        <v>2310</v>
      </c>
      <c r="L482" s="1" t="n">
        <f aca="false">IF($A482="","",物件マスタ!W482)</f>
        <v>0.912</v>
      </c>
      <c r="M482" s="1" t="str">
        <f aca="false">IF($A482="","",IFERROR(INDEX(法人マスタ!$H:$H,MATCH($B482,法人マスタ!$A:$A,0)),""))</f>
        <v>2026年4月期（第23期）</v>
      </c>
      <c r="N482" s="1" t="n">
        <f aca="false">IF($A482="","",SUMIFS(物件収支!$D:$D,物件収支!$A:$A,$A482,物件収支!$C:$C,$M482))</f>
        <v>6</v>
      </c>
      <c r="O482" s="1" t="n">
        <f aca="false">IF($A482="","",SUMIFS(物件収支!$F:$F,物件収支!$A:$A,$A482,物件収支!$C:$C,$M482))</f>
        <v>59000</v>
      </c>
      <c r="P482" s="1" t="n">
        <f aca="false">IF($A482="","",SUMIFS(物件収支!$I:$I,物件収支!$A:$A,$A482,物件収支!$C:$C,$M482))</f>
        <v>0</v>
      </c>
      <c r="Q482" s="1" t="n">
        <f aca="false">IF($A482="","",SUMIFS(物件収支!$O:$O,物件収支!$A:$A,$A482,物件収支!$C:$C,$M482))</f>
        <v>0</v>
      </c>
      <c r="R482" s="1" t="str">
        <f aca="false">IF($A482="","",IF(P482=0,"",O482-P482))</f>
        <v/>
      </c>
      <c r="S482" s="1" t="str">
        <f aca="false">IF($A482="","",IF(R482="","",R482+Q482))</f>
        <v/>
      </c>
      <c r="T482" s="1" t="str">
        <f aca="false">IF($A482="","",IF(OR(S482="",N482&lt;=0),"",S482/1000*12/N482))</f>
        <v/>
      </c>
      <c r="U482" s="1" t="str">
        <f aca="false">IF($A482="","",IF(OR(T482="",J482=0,J482=""),"",T482/J482))</f>
        <v/>
      </c>
      <c r="V482" s="1" t="str">
        <f aca="false">IF($A482="","",IF(OR(R482="",N482&lt;=0,J482=0,J482=""),"",(R482/1000*12/N482)/J482))</f>
        <v/>
      </c>
      <c r="W482" s="1" t="str">
        <f aca="false">IF($A482="","",IF(OR(T482="",K482=0,K482=""),"",T482/K482))</f>
        <v/>
      </c>
      <c r="X482" s="1" t="n">
        <f aca="false">IF($A482="","",IF(OR(N482&lt;=0,I482=0,I482="",O482=0),"",O482*1000/(I482*0.3025)/N482))</f>
        <v>14287.2343367476</v>
      </c>
      <c r="Y482" s="1" t="str">
        <f aca="false">IF($A482="","",IF(OR(O482=0,O482="",P482=0),"",P482/O482))</f>
        <v/>
      </c>
      <c r="Z482" s="1" t="str">
        <f aca="false">IF($A482="","",IFERROR(INDEX(物件収支!$E:$E,MATCH($A482,物件収支!$A:$A,0)),""))</f>
        <v>開示（物件別・収益のみ・百万円単位）</v>
      </c>
    </row>
    <row r="483" customFormat="false" ht="15" hidden="false" customHeight="true" outlineLevel="0" collapsed="false">
      <c r="A483" s="1" t="str">
        <f aca="false">IF(物件マスタ!A483="","",物件マスタ!A483)</f>
        <v>SHR-033</v>
      </c>
      <c r="B483" s="1" t="str">
        <f aca="false">IF($A483="","",物件マスタ!B483)</f>
        <v>SHR</v>
      </c>
      <c r="C483" s="1" t="str">
        <f aca="false">IF($A483="","",IFERROR(INDEX(法人マスタ!$C:$C,MATCH($B483,法人マスタ!$A:$A,0)),""))</f>
        <v>積水ハウス・リート投資法人</v>
      </c>
      <c r="D483" s="1" t="str">
        <f aca="false">IF($A483="","",物件マスタ!C483)</f>
        <v>プライムメゾン御器所</v>
      </c>
      <c r="E483" s="1" t="str">
        <f aca="false">IF($A483="","",物件マスタ!H483)</f>
        <v>その他3大都市圏</v>
      </c>
      <c r="F483" s="53" t="n">
        <f aca="false">IF($A483="","",物件マスタ!P483)</f>
        <v>39722</v>
      </c>
      <c r="G483" s="1" t="n">
        <f aca="false">IF($A483="","",物件マスタ!Q483)</f>
        <v>17.9</v>
      </c>
      <c r="H483" s="1" t="n">
        <f aca="false">IF($A483="","",物件マスタ!L483)</f>
        <v>0</v>
      </c>
      <c r="I483" s="1" t="n">
        <f aca="false">IF($A483="","",物件マスタ!M483)</f>
        <v>4427.65</v>
      </c>
      <c r="J483" s="1" t="n">
        <f aca="false">IF($A483="","",物件マスタ!S483)</f>
        <v>1950</v>
      </c>
      <c r="K483" s="1" t="n">
        <f aca="false">IF($A483="","",物件マスタ!U483)</f>
        <v>2300</v>
      </c>
      <c r="L483" s="1" t="n">
        <f aca="false">IF($A483="","",物件マスタ!W483)</f>
        <v>0.934</v>
      </c>
      <c r="M483" s="1" t="str">
        <f aca="false">IF($A483="","",IFERROR(INDEX(法人マスタ!$H:$H,MATCH($B483,法人マスタ!$A:$A,0)),""))</f>
        <v>2026年4月期（第23期）</v>
      </c>
      <c r="N483" s="1" t="n">
        <f aca="false">IF($A483="","",SUMIFS(物件収支!$D:$D,物件収支!$A:$A,$A483,物件収支!$C:$C,$M483))</f>
        <v>6</v>
      </c>
      <c r="O483" s="1" t="n">
        <f aca="false">IF($A483="","",SUMIFS(物件収支!$F:$F,物件収支!$A:$A,$A483,物件収支!$C:$C,$M483))</f>
        <v>65000</v>
      </c>
      <c r="P483" s="1" t="n">
        <f aca="false">IF($A483="","",SUMIFS(物件収支!$I:$I,物件収支!$A:$A,$A483,物件収支!$C:$C,$M483))</f>
        <v>0</v>
      </c>
      <c r="Q483" s="1" t="n">
        <f aca="false">IF($A483="","",SUMIFS(物件収支!$O:$O,物件収支!$A:$A,$A483,物件収支!$C:$C,$M483))</f>
        <v>0</v>
      </c>
      <c r="R483" s="1" t="str">
        <f aca="false">IF($A483="","",IF(P483=0,"",O483-P483))</f>
        <v/>
      </c>
      <c r="S483" s="1" t="str">
        <f aca="false">IF($A483="","",IF(R483="","",R483+Q483))</f>
        <v/>
      </c>
      <c r="T483" s="1" t="str">
        <f aca="false">IF($A483="","",IF(OR(S483="",N483&lt;=0),"",S483/1000*12/N483))</f>
        <v/>
      </c>
      <c r="U483" s="1" t="str">
        <f aca="false">IF($A483="","",IF(OR(T483="",J483=0,J483=""),"",T483/J483))</f>
        <v/>
      </c>
      <c r="V483" s="1" t="str">
        <f aca="false">IF($A483="","",IF(OR(R483="",N483&lt;=0,J483=0,J483=""),"",(R483/1000*12/N483)/J483))</f>
        <v/>
      </c>
      <c r="W483" s="1" t="str">
        <f aca="false">IF($A483="","",IF(OR(T483="",K483=0,K483=""),"",T483/K483))</f>
        <v/>
      </c>
      <c r="X483" s="1" t="n">
        <f aca="false">IF($A483="","",IF(OR(N483&lt;=0,I483=0,I483="",O483=0),"",O483*1000/(I483*0.3025)/N483))</f>
        <v>8088.41533913217</v>
      </c>
      <c r="Y483" s="1" t="str">
        <f aca="false">IF($A483="","",IF(OR(O483=0,O483="",P483=0),"",P483/O483))</f>
        <v/>
      </c>
      <c r="Z483" s="1" t="str">
        <f aca="false">IF($A483="","",IFERROR(INDEX(物件収支!$E:$E,MATCH($A483,物件収支!$A:$A,0)),""))</f>
        <v>開示（物件別・収益のみ・百万円単位）</v>
      </c>
    </row>
    <row r="484" customFormat="false" ht="15" hidden="false" customHeight="true" outlineLevel="0" collapsed="false">
      <c r="A484" s="1" t="str">
        <f aca="false">IF(物件マスタ!A484="","",物件マスタ!A484)</f>
        <v>SHR-034</v>
      </c>
      <c r="B484" s="1" t="str">
        <f aca="false">IF($A484="","",物件マスタ!B484)</f>
        <v>SHR</v>
      </c>
      <c r="C484" s="1" t="str">
        <f aca="false">IF($A484="","",IFERROR(INDEX(法人マスタ!$C:$C,MATCH($B484,法人マスタ!$A:$A,0)),""))</f>
        <v>積水ハウス・リート投資法人</v>
      </c>
      <c r="D484" s="1" t="str">
        <f aca="false">IF($A484="","",物件マスタ!C484)</f>
        <v>プライムメゾン夕陽ヶ丘</v>
      </c>
      <c r="E484" s="1" t="str">
        <f aca="false">IF($A484="","",物件マスタ!H484)</f>
        <v>その他3大都市圏</v>
      </c>
      <c r="F484" s="53" t="n">
        <f aca="false">IF($A484="","",物件マスタ!P484)</f>
        <v>39114</v>
      </c>
      <c r="G484" s="1" t="n">
        <f aca="false">IF($A484="","",物件マスタ!Q484)</f>
        <v>19.5</v>
      </c>
      <c r="H484" s="1" t="n">
        <f aca="false">IF($A484="","",物件マスタ!L484)</f>
        <v>0</v>
      </c>
      <c r="I484" s="1" t="n">
        <f aca="false">IF($A484="","",物件マスタ!M484)</f>
        <v>2040.35</v>
      </c>
      <c r="J484" s="1" t="n">
        <f aca="false">IF($A484="","",物件マスタ!S484)</f>
        <v>909</v>
      </c>
      <c r="K484" s="1" t="n">
        <f aca="false">IF($A484="","",物件マスタ!U484)</f>
        <v>1200</v>
      </c>
      <c r="L484" s="1" t="n">
        <f aca="false">IF($A484="","",物件マスタ!W484)</f>
        <v>1</v>
      </c>
      <c r="M484" s="1" t="str">
        <f aca="false">IF($A484="","",IFERROR(INDEX(法人マスタ!$H:$H,MATCH($B484,法人マスタ!$A:$A,0)),""))</f>
        <v>2026年4月期（第23期）</v>
      </c>
      <c r="N484" s="1" t="n">
        <f aca="false">IF($A484="","",SUMIFS(物件収支!$D:$D,物件収支!$A:$A,$A484,物件収支!$C:$C,$M484))</f>
        <v>6</v>
      </c>
      <c r="O484" s="1" t="n">
        <f aca="false">IF($A484="","",SUMIFS(物件収支!$F:$F,物件収支!$A:$A,$A484,物件収支!$C:$C,$M484))</f>
        <v>31000</v>
      </c>
      <c r="P484" s="1" t="n">
        <f aca="false">IF($A484="","",SUMIFS(物件収支!$I:$I,物件収支!$A:$A,$A484,物件収支!$C:$C,$M484))</f>
        <v>0</v>
      </c>
      <c r="Q484" s="1" t="n">
        <f aca="false">IF($A484="","",SUMIFS(物件収支!$O:$O,物件収支!$A:$A,$A484,物件収支!$C:$C,$M484))</f>
        <v>0</v>
      </c>
      <c r="R484" s="1" t="str">
        <f aca="false">IF($A484="","",IF(P484=0,"",O484-P484))</f>
        <v/>
      </c>
      <c r="S484" s="1" t="str">
        <f aca="false">IF($A484="","",IF(R484="","",R484+Q484))</f>
        <v/>
      </c>
      <c r="T484" s="1" t="str">
        <f aca="false">IF($A484="","",IF(OR(S484="",N484&lt;=0),"",S484/1000*12/N484))</f>
        <v/>
      </c>
      <c r="U484" s="1" t="str">
        <f aca="false">IF($A484="","",IF(OR(T484="",J484=0,J484=""),"",T484/J484))</f>
        <v/>
      </c>
      <c r="V484" s="1" t="str">
        <f aca="false">IF($A484="","",IF(OR(R484="",N484&lt;=0,J484=0,J484=""),"",(R484/1000*12/N484)/J484))</f>
        <v/>
      </c>
      <c r="W484" s="1" t="str">
        <f aca="false">IF($A484="","",IF(OR(T484="",K484=0,K484=""),"",T484/K484))</f>
        <v/>
      </c>
      <c r="X484" s="1" t="n">
        <f aca="false">IF($A484="","",IF(OR(N484&lt;=0,I484=0,I484="",O484=0),"",O484*1000/(I484*0.3025)/N484))</f>
        <v>8371.05879244372</v>
      </c>
      <c r="Y484" s="1" t="str">
        <f aca="false">IF($A484="","",IF(OR(O484=0,O484="",P484=0),"",P484/O484))</f>
        <v/>
      </c>
      <c r="Z484" s="1" t="str">
        <f aca="false">IF($A484="","",IFERROR(INDEX(物件収支!$E:$E,MATCH($A484,物件収支!$A:$A,0)),""))</f>
        <v>開示（物件別・収益のみ・百万円単位）</v>
      </c>
    </row>
    <row r="485" customFormat="false" ht="15" hidden="false" customHeight="true" outlineLevel="0" collapsed="false">
      <c r="A485" s="1" t="str">
        <f aca="false">IF(物件マスタ!A485="","",物件マスタ!A485)</f>
        <v>SHR-035</v>
      </c>
      <c r="B485" s="1" t="str">
        <f aca="false">IF($A485="","",物件マスタ!B485)</f>
        <v>SHR</v>
      </c>
      <c r="C485" s="1" t="str">
        <f aca="false">IF($A485="","",IFERROR(INDEX(法人マスタ!$C:$C,MATCH($B485,法人マスタ!$A:$A,0)),""))</f>
        <v>積水ハウス・リート投資法人</v>
      </c>
      <c r="D485" s="1" t="str">
        <f aca="false">IF($A485="","",物件マスタ!C485)</f>
        <v>プライムメゾン北田辺</v>
      </c>
      <c r="E485" s="1" t="str">
        <f aca="false">IF($A485="","",物件マスタ!H485)</f>
        <v>その他3大都市圏</v>
      </c>
      <c r="F485" s="53" t="n">
        <f aca="false">IF($A485="","",物件マスタ!P485)</f>
        <v>38869</v>
      </c>
      <c r="G485" s="1" t="n">
        <f aca="false">IF($A485="","",物件マスタ!Q485)</f>
        <v>20.2</v>
      </c>
      <c r="H485" s="1" t="n">
        <f aca="false">IF($A485="","",物件マスタ!L485)</f>
        <v>0</v>
      </c>
      <c r="I485" s="1" t="n">
        <f aca="false">IF($A485="","",物件マスタ!M485)</f>
        <v>1798.97</v>
      </c>
      <c r="J485" s="1" t="n">
        <f aca="false">IF($A485="","",物件マスタ!S485)</f>
        <v>601</v>
      </c>
      <c r="K485" s="1" t="n">
        <f aca="false">IF($A485="","",物件マスタ!U485)</f>
        <v>760</v>
      </c>
      <c r="L485" s="1" t="n">
        <f aca="false">IF($A485="","",物件マスタ!W485)</f>
        <v>0.927</v>
      </c>
      <c r="M485" s="1" t="str">
        <f aca="false">IF($A485="","",IFERROR(INDEX(法人マスタ!$H:$H,MATCH($B485,法人マスタ!$A:$A,0)),""))</f>
        <v>2026年4月期（第23期）</v>
      </c>
      <c r="N485" s="1" t="n">
        <f aca="false">IF($A485="","",SUMIFS(物件収支!$D:$D,物件収支!$A:$A,$A485,物件収支!$C:$C,$M485))</f>
        <v>6</v>
      </c>
      <c r="O485" s="1" t="n">
        <f aca="false">IF($A485="","",SUMIFS(物件収支!$F:$F,物件収支!$A:$A,$A485,物件収支!$C:$C,$M485))</f>
        <v>22000</v>
      </c>
      <c r="P485" s="1" t="n">
        <f aca="false">IF($A485="","",SUMIFS(物件収支!$I:$I,物件収支!$A:$A,$A485,物件収支!$C:$C,$M485))</f>
        <v>0</v>
      </c>
      <c r="Q485" s="1" t="n">
        <f aca="false">IF($A485="","",SUMIFS(物件収支!$O:$O,物件収支!$A:$A,$A485,物件収支!$C:$C,$M485))</f>
        <v>0</v>
      </c>
      <c r="R485" s="1" t="str">
        <f aca="false">IF($A485="","",IF(P485=0,"",O485-P485))</f>
        <v/>
      </c>
      <c r="S485" s="1" t="str">
        <f aca="false">IF($A485="","",IF(R485="","",R485+Q485))</f>
        <v/>
      </c>
      <c r="T485" s="1" t="str">
        <f aca="false">IF($A485="","",IF(OR(S485="",N485&lt;=0),"",S485/1000*12/N485))</f>
        <v/>
      </c>
      <c r="U485" s="1" t="str">
        <f aca="false">IF($A485="","",IF(OR(T485="",J485=0,J485=""),"",T485/J485))</f>
        <v/>
      </c>
      <c r="V485" s="1" t="str">
        <f aca="false">IF($A485="","",IF(OR(R485="",N485&lt;=0,J485=0,J485=""),"",(R485/1000*12/N485)/J485))</f>
        <v/>
      </c>
      <c r="W485" s="1" t="str">
        <f aca="false">IF($A485="","",IF(OR(T485="",K485=0,K485=""),"",T485/K485))</f>
        <v/>
      </c>
      <c r="X485" s="1" t="n">
        <f aca="false">IF($A485="","",IF(OR(N485&lt;=0,I485=0,I485="",O485=0),"",O485*1000/(I485*0.3025)/N485))</f>
        <v>6737.86228853851</v>
      </c>
      <c r="Y485" s="1" t="str">
        <f aca="false">IF($A485="","",IF(OR(O485=0,O485="",P485=0),"",P485/O485))</f>
        <v/>
      </c>
      <c r="Z485" s="1" t="str">
        <f aca="false">IF($A485="","",IFERROR(INDEX(物件収支!$E:$E,MATCH($A485,物件収支!$A:$A,0)),""))</f>
        <v>開示（物件別・収益のみ・百万円単位）</v>
      </c>
    </row>
    <row r="486" customFormat="false" ht="15" hidden="false" customHeight="true" outlineLevel="0" collapsed="false">
      <c r="A486" s="1" t="str">
        <f aca="false">IF(物件マスタ!A486="","",物件マスタ!A486)</f>
        <v>SHR-036</v>
      </c>
      <c r="B486" s="1" t="str">
        <f aca="false">IF($A486="","",物件マスタ!B486)</f>
        <v>SHR</v>
      </c>
      <c r="C486" s="1" t="str">
        <f aca="false">IF($A486="","",IFERROR(INDEX(法人マスタ!$C:$C,MATCH($B486,法人マスタ!$A:$A,0)),""))</f>
        <v>積水ハウス・リート投資法人</v>
      </c>
      <c r="D486" s="1" t="str">
        <f aca="false">IF($A486="","",物件マスタ!C486)</f>
        <v>プライムメゾン百道浜</v>
      </c>
      <c r="E486" s="1" t="str">
        <f aca="false">IF($A486="","",物件マスタ!H486)</f>
        <v>3大都市圏以外の政令市</v>
      </c>
      <c r="F486" s="53" t="n">
        <f aca="false">IF($A486="","",物件マスタ!P486)</f>
        <v>35096</v>
      </c>
      <c r="G486" s="1" t="n">
        <f aca="false">IF($A486="","",物件マスタ!Q486)</f>
        <v>30.5</v>
      </c>
      <c r="H486" s="1" t="n">
        <f aca="false">IF($A486="","",物件マスタ!L486)</f>
        <v>0</v>
      </c>
      <c r="I486" s="1" t="n">
        <f aca="false">IF($A486="","",物件マスタ!M486)</f>
        <v>7514.76</v>
      </c>
      <c r="J486" s="1" t="n">
        <f aca="false">IF($A486="","",物件マスタ!S486)</f>
        <v>1940</v>
      </c>
      <c r="K486" s="1" t="n">
        <f aca="false">IF($A486="","",物件マスタ!U486)</f>
        <v>2390</v>
      </c>
      <c r="L486" s="1" t="n">
        <f aca="false">IF($A486="","",物件マスタ!W486)</f>
        <v>1</v>
      </c>
      <c r="M486" s="1" t="str">
        <f aca="false">IF($A486="","",IFERROR(INDEX(法人マスタ!$H:$H,MATCH($B486,法人マスタ!$A:$A,0)),""))</f>
        <v>2026年4月期（第23期）</v>
      </c>
      <c r="N486" s="1" t="n">
        <f aca="false">IF($A486="","",SUMIFS(物件収支!$D:$D,物件収支!$A:$A,$A486,物件収支!$C:$C,$M486))</f>
        <v>6</v>
      </c>
      <c r="O486" s="1" t="n">
        <f aca="false">IF($A486="","",SUMIFS(物件収支!$F:$F,物件収支!$A:$A,$A486,物件収支!$C:$C,$M486))</f>
        <v>70000</v>
      </c>
      <c r="P486" s="1" t="n">
        <f aca="false">IF($A486="","",SUMIFS(物件収支!$I:$I,物件収支!$A:$A,$A486,物件収支!$C:$C,$M486))</f>
        <v>0</v>
      </c>
      <c r="Q486" s="1" t="n">
        <f aca="false">IF($A486="","",SUMIFS(物件収支!$O:$O,物件収支!$A:$A,$A486,物件収支!$C:$C,$M486))</f>
        <v>0</v>
      </c>
      <c r="R486" s="1" t="str">
        <f aca="false">IF($A486="","",IF(P486=0,"",O486-P486))</f>
        <v/>
      </c>
      <c r="S486" s="1" t="str">
        <f aca="false">IF($A486="","",IF(R486="","",R486+Q486))</f>
        <v/>
      </c>
      <c r="T486" s="1" t="str">
        <f aca="false">IF($A486="","",IF(OR(S486="",N486&lt;=0),"",S486/1000*12/N486))</f>
        <v/>
      </c>
      <c r="U486" s="1" t="str">
        <f aca="false">IF($A486="","",IF(OR(T486="",J486=0,J486=""),"",T486/J486))</f>
        <v/>
      </c>
      <c r="V486" s="1" t="str">
        <f aca="false">IF($A486="","",IF(OR(R486="",N486&lt;=0,J486=0,J486=""),"",(R486/1000*12/N486)/J486))</f>
        <v/>
      </c>
      <c r="W486" s="1" t="str">
        <f aca="false">IF($A486="","",IF(OR(T486="",K486=0,K486=""),"",T486/K486))</f>
        <v/>
      </c>
      <c r="X486" s="1" t="n">
        <f aca="false">IF($A486="","",IF(OR(N486&lt;=0,I486=0,I486="",O486=0),"",O486*1000/(I486*0.3025)/N486))</f>
        <v>5132.23218212527</v>
      </c>
      <c r="Y486" s="1" t="str">
        <f aca="false">IF($A486="","",IF(OR(O486=0,O486="",P486=0),"",P486/O486))</f>
        <v/>
      </c>
      <c r="Z486" s="1" t="str">
        <f aca="false">IF($A486="","",IFERROR(INDEX(物件収支!$E:$E,MATCH($A486,物件収支!$A:$A,0)),""))</f>
        <v>開示（物件別・収益のみ・百万円単位）</v>
      </c>
    </row>
    <row r="487" customFormat="false" ht="15" hidden="false" customHeight="true" outlineLevel="0" collapsed="false">
      <c r="A487" s="1" t="str">
        <f aca="false">IF(物件マスタ!A487="","",物件マスタ!A487)</f>
        <v>SHR-037</v>
      </c>
      <c r="B487" s="1" t="str">
        <f aca="false">IF($A487="","",物件マスタ!B487)</f>
        <v>SHR</v>
      </c>
      <c r="C487" s="1" t="str">
        <f aca="false">IF($A487="","",IFERROR(INDEX(法人マスタ!$C:$C,MATCH($B487,法人マスタ!$A:$A,0)),""))</f>
        <v>積水ハウス・リート投資法人</v>
      </c>
      <c r="D487" s="1" t="str">
        <f aca="false">IF($A487="","",物件マスタ!C487)</f>
        <v>エスティメゾン秋葉原</v>
      </c>
      <c r="E487" s="1" t="str">
        <f aca="false">IF($A487="","",物件マスタ!H487)</f>
        <v>その他東京23区</v>
      </c>
      <c r="F487" s="53" t="n">
        <f aca="false">IF($A487="","",物件マスタ!P487)</f>
        <v>38749</v>
      </c>
      <c r="G487" s="1" t="n">
        <f aca="false">IF($A487="","",物件マスタ!Q487)</f>
        <v>20.5</v>
      </c>
      <c r="H487" s="1" t="n">
        <f aca="false">IF($A487="","",物件マスタ!L487)</f>
        <v>0</v>
      </c>
      <c r="I487" s="1" t="n">
        <f aca="false">IF($A487="","",物件マスタ!M487)</f>
        <v>2324.65</v>
      </c>
      <c r="J487" s="1" t="n">
        <f aca="false">IF($A487="","",物件マスタ!S487)</f>
        <v>1930</v>
      </c>
      <c r="K487" s="1" t="n">
        <f aca="false">IF($A487="","",物件マスタ!U487)</f>
        <v>2360</v>
      </c>
      <c r="L487" s="1" t="n">
        <f aca="false">IF($A487="","",物件マスタ!W487)</f>
        <v>1</v>
      </c>
      <c r="M487" s="1" t="str">
        <f aca="false">IF($A487="","",IFERROR(INDEX(法人マスタ!$H:$H,MATCH($B487,法人マスタ!$A:$A,0)),""))</f>
        <v>2026年4月期（第23期）</v>
      </c>
      <c r="N487" s="1" t="n">
        <f aca="false">IF($A487="","",SUMIFS(物件収支!$D:$D,物件収支!$A:$A,$A487,物件収支!$C:$C,$M487))</f>
        <v>6</v>
      </c>
      <c r="O487" s="1" t="n">
        <f aca="false">IF($A487="","",SUMIFS(物件収支!$F:$F,物件収支!$A:$A,$A487,物件収支!$C:$C,$M487))</f>
        <v>62000</v>
      </c>
      <c r="P487" s="1" t="n">
        <f aca="false">IF($A487="","",SUMIFS(物件収支!$I:$I,物件収支!$A:$A,$A487,物件収支!$C:$C,$M487))</f>
        <v>0</v>
      </c>
      <c r="Q487" s="1" t="n">
        <f aca="false">IF($A487="","",SUMIFS(物件収支!$O:$O,物件収支!$A:$A,$A487,物件収支!$C:$C,$M487))</f>
        <v>0</v>
      </c>
      <c r="R487" s="1" t="str">
        <f aca="false">IF($A487="","",IF(P487=0,"",O487-P487))</f>
        <v/>
      </c>
      <c r="S487" s="1" t="str">
        <f aca="false">IF($A487="","",IF(R487="","",R487+Q487))</f>
        <v/>
      </c>
      <c r="T487" s="1" t="str">
        <f aca="false">IF($A487="","",IF(OR(S487="",N487&lt;=0),"",S487/1000*12/N487))</f>
        <v/>
      </c>
      <c r="U487" s="1" t="str">
        <f aca="false">IF($A487="","",IF(OR(T487="",J487=0,J487=""),"",T487/J487))</f>
        <v/>
      </c>
      <c r="V487" s="1" t="str">
        <f aca="false">IF($A487="","",IF(OR(R487="",N487&lt;=0,J487=0,J487=""),"",(R487/1000*12/N487)/J487))</f>
        <v/>
      </c>
      <c r="W487" s="1" t="str">
        <f aca="false">IF($A487="","",IF(OR(T487="",K487=0,K487=""),"",T487/K487))</f>
        <v/>
      </c>
      <c r="X487" s="1" t="n">
        <f aca="false">IF($A487="","",IF(OR(N487&lt;=0,I487=0,I487="",O487=0),"",O487*1000/(I487*0.3025)/N487))</f>
        <v>14694.590417622</v>
      </c>
      <c r="Y487" s="1" t="str">
        <f aca="false">IF($A487="","",IF(OR(O487=0,O487="",P487=0),"",P487/O487))</f>
        <v/>
      </c>
      <c r="Z487" s="1" t="str">
        <f aca="false">IF($A487="","",IFERROR(INDEX(物件収支!$E:$E,MATCH($A487,物件収支!$A:$A,0)),""))</f>
        <v>開示（物件別・収益のみ・百万円単位）</v>
      </c>
    </row>
    <row r="488" customFormat="false" ht="15" hidden="false" customHeight="true" outlineLevel="0" collapsed="false">
      <c r="A488" s="1" t="str">
        <f aca="false">IF(物件マスタ!A488="","",物件マスタ!A488)</f>
        <v>SHR-038</v>
      </c>
      <c r="B488" s="1" t="str">
        <f aca="false">IF($A488="","",物件マスタ!B488)</f>
        <v>SHR</v>
      </c>
      <c r="C488" s="1" t="str">
        <f aca="false">IF($A488="","",IFERROR(INDEX(法人マスタ!$C:$C,MATCH($B488,法人マスタ!$A:$A,0)),""))</f>
        <v>積水ハウス・リート投資法人</v>
      </c>
      <c r="D488" s="1" t="str">
        <f aca="false">IF($A488="","",物件マスタ!C488)</f>
        <v>エスティメゾン笹塚</v>
      </c>
      <c r="E488" s="1" t="str">
        <f aca="false">IF($A488="","",物件マスタ!H488)</f>
        <v>都心5区</v>
      </c>
      <c r="F488" s="53" t="n">
        <f aca="false">IF($A488="","",物件マスタ!P488)</f>
        <v>38231</v>
      </c>
      <c r="G488" s="1" t="n">
        <f aca="false">IF($A488="","",物件マスタ!Q488)</f>
        <v>21.9</v>
      </c>
      <c r="H488" s="1" t="n">
        <f aca="false">IF($A488="","",物件マスタ!L488)</f>
        <v>0</v>
      </c>
      <c r="I488" s="1" t="n">
        <f aca="false">IF($A488="","",物件マスタ!M488)</f>
        <v>3701.7</v>
      </c>
      <c r="J488" s="1" t="n">
        <f aca="false">IF($A488="","",物件マスタ!S488)</f>
        <v>3340</v>
      </c>
      <c r="K488" s="1" t="n">
        <f aca="false">IF($A488="","",物件マスタ!U488)</f>
        <v>3930</v>
      </c>
      <c r="L488" s="1" t="n">
        <f aca="false">IF($A488="","",物件マスタ!W488)</f>
        <v>0.955</v>
      </c>
      <c r="M488" s="1" t="str">
        <f aca="false">IF($A488="","",IFERROR(INDEX(法人マスタ!$H:$H,MATCH($B488,法人マスタ!$A:$A,0)),""))</f>
        <v>2026年4月期（第23期）</v>
      </c>
      <c r="N488" s="1" t="n">
        <f aca="false">IF($A488="","",SUMIFS(物件収支!$D:$D,物件収支!$A:$A,$A488,物件収支!$C:$C,$M488))</f>
        <v>6</v>
      </c>
      <c r="O488" s="1" t="n">
        <f aca="false">IF($A488="","",SUMIFS(物件収支!$F:$F,物件収支!$A:$A,$A488,物件収支!$C:$C,$M488))</f>
        <v>94000</v>
      </c>
      <c r="P488" s="1" t="n">
        <f aca="false">IF($A488="","",SUMIFS(物件収支!$I:$I,物件収支!$A:$A,$A488,物件収支!$C:$C,$M488))</f>
        <v>0</v>
      </c>
      <c r="Q488" s="1" t="n">
        <f aca="false">IF($A488="","",SUMIFS(物件収支!$O:$O,物件収支!$A:$A,$A488,物件収支!$C:$C,$M488))</f>
        <v>0</v>
      </c>
      <c r="R488" s="1" t="str">
        <f aca="false">IF($A488="","",IF(P488=0,"",O488-P488))</f>
        <v/>
      </c>
      <c r="S488" s="1" t="str">
        <f aca="false">IF($A488="","",IF(R488="","",R488+Q488))</f>
        <v/>
      </c>
      <c r="T488" s="1" t="str">
        <f aca="false">IF($A488="","",IF(OR(S488="",N488&lt;=0),"",S488/1000*12/N488))</f>
        <v/>
      </c>
      <c r="U488" s="1" t="str">
        <f aca="false">IF($A488="","",IF(OR(T488="",J488=0,J488=""),"",T488/J488))</f>
        <v/>
      </c>
      <c r="V488" s="1" t="str">
        <f aca="false">IF($A488="","",IF(OR(R488="",N488&lt;=0,J488=0,J488=""),"",(R488/1000*12/N488)/J488))</f>
        <v/>
      </c>
      <c r="W488" s="1" t="str">
        <f aca="false">IF($A488="","",IF(OR(T488="",K488=0,K488=""),"",T488/K488))</f>
        <v/>
      </c>
      <c r="X488" s="1" t="n">
        <f aca="false">IF($A488="","",IF(OR(N488&lt;=0,I488=0,I488="",O488=0),"",O488*1000/(I488*0.3025)/N488))</f>
        <v>13991.0402271431</v>
      </c>
      <c r="Y488" s="1" t="str">
        <f aca="false">IF($A488="","",IF(OR(O488=0,O488="",P488=0),"",P488/O488))</f>
        <v/>
      </c>
      <c r="Z488" s="1" t="str">
        <f aca="false">IF($A488="","",IFERROR(INDEX(物件収支!$E:$E,MATCH($A488,物件収支!$A:$A,0)),""))</f>
        <v>開示（物件別・収益のみ・百万円単位）</v>
      </c>
    </row>
    <row r="489" customFormat="false" ht="15" hidden="false" customHeight="true" outlineLevel="0" collapsed="false">
      <c r="A489" s="1" t="str">
        <f aca="false">IF(物件マスタ!A489="","",物件マスタ!A489)</f>
        <v>SHR-039</v>
      </c>
      <c r="B489" s="1" t="str">
        <f aca="false">IF($A489="","",物件マスタ!B489)</f>
        <v>SHR</v>
      </c>
      <c r="C489" s="1" t="str">
        <f aca="false">IF($A489="","",IFERROR(INDEX(法人マスタ!$C:$C,MATCH($B489,法人マスタ!$A:$A,0)),""))</f>
        <v>積水ハウス・リート投資法人</v>
      </c>
      <c r="D489" s="1" t="str">
        <f aca="false">IF($A489="","",物件マスタ!C489)</f>
        <v>プライムメゾン銀座イースト</v>
      </c>
      <c r="E489" s="1" t="str">
        <f aca="false">IF($A489="","",物件マスタ!H489)</f>
        <v>都心5区</v>
      </c>
      <c r="F489" s="53" t="n">
        <f aca="false">IF($A489="","",物件マスタ!P489)</f>
        <v>38749</v>
      </c>
      <c r="G489" s="1" t="n">
        <f aca="false">IF($A489="","",物件マスタ!Q489)</f>
        <v>20.5</v>
      </c>
      <c r="H489" s="1" t="n">
        <f aca="false">IF($A489="","",物件マスタ!L489)</f>
        <v>0</v>
      </c>
      <c r="I489" s="1" t="n">
        <f aca="false">IF($A489="","",物件マスタ!M489)</f>
        <v>6177.2</v>
      </c>
      <c r="J489" s="1" t="n">
        <f aca="false">IF($A489="","",物件マスタ!S489)</f>
        <v>6250</v>
      </c>
      <c r="K489" s="1" t="n">
        <f aca="false">IF($A489="","",物件マスタ!U489)</f>
        <v>7780</v>
      </c>
      <c r="L489" s="1" t="n">
        <f aca="false">IF($A489="","",物件マスタ!W489)</f>
        <v>0.972</v>
      </c>
      <c r="M489" s="1" t="str">
        <f aca="false">IF($A489="","",IFERROR(INDEX(法人マスタ!$H:$H,MATCH($B489,法人マスタ!$A:$A,0)),""))</f>
        <v>2026年4月期（第23期）</v>
      </c>
      <c r="N489" s="1" t="n">
        <f aca="false">IF($A489="","",SUMIFS(物件収支!$D:$D,物件収支!$A:$A,$A489,物件収支!$C:$C,$M489))</f>
        <v>6</v>
      </c>
      <c r="O489" s="1" t="n">
        <f aca="false">IF($A489="","",SUMIFS(物件収支!$F:$F,物件収支!$A:$A,$A489,物件収支!$C:$C,$M489))</f>
        <v>196000</v>
      </c>
      <c r="P489" s="1" t="n">
        <f aca="false">IF($A489="","",SUMIFS(物件収支!$I:$I,物件収支!$A:$A,$A489,物件収支!$C:$C,$M489))</f>
        <v>0</v>
      </c>
      <c r="Q489" s="1" t="n">
        <f aca="false">IF($A489="","",SUMIFS(物件収支!$O:$O,物件収支!$A:$A,$A489,物件収支!$C:$C,$M489))</f>
        <v>0</v>
      </c>
      <c r="R489" s="1" t="str">
        <f aca="false">IF($A489="","",IF(P489=0,"",O489-P489))</f>
        <v/>
      </c>
      <c r="S489" s="1" t="str">
        <f aca="false">IF($A489="","",IF(R489="","",R489+Q489))</f>
        <v/>
      </c>
      <c r="T489" s="1" t="str">
        <f aca="false">IF($A489="","",IF(OR(S489="",N489&lt;=0),"",S489/1000*12/N489))</f>
        <v/>
      </c>
      <c r="U489" s="1" t="str">
        <f aca="false">IF($A489="","",IF(OR(T489="",J489=0,J489=""),"",T489/J489))</f>
        <v/>
      </c>
      <c r="V489" s="1" t="str">
        <f aca="false">IF($A489="","",IF(OR(R489="",N489&lt;=0,J489=0,J489=""),"",(R489/1000*12/N489)/J489))</f>
        <v/>
      </c>
      <c r="W489" s="1" t="str">
        <f aca="false">IF($A489="","",IF(OR(T489="",K489=0,K489=""),"",T489/K489))</f>
        <v/>
      </c>
      <c r="X489" s="1" t="n">
        <f aca="false">IF($A489="","",IF(OR(N489&lt;=0,I489=0,I489="",O489=0),"",O489*1000/(I489*0.3025)/N489))</f>
        <v>17481.8656861124</v>
      </c>
      <c r="Y489" s="1" t="str">
        <f aca="false">IF($A489="","",IF(OR(O489=0,O489="",P489=0),"",P489/O489))</f>
        <v/>
      </c>
      <c r="Z489" s="1" t="str">
        <f aca="false">IF($A489="","",IFERROR(INDEX(物件収支!$E:$E,MATCH($A489,物件収支!$A:$A,0)),""))</f>
        <v>開示（物件別・収益のみ・百万円単位）</v>
      </c>
    </row>
    <row r="490" customFormat="false" ht="15" hidden="false" customHeight="true" outlineLevel="0" collapsed="false">
      <c r="A490" s="1" t="str">
        <f aca="false">IF(物件マスタ!A490="","",物件マスタ!A490)</f>
        <v>SHR-040</v>
      </c>
      <c r="B490" s="1" t="str">
        <f aca="false">IF($A490="","",物件マスタ!B490)</f>
        <v>SHR</v>
      </c>
      <c r="C490" s="1" t="str">
        <f aca="false">IF($A490="","",IFERROR(INDEX(法人マスタ!$C:$C,MATCH($B490,法人マスタ!$A:$A,0)),""))</f>
        <v>積水ハウス・リート投資法人</v>
      </c>
      <c r="D490" s="1" t="str">
        <f aca="false">IF($A490="","",物件マスタ!C490)</f>
        <v>プライムメゾン高見</v>
      </c>
      <c r="E490" s="1" t="str">
        <f aca="false">IF($A490="","",物件マスタ!H490)</f>
        <v>その他3大都市圏</v>
      </c>
      <c r="F490" s="53" t="n">
        <f aca="false">IF($A490="","",物件マスタ!P490)</f>
        <v>39661</v>
      </c>
      <c r="G490" s="1" t="n">
        <f aca="false">IF($A490="","",物件マスタ!Q490)</f>
        <v>18</v>
      </c>
      <c r="H490" s="1" t="n">
        <f aca="false">IF($A490="","",物件マスタ!L490)</f>
        <v>0</v>
      </c>
      <c r="I490" s="1" t="n">
        <f aca="false">IF($A490="","",物件マスタ!M490)</f>
        <v>2016.79</v>
      </c>
      <c r="J490" s="1" t="n">
        <f aca="false">IF($A490="","",物件マスタ!S490)</f>
        <v>1050</v>
      </c>
      <c r="K490" s="1" t="n">
        <f aca="false">IF($A490="","",物件マスタ!U490)</f>
        <v>1180</v>
      </c>
      <c r="L490" s="1" t="n">
        <f aca="false">IF($A490="","",物件マスタ!W490)</f>
        <v>1</v>
      </c>
      <c r="M490" s="1" t="str">
        <f aca="false">IF($A490="","",IFERROR(INDEX(法人マスタ!$H:$H,MATCH($B490,法人マスタ!$A:$A,0)),""))</f>
        <v>2026年4月期（第23期）</v>
      </c>
      <c r="N490" s="1" t="n">
        <f aca="false">IF($A490="","",SUMIFS(物件収支!$D:$D,物件収支!$A:$A,$A490,物件収支!$C:$C,$M490))</f>
        <v>6</v>
      </c>
      <c r="O490" s="1" t="n">
        <f aca="false">IF($A490="","",SUMIFS(物件収支!$F:$F,物件収支!$A:$A,$A490,物件収支!$C:$C,$M490))</f>
        <v>34000</v>
      </c>
      <c r="P490" s="1" t="n">
        <f aca="false">IF($A490="","",SUMIFS(物件収支!$I:$I,物件収支!$A:$A,$A490,物件収支!$C:$C,$M490))</f>
        <v>0</v>
      </c>
      <c r="Q490" s="1" t="n">
        <f aca="false">IF($A490="","",SUMIFS(物件収支!$O:$O,物件収支!$A:$A,$A490,物件収支!$C:$C,$M490))</f>
        <v>0</v>
      </c>
      <c r="R490" s="1" t="str">
        <f aca="false">IF($A490="","",IF(P490=0,"",O490-P490))</f>
        <v/>
      </c>
      <c r="S490" s="1" t="str">
        <f aca="false">IF($A490="","",IF(R490="","",R490+Q490))</f>
        <v/>
      </c>
      <c r="T490" s="1" t="str">
        <f aca="false">IF($A490="","",IF(OR(S490="",N490&lt;=0),"",S490/1000*12/N490))</f>
        <v/>
      </c>
      <c r="U490" s="1" t="str">
        <f aca="false">IF($A490="","",IF(OR(T490="",J490=0,J490=""),"",T490/J490))</f>
        <v/>
      </c>
      <c r="V490" s="1" t="str">
        <f aca="false">IF($A490="","",IF(OR(R490="",N490&lt;=0,J490=0,J490=""),"",(R490/1000*12/N490)/J490))</f>
        <v/>
      </c>
      <c r="W490" s="1" t="str">
        <f aca="false">IF($A490="","",IF(OR(T490="",K490=0,K490=""),"",T490/K490))</f>
        <v/>
      </c>
      <c r="X490" s="1" t="n">
        <f aca="false">IF($A490="","",IF(OR(N490&lt;=0,I490=0,I490="",O490=0),"",O490*1000/(I490*0.3025)/N490))</f>
        <v>9288.41494114212</v>
      </c>
      <c r="Y490" s="1" t="str">
        <f aca="false">IF($A490="","",IF(OR(O490=0,O490="",P490=0),"",P490/O490))</f>
        <v/>
      </c>
      <c r="Z490" s="1" t="str">
        <f aca="false">IF($A490="","",IFERROR(INDEX(物件収支!$E:$E,MATCH($A490,物件収支!$A:$A,0)),""))</f>
        <v>開示（物件別・収益のみ・百万円単位）</v>
      </c>
    </row>
    <row r="491" customFormat="false" ht="15" hidden="false" customHeight="true" outlineLevel="0" collapsed="false">
      <c r="A491" s="1" t="str">
        <f aca="false">IF(物件マスタ!A491="","",物件マスタ!A491)</f>
        <v>SHR-041</v>
      </c>
      <c r="B491" s="1" t="str">
        <f aca="false">IF($A491="","",物件マスタ!B491)</f>
        <v>SHR</v>
      </c>
      <c r="C491" s="1" t="str">
        <f aca="false">IF($A491="","",IFERROR(INDEX(法人マスタ!$C:$C,MATCH($B491,法人マスタ!$A:$A,0)),""))</f>
        <v>積水ハウス・リート投資法人</v>
      </c>
      <c r="D491" s="1" t="str">
        <f aca="false">IF($A491="","",物件マスタ!C491)</f>
        <v>プライムメゾン矢田南</v>
      </c>
      <c r="E491" s="1" t="str">
        <f aca="false">IF($A491="","",物件マスタ!H491)</f>
        <v>その他3大都市圏</v>
      </c>
      <c r="F491" s="53" t="n">
        <f aca="false">IF($A491="","",物件マスタ!P491)</f>
        <v>39264</v>
      </c>
      <c r="G491" s="1" t="n">
        <f aca="false">IF($A491="","",物件マスタ!Q491)</f>
        <v>19.1</v>
      </c>
      <c r="H491" s="1" t="n">
        <f aca="false">IF($A491="","",物件マスタ!L491)</f>
        <v>0</v>
      </c>
      <c r="I491" s="1" t="n">
        <f aca="false">IF($A491="","",物件マスタ!M491)</f>
        <v>2168.59</v>
      </c>
      <c r="J491" s="1" t="n">
        <f aca="false">IF($A491="","",物件マスタ!S491)</f>
        <v>812</v>
      </c>
      <c r="K491" s="1" t="n">
        <f aca="false">IF($A491="","",物件マスタ!U491)</f>
        <v>968</v>
      </c>
      <c r="L491" s="1" t="n">
        <f aca="false">IF($A491="","",物件マスタ!W491)</f>
        <v>1</v>
      </c>
      <c r="M491" s="1" t="str">
        <f aca="false">IF($A491="","",IFERROR(INDEX(法人マスタ!$H:$H,MATCH($B491,法人マスタ!$A:$A,0)),""))</f>
        <v>2026年4月期（第23期）</v>
      </c>
      <c r="N491" s="1" t="n">
        <f aca="false">IF($A491="","",SUMIFS(物件収支!$D:$D,物件収支!$A:$A,$A491,物件収支!$C:$C,$M491))</f>
        <v>6</v>
      </c>
      <c r="O491" s="1" t="n">
        <f aca="false">IF($A491="","",SUMIFS(物件収支!$F:$F,物件収支!$A:$A,$A491,物件収支!$C:$C,$M491))</f>
        <v>29000</v>
      </c>
      <c r="P491" s="1" t="n">
        <f aca="false">IF($A491="","",SUMIFS(物件収支!$I:$I,物件収支!$A:$A,$A491,物件収支!$C:$C,$M491))</f>
        <v>0</v>
      </c>
      <c r="Q491" s="1" t="n">
        <f aca="false">IF($A491="","",SUMIFS(物件収支!$O:$O,物件収支!$A:$A,$A491,物件収支!$C:$C,$M491))</f>
        <v>0</v>
      </c>
      <c r="R491" s="1" t="str">
        <f aca="false">IF($A491="","",IF(P491=0,"",O491-P491))</f>
        <v/>
      </c>
      <c r="S491" s="1" t="str">
        <f aca="false">IF($A491="","",IF(R491="","",R491+Q491))</f>
        <v/>
      </c>
      <c r="T491" s="1" t="str">
        <f aca="false">IF($A491="","",IF(OR(S491="",N491&lt;=0),"",S491/1000*12/N491))</f>
        <v/>
      </c>
      <c r="U491" s="1" t="str">
        <f aca="false">IF($A491="","",IF(OR(T491="",J491=0,J491=""),"",T491/J491))</f>
        <v/>
      </c>
      <c r="V491" s="1" t="str">
        <f aca="false">IF($A491="","",IF(OR(R491="",N491&lt;=0,J491=0,J491=""),"",(R491/1000*12/N491)/J491))</f>
        <v/>
      </c>
      <c r="W491" s="1" t="str">
        <f aca="false">IF($A491="","",IF(OR(T491="",K491=0,K491=""),"",T491/K491))</f>
        <v/>
      </c>
      <c r="X491" s="1" t="n">
        <f aca="false">IF($A491="","",IF(OR(N491&lt;=0,I491=0,I491="",O491=0),"",O491*1000/(I491*0.3025)/N491))</f>
        <v>7367.90330699067</v>
      </c>
      <c r="Y491" s="1" t="str">
        <f aca="false">IF($A491="","",IF(OR(O491=0,O491="",P491=0),"",P491/O491))</f>
        <v/>
      </c>
      <c r="Z491" s="1" t="str">
        <f aca="false">IF($A491="","",IFERROR(INDEX(物件収支!$E:$E,MATCH($A491,物件収支!$A:$A,0)),""))</f>
        <v>開示（物件別・収益のみ・百万円単位）</v>
      </c>
    </row>
    <row r="492" customFormat="false" ht="15" hidden="false" customHeight="true" outlineLevel="0" collapsed="false">
      <c r="A492" s="1" t="str">
        <f aca="false">IF(物件マスタ!A492="","",物件マスタ!A492)</f>
        <v>SHR-042</v>
      </c>
      <c r="B492" s="1" t="str">
        <f aca="false">IF($A492="","",物件マスタ!B492)</f>
        <v>SHR</v>
      </c>
      <c r="C492" s="1" t="str">
        <f aca="false">IF($A492="","",IFERROR(INDEX(法人マスタ!$C:$C,MATCH($B492,法人マスタ!$A:$A,0)),""))</f>
        <v>積水ハウス・リート投資法人</v>
      </c>
      <c r="D492" s="1" t="str">
        <f aca="false">IF($A492="","",物件マスタ!C492)</f>
        <v>プライムメゾン照葉</v>
      </c>
      <c r="E492" s="1" t="str">
        <f aca="false">IF($A492="","",物件マスタ!H492)</f>
        <v>3大都市圏以外の政令市</v>
      </c>
      <c r="F492" s="53" t="n">
        <f aca="false">IF($A492="","",物件マスタ!P492)</f>
        <v>38565</v>
      </c>
      <c r="G492" s="1" t="n">
        <f aca="false">IF($A492="","",物件マスタ!Q492)</f>
        <v>21</v>
      </c>
      <c r="H492" s="1" t="n">
        <f aca="false">IF($A492="","",物件マスタ!L492)</f>
        <v>0</v>
      </c>
      <c r="I492" s="1" t="n">
        <f aca="false">IF($A492="","",物件マスタ!M492)</f>
        <v>6728.2</v>
      </c>
      <c r="J492" s="1" t="n">
        <f aca="false">IF($A492="","",物件マスタ!S492)</f>
        <v>1260</v>
      </c>
      <c r="K492" s="1" t="n">
        <f aca="false">IF($A492="","",物件マスタ!U492)</f>
        <v>1380</v>
      </c>
      <c r="L492" s="1" t="n">
        <f aca="false">IF($A492="","",物件マスタ!W492)</f>
        <v>1</v>
      </c>
      <c r="M492" s="1" t="str">
        <f aca="false">IF($A492="","",IFERROR(INDEX(法人マスタ!$H:$H,MATCH($B492,法人マスタ!$A:$A,0)),""))</f>
        <v>2026年4月期（第23期）</v>
      </c>
      <c r="N492" s="1" t="n">
        <f aca="false">IF($A492="","",SUMIFS(物件収支!$D:$D,物件収支!$A:$A,$A492,物件収支!$C:$C,$M492))</f>
        <v>6</v>
      </c>
      <c r="O492" s="1" t="n">
        <f aca="false">IF($A492="","",SUMIFS(物件収支!$F:$F,物件収支!$A:$A,$A492,物件収支!$C:$C,$M492))</f>
        <v>53000</v>
      </c>
      <c r="P492" s="1" t="n">
        <f aca="false">IF($A492="","",SUMIFS(物件収支!$I:$I,物件収支!$A:$A,$A492,物件収支!$C:$C,$M492))</f>
        <v>0</v>
      </c>
      <c r="Q492" s="1" t="n">
        <f aca="false">IF($A492="","",SUMIFS(物件収支!$O:$O,物件収支!$A:$A,$A492,物件収支!$C:$C,$M492))</f>
        <v>0</v>
      </c>
      <c r="R492" s="1" t="str">
        <f aca="false">IF($A492="","",IF(P492=0,"",O492-P492))</f>
        <v/>
      </c>
      <c r="S492" s="1" t="str">
        <f aca="false">IF($A492="","",IF(R492="","",R492+Q492))</f>
        <v/>
      </c>
      <c r="T492" s="1" t="str">
        <f aca="false">IF($A492="","",IF(OR(S492="",N492&lt;=0),"",S492/1000*12/N492))</f>
        <v/>
      </c>
      <c r="U492" s="1" t="str">
        <f aca="false">IF($A492="","",IF(OR(T492="",J492=0,J492=""),"",T492/J492))</f>
        <v/>
      </c>
      <c r="V492" s="1" t="str">
        <f aca="false">IF($A492="","",IF(OR(R492="",N492&lt;=0,J492=0,J492=""),"",(R492/1000*12/N492)/J492))</f>
        <v/>
      </c>
      <c r="W492" s="1" t="str">
        <f aca="false">IF($A492="","",IF(OR(T492="",K492=0,K492=""),"",T492/K492))</f>
        <v/>
      </c>
      <c r="X492" s="1" t="n">
        <f aca="false">IF($A492="","",IF(OR(N492&lt;=0,I492=0,I492="",O492=0),"",O492*1000/(I492*0.3025)/N492))</f>
        <v>4340.10610986217</v>
      </c>
      <c r="Y492" s="1" t="str">
        <f aca="false">IF($A492="","",IF(OR(O492=0,O492="",P492=0),"",P492/O492))</f>
        <v/>
      </c>
      <c r="Z492" s="1" t="str">
        <f aca="false">IF($A492="","",IFERROR(INDEX(物件収支!$E:$E,MATCH($A492,物件収支!$A:$A,0)),""))</f>
        <v>開示（物件別・収益のみ・百万円単位）</v>
      </c>
    </row>
    <row r="493" customFormat="false" ht="15" hidden="false" customHeight="true" outlineLevel="0" collapsed="false">
      <c r="A493" s="1" t="str">
        <f aca="false">IF(物件マスタ!A493="","",物件マスタ!A493)</f>
        <v>SHR-043</v>
      </c>
      <c r="B493" s="1" t="str">
        <f aca="false">IF($A493="","",物件マスタ!B493)</f>
        <v>SHR</v>
      </c>
      <c r="C493" s="1" t="str">
        <f aca="false">IF($A493="","",IFERROR(INDEX(法人マスタ!$C:$C,MATCH($B493,法人マスタ!$A:$A,0)),""))</f>
        <v>積水ハウス・リート投資法人</v>
      </c>
      <c r="D493" s="1" t="str">
        <f aca="false">IF($A493="","",物件マスタ!C493)</f>
        <v>エスティメゾン東白壁</v>
      </c>
      <c r="E493" s="1" t="str">
        <f aca="false">IF($A493="","",物件マスタ!H493)</f>
        <v>（期中譲渡済）</v>
      </c>
      <c r="F493" s="1" t="n">
        <f aca="false">IF($A493="","",物件マスタ!P493)</f>
        <v>0</v>
      </c>
      <c r="G493" s="1" t="str">
        <f aca="false">IF($A493="","",物件マスタ!Q493)</f>
        <v/>
      </c>
      <c r="H493" s="1" t="n">
        <f aca="false">IF($A493="","",物件マスタ!L493)</f>
        <v>0</v>
      </c>
      <c r="I493" s="1" t="n">
        <f aca="false">IF($A493="","",物件マスタ!M493)</f>
        <v>0</v>
      </c>
      <c r="J493" s="1" t="n">
        <f aca="false">IF($A493="","",物件マスタ!S493)</f>
        <v>0</v>
      </c>
      <c r="K493" s="1" t="n">
        <f aca="false">IF($A493="","",物件マスタ!U493)</f>
        <v>0</v>
      </c>
      <c r="L493" s="1" t="n">
        <f aca="false">IF($A493="","",物件マスタ!W493)</f>
        <v>0</v>
      </c>
      <c r="M493" s="1" t="str">
        <f aca="false">IF($A493="","",IFERROR(INDEX(法人マスタ!$H:$H,MATCH($B493,法人マスタ!$A:$A,0)),""))</f>
        <v>2026年4月期（第23期）</v>
      </c>
      <c r="N493" s="1" t="n">
        <f aca="false">IF($A493="","",SUMIFS(物件収支!$D:$D,物件収支!$A:$A,$A493,物件収支!$C:$C,$M493))</f>
        <v>6</v>
      </c>
      <c r="O493" s="1" t="n">
        <f aca="false">IF($A493="","",SUMIFS(物件収支!$F:$F,物件収支!$A:$A,$A493,物件収支!$C:$C,$M493))</f>
        <v>22000</v>
      </c>
      <c r="P493" s="1" t="n">
        <f aca="false">IF($A493="","",SUMIFS(物件収支!$I:$I,物件収支!$A:$A,$A493,物件収支!$C:$C,$M493))</f>
        <v>0</v>
      </c>
      <c r="Q493" s="1" t="n">
        <f aca="false">IF($A493="","",SUMIFS(物件収支!$O:$O,物件収支!$A:$A,$A493,物件収支!$C:$C,$M493))</f>
        <v>0</v>
      </c>
      <c r="R493" s="1" t="str">
        <f aca="false">IF($A493="","",IF(P493=0,"",O493-P493))</f>
        <v/>
      </c>
      <c r="S493" s="1" t="str">
        <f aca="false">IF($A493="","",IF(R493="","",R493+Q493))</f>
        <v/>
      </c>
      <c r="T493" s="1" t="str">
        <f aca="false">IF($A493="","",IF(OR(S493="",N493&lt;=0),"",S493/1000*12/N493))</f>
        <v/>
      </c>
      <c r="U493" s="1" t="str">
        <f aca="false">IF($A493="","",IF(OR(T493="",J493=0,J493=""),"",T493/J493))</f>
        <v/>
      </c>
      <c r="V493" s="1" t="str">
        <f aca="false">IF($A493="","",IF(OR(R493="",N493&lt;=0,J493=0,J493=""),"",(R493/1000*12/N493)/J493))</f>
        <v/>
      </c>
      <c r="W493" s="1" t="str">
        <f aca="false">IF($A493="","",IF(OR(T493="",K493=0,K493=""),"",T493/K493))</f>
        <v/>
      </c>
      <c r="X493" s="1" t="str">
        <f aca="false">IF($A493="","",IF(OR(N493&lt;=0,I493=0,I493="",O493=0),"",O493*1000/(I493*0.3025)/N493))</f>
        <v/>
      </c>
      <c r="Y493" s="1" t="str">
        <f aca="false">IF($A493="","",IF(OR(O493=0,O493="",P493=0),"",P493/O493))</f>
        <v/>
      </c>
      <c r="Z493" s="1" t="str">
        <f aca="false">IF($A493="","",IFERROR(INDEX(物件収支!$E:$E,MATCH($A493,物件収支!$A:$A,0)),""))</f>
        <v>開示（期中譲渡・収益のみ・百万円単位）</v>
      </c>
    </row>
    <row r="494" customFormat="false" ht="15" hidden="false" customHeight="true" outlineLevel="0" collapsed="false">
      <c r="A494" s="1" t="str">
        <f aca="false">IF(物件マスタ!A494="","",物件マスタ!A494)</f>
        <v>SHR-044</v>
      </c>
      <c r="B494" s="1" t="str">
        <f aca="false">IF($A494="","",物件マスタ!B494)</f>
        <v>SHR</v>
      </c>
      <c r="C494" s="1" t="str">
        <f aca="false">IF($A494="","",IFERROR(INDEX(法人マスタ!$C:$C,MATCH($B494,法人マスタ!$A:$A,0)),""))</f>
        <v>積水ハウス・リート投資法人</v>
      </c>
      <c r="D494" s="1" t="str">
        <f aca="false">IF($A494="","",物件マスタ!C494)</f>
        <v>エスティメゾン千石</v>
      </c>
      <c r="E494" s="1" t="str">
        <f aca="false">IF($A494="","",物件マスタ!H494)</f>
        <v>その他東京23区</v>
      </c>
      <c r="F494" s="53" t="n">
        <f aca="false">IF($A494="","",物件マスタ!P494)</f>
        <v>40026</v>
      </c>
      <c r="G494" s="1" t="n">
        <f aca="false">IF($A494="","",物件マスタ!Q494)</f>
        <v>17</v>
      </c>
      <c r="H494" s="1" t="n">
        <f aca="false">IF($A494="","",物件マスタ!L494)</f>
        <v>0</v>
      </c>
      <c r="I494" s="1" t="n">
        <f aca="false">IF($A494="","",物件マスタ!M494)</f>
        <v>1498.13</v>
      </c>
      <c r="J494" s="1" t="n">
        <f aca="false">IF($A494="","",物件マスタ!S494)</f>
        <v>1360</v>
      </c>
      <c r="K494" s="1" t="n">
        <f aca="false">IF($A494="","",物件マスタ!U494)</f>
        <v>1650</v>
      </c>
      <c r="L494" s="1" t="n">
        <f aca="false">IF($A494="","",物件マスタ!W494)</f>
        <v>1</v>
      </c>
      <c r="M494" s="1" t="str">
        <f aca="false">IF($A494="","",IFERROR(INDEX(法人マスタ!$H:$H,MATCH($B494,法人マスタ!$A:$A,0)),""))</f>
        <v>2026年4月期（第23期）</v>
      </c>
      <c r="N494" s="1" t="n">
        <f aca="false">IF($A494="","",SUMIFS(物件収支!$D:$D,物件収支!$A:$A,$A494,物件収支!$C:$C,$M494))</f>
        <v>6</v>
      </c>
      <c r="O494" s="1" t="n">
        <f aca="false">IF($A494="","",SUMIFS(物件収支!$F:$F,物件収支!$A:$A,$A494,物件収支!$C:$C,$M494))</f>
        <v>43000</v>
      </c>
      <c r="P494" s="1" t="n">
        <f aca="false">IF($A494="","",SUMIFS(物件収支!$I:$I,物件収支!$A:$A,$A494,物件収支!$C:$C,$M494))</f>
        <v>0</v>
      </c>
      <c r="Q494" s="1" t="n">
        <f aca="false">IF($A494="","",SUMIFS(物件収支!$O:$O,物件収支!$A:$A,$A494,物件収支!$C:$C,$M494))</f>
        <v>0</v>
      </c>
      <c r="R494" s="1" t="str">
        <f aca="false">IF($A494="","",IF(P494=0,"",O494-P494))</f>
        <v/>
      </c>
      <c r="S494" s="1" t="str">
        <f aca="false">IF($A494="","",IF(R494="","",R494+Q494))</f>
        <v/>
      </c>
      <c r="T494" s="1" t="str">
        <f aca="false">IF($A494="","",IF(OR(S494="",N494&lt;=0),"",S494/1000*12/N494))</f>
        <v/>
      </c>
      <c r="U494" s="1" t="str">
        <f aca="false">IF($A494="","",IF(OR(T494="",J494=0,J494=""),"",T494/J494))</f>
        <v/>
      </c>
      <c r="V494" s="1" t="str">
        <f aca="false">IF($A494="","",IF(OR(R494="",N494&lt;=0,J494=0,J494=""),"",(R494/1000*12/N494)/J494))</f>
        <v/>
      </c>
      <c r="W494" s="1" t="str">
        <f aca="false">IF($A494="","",IF(OR(T494="",K494=0,K494=""),"",T494/K494))</f>
        <v/>
      </c>
      <c r="X494" s="1" t="n">
        <f aca="false">IF($A494="","",IF(OR(N494&lt;=0,I494=0,I494="",O494=0),"",O494*1000/(I494*0.3025)/N494))</f>
        <v>15814.0215168887</v>
      </c>
      <c r="Y494" s="1" t="str">
        <f aca="false">IF($A494="","",IF(OR(O494=0,O494="",P494=0),"",P494/O494))</f>
        <v/>
      </c>
      <c r="Z494" s="1" t="str">
        <f aca="false">IF($A494="","",IFERROR(INDEX(物件収支!$E:$E,MATCH($A494,物件収支!$A:$A,0)),""))</f>
        <v>開示（物件別・収益のみ・百万円単位）</v>
      </c>
    </row>
    <row r="495" customFormat="false" ht="15" hidden="false" customHeight="true" outlineLevel="0" collapsed="false">
      <c r="A495" s="1" t="str">
        <f aca="false">IF(物件マスタ!A495="","",物件マスタ!A495)</f>
        <v>SHR-045</v>
      </c>
      <c r="B495" s="1" t="str">
        <f aca="false">IF($A495="","",物件マスタ!B495)</f>
        <v>SHR</v>
      </c>
      <c r="C495" s="1" t="str">
        <f aca="false">IF($A495="","",IFERROR(INDEX(法人マスタ!$C:$C,MATCH($B495,法人マスタ!$A:$A,0)),""))</f>
        <v>積水ハウス・リート投資法人</v>
      </c>
      <c r="D495" s="1" t="str">
        <f aca="false">IF($A495="","",物件マスタ!C495)</f>
        <v>エスティメゾン代沢</v>
      </c>
      <c r="E495" s="1" t="str">
        <f aca="false">IF($A495="","",物件マスタ!H495)</f>
        <v>その他東京23区</v>
      </c>
      <c r="F495" s="53" t="n">
        <f aca="false">IF($A495="","",物件マスタ!P495)</f>
        <v>40210</v>
      </c>
      <c r="G495" s="1" t="n">
        <f aca="false">IF($A495="","",物件マスタ!Q495)</f>
        <v>16.5</v>
      </c>
      <c r="H495" s="1" t="n">
        <f aca="false">IF($A495="","",物件マスタ!L495)</f>
        <v>0</v>
      </c>
      <c r="I495" s="1" t="n">
        <f aca="false">IF($A495="","",物件マスタ!M495)</f>
        <v>2352.9</v>
      </c>
      <c r="J495" s="1" t="n">
        <f aca="false">IF($A495="","",物件マスタ!S495)</f>
        <v>2270</v>
      </c>
      <c r="K495" s="1" t="n">
        <f aca="false">IF($A495="","",物件マスタ!U495)</f>
        <v>2730</v>
      </c>
      <c r="L495" s="1" t="n">
        <f aca="false">IF($A495="","",物件マスタ!W495)</f>
        <v>0.978</v>
      </c>
      <c r="M495" s="1" t="str">
        <f aca="false">IF($A495="","",IFERROR(INDEX(法人マスタ!$H:$H,MATCH($B495,法人マスタ!$A:$A,0)),""))</f>
        <v>2026年4月期（第23期）</v>
      </c>
      <c r="N495" s="1" t="n">
        <f aca="false">IF($A495="","",SUMIFS(物件収支!$D:$D,物件収支!$A:$A,$A495,物件収支!$C:$C,$M495))</f>
        <v>6</v>
      </c>
      <c r="O495" s="1" t="n">
        <f aca="false">IF($A495="","",SUMIFS(物件収支!$F:$F,物件収支!$A:$A,$A495,物件収支!$C:$C,$M495))</f>
        <v>66000</v>
      </c>
      <c r="P495" s="1" t="n">
        <f aca="false">IF($A495="","",SUMIFS(物件収支!$I:$I,物件収支!$A:$A,$A495,物件収支!$C:$C,$M495))</f>
        <v>0</v>
      </c>
      <c r="Q495" s="1" t="n">
        <f aca="false">IF($A495="","",SUMIFS(物件収支!$O:$O,物件収支!$A:$A,$A495,物件収支!$C:$C,$M495))</f>
        <v>0</v>
      </c>
      <c r="R495" s="1" t="str">
        <f aca="false">IF($A495="","",IF(P495=0,"",O495-P495))</f>
        <v/>
      </c>
      <c r="S495" s="1" t="str">
        <f aca="false">IF($A495="","",IF(R495="","",R495+Q495))</f>
        <v/>
      </c>
      <c r="T495" s="1" t="str">
        <f aca="false">IF($A495="","",IF(OR(S495="",N495&lt;=0),"",S495/1000*12/N495))</f>
        <v/>
      </c>
      <c r="U495" s="1" t="str">
        <f aca="false">IF($A495="","",IF(OR(T495="",J495=0,J495=""),"",T495/J495))</f>
        <v/>
      </c>
      <c r="V495" s="1" t="str">
        <f aca="false">IF($A495="","",IF(OR(R495="",N495&lt;=0,J495=0,J495=""),"",(R495/1000*12/N495)/J495))</f>
        <v/>
      </c>
      <c r="W495" s="1" t="str">
        <f aca="false">IF($A495="","",IF(OR(T495="",K495=0,K495=""),"",T495/K495))</f>
        <v/>
      </c>
      <c r="X495" s="1" t="n">
        <f aca="false">IF($A495="","",IF(OR(N495&lt;=0,I495=0,I495="",O495=0),"",O495*1000/(I495*0.3025)/N495))</f>
        <v>15454.8159138239</v>
      </c>
      <c r="Y495" s="1" t="str">
        <f aca="false">IF($A495="","",IF(OR(O495=0,O495="",P495=0),"",P495/O495))</f>
        <v/>
      </c>
      <c r="Z495" s="1" t="str">
        <f aca="false">IF($A495="","",IFERROR(INDEX(物件収支!$E:$E,MATCH($A495,物件収支!$A:$A,0)),""))</f>
        <v>開示（物件別・収益のみ・百万円単位）</v>
      </c>
    </row>
    <row r="496" customFormat="false" ht="15" hidden="false" customHeight="true" outlineLevel="0" collapsed="false">
      <c r="A496" s="1" t="str">
        <f aca="false">IF(物件マスタ!A496="","",物件マスタ!A496)</f>
        <v>SHR-046</v>
      </c>
      <c r="B496" s="1" t="str">
        <f aca="false">IF($A496="","",物件マスタ!B496)</f>
        <v>SHR</v>
      </c>
      <c r="C496" s="1" t="str">
        <f aca="false">IF($A496="","",IFERROR(INDEX(法人マスタ!$C:$C,MATCH($B496,法人マスタ!$A:$A,0)),""))</f>
        <v>積水ハウス・リート投資法人</v>
      </c>
      <c r="D496" s="1" t="str">
        <f aca="false">IF($A496="","",物件マスタ!C496)</f>
        <v>エスティメゾン戸越</v>
      </c>
      <c r="E496" s="1" t="str">
        <f aca="false">IF($A496="","",物件マスタ!H496)</f>
        <v>その他東京23区</v>
      </c>
      <c r="F496" s="53" t="n">
        <f aca="false">IF($A496="","",物件マスタ!P496)</f>
        <v>39965</v>
      </c>
      <c r="G496" s="1" t="n">
        <f aca="false">IF($A496="","",物件マスタ!Q496)</f>
        <v>17.2</v>
      </c>
      <c r="H496" s="1" t="n">
        <f aca="false">IF($A496="","",物件マスタ!L496)</f>
        <v>0</v>
      </c>
      <c r="I496" s="1" t="n">
        <f aca="false">IF($A496="","",物件マスタ!M496)</f>
        <v>1943.17</v>
      </c>
      <c r="J496" s="1" t="n">
        <f aca="false">IF($A496="","",物件マスタ!S496)</f>
        <v>1770</v>
      </c>
      <c r="K496" s="1" t="n">
        <f aca="false">IF($A496="","",物件マスタ!U496)</f>
        <v>2310</v>
      </c>
      <c r="L496" s="1" t="n">
        <f aca="false">IF($A496="","",物件マスタ!W496)</f>
        <v>0.928</v>
      </c>
      <c r="M496" s="1" t="str">
        <f aca="false">IF($A496="","",IFERROR(INDEX(法人マスタ!$H:$H,MATCH($B496,法人マスタ!$A:$A,0)),""))</f>
        <v>2026年4月期（第23期）</v>
      </c>
      <c r="N496" s="1" t="n">
        <f aca="false">IF($A496="","",SUMIFS(物件収支!$D:$D,物件収支!$A:$A,$A496,物件収支!$C:$C,$M496))</f>
        <v>6</v>
      </c>
      <c r="O496" s="1" t="n">
        <f aca="false">IF($A496="","",SUMIFS(物件収支!$F:$F,物件収支!$A:$A,$A496,物件収支!$C:$C,$M496))</f>
        <v>54000</v>
      </c>
      <c r="P496" s="1" t="n">
        <f aca="false">IF($A496="","",SUMIFS(物件収支!$I:$I,物件収支!$A:$A,$A496,物件収支!$C:$C,$M496))</f>
        <v>0</v>
      </c>
      <c r="Q496" s="1" t="n">
        <f aca="false">IF($A496="","",SUMIFS(物件収支!$O:$O,物件収支!$A:$A,$A496,物件収支!$C:$C,$M496))</f>
        <v>0</v>
      </c>
      <c r="R496" s="1" t="str">
        <f aca="false">IF($A496="","",IF(P496=0,"",O496-P496))</f>
        <v/>
      </c>
      <c r="S496" s="1" t="str">
        <f aca="false">IF($A496="","",IF(R496="","",R496+Q496))</f>
        <v/>
      </c>
      <c r="T496" s="1" t="str">
        <f aca="false">IF($A496="","",IF(OR(S496="",N496&lt;=0),"",S496/1000*12/N496))</f>
        <v/>
      </c>
      <c r="U496" s="1" t="str">
        <f aca="false">IF($A496="","",IF(OR(T496="",J496=0,J496=""),"",T496/J496))</f>
        <v/>
      </c>
      <c r="V496" s="1" t="str">
        <f aca="false">IF($A496="","",IF(OR(R496="",N496&lt;=0,J496=0,J496=""),"",(R496/1000*12/N496)/J496))</f>
        <v/>
      </c>
      <c r="W496" s="1" t="str">
        <f aca="false">IF($A496="","",IF(OR(T496="",K496=0,K496=""),"",T496/K496))</f>
        <v/>
      </c>
      <c r="X496" s="1" t="n">
        <f aca="false">IF($A496="","",IF(OR(N496&lt;=0,I496=0,I496="",O496=0),"",O496*1000/(I496*0.3025)/N496))</f>
        <v>15311.0979048166</v>
      </c>
      <c r="Y496" s="1" t="str">
        <f aca="false">IF($A496="","",IF(OR(O496=0,O496="",P496=0),"",P496/O496))</f>
        <v/>
      </c>
      <c r="Z496" s="1" t="str">
        <f aca="false">IF($A496="","",IFERROR(INDEX(物件収支!$E:$E,MATCH($A496,物件収支!$A:$A,0)),""))</f>
        <v>開示（物件別・収益のみ・百万円単位）</v>
      </c>
    </row>
    <row r="497" customFormat="false" ht="15" hidden="false" customHeight="true" outlineLevel="0" collapsed="false">
      <c r="A497" s="1" t="str">
        <f aca="false">IF(物件マスタ!A497="","",物件マスタ!A497)</f>
        <v>SHR-047</v>
      </c>
      <c r="B497" s="1" t="str">
        <f aca="false">IF($A497="","",物件マスタ!B497)</f>
        <v>SHR</v>
      </c>
      <c r="C497" s="1" t="str">
        <f aca="false">IF($A497="","",IFERROR(INDEX(法人マスタ!$C:$C,MATCH($B497,法人マスタ!$A:$A,0)),""))</f>
        <v>積水ハウス・リート投資法人</v>
      </c>
      <c r="D497" s="1" t="str">
        <f aca="false">IF($A497="","",物件マスタ!C497)</f>
        <v>エスティメゾン西天満</v>
      </c>
      <c r="E497" s="1" t="str">
        <f aca="false">IF($A497="","",物件マスタ!H497)</f>
        <v>その他3大都市圏</v>
      </c>
      <c r="F497" s="53" t="n">
        <f aca="false">IF($A497="","",物件マスタ!P497)</f>
        <v>39387</v>
      </c>
      <c r="G497" s="1" t="n">
        <f aca="false">IF($A497="","",物件マスタ!Q497)</f>
        <v>18.8</v>
      </c>
      <c r="H497" s="1" t="n">
        <f aca="false">IF($A497="","",物件マスタ!L497)</f>
        <v>0</v>
      </c>
      <c r="I497" s="1" t="n">
        <f aca="false">IF($A497="","",物件マスタ!M497)</f>
        <v>2877.9</v>
      </c>
      <c r="J497" s="1" t="n">
        <f aca="false">IF($A497="","",物件マスタ!S497)</f>
        <v>1680</v>
      </c>
      <c r="K497" s="1" t="n">
        <f aca="false">IF($A497="","",物件マスタ!U497)</f>
        <v>1830</v>
      </c>
      <c r="L497" s="1" t="n">
        <f aca="false">IF($A497="","",物件マスタ!W497)</f>
        <v>0.955</v>
      </c>
      <c r="M497" s="1" t="str">
        <f aca="false">IF($A497="","",IFERROR(INDEX(法人マスタ!$H:$H,MATCH($B497,法人マスタ!$A:$A,0)),""))</f>
        <v>2026年4月期（第23期）</v>
      </c>
      <c r="N497" s="1" t="n">
        <f aca="false">IF($A497="","",SUMIFS(物件収支!$D:$D,物件収支!$A:$A,$A497,物件収支!$C:$C,$M497))</f>
        <v>6</v>
      </c>
      <c r="O497" s="1" t="n">
        <f aca="false">IF($A497="","",SUMIFS(物件収支!$F:$F,物件収支!$A:$A,$A497,物件収支!$C:$C,$M497))</f>
        <v>54000</v>
      </c>
      <c r="P497" s="1" t="n">
        <f aca="false">IF($A497="","",SUMIFS(物件収支!$I:$I,物件収支!$A:$A,$A497,物件収支!$C:$C,$M497))</f>
        <v>0</v>
      </c>
      <c r="Q497" s="1" t="n">
        <f aca="false">IF($A497="","",SUMIFS(物件収支!$O:$O,物件収支!$A:$A,$A497,物件収支!$C:$C,$M497))</f>
        <v>0</v>
      </c>
      <c r="R497" s="1" t="str">
        <f aca="false">IF($A497="","",IF(P497=0,"",O497-P497))</f>
        <v/>
      </c>
      <c r="S497" s="1" t="str">
        <f aca="false">IF($A497="","",IF(R497="","",R497+Q497))</f>
        <v/>
      </c>
      <c r="T497" s="1" t="str">
        <f aca="false">IF($A497="","",IF(OR(S497="",N497&lt;=0),"",S497/1000*12/N497))</f>
        <v/>
      </c>
      <c r="U497" s="1" t="str">
        <f aca="false">IF($A497="","",IF(OR(T497="",J497=0,J497=""),"",T497/J497))</f>
        <v/>
      </c>
      <c r="V497" s="1" t="str">
        <f aca="false">IF($A497="","",IF(OR(R497="",N497&lt;=0,J497=0,J497=""),"",(R497/1000*12/N497)/J497))</f>
        <v/>
      </c>
      <c r="W497" s="1" t="str">
        <f aca="false">IF($A497="","",IF(OR(T497="",K497=0,K497=""),"",T497/K497))</f>
        <v/>
      </c>
      <c r="X497" s="1" t="n">
        <f aca="false">IF($A497="","",IF(OR(N497&lt;=0,I497=0,I497="",O497=0),"",O497*1000/(I497*0.3025)/N497))</f>
        <v>10338.1167225069</v>
      </c>
      <c r="Y497" s="1" t="str">
        <f aca="false">IF($A497="","",IF(OR(O497=0,O497="",P497=0),"",P497/O497))</f>
        <v/>
      </c>
      <c r="Z497" s="1" t="str">
        <f aca="false">IF($A497="","",IFERROR(INDEX(物件収支!$E:$E,MATCH($A497,物件収支!$A:$A,0)),""))</f>
        <v>開示（物件別・収益のみ・百万円単位）</v>
      </c>
    </row>
    <row r="498" customFormat="false" ht="15" hidden="false" customHeight="true" outlineLevel="0" collapsed="false">
      <c r="A498" s="1" t="str">
        <f aca="false">IF(物件マスタ!A498="","",物件マスタ!A498)</f>
        <v>SHR-048</v>
      </c>
      <c r="B498" s="1" t="str">
        <f aca="false">IF($A498="","",物件マスタ!B498)</f>
        <v>SHR</v>
      </c>
      <c r="C498" s="1" t="str">
        <f aca="false">IF($A498="","",IFERROR(INDEX(法人マスタ!$C:$C,MATCH($B498,法人マスタ!$A:$A,0)),""))</f>
        <v>積水ハウス・リート投資法人</v>
      </c>
      <c r="D498" s="1" t="str">
        <f aca="false">IF($A498="","",物件マスタ!C498)</f>
        <v>エスティメゾン白金台</v>
      </c>
      <c r="E498" s="1" t="str">
        <f aca="false">IF($A498="","",物件マスタ!H498)</f>
        <v>その他東京23区</v>
      </c>
      <c r="F498" s="53" t="n">
        <f aca="false">IF($A498="","",物件マスタ!P498)</f>
        <v>37865</v>
      </c>
      <c r="G498" s="1" t="n">
        <f aca="false">IF($A498="","",物件マスタ!Q498)</f>
        <v>22.9</v>
      </c>
      <c r="H498" s="1" t="n">
        <f aca="false">IF($A498="","",物件マスタ!L498)</f>
        <v>0</v>
      </c>
      <c r="I498" s="1" t="n">
        <f aca="false">IF($A498="","",物件マスタ!M498)</f>
        <v>2675.11</v>
      </c>
      <c r="J498" s="1" t="n">
        <f aca="false">IF($A498="","",物件マスタ!S498)</f>
        <v>2400</v>
      </c>
      <c r="K498" s="1" t="n">
        <f aca="false">IF($A498="","",物件マスタ!U498)</f>
        <v>3580</v>
      </c>
      <c r="L498" s="1" t="n">
        <f aca="false">IF($A498="","",物件マスタ!W498)</f>
        <v>0.951</v>
      </c>
      <c r="M498" s="1" t="str">
        <f aca="false">IF($A498="","",IFERROR(INDEX(法人マスタ!$H:$H,MATCH($B498,法人マスタ!$A:$A,0)),""))</f>
        <v>2026年4月期（第23期）</v>
      </c>
      <c r="N498" s="1" t="n">
        <f aca="false">IF($A498="","",SUMIFS(物件収支!$D:$D,物件収支!$A:$A,$A498,物件収支!$C:$C,$M498))</f>
        <v>6</v>
      </c>
      <c r="O498" s="1" t="n">
        <f aca="false">IF($A498="","",SUMIFS(物件収支!$F:$F,物件収支!$A:$A,$A498,物件収支!$C:$C,$M498))</f>
        <v>81000</v>
      </c>
      <c r="P498" s="1" t="n">
        <f aca="false">IF($A498="","",SUMIFS(物件収支!$I:$I,物件収支!$A:$A,$A498,物件収支!$C:$C,$M498))</f>
        <v>0</v>
      </c>
      <c r="Q498" s="1" t="n">
        <f aca="false">IF($A498="","",SUMIFS(物件収支!$O:$O,物件収支!$A:$A,$A498,物件収支!$C:$C,$M498))</f>
        <v>0</v>
      </c>
      <c r="R498" s="1" t="str">
        <f aca="false">IF($A498="","",IF(P498=0,"",O498-P498))</f>
        <v/>
      </c>
      <c r="S498" s="1" t="str">
        <f aca="false">IF($A498="","",IF(R498="","",R498+Q498))</f>
        <v/>
      </c>
      <c r="T498" s="1" t="str">
        <f aca="false">IF($A498="","",IF(OR(S498="",N498&lt;=0),"",S498/1000*12/N498))</f>
        <v/>
      </c>
      <c r="U498" s="1" t="str">
        <f aca="false">IF($A498="","",IF(OR(T498="",J498=0,J498=""),"",T498/J498))</f>
        <v/>
      </c>
      <c r="V498" s="1" t="str">
        <f aca="false">IF($A498="","",IF(OR(R498="",N498&lt;=0,J498=0,J498=""),"",(R498/1000*12/N498)/J498))</f>
        <v/>
      </c>
      <c r="W498" s="1" t="str">
        <f aca="false">IF($A498="","",IF(OR(T498="",K498=0,K498=""),"",T498/K498))</f>
        <v/>
      </c>
      <c r="X498" s="1" t="n">
        <f aca="false">IF($A498="","",IF(OR(N498&lt;=0,I498=0,I498="",O498=0),"",O498*1000/(I498*0.3025)/N498))</f>
        <v>16682.7155419978</v>
      </c>
      <c r="Y498" s="1" t="str">
        <f aca="false">IF($A498="","",IF(OR(O498=0,O498="",P498=0),"",P498/O498))</f>
        <v/>
      </c>
      <c r="Z498" s="1" t="str">
        <f aca="false">IF($A498="","",IFERROR(INDEX(物件収支!$E:$E,MATCH($A498,物件収支!$A:$A,0)),""))</f>
        <v>開示（物件別・収益のみ・百万円単位）</v>
      </c>
    </row>
    <row r="499" customFormat="false" ht="15" hidden="false" customHeight="true" outlineLevel="0" collapsed="false">
      <c r="A499" s="1" t="str">
        <f aca="false">IF(物件マスタ!A499="","",物件マスタ!A499)</f>
        <v>SHR-049</v>
      </c>
      <c r="B499" s="1" t="str">
        <f aca="false">IF($A499="","",物件マスタ!B499)</f>
        <v>SHR</v>
      </c>
      <c r="C499" s="1" t="str">
        <f aca="false">IF($A499="","",IFERROR(INDEX(法人マスタ!$C:$C,MATCH($B499,法人マスタ!$A:$A,0)),""))</f>
        <v>積水ハウス・リート投資法人</v>
      </c>
      <c r="D499" s="1" t="str">
        <f aca="false">IF($A499="","",物件マスタ!C499)</f>
        <v>エスティメゾン東新宿</v>
      </c>
      <c r="E499" s="1" t="str">
        <f aca="false">IF($A499="","",物件マスタ!H499)</f>
        <v>都心5区</v>
      </c>
      <c r="F499" s="53" t="n">
        <f aca="false">IF($A499="","",物件マスタ!P499)</f>
        <v>39904</v>
      </c>
      <c r="G499" s="1" t="n">
        <f aca="false">IF($A499="","",物件マスタ!Q499)</f>
        <v>17.4</v>
      </c>
      <c r="H499" s="1" t="n">
        <f aca="false">IF($A499="","",物件マスタ!L499)</f>
        <v>0</v>
      </c>
      <c r="I499" s="1" t="n">
        <f aca="false">IF($A499="","",物件マスタ!M499)</f>
        <v>1889.5</v>
      </c>
      <c r="J499" s="1" t="n">
        <f aca="false">IF($A499="","",物件マスタ!S499)</f>
        <v>1680</v>
      </c>
      <c r="K499" s="1" t="n">
        <f aca="false">IF($A499="","",物件マスタ!U499)</f>
        <v>2320</v>
      </c>
      <c r="L499" s="1" t="n">
        <f aca="false">IF($A499="","",物件マスタ!W499)</f>
        <v>0.979</v>
      </c>
      <c r="M499" s="1" t="str">
        <f aca="false">IF($A499="","",IFERROR(INDEX(法人マスタ!$H:$H,MATCH($B499,法人マスタ!$A:$A,0)),""))</f>
        <v>2026年4月期（第23期）</v>
      </c>
      <c r="N499" s="1" t="n">
        <f aca="false">IF($A499="","",SUMIFS(物件収支!$D:$D,物件収支!$A:$A,$A499,物件収支!$C:$C,$M499))</f>
        <v>6</v>
      </c>
      <c r="O499" s="1" t="n">
        <f aca="false">IF($A499="","",SUMIFS(物件収支!$F:$F,物件収支!$A:$A,$A499,物件収支!$C:$C,$M499))</f>
        <v>53000</v>
      </c>
      <c r="P499" s="1" t="n">
        <f aca="false">IF($A499="","",SUMIFS(物件収支!$I:$I,物件収支!$A:$A,$A499,物件収支!$C:$C,$M499))</f>
        <v>0</v>
      </c>
      <c r="Q499" s="1" t="n">
        <f aca="false">IF($A499="","",SUMIFS(物件収支!$O:$O,物件収支!$A:$A,$A499,物件収支!$C:$C,$M499))</f>
        <v>0</v>
      </c>
      <c r="R499" s="1" t="str">
        <f aca="false">IF($A499="","",IF(P499=0,"",O499-P499))</f>
        <v/>
      </c>
      <c r="S499" s="1" t="str">
        <f aca="false">IF($A499="","",IF(R499="","",R499+Q499))</f>
        <v/>
      </c>
      <c r="T499" s="1" t="str">
        <f aca="false">IF($A499="","",IF(OR(S499="",N499&lt;=0),"",S499/1000*12/N499))</f>
        <v/>
      </c>
      <c r="U499" s="1" t="str">
        <f aca="false">IF($A499="","",IF(OR(T499="",J499=0,J499=""),"",T499/J499))</f>
        <v/>
      </c>
      <c r="V499" s="1" t="str">
        <f aca="false">IF($A499="","",IF(OR(R499="",N499&lt;=0,J499=0,J499=""),"",(R499/1000*12/N499)/J499))</f>
        <v/>
      </c>
      <c r="W499" s="1" t="str">
        <f aca="false">IF($A499="","",IF(OR(T499="",K499=0,K499=""),"",T499/K499))</f>
        <v/>
      </c>
      <c r="X499" s="1" t="n">
        <f aca="false">IF($A499="","",IF(OR(N499&lt;=0,I499=0,I499="",O499=0),"",O499*1000/(I499*0.3025)/N499))</f>
        <v>15454.4069480681</v>
      </c>
      <c r="Y499" s="1" t="str">
        <f aca="false">IF($A499="","",IF(OR(O499=0,O499="",P499=0),"",P499/O499))</f>
        <v/>
      </c>
      <c r="Z499" s="1" t="str">
        <f aca="false">IF($A499="","",IFERROR(INDEX(物件収支!$E:$E,MATCH($A499,物件収支!$A:$A,0)),""))</f>
        <v>開示（物件別・収益のみ・百万円単位）</v>
      </c>
    </row>
    <row r="500" customFormat="false" ht="15" hidden="false" customHeight="true" outlineLevel="0" collapsed="false">
      <c r="A500" s="1" t="str">
        <f aca="false">IF(物件マスタ!A500="","",物件マスタ!A500)</f>
        <v>SHR-050</v>
      </c>
      <c r="B500" s="1" t="str">
        <f aca="false">IF($A500="","",物件マスタ!B500)</f>
        <v>SHR</v>
      </c>
      <c r="C500" s="1" t="str">
        <f aca="false">IF($A500="","",IFERROR(INDEX(法人マスタ!$C:$C,MATCH($B500,法人マスタ!$A:$A,0)),""))</f>
        <v>積水ハウス・リート投資法人</v>
      </c>
      <c r="D500" s="1" t="str">
        <f aca="false">IF($A500="","",物件マスタ!C500)</f>
        <v>エスティメゾン元麻布</v>
      </c>
      <c r="E500" s="1" t="str">
        <f aca="false">IF($A500="","",物件マスタ!H500)</f>
        <v>都心5区</v>
      </c>
      <c r="F500" s="53" t="n">
        <f aca="false">IF($A500="","",物件マスタ!P500)</f>
        <v>40118</v>
      </c>
      <c r="G500" s="1" t="n">
        <f aca="false">IF($A500="","",物件マスタ!Q500)</f>
        <v>16.8</v>
      </c>
      <c r="H500" s="1" t="n">
        <f aca="false">IF($A500="","",物件マスタ!L500)</f>
        <v>0</v>
      </c>
      <c r="I500" s="1" t="n">
        <f aca="false">IF($A500="","",物件マスタ!M500)</f>
        <v>1199.86</v>
      </c>
      <c r="J500" s="1" t="n">
        <f aca="false">IF($A500="","",物件マスタ!S500)</f>
        <v>1540</v>
      </c>
      <c r="K500" s="1" t="n">
        <f aca="false">IF($A500="","",物件マスタ!U500)</f>
        <v>2260</v>
      </c>
      <c r="L500" s="1" t="n">
        <f aca="false">IF($A500="","",物件マスタ!W500)</f>
        <v>1</v>
      </c>
      <c r="M500" s="1" t="str">
        <f aca="false">IF($A500="","",IFERROR(INDEX(法人マスタ!$H:$H,MATCH($B500,法人マスタ!$A:$A,0)),""))</f>
        <v>2026年4月期（第23期）</v>
      </c>
      <c r="N500" s="1" t="n">
        <f aca="false">IF($A500="","",SUMIFS(物件収支!$D:$D,物件収支!$A:$A,$A500,物件収支!$C:$C,$M500))</f>
        <v>6</v>
      </c>
      <c r="O500" s="1" t="n">
        <f aca="false">IF($A500="","",SUMIFS(物件収支!$F:$F,物件収支!$A:$A,$A500,物件収支!$C:$C,$M500))</f>
        <v>51000</v>
      </c>
      <c r="P500" s="1" t="n">
        <f aca="false">IF($A500="","",SUMIFS(物件収支!$I:$I,物件収支!$A:$A,$A500,物件収支!$C:$C,$M500))</f>
        <v>0</v>
      </c>
      <c r="Q500" s="1" t="n">
        <f aca="false">IF($A500="","",SUMIFS(物件収支!$O:$O,物件収支!$A:$A,$A500,物件収支!$C:$C,$M500))</f>
        <v>0</v>
      </c>
      <c r="R500" s="1" t="str">
        <f aca="false">IF($A500="","",IF(P500=0,"",O500-P500))</f>
        <v/>
      </c>
      <c r="S500" s="1" t="str">
        <f aca="false">IF($A500="","",IF(R500="","",R500+Q500))</f>
        <v/>
      </c>
      <c r="T500" s="1" t="str">
        <f aca="false">IF($A500="","",IF(OR(S500="",N500&lt;=0),"",S500/1000*12/N500))</f>
        <v/>
      </c>
      <c r="U500" s="1" t="str">
        <f aca="false">IF($A500="","",IF(OR(T500="",J500=0,J500=""),"",T500/J500))</f>
        <v/>
      </c>
      <c r="V500" s="1" t="str">
        <f aca="false">IF($A500="","",IF(OR(R500="",N500&lt;=0,J500=0,J500=""),"",(R500/1000*12/N500)/J500))</f>
        <v/>
      </c>
      <c r="W500" s="1" t="str">
        <f aca="false">IF($A500="","",IF(OR(T500="",K500=0,K500=""),"",T500/K500))</f>
        <v/>
      </c>
      <c r="X500" s="1" t="n">
        <f aca="false">IF($A500="","",IF(OR(N500&lt;=0,I500=0,I500="",O500=0),"",O500*1000/(I500*0.3025)/N500))</f>
        <v>23418.7101442827</v>
      </c>
      <c r="Y500" s="1" t="str">
        <f aca="false">IF($A500="","",IF(OR(O500=0,O500="",P500=0),"",P500/O500))</f>
        <v/>
      </c>
      <c r="Z500" s="1" t="str">
        <f aca="false">IF($A500="","",IFERROR(INDEX(物件収支!$E:$E,MATCH($A500,物件収支!$A:$A,0)),""))</f>
        <v>開示（物件別・収益のみ・百万円単位）</v>
      </c>
    </row>
    <row r="501" customFormat="false" ht="16.5" hidden="false" customHeight="true" outlineLevel="0" collapsed="false">
      <c r="A501" s="1" t="str">
        <f aca="false">IF(物件マスタ!A501="","",物件マスタ!A501)</f>
        <v>SHR-051</v>
      </c>
      <c r="B501" s="1" t="str">
        <f aca="false">IF($A501="","",物件マスタ!B501)</f>
        <v>SHR</v>
      </c>
      <c r="C501" s="1" t="str">
        <f aca="false">IF($A501="","",IFERROR(INDEX(法人マスタ!$C:$C,MATCH($B501,法人マスタ!$A:$A,0)),""))</f>
        <v>積水ハウス・リート投資法人</v>
      </c>
      <c r="D501" s="1" t="str">
        <f aca="false">IF($A501="","",物件マスタ!C501)</f>
        <v>エスティメゾン都立大学</v>
      </c>
      <c r="E501" s="1" t="str">
        <f aca="false">IF($A501="","",物件マスタ!H501)</f>
        <v>その他東京23区</v>
      </c>
      <c r="F501" s="53" t="n">
        <f aca="false">IF($A501="","",物件マスタ!P501)</f>
        <v>39845</v>
      </c>
      <c r="G501" s="1" t="n">
        <f aca="false">IF($A501="","",物件マスタ!Q501)</f>
        <v>17.5</v>
      </c>
      <c r="H501" s="1" t="n">
        <f aca="false">IF($A501="","",物件マスタ!L501)</f>
        <v>0</v>
      </c>
      <c r="I501" s="1" t="n">
        <f aca="false">IF($A501="","",物件マスタ!M501)</f>
        <v>1035.78</v>
      </c>
      <c r="J501" s="1" t="n">
        <f aca="false">IF($A501="","",物件マスタ!S501)</f>
        <v>861</v>
      </c>
      <c r="K501" s="1" t="n">
        <f aca="false">IF($A501="","",物件マスタ!U501)</f>
        <v>1250</v>
      </c>
      <c r="L501" s="1" t="n">
        <f aca="false">IF($A501="","",物件マスタ!W501)</f>
        <v>0.903</v>
      </c>
      <c r="M501" s="1" t="str">
        <f aca="false">IF($A501="","",IFERROR(INDEX(法人マスタ!$H:$H,MATCH($B501,法人マスタ!$A:$A,0)),""))</f>
        <v>2026年4月期（第23期）</v>
      </c>
      <c r="N501" s="1" t="n">
        <f aca="false">IF($A501="","",SUMIFS(物件収支!$D:$D,物件収支!$A:$A,$A501,物件収支!$C:$C,$M501))</f>
        <v>6</v>
      </c>
      <c r="O501" s="1" t="n">
        <f aca="false">IF($A501="","",SUMIFS(物件収支!$F:$F,物件収支!$A:$A,$A501,物件収支!$C:$C,$M501))</f>
        <v>26000</v>
      </c>
      <c r="P501" s="1" t="n">
        <f aca="false">IF($A501="","",SUMIFS(物件収支!$I:$I,物件収支!$A:$A,$A501,物件収支!$C:$C,$M501))</f>
        <v>0</v>
      </c>
      <c r="Q501" s="1" t="n">
        <f aca="false">IF($A501="","",SUMIFS(物件収支!$O:$O,物件収支!$A:$A,$A501,物件収支!$C:$C,$M501))</f>
        <v>0</v>
      </c>
      <c r="R501" s="1" t="str">
        <f aca="false">IF($A501="","",IF(P501=0,"",O501-P501))</f>
        <v/>
      </c>
      <c r="S501" s="1" t="str">
        <f aca="false">IF($A501="","",IF(R501="","",R501+Q501))</f>
        <v/>
      </c>
      <c r="T501" s="1" t="str">
        <f aca="false">IF($A501="","",IF(OR(S501="",N501&lt;=0),"",S501/1000*12/N501))</f>
        <v/>
      </c>
      <c r="U501" s="1" t="str">
        <f aca="false">IF($A501="","",IF(OR(T501="",J501=0,J501=""),"",T501/J501))</f>
        <v/>
      </c>
      <c r="V501" s="1" t="str">
        <f aca="false">IF($A501="","",IF(OR(R501="",N501&lt;=0,J501=0,J501=""),"",(R501/1000*12/N501)/J501))</f>
        <v/>
      </c>
      <c r="W501" s="1" t="str">
        <f aca="false">IF($A501="","",IF(OR(T501="",K501=0,K501=""),"",T501/K501))</f>
        <v/>
      </c>
      <c r="X501" s="1" t="n">
        <f aca="false">IF($A501="","",IF(OR(N501&lt;=0,I501=0,I501="",O501=0),"",O501*1000/(I501*0.3025)/N501))</f>
        <v>13830.2234746022</v>
      </c>
      <c r="Y501" s="1" t="str">
        <f aca="false">IF($A501="","",IF(OR(O501=0,O501="",P501=0),"",P501/O501))</f>
        <v/>
      </c>
      <c r="Z501" s="1" t="str">
        <f aca="false">IF($A501="","",IFERROR(INDEX(物件収支!$E:$E,MATCH($A501,物件収支!$A:$A,0)),""))</f>
        <v>開示（物件別・収益のみ・百万円単位）</v>
      </c>
    </row>
    <row r="502" customFormat="false" ht="16.5" hidden="false" customHeight="true" outlineLevel="0" collapsed="false">
      <c r="A502" s="1" t="str">
        <f aca="false">IF(物件マスタ!A502="","",物件マスタ!A502)</f>
        <v>SHR-052</v>
      </c>
      <c r="B502" s="1" t="str">
        <f aca="false">IF($A502="","",物件マスタ!B502)</f>
        <v>SHR</v>
      </c>
      <c r="C502" s="1" t="str">
        <f aca="false">IF($A502="","",IFERROR(INDEX(法人マスタ!$C:$C,MATCH($B502,法人マスタ!$A:$A,0)),""))</f>
        <v>積水ハウス・リート投資法人</v>
      </c>
      <c r="D502" s="1" t="str">
        <f aca="false">IF($A502="","",物件マスタ!C502)</f>
        <v>エスティメゾン武蔵小山Ⅱ</v>
      </c>
      <c r="E502" s="1" t="str">
        <f aca="false">IF($A502="","",物件マスタ!H502)</f>
        <v>その他東京23区</v>
      </c>
      <c r="F502" s="53" t="n">
        <f aca="false">IF($A502="","",物件マスタ!P502)</f>
        <v>39934</v>
      </c>
      <c r="G502" s="1" t="n">
        <f aca="false">IF($A502="","",物件マスタ!Q502)</f>
        <v>17.3</v>
      </c>
      <c r="H502" s="1" t="n">
        <f aca="false">IF($A502="","",物件マスタ!L502)</f>
        <v>0</v>
      </c>
      <c r="I502" s="1" t="n">
        <f aca="false">IF($A502="","",物件マスタ!M502)</f>
        <v>1073.59</v>
      </c>
      <c r="J502" s="1" t="n">
        <f aca="false">IF($A502="","",物件マスタ!S502)</f>
        <v>1030</v>
      </c>
      <c r="K502" s="1" t="n">
        <f aca="false">IF($A502="","",物件マスタ!U502)</f>
        <v>1250</v>
      </c>
      <c r="L502" s="1" t="n">
        <f aca="false">IF($A502="","",物件マスタ!W502)</f>
        <v>0.974</v>
      </c>
      <c r="M502" s="1" t="str">
        <f aca="false">IF($A502="","",IFERROR(INDEX(法人マスタ!$H:$H,MATCH($B502,法人マスタ!$A:$A,0)),""))</f>
        <v>2026年4月期（第23期）</v>
      </c>
      <c r="N502" s="1" t="n">
        <f aca="false">IF($A502="","",SUMIFS(物件収支!$D:$D,物件収支!$A:$A,$A502,物件収支!$C:$C,$M502))</f>
        <v>6</v>
      </c>
      <c r="O502" s="1" t="n">
        <f aca="false">IF($A502="","",SUMIFS(物件収支!$F:$F,物件収支!$A:$A,$A502,物件収支!$C:$C,$M502))</f>
        <v>31000</v>
      </c>
      <c r="P502" s="1" t="n">
        <f aca="false">IF($A502="","",SUMIFS(物件収支!$I:$I,物件収支!$A:$A,$A502,物件収支!$C:$C,$M502))</f>
        <v>0</v>
      </c>
      <c r="Q502" s="1" t="n">
        <f aca="false">IF($A502="","",SUMIFS(物件収支!$O:$O,物件収支!$A:$A,$A502,物件収支!$C:$C,$M502))</f>
        <v>0</v>
      </c>
      <c r="R502" s="1" t="str">
        <f aca="false">IF($A502="","",IF(P502=0,"",O502-P502))</f>
        <v/>
      </c>
      <c r="S502" s="1" t="str">
        <f aca="false">IF($A502="","",IF(R502="","",R502+Q502))</f>
        <v/>
      </c>
      <c r="T502" s="1" t="str">
        <f aca="false">IF($A502="","",IF(OR(S502="",N502&lt;=0),"",S502/1000*12/N502))</f>
        <v/>
      </c>
      <c r="U502" s="1" t="str">
        <f aca="false">IF($A502="","",IF(OR(T502="",J502=0,J502=""),"",T502/J502))</f>
        <v/>
      </c>
      <c r="V502" s="1" t="str">
        <f aca="false">IF($A502="","",IF(OR(R502="",N502&lt;=0,J502=0,J502=""),"",(R502/1000*12/N502)/J502))</f>
        <v/>
      </c>
      <c r="W502" s="1" t="str">
        <f aca="false">IF($A502="","",IF(OR(T502="",K502=0,K502=""),"",T502/K502))</f>
        <v/>
      </c>
      <c r="X502" s="1" t="n">
        <f aca="false">IF($A502="","",IF(OR(N502&lt;=0,I502=0,I502="",O502=0),"",O502*1000/(I502*0.3025)/N502))</f>
        <v>15909.136455409</v>
      </c>
      <c r="Y502" s="1" t="str">
        <f aca="false">IF($A502="","",IF(OR(O502=0,O502="",P502=0),"",P502/O502))</f>
        <v/>
      </c>
      <c r="Z502" s="1" t="str">
        <f aca="false">IF($A502="","",IFERROR(INDEX(物件収支!$E:$E,MATCH($A502,物件収支!$A:$A,0)),""))</f>
        <v>開示（物件別・収益のみ・百万円単位）</v>
      </c>
    </row>
    <row r="503" customFormat="false" ht="16.5" hidden="false" customHeight="true" outlineLevel="0" collapsed="false">
      <c r="A503" s="1" t="str">
        <f aca="false">IF(物件マスタ!A503="","",物件マスタ!A503)</f>
        <v>SHR-053</v>
      </c>
      <c r="B503" s="1" t="str">
        <f aca="false">IF($A503="","",物件マスタ!B503)</f>
        <v>SHR</v>
      </c>
      <c r="C503" s="1" t="str">
        <f aca="false">IF($A503="","",IFERROR(INDEX(法人マスタ!$C:$C,MATCH($B503,法人マスタ!$A:$A,0)),""))</f>
        <v>積水ハウス・リート投資法人</v>
      </c>
      <c r="D503" s="1" t="str">
        <f aca="false">IF($A503="","",物件マスタ!C503)</f>
        <v>エスティメゾン中野</v>
      </c>
      <c r="E503" s="1" t="str">
        <f aca="false">IF($A503="","",物件マスタ!H503)</f>
        <v>その他東京23区</v>
      </c>
      <c r="F503" s="53" t="n">
        <f aca="false">IF($A503="","",物件マスタ!P503)</f>
        <v>39965</v>
      </c>
      <c r="G503" s="1" t="n">
        <f aca="false">IF($A503="","",物件マスタ!Q503)</f>
        <v>17.2</v>
      </c>
      <c r="H503" s="1" t="n">
        <f aca="false">IF($A503="","",物件マスタ!L503)</f>
        <v>0</v>
      </c>
      <c r="I503" s="1" t="n">
        <f aca="false">IF($A503="","",物件マスタ!M503)</f>
        <v>2023.72</v>
      </c>
      <c r="J503" s="1" t="n">
        <f aca="false">IF($A503="","",物件マスタ!S503)</f>
        <v>1870</v>
      </c>
      <c r="K503" s="1" t="n">
        <f aca="false">IF($A503="","",物件マスタ!U503)</f>
        <v>2320</v>
      </c>
      <c r="L503" s="1" t="n">
        <f aca="false">IF($A503="","",物件マスタ!W503)</f>
        <v>0.877</v>
      </c>
      <c r="M503" s="1" t="str">
        <f aca="false">IF($A503="","",IFERROR(INDEX(法人マスタ!$H:$H,MATCH($B503,法人マスタ!$A:$A,0)),""))</f>
        <v>2026年4月期（第23期）</v>
      </c>
      <c r="N503" s="1" t="n">
        <f aca="false">IF($A503="","",SUMIFS(物件収支!$D:$D,物件収支!$A:$A,$A503,物件収支!$C:$C,$M503))</f>
        <v>6</v>
      </c>
      <c r="O503" s="1" t="n">
        <f aca="false">IF($A503="","",SUMIFS(物件収支!$F:$F,物件収支!$A:$A,$A503,物件収支!$C:$C,$M503))</f>
        <v>56000</v>
      </c>
      <c r="P503" s="1" t="n">
        <f aca="false">IF($A503="","",SUMIFS(物件収支!$I:$I,物件収支!$A:$A,$A503,物件収支!$C:$C,$M503))</f>
        <v>0</v>
      </c>
      <c r="Q503" s="1" t="n">
        <f aca="false">IF($A503="","",SUMIFS(物件収支!$O:$O,物件収支!$A:$A,$A503,物件収支!$C:$C,$M503))</f>
        <v>0</v>
      </c>
      <c r="R503" s="1" t="str">
        <f aca="false">IF($A503="","",IF(P503=0,"",O503-P503))</f>
        <v/>
      </c>
      <c r="S503" s="1" t="str">
        <f aca="false">IF($A503="","",IF(R503="","",R503+Q503))</f>
        <v/>
      </c>
      <c r="T503" s="1" t="str">
        <f aca="false">IF($A503="","",IF(OR(S503="",N503&lt;=0),"",S503/1000*12/N503))</f>
        <v/>
      </c>
      <c r="U503" s="1" t="str">
        <f aca="false">IF($A503="","",IF(OR(T503="",J503=0,J503=""),"",T503/J503))</f>
        <v/>
      </c>
      <c r="V503" s="1" t="str">
        <f aca="false">IF($A503="","",IF(OR(R503="",N503&lt;=0,J503=0,J503=""),"",(R503/1000*12/N503)/J503))</f>
        <v/>
      </c>
      <c r="W503" s="1" t="str">
        <f aca="false">IF($A503="","",IF(OR(T503="",K503=0,K503=""),"",T503/K503))</f>
        <v/>
      </c>
      <c r="X503" s="1" t="n">
        <f aca="false">IF($A503="","",IF(OR(N503&lt;=0,I503=0,I503="",O503=0),"",O503*1000/(I503*0.3025)/N503))</f>
        <v>15246.177579091</v>
      </c>
      <c r="Y503" s="1" t="str">
        <f aca="false">IF($A503="","",IF(OR(O503=0,O503="",P503=0),"",P503/O503))</f>
        <v/>
      </c>
      <c r="Z503" s="1" t="str">
        <f aca="false">IF($A503="","",IFERROR(INDEX(物件収支!$E:$E,MATCH($A503,物件収支!$A:$A,0)),""))</f>
        <v>開示（物件別・収益のみ・百万円単位）</v>
      </c>
    </row>
    <row r="504" customFormat="false" ht="16.5" hidden="false" customHeight="true" outlineLevel="0" collapsed="false">
      <c r="A504" s="1" t="str">
        <f aca="false">IF(物件マスタ!A504="","",物件マスタ!A504)</f>
        <v>SHR-054</v>
      </c>
      <c r="B504" s="1" t="str">
        <f aca="false">IF($A504="","",物件マスタ!B504)</f>
        <v>SHR</v>
      </c>
      <c r="C504" s="1" t="str">
        <f aca="false">IF($A504="","",IFERROR(INDEX(法人マスタ!$C:$C,MATCH($B504,法人マスタ!$A:$A,0)),""))</f>
        <v>積水ハウス・リート投資法人</v>
      </c>
      <c r="D504" s="1" t="str">
        <f aca="false">IF($A504="","",物件マスタ!C504)</f>
        <v>エスティメゾン新中野</v>
      </c>
      <c r="E504" s="1" t="str">
        <f aca="false">IF($A504="","",物件マスタ!H504)</f>
        <v>その他東京23区</v>
      </c>
      <c r="F504" s="53" t="n">
        <f aca="false">IF($A504="","",物件マスタ!P504)</f>
        <v>40087</v>
      </c>
      <c r="G504" s="1" t="n">
        <f aca="false">IF($A504="","",物件マスタ!Q504)</f>
        <v>16.9</v>
      </c>
      <c r="H504" s="1" t="n">
        <f aca="false">IF($A504="","",物件マスタ!L504)</f>
        <v>0</v>
      </c>
      <c r="I504" s="1" t="n">
        <f aca="false">IF($A504="","",物件マスタ!M504)</f>
        <v>1107.57</v>
      </c>
      <c r="J504" s="1" t="n">
        <f aca="false">IF($A504="","",物件マスタ!S504)</f>
        <v>1020</v>
      </c>
      <c r="K504" s="1" t="n">
        <f aca="false">IF($A504="","",物件マスタ!U504)</f>
        <v>1180</v>
      </c>
      <c r="L504" s="1" t="n">
        <f aca="false">IF($A504="","",物件マスタ!W504)</f>
        <v>0.897</v>
      </c>
      <c r="M504" s="1" t="str">
        <f aca="false">IF($A504="","",IFERROR(INDEX(法人マスタ!$H:$H,MATCH($B504,法人マスタ!$A:$A,0)),""))</f>
        <v>2026年4月期（第23期）</v>
      </c>
      <c r="N504" s="1" t="n">
        <f aca="false">IF($A504="","",SUMIFS(物件収支!$D:$D,物件収支!$A:$A,$A504,物件収支!$C:$C,$M504))</f>
        <v>6</v>
      </c>
      <c r="O504" s="1" t="n">
        <f aca="false">IF($A504="","",SUMIFS(物件収支!$F:$F,物件収支!$A:$A,$A504,物件収支!$C:$C,$M504))</f>
        <v>30000</v>
      </c>
      <c r="P504" s="1" t="n">
        <f aca="false">IF($A504="","",SUMIFS(物件収支!$I:$I,物件収支!$A:$A,$A504,物件収支!$C:$C,$M504))</f>
        <v>0</v>
      </c>
      <c r="Q504" s="1" t="n">
        <f aca="false">IF($A504="","",SUMIFS(物件収支!$O:$O,物件収支!$A:$A,$A504,物件収支!$C:$C,$M504))</f>
        <v>0</v>
      </c>
      <c r="R504" s="1" t="str">
        <f aca="false">IF($A504="","",IF(P504=0,"",O504-P504))</f>
        <v/>
      </c>
      <c r="S504" s="1" t="str">
        <f aca="false">IF($A504="","",IF(R504="","",R504+Q504))</f>
        <v/>
      </c>
      <c r="T504" s="1" t="str">
        <f aca="false">IF($A504="","",IF(OR(S504="",N504&lt;=0),"",S504/1000*12/N504))</f>
        <v/>
      </c>
      <c r="U504" s="1" t="str">
        <f aca="false">IF($A504="","",IF(OR(T504="",J504=0,J504=""),"",T504/J504))</f>
        <v/>
      </c>
      <c r="V504" s="1" t="str">
        <f aca="false">IF($A504="","",IF(OR(R504="",N504&lt;=0,J504=0,J504=""),"",(R504/1000*12/N504)/J504))</f>
        <v/>
      </c>
      <c r="W504" s="1" t="str">
        <f aca="false">IF($A504="","",IF(OR(T504="",K504=0,K504=""),"",T504/K504))</f>
        <v/>
      </c>
      <c r="X504" s="1" t="n">
        <f aca="false">IF($A504="","",IF(OR(N504&lt;=0,I504=0,I504="",O504=0),"",O504*1000/(I504*0.3025)/N504))</f>
        <v>14923.5945536939</v>
      </c>
      <c r="Y504" s="1" t="str">
        <f aca="false">IF($A504="","",IF(OR(O504=0,O504="",P504=0),"",P504/O504))</f>
        <v/>
      </c>
      <c r="Z504" s="1" t="str">
        <f aca="false">IF($A504="","",IFERROR(INDEX(物件収支!$E:$E,MATCH($A504,物件収支!$A:$A,0)),""))</f>
        <v>開示（物件別・収益のみ・百万円単位）</v>
      </c>
    </row>
    <row r="505" customFormat="false" ht="16.5" hidden="false" customHeight="true" outlineLevel="0" collapsed="false">
      <c r="A505" s="1" t="str">
        <f aca="false">IF(物件マスタ!A505="","",物件マスタ!A505)</f>
        <v>SHR-055</v>
      </c>
      <c r="B505" s="1" t="str">
        <f aca="false">IF($A505="","",物件マスタ!B505)</f>
        <v>SHR</v>
      </c>
      <c r="C505" s="1" t="str">
        <f aca="false">IF($A505="","",IFERROR(INDEX(法人マスタ!$C:$C,MATCH($B505,法人マスタ!$A:$A,0)),""))</f>
        <v>積水ハウス・リート投資法人</v>
      </c>
      <c r="D505" s="1" t="str">
        <f aca="false">IF($A505="","",物件マスタ!C505)</f>
        <v>エスティメゾン中野富士見町</v>
      </c>
      <c r="E505" s="1" t="str">
        <f aca="false">IF($A505="","",物件マスタ!H505)</f>
        <v>その他東京23区</v>
      </c>
      <c r="F505" s="53" t="n">
        <f aca="false">IF($A505="","",物件マスタ!P505)</f>
        <v>39845</v>
      </c>
      <c r="G505" s="1" t="n">
        <f aca="false">IF($A505="","",物件マスタ!Q505)</f>
        <v>17.5</v>
      </c>
      <c r="H505" s="1" t="n">
        <f aca="false">IF($A505="","",物件マスタ!L505)</f>
        <v>0</v>
      </c>
      <c r="I505" s="1" t="n">
        <f aca="false">IF($A505="","",物件マスタ!M505)</f>
        <v>1299.6</v>
      </c>
      <c r="J505" s="1" t="n">
        <f aca="false">IF($A505="","",物件マスタ!S505)</f>
        <v>984</v>
      </c>
      <c r="K505" s="1" t="n">
        <f aca="false">IF($A505="","",物件マスタ!U505)</f>
        <v>1220</v>
      </c>
      <c r="L505" s="1" t="n">
        <f aca="false">IF($A505="","",物件マスタ!W505)</f>
        <v>0.881</v>
      </c>
      <c r="M505" s="1" t="str">
        <f aca="false">IF($A505="","",IFERROR(INDEX(法人マスタ!$H:$H,MATCH($B505,法人マスタ!$A:$A,0)),""))</f>
        <v>2026年4月期（第23期）</v>
      </c>
      <c r="N505" s="1" t="n">
        <f aca="false">IF($A505="","",SUMIFS(物件収支!$D:$D,物件収支!$A:$A,$A505,物件収支!$C:$C,$M505))</f>
        <v>6</v>
      </c>
      <c r="O505" s="1" t="n">
        <f aca="false">IF($A505="","",SUMIFS(物件収支!$F:$F,物件収支!$A:$A,$A505,物件収支!$C:$C,$M505))</f>
        <v>30000</v>
      </c>
      <c r="P505" s="1" t="n">
        <f aca="false">IF($A505="","",SUMIFS(物件収支!$I:$I,物件収支!$A:$A,$A505,物件収支!$C:$C,$M505))</f>
        <v>0</v>
      </c>
      <c r="Q505" s="1" t="n">
        <f aca="false">IF($A505="","",SUMIFS(物件収支!$O:$O,物件収支!$A:$A,$A505,物件収支!$C:$C,$M505))</f>
        <v>0</v>
      </c>
      <c r="R505" s="1" t="str">
        <f aca="false">IF($A505="","",IF(P505=0,"",O505-P505))</f>
        <v/>
      </c>
      <c r="S505" s="1" t="str">
        <f aca="false">IF($A505="","",IF(R505="","",R505+Q505))</f>
        <v/>
      </c>
      <c r="T505" s="1" t="str">
        <f aca="false">IF($A505="","",IF(OR(S505="",N505&lt;=0),"",S505/1000*12/N505))</f>
        <v/>
      </c>
      <c r="U505" s="1" t="str">
        <f aca="false">IF($A505="","",IF(OR(T505="",J505=0,J505=""),"",T505/J505))</f>
        <v/>
      </c>
      <c r="V505" s="1" t="str">
        <f aca="false">IF($A505="","",IF(OR(R505="",N505&lt;=0,J505=0,J505=""),"",(R505/1000*12/N505)/J505))</f>
        <v/>
      </c>
      <c r="W505" s="1" t="str">
        <f aca="false">IF($A505="","",IF(OR(T505="",K505=0,K505=""),"",T505/K505))</f>
        <v/>
      </c>
      <c r="X505" s="1" t="n">
        <f aca="false">IF($A505="","",IF(OR(N505&lt;=0,I505=0,I505="",O505=0),"",O505*1000/(I505*0.3025)/N505))</f>
        <v>12718.4715449636</v>
      </c>
      <c r="Y505" s="1" t="str">
        <f aca="false">IF($A505="","",IF(OR(O505=0,O505="",P505=0),"",P505/O505))</f>
        <v/>
      </c>
      <c r="Z505" s="1" t="str">
        <f aca="false">IF($A505="","",IFERROR(INDEX(物件収支!$E:$E,MATCH($A505,物件収支!$A:$A,0)),""))</f>
        <v>開示（物件別・収益のみ・百万円単位）</v>
      </c>
    </row>
    <row r="506" customFormat="false" ht="16.5" hidden="false" customHeight="true" outlineLevel="0" collapsed="false">
      <c r="A506" s="1" t="str">
        <f aca="false">IF(物件マスタ!A506="","",物件マスタ!A506)</f>
        <v>SHR-056</v>
      </c>
      <c r="B506" s="1" t="str">
        <f aca="false">IF($A506="","",物件マスタ!B506)</f>
        <v>SHR</v>
      </c>
      <c r="C506" s="1" t="str">
        <f aca="false">IF($A506="","",IFERROR(INDEX(法人マスタ!$C:$C,MATCH($B506,法人マスタ!$A:$A,0)),""))</f>
        <v>積水ハウス・リート投資法人</v>
      </c>
      <c r="D506" s="1" t="str">
        <f aca="false">IF($A506="","",物件マスタ!C506)</f>
        <v>エスティメゾン哲学堂</v>
      </c>
      <c r="E506" s="1" t="str">
        <f aca="false">IF($A506="","",物件マスタ!H506)</f>
        <v>その他東京23区</v>
      </c>
      <c r="F506" s="53" t="n">
        <f aca="false">IF($A506="","",物件マスタ!P506)</f>
        <v>40087</v>
      </c>
      <c r="G506" s="1" t="n">
        <f aca="false">IF($A506="","",物件マスタ!Q506)</f>
        <v>16.9</v>
      </c>
      <c r="H506" s="1" t="n">
        <f aca="false">IF($A506="","",物件マスタ!L506)</f>
        <v>0</v>
      </c>
      <c r="I506" s="1" t="n">
        <f aca="false">IF($A506="","",物件マスタ!M506)</f>
        <v>1531.89</v>
      </c>
      <c r="J506" s="1" t="n">
        <f aca="false">IF($A506="","",物件マスタ!S506)</f>
        <v>1160</v>
      </c>
      <c r="K506" s="1" t="n">
        <f aca="false">IF($A506="","",物件マスタ!U506)</f>
        <v>1380</v>
      </c>
      <c r="L506" s="1" t="n">
        <f aca="false">IF($A506="","",物件マスタ!W506)</f>
        <v>1</v>
      </c>
      <c r="M506" s="1" t="str">
        <f aca="false">IF($A506="","",IFERROR(INDEX(法人マスタ!$H:$H,MATCH($B506,法人マスタ!$A:$A,0)),""))</f>
        <v>2026年4月期（第23期）</v>
      </c>
      <c r="N506" s="1" t="n">
        <f aca="false">IF($A506="","",SUMIFS(物件収支!$D:$D,物件収支!$A:$A,$A506,物件収支!$C:$C,$M506))</f>
        <v>6</v>
      </c>
      <c r="O506" s="1" t="n">
        <f aca="false">IF($A506="","",SUMIFS(物件収支!$F:$F,物件収支!$A:$A,$A506,物件収支!$C:$C,$M506))</f>
        <v>37000</v>
      </c>
      <c r="P506" s="1" t="n">
        <f aca="false">IF($A506="","",SUMIFS(物件収支!$I:$I,物件収支!$A:$A,$A506,物件収支!$C:$C,$M506))</f>
        <v>0</v>
      </c>
      <c r="Q506" s="1" t="n">
        <f aca="false">IF($A506="","",SUMIFS(物件収支!$O:$O,物件収支!$A:$A,$A506,物件収支!$C:$C,$M506))</f>
        <v>0</v>
      </c>
      <c r="R506" s="1" t="str">
        <f aca="false">IF($A506="","",IF(P506=0,"",O506-P506))</f>
        <v/>
      </c>
      <c r="S506" s="1" t="str">
        <f aca="false">IF($A506="","",IF(R506="","",R506+Q506))</f>
        <v/>
      </c>
      <c r="T506" s="1" t="str">
        <f aca="false">IF($A506="","",IF(OR(S506="",N506&lt;=0),"",S506/1000*12/N506))</f>
        <v/>
      </c>
      <c r="U506" s="1" t="str">
        <f aca="false">IF($A506="","",IF(OR(T506="",J506=0,J506=""),"",T506/J506))</f>
        <v/>
      </c>
      <c r="V506" s="1" t="str">
        <f aca="false">IF($A506="","",IF(OR(R506="",N506&lt;=0,J506=0,J506=""),"",(R506/1000*12/N506)/J506))</f>
        <v/>
      </c>
      <c r="W506" s="1" t="str">
        <f aca="false">IF($A506="","",IF(OR(T506="",K506=0,K506=""),"",T506/K506))</f>
        <v/>
      </c>
      <c r="X506" s="1" t="n">
        <f aca="false">IF($A506="","",IF(OR(N506&lt;=0,I506=0,I506="",O506=0),"",O506*1000/(I506*0.3025)/N506))</f>
        <v>13307.531827435</v>
      </c>
      <c r="Y506" s="1" t="str">
        <f aca="false">IF($A506="","",IF(OR(O506=0,O506="",P506=0),"",P506/O506))</f>
        <v/>
      </c>
      <c r="Z506" s="1" t="str">
        <f aca="false">IF($A506="","",IFERROR(INDEX(物件収支!$E:$E,MATCH($A506,物件収支!$A:$A,0)),""))</f>
        <v>開示（物件別・収益のみ・百万円単位）</v>
      </c>
    </row>
    <row r="507" customFormat="false" ht="16.5" hidden="false" customHeight="true" outlineLevel="0" collapsed="false">
      <c r="A507" s="1" t="str">
        <f aca="false">IF(物件マスタ!A507="","",物件マスタ!A507)</f>
        <v>SHR-057</v>
      </c>
      <c r="B507" s="1" t="str">
        <f aca="false">IF($A507="","",物件マスタ!B507)</f>
        <v>SHR</v>
      </c>
      <c r="C507" s="1" t="str">
        <f aca="false">IF($A507="","",IFERROR(INDEX(法人マスタ!$C:$C,MATCH($B507,法人マスタ!$A:$A,0)),""))</f>
        <v>積水ハウス・リート投資法人</v>
      </c>
      <c r="D507" s="1" t="str">
        <f aca="false">IF($A507="","",物件マスタ!C507)</f>
        <v>エスティメゾン高円寺</v>
      </c>
      <c r="E507" s="1" t="str">
        <f aca="false">IF($A507="","",物件マスタ!H507)</f>
        <v>その他東京23区</v>
      </c>
      <c r="F507" s="53" t="n">
        <f aca="false">IF($A507="","",物件マスタ!P507)</f>
        <v>39873</v>
      </c>
      <c r="G507" s="1" t="n">
        <f aca="false">IF($A507="","",物件マスタ!Q507)</f>
        <v>17.4</v>
      </c>
      <c r="H507" s="1" t="n">
        <f aca="false">IF($A507="","",物件マスタ!L507)</f>
        <v>0</v>
      </c>
      <c r="I507" s="1" t="n">
        <f aca="false">IF($A507="","",物件マスタ!M507)</f>
        <v>1527.52</v>
      </c>
      <c r="J507" s="1" t="n">
        <f aca="false">IF($A507="","",物件マスタ!S507)</f>
        <v>1160</v>
      </c>
      <c r="K507" s="1" t="n">
        <f aca="false">IF($A507="","",物件マスタ!U507)</f>
        <v>1530</v>
      </c>
      <c r="L507" s="1" t="n">
        <f aca="false">IF($A507="","",物件マスタ!W507)</f>
        <v>0.964</v>
      </c>
      <c r="M507" s="1" t="str">
        <f aca="false">IF($A507="","",IFERROR(INDEX(法人マスタ!$H:$H,MATCH($B507,法人マスタ!$A:$A,0)),""))</f>
        <v>2026年4月期（第23期）</v>
      </c>
      <c r="N507" s="1" t="n">
        <f aca="false">IF($A507="","",SUMIFS(物件収支!$D:$D,物件収支!$A:$A,$A507,物件収支!$C:$C,$M507))</f>
        <v>6</v>
      </c>
      <c r="O507" s="1" t="n">
        <f aca="false">IF($A507="","",SUMIFS(物件収支!$F:$F,物件収支!$A:$A,$A507,物件収支!$C:$C,$M507))</f>
        <v>37000</v>
      </c>
      <c r="P507" s="1" t="n">
        <f aca="false">IF($A507="","",SUMIFS(物件収支!$I:$I,物件収支!$A:$A,$A507,物件収支!$C:$C,$M507))</f>
        <v>0</v>
      </c>
      <c r="Q507" s="1" t="n">
        <f aca="false">IF($A507="","",SUMIFS(物件収支!$O:$O,物件収支!$A:$A,$A507,物件収支!$C:$C,$M507))</f>
        <v>0</v>
      </c>
      <c r="R507" s="1" t="str">
        <f aca="false">IF($A507="","",IF(P507=0,"",O507-P507))</f>
        <v/>
      </c>
      <c r="S507" s="1" t="str">
        <f aca="false">IF($A507="","",IF(R507="","",R507+Q507))</f>
        <v/>
      </c>
      <c r="T507" s="1" t="str">
        <f aca="false">IF($A507="","",IF(OR(S507="",N507&lt;=0),"",S507/1000*12/N507))</f>
        <v/>
      </c>
      <c r="U507" s="1" t="str">
        <f aca="false">IF($A507="","",IF(OR(T507="",J507=0,J507=""),"",T507/J507))</f>
        <v/>
      </c>
      <c r="V507" s="1" t="str">
        <f aca="false">IF($A507="","",IF(OR(R507="",N507&lt;=0,J507=0,J507=""),"",(R507/1000*12/N507)/J507))</f>
        <v/>
      </c>
      <c r="W507" s="1" t="str">
        <f aca="false">IF($A507="","",IF(OR(T507="",K507=0,K507=""),"",T507/K507))</f>
        <v/>
      </c>
      <c r="X507" s="1" t="n">
        <f aca="false">IF($A507="","",IF(OR(N507&lt;=0,I507=0,I507="",O507=0),"",O507*1000/(I507*0.3025)/N507))</f>
        <v>13345.6026311469</v>
      </c>
      <c r="Y507" s="1" t="str">
        <f aca="false">IF($A507="","",IF(OR(O507=0,O507="",P507=0),"",P507/O507))</f>
        <v/>
      </c>
      <c r="Z507" s="1" t="str">
        <f aca="false">IF($A507="","",IFERROR(INDEX(物件収支!$E:$E,MATCH($A507,物件収支!$A:$A,0)),""))</f>
        <v>開示（物件別・収益のみ・百万円単位）</v>
      </c>
    </row>
    <row r="508" customFormat="false" ht="16.5" hidden="false" customHeight="true" outlineLevel="0" collapsed="false">
      <c r="A508" s="1" t="str">
        <f aca="false">IF(物件マスタ!A508="","",物件マスタ!A508)</f>
        <v>SHR-058</v>
      </c>
      <c r="B508" s="1" t="str">
        <f aca="false">IF($A508="","",物件マスタ!B508)</f>
        <v>SHR</v>
      </c>
      <c r="C508" s="1" t="str">
        <f aca="false">IF($A508="","",IFERROR(INDEX(法人マスタ!$C:$C,MATCH($B508,法人マスタ!$A:$A,0)),""))</f>
        <v>積水ハウス・リート投資法人</v>
      </c>
      <c r="D508" s="1" t="str">
        <f aca="false">IF($A508="","",物件マスタ!C508)</f>
        <v>エスティメゾン押上</v>
      </c>
      <c r="E508" s="1" t="str">
        <f aca="false">IF($A508="","",物件マスタ!H508)</f>
        <v>その他東京23区</v>
      </c>
      <c r="F508" s="53" t="n">
        <f aca="false">IF($A508="","",物件マスタ!P508)</f>
        <v>40269</v>
      </c>
      <c r="G508" s="1" t="n">
        <f aca="false">IF($A508="","",物件マスタ!Q508)</f>
        <v>16.4</v>
      </c>
      <c r="H508" s="1" t="n">
        <f aca="false">IF($A508="","",物件マスタ!L508)</f>
        <v>0</v>
      </c>
      <c r="I508" s="1" t="n">
        <f aca="false">IF($A508="","",物件マスタ!M508)</f>
        <v>3180.9</v>
      </c>
      <c r="J508" s="1" t="n">
        <f aca="false">IF($A508="","",物件マスタ!S508)</f>
        <v>2490</v>
      </c>
      <c r="K508" s="1" t="n">
        <f aca="false">IF($A508="","",物件マスタ!U508)</f>
        <v>3240</v>
      </c>
      <c r="L508" s="1" t="n">
        <f aca="false">IF($A508="","",物件マスタ!W508)</f>
        <v>0.988</v>
      </c>
      <c r="M508" s="1" t="str">
        <f aca="false">IF($A508="","",IFERROR(INDEX(法人マスタ!$H:$H,MATCH($B508,法人マスタ!$A:$A,0)),""))</f>
        <v>2026年4月期（第23期）</v>
      </c>
      <c r="N508" s="1" t="n">
        <f aca="false">IF($A508="","",SUMIFS(物件収支!$D:$D,物件収支!$A:$A,$A508,物件収支!$C:$C,$M508))</f>
        <v>6</v>
      </c>
      <c r="O508" s="1" t="n">
        <f aca="false">IF($A508="","",SUMIFS(物件収支!$F:$F,物件収支!$A:$A,$A508,物件収支!$C:$C,$M508))</f>
        <v>79000</v>
      </c>
      <c r="P508" s="1" t="n">
        <f aca="false">IF($A508="","",SUMIFS(物件収支!$I:$I,物件収支!$A:$A,$A508,物件収支!$C:$C,$M508))</f>
        <v>0</v>
      </c>
      <c r="Q508" s="1" t="n">
        <f aca="false">IF($A508="","",SUMIFS(物件収支!$O:$O,物件収支!$A:$A,$A508,物件収支!$C:$C,$M508))</f>
        <v>0</v>
      </c>
      <c r="R508" s="1" t="str">
        <f aca="false">IF($A508="","",IF(P508=0,"",O508-P508))</f>
        <v/>
      </c>
      <c r="S508" s="1" t="str">
        <f aca="false">IF($A508="","",IF(R508="","",R508+Q508))</f>
        <v/>
      </c>
      <c r="T508" s="1" t="str">
        <f aca="false">IF($A508="","",IF(OR(S508="",N508&lt;=0),"",S508/1000*12/N508))</f>
        <v/>
      </c>
      <c r="U508" s="1" t="str">
        <f aca="false">IF($A508="","",IF(OR(T508="",J508=0,J508=""),"",T508/J508))</f>
        <v/>
      </c>
      <c r="V508" s="1" t="str">
        <f aca="false">IF($A508="","",IF(OR(R508="",N508&lt;=0,J508=0,J508=""),"",(R508/1000*12/N508)/J508))</f>
        <v/>
      </c>
      <c r="W508" s="1" t="str">
        <f aca="false">IF($A508="","",IF(OR(T508="",K508=0,K508=""),"",T508/K508))</f>
        <v/>
      </c>
      <c r="X508" s="1" t="n">
        <f aca="false">IF($A508="","",IF(OR(N508&lt;=0,I508=0,I508="",O508=0),"",O508*1000/(I508*0.3025)/N508))</f>
        <v>13683.6023763394</v>
      </c>
      <c r="Y508" s="1" t="str">
        <f aca="false">IF($A508="","",IF(OR(O508=0,O508="",P508=0),"",P508/O508))</f>
        <v/>
      </c>
      <c r="Z508" s="1" t="str">
        <f aca="false">IF($A508="","",IFERROR(INDEX(物件収支!$E:$E,MATCH($A508,物件収支!$A:$A,0)),""))</f>
        <v>開示（物件別・収益のみ・百万円単位）</v>
      </c>
    </row>
    <row r="509" customFormat="false" ht="16.5" hidden="false" customHeight="true" outlineLevel="0" collapsed="false">
      <c r="A509" s="1" t="str">
        <f aca="false">IF(物件マスタ!A509="","",物件マスタ!A509)</f>
        <v>SHR-059</v>
      </c>
      <c r="B509" s="1" t="str">
        <f aca="false">IF($A509="","",物件マスタ!B509)</f>
        <v>SHR</v>
      </c>
      <c r="C509" s="1" t="str">
        <f aca="false">IF($A509="","",IFERROR(INDEX(法人マスタ!$C:$C,MATCH($B509,法人マスタ!$A:$A,0)),""))</f>
        <v>積水ハウス・リート投資法人</v>
      </c>
      <c r="D509" s="1" t="str">
        <f aca="false">IF($A509="","",物件マスタ!C509)</f>
        <v>エスティメゾン赤羽</v>
      </c>
      <c r="E509" s="1" t="str">
        <f aca="false">IF($A509="","",物件マスタ!H509)</f>
        <v>その他東京23区</v>
      </c>
      <c r="F509" s="53" t="n">
        <f aca="false">IF($A509="","",物件マスタ!P509)</f>
        <v>40118</v>
      </c>
      <c r="G509" s="1" t="n">
        <f aca="false">IF($A509="","",物件マスタ!Q509)</f>
        <v>16.8</v>
      </c>
      <c r="H509" s="1" t="n">
        <f aca="false">IF($A509="","",物件マスタ!L509)</f>
        <v>0</v>
      </c>
      <c r="I509" s="1" t="n">
        <f aca="false">IF($A509="","",物件マスタ!M509)</f>
        <v>4302.84</v>
      </c>
      <c r="J509" s="1" t="n">
        <f aca="false">IF($A509="","",物件マスタ!S509)</f>
        <v>3290</v>
      </c>
      <c r="K509" s="1" t="n">
        <f aca="false">IF($A509="","",物件マスタ!U509)</f>
        <v>3930</v>
      </c>
      <c r="L509" s="1" t="n">
        <f aca="false">IF($A509="","",物件マスタ!W509)</f>
        <v>0.946</v>
      </c>
      <c r="M509" s="1" t="str">
        <f aca="false">IF($A509="","",IFERROR(INDEX(法人マスタ!$H:$H,MATCH($B509,法人マスタ!$A:$A,0)),""))</f>
        <v>2026年4月期（第23期）</v>
      </c>
      <c r="N509" s="1" t="n">
        <f aca="false">IF($A509="","",SUMIFS(物件収支!$D:$D,物件収支!$A:$A,$A509,物件収支!$C:$C,$M509))</f>
        <v>6</v>
      </c>
      <c r="O509" s="1" t="n">
        <f aca="false">IF($A509="","",SUMIFS(物件収支!$F:$F,物件収支!$A:$A,$A509,物件収支!$C:$C,$M509))</f>
        <v>101000</v>
      </c>
      <c r="P509" s="1" t="n">
        <f aca="false">IF($A509="","",SUMIFS(物件収支!$I:$I,物件収支!$A:$A,$A509,物件収支!$C:$C,$M509))</f>
        <v>0</v>
      </c>
      <c r="Q509" s="1" t="n">
        <f aca="false">IF($A509="","",SUMIFS(物件収支!$O:$O,物件収支!$A:$A,$A509,物件収支!$C:$C,$M509))</f>
        <v>0</v>
      </c>
      <c r="R509" s="1" t="str">
        <f aca="false">IF($A509="","",IF(P509=0,"",O509-P509))</f>
        <v/>
      </c>
      <c r="S509" s="1" t="str">
        <f aca="false">IF($A509="","",IF(R509="","",R509+Q509))</f>
        <v/>
      </c>
      <c r="T509" s="1" t="str">
        <f aca="false">IF($A509="","",IF(OR(S509="",N509&lt;=0),"",S509/1000*12/N509))</f>
        <v/>
      </c>
      <c r="U509" s="1" t="str">
        <f aca="false">IF($A509="","",IF(OR(T509="",J509=0,J509=""),"",T509/J509))</f>
        <v/>
      </c>
      <c r="V509" s="1" t="str">
        <f aca="false">IF($A509="","",IF(OR(R509="",N509&lt;=0,J509=0,J509=""),"",(R509/1000*12/N509)/J509))</f>
        <v/>
      </c>
      <c r="W509" s="1" t="str">
        <f aca="false">IF($A509="","",IF(OR(T509="",K509=0,K509=""),"",T509/K509))</f>
        <v/>
      </c>
      <c r="X509" s="1" t="n">
        <f aca="false">IF($A509="","",IF(OR(N509&lt;=0,I509=0,I509="",O509=0),"",O509*1000/(I509*0.3025)/N509))</f>
        <v>12932.710237915</v>
      </c>
      <c r="Y509" s="1" t="str">
        <f aca="false">IF($A509="","",IF(OR(O509=0,O509="",P509=0),"",P509/O509))</f>
        <v/>
      </c>
      <c r="Z509" s="1" t="str">
        <f aca="false">IF($A509="","",IFERROR(INDEX(物件収支!$E:$E,MATCH($A509,物件収支!$A:$A,0)),""))</f>
        <v>開示（物件別・収益のみ・百万円単位）</v>
      </c>
    </row>
    <row r="510" customFormat="false" ht="16.5" hidden="false" customHeight="true" outlineLevel="0" collapsed="false">
      <c r="A510" s="1" t="str">
        <f aca="false">IF(物件マスタ!A510="","",物件マスタ!A510)</f>
        <v>SHR-060</v>
      </c>
      <c r="B510" s="1" t="str">
        <f aca="false">IF($A510="","",物件マスタ!B510)</f>
        <v>SHR</v>
      </c>
      <c r="C510" s="1" t="str">
        <f aca="false">IF($A510="","",IFERROR(INDEX(法人マスタ!$C:$C,MATCH($B510,法人マスタ!$A:$A,0)),""))</f>
        <v>積水ハウス・リート投資法人</v>
      </c>
      <c r="D510" s="1" t="str">
        <f aca="false">IF($A510="","",物件マスタ!C510)</f>
        <v>エスティメゾン王子</v>
      </c>
      <c r="E510" s="1" t="str">
        <f aca="false">IF($A510="","",物件マスタ!H510)</f>
        <v>その他東京23区</v>
      </c>
      <c r="F510" s="53" t="n">
        <f aca="false">IF($A510="","",物件マスタ!P510)</f>
        <v>40360</v>
      </c>
      <c r="G510" s="1" t="n">
        <f aca="false">IF($A510="","",物件マスタ!Q510)</f>
        <v>16.1</v>
      </c>
      <c r="H510" s="1" t="n">
        <f aca="false">IF($A510="","",物件マスタ!L510)</f>
        <v>0</v>
      </c>
      <c r="I510" s="1" t="n">
        <f aca="false">IF($A510="","",物件マスタ!M510)</f>
        <v>2289.44</v>
      </c>
      <c r="J510" s="1" t="n">
        <f aca="false">IF($A510="","",物件マスタ!S510)</f>
        <v>1650</v>
      </c>
      <c r="K510" s="1" t="n">
        <f aca="false">IF($A510="","",物件マスタ!U510)</f>
        <v>1970</v>
      </c>
      <c r="L510" s="1" t="n">
        <f aca="false">IF($A510="","",物件マスタ!W510)</f>
        <v>0.908</v>
      </c>
      <c r="M510" s="1" t="str">
        <f aca="false">IF($A510="","",IFERROR(INDEX(法人マスタ!$H:$H,MATCH($B510,法人マスタ!$A:$A,0)),""))</f>
        <v>2026年4月期（第23期）</v>
      </c>
      <c r="N510" s="1" t="n">
        <f aca="false">IF($A510="","",SUMIFS(物件収支!$D:$D,物件収支!$A:$A,$A510,物件収支!$C:$C,$M510))</f>
        <v>6</v>
      </c>
      <c r="O510" s="1" t="n">
        <f aca="false">IF($A510="","",SUMIFS(物件収支!$F:$F,物件収支!$A:$A,$A510,物件収支!$C:$C,$M510))</f>
        <v>49000</v>
      </c>
      <c r="P510" s="1" t="n">
        <f aca="false">IF($A510="","",SUMIFS(物件収支!$I:$I,物件収支!$A:$A,$A510,物件収支!$C:$C,$M510))</f>
        <v>0</v>
      </c>
      <c r="Q510" s="1" t="n">
        <f aca="false">IF($A510="","",SUMIFS(物件収支!$O:$O,物件収支!$A:$A,$A510,物件収支!$C:$C,$M510))</f>
        <v>0</v>
      </c>
      <c r="R510" s="1" t="str">
        <f aca="false">IF($A510="","",IF(P510=0,"",O510-P510))</f>
        <v/>
      </c>
      <c r="S510" s="1" t="str">
        <f aca="false">IF($A510="","",IF(R510="","",R510+Q510))</f>
        <v/>
      </c>
      <c r="T510" s="1" t="str">
        <f aca="false">IF($A510="","",IF(OR(S510="",N510&lt;=0),"",S510/1000*12/N510))</f>
        <v/>
      </c>
      <c r="U510" s="1" t="str">
        <f aca="false">IF($A510="","",IF(OR(T510="",J510=0,J510=""),"",T510/J510))</f>
        <v/>
      </c>
      <c r="V510" s="1" t="str">
        <f aca="false">IF($A510="","",IF(OR(R510="",N510&lt;=0,J510=0,J510=""),"",(R510/1000*12/N510)/J510))</f>
        <v/>
      </c>
      <c r="W510" s="1" t="str">
        <f aca="false">IF($A510="","",IF(OR(T510="",K510=0,K510=""),"",T510/K510))</f>
        <v/>
      </c>
      <c r="X510" s="1" t="n">
        <f aca="false">IF($A510="","",IF(OR(N510&lt;=0,I510=0,I510="",O510=0),"",O510*1000/(I510*0.3025)/N510))</f>
        <v>11792.0736857325</v>
      </c>
      <c r="Y510" s="1" t="str">
        <f aca="false">IF($A510="","",IF(OR(O510=0,O510="",P510=0),"",P510/O510))</f>
        <v/>
      </c>
      <c r="Z510" s="1" t="str">
        <f aca="false">IF($A510="","",IFERROR(INDEX(物件収支!$E:$E,MATCH($A510,物件収支!$A:$A,0)),""))</f>
        <v>開示（物件別・収益のみ・百万円単位）</v>
      </c>
    </row>
    <row r="511" customFormat="false" ht="16.5" hidden="false" customHeight="true" outlineLevel="0" collapsed="false">
      <c r="A511" s="1" t="str">
        <f aca="false">IF(物件マスタ!A511="","",物件マスタ!A511)</f>
        <v>SHR-061</v>
      </c>
      <c r="B511" s="1" t="str">
        <f aca="false">IF($A511="","",物件マスタ!B511)</f>
        <v>SHR</v>
      </c>
      <c r="C511" s="1" t="str">
        <f aca="false">IF($A511="","",IFERROR(INDEX(法人マスタ!$C:$C,MATCH($B511,法人マスタ!$A:$A,0)),""))</f>
        <v>積水ハウス・リート投資法人</v>
      </c>
      <c r="D511" s="1" t="str">
        <f aca="false">IF($A511="","",物件マスタ!C511)</f>
        <v>プライムメゾン早稲田</v>
      </c>
      <c r="E511" s="1" t="str">
        <f aca="false">IF($A511="","",物件マスタ!H511)</f>
        <v>都心5区</v>
      </c>
      <c r="F511" s="53" t="n">
        <f aca="false">IF($A511="","",物件マスタ!P511)</f>
        <v>41214</v>
      </c>
      <c r="G511" s="1" t="n">
        <f aca="false">IF($A511="","",物件マスタ!Q511)</f>
        <v>13.8</v>
      </c>
      <c r="H511" s="1" t="n">
        <f aca="false">IF($A511="","",物件マスタ!L511)</f>
        <v>0</v>
      </c>
      <c r="I511" s="1" t="n">
        <f aca="false">IF($A511="","",物件マスタ!M511)</f>
        <v>1650.66</v>
      </c>
      <c r="J511" s="1" t="n">
        <f aca="false">IF($A511="","",物件マスタ!S511)</f>
        <v>1580</v>
      </c>
      <c r="K511" s="1" t="n">
        <f aca="false">IF($A511="","",物件マスタ!U511)</f>
        <v>2130</v>
      </c>
      <c r="L511" s="1" t="n">
        <f aca="false">IF($A511="","",物件マスタ!W511)</f>
        <v>0.985</v>
      </c>
      <c r="M511" s="1" t="str">
        <f aca="false">IF($A511="","",IFERROR(INDEX(法人マスタ!$H:$H,MATCH($B511,法人マスタ!$A:$A,0)),""))</f>
        <v>2026年4月期（第23期）</v>
      </c>
      <c r="N511" s="1" t="n">
        <f aca="false">IF($A511="","",SUMIFS(物件収支!$D:$D,物件収支!$A:$A,$A511,物件収支!$C:$C,$M511))</f>
        <v>6</v>
      </c>
      <c r="O511" s="1" t="n">
        <f aca="false">IF($A511="","",SUMIFS(物件収支!$F:$F,物件収支!$A:$A,$A511,物件収支!$C:$C,$M511))</f>
        <v>48000</v>
      </c>
      <c r="P511" s="1" t="n">
        <f aca="false">IF($A511="","",SUMIFS(物件収支!$I:$I,物件収支!$A:$A,$A511,物件収支!$C:$C,$M511))</f>
        <v>0</v>
      </c>
      <c r="Q511" s="1" t="n">
        <f aca="false">IF($A511="","",SUMIFS(物件収支!$O:$O,物件収支!$A:$A,$A511,物件収支!$C:$C,$M511))</f>
        <v>0</v>
      </c>
      <c r="R511" s="1" t="str">
        <f aca="false">IF($A511="","",IF(P511=0,"",O511-P511))</f>
        <v/>
      </c>
      <c r="S511" s="1" t="str">
        <f aca="false">IF($A511="","",IF(R511="","",R511+Q511))</f>
        <v/>
      </c>
      <c r="T511" s="1" t="str">
        <f aca="false">IF($A511="","",IF(OR(S511="",N511&lt;=0),"",S511/1000*12/N511))</f>
        <v/>
      </c>
      <c r="U511" s="1" t="str">
        <f aca="false">IF($A511="","",IF(OR(T511="",J511=0,J511=""),"",T511/J511))</f>
        <v/>
      </c>
      <c r="V511" s="1" t="str">
        <f aca="false">IF($A511="","",IF(OR(R511="",N511&lt;=0,J511=0,J511=""),"",(R511/1000*12/N511)/J511))</f>
        <v/>
      </c>
      <c r="W511" s="1" t="str">
        <f aca="false">IF($A511="","",IF(OR(T511="",K511=0,K511=""),"",T511/K511))</f>
        <v/>
      </c>
      <c r="X511" s="1" t="n">
        <f aca="false">IF($A511="","",IF(OR(N511&lt;=0,I511=0,I511="",O511=0),"",O511*1000/(I511*0.3025)/N511))</f>
        <v>16021.6404297284</v>
      </c>
      <c r="Y511" s="1" t="str">
        <f aca="false">IF($A511="","",IF(OR(O511=0,O511="",P511=0),"",P511/O511))</f>
        <v/>
      </c>
      <c r="Z511" s="1" t="str">
        <f aca="false">IF($A511="","",IFERROR(INDEX(物件収支!$E:$E,MATCH($A511,物件収支!$A:$A,0)),""))</f>
        <v>開示（物件別・収益のみ・百万円単位）</v>
      </c>
    </row>
    <row r="512" customFormat="false" ht="16.5" hidden="false" customHeight="true" outlineLevel="0" collapsed="false">
      <c r="A512" s="1" t="str">
        <f aca="false">IF(物件マスタ!A512="","",物件マスタ!A512)</f>
        <v>SHR-062</v>
      </c>
      <c r="B512" s="1" t="str">
        <f aca="false">IF($A512="","",物件マスタ!B512)</f>
        <v>SHR</v>
      </c>
      <c r="C512" s="1" t="str">
        <f aca="false">IF($A512="","",IFERROR(INDEX(法人マスタ!$C:$C,MATCH($B512,法人マスタ!$A:$A,0)),""))</f>
        <v>積水ハウス・リート投資法人</v>
      </c>
      <c r="D512" s="1" t="str">
        <f aca="false">IF($A512="","",物件マスタ!C512)</f>
        <v>プライムメゾン八丁堀</v>
      </c>
      <c r="E512" s="1" t="str">
        <f aca="false">IF($A512="","",物件マスタ!H512)</f>
        <v>都心5区</v>
      </c>
      <c r="F512" s="53" t="n">
        <f aca="false">IF($A512="","",物件マスタ!P512)</f>
        <v>41214</v>
      </c>
      <c r="G512" s="1" t="n">
        <f aca="false">IF($A512="","",物件マスタ!Q512)</f>
        <v>13.8</v>
      </c>
      <c r="H512" s="1" t="n">
        <f aca="false">IF($A512="","",物件マスタ!L512)</f>
        <v>0</v>
      </c>
      <c r="I512" s="1" t="n">
        <f aca="false">IF($A512="","",物件マスタ!M512)</f>
        <v>1382.32</v>
      </c>
      <c r="J512" s="1" t="n">
        <f aca="false">IF($A512="","",物件マスタ!S512)</f>
        <v>1460</v>
      </c>
      <c r="K512" s="1" t="n">
        <f aca="false">IF($A512="","",物件マスタ!U512)</f>
        <v>1820</v>
      </c>
      <c r="L512" s="1" t="n">
        <f aca="false">IF($A512="","",物件マスタ!W512)</f>
        <v>0.981</v>
      </c>
      <c r="M512" s="1" t="str">
        <f aca="false">IF($A512="","",IFERROR(INDEX(法人マスタ!$H:$H,MATCH($B512,法人マスタ!$A:$A,0)),""))</f>
        <v>2026年4月期（第23期）</v>
      </c>
      <c r="N512" s="1" t="n">
        <f aca="false">IF($A512="","",SUMIFS(物件収支!$D:$D,物件収支!$A:$A,$A512,物件収支!$C:$C,$M512))</f>
        <v>6</v>
      </c>
      <c r="O512" s="1" t="n">
        <f aca="false">IF($A512="","",SUMIFS(物件収支!$F:$F,物件収支!$A:$A,$A512,物件収支!$C:$C,$M512))</f>
        <v>40000</v>
      </c>
      <c r="P512" s="1" t="n">
        <f aca="false">IF($A512="","",SUMIFS(物件収支!$I:$I,物件収支!$A:$A,$A512,物件収支!$C:$C,$M512))</f>
        <v>0</v>
      </c>
      <c r="Q512" s="1" t="n">
        <f aca="false">IF($A512="","",SUMIFS(物件収支!$O:$O,物件収支!$A:$A,$A512,物件収支!$C:$C,$M512))</f>
        <v>0</v>
      </c>
      <c r="R512" s="1" t="str">
        <f aca="false">IF($A512="","",IF(P512=0,"",O512-P512))</f>
        <v/>
      </c>
      <c r="S512" s="1" t="str">
        <f aca="false">IF($A512="","",IF(R512="","",R512+Q512))</f>
        <v/>
      </c>
      <c r="T512" s="1" t="str">
        <f aca="false">IF($A512="","",IF(OR(S512="",N512&lt;=0),"",S512/1000*12/N512))</f>
        <v/>
      </c>
      <c r="U512" s="1" t="str">
        <f aca="false">IF($A512="","",IF(OR(T512="",J512=0,J512=""),"",T512/J512))</f>
        <v/>
      </c>
      <c r="V512" s="1" t="str">
        <f aca="false">IF($A512="","",IF(OR(R512="",N512&lt;=0,J512=0,J512=""),"",(R512/1000*12/N512)/J512))</f>
        <v/>
      </c>
      <c r="W512" s="1" t="str">
        <f aca="false">IF($A512="","",IF(OR(T512="",K512=0,K512=""),"",T512/K512))</f>
        <v/>
      </c>
      <c r="X512" s="1" t="n">
        <f aca="false">IF($A512="","",IF(OR(N512&lt;=0,I512=0,I512="",O512=0),"",O512*1000/(I512*0.3025)/N512))</f>
        <v>15943.1734280868</v>
      </c>
      <c r="Y512" s="1" t="str">
        <f aca="false">IF($A512="","",IF(OR(O512=0,O512="",P512=0),"",P512/O512))</f>
        <v/>
      </c>
      <c r="Z512" s="1" t="str">
        <f aca="false">IF($A512="","",IFERROR(INDEX(物件収支!$E:$E,MATCH($A512,物件収支!$A:$A,0)),""))</f>
        <v>開示（物件別・収益のみ・百万円単位）</v>
      </c>
    </row>
    <row r="513" customFormat="false" ht="16.5" hidden="false" customHeight="true" outlineLevel="0" collapsed="false">
      <c r="A513" s="1" t="str">
        <f aca="false">IF(物件マスタ!A513="","",物件マスタ!A513)</f>
        <v>SHR-063</v>
      </c>
      <c r="B513" s="1" t="str">
        <f aca="false">IF($A513="","",物件マスタ!B513)</f>
        <v>SHR</v>
      </c>
      <c r="C513" s="1" t="str">
        <f aca="false">IF($A513="","",IFERROR(INDEX(法人マスタ!$C:$C,MATCH($B513,法人マスタ!$A:$A,0)),""))</f>
        <v>積水ハウス・リート投資法人</v>
      </c>
      <c r="D513" s="1" t="str">
        <f aca="false">IF($A513="","",物件マスタ!C513)</f>
        <v>プライムメゾン神保町</v>
      </c>
      <c r="E513" s="1" t="str">
        <f aca="false">IF($A513="","",物件マスタ!H513)</f>
        <v>都心5区</v>
      </c>
      <c r="F513" s="53" t="n">
        <f aca="false">IF($A513="","",物件マスタ!P513)</f>
        <v>41334</v>
      </c>
      <c r="G513" s="1" t="n">
        <f aca="false">IF($A513="","",物件マスタ!Q513)</f>
        <v>13.4</v>
      </c>
      <c r="H513" s="1" t="n">
        <f aca="false">IF($A513="","",物件マスタ!L513)</f>
        <v>0</v>
      </c>
      <c r="I513" s="1" t="n">
        <f aca="false">IF($A513="","",物件マスタ!M513)</f>
        <v>1819.9</v>
      </c>
      <c r="J513" s="1" t="n">
        <f aca="false">IF($A513="","",物件マスタ!S513)</f>
        <v>1960</v>
      </c>
      <c r="K513" s="1" t="n">
        <f aca="false">IF($A513="","",物件マスタ!U513)</f>
        <v>2340</v>
      </c>
      <c r="L513" s="1" t="n">
        <f aca="false">IF($A513="","",物件マスタ!W513)</f>
        <v>0.964</v>
      </c>
      <c r="M513" s="1" t="str">
        <f aca="false">IF($A513="","",IFERROR(INDEX(法人マスタ!$H:$H,MATCH($B513,法人マスタ!$A:$A,0)),""))</f>
        <v>2026年4月期（第23期）</v>
      </c>
      <c r="N513" s="1" t="n">
        <f aca="false">IF($A513="","",SUMIFS(物件収支!$D:$D,物件収支!$A:$A,$A513,物件収支!$C:$C,$M513))</f>
        <v>6</v>
      </c>
      <c r="O513" s="1" t="n">
        <f aca="false">IF($A513="","",SUMIFS(物件収支!$F:$F,物件収支!$A:$A,$A513,物件収支!$C:$C,$M513))</f>
        <v>56000</v>
      </c>
      <c r="P513" s="1" t="n">
        <f aca="false">IF($A513="","",SUMIFS(物件収支!$I:$I,物件収支!$A:$A,$A513,物件収支!$C:$C,$M513))</f>
        <v>0</v>
      </c>
      <c r="Q513" s="1" t="n">
        <f aca="false">IF($A513="","",SUMIFS(物件収支!$O:$O,物件収支!$A:$A,$A513,物件収支!$C:$C,$M513))</f>
        <v>0</v>
      </c>
      <c r="R513" s="1" t="str">
        <f aca="false">IF($A513="","",IF(P513=0,"",O513-P513))</f>
        <v/>
      </c>
      <c r="S513" s="1" t="str">
        <f aca="false">IF($A513="","",IF(R513="","",R513+Q513))</f>
        <v/>
      </c>
      <c r="T513" s="1" t="str">
        <f aca="false">IF($A513="","",IF(OR(S513="",N513&lt;=0),"",S513/1000*12/N513))</f>
        <v/>
      </c>
      <c r="U513" s="1" t="str">
        <f aca="false">IF($A513="","",IF(OR(T513="",J513=0,J513=""),"",T513/J513))</f>
        <v/>
      </c>
      <c r="V513" s="1" t="str">
        <f aca="false">IF($A513="","",IF(OR(R513="",N513&lt;=0,J513=0,J513=""),"",(R513/1000*12/N513)/J513))</f>
        <v/>
      </c>
      <c r="W513" s="1" t="str">
        <f aca="false">IF($A513="","",IF(OR(T513="",K513=0,K513=""),"",T513/K513))</f>
        <v/>
      </c>
      <c r="X513" s="1" t="n">
        <f aca="false">IF($A513="","",IF(OR(N513&lt;=0,I513=0,I513="",O513=0),"",O513*1000/(I513*0.3025)/N513))</f>
        <v>16953.6757461169</v>
      </c>
      <c r="Y513" s="1" t="str">
        <f aca="false">IF($A513="","",IF(OR(O513=0,O513="",P513=0),"",P513/O513))</f>
        <v/>
      </c>
      <c r="Z513" s="1" t="str">
        <f aca="false">IF($A513="","",IFERROR(INDEX(物件収支!$E:$E,MATCH($A513,物件収支!$A:$A,0)),""))</f>
        <v>開示（物件別・収益のみ・百万円単位）</v>
      </c>
    </row>
    <row r="514" customFormat="false" ht="16.5" hidden="false" customHeight="true" outlineLevel="0" collapsed="false">
      <c r="A514" s="1" t="str">
        <f aca="false">IF(物件マスタ!A514="","",物件マスタ!A514)</f>
        <v>SHR-064</v>
      </c>
      <c r="B514" s="1" t="str">
        <f aca="false">IF($A514="","",物件マスタ!B514)</f>
        <v>SHR</v>
      </c>
      <c r="C514" s="1" t="str">
        <f aca="false">IF($A514="","",IFERROR(INDEX(法人マスタ!$C:$C,MATCH($B514,法人マスタ!$A:$A,0)),""))</f>
        <v>積水ハウス・リート投資法人</v>
      </c>
      <c r="D514" s="1" t="str">
        <f aca="false">IF($A514="","",物件マスタ!C514)</f>
        <v>プライムメゾン御殿山イースト</v>
      </c>
      <c r="E514" s="1" t="str">
        <f aca="false">IF($A514="","",物件マスタ!H514)</f>
        <v>その他東京23区</v>
      </c>
      <c r="F514" s="53" t="n">
        <f aca="false">IF($A514="","",物件マスタ!P514)</f>
        <v>40544</v>
      </c>
      <c r="G514" s="1" t="n">
        <f aca="false">IF($A514="","",物件マスタ!Q514)</f>
        <v>15.6</v>
      </c>
      <c r="H514" s="1" t="n">
        <f aca="false">IF($A514="","",物件マスタ!L514)</f>
        <v>0</v>
      </c>
      <c r="I514" s="1" t="n">
        <f aca="false">IF($A514="","",物件マスタ!M514)</f>
        <v>2512.91</v>
      </c>
      <c r="J514" s="1" t="n">
        <f aca="false">IF($A514="","",物件マスタ!S514)</f>
        <v>2910</v>
      </c>
      <c r="K514" s="1" t="n">
        <f aca="false">IF($A514="","",物件マスタ!U514)</f>
        <v>3860</v>
      </c>
      <c r="L514" s="1" t="n">
        <f aca="false">IF($A514="","",物件マスタ!W514)</f>
        <v>0.965</v>
      </c>
      <c r="M514" s="1" t="str">
        <f aca="false">IF($A514="","",IFERROR(INDEX(法人マスタ!$H:$H,MATCH($B514,法人マスタ!$A:$A,0)),""))</f>
        <v>2026年4月期（第23期）</v>
      </c>
      <c r="N514" s="1" t="n">
        <f aca="false">IF($A514="","",SUMIFS(物件収支!$D:$D,物件収支!$A:$A,$A514,物件収支!$C:$C,$M514))</f>
        <v>6</v>
      </c>
      <c r="O514" s="1" t="n">
        <f aca="false">IF($A514="","",SUMIFS(物件収支!$F:$F,物件収支!$A:$A,$A514,物件収支!$C:$C,$M514))</f>
        <v>98000</v>
      </c>
      <c r="P514" s="1" t="n">
        <f aca="false">IF($A514="","",SUMIFS(物件収支!$I:$I,物件収支!$A:$A,$A514,物件収支!$C:$C,$M514))</f>
        <v>0</v>
      </c>
      <c r="Q514" s="1" t="n">
        <f aca="false">IF($A514="","",SUMIFS(物件収支!$O:$O,物件収支!$A:$A,$A514,物件収支!$C:$C,$M514))</f>
        <v>0</v>
      </c>
      <c r="R514" s="1" t="str">
        <f aca="false">IF($A514="","",IF(P514=0,"",O514-P514))</f>
        <v/>
      </c>
      <c r="S514" s="1" t="str">
        <f aca="false">IF($A514="","",IF(R514="","",R514+Q514))</f>
        <v/>
      </c>
      <c r="T514" s="1" t="str">
        <f aca="false">IF($A514="","",IF(OR(S514="",N514&lt;=0),"",S514/1000*12/N514))</f>
        <v/>
      </c>
      <c r="U514" s="1" t="str">
        <f aca="false">IF($A514="","",IF(OR(T514="",J514=0,J514=""),"",T514/J514))</f>
        <v/>
      </c>
      <c r="V514" s="1" t="str">
        <f aca="false">IF($A514="","",IF(OR(R514="",N514&lt;=0,J514=0,J514=""),"",(R514/1000*12/N514)/J514))</f>
        <v/>
      </c>
      <c r="W514" s="1" t="str">
        <f aca="false">IF($A514="","",IF(OR(T514="",K514=0,K514=""),"",T514/K514))</f>
        <v/>
      </c>
      <c r="X514" s="1" t="n">
        <f aca="false">IF($A514="","",IF(OR(N514&lt;=0,I514=0,I514="",O514=0),"",O514*1000/(I514*0.3025)/N514))</f>
        <v>21486.8381112442</v>
      </c>
      <c r="Y514" s="1" t="str">
        <f aca="false">IF($A514="","",IF(OR(O514=0,O514="",P514=0),"",P514/O514))</f>
        <v/>
      </c>
      <c r="Z514" s="1" t="str">
        <f aca="false">IF($A514="","",IFERROR(INDEX(物件収支!$E:$E,MATCH($A514,物件収支!$A:$A,0)),""))</f>
        <v>開示（物件別・収益のみ・百万円単位）</v>
      </c>
    </row>
    <row r="515" customFormat="false" ht="16.5" hidden="false" customHeight="true" outlineLevel="0" collapsed="false">
      <c r="A515" s="1" t="str">
        <f aca="false">IF(物件マスタ!A515="","",物件マスタ!A515)</f>
        <v>SHR-065</v>
      </c>
      <c r="B515" s="1" t="str">
        <f aca="false">IF($A515="","",物件マスタ!B515)</f>
        <v>SHR</v>
      </c>
      <c r="C515" s="1" t="str">
        <f aca="false">IF($A515="","",IFERROR(INDEX(法人マスタ!$C:$C,MATCH($B515,法人マスタ!$A:$A,0)),""))</f>
        <v>積水ハウス・リート投資法人</v>
      </c>
      <c r="D515" s="1" t="str">
        <f aca="false">IF($A515="","",物件マスタ!C515)</f>
        <v>シャーメゾンステージ秋葉原</v>
      </c>
      <c r="E515" s="1" t="str">
        <f aca="false">IF($A515="","",物件マスタ!H515)</f>
        <v>都心5区</v>
      </c>
      <c r="F515" s="53" t="n">
        <f aca="false">IF($A515="","",物件マスタ!P515)</f>
        <v>38991</v>
      </c>
      <c r="G515" s="1" t="n">
        <f aca="false">IF($A515="","",物件マスタ!Q515)</f>
        <v>19.9</v>
      </c>
      <c r="H515" s="1" t="n">
        <f aca="false">IF($A515="","",物件マスタ!L515)</f>
        <v>0</v>
      </c>
      <c r="I515" s="1" t="n">
        <f aca="false">IF($A515="","",物件マスタ!M515)</f>
        <v>803.36</v>
      </c>
      <c r="J515" s="1" t="n">
        <f aca="false">IF($A515="","",物件マスタ!S515)</f>
        <v>555</v>
      </c>
      <c r="K515" s="1" t="n">
        <f aca="false">IF($A515="","",物件マスタ!U515)</f>
        <v>662</v>
      </c>
      <c r="L515" s="1" t="n">
        <f aca="false">IF($A515="","",物件マスタ!W515)</f>
        <v>1</v>
      </c>
      <c r="M515" s="1" t="str">
        <f aca="false">IF($A515="","",IFERROR(INDEX(法人マスタ!$H:$H,MATCH($B515,法人マスタ!$A:$A,0)),""))</f>
        <v>2026年4月期（第23期）</v>
      </c>
      <c r="N515" s="1" t="n">
        <f aca="false">IF($A515="","",SUMIFS(物件収支!$D:$D,物件収支!$A:$A,$A515,物件収支!$C:$C,$M515))</f>
        <v>6</v>
      </c>
      <c r="O515" s="1" t="n">
        <f aca="false">IF($A515="","",SUMIFS(物件収支!$F:$F,物件収支!$A:$A,$A515,物件収支!$C:$C,$M515))</f>
        <v>18000</v>
      </c>
      <c r="P515" s="1" t="n">
        <f aca="false">IF($A515="","",SUMIFS(物件収支!$I:$I,物件収支!$A:$A,$A515,物件収支!$C:$C,$M515))</f>
        <v>0</v>
      </c>
      <c r="Q515" s="1" t="n">
        <f aca="false">IF($A515="","",SUMIFS(物件収支!$O:$O,物件収支!$A:$A,$A515,物件収支!$C:$C,$M515))</f>
        <v>0</v>
      </c>
      <c r="R515" s="1" t="str">
        <f aca="false">IF($A515="","",IF(P515=0,"",O515-P515))</f>
        <v/>
      </c>
      <c r="S515" s="1" t="str">
        <f aca="false">IF($A515="","",IF(R515="","",R515+Q515))</f>
        <v/>
      </c>
      <c r="T515" s="1" t="str">
        <f aca="false">IF($A515="","",IF(OR(S515="",N515&lt;=0),"",S515/1000*12/N515))</f>
        <v/>
      </c>
      <c r="U515" s="1" t="str">
        <f aca="false">IF($A515="","",IF(OR(T515="",J515=0,J515=""),"",T515/J515))</f>
        <v/>
      </c>
      <c r="V515" s="1" t="str">
        <f aca="false">IF($A515="","",IF(OR(R515="",N515&lt;=0,J515=0,J515=""),"",(R515/1000*12/N515)/J515))</f>
        <v/>
      </c>
      <c r="W515" s="1" t="str">
        <f aca="false">IF($A515="","",IF(OR(T515="",K515=0,K515=""),"",T515/K515))</f>
        <v/>
      </c>
      <c r="X515" s="1" t="n">
        <f aca="false">IF($A515="","",IF(OR(N515&lt;=0,I515=0,I515="",O515=0),"",O515*1000/(I515*0.3025)/N515))</f>
        <v>12344.8458622546</v>
      </c>
      <c r="Y515" s="1" t="str">
        <f aca="false">IF($A515="","",IF(OR(O515=0,O515="",P515=0),"",P515/O515))</f>
        <v/>
      </c>
      <c r="Z515" s="1" t="str">
        <f aca="false">IF($A515="","",IFERROR(INDEX(物件収支!$E:$E,MATCH($A515,物件収支!$A:$A,0)),""))</f>
        <v>開示（物件別・収益のみ・百万円単位）</v>
      </c>
    </row>
    <row r="516" customFormat="false" ht="16.5" hidden="false" customHeight="true" outlineLevel="0" collapsed="false">
      <c r="A516" s="1" t="str">
        <f aca="false">IF(物件マスタ!A516="","",物件マスタ!A516)</f>
        <v>SHR-066</v>
      </c>
      <c r="B516" s="1" t="str">
        <f aca="false">IF($A516="","",物件マスタ!B516)</f>
        <v>SHR</v>
      </c>
      <c r="C516" s="1" t="str">
        <f aca="false">IF($A516="","",IFERROR(INDEX(法人マスタ!$C:$C,MATCH($B516,法人マスタ!$A:$A,0)),""))</f>
        <v>積水ハウス・リート投資法人</v>
      </c>
      <c r="D516" s="1" t="str">
        <f aca="false">IF($A516="","",物件マスタ!C516)</f>
        <v>エスティメゾン葵</v>
      </c>
      <c r="E516" s="1" t="str">
        <f aca="false">IF($A516="","",物件マスタ!H516)</f>
        <v>（期中譲渡済）</v>
      </c>
      <c r="F516" s="1" t="n">
        <f aca="false">IF($A516="","",物件マスタ!P516)</f>
        <v>0</v>
      </c>
      <c r="G516" s="1" t="str">
        <f aca="false">IF($A516="","",物件マスタ!Q516)</f>
        <v/>
      </c>
      <c r="H516" s="1" t="n">
        <f aca="false">IF($A516="","",物件マスタ!L516)</f>
        <v>0</v>
      </c>
      <c r="I516" s="1" t="n">
        <f aca="false">IF($A516="","",物件マスタ!M516)</f>
        <v>0</v>
      </c>
      <c r="J516" s="1" t="n">
        <f aca="false">IF($A516="","",物件マスタ!S516)</f>
        <v>0</v>
      </c>
      <c r="K516" s="1" t="n">
        <f aca="false">IF($A516="","",物件マスタ!U516)</f>
        <v>0</v>
      </c>
      <c r="L516" s="1" t="n">
        <f aca="false">IF($A516="","",物件マスタ!W516)</f>
        <v>0</v>
      </c>
      <c r="M516" s="1" t="str">
        <f aca="false">IF($A516="","",IFERROR(INDEX(法人マスタ!$H:$H,MATCH($B516,法人マスタ!$A:$A,0)),""))</f>
        <v>2026年4月期（第23期）</v>
      </c>
      <c r="N516" s="1" t="n">
        <f aca="false">IF($A516="","",SUMIFS(物件収支!$D:$D,物件収支!$A:$A,$A516,物件収支!$C:$C,$M516))</f>
        <v>6</v>
      </c>
      <c r="O516" s="1" t="n">
        <f aca="false">IF($A516="","",SUMIFS(物件収支!$F:$F,物件収支!$A:$A,$A516,物件収支!$C:$C,$M516))</f>
        <v>33000</v>
      </c>
      <c r="P516" s="1" t="n">
        <f aca="false">IF($A516="","",SUMIFS(物件収支!$I:$I,物件収支!$A:$A,$A516,物件収支!$C:$C,$M516))</f>
        <v>0</v>
      </c>
      <c r="Q516" s="1" t="n">
        <f aca="false">IF($A516="","",SUMIFS(物件収支!$O:$O,物件収支!$A:$A,$A516,物件収支!$C:$C,$M516))</f>
        <v>0</v>
      </c>
      <c r="R516" s="1" t="str">
        <f aca="false">IF($A516="","",IF(P516=0,"",O516-P516))</f>
        <v/>
      </c>
      <c r="S516" s="1" t="str">
        <f aca="false">IF($A516="","",IF(R516="","",R516+Q516))</f>
        <v/>
      </c>
      <c r="T516" s="1" t="str">
        <f aca="false">IF($A516="","",IF(OR(S516="",N516&lt;=0),"",S516/1000*12/N516))</f>
        <v/>
      </c>
      <c r="U516" s="1" t="str">
        <f aca="false">IF($A516="","",IF(OR(T516="",J516=0,J516=""),"",T516/J516))</f>
        <v/>
      </c>
      <c r="V516" s="1" t="str">
        <f aca="false">IF($A516="","",IF(OR(R516="",N516&lt;=0,J516=0,J516=""),"",(R516/1000*12/N516)/J516))</f>
        <v/>
      </c>
      <c r="W516" s="1" t="str">
        <f aca="false">IF($A516="","",IF(OR(T516="",K516=0,K516=""),"",T516/K516))</f>
        <v/>
      </c>
      <c r="X516" s="1" t="str">
        <f aca="false">IF($A516="","",IF(OR(N516&lt;=0,I516=0,I516="",O516=0),"",O516*1000/(I516*0.3025)/N516))</f>
        <v/>
      </c>
      <c r="Y516" s="1" t="str">
        <f aca="false">IF($A516="","",IF(OR(O516=0,O516="",P516=0),"",P516/O516))</f>
        <v/>
      </c>
      <c r="Z516" s="1" t="str">
        <f aca="false">IF($A516="","",IFERROR(INDEX(物件収支!$E:$E,MATCH($A516,物件収支!$A:$A,0)),""))</f>
        <v>開示（期中譲渡・収益のみ・百万円単位）</v>
      </c>
    </row>
    <row r="517" customFormat="false" ht="16.5" hidden="false" customHeight="true" outlineLevel="0" collapsed="false">
      <c r="A517" s="1" t="str">
        <f aca="false">IF(物件マスタ!A517="","",物件マスタ!A517)</f>
        <v>SHR-067</v>
      </c>
      <c r="B517" s="1" t="str">
        <f aca="false">IF($A517="","",物件マスタ!B517)</f>
        <v>SHR</v>
      </c>
      <c r="C517" s="1" t="str">
        <f aca="false">IF($A517="","",IFERROR(INDEX(法人マスタ!$C:$C,MATCH($B517,法人マスタ!$A:$A,0)),""))</f>
        <v>積水ハウス・リート投資法人</v>
      </c>
      <c r="D517" s="1" t="str">
        <f aca="false">IF($A517="","",物件マスタ!C517)</f>
        <v>エスティメゾン薬院</v>
      </c>
      <c r="E517" s="1" t="str">
        <f aca="false">IF($A517="","",物件マスタ!H517)</f>
        <v>3大都市圏以外の政令市</v>
      </c>
      <c r="F517" s="53" t="n">
        <f aca="false">IF($A517="","",物件マスタ!P517)</f>
        <v>38749</v>
      </c>
      <c r="G517" s="1" t="n">
        <f aca="false">IF($A517="","",物件マスタ!Q517)</f>
        <v>20.5</v>
      </c>
      <c r="H517" s="1" t="n">
        <f aca="false">IF($A517="","",物件マスタ!L517)</f>
        <v>0</v>
      </c>
      <c r="I517" s="1" t="n">
        <f aca="false">IF($A517="","",物件マスタ!M517)</f>
        <v>5213.51</v>
      </c>
      <c r="J517" s="1" t="n">
        <f aca="false">IF($A517="","",物件マスタ!S517)</f>
        <v>2430</v>
      </c>
      <c r="K517" s="1" t="n">
        <f aca="false">IF($A517="","",物件マスタ!U517)</f>
        <v>2740</v>
      </c>
      <c r="L517" s="1" t="n">
        <f aca="false">IF($A517="","",物件マスタ!W517)</f>
        <v>0.986</v>
      </c>
      <c r="M517" s="1" t="str">
        <f aca="false">IF($A517="","",IFERROR(INDEX(法人マスタ!$H:$H,MATCH($B517,法人マスタ!$A:$A,0)),""))</f>
        <v>2026年4月期（第23期）</v>
      </c>
      <c r="N517" s="1" t="n">
        <f aca="false">IF($A517="","",SUMIFS(物件収支!$D:$D,物件収支!$A:$A,$A517,物件収支!$C:$C,$M517))</f>
        <v>6</v>
      </c>
      <c r="O517" s="1" t="n">
        <f aca="false">IF($A517="","",SUMIFS(物件収支!$F:$F,物件収支!$A:$A,$A517,物件収支!$C:$C,$M517))</f>
        <v>83000</v>
      </c>
      <c r="P517" s="1" t="n">
        <f aca="false">IF($A517="","",SUMIFS(物件収支!$I:$I,物件収支!$A:$A,$A517,物件収支!$C:$C,$M517))</f>
        <v>0</v>
      </c>
      <c r="Q517" s="1" t="n">
        <f aca="false">IF($A517="","",SUMIFS(物件収支!$O:$O,物件収支!$A:$A,$A517,物件収支!$C:$C,$M517))</f>
        <v>0</v>
      </c>
      <c r="R517" s="1" t="str">
        <f aca="false">IF($A517="","",IF(P517=0,"",O517-P517))</f>
        <v/>
      </c>
      <c r="S517" s="1" t="str">
        <f aca="false">IF($A517="","",IF(R517="","",R517+Q517))</f>
        <v/>
      </c>
      <c r="T517" s="1" t="str">
        <f aca="false">IF($A517="","",IF(OR(S517="",N517&lt;=0),"",S517/1000*12/N517))</f>
        <v/>
      </c>
      <c r="U517" s="1" t="str">
        <f aca="false">IF($A517="","",IF(OR(T517="",J517=0,J517=""),"",T517/J517))</f>
        <v/>
      </c>
      <c r="V517" s="1" t="str">
        <f aca="false">IF($A517="","",IF(OR(R517="",N517&lt;=0,J517=0,J517=""),"",(R517/1000*12/N517)/J517))</f>
        <v/>
      </c>
      <c r="W517" s="1" t="str">
        <f aca="false">IF($A517="","",IF(OR(T517="",K517=0,K517=""),"",T517/K517))</f>
        <v/>
      </c>
      <c r="X517" s="1" t="n">
        <f aca="false">IF($A517="","",IF(OR(N517&lt;=0,I517=0,I517="",O517=0),"",O517*1000/(I517*0.3025)/N517))</f>
        <v>8771.44717248253</v>
      </c>
      <c r="Y517" s="1" t="str">
        <f aca="false">IF($A517="","",IF(OR(O517=0,O517="",P517=0),"",P517/O517))</f>
        <v/>
      </c>
      <c r="Z517" s="1" t="str">
        <f aca="false">IF($A517="","",IFERROR(INDEX(物件収支!$E:$E,MATCH($A517,物件収支!$A:$A,0)),""))</f>
        <v>開示（物件別・収益のみ・百万円単位）</v>
      </c>
    </row>
    <row r="518" customFormat="false" ht="16.5" hidden="false" customHeight="true" outlineLevel="0" collapsed="false">
      <c r="A518" s="1" t="str">
        <f aca="false">IF(物件マスタ!A518="","",物件マスタ!A518)</f>
        <v>SHR-068</v>
      </c>
      <c r="B518" s="1" t="str">
        <f aca="false">IF($A518="","",物件マスタ!B518)</f>
        <v>SHR</v>
      </c>
      <c r="C518" s="1" t="str">
        <f aca="false">IF($A518="","",IFERROR(INDEX(法人マスタ!$C:$C,MATCH($B518,法人マスタ!$A:$A,0)),""))</f>
        <v>積水ハウス・リート投資法人</v>
      </c>
      <c r="D518" s="1" t="str">
        <f aca="false">IF($A518="","",物件マスタ!C518)</f>
        <v>エスティメゾン錦糸町Ⅱ</v>
      </c>
      <c r="E518" s="1" t="str">
        <f aca="false">IF($A518="","",物件マスタ!H518)</f>
        <v>その他東京23区</v>
      </c>
      <c r="F518" s="53" t="n">
        <f aca="false">IF($A518="","",物件マスタ!P518)</f>
        <v>39448</v>
      </c>
      <c r="G518" s="1" t="n">
        <f aca="false">IF($A518="","",物件マスタ!Q518)</f>
        <v>18.6</v>
      </c>
      <c r="H518" s="1" t="n">
        <f aca="false">IF($A518="","",物件マスタ!L518)</f>
        <v>0</v>
      </c>
      <c r="I518" s="1" t="n">
        <f aca="false">IF($A518="","",物件マスタ!M518)</f>
        <v>9469.65</v>
      </c>
      <c r="J518" s="1" t="n">
        <f aca="false">IF($A518="","",物件マスタ!S518)</f>
        <v>8250</v>
      </c>
      <c r="K518" s="1" t="n">
        <f aca="false">IF($A518="","",物件マスタ!U518)</f>
        <v>11900</v>
      </c>
      <c r="L518" s="1" t="n">
        <f aca="false">IF($A518="","",物件マスタ!W518)</f>
        <v>0.952</v>
      </c>
      <c r="M518" s="1" t="str">
        <f aca="false">IF($A518="","",IFERROR(INDEX(法人マスタ!$H:$H,MATCH($B518,法人マスタ!$A:$A,0)),""))</f>
        <v>2026年4月期（第23期）</v>
      </c>
      <c r="N518" s="1" t="n">
        <f aca="false">IF($A518="","",SUMIFS(物件収支!$D:$D,物件収支!$A:$A,$A518,物件収支!$C:$C,$M518))</f>
        <v>6</v>
      </c>
      <c r="O518" s="1" t="n">
        <f aca="false">IF($A518="","",SUMIFS(物件収支!$F:$F,物件収支!$A:$A,$A518,物件収支!$C:$C,$M518))</f>
        <v>241000</v>
      </c>
      <c r="P518" s="1" t="n">
        <f aca="false">IF($A518="","",SUMIFS(物件収支!$I:$I,物件収支!$A:$A,$A518,物件収支!$C:$C,$M518))</f>
        <v>0</v>
      </c>
      <c r="Q518" s="1" t="n">
        <f aca="false">IF($A518="","",SUMIFS(物件収支!$O:$O,物件収支!$A:$A,$A518,物件収支!$C:$C,$M518))</f>
        <v>0</v>
      </c>
      <c r="R518" s="1" t="str">
        <f aca="false">IF($A518="","",IF(P518=0,"",O518-P518))</f>
        <v/>
      </c>
      <c r="S518" s="1" t="str">
        <f aca="false">IF($A518="","",IF(R518="","",R518+Q518))</f>
        <v/>
      </c>
      <c r="T518" s="1" t="str">
        <f aca="false">IF($A518="","",IF(OR(S518="",N518&lt;=0),"",S518/1000*12/N518))</f>
        <v/>
      </c>
      <c r="U518" s="1" t="str">
        <f aca="false">IF($A518="","",IF(OR(T518="",J518=0,J518=""),"",T518/J518))</f>
        <v/>
      </c>
      <c r="V518" s="1" t="str">
        <f aca="false">IF($A518="","",IF(OR(R518="",N518&lt;=0,J518=0,J518=""),"",(R518/1000*12/N518)/J518))</f>
        <v/>
      </c>
      <c r="W518" s="1" t="str">
        <f aca="false">IF($A518="","",IF(OR(T518="",K518=0,K518=""),"",T518/K518))</f>
        <v/>
      </c>
      <c r="X518" s="1" t="n">
        <f aca="false">IF($A518="","",IF(OR(N518&lt;=0,I518=0,I518="",O518=0),"",O518*1000/(I518*0.3025)/N518))</f>
        <v>14021.8877303813</v>
      </c>
      <c r="Y518" s="1" t="str">
        <f aca="false">IF($A518="","",IF(OR(O518=0,O518="",P518=0),"",P518/O518))</f>
        <v/>
      </c>
      <c r="Z518" s="1" t="str">
        <f aca="false">IF($A518="","",IFERROR(INDEX(物件収支!$E:$E,MATCH($A518,物件収支!$A:$A,0)),""))</f>
        <v>開示（物件別・収益のみ・百万円単位）</v>
      </c>
    </row>
    <row r="519" customFormat="false" ht="16.5" hidden="false" customHeight="true" outlineLevel="0" collapsed="false">
      <c r="A519" s="1" t="str">
        <f aca="false">IF(物件マスタ!A519="","",物件マスタ!A519)</f>
        <v>SHR-069</v>
      </c>
      <c r="B519" s="1" t="str">
        <f aca="false">IF($A519="","",物件マスタ!B519)</f>
        <v>SHR</v>
      </c>
      <c r="C519" s="1" t="str">
        <f aca="false">IF($A519="","",IFERROR(INDEX(法人マスタ!$C:$C,MATCH($B519,法人マスタ!$A:$A,0)),""))</f>
        <v>積水ハウス・リート投資法人</v>
      </c>
      <c r="D519" s="1" t="str">
        <f aca="false">IF($A519="","",物件マスタ!C519)</f>
        <v>エスティメゾン大島</v>
      </c>
      <c r="E519" s="1" t="str">
        <f aca="false">IF($A519="","",物件マスタ!H519)</f>
        <v>その他東京23区</v>
      </c>
      <c r="F519" s="53" t="n">
        <f aca="false">IF($A519="","",物件マスタ!P519)</f>
        <v>39326</v>
      </c>
      <c r="G519" s="1" t="n">
        <f aca="false">IF($A519="","",物件マスタ!Q519)</f>
        <v>18.9</v>
      </c>
      <c r="H519" s="1" t="n">
        <f aca="false">IF($A519="","",物件マスタ!L519)</f>
        <v>0</v>
      </c>
      <c r="I519" s="1" t="n">
        <f aca="false">IF($A519="","",物件マスタ!M519)</f>
        <v>9905.97</v>
      </c>
      <c r="J519" s="1" t="n">
        <f aca="false">IF($A519="","",物件マスタ!S519)</f>
        <v>8630</v>
      </c>
      <c r="K519" s="1" t="n">
        <f aca="false">IF($A519="","",物件マスタ!U519)</f>
        <v>12600</v>
      </c>
      <c r="L519" s="1" t="n">
        <f aca="false">IF($A519="","",物件マスタ!W519)</f>
        <v>0.968</v>
      </c>
      <c r="M519" s="1" t="str">
        <f aca="false">IF($A519="","",IFERROR(INDEX(法人マスタ!$H:$H,MATCH($B519,法人マスタ!$A:$A,0)),""))</f>
        <v>2026年4月期（第23期）</v>
      </c>
      <c r="N519" s="1" t="n">
        <f aca="false">IF($A519="","",SUMIFS(物件収支!$D:$D,物件収支!$A:$A,$A519,物件収支!$C:$C,$M519))</f>
        <v>6</v>
      </c>
      <c r="O519" s="1" t="n">
        <f aca="false">IF($A519="","",SUMIFS(物件収支!$F:$F,物件収支!$A:$A,$A519,物件収支!$C:$C,$M519))</f>
        <v>277000</v>
      </c>
      <c r="P519" s="1" t="n">
        <f aca="false">IF($A519="","",SUMIFS(物件収支!$I:$I,物件収支!$A:$A,$A519,物件収支!$C:$C,$M519))</f>
        <v>0</v>
      </c>
      <c r="Q519" s="1" t="n">
        <f aca="false">IF($A519="","",SUMIFS(物件収支!$O:$O,物件収支!$A:$A,$A519,物件収支!$C:$C,$M519))</f>
        <v>0</v>
      </c>
      <c r="R519" s="1" t="str">
        <f aca="false">IF($A519="","",IF(P519=0,"",O519-P519))</f>
        <v/>
      </c>
      <c r="S519" s="1" t="str">
        <f aca="false">IF($A519="","",IF(R519="","",R519+Q519))</f>
        <v/>
      </c>
      <c r="T519" s="1" t="str">
        <f aca="false">IF($A519="","",IF(OR(S519="",N519&lt;=0),"",S519/1000*12/N519))</f>
        <v/>
      </c>
      <c r="U519" s="1" t="str">
        <f aca="false">IF($A519="","",IF(OR(T519="",J519=0,J519=""),"",T519/J519))</f>
        <v/>
      </c>
      <c r="V519" s="1" t="str">
        <f aca="false">IF($A519="","",IF(OR(R519="",N519&lt;=0,J519=0,J519=""),"",(R519/1000*12/N519)/J519))</f>
        <v/>
      </c>
      <c r="W519" s="1" t="str">
        <f aca="false">IF($A519="","",IF(OR(T519="",K519=0,K519=""),"",T519/K519))</f>
        <v/>
      </c>
      <c r="X519" s="1" t="n">
        <f aca="false">IF($A519="","",IF(OR(N519&lt;=0,I519=0,I519="",O519=0),"",O519*1000/(I519*0.3025)/N519))</f>
        <v>15406.5760233281</v>
      </c>
      <c r="Y519" s="1" t="str">
        <f aca="false">IF($A519="","",IF(OR(O519=0,O519="",P519=0),"",P519/O519))</f>
        <v/>
      </c>
      <c r="Z519" s="1" t="str">
        <f aca="false">IF($A519="","",IFERROR(INDEX(物件収支!$E:$E,MATCH($A519,物件収支!$A:$A,0)),""))</f>
        <v>開示（物件別・収益のみ・百万円単位）</v>
      </c>
    </row>
    <row r="520" customFormat="false" ht="16.5" hidden="false" customHeight="true" outlineLevel="0" collapsed="false">
      <c r="A520" s="1" t="str">
        <f aca="false">IF(物件マスタ!A520="","",物件マスタ!A520)</f>
        <v>SHR-070</v>
      </c>
      <c r="B520" s="1" t="str">
        <f aca="false">IF($A520="","",物件マスタ!B520)</f>
        <v>SHR</v>
      </c>
      <c r="C520" s="1" t="str">
        <f aca="false">IF($A520="","",IFERROR(INDEX(法人マスタ!$C:$C,MATCH($B520,法人マスタ!$A:$A,0)),""))</f>
        <v>積水ハウス・リート投資法人</v>
      </c>
      <c r="D520" s="1" t="str">
        <f aca="false">IF($A520="","",物件マスタ!C520)</f>
        <v>プライムメゾン富士見台</v>
      </c>
      <c r="E520" s="1" t="str">
        <f aca="false">IF($A520="","",物件マスタ!H520)</f>
        <v>その他3大都市圏</v>
      </c>
      <c r="F520" s="53" t="n">
        <f aca="false">IF($A520="","",物件マスタ!P520)</f>
        <v>39173</v>
      </c>
      <c r="G520" s="1" t="n">
        <f aca="false">IF($A520="","",物件マスタ!Q520)</f>
        <v>19.4</v>
      </c>
      <c r="H520" s="1" t="n">
        <f aca="false">IF($A520="","",物件マスタ!L520)</f>
        <v>0</v>
      </c>
      <c r="I520" s="1" t="n">
        <f aca="false">IF($A520="","",物件マスタ!M520)</f>
        <v>5704.63</v>
      </c>
      <c r="J520" s="1" t="n">
        <f aca="false">IF($A520="","",物件マスタ!S520)</f>
        <v>2070</v>
      </c>
      <c r="K520" s="1" t="n">
        <f aca="false">IF($A520="","",物件マスタ!U520)</f>
        <v>2290</v>
      </c>
      <c r="L520" s="1" t="n">
        <f aca="false">IF($A520="","",物件マスタ!W520)</f>
        <v>0.93</v>
      </c>
      <c r="M520" s="1" t="str">
        <f aca="false">IF($A520="","",IFERROR(INDEX(法人マスタ!$H:$H,MATCH($B520,法人マスタ!$A:$A,0)),""))</f>
        <v>2026年4月期（第23期）</v>
      </c>
      <c r="N520" s="1" t="n">
        <f aca="false">IF($A520="","",SUMIFS(物件収支!$D:$D,物件収支!$A:$A,$A520,物件収支!$C:$C,$M520))</f>
        <v>6</v>
      </c>
      <c r="O520" s="1" t="n">
        <f aca="false">IF($A520="","",SUMIFS(物件収支!$F:$F,物件収支!$A:$A,$A520,物件収支!$C:$C,$M520))</f>
        <v>70000</v>
      </c>
      <c r="P520" s="1" t="n">
        <f aca="false">IF($A520="","",SUMIFS(物件収支!$I:$I,物件収支!$A:$A,$A520,物件収支!$C:$C,$M520))</f>
        <v>0</v>
      </c>
      <c r="Q520" s="1" t="n">
        <f aca="false">IF($A520="","",SUMIFS(物件収支!$O:$O,物件収支!$A:$A,$A520,物件収支!$C:$C,$M520))</f>
        <v>0</v>
      </c>
      <c r="R520" s="1" t="str">
        <f aca="false">IF($A520="","",IF(P520=0,"",O520-P520))</f>
        <v/>
      </c>
      <c r="S520" s="1" t="str">
        <f aca="false">IF($A520="","",IF(R520="","",R520+Q520))</f>
        <v/>
      </c>
      <c r="T520" s="1" t="str">
        <f aca="false">IF($A520="","",IF(OR(S520="",N520&lt;=0),"",S520/1000*12/N520))</f>
        <v/>
      </c>
      <c r="U520" s="1" t="str">
        <f aca="false">IF($A520="","",IF(OR(T520="",J520=0,J520=""),"",T520/J520))</f>
        <v/>
      </c>
      <c r="V520" s="1" t="str">
        <f aca="false">IF($A520="","",IF(OR(R520="",N520&lt;=0,J520=0,J520=""),"",(R520/1000*12/N520)/J520))</f>
        <v/>
      </c>
      <c r="W520" s="1" t="str">
        <f aca="false">IF($A520="","",IF(OR(T520="",K520=0,K520=""),"",T520/K520))</f>
        <v/>
      </c>
      <c r="X520" s="1" t="n">
        <f aca="false">IF($A520="","",IF(OR(N520&lt;=0,I520=0,I520="",O520=0),"",O520*1000/(I520*0.3025)/N520))</f>
        <v>6760.73524714971</v>
      </c>
      <c r="Y520" s="1" t="str">
        <f aca="false">IF($A520="","",IF(OR(O520=0,O520="",P520=0),"",P520/O520))</f>
        <v/>
      </c>
      <c r="Z520" s="1" t="str">
        <f aca="false">IF($A520="","",IFERROR(INDEX(物件収支!$E:$E,MATCH($A520,物件収支!$A:$A,0)),""))</f>
        <v>開示（物件別・収益のみ・百万円単位）</v>
      </c>
    </row>
    <row r="521" customFormat="false" ht="16.5" hidden="false" customHeight="true" outlineLevel="0" collapsed="false">
      <c r="A521" s="1" t="str">
        <f aca="false">IF(物件マスタ!A521="","",物件マスタ!A521)</f>
        <v>SHR-071</v>
      </c>
      <c r="B521" s="1" t="str">
        <f aca="false">IF($A521="","",物件マスタ!B521)</f>
        <v>SHR</v>
      </c>
      <c r="C521" s="1" t="str">
        <f aca="false">IF($A521="","",IFERROR(INDEX(法人マスタ!$C:$C,MATCH($B521,法人マスタ!$A:$A,0)),""))</f>
        <v>積水ハウス・リート投資法人</v>
      </c>
      <c r="D521" s="1" t="str">
        <f aca="false">IF($A521="","",物件マスタ!C521)</f>
        <v>エスティメゾン鶴舞</v>
      </c>
      <c r="E521" s="1" t="str">
        <f aca="false">IF($A521="","",物件マスタ!H521)</f>
        <v>その他3大都市圏</v>
      </c>
      <c r="F521" s="53" t="n">
        <f aca="false">IF($A521="","",物件マスタ!P521)</f>
        <v>36465</v>
      </c>
      <c r="G521" s="1" t="n">
        <f aca="false">IF($A521="","",物件マスタ!Q521)</f>
        <v>26.8</v>
      </c>
      <c r="H521" s="1" t="n">
        <f aca="false">IF($A521="","",物件マスタ!L521)</f>
        <v>0</v>
      </c>
      <c r="I521" s="1" t="n">
        <f aca="false">IF($A521="","",物件マスタ!M521)</f>
        <v>13812.4</v>
      </c>
      <c r="J521" s="1" t="n">
        <f aca="false">IF($A521="","",物件マスタ!S521)</f>
        <v>4490</v>
      </c>
      <c r="K521" s="1" t="n">
        <f aca="false">IF($A521="","",物件マスタ!U521)</f>
        <v>4860</v>
      </c>
      <c r="L521" s="1" t="n">
        <f aca="false">IF($A521="","",物件マスタ!W521)</f>
        <v>1</v>
      </c>
      <c r="M521" s="1" t="str">
        <f aca="false">IF($A521="","",IFERROR(INDEX(法人マスタ!$H:$H,MATCH($B521,法人マスタ!$A:$A,0)),""))</f>
        <v>2026年4月期（第23期）</v>
      </c>
      <c r="N521" s="1" t="n">
        <f aca="false">IF($A521="","",SUMIFS(物件収支!$D:$D,物件収支!$A:$A,$A521,物件収支!$C:$C,$M521))</f>
        <v>6</v>
      </c>
      <c r="O521" s="1" t="n">
        <f aca="false">IF($A521="","",SUMIFS(物件収支!$F:$F,物件収支!$A:$A,$A521,物件収支!$C:$C,$M521))</f>
        <v>155000</v>
      </c>
      <c r="P521" s="1" t="n">
        <f aca="false">IF($A521="","",SUMIFS(物件収支!$I:$I,物件収支!$A:$A,$A521,物件収支!$C:$C,$M521))</f>
        <v>0</v>
      </c>
      <c r="Q521" s="1" t="n">
        <f aca="false">IF($A521="","",SUMIFS(物件収支!$O:$O,物件収支!$A:$A,$A521,物件収支!$C:$C,$M521))</f>
        <v>0</v>
      </c>
      <c r="R521" s="1" t="str">
        <f aca="false">IF($A521="","",IF(P521=0,"",O521-P521))</f>
        <v/>
      </c>
      <c r="S521" s="1" t="str">
        <f aca="false">IF($A521="","",IF(R521="","",R521+Q521))</f>
        <v/>
      </c>
      <c r="T521" s="1" t="str">
        <f aca="false">IF($A521="","",IF(OR(S521="",N521&lt;=0),"",S521/1000*12/N521))</f>
        <v/>
      </c>
      <c r="U521" s="1" t="str">
        <f aca="false">IF($A521="","",IF(OR(T521="",J521=0,J521=""),"",T521/J521))</f>
        <v/>
      </c>
      <c r="V521" s="1" t="str">
        <f aca="false">IF($A521="","",IF(OR(R521="",N521&lt;=0,J521=0,J521=""),"",(R521/1000*12/N521)/J521))</f>
        <v/>
      </c>
      <c r="W521" s="1" t="str">
        <f aca="false">IF($A521="","",IF(OR(T521="",K521=0,K521=""),"",T521/K521))</f>
        <v/>
      </c>
      <c r="X521" s="1" t="n">
        <f aca="false">IF($A521="","",IF(OR(N521&lt;=0,I521=0,I521="",O521=0),"",O521*1000/(I521*0.3025)/N521))</f>
        <v>6182.81030348185</v>
      </c>
      <c r="Y521" s="1" t="str">
        <f aca="false">IF($A521="","",IF(OR(O521=0,O521="",P521=0),"",P521/O521))</f>
        <v/>
      </c>
      <c r="Z521" s="1" t="str">
        <f aca="false">IF($A521="","",IFERROR(INDEX(物件収支!$E:$E,MATCH($A521,物件収支!$A:$A,0)),""))</f>
        <v>開示（物件別・収益のみ・百万円単位）</v>
      </c>
    </row>
    <row r="522" customFormat="false" ht="16.5" hidden="false" customHeight="true" outlineLevel="0" collapsed="false">
      <c r="A522" s="1" t="str">
        <f aca="false">IF(物件マスタ!A522="","",物件マスタ!A522)</f>
        <v>SHR-072</v>
      </c>
      <c r="B522" s="1" t="str">
        <f aca="false">IF($A522="","",物件マスタ!B522)</f>
        <v>SHR</v>
      </c>
      <c r="C522" s="1" t="str">
        <f aca="false">IF($A522="","",IFERROR(INDEX(法人マスタ!$C:$C,MATCH($B522,法人マスタ!$A:$A,0)),""))</f>
        <v>積水ハウス・リート投資法人</v>
      </c>
      <c r="D522" s="1" t="str">
        <f aca="false">IF($A522="","",物件マスタ!C522)</f>
        <v>プライムメゾン森下</v>
      </c>
      <c r="E522" s="1" t="str">
        <f aca="false">IF($A522="","",物件マスタ!H522)</f>
        <v>その他東京23区</v>
      </c>
      <c r="F522" s="53" t="n">
        <f aca="false">IF($A522="","",物件マスタ!P522)</f>
        <v>41395</v>
      </c>
      <c r="G522" s="1" t="n">
        <f aca="false">IF($A522="","",物件マスタ!Q522)</f>
        <v>13.3</v>
      </c>
      <c r="H522" s="1" t="n">
        <f aca="false">IF($A522="","",物件マスタ!L522)</f>
        <v>0</v>
      </c>
      <c r="I522" s="1" t="n">
        <f aca="false">IF($A522="","",物件マスタ!M522)</f>
        <v>2180.78</v>
      </c>
      <c r="J522" s="1" t="n">
        <f aca="false">IF($A522="","",物件マスタ!S522)</f>
        <v>1930</v>
      </c>
      <c r="K522" s="1" t="n">
        <f aca="false">IF($A522="","",物件マスタ!U522)</f>
        <v>2310</v>
      </c>
      <c r="L522" s="1" t="n">
        <f aca="false">IF($A522="","",物件マスタ!W522)</f>
        <v>0.919</v>
      </c>
      <c r="M522" s="1" t="str">
        <f aca="false">IF($A522="","",IFERROR(INDEX(法人マスタ!$H:$H,MATCH($B522,法人マスタ!$A:$A,0)),""))</f>
        <v>2026年4月期（第23期）</v>
      </c>
      <c r="N522" s="1" t="n">
        <f aca="false">IF($A522="","",SUMIFS(物件収支!$D:$D,物件収支!$A:$A,$A522,物件収支!$C:$C,$M522))</f>
        <v>6</v>
      </c>
      <c r="O522" s="1" t="n">
        <f aca="false">IF($A522="","",SUMIFS(物件収支!$F:$F,物件収支!$A:$A,$A522,物件収支!$C:$C,$M522))</f>
        <v>61000</v>
      </c>
      <c r="P522" s="1" t="n">
        <f aca="false">IF($A522="","",SUMIFS(物件収支!$I:$I,物件収支!$A:$A,$A522,物件収支!$C:$C,$M522))</f>
        <v>0</v>
      </c>
      <c r="Q522" s="1" t="n">
        <f aca="false">IF($A522="","",SUMIFS(物件収支!$O:$O,物件収支!$A:$A,$A522,物件収支!$C:$C,$M522))</f>
        <v>0</v>
      </c>
      <c r="R522" s="1" t="str">
        <f aca="false">IF($A522="","",IF(P522=0,"",O522-P522))</f>
        <v/>
      </c>
      <c r="S522" s="1" t="str">
        <f aca="false">IF($A522="","",IF(R522="","",R522+Q522))</f>
        <v/>
      </c>
      <c r="T522" s="1" t="str">
        <f aca="false">IF($A522="","",IF(OR(S522="",N522&lt;=0),"",S522/1000*12/N522))</f>
        <v/>
      </c>
      <c r="U522" s="1" t="str">
        <f aca="false">IF($A522="","",IF(OR(T522="",J522=0,J522=""),"",T522/J522))</f>
        <v/>
      </c>
      <c r="V522" s="1" t="str">
        <f aca="false">IF($A522="","",IF(OR(R522="",N522&lt;=0,J522=0,J522=""),"",(R522/1000*12/N522)/J522))</f>
        <v/>
      </c>
      <c r="W522" s="1" t="str">
        <f aca="false">IF($A522="","",IF(OR(T522="",K522=0,K522=""),"",T522/K522))</f>
        <v/>
      </c>
      <c r="X522" s="1" t="n">
        <f aca="false">IF($A522="","",IF(OR(N522&lt;=0,I522=0,I522="",O522=0),"",O522*1000/(I522*0.3025)/N522))</f>
        <v>15411.3736493352</v>
      </c>
      <c r="Y522" s="1" t="str">
        <f aca="false">IF($A522="","",IF(OR(O522=0,O522="",P522=0),"",P522/O522))</f>
        <v/>
      </c>
      <c r="Z522" s="1" t="str">
        <f aca="false">IF($A522="","",IFERROR(INDEX(物件収支!$E:$E,MATCH($A522,物件収支!$A:$A,0)),""))</f>
        <v>開示（物件別・収益のみ・百万円単位）</v>
      </c>
    </row>
    <row r="523" customFormat="false" ht="16.5" hidden="false" customHeight="true" outlineLevel="0" collapsed="false">
      <c r="A523" s="1" t="str">
        <f aca="false">IF(物件マスタ!A523="","",物件マスタ!A523)</f>
        <v>SHR-073</v>
      </c>
      <c r="B523" s="1" t="str">
        <f aca="false">IF($A523="","",物件マスタ!B523)</f>
        <v>SHR</v>
      </c>
      <c r="C523" s="1" t="str">
        <f aca="false">IF($A523="","",IFERROR(INDEX(法人マスタ!$C:$C,MATCH($B523,法人マスタ!$A:$A,0)),""))</f>
        <v>積水ハウス・リート投資法人</v>
      </c>
      <c r="D523" s="1" t="str">
        <f aca="false">IF($A523="","",物件マスタ!C523)</f>
        <v>プライムメゾン品川</v>
      </c>
      <c r="E523" s="1" t="str">
        <f aca="false">IF($A523="","",物件マスタ!H523)</f>
        <v>その他東京23区</v>
      </c>
      <c r="F523" s="53" t="n">
        <f aca="false">IF($A523="","",物件マスタ!P523)</f>
        <v>41671</v>
      </c>
      <c r="G523" s="1" t="n">
        <f aca="false">IF($A523="","",物件マスタ!Q523)</f>
        <v>12.5</v>
      </c>
      <c r="H523" s="1" t="n">
        <f aca="false">IF($A523="","",物件マスタ!L523)</f>
        <v>0</v>
      </c>
      <c r="I523" s="1" t="n">
        <f aca="false">IF($A523="","",物件マスタ!M523)</f>
        <v>2107.88</v>
      </c>
      <c r="J523" s="1" t="n">
        <f aca="false">IF($A523="","",物件マスタ!S523)</f>
        <v>1960</v>
      </c>
      <c r="K523" s="1" t="n">
        <f aca="false">IF($A523="","",物件マスタ!U523)</f>
        <v>2330</v>
      </c>
      <c r="L523" s="1" t="n">
        <f aca="false">IF($A523="","",物件マスタ!W523)</f>
        <v>0.919</v>
      </c>
      <c r="M523" s="1" t="str">
        <f aca="false">IF($A523="","",IFERROR(INDEX(法人マスタ!$H:$H,MATCH($B523,法人マスタ!$A:$A,0)),""))</f>
        <v>2026年4月期（第23期）</v>
      </c>
      <c r="N523" s="1" t="n">
        <f aca="false">IF($A523="","",SUMIFS(物件収支!$D:$D,物件収支!$A:$A,$A523,物件収支!$C:$C,$M523))</f>
        <v>6</v>
      </c>
      <c r="O523" s="1" t="n">
        <f aca="false">IF($A523="","",SUMIFS(物件収支!$F:$F,物件収支!$A:$A,$A523,物件収支!$C:$C,$M523))</f>
        <v>61000</v>
      </c>
      <c r="P523" s="1" t="n">
        <f aca="false">IF($A523="","",SUMIFS(物件収支!$I:$I,物件収支!$A:$A,$A523,物件収支!$C:$C,$M523))</f>
        <v>0</v>
      </c>
      <c r="Q523" s="1" t="n">
        <f aca="false">IF($A523="","",SUMIFS(物件収支!$O:$O,物件収支!$A:$A,$A523,物件収支!$C:$C,$M523))</f>
        <v>0</v>
      </c>
      <c r="R523" s="1" t="str">
        <f aca="false">IF($A523="","",IF(P523=0,"",O523-P523))</f>
        <v/>
      </c>
      <c r="S523" s="1" t="str">
        <f aca="false">IF($A523="","",IF(R523="","",R523+Q523))</f>
        <v/>
      </c>
      <c r="T523" s="1" t="str">
        <f aca="false">IF($A523="","",IF(OR(S523="",N523&lt;=0),"",S523/1000*12/N523))</f>
        <v/>
      </c>
      <c r="U523" s="1" t="str">
        <f aca="false">IF($A523="","",IF(OR(T523="",J523=0,J523=""),"",T523/J523))</f>
        <v/>
      </c>
      <c r="V523" s="1" t="str">
        <f aca="false">IF($A523="","",IF(OR(R523="",N523&lt;=0,J523=0,J523=""),"",(R523/1000*12/N523)/J523))</f>
        <v/>
      </c>
      <c r="W523" s="1" t="str">
        <f aca="false">IF($A523="","",IF(OR(T523="",K523=0,K523=""),"",T523/K523))</f>
        <v/>
      </c>
      <c r="X523" s="1" t="n">
        <f aca="false">IF($A523="","",IF(OR(N523&lt;=0,I523=0,I523="",O523=0),"",O523*1000/(I523*0.3025)/N523))</f>
        <v>15944.3684778058</v>
      </c>
      <c r="Y523" s="1" t="str">
        <f aca="false">IF($A523="","",IF(OR(O523=0,O523="",P523=0),"",P523/O523))</f>
        <v/>
      </c>
      <c r="Z523" s="1" t="str">
        <f aca="false">IF($A523="","",IFERROR(INDEX(物件収支!$E:$E,MATCH($A523,物件収支!$A:$A,0)),""))</f>
        <v>開示（物件別・収益のみ・百万円単位）</v>
      </c>
    </row>
    <row r="524" customFormat="false" ht="16.5" hidden="false" customHeight="true" outlineLevel="0" collapsed="false">
      <c r="A524" s="1" t="str">
        <f aca="false">IF(物件マスタ!A524="","",物件マスタ!A524)</f>
        <v>SHR-074</v>
      </c>
      <c r="B524" s="1" t="str">
        <f aca="false">IF($A524="","",物件マスタ!B524)</f>
        <v>SHR</v>
      </c>
      <c r="C524" s="1" t="str">
        <f aca="false">IF($A524="","",IFERROR(INDEX(法人マスタ!$C:$C,MATCH($B524,法人マスタ!$A:$A,0)),""))</f>
        <v>積水ハウス・リート投資法人</v>
      </c>
      <c r="D524" s="1" t="str">
        <f aca="false">IF($A524="","",物件マスタ!C524)</f>
        <v>プライムメゾン大通公園</v>
      </c>
      <c r="E524" s="1" t="str">
        <f aca="false">IF($A524="","",物件マスタ!H524)</f>
        <v>3大都市圏以外の政令市</v>
      </c>
      <c r="F524" s="53" t="n">
        <f aca="false">IF($A524="","",物件マスタ!P524)</f>
        <v>39783</v>
      </c>
      <c r="G524" s="1" t="n">
        <f aca="false">IF($A524="","",物件マスタ!Q524)</f>
        <v>17.7</v>
      </c>
      <c r="H524" s="1" t="n">
        <f aca="false">IF($A524="","",物件マスタ!L524)</f>
        <v>0</v>
      </c>
      <c r="I524" s="1" t="n">
        <f aca="false">IF($A524="","",物件マスタ!M524)</f>
        <v>7360.37</v>
      </c>
      <c r="J524" s="1" t="n">
        <f aca="false">IF($A524="","",物件マスタ!S524)</f>
        <v>3160</v>
      </c>
      <c r="K524" s="1" t="n">
        <f aca="false">IF($A524="","",物件マスタ!U524)</f>
        <v>3570</v>
      </c>
      <c r="L524" s="1" t="n">
        <f aca="false">IF($A524="","",物件マスタ!W524)</f>
        <v>0.931</v>
      </c>
      <c r="M524" s="1" t="str">
        <f aca="false">IF($A524="","",IFERROR(INDEX(法人マスタ!$H:$H,MATCH($B524,法人マスタ!$A:$A,0)),""))</f>
        <v>2026年4月期（第23期）</v>
      </c>
      <c r="N524" s="1" t="n">
        <f aca="false">IF($A524="","",SUMIFS(物件収支!$D:$D,物件収支!$A:$A,$A524,物件収支!$C:$C,$M524))</f>
        <v>6</v>
      </c>
      <c r="O524" s="1" t="n">
        <f aca="false">IF($A524="","",SUMIFS(物件収支!$F:$F,物件収支!$A:$A,$A524,物件収支!$C:$C,$M524))</f>
        <v>118000</v>
      </c>
      <c r="P524" s="1" t="n">
        <f aca="false">IF($A524="","",SUMIFS(物件収支!$I:$I,物件収支!$A:$A,$A524,物件収支!$C:$C,$M524))</f>
        <v>0</v>
      </c>
      <c r="Q524" s="1" t="n">
        <f aca="false">IF($A524="","",SUMIFS(物件収支!$O:$O,物件収支!$A:$A,$A524,物件収支!$C:$C,$M524))</f>
        <v>0</v>
      </c>
      <c r="R524" s="1" t="str">
        <f aca="false">IF($A524="","",IF(P524=0,"",O524-P524))</f>
        <v/>
      </c>
      <c r="S524" s="1" t="str">
        <f aca="false">IF($A524="","",IF(R524="","",R524+Q524))</f>
        <v/>
      </c>
      <c r="T524" s="1" t="str">
        <f aca="false">IF($A524="","",IF(OR(S524="",N524&lt;=0),"",S524/1000*12/N524))</f>
        <v/>
      </c>
      <c r="U524" s="1" t="str">
        <f aca="false">IF($A524="","",IF(OR(T524="",J524=0,J524=""),"",T524/J524))</f>
        <v/>
      </c>
      <c r="V524" s="1" t="str">
        <f aca="false">IF($A524="","",IF(OR(R524="",N524&lt;=0,J524=0,J524=""),"",(R524/1000*12/N524)/J524))</f>
        <v/>
      </c>
      <c r="W524" s="1" t="str">
        <f aca="false">IF($A524="","",IF(OR(T524="",K524=0,K524=""),"",T524/K524))</f>
        <v/>
      </c>
      <c r="X524" s="1" t="n">
        <f aca="false">IF($A524="","",IF(OR(N524&lt;=0,I524=0,I524="",O524=0),"",O524*1000/(I524*0.3025)/N524))</f>
        <v>8832.94917302842</v>
      </c>
      <c r="Y524" s="1" t="str">
        <f aca="false">IF($A524="","",IF(OR(O524=0,O524="",P524=0),"",P524/O524))</f>
        <v/>
      </c>
      <c r="Z524" s="1" t="str">
        <f aca="false">IF($A524="","",IFERROR(INDEX(物件収支!$E:$E,MATCH($A524,物件収支!$A:$A,0)),""))</f>
        <v>開示（物件別・収益のみ・百万円単位）</v>
      </c>
    </row>
    <row r="525" customFormat="false" ht="16.5" hidden="false" customHeight="true" outlineLevel="0" collapsed="false">
      <c r="A525" s="1" t="str">
        <f aca="false">IF(物件マスタ!A525="","",物件マスタ!A525)</f>
        <v>SHR-075</v>
      </c>
      <c r="B525" s="1" t="str">
        <f aca="false">IF($A525="","",物件マスタ!B525)</f>
        <v>SHR</v>
      </c>
      <c r="C525" s="1" t="str">
        <f aca="false">IF($A525="","",IFERROR(INDEX(法人マスタ!$C:$C,MATCH($B525,法人マスタ!$A:$A,0)),""))</f>
        <v>積水ハウス・リート投資法人</v>
      </c>
      <c r="D525" s="1" t="str">
        <f aca="false">IF($A525="","",物件マスタ!C525)</f>
        <v>プライムメゾン南２条</v>
      </c>
      <c r="E525" s="1" t="str">
        <f aca="false">IF($A525="","",物件マスタ!H525)</f>
        <v>3大都市圏以外の政令市</v>
      </c>
      <c r="F525" s="53" t="n">
        <f aca="false">IF($A525="","",物件マスタ!P525)</f>
        <v>40118</v>
      </c>
      <c r="G525" s="1" t="n">
        <f aca="false">IF($A525="","",物件マスタ!Q525)</f>
        <v>16.8</v>
      </c>
      <c r="H525" s="1" t="n">
        <f aca="false">IF($A525="","",物件マスタ!L525)</f>
        <v>0</v>
      </c>
      <c r="I525" s="1" t="n">
        <f aca="false">IF($A525="","",物件マスタ!M525)</f>
        <v>6019.09</v>
      </c>
      <c r="J525" s="1" t="n">
        <f aca="false">IF($A525="","",物件マスタ!S525)</f>
        <v>1930</v>
      </c>
      <c r="K525" s="1" t="n">
        <f aca="false">IF($A525="","",物件マスタ!U525)</f>
        <v>2320</v>
      </c>
      <c r="L525" s="1" t="n">
        <f aca="false">IF($A525="","",物件マスタ!W525)</f>
        <v>0.958</v>
      </c>
      <c r="M525" s="1" t="str">
        <f aca="false">IF($A525="","",IFERROR(INDEX(法人マスタ!$H:$H,MATCH($B525,法人マスタ!$A:$A,0)),""))</f>
        <v>2026年4月期（第23期）</v>
      </c>
      <c r="N525" s="1" t="n">
        <f aca="false">IF($A525="","",SUMIFS(物件収支!$D:$D,物件収支!$A:$A,$A525,物件収支!$C:$C,$M525))</f>
        <v>6</v>
      </c>
      <c r="O525" s="1" t="n">
        <f aca="false">IF($A525="","",SUMIFS(物件収支!$F:$F,物件収支!$A:$A,$A525,物件収支!$C:$C,$M525))</f>
        <v>75000</v>
      </c>
      <c r="P525" s="1" t="n">
        <f aca="false">IF($A525="","",SUMIFS(物件収支!$I:$I,物件収支!$A:$A,$A525,物件収支!$C:$C,$M525))</f>
        <v>0</v>
      </c>
      <c r="Q525" s="1" t="n">
        <f aca="false">IF($A525="","",SUMIFS(物件収支!$O:$O,物件収支!$A:$A,$A525,物件収支!$C:$C,$M525))</f>
        <v>0</v>
      </c>
      <c r="R525" s="1" t="str">
        <f aca="false">IF($A525="","",IF(P525=0,"",O525-P525))</f>
        <v/>
      </c>
      <c r="S525" s="1" t="str">
        <f aca="false">IF($A525="","",IF(R525="","",R525+Q525))</f>
        <v/>
      </c>
      <c r="T525" s="1" t="str">
        <f aca="false">IF($A525="","",IF(OR(S525="",N525&lt;=0),"",S525/1000*12/N525))</f>
        <v/>
      </c>
      <c r="U525" s="1" t="str">
        <f aca="false">IF($A525="","",IF(OR(T525="",J525=0,J525=""),"",T525/J525))</f>
        <v/>
      </c>
      <c r="V525" s="1" t="str">
        <f aca="false">IF($A525="","",IF(OR(R525="",N525&lt;=0,J525=0,J525=""),"",(R525/1000*12/N525)/J525))</f>
        <v/>
      </c>
      <c r="W525" s="1" t="str">
        <f aca="false">IF($A525="","",IF(OR(T525="",K525=0,K525=""),"",T525/K525))</f>
        <v/>
      </c>
      <c r="X525" s="1" t="n">
        <f aca="false">IF($A525="","",IF(OR(N525&lt;=0,I525=0,I525="",O525=0),"",O525*1000/(I525*0.3025)/N525))</f>
        <v>6865.20953326612</v>
      </c>
      <c r="Y525" s="1" t="str">
        <f aca="false">IF($A525="","",IF(OR(O525=0,O525="",P525=0),"",P525/O525))</f>
        <v/>
      </c>
      <c r="Z525" s="1" t="str">
        <f aca="false">IF($A525="","",IFERROR(INDEX(物件収支!$E:$E,MATCH($A525,物件収支!$A:$A,0)),""))</f>
        <v>開示（物件別・収益のみ・百万円単位）</v>
      </c>
    </row>
    <row r="526" customFormat="false" ht="16.5" hidden="false" customHeight="true" outlineLevel="0" collapsed="false">
      <c r="A526" s="1" t="str">
        <f aca="false">IF(物件マスタ!A526="","",物件マスタ!A526)</f>
        <v>SHR-076</v>
      </c>
      <c r="B526" s="1" t="str">
        <f aca="false">IF($A526="","",物件マスタ!B526)</f>
        <v>SHR</v>
      </c>
      <c r="C526" s="1" t="str">
        <f aca="false">IF($A526="","",IFERROR(INDEX(法人マスタ!$C:$C,MATCH($B526,法人マスタ!$A:$A,0)),""))</f>
        <v>積水ハウス・リート投資法人</v>
      </c>
      <c r="D526" s="1" t="str">
        <f aca="false">IF($A526="","",物件マスタ!C526)</f>
        <v>プライムメゾン鴨々川</v>
      </c>
      <c r="E526" s="1" t="str">
        <f aca="false">IF($A526="","",物件マスタ!H526)</f>
        <v>3大都市圏以外の政令市</v>
      </c>
      <c r="F526" s="53" t="n">
        <f aca="false">IF($A526="","",物件マスタ!P526)</f>
        <v>40087</v>
      </c>
      <c r="G526" s="1" t="n">
        <f aca="false">IF($A526="","",物件マスタ!Q526)</f>
        <v>16.9</v>
      </c>
      <c r="H526" s="1" t="n">
        <f aca="false">IF($A526="","",物件マスタ!L526)</f>
        <v>0</v>
      </c>
      <c r="I526" s="1" t="n">
        <f aca="false">IF($A526="","",物件マスタ!M526)</f>
        <v>4102.08</v>
      </c>
      <c r="J526" s="1" t="n">
        <f aca="false">IF($A526="","",物件マスタ!S526)</f>
        <v>1250</v>
      </c>
      <c r="K526" s="1" t="n">
        <f aca="false">IF($A526="","",物件マスタ!U526)</f>
        <v>1430</v>
      </c>
      <c r="L526" s="1" t="n">
        <f aca="false">IF($A526="","",物件マスタ!W526)</f>
        <v>0.97</v>
      </c>
      <c r="M526" s="1" t="str">
        <f aca="false">IF($A526="","",IFERROR(INDEX(法人マスタ!$H:$H,MATCH($B526,法人マスタ!$A:$A,0)),""))</f>
        <v>2026年4月期（第23期）</v>
      </c>
      <c r="N526" s="1" t="n">
        <f aca="false">IF($A526="","",SUMIFS(物件収支!$D:$D,物件収支!$A:$A,$A526,物件収支!$C:$C,$M526))</f>
        <v>6</v>
      </c>
      <c r="O526" s="1" t="n">
        <f aca="false">IF($A526="","",SUMIFS(物件収支!$F:$F,物件収支!$A:$A,$A526,物件収支!$C:$C,$M526))</f>
        <v>50000</v>
      </c>
      <c r="P526" s="1" t="n">
        <f aca="false">IF($A526="","",SUMIFS(物件収支!$I:$I,物件収支!$A:$A,$A526,物件収支!$C:$C,$M526))</f>
        <v>0</v>
      </c>
      <c r="Q526" s="1" t="n">
        <f aca="false">IF($A526="","",SUMIFS(物件収支!$O:$O,物件収支!$A:$A,$A526,物件収支!$C:$C,$M526))</f>
        <v>0</v>
      </c>
      <c r="R526" s="1" t="str">
        <f aca="false">IF($A526="","",IF(P526=0,"",O526-P526))</f>
        <v/>
      </c>
      <c r="S526" s="1" t="str">
        <f aca="false">IF($A526="","",IF(R526="","",R526+Q526))</f>
        <v/>
      </c>
      <c r="T526" s="1" t="str">
        <f aca="false">IF($A526="","",IF(OR(S526="",N526&lt;=0),"",S526/1000*12/N526))</f>
        <v/>
      </c>
      <c r="U526" s="1" t="str">
        <f aca="false">IF($A526="","",IF(OR(T526="",J526=0,J526=""),"",T526/J526))</f>
        <v/>
      </c>
      <c r="V526" s="1" t="str">
        <f aca="false">IF($A526="","",IF(OR(R526="",N526&lt;=0,J526=0,J526=""),"",(R526/1000*12/N526)/J526))</f>
        <v/>
      </c>
      <c r="W526" s="1" t="str">
        <f aca="false">IF($A526="","",IF(OR(T526="",K526=0,K526=""),"",T526/K526))</f>
        <v/>
      </c>
      <c r="X526" s="1" t="n">
        <f aca="false">IF($A526="","",IF(OR(N526&lt;=0,I526=0,I526="",O526=0),"",O526*1000/(I526*0.3025)/N526))</f>
        <v>6715.66848193872</v>
      </c>
      <c r="Y526" s="1" t="str">
        <f aca="false">IF($A526="","",IF(OR(O526=0,O526="",P526=0),"",P526/O526))</f>
        <v/>
      </c>
      <c r="Z526" s="1" t="str">
        <f aca="false">IF($A526="","",IFERROR(INDEX(物件収支!$E:$E,MATCH($A526,物件収支!$A:$A,0)),""))</f>
        <v>開示（物件別・収益のみ・百万円単位）</v>
      </c>
    </row>
    <row r="527" customFormat="false" ht="16.5" hidden="false" customHeight="true" outlineLevel="0" collapsed="false">
      <c r="A527" s="1" t="str">
        <f aca="false">IF(物件マスタ!A527="","",物件マスタ!A527)</f>
        <v>SHR-077</v>
      </c>
      <c r="B527" s="1" t="str">
        <f aca="false">IF($A527="","",物件マスタ!B527)</f>
        <v>SHR</v>
      </c>
      <c r="C527" s="1" t="str">
        <f aca="false">IF($A527="","",IFERROR(INDEX(法人マスタ!$C:$C,MATCH($B527,法人マスタ!$A:$A,0)),""))</f>
        <v>積水ハウス・リート投資法人</v>
      </c>
      <c r="D527" s="1" t="str">
        <f aca="false">IF($A527="","",物件マスタ!C527)</f>
        <v>プライムメゾンセントラルパーク</v>
      </c>
      <c r="E527" s="1" t="str">
        <f aca="false">IF($A527="","",物件マスタ!H527)</f>
        <v>3大都市圏以外の政令市</v>
      </c>
      <c r="F527" s="53" t="n">
        <f aca="false">IF($A527="","",物件マスタ!P527)</f>
        <v>40575</v>
      </c>
      <c r="G527" s="1" t="n">
        <f aca="false">IF($A527="","",物件マスタ!Q527)</f>
        <v>15.5</v>
      </c>
      <c r="H527" s="1" t="n">
        <f aca="false">IF($A527="","",物件マスタ!L527)</f>
        <v>0</v>
      </c>
      <c r="I527" s="1" t="n">
        <f aca="false">IF($A527="","",物件マスタ!M527)</f>
        <v>10268.74</v>
      </c>
      <c r="J527" s="1" t="n">
        <f aca="false">IF($A527="","",物件マスタ!S527)</f>
        <v>2309</v>
      </c>
      <c r="K527" s="1" t="n">
        <f aca="false">IF($A527="","",物件マスタ!U527)</f>
        <v>3055</v>
      </c>
      <c r="L527" s="1" t="n">
        <f aca="false">IF($A527="","",物件マスタ!W527)</f>
        <v>0.966</v>
      </c>
      <c r="M527" s="1" t="str">
        <f aca="false">IF($A527="","",IFERROR(INDEX(法人マスタ!$H:$H,MATCH($B527,法人マスタ!$A:$A,0)),""))</f>
        <v>2026年4月期（第23期）</v>
      </c>
      <c r="N527" s="1" t="n">
        <f aca="false">IF($A527="","",SUMIFS(物件収支!$D:$D,物件収支!$A:$A,$A527,物件収支!$C:$C,$M527))</f>
        <v>6</v>
      </c>
      <c r="O527" s="1" t="n">
        <f aca="false">IF($A527="","",SUMIFS(物件収支!$F:$F,物件収支!$A:$A,$A527,物件収支!$C:$C,$M527))</f>
        <v>90000</v>
      </c>
      <c r="P527" s="1" t="n">
        <f aca="false">IF($A527="","",SUMIFS(物件収支!$I:$I,物件収支!$A:$A,$A527,物件収支!$C:$C,$M527))</f>
        <v>0</v>
      </c>
      <c r="Q527" s="1" t="n">
        <f aca="false">IF($A527="","",SUMIFS(物件収支!$O:$O,物件収支!$A:$A,$A527,物件収支!$C:$C,$M527))</f>
        <v>0</v>
      </c>
      <c r="R527" s="1" t="str">
        <f aca="false">IF($A527="","",IF(P527=0,"",O527-P527))</f>
        <v/>
      </c>
      <c r="S527" s="1" t="str">
        <f aca="false">IF($A527="","",IF(R527="","",R527+Q527))</f>
        <v/>
      </c>
      <c r="T527" s="1" t="str">
        <f aca="false">IF($A527="","",IF(OR(S527="",N527&lt;=0),"",S527/1000*12/N527))</f>
        <v/>
      </c>
      <c r="U527" s="1" t="str">
        <f aca="false">IF($A527="","",IF(OR(T527="",J527=0,J527=""),"",T527/J527))</f>
        <v/>
      </c>
      <c r="V527" s="1" t="str">
        <f aca="false">IF($A527="","",IF(OR(R527="",N527&lt;=0,J527=0,J527=""),"",(R527/1000*12/N527)/J527))</f>
        <v/>
      </c>
      <c r="W527" s="1" t="str">
        <f aca="false">IF($A527="","",IF(OR(T527="",K527=0,K527=""),"",T527/K527))</f>
        <v/>
      </c>
      <c r="X527" s="1" t="n">
        <f aca="false">IF($A527="","",IF(OR(N527&lt;=0,I527=0,I527="",O527=0),"",O527*1000/(I527*0.3025)/N527))</f>
        <v>4828.90567484464</v>
      </c>
      <c r="Y527" s="1" t="str">
        <f aca="false">IF($A527="","",IF(OR(O527=0,O527="",P527=0),"",P527/O527))</f>
        <v/>
      </c>
      <c r="Z527" s="1" t="str">
        <f aca="false">IF($A527="","",IFERROR(INDEX(物件収支!$E:$E,MATCH($A527,物件収支!$A:$A,0)),""))</f>
        <v>開示（物件別・収益のみ・百万円単位）</v>
      </c>
    </row>
    <row r="528" customFormat="false" ht="16.5" hidden="false" customHeight="true" outlineLevel="0" collapsed="false">
      <c r="A528" s="1" t="str">
        <f aca="false">IF(物件マスタ!A528="","",物件マスタ!A528)</f>
        <v>SHR-078</v>
      </c>
      <c r="B528" s="1" t="str">
        <f aca="false">IF($A528="","",物件マスタ!B528)</f>
        <v>SHR</v>
      </c>
      <c r="C528" s="1" t="str">
        <f aca="false">IF($A528="","",IFERROR(INDEX(法人マスタ!$C:$C,MATCH($B528,法人マスタ!$A:$A,0)),""))</f>
        <v>積水ハウス・リート投資法人</v>
      </c>
      <c r="D528" s="1" t="str">
        <f aca="false">IF($A528="","",物件マスタ!C528)</f>
        <v>シャーメゾンステージ八広</v>
      </c>
      <c r="E528" s="1" t="str">
        <f aca="false">IF($A528="","",物件マスタ!H528)</f>
        <v>その他東京23区</v>
      </c>
      <c r="F528" s="53" t="n">
        <f aca="false">IF($A528="","",物件マスタ!P528)</f>
        <v>40544</v>
      </c>
      <c r="G528" s="1" t="n">
        <f aca="false">IF($A528="","",物件マスタ!Q528)</f>
        <v>15.6</v>
      </c>
      <c r="H528" s="1" t="n">
        <f aca="false">IF($A528="","",物件マスタ!L528)</f>
        <v>0</v>
      </c>
      <c r="I528" s="1" t="n">
        <f aca="false">IF($A528="","",物件マスタ!M528)</f>
        <v>3409.16</v>
      </c>
      <c r="J528" s="1" t="n">
        <f aca="false">IF($A528="","",物件マスタ!S528)</f>
        <v>1910</v>
      </c>
      <c r="K528" s="1" t="n">
        <f aca="false">IF($A528="","",物件マスタ!U528)</f>
        <v>2070</v>
      </c>
      <c r="L528" s="1" t="n">
        <f aca="false">IF($A528="","",物件マスタ!W528)</f>
        <v>1</v>
      </c>
      <c r="M528" s="1" t="str">
        <f aca="false">IF($A528="","",IFERROR(INDEX(法人マスタ!$H:$H,MATCH($B528,法人マスタ!$A:$A,0)),""))</f>
        <v>2026年4月期（第23期）</v>
      </c>
      <c r="N528" s="1" t="n">
        <f aca="false">IF($A528="","",SUMIFS(物件収支!$D:$D,物件収支!$A:$A,$A528,物件収支!$C:$C,$M528))</f>
        <v>6</v>
      </c>
      <c r="O528" s="1" t="n">
        <f aca="false">IF($A528="","",SUMIFS(物件収支!$F:$F,物件収支!$A:$A,$A528,物件収支!$C:$C,$M528))</f>
        <v>58000</v>
      </c>
      <c r="P528" s="1" t="n">
        <f aca="false">IF($A528="","",SUMIFS(物件収支!$I:$I,物件収支!$A:$A,$A528,物件収支!$C:$C,$M528))</f>
        <v>0</v>
      </c>
      <c r="Q528" s="1" t="n">
        <f aca="false">IF($A528="","",SUMIFS(物件収支!$O:$O,物件収支!$A:$A,$A528,物件収支!$C:$C,$M528))</f>
        <v>0</v>
      </c>
      <c r="R528" s="1" t="str">
        <f aca="false">IF($A528="","",IF(P528=0,"",O528-P528))</f>
        <v/>
      </c>
      <c r="S528" s="1" t="str">
        <f aca="false">IF($A528="","",IF(R528="","",R528+Q528))</f>
        <v/>
      </c>
      <c r="T528" s="1" t="str">
        <f aca="false">IF($A528="","",IF(OR(S528="",N528&lt;=0),"",S528/1000*12/N528))</f>
        <v/>
      </c>
      <c r="U528" s="1" t="str">
        <f aca="false">IF($A528="","",IF(OR(T528="",J528=0,J528=""),"",T528/J528))</f>
        <v/>
      </c>
      <c r="V528" s="1" t="str">
        <f aca="false">IF($A528="","",IF(OR(R528="",N528&lt;=0,J528=0,J528=""),"",(R528/1000*12/N528)/J528))</f>
        <v/>
      </c>
      <c r="W528" s="1" t="str">
        <f aca="false">IF($A528="","",IF(OR(T528="",K528=0,K528=""),"",T528/K528))</f>
        <v/>
      </c>
      <c r="X528" s="1" t="n">
        <f aca="false">IF($A528="","",IF(OR(N528&lt;=0,I528=0,I528="",O528=0),"",O528*1000/(I528*0.3025)/N528))</f>
        <v>9373.54740317667</v>
      </c>
      <c r="Y528" s="1" t="str">
        <f aca="false">IF($A528="","",IF(OR(O528=0,O528="",P528=0),"",P528/O528))</f>
        <v/>
      </c>
      <c r="Z528" s="1" t="str">
        <f aca="false">IF($A528="","",IFERROR(INDEX(物件収支!$E:$E,MATCH($A528,物件収支!$A:$A,0)),""))</f>
        <v>開示（物件別・収益のみ・百万円単位）</v>
      </c>
    </row>
    <row r="529" customFormat="false" ht="16.5" hidden="false" customHeight="true" outlineLevel="0" collapsed="false">
      <c r="A529" s="1" t="str">
        <f aca="false">IF(物件マスタ!A529="","",物件マスタ!A529)</f>
        <v>SHR-079</v>
      </c>
      <c r="B529" s="1" t="str">
        <f aca="false">IF($A529="","",物件マスタ!B529)</f>
        <v>SHR</v>
      </c>
      <c r="C529" s="1" t="str">
        <f aca="false">IF($A529="","",IFERROR(INDEX(法人マスタ!$C:$C,MATCH($B529,法人マスタ!$A:$A,0)),""))</f>
        <v>積水ハウス・リート投資法人</v>
      </c>
      <c r="D529" s="1" t="str">
        <f aca="false">IF($A529="","",物件マスタ!C529)</f>
        <v>プライムメゾン恵比寿</v>
      </c>
      <c r="E529" s="1" t="str">
        <f aca="false">IF($A529="","",物件マスタ!H529)</f>
        <v>都心5区</v>
      </c>
      <c r="F529" s="53" t="n">
        <f aca="false">IF($A529="","",物件マスタ!P529)</f>
        <v>41791</v>
      </c>
      <c r="G529" s="1" t="n">
        <f aca="false">IF($A529="","",物件マスタ!Q529)</f>
        <v>12.2</v>
      </c>
      <c r="H529" s="1" t="n">
        <f aca="false">IF($A529="","",物件マスタ!L529)</f>
        <v>0</v>
      </c>
      <c r="I529" s="1" t="n">
        <f aca="false">IF($A529="","",物件マスタ!M529)</f>
        <v>3010.66</v>
      </c>
      <c r="J529" s="1" t="n">
        <f aca="false">IF($A529="","",物件マスタ!S529)</f>
        <v>4360</v>
      </c>
      <c r="K529" s="1" t="n">
        <f aca="false">IF($A529="","",物件マスタ!U529)</f>
        <v>5880</v>
      </c>
      <c r="L529" s="1" t="n">
        <f aca="false">IF($A529="","",物件マスタ!W529)</f>
        <v>0.95</v>
      </c>
      <c r="M529" s="1" t="str">
        <f aca="false">IF($A529="","",IFERROR(INDEX(法人マスタ!$H:$H,MATCH($B529,法人マスタ!$A:$A,0)),""))</f>
        <v>2026年4月期（第23期）</v>
      </c>
      <c r="N529" s="1" t="n">
        <f aca="false">IF($A529="","",SUMIFS(物件収支!$D:$D,物件収支!$A:$A,$A529,物件収支!$C:$C,$M529))</f>
        <v>6</v>
      </c>
      <c r="O529" s="1" t="n">
        <f aca="false">IF($A529="","",SUMIFS(物件収支!$F:$F,物件収支!$A:$A,$A529,物件収支!$C:$C,$M529))</f>
        <v>115000</v>
      </c>
      <c r="P529" s="1" t="n">
        <f aca="false">IF($A529="","",SUMIFS(物件収支!$I:$I,物件収支!$A:$A,$A529,物件収支!$C:$C,$M529))</f>
        <v>0</v>
      </c>
      <c r="Q529" s="1" t="n">
        <f aca="false">IF($A529="","",SUMIFS(物件収支!$O:$O,物件収支!$A:$A,$A529,物件収支!$C:$C,$M529))</f>
        <v>0</v>
      </c>
      <c r="R529" s="1" t="str">
        <f aca="false">IF($A529="","",IF(P529=0,"",O529-P529))</f>
        <v/>
      </c>
      <c r="S529" s="1" t="str">
        <f aca="false">IF($A529="","",IF(R529="","",R529+Q529))</f>
        <v/>
      </c>
      <c r="T529" s="1" t="str">
        <f aca="false">IF($A529="","",IF(OR(S529="",N529&lt;=0),"",S529/1000*12/N529))</f>
        <v/>
      </c>
      <c r="U529" s="1" t="str">
        <f aca="false">IF($A529="","",IF(OR(T529="",J529=0,J529=""),"",T529/J529))</f>
        <v/>
      </c>
      <c r="V529" s="1" t="str">
        <f aca="false">IF($A529="","",IF(OR(R529="",N529&lt;=0,J529=0,J529=""),"",(R529/1000*12/N529)/J529))</f>
        <v/>
      </c>
      <c r="W529" s="1" t="str">
        <f aca="false">IF($A529="","",IF(OR(T529="",K529=0,K529=""),"",T529/K529))</f>
        <v/>
      </c>
      <c r="X529" s="1" t="n">
        <f aca="false">IF($A529="","",IF(OR(N529&lt;=0,I529=0,I529="",O529=0),"",O529*1000/(I529*0.3025)/N529))</f>
        <v>21045.5121278058</v>
      </c>
      <c r="Y529" s="1" t="str">
        <f aca="false">IF($A529="","",IF(OR(O529=0,O529="",P529=0),"",P529/O529))</f>
        <v/>
      </c>
      <c r="Z529" s="1" t="str">
        <f aca="false">IF($A529="","",IFERROR(INDEX(物件収支!$E:$E,MATCH($A529,物件収支!$A:$A,0)),""))</f>
        <v>開示（物件別・収益のみ・百万円単位）</v>
      </c>
    </row>
    <row r="530" customFormat="false" ht="16.5" hidden="false" customHeight="true" outlineLevel="0" collapsed="false">
      <c r="A530" s="1" t="str">
        <f aca="false">IF(物件マスタ!A530="","",物件マスタ!A530)</f>
        <v>SHR-080</v>
      </c>
      <c r="B530" s="1" t="str">
        <f aca="false">IF($A530="","",物件マスタ!B530)</f>
        <v>SHR</v>
      </c>
      <c r="C530" s="1" t="str">
        <f aca="false">IF($A530="","",IFERROR(INDEX(法人マスタ!$C:$C,MATCH($B530,法人マスタ!$A:$A,0)),""))</f>
        <v>積水ハウス・リート投資法人</v>
      </c>
      <c r="D530" s="1" t="str">
        <f aca="false">IF($A530="","",物件マスタ!C530)</f>
        <v>エスティメゾン鵜の森</v>
      </c>
      <c r="E530" s="1" t="str">
        <f aca="false">IF($A530="","",物件マスタ!H530)</f>
        <v>（期中譲渡済）</v>
      </c>
      <c r="F530" s="1" t="n">
        <f aca="false">IF($A530="","",物件マスタ!P530)</f>
        <v>0</v>
      </c>
      <c r="G530" s="1" t="str">
        <f aca="false">IF($A530="","",物件マスタ!Q530)</f>
        <v/>
      </c>
      <c r="H530" s="1" t="n">
        <f aca="false">IF($A530="","",物件マスタ!L530)</f>
        <v>0</v>
      </c>
      <c r="I530" s="1" t="n">
        <f aca="false">IF($A530="","",物件マスタ!M530)</f>
        <v>0</v>
      </c>
      <c r="J530" s="1" t="n">
        <f aca="false">IF($A530="","",物件マスタ!S530)</f>
        <v>0</v>
      </c>
      <c r="K530" s="1" t="n">
        <f aca="false">IF($A530="","",物件マスタ!U530)</f>
        <v>0</v>
      </c>
      <c r="L530" s="1" t="n">
        <f aca="false">IF($A530="","",物件マスタ!W530)</f>
        <v>0</v>
      </c>
      <c r="M530" s="1" t="str">
        <f aca="false">IF($A530="","",IFERROR(INDEX(法人マスタ!$H:$H,MATCH($B530,法人マスタ!$A:$A,0)),""))</f>
        <v>2026年4月期（第23期）</v>
      </c>
      <c r="N530" s="1" t="n">
        <f aca="false">IF($A530="","",SUMIFS(物件収支!$D:$D,物件収支!$A:$A,$A530,物件収支!$C:$C,$M530))</f>
        <v>6</v>
      </c>
      <c r="O530" s="1" t="n">
        <f aca="false">IF($A530="","",SUMIFS(物件収支!$F:$F,物件収支!$A:$A,$A530,物件収支!$C:$C,$M530))</f>
        <v>21000</v>
      </c>
      <c r="P530" s="1" t="n">
        <f aca="false">IF($A530="","",SUMIFS(物件収支!$I:$I,物件収支!$A:$A,$A530,物件収支!$C:$C,$M530))</f>
        <v>0</v>
      </c>
      <c r="Q530" s="1" t="n">
        <f aca="false">IF($A530="","",SUMIFS(物件収支!$O:$O,物件収支!$A:$A,$A530,物件収支!$C:$C,$M530))</f>
        <v>0</v>
      </c>
      <c r="R530" s="1" t="str">
        <f aca="false">IF($A530="","",IF(P530=0,"",O530-P530))</f>
        <v/>
      </c>
      <c r="S530" s="1" t="str">
        <f aca="false">IF($A530="","",IF(R530="","",R530+Q530))</f>
        <v/>
      </c>
      <c r="T530" s="1" t="str">
        <f aca="false">IF($A530="","",IF(OR(S530="",N530&lt;=0),"",S530/1000*12/N530))</f>
        <v/>
      </c>
      <c r="U530" s="1" t="str">
        <f aca="false">IF($A530="","",IF(OR(T530="",J530=0,J530=""),"",T530/J530))</f>
        <v/>
      </c>
      <c r="V530" s="1" t="str">
        <f aca="false">IF($A530="","",IF(OR(R530="",N530&lt;=0,J530=0,J530=""),"",(R530/1000*12/N530)/J530))</f>
        <v/>
      </c>
      <c r="W530" s="1" t="str">
        <f aca="false">IF($A530="","",IF(OR(T530="",K530=0,K530=""),"",T530/K530))</f>
        <v/>
      </c>
      <c r="X530" s="1" t="str">
        <f aca="false">IF($A530="","",IF(OR(N530&lt;=0,I530=0,I530="",O530=0),"",O530*1000/(I530*0.3025)/N530))</f>
        <v/>
      </c>
      <c r="Y530" s="1" t="str">
        <f aca="false">IF($A530="","",IF(OR(O530=0,O530="",P530=0),"",P530/O530))</f>
        <v/>
      </c>
      <c r="Z530" s="1" t="str">
        <f aca="false">IF($A530="","",IFERROR(INDEX(物件収支!$E:$E,MATCH($A530,物件収支!$A:$A,0)),""))</f>
        <v>開示（期中譲渡・収益のみ・百万円単位）</v>
      </c>
    </row>
    <row r="531" customFormat="false" ht="16.5" hidden="false" customHeight="true" outlineLevel="0" collapsed="false">
      <c r="A531" s="1" t="str">
        <f aca="false">IF(物件マスタ!A531="","",物件マスタ!A531)</f>
        <v>SHR-081</v>
      </c>
      <c r="B531" s="1" t="str">
        <f aca="false">IF($A531="","",物件マスタ!B531)</f>
        <v>SHR</v>
      </c>
      <c r="C531" s="1" t="str">
        <f aca="false">IF($A531="","",IFERROR(INDEX(法人マスタ!$C:$C,MATCH($B531,法人マスタ!$A:$A,0)),""))</f>
        <v>積水ハウス・リート投資法人</v>
      </c>
      <c r="D531" s="1" t="str">
        <f aca="false">IF($A531="","",物件マスタ!C531)</f>
        <v>シャーメゾンステージ日野</v>
      </c>
      <c r="E531" s="1" t="str">
        <f aca="false">IF($A531="","",物件マスタ!H531)</f>
        <v>東京周辺都市部</v>
      </c>
      <c r="F531" s="53" t="n">
        <f aca="false">IF($A531="","",物件マスタ!P531)</f>
        <v>40179</v>
      </c>
      <c r="G531" s="1" t="n">
        <f aca="false">IF($A531="","",物件マスタ!Q531)</f>
        <v>16.6</v>
      </c>
      <c r="H531" s="1" t="n">
        <f aca="false">IF($A531="","",物件マスタ!L531)</f>
        <v>0</v>
      </c>
      <c r="I531" s="1" t="n">
        <f aca="false">IF($A531="","",物件マスタ!M531)</f>
        <v>2827.55</v>
      </c>
      <c r="J531" s="1" t="n">
        <f aca="false">IF($A531="","",物件マスタ!S531)</f>
        <v>1390</v>
      </c>
      <c r="K531" s="1" t="n">
        <f aca="false">IF($A531="","",物件マスタ!U531)</f>
        <v>1840</v>
      </c>
      <c r="L531" s="1" t="n">
        <f aca="false">IF($A531="","",物件マスタ!W531)</f>
        <v>0.962</v>
      </c>
      <c r="M531" s="1" t="str">
        <f aca="false">IF($A531="","",IFERROR(INDEX(法人マスタ!$H:$H,MATCH($B531,法人マスタ!$A:$A,0)),""))</f>
        <v>2026年4月期（第23期）</v>
      </c>
      <c r="N531" s="1" t="n">
        <f aca="false">IF($A531="","",SUMIFS(物件収支!$D:$D,物件収支!$A:$A,$A531,物件収支!$C:$C,$M531))</f>
        <v>6</v>
      </c>
      <c r="O531" s="1" t="n">
        <f aca="false">IF($A531="","",SUMIFS(物件収支!$F:$F,物件収支!$A:$A,$A531,物件収支!$C:$C,$M531))</f>
        <v>54000</v>
      </c>
      <c r="P531" s="1" t="n">
        <f aca="false">IF($A531="","",SUMIFS(物件収支!$I:$I,物件収支!$A:$A,$A531,物件収支!$C:$C,$M531))</f>
        <v>0</v>
      </c>
      <c r="Q531" s="1" t="n">
        <f aca="false">IF($A531="","",SUMIFS(物件収支!$O:$O,物件収支!$A:$A,$A531,物件収支!$C:$C,$M531))</f>
        <v>0</v>
      </c>
      <c r="R531" s="1" t="str">
        <f aca="false">IF($A531="","",IF(P531=0,"",O531-P531))</f>
        <v/>
      </c>
      <c r="S531" s="1" t="str">
        <f aca="false">IF($A531="","",IF(R531="","",R531+Q531))</f>
        <v/>
      </c>
      <c r="T531" s="1" t="str">
        <f aca="false">IF($A531="","",IF(OR(S531="",N531&lt;=0),"",S531/1000*12/N531))</f>
        <v/>
      </c>
      <c r="U531" s="1" t="str">
        <f aca="false">IF($A531="","",IF(OR(T531="",J531=0,J531=""),"",T531/J531))</f>
        <v/>
      </c>
      <c r="V531" s="1" t="str">
        <f aca="false">IF($A531="","",IF(OR(R531="",N531&lt;=0,J531=0,J531=""),"",(R531/1000*12/N531)/J531))</f>
        <v/>
      </c>
      <c r="W531" s="1" t="str">
        <f aca="false">IF($A531="","",IF(OR(T531="",K531=0,K531=""),"",T531/K531))</f>
        <v/>
      </c>
      <c r="X531" s="1" t="n">
        <f aca="false">IF($A531="","",IF(OR(N531&lt;=0,I531=0,I531="",O531=0),"",O531*1000/(I531*0.3025)/N531))</f>
        <v>10522.2068984465</v>
      </c>
      <c r="Y531" s="1" t="str">
        <f aca="false">IF($A531="","",IF(OR(O531=0,O531="",P531=0),"",P531/O531))</f>
        <v/>
      </c>
      <c r="Z531" s="1" t="str">
        <f aca="false">IF($A531="","",IFERROR(INDEX(物件収支!$E:$E,MATCH($A531,物件収支!$A:$A,0)),""))</f>
        <v>開示（物件別・収益のみ・百万円単位）</v>
      </c>
    </row>
    <row r="532" customFormat="false" ht="16.5" hidden="false" customHeight="true" outlineLevel="0" collapsed="false">
      <c r="A532" s="1" t="str">
        <f aca="false">IF(物件マスタ!A532="","",物件マスタ!A532)</f>
        <v>SHR-082</v>
      </c>
      <c r="B532" s="1" t="str">
        <f aca="false">IF($A532="","",物件マスタ!B532)</f>
        <v>SHR</v>
      </c>
      <c r="C532" s="1" t="str">
        <f aca="false">IF($A532="","",IFERROR(INDEX(法人マスタ!$C:$C,MATCH($B532,法人マスタ!$A:$A,0)),""))</f>
        <v>積水ハウス・リート投資法人</v>
      </c>
      <c r="D532" s="1" t="str">
        <f aca="false">IF($A532="","",物件マスタ!C532)</f>
        <v>プライムメゾン横濱日本大通</v>
      </c>
      <c r="E532" s="1" t="str">
        <f aca="false">IF($A532="","",物件マスタ!H532)</f>
        <v>東京周辺都市部</v>
      </c>
      <c r="F532" s="53" t="n">
        <f aca="false">IF($A532="","",物件マスタ!P532)</f>
        <v>41791</v>
      </c>
      <c r="G532" s="1" t="n">
        <f aca="false">IF($A532="","",物件マスタ!Q532)</f>
        <v>12.2</v>
      </c>
      <c r="H532" s="1" t="n">
        <f aca="false">IF($A532="","",物件マスタ!L532)</f>
        <v>0</v>
      </c>
      <c r="I532" s="1" t="n">
        <f aca="false">IF($A532="","",物件マスタ!M532)</f>
        <v>5461.13</v>
      </c>
      <c r="J532" s="1" t="n">
        <f aca="false">IF($A532="","",物件マスタ!S532)</f>
        <v>4870</v>
      </c>
      <c r="K532" s="1" t="n">
        <f aca="false">IF($A532="","",物件マスタ!U532)</f>
        <v>5480</v>
      </c>
      <c r="L532" s="1" t="n">
        <f aca="false">IF($A532="","",物件マスタ!W532)</f>
        <v>0.995</v>
      </c>
      <c r="M532" s="1" t="str">
        <f aca="false">IF($A532="","",IFERROR(INDEX(法人マスタ!$H:$H,MATCH($B532,法人マスタ!$A:$A,0)),""))</f>
        <v>2026年4月期（第23期）</v>
      </c>
      <c r="N532" s="1" t="n">
        <f aca="false">IF($A532="","",SUMIFS(物件収支!$D:$D,物件収支!$A:$A,$A532,物件収支!$C:$C,$M532))</f>
        <v>6</v>
      </c>
      <c r="O532" s="1" t="n">
        <f aca="false">IF($A532="","",SUMIFS(物件収支!$F:$F,物件収支!$A:$A,$A532,物件収支!$C:$C,$M532))</f>
        <v>147000</v>
      </c>
      <c r="P532" s="1" t="n">
        <f aca="false">IF($A532="","",SUMIFS(物件収支!$I:$I,物件収支!$A:$A,$A532,物件収支!$C:$C,$M532))</f>
        <v>0</v>
      </c>
      <c r="Q532" s="1" t="n">
        <f aca="false">IF($A532="","",SUMIFS(物件収支!$O:$O,物件収支!$A:$A,$A532,物件収支!$C:$C,$M532))</f>
        <v>0</v>
      </c>
      <c r="R532" s="1" t="str">
        <f aca="false">IF($A532="","",IF(P532=0,"",O532-P532))</f>
        <v/>
      </c>
      <c r="S532" s="1" t="str">
        <f aca="false">IF($A532="","",IF(R532="","",R532+Q532))</f>
        <v/>
      </c>
      <c r="T532" s="1" t="str">
        <f aca="false">IF($A532="","",IF(OR(S532="",N532&lt;=0),"",S532/1000*12/N532))</f>
        <v/>
      </c>
      <c r="U532" s="1" t="str">
        <f aca="false">IF($A532="","",IF(OR(T532="",J532=0,J532=""),"",T532/J532))</f>
        <v/>
      </c>
      <c r="V532" s="1" t="str">
        <f aca="false">IF($A532="","",IF(OR(R532="",N532&lt;=0,J532=0,J532=""),"",(R532/1000*12/N532)/J532))</f>
        <v/>
      </c>
      <c r="W532" s="1" t="str">
        <f aca="false">IF($A532="","",IF(OR(T532="",K532=0,K532=""),"",T532/K532))</f>
        <v/>
      </c>
      <c r="X532" s="1" t="n">
        <f aca="false">IF($A532="","",IF(OR(N532&lt;=0,I532=0,I532="",O532=0),"",O532*1000/(I532*0.3025)/N532))</f>
        <v>14830.5818644109</v>
      </c>
      <c r="Y532" s="1" t="str">
        <f aca="false">IF($A532="","",IF(OR(O532=0,O532="",P532=0),"",P532/O532))</f>
        <v/>
      </c>
      <c r="Z532" s="1" t="str">
        <f aca="false">IF($A532="","",IFERROR(INDEX(物件収支!$E:$E,MATCH($A532,物件収支!$A:$A,0)),""))</f>
        <v>開示（物件別・収益のみ・百万円単位）</v>
      </c>
    </row>
    <row r="533" customFormat="false" ht="16.5" hidden="false" customHeight="true" outlineLevel="0" collapsed="false">
      <c r="A533" s="1" t="str">
        <f aca="false">IF(物件マスタ!A533="","",物件マスタ!A533)</f>
        <v>SHR-083</v>
      </c>
      <c r="B533" s="1" t="str">
        <f aca="false">IF($A533="","",物件マスタ!B533)</f>
        <v>SHR</v>
      </c>
      <c r="C533" s="1" t="str">
        <f aca="false">IF($A533="","",IFERROR(INDEX(法人マスタ!$C:$C,MATCH($B533,法人マスタ!$A:$A,0)),""))</f>
        <v>積水ハウス・リート投資法人</v>
      </c>
      <c r="D533" s="1" t="str">
        <f aca="false">IF($A533="","",物件マスタ!C533)</f>
        <v>神戸女子学生会館</v>
      </c>
      <c r="E533" s="1" t="str">
        <f aca="false">IF($A533="","",物件マスタ!H533)</f>
        <v>その他3大都市圏</v>
      </c>
      <c r="F533" s="53" t="n">
        <f aca="false">IF($A533="","",物件マスタ!P533)</f>
        <v>37288</v>
      </c>
      <c r="G533" s="1" t="n">
        <f aca="false">IF($A533="","",物件マスタ!Q533)</f>
        <v>24.5</v>
      </c>
      <c r="H533" s="1" t="n">
        <f aca="false">IF($A533="","",物件マスタ!L533)</f>
        <v>0</v>
      </c>
      <c r="I533" s="1" t="n">
        <f aca="false">IF($A533="","",物件マスタ!M533)</f>
        <v>15341.68</v>
      </c>
      <c r="J533" s="1" t="n">
        <f aca="false">IF($A533="","",物件マスタ!S533)</f>
        <v>5880</v>
      </c>
      <c r="K533" s="1" t="n">
        <f aca="false">IF($A533="","",物件マスタ!U533)</f>
        <v>6000</v>
      </c>
      <c r="L533" s="1" t="n">
        <f aca="false">IF($A533="","",物件マスタ!W533)</f>
        <v>1</v>
      </c>
      <c r="M533" s="1" t="str">
        <f aca="false">IF($A533="","",IFERROR(INDEX(法人マスタ!$H:$H,MATCH($B533,法人マスタ!$A:$A,0)),""))</f>
        <v>2026年4月期（第23期）</v>
      </c>
      <c r="N533" s="1" t="n">
        <f aca="false">IF($A533="","",SUMIFS(物件収支!$D:$D,物件収支!$A:$A,$A533,物件収支!$C:$C,$M533))</f>
        <v>6</v>
      </c>
      <c r="O533" s="1" t="n">
        <f aca="false">IF($A533="","",SUMIFS(物件収支!$F:$F,物件収支!$A:$A,$A533,物件収支!$C:$C,$M533))</f>
        <v>221000</v>
      </c>
      <c r="P533" s="1" t="n">
        <f aca="false">IF($A533="","",SUMIFS(物件収支!$I:$I,物件収支!$A:$A,$A533,物件収支!$C:$C,$M533))</f>
        <v>0</v>
      </c>
      <c r="Q533" s="1" t="n">
        <f aca="false">IF($A533="","",SUMIFS(物件収支!$O:$O,物件収支!$A:$A,$A533,物件収支!$C:$C,$M533))</f>
        <v>0</v>
      </c>
      <c r="R533" s="1" t="str">
        <f aca="false">IF($A533="","",IF(P533=0,"",O533-P533))</f>
        <v/>
      </c>
      <c r="S533" s="1" t="str">
        <f aca="false">IF($A533="","",IF(R533="","",R533+Q533))</f>
        <v/>
      </c>
      <c r="T533" s="1" t="str">
        <f aca="false">IF($A533="","",IF(OR(S533="",N533&lt;=0),"",S533/1000*12/N533))</f>
        <v/>
      </c>
      <c r="U533" s="1" t="str">
        <f aca="false">IF($A533="","",IF(OR(T533="",J533=0,J533=""),"",T533/J533))</f>
        <v/>
      </c>
      <c r="V533" s="1" t="str">
        <f aca="false">IF($A533="","",IF(OR(R533="",N533&lt;=0,J533=0,J533=""),"",(R533/1000*12/N533)/J533))</f>
        <v/>
      </c>
      <c r="W533" s="1" t="str">
        <f aca="false">IF($A533="","",IF(OR(T533="",K533=0,K533=""),"",T533/K533))</f>
        <v/>
      </c>
      <c r="X533" s="1" t="n">
        <f aca="false">IF($A533="","",IF(OR(N533&lt;=0,I533=0,I533="",O533=0),"",O533*1000/(I533*0.3025)/N533))</f>
        <v>7936.75043407561</v>
      </c>
      <c r="Y533" s="1" t="str">
        <f aca="false">IF($A533="","",IF(OR(O533=0,O533="",P533=0),"",P533/O533))</f>
        <v/>
      </c>
      <c r="Z533" s="1" t="str">
        <f aca="false">IF($A533="","",IFERROR(INDEX(物件収支!$E:$E,MATCH($A533,物件収支!$A:$A,0)),""))</f>
        <v>開示（物件別・収益のみ・百万円単位）</v>
      </c>
    </row>
    <row r="534" customFormat="false" ht="16.5" hidden="false" customHeight="true" outlineLevel="0" collapsed="false">
      <c r="A534" s="1" t="str">
        <f aca="false">IF(物件マスタ!A534="","",物件マスタ!A534)</f>
        <v>SHR-084</v>
      </c>
      <c r="B534" s="1" t="str">
        <f aca="false">IF($A534="","",物件マスタ!B534)</f>
        <v>SHR</v>
      </c>
      <c r="C534" s="1" t="str">
        <f aca="false">IF($A534="","",IFERROR(INDEX(法人マスタ!$C:$C,MATCH($B534,法人マスタ!$A:$A,0)),""))</f>
        <v>積水ハウス・リート投資法人</v>
      </c>
      <c r="D534" s="1" t="str">
        <f aca="false">IF($A534="","",物件マスタ!C534)</f>
        <v>プライムメゾン渋谷</v>
      </c>
      <c r="E534" s="1" t="str">
        <f aca="false">IF($A534="","",物件マスタ!H534)</f>
        <v>都心5区</v>
      </c>
      <c r="F534" s="53" t="n">
        <f aca="false">IF($A534="","",物件マスタ!P534)</f>
        <v>41821</v>
      </c>
      <c r="G534" s="1" t="n">
        <f aca="false">IF($A534="","",物件マスタ!Q534)</f>
        <v>12.1</v>
      </c>
      <c r="H534" s="1" t="n">
        <f aca="false">IF($A534="","",物件マスタ!L534)</f>
        <v>0</v>
      </c>
      <c r="I534" s="1" t="n">
        <f aca="false">IF($A534="","",物件マスタ!M534)</f>
        <v>1972.59</v>
      </c>
      <c r="J534" s="1" t="n">
        <f aca="false">IF($A534="","",物件マスタ!S534)</f>
        <v>2430</v>
      </c>
      <c r="K534" s="1" t="n">
        <f aca="false">IF($A534="","",物件マスタ!U534)</f>
        <v>3020</v>
      </c>
      <c r="L534" s="1" t="n">
        <f aca="false">IF($A534="","",物件マスタ!W534)</f>
        <v>0.987</v>
      </c>
      <c r="M534" s="1" t="str">
        <f aca="false">IF($A534="","",IFERROR(INDEX(法人マスタ!$H:$H,MATCH($B534,法人マスタ!$A:$A,0)),""))</f>
        <v>2026年4月期（第23期）</v>
      </c>
      <c r="N534" s="1" t="n">
        <f aca="false">IF($A534="","",SUMIFS(物件収支!$D:$D,物件収支!$A:$A,$A534,物件収支!$C:$C,$M534))</f>
        <v>6</v>
      </c>
      <c r="O534" s="1" t="n">
        <f aca="false">IF($A534="","",SUMIFS(物件収支!$F:$F,物件収支!$A:$A,$A534,物件収支!$C:$C,$M534))</f>
        <v>69000</v>
      </c>
      <c r="P534" s="1" t="n">
        <f aca="false">IF($A534="","",SUMIFS(物件収支!$I:$I,物件収支!$A:$A,$A534,物件収支!$C:$C,$M534))</f>
        <v>0</v>
      </c>
      <c r="Q534" s="1" t="n">
        <f aca="false">IF($A534="","",SUMIFS(物件収支!$O:$O,物件収支!$A:$A,$A534,物件収支!$C:$C,$M534))</f>
        <v>0</v>
      </c>
      <c r="R534" s="1" t="str">
        <f aca="false">IF($A534="","",IF(P534=0,"",O534-P534))</f>
        <v/>
      </c>
      <c r="S534" s="1" t="str">
        <f aca="false">IF($A534="","",IF(R534="","",R534+Q534))</f>
        <v/>
      </c>
      <c r="T534" s="1" t="str">
        <f aca="false">IF($A534="","",IF(OR(S534="",N534&lt;=0),"",S534/1000*12/N534))</f>
        <v/>
      </c>
      <c r="U534" s="1" t="str">
        <f aca="false">IF($A534="","",IF(OR(T534="",J534=0,J534=""),"",T534/J534))</f>
        <v/>
      </c>
      <c r="V534" s="1" t="str">
        <f aca="false">IF($A534="","",IF(OR(R534="",N534&lt;=0,J534=0,J534=""),"",(R534/1000*12/N534)/J534))</f>
        <v/>
      </c>
      <c r="W534" s="1" t="str">
        <f aca="false">IF($A534="","",IF(OR(T534="",K534=0,K534=""),"",T534/K534))</f>
        <v/>
      </c>
      <c r="X534" s="1" t="n">
        <f aca="false">IF($A534="","",IF(OR(N534&lt;=0,I534=0,I534="",O534=0),"",O534*1000/(I534*0.3025)/N534))</f>
        <v>19272.3926034401</v>
      </c>
      <c r="Y534" s="1" t="str">
        <f aca="false">IF($A534="","",IF(OR(O534=0,O534="",P534=0),"",P534/O534))</f>
        <v/>
      </c>
      <c r="Z534" s="1" t="str">
        <f aca="false">IF($A534="","",IFERROR(INDEX(物件収支!$E:$E,MATCH($A534,物件収支!$A:$A,0)),""))</f>
        <v>開示（物件別・収益のみ・百万円単位）</v>
      </c>
    </row>
    <row r="535" customFormat="false" ht="16.5" hidden="false" customHeight="true" outlineLevel="0" collapsed="false">
      <c r="A535" s="1" t="str">
        <f aca="false">IF(物件マスタ!A535="","",物件マスタ!A535)</f>
        <v>SHR-085</v>
      </c>
      <c r="B535" s="1" t="str">
        <f aca="false">IF($A535="","",物件マスタ!B535)</f>
        <v>SHR</v>
      </c>
      <c r="C535" s="1" t="str">
        <f aca="false">IF($A535="","",IFERROR(INDEX(法人マスタ!$C:$C,MATCH($B535,法人マスタ!$A:$A,0)),""))</f>
        <v>積水ハウス・リート投資法人</v>
      </c>
      <c r="D535" s="1" t="str">
        <f aca="false">IF($A535="","",物件マスタ!C535)</f>
        <v>プライムメゾン初台</v>
      </c>
      <c r="E535" s="1" t="str">
        <f aca="false">IF($A535="","",物件マスタ!H535)</f>
        <v>都心5区</v>
      </c>
      <c r="F535" s="53" t="n">
        <f aca="false">IF($A535="","",物件マスタ!P535)</f>
        <v>41974</v>
      </c>
      <c r="G535" s="1" t="n">
        <f aca="false">IF($A535="","",物件マスタ!Q535)</f>
        <v>11.7</v>
      </c>
      <c r="H535" s="1" t="n">
        <f aca="false">IF($A535="","",物件マスタ!L535)</f>
        <v>0</v>
      </c>
      <c r="I535" s="1" t="n">
        <f aca="false">IF($A535="","",物件マスタ!M535)</f>
        <v>2879.2</v>
      </c>
      <c r="J535" s="1" t="n">
        <f aca="false">IF($A535="","",物件マスタ!S535)</f>
        <v>3010</v>
      </c>
      <c r="K535" s="1" t="n">
        <f aca="false">IF($A535="","",物件マスタ!U535)</f>
        <v>3550</v>
      </c>
      <c r="L535" s="1" t="n">
        <f aca="false">IF($A535="","",物件マスタ!W535)</f>
        <v>0.965</v>
      </c>
      <c r="M535" s="1" t="str">
        <f aca="false">IF($A535="","",IFERROR(INDEX(法人マスタ!$H:$H,MATCH($B535,法人マスタ!$A:$A,0)),""))</f>
        <v>2026年4月期（第23期）</v>
      </c>
      <c r="N535" s="1" t="n">
        <f aca="false">IF($A535="","",SUMIFS(物件収支!$D:$D,物件収支!$A:$A,$A535,物件収支!$C:$C,$M535))</f>
        <v>6</v>
      </c>
      <c r="O535" s="1" t="n">
        <f aca="false">IF($A535="","",SUMIFS(物件収支!$F:$F,物件収支!$A:$A,$A535,物件収支!$C:$C,$M535))</f>
        <v>85000</v>
      </c>
      <c r="P535" s="1" t="n">
        <f aca="false">IF($A535="","",SUMIFS(物件収支!$I:$I,物件収支!$A:$A,$A535,物件収支!$C:$C,$M535))</f>
        <v>0</v>
      </c>
      <c r="Q535" s="1" t="n">
        <f aca="false">IF($A535="","",SUMIFS(物件収支!$O:$O,物件収支!$A:$A,$A535,物件収支!$C:$C,$M535))</f>
        <v>0</v>
      </c>
      <c r="R535" s="1" t="str">
        <f aca="false">IF($A535="","",IF(P535=0,"",O535-P535))</f>
        <v/>
      </c>
      <c r="S535" s="1" t="str">
        <f aca="false">IF($A535="","",IF(R535="","",R535+Q535))</f>
        <v/>
      </c>
      <c r="T535" s="1" t="str">
        <f aca="false">IF($A535="","",IF(OR(S535="",N535&lt;=0),"",S535/1000*12/N535))</f>
        <v/>
      </c>
      <c r="U535" s="1" t="str">
        <f aca="false">IF($A535="","",IF(OR(T535="",J535=0,J535=""),"",T535/J535))</f>
        <v/>
      </c>
      <c r="V535" s="1" t="str">
        <f aca="false">IF($A535="","",IF(OR(R535="",N535&lt;=0,J535=0,J535=""),"",(R535/1000*12/N535)/J535))</f>
        <v/>
      </c>
      <c r="W535" s="1" t="str">
        <f aca="false">IF($A535="","",IF(OR(T535="",K535=0,K535=""),"",T535/K535))</f>
        <v/>
      </c>
      <c r="X535" s="1" t="n">
        <f aca="false">IF($A535="","",IF(OR(N535&lt;=0,I535=0,I535="",O535=0),"",O535*1000/(I535*0.3025)/N535))</f>
        <v>16265.6140326705</v>
      </c>
      <c r="Y535" s="1" t="str">
        <f aca="false">IF($A535="","",IF(OR(O535=0,O535="",P535=0),"",P535/O535))</f>
        <v/>
      </c>
      <c r="Z535" s="1" t="str">
        <f aca="false">IF($A535="","",IFERROR(INDEX(物件収支!$E:$E,MATCH($A535,物件収支!$A:$A,0)),""))</f>
        <v>開示（物件別・収益のみ・百万円単位）</v>
      </c>
    </row>
    <row r="536" customFormat="false" ht="16.5" hidden="false" customHeight="true" outlineLevel="0" collapsed="false">
      <c r="A536" s="1" t="str">
        <f aca="false">IF(物件マスタ!A536="","",物件マスタ!A536)</f>
        <v>SHR-086</v>
      </c>
      <c r="B536" s="1" t="str">
        <f aca="false">IF($A536="","",物件マスタ!B536)</f>
        <v>SHR</v>
      </c>
      <c r="C536" s="1" t="str">
        <f aca="false">IF($A536="","",IFERROR(INDEX(法人マスタ!$C:$C,MATCH($B536,法人マスタ!$A:$A,0)),""))</f>
        <v>積水ハウス・リート投資法人</v>
      </c>
      <c r="D536" s="1" t="str">
        <f aca="false">IF($A536="","",物件マスタ!C536)</f>
        <v>エスティメゾン上町台</v>
      </c>
      <c r="E536" s="1" t="str">
        <f aca="false">IF($A536="","",物件マスタ!H536)</f>
        <v>その他3大都市圏</v>
      </c>
      <c r="F536" s="53" t="n">
        <f aca="false">IF($A536="","",物件マスタ!P536)</f>
        <v>38565</v>
      </c>
      <c r="G536" s="1" t="n">
        <f aca="false">IF($A536="","",物件マスタ!Q536)</f>
        <v>21</v>
      </c>
      <c r="H536" s="1" t="n">
        <f aca="false">IF($A536="","",物件マスタ!L536)</f>
        <v>0</v>
      </c>
      <c r="I536" s="1" t="n">
        <f aca="false">IF($A536="","",物件マスタ!M536)</f>
        <v>2225.52</v>
      </c>
      <c r="J536" s="1" t="n">
        <f aca="false">IF($A536="","",物件マスタ!S536)</f>
        <v>1040</v>
      </c>
      <c r="K536" s="1" t="n">
        <f aca="false">IF($A536="","",物件マスタ!U536)</f>
        <v>1210</v>
      </c>
      <c r="L536" s="1" t="n">
        <f aca="false">IF($A536="","",物件マスタ!W536)</f>
        <v>0.951</v>
      </c>
      <c r="M536" s="1" t="str">
        <f aca="false">IF($A536="","",IFERROR(INDEX(法人マスタ!$H:$H,MATCH($B536,法人マスタ!$A:$A,0)),""))</f>
        <v>2026年4月期（第23期）</v>
      </c>
      <c r="N536" s="1" t="n">
        <f aca="false">IF($A536="","",SUMIFS(物件収支!$D:$D,物件収支!$A:$A,$A536,物件収支!$C:$C,$M536))</f>
        <v>6</v>
      </c>
      <c r="O536" s="1" t="n">
        <f aca="false">IF($A536="","",SUMIFS(物件収支!$F:$F,物件収支!$A:$A,$A536,物件収支!$C:$C,$M536))</f>
        <v>34000</v>
      </c>
      <c r="P536" s="1" t="n">
        <f aca="false">IF($A536="","",SUMIFS(物件収支!$I:$I,物件収支!$A:$A,$A536,物件収支!$C:$C,$M536))</f>
        <v>0</v>
      </c>
      <c r="Q536" s="1" t="n">
        <f aca="false">IF($A536="","",SUMIFS(物件収支!$O:$O,物件収支!$A:$A,$A536,物件収支!$C:$C,$M536))</f>
        <v>0</v>
      </c>
      <c r="R536" s="1" t="str">
        <f aca="false">IF($A536="","",IF(P536=0,"",O536-P536))</f>
        <v/>
      </c>
      <c r="S536" s="1" t="str">
        <f aca="false">IF($A536="","",IF(R536="","",R536+Q536))</f>
        <v/>
      </c>
      <c r="T536" s="1" t="str">
        <f aca="false">IF($A536="","",IF(OR(S536="",N536&lt;=0),"",S536/1000*12/N536))</f>
        <v/>
      </c>
      <c r="U536" s="1" t="str">
        <f aca="false">IF($A536="","",IF(OR(T536="",J536=0,J536=""),"",T536/J536))</f>
        <v/>
      </c>
      <c r="V536" s="1" t="str">
        <f aca="false">IF($A536="","",IF(OR(R536="",N536&lt;=0,J536=0,J536=""),"",(R536/1000*12/N536)/J536))</f>
        <v/>
      </c>
      <c r="W536" s="1" t="str">
        <f aca="false">IF($A536="","",IF(OR(T536="",K536=0,K536=""),"",T536/K536))</f>
        <v/>
      </c>
      <c r="X536" s="1" t="n">
        <f aca="false">IF($A536="","",IF(OR(N536&lt;=0,I536=0,I536="",O536=0),"",O536*1000/(I536*0.3025)/N536))</f>
        <v>8417.2608510128</v>
      </c>
      <c r="Y536" s="1" t="str">
        <f aca="false">IF($A536="","",IF(OR(O536=0,O536="",P536=0),"",P536/O536))</f>
        <v/>
      </c>
      <c r="Z536" s="1" t="str">
        <f aca="false">IF($A536="","",IFERROR(INDEX(物件収支!$E:$E,MATCH($A536,物件収支!$A:$A,0)),""))</f>
        <v>開示（物件別・収益のみ・百万円単位）</v>
      </c>
    </row>
    <row r="537" customFormat="false" ht="16.5" hidden="false" customHeight="true" outlineLevel="0" collapsed="false">
      <c r="A537" s="1" t="str">
        <f aca="false">IF(物件マスタ!A537="","",物件マスタ!A537)</f>
        <v>SHR-087</v>
      </c>
      <c r="B537" s="1" t="str">
        <f aca="false">IF($A537="","",物件マスタ!B537)</f>
        <v>SHR</v>
      </c>
      <c r="C537" s="1" t="str">
        <f aca="false">IF($A537="","",IFERROR(INDEX(法人マスタ!$C:$C,MATCH($B537,法人マスタ!$A:$A,0)),""))</f>
        <v>積水ハウス・リート投資法人</v>
      </c>
      <c r="D537" s="1" t="str">
        <f aca="false">IF($A537="","",物件マスタ!C537)</f>
        <v>プライムメゾン白金高輪</v>
      </c>
      <c r="E537" s="1" t="str">
        <f aca="false">IF($A537="","",物件マスタ!H537)</f>
        <v>都心5区</v>
      </c>
      <c r="F537" s="53" t="n">
        <f aca="false">IF($A537="","",物件マスタ!P537)</f>
        <v>42156</v>
      </c>
      <c r="G537" s="1" t="n">
        <f aca="false">IF($A537="","",物件マスタ!Q537)</f>
        <v>11.2</v>
      </c>
      <c r="H537" s="1" t="n">
        <f aca="false">IF($A537="","",物件マスタ!L537)</f>
        <v>0</v>
      </c>
      <c r="I537" s="1" t="n">
        <f aca="false">IF($A537="","",物件マスタ!M537)</f>
        <v>3923.76</v>
      </c>
      <c r="J537" s="1" t="n">
        <f aca="false">IF($A537="","",物件マスタ!S537)</f>
        <v>4900</v>
      </c>
      <c r="K537" s="1" t="n">
        <f aca="false">IF($A537="","",物件マスタ!U537)</f>
        <v>5850</v>
      </c>
      <c r="L537" s="1" t="n">
        <f aca="false">IF($A537="","",物件マスタ!W537)</f>
        <v>0.982</v>
      </c>
      <c r="M537" s="1" t="str">
        <f aca="false">IF($A537="","",IFERROR(INDEX(法人マスタ!$H:$H,MATCH($B537,法人マスタ!$A:$A,0)),""))</f>
        <v>2026年4月期（第23期）</v>
      </c>
      <c r="N537" s="1" t="n">
        <f aca="false">IF($A537="","",SUMIFS(物件収支!$D:$D,物件収支!$A:$A,$A537,物件収支!$C:$C,$M537))</f>
        <v>6</v>
      </c>
      <c r="O537" s="1" t="n">
        <f aca="false">IF($A537="","",SUMIFS(物件収支!$F:$F,物件収支!$A:$A,$A537,物件収支!$C:$C,$M537))</f>
        <v>130000</v>
      </c>
      <c r="P537" s="1" t="n">
        <f aca="false">IF($A537="","",SUMIFS(物件収支!$I:$I,物件収支!$A:$A,$A537,物件収支!$C:$C,$M537))</f>
        <v>0</v>
      </c>
      <c r="Q537" s="1" t="n">
        <f aca="false">IF($A537="","",SUMIFS(物件収支!$O:$O,物件収支!$A:$A,$A537,物件収支!$C:$C,$M537))</f>
        <v>0</v>
      </c>
      <c r="R537" s="1" t="str">
        <f aca="false">IF($A537="","",IF(P537=0,"",O537-P537))</f>
        <v/>
      </c>
      <c r="S537" s="1" t="str">
        <f aca="false">IF($A537="","",IF(R537="","",R537+Q537))</f>
        <v/>
      </c>
      <c r="T537" s="1" t="str">
        <f aca="false">IF($A537="","",IF(OR(S537="",N537&lt;=0),"",S537/1000*12/N537))</f>
        <v/>
      </c>
      <c r="U537" s="1" t="str">
        <f aca="false">IF($A537="","",IF(OR(T537="",J537=0,J537=""),"",T537/J537))</f>
        <v/>
      </c>
      <c r="V537" s="1" t="str">
        <f aca="false">IF($A537="","",IF(OR(R537="",N537&lt;=0,J537=0,J537=""),"",(R537/1000*12/N537)/J537))</f>
        <v/>
      </c>
      <c r="W537" s="1" t="str">
        <f aca="false">IF($A537="","",IF(OR(T537="",K537=0,K537=""),"",T537/K537))</f>
        <v/>
      </c>
      <c r="X537" s="1" t="n">
        <f aca="false">IF($A537="","",IF(OR(N537&lt;=0,I537=0,I537="",O537=0),"",O537*1000/(I537*0.3025)/N537))</f>
        <v>18254.2623281284</v>
      </c>
      <c r="Y537" s="1" t="str">
        <f aca="false">IF($A537="","",IF(OR(O537=0,O537="",P537=0),"",P537/O537))</f>
        <v/>
      </c>
      <c r="Z537" s="1" t="str">
        <f aca="false">IF($A537="","",IFERROR(INDEX(物件収支!$E:$E,MATCH($A537,物件収支!$A:$A,0)),""))</f>
        <v>開示（物件別・収益のみ・百万円単位）</v>
      </c>
    </row>
    <row r="538" customFormat="false" ht="16.5" hidden="false" customHeight="true" outlineLevel="0" collapsed="false">
      <c r="A538" s="1" t="str">
        <f aca="false">IF(物件マスタ!A538="","",物件マスタ!A538)</f>
        <v>SHR-088</v>
      </c>
      <c r="B538" s="1" t="str">
        <f aca="false">IF($A538="","",物件マスタ!B538)</f>
        <v>SHR</v>
      </c>
      <c r="C538" s="1" t="str">
        <f aca="false">IF($A538="","",IFERROR(INDEX(法人マスタ!$C:$C,MATCH($B538,法人マスタ!$A:$A,0)),""))</f>
        <v>積水ハウス・リート投資法人</v>
      </c>
      <c r="D538" s="1" t="str">
        <f aca="false">IF($A538="","",物件マスタ!C538)</f>
        <v>プライムメゾン市谷山伏町</v>
      </c>
      <c r="E538" s="1" t="str">
        <f aca="false">IF($A538="","",物件マスタ!H538)</f>
        <v>都心5区</v>
      </c>
      <c r="F538" s="53" t="n">
        <f aca="false">IF($A538="","",物件マスタ!P538)</f>
        <v>42278</v>
      </c>
      <c r="G538" s="1" t="n">
        <f aca="false">IF($A538="","",物件マスタ!Q538)</f>
        <v>10.9</v>
      </c>
      <c r="H538" s="1" t="n">
        <f aca="false">IF($A538="","",物件マスタ!L538)</f>
        <v>0</v>
      </c>
      <c r="I538" s="1" t="n">
        <f aca="false">IF($A538="","",物件マスタ!M538)</f>
        <v>4099.04</v>
      </c>
      <c r="J538" s="1" t="n">
        <f aca="false">IF($A538="","",物件マスタ!S538)</f>
        <v>4220</v>
      </c>
      <c r="K538" s="1" t="n">
        <f aca="false">IF($A538="","",物件マスタ!U538)</f>
        <v>4640</v>
      </c>
      <c r="L538" s="1" t="n">
        <f aca="false">IF($A538="","",物件マスタ!W538)</f>
        <v>0.955</v>
      </c>
      <c r="M538" s="1" t="str">
        <f aca="false">IF($A538="","",IFERROR(INDEX(法人マスタ!$H:$H,MATCH($B538,法人マスタ!$A:$A,0)),""))</f>
        <v>2026年4月期（第23期）</v>
      </c>
      <c r="N538" s="1" t="n">
        <f aca="false">IF($A538="","",SUMIFS(物件収支!$D:$D,物件収支!$A:$A,$A538,物件収支!$C:$C,$M538))</f>
        <v>6</v>
      </c>
      <c r="O538" s="1" t="n">
        <f aca="false">IF($A538="","",SUMIFS(物件収支!$F:$F,物件収支!$A:$A,$A538,物件収支!$C:$C,$M538))</f>
        <v>118000</v>
      </c>
      <c r="P538" s="1" t="n">
        <f aca="false">IF($A538="","",SUMIFS(物件収支!$I:$I,物件収支!$A:$A,$A538,物件収支!$C:$C,$M538))</f>
        <v>0</v>
      </c>
      <c r="Q538" s="1" t="n">
        <f aca="false">IF($A538="","",SUMIFS(物件収支!$O:$O,物件収支!$A:$A,$A538,物件収支!$C:$C,$M538))</f>
        <v>0</v>
      </c>
      <c r="R538" s="1" t="str">
        <f aca="false">IF($A538="","",IF(P538=0,"",O538-P538))</f>
        <v/>
      </c>
      <c r="S538" s="1" t="str">
        <f aca="false">IF($A538="","",IF(R538="","",R538+Q538))</f>
        <v/>
      </c>
      <c r="T538" s="1" t="str">
        <f aca="false">IF($A538="","",IF(OR(S538="",N538&lt;=0),"",S538/1000*12/N538))</f>
        <v/>
      </c>
      <c r="U538" s="1" t="str">
        <f aca="false">IF($A538="","",IF(OR(T538="",J538=0,J538=""),"",T538/J538))</f>
        <v/>
      </c>
      <c r="V538" s="1" t="str">
        <f aca="false">IF($A538="","",IF(OR(R538="",N538&lt;=0,J538=0,J538=""),"",(R538/1000*12/N538)/J538))</f>
        <v/>
      </c>
      <c r="W538" s="1" t="str">
        <f aca="false">IF($A538="","",IF(OR(T538="",K538=0,K538=""),"",T538/K538))</f>
        <v/>
      </c>
      <c r="X538" s="1" t="n">
        <f aca="false">IF($A538="","",IF(OR(N538&lt;=0,I538=0,I538="",O538=0),"",O538*1000/(I538*0.3025)/N538))</f>
        <v>15860.7318066384</v>
      </c>
      <c r="Y538" s="1" t="str">
        <f aca="false">IF($A538="","",IF(OR(O538=0,O538="",P538=0),"",P538/O538))</f>
        <v/>
      </c>
      <c r="Z538" s="1" t="str">
        <f aca="false">IF($A538="","",IFERROR(INDEX(物件収支!$E:$E,MATCH($A538,物件収支!$A:$A,0)),""))</f>
        <v>開示（物件別・収益のみ・百万円単位）</v>
      </c>
    </row>
    <row r="539" customFormat="false" ht="16.5" hidden="false" customHeight="true" outlineLevel="0" collapsed="false">
      <c r="A539" s="1" t="str">
        <f aca="false">IF(物件マスタ!A539="","",物件マスタ!A539)</f>
        <v>SHR-089</v>
      </c>
      <c r="B539" s="1" t="str">
        <f aca="false">IF($A539="","",物件マスタ!B539)</f>
        <v>SHR</v>
      </c>
      <c r="C539" s="1" t="str">
        <f aca="false">IF($A539="","",IFERROR(INDEX(法人マスタ!$C:$C,MATCH($B539,法人マスタ!$A:$A,0)),""))</f>
        <v>積水ハウス・リート投資法人</v>
      </c>
      <c r="D539" s="1" t="str">
        <f aca="false">IF($A539="","",物件マスタ!C539)</f>
        <v>エスティメゾン森下</v>
      </c>
      <c r="E539" s="1" t="str">
        <f aca="false">IF($A539="","",物件マスタ!H539)</f>
        <v>その他東京23区</v>
      </c>
      <c r="F539" s="53" t="n">
        <f aca="false">IF($A539="","",物件マスタ!P539)</f>
        <v>42767</v>
      </c>
      <c r="G539" s="1" t="n">
        <f aca="false">IF($A539="","",物件マスタ!Q539)</f>
        <v>9.5</v>
      </c>
      <c r="H539" s="1" t="n">
        <f aca="false">IF($A539="","",物件マスタ!L539)</f>
        <v>0</v>
      </c>
      <c r="I539" s="1" t="n">
        <f aca="false">IF($A539="","",物件マスタ!M539)</f>
        <v>748.92</v>
      </c>
      <c r="J539" s="1" t="n">
        <f aca="false">IF($A539="","",物件マスタ!S539)</f>
        <v>655</v>
      </c>
      <c r="K539" s="1" t="n">
        <f aca="false">IF($A539="","",物件マスタ!U539)</f>
        <v>758</v>
      </c>
      <c r="L539" s="1" t="n">
        <f aca="false">IF($A539="","",物件マスタ!W539)</f>
        <v>1</v>
      </c>
      <c r="M539" s="1" t="str">
        <f aca="false">IF($A539="","",IFERROR(INDEX(法人マスタ!$H:$H,MATCH($B539,法人マスタ!$A:$A,0)),""))</f>
        <v>2026年4月期（第23期）</v>
      </c>
      <c r="N539" s="1" t="n">
        <f aca="false">IF($A539="","",SUMIFS(物件収支!$D:$D,物件収支!$A:$A,$A539,物件収支!$C:$C,$M539))</f>
        <v>6</v>
      </c>
      <c r="O539" s="1" t="n">
        <f aca="false">IF($A539="","",SUMIFS(物件収支!$F:$F,物件収支!$A:$A,$A539,物件収支!$C:$C,$M539))</f>
        <v>20000</v>
      </c>
      <c r="P539" s="1" t="n">
        <f aca="false">IF($A539="","",SUMIFS(物件収支!$I:$I,物件収支!$A:$A,$A539,物件収支!$C:$C,$M539))</f>
        <v>0</v>
      </c>
      <c r="Q539" s="1" t="n">
        <f aca="false">IF($A539="","",SUMIFS(物件収支!$O:$O,物件収支!$A:$A,$A539,物件収支!$C:$C,$M539))</f>
        <v>0</v>
      </c>
      <c r="R539" s="1" t="str">
        <f aca="false">IF($A539="","",IF(P539=0,"",O539-P539))</f>
        <v/>
      </c>
      <c r="S539" s="1" t="str">
        <f aca="false">IF($A539="","",IF(R539="","",R539+Q539))</f>
        <v/>
      </c>
      <c r="T539" s="1" t="str">
        <f aca="false">IF($A539="","",IF(OR(S539="",N539&lt;=0),"",S539/1000*12/N539))</f>
        <v/>
      </c>
      <c r="U539" s="1" t="str">
        <f aca="false">IF($A539="","",IF(OR(T539="",J539=0,J539=""),"",T539/J539))</f>
        <v/>
      </c>
      <c r="V539" s="1" t="str">
        <f aca="false">IF($A539="","",IF(OR(R539="",N539&lt;=0,J539=0,J539=""),"",(R539/1000*12/N539)/J539))</f>
        <v/>
      </c>
      <c r="W539" s="1" t="str">
        <f aca="false">IF($A539="","",IF(OR(T539="",K539=0,K539=""),"",T539/K539))</f>
        <v/>
      </c>
      <c r="X539" s="1" t="n">
        <f aca="false">IF($A539="","",IF(OR(N539&lt;=0,I539=0,I539="",O539=0),"",O539*1000/(I539*0.3025)/N539))</f>
        <v>14713.5658635855</v>
      </c>
      <c r="Y539" s="1" t="str">
        <f aca="false">IF($A539="","",IF(OR(O539=0,O539="",P539=0),"",P539/O539))</f>
        <v/>
      </c>
      <c r="Z539" s="1" t="str">
        <f aca="false">IF($A539="","",IFERROR(INDEX(物件収支!$E:$E,MATCH($A539,物件収支!$A:$A,0)),""))</f>
        <v>開示（物件別・収益のみ・百万円単位）</v>
      </c>
    </row>
    <row r="540" customFormat="false" ht="16.5" hidden="false" customHeight="true" outlineLevel="0" collapsed="false">
      <c r="A540" s="1" t="str">
        <f aca="false">IF(物件マスタ!A540="","",物件マスタ!A540)</f>
        <v>SHR-090</v>
      </c>
      <c r="B540" s="1" t="str">
        <f aca="false">IF($A540="","",物件マスタ!B540)</f>
        <v>SHR</v>
      </c>
      <c r="C540" s="1" t="str">
        <f aca="false">IF($A540="","",IFERROR(INDEX(法人マスタ!$C:$C,MATCH($B540,法人マスタ!$A:$A,0)),""))</f>
        <v>積水ハウス・リート投資法人</v>
      </c>
      <c r="D540" s="1" t="str">
        <f aca="false">IF($A540="","",物件マスタ!C540)</f>
        <v>プライムメゾン白金台タワー</v>
      </c>
      <c r="E540" s="1" t="str">
        <f aca="false">IF($A540="","",物件マスタ!H540)</f>
        <v>その他東京23区</v>
      </c>
      <c r="F540" s="53" t="n">
        <f aca="false">IF($A540="","",物件マスタ!P540)</f>
        <v>42491</v>
      </c>
      <c r="G540" s="1" t="n">
        <f aca="false">IF($A540="","",物件マスタ!Q540)</f>
        <v>10.3</v>
      </c>
      <c r="H540" s="1" t="n">
        <f aca="false">IF($A540="","",物件マスタ!L540)</f>
        <v>0</v>
      </c>
      <c r="I540" s="1" t="n">
        <f aca="false">IF($A540="","",物件マスタ!M540)</f>
        <v>6772.89</v>
      </c>
      <c r="J540" s="1" t="n">
        <f aca="false">IF($A540="","",物件マスタ!S540)</f>
        <v>7950</v>
      </c>
      <c r="K540" s="1" t="n">
        <f aca="false">IF($A540="","",物件マスタ!U540)</f>
        <v>11900</v>
      </c>
      <c r="L540" s="1" t="n">
        <f aca="false">IF($A540="","",物件マスタ!W540)</f>
        <v>0.951</v>
      </c>
      <c r="M540" s="1" t="str">
        <f aca="false">IF($A540="","",IFERROR(INDEX(法人マスタ!$H:$H,MATCH($B540,法人マスタ!$A:$A,0)),""))</f>
        <v>2026年4月期（第23期）</v>
      </c>
      <c r="N540" s="1" t="n">
        <f aca="false">IF($A540="","",SUMIFS(物件収支!$D:$D,物件収支!$A:$A,$A540,物件収支!$C:$C,$M540))</f>
        <v>6</v>
      </c>
      <c r="O540" s="1" t="n">
        <f aca="false">IF($A540="","",SUMIFS(物件収支!$F:$F,物件収支!$A:$A,$A540,物件収支!$C:$C,$M540))</f>
        <v>239000</v>
      </c>
      <c r="P540" s="1" t="n">
        <f aca="false">IF($A540="","",SUMIFS(物件収支!$I:$I,物件収支!$A:$A,$A540,物件収支!$C:$C,$M540))</f>
        <v>0</v>
      </c>
      <c r="Q540" s="1" t="n">
        <f aca="false">IF($A540="","",SUMIFS(物件収支!$O:$O,物件収支!$A:$A,$A540,物件収支!$C:$C,$M540))</f>
        <v>0</v>
      </c>
      <c r="R540" s="1" t="str">
        <f aca="false">IF($A540="","",IF(P540=0,"",O540-P540))</f>
        <v/>
      </c>
      <c r="S540" s="1" t="str">
        <f aca="false">IF($A540="","",IF(R540="","",R540+Q540))</f>
        <v/>
      </c>
      <c r="T540" s="1" t="str">
        <f aca="false">IF($A540="","",IF(OR(S540="",N540&lt;=0),"",S540/1000*12/N540))</f>
        <v/>
      </c>
      <c r="U540" s="1" t="str">
        <f aca="false">IF($A540="","",IF(OR(T540="",J540=0,J540=""),"",T540/J540))</f>
        <v/>
      </c>
      <c r="V540" s="1" t="str">
        <f aca="false">IF($A540="","",IF(OR(R540="",N540&lt;=0,J540=0,J540=""),"",(R540/1000*12/N540)/J540))</f>
        <v/>
      </c>
      <c r="W540" s="1" t="str">
        <f aca="false">IF($A540="","",IF(OR(T540="",K540=0,K540=""),"",T540/K540))</f>
        <v/>
      </c>
      <c r="X540" s="1" t="n">
        <f aca="false">IF($A540="","",IF(OR(N540&lt;=0,I540=0,I540="",O540=0),"",O540*1000/(I540*0.3025)/N540))</f>
        <v>19442.2825073713</v>
      </c>
      <c r="Y540" s="1" t="str">
        <f aca="false">IF($A540="","",IF(OR(O540=0,O540="",P540=0),"",P540/O540))</f>
        <v/>
      </c>
      <c r="Z540" s="1" t="str">
        <f aca="false">IF($A540="","",IFERROR(INDEX(物件収支!$E:$E,MATCH($A540,物件収支!$A:$A,0)),""))</f>
        <v>開示（物件別・収益のみ・百万円単位）</v>
      </c>
    </row>
    <row r="541" customFormat="false" ht="16.5" hidden="false" customHeight="true" outlineLevel="0" collapsed="false">
      <c r="A541" s="1" t="str">
        <f aca="false">IF(物件マスタ!A541="","",物件マスタ!A541)</f>
        <v>SHR-091</v>
      </c>
      <c r="B541" s="1" t="str">
        <f aca="false">IF($A541="","",物件マスタ!B541)</f>
        <v>SHR</v>
      </c>
      <c r="C541" s="1" t="str">
        <f aca="false">IF($A541="","",IFERROR(INDEX(法人マスタ!$C:$C,MATCH($B541,法人マスタ!$A:$A,0)),""))</f>
        <v>積水ハウス・リート投資法人</v>
      </c>
      <c r="D541" s="1" t="str">
        <f aca="false">IF($A541="","",物件マスタ!C541)</f>
        <v>プライムメゾン大塚</v>
      </c>
      <c r="E541" s="1" t="str">
        <f aca="false">IF($A541="","",物件マスタ!H541)</f>
        <v>その他東京23区</v>
      </c>
      <c r="F541" s="53" t="n">
        <f aca="false">IF($A541="","",物件マスタ!P541)</f>
        <v>42736</v>
      </c>
      <c r="G541" s="1" t="n">
        <f aca="false">IF($A541="","",物件マスタ!Q541)</f>
        <v>9.6</v>
      </c>
      <c r="H541" s="1" t="n">
        <f aca="false">IF($A541="","",物件マスタ!L541)</f>
        <v>0</v>
      </c>
      <c r="I541" s="1" t="n">
        <f aca="false">IF($A541="","",物件マスタ!M541)</f>
        <v>3921.35</v>
      </c>
      <c r="J541" s="1" t="n">
        <f aca="false">IF($A541="","",物件マスタ!S541)</f>
        <v>3700</v>
      </c>
      <c r="K541" s="1" t="n">
        <f aca="false">IF($A541="","",物件マスタ!U541)</f>
        <v>5000</v>
      </c>
      <c r="L541" s="1" t="n">
        <f aca="false">IF($A541="","",物件マスタ!W541)</f>
        <v>0.98</v>
      </c>
      <c r="M541" s="1" t="str">
        <f aca="false">IF($A541="","",IFERROR(INDEX(法人マスタ!$H:$H,MATCH($B541,法人マスタ!$A:$A,0)),""))</f>
        <v>2026年4月期（第23期）</v>
      </c>
      <c r="N541" s="1" t="n">
        <f aca="false">IF($A541="","",SUMIFS(物件収支!$D:$D,物件収支!$A:$A,$A541,物件収支!$C:$C,$M541))</f>
        <v>6</v>
      </c>
      <c r="O541" s="1" t="n">
        <f aca="false">IF($A541="","",SUMIFS(物件収支!$F:$F,物件収支!$A:$A,$A541,物件収支!$C:$C,$M541))</f>
        <v>122000</v>
      </c>
      <c r="P541" s="1" t="n">
        <f aca="false">IF($A541="","",SUMIFS(物件収支!$I:$I,物件収支!$A:$A,$A541,物件収支!$C:$C,$M541))</f>
        <v>0</v>
      </c>
      <c r="Q541" s="1" t="n">
        <f aca="false">IF($A541="","",SUMIFS(物件収支!$O:$O,物件収支!$A:$A,$A541,物件収支!$C:$C,$M541))</f>
        <v>0</v>
      </c>
      <c r="R541" s="1" t="str">
        <f aca="false">IF($A541="","",IF(P541=0,"",O541-P541))</f>
        <v/>
      </c>
      <c r="S541" s="1" t="str">
        <f aca="false">IF($A541="","",IF(R541="","",R541+Q541))</f>
        <v/>
      </c>
      <c r="T541" s="1" t="str">
        <f aca="false">IF($A541="","",IF(OR(S541="",N541&lt;=0),"",S541/1000*12/N541))</f>
        <v/>
      </c>
      <c r="U541" s="1" t="str">
        <f aca="false">IF($A541="","",IF(OR(T541="",J541=0,J541=""),"",T541/J541))</f>
        <v/>
      </c>
      <c r="V541" s="1" t="str">
        <f aca="false">IF($A541="","",IF(OR(R541="",N541&lt;=0,J541=0,J541=""),"",(R541/1000*12/N541)/J541))</f>
        <v/>
      </c>
      <c r="W541" s="1" t="str">
        <f aca="false">IF($A541="","",IF(OR(T541="",K541=0,K541=""),"",T541/K541))</f>
        <v/>
      </c>
      <c r="X541" s="1" t="n">
        <f aca="false">IF($A541="","",IF(OR(N541&lt;=0,I541=0,I541="",O541=0),"",O541*1000/(I541*0.3025)/N541))</f>
        <v>17141.4515036899</v>
      </c>
      <c r="Y541" s="1" t="str">
        <f aca="false">IF($A541="","",IF(OR(O541=0,O541="",P541=0),"",P541/O541))</f>
        <v/>
      </c>
      <c r="Z541" s="1" t="str">
        <f aca="false">IF($A541="","",IFERROR(INDEX(物件収支!$E:$E,MATCH($A541,物件収支!$A:$A,0)),""))</f>
        <v>開示（物件別・収益のみ・百万円単位）</v>
      </c>
    </row>
    <row r="542" customFormat="false" ht="16.5" hidden="false" customHeight="true" outlineLevel="0" collapsed="false">
      <c r="A542" s="1" t="str">
        <f aca="false">IF(物件マスタ!A542="","",物件マスタ!A542)</f>
        <v>SHR-092</v>
      </c>
      <c r="B542" s="1" t="str">
        <f aca="false">IF($A542="","",物件マスタ!B542)</f>
        <v>SHR</v>
      </c>
      <c r="C542" s="1" t="str">
        <f aca="false">IF($A542="","",IFERROR(INDEX(法人マスタ!$C:$C,MATCH($B542,法人マスタ!$A:$A,0)),""))</f>
        <v>積水ハウス・リート投資法人</v>
      </c>
      <c r="D542" s="1" t="str">
        <f aca="false">IF($A542="","",物件マスタ!C542)</f>
        <v>プライムメゾン浅草橋</v>
      </c>
      <c r="E542" s="1" t="str">
        <f aca="false">IF($A542="","",物件マスタ!H542)</f>
        <v>その他東京23区</v>
      </c>
      <c r="F542" s="53" t="n">
        <f aca="false">IF($A542="","",物件マスタ!P542)</f>
        <v>42644</v>
      </c>
      <c r="G542" s="1" t="n">
        <f aca="false">IF($A542="","",物件マスタ!Q542)</f>
        <v>9.9</v>
      </c>
      <c r="H542" s="1" t="n">
        <f aca="false">IF($A542="","",物件マスタ!L542)</f>
        <v>0</v>
      </c>
      <c r="I542" s="1" t="n">
        <f aca="false">IF($A542="","",物件マスタ!M542)</f>
        <v>2033.06</v>
      </c>
      <c r="J542" s="1" t="n">
        <f aca="false">IF($A542="","",物件マスタ!S542)</f>
        <v>1680</v>
      </c>
      <c r="K542" s="1" t="n">
        <f aca="false">IF($A542="","",物件マスタ!U542)</f>
        <v>2240</v>
      </c>
      <c r="L542" s="1" t="n">
        <f aca="false">IF($A542="","",物件マスタ!W542)</f>
        <v>0.96</v>
      </c>
      <c r="M542" s="1" t="str">
        <f aca="false">IF($A542="","",IFERROR(INDEX(法人マスタ!$H:$H,MATCH($B542,法人マスタ!$A:$A,0)),""))</f>
        <v>2026年4月期（第23期）</v>
      </c>
      <c r="N542" s="1" t="n">
        <f aca="false">IF($A542="","",SUMIFS(物件収支!$D:$D,物件収支!$A:$A,$A542,物件収支!$C:$C,$M542))</f>
        <v>6</v>
      </c>
      <c r="O542" s="1" t="n">
        <f aca="false">IF($A542="","",SUMIFS(物件収支!$F:$F,物件収支!$A:$A,$A542,物件収支!$C:$C,$M542))</f>
        <v>55000</v>
      </c>
      <c r="P542" s="1" t="n">
        <f aca="false">IF($A542="","",SUMIFS(物件収支!$I:$I,物件収支!$A:$A,$A542,物件収支!$C:$C,$M542))</f>
        <v>0</v>
      </c>
      <c r="Q542" s="1" t="n">
        <f aca="false">IF($A542="","",SUMIFS(物件収支!$O:$O,物件収支!$A:$A,$A542,物件収支!$C:$C,$M542))</f>
        <v>0</v>
      </c>
      <c r="R542" s="1" t="str">
        <f aca="false">IF($A542="","",IF(P542=0,"",O542-P542))</f>
        <v/>
      </c>
      <c r="S542" s="1" t="str">
        <f aca="false">IF($A542="","",IF(R542="","",R542+Q542))</f>
        <v/>
      </c>
      <c r="T542" s="1" t="str">
        <f aca="false">IF($A542="","",IF(OR(S542="",N542&lt;=0),"",S542/1000*12/N542))</f>
        <v/>
      </c>
      <c r="U542" s="1" t="str">
        <f aca="false">IF($A542="","",IF(OR(T542="",J542=0,J542=""),"",T542/J542))</f>
        <v/>
      </c>
      <c r="V542" s="1" t="str">
        <f aca="false">IF($A542="","",IF(OR(R542="",N542&lt;=0,J542=0,J542=""),"",(R542/1000*12/N542)/J542))</f>
        <v/>
      </c>
      <c r="W542" s="1" t="str">
        <f aca="false">IF($A542="","",IF(OR(T542="",K542=0,K542=""),"",T542/K542))</f>
        <v/>
      </c>
      <c r="X542" s="1" t="n">
        <f aca="false">IF($A542="","",IF(OR(N542&lt;=0,I542=0,I542="",O542=0),"",O542*1000/(I542*0.3025)/N542))</f>
        <v>14905.1332980976</v>
      </c>
      <c r="Y542" s="1" t="str">
        <f aca="false">IF($A542="","",IF(OR(O542=0,O542="",P542=0),"",P542/O542))</f>
        <v/>
      </c>
      <c r="Z542" s="1" t="str">
        <f aca="false">IF($A542="","",IFERROR(INDEX(物件収支!$E:$E,MATCH($A542,物件収支!$A:$A,0)),""))</f>
        <v>開示（物件別・収益のみ・百万円単位）</v>
      </c>
    </row>
    <row r="543" customFormat="false" ht="16.5" hidden="false" customHeight="true" outlineLevel="0" collapsed="false">
      <c r="A543" s="1" t="str">
        <f aca="false">IF(物件マスタ!A543="","",物件マスタ!A543)</f>
        <v>SHR-093</v>
      </c>
      <c r="B543" s="1" t="str">
        <f aca="false">IF($A543="","",物件マスタ!B543)</f>
        <v>SHR</v>
      </c>
      <c r="C543" s="1" t="str">
        <f aca="false">IF($A543="","",IFERROR(INDEX(法人マスタ!$C:$C,MATCH($B543,法人マスタ!$A:$A,0)),""))</f>
        <v>積水ハウス・リート投資法人</v>
      </c>
      <c r="D543" s="1" t="str">
        <f aca="false">IF($A543="","",物件マスタ!C543)</f>
        <v>プライムメゾン代官山</v>
      </c>
      <c r="E543" s="1" t="str">
        <f aca="false">IF($A543="","",物件マスタ!H543)</f>
        <v>その他東京23区</v>
      </c>
      <c r="F543" s="53" t="n">
        <f aca="false">IF($A543="","",物件マスタ!P543)</f>
        <v>42736</v>
      </c>
      <c r="G543" s="1" t="n">
        <f aca="false">IF($A543="","",物件マスタ!Q543)</f>
        <v>9.6</v>
      </c>
      <c r="H543" s="1" t="n">
        <f aca="false">IF($A543="","",物件マスタ!L543)</f>
        <v>0</v>
      </c>
      <c r="I543" s="1" t="n">
        <f aca="false">IF($A543="","",物件マスタ!M543)</f>
        <v>1779.17</v>
      </c>
      <c r="J543" s="1" t="n">
        <f aca="false">IF($A543="","",物件マスタ!S543)</f>
        <v>2520</v>
      </c>
      <c r="K543" s="1" t="n">
        <f aca="false">IF($A543="","",物件マスタ!U543)</f>
        <v>3570</v>
      </c>
      <c r="L543" s="1" t="n">
        <f aca="false">IF($A543="","",物件マスタ!W543)</f>
        <v>1</v>
      </c>
      <c r="M543" s="1" t="str">
        <f aca="false">IF($A543="","",IFERROR(INDEX(法人マスタ!$H:$H,MATCH($B543,法人マスタ!$A:$A,0)),""))</f>
        <v>2026年4月期（第23期）</v>
      </c>
      <c r="N543" s="1" t="n">
        <f aca="false">IF($A543="","",SUMIFS(物件収支!$D:$D,物件収支!$A:$A,$A543,物件収支!$C:$C,$M543))</f>
        <v>6</v>
      </c>
      <c r="O543" s="1" t="n">
        <f aca="false">IF($A543="","",SUMIFS(物件収支!$F:$F,物件収支!$A:$A,$A543,物件収支!$C:$C,$M543))</f>
        <v>78000</v>
      </c>
      <c r="P543" s="1" t="n">
        <f aca="false">IF($A543="","",SUMIFS(物件収支!$I:$I,物件収支!$A:$A,$A543,物件収支!$C:$C,$M543))</f>
        <v>0</v>
      </c>
      <c r="Q543" s="1" t="n">
        <f aca="false">IF($A543="","",SUMIFS(物件収支!$O:$O,物件収支!$A:$A,$A543,物件収支!$C:$C,$M543))</f>
        <v>0</v>
      </c>
      <c r="R543" s="1" t="str">
        <f aca="false">IF($A543="","",IF(P543=0,"",O543-P543))</f>
        <v/>
      </c>
      <c r="S543" s="1" t="str">
        <f aca="false">IF($A543="","",IF(R543="","",R543+Q543))</f>
        <v/>
      </c>
      <c r="T543" s="1" t="str">
        <f aca="false">IF($A543="","",IF(OR(S543="",N543&lt;=0),"",S543/1000*12/N543))</f>
        <v/>
      </c>
      <c r="U543" s="1" t="str">
        <f aca="false">IF($A543="","",IF(OR(T543="",J543=0,J543=""),"",T543/J543))</f>
        <v/>
      </c>
      <c r="V543" s="1" t="str">
        <f aca="false">IF($A543="","",IF(OR(R543="",N543&lt;=0,J543=0,J543=""),"",(R543/1000*12/N543)/J543))</f>
        <v/>
      </c>
      <c r="W543" s="1" t="str">
        <f aca="false">IF($A543="","",IF(OR(T543="",K543=0,K543=""),"",T543/K543))</f>
        <v/>
      </c>
      <c r="X543" s="1" t="n">
        <f aca="false">IF($A543="","",IF(OR(N543&lt;=0,I543=0,I543="",O543=0),"",O543*1000/(I543*0.3025)/N543))</f>
        <v>24154.6376184233</v>
      </c>
      <c r="Y543" s="1" t="str">
        <f aca="false">IF($A543="","",IF(OR(O543=0,O543="",P543=0),"",P543/O543))</f>
        <v/>
      </c>
      <c r="Z543" s="1" t="str">
        <f aca="false">IF($A543="","",IFERROR(INDEX(物件収支!$E:$E,MATCH($A543,物件収支!$A:$A,0)),""))</f>
        <v>開示（物件別・収益のみ・百万円単位）</v>
      </c>
    </row>
    <row r="544" customFormat="false" ht="16.5" hidden="false" customHeight="true" outlineLevel="0" collapsed="false">
      <c r="A544" s="1" t="str">
        <f aca="false">IF(物件マスタ!A544="","",物件マスタ!A544)</f>
        <v>SHR-094</v>
      </c>
      <c r="B544" s="1" t="str">
        <f aca="false">IF($A544="","",物件マスタ!B544)</f>
        <v>SHR</v>
      </c>
      <c r="C544" s="1" t="str">
        <f aca="false">IF($A544="","",IFERROR(INDEX(法人マスタ!$C:$C,MATCH($B544,法人マスタ!$A:$A,0)),""))</f>
        <v>積水ハウス・リート投資法人</v>
      </c>
      <c r="D544" s="1" t="str">
        <f aca="false">IF($A544="","",物件マスタ!C544)</f>
        <v>プライムメゾン御殿山ウエスト</v>
      </c>
      <c r="E544" s="1" t="str">
        <f aca="false">IF($A544="","",物件マスタ!H544)</f>
        <v>その他東京23区</v>
      </c>
      <c r="F544" s="53" t="n">
        <f aca="false">IF($A544="","",物件マスタ!P544)</f>
        <v>40544</v>
      </c>
      <c r="G544" s="1" t="n">
        <f aca="false">IF($A544="","",物件マスタ!Q544)</f>
        <v>15.6</v>
      </c>
      <c r="H544" s="1" t="n">
        <f aca="false">IF($A544="","",物件マスタ!L544)</f>
        <v>0</v>
      </c>
      <c r="I544" s="1" t="n">
        <f aca="false">IF($A544="","",物件マスタ!M544)</f>
        <v>3569.73</v>
      </c>
      <c r="J544" s="1" t="n">
        <f aca="false">IF($A544="","",物件マスタ!S544)</f>
        <v>3400</v>
      </c>
      <c r="K544" s="1" t="n">
        <f aca="false">IF($A544="","",物件マスタ!U544)</f>
        <v>5690</v>
      </c>
      <c r="L544" s="1" t="n">
        <f aca="false">IF($A544="","",物件マスタ!W544)</f>
        <v>0.891</v>
      </c>
      <c r="M544" s="1" t="str">
        <f aca="false">IF($A544="","",IFERROR(INDEX(法人マスタ!$H:$H,MATCH($B544,法人マスタ!$A:$A,0)),""))</f>
        <v>2026年4月期（第23期）</v>
      </c>
      <c r="N544" s="1" t="n">
        <f aca="false">IF($A544="","",SUMIFS(物件収支!$D:$D,物件収支!$A:$A,$A544,物件収支!$C:$C,$M544))</f>
        <v>6</v>
      </c>
      <c r="O544" s="1" t="n">
        <f aca="false">IF($A544="","",SUMIFS(物件収支!$F:$F,物件収支!$A:$A,$A544,物件収支!$C:$C,$M544))</f>
        <v>134000</v>
      </c>
      <c r="P544" s="1" t="n">
        <f aca="false">IF($A544="","",SUMIFS(物件収支!$I:$I,物件収支!$A:$A,$A544,物件収支!$C:$C,$M544))</f>
        <v>0</v>
      </c>
      <c r="Q544" s="1" t="n">
        <f aca="false">IF($A544="","",SUMIFS(物件収支!$O:$O,物件収支!$A:$A,$A544,物件収支!$C:$C,$M544))</f>
        <v>0</v>
      </c>
      <c r="R544" s="1" t="str">
        <f aca="false">IF($A544="","",IF(P544=0,"",O544-P544))</f>
        <v/>
      </c>
      <c r="S544" s="1" t="str">
        <f aca="false">IF($A544="","",IF(R544="","",R544+Q544))</f>
        <v/>
      </c>
      <c r="T544" s="1" t="str">
        <f aca="false">IF($A544="","",IF(OR(S544="",N544&lt;=0),"",S544/1000*12/N544))</f>
        <v/>
      </c>
      <c r="U544" s="1" t="str">
        <f aca="false">IF($A544="","",IF(OR(T544="",J544=0,J544=""),"",T544/J544))</f>
        <v/>
      </c>
      <c r="V544" s="1" t="str">
        <f aca="false">IF($A544="","",IF(OR(R544="",N544&lt;=0,J544=0,J544=""),"",(R544/1000*12/N544)/J544))</f>
        <v/>
      </c>
      <c r="W544" s="1" t="str">
        <f aca="false">IF($A544="","",IF(OR(T544="",K544=0,K544=""),"",T544/K544))</f>
        <v/>
      </c>
      <c r="X544" s="1" t="n">
        <f aca="false">IF($A544="","",IF(OR(N544&lt;=0,I544=0,I544="",O544=0),"",O544*1000/(I544*0.3025)/N544))</f>
        <v>20682.0126737676</v>
      </c>
      <c r="Y544" s="1" t="str">
        <f aca="false">IF($A544="","",IF(OR(O544=0,O544="",P544=0),"",P544/O544))</f>
        <v/>
      </c>
      <c r="Z544" s="1" t="str">
        <f aca="false">IF($A544="","",IFERROR(INDEX(物件収支!$E:$E,MATCH($A544,物件収支!$A:$A,0)),""))</f>
        <v>開示（物件別・収益のみ・百万円単位）</v>
      </c>
    </row>
    <row r="545" customFormat="false" ht="16.5" hidden="false" customHeight="true" outlineLevel="0" collapsed="false">
      <c r="A545" s="1" t="str">
        <f aca="false">IF(物件マスタ!A545="","",物件マスタ!A545)</f>
        <v>SHR-095</v>
      </c>
      <c r="B545" s="1" t="str">
        <f aca="false">IF($A545="","",物件マスタ!B545)</f>
        <v>SHR</v>
      </c>
      <c r="C545" s="1" t="str">
        <f aca="false">IF($A545="","",IFERROR(INDEX(法人マスタ!$C:$C,MATCH($B545,法人マスタ!$A:$A,0)),""))</f>
        <v>積水ハウス・リート投資法人</v>
      </c>
      <c r="D545" s="1" t="str">
        <f aca="false">IF($A545="","",物件マスタ!C545)</f>
        <v>エスティメゾン豊洲レジデンス</v>
      </c>
      <c r="E545" s="1" t="str">
        <f aca="false">IF($A545="","",物件マスタ!H545)</f>
        <v>その他東京23区</v>
      </c>
      <c r="F545" s="53" t="n">
        <f aca="false">IF($A545="","",物件マスタ!P545)</f>
        <v>39479</v>
      </c>
      <c r="G545" s="1" t="n">
        <f aca="false">IF($A545="","",物件マスタ!Q545)</f>
        <v>18.5</v>
      </c>
      <c r="H545" s="1" t="n">
        <f aca="false">IF($A545="","",物件マスタ!L545)</f>
        <v>0</v>
      </c>
      <c r="I545" s="1" t="n">
        <f aca="false">IF($A545="","",物件マスタ!M545)</f>
        <v>23538.73</v>
      </c>
      <c r="J545" s="1" t="n">
        <f aca="false">IF($A545="","",物件マスタ!S545)</f>
        <v>6050</v>
      </c>
      <c r="K545" s="1" t="n">
        <f aca="false">IF($A545="","",物件マスタ!U545)</f>
        <v>8060</v>
      </c>
      <c r="L545" s="1" t="n">
        <f aca="false">IF($A545="","",物件マスタ!W545)</f>
        <v>0.928</v>
      </c>
      <c r="M545" s="1" t="str">
        <f aca="false">IF($A545="","",IFERROR(INDEX(法人マスタ!$H:$H,MATCH($B545,法人マスタ!$A:$A,0)),""))</f>
        <v>2026年4月期（第23期）</v>
      </c>
      <c r="N545" s="1" t="n">
        <f aca="false">IF($A545="","",SUMIFS(物件収支!$D:$D,物件収支!$A:$A,$A545,物件収支!$C:$C,$M545))</f>
        <v>6</v>
      </c>
      <c r="O545" s="1" t="n">
        <f aca="false">IF($A545="","",SUMIFS(物件収支!$F:$F,物件収支!$A:$A,$A545,物件収支!$C:$C,$M545))</f>
        <v>504000</v>
      </c>
      <c r="P545" s="1" t="n">
        <f aca="false">IF($A545="","",SUMIFS(物件収支!$I:$I,物件収支!$A:$A,$A545,物件収支!$C:$C,$M545))</f>
        <v>0</v>
      </c>
      <c r="Q545" s="1" t="n">
        <f aca="false">IF($A545="","",SUMIFS(物件収支!$O:$O,物件収支!$A:$A,$A545,物件収支!$C:$C,$M545))</f>
        <v>0</v>
      </c>
      <c r="R545" s="1" t="str">
        <f aca="false">IF($A545="","",IF(P545=0,"",O545-P545))</f>
        <v/>
      </c>
      <c r="S545" s="1" t="str">
        <f aca="false">IF($A545="","",IF(R545="","",R545+Q545))</f>
        <v/>
      </c>
      <c r="T545" s="1" t="str">
        <f aca="false">IF($A545="","",IF(OR(S545="",N545&lt;=0),"",S545/1000*12/N545))</f>
        <v/>
      </c>
      <c r="U545" s="1" t="str">
        <f aca="false">IF($A545="","",IF(OR(T545="",J545=0,J545=""),"",T545/J545))</f>
        <v/>
      </c>
      <c r="V545" s="1" t="str">
        <f aca="false">IF($A545="","",IF(OR(R545="",N545&lt;=0,J545=0,J545=""),"",(R545/1000*12/N545)/J545))</f>
        <v/>
      </c>
      <c r="W545" s="1" t="str">
        <f aca="false">IF($A545="","",IF(OR(T545="",K545=0,K545=""),"",T545/K545))</f>
        <v/>
      </c>
      <c r="X545" s="1" t="n">
        <f aca="false">IF($A545="","",IF(OR(N545&lt;=0,I545=0,I545="",O545=0),"",O545*1000/(I545*0.3025)/N545))</f>
        <v>11796.9809931642</v>
      </c>
      <c r="Y545" s="1" t="str">
        <f aca="false">IF($A545="","",IF(OR(O545=0,O545="",P545=0),"",P545/O545))</f>
        <v/>
      </c>
      <c r="Z545" s="1" t="str">
        <f aca="false">IF($A545="","",IFERROR(INDEX(物件収支!$E:$E,MATCH($A545,物件収支!$A:$A,0)),""))</f>
        <v>開示（物件別・収益のみ・百万円単位）</v>
      </c>
    </row>
    <row r="546" customFormat="false" ht="16.5" hidden="false" customHeight="true" outlineLevel="0" collapsed="false">
      <c r="A546" s="1" t="str">
        <f aca="false">IF(物件マスタ!A546="","",物件マスタ!A546)</f>
        <v>SHR-096</v>
      </c>
      <c r="B546" s="1" t="str">
        <f aca="false">IF($A546="","",物件マスタ!B546)</f>
        <v>SHR</v>
      </c>
      <c r="C546" s="1" t="str">
        <f aca="false">IF($A546="","",IFERROR(INDEX(法人マスタ!$C:$C,MATCH($B546,法人マスタ!$A:$A,0)),""))</f>
        <v>積水ハウス・リート投資法人</v>
      </c>
      <c r="D546" s="1" t="str">
        <f aca="false">IF($A546="","",物件マスタ!C546)</f>
        <v>エスティメゾン井尻</v>
      </c>
      <c r="E546" s="1" t="str">
        <f aca="false">IF($A546="","",物件マスタ!H546)</f>
        <v>3大都市圏以外の政令市</v>
      </c>
      <c r="F546" s="53" t="n">
        <f aca="false">IF($A546="","",物件マスタ!P546)</f>
        <v>39448</v>
      </c>
      <c r="G546" s="1" t="n">
        <f aca="false">IF($A546="","",物件マスタ!Q546)</f>
        <v>18.6</v>
      </c>
      <c r="H546" s="1" t="n">
        <f aca="false">IF($A546="","",物件マスタ!L546)</f>
        <v>0</v>
      </c>
      <c r="I546" s="1" t="n">
        <f aca="false">IF($A546="","",物件マスタ!M546)</f>
        <v>1430.6</v>
      </c>
      <c r="J546" s="1" t="n">
        <f aca="false">IF($A546="","",物件マスタ!S546)</f>
        <v>390</v>
      </c>
      <c r="K546" s="1" t="n">
        <f aca="false">IF($A546="","",物件マスタ!U546)</f>
        <v>455</v>
      </c>
      <c r="L546" s="1" t="n">
        <f aca="false">IF($A546="","",物件マスタ!W546)</f>
        <v>1</v>
      </c>
      <c r="M546" s="1" t="str">
        <f aca="false">IF($A546="","",IFERROR(INDEX(法人マスタ!$H:$H,MATCH($B546,法人マスタ!$A:$A,0)),""))</f>
        <v>2026年4月期（第23期）</v>
      </c>
      <c r="N546" s="1" t="n">
        <f aca="false">IF($A546="","",SUMIFS(物件収支!$D:$D,物件収支!$A:$A,$A546,物件収支!$C:$C,$M546))</f>
        <v>6</v>
      </c>
      <c r="O546" s="1" t="n">
        <f aca="false">IF($A546="","",SUMIFS(物件収支!$F:$F,物件収支!$A:$A,$A546,物件収支!$C:$C,$M546))</f>
        <v>13000</v>
      </c>
      <c r="P546" s="1" t="n">
        <f aca="false">IF($A546="","",SUMIFS(物件収支!$I:$I,物件収支!$A:$A,$A546,物件収支!$C:$C,$M546))</f>
        <v>0</v>
      </c>
      <c r="Q546" s="1" t="n">
        <f aca="false">IF($A546="","",SUMIFS(物件収支!$O:$O,物件収支!$A:$A,$A546,物件収支!$C:$C,$M546))</f>
        <v>0</v>
      </c>
      <c r="R546" s="1" t="str">
        <f aca="false">IF($A546="","",IF(P546=0,"",O546-P546))</f>
        <v/>
      </c>
      <c r="S546" s="1" t="str">
        <f aca="false">IF($A546="","",IF(R546="","",R546+Q546))</f>
        <v/>
      </c>
      <c r="T546" s="1" t="str">
        <f aca="false">IF($A546="","",IF(OR(S546="",N546&lt;=0),"",S546/1000*12/N546))</f>
        <v/>
      </c>
      <c r="U546" s="1" t="str">
        <f aca="false">IF($A546="","",IF(OR(T546="",J546=0,J546=""),"",T546/J546))</f>
        <v/>
      </c>
      <c r="V546" s="1" t="str">
        <f aca="false">IF($A546="","",IF(OR(R546="",N546&lt;=0,J546=0,J546=""),"",(R546/1000*12/N546)/J546))</f>
        <v/>
      </c>
      <c r="W546" s="1" t="str">
        <f aca="false">IF($A546="","",IF(OR(T546="",K546=0,K546=""),"",T546/K546))</f>
        <v/>
      </c>
      <c r="X546" s="1" t="n">
        <f aca="false">IF($A546="","",IF(OR(N546&lt;=0,I546=0,I546="",O546=0),"",O546*1000/(I546*0.3025)/N546))</f>
        <v>5006.66464089313</v>
      </c>
      <c r="Y546" s="1" t="str">
        <f aca="false">IF($A546="","",IF(OR(O546=0,O546="",P546=0),"",P546/O546))</f>
        <v/>
      </c>
      <c r="Z546" s="1" t="str">
        <f aca="false">IF($A546="","",IFERROR(INDEX(物件収支!$E:$E,MATCH($A546,物件収支!$A:$A,0)),""))</f>
        <v>開示（物件別・収益のみ・百万円単位）</v>
      </c>
    </row>
    <row r="547" customFormat="false" ht="16.5" hidden="false" customHeight="true" outlineLevel="0" collapsed="false">
      <c r="A547" s="1" t="str">
        <f aca="false">IF(物件マスタ!A547="","",物件マスタ!A547)</f>
        <v>SHR-097</v>
      </c>
      <c r="B547" s="1" t="str">
        <f aca="false">IF($A547="","",物件マスタ!B547)</f>
        <v>SHR</v>
      </c>
      <c r="C547" s="1" t="str">
        <f aca="false">IF($A547="","",IFERROR(INDEX(法人マスタ!$C:$C,MATCH($B547,法人マスタ!$A:$A,0)),""))</f>
        <v>積水ハウス・リート投資法人</v>
      </c>
      <c r="D547" s="1" t="str">
        <f aca="false">IF($A547="","",物件マスタ!C547)</f>
        <v>プライムメゾン三田綱町</v>
      </c>
      <c r="E547" s="1" t="str">
        <f aca="false">IF($A547="","",物件マスタ!H547)</f>
        <v>都心5区</v>
      </c>
      <c r="F547" s="53" t="n">
        <f aca="false">IF($A547="","",物件マスタ!P547)</f>
        <v>43009</v>
      </c>
      <c r="G547" s="1" t="n">
        <f aca="false">IF($A547="","",物件マスタ!Q547)</f>
        <v>8.9</v>
      </c>
      <c r="H547" s="1" t="n">
        <f aca="false">IF($A547="","",物件マスタ!L547)</f>
        <v>0</v>
      </c>
      <c r="I547" s="1" t="n">
        <f aca="false">IF($A547="","",物件マスタ!M547)</f>
        <v>1387.12</v>
      </c>
      <c r="J547" s="1" t="n">
        <f aca="false">IF($A547="","",物件マスタ!S547)</f>
        <v>2040</v>
      </c>
      <c r="K547" s="1" t="n">
        <f aca="false">IF($A547="","",物件マスタ!U547)</f>
        <v>2610</v>
      </c>
      <c r="L547" s="1" t="n">
        <f aca="false">IF($A547="","",物件マスタ!W547)</f>
        <v>0.953</v>
      </c>
      <c r="M547" s="1" t="str">
        <f aca="false">IF($A547="","",IFERROR(INDEX(法人マスタ!$H:$H,MATCH($B547,法人マスタ!$A:$A,0)),""))</f>
        <v>2026年4月期（第23期）</v>
      </c>
      <c r="N547" s="1" t="n">
        <f aca="false">IF($A547="","",SUMIFS(物件収支!$D:$D,物件収支!$A:$A,$A547,物件収支!$C:$C,$M547))</f>
        <v>6</v>
      </c>
      <c r="O547" s="1" t="n">
        <f aca="false">IF($A547="","",SUMIFS(物件収支!$F:$F,物件収支!$A:$A,$A547,物件収支!$C:$C,$M547))</f>
        <v>63000</v>
      </c>
      <c r="P547" s="1" t="n">
        <f aca="false">IF($A547="","",SUMIFS(物件収支!$I:$I,物件収支!$A:$A,$A547,物件収支!$C:$C,$M547))</f>
        <v>0</v>
      </c>
      <c r="Q547" s="1" t="n">
        <f aca="false">IF($A547="","",SUMIFS(物件収支!$O:$O,物件収支!$A:$A,$A547,物件収支!$C:$C,$M547))</f>
        <v>0</v>
      </c>
      <c r="R547" s="1" t="str">
        <f aca="false">IF($A547="","",IF(P547=0,"",O547-P547))</f>
        <v/>
      </c>
      <c r="S547" s="1" t="str">
        <f aca="false">IF($A547="","",IF(R547="","",R547+Q547))</f>
        <v/>
      </c>
      <c r="T547" s="1" t="str">
        <f aca="false">IF($A547="","",IF(OR(S547="",N547&lt;=0),"",S547/1000*12/N547))</f>
        <v/>
      </c>
      <c r="U547" s="1" t="str">
        <f aca="false">IF($A547="","",IF(OR(T547="",J547=0,J547=""),"",T547/J547))</f>
        <v/>
      </c>
      <c r="V547" s="1" t="str">
        <f aca="false">IF($A547="","",IF(OR(R547="",N547&lt;=0,J547=0,J547=""),"",(R547/1000*12/N547)/J547))</f>
        <v/>
      </c>
      <c r="W547" s="1" t="str">
        <f aca="false">IF($A547="","",IF(OR(T547="",K547=0,K547=""),"",T547/K547))</f>
        <v/>
      </c>
      <c r="X547" s="1" t="n">
        <f aca="false">IF($A547="","",IF(OR(N547&lt;=0,I547=0,I547="",O547=0),"",O547*1000/(I547*0.3025)/N547))</f>
        <v>25023.6056012839</v>
      </c>
      <c r="Y547" s="1" t="str">
        <f aca="false">IF($A547="","",IF(OR(O547=0,O547="",P547=0),"",P547/O547))</f>
        <v/>
      </c>
      <c r="Z547" s="1" t="str">
        <f aca="false">IF($A547="","",IFERROR(INDEX(物件収支!$E:$E,MATCH($A547,物件収支!$A:$A,0)),""))</f>
        <v>開示（物件別・収益のみ・百万円単位）</v>
      </c>
    </row>
    <row r="548" customFormat="false" ht="16.5" hidden="false" customHeight="true" outlineLevel="0" collapsed="false">
      <c r="A548" s="1" t="str">
        <f aca="false">IF(物件マスタ!A548="","",物件マスタ!A548)</f>
        <v>SHR-098</v>
      </c>
      <c r="B548" s="1" t="str">
        <f aca="false">IF($A548="","",物件マスタ!B548)</f>
        <v>SHR</v>
      </c>
      <c r="C548" s="1" t="str">
        <f aca="false">IF($A548="","",IFERROR(INDEX(法人マスタ!$C:$C,MATCH($B548,法人マスタ!$A:$A,0)),""))</f>
        <v>積水ハウス・リート投資法人</v>
      </c>
      <c r="D548" s="1" t="str">
        <f aca="false">IF($A548="","",物件マスタ!C548)</f>
        <v>プライムメゾン本郷</v>
      </c>
      <c r="E548" s="1" t="str">
        <f aca="false">IF($A548="","",物件マスタ!H548)</f>
        <v>その他東京23区</v>
      </c>
      <c r="F548" s="53" t="n">
        <f aca="false">IF($A548="","",物件マスタ!P548)</f>
        <v>43160</v>
      </c>
      <c r="G548" s="1" t="n">
        <f aca="false">IF($A548="","",物件マスタ!Q548)</f>
        <v>8.4</v>
      </c>
      <c r="H548" s="1" t="n">
        <f aca="false">IF($A548="","",物件マスタ!L548)</f>
        <v>0</v>
      </c>
      <c r="I548" s="1" t="n">
        <f aca="false">IF($A548="","",物件マスタ!M548)</f>
        <v>2423.46</v>
      </c>
      <c r="J548" s="1" t="n">
        <f aca="false">IF($A548="","",物件マスタ!S548)</f>
        <v>2600</v>
      </c>
      <c r="K548" s="1" t="n">
        <f aca="false">IF($A548="","",物件マスタ!U548)</f>
        <v>3200</v>
      </c>
      <c r="L548" s="1" t="n">
        <f aca="false">IF($A548="","",物件マスタ!W548)</f>
        <v>0.947</v>
      </c>
      <c r="M548" s="1" t="str">
        <f aca="false">IF($A548="","",IFERROR(INDEX(法人マスタ!$H:$H,MATCH($B548,法人マスタ!$A:$A,0)),""))</f>
        <v>2026年4月期（第23期）</v>
      </c>
      <c r="N548" s="1" t="n">
        <f aca="false">IF($A548="","",SUMIFS(物件収支!$D:$D,物件収支!$A:$A,$A548,物件収支!$C:$C,$M548))</f>
        <v>6</v>
      </c>
      <c r="O548" s="1" t="n">
        <f aca="false">IF($A548="","",SUMIFS(物件収支!$F:$F,物件収支!$A:$A,$A548,物件収支!$C:$C,$M548))</f>
        <v>70000</v>
      </c>
      <c r="P548" s="1" t="n">
        <f aca="false">IF($A548="","",SUMIFS(物件収支!$I:$I,物件収支!$A:$A,$A548,物件収支!$C:$C,$M548))</f>
        <v>0</v>
      </c>
      <c r="Q548" s="1" t="n">
        <f aca="false">IF($A548="","",SUMIFS(物件収支!$O:$O,物件収支!$A:$A,$A548,物件収支!$C:$C,$M548))</f>
        <v>0</v>
      </c>
      <c r="R548" s="1" t="str">
        <f aca="false">IF($A548="","",IF(P548=0,"",O548-P548))</f>
        <v/>
      </c>
      <c r="S548" s="1" t="str">
        <f aca="false">IF($A548="","",IF(R548="","",R548+Q548))</f>
        <v/>
      </c>
      <c r="T548" s="1" t="str">
        <f aca="false">IF($A548="","",IF(OR(S548="",N548&lt;=0),"",S548/1000*12/N548))</f>
        <v/>
      </c>
      <c r="U548" s="1" t="str">
        <f aca="false">IF($A548="","",IF(OR(T548="",J548=0,J548=""),"",T548/J548))</f>
        <v/>
      </c>
      <c r="V548" s="1" t="str">
        <f aca="false">IF($A548="","",IF(OR(R548="",N548&lt;=0,J548=0,J548=""),"",(R548/1000*12/N548)/J548))</f>
        <v/>
      </c>
      <c r="W548" s="1" t="str">
        <f aca="false">IF($A548="","",IF(OR(T548="",K548=0,K548=""),"",T548/K548))</f>
        <v/>
      </c>
      <c r="X548" s="1" t="n">
        <f aca="false">IF($A548="","",IF(OR(N548&lt;=0,I548=0,I548="",O548=0),"",O548*1000/(I548*0.3025)/N548))</f>
        <v>15914.2272259281</v>
      </c>
      <c r="Y548" s="1" t="str">
        <f aca="false">IF($A548="","",IF(OR(O548=0,O548="",P548=0),"",P548/O548))</f>
        <v/>
      </c>
      <c r="Z548" s="1" t="str">
        <f aca="false">IF($A548="","",IFERROR(INDEX(物件収支!$E:$E,MATCH($A548,物件収支!$A:$A,0)),""))</f>
        <v>開示（物件別・収益のみ・百万円単位）</v>
      </c>
    </row>
    <row r="549" customFormat="false" ht="16.5" hidden="false" customHeight="true" outlineLevel="0" collapsed="false">
      <c r="A549" s="1" t="str">
        <f aca="false">IF(物件マスタ!A549="","",物件マスタ!A549)</f>
        <v>SHR-099</v>
      </c>
      <c r="B549" s="1" t="str">
        <f aca="false">IF($A549="","",物件マスタ!B549)</f>
        <v>SHR</v>
      </c>
      <c r="C549" s="1" t="str">
        <f aca="false">IF($A549="","",IFERROR(INDEX(法人マスタ!$C:$C,MATCH($B549,法人マスタ!$A:$A,0)),""))</f>
        <v>積水ハウス・リート投資法人</v>
      </c>
      <c r="D549" s="1" t="str">
        <f aca="false">IF($A549="","",物件マスタ!C549)</f>
        <v>プライムメゾン蔵前</v>
      </c>
      <c r="E549" s="1" t="str">
        <f aca="false">IF($A549="","",物件マスタ!H549)</f>
        <v>その他東京23区</v>
      </c>
      <c r="F549" s="53" t="n">
        <f aca="false">IF($A549="","",物件マスタ!P549)</f>
        <v>43405</v>
      </c>
      <c r="G549" s="1" t="n">
        <f aca="false">IF($A549="","",物件マスタ!Q549)</f>
        <v>7.8</v>
      </c>
      <c r="H549" s="1" t="n">
        <f aca="false">IF($A549="","",物件マスタ!L549)</f>
        <v>0</v>
      </c>
      <c r="I549" s="1" t="n">
        <f aca="false">IF($A549="","",物件マスタ!M549)</f>
        <v>2259.4</v>
      </c>
      <c r="J549" s="1" t="n">
        <f aca="false">IF($A549="","",物件マスタ!S549)</f>
        <v>2190</v>
      </c>
      <c r="K549" s="1" t="n">
        <f aca="false">IF($A549="","",物件マスタ!U549)</f>
        <v>2620</v>
      </c>
      <c r="L549" s="1" t="n">
        <f aca="false">IF($A549="","",物件マスタ!W549)</f>
        <v>0.978</v>
      </c>
      <c r="M549" s="1" t="str">
        <f aca="false">IF($A549="","",IFERROR(INDEX(法人マスタ!$H:$H,MATCH($B549,法人マスタ!$A:$A,0)),""))</f>
        <v>2026年4月期（第23期）</v>
      </c>
      <c r="N549" s="1" t="n">
        <f aca="false">IF($A549="","",SUMIFS(物件収支!$D:$D,物件収支!$A:$A,$A549,物件収支!$C:$C,$M549))</f>
        <v>6</v>
      </c>
      <c r="O549" s="1" t="n">
        <f aca="false">IF($A549="","",SUMIFS(物件収支!$F:$F,物件収支!$A:$A,$A549,物件収支!$C:$C,$M549))</f>
        <v>64000</v>
      </c>
      <c r="P549" s="1" t="n">
        <f aca="false">IF($A549="","",SUMIFS(物件収支!$I:$I,物件収支!$A:$A,$A549,物件収支!$C:$C,$M549))</f>
        <v>0</v>
      </c>
      <c r="Q549" s="1" t="n">
        <f aca="false">IF($A549="","",SUMIFS(物件収支!$O:$O,物件収支!$A:$A,$A549,物件収支!$C:$C,$M549))</f>
        <v>0</v>
      </c>
      <c r="R549" s="1" t="str">
        <f aca="false">IF($A549="","",IF(P549=0,"",O549-P549))</f>
        <v/>
      </c>
      <c r="S549" s="1" t="str">
        <f aca="false">IF($A549="","",IF(R549="","",R549+Q549))</f>
        <v/>
      </c>
      <c r="T549" s="1" t="str">
        <f aca="false">IF($A549="","",IF(OR(S549="",N549&lt;=0),"",S549/1000*12/N549))</f>
        <v/>
      </c>
      <c r="U549" s="1" t="str">
        <f aca="false">IF($A549="","",IF(OR(T549="",J549=0,J549=""),"",T549/J549))</f>
        <v/>
      </c>
      <c r="V549" s="1" t="str">
        <f aca="false">IF($A549="","",IF(OR(R549="",N549&lt;=0,J549=0,J549=""),"",(R549/1000*12/N549)/J549))</f>
        <v/>
      </c>
      <c r="W549" s="1" t="str">
        <f aca="false">IF($A549="","",IF(OR(T549="",K549=0,K549=""),"",T549/K549))</f>
        <v/>
      </c>
      <c r="X549" s="1" t="n">
        <f aca="false">IF($A549="","",IF(OR(N549&lt;=0,I549=0,I549="",O549=0),"",O549*1000/(I549*0.3025)/N549))</f>
        <v>15606.6690222983</v>
      </c>
      <c r="Y549" s="1" t="str">
        <f aca="false">IF($A549="","",IF(OR(O549=0,O549="",P549=0),"",P549/O549))</f>
        <v/>
      </c>
      <c r="Z549" s="1" t="str">
        <f aca="false">IF($A549="","",IFERROR(INDEX(物件収支!$E:$E,MATCH($A549,物件収支!$A:$A,0)),""))</f>
        <v>開示（物件別・収益のみ・百万円単位）</v>
      </c>
    </row>
    <row r="550" customFormat="false" ht="16.5" hidden="false" customHeight="true" outlineLevel="0" collapsed="false">
      <c r="A550" s="1" t="str">
        <f aca="false">IF(物件マスタ!A550="","",物件マスタ!A550)</f>
        <v>SHR-100</v>
      </c>
      <c r="B550" s="1" t="str">
        <f aca="false">IF($A550="","",物件マスタ!B550)</f>
        <v>SHR</v>
      </c>
      <c r="C550" s="1" t="str">
        <f aca="false">IF($A550="","",IFERROR(INDEX(法人マスタ!$C:$C,MATCH($B550,法人マスタ!$A:$A,0)),""))</f>
        <v>積水ハウス・リート投資法人</v>
      </c>
      <c r="D550" s="1" t="str">
        <f aca="false">IF($A550="","",物件マスタ!C550)</f>
        <v>エスティメゾン横浜青葉台</v>
      </c>
      <c r="E550" s="1" t="str">
        <f aca="false">IF($A550="","",物件マスタ!H550)</f>
        <v>東京周辺都市部</v>
      </c>
      <c r="F550" s="53" t="n">
        <f aca="false">IF($A550="","",物件マスタ!P550)</f>
        <v>33055</v>
      </c>
      <c r="G550" s="1" t="n">
        <f aca="false">IF($A550="","",物件マスタ!Q550)</f>
        <v>36.1</v>
      </c>
      <c r="H550" s="1" t="n">
        <f aca="false">IF($A550="","",物件マスタ!L550)</f>
        <v>0</v>
      </c>
      <c r="I550" s="1" t="n">
        <f aca="false">IF($A550="","",物件マスタ!M550)</f>
        <v>6808.84</v>
      </c>
      <c r="J550" s="1" t="n">
        <f aca="false">IF($A550="","",物件マスタ!S550)</f>
        <v>3020</v>
      </c>
      <c r="K550" s="1" t="n">
        <f aca="false">IF($A550="","",物件マスタ!U550)</f>
        <v>3670</v>
      </c>
      <c r="L550" s="1" t="n">
        <f aca="false">IF($A550="","",物件マスタ!W550)</f>
        <v>1</v>
      </c>
      <c r="M550" s="1" t="str">
        <f aca="false">IF($A550="","",IFERROR(INDEX(法人マスタ!$H:$H,MATCH($B550,法人マスタ!$A:$A,0)),""))</f>
        <v>2026年4月期（第23期）</v>
      </c>
      <c r="N550" s="1" t="n">
        <f aca="false">IF($A550="","",SUMIFS(物件収支!$D:$D,物件収支!$A:$A,$A550,物件収支!$C:$C,$M550))</f>
        <v>6</v>
      </c>
      <c r="O550" s="1" t="n">
        <f aca="false">IF($A550="","",SUMIFS(物件収支!$F:$F,物件収支!$A:$A,$A550,物件収支!$C:$C,$M550))</f>
        <v>86000</v>
      </c>
      <c r="P550" s="1" t="n">
        <f aca="false">IF($A550="","",SUMIFS(物件収支!$I:$I,物件収支!$A:$A,$A550,物件収支!$C:$C,$M550))</f>
        <v>0</v>
      </c>
      <c r="Q550" s="1" t="n">
        <f aca="false">IF($A550="","",SUMIFS(物件収支!$O:$O,物件収支!$A:$A,$A550,物件収支!$C:$C,$M550))</f>
        <v>0</v>
      </c>
      <c r="R550" s="1" t="str">
        <f aca="false">IF($A550="","",IF(P550=0,"",O550-P550))</f>
        <v/>
      </c>
      <c r="S550" s="1" t="str">
        <f aca="false">IF($A550="","",IF(R550="","",R550+Q550))</f>
        <v/>
      </c>
      <c r="T550" s="1" t="str">
        <f aca="false">IF($A550="","",IF(OR(S550="",N550&lt;=0),"",S550/1000*12/N550))</f>
        <v/>
      </c>
      <c r="U550" s="1" t="str">
        <f aca="false">IF($A550="","",IF(OR(T550="",J550=0,J550=""),"",T550/J550))</f>
        <v/>
      </c>
      <c r="V550" s="1" t="str">
        <f aca="false">IF($A550="","",IF(OR(R550="",N550&lt;=0,J550=0,J550=""),"",(R550/1000*12/N550)/J550))</f>
        <v/>
      </c>
      <c r="W550" s="1" t="str">
        <f aca="false">IF($A550="","",IF(OR(T550="",K550=0,K550=""),"",T550/K550))</f>
        <v/>
      </c>
      <c r="X550" s="1" t="n">
        <f aca="false">IF($A550="","",IF(OR(N550&lt;=0,I550=0,I550="",O550=0),"",O550*1000/(I550*0.3025)/N550))</f>
        <v>6959.02974812051</v>
      </c>
      <c r="Y550" s="1" t="str">
        <f aca="false">IF($A550="","",IF(OR(O550=0,O550="",P550=0),"",P550/O550))</f>
        <v/>
      </c>
      <c r="Z550" s="1" t="str">
        <f aca="false">IF($A550="","",IFERROR(INDEX(物件収支!$E:$E,MATCH($A550,物件収支!$A:$A,0)),""))</f>
        <v>開示（物件別・収益のみ・百万円単位）</v>
      </c>
    </row>
    <row r="551" customFormat="false" ht="16.5" hidden="false" customHeight="true" outlineLevel="0" collapsed="false">
      <c r="A551" s="1" t="str">
        <f aca="false">IF(物件マスタ!A551="","",物件マスタ!A551)</f>
        <v>SHR-101</v>
      </c>
      <c r="B551" s="1" t="str">
        <f aca="false">IF($A551="","",物件マスタ!B551)</f>
        <v>SHR</v>
      </c>
      <c r="C551" s="1" t="str">
        <f aca="false">IF($A551="","",IFERROR(INDEX(法人マスタ!$C:$C,MATCH($B551,法人マスタ!$A:$A,0)),""))</f>
        <v>積水ハウス・リート投資法人</v>
      </c>
      <c r="D551" s="1" t="str">
        <f aca="false">IF($A551="","",物件マスタ!C551)</f>
        <v>エスティメゾン静岡鷹匠</v>
      </c>
      <c r="E551" s="1" t="str">
        <f aca="false">IF($A551="","",物件マスタ!H551)</f>
        <v>（期中譲渡済）</v>
      </c>
      <c r="F551" s="1" t="n">
        <f aca="false">IF($A551="","",物件マスタ!P551)</f>
        <v>0</v>
      </c>
      <c r="G551" s="1" t="str">
        <f aca="false">IF($A551="","",物件マスタ!Q551)</f>
        <v/>
      </c>
      <c r="H551" s="1" t="n">
        <f aca="false">IF($A551="","",物件マスタ!L551)</f>
        <v>0</v>
      </c>
      <c r="I551" s="1" t="n">
        <f aca="false">IF($A551="","",物件マスタ!M551)</f>
        <v>0</v>
      </c>
      <c r="J551" s="1" t="n">
        <f aca="false">IF($A551="","",物件マスタ!S551)</f>
        <v>0</v>
      </c>
      <c r="K551" s="1" t="n">
        <f aca="false">IF($A551="","",物件マスタ!U551)</f>
        <v>0</v>
      </c>
      <c r="L551" s="1" t="n">
        <f aca="false">IF($A551="","",物件マスタ!W551)</f>
        <v>0</v>
      </c>
      <c r="M551" s="1" t="str">
        <f aca="false">IF($A551="","",IFERROR(INDEX(法人マスタ!$H:$H,MATCH($B551,法人マスタ!$A:$A,0)),""))</f>
        <v>2026年4月期（第23期）</v>
      </c>
      <c r="N551" s="1" t="n">
        <f aca="false">IF($A551="","",SUMIFS(物件収支!$D:$D,物件収支!$A:$A,$A551,物件収支!$C:$C,$M551))</f>
        <v>6</v>
      </c>
      <c r="O551" s="1" t="n">
        <f aca="false">IF($A551="","",SUMIFS(物件収支!$F:$F,物件収支!$A:$A,$A551,物件収支!$C:$C,$M551))</f>
        <v>10000</v>
      </c>
      <c r="P551" s="1" t="n">
        <f aca="false">IF($A551="","",SUMIFS(物件収支!$I:$I,物件収支!$A:$A,$A551,物件収支!$C:$C,$M551))</f>
        <v>0</v>
      </c>
      <c r="Q551" s="1" t="n">
        <f aca="false">IF($A551="","",SUMIFS(物件収支!$O:$O,物件収支!$A:$A,$A551,物件収支!$C:$C,$M551))</f>
        <v>0</v>
      </c>
      <c r="R551" s="1" t="str">
        <f aca="false">IF($A551="","",IF(P551=0,"",O551-P551))</f>
        <v/>
      </c>
      <c r="S551" s="1" t="str">
        <f aca="false">IF($A551="","",IF(R551="","",R551+Q551))</f>
        <v/>
      </c>
      <c r="T551" s="1" t="str">
        <f aca="false">IF($A551="","",IF(OR(S551="",N551&lt;=0),"",S551/1000*12/N551))</f>
        <v/>
      </c>
      <c r="U551" s="1" t="str">
        <f aca="false">IF($A551="","",IF(OR(T551="",J551=0,J551=""),"",T551/J551))</f>
        <v/>
      </c>
      <c r="V551" s="1" t="str">
        <f aca="false">IF($A551="","",IF(OR(R551="",N551&lt;=0,J551=0,J551=""),"",(R551/1000*12/N551)/J551))</f>
        <v/>
      </c>
      <c r="W551" s="1" t="str">
        <f aca="false">IF($A551="","",IF(OR(T551="",K551=0,K551=""),"",T551/K551))</f>
        <v/>
      </c>
      <c r="X551" s="1" t="str">
        <f aca="false">IF($A551="","",IF(OR(N551&lt;=0,I551=0,I551="",O551=0),"",O551*1000/(I551*0.3025)/N551))</f>
        <v/>
      </c>
      <c r="Y551" s="1" t="str">
        <f aca="false">IF($A551="","",IF(OR(O551=0,O551="",P551=0),"",P551/O551))</f>
        <v/>
      </c>
      <c r="Z551" s="1" t="str">
        <f aca="false">IF($A551="","",IFERROR(INDEX(物件収支!$E:$E,MATCH($A551,物件収支!$A:$A,0)),""))</f>
        <v>開示（期中譲渡・収益のみ・百万円単位）</v>
      </c>
    </row>
    <row r="552" customFormat="false" ht="16.5" hidden="false" customHeight="true" outlineLevel="0" collapsed="false">
      <c r="A552" s="1" t="str">
        <f aca="false">IF(物件マスタ!A552="","",物件マスタ!A552)</f>
        <v>SHR-102</v>
      </c>
      <c r="B552" s="1" t="str">
        <f aca="false">IF($A552="","",物件マスタ!B552)</f>
        <v>SHR</v>
      </c>
      <c r="C552" s="1" t="str">
        <f aca="false">IF($A552="","",IFERROR(INDEX(法人マスタ!$C:$C,MATCH($B552,法人マスタ!$A:$A,0)),""))</f>
        <v>積水ハウス・リート投資法人</v>
      </c>
      <c r="D552" s="1" t="str">
        <f aca="false">IF($A552="","",物件マスタ!C552)</f>
        <v>シャーメゾンステージ広瀬通</v>
      </c>
      <c r="E552" s="1" t="str">
        <f aca="false">IF($A552="","",物件マスタ!H552)</f>
        <v>3大都市圏以外の政令市</v>
      </c>
      <c r="F552" s="53" t="n">
        <f aca="false">IF($A552="","",物件マスタ!P552)</f>
        <v>38718</v>
      </c>
      <c r="G552" s="1" t="n">
        <f aca="false">IF($A552="","",物件マスタ!Q552)</f>
        <v>20.6</v>
      </c>
      <c r="H552" s="1" t="n">
        <f aca="false">IF($A552="","",物件マスタ!L552)</f>
        <v>0</v>
      </c>
      <c r="I552" s="1" t="n">
        <f aca="false">IF($A552="","",物件マスタ!M552)</f>
        <v>2552.4</v>
      </c>
      <c r="J552" s="1" t="n">
        <f aca="false">IF($A552="","",物件マスタ!S552)</f>
        <v>865</v>
      </c>
      <c r="K552" s="1" t="n">
        <f aca="false">IF($A552="","",物件マスタ!U552)</f>
        <v>997</v>
      </c>
      <c r="L552" s="1" t="n">
        <f aca="false">IF($A552="","",物件マスタ!W552)</f>
        <v>1</v>
      </c>
      <c r="M552" s="1" t="str">
        <f aca="false">IF($A552="","",IFERROR(INDEX(法人マスタ!$H:$H,MATCH($B552,法人マスタ!$A:$A,0)),""))</f>
        <v>2026年4月期（第23期）</v>
      </c>
      <c r="N552" s="1" t="n">
        <f aca="false">IF($A552="","",SUMIFS(物件収支!$D:$D,物件収支!$A:$A,$A552,物件収支!$C:$C,$M552))</f>
        <v>6</v>
      </c>
      <c r="O552" s="1" t="n">
        <f aca="false">IF($A552="","",SUMIFS(物件収支!$F:$F,物件収支!$A:$A,$A552,物件収支!$C:$C,$M552))</f>
        <v>30000</v>
      </c>
      <c r="P552" s="1" t="n">
        <f aca="false">IF($A552="","",SUMIFS(物件収支!$I:$I,物件収支!$A:$A,$A552,物件収支!$C:$C,$M552))</f>
        <v>0</v>
      </c>
      <c r="Q552" s="1" t="n">
        <f aca="false">IF($A552="","",SUMIFS(物件収支!$O:$O,物件収支!$A:$A,$A552,物件収支!$C:$C,$M552))</f>
        <v>0</v>
      </c>
      <c r="R552" s="1" t="str">
        <f aca="false">IF($A552="","",IF(P552=0,"",O552-P552))</f>
        <v/>
      </c>
      <c r="S552" s="1" t="str">
        <f aca="false">IF($A552="","",IF(R552="","",R552+Q552))</f>
        <v/>
      </c>
      <c r="T552" s="1" t="str">
        <f aca="false">IF($A552="","",IF(OR(S552="",N552&lt;=0),"",S552/1000*12/N552))</f>
        <v/>
      </c>
      <c r="U552" s="1" t="str">
        <f aca="false">IF($A552="","",IF(OR(T552="",J552=0,J552=""),"",T552/J552))</f>
        <v/>
      </c>
      <c r="V552" s="1" t="str">
        <f aca="false">IF($A552="","",IF(OR(R552="",N552&lt;=0,J552=0,J552=""),"",(R552/1000*12/N552)/J552))</f>
        <v/>
      </c>
      <c r="W552" s="1" t="str">
        <f aca="false">IF($A552="","",IF(OR(T552="",K552=0,K552=""),"",T552/K552))</f>
        <v/>
      </c>
      <c r="X552" s="1" t="n">
        <f aca="false">IF($A552="","",IF(OR(N552&lt;=0,I552=0,I552="",O552=0),"",O552*1000/(I552*0.3025)/N552))</f>
        <v>6475.83671048218</v>
      </c>
      <c r="Y552" s="1" t="str">
        <f aca="false">IF($A552="","",IF(OR(O552=0,O552="",P552=0),"",P552/O552))</f>
        <v/>
      </c>
      <c r="Z552" s="1" t="str">
        <f aca="false">IF($A552="","",IFERROR(INDEX(物件収支!$E:$E,MATCH($A552,物件収支!$A:$A,0)),""))</f>
        <v>開示（物件別・収益のみ・百万円単位）</v>
      </c>
    </row>
    <row r="553" customFormat="false" ht="16.5" hidden="false" customHeight="true" outlineLevel="0" collapsed="false">
      <c r="A553" s="1" t="str">
        <f aca="false">IF(物件マスタ!A553="","",物件マスタ!A553)</f>
        <v>SHR-103</v>
      </c>
      <c r="B553" s="1" t="str">
        <f aca="false">IF($A553="","",物件マスタ!B553)</f>
        <v>SHR</v>
      </c>
      <c r="C553" s="1" t="str">
        <f aca="false">IF($A553="","",IFERROR(INDEX(法人マスタ!$C:$C,MATCH($B553,法人マスタ!$A:$A,0)),""))</f>
        <v>積水ハウス・リート投資法人</v>
      </c>
      <c r="D553" s="1" t="str">
        <f aca="false">IF($A553="","",物件マスタ!C553)</f>
        <v>エスティメゾン東別院</v>
      </c>
      <c r="E553" s="1" t="str">
        <f aca="false">IF($A553="","",物件マスタ!H553)</f>
        <v>（期中譲渡済）</v>
      </c>
      <c r="F553" s="1" t="n">
        <f aca="false">IF($A553="","",物件マスタ!P553)</f>
        <v>0</v>
      </c>
      <c r="G553" s="1" t="str">
        <f aca="false">IF($A553="","",物件マスタ!Q553)</f>
        <v/>
      </c>
      <c r="H553" s="1" t="n">
        <f aca="false">IF($A553="","",物件マスタ!L553)</f>
        <v>0</v>
      </c>
      <c r="I553" s="1" t="n">
        <f aca="false">IF($A553="","",物件マスタ!M553)</f>
        <v>0</v>
      </c>
      <c r="J553" s="1" t="n">
        <f aca="false">IF($A553="","",物件マスタ!S553)</f>
        <v>0</v>
      </c>
      <c r="K553" s="1" t="n">
        <f aca="false">IF($A553="","",物件マスタ!U553)</f>
        <v>0</v>
      </c>
      <c r="L553" s="1" t="n">
        <f aca="false">IF($A553="","",物件マスタ!W553)</f>
        <v>0</v>
      </c>
      <c r="M553" s="1" t="str">
        <f aca="false">IF($A553="","",IFERROR(INDEX(法人マスタ!$H:$H,MATCH($B553,法人マスタ!$A:$A,0)),""))</f>
        <v>2026年4月期（第23期）</v>
      </c>
      <c r="N553" s="1" t="n">
        <f aca="false">IF($A553="","",SUMIFS(物件収支!$D:$D,物件収支!$A:$A,$A553,物件収支!$C:$C,$M553))</f>
        <v>6</v>
      </c>
      <c r="O553" s="1" t="n">
        <f aca="false">IF($A553="","",SUMIFS(物件収支!$F:$F,物件収支!$A:$A,$A553,物件収支!$C:$C,$M553))</f>
        <v>33000</v>
      </c>
      <c r="P553" s="1" t="n">
        <f aca="false">IF($A553="","",SUMIFS(物件収支!$I:$I,物件収支!$A:$A,$A553,物件収支!$C:$C,$M553))</f>
        <v>0</v>
      </c>
      <c r="Q553" s="1" t="n">
        <f aca="false">IF($A553="","",SUMIFS(物件収支!$O:$O,物件収支!$A:$A,$A553,物件収支!$C:$C,$M553))</f>
        <v>0</v>
      </c>
      <c r="R553" s="1" t="str">
        <f aca="false">IF($A553="","",IF(P553=0,"",O553-P553))</f>
        <v/>
      </c>
      <c r="S553" s="1" t="str">
        <f aca="false">IF($A553="","",IF(R553="","",R553+Q553))</f>
        <v/>
      </c>
      <c r="T553" s="1" t="str">
        <f aca="false">IF($A553="","",IF(OR(S553="",N553&lt;=0),"",S553/1000*12/N553))</f>
        <v/>
      </c>
      <c r="U553" s="1" t="str">
        <f aca="false">IF($A553="","",IF(OR(T553="",J553=0,J553=""),"",T553/J553))</f>
        <v/>
      </c>
      <c r="V553" s="1" t="str">
        <f aca="false">IF($A553="","",IF(OR(R553="",N553&lt;=0,J553=0,J553=""),"",(R553/1000*12/N553)/J553))</f>
        <v/>
      </c>
      <c r="W553" s="1" t="str">
        <f aca="false">IF($A553="","",IF(OR(T553="",K553=0,K553=""),"",T553/K553))</f>
        <v/>
      </c>
      <c r="X553" s="1" t="str">
        <f aca="false">IF($A553="","",IF(OR(N553&lt;=0,I553=0,I553="",O553=0),"",O553*1000/(I553*0.3025)/N553))</f>
        <v/>
      </c>
      <c r="Y553" s="1" t="str">
        <f aca="false">IF($A553="","",IF(OR(O553=0,O553="",P553=0),"",P553/O553))</f>
        <v/>
      </c>
      <c r="Z553" s="1" t="str">
        <f aca="false">IF($A553="","",IFERROR(INDEX(物件収支!$E:$E,MATCH($A553,物件収支!$A:$A,0)),""))</f>
        <v>開示（期中譲渡・収益のみ・百万円単位）</v>
      </c>
    </row>
    <row r="554" customFormat="false" ht="16.5" hidden="false" customHeight="true" outlineLevel="0" collapsed="false">
      <c r="A554" s="1" t="str">
        <f aca="false">IF(物件マスタ!A554="","",物件マスタ!A554)</f>
        <v>SHR-104</v>
      </c>
      <c r="B554" s="1" t="str">
        <f aca="false">IF($A554="","",物件マスタ!B554)</f>
        <v>SHR</v>
      </c>
      <c r="C554" s="1" t="str">
        <f aca="false">IF($A554="","",IFERROR(INDEX(法人マスタ!$C:$C,MATCH($B554,法人マスタ!$A:$A,0)),""))</f>
        <v>積水ハウス・リート投資法人</v>
      </c>
      <c r="D554" s="1" t="str">
        <f aca="false">IF($A554="","",物件マスタ!C554)</f>
        <v>エスティメゾン萱場</v>
      </c>
      <c r="E554" s="1" t="str">
        <f aca="false">IF($A554="","",物件マスタ!H554)</f>
        <v>その他3大都市圏</v>
      </c>
      <c r="F554" s="53" t="n">
        <f aca="false">IF($A554="","",物件マスタ!P554)</f>
        <v>40940</v>
      </c>
      <c r="G554" s="1" t="n">
        <f aca="false">IF($A554="","",物件マスタ!Q554)</f>
        <v>14.5</v>
      </c>
      <c r="H554" s="1" t="n">
        <f aca="false">IF($A554="","",物件マスタ!L554)</f>
        <v>0</v>
      </c>
      <c r="I554" s="1" t="n">
        <f aca="false">IF($A554="","",物件マスタ!M554)</f>
        <v>2170.8</v>
      </c>
      <c r="J554" s="1" t="n">
        <f aca="false">IF($A554="","",物件マスタ!S554)</f>
        <v>900</v>
      </c>
      <c r="K554" s="1" t="n">
        <f aca="false">IF($A554="","",物件マスタ!U554)</f>
        <v>965</v>
      </c>
      <c r="L554" s="1" t="n">
        <f aca="false">IF($A554="","",物件マスタ!W554)</f>
        <v>1</v>
      </c>
      <c r="M554" s="1" t="str">
        <f aca="false">IF($A554="","",IFERROR(INDEX(法人マスタ!$H:$H,MATCH($B554,法人マスタ!$A:$A,0)),""))</f>
        <v>2026年4月期（第23期）</v>
      </c>
      <c r="N554" s="1" t="n">
        <f aca="false">IF($A554="","",SUMIFS(物件収支!$D:$D,物件収支!$A:$A,$A554,物件収支!$C:$C,$M554))</f>
        <v>6</v>
      </c>
      <c r="O554" s="1" t="n">
        <f aca="false">IF($A554="","",SUMIFS(物件収支!$F:$F,物件収支!$A:$A,$A554,物件収支!$C:$C,$M554))</f>
        <v>31000</v>
      </c>
      <c r="P554" s="1" t="n">
        <f aca="false">IF($A554="","",SUMIFS(物件収支!$I:$I,物件収支!$A:$A,$A554,物件収支!$C:$C,$M554))</f>
        <v>0</v>
      </c>
      <c r="Q554" s="1" t="n">
        <f aca="false">IF($A554="","",SUMIFS(物件収支!$O:$O,物件収支!$A:$A,$A554,物件収支!$C:$C,$M554))</f>
        <v>0</v>
      </c>
      <c r="R554" s="1" t="str">
        <f aca="false">IF($A554="","",IF(P554=0,"",O554-P554))</f>
        <v/>
      </c>
      <c r="S554" s="1" t="str">
        <f aca="false">IF($A554="","",IF(R554="","",R554+Q554))</f>
        <v/>
      </c>
      <c r="T554" s="1" t="str">
        <f aca="false">IF($A554="","",IF(OR(S554="",N554&lt;=0),"",S554/1000*12/N554))</f>
        <v/>
      </c>
      <c r="U554" s="1" t="str">
        <f aca="false">IF($A554="","",IF(OR(T554="",J554=0,J554=""),"",T554/J554))</f>
        <v/>
      </c>
      <c r="V554" s="1" t="str">
        <f aca="false">IF($A554="","",IF(OR(R554="",N554&lt;=0,J554=0,J554=""),"",(R554/1000*12/N554)/J554))</f>
        <v/>
      </c>
      <c r="W554" s="1" t="str">
        <f aca="false">IF($A554="","",IF(OR(T554="",K554=0,K554=""),"",T554/K554))</f>
        <v/>
      </c>
      <c r="X554" s="1" t="n">
        <f aca="false">IF($A554="","",IF(OR(N554&lt;=0,I554=0,I554="",O554=0),"",O554*1000/(I554*0.3025)/N554))</f>
        <v>7868.01631065162</v>
      </c>
      <c r="Y554" s="1" t="str">
        <f aca="false">IF($A554="","",IF(OR(O554=0,O554="",P554=0),"",P554/O554))</f>
        <v/>
      </c>
      <c r="Z554" s="1" t="str">
        <f aca="false">IF($A554="","",IFERROR(INDEX(物件収支!$E:$E,MATCH($A554,物件収支!$A:$A,0)),""))</f>
        <v>開示（物件別・収益のみ・百万円単位）</v>
      </c>
    </row>
    <row r="555" customFormat="false" ht="16.5" hidden="false" customHeight="true" outlineLevel="0" collapsed="false">
      <c r="A555" s="1" t="str">
        <f aca="false">IF(物件マスタ!A555="","",物件マスタ!A555)</f>
        <v>SHR-105</v>
      </c>
      <c r="B555" s="1" t="str">
        <f aca="false">IF($A555="","",物件マスタ!B555)</f>
        <v>SHR</v>
      </c>
      <c r="C555" s="1" t="str">
        <f aca="false">IF($A555="","",IFERROR(INDEX(法人マスタ!$C:$C,MATCH($B555,法人マスタ!$A:$A,0)),""))</f>
        <v>積水ハウス・リート投資法人</v>
      </c>
      <c r="D555" s="1" t="str">
        <f aca="false">IF($A555="","",物件マスタ!C555)</f>
        <v>エスティメゾン白壁南</v>
      </c>
      <c r="E555" s="1" t="str">
        <f aca="false">IF($A555="","",物件マスタ!H555)</f>
        <v>その他3大都市圏</v>
      </c>
      <c r="F555" s="53" t="n">
        <f aca="false">IF($A555="","",物件マスタ!P555)</f>
        <v>41640</v>
      </c>
      <c r="G555" s="1" t="n">
        <f aca="false">IF($A555="","",物件マスタ!Q555)</f>
        <v>12.6</v>
      </c>
      <c r="H555" s="1" t="n">
        <f aca="false">IF($A555="","",物件マスタ!L555)</f>
        <v>0</v>
      </c>
      <c r="I555" s="1" t="n">
        <f aca="false">IF($A555="","",物件マスタ!M555)</f>
        <v>1240.28</v>
      </c>
      <c r="J555" s="1" t="n">
        <f aca="false">IF($A555="","",物件マスタ!S555)</f>
        <v>660</v>
      </c>
      <c r="K555" s="1" t="n">
        <f aca="false">IF($A555="","",物件マスタ!U555)</f>
        <v>715</v>
      </c>
      <c r="L555" s="1" t="n">
        <f aca="false">IF($A555="","",物件マスタ!W555)</f>
        <v>0.926</v>
      </c>
      <c r="M555" s="1" t="str">
        <f aca="false">IF($A555="","",IFERROR(INDEX(法人マスタ!$H:$H,MATCH($B555,法人マスタ!$A:$A,0)),""))</f>
        <v>2026年4月期（第23期）</v>
      </c>
      <c r="N555" s="1" t="n">
        <f aca="false">IF($A555="","",SUMIFS(物件収支!$D:$D,物件収支!$A:$A,$A555,物件収支!$C:$C,$M555))</f>
        <v>6</v>
      </c>
      <c r="O555" s="1" t="n">
        <f aca="false">IF($A555="","",SUMIFS(物件収支!$F:$F,物件収支!$A:$A,$A555,物件収支!$C:$C,$M555))</f>
        <v>20000</v>
      </c>
      <c r="P555" s="1" t="n">
        <f aca="false">IF($A555="","",SUMIFS(物件収支!$I:$I,物件収支!$A:$A,$A555,物件収支!$C:$C,$M555))</f>
        <v>0</v>
      </c>
      <c r="Q555" s="1" t="n">
        <f aca="false">IF($A555="","",SUMIFS(物件収支!$O:$O,物件収支!$A:$A,$A555,物件収支!$C:$C,$M555))</f>
        <v>0</v>
      </c>
      <c r="R555" s="1" t="str">
        <f aca="false">IF($A555="","",IF(P555=0,"",O555-P555))</f>
        <v/>
      </c>
      <c r="S555" s="1" t="str">
        <f aca="false">IF($A555="","",IF(R555="","",R555+Q555))</f>
        <v/>
      </c>
      <c r="T555" s="1" t="str">
        <f aca="false">IF($A555="","",IF(OR(S555="",N555&lt;=0),"",S555/1000*12/N555))</f>
        <v/>
      </c>
      <c r="U555" s="1" t="str">
        <f aca="false">IF($A555="","",IF(OR(T555="",J555=0,J555=""),"",T555/J555))</f>
        <v/>
      </c>
      <c r="V555" s="1" t="str">
        <f aca="false">IF($A555="","",IF(OR(R555="",N555&lt;=0,J555=0,J555=""),"",(R555/1000*12/N555)/J555))</f>
        <v/>
      </c>
      <c r="W555" s="1" t="str">
        <f aca="false">IF($A555="","",IF(OR(T555="",K555=0,K555=""),"",T555/K555))</f>
        <v/>
      </c>
      <c r="X555" s="1" t="n">
        <f aca="false">IF($A555="","",IF(OR(N555&lt;=0,I555=0,I555="",O555=0),"",O555*1000/(I555*0.3025)/N555))</f>
        <v>8884.51297010068</v>
      </c>
      <c r="Y555" s="1" t="str">
        <f aca="false">IF($A555="","",IF(OR(O555=0,O555="",P555=0),"",P555/O555))</f>
        <v/>
      </c>
      <c r="Z555" s="1" t="str">
        <f aca="false">IF($A555="","",IFERROR(INDEX(物件収支!$E:$E,MATCH($A555,物件収支!$A:$A,0)),""))</f>
        <v>開示（物件別・収益のみ・百万円単位）</v>
      </c>
    </row>
    <row r="556" customFormat="false" ht="16.5" hidden="false" customHeight="true" outlineLevel="0" collapsed="false">
      <c r="A556" s="1" t="str">
        <f aca="false">IF(物件マスタ!A556="","",物件マスタ!A556)</f>
        <v>SHR-106</v>
      </c>
      <c r="B556" s="1" t="str">
        <f aca="false">IF($A556="","",物件マスタ!B556)</f>
        <v>SHR</v>
      </c>
      <c r="C556" s="1" t="str">
        <f aca="false">IF($A556="","",IFERROR(INDEX(法人マスタ!$C:$C,MATCH($B556,法人マスタ!$A:$A,0)),""))</f>
        <v>積水ハウス・リート投資法人</v>
      </c>
      <c r="D556" s="1" t="str">
        <f aca="false">IF($A556="","",物件マスタ!C556)</f>
        <v>プライムメゾン下北沢</v>
      </c>
      <c r="E556" s="1" t="str">
        <f aca="false">IF($A556="","",物件マスタ!H556)</f>
        <v>その他東京23区</v>
      </c>
      <c r="F556" s="53" t="n">
        <f aca="false">IF($A556="","",物件マスタ!P556)</f>
        <v>43800</v>
      </c>
      <c r="G556" s="1" t="n">
        <f aca="false">IF($A556="","",物件マスタ!Q556)</f>
        <v>6.7</v>
      </c>
      <c r="H556" s="1" t="n">
        <f aca="false">IF($A556="","",物件マスタ!L556)</f>
        <v>0</v>
      </c>
      <c r="I556" s="1" t="n">
        <f aca="false">IF($A556="","",物件マスタ!M556)</f>
        <v>1991.72</v>
      </c>
      <c r="J556" s="1" t="n">
        <f aca="false">IF($A556="","",物件マスタ!S556)</f>
        <v>2580</v>
      </c>
      <c r="K556" s="1" t="n">
        <f aca="false">IF($A556="","",物件マスタ!U556)</f>
        <v>2940</v>
      </c>
      <c r="L556" s="1" t="n">
        <f aca="false">IF($A556="","",物件マスタ!W556)</f>
        <v>0.942</v>
      </c>
      <c r="M556" s="1" t="str">
        <f aca="false">IF($A556="","",IFERROR(INDEX(法人マスタ!$H:$H,MATCH($B556,法人マスタ!$A:$A,0)),""))</f>
        <v>2026年4月期（第23期）</v>
      </c>
      <c r="N556" s="1" t="n">
        <f aca="false">IF($A556="","",SUMIFS(物件収支!$D:$D,物件収支!$A:$A,$A556,物件収支!$C:$C,$M556))</f>
        <v>6</v>
      </c>
      <c r="O556" s="1" t="n">
        <f aca="false">IF($A556="","",SUMIFS(物件収支!$F:$F,物件収支!$A:$A,$A556,物件収支!$C:$C,$M556))</f>
        <v>61000</v>
      </c>
      <c r="P556" s="1" t="n">
        <f aca="false">IF($A556="","",SUMIFS(物件収支!$I:$I,物件収支!$A:$A,$A556,物件収支!$C:$C,$M556))</f>
        <v>0</v>
      </c>
      <c r="Q556" s="1" t="n">
        <f aca="false">IF($A556="","",SUMIFS(物件収支!$O:$O,物件収支!$A:$A,$A556,物件収支!$C:$C,$M556))</f>
        <v>0</v>
      </c>
      <c r="R556" s="1" t="str">
        <f aca="false">IF($A556="","",IF(P556=0,"",O556-P556))</f>
        <v/>
      </c>
      <c r="S556" s="1" t="str">
        <f aca="false">IF($A556="","",IF(R556="","",R556+Q556))</f>
        <v/>
      </c>
      <c r="T556" s="1" t="str">
        <f aca="false">IF($A556="","",IF(OR(S556="",N556&lt;=0),"",S556/1000*12/N556))</f>
        <v/>
      </c>
      <c r="U556" s="1" t="str">
        <f aca="false">IF($A556="","",IF(OR(T556="",J556=0,J556=""),"",T556/J556))</f>
        <v/>
      </c>
      <c r="V556" s="1" t="str">
        <f aca="false">IF($A556="","",IF(OR(R556="",N556&lt;=0,J556=0,J556=""),"",(R556/1000*12/N556)/J556))</f>
        <v/>
      </c>
      <c r="W556" s="1" t="str">
        <f aca="false">IF($A556="","",IF(OR(T556="",K556=0,K556=""),"",T556/K556))</f>
        <v/>
      </c>
      <c r="X556" s="1" t="n">
        <f aca="false">IF($A556="","",IF(OR(N556&lt;=0,I556=0,I556="",O556=0),"",O556*1000/(I556*0.3025)/N556))</f>
        <v>16874.2671796223</v>
      </c>
      <c r="Y556" s="1" t="str">
        <f aca="false">IF($A556="","",IF(OR(O556=0,O556="",P556=0),"",P556/O556))</f>
        <v/>
      </c>
      <c r="Z556" s="1" t="str">
        <f aca="false">IF($A556="","",IFERROR(INDEX(物件収支!$E:$E,MATCH($A556,物件収支!$A:$A,0)),""))</f>
        <v>開示（物件別・収益のみ・百万円単位）</v>
      </c>
    </row>
    <row r="557" customFormat="false" ht="16.5" hidden="false" customHeight="true" outlineLevel="0" collapsed="false">
      <c r="A557" s="1" t="str">
        <f aca="false">IF(物件マスタ!A557="","",物件マスタ!A557)</f>
        <v>SHR-107</v>
      </c>
      <c r="B557" s="1" t="str">
        <f aca="false">IF($A557="","",物件マスタ!B557)</f>
        <v>SHR</v>
      </c>
      <c r="C557" s="1" t="str">
        <f aca="false">IF($A557="","",IFERROR(INDEX(法人マスタ!$C:$C,MATCH($B557,法人マスタ!$A:$A,0)),""))</f>
        <v>積水ハウス・リート投資法人</v>
      </c>
      <c r="D557" s="1" t="str">
        <f aca="false">IF($A557="","",物件マスタ!C557)</f>
        <v>プライムメゾン目黒</v>
      </c>
      <c r="E557" s="1" t="str">
        <f aca="false">IF($A557="","",物件マスタ!H557)</f>
        <v>その他東京23区</v>
      </c>
      <c r="F557" s="53" t="n">
        <f aca="false">IF($A557="","",物件マスタ!P557)</f>
        <v>43313</v>
      </c>
      <c r="G557" s="1" t="n">
        <f aca="false">IF($A557="","",物件マスタ!Q557)</f>
        <v>8</v>
      </c>
      <c r="H557" s="1" t="n">
        <f aca="false">IF($A557="","",物件マスタ!L557)</f>
        <v>0</v>
      </c>
      <c r="I557" s="1" t="n">
        <f aca="false">IF($A557="","",物件マスタ!M557)</f>
        <v>1335.62</v>
      </c>
      <c r="J557" s="1" t="n">
        <f aca="false">IF($A557="","",物件マスタ!S557)</f>
        <v>2310</v>
      </c>
      <c r="K557" s="1" t="n">
        <f aca="false">IF($A557="","",物件マスタ!U557)</f>
        <v>2620</v>
      </c>
      <c r="L557" s="1" t="n">
        <f aca="false">IF($A557="","",物件マスタ!W557)</f>
        <v>0.931</v>
      </c>
      <c r="M557" s="1" t="str">
        <f aca="false">IF($A557="","",IFERROR(INDEX(法人マスタ!$H:$H,MATCH($B557,法人マスタ!$A:$A,0)),""))</f>
        <v>2026年4月期（第23期）</v>
      </c>
      <c r="N557" s="1" t="n">
        <f aca="false">IF($A557="","",SUMIFS(物件収支!$D:$D,物件収支!$A:$A,$A557,物件収支!$C:$C,$M557))</f>
        <v>6</v>
      </c>
      <c r="O557" s="1" t="n">
        <f aca="false">IF($A557="","",SUMIFS(物件収支!$F:$F,物件収支!$A:$A,$A557,物件収支!$C:$C,$M557))</f>
        <v>49000</v>
      </c>
      <c r="P557" s="1" t="n">
        <f aca="false">IF($A557="","",SUMIFS(物件収支!$I:$I,物件収支!$A:$A,$A557,物件収支!$C:$C,$M557))</f>
        <v>0</v>
      </c>
      <c r="Q557" s="1" t="n">
        <f aca="false">IF($A557="","",SUMIFS(物件収支!$O:$O,物件収支!$A:$A,$A557,物件収支!$C:$C,$M557))</f>
        <v>0</v>
      </c>
      <c r="R557" s="1" t="str">
        <f aca="false">IF($A557="","",IF(P557=0,"",O557-P557))</f>
        <v/>
      </c>
      <c r="S557" s="1" t="str">
        <f aca="false">IF($A557="","",IF(R557="","",R557+Q557))</f>
        <v/>
      </c>
      <c r="T557" s="1" t="str">
        <f aca="false">IF($A557="","",IF(OR(S557="",N557&lt;=0),"",S557/1000*12/N557))</f>
        <v/>
      </c>
      <c r="U557" s="1" t="str">
        <f aca="false">IF($A557="","",IF(OR(T557="",J557=0,J557=""),"",T557/J557))</f>
        <v/>
      </c>
      <c r="V557" s="1" t="str">
        <f aca="false">IF($A557="","",IF(OR(R557="",N557&lt;=0,J557=0,J557=""),"",(R557/1000*12/N557)/J557))</f>
        <v/>
      </c>
      <c r="W557" s="1" t="str">
        <f aca="false">IF($A557="","",IF(OR(T557="",K557=0,K557=""),"",T557/K557))</f>
        <v/>
      </c>
      <c r="X557" s="1" t="n">
        <f aca="false">IF($A557="","",IF(OR(N557&lt;=0,I557=0,I557="",O557=0),"",O557*1000/(I557*0.3025)/N557))</f>
        <v>20213.2681294555</v>
      </c>
      <c r="Y557" s="1" t="str">
        <f aca="false">IF($A557="","",IF(OR(O557=0,O557="",P557=0),"",P557/O557))</f>
        <v/>
      </c>
      <c r="Z557" s="1" t="str">
        <f aca="false">IF($A557="","",IFERROR(INDEX(物件収支!$E:$E,MATCH($A557,物件収支!$A:$A,0)),""))</f>
        <v>開示（物件別・収益のみ・百万円単位）</v>
      </c>
    </row>
    <row r="558" customFormat="false" ht="16.5" hidden="false" customHeight="true" outlineLevel="0" collapsed="false">
      <c r="A558" s="1" t="str">
        <f aca="false">IF(物件マスタ!A558="","",物件マスタ!A558)</f>
        <v>SHR-108</v>
      </c>
      <c r="B558" s="1" t="str">
        <f aca="false">IF($A558="","",物件マスタ!B558)</f>
        <v>SHR</v>
      </c>
      <c r="C558" s="1" t="str">
        <f aca="false">IF($A558="","",IFERROR(INDEX(法人マスタ!$C:$C,MATCH($B558,法人マスタ!$A:$A,0)),""))</f>
        <v>積水ハウス・リート投資法人</v>
      </c>
      <c r="D558" s="1" t="str">
        <f aca="false">IF($A558="","",物件マスタ!C558)</f>
        <v>プライムメゾン両国</v>
      </c>
      <c r="E558" s="1" t="str">
        <f aca="false">IF($A558="","",物件マスタ!H558)</f>
        <v>その他東京23区</v>
      </c>
      <c r="F558" s="53" t="n">
        <f aca="false">IF($A558="","",物件マスタ!P558)</f>
        <v>43497</v>
      </c>
      <c r="G558" s="1" t="n">
        <f aca="false">IF($A558="","",物件マスタ!Q558)</f>
        <v>7.5</v>
      </c>
      <c r="H558" s="1" t="n">
        <f aca="false">IF($A558="","",物件マスタ!L558)</f>
        <v>0</v>
      </c>
      <c r="I558" s="1" t="n">
        <f aca="false">IF($A558="","",物件マスタ!M558)</f>
        <v>1499.1</v>
      </c>
      <c r="J558" s="1" t="n">
        <f aca="false">IF($A558="","",物件マスタ!S558)</f>
        <v>1530</v>
      </c>
      <c r="K558" s="1" t="n">
        <f aca="false">IF($A558="","",物件マスタ!U558)</f>
        <v>1710</v>
      </c>
      <c r="L558" s="1" t="n">
        <f aca="false">IF($A558="","",物件マスタ!W558)</f>
        <v>1</v>
      </c>
      <c r="M558" s="1" t="str">
        <f aca="false">IF($A558="","",IFERROR(INDEX(法人マスタ!$H:$H,MATCH($B558,法人マスタ!$A:$A,0)),""))</f>
        <v>2026年4月期（第23期）</v>
      </c>
      <c r="N558" s="1" t="n">
        <f aca="false">IF($A558="","",SUMIFS(物件収支!$D:$D,物件収支!$A:$A,$A558,物件収支!$C:$C,$M558))</f>
        <v>6</v>
      </c>
      <c r="O558" s="1" t="n">
        <f aca="false">IF($A558="","",SUMIFS(物件収支!$F:$F,物件収支!$A:$A,$A558,物件収支!$C:$C,$M558))</f>
        <v>40000</v>
      </c>
      <c r="P558" s="1" t="n">
        <f aca="false">IF($A558="","",SUMIFS(物件収支!$I:$I,物件収支!$A:$A,$A558,物件収支!$C:$C,$M558))</f>
        <v>0</v>
      </c>
      <c r="Q558" s="1" t="n">
        <f aca="false">IF($A558="","",SUMIFS(物件収支!$O:$O,物件収支!$A:$A,$A558,物件収支!$C:$C,$M558))</f>
        <v>0</v>
      </c>
      <c r="R558" s="1" t="str">
        <f aca="false">IF($A558="","",IF(P558=0,"",O558-P558))</f>
        <v/>
      </c>
      <c r="S558" s="1" t="str">
        <f aca="false">IF($A558="","",IF(R558="","",R558+Q558))</f>
        <v/>
      </c>
      <c r="T558" s="1" t="str">
        <f aca="false">IF($A558="","",IF(OR(S558="",N558&lt;=0),"",S558/1000*12/N558))</f>
        <v/>
      </c>
      <c r="U558" s="1" t="str">
        <f aca="false">IF($A558="","",IF(OR(T558="",J558=0,J558=""),"",T558/J558))</f>
        <v/>
      </c>
      <c r="V558" s="1" t="str">
        <f aca="false">IF($A558="","",IF(OR(R558="",N558&lt;=0,J558=0,J558=""),"",(R558/1000*12/N558)/J558))</f>
        <v/>
      </c>
      <c r="W558" s="1" t="str">
        <f aca="false">IF($A558="","",IF(OR(T558="",K558=0,K558=""),"",T558/K558))</f>
        <v/>
      </c>
      <c r="X558" s="1" t="n">
        <f aca="false">IF($A558="","",IF(OR(N558&lt;=0,I558=0,I558="",O558=0),"",O558*1000/(I558*0.3025)/N558))</f>
        <v>14701.1990481709</v>
      </c>
      <c r="Y558" s="1" t="str">
        <f aca="false">IF($A558="","",IF(OR(O558=0,O558="",P558=0),"",P558/O558))</f>
        <v/>
      </c>
      <c r="Z558" s="1" t="str">
        <f aca="false">IF($A558="","",IFERROR(INDEX(物件収支!$E:$E,MATCH($A558,物件収支!$A:$A,0)),""))</f>
        <v>開示（物件別・収益のみ・百万円単位）</v>
      </c>
    </row>
    <row r="559" customFormat="false" ht="16.5" hidden="false" customHeight="true" outlineLevel="0" collapsed="false">
      <c r="A559" s="1" t="str">
        <f aca="false">IF(物件マスタ!A559="","",物件マスタ!A559)</f>
        <v>SHR-109</v>
      </c>
      <c r="B559" s="1" t="str">
        <f aca="false">IF($A559="","",物件マスタ!B559)</f>
        <v>SHR</v>
      </c>
      <c r="C559" s="1" t="str">
        <f aca="false">IF($A559="","",IFERROR(INDEX(法人マスタ!$C:$C,MATCH($B559,法人マスタ!$A:$A,0)),""))</f>
        <v>積水ハウス・リート投資法人</v>
      </c>
      <c r="D559" s="1" t="str">
        <f aca="false">IF($A559="","",物件マスタ!C559)</f>
        <v>プライムメゾン中目黒</v>
      </c>
      <c r="E559" s="1" t="str">
        <f aca="false">IF($A559="","",物件マスタ!H559)</f>
        <v>その他東京23区</v>
      </c>
      <c r="F559" s="53" t="n">
        <f aca="false">IF($A559="","",物件マスタ!P559)</f>
        <v>43770</v>
      </c>
      <c r="G559" s="1" t="n">
        <f aca="false">IF($A559="","",物件マスタ!Q559)</f>
        <v>6.8</v>
      </c>
      <c r="H559" s="1" t="n">
        <f aca="false">IF($A559="","",物件マスタ!L559)</f>
        <v>0</v>
      </c>
      <c r="I559" s="1" t="n">
        <f aca="false">IF($A559="","",物件マスタ!M559)</f>
        <v>6033.98</v>
      </c>
      <c r="J559" s="1" t="n">
        <f aca="false">IF($A559="","",物件マスタ!S559)</f>
        <v>10000</v>
      </c>
      <c r="K559" s="1" t="n">
        <f aca="false">IF($A559="","",物件マスタ!U559)</f>
        <v>11500</v>
      </c>
      <c r="L559" s="1" t="n">
        <f aca="false">IF($A559="","",物件マスタ!W559)</f>
        <v>0.964</v>
      </c>
      <c r="M559" s="1" t="str">
        <f aca="false">IF($A559="","",IFERROR(INDEX(法人マスタ!$H:$H,MATCH($B559,法人マスタ!$A:$A,0)),""))</f>
        <v>2026年4月期（第23期）</v>
      </c>
      <c r="N559" s="1" t="n">
        <f aca="false">IF($A559="","",SUMIFS(物件収支!$D:$D,物件収支!$A:$A,$A559,物件収支!$C:$C,$M559))</f>
        <v>6</v>
      </c>
      <c r="O559" s="1" t="n">
        <f aca="false">IF($A559="","",SUMIFS(物件収支!$F:$F,物件収支!$A:$A,$A559,物件収支!$C:$C,$M559))</f>
        <v>228000</v>
      </c>
      <c r="P559" s="1" t="n">
        <f aca="false">IF($A559="","",SUMIFS(物件収支!$I:$I,物件収支!$A:$A,$A559,物件収支!$C:$C,$M559))</f>
        <v>0</v>
      </c>
      <c r="Q559" s="1" t="n">
        <f aca="false">IF($A559="","",SUMIFS(物件収支!$O:$O,物件収支!$A:$A,$A559,物件収支!$C:$C,$M559))</f>
        <v>0</v>
      </c>
      <c r="R559" s="1" t="str">
        <f aca="false">IF($A559="","",IF(P559=0,"",O559-P559))</f>
        <v/>
      </c>
      <c r="S559" s="1" t="str">
        <f aca="false">IF($A559="","",IF(R559="","",R559+Q559))</f>
        <v/>
      </c>
      <c r="T559" s="1" t="str">
        <f aca="false">IF($A559="","",IF(OR(S559="",N559&lt;=0),"",S559/1000*12/N559))</f>
        <v/>
      </c>
      <c r="U559" s="1" t="str">
        <f aca="false">IF($A559="","",IF(OR(T559="",J559=0,J559=""),"",T559/J559))</f>
        <v/>
      </c>
      <c r="V559" s="1" t="str">
        <f aca="false">IF($A559="","",IF(OR(R559="",N559&lt;=0,J559=0,J559=""),"",(R559/1000*12/N559)/J559))</f>
        <v/>
      </c>
      <c r="W559" s="1" t="str">
        <f aca="false">IF($A559="","",IF(OR(T559="",K559=0,K559=""),"",T559/K559))</f>
        <v/>
      </c>
      <c r="X559" s="1" t="n">
        <f aca="false">IF($A559="","",IF(OR(N559&lt;=0,I559=0,I559="",O559=0),"",O559*1000/(I559*0.3025)/N559))</f>
        <v>20818.7356787301</v>
      </c>
      <c r="Y559" s="1" t="str">
        <f aca="false">IF($A559="","",IF(OR(O559=0,O559="",P559=0),"",P559/O559))</f>
        <v/>
      </c>
      <c r="Z559" s="1" t="str">
        <f aca="false">IF($A559="","",IFERROR(INDEX(物件収支!$E:$E,MATCH($A559,物件収支!$A:$A,0)),""))</f>
        <v>開示（物件別・収益のみ・百万円単位）</v>
      </c>
    </row>
    <row r="560" customFormat="false" ht="16.5" hidden="false" customHeight="true" outlineLevel="0" collapsed="false">
      <c r="A560" s="1" t="str">
        <f aca="false">IF(物件マスタ!A560="","",物件マスタ!A560)</f>
        <v>SHR-110</v>
      </c>
      <c r="B560" s="1" t="str">
        <f aca="false">IF($A560="","",物件マスタ!B560)</f>
        <v>SHR</v>
      </c>
      <c r="C560" s="1" t="str">
        <f aca="false">IF($A560="","",IFERROR(INDEX(法人マスタ!$C:$C,MATCH($B560,法人マスタ!$A:$A,0)),""))</f>
        <v>積水ハウス・リート投資法人</v>
      </c>
      <c r="D560" s="1" t="str">
        <f aca="false">IF($A560="","",物件マスタ!C560)</f>
        <v>プライムメゾン板橋</v>
      </c>
      <c r="E560" s="1" t="str">
        <f aca="false">IF($A560="","",物件マスタ!H560)</f>
        <v>その他東京23区</v>
      </c>
      <c r="F560" s="53" t="n">
        <f aca="false">IF($A560="","",物件マスタ!P560)</f>
        <v>43497</v>
      </c>
      <c r="G560" s="1" t="n">
        <f aca="false">IF($A560="","",物件マスタ!Q560)</f>
        <v>7.5</v>
      </c>
      <c r="H560" s="1" t="n">
        <f aca="false">IF($A560="","",物件マスタ!L560)</f>
        <v>0</v>
      </c>
      <c r="I560" s="1" t="n">
        <f aca="false">IF($A560="","",物件マスタ!M560)</f>
        <v>4557.89</v>
      </c>
      <c r="J560" s="1" t="n">
        <f aca="false">IF($A560="","",物件マスタ!S560)</f>
        <v>4800</v>
      </c>
      <c r="K560" s="1" t="n">
        <f aca="false">IF($A560="","",物件マスタ!U560)</f>
        <v>5430</v>
      </c>
      <c r="L560" s="1" t="n">
        <f aca="false">IF($A560="","",物件マスタ!W560)</f>
        <v>0.942</v>
      </c>
      <c r="M560" s="1" t="str">
        <f aca="false">IF($A560="","",IFERROR(INDEX(法人マスタ!$H:$H,MATCH($B560,法人マスタ!$A:$A,0)),""))</f>
        <v>2026年4月期（第23期）</v>
      </c>
      <c r="N560" s="1" t="n">
        <f aca="false">IF($A560="","",SUMIFS(物件収支!$D:$D,物件収支!$A:$A,$A560,物件収支!$C:$C,$M560))</f>
        <v>6</v>
      </c>
      <c r="O560" s="1" t="n">
        <f aca="false">IF($A560="","",SUMIFS(物件収支!$F:$F,物件収支!$A:$A,$A560,物件収支!$C:$C,$M560))</f>
        <v>123000</v>
      </c>
      <c r="P560" s="1" t="n">
        <f aca="false">IF($A560="","",SUMIFS(物件収支!$I:$I,物件収支!$A:$A,$A560,物件収支!$C:$C,$M560))</f>
        <v>0</v>
      </c>
      <c r="Q560" s="1" t="n">
        <f aca="false">IF($A560="","",SUMIFS(物件収支!$O:$O,物件収支!$A:$A,$A560,物件収支!$C:$C,$M560))</f>
        <v>0</v>
      </c>
      <c r="R560" s="1" t="str">
        <f aca="false">IF($A560="","",IF(P560=0,"",O560-P560))</f>
        <v/>
      </c>
      <c r="S560" s="1" t="str">
        <f aca="false">IF($A560="","",IF(R560="","",R560+Q560))</f>
        <v/>
      </c>
      <c r="T560" s="1" t="str">
        <f aca="false">IF($A560="","",IF(OR(S560="",N560&lt;=0),"",S560/1000*12/N560))</f>
        <v/>
      </c>
      <c r="U560" s="1" t="str">
        <f aca="false">IF($A560="","",IF(OR(T560="",J560=0,J560=""),"",T560/J560))</f>
        <v/>
      </c>
      <c r="V560" s="1" t="str">
        <f aca="false">IF($A560="","",IF(OR(R560="",N560&lt;=0,J560=0,J560=""),"",(R560/1000*12/N560)/J560))</f>
        <v/>
      </c>
      <c r="W560" s="1" t="str">
        <f aca="false">IF($A560="","",IF(OR(T560="",K560=0,K560=""),"",T560/K560))</f>
        <v/>
      </c>
      <c r="X560" s="1" t="n">
        <f aca="false">IF($A560="","",IF(OR(N560&lt;=0,I560=0,I560="",O560=0),"",O560*1000/(I560*0.3025)/N560))</f>
        <v>14868.4139023369</v>
      </c>
      <c r="Y560" s="1" t="str">
        <f aca="false">IF($A560="","",IF(OR(O560=0,O560="",P560=0),"",P560/O560))</f>
        <v/>
      </c>
      <c r="Z560" s="1" t="str">
        <f aca="false">IF($A560="","",IFERROR(INDEX(物件収支!$E:$E,MATCH($A560,物件収支!$A:$A,0)),""))</f>
        <v>開示（物件別・収益のみ・百万円単位）</v>
      </c>
    </row>
    <row r="561" customFormat="false" ht="16.5" hidden="false" customHeight="true" outlineLevel="0" collapsed="false">
      <c r="A561" s="1" t="str">
        <f aca="false">IF(物件マスタ!A561="","",物件マスタ!A561)</f>
        <v>SHR-111</v>
      </c>
      <c r="B561" s="1" t="str">
        <f aca="false">IF($A561="","",物件マスタ!B561)</f>
        <v>SHR</v>
      </c>
      <c r="C561" s="1" t="str">
        <f aca="false">IF($A561="","",IFERROR(INDEX(法人マスタ!$C:$C,MATCH($B561,法人マスタ!$A:$A,0)),""))</f>
        <v>積水ハウス・リート投資法人</v>
      </c>
      <c r="D561" s="1" t="str">
        <f aca="false">IF($A561="","",物件マスタ!C561)</f>
        <v>プライムメゾン江古田の杜</v>
      </c>
      <c r="E561" s="1" t="str">
        <f aca="false">IF($A561="","",物件マスタ!H561)</f>
        <v>その他東京23区</v>
      </c>
      <c r="F561" s="53" t="n">
        <f aca="false">IF($A561="","",物件マスタ!P561)</f>
        <v>43282</v>
      </c>
      <c r="G561" s="1" t="n">
        <f aca="false">IF($A561="","",物件マスタ!Q561)</f>
        <v>8.1</v>
      </c>
      <c r="H561" s="1" t="n">
        <f aca="false">IF($A561="","",物件マスタ!L561)</f>
        <v>0</v>
      </c>
      <c r="I561" s="1" t="n">
        <f aca="false">IF($A561="","",物件マスタ!M561)</f>
        <v>29048.95</v>
      </c>
      <c r="J561" s="1" t="n">
        <f aca="false">IF($A561="","",物件マスタ!S561)</f>
        <v>10500</v>
      </c>
      <c r="K561" s="1" t="n">
        <f aca="false">IF($A561="","",物件マスタ!U561)</f>
        <v>11900</v>
      </c>
      <c r="L561" s="1" t="n">
        <f aca="false">IF($A561="","",物件マスタ!W561)</f>
        <v>0.955</v>
      </c>
      <c r="M561" s="1" t="str">
        <f aca="false">IF($A561="","",IFERROR(INDEX(法人マスタ!$H:$H,MATCH($B561,法人マスタ!$A:$A,0)),""))</f>
        <v>2026年4月期（第23期）</v>
      </c>
      <c r="N561" s="1" t="n">
        <f aca="false">IF($A561="","",SUMIFS(物件収支!$D:$D,物件収支!$A:$A,$A561,物件収支!$C:$C,$M561))</f>
        <v>6</v>
      </c>
      <c r="O561" s="1" t="n">
        <f aca="false">IF($A561="","",SUMIFS(物件収支!$F:$F,物件収支!$A:$A,$A561,物件収支!$C:$C,$M561))</f>
        <v>645000</v>
      </c>
      <c r="P561" s="1" t="n">
        <f aca="false">IF($A561="","",SUMIFS(物件収支!$I:$I,物件収支!$A:$A,$A561,物件収支!$C:$C,$M561))</f>
        <v>0</v>
      </c>
      <c r="Q561" s="1" t="n">
        <f aca="false">IF($A561="","",SUMIFS(物件収支!$O:$O,物件収支!$A:$A,$A561,物件収支!$C:$C,$M561))</f>
        <v>0</v>
      </c>
      <c r="R561" s="1" t="str">
        <f aca="false">IF($A561="","",IF(P561=0,"",O561-P561))</f>
        <v/>
      </c>
      <c r="S561" s="1" t="str">
        <f aca="false">IF($A561="","",IF(R561="","",R561+Q561))</f>
        <v/>
      </c>
      <c r="T561" s="1" t="str">
        <f aca="false">IF($A561="","",IF(OR(S561="",N561&lt;=0),"",S561/1000*12/N561))</f>
        <v/>
      </c>
      <c r="U561" s="1" t="str">
        <f aca="false">IF($A561="","",IF(OR(T561="",J561=0,J561=""),"",T561/J561))</f>
        <v/>
      </c>
      <c r="V561" s="1" t="str">
        <f aca="false">IF($A561="","",IF(OR(R561="",N561&lt;=0,J561=0,J561=""),"",(R561/1000*12/N561)/J561))</f>
        <v/>
      </c>
      <c r="W561" s="1" t="str">
        <f aca="false">IF($A561="","",IF(OR(T561="",K561=0,K561=""),"",T561/K561))</f>
        <v/>
      </c>
      <c r="X561" s="1" t="n">
        <f aca="false">IF($A561="","",IF(OR(N561&lt;=0,I561=0,I561="",O561=0),"",O561*1000/(I561*0.3025)/N561))</f>
        <v>12233.5540811784</v>
      </c>
      <c r="Y561" s="1" t="str">
        <f aca="false">IF($A561="","",IF(OR(O561=0,O561="",P561=0),"",P561/O561))</f>
        <v/>
      </c>
      <c r="Z561" s="1" t="str">
        <f aca="false">IF($A561="","",IFERROR(INDEX(物件収支!$E:$E,MATCH($A561,物件収支!$A:$A,0)),""))</f>
        <v>開示（物件別・収益のみ・百万円単位）</v>
      </c>
    </row>
    <row r="562" customFormat="false" ht="16.5" hidden="false" customHeight="true" outlineLevel="0" collapsed="false">
      <c r="A562" s="1" t="str">
        <f aca="false">IF(物件マスタ!A562="","",物件マスタ!A562)</f>
        <v>SHR-112</v>
      </c>
      <c r="B562" s="1" t="str">
        <f aca="false">IF($A562="","",物件マスタ!B562)</f>
        <v>SHR</v>
      </c>
      <c r="C562" s="1" t="str">
        <f aca="false">IF($A562="","",IFERROR(INDEX(法人マスタ!$C:$C,MATCH($B562,法人マスタ!$A:$A,0)),""))</f>
        <v>積水ハウス・リート投資法人</v>
      </c>
      <c r="D562" s="1" t="str">
        <f aca="false">IF($A562="","",物件マスタ!C562)</f>
        <v>プライムメゾン早稲田通り</v>
      </c>
      <c r="E562" s="1" t="str">
        <f aca="false">IF($A562="","",物件マスタ!H562)</f>
        <v>都心5区</v>
      </c>
      <c r="F562" s="53" t="n">
        <f aca="false">IF($A562="","",物件マスタ!P562)</f>
        <v>43862</v>
      </c>
      <c r="G562" s="1" t="n">
        <f aca="false">IF($A562="","",物件マスタ!Q562)</f>
        <v>6.5</v>
      </c>
      <c r="H562" s="1" t="n">
        <f aca="false">IF($A562="","",物件マスタ!L562)</f>
        <v>0</v>
      </c>
      <c r="I562" s="1" t="n">
        <f aca="false">IF($A562="","",物件マスタ!M562)</f>
        <v>1819.35</v>
      </c>
      <c r="J562" s="1" t="n">
        <f aca="false">IF($A562="","",物件マスタ!S562)</f>
        <v>2200</v>
      </c>
      <c r="K562" s="1" t="n">
        <f aca="false">IF($A562="","",物件マスタ!U562)</f>
        <v>2810</v>
      </c>
      <c r="L562" s="1" t="n">
        <f aca="false">IF($A562="","",物件マスタ!W562)</f>
        <v>0.935</v>
      </c>
      <c r="M562" s="1" t="str">
        <f aca="false">IF($A562="","",IFERROR(INDEX(法人マスタ!$H:$H,MATCH($B562,法人マスタ!$A:$A,0)),""))</f>
        <v>2026年4月期（第23期）</v>
      </c>
      <c r="N562" s="1" t="n">
        <f aca="false">IF($A562="","",SUMIFS(物件収支!$D:$D,物件収支!$A:$A,$A562,物件収支!$C:$C,$M562))</f>
        <v>6</v>
      </c>
      <c r="O562" s="1" t="n">
        <f aca="false">IF($A562="","",SUMIFS(物件収支!$F:$F,物件収支!$A:$A,$A562,物件収支!$C:$C,$M562))</f>
        <v>58000</v>
      </c>
      <c r="P562" s="1" t="n">
        <f aca="false">IF($A562="","",SUMIFS(物件収支!$I:$I,物件収支!$A:$A,$A562,物件収支!$C:$C,$M562))</f>
        <v>0</v>
      </c>
      <c r="Q562" s="1" t="n">
        <f aca="false">IF($A562="","",SUMIFS(物件収支!$O:$O,物件収支!$A:$A,$A562,物件収支!$C:$C,$M562))</f>
        <v>0</v>
      </c>
      <c r="R562" s="1" t="str">
        <f aca="false">IF($A562="","",IF(P562=0,"",O562-P562))</f>
        <v/>
      </c>
      <c r="S562" s="1" t="str">
        <f aca="false">IF($A562="","",IF(R562="","",R562+Q562))</f>
        <v/>
      </c>
      <c r="T562" s="1" t="str">
        <f aca="false">IF($A562="","",IF(OR(S562="",N562&lt;=0),"",S562/1000*12/N562))</f>
        <v/>
      </c>
      <c r="U562" s="1" t="str">
        <f aca="false">IF($A562="","",IF(OR(T562="",J562=0,J562=""),"",T562/J562))</f>
        <v/>
      </c>
      <c r="V562" s="1" t="str">
        <f aca="false">IF($A562="","",IF(OR(R562="",N562&lt;=0,J562=0,J562=""),"",(R562/1000*12/N562)/J562))</f>
        <v/>
      </c>
      <c r="W562" s="1" t="str">
        <f aca="false">IF($A562="","",IF(OR(T562="",K562=0,K562=""),"",T562/K562))</f>
        <v/>
      </c>
      <c r="X562" s="1" t="n">
        <f aca="false">IF($A562="","",IF(OR(N562&lt;=0,I562=0,I562="",O562=0),"",O562*1000/(I562*0.3025)/N562))</f>
        <v>17564.4724022391</v>
      </c>
      <c r="Y562" s="1" t="str">
        <f aca="false">IF($A562="","",IF(OR(O562=0,O562="",P562=0),"",P562/O562))</f>
        <v/>
      </c>
      <c r="Z562" s="1" t="str">
        <f aca="false">IF($A562="","",IFERROR(INDEX(物件収支!$E:$E,MATCH($A562,物件収支!$A:$A,0)),""))</f>
        <v>開示（物件別・収益のみ・百万円単位）</v>
      </c>
    </row>
    <row r="563" customFormat="false" ht="16.5" hidden="false" customHeight="true" outlineLevel="0" collapsed="false">
      <c r="A563" s="1" t="str">
        <f aca="false">IF(物件マスタ!A563="","",物件マスタ!A563)</f>
        <v>SHR-113</v>
      </c>
      <c r="B563" s="1" t="str">
        <f aca="false">IF($A563="","",物件マスタ!B563)</f>
        <v>SHR</v>
      </c>
      <c r="C563" s="1" t="str">
        <f aca="false">IF($A563="","",IFERROR(INDEX(法人マスタ!$C:$C,MATCH($B563,法人マスタ!$A:$A,0)),""))</f>
        <v>積水ハウス・リート投資法人</v>
      </c>
      <c r="D563" s="1" t="str">
        <f aca="false">IF($A563="","",物件マスタ!C563)</f>
        <v>エスティメゾン登戸</v>
      </c>
      <c r="E563" s="1" t="str">
        <f aca="false">IF($A563="","",物件マスタ!H563)</f>
        <v>東京周辺都市部</v>
      </c>
      <c r="F563" s="53" t="n">
        <f aca="false">IF($A563="","",物件マスタ!P563)</f>
        <v>39448</v>
      </c>
      <c r="G563" s="1" t="n">
        <f aca="false">IF($A563="","",物件マスタ!Q563)</f>
        <v>18.6</v>
      </c>
      <c r="H563" s="1" t="n">
        <f aca="false">IF($A563="","",物件マスタ!L563)</f>
        <v>0</v>
      </c>
      <c r="I563" s="1" t="n">
        <f aca="false">IF($A563="","",物件マスタ!M563)</f>
        <v>657.79</v>
      </c>
      <c r="J563" s="1" t="n">
        <f aca="false">IF($A563="","",物件マスタ!S563)</f>
        <v>490</v>
      </c>
      <c r="K563" s="1" t="n">
        <f aca="false">IF($A563="","",物件マスタ!U563)</f>
        <v>561</v>
      </c>
      <c r="L563" s="1" t="n">
        <f aca="false">IF($A563="","",物件マスタ!W563)</f>
        <v>0.969</v>
      </c>
      <c r="M563" s="1" t="str">
        <f aca="false">IF($A563="","",IFERROR(INDEX(法人マスタ!$H:$H,MATCH($B563,法人マスタ!$A:$A,0)),""))</f>
        <v>2026年4月期（第23期）</v>
      </c>
      <c r="N563" s="1" t="n">
        <f aca="false">IF($A563="","",SUMIFS(物件収支!$D:$D,物件収支!$A:$A,$A563,物件収支!$C:$C,$M563))</f>
        <v>6</v>
      </c>
      <c r="O563" s="1" t="n">
        <f aca="false">IF($A563="","",SUMIFS(物件収支!$F:$F,物件収支!$A:$A,$A563,物件収支!$C:$C,$M563))</f>
        <v>16000</v>
      </c>
      <c r="P563" s="1" t="n">
        <f aca="false">IF($A563="","",SUMIFS(物件収支!$I:$I,物件収支!$A:$A,$A563,物件収支!$C:$C,$M563))</f>
        <v>0</v>
      </c>
      <c r="Q563" s="1" t="n">
        <f aca="false">IF($A563="","",SUMIFS(物件収支!$O:$O,物件収支!$A:$A,$A563,物件収支!$C:$C,$M563))</f>
        <v>0</v>
      </c>
      <c r="R563" s="1" t="str">
        <f aca="false">IF($A563="","",IF(P563=0,"",O563-P563))</f>
        <v/>
      </c>
      <c r="S563" s="1" t="str">
        <f aca="false">IF($A563="","",IF(R563="","",R563+Q563))</f>
        <v/>
      </c>
      <c r="T563" s="1" t="str">
        <f aca="false">IF($A563="","",IF(OR(S563="",N563&lt;=0),"",S563/1000*12/N563))</f>
        <v/>
      </c>
      <c r="U563" s="1" t="str">
        <f aca="false">IF($A563="","",IF(OR(T563="",J563=0,J563=""),"",T563/J563))</f>
        <v/>
      </c>
      <c r="V563" s="1" t="str">
        <f aca="false">IF($A563="","",IF(OR(R563="",N563&lt;=0,J563=0,J563=""),"",(R563/1000*12/N563)/J563))</f>
        <v/>
      </c>
      <c r="W563" s="1" t="str">
        <f aca="false">IF($A563="","",IF(OR(T563="",K563=0,K563=""),"",T563/K563))</f>
        <v/>
      </c>
      <c r="X563" s="1" t="n">
        <f aca="false">IF($A563="","",IF(OR(N563&lt;=0,I563=0,I563="",O563=0),"",O563*1000/(I563*0.3025)/N563))</f>
        <v>13401.5825677575</v>
      </c>
      <c r="Y563" s="1" t="str">
        <f aca="false">IF($A563="","",IF(OR(O563=0,O563="",P563=0),"",P563/O563))</f>
        <v/>
      </c>
      <c r="Z563" s="1" t="str">
        <f aca="false">IF($A563="","",IFERROR(INDEX(物件収支!$E:$E,MATCH($A563,物件収支!$A:$A,0)),""))</f>
        <v>開示（物件別・収益のみ・百万円単位）</v>
      </c>
    </row>
    <row r="564" customFormat="false" ht="16.5" hidden="false" customHeight="true" outlineLevel="0" collapsed="false">
      <c r="A564" s="1" t="str">
        <f aca="false">IF(物件マスタ!A564="","",物件マスタ!A564)</f>
        <v>SHR-114</v>
      </c>
      <c r="B564" s="1" t="str">
        <f aca="false">IF($A564="","",物件マスタ!B564)</f>
        <v>SHR</v>
      </c>
      <c r="C564" s="1" t="str">
        <f aca="false">IF($A564="","",IFERROR(INDEX(法人マスタ!$C:$C,MATCH($B564,法人マスタ!$A:$A,0)),""))</f>
        <v>積水ハウス・リート投資法人</v>
      </c>
      <c r="D564" s="1" t="str">
        <f aca="false">IF($A564="","",物件マスタ!C564)</f>
        <v>エスティメゾン大森</v>
      </c>
      <c r="E564" s="1" t="str">
        <f aca="false">IF($A564="","",物件マスタ!H564)</f>
        <v>その他東京23区</v>
      </c>
      <c r="F564" s="53" t="n">
        <f aca="false">IF($A564="","",物件マスタ!P564)</f>
        <v>45292</v>
      </c>
      <c r="G564" s="1" t="n">
        <f aca="false">IF($A564="","",物件マスタ!Q564)</f>
        <v>2.6</v>
      </c>
      <c r="H564" s="1" t="n">
        <f aca="false">IF($A564="","",物件マスタ!L564)</f>
        <v>0</v>
      </c>
      <c r="I564" s="1" t="n">
        <f aca="false">IF($A564="","",物件マスタ!M564)</f>
        <v>2457.68</v>
      </c>
      <c r="J564" s="1" t="n">
        <f aca="false">IF($A564="","",物件マスタ!S564)</f>
        <v>3600</v>
      </c>
      <c r="K564" s="1" t="n">
        <f aca="false">IF($A564="","",物件マスタ!U564)</f>
        <v>4040</v>
      </c>
      <c r="L564" s="1" t="n">
        <f aca="false">IF($A564="","",物件マスタ!W564)</f>
        <v>0.969</v>
      </c>
      <c r="M564" s="1" t="str">
        <f aca="false">IF($A564="","",IFERROR(INDEX(法人マスタ!$H:$H,MATCH($B564,法人マスタ!$A:$A,0)),""))</f>
        <v>2026年4月期（第23期）</v>
      </c>
      <c r="N564" s="1" t="n">
        <f aca="false">IF($A564="","",SUMIFS(物件収支!$D:$D,物件収支!$A:$A,$A564,物件収支!$C:$C,$M564))</f>
        <v>6</v>
      </c>
      <c r="O564" s="1" t="n">
        <f aca="false">IF($A564="","",SUMIFS(物件収支!$F:$F,物件収支!$A:$A,$A564,物件収支!$C:$C,$M564))</f>
        <v>83000</v>
      </c>
      <c r="P564" s="1" t="n">
        <f aca="false">IF($A564="","",SUMIFS(物件収支!$I:$I,物件収支!$A:$A,$A564,物件収支!$C:$C,$M564))</f>
        <v>0</v>
      </c>
      <c r="Q564" s="1" t="n">
        <f aca="false">IF($A564="","",SUMIFS(物件収支!$O:$O,物件収支!$A:$A,$A564,物件収支!$C:$C,$M564))</f>
        <v>0</v>
      </c>
      <c r="R564" s="1" t="str">
        <f aca="false">IF($A564="","",IF(P564=0,"",O564-P564))</f>
        <v/>
      </c>
      <c r="S564" s="1" t="str">
        <f aca="false">IF($A564="","",IF(R564="","",R564+Q564))</f>
        <v/>
      </c>
      <c r="T564" s="1" t="str">
        <f aca="false">IF($A564="","",IF(OR(S564="",N564&lt;=0),"",S564/1000*12/N564))</f>
        <v/>
      </c>
      <c r="U564" s="1" t="str">
        <f aca="false">IF($A564="","",IF(OR(T564="",J564=0,J564=""),"",T564/J564))</f>
        <v/>
      </c>
      <c r="V564" s="1" t="str">
        <f aca="false">IF($A564="","",IF(OR(R564="",N564&lt;=0,J564=0,J564=""),"",(R564/1000*12/N564)/J564))</f>
        <v/>
      </c>
      <c r="W564" s="1" t="str">
        <f aca="false">IF($A564="","",IF(OR(T564="",K564=0,K564=""),"",T564/K564))</f>
        <v/>
      </c>
      <c r="X564" s="1" t="n">
        <f aca="false">IF($A564="","",IF(OR(N564&lt;=0,I564=0,I564="",O564=0),"",O564*1000/(I564*0.3025)/N564))</f>
        <v>18606.9901485179</v>
      </c>
      <c r="Y564" s="1" t="str">
        <f aca="false">IF($A564="","",IF(OR(O564=0,O564="",P564=0),"",P564/O564))</f>
        <v/>
      </c>
      <c r="Z564" s="1" t="str">
        <f aca="false">IF($A564="","",IFERROR(INDEX(物件収支!$E:$E,MATCH($A564,物件収支!$A:$A,0)),""))</f>
        <v>開示（物件別・収益のみ・百万円単位）</v>
      </c>
    </row>
    <row r="565" customFormat="false" ht="16.5" hidden="false" customHeight="true" outlineLevel="0" collapsed="false">
      <c r="A565" s="1" t="str">
        <f aca="false">IF(物件マスタ!A565="","",物件マスタ!A565)</f>
        <v>SHR-115</v>
      </c>
      <c r="B565" s="1" t="str">
        <f aca="false">IF($A565="","",物件マスタ!B565)</f>
        <v>SHR</v>
      </c>
      <c r="C565" s="1" t="str">
        <f aca="false">IF($A565="","",IFERROR(INDEX(法人マスタ!$C:$C,MATCH($B565,法人マスタ!$A:$A,0)),""))</f>
        <v>積水ハウス・リート投資法人</v>
      </c>
      <c r="D565" s="1" t="str">
        <f aca="false">IF($A565="","",物件マスタ!C565)</f>
        <v>エスティメゾン門前仲町</v>
      </c>
      <c r="E565" s="1" t="str">
        <f aca="false">IF($A565="","",物件マスタ!H565)</f>
        <v>その他東京23区</v>
      </c>
      <c r="F565" s="53" t="n">
        <f aca="false">IF($A565="","",物件マスタ!P565)</f>
        <v>44927</v>
      </c>
      <c r="G565" s="1" t="n">
        <f aca="false">IF($A565="","",物件マスタ!Q565)</f>
        <v>3.6</v>
      </c>
      <c r="H565" s="1" t="n">
        <f aca="false">IF($A565="","",物件マスタ!L565)</f>
        <v>0</v>
      </c>
      <c r="I565" s="1" t="n">
        <f aca="false">IF($A565="","",物件マスタ!M565)</f>
        <v>1121.12</v>
      </c>
      <c r="J565" s="1" t="n">
        <f aca="false">IF($A565="","",物件マスタ!S565)</f>
        <v>1570</v>
      </c>
      <c r="K565" s="1" t="n">
        <f aca="false">IF($A565="","",物件マスタ!U565)</f>
        <v>1770</v>
      </c>
      <c r="L565" s="1" t="n">
        <f aca="false">IF($A565="","",物件マスタ!W565)</f>
        <v>0.909</v>
      </c>
      <c r="M565" s="1" t="str">
        <f aca="false">IF($A565="","",IFERROR(INDEX(法人マスタ!$H:$H,MATCH($B565,法人マスタ!$A:$A,0)),""))</f>
        <v>2026年4月期（第23期）</v>
      </c>
      <c r="N565" s="1" t="n">
        <f aca="false">IF($A565="","",SUMIFS(物件収支!$D:$D,物件収支!$A:$A,$A565,物件収支!$C:$C,$M565))</f>
        <v>6</v>
      </c>
      <c r="O565" s="1" t="n">
        <f aca="false">IF($A565="","",SUMIFS(物件収支!$F:$F,物件収支!$A:$A,$A565,物件収支!$C:$C,$M565))</f>
        <v>34000</v>
      </c>
      <c r="P565" s="1" t="n">
        <f aca="false">IF($A565="","",SUMIFS(物件収支!$I:$I,物件収支!$A:$A,$A565,物件収支!$C:$C,$M565))</f>
        <v>0</v>
      </c>
      <c r="Q565" s="1" t="n">
        <f aca="false">IF($A565="","",SUMIFS(物件収支!$O:$O,物件収支!$A:$A,$A565,物件収支!$C:$C,$M565))</f>
        <v>0</v>
      </c>
      <c r="R565" s="1" t="str">
        <f aca="false">IF($A565="","",IF(P565=0,"",O565-P565))</f>
        <v/>
      </c>
      <c r="S565" s="1" t="str">
        <f aca="false">IF($A565="","",IF(R565="","",R565+Q565))</f>
        <v/>
      </c>
      <c r="T565" s="1" t="str">
        <f aca="false">IF($A565="","",IF(OR(S565="",N565&lt;=0),"",S565/1000*12/N565))</f>
        <v/>
      </c>
      <c r="U565" s="1" t="str">
        <f aca="false">IF($A565="","",IF(OR(T565="",J565=0,J565=""),"",T565/J565))</f>
        <v/>
      </c>
      <c r="V565" s="1" t="str">
        <f aca="false">IF($A565="","",IF(OR(R565="",N565&lt;=0,J565=0,J565=""),"",(R565/1000*12/N565)/J565))</f>
        <v/>
      </c>
      <c r="W565" s="1" t="str">
        <f aca="false">IF($A565="","",IF(OR(T565="",K565=0,K565=""),"",T565/K565))</f>
        <v/>
      </c>
      <c r="X565" s="1" t="n">
        <f aca="false">IF($A565="","",IF(OR(N565&lt;=0,I565=0,I565="",O565=0),"",O565*1000/(I565*0.3025)/N565))</f>
        <v>16708.989554326</v>
      </c>
      <c r="Y565" s="1" t="str">
        <f aca="false">IF($A565="","",IF(OR(O565=0,O565="",P565=0),"",P565/O565))</f>
        <v/>
      </c>
      <c r="Z565" s="1" t="str">
        <f aca="false">IF($A565="","",IFERROR(INDEX(物件収支!$E:$E,MATCH($A565,物件収支!$A:$A,0)),""))</f>
        <v>開示（物件別・収益のみ・百万円単位）</v>
      </c>
    </row>
    <row r="566" customFormat="false" ht="16.5" hidden="false" customHeight="true" outlineLevel="0" collapsed="false">
      <c r="A566" s="1" t="str">
        <f aca="false">IF(物件マスタ!A566="","",物件マスタ!A566)</f>
        <v>SHR-116</v>
      </c>
      <c r="B566" s="1" t="str">
        <f aca="false">IF($A566="","",物件マスタ!B566)</f>
        <v>SHR</v>
      </c>
      <c r="C566" s="1" t="str">
        <f aca="false">IF($A566="","",IFERROR(INDEX(法人マスタ!$C:$C,MATCH($B566,法人マスタ!$A:$A,0)),""))</f>
        <v>積水ハウス・リート投資法人</v>
      </c>
      <c r="D566" s="1" t="str">
        <f aca="false">IF($A566="","",物件マスタ!C566)</f>
        <v>エスティメゾン赤羽Ⅱ</v>
      </c>
      <c r="E566" s="1" t="str">
        <f aca="false">IF($A566="","",物件マスタ!H566)</f>
        <v>その他東京23区</v>
      </c>
      <c r="F566" s="53" t="n">
        <f aca="false">IF($A566="","",物件マスタ!P566)</f>
        <v>45017</v>
      </c>
      <c r="G566" s="1" t="n">
        <f aca="false">IF($A566="","",物件マスタ!Q566)</f>
        <v>3.4</v>
      </c>
      <c r="H566" s="1" t="n">
        <f aca="false">IF($A566="","",物件マスタ!L566)</f>
        <v>0</v>
      </c>
      <c r="I566" s="1" t="n">
        <f aca="false">IF($A566="","",物件マスタ!M566)</f>
        <v>757.8</v>
      </c>
      <c r="J566" s="1" t="n">
        <f aca="false">IF($A566="","",物件マスタ!S566)</f>
        <v>980</v>
      </c>
      <c r="K566" s="1" t="n">
        <f aca="false">IF($A566="","",物件マスタ!U566)</f>
        <v>1150</v>
      </c>
      <c r="L566" s="1" t="n">
        <f aca="false">IF($A566="","",物件マスタ!W566)</f>
        <v>0.899</v>
      </c>
      <c r="M566" s="1" t="str">
        <f aca="false">IF($A566="","",IFERROR(INDEX(法人マスタ!$H:$H,MATCH($B566,法人マスタ!$A:$A,0)),""))</f>
        <v>2026年4月期（第23期）</v>
      </c>
      <c r="N566" s="1" t="n">
        <f aca="false">IF($A566="","",SUMIFS(物件収支!$D:$D,物件収支!$A:$A,$A566,物件収支!$C:$C,$M566))</f>
        <v>6</v>
      </c>
      <c r="O566" s="1" t="n">
        <f aca="false">IF($A566="","",SUMIFS(物件収支!$F:$F,物件収支!$A:$A,$A566,物件収支!$C:$C,$M566))</f>
        <v>24000</v>
      </c>
      <c r="P566" s="1" t="n">
        <f aca="false">IF($A566="","",SUMIFS(物件収支!$I:$I,物件収支!$A:$A,$A566,物件収支!$C:$C,$M566))</f>
        <v>0</v>
      </c>
      <c r="Q566" s="1" t="n">
        <f aca="false">IF($A566="","",SUMIFS(物件収支!$O:$O,物件収支!$A:$A,$A566,物件収支!$C:$C,$M566))</f>
        <v>0</v>
      </c>
      <c r="R566" s="1" t="str">
        <f aca="false">IF($A566="","",IF(P566=0,"",O566-P566))</f>
        <v/>
      </c>
      <c r="S566" s="1" t="str">
        <f aca="false">IF($A566="","",IF(R566="","",R566+Q566))</f>
        <v/>
      </c>
      <c r="T566" s="1" t="str">
        <f aca="false">IF($A566="","",IF(OR(S566="",N566&lt;=0),"",S566/1000*12/N566))</f>
        <v/>
      </c>
      <c r="U566" s="1" t="str">
        <f aca="false">IF($A566="","",IF(OR(T566="",J566=0,J566=""),"",T566/J566))</f>
        <v/>
      </c>
      <c r="V566" s="1" t="str">
        <f aca="false">IF($A566="","",IF(OR(R566="",N566&lt;=0,J566=0,J566=""),"",(R566/1000*12/N566)/J566))</f>
        <v/>
      </c>
      <c r="W566" s="1" t="str">
        <f aca="false">IF($A566="","",IF(OR(T566="",K566=0,K566=""),"",T566/K566))</f>
        <v/>
      </c>
      <c r="X566" s="1" t="n">
        <f aca="false">IF($A566="","",IF(OR(N566&lt;=0,I566=0,I566="",O566=0),"",O566*1000/(I566*0.3025)/N566))</f>
        <v>17449.3804379358</v>
      </c>
      <c r="Y566" s="1" t="str">
        <f aca="false">IF($A566="","",IF(OR(O566=0,O566="",P566=0),"",P566/O566))</f>
        <v/>
      </c>
      <c r="Z566" s="1" t="str">
        <f aca="false">IF($A566="","",IFERROR(INDEX(物件収支!$E:$E,MATCH($A566,物件収支!$A:$A,0)),""))</f>
        <v>開示（物件別・収益のみ・百万円単位）</v>
      </c>
    </row>
    <row r="567" customFormat="false" ht="16.5" hidden="false" customHeight="true" outlineLevel="0" collapsed="false">
      <c r="A567" s="1" t="str">
        <f aca="false">IF(物件マスタ!A567="","",物件マスタ!A567)</f>
        <v>SHR-117</v>
      </c>
      <c r="B567" s="1" t="str">
        <f aca="false">IF($A567="","",物件マスタ!B567)</f>
        <v>SHR</v>
      </c>
      <c r="C567" s="1" t="str">
        <f aca="false">IF($A567="","",IFERROR(INDEX(法人マスタ!$C:$C,MATCH($B567,法人マスタ!$A:$A,0)),""))</f>
        <v>積水ハウス・リート投資法人</v>
      </c>
      <c r="D567" s="1" t="str">
        <f aca="false">IF($A567="","",物件マスタ!C567)</f>
        <v>プライムメゾン湯島</v>
      </c>
      <c r="E567" s="1" t="str">
        <f aca="false">IF($A567="","",物件マスタ!H567)</f>
        <v>その他東京23区</v>
      </c>
      <c r="F567" s="53" t="n">
        <f aca="false">IF($A567="","",物件マスタ!P567)</f>
        <v>44593</v>
      </c>
      <c r="G567" s="1" t="n">
        <f aca="false">IF($A567="","",物件マスタ!Q567)</f>
        <v>4.5</v>
      </c>
      <c r="H567" s="1" t="n">
        <f aca="false">IF($A567="","",物件マスタ!L567)</f>
        <v>0</v>
      </c>
      <c r="I567" s="1" t="n">
        <f aca="false">IF($A567="","",物件マスタ!M567)</f>
        <v>6671.59</v>
      </c>
      <c r="J567" s="1" t="n">
        <f aca="false">IF($A567="","",物件マスタ!S567)</f>
        <v>10000</v>
      </c>
      <c r="K567" s="1" t="n">
        <f aca="false">IF($A567="","",物件マスタ!U567)</f>
        <v>10800</v>
      </c>
      <c r="L567" s="1" t="n">
        <f aca="false">IF($A567="","",物件マスタ!W567)</f>
        <v>0.97</v>
      </c>
      <c r="M567" s="1" t="str">
        <f aca="false">IF($A567="","",IFERROR(INDEX(法人マスタ!$H:$H,MATCH($B567,法人マスタ!$A:$A,0)),""))</f>
        <v>2026年4月期（第23期）</v>
      </c>
      <c r="N567" s="1" t="n">
        <f aca="false">IF($A567="","",SUMIFS(物件収支!$D:$D,物件収支!$A:$A,$A567,物件収支!$C:$C,$M567))</f>
        <v>6</v>
      </c>
      <c r="O567" s="1" t="n">
        <f aca="false">IF($A567="","",SUMIFS(物件収支!$F:$F,物件収支!$A:$A,$A567,物件収支!$C:$C,$M567))</f>
        <v>243000</v>
      </c>
      <c r="P567" s="1" t="n">
        <f aca="false">IF($A567="","",SUMIFS(物件収支!$I:$I,物件収支!$A:$A,$A567,物件収支!$C:$C,$M567))</f>
        <v>0</v>
      </c>
      <c r="Q567" s="1" t="n">
        <f aca="false">IF($A567="","",SUMIFS(物件収支!$O:$O,物件収支!$A:$A,$A567,物件収支!$C:$C,$M567))</f>
        <v>0</v>
      </c>
      <c r="R567" s="1" t="str">
        <f aca="false">IF($A567="","",IF(P567=0,"",O567-P567))</f>
        <v/>
      </c>
      <c r="S567" s="1" t="str">
        <f aca="false">IF($A567="","",IF(R567="","",R567+Q567))</f>
        <v/>
      </c>
      <c r="T567" s="1" t="str">
        <f aca="false">IF($A567="","",IF(OR(S567="",N567&lt;=0),"",S567/1000*12/N567))</f>
        <v/>
      </c>
      <c r="U567" s="1" t="str">
        <f aca="false">IF($A567="","",IF(OR(T567="",J567=0,J567=""),"",T567/J567))</f>
        <v/>
      </c>
      <c r="V567" s="1" t="str">
        <f aca="false">IF($A567="","",IF(OR(R567="",N567&lt;=0,J567=0,J567=""),"",(R567/1000*12/N567)/J567))</f>
        <v/>
      </c>
      <c r="W567" s="1" t="str">
        <f aca="false">IF($A567="","",IF(OR(T567="",K567=0,K567=""),"",T567/K567))</f>
        <v/>
      </c>
      <c r="X567" s="1" t="n">
        <f aca="false">IF($A567="","",IF(OR(N567&lt;=0,I567=0,I567="",O567=0),"",O567*1000/(I567*0.3025)/N567))</f>
        <v>20067.8245396766</v>
      </c>
      <c r="Y567" s="1" t="str">
        <f aca="false">IF($A567="","",IF(OR(O567=0,O567="",P567=0),"",P567/O567))</f>
        <v/>
      </c>
      <c r="Z567" s="1" t="str">
        <f aca="false">IF($A567="","",IFERROR(INDEX(物件収支!$E:$E,MATCH($A567,物件収支!$A:$A,0)),""))</f>
        <v>開示（物件別・収益のみ・百万円単位）</v>
      </c>
    </row>
    <row r="568" customFormat="false" ht="16.5" hidden="false" customHeight="true" outlineLevel="0" collapsed="false">
      <c r="A568" s="1" t="str">
        <f aca="false">IF(物件マスタ!A568="","",物件マスタ!A568)</f>
        <v>SHR-118</v>
      </c>
      <c r="B568" s="1" t="str">
        <f aca="false">IF($A568="","",物件マスタ!B568)</f>
        <v>SHR</v>
      </c>
      <c r="C568" s="1" t="str">
        <f aca="false">IF($A568="","",IFERROR(INDEX(法人マスタ!$C:$C,MATCH($B568,法人マスタ!$A:$A,0)),""))</f>
        <v>積水ハウス・リート投資法人</v>
      </c>
      <c r="D568" s="1" t="str">
        <f aca="false">IF($A568="","",物件マスタ!C568)</f>
        <v>プライムメゾン中野坂上</v>
      </c>
      <c r="E568" s="1" t="str">
        <f aca="false">IF($A568="","",物件マスタ!H568)</f>
        <v>その他東京23区</v>
      </c>
      <c r="F568" s="53" t="n">
        <f aca="false">IF($A568="","",物件マスタ!P568)</f>
        <v>44562</v>
      </c>
      <c r="G568" s="1" t="n">
        <f aca="false">IF($A568="","",物件マスタ!Q568)</f>
        <v>4.6</v>
      </c>
      <c r="H568" s="1" t="n">
        <f aca="false">IF($A568="","",物件マスタ!L568)</f>
        <v>0</v>
      </c>
      <c r="I568" s="1" t="n">
        <f aca="false">IF($A568="","",物件マスタ!M568)</f>
        <v>3428.41</v>
      </c>
      <c r="J568" s="1" t="n">
        <f aca="false">IF($A568="","",物件マスタ!S568)</f>
        <v>5490</v>
      </c>
      <c r="K568" s="1" t="n">
        <f aca="false">IF($A568="","",物件マスタ!U568)</f>
        <v>5850</v>
      </c>
      <c r="L568" s="1" t="n">
        <f aca="false">IF($A568="","",物件マスタ!W568)</f>
        <v>0.937</v>
      </c>
      <c r="M568" s="1" t="str">
        <f aca="false">IF($A568="","",IFERROR(INDEX(法人マスタ!$H:$H,MATCH($B568,法人マスタ!$A:$A,0)),""))</f>
        <v>2026年4月期（第23期）</v>
      </c>
      <c r="N568" s="1" t="n">
        <f aca="false">IF($A568="","",SUMIFS(物件収支!$D:$D,物件収支!$A:$A,$A568,物件収支!$C:$C,$M568))</f>
        <v>6</v>
      </c>
      <c r="O568" s="1" t="n">
        <f aca="false">IF($A568="","",SUMIFS(物件収支!$F:$F,物件収支!$A:$A,$A568,物件収支!$C:$C,$M568))</f>
        <v>126000</v>
      </c>
      <c r="P568" s="1" t="n">
        <f aca="false">IF($A568="","",SUMIFS(物件収支!$I:$I,物件収支!$A:$A,$A568,物件収支!$C:$C,$M568))</f>
        <v>0</v>
      </c>
      <c r="Q568" s="1" t="n">
        <f aca="false">IF($A568="","",SUMIFS(物件収支!$O:$O,物件収支!$A:$A,$A568,物件収支!$C:$C,$M568))</f>
        <v>0</v>
      </c>
      <c r="R568" s="1" t="str">
        <f aca="false">IF($A568="","",IF(P568=0,"",O568-P568))</f>
        <v/>
      </c>
      <c r="S568" s="1" t="str">
        <f aca="false">IF($A568="","",IF(R568="","",R568+Q568))</f>
        <v/>
      </c>
      <c r="T568" s="1" t="str">
        <f aca="false">IF($A568="","",IF(OR(S568="",N568&lt;=0),"",S568/1000*12/N568))</f>
        <v/>
      </c>
      <c r="U568" s="1" t="str">
        <f aca="false">IF($A568="","",IF(OR(T568="",J568=0,J568=""),"",T568/J568))</f>
        <v/>
      </c>
      <c r="V568" s="1" t="str">
        <f aca="false">IF($A568="","",IF(OR(R568="",N568&lt;=0,J568=0,J568=""),"",(R568/1000*12/N568)/J568))</f>
        <v/>
      </c>
      <c r="W568" s="1" t="str">
        <f aca="false">IF($A568="","",IF(OR(T568="",K568=0,K568=""),"",T568/K568))</f>
        <v/>
      </c>
      <c r="X568" s="1" t="n">
        <f aca="false">IF($A568="","",IF(OR(N568&lt;=0,I568=0,I568="",O568=0),"",O568*1000/(I568*0.3025)/N568))</f>
        <v>20248.8872694065</v>
      </c>
      <c r="Y568" s="1" t="str">
        <f aca="false">IF($A568="","",IF(OR(O568=0,O568="",P568=0),"",P568/O568))</f>
        <v/>
      </c>
      <c r="Z568" s="1" t="str">
        <f aca="false">IF($A568="","",IFERROR(INDEX(物件収支!$E:$E,MATCH($A568,物件収支!$A:$A,0)),""))</f>
        <v>開示（物件別・収益のみ・百万円単位）</v>
      </c>
    </row>
    <row r="569" customFormat="false" ht="16.5" hidden="false" customHeight="true" outlineLevel="0" collapsed="false">
      <c r="A569" s="1" t="str">
        <f aca="false">IF(物件マスタ!A569="","",物件マスタ!A569)</f>
        <v>SHR-119</v>
      </c>
      <c r="B569" s="1" t="str">
        <f aca="false">IF($A569="","",物件マスタ!B569)</f>
        <v>SHR</v>
      </c>
      <c r="C569" s="1" t="str">
        <f aca="false">IF($A569="","",IFERROR(INDEX(法人マスタ!$C:$C,MATCH($B569,法人マスタ!$A:$A,0)),""))</f>
        <v>積水ハウス・リート投資法人</v>
      </c>
      <c r="D569" s="1" t="str">
        <f aca="false">IF($A569="","",物件マスタ!C569)</f>
        <v>プライムメゾン方南町</v>
      </c>
      <c r="E569" s="1" t="str">
        <f aca="false">IF($A569="","",物件マスタ!H569)</f>
        <v>その他東京23区</v>
      </c>
      <c r="F569" s="53" t="n">
        <f aca="false">IF($A569="","",物件マスタ!P569)</f>
        <v>44256</v>
      </c>
      <c r="G569" s="1" t="n">
        <f aca="false">IF($A569="","",物件マスタ!Q569)</f>
        <v>5.4</v>
      </c>
      <c r="H569" s="1" t="n">
        <f aca="false">IF($A569="","",物件マスタ!L569)</f>
        <v>0</v>
      </c>
      <c r="I569" s="1" t="n">
        <f aca="false">IF($A569="","",物件マスタ!M569)</f>
        <v>2556.36</v>
      </c>
      <c r="J569" s="1" t="n">
        <f aca="false">IF($A569="","",物件マスタ!S569)</f>
        <v>3220</v>
      </c>
      <c r="K569" s="1" t="n">
        <f aca="false">IF($A569="","",物件マスタ!U569)</f>
        <v>3480</v>
      </c>
      <c r="L569" s="1" t="n">
        <f aca="false">IF($A569="","",物件マスタ!W569)</f>
        <v>0.935</v>
      </c>
      <c r="M569" s="1" t="str">
        <f aca="false">IF($A569="","",IFERROR(INDEX(法人マスタ!$H:$H,MATCH($B569,法人マスタ!$A:$A,0)),""))</f>
        <v>2026年4月期（第23期）</v>
      </c>
      <c r="N569" s="1" t="n">
        <f aca="false">IF($A569="","",SUMIFS(物件収支!$D:$D,物件収支!$A:$A,$A569,物件収支!$C:$C,$M569))</f>
        <v>6</v>
      </c>
      <c r="O569" s="1" t="n">
        <f aca="false">IF($A569="","",SUMIFS(物件収支!$F:$F,物件収支!$A:$A,$A569,物件収支!$C:$C,$M569))</f>
        <v>76000</v>
      </c>
      <c r="P569" s="1" t="n">
        <f aca="false">IF($A569="","",SUMIFS(物件収支!$I:$I,物件収支!$A:$A,$A569,物件収支!$C:$C,$M569))</f>
        <v>0</v>
      </c>
      <c r="Q569" s="1" t="n">
        <f aca="false">IF($A569="","",SUMIFS(物件収支!$O:$O,物件収支!$A:$A,$A569,物件収支!$C:$C,$M569))</f>
        <v>0</v>
      </c>
      <c r="R569" s="1" t="str">
        <f aca="false">IF($A569="","",IF(P569=0,"",O569-P569))</f>
        <v/>
      </c>
      <c r="S569" s="1" t="str">
        <f aca="false">IF($A569="","",IF(R569="","",R569+Q569))</f>
        <v/>
      </c>
      <c r="T569" s="1" t="str">
        <f aca="false">IF($A569="","",IF(OR(S569="",N569&lt;=0),"",S569/1000*12/N569))</f>
        <v/>
      </c>
      <c r="U569" s="1" t="str">
        <f aca="false">IF($A569="","",IF(OR(T569="",J569=0,J569=""),"",T569/J569))</f>
        <v/>
      </c>
      <c r="V569" s="1" t="str">
        <f aca="false">IF($A569="","",IF(OR(R569="",N569&lt;=0,J569=0,J569=""),"",(R569/1000*12/N569)/J569))</f>
        <v/>
      </c>
      <c r="W569" s="1" t="str">
        <f aca="false">IF($A569="","",IF(OR(T569="",K569=0,K569=""),"",T569/K569))</f>
        <v/>
      </c>
      <c r="X569" s="1" t="n">
        <f aca="false">IF($A569="","",IF(OR(N569&lt;=0,I569=0,I569="",O569=0),"",O569*1000/(I569*0.3025)/N569))</f>
        <v>16380.0396802151</v>
      </c>
      <c r="Y569" s="1" t="str">
        <f aca="false">IF($A569="","",IF(OR(O569=0,O569="",P569=0),"",P569/O569))</f>
        <v/>
      </c>
      <c r="Z569" s="1" t="str">
        <f aca="false">IF($A569="","",IFERROR(INDEX(物件収支!$E:$E,MATCH($A569,物件収支!$A:$A,0)),""))</f>
        <v>開示（物件別・収益のみ・百万円単位）</v>
      </c>
    </row>
    <row r="570" customFormat="false" ht="16.5" hidden="false" customHeight="true" outlineLevel="0" collapsed="false">
      <c r="A570" s="1" t="str">
        <f aca="false">IF(物件マスタ!A570="","",物件マスタ!A570)</f>
        <v>SHR-120</v>
      </c>
      <c r="B570" s="1" t="str">
        <f aca="false">IF($A570="","",物件マスタ!B570)</f>
        <v>SHR</v>
      </c>
      <c r="C570" s="1" t="str">
        <f aca="false">IF($A570="","",IFERROR(INDEX(法人マスタ!$C:$C,MATCH($B570,法人マスタ!$A:$A,0)),""))</f>
        <v>積水ハウス・リート投資法人</v>
      </c>
      <c r="D570" s="1" t="str">
        <f aca="false">IF($A570="","",物件マスタ!C570)</f>
        <v>プライムメゾン門前仲町</v>
      </c>
      <c r="E570" s="1" t="str">
        <f aca="false">IF($A570="","",物件マスタ!H570)</f>
        <v>その他東京23区</v>
      </c>
      <c r="F570" s="53" t="n">
        <f aca="false">IF($A570="","",物件マスタ!P570)</f>
        <v>44470</v>
      </c>
      <c r="G570" s="1" t="n">
        <f aca="false">IF($A570="","",物件マスタ!Q570)</f>
        <v>4.9</v>
      </c>
      <c r="H570" s="1" t="n">
        <f aca="false">IF($A570="","",物件マスタ!L570)</f>
        <v>0</v>
      </c>
      <c r="I570" s="1" t="n">
        <f aca="false">IF($A570="","",物件マスタ!M570)</f>
        <v>2357.28</v>
      </c>
      <c r="J570" s="1" t="n">
        <f aca="false">IF($A570="","",物件マスタ!S570)</f>
        <v>3200</v>
      </c>
      <c r="K570" s="1" t="n">
        <f aca="false">IF($A570="","",物件マスタ!U570)</f>
        <v>3420</v>
      </c>
      <c r="L570" s="1" t="n">
        <f aca="false">IF($A570="","",物件マスタ!W570)</f>
        <v>0.947</v>
      </c>
      <c r="M570" s="1" t="str">
        <f aca="false">IF($A570="","",IFERROR(INDEX(法人マスタ!$H:$H,MATCH($B570,法人マスタ!$A:$A,0)),""))</f>
        <v>2026年4月期（第23期）</v>
      </c>
      <c r="N570" s="1" t="n">
        <f aca="false">IF($A570="","",SUMIFS(物件収支!$D:$D,物件収支!$A:$A,$A570,物件収支!$C:$C,$M570))</f>
        <v>6</v>
      </c>
      <c r="O570" s="1" t="n">
        <f aca="false">IF($A570="","",SUMIFS(物件収支!$F:$F,物件収支!$A:$A,$A570,物件収支!$C:$C,$M570))</f>
        <v>78000</v>
      </c>
      <c r="P570" s="1" t="n">
        <f aca="false">IF($A570="","",SUMIFS(物件収支!$I:$I,物件収支!$A:$A,$A570,物件収支!$C:$C,$M570))</f>
        <v>0</v>
      </c>
      <c r="Q570" s="1" t="n">
        <f aca="false">IF($A570="","",SUMIFS(物件収支!$O:$O,物件収支!$A:$A,$A570,物件収支!$C:$C,$M570))</f>
        <v>0</v>
      </c>
      <c r="R570" s="1" t="str">
        <f aca="false">IF($A570="","",IF(P570=0,"",O570-P570))</f>
        <v/>
      </c>
      <c r="S570" s="1" t="str">
        <f aca="false">IF($A570="","",IF(R570="","",R570+Q570))</f>
        <v/>
      </c>
      <c r="T570" s="1" t="str">
        <f aca="false">IF($A570="","",IF(OR(S570="",N570&lt;=0),"",S570/1000*12/N570))</f>
        <v/>
      </c>
      <c r="U570" s="1" t="str">
        <f aca="false">IF($A570="","",IF(OR(T570="",J570=0,J570=""),"",T570/J570))</f>
        <v/>
      </c>
      <c r="V570" s="1" t="str">
        <f aca="false">IF($A570="","",IF(OR(R570="",N570&lt;=0,J570=0,J570=""),"",(R570/1000*12/N570)/J570))</f>
        <v/>
      </c>
      <c r="W570" s="1" t="str">
        <f aca="false">IF($A570="","",IF(OR(T570="",K570=0,K570=""),"",T570/K570))</f>
        <v/>
      </c>
      <c r="X570" s="1" t="n">
        <f aca="false">IF($A570="","",IF(OR(N570&lt;=0,I570=0,I570="",O570=0),"",O570*1000/(I570*0.3025)/N570))</f>
        <v>18230.8451314949</v>
      </c>
      <c r="Y570" s="1" t="str">
        <f aca="false">IF($A570="","",IF(OR(O570=0,O570="",P570=0),"",P570/O570))</f>
        <v/>
      </c>
      <c r="Z570" s="1" t="str">
        <f aca="false">IF($A570="","",IFERROR(INDEX(物件収支!$E:$E,MATCH($A570,物件収支!$A:$A,0)),""))</f>
        <v>開示（物件別・収益のみ・百万円単位）</v>
      </c>
    </row>
    <row r="571" customFormat="false" ht="16.5" hidden="false" customHeight="true" outlineLevel="0" collapsed="false">
      <c r="A571" s="1" t="str">
        <f aca="false">IF(物件マスタ!A571="","",物件マスタ!A571)</f>
        <v>SHR-121</v>
      </c>
      <c r="B571" s="1" t="str">
        <f aca="false">IF($A571="","",物件マスタ!B571)</f>
        <v>SHR</v>
      </c>
      <c r="C571" s="1" t="str">
        <f aca="false">IF($A571="","",IFERROR(INDEX(法人マスタ!$C:$C,MATCH($B571,法人マスタ!$A:$A,0)),""))</f>
        <v>積水ハウス・リート投資法人</v>
      </c>
      <c r="D571" s="1" t="str">
        <f aca="false">IF($A571="","",物件マスタ!C571)</f>
        <v>プライムメゾン西早稲田</v>
      </c>
      <c r="E571" s="1" t="str">
        <f aca="false">IF($A571="","",物件マスタ!H571)</f>
        <v>都心5区</v>
      </c>
      <c r="F571" s="53" t="n">
        <f aca="false">IF($A571="","",物件マスタ!P571)</f>
        <v>44774</v>
      </c>
      <c r="G571" s="1" t="n">
        <f aca="false">IF($A571="","",物件マスタ!Q571)</f>
        <v>4</v>
      </c>
      <c r="H571" s="1" t="n">
        <f aca="false">IF($A571="","",物件マスタ!L571)</f>
        <v>0</v>
      </c>
      <c r="I571" s="1" t="n">
        <f aca="false">IF($A571="","",物件マスタ!M571)</f>
        <v>1725.98</v>
      </c>
      <c r="J571" s="1" t="n">
        <f aca="false">IF($A571="","",物件マスタ!S571)</f>
        <v>2570</v>
      </c>
      <c r="K571" s="1" t="n">
        <f aca="false">IF($A571="","",物件マスタ!U571)</f>
        <v>2600</v>
      </c>
      <c r="L571" s="1" t="n">
        <f aca="false">IF($A571="","",物件マスタ!W571)</f>
        <v>0.938</v>
      </c>
      <c r="M571" s="1" t="str">
        <f aca="false">IF($A571="","",IFERROR(INDEX(法人マスタ!$H:$H,MATCH($B571,法人マスタ!$A:$A,0)),""))</f>
        <v>2026年4月期（第23期）</v>
      </c>
      <c r="N571" s="1" t="n">
        <f aca="false">IF($A571="","",SUMIFS(物件収支!$D:$D,物件収支!$A:$A,$A571,物件収支!$C:$C,$M571))</f>
        <v>6</v>
      </c>
      <c r="O571" s="1" t="n">
        <f aca="false">IF($A571="","",SUMIFS(物件収支!$F:$F,物件収支!$A:$A,$A571,物件収支!$C:$C,$M571))</f>
        <v>55000</v>
      </c>
      <c r="P571" s="1" t="n">
        <f aca="false">IF($A571="","",SUMIFS(物件収支!$I:$I,物件収支!$A:$A,$A571,物件収支!$C:$C,$M571))</f>
        <v>0</v>
      </c>
      <c r="Q571" s="1" t="n">
        <f aca="false">IF($A571="","",SUMIFS(物件収支!$O:$O,物件収支!$A:$A,$A571,物件収支!$C:$C,$M571))</f>
        <v>0</v>
      </c>
      <c r="R571" s="1" t="str">
        <f aca="false">IF($A571="","",IF(P571=0,"",O571-P571))</f>
        <v/>
      </c>
      <c r="S571" s="1" t="str">
        <f aca="false">IF($A571="","",IF(R571="","",R571+Q571))</f>
        <v/>
      </c>
      <c r="T571" s="1" t="str">
        <f aca="false">IF($A571="","",IF(OR(S571="",N571&lt;=0),"",S571/1000*12/N571))</f>
        <v/>
      </c>
      <c r="U571" s="1" t="str">
        <f aca="false">IF($A571="","",IF(OR(T571="",J571=0,J571=""),"",T571/J571))</f>
        <v/>
      </c>
      <c r="V571" s="1" t="str">
        <f aca="false">IF($A571="","",IF(OR(R571="",N571&lt;=0,J571=0,J571=""),"",(R571/1000*12/N571)/J571))</f>
        <v/>
      </c>
      <c r="W571" s="1" t="str">
        <f aca="false">IF($A571="","",IF(OR(T571="",K571=0,K571=""),"",T571/K571))</f>
        <v/>
      </c>
      <c r="X571" s="1" t="n">
        <f aca="false">IF($A571="","",IF(OR(N571&lt;=0,I571=0,I571="",O571=0),"",O571*1000/(I571*0.3025)/N571))</f>
        <v>17556.9996773024</v>
      </c>
      <c r="Y571" s="1" t="str">
        <f aca="false">IF($A571="","",IF(OR(O571=0,O571="",P571=0),"",P571/O571))</f>
        <v/>
      </c>
      <c r="Z571" s="1" t="str">
        <f aca="false">IF($A571="","",IFERROR(INDEX(物件収支!$E:$E,MATCH($A571,物件収支!$A:$A,0)),""))</f>
        <v>開示（物件別・収益のみ・百万円単位）</v>
      </c>
    </row>
    <row r="572" customFormat="false" ht="16.5" hidden="false" customHeight="true" outlineLevel="0" collapsed="false">
      <c r="A572" s="1" t="str">
        <f aca="false">IF(物件マスタ!A572="","",物件マスタ!A572)</f>
        <v>SHR-122</v>
      </c>
      <c r="B572" s="1" t="str">
        <f aca="false">IF($A572="","",物件マスタ!B572)</f>
        <v>SHR</v>
      </c>
      <c r="C572" s="1" t="str">
        <f aca="false">IF($A572="","",IFERROR(INDEX(法人マスタ!$C:$C,MATCH($B572,法人マスタ!$A:$A,0)),""))</f>
        <v>積水ハウス・リート投資法人</v>
      </c>
      <c r="D572" s="1" t="str">
        <f aca="false">IF($A572="","",物件マスタ!C572)</f>
        <v>プライムメゾン浅草イースト</v>
      </c>
      <c r="E572" s="1" t="str">
        <f aca="false">IF($A572="","",物件マスタ!H572)</f>
        <v>その他東京23区</v>
      </c>
      <c r="F572" s="53" t="n">
        <f aca="false">IF($A572="","",物件マスタ!P572)</f>
        <v>44713</v>
      </c>
      <c r="G572" s="1" t="n">
        <f aca="false">IF($A572="","",物件マスタ!Q572)</f>
        <v>4.2</v>
      </c>
      <c r="H572" s="1" t="n">
        <f aca="false">IF($A572="","",物件マスタ!L572)</f>
        <v>0</v>
      </c>
      <c r="I572" s="1" t="n">
        <f aca="false">IF($A572="","",物件マスタ!M572)</f>
        <v>1640.09</v>
      </c>
      <c r="J572" s="1" t="n">
        <f aca="false">IF($A572="","",物件マスタ!S572)</f>
        <v>2180</v>
      </c>
      <c r="K572" s="1" t="n">
        <f aca="false">IF($A572="","",物件マスタ!U572)</f>
        <v>2220</v>
      </c>
      <c r="L572" s="1" t="n">
        <f aca="false">IF($A572="","",物件マスタ!W572)</f>
        <v>0.96</v>
      </c>
      <c r="M572" s="1" t="str">
        <f aca="false">IF($A572="","",IFERROR(INDEX(法人マスタ!$H:$H,MATCH($B572,法人マスタ!$A:$A,0)),""))</f>
        <v>2026年4月期（第23期）</v>
      </c>
      <c r="N572" s="1" t="n">
        <f aca="false">IF($A572="","",SUMIFS(物件収支!$D:$D,物件収支!$A:$A,$A572,物件収支!$C:$C,$M572))</f>
        <v>6</v>
      </c>
      <c r="O572" s="1" t="n">
        <f aca="false">IF($A572="","",SUMIFS(物件収支!$F:$F,物件収支!$A:$A,$A572,物件収支!$C:$C,$M572))</f>
        <v>45000</v>
      </c>
      <c r="P572" s="1" t="n">
        <f aca="false">IF($A572="","",SUMIFS(物件収支!$I:$I,物件収支!$A:$A,$A572,物件収支!$C:$C,$M572))</f>
        <v>0</v>
      </c>
      <c r="Q572" s="1" t="n">
        <f aca="false">IF($A572="","",SUMIFS(物件収支!$O:$O,物件収支!$A:$A,$A572,物件収支!$C:$C,$M572))</f>
        <v>0</v>
      </c>
      <c r="R572" s="1" t="str">
        <f aca="false">IF($A572="","",IF(P572=0,"",O572-P572))</f>
        <v/>
      </c>
      <c r="S572" s="1" t="str">
        <f aca="false">IF($A572="","",IF(R572="","",R572+Q572))</f>
        <v/>
      </c>
      <c r="T572" s="1" t="str">
        <f aca="false">IF($A572="","",IF(OR(S572="",N572&lt;=0),"",S572/1000*12/N572))</f>
        <v/>
      </c>
      <c r="U572" s="1" t="str">
        <f aca="false">IF($A572="","",IF(OR(T572="",J572=0,J572=""),"",T572/J572))</f>
        <v/>
      </c>
      <c r="V572" s="1" t="str">
        <f aca="false">IF($A572="","",IF(OR(R572="",N572&lt;=0,J572=0,J572=""),"",(R572/1000*12/N572)/J572))</f>
        <v/>
      </c>
      <c r="W572" s="1" t="str">
        <f aca="false">IF($A572="","",IF(OR(T572="",K572=0,K572=""),"",T572/K572))</f>
        <v/>
      </c>
      <c r="X572" s="1" t="n">
        <f aca="false">IF($A572="","",IF(OR(N572&lt;=0,I572=0,I572="",O572=0),"",O572*1000/(I572*0.3025)/N572))</f>
        <v>15117.0901778269</v>
      </c>
      <c r="Y572" s="1" t="str">
        <f aca="false">IF($A572="","",IF(OR(O572=0,O572="",P572=0),"",P572/O572))</f>
        <v/>
      </c>
      <c r="Z572" s="1" t="str">
        <f aca="false">IF($A572="","",IFERROR(INDEX(物件収支!$E:$E,MATCH($A572,物件収支!$A:$A,0)),""))</f>
        <v>開示（物件別・収益のみ・百万円単位）</v>
      </c>
    </row>
    <row r="573" customFormat="false" ht="16.5" hidden="false" customHeight="true" outlineLevel="0" collapsed="false">
      <c r="A573" s="1" t="str">
        <f aca="false">IF(物件マスタ!A573="","",物件マスタ!A573)</f>
        <v>SHR-123</v>
      </c>
      <c r="B573" s="1" t="str">
        <f aca="false">IF($A573="","",物件マスタ!B573)</f>
        <v>SHR</v>
      </c>
      <c r="C573" s="1" t="str">
        <f aca="false">IF($A573="","",IFERROR(INDEX(法人マスタ!$C:$C,MATCH($B573,法人マスタ!$A:$A,0)),""))</f>
        <v>積水ハウス・リート投資法人</v>
      </c>
      <c r="D573" s="1" t="str">
        <f aca="false">IF($A573="","",物件マスタ!C573)</f>
        <v>プライムメゾン桜新町</v>
      </c>
      <c r="E573" s="1" t="str">
        <f aca="false">IF($A573="","",物件マスタ!H573)</f>
        <v>その他東京23区</v>
      </c>
      <c r="F573" s="53" t="n">
        <f aca="false">IF($A573="","",物件マスタ!P573)</f>
        <v>44774</v>
      </c>
      <c r="G573" s="1" t="n">
        <f aca="false">IF($A573="","",物件マスタ!Q573)</f>
        <v>4</v>
      </c>
      <c r="H573" s="1" t="n">
        <f aca="false">IF($A573="","",物件マスタ!L573)</f>
        <v>0</v>
      </c>
      <c r="I573" s="1" t="n">
        <f aca="false">IF($A573="","",物件マスタ!M573)</f>
        <v>1364.84</v>
      </c>
      <c r="J573" s="1" t="n">
        <f aca="false">IF($A573="","",物件マスタ!S573)</f>
        <v>1840</v>
      </c>
      <c r="K573" s="1" t="n">
        <f aca="false">IF($A573="","",物件マスタ!U573)</f>
        <v>1900</v>
      </c>
      <c r="L573" s="1" t="n">
        <f aca="false">IF($A573="","",物件マスタ!W573)</f>
        <v>1</v>
      </c>
      <c r="M573" s="1" t="str">
        <f aca="false">IF($A573="","",IFERROR(INDEX(法人マスタ!$H:$H,MATCH($B573,法人マスタ!$A:$A,0)),""))</f>
        <v>2026年4月期（第23期）</v>
      </c>
      <c r="N573" s="1" t="n">
        <f aca="false">IF($A573="","",SUMIFS(物件収支!$D:$D,物件収支!$A:$A,$A573,物件収支!$C:$C,$M573))</f>
        <v>6</v>
      </c>
      <c r="O573" s="1" t="n">
        <f aca="false">IF($A573="","",SUMIFS(物件収支!$F:$F,物件収支!$A:$A,$A573,物件収支!$C:$C,$M573))</f>
        <v>43000</v>
      </c>
      <c r="P573" s="1" t="n">
        <f aca="false">IF($A573="","",SUMIFS(物件収支!$I:$I,物件収支!$A:$A,$A573,物件収支!$C:$C,$M573))</f>
        <v>0</v>
      </c>
      <c r="Q573" s="1" t="n">
        <f aca="false">IF($A573="","",SUMIFS(物件収支!$O:$O,物件収支!$A:$A,$A573,物件収支!$C:$C,$M573))</f>
        <v>0</v>
      </c>
      <c r="R573" s="1" t="str">
        <f aca="false">IF($A573="","",IF(P573=0,"",O573-P573))</f>
        <v/>
      </c>
      <c r="S573" s="1" t="str">
        <f aca="false">IF($A573="","",IF(R573="","",R573+Q573))</f>
        <v/>
      </c>
      <c r="T573" s="1" t="str">
        <f aca="false">IF($A573="","",IF(OR(S573="",N573&lt;=0),"",S573/1000*12/N573))</f>
        <v/>
      </c>
      <c r="U573" s="1" t="str">
        <f aca="false">IF($A573="","",IF(OR(T573="",J573=0,J573=""),"",T573/J573))</f>
        <v/>
      </c>
      <c r="V573" s="1" t="str">
        <f aca="false">IF($A573="","",IF(OR(R573="",N573&lt;=0,J573=0,J573=""),"",(R573/1000*12/N573)/J573))</f>
        <v/>
      </c>
      <c r="W573" s="1" t="str">
        <f aca="false">IF($A573="","",IF(OR(T573="",K573=0,K573=""),"",T573/K573))</f>
        <v/>
      </c>
      <c r="X573" s="1" t="n">
        <f aca="false">IF($A573="","",IF(OR(N573&lt;=0,I573=0,I573="",O573=0),"",O573*1000/(I573*0.3025)/N573))</f>
        <v>17358.4156788315</v>
      </c>
      <c r="Y573" s="1" t="str">
        <f aca="false">IF($A573="","",IF(OR(O573=0,O573="",P573=0),"",P573/O573))</f>
        <v/>
      </c>
      <c r="Z573" s="1" t="str">
        <f aca="false">IF($A573="","",IFERROR(INDEX(物件収支!$E:$E,MATCH($A573,物件収支!$A:$A,0)),""))</f>
        <v>開示（物件別・収益のみ・百万円単位）</v>
      </c>
    </row>
    <row r="574" customFormat="false" ht="16.5" hidden="false" customHeight="true" outlineLevel="0" collapsed="false">
      <c r="A574" s="1" t="str">
        <f aca="false">IF(物件マスタ!A574="","",物件マスタ!A574)</f>
        <v>SHR-124</v>
      </c>
      <c r="B574" s="1" t="str">
        <f aca="false">IF($A574="","",物件マスタ!B574)</f>
        <v>SHR</v>
      </c>
      <c r="C574" s="1" t="str">
        <f aca="false">IF($A574="","",IFERROR(INDEX(法人マスタ!$C:$C,MATCH($B574,法人マスタ!$A:$A,0)),""))</f>
        <v>積水ハウス・リート投資法人</v>
      </c>
      <c r="D574" s="1" t="str">
        <f aca="false">IF($A574="","",物件マスタ!C574)</f>
        <v>エスティメゾン南行徳</v>
      </c>
      <c r="E574" s="1" t="str">
        <f aca="false">IF($A574="","",物件マスタ!H574)</f>
        <v>東京周辺都市部</v>
      </c>
      <c r="F574" s="53" t="n">
        <f aca="false">IF($A574="","",物件マスタ!P574)</f>
        <v>39600</v>
      </c>
      <c r="G574" s="1" t="n">
        <f aca="false">IF($A574="","",物件マスタ!Q574)</f>
        <v>18.2</v>
      </c>
      <c r="H574" s="1" t="n">
        <f aca="false">IF($A574="","",物件マスタ!L574)</f>
        <v>0</v>
      </c>
      <c r="I574" s="1" t="n">
        <f aca="false">IF($A574="","",物件マスタ!M574)</f>
        <v>1148.19</v>
      </c>
      <c r="J574" s="1" t="n">
        <f aca="false">IF($A574="","",物件マスタ!S574)</f>
        <v>950</v>
      </c>
      <c r="K574" s="1" t="n">
        <f aca="false">IF($A574="","",物件マスタ!U574)</f>
        <v>990</v>
      </c>
      <c r="L574" s="1" t="n">
        <f aca="false">IF($A574="","",物件マスタ!W574)</f>
        <v>0.955</v>
      </c>
      <c r="M574" s="1" t="str">
        <f aca="false">IF($A574="","",IFERROR(INDEX(法人マスタ!$H:$H,MATCH($B574,法人マスタ!$A:$A,0)),""))</f>
        <v>2026年4月期（第23期）</v>
      </c>
      <c r="N574" s="1" t="n">
        <f aca="false">IF($A574="","",SUMIFS(物件収支!$D:$D,物件収支!$A:$A,$A574,物件収支!$C:$C,$M574))</f>
        <v>6</v>
      </c>
      <c r="O574" s="1" t="n">
        <f aca="false">IF($A574="","",SUMIFS(物件収支!$F:$F,物件収支!$A:$A,$A574,物件収支!$C:$C,$M574))</f>
        <v>24000</v>
      </c>
      <c r="P574" s="1" t="n">
        <f aca="false">IF($A574="","",SUMIFS(物件収支!$I:$I,物件収支!$A:$A,$A574,物件収支!$C:$C,$M574))</f>
        <v>0</v>
      </c>
      <c r="Q574" s="1" t="n">
        <f aca="false">IF($A574="","",SUMIFS(物件収支!$O:$O,物件収支!$A:$A,$A574,物件収支!$C:$C,$M574))</f>
        <v>0</v>
      </c>
      <c r="R574" s="1" t="str">
        <f aca="false">IF($A574="","",IF(P574=0,"",O574-P574))</f>
        <v/>
      </c>
      <c r="S574" s="1" t="str">
        <f aca="false">IF($A574="","",IF(R574="","",R574+Q574))</f>
        <v/>
      </c>
      <c r="T574" s="1" t="str">
        <f aca="false">IF($A574="","",IF(OR(S574="",N574&lt;=0),"",S574/1000*12/N574))</f>
        <v/>
      </c>
      <c r="U574" s="1" t="str">
        <f aca="false">IF($A574="","",IF(OR(T574="",J574=0,J574=""),"",T574/J574))</f>
        <v/>
      </c>
      <c r="V574" s="1" t="str">
        <f aca="false">IF($A574="","",IF(OR(R574="",N574&lt;=0,J574=0,J574=""),"",(R574/1000*12/N574)/J574))</f>
        <v/>
      </c>
      <c r="W574" s="1" t="str">
        <f aca="false">IF($A574="","",IF(OR(T574="",K574=0,K574=""),"",T574/K574))</f>
        <v/>
      </c>
      <c r="X574" s="1" t="n">
        <f aca="false">IF($A574="","",IF(OR(N574&lt;=0,I574=0,I574="",O574=0),"",O574*1000/(I574*0.3025)/N574))</f>
        <v>11516.5090236527</v>
      </c>
      <c r="Y574" s="1" t="str">
        <f aca="false">IF($A574="","",IF(OR(O574=0,O574="",P574=0),"",P574/O574))</f>
        <v/>
      </c>
      <c r="Z574" s="1" t="str">
        <f aca="false">IF($A574="","",IFERROR(INDEX(物件収支!$E:$E,MATCH($A574,物件収支!$A:$A,0)),""))</f>
        <v>開示（物件別・収益のみ・百万円単位）</v>
      </c>
    </row>
    <row r="575" customFormat="false" ht="16.5" hidden="false" customHeight="true" outlineLevel="0" collapsed="false">
      <c r="A575" s="1" t="str">
        <f aca="false">IF(物件マスタ!A575="","",物件マスタ!A575)</f>
        <v>SHR-125</v>
      </c>
      <c r="B575" s="1" t="str">
        <f aca="false">IF($A575="","",物件マスタ!B575)</f>
        <v>SHR</v>
      </c>
      <c r="C575" s="1" t="str">
        <f aca="false">IF($A575="","",IFERROR(INDEX(法人マスタ!$C:$C,MATCH($B575,法人マスタ!$A:$A,0)),""))</f>
        <v>積水ハウス・リート投資法人</v>
      </c>
      <c r="D575" s="1" t="str">
        <f aca="false">IF($A575="","",物件マスタ!C575)</f>
        <v>プライムメゾン森下ウエスト</v>
      </c>
      <c r="E575" s="1" t="str">
        <f aca="false">IF($A575="","",物件マスタ!H575)</f>
        <v>その他東京23区</v>
      </c>
      <c r="F575" s="53" t="n">
        <f aca="false">IF($A575="","",物件マスタ!P575)</f>
        <v>44986</v>
      </c>
      <c r="G575" s="1" t="n">
        <f aca="false">IF($A575="","",物件マスタ!Q575)</f>
        <v>3.4</v>
      </c>
      <c r="H575" s="1" t="n">
        <f aca="false">IF($A575="","",物件マスタ!L575)</f>
        <v>0</v>
      </c>
      <c r="I575" s="1" t="n">
        <f aca="false">IF($A575="","",物件マスタ!M575)</f>
        <v>5559.57</v>
      </c>
      <c r="J575" s="1" t="n">
        <f aca="false">IF($A575="","",物件マスタ!S575)</f>
        <v>8200</v>
      </c>
      <c r="K575" s="1" t="n">
        <f aca="false">IF($A575="","",物件マスタ!U575)</f>
        <v>8670</v>
      </c>
      <c r="L575" s="1" t="n">
        <f aca="false">IF($A575="","",物件マスタ!W575)</f>
        <v>0.93</v>
      </c>
      <c r="M575" s="1" t="str">
        <f aca="false">IF($A575="","",IFERROR(INDEX(法人マスタ!$H:$H,MATCH($B575,法人マスタ!$A:$A,0)),""))</f>
        <v>2026年4月期（第23期）</v>
      </c>
      <c r="N575" s="1" t="n">
        <f aca="false">IF($A575="","",SUMIFS(物件収支!$D:$D,物件収支!$A:$A,$A575,物件収支!$C:$C,$M575))</f>
        <v>6</v>
      </c>
      <c r="O575" s="1" t="n">
        <f aca="false">IF($A575="","",SUMIFS(物件収支!$F:$F,物件収支!$A:$A,$A575,物件収支!$C:$C,$M575))</f>
        <v>187000</v>
      </c>
      <c r="P575" s="1" t="n">
        <f aca="false">IF($A575="","",SUMIFS(物件収支!$I:$I,物件収支!$A:$A,$A575,物件収支!$C:$C,$M575))</f>
        <v>0</v>
      </c>
      <c r="Q575" s="1" t="n">
        <f aca="false">IF($A575="","",SUMIFS(物件収支!$O:$O,物件収支!$A:$A,$A575,物件収支!$C:$C,$M575))</f>
        <v>0</v>
      </c>
      <c r="R575" s="1" t="str">
        <f aca="false">IF($A575="","",IF(P575=0,"",O575-P575))</f>
        <v/>
      </c>
      <c r="S575" s="1" t="str">
        <f aca="false">IF($A575="","",IF(R575="","",R575+Q575))</f>
        <v/>
      </c>
      <c r="T575" s="1" t="str">
        <f aca="false">IF($A575="","",IF(OR(S575="",N575&lt;=0),"",S575/1000*12/N575))</f>
        <v/>
      </c>
      <c r="U575" s="1" t="str">
        <f aca="false">IF($A575="","",IF(OR(T575="",J575=0,J575=""),"",T575/J575))</f>
        <v/>
      </c>
      <c r="V575" s="1" t="str">
        <f aca="false">IF($A575="","",IF(OR(R575="",N575&lt;=0,J575=0,J575=""),"",(R575/1000*12/N575)/J575))</f>
        <v/>
      </c>
      <c r="W575" s="1" t="str">
        <f aca="false">IF($A575="","",IF(OR(T575="",K575=0,K575=""),"",T575/K575))</f>
        <v/>
      </c>
      <c r="X575" s="1" t="n">
        <f aca="false">IF($A575="","",IF(OR(N575&lt;=0,I575=0,I575="",O575=0),"",O575*1000/(I575*0.3025)/N575))</f>
        <v>18532.0632765309</v>
      </c>
      <c r="Y575" s="1" t="str">
        <f aca="false">IF($A575="","",IF(OR(O575=0,O575="",P575=0),"",P575/O575))</f>
        <v/>
      </c>
      <c r="Z575" s="1" t="str">
        <f aca="false">IF($A575="","",IFERROR(INDEX(物件収支!$E:$E,MATCH($A575,物件収支!$A:$A,0)),""))</f>
        <v>開示（物件別・収益のみ・百万円単位）</v>
      </c>
    </row>
    <row r="576" customFormat="false" ht="16.5" hidden="false" customHeight="true" outlineLevel="0" collapsed="false">
      <c r="A576" s="1" t="str">
        <f aca="false">IF(物件マスタ!A576="","",物件マスタ!A576)</f>
        <v>SHR-126</v>
      </c>
      <c r="B576" s="1" t="str">
        <f aca="false">IF($A576="","",物件マスタ!B576)</f>
        <v>SHR</v>
      </c>
      <c r="C576" s="1" t="str">
        <f aca="false">IF($A576="","",IFERROR(INDEX(法人マスタ!$C:$C,MATCH($B576,法人マスタ!$A:$A,0)),""))</f>
        <v>積水ハウス・リート投資法人</v>
      </c>
      <c r="D576" s="1" t="str">
        <f aca="false">IF($A576="","",物件マスタ!C576)</f>
        <v>プライムメゾン横浜ウエスト</v>
      </c>
      <c r="E576" s="1" t="str">
        <f aca="false">IF($A576="","",物件マスタ!H576)</f>
        <v>東京周辺都市部</v>
      </c>
      <c r="F576" s="53" t="n">
        <f aca="false">IF($A576="","",物件マスタ!P576)</f>
        <v>44927</v>
      </c>
      <c r="G576" s="1" t="n">
        <f aca="false">IF($A576="","",物件マスタ!Q576)</f>
        <v>3.6</v>
      </c>
      <c r="H576" s="1" t="n">
        <f aca="false">IF($A576="","",物件マスタ!L576)</f>
        <v>0</v>
      </c>
      <c r="I576" s="1" t="n">
        <f aca="false">IF($A576="","",物件マスタ!M576)</f>
        <v>5653.68</v>
      </c>
      <c r="J576" s="1" t="n">
        <f aca="false">IF($A576="","",物件マスタ!S576)</f>
        <v>7350</v>
      </c>
      <c r="K576" s="1" t="n">
        <f aca="false">IF($A576="","",物件マスタ!U576)</f>
        <v>7970</v>
      </c>
      <c r="L576" s="1" t="n">
        <f aca="false">IF($A576="","",物件マスタ!W576)</f>
        <v>0.959</v>
      </c>
      <c r="M576" s="1" t="str">
        <f aca="false">IF($A576="","",IFERROR(INDEX(法人マスタ!$H:$H,MATCH($B576,法人マスタ!$A:$A,0)),""))</f>
        <v>2026年4月期（第23期）</v>
      </c>
      <c r="N576" s="1" t="n">
        <f aca="false">IF($A576="","",SUMIFS(物件収支!$D:$D,物件収支!$A:$A,$A576,物件収支!$C:$C,$M576))</f>
        <v>6</v>
      </c>
      <c r="O576" s="1" t="n">
        <f aca="false">IF($A576="","",SUMIFS(物件収支!$F:$F,物件収支!$A:$A,$A576,物件収支!$C:$C,$M576))</f>
        <v>182000</v>
      </c>
      <c r="P576" s="1" t="n">
        <f aca="false">IF($A576="","",SUMIFS(物件収支!$I:$I,物件収支!$A:$A,$A576,物件収支!$C:$C,$M576))</f>
        <v>0</v>
      </c>
      <c r="Q576" s="1" t="n">
        <f aca="false">IF($A576="","",SUMIFS(物件収支!$O:$O,物件収支!$A:$A,$A576,物件収支!$C:$C,$M576))</f>
        <v>0</v>
      </c>
      <c r="R576" s="1" t="str">
        <f aca="false">IF($A576="","",IF(P576=0,"",O576-P576))</f>
        <v/>
      </c>
      <c r="S576" s="1" t="str">
        <f aca="false">IF($A576="","",IF(R576="","",R576+Q576))</f>
        <v/>
      </c>
      <c r="T576" s="1" t="str">
        <f aca="false">IF($A576="","",IF(OR(S576="",N576&lt;=0),"",S576/1000*12/N576))</f>
        <v/>
      </c>
      <c r="U576" s="1" t="str">
        <f aca="false">IF($A576="","",IF(OR(T576="",J576=0,J576=""),"",T576/J576))</f>
        <v/>
      </c>
      <c r="V576" s="1" t="str">
        <f aca="false">IF($A576="","",IF(OR(R576="",N576&lt;=0,J576=0,J576=""),"",(R576/1000*12/N576)/J576))</f>
        <v/>
      </c>
      <c r="W576" s="1" t="str">
        <f aca="false">IF($A576="","",IF(OR(T576="",K576=0,K576=""),"",T576/K576))</f>
        <v/>
      </c>
      <c r="X576" s="1" t="n">
        <f aca="false">IF($A576="","",IF(OR(N576&lt;=0,I576=0,I576="",O576=0),"",O576*1000/(I576*0.3025)/N576))</f>
        <v>17736.320784633</v>
      </c>
      <c r="Y576" s="1" t="str">
        <f aca="false">IF($A576="","",IF(OR(O576=0,O576="",P576=0),"",P576/O576))</f>
        <v/>
      </c>
      <c r="Z576" s="1" t="str">
        <f aca="false">IF($A576="","",IFERROR(INDEX(物件収支!$E:$E,MATCH($A576,物件収支!$A:$A,0)),""))</f>
        <v>開示（物件別・収益のみ・百万円単位）</v>
      </c>
    </row>
    <row r="577" customFormat="false" ht="16.5" hidden="false" customHeight="true" outlineLevel="0" collapsed="false">
      <c r="A577" s="1" t="str">
        <f aca="false">IF(物件マスタ!A577="","",物件マスタ!A577)</f>
        <v>SHR-127</v>
      </c>
      <c r="B577" s="1" t="str">
        <f aca="false">IF($A577="","",物件マスタ!B577)</f>
        <v>SHR</v>
      </c>
      <c r="C577" s="1" t="str">
        <f aca="false">IF($A577="","",IFERROR(INDEX(法人マスタ!$C:$C,MATCH($B577,法人マスタ!$A:$A,0)),""))</f>
        <v>積水ハウス・リート投資法人</v>
      </c>
      <c r="D577" s="1" t="str">
        <f aca="false">IF($A577="","",物件マスタ!C577)</f>
        <v>エスティメゾン妙典</v>
      </c>
      <c r="E577" s="1" t="str">
        <f aca="false">IF($A577="","",物件マスタ!H577)</f>
        <v>東京周辺都市部</v>
      </c>
      <c r="F577" s="53" t="n">
        <f aca="false">IF($A577="","",物件マスタ!P577)</f>
        <v>36739</v>
      </c>
      <c r="G577" s="1" t="n">
        <f aca="false">IF($A577="","",物件マスタ!Q577)</f>
        <v>26</v>
      </c>
      <c r="H577" s="1" t="n">
        <f aca="false">IF($A577="","",物件マスタ!L577)</f>
        <v>0</v>
      </c>
      <c r="I577" s="1" t="n">
        <f aca="false">IF($A577="","",物件マスタ!M577)</f>
        <v>2433.74</v>
      </c>
      <c r="J577" s="1" t="n">
        <f aca="false">IF($A577="","",物件マスタ!S577)</f>
        <v>1450</v>
      </c>
      <c r="K577" s="1" t="n">
        <f aca="false">IF($A577="","",物件マスタ!U577)</f>
        <v>1550</v>
      </c>
      <c r="L577" s="1" t="n">
        <f aca="false">IF($A577="","",物件マスタ!W577)</f>
        <v>0.975</v>
      </c>
      <c r="M577" s="1" t="str">
        <f aca="false">IF($A577="","",IFERROR(INDEX(法人マスタ!$H:$H,MATCH($B577,法人マスタ!$A:$A,0)),""))</f>
        <v>2026年4月期（第23期）</v>
      </c>
      <c r="N577" s="1" t="n">
        <f aca="false">IF($A577="","",SUMIFS(物件収支!$D:$D,物件収支!$A:$A,$A577,物件収支!$C:$C,$M577))</f>
        <v>6</v>
      </c>
      <c r="O577" s="1" t="n">
        <f aca="false">IF($A577="","",SUMIFS(物件収支!$F:$F,物件収支!$A:$A,$A577,物件収支!$C:$C,$M577))</f>
        <v>35000</v>
      </c>
      <c r="P577" s="1" t="n">
        <f aca="false">IF($A577="","",SUMIFS(物件収支!$I:$I,物件収支!$A:$A,$A577,物件収支!$C:$C,$M577))</f>
        <v>0</v>
      </c>
      <c r="Q577" s="1" t="n">
        <f aca="false">IF($A577="","",SUMIFS(物件収支!$O:$O,物件収支!$A:$A,$A577,物件収支!$C:$C,$M577))</f>
        <v>0</v>
      </c>
      <c r="R577" s="1" t="str">
        <f aca="false">IF($A577="","",IF(P577=0,"",O577-P577))</f>
        <v/>
      </c>
      <c r="S577" s="1" t="str">
        <f aca="false">IF($A577="","",IF(R577="","",R577+Q577))</f>
        <v/>
      </c>
      <c r="T577" s="1" t="str">
        <f aca="false">IF($A577="","",IF(OR(S577="",N577&lt;=0),"",S577/1000*12/N577))</f>
        <v/>
      </c>
      <c r="U577" s="1" t="str">
        <f aca="false">IF($A577="","",IF(OR(T577="",J577=0,J577=""),"",T577/J577))</f>
        <v/>
      </c>
      <c r="V577" s="1" t="str">
        <f aca="false">IF($A577="","",IF(OR(R577="",N577&lt;=0,J577=0,J577=""),"",(R577/1000*12/N577)/J577))</f>
        <v/>
      </c>
      <c r="W577" s="1" t="str">
        <f aca="false">IF($A577="","",IF(OR(T577="",K577=0,K577=""),"",T577/K577))</f>
        <v/>
      </c>
      <c r="X577" s="1" t="n">
        <f aca="false">IF($A577="","",IF(OR(N577&lt;=0,I577=0,I577="",O577=0),"",O577*1000/(I577*0.3025)/N577))</f>
        <v>7923.50315007923</v>
      </c>
      <c r="Y577" s="1" t="str">
        <f aca="false">IF($A577="","",IF(OR(O577=0,O577="",P577=0),"",P577/O577))</f>
        <v/>
      </c>
      <c r="Z577" s="1" t="str">
        <f aca="false">IF($A577="","",IFERROR(INDEX(物件収支!$E:$E,MATCH($A577,物件収支!$A:$A,0)),""))</f>
        <v>開示（物件別・収益のみ・百万円単位）</v>
      </c>
    </row>
    <row r="578" customFormat="false" ht="16.5" hidden="false" customHeight="true" outlineLevel="0" collapsed="false">
      <c r="A578" s="1" t="str">
        <f aca="false">IF(物件マスタ!A578="","",物件マスタ!A578)</f>
        <v>SHR-128</v>
      </c>
      <c r="B578" s="1" t="str">
        <f aca="false">IF($A578="","",物件マスタ!B578)</f>
        <v>SHR</v>
      </c>
      <c r="C578" s="1" t="str">
        <f aca="false">IF($A578="","",IFERROR(INDEX(法人マスタ!$C:$C,MATCH($B578,法人マスタ!$A:$A,0)),""))</f>
        <v>積水ハウス・リート投資法人</v>
      </c>
      <c r="D578" s="1" t="str">
        <f aca="false">IF($A578="","",物件マスタ!C578)</f>
        <v>エスティメゾン浦和</v>
      </c>
      <c r="E578" s="1" t="str">
        <f aca="false">IF($A578="","",物件マスタ!H578)</f>
        <v>東京周辺都市部</v>
      </c>
      <c r="F578" s="53" t="n">
        <f aca="false">IF($A578="","",物件マスタ!P578)</f>
        <v>44866</v>
      </c>
      <c r="G578" s="1" t="n">
        <f aca="false">IF($A578="","",物件マスタ!Q578)</f>
        <v>3.8</v>
      </c>
      <c r="H578" s="1" t="n">
        <f aca="false">IF($A578="","",物件マスタ!L578)</f>
        <v>0</v>
      </c>
      <c r="I578" s="1" t="n">
        <f aca="false">IF($A578="","",物件マスタ!M578)</f>
        <v>1153.67</v>
      </c>
      <c r="J578" s="1" t="n">
        <f aca="false">IF($A578="","",物件マスタ!S578)</f>
        <v>1210</v>
      </c>
      <c r="K578" s="1" t="n">
        <f aca="false">IF($A578="","",物件マスタ!U578)</f>
        <v>1280</v>
      </c>
      <c r="L578" s="1" t="n">
        <f aca="false">IF($A578="","",物件マスタ!W578)</f>
        <v>0.962</v>
      </c>
      <c r="M578" s="1" t="str">
        <f aca="false">IF($A578="","",IFERROR(INDEX(法人マスタ!$H:$H,MATCH($B578,法人マスタ!$A:$A,0)),""))</f>
        <v>2026年4月期（第23期）</v>
      </c>
      <c r="N578" s="1" t="n">
        <f aca="false">IF($A578="","",SUMIFS(物件収支!$D:$D,物件収支!$A:$A,$A578,物件収支!$C:$C,$M578))</f>
        <v>6</v>
      </c>
      <c r="O578" s="1" t="n">
        <f aca="false">IF($A578="","",SUMIFS(物件収支!$F:$F,物件収支!$A:$A,$A578,物件収支!$C:$C,$M578))</f>
        <v>26000</v>
      </c>
      <c r="P578" s="1" t="n">
        <f aca="false">IF($A578="","",SUMIFS(物件収支!$I:$I,物件収支!$A:$A,$A578,物件収支!$C:$C,$M578))</f>
        <v>0</v>
      </c>
      <c r="Q578" s="1" t="n">
        <f aca="false">IF($A578="","",SUMIFS(物件収支!$O:$O,物件収支!$A:$A,$A578,物件収支!$C:$C,$M578))</f>
        <v>0</v>
      </c>
      <c r="R578" s="1" t="str">
        <f aca="false">IF($A578="","",IF(P578=0,"",O578-P578))</f>
        <v/>
      </c>
      <c r="S578" s="1" t="str">
        <f aca="false">IF($A578="","",IF(R578="","",R578+Q578))</f>
        <v/>
      </c>
      <c r="T578" s="1" t="str">
        <f aca="false">IF($A578="","",IF(OR(S578="",N578&lt;=0),"",S578/1000*12/N578))</f>
        <v/>
      </c>
      <c r="U578" s="1" t="str">
        <f aca="false">IF($A578="","",IF(OR(T578="",J578=0,J578=""),"",T578/J578))</f>
        <v/>
      </c>
      <c r="V578" s="1" t="str">
        <f aca="false">IF($A578="","",IF(OR(R578="",N578&lt;=0,J578=0,J578=""),"",(R578/1000*12/N578)/J578))</f>
        <v/>
      </c>
      <c r="W578" s="1" t="str">
        <f aca="false">IF($A578="","",IF(OR(T578="",K578=0,K578=""),"",T578/K578))</f>
        <v/>
      </c>
      <c r="X578" s="1" t="n">
        <f aca="false">IF($A578="","",IF(OR(N578&lt;=0,I578=0,I578="",O578=0),"",O578*1000/(I578*0.3025)/N578))</f>
        <v>12416.9553429693</v>
      </c>
      <c r="Y578" s="1" t="str">
        <f aca="false">IF($A578="","",IF(OR(O578=0,O578="",P578=0),"",P578/O578))</f>
        <v/>
      </c>
      <c r="Z578" s="1" t="str">
        <f aca="false">IF($A578="","",IFERROR(INDEX(物件収支!$E:$E,MATCH($A578,物件収支!$A:$A,0)),""))</f>
        <v>開示（物件別・収益のみ・百万円単位）</v>
      </c>
    </row>
    <row r="579" customFormat="false" ht="16.5" hidden="false" customHeight="true" outlineLevel="0" collapsed="false">
      <c r="A579" s="1" t="str">
        <f aca="false">IF(物件マスタ!A579="","",物件マスタ!A579)</f>
        <v>SHR-129</v>
      </c>
      <c r="B579" s="1" t="str">
        <f aca="false">IF($A579="","",物件マスタ!B579)</f>
        <v>SHR</v>
      </c>
      <c r="C579" s="1" t="str">
        <f aca="false">IF($A579="","",IFERROR(INDEX(法人マスタ!$C:$C,MATCH($B579,法人マスタ!$A:$A,0)),""))</f>
        <v>積水ハウス・リート投資法人</v>
      </c>
      <c r="D579" s="1" t="str">
        <f aca="false">IF($A579="","",物件マスタ!C579)</f>
        <v>エスティメゾン西横浜</v>
      </c>
      <c r="E579" s="1" t="str">
        <f aca="false">IF($A579="","",物件マスタ!H579)</f>
        <v>東京周辺都市部</v>
      </c>
      <c r="F579" s="53" t="n">
        <f aca="false">IF($A579="","",物件マスタ!P579)</f>
        <v>38777</v>
      </c>
      <c r="G579" s="1" t="n">
        <f aca="false">IF($A579="","",物件マスタ!Q579)</f>
        <v>20.4</v>
      </c>
      <c r="H579" s="1" t="n">
        <f aca="false">IF($A579="","",物件マスタ!L579)</f>
        <v>0</v>
      </c>
      <c r="I579" s="1" t="n">
        <f aca="false">IF($A579="","",物件マスタ!M579)</f>
        <v>656.4</v>
      </c>
      <c r="J579" s="1" t="n">
        <f aca="false">IF($A579="","",物件マスタ!S579)</f>
        <v>580</v>
      </c>
      <c r="K579" s="1" t="n">
        <f aca="false">IF($A579="","",物件マスタ!U579)</f>
        <v>645</v>
      </c>
      <c r="L579" s="1" t="n">
        <f aca="false">IF($A579="","",物件マスタ!W579)</f>
        <v>0.967</v>
      </c>
      <c r="M579" s="1" t="str">
        <f aca="false">IF($A579="","",IFERROR(INDEX(法人マスタ!$H:$H,MATCH($B579,法人マスタ!$A:$A,0)),""))</f>
        <v>2026年4月期（第23期）</v>
      </c>
      <c r="N579" s="1" t="n">
        <f aca="false">IF($A579="","",SUMIFS(物件収支!$D:$D,物件収支!$A:$A,$A579,物件収支!$C:$C,$M579))</f>
        <v>6</v>
      </c>
      <c r="O579" s="1" t="n">
        <f aca="false">IF($A579="","",SUMIFS(物件収支!$F:$F,物件収支!$A:$A,$A579,物件収支!$C:$C,$M579))</f>
        <v>14000</v>
      </c>
      <c r="P579" s="1" t="n">
        <f aca="false">IF($A579="","",SUMIFS(物件収支!$I:$I,物件収支!$A:$A,$A579,物件収支!$C:$C,$M579))</f>
        <v>0</v>
      </c>
      <c r="Q579" s="1" t="n">
        <f aca="false">IF($A579="","",SUMIFS(物件収支!$O:$O,物件収支!$A:$A,$A579,物件収支!$C:$C,$M579))</f>
        <v>0</v>
      </c>
      <c r="R579" s="1" t="str">
        <f aca="false">IF($A579="","",IF(P579=0,"",O579-P579))</f>
        <v/>
      </c>
      <c r="S579" s="1" t="str">
        <f aca="false">IF($A579="","",IF(R579="","",R579+Q579))</f>
        <v/>
      </c>
      <c r="T579" s="1" t="str">
        <f aca="false">IF($A579="","",IF(OR(S579="",N579&lt;=0),"",S579/1000*12/N579))</f>
        <v/>
      </c>
      <c r="U579" s="1" t="str">
        <f aca="false">IF($A579="","",IF(OR(T579="",J579=0,J579=""),"",T579/J579))</f>
        <v/>
      </c>
      <c r="V579" s="1" t="str">
        <f aca="false">IF($A579="","",IF(OR(R579="",N579&lt;=0,J579=0,J579=""),"",(R579/1000*12/N579)/J579))</f>
        <v/>
      </c>
      <c r="W579" s="1" t="str">
        <f aca="false">IF($A579="","",IF(OR(T579="",K579=0,K579=""),"",T579/K579))</f>
        <v/>
      </c>
      <c r="X579" s="1" t="n">
        <f aca="false">IF($A579="","",IF(OR(N579&lt;=0,I579=0,I579="",O579=0),"",O579*1000/(I579*0.3025)/N579))</f>
        <v>11751.2166706117</v>
      </c>
      <c r="Y579" s="1" t="str">
        <f aca="false">IF($A579="","",IF(OR(O579=0,O579="",P579=0),"",P579/O579))</f>
        <v/>
      </c>
      <c r="Z579" s="1" t="str">
        <f aca="false">IF($A579="","",IFERROR(INDEX(物件収支!$E:$E,MATCH($A579,物件収支!$A:$A,0)),""))</f>
        <v>開示（物件別・収益のみ・百万円単位）</v>
      </c>
    </row>
    <row r="580" customFormat="false" ht="16.5" hidden="false" customHeight="true" outlineLevel="0" collapsed="false">
      <c r="A580" s="1" t="str">
        <f aca="false">IF(物件マスタ!A580="","",物件マスタ!A580)</f>
        <v>SHR-130</v>
      </c>
      <c r="B580" s="1" t="str">
        <f aca="false">IF($A580="","",物件マスタ!B580)</f>
        <v>SHR</v>
      </c>
      <c r="C580" s="1" t="str">
        <f aca="false">IF($A580="","",IFERROR(INDEX(法人マスタ!$C:$C,MATCH($B580,法人マスタ!$A:$A,0)),""))</f>
        <v>積水ハウス・リート投資法人</v>
      </c>
      <c r="D580" s="1" t="str">
        <f aca="false">IF($A580="","",物件マスタ!C580)</f>
        <v>エスティメゾン大塚</v>
      </c>
      <c r="E580" s="1" t="str">
        <f aca="false">IF($A580="","",物件マスタ!H580)</f>
        <v>その他東京23区</v>
      </c>
      <c r="F580" s="53" t="n">
        <f aca="false">IF($A580="","",物件マスタ!P580)</f>
        <v>38961</v>
      </c>
      <c r="G580" s="1" t="n">
        <f aca="false">IF($A580="","",物件マスタ!Q580)</f>
        <v>19.9</v>
      </c>
      <c r="H580" s="1" t="n">
        <f aca="false">IF($A580="","",物件マスタ!L580)</f>
        <v>0</v>
      </c>
      <c r="I580" s="1" t="n">
        <f aca="false">IF($A580="","",物件マスタ!M580)</f>
        <v>944.99</v>
      </c>
      <c r="J580" s="1" t="n">
        <f aca="false">IF($A580="","",物件マスタ!S580)</f>
        <v>1160</v>
      </c>
      <c r="K580" s="1" t="n">
        <f aca="false">IF($A580="","",物件マスタ!U580)</f>
        <v>1220</v>
      </c>
      <c r="L580" s="1" t="n">
        <f aca="false">IF($A580="","",物件マスタ!W580)</f>
        <v>0.957</v>
      </c>
      <c r="M580" s="1" t="str">
        <f aca="false">IF($A580="","",IFERROR(INDEX(法人マスタ!$H:$H,MATCH($B580,法人マスタ!$A:$A,0)),""))</f>
        <v>2026年4月期（第23期）</v>
      </c>
      <c r="N580" s="1" t="n">
        <f aca="false">IF($A580="","",SUMIFS(物件収支!$D:$D,物件収支!$A:$A,$A580,物件収支!$C:$C,$M580))</f>
        <v>6</v>
      </c>
      <c r="O580" s="1" t="n">
        <f aca="false">IF($A580="","",SUMIFS(物件収支!$F:$F,物件収支!$A:$A,$A580,物件収支!$C:$C,$M580))</f>
        <v>27000</v>
      </c>
      <c r="P580" s="1" t="n">
        <f aca="false">IF($A580="","",SUMIFS(物件収支!$I:$I,物件収支!$A:$A,$A580,物件収支!$C:$C,$M580))</f>
        <v>0</v>
      </c>
      <c r="Q580" s="1" t="n">
        <f aca="false">IF($A580="","",SUMIFS(物件収支!$O:$O,物件収支!$A:$A,$A580,物件収支!$C:$C,$M580))</f>
        <v>0</v>
      </c>
      <c r="R580" s="1" t="str">
        <f aca="false">IF($A580="","",IF(P580=0,"",O580-P580))</f>
        <v/>
      </c>
      <c r="S580" s="1" t="str">
        <f aca="false">IF($A580="","",IF(R580="","",R580+Q580))</f>
        <v/>
      </c>
      <c r="T580" s="1" t="str">
        <f aca="false">IF($A580="","",IF(OR(S580="",N580&lt;=0),"",S580/1000*12/N580))</f>
        <v/>
      </c>
      <c r="U580" s="1" t="str">
        <f aca="false">IF($A580="","",IF(OR(T580="",J580=0,J580=""),"",T580/J580))</f>
        <v/>
      </c>
      <c r="V580" s="1" t="str">
        <f aca="false">IF($A580="","",IF(OR(R580="",N580&lt;=0,J580=0,J580=""),"",(R580/1000*12/N580)/J580))</f>
        <v/>
      </c>
      <c r="W580" s="1" t="str">
        <f aca="false">IF($A580="","",IF(OR(T580="",K580=0,K580=""),"",T580/K580))</f>
        <v/>
      </c>
      <c r="X580" s="1" t="n">
        <f aca="false">IF($A580="","",IF(OR(N580&lt;=0,I580=0,I580="",O580=0),"",O580*1000/(I580*0.3025)/N580))</f>
        <v>15742.000505668</v>
      </c>
      <c r="Y580" s="1" t="str">
        <f aca="false">IF($A580="","",IF(OR(O580=0,O580="",P580=0),"",P580/O580))</f>
        <v/>
      </c>
      <c r="Z580" s="1" t="str">
        <f aca="false">IF($A580="","",IFERROR(INDEX(物件収支!$E:$E,MATCH($A580,物件収支!$A:$A,0)),""))</f>
        <v>開示（物件別・収益のみ・百万円単位）</v>
      </c>
    </row>
    <row r="581" customFormat="false" ht="16.5" hidden="false" customHeight="true" outlineLevel="0" collapsed="false">
      <c r="A581" s="1" t="str">
        <f aca="false">IF(物件マスタ!A581="","",物件マスタ!A581)</f>
        <v>SHR-131</v>
      </c>
      <c r="B581" s="1" t="str">
        <f aca="false">IF($A581="","",物件マスタ!B581)</f>
        <v>SHR</v>
      </c>
      <c r="C581" s="1" t="str">
        <f aca="false">IF($A581="","",IFERROR(INDEX(法人マスタ!$C:$C,MATCH($B581,法人マスタ!$A:$A,0)),""))</f>
        <v>積水ハウス・リート投資法人</v>
      </c>
      <c r="D581" s="1" t="str">
        <f aca="false">IF($A581="","",物件マスタ!C581)</f>
        <v>エスティメゾン浦和Ⅱ</v>
      </c>
      <c r="E581" s="1" t="str">
        <f aca="false">IF($A581="","",物件マスタ!H581)</f>
        <v>東京周辺都市部</v>
      </c>
      <c r="F581" s="53" t="n">
        <f aca="false">IF($A581="","",物件マスタ!P581)</f>
        <v>45748</v>
      </c>
      <c r="G581" s="1" t="n">
        <f aca="false">IF($A581="","",物件マスタ!Q581)</f>
        <v>1.4</v>
      </c>
      <c r="H581" s="1" t="n">
        <f aca="false">IF($A581="","",物件マスタ!L581)</f>
        <v>0</v>
      </c>
      <c r="I581" s="1" t="n">
        <f aca="false">IF($A581="","",物件マスタ!M581)</f>
        <v>1309.45</v>
      </c>
      <c r="J581" s="1" t="n">
        <f aca="false">IF($A581="","",物件マスタ!S581)</f>
        <v>1430</v>
      </c>
      <c r="K581" s="1" t="n">
        <f aca="false">IF($A581="","",物件マスタ!U581)</f>
        <v>1500</v>
      </c>
      <c r="L581" s="1" t="n">
        <f aca="false">IF($A581="","",物件マスタ!W581)</f>
        <v>1</v>
      </c>
      <c r="M581" s="1" t="str">
        <f aca="false">IF($A581="","",IFERROR(INDEX(法人マスタ!$H:$H,MATCH($B581,法人マスタ!$A:$A,0)),""))</f>
        <v>2026年4月期（第23期）</v>
      </c>
      <c r="N581" s="1" t="n">
        <f aca="false">IF($A581="","",SUMIFS(物件収支!$D:$D,物件収支!$A:$A,$A581,物件収支!$C:$C,$M581))</f>
        <v>6</v>
      </c>
      <c r="O581" s="1" t="n">
        <f aca="false">IF($A581="","",SUMIFS(物件収支!$F:$F,物件収支!$A:$A,$A581,物件収支!$C:$C,$M581))</f>
        <v>34000</v>
      </c>
      <c r="P581" s="1" t="n">
        <f aca="false">IF($A581="","",SUMIFS(物件収支!$I:$I,物件収支!$A:$A,$A581,物件収支!$C:$C,$M581))</f>
        <v>0</v>
      </c>
      <c r="Q581" s="1" t="n">
        <f aca="false">IF($A581="","",SUMIFS(物件収支!$O:$O,物件収支!$A:$A,$A581,物件収支!$C:$C,$M581))</f>
        <v>0</v>
      </c>
      <c r="R581" s="1" t="str">
        <f aca="false">IF($A581="","",IF(P581=0,"",O581-P581))</f>
        <v/>
      </c>
      <c r="S581" s="1" t="str">
        <f aca="false">IF($A581="","",IF(R581="","",R581+Q581))</f>
        <v/>
      </c>
      <c r="T581" s="1" t="str">
        <f aca="false">IF($A581="","",IF(OR(S581="",N581&lt;=0),"",S581/1000*12/N581))</f>
        <v/>
      </c>
      <c r="U581" s="1" t="str">
        <f aca="false">IF($A581="","",IF(OR(T581="",J581=0,J581=""),"",T581/J581))</f>
        <v/>
      </c>
      <c r="V581" s="1" t="str">
        <f aca="false">IF($A581="","",IF(OR(R581="",N581&lt;=0,J581=0,J581=""),"",(R581/1000*12/N581)/J581))</f>
        <v/>
      </c>
      <c r="W581" s="1" t="str">
        <f aca="false">IF($A581="","",IF(OR(T581="",K581=0,K581=""),"",T581/K581))</f>
        <v/>
      </c>
      <c r="X581" s="1" t="n">
        <f aca="false">IF($A581="","",IF(OR(N581&lt;=0,I581=0,I581="",O581=0),"",O581*1000/(I581*0.3025)/N581))</f>
        <v>14305.8401383375</v>
      </c>
      <c r="Y581" s="1" t="str">
        <f aca="false">IF($A581="","",IF(OR(O581=0,O581="",P581=0),"",P581/O581))</f>
        <v/>
      </c>
      <c r="Z581" s="1" t="str">
        <f aca="false">IF($A581="","",IFERROR(INDEX(物件収支!$E:$E,MATCH($A581,物件収支!$A:$A,0)),""))</f>
        <v>開示（物件別・収益のみ・百万円単位）</v>
      </c>
    </row>
    <row r="582" customFormat="false" ht="16.5" hidden="false" customHeight="true" outlineLevel="0" collapsed="false">
      <c r="A582" s="1" t="str">
        <f aca="false">IF(物件マスタ!A582="","",物件マスタ!A582)</f>
        <v>SHR-132</v>
      </c>
      <c r="B582" s="1" t="str">
        <f aca="false">IF($A582="","",物件マスタ!B582)</f>
        <v>SHR</v>
      </c>
      <c r="C582" s="1" t="str">
        <f aca="false">IF($A582="","",IFERROR(INDEX(法人マスタ!$C:$C,MATCH($B582,法人マスタ!$A:$A,0)),""))</f>
        <v>積水ハウス・リート投資法人</v>
      </c>
      <c r="D582" s="1" t="str">
        <f aca="false">IF($A582="","",物件マスタ!C582)</f>
        <v>エスティメゾン川越</v>
      </c>
      <c r="E582" s="1" t="str">
        <f aca="false">IF($A582="","",物件マスタ!H582)</f>
        <v>東京周辺都市部</v>
      </c>
      <c r="F582" s="53" t="n">
        <f aca="false">IF($A582="","",物件マスタ!P582)</f>
        <v>45658</v>
      </c>
      <c r="G582" s="1" t="n">
        <f aca="false">IF($A582="","",物件マスタ!Q582)</f>
        <v>1.6</v>
      </c>
      <c r="H582" s="1" t="n">
        <f aca="false">IF($A582="","",物件マスタ!L582)</f>
        <v>0</v>
      </c>
      <c r="I582" s="1" t="n">
        <f aca="false">IF($A582="","",物件マスタ!M582)</f>
        <v>1215.78</v>
      </c>
      <c r="J582" s="1" t="n">
        <f aca="false">IF($A582="","",物件マスタ!S582)</f>
        <v>898</v>
      </c>
      <c r="K582" s="1" t="n">
        <f aca="false">IF($A582="","",物件マスタ!U582)</f>
        <v>928</v>
      </c>
      <c r="L582" s="1" t="n">
        <f aca="false">IF($A582="","",物件マスタ!W582)</f>
        <v>0.898</v>
      </c>
      <c r="M582" s="1" t="str">
        <f aca="false">IF($A582="","",IFERROR(INDEX(法人マスタ!$H:$H,MATCH($B582,法人マスタ!$A:$A,0)),""))</f>
        <v>2026年4月期（第23期）</v>
      </c>
      <c r="N582" s="1" t="n">
        <f aca="false">IF($A582="","",SUMIFS(物件収支!$D:$D,物件収支!$A:$A,$A582,物件収支!$C:$C,$M582))</f>
        <v>6</v>
      </c>
      <c r="O582" s="1" t="n">
        <f aca="false">IF($A582="","",SUMIFS(物件収支!$F:$F,物件収支!$A:$A,$A582,物件収支!$C:$C,$M582))</f>
        <v>19000</v>
      </c>
      <c r="P582" s="1" t="n">
        <f aca="false">IF($A582="","",SUMIFS(物件収支!$I:$I,物件収支!$A:$A,$A582,物件収支!$C:$C,$M582))</f>
        <v>0</v>
      </c>
      <c r="Q582" s="1" t="n">
        <f aca="false">IF($A582="","",SUMIFS(物件収支!$O:$O,物件収支!$A:$A,$A582,物件収支!$C:$C,$M582))</f>
        <v>0</v>
      </c>
      <c r="R582" s="1" t="str">
        <f aca="false">IF($A582="","",IF(P582=0,"",O582-P582))</f>
        <v/>
      </c>
      <c r="S582" s="1" t="str">
        <f aca="false">IF($A582="","",IF(R582="","",R582+Q582))</f>
        <v/>
      </c>
      <c r="T582" s="1" t="str">
        <f aca="false">IF($A582="","",IF(OR(S582="",N582&lt;=0),"",S582/1000*12/N582))</f>
        <v/>
      </c>
      <c r="U582" s="1" t="str">
        <f aca="false">IF($A582="","",IF(OR(T582="",J582=0,J582=""),"",T582/J582))</f>
        <v/>
      </c>
      <c r="V582" s="1" t="str">
        <f aca="false">IF($A582="","",IF(OR(R582="",N582&lt;=0,J582=0,J582=""),"",(R582/1000*12/N582)/J582))</f>
        <v/>
      </c>
      <c r="W582" s="1" t="str">
        <f aca="false">IF($A582="","",IF(OR(T582="",K582=0,K582=""),"",T582/K582))</f>
        <v/>
      </c>
      <c r="X582" s="1" t="n">
        <f aca="false">IF($A582="","",IF(OR(N582&lt;=0,I582=0,I582="",O582=0),"",O582*1000/(I582*0.3025)/N582))</f>
        <v>8610.37322478463</v>
      </c>
      <c r="Y582" s="1" t="str">
        <f aca="false">IF($A582="","",IF(OR(O582=0,O582="",P582=0),"",P582/O582))</f>
        <v/>
      </c>
      <c r="Z582" s="1" t="str">
        <f aca="false">IF($A582="","",IFERROR(INDEX(物件収支!$E:$E,MATCH($A582,物件収支!$A:$A,0)),""))</f>
        <v>開示（物件別・収益のみ・百万円単位）</v>
      </c>
    </row>
    <row r="583" customFormat="false" ht="16.5" hidden="false" customHeight="true" outlineLevel="0" collapsed="false">
      <c r="A583" s="1" t="str">
        <f aca="false">IF(物件マスタ!A583="","",物件マスタ!A583)</f>
        <v>SHR-133</v>
      </c>
      <c r="B583" s="1" t="str">
        <f aca="false">IF($A583="","",物件マスタ!B583)</f>
        <v>SHR</v>
      </c>
      <c r="C583" s="1" t="str">
        <f aca="false">IF($A583="","",IFERROR(INDEX(法人マスタ!$C:$C,MATCH($B583,法人マスタ!$A:$A,0)),""))</f>
        <v>積水ハウス・リート投資法人</v>
      </c>
      <c r="D583" s="1" t="str">
        <f aca="false">IF($A583="","",物件マスタ!C583)</f>
        <v>エスティメゾン八潮</v>
      </c>
      <c r="E583" s="1" t="str">
        <f aca="false">IF($A583="","",物件マスタ!H583)</f>
        <v>東京周辺都市部</v>
      </c>
      <c r="F583" s="53" t="n">
        <f aca="false">IF($A583="","",物件マスタ!P583)</f>
        <v>39114</v>
      </c>
      <c r="G583" s="1" t="n">
        <f aca="false">IF($A583="","",物件マスタ!Q583)</f>
        <v>19.5</v>
      </c>
      <c r="H583" s="1" t="n">
        <f aca="false">IF($A583="","",物件マスタ!L583)</f>
        <v>0</v>
      </c>
      <c r="I583" s="1" t="n">
        <f aca="false">IF($A583="","",物件マスタ!M583)</f>
        <v>1496.46</v>
      </c>
      <c r="J583" s="1" t="n">
        <f aca="false">IF($A583="","",物件マスタ!S583)</f>
        <v>1000</v>
      </c>
      <c r="K583" s="1" t="n">
        <f aca="false">IF($A583="","",物件マスタ!U583)</f>
        <v>1080</v>
      </c>
      <c r="L583" s="1" t="n">
        <f aca="false">IF($A583="","",物件マスタ!W583)</f>
        <v>0.981</v>
      </c>
      <c r="M583" s="1" t="str">
        <f aca="false">IF($A583="","",IFERROR(INDEX(法人マスタ!$H:$H,MATCH($B583,法人マスタ!$A:$A,0)),""))</f>
        <v>2026年4月期（第23期）</v>
      </c>
      <c r="N583" s="1" t="n">
        <f aca="false">IF($A583="","",SUMIFS(物件収支!$D:$D,物件収支!$A:$A,$A583,物件収支!$C:$C,$M583))</f>
        <v>6</v>
      </c>
      <c r="O583" s="1" t="n">
        <f aca="false">IF($A583="","",SUMIFS(物件収支!$F:$F,物件収支!$A:$A,$A583,物件収支!$C:$C,$M583))</f>
        <v>28000</v>
      </c>
      <c r="P583" s="1" t="n">
        <f aca="false">IF($A583="","",SUMIFS(物件収支!$I:$I,物件収支!$A:$A,$A583,物件収支!$C:$C,$M583))</f>
        <v>0</v>
      </c>
      <c r="Q583" s="1" t="n">
        <f aca="false">IF($A583="","",SUMIFS(物件収支!$O:$O,物件収支!$A:$A,$A583,物件収支!$C:$C,$M583))</f>
        <v>0</v>
      </c>
      <c r="R583" s="1" t="str">
        <f aca="false">IF($A583="","",IF(P583=0,"",O583-P583))</f>
        <v/>
      </c>
      <c r="S583" s="1" t="str">
        <f aca="false">IF($A583="","",IF(R583="","",R583+Q583))</f>
        <v/>
      </c>
      <c r="T583" s="1" t="str">
        <f aca="false">IF($A583="","",IF(OR(S583="",N583&lt;=0),"",S583/1000*12/N583))</f>
        <v/>
      </c>
      <c r="U583" s="1" t="str">
        <f aca="false">IF($A583="","",IF(OR(T583="",J583=0,J583=""),"",T583/J583))</f>
        <v/>
      </c>
      <c r="V583" s="1" t="str">
        <f aca="false">IF($A583="","",IF(OR(R583="",N583&lt;=0,J583=0,J583=""),"",(R583/1000*12/N583)/J583))</f>
        <v/>
      </c>
      <c r="W583" s="1" t="str">
        <f aca="false">IF($A583="","",IF(OR(T583="",K583=0,K583=""),"",T583/K583))</f>
        <v/>
      </c>
      <c r="X583" s="1" t="n">
        <f aca="false">IF($A583="","",IF(OR(N583&lt;=0,I583=0,I583="",O583=0),"",O583*1000/(I583*0.3025)/N583))</f>
        <v>10308.9940560918</v>
      </c>
      <c r="Y583" s="1" t="str">
        <f aca="false">IF($A583="","",IF(OR(O583=0,O583="",P583=0),"",P583/O583))</f>
        <v/>
      </c>
      <c r="Z583" s="1" t="str">
        <f aca="false">IF($A583="","",IFERROR(INDEX(物件収支!$E:$E,MATCH($A583,物件収支!$A:$A,0)),""))</f>
        <v>開示（物件別・収益のみ・百万円単位）</v>
      </c>
    </row>
    <row r="584" customFormat="false" ht="16.5" hidden="false" customHeight="true" outlineLevel="0" collapsed="false">
      <c r="A584" s="1" t="str">
        <f aca="false">IF(物件マスタ!A584="","",物件マスタ!A584)</f>
        <v>SHR-134</v>
      </c>
      <c r="B584" s="1" t="str">
        <f aca="false">IF($A584="","",物件マスタ!B584)</f>
        <v>SHR</v>
      </c>
      <c r="C584" s="1" t="str">
        <f aca="false">IF($A584="","",IFERROR(INDEX(法人マスタ!$C:$C,MATCH($B584,法人マスタ!$A:$A,0)),""))</f>
        <v>積水ハウス・リート投資法人</v>
      </c>
      <c r="D584" s="1" t="str">
        <f aca="false">IF($A584="","",物件マスタ!C584)</f>
        <v>エスティメゾン川崎ウエスト</v>
      </c>
      <c r="E584" s="1" t="str">
        <f aca="false">IF($A584="","",物件マスタ!H584)</f>
        <v>東京周辺都市部</v>
      </c>
      <c r="F584" s="53" t="n">
        <f aca="false">IF($A584="","",物件マスタ!P584)</f>
        <v>44958</v>
      </c>
      <c r="G584" s="1" t="n">
        <f aca="false">IF($A584="","",物件マスタ!Q584)</f>
        <v>3.5</v>
      </c>
      <c r="H584" s="1" t="n">
        <f aca="false">IF($A584="","",物件マスタ!L584)</f>
        <v>0</v>
      </c>
      <c r="I584" s="1" t="n">
        <f aca="false">IF($A584="","",物件マスタ!M584)</f>
        <v>1318.72</v>
      </c>
      <c r="J584" s="1" t="n">
        <f aca="false">IF($A584="","",物件マスタ!S584)</f>
        <v>1410</v>
      </c>
      <c r="K584" s="1" t="n">
        <f aca="false">IF($A584="","",物件マスタ!U584)</f>
        <v>1530</v>
      </c>
      <c r="L584" s="1" t="n">
        <f aca="false">IF($A584="","",物件マスタ!W584)</f>
        <v>1</v>
      </c>
      <c r="M584" s="1" t="str">
        <f aca="false">IF($A584="","",IFERROR(INDEX(法人マスタ!$H:$H,MATCH($B584,法人マスタ!$A:$A,0)),""))</f>
        <v>2026年4月期（第23期）</v>
      </c>
      <c r="N584" s="1" t="n">
        <f aca="false">IF($A584="","",SUMIFS(物件収支!$D:$D,物件収支!$A:$A,$A584,物件収支!$C:$C,$M584))</f>
        <v>6</v>
      </c>
      <c r="O584" s="1" t="n">
        <f aca="false">IF($A584="","",SUMIFS(物件収支!$F:$F,物件収支!$A:$A,$A584,物件収支!$C:$C,$M584))</f>
        <v>32000</v>
      </c>
      <c r="P584" s="1" t="n">
        <f aca="false">IF($A584="","",SUMIFS(物件収支!$I:$I,物件収支!$A:$A,$A584,物件収支!$C:$C,$M584))</f>
        <v>0</v>
      </c>
      <c r="Q584" s="1" t="n">
        <f aca="false">IF($A584="","",SUMIFS(物件収支!$O:$O,物件収支!$A:$A,$A584,物件収支!$C:$C,$M584))</f>
        <v>0</v>
      </c>
      <c r="R584" s="1" t="str">
        <f aca="false">IF($A584="","",IF(P584=0,"",O584-P584))</f>
        <v/>
      </c>
      <c r="S584" s="1" t="str">
        <f aca="false">IF($A584="","",IF(R584="","",R584+Q584))</f>
        <v/>
      </c>
      <c r="T584" s="1" t="str">
        <f aca="false">IF($A584="","",IF(OR(S584="",N584&lt;=0),"",S584/1000*12/N584))</f>
        <v/>
      </c>
      <c r="U584" s="1" t="str">
        <f aca="false">IF($A584="","",IF(OR(T584="",J584=0,J584=""),"",T584/J584))</f>
        <v/>
      </c>
      <c r="V584" s="1" t="str">
        <f aca="false">IF($A584="","",IF(OR(R584="",N584&lt;=0,J584=0,J584=""),"",(R584/1000*12/N584)/J584))</f>
        <v/>
      </c>
      <c r="W584" s="1" t="str">
        <f aca="false">IF($A584="","",IF(OR(T584="",K584=0,K584=""),"",T584/K584))</f>
        <v/>
      </c>
      <c r="X584" s="1" t="n">
        <f aca="false">IF($A584="","",IF(OR(N584&lt;=0,I584=0,I584="",O584=0),"",O584*1000/(I584*0.3025)/N584))</f>
        <v>13369.6721021069</v>
      </c>
      <c r="Y584" s="1" t="str">
        <f aca="false">IF($A584="","",IF(OR(O584=0,O584="",P584=0),"",P584/O584))</f>
        <v/>
      </c>
      <c r="Z584" s="1" t="str">
        <f aca="false">IF($A584="","",IFERROR(INDEX(物件収支!$E:$E,MATCH($A584,物件収支!$A:$A,0)),""))</f>
        <v>開示（物件別・収益のみ・百万円単位）</v>
      </c>
    </row>
    <row r="585" customFormat="false" ht="16.5" hidden="false" customHeight="true" outlineLevel="0" collapsed="false">
      <c r="A585" s="1" t="str">
        <f aca="false">IF(物件マスタ!A585="","",物件マスタ!A585)</f>
        <v>SHR-135</v>
      </c>
      <c r="B585" s="1" t="str">
        <f aca="false">IF($A585="","",物件マスタ!B585)</f>
        <v>SHR</v>
      </c>
      <c r="C585" s="1" t="str">
        <f aca="false">IF($A585="","",IFERROR(INDEX(法人マスタ!$C:$C,MATCH($B585,法人マスタ!$A:$A,0)),""))</f>
        <v>積水ハウス・リート投資法人</v>
      </c>
      <c r="D585" s="1" t="str">
        <f aca="false">IF($A585="","",物件マスタ!C585)</f>
        <v>プライムメゾン用賀砧公園</v>
      </c>
      <c r="E585" s="1" t="str">
        <f aca="false">IF($A585="","",物件マスタ!H585)</f>
        <v>その他東京23区</v>
      </c>
      <c r="F585" s="53" t="n">
        <f aca="false">IF($A585="","",物件マスタ!P585)</f>
        <v>45200</v>
      </c>
      <c r="G585" s="1" t="n">
        <f aca="false">IF($A585="","",物件マスタ!Q585)</f>
        <v>2.9</v>
      </c>
      <c r="H585" s="1" t="n">
        <f aca="false">IF($A585="","",物件マスタ!L585)</f>
        <v>0</v>
      </c>
      <c r="I585" s="1" t="n">
        <f aca="false">IF($A585="","",物件マスタ!M585)</f>
        <v>5029.64</v>
      </c>
      <c r="J585" s="1" t="n">
        <f aca="false">IF($A585="","",物件マスタ!S585)</f>
        <v>7090</v>
      </c>
      <c r="K585" s="1" t="n">
        <f aca="false">IF($A585="","",物件マスタ!U585)</f>
        <v>7540</v>
      </c>
      <c r="L585" s="1" t="n">
        <f aca="false">IF($A585="","",物件マスタ!W585)</f>
        <v>0.928</v>
      </c>
      <c r="M585" s="1" t="str">
        <f aca="false">IF($A585="","",IFERROR(INDEX(法人マスタ!$H:$H,MATCH($B585,法人マスタ!$A:$A,0)),""))</f>
        <v>2026年4月期（第23期）</v>
      </c>
      <c r="N585" s="1" t="n">
        <f aca="false">IF($A585="","",SUMIFS(物件収支!$D:$D,物件収支!$A:$A,$A585,物件収支!$C:$C,$M585))</f>
        <v>6</v>
      </c>
      <c r="O585" s="1" t="n">
        <f aca="false">IF($A585="","",SUMIFS(物件収支!$F:$F,物件収支!$A:$A,$A585,物件収支!$C:$C,$M585))</f>
        <v>70000</v>
      </c>
      <c r="P585" s="1" t="n">
        <f aca="false">IF($A585="","",SUMIFS(物件収支!$I:$I,物件収支!$A:$A,$A585,物件収支!$C:$C,$M585))</f>
        <v>0</v>
      </c>
      <c r="Q585" s="1" t="n">
        <f aca="false">IF($A585="","",SUMIFS(物件収支!$O:$O,物件収支!$A:$A,$A585,物件収支!$C:$C,$M585))</f>
        <v>0</v>
      </c>
      <c r="R585" s="1" t="str">
        <f aca="false">IF($A585="","",IF(P585=0,"",O585-P585))</f>
        <v/>
      </c>
      <c r="S585" s="1" t="str">
        <f aca="false">IF($A585="","",IF(R585="","",R585+Q585))</f>
        <v/>
      </c>
      <c r="T585" s="1" t="str">
        <f aca="false">IF($A585="","",IF(OR(S585="",N585&lt;=0),"",S585/1000*12/N585))</f>
        <v/>
      </c>
      <c r="U585" s="1" t="str">
        <f aca="false">IF($A585="","",IF(OR(T585="",J585=0,J585=""),"",T585/J585))</f>
        <v/>
      </c>
      <c r="V585" s="1" t="str">
        <f aca="false">IF($A585="","",IF(OR(R585="",N585&lt;=0,J585=0,J585=""),"",(R585/1000*12/N585)/J585))</f>
        <v/>
      </c>
      <c r="W585" s="1" t="str">
        <f aca="false">IF($A585="","",IF(OR(T585="",K585=0,K585=""),"",T585/K585))</f>
        <v/>
      </c>
      <c r="X585" s="1" t="n">
        <f aca="false">IF($A585="","",IF(OR(N585&lt;=0,I585=0,I585="",O585=0),"",O585*1000/(I585*0.3025)/N585))</f>
        <v>7668.04246684607</v>
      </c>
      <c r="Y585" s="1" t="str">
        <f aca="false">IF($A585="","",IF(OR(O585=0,O585="",P585=0),"",P585/O585))</f>
        <v/>
      </c>
      <c r="Z585" s="1" t="str">
        <f aca="false">IF($A585="","",IFERROR(INDEX(物件収支!$E:$E,MATCH($A585,物件収支!$A:$A,0)),""))</f>
        <v>開示（物件別・収益のみ・百万円単位）</v>
      </c>
    </row>
    <row r="586" customFormat="false" ht="16.5" hidden="false" customHeight="true" outlineLevel="0" collapsed="false">
      <c r="A586" s="1" t="str">
        <f aca="false">IF(物件マスタ!A586="","",物件マスタ!A586)</f>
        <v>SHR-136</v>
      </c>
      <c r="B586" s="1" t="str">
        <f aca="false">IF($A586="","",物件マスタ!B586)</f>
        <v>SHR</v>
      </c>
      <c r="C586" s="1" t="str">
        <f aca="false">IF($A586="","",IFERROR(INDEX(法人マスタ!$C:$C,MATCH($B586,法人マスタ!$A:$A,0)),""))</f>
        <v>積水ハウス・リート投資法人</v>
      </c>
      <c r="D586" s="1" t="str">
        <f aca="false">IF($A586="","",物件マスタ!C586)</f>
        <v>プライムメゾン蒲田</v>
      </c>
      <c r="E586" s="1" t="str">
        <f aca="false">IF($A586="","",物件マスタ!H586)</f>
        <v>その他東京23区</v>
      </c>
      <c r="F586" s="53" t="n">
        <f aca="false">IF($A586="","",物件マスタ!P586)</f>
        <v>45047</v>
      </c>
      <c r="G586" s="1" t="n">
        <f aca="false">IF($A586="","",物件マスタ!Q586)</f>
        <v>3.3</v>
      </c>
      <c r="H586" s="1" t="n">
        <f aca="false">IF($A586="","",物件マスタ!L586)</f>
        <v>0</v>
      </c>
      <c r="I586" s="1" t="n">
        <f aca="false">IF($A586="","",物件マスタ!M586)</f>
        <v>3927.51</v>
      </c>
      <c r="J586" s="1" t="n">
        <f aca="false">IF($A586="","",物件マスタ!S586)</f>
        <v>5640</v>
      </c>
      <c r="K586" s="1" t="n">
        <f aca="false">IF($A586="","",物件マスタ!U586)</f>
        <v>6140</v>
      </c>
      <c r="L586" s="1" t="n">
        <f aca="false">IF($A586="","",物件マスタ!W586)</f>
        <v>0.925</v>
      </c>
      <c r="M586" s="1" t="str">
        <f aca="false">IF($A586="","",IFERROR(INDEX(法人マスタ!$H:$H,MATCH($B586,法人マスタ!$A:$A,0)),""))</f>
        <v>2026年4月期（第23期）</v>
      </c>
      <c r="N586" s="1" t="n">
        <f aca="false">IF($A586="","",SUMIFS(物件収支!$D:$D,物件収支!$A:$A,$A586,物件収支!$C:$C,$M586))</f>
        <v>6</v>
      </c>
      <c r="O586" s="1" t="n">
        <f aca="false">IF($A586="","",SUMIFS(物件収支!$F:$F,物件収支!$A:$A,$A586,物件収支!$C:$C,$M586))</f>
        <v>62000</v>
      </c>
      <c r="P586" s="1" t="n">
        <f aca="false">IF($A586="","",SUMIFS(物件収支!$I:$I,物件収支!$A:$A,$A586,物件収支!$C:$C,$M586))</f>
        <v>0</v>
      </c>
      <c r="Q586" s="1" t="n">
        <f aca="false">IF($A586="","",SUMIFS(物件収支!$O:$O,物件収支!$A:$A,$A586,物件収支!$C:$C,$M586))</f>
        <v>0</v>
      </c>
      <c r="R586" s="1" t="str">
        <f aca="false">IF($A586="","",IF(P586=0,"",O586-P586))</f>
        <v/>
      </c>
      <c r="S586" s="1" t="str">
        <f aca="false">IF($A586="","",IF(R586="","",R586+Q586))</f>
        <v/>
      </c>
      <c r="T586" s="1" t="str">
        <f aca="false">IF($A586="","",IF(OR(S586="",N586&lt;=0),"",S586/1000*12/N586))</f>
        <v/>
      </c>
      <c r="U586" s="1" t="str">
        <f aca="false">IF($A586="","",IF(OR(T586="",J586=0,J586=""),"",T586/J586))</f>
        <v/>
      </c>
      <c r="V586" s="1" t="str">
        <f aca="false">IF($A586="","",IF(OR(R586="",N586&lt;=0,J586=0,J586=""),"",(R586/1000*12/N586)/J586))</f>
        <v/>
      </c>
      <c r="W586" s="1" t="str">
        <f aca="false">IF($A586="","",IF(OR(T586="",K586=0,K586=""),"",T586/K586))</f>
        <v/>
      </c>
      <c r="X586" s="1" t="n">
        <f aca="false">IF($A586="","",IF(OR(N586&lt;=0,I586=0,I586="",O586=0),"",O586*1000/(I586*0.3025)/N586))</f>
        <v>8697.56655344609</v>
      </c>
      <c r="Y586" s="1" t="str">
        <f aca="false">IF($A586="","",IF(OR(O586=0,O586="",P586=0),"",P586/O586))</f>
        <v/>
      </c>
      <c r="Z586" s="1" t="str">
        <f aca="false">IF($A586="","",IFERROR(INDEX(物件収支!$E:$E,MATCH($A586,物件収支!$A:$A,0)),""))</f>
        <v>開示（物件別・収益のみ・百万円単位）</v>
      </c>
    </row>
    <row r="587" customFormat="false" ht="16.5" hidden="false" customHeight="true" outlineLevel="0" collapsed="false">
      <c r="A587" s="1" t="str">
        <f aca="false">IF(物件マスタ!A587="","",物件マスタ!A587)</f>
        <v>SHR-137</v>
      </c>
      <c r="B587" s="1" t="str">
        <f aca="false">IF($A587="","",物件マスタ!B587)</f>
        <v>SHR</v>
      </c>
      <c r="C587" s="1" t="str">
        <f aca="false">IF($A587="","",IFERROR(INDEX(法人マスタ!$C:$C,MATCH($B587,法人マスタ!$A:$A,0)),""))</f>
        <v>積水ハウス・リート投資法人</v>
      </c>
      <c r="D587" s="1" t="str">
        <f aca="false">IF($A587="","",物件マスタ!C587)</f>
        <v>プライムメゾン千葉新町</v>
      </c>
      <c r="E587" s="1" t="str">
        <f aca="false">IF($A587="","",物件マスタ!H587)</f>
        <v>東京周辺都市部</v>
      </c>
      <c r="F587" s="53" t="n">
        <f aca="false">IF($A587="","",物件マスタ!P587)</f>
        <v>45292</v>
      </c>
      <c r="G587" s="1" t="n">
        <f aca="false">IF($A587="","",物件マスタ!Q587)</f>
        <v>2.6</v>
      </c>
      <c r="H587" s="1" t="n">
        <f aca="false">IF($A587="","",物件マスタ!L587)</f>
        <v>0</v>
      </c>
      <c r="I587" s="1" t="n">
        <f aca="false">IF($A587="","",物件マスタ!M587)</f>
        <v>6444.69</v>
      </c>
      <c r="J587" s="1" t="n">
        <f aca="false">IF($A587="","",物件マスタ!S587)</f>
        <v>6160</v>
      </c>
      <c r="K587" s="1" t="n">
        <f aca="false">IF($A587="","",物件マスタ!U587)</f>
        <v>6200</v>
      </c>
      <c r="L587" s="1" t="n">
        <f aca="false">IF($A587="","",物件マスタ!W587)</f>
        <v>1</v>
      </c>
      <c r="M587" s="1" t="str">
        <f aca="false">IF($A587="","",IFERROR(INDEX(法人マスタ!$H:$H,MATCH($B587,法人マスタ!$A:$A,0)),""))</f>
        <v>2026年4月期（第23期）</v>
      </c>
      <c r="N587" s="1" t="n">
        <f aca="false">IF($A587="","",SUMIFS(物件収支!$D:$D,物件収支!$A:$A,$A587,物件収支!$C:$C,$M587))</f>
        <v>6</v>
      </c>
      <c r="O587" s="1" t="n">
        <f aca="false">IF($A587="","",SUMIFS(物件収支!$F:$F,物件収支!$A:$A,$A587,物件収支!$C:$C,$M587))</f>
        <v>64000</v>
      </c>
      <c r="P587" s="1" t="n">
        <f aca="false">IF($A587="","",SUMIFS(物件収支!$I:$I,物件収支!$A:$A,$A587,物件収支!$C:$C,$M587))</f>
        <v>0</v>
      </c>
      <c r="Q587" s="1" t="n">
        <f aca="false">IF($A587="","",SUMIFS(物件収支!$O:$O,物件収支!$A:$A,$A587,物件収支!$C:$C,$M587))</f>
        <v>0</v>
      </c>
      <c r="R587" s="1" t="str">
        <f aca="false">IF($A587="","",IF(P587=0,"",O587-P587))</f>
        <v/>
      </c>
      <c r="S587" s="1" t="str">
        <f aca="false">IF($A587="","",IF(R587="","",R587+Q587))</f>
        <v/>
      </c>
      <c r="T587" s="1" t="str">
        <f aca="false">IF($A587="","",IF(OR(S587="",N587&lt;=0),"",S587/1000*12/N587))</f>
        <v/>
      </c>
      <c r="U587" s="1" t="str">
        <f aca="false">IF($A587="","",IF(OR(T587="",J587=0,J587=""),"",T587/J587))</f>
        <v/>
      </c>
      <c r="V587" s="1" t="str">
        <f aca="false">IF($A587="","",IF(OR(R587="",N587&lt;=0,J587=0,J587=""),"",(R587/1000*12/N587)/J587))</f>
        <v/>
      </c>
      <c r="W587" s="1" t="str">
        <f aca="false">IF($A587="","",IF(OR(T587="",K587=0,K587=""),"",T587/K587))</f>
        <v/>
      </c>
      <c r="X587" s="1" t="n">
        <f aca="false">IF($A587="","",IF(OR(N587&lt;=0,I587=0,I587="",O587=0),"",O587*1000/(I587*0.3025)/N587))</f>
        <v>5471.43586254431</v>
      </c>
      <c r="Y587" s="1" t="str">
        <f aca="false">IF($A587="","",IF(OR(O587=0,O587="",P587=0),"",P587/O587))</f>
        <v/>
      </c>
      <c r="Z587" s="1" t="str">
        <f aca="false">IF($A587="","",IFERROR(INDEX(物件収支!$E:$E,MATCH($A587,物件収支!$A:$A,0)),""))</f>
        <v>開示（物件別・収益のみ・百万円単位）</v>
      </c>
    </row>
    <row r="588" customFormat="false" ht="16.5" hidden="false" customHeight="true" outlineLevel="0" collapsed="false">
      <c r="A588" s="1" t="str">
        <f aca="false">IF(物件マスタ!A588="","",物件マスタ!A588)</f>
        <v>SHR-138</v>
      </c>
      <c r="B588" s="1" t="str">
        <f aca="false">IF($A588="","",物件マスタ!B588)</f>
        <v>SHR</v>
      </c>
      <c r="C588" s="1" t="str">
        <f aca="false">IF($A588="","",IFERROR(INDEX(法人マスタ!$C:$C,MATCH($B588,法人マスタ!$A:$A,0)),""))</f>
        <v>積水ハウス・リート投資法人</v>
      </c>
      <c r="D588" s="1" t="str">
        <f aca="false">IF($A588="","",物件マスタ!C588)</f>
        <v>プライムメゾン入谷</v>
      </c>
      <c r="E588" s="1" t="str">
        <f aca="false">IF($A588="","",物件マスタ!H588)</f>
        <v>その他東京23区</v>
      </c>
      <c r="F588" s="53" t="n">
        <f aca="false">IF($A588="","",物件マスタ!P588)</f>
        <v>45292</v>
      </c>
      <c r="G588" s="1" t="n">
        <f aca="false">IF($A588="","",物件マスタ!Q588)</f>
        <v>2.6</v>
      </c>
      <c r="H588" s="1" t="n">
        <f aca="false">IF($A588="","",物件マスタ!L588)</f>
        <v>0</v>
      </c>
      <c r="I588" s="1" t="n">
        <f aca="false">IF($A588="","",物件マスタ!M588)</f>
        <v>2736.6</v>
      </c>
      <c r="J588" s="1" t="n">
        <f aca="false">IF($A588="","",物件マスタ!S588)</f>
        <v>4010</v>
      </c>
      <c r="K588" s="1" t="n">
        <f aca="false">IF($A588="","",物件マスタ!U588)</f>
        <v>4140</v>
      </c>
      <c r="L588" s="1" t="n">
        <f aca="false">IF($A588="","",物件マスタ!W588)</f>
        <v>0.921</v>
      </c>
      <c r="M588" s="1" t="str">
        <f aca="false">IF($A588="","",IFERROR(INDEX(法人マスタ!$H:$H,MATCH($B588,法人マスタ!$A:$A,0)),""))</f>
        <v>2026年4月期（第23期）</v>
      </c>
      <c r="N588" s="1" t="n">
        <f aca="false">IF($A588="","",SUMIFS(物件収支!$D:$D,物件収支!$A:$A,$A588,物件収支!$C:$C,$M588))</f>
        <v>6</v>
      </c>
      <c r="O588" s="1" t="n">
        <f aca="false">IF($A588="","",SUMIFS(物件収支!$F:$F,物件収支!$A:$A,$A588,物件収支!$C:$C,$M588))</f>
        <v>41000</v>
      </c>
      <c r="P588" s="1" t="n">
        <f aca="false">IF($A588="","",SUMIFS(物件収支!$I:$I,物件収支!$A:$A,$A588,物件収支!$C:$C,$M588))</f>
        <v>0</v>
      </c>
      <c r="Q588" s="1" t="n">
        <f aca="false">IF($A588="","",SUMIFS(物件収支!$O:$O,物件収支!$A:$A,$A588,物件収支!$C:$C,$M588))</f>
        <v>0</v>
      </c>
      <c r="R588" s="1" t="str">
        <f aca="false">IF($A588="","",IF(P588=0,"",O588-P588))</f>
        <v/>
      </c>
      <c r="S588" s="1" t="str">
        <f aca="false">IF($A588="","",IF(R588="","",R588+Q588))</f>
        <v/>
      </c>
      <c r="T588" s="1" t="str">
        <f aca="false">IF($A588="","",IF(OR(S588="",N588&lt;=0),"",S588/1000*12/N588))</f>
        <v/>
      </c>
      <c r="U588" s="1" t="str">
        <f aca="false">IF($A588="","",IF(OR(T588="",J588=0,J588=""),"",T588/J588))</f>
        <v/>
      </c>
      <c r="V588" s="1" t="str">
        <f aca="false">IF($A588="","",IF(OR(R588="",N588&lt;=0,J588=0,J588=""),"",(R588/1000*12/N588)/J588))</f>
        <v/>
      </c>
      <c r="W588" s="1" t="str">
        <f aca="false">IF($A588="","",IF(OR(T588="",K588=0,K588=""),"",T588/K588))</f>
        <v/>
      </c>
      <c r="X588" s="1" t="n">
        <f aca="false">IF($A588="","",IF(OR(N588&lt;=0,I588=0,I588="",O588=0),"",O588*1000/(I588*0.3025)/N588))</f>
        <v>8254.5975591759</v>
      </c>
      <c r="Y588" s="1" t="str">
        <f aca="false">IF($A588="","",IF(OR(O588=0,O588="",P588=0),"",P588/O588))</f>
        <v/>
      </c>
      <c r="Z588" s="1" t="str">
        <f aca="false">IF($A588="","",IFERROR(INDEX(物件収支!$E:$E,MATCH($A588,物件収支!$A:$A,0)),""))</f>
        <v>開示（物件別・収益のみ・百万円単位）</v>
      </c>
    </row>
    <row r="589" customFormat="false" ht="16.5" hidden="false" customHeight="true" outlineLevel="0" collapsed="false">
      <c r="A589" s="1" t="str">
        <f aca="false">IF(物件マスタ!A589="","",物件マスタ!A589)</f>
        <v>SHR-139</v>
      </c>
      <c r="B589" s="1" t="str">
        <f aca="false">IF($A589="","",物件マスタ!B589)</f>
        <v>SHR</v>
      </c>
      <c r="C589" s="1" t="str">
        <f aca="false">IF($A589="","",IFERROR(INDEX(法人マスタ!$C:$C,MATCH($B589,法人マスタ!$A:$A,0)),""))</f>
        <v>積水ハウス・リート投資法人</v>
      </c>
      <c r="D589" s="1" t="str">
        <f aca="false">IF($A589="","",物件マスタ!C589)</f>
        <v>プライムメゾン清澄白河</v>
      </c>
      <c r="E589" s="1" t="str">
        <f aca="false">IF($A589="","",物件マスタ!H589)</f>
        <v>その他東京23区</v>
      </c>
      <c r="F589" s="53" t="n">
        <f aca="false">IF($A589="","",物件マスタ!P589)</f>
        <v>45047</v>
      </c>
      <c r="G589" s="1" t="n">
        <f aca="false">IF($A589="","",物件マスタ!Q589)</f>
        <v>3.3</v>
      </c>
      <c r="H589" s="1" t="n">
        <f aca="false">IF($A589="","",物件マスタ!L589)</f>
        <v>0</v>
      </c>
      <c r="I589" s="1" t="n">
        <f aca="false">IF($A589="","",物件マスタ!M589)</f>
        <v>2129.76</v>
      </c>
      <c r="J589" s="1" t="n">
        <f aca="false">IF($A589="","",物件マスタ!S589)</f>
        <v>3200</v>
      </c>
      <c r="K589" s="1" t="n">
        <f aca="false">IF($A589="","",物件マスタ!U589)</f>
        <v>3260</v>
      </c>
      <c r="L589" s="1" t="n">
        <f aca="false">IF($A589="","",物件マスタ!W589)</f>
        <v>0.93</v>
      </c>
      <c r="M589" s="1" t="str">
        <f aca="false">IF($A589="","",IFERROR(INDEX(法人マスタ!$H:$H,MATCH($B589,法人マスタ!$A:$A,0)),""))</f>
        <v>2026年4月期（第23期）</v>
      </c>
      <c r="N589" s="1" t="n">
        <f aca="false">IF($A589="","",SUMIFS(物件収支!$D:$D,物件収支!$A:$A,$A589,物件収支!$C:$C,$M589))</f>
        <v>6</v>
      </c>
      <c r="O589" s="1" t="n">
        <f aca="false">IF($A589="","",SUMIFS(物件収支!$F:$F,物件収支!$A:$A,$A589,物件収支!$C:$C,$M589))</f>
        <v>32000</v>
      </c>
      <c r="P589" s="1" t="n">
        <f aca="false">IF($A589="","",SUMIFS(物件収支!$I:$I,物件収支!$A:$A,$A589,物件収支!$C:$C,$M589))</f>
        <v>0</v>
      </c>
      <c r="Q589" s="1" t="n">
        <f aca="false">IF($A589="","",SUMIFS(物件収支!$O:$O,物件収支!$A:$A,$A589,物件収支!$C:$C,$M589))</f>
        <v>0</v>
      </c>
      <c r="R589" s="1" t="str">
        <f aca="false">IF($A589="","",IF(P589=0,"",O589-P589))</f>
        <v/>
      </c>
      <c r="S589" s="1" t="str">
        <f aca="false">IF($A589="","",IF(R589="","",R589+Q589))</f>
        <v/>
      </c>
      <c r="T589" s="1" t="str">
        <f aca="false">IF($A589="","",IF(OR(S589="",N589&lt;=0),"",S589/1000*12/N589))</f>
        <v/>
      </c>
      <c r="U589" s="1" t="str">
        <f aca="false">IF($A589="","",IF(OR(T589="",J589=0,J589=""),"",T589/J589))</f>
        <v/>
      </c>
      <c r="V589" s="1" t="str">
        <f aca="false">IF($A589="","",IF(OR(R589="",N589&lt;=0,J589=0,J589=""),"",(R589/1000*12/N589)/J589))</f>
        <v/>
      </c>
      <c r="W589" s="1" t="str">
        <f aca="false">IF($A589="","",IF(OR(T589="",K589=0,K589=""),"",T589/K589))</f>
        <v/>
      </c>
      <c r="X589" s="1" t="n">
        <f aca="false">IF($A589="","",IF(OR(N589&lt;=0,I589=0,I589="",O589=0),"",O589*1000/(I589*0.3025)/N589))</f>
        <v>8278.3290110108</v>
      </c>
      <c r="Y589" s="1" t="str">
        <f aca="false">IF($A589="","",IF(OR(O589=0,O589="",P589=0),"",P589/O589))</f>
        <v/>
      </c>
      <c r="Z589" s="1" t="str">
        <f aca="false">IF($A589="","",IFERROR(INDEX(物件収支!$E:$E,MATCH($A589,物件収支!$A:$A,0)),""))</f>
        <v>開示（物件別・収益のみ・百万円単位）</v>
      </c>
    </row>
    <row r="590" customFormat="false" ht="16.5" hidden="false" customHeight="true" outlineLevel="0" collapsed="false">
      <c r="A590" s="1" t="str">
        <f aca="false">IF(物件マスタ!A590="","",物件マスタ!A590)</f>
        <v>SHR-140</v>
      </c>
      <c r="B590" s="1" t="str">
        <f aca="false">IF($A590="","",物件マスタ!B590)</f>
        <v>SHR</v>
      </c>
      <c r="C590" s="1" t="str">
        <f aca="false">IF($A590="","",IFERROR(INDEX(法人マスタ!$C:$C,MATCH($B590,法人マスタ!$A:$A,0)),""))</f>
        <v>積水ハウス・リート投資法人</v>
      </c>
      <c r="D590" s="1" t="str">
        <f aca="false">IF($A590="","",物件マスタ!C590)</f>
        <v>プライムメゾン日本橋馬喰町</v>
      </c>
      <c r="E590" s="1" t="str">
        <f aca="false">IF($A590="","",物件マスタ!H590)</f>
        <v>都心5区</v>
      </c>
      <c r="F590" s="53" t="n">
        <f aca="false">IF($A590="","",物件マスタ!P590)</f>
        <v>45139</v>
      </c>
      <c r="G590" s="1" t="n">
        <f aca="false">IF($A590="","",物件マスタ!Q590)</f>
        <v>3</v>
      </c>
      <c r="H590" s="1" t="n">
        <f aca="false">IF($A590="","",物件マスタ!L590)</f>
        <v>0</v>
      </c>
      <c r="I590" s="1" t="n">
        <f aca="false">IF($A590="","",物件マスタ!M590)</f>
        <v>1551.15</v>
      </c>
      <c r="J590" s="1" t="n">
        <f aca="false">IF($A590="","",物件マスタ!S590)</f>
        <v>2330</v>
      </c>
      <c r="K590" s="1" t="n">
        <f aca="false">IF($A590="","",物件マスタ!U590)</f>
        <v>2430</v>
      </c>
      <c r="L590" s="1" t="n">
        <f aca="false">IF($A590="","",物件マスタ!W590)</f>
        <v>0.867</v>
      </c>
      <c r="M590" s="1" t="str">
        <f aca="false">IF($A590="","",IFERROR(INDEX(法人マスタ!$H:$H,MATCH($B590,法人マスタ!$A:$A,0)),""))</f>
        <v>2026年4月期（第23期）</v>
      </c>
      <c r="N590" s="1" t="n">
        <f aca="false">IF($A590="","",SUMIFS(物件収支!$D:$D,物件収支!$A:$A,$A590,物件収支!$C:$C,$M590))</f>
        <v>6</v>
      </c>
      <c r="O590" s="1" t="n">
        <f aca="false">IF($A590="","",SUMIFS(物件収支!$F:$F,物件収支!$A:$A,$A590,物件収支!$C:$C,$M590))</f>
        <v>21000</v>
      </c>
      <c r="P590" s="1" t="n">
        <f aca="false">IF($A590="","",SUMIFS(物件収支!$I:$I,物件収支!$A:$A,$A590,物件収支!$C:$C,$M590))</f>
        <v>0</v>
      </c>
      <c r="Q590" s="1" t="n">
        <f aca="false">IF($A590="","",SUMIFS(物件収支!$O:$O,物件収支!$A:$A,$A590,物件収支!$C:$C,$M590))</f>
        <v>0</v>
      </c>
      <c r="R590" s="1" t="str">
        <f aca="false">IF($A590="","",IF(P590=0,"",O590-P590))</f>
        <v/>
      </c>
      <c r="S590" s="1" t="str">
        <f aca="false">IF($A590="","",IF(R590="","",R590+Q590))</f>
        <v/>
      </c>
      <c r="T590" s="1" t="str">
        <f aca="false">IF($A590="","",IF(OR(S590="",N590&lt;=0),"",S590/1000*12/N590))</f>
        <v/>
      </c>
      <c r="U590" s="1" t="str">
        <f aca="false">IF($A590="","",IF(OR(T590="",J590=0,J590=""),"",T590/J590))</f>
        <v/>
      </c>
      <c r="V590" s="1" t="str">
        <f aca="false">IF($A590="","",IF(OR(R590="",N590&lt;=0,J590=0,J590=""),"",(R590/1000*12/N590)/J590))</f>
        <v/>
      </c>
      <c r="W590" s="1" t="str">
        <f aca="false">IF($A590="","",IF(OR(T590="",K590=0,K590=""),"",T590/K590))</f>
        <v/>
      </c>
      <c r="X590" s="1" t="n">
        <f aca="false">IF($A590="","",IF(OR(N590&lt;=0,I590=0,I590="",O590=0),"",O590*1000/(I590*0.3025)/N590))</f>
        <v>7459.14188433375</v>
      </c>
      <c r="Y590" s="1" t="str">
        <f aca="false">IF($A590="","",IF(OR(O590=0,O590="",P590=0),"",P590/O590))</f>
        <v/>
      </c>
      <c r="Z590" s="1" t="str">
        <f aca="false">IF($A590="","",IFERROR(INDEX(物件収支!$E:$E,MATCH($A590,物件収支!$A:$A,0)),""))</f>
        <v>開示（物件別・収益のみ・百万円単位）</v>
      </c>
    </row>
    <row r="591" customFormat="false" ht="16.5" hidden="false" customHeight="true" outlineLevel="0" collapsed="false">
      <c r="A591" s="1" t="str">
        <f aca="false">IF(物件マスタ!A591="","",物件マスタ!A591)</f>
        <v>SHR-141</v>
      </c>
      <c r="B591" s="1" t="str">
        <f aca="false">IF($A591="","",物件マスタ!B591)</f>
        <v>SHR</v>
      </c>
      <c r="C591" s="1" t="str">
        <f aca="false">IF($A591="","",IFERROR(INDEX(法人マスタ!$C:$C,MATCH($B591,法人マスタ!$A:$A,0)),""))</f>
        <v>積水ハウス・リート投資法人</v>
      </c>
      <c r="D591" s="1" t="str">
        <f aca="false">IF($A591="","",物件マスタ!C591)</f>
        <v>プライムメゾン清澄リバーフロント</v>
      </c>
      <c r="E591" s="1" t="str">
        <f aca="false">IF($A591="","",物件マスタ!H591)</f>
        <v>その他東京23区</v>
      </c>
      <c r="F591" s="53" t="n">
        <f aca="false">IF($A591="","",物件マスタ!P591)</f>
        <v>45536</v>
      </c>
      <c r="G591" s="1" t="n">
        <f aca="false">IF($A591="","",物件マスタ!Q591)</f>
        <v>1.9</v>
      </c>
      <c r="H591" s="1" t="n">
        <f aca="false">IF($A591="","",物件マスタ!L591)</f>
        <v>0</v>
      </c>
      <c r="I591" s="1" t="n">
        <f aca="false">IF($A591="","",物件マスタ!M591)</f>
        <v>1074.64</v>
      </c>
      <c r="J591" s="1" t="n">
        <f aca="false">IF($A591="","",物件マスタ!S591)</f>
        <v>1610</v>
      </c>
      <c r="K591" s="1" t="n">
        <f aca="false">IF($A591="","",物件マスタ!U591)</f>
        <v>1670</v>
      </c>
      <c r="L591" s="1" t="n">
        <f aca="false">IF($A591="","",物件マスタ!W591)</f>
        <v>1</v>
      </c>
      <c r="M591" s="1" t="str">
        <f aca="false">IF($A591="","",IFERROR(INDEX(法人マスタ!$H:$H,MATCH($B591,法人マスタ!$A:$A,0)),""))</f>
        <v>2026年4月期（第23期）</v>
      </c>
      <c r="N591" s="1" t="n">
        <f aca="false">IF($A591="","",SUMIFS(物件収支!$D:$D,物件収支!$A:$A,$A591,物件収支!$C:$C,$M591))</f>
        <v>6</v>
      </c>
      <c r="O591" s="1" t="n">
        <f aca="false">IF($A591="","",SUMIFS(物件収支!$F:$F,物件収支!$A:$A,$A591,物件収支!$C:$C,$M591))</f>
        <v>16000</v>
      </c>
      <c r="P591" s="1" t="n">
        <f aca="false">IF($A591="","",SUMIFS(物件収支!$I:$I,物件収支!$A:$A,$A591,物件収支!$C:$C,$M591))</f>
        <v>0</v>
      </c>
      <c r="Q591" s="1" t="n">
        <f aca="false">IF($A591="","",SUMIFS(物件収支!$O:$O,物件収支!$A:$A,$A591,物件収支!$C:$C,$M591))</f>
        <v>0</v>
      </c>
      <c r="R591" s="1" t="str">
        <f aca="false">IF($A591="","",IF(P591=0,"",O591-P591))</f>
        <v/>
      </c>
      <c r="S591" s="1" t="str">
        <f aca="false">IF($A591="","",IF(R591="","",R591+Q591))</f>
        <v/>
      </c>
      <c r="T591" s="1" t="str">
        <f aca="false">IF($A591="","",IF(OR(S591="",N591&lt;=0),"",S591/1000*12/N591))</f>
        <v/>
      </c>
      <c r="U591" s="1" t="str">
        <f aca="false">IF($A591="","",IF(OR(T591="",J591=0,J591=""),"",T591/J591))</f>
        <v/>
      </c>
      <c r="V591" s="1" t="str">
        <f aca="false">IF($A591="","",IF(OR(R591="",N591&lt;=0,J591=0,J591=""),"",(R591/1000*12/N591)/J591))</f>
        <v/>
      </c>
      <c r="W591" s="1" t="str">
        <f aca="false">IF($A591="","",IF(OR(T591="",K591=0,K591=""),"",T591/K591))</f>
        <v/>
      </c>
      <c r="X591" s="1" t="n">
        <f aca="false">IF($A591="","",IF(OR(N591&lt;=0,I591=0,I591="",O591=0),"",O591*1000/(I591*0.3025)/N591))</f>
        <v>8203.1443062283</v>
      </c>
      <c r="Y591" s="1" t="str">
        <f aca="false">IF($A591="","",IF(OR(O591=0,O591="",P591=0),"",P591/O591))</f>
        <v/>
      </c>
      <c r="Z591" s="1" t="str">
        <f aca="false">IF($A591="","",IFERROR(INDEX(物件収支!$E:$E,MATCH($A591,物件収支!$A:$A,0)),""))</f>
        <v>開示（物件別・収益のみ・百万円単位）</v>
      </c>
    </row>
    <row r="592" customFormat="false" ht="16.5" hidden="false" customHeight="true" outlineLevel="0" collapsed="false">
      <c r="A592" s="1" t="str">
        <f aca="false">IF(物件マスタ!A592="","",物件マスタ!A592)</f>
        <v>SHR-142</v>
      </c>
      <c r="B592" s="1" t="str">
        <f aca="false">IF($A592="","",物件マスタ!B592)</f>
        <v>SHR</v>
      </c>
      <c r="C592" s="1" t="str">
        <f aca="false">IF($A592="","",IFERROR(INDEX(法人マスタ!$C:$C,MATCH($B592,法人マスタ!$A:$A,0)),""))</f>
        <v>積水ハウス・リート投資法人</v>
      </c>
      <c r="D592" s="1" t="str">
        <f aca="false">IF($A592="","",物件マスタ!C592)</f>
        <v>エスティメゾン川口</v>
      </c>
      <c r="E592" s="1" t="str">
        <f aca="false">IF($A592="","",物件マスタ!H592)</f>
        <v>東京周辺都市部</v>
      </c>
      <c r="F592" s="53" t="n">
        <f aca="false">IF($A592="","",物件マスタ!P592)</f>
        <v>40210</v>
      </c>
      <c r="G592" s="1" t="n">
        <f aca="false">IF($A592="","",物件マスタ!Q592)</f>
        <v>16.5</v>
      </c>
      <c r="H592" s="1" t="n">
        <f aca="false">IF($A592="","",物件マスタ!L592)</f>
        <v>0</v>
      </c>
      <c r="I592" s="1" t="n">
        <f aca="false">IF($A592="","",物件マスタ!M592)</f>
        <v>2322.28</v>
      </c>
      <c r="J592" s="1" t="n">
        <f aca="false">IF($A592="","",物件マスタ!S592)</f>
        <v>2590</v>
      </c>
      <c r="K592" s="1" t="n">
        <f aca="false">IF($A592="","",物件マスタ!U592)</f>
        <v>2690</v>
      </c>
      <c r="L592" s="1" t="n">
        <f aca="false">IF($A592="","",物件マスタ!W592)</f>
        <v>0.942</v>
      </c>
      <c r="M592" s="1" t="str">
        <f aca="false">IF($A592="","",IFERROR(INDEX(法人マスタ!$H:$H,MATCH($B592,法人マスタ!$A:$A,0)),""))</f>
        <v>2026年4月期（第23期）</v>
      </c>
      <c r="N592" s="1" t="n">
        <f aca="false">IF($A592="","",SUMIFS(物件収支!$D:$D,物件収支!$A:$A,$A592,物件収支!$C:$C,$M592))</f>
        <v>6</v>
      </c>
      <c r="O592" s="1" t="n">
        <f aca="false">IF($A592="","",SUMIFS(物件収支!$F:$F,物件収支!$A:$A,$A592,物件収支!$C:$C,$M592))</f>
        <v>16000</v>
      </c>
      <c r="P592" s="1" t="n">
        <f aca="false">IF($A592="","",SUMIFS(物件収支!$I:$I,物件収支!$A:$A,$A592,物件収支!$C:$C,$M592))</f>
        <v>0</v>
      </c>
      <c r="Q592" s="1" t="n">
        <f aca="false">IF($A592="","",SUMIFS(物件収支!$O:$O,物件収支!$A:$A,$A592,物件収支!$C:$C,$M592))</f>
        <v>0</v>
      </c>
      <c r="R592" s="1" t="str">
        <f aca="false">IF($A592="","",IF(P592=0,"",O592-P592))</f>
        <v/>
      </c>
      <c r="S592" s="1" t="str">
        <f aca="false">IF($A592="","",IF(R592="","",R592+Q592))</f>
        <v/>
      </c>
      <c r="T592" s="1" t="str">
        <f aca="false">IF($A592="","",IF(OR(S592="",N592&lt;=0),"",S592/1000*12/N592))</f>
        <v/>
      </c>
      <c r="U592" s="1" t="str">
        <f aca="false">IF($A592="","",IF(OR(T592="",J592=0,J592=""),"",T592/J592))</f>
        <v/>
      </c>
      <c r="V592" s="1" t="str">
        <f aca="false">IF($A592="","",IF(OR(R592="",N592&lt;=0,J592=0,J592=""),"",(R592/1000*12/N592)/J592))</f>
        <v/>
      </c>
      <c r="W592" s="1" t="str">
        <f aca="false">IF($A592="","",IF(OR(T592="",K592=0,K592=""),"",T592/K592))</f>
        <v/>
      </c>
      <c r="X592" s="1" t="n">
        <f aca="false">IF($A592="","",IF(OR(N592&lt;=0,I592=0,I592="",O592=0),"",O592*1000/(I592*0.3025)/N592))</f>
        <v>3796.02244227448</v>
      </c>
      <c r="Y592" s="1" t="str">
        <f aca="false">IF($A592="","",IF(OR(O592=0,O592="",P592=0),"",P592/O592))</f>
        <v/>
      </c>
      <c r="Z592" s="1" t="str">
        <f aca="false">IF($A592="","",IFERROR(INDEX(物件収支!$E:$E,MATCH($A592,物件収支!$A:$A,0)),""))</f>
        <v>開示（物件別・収益のみ・百万円単位）</v>
      </c>
    </row>
    <row r="593" customFormat="false" ht="16.5" hidden="false" customHeight="true" outlineLevel="0" collapsed="false">
      <c r="A593" s="1" t="str">
        <f aca="false">IF(物件マスタ!A593="","",物件マスタ!A593)</f>
        <v>SHR-143</v>
      </c>
      <c r="B593" s="1" t="str">
        <f aca="false">IF($A593="","",物件マスタ!B593)</f>
        <v>SHR</v>
      </c>
      <c r="C593" s="1" t="str">
        <f aca="false">IF($A593="","",IFERROR(INDEX(法人マスタ!$C:$C,MATCH($B593,法人マスタ!$A:$A,0)),""))</f>
        <v>積水ハウス・リート投資法人</v>
      </c>
      <c r="D593" s="1" t="str">
        <f aca="false">IF($A593="","",物件マスタ!C593)</f>
        <v>エスティメゾン川崎本町</v>
      </c>
      <c r="E593" s="1" t="str">
        <f aca="false">IF($A593="","",物件マスタ!H593)</f>
        <v>東京周辺都市部</v>
      </c>
      <c r="F593" s="53" t="n">
        <f aca="false">IF($A593="","",物件マスタ!P593)</f>
        <v>40210</v>
      </c>
      <c r="G593" s="1" t="n">
        <f aca="false">IF($A593="","",物件マスタ!Q593)</f>
        <v>16.5</v>
      </c>
      <c r="H593" s="1" t="n">
        <f aca="false">IF($A593="","",物件マスタ!L593)</f>
        <v>0</v>
      </c>
      <c r="I593" s="1" t="n">
        <f aca="false">IF($A593="","",物件マスタ!M593)</f>
        <v>1872.1</v>
      </c>
      <c r="J593" s="1" t="n">
        <f aca="false">IF($A593="","",物件マスタ!S593)</f>
        <v>1810</v>
      </c>
      <c r="K593" s="1" t="n">
        <f aca="false">IF($A593="","",物件マスタ!U593)</f>
        <v>2000</v>
      </c>
      <c r="L593" s="1" t="n">
        <f aca="false">IF($A593="","",物件マスタ!W593)</f>
        <v>0.971</v>
      </c>
      <c r="M593" s="1" t="str">
        <f aca="false">IF($A593="","",IFERROR(INDEX(法人マスタ!$H:$H,MATCH($B593,法人マスタ!$A:$A,0)),""))</f>
        <v>2026年4月期（第23期）</v>
      </c>
      <c r="N593" s="1" t="n">
        <f aca="false">IF($A593="","",SUMIFS(物件収支!$D:$D,物件収支!$A:$A,$A593,物件収支!$C:$C,$M593))</f>
        <v>6</v>
      </c>
      <c r="O593" s="1" t="n">
        <f aca="false">IF($A593="","",SUMIFS(物件収支!$F:$F,物件収支!$A:$A,$A593,物件収支!$C:$C,$M593))</f>
        <v>8000</v>
      </c>
      <c r="P593" s="1" t="n">
        <f aca="false">IF($A593="","",SUMIFS(物件収支!$I:$I,物件収支!$A:$A,$A593,物件収支!$C:$C,$M593))</f>
        <v>0</v>
      </c>
      <c r="Q593" s="1" t="n">
        <f aca="false">IF($A593="","",SUMIFS(物件収支!$O:$O,物件収支!$A:$A,$A593,物件収支!$C:$C,$M593))</f>
        <v>0</v>
      </c>
      <c r="R593" s="1" t="str">
        <f aca="false">IF($A593="","",IF(P593=0,"",O593-P593))</f>
        <v/>
      </c>
      <c r="S593" s="1" t="str">
        <f aca="false">IF($A593="","",IF(R593="","",R593+Q593))</f>
        <v/>
      </c>
      <c r="T593" s="1" t="str">
        <f aca="false">IF($A593="","",IF(OR(S593="",N593&lt;=0),"",S593/1000*12/N593))</f>
        <v/>
      </c>
      <c r="U593" s="1" t="str">
        <f aca="false">IF($A593="","",IF(OR(T593="",J593=0,J593=""),"",T593/J593))</f>
        <v/>
      </c>
      <c r="V593" s="1" t="str">
        <f aca="false">IF($A593="","",IF(OR(R593="",N593&lt;=0,J593=0,J593=""),"",(R593/1000*12/N593)/J593))</f>
        <v/>
      </c>
      <c r="W593" s="1" t="str">
        <f aca="false">IF($A593="","",IF(OR(T593="",K593=0,K593=""),"",T593/K593))</f>
        <v/>
      </c>
      <c r="X593" s="1" t="n">
        <f aca="false">IF($A593="","",IF(OR(N593&lt;=0,I593=0,I593="",O593=0),"",O593*1000/(I593*0.3025)/N593))</f>
        <v>2354.42203868521</v>
      </c>
      <c r="Y593" s="1" t="str">
        <f aca="false">IF($A593="","",IF(OR(O593=0,O593="",P593=0),"",P593/O593))</f>
        <v/>
      </c>
      <c r="Z593" s="1" t="str">
        <f aca="false">IF($A593="","",IFERROR(INDEX(物件収支!$E:$E,MATCH($A593,物件収支!$A:$A,0)),""))</f>
        <v>開示（物件別・収益のみ・百万円単位）</v>
      </c>
    </row>
    <row r="594" customFormat="false" ht="16.5" hidden="false" customHeight="true" outlineLevel="0" collapsed="false">
      <c r="A594" s="1" t="str">
        <f aca="false">IF(物件マスタ!A594="","",物件マスタ!A594)</f>
        <v>SHR-144</v>
      </c>
      <c r="B594" s="1" t="str">
        <f aca="false">IF($A594="","",物件マスタ!B594)</f>
        <v>SHR</v>
      </c>
      <c r="C594" s="1" t="str">
        <f aca="false">IF($A594="","",IFERROR(INDEX(法人マスタ!$C:$C,MATCH($B594,法人マスタ!$A:$A,0)),""))</f>
        <v>積水ハウス・リート投資法人</v>
      </c>
      <c r="D594" s="1" t="str">
        <f aca="false">IF($A594="","",物件マスタ!C594)</f>
        <v>ザ アイビー オン ボーレン</v>
      </c>
      <c r="E594" s="1" t="str">
        <f aca="false">IF($A594="","",物件マスタ!H594)</f>
        <v>海外（米国）</v>
      </c>
      <c r="F594" s="53" t="n">
        <f aca="false">IF($A594="","",物件マスタ!P594)</f>
        <v>44835</v>
      </c>
      <c r="G594" s="1" t="n">
        <f aca="false">IF($A594="","",物件マスタ!Q594)</f>
        <v>3.9</v>
      </c>
      <c r="H594" s="1" t="n">
        <f aca="false">IF($A594="","",物件マスタ!L594)</f>
        <v>0</v>
      </c>
      <c r="I594" s="1" t="n">
        <f aca="false">IF($A594="","",物件マスタ!M594)</f>
        <v>31989.96</v>
      </c>
      <c r="J594" s="1" t="n">
        <f aca="false">IF($A594="","",物件マスタ!S594)</f>
        <v>51479</v>
      </c>
      <c r="K594" s="1" t="n">
        <f aca="false">IF($A594="","",物件マスタ!U594)</f>
        <v>57419</v>
      </c>
      <c r="L594" s="1" t="n">
        <f aca="false">IF($A594="","",物件マスタ!W594)</f>
        <v>0.969</v>
      </c>
      <c r="M594" s="1" t="str">
        <f aca="false">IF($A594="","",IFERROR(INDEX(法人マスタ!$H:$H,MATCH($B594,法人マスタ!$A:$A,0)),""))</f>
        <v>2026年4月期（第23期）</v>
      </c>
      <c r="N594" s="1" t="n">
        <f aca="false">IF($A594="","",SUMIFS(物件収支!$D:$D,物件収支!$A:$A,$A594,物件収支!$C:$C,$M594))</f>
        <v>6</v>
      </c>
      <c r="O594" s="1" t="n">
        <f aca="false">IF($A594="","",SUMIFS(物件収支!$F:$F,物件収支!$A:$A,$A594,物件収支!$C:$C,$M594))</f>
        <v>0</v>
      </c>
      <c r="P594" s="1" t="n">
        <f aca="false">IF($A594="","",SUMIFS(物件収支!$I:$I,物件収支!$A:$A,$A594,物件収支!$C:$C,$M594))</f>
        <v>0</v>
      </c>
      <c r="Q594" s="1" t="n">
        <f aca="false">IF($A594="","",SUMIFS(物件収支!$O:$O,物件収支!$A:$A,$A594,物件収支!$C:$C,$M594))</f>
        <v>0</v>
      </c>
      <c r="R594" s="1" t="str">
        <f aca="false">IF($A594="","",IF(P594=0,"",O594-P594))</f>
        <v/>
      </c>
      <c r="S594" s="1" t="str">
        <f aca="false">IF($A594="","",IF(R594="","",R594+Q594))</f>
        <v/>
      </c>
      <c r="T594" s="1" t="str">
        <f aca="false">IF($A594="","",IF(OR(S594="",N594&lt;=0),"",S594/1000*12/N594))</f>
        <v/>
      </c>
      <c r="U594" s="1" t="str">
        <f aca="false">IF($A594="","",IF(OR(T594="",J594=0,J594=""),"",T594/J594))</f>
        <v/>
      </c>
      <c r="V594" s="1" t="str">
        <f aca="false">IF($A594="","",IF(OR(R594="",N594&lt;=0,J594=0,J594=""),"",(R594/1000*12/N594)/J594))</f>
        <v/>
      </c>
      <c r="W594" s="1" t="str">
        <f aca="false">IF($A594="","",IF(OR(T594="",K594=0,K594=""),"",T594/K594))</f>
        <v/>
      </c>
      <c r="X594" s="1" t="str">
        <f aca="false">IF($A594="","",IF(OR(N594&lt;=0,I594=0,I594="",O594=0),"",O594*1000/(I594*0.3025)/N594))</f>
        <v/>
      </c>
      <c r="Y594" s="1" t="str">
        <f aca="false">IF($A594="","",IF(OR(O594=0,O594="",P594=0),"",P594/O594))</f>
        <v/>
      </c>
      <c r="Z594" s="1" t="str">
        <f aca="false">IF($A594="","",IFERROR(INDEX(物件収支!$E:$E,MATCH($A594,物件収支!$A:$A,0)),""))</f>
        <v>対象外（米国LLC出資・受取配当金経由）</v>
      </c>
    </row>
    <row r="595" customFormat="false" ht="16.5" hidden="false" customHeight="true" outlineLevel="0" collapsed="false">
      <c r="A595" s="1" t="str">
        <f aca="false">IF(物件マスタ!A595="","",物件マスタ!A595)</f>
        <v>SHR-145</v>
      </c>
      <c r="B595" s="1" t="str">
        <f aca="false">IF($A595="","",物件マスタ!B595)</f>
        <v>SHR</v>
      </c>
      <c r="C595" s="1" t="str">
        <f aca="false">IF($A595="","",IFERROR(INDEX(法人マスタ!$C:$C,MATCH($B595,法人マスタ!$A:$A,0)),""))</f>
        <v>積水ハウス・リート投資法人</v>
      </c>
      <c r="D595" s="1" t="str">
        <f aca="false">IF($A595="","",物件マスタ!C595)</f>
        <v>シティ リッジ</v>
      </c>
      <c r="E595" s="1" t="str">
        <f aca="false">IF($A595="","",物件マスタ!H595)</f>
        <v>海外（米国）</v>
      </c>
      <c r="F595" s="53" t="n">
        <f aca="false">IF($A595="","",物件マスタ!P595)</f>
        <v>44896</v>
      </c>
      <c r="G595" s="1" t="n">
        <f aca="false">IF($A595="","",物件マスタ!Q595)</f>
        <v>3.7</v>
      </c>
      <c r="H595" s="1" t="n">
        <f aca="false">IF($A595="","",物件マスタ!L595)</f>
        <v>0</v>
      </c>
      <c r="I595" s="1" t="n">
        <f aca="false">IF($A595="","",物件マスタ!M595)</f>
        <v>59468.66</v>
      </c>
      <c r="J595" s="1" t="n">
        <f aca="false">IF($A595="","",物件マスタ!S595)</f>
        <v>84378</v>
      </c>
      <c r="K595" s="1" t="n">
        <f aca="false">IF($A595="","",物件マスタ!U595)</f>
        <v>95913</v>
      </c>
      <c r="L595" s="1" t="n">
        <f aca="false">IF($A595="","",物件マスタ!W595)</f>
        <v>0.928</v>
      </c>
      <c r="M595" s="1" t="str">
        <f aca="false">IF($A595="","",IFERROR(INDEX(法人マスタ!$H:$H,MATCH($B595,法人マスタ!$A:$A,0)),""))</f>
        <v>2026年4月期（第23期）</v>
      </c>
      <c r="N595" s="1" t="n">
        <f aca="false">IF($A595="","",SUMIFS(物件収支!$D:$D,物件収支!$A:$A,$A595,物件収支!$C:$C,$M595))</f>
        <v>6</v>
      </c>
      <c r="O595" s="1" t="n">
        <f aca="false">IF($A595="","",SUMIFS(物件収支!$F:$F,物件収支!$A:$A,$A595,物件収支!$C:$C,$M595))</f>
        <v>0</v>
      </c>
      <c r="P595" s="1" t="n">
        <f aca="false">IF($A595="","",SUMIFS(物件収支!$I:$I,物件収支!$A:$A,$A595,物件収支!$C:$C,$M595))</f>
        <v>0</v>
      </c>
      <c r="Q595" s="1" t="n">
        <f aca="false">IF($A595="","",SUMIFS(物件収支!$O:$O,物件収支!$A:$A,$A595,物件収支!$C:$C,$M595))</f>
        <v>0</v>
      </c>
      <c r="R595" s="1" t="str">
        <f aca="false">IF($A595="","",IF(P595=0,"",O595-P595))</f>
        <v/>
      </c>
      <c r="S595" s="1" t="str">
        <f aca="false">IF($A595="","",IF(R595="","",R595+Q595))</f>
        <v/>
      </c>
      <c r="T595" s="1" t="str">
        <f aca="false">IF($A595="","",IF(OR(S595="",N595&lt;=0),"",S595/1000*12/N595))</f>
        <v/>
      </c>
      <c r="U595" s="1" t="str">
        <f aca="false">IF($A595="","",IF(OR(T595="",J595=0,J595=""),"",T595/J595))</f>
        <v/>
      </c>
      <c r="V595" s="1" t="str">
        <f aca="false">IF($A595="","",IF(OR(R595="",N595&lt;=0,J595=0,J595=""),"",(R595/1000*12/N595)/J595))</f>
        <v/>
      </c>
      <c r="W595" s="1" t="str">
        <f aca="false">IF($A595="","",IF(OR(T595="",K595=0,K595=""),"",T595/K595))</f>
        <v/>
      </c>
      <c r="X595" s="1" t="str">
        <f aca="false">IF($A595="","",IF(OR(N595&lt;=0,I595=0,I595="",O595=0),"",O595*1000/(I595*0.3025)/N595))</f>
        <v/>
      </c>
      <c r="Y595" s="1" t="str">
        <f aca="false">IF($A595="","",IF(OR(O595=0,O595="",P595=0),"",P595/O595))</f>
        <v/>
      </c>
      <c r="Z595" s="1" t="str">
        <f aca="false">IF($A595="","",IFERROR(INDEX(物件収支!$E:$E,MATCH($A595,物件収支!$A:$A,0)),""))</f>
        <v>対象外（米国LLC出資・受取配当金経由）</v>
      </c>
    </row>
    <row r="596" customFormat="false" ht="16.5" hidden="false" customHeight="true" outlineLevel="0" collapsed="false">
      <c r="A596" s="1" t="str">
        <f aca="false">IF(物件マスタ!A596="","",物件マスタ!A596)</f>
        <v>SHR-146</v>
      </c>
      <c r="B596" s="1" t="str">
        <f aca="false">IF($A596="","",物件マスタ!B596)</f>
        <v>SHR</v>
      </c>
      <c r="C596" s="1" t="str">
        <f aca="false">IF($A596="","",IFERROR(INDEX(法人マスタ!$C:$C,MATCH($B596,法人マスタ!$A:$A,0)),""))</f>
        <v>積水ハウス・リート投資法人</v>
      </c>
      <c r="D596" s="1" t="str">
        <f aca="false">IF($A596="","",物件マスタ!C596)</f>
        <v>御殿山ＳＨビル</v>
      </c>
      <c r="E596" s="1" t="str">
        <f aca="false">IF($A596="","",物件マスタ!H596)</f>
        <v>その他東京23区</v>
      </c>
      <c r="F596" s="53" t="n">
        <f aca="false">IF($A596="","",物件マスタ!P596)</f>
        <v>40575</v>
      </c>
      <c r="G596" s="1" t="n">
        <f aca="false">IF($A596="","",物件マスタ!Q596)</f>
        <v>15.5</v>
      </c>
      <c r="H596" s="1" t="n">
        <f aca="false">IF($A596="","",物件マスタ!L596)</f>
        <v>0</v>
      </c>
      <c r="I596" s="1" t="n">
        <f aca="false">IF($A596="","",物件マスタ!M596)</f>
        <v>7999.99</v>
      </c>
      <c r="J596" s="1" t="n">
        <f aca="false">IF($A596="","",物件マスタ!S596)</f>
        <v>20600</v>
      </c>
      <c r="K596" s="1" t="n">
        <f aca="false">IF($A596="","",物件マスタ!U596)</f>
        <v>25100</v>
      </c>
      <c r="L596" s="1" t="n">
        <f aca="false">IF($A596="","",物件マスタ!W596)</f>
        <v>1</v>
      </c>
      <c r="M596" s="1" t="str">
        <f aca="false">IF($A596="","",IFERROR(INDEX(法人マスタ!$H:$H,MATCH($B596,法人マスタ!$A:$A,0)),""))</f>
        <v>2026年4月期（第23期）</v>
      </c>
      <c r="N596" s="1" t="n">
        <f aca="false">IF($A596="","",SUMIFS(物件収支!$D:$D,物件収支!$A:$A,$A596,物件収支!$C:$C,$M596))</f>
        <v>6</v>
      </c>
      <c r="O596" s="1" t="n">
        <f aca="false">IF($A596="","",SUMIFS(物件収支!$F:$F,物件収支!$A:$A,$A596,物件収支!$C:$C,$M596))</f>
        <v>544000</v>
      </c>
      <c r="P596" s="1" t="n">
        <f aca="false">IF($A596="","",SUMIFS(物件収支!$I:$I,物件収支!$A:$A,$A596,物件収支!$C:$C,$M596))</f>
        <v>0</v>
      </c>
      <c r="Q596" s="1" t="n">
        <f aca="false">IF($A596="","",SUMIFS(物件収支!$O:$O,物件収支!$A:$A,$A596,物件収支!$C:$C,$M596))</f>
        <v>0</v>
      </c>
      <c r="R596" s="1" t="str">
        <f aca="false">IF($A596="","",IF(P596=0,"",O596-P596))</f>
        <v/>
      </c>
      <c r="S596" s="1" t="str">
        <f aca="false">IF($A596="","",IF(R596="","",R596+Q596))</f>
        <v/>
      </c>
      <c r="T596" s="1" t="str">
        <f aca="false">IF($A596="","",IF(OR(S596="",N596&lt;=0),"",S596/1000*12/N596))</f>
        <v/>
      </c>
      <c r="U596" s="1" t="str">
        <f aca="false">IF($A596="","",IF(OR(T596="",J596=0,J596=""),"",T596/J596))</f>
        <v/>
      </c>
      <c r="V596" s="1" t="str">
        <f aca="false">IF($A596="","",IF(OR(R596="",N596&lt;=0,J596=0,J596=""),"",(R596/1000*12/N596)/J596))</f>
        <v/>
      </c>
      <c r="W596" s="1" t="str">
        <f aca="false">IF($A596="","",IF(OR(T596="",K596=0,K596=""),"",T596/K596))</f>
        <v/>
      </c>
      <c r="X596" s="1" t="n">
        <f aca="false">IF($A596="","",IF(OR(N596&lt;=0,I596=0,I596="",O596=0),"",O596*1000/(I596*0.3025)/N596))</f>
        <v>37465.6115703065</v>
      </c>
      <c r="Y596" s="1" t="str">
        <f aca="false">IF($A596="","",IF(OR(O596=0,O596="",P596=0),"",P596/O596))</f>
        <v/>
      </c>
      <c r="Z596" s="1" t="str">
        <f aca="false">IF($A596="","",IFERROR(INDEX(物件収支!$E:$E,MATCH($A596,物件収支!$A:$A,0)),""))</f>
        <v>開示（物件別・収益のみ・百万円単位）</v>
      </c>
    </row>
    <row r="597" customFormat="false" ht="16.5" hidden="false" customHeight="true" outlineLevel="0" collapsed="false">
      <c r="A597" s="1" t="str">
        <f aca="false">IF(物件マスタ!A597="","",物件マスタ!A597)</f>
        <v>SHR-147</v>
      </c>
      <c r="B597" s="1" t="str">
        <f aca="false">IF($A597="","",物件マスタ!B597)</f>
        <v>SHR</v>
      </c>
      <c r="C597" s="1" t="str">
        <f aca="false">IF($A597="","",IFERROR(INDEX(法人マスタ!$C:$C,MATCH($B597,法人マスタ!$A:$A,0)),""))</f>
        <v>積水ハウス・リート投資法人</v>
      </c>
      <c r="D597" s="1" t="str">
        <f aca="false">IF($A597="","",物件マスタ!C597)</f>
        <v>本町南ガーデンシティ</v>
      </c>
      <c r="E597" s="1" t="str">
        <f aca="false">IF($A597="","",物件マスタ!H597)</f>
        <v>その他3大都市圏</v>
      </c>
      <c r="F597" s="53" t="n">
        <f aca="false">IF($A597="","",物件マスタ!P597)</f>
        <v>40575</v>
      </c>
      <c r="G597" s="1" t="n">
        <f aca="false">IF($A597="","",物件マスタ!Q597)</f>
        <v>15.5</v>
      </c>
      <c r="H597" s="1" t="n">
        <f aca="false">IF($A597="","",物件マスタ!L597)</f>
        <v>0</v>
      </c>
      <c r="I597" s="1" t="n">
        <f aca="false">IF($A597="","",物件マスタ!M597)</f>
        <v>29657.53</v>
      </c>
      <c r="J597" s="1" t="n">
        <f aca="false">IF($A597="","",物件マスタ!S597)</f>
        <v>44000</v>
      </c>
      <c r="K597" s="1" t="n">
        <f aca="false">IF($A597="","",物件マスタ!U597)</f>
        <v>54800</v>
      </c>
      <c r="L597" s="1" t="n">
        <f aca="false">IF($A597="","",物件マスタ!W597)</f>
        <v>1</v>
      </c>
      <c r="M597" s="1" t="str">
        <f aca="false">IF($A597="","",IFERROR(INDEX(法人マスタ!$H:$H,MATCH($B597,法人マスタ!$A:$A,0)),""))</f>
        <v>2026年4月期（第23期）</v>
      </c>
      <c r="N597" s="1" t="n">
        <f aca="false">IF($A597="","",SUMIFS(物件収支!$D:$D,物件収支!$A:$A,$A597,物件収支!$C:$C,$M597))</f>
        <v>6</v>
      </c>
      <c r="O597" s="1" t="n">
        <f aca="false">IF($A597="","",SUMIFS(物件収支!$F:$F,物件収支!$A:$A,$A597,物件収支!$C:$C,$M597))</f>
        <v>1301000</v>
      </c>
      <c r="P597" s="1" t="n">
        <f aca="false">IF($A597="","",SUMIFS(物件収支!$I:$I,物件収支!$A:$A,$A597,物件収支!$C:$C,$M597))</f>
        <v>0</v>
      </c>
      <c r="Q597" s="1" t="n">
        <f aca="false">IF($A597="","",SUMIFS(物件収支!$O:$O,物件収支!$A:$A,$A597,物件収支!$C:$C,$M597))</f>
        <v>0</v>
      </c>
      <c r="R597" s="1" t="str">
        <f aca="false">IF($A597="","",IF(P597=0,"",O597-P597))</f>
        <v/>
      </c>
      <c r="S597" s="1" t="str">
        <f aca="false">IF($A597="","",IF(R597="","",R597+Q597))</f>
        <v/>
      </c>
      <c r="T597" s="1" t="str">
        <f aca="false">IF($A597="","",IF(OR(S597="",N597&lt;=0),"",S597/1000*12/N597))</f>
        <v/>
      </c>
      <c r="U597" s="1" t="str">
        <f aca="false">IF($A597="","",IF(OR(T597="",J597=0,J597=""),"",T597/J597))</f>
        <v/>
      </c>
      <c r="V597" s="1" t="str">
        <f aca="false">IF($A597="","",IF(OR(R597="",N597&lt;=0,J597=0,J597=""),"",(R597/1000*12/N597)/J597))</f>
        <v/>
      </c>
      <c r="W597" s="1" t="str">
        <f aca="false">IF($A597="","",IF(OR(T597="",K597=0,K597=""),"",T597/K597))</f>
        <v/>
      </c>
      <c r="X597" s="1" t="n">
        <f aca="false">IF($A597="","",IF(OR(N597&lt;=0,I597=0,I597="",O597=0),"",O597*1000/(I597*0.3025)/N597))</f>
        <v>24169.3899563955</v>
      </c>
      <c r="Y597" s="1" t="str">
        <f aca="false">IF($A597="","",IF(OR(O597=0,O597="",P597=0),"",P597/O597))</f>
        <v/>
      </c>
      <c r="Z597" s="1" t="str">
        <f aca="false">IF($A597="","",IFERROR(INDEX(物件収支!$E:$E,MATCH($A597,物件収支!$A:$A,0)),""))</f>
        <v>開示（物件別・収益のみ・百万円単位）</v>
      </c>
    </row>
    <row r="598" customFormat="false" ht="16.5" hidden="false" customHeight="true" outlineLevel="0" collapsed="false">
      <c r="A598" s="1" t="str">
        <f aca="false">IF(物件マスタ!A598="","",物件マスタ!A598)</f>
        <v>SHR-148</v>
      </c>
      <c r="B598" s="1" t="str">
        <f aca="false">IF($A598="","",物件マスタ!B598)</f>
        <v>SHR</v>
      </c>
      <c r="C598" s="1" t="str">
        <f aca="false">IF($A598="","",IFERROR(INDEX(法人マスタ!$C:$C,MATCH($B598,法人マスタ!$A:$A,0)),""))</f>
        <v>積水ハウス・リート投資法人</v>
      </c>
      <c r="D598" s="1" t="str">
        <f aca="false">IF($A598="","",物件マスタ!C598)</f>
        <v>ＨＫ淀屋橋ガーデンアベニュー</v>
      </c>
      <c r="E598" s="1" t="str">
        <f aca="false">IF($A598="","",物件マスタ!H598)</f>
        <v>その他3大都市圏</v>
      </c>
      <c r="F598" s="53" t="n">
        <f aca="false">IF($A598="","",物件マスタ!P598)</f>
        <v>42186</v>
      </c>
      <c r="G598" s="1" t="n">
        <f aca="false">IF($A598="","",物件マスタ!Q598)</f>
        <v>11.1</v>
      </c>
      <c r="H598" s="1" t="n">
        <f aca="false">IF($A598="","",物件マスタ!L598)</f>
        <v>0</v>
      </c>
      <c r="I598" s="1" t="n">
        <f aca="false">IF($A598="","",物件マスタ!M598)</f>
        <v>4554.52</v>
      </c>
      <c r="J598" s="1" t="n">
        <f aca="false">IF($A598="","",物件マスタ!S598)</f>
        <v>4400</v>
      </c>
      <c r="K598" s="1" t="n">
        <f aca="false">IF($A598="","",物件マスタ!U598)</f>
        <v>7020</v>
      </c>
      <c r="L598" s="1" t="n">
        <f aca="false">IF($A598="","",物件マスタ!W598)</f>
        <v>1</v>
      </c>
      <c r="M598" s="1" t="str">
        <f aca="false">IF($A598="","",IFERROR(INDEX(法人マスタ!$H:$H,MATCH($B598,法人マスタ!$A:$A,0)),""))</f>
        <v>2026年4月期（第23期）</v>
      </c>
      <c r="N598" s="1" t="n">
        <f aca="false">IF($A598="","",SUMIFS(物件収支!$D:$D,物件収支!$A:$A,$A598,物件収支!$C:$C,$M598))</f>
        <v>6</v>
      </c>
      <c r="O598" s="1" t="n">
        <f aca="false">IF($A598="","",SUMIFS(物件収支!$F:$F,物件収支!$A:$A,$A598,物件収支!$C:$C,$M598))</f>
        <v>182000</v>
      </c>
      <c r="P598" s="1" t="n">
        <f aca="false">IF($A598="","",SUMIFS(物件収支!$I:$I,物件収支!$A:$A,$A598,物件収支!$C:$C,$M598))</f>
        <v>0</v>
      </c>
      <c r="Q598" s="1" t="n">
        <f aca="false">IF($A598="","",SUMIFS(物件収支!$O:$O,物件収支!$A:$A,$A598,物件収支!$C:$C,$M598))</f>
        <v>0</v>
      </c>
      <c r="R598" s="1" t="str">
        <f aca="false">IF($A598="","",IF(P598=0,"",O598-P598))</f>
        <v/>
      </c>
      <c r="S598" s="1" t="str">
        <f aca="false">IF($A598="","",IF(R598="","",R598+Q598))</f>
        <v/>
      </c>
      <c r="T598" s="1" t="str">
        <f aca="false">IF($A598="","",IF(OR(S598="",N598&lt;=0),"",S598/1000*12/N598))</f>
        <v/>
      </c>
      <c r="U598" s="1" t="str">
        <f aca="false">IF($A598="","",IF(OR(T598="",J598=0,J598=""),"",T598/J598))</f>
        <v/>
      </c>
      <c r="V598" s="1" t="str">
        <f aca="false">IF($A598="","",IF(OR(R598="",N598&lt;=0,J598=0,J598=""),"",(R598/1000*12/N598)/J598))</f>
        <v/>
      </c>
      <c r="W598" s="1" t="str">
        <f aca="false">IF($A598="","",IF(OR(T598="",K598=0,K598=""),"",T598/K598))</f>
        <v/>
      </c>
      <c r="X598" s="1" t="n">
        <f aca="false">IF($A598="","",IF(OR(N598&lt;=0,I598=0,I598="",O598=0),"",O598*1000/(I598*0.3025)/N598))</f>
        <v>22016.6959621791</v>
      </c>
      <c r="Y598" s="1" t="str">
        <f aca="false">IF($A598="","",IF(OR(O598=0,O598="",P598=0),"",P598/O598))</f>
        <v/>
      </c>
      <c r="Z598" s="1" t="str">
        <f aca="false">IF($A598="","",IFERROR(INDEX(物件収支!$E:$E,MATCH($A598,物件収支!$A:$A,0)),""))</f>
        <v>開示（物件別・収益のみ・百万円単位）</v>
      </c>
    </row>
    <row r="599" customFormat="false" ht="16.5" hidden="false" customHeight="true" outlineLevel="0" collapsed="false">
      <c r="A599" s="1" t="str">
        <f aca="false">IF(物件マスタ!A599="","",物件マスタ!A599)</f>
        <v>SHR-149</v>
      </c>
      <c r="B599" s="1" t="str">
        <f aca="false">IF($A599="","",物件マスタ!B599)</f>
        <v>SHR</v>
      </c>
      <c r="C599" s="1" t="str">
        <f aca="false">IF($A599="","",IFERROR(INDEX(法人マスタ!$C:$C,MATCH($B599,法人マスタ!$A:$A,0)),""))</f>
        <v>積水ハウス・リート投資法人</v>
      </c>
      <c r="D599" s="1" t="str">
        <f aca="false">IF($A599="","",物件マスタ!C599)</f>
        <v>広小路ガーデンアベニュー</v>
      </c>
      <c r="E599" s="1" t="str">
        <f aca="false">IF($A599="","",物件マスタ!H599)</f>
        <v>その他3大都市圏</v>
      </c>
      <c r="F599" s="53" t="n">
        <f aca="false">IF($A599="","",物件マスタ!P599)</f>
        <v>40603</v>
      </c>
      <c r="G599" s="1" t="n">
        <f aca="false">IF($A599="","",物件マスタ!Q599)</f>
        <v>15.4</v>
      </c>
      <c r="H599" s="1" t="n">
        <f aca="false">IF($A599="","",物件マスタ!L599)</f>
        <v>0</v>
      </c>
      <c r="I599" s="1" t="n">
        <f aca="false">IF($A599="","",物件マスタ!M599)</f>
        <v>4442.75</v>
      </c>
      <c r="J599" s="1" t="n">
        <f aca="false">IF($A599="","",物件マスタ!S599)</f>
        <v>6350</v>
      </c>
      <c r="K599" s="1" t="n">
        <f aca="false">IF($A599="","",物件マスタ!U599)</f>
        <v>7270</v>
      </c>
      <c r="L599" s="1" t="n">
        <f aca="false">IF($A599="","",物件マスタ!W599)</f>
        <v>1</v>
      </c>
      <c r="M599" s="1" t="str">
        <f aca="false">IF($A599="","",IFERROR(INDEX(法人マスタ!$H:$H,MATCH($B599,法人マスタ!$A:$A,0)),""))</f>
        <v>2026年4月期（第23期）</v>
      </c>
      <c r="N599" s="1" t="n">
        <f aca="false">IF($A599="","",SUMIFS(物件収支!$D:$D,物件収支!$A:$A,$A599,物件収支!$C:$C,$M599))</f>
        <v>6</v>
      </c>
      <c r="O599" s="1" t="n">
        <f aca="false">IF($A599="","",SUMIFS(物件収支!$F:$F,物件収支!$A:$A,$A599,物件収支!$C:$C,$M599))</f>
        <v>202000</v>
      </c>
      <c r="P599" s="1" t="n">
        <f aca="false">IF($A599="","",SUMIFS(物件収支!$I:$I,物件収支!$A:$A,$A599,物件収支!$C:$C,$M599))</f>
        <v>0</v>
      </c>
      <c r="Q599" s="1" t="n">
        <f aca="false">IF($A599="","",SUMIFS(物件収支!$O:$O,物件収支!$A:$A,$A599,物件収支!$C:$C,$M599))</f>
        <v>0</v>
      </c>
      <c r="R599" s="1" t="str">
        <f aca="false">IF($A599="","",IF(P599=0,"",O599-P599))</f>
        <v/>
      </c>
      <c r="S599" s="1" t="str">
        <f aca="false">IF($A599="","",IF(R599="","",R599+Q599))</f>
        <v/>
      </c>
      <c r="T599" s="1" t="str">
        <f aca="false">IF($A599="","",IF(OR(S599="",N599&lt;=0),"",S599/1000*12/N599))</f>
        <v/>
      </c>
      <c r="U599" s="1" t="str">
        <f aca="false">IF($A599="","",IF(OR(T599="",J599=0,J599=""),"",T599/J599))</f>
        <v/>
      </c>
      <c r="V599" s="1" t="str">
        <f aca="false">IF($A599="","",IF(OR(R599="",N599&lt;=0,J599=0,J599=""),"",(R599/1000*12/N599)/J599))</f>
        <v/>
      </c>
      <c r="W599" s="1" t="str">
        <f aca="false">IF($A599="","",IF(OR(T599="",K599=0,K599=""),"",T599/K599))</f>
        <v/>
      </c>
      <c r="X599" s="1" t="n">
        <f aca="false">IF($A599="","",IF(OR(N599&lt;=0,I599=0,I599="",O599=0),"",O599*1000/(I599*0.3025)/N599))</f>
        <v>25050.8729593653</v>
      </c>
      <c r="Y599" s="1" t="str">
        <f aca="false">IF($A599="","",IF(OR(O599=0,O599="",P599=0),"",P599/O599))</f>
        <v/>
      </c>
      <c r="Z599" s="1" t="str">
        <f aca="false">IF($A599="","",IFERROR(INDEX(物件収支!$E:$E,MATCH($A599,物件収支!$A:$A,0)),""))</f>
        <v>開示（物件別・収益のみ・百万円単位）</v>
      </c>
    </row>
    <row r="600" customFormat="false" ht="16.5" hidden="false" customHeight="true" outlineLevel="0" collapsed="false">
      <c r="A600" s="1" t="str">
        <f aca="false">IF(物件マスタ!A600="","",物件マスタ!A600)</f>
        <v>SHR-150</v>
      </c>
      <c r="B600" s="1" t="str">
        <f aca="false">IF($A600="","",物件マスタ!B600)</f>
        <v>SHR</v>
      </c>
      <c r="C600" s="1" t="str">
        <f aca="false">IF($A600="","",IFERROR(INDEX(法人マスタ!$C:$C,MATCH($B600,法人マスタ!$A:$A,0)),""))</f>
        <v>積水ハウス・リート投資法人</v>
      </c>
      <c r="D600" s="1" t="str">
        <f aca="false">IF($A600="","",物件マスタ!C600)</f>
        <v>新宿ヒロセビル</v>
      </c>
      <c r="E600" s="1" t="str">
        <f aca="false">IF($A600="","",物件マスタ!H600)</f>
        <v>都心5区</v>
      </c>
      <c r="F600" s="53" t="n">
        <f aca="false">IF($A600="","",物件マスタ!P600)</f>
        <v>31199</v>
      </c>
      <c r="G600" s="1" t="n">
        <f aca="false">IF($A600="","",物件マスタ!Q600)</f>
        <v>41.2</v>
      </c>
      <c r="H600" s="1" t="n">
        <f aca="false">IF($A600="","",物件マスタ!L600)</f>
        <v>0</v>
      </c>
      <c r="I600" s="1" t="n">
        <f aca="false">IF($A600="","",物件マスタ!M600)</f>
        <v>3120.48</v>
      </c>
      <c r="J600" s="1" t="n">
        <f aca="false">IF($A600="","",物件マスタ!S600)</f>
        <v>5000</v>
      </c>
      <c r="K600" s="1" t="n">
        <f aca="false">IF($A600="","",物件マスタ!U600)</f>
        <v>5040</v>
      </c>
      <c r="L600" s="1" t="n">
        <f aca="false">IF($A600="","",物件マスタ!W600)</f>
        <v>1</v>
      </c>
      <c r="M600" s="1" t="str">
        <f aca="false">IF($A600="","",IFERROR(INDEX(法人マスタ!$H:$H,MATCH($B600,法人マスタ!$A:$A,0)),""))</f>
        <v>2026年4月期（第23期）</v>
      </c>
      <c r="N600" s="1" t="n">
        <f aca="false">IF($A600="","",SUMIFS(物件収支!$D:$D,物件収支!$A:$A,$A600,物件収支!$C:$C,$M600))</f>
        <v>6</v>
      </c>
      <c r="O600" s="1" t="n">
        <f aca="false">IF($A600="","",SUMIFS(物件収支!$F:$F,物件収支!$A:$A,$A600,物件収支!$C:$C,$M600))</f>
        <v>121000</v>
      </c>
      <c r="P600" s="1" t="n">
        <f aca="false">IF($A600="","",SUMIFS(物件収支!$I:$I,物件収支!$A:$A,$A600,物件収支!$C:$C,$M600))</f>
        <v>0</v>
      </c>
      <c r="Q600" s="1" t="n">
        <f aca="false">IF($A600="","",SUMIFS(物件収支!$O:$O,物件収支!$A:$A,$A600,物件収支!$C:$C,$M600))</f>
        <v>0</v>
      </c>
      <c r="R600" s="1" t="str">
        <f aca="false">IF($A600="","",IF(P600=0,"",O600-P600))</f>
        <v/>
      </c>
      <c r="S600" s="1" t="str">
        <f aca="false">IF($A600="","",IF(R600="","",R600+Q600))</f>
        <v/>
      </c>
      <c r="T600" s="1" t="str">
        <f aca="false">IF($A600="","",IF(OR(S600="",N600&lt;=0),"",S600/1000*12/N600))</f>
        <v/>
      </c>
      <c r="U600" s="1" t="str">
        <f aca="false">IF($A600="","",IF(OR(T600="",J600=0,J600=""),"",T600/J600))</f>
        <v/>
      </c>
      <c r="V600" s="1" t="str">
        <f aca="false">IF($A600="","",IF(OR(R600="",N600&lt;=0,J600=0,J600=""),"",(R600/1000*12/N600)/J600))</f>
        <v/>
      </c>
      <c r="W600" s="1" t="str">
        <f aca="false">IF($A600="","",IF(OR(T600="",K600=0,K600=""),"",T600/K600))</f>
        <v/>
      </c>
      <c r="X600" s="1" t="n">
        <f aca="false">IF($A600="","",IF(OR(N600&lt;=0,I600=0,I600="",O600=0),"",O600*1000/(I600*0.3025)/N600))</f>
        <v>21364.2345622041</v>
      </c>
      <c r="Y600" s="1" t="str">
        <f aca="false">IF($A600="","",IF(OR(O600=0,O600="",P600=0),"",P600/O600))</f>
        <v/>
      </c>
      <c r="Z600" s="1" t="str">
        <f aca="false">IF($A600="","",IFERROR(INDEX(物件収支!$E:$E,MATCH($A600,物件収支!$A:$A,0)),""))</f>
        <v>開示（物件別・収益のみ・百万円単位）</v>
      </c>
    </row>
    <row r="601" customFormat="false" ht="16.5" hidden="false" customHeight="true" outlineLevel="0" collapsed="false">
      <c r="A601" s="1" t="str">
        <f aca="false">IF(物件マスタ!A601="","",物件マスタ!A601)</f>
        <v>SHR-ALL</v>
      </c>
      <c r="B601" s="1" t="str">
        <f aca="false">IF($A601="","",物件マスタ!B601)</f>
        <v>SHR</v>
      </c>
      <c r="C601" s="1" t="str">
        <f aca="false">IF($A601="","",IFERROR(INDEX(法人マスタ!$C:$C,MATCH($B601,法人マスタ!$A:$A,0)),""))</f>
        <v>積水ハウス・リート投資法人</v>
      </c>
      <c r="D601" s="1" t="str">
        <f aca="false">IF($A601="","",物件マスタ!C601)</f>
        <v>【SHRポートフォリオ全体】</v>
      </c>
      <c r="E601" s="1" t="str">
        <f aca="false">IF($A601="","",物件マスタ!H601)</f>
        <v>─</v>
      </c>
      <c r="F601" s="1" t="n">
        <f aca="false">IF($A601="","",物件マスタ!P601)</f>
        <v>0</v>
      </c>
      <c r="G601" s="1" t="str">
        <f aca="false">IF($A601="","",物件マスタ!Q601)</f>
        <v/>
      </c>
      <c r="H601" s="1" t="n">
        <f aca="false">IF($A601="","",物件マスタ!L601)</f>
        <v>0</v>
      </c>
      <c r="I601" s="1" t="n">
        <f aca="false">IF($A601="","",物件マスタ!M601)</f>
        <v>598872.84</v>
      </c>
      <c r="J601" s="1" t="n">
        <f aca="false">IF($A601="","",物件マスタ!S601)</f>
        <v>561102</v>
      </c>
      <c r="K601" s="1" t="n">
        <f aca="false">IF($A601="","",物件マスタ!U601)</f>
        <v>665515</v>
      </c>
      <c r="L601" s="1" t="n">
        <f aca="false">IF($A601="","",物件マスタ!W601)</f>
        <v>0.962</v>
      </c>
      <c r="M601" s="1" t="str">
        <f aca="false">IF($A601="","",IFERROR(INDEX(法人マスタ!$H:$H,MATCH($B601,法人マスタ!$A:$A,0)),""))</f>
        <v>2026年4月期（第23期）</v>
      </c>
      <c r="N601" s="1" t="n">
        <f aca="false">IF($A601="","",SUMIFS(物件収支!$D:$D,物件収支!$A:$A,$A601,物件収支!$C:$C,$M601))</f>
        <v>6</v>
      </c>
      <c r="O601" s="1" t="n">
        <f aca="false">IF($A601="","",SUMIFS(物件収支!$F:$F,物件収支!$A:$A,$A601,物件収支!$C:$C,$M601))</f>
        <v>12864295</v>
      </c>
      <c r="P601" s="1" t="n">
        <f aca="false">IF($A601="","",SUMIFS(物件収支!$I:$I,物件収支!$A:$A,$A601,物件収支!$C:$C,$M601))</f>
        <v>5727494</v>
      </c>
      <c r="Q601" s="1" t="n">
        <f aca="false">IF($A601="","",SUMIFS(物件収支!$O:$O,物件収支!$A:$A,$A601,物件収支!$C:$C,$M601))</f>
        <v>2314026</v>
      </c>
      <c r="R601" s="1" t="n">
        <f aca="false">IF($A601="","",IF(P601=0,"",O601-P601))</f>
        <v>7136801</v>
      </c>
      <c r="S601" s="1" t="n">
        <f aca="false">IF($A601="","",IF(R601="","",R601+Q601))</f>
        <v>9450827</v>
      </c>
      <c r="T601" s="1" t="n">
        <f aca="false">IF($A601="","",IF(OR(S601="",N601&lt;=0),"",S601/1000*12/N601))</f>
        <v>18901.654</v>
      </c>
      <c r="U601" s="1" t="n">
        <f aca="false">IF($A601="","",IF(OR(T601="",J601=0,J601=""),"",T601/J601))</f>
        <v>0.0336866630309641</v>
      </c>
      <c r="V601" s="1" t="n">
        <f aca="false">IF($A601="","",IF(OR(R601="",N601&lt;=0,J601=0,J601=""),"",(R601/1000*12/N601)/J601))</f>
        <v>0.0254385156353034</v>
      </c>
      <c r="W601" s="1" t="n">
        <f aca="false">IF($A601="","",IF(OR(T601="",K601=0,K601=""),"",T601/K601))</f>
        <v>0.0284015446684147</v>
      </c>
      <c r="X601" s="1" t="n">
        <f aca="false">IF($A601="","",IF(OR(N601&lt;=0,I601=0,I601="",O601=0),"",O601*1000/(I601*0.3025)/N601))</f>
        <v>11835.1766298508</v>
      </c>
      <c r="Y601" s="1" t="n">
        <f aca="false">IF($A601="","",IF(OR(O601=0,O601="",P601=0),"",P601/O601))</f>
        <v>0.445224087289665</v>
      </c>
      <c r="Z601" s="1" t="str">
        <f aca="false">IF($A601="","",IFERROR(INDEX(物件収支!$E:$E,MATCH($A601,物件収支!$A:$A,0)),""))</f>
        <v>開示（法人一括）</v>
      </c>
    </row>
    <row r="602" customFormat="false" ht="15" hidden="false" customHeight="true" outlineLevel="0" collapsed="false">
      <c r="A602" s="1" t="str">
        <f aca="false">IF(物件マスタ!A602="","",物件マスタ!A602)</f>
        <v>HFR-001</v>
      </c>
      <c r="B602" s="1" t="str">
        <f aca="false">IF($A602="","",物件マスタ!B602)</f>
        <v>HFR</v>
      </c>
      <c r="C602" s="1" t="str">
        <f aca="false">IF($A602="","",IFERROR(INDEX(法人マスタ!$C:$C,MATCH($B602,法人マスタ!$A:$A,0)),""))</f>
        <v>平和不動産リート投資法人</v>
      </c>
      <c r="D602" s="1" t="str">
        <f aca="false">IF($A602="","",物件マスタ!C602)</f>
        <v>水天宮平和ビル</v>
      </c>
      <c r="E602" s="1" t="str">
        <f aca="false">IF($A602="","",物件マスタ!H602)</f>
        <v>都心5区</v>
      </c>
      <c r="F602" s="1" t="n">
        <f aca="false">IF($A602="","",物件マスタ!P602)</f>
        <v>0</v>
      </c>
      <c r="G602" s="1" t="str">
        <f aca="false">IF($A602="","",物件マスタ!Q602)</f>
        <v/>
      </c>
      <c r="H602" s="1" t="n">
        <f aca="false">IF($A602="","",物件マスタ!L602)</f>
        <v>0</v>
      </c>
      <c r="I602" s="1" t="n">
        <f aca="false">IF($A602="","",物件マスタ!M602)</f>
        <v>1897.71</v>
      </c>
      <c r="J602" s="1" t="n">
        <f aca="false">IF($A602="","",物件マスタ!S602)</f>
        <v>1550</v>
      </c>
      <c r="K602" s="1" t="n">
        <f aca="false">IF($A602="","",物件マスタ!U602)</f>
        <v>1924</v>
      </c>
      <c r="L602" s="1" t="n">
        <f aca="false">IF($A602="","",物件マスタ!W602)</f>
        <v>1</v>
      </c>
      <c r="M602" s="1" t="str">
        <f aca="false">IF($A602="","",IFERROR(INDEX(法人マスタ!$H:$H,MATCH($B602,法人マスタ!$A:$A,0)),""))</f>
        <v>2026年5月期（第49期）</v>
      </c>
      <c r="N602" s="1" t="n">
        <f aca="false">IF($A602="","",SUMIFS(物件収支!$D:$D,物件収支!$A:$A,$A602,物件収支!$C:$C,$M602))</f>
        <v>6</v>
      </c>
      <c r="O602" s="1" t="n">
        <f aca="false">IF($A602="","",SUMIFS(物件収支!$F:$F,物件収支!$A:$A,$A602,物件収支!$C:$C,$M602))</f>
        <v>62209</v>
      </c>
      <c r="P602" s="1" t="n">
        <f aca="false">IF($A602="","",SUMIFS(物件収支!$I:$I,物件収支!$A:$A,$A602,物件収支!$C:$C,$M602))</f>
        <v>0</v>
      </c>
      <c r="Q602" s="1" t="n">
        <f aca="false">IF($A602="","",SUMIFS(物件収支!$O:$O,物件収支!$A:$A,$A602,物件収支!$C:$C,$M602))</f>
        <v>0</v>
      </c>
      <c r="R602" s="1" t="str">
        <f aca="false">IF($A602="","",IF(P602=0,"",O602-P602))</f>
        <v/>
      </c>
      <c r="S602" s="1" t="str">
        <f aca="false">IF($A602="","",IF(R602="","",R602+Q602))</f>
        <v/>
      </c>
      <c r="T602" s="1" t="str">
        <f aca="false">IF($A602="","",IF(OR(S602="",N602&lt;=0),"",S602/1000*12/N602))</f>
        <v/>
      </c>
      <c r="U602" s="1" t="str">
        <f aca="false">IF($A602="","",IF(OR(T602="",J602=0,J602=""),"",T602/J602))</f>
        <v/>
      </c>
      <c r="V602" s="1" t="str">
        <f aca="false">IF($A602="","",IF(OR(R602="",N602&lt;=0,J602=0,J602=""),"",(R602/1000*12/N602)/J602))</f>
        <v/>
      </c>
      <c r="W602" s="1" t="str">
        <f aca="false">IF($A602="","",IF(OR(T602="",K602=0,K602=""),"",T602/K602))</f>
        <v/>
      </c>
      <c r="X602" s="1" t="n">
        <f aca="false">IF($A602="","",IF(OR(N602&lt;=0,I602=0,I602="",O602=0),"",O602*1000/(I602*0.3025)/N602))</f>
        <v>18061.2059426765</v>
      </c>
      <c r="Y602" s="1" t="str">
        <f aca="false">IF($A602="","",IF(OR(O602=0,O602="",P602=0),"",P602/O602))</f>
        <v/>
      </c>
      <c r="Z602" s="1" t="str">
        <f aca="false">IF($A602="","",IFERROR(INDEX(物件収支!$E:$E,MATCH($A602,物件収支!$A:$A,0)),""))</f>
        <v>開示（物件別・収益のみ）</v>
      </c>
    </row>
    <row r="603" customFormat="false" ht="15" hidden="false" customHeight="true" outlineLevel="0" collapsed="false">
      <c r="A603" s="1" t="str">
        <f aca="false">IF(物件マスタ!A603="","",物件マスタ!A603)</f>
        <v>HFR-002</v>
      </c>
      <c r="B603" s="1" t="str">
        <f aca="false">IF($A603="","",物件マスタ!B603)</f>
        <v>HFR</v>
      </c>
      <c r="C603" s="1" t="str">
        <f aca="false">IF($A603="","",IFERROR(INDEX(法人マスタ!$C:$C,MATCH($B603,法人マスタ!$A:$A,0)),""))</f>
        <v>平和不動産リート投資法人</v>
      </c>
      <c r="D603" s="1" t="str">
        <f aca="false">IF($A603="","",物件マスタ!C603)</f>
        <v>ＨＦ門前仲町ビルディング</v>
      </c>
      <c r="E603" s="1" t="str">
        <f aca="false">IF($A603="","",物件マスタ!H603)</f>
        <v>その他東京23区</v>
      </c>
      <c r="F603" s="1" t="n">
        <f aca="false">IF($A603="","",物件マスタ!P603)</f>
        <v>0</v>
      </c>
      <c r="G603" s="1" t="str">
        <f aca="false">IF($A603="","",物件マスタ!Q603)</f>
        <v/>
      </c>
      <c r="H603" s="1" t="n">
        <f aca="false">IF($A603="","",物件マスタ!L603)</f>
        <v>0</v>
      </c>
      <c r="I603" s="1" t="n">
        <f aca="false">IF($A603="","",物件マスタ!M603)</f>
        <v>3736.61</v>
      </c>
      <c r="J603" s="1" t="n">
        <f aca="false">IF($A603="","",物件マスタ!S603)</f>
        <v>2500</v>
      </c>
      <c r="K603" s="1" t="n">
        <f aca="false">IF($A603="","",物件マスタ!U603)</f>
        <v>3440</v>
      </c>
      <c r="L603" s="1" t="n">
        <f aca="false">IF($A603="","",物件マスタ!W603)</f>
        <v>1</v>
      </c>
      <c r="M603" s="1" t="str">
        <f aca="false">IF($A603="","",IFERROR(INDEX(法人マスタ!$H:$H,MATCH($B603,法人マスタ!$A:$A,0)),""))</f>
        <v>2026年5月期（第49期）</v>
      </c>
      <c r="N603" s="1" t="n">
        <f aca="false">IF($A603="","",SUMIFS(物件収支!$D:$D,物件収支!$A:$A,$A603,物件収支!$C:$C,$M603))</f>
        <v>6</v>
      </c>
      <c r="O603" s="1" t="n">
        <f aca="false">IF($A603="","",SUMIFS(物件収支!$F:$F,物件収支!$A:$A,$A603,物件収支!$C:$C,$M603))</f>
        <v>97392</v>
      </c>
      <c r="P603" s="1" t="n">
        <f aca="false">IF($A603="","",SUMIFS(物件収支!$I:$I,物件収支!$A:$A,$A603,物件収支!$C:$C,$M603))</f>
        <v>0</v>
      </c>
      <c r="Q603" s="1" t="n">
        <f aca="false">IF($A603="","",SUMIFS(物件収支!$O:$O,物件収支!$A:$A,$A603,物件収支!$C:$C,$M603))</f>
        <v>0</v>
      </c>
      <c r="R603" s="1" t="str">
        <f aca="false">IF($A603="","",IF(P603=0,"",O603-P603))</f>
        <v/>
      </c>
      <c r="S603" s="1" t="str">
        <f aca="false">IF($A603="","",IF(R603="","",R603+Q603))</f>
        <v/>
      </c>
      <c r="T603" s="1" t="str">
        <f aca="false">IF($A603="","",IF(OR(S603="",N603&lt;=0),"",S603/1000*12/N603))</f>
        <v/>
      </c>
      <c r="U603" s="1" t="str">
        <f aca="false">IF($A603="","",IF(OR(T603="",J603=0,J603=""),"",T603/J603))</f>
        <v/>
      </c>
      <c r="V603" s="1" t="str">
        <f aca="false">IF($A603="","",IF(OR(R603="",N603&lt;=0,J603=0,J603=""),"",(R603/1000*12/N603)/J603))</f>
        <v/>
      </c>
      <c r="W603" s="1" t="str">
        <f aca="false">IF($A603="","",IF(OR(T603="",K603=0,K603=""),"",T603/K603))</f>
        <v/>
      </c>
      <c r="X603" s="1" t="n">
        <f aca="false">IF($A603="","",IF(OR(N603&lt;=0,I603=0,I603="",O603=0),"",O603*1000/(I603*0.3025)/N603))</f>
        <v>14360.4775805426</v>
      </c>
      <c r="Y603" s="1" t="str">
        <f aca="false">IF($A603="","",IF(OR(O603=0,O603="",P603=0),"",P603/O603))</f>
        <v/>
      </c>
      <c r="Z603" s="1" t="str">
        <f aca="false">IF($A603="","",IFERROR(INDEX(物件収支!$E:$E,MATCH($A603,物件収支!$A:$A,0)),""))</f>
        <v>開示（物件別・収益のみ）</v>
      </c>
    </row>
    <row r="604" customFormat="false" ht="15" hidden="false" customHeight="true" outlineLevel="0" collapsed="false">
      <c r="A604" s="1" t="str">
        <f aca="false">IF(物件マスタ!A604="","",物件マスタ!A604)</f>
        <v>HFR-003</v>
      </c>
      <c r="B604" s="1" t="str">
        <f aca="false">IF($A604="","",物件マスタ!B604)</f>
        <v>HFR</v>
      </c>
      <c r="C604" s="1" t="str">
        <f aca="false">IF($A604="","",IFERROR(INDEX(法人マスタ!$C:$C,MATCH($B604,法人マスタ!$A:$A,0)),""))</f>
        <v>平和不動産リート投資法人</v>
      </c>
      <c r="D604" s="1" t="str">
        <f aca="false">IF($A604="","",物件マスタ!C604)</f>
        <v>ＨＦ溜池ビルディング</v>
      </c>
      <c r="E604" s="1" t="str">
        <f aca="false">IF($A604="","",物件マスタ!H604)</f>
        <v>都心5区</v>
      </c>
      <c r="F604" s="1" t="n">
        <f aca="false">IF($A604="","",物件マスタ!P604)</f>
        <v>0</v>
      </c>
      <c r="G604" s="1" t="str">
        <f aca="false">IF($A604="","",物件マスタ!Q604)</f>
        <v/>
      </c>
      <c r="H604" s="1" t="n">
        <f aca="false">IF($A604="","",物件マスタ!L604)</f>
        <v>0</v>
      </c>
      <c r="I604" s="1" t="n">
        <f aca="false">IF($A604="","",物件マスタ!M604)</f>
        <v>2274.91</v>
      </c>
      <c r="J604" s="1" t="n">
        <f aca="false">IF($A604="","",物件マスタ!S604)</f>
        <v>2700</v>
      </c>
      <c r="K604" s="1" t="n">
        <f aca="false">IF($A604="","",物件マスタ!U604)</f>
        <v>3530</v>
      </c>
      <c r="L604" s="1" t="n">
        <f aca="false">IF($A604="","",物件マスタ!W604)</f>
        <v>1</v>
      </c>
      <c r="M604" s="1" t="str">
        <f aca="false">IF($A604="","",IFERROR(INDEX(法人マスタ!$H:$H,MATCH($B604,法人マスタ!$A:$A,0)),""))</f>
        <v>2026年5月期（第49期）</v>
      </c>
      <c r="N604" s="1" t="n">
        <f aca="false">IF($A604="","",SUMIFS(物件収支!$D:$D,物件収支!$A:$A,$A604,物件収支!$C:$C,$M604))</f>
        <v>6</v>
      </c>
      <c r="O604" s="1" t="n">
        <f aca="false">IF($A604="","",SUMIFS(物件収支!$F:$F,物件収支!$A:$A,$A604,物件収支!$C:$C,$M604))</f>
        <v>90406</v>
      </c>
      <c r="P604" s="1" t="n">
        <f aca="false">IF($A604="","",SUMIFS(物件収支!$I:$I,物件収支!$A:$A,$A604,物件収支!$C:$C,$M604))</f>
        <v>0</v>
      </c>
      <c r="Q604" s="1" t="n">
        <f aca="false">IF($A604="","",SUMIFS(物件収支!$O:$O,物件収支!$A:$A,$A604,物件収支!$C:$C,$M604))</f>
        <v>0</v>
      </c>
      <c r="R604" s="1" t="str">
        <f aca="false">IF($A604="","",IF(P604=0,"",O604-P604))</f>
        <v/>
      </c>
      <c r="S604" s="1" t="str">
        <f aca="false">IF($A604="","",IF(R604="","",R604+Q604))</f>
        <v/>
      </c>
      <c r="T604" s="1" t="str">
        <f aca="false">IF($A604="","",IF(OR(S604="",N604&lt;=0),"",S604/1000*12/N604))</f>
        <v/>
      </c>
      <c r="U604" s="1" t="str">
        <f aca="false">IF($A604="","",IF(OR(T604="",J604=0,J604=""),"",T604/J604))</f>
        <v/>
      </c>
      <c r="V604" s="1" t="str">
        <f aca="false">IF($A604="","",IF(OR(R604="",N604&lt;=0,J604=0,J604=""),"",(R604/1000*12/N604)/J604))</f>
        <v/>
      </c>
      <c r="W604" s="1" t="str">
        <f aca="false">IF($A604="","",IF(OR(T604="",K604=0,K604=""),"",T604/K604))</f>
        <v/>
      </c>
      <c r="X604" s="1" t="n">
        <f aca="false">IF($A604="","",IF(OR(N604&lt;=0,I604=0,I604="",O604=0),"",O604*1000/(I604*0.3025)/N604))</f>
        <v>21895.577547929</v>
      </c>
      <c r="Y604" s="1" t="str">
        <f aca="false">IF($A604="","",IF(OR(O604=0,O604="",P604=0),"",P604/O604))</f>
        <v/>
      </c>
      <c r="Z604" s="1" t="str">
        <f aca="false">IF($A604="","",IFERROR(INDEX(物件収支!$E:$E,MATCH($A604,物件収支!$A:$A,0)),""))</f>
        <v>開示（物件別・収益のみ）</v>
      </c>
    </row>
    <row r="605" customFormat="false" ht="15" hidden="false" customHeight="true" outlineLevel="0" collapsed="false">
      <c r="A605" s="1" t="str">
        <f aca="false">IF(物件マスタ!A605="","",物件マスタ!A605)</f>
        <v>HFR-004</v>
      </c>
      <c r="B605" s="1" t="str">
        <f aca="false">IF($A605="","",物件マスタ!B605)</f>
        <v>HFR</v>
      </c>
      <c r="C605" s="1" t="str">
        <f aca="false">IF($A605="","",IFERROR(INDEX(法人マスタ!$C:$C,MATCH($B605,法人マスタ!$A:$A,0)),""))</f>
        <v>平和不動産リート投資法人</v>
      </c>
      <c r="D605" s="1" t="str">
        <f aca="false">IF($A605="","",物件マスタ!C605)</f>
        <v>ＨＦ日本橋大伝馬町ビルディング</v>
      </c>
      <c r="E605" s="1" t="str">
        <f aca="false">IF($A605="","",物件マスタ!H605)</f>
        <v>都心5区</v>
      </c>
      <c r="F605" s="1" t="n">
        <f aca="false">IF($A605="","",物件マスタ!P605)</f>
        <v>0</v>
      </c>
      <c r="G605" s="1" t="str">
        <f aca="false">IF($A605="","",物件マスタ!Q605)</f>
        <v/>
      </c>
      <c r="H605" s="1" t="n">
        <f aca="false">IF($A605="","",物件マスタ!L605)</f>
        <v>0</v>
      </c>
      <c r="I605" s="1" t="n">
        <f aca="false">IF($A605="","",物件マスタ!M605)</f>
        <v>2626.77</v>
      </c>
      <c r="J605" s="1" t="n">
        <f aca="false">IF($A605="","",物件マスタ!S605)</f>
        <v>2150</v>
      </c>
      <c r="K605" s="1" t="n">
        <f aca="false">IF($A605="","",物件マスタ!U605)</f>
        <v>2740</v>
      </c>
      <c r="L605" s="1" t="n">
        <f aca="false">IF($A605="","",物件マスタ!W605)</f>
        <v>1</v>
      </c>
      <c r="M605" s="1" t="str">
        <f aca="false">IF($A605="","",IFERROR(INDEX(法人マスタ!$H:$H,MATCH($B605,法人マスタ!$A:$A,0)),""))</f>
        <v>2026年5月期（第49期）</v>
      </c>
      <c r="N605" s="1" t="n">
        <f aca="false">IF($A605="","",SUMIFS(物件収支!$D:$D,物件収支!$A:$A,$A605,物件収支!$C:$C,$M605))</f>
        <v>6</v>
      </c>
      <c r="O605" s="1" t="n">
        <f aca="false">IF($A605="","",SUMIFS(物件収支!$F:$F,物件収支!$A:$A,$A605,物件収支!$C:$C,$M605))</f>
        <v>71811</v>
      </c>
      <c r="P605" s="1" t="n">
        <f aca="false">IF($A605="","",SUMIFS(物件収支!$I:$I,物件収支!$A:$A,$A605,物件収支!$C:$C,$M605))</f>
        <v>0</v>
      </c>
      <c r="Q605" s="1" t="n">
        <f aca="false">IF($A605="","",SUMIFS(物件収支!$O:$O,物件収支!$A:$A,$A605,物件収支!$C:$C,$M605))</f>
        <v>0</v>
      </c>
      <c r="R605" s="1" t="str">
        <f aca="false">IF($A605="","",IF(P605=0,"",O605-P605))</f>
        <v/>
      </c>
      <c r="S605" s="1" t="str">
        <f aca="false">IF($A605="","",IF(R605="","",R605+Q605))</f>
        <v/>
      </c>
      <c r="T605" s="1" t="str">
        <f aca="false">IF($A605="","",IF(OR(S605="",N605&lt;=0),"",S605/1000*12/N605))</f>
        <v/>
      </c>
      <c r="U605" s="1" t="str">
        <f aca="false">IF($A605="","",IF(OR(T605="",J605=0,J605=""),"",T605/J605))</f>
        <v/>
      </c>
      <c r="V605" s="1" t="str">
        <f aca="false">IF($A605="","",IF(OR(R605="",N605&lt;=0,J605=0,J605=""),"",(R605/1000*12/N605)/J605))</f>
        <v/>
      </c>
      <c r="W605" s="1" t="str">
        <f aca="false">IF($A605="","",IF(OR(T605="",K605=0,K605=""),"",T605/K605))</f>
        <v/>
      </c>
      <c r="X605" s="1" t="n">
        <f aca="false">IF($A605="","",IF(OR(N605&lt;=0,I605=0,I605="",O605=0),"",O605*1000/(I605*0.3025)/N605))</f>
        <v>15062.3348280201</v>
      </c>
      <c r="Y605" s="1" t="str">
        <f aca="false">IF($A605="","",IF(OR(O605=0,O605="",P605=0),"",P605/O605))</f>
        <v/>
      </c>
      <c r="Z605" s="1" t="str">
        <f aca="false">IF($A605="","",IFERROR(INDEX(物件収支!$E:$E,MATCH($A605,物件収支!$A:$A,0)),""))</f>
        <v>開示（物件別・収益のみ）</v>
      </c>
    </row>
    <row r="606" customFormat="false" ht="15" hidden="false" customHeight="true" outlineLevel="0" collapsed="false">
      <c r="A606" s="1" t="str">
        <f aca="false">IF(物件マスタ!A606="","",物件マスタ!A606)</f>
        <v>HFR-005</v>
      </c>
      <c r="B606" s="1" t="str">
        <f aca="false">IF($A606="","",物件マスタ!B606)</f>
        <v>HFR</v>
      </c>
      <c r="C606" s="1" t="str">
        <f aca="false">IF($A606="","",IFERROR(INDEX(法人マスタ!$C:$C,MATCH($B606,法人マスタ!$A:$A,0)),""))</f>
        <v>平和不動産リート投資法人</v>
      </c>
      <c r="D606" s="1" t="str">
        <f aca="false">IF($A606="","",物件マスタ!C606)</f>
        <v>ＨＦ八丁堀ビルディング</v>
      </c>
      <c r="E606" s="1" t="str">
        <f aca="false">IF($A606="","",物件マスタ!H606)</f>
        <v>都心5区</v>
      </c>
      <c r="F606" s="1" t="n">
        <f aca="false">IF($A606="","",物件マスタ!P606)</f>
        <v>0</v>
      </c>
      <c r="G606" s="1" t="str">
        <f aca="false">IF($A606="","",物件マスタ!Q606)</f>
        <v/>
      </c>
      <c r="H606" s="1" t="n">
        <f aca="false">IF($A606="","",物件マスタ!L606)</f>
        <v>0</v>
      </c>
      <c r="I606" s="1" t="n">
        <f aca="false">IF($A606="","",物件マスタ!M606)</f>
        <v>2255.96</v>
      </c>
      <c r="J606" s="1" t="n">
        <f aca="false">IF($A606="","",物件マスタ!S606)</f>
        <v>3092</v>
      </c>
      <c r="K606" s="1" t="n">
        <f aca="false">IF($A606="","",物件マスタ!U606)</f>
        <v>2870</v>
      </c>
      <c r="L606" s="1" t="n">
        <f aca="false">IF($A606="","",物件マスタ!W606)</f>
        <v>1</v>
      </c>
      <c r="M606" s="1" t="str">
        <f aca="false">IF($A606="","",IFERROR(INDEX(法人マスタ!$H:$H,MATCH($B606,法人マスタ!$A:$A,0)),""))</f>
        <v>2026年5月期（第49期）</v>
      </c>
      <c r="N606" s="1" t="n">
        <f aca="false">IF($A606="","",SUMIFS(物件収支!$D:$D,物件収支!$A:$A,$A606,物件収支!$C:$C,$M606))</f>
        <v>6</v>
      </c>
      <c r="O606" s="1" t="n">
        <f aca="false">IF($A606="","",SUMIFS(物件収支!$F:$F,物件収支!$A:$A,$A606,物件収支!$C:$C,$M606))</f>
        <v>79192</v>
      </c>
      <c r="P606" s="1" t="n">
        <f aca="false">IF($A606="","",SUMIFS(物件収支!$I:$I,物件収支!$A:$A,$A606,物件収支!$C:$C,$M606))</f>
        <v>0</v>
      </c>
      <c r="Q606" s="1" t="n">
        <f aca="false">IF($A606="","",SUMIFS(物件収支!$O:$O,物件収支!$A:$A,$A606,物件収支!$C:$C,$M606))</f>
        <v>0</v>
      </c>
      <c r="R606" s="1" t="str">
        <f aca="false">IF($A606="","",IF(P606=0,"",O606-P606))</f>
        <v/>
      </c>
      <c r="S606" s="1" t="str">
        <f aca="false">IF($A606="","",IF(R606="","",R606+Q606))</f>
        <v/>
      </c>
      <c r="T606" s="1" t="str">
        <f aca="false">IF($A606="","",IF(OR(S606="",N606&lt;=0),"",S606/1000*12/N606))</f>
        <v/>
      </c>
      <c r="U606" s="1" t="str">
        <f aca="false">IF($A606="","",IF(OR(T606="",J606=0,J606=""),"",T606/J606))</f>
        <v/>
      </c>
      <c r="V606" s="1" t="str">
        <f aca="false">IF($A606="","",IF(OR(R606="",N606&lt;=0,J606=0,J606=""),"",(R606/1000*12/N606)/J606))</f>
        <v/>
      </c>
      <c r="W606" s="1" t="str">
        <f aca="false">IF($A606="","",IF(OR(T606="",K606=0,K606=""),"",T606/K606))</f>
        <v/>
      </c>
      <c r="X606" s="1" t="n">
        <f aca="false">IF($A606="","",IF(OR(N606&lt;=0,I606=0,I606="",O606=0),"",O606*1000/(I606*0.3025)/N606))</f>
        <v>19340.7489152578</v>
      </c>
      <c r="Y606" s="1" t="str">
        <f aca="false">IF($A606="","",IF(OR(O606=0,O606="",P606=0),"",P606/O606))</f>
        <v/>
      </c>
      <c r="Z606" s="1" t="str">
        <f aca="false">IF($A606="","",IFERROR(INDEX(物件収支!$E:$E,MATCH($A606,物件収支!$A:$A,0)),""))</f>
        <v>開示（物件別・収益のみ）</v>
      </c>
    </row>
    <row r="607" customFormat="false" ht="15" hidden="false" customHeight="true" outlineLevel="0" collapsed="false">
      <c r="A607" s="1" t="str">
        <f aca="false">IF(物件マスタ!A607="","",物件マスタ!A607)</f>
        <v>HFR-006</v>
      </c>
      <c r="B607" s="1" t="str">
        <f aca="false">IF($A607="","",物件マスタ!B607)</f>
        <v>HFR</v>
      </c>
      <c r="C607" s="1" t="str">
        <f aca="false">IF($A607="","",IFERROR(INDEX(法人マスタ!$C:$C,MATCH($B607,法人マスタ!$A:$A,0)),""))</f>
        <v>平和不動産リート投資法人</v>
      </c>
      <c r="D607" s="1" t="str">
        <f aca="false">IF($A607="","",物件マスタ!C607)</f>
        <v>八丁堀ＭＦビル</v>
      </c>
      <c r="E607" s="1" t="str">
        <f aca="false">IF($A607="","",物件マスタ!H607)</f>
        <v>都心5区</v>
      </c>
      <c r="F607" s="1" t="n">
        <f aca="false">IF($A607="","",物件マスタ!P607)</f>
        <v>0</v>
      </c>
      <c r="G607" s="1" t="str">
        <f aca="false">IF($A607="","",物件マスタ!Q607)</f>
        <v/>
      </c>
      <c r="H607" s="1" t="n">
        <f aca="false">IF($A607="","",物件マスタ!L607)</f>
        <v>0</v>
      </c>
      <c r="I607" s="1" t="n">
        <f aca="false">IF($A607="","",物件マスタ!M607)</f>
        <v>1209.69</v>
      </c>
      <c r="J607" s="1" t="n">
        <f aca="false">IF($A607="","",物件マスタ!S607)</f>
        <v>1110</v>
      </c>
      <c r="K607" s="1" t="n">
        <f aca="false">IF($A607="","",物件マスタ!U607)</f>
        <v>1220</v>
      </c>
      <c r="L607" s="1" t="n">
        <f aca="false">IF($A607="","",物件マスタ!W607)</f>
        <v>1</v>
      </c>
      <c r="M607" s="1" t="str">
        <f aca="false">IF($A607="","",IFERROR(INDEX(法人マスタ!$H:$H,MATCH($B607,法人マスタ!$A:$A,0)),""))</f>
        <v>2026年5月期（第49期）</v>
      </c>
      <c r="N607" s="1" t="n">
        <f aca="false">IF($A607="","",SUMIFS(物件収支!$D:$D,物件収支!$A:$A,$A607,物件収支!$C:$C,$M607))</f>
        <v>6</v>
      </c>
      <c r="O607" s="1" t="n">
        <f aca="false">IF($A607="","",SUMIFS(物件収支!$F:$F,物件収支!$A:$A,$A607,物件収支!$C:$C,$M607))</f>
        <v>35672</v>
      </c>
      <c r="P607" s="1" t="n">
        <f aca="false">IF($A607="","",SUMIFS(物件収支!$I:$I,物件収支!$A:$A,$A607,物件収支!$C:$C,$M607))</f>
        <v>0</v>
      </c>
      <c r="Q607" s="1" t="n">
        <f aca="false">IF($A607="","",SUMIFS(物件収支!$O:$O,物件収支!$A:$A,$A607,物件収支!$C:$C,$M607))</f>
        <v>0</v>
      </c>
      <c r="R607" s="1" t="str">
        <f aca="false">IF($A607="","",IF(P607=0,"",O607-P607))</f>
        <v/>
      </c>
      <c r="S607" s="1" t="str">
        <f aca="false">IF($A607="","",IF(R607="","",R607+Q607))</f>
        <v/>
      </c>
      <c r="T607" s="1" t="str">
        <f aca="false">IF($A607="","",IF(OR(S607="",N607&lt;=0),"",S607/1000*12/N607))</f>
        <v/>
      </c>
      <c r="U607" s="1" t="str">
        <f aca="false">IF($A607="","",IF(OR(T607="",J607=0,J607=""),"",T607/J607))</f>
        <v/>
      </c>
      <c r="V607" s="1" t="str">
        <f aca="false">IF($A607="","",IF(OR(R607="",N607&lt;=0,J607=0,J607=""),"",(R607/1000*12/N607)/J607))</f>
        <v/>
      </c>
      <c r="W607" s="1" t="str">
        <f aca="false">IF($A607="","",IF(OR(T607="",K607=0,K607=""),"",T607/K607))</f>
        <v/>
      </c>
      <c r="X607" s="1" t="n">
        <f aca="false">IF($A607="","",IF(OR(N607&lt;=0,I607=0,I607="",O607=0),"",O607*1000/(I607*0.3025)/N607))</f>
        <v>16247.1331418447</v>
      </c>
      <c r="Y607" s="1" t="str">
        <f aca="false">IF($A607="","",IF(OR(O607=0,O607="",P607=0),"",P607/O607))</f>
        <v/>
      </c>
      <c r="Z607" s="1" t="str">
        <f aca="false">IF($A607="","",IFERROR(INDEX(物件収支!$E:$E,MATCH($A607,物件収支!$A:$A,0)),""))</f>
        <v>開示（物件別・収益のみ）</v>
      </c>
    </row>
    <row r="608" customFormat="false" ht="15" hidden="false" customHeight="true" outlineLevel="0" collapsed="false">
      <c r="A608" s="1" t="str">
        <f aca="false">IF(物件マスタ!A608="","",物件マスタ!A608)</f>
        <v>HFR-007</v>
      </c>
      <c r="B608" s="1" t="str">
        <f aca="false">IF($A608="","",物件マスタ!B608)</f>
        <v>HFR</v>
      </c>
      <c r="C608" s="1" t="str">
        <f aca="false">IF($A608="","",IFERROR(INDEX(法人マスタ!$C:$C,MATCH($B608,法人マスタ!$A:$A,0)),""))</f>
        <v>平和不動産リート投資法人</v>
      </c>
      <c r="D608" s="1" t="str">
        <f aca="false">IF($A608="","",物件マスタ!C608)</f>
        <v>エムズ原宿</v>
      </c>
      <c r="E608" s="1" t="str">
        <f aca="false">IF($A608="","",物件マスタ!H608)</f>
        <v>都心5区</v>
      </c>
      <c r="F608" s="1" t="n">
        <f aca="false">IF($A608="","",物件マスタ!P608)</f>
        <v>0</v>
      </c>
      <c r="G608" s="1" t="str">
        <f aca="false">IF($A608="","",物件マスタ!Q608)</f>
        <v/>
      </c>
      <c r="H608" s="1" t="n">
        <f aca="false">IF($A608="","",物件マスタ!L608)</f>
        <v>0</v>
      </c>
      <c r="I608" s="1" t="n">
        <f aca="false">IF($A608="","",物件マスタ!M608)</f>
        <v>1178.57</v>
      </c>
      <c r="J608" s="1" t="n">
        <f aca="false">IF($A608="","",物件マスタ!S608)</f>
        <v>3418</v>
      </c>
      <c r="K608" s="1" t="n">
        <f aca="false">IF($A608="","",物件マスタ!U608)</f>
        <v>4967</v>
      </c>
      <c r="L608" s="1" t="n">
        <f aca="false">IF($A608="","",物件マスタ!W608)</f>
        <v>1</v>
      </c>
      <c r="M608" s="1" t="str">
        <f aca="false">IF($A608="","",IFERROR(INDEX(法人マスタ!$H:$H,MATCH($B608,法人マスタ!$A:$A,0)),""))</f>
        <v>2026年5月期（第49期）</v>
      </c>
      <c r="N608" s="1" t="n">
        <f aca="false">IF($A608="","",SUMIFS(物件収支!$D:$D,物件収支!$A:$A,$A608,物件収支!$C:$C,$M608))</f>
        <v>6</v>
      </c>
      <c r="O608" s="1" t="n">
        <f aca="false">IF($A608="","",SUMIFS(物件収支!$F:$F,物件収支!$A:$A,$A608,物件収支!$C:$C,$M608))</f>
        <v>108998</v>
      </c>
      <c r="P608" s="1" t="n">
        <f aca="false">IF($A608="","",SUMIFS(物件収支!$I:$I,物件収支!$A:$A,$A608,物件収支!$C:$C,$M608))</f>
        <v>0</v>
      </c>
      <c r="Q608" s="1" t="n">
        <f aca="false">IF($A608="","",SUMIFS(物件収支!$O:$O,物件収支!$A:$A,$A608,物件収支!$C:$C,$M608))</f>
        <v>0</v>
      </c>
      <c r="R608" s="1" t="str">
        <f aca="false">IF($A608="","",IF(P608=0,"",O608-P608))</f>
        <v/>
      </c>
      <c r="S608" s="1" t="str">
        <f aca="false">IF($A608="","",IF(R608="","",R608+Q608))</f>
        <v/>
      </c>
      <c r="T608" s="1" t="str">
        <f aca="false">IF($A608="","",IF(OR(S608="",N608&lt;=0),"",S608/1000*12/N608))</f>
        <v/>
      </c>
      <c r="U608" s="1" t="str">
        <f aca="false">IF($A608="","",IF(OR(T608="",J608=0,J608=""),"",T608/J608))</f>
        <v/>
      </c>
      <c r="V608" s="1" t="str">
        <f aca="false">IF($A608="","",IF(OR(R608="",N608&lt;=0,J608=0,J608=""),"",(R608/1000*12/N608)/J608))</f>
        <v/>
      </c>
      <c r="W608" s="1" t="str">
        <f aca="false">IF($A608="","",IF(OR(T608="",K608=0,K608=""),"",T608/K608))</f>
        <v/>
      </c>
      <c r="X608" s="1" t="n">
        <f aca="false">IF($A608="","",IF(OR(N608&lt;=0,I608=0,I608="",O608=0),"",O608*1000/(I608*0.3025)/N608))</f>
        <v>50954.9661796568</v>
      </c>
      <c r="Y608" s="1" t="str">
        <f aca="false">IF($A608="","",IF(OR(O608=0,O608="",P608=0),"",P608/O608))</f>
        <v/>
      </c>
      <c r="Z608" s="1" t="str">
        <f aca="false">IF($A608="","",IFERROR(INDEX(物件収支!$E:$E,MATCH($A608,物件収支!$A:$A,0)),""))</f>
        <v>開示（物件別・収益のみ）</v>
      </c>
    </row>
    <row r="609" customFormat="false" ht="15" hidden="false" customHeight="true" outlineLevel="0" collapsed="false">
      <c r="A609" s="1" t="str">
        <f aca="false">IF(物件マスタ!A609="","",物件マスタ!A609)</f>
        <v>HFR-008</v>
      </c>
      <c r="B609" s="1" t="str">
        <f aca="false">IF($A609="","",物件マスタ!B609)</f>
        <v>HFR</v>
      </c>
      <c r="C609" s="1" t="str">
        <f aca="false">IF($A609="","",IFERROR(INDEX(法人マスタ!$C:$C,MATCH($B609,法人マスタ!$A:$A,0)),""))</f>
        <v>平和不動産リート投資法人</v>
      </c>
      <c r="D609" s="1" t="str">
        <f aca="false">IF($A609="","",物件マスタ!C609)</f>
        <v>船橋Ｆａｃｅビル</v>
      </c>
      <c r="E609" s="1" t="str">
        <f aca="false">IF($A609="","",物件マスタ!H609)</f>
        <v>東京周辺都市部</v>
      </c>
      <c r="F609" s="1" t="n">
        <f aca="false">IF($A609="","",物件マスタ!P609)</f>
        <v>0</v>
      </c>
      <c r="G609" s="1" t="str">
        <f aca="false">IF($A609="","",物件マスタ!Q609)</f>
        <v/>
      </c>
      <c r="H609" s="1" t="n">
        <f aca="false">IF($A609="","",物件マスタ!L609)</f>
        <v>0</v>
      </c>
      <c r="I609" s="1" t="n">
        <f aca="false">IF($A609="","",物件マスタ!M609)</f>
        <v>2520.22</v>
      </c>
      <c r="J609" s="1" t="n">
        <f aca="false">IF($A609="","",物件マスタ!S609)</f>
        <v>3900</v>
      </c>
      <c r="K609" s="1" t="n">
        <f aca="false">IF($A609="","",物件マスタ!U609)</f>
        <v>3590</v>
      </c>
      <c r="L609" s="1" t="n">
        <f aca="false">IF($A609="","",物件マスタ!W609)</f>
        <v>1</v>
      </c>
      <c r="M609" s="1" t="str">
        <f aca="false">IF($A609="","",IFERROR(INDEX(法人マスタ!$H:$H,MATCH($B609,法人マスタ!$A:$A,0)),""))</f>
        <v>2026年5月期（第49期）</v>
      </c>
      <c r="N609" s="1" t="n">
        <f aca="false">IF($A609="","",SUMIFS(物件収支!$D:$D,物件収支!$A:$A,$A609,物件収支!$C:$C,$M609))</f>
        <v>6</v>
      </c>
      <c r="O609" s="1" t="n">
        <f aca="false">IF($A609="","",SUMIFS(物件収支!$F:$F,物件収支!$A:$A,$A609,物件収支!$C:$C,$M609))</f>
        <v>123842</v>
      </c>
      <c r="P609" s="1" t="n">
        <f aca="false">IF($A609="","",SUMIFS(物件収支!$I:$I,物件収支!$A:$A,$A609,物件収支!$C:$C,$M609))</f>
        <v>0</v>
      </c>
      <c r="Q609" s="1" t="n">
        <f aca="false">IF($A609="","",SUMIFS(物件収支!$O:$O,物件収支!$A:$A,$A609,物件収支!$C:$C,$M609))</f>
        <v>0</v>
      </c>
      <c r="R609" s="1" t="str">
        <f aca="false">IF($A609="","",IF(P609=0,"",O609-P609))</f>
        <v/>
      </c>
      <c r="S609" s="1" t="str">
        <f aca="false">IF($A609="","",IF(R609="","",R609+Q609))</f>
        <v/>
      </c>
      <c r="T609" s="1" t="str">
        <f aca="false">IF($A609="","",IF(OR(S609="",N609&lt;=0),"",S609/1000*12/N609))</f>
        <v/>
      </c>
      <c r="U609" s="1" t="str">
        <f aca="false">IF($A609="","",IF(OR(T609="",J609=0,J609=""),"",T609/J609))</f>
        <v/>
      </c>
      <c r="V609" s="1" t="str">
        <f aca="false">IF($A609="","",IF(OR(R609="",N609&lt;=0,J609=0,J609=""),"",(R609/1000*12/N609)/J609))</f>
        <v/>
      </c>
      <c r="W609" s="1" t="str">
        <f aca="false">IF($A609="","",IF(OR(T609="",K609=0,K609=""),"",T609/K609))</f>
        <v/>
      </c>
      <c r="X609" s="1" t="n">
        <f aca="false">IF($A609="","",IF(OR(N609&lt;=0,I609=0,I609="",O609=0),"",O609*1000/(I609*0.3025)/N609))</f>
        <v>27074.0280162257</v>
      </c>
      <c r="Y609" s="1" t="str">
        <f aca="false">IF($A609="","",IF(OR(O609=0,O609="",P609=0),"",P609/O609))</f>
        <v/>
      </c>
      <c r="Z609" s="1" t="str">
        <f aca="false">IF($A609="","",IFERROR(INDEX(物件収支!$E:$E,MATCH($A609,物件収支!$A:$A,0)),""))</f>
        <v>開示（物件別・収益のみ）</v>
      </c>
    </row>
    <row r="610" customFormat="false" ht="15" hidden="false" customHeight="true" outlineLevel="0" collapsed="false">
      <c r="A610" s="1" t="str">
        <f aca="false">IF(物件マスタ!A610="","",物件マスタ!A610)</f>
        <v>HFR-009</v>
      </c>
      <c r="B610" s="1" t="str">
        <f aca="false">IF($A610="","",物件マスタ!B610)</f>
        <v>HFR</v>
      </c>
      <c r="C610" s="1" t="str">
        <f aca="false">IF($A610="","",IFERROR(INDEX(法人マスタ!$C:$C,MATCH($B610,法人マスタ!$A:$A,0)),""))</f>
        <v>平和不動産リート投資法人</v>
      </c>
      <c r="D610" s="1" t="str">
        <f aca="false">IF($A610="","",物件マスタ!C610)</f>
        <v>アデッソ西麻布</v>
      </c>
      <c r="E610" s="1" t="str">
        <f aca="false">IF($A610="","",物件マスタ!H610)</f>
        <v>都心5区</v>
      </c>
      <c r="F610" s="1" t="n">
        <f aca="false">IF($A610="","",物件マスタ!P610)</f>
        <v>0</v>
      </c>
      <c r="G610" s="1" t="str">
        <f aca="false">IF($A610="","",物件マスタ!Q610)</f>
        <v/>
      </c>
      <c r="H610" s="1" t="n">
        <f aca="false">IF($A610="","",物件マスタ!L610)</f>
        <v>0</v>
      </c>
      <c r="I610" s="1" t="n">
        <f aca="false">IF($A610="","",物件マスタ!M610)</f>
        <v>318.82</v>
      </c>
      <c r="J610" s="1" t="n">
        <f aca="false">IF($A610="","",物件マスタ!S610)</f>
        <v>640</v>
      </c>
      <c r="K610" s="1" t="n">
        <f aca="false">IF($A610="","",物件マスタ!U610)</f>
        <v>579</v>
      </c>
      <c r="L610" s="1" t="n">
        <f aca="false">IF($A610="","",物件マスタ!W610)</f>
        <v>1</v>
      </c>
      <c r="M610" s="1" t="str">
        <f aca="false">IF($A610="","",IFERROR(INDEX(法人マスタ!$H:$H,MATCH($B610,法人マスタ!$A:$A,0)),""))</f>
        <v>2026年5月期（第49期）</v>
      </c>
      <c r="N610" s="1" t="n">
        <f aca="false">IF($A610="","",SUMIFS(物件収支!$D:$D,物件収支!$A:$A,$A610,物件収支!$C:$C,$M610))</f>
        <v>6</v>
      </c>
      <c r="O610" s="1" t="n">
        <f aca="false">IF($A610="","",SUMIFS(物件収支!$F:$F,物件収支!$A:$A,$A610,物件収支!$C:$C,$M610))</f>
        <v>15562</v>
      </c>
      <c r="P610" s="1" t="n">
        <f aca="false">IF($A610="","",SUMIFS(物件収支!$I:$I,物件収支!$A:$A,$A610,物件収支!$C:$C,$M610))</f>
        <v>0</v>
      </c>
      <c r="Q610" s="1" t="n">
        <f aca="false">IF($A610="","",SUMIFS(物件収支!$O:$O,物件収支!$A:$A,$A610,物件収支!$C:$C,$M610))</f>
        <v>0</v>
      </c>
      <c r="R610" s="1" t="str">
        <f aca="false">IF($A610="","",IF(P610=0,"",O610-P610))</f>
        <v/>
      </c>
      <c r="S610" s="1" t="str">
        <f aca="false">IF($A610="","",IF(R610="","",R610+Q610))</f>
        <v/>
      </c>
      <c r="T610" s="1" t="str">
        <f aca="false">IF($A610="","",IF(OR(S610="",N610&lt;=0),"",S610/1000*12/N610))</f>
        <v/>
      </c>
      <c r="U610" s="1" t="str">
        <f aca="false">IF($A610="","",IF(OR(T610="",J610=0,J610=""),"",T610/J610))</f>
        <v/>
      </c>
      <c r="V610" s="1" t="str">
        <f aca="false">IF($A610="","",IF(OR(R610="",N610&lt;=0,J610=0,J610=""),"",(R610/1000*12/N610)/J610))</f>
        <v/>
      </c>
      <c r="W610" s="1" t="str">
        <f aca="false">IF($A610="","",IF(OR(T610="",K610=0,K610=""),"",T610/K610))</f>
        <v/>
      </c>
      <c r="X610" s="1" t="n">
        <f aca="false">IF($A610="","",IF(OR(N610&lt;=0,I610=0,I610="",O610=0),"",O610*1000/(I610*0.3025)/N610))</f>
        <v>26893.2459795358</v>
      </c>
      <c r="Y610" s="1" t="str">
        <f aca="false">IF($A610="","",IF(OR(O610=0,O610="",P610=0),"",P610/O610))</f>
        <v/>
      </c>
      <c r="Z610" s="1" t="str">
        <f aca="false">IF($A610="","",IFERROR(INDEX(物件収支!$E:$E,MATCH($A610,物件収支!$A:$A,0)),""))</f>
        <v>開示（物件別・収益のみ）</v>
      </c>
    </row>
    <row r="611" customFormat="false" ht="15" hidden="false" customHeight="true" outlineLevel="0" collapsed="false">
      <c r="A611" s="1" t="str">
        <f aca="false">IF(物件マスタ!A611="","",物件マスタ!A611)</f>
        <v>HFR-010</v>
      </c>
      <c r="B611" s="1" t="str">
        <f aca="false">IF($A611="","",物件マスタ!B611)</f>
        <v>HFR</v>
      </c>
      <c r="C611" s="1" t="str">
        <f aca="false">IF($A611="","",IFERROR(INDEX(法人マスタ!$C:$C,MATCH($B611,法人マスタ!$A:$A,0)),""))</f>
        <v>平和不動産リート投資法人</v>
      </c>
      <c r="D611" s="1" t="str">
        <f aca="false">IF($A611="","",物件マスタ!C611)</f>
        <v>ＨＦ池袋ビルディング</v>
      </c>
      <c r="E611" s="1" t="str">
        <f aca="false">IF($A611="","",物件マスタ!H611)</f>
        <v>その他東京23区</v>
      </c>
      <c r="F611" s="1" t="n">
        <f aca="false">IF($A611="","",物件マスタ!P611)</f>
        <v>0</v>
      </c>
      <c r="G611" s="1" t="str">
        <f aca="false">IF($A611="","",物件マスタ!Q611)</f>
        <v/>
      </c>
      <c r="H611" s="1" t="n">
        <f aca="false">IF($A611="","",物件マスタ!L611)</f>
        <v>0</v>
      </c>
      <c r="I611" s="1" t="n">
        <f aca="false">IF($A611="","",物件マスタ!M611)</f>
        <v>1213.26</v>
      </c>
      <c r="J611" s="1" t="n">
        <f aca="false">IF($A611="","",物件マスタ!S611)</f>
        <v>1314</v>
      </c>
      <c r="K611" s="1" t="n">
        <f aca="false">IF($A611="","",物件マスタ!U611)</f>
        <v>1660</v>
      </c>
      <c r="L611" s="1" t="n">
        <f aca="false">IF($A611="","",物件マスタ!W611)</f>
        <v>1</v>
      </c>
      <c r="M611" s="1" t="str">
        <f aca="false">IF($A611="","",IFERROR(INDEX(法人マスタ!$H:$H,MATCH($B611,法人マスタ!$A:$A,0)),""))</f>
        <v>2026年5月期（第49期）</v>
      </c>
      <c r="N611" s="1" t="n">
        <f aca="false">IF($A611="","",SUMIFS(物件収支!$D:$D,物件収支!$A:$A,$A611,物件収支!$C:$C,$M611))</f>
        <v>6</v>
      </c>
      <c r="O611" s="1" t="n">
        <f aca="false">IF($A611="","",SUMIFS(物件収支!$F:$F,物件収支!$A:$A,$A611,物件収支!$C:$C,$M611))</f>
        <v>48389</v>
      </c>
      <c r="P611" s="1" t="n">
        <f aca="false">IF($A611="","",SUMIFS(物件収支!$I:$I,物件収支!$A:$A,$A611,物件収支!$C:$C,$M611))</f>
        <v>0</v>
      </c>
      <c r="Q611" s="1" t="n">
        <f aca="false">IF($A611="","",SUMIFS(物件収支!$O:$O,物件収支!$A:$A,$A611,物件収支!$C:$C,$M611))</f>
        <v>0</v>
      </c>
      <c r="R611" s="1" t="str">
        <f aca="false">IF($A611="","",IF(P611=0,"",O611-P611))</f>
        <v/>
      </c>
      <c r="S611" s="1" t="str">
        <f aca="false">IF($A611="","",IF(R611="","",R611+Q611))</f>
        <v/>
      </c>
      <c r="T611" s="1" t="str">
        <f aca="false">IF($A611="","",IF(OR(S611="",N611&lt;=0),"",S611/1000*12/N611))</f>
        <v/>
      </c>
      <c r="U611" s="1" t="str">
        <f aca="false">IF($A611="","",IF(OR(T611="",J611=0,J611=""),"",T611/J611))</f>
        <v/>
      </c>
      <c r="V611" s="1" t="str">
        <f aca="false">IF($A611="","",IF(OR(R611="",N611&lt;=0,J611=0,J611=""),"",(R611/1000*12/N611)/J611))</f>
        <v/>
      </c>
      <c r="W611" s="1" t="str">
        <f aca="false">IF($A611="","",IF(OR(T611="",K611=0,K611=""),"",T611/K611))</f>
        <v/>
      </c>
      <c r="X611" s="1" t="n">
        <f aca="false">IF($A611="","",IF(OR(N611&lt;=0,I611=0,I611="",O611=0),"",O611*1000/(I611*0.3025)/N611))</f>
        <v>21974.3550933898</v>
      </c>
      <c r="Y611" s="1" t="str">
        <f aca="false">IF($A611="","",IF(OR(O611=0,O611="",P611=0),"",P611/O611))</f>
        <v/>
      </c>
      <c r="Z611" s="1" t="str">
        <f aca="false">IF($A611="","",IFERROR(INDEX(物件収支!$E:$E,MATCH($A611,物件収支!$A:$A,0)),""))</f>
        <v>開示（物件別・収益のみ）</v>
      </c>
    </row>
    <row r="612" customFormat="false" ht="15" hidden="false" customHeight="true" outlineLevel="0" collapsed="false">
      <c r="A612" s="1" t="str">
        <f aca="false">IF(物件マスタ!A612="","",物件マスタ!A612)</f>
        <v>HFR-011</v>
      </c>
      <c r="B612" s="1" t="str">
        <f aca="false">IF($A612="","",物件マスタ!B612)</f>
        <v>HFR</v>
      </c>
      <c r="C612" s="1" t="str">
        <f aca="false">IF($A612="","",IFERROR(INDEX(法人マスタ!$C:$C,MATCH($B612,法人マスタ!$A:$A,0)),""))</f>
        <v>平和不動産リート投資法人</v>
      </c>
      <c r="D612" s="1" t="str">
        <f aca="false">IF($A612="","",物件マスタ!C612)</f>
        <v>ＨＦ湯島ビルディング</v>
      </c>
      <c r="E612" s="1" t="str">
        <f aca="false">IF($A612="","",物件マスタ!H612)</f>
        <v>その他東京23区</v>
      </c>
      <c r="F612" s="1" t="n">
        <f aca="false">IF($A612="","",物件マスタ!P612)</f>
        <v>0</v>
      </c>
      <c r="G612" s="1" t="str">
        <f aca="false">IF($A612="","",物件マスタ!Q612)</f>
        <v/>
      </c>
      <c r="H612" s="1" t="n">
        <f aca="false">IF($A612="","",物件マスタ!L612)</f>
        <v>0</v>
      </c>
      <c r="I612" s="1" t="n">
        <f aca="false">IF($A612="","",物件マスタ!M612)</f>
        <v>1771.66</v>
      </c>
      <c r="J612" s="1" t="n">
        <f aca="false">IF($A612="","",物件マスタ!S612)</f>
        <v>1624</v>
      </c>
      <c r="K612" s="1" t="n">
        <f aca="false">IF($A612="","",物件マスタ!U612)</f>
        <v>1860</v>
      </c>
      <c r="L612" s="1" t="n">
        <f aca="false">IF($A612="","",物件マスタ!W612)</f>
        <v>1</v>
      </c>
      <c r="M612" s="1" t="str">
        <f aca="false">IF($A612="","",IFERROR(INDEX(法人マスタ!$H:$H,MATCH($B612,法人マスタ!$A:$A,0)),""))</f>
        <v>2026年5月期（第49期）</v>
      </c>
      <c r="N612" s="1" t="n">
        <f aca="false">IF($A612="","",SUMIFS(物件収支!$D:$D,物件収支!$A:$A,$A612,物件収支!$C:$C,$M612))</f>
        <v>6</v>
      </c>
      <c r="O612" s="1" t="n">
        <f aca="false">IF($A612="","",SUMIFS(物件収支!$F:$F,物件収支!$A:$A,$A612,物件収支!$C:$C,$M612))</f>
        <v>51307</v>
      </c>
      <c r="P612" s="1" t="n">
        <f aca="false">IF($A612="","",SUMIFS(物件収支!$I:$I,物件収支!$A:$A,$A612,物件収支!$C:$C,$M612))</f>
        <v>0</v>
      </c>
      <c r="Q612" s="1" t="n">
        <f aca="false">IF($A612="","",SUMIFS(物件収支!$O:$O,物件収支!$A:$A,$A612,物件収支!$C:$C,$M612))</f>
        <v>0</v>
      </c>
      <c r="R612" s="1" t="str">
        <f aca="false">IF($A612="","",IF(P612=0,"",O612-P612))</f>
        <v/>
      </c>
      <c r="S612" s="1" t="str">
        <f aca="false">IF($A612="","",IF(R612="","",R612+Q612))</f>
        <v/>
      </c>
      <c r="T612" s="1" t="str">
        <f aca="false">IF($A612="","",IF(OR(S612="",N612&lt;=0),"",S612/1000*12/N612))</f>
        <v/>
      </c>
      <c r="U612" s="1" t="str">
        <f aca="false">IF($A612="","",IF(OR(T612="",J612=0,J612=""),"",T612/J612))</f>
        <v/>
      </c>
      <c r="V612" s="1" t="str">
        <f aca="false">IF($A612="","",IF(OR(R612="",N612&lt;=0,J612=0,J612=""),"",(R612/1000*12/N612)/J612))</f>
        <v/>
      </c>
      <c r="W612" s="1" t="str">
        <f aca="false">IF($A612="","",IF(OR(T612="",K612=0,K612=""),"",T612/K612))</f>
        <v/>
      </c>
      <c r="X612" s="1" t="n">
        <f aca="false">IF($A612="","",IF(OR(N612&lt;=0,I612=0,I612="",O612=0),"",O612*1000/(I612*0.3025)/N612))</f>
        <v>15955.8377788225</v>
      </c>
      <c r="Y612" s="1" t="str">
        <f aca="false">IF($A612="","",IF(OR(O612=0,O612="",P612=0),"",P612/O612))</f>
        <v/>
      </c>
      <c r="Z612" s="1" t="str">
        <f aca="false">IF($A612="","",IFERROR(INDEX(物件収支!$E:$E,MATCH($A612,物件収支!$A:$A,0)),""))</f>
        <v>開示（物件別・収益のみ）</v>
      </c>
    </row>
    <row r="613" customFormat="false" ht="15" hidden="false" customHeight="true" outlineLevel="0" collapsed="false">
      <c r="A613" s="1" t="str">
        <f aca="false">IF(物件マスタ!A613="","",物件マスタ!A613)</f>
        <v>HFR-012</v>
      </c>
      <c r="B613" s="1" t="str">
        <f aca="false">IF($A613="","",物件マスタ!B613)</f>
        <v>HFR</v>
      </c>
      <c r="C613" s="1" t="str">
        <f aca="false">IF($A613="","",IFERROR(INDEX(法人マスタ!$C:$C,MATCH($B613,法人マスタ!$A:$A,0)),""))</f>
        <v>平和不動産リート投資法人</v>
      </c>
      <c r="D613" s="1" t="str">
        <f aca="false">IF($A613="","",物件マスタ!C613)</f>
        <v>茅場町平和ビル</v>
      </c>
      <c r="E613" s="1" t="str">
        <f aca="false">IF($A613="","",物件マスタ!H613)</f>
        <v>都心5区</v>
      </c>
      <c r="F613" s="1" t="n">
        <f aca="false">IF($A613="","",物件マスタ!P613)</f>
        <v>0</v>
      </c>
      <c r="G613" s="1" t="str">
        <f aca="false">IF($A613="","",物件マスタ!Q613)</f>
        <v/>
      </c>
      <c r="H613" s="1" t="n">
        <f aca="false">IF($A613="","",物件マスタ!L613)</f>
        <v>0</v>
      </c>
      <c r="I613" s="1" t="n">
        <f aca="false">IF($A613="","",物件マスタ!M613)</f>
        <v>4156.53</v>
      </c>
      <c r="J613" s="1" t="n">
        <f aca="false">IF($A613="","",物件マスタ!S613)</f>
        <v>4798</v>
      </c>
      <c r="K613" s="1" t="n">
        <f aca="false">IF($A613="","",物件マスタ!U613)</f>
        <v>7790</v>
      </c>
      <c r="L613" s="1" t="n">
        <f aca="false">IF($A613="","",物件マスタ!W613)</f>
        <v>1</v>
      </c>
      <c r="M613" s="1" t="str">
        <f aca="false">IF($A613="","",IFERROR(INDEX(法人マスタ!$H:$H,MATCH($B613,法人マスタ!$A:$A,0)),""))</f>
        <v>2026年5月期（第49期）</v>
      </c>
      <c r="N613" s="1" t="n">
        <f aca="false">IF($A613="","",SUMIFS(物件収支!$D:$D,物件収支!$A:$A,$A613,物件収支!$C:$C,$M613))</f>
        <v>6</v>
      </c>
      <c r="O613" s="1" t="n">
        <f aca="false">IF($A613="","",SUMIFS(物件収支!$F:$F,物件収支!$A:$A,$A613,物件収支!$C:$C,$M613))</f>
        <v>209916</v>
      </c>
      <c r="P613" s="1" t="n">
        <f aca="false">IF($A613="","",SUMIFS(物件収支!$I:$I,物件収支!$A:$A,$A613,物件収支!$C:$C,$M613))</f>
        <v>0</v>
      </c>
      <c r="Q613" s="1" t="n">
        <f aca="false">IF($A613="","",SUMIFS(物件収支!$O:$O,物件収支!$A:$A,$A613,物件収支!$C:$C,$M613))</f>
        <v>0</v>
      </c>
      <c r="R613" s="1" t="str">
        <f aca="false">IF($A613="","",IF(P613=0,"",O613-P613))</f>
        <v/>
      </c>
      <c r="S613" s="1" t="str">
        <f aca="false">IF($A613="","",IF(R613="","",R613+Q613))</f>
        <v/>
      </c>
      <c r="T613" s="1" t="str">
        <f aca="false">IF($A613="","",IF(OR(S613="",N613&lt;=0),"",S613/1000*12/N613))</f>
        <v/>
      </c>
      <c r="U613" s="1" t="str">
        <f aca="false">IF($A613="","",IF(OR(T613="",J613=0,J613=""),"",T613/J613))</f>
        <v/>
      </c>
      <c r="V613" s="1" t="str">
        <f aca="false">IF($A613="","",IF(OR(R613="",N613&lt;=0,J613=0,J613=""),"",(R613/1000*12/N613)/J613))</f>
        <v/>
      </c>
      <c r="W613" s="1" t="str">
        <f aca="false">IF($A613="","",IF(OR(T613="",K613=0,K613=""),"",T613/K613))</f>
        <v/>
      </c>
      <c r="X613" s="1" t="n">
        <f aca="false">IF($A613="","",IF(OR(N613&lt;=0,I613=0,I613="",O613=0),"",O613*1000/(I613*0.3025)/N613))</f>
        <v>27825.1807029199</v>
      </c>
      <c r="Y613" s="1" t="str">
        <f aca="false">IF($A613="","",IF(OR(O613=0,O613="",P613=0),"",P613/O613))</f>
        <v/>
      </c>
      <c r="Z613" s="1" t="str">
        <f aca="false">IF($A613="","",IFERROR(INDEX(物件収支!$E:$E,MATCH($A613,物件収支!$A:$A,0)),""))</f>
        <v>開示（物件別・収益のみ）</v>
      </c>
    </row>
    <row r="614" customFormat="false" ht="15" hidden="false" customHeight="true" outlineLevel="0" collapsed="false">
      <c r="A614" s="1" t="str">
        <f aca="false">IF(物件マスタ!A614="","",物件マスタ!A614)</f>
        <v>HFR-013</v>
      </c>
      <c r="B614" s="1" t="str">
        <f aca="false">IF($A614="","",物件マスタ!B614)</f>
        <v>HFR</v>
      </c>
      <c r="C614" s="1" t="str">
        <f aca="false">IF($A614="","",IFERROR(INDEX(法人マスタ!$C:$C,MATCH($B614,法人マスタ!$A:$A,0)),""))</f>
        <v>平和不動産リート投資法人</v>
      </c>
      <c r="D614" s="1" t="str">
        <f aca="false">IF($A614="","",物件マスタ!C614)</f>
        <v>神戸旧居留地平和ビル</v>
      </c>
      <c r="E614" s="1" t="str">
        <f aca="false">IF($A614="","",物件マスタ!H614)</f>
        <v>その他3大都市圏</v>
      </c>
      <c r="F614" s="1" t="n">
        <f aca="false">IF($A614="","",物件マスタ!P614)</f>
        <v>0</v>
      </c>
      <c r="G614" s="1" t="str">
        <f aca="false">IF($A614="","",物件マスタ!Q614)</f>
        <v/>
      </c>
      <c r="H614" s="1" t="n">
        <f aca="false">IF($A614="","",物件マスタ!L614)</f>
        <v>0</v>
      </c>
      <c r="I614" s="1" t="n">
        <f aca="false">IF($A614="","",物件マスタ!M614)</f>
        <v>4839.37</v>
      </c>
      <c r="J614" s="1" t="n">
        <f aca="false">IF($A614="","",物件マスタ!S614)</f>
        <v>2310</v>
      </c>
      <c r="K614" s="1" t="n">
        <f aca="false">IF($A614="","",物件マスタ!U614)</f>
        <v>4160</v>
      </c>
      <c r="L614" s="1" t="n">
        <f aca="false">IF($A614="","",物件マスタ!W614)</f>
        <v>0.9744</v>
      </c>
      <c r="M614" s="1" t="str">
        <f aca="false">IF($A614="","",IFERROR(INDEX(法人マスタ!$H:$H,MATCH($B614,法人マスタ!$A:$A,0)),""))</f>
        <v>2026年5月期（第49期）</v>
      </c>
      <c r="N614" s="1" t="n">
        <f aca="false">IF($A614="","",SUMIFS(物件収支!$D:$D,物件収支!$A:$A,$A614,物件収支!$C:$C,$M614))</f>
        <v>6</v>
      </c>
      <c r="O614" s="1" t="n">
        <f aca="false">IF($A614="","",SUMIFS(物件収支!$F:$F,物件収支!$A:$A,$A614,物件収支!$C:$C,$M614))</f>
        <v>178012</v>
      </c>
      <c r="P614" s="1" t="n">
        <f aca="false">IF($A614="","",SUMIFS(物件収支!$I:$I,物件収支!$A:$A,$A614,物件収支!$C:$C,$M614))</f>
        <v>0</v>
      </c>
      <c r="Q614" s="1" t="n">
        <f aca="false">IF($A614="","",SUMIFS(物件収支!$O:$O,物件収支!$A:$A,$A614,物件収支!$C:$C,$M614))</f>
        <v>0</v>
      </c>
      <c r="R614" s="1" t="str">
        <f aca="false">IF($A614="","",IF(P614=0,"",O614-P614))</f>
        <v/>
      </c>
      <c r="S614" s="1" t="str">
        <f aca="false">IF($A614="","",IF(R614="","",R614+Q614))</f>
        <v/>
      </c>
      <c r="T614" s="1" t="str">
        <f aca="false">IF($A614="","",IF(OR(S614="",N614&lt;=0),"",S614/1000*12/N614))</f>
        <v/>
      </c>
      <c r="U614" s="1" t="str">
        <f aca="false">IF($A614="","",IF(OR(T614="",J614=0,J614=""),"",T614/J614))</f>
        <v/>
      </c>
      <c r="V614" s="1" t="str">
        <f aca="false">IF($A614="","",IF(OR(R614="",N614&lt;=0,J614=0,J614=""),"",(R614/1000*12/N614)/J614))</f>
        <v/>
      </c>
      <c r="W614" s="1" t="str">
        <f aca="false">IF($A614="","",IF(OR(T614="",K614=0,K614=""),"",T614/K614))</f>
        <v/>
      </c>
      <c r="X614" s="1" t="n">
        <f aca="false">IF($A614="","",IF(OR(N614&lt;=0,I614=0,I614="",O614=0),"",O614*1000/(I614*0.3025)/N614))</f>
        <v>20266.7365617013</v>
      </c>
      <c r="Y614" s="1" t="str">
        <f aca="false">IF($A614="","",IF(OR(O614=0,O614="",P614=0),"",P614/O614))</f>
        <v/>
      </c>
      <c r="Z614" s="1" t="str">
        <f aca="false">IF($A614="","",IFERROR(INDEX(物件収支!$E:$E,MATCH($A614,物件収支!$A:$A,0)),""))</f>
        <v>開示（物件別・収益のみ）</v>
      </c>
    </row>
    <row r="615" customFormat="false" ht="15" hidden="false" customHeight="true" outlineLevel="0" collapsed="false">
      <c r="A615" s="1" t="str">
        <f aca="false">IF(物件マスタ!A615="","",物件マスタ!A615)</f>
        <v>HFR-014</v>
      </c>
      <c r="B615" s="1" t="str">
        <f aca="false">IF($A615="","",物件マスタ!B615)</f>
        <v>HFR</v>
      </c>
      <c r="C615" s="1" t="str">
        <f aca="false">IF($A615="","",IFERROR(INDEX(法人マスタ!$C:$C,MATCH($B615,法人マスタ!$A:$A,0)),""))</f>
        <v>平和不動産リート投資法人</v>
      </c>
      <c r="D615" s="1" t="str">
        <f aca="false">IF($A615="","",物件マスタ!C615)</f>
        <v>栄ミナミ平和ビル</v>
      </c>
      <c r="E615" s="1" t="str">
        <f aca="false">IF($A615="","",物件マスタ!H615)</f>
        <v>その他3大都市圏</v>
      </c>
      <c r="F615" s="1" t="n">
        <f aca="false">IF($A615="","",物件マスタ!P615)</f>
        <v>0</v>
      </c>
      <c r="G615" s="1" t="str">
        <f aca="false">IF($A615="","",物件マスタ!Q615)</f>
        <v/>
      </c>
      <c r="H615" s="1" t="n">
        <f aca="false">IF($A615="","",物件マスタ!L615)</f>
        <v>0</v>
      </c>
      <c r="I615" s="1" t="n">
        <f aca="false">IF($A615="","",物件マスタ!M615)</f>
        <v>2889.49</v>
      </c>
      <c r="J615" s="1" t="n">
        <f aca="false">IF($A615="","",物件マスタ!S615)</f>
        <v>1580</v>
      </c>
      <c r="K615" s="1" t="n">
        <f aca="false">IF($A615="","",物件マスタ!U615)</f>
        <v>2430</v>
      </c>
      <c r="L615" s="1" t="n">
        <f aca="false">IF($A615="","",物件マスタ!W615)</f>
        <v>1</v>
      </c>
      <c r="M615" s="1" t="str">
        <f aca="false">IF($A615="","",IFERROR(INDEX(法人マスタ!$H:$H,MATCH($B615,法人マスタ!$A:$A,0)),""))</f>
        <v>2026年5月期（第49期）</v>
      </c>
      <c r="N615" s="1" t="n">
        <f aca="false">IF($A615="","",SUMIFS(物件収支!$D:$D,物件収支!$A:$A,$A615,物件収支!$C:$C,$M615))</f>
        <v>6</v>
      </c>
      <c r="O615" s="1" t="n">
        <f aca="false">IF($A615="","",SUMIFS(物件収支!$F:$F,物件収支!$A:$A,$A615,物件収支!$C:$C,$M615))</f>
        <v>94953</v>
      </c>
      <c r="P615" s="1" t="n">
        <f aca="false">IF($A615="","",SUMIFS(物件収支!$I:$I,物件収支!$A:$A,$A615,物件収支!$C:$C,$M615))</f>
        <v>0</v>
      </c>
      <c r="Q615" s="1" t="n">
        <f aca="false">IF($A615="","",SUMIFS(物件収支!$O:$O,物件収支!$A:$A,$A615,物件収支!$C:$C,$M615))</f>
        <v>0</v>
      </c>
      <c r="R615" s="1" t="str">
        <f aca="false">IF($A615="","",IF(P615=0,"",O615-P615))</f>
        <v/>
      </c>
      <c r="S615" s="1" t="str">
        <f aca="false">IF($A615="","",IF(R615="","",R615+Q615))</f>
        <v/>
      </c>
      <c r="T615" s="1" t="str">
        <f aca="false">IF($A615="","",IF(OR(S615="",N615&lt;=0),"",S615/1000*12/N615))</f>
        <v/>
      </c>
      <c r="U615" s="1" t="str">
        <f aca="false">IF($A615="","",IF(OR(T615="",J615=0,J615=""),"",T615/J615))</f>
        <v/>
      </c>
      <c r="V615" s="1" t="str">
        <f aca="false">IF($A615="","",IF(OR(R615="",N615&lt;=0,J615=0,J615=""),"",(R615/1000*12/N615)/J615))</f>
        <v/>
      </c>
      <c r="W615" s="1" t="str">
        <f aca="false">IF($A615="","",IF(OR(T615="",K615=0,K615=""),"",T615/K615))</f>
        <v/>
      </c>
      <c r="X615" s="1" t="n">
        <f aca="false">IF($A615="","",IF(OR(N615&lt;=0,I615=0,I615="",O615=0),"",O615*1000/(I615*0.3025)/N615))</f>
        <v>18105.5142877597</v>
      </c>
      <c r="Y615" s="1" t="str">
        <f aca="false">IF($A615="","",IF(OR(O615=0,O615="",P615=0),"",P615/O615))</f>
        <v/>
      </c>
      <c r="Z615" s="1" t="str">
        <f aca="false">IF($A615="","",IFERROR(INDEX(物件収支!$E:$E,MATCH($A615,物件収支!$A:$A,0)),""))</f>
        <v>開示（物件別・収益のみ）</v>
      </c>
    </row>
    <row r="616" customFormat="false" ht="15" hidden="false" customHeight="true" outlineLevel="0" collapsed="false">
      <c r="A616" s="1" t="str">
        <f aca="false">IF(物件マスタ!A616="","",物件マスタ!A616)</f>
        <v>HFR-015</v>
      </c>
      <c r="B616" s="1" t="str">
        <f aca="false">IF($A616="","",物件マスタ!B616)</f>
        <v>HFR</v>
      </c>
      <c r="C616" s="1" t="str">
        <f aca="false">IF($A616="","",IFERROR(INDEX(法人マスタ!$C:$C,MATCH($B616,法人マスタ!$A:$A,0)),""))</f>
        <v>平和不動産リート投資法人</v>
      </c>
      <c r="D616" s="1" t="str">
        <f aca="false">IF($A616="","",物件マスタ!C616)</f>
        <v>ＨＦ桜通ビルディング</v>
      </c>
      <c r="E616" s="1" t="str">
        <f aca="false">IF($A616="","",物件マスタ!H616)</f>
        <v>その他3大都市圏</v>
      </c>
      <c r="F616" s="1" t="n">
        <f aca="false">IF($A616="","",物件マスタ!P616)</f>
        <v>0</v>
      </c>
      <c r="G616" s="1" t="str">
        <f aca="false">IF($A616="","",物件マスタ!Q616)</f>
        <v/>
      </c>
      <c r="H616" s="1" t="n">
        <f aca="false">IF($A616="","",物件マスタ!L616)</f>
        <v>0</v>
      </c>
      <c r="I616" s="1" t="n">
        <f aca="false">IF($A616="","",物件マスタ!M616)</f>
        <v>9934.77</v>
      </c>
      <c r="J616" s="1" t="n">
        <f aca="false">IF($A616="","",物件マスタ!S616)</f>
        <v>4900</v>
      </c>
      <c r="K616" s="1" t="n">
        <f aca="false">IF($A616="","",物件マスタ!U616)</f>
        <v>7100</v>
      </c>
      <c r="L616" s="1" t="n">
        <f aca="false">IF($A616="","",物件マスタ!W616)</f>
        <v>0.9741</v>
      </c>
      <c r="M616" s="1" t="str">
        <f aca="false">IF($A616="","",IFERROR(INDEX(法人マスタ!$H:$H,MATCH($B616,法人マスタ!$A:$A,0)),""))</f>
        <v>2026年5月期（第49期）</v>
      </c>
      <c r="N616" s="1" t="n">
        <f aca="false">IF($A616="","",SUMIFS(物件収支!$D:$D,物件収支!$A:$A,$A616,物件収支!$C:$C,$M616))</f>
        <v>6</v>
      </c>
      <c r="O616" s="1" t="n">
        <f aca="false">IF($A616="","",SUMIFS(物件収支!$F:$F,物件収支!$A:$A,$A616,物件収支!$C:$C,$M616))</f>
        <v>331717</v>
      </c>
      <c r="P616" s="1" t="n">
        <f aca="false">IF($A616="","",SUMIFS(物件収支!$I:$I,物件収支!$A:$A,$A616,物件収支!$C:$C,$M616))</f>
        <v>0</v>
      </c>
      <c r="Q616" s="1" t="n">
        <f aca="false">IF($A616="","",SUMIFS(物件収支!$O:$O,物件収支!$A:$A,$A616,物件収支!$C:$C,$M616))</f>
        <v>0</v>
      </c>
      <c r="R616" s="1" t="str">
        <f aca="false">IF($A616="","",IF(P616=0,"",O616-P616))</f>
        <v/>
      </c>
      <c r="S616" s="1" t="str">
        <f aca="false">IF($A616="","",IF(R616="","",R616+Q616))</f>
        <v/>
      </c>
      <c r="T616" s="1" t="str">
        <f aca="false">IF($A616="","",IF(OR(S616="",N616&lt;=0),"",S616/1000*12/N616))</f>
        <v/>
      </c>
      <c r="U616" s="1" t="str">
        <f aca="false">IF($A616="","",IF(OR(T616="",J616=0,J616=""),"",T616/J616))</f>
        <v/>
      </c>
      <c r="V616" s="1" t="str">
        <f aca="false">IF($A616="","",IF(OR(R616="",N616&lt;=0,J616=0,J616=""),"",(R616/1000*12/N616)/J616))</f>
        <v/>
      </c>
      <c r="W616" s="1" t="str">
        <f aca="false">IF($A616="","",IF(OR(T616="",K616=0,K616=""),"",T616/K616))</f>
        <v/>
      </c>
      <c r="X616" s="1" t="n">
        <f aca="false">IF($A616="","",IF(OR(N616&lt;=0,I616=0,I616="",O616=0),"",O616*1000/(I616*0.3025)/N616))</f>
        <v>18396.4185711218</v>
      </c>
      <c r="Y616" s="1" t="str">
        <f aca="false">IF($A616="","",IF(OR(O616=0,O616="",P616=0),"",P616/O616))</f>
        <v/>
      </c>
      <c r="Z616" s="1" t="str">
        <f aca="false">IF($A616="","",IFERROR(INDEX(物件収支!$E:$E,MATCH($A616,物件収支!$A:$A,0)),""))</f>
        <v>開示（物件別・収益のみ）</v>
      </c>
    </row>
    <row r="617" customFormat="false" ht="15" hidden="false" customHeight="true" outlineLevel="0" collapsed="false">
      <c r="A617" s="1" t="str">
        <f aca="false">IF(物件マスタ!A617="","",物件マスタ!A617)</f>
        <v>HFR-016</v>
      </c>
      <c r="B617" s="1" t="str">
        <f aca="false">IF($A617="","",物件マスタ!B617)</f>
        <v>HFR</v>
      </c>
      <c r="C617" s="1" t="str">
        <f aca="false">IF($A617="","",IFERROR(INDEX(法人マスタ!$C:$C,MATCH($B617,法人マスタ!$A:$A,0)),""))</f>
        <v>平和不動産リート投資法人</v>
      </c>
      <c r="D617" s="1" t="str">
        <f aca="false">IF($A617="","",物件マスタ!C617)</f>
        <v>ＨＦ仙台本町ビルディング</v>
      </c>
      <c r="E617" s="1" t="str">
        <f aca="false">IF($A617="","",物件マスタ!H617)</f>
        <v>3大都市圏以外の政令市</v>
      </c>
      <c r="F617" s="1" t="n">
        <f aca="false">IF($A617="","",物件マスタ!P617)</f>
        <v>0</v>
      </c>
      <c r="G617" s="1" t="str">
        <f aca="false">IF($A617="","",物件マスタ!Q617)</f>
        <v/>
      </c>
      <c r="H617" s="1" t="n">
        <f aca="false">IF($A617="","",物件マスタ!L617)</f>
        <v>0</v>
      </c>
      <c r="I617" s="1" t="n">
        <f aca="false">IF($A617="","",物件マスタ!M617)</f>
        <v>6577.21</v>
      </c>
      <c r="J617" s="1" t="n">
        <f aca="false">IF($A617="","",物件マスタ!S617)</f>
        <v>2700</v>
      </c>
      <c r="K617" s="1" t="n">
        <f aca="false">IF($A617="","",物件マスタ!U617)</f>
        <v>3750</v>
      </c>
      <c r="L617" s="1" t="n">
        <f aca="false">IF($A617="","",物件マスタ!W617)</f>
        <v>1</v>
      </c>
      <c r="M617" s="1" t="str">
        <f aca="false">IF($A617="","",IFERROR(INDEX(法人マスタ!$H:$H,MATCH($B617,法人マスタ!$A:$A,0)),""))</f>
        <v>2026年5月期（第49期）</v>
      </c>
      <c r="N617" s="1" t="n">
        <f aca="false">IF($A617="","",SUMIFS(物件収支!$D:$D,物件収支!$A:$A,$A617,物件収支!$C:$C,$M617))</f>
        <v>6</v>
      </c>
      <c r="O617" s="1" t="n">
        <f aca="false">IF($A617="","",SUMIFS(物件収支!$F:$F,物件収支!$A:$A,$A617,物件収支!$C:$C,$M617))</f>
        <v>163593</v>
      </c>
      <c r="P617" s="1" t="n">
        <f aca="false">IF($A617="","",SUMIFS(物件収支!$I:$I,物件収支!$A:$A,$A617,物件収支!$C:$C,$M617))</f>
        <v>0</v>
      </c>
      <c r="Q617" s="1" t="n">
        <f aca="false">IF($A617="","",SUMIFS(物件収支!$O:$O,物件収支!$A:$A,$A617,物件収支!$C:$C,$M617))</f>
        <v>0</v>
      </c>
      <c r="R617" s="1" t="str">
        <f aca="false">IF($A617="","",IF(P617=0,"",O617-P617))</f>
        <v/>
      </c>
      <c r="S617" s="1" t="str">
        <f aca="false">IF($A617="","",IF(R617="","",R617+Q617))</f>
        <v/>
      </c>
      <c r="T617" s="1" t="str">
        <f aca="false">IF($A617="","",IF(OR(S617="",N617&lt;=0),"",S617/1000*12/N617))</f>
        <v/>
      </c>
      <c r="U617" s="1" t="str">
        <f aca="false">IF($A617="","",IF(OR(T617="",J617=0,J617=""),"",T617/J617))</f>
        <v/>
      </c>
      <c r="V617" s="1" t="str">
        <f aca="false">IF($A617="","",IF(OR(R617="",N617&lt;=0,J617=0,J617=""),"",(R617/1000*12/N617)/J617))</f>
        <v/>
      </c>
      <c r="W617" s="1" t="str">
        <f aca="false">IF($A617="","",IF(OR(T617="",K617=0,K617=""),"",T617/K617))</f>
        <v/>
      </c>
      <c r="X617" s="1" t="n">
        <f aca="false">IF($A617="","",IF(OR(N617&lt;=0,I617=0,I617="",O617=0),"",O617*1000/(I617*0.3025)/N617))</f>
        <v>13703.9693574511</v>
      </c>
      <c r="Y617" s="1" t="str">
        <f aca="false">IF($A617="","",IF(OR(O617=0,O617="",P617=0),"",P617/O617))</f>
        <v/>
      </c>
      <c r="Z617" s="1" t="str">
        <f aca="false">IF($A617="","",IFERROR(INDEX(物件収支!$E:$E,MATCH($A617,物件収支!$A:$A,0)),""))</f>
        <v>開示（物件別・収益のみ）</v>
      </c>
    </row>
    <row r="618" customFormat="false" ht="15" hidden="false" customHeight="true" outlineLevel="0" collapsed="false">
      <c r="A618" s="1" t="str">
        <f aca="false">IF(物件マスタ!A618="","",物件マスタ!A618)</f>
        <v>HFR-017</v>
      </c>
      <c r="B618" s="1" t="str">
        <f aca="false">IF($A618="","",物件マスタ!B618)</f>
        <v>HFR</v>
      </c>
      <c r="C618" s="1" t="str">
        <f aca="false">IF($A618="","",IFERROR(INDEX(法人マスタ!$C:$C,MATCH($B618,法人マスタ!$A:$A,0)),""))</f>
        <v>平和不動産リート投資法人</v>
      </c>
      <c r="D618" s="1" t="str">
        <f aca="false">IF($A618="","",物件マスタ!C618)</f>
        <v>ＨＦ上野ビルディング</v>
      </c>
      <c r="E618" s="1" t="str">
        <f aca="false">IF($A618="","",物件マスタ!H618)</f>
        <v>その他東京23区</v>
      </c>
      <c r="F618" s="1" t="n">
        <f aca="false">IF($A618="","",物件マスタ!P618)</f>
        <v>0</v>
      </c>
      <c r="G618" s="1" t="str">
        <f aca="false">IF($A618="","",物件マスタ!Q618)</f>
        <v/>
      </c>
      <c r="H618" s="1" t="n">
        <f aca="false">IF($A618="","",物件マスタ!L618)</f>
        <v>0</v>
      </c>
      <c r="I618" s="1" t="n">
        <f aca="false">IF($A618="","",物件マスタ!M618)</f>
        <v>4168.79</v>
      </c>
      <c r="J618" s="1" t="n">
        <f aca="false">IF($A618="","",物件マスタ!S618)</f>
        <v>3400</v>
      </c>
      <c r="K618" s="1" t="n">
        <f aca="false">IF($A618="","",物件マスタ!U618)</f>
        <v>4170</v>
      </c>
      <c r="L618" s="1" t="n">
        <f aca="false">IF($A618="","",物件マスタ!W618)</f>
        <v>1</v>
      </c>
      <c r="M618" s="1" t="str">
        <f aca="false">IF($A618="","",IFERROR(INDEX(法人マスタ!$H:$H,MATCH($B618,法人マスタ!$A:$A,0)),""))</f>
        <v>2026年5月期（第49期）</v>
      </c>
      <c r="N618" s="1" t="n">
        <f aca="false">IF($A618="","",SUMIFS(物件収支!$D:$D,物件収支!$A:$A,$A618,物件収支!$C:$C,$M618))</f>
        <v>6</v>
      </c>
      <c r="O618" s="1" t="n">
        <f aca="false">IF($A618="","",SUMIFS(物件収支!$F:$F,物件収支!$A:$A,$A618,物件収支!$C:$C,$M618))</f>
        <v>142581</v>
      </c>
      <c r="P618" s="1" t="n">
        <f aca="false">IF($A618="","",SUMIFS(物件収支!$I:$I,物件収支!$A:$A,$A618,物件収支!$C:$C,$M618))</f>
        <v>0</v>
      </c>
      <c r="Q618" s="1" t="n">
        <f aca="false">IF($A618="","",SUMIFS(物件収支!$O:$O,物件収支!$A:$A,$A618,物件収支!$C:$C,$M618))</f>
        <v>0</v>
      </c>
      <c r="R618" s="1" t="str">
        <f aca="false">IF($A618="","",IF(P618=0,"",O618-P618))</f>
        <v/>
      </c>
      <c r="S618" s="1" t="str">
        <f aca="false">IF($A618="","",IF(R618="","",R618+Q618))</f>
        <v/>
      </c>
      <c r="T618" s="1" t="str">
        <f aca="false">IF($A618="","",IF(OR(S618="",N618&lt;=0),"",S618/1000*12/N618))</f>
        <v/>
      </c>
      <c r="U618" s="1" t="str">
        <f aca="false">IF($A618="","",IF(OR(T618="",J618=0,J618=""),"",T618/J618))</f>
        <v/>
      </c>
      <c r="V618" s="1" t="str">
        <f aca="false">IF($A618="","",IF(OR(R618="",N618&lt;=0,J618=0,J618=""),"",(R618/1000*12/N618)/J618))</f>
        <v/>
      </c>
      <c r="W618" s="1" t="str">
        <f aca="false">IF($A618="","",IF(OR(T618="",K618=0,K618=""),"",T618/K618))</f>
        <v/>
      </c>
      <c r="X618" s="1" t="n">
        <f aca="false">IF($A618="","",IF(OR(N618&lt;=0,I618=0,I618="",O618=0),"",O618*1000/(I618*0.3025)/N618))</f>
        <v>18844.0830057135</v>
      </c>
      <c r="Y618" s="1" t="str">
        <f aca="false">IF($A618="","",IF(OR(O618=0,O618="",P618=0),"",P618/O618))</f>
        <v/>
      </c>
      <c r="Z618" s="1" t="str">
        <f aca="false">IF($A618="","",IFERROR(INDEX(物件収支!$E:$E,MATCH($A618,物件収支!$A:$A,0)),""))</f>
        <v>開示（物件別・収益のみ）</v>
      </c>
    </row>
    <row r="619" customFormat="false" ht="15" hidden="false" customHeight="true" outlineLevel="0" collapsed="false">
      <c r="A619" s="1" t="str">
        <f aca="false">IF(物件マスタ!A619="","",物件マスタ!A619)</f>
        <v>HFR-018</v>
      </c>
      <c r="B619" s="1" t="str">
        <f aca="false">IF($A619="","",物件マスタ!B619)</f>
        <v>HFR</v>
      </c>
      <c r="C619" s="1" t="str">
        <f aca="false">IF($A619="","",IFERROR(INDEX(法人マスタ!$C:$C,MATCH($B619,法人マスタ!$A:$A,0)),""))</f>
        <v>平和不動産リート投資法人</v>
      </c>
      <c r="D619" s="1" t="str">
        <f aca="false">IF($A619="","",物件マスタ!C619)</f>
        <v>ＨＦ九段南ビルディング</v>
      </c>
      <c r="E619" s="1" t="str">
        <f aca="false">IF($A619="","",物件マスタ!H619)</f>
        <v>都心5区</v>
      </c>
      <c r="F619" s="1" t="n">
        <f aca="false">IF($A619="","",物件マスタ!P619)</f>
        <v>0</v>
      </c>
      <c r="G619" s="1" t="str">
        <f aca="false">IF($A619="","",物件マスタ!Q619)</f>
        <v/>
      </c>
      <c r="H619" s="1" t="n">
        <f aca="false">IF($A619="","",物件マスタ!L619)</f>
        <v>0</v>
      </c>
      <c r="I619" s="1" t="n">
        <f aca="false">IF($A619="","",物件マスタ!M619)</f>
        <v>2616.42</v>
      </c>
      <c r="J619" s="1" t="n">
        <f aca="false">IF($A619="","",物件マスタ!S619)</f>
        <v>2720</v>
      </c>
      <c r="K619" s="1" t="n">
        <f aca="false">IF($A619="","",物件マスタ!U619)</f>
        <v>3290</v>
      </c>
      <c r="L619" s="1" t="n">
        <f aca="false">IF($A619="","",物件マスタ!W619)</f>
        <v>1</v>
      </c>
      <c r="M619" s="1" t="str">
        <f aca="false">IF($A619="","",IFERROR(INDEX(法人マスタ!$H:$H,MATCH($B619,法人マスタ!$A:$A,0)),""))</f>
        <v>2026年5月期（第49期）</v>
      </c>
      <c r="N619" s="1" t="n">
        <f aca="false">IF($A619="","",SUMIFS(物件収支!$D:$D,物件収支!$A:$A,$A619,物件収支!$C:$C,$M619))</f>
        <v>6</v>
      </c>
      <c r="O619" s="1" t="n">
        <f aca="false">IF($A619="","",SUMIFS(物件収支!$F:$F,物件収支!$A:$A,$A619,物件収支!$C:$C,$M619))</f>
        <v>90357</v>
      </c>
      <c r="P619" s="1" t="n">
        <f aca="false">IF($A619="","",SUMIFS(物件収支!$I:$I,物件収支!$A:$A,$A619,物件収支!$C:$C,$M619))</f>
        <v>0</v>
      </c>
      <c r="Q619" s="1" t="n">
        <f aca="false">IF($A619="","",SUMIFS(物件収支!$O:$O,物件収支!$A:$A,$A619,物件収支!$C:$C,$M619))</f>
        <v>0</v>
      </c>
      <c r="R619" s="1" t="str">
        <f aca="false">IF($A619="","",IF(P619=0,"",O619-P619))</f>
        <v/>
      </c>
      <c r="S619" s="1" t="str">
        <f aca="false">IF($A619="","",IF(R619="","",R619+Q619))</f>
        <v/>
      </c>
      <c r="T619" s="1" t="str">
        <f aca="false">IF($A619="","",IF(OR(S619="",N619&lt;=0),"",S619/1000*12/N619))</f>
        <v/>
      </c>
      <c r="U619" s="1" t="str">
        <f aca="false">IF($A619="","",IF(OR(T619="",J619=0,J619=""),"",T619/J619))</f>
        <v/>
      </c>
      <c r="V619" s="1" t="str">
        <f aca="false">IF($A619="","",IF(OR(R619="",N619&lt;=0,J619=0,J619=""),"",(R619/1000*12/N619)/J619))</f>
        <v/>
      </c>
      <c r="W619" s="1" t="str">
        <f aca="false">IF($A619="","",IF(OR(T619="",K619=0,K619=""),"",T619/K619))</f>
        <v/>
      </c>
      <c r="X619" s="1" t="n">
        <f aca="false">IF($A619="","",IF(OR(N619&lt;=0,I619=0,I619="",O619=0),"",O619*1000/(I619*0.3025)/N619))</f>
        <v>19027.3240054655</v>
      </c>
      <c r="Y619" s="1" t="str">
        <f aca="false">IF($A619="","",IF(OR(O619=0,O619="",P619=0),"",P619/O619))</f>
        <v/>
      </c>
      <c r="Z619" s="1" t="str">
        <f aca="false">IF($A619="","",IFERROR(INDEX(物件収支!$E:$E,MATCH($A619,物件収支!$A:$A,0)),""))</f>
        <v>開示（物件別・収益のみ）</v>
      </c>
    </row>
    <row r="620" customFormat="false" ht="15" hidden="false" customHeight="true" outlineLevel="0" collapsed="false">
      <c r="A620" s="1" t="str">
        <f aca="false">IF(物件マスタ!A620="","",物件マスタ!A620)</f>
        <v>HFR-019</v>
      </c>
      <c r="B620" s="1" t="str">
        <f aca="false">IF($A620="","",物件マスタ!B620)</f>
        <v>HFR</v>
      </c>
      <c r="C620" s="1" t="str">
        <f aca="false">IF($A620="","",IFERROR(INDEX(法人マスタ!$C:$C,MATCH($B620,法人マスタ!$A:$A,0)),""))</f>
        <v>平和不動産リート投資法人</v>
      </c>
      <c r="D620" s="1" t="str">
        <f aca="false">IF($A620="","",物件マスタ!C620)</f>
        <v>ＨＦ神田小川町ビルディング</v>
      </c>
      <c r="E620" s="1" t="str">
        <f aca="false">IF($A620="","",物件マスタ!H620)</f>
        <v>都心5区</v>
      </c>
      <c r="F620" s="1" t="n">
        <f aca="false">IF($A620="","",物件マスタ!P620)</f>
        <v>0</v>
      </c>
      <c r="G620" s="1" t="str">
        <f aca="false">IF($A620="","",物件マスタ!Q620)</f>
        <v/>
      </c>
      <c r="H620" s="1" t="n">
        <f aca="false">IF($A620="","",物件マスタ!L620)</f>
        <v>0</v>
      </c>
      <c r="I620" s="1" t="n">
        <f aca="false">IF($A620="","",物件マスタ!M620)</f>
        <v>2747.15</v>
      </c>
      <c r="J620" s="1" t="n">
        <f aca="false">IF($A620="","",物件マスタ!S620)</f>
        <v>3150</v>
      </c>
      <c r="K620" s="1" t="n">
        <f aca="false">IF($A620="","",物件マスタ!U620)</f>
        <v>4140</v>
      </c>
      <c r="L620" s="1" t="n">
        <f aca="false">IF($A620="","",物件マスタ!W620)</f>
        <v>1</v>
      </c>
      <c r="M620" s="1" t="str">
        <f aca="false">IF($A620="","",IFERROR(INDEX(法人マスタ!$H:$H,MATCH($B620,法人マスタ!$A:$A,0)),""))</f>
        <v>2026年5月期（第49期）</v>
      </c>
      <c r="N620" s="1" t="n">
        <f aca="false">IF($A620="","",SUMIFS(物件収支!$D:$D,物件収支!$A:$A,$A620,物件収支!$C:$C,$M620))</f>
        <v>6</v>
      </c>
      <c r="O620" s="1" t="n">
        <f aca="false">IF($A620="","",SUMIFS(物件収支!$F:$F,物件収支!$A:$A,$A620,物件収支!$C:$C,$M620))</f>
        <v>104622</v>
      </c>
      <c r="P620" s="1" t="n">
        <f aca="false">IF($A620="","",SUMIFS(物件収支!$I:$I,物件収支!$A:$A,$A620,物件収支!$C:$C,$M620))</f>
        <v>0</v>
      </c>
      <c r="Q620" s="1" t="n">
        <f aca="false">IF($A620="","",SUMIFS(物件収支!$O:$O,物件収支!$A:$A,$A620,物件収支!$C:$C,$M620))</f>
        <v>0</v>
      </c>
      <c r="R620" s="1" t="str">
        <f aca="false">IF($A620="","",IF(P620=0,"",O620-P620))</f>
        <v/>
      </c>
      <c r="S620" s="1" t="str">
        <f aca="false">IF($A620="","",IF(R620="","",R620+Q620))</f>
        <v/>
      </c>
      <c r="T620" s="1" t="str">
        <f aca="false">IF($A620="","",IF(OR(S620="",N620&lt;=0),"",S620/1000*12/N620))</f>
        <v/>
      </c>
      <c r="U620" s="1" t="str">
        <f aca="false">IF($A620="","",IF(OR(T620="",J620=0,J620=""),"",T620/J620))</f>
        <v/>
      </c>
      <c r="V620" s="1" t="str">
        <f aca="false">IF($A620="","",IF(OR(R620="",N620&lt;=0,J620=0,J620=""),"",(R620/1000*12/N620)/J620))</f>
        <v/>
      </c>
      <c r="W620" s="1" t="str">
        <f aca="false">IF($A620="","",IF(OR(T620="",K620=0,K620=""),"",T620/K620))</f>
        <v/>
      </c>
      <c r="X620" s="1" t="n">
        <f aca="false">IF($A620="","",IF(OR(N620&lt;=0,I620=0,I620="",O620=0),"",O620*1000/(I620*0.3025)/N620))</f>
        <v>20982.8277329638</v>
      </c>
      <c r="Y620" s="1" t="str">
        <f aca="false">IF($A620="","",IF(OR(O620=0,O620="",P620=0),"",P620/O620))</f>
        <v/>
      </c>
      <c r="Z620" s="1" t="str">
        <f aca="false">IF($A620="","",IFERROR(INDEX(物件収支!$E:$E,MATCH($A620,物件収支!$A:$A,0)),""))</f>
        <v>開示（物件別・収益のみ）</v>
      </c>
    </row>
    <row r="621" customFormat="false" ht="15" hidden="false" customHeight="true" outlineLevel="0" collapsed="false">
      <c r="A621" s="1" t="str">
        <f aca="false">IF(物件マスタ!A621="","",物件マスタ!A621)</f>
        <v>HFR-020</v>
      </c>
      <c r="B621" s="1" t="str">
        <f aca="false">IF($A621="","",物件マスタ!B621)</f>
        <v>HFR</v>
      </c>
      <c r="C621" s="1" t="str">
        <f aca="false">IF($A621="","",IFERROR(INDEX(法人マスタ!$C:$C,MATCH($B621,法人マスタ!$A:$A,0)),""))</f>
        <v>平和不動産リート投資法人</v>
      </c>
      <c r="D621" s="1" t="str">
        <f aca="false">IF($A621="","",物件マスタ!C621)</f>
        <v>日総第５ビル</v>
      </c>
      <c r="E621" s="1" t="str">
        <f aca="false">IF($A621="","",物件マスタ!H621)</f>
        <v>東京周辺都市部</v>
      </c>
      <c r="F621" s="1" t="n">
        <f aca="false">IF($A621="","",物件マスタ!P621)</f>
        <v>0</v>
      </c>
      <c r="G621" s="1" t="str">
        <f aca="false">IF($A621="","",物件マスタ!Q621)</f>
        <v/>
      </c>
      <c r="H621" s="1" t="n">
        <f aca="false">IF($A621="","",物件マスタ!L621)</f>
        <v>0</v>
      </c>
      <c r="I621" s="1" t="n">
        <f aca="false">IF($A621="","",物件マスタ!M621)</f>
        <v>4607.34</v>
      </c>
      <c r="J621" s="1" t="n">
        <f aca="false">IF($A621="","",物件マスタ!S621)</f>
        <v>3100</v>
      </c>
      <c r="K621" s="1" t="n">
        <f aca="false">IF($A621="","",物件マスタ!U621)</f>
        <v>4330</v>
      </c>
      <c r="L621" s="1" t="n">
        <f aca="false">IF($A621="","",物件マスタ!W621)</f>
        <v>1</v>
      </c>
      <c r="M621" s="1" t="str">
        <f aca="false">IF($A621="","",IFERROR(INDEX(法人マスタ!$H:$H,MATCH($B621,法人マスタ!$A:$A,0)),""))</f>
        <v>2026年5月期（第49期）</v>
      </c>
      <c r="N621" s="1" t="n">
        <f aca="false">IF($A621="","",SUMIFS(物件収支!$D:$D,物件収支!$A:$A,$A621,物件収支!$C:$C,$M621))</f>
        <v>6</v>
      </c>
      <c r="O621" s="1" t="n">
        <f aca="false">IF($A621="","",SUMIFS(物件収支!$F:$F,物件収支!$A:$A,$A621,物件収支!$C:$C,$M621))</f>
        <v>89308</v>
      </c>
      <c r="P621" s="1" t="n">
        <f aca="false">IF($A621="","",SUMIFS(物件収支!$I:$I,物件収支!$A:$A,$A621,物件収支!$C:$C,$M621))</f>
        <v>0</v>
      </c>
      <c r="Q621" s="1" t="n">
        <f aca="false">IF($A621="","",SUMIFS(物件収支!$O:$O,物件収支!$A:$A,$A621,物件収支!$C:$C,$M621))</f>
        <v>0</v>
      </c>
      <c r="R621" s="1" t="str">
        <f aca="false">IF($A621="","",IF(P621=0,"",O621-P621))</f>
        <v/>
      </c>
      <c r="S621" s="1" t="str">
        <f aca="false">IF($A621="","",IF(R621="","",R621+Q621))</f>
        <v/>
      </c>
      <c r="T621" s="1" t="str">
        <f aca="false">IF($A621="","",IF(OR(S621="",N621&lt;=0),"",S621/1000*12/N621))</f>
        <v/>
      </c>
      <c r="U621" s="1" t="str">
        <f aca="false">IF($A621="","",IF(OR(T621="",J621=0,J621=""),"",T621/J621))</f>
        <v/>
      </c>
      <c r="V621" s="1" t="str">
        <f aca="false">IF($A621="","",IF(OR(R621="",N621&lt;=0,J621=0,J621=""),"",(R621/1000*12/N621)/J621))</f>
        <v/>
      </c>
      <c r="W621" s="1" t="str">
        <f aca="false">IF($A621="","",IF(OR(T621="",K621=0,K621=""),"",T621/K621))</f>
        <v/>
      </c>
      <c r="X621" s="1" t="n">
        <f aca="false">IF($A621="","",IF(OR(N621&lt;=0,I621=0,I621="",O621=0),"",O621*1000/(I621*0.3025)/N621))</f>
        <v>10679.8086622375</v>
      </c>
      <c r="Y621" s="1" t="str">
        <f aca="false">IF($A621="","",IF(OR(O621=0,O621="",P621=0),"",P621/O621))</f>
        <v/>
      </c>
      <c r="Z621" s="1" t="str">
        <f aca="false">IF($A621="","",IFERROR(INDEX(物件収支!$E:$E,MATCH($A621,物件収支!$A:$A,0)),""))</f>
        <v>開示（物件別・収益のみ）</v>
      </c>
    </row>
    <row r="622" customFormat="false" ht="15" hidden="false" customHeight="true" outlineLevel="0" collapsed="false">
      <c r="A622" s="1" t="str">
        <f aca="false">IF(物件マスタ!A622="","",物件マスタ!A622)</f>
        <v>HFR-021</v>
      </c>
      <c r="B622" s="1" t="str">
        <f aca="false">IF($A622="","",物件マスタ!B622)</f>
        <v>HFR</v>
      </c>
      <c r="C622" s="1" t="str">
        <f aca="false">IF($A622="","",IFERROR(INDEX(法人マスタ!$C:$C,MATCH($B622,法人マスタ!$A:$A,0)),""))</f>
        <v>平和不動産リート投資法人</v>
      </c>
      <c r="D622" s="1" t="str">
        <f aca="false">IF($A622="","",物件マスタ!C622)</f>
        <v>アクロス新川ビル</v>
      </c>
      <c r="E622" s="1" t="str">
        <f aca="false">IF($A622="","",物件マスタ!H622)</f>
        <v>都心5区</v>
      </c>
      <c r="F622" s="1" t="n">
        <f aca="false">IF($A622="","",物件マスタ!P622)</f>
        <v>0</v>
      </c>
      <c r="G622" s="1" t="str">
        <f aca="false">IF($A622="","",物件マスタ!Q622)</f>
        <v/>
      </c>
      <c r="H622" s="1" t="n">
        <f aca="false">IF($A622="","",物件マスタ!L622)</f>
        <v>0</v>
      </c>
      <c r="I622" s="1" t="n">
        <f aca="false">IF($A622="","",物件マスタ!M622)</f>
        <v>3828.89</v>
      </c>
      <c r="J622" s="1" t="n">
        <f aca="false">IF($A622="","",物件マスタ!S622)</f>
        <v>3750</v>
      </c>
      <c r="K622" s="1" t="n">
        <f aca="false">IF($A622="","",物件マスタ!U622)</f>
        <v>4590</v>
      </c>
      <c r="L622" s="1" t="n">
        <f aca="false">IF($A622="","",物件マスタ!W622)</f>
        <v>1</v>
      </c>
      <c r="M622" s="1" t="str">
        <f aca="false">IF($A622="","",IFERROR(INDEX(法人マスタ!$H:$H,MATCH($B622,法人マスタ!$A:$A,0)),""))</f>
        <v>2026年5月期（第49期）</v>
      </c>
      <c r="N622" s="1" t="n">
        <f aca="false">IF($A622="","",SUMIFS(物件収支!$D:$D,物件収支!$A:$A,$A622,物件収支!$C:$C,$M622))</f>
        <v>6</v>
      </c>
      <c r="O622" s="1" t="n">
        <f aca="false">IF($A622="","",SUMIFS(物件収支!$F:$F,物件収支!$A:$A,$A622,物件収支!$C:$C,$M622))</f>
        <v>145956</v>
      </c>
      <c r="P622" s="1" t="n">
        <f aca="false">IF($A622="","",SUMIFS(物件収支!$I:$I,物件収支!$A:$A,$A622,物件収支!$C:$C,$M622))</f>
        <v>0</v>
      </c>
      <c r="Q622" s="1" t="n">
        <f aca="false">IF($A622="","",SUMIFS(物件収支!$O:$O,物件収支!$A:$A,$A622,物件収支!$C:$C,$M622))</f>
        <v>0</v>
      </c>
      <c r="R622" s="1" t="str">
        <f aca="false">IF($A622="","",IF(P622=0,"",O622-P622))</f>
        <v/>
      </c>
      <c r="S622" s="1" t="str">
        <f aca="false">IF($A622="","",IF(R622="","",R622+Q622))</f>
        <v/>
      </c>
      <c r="T622" s="1" t="str">
        <f aca="false">IF($A622="","",IF(OR(S622="",N622&lt;=0),"",S622/1000*12/N622))</f>
        <v/>
      </c>
      <c r="U622" s="1" t="str">
        <f aca="false">IF($A622="","",IF(OR(T622="",J622=0,J622=""),"",T622/J622))</f>
        <v/>
      </c>
      <c r="V622" s="1" t="str">
        <f aca="false">IF($A622="","",IF(OR(R622="",N622&lt;=0,J622=0,J622=""),"",(R622/1000*12/N622)/J622))</f>
        <v/>
      </c>
      <c r="W622" s="1" t="str">
        <f aca="false">IF($A622="","",IF(OR(T622="",K622=0,K622=""),"",T622/K622))</f>
        <v/>
      </c>
      <c r="X622" s="1" t="n">
        <f aca="false">IF($A622="","",IF(OR(N622&lt;=0,I622=0,I622="",O622=0),"",O622*1000/(I622*0.3025)/N622))</f>
        <v>21002.5696548138</v>
      </c>
      <c r="Y622" s="1" t="str">
        <f aca="false">IF($A622="","",IF(OR(O622=0,O622="",P622=0),"",P622/O622))</f>
        <v/>
      </c>
      <c r="Z622" s="1" t="str">
        <f aca="false">IF($A622="","",IFERROR(INDEX(物件収支!$E:$E,MATCH($A622,物件収支!$A:$A,0)),""))</f>
        <v>開示（物件別・収益のみ）</v>
      </c>
    </row>
    <row r="623" customFormat="false" ht="15" hidden="false" customHeight="true" outlineLevel="0" collapsed="false">
      <c r="A623" s="1" t="str">
        <f aca="false">IF(物件マスタ!A623="","",物件マスタ!A623)</f>
        <v>HFR-022</v>
      </c>
      <c r="B623" s="1" t="str">
        <f aca="false">IF($A623="","",物件マスタ!B623)</f>
        <v>HFR</v>
      </c>
      <c r="C623" s="1" t="str">
        <f aca="false">IF($A623="","",IFERROR(INDEX(法人マスタ!$C:$C,MATCH($B623,法人マスタ!$A:$A,0)),""))</f>
        <v>平和不動産リート投資法人</v>
      </c>
      <c r="D623" s="1" t="str">
        <f aca="false">IF($A623="","",物件マスタ!C623)</f>
        <v>千住ミルディスⅡ番館</v>
      </c>
      <c r="E623" s="1" t="str">
        <f aca="false">IF($A623="","",物件マスタ!H623)</f>
        <v>その他東京23区</v>
      </c>
      <c r="F623" s="1" t="n">
        <f aca="false">IF($A623="","",物件マスタ!P623)</f>
        <v>0</v>
      </c>
      <c r="G623" s="1" t="str">
        <f aca="false">IF($A623="","",物件マスタ!Q623)</f>
        <v/>
      </c>
      <c r="H623" s="1" t="n">
        <f aca="false">IF($A623="","",物件マスタ!L623)</f>
        <v>0</v>
      </c>
      <c r="I623" s="1" t="n">
        <f aca="false">IF($A623="","",物件マスタ!M623)</f>
        <v>2100.26</v>
      </c>
      <c r="J623" s="1" t="n">
        <f aca="false">IF($A623="","",物件マスタ!S623)</f>
        <v>1650</v>
      </c>
      <c r="K623" s="1" t="n">
        <f aca="false">IF($A623="","",物件マスタ!U623)</f>
        <v>1900</v>
      </c>
      <c r="L623" s="1" t="n">
        <f aca="false">IF($A623="","",物件マスタ!W623)</f>
        <v>1</v>
      </c>
      <c r="M623" s="1" t="str">
        <f aca="false">IF($A623="","",IFERROR(INDEX(法人マスタ!$H:$H,MATCH($B623,法人マスタ!$A:$A,0)),""))</f>
        <v>2026年5月期（第49期）</v>
      </c>
      <c r="N623" s="1" t="n">
        <f aca="false">IF($A623="","",SUMIFS(物件収支!$D:$D,物件収支!$A:$A,$A623,物件収支!$C:$C,$M623))</f>
        <v>6</v>
      </c>
      <c r="O623" s="1" t="n">
        <f aca="false">IF($A623="","",SUMIFS(物件収支!$F:$F,物件収支!$A:$A,$A623,物件収支!$C:$C,$M623))</f>
        <v>70957</v>
      </c>
      <c r="P623" s="1" t="n">
        <f aca="false">IF($A623="","",SUMIFS(物件収支!$I:$I,物件収支!$A:$A,$A623,物件収支!$C:$C,$M623))</f>
        <v>0</v>
      </c>
      <c r="Q623" s="1" t="n">
        <f aca="false">IF($A623="","",SUMIFS(物件収支!$O:$O,物件収支!$A:$A,$A623,物件収支!$C:$C,$M623))</f>
        <v>0</v>
      </c>
      <c r="R623" s="1" t="str">
        <f aca="false">IF($A623="","",IF(P623=0,"",O623-P623))</f>
        <v/>
      </c>
      <c r="S623" s="1" t="str">
        <f aca="false">IF($A623="","",IF(R623="","",R623+Q623))</f>
        <v/>
      </c>
      <c r="T623" s="1" t="str">
        <f aca="false">IF($A623="","",IF(OR(S623="",N623&lt;=0),"",S623/1000*12/N623))</f>
        <v/>
      </c>
      <c r="U623" s="1" t="str">
        <f aca="false">IF($A623="","",IF(OR(T623="",J623=0,J623=""),"",T623/J623))</f>
        <v/>
      </c>
      <c r="V623" s="1" t="str">
        <f aca="false">IF($A623="","",IF(OR(R623="",N623&lt;=0,J623=0,J623=""),"",(R623/1000*12/N623)/J623))</f>
        <v/>
      </c>
      <c r="W623" s="1" t="str">
        <f aca="false">IF($A623="","",IF(OR(T623="",K623=0,K623=""),"",T623/K623))</f>
        <v/>
      </c>
      <c r="X623" s="1" t="n">
        <f aca="false">IF($A623="","",IF(OR(N623&lt;=0,I623=0,I623="",O623=0),"",O623*1000/(I623*0.3025)/N623))</f>
        <v>18614.2505405142</v>
      </c>
      <c r="Y623" s="1" t="str">
        <f aca="false">IF($A623="","",IF(OR(O623=0,O623="",P623=0),"",P623/O623))</f>
        <v/>
      </c>
      <c r="Z623" s="1" t="str">
        <f aca="false">IF($A623="","",IFERROR(INDEX(物件収支!$E:$E,MATCH($A623,物件収支!$A:$A,0)),""))</f>
        <v>開示（物件別・収益のみ）</v>
      </c>
    </row>
    <row r="624" customFormat="false" ht="15" hidden="false" customHeight="true" outlineLevel="0" collapsed="false">
      <c r="A624" s="1" t="str">
        <f aca="false">IF(物件マスタ!A624="","",物件マスタ!A624)</f>
        <v>HFR-023</v>
      </c>
      <c r="B624" s="1" t="str">
        <f aca="false">IF($A624="","",物件マスタ!B624)</f>
        <v>HFR</v>
      </c>
      <c r="C624" s="1" t="str">
        <f aca="false">IF($A624="","",IFERROR(INDEX(法人マスタ!$C:$C,MATCH($B624,法人マスタ!$A:$A,0)),""))</f>
        <v>平和不動産リート投資法人</v>
      </c>
      <c r="D624" s="1" t="str">
        <f aca="false">IF($A624="","",物件マスタ!C624)</f>
        <v>アーク森ビル</v>
      </c>
      <c r="E624" s="1" t="str">
        <f aca="false">IF($A624="","",物件マスタ!H624)</f>
        <v>都心5区</v>
      </c>
      <c r="F624" s="1" t="n">
        <f aca="false">IF($A624="","",物件マスタ!P624)</f>
        <v>0</v>
      </c>
      <c r="G624" s="1" t="str">
        <f aca="false">IF($A624="","",物件マスタ!Q624)</f>
        <v/>
      </c>
      <c r="H624" s="1" t="n">
        <f aca="false">IF($A624="","",物件マスタ!L624)</f>
        <v>0</v>
      </c>
      <c r="I624" s="1" t="n">
        <f aca="false">IF($A624="","",物件マスタ!M624)</f>
        <v>1681.23</v>
      </c>
      <c r="J624" s="1" t="n">
        <f aca="false">IF($A624="","",物件マスタ!S624)</f>
        <v>3085</v>
      </c>
      <c r="K624" s="1" t="n">
        <f aca="false">IF($A624="","",物件マスタ!U624)</f>
        <v>3360</v>
      </c>
      <c r="L624" s="1" t="n">
        <f aca="false">IF($A624="","",物件マスタ!W624)</f>
        <v>1</v>
      </c>
      <c r="M624" s="1" t="str">
        <f aca="false">IF($A624="","",IFERROR(INDEX(法人マスタ!$H:$H,MATCH($B624,法人マスタ!$A:$A,0)),""))</f>
        <v>2026年5月期（第49期）</v>
      </c>
      <c r="N624" s="1" t="n">
        <f aca="false">IF($A624="","",SUMIFS(物件収支!$D:$D,物件収支!$A:$A,$A624,物件収支!$C:$C,$M624))</f>
        <v>6</v>
      </c>
      <c r="O624" s="1" t="n">
        <f aca="false">IF($A624="","",SUMIFS(物件収支!$F:$F,物件収支!$A:$A,$A624,物件収支!$C:$C,$M624))</f>
        <v>0</v>
      </c>
      <c r="P624" s="1" t="n">
        <f aca="false">IF($A624="","",SUMIFS(物件収支!$I:$I,物件収支!$A:$A,$A624,物件収支!$C:$C,$M624))</f>
        <v>0</v>
      </c>
      <c r="Q624" s="1" t="n">
        <f aca="false">IF($A624="","",SUMIFS(物件収支!$O:$O,物件収支!$A:$A,$A624,物件収支!$C:$C,$M624))</f>
        <v>0</v>
      </c>
      <c r="R624" s="1" t="str">
        <f aca="false">IF($A624="","",IF(P624=0,"",O624-P624))</f>
        <v/>
      </c>
      <c r="S624" s="1" t="str">
        <f aca="false">IF($A624="","",IF(R624="","",R624+Q624))</f>
        <v/>
      </c>
      <c r="T624" s="1" t="str">
        <f aca="false">IF($A624="","",IF(OR(S624="",N624&lt;=0),"",S624/1000*12/N624))</f>
        <v/>
      </c>
      <c r="U624" s="1" t="str">
        <f aca="false">IF($A624="","",IF(OR(T624="",J624=0,J624=""),"",T624/J624))</f>
        <v/>
      </c>
      <c r="V624" s="1" t="str">
        <f aca="false">IF($A624="","",IF(OR(R624="",N624&lt;=0,J624=0,J624=""),"",(R624/1000*12/N624)/J624))</f>
        <v/>
      </c>
      <c r="W624" s="1" t="str">
        <f aca="false">IF($A624="","",IF(OR(T624="",K624=0,K624=""),"",T624/K624))</f>
        <v/>
      </c>
      <c r="X624" s="1" t="str">
        <f aca="false">IF($A624="","",IF(OR(N624&lt;=0,I624=0,I624="",O624=0),"",O624*1000/(I624*0.3025)/N624))</f>
        <v/>
      </c>
      <c r="Y624" s="1" t="str">
        <f aca="false">IF($A624="","",IF(OR(O624=0,O624="",P624=0),"",P624/O624))</f>
        <v/>
      </c>
      <c r="Z624" s="1" t="str">
        <f aca="false">IF($A624="","",IFERROR(INDEX(物件収支!$E:$E,MATCH($A624,物件収支!$A:$A,0)),""))</f>
        <v>非開示（ML会社同意なし）</v>
      </c>
    </row>
    <row r="625" customFormat="false" ht="15" hidden="false" customHeight="true" outlineLevel="0" collapsed="false">
      <c r="A625" s="1" t="str">
        <f aca="false">IF(物件マスタ!A625="","",物件マスタ!A625)</f>
        <v>HFR-024</v>
      </c>
      <c r="B625" s="1" t="str">
        <f aca="false">IF($A625="","",物件マスタ!B625)</f>
        <v>HFR</v>
      </c>
      <c r="C625" s="1" t="str">
        <f aca="false">IF($A625="","",IFERROR(INDEX(法人マスタ!$C:$C,MATCH($B625,法人マスタ!$A:$A,0)),""))</f>
        <v>平和不動産リート投資法人</v>
      </c>
      <c r="D625" s="1" t="str">
        <f aca="false">IF($A625="","",物件マスタ!C625)</f>
        <v>日本橋堀留町ファースト</v>
      </c>
      <c r="E625" s="1" t="str">
        <f aca="false">IF($A625="","",物件マスタ!H625)</f>
        <v>都心5区</v>
      </c>
      <c r="F625" s="1" t="n">
        <f aca="false">IF($A625="","",物件マスタ!P625)</f>
        <v>0</v>
      </c>
      <c r="G625" s="1" t="str">
        <f aca="false">IF($A625="","",物件マスタ!Q625)</f>
        <v/>
      </c>
      <c r="H625" s="1" t="n">
        <f aca="false">IF($A625="","",物件マスタ!L625)</f>
        <v>0</v>
      </c>
      <c r="I625" s="1" t="n">
        <f aca="false">IF($A625="","",物件マスタ!M625)</f>
        <v>1788.58</v>
      </c>
      <c r="J625" s="1" t="n">
        <f aca="false">IF($A625="","",物件マスタ!S625)</f>
        <v>2140</v>
      </c>
      <c r="K625" s="1" t="n">
        <f aca="false">IF($A625="","",物件マスタ!U625)</f>
        <v>2460</v>
      </c>
      <c r="L625" s="1" t="n">
        <f aca="false">IF($A625="","",物件マスタ!W625)</f>
        <v>1</v>
      </c>
      <c r="M625" s="1" t="str">
        <f aca="false">IF($A625="","",IFERROR(INDEX(法人マスタ!$H:$H,MATCH($B625,法人マスタ!$A:$A,0)),""))</f>
        <v>2026年5月期（第49期）</v>
      </c>
      <c r="N625" s="1" t="n">
        <f aca="false">IF($A625="","",SUMIFS(物件収支!$D:$D,物件収支!$A:$A,$A625,物件収支!$C:$C,$M625))</f>
        <v>6</v>
      </c>
      <c r="O625" s="1" t="n">
        <f aca="false">IF($A625="","",SUMIFS(物件収支!$F:$F,物件収支!$A:$A,$A625,物件収支!$C:$C,$M625))</f>
        <v>65802</v>
      </c>
      <c r="P625" s="1" t="n">
        <f aca="false">IF($A625="","",SUMIFS(物件収支!$I:$I,物件収支!$A:$A,$A625,物件収支!$C:$C,$M625))</f>
        <v>0</v>
      </c>
      <c r="Q625" s="1" t="n">
        <f aca="false">IF($A625="","",SUMIFS(物件収支!$O:$O,物件収支!$A:$A,$A625,物件収支!$C:$C,$M625))</f>
        <v>0</v>
      </c>
      <c r="R625" s="1" t="str">
        <f aca="false">IF($A625="","",IF(P625=0,"",O625-P625))</f>
        <v/>
      </c>
      <c r="S625" s="1" t="str">
        <f aca="false">IF($A625="","",IF(R625="","",R625+Q625))</f>
        <v/>
      </c>
      <c r="T625" s="1" t="str">
        <f aca="false">IF($A625="","",IF(OR(S625="",N625&lt;=0),"",S625/1000*12/N625))</f>
        <v/>
      </c>
      <c r="U625" s="1" t="str">
        <f aca="false">IF($A625="","",IF(OR(T625="",J625=0,J625=""),"",T625/J625))</f>
        <v/>
      </c>
      <c r="V625" s="1" t="str">
        <f aca="false">IF($A625="","",IF(OR(R625="",N625&lt;=0,J625=0,J625=""),"",(R625/1000*12/N625)/J625))</f>
        <v/>
      </c>
      <c r="W625" s="1" t="str">
        <f aca="false">IF($A625="","",IF(OR(T625="",K625=0,K625=""),"",T625/K625))</f>
        <v/>
      </c>
      <c r="X625" s="1" t="n">
        <f aca="false">IF($A625="","",IF(OR(N625&lt;=0,I625=0,I625="",O625=0),"",O625*1000/(I625*0.3025)/N625))</f>
        <v>20270.0161326558</v>
      </c>
      <c r="Y625" s="1" t="str">
        <f aca="false">IF($A625="","",IF(OR(O625=0,O625="",P625=0),"",P625/O625))</f>
        <v/>
      </c>
      <c r="Z625" s="1" t="str">
        <f aca="false">IF($A625="","",IFERROR(INDEX(物件収支!$E:$E,MATCH($A625,物件収支!$A:$A,0)),""))</f>
        <v>開示（物件別・収益のみ）</v>
      </c>
    </row>
    <row r="626" customFormat="false" ht="15" hidden="false" customHeight="true" outlineLevel="0" collapsed="false">
      <c r="A626" s="1" t="str">
        <f aca="false">IF(物件マスタ!A626="","",物件マスタ!A626)</f>
        <v>HFR-025</v>
      </c>
      <c r="B626" s="1" t="str">
        <f aca="false">IF($A626="","",物件マスタ!B626)</f>
        <v>HFR</v>
      </c>
      <c r="C626" s="1" t="str">
        <f aca="false">IF($A626="","",IFERROR(INDEX(法人マスタ!$C:$C,MATCH($B626,法人マスタ!$A:$A,0)),""))</f>
        <v>平和不動産リート投資法人</v>
      </c>
      <c r="D626" s="1" t="str">
        <f aca="false">IF($A626="","",物件マスタ!C626)</f>
        <v>サザンスカイタワー八王子</v>
      </c>
      <c r="E626" s="1" t="str">
        <f aca="false">IF($A626="","",物件マスタ!H626)</f>
        <v>東京周辺都市部</v>
      </c>
      <c r="F626" s="1" t="n">
        <f aca="false">IF($A626="","",物件マスタ!P626)</f>
        <v>0</v>
      </c>
      <c r="G626" s="1" t="str">
        <f aca="false">IF($A626="","",物件マスタ!Q626)</f>
        <v/>
      </c>
      <c r="H626" s="1" t="n">
        <f aca="false">IF($A626="","",物件マスタ!L626)</f>
        <v>0</v>
      </c>
      <c r="I626" s="1" t="n">
        <f aca="false">IF($A626="","",物件マスタ!M626)</f>
        <v>2879.99</v>
      </c>
      <c r="J626" s="1" t="n">
        <f aca="false">IF($A626="","",物件マスタ!S626)</f>
        <v>1600</v>
      </c>
      <c r="K626" s="1" t="n">
        <f aca="false">IF($A626="","",物件マスタ!U626)</f>
        <v>1930</v>
      </c>
      <c r="L626" s="1" t="n">
        <f aca="false">IF($A626="","",物件マスタ!W626)</f>
        <v>1</v>
      </c>
      <c r="M626" s="1" t="str">
        <f aca="false">IF($A626="","",IFERROR(INDEX(法人マスタ!$H:$H,MATCH($B626,法人マスタ!$A:$A,0)),""))</f>
        <v>2026年5月期（第49期）</v>
      </c>
      <c r="N626" s="1" t="n">
        <f aca="false">IF($A626="","",SUMIFS(物件収支!$D:$D,物件収支!$A:$A,$A626,物件収支!$C:$C,$M626))</f>
        <v>6</v>
      </c>
      <c r="O626" s="1" t="n">
        <f aca="false">IF($A626="","",SUMIFS(物件収支!$F:$F,物件収支!$A:$A,$A626,物件収支!$C:$C,$M626))</f>
        <v>71319</v>
      </c>
      <c r="P626" s="1" t="n">
        <f aca="false">IF($A626="","",SUMIFS(物件収支!$I:$I,物件収支!$A:$A,$A626,物件収支!$C:$C,$M626))</f>
        <v>0</v>
      </c>
      <c r="Q626" s="1" t="n">
        <f aca="false">IF($A626="","",SUMIFS(物件収支!$O:$O,物件収支!$A:$A,$A626,物件収支!$C:$C,$M626))</f>
        <v>0</v>
      </c>
      <c r="R626" s="1" t="str">
        <f aca="false">IF($A626="","",IF(P626=0,"",O626-P626))</f>
        <v/>
      </c>
      <c r="S626" s="1" t="str">
        <f aca="false">IF($A626="","",IF(R626="","",R626+Q626))</f>
        <v/>
      </c>
      <c r="T626" s="1" t="str">
        <f aca="false">IF($A626="","",IF(OR(S626="",N626&lt;=0),"",S626/1000*12/N626))</f>
        <v/>
      </c>
      <c r="U626" s="1" t="str">
        <f aca="false">IF($A626="","",IF(OR(T626="",J626=0,J626=""),"",T626/J626))</f>
        <v/>
      </c>
      <c r="V626" s="1" t="str">
        <f aca="false">IF($A626="","",IF(OR(R626="",N626&lt;=0,J626=0,J626=""),"",(R626/1000*12/N626)/J626))</f>
        <v/>
      </c>
      <c r="W626" s="1" t="str">
        <f aca="false">IF($A626="","",IF(OR(T626="",K626=0,K626=""),"",T626/K626))</f>
        <v/>
      </c>
      <c r="X626" s="1" t="n">
        <f aca="false">IF($A626="","",IF(OR(N626&lt;=0,I626=0,I626="",O626=0),"",O626*1000/(I626*0.3025)/N626))</f>
        <v>13643.8719842892</v>
      </c>
      <c r="Y626" s="1" t="str">
        <f aca="false">IF($A626="","",IF(OR(O626=0,O626="",P626=0),"",P626/O626))</f>
        <v/>
      </c>
      <c r="Z626" s="1" t="str">
        <f aca="false">IF($A626="","",IFERROR(INDEX(物件収支!$E:$E,MATCH($A626,物件収支!$A:$A,0)),""))</f>
        <v>開示（物件別・収益のみ）</v>
      </c>
    </row>
    <row r="627" customFormat="false" ht="15" hidden="false" customHeight="true" outlineLevel="0" collapsed="false">
      <c r="A627" s="1" t="str">
        <f aca="false">IF(物件マスタ!A627="","",物件マスタ!A627)</f>
        <v>HFR-026</v>
      </c>
      <c r="B627" s="1" t="str">
        <f aca="false">IF($A627="","",物件マスタ!B627)</f>
        <v>HFR</v>
      </c>
      <c r="C627" s="1" t="str">
        <f aca="false">IF($A627="","",IFERROR(INDEX(法人マスタ!$C:$C,MATCH($B627,法人マスタ!$A:$A,0)),""))</f>
        <v>平和不動産リート投資法人</v>
      </c>
      <c r="D627" s="1" t="str">
        <f aca="false">IF($A627="","",物件マスタ!C627)</f>
        <v>浜町平和ビル</v>
      </c>
      <c r="E627" s="1" t="str">
        <f aca="false">IF($A627="","",物件マスタ!H627)</f>
        <v>都心5区</v>
      </c>
      <c r="F627" s="1" t="n">
        <f aca="false">IF($A627="","",物件マスタ!P627)</f>
        <v>0</v>
      </c>
      <c r="G627" s="1" t="str">
        <f aca="false">IF($A627="","",物件マスタ!Q627)</f>
        <v/>
      </c>
      <c r="H627" s="1" t="n">
        <f aca="false">IF($A627="","",物件マスタ!L627)</f>
        <v>0</v>
      </c>
      <c r="I627" s="1" t="n">
        <f aca="false">IF($A627="","",物件マスタ!M627)</f>
        <v>2895.57</v>
      </c>
      <c r="J627" s="1" t="n">
        <f aca="false">IF($A627="","",物件マスタ!S627)</f>
        <v>3100</v>
      </c>
      <c r="K627" s="1" t="n">
        <f aca="false">IF($A627="","",物件マスタ!U627)</f>
        <v>3460</v>
      </c>
      <c r="L627" s="1" t="n">
        <f aca="false">IF($A627="","",物件マスタ!W627)</f>
        <v>0.8853</v>
      </c>
      <c r="M627" s="1" t="str">
        <f aca="false">IF($A627="","",IFERROR(INDEX(法人マスタ!$H:$H,MATCH($B627,法人マスタ!$A:$A,0)),""))</f>
        <v>2026年5月期（第49期）</v>
      </c>
      <c r="N627" s="1" t="n">
        <f aca="false">IF($A627="","",SUMIFS(物件収支!$D:$D,物件収支!$A:$A,$A627,物件収支!$C:$C,$M627))</f>
        <v>6</v>
      </c>
      <c r="O627" s="1" t="n">
        <f aca="false">IF($A627="","",SUMIFS(物件収支!$F:$F,物件収支!$A:$A,$A627,物件収支!$C:$C,$M627))</f>
        <v>86262</v>
      </c>
      <c r="P627" s="1" t="n">
        <f aca="false">IF($A627="","",SUMIFS(物件収支!$I:$I,物件収支!$A:$A,$A627,物件収支!$C:$C,$M627))</f>
        <v>0</v>
      </c>
      <c r="Q627" s="1" t="n">
        <f aca="false">IF($A627="","",SUMIFS(物件収支!$O:$O,物件収支!$A:$A,$A627,物件収支!$C:$C,$M627))</f>
        <v>0</v>
      </c>
      <c r="R627" s="1" t="str">
        <f aca="false">IF($A627="","",IF(P627=0,"",O627-P627))</f>
        <v/>
      </c>
      <c r="S627" s="1" t="str">
        <f aca="false">IF($A627="","",IF(R627="","",R627+Q627))</f>
        <v/>
      </c>
      <c r="T627" s="1" t="str">
        <f aca="false">IF($A627="","",IF(OR(S627="",N627&lt;=0),"",S627/1000*12/N627))</f>
        <v/>
      </c>
      <c r="U627" s="1" t="str">
        <f aca="false">IF($A627="","",IF(OR(T627="",J627=0,J627=""),"",T627/J627))</f>
        <v/>
      </c>
      <c r="V627" s="1" t="str">
        <f aca="false">IF($A627="","",IF(OR(R627="",N627&lt;=0,J627=0,J627=""),"",(R627/1000*12/N627)/J627))</f>
        <v/>
      </c>
      <c r="W627" s="1" t="str">
        <f aca="false">IF($A627="","",IF(OR(T627="",K627=0,K627=""),"",T627/K627))</f>
        <v/>
      </c>
      <c r="X627" s="1" t="n">
        <f aca="false">IF($A627="","",IF(OR(N627&lt;=0,I627=0,I627="",O627=0),"",O627*1000/(I627*0.3025)/N627))</f>
        <v>16413.7882100149</v>
      </c>
      <c r="Y627" s="1" t="str">
        <f aca="false">IF($A627="","",IF(OR(O627=0,O627="",P627=0),"",P627/O627))</f>
        <v/>
      </c>
      <c r="Z627" s="1" t="str">
        <f aca="false">IF($A627="","",IFERROR(INDEX(物件収支!$E:$E,MATCH($A627,物件収支!$A:$A,0)),""))</f>
        <v>開示（物件別・収益のみ）</v>
      </c>
    </row>
    <row r="628" customFormat="false" ht="15" hidden="false" customHeight="true" outlineLevel="0" collapsed="false">
      <c r="A628" s="1" t="str">
        <f aca="false">IF(物件マスタ!A628="","",物件マスタ!A628)</f>
        <v>HFR-027</v>
      </c>
      <c r="B628" s="1" t="str">
        <f aca="false">IF($A628="","",物件マスタ!B628)</f>
        <v>HFR</v>
      </c>
      <c r="C628" s="1" t="str">
        <f aca="false">IF($A628="","",IFERROR(INDEX(法人マスタ!$C:$C,MATCH($B628,法人マスタ!$A:$A,0)),""))</f>
        <v>平和不動産リート投資法人</v>
      </c>
      <c r="D628" s="1" t="str">
        <f aca="false">IF($A628="","",物件マスタ!C628)</f>
        <v>錦糸町スクエアビル</v>
      </c>
      <c r="E628" s="1" t="str">
        <f aca="false">IF($A628="","",物件マスタ!H628)</f>
        <v>その他東京23区</v>
      </c>
      <c r="F628" s="1" t="n">
        <f aca="false">IF($A628="","",物件マスタ!P628)</f>
        <v>0</v>
      </c>
      <c r="G628" s="1" t="str">
        <f aca="false">IF($A628="","",物件マスタ!Q628)</f>
        <v/>
      </c>
      <c r="H628" s="1" t="n">
        <f aca="false">IF($A628="","",物件マスタ!L628)</f>
        <v>0</v>
      </c>
      <c r="I628" s="1" t="n">
        <f aca="false">IF($A628="","",物件マスタ!M628)</f>
        <v>2061.01</v>
      </c>
      <c r="J628" s="1" t="n">
        <f aca="false">IF($A628="","",物件マスタ!S628)</f>
        <v>2840</v>
      </c>
      <c r="K628" s="1" t="n">
        <f aca="false">IF($A628="","",物件マスタ!U628)</f>
        <v>2780</v>
      </c>
      <c r="L628" s="1" t="n">
        <f aca="false">IF($A628="","",物件マスタ!W628)</f>
        <v>1</v>
      </c>
      <c r="M628" s="1" t="str">
        <f aca="false">IF($A628="","",IFERROR(INDEX(法人マスタ!$H:$H,MATCH($B628,法人マスタ!$A:$A,0)),""))</f>
        <v>2026年5月期（第49期）</v>
      </c>
      <c r="N628" s="1" t="n">
        <f aca="false">IF($A628="","",SUMIFS(物件収支!$D:$D,物件収支!$A:$A,$A628,物件収支!$C:$C,$M628))</f>
        <v>6</v>
      </c>
      <c r="O628" s="1" t="n">
        <f aca="false">IF($A628="","",SUMIFS(物件収支!$F:$F,物件収支!$A:$A,$A628,物件収支!$C:$C,$M628))</f>
        <v>79962</v>
      </c>
      <c r="P628" s="1" t="n">
        <f aca="false">IF($A628="","",SUMIFS(物件収支!$I:$I,物件収支!$A:$A,$A628,物件収支!$C:$C,$M628))</f>
        <v>0</v>
      </c>
      <c r="Q628" s="1" t="n">
        <f aca="false">IF($A628="","",SUMIFS(物件収支!$O:$O,物件収支!$A:$A,$A628,物件収支!$C:$C,$M628))</f>
        <v>0</v>
      </c>
      <c r="R628" s="1" t="str">
        <f aca="false">IF($A628="","",IF(P628=0,"",O628-P628))</f>
        <v/>
      </c>
      <c r="S628" s="1" t="str">
        <f aca="false">IF($A628="","",IF(R628="","",R628+Q628))</f>
        <v/>
      </c>
      <c r="T628" s="1" t="str">
        <f aca="false">IF($A628="","",IF(OR(S628="",N628&lt;=0),"",S628/1000*12/N628))</f>
        <v/>
      </c>
      <c r="U628" s="1" t="str">
        <f aca="false">IF($A628="","",IF(OR(T628="",J628=0,J628=""),"",T628/J628))</f>
        <v/>
      </c>
      <c r="V628" s="1" t="str">
        <f aca="false">IF($A628="","",IF(OR(R628="",N628&lt;=0,J628=0,J628=""),"",(R628/1000*12/N628)/J628))</f>
        <v/>
      </c>
      <c r="W628" s="1" t="str">
        <f aca="false">IF($A628="","",IF(OR(T628="",K628=0,K628=""),"",T628/K628))</f>
        <v/>
      </c>
      <c r="X628" s="1" t="n">
        <f aca="false">IF($A628="","",IF(OR(N628&lt;=0,I628=0,I628="",O628=0),"",O628*1000/(I628*0.3025)/N628))</f>
        <v>21376.0235744162</v>
      </c>
      <c r="Y628" s="1" t="str">
        <f aca="false">IF($A628="","",IF(OR(O628=0,O628="",P628=0),"",P628/O628))</f>
        <v/>
      </c>
      <c r="Z628" s="1" t="str">
        <f aca="false">IF($A628="","",IFERROR(INDEX(物件収支!$E:$E,MATCH($A628,物件収支!$A:$A,0)),""))</f>
        <v>開示（物件別・収益のみ）</v>
      </c>
    </row>
    <row r="629" customFormat="false" ht="15" hidden="false" customHeight="true" outlineLevel="0" collapsed="false">
      <c r="A629" s="1" t="str">
        <f aca="false">IF(物件マスタ!A629="","",物件マスタ!A629)</f>
        <v>HFR-028</v>
      </c>
      <c r="B629" s="1" t="str">
        <f aca="false">IF($A629="","",物件マスタ!B629)</f>
        <v>HFR</v>
      </c>
      <c r="C629" s="1" t="str">
        <f aca="false">IF($A629="","",IFERROR(INDEX(法人マスタ!$C:$C,MATCH($B629,法人マスタ!$A:$A,0)),""))</f>
        <v>平和不動産リート投資法人</v>
      </c>
      <c r="D629" s="1" t="str">
        <f aca="false">IF($A629="","",物件マスタ!C629)</f>
        <v>ＨＦ日本橋兜町ビルディング</v>
      </c>
      <c r="E629" s="1" t="str">
        <f aca="false">IF($A629="","",物件マスタ!H629)</f>
        <v>都心5区</v>
      </c>
      <c r="F629" s="1" t="n">
        <f aca="false">IF($A629="","",物件マスタ!P629)</f>
        <v>0</v>
      </c>
      <c r="G629" s="1" t="str">
        <f aca="false">IF($A629="","",物件マスタ!Q629)</f>
        <v/>
      </c>
      <c r="H629" s="1" t="n">
        <f aca="false">IF($A629="","",物件マスタ!L629)</f>
        <v>0</v>
      </c>
      <c r="I629" s="1" t="n">
        <f aca="false">IF($A629="","",物件マスタ!M629)</f>
        <v>2738.28</v>
      </c>
      <c r="J629" s="1" t="n">
        <f aca="false">IF($A629="","",物件マスタ!S629)</f>
        <v>3580</v>
      </c>
      <c r="K629" s="1" t="n">
        <f aca="false">IF($A629="","",物件マスタ!U629)</f>
        <v>4160</v>
      </c>
      <c r="L629" s="1" t="n">
        <f aca="false">IF($A629="","",物件マスタ!W629)</f>
        <v>1</v>
      </c>
      <c r="M629" s="1" t="str">
        <f aca="false">IF($A629="","",IFERROR(INDEX(法人マスタ!$H:$H,MATCH($B629,法人マスタ!$A:$A,0)),""))</f>
        <v>2026年5月期（第49期）</v>
      </c>
      <c r="N629" s="1" t="n">
        <f aca="false">IF($A629="","",SUMIFS(物件収支!$D:$D,物件収支!$A:$A,$A629,物件収支!$C:$C,$M629))</f>
        <v>6</v>
      </c>
      <c r="O629" s="1" t="n">
        <f aca="false">IF($A629="","",SUMIFS(物件収支!$F:$F,物件収支!$A:$A,$A629,物件収支!$C:$C,$M629))</f>
        <v>101161</v>
      </c>
      <c r="P629" s="1" t="n">
        <f aca="false">IF($A629="","",SUMIFS(物件収支!$I:$I,物件収支!$A:$A,$A629,物件収支!$C:$C,$M629))</f>
        <v>0</v>
      </c>
      <c r="Q629" s="1" t="n">
        <f aca="false">IF($A629="","",SUMIFS(物件収支!$O:$O,物件収支!$A:$A,$A629,物件収支!$C:$C,$M629))</f>
        <v>0</v>
      </c>
      <c r="R629" s="1" t="str">
        <f aca="false">IF($A629="","",IF(P629=0,"",O629-P629))</f>
        <v/>
      </c>
      <c r="S629" s="1" t="str">
        <f aca="false">IF($A629="","",IF(R629="","",R629+Q629))</f>
        <v/>
      </c>
      <c r="T629" s="1" t="str">
        <f aca="false">IF($A629="","",IF(OR(S629="",N629&lt;=0),"",S629/1000*12/N629))</f>
        <v/>
      </c>
      <c r="U629" s="1" t="str">
        <f aca="false">IF($A629="","",IF(OR(T629="",J629=0,J629=""),"",T629/J629))</f>
        <v/>
      </c>
      <c r="V629" s="1" t="str">
        <f aca="false">IF($A629="","",IF(OR(R629="",N629&lt;=0,J629=0,J629=""),"",(R629/1000*12/N629)/J629))</f>
        <v/>
      </c>
      <c r="W629" s="1" t="str">
        <f aca="false">IF($A629="","",IF(OR(T629="",K629=0,K629=""),"",T629/K629))</f>
        <v/>
      </c>
      <c r="X629" s="1" t="n">
        <f aca="false">IF($A629="","",IF(OR(N629&lt;=0,I629=0,I629="",O629=0),"",O629*1000/(I629*0.3025)/N629))</f>
        <v>20354.4152366705</v>
      </c>
      <c r="Y629" s="1" t="str">
        <f aca="false">IF($A629="","",IF(OR(O629=0,O629="",P629=0),"",P629/O629))</f>
        <v/>
      </c>
      <c r="Z629" s="1" t="str">
        <f aca="false">IF($A629="","",IFERROR(INDEX(物件収支!$E:$E,MATCH($A629,物件収支!$A:$A,0)),""))</f>
        <v>開示（物件別・収益のみ）</v>
      </c>
    </row>
    <row r="630" customFormat="false" ht="15" hidden="false" customHeight="true" outlineLevel="0" collapsed="false">
      <c r="A630" s="1" t="str">
        <f aca="false">IF(物件マスタ!A630="","",物件マスタ!A630)</f>
        <v>HFR-029</v>
      </c>
      <c r="B630" s="1" t="str">
        <f aca="false">IF($A630="","",物件マスタ!B630)</f>
        <v>HFR</v>
      </c>
      <c r="C630" s="1" t="str">
        <f aca="false">IF($A630="","",IFERROR(INDEX(法人マスタ!$C:$C,MATCH($B630,法人マスタ!$A:$A,0)),""))</f>
        <v>平和不動産リート投資法人</v>
      </c>
      <c r="D630" s="1" t="str">
        <f aca="false">IF($A630="","",物件マスタ!C630)</f>
        <v>ＨＦ仙台一番町ビルディング</v>
      </c>
      <c r="E630" s="1" t="str">
        <f aca="false">IF($A630="","",物件マスタ!H630)</f>
        <v>3大都市圏以外の政令市</v>
      </c>
      <c r="F630" s="1" t="n">
        <f aca="false">IF($A630="","",物件マスタ!P630)</f>
        <v>0</v>
      </c>
      <c r="G630" s="1" t="str">
        <f aca="false">IF($A630="","",物件マスタ!Q630)</f>
        <v/>
      </c>
      <c r="H630" s="1" t="n">
        <f aca="false">IF($A630="","",物件マスタ!L630)</f>
        <v>0</v>
      </c>
      <c r="I630" s="1" t="n">
        <f aca="false">IF($A630="","",物件マスタ!M630)</f>
        <v>3212.5</v>
      </c>
      <c r="J630" s="1" t="n">
        <f aca="false">IF($A630="","",物件マスタ!S630)</f>
        <v>2501</v>
      </c>
      <c r="K630" s="1" t="n">
        <f aca="false">IF($A630="","",物件マスタ!U630)</f>
        <v>2590</v>
      </c>
      <c r="L630" s="1" t="n">
        <f aca="false">IF($A630="","",物件マスタ!W630)</f>
        <v>1</v>
      </c>
      <c r="M630" s="1" t="str">
        <f aca="false">IF($A630="","",IFERROR(INDEX(法人マスタ!$H:$H,MATCH($B630,法人マスタ!$A:$A,0)),""))</f>
        <v>2026年5月期（第49期）</v>
      </c>
      <c r="N630" s="1" t="n">
        <f aca="false">IF($A630="","",SUMIFS(物件収支!$D:$D,物件収支!$A:$A,$A630,物件収支!$C:$C,$M630))</f>
        <v>6</v>
      </c>
      <c r="O630" s="1" t="n">
        <f aca="false">IF($A630="","",SUMIFS(物件収支!$F:$F,物件収支!$A:$A,$A630,物件収支!$C:$C,$M630))</f>
        <v>92508</v>
      </c>
      <c r="P630" s="1" t="n">
        <f aca="false">IF($A630="","",SUMIFS(物件収支!$I:$I,物件収支!$A:$A,$A630,物件収支!$C:$C,$M630))</f>
        <v>0</v>
      </c>
      <c r="Q630" s="1" t="n">
        <f aca="false">IF($A630="","",SUMIFS(物件収支!$O:$O,物件収支!$A:$A,$A630,物件収支!$C:$C,$M630))</f>
        <v>0</v>
      </c>
      <c r="R630" s="1" t="str">
        <f aca="false">IF($A630="","",IF(P630=0,"",O630-P630))</f>
        <v/>
      </c>
      <c r="S630" s="1" t="str">
        <f aca="false">IF($A630="","",IF(R630="","",R630+Q630))</f>
        <v/>
      </c>
      <c r="T630" s="1" t="str">
        <f aca="false">IF($A630="","",IF(OR(S630="",N630&lt;=0),"",S630/1000*12/N630))</f>
        <v/>
      </c>
      <c r="U630" s="1" t="str">
        <f aca="false">IF($A630="","",IF(OR(T630="",J630=0,J630=""),"",T630/J630))</f>
        <v/>
      </c>
      <c r="V630" s="1" t="str">
        <f aca="false">IF($A630="","",IF(OR(R630="",N630&lt;=0,J630=0,J630=""),"",(R630/1000*12/N630)/J630))</f>
        <v/>
      </c>
      <c r="W630" s="1" t="str">
        <f aca="false">IF($A630="","",IF(OR(T630="",K630=0,K630=""),"",T630/K630))</f>
        <v/>
      </c>
      <c r="X630" s="1" t="n">
        <f aca="false">IF($A630="","",IF(OR(N630&lt;=0,I630=0,I630="",O630=0),"",O630*1000/(I630*0.3025)/N630))</f>
        <v>15865.7105186996</v>
      </c>
      <c r="Y630" s="1" t="str">
        <f aca="false">IF($A630="","",IF(OR(O630=0,O630="",P630=0),"",P630/O630))</f>
        <v/>
      </c>
      <c r="Z630" s="1" t="str">
        <f aca="false">IF($A630="","",IFERROR(INDEX(物件収支!$E:$E,MATCH($A630,物件収支!$A:$A,0)),""))</f>
        <v>開示（物件別・収益のみ）</v>
      </c>
    </row>
    <row r="631" customFormat="false" ht="15" hidden="false" customHeight="true" outlineLevel="0" collapsed="false">
      <c r="A631" s="1" t="str">
        <f aca="false">IF(物件マスタ!A631="","",物件マスタ!A631)</f>
        <v>HFR-030</v>
      </c>
      <c r="B631" s="1" t="str">
        <f aca="false">IF($A631="","",物件マスタ!B631)</f>
        <v>HFR</v>
      </c>
      <c r="C631" s="1" t="str">
        <f aca="false">IF($A631="","",IFERROR(INDEX(法人マスタ!$C:$C,MATCH($B631,法人マスタ!$A:$A,0)),""))</f>
        <v>平和不動産リート投資法人</v>
      </c>
      <c r="D631" s="1" t="str">
        <f aca="false">IF($A631="","",物件マスタ!C631)</f>
        <v>大崎ＣＮビル</v>
      </c>
      <c r="E631" s="1" t="str">
        <f aca="false">IF($A631="","",物件マスタ!H631)</f>
        <v>その他東京23区</v>
      </c>
      <c r="F631" s="1" t="n">
        <f aca="false">IF($A631="","",物件マスタ!P631)</f>
        <v>0</v>
      </c>
      <c r="G631" s="1" t="str">
        <f aca="false">IF($A631="","",物件マスタ!Q631)</f>
        <v/>
      </c>
      <c r="H631" s="1" t="n">
        <f aca="false">IF($A631="","",物件マスタ!L631)</f>
        <v>0</v>
      </c>
      <c r="I631" s="1" t="n">
        <f aca="false">IF($A631="","",物件マスタ!M631)</f>
        <v>3237.86</v>
      </c>
      <c r="J631" s="1" t="n">
        <f aca="false">IF($A631="","",物件マスタ!S631)</f>
        <v>5160</v>
      </c>
      <c r="K631" s="1" t="n">
        <f aca="false">IF($A631="","",物件マスタ!U631)</f>
        <v>5450</v>
      </c>
      <c r="L631" s="1" t="n">
        <f aca="false">IF($A631="","",物件マスタ!W631)</f>
        <v>1</v>
      </c>
      <c r="M631" s="1" t="str">
        <f aca="false">IF($A631="","",IFERROR(INDEX(法人マスタ!$H:$H,MATCH($B631,法人マスタ!$A:$A,0)),""))</f>
        <v>2026年5月期（第49期）</v>
      </c>
      <c r="N631" s="1" t="n">
        <f aca="false">IF($A631="","",SUMIFS(物件収支!$D:$D,物件収支!$A:$A,$A631,物件収支!$C:$C,$M631))</f>
        <v>6</v>
      </c>
      <c r="O631" s="1" t="n">
        <f aca="false">IF($A631="","",SUMIFS(物件収支!$F:$F,物件収支!$A:$A,$A631,物件収支!$C:$C,$M631))</f>
        <v>118042</v>
      </c>
      <c r="P631" s="1" t="n">
        <f aca="false">IF($A631="","",SUMIFS(物件収支!$I:$I,物件収支!$A:$A,$A631,物件収支!$C:$C,$M631))</f>
        <v>0</v>
      </c>
      <c r="Q631" s="1" t="n">
        <f aca="false">IF($A631="","",SUMIFS(物件収支!$O:$O,物件収支!$A:$A,$A631,物件収支!$C:$C,$M631))</f>
        <v>0</v>
      </c>
      <c r="R631" s="1" t="str">
        <f aca="false">IF($A631="","",IF(P631=0,"",O631-P631))</f>
        <v/>
      </c>
      <c r="S631" s="1" t="str">
        <f aca="false">IF($A631="","",IF(R631="","",R631+Q631))</f>
        <v/>
      </c>
      <c r="T631" s="1" t="str">
        <f aca="false">IF($A631="","",IF(OR(S631="",N631&lt;=0),"",S631/1000*12/N631))</f>
        <v/>
      </c>
      <c r="U631" s="1" t="str">
        <f aca="false">IF($A631="","",IF(OR(T631="",J631=0,J631=""),"",T631/J631))</f>
        <v/>
      </c>
      <c r="V631" s="1" t="str">
        <f aca="false">IF($A631="","",IF(OR(R631="",N631&lt;=0,J631=0,J631=""),"",(R631/1000*12/N631)/J631))</f>
        <v/>
      </c>
      <c r="W631" s="1" t="str">
        <f aca="false">IF($A631="","",IF(OR(T631="",K631=0,K631=""),"",T631/K631))</f>
        <v/>
      </c>
      <c r="X631" s="1" t="n">
        <f aca="false">IF($A631="","",IF(OR(N631&lt;=0,I631=0,I631="",O631=0),"",O631*1000/(I631*0.3025)/N631))</f>
        <v>20086.388726057</v>
      </c>
      <c r="Y631" s="1" t="str">
        <f aca="false">IF($A631="","",IF(OR(O631=0,O631="",P631=0),"",P631/O631))</f>
        <v/>
      </c>
      <c r="Z631" s="1" t="str">
        <f aca="false">IF($A631="","",IFERROR(INDEX(物件収支!$E:$E,MATCH($A631,物件収支!$A:$A,0)),""))</f>
        <v>開示（物件別・収益のみ）</v>
      </c>
    </row>
    <row r="632" customFormat="false" ht="15" hidden="false" customHeight="true" outlineLevel="0" collapsed="false">
      <c r="A632" s="1" t="str">
        <f aca="false">IF(物件マスタ!A632="","",物件マスタ!A632)</f>
        <v>HFR-031</v>
      </c>
      <c r="B632" s="1" t="str">
        <f aca="false">IF($A632="","",物件マスタ!B632)</f>
        <v>HFR</v>
      </c>
      <c r="C632" s="1" t="str">
        <f aca="false">IF($A632="","",IFERROR(INDEX(法人マスタ!$C:$C,MATCH($B632,法人マスタ!$A:$A,0)),""))</f>
        <v>平和不動産リート投資法人</v>
      </c>
      <c r="D632" s="1" t="str">
        <f aca="false">IF($A632="","",物件マスタ!C632)</f>
        <v>ファーレイーストビル</v>
      </c>
      <c r="E632" s="1" t="str">
        <f aca="false">IF($A632="","",物件マスタ!H632)</f>
        <v>東京周辺都市部</v>
      </c>
      <c r="F632" s="1" t="n">
        <f aca="false">IF($A632="","",物件マスタ!P632)</f>
        <v>0</v>
      </c>
      <c r="G632" s="1" t="str">
        <f aca="false">IF($A632="","",物件マスタ!Q632)</f>
        <v/>
      </c>
      <c r="H632" s="1" t="n">
        <f aca="false">IF($A632="","",物件マスタ!L632)</f>
        <v>0</v>
      </c>
      <c r="I632" s="1" t="n">
        <f aca="false">IF($A632="","",物件マスタ!M632)</f>
        <v>2342.07</v>
      </c>
      <c r="J632" s="1" t="n">
        <f aca="false">IF($A632="","",物件マスタ!S632)</f>
        <v>1610</v>
      </c>
      <c r="K632" s="1" t="n">
        <f aca="false">IF($A632="","",物件マスタ!U632)</f>
        <v>1880</v>
      </c>
      <c r="L632" s="1" t="n">
        <f aca="false">IF($A632="","",物件マスタ!W632)</f>
        <v>1</v>
      </c>
      <c r="M632" s="1" t="str">
        <f aca="false">IF($A632="","",IFERROR(INDEX(法人マスタ!$H:$H,MATCH($B632,法人マスタ!$A:$A,0)),""))</f>
        <v>2026年5月期（第49期）</v>
      </c>
      <c r="N632" s="1" t="n">
        <f aca="false">IF($A632="","",SUMIFS(物件収支!$D:$D,物件収支!$A:$A,$A632,物件収支!$C:$C,$M632))</f>
        <v>6</v>
      </c>
      <c r="O632" s="1" t="n">
        <f aca="false">IF($A632="","",SUMIFS(物件収支!$F:$F,物件収支!$A:$A,$A632,物件収支!$C:$C,$M632))</f>
        <v>69951</v>
      </c>
      <c r="P632" s="1" t="n">
        <f aca="false">IF($A632="","",SUMIFS(物件収支!$I:$I,物件収支!$A:$A,$A632,物件収支!$C:$C,$M632))</f>
        <v>0</v>
      </c>
      <c r="Q632" s="1" t="n">
        <f aca="false">IF($A632="","",SUMIFS(物件収支!$O:$O,物件収支!$A:$A,$A632,物件収支!$C:$C,$M632))</f>
        <v>0</v>
      </c>
      <c r="R632" s="1" t="str">
        <f aca="false">IF($A632="","",IF(P632=0,"",O632-P632))</f>
        <v/>
      </c>
      <c r="S632" s="1" t="str">
        <f aca="false">IF($A632="","",IF(R632="","",R632+Q632))</f>
        <v/>
      </c>
      <c r="T632" s="1" t="str">
        <f aca="false">IF($A632="","",IF(OR(S632="",N632&lt;=0),"",S632/1000*12/N632))</f>
        <v/>
      </c>
      <c r="U632" s="1" t="str">
        <f aca="false">IF($A632="","",IF(OR(T632="",J632=0,J632=""),"",T632/J632))</f>
        <v/>
      </c>
      <c r="V632" s="1" t="str">
        <f aca="false">IF($A632="","",IF(OR(R632="",N632&lt;=0,J632=0,J632=""),"",(R632/1000*12/N632)/J632))</f>
        <v/>
      </c>
      <c r="W632" s="1" t="str">
        <f aca="false">IF($A632="","",IF(OR(T632="",K632=0,K632=""),"",T632/K632))</f>
        <v/>
      </c>
      <c r="X632" s="1" t="n">
        <f aca="false">IF($A632="","",IF(OR(N632&lt;=0,I632=0,I632="",O632=0),"",O632*1000/(I632*0.3025)/N632))</f>
        <v>16455.7403782844</v>
      </c>
      <c r="Y632" s="1" t="str">
        <f aca="false">IF($A632="","",IF(OR(O632=0,O632="",P632=0),"",P632/O632))</f>
        <v/>
      </c>
      <c r="Z632" s="1" t="str">
        <f aca="false">IF($A632="","",IFERROR(INDEX(物件収支!$E:$E,MATCH($A632,物件収支!$A:$A,0)),""))</f>
        <v>開示（物件別・収益のみ）</v>
      </c>
    </row>
    <row r="633" customFormat="false" ht="15" hidden="false" customHeight="true" outlineLevel="0" collapsed="false">
      <c r="A633" s="1" t="str">
        <f aca="false">IF(物件マスタ!A633="","",物件マスタ!A633)</f>
        <v>HFR-032</v>
      </c>
      <c r="B633" s="1" t="str">
        <f aca="false">IF($A633="","",物件マスタ!B633)</f>
        <v>HFR</v>
      </c>
      <c r="C633" s="1" t="str">
        <f aca="false">IF($A633="","",IFERROR(INDEX(法人マスタ!$C:$C,MATCH($B633,法人マスタ!$A:$A,0)),""))</f>
        <v>平和不動産リート投資法人</v>
      </c>
      <c r="D633" s="1" t="str">
        <f aca="false">IF($A633="","",物件マスタ!C633)</f>
        <v>ＨＦ江坂ビルディング</v>
      </c>
      <c r="E633" s="1" t="str">
        <f aca="false">IF($A633="","",物件マスタ!H633)</f>
        <v>その他3大都市圏</v>
      </c>
      <c r="F633" s="1" t="n">
        <f aca="false">IF($A633="","",物件マスタ!P633)</f>
        <v>0</v>
      </c>
      <c r="G633" s="1" t="str">
        <f aca="false">IF($A633="","",物件マスタ!Q633)</f>
        <v/>
      </c>
      <c r="H633" s="1" t="n">
        <f aca="false">IF($A633="","",物件マスタ!L633)</f>
        <v>0</v>
      </c>
      <c r="I633" s="1" t="n">
        <f aca="false">IF($A633="","",物件マスタ!M633)</f>
        <v>3048.07</v>
      </c>
      <c r="J633" s="1" t="n">
        <f aca="false">IF($A633="","",物件マスタ!S633)</f>
        <v>2500</v>
      </c>
      <c r="K633" s="1" t="n">
        <f aca="false">IF($A633="","",物件マスタ!U633)</f>
        <v>2620</v>
      </c>
      <c r="L633" s="1" t="n">
        <f aca="false">IF($A633="","",物件マスタ!W633)</f>
        <v>1</v>
      </c>
      <c r="M633" s="1" t="str">
        <f aca="false">IF($A633="","",IFERROR(INDEX(法人マスタ!$H:$H,MATCH($B633,法人マスタ!$A:$A,0)),""))</f>
        <v>2026年5月期（第49期）</v>
      </c>
      <c r="N633" s="1" t="n">
        <f aca="false">IF($A633="","",SUMIFS(物件収支!$D:$D,物件収支!$A:$A,$A633,物件収支!$C:$C,$M633))</f>
        <v>6</v>
      </c>
      <c r="O633" s="1" t="n">
        <f aca="false">IF($A633="","",SUMIFS(物件収支!$F:$F,物件収支!$A:$A,$A633,物件収支!$C:$C,$M633))</f>
        <v>73647</v>
      </c>
      <c r="P633" s="1" t="n">
        <f aca="false">IF($A633="","",SUMIFS(物件収支!$I:$I,物件収支!$A:$A,$A633,物件収支!$C:$C,$M633))</f>
        <v>0</v>
      </c>
      <c r="Q633" s="1" t="n">
        <f aca="false">IF($A633="","",SUMIFS(物件収支!$O:$O,物件収支!$A:$A,$A633,物件収支!$C:$C,$M633))</f>
        <v>0</v>
      </c>
      <c r="R633" s="1" t="str">
        <f aca="false">IF($A633="","",IF(P633=0,"",O633-P633))</f>
        <v/>
      </c>
      <c r="S633" s="1" t="str">
        <f aca="false">IF($A633="","",IF(R633="","",R633+Q633))</f>
        <v/>
      </c>
      <c r="T633" s="1" t="str">
        <f aca="false">IF($A633="","",IF(OR(S633="",N633&lt;=0),"",S633/1000*12/N633))</f>
        <v/>
      </c>
      <c r="U633" s="1" t="str">
        <f aca="false">IF($A633="","",IF(OR(T633="",J633=0,J633=""),"",T633/J633))</f>
        <v/>
      </c>
      <c r="V633" s="1" t="str">
        <f aca="false">IF($A633="","",IF(OR(R633="",N633&lt;=0,J633=0,J633=""),"",(R633/1000*12/N633)/J633))</f>
        <v/>
      </c>
      <c r="W633" s="1" t="str">
        <f aca="false">IF($A633="","",IF(OR(T633="",K633=0,K633=""),"",T633/K633))</f>
        <v/>
      </c>
      <c r="X633" s="1" t="n">
        <f aca="false">IF($A633="","",IF(OR(N633&lt;=0,I633=0,I633="",O633=0),"",O633*1000/(I633*0.3025)/N633))</f>
        <v>13312.3122185948</v>
      </c>
      <c r="Y633" s="1" t="str">
        <f aca="false">IF($A633="","",IF(OR(O633=0,O633="",P633=0),"",P633/O633))</f>
        <v/>
      </c>
      <c r="Z633" s="1" t="str">
        <f aca="false">IF($A633="","",IFERROR(INDEX(物件収支!$E:$E,MATCH($A633,物件収支!$A:$A,0)),""))</f>
        <v>開示（物件別・収益のみ）</v>
      </c>
    </row>
    <row r="634" customFormat="false" ht="15" hidden="false" customHeight="true" outlineLevel="0" collapsed="false">
      <c r="A634" s="1" t="str">
        <f aca="false">IF(物件マスタ!A634="","",物件マスタ!A634)</f>
        <v>HFR-033</v>
      </c>
      <c r="B634" s="1" t="str">
        <f aca="false">IF($A634="","",物件マスタ!B634)</f>
        <v>HFR</v>
      </c>
      <c r="C634" s="1" t="str">
        <f aca="false">IF($A634="","",IFERROR(INDEX(法人マスタ!$C:$C,MATCH($B634,法人マスタ!$A:$A,0)),""))</f>
        <v>平和不動産リート投資法人</v>
      </c>
      <c r="D634" s="1" t="str">
        <f aca="false">IF($A634="","",物件マスタ!C634)</f>
        <v>心斎橋フロントビル</v>
      </c>
      <c r="E634" s="1" t="str">
        <f aca="false">IF($A634="","",物件マスタ!H634)</f>
        <v>その他3大都市圏</v>
      </c>
      <c r="F634" s="1" t="n">
        <f aca="false">IF($A634="","",物件マスタ!P634)</f>
        <v>0</v>
      </c>
      <c r="G634" s="1" t="str">
        <f aca="false">IF($A634="","",物件マスタ!Q634)</f>
        <v/>
      </c>
      <c r="H634" s="1" t="n">
        <f aca="false">IF($A634="","",物件マスタ!L634)</f>
        <v>0</v>
      </c>
      <c r="I634" s="1" t="n">
        <f aca="false">IF($A634="","",物件マスタ!M634)</f>
        <v>4251.24</v>
      </c>
      <c r="J634" s="1" t="n">
        <f aca="false">IF($A634="","",物件マスタ!S634)</f>
        <v>7300</v>
      </c>
      <c r="K634" s="1" t="n">
        <f aca="false">IF($A634="","",物件マスタ!U634)</f>
        <v>8440</v>
      </c>
      <c r="L634" s="1" t="n">
        <f aca="false">IF($A634="","",物件マスタ!W634)</f>
        <v>1</v>
      </c>
      <c r="M634" s="1" t="str">
        <f aca="false">IF($A634="","",IFERROR(INDEX(法人マスタ!$H:$H,MATCH($B634,法人マスタ!$A:$A,0)),""))</f>
        <v>2026年5月期（第49期）</v>
      </c>
      <c r="N634" s="1" t="n">
        <f aca="false">IF($A634="","",SUMIFS(物件収支!$D:$D,物件収支!$A:$A,$A634,物件収支!$C:$C,$M634))</f>
        <v>6</v>
      </c>
      <c r="O634" s="1" t="n">
        <f aca="false">IF($A634="","",SUMIFS(物件収支!$F:$F,物件収支!$A:$A,$A634,物件収支!$C:$C,$M634))</f>
        <v>215097</v>
      </c>
      <c r="P634" s="1" t="n">
        <f aca="false">IF($A634="","",SUMIFS(物件収支!$I:$I,物件収支!$A:$A,$A634,物件収支!$C:$C,$M634))</f>
        <v>0</v>
      </c>
      <c r="Q634" s="1" t="n">
        <f aca="false">IF($A634="","",SUMIFS(物件収支!$O:$O,物件収支!$A:$A,$A634,物件収支!$C:$C,$M634))</f>
        <v>0</v>
      </c>
      <c r="R634" s="1" t="str">
        <f aca="false">IF($A634="","",IF(P634=0,"",O634-P634))</f>
        <v/>
      </c>
      <c r="S634" s="1" t="str">
        <f aca="false">IF($A634="","",IF(R634="","",R634+Q634))</f>
        <v/>
      </c>
      <c r="T634" s="1" t="str">
        <f aca="false">IF($A634="","",IF(OR(S634="",N634&lt;=0),"",S634/1000*12/N634))</f>
        <v/>
      </c>
      <c r="U634" s="1" t="str">
        <f aca="false">IF($A634="","",IF(OR(T634="",J634=0,J634=""),"",T634/J634))</f>
        <v/>
      </c>
      <c r="V634" s="1" t="str">
        <f aca="false">IF($A634="","",IF(OR(R634="",N634&lt;=0,J634=0,J634=""),"",(R634/1000*12/N634)/J634))</f>
        <v/>
      </c>
      <c r="W634" s="1" t="str">
        <f aca="false">IF($A634="","",IF(OR(T634="",K634=0,K634=""),"",T634/K634))</f>
        <v/>
      </c>
      <c r="X634" s="1" t="n">
        <f aca="false">IF($A634="","",IF(OR(N634&lt;=0,I634=0,I634="",O634=0),"",O634*1000/(I634*0.3025)/N634))</f>
        <v>27876.7474434878</v>
      </c>
      <c r="Y634" s="1" t="str">
        <f aca="false">IF($A634="","",IF(OR(O634=0,O634="",P634=0),"",P634/O634))</f>
        <v/>
      </c>
      <c r="Z634" s="1" t="str">
        <f aca="false">IF($A634="","",IFERROR(INDEX(物件収支!$E:$E,MATCH($A634,物件収支!$A:$A,0)),""))</f>
        <v>開示（物件別・収益のみ）</v>
      </c>
    </row>
    <row r="635" customFormat="false" ht="15" hidden="false" customHeight="true" outlineLevel="0" collapsed="false">
      <c r="A635" s="1" t="str">
        <f aca="false">IF(物件マスタ!A635="","",物件マスタ!A635)</f>
        <v>HFR-034</v>
      </c>
      <c r="B635" s="1" t="str">
        <f aca="false">IF($A635="","",物件マスタ!B635)</f>
        <v>HFR</v>
      </c>
      <c r="C635" s="1" t="str">
        <f aca="false">IF($A635="","",IFERROR(INDEX(法人マスタ!$C:$C,MATCH($B635,法人マスタ!$A:$A,0)),""))</f>
        <v>平和不動産リート投資法人</v>
      </c>
      <c r="D635" s="1" t="str">
        <f aca="false">IF($A635="","",物件マスタ!C635)</f>
        <v>栄センタービル</v>
      </c>
      <c r="E635" s="1" t="str">
        <f aca="false">IF($A635="","",物件マスタ!H635)</f>
        <v>その他3大都市圏</v>
      </c>
      <c r="F635" s="1" t="n">
        <f aca="false">IF($A635="","",物件マスタ!P635)</f>
        <v>0</v>
      </c>
      <c r="G635" s="1" t="str">
        <f aca="false">IF($A635="","",物件マスタ!Q635)</f>
        <v/>
      </c>
      <c r="H635" s="1" t="n">
        <f aca="false">IF($A635="","",物件マスタ!L635)</f>
        <v>0</v>
      </c>
      <c r="I635" s="1" t="n">
        <f aca="false">IF($A635="","",物件マスタ!M635)</f>
        <v>5366.51</v>
      </c>
      <c r="J635" s="1" t="n">
        <f aca="false">IF($A635="","",物件マスタ!S635)</f>
        <v>4000</v>
      </c>
      <c r="K635" s="1" t="n">
        <f aca="false">IF($A635="","",物件マスタ!U635)</f>
        <v>4280</v>
      </c>
      <c r="L635" s="1" t="n">
        <f aca="false">IF($A635="","",物件マスタ!W635)</f>
        <v>0.9369</v>
      </c>
      <c r="M635" s="1" t="str">
        <f aca="false">IF($A635="","",IFERROR(INDEX(法人マスタ!$H:$H,MATCH($B635,法人マスタ!$A:$A,0)),""))</f>
        <v>2026年5月期（第49期）</v>
      </c>
      <c r="N635" s="1" t="n">
        <f aca="false">IF($A635="","",SUMIFS(物件収支!$D:$D,物件収支!$A:$A,$A635,物件収支!$C:$C,$M635))</f>
        <v>6</v>
      </c>
      <c r="O635" s="1" t="n">
        <f aca="false">IF($A635="","",SUMIFS(物件収支!$F:$F,物件収支!$A:$A,$A635,物件収支!$C:$C,$M635))</f>
        <v>144645</v>
      </c>
      <c r="P635" s="1" t="n">
        <f aca="false">IF($A635="","",SUMIFS(物件収支!$I:$I,物件収支!$A:$A,$A635,物件収支!$C:$C,$M635))</f>
        <v>0</v>
      </c>
      <c r="Q635" s="1" t="n">
        <f aca="false">IF($A635="","",SUMIFS(物件収支!$O:$O,物件収支!$A:$A,$A635,物件収支!$C:$C,$M635))</f>
        <v>0</v>
      </c>
      <c r="R635" s="1" t="str">
        <f aca="false">IF($A635="","",IF(P635=0,"",O635-P635))</f>
        <v/>
      </c>
      <c r="S635" s="1" t="str">
        <f aca="false">IF($A635="","",IF(R635="","",R635+Q635))</f>
        <v/>
      </c>
      <c r="T635" s="1" t="str">
        <f aca="false">IF($A635="","",IF(OR(S635="",N635&lt;=0),"",S635/1000*12/N635))</f>
        <v/>
      </c>
      <c r="U635" s="1" t="str">
        <f aca="false">IF($A635="","",IF(OR(T635="",J635=0,J635=""),"",T635/J635))</f>
        <v/>
      </c>
      <c r="V635" s="1" t="str">
        <f aca="false">IF($A635="","",IF(OR(R635="",N635&lt;=0,J635=0,J635=""),"",(R635/1000*12/N635)/J635))</f>
        <v/>
      </c>
      <c r="W635" s="1" t="str">
        <f aca="false">IF($A635="","",IF(OR(T635="",K635=0,K635=""),"",T635/K635))</f>
        <v/>
      </c>
      <c r="X635" s="1" t="n">
        <f aca="false">IF($A635="","",IF(OR(N635&lt;=0,I635=0,I635="",O635=0),"",O635*1000/(I635*0.3025)/N635))</f>
        <v>14850.2872213101</v>
      </c>
      <c r="Y635" s="1" t="str">
        <f aca="false">IF($A635="","",IF(OR(O635=0,O635="",P635=0),"",P635/O635))</f>
        <v/>
      </c>
      <c r="Z635" s="1" t="str">
        <f aca="false">IF($A635="","",IFERROR(INDEX(物件収支!$E:$E,MATCH($A635,物件収支!$A:$A,0)),""))</f>
        <v>開示（物件別・収益のみ）</v>
      </c>
    </row>
    <row r="636" customFormat="false" ht="15" hidden="false" customHeight="true" outlineLevel="0" collapsed="false">
      <c r="A636" s="1" t="str">
        <f aca="false">IF(物件マスタ!A636="","",物件マスタ!A636)</f>
        <v>HFR-035</v>
      </c>
      <c r="B636" s="1" t="str">
        <f aca="false">IF($A636="","",物件マスタ!B636)</f>
        <v>HFR</v>
      </c>
      <c r="C636" s="1" t="str">
        <f aca="false">IF($A636="","",IFERROR(INDEX(法人マスタ!$C:$C,MATCH($B636,法人マスタ!$A:$A,0)),""))</f>
        <v>平和不動産リート投資法人</v>
      </c>
      <c r="D636" s="1" t="str">
        <f aca="false">IF($A636="","",物件マスタ!C636)</f>
        <v>岩本町ツインビル</v>
      </c>
      <c r="E636" s="1" t="str">
        <f aca="false">IF($A636="","",物件マスタ!H636)</f>
        <v>都心5区</v>
      </c>
      <c r="F636" s="1" t="n">
        <f aca="false">IF($A636="","",物件マスタ!P636)</f>
        <v>0</v>
      </c>
      <c r="G636" s="1" t="str">
        <f aca="false">IF($A636="","",物件マスタ!Q636)</f>
        <v/>
      </c>
      <c r="H636" s="1" t="n">
        <f aca="false">IF($A636="","",物件マスタ!L636)</f>
        <v>0</v>
      </c>
      <c r="I636" s="1" t="n">
        <f aca="false">IF($A636="","",物件マスタ!M636)</f>
        <v>2607.75</v>
      </c>
      <c r="J636" s="1" t="n">
        <f aca="false">IF($A636="","",物件マスタ!S636)</f>
        <v>3380</v>
      </c>
      <c r="K636" s="1" t="n">
        <f aca="false">IF($A636="","",物件マスタ!U636)</f>
        <v>4050</v>
      </c>
      <c r="L636" s="1" t="n">
        <f aca="false">IF($A636="","",物件マスタ!W636)</f>
        <v>1</v>
      </c>
      <c r="M636" s="1" t="str">
        <f aca="false">IF($A636="","",IFERROR(INDEX(法人マスタ!$H:$H,MATCH($B636,法人マスタ!$A:$A,0)),""))</f>
        <v>2026年5月期（第49期）</v>
      </c>
      <c r="N636" s="1" t="n">
        <f aca="false">IF($A636="","",SUMIFS(物件収支!$D:$D,物件収支!$A:$A,$A636,物件収支!$C:$C,$M636))</f>
        <v>6</v>
      </c>
      <c r="O636" s="1" t="n">
        <f aca="false">IF($A636="","",SUMIFS(物件収支!$F:$F,物件収支!$A:$A,$A636,物件収支!$C:$C,$M636))</f>
        <v>86956</v>
      </c>
      <c r="P636" s="1" t="n">
        <f aca="false">IF($A636="","",SUMIFS(物件収支!$I:$I,物件収支!$A:$A,$A636,物件収支!$C:$C,$M636))</f>
        <v>0</v>
      </c>
      <c r="Q636" s="1" t="n">
        <f aca="false">IF($A636="","",SUMIFS(物件収支!$O:$O,物件収支!$A:$A,$A636,物件収支!$C:$C,$M636))</f>
        <v>0</v>
      </c>
      <c r="R636" s="1" t="str">
        <f aca="false">IF($A636="","",IF(P636=0,"",O636-P636))</f>
        <v/>
      </c>
      <c r="S636" s="1" t="str">
        <f aca="false">IF($A636="","",IF(R636="","",R636+Q636))</f>
        <v/>
      </c>
      <c r="T636" s="1" t="str">
        <f aca="false">IF($A636="","",IF(OR(S636="",N636&lt;=0),"",S636/1000*12/N636))</f>
        <v/>
      </c>
      <c r="U636" s="1" t="str">
        <f aca="false">IF($A636="","",IF(OR(T636="",J636=0,J636=""),"",T636/J636))</f>
        <v/>
      </c>
      <c r="V636" s="1" t="str">
        <f aca="false">IF($A636="","",IF(OR(R636="",N636&lt;=0,J636=0,J636=""),"",(R636/1000*12/N636)/J636))</f>
        <v/>
      </c>
      <c r="W636" s="1" t="str">
        <f aca="false">IF($A636="","",IF(OR(T636="",K636=0,K636=""),"",T636/K636))</f>
        <v/>
      </c>
      <c r="X636" s="1" t="n">
        <f aca="false">IF($A636="","",IF(OR(N636&lt;=0,I636=0,I636="",O636=0),"",O636*1000/(I636*0.3025)/N636))</f>
        <v>18372.0225762739</v>
      </c>
      <c r="Y636" s="1" t="str">
        <f aca="false">IF($A636="","",IF(OR(O636=0,O636="",P636=0),"",P636/O636))</f>
        <v/>
      </c>
      <c r="Z636" s="1" t="str">
        <f aca="false">IF($A636="","",IFERROR(INDEX(物件収支!$E:$E,MATCH($A636,物件収支!$A:$A,0)),""))</f>
        <v>開示（物件別・収益のみ）</v>
      </c>
    </row>
    <row r="637" customFormat="false" ht="15" hidden="false" customHeight="true" outlineLevel="0" collapsed="false">
      <c r="A637" s="1" t="str">
        <f aca="false">IF(物件マスタ!A637="","",物件マスタ!A637)</f>
        <v>HFR-036</v>
      </c>
      <c r="B637" s="1" t="str">
        <f aca="false">IF($A637="","",物件マスタ!B637)</f>
        <v>HFR</v>
      </c>
      <c r="C637" s="1" t="str">
        <f aca="false">IF($A637="","",IFERROR(INDEX(法人マスタ!$C:$C,MATCH($B637,法人マスタ!$A:$A,0)),""))</f>
        <v>平和不動産リート投資法人</v>
      </c>
      <c r="D637" s="1" t="str">
        <f aca="false">IF($A637="","",物件マスタ!C637)</f>
        <v>岩本町ツインサカエビル</v>
      </c>
      <c r="E637" s="1" t="str">
        <f aca="false">IF($A637="","",物件マスタ!H637)</f>
        <v>都心5区</v>
      </c>
      <c r="F637" s="1" t="n">
        <f aca="false">IF($A637="","",物件マスタ!P637)</f>
        <v>0</v>
      </c>
      <c r="G637" s="1" t="str">
        <f aca="false">IF($A637="","",物件マスタ!Q637)</f>
        <v/>
      </c>
      <c r="H637" s="1" t="n">
        <f aca="false">IF($A637="","",物件マスタ!L637)</f>
        <v>0</v>
      </c>
      <c r="I637" s="1" t="n">
        <f aca="false">IF($A637="","",物件マスタ!M637)</f>
        <v>569.88</v>
      </c>
      <c r="J637" s="1" t="n">
        <f aca="false">IF($A637="","",物件マスタ!S637)</f>
        <v>400</v>
      </c>
      <c r="K637" s="1" t="n">
        <f aca="false">IF($A637="","",物件マスタ!U637)</f>
        <v>581</v>
      </c>
      <c r="L637" s="1" t="n">
        <f aca="false">IF($A637="","",物件マスタ!W637)</f>
        <v>0.8867</v>
      </c>
      <c r="M637" s="1" t="str">
        <f aca="false">IF($A637="","",IFERROR(INDEX(法人マスタ!$H:$H,MATCH($B637,法人マスタ!$A:$A,0)),""))</f>
        <v>2026年5月期（第49期）</v>
      </c>
      <c r="N637" s="1" t="n">
        <f aca="false">IF($A637="","",SUMIFS(物件収支!$D:$D,物件収支!$A:$A,$A637,物件収支!$C:$C,$M637))</f>
        <v>6</v>
      </c>
      <c r="O637" s="1" t="n">
        <f aca="false">IF($A637="","",SUMIFS(物件収支!$F:$F,物件収支!$A:$A,$A637,物件収支!$C:$C,$M637))</f>
        <v>17045</v>
      </c>
      <c r="P637" s="1" t="n">
        <f aca="false">IF($A637="","",SUMIFS(物件収支!$I:$I,物件収支!$A:$A,$A637,物件収支!$C:$C,$M637))</f>
        <v>0</v>
      </c>
      <c r="Q637" s="1" t="n">
        <f aca="false">IF($A637="","",SUMIFS(物件収支!$O:$O,物件収支!$A:$A,$A637,物件収支!$C:$C,$M637))</f>
        <v>0</v>
      </c>
      <c r="R637" s="1" t="str">
        <f aca="false">IF($A637="","",IF(P637=0,"",O637-P637))</f>
        <v/>
      </c>
      <c r="S637" s="1" t="str">
        <f aca="false">IF($A637="","",IF(R637="","",R637+Q637))</f>
        <v/>
      </c>
      <c r="T637" s="1" t="str">
        <f aca="false">IF($A637="","",IF(OR(S637="",N637&lt;=0),"",S637/1000*12/N637))</f>
        <v/>
      </c>
      <c r="U637" s="1" t="str">
        <f aca="false">IF($A637="","",IF(OR(T637="",J637=0,J637=""),"",T637/J637))</f>
        <v/>
      </c>
      <c r="V637" s="1" t="str">
        <f aca="false">IF($A637="","",IF(OR(R637="",N637&lt;=0,J637=0,J637=""),"",(R637/1000*12/N637)/J637))</f>
        <v/>
      </c>
      <c r="W637" s="1" t="str">
        <f aca="false">IF($A637="","",IF(OR(T637="",K637=0,K637=""),"",T637/K637))</f>
        <v/>
      </c>
      <c r="X637" s="1" t="n">
        <f aca="false">IF($A637="","",IF(OR(N637&lt;=0,I637=0,I637="",O637=0),"",O637*1000/(I637*0.3025)/N637))</f>
        <v>16479.231720718</v>
      </c>
      <c r="Y637" s="1" t="str">
        <f aca="false">IF($A637="","",IF(OR(O637=0,O637="",P637=0),"",P637/O637))</f>
        <v/>
      </c>
      <c r="Z637" s="1" t="str">
        <f aca="false">IF($A637="","",IFERROR(INDEX(物件収支!$E:$E,MATCH($A637,物件収支!$A:$A,0)),""))</f>
        <v>開示（物件別・収益のみ）</v>
      </c>
    </row>
    <row r="638" customFormat="false" ht="15" hidden="false" customHeight="true" outlineLevel="0" collapsed="false">
      <c r="A638" s="1" t="str">
        <f aca="false">IF(物件マスタ!A638="","",物件マスタ!A638)</f>
        <v>HFR-037</v>
      </c>
      <c r="B638" s="1" t="str">
        <f aca="false">IF($A638="","",物件マスタ!B638)</f>
        <v>HFR</v>
      </c>
      <c r="C638" s="1" t="str">
        <f aca="false">IF($A638="","",IFERROR(INDEX(法人マスタ!$C:$C,MATCH($B638,法人マスタ!$A:$A,0)),""))</f>
        <v>平和不動産リート投資法人</v>
      </c>
      <c r="D638" s="1" t="str">
        <f aca="false">IF($A638="","",物件マスタ!C638)</f>
        <v>ＨＦ名古屋錦ビルディング</v>
      </c>
      <c r="E638" s="1" t="str">
        <f aca="false">IF($A638="","",物件マスタ!H638)</f>
        <v>その他3大都市圏</v>
      </c>
      <c r="F638" s="1" t="n">
        <f aca="false">IF($A638="","",物件マスタ!P638)</f>
        <v>0</v>
      </c>
      <c r="G638" s="1" t="str">
        <f aca="false">IF($A638="","",物件マスタ!Q638)</f>
        <v/>
      </c>
      <c r="H638" s="1" t="n">
        <f aca="false">IF($A638="","",物件マスタ!L638)</f>
        <v>0</v>
      </c>
      <c r="I638" s="1" t="n">
        <f aca="false">IF($A638="","",物件マスタ!M638)</f>
        <v>3263.83</v>
      </c>
      <c r="J638" s="1" t="n">
        <f aca="false">IF($A638="","",物件マスタ!S638)</f>
        <v>2100</v>
      </c>
      <c r="K638" s="1" t="n">
        <f aca="false">IF($A638="","",物件マスタ!U638)</f>
        <v>2550</v>
      </c>
      <c r="L638" s="1" t="n">
        <f aca="false">IF($A638="","",物件マスタ!W638)</f>
        <v>1</v>
      </c>
      <c r="M638" s="1" t="str">
        <f aca="false">IF($A638="","",IFERROR(INDEX(法人マスタ!$H:$H,MATCH($B638,法人マスタ!$A:$A,0)),""))</f>
        <v>2026年5月期（第49期）</v>
      </c>
      <c r="N638" s="1" t="n">
        <f aca="false">IF($A638="","",SUMIFS(物件収支!$D:$D,物件収支!$A:$A,$A638,物件収支!$C:$C,$M638))</f>
        <v>6</v>
      </c>
      <c r="O638" s="1" t="n">
        <f aca="false">IF($A638="","",SUMIFS(物件収支!$F:$F,物件収支!$A:$A,$A638,物件収支!$C:$C,$M638))</f>
        <v>78164</v>
      </c>
      <c r="P638" s="1" t="n">
        <f aca="false">IF($A638="","",SUMIFS(物件収支!$I:$I,物件収支!$A:$A,$A638,物件収支!$C:$C,$M638))</f>
        <v>0</v>
      </c>
      <c r="Q638" s="1" t="n">
        <f aca="false">IF($A638="","",SUMIFS(物件収支!$O:$O,物件収支!$A:$A,$A638,物件収支!$C:$C,$M638))</f>
        <v>0</v>
      </c>
      <c r="R638" s="1" t="str">
        <f aca="false">IF($A638="","",IF(P638=0,"",O638-P638))</f>
        <v/>
      </c>
      <c r="S638" s="1" t="str">
        <f aca="false">IF($A638="","",IF(R638="","",R638+Q638))</f>
        <v/>
      </c>
      <c r="T638" s="1" t="str">
        <f aca="false">IF($A638="","",IF(OR(S638="",N638&lt;=0),"",S638/1000*12/N638))</f>
        <v/>
      </c>
      <c r="U638" s="1" t="str">
        <f aca="false">IF($A638="","",IF(OR(T638="",J638=0,J638=""),"",T638/J638))</f>
        <v/>
      </c>
      <c r="V638" s="1" t="str">
        <f aca="false">IF($A638="","",IF(OR(R638="",N638&lt;=0,J638=0,J638=""),"",(R638/1000*12/N638)/J638))</f>
        <v/>
      </c>
      <c r="W638" s="1" t="str">
        <f aca="false">IF($A638="","",IF(OR(T638="",K638=0,K638=""),"",T638/K638))</f>
        <v/>
      </c>
      <c r="X638" s="1" t="n">
        <f aca="false">IF($A638="","",IF(OR(N638&lt;=0,I638=0,I638="",O638=0),"",O638*1000/(I638*0.3025)/N638))</f>
        <v>13194.7940726974</v>
      </c>
      <c r="Y638" s="1" t="str">
        <f aca="false">IF($A638="","",IF(OR(O638=0,O638="",P638=0),"",P638/O638))</f>
        <v/>
      </c>
      <c r="Z638" s="1" t="str">
        <f aca="false">IF($A638="","",IFERROR(INDEX(物件収支!$E:$E,MATCH($A638,物件収支!$A:$A,0)),""))</f>
        <v>開示（物件別・収益のみ）</v>
      </c>
    </row>
    <row r="639" customFormat="false" ht="15" hidden="false" customHeight="true" outlineLevel="0" collapsed="false">
      <c r="A639" s="1" t="str">
        <f aca="false">IF(物件マスタ!A639="","",物件マスタ!A639)</f>
        <v>HFR-038</v>
      </c>
      <c r="B639" s="1" t="str">
        <f aca="false">IF($A639="","",物件マスタ!B639)</f>
        <v>HFR</v>
      </c>
      <c r="C639" s="1" t="str">
        <f aca="false">IF($A639="","",IFERROR(INDEX(法人マスタ!$C:$C,MATCH($B639,法人マスタ!$A:$A,0)),""))</f>
        <v>平和不動産リート投資法人</v>
      </c>
      <c r="D639" s="1" t="str">
        <f aca="false">IF($A639="","",物件マスタ!C639)</f>
        <v>北浜一丁目平和ビル</v>
      </c>
      <c r="E639" s="1" t="str">
        <f aca="false">IF($A639="","",物件マスタ!H639)</f>
        <v>その他3大都市圏</v>
      </c>
      <c r="F639" s="1" t="n">
        <f aca="false">IF($A639="","",物件マスタ!P639)</f>
        <v>0</v>
      </c>
      <c r="G639" s="1" t="str">
        <f aca="false">IF($A639="","",物件マスタ!Q639)</f>
        <v/>
      </c>
      <c r="H639" s="1" t="n">
        <f aca="false">IF($A639="","",物件マスタ!L639)</f>
        <v>0</v>
      </c>
      <c r="I639" s="1" t="n">
        <f aca="false">IF($A639="","",物件マスタ!M639)</f>
        <v>3619.05</v>
      </c>
      <c r="J639" s="1" t="n">
        <f aca="false">IF($A639="","",物件マスタ!S639)</f>
        <v>4500</v>
      </c>
      <c r="K639" s="1" t="n">
        <f aca="false">IF($A639="","",物件マスタ!U639)</f>
        <v>4810</v>
      </c>
      <c r="L639" s="1" t="n">
        <f aca="false">IF($A639="","",物件マスタ!W639)</f>
        <v>1</v>
      </c>
      <c r="M639" s="1" t="str">
        <f aca="false">IF($A639="","",IFERROR(INDEX(法人マスタ!$H:$H,MATCH($B639,法人マスタ!$A:$A,0)),""))</f>
        <v>2026年5月期（第49期）</v>
      </c>
      <c r="N639" s="1" t="n">
        <f aca="false">IF($A639="","",SUMIFS(物件収支!$D:$D,物件収支!$A:$A,$A639,物件収支!$C:$C,$M639))</f>
        <v>6</v>
      </c>
      <c r="O639" s="1" t="n">
        <f aca="false">IF($A639="","",SUMIFS(物件収支!$F:$F,物件収支!$A:$A,$A639,物件収支!$C:$C,$M639))</f>
        <v>120306</v>
      </c>
      <c r="P639" s="1" t="n">
        <f aca="false">IF($A639="","",SUMIFS(物件収支!$I:$I,物件収支!$A:$A,$A639,物件収支!$C:$C,$M639))</f>
        <v>0</v>
      </c>
      <c r="Q639" s="1" t="n">
        <f aca="false">IF($A639="","",SUMIFS(物件収支!$O:$O,物件収支!$A:$A,$A639,物件収支!$C:$C,$M639))</f>
        <v>0</v>
      </c>
      <c r="R639" s="1" t="str">
        <f aca="false">IF($A639="","",IF(P639=0,"",O639-P639))</f>
        <v/>
      </c>
      <c r="S639" s="1" t="str">
        <f aca="false">IF($A639="","",IF(R639="","",R639+Q639))</f>
        <v/>
      </c>
      <c r="T639" s="1" t="str">
        <f aca="false">IF($A639="","",IF(OR(S639="",N639&lt;=0),"",S639/1000*12/N639))</f>
        <v/>
      </c>
      <c r="U639" s="1" t="str">
        <f aca="false">IF($A639="","",IF(OR(T639="",J639=0,J639=""),"",T639/J639))</f>
        <v/>
      </c>
      <c r="V639" s="1" t="str">
        <f aca="false">IF($A639="","",IF(OR(R639="",N639&lt;=0,J639=0,J639=""),"",(R639/1000*12/N639)/J639))</f>
        <v/>
      </c>
      <c r="W639" s="1" t="str">
        <f aca="false">IF($A639="","",IF(OR(T639="",K639=0,K639=""),"",T639/K639))</f>
        <v/>
      </c>
      <c r="X639" s="1" t="n">
        <f aca="false">IF($A639="","",IF(OR(N639&lt;=0,I639=0,I639="",O639=0),"",O639*1000/(I639*0.3025)/N639))</f>
        <v>18315.385949534</v>
      </c>
      <c r="Y639" s="1" t="str">
        <f aca="false">IF($A639="","",IF(OR(O639=0,O639="",P639=0),"",P639/O639))</f>
        <v/>
      </c>
      <c r="Z639" s="1" t="str">
        <f aca="false">IF($A639="","",IFERROR(INDEX(物件収支!$E:$E,MATCH($A639,物件収支!$A:$A,0)),""))</f>
        <v>開示（物件別・収益のみ）</v>
      </c>
    </row>
    <row r="640" customFormat="false" ht="15" hidden="false" customHeight="true" outlineLevel="0" collapsed="false">
      <c r="A640" s="1" t="str">
        <f aca="false">IF(物件マスタ!A640="","",物件マスタ!A640)</f>
        <v>HFR-039</v>
      </c>
      <c r="B640" s="1" t="str">
        <f aca="false">IF($A640="","",物件マスタ!B640)</f>
        <v>HFR</v>
      </c>
      <c r="C640" s="1" t="str">
        <f aca="false">IF($A640="","",IFERROR(INDEX(法人マスタ!$C:$C,MATCH($B640,法人マスタ!$A:$A,0)),""))</f>
        <v>平和不動産リート投資法人</v>
      </c>
      <c r="D640" s="1" t="str">
        <f aca="false">IF($A640="","",物件マスタ!C640)</f>
        <v>平和不動産北浜ビル</v>
      </c>
      <c r="E640" s="1" t="str">
        <f aca="false">IF($A640="","",物件マスタ!H640)</f>
        <v>その他3大都市圏</v>
      </c>
      <c r="F640" s="1" t="n">
        <f aca="false">IF($A640="","",物件マスタ!P640)</f>
        <v>0</v>
      </c>
      <c r="G640" s="1" t="str">
        <f aca="false">IF($A640="","",物件マスタ!Q640)</f>
        <v/>
      </c>
      <c r="H640" s="1" t="n">
        <f aca="false">IF($A640="","",物件マスタ!L640)</f>
        <v>0</v>
      </c>
      <c r="I640" s="1" t="n">
        <f aca="false">IF($A640="","",物件マスタ!M640)</f>
        <v>1623.62</v>
      </c>
      <c r="J640" s="1" t="n">
        <f aca="false">IF($A640="","",物件マスタ!S640)</f>
        <v>1650</v>
      </c>
      <c r="K640" s="1" t="n">
        <f aca="false">IF($A640="","",物件マスタ!U640)</f>
        <v>1830</v>
      </c>
      <c r="L640" s="1" t="n">
        <f aca="false">IF($A640="","",物件マスタ!W640)</f>
        <v>1</v>
      </c>
      <c r="M640" s="1" t="str">
        <f aca="false">IF($A640="","",IFERROR(INDEX(法人マスタ!$H:$H,MATCH($B640,法人マスタ!$A:$A,0)),""))</f>
        <v>2026年5月期（第49期）</v>
      </c>
      <c r="N640" s="1" t="n">
        <f aca="false">IF($A640="","",SUMIFS(物件収支!$D:$D,物件収支!$A:$A,$A640,物件収支!$C:$C,$M640))</f>
        <v>6</v>
      </c>
      <c r="O640" s="1" t="n">
        <f aca="false">IF($A640="","",SUMIFS(物件収支!$F:$F,物件収支!$A:$A,$A640,物件収支!$C:$C,$M640))</f>
        <v>51946</v>
      </c>
      <c r="P640" s="1" t="n">
        <f aca="false">IF($A640="","",SUMIFS(物件収支!$I:$I,物件収支!$A:$A,$A640,物件収支!$C:$C,$M640))</f>
        <v>0</v>
      </c>
      <c r="Q640" s="1" t="n">
        <f aca="false">IF($A640="","",SUMIFS(物件収支!$O:$O,物件収支!$A:$A,$A640,物件収支!$C:$C,$M640))</f>
        <v>0</v>
      </c>
      <c r="R640" s="1" t="str">
        <f aca="false">IF($A640="","",IF(P640=0,"",O640-P640))</f>
        <v/>
      </c>
      <c r="S640" s="1" t="str">
        <f aca="false">IF($A640="","",IF(R640="","",R640+Q640))</f>
        <v/>
      </c>
      <c r="T640" s="1" t="str">
        <f aca="false">IF($A640="","",IF(OR(S640="",N640&lt;=0),"",S640/1000*12/N640))</f>
        <v/>
      </c>
      <c r="U640" s="1" t="str">
        <f aca="false">IF($A640="","",IF(OR(T640="",J640=0,J640=""),"",T640/J640))</f>
        <v/>
      </c>
      <c r="V640" s="1" t="str">
        <f aca="false">IF($A640="","",IF(OR(R640="",N640&lt;=0,J640=0,J640=""),"",(R640/1000*12/N640)/J640))</f>
        <v/>
      </c>
      <c r="W640" s="1" t="str">
        <f aca="false">IF($A640="","",IF(OR(T640="",K640=0,K640=""),"",T640/K640))</f>
        <v/>
      </c>
      <c r="X640" s="1" t="n">
        <f aca="false">IF($A640="","",IF(OR(N640&lt;=0,I640=0,I640="",O640=0),"",O640*1000/(I640*0.3025)/N640))</f>
        <v>17627.51485873</v>
      </c>
      <c r="Y640" s="1" t="str">
        <f aca="false">IF($A640="","",IF(OR(O640=0,O640="",P640=0),"",P640/O640))</f>
        <v/>
      </c>
      <c r="Z640" s="1" t="str">
        <f aca="false">IF($A640="","",IFERROR(INDEX(物件収支!$E:$E,MATCH($A640,物件収支!$A:$A,0)),""))</f>
        <v>開示（物件別・収益のみ）</v>
      </c>
    </row>
    <row r="641" customFormat="false" ht="15" hidden="false" customHeight="true" outlineLevel="0" collapsed="false">
      <c r="A641" s="1" t="str">
        <f aca="false">IF(物件マスタ!A641="","",物件マスタ!A641)</f>
        <v>HFR-040</v>
      </c>
      <c r="B641" s="1" t="str">
        <f aca="false">IF($A641="","",物件マスタ!B641)</f>
        <v>HFR</v>
      </c>
      <c r="C641" s="1" t="str">
        <f aca="false">IF($A641="","",IFERROR(INDEX(法人マスタ!$C:$C,MATCH($B641,法人マスタ!$A:$A,0)),""))</f>
        <v>平和不動産リート投資法人</v>
      </c>
      <c r="D641" s="1" t="str">
        <f aca="false">IF($A641="","",物件マスタ!C641)</f>
        <v>ＨＦ横浜山下ビルディング</v>
      </c>
      <c r="E641" s="1" t="str">
        <f aca="false">IF($A641="","",物件マスタ!H641)</f>
        <v>東京周辺都市部</v>
      </c>
      <c r="F641" s="1" t="n">
        <f aca="false">IF($A641="","",物件マスタ!P641)</f>
        <v>0</v>
      </c>
      <c r="G641" s="1" t="str">
        <f aca="false">IF($A641="","",物件マスタ!Q641)</f>
        <v/>
      </c>
      <c r="H641" s="1" t="n">
        <f aca="false">IF($A641="","",物件マスタ!L641)</f>
        <v>0</v>
      </c>
      <c r="I641" s="1" t="n">
        <f aca="false">IF($A641="","",物件マスタ!M641)</f>
        <v>4446.52</v>
      </c>
      <c r="J641" s="1" t="n">
        <f aca="false">IF($A641="","",物件マスタ!S641)</f>
        <v>3800</v>
      </c>
      <c r="K641" s="1" t="n">
        <f aca="false">IF($A641="","",物件マスタ!U641)</f>
        <v>4040</v>
      </c>
      <c r="L641" s="1" t="n">
        <f aca="false">IF($A641="","",物件マスタ!W641)</f>
        <v>1</v>
      </c>
      <c r="M641" s="1" t="str">
        <f aca="false">IF($A641="","",IFERROR(INDEX(法人マスタ!$H:$H,MATCH($B641,法人マスタ!$A:$A,0)),""))</f>
        <v>2026年5月期（第49期）</v>
      </c>
      <c r="N641" s="1" t="n">
        <f aca="false">IF($A641="","",SUMIFS(物件収支!$D:$D,物件収支!$A:$A,$A641,物件収支!$C:$C,$M641))</f>
        <v>6</v>
      </c>
      <c r="O641" s="1" t="n">
        <f aca="false">IF($A641="","",SUMIFS(物件収支!$F:$F,物件収支!$A:$A,$A641,物件収支!$C:$C,$M641))</f>
        <v>107356</v>
      </c>
      <c r="P641" s="1" t="n">
        <f aca="false">IF($A641="","",SUMIFS(物件収支!$I:$I,物件収支!$A:$A,$A641,物件収支!$C:$C,$M641))</f>
        <v>0</v>
      </c>
      <c r="Q641" s="1" t="n">
        <f aca="false">IF($A641="","",SUMIFS(物件収支!$O:$O,物件収支!$A:$A,$A641,物件収支!$C:$C,$M641))</f>
        <v>0</v>
      </c>
      <c r="R641" s="1" t="str">
        <f aca="false">IF($A641="","",IF(P641=0,"",O641-P641))</f>
        <v/>
      </c>
      <c r="S641" s="1" t="str">
        <f aca="false">IF($A641="","",IF(R641="","",R641+Q641))</f>
        <v/>
      </c>
      <c r="T641" s="1" t="str">
        <f aca="false">IF($A641="","",IF(OR(S641="",N641&lt;=0),"",S641/1000*12/N641))</f>
        <v/>
      </c>
      <c r="U641" s="1" t="str">
        <f aca="false">IF($A641="","",IF(OR(T641="",J641=0,J641=""),"",T641/J641))</f>
        <v/>
      </c>
      <c r="V641" s="1" t="str">
        <f aca="false">IF($A641="","",IF(OR(R641="",N641&lt;=0,J641=0,J641=""),"",(R641/1000*12/N641)/J641))</f>
        <v/>
      </c>
      <c r="W641" s="1" t="str">
        <f aca="false">IF($A641="","",IF(OR(T641="",K641=0,K641=""),"",T641/K641))</f>
        <v/>
      </c>
      <c r="X641" s="1" t="n">
        <f aca="false">IF($A641="","",IF(OR(N641&lt;=0,I641=0,I641="",O641=0),"",O641*1000/(I641*0.3025)/N641))</f>
        <v>13302.3828285414</v>
      </c>
      <c r="Y641" s="1" t="str">
        <f aca="false">IF($A641="","",IF(OR(O641=0,O641="",P641=0),"",P641/O641))</f>
        <v/>
      </c>
      <c r="Z641" s="1" t="str">
        <f aca="false">IF($A641="","",IFERROR(INDEX(物件収支!$E:$E,MATCH($A641,物件収支!$A:$A,0)),""))</f>
        <v>開示（物件別・収益のみ）</v>
      </c>
    </row>
    <row r="642" customFormat="false" ht="15" hidden="false" customHeight="true" outlineLevel="0" collapsed="false">
      <c r="A642" s="1" t="str">
        <f aca="false">IF(物件マスタ!A642="","",物件マスタ!A642)</f>
        <v>HFR-041</v>
      </c>
      <c r="B642" s="1" t="str">
        <f aca="false">IF($A642="","",物件マスタ!B642)</f>
        <v>HFR</v>
      </c>
      <c r="C642" s="1" t="str">
        <f aca="false">IF($A642="","",IFERROR(INDEX(法人マスタ!$C:$C,MATCH($B642,法人マスタ!$A:$A,0)),""))</f>
        <v>平和不動産リート投資法人</v>
      </c>
      <c r="D642" s="1" t="str">
        <f aca="false">IF($A642="","",物件マスタ!C642)</f>
        <v>ＨＦ江坂駅前ビルディング</v>
      </c>
      <c r="E642" s="1" t="str">
        <f aca="false">IF($A642="","",物件マスタ!H642)</f>
        <v>その他3大都市圏</v>
      </c>
      <c r="F642" s="1" t="n">
        <f aca="false">IF($A642="","",物件マスタ!P642)</f>
        <v>0</v>
      </c>
      <c r="G642" s="1" t="str">
        <f aca="false">IF($A642="","",物件マスタ!Q642)</f>
        <v/>
      </c>
      <c r="H642" s="1" t="n">
        <f aca="false">IF($A642="","",物件マスタ!L642)</f>
        <v>0</v>
      </c>
      <c r="I642" s="1" t="n">
        <f aca="false">IF($A642="","",物件マスタ!M642)</f>
        <v>7510.27</v>
      </c>
      <c r="J642" s="1" t="n">
        <f aca="false">IF($A642="","",物件マスタ!S642)</f>
        <v>5001</v>
      </c>
      <c r="K642" s="1" t="n">
        <f aca="false">IF($A642="","",物件マスタ!U642)</f>
        <v>5860</v>
      </c>
      <c r="L642" s="1" t="n">
        <f aca="false">IF($A642="","",物件マスタ!W642)</f>
        <v>1</v>
      </c>
      <c r="M642" s="1" t="str">
        <f aca="false">IF($A642="","",IFERROR(INDEX(法人マスタ!$H:$H,MATCH($B642,法人マスタ!$A:$A,0)),""))</f>
        <v>2026年5月期（第49期）</v>
      </c>
      <c r="N642" s="1" t="n">
        <f aca="false">IF($A642="","",SUMIFS(物件収支!$D:$D,物件収支!$A:$A,$A642,物件収支!$C:$C,$M642))</f>
        <v>6</v>
      </c>
      <c r="O642" s="1" t="n">
        <f aca="false">IF($A642="","",SUMIFS(物件収支!$F:$F,物件収支!$A:$A,$A642,物件収支!$C:$C,$M642))</f>
        <v>158639</v>
      </c>
      <c r="P642" s="1" t="n">
        <f aca="false">IF($A642="","",SUMIFS(物件収支!$I:$I,物件収支!$A:$A,$A642,物件収支!$C:$C,$M642))</f>
        <v>0</v>
      </c>
      <c r="Q642" s="1" t="n">
        <f aca="false">IF($A642="","",SUMIFS(物件収支!$O:$O,物件収支!$A:$A,$A642,物件収支!$C:$C,$M642))</f>
        <v>0</v>
      </c>
      <c r="R642" s="1" t="str">
        <f aca="false">IF($A642="","",IF(P642=0,"",O642-P642))</f>
        <v/>
      </c>
      <c r="S642" s="1" t="str">
        <f aca="false">IF($A642="","",IF(R642="","",R642+Q642))</f>
        <v/>
      </c>
      <c r="T642" s="1" t="str">
        <f aca="false">IF($A642="","",IF(OR(S642="",N642&lt;=0),"",S642/1000*12/N642))</f>
        <v/>
      </c>
      <c r="U642" s="1" t="str">
        <f aca="false">IF($A642="","",IF(OR(T642="",J642=0,J642=""),"",T642/J642))</f>
        <v/>
      </c>
      <c r="V642" s="1" t="str">
        <f aca="false">IF($A642="","",IF(OR(R642="",N642&lt;=0,J642=0,J642=""),"",(R642/1000*12/N642)/J642))</f>
        <v/>
      </c>
      <c r="W642" s="1" t="str">
        <f aca="false">IF($A642="","",IF(OR(T642="",K642=0,K642=""),"",T642/K642))</f>
        <v/>
      </c>
      <c r="X642" s="1" t="n">
        <f aca="false">IF($A642="","",IF(OR(N642&lt;=0,I642=0,I642="",O642=0),"",O642*1000/(I642*0.3025)/N642))</f>
        <v>11637.9847480182</v>
      </c>
      <c r="Y642" s="1" t="str">
        <f aca="false">IF($A642="","",IF(OR(O642=0,O642="",P642=0),"",P642/O642))</f>
        <v/>
      </c>
      <c r="Z642" s="1" t="str">
        <f aca="false">IF($A642="","",IFERROR(INDEX(物件収支!$E:$E,MATCH($A642,物件収支!$A:$A,0)),""))</f>
        <v>開示（物件別・収益のみ）</v>
      </c>
    </row>
    <row r="643" customFormat="false" ht="15" hidden="false" customHeight="true" outlineLevel="0" collapsed="false">
      <c r="A643" s="1" t="str">
        <f aca="false">IF(物件マスタ!A643="","",物件マスタ!A643)</f>
        <v>HFR-042</v>
      </c>
      <c r="B643" s="1" t="str">
        <f aca="false">IF($A643="","",物件マスタ!B643)</f>
        <v>HFR</v>
      </c>
      <c r="C643" s="1" t="str">
        <f aca="false">IF($A643="","",IFERROR(INDEX(法人マスタ!$C:$C,MATCH($B643,法人マスタ!$A:$A,0)),""))</f>
        <v>平和不動産リート投資法人</v>
      </c>
      <c r="D643" s="1" t="str">
        <f aca="false">IF($A643="","",物件マスタ!C643)</f>
        <v>ＨＦ北二条ビルディング</v>
      </c>
      <c r="E643" s="1" t="str">
        <f aca="false">IF($A643="","",物件マスタ!H643)</f>
        <v>3大都市圏以外の政令市</v>
      </c>
      <c r="F643" s="1" t="n">
        <f aca="false">IF($A643="","",物件マスタ!P643)</f>
        <v>0</v>
      </c>
      <c r="G643" s="1" t="str">
        <f aca="false">IF($A643="","",物件マスタ!Q643)</f>
        <v/>
      </c>
      <c r="H643" s="1" t="n">
        <f aca="false">IF($A643="","",物件マスタ!L643)</f>
        <v>0</v>
      </c>
      <c r="I643" s="1" t="n">
        <f aca="false">IF($A643="","",物件マスタ!M643)</f>
        <v>2070.85</v>
      </c>
      <c r="J643" s="1" t="n">
        <f aca="false">IF($A643="","",物件マスタ!S643)</f>
        <v>1535</v>
      </c>
      <c r="K643" s="1" t="n">
        <f aca="false">IF($A643="","",物件マスタ!U643)</f>
        <v>1640</v>
      </c>
      <c r="L643" s="1" t="n">
        <f aca="false">IF($A643="","",物件マスタ!W643)</f>
        <v>1</v>
      </c>
      <c r="M643" s="1" t="str">
        <f aca="false">IF($A643="","",IFERROR(INDEX(法人マスタ!$H:$H,MATCH($B643,法人マスタ!$A:$A,0)),""))</f>
        <v>2026年5月期（第49期）</v>
      </c>
      <c r="N643" s="1" t="n">
        <f aca="false">IF($A643="","",SUMIFS(物件収支!$D:$D,物件収支!$A:$A,$A643,物件収支!$C:$C,$M643))</f>
        <v>6</v>
      </c>
      <c r="O643" s="1" t="n">
        <f aca="false">IF($A643="","",SUMIFS(物件収支!$F:$F,物件収支!$A:$A,$A643,物件収支!$C:$C,$M643))</f>
        <v>51789</v>
      </c>
      <c r="P643" s="1" t="n">
        <f aca="false">IF($A643="","",SUMIFS(物件収支!$I:$I,物件収支!$A:$A,$A643,物件収支!$C:$C,$M643))</f>
        <v>0</v>
      </c>
      <c r="Q643" s="1" t="n">
        <f aca="false">IF($A643="","",SUMIFS(物件収支!$O:$O,物件収支!$A:$A,$A643,物件収支!$C:$C,$M643))</f>
        <v>0</v>
      </c>
      <c r="R643" s="1" t="str">
        <f aca="false">IF($A643="","",IF(P643=0,"",O643-P643))</f>
        <v/>
      </c>
      <c r="S643" s="1" t="str">
        <f aca="false">IF($A643="","",IF(R643="","",R643+Q643))</f>
        <v/>
      </c>
      <c r="T643" s="1" t="str">
        <f aca="false">IF($A643="","",IF(OR(S643="",N643&lt;=0),"",S643/1000*12/N643))</f>
        <v/>
      </c>
      <c r="U643" s="1" t="str">
        <f aca="false">IF($A643="","",IF(OR(T643="",J643=0,J643=""),"",T643/J643))</f>
        <v/>
      </c>
      <c r="V643" s="1" t="str">
        <f aca="false">IF($A643="","",IF(OR(R643="",N643&lt;=0,J643=0,J643=""),"",(R643/1000*12/N643)/J643))</f>
        <v/>
      </c>
      <c r="W643" s="1" t="str">
        <f aca="false">IF($A643="","",IF(OR(T643="",K643=0,K643=""),"",T643/K643))</f>
        <v/>
      </c>
      <c r="X643" s="1" t="n">
        <f aca="false">IF($A643="","",IF(OR(N643&lt;=0,I643=0,I643="",O643=0),"",O643*1000/(I643*0.3025)/N643))</f>
        <v>13778.8271953645</v>
      </c>
      <c r="Y643" s="1" t="str">
        <f aca="false">IF($A643="","",IF(OR(O643=0,O643="",P643=0),"",P643/O643))</f>
        <v/>
      </c>
      <c r="Z643" s="1" t="str">
        <f aca="false">IF($A643="","",IFERROR(INDEX(物件収支!$E:$E,MATCH($A643,物件収支!$A:$A,0)),""))</f>
        <v>開示（物件別・収益のみ）</v>
      </c>
    </row>
    <row r="644" customFormat="false" ht="15" hidden="false" customHeight="true" outlineLevel="0" collapsed="false">
      <c r="A644" s="1" t="str">
        <f aca="false">IF(物件マスタ!A644="","",物件マスタ!A644)</f>
        <v>HFR-043</v>
      </c>
      <c r="B644" s="1" t="str">
        <f aca="false">IF($A644="","",物件マスタ!B644)</f>
        <v>HFR</v>
      </c>
      <c r="C644" s="1" t="str">
        <f aca="false">IF($A644="","",IFERROR(INDEX(法人マスタ!$C:$C,MATCH($B644,法人マスタ!$A:$A,0)),""))</f>
        <v>平和不動産リート投資法人</v>
      </c>
      <c r="D644" s="1" t="str">
        <f aca="false">IF($A644="","",物件マスタ!C644)</f>
        <v>パークイースト札幌</v>
      </c>
      <c r="E644" s="1" t="str">
        <f aca="false">IF($A644="","",物件マスタ!H644)</f>
        <v>3大都市圏以外の政令市</v>
      </c>
      <c r="F644" s="1" t="n">
        <f aca="false">IF($A644="","",物件マスタ!P644)</f>
        <v>0</v>
      </c>
      <c r="G644" s="1" t="str">
        <f aca="false">IF($A644="","",物件マスタ!Q644)</f>
        <v/>
      </c>
      <c r="H644" s="1" t="n">
        <f aca="false">IF($A644="","",物件マスタ!L644)</f>
        <v>0</v>
      </c>
      <c r="I644" s="1" t="n">
        <f aca="false">IF($A644="","",物件マスタ!M644)</f>
        <v>5337.38</v>
      </c>
      <c r="J644" s="1" t="n">
        <f aca="false">IF($A644="","",物件マスタ!S644)</f>
        <v>4140</v>
      </c>
      <c r="K644" s="1" t="n">
        <f aca="false">IF($A644="","",物件マスタ!U644)</f>
        <v>5326</v>
      </c>
      <c r="L644" s="1" t="n">
        <f aca="false">IF($A644="","",物件マスタ!W644)</f>
        <v>1</v>
      </c>
      <c r="M644" s="1" t="str">
        <f aca="false">IF($A644="","",IFERROR(INDEX(法人マスタ!$H:$H,MATCH($B644,法人マスタ!$A:$A,0)),""))</f>
        <v>2026年5月期（第49期）</v>
      </c>
      <c r="N644" s="1" t="n">
        <f aca="false">IF($A644="","",SUMIFS(物件収支!$D:$D,物件収支!$A:$A,$A644,物件収支!$C:$C,$M644))</f>
        <v>6</v>
      </c>
      <c r="O644" s="1" t="n">
        <f aca="false">IF($A644="","",SUMIFS(物件収支!$F:$F,物件収支!$A:$A,$A644,物件収支!$C:$C,$M644))</f>
        <v>137300</v>
      </c>
      <c r="P644" s="1" t="n">
        <f aca="false">IF($A644="","",SUMIFS(物件収支!$I:$I,物件収支!$A:$A,$A644,物件収支!$C:$C,$M644))</f>
        <v>0</v>
      </c>
      <c r="Q644" s="1" t="n">
        <f aca="false">IF($A644="","",SUMIFS(物件収支!$O:$O,物件収支!$A:$A,$A644,物件収支!$C:$C,$M644))</f>
        <v>0</v>
      </c>
      <c r="R644" s="1" t="str">
        <f aca="false">IF($A644="","",IF(P644=0,"",O644-P644))</f>
        <v/>
      </c>
      <c r="S644" s="1" t="str">
        <f aca="false">IF($A644="","",IF(R644="","",R644+Q644))</f>
        <v/>
      </c>
      <c r="T644" s="1" t="str">
        <f aca="false">IF($A644="","",IF(OR(S644="",N644&lt;=0),"",S644/1000*12/N644))</f>
        <v/>
      </c>
      <c r="U644" s="1" t="str">
        <f aca="false">IF($A644="","",IF(OR(T644="",J644=0,J644=""),"",T644/J644))</f>
        <v/>
      </c>
      <c r="V644" s="1" t="str">
        <f aca="false">IF($A644="","",IF(OR(R644="",N644&lt;=0,J644=0,J644=""),"",(R644/1000*12/N644)/J644))</f>
        <v/>
      </c>
      <c r="W644" s="1" t="str">
        <f aca="false">IF($A644="","",IF(OR(T644="",K644=0,K644=""),"",T644/K644))</f>
        <v/>
      </c>
      <c r="X644" s="1" t="n">
        <f aca="false">IF($A644="","",IF(OR(N644&lt;=0,I644=0,I644="",O644=0),"",O644*1000/(I644*0.3025)/N644))</f>
        <v>14173.1304348033</v>
      </c>
      <c r="Y644" s="1" t="str">
        <f aca="false">IF($A644="","",IF(OR(O644=0,O644="",P644=0),"",P644/O644))</f>
        <v/>
      </c>
      <c r="Z644" s="1" t="str">
        <f aca="false">IF($A644="","",IFERROR(INDEX(物件収支!$E:$E,MATCH($A644,物件収支!$A:$A,0)),""))</f>
        <v>開示（物件別・収益のみ）</v>
      </c>
    </row>
    <row r="645" customFormat="false" ht="15" hidden="false" customHeight="true" outlineLevel="0" collapsed="false">
      <c r="A645" s="1" t="str">
        <f aca="false">IF(物件マスタ!A645="","",物件マスタ!A645)</f>
        <v>HFR-044</v>
      </c>
      <c r="B645" s="1" t="str">
        <f aca="false">IF($A645="","",物件マスタ!B645)</f>
        <v>HFR</v>
      </c>
      <c r="C645" s="1" t="str">
        <f aca="false">IF($A645="","",IFERROR(INDEX(法人マスタ!$C:$C,MATCH($B645,法人マスタ!$A:$A,0)),""))</f>
        <v>平和不動産リート投資法人</v>
      </c>
      <c r="D645" s="1" t="str">
        <f aca="false">IF($A645="","",物件マスタ!C645)</f>
        <v>ＨＦ京町堀ビルディング</v>
      </c>
      <c r="E645" s="1" t="str">
        <f aca="false">IF($A645="","",物件マスタ!H645)</f>
        <v>その他3大都市圏</v>
      </c>
      <c r="F645" s="1" t="n">
        <f aca="false">IF($A645="","",物件マスタ!P645)</f>
        <v>0</v>
      </c>
      <c r="G645" s="1" t="str">
        <f aca="false">IF($A645="","",物件マスタ!Q645)</f>
        <v/>
      </c>
      <c r="H645" s="1" t="n">
        <f aca="false">IF($A645="","",物件マスタ!L645)</f>
        <v>0</v>
      </c>
      <c r="I645" s="1" t="n">
        <f aca="false">IF($A645="","",物件マスタ!M645)</f>
        <v>3713.74</v>
      </c>
      <c r="J645" s="1" t="n">
        <f aca="false">IF($A645="","",物件マスタ!S645)</f>
        <v>3385</v>
      </c>
      <c r="K645" s="1" t="n">
        <f aca="false">IF($A645="","",物件マスタ!U645)</f>
        <v>3710</v>
      </c>
      <c r="L645" s="1" t="n">
        <f aca="false">IF($A645="","",物件マスタ!W645)</f>
        <v>1</v>
      </c>
      <c r="M645" s="1" t="str">
        <f aca="false">IF($A645="","",IFERROR(INDEX(法人マスタ!$H:$H,MATCH($B645,法人マスタ!$A:$A,0)),""))</f>
        <v>2026年5月期（第49期）</v>
      </c>
      <c r="N645" s="1" t="n">
        <f aca="false">IF($A645="","",SUMIFS(物件収支!$D:$D,物件収支!$A:$A,$A645,物件収支!$C:$C,$M645))</f>
        <v>6</v>
      </c>
      <c r="O645" s="1" t="n">
        <f aca="false">IF($A645="","",SUMIFS(物件収支!$F:$F,物件収支!$A:$A,$A645,物件収支!$C:$C,$M645))</f>
        <v>90178</v>
      </c>
      <c r="P645" s="1" t="n">
        <f aca="false">IF($A645="","",SUMIFS(物件収支!$I:$I,物件収支!$A:$A,$A645,物件収支!$C:$C,$M645))</f>
        <v>0</v>
      </c>
      <c r="Q645" s="1" t="n">
        <f aca="false">IF($A645="","",SUMIFS(物件収支!$O:$O,物件収支!$A:$A,$A645,物件収支!$C:$C,$M645))</f>
        <v>0</v>
      </c>
      <c r="R645" s="1" t="str">
        <f aca="false">IF($A645="","",IF(P645=0,"",O645-P645))</f>
        <v/>
      </c>
      <c r="S645" s="1" t="str">
        <f aca="false">IF($A645="","",IF(R645="","",R645+Q645))</f>
        <v/>
      </c>
      <c r="T645" s="1" t="str">
        <f aca="false">IF($A645="","",IF(OR(S645="",N645&lt;=0),"",S645/1000*12/N645))</f>
        <v/>
      </c>
      <c r="U645" s="1" t="str">
        <f aca="false">IF($A645="","",IF(OR(T645="",J645=0,J645=""),"",T645/J645))</f>
        <v/>
      </c>
      <c r="V645" s="1" t="str">
        <f aca="false">IF($A645="","",IF(OR(R645="",N645&lt;=0,J645=0,J645=""),"",(R645/1000*12/N645)/J645))</f>
        <v/>
      </c>
      <c r="W645" s="1" t="str">
        <f aca="false">IF($A645="","",IF(OR(T645="",K645=0,K645=""),"",T645/K645))</f>
        <v/>
      </c>
      <c r="X645" s="1" t="n">
        <f aca="false">IF($A645="","",IF(OR(N645&lt;=0,I645=0,I645="",O645=0),"",O645*1000/(I645*0.3025)/N645))</f>
        <v>13378.6556099373</v>
      </c>
      <c r="Y645" s="1" t="str">
        <f aca="false">IF($A645="","",IF(OR(O645=0,O645="",P645=0),"",P645/O645))</f>
        <v/>
      </c>
      <c r="Z645" s="1" t="str">
        <f aca="false">IF($A645="","",IFERROR(INDEX(物件収支!$E:$E,MATCH($A645,物件収支!$A:$A,0)),""))</f>
        <v>開示（物件別・収益のみ）</v>
      </c>
    </row>
    <row r="646" customFormat="false" ht="15" hidden="false" customHeight="true" outlineLevel="0" collapsed="false">
      <c r="A646" s="1" t="str">
        <f aca="false">IF(物件マスタ!A646="","",物件マスタ!A646)</f>
        <v>HFR-045</v>
      </c>
      <c r="B646" s="1" t="str">
        <f aca="false">IF($A646="","",物件マスタ!B646)</f>
        <v>HFR</v>
      </c>
      <c r="C646" s="1" t="str">
        <f aca="false">IF($A646="","",IFERROR(INDEX(法人マスタ!$C:$C,MATCH($B646,法人マスタ!$A:$A,0)),""))</f>
        <v>平和不動産リート投資法人</v>
      </c>
      <c r="D646" s="1" t="str">
        <f aca="false">IF($A646="","",物件マスタ!C646)</f>
        <v>ルーシッドスクエア船場</v>
      </c>
      <c r="E646" s="1" t="str">
        <f aca="false">IF($A646="","",物件マスタ!H646)</f>
        <v>その他3大都市圏</v>
      </c>
      <c r="F646" s="1" t="n">
        <f aca="false">IF($A646="","",物件マスタ!P646)</f>
        <v>0</v>
      </c>
      <c r="G646" s="1" t="str">
        <f aca="false">IF($A646="","",物件マスタ!Q646)</f>
        <v/>
      </c>
      <c r="H646" s="1" t="n">
        <f aca="false">IF($A646="","",物件マスタ!L646)</f>
        <v>0</v>
      </c>
      <c r="I646" s="1" t="n">
        <f aca="false">IF($A646="","",物件マスタ!M646)</f>
        <v>4451.56</v>
      </c>
      <c r="J646" s="1" t="n">
        <f aca="false">IF($A646="","",物件マスタ!S646)</f>
        <v>4720</v>
      </c>
      <c r="K646" s="1" t="n">
        <f aca="false">IF($A646="","",物件マスタ!U646)</f>
        <v>5210</v>
      </c>
      <c r="L646" s="1" t="n">
        <f aca="false">IF($A646="","",物件マスタ!W646)</f>
        <v>1</v>
      </c>
      <c r="M646" s="1" t="str">
        <f aca="false">IF($A646="","",IFERROR(INDEX(法人マスタ!$H:$H,MATCH($B646,法人マスタ!$A:$A,0)),""))</f>
        <v>2026年5月期（第49期）</v>
      </c>
      <c r="N646" s="1" t="n">
        <f aca="false">IF($A646="","",SUMIFS(物件収支!$D:$D,物件収支!$A:$A,$A646,物件収支!$C:$C,$M646))</f>
        <v>6</v>
      </c>
      <c r="O646" s="1" t="n">
        <f aca="false">IF($A646="","",SUMIFS(物件収支!$F:$F,物件収支!$A:$A,$A646,物件収支!$C:$C,$M646))</f>
        <v>124953</v>
      </c>
      <c r="P646" s="1" t="n">
        <f aca="false">IF($A646="","",SUMIFS(物件収支!$I:$I,物件収支!$A:$A,$A646,物件収支!$C:$C,$M646))</f>
        <v>0</v>
      </c>
      <c r="Q646" s="1" t="n">
        <f aca="false">IF($A646="","",SUMIFS(物件収支!$O:$O,物件収支!$A:$A,$A646,物件収支!$C:$C,$M646))</f>
        <v>0</v>
      </c>
      <c r="R646" s="1" t="str">
        <f aca="false">IF($A646="","",IF(P646=0,"",O646-P646))</f>
        <v/>
      </c>
      <c r="S646" s="1" t="str">
        <f aca="false">IF($A646="","",IF(R646="","",R646+Q646))</f>
        <v/>
      </c>
      <c r="T646" s="1" t="str">
        <f aca="false">IF($A646="","",IF(OR(S646="",N646&lt;=0),"",S646/1000*12/N646))</f>
        <v/>
      </c>
      <c r="U646" s="1" t="str">
        <f aca="false">IF($A646="","",IF(OR(T646="",J646=0,J646=""),"",T646/J646))</f>
        <v/>
      </c>
      <c r="V646" s="1" t="str">
        <f aca="false">IF($A646="","",IF(OR(R646="",N646&lt;=0,J646=0,J646=""),"",(R646/1000*12/N646)/J646))</f>
        <v/>
      </c>
      <c r="W646" s="1" t="str">
        <f aca="false">IF($A646="","",IF(OR(T646="",K646=0,K646=""),"",T646/K646))</f>
        <v/>
      </c>
      <c r="X646" s="1" t="n">
        <f aca="false">IF($A646="","",IF(OR(N646&lt;=0,I646=0,I646="",O646=0),"",O646*1000/(I646*0.3025)/N646))</f>
        <v>15465.2814067818</v>
      </c>
      <c r="Y646" s="1" t="str">
        <f aca="false">IF($A646="","",IF(OR(O646=0,O646="",P646=0),"",P646/O646))</f>
        <v/>
      </c>
      <c r="Z646" s="1" t="str">
        <f aca="false">IF($A646="","",IFERROR(INDEX(物件収支!$E:$E,MATCH($A646,物件収支!$A:$A,0)),""))</f>
        <v>開示（物件別・収益のみ）</v>
      </c>
    </row>
    <row r="647" customFormat="false" ht="15" hidden="false" customHeight="true" outlineLevel="0" collapsed="false">
      <c r="A647" s="1" t="str">
        <f aca="false">IF(物件マスタ!A647="","",物件マスタ!A647)</f>
        <v>HFR-046</v>
      </c>
      <c r="B647" s="1" t="str">
        <f aca="false">IF($A647="","",物件マスタ!B647)</f>
        <v>HFR</v>
      </c>
      <c r="C647" s="1" t="str">
        <f aca="false">IF($A647="","",IFERROR(INDEX(法人マスタ!$C:$C,MATCH($B647,法人マスタ!$A:$A,0)),""))</f>
        <v>平和不動産リート投資法人</v>
      </c>
      <c r="D647" s="1" t="str">
        <f aca="false">IF($A647="","",物件マスタ!C647)</f>
        <v>名古屋平和ビル</v>
      </c>
      <c r="E647" s="1" t="str">
        <f aca="false">IF($A647="","",物件マスタ!H647)</f>
        <v>その他3大都市圏</v>
      </c>
      <c r="F647" s="1" t="n">
        <f aca="false">IF($A647="","",物件マスタ!P647)</f>
        <v>0</v>
      </c>
      <c r="G647" s="1" t="str">
        <f aca="false">IF($A647="","",物件マスタ!Q647)</f>
        <v/>
      </c>
      <c r="H647" s="1" t="n">
        <f aca="false">IF($A647="","",物件マスタ!L647)</f>
        <v>0</v>
      </c>
      <c r="I647" s="1" t="n">
        <f aca="false">IF($A647="","",物件マスタ!M647)</f>
        <v>4043.34</v>
      </c>
      <c r="J647" s="1" t="n">
        <f aca="false">IF($A647="","",物件マスタ!S647)</f>
        <v>5110</v>
      </c>
      <c r="K647" s="1" t="n">
        <f aca="false">IF($A647="","",物件マスタ!U647)</f>
        <v>5453</v>
      </c>
      <c r="L647" s="1" t="n">
        <f aca="false">IF($A647="","",物件マスタ!W647)</f>
        <v>1</v>
      </c>
      <c r="M647" s="1" t="str">
        <f aca="false">IF($A647="","",IFERROR(INDEX(法人マスタ!$H:$H,MATCH($B647,法人マスタ!$A:$A,0)),""))</f>
        <v>2026年5月期（第49期）</v>
      </c>
      <c r="N647" s="1" t="n">
        <f aca="false">IF($A647="","",SUMIFS(物件収支!$D:$D,物件収支!$A:$A,$A647,物件収支!$C:$C,$M647))</f>
        <v>6</v>
      </c>
      <c r="O647" s="1" t="n">
        <f aca="false">IF($A647="","",SUMIFS(物件収支!$F:$F,物件収支!$A:$A,$A647,物件収支!$C:$C,$M647))</f>
        <v>71620</v>
      </c>
      <c r="P647" s="1" t="n">
        <f aca="false">IF($A647="","",SUMIFS(物件収支!$I:$I,物件収支!$A:$A,$A647,物件収支!$C:$C,$M647))</f>
        <v>0</v>
      </c>
      <c r="Q647" s="1" t="n">
        <f aca="false">IF($A647="","",SUMIFS(物件収支!$O:$O,物件収支!$A:$A,$A647,物件収支!$C:$C,$M647))</f>
        <v>0</v>
      </c>
      <c r="R647" s="1" t="str">
        <f aca="false">IF($A647="","",IF(P647=0,"",O647-P647))</f>
        <v/>
      </c>
      <c r="S647" s="1" t="str">
        <f aca="false">IF($A647="","",IF(R647="","",R647+Q647))</f>
        <v/>
      </c>
      <c r="T647" s="1" t="str">
        <f aca="false">IF($A647="","",IF(OR(S647="",N647&lt;=0),"",S647/1000*12/N647))</f>
        <v/>
      </c>
      <c r="U647" s="1" t="str">
        <f aca="false">IF($A647="","",IF(OR(T647="",J647=0,J647=""),"",T647/J647))</f>
        <v/>
      </c>
      <c r="V647" s="1" t="str">
        <f aca="false">IF($A647="","",IF(OR(R647="",N647&lt;=0,J647=0,J647=""),"",(R647/1000*12/N647)/J647))</f>
        <v/>
      </c>
      <c r="W647" s="1" t="str">
        <f aca="false">IF($A647="","",IF(OR(T647="",K647=0,K647=""),"",T647/K647))</f>
        <v/>
      </c>
      <c r="X647" s="1" t="n">
        <f aca="false">IF($A647="","",IF(OR(N647&lt;=0,I647=0,I647="",O647=0),"",O647*1000/(I647*0.3025)/N647))</f>
        <v>9759.27206132028</v>
      </c>
      <c r="Y647" s="1" t="str">
        <f aca="false">IF($A647="","",IF(OR(O647=0,O647="",P647=0),"",P647/O647))</f>
        <v/>
      </c>
      <c r="Z647" s="1" t="str">
        <f aca="false">IF($A647="","",IFERROR(INDEX(物件収支!$E:$E,MATCH($A647,物件収支!$A:$A,0)),""))</f>
        <v>開示（物件別・収益のみ）</v>
      </c>
    </row>
    <row r="648" customFormat="false" ht="15" hidden="false" customHeight="true" outlineLevel="0" collapsed="false">
      <c r="A648" s="1" t="str">
        <f aca="false">IF(物件マスタ!A648="","",物件マスタ!A648)</f>
        <v>HFR-047</v>
      </c>
      <c r="B648" s="1" t="str">
        <f aca="false">IF($A648="","",物件マスタ!B648)</f>
        <v>HFR</v>
      </c>
      <c r="C648" s="1" t="str">
        <f aca="false">IF($A648="","",IFERROR(INDEX(法人マスタ!$C:$C,MATCH($B648,法人マスタ!$A:$A,0)),""))</f>
        <v>平和不動産リート投資法人</v>
      </c>
      <c r="D648" s="1" t="str">
        <f aca="false">IF($A648="","",物件マスタ!C648)</f>
        <v>ＨＦ目黒レジデンス</v>
      </c>
      <c r="E648" s="1" t="str">
        <f aca="false">IF($A648="","",物件マスタ!H648)</f>
        <v>その他東京23区</v>
      </c>
      <c r="F648" s="1" t="n">
        <f aca="false">IF($A648="","",物件マスタ!P648)</f>
        <v>0</v>
      </c>
      <c r="G648" s="1" t="str">
        <f aca="false">IF($A648="","",物件マスタ!Q648)</f>
        <v/>
      </c>
      <c r="H648" s="1" t="n">
        <f aca="false">IF($A648="","",物件マスタ!L648)</f>
        <v>0</v>
      </c>
      <c r="I648" s="1" t="n">
        <f aca="false">IF($A648="","",物件マスタ!M648)</f>
        <v>836.36</v>
      </c>
      <c r="J648" s="1" t="n">
        <f aca="false">IF($A648="","",物件マスタ!S648)</f>
        <v>660</v>
      </c>
      <c r="K648" s="1" t="n">
        <f aca="false">IF($A648="","",物件マスタ!U648)</f>
        <v>891</v>
      </c>
      <c r="L648" s="1" t="n">
        <f aca="false">IF($A648="","",物件マスタ!W648)</f>
        <v>0.8501</v>
      </c>
      <c r="M648" s="1" t="str">
        <f aca="false">IF($A648="","",IFERROR(INDEX(法人マスタ!$H:$H,MATCH($B648,法人マスタ!$A:$A,0)),""))</f>
        <v>2026年5月期（第49期）</v>
      </c>
      <c r="N648" s="1" t="n">
        <f aca="false">IF($A648="","",SUMIFS(物件収支!$D:$D,物件収支!$A:$A,$A648,物件収支!$C:$C,$M648))</f>
        <v>6</v>
      </c>
      <c r="O648" s="1" t="n">
        <f aca="false">IF($A648="","",SUMIFS(物件収支!$F:$F,物件収支!$A:$A,$A648,物件収支!$C:$C,$M648))</f>
        <v>20323</v>
      </c>
      <c r="P648" s="1" t="n">
        <f aca="false">IF($A648="","",SUMIFS(物件収支!$I:$I,物件収支!$A:$A,$A648,物件収支!$C:$C,$M648))</f>
        <v>0</v>
      </c>
      <c r="Q648" s="1" t="n">
        <f aca="false">IF($A648="","",SUMIFS(物件収支!$O:$O,物件収支!$A:$A,$A648,物件収支!$C:$C,$M648))</f>
        <v>0</v>
      </c>
      <c r="R648" s="1" t="str">
        <f aca="false">IF($A648="","",IF(P648=0,"",O648-P648))</f>
        <v/>
      </c>
      <c r="S648" s="1" t="str">
        <f aca="false">IF($A648="","",IF(R648="","",R648+Q648))</f>
        <v/>
      </c>
      <c r="T648" s="1" t="str">
        <f aca="false">IF($A648="","",IF(OR(S648="",N648&lt;=0),"",S648/1000*12/N648))</f>
        <v/>
      </c>
      <c r="U648" s="1" t="str">
        <f aca="false">IF($A648="","",IF(OR(T648="",J648=0,J648=""),"",T648/J648))</f>
        <v/>
      </c>
      <c r="V648" s="1" t="str">
        <f aca="false">IF($A648="","",IF(OR(R648="",N648&lt;=0,J648=0,J648=""),"",(R648/1000*12/N648)/J648))</f>
        <v/>
      </c>
      <c r="W648" s="1" t="str">
        <f aca="false">IF($A648="","",IF(OR(T648="",K648=0,K648=""),"",T648/K648))</f>
        <v/>
      </c>
      <c r="X648" s="1" t="n">
        <f aca="false">IF($A648="","",IF(OR(N648&lt;=0,I648=0,I648="",O648=0),"",O648*1000/(I648*0.3025)/N648))</f>
        <v>13388.068749179</v>
      </c>
      <c r="Y648" s="1" t="str">
        <f aca="false">IF($A648="","",IF(OR(O648=0,O648="",P648=0),"",P648/O648))</f>
        <v/>
      </c>
      <c r="Z648" s="1" t="str">
        <f aca="false">IF($A648="","",IFERROR(INDEX(物件収支!$E:$E,MATCH($A648,物件収支!$A:$A,0)),""))</f>
        <v>開示（物件別・収益のみ）</v>
      </c>
    </row>
    <row r="649" customFormat="false" ht="15" hidden="false" customHeight="true" outlineLevel="0" collapsed="false">
      <c r="A649" s="1" t="str">
        <f aca="false">IF(物件マスタ!A649="","",物件マスタ!A649)</f>
        <v>HFR-048</v>
      </c>
      <c r="B649" s="1" t="str">
        <f aca="false">IF($A649="","",物件マスタ!B649)</f>
        <v>HFR</v>
      </c>
      <c r="C649" s="1" t="str">
        <f aca="false">IF($A649="","",IFERROR(INDEX(法人マスタ!$C:$C,MATCH($B649,法人マスタ!$A:$A,0)),""))</f>
        <v>平和不動産リート投資法人</v>
      </c>
      <c r="D649" s="1" t="str">
        <f aca="false">IF($A649="","",物件マスタ!C649)</f>
        <v>ＨＦ葛西レジデンス</v>
      </c>
      <c r="E649" s="1" t="str">
        <f aca="false">IF($A649="","",物件マスタ!H649)</f>
        <v>その他東京23区</v>
      </c>
      <c r="F649" s="1" t="n">
        <f aca="false">IF($A649="","",物件マスタ!P649)</f>
        <v>0</v>
      </c>
      <c r="G649" s="1" t="str">
        <f aca="false">IF($A649="","",物件マスタ!Q649)</f>
        <v/>
      </c>
      <c r="H649" s="1" t="n">
        <f aca="false">IF($A649="","",物件マスタ!L649)</f>
        <v>0</v>
      </c>
      <c r="I649" s="1" t="n">
        <f aca="false">IF($A649="","",物件マスタ!M649)</f>
        <v>1167.36</v>
      </c>
      <c r="J649" s="1" t="n">
        <f aca="false">IF($A649="","",物件マスタ!S649)</f>
        <v>650</v>
      </c>
      <c r="K649" s="1" t="n">
        <f aca="false">IF($A649="","",物件マスタ!U649)</f>
        <v>1102</v>
      </c>
      <c r="L649" s="1" t="n">
        <f aca="false">IF($A649="","",物件マスタ!W649)</f>
        <v>0.9787</v>
      </c>
      <c r="M649" s="1" t="str">
        <f aca="false">IF($A649="","",IFERROR(INDEX(法人マスタ!$H:$H,MATCH($B649,法人マスタ!$A:$A,0)),""))</f>
        <v>2026年5月期（第49期）</v>
      </c>
      <c r="N649" s="1" t="n">
        <f aca="false">IF($A649="","",SUMIFS(物件収支!$D:$D,物件収支!$A:$A,$A649,物件収支!$C:$C,$M649))</f>
        <v>6</v>
      </c>
      <c r="O649" s="1" t="n">
        <f aca="false">IF($A649="","",SUMIFS(物件収支!$F:$F,物件収支!$A:$A,$A649,物件収支!$C:$C,$M649))</f>
        <v>28670</v>
      </c>
      <c r="P649" s="1" t="n">
        <f aca="false">IF($A649="","",SUMIFS(物件収支!$I:$I,物件収支!$A:$A,$A649,物件収支!$C:$C,$M649))</f>
        <v>0</v>
      </c>
      <c r="Q649" s="1" t="n">
        <f aca="false">IF($A649="","",SUMIFS(物件収支!$O:$O,物件収支!$A:$A,$A649,物件収支!$C:$C,$M649))</f>
        <v>0</v>
      </c>
      <c r="R649" s="1" t="str">
        <f aca="false">IF($A649="","",IF(P649=0,"",O649-P649))</f>
        <v/>
      </c>
      <c r="S649" s="1" t="str">
        <f aca="false">IF($A649="","",IF(R649="","",R649+Q649))</f>
        <v/>
      </c>
      <c r="T649" s="1" t="str">
        <f aca="false">IF($A649="","",IF(OR(S649="",N649&lt;=0),"",S649/1000*12/N649))</f>
        <v/>
      </c>
      <c r="U649" s="1" t="str">
        <f aca="false">IF($A649="","",IF(OR(T649="",J649=0,J649=""),"",T649/J649))</f>
        <v/>
      </c>
      <c r="V649" s="1" t="str">
        <f aca="false">IF($A649="","",IF(OR(R649="",N649&lt;=0,J649=0,J649=""),"",(R649/1000*12/N649)/J649))</f>
        <v/>
      </c>
      <c r="W649" s="1" t="str">
        <f aca="false">IF($A649="","",IF(OR(T649="",K649=0,K649=""),"",T649/K649))</f>
        <v/>
      </c>
      <c r="X649" s="1" t="n">
        <f aca="false">IF($A649="","",IF(OR(N649&lt;=0,I649=0,I649="",O649=0),"",O649*1000/(I649*0.3025)/N649))</f>
        <v>13531.5097747813</v>
      </c>
      <c r="Y649" s="1" t="str">
        <f aca="false">IF($A649="","",IF(OR(O649=0,O649="",P649=0),"",P649/O649))</f>
        <v/>
      </c>
      <c r="Z649" s="1" t="str">
        <f aca="false">IF($A649="","",IFERROR(INDEX(物件収支!$E:$E,MATCH($A649,物件収支!$A:$A,0)),""))</f>
        <v>開示（物件別・収益のみ）</v>
      </c>
    </row>
    <row r="650" customFormat="false" ht="15" hidden="false" customHeight="true" outlineLevel="0" collapsed="false">
      <c r="A650" s="1" t="str">
        <f aca="false">IF(物件マスタ!A650="","",物件マスタ!A650)</f>
        <v>HFR-049</v>
      </c>
      <c r="B650" s="1" t="str">
        <f aca="false">IF($A650="","",物件マスタ!B650)</f>
        <v>HFR</v>
      </c>
      <c r="C650" s="1" t="str">
        <f aca="false">IF($A650="","",IFERROR(INDEX(法人マスタ!$C:$C,MATCH($B650,法人マスタ!$A:$A,0)),""))</f>
        <v>平和不動産リート投資法人</v>
      </c>
      <c r="D650" s="1" t="str">
        <f aca="false">IF($A650="","",物件マスタ!C650)</f>
        <v>ＨＦ若林公園レジデンス</v>
      </c>
      <c r="E650" s="1" t="str">
        <f aca="false">IF($A650="","",物件マスタ!H650)</f>
        <v>その他東京23区</v>
      </c>
      <c r="F650" s="1" t="n">
        <f aca="false">IF($A650="","",物件マスタ!P650)</f>
        <v>0</v>
      </c>
      <c r="G650" s="1" t="str">
        <f aca="false">IF($A650="","",物件マスタ!Q650)</f>
        <v/>
      </c>
      <c r="H650" s="1" t="n">
        <f aca="false">IF($A650="","",物件マスタ!L650)</f>
        <v>0</v>
      </c>
      <c r="I650" s="1" t="n">
        <f aca="false">IF($A650="","",物件マスタ!M650)</f>
        <v>5490.36</v>
      </c>
      <c r="J650" s="1" t="n">
        <f aca="false">IF($A650="","",物件マスタ!S650)</f>
        <v>3610</v>
      </c>
      <c r="K650" s="1" t="n">
        <f aca="false">IF($A650="","",物件マスタ!U650)</f>
        <v>6426</v>
      </c>
      <c r="L650" s="1" t="n">
        <f aca="false">IF($A650="","",物件マスタ!W650)</f>
        <v>0.888</v>
      </c>
      <c r="M650" s="1" t="str">
        <f aca="false">IF($A650="","",IFERROR(INDEX(法人マスタ!$H:$H,MATCH($B650,法人マスタ!$A:$A,0)),""))</f>
        <v>2026年5月期（第49期）</v>
      </c>
      <c r="N650" s="1" t="n">
        <f aca="false">IF($A650="","",SUMIFS(物件収支!$D:$D,物件収支!$A:$A,$A650,物件収支!$C:$C,$M650))</f>
        <v>6</v>
      </c>
      <c r="O650" s="1" t="n">
        <f aca="false">IF($A650="","",SUMIFS(物件収支!$F:$F,物件収支!$A:$A,$A650,物件収支!$C:$C,$M650))</f>
        <v>132260</v>
      </c>
      <c r="P650" s="1" t="n">
        <f aca="false">IF($A650="","",SUMIFS(物件収支!$I:$I,物件収支!$A:$A,$A650,物件収支!$C:$C,$M650))</f>
        <v>0</v>
      </c>
      <c r="Q650" s="1" t="n">
        <f aca="false">IF($A650="","",SUMIFS(物件収支!$O:$O,物件収支!$A:$A,$A650,物件収支!$C:$C,$M650))</f>
        <v>0</v>
      </c>
      <c r="R650" s="1" t="str">
        <f aca="false">IF($A650="","",IF(P650=0,"",O650-P650))</f>
        <v/>
      </c>
      <c r="S650" s="1" t="str">
        <f aca="false">IF($A650="","",IF(R650="","",R650+Q650))</f>
        <v/>
      </c>
      <c r="T650" s="1" t="str">
        <f aca="false">IF($A650="","",IF(OR(S650="",N650&lt;=0),"",S650/1000*12/N650))</f>
        <v/>
      </c>
      <c r="U650" s="1" t="str">
        <f aca="false">IF($A650="","",IF(OR(T650="",J650=0,J650=""),"",T650/J650))</f>
        <v/>
      </c>
      <c r="V650" s="1" t="str">
        <f aca="false">IF($A650="","",IF(OR(R650="",N650&lt;=0,J650=0,J650=""),"",(R650/1000*12/N650)/J650))</f>
        <v/>
      </c>
      <c r="W650" s="1" t="str">
        <f aca="false">IF($A650="","",IF(OR(T650="",K650=0,K650=""),"",T650/K650))</f>
        <v/>
      </c>
      <c r="X650" s="1" t="n">
        <f aca="false">IF($A650="","",IF(OR(N650&lt;=0,I650=0,I650="",O650=0),"",O650*1000/(I650*0.3025)/N650))</f>
        <v>13272.4490590741</v>
      </c>
      <c r="Y650" s="1" t="str">
        <f aca="false">IF($A650="","",IF(OR(O650=0,O650="",P650=0),"",P650/O650))</f>
        <v/>
      </c>
      <c r="Z650" s="1" t="str">
        <f aca="false">IF($A650="","",IFERROR(INDEX(物件収支!$E:$E,MATCH($A650,物件収支!$A:$A,0)),""))</f>
        <v>開示（物件別・収益のみ）</v>
      </c>
    </row>
    <row r="651" customFormat="false" ht="16.5" hidden="false" customHeight="true" outlineLevel="0" collapsed="false">
      <c r="A651" s="1" t="str">
        <f aca="false">IF(物件マスタ!A651="","",物件マスタ!A651)</f>
        <v>HFR-050</v>
      </c>
      <c r="B651" s="1" t="str">
        <f aca="false">IF($A651="","",物件マスタ!B651)</f>
        <v>HFR</v>
      </c>
      <c r="C651" s="1" t="str">
        <f aca="false">IF($A651="","",IFERROR(INDEX(法人マスタ!$C:$C,MATCH($B651,法人マスタ!$A:$A,0)),""))</f>
        <v>平和不動産リート投資法人</v>
      </c>
      <c r="D651" s="1" t="str">
        <f aca="false">IF($A651="","",物件マスタ!C651)</f>
        <v>ＨＦ碑文谷レジデンス</v>
      </c>
      <c r="E651" s="1" t="str">
        <f aca="false">IF($A651="","",物件マスタ!H651)</f>
        <v>その他東京23区</v>
      </c>
      <c r="F651" s="1" t="n">
        <f aca="false">IF($A651="","",物件マスタ!P651)</f>
        <v>0</v>
      </c>
      <c r="G651" s="1" t="str">
        <f aca="false">IF($A651="","",物件マスタ!Q651)</f>
        <v/>
      </c>
      <c r="H651" s="1" t="n">
        <f aca="false">IF($A651="","",物件マスタ!L651)</f>
        <v>0</v>
      </c>
      <c r="I651" s="1" t="n">
        <f aca="false">IF($A651="","",物件マスタ!M651)</f>
        <v>1897.46</v>
      </c>
      <c r="J651" s="1" t="n">
        <f aca="false">IF($A651="","",物件マスタ!S651)</f>
        <v>1560</v>
      </c>
      <c r="K651" s="1" t="n">
        <f aca="false">IF($A651="","",物件マスタ!U651)</f>
        <v>2153</v>
      </c>
      <c r="L651" s="1" t="n">
        <f aca="false">IF($A651="","",物件マスタ!W651)</f>
        <v>1</v>
      </c>
      <c r="M651" s="1" t="str">
        <f aca="false">IF($A651="","",IFERROR(INDEX(法人マスタ!$H:$H,MATCH($B651,法人マスタ!$A:$A,0)),""))</f>
        <v>2026年5月期（第49期）</v>
      </c>
      <c r="N651" s="1" t="n">
        <f aca="false">IF($A651="","",SUMIFS(物件収支!$D:$D,物件収支!$A:$A,$A651,物件収支!$C:$C,$M651))</f>
        <v>6</v>
      </c>
      <c r="O651" s="1" t="n">
        <f aca="false">IF($A651="","",SUMIFS(物件収支!$F:$F,物件収支!$A:$A,$A651,物件収支!$C:$C,$M651))</f>
        <v>47879</v>
      </c>
      <c r="P651" s="1" t="n">
        <f aca="false">IF($A651="","",SUMIFS(物件収支!$I:$I,物件収支!$A:$A,$A651,物件収支!$C:$C,$M651))</f>
        <v>0</v>
      </c>
      <c r="Q651" s="1" t="n">
        <f aca="false">IF($A651="","",SUMIFS(物件収支!$O:$O,物件収支!$A:$A,$A651,物件収支!$C:$C,$M651))</f>
        <v>0</v>
      </c>
      <c r="R651" s="1" t="str">
        <f aca="false">IF($A651="","",IF(P651=0,"",O651-P651))</f>
        <v/>
      </c>
      <c r="S651" s="1" t="str">
        <f aca="false">IF($A651="","",IF(R651="","",R651+Q651))</f>
        <v/>
      </c>
      <c r="T651" s="1" t="str">
        <f aca="false">IF($A651="","",IF(OR(S651="",N651&lt;=0),"",S651/1000*12/N651))</f>
        <v/>
      </c>
      <c r="U651" s="1" t="str">
        <f aca="false">IF($A651="","",IF(OR(T651="",J651=0,J651=""),"",T651/J651))</f>
        <v/>
      </c>
      <c r="V651" s="1" t="str">
        <f aca="false">IF($A651="","",IF(OR(R651="",N651&lt;=0,J651=0,J651=""),"",(R651/1000*12/N651)/J651))</f>
        <v/>
      </c>
      <c r="W651" s="1" t="str">
        <f aca="false">IF($A651="","",IF(OR(T651="",K651=0,K651=""),"",T651/K651))</f>
        <v/>
      </c>
      <c r="X651" s="1" t="n">
        <f aca="false">IF($A651="","",IF(OR(N651&lt;=0,I651=0,I651="",O651=0),"",O651*1000/(I651*0.3025)/N651))</f>
        <v>13902.5931113535</v>
      </c>
      <c r="Y651" s="1" t="str">
        <f aca="false">IF($A651="","",IF(OR(O651=0,O651="",P651=0),"",P651/O651))</f>
        <v/>
      </c>
      <c r="Z651" s="1" t="str">
        <f aca="false">IF($A651="","",IFERROR(INDEX(物件収支!$E:$E,MATCH($A651,物件収支!$A:$A,0)),""))</f>
        <v>開示（物件別・収益のみ）</v>
      </c>
    </row>
    <row r="652" customFormat="false" ht="16.5" hidden="false" customHeight="true" outlineLevel="0" collapsed="false">
      <c r="A652" s="1" t="str">
        <f aca="false">IF(物件マスタ!A652="","",物件マスタ!A652)</f>
        <v>HFR-051</v>
      </c>
      <c r="B652" s="1" t="str">
        <f aca="false">IF($A652="","",物件マスタ!B652)</f>
        <v>HFR</v>
      </c>
      <c r="C652" s="1" t="str">
        <f aca="false">IF($A652="","",IFERROR(INDEX(法人マスタ!$C:$C,MATCH($B652,法人マスタ!$A:$A,0)),""))</f>
        <v>平和不動産リート投資法人</v>
      </c>
      <c r="D652" s="1" t="str">
        <f aca="false">IF($A652="","",物件マスタ!C652)</f>
        <v>ＨＦ南麻布レジデンス</v>
      </c>
      <c r="E652" s="1" t="str">
        <f aca="false">IF($A652="","",物件マスタ!H652)</f>
        <v>都心5区</v>
      </c>
      <c r="F652" s="1" t="n">
        <f aca="false">IF($A652="","",物件マスタ!P652)</f>
        <v>0</v>
      </c>
      <c r="G652" s="1" t="str">
        <f aca="false">IF($A652="","",物件マスタ!Q652)</f>
        <v/>
      </c>
      <c r="H652" s="1" t="n">
        <f aca="false">IF($A652="","",物件マスタ!L652)</f>
        <v>0</v>
      </c>
      <c r="I652" s="1" t="n">
        <f aca="false">IF($A652="","",物件マスタ!M652)</f>
        <v>1325.2</v>
      </c>
      <c r="J652" s="1" t="n">
        <f aca="false">IF($A652="","",物件マスタ!S652)</f>
        <v>1370</v>
      </c>
      <c r="K652" s="1" t="n">
        <f aca="false">IF($A652="","",物件マスタ!U652)</f>
        <v>1700</v>
      </c>
      <c r="L652" s="1" t="n">
        <f aca="false">IF($A652="","",物件マスタ!W652)</f>
        <v>0.9664</v>
      </c>
      <c r="M652" s="1" t="str">
        <f aca="false">IF($A652="","",IFERROR(INDEX(法人マスタ!$H:$H,MATCH($B652,法人マスタ!$A:$A,0)),""))</f>
        <v>2026年5月期（第49期）</v>
      </c>
      <c r="N652" s="1" t="n">
        <f aca="false">IF($A652="","",SUMIFS(物件収支!$D:$D,物件収支!$A:$A,$A652,物件収支!$C:$C,$M652))</f>
        <v>6</v>
      </c>
      <c r="O652" s="1" t="n">
        <f aca="false">IF($A652="","",SUMIFS(物件収支!$F:$F,物件収支!$A:$A,$A652,物件収支!$C:$C,$M652))</f>
        <v>38920</v>
      </c>
      <c r="P652" s="1" t="n">
        <f aca="false">IF($A652="","",SUMIFS(物件収支!$I:$I,物件収支!$A:$A,$A652,物件収支!$C:$C,$M652))</f>
        <v>0</v>
      </c>
      <c r="Q652" s="1" t="n">
        <f aca="false">IF($A652="","",SUMIFS(物件収支!$O:$O,物件収支!$A:$A,$A652,物件収支!$C:$C,$M652))</f>
        <v>0</v>
      </c>
      <c r="R652" s="1" t="str">
        <f aca="false">IF($A652="","",IF(P652=0,"",O652-P652))</f>
        <v/>
      </c>
      <c r="S652" s="1" t="str">
        <f aca="false">IF($A652="","",IF(R652="","",R652+Q652))</f>
        <v/>
      </c>
      <c r="T652" s="1" t="str">
        <f aca="false">IF($A652="","",IF(OR(S652="",N652&lt;=0),"",S652/1000*12/N652))</f>
        <v/>
      </c>
      <c r="U652" s="1" t="str">
        <f aca="false">IF($A652="","",IF(OR(T652="",J652=0,J652=""),"",T652/J652))</f>
        <v/>
      </c>
      <c r="V652" s="1" t="str">
        <f aca="false">IF($A652="","",IF(OR(R652="",N652&lt;=0,J652=0,J652=""),"",(R652/1000*12/N652)/J652))</f>
        <v/>
      </c>
      <c r="W652" s="1" t="str">
        <f aca="false">IF($A652="","",IF(OR(T652="",K652=0,K652=""),"",T652/K652))</f>
        <v/>
      </c>
      <c r="X652" s="1" t="n">
        <f aca="false">IF($A652="","",IF(OR(N652&lt;=0,I652=0,I652="",O652=0),"",O652*1000/(I652*0.3025)/N652))</f>
        <v>16181.3508683964</v>
      </c>
      <c r="Y652" s="1" t="str">
        <f aca="false">IF($A652="","",IF(OR(O652=0,O652="",P652=0),"",P652/O652))</f>
        <v/>
      </c>
      <c r="Z652" s="1" t="str">
        <f aca="false">IF($A652="","",IFERROR(INDEX(物件収支!$E:$E,MATCH($A652,物件収支!$A:$A,0)),""))</f>
        <v>開示（物件別・収益のみ）</v>
      </c>
    </row>
    <row r="653" customFormat="false" ht="16.5" hidden="false" customHeight="true" outlineLevel="0" collapsed="false">
      <c r="A653" s="1" t="str">
        <f aca="false">IF(物件マスタ!A653="","",物件マスタ!A653)</f>
        <v>HFR-052</v>
      </c>
      <c r="B653" s="1" t="str">
        <f aca="false">IF($A653="","",物件マスタ!B653)</f>
        <v>HFR</v>
      </c>
      <c r="C653" s="1" t="str">
        <f aca="false">IF($A653="","",IFERROR(INDEX(法人マスタ!$C:$C,MATCH($B653,法人マスタ!$A:$A,0)),""))</f>
        <v>平和不動産リート投資法人</v>
      </c>
      <c r="D653" s="1" t="str">
        <f aca="false">IF($A653="","",物件マスタ!C653)</f>
        <v>ＨＦ学芸大学レジデンス</v>
      </c>
      <c r="E653" s="1" t="str">
        <f aca="false">IF($A653="","",物件マスタ!H653)</f>
        <v>その他東京23区</v>
      </c>
      <c r="F653" s="1" t="n">
        <f aca="false">IF($A653="","",物件マスタ!P653)</f>
        <v>0</v>
      </c>
      <c r="G653" s="1" t="str">
        <f aca="false">IF($A653="","",物件マスタ!Q653)</f>
        <v/>
      </c>
      <c r="H653" s="1" t="n">
        <f aca="false">IF($A653="","",物件マスタ!L653)</f>
        <v>0</v>
      </c>
      <c r="I653" s="1" t="n">
        <f aca="false">IF($A653="","",物件マスタ!M653)</f>
        <v>1217.46</v>
      </c>
      <c r="J653" s="1" t="n">
        <f aca="false">IF($A653="","",物件マスタ!S653)</f>
        <v>1000</v>
      </c>
      <c r="K653" s="1" t="n">
        <f aca="false">IF($A653="","",物件マスタ!U653)</f>
        <v>1390</v>
      </c>
      <c r="L653" s="1" t="n">
        <f aca="false">IF($A653="","",物件マスタ!W653)</f>
        <v>0.8784</v>
      </c>
      <c r="M653" s="1" t="str">
        <f aca="false">IF($A653="","",IFERROR(INDEX(法人マスタ!$H:$H,MATCH($B653,法人マスタ!$A:$A,0)),""))</f>
        <v>2026年5月期（第49期）</v>
      </c>
      <c r="N653" s="1" t="n">
        <f aca="false">IF($A653="","",SUMIFS(物件収支!$D:$D,物件収支!$A:$A,$A653,物件収支!$C:$C,$M653))</f>
        <v>6</v>
      </c>
      <c r="O653" s="1" t="n">
        <f aca="false">IF($A653="","",SUMIFS(物件収支!$F:$F,物件収支!$A:$A,$A653,物件収支!$C:$C,$M653))</f>
        <v>28795</v>
      </c>
      <c r="P653" s="1" t="n">
        <f aca="false">IF($A653="","",SUMIFS(物件収支!$I:$I,物件収支!$A:$A,$A653,物件収支!$C:$C,$M653))</f>
        <v>0</v>
      </c>
      <c r="Q653" s="1" t="n">
        <f aca="false">IF($A653="","",SUMIFS(物件収支!$O:$O,物件収支!$A:$A,$A653,物件収支!$C:$C,$M653))</f>
        <v>0</v>
      </c>
      <c r="R653" s="1" t="str">
        <f aca="false">IF($A653="","",IF(P653=0,"",O653-P653))</f>
        <v/>
      </c>
      <c r="S653" s="1" t="str">
        <f aca="false">IF($A653="","",IF(R653="","",R653+Q653))</f>
        <v/>
      </c>
      <c r="T653" s="1" t="str">
        <f aca="false">IF($A653="","",IF(OR(S653="",N653&lt;=0),"",S653/1000*12/N653))</f>
        <v/>
      </c>
      <c r="U653" s="1" t="str">
        <f aca="false">IF($A653="","",IF(OR(T653="",J653=0,J653=""),"",T653/J653))</f>
        <v/>
      </c>
      <c r="V653" s="1" t="str">
        <f aca="false">IF($A653="","",IF(OR(R653="",N653&lt;=0,J653=0,J653=""),"",(R653/1000*12/N653)/J653))</f>
        <v/>
      </c>
      <c r="W653" s="1" t="str">
        <f aca="false">IF($A653="","",IF(OR(T653="",K653=0,K653=""),"",T653/K653))</f>
        <v/>
      </c>
      <c r="X653" s="1" t="n">
        <f aca="false">IF($A653="","",IF(OR(N653&lt;=0,I653=0,I653="",O653=0),"",O653*1000/(I653*0.3025)/N653))</f>
        <v>13031.2402658853</v>
      </c>
      <c r="Y653" s="1" t="str">
        <f aca="false">IF($A653="","",IF(OR(O653=0,O653="",P653=0),"",P653/O653))</f>
        <v/>
      </c>
      <c r="Z653" s="1" t="str">
        <f aca="false">IF($A653="","",IFERROR(INDEX(物件収支!$E:$E,MATCH($A653,物件収支!$A:$A,0)),""))</f>
        <v>開示（物件別・収益のみ）</v>
      </c>
    </row>
    <row r="654" customFormat="false" ht="16.5" hidden="false" customHeight="true" outlineLevel="0" collapsed="false">
      <c r="A654" s="1" t="str">
        <f aca="false">IF(物件マスタ!A654="","",物件マスタ!A654)</f>
        <v>HFR-053</v>
      </c>
      <c r="B654" s="1" t="str">
        <f aca="false">IF($A654="","",物件マスタ!B654)</f>
        <v>HFR</v>
      </c>
      <c r="C654" s="1" t="str">
        <f aca="false">IF($A654="","",IFERROR(INDEX(法人マスタ!$C:$C,MATCH($B654,法人マスタ!$A:$A,0)),""))</f>
        <v>平和不動産リート投資法人</v>
      </c>
      <c r="D654" s="1" t="str">
        <f aca="false">IF($A654="","",物件マスタ!C654)</f>
        <v>ＨＦ東神田レジデンス</v>
      </c>
      <c r="E654" s="1" t="str">
        <f aca="false">IF($A654="","",物件マスタ!H654)</f>
        <v>都心5区</v>
      </c>
      <c r="F654" s="1" t="n">
        <f aca="false">IF($A654="","",物件マスタ!P654)</f>
        <v>0</v>
      </c>
      <c r="G654" s="1" t="str">
        <f aca="false">IF($A654="","",物件マスタ!Q654)</f>
        <v/>
      </c>
      <c r="H654" s="1" t="n">
        <f aca="false">IF($A654="","",物件マスタ!L654)</f>
        <v>0</v>
      </c>
      <c r="I654" s="1" t="n">
        <f aca="false">IF($A654="","",物件マスタ!M654)</f>
        <v>1462.18</v>
      </c>
      <c r="J654" s="1" t="n">
        <f aca="false">IF($A654="","",物件マスタ!S654)</f>
        <v>1100</v>
      </c>
      <c r="K654" s="1" t="n">
        <f aca="false">IF($A654="","",物件マスタ!U654)</f>
        <v>1790</v>
      </c>
      <c r="L654" s="1" t="n">
        <f aca="false">IF($A654="","",物件マスタ!W654)</f>
        <v>0.9383</v>
      </c>
      <c r="M654" s="1" t="str">
        <f aca="false">IF($A654="","",IFERROR(INDEX(法人マスタ!$H:$H,MATCH($B654,法人マスタ!$A:$A,0)),""))</f>
        <v>2026年5月期（第49期）</v>
      </c>
      <c r="N654" s="1" t="n">
        <f aca="false">IF($A654="","",SUMIFS(物件収支!$D:$D,物件収支!$A:$A,$A654,物件収支!$C:$C,$M654))</f>
        <v>6</v>
      </c>
      <c r="O654" s="1" t="n">
        <f aca="false">IF($A654="","",SUMIFS(物件収支!$F:$F,物件収支!$A:$A,$A654,物件収支!$C:$C,$M654))</f>
        <v>39143</v>
      </c>
      <c r="P654" s="1" t="n">
        <f aca="false">IF($A654="","",SUMIFS(物件収支!$I:$I,物件収支!$A:$A,$A654,物件収支!$C:$C,$M654))</f>
        <v>0</v>
      </c>
      <c r="Q654" s="1" t="n">
        <f aca="false">IF($A654="","",SUMIFS(物件収支!$O:$O,物件収支!$A:$A,$A654,物件収支!$C:$C,$M654))</f>
        <v>0</v>
      </c>
      <c r="R654" s="1" t="str">
        <f aca="false">IF($A654="","",IF(P654=0,"",O654-P654))</f>
        <v/>
      </c>
      <c r="S654" s="1" t="str">
        <f aca="false">IF($A654="","",IF(R654="","",R654+Q654))</f>
        <v/>
      </c>
      <c r="T654" s="1" t="str">
        <f aca="false">IF($A654="","",IF(OR(S654="",N654&lt;=0),"",S654/1000*12/N654))</f>
        <v/>
      </c>
      <c r="U654" s="1" t="str">
        <f aca="false">IF($A654="","",IF(OR(T654="",J654=0,J654=""),"",T654/J654))</f>
        <v/>
      </c>
      <c r="V654" s="1" t="str">
        <f aca="false">IF($A654="","",IF(OR(R654="",N654&lt;=0,J654=0,J654=""),"",(R654/1000*12/N654)/J654))</f>
        <v/>
      </c>
      <c r="W654" s="1" t="str">
        <f aca="false">IF($A654="","",IF(OR(T654="",K654=0,K654=""),"",T654/K654))</f>
        <v/>
      </c>
      <c r="X654" s="1" t="n">
        <f aca="false">IF($A654="","",IF(OR(N654&lt;=0,I654=0,I654="",O654=0),"",O654*1000/(I654*0.3025)/N654))</f>
        <v>14749.4776187426</v>
      </c>
      <c r="Y654" s="1" t="str">
        <f aca="false">IF($A654="","",IF(OR(O654=0,O654="",P654=0),"",P654/O654))</f>
        <v/>
      </c>
      <c r="Z654" s="1" t="str">
        <f aca="false">IF($A654="","",IFERROR(INDEX(物件収支!$E:$E,MATCH($A654,物件収支!$A:$A,0)),""))</f>
        <v>開示（物件別・収益のみ）</v>
      </c>
    </row>
    <row r="655" customFormat="false" ht="16.5" hidden="false" customHeight="true" outlineLevel="0" collapsed="false">
      <c r="A655" s="1" t="str">
        <f aca="false">IF(物件マスタ!A655="","",物件マスタ!A655)</f>
        <v>HFR-054</v>
      </c>
      <c r="B655" s="1" t="str">
        <f aca="false">IF($A655="","",物件マスタ!B655)</f>
        <v>HFR</v>
      </c>
      <c r="C655" s="1" t="str">
        <f aca="false">IF($A655="","",IFERROR(INDEX(法人マスタ!$C:$C,MATCH($B655,法人マスタ!$A:$A,0)),""))</f>
        <v>平和不動産リート投資法人</v>
      </c>
      <c r="D655" s="1" t="str">
        <f aca="false">IF($A655="","",物件マスタ!C655)</f>
        <v>ＨＦ東日本橋レジデンス</v>
      </c>
      <c r="E655" s="1" t="str">
        <f aca="false">IF($A655="","",物件マスタ!H655)</f>
        <v>都心5区</v>
      </c>
      <c r="F655" s="1" t="n">
        <f aca="false">IF($A655="","",物件マスタ!P655)</f>
        <v>0</v>
      </c>
      <c r="G655" s="1" t="str">
        <f aca="false">IF($A655="","",物件マスタ!Q655)</f>
        <v/>
      </c>
      <c r="H655" s="1" t="n">
        <f aca="false">IF($A655="","",物件マスタ!L655)</f>
        <v>0</v>
      </c>
      <c r="I655" s="1" t="n">
        <f aca="false">IF($A655="","",物件マスタ!M655)</f>
        <v>1684.4</v>
      </c>
      <c r="J655" s="1" t="n">
        <f aca="false">IF($A655="","",物件マスタ!S655)</f>
        <v>1210</v>
      </c>
      <c r="K655" s="1" t="n">
        <f aca="false">IF($A655="","",物件マスタ!U655)</f>
        <v>2160</v>
      </c>
      <c r="L655" s="1" t="n">
        <f aca="false">IF($A655="","",物件マスタ!W655)</f>
        <v>0.9748</v>
      </c>
      <c r="M655" s="1" t="str">
        <f aca="false">IF($A655="","",IFERROR(INDEX(法人マスタ!$H:$H,MATCH($B655,法人マスタ!$A:$A,0)),""))</f>
        <v>2026年5月期（第49期）</v>
      </c>
      <c r="N655" s="1" t="n">
        <f aca="false">IF($A655="","",SUMIFS(物件収支!$D:$D,物件収支!$A:$A,$A655,物件収支!$C:$C,$M655))</f>
        <v>6</v>
      </c>
      <c r="O655" s="1" t="n">
        <f aca="false">IF($A655="","",SUMIFS(物件収支!$F:$F,物件収支!$A:$A,$A655,物件収支!$C:$C,$M655))</f>
        <v>47848</v>
      </c>
      <c r="P655" s="1" t="n">
        <f aca="false">IF($A655="","",SUMIFS(物件収支!$I:$I,物件収支!$A:$A,$A655,物件収支!$C:$C,$M655))</f>
        <v>0</v>
      </c>
      <c r="Q655" s="1" t="n">
        <f aca="false">IF($A655="","",SUMIFS(物件収支!$O:$O,物件収支!$A:$A,$A655,物件収支!$C:$C,$M655))</f>
        <v>0</v>
      </c>
      <c r="R655" s="1" t="str">
        <f aca="false">IF($A655="","",IF(P655=0,"",O655-P655))</f>
        <v/>
      </c>
      <c r="S655" s="1" t="str">
        <f aca="false">IF($A655="","",IF(R655="","",R655+Q655))</f>
        <v/>
      </c>
      <c r="T655" s="1" t="str">
        <f aca="false">IF($A655="","",IF(OR(S655="",N655&lt;=0),"",S655/1000*12/N655))</f>
        <v/>
      </c>
      <c r="U655" s="1" t="str">
        <f aca="false">IF($A655="","",IF(OR(T655="",J655=0,J655=""),"",T655/J655))</f>
        <v/>
      </c>
      <c r="V655" s="1" t="str">
        <f aca="false">IF($A655="","",IF(OR(R655="",N655&lt;=0,J655=0,J655=""),"",(R655/1000*12/N655)/J655))</f>
        <v/>
      </c>
      <c r="W655" s="1" t="str">
        <f aca="false">IF($A655="","",IF(OR(T655="",K655=0,K655=""),"",T655/K655))</f>
        <v/>
      </c>
      <c r="X655" s="1" t="n">
        <f aca="false">IF($A655="","",IF(OR(N655&lt;=0,I655=0,I655="",O655=0),"",O655*1000/(I655*0.3025)/N655))</f>
        <v>15650.9940841022</v>
      </c>
      <c r="Y655" s="1" t="str">
        <f aca="false">IF($A655="","",IF(OR(O655=0,O655="",P655=0),"",P655/O655))</f>
        <v/>
      </c>
      <c r="Z655" s="1" t="str">
        <f aca="false">IF($A655="","",IFERROR(INDEX(物件収支!$E:$E,MATCH($A655,物件収支!$A:$A,0)),""))</f>
        <v>開示（物件別・収益のみ）</v>
      </c>
    </row>
    <row r="656" customFormat="false" ht="16.5" hidden="false" customHeight="true" outlineLevel="0" collapsed="false">
      <c r="A656" s="1" t="str">
        <f aca="false">IF(物件マスタ!A656="","",物件マスタ!A656)</f>
        <v>HFR-055</v>
      </c>
      <c r="B656" s="1" t="str">
        <f aca="false">IF($A656="","",物件マスタ!B656)</f>
        <v>HFR</v>
      </c>
      <c r="C656" s="1" t="str">
        <f aca="false">IF($A656="","",IFERROR(INDEX(法人マスタ!$C:$C,MATCH($B656,法人マスタ!$A:$A,0)),""))</f>
        <v>平和不動産リート投資法人</v>
      </c>
      <c r="D656" s="1" t="str">
        <f aca="false">IF($A656="","",物件マスタ!C656)</f>
        <v>ＨＦ練馬レジデンス</v>
      </c>
      <c r="E656" s="1" t="str">
        <f aca="false">IF($A656="","",物件マスタ!H656)</f>
        <v>その他東京23区</v>
      </c>
      <c r="F656" s="1" t="n">
        <f aca="false">IF($A656="","",物件マスタ!P656)</f>
        <v>0</v>
      </c>
      <c r="G656" s="1" t="str">
        <f aca="false">IF($A656="","",物件マスタ!Q656)</f>
        <v/>
      </c>
      <c r="H656" s="1" t="n">
        <f aca="false">IF($A656="","",物件マスタ!L656)</f>
        <v>0</v>
      </c>
      <c r="I656" s="1" t="n">
        <f aca="false">IF($A656="","",物件マスタ!M656)</f>
        <v>1024.52</v>
      </c>
      <c r="J656" s="1" t="n">
        <f aca="false">IF($A656="","",物件マスタ!S656)</f>
        <v>690</v>
      </c>
      <c r="K656" s="1" t="n">
        <f aca="false">IF($A656="","",物件マスタ!U656)</f>
        <v>1080</v>
      </c>
      <c r="L656" s="1" t="n">
        <f aca="false">IF($A656="","",物件マスタ!W656)</f>
        <v>0.9424</v>
      </c>
      <c r="M656" s="1" t="str">
        <f aca="false">IF($A656="","",IFERROR(INDEX(法人マスタ!$H:$H,MATCH($B656,法人マスタ!$A:$A,0)),""))</f>
        <v>2026年5月期（第49期）</v>
      </c>
      <c r="N656" s="1" t="n">
        <f aca="false">IF($A656="","",SUMIFS(物件収支!$D:$D,物件収支!$A:$A,$A656,物件収支!$C:$C,$M656))</f>
        <v>6</v>
      </c>
      <c r="O656" s="1" t="n">
        <f aca="false">IF($A656="","",SUMIFS(物件収支!$F:$F,物件収支!$A:$A,$A656,物件収支!$C:$C,$M656))</f>
        <v>27612</v>
      </c>
      <c r="P656" s="1" t="n">
        <f aca="false">IF($A656="","",SUMIFS(物件収支!$I:$I,物件収支!$A:$A,$A656,物件収支!$C:$C,$M656))</f>
        <v>0</v>
      </c>
      <c r="Q656" s="1" t="n">
        <f aca="false">IF($A656="","",SUMIFS(物件収支!$O:$O,物件収支!$A:$A,$A656,物件収支!$C:$C,$M656))</f>
        <v>0</v>
      </c>
      <c r="R656" s="1" t="str">
        <f aca="false">IF($A656="","",IF(P656=0,"",O656-P656))</f>
        <v/>
      </c>
      <c r="S656" s="1" t="str">
        <f aca="false">IF($A656="","",IF(R656="","",R656+Q656))</f>
        <v/>
      </c>
      <c r="T656" s="1" t="str">
        <f aca="false">IF($A656="","",IF(OR(S656="",N656&lt;=0),"",S656/1000*12/N656))</f>
        <v/>
      </c>
      <c r="U656" s="1" t="str">
        <f aca="false">IF($A656="","",IF(OR(T656="",J656=0,J656=""),"",T656/J656))</f>
        <v/>
      </c>
      <c r="V656" s="1" t="str">
        <f aca="false">IF($A656="","",IF(OR(R656="",N656&lt;=0,J656=0,J656=""),"",(R656/1000*12/N656)/J656))</f>
        <v/>
      </c>
      <c r="W656" s="1" t="str">
        <f aca="false">IF($A656="","",IF(OR(T656="",K656=0,K656=""),"",T656/K656))</f>
        <v/>
      </c>
      <c r="X656" s="1" t="n">
        <f aca="false">IF($A656="","",IF(OR(N656&lt;=0,I656=0,I656="",O656=0),"",O656*1000/(I656*0.3025)/N656))</f>
        <v>14849.1226530432</v>
      </c>
      <c r="Y656" s="1" t="str">
        <f aca="false">IF($A656="","",IF(OR(O656=0,O656="",P656=0),"",P656/O656))</f>
        <v/>
      </c>
      <c r="Z656" s="1" t="str">
        <f aca="false">IF($A656="","",IFERROR(INDEX(物件収支!$E:$E,MATCH($A656,物件収支!$A:$A,0)),""))</f>
        <v>開示（物件別・収益のみ）</v>
      </c>
    </row>
    <row r="657" customFormat="false" ht="16.5" hidden="false" customHeight="true" outlineLevel="0" collapsed="false">
      <c r="A657" s="1" t="str">
        <f aca="false">IF(物件マスタ!A657="","",物件マスタ!A657)</f>
        <v>HFR-056</v>
      </c>
      <c r="B657" s="1" t="str">
        <f aca="false">IF($A657="","",物件マスタ!B657)</f>
        <v>HFR</v>
      </c>
      <c r="C657" s="1" t="str">
        <f aca="false">IF($A657="","",IFERROR(INDEX(法人マスタ!$C:$C,MATCH($B657,法人マスタ!$A:$A,0)),""))</f>
        <v>平和不動産リート投資法人</v>
      </c>
      <c r="D657" s="1" t="str">
        <f aca="false">IF($A657="","",物件マスタ!C657)</f>
        <v>ＨＦ白金高輪レジデンス</v>
      </c>
      <c r="E657" s="1" t="str">
        <f aca="false">IF($A657="","",物件マスタ!H657)</f>
        <v>都心5区</v>
      </c>
      <c r="F657" s="1" t="n">
        <f aca="false">IF($A657="","",物件マスタ!P657)</f>
        <v>0</v>
      </c>
      <c r="G657" s="1" t="str">
        <f aca="false">IF($A657="","",物件マスタ!Q657)</f>
        <v/>
      </c>
      <c r="H657" s="1" t="n">
        <f aca="false">IF($A657="","",物件マスタ!L657)</f>
        <v>0</v>
      </c>
      <c r="I657" s="1" t="n">
        <f aca="false">IF($A657="","",物件マスタ!M657)</f>
        <v>4457.76</v>
      </c>
      <c r="J657" s="1" t="n">
        <f aca="false">IF($A657="","",物件マスタ!S657)</f>
        <v>4030</v>
      </c>
      <c r="K657" s="1" t="n">
        <f aca="false">IF($A657="","",物件マスタ!U657)</f>
        <v>7260</v>
      </c>
      <c r="L657" s="1" t="n">
        <f aca="false">IF($A657="","",物件マスタ!W657)</f>
        <v>0.9651</v>
      </c>
      <c r="M657" s="1" t="str">
        <f aca="false">IF($A657="","",IFERROR(INDEX(法人マスタ!$H:$H,MATCH($B657,法人マスタ!$A:$A,0)),""))</f>
        <v>2026年5月期（第49期）</v>
      </c>
      <c r="N657" s="1" t="n">
        <f aca="false">IF($A657="","",SUMIFS(物件収支!$D:$D,物件収支!$A:$A,$A657,物件収支!$C:$C,$M657))</f>
        <v>6</v>
      </c>
      <c r="O657" s="1" t="n">
        <f aca="false">IF($A657="","",SUMIFS(物件収支!$F:$F,物件収支!$A:$A,$A657,物件収支!$C:$C,$M657))</f>
        <v>143505</v>
      </c>
      <c r="P657" s="1" t="n">
        <f aca="false">IF($A657="","",SUMIFS(物件収支!$I:$I,物件収支!$A:$A,$A657,物件収支!$C:$C,$M657))</f>
        <v>0</v>
      </c>
      <c r="Q657" s="1" t="n">
        <f aca="false">IF($A657="","",SUMIFS(物件収支!$O:$O,物件収支!$A:$A,$A657,物件収支!$C:$C,$M657))</f>
        <v>0</v>
      </c>
      <c r="R657" s="1" t="str">
        <f aca="false">IF($A657="","",IF(P657=0,"",O657-P657))</f>
        <v/>
      </c>
      <c r="S657" s="1" t="str">
        <f aca="false">IF($A657="","",IF(R657="","",R657+Q657))</f>
        <v/>
      </c>
      <c r="T657" s="1" t="str">
        <f aca="false">IF($A657="","",IF(OR(S657="",N657&lt;=0),"",S657/1000*12/N657))</f>
        <v/>
      </c>
      <c r="U657" s="1" t="str">
        <f aca="false">IF($A657="","",IF(OR(T657="",J657=0,J657=""),"",T657/J657))</f>
        <v/>
      </c>
      <c r="V657" s="1" t="str">
        <f aca="false">IF($A657="","",IF(OR(R657="",N657&lt;=0,J657=0,J657=""),"",(R657/1000*12/N657)/J657))</f>
        <v/>
      </c>
      <c r="W657" s="1" t="str">
        <f aca="false">IF($A657="","",IF(OR(T657="",K657=0,K657=""),"",T657/K657))</f>
        <v/>
      </c>
      <c r="X657" s="1" t="n">
        <f aca="false">IF($A657="","",IF(OR(N657&lt;=0,I657=0,I657="",O657=0),"",O657*1000/(I657*0.3025)/N657))</f>
        <v>17736.7367696958</v>
      </c>
      <c r="Y657" s="1" t="str">
        <f aca="false">IF($A657="","",IF(OR(O657=0,O657="",P657=0),"",P657/O657))</f>
        <v/>
      </c>
      <c r="Z657" s="1" t="str">
        <f aca="false">IF($A657="","",IFERROR(INDEX(物件収支!$E:$E,MATCH($A657,物件収支!$A:$A,0)),""))</f>
        <v>開示（物件別・収益のみ）</v>
      </c>
    </row>
    <row r="658" customFormat="false" ht="16.5" hidden="false" customHeight="true" outlineLevel="0" collapsed="false">
      <c r="A658" s="1" t="str">
        <f aca="false">IF(物件マスタ!A658="","",物件マスタ!A658)</f>
        <v>HFR-057</v>
      </c>
      <c r="B658" s="1" t="str">
        <f aca="false">IF($A658="","",物件マスタ!B658)</f>
        <v>HFR</v>
      </c>
      <c r="C658" s="1" t="str">
        <f aca="false">IF($A658="","",IFERROR(INDEX(法人マスタ!$C:$C,MATCH($B658,法人マスタ!$A:$A,0)),""))</f>
        <v>平和不動産リート投資法人</v>
      </c>
      <c r="D658" s="1" t="str">
        <f aca="false">IF($A658="","",物件マスタ!C658)</f>
        <v>ＨＦ明大前レジデンス</v>
      </c>
      <c r="E658" s="1" t="str">
        <f aca="false">IF($A658="","",物件マスタ!H658)</f>
        <v>その他東京23区</v>
      </c>
      <c r="F658" s="1" t="n">
        <f aca="false">IF($A658="","",物件マスタ!P658)</f>
        <v>0</v>
      </c>
      <c r="G658" s="1" t="str">
        <f aca="false">IF($A658="","",物件マスタ!Q658)</f>
        <v/>
      </c>
      <c r="H658" s="1" t="n">
        <f aca="false">IF($A658="","",物件マスタ!L658)</f>
        <v>0</v>
      </c>
      <c r="I658" s="1" t="n">
        <f aca="false">IF($A658="","",物件マスタ!M658)</f>
        <v>1187.25</v>
      </c>
      <c r="J658" s="1" t="n">
        <f aca="false">IF($A658="","",物件マスタ!S658)</f>
        <v>1070</v>
      </c>
      <c r="K658" s="1" t="n">
        <f aca="false">IF($A658="","",物件マスタ!U658)</f>
        <v>1290</v>
      </c>
      <c r="L658" s="1" t="n">
        <f aca="false">IF($A658="","",物件マスタ!W658)</f>
        <v>0.9447</v>
      </c>
      <c r="M658" s="1" t="str">
        <f aca="false">IF($A658="","",IFERROR(INDEX(法人マスタ!$H:$H,MATCH($B658,法人マスタ!$A:$A,0)),""))</f>
        <v>2026年5月期（第49期）</v>
      </c>
      <c r="N658" s="1" t="n">
        <f aca="false">IF($A658="","",SUMIFS(物件収支!$D:$D,物件収支!$A:$A,$A658,物件収支!$C:$C,$M658))</f>
        <v>6</v>
      </c>
      <c r="O658" s="1" t="n">
        <f aca="false">IF($A658="","",SUMIFS(物件収支!$F:$F,物件収支!$A:$A,$A658,物件収支!$C:$C,$M658))</f>
        <v>30853</v>
      </c>
      <c r="P658" s="1" t="n">
        <f aca="false">IF($A658="","",SUMIFS(物件収支!$I:$I,物件収支!$A:$A,$A658,物件収支!$C:$C,$M658))</f>
        <v>0</v>
      </c>
      <c r="Q658" s="1" t="n">
        <f aca="false">IF($A658="","",SUMIFS(物件収支!$O:$O,物件収支!$A:$A,$A658,物件収支!$C:$C,$M658))</f>
        <v>0</v>
      </c>
      <c r="R658" s="1" t="str">
        <f aca="false">IF($A658="","",IF(P658=0,"",O658-P658))</f>
        <v/>
      </c>
      <c r="S658" s="1" t="str">
        <f aca="false">IF($A658="","",IF(R658="","",R658+Q658))</f>
        <v/>
      </c>
      <c r="T658" s="1" t="str">
        <f aca="false">IF($A658="","",IF(OR(S658="",N658&lt;=0),"",S658/1000*12/N658))</f>
        <v/>
      </c>
      <c r="U658" s="1" t="str">
        <f aca="false">IF($A658="","",IF(OR(T658="",J658=0,J658=""),"",T658/J658))</f>
        <v/>
      </c>
      <c r="V658" s="1" t="str">
        <f aca="false">IF($A658="","",IF(OR(R658="",N658&lt;=0,J658=0,J658=""),"",(R658/1000*12/N658)/J658))</f>
        <v/>
      </c>
      <c r="W658" s="1" t="str">
        <f aca="false">IF($A658="","",IF(OR(T658="",K658=0,K658=""),"",T658/K658))</f>
        <v/>
      </c>
      <c r="X658" s="1" t="n">
        <f aca="false">IF($A658="","",IF(OR(N658&lt;=0,I658=0,I658="",O658=0),"",O658*1000/(I658*0.3025)/N658))</f>
        <v>14317.8758236474</v>
      </c>
      <c r="Y658" s="1" t="str">
        <f aca="false">IF($A658="","",IF(OR(O658=0,O658="",P658=0),"",P658/O658))</f>
        <v/>
      </c>
      <c r="Z658" s="1" t="str">
        <f aca="false">IF($A658="","",IFERROR(INDEX(物件収支!$E:$E,MATCH($A658,物件収支!$A:$A,0)),""))</f>
        <v>開示（物件別・収益のみ）</v>
      </c>
    </row>
    <row r="659" customFormat="false" ht="16.5" hidden="false" customHeight="true" outlineLevel="0" collapsed="false">
      <c r="A659" s="1" t="str">
        <f aca="false">IF(物件マスタ!A659="","",物件マスタ!A659)</f>
        <v>HFR-058</v>
      </c>
      <c r="B659" s="1" t="str">
        <f aca="false">IF($A659="","",物件マスタ!B659)</f>
        <v>HFR</v>
      </c>
      <c r="C659" s="1" t="str">
        <f aca="false">IF($A659="","",IFERROR(INDEX(法人マスタ!$C:$C,MATCH($B659,法人マスタ!$A:$A,0)),""))</f>
        <v>平和不動産リート投資法人</v>
      </c>
      <c r="D659" s="1" t="str">
        <f aca="false">IF($A659="","",物件マスタ!C659)</f>
        <v>ＨＦ日本橋レジデンス</v>
      </c>
      <c r="E659" s="1" t="str">
        <f aca="false">IF($A659="","",物件マスタ!H659)</f>
        <v>都心5区</v>
      </c>
      <c r="F659" s="1" t="n">
        <f aca="false">IF($A659="","",物件マスタ!P659)</f>
        <v>0</v>
      </c>
      <c r="G659" s="1" t="str">
        <f aca="false">IF($A659="","",物件マスタ!Q659)</f>
        <v/>
      </c>
      <c r="H659" s="1" t="n">
        <f aca="false">IF($A659="","",物件マスタ!L659)</f>
        <v>0</v>
      </c>
      <c r="I659" s="1" t="n">
        <f aca="false">IF($A659="","",物件マスタ!M659)</f>
        <v>1418.23</v>
      </c>
      <c r="J659" s="1" t="n">
        <f aca="false">IF($A659="","",物件マスタ!S659)</f>
        <v>1130</v>
      </c>
      <c r="K659" s="1" t="n">
        <f aca="false">IF($A659="","",物件マスタ!U659)</f>
        <v>1360</v>
      </c>
      <c r="L659" s="1" t="n">
        <f aca="false">IF($A659="","",物件マスタ!W659)</f>
        <v>1</v>
      </c>
      <c r="M659" s="1" t="str">
        <f aca="false">IF($A659="","",IFERROR(INDEX(法人マスタ!$H:$H,MATCH($B659,法人マスタ!$A:$A,0)),""))</f>
        <v>2026年5月期（第49期）</v>
      </c>
      <c r="N659" s="1" t="n">
        <f aca="false">IF($A659="","",SUMIFS(物件収支!$D:$D,物件収支!$A:$A,$A659,物件収支!$C:$C,$M659))</f>
        <v>6</v>
      </c>
      <c r="O659" s="1" t="n">
        <f aca="false">IF($A659="","",SUMIFS(物件収支!$F:$F,物件収支!$A:$A,$A659,物件収支!$C:$C,$M659))</f>
        <v>37415</v>
      </c>
      <c r="P659" s="1" t="n">
        <f aca="false">IF($A659="","",SUMIFS(物件収支!$I:$I,物件収支!$A:$A,$A659,物件収支!$C:$C,$M659))</f>
        <v>0</v>
      </c>
      <c r="Q659" s="1" t="n">
        <f aca="false">IF($A659="","",SUMIFS(物件収支!$O:$O,物件収支!$A:$A,$A659,物件収支!$C:$C,$M659))</f>
        <v>0</v>
      </c>
      <c r="R659" s="1" t="str">
        <f aca="false">IF($A659="","",IF(P659=0,"",O659-P659))</f>
        <v/>
      </c>
      <c r="S659" s="1" t="str">
        <f aca="false">IF($A659="","",IF(R659="","",R659+Q659))</f>
        <v/>
      </c>
      <c r="T659" s="1" t="str">
        <f aca="false">IF($A659="","",IF(OR(S659="",N659&lt;=0),"",S659/1000*12/N659))</f>
        <v/>
      </c>
      <c r="U659" s="1" t="str">
        <f aca="false">IF($A659="","",IF(OR(T659="",J659=0,J659=""),"",T659/J659))</f>
        <v/>
      </c>
      <c r="V659" s="1" t="str">
        <f aca="false">IF($A659="","",IF(OR(R659="",N659&lt;=0,J659=0,J659=""),"",(R659/1000*12/N659)/J659))</f>
        <v/>
      </c>
      <c r="W659" s="1" t="str">
        <f aca="false">IF($A659="","",IF(OR(T659="",K659=0,K659=""),"",T659/K659))</f>
        <v/>
      </c>
      <c r="X659" s="1" t="n">
        <f aca="false">IF($A659="","",IF(OR(N659&lt;=0,I659=0,I659="",O659=0),"",O659*1000/(I659*0.3025)/N659))</f>
        <v>14535.2482100016</v>
      </c>
      <c r="Y659" s="1" t="str">
        <f aca="false">IF($A659="","",IF(OR(O659=0,O659="",P659=0),"",P659/O659))</f>
        <v/>
      </c>
      <c r="Z659" s="1" t="str">
        <f aca="false">IF($A659="","",IFERROR(INDEX(物件収支!$E:$E,MATCH($A659,物件収支!$A:$A,0)),""))</f>
        <v>開示（物件別・収益のみ）</v>
      </c>
    </row>
    <row r="660" customFormat="false" ht="16.5" hidden="false" customHeight="true" outlineLevel="0" collapsed="false">
      <c r="A660" s="1" t="str">
        <f aca="false">IF(物件マスタ!A660="","",物件マスタ!A660)</f>
        <v>HFR-059</v>
      </c>
      <c r="B660" s="1" t="str">
        <f aca="false">IF($A660="","",物件マスタ!B660)</f>
        <v>HFR</v>
      </c>
      <c r="C660" s="1" t="str">
        <f aca="false">IF($A660="","",IFERROR(INDEX(法人マスタ!$C:$C,MATCH($B660,法人マスタ!$A:$A,0)),""))</f>
        <v>平和不動産リート投資法人</v>
      </c>
      <c r="D660" s="1" t="str">
        <f aca="false">IF($A660="","",物件マスタ!C660)</f>
        <v>ＨＦ上石神井レジデンス</v>
      </c>
      <c r="E660" s="1" t="str">
        <f aca="false">IF($A660="","",物件マスタ!H660)</f>
        <v>その他東京23区</v>
      </c>
      <c r="F660" s="1" t="n">
        <f aca="false">IF($A660="","",物件マスタ!P660)</f>
        <v>0</v>
      </c>
      <c r="G660" s="1" t="str">
        <f aca="false">IF($A660="","",物件マスタ!Q660)</f>
        <v/>
      </c>
      <c r="H660" s="1" t="n">
        <f aca="false">IF($A660="","",物件マスタ!L660)</f>
        <v>0</v>
      </c>
      <c r="I660" s="1" t="n">
        <f aca="false">IF($A660="","",物件マスタ!M660)</f>
        <v>1494.91</v>
      </c>
      <c r="J660" s="1" t="n">
        <f aca="false">IF($A660="","",物件マスタ!S660)</f>
        <v>950</v>
      </c>
      <c r="K660" s="1" t="n">
        <f aca="false">IF($A660="","",物件マスタ!U660)</f>
        <v>1190</v>
      </c>
      <c r="L660" s="1" t="n">
        <f aca="false">IF($A660="","",物件マスタ!W660)</f>
        <v>0.9567</v>
      </c>
      <c r="M660" s="1" t="str">
        <f aca="false">IF($A660="","",IFERROR(INDEX(法人マスタ!$H:$H,MATCH($B660,法人マスタ!$A:$A,0)),""))</f>
        <v>2026年5月期（第49期）</v>
      </c>
      <c r="N660" s="1" t="n">
        <f aca="false">IF($A660="","",SUMIFS(物件収支!$D:$D,物件収支!$A:$A,$A660,物件収支!$C:$C,$M660))</f>
        <v>6</v>
      </c>
      <c r="O660" s="1" t="n">
        <f aca="false">IF($A660="","",SUMIFS(物件収支!$F:$F,物件収支!$A:$A,$A660,物件収支!$C:$C,$M660))</f>
        <v>35052</v>
      </c>
      <c r="P660" s="1" t="n">
        <f aca="false">IF($A660="","",SUMIFS(物件収支!$I:$I,物件収支!$A:$A,$A660,物件収支!$C:$C,$M660))</f>
        <v>0</v>
      </c>
      <c r="Q660" s="1" t="n">
        <f aca="false">IF($A660="","",SUMIFS(物件収支!$O:$O,物件収支!$A:$A,$A660,物件収支!$C:$C,$M660))</f>
        <v>0</v>
      </c>
      <c r="R660" s="1" t="str">
        <f aca="false">IF($A660="","",IF(P660=0,"",O660-P660))</f>
        <v/>
      </c>
      <c r="S660" s="1" t="str">
        <f aca="false">IF($A660="","",IF(R660="","",R660+Q660))</f>
        <v/>
      </c>
      <c r="T660" s="1" t="str">
        <f aca="false">IF($A660="","",IF(OR(S660="",N660&lt;=0),"",S660/1000*12/N660))</f>
        <v/>
      </c>
      <c r="U660" s="1" t="str">
        <f aca="false">IF($A660="","",IF(OR(T660="",J660=0,J660=""),"",T660/J660))</f>
        <v/>
      </c>
      <c r="V660" s="1" t="str">
        <f aca="false">IF($A660="","",IF(OR(R660="",N660&lt;=0,J660=0,J660=""),"",(R660/1000*12/N660)/J660))</f>
        <v/>
      </c>
      <c r="W660" s="1" t="str">
        <f aca="false">IF($A660="","",IF(OR(T660="",K660=0,K660=""),"",T660/K660))</f>
        <v/>
      </c>
      <c r="X660" s="1" t="n">
        <f aca="false">IF($A660="","",IF(OR(N660&lt;=0,I660=0,I660="",O660=0),"",O660*1000/(I660*0.3025)/N660))</f>
        <v>12918.7688183335</v>
      </c>
      <c r="Y660" s="1" t="str">
        <f aca="false">IF($A660="","",IF(OR(O660=0,O660="",P660=0),"",P660/O660))</f>
        <v/>
      </c>
      <c r="Z660" s="1" t="str">
        <f aca="false">IF($A660="","",IFERROR(INDEX(物件収支!$E:$E,MATCH($A660,物件収支!$A:$A,0)),""))</f>
        <v>開示（物件別・収益のみ）</v>
      </c>
    </row>
    <row r="661" customFormat="false" ht="16.5" hidden="false" customHeight="true" outlineLevel="0" collapsed="false">
      <c r="A661" s="1" t="str">
        <f aca="false">IF(物件マスタ!A661="","",物件マスタ!A661)</f>
        <v>HFR-060</v>
      </c>
      <c r="B661" s="1" t="str">
        <f aca="false">IF($A661="","",物件マスタ!B661)</f>
        <v>HFR</v>
      </c>
      <c r="C661" s="1" t="str">
        <f aca="false">IF($A661="","",IFERROR(INDEX(法人マスタ!$C:$C,MATCH($B661,法人マスタ!$A:$A,0)),""))</f>
        <v>平和不動産リート投資法人</v>
      </c>
      <c r="D661" s="1" t="str">
        <f aca="false">IF($A661="","",物件マスタ!C661)</f>
        <v>ＨＦ錦糸町レジデンス</v>
      </c>
      <c r="E661" s="1" t="str">
        <f aca="false">IF($A661="","",物件マスタ!H661)</f>
        <v>その他東京23区</v>
      </c>
      <c r="F661" s="1" t="n">
        <f aca="false">IF($A661="","",物件マスタ!P661)</f>
        <v>0</v>
      </c>
      <c r="G661" s="1" t="str">
        <f aca="false">IF($A661="","",物件マスタ!Q661)</f>
        <v/>
      </c>
      <c r="H661" s="1" t="n">
        <f aca="false">IF($A661="","",物件マスタ!L661)</f>
        <v>0</v>
      </c>
      <c r="I661" s="1" t="n">
        <f aca="false">IF($A661="","",物件マスタ!M661)</f>
        <v>1427.58</v>
      </c>
      <c r="J661" s="1" t="n">
        <f aca="false">IF($A661="","",物件マスタ!S661)</f>
        <v>1100</v>
      </c>
      <c r="K661" s="1" t="n">
        <f aca="false">IF($A661="","",物件マスタ!U661)</f>
        <v>1540</v>
      </c>
      <c r="L661" s="1" t="n">
        <f aca="false">IF($A661="","",物件マスタ!W661)</f>
        <v>1</v>
      </c>
      <c r="M661" s="1" t="str">
        <f aca="false">IF($A661="","",IFERROR(INDEX(法人マスタ!$H:$H,MATCH($B661,法人マスタ!$A:$A,0)),""))</f>
        <v>2026年5月期（第49期）</v>
      </c>
      <c r="N661" s="1" t="n">
        <f aca="false">IF($A661="","",SUMIFS(物件収支!$D:$D,物件収支!$A:$A,$A661,物件収支!$C:$C,$M661))</f>
        <v>6</v>
      </c>
      <c r="O661" s="1" t="n">
        <f aca="false">IF($A661="","",SUMIFS(物件収支!$F:$F,物件収支!$A:$A,$A661,物件収支!$C:$C,$M661))</f>
        <v>35193</v>
      </c>
      <c r="P661" s="1" t="n">
        <f aca="false">IF($A661="","",SUMIFS(物件収支!$I:$I,物件収支!$A:$A,$A661,物件収支!$C:$C,$M661))</f>
        <v>0</v>
      </c>
      <c r="Q661" s="1" t="n">
        <f aca="false">IF($A661="","",SUMIFS(物件収支!$O:$O,物件収支!$A:$A,$A661,物件収支!$C:$C,$M661))</f>
        <v>0</v>
      </c>
      <c r="R661" s="1" t="str">
        <f aca="false">IF($A661="","",IF(P661=0,"",O661-P661))</f>
        <v/>
      </c>
      <c r="S661" s="1" t="str">
        <f aca="false">IF($A661="","",IF(R661="","",R661+Q661))</f>
        <v/>
      </c>
      <c r="T661" s="1" t="str">
        <f aca="false">IF($A661="","",IF(OR(S661="",N661&lt;=0),"",S661/1000*12/N661))</f>
        <v/>
      </c>
      <c r="U661" s="1" t="str">
        <f aca="false">IF($A661="","",IF(OR(T661="",J661=0,J661=""),"",T661/J661))</f>
        <v/>
      </c>
      <c r="V661" s="1" t="str">
        <f aca="false">IF($A661="","",IF(OR(R661="",N661&lt;=0,J661=0,J661=""),"",(R661/1000*12/N661)/J661))</f>
        <v/>
      </c>
      <c r="W661" s="1" t="str">
        <f aca="false">IF($A661="","",IF(OR(T661="",K661=0,K661=""),"",T661/K661))</f>
        <v/>
      </c>
      <c r="X661" s="1" t="n">
        <f aca="false">IF($A661="","",IF(OR(N661&lt;=0,I661=0,I661="",O661=0),"",O661*1000/(I661*0.3025)/N661))</f>
        <v>13582.4840952017</v>
      </c>
      <c r="Y661" s="1" t="str">
        <f aca="false">IF($A661="","",IF(OR(O661=0,O661="",P661=0),"",P661/O661))</f>
        <v/>
      </c>
      <c r="Z661" s="1" t="str">
        <f aca="false">IF($A661="","",IFERROR(INDEX(物件収支!$E:$E,MATCH($A661,物件収支!$A:$A,0)),""))</f>
        <v>開示（物件別・収益のみ）</v>
      </c>
    </row>
    <row r="662" customFormat="false" ht="16.5" hidden="false" customHeight="true" outlineLevel="0" collapsed="false">
      <c r="A662" s="1" t="str">
        <f aca="false">IF(物件マスタ!A662="","",物件マスタ!A662)</f>
        <v>HFR-061</v>
      </c>
      <c r="B662" s="1" t="str">
        <f aca="false">IF($A662="","",物件マスタ!B662)</f>
        <v>HFR</v>
      </c>
      <c r="C662" s="1" t="str">
        <f aca="false">IF($A662="","",IFERROR(INDEX(法人マスタ!$C:$C,MATCH($B662,法人マスタ!$A:$A,0)),""))</f>
        <v>平和不動産リート投資法人</v>
      </c>
      <c r="D662" s="1" t="str">
        <f aca="false">IF($A662="","",物件マスタ!C662)</f>
        <v>ＨＦ銀座レジデンスＥＡＳＴ</v>
      </c>
      <c r="E662" s="1" t="str">
        <f aca="false">IF($A662="","",物件マスタ!H662)</f>
        <v>都心5区</v>
      </c>
      <c r="F662" s="1" t="n">
        <f aca="false">IF($A662="","",物件マスタ!P662)</f>
        <v>0</v>
      </c>
      <c r="G662" s="1" t="str">
        <f aca="false">IF($A662="","",物件マスタ!Q662)</f>
        <v/>
      </c>
      <c r="H662" s="1" t="n">
        <f aca="false">IF($A662="","",物件マスタ!L662)</f>
        <v>0</v>
      </c>
      <c r="I662" s="1" t="n">
        <f aca="false">IF($A662="","",物件マスタ!M662)</f>
        <v>5459.49</v>
      </c>
      <c r="J662" s="1" t="n">
        <f aca="false">IF($A662="","",物件マスタ!S662)</f>
        <v>5940</v>
      </c>
      <c r="K662" s="1" t="n">
        <f aca="false">IF($A662="","",物件マスタ!U662)</f>
        <v>7330</v>
      </c>
      <c r="L662" s="1" t="n">
        <f aca="false">IF($A662="","",物件マスタ!W662)</f>
        <v>0.9516</v>
      </c>
      <c r="M662" s="1" t="str">
        <f aca="false">IF($A662="","",IFERROR(INDEX(法人マスタ!$H:$H,MATCH($B662,法人マスタ!$A:$A,0)),""))</f>
        <v>2026年5月期（第49期）</v>
      </c>
      <c r="N662" s="1" t="n">
        <f aca="false">IF($A662="","",SUMIFS(物件収支!$D:$D,物件収支!$A:$A,$A662,物件収支!$C:$C,$M662))</f>
        <v>6</v>
      </c>
      <c r="O662" s="1" t="n">
        <f aca="false">IF($A662="","",SUMIFS(物件収支!$F:$F,物件収支!$A:$A,$A662,物件収支!$C:$C,$M662))</f>
        <v>148400</v>
      </c>
      <c r="P662" s="1" t="n">
        <f aca="false">IF($A662="","",SUMIFS(物件収支!$I:$I,物件収支!$A:$A,$A662,物件収支!$C:$C,$M662))</f>
        <v>0</v>
      </c>
      <c r="Q662" s="1" t="n">
        <f aca="false">IF($A662="","",SUMIFS(物件収支!$O:$O,物件収支!$A:$A,$A662,物件収支!$C:$C,$M662))</f>
        <v>0</v>
      </c>
      <c r="R662" s="1" t="str">
        <f aca="false">IF($A662="","",IF(P662=0,"",O662-P662))</f>
        <v/>
      </c>
      <c r="S662" s="1" t="str">
        <f aca="false">IF($A662="","",IF(R662="","",R662+Q662))</f>
        <v/>
      </c>
      <c r="T662" s="1" t="str">
        <f aca="false">IF($A662="","",IF(OR(S662="",N662&lt;=0),"",S662/1000*12/N662))</f>
        <v/>
      </c>
      <c r="U662" s="1" t="str">
        <f aca="false">IF($A662="","",IF(OR(T662="",J662=0,J662=""),"",T662/J662))</f>
        <v/>
      </c>
      <c r="V662" s="1" t="str">
        <f aca="false">IF($A662="","",IF(OR(R662="",N662&lt;=0,J662=0,J662=""),"",(R662/1000*12/N662)/J662))</f>
        <v/>
      </c>
      <c r="W662" s="1" t="str">
        <f aca="false">IF($A662="","",IF(OR(T662="",K662=0,K662=""),"",T662/K662))</f>
        <v/>
      </c>
      <c r="X662" s="1" t="n">
        <f aca="false">IF($A662="","",IF(OR(N662&lt;=0,I662=0,I662="",O662=0),"",O662*1000/(I662*0.3025)/N662))</f>
        <v>14976.322953142</v>
      </c>
      <c r="Y662" s="1" t="str">
        <f aca="false">IF($A662="","",IF(OR(O662=0,O662="",P662=0),"",P662/O662))</f>
        <v/>
      </c>
      <c r="Z662" s="1" t="str">
        <f aca="false">IF($A662="","",IFERROR(INDEX(物件収支!$E:$E,MATCH($A662,物件収支!$A:$A,0)),""))</f>
        <v>開示（物件別・収益のみ）</v>
      </c>
    </row>
    <row r="663" customFormat="false" ht="16.5" hidden="false" customHeight="true" outlineLevel="0" collapsed="false">
      <c r="A663" s="1" t="str">
        <f aca="false">IF(物件マスタ!A663="","",物件マスタ!A663)</f>
        <v>HFR-062</v>
      </c>
      <c r="B663" s="1" t="str">
        <f aca="false">IF($A663="","",物件マスタ!B663)</f>
        <v>HFR</v>
      </c>
      <c r="C663" s="1" t="str">
        <f aca="false">IF($A663="","",IFERROR(INDEX(法人マスタ!$C:$C,MATCH($B663,法人マスタ!$A:$A,0)),""))</f>
        <v>平和不動産リート投資法人</v>
      </c>
      <c r="D663" s="1" t="str">
        <f aca="false">IF($A663="","",物件マスタ!C663)</f>
        <v>ＨＦ新横浜レジデンス</v>
      </c>
      <c r="E663" s="1" t="str">
        <f aca="false">IF($A663="","",物件マスタ!H663)</f>
        <v>東京周辺都市部</v>
      </c>
      <c r="F663" s="1" t="n">
        <f aca="false">IF($A663="","",物件マスタ!P663)</f>
        <v>0</v>
      </c>
      <c r="G663" s="1" t="str">
        <f aca="false">IF($A663="","",物件マスタ!Q663)</f>
        <v/>
      </c>
      <c r="H663" s="1" t="n">
        <f aca="false">IF($A663="","",物件マスタ!L663)</f>
        <v>0</v>
      </c>
      <c r="I663" s="1" t="n">
        <f aca="false">IF($A663="","",物件マスタ!M663)</f>
        <v>4224.61</v>
      </c>
      <c r="J663" s="1" t="n">
        <f aca="false">IF($A663="","",物件マスタ!S663)</f>
        <v>3350</v>
      </c>
      <c r="K663" s="1" t="n">
        <f aca="false">IF($A663="","",物件マスタ!U663)</f>
        <v>3250</v>
      </c>
      <c r="L663" s="1" t="n">
        <f aca="false">IF($A663="","",物件マスタ!W663)</f>
        <v>0.9612</v>
      </c>
      <c r="M663" s="1" t="str">
        <f aca="false">IF($A663="","",IFERROR(INDEX(法人マスタ!$H:$H,MATCH($B663,法人マスタ!$A:$A,0)),""))</f>
        <v>2026年5月期（第49期）</v>
      </c>
      <c r="N663" s="1" t="n">
        <f aca="false">IF($A663="","",SUMIFS(物件収支!$D:$D,物件収支!$A:$A,$A663,物件収支!$C:$C,$M663))</f>
        <v>6</v>
      </c>
      <c r="O663" s="1" t="n">
        <f aca="false">IF($A663="","",SUMIFS(物件収支!$F:$F,物件収支!$A:$A,$A663,物件収支!$C:$C,$M663))</f>
        <v>90894</v>
      </c>
      <c r="P663" s="1" t="n">
        <f aca="false">IF($A663="","",SUMIFS(物件収支!$I:$I,物件収支!$A:$A,$A663,物件収支!$C:$C,$M663))</f>
        <v>0</v>
      </c>
      <c r="Q663" s="1" t="n">
        <f aca="false">IF($A663="","",SUMIFS(物件収支!$O:$O,物件収支!$A:$A,$A663,物件収支!$C:$C,$M663))</f>
        <v>0</v>
      </c>
      <c r="R663" s="1" t="str">
        <f aca="false">IF($A663="","",IF(P663=0,"",O663-P663))</f>
        <v/>
      </c>
      <c r="S663" s="1" t="str">
        <f aca="false">IF($A663="","",IF(R663="","",R663+Q663))</f>
        <v/>
      </c>
      <c r="T663" s="1" t="str">
        <f aca="false">IF($A663="","",IF(OR(S663="",N663&lt;=0),"",S663/1000*12/N663))</f>
        <v/>
      </c>
      <c r="U663" s="1" t="str">
        <f aca="false">IF($A663="","",IF(OR(T663="",J663=0,J663=""),"",T663/J663))</f>
        <v/>
      </c>
      <c r="V663" s="1" t="str">
        <f aca="false">IF($A663="","",IF(OR(R663="",N663&lt;=0,J663=0,J663=""),"",(R663/1000*12/N663)/J663))</f>
        <v/>
      </c>
      <c r="W663" s="1" t="str">
        <f aca="false">IF($A663="","",IF(OR(T663="",K663=0,K663=""),"",T663/K663))</f>
        <v/>
      </c>
      <c r="X663" s="1" t="n">
        <f aca="false">IF($A663="","",IF(OR(N663&lt;=0,I663=0,I663="",O663=0),"",O663*1000/(I663*0.3025)/N663))</f>
        <v>11854.1921841247</v>
      </c>
      <c r="Y663" s="1" t="str">
        <f aca="false">IF($A663="","",IF(OR(O663=0,O663="",P663=0),"",P663/O663))</f>
        <v/>
      </c>
      <c r="Z663" s="1" t="str">
        <f aca="false">IF($A663="","",IFERROR(INDEX(物件収支!$E:$E,MATCH($A663,物件収支!$A:$A,0)),""))</f>
        <v>開示（物件別・収益のみ）</v>
      </c>
    </row>
    <row r="664" customFormat="false" ht="16.5" hidden="false" customHeight="true" outlineLevel="0" collapsed="false">
      <c r="A664" s="1" t="str">
        <f aca="false">IF(物件マスタ!A664="","",物件マスタ!A664)</f>
        <v>HFR-063</v>
      </c>
      <c r="B664" s="1" t="str">
        <f aca="false">IF($A664="","",物件マスタ!B664)</f>
        <v>HFR</v>
      </c>
      <c r="C664" s="1" t="str">
        <f aca="false">IF($A664="","",IFERROR(INDEX(法人マスタ!$C:$C,MATCH($B664,法人マスタ!$A:$A,0)),""))</f>
        <v>平和不動産リート投資法人</v>
      </c>
      <c r="D664" s="1" t="str">
        <f aca="false">IF($A664="","",物件マスタ!C664)</f>
        <v>ＨＦ馬込レジデンス</v>
      </c>
      <c r="E664" s="1" t="str">
        <f aca="false">IF($A664="","",物件マスタ!H664)</f>
        <v>その他東京23区</v>
      </c>
      <c r="F664" s="1" t="n">
        <f aca="false">IF($A664="","",物件マスタ!P664)</f>
        <v>0</v>
      </c>
      <c r="G664" s="1" t="str">
        <f aca="false">IF($A664="","",物件マスタ!Q664)</f>
        <v/>
      </c>
      <c r="H664" s="1" t="n">
        <f aca="false">IF($A664="","",物件マスタ!L664)</f>
        <v>0</v>
      </c>
      <c r="I664" s="1" t="n">
        <f aca="false">IF($A664="","",物件マスタ!M664)</f>
        <v>2643.97</v>
      </c>
      <c r="J664" s="1" t="n">
        <f aca="false">IF($A664="","",物件マスタ!S664)</f>
        <v>1630</v>
      </c>
      <c r="K664" s="1" t="n">
        <f aca="false">IF($A664="","",物件マスタ!U664)</f>
        <v>1840</v>
      </c>
      <c r="L664" s="1" t="n">
        <f aca="false">IF($A664="","",物件マスタ!W664)</f>
        <v>0.9131</v>
      </c>
      <c r="M664" s="1" t="str">
        <f aca="false">IF($A664="","",IFERROR(INDEX(法人マスタ!$H:$H,MATCH($B664,法人マスタ!$A:$A,0)),""))</f>
        <v>2026年5月期（第49期）</v>
      </c>
      <c r="N664" s="1" t="n">
        <f aca="false">IF($A664="","",SUMIFS(物件収支!$D:$D,物件収支!$A:$A,$A664,物件収支!$C:$C,$M664))</f>
        <v>6</v>
      </c>
      <c r="O664" s="1" t="n">
        <f aca="false">IF($A664="","",SUMIFS(物件収支!$F:$F,物件収支!$A:$A,$A664,物件収支!$C:$C,$M664))</f>
        <v>51869</v>
      </c>
      <c r="P664" s="1" t="n">
        <f aca="false">IF($A664="","",SUMIFS(物件収支!$I:$I,物件収支!$A:$A,$A664,物件収支!$C:$C,$M664))</f>
        <v>0</v>
      </c>
      <c r="Q664" s="1" t="n">
        <f aca="false">IF($A664="","",SUMIFS(物件収支!$O:$O,物件収支!$A:$A,$A664,物件収支!$C:$C,$M664))</f>
        <v>0</v>
      </c>
      <c r="R664" s="1" t="str">
        <f aca="false">IF($A664="","",IF(P664=0,"",O664-P664))</f>
        <v/>
      </c>
      <c r="S664" s="1" t="str">
        <f aca="false">IF($A664="","",IF(R664="","",R664+Q664))</f>
        <v/>
      </c>
      <c r="T664" s="1" t="str">
        <f aca="false">IF($A664="","",IF(OR(S664="",N664&lt;=0),"",S664/1000*12/N664))</f>
        <v/>
      </c>
      <c r="U664" s="1" t="str">
        <f aca="false">IF($A664="","",IF(OR(T664="",J664=0,J664=""),"",T664/J664))</f>
        <v/>
      </c>
      <c r="V664" s="1" t="str">
        <f aca="false">IF($A664="","",IF(OR(R664="",N664&lt;=0,J664=0,J664=""),"",(R664/1000*12/N664)/J664))</f>
        <v/>
      </c>
      <c r="W664" s="1" t="str">
        <f aca="false">IF($A664="","",IF(OR(T664="",K664=0,K664=""),"",T664/K664))</f>
        <v/>
      </c>
      <c r="X664" s="1" t="n">
        <f aca="false">IF($A664="","",IF(OR(N664&lt;=0,I664=0,I664="",O664=0),"",O664*1000/(I664*0.3025)/N664))</f>
        <v>10808.731351909</v>
      </c>
      <c r="Y664" s="1" t="str">
        <f aca="false">IF($A664="","",IF(OR(O664=0,O664="",P664=0),"",P664/O664))</f>
        <v/>
      </c>
      <c r="Z664" s="1" t="str">
        <f aca="false">IF($A664="","",IFERROR(INDEX(物件収支!$E:$E,MATCH($A664,物件収支!$A:$A,0)),""))</f>
        <v>開示（物件別・収益のみ）</v>
      </c>
    </row>
    <row r="665" customFormat="false" ht="16.5" hidden="false" customHeight="true" outlineLevel="0" collapsed="false">
      <c r="A665" s="1" t="str">
        <f aca="false">IF(物件マスタ!A665="","",物件マスタ!A665)</f>
        <v>HFR-064</v>
      </c>
      <c r="B665" s="1" t="str">
        <f aca="false">IF($A665="","",物件マスタ!B665)</f>
        <v>HFR</v>
      </c>
      <c r="C665" s="1" t="str">
        <f aca="false">IF($A665="","",IFERROR(INDEX(法人マスタ!$C:$C,MATCH($B665,法人マスタ!$A:$A,0)),""))</f>
        <v>平和不動産リート投資法人</v>
      </c>
      <c r="D665" s="1" t="str">
        <f aca="false">IF($A665="","",物件マスタ!C665)</f>
        <v>ＨＦ学芸大学レジデンスⅡ</v>
      </c>
      <c r="E665" s="1" t="str">
        <f aca="false">IF($A665="","",物件マスタ!H665)</f>
        <v>その他東京23区</v>
      </c>
      <c r="F665" s="1" t="n">
        <f aca="false">IF($A665="","",物件マスタ!P665)</f>
        <v>0</v>
      </c>
      <c r="G665" s="1" t="str">
        <f aca="false">IF($A665="","",物件マスタ!Q665)</f>
        <v/>
      </c>
      <c r="H665" s="1" t="n">
        <f aca="false">IF($A665="","",物件マスタ!L665)</f>
        <v>0</v>
      </c>
      <c r="I665" s="1" t="n">
        <f aca="false">IF($A665="","",物件マスタ!M665)</f>
        <v>1643.53</v>
      </c>
      <c r="J665" s="1" t="n">
        <f aca="false">IF($A665="","",物件マスタ!S665)</f>
        <v>1650</v>
      </c>
      <c r="K665" s="1" t="n">
        <f aca="false">IF($A665="","",物件マスタ!U665)</f>
        <v>1600</v>
      </c>
      <c r="L665" s="1" t="n">
        <f aca="false">IF($A665="","",物件マスタ!W665)</f>
        <v>0.9525</v>
      </c>
      <c r="M665" s="1" t="str">
        <f aca="false">IF($A665="","",IFERROR(INDEX(法人マスタ!$H:$H,MATCH($B665,法人マスタ!$A:$A,0)),""))</f>
        <v>2026年5月期（第49期）</v>
      </c>
      <c r="N665" s="1" t="n">
        <f aca="false">IF($A665="","",SUMIFS(物件収支!$D:$D,物件収支!$A:$A,$A665,物件収支!$C:$C,$M665))</f>
        <v>6</v>
      </c>
      <c r="O665" s="1" t="n">
        <f aca="false">IF($A665="","",SUMIFS(物件収支!$F:$F,物件収支!$A:$A,$A665,物件収支!$C:$C,$M665))</f>
        <v>40488</v>
      </c>
      <c r="P665" s="1" t="n">
        <f aca="false">IF($A665="","",SUMIFS(物件収支!$I:$I,物件収支!$A:$A,$A665,物件収支!$C:$C,$M665))</f>
        <v>0</v>
      </c>
      <c r="Q665" s="1" t="n">
        <f aca="false">IF($A665="","",SUMIFS(物件収支!$O:$O,物件収支!$A:$A,$A665,物件収支!$C:$C,$M665))</f>
        <v>0</v>
      </c>
      <c r="R665" s="1" t="str">
        <f aca="false">IF($A665="","",IF(P665=0,"",O665-P665))</f>
        <v/>
      </c>
      <c r="S665" s="1" t="str">
        <f aca="false">IF($A665="","",IF(R665="","",R665+Q665))</f>
        <v/>
      </c>
      <c r="T665" s="1" t="str">
        <f aca="false">IF($A665="","",IF(OR(S665="",N665&lt;=0),"",S665/1000*12/N665))</f>
        <v/>
      </c>
      <c r="U665" s="1" t="str">
        <f aca="false">IF($A665="","",IF(OR(T665="",J665=0,J665=""),"",T665/J665))</f>
        <v/>
      </c>
      <c r="V665" s="1" t="str">
        <f aca="false">IF($A665="","",IF(OR(R665="",N665&lt;=0,J665=0,J665=""),"",(R665/1000*12/N665)/J665))</f>
        <v/>
      </c>
      <c r="W665" s="1" t="str">
        <f aca="false">IF($A665="","",IF(OR(T665="",K665=0,K665=""),"",T665/K665))</f>
        <v/>
      </c>
      <c r="X665" s="1" t="n">
        <f aca="false">IF($A665="","",IF(OR(N665&lt;=0,I665=0,I665="",O665=0),"",O665*1000/(I665*0.3025)/N665))</f>
        <v>13572.8815516169</v>
      </c>
      <c r="Y665" s="1" t="str">
        <f aca="false">IF($A665="","",IF(OR(O665=0,O665="",P665=0),"",P665/O665))</f>
        <v/>
      </c>
      <c r="Z665" s="1" t="str">
        <f aca="false">IF($A665="","",IFERROR(INDEX(物件収支!$E:$E,MATCH($A665,物件収支!$A:$A,0)),""))</f>
        <v>開示（物件別・収益のみ）</v>
      </c>
    </row>
    <row r="666" customFormat="false" ht="16.5" hidden="false" customHeight="true" outlineLevel="0" collapsed="false">
      <c r="A666" s="1" t="str">
        <f aca="false">IF(物件マスタ!A666="","",物件マスタ!A666)</f>
        <v>HFR-065</v>
      </c>
      <c r="B666" s="1" t="str">
        <f aca="false">IF($A666="","",物件マスタ!B666)</f>
        <v>HFR</v>
      </c>
      <c r="C666" s="1" t="str">
        <f aca="false">IF($A666="","",IFERROR(INDEX(法人マスタ!$C:$C,MATCH($B666,法人マスタ!$A:$A,0)),""))</f>
        <v>平和不動産リート投資法人</v>
      </c>
      <c r="D666" s="1" t="str">
        <f aca="false">IF($A666="","",物件マスタ!C666)</f>
        <v>ＨＦ亀戸レジデンス</v>
      </c>
      <c r="E666" s="1" t="str">
        <f aca="false">IF($A666="","",物件マスタ!H666)</f>
        <v>その他東京23区</v>
      </c>
      <c r="F666" s="1" t="n">
        <f aca="false">IF($A666="","",物件マスタ!P666)</f>
        <v>0</v>
      </c>
      <c r="G666" s="1" t="str">
        <f aca="false">IF($A666="","",物件マスタ!Q666)</f>
        <v/>
      </c>
      <c r="H666" s="1" t="n">
        <f aca="false">IF($A666="","",物件マスタ!L666)</f>
        <v>0</v>
      </c>
      <c r="I666" s="1" t="n">
        <f aca="false">IF($A666="","",物件マスタ!M666)</f>
        <v>1332.86</v>
      </c>
      <c r="J666" s="1" t="n">
        <f aca="false">IF($A666="","",物件マスタ!S666)</f>
        <v>1050</v>
      </c>
      <c r="K666" s="1" t="n">
        <f aca="false">IF($A666="","",物件マスタ!U666)</f>
        <v>1450</v>
      </c>
      <c r="L666" s="1" t="n">
        <f aca="false">IF($A666="","",物件マスタ!W666)</f>
        <v>0.9835</v>
      </c>
      <c r="M666" s="1" t="str">
        <f aca="false">IF($A666="","",IFERROR(INDEX(法人マスタ!$H:$H,MATCH($B666,法人マスタ!$A:$A,0)),""))</f>
        <v>2026年5月期（第49期）</v>
      </c>
      <c r="N666" s="1" t="n">
        <f aca="false">IF($A666="","",SUMIFS(物件収支!$D:$D,物件収支!$A:$A,$A666,物件収支!$C:$C,$M666))</f>
        <v>6</v>
      </c>
      <c r="O666" s="1" t="n">
        <f aca="false">IF($A666="","",SUMIFS(物件収支!$F:$F,物件収支!$A:$A,$A666,物件収支!$C:$C,$M666))</f>
        <v>34473</v>
      </c>
      <c r="P666" s="1" t="n">
        <f aca="false">IF($A666="","",SUMIFS(物件収支!$I:$I,物件収支!$A:$A,$A666,物件収支!$C:$C,$M666))</f>
        <v>0</v>
      </c>
      <c r="Q666" s="1" t="n">
        <f aca="false">IF($A666="","",SUMIFS(物件収支!$O:$O,物件収支!$A:$A,$A666,物件収支!$C:$C,$M666))</f>
        <v>0</v>
      </c>
      <c r="R666" s="1" t="str">
        <f aca="false">IF($A666="","",IF(P666=0,"",O666-P666))</f>
        <v/>
      </c>
      <c r="S666" s="1" t="str">
        <f aca="false">IF($A666="","",IF(R666="","",R666+Q666))</f>
        <v/>
      </c>
      <c r="T666" s="1" t="str">
        <f aca="false">IF($A666="","",IF(OR(S666="",N666&lt;=0),"",S666/1000*12/N666))</f>
        <v/>
      </c>
      <c r="U666" s="1" t="str">
        <f aca="false">IF($A666="","",IF(OR(T666="",J666=0,J666=""),"",T666/J666))</f>
        <v/>
      </c>
      <c r="V666" s="1" t="str">
        <f aca="false">IF($A666="","",IF(OR(R666="",N666&lt;=0,J666=0,J666=""),"",(R666/1000*12/N666)/J666))</f>
        <v/>
      </c>
      <c r="W666" s="1" t="str">
        <f aca="false">IF($A666="","",IF(OR(T666="",K666=0,K666=""),"",T666/K666))</f>
        <v/>
      </c>
      <c r="X666" s="1" t="n">
        <f aca="false">IF($A666="","",IF(OR(N666&lt;=0,I666=0,I666="",O666=0),"",O666*1000/(I666*0.3025)/N666))</f>
        <v>14250.1001078523</v>
      </c>
      <c r="Y666" s="1" t="str">
        <f aca="false">IF($A666="","",IF(OR(O666=0,O666="",P666=0),"",P666/O666))</f>
        <v/>
      </c>
      <c r="Z666" s="1" t="str">
        <f aca="false">IF($A666="","",IFERROR(INDEX(物件収支!$E:$E,MATCH($A666,物件収支!$A:$A,0)),""))</f>
        <v>開示（物件別・収益のみ）</v>
      </c>
    </row>
    <row r="667" customFormat="false" ht="16.5" hidden="false" customHeight="true" outlineLevel="0" collapsed="false">
      <c r="A667" s="1" t="str">
        <f aca="false">IF(物件マスタ!A667="","",物件マスタ!A667)</f>
        <v>HFR-066</v>
      </c>
      <c r="B667" s="1" t="str">
        <f aca="false">IF($A667="","",物件マスタ!B667)</f>
        <v>HFR</v>
      </c>
      <c r="C667" s="1" t="str">
        <f aca="false">IF($A667="","",IFERROR(INDEX(法人マスタ!$C:$C,MATCH($B667,法人マスタ!$A:$A,0)),""))</f>
        <v>平和不動産リート投資法人</v>
      </c>
      <c r="D667" s="1" t="str">
        <f aca="false">IF($A667="","",物件マスタ!C667)</f>
        <v>ＨＦ田無レジデンス</v>
      </c>
      <c r="E667" s="1" t="str">
        <f aca="false">IF($A667="","",物件マスタ!H667)</f>
        <v>東京周辺都市部</v>
      </c>
      <c r="F667" s="1" t="n">
        <f aca="false">IF($A667="","",物件マスタ!P667)</f>
        <v>0</v>
      </c>
      <c r="G667" s="1" t="str">
        <f aca="false">IF($A667="","",物件マスタ!Q667)</f>
        <v/>
      </c>
      <c r="H667" s="1" t="n">
        <f aca="false">IF($A667="","",物件マスタ!L667)</f>
        <v>0</v>
      </c>
      <c r="I667" s="1" t="n">
        <f aca="false">IF($A667="","",物件マスタ!M667)</f>
        <v>2970</v>
      </c>
      <c r="J667" s="1" t="n">
        <f aca="false">IF($A667="","",物件マスタ!S667)</f>
        <v>911</v>
      </c>
      <c r="K667" s="1" t="n">
        <f aca="false">IF($A667="","",物件マスタ!U667)</f>
        <v>1010</v>
      </c>
      <c r="L667" s="1" t="n">
        <f aca="false">IF($A667="","",物件マスタ!W667)</f>
        <v>0.97</v>
      </c>
      <c r="M667" s="1" t="str">
        <f aca="false">IF($A667="","",IFERROR(INDEX(法人マスタ!$H:$H,MATCH($B667,法人マスタ!$A:$A,0)),""))</f>
        <v>2026年5月期（第49期）</v>
      </c>
      <c r="N667" s="1" t="n">
        <f aca="false">IF($A667="","",SUMIFS(物件収支!$D:$D,物件収支!$A:$A,$A667,物件収支!$C:$C,$M667))</f>
        <v>6</v>
      </c>
      <c r="O667" s="1" t="n">
        <f aca="false">IF($A667="","",SUMIFS(物件収支!$F:$F,物件収支!$A:$A,$A667,物件収支!$C:$C,$M667))</f>
        <v>34760</v>
      </c>
      <c r="P667" s="1" t="n">
        <f aca="false">IF($A667="","",SUMIFS(物件収支!$I:$I,物件収支!$A:$A,$A667,物件収支!$C:$C,$M667))</f>
        <v>0</v>
      </c>
      <c r="Q667" s="1" t="n">
        <f aca="false">IF($A667="","",SUMIFS(物件収支!$O:$O,物件収支!$A:$A,$A667,物件収支!$C:$C,$M667))</f>
        <v>0</v>
      </c>
      <c r="R667" s="1" t="str">
        <f aca="false">IF($A667="","",IF(P667=0,"",O667-P667))</f>
        <v/>
      </c>
      <c r="S667" s="1" t="str">
        <f aca="false">IF($A667="","",IF(R667="","",R667+Q667))</f>
        <v/>
      </c>
      <c r="T667" s="1" t="str">
        <f aca="false">IF($A667="","",IF(OR(S667="",N667&lt;=0),"",S667/1000*12/N667))</f>
        <v/>
      </c>
      <c r="U667" s="1" t="str">
        <f aca="false">IF($A667="","",IF(OR(T667="",J667=0,J667=""),"",T667/J667))</f>
        <v/>
      </c>
      <c r="V667" s="1" t="str">
        <f aca="false">IF($A667="","",IF(OR(R667="",N667&lt;=0,J667=0,J667=""),"",(R667/1000*12/N667)/J667))</f>
        <v/>
      </c>
      <c r="W667" s="1" t="str">
        <f aca="false">IF($A667="","",IF(OR(T667="",K667=0,K667=""),"",T667/K667))</f>
        <v/>
      </c>
      <c r="X667" s="1" t="n">
        <f aca="false">IF($A667="","",IF(OR(N667&lt;=0,I667=0,I667="",O667=0),"",O667*1000/(I667*0.3025)/N667))</f>
        <v>6448.32159983675</v>
      </c>
      <c r="Y667" s="1" t="str">
        <f aca="false">IF($A667="","",IF(OR(O667=0,O667="",P667=0),"",P667/O667))</f>
        <v/>
      </c>
      <c r="Z667" s="1" t="str">
        <f aca="false">IF($A667="","",IFERROR(INDEX(物件収支!$E:$E,MATCH($A667,物件収支!$A:$A,0)),""))</f>
        <v>開示（物件別・収益のみ）</v>
      </c>
    </row>
    <row r="668" customFormat="false" ht="16.5" hidden="false" customHeight="true" outlineLevel="0" collapsed="false">
      <c r="A668" s="1" t="str">
        <f aca="false">IF(物件マスタ!A668="","",物件マスタ!A668)</f>
        <v>HFR-067</v>
      </c>
      <c r="B668" s="1" t="str">
        <f aca="false">IF($A668="","",物件マスタ!B668)</f>
        <v>HFR</v>
      </c>
      <c r="C668" s="1" t="str">
        <f aca="false">IF($A668="","",IFERROR(INDEX(法人マスタ!$C:$C,MATCH($B668,法人マスタ!$A:$A,0)),""))</f>
        <v>平和不動産リート投資法人</v>
      </c>
      <c r="D668" s="1" t="str">
        <f aca="false">IF($A668="","",物件マスタ!C668)</f>
        <v>ラ・レジダンス・ド・白金台</v>
      </c>
      <c r="E668" s="1" t="str">
        <f aca="false">IF($A668="","",物件マスタ!H668)</f>
        <v>都心5区</v>
      </c>
      <c r="F668" s="1" t="n">
        <f aca="false">IF($A668="","",物件マスタ!P668)</f>
        <v>0</v>
      </c>
      <c r="G668" s="1" t="str">
        <f aca="false">IF($A668="","",物件マスタ!Q668)</f>
        <v/>
      </c>
      <c r="H668" s="1" t="n">
        <f aca="false">IF($A668="","",物件マスタ!L668)</f>
        <v>0</v>
      </c>
      <c r="I668" s="1" t="n">
        <f aca="false">IF($A668="","",物件マスタ!M668)</f>
        <v>1089.98</v>
      </c>
      <c r="J668" s="1" t="n">
        <f aca="false">IF($A668="","",物件マスタ!S668)</f>
        <v>730</v>
      </c>
      <c r="K668" s="1" t="n">
        <f aca="false">IF($A668="","",物件マスタ!U668)</f>
        <v>1210</v>
      </c>
      <c r="L668" s="1" t="n">
        <f aca="false">IF($A668="","",物件マスタ!W668)</f>
        <v>1</v>
      </c>
      <c r="M668" s="1" t="str">
        <f aca="false">IF($A668="","",IFERROR(INDEX(法人マスタ!$H:$H,MATCH($B668,法人マスタ!$A:$A,0)),""))</f>
        <v>2026年5月期（第49期）</v>
      </c>
      <c r="N668" s="1" t="n">
        <f aca="false">IF($A668="","",SUMIFS(物件収支!$D:$D,物件収支!$A:$A,$A668,物件収支!$C:$C,$M668))</f>
        <v>6</v>
      </c>
      <c r="O668" s="1" t="n">
        <f aca="false">IF($A668="","",SUMIFS(物件収支!$F:$F,物件収支!$A:$A,$A668,物件収支!$C:$C,$M668))</f>
        <v>30038</v>
      </c>
      <c r="P668" s="1" t="n">
        <f aca="false">IF($A668="","",SUMIFS(物件収支!$I:$I,物件収支!$A:$A,$A668,物件収支!$C:$C,$M668))</f>
        <v>0</v>
      </c>
      <c r="Q668" s="1" t="n">
        <f aca="false">IF($A668="","",SUMIFS(物件収支!$O:$O,物件収支!$A:$A,$A668,物件収支!$C:$C,$M668))</f>
        <v>0</v>
      </c>
      <c r="R668" s="1" t="str">
        <f aca="false">IF($A668="","",IF(P668=0,"",O668-P668))</f>
        <v/>
      </c>
      <c r="S668" s="1" t="str">
        <f aca="false">IF($A668="","",IF(R668="","",R668+Q668))</f>
        <v/>
      </c>
      <c r="T668" s="1" t="str">
        <f aca="false">IF($A668="","",IF(OR(S668="",N668&lt;=0),"",S668/1000*12/N668))</f>
        <v/>
      </c>
      <c r="U668" s="1" t="str">
        <f aca="false">IF($A668="","",IF(OR(T668="",J668=0,J668=""),"",T668/J668))</f>
        <v/>
      </c>
      <c r="V668" s="1" t="str">
        <f aca="false">IF($A668="","",IF(OR(R668="",N668&lt;=0,J668=0,J668=""),"",(R668/1000*12/N668)/J668))</f>
        <v/>
      </c>
      <c r="W668" s="1" t="str">
        <f aca="false">IF($A668="","",IF(OR(T668="",K668=0,K668=""),"",T668/K668))</f>
        <v/>
      </c>
      <c r="X668" s="1" t="n">
        <f aca="false">IF($A668="","",IF(OR(N668&lt;=0,I668=0,I668="",O668=0),"",O668*1000/(I668*0.3025)/N668))</f>
        <v>15183.6384694702</v>
      </c>
      <c r="Y668" s="1" t="str">
        <f aca="false">IF($A668="","",IF(OR(O668=0,O668="",P668=0),"",P668/O668))</f>
        <v/>
      </c>
      <c r="Z668" s="1" t="str">
        <f aca="false">IF($A668="","",IFERROR(INDEX(物件収支!$E:$E,MATCH($A668,物件収支!$A:$A,0)),""))</f>
        <v>開示（物件別・収益のみ）</v>
      </c>
    </row>
    <row r="669" customFormat="false" ht="16.5" hidden="false" customHeight="true" outlineLevel="0" collapsed="false">
      <c r="A669" s="1" t="str">
        <f aca="false">IF(物件マスタ!A669="","",物件マスタ!A669)</f>
        <v>HFR-068</v>
      </c>
      <c r="B669" s="1" t="str">
        <f aca="false">IF($A669="","",物件マスタ!B669)</f>
        <v>HFR</v>
      </c>
      <c r="C669" s="1" t="str">
        <f aca="false">IF($A669="","",IFERROR(INDEX(法人マスタ!$C:$C,MATCH($B669,法人マスタ!$A:$A,0)),""))</f>
        <v>平和不動産リート投資法人</v>
      </c>
      <c r="D669" s="1" t="str">
        <f aca="false">IF($A669="","",物件マスタ!C669)</f>
        <v>ＨＦ銀座レジデンスＥＡＳＴⅡ</v>
      </c>
      <c r="E669" s="1" t="str">
        <f aca="false">IF($A669="","",物件マスタ!H669)</f>
        <v>都心5区</v>
      </c>
      <c r="F669" s="1" t="n">
        <f aca="false">IF($A669="","",物件マスタ!P669)</f>
        <v>0</v>
      </c>
      <c r="G669" s="1" t="str">
        <f aca="false">IF($A669="","",物件マスタ!Q669)</f>
        <v/>
      </c>
      <c r="H669" s="1" t="n">
        <f aca="false">IF($A669="","",物件マスタ!L669)</f>
        <v>0</v>
      </c>
      <c r="I669" s="1" t="n">
        <f aca="false">IF($A669="","",物件マスタ!M669)</f>
        <v>2072.39</v>
      </c>
      <c r="J669" s="1" t="n">
        <f aca="false">IF($A669="","",物件マスタ!S669)</f>
        <v>1460</v>
      </c>
      <c r="K669" s="1" t="n">
        <f aca="false">IF($A669="","",物件マスタ!U669)</f>
        <v>2050</v>
      </c>
      <c r="L669" s="1" t="n">
        <f aca="false">IF($A669="","",物件マスタ!W669)</f>
        <v>1</v>
      </c>
      <c r="M669" s="1" t="str">
        <f aca="false">IF($A669="","",IFERROR(INDEX(法人マスタ!$H:$H,MATCH($B669,法人マスタ!$A:$A,0)),""))</f>
        <v>2026年5月期（第49期）</v>
      </c>
      <c r="N669" s="1" t="n">
        <f aca="false">IF($A669="","",SUMIFS(物件収支!$D:$D,物件収支!$A:$A,$A669,物件収支!$C:$C,$M669))</f>
        <v>6</v>
      </c>
      <c r="O669" s="1" t="n">
        <f aca="false">IF($A669="","",SUMIFS(物件収支!$F:$F,物件収支!$A:$A,$A669,物件収支!$C:$C,$M669))</f>
        <v>57026</v>
      </c>
      <c r="P669" s="1" t="n">
        <f aca="false">IF($A669="","",SUMIFS(物件収支!$I:$I,物件収支!$A:$A,$A669,物件収支!$C:$C,$M669))</f>
        <v>0</v>
      </c>
      <c r="Q669" s="1" t="n">
        <f aca="false">IF($A669="","",SUMIFS(物件収支!$O:$O,物件収支!$A:$A,$A669,物件収支!$C:$C,$M669))</f>
        <v>0</v>
      </c>
      <c r="R669" s="1" t="str">
        <f aca="false">IF($A669="","",IF(P669=0,"",O669-P669))</f>
        <v/>
      </c>
      <c r="S669" s="1" t="str">
        <f aca="false">IF($A669="","",IF(R669="","",R669+Q669))</f>
        <v/>
      </c>
      <c r="T669" s="1" t="str">
        <f aca="false">IF($A669="","",IF(OR(S669="",N669&lt;=0),"",S669/1000*12/N669))</f>
        <v/>
      </c>
      <c r="U669" s="1" t="str">
        <f aca="false">IF($A669="","",IF(OR(T669="",J669=0,J669=""),"",T669/J669))</f>
        <v/>
      </c>
      <c r="V669" s="1" t="str">
        <f aca="false">IF($A669="","",IF(OR(R669="",N669&lt;=0,J669=0,J669=""),"",(R669/1000*12/N669)/J669))</f>
        <v/>
      </c>
      <c r="W669" s="1" t="str">
        <f aca="false">IF($A669="","",IF(OR(T669="",K669=0,K669=""),"",T669/K669))</f>
        <v/>
      </c>
      <c r="X669" s="1" t="n">
        <f aca="false">IF($A669="","",IF(OR(N669&lt;=0,I669=0,I669="",O669=0),"",O669*1000/(I669*0.3025)/N669))</f>
        <v>15160.8933388776</v>
      </c>
      <c r="Y669" s="1" t="str">
        <f aca="false">IF($A669="","",IF(OR(O669=0,O669="",P669=0),"",P669/O669))</f>
        <v/>
      </c>
      <c r="Z669" s="1" t="str">
        <f aca="false">IF($A669="","",IFERROR(INDEX(物件収支!$E:$E,MATCH($A669,物件収支!$A:$A,0)),""))</f>
        <v>開示（物件別・収益のみ）</v>
      </c>
    </row>
    <row r="670" customFormat="false" ht="16.5" hidden="false" customHeight="true" outlineLevel="0" collapsed="false">
      <c r="A670" s="1" t="str">
        <f aca="false">IF(物件マスタ!A670="","",物件マスタ!A670)</f>
        <v>HFR-069</v>
      </c>
      <c r="B670" s="1" t="str">
        <f aca="false">IF($A670="","",物件マスタ!B670)</f>
        <v>HFR</v>
      </c>
      <c r="C670" s="1" t="str">
        <f aca="false">IF($A670="","",IFERROR(INDEX(法人マスタ!$C:$C,MATCH($B670,法人マスタ!$A:$A,0)),""))</f>
        <v>平和不動産リート投資法人</v>
      </c>
      <c r="D670" s="1" t="str">
        <f aca="false">IF($A670="","",物件マスタ!C670)</f>
        <v>ＨＦ八丁堀レジデンスⅡ</v>
      </c>
      <c r="E670" s="1" t="str">
        <f aca="false">IF($A670="","",物件マスタ!H670)</f>
        <v>都心5区</v>
      </c>
      <c r="F670" s="1" t="n">
        <f aca="false">IF($A670="","",物件マスタ!P670)</f>
        <v>0</v>
      </c>
      <c r="G670" s="1" t="str">
        <f aca="false">IF($A670="","",物件マスタ!Q670)</f>
        <v/>
      </c>
      <c r="H670" s="1" t="n">
        <f aca="false">IF($A670="","",物件マスタ!L670)</f>
        <v>0</v>
      </c>
      <c r="I670" s="1" t="n">
        <f aca="false">IF($A670="","",物件マスタ!M670)</f>
        <v>2750.56</v>
      </c>
      <c r="J670" s="1" t="n">
        <f aca="false">IF($A670="","",物件マスタ!S670)</f>
        <v>1890</v>
      </c>
      <c r="K670" s="1" t="n">
        <f aca="false">IF($A670="","",物件マスタ!U670)</f>
        <v>2540</v>
      </c>
      <c r="L670" s="1" t="n">
        <f aca="false">IF($A670="","",物件マスタ!W670)</f>
        <v>0.9208</v>
      </c>
      <c r="M670" s="1" t="str">
        <f aca="false">IF($A670="","",IFERROR(INDEX(法人マスタ!$H:$H,MATCH($B670,法人マスタ!$A:$A,0)),""))</f>
        <v>2026年5月期（第49期）</v>
      </c>
      <c r="N670" s="1" t="n">
        <f aca="false">IF($A670="","",SUMIFS(物件収支!$D:$D,物件収支!$A:$A,$A670,物件収支!$C:$C,$M670))</f>
        <v>6</v>
      </c>
      <c r="O670" s="1" t="n">
        <f aca="false">IF($A670="","",SUMIFS(物件収支!$F:$F,物件収支!$A:$A,$A670,物件収支!$C:$C,$M670))</f>
        <v>65060</v>
      </c>
      <c r="P670" s="1" t="n">
        <f aca="false">IF($A670="","",SUMIFS(物件収支!$I:$I,物件収支!$A:$A,$A670,物件収支!$C:$C,$M670))</f>
        <v>0</v>
      </c>
      <c r="Q670" s="1" t="n">
        <f aca="false">IF($A670="","",SUMIFS(物件収支!$O:$O,物件収支!$A:$A,$A670,物件収支!$C:$C,$M670))</f>
        <v>0</v>
      </c>
      <c r="R670" s="1" t="str">
        <f aca="false">IF($A670="","",IF(P670=0,"",O670-P670))</f>
        <v/>
      </c>
      <c r="S670" s="1" t="str">
        <f aca="false">IF($A670="","",IF(R670="","",R670+Q670))</f>
        <v/>
      </c>
      <c r="T670" s="1" t="str">
        <f aca="false">IF($A670="","",IF(OR(S670="",N670&lt;=0),"",S670/1000*12/N670))</f>
        <v/>
      </c>
      <c r="U670" s="1" t="str">
        <f aca="false">IF($A670="","",IF(OR(T670="",J670=0,J670=""),"",T670/J670))</f>
        <v/>
      </c>
      <c r="V670" s="1" t="str">
        <f aca="false">IF($A670="","",IF(OR(R670="",N670&lt;=0,J670=0,J670=""),"",(R670/1000*12/N670)/J670))</f>
        <v/>
      </c>
      <c r="W670" s="1" t="str">
        <f aca="false">IF($A670="","",IF(OR(T670="",K670=0,K670=""),"",T670/K670))</f>
        <v/>
      </c>
      <c r="X670" s="1" t="n">
        <f aca="false">IF($A670="","",IF(OR(N670&lt;=0,I670=0,I670="",O670=0),"",O670*1000/(I670*0.3025)/N670))</f>
        <v>13032.1570980267</v>
      </c>
      <c r="Y670" s="1" t="str">
        <f aca="false">IF($A670="","",IF(OR(O670=0,O670="",P670=0),"",P670/O670))</f>
        <v/>
      </c>
      <c r="Z670" s="1" t="str">
        <f aca="false">IF($A670="","",IFERROR(INDEX(物件収支!$E:$E,MATCH($A670,物件収支!$A:$A,0)),""))</f>
        <v>開示（物件別・収益のみ）</v>
      </c>
    </row>
    <row r="671" customFormat="false" ht="16.5" hidden="false" customHeight="true" outlineLevel="0" collapsed="false">
      <c r="A671" s="1" t="str">
        <f aca="false">IF(物件マスタ!A671="","",物件マスタ!A671)</f>
        <v>HFR-070</v>
      </c>
      <c r="B671" s="1" t="str">
        <f aca="false">IF($A671="","",物件マスタ!B671)</f>
        <v>HFR</v>
      </c>
      <c r="C671" s="1" t="str">
        <f aca="false">IF($A671="","",IFERROR(INDEX(法人マスタ!$C:$C,MATCH($B671,法人マスタ!$A:$A,0)),""))</f>
        <v>平和不動産リート投資法人</v>
      </c>
      <c r="D671" s="1" t="str">
        <f aca="false">IF($A671="","",物件マスタ!C671)</f>
        <v>ＨＦ銀座レジデンス</v>
      </c>
      <c r="E671" s="1" t="str">
        <f aca="false">IF($A671="","",物件マスタ!H671)</f>
        <v>都心5区</v>
      </c>
      <c r="F671" s="1" t="n">
        <f aca="false">IF($A671="","",物件マスタ!P671)</f>
        <v>0</v>
      </c>
      <c r="G671" s="1" t="str">
        <f aca="false">IF($A671="","",物件マスタ!Q671)</f>
        <v/>
      </c>
      <c r="H671" s="1" t="n">
        <f aca="false">IF($A671="","",物件マスタ!L671)</f>
        <v>0</v>
      </c>
      <c r="I671" s="1" t="n">
        <f aca="false">IF($A671="","",物件マスタ!M671)</f>
        <v>1118.84</v>
      </c>
      <c r="J671" s="1" t="n">
        <f aca="false">IF($A671="","",物件マスタ!S671)</f>
        <v>944</v>
      </c>
      <c r="K671" s="1" t="n">
        <f aca="false">IF($A671="","",物件マスタ!U671)</f>
        <v>1390</v>
      </c>
      <c r="L671" s="1" t="n">
        <f aca="false">IF($A671="","",物件マスタ!W671)</f>
        <v>0.9785</v>
      </c>
      <c r="M671" s="1" t="str">
        <f aca="false">IF($A671="","",IFERROR(INDEX(法人マスタ!$H:$H,MATCH($B671,法人マスタ!$A:$A,0)),""))</f>
        <v>2026年5月期（第49期）</v>
      </c>
      <c r="N671" s="1" t="n">
        <f aca="false">IF($A671="","",SUMIFS(物件収支!$D:$D,物件収支!$A:$A,$A671,物件収支!$C:$C,$M671))</f>
        <v>6</v>
      </c>
      <c r="O671" s="1" t="n">
        <f aca="false">IF($A671="","",SUMIFS(物件収支!$F:$F,物件収支!$A:$A,$A671,物件収支!$C:$C,$M671))</f>
        <v>33938</v>
      </c>
      <c r="P671" s="1" t="n">
        <f aca="false">IF($A671="","",SUMIFS(物件収支!$I:$I,物件収支!$A:$A,$A671,物件収支!$C:$C,$M671))</f>
        <v>0</v>
      </c>
      <c r="Q671" s="1" t="n">
        <f aca="false">IF($A671="","",SUMIFS(物件収支!$O:$O,物件収支!$A:$A,$A671,物件収支!$C:$C,$M671))</f>
        <v>0</v>
      </c>
      <c r="R671" s="1" t="str">
        <f aca="false">IF($A671="","",IF(P671=0,"",O671-P671))</f>
        <v/>
      </c>
      <c r="S671" s="1" t="str">
        <f aca="false">IF($A671="","",IF(R671="","",R671+Q671))</f>
        <v/>
      </c>
      <c r="T671" s="1" t="str">
        <f aca="false">IF($A671="","",IF(OR(S671="",N671&lt;=0),"",S671/1000*12/N671))</f>
        <v/>
      </c>
      <c r="U671" s="1" t="str">
        <f aca="false">IF($A671="","",IF(OR(T671="",J671=0,J671=""),"",T671/J671))</f>
        <v/>
      </c>
      <c r="V671" s="1" t="str">
        <f aca="false">IF($A671="","",IF(OR(R671="",N671&lt;=0,J671=0,J671=""),"",(R671/1000*12/N671)/J671))</f>
        <v/>
      </c>
      <c r="W671" s="1" t="str">
        <f aca="false">IF($A671="","",IF(OR(T671="",K671=0,K671=""),"",T671/K671))</f>
        <v/>
      </c>
      <c r="X671" s="1" t="n">
        <f aca="false">IF($A671="","",IF(OR(N671&lt;=0,I671=0,I671="",O671=0),"",O671*1000/(I671*0.3025)/N671))</f>
        <v>16712.5081240675</v>
      </c>
      <c r="Y671" s="1" t="str">
        <f aca="false">IF($A671="","",IF(OR(O671=0,O671="",P671=0),"",P671/O671))</f>
        <v/>
      </c>
      <c r="Z671" s="1" t="str">
        <f aca="false">IF($A671="","",IFERROR(INDEX(物件収支!$E:$E,MATCH($A671,物件収支!$A:$A,0)),""))</f>
        <v>開示（物件別・収益のみ）</v>
      </c>
    </row>
    <row r="672" customFormat="false" ht="16.5" hidden="false" customHeight="true" outlineLevel="0" collapsed="false">
      <c r="A672" s="1" t="str">
        <f aca="false">IF(物件マスタ!A672="","",物件マスタ!A672)</f>
        <v>HFR-071</v>
      </c>
      <c r="B672" s="1" t="str">
        <f aca="false">IF($A672="","",物件マスタ!B672)</f>
        <v>HFR</v>
      </c>
      <c r="C672" s="1" t="str">
        <f aca="false">IF($A672="","",IFERROR(INDEX(法人マスタ!$C:$C,MATCH($B672,法人マスタ!$A:$A,0)),""))</f>
        <v>平和不動産リート投資法人</v>
      </c>
      <c r="D672" s="1" t="str">
        <f aca="false">IF($A672="","",物件マスタ!C672)</f>
        <v>ＨＦ駒沢公園レジデンスＴＯＷＥＲ</v>
      </c>
      <c r="E672" s="1" t="str">
        <f aca="false">IF($A672="","",物件マスタ!H672)</f>
        <v>その他東京23区</v>
      </c>
      <c r="F672" s="1" t="n">
        <f aca="false">IF($A672="","",物件マスタ!P672)</f>
        <v>0</v>
      </c>
      <c r="G672" s="1" t="str">
        <f aca="false">IF($A672="","",物件マスタ!Q672)</f>
        <v/>
      </c>
      <c r="H672" s="1" t="n">
        <f aca="false">IF($A672="","",物件マスタ!L672)</f>
        <v>0</v>
      </c>
      <c r="I672" s="1" t="n">
        <f aca="false">IF($A672="","",物件マスタ!M672)</f>
        <v>8141.02</v>
      </c>
      <c r="J672" s="1" t="n">
        <f aca="false">IF($A672="","",物件マスタ!S672)</f>
        <v>6520</v>
      </c>
      <c r="K672" s="1" t="n">
        <f aca="false">IF($A672="","",物件マスタ!U672)</f>
        <v>8570</v>
      </c>
      <c r="L672" s="1" t="n">
        <f aca="false">IF($A672="","",物件マスタ!W672)</f>
        <v>0.9672</v>
      </c>
      <c r="M672" s="1" t="str">
        <f aca="false">IF($A672="","",IFERROR(INDEX(法人マスタ!$H:$H,MATCH($B672,法人マスタ!$A:$A,0)),""))</f>
        <v>2026年5月期（第49期）</v>
      </c>
      <c r="N672" s="1" t="n">
        <f aca="false">IF($A672="","",SUMIFS(物件収支!$D:$D,物件収支!$A:$A,$A672,物件収支!$C:$C,$M672))</f>
        <v>6</v>
      </c>
      <c r="O672" s="1" t="n">
        <f aca="false">IF($A672="","",SUMIFS(物件収支!$F:$F,物件収支!$A:$A,$A672,物件収支!$C:$C,$M672))</f>
        <v>226634</v>
      </c>
      <c r="P672" s="1" t="n">
        <f aca="false">IF($A672="","",SUMIFS(物件収支!$I:$I,物件収支!$A:$A,$A672,物件収支!$C:$C,$M672))</f>
        <v>0</v>
      </c>
      <c r="Q672" s="1" t="n">
        <f aca="false">IF($A672="","",SUMIFS(物件収支!$O:$O,物件収支!$A:$A,$A672,物件収支!$C:$C,$M672))</f>
        <v>0</v>
      </c>
      <c r="R672" s="1" t="str">
        <f aca="false">IF($A672="","",IF(P672=0,"",O672-P672))</f>
        <v/>
      </c>
      <c r="S672" s="1" t="str">
        <f aca="false">IF($A672="","",IF(R672="","",R672+Q672))</f>
        <v/>
      </c>
      <c r="T672" s="1" t="str">
        <f aca="false">IF($A672="","",IF(OR(S672="",N672&lt;=0),"",S672/1000*12/N672))</f>
        <v/>
      </c>
      <c r="U672" s="1" t="str">
        <f aca="false">IF($A672="","",IF(OR(T672="",J672=0,J672=""),"",T672/J672))</f>
        <v/>
      </c>
      <c r="V672" s="1" t="str">
        <f aca="false">IF($A672="","",IF(OR(R672="",N672&lt;=0,J672=0,J672=""),"",(R672/1000*12/N672)/J672))</f>
        <v/>
      </c>
      <c r="W672" s="1" t="str">
        <f aca="false">IF($A672="","",IF(OR(T672="",K672=0,K672=""),"",T672/K672))</f>
        <v/>
      </c>
      <c r="X672" s="1" t="n">
        <f aca="false">IF($A672="","",IF(OR(N672&lt;=0,I672=0,I672="",O672=0),"",O672*1000/(I672*0.3025)/N672))</f>
        <v>15338.0310613233</v>
      </c>
      <c r="Y672" s="1" t="str">
        <f aca="false">IF($A672="","",IF(OR(O672=0,O672="",P672=0),"",P672/O672))</f>
        <v/>
      </c>
      <c r="Z672" s="1" t="str">
        <f aca="false">IF($A672="","",IFERROR(INDEX(物件収支!$E:$E,MATCH($A672,物件収支!$A:$A,0)),""))</f>
        <v>開示（物件別・収益のみ）</v>
      </c>
    </row>
    <row r="673" customFormat="false" ht="16.5" hidden="false" customHeight="true" outlineLevel="0" collapsed="false">
      <c r="A673" s="1" t="str">
        <f aca="false">IF(物件マスタ!A673="","",物件マスタ!A673)</f>
        <v>HFR-072</v>
      </c>
      <c r="B673" s="1" t="str">
        <f aca="false">IF($A673="","",物件マスタ!B673)</f>
        <v>HFR</v>
      </c>
      <c r="C673" s="1" t="str">
        <f aca="false">IF($A673="","",IFERROR(INDEX(法人マスタ!$C:$C,MATCH($B673,法人マスタ!$A:$A,0)),""))</f>
        <v>平和不動産リート投資法人</v>
      </c>
      <c r="D673" s="1" t="str">
        <f aca="false">IF($A673="","",物件マスタ!C673)</f>
        <v>ＨＦ丸の内レジデンス</v>
      </c>
      <c r="E673" s="1" t="str">
        <f aca="false">IF($A673="","",物件マスタ!H673)</f>
        <v>その他3大都市圏</v>
      </c>
      <c r="F673" s="1" t="n">
        <f aca="false">IF($A673="","",物件マスタ!P673)</f>
        <v>0</v>
      </c>
      <c r="G673" s="1" t="str">
        <f aca="false">IF($A673="","",物件マスタ!Q673)</f>
        <v/>
      </c>
      <c r="H673" s="1" t="n">
        <f aca="false">IF($A673="","",物件マスタ!L673)</f>
        <v>0</v>
      </c>
      <c r="I673" s="1" t="n">
        <f aca="false">IF($A673="","",物件マスタ!M673)</f>
        <v>1981.26</v>
      </c>
      <c r="J673" s="1" t="n">
        <f aca="false">IF($A673="","",物件マスタ!S673)</f>
        <v>624</v>
      </c>
      <c r="K673" s="1" t="n">
        <f aca="false">IF($A673="","",物件マスタ!U673)</f>
        <v>699</v>
      </c>
      <c r="L673" s="1" t="n">
        <f aca="false">IF($A673="","",物件マスタ!W673)</f>
        <v>1</v>
      </c>
      <c r="M673" s="1" t="str">
        <f aca="false">IF($A673="","",IFERROR(INDEX(法人マスタ!$H:$H,MATCH($B673,法人マスタ!$A:$A,0)),""))</f>
        <v>2026年5月期（第49期）</v>
      </c>
      <c r="N673" s="1" t="n">
        <f aca="false">IF($A673="","",SUMIFS(物件収支!$D:$D,物件収支!$A:$A,$A673,物件収支!$C:$C,$M673))</f>
        <v>6</v>
      </c>
      <c r="O673" s="1" t="n">
        <f aca="false">IF($A673="","",SUMIFS(物件収支!$F:$F,物件収支!$A:$A,$A673,物件収支!$C:$C,$M673))</f>
        <v>25459</v>
      </c>
      <c r="P673" s="1" t="n">
        <f aca="false">IF($A673="","",SUMIFS(物件収支!$I:$I,物件収支!$A:$A,$A673,物件収支!$C:$C,$M673))</f>
        <v>0</v>
      </c>
      <c r="Q673" s="1" t="n">
        <f aca="false">IF($A673="","",SUMIFS(物件収支!$O:$O,物件収支!$A:$A,$A673,物件収支!$C:$C,$M673))</f>
        <v>0</v>
      </c>
      <c r="R673" s="1" t="str">
        <f aca="false">IF($A673="","",IF(P673=0,"",O673-P673))</f>
        <v/>
      </c>
      <c r="S673" s="1" t="str">
        <f aca="false">IF($A673="","",IF(R673="","",R673+Q673))</f>
        <v/>
      </c>
      <c r="T673" s="1" t="str">
        <f aca="false">IF($A673="","",IF(OR(S673="",N673&lt;=0),"",S673/1000*12/N673))</f>
        <v/>
      </c>
      <c r="U673" s="1" t="str">
        <f aca="false">IF($A673="","",IF(OR(T673="",J673=0,J673=""),"",T673/J673))</f>
        <v/>
      </c>
      <c r="V673" s="1" t="str">
        <f aca="false">IF($A673="","",IF(OR(R673="",N673&lt;=0,J673=0,J673=""),"",(R673/1000*12/N673)/J673))</f>
        <v/>
      </c>
      <c r="W673" s="1" t="str">
        <f aca="false">IF($A673="","",IF(OR(T673="",K673=0,K673=""),"",T673/K673))</f>
        <v/>
      </c>
      <c r="X673" s="1" t="n">
        <f aca="false">IF($A673="","",IF(OR(N673&lt;=0,I673=0,I673="",O673=0),"",O673*1000/(I673*0.3025)/N673))</f>
        <v>7079.83669239729</v>
      </c>
      <c r="Y673" s="1" t="str">
        <f aca="false">IF($A673="","",IF(OR(O673=0,O673="",P673=0),"",P673/O673))</f>
        <v/>
      </c>
      <c r="Z673" s="1" t="str">
        <f aca="false">IF($A673="","",IFERROR(INDEX(物件収支!$E:$E,MATCH($A673,物件収支!$A:$A,0)),""))</f>
        <v>開示（物件別・収益のみ）</v>
      </c>
    </row>
    <row r="674" customFormat="false" ht="16.5" hidden="false" customHeight="true" outlineLevel="0" collapsed="false">
      <c r="A674" s="1" t="str">
        <f aca="false">IF(物件マスタ!A674="","",物件マスタ!A674)</f>
        <v>HFR-073</v>
      </c>
      <c r="B674" s="1" t="str">
        <f aca="false">IF($A674="","",物件マスタ!B674)</f>
        <v>HFR</v>
      </c>
      <c r="C674" s="1" t="str">
        <f aca="false">IF($A674="","",IFERROR(INDEX(法人マスタ!$C:$C,MATCH($B674,法人マスタ!$A:$A,0)),""))</f>
        <v>平和不動産リート投資法人</v>
      </c>
      <c r="D674" s="1" t="str">
        <f aca="false">IF($A674="","",物件マスタ!C674)</f>
        <v>ＨＦ平尾レジデンス</v>
      </c>
      <c r="E674" s="1" t="str">
        <f aca="false">IF($A674="","",物件マスタ!H674)</f>
        <v>3大都市圏以外の政令市</v>
      </c>
      <c r="F674" s="1" t="n">
        <f aca="false">IF($A674="","",物件マスタ!P674)</f>
        <v>0</v>
      </c>
      <c r="G674" s="1" t="str">
        <f aca="false">IF($A674="","",物件マスタ!Q674)</f>
        <v/>
      </c>
      <c r="H674" s="1" t="n">
        <f aca="false">IF($A674="","",物件マスタ!L674)</f>
        <v>0</v>
      </c>
      <c r="I674" s="1" t="n">
        <f aca="false">IF($A674="","",物件マスタ!M674)</f>
        <v>6262.12</v>
      </c>
      <c r="J674" s="1" t="n">
        <f aca="false">IF($A674="","",物件マスタ!S674)</f>
        <v>1780</v>
      </c>
      <c r="K674" s="1" t="n">
        <f aca="false">IF($A674="","",物件マスタ!U674)</f>
        <v>2400</v>
      </c>
      <c r="L674" s="1" t="n">
        <f aca="false">IF($A674="","",物件マスタ!W674)</f>
        <v>0.9854</v>
      </c>
      <c r="M674" s="1" t="str">
        <f aca="false">IF($A674="","",IFERROR(INDEX(法人マスタ!$H:$H,MATCH($B674,法人マスタ!$A:$A,0)),""))</f>
        <v>2026年5月期（第49期）</v>
      </c>
      <c r="N674" s="1" t="n">
        <f aca="false">IF($A674="","",SUMIFS(物件収支!$D:$D,物件収支!$A:$A,$A674,物件収支!$C:$C,$M674))</f>
        <v>6</v>
      </c>
      <c r="O674" s="1" t="n">
        <f aca="false">IF($A674="","",SUMIFS(物件収支!$F:$F,物件収支!$A:$A,$A674,物件収支!$C:$C,$M674))</f>
        <v>87405</v>
      </c>
      <c r="P674" s="1" t="n">
        <f aca="false">IF($A674="","",SUMIFS(物件収支!$I:$I,物件収支!$A:$A,$A674,物件収支!$C:$C,$M674))</f>
        <v>0</v>
      </c>
      <c r="Q674" s="1" t="n">
        <f aca="false">IF($A674="","",SUMIFS(物件収支!$O:$O,物件収支!$A:$A,$A674,物件収支!$C:$C,$M674))</f>
        <v>0</v>
      </c>
      <c r="R674" s="1" t="str">
        <f aca="false">IF($A674="","",IF(P674=0,"",O674-P674))</f>
        <v/>
      </c>
      <c r="S674" s="1" t="str">
        <f aca="false">IF($A674="","",IF(R674="","",R674+Q674))</f>
        <v/>
      </c>
      <c r="T674" s="1" t="str">
        <f aca="false">IF($A674="","",IF(OR(S674="",N674&lt;=0),"",S674/1000*12/N674))</f>
        <v/>
      </c>
      <c r="U674" s="1" t="str">
        <f aca="false">IF($A674="","",IF(OR(T674="",J674=0,J674=""),"",T674/J674))</f>
        <v/>
      </c>
      <c r="V674" s="1" t="str">
        <f aca="false">IF($A674="","",IF(OR(R674="",N674&lt;=0,J674=0,J674=""),"",(R674/1000*12/N674)/J674))</f>
        <v/>
      </c>
      <c r="W674" s="1" t="str">
        <f aca="false">IF($A674="","",IF(OR(T674="",K674=0,K674=""),"",T674/K674))</f>
        <v/>
      </c>
      <c r="X674" s="1" t="n">
        <f aca="false">IF($A674="","",IF(OR(N674&lt;=0,I674=0,I674="",O674=0),"",O674*1000/(I674*0.3025)/N674))</f>
        <v>7690.21110955849</v>
      </c>
      <c r="Y674" s="1" t="str">
        <f aca="false">IF($A674="","",IF(OR(O674=0,O674="",P674=0),"",P674/O674))</f>
        <v/>
      </c>
      <c r="Z674" s="1" t="str">
        <f aca="false">IF($A674="","",IFERROR(INDEX(物件収支!$E:$E,MATCH($A674,物件収支!$A:$A,0)),""))</f>
        <v>開示（物件別・収益のみ）</v>
      </c>
    </row>
    <row r="675" customFormat="false" ht="16.5" hidden="false" customHeight="true" outlineLevel="0" collapsed="false">
      <c r="A675" s="1" t="str">
        <f aca="false">IF(物件マスタ!A675="","",物件マスタ!A675)</f>
        <v>HFR-074</v>
      </c>
      <c r="B675" s="1" t="str">
        <f aca="false">IF($A675="","",物件マスタ!B675)</f>
        <v>HFR</v>
      </c>
      <c r="C675" s="1" t="str">
        <f aca="false">IF($A675="","",IFERROR(INDEX(法人マスタ!$C:$C,MATCH($B675,法人マスタ!$A:$A,0)),""))</f>
        <v>平和不動産リート投資法人</v>
      </c>
      <c r="D675" s="1" t="str">
        <f aca="false">IF($A675="","",物件マスタ!C675)</f>
        <v>ＨＦ河原町二条レジデンス</v>
      </c>
      <c r="E675" s="1" t="str">
        <f aca="false">IF($A675="","",物件マスタ!H675)</f>
        <v>その他3大都市圏</v>
      </c>
      <c r="F675" s="1" t="n">
        <f aca="false">IF($A675="","",物件マスタ!P675)</f>
        <v>0</v>
      </c>
      <c r="G675" s="1" t="str">
        <f aca="false">IF($A675="","",物件マスタ!Q675)</f>
        <v/>
      </c>
      <c r="H675" s="1" t="n">
        <f aca="false">IF($A675="","",物件マスタ!L675)</f>
        <v>0</v>
      </c>
      <c r="I675" s="1" t="n">
        <f aca="false">IF($A675="","",物件マスタ!M675)</f>
        <v>1155.03</v>
      </c>
      <c r="J675" s="1" t="n">
        <f aca="false">IF($A675="","",物件マスタ!S675)</f>
        <v>534</v>
      </c>
      <c r="K675" s="1" t="n">
        <f aca="false">IF($A675="","",物件マスタ!U675)</f>
        <v>655</v>
      </c>
      <c r="L675" s="1" t="n">
        <f aca="false">IF($A675="","",物件マスタ!W675)</f>
        <v>0.9583</v>
      </c>
      <c r="M675" s="1" t="str">
        <f aca="false">IF($A675="","",IFERROR(INDEX(法人マスタ!$H:$H,MATCH($B675,法人マスタ!$A:$A,0)),""))</f>
        <v>2026年5月期（第49期）</v>
      </c>
      <c r="N675" s="1" t="n">
        <f aca="false">IF($A675="","",SUMIFS(物件収支!$D:$D,物件収支!$A:$A,$A675,物件収支!$C:$C,$M675))</f>
        <v>6</v>
      </c>
      <c r="O675" s="1" t="n">
        <f aca="false">IF($A675="","",SUMIFS(物件収支!$F:$F,物件収支!$A:$A,$A675,物件収支!$C:$C,$M675))</f>
        <v>20547</v>
      </c>
      <c r="P675" s="1" t="n">
        <f aca="false">IF($A675="","",SUMIFS(物件収支!$I:$I,物件収支!$A:$A,$A675,物件収支!$C:$C,$M675))</f>
        <v>0</v>
      </c>
      <c r="Q675" s="1" t="n">
        <f aca="false">IF($A675="","",SUMIFS(物件収支!$O:$O,物件収支!$A:$A,$A675,物件収支!$C:$C,$M675))</f>
        <v>0</v>
      </c>
      <c r="R675" s="1" t="str">
        <f aca="false">IF($A675="","",IF(P675=0,"",O675-P675))</f>
        <v/>
      </c>
      <c r="S675" s="1" t="str">
        <f aca="false">IF($A675="","",IF(R675="","",R675+Q675))</f>
        <v/>
      </c>
      <c r="T675" s="1" t="str">
        <f aca="false">IF($A675="","",IF(OR(S675="",N675&lt;=0),"",S675/1000*12/N675))</f>
        <v/>
      </c>
      <c r="U675" s="1" t="str">
        <f aca="false">IF($A675="","",IF(OR(T675="",J675=0,J675=""),"",T675/J675))</f>
        <v/>
      </c>
      <c r="V675" s="1" t="str">
        <f aca="false">IF($A675="","",IF(OR(R675="",N675&lt;=0,J675=0,J675=""),"",(R675/1000*12/N675)/J675))</f>
        <v/>
      </c>
      <c r="W675" s="1" t="str">
        <f aca="false">IF($A675="","",IF(OR(T675="",K675=0,K675=""),"",T675/K675))</f>
        <v/>
      </c>
      <c r="X675" s="1" t="n">
        <f aca="false">IF($A675="","",IF(OR(N675&lt;=0,I675=0,I675="",O675=0),"",O675*1000/(I675*0.3025)/N675))</f>
        <v>9801.18365499147</v>
      </c>
      <c r="Y675" s="1" t="str">
        <f aca="false">IF($A675="","",IF(OR(O675=0,O675="",P675=0),"",P675/O675))</f>
        <v/>
      </c>
      <c r="Z675" s="1" t="str">
        <f aca="false">IF($A675="","",IFERROR(INDEX(物件収支!$E:$E,MATCH($A675,物件収支!$A:$A,0)),""))</f>
        <v>開示（物件別・収益のみ）</v>
      </c>
    </row>
    <row r="676" customFormat="false" ht="16.5" hidden="false" customHeight="true" outlineLevel="0" collapsed="false">
      <c r="A676" s="1" t="str">
        <f aca="false">IF(物件マスタ!A676="","",物件マスタ!A676)</f>
        <v>HFR-075</v>
      </c>
      <c r="B676" s="1" t="str">
        <f aca="false">IF($A676="","",物件マスタ!B676)</f>
        <v>HFR</v>
      </c>
      <c r="C676" s="1" t="str">
        <f aca="false">IF($A676="","",IFERROR(INDEX(法人マスタ!$C:$C,MATCH($B676,法人マスタ!$A:$A,0)),""))</f>
        <v>平和不動産リート投資法人</v>
      </c>
      <c r="D676" s="1" t="str">
        <f aca="false">IF($A676="","",物件マスタ!C676)</f>
        <v>ＨＦ四条河原町レジデンス</v>
      </c>
      <c r="E676" s="1" t="str">
        <f aca="false">IF($A676="","",物件マスタ!H676)</f>
        <v>その他3大都市圏</v>
      </c>
      <c r="F676" s="1" t="n">
        <f aca="false">IF($A676="","",物件マスタ!P676)</f>
        <v>0</v>
      </c>
      <c r="G676" s="1" t="str">
        <f aca="false">IF($A676="","",物件マスタ!Q676)</f>
        <v/>
      </c>
      <c r="H676" s="1" t="n">
        <f aca="false">IF($A676="","",物件マスタ!L676)</f>
        <v>0</v>
      </c>
      <c r="I676" s="1" t="n">
        <f aca="false">IF($A676="","",物件マスタ!M676)</f>
        <v>4045.94</v>
      </c>
      <c r="J676" s="1" t="n">
        <f aca="false">IF($A676="","",物件マスタ!S676)</f>
        <v>1820</v>
      </c>
      <c r="K676" s="1" t="n">
        <f aca="false">IF($A676="","",物件マスタ!U676)</f>
        <v>2730</v>
      </c>
      <c r="L676" s="1" t="n">
        <f aca="false">IF($A676="","",物件マスタ!W676)</f>
        <v>0.9266</v>
      </c>
      <c r="M676" s="1" t="str">
        <f aca="false">IF($A676="","",IFERROR(INDEX(法人マスタ!$H:$H,MATCH($B676,法人マスタ!$A:$A,0)),""))</f>
        <v>2026年5月期（第49期）</v>
      </c>
      <c r="N676" s="1" t="n">
        <f aca="false">IF($A676="","",SUMIFS(物件収支!$D:$D,物件収支!$A:$A,$A676,物件収支!$C:$C,$M676))</f>
        <v>6</v>
      </c>
      <c r="O676" s="1" t="n">
        <f aca="false">IF($A676="","",SUMIFS(物件収支!$F:$F,物件収支!$A:$A,$A676,物件収支!$C:$C,$M676))</f>
        <v>76771</v>
      </c>
      <c r="P676" s="1" t="n">
        <f aca="false">IF($A676="","",SUMIFS(物件収支!$I:$I,物件収支!$A:$A,$A676,物件収支!$C:$C,$M676))</f>
        <v>0</v>
      </c>
      <c r="Q676" s="1" t="n">
        <f aca="false">IF($A676="","",SUMIFS(物件収支!$O:$O,物件収支!$A:$A,$A676,物件収支!$C:$C,$M676))</f>
        <v>0</v>
      </c>
      <c r="R676" s="1" t="str">
        <f aca="false">IF($A676="","",IF(P676=0,"",O676-P676))</f>
        <v/>
      </c>
      <c r="S676" s="1" t="str">
        <f aca="false">IF($A676="","",IF(R676="","",R676+Q676))</f>
        <v/>
      </c>
      <c r="T676" s="1" t="str">
        <f aca="false">IF($A676="","",IF(OR(S676="",N676&lt;=0),"",S676/1000*12/N676))</f>
        <v/>
      </c>
      <c r="U676" s="1" t="str">
        <f aca="false">IF($A676="","",IF(OR(T676="",J676=0,J676=""),"",T676/J676))</f>
        <v/>
      </c>
      <c r="V676" s="1" t="str">
        <f aca="false">IF($A676="","",IF(OR(R676="",N676&lt;=0,J676=0,J676=""),"",(R676/1000*12/N676)/J676))</f>
        <v/>
      </c>
      <c r="W676" s="1" t="str">
        <f aca="false">IF($A676="","",IF(OR(T676="",K676=0,K676=""),"",T676/K676))</f>
        <v/>
      </c>
      <c r="X676" s="1" t="n">
        <f aca="false">IF($A676="","",IF(OR(N676&lt;=0,I676=0,I676="",O676=0),"",O676*1000/(I676*0.3025)/N676))</f>
        <v>10454.448564572</v>
      </c>
      <c r="Y676" s="1" t="str">
        <f aca="false">IF($A676="","",IF(OR(O676=0,O676="",P676=0),"",P676/O676))</f>
        <v/>
      </c>
      <c r="Z676" s="1" t="str">
        <f aca="false">IF($A676="","",IFERROR(INDEX(物件収支!$E:$E,MATCH($A676,物件収支!$A:$A,0)),""))</f>
        <v>開示（物件別・収益のみ）</v>
      </c>
    </row>
    <row r="677" customFormat="false" ht="16.5" hidden="false" customHeight="true" outlineLevel="0" collapsed="false">
      <c r="A677" s="1" t="str">
        <f aca="false">IF(物件マスタ!A677="","",物件マスタ!A677)</f>
        <v>HFR-076</v>
      </c>
      <c r="B677" s="1" t="str">
        <f aca="false">IF($A677="","",物件マスタ!B677)</f>
        <v>HFR</v>
      </c>
      <c r="C677" s="1" t="str">
        <f aca="false">IF($A677="","",IFERROR(INDEX(法人マスタ!$C:$C,MATCH($B677,法人マスタ!$A:$A,0)),""))</f>
        <v>平和不動産リート投資法人</v>
      </c>
      <c r="D677" s="1" t="str">
        <f aca="false">IF($A677="","",物件マスタ!C677)</f>
        <v>ラ・レジダンス・ド・千駄木</v>
      </c>
      <c r="E677" s="1" t="str">
        <f aca="false">IF($A677="","",物件マスタ!H677)</f>
        <v>その他東京23区</v>
      </c>
      <c r="F677" s="1" t="n">
        <f aca="false">IF($A677="","",物件マスタ!P677)</f>
        <v>0</v>
      </c>
      <c r="G677" s="1" t="str">
        <f aca="false">IF($A677="","",物件マスタ!Q677)</f>
        <v/>
      </c>
      <c r="H677" s="1" t="n">
        <f aca="false">IF($A677="","",物件マスタ!L677)</f>
        <v>0</v>
      </c>
      <c r="I677" s="1" t="n">
        <f aca="false">IF($A677="","",物件マスタ!M677)</f>
        <v>1109.97</v>
      </c>
      <c r="J677" s="1" t="n">
        <f aca="false">IF($A677="","",物件マスタ!S677)</f>
        <v>820</v>
      </c>
      <c r="K677" s="1" t="n">
        <f aca="false">IF($A677="","",物件マスタ!U677)</f>
        <v>1070</v>
      </c>
      <c r="L677" s="1" t="n">
        <f aca="false">IF($A677="","",物件マスタ!W677)</f>
        <v>0.9633</v>
      </c>
      <c r="M677" s="1" t="str">
        <f aca="false">IF($A677="","",IFERROR(INDEX(法人マスタ!$H:$H,MATCH($B677,法人マスタ!$A:$A,0)),""))</f>
        <v>2026年5月期（第49期）</v>
      </c>
      <c r="N677" s="1" t="n">
        <f aca="false">IF($A677="","",SUMIFS(物件収支!$D:$D,物件収支!$A:$A,$A677,物件収支!$C:$C,$M677))</f>
        <v>6</v>
      </c>
      <c r="O677" s="1" t="n">
        <f aca="false">IF($A677="","",SUMIFS(物件収支!$F:$F,物件収支!$A:$A,$A677,物件収支!$C:$C,$M677))</f>
        <v>32476</v>
      </c>
      <c r="P677" s="1" t="n">
        <f aca="false">IF($A677="","",SUMIFS(物件収支!$I:$I,物件収支!$A:$A,$A677,物件収支!$C:$C,$M677))</f>
        <v>0</v>
      </c>
      <c r="Q677" s="1" t="n">
        <f aca="false">IF($A677="","",SUMIFS(物件収支!$O:$O,物件収支!$A:$A,$A677,物件収支!$C:$C,$M677))</f>
        <v>0</v>
      </c>
      <c r="R677" s="1" t="str">
        <f aca="false">IF($A677="","",IF(P677=0,"",O677-P677))</f>
        <v/>
      </c>
      <c r="S677" s="1" t="str">
        <f aca="false">IF($A677="","",IF(R677="","",R677+Q677))</f>
        <v/>
      </c>
      <c r="T677" s="1" t="str">
        <f aca="false">IF($A677="","",IF(OR(S677="",N677&lt;=0),"",S677/1000*12/N677))</f>
        <v/>
      </c>
      <c r="U677" s="1" t="str">
        <f aca="false">IF($A677="","",IF(OR(T677="",J677=0,J677=""),"",T677/J677))</f>
        <v/>
      </c>
      <c r="V677" s="1" t="str">
        <f aca="false">IF($A677="","",IF(OR(R677="",N677&lt;=0,J677=0,J677=""),"",(R677/1000*12/N677)/J677))</f>
        <v/>
      </c>
      <c r="W677" s="1" t="str">
        <f aca="false">IF($A677="","",IF(OR(T677="",K677=0,K677=""),"",T677/K677))</f>
        <v/>
      </c>
      <c r="X677" s="1" t="n">
        <f aca="false">IF($A677="","",IF(OR(N677&lt;=0,I677=0,I677="",O677=0),"",O677*1000/(I677*0.3025)/N677))</f>
        <v>16120.3572597984</v>
      </c>
      <c r="Y677" s="1" t="str">
        <f aca="false">IF($A677="","",IF(OR(O677=0,O677="",P677=0),"",P677/O677))</f>
        <v/>
      </c>
      <c r="Z677" s="1" t="str">
        <f aca="false">IF($A677="","",IFERROR(INDEX(物件収支!$E:$E,MATCH($A677,物件収支!$A:$A,0)),""))</f>
        <v>開示（物件別・収益のみ）</v>
      </c>
    </row>
    <row r="678" customFormat="false" ht="16.5" hidden="false" customHeight="true" outlineLevel="0" collapsed="false">
      <c r="A678" s="1" t="str">
        <f aca="false">IF(物件マスタ!A678="","",物件マスタ!A678)</f>
        <v>HFR-077</v>
      </c>
      <c r="B678" s="1" t="str">
        <f aca="false">IF($A678="","",物件マスタ!B678)</f>
        <v>HFR</v>
      </c>
      <c r="C678" s="1" t="str">
        <f aca="false">IF($A678="","",IFERROR(INDEX(法人マスタ!$C:$C,MATCH($B678,法人マスタ!$A:$A,0)),""))</f>
        <v>平和不動産リート投資法人</v>
      </c>
      <c r="D678" s="1" t="str">
        <f aca="false">IF($A678="","",物件マスタ!C678)</f>
        <v>ＨＦ千駄木レジデンス</v>
      </c>
      <c r="E678" s="1" t="str">
        <f aca="false">IF($A678="","",物件マスタ!H678)</f>
        <v>その他東京23区</v>
      </c>
      <c r="F678" s="1" t="n">
        <f aca="false">IF($A678="","",物件マスタ!P678)</f>
        <v>0</v>
      </c>
      <c r="G678" s="1" t="str">
        <f aca="false">IF($A678="","",物件マスタ!Q678)</f>
        <v/>
      </c>
      <c r="H678" s="1" t="n">
        <f aca="false">IF($A678="","",物件マスタ!L678)</f>
        <v>0</v>
      </c>
      <c r="I678" s="1" t="n">
        <f aca="false">IF($A678="","",物件マスタ!M678)</f>
        <v>1340.12</v>
      </c>
      <c r="J678" s="1" t="n">
        <f aca="false">IF($A678="","",物件マスタ!S678)</f>
        <v>870</v>
      </c>
      <c r="K678" s="1" t="n">
        <f aca="false">IF($A678="","",物件マスタ!U678)</f>
        <v>1200</v>
      </c>
      <c r="L678" s="1" t="n">
        <f aca="false">IF($A678="","",物件マスタ!W678)</f>
        <v>1</v>
      </c>
      <c r="M678" s="1" t="str">
        <f aca="false">IF($A678="","",IFERROR(INDEX(法人マスタ!$H:$H,MATCH($B678,法人マスタ!$A:$A,0)),""))</f>
        <v>2026年5月期（第49期）</v>
      </c>
      <c r="N678" s="1" t="n">
        <f aca="false">IF($A678="","",SUMIFS(物件収支!$D:$D,物件収支!$A:$A,$A678,物件収支!$C:$C,$M678))</f>
        <v>6</v>
      </c>
      <c r="O678" s="1" t="n">
        <f aca="false">IF($A678="","",SUMIFS(物件収支!$F:$F,物件収支!$A:$A,$A678,物件収支!$C:$C,$M678))</f>
        <v>37346</v>
      </c>
      <c r="P678" s="1" t="n">
        <f aca="false">IF($A678="","",SUMIFS(物件収支!$I:$I,物件収支!$A:$A,$A678,物件収支!$C:$C,$M678))</f>
        <v>0</v>
      </c>
      <c r="Q678" s="1" t="n">
        <f aca="false">IF($A678="","",SUMIFS(物件収支!$O:$O,物件収支!$A:$A,$A678,物件収支!$C:$C,$M678))</f>
        <v>0</v>
      </c>
      <c r="R678" s="1" t="str">
        <f aca="false">IF($A678="","",IF(P678=0,"",O678-P678))</f>
        <v/>
      </c>
      <c r="S678" s="1" t="str">
        <f aca="false">IF($A678="","",IF(R678="","",R678+Q678))</f>
        <v/>
      </c>
      <c r="T678" s="1" t="str">
        <f aca="false">IF($A678="","",IF(OR(S678="",N678&lt;=0),"",S678/1000*12/N678))</f>
        <v/>
      </c>
      <c r="U678" s="1" t="str">
        <f aca="false">IF($A678="","",IF(OR(T678="",J678=0,J678=""),"",T678/J678))</f>
        <v/>
      </c>
      <c r="V678" s="1" t="str">
        <f aca="false">IF($A678="","",IF(OR(R678="",N678&lt;=0,J678=0,J678=""),"",(R678/1000*12/N678)/J678))</f>
        <v/>
      </c>
      <c r="W678" s="1" t="str">
        <f aca="false">IF($A678="","",IF(OR(T678="",K678=0,K678=""),"",T678/K678))</f>
        <v/>
      </c>
      <c r="X678" s="1" t="n">
        <f aca="false">IF($A678="","",IF(OR(N678&lt;=0,I678=0,I678="",O678=0),"",O678*1000/(I678*0.3025)/N678))</f>
        <v>15354.0791421253</v>
      </c>
      <c r="Y678" s="1" t="str">
        <f aca="false">IF($A678="","",IF(OR(O678=0,O678="",P678=0),"",P678/O678))</f>
        <v/>
      </c>
      <c r="Z678" s="1" t="str">
        <f aca="false">IF($A678="","",IFERROR(INDEX(物件収支!$E:$E,MATCH($A678,物件収支!$A:$A,0)),""))</f>
        <v>開示（物件別・収益のみ）</v>
      </c>
    </row>
    <row r="679" customFormat="false" ht="16.5" hidden="false" customHeight="true" outlineLevel="0" collapsed="false">
      <c r="A679" s="1" t="str">
        <f aca="false">IF(物件マスタ!A679="","",物件マスタ!A679)</f>
        <v>HFR-078</v>
      </c>
      <c r="B679" s="1" t="str">
        <f aca="false">IF($A679="","",物件マスタ!B679)</f>
        <v>HFR</v>
      </c>
      <c r="C679" s="1" t="str">
        <f aca="false">IF($A679="","",IFERROR(INDEX(法人マスタ!$C:$C,MATCH($B679,法人マスタ!$A:$A,0)),""))</f>
        <v>平和不動産リート投資法人</v>
      </c>
      <c r="D679" s="1" t="str">
        <f aca="false">IF($A679="","",物件マスタ!C679)</f>
        <v>ＨＦ駒沢公園レジデンス</v>
      </c>
      <c r="E679" s="1" t="str">
        <f aca="false">IF($A679="","",物件マスタ!H679)</f>
        <v>その他東京23区</v>
      </c>
      <c r="F679" s="1" t="n">
        <f aca="false">IF($A679="","",物件マスタ!P679)</f>
        <v>0</v>
      </c>
      <c r="G679" s="1" t="str">
        <f aca="false">IF($A679="","",物件マスタ!Q679)</f>
        <v/>
      </c>
      <c r="H679" s="1" t="n">
        <f aca="false">IF($A679="","",物件マスタ!L679)</f>
        <v>0</v>
      </c>
      <c r="I679" s="1" t="n">
        <f aca="false">IF($A679="","",物件マスタ!M679)</f>
        <v>901.88</v>
      </c>
      <c r="J679" s="1" t="n">
        <f aca="false">IF($A679="","",物件マスタ!S679)</f>
        <v>615</v>
      </c>
      <c r="K679" s="1" t="n">
        <f aca="false">IF($A679="","",物件マスタ!U679)</f>
        <v>806</v>
      </c>
      <c r="L679" s="1" t="n">
        <f aca="false">IF($A679="","",物件マスタ!W679)</f>
        <v>0.9445</v>
      </c>
      <c r="M679" s="1" t="str">
        <f aca="false">IF($A679="","",IFERROR(INDEX(法人マスタ!$H:$H,MATCH($B679,法人マスタ!$A:$A,0)),""))</f>
        <v>2026年5月期（第49期）</v>
      </c>
      <c r="N679" s="1" t="n">
        <f aca="false">IF($A679="","",SUMIFS(物件収支!$D:$D,物件収支!$A:$A,$A679,物件収支!$C:$C,$M679))</f>
        <v>6</v>
      </c>
      <c r="O679" s="1" t="n">
        <f aca="false">IF($A679="","",SUMIFS(物件収支!$F:$F,物件収支!$A:$A,$A679,物件収支!$C:$C,$M679))</f>
        <v>21732</v>
      </c>
      <c r="P679" s="1" t="n">
        <f aca="false">IF($A679="","",SUMIFS(物件収支!$I:$I,物件収支!$A:$A,$A679,物件収支!$C:$C,$M679))</f>
        <v>0</v>
      </c>
      <c r="Q679" s="1" t="n">
        <f aca="false">IF($A679="","",SUMIFS(物件収支!$O:$O,物件収支!$A:$A,$A679,物件収支!$C:$C,$M679))</f>
        <v>0</v>
      </c>
      <c r="R679" s="1" t="str">
        <f aca="false">IF($A679="","",IF(P679=0,"",O679-P679))</f>
        <v/>
      </c>
      <c r="S679" s="1" t="str">
        <f aca="false">IF($A679="","",IF(R679="","",R679+Q679))</f>
        <v/>
      </c>
      <c r="T679" s="1" t="str">
        <f aca="false">IF($A679="","",IF(OR(S679="",N679&lt;=0),"",S679/1000*12/N679))</f>
        <v/>
      </c>
      <c r="U679" s="1" t="str">
        <f aca="false">IF($A679="","",IF(OR(T679="",J679=0,J679=""),"",T679/J679))</f>
        <v/>
      </c>
      <c r="V679" s="1" t="str">
        <f aca="false">IF($A679="","",IF(OR(R679="",N679&lt;=0,J679=0,J679=""),"",(R679/1000*12/N679)/J679))</f>
        <v/>
      </c>
      <c r="W679" s="1" t="str">
        <f aca="false">IF($A679="","",IF(OR(T679="",K679=0,K679=""),"",T679/K679))</f>
        <v/>
      </c>
      <c r="X679" s="1" t="n">
        <f aca="false">IF($A679="","",IF(OR(N679&lt;=0,I679=0,I679="",O679=0),"",O679*1000/(I679*0.3025)/N679))</f>
        <v>13276.2160365107</v>
      </c>
      <c r="Y679" s="1" t="str">
        <f aca="false">IF($A679="","",IF(OR(O679=0,O679="",P679=0),"",P679/O679))</f>
        <v/>
      </c>
      <c r="Z679" s="1" t="str">
        <f aca="false">IF($A679="","",IFERROR(INDEX(物件収支!$E:$E,MATCH($A679,物件収支!$A:$A,0)),""))</f>
        <v>開示（物件別・収益のみ）</v>
      </c>
    </row>
    <row r="680" customFormat="false" ht="16.5" hidden="false" customHeight="true" outlineLevel="0" collapsed="false">
      <c r="A680" s="1" t="str">
        <f aca="false">IF(物件マスタ!A680="","",物件マスタ!A680)</f>
        <v>HFR-079</v>
      </c>
      <c r="B680" s="1" t="str">
        <f aca="false">IF($A680="","",物件マスタ!B680)</f>
        <v>HFR</v>
      </c>
      <c r="C680" s="1" t="str">
        <f aca="false">IF($A680="","",IFERROR(INDEX(法人マスタ!$C:$C,MATCH($B680,法人マスタ!$A:$A,0)),""))</f>
        <v>平和不動産リート投資法人</v>
      </c>
      <c r="D680" s="1" t="str">
        <f aca="false">IF($A680="","",物件マスタ!C680)</f>
        <v>ＨＦ武蔵小山レジデンス</v>
      </c>
      <c r="E680" s="1" t="str">
        <f aca="false">IF($A680="","",物件マスタ!H680)</f>
        <v>その他東京23区</v>
      </c>
      <c r="F680" s="1" t="n">
        <f aca="false">IF($A680="","",物件マスタ!P680)</f>
        <v>0</v>
      </c>
      <c r="G680" s="1" t="str">
        <f aca="false">IF($A680="","",物件マスタ!Q680)</f>
        <v/>
      </c>
      <c r="H680" s="1" t="n">
        <f aca="false">IF($A680="","",物件マスタ!L680)</f>
        <v>0</v>
      </c>
      <c r="I680" s="1" t="n">
        <f aca="false">IF($A680="","",物件マスタ!M680)</f>
        <v>1121.88</v>
      </c>
      <c r="J680" s="1" t="n">
        <f aca="false">IF($A680="","",物件マスタ!S680)</f>
        <v>842</v>
      </c>
      <c r="K680" s="1" t="n">
        <f aca="false">IF($A680="","",物件マスタ!U680)</f>
        <v>1300</v>
      </c>
      <c r="L680" s="1" t="n">
        <f aca="false">IF($A680="","",物件マスタ!W680)</f>
        <v>0.964</v>
      </c>
      <c r="M680" s="1" t="str">
        <f aca="false">IF($A680="","",IFERROR(INDEX(法人マスタ!$H:$H,MATCH($B680,法人マスタ!$A:$A,0)),""))</f>
        <v>2026年5月期（第49期）</v>
      </c>
      <c r="N680" s="1" t="n">
        <f aca="false">IF($A680="","",SUMIFS(物件収支!$D:$D,物件収支!$A:$A,$A680,物件収支!$C:$C,$M680))</f>
        <v>6</v>
      </c>
      <c r="O680" s="1" t="n">
        <f aca="false">IF($A680="","",SUMIFS(物件収支!$F:$F,物件収支!$A:$A,$A680,物件収支!$C:$C,$M680))</f>
        <v>33947</v>
      </c>
      <c r="P680" s="1" t="n">
        <f aca="false">IF($A680="","",SUMIFS(物件収支!$I:$I,物件収支!$A:$A,$A680,物件収支!$C:$C,$M680))</f>
        <v>0</v>
      </c>
      <c r="Q680" s="1" t="n">
        <f aca="false">IF($A680="","",SUMIFS(物件収支!$O:$O,物件収支!$A:$A,$A680,物件収支!$C:$C,$M680))</f>
        <v>0</v>
      </c>
      <c r="R680" s="1" t="str">
        <f aca="false">IF($A680="","",IF(P680=0,"",O680-P680))</f>
        <v/>
      </c>
      <c r="S680" s="1" t="str">
        <f aca="false">IF($A680="","",IF(R680="","",R680+Q680))</f>
        <v/>
      </c>
      <c r="T680" s="1" t="str">
        <f aca="false">IF($A680="","",IF(OR(S680="",N680&lt;=0),"",S680/1000*12/N680))</f>
        <v/>
      </c>
      <c r="U680" s="1" t="str">
        <f aca="false">IF($A680="","",IF(OR(T680="",J680=0,J680=""),"",T680/J680))</f>
        <v/>
      </c>
      <c r="V680" s="1" t="str">
        <f aca="false">IF($A680="","",IF(OR(R680="",N680&lt;=0,J680=0,J680=""),"",(R680/1000*12/N680)/J680))</f>
        <v/>
      </c>
      <c r="W680" s="1" t="str">
        <f aca="false">IF($A680="","",IF(OR(T680="",K680=0,K680=""),"",T680/K680))</f>
        <v/>
      </c>
      <c r="X680" s="1" t="n">
        <f aca="false">IF($A680="","",IF(OR(N680&lt;=0,I680=0,I680="",O680=0),"",O680*1000/(I680*0.3025)/N680))</f>
        <v>16671.6415902036</v>
      </c>
      <c r="Y680" s="1" t="str">
        <f aca="false">IF($A680="","",IF(OR(O680=0,O680="",P680=0),"",P680/O680))</f>
        <v/>
      </c>
      <c r="Z680" s="1" t="str">
        <f aca="false">IF($A680="","",IFERROR(INDEX(物件収支!$E:$E,MATCH($A680,物件収支!$A:$A,0)),""))</f>
        <v>開示（物件別・収益のみ）</v>
      </c>
    </row>
    <row r="681" customFormat="false" ht="16.5" hidden="false" customHeight="true" outlineLevel="0" collapsed="false">
      <c r="A681" s="1" t="str">
        <f aca="false">IF(物件マスタ!A681="","",物件マスタ!A681)</f>
        <v>HFR-080</v>
      </c>
      <c r="B681" s="1" t="str">
        <f aca="false">IF($A681="","",物件マスタ!B681)</f>
        <v>HFR</v>
      </c>
      <c r="C681" s="1" t="str">
        <f aca="false">IF($A681="","",IFERROR(INDEX(法人マスタ!$C:$C,MATCH($B681,法人マスタ!$A:$A,0)),""))</f>
        <v>平和不動産リート投資法人</v>
      </c>
      <c r="D681" s="1" t="str">
        <f aca="false">IF($A681="","",物件マスタ!C681)</f>
        <v>ＨＦ国分寺レジデンス</v>
      </c>
      <c r="E681" s="1" t="str">
        <f aca="false">IF($A681="","",物件マスタ!H681)</f>
        <v>東京周辺都市部</v>
      </c>
      <c r="F681" s="1" t="n">
        <f aca="false">IF($A681="","",物件マスタ!P681)</f>
        <v>0</v>
      </c>
      <c r="G681" s="1" t="str">
        <f aca="false">IF($A681="","",物件マスタ!Q681)</f>
        <v/>
      </c>
      <c r="H681" s="1" t="n">
        <f aca="false">IF($A681="","",物件マスタ!L681)</f>
        <v>0</v>
      </c>
      <c r="I681" s="1" t="n">
        <f aca="false">IF($A681="","",物件マスタ!M681)</f>
        <v>1222.45</v>
      </c>
      <c r="J681" s="1" t="n">
        <f aca="false">IF($A681="","",物件マスタ!S681)</f>
        <v>839</v>
      </c>
      <c r="K681" s="1" t="n">
        <f aca="false">IF($A681="","",物件マスタ!U681)</f>
        <v>1220</v>
      </c>
      <c r="L681" s="1" t="n">
        <f aca="false">IF($A681="","",物件マスタ!W681)</f>
        <v>0.9806</v>
      </c>
      <c r="M681" s="1" t="str">
        <f aca="false">IF($A681="","",IFERROR(INDEX(法人マスタ!$H:$H,MATCH($B681,法人マスタ!$A:$A,0)),""))</f>
        <v>2026年5月期（第49期）</v>
      </c>
      <c r="N681" s="1" t="n">
        <f aca="false">IF($A681="","",SUMIFS(物件収支!$D:$D,物件収支!$A:$A,$A681,物件収支!$C:$C,$M681))</f>
        <v>6</v>
      </c>
      <c r="O681" s="1" t="n">
        <f aca="false">IF($A681="","",SUMIFS(物件収支!$F:$F,物件収支!$A:$A,$A681,物件収支!$C:$C,$M681))</f>
        <v>33079</v>
      </c>
      <c r="P681" s="1" t="n">
        <f aca="false">IF($A681="","",SUMIFS(物件収支!$I:$I,物件収支!$A:$A,$A681,物件収支!$C:$C,$M681))</f>
        <v>0</v>
      </c>
      <c r="Q681" s="1" t="n">
        <f aca="false">IF($A681="","",SUMIFS(物件収支!$O:$O,物件収支!$A:$A,$A681,物件収支!$C:$C,$M681))</f>
        <v>0</v>
      </c>
      <c r="R681" s="1" t="str">
        <f aca="false">IF($A681="","",IF(P681=0,"",O681-P681))</f>
        <v/>
      </c>
      <c r="S681" s="1" t="str">
        <f aca="false">IF($A681="","",IF(R681="","",R681+Q681))</f>
        <v/>
      </c>
      <c r="T681" s="1" t="str">
        <f aca="false">IF($A681="","",IF(OR(S681="",N681&lt;=0),"",S681/1000*12/N681))</f>
        <v/>
      </c>
      <c r="U681" s="1" t="str">
        <f aca="false">IF($A681="","",IF(OR(T681="",J681=0,J681=""),"",T681/J681))</f>
        <v/>
      </c>
      <c r="V681" s="1" t="str">
        <f aca="false">IF($A681="","",IF(OR(R681="",N681&lt;=0,J681=0,J681=""),"",(R681/1000*12/N681)/J681))</f>
        <v/>
      </c>
      <c r="W681" s="1" t="str">
        <f aca="false">IF($A681="","",IF(OR(T681="",K681=0,K681=""),"",T681/K681))</f>
        <v/>
      </c>
      <c r="X681" s="1" t="n">
        <f aca="false">IF($A681="","",IF(OR(N681&lt;=0,I681=0,I681="",O681=0),"",O681*1000/(I681*0.3025)/N681))</f>
        <v>14908.8669087628</v>
      </c>
      <c r="Y681" s="1" t="str">
        <f aca="false">IF($A681="","",IF(OR(O681=0,O681="",P681=0),"",P681/O681))</f>
        <v/>
      </c>
      <c r="Z681" s="1" t="str">
        <f aca="false">IF($A681="","",IFERROR(INDEX(物件収支!$E:$E,MATCH($A681,物件収支!$A:$A,0)),""))</f>
        <v>開示（物件別・収益のみ）</v>
      </c>
    </row>
    <row r="682" customFormat="false" ht="16.5" hidden="false" customHeight="true" outlineLevel="0" collapsed="false">
      <c r="A682" s="1" t="str">
        <f aca="false">IF(物件マスタ!A682="","",物件マスタ!A682)</f>
        <v>HFR-081</v>
      </c>
      <c r="B682" s="1" t="str">
        <f aca="false">IF($A682="","",物件マスタ!B682)</f>
        <v>HFR</v>
      </c>
      <c r="C682" s="1" t="str">
        <f aca="false">IF($A682="","",IFERROR(INDEX(法人マスタ!$C:$C,MATCH($B682,法人マスタ!$A:$A,0)),""))</f>
        <v>平和不動産リート投資法人</v>
      </c>
      <c r="D682" s="1" t="str">
        <f aca="false">IF($A682="","",物件マスタ!C682)</f>
        <v>ＨＦ久屋大通レジデンス</v>
      </c>
      <c r="E682" s="1" t="str">
        <f aca="false">IF($A682="","",物件マスタ!H682)</f>
        <v>その他3大都市圏</v>
      </c>
      <c r="F682" s="1" t="n">
        <f aca="false">IF($A682="","",物件マスタ!P682)</f>
        <v>0</v>
      </c>
      <c r="G682" s="1" t="str">
        <f aca="false">IF($A682="","",物件マスタ!Q682)</f>
        <v/>
      </c>
      <c r="H682" s="1" t="n">
        <f aca="false">IF($A682="","",物件マスタ!L682)</f>
        <v>0</v>
      </c>
      <c r="I682" s="1" t="n">
        <f aca="false">IF($A682="","",物件マスタ!M682)</f>
        <v>2757.33</v>
      </c>
      <c r="J682" s="1" t="n">
        <f aca="false">IF($A682="","",物件マスタ!S682)</f>
        <v>1080</v>
      </c>
      <c r="K682" s="1" t="n">
        <f aca="false">IF($A682="","",物件マスタ!U682)</f>
        <v>1290</v>
      </c>
      <c r="L682" s="1" t="n">
        <f aca="false">IF($A682="","",物件マスタ!W682)</f>
        <v>0.9608</v>
      </c>
      <c r="M682" s="1" t="str">
        <f aca="false">IF($A682="","",IFERROR(INDEX(法人マスタ!$H:$H,MATCH($B682,法人マスタ!$A:$A,0)),""))</f>
        <v>2026年5月期（第49期）</v>
      </c>
      <c r="N682" s="1" t="n">
        <f aca="false">IF($A682="","",SUMIFS(物件収支!$D:$D,物件収支!$A:$A,$A682,物件収支!$C:$C,$M682))</f>
        <v>6</v>
      </c>
      <c r="O682" s="1" t="n">
        <f aca="false">IF($A682="","",SUMIFS(物件収支!$F:$F,物件収支!$A:$A,$A682,物件収支!$C:$C,$M682))</f>
        <v>41426</v>
      </c>
      <c r="P682" s="1" t="n">
        <f aca="false">IF($A682="","",SUMIFS(物件収支!$I:$I,物件収支!$A:$A,$A682,物件収支!$C:$C,$M682))</f>
        <v>0</v>
      </c>
      <c r="Q682" s="1" t="n">
        <f aca="false">IF($A682="","",SUMIFS(物件収支!$O:$O,物件収支!$A:$A,$A682,物件収支!$C:$C,$M682))</f>
        <v>0</v>
      </c>
      <c r="R682" s="1" t="str">
        <f aca="false">IF($A682="","",IF(P682=0,"",O682-P682))</f>
        <v/>
      </c>
      <c r="S682" s="1" t="str">
        <f aca="false">IF($A682="","",IF(R682="","",R682+Q682))</f>
        <v/>
      </c>
      <c r="T682" s="1" t="str">
        <f aca="false">IF($A682="","",IF(OR(S682="",N682&lt;=0),"",S682/1000*12/N682))</f>
        <v/>
      </c>
      <c r="U682" s="1" t="str">
        <f aca="false">IF($A682="","",IF(OR(T682="",J682=0,J682=""),"",T682/J682))</f>
        <v/>
      </c>
      <c r="V682" s="1" t="str">
        <f aca="false">IF($A682="","",IF(OR(R682="",N682&lt;=0,J682=0,J682=""),"",(R682/1000*12/N682)/J682))</f>
        <v/>
      </c>
      <c r="W682" s="1" t="str">
        <f aca="false">IF($A682="","",IF(OR(T682="",K682=0,K682=""),"",T682/K682))</f>
        <v/>
      </c>
      <c r="X682" s="1" t="n">
        <f aca="false">IF($A682="","",IF(OR(N682&lt;=0,I682=0,I682="",O682=0),"",O682*1000/(I682*0.3025)/N682))</f>
        <v>8277.66078932969</v>
      </c>
      <c r="Y682" s="1" t="str">
        <f aca="false">IF($A682="","",IF(OR(O682=0,O682="",P682=0),"",P682/O682))</f>
        <v/>
      </c>
      <c r="Z682" s="1" t="str">
        <f aca="false">IF($A682="","",IFERROR(INDEX(物件収支!$E:$E,MATCH($A682,物件収支!$A:$A,0)),""))</f>
        <v>開示（物件別・収益のみ）</v>
      </c>
    </row>
    <row r="683" customFormat="false" ht="16.5" hidden="false" customHeight="true" outlineLevel="0" collapsed="false">
      <c r="A683" s="1" t="str">
        <f aca="false">IF(物件マスタ!A683="","",物件マスタ!A683)</f>
        <v>HFR-082</v>
      </c>
      <c r="B683" s="1" t="str">
        <f aca="false">IF($A683="","",物件マスタ!B683)</f>
        <v>HFR</v>
      </c>
      <c r="C683" s="1" t="str">
        <f aca="false">IF($A683="","",IFERROR(INDEX(法人マスタ!$C:$C,MATCH($B683,法人マスタ!$A:$A,0)),""))</f>
        <v>平和不動産リート投資法人</v>
      </c>
      <c r="D683" s="1" t="str">
        <f aca="false">IF($A683="","",物件マスタ!C683)</f>
        <v>ＨＦ烏丸鞍馬口レジデンス</v>
      </c>
      <c r="E683" s="1" t="str">
        <f aca="false">IF($A683="","",物件マスタ!H683)</f>
        <v>その他3大都市圏</v>
      </c>
      <c r="F683" s="1" t="n">
        <f aca="false">IF($A683="","",物件マスタ!P683)</f>
        <v>0</v>
      </c>
      <c r="G683" s="1" t="str">
        <f aca="false">IF($A683="","",物件マスタ!Q683)</f>
        <v/>
      </c>
      <c r="H683" s="1" t="n">
        <f aca="false">IF($A683="","",物件マスタ!L683)</f>
        <v>0</v>
      </c>
      <c r="I683" s="1" t="n">
        <f aca="false">IF($A683="","",物件マスタ!M683)</f>
        <v>1297.62</v>
      </c>
      <c r="J683" s="1" t="n">
        <f aca="false">IF($A683="","",物件マスタ!S683)</f>
        <v>572</v>
      </c>
      <c r="K683" s="1" t="n">
        <f aca="false">IF($A683="","",物件マスタ!U683)</f>
        <v>777</v>
      </c>
      <c r="L683" s="1" t="n">
        <f aca="false">IF($A683="","",物件マスタ!W683)</f>
        <v>0.9515</v>
      </c>
      <c r="M683" s="1" t="str">
        <f aca="false">IF($A683="","",IFERROR(INDEX(法人マスタ!$H:$H,MATCH($B683,法人マスタ!$A:$A,0)),""))</f>
        <v>2026年5月期（第49期）</v>
      </c>
      <c r="N683" s="1" t="n">
        <f aca="false">IF($A683="","",SUMIFS(物件収支!$D:$D,物件収支!$A:$A,$A683,物件収支!$C:$C,$M683))</f>
        <v>6</v>
      </c>
      <c r="O683" s="1" t="n">
        <f aca="false">IF($A683="","",SUMIFS(物件収支!$F:$F,物件収支!$A:$A,$A683,物件収支!$C:$C,$M683))</f>
        <v>22979</v>
      </c>
      <c r="P683" s="1" t="n">
        <f aca="false">IF($A683="","",SUMIFS(物件収支!$I:$I,物件収支!$A:$A,$A683,物件収支!$C:$C,$M683))</f>
        <v>0</v>
      </c>
      <c r="Q683" s="1" t="n">
        <f aca="false">IF($A683="","",SUMIFS(物件収支!$O:$O,物件収支!$A:$A,$A683,物件収支!$C:$C,$M683))</f>
        <v>0</v>
      </c>
      <c r="R683" s="1" t="str">
        <f aca="false">IF($A683="","",IF(P683=0,"",O683-P683))</f>
        <v/>
      </c>
      <c r="S683" s="1" t="str">
        <f aca="false">IF($A683="","",IF(R683="","",R683+Q683))</f>
        <v/>
      </c>
      <c r="T683" s="1" t="str">
        <f aca="false">IF($A683="","",IF(OR(S683="",N683&lt;=0),"",S683/1000*12/N683))</f>
        <v/>
      </c>
      <c r="U683" s="1" t="str">
        <f aca="false">IF($A683="","",IF(OR(T683="",J683=0,J683=""),"",T683/J683))</f>
        <v/>
      </c>
      <c r="V683" s="1" t="str">
        <f aca="false">IF($A683="","",IF(OR(R683="",N683&lt;=0,J683=0,J683=""),"",(R683/1000*12/N683)/J683))</f>
        <v/>
      </c>
      <c r="W683" s="1" t="str">
        <f aca="false">IF($A683="","",IF(OR(T683="",K683=0,K683=""),"",T683/K683))</f>
        <v/>
      </c>
      <c r="X683" s="1" t="n">
        <f aca="false">IF($A683="","",IF(OR(N683&lt;=0,I683=0,I683="",O683=0),"",O683*1000/(I683*0.3025)/N683))</f>
        <v>9756.79017016235</v>
      </c>
      <c r="Y683" s="1" t="str">
        <f aca="false">IF($A683="","",IF(OR(O683=0,O683="",P683=0),"",P683/O683))</f>
        <v/>
      </c>
      <c r="Z683" s="1" t="str">
        <f aca="false">IF($A683="","",IFERROR(INDEX(物件収支!$E:$E,MATCH($A683,物件収支!$A:$A,0)),""))</f>
        <v>開示（物件別・収益のみ）</v>
      </c>
    </row>
    <row r="684" customFormat="false" ht="16.5" hidden="false" customHeight="true" outlineLevel="0" collapsed="false">
      <c r="A684" s="1" t="str">
        <f aca="false">IF(物件マスタ!A684="","",物件マスタ!A684)</f>
        <v>HFR-083</v>
      </c>
      <c r="B684" s="1" t="str">
        <f aca="false">IF($A684="","",物件マスタ!B684)</f>
        <v>HFR</v>
      </c>
      <c r="C684" s="1" t="str">
        <f aca="false">IF($A684="","",IFERROR(INDEX(法人マスタ!$C:$C,MATCH($B684,法人マスタ!$A:$A,0)),""))</f>
        <v>平和不動産リート投資法人</v>
      </c>
      <c r="D684" s="1" t="str">
        <f aca="false">IF($A684="","",物件マスタ!C684)</f>
        <v>ＨＦ西新宿レジデンスＷＥＳＴ</v>
      </c>
      <c r="E684" s="1" t="str">
        <f aca="false">IF($A684="","",物件マスタ!H684)</f>
        <v>（期中譲渡済）</v>
      </c>
      <c r="F684" s="1" t="n">
        <f aca="false">IF($A684="","",物件マスタ!P684)</f>
        <v>0</v>
      </c>
      <c r="G684" s="1" t="str">
        <f aca="false">IF($A684="","",物件マスタ!Q684)</f>
        <v/>
      </c>
      <c r="H684" s="1" t="n">
        <f aca="false">IF($A684="","",物件マスタ!L684)</f>
        <v>0</v>
      </c>
      <c r="I684" s="1" t="n">
        <f aca="false">IF($A684="","",物件マスタ!M684)</f>
        <v>0</v>
      </c>
      <c r="J684" s="1" t="n">
        <f aca="false">IF($A684="","",物件マスタ!S684)</f>
        <v>0</v>
      </c>
      <c r="K684" s="1" t="n">
        <f aca="false">IF($A684="","",物件マスタ!U684)</f>
        <v>0</v>
      </c>
      <c r="L684" s="1" t="n">
        <f aca="false">IF($A684="","",物件マスタ!W684)</f>
        <v>0</v>
      </c>
      <c r="M684" s="1" t="str">
        <f aca="false">IF($A684="","",IFERROR(INDEX(法人マスタ!$H:$H,MATCH($B684,法人マスタ!$A:$A,0)),""))</f>
        <v>2026年5月期（第49期）</v>
      </c>
      <c r="N684" s="1" t="n">
        <f aca="false">IF($A684="","",SUMIFS(物件収支!$D:$D,物件収支!$A:$A,$A684,物件収支!$C:$C,$M684))</f>
        <v>6</v>
      </c>
      <c r="O684" s="1" t="n">
        <f aca="false">IF($A684="","",SUMIFS(物件収支!$F:$F,物件収支!$A:$A,$A684,物件収支!$C:$C,$M684))</f>
        <v>0</v>
      </c>
      <c r="P684" s="1" t="n">
        <f aca="false">IF($A684="","",SUMIFS(物件収支!$I:$I,物件収支!$A:$A,$A684,物件収支!$C:$C,$M684))</f>
        <v>0</v>
      </c>
      <c r="Q684" s="1" t="n">
        <f aca="false">IF($A684="","",SUMIFS(物件収支!$O:$O,物件収支!$A:$A,$A684,物件収支!$C:$C,$M684))</f>
        <v>0</v>
      </c>
      <c r="R684" s="1" t="str">
        <f aca="false">IF($A684="","",IF(P684=0,"",O684-P684))</f>
        <v/>
      </c>
      <c r="S684" s="1" t="str">
        <f aca="false">IF($A684="","",IF(R684="","",R684+Q684))</f>
        <v/>
      </c>
      <c r="T684" s="1" t="str">
        <f aca="false">IF($A684="","",IF(OR(S684="",N684&lt;=0),"",S684/1000*12/N684))</f>
        <v/>
      </c>
      <c r="U684" s="1" t="str">
        <f aca="false">IF($A684="","",IF(OR(T684="",J684=0,J684=""),"",T684/J684))</f>
        <v/>
      </c>
      <c r="V684" s="1" t="str">
        <f aca="false">IF($A684="","",IF(OR(R684="",N684&lt;=0,J684=0,J684=""),"",(R684/1000*12/N684)/J684))</f>
        <v/>
      </c>
      <c r="W684" s="1" t="str">
        <f aca="false">IF($A684="","",IF(OR(T684="",K684=0,K684=""),"",T684/K684))</f>
        <v/>
      </c>
      <c r="X684" s="1" t="str">
        <f aca="false">IF($A684="","",IF(OR(N684&lt;=0,I684=0,I684="",O684=0),"",O684*1000/(I684*0.3025)/N684))</f>
        <v/>
      </c>
      <c r="Y684" s="1" t="str">
        <f aca="false">IF($A684="","",IF(OR(O684=0,O684="",P684=0),"",P684/O684))</f>
        <v/>
      </c>
      <c r="Z684" s="1" t="str">
        <f aca="false">IF($A684="","",IFERROR(INDEX(物件収支!$E:$E,MATCH($A684,物件収支!$A:$A,0)),""))</f>
        <v>対象外（期中譲渡・収益非掲載）</v>
      </c>
    </row>
    <row r="685" customFormat="false" ht="16.5" hidden="false" customHeight="true" outlineLevel="0" collapsed="false">
      <c r="A685" s="1" t="str">
        <f aca="false">IF(物件マスタ!A685="","",物件マスタ!A685)</f>
        <v>HFR-084</v>
      </c>
      <c r="B685" s="1" t="str">
        <f aca="false">IF($A685="","",物件マスタ!B685)</f>
        <v>HFR</v>
      </c>
      <c r="C685" s="1" t="str">
        <f aca="false">IF($A685="","",IFERROR(INDEX(法人マスタ!$C:$C,MATCH($B685,法人マスタ!$A:$A,0)),""))</f>
        <v>平和不動産リート投資法人</v>
      </c>
      <c r="D685" s="1" t="str">
        <f aca="false">IF($A685="","",物件マスタ!C685)</f>
        <v>ＨＦ西新宿レジデンスＥＡＳＴ</v>
      </c>
      <c r="E685" s="1" t="str">
        <f aca="false">IF($A685="","",物件マスタ!H685)</f>
        <v>（期中譲渡済）</v>
      </c>
      <c r="F685" s="1" t="n">
        <f aca="false">IF($A685="","",物件マスタ!P685)</f>
        <v>0</v>
      </c>
      <c r="G685" s="1" t="str">
        <f aca="false">IF($A685="","",物件マスタ!Q685)</f>
        <v/>
      </c>
      <c r="H685" s="1" t="n">
        <f aca="false">IF($A685="","",物件マスタ!L685)</f>
        <v>0</v>
      </c>
      <c r="I685" s="1" t="n">
        <f aca="false">IF($A685="","",物件マスタ!M685)</f>
        <v>0</v>
      </c>
      <c r="J685" s="1" t="n">
        <f aca="false">IF($A685="","",物件マスタ!S685)</f>
        <v>0</v>
      </c>
      <c r="K685" s="1" t="n">
        <f aca="false">IF($A685="","",物件マスタ!U685)</f>
        <v>0</v>
      </c>
      <c r="L685" s="1" t="n">
        <f aca="false">IF($A685="","",物件マスタ!W685)</f>
        <v>0</v>
      </c>
      <c r="M685" s="1" t="str">
        <f aca="false">IF($A685="","",IFERROR(INDEX(法人マスタ!$H:$H,MATCH($B685,法人マスタ!$A:$A,0)),""))</f>
        <v>2026年5月期（第49期）</v>
      </c>
      <c r="N685" s="1" t="n">
        <f aca="false">IF($A685="","",SUMIFS(物件収支!$D:$D,物件収支!$A:$A,$A685,物件収支!$C:$C,$M685))</f>
        <v>6</v>
      </c>
      <c r="O685" s="1" t="n">
        <f aca="false">IF($A685="","",SUMIFS(物件収支!$F:$F,物件収支!$A:$A,$A685,物件収支!$C:$C,$M685))</f>
        <v>0</v>
      </c>
      <c r="P685" s="1" t="n">
        <f aca="false">IF($A685="","",SUMIFS(物件収支!$I:$I,物件収支!$A:$A,$A685,物件収支!$C:$C,$M685))</f>
        <v>0</v>
      </c>
      <c r="Q685" s="1" t="n">
        <f aca="false">IF($A685="","",SUMIFS(物件収支!$O:$O,物件収支!$A:$A,$A685,物件収支!$C:$C,$M685))</f>
        <v>0</v>
      </c>
      <c r="R685" s="1" t="str">
        <f aca="false">IF($A685="","",IF(P685=0,"",O685-P685))</f>
        <v/>
      </c>
      <c r="S685" s="1" t="str">
        <f aca="false">IF($A685="","",IF(R685="","",R685+Q685))</f>
        <v/>
      </c>
      <c r="T685" s="1" t="str">
        <f aca="false">IF($A685="","",IF(OR(S685="",N685&lt;=0),"",S685/1000*12/N685))</f>
        <v/>
      </c>
      <c r="U685" s="1" t="str">
        <f aca="false">IF($A685="","",IF(OR(T685="",J685=0,J685=""),"",T685/J685))</f>
        <v/>
      </c>
      <c r="V685" s="1" t="str">
        <f aca="false">IF($A685="","",IF(OR(R685="",N685&lt;=0,J685=0,J685=""),"",(R685/1000*12/N685)/J685))</f>
        <v/>
      </c>
      <c r="W685" s="1" t="str">
        <f aca="false">IF($A685="","",IF(OR(T685="",K685=0,K685=""),"",T685/K685))</f>
        <v/>
      </c>
      <c r="X685" s="1" t="str">
        <f aca="false">IF($A685="","",IF(OR(N685&lt;=0,I685=0,I685="",O685=0),"",O685*1000/(I685*0.3025)/N685))</f>
        <v/>
      </c>
      <c r="Y685" s="1" t="str">
        <f aca="false">IF($A685="","",IF(OR(O685=0,O685="",P685=0),"",P685/O685))</f>
        <v/>
      </c>
      <c r="Z685" s="1" t="str">
        <f aca="false">IF($A685="","",IFERROR(INDEX(物件収支!$E:$E,MATCH($A685,物件収支!$A:$A,0)),""))</f>
        <v>対象外（期中譲渡・収益非掲載）</v>
      </c>
    </row>
    <row r="686" customFormat="false" ht="16.5" hidden="false" customHeight="true" outlineLevel="0" collapsed="false">
      <c r="A686" s="1" t="str">
        <f aca="false">IF(物件マスタ!A686="","",物件マスタ!A686)</f>
        <v>HFR-085</v>
      </c>
      <c r="B686" s="1" t="str">
        <f aca="false">IF($A686="","",物件マスタ!B686)</f>
        <v>HFR</v>
      </c>
      <c r="C686" s="1" t="str">
        <f aca="false">IF($A686="","",IFERROR(INDEX(法人マスタ!$C:$C,MATCH($B686,法人マスタ!$A:$A,0)),""))</f>
        <v>平和不動産リート投資法人</v>
      </c>
      <c r="D686" s="1" t="str">
        <f aca="false">IF($A686="","",物件マスタ!C686)</f>
        <v>ＨＦ北四番丁レジデンス</v>
      </c>
      <c r="E686" s="1" t="str">
        <f aca="false">IF($A686="","",物件マスタ!H686)</f>
        <v>3大都市圏以外の政令市</v>
      </c>
      <c r="F686" s="1" t="n">
        <f aca="false">IF($A686="","",物件マスタ!P686)</f>
        <v>0</v>
      </c>
      <c r="G686" s="1" t="str">
        <f aca="false">IF($A686="","",物件マスタ!Q686)</f>
        <v/>
      </c>
      <c r="H686" s="1" t="n">
        <f aca="false">IF($A686="","",物件マスタ!L686)</f>
        <v>0</v>
      </c>
      <c r="I686" s="1" t="n">
        <f aca="false">IF($A686="","",物件マスタ!M686)</f>
        <v>2234.2</v>
      </c>
      <c r="J686" s="1" t="n">
        <f aca="false">IF($A686="","",物件マスタ!S686)</f>
        <v>809</v>
      </c>
      <c r="K686" s="1" t="n">
        <f aca="false">IF($A686="","",物件マスタ!U686)</f>
        <v>1100</v>
      </c>
      <c r="L686" s="1" t="n">
        <f aca="false">IF($A686="","",物件マスタ!W686)</f>
        <v>0.9668</v>
      </c>
      <c r="M686" s="1" t="str">
        <f aca="false">IF($A686="","",IFERROR(INDEX(法人マスタ!$H:$H,MATCH($B686,法人マスタ!$A:$A,0)),""))</f>
        <v>2026年5月期（第49期）</v>
      </c>
      <c r="N686" s="1" t="n">
        <f aca="false">IF($A686="","",SUMIFS(物件収支!$D:$D,物件収支!$A:$A,$A686,物件収支!$C:$C,$M686))</f>
        <v>6</v>
      </c>
      <c r="O686" s="1" t="n">
        <f aca="false">IF($A686="","",SUMIFS(物件収支!$F:$F,物件収支!$A:$A,$A686,物件収支!$C:$C,$M686))</f>
        <v>40533</v>
      </c>
      <c r="P686" s="1" t="n">
        <f aca="false">IF($A686="","",SUMIFS(物件収支!$I:$I,物件収支!$A:$A,$A686,物件収支!$C:$C,$M686))</f>
        <v>0</v>
      </c>
      <c r="Q686" s="1" t="n">
        <f aca="false">IF($A686="","",SUMIFS(物件収支!$O:$O,物件収支!$A:$A,$A686,物件収支!$C:$C,$M686))</f>
        <v>0</v>
      </c>
      <c r="R686" s="1" t="str">
        <f aca="false">IF($A686="","",IF(P686=0,"",O686-P686))</f>
        <v/>
      </c>
      <c r="S686" s="1" t="str">
        <f aca="false">IF($A686="","",IF(R686="","",R686+Q686))</f>
        <v/>
      </c>
      <c r="T686" s="1" t="str">
        <f aca="false">IF($A686="","",IF(OR(S686="",N686&lt;=0),"",S686/1000*12/N686))</f>
        <v/>
      </c>
      <c r="U686" s="1" t="str">
        <f aca="false">IF($A686="","",IF(OR(T686="",J686=0,J686=""),"",T686/J686))</f>
        <v/>
      </c>
      <c r="V686" s="1" t="str">
        <f aca="false">IF($A686="","",IF(OR(R686="",N686&lt;=0,J686=0,J686=""),"",(R686/1000*12/N686)/J686))</f>
        <v/>
      </c>
      <c r="W686" s="1" t="str">
        <f aca="false">IF($A686="","",IF(OR(T686="",K686=0,K686=""),"",T686/K686))</f>
        <v/>
      </c>
      <c r="X686" s="1" t="n">
        <f aca="false">IF($A686="","",IF(OR(N686&lt;=0,I686=0,I686="",O686=0),"",O686*1000/(I686*0.3025)/N686))</f>
        <v>9995.62769893415</v>
      </c>
      <c r="Y686" s="1" t="str">
        <f aca="false">IF($A686="","",IF(OR(O686=0,O686="",P686=0),"",P686/O686))</f>
        <v/>
      </c>
      <c r="Z686" s="1" t="str">
        <f aca="false">IF($A686="","",IFERROR(INDEX(物件収支!$E:$E,MATCH($A686,物件収支!$A:$A,0)),""))</f>
        <v>開示（物件別・収益のみ）</v>
      </c>
    </row>
    <row r="687" customFormat="false" ht="16.5" hidden="false" customHeight="true" outlineLevel="0" collapsed="false">
      <c r="A687" s="1" t="str">
        <f aca="false">IF(物件マスタ!A687="","",物件マスタ!A687)</f>
        <v>HFR-086</v>
      </c>
      <c r="B687" s="1" t="str">
        <f aca="false">IF($A687="","",物件マスタ!B687)</f>
        <v>HFR</v>
      </c>
      <c r="C687" s="1" t="str">
        <f aca="false">IF($A687="","",IFERROR(INDEX(法人マスタ!$C:$C,MATCH($B687,法人マスタ!$A:$A,0)),""))</f>
        <v>平和不動産リート投資法人</v>
      </c>
      <c r="D687" s="1" t="str">
        <f aca="false">IF($A687="","",物件マスタ!C687)</f>
        <v>ＨＦ愛宕橋レジデンス</v>
      </c>
      <c r="E687" s="1" t="str">
        <f aca="false">IF($A687="","",物件マスタ!H687)</f>
        <v>3大都市圏以外の政令市</v>
      </c>
      <c r="F687" s="1" t="n">
        <f aca="false">IF($A687="","",物件マスタ!P687)</f>
        <v>0</v>
      </c>
      <c r="G687" s="1" t="str">
        <f aca="false">IF($A687="","",物件マスタ!Q687)</f>
        <v/>
      </c>
      <c r="H687" s="1" t="n">
        <f aca="false">IF($A687="","",物件マスタ!L687)</f>
        <v>0</v>
      </c>
      <c r="I687" s="1" t="n">
        <f aca="false">IF($A687="","",物件マスタ!M687)</f>
        <v>1964.87</v>
      </c>
      <c r="J687" s="1" t="n">
        <f aca="false">IF($A687="","",物件マスタ!S687)</f>
        <v>684</v>
      </c>
      <c r="K687" s="1" t="n">
        <f aca="false">IF($A687="","",物件マスタ!U687)</f>
        <v>874</v>
      </c>
      <c r="L687" s="1" t="n">
        <f aca="false">IF($A687="","",物件マスタ!W687)</f>
        <v>0.9252</v>
      </c>
      <c r="M687" s="1" t="str">
        <f aca="false">IF($A687="","",IFERROR(INDEX(法人マスタ!$H:$H,MATCH($B687,法人マスタ!$A:$A,0)),""))</f>
        <v>2026年5月期（第49期）</v>
      </c>
      <c r="N687" s="1" t="n">
        <f aca="false">IF($A687="","",SUMIFS(物件収支!$D:$D,物件収支!$A:$A,$A687,物件収支!$C:$C,$M687))</f>
        <v>6</v>
      </c>
      <c r="O687" s="1" t="n">
        <f aca="false">IF($A687="","",SUMIFS(物件収支!$F:$F,物件収支!$A:$A,$A687,物件収支!$C:$C,$M687))</f>
        <v>31693</v>
      </c>
      <c r="P687" s="1" t="n">
        <f aca="false">IF($A687="","",SUMIFS(物件収支!$I:$I,物件収支!$A:$A,$A687,物件収支!$C:$C,$M687))</f>
        <v>0</v>
      </c>
      <c r="Q687" s="1" t="n">
        <f aca="false">IF($A687="","",SUMIFS(物件収支!$O:$O,物件収支!$A:$A,$A687,物件収支!$C:$C,$M687))</f>
        <v>0</v>
      </c>
      <c r="R687" s="1" t="str">
        <f aca="false">IF($A687="","",IF(P687=0,"",O687-P687))</f>
        <v/>
      </c>
      <c r="S687" s="1" t="str">
        <f aca="false">IF($A687="","",IF(R687="","",R687+Q687))</f>
        <v/>
      </c>
      <c r="T687" s="1" t="str">
        <f aca="false">IF($A687="","",IF(OR(S687="",N687&lt;=0),"",S687/1000*12/N687))</f>
        <v/>
      </c>
      <c r="U687" s="1" t="str">
        <f aca="false">IF($A687="","",IF(OR(T687="",J687=0,J687=""),"",T687/J687))</f>
        <v/>
      </c>
      <c r="V687" s="1" t="str">
        <f aca="false">IF($A687="","",IF(OR(R687="",N687&lt;=0,J687=0,J687=""),"",(R687/1000*12/N687)/J687))</f>
        <v/>
      </c>
      <c r="W687" s="1" t="str">
        <f aca="false">IF($A687="","",IF(OR(T687="",K687=0,K687=""),"",T687/K687))</f>
        <v/>
      </c>
      <c r="X687" s="1" t="n">
        <f aca="false">IF($A687="","",IF(OR(N687&lt;=0,I687=0,I687="",O687=0),"",O687*1000/(I687*0.3025)/N687))</f>
        <v>8886.95332972701</v>
      </c>
      <c r="Y687" s="1" t="str">
        <f aca="false">IF($A687="","",IF(OR(O687=0,O687="",P687=0),"",P687/O687))</f>
        <v/>
      </c>
      <c r="Z687" s="1" t="str">
        <f aca="false">IF($A687="","",IFERROR(INDEX(物件収支!$E:$E,MATCH($A687,物件収支!$A:$A,0)),""))</f>
        <v>開示（物件別・収益のみ）</v>
      </c>
    </row>
    <row r="688" customFormat="false" ht="16.5" hidden="false" customHeight="true" outlineLevel="0" collapsed="false">
      <c r="A688" s="1" t="str">
        <f aca="false">IF(物件マスタ!A688="","",物件マスタ!A688)</f>
        <v>HFR-087</v>
      </c>
      <c r="B688" s="1" t="str">
        <f aca="false">IF($A688="","",物件マスタ!B688)</f>
        <v>HFR</v>
      </c>
      <c r="C688" s="1" t="str">
        <f aca="false">IF($A688="","",IFERROR(INDEX(法人マスタ!$C:$C,MATCH($B688,法人マスタ!$A:$A,0)),""))</f>
        <v>平和不動産リート投資法人</v>
      </c>
      <c r="D688" s="1" t="str">
        <f aca="false">IF($A688="","",物件マスタ!C688)</f>
        <v>ＨＦ浅草橋レジデンス</v>
      </c>
      <c r="E688" s="1" t="str">
        <f aca="false">IF($A688="","",物件マスタ!H688)</f>
        <v>その他東京23区</v>
      </c>
      <c r="F688" s="1" t="n">
        <f aca="false">IF($A688="","",物件マスタ!P688)</f>
        <v>0</v>
      </c>
      <c r="G688" s="1" t="str">
        <f aca="false">IF($A688="","",物件マスタ!Q688)</f>
        <v/>
      </c>
      <c r="H688" s="1" t="n">
        <f aca="false">IF($A688="","",物件マスタ!L688)</f>
        <v>0</v>
      </c>
      <c r="I688" s="1" t="n">
        <f aca="false">IF($A688="","",物件マスタ!M688)</f>
        <v>1209.78</v>
      </c>
      <c r="J688" s="1" t="n">
        <f aca="false">IF($A688="","",物件マスタ!S688)</f>
        <v>771</v>
      </c>
      <c r="K688" s="1" t="n">
        <f aca="false">IF($A688="","",物件マスタ!U688)</f>
        <v>1180</v>
      </c>
      <c r="L688" s="1" t="n">
        <f aca="false">IF($A688="","",物件マスタ!W688)</f>
        <v>1</v>
      </c>
      <c r="M688" s="1" t="str">
        <f aca="false">IF($A688="","",IFERROR(INDEX(法人マスタ!$H:$H,MATCH($B688,法人マスタ!$A:$A,0)),""))</f>
        <v>2026年5月期（第49期）</v>
      </c>
      <c r="N688" s="1" t="n">
        <f aca="false">IF($A688="","",SUMIFS(物件収支!$D:$D,物件収支!$A:$A,$A688,物件収支!$C:$C,$M688))</f>
        <v>6</v>
      </c>
      <c r="O688" s="1" t="n">
        <f aca="false">IF($A688="","",SUMIFS(物件収支!$F:$F,物件収支!$A:$A,$A688,物件収支!$C:$C,$M688))</f>
        <v>29737</v>
      </c>
      <c r="P688" s="1" t="n">
        <f aca="false">IF($A688="","",SUMIFS(物件収支!$I:$I,物件収支!$A:$A,$A688,物件収支!$C:$C,$M688))</f>
        <v>0</v>
      </c>
      <c r="Q688" s="1" t="n">
        <f aca="false">IF($A688="","",SUMIFS(物件収支!$O:$O,物件収支!$A:$A,$A688,物件収支!$C:$C,$M688))</f>
        <v>0</v>
      </c>
      <c r="R688" s="1" t="str">
        <f aca="false">IF($A688="","",IF(P688=0,"",O688-P688))</f>
        <v/>
      </c>
      <c r="S688" s="1" t="str">
        <f aca="false">IF($A688="","",IF(R688="","",R688+Q688))</f>
        <v/>
      </c>
      <c r="T688" s="1" t="str">
        <f aca="false">IF($A688="","",IF(OR(S688="",N688&lt;=0),"",S688/1000*12/N688))</f>
        <v/>
      </c>
      <c r="U688" s="1" t="str">
        <f aca="false">IF($A688="","",IF(OR(T688="",J688=0,J688=""),"",T688/J688))</f>
        <v/>
      </c>
      <c r="V688" s="1" t="str">
        <f aca="false">IF($A688="","",IF(OR(R688="",N688&lt;=0,J688=0,J688=""),"",(R688/1000*12/N688)/J688))</f>
        <v/>
      </c>
      <c r="W688" s="1" t="str">
        <f aca="false">IF($A688="","",IF(OR(T688="",K688=0,K688=""),"",T688/K688))</f>
        <v/>
      </c>
      <c r="X688" s="1" t="n">
        <f aca="false">IF($A688="","",IF(OR(N688&lt;=0,I688=0,I688="",O688=0),"",O688*1000/(I688*0.3025)/N688))</f>
        <v>13542.9764408136</v>
      </c>
      <c r="Y688" s="1" t="str">
        <f aca="false">IF($A688="","",IF(OR(O688=0,O688="",P688=0),"",P688/O688))</f>
        <v/>
      </c>
      <c r="Z688" s="1" t="str">
        <f aca="false">IF($A688="","",IFERROR(INDEX(物件収支!$E:$E,MATCH($A688,物件収支!$A:$A,0)),""))</f>
        <v>開示（物件別・収益のみ）</v>
      </c>
    </row>
    <row r="689" customFormat="false" ht="16.5" hidden="false" customHeight="true" outlineLevel="0" collapsed="false">
      <c r="A689" s="1" t="str">
        <f aca="false">IF(物件マスタ!A689="","",物件マスタ!A689)</f>
        <v>HFR-088</v>
      </c>
      <c r="B689" s="1" t="str">
        <f aca="false">IF($A689="","",物件マスタ!B689)</f>
        <v>HFR</v>
      </c>
      <c r="C689" s="1" t="str">
        <f aca="false">IF($A689="","",IFERROR(INDEX(法人マスタ!$C:$C,MATCH($B689,法人マスタ!$A:$A,0)),""))</f>
        <v>平和不動産リート投資法人</v>
      </c>
      <c r="D689" s="1" t="str">
        <f aca="false">IF($A689="","",物件マスタ!C689)</f>
        <v>ＨＦ一番町レジデンス</v>
      </c>
      <c r="E689" s="1" t="str">
        <f aca="false">IF($A689="","",物件マスタ!H689)</f>
        <v>3大都市圏以外の政令市</v>
      </c>
      <c r="F689" s="1" t="n">
        <f aca="false">IF($A689="","",物件マスタ!P689)</f>
        <v>0</v>
      </c>
      <c r="G689" s="1" t="str">
        <f aca="false">IF($A689="","",物件マスタ!Q689)</f>
        <v/>
      </c>
      <c r="H689" s="1" t="n">
        <f aca="false">IF($A689="","",物件マスタ!L689)</f>
        <v>0</v>
      </c>
      <c r="I689" s="1" t="n">
        <f aca="false">IF($A689="","",物件マスタ!M689)</f>
        <v>2106.38</v>
      </c>
      <c r="J689" s="1" t="n">
        <f aca="false">IF($A689="","",物件マスタ!S689)</f>
        <v>834</v>
      </c>
      <c r="K689" s="1" t="n">
        <f aca="false">IF($A689="","",物件マスタ!U689)</f>
        <v>1180</v>
      </c>
      <c r="L689" s="1" t="n">
        <f aca="false">IF($A689="","",物件マスタ!W689)</f>
        <v>0.9465</v>
      </c>
      <c r="M689" s="1" t="str">
        <f aca="false">IF($A689="","",IFERROR(INDEX(法人マスタ!$H:$H,MATCH($B689,法人マスタ!$A:$A,0)),""))</f>
        <v>2026年5月期（第49期）</v>
      </c>
      <c r="N689" s="1" t="n">
        <f aca="false">IF($A689="","",SUMIFS(物件収支!$D:$D,物件収支!$A:$A,$A689,物件収支!$C:$C,$M689))</f>
        <v>6</v>
      </c>
      <c r="O689" s="1" t="n">
        <f aca="false">IF($A689="","",SUMIFS(物件収支!$F:$F,物件収支!$A:$A,$A689,物件収支!$C:$C,$M689))</f>
        <v>40364</v>
      </c>
      <c r="P689" s="1" t="n">
        <f aca="false">IF($A689="","",SUMIFS(物件収支!$I:$I,物件収支!$A:$A,$A689,物件収支!$C:$C,$M689))</f>
        <v>0</v>
      </c>
      <c r="Q689" s="1" t="n">
        <f aca="false">IF($A689="","",SUMIFS(物件収支!$O:$O,物件収支!$A:$A,$A689,物件収支!$C:$C,$M689))</f>
        <v>0</v>
      </c>
      <c r="R689" s="1" t="str">
        <f aca="false">IF($A689="","",IF(P689=0,"",O689-P689))</f>
        <v/>
      </c>
      <c r="S689" s="1" t="str">
        <f aca="false">IF($A689="","",IF(R689="","",R689+Q689))</f>
        <v/>
      </c>
      <c r="T689" s="1" t="str">
        <f aca="false">IF($A689="","",IF(OR(S689="",N689&lt;=0),"",S689/1000*12/N689))</f>
        <v/>
      </c>
      <c r="U689" s="1" t="str">
        <f aca="false">IF($A689="","",IF(OR(T689="",J689=0,J689=""),"",T689/J689))</f>
        <v/>
      </c>
      <c r="V689" s="1" t="str">
        <f aca="false">IF($A689="","",IF(OR(R689="",N689&lt;=0,J689=0,J689=""),"",(R689/1000*12/N689)/J689))</f>
        <v/>
      </c>
      <c r="W689" s="1" t="str">
        <f aca="false">IF($A689="","",IF(OR(T689="",K689=0,K689=""),"",T689/K689))</f>
        <v/>
      </c>
      <c r="X689" s="1" t="n">
        <f aca="false">IF($A689="","",IF(OR(N689&lt;=0,I689=0,I689="",O689=0),"",O689*1000/(I689*0.3025)/N689))</f>
        <v>10557.9802586904</v>
      </c>
      <c r="Y689" s="1" t="str">
        <f aca="false">IF($A689="","",IF(OR(O689=0,O689="",P689=0),"",P689/O689))</f>
        <v/>
      </c>
      <c r="Z689" s="1" t="str">
        <f aca="false">IF($A689="","",IFERROR(INDEX(物件収支!$E:$E,MATCH($A689,物件収支!$A:$A,0)),""))</f>
        <v>開示（物件別・収益のみ）</v>
      </c>
    </row>
    <row r="690" customFormat="false" ht="16.5" hidden="false" customHeight="true" outlineLevel="0" collapsed="false">
      <c r="A690" s="1" t="str">
        <f aca="false">IF(物件マスタ!A690="","",物件マスタ!A690)</f>
        <v>HFR-089</v>
      </c>
      <c r="B690" s="1" t="str">
        <f aca="false">IF($A690="","",物件マスタ!B690)</f>
        <v>HFR</v>
      </c>
      <c r="C690" s="1" t="str">
        <f aca="false">IF($A690="","",IFERROR(INDEX(法人マスタ!$C:$C,MATCH($B690,法人マスタ!$A:$A,0)),""))</f>
        <v>平和不動産リート投資法人</v>
      </c>
      <c r="D690" s="1" t="str">
        <f aca="false">IF($A690="","",物件マスタ!C690)</f>
        <v>ＨＦ東中野レジデンス</v>
      </c>
      <c r="E690" s="1" t="str">
        <f aca="false">IF($A690="","",物件マスタ!H690)</f>
        <v>その他東京23区</v>
      </c>
      <c r="F690" s="1" t="n">
        <f aca="false">IF($A690="","",物件マスタ!P690)</f>
        <v>0</v>
      </c>
      <c r="G690" s="1" t="str">
        <f aca="false">IF($A690="","",物件マスタ!Q690)</f>
        <v/>
      </c>
      <c r="H690" s="1" t="n">
        <f aca="false">IF($A690="","",物件マスタ!L690)</f>
        <v>0</v>
      </c>
      <c r="I690" s="1" t="n">
        <f aca="false">IF($A690="","",物件マスタ!M690)</f>
        <v>1341.66</v>
      </c>
      <c r="J690" s="1" t="n">
        <f aca="false">IF($A690="","",物件マスタ!S690)</f>
        <v>942</v>
      </c>
      <c r="K690" s="1" t="n">
        <f aca="false">IF($A690="","",物件マスタ!U690)</f>
        <v>1300</v>
      </c>
      <c r="L690" s="1" t="n">
        <f aca="false">IF($A690="","",物件マスタ!W690)</f>
        <v>0.9233</v>
      </c>
      <c r="M690" s="1" t="str">
        <f aca="false">IF($A690="","",IFERROR(INDEX(法人マスタ!$H:$H,MATCH($B690,法人マスタ!$A:$A,0)),""))</f>
        <v>2026年5月期（第49期）</v>
      </c>
      <c r="N690" s="1" t="n">
        <f aca="false">IF($A690="","",SUMIFS(物件収支!$D:$D,物件収支!$A:$A,$A690,物件収支!$C:$C,$M690))</f>
        <v>6</v>
      </c>
      <c r="O690" s="1" t="n">
        <f aca="false">IF($A690="","",SUMIFS(物件収支!$F:$F,物件収支!$A:$A,$A690,物件収支!$C:$C,$M690))</f>
        <v>33435</v>
      </c>
      <c r="P690" s="1" t="n">
        <f aca="false">IF($A690="","",SUMIFS(物件収支!$I:$I,物件収支!$A:$A,$A690,物件収支!$C:$C,$M690))</f>
        <v>0</v>
      </c>
      <c r="Q690" s="1" t="n">
        <f aca="false">IF($A690="","",SUMIFS(物件収支!$O:$O,物件収支!$A:$A,$A690,物件収支!$C:$C,$M690))</f>
        <v>0</v>
      </c>
      <c r="R690" s="1" t="str">
        <f aca="false">IF($A690="","",IF(P690=0,"",O690-P690))</f>
        <v/>
      </c>
      <c r="S690" s="1" t="str">
        <f aca="false">IF($A690="","",IF(R690="","",R690+Q690))</f>
        <v/>
      </c>
      <c r="T690" s="1" t="str">
        <f aca="false">IF($A690="","",IF(OR(S690="",N690&lt;=0),"",S690/1000*12/N690))</f>
        <v/>
      </c>
      <c r="U690" s="1" t="str">
        <f aca="false">IF($A690="","",IF(OR(T690="",J690=0,J690=""),"",T690/J690))</f>
        <v/>
      </c>
      <c r="V690" s="1" t="str">
        <f aca="false">IF($A690="","",IF(OR(R690="",N690&lt;=0,J690=0,J690=""),"",(R690/1000*12/N690)/J690))</f>
        <v/>
      </c>
      <c r="W690" s="1" t="str">
        <f aca="false">IF($A690="","",IF(OR(T690="",K690=0,K690=""),"",T690/K690))</f>
        <v/>
      </c>
      <c r="X690" s="1" t="n">
        <f aca="false">IF($A690="","",IF(OR(N690&lt;=0,I690=0,I690="",O690=0),"",O690*1000/(I690*0.3025)/N690))</f>
        <v>13730.3695446729</v>
      </c>
      <c r="Y690" s="1" t="str">
        <f aca="false">IF($A690="","",IF(OR(O690=0,O690="",P690=0),"",P690/O690))</f>
        <v/>
      </c>
      <c r="Z690" s="1" t="str">
        <f aca="false">IF($A690="","",IFERROR(INDEX(物件収支!$E:$E,MATCH($A690,物件収支!$A:$A,0)),""))</f>
        <v>開示（物件別・収益のみ）</v>
      </c>
    </row>
    <row r="691" customFormat="false" ht="16.5" hidden="false" customHeight="true" outlineLevel="0" collapsed="false">
      <c r="A691" s="1" t="str">
        <f aca="false">IF(物件マスタ!A691="","",物件マスタ!A691)</f>
        <v>HFR-090</v>
      </c>
      <c r="B691" s="1" t="str">
        <f aca="false">IF($A691="","",物件マスタ!B691)</f>
        <v>HFR</v>
      </c>
      <c r="C691" s="1" t="str">
        <f aca="false">IF($A691="","",IFERROR(INDEX(法人マスタ!$C:$C,MATCH($B691,法人マスタ!$A:$A,0)),""))</f>
        <v>平和不動産リート投資法人</v>
      </c>
      <c r="D691" s="1" t="str">
        <f aca="false">IF($A691="","",物件マスタ!C691)</f>
        <v>ＨＦ早稲田レジデンス</v>
      </c>
      <c r="E691" s="1" t="str">
        <f aca="false">IF($A691="","",物件マスタ!H691)</f>
        <v>都心5区</v>
      </c>
      <c r="F691" s="1" t="n">
        <f aca="false">IF($A691="","",物件マスタ!P691)</f>
        <v>0</v>
      </c>
      <c r="G691" s="1" t="str">
        <f aca="false">IF($A691="","",物件マスタ!Q691)</f>
        <v/>
      </c>
      <c r="H691" s="1" t="n">
        <f aca="false">IF($A691="","",物件マスタ!L691)</f>
        <v>0</v>
      </c>
      <c r="I691" s="1" t="n">
        <f aca="false">IF($A691="","",物件マスタ!M691)</f>
        <v>2964.81</v>
      </c>
      <c r="J691" s="1" t="n">
        <f aca="false">IF($A691="","",物件マスタ!S691)</f>
        <v>2090</v>
      </c>
      <c r="K691" s="1" t="n">
        <f aca="false">IF($A691="","",物件マスタ!U691)</f>
        <v>3020</v>
      </c>
      <c r="L691" s="1" t="n">
        <f aca="false">IF($A691="","",物件マスタ!W691)</f>
        <v>0.9857</v>
      </c>
      <c r="M691" s="1" t="str">
        <f aca="false">IF($A691="","",IFERROR(INDEX(法人マスタ!$H:$H,MATCH($B691,法人マスタ!$A:$A,0)),""))</f>
        <v>2026年5月期（第49期）</v>
      </c>
      <c r="N691" s="1" t="n">
        <f aca="false">IF($A691="","",SUMIFS(物件収支!$D:$D,物件収支!$A:$A,$A691,物件収支!$C:$C,$M691))</f>
        <v>6</v>
      </c>
      <c r="O691" s="1" t="n">
        <f aca="false">IF($A691="","",SUMIFS(物件収支!$F:$F,物件収支!$A:$A,$A691,物件収支!$C:$C,$M691))</f>
        <v>83998</v>
      </c>
      <c r="P691" s="1" t="n">
        <f aca="false">IF($A691="","",SUMIFS(物件収支!$I:$I,物件収支!$A:$A,$A691,物件収支!$C:$C,$M691))</f>
        <v>0</v>
      </c>
      <c r="Q691" s="1" t="n">
        <f aca="false">IF($A691="","",SUMIFS(物件収支!$O:$O,物件収支!$A:$A,$A691,物件収支!$C:$C,$M691))</f>
        <v>0</v>
      </c>
      <c r="R691" s="1" t="str">
        <f aca="false">IF($A691="","",IF(P691=0,"",O691-P691))</f>
        <v/>
      </c>
      <c r="S691" s="1" t="str">
        <f aca="false">IF($A691="","",IF(R691="","",R691+Q691))</f>
        <v/>
      </c>
      <c r="T691" s="1" t="str">
        <f aca="false">IF($A691="","",IF(OR(S691="",N691&lt;=0),"",S691/1000*12/N691))</f>
        <v/>
      </c>
      <c r="U691" s="1" t="str">
        <f aca="false">IF($A691="","",IF(OR(T691="",J691=0,J691=""),"",T691/J691))</f>
        <v/>
      </c>
      <c r="V691" s="1" t="str">
        <f aca="false">IF($A691="","",IF(OR(R691="",N691&lt;=0,J691=0,J691=""),"",(R691/1000*12/N691)/J691))</f>
        <v/>
      </c>
      <c r="W691" s="1" t="str">
        <f aca="false">IF($A691="","",IF(OR(T691="",K691=0,K691=""),"",T691/K691))</f>
        <v/>
      </c>
      <c r="X691" s="1" t="n">
        <f aca="false">IF($A691="","",IF(OR(N691&lt;=0,I691=0,I691="",O691=0),"",O691*1000/(I691*0.3025)/N691))</f>
        <v>15609.7320931738</v>
      </c>
      <c r="Y691" s="1" t="str">
        <f aca="false">IF($A691="","",IF(OR(O691=0,O691="",P691=0),"",P691/O691))</f>
        <v/>
      </c>
      <c r="Z691" s="1" t="str">
        <f aca="false">IF($A691="","",IFERROR(INDEX(物件収支!$E:$E,MATCH($A691,物件収支!$A:$A,0)),""))</f>
        <v>開示（物件別・収益のみ）</v>
      </c>
    </row>
    <row r="692" customFormat="false" ht="16.5" hidden="false" customHeight="true" outlineLevel="0" collapsed="false">
      <c r="A692" s="1" t="str">
        <f aca="false">IF(物件マスタ!A692="","",物件マスタ!A692)</f>
        <v>HFR-091</v>
      </c>
      <c r="B692" s="1" t="str">
        <f aca="false">IF($A692="","",物件マスタ!B692)</f>
        <v>HFR</v>
      </c>
      <c r="C692" s="1" t="str">
        <f aca="false">IF($A692="","",IFERROR(INDEX(法人マスタ!$C:$C,MATCH($B692,法人マスタ!$A:$A,0)),""))</f>
        <v>平和不動産リート投資法人</v>
      </c>
      <c r="D692" s="1" t="str">
        <f aca="false">IF($A692="","",物件マスタ!C692)</f>
        <v>ＨＦ早稲田レジデンスⅡ</v>
      </c>
      <c r="E692" s="1" t="str">
        <f aca="false">IF($A692="","",物件マスタ!H692)</f>
        <v>都心5区</v>
      </c>
      <c r="F692" s="1" t="n">
        <f aca="false">IF($A692="","",物件マスタ!P692)</f>
        <v>0</v>
      </c>
      <c r="G692" s="1" t="str">
        <f aca="false">IF($A692="","",物件マスタ!Q692)</f>
        <v/>
      </c>
      <c r="H692" s="1" t="n">
        <f aca="false">IF($A692="","",物件マスタ!L692)</f>
        <v>0</v>
      </c>
      <c r="I692" s="1" t="n">
        <f aca="false">IF($A692="","",物件マスタ!M692)</f>
        <v>1223.79</v>
      </c>
      <c r="J692" s="1" t="n">
        <f aca="false">IF($A692="","",物件マスタ!S692)</f>
        <v>872</v>
      </c>
      <c r="K692" s="1" t="n">
        <f aca="false">IF($A692="","",物件マスタ!U692)</f>
        <v>1190</v>
      </c>
      <c r="L692" s="1" t="n">
        <f aca="false">IF($A692="","",物件マスタ!W692)</f>
        <v>1</v>
      </c>
      <c r="M692" s="1" t="str">
        <f aca="false">IF($A692="","",IFERROR(INDEX(法人マスタ!$H:$H,MATCH($B692,法人マスタ!$A:$A,0)),""))</f>
        <v>2026年5月期（第49期）</v>
      </c>
      <c r="N692" s="1" t="n">
        <f aca="false">IF($A692="","",SUMIFS(物件収支!$D:$D,物件収支!$A:$A,$A692,物件収支!$C:$C,$M692))</f>
        <v>6</v>
      </c>
      <c r="O692" s="1" t="n">
        <f aca="false">IF($A692="","",SUMIFS(物件収支!$F:$F,物件収支!$A:$A,$A692,物件収支!$C:$C,$M692))</f>
        <v>33617</v>
      </c>
      <c r="P692" s="1" t="n">
        <f aca="false">IF($A692="","",SUMIFS(物件収支!$I:$I,物件収支!$A:$A,$A692,物件収支!$C:$C,$M692))</f>
        <v>0</v>
      </c>
      <c r="Q692" s="1" t="n">
        <f aca="false">IF($A692="","",SUMIFS(物件収支!$O:$O,物件収支!$A:$A,$A692,物件収支!$C:$C,$M692))</f>
        <v>0</v>
      </c>
      <c r="R692" s="1" t="str">
        <f aca="false">IF($A692="","",IF(P692=0,"",O692-P692))</f>
        <v/>
      </c>
      <c r="S692" s="1" t="str">
        <f aca="false">IF($A692="","",IF(R692="","",R692+Q692))</f>
        <v/>
      </c>
      <c r="T692" s="1" t="str">
        <f aca="false">IF($A692="","",IF(OR(S692="",N692&lt;=0),"",S692/1000*12/N692))</f>
        <v/>
      </c>
      <c r="U692" s="1" t="str">
        <f aca="false">IF($A692="","",IF(OR(T692="",J692=0,J692=""),"",T692/J692))</f>
        <v/>
      </c>
      <c r="V692" s="1" t="str">
        <f aca="false">IF($A692="","",IF(OR(R692="",N692&lt;=0,J692=0,J692=""),"",(R692/1000*12/N692)/J692))</f>
        <v/>
      </c>
      <c r="W692" s="1" t="str">
        <f aca="false">IF($A692="","",IF(OR(T692="",K692=0,K692=""),"",T692/K692))</f>
        <v/>
      </c>
      <c r="X692" s="1" t="n">
        <f aca="false">IF($A692="","",IF(OR(N692&lt;=0,I692=0,I692="",O692=0),"",O692*1000/(I692*0.3025)/N692))</f>
        <v>15134.7560328156</v>
      </c>
      <c r="Y692" s="1" t="str">
        <f aca="false">IF($A692="","",IF(OR(O692=0,O692="",P692=0),"",P692/O692))</f>
        <v/>
      </c>
      <c r="Z692" s="1" t="str">
        <f aca="false">IF($A692="","",IFERROR(INDEX(物件収支!$E:$E,MATCH($A692,物件収支!$A:$A,0)),""))</f>
        <v>開示（物件別・収益のみ）</v>
      </c>
    </row>
    <row r="693" customFormat="false" ht="16.5" hidden="false" customHeight="true" outlineLevel="0" collapsed="false">
      <c r="A693" s="1" t="str">
        <f aca="false">IF(物件マスタ!A693="","",物件マスタ!A693)</f>
        <v>HFR-092</v>
      </c>
      <c r="B693" s="1" t="str">
        <f aca="false">IF($A693="","",物件マスタ!B693)</f>
        <v>HFR</v>
      </c>
      <c r="C693" s="1" t="str">
        <f aca="false">IF($A693="","",IFERROR(INDEX(法人マスタ!$C:$C,MATCH($B693,法人マスタ!$A:$A,0)),""))</f>
        <v>平和不動産リート投資法人</v>
      </c>
      <c r="D693" s="1" t="str">
        <f aca="false">IF($A693="","",物件マスタ!C693)</f>
        <v>ＨＦ若松河田レジデンス</v>
      </c>
      <c r="E693" s="1" t="str">
        <f aca="false">IF($A693="","",物件マスタ!H693)</f>
        <v>都心5区</v>
      </c>
      <c r="F693" s="1" t="n">
        <f aca="false">IF($A693="","",物件マスタ!P693)</f>
        <v>0</v>
      </c>
      <c r="G693" s="1" t="str">
        <f aca="false">IF($A693="","",物件マスタ!Q693)</f>
        <v/>
      </c>
      <c r="H693" s="1" t="n">
        <f aca="false">IF($A693="","",物件マスタ!L693)</f>
        <v>0</v>
      </c>
      <c r="I693" s="1" t="n">
        <f aca="false">IF($A693="","",物件マスタ!M693)</f>
        <v>1607.43</v>
      </c>
      <c r="J693" s="1" t="n">
        <f aca="false">IF($A693="","",物件マスタ!S693)</f>
        <v>1158</v>
      </c>
      <c r="K693" s="1" t="n">
        <f aca="false">IF($A693="","",物件マスタ!U693)</f>
        <v>1880</v>
      </c>
      <c r="L693" s="1" t="n">
        <f aca="false">IF($A693="","",物件マスタ!W693)</f>
        <v>0.9671</v>
      </c>
      <c r="M693" s="1" t="str">
        <f aca="false">IF($A693="","",IFERROR(INDEX(法人マスタ!$H:$H,MATCH($B693,法人マスタ!$A:$A,0)),""))</f>
        <v>2026年5月期（第49期）</v>
      </c>
      <c r="N693" s="1" t="n">
        <f aca="false">IF($A693="","",SUMIFS(物件収支!$D:$D,物件収支!$A:$A,$A693,物件収支!$C:$C,$M693))</f>
        <v>6</v>
      </c>
      <c r="O693" s="1" t="n">
        <f aca="false">IF($A693="","",SUMIFS(物件収支!$F:$F,物件収支!$A:$A,$A693,物件収支!$C:$C,$M693))</f>
        <v>44442</v>
      </c>
      <c r="P693" s="1" t="n">
        <f aca="false">IF($A693="","",SUMIFS(物件収支!$I:$I,物件収支!$A:$A,$A693,物件収支!$C:$C,$M693))</f>
        <v>0</v>
      </c>
      <c r="Q693" s="1" t="n">
        <f aca="false">IF($A693="","",SUMIFS(物件収支!$O:$O,物件収支!$A:$A,$A693,物件収支!$C:$C,$M693))</f>
        <v>0</v>
      </c>
      <c r="R693" s="1" t="str">
        <f aca="false">IF($A693="","",IF(P693=0,"",O693-P693))</f>
        <v/>
      </c>
      <c r="S693" s="1" t="str">
        <f aca="false">IF($A693="","",IF(R693="","",R693+Q693))</f>
        <v/>
      </c>
      <c r="T693" s="1" t="str">
        <f aca="false">IF($A693="","",IF(OR(S693="",N693&lt;=0),"",S693/1000*12/N693))</f>
        <v/>
      </c>
      <c r="U693" s="1" t="str">
        <f aca="false">IF($A693="","",IF(OR(T693="",J693=0,J693=""),"",T693/J693))</f>
        <v/>
      </c>
      <c r="V693" s="1" t="str">
        <f aca="false">IF($A693="","",IF(OR(R693="",N693&lt;=0,J693=0,J693=""),"",(R693/1000*12/N693)/J693))</f>
        <v/>
      </c>
      <c r="W693" s="1" t="str">
        <f aca="false">IF($A693="","",IF(OR(T693="",K693=0,K693=""),"",T693/K693))</f>
        <v/>
      </c>
      <c r="X693" s="1" t="n">
        <f aca="false">IF($A693="","",IF(OR(N693&lt;=0,I693=0,I693="",O693=0),"",O693*1000/(I693*0.3025)/N693))</f>
        <v>15232.9808534264</v>
      </c>
      <c r="Y693" s="1" t="str">
        <f aca="false">IF($A693="","",IF(OR(O693=0,O693="",P693=0),"",P693/O693))</f>
        <v/>
      </c>
      <c r="Z693" s="1" t="str">
        <f aca="false">IF($A693="","",IFERROR(INDEX(物件収支!$E:$E,MATCH($A693,物件収支!$A:$A,0)),""))</f>
        <v>開示（物件別・収益のみ）</v>
      </c>
    </row>
    <row r="694" customFormat="false" ht="16.5" hidden="false" customHeight="true" outlineLevel="0" collapsed="false">
      <c r="A694" s="1" t="str">
        <f aca="false">IF(物件マスタ!A694="","",物件マスタ!A694)</f>
        <v>HFR-093</v>
      </c>
      <c r="B694" s="1" t="str">
        <f aca="false">IF($A694="","",物件マスタ!B694)</f>
        <v>HFR</v>
      </c>
      <c r="C694" s="1" t="str">
        <f aca="false">IF($A694="","",IFERROR(INDEX(法人マスタ!$C:$C,MATCH($B694,法人マスタ!$A:$A,0)),""))</f>
        <v>平和不動産リート投資法人</v>
      </c>
      <c r="D694" s="1" t="str">
        <f aca="false">IF($A694="","",物件マスタ!C694)</f>
        <v>ＨＦ仙台レジデンスＥＡＳＴ</v>
      </c>
      <c r="E694" s="1" t="str">
        <f aca="false">IF($A694="","",物件マスタ!H694)</f>
        <v>3大都市圏以外の政令市</v>
      </c>
      <c r="F694" s="1" t="n">
        <f aca="false">IF($A694="","",物件マスタ!P694)</f>
        <v>0</v>
      </c>
      <c r="G694" s="1" t="str">
        <f aca="false">IF($A694="","",物件マスタ!Q694)</f>
        <v/>
      </c>
      <c r="H694" s="1" t="n">
        <f aca="false">IF($A694="","",物件マスタ!L694)</f>
        <v>0</v>
      </c>
      <c r="I694" s="1" t="n">
        <f aca="false">IF($A694="","",物件マスタ!M694)</f>
        <v>4088.4</v>
      </c>
      <c r="J694" s="1" t="n">
        <f aca="false">IF($A694="","",物件マスタ!S694)</f>
        <v>1638</v>
      </c>
      <c r="K694" s="1" t="n">
        <f aca="false">IF($A694="","",物件マスタ!U694)</f>
        <v>2050</v>
      </c>
      <c r="L694" s="1" t="n">
        <f aca="false">IF($A694="","",物件マスタ!W694)</f>
        <v>0.9243</v>
      </c>
      <c r="M694" s="1" t="str">
        <f aca="false">IF($A694="","",IFERROR(INDEX(法人マスタ!$H:$H,MATCH($B694,法人マスタ!$A:$A,0)),""))</f>
        <v>2026年5月期（第49期）</v>
      </c>
      <c r="N694" s="1" t="n">
        <f aca="false">IF($A694="","",SUMIFS(物件収支!$D:$D,物件収支!$A:$A,$A694,物件収支!$C:$C,$M694))</f>
        <v>6</v>
      </c>
      <c r="O694" s="1" t="n">
        <f aca="false">IF($A694="","",SUMIFS(物件収支!$F:$F,物件収支!$A:$A,$A694,物件収支!$C:$C,$M694))</f>
        <v>68254</v>
      </c>
      <c r="P694" s="1" t="n">
        <f aca="false">IF($A694="","",SUMIFS(物件収支!$I:$I,物件収支!$A:$A,$A694,物件収支!$C:$C,$M694))</f>
        <v>0</v>
      </c>
      <c r="Q694" s="1" t="n">
        <f aca="false">IF($A694="","",SUMIFS(物件収支!$O:$O,物件収支!$A:$A,$A694,物件収支!$C:$C,$M694))</f>
        <v>0</v>
      </c>
      <c r="R694" s="1" t="str">
        <f aca="false">IF($A694="","",IF(P694=0,"",O694-P694))</f>
        <v/>
      </c>
      <c r="S694" s="1" t="str">
        <f aca="false">IF($A694="","",IF(R694="","",R694+Q694))</f>
        <v/>
      </c>
      <c r="T694" s="1" t="str">
        <f aca="false">IF($A694="","",IF(OR(S694="",N694&lt;=0),"",S694/1000*12/N694))</f>
        <v/>
      </c>
      <c r="U694" s="1" t="str">
        <f aca="false">IF($A694="","",IF(OR(T694="",J694=0,J694=""),"",T694/J694))</f>
        <v/>
      </c>
      <c r="V694" s="1" t="str">
        <f aca="false">IF($A694="","",IF(OR(R694="",N694&lt;=0,J694=0,J694=""),"",(R694/1000*12/N694)/J694))</f>
        <v/>
      </c>
      <c r="W694" s="1" t="str">
        <f aca="false">IF($A694="","",IF(OR(T694="",K694=0,K694=""),"",T694/K694))</f>
        <v/>
      </c>
      <c r="X694" s="1" t="n">
        <f aca="false">IF($A694="","",IF(OR(N694&lt;=0,I694=0,I694="",O694=0),"",O694*1000/(I694*0.3025)/N694))</f>
        <v>9198.09941343148</v>
      </c>
      <c r="Y694" s="1" t="str">
        <f aca="false">IF($A694="","",IF(OR(O694=0,O694="",P694=0),"",P694/O694))</f>
        <v/>
      </c>
      <c r="Z694" s="1" t="str">
        <f aca="false">IF($A694="","",IFERROR(INDEX(物件収支!$E:$E,MATCH($A694,物件収支!$A:$A,0)),""))</f>
        <v>開示（物件別・収益のみ）</v>
      </c>
    </row>
    <row r="695" customFormat="false" ht="16.5" hidden="false" customHeight="true" outlineLevel="0" collapsed="false">
      <c r="A695" s="1" t="str">
        <f aca="false">IF(物件マスタ!A695="","",物件マスタ!A695)</f>
        <v>HFR-094</v>
      </c>
      <c r="B695" s="1" t="str">
        <f aca="false">IF($A695="","",物件マスタ!B695)</f>
        <v>HFR</v>
      </c>
      <c r="C695" s="1" t="str">
        <f aca="false">IF($A695="","",IFERROR(INDEX(法人マスタ!$C:$C,MATCH($B695,法人マスタ!$A:$A,0)),""))</f>
        <v>平和不動産リート投資法人</v>
      </c>
      <c r="D695" s="1" t="str">
        <f aca="false">IF($A695="","",物件マスタ!C695)</f>
        <v>ＨＦ西公園レジデンス</v>
      </c>
      <c r="E695" s="1" t="str">
        <f aca="false">IF($A695="","",物件マスタ!H695)</f>
        <v>3大都市圏以外の政令市</v>
      </c>
      <c r="F695" s="1" t="n">
        <f aca="false">IF($A695="","",物件マスタ!P695)</f>
        <v>0</v>
      </c>
      <c r="G695" s="1" t="str">
        <f aca="false">IF($A695="","",物件マスタ!Q695)</f>
        <v/>
      </c>
      <c r="H695" s="1" t="n">
        <f aca="false">IF($A695="","",物件マスタ!L695)</f>
        <v>0</v>
      </c>
      <c r="I695" s="1" t="n">
        <f aca="false">IF($A695="","",物件マスタ!M695)</f>
        <v>2825.54</v>
      </c>
      <c r="J695" s="1" t="n">
        <f aca="false">IF($A695="","",物件マスタ!S695)</f>
        <v>1310</v>
      </c>
      <c r="K695" s="1" t="n">
        <f aca="false">IF($A695="","",物件マスタ!U695)</f>
        <v>1410</v>
      </c>
      <c r="L695" s="1" t="n">
        <f aca="false">IF($A695="","",物件マスタ!W695)</f>
        <v>0.9418</v>
      </c>
      <c r="M695" s="1" t="str">
        <f aca="false">IF($A695="","",IFERROR(INDEX(法人マスタ!$H:$H,MATCH($B695,法人マスタ!$A:$A,0)),""))</f>
        <v>2026年5月期（第49期）</v>
      </c>
      <c r="N695" s="1" t="n">
        <f aca="false">IF($A695="","",SUMIFS(物件収支!$D:$D,物件収支!$A:$A,$A695,物件収支!$C:$C,$M695))</f>
        <v>6</v>
      </c>
      <c r="O695" s="1" t="n">
        <f aca="false">IF($A695="","",SUMIFS(物件収支!$F:$F,物件収支!$A:$A,$A695,物件収支!$C:$C,$M695))</f>
        <v>44434</v>
      </c>
      <c r="P695" s="1" t="n">
        <f aca="false">IF($A695="","",SUMIFS(物件収支!$I:$I,物件収支!$A:$A,$A695,物件収支!$C:$C,$M695))</f>
        <v>0</v>
      </c>
      <c r="Q695" s="1" t="n">
        <f aca="false">IF($A695="","",SUMIFS(物件収支!$O:$O,物件収支!$A:$A,$A695,物件収支!$C:$C,$M695))</f>
        <v>0</v>
      </c>
      <c r="R695" s="1" t="str">
        <f aca="false">IF($A695="","",IF(P695=0,"",O695-P695))</f>
        <v/>
      </c>
      <c r="S695" s="1" t="str">
        <f aca="false">IF($A695="","",IF(R695="","",R695+Q695))</f>
        <v/>
      </c>
      <c r="T695" s="1" t="str">
        <f aca="false">IF($A695="","",IF(OR(S695="",N695&lt;=0),"",S695/1000*12/N695))</f>
        <v/>
      </c>
      <c r="U695" s="1" t="str">
        <f aca="false">IF($A695="","",IF(OR(T695="",J695=0,J695=""),"",T695/J695))</f>
        <v/>
      </c>
      <c r="V695" s="1" t="str">
        <f aca="false">IF($A695="","",IF(OR(R695="",N695&lt;=0,J695=0,J695=""),"",(R695/1000*12/N695)/J695))</f>
        <v/>
      </c>
      <c r="W695" s="1" t="str">
        <f aca="false">IF($A695="","",IF(OR(T695="",K695=0,K695=""),"",T695/K695))</f>
        <v/>
      </c>
      <c r="X695" s="1" t="n">
        <f aca="false">IF($A695="","",IF(OR(N695&lt;=0,I695=0,I695="",O695=0),"",O695*1000/(I695*0.3025)/N695))</f>
        <v>8664.37661463809</v>
      </c>
      <c r="Y695" s="1" t="str">
        <f aca="false">IF($A695="","",IF(OR(O695=0,O695="",P695=0),"",P695/O695))</f>
        <v/>
      </c>
      <c r="Z695" s="1" t="str">
        <f aca="false">IF($A695="","",IFERROR(INDEX(物件収支!$E:$E,MATCH($A695,物件収支!$A:$A,0)),""))</f>
        <v>開示（物件別・収益のみ）</v>
      </c>
    </row>
    <row r="696" customFormat="false" ht="16.5" hidden="false" customHeight="true" outlineLevel="0" collapsed="false">
      <c r="A696" s="1" t="str">
        <f aca="false">IF(物件マスタ!A696="","",物件マスタ!A696)</f>
        <v>HFR-095</v>
      </c>
      <c r="B696" s="1" t="str">
        <f aca="false">IF($A696="","",物件マスタ!B696)</f>
        <v>HFR</v>
      </c>
      <c r="C696" s="1" t="str">
        <f aca="false">IF($A696="","",IFERROR(INDEX(法人マスタ!$C:$C,MATCH($B696,法人マスタ!$A:$A,0)),""))</f>
        <v>平和不動産リート投資法人</v>
      </c>
      <c r="D696" s="1" t="str">
        <f aca="false">IF($A696="","",物件マスタ!C696)</f>
        <v>ＨＦ晩翠通レジデンス</v>
      </c>
      <c r="E696" s="1" t="str">
        <f aca="false">IF($A696="","",物件マスタ!H696)</f>
        <v>3大都市圏以外の政令市</v>
      </c>
      <c r="F696" s="1" t="n">
        <f aca="false">IF($A696="","",物件マスタ!P696)</f>
        <v>0</v>
      </c>
      <c r="G696" s="1" t="str">
        <f aca="false">IF($A696="","",物件マスタ!Q696)</f>
        <v/>
      </c>
      <c r="H696" s="1" t="n">
        <f aca="false">IF($A696="","",物件マスタ!L696)</f>
        <v>0</v>
      </c>
      <c r="I696" s="1" t="n">
        <f aca="false">IF($A696="","",物件マスタ!M696)</f>
        <v>1914</v>
      </c>
      <c r="J696" s="1" t="n">
        <f aca="false">IF($A696="","",物件マスタ!S696)</f>
        <v>790</v>
      </c>
      <c r="K696" s="1" t="n">
        <f aca="false">IF($A696="","",物件マスタ!U696)</f>
        <v>912</v>
      </c>
      <c r="L696" s="1" t="n">
        <f aca="false">IF($A696="","",物件マスタ!W696)</f>
        <v>0.8939</v>
      </c>
      <c r="M696" s="1" t="str">
        <f aca="false">IF($A696="","",IFERROR(INDEX(法人マスタ!$H:$H,MATCH($B696,法人マスタ!$A:$A,0)),""))</f>
        <v>2026年5月期（第49期）</v>
      </c>
      <c r="N696" s="1" t="n">
        <f aca="false">IF($A696="","",SUMIFS(物件収支!$D:$D,物件収支!$A:$A,$A696,物件収支!$C:$C,$M696))</f>
        <v>6</v>
      </c>
      <c r="O696" s="1" t="n">
        <f aca="false">IF($A696="","",SUMIFS(物件収支!$F:$F,物件収支!$A:$A,$A696,物件収支!$C:$C,$M696))</f>
        <v>28750</v>
      </c>
      <c r="P696" s="1" t="n">
        <f aca="false">IF($A696="","",SUMIFS(物件収支!$I:$I,物件収支!$A:$A,$A696,物件収支!$C:$C,$M696))</f>
        <v>0</v>
      </c>
      <c r="Q696" s="1" t="n">
        <f aca="false">IF($A696="","",SUMIFS(物件収支!$O:$O,物件収支!$A:$A,$A696,物件収支!$C:$C,$M696))</f>
        <v>0</v>
      </c>
      <c r="R696" s="1" t="str">
        <f aca="false">IF($A696="","",IF(P696=0,"",O696-P696))</f>
        <v/>
      </c>
      <c r="S696" s="1" t="str">
        <f aca="false">IF($A696="","",IF(R696="","",R696+Q696))</f>
        <v/>
      </c>
      <c r="T696" s="1" t="str">
        <f aca="false">IF($A696="","",IF(OR(S696="",N696&lt;=0),"",S696/1000*12/N696))</f>
        <v/>
      </c>
      <c r="U696" s="1" t="str">
        <f aca="false">IF($A696="","",IF(OR(T696="",J696=0,J696=""),"",T696/J696))</f>
        <v/>
      </c>
      <c r="V696" s="1" t="str">
        <f aca="false">IF($A696="","",IF(OR(R696="",N696&lt;=0,J696=0,J696=""),"",(R696/1000*12/N696)/J696))</f>
        <v/>
      </c>
      <c r="W696" s="1" t="str">
        <f aca="false">IF($A696="","",IF(OR(T696="",K696=0,K696=""),"",T696/K696))</f>
        <v/>
      </c>
      <c r="X696" s="1" t="n">
        <f aca="false">IF($A696="","",IF(OR(N696&lt;=0,I696=0,I696="",O696=0),"",O696*1000/(I696*0.3025)/N696))</f>
        <v>8275.97721299631</v>
      </c>
      <c r="Y696" s="1" t="str">
        <f aca="false">IF($A696="","",IF(OR(O696=0,O696="",P696=0),"",P696/O696))</f>
        <v/>
      </c>
      <c r="Z696" s="1" t="str">
        <f aca="false">IF($A696="","",IFERROR(INDEX(物件収支!$E:$E,MATCH($A696,物件収支!$A:$A,0)),""))</f>
        <v>開示（物件別・収益のみ）</v>
      </c>
    </row>
    <row r="697" customFormat="false" ht="16.5" hidden="false" customHeight="true" outlineLevel="0" collapsed="false">
      <c r="A697" s="1" t="str">
        <f aca="false">IF(物件マスタ!A697="","",物件マスタ!A697)</f>
        <v>HFR-096</v>
      </c>
      <c r="B697" s="1" t="str">
        <f aca="false">IF($A697="","",物件マスタ!B697)</f>
        <v>HFR</v>
      </c>
      <c r="C697" s="1" t="str">
        <f aca="false">IF($A697="","",IFERROR(INDEX(法人マスタ!$C:$C,MATCH($B697,法人マスタ!$A:$A,0)),""))</f>
        <v>平和不動産リート投資法人</v>
      </c>
      <c r="D697" s="1" t="str">
        <f aca="false">IF($A697="","",物件マスタ!C697)</f>
        <v>ＨＦ関内レジデンス</v>
      </c>
      <c r="E697" s="1" t="str">
        <f aca="false">IF($A697="","",物件マスタ!H697)</f>
        <v>東京周辺都市部</v>
      </c>
      <c r="F697" s="1" t="n">
        <f aca="false">IF($A697="","",物件マスタ!P697)</f>
        <v>0</v>
      </c>
      <c r="G697" s="1" t="str">
        <f aca="false">IF($A697="","",物件マスタ!Q697)</f>
        <v/>
      </c>
      <c r="H697" s="1" t="n">
        <f aca="false">IF($A697="","",物件マスタ!L697)</f>
        <v>0</v>
      </c>
      <c r="I697" s="1" t="n">
        <f aca="false">IF($A697="","",物件マスタ!M697)</f>
        <v>2499.64</v>
      </c>
      <c r="J697" s="1" t="n">
        <f aca="false">IF($A697="","",物件マスタ!S697)</f>
        <v>1800</v>
      </c>
      <c r="K697" s="1" t="n">
        <f aca="false">IF($A697="","",物件マスタ!U697)</f>
        <v>2440</v>
      </c>
      <c r="L697" s="1" t="n">
        <f aca="false">IF($A697="","",物件マスタ!W697)</f>
        <v>0.9754</v>
      </c>
      <c r="M697" s="1" t="str">
        <f aca="false">IF($A697="","",IFERROR(INDEX(法人マスタ!$H:$H,MATCH($B697,法人マスタ!$A:$A,0)),""))</f>
        <v>2026年5月期（第49期）</v>
      </c>
      <c r="N697" s="1" t="n">
        <f aca="false">IF($A697="","",SUMIFS(物件収支!$D:$D,物件収支!$A:$A,$A697,物件収支!$C:$C,$M697))</f>
        <v>6</v>
      </c>
      <c r="O697" s="1" t="n">
        <f aca="false">IF($A697="","",SUMIFS(物件収支!$F:$F,物件収支!$A:$A,$A697,物件収支!$C:$C,$M697))</f>
        <v>65532</v>
      </c>
      <c r="P697" s="1" t="n">
        <f aca="false">IF($A697="","",SUMIFS(物件収支!$I:$I,物件収支!$A:$A,$A697,物件収支!$C:$C,$M697))</f>
        <v>0</v>
      </c>
      <c r="Q697" s="1" t="n">
        <f aca="false">IF($A697="","",SUMIFS(物件収支!$O:$O,物件収支!$A:$A,$A697,物件収支!$C:$C,$M697))</f>
        <v>0</v>
      </c>
      <c r="R697" s="1" t="str">
        <f aca="false">IF($A697="","",IF(P697=0,"",O697-P697))</f>
        <v/>
      </c>
      <c r="S697" s="1" t="str">
        <f aca="false">IF($A697="","",IF(R697="","",R697+Q697))</f>
        <v/>
      </c>
      <c r="T697" s="1" t="str">
        <f aca="false">IF($A697="","",IF(OR(S697="",N697&lt;=0),"",S697/1000*12/N697))</f>
        <v/>
      </c>
      <c r="U697" s="1" t="str">
        <f aca="false">IF($A697="","",IF(OR(T697="",J697=0,J697=""),"",T697/J697))</f>
        <v/>
      </c>
      <c r="V697" s="1" t="str">
        <f aca="false">IF($A697="","",IF(OR(R697="",N697&lt;=0,J697=0,J697=""),"",(R697/1000*12/N697)/J697))</f>
        <v/>
      </c>
      <c r="W697" s="1" t="str">
        <f aca="false">IF($A697="","",IF(OR(T697="",K697=0,K697=""),"",T697/K697))</f>
        <v/>
      </c>
      <c r="X697" s="1" t="n">
        <f aca="false">IF($A697="","",IF(OR(N697&lt;=0,I697=0,I697="",O697=0),"",O697*1000/(I697*0.3025)/N697))</f>
        <v>14444.3940423289</v>
      </c>
      <c r="Y697" s="1" t="str">
        <f aca="false">IF($A697="","",IF(OR(O697=0,O697="",P697=0),"",P697/O697))</f>
        <v/>
      </c>
      <c r="Z697" s="1" t="str">
        <f aca="false">IF($A697="","",IFERROR(INDEX(物件収支!$E:$E,MATCH($A697,物件収支!$A:$A,0)),""))</f>
        <v>開示（物件別・収益のみ）</v>
      </c>
    </row>
    <row r="698" customFormat="false" ht="16.5" hidden="false" customHeight="true" outlineLevel="0" collapsed="false">
      <c r="A698" s="1" t="str">
        <f aca="false">IF(物件マスタ!A698="","",物件マスタ!A698)</f>
        <v>HFR-097</v>
      </c>
      <c r="B698" s="1" t="str">
        <f aca="false">IF($A698="","",物件マスタ!B698)</f>
        <v>HFR</v>
      </c>
      <c r="C698" s="1" t="str">
        <f aca="false">IF($A698="","",IFERROR(INDEX(法人マスタ!$C:$C,MATCH($B698,法人マスタ!$A:$A,0)),""))</f>
        <v>平和不動産リート投資法人</v>
      </c>
      <c r="D698" s="1" t="str">
        <f aca="false">IF($A698="","",物件マスタ!C698)</f>
        <v>ＨＦ名駅北レジデンス</v>
      </c>
      <c r="E698" s="1" t="str">
        <f aca="false">IF($A698="","",物件マスタ!H698)</f>
        <v>その他3大都市圏</v>
      </c>
      <c r="F698" s="1" t="n">
        <f aca="false">IF($A698="","",物件マスタ!P698)</f>
        <v>0</v>
      </c>
      <c r="G698" s="1" t="str">
        <f aca="false">IF($A698="","",物件マスタ!Q698)</f>
        <v/>
      </c>
      <c r="H698" s="1" t="n">
        <f aca="false">IF($A698="","",物件マスタ!L698)</f>
        <v>0</v>
      </c>
      <c r="I698" s="1" t="n">
        <f aca="false">IF($A698="","",物件マスタ!M698)</f>
        <v>4076.11</v>
      </c>
      <c r="J698" s="1" t="n">
        <f aca="false">IF($A698="","",物件マスタ!S698)</f>
        <v>2160</v>
      </c>
      <c r="K698" s="1" t="n">
        <f aca="false">IF($A698="","",物件マスタ!U698)</f>
        <v>2290</v>
      </c>
      <c r="L698" s="1" t="n">
        <f aca="false">IF($A698="","",物件マスタ!W698)</f>
        <v>0.9774</v>
      </c>
      <c r="M698" s="1" t="str">
        <f aca="false">IF($A698="","",IFERROR(INDEX(法人マスタ!$H:$H,MATCH($B698,法人マスタ!$A:$A,0)),""))</f>
        <v>2026年5月期（第49期）</v>
      </c>
      <c r="N698" s="1" t="n">
        <f aca="false">IF($A698="","",SUMIFS(物件収支!$D:$D,物件収支!$A:$A,$A698,物件収支!$C:$C,$M698))</f>
        <v>6</v>
      </c>
      <c r="O698" s="1" t="n">
        <f aca="false">IF($A698="","",SUMIFS(物件収支!$F:$F,物件収支!$A:$A,$A698,物件収支!$C:$C,$M698))</f>
        <v>64059</v>
      </c>
      <c r="P698" s="1" t="n">
        <f aca="false">IF($A698="","",SUMIFS(物件収支!$I:$I,物件収支!$A:$A,$A698,物件収支!$C:$C,$M698))</f>
        <v>0</v>
      </c>
      <c r="Q698" s="1" t="n">
        <f aca="false">IF($A698="","",SUMIFS(物件収支!$O:$O,物件収支!$A:$A,$A698,物件収支!$C:$C,$M698))</f>
        <v>0</v>
      </c>
      <c r="R698" s="1" t="str">
        <f aca="false">IF($A698="","",IF(P698=0,"",O698-P698))</f>
        <v/>
      </c>
      <c r="S698" s="1" t="str">
        <f aca="false">IF($A698="","",IF(R698="","",R698+Q698))</f>
        <v/>
      </c>
      <c r="T698" s="1" t="str">
        <f aca="false">IF($A698="","",IF(OR(S698="",N698&lt;=0),"",S698/1000*12/N698))</f>
        <v/>
      </c>
      <c r="U698" s="1" t="str">
        <f aca="false">IF($A698="","",IF(OR(T698="",J698=0,J698=""),"",T698/J698))</f>
        <v/>
      </c>
      <c r="V698" s="1" t="str">
        <f aca="false">IF($A698="","",IF(OR(R698="",N698&lt;=0,J698=0,J698=""),"",(R698/1000*12/N698)/J698))</f>
        <v/>
      </c>
      <c r="W698" s="1" t="str">
        <f aca="false">IF($A698="","",IF(OR(T698="",K698=0,K698=""),"",T698/K698))</f>
        <v/>
      </c>
      <c r="X698" s="1" t="n">
        <f aca="false">IF($A698="","",IF(OR(N698&lt;=0,I698=0,I698="",O698=0),"",O698*1000/(I698*0.3025)/N698))</f>
        <v>8658.79843184631</v>
      </c>
      <c r="Y698" s="1" t="str">
        <f aca="false">IF($A698="","",IF(OR(O698=0,O698="",P698=0),"",P698/O698))</f>
        <v/>
      </c>
      <c r="Z698" s="1" t="str">
        <f aca="false">IF($A698="","",IFERROR(INDEX(物件収支!$E:$E,MATCH($A698,物件収支!$A:$A,0)),""))</f>
        <v>開示（物件別・収益のみ）</v>
      </c>
    </row>
    <row r="699" customFormat="false" ht="16.5" hidden="false" customHeight="true" outlineLevel="0" collapsed="false">
      <c r="A699" s="1" t="str">
        <f aca="false">IF(物件マスタ!A699="","",物件マスタ!A699)</f>
        <v>HFR-098</v>
      </c>
      <c r="B699" s="1" t="str">
        <f aca="false">IF($A699="","",物件マスタ!B699)</f>
        <v>HFR</v>
      </c>
      <c r="C699" s="1" t="str">
        <f aca="false">IF($A699="","",IFERROR(INDEX(法人マスタ!$C:$C,MATCH($B699,法人マスタ!$A:$A,0)),""))</f>
        <v>平和不動産リート投資法人</v>
      </c>
      <c r="D699" s="1" t="str">
        <f aca="false">IF($A699="","",物件マスタ!C699)</f>
        <v>ＨＦ東札幌レジデンス</v>
      </c>
      <c r="E699" s="1" t="str">
        <f aca="false">IF($A699="","",物件マスタ!H699)</f>
        <v>3大都市圏以外の政令市</v>
      </c>
      <c r="F699" s="1" t="n">
        <f aca="false">IF($A699="","",物件マスタ!P699)</f>
        <v>0</v>
      </c>
      <c r="G699" s="1" t="str">
        <f aca="false">IF($A699="","",物件マスタ!Q699)</f>
        <v/>
      </c>
      <c r="H699" s="1" t="n">
        <f aca="false">IF($A699="","",物件マスタ!L699)</f>
        <v>0</v>
      </c>
      <c r="I699" s="1" t="n">
        <f aca="false">IF($A699="","",物件マスタ!M699)</f>
        <v>5522.62</v>
      </c>
      <c r="J699" s="1" t="n">
        <f aca="false">IF($A699="","",物件マスタ!S699)</f>
        <v>1560</v>
      </c>
      <c r="K699" s="1" t="n">
        <f aca="false">IF($A699="","",物件マスタ!U699)</f>
        <v>1980</v>
      </c>
      <c r="L699" s="1" t="n">
        <f aca="false">IF($A699="","",物件マスタ!W699)</f>
        <v>0.9945</v>
      </c>
      <c r="M699" s="1" t="str">
        <f aca="false">IF($A699="","",IFERROR(INDEX(法人マスタ!$H:$H,MATCH($B699,法人マスタ!$A:$A,0)),""))</f>
        <v>2026年5月期（第49期）</v>
      </c>
      <c r="N699" s="1" t="n">
        <f aca="false">IF($A699="","",SUMIFS(物件収支!$D:$D,物件収支!$A:$A,$A699,物件収支!$C:$C,$M699))</f>
        <v>6</v>
      </c>
      <c r="O699" s="1" t="n">
        <f aca="false">IF($A699="","",SUMIFS(物件収支!$F:$F,物件収支!$A:$A,$A699,物件収支!$C:$C,$M699))</f>
        <v>61008</v>
      </c>
      <c r="P699" s="1" t="n">
        <f aca="false">IF($A699="","",SUMIFS(物件収支!$I:$I,物件収支!$A:$A,$A699,物件収支!$C:$C,$M699))</f>
        <v>0</v>
      </c>
      <c r="Q699" s="1" t="n">
        <f aca="false">IF($A699="","",SUMIFS(物件収支!$O:$O,物件収支!$A:$A,$A699,物件収支!$C:$C,$M699))</f>
        <v>0</v>
      </c>
      <c r="R699" s="1" t="str">
        <f aca="false">IF($A699="","",IF(P699=0,"",O699-P699))</f>
        <v/>
      </c>
      <c r="S699" s="1" t="str">
        <f aca="false">IF($A699="","",IF(R699="","",R699+Q699))</f>
        <v/>
      </c>
      <c r="T699" s="1" t="str">
        <f aca="false">IF($A699="","",IF(OR(S699="",N699&lt;=0),"",S699/1000*12/N699))</f>
        <v/>
      </c>
      <c r="U699" s="1" t="str">
        <f aca="false">IF($A699="","",IF(OR(T699="",J699=0,J699=""),"",T699/J699))</f>
        <v/>
      </c>
      <c r="V699" s="1" t="str">
        <f aca="false">IF($A699="","",IF(OR(R699="",N699&lt;=0,J699=0,J699=""),"",(R699/1000*12/N699)/J699))</f>
        <v/>
      </c>
      <c r="W699" s="1" t="str">
        <f aca="false">IF($A699="","",IF(OR(T699="",K699=0,K699=""),"",T699/K699))</f>
        <v/>
      </c>
      <c r="X699" s="1" t="n">
        <f aca="false">IF($A699="","",IF(OR(N699&lt;=0,I699=0,I699="",O699=0),"",O699*1000/(I699*0.3025)/N699))</f>
        <v>6086.46315344816</v>
      </c>
      <c r="Y699" s="1" t="str">
        <f aca="false">IF($A699="","",IF(OR(O699=0,O699="",P699=0),"",P699/O699))</f>
        <v/>
      </c>
      <c r="Z699" s="1" t="str">
        <f aca="false">IF($A699="","",IFERROR(INDEX(物件収支!$E:$E,MATCH($A699,物件収支!$A:$A,0)),""))</f>
        <v>開示（物件別・収益のみ）</v>
      </c>
    </row>
    <row r="700" customFormat="false" ht="16.5" hidden="false" customHeight="true" outlineLevel="0" collapsed="false">
      <c r="A700" s="1" t="str">
        <f aca="false">IF(物件マスタ!A700="","",物件マスタ!A700)</f>
        <v>HFR-099</v>
      </c>
      <c r="B700" s="1" t="str">
        <f aca="false">IF($A700="","",物件マスタ!B700)</f>
        <v>HFR</v>
      </c>
      <c r="C700" s="1" t="str">
        <f aca="false">IF($A700="","",IFERROR(INDEX(法人マスタ!$C:$C,MATCH($B700,法人マスタ!$A:$A,0)),""))</f>
        <v>平和不動産リート投資法人</v>
      </c>
      <c r="D700" s="1" t="str">
        <f aca="false">IF($A700="","",物件マスタ!C700)</f>
        <v>ＨＦ博多東レジデンス</v>
      </c>
      <c r="E700" s="1" t="str">
        <f aca="false">IF($A700="","",物件マスタ!H700)</f>
        <v>3大都市圏以外の政令市</v>
      </c>
      <c r="F700" s="1" t="n">
        <f aca="false">IF($A700="","",物件マスタ!P700)</f>
        <v>0</v>
      </c>
      <c r="G700" s="1" t="str">
        <f aca="false">IF($A700="","",物件マスタ!Q700)</f>
        <v/>
      </c>
      <c r="H700" s="1" t="n">
        <f aca="false">IF($A700="","",物件マスタ!L700)</f>
        <v>0</v>
      </c>
      <c r="I700" s="1" t="n">
        <f aca="false">IF($A700="","",物件マスタ!M700)</f>
        <v>2486.82</v>
      </c>
      <c r="J700" s="1" t="n">
        <f aca="false">IF($A700="","",物件マスタ!S700)</f>
        <v>880</v>
      </c>
      <c r="K700" s="1" t="n">
        <f aca="false">IF($A700="","",物件マスタ!U700)</f>
        <v>1050</v>
      </c>
      <c r="L700" s="1" t="n">
        <f aca="false">IF($A700="","",物件マスタ!W700)</f>
        <v>1</v>
      </c>
      <c r="M700" s="1" t="str">
        <f aca="false">IF($A700="","",IFERROR(INDEX(法人マスタ!$H:$H,MATCH($B700,法人マスタ!$A:$A,0)),""))</f>
        <v>2026年5月期（第49期）</v>
      </c>
      <c r="N700" s="1" t="n">
        <f aca="false">IF($A700="","",SUMIFS(物件収支!$D:$D,物件収支!$A:$A,$A700,物件収支!$C:$C,$M700))</f>
        <v>6</v>
      </c>
      <c r="O700" s="1" t="n">
        <f aca="false">IF($A700="","",SUMIFS(物件収支!$F:$F,物件収支!$A:$A,$A700,物件収支!$C:$C,$M700))</f>
        <v>32270</v>
      </c>
      <c r="P700" s="1" t="n">
        <f aca="false">IF($A700="","",SUMIFS(物件収支!$I:$I,物件収支!$A:$A,$A700,物件収支!$C:$C,$M700))</f>
        <v>0</v>
      </c>
      <c r="Q700" s="1" t="n">
        <f aca="false">IF($A700="","",SUMIFS(物件収支!$O:$O,物件収支!$A:$A,$A700,物件収支!$C:$C,$M700))</f>
        <v>0</v>
      </c>
      <c r="R700" s="1" t="str">
        <f aca="false">IF($A700="","",IF(P700=0,"",O700-P700))</f>
        <v/>
      </c>
      <c r="S700" s="1" t="str">
        <f aca="false">IF($A700="","",IF(R700="","",R700+Q700))</f>
        <v/>
      </c>
      <c r="T700" s="1" t="str">
        <f aca="false">IF($A700="","",IF(OR(S700="",N700&lt;=0),"",S700/1000*12/N700))</f>
        <v/>
      </c>
      <c r="U700" s="1" t="str">
        <f aca="false">IF($A700="","",IF(OR(T700="",J700=0,J700=""),"",T700/J700))</f>
        <v/>
      </c>
      <c r="V700" s="1" t="str">
        <f aca="false">IF($A700="","",IF(OR(R700="",N700&lt;=0,J700=0,J700=""),"",(R700/1000*12/N700)/J700))</f>
        <v/>
      </c>
      <c r="W700" s="1" t="str">
        <f aca="false">IF($A700="","",IF(OR(T700="",K700=0,K700=""),"",T700/K700))</f>
        <v/>
      </c>
      <c r="X700" s="1" t="n">
        <f aca="false">IF($A700="","",IF(OR(N700&lt;=0,I700=0,I700="",O700=0),"",O700*1000/(I700*0.3025)/N700))</f>
        <v>7149.53809486367</v>
      </c>
      <c r="Y700" s="1" t="str">
        <f aca="false">IF($A700="","",IF(OR(O700=0,O700="",P700=0),"",P700/O700))</f>
        <v/>
      </c>
      <c r="Z700" s="1" t="str">
        <f aca="false">IF($A700="","",IFERROR(INDEX(物件収支!$E:$E,MATCH($A700,物件収支!$A:$A,0)),""))</f>
        <v>開示（物件別・収益のみ）</v>
      </c>
    </row>
    <row r="701" customFormat="false" ht="16.5" hidden="false" customHeight="true" outlineLevel="0" collapsed="false">
      <c r="A701" s="1" t="str">
        <f aca="false">IF(物件マスタ!A701="","",物件マスタ!A701)</f>
        <v>HFR-100</v>
      </c>
      <c r="B701" s="1" t="str">
        <f aca="false">IF($A701="","",物件マスタ!B701)</f>
        <v>HFR</v>
      </c>
      <c r="C701" s="1" t="str">
        <f aca="false">IF($A701="","",IFERROR(INDEX(法人マスタ!$C:$C,MATCH($B701,法人マスタ!$A:$A,0)),""))</f>
        <v>平和不動産リート投資法人</v>
      </c>
      <c r="D701" s="1" t="str">
        <f aca="false">IF($A701="","",物件マスタ!C701)</f>
        <v>ＨＦ仙台五橋レジデンス</v>
      </c>
      <c r="E701" s="1" t="str">
        <f aca="false">IF($A701="","",物件マスタ!H701)</f>
        <v>3大都市圏以外の政令市</v>
      </c>
      <c r="F701" s="1" t="n">
        <f aca="false">IF($A701="","",物件マスタ!P701)</f>
        <v>0</v>
      </c>
      <c r="G701" s="1" t="str">
        <f aca="false">IF($A701="","",物件マスタ!Q701)</f>
        <v/>
      </c>
      <c r="H701" s="1" t="n">
        <f aca="false">IF($A701="","",物件マスタ!L701)</f>
        <v>0</v>
      </c>
      <c r="I701" s="1" t="n">
        <f aca="false">IF($A701="","",物件マスタ!M701)</f>
        <v>1893.21</v>
      </c>
      <c r="J701" s="1" t="n">
        <f aca="false">IF($A701="","",物件マスタ!S701)</f>
        <v>850</v>
      </c>
      <c r="K701" s="1" t="n">
        <f aca="false">IF($A701="","",物件マスタ!U701)</f>
        <v>961</v>
      </c>
      <c r="L701" s="1" t="n">
        <f aca="false">IF($A701="","",物件マスタ!W701)</f>
        <v>0.9637</v>
      </c>
      <c r="M701" s="1" t="str">
        <f aca="false">IF($A701="","",IFERROR(INDEX(法人マスタ!$H:$H,MATCH($B701,法人マスタ!$A:$A,0)),""))</f>
        <v>2026年5月期（第49期）</v>
      </c>
      <c r="N701" s="1" t="n">
        <f aca="false">IF($A701="","",SUMIFS(物件収支!$D:$D,物件収支!$A:$A,$A701,物件収支!$C:$C,$M701))</f>
        <v>6</v>
      </c>
      <c r="O701" s="1" t="n">
        <f aca="false">IF($A701="","",SUMIFS(物件収支!$F:$F,物件収支!$A:$A,$A701,物件収支!$C:$C,$M701))</f>
        <v>27131</v>
      </c>
      <c r="P701" s="1" t="n">
        <f aca="false">IF($A701="","",SUMIFS(物件収支!$I:$I,物件収支!$A:$A,$A701,物件収支!$C:$C,$M701))</f>
        <v>0</v>
      </c>
      <c r="Q701" s="1" t="n">
        <f aca="false">IF($A701="","",SUMIFS(物件収支!$O:$O,物件収支!$A:$A,$A701,物件収支!$C:$C,$M701))</f>
        <v>0</v>
      </c>
      <c r="R701" s="1" t="str">
        <f aca="false">IF($A701="","",IF(P701=0,"",O701-P701))</f>
        <v/>
      </c>
      <c r="S701" s="1" t="str">
        <f aca="false">IF($A701="","",IF(R701="","",R701+Q701))</f>
        <v/>
      </c>
      <c r="T701" s="1" t="str">
        <f aca="false">IF($A701="","",IF(OR(S701="",N701&lt;=0),"",S701/1000*12/N701))</f>
        <v/>
      </c>
      <c r="U701" s="1" t="str">
        <f aca="false">IF($A701="","",IF(OR(T701="",J701=0,J701=""),"",T701/J701))</f>
        <v/>
      </c>
      <c r="V701" s="1" t="str">
        <f aca="false">IF($A701="","",IF(OR(R701="",N701&lt;=0,J701=0,J701=""),"",(R701/1000*12/N701)/J701))</f>
        <v/>
      </c>
      <c r="W701" s="1" t="str">
        <f aca="false">IF($A701="","",IF(OR(T701="",K701=0,K701=""),"",T701/K701))</f>
        <v/>
      </c>
      <c r="X701" s="1" t="n">
        <f aca="false">IF($A701="","",IF(OR(N701&lt;=0,I701=0,I701="",O701=0),"",O701*1000/(I701*0.3025)/N701))</f>
        <v>7895.69533564221</v>
      </c>
      <c r="Y701" s="1" t="str">
        <f aca="false">IF($A701="","",IF(OR(O701=0,O701="",P701=0),"",P701/O701))</f>
        <v/>
      </c>
      <c r="Z701" s="1" t="str">
        <f aca="false">IF($A701="","",IFERROR(INDEX(物件収支!$E:$E,MATCH($A701,物件収支!$A:$A,0)),""))</f>
        <v>開示（物件別・収益のみ）</v>
      </c>
    </row>
    <row r="702" customFormat="false" ht="16.5" hidden="false" customHeight="true" outlineLevel="0" collapsed="false">
      <c r="A702" s="1" t="str">
        <f aca="false">IF(物件マスタ!A702="","",物件マスタ!A702)</f>
        <v>HFR-101</v>
      </c>
      <c r="B702" s="1" t="str">
        <f aca="false">IF($A702="","",物件マスタ!B702)</f>
        <v>HFR</v>
      </c>
      <c r="C702" s="1" t="str">
        <f aca="false">IF($A702="","",IFERROR(INDEX(法人マスタ!$C:$C,MATCH($B702,法人マスタ!$A:$A,0)),""))</f>
        <v>平和不動産リート投資法人</v>
      </c>
      <c r="D702" s="1" t="str">
        <f aca="false">IF($A702="","",物件マスタ!C702)</f>
        <v>ＨＦ田端レジデンス</v>
      </c>
      <c r="E702" s="1" t="str">
        <f aca="false">IF($A702="","",物件マスタ!H702)</f>
        <v>その他東京23区</v>
      </c>
      <c r="F702" s="1" t="n">
        <f aca="false">IF($A702="","",物件マスタ!P702)</f>
        <v>0</v>
      </c>
      <c r="G702" s="1" t="str">
        <f aca="false">IF($A702="","",物件マスタ!Q702)</f>
        <v/>
      </c>
      <c r="H702" s="1" t="n">
        <f aca="false">IF($A702="","",物件マスタ!L702)</f>
        <v>0</v>
      </c>
      <c r="I702" s="1" t="n">
        <f aca="false">IF($A702="","",物件マスタ!M702)</f>
        <v>1917.51</v>
      </c>
      <c r="J702" s="1" t="n">
        <f aca="false">IF($A702="","",物件マスタ!S702)</f>
        <v>1100</v>
      </c>
      <c r="K702" s="1" t="n">
        <f aca="false">IF($A702="","",物件マスタ!U702)</f>
        <v>1540</v>
      </c>
      <c r="L702" s="1" t="n">
        <f aca="false">IF($A702="","",物件マスタ!W702)</f>
        <v>1</v>
      </c>
      <c r="M702" s="1" t="str">
        <f aca="false">IF($A702="","",IFERROR(INDEX(法人マスタ!$H:$H,MATCH($B702,法人マスタ!$A:$A,0)),""))</f>
        <v>2026年5月期（第49期）</v>
      </c>
      <c r="N702" s="1" t="n">
        <f aca="false">IF($A702="","",SUMIFS(物件収支!$D:$D,物件収支!$A:$A,$A702,物件収支!$C:$C,$M702))</f>
        <v>6</v>
      </c>
      <c r="O702" s="1" t="n">
        <f aca="false">IF($A702="","",SUMIFS(物件収支!$F:$F,物件収支!$A:$A,$A702,物件収支!$C:$C,$M702))</f>
        <v>51041</v>
      </c>
      <c r="P702" s="1" t="n">
        <f aca="false">IF($A702="","",SUMIFS(物件収支!$I:$I,物件収支!$A:$A,$A702,物件収支!$C:$C,$M702))</f>
        <v>0</v>
      </c>
      <c r="Q702" s="1" t="n">
        <f aca="false">IF($A702="","",SUMIFS(物件収支!$O:$O,物件収支!$A:$A,$A702,物件収支!$C:$C,$M702))</f>
        <v>0</v>
      </c>
      <c r="R702" s="1" t="str">
        <f aca="false">IF($A702="","",IF(P702=0,"",O702-P702))</f>
        <v/>
      </c>
      <c r="S702" s="1" t="str">
        <f aca="false">IF($A702="","",IF(R702="","",R702+Q702))</f>
        <v/>
      </c>
      <c r="T702" s="1" t="str">
        <f aca="false">IF($A702="","",IF(OR(S702="",N702&lt;=0),"",S702/1000*12/N702))</f>
        <v/>
      </c>
      <c r="U702" s="1" t="str">
        <f aca="false">IF($A702="","",IF(OR(T702="",J702=0,J702=""),"",T702/J702))</f>
        <v/>
      </c>
      <c r="V702" s="1" t="str">
        <f aca="false">IF($A702="","",IF(OR(R702="",N702&lt;=0,J702=0,J702=""),"",(R702/1000*12/N702)/J702))</f>
        <v/>
      </c>
      <c r="W702" s="1" t="str">
        <f aca="false">IF($A702="","",IF(OR(T702="",K702=0,K702=""),"",T702/K702))</f>
        <v/>
      </c>
      <c r="X702" s="1" t="n">
        <f aca="false">IF($A702="","",IF(OR(N702&lt;=0,I702=0,I702="",O702=0),"",O702*1000/(I702*0.3025)/N702))</f>
        <v>14665.7712791065</v>
      </c>
      <c r="Y702" s="1" t="str">
        <f aca="false">IF($A702="","",IF(OR(O702=0,O702="",P702=0),"",P702/O702))</f>
        <v/>
      </c>
      <c r="Z702" s="1" t="str">
        <f aca="false">IF($A702="","",IFERROR(INDEX(物件収支!$E:$E,MATCH($A702,物件収支!$A:$A,0)),""))</f>
        <v>開示（物件別・収益のみ）</v>
      </c>
    </row>
    <row r="703" customFormat="false" ht="16.5" hidden="false" customHeight="true" outlineLevel="0" collapsed="false">
      <c r="A703" s="1" t="str">
        <f aca="false">IF(物件マスタ!A703="","",物件マスタ!A703)</f>
        <v>HFR-102</v>
      </c>
      <c r="B703" s="1" t="str">
        <f aca="false">IF($A703="","",物件マスタ!B703)</f>
        <v>HFR</v>
      </c>
      <c r="C703" s="1" t="str">
        <f aca="false">IF($A703="","",IFERROR(INDEX(法人マスタ!$C:$C,MATCH($B703,法人マスタ!$A:$A,0)),""))</f>
        <v>平和不動産リート投資法人</v>
      </c>
      <c r="D703" s="1" t="str">
        <f aca="false">IF($A703="","",物件マスタ!C703)</f>
        <v>ＨＦ両国レジデンス</v>
      </c>
      <c r="E703" s="1" t="str">
        <f aca="false">IF($A703="","",物件マスタ!H703)</f>
        <v>その他東京23区</v>
      </c>
      <c r="F703" s="1" t="n">
        <f aca="false">IF($A703="","",物件マスタ!P703)</f>
        <v>0</v>
      </c>
      <c r="G703" s="1" t="str">
        <f aca="false">IF($A703="","",物件マスタ!Q703)</f>
        <v/>
      </c>
      <c r="H703" s="1" t="n">
        <f aca="false">IF($A703="","",物件マスタ!L703)</f>
        <v>0</v>
      </c>
      <c r="I703" s="1" t="n">
        <f aca="false">IF($A703="","",物件マスタ!M703)</f>
        <v>2149.95</v>
      </c>
      <c r="J703" s="1" t="n">
        <f aca="false">IF($A703="","",物件マスタ!S703)</f>
        <v>1400</v>
      </c>
      <c r="K703" s="1" t="n">
        <f aca="false">IF($A703="","",物件マスタ!U703)</f>
        <v>1800</v>
      </c>
      <c r="L703" s="1" t="n">
        <f aca="false">IF($A703="","",物件マスタ!W703)</f>
        <v>0.9878</v>
      </c>
      <c r="M703" s="1" t="str">
        <f aca="false">IF($A703="","",IFERROR(INDEX(法人マスタ!$H:$H,MATCH($B703,法人マスタ!$A:$A,0)),""))</f>
        <v>2026年5月期（第49期）</v>
      </c>
      <c r="N703" s="1" t="n">
        <f aca="false">IF($A703="","",SUMIFS(物件収支!$D:$D,物件収支!$A:$A,$A703,物件収支!$C:$C,$M703))</f>
        <v>6</v>
      </c>
      <c r="O703" s="1" t="n">
        <f aca="false">IF($A703="","",SUMIFS(物件収支!$F:$F,物件収支!$A:$A,$A703,物件収支!$C:$C,$M703))</f>
        <v>53691</v>
      </c>
      <c r="P703" s="1" t="n">
        <f aca="false">IF($A703="","",SUMIFS(物件収支!$I:$I,物件収支!$A:$A,$A703,物件収支!$C:$C,$M703))</f>
        <v>0</v>
      </c>
      <c r="Q703" s="1" t="n">
        <f aca="false">IF($A703="","",SUMIFS(物件収支!$O:$O,物件収支!$A:$A,$A703,物件収支!$C:$C,$M703))</f>
        <v>0</v>
      </c>
      <c r="R703" s="1" t="str">
        <f aca="false">IF($A703="","",IF(P703=0,"",O703-P703))</f>
        <v/>
      </c>
      <c r="S703" s="1" t="str">
        <f aca="false">IF($A703="","",IF(R703="","",R703+Q703))</f>
        <v/>
      </c>
      <c r="T703" s="1" t="str">
        <f aca="false">IF($A703="","",IF(OR(S703="",N703&lt;=0),"",S703/1000*12/N703))</f>
        <v/>
      </c>
      <c r="U703" s="1" t="str">
        <f aca="false">IF($A703="","",IF(OR(T703="",J703=0,J703=""),"",T703/J703))</f>
        <v/>
      </c>
      <c r="V703" s="1" t="str">
        <f aca="false">IF($A703="","",IF(OR(R703="",N703&lt;=0,J703=0,J703=""),"",(R703/1000*12/N703)/J703))</f>
        <v/>
      </c>
      <c r="W703" s="1" t="str">
        <f aca="false">IF($A703="","",IF(OR(T703="",K703=0,K703=""),"",T703/K703))</f>
        <v/>
      </c>
      <c r="X703" s="1" t="n">
        <f aca="false">IF($A703="","",IF(OR(N703&lt;=0,I703=0,I703="",O703=0),"",O703*1000/(I703*0.3025)/N703))</f>
        <v>13759.3051846872</v>
      </c>
      <c r="Y703" s="1" t="str">
        <f aca="false">IF($A703="","",IF(OR(O703=0,O703="",P703=0),"",P703/O703))</f>
        <v/>
      </c>
      <c r="Z703" s="1" t="str">
        <f aca="false">IF($A703="","",IFERROR(INDEX(物件収支!$E:$E,MATCH($A703,物件収支!$A:$A,0)),""))</f>
        <v>開示（物件別・収益のみ）</v>
      </c>
    </row>
    <row r="704" customFormat="false" ht="16.5" hidden="false" customHeight="true" outlineLevel="0" collapsed="false">
      <c r="A704" s="1" t="str">
        <f aca="false">IF(物件マスタ!A704="","",物件マスタ!A704)</f>
        <v>HFR-103</v>
      </c>
      <c r="B704" s="1" t="str">
        <f aca="false">IF($A704="","",物件マスタ!B704)</f>
        <v>HFR</v>
      </c>
      <c r="C704" s="1" t="str">
        <f aca="false">IF($A704="","",IFERROR(INDEX(法人マスタ!$C:$C,MATCH($B704,法人マスタ!$A:$A,0)),""))</f>
        <v>平和不動産リート投資法人</v>
      </c>
      <c r="D704" s="1" t="str">
        <f aca="false">IF($A704="","",物件マスタ!C704)</f>
        <v>ＨＦ八王子レジデンス</v>
      </c>
      <c r="E704" s="1" t="str">
        <f aca="false">IF($A704="","",物件マスタ!H704)</f>
        <v>東京周辺都市部</v>
      </c>
      <c r="F704" s="1" t="n">
        <f aca="false">IF($A704="","",物件マスタ!P704)</f>
        <v>0</v>
      </c>
      <c r="G704" s="1" t="str">
        <f aca="false">IF($A704="","",物件マスタ!Q704)</f>
        <v/>
      </c>
      <c r="H704" s="1" t="n">
        <f aca="false">IF($A704="","",物件マスタ!L704)</f>
        <v>0</v>
      </c>
      <c r="I704" s="1" t="n">
        <f aca="false">IF($A704="","",物件マスタ!M704)</f>
        <v>1600.38</v>
      </c>
      <c r="J704" s="1" t="n">
        <f aca="false">IF($A704="","",物件マスタ!S704)</f>
        <v>1120</v>
      </c>
      <c r="K704" s="1" t="n">
        <f aca="false">IF($A704="","",物件マスタ!U704)</f>
        <v>1310</v>
      </c>
      <c r="L704" s="1" t="n">
        <f aca="false">IF($A704="","",物件マスタ!W704)</f>
        <v>0.9644</v>
      </c>
      <c r="M704" s="1" t="str">
        <f aca="false">IF($A704="","",IFERROR(INDEX(法人マスタ!$H:$H,MATCH($B704,法人マスタ!$A:$A,0)),""))</f>
        <v>2026年5月期（第49期）</v>
      </c>
      <c r="N704" s="1" t="n">
        <f aca="false">IF($A704="","",SUMIFS(物件収支!$D:$D,物件収支!$A:$A,$A704,物件収支!$C:$C,$M704))</f>
        <v>6</v>
      </c>
      <c r="O704" s="1" t="n">
        <f aca="false">IF($A704="","",SUMIFS(物件収支!$F:$F,物件収支!$A:$A,$A704,物件収支!$C:$C,$M704))</f>
        <v>32347</v>
      </c>
      <c r="P704" s="1" t="n">
        <f aca="false">IF($A704="","",SUMIFS(物件収支!$I:$I,物件収支!$A:$A,$A704,物件収支!$C:$C,$M704))</f>
        <v>0</v>
      </c>
      <c r="Q704" s="1" t="n">
        <f aca="false">IF($A704="","",SUMIFS(物件収支!$O:$O,物件収支!$A:$A,$A704,物件収支!$C:$C,$M704))</f>
        <v>0</v>
      </c>
      <c r="R704" s="1" t="str">
        <f aca="false">IF($A704="","",IF(P704=0,"",O704-P704))</f>
        <v/>
      </c>
      <c r="S704" s="1" t="str">
        <f aca="false">IF($A704="","",IF(R704="","",R704+Q704))</f>
        <v/>
      </c>
      <c r="T704" s="1" t="str">
        <f aca="false">IF($A704="","",IF(OR(S704="",N704&lt;=0),"",S704/1000*12/N704))</f>
        <v/>
      </c>
      <c r="U704" s="1" t="str">
        <f aca="false">IF($A704="","",IF(OR(T704="",J704=0,J704=""),"",T704/J704))</f>
        <v/>
      </c>
      <c r="V704" s="1" t="str">
        <f aca="false">IF($A704="","",IF(OR(R704="",N704&lt;=0,J704=0,J704=""),"",(R704/1000*12/N704)/J704))</f>
        <v/>
      </c>
      <c r="W704" s="1" t="str">
        <f aca="false">IF($A704="","",IF(OR(T704="",K704=0,K704=""),"",T704/K704))</f>
        <v/>
      </c>
      <c r="X704" s="1" t="n">
        <f aca="false">IF($A704="","",IF(OR(N704&lt;=0,I704=0,I704="",O704=0),"",O704*1000/(I704*0.3025)/N704))</f>
        <v>11136.1292739806</v>
      </c>
      <c r="Y704" s="1" t="str">
        <f aca="false">IF($A704="","",IF(OR(O704=0,O704="",P704=0),"",P704/O704))</f>
        <v/>
      </c>
      <c r="Z704" s="1" t="str">
        <f aca="false">IF($A704="","",IFERROR(INDEX(物件収支!$E:$E,MATCH($A704,物件収支!$A:$A,0)),""))</f>
        <v>開示（物件別・収益のみ）</v>
      </c>
    </row>
    <row r="705" customFormat="false" ht="16.5" hidden="false" customHeight="true" outlineLevel="0" collapsed="false">
      <c r="A705" s="1" t="str">
        <f aca="false">IF(物件マスタ!A705="","",物件マスタ!A705)</f>
        <v>HFR-104</v>
      </c>
      <c r="B705" s="1" t="str">
        <f aca="false">IF($A705="","",物件マスタ!B705)</f>
        <v>HFR</v>
      </c>
      <c r="C705" s="1" t="str">
        <f aca="false">IF($A705="","",IFERROR(INDEX(法人マスタ!$C:$C,MATCH($B705,法人マスタ!$A:$A,0)),""))</f>
        <v>平和不動産リート投資法人</v>
      </c>
      <c r="D705" s="1" t="str">
        <f aca="false">IF($A705="","",物件マスタ!C705)</f>
        <v>ＨＦ三田レジデンスⅡ</v>
      </c>
      <c r="E705" s="1" t="str">
        <f aca="false">IF($A705="","",物件マスタ!H705)</f>
        <v>都心5区</v>
      </c>
      <c r="F705" s="1" t="n">
        <f aca="false">IF($A705="","",物件マスタ!P705)</f>
        <v>0</v>
      </c>
      <c r="G705" s="1" t="str">
        <f aca="false">IF($A705="","",物件マスタ!Q705)</f>
        <v/>
      </c>
      <c r="H705" s="1" t="n">
        <f aca="false">IF($A705="","",物件マスタ!L705)</f>
        <v>0</v>
      </c>
      <c r="I705" s="1" t="n">
        <f aca="false">IF($A705="","",物件マスタ!M705)</f>
        <v>1160.6</v>
      </c>
      <c r="J705" s="1" t="n">
        <f aca="false">IF($A705="","",物件マスタ!S705)</f>
        <v>1210</v>
      </c>
      <c r="K705" s="1" t="n">
        <f aca="false">IF($A705="","",物件マスタ!U705)</f>
        <v>1680</v>
      </c>
      <c r="L705" s="1" t="n">
        <f aca="false">IF($A705="","",物件マスタ!W705)</f>
        <v>0.9773</v>
      </c>
      <c r="M705" s="1" t="str">
        <f aca="false">IF($A705="","",IFERROR(INDEX(法人マスタ!$H:$H,MATCH($B705,法人マスタ!$A:$A,0)),""))</f>
        <v>2026年5月期（第49期）</v>
      </c>
      <c r="N705" s="1" t="n">
        <f aca="false">IF($A705="","",SUMIFS(物件収支!$D:$D,物件収支!$A:$A,$A705,物件収支!$C:$C,$M705))</f>
        <v>6</v>
      </c>
      <c r="O705" s="1" t="n">
        <f aca="false">IF($A705="","",SUMIFS(物件収支!$F:$F,物件収支!$A:$A,$A705,物件収支!$C:$C,$M705))</f>
        <v>34884</v>
      </c>
      <c r="P705" s="1" t="n">
        <f aca="false">IF($A705="","",SUMIFS(物件収支!$I:$I,物件収支!$A:$A,$A705,物件収支!$C:$C,$M705))</f>
        <v>0</v>
      </c>
      <c r="Q705" s="1" t="n">
        <f aca="false">IF($A705="","",SUMIFS(物件収支!$O:$O,物件収支!$A:$A,$A705,物件収支!$C:$C,$M705))</f>
        <v>0</v>
      </c>
      <c r="R705" s="1" t="str">
        <f aca="false">IF($A705="","",IF(P705=0,"",O705-P705))</f>
        <v/>
      </c>
      <c r="S705" s="1" t="str">
        <f aca="false">IF($A705="","",IF(R705="","",R705+Q705))</f>
        <v/>
      </c>
      <c r="T705" s="1" t="str">
        <f aca="false">IF($A705="","",IF(OR(S705="",N705&lt;=0),"",S705/1000*12/N705))</f>
        <v/>
      </c>
      <c r="U705" s="1" t="str">
        <f aca="false">IF($A705="","",IF(OR(T705="",J705=0,J705=""),"",T705/J705))</f>
        <v/>
      </c>
      <c r="V705" s="1" t="str">
        <f aca="false">IF($A705="","",IF(OR(R705="",N705&lt;=0,J705=0,J705=""),"",(R705/1000*12/N705)/J705))</f>
        <v/>
      </c>
      <c r="W705" s="1" t="str">
        <f aca="false">IF($A705="","",IF(OR(T705="",K705=0,K705=""),"",T705/K705))</f>
        <v/>
      </c>
      <c r="X705" s="1" t="n">
        <f aca="false">IF($A705="","",IF(OR(N705&lt;=0,I705=0,I705="",O705=0),"",O705*1000/(I705*0.3025)/N705))</f>
        <v>16560.2573761363</v>
      </c>
      <c r="Y705" s="1" t="str">
        <f aca="false">IF($A705="","",IF(OR(O705=0,O705="",P705=0),"",P705/O705))</f>
        <v/>
      </c>
      <c r="Z705" s="1" t="str">
        <f aca="false">IF($A705="","",IFERROR(INDEX(物件収支!$E:$E,MATCH($A705,物件収支!$A:$A,0)),""))</f>
        <v>開示（物件別・収益のみ）</v>
      </c>
    </row>
    <row r="706" customFormat="false" ht="16.5" hidden="false" customHeight="true" outlineLevel="0" collapsed="false">
      <c r="A706" s="1" t="str">
        <f aca="false">IF(物件マスタ!A706="","",物件マスタ!A706)</f>
        <v>HFR-105</v>
      </c>
      <c r="B706" s="1" t="str">
        <f aca="false">IF($A706="","",物件マスタ!B706)</f>
        <v>HFR</v>
      </c>
      <c r="C706" s="1" t="str">
        <f aca="false">IF($A706="","",IFERROR(INDEX(法人マスタ!$C:$C,MATCH($B706,法人マスタ!$A:$A,0)),""))</f>
        <v>平和不動産リート投資法人</v>
      </c>
      <c r="D706" s="1" t="str">
        <f aca="false">IF($A706="","",物件マスタ!C706)</f>
        <v>ＨＦ門前仲町レジデンス</v>
      </c>
      <c r="E706" s="1" t="str">
        <f aca="false">IF($A706="","",物件マスタ!H706)</f>
        <v>その他東京23区</v>
      </c>
      <c r="F706" s="1" t="n">
        <f aca="false">IF($A706="","",物件マスタ!P706)</f>
        <v>0</v>
      </c>
      <c r="G706" s="1" t="str">
        <f aca="false">IF($A706="","",物件マスタ!Q706)</f>
        <v/>
      </c>
      <c r="H706" s="1" t="n">
        <f aca="false">IF($A706="","",物件マスタ!L706)</f>
        <v>0</v>
      </c>
      <c r="I706" s="1" t="n">
        <f aca="false">IF($A706="","",物件マスタ!M706)</f>
        <v>1145.76</v>
      </c>
      <c r="J706" s="1" t="n">
        <f aca="false">IF($A706="","",物件マスタ!S706)</f>
        <v>945</v>
      </c>
      <c r="K706" s="1" t="n">
        <f aca="false">IF($A706="","",物件マスタ!U706)</f>
        <v>1400</v>
      </c>
      <c r="L706" s="1" t="n">
        <f aca="false">IF($A706="","",物件マスタ!W706)</f>
        <v>0.9773</v>
      </c>
      <c r="M706" s="1" t="str">
        <f aca="false">IF($A706="","",IFERROR(INDEX(法人マスタ!$H:$H,MATCH($B706,法人マスタ!$A:$A,0)),""))</f>
        <v>2026年5月期（第49期）</v>
      </c>
      <c r="N706" s="1" t="n">
        <f aca="false">IF($A706="","",SUMIFS(物件収支!$D:$D,物件収支!$A:$A,$A706,物件収支!$C:$C,$M706))</f>
        <v>6</v>
      </c>
      <c r="O706" s="1" t="n">
        <f aca="false">IF($A706="","",SUMIFS(物件収支!$F:$F,物件収支!$A:$A,$A706,物件収支!$C:$C,$M706))</f>
        <v>31368</v>
      </c>
      <c r="P706" s="1" t="n">
        <f aca="false">IF($A706="","",SUMIFS(物件収支!$I:$I,物件収支!$A:$A,$A706,物件収支!$C:$C,$M706))</f>
        <v>0</v>
      </c>
      <c r="Q706" s="1" t="n">
        <f aca="false">IF($A706="","",SUMIFS(物件収支!$O:$O,物件収支!$A:$A,$A706,物件収支!$C:$C,$M706))</f>
        <v>0</v>
      </c>
      <c r="R706" s="1" t="str">
        <f aca="false">IF($A706="","",IF(P706=0,"",O706-P706))</f>
        <v/>
      </c>
      <c r="S706" s="1" t="str">
        <f aca="false">IF($A706="","",IF(R706="","",R706+Q706))</f>
        <v/>
      </c>
      <c r="T706" s="1" t="str">
        <f aca="false">IF($A706="","",IF(OR(S706="",N706&lt;=0),"",S706/1000*12/N706))</f>
        <v/>
      </c>
      <c r="U706" s="1" t="str">
        <f aca="false">IF($A706="","",IF(OR(T706="",J706=0,J706=""),"",T706/J706))</f>
        <v/>
      </c>
      <c r="V706" s="1" t="str">
        <f aca="false">IF($A706="","",IF(OR(R706="",N706&lt;=0,J706=0,J706=""),"",(R706/1000*12/N706)/J706))</f>
        <v/>
      </c>
      <c r="W706" s="1" t="str">
        <f aca="false">IF($A706="","",IF(OR(T706="",K706=0,K706=""),"",T706/K706))</f>
        <v/>
      </c>
      <c r="X706" s="1" t="n">
        <f aca="false">IF($A706="","",IF(OR(N706&lt;=0,I706=0,I706="",O706=0),"",O706*1000/(I706*0.3025)/N706))</f>
        <v>15084.0006878397</v>
      </c>
      <c r="Y706" s="1" t="str">
        <f aca="false">IF($A706="","",IF(OR(O706=0,O706="",P706=0),"",P706/O706))</f>
        <v/>
      </c>
      <c r="Z706" s="1" t="str">
        <f aca="false">IF($A706="","",IFERROR(INDEX(物件収支!$E:$E,MATCH($A706,物件収支!$A:$A,0)),""))</f>
        <v>開示（物件別・収益のみ）</v>
      </c>
    </row>
    <row r="707" customFormat="false" ht="16.5" hidden="false" customHeight="true" outlineLevel="0" collapsed="false">
      <c r="A707" s="1" t="str">
        <f aca="false">IF(物件マスタ!A707="","",物件マスタ!A707)</f>
        <v>HFR-106</v>
      </c>
      <c r="B707" s="1" t="str">
        <f aca="false">IF($A707="","",物件マスタ!B707)</f>
        <v>HFR</v>
      </c>
      <c r="C707" s="1" t="str">
        <f aca="false">IF($A707="","",IFERROR(INDEX(法人マスタ!$C:$C,MATCH($B707,法人マスタ!$A:$A,0)),""))</f>
        <v>平和不動産リート投資法人</v>
      </c>
      <c r="D707" s="1" t="str">
        <f aca="false">IF($A707="","",物件マスタ!C707)</f>
        <v>ＨＦ南砂町レジデンス</v>
      </c>
      <c r="E707" s="1" t="str">
        <f aca="false">IF($A707="","",物件マスタ!H707)</f>
        <v>その他東京23区</v>
      </c>
      <c r="F707" s="1" t="n">
        <f aca="false">IF($A707="","",物件マスタ!P707)</f>
        <v>0</v>
      </c>
      <c r="G707" s="1" t="str">
        <f aca="false">IF($A707="","",物件マスタ!Q707)</f>
        <v/>
      </c>
      <c r="H707" s="1" t="n">
        <f aca="false">IF($A707="","",物件マスタ!L707)</f>
        <v>0</v>
      </c>
      <c r="I707" s="1" t="n">
        <f aca="false">IF($A707="","",物件マスタ!M707)</f>
        <v>1141.16</v>
      </c>
      <c r="J707" s="1" t="n">
        <f aca="false">IF($A707="","",物件マスタ!S707)</f>
        <v>900</v>
      </c>
      <c r="K707" s="1" t="n">
        <f aca="false">IF($A707="","",物件マスタ!U707)</f>
        <v>1180</v>
      </c>
      <c r="L707" s="1" t="n">
        <f aca="false">IF($A707="","",物件マスタ!W707)</f>
        <v>1</v>
      </c>
      <c r="M707" s="1" t="str">
        <f aca="false">IF($A707="","",IFERROR(INDEX(法人マスタ!$H:$H,MATCH($B707,法人マスタ!$A:$A,0)),""))</f>
        <v>2026年5月期（第49期）</v>
      </c>
      <c r="N707" s="1" t="n">
        <f aca="false">IF($A707="","",SUMIFS(物件収支!$D:$D,物件収支!$A:$A,$A707,物件収支!$C:$C,$M707))</f>
        <v>6</v>
      </c>
      <c r="O707" s="1" t="n">
        <f aca="false">IF($A707="","",SUMIFS(物件収支!$F:$F,物件収支!$A:$A,$A707,物件収支!$C:$C,$M707))</f>
        <v>28883</v>
      </c>
      <c r="P707" s="1" t="n">
        <f aca="false">IF($A707="","",SUMIFS(物件収支!$I:$I,物件収支!$A:$A,$A707,物件収支!$C:$C,$M707))</f>
        <v>0</v>
      </c>
      <c r="Q707" s="1" t="n">
        <f aca="false">IF($A707="","",SUMIFS(物件収支!$O:$O,物件収支!$A:$A,$A707,物件収支!$C:$C,$M707))</f>
        <v>0</v>
      </c>
      <c r="R707" s="1" t="str">
        <f aca="false">IF($A707="","",IF(P707=0,"",O707-P707))</f>
        <v/>
      </c>
      <c r="S707" s="1" t="str">
        <f aca="false">IF($A707="","",IF(R707="","",R707+Q707))</f>
        <v/>
      </c>
      <c r="T707" s="1" t="str">
        <f aca="false">IF($A707="","",IF(OR(S707="",N707&lt;=0),"",S707/1000*12/N707))</f>
        <v/>
      </c>
      <c r="U707" s="1" t="str">
        <f aca="false">IF($A707="","",IF(OR(T707="",J707=0,J707=""),"",T707/J707))</f>
        <v/>
      </c>
      <c r="V707" s="1" t="str">
        <f aca="false">IF($A707="","",IF(OR(R707="",N707&lt;=0,J707=0,J707=""),"",(R707/1000*12/N707)/J707))</f>
        <v/>
      </c>
      <c r="W707" s="1" t="str">
        <f aca="false">IF($A707="","",IF(OR(T707="",K707=0,K707=""),"",T707/K707))</f>
        <v/>
      </c>
      <c r="X707" s="1" t="n">
        <f aca="false">IF($A707="","",IF(OR(N707&lt;=0,I707=0,I707="",O707=0),"",O707*1000/(I707*0.3025)/N707))</f>
        <v>13945.0196489445</v>
      </c>
      <c r="Y707" s="1" t="str">
        <f aca="false">IF($A707="","",IF(OR(O707=0,O707="",P707=0),"",P707/O707))</f>
        <v/>
      </c>
      <c r="Z707" s="1" t="str">
        <f aca="false">IF($A707="","",IFERROR(INDEX(物件収支!$E:$E,MATCH($A707,物件収支!$A:$A,0)),""))</f>
        <v>開示（物件別・収益のみ）</v>
      </c>
    </row>
    <row r="708" customFormat="false" ht="16.5" hidden="false" customHeight="true" outlineLevel="0" collapsed="false">
      <c r="A708" s="1" t="str">
        <f aca="false">IF(物件マスタ!A708="","",物件マスタ!A708)</f>
        <v>HFR-107</v>
      </c>
      <c r="B708" s="1" t="str">
        <f aca="false">IF($A708="","",物件マスタ!B708)</f>
        <v>HFR</v>
      </c>
      <c r="C708" s="1" t="str">
        <f aca="false">IF($A708="","",IFERROR(INDEX(法人マスタ!$C:$C,MATCH($B708,法人マスタ!$A:$A,0)),""))</f>
        <v>平和不動産リート投資法人</v>
      </c>
      <c r="D708" s="1" t="str">
        <f aca="false">IF($A708="","",物件マスタ!C708)</f>
        <v>ＨＦ仙台長町レジデンス</v>
      </c>
      <c r="E708" s="1" t="str">
        <f aca="false">IF($A708="","",物件マスタ!H708)</f>
        <v>3大都市圏以外の政令市</v>
      </c>
      <c r="F708" s="1" t="n">
        <f aca="false">IF($A708="","",物件マスタ!P708)</f>
        <v>0</v>
      </c>
      <c r="G708" s="1" t="str">
        <f aca="false">IF($A708="","",物件マスタ!Q708)</f>
        <v/>
      </c>
      <c r="H708" s="1" t="n">
        <f aca="false">IF($A708="","",物件マスタ!L708)</f>
        <v>0</v>
      </c>
      <c r="I708" s="1" t="n">
        <f aca="false">IF($A708="","",物件マスタ!M708)</f>
        <v>2305.11</v>
      </c>
      <c r="J708" s="1" t="n">
        <f aca="false">IF($A708="","",物件マスタ!S708)</f>
        <v>1030</v>
      </c>
      <c r="K708" s="1" t="n">
        <f aca="false">IF($A708="","",物件マスタ!U708)</f>
        <v>1090</v>
      </c>
      <c r="L708" s="1" t="n">
        <f aca="false">IF($A708="","",物件マスタ!W708)</f>
        <v>0.9462</v>
      </c>
      <c r="M708" s="1" t="str">
        <f aca="false">IF($A708="","",IFERROR(INDEX(法人マスタ!$H:$H,MATCH($B708,法人マスタ!$A:$A,0)),""))</f>
        <v>2026年5月期（第49期）</v>
      </c>
      <c r="N708" s="1" t="n">
        <f aca="false">IF($A708="","",SUMIFS(物件収支!$D:$D,物件収支!$A:$A,$A708,物件収支!$C:$C,$M708))</f>
        <v>6</v>
      </c>
      <c r="O708" s="1" t="n">
        <f aca="false">IF($A708="","",SUMIFS(物件収支!$F:$F,物件収支!$A:$A,$A708,物件収支!$C:$C,$M708))</f>
        <v>35518</v>
      </c>
      <c r="P708" s="1" t="n">
        <f aca="false">IF($A708="","",SUMIFS(物件収支!$I:$I,物件収支!$A:$A,$A708,物件収支!$C:$C,$M708))</f>
        <v>0</v>
      </c>
      <c r="Q708" s="1" t="n">
        <f aca="false">IF($A708="","",SUMIFS(物件収支!$O:$O,物件収支!$A:$A,$A708,物件収支!$C:$C,$M708))</f>
        <v>0</v>
      </c>
      <c r="R708" s="1" t="str">
        <f aca="false">IF($A708="","",IF(P708=0,"",O708-P708))</f>
        <v/>
      </c>
      <c r="S708" s="1" t="str">
        <f aca="false">IF($A708="","",IF(R708="","",R708+Q708))</f>
        <v/>
      </c>
      <c r="T708" s="1" t="str">
        <f aca="false">IF($A708="","",IF(OR(S708="",N708&lt;=0),"",S708/1000*12/N708))</f>
        <v/>
      </c>
      <c r="U708" s="1" t="str">
        <f aca="false">IF($A708="","",IF(OR(T708="",J708=0,J708=""),"",T708/J708))</f>
        <v/>
      </c>
      <c r="V708" s="1" t="str">
        <f aca="false">IF($A708="","",IF(OR(R708="",N708&lt;=0,J708=0,J708=""),"",(R708/1000*12/N708)/J708))</f>
        <v/>
      </c>
      <c r="W708" s="1" t="str">
        <f aca="false">IF($A708="","",IF(OR(T708="",K708=0,K708=""),"",T708/K708))</f>
        <v/>
      </c>
      <c r="X708" s="1" t="n">
        <f aca="false">IF($A708="","",IF(OR(N708&lt;=0,I708=0,I708="",O708=0),"",O708*1000/(I708*0.3025)/N708))</f>
        <v>8489.4629781267</v>
      </c>
      <c r="Y708" s="1" t="str">
        <f aca="false">IF($A708="","",IF(OR(O708=0,O708="",P708=0),"",P708/O708))</f>
        <v/>
      </c>
      <c r="Z708" s="1" t="str">
        <f aca="false">IF($A708="","",IFERROR(INDEX(物件収支!$E:$E,MATCH($A708,物件収支!$A:$A,0)),""))</f>
        <v>開示（物件別・収益のみ）</v>
      </c>
    </row>
    <row r="709" customFormat="false" ht="16.5" hidden="false" customHeight="true" outlineLevel="0" collapsed="false">
      <c r="A709" s="1" t="str">
        <f aca="false">IF(物件マスタ!A709="","",物件マスタ!A709)</f>
        <v>HFR-108</v>
      </c>
      <c r="B709" s="1" t="str">
        <f aca="false">IF($A709="","",物件マスタ!B709)</f>
        <v>HFR</v>
      </c>
      <c r="C709" s="1" t="str">
        <f aca="false">IF($A709="","",IFERROR(INDEX(法人マスタ!$C:$C,MATCH($B709,法人マスタ!$A:$A,0)),""))</f>
        <v>平和不動産リート投資法人</v>
      </c>
      <c r="D709" s="1" t="str">
        <f aca="false">IF($A709="","",物件マスタ!C709)</f>
        <v>ＨＦ正光寺赤羽レジデンス</v>
      </c>
      <c r="E709" s="1" t="str">
        <f aca="false">IF($A709="","",物件マスタ!H709)</f>
        <v>その他東京23区</v>
      </c>
      <c r="F709" s="1" t="n">
        <f aca="false">IF($A709="","",物件マスタ!P709)</f>
        <v>0</v>
      </c>
      <c r="G709" s="1" t="str">
        <f aca="false">IF($A709="","",物件マスタ!Q709)</f>
        <v/>
      </c>
      <c r="H709" s="1" t="n">
        <f aca="false">IF($A709="","",物件マスタ!L709)</f>
        <v>0</v>
      </c>
      <c r="I709" s="1" t="n">
        <f aca="false">IF($A709="","",物件マスタ!M709)</f>
        <v>1683.26</v>
      </c>
      <c r="J709" s="1" t="n">
        <f aca="false">IF($A709="","",物件マスタ!S709)</f>
        <v>1150</v>
      </c>
      <c r="K709" s="1" t="n">
        <f aca="false">IF($A709="","",物件マスタ!U709)</f>
        <v>1320</v>
      </c>
      <c r="L709" s="1" t="n">
        <f aca="false">IF($A709="","",物件マスタ!W709)</f>
        <v>0.9673</v>
      </c>
      <c r="M709" s="1" t="str">
        <f aca="false">IF($A709="","",IFERROR(INDEX(法人マスタ!$H:$H,MATCH($B709,法人マスタ!$A:$A,0)),""))</f>
        <v>2026年5月期（第49期）</v>
      </c>
      <c r="N709" s="1" t="n">
        <f aca="false">IF($A709="","",SUMIFS(物件収支!$D:$D,物件収支!$A:$A,$A709,物件収支!$C:$C,$M709))</f>
        <v>6</v>
      </c>
      <c r="O709" s="1" t="n">
        <f aca="false">IF($A709="","",SUMIFS(物件収支!$F:$F,物件収支!$A:$A,$A709,物件収支!$C:$C,$M709))</f>
        <v>40674</v>
      </c>
      <c r="P709" s="1" t="n">
        <f aca="false">IF($A709="","",SUMIFS(物件収支!$I:$I,物件収支!$A:$A,$A709,物件収支!$C:$C,$M709))</f>
        <v>0</v>
      </c>
      <c r="Q709" s="1" t="n">
        <f aca="false">IF($A709="","",SUMIFS(物件収支!$O:$O,物件収支!$A:$A,$A709,物件収支!$C:$C,$M709))</f>
        <v>0</v>
      </c>
      <c r="R709" s="1" t="str">
        <f aca="false">IF($A709="","",IF(P709=0,"",O709-P709))</f>
        <v/>
      </c>
      <c r="S709" s="1" t="str">
        <f aca="false">IF($A709="","",IF(R709="","",R709+Q709))</f>
        <v/>
      </c>
      <c r="T709" s="1" t="str">
        <f aca="false">IF($A709="","",IF(OR(S709="",N709&lt;=0),"",S709/1000*12/N709))</f>
        <v/>
      </c>
      <c r="U709" s="1" t="str">
        <f aca="false">IF($A709="","",IF(OR(T709="",J709=0,J709=""),"",T709/J709))</f>
        <v/>
      </c>
      <c r="V709" s="1" t="str">
        <f aca="false">IF($A709="","",IF(OR(R709="",N709&lt;=0,J709=0,J709=""),"",(R709/1000*12/N709)/J709))</f>
        <v/>
      </c>
      <c r="W709" s="1" t="str">
        <f aca="false">IF($A709="","",IF(OR(T709="",K709=0,K709=""),"",T709/K709))</f>
        <v/>
      </c>
      <c r="X709" s="1" t="n">
        <f aca="false">IF($A709="","",IF(OR(N709&lt;=0,I709=0,I709="",O709=0),"",O709*1000/(I709*0.3025)/N709))</f>
        <v>13313.402181108</v>
      </c>
      <c r="Y709" s="1" t="str">
        <f aca="false">IF($A709="","",IF(OR(O709=0,O709="",P709=0),"",P709/O709))</f>
        <v/>
      </c>
      <c r="Z709" s="1" t="str">
        <f aca="false">IF($A709="","",IFERROR(INDEX(物件収支!$E:$E,MATCH($A709,物件収支!$A:$A,0)),""))</f>
        <v>開示（物件別・収益のみ）</v>
      </c>
    </row>
    <row r="710" customFormat="false" ht="16.5" hidden="false" customHeight="true" outlineLevel="0" collapsed="false">
      <c r="A710" s="1" t="str">
        <f aca="false">IF(物件マスタ!A710="","",物件マスタ!A710)</f>
        <v>HFR-109</v>
      </c>
      <c r="B710" s="1" t="str">
        <f aca="false">IF($A710="","",物件マスタ!B710)</f>
        <v>HFR</v>
      </c>
      <c r="C710" s="1" t="str">
        <f aca="false">IF($A710="","",IFERROR(INDEX(法人マスタ!$C:$C,MATCH($B710,法人マスタ!$A:$A,0)),""))</f>
        <v>平和不動産リート投資法人</v>
      </c>
      <c r="D710" s="1" t="str">
        <f aca="false">IF($A710="","",物件マスタ!C710)</f>
        <v>ＨＦ仙台本町レジデンス</v>
      </c>
      <c r="E710" s="1" t="str">
        <f aca="false">IF($A710="","",物件マスタ!H710)</f>
        <v>3大都市圏以外の政令市</v>
      </c>
      <c r="F710" s="1" t="n">
        <f aca="false">IF($A710="","",物件マスタ!P710)</f>
        <v>0</v>
      </c>
      <c r="G710" s="1" t="str">
        <f aca="false">IF($A710="","",物件マスタ!Q710)</f>
        <v/>
      </c>
      <c r="H710" s="1" t="n">
        <f aca="false">IF($A710="","",物件マスタ!L710)</f>
        <v>0</v>
      </c>
      <c r="I710" s="1" t="n">
        <f aca="false">IF($A710="","",物件マスタ!M710)</f>
        <v>1654.38</v>
      </c>
      <c r="J710" s="1" t="n">
        <f aca="false">IF($A710="","",物件マスタ!S710)</f>
        <v>1070</v>
      </c>
      <c r="K710" s="1" t="n">
        <f aca="false">IF($A710="","",物件マスタ!U710)</f>
        <v>1200</v>
      </c>
      <c r="L710" s="1" t="n">
        <f aca="false">IF($A710="","",物件マスタ!W710)</f>
        <v>0.9416</v>
      </c>
      <c r="M710" s="1" t="str">
        <f aca="false">IF($A710="","",IFERROR(INDEX(法人マスタ!$H:$H,MATCH($B710,法人マスタ!$A:$A,0)),""))</f>
        <v>2026年5月期（第49期）</v>
      </c>
      <c r="N710" s="1" t="n">
        <f aca="false">IF($A710="","",SUMIFS(物件収支!$D:$D,物件収支!$A:$A,$A710,物件収支!$C:$C,$M710))</f>
        <v>6</v>
      </c>
      <c r="O710" s="1" t="n">
        <f aca="false">IF($A710="","",SUMIFS(物件収支!$F:$F,物件収支!$A:$A,$A710,物件収支!$C:$C,$M710))</f>
        <v>34668</v>
      </c>
      <c r="P710" s="1" t="n">
        <f aca="false">IF($A710="","",SUMIFS(物件収支!$I:$I,物件収支!$A:$A,$A710,物件収支!$C:$C,$M710))</f>
        <v>0</v>
      </c>
      <c r="Q710" s="1" t="n">
        <f aca="false">IF($A710="","",SUMIFS(物件収支!$O:$O,物件収支!$A:$A,$A710,物件収支!$C:$C,$M710))</f>
        <v>0</v>
      </c>
      <c r="R710" s="1" t="str">
        <f aca="false">IF($A710="","",IF(P710=0,"",O710-P710))</f>
        <v/>
      </c>
      <c r="S710" s="1" t="str">
        <f aca="false">IF($A710="","",IF(R710="","",R710+Q710))</f>
        <v/>
      </c>
      <c r="T710" s="1" t="str">
        <f aca="false">IF($A710="","",IF(OR(S710="",N710&lt;=0),"",S710/1000*12/N710))</f>
        <v/>
      </c>
      <c r="U710" s="1" t="str">
        <f aca="false">IF($A710="","",IF(OR(T710="",J710=0,J710=""),"",T710/J710))</f>
        <v/>
      </c>
      <c r="V710" s="1" t="str">
        <f aca="false">IF($A710="","",IF(OR(R710="",N710&lt;=0,J710=0,J710=""),"",(R710/1000*12/N710)/J710))</f>
        <v/>
      </c>
      <c r="W710" s="1" t="str">
        <f aca="false">IF($A710="","",IF(OR(T710="",K710=0,K710=""),"",T710/K710))</f>
        <v/>
      </c>
      <c r="X710" s="1" t="n">
        <f aca="false">IF($A710="","",IF(OR(N710&lt;=0,I710=0,I710="",O710=0),"",O710*1000/(I710*0.3025)/N710))</f>
        <v>11545.6101054661</v>
      </c>
      <c r="Y710" s="1" t="str">
        <f aca="false">IF($A710="","",IF(OR(O710=0,O710="",P710=0),"",P710/O710))</f>
        <v/>
      </c>
      <c r="Z710" s="1" t="str">
        <f aca="false">IF($A710="","",IFERROR(INDEX(物件収支!$E:$E,MATCH($A710,物件収支!$A:$A,0)),""))</f>
        <v>開示（物件別・収益のみ）</v>
      </c>
    </row>
    <row r="711" customFormat="false" ht="16.5" hidden="false" customHeight="true" outlineLevel="0" collapsed="false">
      <c r="A711" s="1" t="str">
        <f aca="false">IF(物件マスタ!A711="","",物件マスタ!A711)</f>
        <v>HFR-110</v>
      </c>
      <c r="B711" s="1" t="str">
        <f aca="false">IF($A711="","",物件マスタ!B711)</f>
        <v>HFR</v>
      </c>
      <c r="C711" s="1" t="str">
        <f aca="false">IF($A711="","",IFERROR(INDEX(法人マスタ!$C:$C,MATCH($B711,法人マスタ!$A:$A,0)),""))</f>
        <v>平和不動産リート投資法人</v>
      </c>
      <c r="D711" s="1" t="str">
        <f aca="false">IF($A711="","",物件マスタ!C711)</f>
        <v>ＨＦ大濠レジデンスＢＡＹＳＩＤＥ</v>
      </c>
      <c r="E711" s="1" t="str">
        <f aca="false">IF($A711="","",物件マスタ!H711)</f>
        <v>3大都市圏以外の政令市</v>
      </c>
      <c r="F711" s="1" t="n">
        <f aca="false">IF($A711="","",物件マスタ!P711)</f>
        <v>0</v>
      </c>
      <c r="G711" s="1" t="str">
        <f aca="false">IF($A711="","",物件マスタ!Q711)</f>
        <v/>
      </c>
      <c r="H711" s="1" t="n">
        <f aca="false">IF($A711="","",物件マスタ!L711)</f>
        <v>0</v>
      </c>
      <c r="I711" s="1" t="n">
        <f aca="false">IF($A711="","",物件マスタ!M711)</f>
        <v>2868.95</v>
      </c>
      <c r="J711" s="1" t="n">
        <f aca="false">IF($A711="","",物件マスタ!S711)</f>
        <v>1150</v>
      </c>
      <c r="K711" s="1" t="n">
        <f aca="false">IF($A711="","",物件マスタ!U711)</f>
        <v>1330</v>
      </c>
      <c r="L711" s="1" t="n">
        <f aca="false">IF($A711="","",物件マスタ!W711)</f>
        <v>0.986</v>
      </c>
      <c r="M711" s="1" t="str">
        <f aca="false">IF($A711="","",IFERROR(INDEX(法人マスタ!$H:$H,MATCH($B711,法人マスタ!$A:$A,0)),""))</f>
        <v>2026年5月期（第49期）</v>
      </c>
      <c r="N711" s="1" t="n">
        <f aca="false">IF($A711="","",SUMIFS(物件収支!$D:$D,物件収支!$A:$A,$A711,物件収支!$C:$C,$M711))</f>
        <v>6</v>
      </c>
      <c r="O711" s="1" t="n">
        <f aca="false">IF($A711="","",SUMIFS(物件収支!$F:$F,物件収支!$A:$A,$A711,物件収支!$C:$C,$M711))</f>
        <v>38260</v>
      </c>
      <c r="P711" s="1" t="n">
        <f aca="false">IF($A711="","",SUMIFS(物件収支!$I:$I,物件収支!$A:$A,$A711,物件収支!$C:$C,$M711))</f>
        <v>0</v>
      </c>
      <c r="Q711" s="1" t="n">
        <f aca="false">IF($A711="","",SUMIFS(物件収支!$O:$O,物件収支!$A:$A,$A711,物件収支!$C:$C,$M711))</f>
        <v>0</v>
      </c>
      <c r="R711" s="1" t="str">
        <f aca="false">IF($A711="","",IF(P711=0,"",O711-P711))</f>
        <v/>
      </c>
      <c r="S711" s="1" t="str">
        <f aca="false">IF($A711="","",IF(R711="","",R711+Q711))</f>
        <v/>
      </c>
      <c r="T711" s="1" t="str">
        <f aca="false">IF($A711="","",IF(OR(S711="",N711&lt;=0),"",S711/1000*12/N711))</f>
        <v/>
      </c>
      <c r="U711" s="1" t="str">
        <f aca="false">IF($A711="","",IF(OR(T711="",J711=0,J711=""),"",T711/J711))</f>
        <v/>
      </c>
      <c r="V711" s="1" t="str">
        <f aca="false">IF($A711="","",IF(OR(R711="",N711&lt;=0,J711=0,J711=""),"",(R711/1000*12/N711)/J711))</f>
        <v/>
      </c>
      <c r="W711" s="1" t="str">
        <f aca="false">IF($A711="","",IF(OR(T711="",K711=0,K711=""),"",T711/K711))</f>
        <v/>
      </c>
      <c r="X711" s="1" t="n">
        <f aca="false">IF($A711="","",IF(OR(N711&lt;=0,I711=0,I711="",O711=0),"",O711*1000/(I711*0.3025)/N711))</f>
        <v>7347.59748589642</v>
      </c>
      <c r="Y711" s="1" t="str">
        <f aca="false">IF($A711="","",IF(OR(O711=0,O711="",P711=0),"",P711/O711))</f>
        <v/>
      </c>
      <c r="Z711" s="1" t="str">
        <f aca="false">IF($A711="","",IFERROR(INDEX(物件収支!$E:$E,MATCH($A711,物件収支!$A:$A,0)),""))</f>
        <v>開示（物件別・収益のみ）</v>
      </c>
    </row>
    <row r="712" customFormat="false" ht="16.5" hidden="false" customHeight="true" outlineLevel="0" collapsed="false">
      <c r="A712" s="1" t="str">
        <f aca="false">IF(物件マスタ!A712="","",物件マスタ!A712)</f>
        <v>HFR-111</v>
      </c>
      <c r="B712" s="1" t="str">
        <f aca="false">IF($A712="","",物件マスタ!B712)</f>
        <v>HFR</v>
      </c>
      <c r="C712" s="1" t="str">
        <f aca="false">IF($A712="","",IFERROR(INDEX(法人マスタ!$C:$C,MATCH($B712,法人マスタ!$A:$A,0)),""))</f>
        <v>平和不動産リート投資法人</v>
      </c>
      <c r="D712" s="1" t="str">
        <f aca="false">IF($A712="","",物件マスタ!C712)</f>
        <v>ＨＦ博多東レジデンスⅡ</v>
      </c>
      <c r="E712" s="1" t="str">
        <f aca="false">IF($A712="","",物件マスタ!H712)</f>
        <v>3大都市圏以外の政令市</v>
      </c>
      <c r="F712" s="1" t="n">
        <f aca="false">IF($A712="","",物件マスタ!P712)</f>
        <v>0</v>
      </c>
      <c r="G712" s="1" t="str">
        <f aca="false">IF($A712="","",物件マスタ!Q712)</f>
        <v/>
      </c>
      <c r="H712" s="1" t="n">
        <f aca="false">IF($A712="","",物件マスタ!L712)</f>
        <v>0</v>
      </c>
      <c r="I712" s="1" t="n">
        <f aca="false">IF($A712="","",物件マスタ!M712)</f>
        <v>3533.5</v>
      </c>
      <c r="J712" s="1" t="n">
        <f aca="false">IF($A712="","",物件マスタ!S712)</f>
        <v>1198</v>
      </c>
      <c r="K712" s="1" t="n">
        <f aca="false">IF($A712="","",物件マスタ!U712)</f>
        <v>1510</v>
      </c>
      <c r="L712" s="1" t="n">
        <f aca="false">IF($A712="","",物件マスタ!W712)</f>
        <v>1</v>
      </c>
      <c r="M712" s="1" t="str">
        <f aca="false">IF($A712="","",IFERROR(INDEX(法人マスタ!$H:$H,MATCH($B712,法人マスタ!$A:$A,0)),""))</f>
        <v>2026年5月期（第49期）</v>
      </c>
      <c r="N712" s="1" t="n">
        <f aca="false">IF($A712="","",SUMIFS(物件収支!$D:$D,物件収支!$A:$A,$A712,物件収支!$C:$C,$M712))</f>
        <v>6</v>
      </c>
      <c r="O712" s="1" t="n">
        <f aca="false">IF($A712="","",SUMIFS(物件収支!$F:$F,物件収支!$A:$A,$A712,物件収支!$C:$C,$M712))</f>
        <v>44999</v>
      </c>
      <c r="P712" s="1" t="n">
        <f aca="false">IF($A712="","",SUMIFS(物件収支!$I:$I,物件収支!$A:$A,$A712,物件収支!$C:$C,$M712))</f>
        <v>0</v>
      </c>
      <c r="Q712" s="1" t="n">
        <f aca="false">IF($A712="","",SUMIFS(物件収支!$O:$O,物件収支!$A:$A,$A712,物件収支!$C:$C,$M712))</f>
        <v>0</v>
      </c>
      <c r="R712" s="1" t="str">
        <f aca="false">IF($A712="","",IF(P712=0,"",O712-P712))</f>
        <v/>
      </c>
      <c r="S712" s="1" t="str">
        <f aca="false">IF($A712="","",IF(R712="","",R712+Q712))</f>
        <v/>
      </c>
      <c r="T712" s="1" t="str">
        <f aca="false">IF($A712="","",IF(OR(S712="",N712&lt;=0),"",S712/1000*12/N712))</f>
        <v/>
      </c>
      <c r="U712" s="1" t="str">
        <f aca="false">IF($A712="","",IF(OR(T712="",J712=0,J712=""),"",T712/J712))</f>
        <v/>
      </c>
      <c r="V712" s="1" t="str">
        <f aca="false">IF($A712="","",IF(OR(R712="",N712&lt;=0,J712=0,J712=""),"",(R712/1000*12/N712)/J712))</f>
        <v/>
      </c>
      <c r="W712" s="1" t="str">
        <f aca="false">IF($A712="","",IF(OR(T712="",K712=0,K712=""),"",T712/K712))</f>
        <v/>
      </c>
      <c r="X712" s="1" t="n">
        <f aca="false">IF($A712="","",IF(OR(N712&lt;=0,I712=0,I712="",O712=0),"",O712*1000/(I712*0.3025)/N712))</f>
        <v>7016.5098246964</v>
      </c>
      <c r="Y712" s="1" t="str">
        <f aca="false">IF($A712="","",IF(OR(O712=0,O712="",P712=0),"",P712/O712))</f>
        <v/>
      </c>
      <c r="Z712" s="1" t="str">
        <f aca="false">IF($A712="","",IFERROR(INDEX(物件収支!$E:$E,MATCH($A712,物件収支!$A:$A,0)),""))</f>
        <v>開示（物件別・収益のみ）</v>
      </c>
    </row>
    <row r="713" customFormat="false" ht="16.5" hidden="false" customHeight="true" outlineLevel="0" collapsed="false">
      <c r="A713" s="1" t="str">
        <f aca="false">IF(物件マスタ!A713="","",物件マスタ!A713)</f>
        <v>HFR-112</v>
      </c>
      <c r="B713" s="1" t="str">
        <f aca="false">IF($A713="","",物件マスタ!B713)</f>
        <v>HFR</v>
      </c>
      <c r="C713" s="1" t="str">
        <f aca="false">IF($A713="","",IFERROR(INDEX(法人マスタ!$C:$C,MATCH($B713,法人マスタ!$A:$A,0)),""))</f>
        <v>平和不動産リート投資法人</v>
      </c>
      <c r="D713" s="1" t="str">
        <f aca="false">IF($A713="","",物件マスタ!C713)</f>
        <v>ＨＦ福岡レジデンスＥＡＳＴ</v>
      </c>
      <c r="E713" s="1" t="str">
        <f aca="false">IF($A713="","",物件マスタ!H713)</f>
        <v>3大都市圏以外の政令市</v>
      </c>
      <c r="F713" s="1" t="n">
        <f aca="false">IF($A713="","",物件マスタ!P713)</f>
        <v>0</v>
      </c>
      <c r="G713" s="1" t="str">
        <f aca="false">IF($A713="","",物件マスタ!Q713)</f>
        <v/>
      </c>
      <c r="H713" s="1" t="n">
        <f aca="false">IF($A713="","",物件マスタ!L713)</f>
        <v>0</v>
      </c>
      <c r="I713" s="1" t="n">
        <f aca="false">IF($A713="","",物件マスタ!M713)</f>
        <v>4187.98</v>
      </c>
      <c r="J713" s="1" t="n">
        <f aca="false">IF($A713="","",物件マスタ!S713)</f>
        <v>1180</v>
      </c>
      <c r="K713" s="1" t="n">
        <f aca="false">IF($A713="","",物件マスタ!U713)</f>
        <v>1540</v>
      </c>
      <c r="L713" s="1" t="n">
        <f aca="false">IF($A713="","",物件マスタ!W713)</f>
        <v>0.9904</v>
      </c>
      <c r="M713" s="1" t="str">
        <f aca="false">IF($A713="","",IFERROR(INDEX(法人マスタ!$H:$H,MATCH($B713,法人マスタ!$A:$A,0)),""))</f>
        <v>2026年5月期（第49期）</v>
      </c>
      <c r="N713" s="1" t="n">
        <f aca="false">IF($A713="","",SUMIFS(物件収支!$D:$D,物件収支!$A:$A,$A713,物件収支!$C:$C,$M713))</f>
        <v>6</v>
      </c>
      <c r="O713" s="1" t="n">
        <f aca="false">IF($A713="","",SUMIFS(物件収支!$F:$F,物件収支!$A:$A,$A713,物件収支!$C:$C,$M713))</f>
        <v>48122</v>
      </c>
      <c r="P713" s="1" t="n">
        <f aca="false">IF($A713="","",SUMIFS(物件収支!$I:$I,物件収支!$A:$A,$A713,物件収支!$C:$C,$M713))</f>
        <v>0</v>
      </c>
      <c r="Q713" s="1" t="n">
        <f aca="false">IF($A713="","",SUMIFS(物件収支!$O:$O,物件収支!$A:$A,$A713,物件収支!$C:$C,$M713))</f>
        <v>0</v>
      </c>
      <c r="R713" s="1" t="str">
        <f aca="false">IF($A713="","",IF(P713=0,"",O713-P713))</f>
        <v/>
      </c>
      <c r="S713" s="1" t="str">
        <f aca="false">IF($A713="","",IF(R713="","",R713+Q713))</f>
        <v/>
      </c>
      <c r="T713" s="1" t="str">
        <f aca="false">IF($A713="","",IF(OR(S713="",N713&lt;=0),"",S713/1000*12/N713))</f>
        <v/>
      </c>
      <c r="U713" s="1" t="str">
        <f aca="false">IF($A713="","",IF(OR(T713="",J713=0,J713=""),"",T713/J713))</f>
        <v/>
      </c>
      <c r="V713" s="1" t="str">
        <f aca="false">IF($A713="","",IF(OR(R713="",N713&lt;=0,J713=0,J713=""),"",(R713/1000*12/N713)/J713))</f>
        <v/>
      </c>
      <c r="W713" s="1" t="str">
        <f aca="false">IF($A713="","",IF(OR(T713="",K713=0,K713=""),"",T713/K713))</f>
        <v/>
      </c>
      <c r="X713" s="1" t="n">
        <f aca="false">IF($A713="","",IF(OR(N713&lt;=0,I713=0,I713="",O713=0),"",O713*1000/(I713*0.3025)/N713))</f>
        <v>6330.85607442957</v>
      </c>
      <c r="Y713" s="1" t="str">
        <f aca="false">IF($A713="","",IF(OR(O713=0,O713="",P713=0),"",P713/O713))</f>
        <v/>
      </c>
      <c r="Z713" s="1" t="str">
        <f aca="false">IF($A713="","",IFERROR(INDEX(物件収支!$E:$E,MATCH($A713,物件収支!$A:$A,0)),""))</f>
        <v>開示（物件別・収益のみ）</v>
      </c>
    </row>
    <row r="714" customFormat="false" ht="16.5" hidden="false" customHeight="true" outlineLevel="0" collapsed="false">
      <c r="A714" s="1" t="str">
        <f aca="false">IF(物件マスタ!A714="","",物件マスタ!A714)</f>
        <v>HFR-113</v>
      </c>
      <c r="B714" s="1" t="str">
        <f aca="false">IF($A714="","",物件マスタ!B714)</f>
        <v>HFR</v>
      </c>
      <c r="C714" s="1" t="str">
        <f aca="false">IF($A714="","",IFERROR(INDEX(法人マスタ!$C:$C,MATCH($B714,法人マスタ!$A:$A,0)),""))</f>
        <v>平和不動産リート投資法人</v>
      </c>
      <c r="D714" s="1" t="str">
        <f aca="false">IF($A714="","",物件マスタ!C714)</f>
        <v>ＨＦ正光寺赤羽レジデンスⅡ</v>
      </c>
      <c r="E714" s="1" t="str">
        <f aca="false">IF($A714="","",物件マスタ!H714)</f>
        <v>その他東京23区</v>
      </c>
      <c r="F714" s="1" t="n">
        <f aca="false">IF($A714="","",物件マスタ!P714)</f>
        <v>0</v>
      </c>
      <c r="G714" s="1" t="str">
        <f aca="false">IF($A714="","",物件マスタ!Q714)</f>
        <v/>
      </c>
      <c r="H714" s="1" t="n">
        <f aca="false">IF($A714="","",物件マスタ!L714)</f>
        <v>0</v>
      </c>
      <c r="I714" s="1" t="n">
        <f aca="false">IF($A714="","",物件マスタ!M714)</f>
        <v>2438.42</v>
      </c>
      <c r="J714" s="1" t="n">
        <f aca="false">IF($A714="","",物件マスタ!S714)</f>
        <v>1690</v>
      </c>
      <c r="K714" s="1" t="n">
        <f aca="false">IF($A714="","",物件マスタ!U714)</f>
        <v>2040</v>
      </c>
      <c r="L714" s="1" t="n">
        <f aca="false">IF($A714="","",物件マスタ!W714)</f>
        <v>0.9546</v>
      </c>
      <c r="M714" s="1" t="str">
        <f aca="false">IF($A714="","",IFERROR(INDEX(法人マスタ!$H:$H,MATCH($B714,法人マスタ!$A:$A,0)),""))</f>
        <v>2026年5月期（第49期）</v>
      </c>
      <c r="N714" s="1" t="n">
        <f aca="false">IF($A714="","",SUMIFS(物件収支!$D:$D,物件収支!$A:$A,$A714,物件収支!$C:$C,$M714))</f>
        <v>6</v>
      </c>
      <c r="O714" s="1" t="n">
        <f aca="false">IF($A714="","",SUMIFS(物件収支!$F:$F,物件収支!$A:$A,$A714,物件収支!$C:$C,$M714))</f>
        <v>61208</v>
      </c>
      <c r="P714" s="1" t="n">
        <f aca="false">IF($A714="","",SUMIFS(物件収支!$I:$I,物件収支!$A:$A,$A714,物件収支!$C:$C,$M714))</f>
        <v>0</v>
      </c>
      <c r="Q714" s="1" t="n">
        <f aca="false">IF($A714="","",SUMIFS(物件収支!$O:$O,物件収支!$A:$A,$A714,物件収支!$C:$C,$M714))</f>
        <v>0</v>
      </c>
      <c r="R714" s="1" t="str">
        <f aca="false">IF($A714="","",IF(P714=0,"",O714-P714))</f>
        <v/>
      </c>
      <c r="S714" s="1" t="str">
        <f aca="false">IF($A714="","",IF(R714="","",R714+Q714))</f>
        <v/>
      </c>
      <c r="T714" s="1" t="str">
        <f aca="false">IF($A714="","",IF(OR(S714="",N714&lt;=0),"",S714/1000*12/N714))</f>
        <v/>
      </c>
      <c r="U714" s="1" t="str">
        <f aca="false">IF($A714="","",IF(OR(T714="",J714=0,J714=""),"",T714/J714))</f>
        <v/>
      </c>
      <c r="V714" s="1" t="str">
        <f aca="false">IF($A714="","",IF(OR(R714="",N714&lt;=0,J714=0,J714=""),"",(R714/1000*12/N714)/J714))</f>
        <v/>
      </c>
      <c r="W714" s="1" t="str">
        <f aca="false">IF($A714="","",IF(OR(T714="",K714=0,K714=""),"",T714/K714))</f>
        <v/>
      </c>
      <c r="X714" s="1" t="n">
        <f aca="false">IF($A714="","",IF(OR(N714&lt;=0,I714=0,I714="",O714=0),"",O714*1000/(I714*0.3025)/N714))</f>
        <v>13830.0276318114</v>
      </c>
      <c r="Y714" s="1" t="str">
        <f aca="false">IF($A714="","",IF(OR(O714=0,O714="",P714=0),"",P714/O714))</f>
        <v/>
      </c>
      <c r="Z714" s="1" t="str">
        <f aca="false">IF($A714="","",IFERROR(INDEX(物件収支!$E:$E,MATCH($A714,物件収支!$A:$A,0)),""))</f>
        <v>開示（物件別・収益のみ）</v>
      </c>
    </row>
    <row r="715" customFormat="false" ht="16.5" hidden="false" customHeight="true" outlineLevel="0" collapsed="false">
      <c r="A715" s="1" t="str">
        <f aca="false">IF(物件マスタ!A715="","",物件マスタ!A715)</f>
        <v>HFR-114</v>
      </c>
      <c r="B715" s="1" t="str">
        <f aca="false">IF($A715="","",物件マスタ!B715)</f>
        <v>HFR</v>
      </c>
      <c r="C715" s="1" t="str">
        <f aca="false">IF($A715="","",IFERROR(INDEX(法人マスタ!$C:$C,MATCH($B715,法人マスタ!$A:$A,0)),""))</f>
        <v>平和不動産リート投資法人</v>
      </c>
      <c r="D715" s="1" t="str">
        <f aca="false">IF($A715="","",物件マスタ!C715)</f>
        <v>ＨＦ八広レジデンス</v>
      </c>
      <c r="E715" s="1" t="str">
        <f aca="false">IF($A715="","",物件マスタ!H715)</f>
        <v>その他東京23区</v>
      </c>
      <c r="F715" s="1" t="n">
        <f aca="false">IF($A715="","",物件マスタ!P715)</f>
        <v>0</v>
      </c>
      <c r="G715" s="1" t="str">
        <f aca="false">IF($A715="","",物件マスタ!Q715)</f>
        <v/>
      </c>
      <c r="H715" s="1" t="n">
        <f aca="false">IF($A715="","",物件マスタ!L715)</f>
        <v>0</v>
      </c>
      <c r="I715" s="1" t="n">
        <f aca="false">IF($A715="","",物件マスタ!M715)</f>
        <v>1919.5</v>
      </c>
      <c r="J715" s="1" t="n">
        <f aca="false">IF($A715="","",物件マスタ!S715)</f>
        <v>1220</v>
      </c>
      <c r="K715" s="1" t="n">
        <f aca="false">IF($A715="","",物件マスタ!U715)</f>
        <v>1600</v>
      </c>
      <c r="L715" s="1" t="n">
        <f aca="false">IF($A715="","",物件マスタ!W715)</f>
        <v>1</v>
      </c>
      <c r="M715" s="1" t="str">
        <f aca="false">IF($A715="","",IFERROR(INDEX(法人マスタ!$H:$H,MATCH($B715,法人マスタ!$A:$A,0)),""))</f>
        <v>2026年5月期（第49期）</v>
      </c>
      <c r="N715" s="1" t="n">
        <f aca="false">IF($A715="","",SUMIFS(物件収支!$D:$D,物件収支!$A:$A,$A715,物件収支!$C:$C,$M715))</f>
        <v>6</v>
      </c>
      <c r="O715" s="1" t="n">
        <f aca="false">IF($A715="","",SUMIFS(物件収支!$F:$F,物件収支!$A:$A,$A715,物件収支!$C:$C,$M715))</f>
        <v>45760</v>
      </c>
      <c r="P715" s="1" t="n">
        <f aca="false">IF($A715="","",SUMIFS(物件収支!$I:$I,物件収支!$A:$A,$A715,物件収支!$C:$C,$M715))</f>
        <v>0</v>
      </c>
      <c r="Q715" s="1" t="n">
        <f aca="false">IF($A715="","",SUMIFS(物件収支!$O:$O,物件収支!$A:$A,$A715,物件収支!$C:$C,$M715))</f>
        <v>0</v>
      </c>
      <c r="R715" s="1" t="str">
        <f aca="false">IF($A715="","",IF(P715=0,"",O715-P715))</f>
        <v/>
      </c>
      <c r="S715" s="1" t="str">
        <f aca="false">IF($A715="","",IF(R715="","",R715+Q715))</f>
        <v/>
      </c>
      <c r="T715" s="1" t="str">
        <f aca="false">IF($A715="","",IF(OR(S715="",N715&lt;=0),"",S715/1000*12/N715))</f>
        <v/>
      </c>
      <c r="U715" s="1" t="str">
        <f aca="false">IF($A715="","",IF(OR(T715="",J715=0,J715=""),"",T715/J715))</f>
        <v/>
      </c>
      <c r="V715" s="1" t="str">
        <f aca="false">IF($A715="","",IF(OR(R715="",N715&lt;=0,J715=0,J715=""),"",(R715/1000*12/N715)/J715))</f>
        <v/>
      </c>
      <c r="W715" s="1" t="str">
        <f aca="false">IF($A715="","",IF(OR(T715="",K715=0,K715=""),"",T715/K715))</f>
        <v/>
      </c>
      <c r="X715" s="1" t="n">
        <f aca="false">IF($A715="","",IF(OR(N715&lt;=0,I715=0,I715="",O715=0),"",O715*1000/(I715*0.3025)/N715))</f>
        <v>13134.7336348639</v>
      </c>
      <c r="Y715" s="1" t="str">
        <f aca="false">IF($A715="","",IF(OR(O715=0,O715="",P715=0),"",P715/O715))</f>
        <v/>
      </c>
      <c r="Z715" s="1" t="str">
        <f aca="false">IF($A715="","",IFERROR(INDEX(物件収支!$E:$E,MATCH($A715,物件収支!$A:$A,0)),""))</f>
        <v>開示（物件別・収益のみ）</v>
      </c>
    </row>
    <row r="716" customFormat="false" ht="16.5" hidden="false" customHeight="true" outlineLevel="0" collapsed="false">
      <c r="A716" s="1" t="str">
        <f aca="false">IF(物件マスタ!A716="","",物件マスタ!A716)</f>
        <v>HFR-115</v>
      </c>
      <c r="B716" s="1" t="str">
        <f aca="false">IF($A716="","",物件マスタ!B716)</f>
        <v>HFR</v>
      </c>
      <c r="C716" s="1" t="str">
        <f aca="false">IF($A716="","",IFERROR(INDEX(法人マスタ!$C:$C,MATCH($B716,法人マスタ!$A:$A,0)),""))</f>
        <v>平和不動産リート投資法人</v>
      </c>
      <c r="D716" s="1" t="str">
        <f aca="false">IF($A716="","",物件マスタ!C716)</f>
        <v>ＨＦ世田谷上町レジデンス</v>
      </c>
      <c r="E716" s="1" t="str">
        <f aca="false">IF($A716="","",物件マスタ!H716)</f>
        <v>その他東京23区</v>
      </c>
      <c r="F716" s="1" t="n">
        <f aca="false">IF($A716="","",物件マスタ!P716)</f>
        <v>0</v>
      </c>
      <c r="G716" s="1" t="str">
        <f aca="false">IF($A716="","",物件マスタ!Q716)</f>
        <v/>
      </c>
      <c r="H716" s="1" t="n">
        <f aca="false">IF($A716="","",物件マスタ!L716)</f>
        <v>0</v>
      </c>
      <c r="I716" s="1" t="n">
        <f aca="false">IF($A716="","",物件マスタ!M716)</f>
        <v>759.24</v>
      </c>
      <c r="J716" s="1" t="n">
        <f aca="false">IF($A716="","",物件マスタ!S716)</f>
        <v>700</v>
      </c>
      <c r="K716" s="1" t="n">
        <f aca="false">IF($A716="","",物件マスタ!U716)</f>
        <v>844</v>
      </c>
      <c r="L716" s="1" t="n">
        <f aca="false">IF($A716="","",物件マスタ!W716)</f>
        <v>1</v>
      </c>
      <c r="M716" s="1" t="str">
        <f aca="false">IF($A716="","",IFERROR(INDEX(法人マスタ!$H:$H,MATCH($B716,法人マスタ!$A:$A,0)),""))</f>
        <v>2026年5月期（第49期）</v>
      </c>
      <c r="N716" s="1" t="n">
        <f aca="false">IF($A716="","",SUMIFS(物件収支!$D:$D,物件収支!$A:$A,$A716,物件収支!$C:$C,$M716))</f>
        <v>6</v>
      </c>
      <c r="O716" s="1" t="n">
        <f aca="false">IF($A716="","",SUMIFS(物件収支!$F:$F,物件収支!$A:$A,$A716,物件収支!$C:$C,$M716))</f>
        <v>21178</v>
      </c>
      <c r="P716" s="1" t="n">
        <f aca="false">IF($A716="","",SUMIFS(物件収支!$I:$I,物件収支!$A:$A,$A716,物件収支!$C:$C,$M716))</f>
        <v>0</v>
      </c>
      <c r="Q716" s="1" t="n">
        <f aca="false">IF($A716="","",SUMIFS(物件収支!$O:$O,物件収支!$A:$A,$A716,物件収支!$C:$C,$M716))</f>
        <v>0</v>
      </c>
      <c r="R716" s="1" t="str">
        <f aca="false">IF($A716="","",IF(P716=0,"",O716-P716))</f>
        <v/>
      </c>
      <c r="S716" s="1" t="str">
        <f aca="false">IF($A716="","",IF(R716="","",R716+Q716))</f>
        <v/>
      </c>
      <c r="T716" s="1" t="str">
        <f aca="false">IF($A716="","",IF(OR(S716="",N716&lt;=0),"",S716/1000*12/N716))</f>
        <v/>
      </c>
      <c r="U716" s="1" t="str">
        <f aca="false">IF($A716="","",IF(OR(T716="",J716=0,J716=""),"",T716/J716))</f>
        <v/>
      </c>
      <c r="V716" s="1" t="str">
        <f aca="false">IF($A716="","",IF(OR(R716="",N716&lt;=0,J716=0,J716=""),"",(R716/1000*12/N716)/J716))</f>
        <v/>
      </c>
      <c r="W716" s="1" t="str">
        <f aca="false">IF($A716="","",IF(OR(T716="",K716=0,K716=""),"",T716/K716))</f>
        <v/>
      </c>
      <c r="X716" s="1" t="n">
        <f aca="false">IF($A716="","",IF(OR(N716&lt;=0,I716=0,I716="",O716=0),"",O716*1000/(I716*0.3025)/N716))</f>
        <v>15368.4204720887</v>
      </c>
      <c r="Y716" s="1" t="str">
        <f aca="false">IF($A716="","",IF(OR(O716=0,O716="",P716=0),"",P716/O716))</f>
        <v/>
      </c>
      <c r="Z716" s="1" t="str">
        <f aca="false">IF($A716="","",IFERROR(INDEX(物件収支!$E:$E,MATCH($A716,物件収支!$A:$A,0)),""))</f>
        <v>開示（物件別・収益のみ）</v>
      </c>
    </row>
    <row r="717" customFormat="false" ht="16.5" hidden="false" customHeight="true" outlineLevel="0" collapsed="false">
      <c r="A717" s="1" t="str">
        <f aca="false">IF(物件マスタ!A717="","",物件マスタ!A717)</f>
        <v>HFR-116</v>
      </c>
      <c r="B717" s="1" t="str">
        <f aca="false">IF($A717="","",物件マスタ!B717)</f>
        <v>HFR</v>
      </c>
      <c r="C717" s="1" t="str">
        <f aca="false">IF($A717="","",IFERROR(INDEX(法人マスタ!$C:$C,MATCH($B717,法人マスタ!$A:$A,0)),""))</f>
        <v>平和不動産リート投資法人</v>
      </c>
      <c r="D717" s="1" t="str">
        <f aca="false">IF($A717="","",物件マスタ!C717)</f>
        <v>ＨＦ草加レジデンス</v>
      </c>
      <c r="E717" s="1" t="str">
        <f aca="false">IF($A717="","",物件マスタ!H717)</f>
        <v>東京周辺都市部</v>
      </c>
      <c r="F717" s="1" t="n">
        <f aca="false">IF($A717="","",物件マスタ!P717)</f>
        <v>0</v>
      </c>
      <c r="G717" s="1" t="str">
        <f aca="false">IF($A717="","",物件マスタ!Q717)</f>
        <v/>
      </c>
      <c r="H717" s="1" t="n">
        <f aca="false">IF($A717="","",物件マスタ!L717)</f>
        <v>0</v>
      </c>
      <c r="I717" s="1" t="n">
        <f aca="false">IF($A717="","",物件マスタ!M717)</f>
        <v>2508</v>
      </c>
      <c r="J717" s="1" t="n">
        <f aca="false">IF($A717="","",物件マスタ!S717)</f>
        <v>1300</v>
      </c>
      <c r="K717" s="1" t="n">
        <f aca="false">IF($A717="","",物件マスタ!U717)</f>
        <v>1570</v>
      </c>
      <c r="L717" s="1" t="n">
        <f aca="false">IF($A717="","",物件マスタ!W717)</f>
        <v>1</v>
      </c>
      <c r="M717" s="1" t="str">
        <f aca="false">IF($A717="","",IFERROR(INDEX(法人マスタ!$H:$H,MATCH($B717,法人マスタ!$A:$A,0)),""))</f>
        <v>2026年5月期（第49期）</v>
      </c>
      <c r="N717" s="1" t="n">
        <f aca="false">IF($A717="","",SUMIFS(物件収支!$D:$D,物件収支!$A:$A,$A717,物件収支!$C:$C,$M717))</f>
        <v>6</v>
      </c>
      <c r="O717" s="1" t="n">
        <f aca="false">IF($A717="","",SUMIFS(物件収支!$F:$F,物件収支!$A:$A,$A717,物件収支!$C:$C,$M717))</f>
        <v>46589</v>
      </c>
      <c r="P717" s="1" t="n">
        <f aca="false">IF($A717="","",SUMIFS(物件収支!$I:$I,物件収支!$A:$A,$A717,物件収支!$C:$C,$M717))</f>
        <v>0</v>
      </c>
      <c r="Q717" s="1" t="n">
        <f aca="false">IF($A717="","",SUMIFS(物件収支!$O:$O,物件収支!$A:$A,$A717,物件収支!$C:$C,$M717))</f>
        <v>0</v>
      </c>
      <c r="R717" s="1" t="str">
        <f aca="false">IF($A717="","",IF(P717=0,"",O717-P717))</f>
        <v/>
      </c>
      <c r="S717" s="1" t="str">
        <f aca="false">IF($A717="","",IF(R717="","",R717+Q717))</f>
        <v/>
      </c>
      <c r="T717" s="1" t="str">
        <f aca="false">IF($A717="","",IF(OR(S717="",N717&lt;=0),"",S717/1000*12/N717))</f>
        <v/>
      </c>
      <c r="U717" s="1" t="str">
        <f aca="false">IF($A717="","",IF(OR(T717="",J717=0,J717=""),"",T717/J717))</f>
        <v/>
      </c>
      <c r="V717" s="1" t="str">
        <f aca="false">IF($A717="","",IF(OR(R717="",N717&lt;=0,J717=0,J717=""),"",(R717/1000*12/N717)/J717))</f>
        <v/>
      </c>
      <c r="W717" s="1" t="str">
        <f aca="false">IF($A717="","",IF(OR(T717="",K717=0,K717=""),"",T717/K717))</f>
        <v/>
      </c>
      <c r="X717" s="1" t="n">
        <f aca="false">IF($A717="","",IF(OR(N717&lt;=0,I717=0,I717="",O717=0),"",O717*1000/(I717*0.3025)/N717))</f>
        <v>10234.7968594163</v>
      </c>
      <c r="Y717" s="1" t="str">
        <f aca="false">IF($A717="","",IF(OR(O717=0,O717="",P717=0),"",P717/O717))</f>
        <v/>
      </c>
      <c r="Z717" s="1" t="str">
        <f aca="false">IF($A717="","",IFERROR(INDEX(物件収支!$E:$E,MATCH($A717,物件収支!$A:$A,0)),""))</f>
        <v>開示（物件別・収益のみ）</v>
      </c>
    </row>
    <row r="718" customFormat="false" ht="16.5" hidden="false" customHeight="true" outlineLevel="0" collapsed="false">
      <c r="A718" s="1" t="str">
        <f aca="false">IF(物件マスタ!A718="","",物件マスタ!A718)</f>
        <v>HFR-117</v>
      </c>
      <c r="B718" s="1" t="str">
        <f aca="false">IF($A718="","",物件マスタ!B718)</f>
        <v>HFR</v>
      </c>
      <c r="C718" s="1" t="str">
        <f aca="false">IF($A718="","",IFERROR(INDEX(法人マスタ!$C:$C,MATCH($B718,法人マスタ!$A:$A,0)),""))</f>
        <v>平和不動産リート投資法人</v>
      </c>
      <c r="D718" s="1" t="str">
        <f aca="false">IF($A718="","",物件マスタ!C718)</f>
        <v>ＨＦ上野入谷レジデンス</v>
      </c>
      <c r="E718" s="1" t="str">
        <f aca="false">IF($A718="","",物件マスタ!H718)</f>
        <v>その他東京23区</v>
      </c>
      <c r="F718" s="1" t="n">
        <f aca="false">IF($A718="","",物件マスタ!P718)</f>
        <v>0</v>
      </c>
      <c r="G718" s="1" t="str">
        <f aca="false">IF($A718="","",物件マスタ!Q718)</f>
        <v/>
      </c>
      <c r="H718" s="1" t="n">
        <f aca="false">IF($A718="","",物件マスタ!L718)</f>
        <v>0</v>
      </c>
      <c r="I718" s="1" t="n">
        <f aca="false">IF($A718="","",物件マスタ!M718)</f>
        <v>993.85</v>
      </c>
      <c r="J718" s="1" t="n">
        <f aca="false">IF($A718="","",物件マスタ!S718)</f>
        <v>900</v>
      </c>
      <c r="K718" s="1" t="n">
        <f aca="false">IF($A718="","",物件マスタ!U718)</f>
        <v>1110</v>
      </c>
      <c r="L718" s="1" t="n">
        <f aca="false">IF($A718="","",物件マスタ!W718)</f>
        <v>1</v>
      </c>
      <c r="M718" s="1" t="str">
        <f aca="false">IF($A718="","",IFERROR(INDEX(法人マスタ!$H:$H,MATCH($B718,法人マスタ!$A:$A,0)),""))</f>
        <v>2026年5月期（第49期）</v>
      </c>
      <c r="N718" s="1" t="n">
        <f aca="false">IF($A718="","",SUMIFS(物件収支!$D:$D,物件収支!$A:$A,$A718,物件収支!$C:$C,$M718))</f>
        <v>6</v>
      </c>
      <c r="O718" s="1" t="n">
        <f aca="false">IF($A718="","",SUMIFS(物件収支!$F:$F,物件収支!$A:$A,$A718,物件収支!$C:$C,$M718))</f>
        <v>26418</v>
      </c>
      <c r="P718" s="1" t="n">
        <f aca="false">IF($A718="","",SUMIFS(物件収支!$I:$I,物件収支!$A:$A,$A718,物件収支!$C:$C,$M718))</f>
        <v>0</v>
      </c>
      <c r="Q718" s="1" t="n">
        <f aca="false">IF($A718="","",SUMIFS(物件収支!$O:$O,物件収支!$A:$A,$A718,物件収支!$C:$C,$M718))</f>
        <v>0</v>
      </c>
      <c r="R718" s="1" t="str">
        <f aca="false">IF($A718="","",IF(P718=0,"",O718-P718))</f>
        <v/>
      </c>
      <c r="S718" s="1" t="str">
        <f aca="false">IF($A718="","",IF(R718="","",R718+Q718))</f>
        <v/>
      </c>
      <c r="T718" s="1" t="str">
        <f aca="false">IF($A718="","",IF(OR(S718="",N718&lt;=0),"",S718/1000*12/N718))</f>
        <v/>
      </c>
      <c r="U718" s="1" t="str">
        <f aca="false">IF($A718="","",IF(OR(T718="",J718=0,J718=""),"",T718/J718))</f>
        <v/>
      </c>
      <c r="V718" s="1" t="str">
        <f aca="false">IF($A718="","",IF(OR(R718="",N718&lt;=0,J718=0,J718=""),"",(R718/1000*12/N718)/J718))</f>
        <v/>
      </c>
      <c r="W718" s="1" t="str">
        <f aca="false">IF($A718="","",IF(OR(T718="",K718=0,K718=""),"",T718/K718))</f>
        <v/>
      </c>
      <c r="X718" s="1" t="n">
        <f aca="false">IF($A718="","",IF(OR(N718&lt;=0,I718=0,I718="",O718=0),"",O718*1000/(I718*0.3025)/N718))</f>
        <v>14645.4413652226</v>
      </c>
      <c r="Y718" s="1" t="str">
        <f aca="false">IF($A718="","",IF(OR(O718=0,O718="",P718=0),"",P718/O718))</f>
        <v/>
      </c>
      <c r="Z718" s="1" t="str">
        <f aca="false">IF($A718="","",IFERROR(INDEX(物件収支!$E:$E,MATCH($A718,物件収支!$A:$A,0)),""))</f>
        <v>開示（物件別・収益のみ）</v>
      </c>
    </row>
    <row r="719" customFormat="false" ht="16.5" hidden="false" customHeight="true" outlineLevel="0" collapsed="false">
      <c r="A719" s="1" t="str">
        <f aca="false">IF(物件マスタ!A719="","",物件マスタ!A719)</f>
        <v>HFR-118</v>
      </c>
      <c r="B719" s="1" t="str">
        <f aca="false">IF($A719="","",物件マスタ!B719)</f>
        <v>HFR</v>
      </c>
      <c r="C719" s="1" t="str">
        <f aca="false">IF($A719="","",IFERROR(INDEX(法人マスタ!$C:$C,MATCH($B719,法人マスタ!$A:$A,0)),""))</f>
        <v>平和不動産リート投資法人</v>
      </c>
      <c r="D719" s="1" t="str">
        <f aca="false">IF($A719="","",物件マスタ!C719)</f>
        <v>ＨＦ辻堂レジデンス</v>
      </c>
      <c r="E719" s="1" t="str">
        <f aca="false">IF($A719="","",物件マスタ!H719)</f>
        <v>東京周辺都市部</v>
      </c>
      <c r="F719" s="1" t="n">
        <f aca="false">IF($A719="","",物件マスタ!P719)</f>
        <v>0</v>
      </c>
      <c r="G719" s="1" t="str">
        <f aca="false">IF($A719="","",物件マスタ!Q719)</f>
        <v/>
      </c>
      <c r="H719" s="1" t="n">
        <f aca="false">IF($A719="","",物件マスタ!L719)</f>
        <v>0</v>
      </c>
      <c r="I719" s="1" t="n">
        <f aca="false">IF($A719="","",物件マスタ!M719)</f>
        <v>3352.21</v>
      </c>
      <c r="J719" s="1" t="n">
        <f aca="false">IF($A719="","",物件マスタ!S719)</f>
        <v>1870</v>
      </c>
      <c r="K719" s="1" t="n">
        <f aca="false">IF($A719="","",物件マスタ!U719)</f>
        <v>2160</v>
      </c>
      <c r="L719" s="1" t="n">
        <f aca="false">IF($A719="","",物件マスタ!W719)</f>
        <v>1</v>
      </c>
      <c r="M719" s="1" t="str">
        <f aca="false">IF($A719="","",IFERROR(INDEX(法人マスタ!$H:$H,MATCH($B719,法人マスタ!$A:$A,0)),""))</f>
        <v>2026年5月期（第49期）</v>
      </c>
      <c r="N719" s="1" t="n">
        <f aca="false">IF($A719="","",SUMIFS(物件収支!$D:$D,物件収支!$A:$A,$A719,物件収支!$C:$C,$M719))</f>
        <v>6</v>
      </c>
      <c r="O719" s="1" t="n">
        <f aca="false">IF($A719="","",SUMIFS(物件収支!$F:$F,物件収支!$A:$A,$A719,物件収支!$C:$C,$M719))</f>
        <v>54911</v>
      </c>
      <c r="P719" s="1" t="n">
        <f aca="false">IF($A719="","",SUMIFS(物件収支!$I:$I,物件収支!$A:$A,$A719,物件収支!$C:$C,$M719))</f>
        <v>0</v>
      </c>
      <c r="Q719" s="1" t="n">
        <f aca="false">IF($A719="","",SUMIFS(物件収支!$O:$O,物件収支!$A:$A,$A719,物件収支!$C:$C,$M719))</f>
        <v>0</v>
      </c>
      <c r="R719" s="1" t="str">
        <f aca="false">IF($A719="","",IF(P719=0,"",O719-P719))</f>
        <v/>
      </c>
      <c r="S719" s="1" t="str">
        <f aca="false">IF($A719="","",IF(R719="","",R719+Q719))</f>
        <v/>
      </c>
      <c r="T719" s="1" t="str">
        <f aca="false">IF($A719="","",IF(OR(S719="",N719&lt;=0),"",S719/1000*12/N719))</f>
        <v/>
      </c>
      <c r="U719" s="1" t="str">
        <f aca="false">IF($A719="","",IF(OR(T719="",J719=0,J719=""),"",T719/J719))</f>
        <v/>
      </c>
      <c r="V719" s="1" t="str">
        <f aca="false">IF($A719="","",IF(OR(R719="",N719&lt;=0,J719=0,J719=""),"",(R719/1000*12/N719)/J719))</f>
        <v/>
      </c>
      <c r="W719" s="1" t="str">
        <f aca="false">IF($A719="","",IF(OR(T719="",K719=0,K719=""),"",T719/K719))</f>
        <v/>
      </c>
      <c r="X719" s="1" t="n">
        <f aca="false">IF($A719="","",IF(OR(N719&lt;=0,I719=0,I719="",O719=0),"",O719*1000/(I719*0.3025)/N719))</f>
        <v>9025.08926659074</v>
      </c>
      <c r="Y719" s="1" t="str">
        <f aca="false">IF($A719="","",IF(OR(O719=0,O719="",P719=0),"",P719/O719))</f>
        <v/>
      </c>
      <c r="Z719" s="1" t="str">
        <f aca="false">IF($A719="","",IFERROR(INDEX(物件収支!$E:$E,MATCH($A719,物件収支!$A:$A,0)),""))</f>
        <v>開示（物件別・収益のみ）</v>
      </c>
    </row>
    <row r="720" customFormat="false" ht="16.5" hidden="false" customHeight="true" outlineLevel="0" collapsed="false">
      <c r="A720" s="1" t="str">
        <f aca="false">IF(物件マスタ!A720="","",物件マスタ!A720)</f>
        <v>HFR-119</v>
      </c>
      <c r="B720" s="1" t="str">
        <f aca="false">IF($A720="","",物件マスタ!B720)</f>
        <v>HFR</v>
      </c>
      <c r="C720" s="1" t="str">
        <f aca="false">IF($A720="","",IFERROR(INDEX(法人マスタ!$C:$C,MATCH($B720,法人マスタ!$A:$A,0)),""))</f>
        <v>平和不動産リート投資法人</v>
      </c>
      <c r="D720" s="1" t="str">
        <f aca="false">IF($A720="","",物件マスタ!C720)</f>
        <v>ＨＦ川口駅前レジデンス</v>
      </c>
      <c r="E720" s="1" t="str">
        <f aca="false">IF($A720="","",物件マスタ!H720)</f>
        <v>東京周辺都市部</v>
      </c>
      <c r="F720" s="1" t="n">
        <f aca="false">IF($A720="","",物件マスタ!P720)</f>
        <v>0</v>
      </c>
      <c r="G720" s="1" t="str">
        <f aca="false">IF($A720="","",物件マスタ!Q720)</f>
        <v/>
      </c>
      <c r="H720" s="1" t="n">
        <f aca="false">IF($A720="","",物件マスタ!L720)</f>
        <v>0</v>
      </c>
      <c r="I720" s="1" t="n">
        <f aca="false">IF($A720="","",物件マスタ!M720)</f>
        <v>2325</v>
      </c>
      <c r="J720" s="1" t="n">
        <f aca="false">IF($A720="","",物件マスタ!S720)</f>
        <v>1260</v>
      </c>
      <c r="K720" s="1" t="n">
        <f aca="false">IF($A720="","",物件マスタ!U720)</f>
        <v>1720</v>
      </c>
      <c r="L720" s="1" t="n">
        <f aca="false">IF($A720="","",物件マスタ!W720)</f>
        <v>0.9801</v>
      </c>
      <c r="M720" s="1" t="str">
        <f aca="false">IF($A720="","",IFERROR(INDEX(法人マスタ!$H:$H,MATCH($B720,法人マスタ!$A:$A,0)),""))</f>
        <v>2026年5月期（第49期）</v>
      </c>
      <c r="N720" s="1" t="n">
        <f aca="false">IF($A720="","",SUMIFS(物件収支!$D:$D,物件収支!$A:$A,$A720,物件収支!$C:$C,$M720))</f>
        <v>6</v>
      </c>
      <c r="O720" s="1" t="n">
        <f aca="false">IF($A720="","",SUMIFS(物件収支!$F:$F,物件収支!$A:$A,$A720,物件収支!$C:$C,$M720))</f>
        <v>62921</v>
      </c>
      <c r="P720" s="1" t="n">
        <f aca="false">IF($A720="","",SUMIFS(物件収支!$I:$I,物件収支!$A:$A,$A720,物件収支!$C:$C,$M720))</f>
        <v>0</v>
      </c>
      <c r="Q720" s="1" t="n">
        <f aca="false">IF($A720="","",SUMIFS(物件収支!$O:$O,物件収支!$A:$A,$A720,物件収支!$C:$C,$M720))</f>
        <v>0</v>
      </c>
      <c r="R720" s="1" t="str">
        <f aca="false">IF($A720="","",IF(P720=0,"",O720-P720))</f>
        <v/>
      </c>
      <c r="S720" s="1" t="str">
        <f aca="false">IF($A720="","",IF(R720="","",R720+Q720))</f>
        <v/>
      </c>
      <c r="T720" s="1" t="str">
        <f aca="false">IF($A720="","",IF(OR(S720="",N720&lt;=0),"",S720/1000*12/N720))</f>
        <v/>
      </c>
      <c r="U720" s="1" t="str">
        <f aca="false">IF($A720="","",IF(OR(T720="",J720=0,J720=""),"",T720/J720))</f>
        <v/>
      </c>
      <c r="V720" s="1" t="str">
        <f aca="false">IF($A720="","",IF(OR(R720="",N720&lt;=0,J720=0,J720=""),"",(R720/1000*12/N720)/J720))</f>
        <v/>
      </c>
      <c r="W720" s="1" t="str">
        <f aca="false">IF($A720="","",IF(OR(T720="",K720=0,K720=""),"",T720/K720))</f>
        <v/>
      </c>
      <c r="X720" s="1" t="n">
        <f aca="false">IF($A720="","",IF(OR(N720&lt;=0,I720=0,I720="",O720=0),"",O720*1000/(I720*0.3025)/N720))</f>
        <v>14910.631239077</v>
      </c>
      <c r="Y720" s="1" t="str">
        <f aca="false">IF($A720="","",IF(OR(O720=0,O720="",P720=0),"",P720/O720))</f>
        <v/>
      </c>
      <c r="Z720" s="1" t="str">
        <f aca="false">IF($A720="","",IFERROR(INDEX(物件収支!$E:$E,MATCH($A720,物件収支!$A:$A,0)),""))</f>
        <v>開示（物件別・収益のみ）</v>
      </c>
    </row>
    <row r="721" customFormat="false" ht="16.5" hidden="false" customHeight="true" outlineLevel="0" collapsed="false">
      <c r="A721" s="1" t="str">
        <f aca="false">IF(物件マスタ!A721="","",物件マスタ!A721)</f>
        <v>HFR-120</v>
      </c>
      <c r="B721" s="1" t="str">
        <f aca="false">IF($A721="","",物件マスタ!B721)</f>
        <v>HFR</v>
      </c>
      <c r="C721" s="1" t="str">
        <f aca="false">IF($A721="","",IFERROR(INDEX(法人マスタ!$C:$C,MATCH($B721,法人マスタ!$A:$A,0)),""))</f>
        <v>平和不動産リート投資法人</v>
      </c>
      <c r="D721" s="1" t="str">
        <f aca="false">IF($A721="","",物件マスタ!C721)</f>
        <v>ＨＦ東尾久レジデンス</v>
      </c>
      <c r="E721" s="1" t="str">
        <f aca="false">IF($A721="","",物件マスタ!H721)</f>
        <v>その他東京23区</v>
      </c>
      <c r="F721" s="1" t="n">
        <f aca="false">IF($A721="","",物件マスタ!P721)</f>
        <v>0</v>
      </c>
      <c r="G721" s="1" t="str">
        <f aca="false">IF($A721="","",物件マスタ!Q721)</f>
        <v/>
      </c>
      <c r="H721" s="1" t="n">
        <f aca="false">IF($A721="","",物件マスタ!L721)</f>
        <v>0</v>
      </c>
      <c r="I721" s="1" t="n">
        <f aca="false">IF($A721="","",物件マスタ!M721)</f>
        <v>2084.2</v>
      </c>
      <c r="J721" s="1" t="n">
        <f aca="false">IF($A721="","",物件マスタ!S721)</f>
        <v>1210</v>
      </c>
      <c r="K721" s="1" t="n">
        <f aca="false">IF($A721="","",物件マスタ!U721)</f>
        <v>1620</v>
      </c>
      <c r="L721" s="1" t="n">
        <f aca="false">IF($A721="","",物件マスタ!W721)</f>
        <v>0.9131</v>
      </c>
      <c r="M721" s="1" t="str">
        <f aca="false">IF($A721="","",IFERROR(INDEX(法人マスタ!$H:$H,MATCH($B721,法人マスタ!$A:$A,0)),""))</f>
        <v>2026年5月期（第49期）</v>
      </c>
      <c r="N721" s="1" t="n">
        <f aca="false">IF($A721="","",SUMIFS(物件収支!$D:$D,物件収支!$A:$A,$A721,物件収支!$C:$C,$M721))</f>
        <v>6</v>
      </c>
      <c r="O721" s="1" t="n">
        <f aca="false">IF($A721="","",SUMIFS(物件収支!$F:$F,物件収支!$A:$A,$A721,物件収支!$C:$C,$M721))</f>
        <v>44211</v>
      </c>
      <c r="P721" s="1" t="n">
        <f aca="false">IF($A721="","",SUMIFS(物件収支!$I:$I,物件収支!$A:$A,$A721,物件収支!$C:$C,$M721))</f>
        <v>0</v>
      </c>
      <c r="Q721" s="1" t="n">
        <f aca="false">IF($A721="","",SUMIFS(物件収支!$O:$O,物件収支!$A:$A,$A721,物件収支!$C:$C,$M721))</f>
        <v>0</v>
      </c>
      <c r="R721" s="1" t="str">
        <f aca="false">IF($A721="","",IF(P721=0,"",O721-P721))</f>
        <v/>
      </c>
      <c r="S721" s="1" t="str">
        <f aca="false">IF($A721="","",IF(R721="","",R721+Q721))</f>
        <v/>
      </c>
      <c r="T721" s="1" t="str">
        <f aca="false">IF($A721="","",IF(OR(S721="",N721&lt;=0),"",S721/1000*12/N721))</f>
        <v/>
      </c>
      <c r="U721" s="1" t="str">
        <f aca="false">IF($A721="","",IF(OR(T721="",J721=0,J721=""),"",T721/J721))</f>
        <v/>
      </c>
      <c r="V721" s="1" t="str">
        <f aca="false">IF($A721="","",IF(OR(R721="",N721&lt;=0,J721=0,J721=""),"",(R721/1000*12/N721)/J721))</f>
        <v/>
      </c>
      <c r="W721" s="1" t="str">
        <f aca="false">IF($A721="","",IF(OR(T721="",K721=0,K721=""),"",T721/K721))</f>
        <v/>
      </c>
      <c r="X721" s="1" t="n">
        <f aca="false">IF($A721="","",IF(OR(N721&lt;=0,I721=0,I721="",O721=0),"",O721*1000/(I721*0.3025)/N721))</f>
        <v>11687.3033710538</v>
      </c>
      <c r="Y721" s="1" t="str">
        <f aca="false">IF($A721="","",IF(OR(O721=0,O721="",P721=0),"",P721/O721))</f>
        <v/>
      </c>
      <c r="Z721" s="1" t="str">
        <f aca="false">IF($A721="","",IFERROR(INDEX(物件収支!$E:$E,MATCH($A721,物件収支!$A:$A,0)),""))</f>
        <v>開示（物件別・収益のみ）</v>
      </c>
    </row>
    <row r="722" customFormat="false" ht="16.5" hidden="false" customHeight="true" outlineLevel="0" collapsed="false">
      <c r="A722" s="1" t="str">
        <f aca="false">IF(物件マスタ!A722="","",物件マスタ!A722)</f>
        <v>HFR-121</v>
      </c>
      <c r="B722" s="1" t="str">
        <f aca="false">IF($A722="","",物件マスタ!B722)</f>
        <v>HFR</v>
      </c>
      <c r="C722" s="1" t="str">
        <f aca="false">IF($A722="","",IFERROR(INDEX(法人マスタ!$C:$C,MATCH($B722,法人マスタ!$A:$A,0)),""))</f>
        <v>平和不動産リート投資法人</v>
      </c>
      <c r="D722" s="1" t="str">
        <f aca="false">IF($A722="","",物件マスタ!C722)</f>
        <v>ＨＦ今池南レジデンス</v>
      </c>
      <c r="E722" s="1" t="str">
        <f aca="false">IF($A722="","",物件マスタ!H722)</f>
        <v>その他3大都市圏</v>
      </c>
      <c r="F722" s="1" t="n">
        <f aca="false">IF($A722="","",物件マスタ!P722)</f>
        <v>0</v>
      </c>
      <c r="G722" s="1" t="str">
        <f aca="false">IF($A722="","",物件マスタ!Q722)</f>
        <v/>
      </c>
      <c r="H722" s="1" t="n">
        <f aca="false">IF($A722="","",物件マスタ!L722)</f>
        <v>0</v>
      </c>
      <c r="I722" s="1" t="n">
        <f aca="false">IF($A722="","",物件マスタ!M722)</f>
        <v>1946.35</v>
      </c>
      <c r="J722" s="1" t="n">
        <f aca="false">IF($A722="","",物件マスタ!S722)</f>
        <v>860</v>
      </c>
      <c r="K722" s="1" t="n">
        <f aca="false">IF($A722="","",物件マスタ!U722)</f>
        <v>929</v>
      </c>
      <c r="L722" s="1" t="n">
        <f aca="false">IF($A722="","",物件マスタ!W722)</f>
        <v>0.9589</v>
      </c>
      <c r="M722" s="1" t="str">
        <f aca="false">IF($A722="","",IFERROR(INDEX(法人マスタ!$H:$H,MATCH($B722,法人マスタ!$A:$A,0)),""))</f>
        <v>2026年5月期（第49期）</v>
      </c>
      <c r="N722" s="1" t="n">
        <f aca="false">IF($A722="","",SUMIFS(物件収支!$D:$D,物件収支!$A:$A,$A722,物件収支!$C:$C,$M722))</f>
        <v>6</v>
      </c>
      <c r="O722" s="1" t="n">
        <f aca="false">IF($A722="","",SUMIFS(物件収支!$F:$F,物件収支!$A:$A,$A722,物件収支!$C:$C,$M722))</f>
        <v>27048</v>
      </c>
      <c r="P722" s="1" t="n">
        <f aca="false">IF($A722="","",SUMIFS(物件収支!$I:$I,物件収支!$A:$A,$A722,物件収支!$C:$C,$M722))</f>
        <v>0</v>
      </c>
      <c r="Q722" s="1" t="n">
        <f aca="false">IF($A722="","",SUMIFS(物件収支!$O:$O,物件収支!$A:$A,$A722,物件収支!$C:$C,$M722))</f>
        <v>0</v>
      </c>
      <c r="R722" s="1" t="str">
        <f aca="false">IF($A722="","",IF(P722=0,"",O722-P722))</f>
        <v/>
      </c>
      <c r="S722" s="1" t="str">
        <f aca="false">IF($A722="","",IF(R722="","",R722+Q722))</f>
        <v/>
      </c>
      <c r="T722" s="1" t="str">
        <f aca="false">IF($A722="","",IF(OR(S722="",N722&lt;=0),"",S722/1000*12/N722))</f>
        <v/>
      </c>
      <c r="U722" s="1" t="str">
        <f aca="false">IF($A722="","",IF(OR(T722="",J722=0,J722=""),"",T722/J722))</f>
        <v/>
      </c>
      <c r="V722" s="1" t="str">
        <f aca="false">IF($A722="","",IF(OR(R722="",N722&lt;=0,J722=0,J722=""),"",(R722/1000*12/N722)/J722))</f>
        <v/>
      </c>
      <c r="W722" s="1" t="str">
        <f aca="false">IF($A722="","",IF(OR(T722="",K722=0,K722=""),"",T722/K722))</f>
        <v/>
      </c>
      <c r="X722" s="1" t="n">
        <f aca="false">IF($A722="","",IF(OR(N722&lt;=0,I722=0,I722="",O722=0),"",O722*1000/(I722*0.3025)/N722))</f>
        <v>7656.62873524442</v>
      </c>
      <c r="Y722" s="1" t="str">
        <f aca="false">IF($A722="","",IF(OR(O722=0,O722="",P722=0),"",P722/O722))</f>
        <v/>
      </c>
      <c r="Z722" s="1" t="str">
        <f aca="false">IF($A722="","",IFERROR(INDEX(物件収支!$E:$E,MATCH($A722,物件収支!$A:$A,0)),""))</f>
        <v>開示（物件別・収益のみ）</v>
      </c>
    </row>
    <row r="723" customFormat="false" ht="16.5" hidden="false" customHeight="true" outlineLevel="0" collapsed="false">
      <c r="A723" s="1" t="str">
        <f aca="false">IF(物件マスタ!A723="","",物件マスタ!A723)</f>
        <v>HFR-122</v>
      </c>
      <c r="B723" s="1" t="str">
        <f aca="false">IF($A723="","",物件マスタ!B723)</f>
        <v>HFR</v>
      </c>
      <c r="C723" s="1" t="str">
        <f aca="false">IF($A723="","",IFERROR(INDEX(法人マスタ!$C:$C,MATCH($B723,法人マスタ!$A:$A,0)),""))</f>
        <v>平和不動産リート投資法人</v>
      </c>
      <c r="D723" s="1" t="str">
        <f aca="false">IF($A723="","",物件マスタ!C723)</f>
        <v>ＨＦ伏見レジデンス</v>
      </c>
      <c r="E723" s="1" t="str">
        <f aca="false">IF($A723="","",物件マスタ!H723)</f>
        <v>その他3大都市圏</v>
      </c>
      <c r="F723" s="1" t="n">
        <f aca="false">IF($A723="","",物件マスタ!P723)</f>
        <v>0</v>
      </c>
      <c r="G723" s="1" t="str">
        <f aca="false">IF($A723="","",物件マスタ!Q723)</f>
        <v/>
      </c>
      <c r="H723" s="1" t="n">
        <f aca="false">IF($A723="","",物件マスタ!L723)</f>
        <v>0</v>
      </c>
      <c r="I723" s="1" t="n">
        <f aca="false">IF($A723="","",物件マスタ!M723)</f>
        <v>1353.42</v>
      </c>
      <c r="J723" s="1" t="n">
        <f aca="false">IF($A723="","",物件マスタ!S723)</f>
        <v>610</v>
      </c>
      <c r="K723" s="1" t="n">
        <f aca="false">IF($A723="","",物件マスタ!U723)</f>
        <v>640</v>
      </c>
      <c r="L723" s="1" t="n">
        <f aca="false">IF($A723="","",物件マスタ!W723)</f>
        <v>1</v>
      </c>
      <c r="M723" s="1" t="str">
        <f aca="false">IF($A723="","",IFERROR(INDEX(法人マスタ!$H:$H,MATCH($B723,法人マスタ!$A:$A,0)),""))</f>
        <v>2026年5月期（第49期）</v>
      </c>
      <c r="N723" s="1" t="n">
        <f aca="false">IF($A723="","",SUMIFS(物件収支!$D:$D,物件収支!$A:$A,$A723,物件収支!$C:$C,$M723))</f>
        <v>6</v>
      </c>
      <c r="O723" s="1" t="n">
        <f aca="false">IF($A723="","",SUMIFS(物件収支!$F:$F,物件収支!$A:$A,$A723,物件収支!$C:$C,$M723))</f>
        <v>19187</v>
      </c>
      <c r="P723" s="1" t="n">
        <f aca="false">IF($A723="","",SUMIFS(物件収支!$I:$I,物件収支!$A:$A,$A723,物件収支!$C:$C,$M723))</f>
        <v>0</v>
      </c>
      <c r="Q723" s="1" t="n">
        <f aca="false">IF($A723="","",SUMIFS(物件収支!$O:$O,物件収支!$A:$A,$A723,物件収支!$C:$C,$M723))</f>
        <v>0</v>
      </c>
      <c r="R723" s="1" t="str">
        <f aca="false">IF($A723="","",IF(P723=0,"",O723-P723))</f>
        <v/>
      </c>
      <c r="S723" s="1" t="str">
        <f aca="false">IF($A723="","",IF(R723="","",R723+Q723))</f>
        <v/>
      </c>
      <c r="T723" s="1" t="str">
        <f aca="false">IF($A723="","",IF(OR(S723="",N723&lt;=0),"",S723/1000*12/N723))</f>
        <v/>
      </c>
      <c r="U723" s="1" t="str">
        <f aca="false">IF($A723="","",IF(OR(T723="",J723=0,J723=""),"",T723/J723))</f>
        <v/>
      </c>
      <c r="V723" s="1" t="str">
        <f aca="false">IF($A723="","",IF(OR(R723="",N723&lt;=0,J723=0,J723=""),"",(R723/1000*12/N723)/J723))</f>
        <v/>
      </c>
      <c r="W723" s="1" t="str">
        <f aca="false">IF($A723="","",IF(OR(T723="",K723=0,K723=""),"",T723/K723))</f>
        <v/>
      </c>
      <c r="X723" s="1" t="n">
        <f aca="false">IF($A723="","",IF(OR(N723&lt;=0,I723=0,I723="",O723=0),"",O723*1000/(I723*0.3025)/N723))</f>
        <v>7810.84206104458</v>
      </c>
      <c r="Y723" s="1" t="str">
        <f aca="false">IF($A723="","",IF(OR(O723=0,O723="",P723=0),"",P723/O723))</f>
        <v/>
      </c>
      <c r="Z723" s="1" t="str">
        <f aca="false">IF($A723="","",IFERROR(INDEX(物件収支!$E:$E,MATCH($A723,物件収支!$A:$A,0)),""))</f>
        <v>開示（物件別・収益のみ）</v>
      </c>
    </row>
    <row r="724" customFormat="false" ht="16.5" hidden="false" customHeight="true" outlineLevel="0" collapsed="false">
      <c r="A724" s="1" t="str">
        <f aca="false">IF(物件マスタ!A724="","",物件マスタ!A724)</f>
        <v>HFR-123</v>
      </c>
      <c r="B724" s="1" t="str">
        <f aca="false">IF($A724="","",物件マスタ!B724)</f>
        <v>HFR</v>
      </c>
      <c r="C724" s="1" t="str">
        <f aca="false">IF($A724="","",IFERROR(INDEX(法人マスタ!$C:$C,MATCH($B724,法人マスタ!$A:$A,0)),""))</f>
        <v>平和不動産リート投資法人</v>
      </c>
      <c r="D724" s="1" t="str">
        <f aca="false">IF($A724="","",物件マスタ!C724)</f>
        <v>ＨＦ中野坂上レジデンス</v>
      </c>
      <c r="E724" s="1" t="str">
        <f aca="false">IF($A724="","",物件マスタ!H724)</f>
        <v>その他東京23区</v>
      </c>
      <c r="F724" s="1" t="n">
        <f aca="false">IF($A724="","",物件マスタ!P724)</f>
        <v>0</v>
      </c>
      <c r="G724" s="1" t="str">
        <f aca="false">IF($A724="","",物件マスタ!Q724)</f>
        <v/>
      </c>
      <c r="H724" s="1" t="n">
        <f aca="false">IF($A724="","",物件マスタ!L724)</f>
        <v>0</v>
      </c>
      <c r="I724" s="1" t="n">
        <f aca="false">IF($A724="","",物件マスタ!M724)</f>
        <v>1289.94</v>
      </c>
      <c r="J724" s="1" t="n">
        <f aca="false">IF($A724="","",物件マスタ!S724)</f>
        <v>1050</v>
      </c>
      <c r="K724" s="1" t="n">
        <f aca="false">IF($A724="","",物件マスタ!U724)</f>
        <v>1320</v>
      </c>
      <c r="L724" s="1" t="n">
        <f aca="false">IF($A724="","",物件マスタ!W724)</f>
        <v>1</v>
      </c>
      <c r="M724" s="1" t="str">
        <f aca="false">IF($A724="","",IFERROR(INDEX(法人マスタ!$H:$H,MATCH($B724,法人マスタ!$A:$A,0)),""))</f>
        <v>2026年5月期（第49期）</v>
      </c>
      <c r="N724" s="1" t="n">
        <f aca="false">IF($A724="","",SUMIFS(物件収支!$D:$D,物件収支!$A:$A,$A724,物件収支!$C:$C,$M724))</f>
        <v>6</v>
      </c>
      <c r="O724" s="1" t="n">
        <f aca="false">IF($A724="","",SUMIFS(物件収支!$F:$F,物件収支!$A:$A,$A724,物件収支!$C:$C,$M724))</f>
        <v>31264</v>
      </c>
      <c r="P724" s="1" t="n">
        <f aca="false">IF($A724="","",SUMIFS(物件収支!$I:$I,物件収支!$A:$A,$A724,物件収支!$C:$C,$M724))</f>
        <v>0</v>
      </c>
      <c r="Q724" s="1" t="n">
        <f aca="false">IF($A724="","",SUMIFS(物件収支!$O:$O,物件収支!$A:$A,$A724,物件収支!$C:$C,$M724))</f>
        <v>0</v>
      </c>
      <c r="R724" s="1" t="str">
        <f aca="false">IF($A724="","",IF(P724=0,"",O724-P724))</f>
        <v/>
      </c>
      <c r="S724" s="1" t="str">
        <f aca="false">IF($A724="","",IF(R724="","",R724+Q724))</f>
        <v/>
      </c>
      <c r="T724" s="1" t="str">
        <f aca="false">IF($A724="","",IF(OR(S724="",N724&lt;=0),"",S724/1000*12/N724))</f>
        <v/>
      </c>
      <c r="U724" s="1" t="str">
        <f aca="false">IF($A724="","",IF(OR(T724="",J724=0,J724=""),"",T724/J724))</f>
        <v/>
      </c>
      <c r="V724" s="1" t="str">
        <f aca="false">IF($A724="","",IF(OR(R724="",N724&lt;=0,J724=0,J724=""),"",(R724/1000*12/N724)/J724))</f>
        <v/>
      </c>
      <c r="W724" s="1" t="str">
        <f aca="false">IF($A724="","",IF(OR(T724="",K724=0,K724=""),"",T724/K724))</f>
        <v/>
      </c>
      <c r="X724" s="1" t="n">
        <f aca="false">IF($A724="","",IF(OR(N724&lt;=0,I724=0,I724="",O724=0),"",O724*1000/(I724*0.3025)/N724))</f>
        <v>13353.6012160388</v>
      </c>
      <c r="Y724" s="1" t="str">
        <f aca="false">IF($A724="","",IF(OR(O724=0,O724="",P724=0),"",P724/O724))</f>
        <v/>
      </c>
      <c r="Z724" s="1" t="str">
        <f aca="false">IF($A724="","",IFERROR(INDEX(物件収支!$E:$E,MATCH($A724,物件収支!$A:$A,0)),""))</f>
        <v>開示（物件別・収益のみ）</v>
      </c>
    </row>
    <row r="725" customFormat="false" ht="16.5" hidden="false" customHeight="true" outlineLevel="0" collapsed="false">
      <c r="A725" s="1" t="str">
        <f aca="false">IF(物件マスタ!A725="","",物件マスタ!A725)</f>
        <v>HFR-124</v>
      </c>
      <c r="B725" s="1" t="str">
        <f aca="false">IF($A725="","",物件マスタ!B725)</f>
        <v>HFR</v>
      </c>
      <c r="C725" s="1" t="str">
        <f aca="false">IF($A725="","",IFERROR(INDEX(法人マスタ!$C:$C,MATCH($B725,法人マスタ!$A:$A,0)),""))</f>
        <v>平和不動産リート投資法人</v>
      </c>
      <c r="D725" s="1" t="str">
        <f aca="false">IF($A725="","",物件マスタ!C725)</f>
        <v>ＨＦ上野レジデンスＥＡＳＴ</v>
      </c>
      <c r="E725" s="1" t="str">
        <f aca="false">IF($A725="","",物件マスタ!H725)</f>
        <v>その他東京23区</v>
      </c>
      <c r="F725" s="1" t="n">
        <f aca="false">IF($A725="","",物件マスタ!P725)</f>
        <v>0</v>
      </c>
      <c r="G725" s="1" t="str">
        <f aca="false">IF($A725="","",物件マスタ!Q725)</f>
        <v/>
      </c>
      <c r="H725" s="1" t="n">
        <f aca="false">IF($A725="","",物件マスタ!L725)</f>
        <v>0</v>
      </c>
      <c r="I725" s="1" t="n">
        <f aca="false">IF($A725="","",物件マスタ!M725)</f>
        <v>2317.84</v>
      </c>
      <c r="J725" s="1" t="n">
        <f aca="false">IF($A725="","",物件マスタ!S725)</f>
        <v>2500</v>
      </c>
      <c r="K725" s="1" t="n">
        <f aca="false">IF($A725="","",物件マスタ!U725)</f>
        <v>2910</v>
      </c>
      <c r="L725" s="1" t="n">
        <f aca="false">IF($A725="","",物件マスタ!W725)</f>
        <v>1</v>
      </c>
      <c r="M725" s="1" t="str">
        <f aca="false">IF($A725="","",IFERROR(INDEX(法人マスタ!$H:$H,MATCH($B725,法人マスタ!$A:$A,0)),""))</f>
        <v>2026年5月期（第49期）</v>
      </c>
      <c r="N725" s="1" t="n">
        <f aca="false">IF($A725="","",SUMIFS(物件収支!$D:$D,物件収支!$A:$A,$A725,物件収支!$C:$C,$M725))</f>
        <v>6</v>
      </c>
      <c r="O725" s="1" t="n">
        <f aca="false">IF($A725="","",SUMIFS(物件収支!$F:$F,物件収支!$A:$A,$A725,物件収支!$C:$C,$M725))</f>
        <v>66426</v>
      </c>
      <c r="P725" s="1" t="n">
        <f aca="false">IF($A725="","",SUMIFS(物件収支!$I:$I,物件収支!$A:$A,$A725,物件収支!$C:$C,$M725))</f>
        <v>0</v>
      </c>
      <c r="Q725" s="1" t="n">
        <f aca="false">IF($A725="","",SUMIFS(物件収支!$O:$O,物件収支!$A:$A,$A725,物件収支!$C:$C,$M725))</f>
        <v>0</v>
      </c>
      <c r="R725" s="1" t="str">
        <f aca="false">IF($A725="","",IF(P725=0,"",O725-P725))</f>
        <v/>
      </c>
      <c r="S725" s="1" t="str">
        <f aca="false">IF($A725="","",IF(R725="","",R725+Q725))</f>
        <v/>
      </c>
      <c r="T725" s="1" t="str">
        <f aca="false">IF($A725="","",IF(OR(S725="",N725&lt;=0),"",S725/1000*12/N725))</f>
        <v/>
      </c>
      <c r="U725" s="1" t="str">
        <f aca="false">IF($A725="","",IF(OR(T725="",J725=0,J725=""),"",T725/J725))</f>
        <v/>
      </c>
      <c r="V725" s="1" t="str">
        <f aca="false">IF($A725="","",IF(OR(R725="",N725&lt;=0,J725=0,J725=""),"",(R725/1000*12/N725)/J725))</f>
        <v/>
      </c>
      <c r="W725" s="1" t="str">
        <f aca="false">IF($A725="","",IF(OR(T725="",K725=0,K725=""),"",T725/K725))</f>
        <v/>
      </c>
      <c r="X725" s="1" t="n">
        <f aca="false">IF($A725="","",IF(OR(N725&lt;=0,I725=0,I725="",O725=0),"",O725*1000/(I725*0.3025)/N725))</f>
        <v>15789.850510578</v>
      </c>
      <c r="Y725" s="1" t="str">
        <f aca="false">IF($A725="","",IF(OR(O725=0,O725="",P725=0),"",P725/O725))</f>
        <v/>
      </c>
      <c r="Z725" s="1" t="str">
        <f aca="false">IF($A725="","",IFERROR(INDEX(物件収支!$E:$E,MATCH($A725,物件収支!$A:$A,0)),""))</f>
        <v>開示（物件別・収益のみ）</v>
      </c>
    </row>
    <row r="726" customFormat="false" ht="16.5" hidden="false" customHeight="true" outlineLevel="0" collapsed="false">
      <c r="A726" s="1" t="str">
        <f aca="false">IF(物件マスタ!A726="","",物件マスタ!A726)</f>
        <v>HFR-125</v>
      </c>
      <c r="B726" s="1" t="str">
        <f aca="false">IF($A726="","",物件マスタ!B726)</f>
        <v>HFR</v>
      </c>
      <c r="C726" s="1" t="str">
        <f aca="false">IF($A726="","",IFERROR(INDEX(法人マスタ!$C:$C,MATCH($B726,法人マスタ!$A:$A,0)),""))</f>
        <v>平和不動産リート投資法人</v>
      </c>
      <c r="D726" s="1" t="str">
        <f aca="false">IF($A726="","",物件マスタ!C726)</f>
        <v>ＨＦ大森町レジデンス</v>
      </c>
      <c r="E726" s="1" t="str">
        <f aca="false">IF($A726="","",物件マスタ!H726)</f>
        <v>その他東京23区</v>
      </c>
      <c r="F726" s="1" t="n">
        <f aca="false">IF($A726="","",物件マスタ!P726)</f>
        <v>0</v>
      </c>
      <c r="G726" s="1" t="str">
        <f aca="false">IF($A726="","",物件マスタ!Q726)</f>
        <v/>
      </c>
      <c r="H726" s="1" t="n">
        <f aca="false">IF($A726="","",物件マスタ!L726)</f>
        <v>0</v>
      </c>
      <c r="I726" s="1" t="n">
        <f aca="false">IF($A726="","",物件マスタ!M726)</f>
        <v>1282.7</v>
      </c>
      <c r="J726" s="1" t="n">
        <f aca="false">IF($A726="","",物件マスタ!S726)</f>
        <v>1200</v>
      </c>
      <c r="K726" s="1" t="n">
        <f aca="false">IF($A726="","",物件マスタ!U726)</f>
        <v>1340</v>
      </c>
      <c r="L726" s="1" t="n">
        <f aca="false">IF($A726="","",物件マスタ!W726)</f>
        <v>0.9187</v>
      </c>
      <c r="M726" s="1" t="str">
        <f aca="false">IF($A726="","",IFERROR(INDEX(法人マスタ!$H:$H,MATCH($B726,法人マスタ!$A:$A,0)),""))</f>
        <v>2026年5月期（第49期）</v>
      </c>
      <c r="N726" s="1" t="n">
        <f aca="false">IF($A726="","",SUMIFS(物件収支!$D:$D,物件収支!$A:$A,$A726,物件収支!$C:$C,$M726))</f>
        <v>6</v>
      </c>
      <c r="O726" s="1" t="n">
        <f aca="false">IF($A726="","",SUMIFS(物件収支!$F:$F,物件収支!$A:$A,$A726,物件収支!$C:$C,$M726))</f>
        <v>29729</v>
      </c>
      <c r="P726" s="1" t="n">
        <f aca="false">IF($A726="","",SUMIFS(物件収支!$I:$I,物件収支!$A:$A,$A726,物件収支!$C:$C,$M726))</f>
        <v>0</v>
      </c>
      <c r="Q726" s="1" t="n">
        <f aca="false">IF($A726="","",SUMIFS(物件収支!$O:$O,物件収支!$A:$A,$A726,物件収支!$C:$C,$M726))</f>
        <v>0</v>
      </c>
      <c r="R726" s="1" t="str">
        <f aca="false">IF($A726="","",IF(P726=0,"",O726-P726))</f>
        <v/>
      </c>
      <c r="S726" s="1" t="str">
        <f aca="false">IF($A726="","",IF(R726="","",R726+Q726))</f>
        <v/>
      </c>
      <c r="T726" s="1" t="str">
        <f aca="false">IF($A726="","",IF(OR(S726="",N726&lt;=0),"",S726/1000*12/N726))</f>
        <v/>
      </c>
      <c r="U726" s="1" t="str">
        <f aca="false">IF($A726="","",IF(OR(T726="",J726=0,J726=""),"",T726/J726))</f>
        <v/>
      </c>
      <c r="V726" s="1" t="str">
        <f aca="false">IF($A726="","",IF(OR(R726="",N726&lt;=0,J726=0,J726=""),"",(R726/1000*12/N726)/J726))</f>
        <v/>
      </c>
      <c r="W726" s="1" t="str">
        <f aca="false">IF($A726="","",IF(OR(T726="",K726=0,K726=""),"",T726/K726))</f>
        <v/>
      </c>
      <c r="X726" s="1" t="n">
        <f aca="false">IF($A726="","",IF(OR(N726&lt;=0,I726=0,I726="",O726=0),"",O726*1000/(I726*0.3025)/N726))</f>
        <v>12769.6377368589</v>
      </c>
      <c r="Y726" s="1" t="str">
        <f aca="false">IF($A726="","",IF(OR(O726=0,O726="",P726=0),"",P726/O726))</f>
        <v/>
      </c>
      <c r="Z726" s="1" t="str">
        <f aca="false">IF($A726="","",IFERROR(INDEX(物件収支!$E:$E,MATCH($A726,物件収支!$A:$A,0)),""))</f>
        <v>開示（物件別・収益のみ）</v>
      </c>
    </row>
    <row r="727" customFormat="false" ht="16.5" hidden="false" customHeight="true" outlineLevel="0" collapsed="false">
      <c r="A727" s="1" t="str">
        <f aca="false">IF(物件マスタ!A727="","",物件マスタ!A727)</f>
        <v>HFR-126</v>
      </c>
      <c r="B727" s="1" t="str">
        <f aca="false">IF($A727="","",物件マスタ!B727)</f>
        <v>HFR</v>
      </c>
      <c r="C727" s="1" t="str">
        <f aca="false">IF($A727="","",IFERROR(INDEX(法人マスタ!$C:$C,MATCH($B727,法人マスタ!$A:$A,0)),""))</f>
        <v>平和不動産リート投資法人</v>
      </c>
      <c r="D727" s="1" t="str">
        <f aca="false">IF($A727="","",物件マスタ!C727)</f>
        <v>ＨＦ北千住レジデンス</v>
      </c>
      <c r="E727" s="1" t="str">
        <f aca="false">IF($A727="","",物件マスタ!H727)</f>
        <v>その他東京23区</v>
      </c>
      <c r="F727" s="1" t="n">
        <f aca="false">IF($A727="","",物件マスタ!P727)</f>
        <v>0</v>
      </c>
      <c r="G727" s="1" t="str">
        <f aca="false">IF($A727="","",物件マスタ!Q727)</f>
        <v/>
      </c>
      <c r="H727" s="1" t="n">
        <f aca="false">IF($A727="","",物件マスタ!L727)</f>
        <v>0</v>
      </c>
      <c r="I727" s="1" t="n">
        <f aca="false">IF($A727="","",物件マスタ!M727)</f>
        <v>3234.72</v>
      </c>
      <c r="J727" s="1" t="n">
        <f aca="false">IF($A727="","",物件マスタ!S727)</f>
        <v>2510</v>
      </c>
      <c r="K727" s="1" t="n">
        <f aca="false">IF($A727="","",物件マスタ!U727)</f>
        <v>3290</v>
      </c>
      <c r="L727" s="1" t="n">
        <f aca="false">IF($A727="","",物件マスタ!W727)</f>
        <v>1</v>
      </c>
      <c r="M727" s="1" t="str">
        <f aca="false">IF($A727="","",IFERROR(INDEX(法人マスタ!$H:$H,MATCH($B727,法人マスタ!$A:$A,0)),""))</f>
        <v>2026年5月期（第49期）</v>
      </c>
      <c r="N727" s="1" t="n">
        <f aca="false">IF($A727="","",SUMIFS(物件収支!$D:$D,物件収支!$A:$A,$A727,物件収支!$C:$C,$M727))</f>
        <v>6</v>
      </c>
      <c r="O727" s="1" t="n">
        <f aca="false">IF($A727="","",SUMIFS(物件収支!$F:$F,物件収支!$A:$A,$A727,物件収支!$C:$C,$M727))</f>
        <v>81336</v>
      </c>
      <c r="P727" s="1" t="n">
        <f aca="false">IF($A727="","",SUMIFS(物件収支!$I:$I,物件収支!$A:$A,$A727,物件収支!$C:$C,$M727))</f>
        <v>0</v>
      </c>
      <c r="Q727" s="1" t="n">
        <f aca="false">IF($A727="","",SUMIFS(物件収支!$O:$O,物件収支!$A:$A,$A727,物件収支!$C:$C,$M727))</f>
        <v>0</v>
      </c>
      <c r="R727" s="1" t="str">
        <f aca="false">IF($A727="","",IF(P727=0,"",O727-P727))</f>
        <v/>
      </c>
      <c r="S727" s="1" t="str">
        <f aca="false">IF($A727="","",IF(R727="","",R727+Q727))</f>
        <v/>
      </c>
      <c r="T727" s="1" t="str">
        <f aca="false">IF($A727="","",IF(OR(S727="",N727&lt;=0),"",S727/1000*12/N727))</f>
        <v/>
      </c>
      <c r="U727" s="1" t="str">
        <f aca="false">IF($A727="","",IF(OR(T727="",J727=0,J727=""),"",T727/J727))</f>
        <v/>
      </c>
      <c r="V727" s="1" t="str">
        <f aca="false">IF($A727="","",IF(OR(R727="",N727&lt;=0,J727=0,J727=""),"",(R727/1000*12/N727)/J727))</f>
        <v/>
      </c>
      <c r="W727" s="1" t="str">
        <f aca="false">IF($A727="","",IF(OR(T727="",K727=0,K727=""),"",T727/K727))</f>
        <v/>
      </c>
      <c r="X727" s="1" t="n">
        <f aca="false">IF($A727="","",IF(OR(N727&lt;=0,I727=0,I727="",O727=0),"",O727*1000/(I727*0.3025)/N727))</f>
        <v>13853.8183028194</v>
      </c>
      <c r="Y727" s="1" t="str">
        <f aca="false">IF($A727="","",IF(OR(O727=0,O727="",P727=0),"",P727/O727))</f>
        <v/>
      </c>
      <c r="Z727" s="1" t="str">
        <f aca="false">IF($A727="","",IFERROR(INDEX(物件収支!$E:$E,MATCH($A727,物件収支!$A:$A,0)),""))</f>
        <v>開示（物件別・収益のみ）</v>
      </c>
    </row>
    <row r="728" customFormat="false" ht="16.5" hidden="false" customHeight="true" outlineLevel="0" collapsed="false">
      <c r="A728" s="1" t="str">
        <f aca="false">IF(物件マスタ!A728="","",物件マスタ!A728)</f>
        <v>HFR-127</v>
      </c>
      <c r="B728" s="1" t="str">
        <f aca="false">IF($A728="","",物件マスタ!B728)</f>
        <v>HFR</v>
      </c>
      <c r="C728" s="1" t="str">
        <f aca="false">IF($A728="","",IFERROR(INDEX(法人マスタ!$C:$C,MATCH($B728,法人マスタ!$A:$A,0)),""))</f>
        <v>平和不動産リート投資法人</v>
      </c>
      <c r="D728" s="1" t="str">
        <f aca="false">IF($A728="","",物件マスタ!C728)</f>
        <v>ＨＦ曳舟レジデンス</v>
      </c>
      <c r="E728" s="1" t="str">
        <f aca="false">IF($A728="","",物件マスタ!H728)</f>
        <v>その他東京23区</v>
      </c>
      <c r="F728" s="1" t="n">
        <f aca="false">IF($A728="","",物件マスタ!P728)</f>
        <v>0</v>
      </c>
      <c r="G728" s="1" t="str">
        <f aca="false">IF($A728="","",物件マスタ!Q728)</f>
        <v/>
      </c>
      <c r="H728" s="1" t="n">
        <f aca="false">IF($A728="","",物件マスタ!L728)</f>
        <v>0</v>
      </c>
      <c r="I728" s="1" t="n">
        <f aca="false">IF($A728="","",物件マスタ!M728)</f>
        <v>1424.77</v>
      </c>
      <c r="J728" s="1" t="n">
        <f aca="false">IF($A728="","",物件マスタ!S728)</f>
        <v>1380</v>
      </c>
      <c r="K728" s="1" t="n">
        <f aca="false">IF($A728="","",物件マスタ!U728)</f>
        <v>1690</v>
      </c>
      <c r="L728" s="1" t="n">
        <f aca="false">IF($A728="","",物件マスタ!W728)</f>
        <v>1</v>
      </c>
      <c r="M728" s="1" t="str">
        <f aca="false">IF($A728="","",IFERROR(INDEX(法人マスタ!$H:$H,MATCH($B728,法人マスタ!$A:$A,0)),""))</f>
        <v>2026年5月期（第49期）</v>
      </c>
      <c r="N728" s="1" t="n">
        <f aca="false">IF($A728="","",SUMIFS(物件収支!$D:$D,物件収支!$A:$A,$A728,物件収支!$C:$C,$M728))</f>
        <v>6</v>
      </c>
      <c r="O728" s="1" t="n">
        <f aca="false">IF($A728="","",SUMIFS(物件収支!$F:$F,物件収支!$A:$A,$A728,物件収支!$C:$C,$M728))</f>
        <v>34962</v>
      </c>
      <c r="P728" s="1" t="n">
        <f aca="false">IF($A728="","",SUMIFS(物件収支!$I:$I,物件収支!$A:$A,$A728,物件収支!$C:$C,$M728))</f>
        <v>0</v>
      </c>
      <c r="Q728" s="1" t="n">
        <f aca="false">IF($A728="","",SUMIFS(物件収支!$O:$O,物件収支!$A:$A,$A728,物件収支!$C:$C,$M728))</f>
        <v>0</v>
      </c>
      <c r="R728" s="1" t="str">
        <f aca="false">IF($A728="","",IF(P728=0,"",O728-P728))</f>
        <v/>
      </c>
      <c r="S728" s="1" t="str">
        <f aca="false">IF($A728="","",IF(R728="","",R728+Q728))</f>
        <v/>
      </c>
      <c r="T728" s="1" t="str">
        <f aca="false">IF($A728="","",IF(OR(S728="",N728&lt;=0),"",S728/1000*12/N728))</f>
        <v/>
      </c>
      <c r="U728" s="1" t="str">
        <f aca="false">IF($A728="","",IF(OR(T728="",J728=0,J728=""),"",T728/J728))</f>
        <v/>
      </c>
      <c r="V728" s="1" t="str">
        <f aca="false">IF($A728="","",IF(OR(R728="",N728&lt;=0,J728=0,J728=""),"",(R728/1000*12/N728)/J728))</f>
        <v/>
      </c>
      <c r="W728" s="1" t="str">
        <f aca="false">IF($A728="","",IF(OR(T728="",K728=0,K728=""),"",T728/K728))</f>
        <v/>
      </c>
      <c r="X728" s="1" t="n">
        <f aca="false">IF($A728="","",IF(OR(N728&lt;=0,I728=0,I728="",O728=0),"",O728*1000/(I728*0.3025)/N728))</f>
        <v>13519.9435118338</v>
      </c>
      <c r="Y728" s="1" t="str">
        <f aca="false">IF($A728="","",IF(OR(O728=0,O728="",P728=0),"",P728/O728))</f>
        <v/>
      </c>
      <c r="Z728" s="1" t="str">
        <f aca="false">IF($A728="","",IFERROR(INDEX(物件収支!$E:$E,MATCH($A728,物件収支!$A:$A,0)),""))</f>
        <v>開示（物件別・収益のみ）</v>
      </c>
    </row>
    <row r="729" customFormat="false" ht="16.5" hidden="false" customHeight="true" outlineLevel="0" collapsed="false">
      <c r="A729" s="1" t="str">
        <f aca="false">IF(物件マスタ!A729="","",物件マスタ!A729)</f>
        <v>HFR-128</v>
      </c>
      <c r="B729" s="1" t="str">
        <f aca="false">IF($A729="","",物件マスタ!B729)</f>
        <v>HFR</v>
      </c>
      <c r="C729" s="1" t="str">
        <f aca="false">IF($A729="","",IFERROR(INDEX(法人マスタ!$C:$C,MATCH($B729,法人マスタ!$A:$A,0)),""))</f>
        <v>平和不動産リート投資法人</v>
      </c>
      <c r="D729" s="1" t="str">
        <f aca="false">IF($A729="","",物件マスタ!C729)</f>
        <v>ＨＦ目黒行人坂レジデンス</v>
      </c>
      <c r="E729" s="1" t="str">
        <f aca="false">IF($A729="","",物件マスタ!H729)</f>
        <v>その他東京23区</v>
      </c>
      <c r="F729" s="1" t="n">
        <f aca="false">IF($A729="","",物件マスタ!P729)</f>
        <v>0</v>
      </c>
      <c r="G729" s="1" t="str">
        <f aca="false">IF($A729="","",物件マスタ!Q729)</f>
        <v/>
      </c>
      <c r="H729" s="1" t="n">
        <f aca="false">IF($A729="","",物件マスタ!L729)</f>
        <v>0</v>
      </c>
      <c r="I729" s="1" t="n">
        <f aca="false">IF($A729="","",物件マスタ!M729)</f>
        <v>3177.19</v>
      </c>
      <c r="J729" s="1" t="n">
        <f aca="false">IF($A729="","",物件マスタ!S729)</f>
        <v>5300</v>
      </c>
      <c r="K729" s="1" t="n">
        <f aca="false">IF($A729="","",物件マスタ!U729)</f>
        <v>6330</v>
      </c>
      <c r="L729" s="1" t="n">
        <f aca="false">IF($A729="","",物件マスタ!W729)</f>
        <v>0.8984</v>
      </c>
      <c r="M729" s="1" t="str">
        <f aca="false">IF($A729="","",IFERROR(INDEX(法人マスタ!$H:$H,MATCH($B729,法人マスタ!$A:$A,0)),""))</f>
        <v>2026年5月期（第49期）</v>
      </c>
      <c r="N729" s="1" t="n">
        <f aca="false">IF($A729="","",SUMIFS(物件収支!$D:$D,物件収支!$A:$A,$A729,物件収支!$C:$C,$M729))</f>
        <v>6</v>
      </c>
      <c r="O729" s="1" t="n">
        <f aca="false">IF($A729="","",SUMIFS(物件収支!$F:$F,物件収支!$A:$A,$A729,物件収支!$C:$C,$M729))</f>
        <v>93301</v>
      </c>
      <c r="P729" s="1" t="n">
        <f aca="false">IF($A729="","",SUMIFS(物件収支!$I:$I,物件収支!$A:$A,$A729,物件収支!$C:$C,$M729))</f>
        <v>0</v>
      </c>
      <c r="Q729" s="1" t="n">
        <f aca="false">IF($A729="","",SUMIFS(物件収支!$O:$O,物件収支!$A:$A,$A729,物件収支!$C:$C,$M729))</f>
        <v>0</v>
      </c>
      <c r="R729" s="1" t="str">
        <f aca="false">IF($A729="","",IF(P729=0,"",O729-P729))</f>
        <v/>
      </c>
      <c r="S729" s="1" t="str">
        <f aca="false">IF($A729="","",IF(R729="","",R729+Q729))</f>
        <v/>
      </c>
      <c r="T729" s="1" t="str">
        <f aca="false">IF($A729="","",IF(OR(S729="",N729&lt;=0),"",S729/1000*12/N729))</f>
        <v/>
      </c>
      <c r="U729" s="1" t="str">
        <f aca="false">IF($A729="","",IF(OR(T729="",J729=0,J729=""),"",T729/J729))</f>
        <v/>
      </c>
      <c r="V729" s="1" t="str">
        <f aca="false">IF($A729="","",IF(OR(R729="",N729&lt;=0,J729=0,J729=""),"",(R729/1000*12/N729)/J729))</f>
        <v/>
      </c>
      <c r="W729" s="1" t="str">
        <f aca="false">IF($A729="","",IF(OR(T729="",K729=0,K729=""),"",T729/K729))</f>
        <v/>
      </c>
      <c r="X729" s="1" t="n">
        <f aca="false">IF($A729="","",IF(OR(N729&lt;=0,I729=0,I729="",O729=0),"",O729*1000/(I729*0.3025)/N729))</f>
        <v>16179.5516295447</v>
      </c>
      <c r="Y729" s="1" t="str">
        <f aca="false">IF($A729="","",IF(OR(O729=0,O729="",P729=0),"",P729/O729))</f>
        <v/>
      </c>
      <c r="Z729" s="1" t="str">
        <f aca="false">IF($A729="","",IFERROR(INDEX(物件収支!$E:$E,MATCH($A729,物件収支!$A:$A,0)),""))</f>
        <v>開示（物件別・収益のみ）</v>
      </c>
    </row>
    <row r="730" customFormat="false" ht="16.5" hidden="false" customHeight="true" outlineLevel="0" collapsed="false">
      <c r="A730" s="1" t="str">
        <f aca="false">IF(物件マスタ!A730="","",物件マスタ!A730)</f>
        <v>HFR-129</v>
      </c>
      <c r="B730" s="1" t="str">
        <f aca="false">IF($A730="","",物件マスタ!B730)</f>
        <v>HFR</v>
      </c>
      <c r="C730" s="1" t="str">
        <f aca="false">IF($A730="","",IFERROR(INDEX(法人マスタ!$C:$C,MATCH($B730,法人マスタ!$A:$A,0)),""))</f>
        <v>平和不動産リート投資法人</v>
      </c>
      <c r="D730" s="1" t="str">
        <f aca="false">IF($A730="","",物件マスタ!C730)</f>
        <v>ＨＦ西巣鴨レジデンス</v>
      </c>
      <c r="E730" s="1" t="str">
        <f aca="false">IF($A730="","",物件マスタ!H730)</f>
        <v>その他東京23区</v>
      </c>
      <c r="F730" s="1" t="n">
        <f aca="false">IF($A730="","",物件マスタ!P730)</f>
        <v>0</v>
      </c>
      <c r="G730" s="1" t="str">
        <f aca="false">IF($A730="","",物件マスタ!Q730)</f>
        <v/>
      </c>
      <c r="H730" s="1" t="n">
        <f aca="false">IF($A730="","",物件マスタ!L730)</f>
        <v>0</v>
      </c>
      <c r="I730" s="1" t="n">
        <f aca="false">IF($A730="","",物件マスタ!M730)</f>
        <v>901.54</v>
      </c>
      <c r="J730" s="1" t="n">
        <f aca="false">IF($A730="","",物件マスタ!S730)</f>
        <v>1040</v>
      </c>
      <c r="K730" s="1" t="n">
        <f aca="false">IF($A730="","",物件マスタ!U730)</f>
        <v>1270</v>
      </c>
      <c r="L730" s="1" t="n">
        <f aca="false">IF($A730="","",物件マスタ!W730)</f>
        <v>0.8869</v>
      </c>
      <c r="M730" s="1" t="str">
        <f aca="false">IF($A730="","",IFERROR(INDEX(法人マスタ!$H:$H,MATCH($B730,法人マスタ!$A:$A,0)),""))</f>
        <v>2026年5月期（第49期）</v>
      </c>
      <c r="N730" s="1" t="n">
        <f aca="false">IF($A730="","",SUMIFS(物件収支!$D:$D,物件収支!$A:$A,$A730,物件収支!$C:$C,$M730))</f>
        <v>6</v>
      </c>
      <c r="O730" s="1" t="n">
        <f aca="false">IF($A730="","",SUMIFS(物件収支!$F:$F,物件収支!$A:$A,$A730,物件収支!$C:$C,$M730))</f>
        <v>24364</v>
      </c>
      <c r="P730" s="1" t="n">
        <f aca="false">IF($A730="","",SUMIFS(物件収支!$I:$I,物件収支!$A:$A,$A730,物件収支!$C:$C,$M730))</f>
        <v>0</v>
      </c>
      <c r="Q730" s="1" t="n">
        <f aca="false">IF($A730="","",SUMIFS(物件収支!$O:$O,物件収支!$A:$A,$A730,物件収支!$C:$C,$M730))</f>
        <v>0</v>
      </c>
      <c r="R730" s="1" t="str">
        <f aca="false">IF($A730="","",IF(P730=0,"",O730-P730))</f>
        <v/>
      </c>
      <c r="S730" s="1" t="str">
        <f aca="false">IF($A730="","",IF(R730="","",R730+Q730))</f>
        <v/>
      </c>
      <c r="T730" s="1" t="str">
        <f aca="false">IF($A730="","",IF(OR(S730="",N730&lt;=0),"",S730/1000*12/N730))</f>
        <v/>
      </c>
      <c r="U730" s="1" t="str">
        <f aca="false">IF($A730="","",IF(OR(T730="",J730=0,J730=""),"",T730/J730))</f>
        <v/>
      </c>
      <c r="V730" s="1" t="str">
        <f aca="false">IF($A730="","",IF(OR(R730="",N730&lt;=0,J730=0,J730=""),"",(R730/1000*12/N730)/J730))</f>
        <v/>
      </c>
      <c r="W730" s="1" t="str">
        <f aca="false">IF($A730="","",IF(OR(T730="",K730=0,K730=""),"",T730/K730))</f>
        <v/>
      </c>
      <c r="X730" s="1" t="n">
        <f aca="false">IF($A730="","",IF(OR(N730&lt;=0,I730=0,I730="",O730=0),"",O730*1000/(I730*0.3025)/N730))</f>
        <v>14889.7347428346</v>
      </c>
      <c r="Y730" s="1" t="str">
        <f aca="false">IF($A730="","",IF(OR(O730=0,O730="",P730=0),"",P730/O730))</f>
        <v/>
      </c>
      <c r="Z730" s="1" t="str">
        <f aca="false">IF($A730="","",IFERROR(INDEX(物件収支!$E:$E,MATCH($A730,物件収支!$A:$A,0)),""))</f>
        <v>開示（物件別・収益のみ）</v>
      </c>
    </row>
    <row r="731" customFormat="false" ht="16.5" hidden="false" customHeight="true" outlineLevel="0" collapsed="false">
      <c r="A731" s="1" t="str">
        <f aca="false">IF(物件マスタ!A731="","",物件マスタ!A731)</f>
        <v>HFR-130</v>
      </c>
      <c r="B731" s="1" t="str">
        <f aca="false">IF($A731="","",物件マスタ!B731)</f>
        <v>HFR</v>
      </c>
      <c r="C731" s="1" t="str">
        <f aca="false">IF($A731="","",IFERROR(INDEX(法人マスタ!$C:$C,MATCH($B731,法人マスタ!$A:$A,0)),""))</f>
        <v>平和不動産リート投資法人</v>
      </c>
      <c r="D731" s="1" t="str">
        <f aca="false">IF($A731="","",物件マスタ!C731)</f>
        <v>ＨＦ西巣鴨レジデンスⅡ</v>
      </c>
      <c r="E731" s="1" t="str">
        <f aca="false">IF($A731="","",物件マスタ!H731)</f>
        <v>その他東京23区</v>
      </c>
      <c r="F731" s="1" t="n">
        <f aca="false">IF($A731="","",物件マスタ!P731)</f>
        <v>0</v>
      </c>
      <c r="G731" s="1" t="str">
        <f aca="false">IF($A731="","",物件マスタ!Q731)</f>
        <v/>
      </c>
      <c r="H731" s="1" t="n">
        <f aca="false">IF($A731="","",物件マスタ!L731)</f>
        <v>0</v>
      </c>
      <c r="I731" s="1" t="n">
        <f aca="false">IF($A731="","",物件マスタ!M731)</f>
        <v>766.83</v>
      </c>
      <c r="J731" s="1" t="n">
        <f aca="false">IF($A731="","",物件マスタ!S731)</f>
        <v>880</v>
      </c>
      <c r="K731" s="1" t="n">
        <f aca="false">IF($A731="","",物件マスタ!U731)</f>
        <v>1080</v>
      </c>
      <c r="L731" s="1" t="n">
        <f aca="false">IF($A731="","",物件マスタ!W731)</f>
        <v>0.9329</v>
      </c>
      <c r="M731" s="1" t="str">
        <f aca="false">IF($A731="","",IFERROR(INDEX(法人マスタ!$H:$H,MATCH($B731,法人マスタ!$A:$A,0)),""))</f>
        <v>2026年5月期（第49期）</v>
      </c>
      <c r="N731" s="1" t="n">
        <f aca="false">IF($A731="","",SUMIFS(物件収支!$D:$D,物件収支!$A:$A,$A731,物件収支!$C:$C,$M731))</f>
        <v>6</v>
      </c>
      <c r="O731" s="1" t="n">
        <f aca="false">IF($A731="","",SUMIFS(物件収支!$F:$F,物件収支!$A:$A,$A731,物件収支!$C:$C,$M731))</f>
        <v>20149</v>
      </c>
      <c r="P731" s="1" t="n">
        <f aca="false">IF($A731="","",SUMIFS(物件収支!$I:$I,物件収支!$A:$A,$A731,物件収支!$C:$C,$M731))</f>
        <v>0</v>
      </c>
      <c r="Q731" s="1" t="n">
        <f aca="false">IF($A731="","",SUMIFS(物件収支!$O:$O,物件収支!$A:$A,$A731,物件収支!$C:$C,$M731))</f>
        <v>0</v>
      </c>
      <c r="R731" s="1" t="str">
        <f aca="false">IF($A731="","",IF(P731=0,"",O731-P731))</f>
        <v/>
      </c>
      <c r="S731" s="1" t="str">
        <f aca="false">IF($A731="","",IF(R731="","",R731+Q731))</f>
        <v/>
      </c>
      <c r="T731" s="1" t="str">
        <f aca="false">IF($A731="","",IF(OR(S731="",N731&lt;=0),"",S731/1000*12/N731))</f>
        <v/>
      </c>
      <c r="U731" s="1" t="str">
        <f aca="false">IF($A731="","",IF(OR(T731="",J731=0,J731=""),"",T731/J731))</f>
        <v/>
      </c>
      <c r="V731" s="1" t="str">
        <f aca="false">IF($A731="","",IF(OR(R731="",N731&lt;=0,J731=0,J731=""),"",(R731/1000*12/N731)/J731))</f>
        <v/>
      </c>
      <c r="W731" s="1" t="str">
        <f aca="false">IF($A731="","",IF(OR(T731="",K731=0,K731=""),"",T731/K731))</f>
        <v/>
      </c>
      <c r="X731" s="1" t="n">
        <f aca="false">IF($A731="","",IF(OR(N731&lt;=0,I731=0,I731="",O731=0),"",O731*1000/(I731*0.3025)/N731))</f>
        <v>14476.9732671757</v>
      </c>
      <c r="Y731" s="1" t="str">
        <f aca="false">IF($A731="","",IF(OR(O731=0,O731="",P731=0),"",P731/O731))</f>
        <v/>
      </c>
      <c r="Z731" s="1" t="str">
        <f aca="false">IF($A731="","",IFERROR(INDEX(物件収支!$E:$E,MATCH($A731,物件収支!$A:$A,0)),""))</f>
        <v>開示（物件別・収益のみ）</v>
      </c>
    </row>
    <row r="732" customFormat="false" ht="16.5" hidden="false" customHeight="true" outlineLevel="0" collapsed="false">
      <c r="A732" s="1" t="str">
        <f aca="false">IF(物件マスタ!A732="","",物件マスタ!A732)</f>
        <v>HFR-131</v>
      </c>
      <c r="B732" s="1" t="str">
        <f aca="false">IF($A732="","",物件マスタ!B732)</f>
        <v>HFR</v>
      </c>
      <c r="C732" s="1" t="str">
        <f aca="false">IF($A732="","",IFERROR(INDEX(法人マスタ!$C:$C,MATCH($B732,法人マスタ!$A:$A,0)),""))</f>
        <v>平和不動産リート投資法人</v>
      </c>
      <c r="D732" s="1" t="str">
        <f aca="false">IF($A732="","",物件マスタ!C732)</f>
        <v>ＨＦ東武練馬レジデンス</v>
      </c>
      <c r="E732" s="1" t="str">
        <f aca="false">IF($A732="","",物件マスタ!H732)</f>
        <v>その他東京23区</v>
      </c>
      <c r="F732" s="1" t="n">
        <f aca="false">IF($A732="","",物件マスタ!P732)</f>
        <v>0</v>
      </c>
      <c r="G732" s="1" t="str">
        <f aca="false">IF($A732="","",物件マスタ!Q732)</f>
        <v/>
      </c>
      <c r="H732" s="1" t="n">
        <f aca="false">IF($A732="","",物件マスタ!L732)</f>
        <v>0</v>
      </c>
      <c r="I732" s="1" t="n">
        <f aca="false">IF($A732="","",物件マスタ!M732)</f>
        <v>1088.72</v>
      </c>
      <c r="J732" s="1" t="n">
        <f aca="false">IF($A732="","",物件マスタ!S732)</f>
        <v>1050</v>
      </c>
      <c r="K732" s="1" t="n">
        <f aca="false">IF($A732="","",物件マスタ!U732)</f>
        <v>1240</v>
      </c>
      <c r="L732" s="1" t="n">
        <f aca="false">IF($A732="","",物件マスタ!W732)</f>
        <v>1</v>
      </c>
      <c r="M732" s="1" t="str">
        <f aca="false">IF($A732="","",IFERROR(INDEX(法人マスタ!$H:$H,MATCH($B732,法人マスタ!$A:$A,0)),""))</f>
        <v>2026年5月期（第49期）</v>
      </c>
      <c r="N732" s="1" t="n">
        <f aca="false">IF($A732="","",SUMIFS(物件収支!$D:$D,物件収支!$A:$A,$A732,物件収支!$C:$C,$M732))</f>
        <v>6</v>
      </c>
      <c r="O732" s="1" t="n">
        <f aca="false">IF($A732="","",SUMIFS(物件収支!$F:$F,物件収支!$A:$A,$A732,物件収支!$C:$C,$M732))</f>
        <v>24934</v>
      </c>
      <c r="P732" s="1" t="n">
        <f aca="false">IF($A732="","",SUMIFS(物件収支!$I:$I,物件収支!$A:$A,$A732,物件収支!$C:$C,$M732))</f>
        <v>0</v>
      </c>
      <c r="Q732" s="1" t="n">
        <f aca="false">IF($A732="","",SUMIFS(物件収支!$O:$O,物件収支!$A:$A,$A732,物件収支!$C:$C,$M732))</f>
        <v>0</v>
      </c>
      <c r="R732" s="1" t="str">
        <f aca="false">IF($A732="","",IF(P732=0,"",O732-P732))</f>
        <v/>
      </c>
      <c r="S732" s="1" t="str">
        <f aca="false">IF($A732="","",IF(R732="","",R732+Q732))</f>
        <v/>
      </c>
      <c r="T732" s="1" t="str">
        <f aca="false">IF($A732="","",IF(OR(S732="",N732&lt;=0),"",S732/1000*12/N732))</f>
        <v/>
      </c>
      <c r="U732" s="1" t="str">
        <f aca="false">IF($A732="","",IF(OR(T732="",J732=0,J732=""),"",T732/J732))</f>
        <v/>
      </c>
      <c r="V732" s="1" t="str">
        <f aca="false">IF($A732="","",IF(OR(R732="",N732&lt;=0,J732=0,J732=""),"",(R732/1000*12/N732)/J732))</f>
        <v/>
      </c>
      <c r="W732" s="1" t="str">
        <f aca="false">IF($A732="","",IF(OR(T732="",K732=0,K732=""),"",T732/K732))</f>
        <v/>
      </c>
      <c r="X732" s="1" t="n">
        <f aca="false">IF($A732="","",IF(OR(N732&lt;=0,I732=0,I732="",O732=0),"",O732*1000/(I732*0.3025)/N732))</f>
        <v>12618.2499144242</v>
      </c>
      <c r="Y732" s="1" t="str">
        <f aca="false">IF($A732="","",IF(OR(O732=0,O732="",P732=0),"",P732/O732))</f>
        <v/>
      </c>
      <c r="Z732" s="1" t="str">
        <f aca="false">IF($A732="","",IFERROR(INDEX(物件収支!$E:$E,MATCH($A732,物件収支!$A:$A,0)),""))</f>
        <v>開示（物件別・収益のみ）</v>
      </c>
    </row>
    <row r="733" customFormat="false" ht="16.5" hidden="false" customHeight="true" outlineLevel="0" collapsed="false">
      <c r="A733" s="1" t="str">
        <f aca="false">IF(物件マスタ!A733="","",物件マスタ!A733)</f>
        <v>HFR-132</v>
      </c>
      <c r="B733" s="1" t="str">
        <f aca="false">IF($A733="","",物件マスタ!B733)</f>
        <v>HFR</v>
      </c>
      <c r="C733" s="1" t="str">
        <f aca="false">IF($A733="","",IFERROR(INDEX(法人マスタ!$C:$C,MATCH($B733,法人マスタ!$A:$A,0)),""))</f>
        <v>平和不動産リート投資法人</v>
      </c>
      <c r="D733" s="1" t="str">
        <f aca="false">IF($A733="","",物件マスタ!C733)</f>
        <v>ＨＦ両国レジデンスＥＡＳＴ</v>
      </c>
      <c r="E733" s="1" t="str">
        <f aca="false">IF($A733="","",物件マスタ!H733)</f>
        <v>その他東京23区</v>
      </c>
      <c r="F733" s="1" t="n">
        <f aca="false">IF($A733="","",物件マスタ!P733)</f>
        <v>0</v>
      </c>
      <c r="G733" s="1" t="str">
        <f aca="false">IF($A733="","",物件マスタ!Q733)</f>
        <v/>
      </c>
      <c r="H733" s="1" t="n">
        <f aca="false">IF($A733="","",物件マスタ!L733)</f>
        <v>0</v>
      </c>
      <c r="I733" s="1" t="n">
        <f aca="false">IF($A733="","",物件マスタ!M733)</f>
        <v>787.98</v>
      </c>
      <c r="J733" s="1" t="n">
        <f aca="false">IF($A733="","",物件マスタ!S733)</f>
        <v>880</v>
      </c>
      <c r="K733" s="1" t="n">
        <f aca="false">IF($A733="","",物件マスタ!U733)</f>
        <v>1070</v>
      </c>
      <c r="L733" s="1" t="n">
        <f aca="false">IF($A733="","",物件マスタ!W733)</f>
        <v>1</v>
      </c>
      <c r="M733" s="1" t="str">
        <f aca="false">IF($A733="","",IFERROR(INDEX(法人マスタ!$H:$H,MATCH($B733,法人マスタ!$A:$A,0)),""))</f>
        <v>2026年5月期（第49期）</v>
      </c>
      <c r="N733" s="1" t="n">
        <f aca="false">IF($A733="","",SUMIFS(物件収支!$D:$D,物件収支!$A:$A,$A733,物件収支!$C:$C,$M733))</f>
        <v>6</v>
      </c>
      <c r="O733" s="1" t="n">
        <f aca="false">IF($A733="","",SUMIFS(物件収支!$F:$F,物件収支!$A:$A,$A733,物件収支!$C:$C,$M733))</f>
        <v>20533</v>
      </c>
      <c r="P733" s="1" t="n">
        <f aca="false">IF($A733="","",SUMIFS(物件収支!$I:$I,物件収支!$A:$A,$A733,物件収支!$C:$C,$M733))</f>
        <v>0</v>
      </c>
      <c r="Q733" s="1" t="n">
        <f aca="false">IF($A733="","",SUMIFS(物件収支!$O:$O,物件収支!$A:$A,$A733,物件収支!$C:$C,$M733))</f>
        <v>0</v>
      </c>
      <c r="R733" s="1" t="str">
        <f aca="false">IF($A733="","",IF(P733=0,"",O733-P733))</f>
        <v/>
      </c>
      <c r="S733" s="1" t="str">
        <f aca="false">IF($A733="","",IF(R733="","",R733+Q733))</f>
        <v/>
      </c>
      <c r="T733" s="1" t="str">
        <f aca="false">IF($A733="","",IF(OR(S733="",N733&lt;=0),"",S733/1000*12/N733))</f>
        <v/>
      </c>
      <c r="U733" s="1" t="str">
        <f aca="false">IF($A733="","",IF(OR(T733="",J733=0,J733=""),"",T733/J733))</f>
        <v/>
      </c>
      <c r="V733" s="1" t="str">
        <f aca="false">IF($A733="","",IF(OR(R733="",N733&lt;=0,J733=0,J733=""),"",(R733/1000*12/N733)/J733))</f>
        <v/>
      </c>
      <c r="W733" s="1" t="str">
        <f aca="false">IF($A733="","",IF(OR(T733="",K733=0,K733=""),"",T733/K733))</f>
        <v/>
      </c>
      <c r="X733" s="1" t="n">
        <f aca="false">IF($A733="","",IF(OR(N733&lt;=0,I733=0,I733="",O733=0),"",O733*1000/(I733*0.3025)/N733))</f>
        <v>14356.8969496716</v>
      </c>
      <c r="Y733" s="1" t="str">
        <f aca="false">IF($A733="","",IF(OR(O733=0,O733="",P733=0),"",P733/O733))</f>
        <v/>
      </c>
      <c r="Z733" s="1" t="str">
        <f aca="false">IF($A733="","",IFERROR(INDEX(物件収支!$E:$E,MATCH($A733,物件収支!$A:$A,0)),""))</f>
        <v>開示（物件別・収益のみ）</v>
      </c>
    </row>
    <row r="734" customFormat="false" ht="16.5" hidden="false" customHeight="true" outlineLevel="0" collapsed="false">
      <c r="A734" s="1" t="str">
        <f aca="false">IF(物件マスタ!A734="","",物件マスタ!A734)</f>
        <v>HFR-133</v>
      </c>
      <c r="B734" s="1" t="str">
        <f aca="false">IF($A734="","",物件マスタ!B734)</f>
        <v>HFR</v>
      </c>
      <c r="C734" s="1" t="str">
        <f aca="false">IF($A734="","",IFERROR(INDEX(法人マスタ!$C:$C,MATCH($B734,法人マスタ!$A:$A,0)),""))</f>
        <v>平和不動産リート投資法人</v>
      </c>
      <c r="D734" s="1" t="str">
        <f aca="false">IF($A734="","",物件マスタ!C734)</f>
        <v>ＨＦ押上レジデンス</v>
      </c>
      <c r="E734" s="1" t="str">
        <f aca="false">IF($A734="","",物件マスタ!H734)</f>
        <v>その他東京23区</v>
      </c>
      <c r="F734" s="1" t="n">
        <f aca="false">IF($A734="","",物件マスタ!P734)</f>
        <v>0</v>
      </c>
      <c r="G734" s="1" t="str">
        <f aca="false">IF($A734="","",物件マスタ!Q734)</f>
        <v/>
      </c>
      <c r="H734" s="1" t="n">
        <f aca="false">IF($A734="","",物件マスタ!L734)</f>
        <v>0</v>
      </c>
      <c r="I734" s="1" t="n">
        <f aca="false">IF($A734="","",物件マスタ!M734)</f>
        <v>3071.54</v>
      </c>
      <c r="J734" s="1" t="n">
        <f aca="false">IF($A734="","",物件マスタ!S734)</f>
        <v>2140</v>
      </c>
      <c r="K734" s="1" t="n">
        <f aca="false">IF($A734="","",物件マスタ!U734)</f>
        <v>2850</v>
      </c>
      <c r="L734" s="1" t="n">
        <f aca="false">IF($A734="","",物件マスタ!W734)</f>
        <v>0.9738</v>
      </c>
      <c r="M734" s="1" t="str">
        <f aca="false">IF($A734="","",IFERROR(INDEX(法人マスタ!$H:$H,MATCH($B734,法人マスタ!$A:$A,0)),""))</f>
        <v>2026年5月期（第49期）</v>
      </c>
      <c r="N734" s="1" t="n">
        <f aca="false">IF($A734="","",SUMIFS(物件収支!$D:$D,物件収支!$A:$A,$A734,物件収支!$C:$C,$M734))</f>
        <v>6</v>
      </c>
      <c r="O734" s="1" t="n">
        <f aca="false">IF($A734="","",SUMIFS(物件収支!$F:$F,物件収支!$A:$A,$A734,物件収支!$C:$C,$M734))</f>
        <v>77026</v>
      </c>
      <c r="P734" s="1" t="n">
        <f aca="false">IF($A734="","",SUMIFS(物件収支!$I:$I,物件収支!$A:$A,$A734,物件収支!$C:$C,$M734))</f>
        <v>0</v>
      </c>
      <c r="Q734" s="1" t="n">
        <f aca="false">IF($A734="","",SUMIFS(物件収支!$O:$O,物件収支!$A:$A,$A734,物件収支!$C:$C,$M734))</f>
        <v>0</v>
      </c>
      <c r="R734" s="1" t="str">
        <f aca="false">IF($A734="","",IF(P734=0,"",O734-P734))</f>
        <v/>
      </c>
      <c r="S734" s="1" t="str">
        <f aca="false">IF($A734="","",IF(R734="","",R734+Q734))</f>
        <v/>
      </c>
      <c r="T734" s="1" t="str">
        <f aca="false">IF($A734="","",IF(OR(S734="",N734&lt;=0),"",S734/1000*12/N734))</f>
        <v/>
      </c>
      <c r="U734" s="1" t="str">
        <f aca="false">IF($A734="","",IF(OR(T734="",J734=0,J734=""),"",T734/J734))</f>
        <v/>
      </c>
      <c r="V734" s="1" t="str">
        <f aca="false">IF($A734="","",IF(OR(R734="",N734&lt;=0,J734=0,J734=""),"",(R734/1000*12/N734)/J734))</f>
        <v/>
      </c>
      <c r="W734" s="1" t="str">
        <f aca="false">IF($A734="","",IF(OR(T734="",K734=0,K734=""),"",T734/K734))</f>
        <v/>
      </c>
      <c r="X734" s="1" t="n">
        <f aca="false">IF($A734="","",IF(OR(N734&lt;=0,I734=0,I734="",O734=0),"",O734*1000/(I734*0.3025)/N734))</f>
        <v>13816.7067637449</v>
      </c>
      <c r="Y734" s="1" t="str">
        <f aca="false">IF($A734="","",IF(OR(O734=0,O734="",P734=0),"",P734/O734))</f>
        <v/>
      </c>
      <c r="Z734" s="1" t="str">
        <f aca="false">IF($A734="","",IFERROR(INDEX(物件収支!$E:$E,MATCH($A734,物件収支!$A:$A,0)),""))</f>
        <v>開示（物件別・収益のみ）</v>
      </c>
    </row>
    <row r="735" customFormat="false" ht="16.5" hidden="false" customHeight="true" outlineLevel="0" collapsed="false">
      <c r="A735" s="1" t="str">
        <f aca="false">IF(物件マスタ!A735="","",物件マスタ!A735)</f>
        <v>HFR-134</v>
      </c>
      <c r="B735" s="1" t="str">
        <f aca="false">IF($A735="","",物件マスタ!B735)</f>
        <v>HFR</v>
      </c>
      <c r="C735" s="1" t="str">
        <f aca="false">IF($A735="","",IFERROR(INDEX(法人マスタ!$C:$C,MATCH($B735,法人マスタ!$A:$A,0)),""))</f>
        <v>平和不動産リート投資法人</v>
      </c>
      <c r="D735" s="1" t="str">
        <f aca="false">IF($A735="","",物件マスタ!C735)</f>
        <v>ＨＦ曳舟レジデンスＥＡＳＴ</v>
      </c>
      <c r="E735" s="1" t="str">
        <f aca="false">IF($A735="","",物件マスタ!H735)</f>
        <v>その他東京23区</v>
      </c>
      <c r="F735" s="1" t="n">
        <f aca="false">IF($A735="","",物件マスタ!P735)</f>
        <v>0</v>
      </c>
      <c r="G735" s="1" t="str">
        <f aca="false">IF($A735="","",物件マスタ!Q735)</f>
        <v/>
      </c>
      <c r="H735" s="1" t="n">
        <f aca="false">IF($A735="","",物件マスタ!L735)</f>
        <v>0</v>
      </c>
      <c r="I735" s="1" t="n">
        <f aca="false">IF($A735="","",物件マスタ!M735)</f>
        <v>852.4</v>
      </c>
      <c r="J735" s="1" t="n">
        <f aca="false">IF($A735="","",物件マスタ!S735)</f>
        <v>970</v>
      </c>
      <c r="K735" s="1" t="n">
        <f aca="false">IF($A735="","",物件マスタ!U735)</f>
        <v>1190</v>
      </c>
      <c r="L735" s="1" t="n">
        <f aca="false">IF($A735="","",物件マスタ!W735)</f>
        <v>0.9701</v>
      </c>
      <c r="M735" s="1" t="str">
        <f aca="false">IF($A735="","",IFERROR(INDEX(法人マスタ!$H:$H,MATCH($B735,法人マスタ!$A:$A,0)),""))</f>
        <v>2026年5月期（第49期）</v>
      </c>
      <c r="N735" s="1" t="n">
        <f aca="false">IF($A735="","",SUMIFS(物件収支!$D:$D,物件収支!$A:$A,$A735,物件収支!$C:$C,$M735))</f>
        <v>6</v>
      </c>
      <c r="O735" s="1" t="n">
        <f aca="false">IF($A735="","",SUMIFS(物件収支!$F:$F,物件収支!$A:$A,$A735,物件収支!$C:$C,$M735))</f>
        <v>21003</v>
      </c>
      <c r="P735" s="1" t="n">
        <f aca="false">IF($A735="","",SUMIFS(物件収支!$I:$I,物件収支!$A:$A,$A735,物件収支!$C:$C,$M735))</f>
        <v>0</v>
      </c>
      <c r="Q735" s="1" t="n">
        <f aca="false">IF($A735="","",SUMIFS(物件収支!$O:$O,物件収支!$A:$A,$A735,物件収支!$C:$C,$M735))</f>
        <v>0</v>
      </c>
      <c r="R735" s="1" t="str">
        <f aca="false">IF($A735="","",IF(P735=0,"",O735-P735))</f>
        <v/>
      </c>
      <c r="S735" s="1" t="str">
        <f aca="false">IF($A735="","",IF(R735="","",R735+Q735))</f>
        <v/>
      </c>
      <c r="T735" s="1" t="str">
        <f aca="false">IF($A735="","",IF(OR(S735="",N735&lt;=0),"",S735/1000*12/N735))</f>
        <v/>
      </c>
      <c r="U735" s="1" t="str">
        <f aca="false">IF($A735="","",IF(OR(T735="",J735=0,J735=""),"",T735/J735))</f>
        <v/>
      </c>
      <c r="V735" s="1" t="str">
        <f aca="false">IF($A735="","",IF(OR(R735="",N735&lt;=0,J735=0,J735=""),"",(R735/1000*12/N735)/J735))</f>
        <v/>
      </c>
      <c r="W735" s="1" t="str">
        <f aca="false">IF($A735="","",IF(OR(T735="",K735=0,K735=""),"",T735/K735))</f>
        <v/>
      </c>
      <c r="X735" s="1" t="n">
        <f aca="false">IF($A735="","",IF(OR(N735&lt;=0,I735=0,I735="",O735=0),"",O735*1000/(I735*0.3025)/N735))</f>
        <v>13575.669669693</v>
      </c>
      <c r="Y735" s="1" t="str">
        <f aca="false">IF($A735="","",IF(OR(O735=0,O735="",P735=0),"",P735/O735))</f>
        <v/>
      </c>
      <c r="Z735" s="1" t="str">
        <f aca="false">IF($A735="","",IFERROR(INDEX(物件収支!$E:$E,MATCH($A735,物件収支!$A:$A,0)),""))</f>
        <v>開示（物件別・収益のみ）</v>
      </c>
    </row>
    <row r="736" customFormat="false" ht="16.5" hidden="false" customHeight="true" outlineLevel="0" collapsed="false">
      <c r="A736" s="1" t="str">
        <f aca="false">IF(物件マスタ!A736="","",物件マスタ!A736)</f>
        <v>HFR-135</v>
      </c>
      <c r="B736" s="1" t="str">
        <f aca="false">IF($A736="","",物件マスタ!B736)</f>
        <v>HFR</v>
      </c>
      <c r="C736" s="1" t="str">
        <f aca="false">IF($A736="","",IFERROR(INDEX(法人マスタ!$C:$C,MATCH($B736,法人マスタ!$A:$A,0)),""))</f>
        <v>平和不動産リート投資法人</v>
      </c>
      <c r="D736" s="1" t="str">
        <f aca="false">IF($A736="","",物件マスタ!C736)</f>
        <v>ＨＦ大森レジデンス</v>
      </c>
      <c r="E736" s="1" t="str">
        <f aca="false">IF($A736="","",物件マスタ!H736)</f>
        <v>その他東京23区</v>
      </c>
      <c r="F736" s="1" t="n">
        <f aca="false">IF($A736="","",物件マスタ!P736)</f>
        <v>0</v>
      </c>
      <c r="G736" s="1" t="str">
        <f aca="false">IF($A736="","",物件マスタ!Q736)</f>
        <v/>
      </c>
      <c r="H736" s="1" t="n">
        <f aca="false">IF($A736="","",物件マスタ!L736)</f>
        <v>0</v>
      </c>
      <c r="I736" s="1" t="n">
        <f aca="false">IF($A736="","",物件マスタ!M736)</f>
        <v>1054.9</v>
      </c>
      <c r="J736" s="1" t="n">
        <f aca="false">IF($A736="","",物件マスタ!S736)</f>
        <v>1300</v>
      </c>
      <c r="K736" s="1" t="n">
        <f aca="false">IF($A736="","",物件マスタ!U736)</f>
        <v>1610</v>
      </c>
      <c r="L736" s="1" t="n">
        <f aca="false">IF($A736="","",物件マスタ!W736)</f>
        <v>0.923</v>
      </c>
      <c r="M736" s="1" t="str">
        <f aca="false">IF($A736="","",IFERROR(INDEX(法人マスタ!$H:$H,MATCH($B736,法人マスタ!$A:$A,0)),""))</f>
        <v>2026年5月期（第49期）</v>
      </c>
      <c r="N736" s="1" t="n">
        <f aca="false">IF($A736="","",SUMIFS(物件収支!$D:$D,物件収支!$A:$A,$A736,物件収支!$C:$C,$M736))</f>
        <v>6</v>
      </c>
      <c r="O736" s="1" t="n">
        <f aca="false">IF($A736="","",SUMIFS(物件収支!$F:$F,物件収支!$A:$A,$A736,物件収支!$C:$C,$M736))</f>
        <v>34844</v>
      </c>
      <c r="P736" s="1" t="n">
        <f aca="false">IF($A736="","",SUMIFS(物件収支!$I:$I,物件収支!$A:$A,$A736,物件収支!$C:$C,$M736))</f>
        <v>0</v>
      </c>
      <c r="Q736" s="1" t="n">
        <f aca="false">IF($A736="","",SUMIFS(物件収支!$O:$O,物件収支!$A:$A,$A736,物件収支!$C:$C,$M736))</f>
        <v>0</v>
      </c>
      <c r="R736" s="1" t="str">
        <f aca="false">IF($A736="","",IF(P736=0,"",O736-P736))</f>
        <v/>
      </c>
      <c r="S736" s="1" t="str">
        <f aca="false">IF($A736="","",IF(R736="","",R736+Q736))</f>
        <v/>
      </c>
      <c r="T736" s="1" t="str">
        <f aca="false">IF($A736="","",IF(OR(S736="",N736&lt;=0),"",S736/1000*12/N736))</f>
        <v/>
      </c>
      <c r="U736" s="1" t="str">
        <f aca="false">IF($A736="","",IF(OR(T736="",J736=0,J736=""),"",T736/J736))</f>
        <v/>
      </c>
      <c r="V736" s="1" t="str">
        <f aca="false">IF($A736="","",IF(OR(R736="",N736&lt;=0,J736=0,J736=""),"",(R736/1000*12/N736)/J736))</f>
        <v/>
      </c>
      <c r="W736" s="1" t="str">
        <f aca="false">IF($A736="","",IF(OR(T736="",K736=0,K736=""),"",T736/K736))</f>
        <v/>
      </c>
      <c r="X736" s="1" t="n">
        <f aca="false">IF($A736="","",IF(OR(N736&lt;=0,I736=0,I736="",O736=0),"",O736*1000/(I736*0.3025)/N736))</f>
        <v>18198.6881630967</v>
      </c>
      <c r="Y736" s="1" t="str">
        <f aca="false">IF($A736="","",IF(OR(O736=0,O736="",P736=0),"",P736/O736))</f>
        <v/>
      </c>
      <c r="Z736" s="1" t="str">
        <f aca="false">IF($A736="","",IFERROR(INDEX(物件収支!$E:$E,MATCH($A736,物件収支!$A:$A,0)),""))</f>
        <v>開示（物件別・収益のみ）</v>
      </c>
    </row>
    <row r="737" customFormat="false" ht="16.5" hidden="false" customHeight="true" outlineLevel="0" collapsed="false">
      <c r="A737" s="1" t="str">
        <f aca="false">IF(物件マスタ!A737="","",物件マスタ!A737)</f>
        <v>HFR-136</v>
      </c>
      <c r="B737" s="1" t="str">
        <f aca="false">IF($A737="","",物件マスタ!B737)</f>
        <v>HFR</v>
      </c>
      <c r="C737" s="1" t="str">
        <f aca="false">IF($A737="","",IFERROR(INDEX(法人マスタ!$C:$C,MATCH($B737,法人マスタ!$A:$A,0)),""))</f>
        <v>平和不動産リート投資法人</v>
      </c>
      <c r="D737" s="1" t="str">
        <f aca="false">IF($A737="","",物件マスタ!C737)</f>
        <v>ＨＦ下赤塚レジデンス</v>
      </c>
      <c r="E737" s="1" t="str">
        <f aca="false">IF($A737="","",物件マスタ!H737)</f>
        <v>その他東京23区</v>
      </c>
      <c r="F737" s="1" t="n">
        <f aca="false">IF($A737="","",物件マスタ!P737)</f>
        <v>0</v>
      </c>
      <c r="G737" s="1" t="str">
        <f aca="false">IF($A737="","",物件マスタ!Q737)</f>
        <v/>
      </c>
      <c r="H737" s="1" t="n">
        <f aca="false">IF($A737="","",物件マスタ!L737)</f>
        <v>0</v>
      </c>
      <c r="I737" s="1" t="n">
        <f aca="false">IF($A737="","",物件マスタ!M737)</f>
        <v>1501.01</v>
      </c>
      <c r="J737" s="1" t="n">
        <f aca="false">IF($A737="","",物件マスタ!S737)</f>
        <v>1600</v>
      </c>
      <c r="K737" s="1" t="n">
        <f aca="false">IF($A737="","",物件マスタ!U737)</f>
        <v>1920</v>
      </c>
      <c r="L737" s="1" t="n">
        <f aca="false">IF($A737="","",物件マスタ!W737)</f>
        <v>0.875</v>
      </c>
      <c r="M737" s="1" t="str">
        <f aca="false">IF($A737="","",IFERROR(INDEX(法人マスタ!$H:$H,MATCH($B737,法人マスタ!$A:$A,0)),""))</f>
        <v>2026年5月期（第49期）</v>
      </c>
      <c r="N737" s="1" t="n">
        <f aca="false">IF($A737="","",SUMIFS(物件収支!$D:$D,物件収支!$A:$A,$A737,物件収支!$C:$C,$M737))</f>
        <v>6</v>
      </c>
      <c r="O737" s="1" t="n">
        <f aca="false">IF($A737="","",SUMIFS(物件収支!$F:$F,物件収支!$A:$A,$A737,物件収支!$C:$C,$M737))</f>
        <v>28097</v>
      </c>
      <c r="P737" s="1" t="n">
        <f aca="false">IF($A737="","",SUMIFS(物件収支!$I:$I,物件収支!$A:$A,$A737,物件収支!$C:$C,$M737))</f>
        <v>0</v>
      </c>
      <c r="Q737" s="1" t="n">
        <f aca="false">IF($A737="","",SUMIFS(物件収支!$O:$O,物件収支!$A:$A,$A737,物件収支!$C:$C,$M737))</f>
        <v>0</v>
      </c>
      <c r="R737" s="1" t="str">
        <f aca="false">IF($A737="","",IF(P737=0,"",O737-P737))</f>
        <v/>
      </c>
      <c r="S737" s="1" t="str">
        <f aca="false">IF($A737="","",IF(R737="","",R737+Q737))</f>
        <v/>
      </c>
      <c r="T737" s="1" t="str">
        <f aca="false">IF($A737="","",IF(OR(S737="",N737&lt;=0),"",S737/1000*12/N737))</f>
        <v/>
      </c>
      <c r="U737" s="1" t="str">
        <f aca="false">IF($A737="","",IF(OR(T737="",J737=0,J737=""),"",T737/J737))</f>
        <v/>
      </c>
      <c r="V737" s="1" t="str">
        <f aca="false">IF($A737="","",IF(OR(R737="",N737&lt;=0,J737=0,J737=""),"",(R737/1000*12/N737)/J737))</f>
        <v/>
      </c>
      <c r="W737" s="1" t="str">
        <f aca="false">IF($A737="","",IF(OR(T737="",K737=0,K737=""),"",T737/K737))</f>
        <v/>
      </c>
      <c r="X737" s="1" t="n">
        <f aca="false">IF($A737="","",IF(OR(N737&lt;=0,I737=0,I737="",O737=0),"",O737*1000/(I737*0.3025)/N737))</f>
        <v>10313.3495255527</v>
      </c>
      <c r="Y737" s="1" t="str">
        <f aca="false">IF($A737="","",IF(OR(O737=0,O737="",P737=0),"",P737/O737))</f>
        <v/>
      </c>
      <c r="Z737" s="1" t="str">
        <f aca="false">IF($A737="","",IFERROR(INDEX(物件収支!$E:$E,MATCH($A737,物件収支!$A:$A,0)),""))</f>
        <v>開示（物件別・収益のみ）</v>
      </c>
    </row>
    <row r="738" customFormat="false" ht="16.5" hidden="false" customHeight="true" outlineLevel="0" collapsed="false">
      <c r="A738" s="1" t="str">
        <f aca="false">IF(物件マスタ!A738="","",物件マスタ!A738)</f>
        <v>HFR-137</v>
      </c>
      <c r="B738" s="1" t="str">
        <f aca="false">IF($A738="","",物件マスタ!B738)</f>
        <v>HFR</v>
      </c>
      <c r="C738" s="1" t="str">
        <f aca="false">IF($A738="","",IFERROR(INDEX(法人マスタ!$C:$C,MATCH($B738,法人マスタ!$A:$A,0)),""))</f>
        <v>平和不動産リート投資法人</v>
      </c>
      <c r="D738" s="1" t="str">
        <f aca="false">IF($A738="","",物件マスタ!C738)</f>
        <v>ＨＦときわ台レジデンス</v>
      </c>
      <c r="E738" s="1" t="str">
        <f aca="false">IF($A738="","",物件マスタ!H738)</f>
        <v>その他東京23区</v>
      </c>
      <c r="F738" s="1" t="n">
        <f aca="false">IF($A738="","",物件マスタ!P738)</f>
        <v>0</v>
      </c>
      <c r="G738" s="1" t="str">
        <f aca="false">IF($A738="","",物件マスタ!Q738)</f>
        <v/>
      </c>
      <c r="H738" s="1" t="n">
        <f aca="false">IF($A738="","",物件マスタ!L738)</f>
        <v>0</v>
      </c>
      <c r="I738" s="1" t="n">
        <f aca="false">IF($A738="","",物件マスタ!M738)</f>
        <v>1769.81</v>
      </c>
      <c r="J738" s="1" t="n">
        <f aca="false">IF($A738="","",物件マスタ!S738)</f>
        <v>1980</v>
      </c>
      <c r="K738" s="1" t="n">
        <f aca="false">IF($A738="","",物件マスタ!U738)</f>
        <v>2470</v>
      </c>
      <c r="L738" s="1" t="n">
        <f aca="false">IF($A738="","",物件マスタ!W738)</f>
        <v>0.9798</v>
      </c>
      <c r="M738" s="1" t="str">
        <f aca="false">IF($A738="","",IFERROR(INDEX(法人マスタ!$H:$H,MATCH($B738,法人マスタ!$A:$A,0)),""))</f>
        <v>2026年5月期（第49期）</v>
      </c>
      <c r="N738" s="1" t="n">
        <f aca="false">IF($A738="","",SUMIFS(物件収支!$D:$D,物件収支!$A:$A,$A738,物件収支!$C:$C,$M738))</f>
        <v>6</v>
      </c>
      <c r="O738" s="1" t="n">
        <f aca="false">IF($A738="","",SUMIFS(物件収支!$F:$F,物件収支!$A:$A,$A738,物件収支!$C:$C,$M738))</f>
        <v>32054</v>
      </c>
      <c r="P738" s="1" t="n">
        <f aca="false">IF($A738="","",SUMIFS(物件収支!$I:$I,物件収支!$A:$A,$A738,物件収支!$C:$C,$M738))</f>
        <v>0</v>
      </c>
      <c r="Q738" s="1" t="n">
        <f aca="false">IF($A738="","",SUMIFS(物件収支!$O:$O,物件収支!$A:$A,$A738,物件収支!$C:$C,$M738))</f>
        <v>0</v>
      </c>
      <c r="R738" s="1" t="str">
        <f aca="false">IF($A738="","",IF(P738=0,"",O738-P738))</f>
        <v/>
      </c>
      <c r="S738" s="1" t="str">
        <f aca="false">IF($A738="","",IF(R738="","",R738+Q738))</f>
        <v/>
      </c>
      <c r="T738" s="1" t="str">
        <f aca="false">IF($A738="","",IF(OR(S738="",N738&lt;=0),"",S738/1000*12/N738))</f>
        <v/>
      </c>
      <c r="U738" s="1" t="str">
        <f aca="false">IF($A738="","",IF(OR(T738="",J738=0,J738=""),"",T738/J738))</f>
        <v/>
      </c>
      <c r="V738" s="1" t="str">
        <f aca="false">IF($A738="","",IF(OR(R738="",N738&lt;=0,J738=0,J738=""),"",(R738/1000*12/N738)/J738))</f>
        <v/>
      </c>
      <c r="W738" s="1" t="str">
        <f aca="false">IF($A738="","",IF(OR(T738="",K738=0,K738=""),"",T738/K738))</f>
        <v/>
      </c>
      <c r="X738" s="1" t="n">
        <f aca="false">IF($A738="","",IF(OR(N738&lt;=0,I738=0,I738="",O738=0),"",O738*1000/(I738*0.3025)/N738))</f>
        <v>9978.814709266</v>
      </c>
      <c r="Y738" s="1" t="str">
        <f aca="false">IF($A738="","",IF(OR(O738=0,O738="",P738=0),"",P738/O738))</f>
        <v/>
      </c>
      <c r="Z738" s="1" t="str">
        <f aca="false">IF($A738="","",IFERROR(INDEX(物件収支!$E:$E,MATCH($A738,物件収支!$A:$A,0)),""))</f>
        <v>開示（物件別・収益のみ）</v>
      </c>
    </row>
    <row r="739" customFormat="false" ht="16.5" hidden="false" customHeight="true" outlineLevel="0" collapsed="false">
      <c r="A739" s="1" t="str">
        <f aca="false">IF(物件マスタ!A739="","",物件マスタ!A739)</f>
        <v>HFR-138</v>
      </c>
      <c r="B739" s="1" t="str">
        <f aca="false">IF($A739="","",物件マスタ!B739)</f>
        <v>HFR</v>
      </c>
      <c r="C739" s="1" t="str">
        <f aca="false">IF($A739="","",IFERROR(INDEX(法人マスタ!$C:$C,MATCH($B739,法人マスタ!$A:$A,0)),""))</f>
        <v>平和不動産リート投資法人</v>
      </c>
      <c r="D739" s="1" t="str">
        <f aca="false">IF($A739="","",物件マスタ!C739)</f>
        <v>ＨＦ綾瀬レジデンス</v>
      </c>
      <c r="E739" s="1" t="str">
        <f aca="false">IF($A739="","",物件マスタ!H739)</f>
        <v>その他東京23区</v>
      </c>
      <c r="F739" s="1" t="n">
        <f aca="false">IF($A739="","",物件マスタ!P739)</f>
        <v>0</v>
      </c>
      <c r="G739" s="1" t="str">
        <f aca="false">IF($A739="","",物件マスタ!Q739)</f>
        <v/>
      </c>
      <c r="H739" s="1" t="n">
        <f aca="false">IF($A739="","",物件マスタ!L739)</f>
        <v>0</v>
      </c>
      <c r="I739" s="1" t="n">
        <f aca="false">IF($A739="","",物件マスタ!M739)</f>
        <v>1185.36</v>
      </c>
      <c r="J739" s="1" t="n">
        <f aca="false">IF($A739="","",物件マスタ!S739)</f>
        <v>1250</v>
      </c>
      <c r="K739" s="1" t="n">
        <f aca="false">IF($A739="","",物件マスタ!U739)</f>
        <v>1540</v>
      </c>
      <c r="L739" s="1" t="n">
        <f aca="false">IF($A739="","",物件マスタ!W739)</f>
        <v>1</v>
      </c>
      <c r="M739" s="1" t="str">
        <f aca="false">IF($A739="","",IFERROR(INDEX(法人マスタ!$H:$H,MATCH($B739,法人マスタ!$A:$A,0)),""))</f>
        <v>2026年5月期（第49期）</v>
      </c>
      <c r="N739" s="1" t="n">
        <f aca="false">IF($A739="","",SUMIFS(物件収支!$D:$D,物件収支!$A:$A,$A739,物件収支!$C:$C,$M739))</f>
        <v>6</v>
      </c>
      <c r="O739" s="1" t="n">
        <f aca="false">IF($A739="","",SUMIFS(物件収支!$F:$F,物件収支!$A:$A,$A739,物件収支!$C:$C,$M739))</f>
        <v>25673</v>
      </c>
      <c r="P739" s="1" t="n">
        <f aca="false">IF($A739="","",SUMIFS(物件収支!$I:$I,物件収支!$A:$A,$A739,物件収支!$C:$C,$M739))</f>
        <v>0</v>
      </c>
      <c r="Q739" s="1" t="n">
        <f aca="false">IF($A739="","",SUMIFS(物件収支!$O:$O,物件収支!$A:$A,$A739,物件収支!$C:$C,$M739))</f>
        <v>0</v>
      </c>
      <c r="R739" s="1" t="str">
        <f aca="false">IF($A739="","",IF(P739=0,"",O739-P739))</f>
        <v/>
      </c>
      <c r="S739" s="1" t="str">
        <f aca="false">IF($A739="","",IF(R739="","",R739+Q739))</f>
        <v/>
      </c>
      <c r="T739" s="1" t="str">
        <f aca="false">IF($A739="","",IF(OR(S739="",N739&lt;=0),"",S739/1000*12/N739))</f>
        <v/>
      </c>
      <c r="U739" s="1" t="str">
        <f aca="false">IF($A739="","",IF(OR(T739="",J739=0,J739=""),"",T739/J739))</f>
        <v/>
      </c>
      <c r="V739" s="1" t="str">
        <f aca="false">IF($A739="","",IF(OR(R739="",N739&lt;=0,J739=0,J739=""),"",(R739/1000*12/N739)/J739))</f>
        <v/>
      </c>
      <c r="W739" s="1" t="str">
        <f aca="false">IF($A739="","",IF(OR(T739="",K739=0,K739=""),"",T739/K739))</f>
        <v/>
      </c>
      <c r="X739" s="1" t="n">
        <f aca="false">IF($A739="","",IF(OR(N739&lt;=0,I739=0,I739="",O739=0),"",O739*1000/(I739*0.3025)/N739))</f>
        <v>11933.0022788581</v>
      </c>
      <c r="Y739" s="1" t="str">
        <f aca="false">IF($A739="","",IF(OR(O739=0,O739="",P739=0),"",P739/O739))</f>
        <v/>
      </c>
      <c r="Z739" s="1" t="str">
        <f aca="false">IF($A739="","",IFERROR(INDEX(物件収支!$E:$E,MATCH($A739,物件収支!$A:$A,0)),""))</f>
        <v>開示（物件別・収益のみ）</v>
      </c>
    </row>
    <row r="740" customFormat="false" ht="16.5" hidden="false" customHeight="true" outlineLevel="0" collapsed="false">
      <c r="A740" s="1" t="str">
        <f aca="false">IF(物件マスタ!A740="","",物件マスタ!A740)</f>
        <v>HFR-ALL</v>
      </c>
      <c r="B740" s="1" t="str">
        <f aca="false">IF($A740="","",物件マスタ!B740)</f>
        <v>HFR</v>
      </c>
      <c r="C740" s="1" t="str">
        <f aca="false">IF($A740="","",IFERROR(INDEX(法人マスタ!$C:$C,MATCH($B740,法人マスタ!$A:$A,0)),""))</f>
        <v>平和不動産リート投資法人</v>
      </c>
      <c r="D740" s="1" t="str">
        <f aca="false">IF($A740="","",物件マスタ!C740)</f>
        <v>【HFRポートフォリオ全体】</v>
      </c>
      <c r="E740" s="1" t="str">
        <f aca="false">IF($A740="","",物件マスタ!H740)</f>
        <v>─</v>
      </c>
      <c r="F740" s="1" t="n">
        <f aca="false">IF($A740="","",物件マスタ!P740)</f>
        <v>0</v>
      </c>
      <c r="G740" s="1" t="str">
        <f aca="false">IF($A740="","",物件マスタ!Q740)</f>
        <v/>
      </c>
      <c r="H740" s="1" t="n">
        <f aca="false">IF($A740="","",物件マスタ!L740)</f>
        <v>0</v>
      </c>
      <c r="I740" s="1" t="n">
        <f aca="false">IF($A740="","",物件マスタ!M740)</f>
        <v>341660.22</v>
      </c>
      <c r="J740" s="1" t="n">
        <f aca="false">IF($A740="","",物件マスタ!S740)</f>
        <v>265046</v>
      </c>
      <c r="K740" s="1" t="n">
        <f aca="false">IF($A740="","",物件マスタ!U740)</f>
        <v>331289.8</v>
      </c>
      <c r="L740" s="1" t="n">
        <f aca="false">IF($A740="","",物件マスタ!W740)</f>
        <v>0.9765</v>
      </c>
      <c r="M740" s="1" t="str">
        <f aca="false">IF($A740="","",IFERROR(INDEX(法人マスタ!$H:$H,MATCH($B740,法人マスタ!$A:$A,0)),""))</f>
        <v>2026年5月期（第49期）</v>
      </c>
      <c r="N740" s="1" t="n">
        <f aca="false">IF($A740="","",SUMIFS(物件収支!$D:$D,物件収支!$A:$A,$A740,物件収支!$C:$C,$M740))</f>
        <v>6</v>
      </c>
      <c r="O740" s="1" t="n">
        <f aca="false">IF($A740="","",SUMIFS(物件収支!$F:$F,物件収支!$A:$A,$A740,物件収支!$C:$C,$M740))</f>
        <v>9025042</v>
      </c>
      <c r="P740" s="1" t="n">
        <f aca="false">IF($A740="","",SUMIFS(物件収支!$I:$I,物件収支!$A:$A,$A740,物件収支!$C:$C,$M740))</f>
        <v>3782182</v>
      </c>
      <c r="Q740" s="1" t="n">
        <f aca="false">IF($A740="","",SUMIFS(物件収支!$O:$O,物件収支!$A:$A,$A740,物件収支!$C:$C,$M740))</f>
        <v>1165766</v>
      </c>
      <c r="R740" s="1" t="n">
        <f aca="false">IF($A740="","",IF(P740=0,"",O740-P740))</f>
        <v>5242860</v>
      </c>
      <c r="S740" s="1" t="n">
        <f aca="false">IF($A740="","",IF(R740="","",R740+Q740))</f>
        <v>6408626</v>
      </c>
      <c r="T740" s="1" t="n">
        <f aca="false">IF($A740="","",IF(OR(S740="",N740&lt;=0),"",S740/1000*12/N740))</f>
        <v>12817.252</v>
      </c>
      <c r="U740" s="1" t="n">
        <f aca="false">IF($A740="","",IF(OR(T740="",J740=0,J740=""),"",T740/J740))</f>
        <v>0.0483585943572059</v>
      </c>
      <c r="V740" s="1" t="n">
        <f aca="false">IF($A740="","",IF(OR(R740="",N740&lt;=0,J740=0,J740=""),"",(R740/1000*12/N740)/J740))</f>
        <v>0.0395618873704942</v>
      </c>
      <c r="W740" s="1" t="n">
        <f aca="false">IF($A740="","",IF(OR(T740="",K740=0,K740=""),"",T740/K740))</f>
        <v>0.0386889424304642</v>
      </c>
      <c r="X740" s="1" t="n">
        <f aca="false">IF($A740="","",IF(OR(N740&lt;=0,I740=0,I740="",O740=0),"",O740*1000/(I740*0.3025)/N740))</f>
        <v>14553.8597707672</v>
      </c>
      <c r="Y740" s="1" t="n">
        <f aca="false">IF($A740="","",IF(OR(O740=0,O740="",P740=0),"",P740/O740))</f>
        <v>0.419076387677753</v>
      </c>
      <c r="Z740" s="1" t="str">
        <f aca="false">IF($A740="","",IFERROR(INDEX(物件収支!$E:$E,MATCH($A740,物件収支!$A:$A,0)),""))</f>
        <v>開示（法人一括）</v>
      </c>
    </row>
    <row r="741" customFormat="false" ht="15" hidden="false" customHeight="true" outlineLevel="0" collapsed="false">
      <c r="A741" s="1" t="str">
        <f aca="false">IF(物件マスタ!A741="","",物件マスタ!A741)</f>
        <v>KDX-001</v>
      </c>
      <c r="B741" s="1" t="str">
        <f aca="false">IF($A741="","",物件マスタ!B741)</f>
        <v>KDX</v>
      </c>
      <c r="C741" s="1" t="str">
        <f aca="false">IF($A741="","",IFERROR(INDEX(法人マスタ!$C:$C,MATCH($B741,法人マスタ!$A:$A,0)),""))</f>
        <v>ＫＤＸ不動産投資法人</v>
      </c>
      <c r="D741" s="1" t="str">
        <f aca="false">IF($A741="","",物件マスタ!C741)</f>
        <v>KDX東茅場町三洋ビル</v>
      </c>
      <c r="E741" s="1" t="str">
        <f aca="false">IF($A741="","",物件マスタ!H741)</f>
        <v>東京経済圏（KDX区分）</v>
      </c>
      <c r="F741" s="1" t="n">
        <f aca="false">IF($A741="","",物件マスタ!P741)</f>
        <v>0</v>
      </c>
      <c r="G741" s="1" t="str">
        <f aca="false">IF($A741="","",物件マスタ!Q741)</f>
        <v/>
      </c>
      <c r="H741" s="1" t="n">
        <f aca="false">IF($A741="","",物件マスタ!L741)</f>
        <v>0</v>
      </c>
      <c r="I741" s="1" t="n">
        <f aca="false">IF($A741="","",物件マスタ!M741)</f>
        <v>4379.2</v>
      </c>
      <c r="J741" s="1" t="n">
        <f aca="false">IF($A741="","",物件マスタ!S741)</f>
        <v>4450</v>
      </c>
      <c r="K741" s="1" t="n">
        <f aca="false">IF($A741="","",物件マスタ!U741)</f>
        <v>5080</v>
      </c>
      <c r="L741" s="1" t="n">
        <f aca="false">IF($A741="","",物件マスタ!W741)</f>
        <v>1</v>
      </c>
      <c r="M741" s="1" t="str">
        <f aca="false">IF($A741="","",IFERROR(INDEX(法人マスタ!$H:$H,MATCH($B741,法人マスタ!$A:$A,0)),""))</f>
        <v>2026年4月期（第42期）</v>
      </c>
      <c r="N741" s="1" t="n">
        <f aca="false">IF($A741="","",SUMIFS(物件収支!$D:$D,物件収支!$A:$A,$A741,物件収支!$C:$C,$M741))</f>
        <v>6</v>
      </c>
      <c r="O741" s="1" t="n">
        <f aca="false">IF($A741="","",SUMIFS(物件収支!$F:$F,物件収支!$A:$A,$A741,物件収支!$C:$C,$M741))</f>
        <v>133000</v>
      </c>
      <c r="P741" s="1" t="n">
        <f aca="false">IF($A741="","",SUMIFS(物件収支!$I:$I,物件収支!$A:$A,$A741,物件収支!$C:$C,$M741))</f>
        <v>0</v>
      </c>
      <c r="Q741" s="1" t="n">
        <f aca="false">IF($A741="","",SUMIFS(物件収支!$O:$O,物件収支!$A:$A,$A741,物件収支!$C:$C,$M741))</f>
        <v>0</v>
      </c>
      <c r="R741" s="1" t="str">
        <f aca="false">IF($A741="","",IF(P741=0,"",O741-P741))</f>
        <v/>
      </c>
      <c r="S741" s="1" t="str">
        <f aca="false">IF($A741="","",IF(R741="","",R741+Q741))</f>
        <v/>
      </c>
      <c r="T741" s="1" t="str">
        <f aca="false">IF($A741="","",IF(OR(S741="",N741&lt;=0),"",S741/1000*12/N741))</f>
        <v/>
      </c>
      <c r="U741" s="1" t="str">
        <f aca="false">IF($A741="","",IF(OR(T741="",J741=0,J741=""),"",T741/J741))</f>
        <v/>
      </c>
      <c r="V741" s="1" t="str">
        <f aca="false">IF($A741="","",IF(OR(R741="",N741&lt;=0,J741=0,J741=""),"",(R741/1000*12/N741)/J741))</f>
        <v/>
      </c>
      <c r="W741" s="1" t="str">
        <f aca="false">IF($A741="","",IF(OR(T741="",K741=0,K741=""),"",T741/K741))</f>
        <v/>
      </c>
      <c r="X741" s="1" t="n">
        <f aca="false">IF($A741="","",IF(OR(N741&lt;=0,I741=0,I741="",O741=0),"",O741*1000/(I741*0.3025)/N741))</f>
        <v>16733.2473772837</v>
      </c>
      <c r="Y741" s="1" t="str">
        <f aca="false">IF($A741="","",IF(OR(O741=0,O741="",P741=0),"",P741/O741))</f>
        <v/>
      </c>
      <c r="Z741" s="1" t="str">
        <f aca="false">IF($A741="","",IFERROR(INDEX(物件収支!$E:$E,MATCH($A741,物件収支!$A:$A,0)),""))</f>
        <v>開示（物件別・収益のみ・百万円単位）</v>
      </c>
    </row>
    <row r="742" customFormat="false" ht="15" hidden="false" customHeight="true" outlineLevel="0" collapsed="false">
      <c r="A742" s="1" t="str">
        <f aca="false">IF(物件マスタ!A742="","",物件マスタ!A742)</f>
        <v>KDX-002</v>
      </c>
      <c r="B742" s="1" t="str">
        <f aca="false">IF($A742="","",物件マスタ!B742)</f>
        <v>KDX</v>
      </c>
      <c r="C742" s="1" t="str">
        <f aca="false">IF($A742="","",IFERROR(INDEX(法人マスタ!$C:$C,MATCH($B742,法人マスタ!$A:$A,0)),""))</f>
        <v>ＫＤＸ不動産投資法人</v>
      </c>
      <c r="D742" s="1" t="str">
        <f aca="false">IF($A742="","",物件マスタ!C742)</f>
        <v>KDX八丁堀ビル</v>
      </c>
      <c r="E742" s="1" t="str">
        <f aca="false">IF($A742="","",物件マスタ!H742)</f>
        <v>東京経済圏（KDX区分）</v>
      </c>
      <c r="F742" s="1" t="n">
        <f aca="false">IF($A742="","",物件マスタ!P742)</f>
        <v>0</v>
      </c>
      <c r="G742" s="1" t="str">
        <f aca="false">IF($A742="","",物件マスタ!Q742)</f>
        <v/>
      </c>
      <c r="H742" s="1" t="n">
        <f aca="false">IF($A742="","",物件マスタ!L742)</f>
        <v>0</v>
      </c>
      <c r="I742" s="1" t="n">
        <f aca="false">IF($A742="","",物件マスタ!M742)</f>
        <v>3323.14</v>
      </c>
      <c r="J742" s="1" t="n">
        <f aca="false">IF($A742="","",物件マスタ!S742)</f>
        <v>3680</v>
      </c>
      <c r="K742" s="1" t="n">
        <f aca="false">IF($A742="","",物件マスタ!U742)</f>
        <v>3360</v>
      </c>
      <c r="L742" s="1" t="n">
        <f aca="false">IF($A742="","",物件マスタ!W742)</f>
        <v>1</v>
      </c>
      <c r="M742" s="1" t="str">
        <f aca="false">IF($A742="","",IFERROR(INDEX(法人マスタ!$H:$H,MATCH($B742,法人マスタ!$A:$A,0)),""))</f>
        <v>2026年4月期（第42期）</v>
      </c>
      <c r="N742" s="1" t="n">
        <f aca="false">IF($A742="","",SUMIFS(物件収支!$D:$D,物件収支!$A:$A,$A742,物件収支!$C:$C,$M742))</f>
        <v>6</v>
      </c>
      <c r="O742" s="1" t="n">
        <f aca="false">IF($A742="","",SUMIFS(物件収支!$F:$F,物件収支!$A:$A,$A742,物件収支!$C:$C,$M742))</f>
        <v>113000</v>
      </c>
      <c r="P742" s="1" t="n">
        <f aca="false">IF($A742="","",SUMIFS(物件収支!$I:$I,物件収支!$A:$A,$A742,物件収支!$C:$C,$M742))</f>
        <v>0</v>
      </c>
      <c r="Q742" s="1" t="n">
        <f aca="false">IF($A742="","",SUMIFS(物件収支!$O:$O,物件収支!$A:$A,$A742,物件収支!$C:$C,$M742))</f>
        <v>0</v>
      </c>
      <c r="R742" s="1" t="str">
        <f aca="false">IF($A742="","",IF(P742=0,"",O742-P742))</f>
        <v/>
      </c>
      <c r="S742" s="1" t="str">
        <f aca="false">IF($A742="","",IF(R742="","",R742+Q742))</f>
        <v/>
      </c>
      <c r="T742" s="1" t="str">
        <f aca="false">IF($A742="","",IF(OR(S742="",N742&lt;=0),"",S742/1000*12/N742))</f>
        <v/>
      </c>
      <c r="U742" s="1" t="str">
        <f aca="false">IF($A742="","",IF(OR(T742="",J742=0,J742=""),"",T742/J742))</f>
        <v/>
      </c>
      <c r="V742" s="1" t="str">
        <f aca="false">IF($A742="","",IF(OR(R742="",N742&lt;=0,J742=0,J742=""),"",(R742/1000*12/N742)/J742))</f>
        <v/>
      </c>
      <c r="W742" s="1" t="str">
        <f aca="false">IF($A742="","",IF(OR(T742="",K742=0,K742=""),"",T742/K742))</f>
        <v/>
      </c>
      <c r="X742" s="1" t="n">
        <f aca="false">IF($A742="","",IF(OR(N742&lt;=0,I742=0,I742="",O742=0),"",O742*1000/(I742*0.3025)/N742))</f>
        <v>18734.9775116438</v>
      </c>
      <c r="Y742" s="1" t="str">
        <f aca="false">IF($A742="","",IF(OR(O742=0,O742="",P742=0),"",P742/O742))</f>
        <v/>
      </c>
      <c r="Z742" s="1" t="str">
        <f aca="false">IF($A742="","",IFERROR(INDEX(物件収支!$E:$E,MATCH($A742,物件収支!$A:$A,0)),""))</f>
        <v>開示（物件別・収益のみ・百万円単位）</v>
      </c>
    </row>
    <row r="743" customFormat="false" ht="15" hidden="false" customHeight="true" outlineLevel="0" collapsed="false">
      <c r="A743" s="1" t="str">
        <f aca="false">IF(物件マスタ!A743="","",物件マスタ!A743)</f>
        <v>KDX-003</v>
      </c>
      <c r="B743" s="1" t="str">
        <f aca="false">IF($A743="","",物件マスタ!B743)</f>
        <v>KDX</v>
      </c>
      <c r="C743" s="1" t="str">
        <f aca="false">IF($A743="","",IFERROR(INDEX(法人マスタ!$C:$C,MATCH($B743,法人マスタ!$A:$A,0)),""))</f>
        <v>ＫＤＸ不動産投資法人</v>
      </c>
      <c r="D743" s="1" t="str">
        <f aca="false">IF($A743="","",物件マスタ!C743)</f>
        <v>KDX中野坂上ビル</v>
      </c>
      <c r="E743" s="1" t="str">
        <f aca="false">IF($A743="","",物件マスタ!H743)</f>
        <v>東京経済圏（KDX区分）</v>
      </c>
      <c r="F743" s="1" t="n">
        <f aca="false">IF($A743="","",物件マスタ!P743)</f>
        <v>0</v>
      </c>
      <c r="G743" s="1" t="str">
        <f aca="false">IF($A743="","",物件マスタ!Q743)</f>
        <v/>
      </c>
      <c r="H743" s="1" t="n">
        <f aca="false">IF($A743="","",物件マスタ!L743)</f>
        <v>0</v>
      </c>
      <c r="I743" s="1" t="n">
        <f aca="false">IF($A743="","",物件マスタ!M743)</f>
        <v>4286.99</v>
      </c>
      <c r="J743" s="1" t="n">
        <f aca="false">IF($A743="","",物件マスタ!S743)</f>
        <v>2533</v>
      </c>
      <c r="K743" s="1" t="n">
        <f aca="false">IF($A743="","",物件マスタ!U743)</f>
        <v>2590</v>
      </c>
      <c r="L743" s="1" t="n">
        <f aca="false">IF($A743="","",物件マスタ!W743)</f>
        <v>1</v>
      </c>
      <c r="M743" s="1" t="str">
        <f aca="false">IF($A743="","",IFERROR(INDEX(法人マスタ!$H:$H,MATCH($B743,法人マスタ!$A:$A,0)),""))</f>
        <v>2026年4月期（第42期）</v>
      </c>
      <c r="N743" s="1" t="n">
        <f aca="false">IF($A743="","",SUMIFS(物件収支!$D:$D,物件収支!$A:$A,$A743,物件収支!$C:$C,$M743))</f>
        <v>6</v>
      </c>
      <c r="O743" s="1" t="n">
        <f aca="false">IF($A743="","",SUMIFS(物件収支!$F:$F,物件収支!$A:$A,$A743,物件収支!$C:$C,$M743))</f>
        <v>103000</v>
      </c>
      <c r="P743" s="1" t="n">
        <f aca="false">IF($A743="","",SUMIFS(物件収支!$I:$I,物件収支!$A:$A,$A743,物件収支!$C:$C,$M743))</f>
        <v>0</v>
      </c>
      <c r="Q743" s="1" t="n">
        <f aca="false">IF($A743="","",SUMIFS(物件収支!$O:$O,物件収支!$A:$A,$A743,物件収支!$C:$C,$M743))</f>
        <v>0</v>
      </c>
      <c r="R743" s="1" t="str">
        <f aca="false">IF($A743="","",IF(P743=0,"",O743-P743))</f>
        <v/>
      </c>
      <c r="S743" s="1" t="str">
        <f aca="false">IF($A743="","",IF(R743="","",R743+Q743))</f>
        <v/>
      </c>
      <c r="T743" s="1" t="str">
        <f aca="false">IF($A743="","",IF(OR(S743="",N743&lt;=0),"",S743/1000*12/N743))</f>
        <v/>
      </c>
      <c r="U743" s="1" t="str">
        <f aca="false">IF($A743="","",IF(OR(T743="",J743=0,J743=""),"",T743/J743))</f>
        <v/>
      </c>
      <c r="V743" s="1" t="str">
        <f aca="false">IF($A743="","",IF(OR(R743="",N743&lt;=0,J743=0,J743=""),"",(R743/1000*12/N743)/J743))</f>
        <v/>
      </c>
      <c r="W743" s="1" t="str">
        <f aca="false">IF($A743="","",IF(OR(T743="",K743=0,K743=""),"",T743/K743))</f>
        <v/>
      </c>
      <c r="X743" s="1" t="n">
        <f aca="false">IF($A743="","",IF(OR(N743&lt;=0,I743=0,I743="",O743=0),"",O743*1000/(I743*0.3025)/N743))</f>
        <v>13237.5655867557</v>
      </c>
      <c r="Y743" s="1" t="str">
        <f aca="false">IF($A743="","",IF(OR(O743=0,O743="",P743=0),"",P743/O743))</f>
        <v/>
      </c>
      <c r="Z743" s="1" t="str">
        <f aca="false">IF($A743="","",IFERROR(INDEX(物件収支!$E:$E,MATCH($A743,物件収支!$A:$A,0)),""))</f>
        <v>開示（物件別・収益のみ・百万円単位）</v>
      </c>
    </row>
    <row r="744" customFormat="false" ht="15" hidden="false" customHeight="true" outlineLevel="0" collapsed="false">
      <c r="A744" s="1" t="str">
        <f aca="false">IF(物件マスタ!A744="","",物件マスタ!A744)</f>
        <v>KDX-004</v>
      </c>
      <c r="B744" s="1" t="str">
        <f aca="false">IF($A744="","",物件マスタ!B744)</f>
        <v>KDX</v>
      </c>
      <c r="C744" s="1" t="str">
        <f aca="false">IF($A744="","",IFERROR(INDEX(法人マスタ!$C:$C,MATCH($B744,法人マスタ!$A:$A,0)),""))</f>
        <v>ＫＤＸ不動産投資法人</v>
      </c>
      <c r="D744" s="1" t="str">
        <f aca="false">IF($A744="","",物件マスタ!C744)</f>
        <v>KDX南青山ビル</v>
      </c>
      <c r="E744" s="1" t="str">
        <f aca="false">IF($A744="","",物件マスタ!H744)</f>
        <v>東京経済圏（KDX区分）</v>
      </c>
      <c r="F744" s="1" t="n">
        <f aca="false">IF($A744="","",物件マスタ!P744)</f>
        <v>0</v>
      </c>
      <c r="G744" s="1" t="str">
        <f aca="false">IF($A744="","",物件マスタ!Q744)</f>
        <v/>
      </c>
      <c r="H744" s="1" t="n">
        <f aca="false">IF($A744="","",物件マスタ!L744)</f>
        <v>0</v>
      </c>
      <c r="I744" s="1" t="n">
        <f aca="false">IF($A744="","",物件マスタ!M744)</f>
        <v>1810.19</v>
      </c>
      <c r="J744" s="1" t="n">
        <f aca="false">IF($A744="","",物件マスタ!S744)</f>
        <v>2270</v>
      </c>
      <c r="K744" s="1" t="n">
        <f aca="false">IF($A744="","",物件マスタ!U744)</f>
        <v>2850</v>
      </c>
      <c r="L744" s="1" t="n">
        <f aca="false">IF($A744="","",物件マスタ!W744)</f>
        <v>0.767</v>
      </c>
      <c r="M744" s="1" t="str">
        <f aca="false">IF($A744="","",IFERROR(INDEX(法人マスタ!$H:$H,MATCH($B744,法人マスタ!$A:$A,0)),""))</f>
        <v>2026年4月期（第42期）</v>
      </c>
      <c r="N744" s="1" t="n">
        <f aca="false">IF($A744="","",SUMIFS(物件収支!$D:$D,物件収支!$A:$A,$A744,物件収支!$C:$C,$M744))</f>
        <v>6</v>
      </c>
      <c r="O744" s="1" t="n">
        <f aca="false">IF($A744="","",SUMIFS(物件収支!$F:$F,物件収支!$A:$A,$A744,物件収支!$C:$C,$M744))</f>
        <v>58000</v>
      </c>
      <c r="P744" s="1" t="n">
        <f aca="false">IF($A744="","",SUMIFS(物件収支!$I:$I,物件収支!$A:$A,$A744,物件収支!$C:$C,$M744))</f>
        <v>0</v>
      </c>
      <c r="Q744" s="1" t="n">
        <f aca="false">IF($A744="","",SUMIFS(物件収支!$O:$O,物件収支!$A:$A,$A744,物件収支!$C:$C,$M744))</f>
        <v>0</v>
      </c>
      <c r="R744" s="1" t="str">
        <f aca="false">IF($A744="","",IF(P744=0,"",O744-P744))</f>
        <v/>
      </c>
      <c r="S744" s="1" t="str">
        <f aca="false">IF($A744="","",IF(R744="","",R744+Q744))</f>
        <v/>
      </c>
      <c r="T744" s="1" t="str">
        <f aca="false">IF($A744="","",IF(OR(S744="",N744&lt;=0),"",S744/1000*12/N744))</f>
        <v/>
      </c>
      <c r="U744" s="1" t="str">
        <f aca="false">IF($A744="","",IF(OR(T744="",J744=0,J744=""),"",T744/J744))</f>
        <v/>
      </c>
      <c r="V744" s="1" t="str">
        <f aca="false">IF($A744="","",IF(OR(R744="",N744&lt;=0,J744=0,J744=""),"",(R744/1000*12/N744)/J744))</f>
        <v/>
      </c>
      <c r="W744" s="1" t="str">
        <f aca="false">IF($A744="","",IF(OR(T744="",K744=0,K744=""),"",T744/K744))</f>
        <v/>
      </c>
      <c r="X744" s="1" t="n">
        <f aca="false">IF($A744="","",IF(OR(N744&lt;=0,I744=0,I744="",O744=0),"",O744*1000/(I744*0.3025)/N744))</f>
        <v>17653.3528883784</v>
      </c>
      <c r="Y744" s="1" t="str">
        <f aca="false">IF($A744="","",IF(OR(O744=0,O744="",P744=0),"",P744/O744))</f>
        <v/>
      </c>
      <c r="Z744" s="1" t="str">
        <f aca="false">IF($A744="","",IFERROR(INDEX(物件収支!$E:$E,MATCH($A744,物件収支!$A:$A,0)),""))</f>
        <v>開示（物件別・収益のみ・百万円単位）</v>
      </c>
    </row>
    <row r="745" customFormat="false" ht="15" hidden="false" customHeight="true" outlineLevel="0" collapsed="false">
      <c r="A745" s="1" t="str">
        <f aca="false">IF(物件マスタ!A745="","",物件マスタ!A745)</f>
        <v>KDX-005</v>
      </c>
      <c r="B745" s="1" t="str">
        <f aca="false">IF($A745="","",物件マスタ!B745)</f>
        <v>KDX</v>
      </c>
      <c r="C745" s="1" t="str">
        <f aca="false">IF($A745="","",IFERROR(INDEX(法人マスタ!$C:$C,MATCH($B745,法人マスタ!$A:$A,0)),""))</f>
        <v>ＫＤＸ不動産投資法人</v>
      </c>
      <c r="D745" s="1" t="str">
        <f aca="false">IF($A745="","",物件マスタ!C745)</f>
        <v>KDX神田北口ビル</v>
      </c>
      <c r="E745" s="1" t="str">
        <f aca="false">IF($A745="","",物件マスタ!H745)</f>
        <v>東京経済圏（KDX区分）</v>
      </c>
      <c r="F745" s="1" t="n">
        <f aca="false">IF($A745="","",物件マスタ!P745)</f>
        <v>0</v>
      </c>
      <c r="G745" s="1" t="str">
        <f aca="false">IF($A745="","",物件マスタ!Q745)</f>
        <v/>
      </c>
      <c r="H745" s="1" t="n">
        <f aca="false">IF($A745="","",物件マスタ!L745)</f>
        <v>0</v>
      </c>
      <c r="I745" s="1" t="n">
        <f aca="false">IF($A745="","",物件マスタ!M745)</f>
        <v>1918.22</v>
      </c>
      <c r="J745" s="1" t="n">
        <f aca="false">IF($A745="","",物件マスタ!S745)</f>
        <v>1950</v>
      </c>
      <c r="K745" s="1" t="n">
        <f aca="false">IF($A745="","",物件マスタ!U745)</f>
        <v>1640</v>
      </c>
      <c r="L745" s="1" t="n">
        <f aca="false">IF($A745="","",物件マスタ!W745)</f>
        <v>1</v>
      </c>
      <c r="M745" s="1" t="str">
        <f aca="false">IF($A745="","",IFERROR(INDEX(法人マスタ!$H:$H,MATCH($B745,法人マスタ!$A:$A,0)),""))</f>
        <v>2026年4月期（第42期）</v>
      </c>
      <c r="N745" s="1" t="n">
        <f aca="false">IF($A745="","",SUMIFS(物件収支!$D:$D,物件収支!$A:$A,$A745,物件収支!$C:$C,$M745))</f>
        <v>6</v>
      </c>
      <c r="O745" s="1" t="n">
        <f aca="false">IF($A745="","",SUMIFS(物件収支!$F:$F,物件収支!$A:$A,$A745,物件収支!$C:$C,$M745))</f>
        <v>50000</v>
      </c>
      <c r="P745" s="1" t="n">
        <f aca="false">IF($A745="","",SUMIFS(物件収支!$I:$I,物件収支!$A:$A,$A745,物件収支!$C:$C,$M745))</f>
        <v>0</v>
      </c>
      <c r="Q745" s="1" t="n">
        <f aca="false">IF($A745="","",SUMIFS(物件収支!$O:$O,物件収支!$A:$A,$A745,物件収支!$C:$C,$M745))</f>
        <v>0</v>
      </c>
      <c r="R745" s="1" t="str">
        <f aca="false">IF($A745="","",IF(P745=0,"",O745-P745))</f>
        <v/>
      </c>
      <c r="S745" s="1" t="str">
        <f aca="false">IF($A745="","",IF(R745="","",R745+Q745))</f>
        <v/>
      </c>
      <c r="T745" s="1" t="str">
        <f aca="false">IF($A745="","",IF(OR(S745="",N745&lt;=0),"",S745/1000*12/N745))</f>
        <v/>
      </c>
      <c r="U745" s="1" t="str">
        <f aca="false">IF($A745="","",IF(OR(T745="",J745=0,J745=""),"",T745/J745))</f>
        <v/>
      </c>
      <c r="V745" s="1" t="str">
        <f aca="false">IF($A745="","",IF(OR(R745="",N745&lt;=0,J745=0,J745=""),"",(R745/1000*12/N745)/J745))</f>
        <v/>
      </c>
      <c r="W745" s="1" t="str">
        <f aca="false">IF($A745="","",IF(OR(T745="",K745=0,K745=""),"",T745/K745))</f>
        <v/>
      </c>
      <c r="X745" s="1" t="n">
        <f aca="false">IF($A745="","",IF(OR(N745&lt;=0,I745=0,I745="",O745=0),"",O745*1000/(I745*0.3025)/N745))</f>
        <v>14361.3398705004</v>
      </c>
      <c r="Y745" s="1" t="str">
        <f aca="false">IF($A745="","",IF(OR(O745=0,O745="",P745=0),"",P745/O745))</f>
        <v/>
      </c>
      <c r="Z745" s="1" t="str">
        <f aca="false">IF($A745="","",IFERROR(INDEX(物件収支!$E:$E,MATCH($A745,物件収支!$A:$A,0)),""))</f>
        <v>開示（物件別・収益のみ・百万円単位）</v>
      </c>
    </row>
    <row r="746" customFormat="false" ht="15" hidden="false" customHeight="true" outlineLevel="0" collapsed="false">
      <c r="A746" s="1" t="str">
        <f aca="false">IF(物件マスタ!A746="","",物件マスタ!A746)</f>
        <v>KDX-006</v>
      </c>
      <c r="B746" s="1" t="str">
        <f aca="false">IF($A746="","",物件マスタ!B746)</f>
        <v>KDX</v>
      </c>
      <c r="C746" s="1" t="str">
        <f aca="false">IF($A746="","",IFERROR(INDEX(法人マスタ!$C:$C,MATCH($B746,法人マスタ!$A:$A,0)),""))</f>
        <v>ＫＤＸ不動産投資法人</v>
      </c>
      <c r="D746" s="1" t="str">
        <f aca="false">IF($A746="","",物件マスタ!C746)</f>
        <v>KDX代々木ビル</v>
      </c>
      <c r="E746" s="1" t="str">
        <f aca="false">IF($A746="","",物件マスタ!H746)</f>
        <v>東京経済圏（KDX区分）</v>
      </c>
      <c r="F746" s="1" t="n">
        <f aca="false">IF($A746="","",物件マスタ!P746)</f>
        <v>0</v>
      </c>
      <c r="G746" s="1" t="str">
        <f aca="false">IF($A746="","",物件マスタ!Q746)</f>
        <v/>
      </c>
      <c r="H746" s="1" t="n">
        <f aca="false">IF($A746="","",物件マスタ!L746)</f>
        <v>0</v>
      </c>
      <c r="I746" s="1" t="n">
        <f aca="false">IF($A746="","",物件マスタ!M746)</f>
        <v>1173.55</v>
      </c>
      <c r="J746" s="1" t="n">
        <f aca="false">IF($A746="","",物件マスタ!S746)</f>
        <v>2479</v>
      </c>
      <c r="K746" s="1" t="n">
        <f aca="false">IF($A746="","",物件マスタ!U746)</f>
        <v>2310</v>
      </c>
      <c r="L746" s="1" t="n">
        <f aca="false">IF($A746="","",物件マスタ!W746)</f>
        <v>1</v>
      </c>
      <c r="M746" s="1" t="str">
        <f aca="false">IF($A746="","",IFERROR(INDEX(法人マスタ!$H:$H,MATCH($B746,法人マスタ!$A:$A,0)),""))</f>
        <v>2026年4月期（第42期）</v>
      </c>
      <c r="N746" s="1" t="n">
        <f aca="false">IF($A746="","",SUMIFS(物件収支!$D:$D,物件収支!$A:$A,$A746,物件収支!$C:$C,$M746))</f>
        <v>6</v>
      </c>
      <c r="O746" s="1" t="n">
        <f aca="false">IF($A746="","",SUMIFS(物件収支!$F:$F,物件収支!$A:$A,$A746,物件収支!$C:$C,$M746))</f>
        <v>70000</v>
      </c>
      <c r="P746" s="1" t="n">
        <f aca="false">IF($A746="","",SUMIFS(物件収支!$I:$I,物件収支!$A:$A,$A746,物件収支!$C:$C,$M746))</f>
        <v>0</v>
      </c>
      <c r="Q746" s="1" t="n">
        <f aca="false">IF($A746="","",SUMIFS(物件収支!$O:$O,物件収支!$A:$A,$A746,物件収支!$C:$C,$M746))</f>
        <v>0</v>
      </c>
      <c r="R746" s="1" t="str">
        <f aca="false">IF($A746="","",IF(P746=0,"",O746-P746))</f>
        <v/>
      </c>
      <c r="S746" s="1" t="str">
        <f aca="false">IF($A746="","",IF(R746="","",R746+Q746))</f>
        <v/>
      </c>
      <c r="T746" s="1" t="str">
        <f aca="false">IF($A746="","",IF(OR(S746="",N746&lt;=0),"",S746/1000*12/N746))</f>
        <v/>
      </c>
      <c r="U746" s="1" t="str">
        <f aca="false">IF($A746="","",IF(OR(T746="",J746=0,J746=""),"",T746/J746))</f>
        <v/>
      </c>
      <c r="V746" s="1" t="str">
        <f aca="false">IF($A746="","",IF(OR(R746="",N746&lt;=0,J746=0,J746=""),"",(R746/1000*12/N746)/J746))</f>
        <v/>
      </c>
      <c r="W746" s="1" t="str">
        <f aca="false">IF($A746="","",IF(OR(T746="",K746=0,K746=""),"",T746/K746))</f>
        <v/>
      </c>
      <c r="X746" s="1" t="n">
        <f aca="false">IF($A746="","",IF(OR(N746&lt;=0,I746=0,I746="",O746=0),"",O746*1000/(I746*0.3025)/N746))</f>
        <v>32863.953911591</v>
      </c>
      <c r="Y746" s="1" t="str">
        <f aca="false">IF($A746="","",IF(OR(O746=0,O746="",P746=0),"",P746/O746))</f>
        <v/>
      </c>
      <c r="Z746" s="1" t="str">
        <f aca="false">IF($A746="","",IFERROR(INDEX(物件収支!$E:$E,MATCH($A746,物件収支!$A:$A,0)),""))</f>
        <v>開示（物件別・収益のみ・百万円単位）</v>
      </c>
    </row>
    <row r="747" customFormat="false" ht="15" hidden="false" customHeight="true" outlineLevel="0" collapsed="false">
      <c r="A747" s="1" t="str">
        <f aca="false">IF(物件マスタ!A747="","",物件マスタ!A747)</f>
        <v>KDX-007</v>
      </c>
      <c r="B747" s="1" t="str">
        <f aca="false">IF($A747="","",物件マスタ!B747)</f>
        <v>KDX</v>
      </c>
      <c r="C747" s="1" t="str">
        <f aca="false">IF($A747="","",IFERROR(INDEX(法人マスタ!$C:$C,MATCH($B747,法人マスタ!$A:$A,0)),""))</f>
        <v>ＫＤＸ不動産投資法人</v>
      </c>
      <c r="D747" s="1" t="str">
        <f aca="false">IF($A747="","",物件マスタ!C747)</f>
        <v>KDX麹町ビル</v>
      </c>
      <c r="E747" s="1" t="str">
        <f aca="false">IF($A747="","",物件マスタ!H747)</f>
        <v>東京経済圏（KDX区分）</v>
      </c>
      <c r="F747" s="1" t="n">
        <f aca="false">IF($A747="","",物件マスタ!P747)</f>
        <v>0</v>
      </c>
      <c r="G747" s="1" t="str">
        <f aca="false">IF($A747="","",物件マスタ!Q747)</f>
        <v/>
      </c>
      <c r="H747" s="1" t="n">
        <f aca="false">IF($A747="","",物件マスタ!L747)</f>
        <v>0</v>
      </c>
      <c r="I747" s="1" t="n">
        <f aca="false">IF($A747="","",物件マスタ!M747)</f>
        <v>3719.37</v>
      </c>
      <c r="J747" s="1" t="n">
        <f aca="false">IF($A747="","",物件マスタ!S747)</f>
        <v>5950</v>
      </c>
      <c r="K747" s="1" t="n">
        <f aca="false">IF($A747="","",物件マスタ!U747)</f>
        <v>5360</v>
      </c>
      <c r="L747" s="1" t="n">
        <f aca="false">IF($A747="","",物件マスタ!W747)</f>
        <v>1</v>
      </c>
      <c r="M747" s="1" t="str">
        <f aca="false">IF($A747="","",IFERROR(INDEX(法人マスタ!$H:$H,MATCH($B747,法人マスタ!$A:$A,0)),""))</f>
        <v>2026年4月期（第42期）</v>
      </c>
      <c r="N747" s="1" t="n">
        <f aca="false">IF($A747="","",SUMIFS(物件収支!$D:$D,物件収支!$A:$A,$A747,物件収支!$C:$C,$M747))</f>
        <v>6</v>
      </c>
      <c r="O747" s="1" t="n">
        <f aca="false">IF($A747="","",SUMIFS(物件収支!$F:$F,物件収支!$A:$A,$A747,物件収支!$C:$C,$M747))</f>
        <v>146000</v>
      </c>
      <c r="P747" s="1" t="n">
        <f aca="false">IF($A747="","",SUMIFS(物件収支!$I:$I,物件収支!$A:$A,$A747,物件収支!$C:$C,$M747))</f>
        <v>0</v>
      </c>
      <c r="Q747" s="1" t="n">
        <f aca="false">IF($A747="","",SUMIFS(物件収支!$O:$O,物件収支!$A:$A,$A747,物件収支!$C:$C,$M747))</f>
        <v>0</v>
      </c>
      <c r="R747" s="1" t="str">
        <f aca="false">IF($A747="","",IF(P747=0,"",O747-P747))</f>
        <v/>
      </c>
      <c r="S747" s="1" t="str">
        <f aca="false">IF($A747="","",IF(R747="","",R747+Q747))</f>
        <v/>
      </c>
      <c r="T747" s="1" t="str">
        <f aca="false">IF($A747="","",IF(OR(S747="",N747&lt;=0),"",S747/1000*12/N747))</f>
        <v/>
      </c>
      <c r="U747" s="1" t="str">
        <f aca="false">IF($A747="","",IF(OR(T747="",J747=0,J747=""),"",T747/J747))</f>
        <v/>
      </c>
      <c r="V747" s="1" t="str">
        <f aca="false">IF($A747="","",IF(OR(R747="",N747&lt;=0,J747=0,J747=""),"",(R747/1000*12/N747)/J747))</f>
        <v/>
      </c>
      <c r="W747" s="1" t="str">
        <f aca="false">IF($A747="","",IF(OR(T747="",K747=0,K747=""),"",T747/K747))</f>
        <v/>
      </c>
      <c r="X747" s="1" t="n">
        <f aca="false">IF($A747="","",IF(OR(N747&lt;=0,I747=0,I747="",O747=0),"",O747*1000/(I747*0.3025)/N747))</f>
        <v>21627.5259922681</v>
      </c>
      <c r="Y747" s="1" t="str">
        <f aca="false">IF($A747="","",IF(OR(O747=0,O747="",P747=0),"",P747/O747))</f>
        <v/>
      </c>
      <c r="Z747" s="1" t="str">
        <f aca="false">IF($A747="","",IFERROR(INDEX(物件収支!$E:$E,MATCH($A747,物件収支!$A:$A,0)),""))</f>
        <v>開示（物件別・収益のみ・百万円単位）</v>
      </c>
    </row>
    <row r="748" customFormat="false" ht="15" hidden="false" customHeight="true" outlineLevel="0" collapsed="false">
      <c r="A748" s="1" t="str">
        <f aca="false">IF(物件マスタ!A748="","",物件マスタ!A748)</f>
        <v>KDX-008</v>
      </c>
      <c r="B748" s="1" t="str">
        <f aca="false">IF($A748="","",物件マスタ!B748)</f>
        <v>KDX</v>
      </c>
      <c r="C748" s="1" t="str">
        <f aca="false">IF($A748="","",IFERROR(INDEX(法人マスタ!$C:$C,MATCH($B748,法人マスタ!$A:$A,0)),""))</f>
        <v>ＫＤＸ不動産投資法人</v>
      </c>
      <c r="D748" s="1" t="str">
        <f aca="false">IF($A748="","",物件マスタ!C748)</f>
        <v>KDX船橋ビル</v>
      </c>
      <c r="E748" s="1" t="str">
        <f aca="false">IF($A748="","",物件マスタ!H748)</f>
        <v>東京経済圏（KDX区分）</v>
      </c>
      <c r="F748" s="1" t="n">
        <f aca="false">IF($A748="","",物件マスタ!P748)</f>
        <v>0</v>
      </c>
      <c r="G748" s="1" t="str">
        <f aca="false">IF($A748="","",物件マスタ!Q748)</f>
        <v/>
      </c>
      <c r="H748" s="1" t="n">
        <f aca="false">IF($A748="","",物件マスタ!L748)</f>
        <v>0</v>
      </c>
      <c r="I748" s="1" t="n">
        <f aca="false">IF($A748="","",物件マスタ!M748)</f>
        <v>3845.9</v>
      </c>
      <c r="J748" s="1" t="n">
        <f aca="false">IF($A748="","",物件マスタ!S748)</f>
        <v>2252</v>
      </c>
      <c r="K748" s="1" t="n">
        <f aca="false">IF($A748="","",物件マスタ!U748)</f>
        <v>3460</v>
      </c>
      <c r="L748" s="1" t="n">
        <f aca="false">IF($A748="","",物件マスタ!W748)</f>
        <v>1</v>
      </c>
      <c r="M748" s="1" t="str">
        <f aca="false">IF($A748="","",IFERROR(INDEX(法人マスタ!$H:$H,MATCH($B748,法人マスタ!$A:$A,0)),""))</f>
        <v>2026年4月期（第42期）</v>
      </c>
      <c r="N748" s="1" t="n">
        <f aca="false">IF($A748="","",SUMIFS(物件収支!$D:$D,物件収支!$A:$A,$A748,物件収支!$C:$C,$M748))</f>
        <v>6</v>
      </c>
      <c r="O748" s="1" t="n">
        <f aca="false">IF($A748="","",SUMIFS(物件収支!$F:$F,物件収支!$A:$A,$A748,物件収支!$C:$C,$M748))</f>
        <v>125000</v>
      </c>
      <c r="P748" s="1" t="n">
        <f aca="false">IF($A748="","",SUMIFS(物件収支!$I:$I,物件収支!$A:$A,$A748,物件収支!$C:$C,$M748))</f>
        <v>0</v>
      </c>
      <c r="Q748" s="1" t="n">
        <f aca="false">IF($A748="","",SUMIFS(物件収支!$O:$O,物件収支!$A:$A,$A748,物件収支!$C:$C,$M748))</f>
        <v>0</v>
      </c>
      <c r="R748" s="1" t="str">
        <f aca="false">IF($A748="","",IF(P748=0,"",O748-P748))</f>
        <v/>
      </c>
      <c r="S748" s="1" t="str">
        <f aca="false">IF($A748="","",IF(R748="","",R748+Q748))</f>
        <v/>
      </c>
      <c r="T748" s="1" t="str">
        <f aca="false">IF($A748="","",IF(OR(S748="",N748&lt;=0),"",S748/1000*12/N748))</f>
        <v/>
      </c>
      <c r="U748" s="1" t="str">
        <f aca="false">IF($A748="","",IF(OR(T748="",J748=0,J748=""),"",T748/J748))</f>
        <v/>
      </c>
      <c r="V748" s="1" t="str">
        <f aca="false">IF($A748="","",IF(OR(R748="",N748&lt;=0,J748=0,J748=""),"",(R748/1000*12/N748)/J748))</f>
        <v/>
      </c>
      <c r="W748" s="1" t="str">
        <f aca="false">IF($A748="","",IF(OR(T748="",K748=0,K748=""),"",T748/K748))</f>
        <v/>
      </c>
      <c r="X748" s="1" t="n">
        <f aca="false">IF($A748="","",IF(OR(N748&lt;=0,I748=0,I748="",O748=0),"",O748*1000/(I748*0.3025)/N748))</f>
        <v>17907.5179843412</v>
      </c>
      <c r="Y748" s="1" t="str">
        <f aca="false">IF($A748="","",IF(OR(O748=0,O748="",P748=0),"",P748/O748))</f>
        <v/>
      </c>
      <c r="Z748" s="1" t="str">
        <f aca="false">IF($A748="","",IFERROR(INDEX(物件収支!$E:$E,MATCH($A748,物件収支!$A:$A,0)),""))</f>
        <v>開示（物件別・収益のみ・百万円単位）</v>
      </c>
    </row>
    <row r="749" customFormat="false" ht="15" hidden="false" customHeight="true" outlineLevel="0" collapsed="false">
      <c r="A749" s="1" t="str">
        <f aca="false">IF(物件マスタ!A749="","",物件マスタ!A749)</f>
        <v>KDX-009</v>
      </c>
      <c r="B749" s="1" t="str">
        <f aca="false">IF($A749="","",物件マスタ!B749)</f>
        <v>KDX</v>
      </c>
      <c r="C749" s="1" t="str">
        <f aca="false">IF($A749="","",IFERROR(INDEX(法人マスタ!$C:$C,MATCH($B749,法人マスタ!$A:$A,0)),""))</f>
        <v>ＫＤＸ不動産投資法人</v>
      </c>
      <c r="D749" s="1" t="str">
        <f aca="false">IF($A749="","",物件マスタ!C749)</f>
        <v>KDX横浜リバーサイド</v>
      </c>
      <c r="E749" s="1" t="str">
        <f aca="false">IF($A749="","",物件マスタ!H749)</f>
        <v>東京経済圏（KDX区分）</v>
      </c>
      <c r="F749" s="1" t="n">
        <f aca="false">IF($A749="","",物件マスタ!P749)</f>
        <v>0</v>
      </c>
      <c r="G749" s="1" t="str">
        <f aca="false">IF($A749="","",物件マスタ!Q749)</f>
        <v/>
      </c>
      <c r="H749" s="1" t="n">
        <f aca="false">IF($A749="","",物件マスタ!L749)</f>
        <v>0</v>
      </c>
      <c r="I749" s="1" t="n">
        <f aca="false">IF($A749="","",物件マスタ!M749)</f>
        <v>6616.68</v>
      </c>
      <c r="J749" s="1" t="n">
        <f aca="false">IF($A749="","",物件マスタ!S749)</f>
        <v>5300</v>
      </c>
      <c r="K749" s="1" t="n">
        <f aca="false">IF($A749="","",物件マスタ!U749)</f>
        <v>5900</v>
      </c>
      <c r="L749" s="1" t="n">
        <f aca="false">IF($A749="","",物件マスタ!W749)</f>
        <v>1</v>
      </c>
      <c r="M749" s="1" t="str">
        <f aca="false">IF($A749="","",IFERROR(INDEX(法人マスタ!$H:$H,MATCH($B749,法人マスタ!$A:$A,0)),""))</f>
        <v>2026年4月期（第42期）</v>
      </c>
      <c r="N749" s="1" t="n">
        <f aca="false">IF($A749="","",SUMIFS(物件収支!$D:$D,物件収支!$A:$A,$A749,物件収支!$C:$C,$M749))</f>
        <v>6</v>
      </c>
      <c r="O749" s="1" t="n">
        <f aca="false">IF($A749="","",SUMIFS(物件収支!$F:$F,物件収支!$A:$A,$A749,物件収支!$C:$C,$M749))</f>
        <v>187000</v>
      </c>
      <c r="P749" s="1" t="n">
        <f aca="false">IF($A749="","",SUMIFS(物件収支!$I:$I,物件収支!$A:$A,$A749,物件収支!$C:$C,$M749))</f>
        <v>0</v>
      </c>
      <c r="Q749" s="1" t="n">
        <f aca="false">IF($A749="","",SUMIFS(物件収支!$O:$O,物件収支!$A:$A,$A749,物件収支!$C:$C,$M749))</f>
        <v>0</v>
      </c>
      <c r="R749" s="1" t="str">
        <f aca="false">IF($A749="","",IF(P749=0,"",O749-P749))</f>
        <v/>
      </c>
      <c r="S749" s="1" t="str">
        <f aca="false">IF($A749="","",IF(R749="","",R749+Q749))</f>
        <v/>
      </c>
      <c r="T749" s="1" t="str">
        <f aca="false">IF($A749="","",IF(OR(S749="",N749&lt;=0),"",S749/1000*12/N749))</f>
        <v/>
      </c>
      <c r="U749" s="1" t="str">
        <f aca="false">IF($A749="","",IF(OR(T749="",J749=0,J749=""),"",T749/J749))</f>
        <v/>
      </c>
      <c r="V749" s="1" t="str">
        <f aca="false">IF($A749="","",IF(OR(R749="",N749&lt;=0,J749=0,J749=""),"",(R749/1000*12/N749)/J749))</f>
        <v/>
      </c>
      <c r="W749" s="1" t="str">
        <f aca="false">IF($A749="","",IF(OR(T749="",K749=0,K749=""),"",T749/K749))</f>
        <v/>
      </c>
      <c r="X749" s="1" t="n">
        <f aca="false">IF($A749="","",IF(OR(N749&lt;=0,I749=0,I749="",O749=0),"",O749*1000/(I749*0.3025)/N749))</f>
        <v>15571.2990548588</v>
      </c>
      <c r="Y749" s="1" t="str">
        <f aca="false">IF($A749="","",IF(OR(O749=0,O749="",P749=0),"",P749/O749))</f>
        <v/>
      </c>
      <c r="Z749" s="1" t="str">
        <f aca="false">IF($A749="","",IFERROR(INDEX(物件収支!$E:$E,MATCH($A749,物件収支!$A:$A,0)),""))</f>
        <v>開示（物件別・収益のみ・百万円単位）</v>
      </c>
    </row>
    <row r="750" customFormat="false" ht="15" hidden="false" customHeight="true" outlineLevel="0" collapsed="false">
      <c r="A750" s="1" t="str">
        <f aca="false">IF(物件マスタ!A750="","",物件マスタ!A750)</f>
        <v>KDX-010</v>
      </c>
      <c r="B750" s="1" t="str">
        <f aca="false">IF($A750="","",物件マスタ!B750)</f>
        <v>KDX</v>
      </c>
      <c r="C750" s="1" t="str">
        <f aca="false">IF($A750="","",IFERROR(INDEX(法人マスタ!$C:$C,MATCH($B750,法人マスタ!$A:$A,0)),""))</f>
        <v>ＫＤＸ不動産投資法人</v>
      </c>
      <c r="D750" s="1" t="str">
        <f aca="false">IF($A750="","",物件マスタ!C750)</f>
        <v>KDX恵比寿ビル</v>
      </c>
      <c r="E750" s="1" t="str">
        <f aca="false">IF($A750="","",物件マスタ!H750)</f>
        <v>東京経済圏（KDX区分）</v>
      </c>
      <c r="F750" s="1" t="n">
        <f aca="false">IF($A750="","",物件マスタ!P750)</f>
        <v>0</v>
      </c>
      <c r="G750" s="1" t="str">
        <f aca="false">IF($A750="","",物件マスタ!Q750)</f>
        <v/>
      </c>
      <c r="H750" s="1" t="n">
        <f aca="false">IF($A750="","",物件マスタ!L750)</f>
        <v>0</v>
      </c>
      <c r="I750" s="1" t="n">
        <f aca="false">IF($A750="","",物件マスタ!M750)</f>
        <v>3072.34</v>
      </c>
      <c r="J750" s="1" t="n">
        <f aca="false">IF($A750="","",物件マスタ!S750)</f>
        <v>4640</v>
      </c>
      <c r="K750" s="1" t="n">
        <f aca="false">IF($A750="","",物件マスタ!U750)</f>
        <v>6060</v>
      </c>
      <c r="L750" s="1" t="n">
        <f aca="false">IF($A750="","",物件マスタ!W750)</f>
        <v>1</v>
      </c>
      <c r="M750" s="1" t="str">
        <f aca="false">IF($A750="","",IFERROR(INDEX(法人マスタ!$H:$H,MATCH($B750,法人マスタ!$A:$A,0)),""))</f>
        <v>2026年4月期（第42期）</v>
      </c>
      <c r="N750" s="1" t="n">
        <f aca="false">IF($A750="","",SUMIFS(物件収支!$D:$D,物件収支!$A:$A,$A750,物件収支!$C:$C,$M750))</f>
        <v>6</v>
      </c>
      <c r="O750" s="1" t="n">
        <f aca="false">IF($A750="","",SUMIFS(物件収支!$F:$F,物件収支!$A:$A,$A750,物件収支!$C:$C,$M750))</f>
        <v>156000</v>
      </c>
      <c r="P750" s="1" t="n">
        <f aca="false">IF($A750="","",SUMIFS(物件収支!$I:$I,物件収支!$A:$A,$A750,物件収支!$C:$C,$M750))</f>
        <v>0</v>
      </c>
      <c r="Q750" s="1" t="n">
        <f aca="false">IF($A750="","",SUMIFS(物件収支!$O:$O,物件収支!$A:$A,$A750,物件収支!$C:$C,$M750))</f>
        <v>0</v>
      </c>
      <c r="R750" s="1" t="str">
        <f aca="false">IF($A750="","",IF(P750=0,"",O750-P750))</f>
        <v/>
      </c>
      <c r="S750" s="1" t="str">
        <f aca="false">IF($A750="","",IF(R750="","",R750+Q750))</f>
        <v/>
      </c>
      <c r="T750" s="1" t="str">
        <f aca="false">IF($A750="","",IF(OR(S750="",N750&lt;=0),"",S750/1000*12/N750))</f>
        <v/>
      </c>
      <c r="U750" s="1" t="str">
        <f aca="false">IF($A750="","",IF(OR(T750="",J750=0,J750=""),"",T750/J750))</f>
        <v/>
      </c>
      <c r="V750" s="1" t="str">
        <f aca="false">IF($A750="","",IF(OR(R750="",N750&lt;=0,J750=0,J750=""),"",(R750/1000*12/N750)/J750))</f>
        <v/>
      </c>
      <c r="W750" s="1" t="str">
        <f aca="false">IF($A750="","",IF(OR(T750="",K750=0,K750=""),"",T750/K750))</f>
        <v/>
      </c>
      <c r="X750" s="1" t="n">
        <f aca="false">IF($A750="","",IF(OR(N750&lt;=0,I750=0,I750="",O750=0),"",O750*1000/(I750*0.3025)/N750))</f>
        <v>27975.5538850324</v>
      </c>
      <c r="Y750" s="1" t="str">
        <f aca="false">IF($A750="","",IF(OR(O750=0,O750="",P750=0),"",P750/O750))</f>
        <v/>
      </c>
      <c r="Z750" s="1" t="str">
        <f aca="false">IF($A750="","",IFERROR(INDEX(物件収支!$E:$E,MATCH($A750,物件収支!$A:$A,0)),""))</f>
        <v>開示（物件別・収益のみ・百万円単位）</v>
      </c>
    </row>
    <row r="751" customFormat="false" ht="15" hidden="false" customHeight="true" outlineLevel="0" collapsed="false">
      <c r="A751" s="1" t="str">
        <f aca="false">IF(物件マスタ!A751="","",物件マスタ!A751)</f>
        <v>KDX-011</v>
      </c>
      <c r="B751" s="1" t="str">
        <f aca="false">IF($A751="","",物件マスタ!B751)</f>
        <v>KDX</v>
      </c>
      <c r="C751" s="1" t="str">
        <f aca="false">IF($A751="","",IFERROR(INDEX(法人マスタ!$C:$C,MATCH($B751,法人マスタ!$A:$A,0)),""))</f>
        <v>ＫＤＸ不動産投資法人</v>
      </c>
      <c r="D751" s="1" t="str">
        <f aca="false">IF($A751="","",物件マスタ!C751)</f>
        <v>KDX新橋ビル</v>
      </c>
      <c r="E751" s="1" t="str">
        <f aca="false">IF($A751="","",物件マスタ!H751)</f>
        <v>東京経済圏（KDX区分）</v>
      </c>
      <c r="F751" s="1" t="n">
        <f aca="false">IF($A751="","",物件マスタ!P751)</f>
        <v>0</v>
      </c>
      <c r="G751" s="1" t="str">
        <f aca="false">IF($A751="","",物件マスタ!Q751)</f>
        <v/>
      </c>
      <c r="H751" s="1" t="n">
        <f aca="false">IF($A751="","",物件マスタ!L751)</f>
        <v>0</v>
      </c>
      <c r="I751" s="1" t="n">
        <f aca="false">IF($A751="","",物件マスタ!M751)</f>
        <v>2803.96</v>
      </c>
      <c r="J751" s="1" t="n">
        <f aca="false">IF($A751="","",物件マスタ!S751)</f>
        <v>3728</v>
      </c>
      <c r="K751" s="1" t="n">
        <f aca="false">IF($A751="","",物件マスタ!U751)</f>
        <v>5570</v>
      </c>
      <c r="L751" s="1" t="n">
        <f aca="false">IF($A751="","",物件マスタ!W751)</f>
        <v>1</v>
      </c>
      <c r="M751" s="1" t="str">
        <f aca="false">IF($A751="","",IFERROR(INDEX(法人マスタ!$H:$H,MATCH($B751,法人マスタ!$A:$A,0)),""))</f>
        <v>2026年4月期（第42期）</v>
      </c>
      <c r="N751" s="1" t="n">
        <f aca="false">IF($A751="","",SUMIFS(物件収支!$D:$D,物件収支!$A:$A,$A751,物件収支!$C:$C,$M751))</f>
        <v>6</v>
      </c>
      <c r="O751" s="1" t="n">
        <f aca="false">IF($A751="","",SUMIFS(物件収支!$F:$F,物件収支!$A:$A,$A751,物件収支!$C:$C,$M751))</f>
        <v>135000</v>
      </c>
      <c r="P751" s="1" t="n">
        <f aca="false">IF($A751="","",SUMIFS(物件収支!$I:$I,物件収支!$A:$A,$A751,物件収支!$C:$C,$M751))</f>
        <v>0</v>
      </c>
      <c r="Q751" s="1" t="n">
        <f aca="false">IF($A751="","",SUMIFS(物件収支!$O:$O,物件収支!$A:$A,$A751,物件収支!$C:$C,$M751))</f>
        <v>0</v>
      </c>
      <c r="R751" s="1" t="str">
        <f aca="false">IF($A751="","",IF(P751=0,"",O751-P751))</f>
        <v/>
      </c>
      <c r="S751" s="1" t="str">
        <f aca="false">IF($A751="","",IF(R751="","",R751+Q751))</f>
        <v/>
      </c>
      <c r="T751" s="1" t="str">
        <f aca="false">IF($A751="","",IF(OR(S751="",N751&lt;=0),"",S751/1000*12/N751))</f>
        <v/>
      </c>
      <c r="U751" s="1" t="str">
        <f aca="false">IF($A751="","",IF(OR(T751="",J751=0,J751=""),"",T751/J751))</f>
        <v/>
      </c>
      <c r="V751" s="1" t="str">
        <f aca="false">IF($A751="","",IF(OR(R751="",N751&lt;=0,J751=0,J751=""),"",(R751/1000*12/N751)/J751))</f>
        <v/>
      </c>
      <c r="W751" s="1" t="str">
        <f aca="false">IF($A751="","",IF(OR(T751="",K751=0,K751=""),"",T751/K751))</f>
        <v/>
      </c>
      <c r="X751" s="1" t="n">
        <f aca="false">IF($A751="","",IF(OR(N751&lt;=0,I751=0,I751="",O751=0),"",O751*1000/(I751*0.3025)/N751))</f>
        <v>26526.8282319492</v>
      </c>
      <c r="Y751" s="1" t="str">
        <f aca="false">IF($A751="","",IF(OR(O751=0,O751="",P751=0),"",P751/O751))</f>
        <v/>
      </c>
      <c r="Z751" s="1" t="str">
        <f aca="false">IF($A751="","",IFERROR(INDEX(物件収支!$E:$E,MATCH($A751,物件収支!$A:$A,0)),""))</f>
        <v>開示（物件別・収益のみ・百万円単位）</v>
      </c>
    </row>
    <row r="752" customFormat="false" ht="15" hidden="false" customHeight="true" outlineLevel="0" collapsed="false">
      <c r="A752" s="1" t="str">
        <f aca="false">IF(物件マスタ!A752="","",物件マスタ!A752)</f>
        <v>KDX-012</v>
      </c>
      <c r="B752" s="1" t="str">
        <f aca="false">IF($A752="","",物件マスタ!B752)</f>
        <v>KDX</v>
      </c>
      <c r="C752" s="1" t="str">
        <f aca="false">IF($A752="","",IFERROR(INDEX(法人マスタ!$C:$C,MATCH($B752,法人マスタ!$A:$A,0)),""))</f>
        <v>ＫＤＸ不動産投資法人</v>
      </c>
      <c r="D752" s="1" t="str">
        <f aca="false">IF($A752="","",物件マスタ!C752)</f>
        <v>KDX浜松町ビル</v>
      </c>
      <c r="E752" s="1" t="str">
        <f aca="false">IF($A752="","",物件マスタ!H752)</f>
        <v>東京経済圏（KDX区分）</v>
      </c>
      <c r="F752" s="1" t="n">
        <f aca="false">IF($A752="","",物件マスタ!P752)</f>
        <v>0</v>
      </c>
      <c r="G752" s="1" t="str">
        <f aca="false">IF($A752="","",物件マスタ!Q752)</f>
        <v/>
      </c>
      <c r="H752" s="1" t="n">
        <f aca="false">IF($A752="","",物件マスタ!L752)</f>
        <v>0</v>
      </c>
      <c r="I752" s="1" t="n">
        <f aca="false">IF($A752="","",物件マスタ!M752)</f>
        <v>2724.35</v>
      </c>
      <c r="J752" s="1" t="n">
        <f aca="false">IF($A752="","",物件マスタ!S752)</f>
        <v>3460</v>
      </c>
      <c r="K752" s="1" t="n">
        <f aca="false">IF($A752="","",物件マスタ!U752)</f>
        <v>3470</v>
      </c>
      <c r="L752" s="1" t="n">
        <f aca="false">IF($A752="","",物件マスタ!W752)</f>
        <v>1</v>
      </c>
      <c r="M752" s="1" t="str">
        <f aca="false">IF($A752="","",IFERROR(INDEX(法人マスタ!$H:$H,MATCH($B752,法人マスタ!$A:$A,0)),""))</f>
        <v>2026年4月期（第42期）</v>
      </c>
      <c r="N752" s="1" t="n">
        <f aca="false">IF($A752="","",SUMIFS(物件収支!$D:$D,物件収支!$A:$A,$A752,物件収支!$C:$C,$M752))</f>
        <v>6</v>
      </c>
      <c r="O752" s="1" t="n">
        <f aca="false">IF($A752="","",SUMIFS(物件収支!$F:$F,物件収支!$A:$A,$A752,物件収支!$C:$C,$M752))</f>
        <v>93000</v>
      </c>
      <c r="P752" s="1" t="n">
        <f aca="false">IF($A752="","",SUMIFS(物件収支!$I:$I,物件収支!$A:$A,$A752,物件収支!$C:$C,$M752))</f>
        <v>0</v>
      </c>
      <c r="Q752" s="1" t="n">
        <f aca="false">IF($A752="","",SUMIFS(物件収支!$O:$O,物件収支!$A:$A,$A752,物件収支!$C:$C,$M752))</f>
        <v>0</v>
      </c>
      <c r="R752" s="1" t="str">
        <f aca="false">IF($A752="","",IF(P752=0,"",O752-P752))</f>
        <v/>
      </c>
      <c r="S752" s="1" t="str">
        <f aca="false">IF($A752="","",IF(R752="","",R752+Q752))</f>
        <v/>
      </c>
      <c r="T752" s="1" t="str">
        <f aca="false">IF($A752="","",IF(OR(S752="",N752&lt;=0),"",S752/1000*12/N752))</f>
        <v/>
      </c>
      <c r="U752" s="1" t="str">
        <f aca="false">IF($A752="","",IF(OR(T752="",J752=0,J752=""),"",T752/J752))</f>
        <v/>
      </c>
      <c r="V752" s="1" t="str">
        <f aca="false">IF($A752="","",IF(OR(R752="",N752&lt;=0,J752=0,J752=""),"",(R752/1000*12/N752)/J752))</f>
        <v/>
      </c>
      <c r="W752" s="1" t="str">
        <f aca="false">IF($A752="","",IF(OR(T752="",K752=0,K752=""),"",T752/K752))</f>
        <v/>
      </c>
      <c r="X752" s="1" t="n">
        <f aca="false">IF($A752="","",IF(OR(N752&lt;=0,I752=0,I752="",O752=0),"",O752*1000/(I752*0.3025)/N752))</f>
        <v>18808.0347317663</v>
      </c>
      <c r="Y752" s="1" t="str">
        <f aca="false">IF($A752="","",IF(OR(O752=0,O752="",P752=0),"",P752/O752))</f>
        <v/>
      </c>
      <c r="Z752" s="1" t="str">
        <f aca="false">IF($A752="","",IFERROR(INDEX(物件収支!$E:$E,MATCH($A752,物件収支!$A:$A,0)),""))</f>
        <v>開示（物件別・収益のみ・百万円単位）</v>
      </c>
    </row>
    <row r="753" customFormat="false" ht="15" hidden="false" customHeight="true" outlineLevel="0" collapsed="false">
      <c r="A753" s="1" t="str">
        <f aca="false">IF(物件マスタ!A753="","",物件マスタ!A753)</f>
        <v>KDX-013</v>
      </c>
      <c r="B753" s="1" t="str">
        <f aca="false">IF($A753="","",物件マスタ!B753)</f>
        <v>KDX</v>
      </c>
      <c r="C753" s="1" t="str">
        <f aca="false">IF($A753="","",IFERROR(INDEX(法人マスタ!$C:$C,MATCH($B753,法人マスタ!$A:$A,0)),""))</f>
        <v>ＫＤＸ不動産投資法人</v>
      </c>
      <c r="D753" s="1" t="str">
        <f aca="false">IF($A753="","",物件マスタ!C753)</f>
        <v>KDX茅場町ビル</v>
      </c>
      <c r="E753" s="1" t="str">
        <f aca="false">IF($A753="","",物件マスタ!H753)</f>
        <v>東京経済圏（KDX区分）</v>
      </c>
      <c r="F753" s="1" t="n">
        <f aca="false">IF($A753="","",物件マスタ!P753)</f>
        <v>0</v>
      </c>
      <c r="G753" s="1" t="str">
        <f aca="false">IF($A753="","",物件マスタ!Q753)</f>
        <v/>
      </c>
      <c r="H753" s="1" t="n">
        <f aca="false">IF($A753="","",物件マスタ!L753)</f>
        <v>0</v>
      </c>
      <c r="I753" s="1" t="n">
        <f aca="false">IF($A753="","",物件マスタ!M753)</f>
        <v>3019.94</v>
      </c>
      <c r="J753" s="1" t="n">
        <f aca="false">IF($A753="","",物件マスタ!S753)</f>
        <v>2780</v>
      </c>
      <c r="K753" s="1" t="n">
        <f aca="false">IF($A753="","",物件マスタ!U753)</f>
        <v>3110</v>
      </c>
      <c r="L753" s="1" t="n">
        <f aca="false">IF($A753="","",物件マスタ!W753)</f>
        <v>1</v>
      </c>
      <c r="M753" s="1" t="str">
        <f aca="false">IF($A753="","",IFERROR(INDEX(法人マスタ!$H:$H,MATCH($B753,法人マスタ!$A:$A,0)),""))</f>
        <v>2026年4月期（第42期）</v>
      </c>
      <c r="N753" s="1" t="n">
        <f aca="false">IF($A753="","",SUMIFS(物件収支!$D:$D,物件収支!$A:$A,$A753,物件収支!$C:$C,$M753))</f>
        <v>6</v>
      </c>
      <c r="O753" s="1" t="n">
        <f aca="false">IF($A753="","",SUMIFS(物件収支!$F:$F,物件収支!$A:$A,$A753,物件収支!$C:$C,$M753))</f>
        <v>99000</v>
      </c>
      <c r="P753" s="1" t="n">
        <f aca="false">IF($A753="","",SUMIFS(物件収支!$I:$I,物件収支!$A:$A,$A753,物件収支!$C:$C,$M753))</f>
        <v>0</v>
      </c>
      <c r="Q753" s="1" t="n">
        <f aca="false">IF($A753="","",SUMIFS(物件収支!$O:$O,物件収支!$A:$A,$A753,物件収支!$C:$C,$M753))</f>
        <v>0</v>
      </c>
      <c r="R753" s="1" t="str">
        <f aca="false">IF($A753="","",IF(P753=0,"",O753-P753))</f>
        <v/>
      </c>
      <c r="S753" s="1" t="str">
        <f aca="false">IF($A753="","",IF(R753="","",R753+Q753))</f>
        <v/>
      </c>
      <c r="T753" s="1" t="str">
        <f aca="false">IF($A753="","",IF(OR(S753="",N753&lt;=0),"",S753/1000*12/N753))</f>
        <v/>
      </c>
      <c r="U753" s="1" t="str">
        <f aca="false">IF($A753="","",IF(OR(T753="",J753=0,J753=""),"",T753/J753))</f>
        <v/>
      </c>
      <c r="V753" s="1" t="str">
        <f aca="false">IF($A753="","",IF(OR(R753="",N753&lt;=0,J753=0,J753=""),"",(R753/1000*12/N753)/J753))</f>
        <v/>
      </c>
      <c r="W753" s="1" t="str">
        <f aca="false">IF($A753="","",IF(OR(T753="",K753=0,K753=""),"",T753/K753))</f>
        <v/>
      </c>
      <c r="X753" s="1" t="n">
        <f aca="false">IF($A753="","",IF(OR(N753&lt;=0,I753=0,I753="",O753=0),"",O753*1000/(I753*0.3025)/N753))</f>
        <v>18061.7676329512</v>
      </c>
      <c r="Y753" s="1" t="str">
        <f aca="false">IF($A753="","",IF(OR(O753=0,O753="",P753=0),"",P753/O753))</f>
        <v/>
      </c>
      <c r="Z753" s="1" t="str">
        <f aca="false">IF($A753="","",IFERROR(INDEX(物件収支!$E:$E,MATCH($A753,物件収支!$A:$A,0)),""))</f>
        <v>開示（物件別・収益のみ・百万円単位）</v>
      </c>
    </row>
    <row r="754" customFormat="false" ht="15" hidden="false" customHeight="true" outlineLevel="0" collapsed="false">
      <c r="A754" s="1" t="str">
        <f aca="false">IF(物件マスタ!A754="","",物件マスタ!A754)</f>
        <v>KDX-014</v>
      </c>
      <c r="B754" s="1" t="str">
        <f aca="false">IF($A754="","",物件マスタ!B754)</f>
        <v>KDX</v>
      </c>
      <c r="C754" s="1" t="str">
        <f aca="false">IF($A754="","",IFERROR(INDEX(法人マスタ!$C:$C,MATCH($B754,法人マスタ!$A:$A,0)),""))</f>
        <v>ＫＤＸ不動産投資法人</v>
      </c>
      <c r="D754" s="1" t="str">
        <f aca="false">IF($A754="","",物件マスタ!C754)</f>
        <v>KDX新横浜ビル</v>
      </c>
      <c r="E754" s="1" t="str">
        <f aca="false">IF($A754="","",物件マスタ!H754)</f>
        <v>東京経済圏（KDX区分）</v>
      </c>
      <c r="F754" s="1" t="n">
        <f aca="false">IF($A754="","",物件マスタ!P754)</f>
        <v>0</v>
      </c>
      <c r="G754" s="1" t="str">
        <f aca="false">IF($A754="","",物件マスタ!Q754)</f>
        <v/>
      </c>
      <c r="H754" s="1" t="n">
        <f aca="false">IF($A754="","",物件マスタ!L754)</f>
        <v>0</v>
      </c>
      <c r="I754" s="1" t="n">
        <f aca="false">IF($A754="","",物件マスタ!M754)</f>
        <v>4748.66</v>
      </c>
      <c r="J754" s="1" t="n">
        <f aca="false">IF($A754="","",物件マスタ!S754)</f>
        <v>2520</v>
      </c>
      <c r="K754" s="1" t="n">
        <f aca="false">IF($A754="","",物件マスタ!U754)</f>
        <v>3120</v>
      </c>
      <c r="L754" s="1" t="n">
        <f aca="false">IF($A754="","",物件マスタ!W754)</f>
        <v>1</v>
      </c>
      <c r="M754" s="1" t="str">
        <f aca="false">IF($A754="","",IFERROR(INDEX(法人マスタ!$H:$H,MATCH($B754,法人マスタ!$A:$A,0)),""))</f>
        <v>2026年4月期（第42期）</v>
      </c>
      <c r="N754" s="1" t="n">
        <f aca="false">IF($A754="","",SUMIFS(物件収支!$D:$D,物件収支!$A:$A,$A754,物件収支!$C:$C,$M754))</f>
        <v>6</v>
      </c>
      <c r="O754" s="1" t="n">
        <f aca="false">IF($A754="","",SUMIFS(物件収支!$F:$F,物件収支!$A:$A,$A754,物件収支!$C:$C,$M754))</f>
        <v>106000</v>
      </c>
      <c r="P754" s="1" t="n">
        <f aca="false">IF($A754="","",SUMIFS(物件収支!$I:$I,物件収支!$A:$A,$A754,物件収支!$C:$C,$M754))</f>
        <v>0</v>
      </c>
      <c r="Q754" s="1" t="n">
        <f aca="false">IF($A754="","",SUMIFS(物件収支!$O:$O,物件収支!$A:$A,$A754,物件収支!$C:$C,$M754))</f>
        <v>0</v>
      </c>
      <c r="R754" s="1" t="str">
        <f aca="false">IF($A754="","",IF(P754=0,"",O754-P754))</f>
        <v/>
      </c>
      <c r="S754" s="1" t="str">
        <f aca="false">IF($A754="","",IF(R754="","",R754+Q754))</f>
        <v/>
      </c>
      <c r="T754" s="1" t="str">
        <f aca="false">IF($A754="","",IF(OR(S754="",N754&lt;=0),"",S754/1000*12/N754))</f>
        <v/>
      </c>
      <c r="U754" s="1" t="str">
        <f aca="false">IF($A754="","",IF(OR(T754="",J754=0,J754=""),"",T754/J754))</f>
        <v/>
      </c>
      <c r="V754" s="1" t="str">
        <f aca="false">IF($A754="","",IF(OR(R754="",N754&lt;=0,J754=0,J754=""),"",(R754/1000*12/N754)/J754))</f>
        <v/>
      </c>
      <c r="W754" s="1" t="str">
        <f aca="false">IF($A754="","",IF(OR(T754="",K754=0,K754=""),"",T754/K754))</f>
        <v/>
      </c>
      <c r="X754" s="1" t="n">
        <f aca="false">IF($A754="","",IF(OR(N754&lt;=0,I754=0,I754="",O754=0),"",O754*1000/(I754*0.3025)/N754))</f>
        <v>12298.6703315776</v>
      </c>
      <c r="Y754" s="1" t="str">
        <f aca="false">IF($A754="","",IF(OR(O754=0,O754="",P754=0),"",P754/O754))</f>
        <v/>
      </c>
      <c r="Z754" s="1" t="str">
        <f aca="false">IF($A754="","",IFERROR(INDEX(物件収支!$E:$E,MATCH($A754,物件収支!$A:$A,0)),""))</f>
        <v>開示（物件別・収益のみ・百万円単位）</v>
      </c>
    </row>
    <row r="755" customFormat="false" ht="15" hidden="false" customHeight="true" outlineLevel="0" collapsed="false">
      <c r="A755" s="1" t="str">
        <f aca="false">IF(物件マスタ!A755="","",物件マスタ!A755)</f>
        <v>KDX-015</v>
      </c>
      <c r="B755" s="1" t="str">
        <f aca="false">IF($A755="","",物件マスタ!B755)</f>
        <v>KDX</v>
      </c>
      <c r="C755" s="1" t="str">
        <f aca="false">IF($A755="","",IFERROR(INDEX(法人マスタ!$C:$C,MATCH($B755,法人マスタ!$A:$A,0)),""))</f>
        <v>ＫＤＸ不動産投資法人</v>
      </c>
      <c r="D755" s="1" t="str">
        <f aca="false">IF($A755="","",物件マスタ!C755)</f>
        <v>KDX鍛冶町ビル</v>
      </c>
      <c r="E755" s="1" t="str">
        <f aca="false">IF($A755="","",物件マスタ!H755)</f>
        <v>東京経済圏（KDX区分）</v>
      </c>
      <c r="F755" s="1" t="n">
        <f aca="false">IF($A755="","",物件マスタ!P755)</f>
        <v>0</v>
      </c>
      <c r="G755" s="1" t="str">
        <f aca="false">IF($A755="","",物件マスタ!Q755)</f>
        <v/>
      </c>
      <c r="H755" s="1" t="n">
        <f aca="false">IF($A755="","",物件マスタ!L755)</f>
        <v>0</v>
      </c>
      <c r="I755" s="1" t="n">
        <f aca="false">IF($A755="","",物件マスタ!M755)</f>
        <v>2565.35</v>
      </c>
      <c r="J755" s="1" t="n">
        <f aca="false">IF($A755="","",物件マスタ!S755)</f>
        <v>2350</v>
      </c>
      <c r="K755" s="1" t="n">
        <f aca="false">IF($A755="","",物件マスタ!U755)</f>
        <v>2260</v>
      </c>
      <c r="L755" s="1" t="n">
        <f aca="false">IF($A755="","",物件マスタ!W755)</f>
        <v>1</v>
      </c>
      <c r="M755" s="1" t="str">
        <f aca="false">IF($A755="","",IFERROR(INDEX(法人マスタ!$H:$H,MATCH($B755,法人マスタ!$A:$A,0)),""))</f>
        <v>2026年4月期（第42期）</v>
      </c>
      <c r="N755" s="1" t="n">
        <f aca="false">IF($A755="","",SUMIFS(物件収支!$D:$D,物件収支!$A:$A,$A755,物件収支!$C:$C,$M755))</f>
        <v>6</v>
      </c>
      <c r="O755" s="1" t="n">
        <f aca="false">IF($A755="","",SUMIFS(物件収支!$F:$F,物件収支!$A:$A,$A755,物件収支!$C:$C,$M755))</f>
        <v>69000</v>
      </c>
      <c r="P755" s="1" t="n">
        <f aca="false">IF($A755="","",SUMIFS(物件収支!$I:$I,物件収支!$A:$A,$A755,物件収支!$C:$C,$M755))</f>
        <v>0</v>
      </c>
      <c r="Q755" s="1" t="n">
        <f aca="false">IF($A755="","",SUMIFS(物件収支!$O:$O,物件収支!$A:$A,$A755,物件収支!$C:$C,$M755))</f>
        <v>0</v>
      </c>
      <c r="R755" s="1" t="str">
        <f aca="false">IF($A755="","",IF(P755=0,"",O755-P755))</f>
        <v/>
      </c>
      <c r="S755" s="1" t="str">
        <f aca="false">IF($A755="","",IF(R755="","",R755+Q755))</f>
        <v/>
      </c>
      <c r="T755" s="1" t="str">
        <f aca="false">IF($A755="","",IF(OR(S755="",N755&lt;=0),"",S755/1000*12/N755))</f>
        <v/>
      </c>
      <c r="U755" s="1" t="str">
        <f aca="false">IF($A755="","",IF(OR(T755="",J755=0,J755=""),"",T755/J755))</f>
        <v/>
      </c>
      <c r="V755" s="1" t="str">
        <f aca="false">IF($A755="","",IF(OR(R755="",N755&lt;=0,J755=0,J755=""),"",(R755/1000*12/N755)/J755))</f>
        <v/>
      </c>
      <c r="W755" s="1" t="str">
        <f aca="false">IF($A755="","",IF(OR(T755="",K755=0,K755=""),"",T755/K755))</f>
        <v/>
      </c>
      <c r="X755" s="1" t="n">
        <f aca="false">IF($A755="","",IF(OR(N755&lt;=0,I755=0,I755="",O755=0),"",O755*1000/(I755*0.3025)/N755))</f>
        <v>14819.2367223263</v>
      </c>
      <c r="Y755" s="1" t="str">
        <f aca="false">IF($A755="","",IF(OR(O755=0,O755="",P755=0),"",P755/O755))</f>
        <v/>
      </c>
      <c r="Z755" s="1" t="str">
        <f aca="false">IF($A755="","",IFERROR(INDEX(物件収支!$E:$E,MATCH($A755,物件収支!$A:$A,0)),""))</f>
        <v>開示（物件別・収益のみ・百万円単位）</v>
      </c>
    </row>
    <row r="756" customFormat="false" ht="15" hidden="false" customHeight="true" outlineLevel="0" collapsed="false">
      <c r="A756" s="1" t="str">
        <f aca="false">IF(物件マスタ!A756="","",物件マスタ!A756)</f>
        <v>KDX-016</v>
      </c>
      <c r="B756" s="1" t="str">
        <f aca="false">IF($A756="","",物件マスタ!B756)</f>
        <v>KDX</v>
      </c>
      <c r="C756" s="1" t="str">
        <f aca="false">IF($A756="","",IFERROR(INDEX(法人マスタ!$C:$C,MATCH($B756,法人マスタ!$A:$A,0)),""))</f>
        <v>ＫＤＸ不動産投資法人</v>
      </c>
      <c r="D756" s="1" t="str">
        <f aca="false">IF($A756="","",物件マスタ!C756)</f>
        <v>KDX東新宿ビル</v>
      </c>
      <c r="E756" s="1" t="str">
        <f aca="false">IF($A756="","",物件マスタ!H756)</f>
        <v>東京経済圏（KDX区分）</v>
      </c>
      <c r="F756" s="1" t="n">
        <f aca="false">IF($A756="","",物件マスタ!P756)</f>
        <v>0</v>
      </c>
      <c r="G756" s="1" t="str">
        <f aca="false">IF($A756="","",物件マスタ!Q756)</f>
        <v/>
      </c>
      <c r="H756" s="1" t="n">
        <f aca="false">IF($A756="","",物件マスタ!L756)</f>
        <v>0</v>
      </c>
      <c r="I756" s="1" t="n">
        <f aca="false">IF($A756="","",物件マスタ!M756)</f>
        <v>5859.92</v>
      </c>
      <c r="J756" s="1" t="n">
        <f aca="false">IF($A756="","",物件マスタ!S756)</f>
        <v>2950</v>
      </c>
      <c r="K756" s="1" t="n">
        <f aca="false">IF($A756="","",物件マスタ!U756)</f>
        <v>4260</v>
      </c>
      <c r="L756" s="1" t="n">
        <f aca="false">IF($A756="","",物件マスタ!W756)</f>
        <v>1</v>
      </c>
      <c r="M756" s="1" t="str">
        <f aca="false">IF($A756="","",IFERROR(INDEX(法人マスタ!$H:$H,MATCH($B756,法人マスタ!$A:$A,0)),""))</f>
        <v>2026年4月期（第42期）</v>
      </c>
      <c r="N756" s="1" t="n">
        <f aca="false">IF($A756="","",SUMIFS(物件収支!$D:$D,物件収支!$A:$A,$A756,物件収支!$C:$C,$M756))</f>
        <v>6</v>
      </c>
      <c r="O756" s="1" t="n">
        <f aca="false">IF($A756="","",SUMIFS(物件収支!$F:$F,物件収支!$A:$A,$A756,物件収支!$C:$C,$M756))</f>
        <v>154000</v>
      </c>
      <c r="P756" s="1" t="n">
        <f aca="false">IF($A756="","",SUMIFS(物件収支!$I:$I,物件収支!$A:$A,$A756,物件収支!$C:$C,$M756))</f>
        <v>0</v>
      </c>
      <c r="Q756" s="1" t="n">
        <f aca="false">IF($A756="","",SUMIFS(物件収支!$O:$O,物件収支!$A:$A,$A756,物件収支!$C:$C,$M756))</f>
        <v>0</v>
      </c>
      <c r="R756" s="1" t="str">
        <f aca="false">IF($A756="","",IF(P756=0,"",O756-P756))</f>
        <v/>
      </c>
      <c r="S756" s="1" t="str">
        <f aca="false">IF($A756="","",IF(R756="","",R756+Q756))</f>
        <v/>
      </c>
      <c r="T756" s="1" t="str">
        <f aca="false">IF($A756="","",IF(OR(S756="",N756&lt;=0),"",S756/1000*12/N756))</f>
        <v/>
      </c>
      <c r="U756" s="1" t="str">
        <f aca="false">IF($A756="","",IF(OR(T756="",J756=0,J756=""),"",T756/J756))</f>
        <v/>
      </c>
      <c r="V756" s="1" t="str">
        <f aca="false">IF($A756="","",IF(OR(R756="",N756&lt;=0,J756=0,J756=""),"",(R756/1000*12/N756)/J756))</f>
        <v/>
      </c>
      <c r="W756" s="1" t="str">
        <f aca="false">IF($A756="","",IF(OR(T756="",K756=0,K756=""),"",T756/K756))</f>
        <v/>
      </c>
      <c r="X756" s="1" t="n">
        <f aca="false">IF($A756="","",IF(OR(N756&lt;=0,I756=0,I756="",O756=0),"",O756*1000/(I756*0.3025)/N756))</f>
        <v>14479.4612978479</v>
      </c>
      <c r="Y756" s="1" t="str">
        <f aca="false">IF($A756="","",IF(OR(O756=0,O756="",P756=0),"",P756/O756))</f>
        <v/>
      </c>
      <c r="Z756" s="1" t="str">
        <f aca="false">IF($A756="","",IFERROR(INDEX(物件収支!$E:$E,MATCH($A756,物件収支!$A:$A,0)),""))</f>
        <v>開示（物件別・収益のみ・百万円単位）</v>
      </c>
    </row>
    <row r="757" customFormat="false" ht="15" hidden="false" customHeight="true" outlineLevel="0" collapsed="false">
      <c r="A757" s="1" t="str">
        <f aca="false">IF(物件マスタ!A757="","",物件マスタ!A757)</f>
        <v>KDX-017</v>
      </c>
      <c r="B757" s="1" t="str">
        <f aca="false">IF($A757="","",物件マスタ!B757)</f>
        <v>KDX</v>
      </c>
      <c r="C757" s="1" t="str">
        <f aca="false">IF($A757="","",IFERROR(INDEX(法人マスタ!$C:$C,MATCH($B757,法人マスタ!$A:$A,0)),""))</f>
        <v>ＫＤＸ不動産投資法人</v>
      </c>
      <c r="D757" s="1" t="str">
        <f aca="false">IF($A757="","",物件マスタ!C757)</f>
        <v>KDX西五反田ビル</v>
      </c>
      <c r="E757" s="1" t="str">
        <f aca="false">IF($A757="","",物件マスタ!H757)</f>
        <v>東京経済圏（KDX区分）</v>
      </c>
      <c r="F757" s="1" t="n">
        <f aca="false">IF($A757="","",物件マスタ!P757)</f>
        <v>0</v>
      </c>
      <c r="G757" s="1" t="str">
        <f aca="false">IF($A757="","",物件マスタ!Q757)</f>
        <v/>
      </c>
      <c r="H757" s="1" t="n">
        <f aca="false">IF($A757="","",物件マスタ!L757)</f>
        <v>0</v>
      </c>
      <c r="I757" s="1" t="n">
        <f aca="false">IF($A757="","",物件マスタ!M757)</f>
        <v>3881.99</v>
      </c>
      <c r="J757" s="1" t="n">
        <f aca="false">IF($A757="","",物件マスタ!S757)</f>
        <v>4200</v>
      </c>
      <c r="K757" s="1" t="n">
        <f aca="false">IF($A757="","",物件マスタ!U757)</f>
        <v>3720</v>
      </c>
      <c r="L757" s="1" t="n">
        <f aca="false">IF($A757="","",物件マスタ!W757)</f>
        <v>0.894</v>
      </c>
      <c r="M757" s="1" t="str">
        <f aca="false">IF($A757="","",IFERROR(INDEX(法人マスタ!$H:$H,MATCH($B757,法人マスタ!$A:$A,0)),""))</f>
        <v>2026年4月期（第42期）</v>
      </c>
      <c r="N757" s="1" t="n">
        <f aca="false">IF($A757="","",SUMIFS(物件収支!$D:$D,物件収支!$A:$A,$A757,物件収支!$C:$C,$M757))</f>
        <v>6</v>
      </c>
      <c r="O757" s="1" t="n">
        <f aca="false">IF($A757="","",SUMIFS(物件収支!$F:$F,物件収支!$A:$A,$A757,物件収支!$C:$C,$M757))</f>
        <v>110000</v>
      </c>
      <c r="P757" s="1" t="n">
        <f aca="false">IF($A757="","",SUMIFS(物件収支!$I:$I,物件収支!$A:$A,$A757,物件収支!$C:$C,$M757))</f>
        <v>0</v>
      </c>
      <c r="Q757" s="1" t="n">
        <f aca="false">IF($A757="","",SUMIFS(物件収支!$O:$O,物件収支!$A:$A,$A757,物件収支!$C:$C,$M757))</f>
        <v>0</v>
      </c>
      <c r="R757" s="1" t="str">
        <f aca="false">IF($A757="","",IF(P757=0,"",O757-P757))</f>
        <v/>
      </c>
      <c r="S757" s="1" t="str">
        <f aca="false">IF($A757="","",IF(R757="","",R757+Q757))</f>
        <v/>
      </c>
      <c r="T757" s="1" t="str">
        <f aca="false">IF($A757="","",IF(OR(S757="",N757&lt;=0),"",S757/1000*12/N757))</f>
        <v/>
      </c>
      <c r="U757" s="1" t="str">
        <f aca="false">IF($A757="","",IF(OR(T757="",J757=0,J757=""),"",T757/J757))</f>
        <v/>
      </c>
      <c r="V757" s="1" t="str">
        <f aca="false">IF($A757="","",IF(OR(R757="",N757&lt;=0,J757=0,J757=""),"",(R757/1000*12/N757)/J757))</f>
        <v/>
      </c>
      <c r="W757" s="1" t="str">
        <f aca="false">IF($A757="","",IF(OR(T757="",K757=0,K757=""),"",T757/K757))</f>
        <v/>
      </c>
      <c r="X757" s="1" t="n">
        <f aca="false">IF($A757="","",IF(OR(N757&lt;=0,I757=0,I757="",O757=0),"",O757*1000/(I757*0.3025)/N757))</f>
        <v>15612.1114701637</v>
      </c>
      <c r="Y757" s="1" t="str">
        <f aca="false">IF($A757="","",IF(OR(O757=0,O757="",P757=0),"",P757/O757))</f>
        <v/>
      </c>
      <c r="Z757" s="1" t="str">
        <f aca="false">IF($A757="","",IFERROR(INDEX(物件収支!$E:$E,MATCH($A757,物件収支!$A:$A,0)),""))</f>
        <v>開示（物件別・収益のみ・百万円単位）</v>
      </c>
    </row>
    <row r="758" customFormat="false" ht="15" hidden="false" customHeight="true" outlineLevel="0" collapsed="false">
      <c r="A758" s="1" t="str">
        <f aca="false">IF(物件マスタ!A758="","",物件マスタ!A758)</f>
        <v>KDX-018</v>
      </c>
      <c r="B758" s="1" t="str">
        <f aca="false">IF($A758="","",物件マスタ!B758)</f>
        <v>KDX</v>
      </c>
      <c r="C758" s="1" t="str">
        <f aca="false">IF($A758="","",IFERROR(INDEX(法人マスタ!$C:$C,MATCH($B758,法人マスタ!$A:$A,0)),""))</f>
        <v>ＫＤＸ不動産投資法人</v>
      </c>
      <c r="D758" s="1" t="str">
        <f aca="false">IF($A758="","",物件マスタ!C758)</f>
        <v>KDX芝大門ビル</v>
      </c>
      <c r="E758" s="1" t="str">
        <f aca="false">IF($A758="","",物件マスタ!H758)</f>
        <v>東京経済圏（KDX区分）</v>
      </c>
      <c r="F758" s="1" t="n">
        <f aca="false">IF($A758="","",物件マスタ!P758)</f>
        <v>0</v>
      </c>
      <c r="G758" s="1" t="str">
        <f aca="false">IF($A758="","",物件マスタ!Q758)</f>
        <v/>
      </c>
      <c r="H758" s="1" t="n">
        <f aca="false">IF($A758="","",物件マスタ!L758)</f>
        <v>0</v>
      </c>
      <c r="I758" s="1" t="n">
        <f aca="false">IF($A758="","",物件マスタ!M758)</f>
        <v>5997.36</v>
      </c>
      <c r="J758" s="1" t="n">
        <f aca="false">IF($A758="","",物件マスタ!S758)</f>
        <v>6090</v>
      </c>
      <c r="K758" s="1" t="n">
        <f aca="false">IF($A758="","",物件マスタ!U758)</f>
        <v>6680</v>
      </c>
      <c r="L758" s="1" t="n">
        <f aca="false">IF($A758="","",物件マスタ!W758)</f>
        <v>1</v>
      </c>
      <c r="M758" s="1" t="str">
        <f aca="false">IF($A758="","",IFERROR(INDEX(法人マスタ!$H:$H,MATCH($B758,法人マスタ!$A:$A,0)),""))</f>
        <v>2026年4月期（第42期）</v>
      </c>
      <c r="N758" s="1" t="n">
        <f aca="false">IF($A758="","",SUMIFS(物件収支!$D:$D,物件収支!$A:$A,$A758,物件収支!$C:$C,$M758))</f>
        <v>6</v>
      </c>
      <c r="O758" s="1" t="n">
        <f aca="false">IF($A758="","",SUMIFS(物件収支!$F:$F,物件収支!$A:$A,$A758,物件収支!$C:$C,$M758))</f>
        <v>186000</v>
      </c>
      <c r="P758" s="1" t="n">
        <f aca="false">IF($A758="","",SUMIFS(物件収支!$I:$I,物件収支!$A:$A,$A758,物件収支!$C:$C,$M758))</f>
        <v>0</v>
      </c>
      <c r="Q758" s="1" t="n">
        <f aca="false">IF($A758="","",SUMIFS(物件収支!$O:$O,物件収支!$A:$A,$A758,物件収支!$C:$C,$M758))</f>
        <v>0</v>
      </c>
      <c r="R758" s="1" t="str">
        <f aca="false">IF($A758="","",IF(P758=0,"",O758-P758))</f>
        <v/>
      </c>
      <c r="S758" s="1" t="str">
        <f aca="false">IF($A758="","",IF(R758="","",R758+Q758))</f>
        <v/>
      </c>
      <c r="T758" s="1" t="str">
        <f aca="false">IF($A758="","",IF(OR(S758="",N758&lt;=0),"",S758/1000*12/N758))</f>
        <v/>
      </c>
      <c r="U758" s="1" t="str">
        <f aca="false">IF($A758="","",IF(OR(T758="",J758=0,J758=""),"",T758/J758))</f>
        <v/>
      </c>
      <c r="V758" s="1" t="str">
        <f aca="false">IF($A758="","",IF(OR(R758="",N758&lt;=0,J758=0,J758=""),"",(R758/1000*12/N758)/J758))</f>
        <v/>
      </c>
      <c r="W758" s="1" t="str">
        <f aca="false">IF($A758="","",IF(OR(T758="",K758=0,K758=""),"",T758/K758))</f>
        <v/>
      </c>
      <c r="X758" s="1" t="n">
        <f aca="false">IF($A758="","",IF(OR(N758&lt;=0,I758=0,I758="",O758=0),"",O758*1000/(I758*0.3025)/N758))</f>
        <v>17087.4082667999</v>
      </c>
      <c r="Y758" s="1" t="str">
        <f aca="false">IF($A758="","",IF(OR(O758=0,O758="",P758=0),"",P758/O758))</f>
        <v/>
      </c>
      <c r="Z758" s="1" t="str">
        <f aca="false">IF($A758="","",IFERROR(INDEX(物件収支!$E:$E,MATCH($A758,物件収支!$A:$A,0)),""))</f>
        <v>開示（物件別・収益のみ・百万円単位）</v>
      </c>
    </row>
    <row r="759" customFormat="false" ht="15" hidden="false" customHeight="true" outlineLevel="0" collapsed="false">
      <c r="A759" s="1" t="str">
        <f aca="false">IF(物件マスタ!A759="","",物件マスタ!A759)</f>
        <v>KDX-019</v>
      </c>
      <c r="B759" s="1" t="str">
        <f aca="false">IF($A759="","",物件マスタ!B759)</f>
        <v>KDX</v>
      </c>
      <c r="C759" s="1" t="str">
        <f aca="false">IF($A759="","",IFERROR(INDEX(法人マスタ!$C:$C,MATCH($B759,法人マスタ!$A:$A,0)),""))</f>
        <v>ＫＤＸ不動産投資法人</v>
      </c>
      <c r="D759" s="1" t="str">
        <f aca="false">IF($A759="","",物件マスタ!C759)</f>
        <v>KDX御徒町ビル</v>
      </c>
      <c r="E759" s="1" t="str">
        <f aca="false">IF($A759="","",物件マスタ!H759)</f>
        <v>東京経済圏（KDX区分）</v>
      </c>
      <c r="F759" s="1" t="n">
        <f aca="false">IF($A759="","",物件マスタ!P759)</f>
        <v>0</v>
      </c>
      <c r="G759" s="1" t="str">
        <f aca="false">IF($A759="","",物件マスタ!Q759)</f>
        <v/>
      </c>
      <c r="H759" s="1" t="n">
        <f aca="false">IF($A759="","",物件マスタ!L759)</f>
        <v>0</v>
      </c>
      <c r="I759" s="1" t="n">
        <f aca="false">IF($A759="","",物件マスタ!M759)</f>
        <v>1792.54</v>
      </c>
      <c r="J759" s="1" t="n">
        <f aca="false">IF($A759="","",物件マスタ!S759)</f>
        <v>2000</v>
      </c>
      <c r="K759" s="1" t="n">
        <f aca="false">IF($A759="","",物件マスタ!U759)</f>
        <v>2080</v>
      </c>
      <c r="L759" s="1" t="n">
        <f aca="false">IF($A759="","",物件マスタ!W759)</f>
        <v>1</v>
      </c>
      <c r="M759" s="1" t="str">
        <f aca="false">IF($A759="","",IFERROR(INDEX(法人マスタ!$H:$H,MATCH($B759,法人マスタ!$A:$A,0)),""))</f>
        <v>2026年4月期（第42期）</v>
      </c>
      <c r="N759" s="1" t="n">
        <f aca="false">IF($A759="","",SUMIFS(物件収支!$D:$D,物件収支!$A:$A,$A759,物件収支!$C:$C,$M759))</f>
        <v>6</v>
      </c>
      <c r="O759" s="1" t="n">
        <f aca="false">IF($A759="","",SUMIFS(物件収支!$F:$F,物件収支!$A:$A,$A759,物件収支!$C:$C,$M759))</f>
        <v>62000</v>
      </c>
      <c r="P759" s="1" t="n">
        <f aca="false">IF($A759="","",SUMIFS(物件収支!$I:$I,物件収支!$A:$A,$A759,物件収支!$C:$C,$M759))</f>
        <v>0</v>
      </c>
      <c r="Q759" s="1" t="n">
        <f aca="false">IF($A759="","",SUMIFS(物件収支!$O:$O,物件収支!$A:$A,$A759,物件収支!$C:$C,$M759))</f>
        <v>0</v>
      </c>
      <c r="R759" s="1" t="str">
        <f aca="false">IF($A759="","",IF(P759=0,"",O759-P759))</f>
        <v/>
      </c>
      <c r="S759" s="1" t="str">
        <f aca="false">IF($A759="","",IF(R759="","",R759+Q759))</f>
        <v/>
      </c>
      <c r="T759" s="1" t="str">
        <f aca="false">IF($A759="","",IF(OR(S759="",N759&lt;=0),"",S759/1000*12/N759))</f>
        <v/>
      </c>
      <c r="U759" s="1" t="str">
        <f aca="false">IF($A759="","",IF(OR(T759="",J759=0,J759=""),"",T759/J759))</f>
        <v/>
      </c>
      <c r="V759" s="1" t="str">
        <f aca="false">IF($A759="","",IF(OR(R759="",N759&lt;=0,J759=0,J759=""),"",(R759/1000*12/N759)/J759))</f>
        <v/>
      </c>
      <c r="W759" s="1" t="str">
        <f aca="false">IF($A759="","",IF(OR(T759="",K759=0,K759=""),"",T759/K759))</f>
        <v/>
      </c>
      <c r="X759" s="1" t="n">
        <f aca="false">IF($A759="","",IF(OR(N759&lt;=0,I759=0,I759="",O759=0),"",O759*1000/(I759*0.3025)/N759))</f>
        <v>19056.6345042928</v>
      </c>
      <c r="Y759" s="1" t="str">
        <f aca="false">IF($A759="","",IF(OR(O759=0,O759="",P759=0),"",P759/O759))</f>
        <v/>
      </c>
      <c r="Z759" s="1" t="str">
        <f aca="false">IF($A759="","",IFERROR(INDEX(物件収支!$E:$E,MATCH($A759,物件収支!$A:$A,0)),""))</f>
        <v>開示（物件別・収益のみ・百万円単位）</v>
      </c>
    </row>
    <row r="760" customFormat="false" ht="15" hidden="false" customHeight="true" outlineLevel="0" collapsed="false">
      <c r="A760" s="1" t="str">
        <f aca="false">IF(物件マスタ!A760="","",物件マスタ!A760)</f>
        <v>KDX-020</v>
      </c>
      <c r="B760" s="1" t="str">
        <f aca="false">IF($A760="","",物件マスタ!B760)</f>
        <v>KDX</v>
      </c>
      <c r="C760" s="1" t="str">
        <f aca="false">IF($A760="","",IFERROR(INDEX(法人マスタ!$C:$C,MATCH($B760,法人マスタ!$A:$A,0)),""))</f>
        <v>ＫＤＸ不動産投資法人</v>
      </c>
      <c r="D760" s="1" t="str">
        <f aca="false">IF($A760="","",物件マスタ!C760)</f>
        <v>KDX八王子ビル</v>
      </c>
      <c r="E760" s="1" t="str">
        <f aca="false">IF($A760="","",物件マスタ!H760)</f>
        <v>東京経済圏（KDX区分）</v>
      </c>
      <c r="F760" s="1" t="n">
        <f aca="false">IF($A760="","",物件マスタ!P760)</f>
        <v>0</v>
      </c>
      <c r="G760" s="1" t="str">
        <f aca="false">IF($A760="","",物件マスタ!Q760)</f>
        <v/>
      </c>
      <c r="H760" s="1" t="n">
        <f aca="false">IF($A760="","",物件マスタ!L760)</f>
        <v>0</v>
      </c>
      <c r="I760" s="1" t="n">
        <f aca="false">IF($A760="","",物件マスタ!M760)</f>
        <v>2154.26</v>
      </c>
      <c r="J760" s="1" t="n">
        <f aca="false">IF($A760="","",物件マスタ!S760)</f>
        <v>1155</v>
      </c>
      <c r="K760" s="1" t="n">
        <f aca="false">IF($A760="","",物件マスタ!U760)</f>
        <v>1260</v>
      </c>
      <c r="L760" s="1" t="n">
        <f aca="false">IF($A760="","",物件マスタ!W760)</f>
        <v>1</v>
      </c>
      <c r="M760" s="1" t="str">
        <f aca="false">IF($A760="","",IFERROR(INDEX(法人マスタ!$H:$H,MATCH($B760,法人マスタ!$A:$A,0)),""))</f>
        <v>2026年4月期（第42期）</v>
      </c>
      <c r="N760" s="1" t="n">
        <f aca="false">IF($A760="","",SUMIFS(物件収支!$D:$D,物件収支!$A:$A,$A760,物件収支!$C:$C,$M760))</f>
        <v>6</v>
      </c>
      <c r="O760" s="1" t="n">
        <f aca="false">IF($A760="","",SUMIFS(物件収支!$F:$F,物件収支!$A:$A,$A760,物件収支!$C:$C,$M760))</f>
        <v>52000</v>
      </c>
      <c r="P760" s="1" t="n">
        <f aca="false">IF($A760="","",SUMIFS(物件収支!$I:$I,物件収支!$A:$A,$A760,物件収支!$C:$C,$M760))</f>
        <v>0</v>
      </c>
      <c r="Q760" s="1" t="n">
        <f aca="false">IF($A760="","",SUMIFS(物件収支!$O:$O,物件収支!$A:$A,$A760,物件収支!$C:$C,$M760))</f>
        <v>0</v>
      </c>
      <c r="R760" s="1" t="str">
        <f aca="false">IF($A760="","",IF(P760=0,"",O760-P760))</f>
        <v/>
      </c>
      <c r="S760" s="1" t="str">
        <f aca="false">IF($A760="","",IF(R760="","",R760+Q760))</f>
        <v/>
      </c>
      <c r="T760" s="1" t="str">
        <f aca="false">IF($A760="","",IF(OR(S760="",N760&lt;=0),"",S760/1000*12/N760))</f>
        <v/>
      </c>
      <c r="U760" s="1" t="str">
        <f aca="false">IF($A760="","",IF(OR(T760="",J760=0,J760=""),"",T760/J760))</f>
        <v/>
      </c>
      <c r="V760" s="1" t="str">
        <f aca="false">IF($A760="","",IF(OR(R760="",N760&lt;=0,J760=0,J760=""),"",(R760/1000*12/N760)/J760))</f>
        <v/>
      </c>
      <c r="W760" s="1" t="str">
        <f aca="false">IF($A760="","",IF(OR(T760="",K760=0,K760=""),"",T760/K760))</f>
        <v/>
      </c>
      <c r="X760" s="1" t="n">
        <f aca="false">IF($A760="","",IF(OR(N760&lt;=0,I760=0,I760="",O760=0),"",O760*1000/(I760*0.3025)/N760))</f>
        <v>13299.294301081</v>
      </c>
      <c r="Y760" s="1" t="str">
        <f aca="false">IF($A760="","",IF(OR(O760=0,O760="",P760=0),"",P760/O760))</f>
        <v/>
      </c>
      <c r="Z760" s="1" t="str">
        <f aca="false">IF($A760="","",IFERROR(INDEX(物件収支!$E:$E,MATCH($A760,物件収支!$A:$A,0)),""))</f>
        <v>開示（物件別・収益のみ・百万円単位）</v>
      </c>
    </row>
    <row r="761" customFormat="false" ht="15" hidden="false" customHeight="true" outlineLevel="0" collapsed="false">
      <c r="A761" s="1" t="str">
        <f aca="false">IF(物件マスタ!A761="","",物件マスタ!A761)</f>
        <v>KDX-021</v>
      </c>
      <c r="B761" s="1" t="str">
        <f aca="false">IF($A761="","",物件マスタ!B761)</f>
        <v>KDX</v>
      </c>
      <c r="C761" s="1" t="str">
        <f aca="false">IF($A761="","",IFERROR(INDEX(法人マスタ!$C:$C,MATCH($B761,法人マスタ!$A:$A,0)),""))</f>
        <v>ＫＤＸ不動産投資法人</v>
      </c>
      <c r="D761" s="1" t="str">
        <f aca="false">IF($A761="","",物件マスタ!C761)</f>
        <v>KDX御茶ノ水ビル</v>
      </c>
      <c r="E761" s="1" t="str">
        <f aca="false">IF($A761="","",物件マスタ!H761)</f>
        <v>東京経済圏（KDX区分）</v>
      </c>
      <c r="F761" s="1" t="n">
        <f aca="false">IF($A761="","",物件マスタ!P761)</f>
        <v>0</v>
      </c>
      <c r="G761" s="1" t="str">
        <f aca="false">IF($A761="","",物件マスタ!Q761)</f>
        <v/>
      </c>
      <c r="H761" s="1" t="n">
        <f aca="false">IF($A761="","",物件マスタ!L761)</f>
        <v>0</v>
      </c>
      <c r="I761" s="1" t="n">
        <f aca="false">IF($A761="","",物件マスタ!M761)</f>
        <v>5869.26</v>
      </c>
      <c r="J761" s="1" t="n">
        <f aca="false">IF($A761="","",物件マスタ!S761)</f>
        <v>6400</v>
      </c>
      <c r="K761" s="1" t="n">
        <f aca="false">IF($A761="","",物件マスタ!U761)</f>
        <v>8920</v>
      </c>
      <c r="L761" s="1" t="n">
        <f aca="false">IF($A761="","",物件マスタ!W761)</f>
        <v>1</v>
      </c>
      <c r="M761" s="1" t="str">
        <f aca="false">IF($A761="","",IFERROR(INDEX(法人マスタ!$H:$H,MATCH($B761,法人マスタ!$A:$A,0)),""))</f>
        <v>2026年4月期（第42期）</v>
      </c>
      <c r="N761" s="1" t="n">
        <f aca="false">IF($A761="","",SUMIFS(物件収支!$D:$D,物件収支!$A:$A,$A761,物件収支!$C:$C,$M761))</f>
        <v>6</v>
      </c>
      <c r="O761" s="1" t="n">
        <f aca="false">IF($A761="","",SUMIFS(物件収支!$F:$F,物件収支!$A:$A,$A761,物件収支!$C:$C,$M761))</f>
        <v>221000</v>
      </c>
      <c r="P761" s="1" t="n">
        <f aca="false">IF($A761="","",SUMIFS(物件収支!$I:$I,物件収支!$A:$A,$A761,物件収支!$C:$C,$M761))</f>
        <v>0</v>
      </c>
      <c r="Q761" s="1" t="n">
        <f aca="false">IF($A761="","",SUMIFS(物件収支!$O:$O,物件収支!$A:$A,$A761,物件収支!$C:$C,$M761))</f>
        <v>0</v>
      </c>
      <c r="R761" s="1" t="str">
        <f aca="false">IF($A761="","",IF(P761=0,"",O761-P761))</f>
        <v/>
      </c>
      <c r="S761" s="1" t="str">
        <f aca="false">IF($A761="","",IF(R761="","",R761+Q761))</f>
        <v/>
      </c>
      <c r="T761" s="1" t="str">
        <f aca="false">IF($A761="","",IF(OR(S761="",N761&lt;=0),"",S761/1000*12/N761))</f>
        <v/>
      </c>
      <c r="U761" s="1" t="str">
        <f aca="false">IF($A761="","",IF(OR(T761="",J761=0,J761=""),"",T761/J761))</f>
        <v/>
      </c>
      <c r="V761" s="1" t="str">
        <f aca="false">IF($A761="","",IF(OR(R761="",N761&lt;=0,J761=0,J761=""),"",(R761/1000*12/N761)/J761))</f>
        <v/>
      </c>
      <c r="W761" s="1" t="str">
        <f aca="false">IF($A761="","",IF(OR(T761="",K761=0,K761=""),"",T761/K761))</f>
        <v/>
      </c>
      <c r="X761" s="1" t="n">
        <f aca="false">IF($A761="","",IF(OR(N761&lt;=0,I761=0,I761="",O761=0),"",O761*1000/(I761*0.3025)/N761))</f>
        <v>20745.9007437818</v>
      </c>
      <c r="Y761" s="1" t="str">
        <f aca="false">IF($A761="","",IF(OR(O761=0,O761="",P761=0),"",P761/O761))</f>
        <v/>
      </c>
      <c r="Z761" s="1" t="str">
        <f aca="false">IF($A761="","",IFERROR(INDEX(物件収支!$E:$E,MATCH($A761,物件収支!$A:$A,0)),""))</f>
        <v>開示（物件別・収益のみ・百万円単位）</v>
      </c>
    </row>
    <row r="762" customFormat="false" ht="15" hidden="false" customHeight="true" outlineLevel="0" collapsed="false">
      <c r="A762" s="1" t="str">
        <f aca="false">IF(物件マスタ!A762="","",物件マスタ!A762)</f>
        <v>KDX-022</v>
      </c>
      <c r="B762" s="1" t="str">
        <f aca="false">IF($A762="","",物件マスタ!B762)</f>
        <v>KDX</v>
      </c>
      <c r="C762" s="1" t="str">
        <f aca="false">IF($A762="","",IFERROR(INDEX(法人マスタ!$C:$C,MATCH($B762,法人マスタ!$A:$A,0)),""))</f>
        <v>ＫＤＸ不動産投資法人</v>
      </c>
      <c r="D762" s="1" t="str">
        <f aca="false">IF($A762="","",物件マスタ!C762)</f>
        <v>KDX西新宿ビル</v>
      </c>
      <c r="E762" s="1" t="str">
        <f aca="false">IF($A762="","",物件マスタ!H762)</f>
        <v>東京経済圏（KDX区分）</v>
      </c>
      <c r="F762" s="1" t="n">
        <f aca="false">IF($A762="","",物件マスタ!P762)</f>
        <v>0</v>
      </c>
      <c r="G762" s="1" t="str">
        <f aca="false">IF($A762="","",物件マスタ!Q762)</f>
        <v/>
      </c>
      <c r="H762" s="1" t="n">
        <f aca="false">IF($A762="","",物件マスタ!L762)</f>
        <v>0</v>
      </c>
      <c r="I762" s="1" t="n">
        <f aca="false">IF($A762="","",物件マスタ!M762)</f>
        <v>1593.59</v>
      </c>
      <c r="J762" s="1" t="n">
        <f aca="false">IF($A762="","",物件マスタ!S762)</f>
        <v>1500</v>
      </c>
      <c r="K762" s="1" t="n">
        <f aca="false">IF($A762="","",物件マスタ!U762)</f>
        <v>1650</v>
      </c>
      <c r="L762" s="1" t="n">
        <f aca="false">IF($A762="","",物件マスタ!W762)</f>
        <v>1</v>
      </c>
      <c r="M762" s="1" t="str">
        <f aca="false">IF($A762="","",IFERROR(INDEX(法人マスタ!$H:$H,MATCH($B762,法人マスタ!$A:$A,0)),""))</f>
        <v>2026年4月期（第42期）</v>
      </c>
      <c r="N762" s="1" t="n">
        <f aca="false">IF($A762="","",SUMIFS(物件収支!$D:$D,物件収支!$A:$A,$A762,物件収支!$C:$C,$M762))</f>
        <v>6</v>
      </c>
      <c r="O762" s="1" t="n">
        <f aca="false">IF($A762="","",SUMIFS(物件収支!$F:$F,物件収支!$A:$A,$A762,物件収支!$C:$C,$M762))</f>
        <v>54000</v>
      </c>
      <c r="P762" s="1" t="n">
        <f aca="false">IF($A762="","",SUMIFS(物件収支!$I:$I,物件収支!$A:$A,$A762,物件収支!$C:$C,$M762))</f>
        <v>0</v>
      </c>
      <c r="Q762" s="1" t="n">
        <f aca="false">IF($A762="","",SUMIFS(物件収支!$O:$O,物件収支!$A:$A,$A762,物件収支!$C:$C,$M762))</f>
        <v>0</v>
      </c>
      <c r="R762" s="1" t="str">
        <f aca="false">IF($A762="","",IF(P762=0,"",O762-P762))</f>
        <v/>
      </c>
      <c r="S762" s="1" t="str">
        <f aca="false">IF($A762="","",IF(R762="","",R762+Q762))</f>
        <v/>
      </c>
      <c r="T762" s="1" t="str">
        <f aca="false">IF($A762="","",IF(OR(S762="",N762&lt;=0),"",S762/1000*12/N762))</f>
        <v/>
      </c>
      <c r="U762" s="1" t="str">
        <f aca="false">IF($A762="","",IF(OR(T762="",J762=0,J762=""),"",T762/J762))</f>
        <v/>
      </c>
      <c r="V762" s="1" t="str">
        <f aca="false">IF($A762="","",IF(OR(R762="",N762&lt;=0,J762=0,J762=""),"",(R762/1000*12/N762)/J762))</f>
        <v/>
      </c>
      <c r="W762" s="1" t="str">
        <f aca="false">IF($A762="","",IF(OR(T762="",K762=0,K762=""),"",T762/K762))</f>
        <v/>
      </c>
      <c r="X762" s="1" t="n">
        <f aca="false">IF($A762="","",IF(OR(N762&lt;=0,I762=0,I762="",O762=0),"",O762*1000/(I762*0.3025)/N762))</f>
        <v>18669.8373582305</v>
      </c>
      <c r="Y762" s="1" t="str">
        <f aca="false">IF($A762="","",IF(OR(O762=0,O762="",P762=0),"",P762/O762))</f>
        <v/>
      </c>
      <c r="Z762" s="1" t="str">
        <f aca="false">IF($A762="","",IFERROR(INDEX(物件収支!$E:$E,MATCH($A762,物件収支!$A:$A,0)),""))</f>
        <v>開示（物件別・収益のみ・百万円単位）</v>
      </c>
    </row>
    <row r="763" customFormat="false" ht="15" hidden="false" customHeight="true" outlineLevel="0" collapsed="false">
      <c r="A763" s="1" t="str">
        <f aca="false">IF(物件マスタ!A763="","",物件マスタ!A763)</f>
        <v>KDX-023</v>
      </c>
      <c r="B763" s="1" t="str">
        <f aca="false">IF($A763="","",物件マスタ!B763)</f>
        <v>KDX</v>
      </c>
      <c r="C763" s="1" t="str">
        <f aca="false">IF($A763="","",IFERROR(INDEX(法人マスタ!$C:$C,MATCH($B763,法人マスタ!$A:$A,0)),""))</f>
        <v>ＫＤＸ不動産投資法人</v>
      </c>
      <c r="D763" s="1" t="str">
        <f aca="false">IF($A763="","",物件マスタ!C763)</f>
        <v>飛栄九段北ビル</v>
      </c>
      <c r="E763" s="1" t="str">
        <f aca="false">IF($A763="","",物件マスタ!H763)</f>
        <v>東京経済圏（KDX区分）</v>
      </c>
      <c r="F763" s="1" t="n">
        <f aca="false">IF($A763="","",物件マスタ!P763)</f>
        <v>0</v>
      </c>
      <c r="G763" s="1" t="str">
        <f aca="false">IF($A763="","",物件マスタ!Q763)</f>
        <v/>
      </c>
      <c r="H763" s="1" t="n">
        <f aca="false">IF($A763="","",物件マスタ!L763)</f>
        <v>0</v>
      </c>
      <c r="I763" s="1" t="n">
        <f aca="false">IF($A763="","",物件マスタ!M763)</f>
        <v>6878.61</v>
      </c>
      <c r="J763" s="1" t="n">
        <f aca="false">IF($A763="","",物件マスタ!S763)</f>
        <v>7600</v>
      </c>
      <c r="K763" s="1" t="n">
        <f aca="false">IF($A763="","",物件マスタ!U763)</f>
        <v>8690</v>
      </c>
      <c r="L763" s="1" t="n">
        <f aca="false">IF($A763="","",物件マスタ!W763)</f>
        <v>1</v>
      </c>
      <c r="M763" s="1" t="str">
        <f aca="false">IF($A763="","",IFERROR(INDEX(法人マスタ!$H:$H,MATCH($B763,法人マスタ!$A:$A,0)),""))</f>
        <v>2026年4月期（第42期）</v>
      </c>
      <c r="N763" s="1" t="n">
        <f aca="false">IF($A763="","",SUMIFS(物件収支!$D:$D,物件収支!$A:$A,$A763,物件収支!$C:$C,$M763))</f>
        <v>6</v>
      </c>
      <c r="O763" s="1" t="n">
        <f aca="false">IF($A763="","",SUMIFS(物件収支!$F:$F,物件収支!$A:$A,$A763,物件収支!$C:$C,$M763))</f>
        <v>255000</v>
      </c>
      <c r="P763" s="1" t="n">
        <f aca="false">IF($A763="","",SUMIFS(物件収支!$I:$I,物件収支!$A:$A,$A763,物件収支!$C:$C,$M763))</f>
        <v>0</v>
      </c>
      <c r="Q763" s="1" t="n">
        <f aca="false">IF($A763="","",SUMIFS(物件収支!$O:$O,物件収支!$A:$A,$A763,物件収支!$C:$C,$M763))</f>
        <v>0</v>
      </c>
      <c r="R763" s="1" t="str">
        <f aca="false">IF($A763="","",IF(P763=0,"",O763-P763))</f>
        <v/>
      </c>
      <c r="S763" s="1" t="str">
        <f aca="false">IF($A763="","",IF(R763="","",R763+Q763))</f>
        <v/>
      </c>
      <c r="T763" s="1" t="str">
        <f aca="false">IF($A763="","",IF(OR(S763="",N763&lt;=0),"",S763/1000*12/N763))</f>
        <v/>
      </c>
      <c r="U763" s="1" t="str">
        <f aca="false">IF($A763="","",IF(OR(T763="",J763=0,J763=""),"",T763/J763))</f>
        <v/>
      </c>
      <c r="V763" s="1" t="str">
        <f aca="false">IF($A763="","",IF(OR(R763="",N763&lt;=0,J763=0,J763=""),"",(R763/1000*12/N763)/J763))</f>
        <v/>
      </c>
      <c r="W763" s="1" t="str">
        <f aca="false">IF($A763="","",IF(OR(T763="",K763=0,K763=""),"",T763/K763))</f>
        <v/>
      </c>
      <c r="X763" s="1" t="n">
        <f aca="false">IF($A763="","",IF(OR(N763&lt;=0,I763=0,I763="",O763=0),"",O763*1000/(I763*0.3025)/N763))</f>
        <v>20425.0375829703</v>
      </c>
      <c r="Y763" s="1" t="str">
        <f aca="false">IF($A763="","",IF(OR(O763=0,O763="",P763=0),"",P763/O763))</f>
        <v/>
      </c>
      <c r="Z763" s="1" t="str">
        <f aca="false">IF($A763="","",IFERROR(INDEX(物件収支!$E:$E,MATCH($A763,物件収支!$A:$A,0)),""))</f>
        <v>開示（物件別・収益のみ・百万円単位）</v>
      </c>
    </row>
    <row r="764" customFormat="false" ht="15" hidden="false" customHeight="true" outlineLevel="0" collapsed="false">
      <c r="A764" s="1" t="str">
        <f aca="false">IF(物件マスタ!A764="","",物件マスタ!A764)</f>
        <v>KDX-024</v>
      </c>
      <c r="B764" s="1" t="str">
        <f aca="false">IF($A764="","",物件マスタ!B764)</f>
        <v>KDX</v>
      </c>
      <c r="C764" s="1" t="str">
        <f aca="false">IF($A764="","",IFERROR(INDEX(法人マスタ!$C:$C,MATCH($B764,法人マスタ!$A:$A,0)),""))</f>
        <v>ＫＤＸ不動産投資法人</v>
      </c>
      <c r="D764" s="1" t="str">
        <f aca="false">IF($A764="","",物件マスタ!C764)</f>
        <v>KDX浜町中ノ橋ビル</v>
      </c>
      <c r="E764" s="1" t="str">
        <f aca="false">IF($A764="","",物件マスタ!H764)</f>
        <v>東京経済圏（KDX区分）</v>
      </c>
      <c r="F764" s="1" t="n">
        <f aca="false">IF($A764="","",物件マスタ!P764)</f>
        <v>0</v>
      </c>
      <c r="G764" s="1" t="str">
        <f aca="false">IF($A764="","",物件マスタ!Q764)</f>
        <v/>
      </c>
      <c r="H764" s="1" t="n">
        <f aca="false">IF($A764="","",物件マスタ!L764)</f>
        <v>0</v>
      </c>
      <c r="I764" s="1" t="n">
        <f aca="false">IF($A764="","",物件マスタ!M764)</f>
        <v>2236.08</v>
      </c>
      <c r="J764" s="1" t="n">
        <f aca="false">IF($A764="","",物件マスタ!S764)</f>
        <v>2310</v>
      </c>
      <c r="K764" s="1" t="n">
        <f aca="false">IF($A764="","",物件マスタ!U764)</f>
        <v>2340</v>
      </c>
      <c r="L764" s="1" t="n">
        <f aca="false">IF($A764="","",物件マスタ!W764)</f>
        <v>1</v>
      </c>
      <c r="M764" s="1" t="str">
        <f aca="false">IF($A764="","",IFERROR(INDEX(法人マスタ!$H:$H,MATCH($B764,法人マスタ!$A:$A,0)),""))</f>
        <v>2026年4月期（第42期）</v>
      </c>
      <c r="N764" s="1" t="n">
        <f aca="false">IF($A764="","",SUMIFS(物件収支!$D:$D,物件収支!$A:$A,$A764,物件収支!$C:$C,$M764))</f>
        <v>6</v>
      </c>
      <c r="O764" s="1" t="n">
        <f aca="false">IF($A764="","",SUMIFS(物件収支!$F:$F,物件収支!$A:$A,$A764,物件収支!$C:$C,$M764))</f>
        <v>77000</v>
      </c>
      <c r="P764" s="1" t="n">
        <f aca="false">IF($A764="","",SUMIFS(物件収支!$I:$I,物件収支!$A:$A,$A764,物件収支!$C:$C,$M764))</f>
        <v>0</v>
      </c>
      <c r="Q764" s="1" t="n">
        <f aca="false">IF($A764="","",SUMIFS(物件収支!$O:$O,物件収支!$A:$A,$A764,物件収支!$C:$C,$M764))</f>
        <v>0</v>
      </c>
      <c r="R764" s="1" t="str">
        <f aca="false">IF($A764="","",IF(P764=0,"",O764-P764))</f>
        <v/>
      </c>
      <c r="S764" s="1" t="str">
        <f aca="false">IF($A764="","",IF(R764="","",R764+Q764))</f>
        <v/>
      </c>
      <c r="T764" s="1" t="str">
        <f aca="false">IF($A764="","",IF(OR(S764="",N764&lt;=0),"",S764/1000*12/N764))</f>
        <v/>
      </c>
      <c r="U764" s="1" t="str">
        <f aca="false">IF($A764="","",IF(OR(T764="",J764=0,J764=""),"",T764/J764))</f>
        <v/>
      </c>
      <c r="V764" s="1" t="str">
        <f aca="false">IF($A764="","",IF(OR(R764="",N764&lt;=0,J764=0,J764=""),"",(R764/1000*12/N764)/J764))</f>
        <v/>
      </c>
      <c r="W764" s="1" t="str">
        <f aca="false">IF($A764="","",IF(OR(T764="",K764=0,K764=""),"",T764/K764))</f>
        <v/>
      </c>
      <c r="X764" s="1" t="n">
        <f aca="false">IF($A764="","",IF(OR(N764&lt;=0,I764=0,I764="",O764=0),"",O764*1000/(I764*0.3025)/N764))</f>
        <v>18972.5959823631</v>
      </c>
      <c r="Y764" s="1" t="str">
        <f aca="false">IF($A764="","",IF(OR(O764=0,O764="",P764=0),"",P764/O764))</f>
        <v/>
      </c>
      <c r="Z764" s="1" t="str">
        <f aca="false">IF($A764="","",IFERROR(INDEX(物件収支!$E:$E,MATCH($A764,物件収支!$A:$A,0)),""))</f>
        <v>開示（物件別・収益のみ・百万円単位）</v>
      </c>
    </row>
    <row r="765" customFormat="false" ht="15" hidden="false" customHeight="true" outlineLevel="0" collapsed="false">
      <c r="A765" s="1" t="str">
        <f aca="false">IF(物件マスタ!A765="","",物件マスタ!A765)</f>
        <v>KDX-025</v>
      </c>
      <c r="B765" s="1" t="str">
        <f aca="false">IF($A765="","",物件マスタ!B765)</f>
        <v>KDX</v>
      </c>
      <c r="C765" s="1" t="str">
        <f aca="false">IF($A765="","",IFERROR(INDEX(法人マスタ!$C:$C,MATCH($B765,法人マスタ!$A:$A,0)),""))</f>
        <v>ＫＤＸ不動産投資法人</v>
      </c>
      <c r="D765" s="1" t="str">
        <f aca="false">IF($A765="","",物件マスタ!C765)</f>
        <v>新都心丸善ビル</v>
      </c>
      <c r="E765" s="1" t="str">
        <f aca="false">IF($A765="","",物件マスタ!H765)</f>
        <v>（期中譲渡済）</v>
      </c>
      <c r="F765" s="1" t="n">
        <f aca="false">IF($A765="","",物件マスタ!P765)</f>
        <v>0</v>
      </c>
      <c r="G765" s="1" t="str">
        <f aca="false">IF($A765="","",物件マスタ!Q765)</f>
        <v/>
      </c>
      <c r="H765" s="1" t="n">
        <f aca="false">IF($A765="","",物件マスタ!L765)</f>
        <v>0</v>
      </c>
      <c r="I765" s="1" t="n">
        <f aca="false">IF($A765="","",物件マスタ!M765)</f>
        <v>0</v>
      </c>
      <c r="J765" s="1" t="n">
        <f aca="false">IF($A765="","",物件マスタ!S765)</f>
        <v>0</v>
      </c>
      <c r="K765" s="1" t="n">
        <f aca="false">IF($A765="","",物件マスタ!U765)</f>
        <v>0</v>
      </c>
      <c r="L765" s="1" t="n">
        <f aca="false">IF($A765="","",物件マスタ!W765)</f>
        <v>0</v>
      </c>
      <c r="M765" s="1" t="str">
        <f aca="false">IF($A765="","",IFERROR(INDEX(法人マスタ!$H:$H,MATCH($B765,法人マスタ!$A:$A,0)),""))</f>
        <v>2026年4月期（第42期）</v>
      </c>
      <c r="N765" s="1" t="n">
        <f aca="false">IF($A765="","",SUMIFS(物件収支!$D:$D,物件収支!$A:$A,$A765,物件収支!$C:$C,$M765))</f>
        <v>6</v>
      </c>
      <c r="O765" s="1" t="n">
        <f aca="false">IF($A765="","",SUMIFS(物件収支!$F:$F,物件収支!$A:$A,$A765,物件収支!$C:$C,$M765))</f>
        <v>43000</v>
      </c>
      <c r="P765" s="1" t="n">
        <f aca="false">IF($A765="","",SUMIFS(物件収支!$I:$I,物件収支!$A:$A,$A765,物件収支!$C:$C,$M765))</f>
        <v>0</v>
      </c>
      <c r="Q765" s="1" t="n">
        <f aca="false">IF($A765="","",SUMIFS(物件収支!$O:$O,物件収支!$A:$A,$A765,物件収支!$C:$C,$M765))</f>
        <v>0</v>
      </c>
      <c r="R765" s="1" t="str">
        <f aca="false">IF($A765="","",IF(P765=0,"",O765-P765))</f>
        <v/>
      </c>
      <c r="S765" s="1" t="str">
        <f aca="false">IF($A765="","",IF(R765="","",R765+Q765))</f>
        <v/>
      </c>
      <c r="T765" s="1" t="str">
        <f aca="false">IF($A765="","",IF(OR(S765="",N765&lt;=0),"",S765/1000*12/N765))</f>
        <v/>
      </c>
      <c r="U765" s="1" t="str">
        <f aca="false">IF($A765="","",IF(OR(T765="",J765=0,J765=""),"",T765/J765))</f>
        <v/>
      </c>
      <c r="V765" s="1" t="str">
        <f aca="false">IF($A765="","",IF(OR(R765="",N765&lt;=0,J765=0,J765=""),"",(R765/1000*12/N765)/J765))</f>
        <v/>
      </c>
      <c r="W765" s="1" t="str">
        <f aca="false">IF($A765="","",IF(OR(T765="",K765=0,K765=""),"",T765/K765))</f>
        <v/>
      </c>
      <c r="X765" s="1" t="str">
        <f aca="false">IF($A765="","",IF(OR(N765&lt;=0,I765=0,I765="",O765=0),"",O765*1000/(I765*0.3025)/N765))</f>
        <v/>
      </c>
      <c r="Y765" s="1" t="str">
        <f aca="false">IF($A765="","",IF(OR(O765=0,O765="",P765=0),"",P765/O765))</f>
        <v/>
      </c>
      <c r="Z765" s="1" t="str">
        <f aca="false">IF($A765="","",IFERROR(INDEX(物件収支!$E:$E,MATCH($A765,物件収支!$A:$A,0)),""))</f>
        <v>開示（期中譲渡・収益のみ・百万円単位）</v>
      </c>
    </row>
    <row r="766" customFormat="false" ht="15" hidden="false" customHeight="true" outlineLevel="0" collapsed="false">
      <c r="A766" s="1" t="str">
        <f aca="false">IF(物件マスタ!A766="","",物件マスタ!A766)</f>
        <v>KDX-026</v>
      </c>
      <c r="B766" s="1" t="str">
        <f aca="false">IF($A766="","",物件マスタ!B766)</f>
        <v>KDX</v>
      </c>
      <c r="C766" s="1" t="str">
        <f aca="false">IF($A766="","",IFERROR(INDEX(法人マスタ!$C:$C,MATCH($B766,法人マスタ!$A:$A,0)),""))</f>
        <v>ＫＤＸ不動産投資法人</v>
      </c>
      <c r="D766" s="1" t="str">
        <f aca="false">IF($A766="","",物件マスタ!C766)</f>
        <v>KDX神保町ビル</v>
      </c>
      <c r="E766" s="1" t="str">
        <f aca="false">IF($A766="","",物件マスタ!H766)</f>
        <v>東京経済圏（KDX区分）</v>
      </c>
      <c r="F766" s="1" t="n">
        <f aca="false">IF($A766="","",物件マスタ!P766)</f>
        <v>0</v>
      </c>
      <c r="G766" s="1" t="str">
        <f aca="false">IF($A766="","",物件マスタ!Q766)</f>
        <v/>
      </c>
      <c r="H766" s="1" t="n">
        <f aca="false">IF($A766="","",物件マスタ!L766)</f>
        <v>0</v>
      </c>
      <c r="I766" s="1" t="n">
        <f aca="false">IF($A766="","",物件マスタ!M766)</f>
        <v>2323.44</v>
      </c>
      <c r="J766" s="1" t="n">
        <f aca="false">IF($A766="","",物件マスタ!S766)</f>
        <v>2760</v>
      </c>
      <c r="K766" s="1" t="n">
        <f aca="false">IF($A766="","",物件マスタ!U766)</f>
        <v>2480</v>
      </c>
      <c r="L766" s="1" t="n">
        <f aca="false">IF($A766="","",物件マスタ!W766)</f>
        <v>1</v>
      </c>
      <c r="M766" s="1" t="str">
        <f aca="false">IF($A766="","",IFERROR(INDEX(法人マスタ!$H:$H,MATCH($B766,法人マスタ!$A:$A,0)),""))</f>
        <v>2026年4月期（第42期）</v>
      </c>
      <c r="N766" s="1" t="n">
        <f aca="false">IF($A766="","",SUMIFS(物件収支!$D:$D,物件収支!$A:$A,$A766,物件収支!$C:$C,$M766))</f>
        <v>6</v>
      </c>
      <c r="O766" s="1" t="n">
        <f aca="false">IF($A766="","",SUMIFS(物件収支!$F:$F,物件収支!$A:$A,$A766,物件収支!$C:$C,$M766))</f>
        <v>76000</v>
      </c>
      <c r="P766" s="1" t="n">
        <f aca="false">IF($A766="","",SUMIFS(物件収支!$I:$I,物件収支!$A:$A,$A766,物件収支!$C:$C,$M766))</f>
        <v>0</v>
      </c>
      <c r="Q766" s="1" t="n">
        <f aca="false">IF($A766="","",SUMIFS(物件収支!$O:$O,物件収支!$A:$A,$A766,物件収支!$C:$C,$M766))</f>
        <v>0</v>
      </c>
      <c r="R766" s="1" t="str">
        <f aca="false">IF($A766="","",IF(P766=0,"",O766-P766))</f>
        <v/>
      </c>
      <c r="S766" s="1" t="str">
        <f aca="false">IF($A766="","",IF(R766="","",R766+Q766))</f>
        <v/>
      </c>
      <c r="T766" s="1" t="str">
        <f aca="false">IF($A766="","",IF(OR(S766="",N766&lt;=0),"",S766/1000*12/N766))</f>
        <v/>
      </c>
      <c r="U766" s="1" t="str">
        <f aca="false">IF($A766="","",IF(OR(T766="",J766=0,J766=""),"",T766/J766))</f>
        <v/>
      </c>
      <c r="V766" s="1" t="str">
        <f aca="false">IF($A766="","",IF(OR(R766="",N766&lt;=0,J766=0,J766=""),"",(R766/1000*12/N766)/J766))</f>
        <v/>
      </c>
      <c r="W766" s="1" t="str">
        <f aca="false">IF($A766="","",IF(OR(T766="",K766=0,K766=""),"",T766/K766))</f>
        <v/>
      </c>
      <c r="X766" s="1" t="n">
        <f aca="false">IF($A766="","",IF(OR(N766&lt;=0,I766=0,I766="",O766=0),"",O766*1000/(I766*0.3025)/N766))</f>
        <v>18022.1043956007</v>
      </c>
      <c r="Y766" s="1" t="str">
        <f aca="false">IF($A766="","",IF(OR(O766=0,O766="",P766=0),"",P766/O766))</f>
        <v/>
      </c>
      <c r="Z766" s="1" t="str">
        <f aca="false">IF($A766="","",IFERROR(INDEX(物件収支!$E:$E,MATCH($A766,物件収支!$A:$A,0)),""))</f>
        <v>開示（物件別・収益のみ・百万円単位）</v>
      </c>
    </row>
    <row r="767" customFormat="false" ht="15" hidden="false" customHeight="true" outlineLevel="0" collapsed="false">
      <c r="A767" s="1" t="str">
        <f aca="false">IF(物件マスタ!A767="","",物件マスタ!A767)</f>
        <v>KDX-027</v>
      </c>
      <c r="B767" s="1" t="str">
        <f aca="false">IF($A767="","",物件マスタ!B767)</f>
        <v>KDX</v>
      </c>
      <c r="C767" s="1" t="str">
        <f aca="false">IF($A767="","",IFERROR(INDEX(法人マスタ!$C:$C,MATCH($B767,法人マスタ!$A:$A,0)),""))</f>
        <v>ＫＤＸ不動産投資法人</v>
      </c>
      <c r="D767" s="1" t="str">
        <f aca="false">IF($A767="","",物件マスタ!C767)</f>
        <v>KDX晴海ビル</v>
      </c>
      <c r="E767" s="1" t="str">
        <f aca="false">IF($A767="","",物件マスタ!H767)</f>
        <v>東京経済圏（KDX区分）</v>
      </c>
      <c r="F767" s="1" t="n">
        <f aca="false">IF($A767="","",物件マスタ!P767)</f>
        <v>0</v>
      </c>
      <c r="G767" s="1" t="str">
        <f aca="false">IF($A767="","",物件マスタ!Q767)</f>
        <v/>
      </c>
      <c r="H767" s="1" t="n">
        <f aca="false">IF($A767="","",物件マスタ!L767)</f>
        <v>0</v>
      </c>
      <c r="I767" s="1" t="n">
        <f aca="false">IF($A767="","",物件マスタ!M767)</f>
        <v>9294</v>
      </c>
      <c r="J767" s="1" t="n">
        <f aca="false">IF($A767="","",物件マスタ!S767)</f>
        <v>10250</v>
      </c>
      <c r="K767" s="1" t="n">
        <f aca="false">IF($A767="","",物件マスタ!U767)</f>
        <v>8520</v>
      </c>
      <c r="L767" s="1" t="n">
        <f aca="false">IF($A767="","",物件マスタ!W767)</f>
        <v>0.967</v>
      </c>
      <c r="M767" s="1" t="str">
        <f aca="false">IF($A767="","",IFERROR(INDEX(法人マスタ!$H:$H,MATCH($B767,法人マスタ!$A:$A,0)),""))</f>
        <v>2026年4月期（第42期）</v>
      </c>
      <c r="N767" s="1" t="n">
        <f aca="false">IF($A767="","",SUMIFS(物件収支!$D:$D,物件収支!$A:$A,$A767,物件収支!$C:$C,$M767))</f>
        <v>6</v>
      </c>
      <c r="O767" s="1" t="n">
        <f aca="false">IF($A767="","",SUMIFS(物件収支!$F:$F,物件収支!$A:$A,$A767,物件収支!$C:$C,$M767))</f>
        <v>249000</v>
      </c>
      <c r="P767" s="1" t="n">
        <f aca="false">IF($A767="","",SUMIFS(物件収支!$I:$I,物件収支!$A:$A,$A767,物件収支!$C:$C,$M767))</f>
        <v>0</v>
      </c>
      <c r="Q767" s="1" t="n">
        <f aca="false">IF($A767="","",SUMIFS(物件収支!$O:$O,物件収支!$A:$A,$A767,物件収支!$C:$C,$M767))</f>
        <v>0</v>
      </c>
      <c r="R767" s="1" t="str">
        <f aca="false">IF($A767="","",IF(P767=0,"",O767-P767))</f>
        <v/>
      </c>
      <c r="S767" s="1" t="str">
        <f aca="false">IF($A767="","",IF(R767="","",R767+Q767))</f>
        <v/>
      </c>
      <c r="T767" s="1" t="str">
        <f aca="false">IF($A767="","",IF(OR(S767="",N767&lt;=0),"",S767/1000*12/N767))</f>
        <v/>
      </c>
      <c r="U767" s="1" t="str">
        <f aca="false">IF($A767="","",IF(OR(T767="",J767=0,J767=""),"",T767/J767))</f>
        <v/>
      </c>
      <c r="V767" s="1" t="str">
        <f aca="false">IF($A767="","",IF(OR(R767="",N767&lt;=0,J767=0,J767=""),"",(R767/1000*12/N767)/J767))</f>
        <v/>
      </c>
      <c r="W767" s="1" t="str">
        <f aca="false">IF($A767="","",IF(OR(T767="",K767=0,K767=""),"",T767/K767))</f>
        <v/>
      </c>
      <c r="X767" s="1" t="n">
        <f aca="false">IF($A767="","",IF(OR(N767&lt;=0,I767=0,I767="",O767=0),"",O767*1000/(I767*0.3025)/N767))</f>
        <v>14761.1451091702</v>
      </c>
      <c r="Y767" s="1" t="str">
        <f aca="false">IF($A767="","",IF(OR(O767=0,O767="",P767=0),"",P767/O767))</f>
        <v/>
      </c>
      <c r="Z767" s="1" t="str">
        <f aca="false">IF($A767="","",IFERROR(INDEX(物件収支!$E:$E,MATCH($A767,物件収支!$A:$A,0)),""))</f>
        <v>開示（物件別・収益のみ・百万円単位）</v>
      </c>
    </row>
    <row r="768" customFormat="false" ht="15" hidden="false" customHeight="true" outlineLevel="0" collapsed="false">
      <c r="A768" s="1" t="str">
        <f aca="false">IF(物件マスタ!A768="","",物件マスタ!A768)</f>
        <v>KDX-028</v>
      </c>
      <c r="B768" s="1" t="str">
        <f aca="false">IF($A768="","",物件マスタ!B768)</f>
        <v>KDX</v>
      </c>
      <c r="C768" s="1" t="str">
        <f aca="false">IF($A768="","",IFERROR(INDEX(法人マスタ!$C:$C,MATCH($B768,法人マスタ!$A:$A,0)),""))</f>
        <v>ＫＤＸ不動産投資法人</v>
      </c>
      <c r="D768" s="1" t="str">
        <f aca="false">IF($A768="","",物件マスタ!C768)</f>
        <v>KDX文京小石川ビル</v>
      </c>
      <c r="E768" s="1" t="str">
        <f aca="false">IF($A768="","",物件マスタ!H768)</f>
        <v>東京経済圏（KDX区分）</v>
      </c>
      <c r="F768" s="1" t="n">
        <f aca="false">IF($A768="","",物件マスタ!P768)</f>
        <v>0</v>
      </c>
      <c r="G768" s="1" t="str">
        <f aca="false">IF($A768="","",物件マスタ!Q768)</f>
        <v/>
      </c>
      <c r="H768" s="1" t="n">
        <f aca="false">IF($A768="","",物件マスタ!L768)</f>
        <v>0</v>
      </c>
      <c r="I768" s="1" t="n">
        <f aca="false">IF($A768="","",物件マスタ!M768)</f>
        <v>3934.35</v>
      </c>
      <c r="J768" s="1" t="n">
        <f aca="false">IF($A768="","",物件マスタ!S768)</f>
        <v>3080</v>
      </c>
      <c r="K768" s="1" t="n">
        <f aca="false">IF($A768="","",物件マスタ!U768)</f>
        <v>3750</v>
      </c>
      <c r="L768" s="1" t="n">
        <f aca="false">IF($A768="","",物件マスタ!W768)</f>
        <v>1</v>
      </c>
      <c r="M768" s="1" t="str">
        <f aca="false">IF($A768="","",IFERROR(INDEX(法人マスタ!$H:$H,MATCH($B768,法人マスタ!$A:$A,0)),""))</f>
        <v>2026年4月期（第42期）</v>
      </c>
      <c r="N768" s="1" t="n">
        <f aca="false">IF($A768="","",SUMIFS(物件収支!$D:$D,物件収支!$A:$A,$A768,物件収支!$C:$C,$M768))</f>
        <v>6</v>
      </c>
      <c r="O768" s="1" t="n">
        <f aca="false">IF($A768="","",SUMIFS(物件収支!$F:$F,物件収支!$A:$A,$A768,物件収支!$C:$C,$M768))</f>
        <v>128000</v>
      </c>
      <c r="P768" s="1" t="n">
        <f aca="false">IF($A768="","",SUMIFS(物件収支!$I:$I,物件収支!$A:$A,$A768,物件収支!$C:$C,$M768))</f>
        <v>0</v>
      </c>
      <c r="Q768" s="1" t="n">
        <f aca="false">IF($A768="","",SUMIFS(物件収支!$O:$O,物件収支!$A:$A,$A768,物件収支!$C:$C,$M768))</f>
        <v>0</v>
      </c>
      <c r="R768" s="1" t="str">
        <f aca="false">IF($A768="","",IF(P768=0,"",O768-P768))</f>
        <v/>
      </c>
      <c r="S768" s="1" t="str">
        <f aca="false">IF($A768="","",IF(R768="","",R768+Q768))</f>
        <v/>
      </c>
      <c r="T768" s="1" t="str">
        <f aca="false">IF($A768="","",IF(OR(S768="",N768&lt;=0),"",S768/1000*12/N768))</f>
        <v/>
      </c>
      <c r="U768" s="1" t="str">
        <f aca="false">IF($A768="","",IF(OR(T768="",J768=0,J768=""),"",T768/J768))</f>
        <v/>
      </c>
      <c r="V768" s="1" t="str">
        <f aca="false">IF($A768="","",IF(OR(R768="",N768&lt;=0,J768=0,J768=""),"",(R768/1000*12/N768)/J768))</f>
        <v/>
      </c>
      <c r="W768" s="1" t="str">
        <f aca="false">IF($A768="","",IF(OR(T768="",K768=0,K768=""),"",T768/K768))</f>
        <v/>
      </c>
      <c r="X768" s="1" t="n">
        <f aca="false">IF($A768="","",IF(OR(N768&lt;=0,I768=0,I768="",O768=0),"",O768*1000/(I768*0.3025)/N768))</f>
        <v>17925.0488588868</v>
      </c>
      <c r="Y768" s="1" t="str">
        <f aca="false">IF($A768="","",IF(OR(O768=0,O768="",P768=0),"",P768/O768))</f>
        <v/>
      </c>
      <c r="Z768" s="1" t="str">
        <f aca="false">IF($A768="","",IFERROR(INDEX(物件収支!$E:$E,MATCH($A768,物件収支!$A:$A,0)),""))</f>
        <v>開示（物件別・収益のみ・百万円単位）</v>
      </c>
    </row>
    <row r="769" customFormat="false" ht="15" hidden="false" customHeight="true" outlineLevel="0" collapsed="false">
      <c r="A769" s="1" t="str">
        <f aca="false">IF(物件マスタ!A769="","",物件マスタ!A769)</f>
        <v>KDX-029</v>
      </c>
      <c r="B769" s="1" t="str">
        <f aca="false">IF($A769="","",物件マスタ!B769)</f>
        <v>KDX</v>
      </c>
      <c r="C769" s="1" t="str">
        <f aca="false">IF($A769="","",IFERROR(INDEX(法人マスタ!$C:$C,MATCH($B769,法人マスタ!$A:$A,0)),""))</f>
        <v>ＫＤＸ不動産投資法人</v>
      </c>
      <c r="D769" s="1" t="str">
        <f aca="false">IF($A769="","",物件マスタ!C769)</f>
        <v>KDX五反田ビル</v>
      </c>
      <c r="E769" s="1" t="str">
        <f aca="false">IF($A769="","",物件マスタ!H769)</f>
        <v>東京経済圏（KDX区分）</v>
      </c>
      <c r="F769" s="1" t="n">
        <f aca="false">IF($A769="","",物件マスタ!P769)</f>
        <v>0</v>
      </c>
      <c r="G769" s="1" t="str">
        <f aca="false">IF($A769="","",物件マスタ!Q769)</f>
        <v/>
      </c>
      <c r="H769" s="1" t="n">
        <f aca="false">IF($A769="","",物件マスタ!L769)</f>
        <v>0</v>
      </c>
      <c r="I769" s="1" t="n">
        <f aca="false">IF($A769="","",物件マスタ!M769)</f>
        <v>3157.04</v>
      </c>
      <c r="J769" s="1" t="n">
        <f aca="false">IF($A769="","",物件マスタ!S769)</f>
        <v>2620</v>
      </c>
      <c r="K769" s="1" t="n">
        <f aca="false">IF($A769="","",物件マスタ!U769)</f>
        <v>3850</v>
      </c>
      <c r="L769" s="1" t="n">
        <f aca="false">IF($A769="","",物件マスタ!W769)</f>
        <v>1</v>
      </c>
      <c r="M769" s="1" t="str">
        <f aca="false">IF($A769="","",IFERROR(INDEX(法人マスタ!$H:$H,MATCH($B769,法人マスタ!$A:$A,0)),""))</f>
        <v>2026年4月期（第42期）</v>
      </c>
      <c r="N769" s="1" t="n">
        <f aca="false">IF($A769="","",SUMIFS(物件収支!$D:$D,物件収支!$A:$A,$A769,物件収支!$C:$C,$M769))</f>
        <v>6</v>
      </c>
      <c r="O769" s="1" t="n">
        <f aca="false">IF($A769="","",SUMIFS(物件収支!$F:$F,物件収支!$A:$A,$A769,物件収支!$C:$C,$M769))</f>
        <v>116000</v>
      </c>
      <c r="P769" s="1" t="n">
        <f aca="false">IF($A769="","",SUMIFS(物件収支!$I:$I,物件収支!$A:$A,$A769,物件収支!$C:$C,$M769))</f>
        <v>0</v>
      </c>
      <c r="Q769" s="1" t="n">
        <f aca="false">IF($A769="","",SUMIFS(物件収支!$O:$O,物件収支!$A:$A,$A769,物件収支!$C:$C,$M769))</f>
        <v>0</v>
      </c>
      <c r="R769" s="1" t="str">
        <f aca="false">IF($A769="","",IF(P769=0,"",O769-P769))</f>
        <v/>
      </c>
      <c r="S769" s="1" t="str">
        <f aca="false">IF($A769="","",IF(R769="","",R769+Q769))</f>
        <v/>
      </c>
      <c r="T769" s="1" t="str">
        <f aca="false">IF($A769="","",IF(OR(S769="",N769&lt;=0),"",S769/1000*12/N769))</f>
        <v/>
      </c>
      <c r="U769" s="1" t="str">
        <f aca="false">IF($A769="","",IF(OR(T769="",J769=0,J769=""),"",T769/J769))</f>
        <v/>
      </c>
      <c r="V769" s="1" t="str">
        <f aca="false">IF($A769="","",IF(OR(R769="",N769&lt;=0,J769=0,J769=""),"",(R769/1000*12/N769)/J769))</f>
        <v/>
      </c>
      <c r="W769" s="1" t="str">
        <f aca="false">IF($A769="","",IF(OR(T769="",K769=0,K769=""),"",T769/K769))</f>
        <v/>
      </c>
      <c r="X769" s="1" t="n">
        <f aca="false">IF($A769="","",IF(OR(N769&lt;=0,I769=0,I769="",O769=0),"",O769*1000/(I769*0.3025)/N769))</f>
        <v>20244.2305862541</v>
      </c>
      <c r="Y769" s="1" t="str">
        <f aca="false">IF($A769="","",IF(OR(O769=0,O769="",P769=0),"",P769/O769))</f>
        <v/>
      </c>
      <c r="Z769" s="1" t="str">
        <f aca="false">IF($A769="","",IFERROR(INDEX(物件収支!$E:$E,MATCH($A769,物件収支!$A:$A,0)),""))</f>
        <v>開示（物件別・収益のみ・百万円単位）</v>
      </c>
    </row>
    <row r="770" customFormat="false" ht="15" hidden="false" customHeight="true" outlineLevel="0" collapsed="false">
      <c r="A770" s="1" t="str">
        <f aca="false">IF(物件マスタ!A770="","",物件マスタ!A770)</f>
        <v>KDX-030</v>
      </c>
      <c r="B770" s="1" t="str">
        <f aca="false">IF($A770="","",物件マスタ!B770)</f>
        <v>KDX</v>
      </c>
      <c r="C770" s="1" t="str">
        <f aca="false">IF($A770="","",IFERROR(INDEX(法人マスタ!$C:$C,MATCH($B770,法人マスタ!$A:$A,0)),""))</f>
        <v>ＫＤＸ不動産投資法人</v>
      </c>
      <c r="D770" s="1" t="str">
        <f aca="false">IF($A770="","",物件マスタ!C770)</f>
        <v>KDX日本橋216ビル</v>
      </c>
      <c r="E770" s="1" t="str">
        <f aca="false">IF($A770="","",物件マスタ!H770)</f>
        <v>東京経済圏（KDX区分）</v>
      </c>
      <c r="F770" s="1" t="n">
        <f aca="false">IF($A770="","",物件マスタ!P770)</f>
        <v>0</v>
      </c>
      <c r="G770" s="1" t="str">
        <f aca="false">IF($A770="","",物件マスタ!Q770)</f>
        <v/>
      </c>
      <c r="H770" s="1" t="n">
        <f aca="false">IF($A770="","",物件マスタ!L770)</f>
        <v>0</v>
      </c>
      <c r="I770" s="1" t="n">
        <f aca="false">IF($A770="","",物件マスタ!M770)</f>
        <v>1615.2</v>
      </c>
      <c r="J770" s="1" t="n">
        <f aca="false">IF($A770="","",物件マスタ!S770)</f>
        <v>2010</v>
      </c>
      <c r="K770" s="1" t="n">
        <f aca="false">IF($A770="","",物件マスタ!U770)</f>
        <v>2950</v>
      </c>
      <c r="L770" s="1" t="n">
        <f aca="false">IF($A770="","",物件マスタ!W770)</f>
        <v>1</v>
      </c>
      <c r="M770" s="1" t="str">
        <f aca="false">IF($A770="","",IFERROR(INDEX(法人マスタ!$H:$H,MATCH($B770,法人マスタ!$A:$A,0)),""))</f>
        <v>2026年4月期（第42期）</v>
      </c>
      <c r="N770" s="1" t="n">
        <f aca="false">IF($A770="","",SUMIFS(物件収支!$D:$D,物件収支!$A:$A,$A770,物件収支!$C:$C,$M770))</f>
        <v>6</v>
      </c>
      <c r="O770" s="1" t="n">
        <f aca="false">IF($A770="","",SUMIFS(物件収支!$F:$F,物件収支!$A:$A,$A770,物件収支!$C:$C,$M770))</f>
        <v>71000</v>
      </c>
      <c r="P770" s="1" t="n">
        <f aca="false">IF($A770="","",SUMIFS(物件収支!$I:$I,物件収支!$A:$A,$A770,物件収支!$C:$C,$M770))</f>
        <v>0</v>
      </c>
      <c r="Q770" s="1" t="n">
        <f aca="false">IF($A770="","",SUMIFS(物件収支!$O:$O,物件収支!$A:$A,$A770,物件収支!$C:$C,$M770))</f>
        <v>0</v>
      </c>
      <c r="R770" s="1" t="str">
        <f aca="false">IF($A770="","",IF(P770=0,"",O770-P770))</f>
        <v/>
      </c>
      <c r="S770" s="1" t="str">
        <f aca="false">IF($A770="","",IF(R770="","",R770+Q770))</f>
        <v/>
      </c>
      <c r="T770" s="1" t="str">
        <f aca="false">IF($A770="","",IF(OR(S770="",N770&lt;=0),"",S770/1000*12/N770))</f>
        <v/>
      </c>
      <c r="U770" s="1" t="str">
        <f aca="false">IF($A770="","",IF(OR(T770="",J770=0,J770=""),"",T770/J770))</f>
        <v/>
      </c>
      <c r="V770" s="1" t="str">
        <f aca="false">IF($A770="","",IF(OR(R770="",N770&lt;=0,J770=0,J770=""),"",(R770/1000*12/N770)/J770))</f>
        <v/>
      </c>
      <c r="W770" s="1" t="str">
        <f aca="false">IF($A770="","",IF(OR(T770="",K770=0,K770=""),"",T770/K770))</f>
        <v/>
      </c>
      <c r="X770" s="1" t="n">
        <f aca="false">IF($A770="","",IF(OR(N770&lt;=0,I770=0,I770="",O770=0),"",O770*1000/(I770*0.3025)/N770))</f>
        <v>24218.9557332067</v>
      </c>
      <c r="Y770" s="1" t="str">
        <f aca="false">IF($A770="","",IF(OR(O770=0,O770="",P770=0),"",P770/O770))</f>
        <v/>
      </c>
      <c r="Z770" s="1" t="str">
        <f aca="false">IF($A770="","",IFERROR(INDEX(物件収支!$E:$E,MATCH($A770,物件収支!$A:$A,0)),""))</f>
        <v>開示（物件別・収益のみ・百万円単位）</v>
      </c>
    </row>
    <row r="771" customFormat="false" ht="15" hidden="false" customHeight="true" outlineLevel="0" collapsed="false">
      <c r="A771" s="1" t="str">
        <f aca="false">IF(物件マスタ!A771="","",物件マスタ!A771)</f>
        <v>KDX-031</v>
      </c>
      <c r="B771" s="1" t="str">
        <f aca="false">IF($A771="","",物件マスタ!B771)</f>
        <v>KDX</v>
      </c>
      <c r="C771" s="1" t="str">
        <f aca="false">IF($A771="","",IFERROR(INDEX(法人マスタ!$C:$C,MATCH($B771,法人マスタ!$A:$A,0)),""))</f>
        <v>ＫＤＸ不動産投資法人</v>
      </c>
      <c r="D771" s="1" t="str">
        <f aca="false">IF($A771="","",物件マスタ!C771)</f>
        <v>KDX新宿ビル</v>
      </c>
      <c r="E771" s="1" t="str">
        <f aca="false">IF($A771="","",物件マスタ!H771)</f>
        <v>東京経済圏（KDX区分）</v>
      </c>
      <c r="F771" s="1" t="n">
        <f aca="false">IF($A771="","",物件マスタ!P771)</f>
        <v>0</v>
      </c>
      <c r="G771" s="1" t="str">
        <f aca="false">IF($A771="","",物件マスタ!Q771)</f>
        <v/>
      </c>
      <c r="H771" s="1" t="n">
        <f aca="false">IF($A771="","",物件マスタ!L771)</f>
        <v>0</v>
      </c>
      <c r="I771" s="1" t="n">
        <f aca="false">IF($A771="","",物件マスタ!M771)</f>
        <v>5806.23</v>
      </c>
      <c r="J771" s="1" t="n">
        <f aca="false">IF($A771="","",物件マスタ!S771)</f>
        <v>6800</v>
      </c>
      <c r="K771" s="1" t="n">
        <f aca="false">IF($A771="","",物件マスタ!U771)</f>
        <v>10000</v>
      </c>
      <c r="L771" s="1" t="n">
        <f aca="false">IF($A771="","",物件マスタ!W771)</f>
        <v>0.978</v>
      </c>
      <c r="M771" s="1" t="str">
        <f aca="false">IF($A771="","",IFERROR(INDEX(法人マスタ!$H:$H,MATCH($B771,法人マスタ!$A:$A,0)),""))</f>
        <v>2026年4月期（第42期）</v>
      </c>
      <c r="N771" s="1" t="n">
        <f aca="false">IF($A771="","",SUMIFS(物件収支!$D:$D,物件収支!$A:$A,$A771,物件収支!$C:$C,$M771))</f>
        <v>6</v>
      </c>
      <c r="O771" s="1" t="n">
        <f aca="false">IF($A771="","",SUMIFS(物件収支!$F:$F,物件収支!$A:$A,$A771,物件収支!$C:$C,$M771))</f>
        <v>268000</v>
      </c>
      <c r="P771" s="1" t="n">
        <f aca="false">IF($A771="","",SUMIFS(物件収支!$I:$I,物件収支!$A:$A,$A771,物件収支!$C:$C,$M771))</f>
        <v>0</v>
      </c>
      <c r="Q771" s="1" t="n">
        <f aca="false">IF($A771="","",SUMIFS(物件収支!$O:$O,物件収支!$A:$A,$A771,物件収支!$C:$C,$M771))</f>
        <v>0</v>
      </c>
      <c r="R771" s="1" t="str">
        <f aca="false">IF($A771="","",IF(P771=0,"",O771-P771))</f>
        <v/>
      </c>
      <c r="S771" s="1" t="str">
        <f aca="false">IF($A771="","",IF(R771="","",R771+Q771))</f>
        <v/>
      </c>
      <c r="T771" s="1" t="str">
        <f aca="false">IF($A771="","",IF(OR(S771="",N771&lt;=0),"",S771/1000*12/N771))</f>
        <v/>
      </c>
      <c r="U771" s="1" t="str">
        <f aca="false">IF($A771="","",IF(OR(T771="",J771=0,J771=""),"",T771/J771))</f>
        <v/>
      </c>
      <c r="V771" s="1" t="str">
        <f aca="false">IF($A771="","",IF(OR(R771="",N771&lt;=0,J771=0,J771=""),"",(R771/1000*12/N771)/J771))</f>
        <v/>
      </c>
      <c r="W771" s="1" t="str">
        <f aca="false">IF($A771="","",IF(OR(T771="",K771=0,K771=""),"",T771/K771))</f>
        <v/>
      </c>
      <c r="X771" s="1" t="n">
        <f aca="false">IF($A771="","",IF(OR(N771&lt;=0,I771=0,I771="",O771=0),"",O771*1000/(I771*0.3025)/N771))</f>
        <v>25431.0287749291</v>
      </c>
      <c r="Y771" s="1" t="str">
        <f aca="false">IF($A771="","",IF(OR(O771=0,O771="",P771=0),"",P771/O771))</f>
        <v/>
      </c>
      <c r="Z771" s="1" t="str">
        <f aca="false">IF($A771="","",IFERROR(INDEX(物件収支!$E:$E,MATCH($A771,物件収支!$A:$A,0)),""))</f>
        <v>開示（物件別・収益のみ・百万円単位）</v>
      </c>
    </row>
    <row r="772" customFormat="false" ht="15" hidden="false" customHeight="true" outlineLevel="0" collapsed="false">
      <c r="A772" s="1" t="str">
        <f aca="false">IF(物件マスタ!A772="","",物件マスタ!A772)</f>
        <v>KDX-032</v>
      </c>
      <c r="B772" s="1" t="str">
        <f aca="false">IF($A772="","",物件マスタ!B772)</f>
        <v>KDX</v>
      </c>
      <c r="C772" s="1" t="str">
        <f aca="false">IF($A772="","",IFERROR(INDEX(法人マスタ!$C:$C,MATCH($B772,法人マスタ!$A:$A,0)),""))</f>
        <v>ＫＤＸ不動産投資法人</v>
      </c>
      <c r="D772" s="1" t="str">
        <f aca="false">IF($A772="","",物件マスタ!C772)</f>
        <v>KDX銀座一丁目ビル</v>
      </c>
      <c r="E772" s="1" t="str">
        <f aca="false">IF($A772="","",物件マスタ!H772)</f>
        <v>東京経済圏（KDX区分）</v>
      </c>
      <c r="F772" s="1" t="n">
        <f aca="false">IF($A772="","",物件マスタ!P772)</f>
        <v>0</v>
      </c>
      <c r="G772" s="1" t="str">
        <f aca="false">IF($A772="","",物件マスタ!Q772)</f>
        <v/>
      </c>
      <c r="H772" s="1" t="n">
        <f aca="false">IF($A772="","",物件マスタ!L772)</f>
        <v>0</v>
      </c>
      <c r="I772" s="1" t="n">
        <f aca="false">IF($A772="","",物件マスタ!M772)</f>
        <v>3573.59</v>
      </c>
      <c r="J772" s="1" t="n">
        <f aca="false">IF($A772="","",物件マスタ!S772)</f>
        <v>4300</v>
      </c>
      <c r="K772" s="1" t="n">
        <f aca="false">IF($A772="","",物件マスタ!U772)</f>
        <v>5980</v>
      </c>
      <c r="L772" s="1" t="n">
        <f aca="false">IF($A772="","",物件マスタ!W772)</f>
        <v>1</v>
      </c>
      <c r="M772" s="1" t="str">
        <f aca="false">IF($A772="","",IFERROR(INDEX(法人マスタ!$H:$H,MATCH($B772,法人マスタ!$A:$A,0)),""))</f>
        <v>2026年4月期（第42期）</v>
      </c>
      <c r="N772" s="1" t="n">
        <f aca="false">IF($A772="","",SUMIFS(物件収支!$D:$D,物件収支!$A:$A,$A772,物件収支!$C:$C,$M772))</f>
        <v>6</v>
      </c>
      <c r="O772" s="1" t="n">
        <f aca="false">IF($A772="","",SUMIFS(物件収支!$F:$F,物件収支!$A:$A,$A772,物件収支!$C:$C,$M772))</f>
        <v>154000</v>
      </c>
      <c r="P772" s="1" t="n">
        <f aca="false">IF($A772="","",SUMIFS(物件収支!$I:$I,物件収支!$A:$A,$A772,物件収支!$C:$C,$M772))</f>
        <v>0</v>
      </c>
      <c r="Q772" s="1" t="n">
        <f aca="false">IF($A772="","",SUMIFS(物件収支!$O:$O,物件収支!$A:$A,$A772,物件収支!$C:$C,$M772))</f>
        <v>0</v>
      </c>
      <c r="R772" s="1" t="str">
        <f aca="false">IF($A772="","",IF(P772=0,"",O772-P772))</f>
        <v/>
      </c>
      <c r="S772" s="1" t="str">
        <f aca="false">IF($A772="","",IF(R772="","",R772+Q772))</f>
        <v/>
      </c>
      <c r="T772" s="1" t="str">
        <f aca="false">IF($A772="","",IF(OR(S772="",N772&lt;=0),"",S772/1000*12/N772))</f>
        <v/>
      </c>
      <c r="U772" s="1" t="str">
        <f aca="false">IF($A772="","",IF(OR(T772="",J772=0,J772=""),"",T772/J772))</f>
        <v/>
      </c>
      <c r="V772" s="1" t="str">
        <f aca="false">IF($A772="","",IF(OR(R772="",N772&lt;=0,J772=0,J772=""),"",(R772/1000*12/N772)/J772))</f>
        <v/>
      </c>
      <c r="W772" s="1" t="str">
        <f aca="false">IF($A772="","",IF(OR(T772="",K772=0,K772=""),"",T772/K772))</f>
        <v/>
      </c>
      <c r="X772" s="1" t="n">
        <f aca="false">IF($A772="","",IF(OR(N772&lt;=0,I772=0,I772="",O772=0),"",O772*1000/(I772*0.3025)/N772))</f>
        <v>23743.2063690812</v>
      </c>
      <c r="Y772" s="1" t="str">
        <f aca="false">IF($A772="","",IF(OR(O772=0,O772="",P772=0),"",P772/O772))</f>
        <v/>
      </c>
      <c r="Z772" s="1" t="str">
        <f aca="false">IF($A772="","",IFERROR(INDEX(物件収支!$E:$E,MATCH($A772,物件収支!$A:$A,0)),""))</f>
        <v>開示（物件別・収益のみ・百万円単位）</v>
      </c>
    </row>
    <row r="773" customFormat="false" ht="15" hidden="false" customHeight="true" outlineLevel="0" collapsed="false">
      <c r="A773" s="1" t="str">
        <f aca="false">IF(物件マスタ!A773="","",物件マスタ!A773)</f>
        <v>KDX-033</v>
      </c>
      <c r="B773" s="1" t="str">
        <f aca="false">IF($A773="","",物件マスタ!B773)</f>
        <v>KDX</v>
      </c>
      <c r="C773" s="1" t="str">
        <f aca="false">IF($A773="","",IFERROR(INDEX(法人マスタ!$C:$C,MATCH($B773,法人マスタ!$A:$A,0)),""))</f>
        <v>ＫＤＸ不動産投資法人</v>
      </c>
      <c r="D773" s="1" t="str">
        <f aca="false">IF($A773="","",物件マスタ!C773)</f>
        <v>KDX飯田橋ビル</v>
      </c>
      <c r="E773" s="1" t="str">
        <f aca="false">IF($A773="","",物件マスタ!H773)</f>
        <v>東京経済圏（KDX区分）</v>
      </c>
      <c r="F773" s="1" t="n">
        <f aca="false">IF($A773="","",物件マスタ!P773)</f>
        <v>0</v>
      </c>
      <c r="G773" s="1" t="str">
        <f aca="false">IF($A773="","",物件マスタ!Q773)</f>
        <v/>
      </c>
      <c r="H773" s="1" t="n">
        <f aca="false">IF($A773="","",物件マスタ!L773)</f>
        <v>0</v>
      </c>
      <c r="I773" s="1" t="n">
        <f aca="false">IF($A773="","",物件マスタ!M773)</f>
        <v>4348.46</v>
      </c>
      <c r="J773" s="1" t="n">
        <f aca="false">IF($A773="","",物件マスタ!S773)</f>
        <v>4670</v>
      </c>
      <c r="K773" s="1" t="n">
        <f aca="false">IF($A773="","",物件マスタ!U773)</f>
        <v>6000</v>
      </c>
      <c r="L773" s="1" t="n">
        <f aca="false">IF($A773="","",物件マスタ!W773)</f>
        <v>0.813</v>
      </c>
      <c r="M773" s="1" t="str">
        <f aca="false">IF($A773="","",IFERROR(INDEX(法人マスタ!$H:$H,MATCH($B773,法人マスタ!$A:$A,0)),""))</f>
        <v>2026年4月期（第42期）</v>
      </c>
      <c r="N773" s="1" t="n">
        <f aca="false">IF($A773="","",SUMIFS(物件収支!$D:$D,物件収支!$A:$A,$A773,物件収支!$C:$C,$M773))</f>
        <v>6</v>
      </c>
      <c r="O773" s="1" t="n">
        <f aca="false">IF($A773="","",SUMIFS(物件収支!$F:$F,物件収支!$A:$A,$A773,物件収支!$C:$C,$M773))</f>
        <v>162000</v>
      </c>
      <c r="P773" s="1" t="n">
        <f aca="false">IF($A773="","",SUMIFS(物件収支!$I:$I,物件収支!$A:$A,$A773,物件収支!$C:$C,$M773))</f>
        <v>0</v>
      </c>
      <c r="Q773" s="1" t="n">
        <f aca="false">IF($A773="","",SUMIFS(物件収支!$O:$O,物件収支!$A:$A,$A773,物件収支!$C:$C,$M773))</f>
        <v>0</v>
      </c>
      <c r="R773" s="1" t="str">
        <f aca="false">IF($A773="","",IF(P773=0,"",O773-P773))</f>
        <v/>
      </c>
      <c r="S773" s="1" t="str">
        <f aca="false">IF($A773="","",IF(R773="","",R773+Q773))</f>
        <v/>
      </c>
      <c r="T773" s="1" t="str">
        <f aca="false">IF($A773="","",IF(OR(S773="",N773&lt;=0),"",S773/1000*12/N773))</f>
        <v/>
      </c>
      <c r="U773" s="1" t="str">
        <f aca="false">IF($A773="","",IF(OR(T773="",J773=0,J773=""),"",T773/J773))</f>
        <v/>
      </c>
      <c r="V773" s="1" t="str">
        <f aca="false">IF($A773="","",IF(OR(R773="",N773&lt;=0,J773=0,J773=""),"",(R773/1000*12/N773)/J773))</f>
        <v/>
      </c>
      <c r="W773" s="1" t="str">
        <f aca="false">IF($A773="","",IF(OR(T773="",K773=0,K773=""),"",T773/K773))</f>
        <v/>
      </c>
      <c r="X773" s="1" t="n">
        <f aca="false">IF($A773="","",IF(OR(N773&lt;=0,I773=0,I773="",O773=0),"",O773*1000/(I773*0.3025)/N773))</f>
        <v>20525.9329388122</v>
      </c>
      <c r="Y773" s="1" t="str">
        <f aca="false">IF($A773="","",IF(OR(O773=0,O773="",P773=0),"",P773/O773))</f>
        <v/>
      </c>
      <c r="Z773" s="1" t="str">
        <f aca="false">IF($A773="","",IFERROR(INDEX(物件収支!$E:$E,MATCH($A773,物件収支!$A:$A,0)),""))</f>
        <v>開示（物件別・収益のみ・百万円単位）</v>
      </c>
    </row>
    <row r="774" customFormat="false" ht="15" hidden="false" customHeight="true" outlineLevel="0" collapsed="false">
      <c r="A774" s="1" t="str">
        <f aca="false">IF(物件マスタ!A774="","",物件マスタ!A774)</f>
        <v>KDX-034</v>
      </c>
      <c r="B774" s="1" t="str">
        <f aca="false">IF($A774="","",物件マスタ!B774)</f>
        <v>KDX</v>
      </c>
      <c r="C774" s="1" t="str">
        <f aca="false">IF($A774="","",IFERROR(INDEX(法人マスタ!$C:$C,MATCH($B774,法人マスタ!$A:$A,0)),""))</f>
        <v>ＫＤＸ不動産投資法人</v>
      </c>
      <c r="D774" s="1" t="str">
        <f aca="false">IF($A774="","",物件マスタ!C774)</f>
        <v>KDX箱崎ビル</v>
      </c>
      <c r="E774" s="1" t="str">
        <f aca="false">IF($A774="","",物件マスタ!H774)</f>
        <v>東京経済圏（KDX区分）</v>
      </c>
      <c r="F774" s="1" t="n">
        <f aca="false">IF($A774="","",物件マスタ!P774)</f>
        <v>0</v>
      </c>
      <c r="G774" s="1" t="str">
        <f aca="false">IF($A774="","",物件マスタ!Q774)</f>
        <v/>
      </c>
      <c r="H774" s="1" t="n">
        <f aca="false">IF($A774="","",物件マスタ!L774)</f>
        <v>0</v>
      </c>
      <c r="I774" s="1" t="n">
        <f aca="false">IF($A774="","",物件マスタ!M774)</f>
        <v>3992.6</v>
      </c>
      <c r="J774" s="1" t="n">
        <f aca="false">IF($A774="","",物件マスタ!S774)</f>
        <v>2710</v>
      </c>
      <c r="K774" s="1" t="n">
        <f aca="false">IF($A774="","",物件マスタ!U774)</f>
        <v>3680</v>
      </c>
      <c r="L774" s="1" t="n">
        <f aca="false">IF($A774="","",物件マスタ!W774)</f>
        <v>1</v>
      </c>
      <c r="M774" s="1" t="str">
        <f aca="false">IF($A774="","",IFERROR(INDEX(法人マスタ!$H:$H,MATCH($B774,法人マスタ!$A:$A,0)),""))</f>
        <v>2026年4月期（第42期）</v>
      </c>
      <c r="N774" s="1" t="n">
        <f aca="false">IF($A774="","",SUMIFS(物件収支!$D:$D,物件収支!$A:$A,$A774,物件収支!$C:$C,$M774))</f>
        <v>6</v>
      </c>
      <c r="O774" s="1" t="n">
        <f aca="false">IF($A774="","",SUMIFS(物件収支!$F:$F,物件収支!$A:$A,$A774,物件収支!$C:$C,$M774))</f>
        <v>127000</v>
      </c>
      <c r="P774" s="1" t="n">
        <f aca="false">IF($A774="","",SUMIFS(物件収支!$I:$I,物件収支!$A:$A,$A774,物件収支!$C:$C,$M774))</f>
        <v>0</v>
      </c>
      <c r="Q774" s="1" t="n">
        <f aca="false">IF($A774="","",SUMIFS(物件収支!$O:$O,物件収支!$A:$A,$A774,物件収支!$C:$C,$M774))</f>
        <v>0</v>
      </c>
      <c r="R774" s="1" t="str">
        <f aca="false">IF($A774="","",IF(P774=0,"",O774-P774))</f>
        <v/>
      </c>
      <c r="S774" s="1" t="str">
        <f aca="false">IF($A774="","",IF(R774="","",R774+Q774))</f>
        <v/>
      </c>
      <c r="T774" s="1" t="str">
        <f aca="false">IF($A774="","",IF(OR(S774="",N774&lt;=0),"",S774/1000*12/N774))</f>
        <v/>
      </c>
      <c r="U774" s="1" t="str">
        <f aca="false">IF($A774="","",IF(OR(T774="",J774=0,J774=""),"",T774/J774))</f>
        <v/>
      </c>
      <c r="V774" s="1" t="str">
        <f aca="false">IF($A774="","",IF(OR(R774="",N774&lt;=0,J774=0,J774=""),"",(R774/1000*12/N774)/J774))</f>
        <v/>
      </c>
      <c r="W774" s="1" t="str">
        <f aca="false">IF($A774="","",IF(OR(T774="",K774=0,K774=""),"",T774/K774))</f>
        <v/>
      </c>
      <c r="X774" s="1" t="n">
        <f aca="false">IF($A774="","",IF(OR(N774&lt;=0,I774=0,I774="",O774=0),"",O774*1000/(I774*0.3025)/N774))</f>
        <v>17525.5351877558</v>
      </c>
      <c r="Y774" s="1" t="str">
        <f aca="false">IF($A774="","",IF(OR(O774=0,O774="",P774=0),"",P774/O774))</f>
        <v/>
      </c>
      <c r="Z774" s="1" t="str">
        <f aca="false">IF($A774="","",IFERROR(INDEX(物件収支!$E:$E,MATCH($A774,物件収支!$A:$A,0)),""))</f>
        <v>開示（物件別・収益のみ・百万円単位）</v>
      </c>
    </row>
    <row r="775" customFormat="false" ht="15" hidden="false" customHeight="true" outlineLevel="0" collapsed="false">
      <c r="A775" s="1" t="str">
        <f aca="false">IF(物件マスタ!A775="","",物件マスタ!A775)</f>
        <v>KDX-035</v>
      </c>
      <c r="B775" s="1" t="str">
        <f aca="false">IF($A775="","",物件マスタ!B775)</f>
        <v>KDX</v>
      </c>
      <c r="C775" s="1" t="str">
        <f aca="false">IF($A775="","",IFERROR(INDEX(法人マスタ!$C:$C,MATCH($B775,法人マスタ!$A:$A,0)),""))</f>
        <v>ＫＤＸ不動産投資法人</v>
      </c>
      <c r="D775" s="1" t="str">
        <f aca="false">IF($A775="","",物件マスタ!C775)</f>
        <v>KDX立川駅前ビル</v>
      </c>
      <c r="E775" s="1" t="str">
        <f aca="false">IF($A775="","",物件マスタ!H775)</f>
        <v>東京経済圏（KDX区分）</v>
      </c>
      <c r="F775" s="1" t="n">
        <f aca="false">IF($A775="","",物件マスタ!P775)</f>
        <v>0</v>
      </c>
      <c r="G775" s="1" t="str">
        <f aca="false">IF($A775="","",物件マスタ!Q775)</f>
        <v/>
      </c>
      <c r="H775" s="1" t="n">
        <f aca="false">IF($A775="","",物件マスタ!L775)</f>
        <v>0</v>
      </c>
      <c r="I775" s="1" t="n">
        <f aca="false">IF($A775="","",物件マスタ!M775)</f>
        <v>1612.82</v>
      </c>
      <c r="J775" s="1" t="n">
        <f aca="false">IF($A775="","",物件マスタ!S775)</f>
        <v>1267</v>
      </c>
      <c r="K775" s="1" t="n">
        <f aca="false">IF($A775="","",物件マスタ!U775)</f>
        <v>1950</v>
      </c>
      <c r="L775" s="1" t="n">
        <f aca="false">IF($A775="","",物件マスタ!W775)</f>
        <v>1</v>
      </c>
      <c r="M775" s="1" t="str">
        <f aca="false">IF($A775="","",IFERROR(INDEX(法人マスタ!$H:$H,MATCH($B775,法人マスタ!$A:$A,0)),""))</f>
        <v>2026年4月期（第42期）</v>
      </c>
      <c r="N775" s="1" t="n">
        <f aca="false">IF($A775="","",SUMIFS(物件収支!$D:$D,物件収支!$A:$A,$A775,物件収支!$C:$C,$M775))</f>
        <v>6</v>
      </c>
      <c r="O775" s="1" t="n">
        <f aca="false">IF($A775="","",SUMIFS(物件収支!$F:$F,物件収支!$A:$A,$A775,物件収支!$C:$C,$M775))</f>
        <v>65000</v>
      </c>
      <c r="P775" s="1" t="n">
        <f aca="false">IF($A775="","",SUMIFS(物件収支!$I:$I,物件収支!$A:$A,$A775,物件収支!$C:$C,$M775))</f>
        <v>0</v>
      </c>
      <c r="Q775" s="1" t="n">
        <f aca="false">IF($A775="","",SUMIFS(物件収支!$O:$O,物件収支!$A:$A,$A775,物件収支!$C:$C,$M775))</f>
        <v>0</v>
      </c>
      <c r="R775" s="1" t="str">
        <f aca="false">IF($A775="","",IF(P775=0,"",O775-P775))</f>
        <v/>
      </c>
      <c r="S775" s="1" t="str">
        <f aca="false">IF($A775="","",IF(R775="","",R775+Q775))</f>
        <v/>
      </c>
      <c r="T775" s="1" t="str">
        <f aca="false">IF($A775="","",IF(OR(S775="",N775&lt;=0),"",S775/1000*12/N775))</f>
        <v/>
      </c>
      <c r="U775" s="1" t="str">
        <f aca="false">IF($A775="","",IF(OR(T775="",J775=0,J775=""),"",T775/J775))</f>
        <v/>
      </c>
      <c r="V775" s="1" t="str">
        <f aca="false">IF($A775="","",IF(OR(R775="",N775&lt;=0,J775=0,J775=""),"",(R775/1000*12/N775)/J775))</f>
        <v/>
      </c>
      <c r="W775" s="1" t="str">
        <f aca="false">IF($A775="","",IF(OR(T775="",K775=0,K775=""),"",T775/K775))</f>
        <v/>
      </c>
      <c r="X775" s="1" t="n">
        <f aca="false">IF($A775="","",IF(OR(N775&lt;=0,I775=0,I775="",O775=0),"",O775*1000/(I775*0.3025)/N775))</f>
        <v>22205.0025274417</v>
      </c>
      <c r="Y775" s="1" t="str">
        <f aca="false">IF($A775="","",IF(OR(O775=0,O775="",P775=0),"",P775/O775))</f>
        <v/>
      </c>
      <c r="Z775" s="1" t="str">
        <f aca="false">IF($A775="","",IFERROR(INDEX(物件収支!$E:$E,MATCH($A775,物件収支!$A:$A,0)),""))</f>
        <v>開示（物件別・収益のみ・百万円単位）</v>
      </c>
    </row>
    <row r="776" customFormat="false" ht="15" hidden="false" customHeight="true" outlineLevel="0" collapsed="false">
      <c r="A776" s="1" t="str">
        <f aca="false">IF(物件マスタ!A776="","",物件マスタ!A776)</f>
        <v>KDX-036</v>
      </c>
      <c r="B776" s="1" t="str">
        <f aca="false">IF($A776="","",物件マスタ!B776)</f>
        <v>KDX</v>
      </c>
      <c r="C776" s="1" t="str">
        <f aca="false">IF($A776="","",IFERROR(INDEX(法人マスタ!$C:$C,MATCH($B776,法人マスタ!$A:$A,0)),""))</f>
        <v>ＫＤＸ不動産投資法人</v>
      </c>
      <c r="D776" s="1" t="str">
        <f aca="false">IF($A776="","",物件マスタ!C776)</f>
        <v>KDX府中ビル</v>
      </c>
      <c r="E776" s="1" t="str">
        <f aca="false">IF($A776="","",物件マスタ!H776)</f>
        <v>東京経済圏（KDX区分）</v>
      </c>
      <c r="F776" s="1" t="n">
        <f aca="false">IF($A776="","",物件マスタ!P776)</f>
        <v>0</v>
      </c>
      <c r="G776" s="1" t="str">
        <f aca="false">IF($A776="","",物件マスタ!Q776)</f>
        <v/>
      </c>
      <c r="H776" s="1" t="n">
        <f aca="false">IF($A776="","",物件マスタ!L776)</f>
        <v>0</v>
      </c>
      <c r="I776" s="1" t="n">
        <f aca="false">IF($A776="","",物件マスタ!M776)</f>
        <v>10151.5</v>
      </c>
      <c r="J776" s="1" t="n">
        <f aca="false">IF($A776="","",物件マスタ!S776)</f>
        <v>6120</v>
      </c>
      <c r="K776" s="1" t="n">
        <f aca="false">IF($A776="","",物件マスタ!U776)</f>
        <v>8470</v>
      </c>
      <c r="L776" s="1" t="n">
        <f aca="false">IF($A776="","",物件マスタ!W776)</f>
        <v>1</v>
      </c>
      <c r="M776" s="1" t="str">
        <f aca="false">IF($A776="","",IFERROR(INDEX(法人マスタ!$H:$H,MATCH($B776,法人マスタ!$A:$A,0)),""))</f>
        <v>2026年4月期（第42期）</v>
      </c>
      <c r="N776" s="1" t="n">
        <f aca="false">IF($A776="","",SUMIFS(物件収支!$D:$D,物件収支!$A:$A,$A776,物件収支!$C:$C,$M776))</f>
        <v>6</v>
      </c>
      <c r="O776" s="1" t="n">
        <f aca="false">IF($A776="","",SUMIFS(物件収支!$F:$F,物件収支!$A:$A,$A776,物件収支!$C:$C,$M776))</f>
        <v>312000</v>
      </c>
      <c r="P776" s="1" t="n">
        <f aca="false">IF($A776="","",SUMIFS(物件収支!$I:$I,物件収支!$A:$A,$A776,物件収支!$C:$C,$M776))</f>
        <v>0</v>
      </c>
      <c r="Q776" s="1" t="n">
        <f aca="false">IF($A776="","",SUMIFS(物件収支!$O:$O,物件収支!$A:$A,$A776,物件収支!$C:$C,$M776))</f>
        <v>0</v>
      </c>
      <c r="R776" s="1" t="str">
        <f aca="false">IF($A776="","",IF(P776=0,"",O776-P776))</f>
        <v/>
      </c>
      <c r="S776" s="1" t="str">
        <f aca="false">IF($A776="","",IF(R776="","",R776+Q776))</f>
        <v/>
      </c>
      <c r="T776" s="1" t="str">
        <f aca="false">IF($A776="","",IF(OR(S776="",N776&lt;=0),"",S776/1000*12/N776))</f>
        <v/>
      </c>
      <c r="U776" s="1" t="str">
        <f aca="false">IF($A776="","",IF(OR(T776="",J776=0,J776=""),"",T776/J776))</f>
        <v/>
      </c>
      <c r="V776" s="1" t="str">
        <f aca="false">IF($A776="","",IF(OR(R776="",N776&lt;=0,J776=0,J776=""),"",(R776/1000*12/N776)/J776))</f>
        <v/>
      </c>
      <c r="W776" s="1" t="str">
        <f aca="false">IF($A776="","",IF(OR(T776="",K776=0,K776=""),"",T776/K776))</f>
        <v/>
      </c>
      <c r="X776" s="1" t="n">
        <f aca="false">IF($A776="","",IF(OR(N776&lt;=0,I776=0,I776="",O776=0),"",O776*1000/(I776*0.3025)/N776))</f>
        <v>16933.5395208867</v>
      </c>
      <c r="Y776" s="1" t="str">
        <f aca="false">IF($A776="","",IF(OR(O776=0,O776="",P776=0),"",P776/O776))</f>
        <v/>
      </c>
      <c r="Z776" s="1" t="str">
        <f aca="false">IF($A776="","",IFERROR(INDEX(物件収支!$E:$E,MATCH($A776,物件収支!$A:$A,0)),""))</f>
        <v>開示（物件別・収益のみ・百万円単位）</v>
      </c>
    </row>
    <row r="777" customFormat="false" ht="15" hidden="false" customHeight="true" outlineLevel="0" collapsed="false">
      <c r="A777" s="1" t="str">
        <f aca="false">IF(物件マスタ!A777="","",物件マスタ!A777)</f>
        <v>KDX-037</v>
      </c>
      <c r="B777" s="1" t="str">
        <f aca="false">IF($A777="","",物件マスタ!B777)</f>
        <v>KDX</v>
      </c>
      <c r="C777" s="1" t="str">
        <f aca="false">IF($A777="","",IFERROR(INDEX(法人マスタ!$C:$C,MATCH($B777,法人マスタ!$A:$A,0)),""))</f>
        <v>ＫＤＸ不動産投資法人</v>
      </c>
      <c r="D777" s="1" t="str">
        <f aca="false">IF($A777="","",物件マスタ!C777)</f>
        <v>KDX春日ビル</v>
      </c>
      <c r="E777" s="1" t="str">
        <f aca="false">IF($A777="","",物件マスタ!H777)</f>
        <v>東京経済圏（KDX区分）</v>
      </c>
      <c r="F777" s="1" t="n">
        <f aca="false">IF($A777="","",物件マスタ!P777)</f>
        <v>0</v>
      </c>
      <c r="G777" s="1" t="str">
        <f aca="false">IF($A777="","",物件マスタ!Q777)</f>
        <v/>
      </c>
      <c r="H777" s="1" t="n">
        <f aca="false">IF($A777="","",物件マスタ!L777)</f>
        <v>0</v>
      </c>
      <c r="I777" s="1" t="n">
        <f aca="false">IF($A777="","",物件マスタ!M777)</f>
        <v>4348.15</v>
      </c>
      <c r="J777" s="1" t="n">
        <f aca="false">IF($A777="","",物件マスタ!S777)</f>
        <v>2800</v>
      </c>
      <c r="K777" s="1" t="n">
        <f aca="false">IF($A777="","",物件マスタ!U777)</f>
        <v>4420</v>
      </c>
      <c r="L777" s="1" t="n">
        <f aca="false">IF($A777="","",物件マスタ!W777)</f>
        <v>1</v>
      </c>
      <c r="M777" s="1" t="str">
        <f aca="false">IF($A777="","",IFERROR(INDEX(法人マスタ!$H:$H,MATCH($B777,法人マスタ!$A:$A,0)),""))</f>
        <v>2026年4月期（第42期）</v>
      </c>
      <c r="N777" s="1" t="n">
        <f aca="false">IF($A777="","",SUMIFS(物件収支!$D:$D,物件収支!$A:$A,$A777,物件収支!$C:$C,$M777))</f>
        <v>6</v>
      </c>
      <c r="O777" s="1" t="n">
        <f aca="false">IF($A777="","",SUMIFS(物件収支!$F:$F,物件収支!$A:$A,$A777,物件収支!$C:$C,$M777))</f>
        <v>128000</v>
      </c>
      <c r="P777" s="1" t="n">
        <f aca="false">IF($A777="","",SUMIFS(物件収支!$I:$I,物件収支!$A:$A,$A777,物件収支!$C:$C,$M777))</f>
        <v>0</v>
      </c>
      <c r="Q777" s="1" t="n">
        <f aca="false">IF($A777="","",SUMIFS(物件収支!$O:$O,物件収支!$A:$A,$A777,物件収支!$C:$C,$M777))</f>
        <v>0</v>
      </c>
      <c r="R777" s="1" t="str">
        <f aca="false">IF($A777="","",IF(P777=0,"",O777-P777))</f>
        <v/>
      </c>
      <c r="S777" s="1" t="str">
        <f aca="false">IF($A777="","",IF(R777="","",R777+Q777))</f>
        <v/>
      </c>
      <c r="T777" s="1" t="str">
        <f aca="false">IF($A777="","",IF(OR(S777="",N777&lt;=0),"",S777/1000*12/N777))</f>
        <v/>
      </c>
      <c r="U777" s="1" t="str">
        <f aca="false">IF($A777="","",IF(OR(T777="",J777=0,J777=""),"",T777/J777))</f>
        <v/>
      </c>
      <c r="V777" s="1" t="str">
        <f aca="false">IF($A777="","",IF(OR(R777="",N777&lt;=0,J777=0,J777=""),"",(R777/1000*12/N777)/J777))</f>
        <v/>
      </c>
      <c r="W777" s="1" t="str">
        <f aca="false">IF($A777="","",IF(OR(T777="",K777=0,K777=""),"",T777/K777))</f>
        <v/>
      </c>
      <c r="X777" s="1" t="n">
        <f aca="false">IF($A777="","",IF(OR(N777&lt;=0,I777=0,I777="",O777=0),"",O777*1000/(I777*0.3025)/N777))</f>
        <v>16219.1773462188</v>
      </c>
      <c r="Y777" s="1" t="str">
        <f aca="false">IF($A777="","",IF(OR(O777=0,O777="",P777=0),"",P777/O777))</f>
        <v/>
      </c>
      <c r="Z777" s="1" t="str">
        <f aca="false">IF($A777="","",IFERROR(INDEX(物件収支!$E:$E,MATCH($A777,物件収支!$A:$A,0)),""))</f>
        <v>開示（物件別・収益のみ・百万円単位）</v>
      </c>
    </row>
    <row r="778" customFormat="false" ht="15" hidden="false" customHeight="true" outlineLevel="0" collapsed="false">
      <c r="A778" s="1" t="str">
        <f aca="false">IF(物件マスタ!A778="","",物件マスタ!A778)</f>
        <v>KDX-038</v>
      </c>
      <c r="B778" s="1" t="str">
        <f aca="false">IF($A778="","",物件マスタ!B778)</f>
        <v>KDX</v>
      </c>
      <c r="C778" s="1" t="str">
        <f aca="false">IF($A778="","",IFERROR(INDEX(法人マスタ!$C:$C,MATCH($B778,法人マスタ!$A:$A,0)),""))</f>
        <v>ＫＤＸ不動産投資法人</v>
      </c>
      <c r="D778" s="1" t="str">
        <f aca="false">IF($A778="","",物件マスタ!C778)</f>
        <v>KDX中目黒ビル</v>
      </c>
      <c r="E778" s="1" t="str">
        <f aca="false">IF($A778="","",物件マスタ!H778)</f>
        <v>東京経済圏（KDX区分）</v>
      </c>
      <c r="F778" s="1" t="n">
        <f aca="false">IF($A778="","",物件マスタ!P778)</f>
        <v>0</v>
      </c>
      <c r="G778" s="1" t="str">
        <f aca="false">IF($A778="","",物件マスタ!Q778)</f>
        <v/>
      </c>
      <c r="H778" s="1" t="n">
        <f aca="false">IF($A778="","",物件マスタ!L778)</f>
        <v>0</v>
      </c>
      <c r="I778" s="1" t="n">
        <f aca="false">IF($A778="","",物件マスタ!M778)</f>
        <v>2726.69</v>
      </c>
      <c r="J778" s="1" t="n">
        <f aca="false">IF($A778="","",物件マスタ!S778)</f>
        <v>1880</v>
      </c>
      <c r="K778" s="1" t="n">
        <f aca="false">IF($A778="","",物件マスタ!U778)</f>
        <v>3510</v>
      </c>
      <c r="L778" s="1" t="n">
        <f aca="false">IF($A778="","",物件マスタ!W778)</f>
        <v>1</v>
      </c>
      <c r="M778" s="1" t="str">
        <f aca="false">IF($A778="","",IFERROR(INDEX(法人マスタ!$H:$H,MATCH($B778,法人マスタ!$A:$A,0)),""))</f>
        <v>2026年4月期（第42期）</v>
      </c>
      <c r="N778" s="1" t="n">
        <f aca="false">IF($A778="","",SUMIFS(物件収支!$D:$D,物件収支!$A:$A,$A778,物件収支!$C:$C,$M778))</f>
        <v>6</v>
      </c>
      <c r="O778" s="1" t="n">
        <f aca="false">IF($A778="","",SUMIFS(物件収支!$F:$F,物件収支!$A:$A,$A778,物件収支!$C:$C,$M778))</f>
        <v>106000</v>
      </c>
      <c r="P778" s="1" t="n">
        <f aca="false">IF($A778="","",SUMIFS(物件収支!$I:$I,物件収支!$A:$A,$A778,物件収支!$C:$C,$M778))</f>
        <v>0</v>
      </c>
      <c r="Q778" s="1" t="n">
        <f aca="false">IF($A778="","",SUMIFS(物件収支!$O:$O,物件収支!$A:$A,$A778,物件収支!$C:$C,$M778))</f>
        <v>0</v>
      </c>
      <c r="R778" s="1" t="str">
        <f aca="false">IF($A778="","",IF(P778=0,"",O778-P778))</f>
        <v/>
      </c>
      <c r="S778" s="1" t="str">
        <f aca="false">IF($A778="","",IF(R778="","",R778+Q778))</f>
        <v/>
      </c>
      <c r="T778" s="1" t="str">
        <f aca="false">IF($A778="","",IF(OR(S778="",N778&lt;=0),"",S778/1000*12/N778))</f>
        <v/>
      </c>
      <c r="U778" s="1" t="str">
        <f aca="false">IF($A778="","",IF(OR(T778="",J778=0,J778=""),"",T778/J778))</f>
        <v/>
      </c>
      <c r="V778" s="1" t="str">
        <f aca="false">IF($A778="","",IF(OR(R778="",N778&lt;=0,J778=0,J778=""),"",(R778/1000*12/N778)/J778))</f>
        <v/>
      </c>
      <c r="W778" s="1" t="str">
        <f aca="false">IF($A778="","",IF(OR(T778="",K778=0,K778=""),"",T778/K778))</f>
        <v/>
      </c>
      <c r="X778" s="1" t="n">
        <f aca="false">IF($A778="","",IF(OR(N778&lt;=0,I778=0,I778="",O778=0),"",O778*1000/(I778*0.3025)/N778))</f>
        <v>21418.7178801952</v>
      </c>
      <c r="Y778" s="1" t="str">
        <f aca="false">IF($A778="","",IF(OR(O778=0,O778="",P778=0),"",P778/O778))</f>
        <v/>
      </c>
      <c r="Z778" s="1" t="str">
        <f aca="false">IF($A778="","",IFERROR(INDEX(物件収支!$E:$E,MATCH($A778,物件収支!$A:$A,0)),""))</f>
        <v>開示（物件別・収益のみ・百万円単位）</v>
      </c>
    </row>
    <row r="779" customFormat="false" ht="15" hidden="false" customHeight="true" outlineLevel="0" collapsed="false">
      <c r="A779" s="1" t="str">
        <f aca="false">IF(物件マスタ!A779="","",物件マスタ!A779)</f>
        <v>KDX-039</v>
      </c>
      <c r="B779" s="1" t="str">
        <f aca="false">IF($A779="","",物件マスタ!B779)</f>
        <v>KDX</v>
      </c>
      <c r="C779" s="1" t="str">
        <f aca="false">IF($A779="","",IFERROR(INDEX(法人マスタ!$C:$C,MATCH($B779,法人マスタ!$A:$A,0)),""))</f>
        <v>ＫＤＸ不動産投資法人</v>
      </c>
      <c r="D779" s="1" t="str">
        <f aca="false">IF($A779="","",物件マスタ!C779)</f>
        <v>KDX大宮ビル</v>
      </c>
      <c r="E779" s="1" t="str">
        <f aca="false">IF($A779="","",物件マスタ!H779)</f>
        <v>東京経済圏（KDX区分）</v>
      </c>
      <c r="F779" s="1" t="n">
        <f aca="false">IF($A779="","",物件マスタ!P779)</f>
        <v>0</v>
      </c>
      <c r="G779" s="1" t="str">
        <f aca="false">IF($A779="","",物件マスタ!Q779)</f>
        <v/>
      </c>
      <c r="H779" s="1" t="n">
        <f aca="false">IF($A779="","",物件マスタ!L779)</f>
        <v>0</v>
      </c>
      <c r="I779" s="1" t="n">
        <f aca="false">IF($A779="","",物件マスタ!M779)</f>
        <v>3827.68</v>
      </c>
      <c r="J779" s="1" t="n">
        <f aca="false">IF($A779="","",物件マスタ!S779)</f>
        <v>2020</v>
      </c>
      <c r="K779" s="1" t="n">
        <f aca="false">IF($A779="","",物件マスタ!U779)</f>
        <v>3540</v>
      </c>
      <c r="L779" s="1" t="n">
        <f aca="false">IF($A779="","",物件マスタ!W779)</f>
        <v>1</v>
      </c>
      <c r="M779" s="1" t="str">
        <f aca="false">IF($A779="","",IFERROR(INDEX(法人マスタ!$H:$H,MATCH($B779,法人マスタ!$A:$A,0)),""))</f>
        <v>2026年4月期（第42期）</v>
      </c>
      <c r="N779" s="1" t="n">
        <f aca="false">IF($A779="","",SUMIFS(物件収支!$D:$D,物件収支!$A:$A,$A779,物件収支!$C:$C,$M779))</f>
        <v>6</v>
      </c>
      <c r="O779" s="1" t="n">
        <f aca="false">IF($A779="","",SUMIFS(物件収支!$F:$F,物件収支!$A:$A,$A779,物件収支!$C:$C,$M779))</f>
        <v>137000</v>
      </c>
      <c r="P779" s="1" t="n">
        <f aca="false">IF($A779="","",SUMIFS(物件収支!$I:$I,物件収支!$A:$A,$A779,物件収支!$C:$C,$M779))</f>
        <v>0</v>
      </c>
      <c r="Q779" s="1" t="n">
        <f aca="false">IF($A779="","",SUMIFS(物件収支!$O:$O,物件収支!$A:$A,$A779,物件収支!$C:$C,$M779))</f>
        <v>0</v>
      </c>
      <c r="R779" s="1" t="str">
        <f aca="false">IF($A779="","",IF(P779=0,"",O779-P779))</f>
        <v/>
      </c>
      <c r="S779" s="1" t="str">
        <f aca="false">IF($A779="","",IF(R779="","",R779+Q779))</f>
        <v/>
      </c>
      <c r="T779" s="1" t="str">
        <f aca="false">IF($A779="","",IF(OR(S779="",N779&lt;=0),"",S779/1000*12/N779))</f>
        <v/>
      </c>
      <c r="U779" s="1" t="str">
        <f aca="false">IF($A779="","",IF(OR(T779="",J779=0,J779=""),"",T779/J779))</f>
        <v/>
      </c>
      <c r="V779" s="1" t="str">
        <f aca="false">IF($A779="","",IF(OR(R779="",N779&lt;=0,J779=0,J779=""),"",(R779/1000*12/N779)/J779))</f>
        <v/>
      </c>
      <c r="W779" s="1" t="str">
        <f aca="false">IF($A779="","",IF(OR(T779="",K779=0,K779=""),"",T779/K779))</f>
        <v/>
      </c>
      <c r="X779" s="1" t="n">
        <f aca="false">IF($A779="","",IF(OR(N779&lt;=0,I779=0,I779="",O779=0),"",O779*1000/(I779*0.3025)/N779))</f>
        <v>19720.063762883</v>
      </c>
      <c r="Y779" s="1" t="str">
        <f aca="false">IF($A779="","",IF(OR(O779=0,O779="",P779=0),"",P779/O779))</f>
        <v/>
      </c>
      <c r="Z779" s="1" t="str">
        <f aca="false">IF($A779="","",IFERROR(INDEX(物件収支!$E:$E,MATCH($A779,物件収支!$A:$A,0)),""))</f>
        <v>開示（物件別・収益のみ・百万円単位）</v>
      </c>
    </row>
    <row r="780" customFormat="false" ht="15" hidden="false" customHeight="true" outlineLevel="0" collapsed="false">
      <c r="A780" s="1" t="str">
        <f aca="false">IF(物件マスタ!A780="","",物件マスタ!A780)</f>
        <v>KDX-040</v>
      </c>
      <c r="B780" s="1" t="str">
        <f aca="false">IF($A780="","",物件マスタ!B780)</f>
        <v>KDX</v>
      </c>
      <c r="C780" s="1" t="str">
        <f aca="false">IF($A780="","",IFERROR(INDEX(法人マスタ!$C:$C,MATCH($B780,法人マスタ!$A:$A,0)),""))</f>
        <v>ＫＤＸ不動産投資法人</v>
      </c>
      <c r="D780" s="1" t="str">
        <f aca="false">IF($A780="","",物件マスタ!C780)</f>
        <v>日本橋堀留町ファースト</v>
      </c>
      <c r="E780" s="1" t="str">
        <f aca="false">IF($A780="","",物件マスタ!H780)</f>
        <v>東京経済圏（KDX区分）</v>
      </c>
      <c r="F780" s="1" t="n">
        <f aca="false">IF($A780="","",物件マスタ!P780)</f>
        <v>0</v>
      </c>
      <c r="G780" s="1" t="str">
        <f aca="false">IF($A780="","",物件マスタ!Q780)</f>
        <v/>
      </c>
      <c r="H780" s="1" t="n">
        <f aca="false">IF($A780="","",物件マスタ!L780)</f>
        <v>0</v>
      </c>
      <c r="I780" s="1" t="n">
        <f aca="false">IF($A780="","",物件マスタ!M780)</f>
        <v>3106.42</v>
      </c>
      <c r="J780" s="1" t="n">
        <f aca="false">IF($A780="","",物件マスタ!S780)</f>
        <v>2200</v>
      </c>
      <c r="K780" s="1" t="n">
        <f aca="false">IF($A780="","",物件マスタ!U780)</f>
        <v>3270</v>
      </c>
      <c r="L780" s="1" t="n">
        <f aca="false">IF($A780="","",物件マスタ!W780)</f>
        <v>0.988</v>
      </c>
      <c r="M780" s="1" t="str">
        <f aca="false">IF($A780="","",IFERROR(INDEX(法人マスタ!$H:$H,MATCH($B780,法人マスタ!$A:$A,0)),""))</f>
        <v>2026年4月期（第42期）</v>
      </c>
      <c r="N780" s="1" t="n">
        <f aca="false">IF($A780="","",SUMIFS(物件収支!$D:$D,物件収支!$A:$A,$A780,物件収支!$C:$C,$M780))</f>
        <v>6</v>
      </c>
      <c r="O780" s="1" t="n">
        <f aca="false">IF($A780="","",SUMIFS(物件収支!$F:$F,物件収支!$A:$A,$A780,物件収支!$C:$C,$M780))</f>
        <v>104000</v>
      </c>
      <c r="P780" s="1" t="n">
        <f aca="false">IF($A780="","",SUMIFS(物件収支!$I:$I,物件収支!$A:$A,$A780,物件収支!$C:$C,$M780))</f>
        <v>0</v>
      </c>
      <c r="Q780" s="1" t="n">
        <f aca="false">IF($A780="","",SUMIFS(物件収支!$O:$O,物件収支!$A:$A,$A780,物件収支!$C:$C,$M780))</f>
        <v>0</v>
      </c>
      <c r="R780" s="1" t="str">
        <f aca="false">IF($A780="","",IF(P780=0,"",O780-P780))</f>
        <v/>
      </c>
      <c r="S780" s="1" t="str">
        <f aca="false">IF($A780="","",IF(R780="","",R780+Q780))</f>
        <v/>
      </c>
      <c r="T780" s="1" t="str">
        <f aca="false">IF($A780="","",IF(OR(S780="",N780&lt;=0),"",S780/1000*12/N780))</f>
        <v/>
      </c>
      <c r="U780" s="1" t="str">
        <f aca="false">IF($A780="","",IF(OR(T780="",J780=0,J780=""),"",T780/J780))</f>
        <v/>
      </c>
      <c r="V780" s="1" t="str">
        <f aca="false">IF($A780="","",IF(OR(R780="",N780&lt;=0,J780=0,J780=""),"",(R780/1000*12/N780)/J780))</f>
        <v/>
      </c>
      <c r="W780" s="1" t="str">
        <f aca="false">IF($A780="","",IF(OR(T780="",K780=0,K780=""),"",T780/K780))</f>
        <v/>
      </c>
      <c r="X780" s="1" t="n">
        <f aca="false">IF($A780="","",IF(OR(N780&lt;=0,I780=0,I780="",O780=0),"",O780*1000/(I780*0.3025)/N780))</f>
        <v>18445.7592605294</v>
      </c>
      <c r="Y780" s="1" t="str">
        <f aca="false">IF($A780="","",IF(OR(O780=0,O780="",P780=0),"",P780/O780))</f>
        <v/>
      </c>
      <c r="Z780" s="1" t="str">
        <f aca="false">IF($A780="","",IFERROR(INDEX(物件収支!$E:$E,MATCH($A780,物件収支!$A:$A,0)),""))</f>
        <v>開示（物件別・収益のみ・百万円単位）</v>
      </c>
    </row>
    <row r="781" customFormat="false" ht="15" hidden="false" customHeight="true" outlineLevel="0" collapsed="false">
      <c r="A781" s="1" t="str">
        <f aca="false">IF(物件マスタ!A781="","",物件マスタ!A781)</f>
        <v>KDX-041</v>
      </c>
      <c r="B781" s="1" t="str">
        <f aca="false">IF($A781="","",物件マスタ!B781)</f>
        <v>KDX</v>
      </c>
      <c r="C781" s="1" t="str">
        <f aca="false">IF($A781="","",IFERROR(INDEX(法人マスタ!$C:$C,MATCH($B781,法人マスタ!$A:$A,0)),""))</f>
        <v>ＫＤＸ不動産投資法人</v>
      </c>
      <c r="D781" s="1" t="str">
        <f aca="false">IF($A781="","",物件マスタ!C781)</f>
        <v>KDX新宿六丁目ビル</v>
      </c>
      <c r="E781" s="1" t="str">
        <f aca="false">IF($A781="","",物件マスタ!H781)</f>
        <v>東京経済圏（KDX区分）</v>
      </c>
      <c r="F781" s="1" t="n">
        <f aca="false">IF($A781="","",物件マスタ!P781)</f>
        <v>0</v>
      </c>
      <c r="G781" s="1" t="str">
        <f aca="false">IF($A781="","",物件マスタ!Q781)</f>
        <v/>
      </c>
      <c r="H781" s="1" t="n">
        <f aca="false">IF($A781="","",物件マスタ!L781)</f>
        <v>0</v>
      </c>
      <c r="I781" s="1" t="n">
        <f aca="false">IF($A781="","",物件マスタ!M781)</f>
        <v>4037.56</v>
      </c>
      <c r="J781" s="1" t="n">
        <f aca="false">IF($A781="","",物件マスタ!S781)</f>
        <v>1900</v>
      </c>
      <c r="K781" s="1" t="n">
        <f aca="false">IF($A781="","",物件マスタ!U781)</f>
        <v>3340</v>
      </c>
      <c r="L781" s="1" t="n">
        <f aca="false">IF($A781="","",物件マスタ!W781)</f>
        <v>0.939</v>
      </c>
      <c r="M781" s="1" t="str">
        <f aca="false">IF($A781="","",IFERROR(INDEX(法人マスタ!$H:$H,MATCH($B781,法人マスタ!$A:$A,0)),""))</f>
        <v>2026年4月期（第42期）</v>
      </c>
      <c r="N781" s="1" t="n">
        <f aca="false">IF($A781="","",SUMIFS(物件収支!$D:$D,物件収支!$A:$A,$A781,物件収支!$C:$C,$M781))</f>
        <v>6</v>
      </c>
      <c r="O781" s="1" t="n">
        <f aca="false">IF($A781="","",SUMIFS(物件収支!$F:$F,物件収支!$A:$A,$A781,物件収支!$C:$C,$M781))</f>
        <v>118000</v>
      </c>
      <c r="P781" s="1" t="n">
        <f aca="false">IF($A781="","",SUMIFS(物件収支!$I:$I,物件収支!$A:$A,$A781,物件収支!$C:$C,$M781))</f>
        <v>0</v>
      </c>
      <c r="Q781" s="1" t="n">
        <f aca="false">IF($A781="","",SUMIFS(物件収支!$O:$O,物件収支!$A:$A,$A781,物件収支!$C:$C,$M781))</f>
        <v>0</v>
      </c>
      <c r="R781" s="1" t="str">
        <f aca="false">IF($A781="","",IF(P781=0,"",O781-P781))</f>
        <v/>
      </c>
      <c r="S781" s="1" t="str">
        <f aca="false">IF($A781="","",IF(R781="","",R781+Q781))</f>
        <v/>
      </c>
      <c r="T781" s="1" t="str">
        <f aca="false">IF($A781="","",IF(OR(S781="",N781&lt;=0),"",S781/1000*12/N781))</f>
        <v/>
      </c>
      <c r="U781" s="1" t="str">
        <f aca="false">IF($A781="","",IF(OR(T781="",J781=0,J781=""),"",T781/J781))</f>
        <v/>
      </c>
      <c r="V781" s="1" t="str">
        <f aca="false">IF($A781="","",IF(OR(R781="",N781&lt;=0,J781=0,J781=""),"",(R781/1000*12/N781)/J781))</f>
        <v/>
      </c>
      <c r="W781" s="1" t="str">
        <f aca="false">IF($A781="","",IF(OR(T781="",K781=0,K781=""),"",T781/K781))</f>
        <v/>
      </c>
      <c r="X781" s="1" t="n">
        <f aca="false">IF($A781="","",IF(OR(N781&lt;=0,I781=0,I781="",O781=0),"",O781*1000/(I781*0.3025)/N781))</f>
        <v>16102.2434600806</v>
      </c>
      <c r="Y781" s="1" t="str">
        <f aca="false">IF($A781="","",IF(OR(O781=0,O781="",P781=0),"",P781/O781))</f>
        <v/>
      </c>
      <c r="Z781" s="1" t="str">
        <f aca="false">IF($A781="","",IFERROR(INDEX(物件収支!$E:$E,MATCH($A781,物件収支!$A:$A,0)),""))</f>
        <v>開示（物件別・収益のみ・百万円単位）</v>
      </c>
    </row>
    <row r="782" customFormat="false" ht="15" hidden="false" customHeight="true" outlineLevel="0" collapsed="false">
      <c r="A782" s="1" t="str">
        <f aca="false">IF(物件マスタ!A782="","",物件マスタ!A782)</f>
        <v>KDX-042</v>
      </c>
      <c r="B782" s="1" t="str">
        <f aca="false">IF($A782="","",物件マスタ!B782)</f>
        <v>KDX</v>
      </c>
      <c r="C782" s="1" t="str">
        <f aca="false">IF($A782="","",IFERROR(INDEX(法人マスタ!$C:$C,MATCH($B782,法人マスタ!$A:$A,0)),""))</f>
        <v>ＫＤＸ不動産投資法人</v>
      </c>
      <c r="D782" s="1" t="str">
        <f aca="false">IF($A782="","",物件マスタ!C782)</f>
        <v>KDX池袋ビル</v>
      </c>
      <c r="E782" s="1" t="str">
        <f aca="false">IF($A782="","",物件マスタ!H782)</f>
        <v>東京経済圏（KDX区分）</v>
      </c>
      <c r="F782" s="1" t="n">
        <f aca="false">IF($A782="","",物件マスタ!P782)</f>
        <v>0</v>
      </c>
      <c r="G782" s="1" t="str">
        <f aca="false">IF($A782="","",物件マスタ!Q782)</f>
        <v/>
      </c>
      <c r="H782" s="1" t="n">
        <f aca="false">IF($A782="","",物件マスタ!L782)</f>
        <v>0</v>
      </c>
      <c r="I782" s="1" t="n">
        <f aca="false">IF($A782="","",物件マスタ!M782)</f>
        <v>3110.77</v>
      </c>
      <c r="J782" s="1" t="n">
        <f aca="false">IF($A782="","",物件マスタ!S782)</f>
        <v>3900</v>
      </c>
      <c r="K782" s="1" t="n">
        <f aca="false">IF($A782="","",物件マスタ!U782)</f>
        <v>5430</v>
      </c>
      <c r="L782" s="1" t="n">
        <f aca="false">IF($A782="","",物件マスタ!W782)</f>
        <v>1</v>
      </c>
      <c r="M782" s="1" t="str">
        <f aca="false">IF($A782="","",IFERROR(INDEX(法人マスタ!$H:$H,MATCH($B782,法人マスタ!$A:$A,0)),""))</f>
        <v>2026年4月期（第42期）</v>
      </c>
      <c r="N782" s="1" t="n">
        <f aca="false">IF($A782="","",SUMIFS(物件収支!$D:$D,物件収支!$A:$A,$A782,物件収支!$C:$C,$M782))</f>
        <v>6</v>
      </c>
      <c r="O782" s="1" t="n">
        <f aca="false">IF($A782="","",SUMIFS(物件収支!$F:$F,物件収支!$A:$A,$A782,物件収支!$C:$C,$M782))</f>
        <v>132000</v>
      </c>
      <c r="P782" s="1" t="n">
        <f aca="false">IF($A782="","",SUMIFS(物件収支!$I:$I,物件収支!$A:$A,$A782,物件収支!$C:$C,$M782))</f>
        <v>0</v>
      </c>
      <c r="Q782" s="1" t="n">
        <f aca="false">IF($A782="","",SUMIFS(物件収支!$O:$O,物件収支!$A:$A,$A782,物件収支!$C:$C,$M782))</f>
        <v>0</v>
      </c>
      <c r="R782" s="1" t="str">
        <f aca="false">IF($A782="","",IF(P782=0,"",O782-P782))</f>
        <v/>
      </c>
      <c r="S782" s="1" t="str">
        <f aca="false">IF($A782="","",IF(R782="","",R782+Q782))</f>
        <v/>
      </c>
      <c r="T782" s="1" t="str">
        <f aca="false">IF($A782="","",IF(OR(S782="",N782&lt;=0),"",S782/1000*12/N782))</f>
        <v/>
      </c>
      <c r="U782" s="1" t="str">
        <f aca="false">IF($A782="","",IF(OR(T782="",J782=0,J782=""),"",T782/J782))</f>
        <v/>
      </c>
      <c r="V782" s="1" t="str">
        <f aca="false">IF($A782="","",IF(OR(R782="",N782&lt;=0,J782=0,J782=""),"",(R782/1000*12/N782)/J782))</f>
        <v/>
      </c>
      <c r="W782" s="1" t="str">
        <f aca="false">IF($A782="","",IF(OR(T782="",K782=0,K782=""),"",T782/K782))</f>
        <v/>
      </c>
      <c r="X782" s="1" t="n">
        <f aca="false">IF($A782="","",IF(OR(N782&lt;=0,I782=0,I782="",O782=0),"",O782*1000/(I782*0.3025)/N782))</f>
        <v>23379.1867374549</v>
      </c>
      <c r="Y782" s="1" t="str">
        <f aca="false">IF($A782="","",IF(OR(O782=0,O782="",P782=0),"",P782/O782))</f>
        <v/>
      </c>
      <c r="Z782" s="1" t="str">
        <f aca="false">IF($A782="","",IFERROR(INDEX(物件収支!$E:$E,MATCH($A782,物件収支!$A:$A,0)),""))</f>
        <v>開示（物件別・収益のみ・百万円単位）</v>
      </c>
    </row>
    <row r="783" customFormat="false" ht="15" hidden="false" customHeight="true" outlineLevel="0" collapsed="false">
      <c r="A783" s="1" t="str">
        <f aca="false">IF(物件マスタ!A783="","",物件マスタ!A783)</f>
        <v>KDX-043</v>
      </c>
      <c r="B783" s="1" t="str">
        <f aca="false">IF($A783="","",物件マスタ!B783)</f>
        <v>KDX</v>
      </c>
      <c r="C783" s="1" t="str">
        <f aca="false">IF($A783="","",IFERROR(INDEX(法人マスタ!$C:$C,MATCH($B783,法人マスタ!$A:$A,0)),""))</f>
        <v>ＫＤＸ不動産投資法人</v>
      </c>
      <c r="D783" s="1" t="str">
        <f aca="false">IF($A783="","",物件マスタ!C783)</f>
        <v>KDX三田ビル</v>
      </c>
      <c r="E783" s="1" t="str">
        <f aca="false">IF($A783="","",物件マスタ!H783)</f>
        <v>東京経済圏（KDX区分）</v>
      </c>
      <c r="F783" s="1" t="n">
        <f aca="false">IF($A783="","",物件マスタ!P783)</f>
        <v>0</v>
      </c>
      <c r="G783" s="1" t="str">
        <f aca="false">IF($A783="","",物件マスタ!Q783)</f>
        <v/>
      </c>
      <c r="H783" s="1" t="n">
        <f aca="false">IF($A783="","",物件マスタ!L783)</f>
        <v>0</v>
      </c>
      <c r="I783" s="1" t="n">
        <f aca="false">IF($A783="","",物件マスタ!M783)</f>
        <v>3272.19</v>
      </c>
      <c r="J783" s="1" t="n">
        <f aca="false">IF($A783="","",物件マスタ!S783)</f>
        <v>3180</v>
      </c>
      <c r="K783" s="1" t="n">
        <f aca="false">IF($A783="","",物件マスタ!U783)</f>
        <v>4120</v>
      </c>
      <c r="L783" s="1" t="n">
        <f aca="false">IF($A783="","",物件マスタ!W783)</f>
        <v>1</v>
      </c>
      <c r="M783" s="1" t="str">
        <f aca="false">IF($A783="","",IFERROR(INDEX(法人マスタ!$H:$H,MATCH($B783,法人マスタ!$A:$A,0)),""))</f>
        <v>2026年4月期（第42期）</v>
      </c>
      <c r="N783" s="1" t="n">
        <f aca="false">IF($A783="","",SUMIFS(物件収支!$D:$D,物件収支!$A:$A,$A783,物件収支!$C:$C,$M783))</f>
        <v>6</v>
      </c>
      <c r="O783" s="1" t="n">
        <f aca="false">IF($A783="","",SUMIFS(物件収支!$F:$F,物件収支!$A:$A,$A783,物件収支!$C:$C,$M783))</f>
        <v>116000</v>
      </c>
      <c r="P783" s="1" t="n">
        <f aca="false">IF($A783="","",SUMIFS(物件収支!$I:$I,物件収支!$A:$A,$A783,物件収支!$C:$C,$M783))</f>
        <v>0</v>
      </c>
      <c r="Q783" s="1" t="n">
        <f aca="false">IF($A783="","",SUMIFS(物件収支!$O:$O,物件収支!$A:$A,$A783,物件収支!$C:$C,$M783))</f>
        <v>0</v>
      </c>
      <c r="R783" s="1" t="str">
        <f aca="false">IF($A783="","",IF(P783=0,"",O783-P783))</f>
        <v/>
      </c>
      <c r="S783" s="1" t="str">
        <f aca="false">IF($A783="","",IF(R783="","",R783+Q783))</f>
        <v/>
      </c>
      <c r="T783" s="1" t="str">
        <f aca="false">IF($A783="","",IF(OR(S783="",N783&lt;=0),"",S783/1000*12/N783))</f>
        <v/>
      </c>
      <c r="U783" s="1" t="str">
        <f aca="false">IF($A783="","",IF(OR(T783="",J783=0,J783=""),"",T783/J783))</f>
        <v/>
      </c>
      <c r="V783" s="1" t="str">
        <f aca="false">IF($A783="","",IF(OR(R783="",N783&lt;=0,J783=0,J783=""),"",(R783/1000*12/N783)/J783))</f>
        <v/>
      </c>
      <c r="W783" s="1" t="str">
        <f aca="false">IF($A783="","",IF(OR(T783="",K783=0,K783=""),"",T783/K783))</f>
        <v/>
      </c>
      <c r="X783" s="1" t="n">
        <f aca="false">IF($A783="","",IF(OR(N783&lt;=0,I783=0,I783="",O783=0),"",O783*1000/(I783*0.3025)/N783))</f>
        <v>19531.8260033884</v>
      </c>
      <c r="Y783" s="1" t="str">
        <f aca="false">IF($A783="","",IF(OR(O783=0,O783="",P783=0),"",P783/O783))</f>
        <v/>
      </c>
      <c r="Z783" s="1" t="str">
        <f aca="false">IF($A783="","",IFERROR(INDEX(物件収支!$E:$E,MATCH($A783,物件収支!$A:$A,0)),""))</f>
        <v>開示（物件別・収益のみ・百万円単位）</v>
      </c>
    </row>
    <row r="784" customFormat="false" ht="15" hidden="false" customHeight="true" outlineLevel="0" collapsed="false">
      <c r="A784" s="1" t="str">
        <f aca="false">IF(物件マスタ!A784="","",物件マスタ!A784)</f>
        <v>KDX-044</v>
      </c>
      <c r="B784" s="1" t="str">
        <f aca="false">IF($A784="","",物件マスタ!B784)</f>
        <v>KDX</v>
      </c>
      <c r="C784" s="1" t="str">
        <f aca="false">IF($A784="","",IFERROR(INDEX(法人マスタ!$C:$C,MATCH($B784,法人マスタ!$A:$A,0)),""))</f>
        <v>ＫＤＸ不動産投資法人</v>
      </c>
      <c r="D784" s="1" t="str">
        <f aca="false">IF($A784="","",物件マスタ!C784)</f>
        <v>KDX高輪台ビル</v>
      </c>
      <c r="E784" s="1" t="str">
        <f aca="false">IF($A784="","",物件マスタ!H784)</f>
        <v>東京経済圏（KDX区分）</v>
      </c>
      <c r="F784" s="1" t="n">
        <f aca="false">IF($A784="","",物件マスタ!P784)</f>
        <v>0</v>
      </c>
      <c r="G784" s="1" t="str">
        <f aca="false">IF($A784="","",物件マスタ!Q784)</f>
        <v/>
      </c>
      <c r="H784" s="1" t="n">
        <f aca="false">IF($A784="","",物件マスタ!L784)</f>
        <v>0</v>
      </c>
      <c r="I784" s="1" t="n">
        <f aca="false">IF($A784="","",物件マスタ!M784)</f>
        <v>6970.54</v>
      </c>
      <c r="J784" s="1" t="n">
        <f aca="false">IF($A784="","",物件マスタ!S784)</f>
        <v>5250</v>
      </c>
      <c r="K784" s="1" t="n">
        <f aca="false">IF($A784="","",物件マスタ!U784)</f>
        <v>7380</v>
      </c>
      <c r="L784" s="1" t="n">
        <f aca="false">IF($A784="","",物件マスタ!W784)</f>
        <v>0.992</v>
      </c>
      <c r="M784" s="1" t="str">
        <f aca="false">IF($A784="","",IFERROR(INDEX(法人マスタ!$H:$H,MATCH($B784,法人マスタ!$A:$A,0)),""))</f>
        <v>2026年4月期（第42期）</v>
      </c>
      <c r="N784" s="1" t="n">
        <f aca="false">IF($A784="","",SUMIFS(物件収支!$D:$D,物件収支!$A:$A,$A784,物件収支!$C:$C,$M784))</f>
        <v>6</v>
      </c>
      <c r="O784" s="1" t="n">
        <f aca="false">IF($A784="","",SUMIFS(物件収支!$F:$F,物件収支!$A:$A,$A784,物件収支!$C:$C,$M784))</f>
        <v>209000</v>
      </c>
      <c r="P784" s="1" t="n">
        <f aca="false">IF($A784="","",SUMIFS(物件収支!$I:$I,物件収支!$A:$A,$A784,物件収支!$C:$C,$M784))</f>
        <v>0</v>
      </c>
      <c r="Q784" s="1" t="n">
        <f aca="false">IF($A784="","",SUMIFS(物件収支!$O:$O,物件収支!$A:$A,$A784,物件収支!$C:$C,$M784))</f>
        <v>0</v>
      </c>
      <c r="R784" s="1" t="str">
        <f aca="false">IF($A784="","",IF(P784=0,"",O784-P784))</f>
        <v/>
      </c>
      <c r="S784" s="1" t="str">
        <f aca="false">IF($A784="","",IF(R784="","",R784+Q784))</f>
        <v/>
      </c>
      <c r="T784" s="1" t="str">
        <f aca="false">IF($A784="","",IF(OR(S784="",N784&lt;=0),"",S784/1000*12/N784))</f>
        <v/>
      </c>
      <c r="U784" s="1" t="str">
        <f aca="false">IF($A784="","",IF(OR(T784="",J784=0,J784=""),"",T784/J784))</f>
        <v/>
      </c>
      <c r="V784" s="1" t="str">
        <f aca="false">IF($A784="","",IF(OR(R784="",N784&lt;=0,J784=0,J784=""),"",(R784/1000*12/N784)/J784))</f>
        <v/>
      </c>
      <c r="W784" s="1" t="str">
        <f aca="false">IF($A784="","",IF(OR(T784="",K784=0,K784=""),"",T784/K784))</f>
        <v/>
      </c>
      <c r="X784" s="1" t="n">
        <f aca="false">IF($A784="","",IF(OR(N784&lt;=0,I784=0,I784="",O784=0),"",O784*1000/(I784*0.3025)/N784))</f>
        <v>16519.7409600282</v>
      </c>
      <c r="Y784" s="1" t="str">
        <f aca="false">IF($A784="","",IF(OR(O784=0,O784="",P784=0),"",P784/O784))</f>
        <v/>
      </c>
      <c r="Z784" s="1" t="str">
        <f aca="false">IF($A784="","",IFERROR(INDEX(物件収支!$E:$E,MATCH($A784,物件収支!$A:$A,0)),""))</f>
        <v>開示（物件別・収益のみ・百万円単位）</v>
      </c>
    </row>
    <row r="785" customFormat="false" ht="15" hidden="false" customHeight="true" outlineLevel="0" collapsed="false">
      <c r="A785" s="1" t="str">
        <f aca="false">IF(物件マスタ!A785="","",物件マスタ!A785)</f>
        <v>KDX-045</v>
      </c>
      <c r="B785" s="1" t="str">
        <f aca="false">IF($A785="","",物件マスタ!B785)</f>
        <v>KDX</v>
      </c>
      <c r="C785" s="1" t="str">
        <f aca="false">IF($A785="","",IFERROR(INDEX(法人マスタ!$C:$C,MATCH($B785,法人マスタ!$A:$A,0)),""))</f>
        <v>ＫＤＸ不動産投資法人</v>
      </c>
      <c r="D785" s="1" t="str">
        <f aca="false">IF($A785="","",物件マスタ!C785)</f>
        <v>KDX秋葉原ビル</v>
      </c>
      <c r="E785" s="1" t="str">
        <f aca="false">IF($A785="","",物件マスタ!H785)</f>
        <v>東京経済圏（KDX区分）</v>
      </c>
      <c r="F785" s="1" t="n">
        <f aca="false">IF($A785="","",物件マスタ!P785)</f>
        <v>0</v>
      </c>
      <c r="G785" s="1" t="str">
        <f aca="false">IF($A785="","",物件マスタ!Q785)</f>
        <v/>
      </c>
      <c r="H785" s="1" t="n">
        <f aca="false">IF($A785="","",物件マスタ!L785)</f>
        <v>0</v>
      </c>
      <c r="I785" s="1" t="n">
        <f aca="false">IF($A785="","",物件マスタ!M785)</f>
        <v>2287.4</v>
      </c>
      <c r="J785" s="1" t="n">
        <f aca="false">IF($A785="","",物件マスタ!S785)</f>
        <v>2600</v>
      </c>
      <c r="K785" s="1" t="n">
        <f aca="false">IF($A785="","",物件マスタ!U785)</f>
        <v>3210</v>
      </c>
      <c r="L785" s="1" t="n">
        <f aca="false">IF($A785="","",物件マスタ!W785)</f>
        <v>1</v>
      </c>
      <c r="M785" s="1" t="str">
        <f aca="false">IF($A785="","",IFERROR(INDEX(法人マスタ!$H:$H,MATCH($B785,法人マスタ!$A:$A,0)),""))</f>
        <v>2026年4月期（第42期）</v>
      </c>
      <c r="N785" s="1" t="n">
        <f aca="false">IF($A785="","",SUMIFS(物件収支!$D:$D,物件収支!$A:$A,$A785,物件収支!$C:$C,$M785))</f>
        <v>6</v>
      </c>
      <c r="O785" s="1" t="n">
        <f aca="false">IF($A785="","",SUMIFS(物件収支!$F:$F,物件収支!$A:$A,$A785,物件収支!$C:$C,$M785))</f>
        <v>82000</v>
      </c>
      <c r="P785" s="1" t="n">
        <f aca="false">IF($A785="","",SUMIFS(物件収支!$I:$I,物件収支!$A:$A,$A785,物件収支!$C:$C,$M785))</f>
        <v>0</v>
      </c>
      <c r="Q785" s="1" t="n">
        <f aca="false">IF($A785="","",SUMIFS(物件収支!$O:$O,物件収支!$A:$A,$A785,物件収支!$C:$C,$M785))</f>
        <v>0</v>
      </c>
      <c r="R785" s="1" t="str">
        <f aca="false">IF($A785="","",IF(P785=0,"",O785-P785))</f>
        <v/>
      </c>
      <c r="S785" s="1" t="str">
        <f aca="false">IF($A785="","",IF(R785="","",R785+Q785))</f>
        <v/>
      </c>
      <c r="T785" s="1" t="str">
        <f aca="false">IF($A785="","",IF(OR(S785="",N785&lt;=0),"",S785/1000*12/N785))</f>
        <v/>
      </c>
      <c r="U785" s="1" t="str">
        <f aca="false">IF($A785="","",IF(OR(T785="",J785=0,J785=""),"",T785/J785))</f>
        <v/>
      </c>
      <c r="V785" s="1" t="str">
        <f aca="false">IF($A785="","",IF(OR(R785="",N785&lt;=0,J785=0,J785=""),"",(R785/1000*12/N785)/J785))</f>
        <v/>
      </c>
      <c r="W785" s="1" t="str">
        <f aca="false">IF($A785="","",IF(OR(T785="",K785=0,K785=""),"",T785/K785))</f>
        <v/>
      </c>
      <c r="X785" s="1" t="n">
        <f aca="false">IF($A785="","",IF(OR(N785&lt;=0,I785=0,I785="",O785=0),"",O785*1000/(I785*0.3025)/N785))</f>
        <v>19751.2736560643</v>
      </c>
      <c r="Y785" s="1" t="str">
        <f aca="false">IF($A785="","",IF(OR(O785=0,O785="",P785=0),"",P785/O785))</f>
        <v/>
      </c>
      <c r="Z785" s="1" t="str">
        <f aca="false">IF($A785="","",IFERROR(INDEX(物件収支!$E:$E,MATCH($A785,物件収支!$A:$A,0)),""))</f>
        <v>開示（物件別・収益のみ・百万円単位）</v>
      </c>
    </row>
    <row r="786" customFormat="false" ht="15" hidden="false" customHeight="true" outlineLevel="0" collapsed="false">
      <c r="A786" s="1" t="str">
        <f aca="false">IF(物件マスタ!A786="","",物件マスタ!A786)</f>
        <v>KDX-046</v>
      </c>
      <c r="B786" s="1" t="str">
        <f aca="false">IF($A786="","",物件マスタ!B786)</f>
        <v>KDX</v>
      </c>
      <c r="C786" s="1" t="str">
        <f aca="false">IF($A786="","",IFERROR(INDEX(法人マスタ!$C:$C,MATCH($B786,法人マスタ!$A:$A,0)),""))</f>
        <v>ＫＤＸ不動産投資法人</v>
      </c>
      <c r="D786" s="1" t="str">
        <f aca="false">IF($A786="","",物件マスタ!C786)</f>
        <v>KDX飯田橋スクエア</v>
      </c>
      <c r="E786" s="1" t="str">
        <f aca="false">IF($A786="","",物件マスタ!H786)</f>
        <v>東京経済圏（KDX区分）</v>
      </c>
      <c r="F786" s="1" t="n">
        <f aca="false">IF($A786="","",物件マスタ!P786)</f>
        <v>0</v>
      </c>
      <c r="G786" s="1" t="str">
        <f aca="false">IF($A786="","",物件マスタ!Q786)</f>
        <v/>
      </c>
      <c r="H786" s="1" t="n">
        <f aca="false">IF($A786="","",物件マスタ!L786)</f>
        <v>0</v>
      </c>
      <c r="I786" s="1" t="n">
        <f aca="false">IF($A786="","",物件マスタ!M786)</f>
        <v>4571.92</v>
      </c>
      <c r="J786" s="1" t="n">
        <f aca="false">IF($A786="","",物件マスタ!S786)</f>
        <v>4350</v>
      </c>
      <c r="K786" s="1" t="n">
        <f aca="false">IF($A786="","",物件マスタ!U786)</f>
        <v>6560</v>
      </c>
      <c r="L786" s="1" t="n">
        <f aca="false">IF($A786="","",物件マスタ!W786)</f>
        <v>1</v>
      </c>
      <c r="M786" s="1" t="str">
        <f aca="false">IF($A786="","",IFERROR(INDEX(法人マスタ!$H:$H,MATCH($B786,法人マスタ!$A:$A,0)),""))</f>
        <v>2026年4月期（第42期）</v>
      </c>
      <c r="N786" s="1" t="n">
        <f aca="false">IF($A786="","",SUMIFS(物件収支!$D:$D,物件収支!$A:$A,$A786,物件収支!$C:$C,$M786))</f>
        <v>6</v>
      </c>
      <c r="O786" s="1" t="n">
        <f aca="false">IF($A786="","",SUMIFS(物件収支!$F:$F,物件収支!$A:$A,$A786,物件収支!$C:$C,$M786))</f>
        <v>189000</v>
      </c>
      <c r="P786" s="1" t="n">
        <f aca="false">IF($A786="","",SUMIFS(物件収支!$I:$I,物件収支!$A:$A,$A786,物件収支!$C:$C,$M786))</f>
        <v>0</v>
      </c>
      <c r="Q786" s="1" t="n">
        <f aca="false">IF($A786="","",SUMIFS(物件収支!$O:$O,物件収支!$A:$A,$A786,物件収支!$C:$C,$M786))</f>
        <v>0</v>
      </c>
      <c r="R786" s="1" t="str">
        <f aca="false">IF($A786="","",IF(P786=0,"",O786-P786))</f>
        <v/>
      </c>
      <c r="S786" s="1" t="str">
        <f aca="false">IF($A786="","",IF(R786="","",R786+Q786))</f>
        <v/>
      </c>
      <c r="T786" s="1" t="str">
        <f aca="false">IF($A786="","",IF(OR(S786="",N786&lt;=0),"",S786/1000*12/N786))</f>
        <v/>
      </c>
      <c r="U786" s="1" t="str">
        <f aca="false">IF($A786="","",IF(OR(T786="",J786=0,J786=""),"",T786/J786))</f>
        <v/>
      </c>
      <c r="V786" s="1" t="str">
        <f aca="false">IF($A786="","",IF(OR(R786="",N786&lt;=0,J786=0,J786=""),"",(R786/1000*12/N786)/J786))</f>
        <v/>
      </c>
      <c r="W786" s="1" t="str">
        <f aca="false">IF($A786="","",IF(OR(T786="",K786=0,K786=""),"",T786/K786))</f>
        <v/>
      </c>
      <c r="X786" s="1" t="n">
        <f aca="false">IF($A786="","",IF(OR(N786&lt;=0,I786=0,I786="",O786=0),"",O786*1000/(I786*0.3025)/N786))</f>
        <v>22776.4771485412</v>
      </c>
      <c r="Y786" s="1" t="str">
        <f aca="false">IF($A786="","",IF(OR(O786=0,O786="",P786=0),"",P786/O786))</f>
        <v/>
      </c>
      <c r="Z786" s="1" t="str">
        <f aca="false">IF($A786="","",IFERROR(INDEX(物件収支!$E:$E,MATCH($A786,物件収支!$A:$A,0)),""))</f>
        <v>開示（物件別・収益のみ・百万円単位）</v>
      </c>
    </row>
    <row r="787" customFormat="false" ht="15" hidden="false" customHeight="true" outlineLevel="0" collapsed="false">
      <c r="A787" s="1" t="str">
        <f aca="false">IF(物件マスタ!A787="","",物件マスタ!A787)</f>
        <v>KDX-047</v>
      </c>
      <c r="B787" s="1" t="str">
        <f aca="false">IF($A787="","",物件マスタ!B787)</f>
        <v>KDX</v>
      </c>
      <c r="C787" s="1" t="str">
        <f aca="false">IF($A787="","",IFERROR(INDEX(法人マスタ!$C:$C,MATCH($B787,法人マスタ!$A:$A,0)),""))</f>
        <v>ＫＤＸ不動産投資法人</v>
      </c>
      <c r="D787" s="1" t="str">
        <f aca="false">IF($A787="","",物件マスタ!C787)</f>
        <v>KDX武蔵小杉ビル</v>
      </c>
      <c r="E787" s="1" t="str">
        <f aca="false">IF($A787="","",物件マスタ!H787)</f>
        <v>東京経済圏（KDX区分）</v>
      </c>
      <c r="F787" s="1" t="n">
        <f aca="false">IF($A787="","",物件マスタ!P787)</f>
        <v>0</v>
      </c>
      <c r="G787" s="1" t="str">
        <f aca="false">IF($A787="","",物件マスタ!Q787)</f>
        <v/>
      </c>
      <c r="H787" s="1" t="n">
        <f aca="false">IF($A787="","",物件マスタ!L787)</f>
        <v>0</v>
      </c>
      <c r="I787" s="1" t="n">
        <f aca="false">IF($A787="","",物件マスタ!M787)</f>
        <v>12978.59</v>
      </c>
      <c r="J787" s="1" t="n">
        <f aca="false">IF($A787="","",物件マスタ!S787)</f>
        <v>12000</v>
      </c>
      <c r="K787" s="1" t="n">
        <f aca="false">IF($A787="","",物件マスタ!U787)</f>
        <v>19100</v>
      </c>
      <c r="L787" s="1" t="n">
        <f aca="false">IF($A787="","",物件マスタ!W787)</f>
        <v>1</v>
      </c>
      <c r="M787" s="1" t="str">
        <f aca="false">IF($A787="","",IFERROR(INDEX(法人マスタ!$H:$H,MATCH($B787,法人マスタ!$A:$A,0)),""))</f>
        <v>2026年4月期（第42期）</v>
      </c>
      <c r="N787" s="1" t="n">
        <f aca="false">IF($A787="","",SUMIFS(物件収支!$D:$D,物件収支!$A:$A,$A787,物件収支!$C:$C,$M787))</f>
        <v>6</v>
      </c>
      <c r="O787" s="1" t="n">
        <f aca="false">IF($A787="","",SUMIFS(物件収支!$F:$F,物件収支!$A:$A,$A787,物件収支!$C:$C,$M787))</f>
        <v>482000</v>
      </c>
      <c r="P787" s="1" t="n">
        <f aca="false">IF($A787="","",SUMIFS(物件収支!$I:$I,物件収支!$A:$A,$A787,物件収支!$C:$C,$M787))</f>
        <v>0</v>
      </c>
      <c r="Q787" s="1" t="n">
        <f aca="false">IF($A787="","",SUMIFS(物件収支!$O:$O,物件収支!$A:$A,$A787,物件収支!$C:$C,$M787))</f>
        <v>0</v>
      </c>
      <c r="R787" s="1" t="str">
        <f aca="false">IF($A787="","",IF(P787=0,"",O787-P787))</f>
        <v/>
      </c>
      <c r="S787" s="1" t="str">
        <f aca="false">IF($A787="","",IF(R787="","",R787+Q787))</f>
        <v/>
      </c>
      <c r="T787" s="1" t="str">
        <f aca="false">IF($A787="","",IF(OR(S787="",N787&lt;=0),"",S787/1000*12/N787))</f>
        <v/>
      </c>
      <c r="U787" s="1" t="str">
        <f aca="false">IF($A787="","",IF(OR(T787="",J787=0,J787=""),"",T787/J787))</f>
        <v/>
      </c>
      <c r="V787" s="1" t="str">
        <f aca="false">IF($A787="","",IF(OR(R787="",N787&lt;=0,J787=0,J787=""),"",(R787/1000*12/N787)/J787))</f>
        <v/>
      </c>
      <c r="W787" s="1" t="str">
        <f aca="false">IF($A787="","",IF(OR(T787="",K787=0,K787=""),"",T787/K787))</f>
        <v/>
      </c>
      <c r="X787" s="1" t="n">
        <f aca="false">IF($A787="","",IF(OR(N787&lt;=0,I787=0,I787="",O787=0),"",O787*1000/(I787*0.3025)/N787))</f>
        <v>20461.7557293983</v>
      </c>
      <c r="Y787" s="1" t="str">
        <f aca="false">IF($A787="","",IF(OR(O787=0,O787="",P787=0),"",P787/O787))</f>
        <v/>
      </c>
      <c r="Z787" s="1" t="str">
        <f aca="false">IF($A787="","",IFERROR(INDEX(物件収支!$E:$E,MATCH($A787,物件収支!$A:$A,0)),""))</f>
        <v>開示（物件別・収益のみ・百万円単位）</v>
      </c>
    </row>
    <row r="788" customFormat="false" ht="15" hidden="false" customHeight="true" outlineLevel="0" collapsed="false">
      <c r="A788" s="1" t="str">
        <f aca="false">IF(物件マスタ!A788="","",物件マスタ!A788)</f>
        <v>KDX-048</v>
      </c>
      <c r="B788" s="1" t="str">
        <f aca="false">IF($A788="","",物件マスタ!B788)</f>
        <v>KDX</v>
      </c>
      <c r="C788" s="1" t="str">
        <f aca="false">IF($A788="","",IFERROR(INDEX(法人マスタ!$C:$C,MATCH($B788,法人マスタ!$A:$A,0)),""))</f>
        <v>ＫＤＸ不動産投資法人</v>
      </c>
      <c r="D788" s="1" t="str">
        <f aca="false">IF($A788="","",物件マスタ!C788)</f>
        <v>新宿6丁目ビル(底地)</v>
      </c>
      <c r="E788" s="1" t="str">
        <f aca="false">IF($A788="","",物件マスタ!H788)</f>
        <v>東京経済圏（KDX区分）</v>
      </c>
      <c r="F788" s="1" t="n">
        <f aca="false">IF($A788="","",物件マスタ!P788)</f>
        <v>0</v>
      </c>
      <c r="G788" s="1" t="str">
        <f aca="false">IF($A788="","",物件マスタ!Q788)</f>
        <v/>
      </c>
      <c r="H788" s="1" t="n">
        <f aca="false">IF($A788="","",物件マスタ!L788)</f>
        <v>0</v>
      </c>
      <c r="I788" s="1" t="n">
        <f aca="false">IF($A788="","",物件マスタ!M788)</f>
        <v>1355.13</v>
      </c>
      <c r="J788" s="1" t="n">
        <f aca="false">IF($A788="","",物件マスタ!S788)</f>
        <v>2880</v>
      </c>
      <c r="K788" s="1" t="n">
        <f aca="false">IF($A788="","",物件マスタ!U788)</f>
        <v>3870</v>
      </c>
      <c r="L788" s="1" t="n">
        <f aca="false">IF($A788="","",物件マスタ!W788)</f>
        <v>1</v>
      </c>
      <c r="M788" s="1" t="str">
        <f aca="false">IF($A788="","",IFERROR(INDEX(法人マスタ!$H:$H,MATCH($B788,法人マスタ!$A:$A,0)),""))</f>
        <v>2026年4月期（第42期）</v>
      </c>
      <c r="N788" s="1" t="n">
        <f aca="false">IF($A788="","",SUMIFS(物件収支!$D:$D,物件収支!$A:$A,$A788,物件収支!$C:$C,$M788))</f>
        <v>6</v>
      </c>
      <c r="O788" s="1" t="n">
        <f aca="false">IF($A788="","",SUMIFS(物件収支!$F:$F,物件収支!$A:$A,$A788,物件収支!$C:$C,$M788))</f>
        <v>70000</v>
      </c>
      <c r="P788" s="1" t="n">
        <f aca="false">IF($A788="","",SUMIFS(物件収支!$I:$I,物件収支!$A:$A,$A788,物件収支!$C:$C,$M788))</f>
        <v>0</v>
      </c>
      <c r="Q788" s="1" t="n">
        <f aca="false">IF($A788="","",SUMIFS(物件収支!$O:$O,物件収支!$A:$A,$A788,物件収支!$C:$C,$M788))</f>
        <v>0</v>
      </c>
      <c r="R788" s="1" t="str">
        <f aca="false">IF($A788="","",IF(P788=0,"",O788-P788))</f>
        <v/>
      </c>
      <c r="S788" s="1" t="str">
        <f aca="false">IF($A788="","",IF(R788="","",R788+Q788))</f>
        <v/>
      </c>
      <c r="T788" s="1" t="str">
        <f aca="false">IF($A788="","",IF(OR(S788="",N788&lt;=0),"",S788/1000*12/N788))</f>
        <v/>
      </c>
      <c r="U788" s="1" t="str">
        <f aca="false">IF($A788="","",IF(OR(T788="",J788=0,J788=""),"",T788/J788))</f>
        <v/>
      </c>
      <c r="V788" s="1" t="str">
        <f aca="false">IF($A788="","",IF(OR(R788="",N788&lt;=0,J788=0,J788=""),"",(R788/1000*12/N788)/J788))</f>
        <v/>
      </c>
      <c r="W788" s="1" t="str">
        <f aca="false">IF($A788="","",IF(OR(T788="",K788=0,K788=""),"",T788/K788))</f>
        <v/>
      </c>
      <c r="X788" s="1" t="n">
        <f aca="false">IF($A788="","",IF(OR(N788&lt;=0,I788=0,I788="",O788=0),"",O788*1000/(I788*0.3025)/N788))</f>
        <v>28460.3640336703</v>
      </c>
      <c r="Y788" s="1" t="str">
        <f aca="false">IF($A788="","",IF(OR(O788=0,O788="",P788=0),"",P788/O788))</f>
        <v/>
      </c>
      <c r="Z788" s="1" t="str">
        <f aca="false">IF($A788="","",IFERROR(INDEX(物件収支!$E:$E,MATCH($A788,物件収支!$A:$A,0)),""))</f>
        <v>開示（物件別・収益のみ・百万円単位）</v>
      </c>
    </row>
    <row r="789" customFormat="false" ht="15" hidden="false" customHeight="true" outlineLevel="0" collapsed="false">
      <c r="A789" s="1" t="str">
        <f aca="false">IF(物件マスタ!A789="","",物件マスタ!A789)</f>
        <v>KDX-049</v>
      </c>
      <c r="B789" s="1" t="str">
        <f aca="false">IF($A789="","",物件マスタ!B789)</f>
        <v>KDX</v>
      </c>
      <c r="C789" s="1" t="str">
        <f aca="false">IF($A789="","",IFERROR(INDEX(法人マスタ!$C:$C,MATCH($B789,法人マスタ!$A:$A,0)),""))</f>
        <v>ＫＤＸ不動産投資法人</v>
      </c>
      <c r="D789" s="1" t="str">
        <f aca="false">IF($A789="","",物件マスタ!C789)</f>
        <v>KDX豊洲グランスクエア</v>
      </c>
      <c r="E789" s="1" t="str">
        <f aca="false">IF($A789="","",物件マスタ!H789)</f>
        <v>東京経済圏（KDX区分）</v>
      </c>
      <c r="F789" s="1" t="n">
        <f aca="false">IF($A789="","",物件マスタ!P789)</f>
        <v>0</v>
      </c>
      <c r="G789" s="1" t="str">
        <f aca="false">IF($A789="","",物件マスタ!Q789)</f>
        <v/>
      </c>
      <c r="H789" s="1" t="n">
        <f aca="false">IF($A789="","",物件マスタ!L789)</f>
        <v>0</v>
      </c>
      <c r="I789" s="1" t="n">
        <f aca="false">IF($A789="","",物件マスタ!M789)</f>
        <v>11797.83</v>
      </c>
      <c r="J789" s="1" t="n">
        <f aca="false">IF($A789="","",物件マスタ!S789)</f>
        <v>8666</v>
      </c>
      <c r="K789" s="1" t="n">
        <f aca="false">IF($A789="","",物件マスタ!U789)</f>
        <v>9900</v>
      </c>
      <c r="L789" s="1" t="n">
        <f aca="false">IF($A789="","",物件マスタ!W789)</f>
        <v>0.954</v>
      </c>
      <c r="M789" s="1" t="str">
        <f aca="false">IF($A789="","",IFERROR(INDEX(法人マスタ!$H:$H,MATCH($B789,法人マスタ!$A:$A,0)),""))</f>
        <v>2026年4月期（第42期）</v>
      </c>
      <c r="N789" s="1" t="n">
        <f aca="false">IF($A789="","",SUMIFS(物件収支!$D:$D,物件収支!$A:$A,$A789,物件収支!$C:$C,$M789))</f>
        <v>6</v>
      </c>
      <c r="O789" s="1" t="n">
        <f aca="false">IF($A789="","",SUMIFS(物件収支!$F:$F,物件収支!$A:$A,$A789,物件収支!$C:$C,$M789))</f>
        <v>331000</v>
      </c>
      <c r="P789" s="1" t="n">
        <f aca="false">IF($A789="","",SUMIFS(物件収支!$I:$I,物件収支!$A:$A,$A789,物件収支!$C:$C,$M789))</f>
        <v>0</v>
      </c>
      <c r="Q789" s="1" t="n">
        <f aca="false">IF($A789="","",SUMIFS(物件収支!$O:$O,物件収支!$A:$A,$A789,物件収支!$C:$C,$M789))</f>
        <v>0</v>
      </c>
      <c r="R789" s="1" t="str">
        <f aca="false">IF($A789="","",IF(P789=0,"",O789-P789))</f>
        <v/>
      </c>
      <c r="S789" s="1" t="str">
        <f aca="false">IF($A789="","",IF(R789="","",R789+Q789))</f>
        <v/>
      </c>
      <c r="T789" s="1" t="str">
        <f aca="false">IF($A789="","",IF(OR(S789="",N789&lt;=0),"",S789/1000*12/N789))</f>
        <v/>
      </c>
      <c r="U789" s="1" t="str">
        <f aca="false">IF($A789="","",IF(OR(T789="",J789=0,J789=""),"",T789/J789))</f>
        <v/>
      </c>
      <c r="V789" s="1" t="str">
        <f aca="false">IF($A789="","",IF(OR(R789="",N789&lt;=0,J789=0,J789=""),"",(R789/1000*12/N789)/J789))</f>
        <v/>
      </c>
      <c r="W789" s="1" t="str">
        <f aca="false">IF($A789="","",IF(OR(T789="",K789=0,K789=""),"",T789/K789))</f>
        <v/>
      </c>
      <c r="X789" s="1" t="n">
        <f aca="false">IF($A789="","",IF(OR(N789&lt;=0,I789=0,I789="",O789=0),"",O789*1000/(I789*0.3025)/N789))</f>
        <v>15457.8550466916</v>
      </c>
      <c r="Y789" s="1" t="str">
        <f aca="false">IF($A789="","",IF(OR(O789=0,O789="",P789=0),"",P789/O789))</f>
        <v/>
      </c>
      <c r="Z789" s="1" t="str">
        <f aca="false">IF($A789="","",IFERROR(INDEX(物件収支!$E:$E,MATCH($A789,物件収支!$A:$A,0)),""))</f>
        <v>開示（物件別・収益のみ・百万円単位）</v>
      </c>
    </row>
    <row r="790" customFormat="false" ht="15" hidden="false" customHeight="true" outlineLevel="0" collapsed="false">
      <c r="A790" s="1" t="str">
        <f aca="false">IF(物件マスタ!A790="","",物件マスタ!A790)</f>
        <v>KDX-050</v>
      </c>
      <c r="B790" s="1" t="str">
        <f aca="false">IF($A790="","",物件マスタ!B790)</f>
        <v>KDX</v>
      </c>
      <c r="C790" s="1" t="str">
        <f aca="false">IF($A790="","",IFERROR(INDEX(法人マスタ!$C:$C,MATCH($B790,法人マスタ!$A:$A,0)),""))</f>
        <v>ＫＤＸ不動産投資法人</v>
      </c>
      <c r="D790" s="1" t="str">
        <f aca="false">IF($A790="","",物件マスタ!C790)</f>
        <v>KDX高田馬場ビル</v>
      </c>
      <c r="E790" s="1" t="str">
        <f aca="false">IF($A790="","",物件マスタ!H790)</f>
        <v>東京経済圏（KDX区分）</v>
      </c>
      <c r="F790" s="1" t="n">
        <f aca="false">IF($A790="","",物件マスタ!P790)</f>
        <v>0</v>
      </c>
      <c r="G790" s="1" t="str">
        <f aca="false">IF($A790="","",物件マスタ!Q790)</f>
        <v/>
      </c>
      <c r="H790" s="1" t="n">
        <f aca="false">IF($A790="","",物件マスタ!L790)</f>
        <v>0</v>
      </c>
      <c r="I790" s="1" t="n">
        <f aca="false">IF($A790="","",物件マスタ!M790)</f>
        <v>4596.2</v>
      </c>
      <c r="J790" s="1" t="n">
        <f aca="false">IF($A790="","",物件マスタ!S790)</f>
        <v>3650</v>
      </c>
      <c r="K790" s="1" t="n">
        <f aca="false">IF($A790="","",物件マスタ!U790)</f>
        <v>5010</v>
      </c>
      <c r="L790" s="1" t="n">
        <f aca="false">IF($A790="","",物件マスタ!W790)</f>
        <v>1</v>
      </c>
      <c r="M790" s="1" t="str">
        <f aca="false">IF($A790="","",IFERROR(INDEX(法人マスタ!$H:$H,MATCH($B790,法人マスタ!$A:$A,0)),""))</f>
        <v>2026年4月期（第42期）</v>
      </c>
      <c r="N790" s="1" t="n">
        <f aca="false">IF($A790="","",SUMIFS(物件収支!$D:$D,物件収支!$A:$A,$A790,物件収支!$C:$C,$M790))</f>
        <v>6</v>
      </c>
      <c r="O790" s="1" t="n">
        <f aca="false">IF($A790="","",SUMIFS(物件収支!$F:$F,物件収支!$A:$A,$A790,物件収支!$C:$C,$M790))</f>
        <v>156000</v>
      </c>
      <c r="P790" s="1" t="n">
        <f aca="false">IF($A790="","",SUMIFS(物件収支!$I:$I,物件収支!$A:$A,$A790,物件収支!$C:$C,$M790))</f>
        <v>0</v>
      </c>
      <c r="Q790" s="1" t="n">
        <f aca="false">IF($A790="","",SUMIFS(物件収支!$O:$O,物件収支!$A:$A,$A790,物件収支!$C:$C,$M790))</f>
        <v>0</v>
      </c>
      <c r="R790" s="1" t="str">
        <f aca="false">IF($A790="","",IF(P790=0,"",O790-P790))</f>
        <v/>
      </c>
      <c r="S790" s="1" t="str">
        <f aca="false">IF($A790="","",IF(R790="","",R790+Q790))</f>
        <v/>
      </c>
      <c r="T790" s="1" t="str">
        <f aca="false">IF($A790="","",IF(OR(S790="",N790&lt;=0),"",S790/1000*12/N790))</f>
        <v/>
      </c>
      <c r="U790" s="1" t="str">
        <f aca="false">IF($A790="","",IF(OR(T790="",J790=0,J790=""),"",T790/J790))</f>
        <v/>
      </c>
      <c r="V790" s="1" t="str">
        <f aca="false">IF($A790="","",IF(OR(R790="",N790&lt;=0,J790=0,J790=""),"",(R790/1000*12/N790)/J790))</f>
        <v/>
      </c>
      <c r="W790" s="1" t="str">
        <f aca="false">IF($A790="","",IF(OR(T790="",K790=0,K790=""),"",T790/K790))</f>
        <v/>
      </c>
      <c r="X790" s="1" t="n">
        <f aca="false">IF($A790="","",IF(OR(N790&lt;=0,I790=0,I790="",O790=0),"",O790*1000/(I790*0.3025)/N790))</f>
        <v>18700.3205306863</v>
      </c>
      <c r="Y790" s="1" t="str">
        <f aca="false">IF($A790="","",IF(OR(O790=0,O790="",P790=0),"",P790/O790))</f>
        <v/>
      </c>
      <c r="Z790" s="1" t="str">
        <f aca="false">IF($A790="","",IFERROR(INDEX(物件収支!$E:$E,MATCH($A790,物件収支!$A:$A,0)),""))</f>
        <v>開示（物件別・収益のみ・百万円単位）</v>
      </c>
    </row>
    <row r="791" customFormat="false" ht="15" hidden="false" customHeight="true" outlineLevel="0" collapsed="false">
      <c r="A791" s="1" t="str">
        <f aca="false">IF(物件マスタ!A791="","",物件マスタ!A791)</f>
        <v>KDX-051</v>
      </c>
      <c r="B791" s="1" t="str">
        <f aca="false">IF($A791="","",物件マスタ!B791)</f>
        <v>KDX</v>
      </c>
      <c r="C791" s="1" t="str">
        <f aca="false">IF($A791="","",IFERROR(INDEX(法人マスタ!$C:$C,MATCH($B791,法人マスタ!$A:$A,0)),""))</f>
        <v>ＫＤＸ不動産投資法人</v>
      </c>
      <c r="D791" s="1" t="str">
        <f aca="false">IF($A791="","",物件マスタ!C791)</f>
        <v>KDX池袋ウエストビル</v>
      </c>
      <c r="E791" s="1" t="str">
        <f aca="false">IF($A791="","",物件マスタ!H791)</f>
        <v>東京経済圏（KDX区分）</v>
      </c>
      <c r="F791" s="1" t="n">
        <f aca="false">IF($A791="","",物件マスタ!P791)</f>
        <v>0</v>
      </c>
      <c r="G791" s="1" t="str">
        <f aca="false">IF($A791="","",物件マスタ!Q791)</f>
        <v/>
      </c>
      <c r="H791" s="1" t="n">
        <f aca="false">IF($A791="","",物件マスタ!L791)</f>
        <v>0</v>
      </c>
      <c r="I791" s="1" t="n">
        <f aca="false">IF($A791="","",物件マスタ!M791)</f>
        <v>2516.31</v>
      </c>
      <c r="J791" s="1" t="n">
        <f aca="false">IF($A791="","",物件マスタ!S791)</f>
        <v>1934</v>
      </c>
      <c r="K791" s="1" t="n">
        <f aca="false">IF($A791="","",物件マスタ!U791)</f>
        <v>2610</v>
      </c>
      <c r="L791" s="1" t="n">
        <f aca="false">IF($A791="","",物件マスタ!W791)</f>
        <v>1</v>
      </c>
      <c r="M791" s="1" t="str">
        <f aca="false">IF($A791="","",IFERROR(INDEX(法人マスタ!$H:$H,MATCH($B791,法人マスタ!$A:$A,0)),""))</f>
        <v>2026年4月期（第42期）</v>
      </c>
      <c r="N791" s="1" t="n">
        <f aca="false">IF($A791="","",SUMIFS(物件収支!$D:$D,物件収支!$A:$A,$A791,物件収支!$C:$C,$M791))</f>
        <v>6</v>
      </c>
      <c r="O791" s="1" t="n">
        <f aca="false">IF($A791="","",SUMIFS(物件収支!$F:$F,物件収支!$A:$A,$A791,物件収支!$C:$C,$M791))</f>
        <v>79000</v>
      </c>
      <c r="P791" s="1" t="n">
        <f aca="false">IF($A791="","",SUMIFS(物件収支!$I:$I,物件収支!$A:$A,$A791,物件収支!$C:$C,$M791))</f>
        <v>0</v>
      </c>
      <c r="Q791" s="1" t="n">
        <f aca="false">IF($A791="","",SUMIFS(物件収支!$O:$O,物件収支!$A:$A,$A791,物件収支!$C:$C,$M791))</f>
        <v>0</v>
      </c>
      <c r="R791" s="1" t="str">
        <f aca="false">IF($A791="","",IF(P791=0,"",O791-P791))</f>
        <v/>
      </c>
      <c r="S791" s="1" t="str">
        <f aca="false">IF($A791="","",IF(R791="","",R791+Q791))</f>
        <v/>
      </c>
      <c r="T791" s="1" t="str">
        <f aca="false">IF($A791="","",IF(OR(S791="",N791&lt;=0),"",S791/1000*12/N791))</f>
        <v/>
      </c>
      <c r="U791" s="1" t="str">
        <f aca="false">IF($A791="","",IF(OR(T791="",J791=0,J791=""),"",T791/J791))</f>
        <v/>
      </c>
      <c r="V791" s="1" t="str">
        <f aca="false">IF($A791="","",IF(OR(R791="",N791&lt;=0,J791=0,J791=""),"",(R791/1000*12/N791)/J791))</f>
        <v/>
      </c>
      <c r="W791" s="1" t="str">
        <f aca="false">IF($A791="","",IF(OR(T791="",K791=0,K791=""),"",T791/K791))</f>
        <v/>
      </c>
      <c r="X791" s="1" t="n">
        <f aca="false">IF($A791="","",IF(OR(N791&lt;=0,I791=0,I791="",O791=0),"",O791*1000/(I791*0.3025)/N791))</f>
        <v>17297.6186554511</v>
      </c>
      <c r="Y791" s="1" t="str">
        <f aca="false">IF($A791="","",IF(OR(O791=0,O791="",P791=0),"",P791/O791))</f>
        <v/>
      </c>
      <c r="Z791" s="1" t="str">
        <f aca="false">IF($A791="","",IFERROR(INDEX(物件収支!$E:$E,MATCH($A791,物件収支!$A:$A,0)),""))</f>
        <v>開示（物件別・収益のみ・百万円単位）</v>
      </c>
    </row>
    <row r="792" customFormat="false" ht="15" hidden="false" customHeight="true" outlineLevel="0" collapsed="false">
      <c r="A792" s="1" t="str">
        <f aca="false">IF(物件マスタ!A792="","",物件マスタ!A792)</f>
        <v>KDX-052</v>
      </c>
      <c r="B792" s="1" t="str">
        <f aca="false">IF($A792="","",物件マスタ!B792)</f>
        <v>KDX</v>
      </c>
      <c r="C792" s="1" t="str">
        <f aca="false">IF($A792="","",IFERROR(INDEX(法人マスタ!$C:$C,MATCH($B792,法人マスタ!$A:$A,0)),""))</f>
        <v>ＫＤＸ不動産投資法人</v>
      </c>
      <c r="D792" s="1" t="str">
        <f aca="false">IF($A792="","",物件マスタ!C792)</f>
        <v>KDX横浜ビル</v>
      </c>
      <c r="E792" s="1" t="str">
        <f aca="false">IF($A792="","",物件マスタ!H792)</f>
        <v>東京経済圏（KDX区分）</v>
      </c>
      <c r="F792" s="1" t="n">
        <f aca="false">IF($A792="","",物件マスタ!P792)</f>
        <v>0</v>
      </c>
      <c r="G792" s="1" t="str">
        <f aca="false">IF($A792="","",物件マスタ!Q792)</f>
        <v/>
      </c>
      <c r="H792" s="1" t="n">
        <f aca="false">IF($A792="","",物件マスタ!L792)</f>
        <v>0</v>
      </c>
      <c r="I792" s="1" t="n">
        <f aca="false">IF($A792="","",物件マスタ!M792)</f>
        <v>10926.12</v>
      </c>
      <c r="J792" s="1" t="n">
        <f aca="false">IF($A792="","",物件マスタ!S792)</f>
        <v>7210</v>
      </c>
      <c r="K792" s="1" t="n">
        <f aca="false">IF($A792="","",物件マスタ!U792)</f>
        <v>10000</v>
      </c>
      <c r="L792" s="1" t="n">
        <f aca="false">IF($A792="","",物件マスタ!W792)</f>
        <v>1</v>
      </c>
      <c r="M792" s="1" t="str">
        <f aca="false">IF($A792="","",IFERROR(INDEX(法人マスタ!$H:$H,MATCH($B792,法人マスタ!$A:$A,0)),""))</f>
        <v>2026年4月期（第42期）</v>
      </c>
      <c r="N792" s="1" t="n">
        <f aca="false">IF($A792="","",SUMIFS(物件収支!$D:$D,物件収支!$A:$A,$A792,物件収支!$C:$C,$M792))</f>
        <v>6</v>
      </c>
      <c r="O792" s="1" t="n">
        <f aca="false">IF($A792="","",SUMIFS(物件収支!$F:$F,物件収支!$A:$A,$A792,物件収支!$C:$C,$M792))</f>
        <v>336000</v>
      </c>
      <c r="P792" s="1" t="n">
        <f aca="false">IF($A792="","",SUMIFS(物件収支!$I:$I,物件収支!$A:$A,$A792,物件収支!$C:$C,$M792))</f>
        <v>0</v>
      </c>
      <c r="Q792" s="1" t="n">
        <f aca="false">IF($A792="","",SUMIFS(物件収支!$O:$O,物件収支!$A:$A,$A792,物件収支!$C:$C,$M792))</f>
        <v>0</v>
      </c>
      <c r="R792" s="1" t="str">
        <f aca="false">IF($A792="","",IF(P792=0,"",O792-P792))</f>
        <v/>
      </c>
      <c r="S792" s="1" t="str">
        <f aca="false">IF($A792="","",IF(R792="","",R792+Q792))</f>
        <v/>
      </c>
      <c r="T792" s="1" t="str">
        <f aca="false">IF($A792="","",IF(OR(S792="",N792&lt;=0),"",S792/1000*12/N792))</f>
        <v/>
      </c>
      <c r="U792" s="1" t="str">
        <f aca="false">IF($A792="","",IF(OR(T792="",J792=0,J792=""),"",T792/J792))</f>
        <v/>
      </c>
      <c r="V792" s="1" t="str">
        <f aca="false">IF($A792="","",IF(OR(R792="",N792&lt;=0,J792=0,J792=""),"",(R792/1000*12/N792)/J792))</f>
        <v/>
      </c>
      <c r="W792" s="1" t="str">
        <f aca="false">IF($A792="","",IF(OR(T792="",K792=0,K792=""),"",T792/K792))</f>
        <v/>
      </c>
      <c r="X792" s="1" t="n">
        <f aca="false">IF($A792="","",IF(OR(N792&lt;=0,I792=0,I792="",O792=0),"",O792*1000/(I792*0.3025)/N792))</f>
        <v>16943.2485586968</v>
      </c>
      <c r="Y792" s="1" t="str">
        <f aca="false">IF($A792="","",IF(OR(O792=0,O792="",P792=0),"",P792/O792))</f>
        <v/>
      </c>
      <c r="Z792" s="1" t="str">
        <f aca="false">IF($A792="","",IFERROR(INDEX(物件収支!$E:$E,MATCH($A792,物件収支!$A:$A,0)),""))</f>
        <v>開示（物件別・収益のみ・百万円単位）</v>
      </c>
    </row>
    <row r="793" customFormat="false" ht="15" hidden="false" customHeight="true" outlineLevel="0" collapsed="false">
      <c r="A793" s="1" t="str">
        <f aca="false">IF(物件マスタ!A793="","",物件マスタ!A793)</f>
        <v>KDX-053</v>
      </c>
      <c r="B793" s="1" t="str">
        <f aca="false">IF($A793="","",物件マスタ!B793)</f>
        <v>KDX</v>
      </c>
      <c r="C793" s="1" t="str">
        <f aca="false">IF($A793="","",IFERROR(INDEX(法人マスタ!$C:$C,MATCH($B793,法人マスタ!$A:$A,0)),""))</f>
        <v>ＫＤＸ不動産投資法人</v>
      </c>
      <c r="D793" s="1" t="str">
        <f aca="false">IF($A793="","",物件マスタ!C793)</f>
        <v>KDX横浜西口ビル</v>
      </c>
      <c r="E793" s="1" t="str">
        <f aca="false">IF($A793="","",物件マスタ!H793)</f>
        <v>東京経済圏（KDX区分）</v>
      </c>
      <c r="F793" s="1" t="n">
        <f aca="false">IF($A793="","",物件マスタ!P793)</f>
        <v>0</v>
      </c>
      <c r="G793" s="1" t="str">
        <f aca="false">IF($A793="","",物件マスタ!Q793)</f>
        <v/>
      </c>
      <c r="H793" s="1" t="n">
        <f aca="false">IF($A793="","",物件マスタ!L793)</f>
        <v>0</v>
      </c>
      <c r="I793" s="1" t="n">
        <f aca="false">IF($A793="","",物件マスタ!M793)</f>
        <v>4990</v>
      </c>
      <c r="J793" s="1" t="n">
        <f aca="false">IF($A793="","",物件マスタ!S793)</f>
        <v>2750</v>
      </c>
      <c r="K793" s="1" t="n">
        <f aca="false">IF($A793="","",物件マスタ!U793)</f>
        <v>3530</v>
      </c>
      <c r="L793" s="1" t="n">
        <f aca="false">IF($A793="","",物件マスタ!W793)</f>
        <v>1</v>
      </c>
      <c r="M793" s="1" t="str">
        <f aca="false">IF($A793="","",IFERROR(INDEX(法人マスタ!$H:$H,MATCH($B793,法人マスタ!$A:$A,0)),""))</f>
        <v>2026年4月期（第42期）</v>
      </c>
      <c r="N793" s="1" t="n">
        <f aca="false">IF($A793="","",SUMIFS(物件収支!$D:$D,物件収支!$A:$A,$A793,物件収支!$C:$C,$M793))</f>
        <v>6</v>
      </c>
      <c r="O793" s="1" t="n">
        <f aca="false">IF($A793="","",SUMIFS(物件収支!$F:$F,物件収支!$A:$A,$A793,物件収支!$C:$C,$M793))</f>
        <v>133000</v>
      </c>
      <c r="P793" s="1" t="n">
        <f aca="false">IF($A793="","",SUMIFS(物件収支!$I:$I,物件収支!$A:$A,$A793,物件収支!$C:$C,$M793))</f>
        <v>0</v>
      </c>
      <c r="Q793" s="1" t="n">
        <f aca="false">IF($A793="","",SUMIFS(物件収支!$O:$O,物件収支!$A:$A,$A793,物件収支!$C:$C,$M793))</f>
        <v>0</v>
      </c>
      <c r="R793" s="1" t="str">
        <f aca="false">IF($A793="","",IF(P793=0,"",O793-P793))</f>
        <v/>
      </c>
      <c r="S793" s="1" t="str">
        <f aca="false">IF($A793="","",IF(R793="","",R793+Q793))</f>
        <v/>
      </c>
      <c r="T793" s="1" t="str">
        <f aca="false">IF($A793="","",IF(OR(S793="",N793&lt;=0),"",S793/1000*12/N793))</f>
        <v/>
      </c>
      <c r="U793" s="1" t="str">
        <f aca="false">IF($A793="","",IF(OR(T793="",J793=0,J793=""),"",T793/J793))</f>
        <v/>
      </c>
      <c r="V793" s="1" t="str">
        <f aca="false">IF($A793="","",IF(OR(R793="",N793&lt;=0,J793=0,J793=""),"",(R793/1000*12/N793)/J793))</f>
        <v/>
      </c>
      <c r="W793" s="1" t="str">
        <f aca="false">IF($A793="","",IF(OR(T793="",K793=0,K793=""),"",T793/K793))</f>
        <v/>
      </c>
      <c r="X793" s="1" t="n">
        <f aca="false">IF($A793="","",IF(OR(N793&lt;=0,I793=0,I793="",O793=0),"",O793*1000/(I793*0.3025)/N793))</f>
        <v>14685.0174177556</v>
      </c>
      <c r="Y793" s="1" t="str">
        <f aca="false">IF($A793="","",IF(OR(O793=0,O793="",P793=0),"",P793/O793))</f>
        <v/>
      </c>
      <c r="Z793" s="1" t="str">
        <f aca="false">IF($A793="","",IFERROR(INDEX(物件収支!$E:$E,MATCH($A793,物件収支!$A:$A,0)),""))</f>
        <v>開示（物件別・収益のみ・百万円単位）</v>
      </c>
    </row>
    <row r="794" customFormat="false" ht="15" hidden="false" customHeight="true" outlineLevel="0" collapsed="false">
      <c r="A794" s="1" t="str">
        <f aca="false">IF(物件マスタ!A794="","",物件マスタ!A794)</f>
        <v>KDX-054</v>
      </c>
      <c r="B794" s="1" t="str">
        <f aca="false">IF($A794="","",物件マスタ!B794)</f>
        <v>KDX</v>
      </c>
      <c r="C794" s="1" t="str">
        <f aca="false">IF($A794="","",IFERROR(INDEX(法人マスタ!$C:$C,MATCH($B794,法人マスタ!$A:$A,0)),""))</f>
        <v>ＫＤＸ不動産投資法人</v>
      </c>
      <c r="D794" s="1" t="str">
        <f aca="false">IF($A794="","",物件マスタ!C794)</f>
        <v>KDX銀座イーストビル</v>
      </c>
      <c r="E794" s="1" t="str">
        <f aca="false">IF($A794="","",物件マスタ!H794)</f>
        <v>東京経済圏（KDX区分）</v>
      </c>
      <c r="F794" s="1" t="n">
        <f aca="false">IF($A794="","",物件マスタ!P794)</f>
        <v>0</v>
      </c>
      <c r="G794" s="1" t="str">
        <f aca="false">IF($A794="","",物件マスタ!Q794)</f>
        <v/>
      </c>
      <c r="H794" s="1" t="n">
        <f aca="false">IF($A794="","",物件マスタ!L794)</f>
        <v>0</v>
      </c>
      <c r="I794" s="1" t="n">
        <f aca="false">IF($A794="","",物件マスタ!M794)</f>
        <v>4400.93</v>
      </c>
      <c r="J794" s="1" t="n">
        <f aca="false">IF($A794="","",物件マスタ!S794)</f>
        <v>3600</v>
      </c>
      <c r="K794" s="1" t="n">
        <f aca="false">IF($A794="","",物件マスタ!U794)</f>
        <v>4210</v>
      </c>
      <c r="L794" s="1" t="n">
        <f aca="false">IF($A794="","",物件マスタ!W794)</f>
        <v>1</v>
      </c>
      <c r="M794" s="1" t="str">
        <f aca="false">IF($A794="","",IFERROR(INDEX(法人マスタ!$H:$H,MATCH($B794,法人マスタ!$A:$A,0)),""))</f>
        <v>2026年4月期（第42期）</v>
      </c>
      <c r="N794" s="1" t="n">
        <f aca="false">IF($A794="","",SUMIFS(物件収支!$D:$D,物件収支!$A:$A,$A794,物件収支!$C:$C,$M794))</f>
        <v>6</v>
      </c>
      <c r="O794" s="1" t="n">
        <f aca="false">IF($A794="","",SUMIFS(物件収支!$F:$F,物件収支!$A:$A,$A794,物件収支!$C:$C,$M794))</f>
        <v>126000</v>
      </c>
      <c r="P794" s="1" t="n">
        <f aca="false">IF($A794="","",SUMIFS(物件収支!$I:$I,物件収支!$A:$A,$A794,物件収支!$C:$C,$M794))</f>
        <v>0</v>
      </c>
      <c r="Q794" s="1" t="n">
        <f aca="false">IF($A794="","",SUMIFS(物件収支!$O:$O,物件収支!$A:$A,$A794,物件収支!$C:$C,$M794))</f>
        <v>0</v>
      </c>
      <c r="R794" s="1" t="str">
        <f aca="false">IF($A794="","",IF(P794=0,"",O794-P794))</f>
        <v/>
      </c>
      <c r="S794" s="1" t="str">
        <f aca="false">IF($A794="","",IF(R794="","",R794+Q794))</f>
        <v/>
      </c>
      <c r="T794" s="1" t="str">
        <f aca="false">IF($A794="","",IF(OR(S794="",N794&lt;=0),"",S794/1000*12/N794))</f>
        <v/>
      </c>
      <c r="U794" s="1" t="str">
        <f aca="false">IF($A794="","",IF(OR(T794="",J794=0,J794=""),"",T794/J794))</f>
        <v/>
      </c>
      <c r="V794" s="1" t="str">
        <f aca="false">IF($A794="","",IF(OR(R794="",N794&lt;=0,J794=0,J794=""),"",(R794/1000*12/N794)/J794))</f>
        <v/>
      </c>
      <c r="W794" s="1" t="str">
        <f aca="false">IF($A794="","",IF(OR(T794="",K794=0,K794=""),"",T794/K794))</f>
        <v/>
      </c>
      <c r="X794" s="1" t="n">
        <f aca="false">IF($A794="","",IF(OR(N794&lt;=0,I794=0,I794="",O794=0),"",O794*1000/(I794*0.3025)/N794))</f>
        <v>15774.2767104466</v>
      </c>
      <c r="Y794" s="1" t="str">
        <f aca="false">IF($A794="","",IF(OR(O794=0,O794="",P794=0),"",P794/O794))</f>
        <v/>
      </c>
      <c r="Z794" s="1" t="str">
        <f aca="false">IF($A794="","",IFERROR(INDEX(物件収支!$E:$E,MATCH($A794,物件収支!$A:$A,0)),""))</f>
        <v>開示（物件別・収益のみ・百万円単位）</v>
      </c>
    </row>
    <row r="795" customFormat="false" ht="15" hidden="false" customHeight="true" outlineLevel="0" collapsed="false">
      <c r="A795" s="1" t="str">
        <f aca="false">IF(物件マスタ!A795="","",物件マスタ!A795)</f>
        <v>KDX-055</v>
      </c>
      <c r="B795" s="1" t="str">
        <f aca="false">IF($A795="","",物件マスタ!B795)</f>
        <v>KDX</v>
      </c>
      <c r="C795" s="1" t="str">
        <f aca="false">IF($A795="","",IFERROR(INDEX(法人マスタ!$C:$C,MATCH($B795,法人マスタ!$A:$A,0)),""))</f>
        <v>ＫＤＸ不動産投資法人</v>
      </c>
      <c r="D795" s="1" t="str">
        <f aca="false">IF($A795="","",物件マスタ!C795)</f>
        <v>ぺんてるビル</v>
      </c>
      <c r="E795" s="1" t="str">
        <f aca="false">IF($A795="","",物件マスタ!H795)</f>
        <v>東京経済圏（KDX区分）</v>
      </c>
      <c r="F795" s="1" t="n">
        <f aca="false">IF($A795="","",物件マスタ!P795)</f>
        <v>0</v>
      </c>
      <c r="G795" s="1" t="str">
        <f aca="false">IF($A795="","",物件マスタ!Q795)</f>
        <v/>
      </c>
      <c r="H795" s="1" t="n">
        <f aca="false">IF($A795="","",物件マスタ!L795)</f>
        <v>0</v>
      </c>
      <c r="I795" s="1" t="n">
        <f aca="false">IF($A795="","",物件マスタ!M795)</f>
        <v>4342.61</v>
      </c>
      <c r="J795" s="1" t="n">
        <f aca="false">IF($A795="","",物件マスタ!S795)</f>
        <v>3350</v>
      </c>
      <c r="K795" s="1" t="n">
        <f aca="false">IF($A795="","",物件マスタ!U795)</f>
        <v>4143</v>
      </c>
      <c r="L795" s="1" t="n">
        <f aca="false">IF($A795="","",物件マスタ!W795)</f>
        <v>0.977</v>
      </c>
      <c r="M795" s="1" t="str">
        <f aca="false">IF($A795="","",IFERROR(INDEX(法人マスタ!$H:$H,MATCH($B795,法人マスタ!$A:$A,0)),""))</f>
        <v>2026年4月期（第42期）</v>
      </c>
      <c r="N795" s="1" t="n">
        <f aca="false">IF($A795="","",SUMIFS(物件収支!$D:$D,物件収支!$A:$A,$A795,物件収支!$C:$C,$M795))</f>
        <v>6</v>
      </c>
      <c r="O795" s="1" t="n">
        <f aca="false">IF($A795="","",SUMIFS(物件収支!$F:$F,物件収支!$A:$A,$A795,物件収支!$C:$C,$M795))</f>
        <v>153000</v>
      </c>
      <c r="P795" s="1" t="n">
        <f aca="false">IF($A795="","",SUMIFS(物件収支!$I:$I,物件収支!$A:$A,$A795,物件収支!$C:$C,$M795))</f>
        <v>0</v>
      </c>
      <c r="Q795" s="1" t="n">
        <f aca="false">IF($A795="","",SUMIFS(物件収支!$O:$O,物件収支!$A:$A,$A795,物件収支!$C:$C,$M795))</f>
        <v>0</v>
      </c>
      <c r="R795" s="1" t="str">
        <f aca="false">IF($A795="","",IF(P795=0,"",O795-P795))</f>
        <v/>
      </c>
      <c r="S795" s="1" t="str">
        <f aca="false">IF($A795="","",IF(R795="","",R795+Q795))</f>
        <v/>
      </c>
      <c r="T795" s="1" t="str">
        <f aca="false">IF($A795="","",IF(OR(S795="",N795&lt;=0),"",S795/1000*12/N795))</f>
        <v/>
      </c>
      <c r="U795" s="1" t="str">
        <f aca="false">IF($A795="","",IF(OR(T795="",J795=0,J795=""),"",T795/J795))</f>
        <v/>
      </c>
      <c r="V795" s="1" t="str">
        <f aca="false">IF($A795="","",IF(OR(R795="",N795&lt;=0,J795=0,J795=""),"",(R795/1000*12/N795)/J795))</f>
        <v/>
      </c>
      <c r="W795" s="1" t="str">
        <f aca="false">IF($A795="","",IF(OR(T795="",K795=0,K795=""),"",T795/K795))</f>
        <v/>
      </c>
      <c r="X795" s="1" t="n">
        <f aca="false">IF($A795="","",IF(OR(N795&lt;=0,I795=0,I795="",O795=0),"",O795*1000/(I795*0.3025)/N795))</f>
        <v>19411.7179901389</v>
      </c>
      <c r="Y795" s="1" t="str">
        <f aca="false">IF($A795="","",IF(OR(O795=0,O795="",P795=0),"",P795/O795))</f>
        <v/>
      </c>
      <c r="Z795" s="1" t="str">
        <f aca="false">IF($A795="","",IFERROR(INDEX(物件収支!$E:$E,MATCH($A795,物件収支!$A:$A,0)),""))</f>
        <v>開示（物件別・収益のみ・百万円単位）</v>
      </c>
    </row>
    <row r="796" customFormat="false" ht="15" hidden="false" customHeight="true" outlineLevel="0" collapsed="false">
      <c r="A796" s="1" t="str">
        <f aca="false">IF(物件マスタ!A796="","",物件マスタ!A796)</f>
        <v>KDX-056</v>
      </c>
      <c r="B796" s="1" t="str">
        <f aca="false">IF($A796="","",物件マスタ!B796)</f>
        <v>KDX</v>
      </c>
      <c r="C796" s="1" t="str">
        <f aca="false">IF($A796="","",IFERROR(INDEX(法人マスタ!$C:$C,MATCH($B796,法人マスタ!$A:$A,0)),""))</f>
        <v>ＫＤＸ不動産投資法人</v>
      </c>
      <c r="D796" s="1" t="str">
        <f aca="false">IF($A796="","",物件マスタ!C796)</f>
        <v>KDX浜松町センタービル</v>
      </c>
      <c r="E796" s="1" t="str">
        <f aca="false">IF($A796="","",物件マスタ!H796)</f>
        <v>東京経済圏（KDX区分）</v>
      </c>
      <c r="F796" s="1" t="n">
        <f aca="false">IF($A796="","",物件マスタ!P796)</f>
        <v>0</v>
      </c>
      <c r="G796" s="1" t="str">
        <f aca="false">IF($A796="","",物件マスタ!Q796)</f>
        <v/>
      </c>
      <c r="H796" s="1" t="n">
        <f aca="false">IF($A796="","",物件マスタ!L796)</f>
        <v>0</v>
      </c>
      <c r="I796" s="1" t="n">
        <f aca="false">IF($A796="","",物件マスタ!M796)</f>
        <v>3052.76</v>
      </c>
      <c r="J796" s="1" t="n">
        <f aca="false">IF($A796="","",物件マスタ!S796)</f>
        <v>3950</v>
      </c>
      <c r="K796" s="1" t="n">
        <f aca="false">IF($A796="","",物件マスタ!U796)</f>
        <v>4890</v>
      </c>
      <c r="L796" s="1" t="n">
        <f aca="false">IF($A796="","",物件マスタ!W796)</f>
        <v>1</v>
      </c>
      <c r="M796" s="1" t="str">
        <f aca="false">IF($A796="","",IFERROR(INDEX(法人マスタ!$H:$H,MATCH($B796,法人マスタ!$A:$A,0)),""))</f>
        <v>2026年4月期（第42期）</v>
      </c>
      <c r="N796" s="1" t="n">
        <f aca="false">IF($A796="","",SUMIFS(物件収支!$D:$D,物件収支!$A:$A,$A796,物件収支!$C:$C,$M796))</f>
        <v>6</v>
      </c>
      <c r="O796" s="1" t="n">
        <f aca="false">IF($A796="","",SUMIFS(物件収支!$F:$F,物件収支!$A:$A,$A796,物件収支!$C:$C,$M796))</f>
        <v>120000</v>
      </c>
      <c r="P796" s="1" t="n">
        <f aca="false">IF($A796="","",SUMIFS(物件収支!$I:$I,物件収支!$A:$A,$A796,物件収支!$C:$C,$M796))</f>
        <v>0</v>
      </c>
      <c r="Q796" s="1" t="n">
        <f aca="false">IF($A796="","",SUMIFS(物件収支!$O:$O,物件収支!$A:$A,$A796,物件収支!$C:$C,$M796))</f>
        <v>0</v>
      </c>
      <c r="R796" s="1" t="str">
        <f aca="false">IF($A796="","",IF(P796=0,"",O796-P796))</f>
        <v/>
      </c>
      <c r="S796" s="1" t="str">
        <f aca="false">IF($A796="","",IF(R796="","",R796+Q796))</f>
        <v/>
      </c>
      <c r="T796" s="1" t="str">
        <f aca="false">IF($A796="","",IF(OR(S796="",N796&lt;=0),"",S796/1000*12/N796))</f>
        <v/>
      </c>
      <c r="U796" s="1" t="str">
        <f aca="false">IF($A796="","",IF(OR(T796="",J796=0,J796=""),"",T796/J796))</f>
        <v/>
      </c>
      <c r="V796" s="1" t="str">
        <f aca="false">IF($A796="","",IF(OR(R796="",N796&lt;=0,J796=0,J796=""),"",(R796/1000*12/N796)/J796))</f>
        <v/>
      </c>
      <c r="W796" s="1" t="str">
        <f aca="false">IF($A796="","",IF(OR(T796="",K796=0,K796=""),"",T796/K796))</f>
        <v/>
      </c>
      <c r="X796" s="1" t="n">
        <f aca="false">IF($A796="","",IF(OR(N796&lt;=0,I796=0,I796="",O796=0),"",O796*1000/(I796*0.3025)/N796))</f>
        <v>21657.6810752692</v>
      </c>
      <c r="Y796" s="1" t="str">
        <f aca="false">IF($A796="","",IF(OR(O796=0,O796="",P796=0),"",P796/O796))</f>
        <v/>
      </c>
      <c r="Z796" s="1" t="str">
        <f aca="false">IF($A796="","",IFERROR(INDEX(物件収支!$E:$E,MATCH($A796,物件収支!$A:$A,0)),""))</f>
        <v>開示（物件別・収益のみ・百万円単位）</v>
      </c>
    </row>
    <row r="797" customFormat="false" ht="15" hidden="false" customHeight="true" outlineLevel="0" collapsed="false">
      <c r="A797" s="1" t="str">
        <f aca="false">IF(物件マスタ!A797="","",物件マスタ!A797)</f>
        <v>KDX-057</v>
      </c>
      <c r="B797" s="1" t="str">
        <f aca="false">IF($A797="","",物件マスタ!B797)</f>
        <v>KDX</v>
      </c>
      <c r="C797" s="1" t="str">
        <f aca="false">IF($A797="","",IFERROR(INDEX(法人マスタ!$C:$C,MATCH($B797,法人マスタ!$A:$A,0)),""))</f>
        <v>ＫＤＸ不動産投資法人</v>
      </c>
      <c r="D797" s="1" t="str">
        <f aca="false">IF($A797="","",物件マスタ!C797)</f>
        <v>KDX虎ノ門一丁目ビル</v>
      </c>
      <c r="E797" s="1" t="str">
        <f aca="false">IF($A797="","",物件マスタ!H797)</f>
        <v>東京経済圏（KDX区分）</v>
      </c>
      <c r="F797" s="1" t="n">
        <f aca="false">IF($A797="","",物件マスタ!P797)</f>
        <v>0</v>
      </c>
      <c r="G797" s="1" t="str">
        <f aca="false">IF($A797="","",物件マスタ!Q797)</f>
        <v/>
      </c>
      <c r="H797" s="1" t="n">
        <f aca="false">IF($A797="","",物件マスタ!L797)</f>
        <v>0</v>
      </c>
      <c r="I797" s="1" t="n">
        <f aca="false">IF($A797="","",物件マスタ!M797)</f>
        <v>8179</v>
      </c>
      <c r="J797" s="1" t="n">
        <f aca="false">IF($A797="","",物件マスタ!S797)</f>
        <v>14616</v>
      </c>
      <c r="K797" s="1" t="n">
        <f aca="false">IF($A797="","",物件マスタ!U797)</f>
        <v>23800</v>
      </c>
      <c r="L797" s="1" t="n">
        <f aca="false">IF($A797="","",物件マスタ!W797)</f>
        <v>1</v>
      </c>
      <c r="M797" s="1" t="str">
        <f aca="false">IF($A797="","",IFERROR(INDEX(法人マスタ!$H:$H,MATCH($B797,法人マスタ!$A:$A,0)),""))</f>
        <v>2026年4月期（第42期）</v>
      </c>
      <c r="N797" s="1" t="n">
        <f aca="false">IF($A797="","",SUMIFS(物件収支!$D:$D,物件収支!$A:$A,$A797,物件収支!$C:$C,$M797))</f>
        <v>6</v>
      </c>
      <c r="O797" s="1" t="n">
        <f aca="false">IF($A797="","",SUMIFS(物件収支!$F:$F,物件収支!$A:$A,$A797,物件収支!$C:$C,$M797))</f>
        <v>511000</v>
      </c>
      <c r="P797" s="1" t="n">
        <f aca="false">IF($A797="","",SUMIFS(物件収支!$I:$I,物件収支!$A:$A,$A797,物件収支!$C:$C,$M797))</f>
        <v>0</v>
      </c>
      <c r="Q797" s="1" t="n">
        <f aca="false">IF($A797="","",SUMIFS(物件収支!$O:$O,物件収支!$A:$A,$A797,物件収支!$C:$C,$M797))</f>
        <v>0</v>
      </c>
      <c r="R797" s="1" t="str">
        <f aca="false">IF($A797="","",IF(P797=0,"",O797-P797))</f>
        <v/>
      </c>
      <c r="S797" s="1" t="str">
        <f aca="false">IF($A797="","",IF(R797="","",R797+Q797))</f>
        <v/>
      </c>
      <c r="T797" s="1" t="str">
        <f aca="false">IF($A797="","",IF(OR(S797="",N797&lt;=0),"",S797/1000*12/N797))</f>
        <v/>
      </c>
      <c r="U797" s="1" t="str">
        <f aca="false">IF($A797="","",IF(OR(T797="",J797=0,J797=""),"",T797/J797))</f>
        <v/>
      </c>
      <c r="V797" s="1" t="str">
        <f aca="false">IF($A797="","",IF(OR(R797="",N797&lt;=0,J797=0,J797=""),"",(R797/1000*12/N797)/J797))</f>
        <v/>
      </c>
      <c r="W797" s="1" t="str">
        <f aca="false">IF($A797="","",IF(OR(T797="",K797=0,K797=""),"",T797/K797))</f>
        <v/>
      </c>
      <c r="X797" s="1" t="n">
        <f aca="false">IF($A797="","",IF(OR(N797&lt;=0,I797=0,I797="",O797=0),"",O797*1000/(I797*0.3025)/N797))</f>
        <v>34422.6310948182</v>
      </c>
      <c r="Y797" s="1" t="str">
        <f aca="false">IF($A797="","",IF(OR(O797=0,O797="",P797=0),"",P797/O797))</f>
        <v/>
      </c>
      <c r="Z797" s="1" t="str">
        <f aca="false">IF($A797="","",IFERROR(INDEX(物件収支!$E:$E,MATCH($A797,物件収支!$A:$A,0)),""))</f>
        <v>開示（物件別・収益のみ・百万円単位）</v>
      </c>
    </row>
    <row r="798" customFormat="false" ht="15" hidden="false" customHeight="true" outlineLevel="0" collapsed="false">
      <c r="A798" s="1" t="str">
        <f aca="false">IF(物件マスタ!A798="","",物件マスタ!A798)</f>
        <v>KDX-058</v>
      </c>
      <c r="B798" s="1" t="str">
        <f aca="false">IF($A798="","",物件マスタ!B798)</f>
        <v>KDX</v>
      </c>
      <c r="C798" s="1" t="str">
        <f aca="false">IF($A798="","",IFERROR(INDEX(法人マスタ!$C:$C,MATCH($B798,法人マスタ!$A:$A,0)),""))</f>
        <v>ＫＤＸ不動産投資法人</v>
      </c>
      <c r="D798" s="1" t="str">
        <f aca="false">IF($A798="","",物件マスタ!C798)</f>
        <v>KDX新日本橋駅前ビル</v>
      </c>
      <c r="E798" s="1" t="str">
        <f aca="false">IF($A798="","",物件マスタ!H798)</f>
        <v>東京経済圏（KDX区分）</v>
      </c>
      <c r="F798" s="1" t="n">
        <f aca="false">IF($A798="","",物件マスタ!P798)</f>
        <v>0</v>
      </c>
      <c r="G798" s="1" t="str">
        <f aca="false">IF($A798="","",物件マスタ!Q798)</f>
        <v/>
      </c>
      <c r="H798" s="1" t="n">
        <f aca="false">IF($A798="","",物件マスタ!L798)</f>
        <v>0</v>
      </c>
      <c r="I798" s="1" t="n">
        <f aca="false">IF($A798="","",物件マスタ!M798)</f>
        <v>3279.09</v>
      </c>
      <c r="J798" s="1" t="n">
        <f aca="false">IF($A798="","",物件マスタ!S798)</f>
        <v>3829</v>
      </c>
      <c r="K798" s="1" t="n">
        <f aca="false">IF($A798="","",物件マスタ!U798)</f>
        <v>4510</v>
      </c>
      <c r="L798" s="1" t="n">
        <f aca="false">IF($A798="","",物件マスタ!W798)</f>
        <v>1</v>
      </c>
      <c r="M798" s="1" t="str">
        <f aca="false">IF($A798="","",IFERROR(INDEX(法人マスタ!$H:$H,MATCH($B798,法人マスタ!$A:$A,0)),""))</f>
        <v>2026年4月期（第42期）</v>
      </c>
      <c r="N798" s="1" t="n">
        <f aca="false">IF($A798="","",SUMIFS(物件収支!$D:$D,物件収支!$A:$A,$A798,物件収支!$C:$C,$M798))</f>
        <v>6</v>
      </c>
      <c r="O798" s="1" t="n">
        <f aca="false">IF($A798="","",SUMIFS(物件収支!$F:$F,物件収支!$A:$A,$A798,物件収支!$C:$C,$M798))</f>
        <v>122000</v>
      </c>
      <c r="P798" s="1" t="n">
        <f aca="false">IF($A798="","",SUMIFS(物件収支!$I:$I,物件収支!$A:$A,$A798,物件収支!$C:$C,$M798))</f>
        <v>0</v>
      </c>
      <c r="Q798" s="1" t="n">
        <f aca="false">IF($A798="","",SUMIFS(物件収支!$O:$O,物件収支!$A:$A,$A798,物件収支!$C:$C,$M798))</f>
        <v>0</v>
      </c>
      <c r="R798" s="1" t="str">
        <f aca="false">IF($A798="","",IF(P798=0,"",O798-P798))</f>
        <v/>
      </c>
      <c r="S798" s="1" t="str">
        <f aca="false">IF($A798="","",IF(R798="","",R798+Q798))</f>
        <v/>
      </c>
      <c r="T798" s="1" t="str">
        <f aca="false">IF($A798="","",IF(OR(S798="",N798&lt;=0),"",S798/1000*12/N798))</f>
        <v/>
      </c>
      <c r="U798" s="1" t="str">
        <f aca="false">IF($A798="","",IF(OR(T798="",J798=0,J798=""),"",T798/J798))</f>
        <v/>
      </c>
      <c r="V798" s="1" t="str">
        <f aca="false">IF($A798="","",IF(OR(R798="",N798&lt;=0,J798=0,J798=""),"",(R798/1000*12/N798)/J798))</f>
        <v/>
      </c>
      <c r="W798" s="1" t="str">
        <f aca="false">IF($A798="","",IF(OR(T798="",K798=0,K798=""),"",T798/K798))</f>
        <v/>
      </c>
      <c r="X798" s="1" t="n">
        <f aca="false">IF($A798="","",IF(OR(N798&lt;=0,I798=0,I798="",O798=0),"",O798*1000/(I798*0.3025)/N798))</f>
        <v>20498.8673241645</v>
      </c>
      <c r="Y798" s="1" t="str">
        <f aca="false">IF($A798="","",IF(OR(O798=0,O798="",P798=0),"",P798/O798))</f>
        <v/>
      </c>
      <c r="Z798" s="1" t="str">
        <f aca="false">IF($A798="","",IFERROR(INDEX(物件収支!$E:$E,MATCH($A798,物件収支!$A:$A,0)),""))</f>
        <v>開示（物件別・収益のみ・百万円単位）</v>
      </c>
    </row>
    <row r="799" customFormat="false" ht="15" hidden="false" customHeight="true" outlineLevel="0" collapsed="false">
      <c r="A799" s="1" t="str">
        <f aca="false">IF(物件マスタ!A799="","",物件マスタ!A799)</f>
        <v>KDX-059</v>
      </c>
      <c r="B799" s="1" t="str">
        <f aca="false">IF($A799="","",物件マスタ!B799)</f>
        <v>KDX</v>
      </c>
      <c r="C799" s="1" t="str">
        <f aca="false">IF($A799="","",IFERROR(INDEX(法人マスタ!$C:$C,MATCH($B799,法人マスタ!$A:$A,0)),""))</f>
        <v>ＫＤＸ不動産投資法人</v>
      </c>
      <c r="D799" s="1" t="str">
        <f aca="false">IF($A799="","",物件マスタ!C799)</f>
        <v>アーク森ビル</v>
      </c>
      <c r="E799" s="1" t="str">
        <f aca="false">IF($A799="","",物件マスタ!H799)</f>
        <v>東京経済圏（KDX区分）</v>
      </c>
      <c r="F799" s="1" t="n">
        <f aca="false">IF($A799="","",物件マスタ!P799)</f>
        <v>0</v>
      </c>
      <c r="G799" s="1" t="str">
        <f aca="false">IF($A799="","",物件マスタ!Q799)</f>
        <v/>
      </c>
      <c r="H799" s="1" t="n">
        <f aca="false">IF($A799="","",物件マスタ!L799)</f>
        <v>0</v>
      </c>
      <c r="I799" s="1" t="n">
        <f aca="false">IF($A799="","",物件マスタ!M799)</f>
        <v>2442.6</v>
      </c>
      <c r="J799" s="1" t="n">
        <f aca="false">IF($A799="","",物件マスタ!S799)</f>
        <v>4169</v>
      </c>
      <c r="K799" s="1" t="n">
        <f aca="false">IF($A799="","",物件マスタ!U799)</f>
        <v>4920</v>
      </c>
      <c r="L799" s="1" t="n">
        <f aca="false">IF($A799="","",物件マスタ!W799)</f>
        <v>1</v>
      </c>
      <c r="M799" s="1" t="str">
        <f aca="false">IF($A799="","",IFERROR(INDEX(法人マスタ!$H:$H,MATCH($B799,法人マスタ!$A:$A,0)),""))</f>
        <v>2026年4月期（第42期）</v>
      </c>
      <c r="N799" s="1" t="n">
        <f aca="false">IF($A799="","",SUMIFS(物件収支!$D:$D,物件収支!$A:$A,$A799,物件収支!$C:$C,$M799))</f>
        <v>6</v>
      </c>
      <c r="O799" s="1" t="n">
        <f aca="false">IF($A799="","",SUMIFS(物件収支!$F:$F,物件収支!$A:$A,$A799,物件収支!$C:$C,$M799))</f>
        <v>0</v>
      </c>
      <c r="P799" s="1" t="n">
        <f aca="false">IF($A799="","",SUMIFS(物件収支!$I:$I,物件収支!$A:$A,$A799,物件収支!$C:$C,$M799))</f>
        <v>0</v>
      </c>
      <c r="Q799" s="1" t="n">
        <f aca="false">IF($A799="","",SUMIFS(物件収支!$O:$O,物件収支!$A:$A,$A799,物件収支!$C:$C,$M799))</f>
        <v>0</v>
      </c>
      <c r="R799" s="1" t="str">
        <f aca="false">IF($A799="","",IF(P799=0,"",O799-P799))</f>
        <v/>
      </c>
      <c r="S799" s="1" t="str">
        <f aca="false">IF($A799="","",IF(R799="","",R799+Q799))</f>
        <v/>
      </c>
      <c r="T799" s="1" t="str">
        <f aca="false">IF($A799="","",IF(OR(S799="",N799&lt;=0),"",S799/1000*12/N799))</f>
        <v/>
      </c>
      <c r="U799" s="1" t="str">
        <f aca="false">IF($A799="","",IF(OR(T799="",J799=0,J799=""),"",T799/J799))</f>
        <v/>
      </c>
      <c r="V799" s="1" t="str">
        <f aca="false">IF($A799="","",IF(OR(R799="",N799&lt;=0,J799=0,J799=""),"",(R799/1000*12/N799)/J799))</f>
        <v/>
      </c>
      <c r="W799" s="1" t="str">
        <f aca="false">IF($A799="","",IF(OR(T799="",K799=0,K799=""),"",T799/K799))</f>
        <v/>
      </c>
      <c r="X799" s="1" t="str">
        <f aca="false">IF($A799="","",IF(OR(N799&lt;=0,I799=0,I799="",O799=0),"",O799*1000/(I799*0.3025)/N799))</f>
        <v/>
      </c>
      <c r="Y799" s="1" t="str">
        <f aca="false">IF($A799="","",IF(OR(O799=0,O799="",P799=0),"",P799/O799))</f>
        <v/>
      </c>
      <c r="Z799" s="1" t="str">
        <f aca="false">IF($A799="","",IFERROR(INDEX(物件収支!$E:$E,MATCH($A799,物件収支!$A:$A,0)),""))</f>
        <v>非開示</v>
      </c>
    </row>
    <row r="800" customFormat="false" ht="15" hidden="false" customHeight="true" outlineLevel="0" collapsed="false">
      <c r="A800" s="1" t="str">
        <f aca="false">IF(物件マスタ!A800="","",物件マスタ!A800)</f>
        <v>KDX-060</v>
      </c>
      <c r="B800" s="1" t="str">
        <f aca="false">IF($A800="","",物件マスタ!B800)</f>
        <v>KDX</v>
      </c>
      <c r="C800" s="1" t="str">
        <f aca="false">IF($A800="","",IFERROR(INDEX(法人マスタ!$C:$C,MATCH($B800,法人マスタ!$A:$A,0)),""))</f>
        <v>ＫＤＸ不動産投資法人</v>
      </c>
      <c r="D800" s="1" t="str">
        <f aca="false">IF($A800="","",物件マスタ!C800)</f>
        <v>KDX西新橋ビル</v>
      </c>
      <c r="E800" s="1" t="str">
        <f aca="false">IF($A800="","",物件マスタ!H800)</f>
        <v>東京経済圏（KDX区分）</v>
      </c>
      <c r="F800" s="1" t="n">
        <f aca="false">IF($A800="","",物件マスタ!P800)</f>
        <v>0</v>
      </c>
      <c r="G800" s="1" t="str">
        <f aca="false">IF($A800="","",物件マスタ!Q800)</f>
        <v/>
      </c>
      <c r="H800" s="1" t="n">
        <f aca="false">IF($A800="","",物件マスタ!L800)</f>
        <v>0</v>
      </c>
      <c r="I800" s="1" t="n">
        <f aca="false">IF($A800="","",物件マスタ!M800)</f>
        <v>5742.45</v>
      </c>
      <c r="J800" s="1" t="n">
        <f aca="false">IF($A800="","",物件マスタ!S800)</f>
        <v>8400</v>
      </c>
      <c r="K800" s="1" t="n">
        <f aca="false">IF($A800="","",物件マスタ!U800)</f>
        <v>9580</v>
      </c>
      <c r="L800" s="1" t="n">
        <f aca="false">IF($A800="","",物件マスタ!W800)</f>
        <v>1</v>
      </c>
      <c r="M800" s="1" t="str">
        <f aca="false">IF($A800="","",IFERROR(INDEX(法人マスタ!$H:$H,MATCH($B800,法人マスタ!$A:$A,0)),""))</f>
        <v>2026年4月期（第42期）</v>
      </c>
      <c r="N800" s="1" t="n">
        <f aca="false">IF($A800="","",SUMIFS(物件収支!$D:$D,物件収支!$A:$A,$A800,物件収支!$C:$C,$M800))</f>
        <v>6</v>
      </c>
      <c r="O800" s="1" t="n">
        <f aca="false">IF($A800="","",SUMIFS(物件収支!$F:$F,物件収支!$A:$A,$A800,物件収支!$C:$C,$M800))</f>
        <v>220000</v>
      </c>
      <c r="P800" s="1" t="n">
        <f aca="false">IF($A800="","",SUMIFS(物件収支!$I:$I,物件収支!$A:$A,$A800,物件収支!$C:$C,$M800))</f>
        <v>0</v>
      </c>
      <c r="Q800" s="1" t="n">
        <f aca="false">IF($A800="","",SUMIFS(物件収支!$O:$O,物件収支!$A:$A,$A800,物件収支!$C:$C,$M800))</f>
        <v>0</v>
      </c>
      <c r="R800" s="1" t="str">
        <f aca="false">IF($A800="","",IF(P800=0,"",O800-P800))</f>
        <v/>
      </c>
      <c r="S800" s="1" t="str">
        <f aca="false">IF($A800="","",IF(R800="","",R800+Q800))</f>
        <v/>
      </c>
      <c r="T800" s="1" t="str">
        <f aca="false">IF($A800="","",IF(OR(S800="",N800&lt;=0),"",S800/1000*12/N800))</f>
        <v/>
      </c>
      <c r="U800" s="1" t="str">
        <f aca="false">IF($A800="","",IF(OR(T800="",J800=0,J800=""),"",T800/J800))</f>
        <v/>
      </c>
      <c r="V800" s="1" t="str">
        <f aca="false">IF($A800="","",IF(OR(R800="",N800&lt;=0,J800=0,J800=""),"",(R800/1000*12/N800)/J800))</f>
        <v/>
      </c>
      <c r="W800" s="1" t="str">
        <f aca="false">IF($A800="","",IF(OR(T800="",K800=0,K800=""),"",T800/K800))</f>
        <v/>
      </c>
      <c r="X800" s="1" t="n">
        <f aca="false">IF($A800="","",IF(OR(N800&lt;=0,I800=0,I800="",O800=0),"",O800*1000/(I800*0.3025)/N800))</f>
        <v>21108.0847394616</v>
      </c>
      <c r="Y800" s="1" t="str">
        <f aca="false">IF($A800="","",IF(OR(O800=0,O800="",P800=0),"",P800/O800))</f>
        <v/>
      </c>
      <c r="Z800" s="1" t="str">
        <f aca="false">IF($A800="","",IFERROR(INDEX(物件収支!$E:$E,MATCH($A800,物件収支!$A:$A,0)),""))</f>
        <v>開示（物件別・収益のみ・百万円単位）</v>
      </c>
    </row>
    <row r="801" customFormat="false" ht="16.5" hidden="false" customHeight="true" outlineLevel="0" collapsed="false">
      <c r="A801" s="1" t="str">
        <f aca="false">IF(物件マスタ!A801="","",物件マスタ!A801)</f>
        <v>KDX-061</v>
      </c>
      <c r="B801" s="1" t="str">
        <f aca="false">IF($A801="","",物件マスタ!B801)</f>
        <v>KDX</v>
      </c>
      <c r="C801" s="1" t="str">
        <f aca="false">IF($A801="","",IFERROR(INDEX(法人マスタ!$C:$C,MATCH($B801,法人マスタ!$A:$A,0)),""))</f>
        <v>ＫＤＸ不動産投資法人</v>
      </c>
      <c r="D801" s="1" t="str">
        <f aca="false">IF($A801="","",物件マスタ!C801)</f>
        <v>BR五反田</v>
      </c>
      <c r="E801" s="1" t="str">
        <f aca="false">IF($A801="","",物件マスタ!H801)</f>
        <v>東京経済圏（KDX区分）</v>
      </c>
      <c r="F801" s="1" t="n">
        <f aca="false">IF($A801="","",物件マスタ!P801)</f>
        <v>0</v>
      </c>
      <c r="G801" s="1" t="str">
        <f aca="false">IF($A801="","",物件マスタ!Q801)</f>
        <v/>
      </c>
      <c r="H801" s="1" t="n">
        <f aca="false">IF($A801="","",物件マスタ!L801)</f>
        <v>0</v>
      </c>
      <c r="I801" s="1" t="n">
        <f aca="false">IF($A801="","",物件マスタ!M801)</f>
        <v>3320.24</v>
      </c>
      <c r="J801" s="1" t="n">
        <f aca="false">IF($A801="","",物件マスタ!S801)</f>
        <v>2200</v>
      </c>
      <c r="K801" s="1" t="n">
        <f aca="false">IF($A801="","",物件マスタ!U801)</f>
        <v>2690</v>
      </c>
      <c r="L801" s="1" t="n">
        <f aca="false">IF($A801="","",物件マスタ!W801)</f>
        <v>1</v>
      </c>
      <c r="M801" s="1" t="str">
        <f aca="false">IF($A801="","",IFERROR(INDEX(法人マスタ!$H:$H,MATCH($B801,法人マスタ!$A:$A,0)),""))</f>
        <v>2026年4月期（第42期）</v>
      </c>
      <c r="N801" s="1" t="n">
        <f aca="false">IF($A801="","",SUMIFS(物件収支!$D:$D,物件収支!$A:$A,$A801,物件収支!$C:$C,$M801))</f>
        <v>6</v>
      </c>
      <c r="O801" s="1" t="n">
        <f aca="false">IF($A801="","",SUMIFS(物件収支!$F:$F,物件収支!$A:$A,$A801,物件収支!$C:$C,$M801))</f>
        <v>111000</v>
      </c>
      <c r="P801" s="1" t="n">
        <f aca="false">IF($A801="","",SUMIFS(物件収支!$I:$I,物件収支!$A:$A,$A801,物件収支!$C:$C,$M801))</f>
        <v>0</v>
      </c>
      <c r="Q801" s="1" t="n">
        <f aca="false">IF($A801="","",SUMIFS(物件収支!$O:$O,物件収支!$A:$A,$A801,物件収支!$C:$C,$M801))</f>
        <v>0</v>
      </c>
      <c r="R801" s="1" t="str">
        <f aca="false">IF($A801="","",IF(P801=0,"",O801-P801))</f>
        <v/>
      </c>
      <c r="S801" s="1" t="str">
        <f aca="false">IF($A801="","",IF(R801="","",R801+Q801))</f>
        <v/>
      </c>
      <c r="T801" s="1" t="str">
        <f aca="false">IF($A801="","",IF(OR(S801="",N801&lt;=0),"",S801/1000*12/N801))</f>
        <v/>
      </c>
      <c r="U801" s="1" t="str">
        <f aca="false">IF($A801="","",IF(OR(T801="",J801=0,J801=""),"",T801/J801))</f>
        <v/>
      </c>
      <c r="V801" s="1" t="str">
        <f aca="false">IF($A801="","",IF(OR(R801="",N801&lt;=0,J801=0,J801=""),"",(R801/1000*12/N801)/J801))</f>
        <v/>
      </c>
      <c r="W801" s="1" t="str">
        <f aca="false">IF($A801="","",IF(OR(T801="",K801=0,K801=""),"",T801/K801))</f>
        <v/>
      </c>
      <c r="X801" s="1" t="n">
        <f aca="false">IF($A801="","",IF(OR(N801&lt;=0,I801=0,I801="",O801=0),"",O801*1000/(I801*0.3025)/N801))</f>
        <v>18419.4590732563</v>
      </c>
      <c r="Y801" s="1" t="str">
        <f aca="false">IF($A801="","",IF(OR(O801=0,O801="",P801=0),"",P801/O801))</f>
        <v/>
      </c>
      <c r="Z801" s="1" t="str">
        <f aca="false">IF($A801="","",IFERROR(INDEX(物件収支!$E:$E,MATCH($A801,物件収支!$A:$A,0)),""))</f>
        <v>開示（物件別・収益のみ・百万円単位）</v>
      </c>
    </row>
    <row r="802" customFormat="false" ht="16.5" hidden="false" customHeight="true" outlineLevel="0" collapsed="false">
      <c r="A802" s="1" t="str">
        <f aca="false">IF(物件マスタ!A802="","",物件マスタ!A802)</f>
        <v>KDX-062</v>
      </c>
      <c r="B802" s="1" t="str">
        <f aca="false">IF($A802="","",物件マスタ!B802)</f>
        <v>KDX</v>
      </c>
      <c r="C802" s="1" t="str">
        <f aca="false">IF($A802="","",IFERROR(INDEX(法人マスタ!$C:$C,MATCH($B802,法人マスタ!$A:$A,0)),""))</f>
        <v>ＫＤＸ不動産投資法人</v>
      </c>
      <c r="D802" s="1" t="str">
        <f aca="false">IF($A802="","",物件マスタ!C802)</f>
        <v>KDX渋谷南平台ビル</v>
      </c>
      <c r="E802" s="1" t="str">
        <f aca="false">IF($A802="","",物件マスタ!H802)</f>
        <v>東京経済圏（KDX区分）</v>
      </c>
      <c r="F802" s="1" t="n">
        <f aca="false">IF($A802="","",物件マスタ!P802)</f>
        <v>0</v>
      </c>
      <c r="G802" s="1" t="str">
        <f aca="false">IF($A802="","",物件マスタ!Q802)</f>
        <v/>
      </c>
      <c r="H802" s="1" t="n">
        <f aca="false">IF($A802="","",物件マスタ!L802)</f>
        <v>0</v>
      </c>
      <c r="I802" s="1" t="n">
        <f aca="false">IF($A802="","",物件マスタ!M802)</f>
        <v>2205.33</v>
      </c>
      <c r="J802" s="1" t="n">
        <f aca="false">IF($A802="","",物件マスタ!S802)</f>
        <v>3500</v>
      </c>
      <c r="K802" s="1" t="n">
        <f aca="false">IF($A802="","",物件マスタ!U802)</f>
        <v>4180</v>
      </c>
      <c r="L802" s="1" t="n">
        <f aca="false">IF($A802="","",物件マスタ!W802)</f>
        <v>1</v>
      </c>
      <c r="M802" s="1" t="str">
        <f aca="false">IF($A802="","",IFERROR(INDEX(法人マスタ!$H:$H,MATCH($B802,法人マスタ!$A:$A,0)),""))</f>
        <v>2026年4月期（第42期）</v>
      </c>
      <c r="N802" s="1" t="n">
        <f aca="false">IF($A802="","",SUMIFS(物件収支!$D:$D,物件収支!$A:$A,$A802,物件収支!$C:$C,$M802))</f>
        <v>6</v>
      </c>
      <c r="O802" s="1" t="n">
        <f aca="false">IF($A802="","",SUMIFS(物件収支!$F:$F,物件収支!$A:$A,$A802,物件収支!$C:$C,$M802))</f>
        <v>102000</v>
      </c>
      <c r="P802" s="1" t="n">
        <f aca="false">IF($A802="","",SUMIFS(物件収支!$I:$I,物件収支!$A:$A,$A802,物件収支!$C:$C,$M802))</f>
        <v>0</v>
      </c>
      <c r="Q802" s="1" t="n">
        <f aca="false">IF($A802="","",SUMIFS(物件収支!$O:$O,物件収支!$A:$A,$A802,物件収支!$C:$C,$M802))</f>
        <v>0</v>
      </c>
      <c r="R802" s="1" t="str">
        <f aca="false">IF($A802="","",IF(P802=0,"",O802-P802))</f>
        <v/>
      </c>
      <c r="S802" s="1" t="str">
        <f aca="false">IF($A802="","",IF(R802="","",R802+Q802))</f>
        <v/>
      </c>
      <c r="T802" s="1" t="str">
        <f aca="false">IF($A802="","",IF(OR(S802="",N802&lt;=0),"",S802/1000*12/N802))</f>
        <v/>
      </c>
      <c r="U802" s="1" t="str">
        <f aca="false">IF($A802="","",IF(OR(T802="",J802=0,J802=""),"",T802/J802))</f>
        <v/>
      </c>
      <c r="V802" s="1" t="str">
        <f aca="false">IF($A802="","",IF(OR(R802="",N802&lt;=0,J802=0,J802=""),"",(R802/1000*12/N802)/J802))</f>
        <v/>
      </c>
      <c r="W802" s="1" t="str">
        <f aca="false">IF($A802="","",IF(OR(T802="",K802=0,K802=""),"",T802/K802))</f>
        <v/>
      </c>
      <c r="X802" s="1" t="n">
        <f aca="false">IF($A802="","",IF(OR(N802&lt;=0,I802=0,I802="",O802=0),"",O802*1000/(I802*0.3025)/N802))</f>
        <v>25482.9649564637</v>
      </c>
      <c r="Y802" s="1" t="str">
        <f aca="false">IF($A802="","",IF(OR(O802=0,O802="",P802=0),"",P802/O802))</f>
        <v/>
      </c>
      <c r="Z802" s="1" t="str">
        <f aca="false">IF($A802="","",IFERROR(INDEX(物件収支!$E:$E,MATCH($A802,物件収支!$A:$A,0)),""))</f>
        <v>開示（物件別・収益のみ・百万円単位）</v>
      </c>
    </row>
    <row r="803" customFormat="false" ht="16.5" hidden="false" customHeight="true" outlineLevel="0" collapsed="false">
      <c r="A803" s="1" t="str">
        <f aca="false">IF(物件マスタ!A803="","",物件マスタ!A803)</f>
        <v>KDX-063</v>
      </c>
      <c r="B803" s="1" t="str">
        <f aca="false">IF($A803="","",物件マスタ!B803)</f>
        <v>KDX</v>
      </c>
      <c r="C803" s="1" t="str">
        <f aca="false">IF($A803="","",IFERROR(INDEX(法人マスタ!$C:$C,MATCH($B803,法人マスタ!$A:$A,0)),""))</f>
        <v>ＫＤＸ不動産投資法人</v>
      </c>
      <c r="D803" s="1" t="str">
        <f aca="false">IF($A803="","",物件マスタ!C803)</f>
        <v>KDX横浜みなとみらいタワー</v>
      </c>
      <c r="E803" s="1" t="str">
        <f aca="false">IF($A803="","",物件マスタ!H803)</f>
        <v>東京経済圏（KDX区分）</v>
      </c>
      <c r="F803" s="1" t="n">
        <f aca="false">IF($A803="","",物件マスタ!P803)</f>
        <v>0</v>
      </c>
      <c r="G803" s="1" t="str">
        <f aca="false">IF($A803="","",物件マスタ!Q803)</f>
        <v/>
      </c>
      <c r="H803" s="1" t="n">
        <f aca="false">IF($A803="","",物件マスタ!L803)</f>
        <v>0</v>
      </c>
      <c r="I803" s="1" t="n">
        <f aca="false">IF($A803="","",物件マスタ!M803)</f>
        <v>13485.43</v>
      </c>
      <c r="J803" s="1" t="n">
        <f aca="false">IF($A803="","",物件マスタ!S803)</f>
        <v>14720</v>
      </c>
      <c r="K803" s="1" t="n">
        <f aca="false">IF($A803="","",物件マスタ!U803)</f>
        <v>14700</v>
      </c>
      <c r="L803" s="1" t="n">
        <f aca="false">IF($A803="","",物件マスタ!W803)</f>
        <v>0.983</v>
      </c>
      <c r="M803" s="1" t="str">
        <f aca="false">IF($A803="","",IFERROR(INDEX(法人マスタ!$H:$H,MATCH($B803,法人マスタ!$A:$A,0)),""))</f>
        <v>2026年4月期（第42期）</v>
      </c>
      <c r="N803" s="1" t="n">
        <f aca="false">IF($A803="","",SUMIFS(物件収支!$D:$D,物件収支!$A:$A,$A803,物件収支!$C:$C,$M803))</f>
        <v>6</v>
      </c>
      <c r="O803" s="1" t="n">
        <f aca="false">IF($A803="","",SUMIFS(物件収支!$F:$F,物件収支!$A:$A,$A803,物件収支!$C:$C,$M803))</f>
        <v>560000</v>
      </c>
      <c r="P803" s="1" t="n">
        <f aca="false">IF($A803="","",SUMIFS(物件収支!$I:$I,物件収支!$A:$A,$A803,物件収支!$C:$C,$M803))</f>
        <v>0</v>
      </c>
      <c r="Q803" s="1" t="n">
        <f aca="false">IF($A803="","",SUMIFS(物件収支!$O:$O,物件収支!$A:$A,$A803,物件収支!$C:$C,$M803))</f>
        <v>0</v>
      </c>
      <c r="R803" s="1" t="str">
        <f aca="false">IF($A803="","",IF(P803=0,"",O803-P803))</f>
        <v/>
      </c>
      <c r="S803" s="1" t="str">
        <f aca="false">IF($A803="","",IF(R803="","",R803+Q803))</f>
        <v/>
      </c>
      <c r="T803" s="1" t="str">
        <f aca="false">IF($A803="","",IF(OR(S803="",N803&lt;=0),"",S803/1000*12/N803))</f>
        <v/>
      </c>
      <c r="U803" s="1" t="str">
        <f aca="false">IF($A803="","",IF(OR(T803="",J803=0,J803=""),"",T803/J803))</f>
        <v/>
      </c>
      <c r="V803" s="1" t="str">
        <f aca="false">IF($A803="","",IF(OR(R803="",N803&lt;=0,J803=0,J803=""),"",(R803/1000*12/N803)/J803))</f>
        <v/>
      </c>
      <c r="W803" s="1" t="str">
        <f aca="false">IF($A803="","",IF(OR(T803="",K803=0,K803=""),"",T803/K803))</f>
        <v/>
      </c>
      <c r="X803" s="1" t="n">
        <f aca="false">IF($A803="","",IF(OR(N803&lt;=0,I803=0,I803="",O803=0),"",O803*1000/(I803*0.3025)/N803))</f>
        <v>22879.5036497599</v>
      </c>
      <c r="Y803" s="1" t="str">
        <f aca="false">IF($A803="","",IF(OR(O803=0,O803="",P803=0),"",P803/O803))</f>
        <v/>
      </c>
      <c r="Z803" s="1" t="str">
        <f aca="false">IF($A803="","",IFERROR(INDEX(物件収支!$E:$E,MATCH($A803,物件収支!$A:$A,0)),""))</f>
        <v>開示（物件別・収益のみ・百万円単位）</v>
      </c>
    </row>
    <row r="804" customFormat="false" ht="16.5" hidden="false" customHeight="true" outlineLevel="0" collapsed="false">
      <c r="A804" s="1" t="str">
        <f aca="false">IF(物件マスタ!A804="","",物件マスタ!A804)</f>
        <v>KDX-064</v>
      </c>
      <c r="B804" s="1" t="str">
        <f aca="false">IF($A804="","",物件マスタ!B804)</f>
        <v>KDX</v>
      </c>
      <c r="C804" s="1" t="str">
        <f aca="false">IF($A804="","",IFERROR(INDEX(法人マスタ!$C:$C,MATCH($B804,法人マスタ!$A:$A,0)),""))</f>
        <v>ＫＤＸ不動産投資法人</v>
      </c>
      <c r="D804" s="1" t="str">
        <f aca="false">IF($A804="","",物件マスタ!C804)</f>
        <v>KDX横浜関内ビル</v>
      </c>
      <c r="E804" s="1" t="str">
        <f aca="false">IF($A804="","",物件マスタ!H804)</f>
        <v>東京経済圏（KDX区分）</v>
      </c>
      <c r="F804" s="1" t="n">
        <f aca="false">IF($A804="","",物件マスタ!P804)</f>
        <v>0</v>
      </c>
      <c r="G804" s="1" t="str">
        <f aca="false">IF($A804="","",物件マスタ!Q804)</f>
        <v/>
      </c>
      <c r="H804" s="1" t="n">
        <f aca="false">IF($A804="","",物件マスタ!L804)</f>
        <v>0</v>
      </c>
      <c r="I804" s="1" t="n">
        <f aca="false">IF($A804="","",物件マスタ!M804)</f>
        <v>10035.09</v>
      </c>
      <c r="J804" s="1" t="n">
        <f aca="false">IF($A804="","",物件マスタ!S804)</f>
        <v>9500</v>
      </c>
      <c r="K804" s="1" t="n">
        <f aca="false">IF($A804="","",物件マスタ!U804)</f>
        <v>10500</v>
      </c>
      <c r="L804" s="1" t="n">
        <f aca="false">IF($A804="","",物件マスタ!W804)</f>
        <v>1</v>
      </c>
      <c r="M804" s="1" t="str">
        <f aca="false">IF($A804="","",IFERROR(INDEX(法人マスタ!$H:$H,MATCH($B804,法人マスタ!$A:$A,0)),""))</f>
        <v>2026年4月期（第42期）</v>
      </c>
      <c r="N804" s="1" t="n">
        <f aca="false">IF($A804="","",SUMIFS(物件収支!$D:$D,物件収支!$A:$A,$A804,物件収支!$C:$C,$M804))</f>
        <v>6</v>
      </c>
      <c r="O804" s="1" t="n">
        <f aca="false">IF($A804="","",SUMIFS(物件収支!$F:$F,物件収支!$A:$A,$A804,物件収支!$C:$C,$M804))</f>
        <v>306000</v>
      </c>
      <c r="P804" s="1" t="n">
        <f aca="false">IF($A804="","",SUMIFS(物件収支!$I:$I,物件収支!$A:$A,$A804,物件収支!$C:$C,$M804))</f>
        <v>0</v>
      </c>
      <c r="Q804" s="1" t="n">
        <f aca="false">IF($A804="","",SUMIFS(物件収支!$O:$O,物件収支!$A:$A,$A804,物件収支!$C:$C,$M804))</f>
        <v>0</v>
      </c>
      <c r="R804" s="1" t="str">
        <f aca="false">IF($A804="","",IF(P804=0,"",O804-P804))</f>
        <v/>
      </c>
      <c r="S804" s="1" t="str">
        <f aca="false">IF($A804="","",IF(R804="","",R804+Q804))</f>
        <v/>
      </c>
      <c r="T804" s="1" t="str">
        <f aca="false">IF($A804="","",IF(OR(S804="",N804&lt;=0),"",S804/1000*12/N804))</f>
        <v/>
      </c>
      <c r="U804" s="1" t="str">
        <f aca="false">IF($A804="","",IF(OR(T804="",J804=0,J804=""),"",T804/J804))</f>
        <v/>
      </c>
      <c r="V804" s="1" t="str">
        <f aca="false">IF($A804="","",IF(OR(R804="",N804&lt;=0,J804=0,J804=""),"",(R804/1000*12/N804)/J804))</f>
        <v/>
      </c>
      <c r="W804" s="1" t="str">
        <f aca="false">IF($A804="","",IF(OR(T804="",K804=0,K804=""),"",T804/K804))</f>
        <v/>
      </c>
      <c r="X804" s="1" t="n">
        <f aca="false">IF($A804="","",IF(OR(N804&lt;=0,I804=0,I804="",O804=0),"",O804*1000/(I804*0.3025)/N804))</f>
        <v>16800.5509987767</v>
      </c>
      <c r="Y804" s="1" t="str">
        <f aca="false">IF($A804="","",IF(OR(O804=0,O804="",P804=0),"",P804/O804))</f>
        <v/>
      </c>
      <c r="Z804" s="1" t="str">
        <f aca="false">IF($A804="","",IFERROR(INDEX(物件収支!$E:$E,MATCH($A804,物件収支!$A:$A,0)),""))</f>
        <v>開示（物件別・収益のみ・百万円単位）</v>
      </c>
    </row>
    <row r="805" customFormat="false" ht="16.5" hidden="false" customHeight="true" outlineLevel="0" collapsed="false">
      <c r="A805" s="1" t="str">
        <f aca="false">IF(物件マスタ!A805="","",物件マスタ!A805)</f>
        <v>KDX-065</v>
      </c>
      <c r="B805" s="1" t="str">
        <f aca="false">IF($A805="","",物件マスタ!B805)</f>
        <v>KDX</v>
      </c>
      <c r="C805" s="1" t="str">
        <f aca="false">IF($A805="","",IFERROR(INDEX(法人マスタ!$C:$C,MATCH($B805,法人マスタ!$A:$A,0)),""))</f>
        <v>ＫＤＸ不動産投資法人</v>
      </c>
      <c r="D805" s="1" t="str">
        <f aca="false">IF($A805="","",物件マスタ!C805)</f>
        <v>KDX浜松町プレイス</v>
      </c>
      <c r="E805" s="1" t="str">
        <f aca="false">IF($A805="","",物件マスタ!H805)</f>
        <v>東京経済圏（KDX区分）</v>
      </c>
      <c r="F805" s="1" t="n">
        <f aca="false">IF($A805="","",物件マスタ!P805)</f>
        <v>0</v>
      </c>
      <c r="G805" s="1" t="str">
        <f aca="false">IF($A805="","",物件マスタ!Q805)</f>
        <v/>
      </c>
      <c r="H805" s="1" t="n">
        <f aca="false">IF($A805="","",物件マスタ!L805)</f>
        <v>0</v>
      </c>
      <c r="I805" s="1" t="n">
        <f aca="false">IF($A805="","",物件マスタ!M805)</f>
        <v>9325.18</v>
      </c>
      <c r="J805" s="1" t="n">
        <f aca="false">IF($A805="","",物件マスタ!S805)</f>
        <v>20700</v>
      </c>
      <c r="K805" s="1" t="n">
        <f aca="false">IF($A805="","",物件マスタ!U805)</f>
        <v>24000</v>
      </c>
      <c r="L805" s="1" t="n">
        <f aca="false">IF($A805="","",物件マスタ!W805)</f>
        <v>0.943</v>
      </c>
      <c r="M805" s="1" t="str">
        <f aca="false">IF($A805="","",IFERROR(INDEX(法人マスタ!$H:$H,MATCH($B805,法人マスタ!$A:$A,0)),""))</f>
        <v>2026年4月期（第42期）</v>
      </c>
      <c r="N805" s="1" t="n">
        <f aca="false">IF($A805="","",SUMIFS(物件収支!$D:$D,物件収支!$A:$A,$A805,物件収支!$C:$C,$M805))</f>
        <v>6</v>
      </c>
      <c r="O805" s="1" t="n">
        <f aca="false">IF($A805="","",SUMIFS(物件収支!$F:$F,物件収支!$A:$A,$A805,物件収支!$C:$C,$M805))</f>
        <v>485000</v>
      </c>
      <c r="P805" s="1" t="n">
        <f aca="false">IF($A805="","",SUMIFS(物件収支!$I:$I,物件収支!$A:$A,$A805,物件収支!$C:$C,$M805))</f>
        <v>0</v>
      </c>
      <c r="Q805" s="1" t="n">
        <f aca="false">IF($A805="","",SUMIFS(物件収支!$O:$O,物件収支!$A:$A,$A805,物件収支!$C:$C,$M805))</f>
        <v>0</v>
      </c>
      <c r="R805" s="1" t="str">
        <f aca="false">IF($A805="","",IF(P805=0,"",O805-P805))</f>
        <v/>
      </c>
      <c r="S805" s="1" t="str">
        <f aca="false">IF($A805="","",IF(R805="","",R805+Q805))</f>
        <v/>
      </c>
      <c r="T805" s="1" t="str">
        <f aca="false">IF($A805="","",IF(OR(S805="",N805&lt;=0),"",S805/1000*12/N805))</f>
        <v/>
      </c>
      <c r="U805" s="1" t="str">
        <f aca="false">IF($A805="","",IF(OR(T805="",J805=0,J805=""),"",T805/J805))</f>
        <v/>
      </c>
      <c r="V805" s="1" t="str">
        <f aca="false">IF($A805="","",IF(OR(R805="",N805&lt;=0,J805=0,J805=""),"",(R805/1000*12/N805)/J805))</f>
        <v/>
      </c>
      <c r="W805" s="1" t="str">
        <f aca="false">IF($A805="","",IF(OR(T805="",K805=0,K805=""),"",T805/K805))</f>
        <v/>
      </c>
      <c r="X805" s="1" t="n">
        <f aca="false">IF($A805="","",IF(OR(N805&lt;=0,I805=0,I805="",O805=0),"",O805*1000/(I805*0.3025)/N805))</f>
        <v>28655.4930686587</v>
      </c>
      <c r="Y805" s="1" t="str">
        <f aca="false">IF($A805="","",IF(OR(O805=0,O805="",P805=0),"",P805/O805))</f>
        <v/>
      </c>
      <c r="Z805" s="1" t="str">
        <f aca="false">IF($A805="","",IFERROR(INDEX(物件収支!$E:$E,MATCH($A805,物件収支!$A:$A,0)),""))</f>
        <v>開示（物件別・収益のみ・百万円単位）</v>
      </c>
    </row>
    <row r="806" customFormat="false" ht="16.5" hidden="false" customHeight="true" outlineLevel="0" collapsed="false">
      <c r="A806" s="1" t="str">
        <f aca="false">IF(物件マスタ!A806="","",物件マスタ!A806)</f>
        <v>KDX-066</v>
      </c>
      <c r="B806" s="1" t="str">
        <f aca="false">IF($A806="","",物件マスタ!B806)</f>
        <v>KDX</v>
      </c>
      <c r="C806" s="1" t="str">
        <f aca="false">IF($A806="","",IFERROR(INDEX(法人マスタ!$C:$C,MATCH($B806,法人マスタ!$A:$A,0)),""))</f>
        <v>ＫＤＸ不動産投資法人</v>
      </c>
      <c r="D806" s="1" t="str">
        <f aca="false">IF($A806="","",物件マスタ!C806)</f>
        <v>KDX調布ビル</v>
      </c>
      <c r="E806" s="1" t="str">
        <f aca="false">IF($A806="","",物件マスタ!H806)</f>
        <v>東京経済圏（KDX区分）</v>
      </c>
      <c r="F806" s="1" t="n">
        <f aca="false">IF($A806="","",物件マスタ!P806)</f>
        <v>0</v>
      </c>
      <c r="G806" s="1" t="str">
        <f aca="false">IF($A806="","",物件マスタ!Q806)</f>
        <v/>
      </c>
      <c r="H806" s="1" t="n">
        <f aca="false">IF($A806="","",物件マスタ!L806)</f>
        <v>0</v>
      </c>
      <c r="I806" s="1" t="n">
        <f aca="false">IF($A806="","",物件マスタ!M806)</f>
        <v>23960.57</v>
      </c>
      <c r="J806" s="1" t="n">
        <f aca="false">IF($A806="","",物件マスタ!S806)</f>
        <v>11120</v>
      </c>
      <c r="K806" s="1" t="n">
        <f aca="false">IF($A806="","",物件マスタ!U806)</f>
        <v>12000</v>
      </c>
      <c r="L806" s="1" t="n">
        <f aca="false">IF($A806="","",物件マスタ!W806)</f>
        <v>1</v>
      </c>
      <c r="M806" s="1" t="str">
        <f aca="false">IF($A806="","",IFERROR(INDEX(法人マスタ!$H:$H,MATCH($B806,法人マスタ!$A:$A,0)),""))</f>
        <v>2026年4月期（第42期）</v>
      </c>
      <c r="N806" s="1" t="n">
        <f aca="false">IF($A806="","",SUMIFS(物件収支!$D:$D,物件収支!$A:$A,$A806,物件収支!$C:$C,$M806))</f>
        <v>6</v>
      </c>
      <c r="O806" s="1" t="n">
        <f aca="false">IF($A806="","",SUMIFS(物件収支!$F:$F,物件収支!$A:$A,$A806,物件収支!$C:$C,$M806))</f>
        <v>419000</v>
      </c>
      <c r="P806" s="1" t="n">
        <f aca="false">IF($A806="","",SUMIFS(物件収支!$I:$I,物件収支!$A:$A,$A806,物件収支!$C:$C,$M806))</f>
        <v>0</v>
      </c>
      <c r="Q806" s="1" t="n">
        <f aca="false">IF($A806="","",SUMIFS(物件収支!$O:$O,物件収支!$A:$A,$A806,物件収支!$C:$C,$M806))</f>
        <v>0</v>
      </c>
      <c r="R806" s="1" t="str">
        <f aca="false">IF($A806="","",IF(P806=0,"",O806-P806))</f>
        <v/>
      </c>
      <c r="S806" s="1" t="str">
        <f aca="false">IF($A806="","",IF(R806="","",R806+Q806))</f>
        <v/>
      </c>
      <c r="T806" s="1" t="str">
        <f aca="false">IF($A806="","",IF(OR(S806="",N806&lt;=0),"",S806/1000*12/N806))</f>
        <v/>
      </c>
      <c r="U806" s="1" t="str">
        <f aca="false">IF($A806="","",IF(OR(T806="",J806=0,J806=""),"",T806/J806))</f>
        <v/>
      </c>
      <c r="V806" s="1" t="str">
        <f aca="false">IF($A806="","",IF(OR(R806="",N806&lt;=0,J806=0,J806=""),"",(R806/1000*12/N806)/J806))</f>
        <v/>
      </c>
      <c r="W806" s="1" t="str">
        <f aca="false">IF($A806="","",IF(OR(T806="",K806=0,K806=""),"",T806/K806))</f>
        <v/>
      </c>
      <c r="X806" s="1" t="n">
        <f aca="false">IF($A806="","",IF(OR(N806&lt;=0,I806=0,I806="",O806=0),"",O806*1000/(I806*0.3025)/N806))</f>
        <v>9634.74552109395</v>
      </c>
      <c r="Y806" s="1" t="str">
        <f aca="false">IF($A806="","",IF(OR(O806=0,O806="",P806=0),"",P806/O806))</f>
        <v/>
      </c>
      <c r="Z806" s="1" t="str">
        <f aca="false">IF($A806="","",IFERROR(INDEX(物件収支!$E:$E,MATCH($A806,物件収支!$A:$A,0)),""))</f>
        <v>開示（物件別・収益のみ・百万円単位）</v>
      </c>
    </row>
    <row r="807" customFormat="false" ht="16.5" hidden="false" customHeight="true" outlineLevel="0" collapsed="false">
      <c r="A807" s="1" t="str">
        <f aca="false">IF(物件マスタ!A807="","",物件マスタ!A807)</f>
        <v>KDX-067</v>
      </c>
      <c r="B807" s="1" t="str">
        <f aca="false">IF($A807="","",物件マスタ!B807)</f>
        <v>KDX</v>
      </c>
      <c r="C807" s="1" t="str">
        <f aca="false">IF($A807="","",IFERROR(INDEX(法人マスタ!$C:$C,MATCH($B807,法人マスタ!$A:$A,0)),""))</f>
        <v>ＫＤＸ不動産投資法人</v>
      </c>
      <c r="D807" s="1" t="str">
        <f aca="false">IF($A807="","",物件マスタ!C807)</f>
        <v>KDX神田駅前ビル</v>
      </c>
      <c r="E807" s="1" t="str">
        <f aca="false">IF($A807="","",物件マスタ!H807)</f>
        <v>東京経済圏（KDX区分）</v>
      </c>
      <c r="F807" s="1" t="n">
        <f aca="false">IF($A807="","",物件マスタ!P807)</f>
        <v>0</v>
      </c>
      <c r="G807" s="1" t="str">
        <f aca="false">IF($A807="","",物件マスタ!Q807)</f>
        <v/>
      </c>
      <c r="H807" s="1" t="n">
        <f aca="false">IF($A807="","",物件マスタ!L807)</f>
        <v>0</v>
      </c>
      <c r="I807" s="1" t="n">
        <f aca="false">IF($A807="","",物件マスタ!M807)</f>
        <v>2175.29</v>
      </c>
      <c r="J807" s="1" t="n">
        <f aca="false">IF($A807="","",物件マスタ!S807)</f>
        <v>3300</v>
      </c>
      <c r="K807" s="1" t="n">
        <f aca="false">IF($A807="","",物件マスタ!U807)</f>
        <v>3540</v>
      </c>
      <c r="L807" s="1" t="n">
        <f aca="false">IF($A807="","",物件マスタ!W807)</f>
        <v>1</v>
      </c>
      <c r="M807" s="1" t="str">
        <f aca="false">IF($A807="","",IFERROR(INDEX(法人マスタ!$H:$H,MATCH($B807,法人マスタ!$A:$A,0)),""))</f>
        <v>2026年4月期（第42期）</v>
      </c>
      <c r="N807" s="1" t="n">
        <f aca="false">IF($A807="","",SUMIFS(物件収支!$D:$D,物件収支!$A:$A,$A807,物件収支!$C:$C,$M807))</f>
        <v>6</v>
      </c>
      <c r="O807" s="1" t="n">
        <f aca="false">IF($A807="","",SUMIFS(物件収支!$F:$F,物件収支!$A:$A,$A807,物件収支!$C:$C,$M807))</f>
        <v>82000</v>
      </c>
      <c r="P807" s="1" t="n">
        <f aca="false">IF($A807="","",SUMIFS(物件収支!$I:$I,物件収支!$A:$A,$A807,物件収支!$C:$C,$M807))</f>
        <v>0</v>
      </c>
      <c r="Q807" s="1" t="n">
        <f aca="false">IF($A807="","",SUMIFS(物件収支!$O:$O,物件収支!$A:$A,$A807,物件収支!$C:$C,$M807))</f>
        <v>0</v>
      </c>
      <c r="R807" s="1" t="str">
        <f aca="false">IF($A807="","",IF(P807=0,"",O807-P807))</f>
        <v/>
      </c>
      <c r="S807" s="1" t="str">
        <f aca="false">IF($A807="","",IF(R807="","",R807+Q807))</f>
        <v/>
      </c>
      <c r="T807" s="1" t="str">
        <f aca="false">IF($A807="","",IF(OR(S807="",N807&lt;=0),"",S807/1000*12/N807))</f>
        <v/>
      </c>
      <c r="U807" s="1" t="str">
        <f aca="false">IF($A807="","",IF(OR(T807="",J807=0,J807=""),"",T807/J807))</f>
        <v/>
      </c>
      <c r="V807" s="1" t="str">
        <f aca="false">IF($A807="","",IF(OR(R807="",N807&lt;=0,J807=0,J807=""),"",(R807/1000*12/N807)/J807))</f>
        <v/>
      </c>
      <c r="W807" s="1" t="str">
        <f aca="false">IF($A807="","",IF(OR(T807="",K807=0,K807=""),"",T807/K807))</f>
        <v/>
      </c>
      <c r="X807" s="1" t="n">
        <f aca="false">IF($A807="","",IF(OR(N807&lt;=0,I807=0,I807="",O807=0),"",O807*1000/(I807*0.3025)/N807))</f>
        <v>20769.2139259048</v>
      </c>
      <c r="Y807" s="1" t="str">
        <f aca="false">IF($A807="","",IF(OR(O807=0,O807="",P807=0),"",P807/O807))</f>
        <v/>
      </c>
      <c r="Z807" s="1" t="str">
        <f aca="false">IF($A807="","",IFERROR(INDEX(物件収支!$E:$E,MATCH($A807,物件収支!$A:$A,0)),""))</f>
        <v>開示（物件別・収益のみ・百万円単位）</v>
      </c>
    </row>
    <row r="808" customFormat="false" ht="16.5" hidden="false" customHeight="true" outlineLevel="0" collapsed="false">
      <c r="A808" s="1" t="str">
        <f aca="false">IF(物件マスタ!A808="","",物件マスタ!A808)</f>
        <v>KDX-068</v>
      </c>
      <c r="B808" s="1" t="str">
        <f aca="false">IF($A808="","",物件マスタ!B808)</f>
        <v>KDX</v>
      </c>
      <c r="C808" s="1" t="str">
        <f aca="false">IF($A808="","",IFERROR(INDEX(法人マスタ!$C:$C,MATCH($B808,法人マスタ!$A:$A,0)),""))</f>
        <v>ＫＤＸ不動産投資法人</v>
      </c>
      <c r="D808" s="1" t="str">
        <f aca="false">IF($A808="","",物件マスタ!C808)</f>
        <v>KDX新橋駅前ビル</v>
      </c>
      <c r="E808" s="1" t="str">
        <f aca="false">IF($A808="","",物件マスタ!H808)</f>
        <v>東京経済圏（KDX区分）</v>
      </c>
      <c r="F808" s="1" t="n">
        <f aca="false">IF($A808="","",物件マスタ!P808)</f>
        <v>0</v>
      </c>
      <c r="G808" s="1" t="str">
        <f aca="false">IF($A808="","",物件マスタ!Q808)</f>
        <v/>
      </c>
      <c r="H808" s="1" t="n">
        <f aca="false">IF($A808="","",物件マスタ!L808)</f>
        <v>0</v>
      </c>
      <c r="I808" s="1" t="n">
        <f aca="false">IF($A808="","",物件マスタ!M808)</f>
        <v>5429.38</v>
      </c>
      <c r="J808" s="1" t="n">
        <f aca="false">IF($A808="","",物件マスタ!S808)</f>
        <v>16300</v>
      </c>
      <c r="K808" s="1" t="n">
        <f aca="false">IF($A808="","",物件マスタ!U808)</f>
        <v>19000</v>
      </c>
      <c r="L808" s="1" t="n">
        <f aca="false">IF($A808="","",物件マスタ!W808)</f>
        <v>1</v>
      </c>
      <c r="M808" s="1" t="str">
        <f aca="false">IF($A808="","",IFERROR(INDEX(法人マスタ!$H:$H,MATCH($B808,法人マスタ!$A:$A,0)),""))</f>
        <v>2026年4月期（第42期）</v>
      </c>
      <c r="N808" s="1" t="n">
        <f aca="false">IF($A808="","",SUMIFS(物件収支!$D:$D,物件収支!$A:$A,$A808,物件収支!$C:$C,$M808))</f>
        <v>6</v>
      </c>
      <c r="O808" s="1" t="n">
        <f aca="false">IF($A808="","",SUMIFS(物件収支!$F:$F,物件収支!$A:$A,$A808,物件収支!$C:$C,$M808))</f>
        <v>320000</v>
      </c>
      <c r="P808" s="1" t="n">
        <f aca="false">IF($A808="","",SUMIFS(物件収支!$I:$I,物件収支!$A:$A,$A808,物件収支!$C:$C,$M808))</f>
        <v>0</v>
      </c>
      <c r="Q808" s="1" t="n">
        <f aca="false">IF($A808="","",SUMIFS(物件収支!$O:$O,物件収支!$A:$A,$A808,物件収支!$C:$C,$M808))</f>
        <v>0</v>
      </c>
      <c r="R808" s="1" t="str">
        <f aca="false">IF($A808="","",IF(P808=0,"",O808-P808))</f>
        <v/>
      </c>
      <c r="S808" s="1" t="str">
        <f aca="false">IF($A808="","",IF(R808="","",R808+Q808))</f>
        <v/>
      </c>
      <c r="T808" s="1" t="str">
        <f aca="false">IF($A808="","",IF(OR(S808="",N808&lt;=0),"",S808/1000*12/N808))</f>
        <v/>
      </c>
      <c r="U808" s="1" t="str">
        <f aca="false">IF($A808="","",IF(OR(T808="",J808=0,J808=""),"",T808/J808))</f>
        <v/>
      </c>
      <c r="V808" s="1" t="str">
        <f aca="false">IF($A808="","",IF(OR(R808="",N808&lt;=0,J808=0,J808=""),"",(R808/1000*12/N808)/J808))</f>
        <v/>
      </c>
      <c r="W808" s="1" t="str">
        <f aca="false">IF($A808="","",IF(OR(T808="",K808=0,K808=""),"",T808/K808))</f>
        <v/>
      </c>
      <c r="X808" s="1" t="n">
        <f aca="false">IF($A808="","",IF(OR(N808&lt;=0,I808=0,I808="",O808=0),"",O808*1000/(I808*0.3025)/N808))</f>
        <v>32473.052161555</v>
      </c>
      <c r="Y808" s="1" t="str">
        <f aca="false">IF($A808="","",IF(OR(O808=0,O808="",P808=0),"",P808/O808))</f>
        <v/>
      </c>
      <c r="Z808" s="1" t="str">
        <f aca="false">IF($A808="","",IFERROR(INDEX(物件収支!$E:$E,MATCH($A808,物件収支!$A:$A,0)),""))</f>
        <v>開示（物件別・収益のみ・百万円単位）</v>
      </c>
    </row>
    <row r="809" customFormat="false" ht="16.5" hidden="false" customHeight="true" outlineLevel="0" collapsed="false">
      <c r="A809" s="1" t="str">
        <f aca="false">IF(物件マスタ!A809="","",物件マスタ!A809)</f>
        <v>KDX-069</v>
      </c>
      <c r="B809" s="1" t="str">
        <f aca="false">IF($A809="","",物件マスタ!B809)</f>
        <v>KDX</v>
      </c>
      <c r="C809" s="1" t="str">
        <f aca="false">IF($A809="","",IFERROR(INDEX(法人マスタ!$C:$C,MATCH($B809,法人マスタ!$A:$A,0)),""))</f>
        <v>ＫＤＸ不動産投資法人</v>
      </c>
      <c r="D809" s="1" t="str">
        <f aca="false">IF($A809="","",物件マスタ!C809)</f>
        <v>KDX江戸橋ビル</v>
      </c>
      <c r="E809" s="1" t="str">
        <f aca="false">IF($A809="","",物件マスタ!H809)</f>
        <v>東京経済圏（KDX区分）</v>
      </c>
      <c r="F809" s="1" t="n">
        <f aca="false">IF($A809="","",物件マスタ!P809)</f>
        <v>0</v>
      </c>
      <c r="G809" s="1" t="str">
        <f aca="false">IF($A809="","",物件マスタ!Q809)</f>
        <v/>
      </c>
      <c r="H809" s="1" t="n">
        <f aca="false">IF($A809="","",物件マスタ!L809)</f>
        <v>0</v>
      </c>
      <c r="I809" s="1" t="n">
        <f aca="false">IF($A809="","",物件マスタ!M809)</f>
        <v>5683.5</v>
      </c>
      <c r="J809" s="1" t="n">
        <f aca="false">IF($A809="","",物件マスタ!S809)</f>
        <v>9600</v>
      </c>
      <c r="K809" s="1" t="n">
        <f aca="false">IF($A809="","",物件マスタ!U809)</f>
        <v>10100</v>
      </c>
      <c r="L809" s="1" t="n">
        <f aca="false">IF($A809="","",物件マスタ!W809)</f>
        <v>1</v>
      </c>
      <c r="M809" s="1" t="str">
        <f aca="false">IF($A809="","",IFERROR(INDEX(法人マスタ!$H:$H,MATCH($B809,法人マスタ!$A:$A,0)),""))</f>
        <v>2026年4月期（第42期）</v>
      </c>
      <c r="N809" s="1" t="n">
        <f aca="false">IF($A809="","",SUMIFS(物件収支!$D:$D,物件収支!$A:$A,$A809,物件収支!$C:$C,$M809))</f>
        <v>6</v>
      </c>
      <c r="O809" s="1" t="n">
        <f aca="false">IF($A809="","",SUMIFS(物件収支!$F:$F,物件収支!$A:$A,$A809,物件収支!$C:$C,$M809))</f>
        <v>211000</v>
      </c>
      <c r="P809" s="1" t="n">
        <f aca="false">IF($A809="","",SUMIFS(物件収支!$I:$I,物件収支!$A:$A,$A809,物件収支!$C:$C,$M809))</f>
        <v>0</v>
      </c>
      <c r="Q809" s="1" t="n">
        <f aca="false">IF($A809="","",SUMIFS(物件収支!$O:$O,物件収支!$A:$A,$A809,物件収支!$C:$C,$M809))</f>
        <v>0</v>
      </c>
      <c r="R809" s="1" t="str">
        <f aca="false">IF($A809="","",IF(P809=0,"",O809-P809))</f>
        <v/>
      </c>
      <c r="S809" s="1" t="str">
        <f aca="false">IF($A809="","",IF(R809="","",R809+Q809))</f>
        <v/>
      </c>
      <c r="T809" s="1" t="str">
        <f aca="false">IF($A809="","",IF(OR(S809="",N809&lt;=0),"",S809/1000*12/N809))</f>
        <v/>
      </c>
      <c r="U809" s="1" t="str">
        <f aca="false">IF($A809="","",IF(OR(T809="",J809=0,J809=""),"",T809/J809))</f>
        <v/>
      </c>
      <c r="V809" s="1" t="str">
        <f aca="false">IF($A809="","",IF(OR(R809="",N809&lt;=0,J809=0,J809=""),"",(R809/1000*12/N809)/J809))</f>
        <v/>
      </c>
      <c r="W809" s="1" t="str">
        <f aca="false">IF($A809="","",IF(OR(T809="",K809=0,K809=""),"",T809/K809))</f>
        <v/>
      </c>
      <c r="X809" s="1" t="n">
        <f aca="false">IF($A809="","",IF(OR(N809&lt;=0,I809=0,I809="",O809=0),"",O809*1000/(I809*0.3025)/N809))</f>
        <v>20454.5515133581</v>
      </c>
      <c r="Y809" s="1" t="str">
        <f aca="false">IF($A809="","",IF(OR(O809=0,O809="",P809=0),"",P809/O809))</f>
        <v/>
      </c>
      <c r="Z809" s="1" t="str">
        <f aca="false">IF($A809="","",IFERROR(INDEX(物件収支!$E:$E,MATCH($A809,物件収支!$A:$A,0)),""))</f>
        <v>開示（物件別・収益のみ・百万円単位）</v>
      </c>
    </row>
    <row r="810" customFormat="false" ht="16.5" hidden="false" customHeight="true" outlineLevel="0" collapsed="false">
      <c r="A810" s="1" t="str">
        <f aca="false">IF(物件マスタ!A810="","",物件マスタ!A810)</f>
        <v>KDX-070</v>
      </c>
      <c r="B810" s="1" t="str">
        <f aca="false">IF($A810="","",物件マスタ!B810)</f>
        <v>KDX</v>
      </c>
      <c r="C810" s="1" t="str">
        <f aca="false">IF($A810="","",IFERROR(INDEX(法人マスタ!$C:$C,MATCH($B810,法人マスタ!$A:$A,0)),""))</f>
        <v>ＫＤＸ不動産投資法人</v>
      </c>
      <c r="D810" s="1" t="str">
        <f aca="false">IF($A810="","",物件マスタ!C810)</f>
        <v>ポルタス・センタービル</v>
      </c>
      <c r="E810" s="1" t="str">
        <f aca="false">IF($A810="","",物件マスタ!H810)</f>
        <v>地方経済圏（KDX区分）</v>
      </c>
      <c r="F810" s="1" t="n">
        <f aca="false">IF($A810="","",物件マスタ!P810)</f>
        <v>0</v>
      </c>
      <c r="G810" s="1" t="str">
        <f aca="false">IF($A810="","",物件マスタ!Q810)</f>
        <v/>
      </c>
      <c r="H810" s="1" t="n">
        <f aca="false">IF($A810="","",物件マスタ!L810)</f>
        <v>0</v>
      </c>
      <c r="I810" s="1" t="n">
        <f aca="false">IF($A810="","",物件マスタ!M810)</f>
        <v>11519.93</v>
      </c>
      <c r="J810" s="1" t="n">
        <f aca="false">IF($A810="","",物件マスタ!S810)</f>
        <v>5570</v>
      </c>
      <c r="K810" s="1" t="n">
        <f aca="false">IF($A810="","",物件マスタ!U810)</f>
        <v>4730</v>
      </c>
      <c r="L810" s="1" t="n">
        <f aca="false">IF($A810="","",物件マスタ!W810)</f>
        <v>1</v>
      </c>
      <c r="M810" s="1" t="str">
        <f aca="false">IF($A810="","",IFERROR(INDEX(法人マスタ!$H:$H,MATCH($B810,法人マスタ!$A:$A,0)),""))</f>
        <v>2026年4月期（第42期）</v>
      </c>
      <c r="N810" s="1" t="n">
        <f aca="false">IF($A810="","",SUMIFS(物件収支!$D:$D,物件収支!$A:$A,$A810,物件収支!$C:$C,$M810))</f>
        <v>6</v>
      </c>
      <c r="O810" s="1" t="n">
        <f aca="false">IF($A810="","",SUMIFS(物件収支!$F:$F,物件収支!$A:$A,$A810,物件収支!$C:$C,$M810))</f>
        <v>268000</v>
      </c>
      <c r="P810" s="1" t="n">
        <f aca="false">IF($A810="","",SUMIFS(物件収支!$I:$I,物件収支!$A:$A,$A810,物件収支!$C:$C,$M810))</f>
        <v>0</v>
      </c>
      <c r="Q810" s="1" t="n">
        <f aca="false">IF($A810="","",SUMIFS(物件収支!$O:$O,物件収支!$A:$A,$A810,物件収支!$C:$C,$M810))</f>
        <v>0</v>
      </c>
      <c r="R810" s="1" t="str">
        <f aca="false">IF($A810="","",IF(P810=0,"",O810-P810))</f>
        <v/>
      </c>
      <c r="S810" s="1" t="str">
        <f aca="false">IF($A810="","",IF(R810="","",R810+Q810))</f>
        <v/>
      </c>
      <c r="T810" s="1" t="str">
        <f aca="false">IF($A810="","",IF(OR(S810="",N810&lt;=0),"",S810/1000*12/N810))</f>
        <v/>
      </c>
      <c r="U810" s="1" t="str">
        <f aca="false">IF($A810="","",IF(OR(T810="",J810=0,J810=""),"",T810/J810))</f>
        <v/>
      </c>
      <c r="V810" s="1" t="str">
        <f aca="false">IF($A810="","",IF(OR(R810="",N810&lt;=0,J810=0,J810=""),"",(R810/1000*12/N810)/J810))</f>
        <v/>
      </c>
      <c r="W810" s="1" t="str">
        <f aca="false">IF($A810="","",IF(OR(T810="",K810=0,K810=""),"",T810/K810))</f>
        <v/>
      </c>
      <c r="X810" s="1" t="n">
        <f aca="false">IF($A810="","",IF(OR(N810&lt;=0,I810=0,I810="",O810=0),"",O810*1000/(I810*0.3025)/N810))</f>
        <v>12817.6475207624</v>
      </c>
      <c r="Y810" s="1" t="str">
        <f aca="false">IF($A810="","",IF(OR(O810=0,O810="",P810=0),"",P810/O810))</f>
        <v/>
      </c>
      <c r="Z810" s="1" t="str">
        <f aca="false">IF($A810="","",IFERROR(INDEX(物件収支!$E:$E,MATCH($A810,物件収支!$A:$A,0)),""))</f>
        <v>開示（物件別・収益のみ・百万円単位）</v>
      </c>
    </row>
    <row r="811" customFormat="false" ht="16.5" hidden="false" customHeight="true" outlineLevel="0" collapsed="false">
      <c r="A811" s="1" t="str">
        <f aca="false">IF(物件マスタ!A811="","",物件マスタ!A811)</f>
        <v>KDX-071</v>
      </c>
      <c r="B811" s="1" t="str">
        <f aca="false">IF($A811="","",物件マスタ!B811)</f>
        <v>KDX</v>
      </c>
      <c r="C811" s="1" t="str">
        <f aca="false">IF($A811="","",IFERROR(INDEX(法人マスタ!$C:$C,MATCH($B811,法人マスタ!$A:$A,0)),""))</f>
        <v>ＫＤＸ不動産投資法人</v>
      </c>
      <c r="D811" s="1" t="str">
        <f aca="false">IF($A811="","",物件マスタ!C811)</f>
        <v>KDX烏丸ビル</v>
      </c>
      <c r="E811" s="1" t="str">
        <f aca="false">IF($A811="","",物件マスタ!H811)</f>
        <v>地方経済圏（KDX区分）</v>
      </c>
      <c r="F811" s="1" t="n">
        <f aca="false">IF($A811="","",物件マスタ!P811)</f>
        <v>0</v>
      </c>
      <c r="G811" s="1" t="str">
        <f aca="false">IF($A811="","",物件マスタ!Q811)</f>
        <v/>
      </c>
      <c r="H811" s="1" t="n">
        <f aca="false">IF($A811="","",物件マスタ!L811)</f>
        <v>0</v>
      </c>
      <c r="I811" s="1" t="n">
        <f aca="false">IF($A811="","",物件マスタ!M811)</f>
        <v>8730.2</v>
      </c>
      <c r="J811" s="1" t="n">
        <f aca="false">IF($A811="","",物件マスタ!S811)</f>
        <v>5400</v>
      </c>
      <c r="K811" s="1" t="n">
        <f aca="false">IF($A811="","",物件マスタ!U811)</f>
        <v>6480</v>
      </c>
      <c r="L811" s="1" t="n">
        <f aca="false">IF($A811="","",物件マスタ!W811)</f>
        <v>1</v>
      </c>
      <c r="M811" s="1" t="str">
        <f aca="false">IF($A811="","",IFERROR(INDEX(法人マスタ!$H:$H,MATCH($B811,法人マスタ!$A:$A,0)),""))</f>
        <v>2026年4月期（第42期）</v>
      </c>
      <c r="N811" s="1" t="n">
        <f aca="false">IF($A811="","",SUMIFS(物件収支!$D:$D,物件収支!$A:$A,$A811,物件収支!$C:$C,$M811))</f>
        <v>6</v>
      </c>
      <c r="O811" s="1" t="n">
        <f aca="false">IF($A811="","",SUMIFS(物件収支!$F:$F,物件収支!$A:$A,$A811,物件収支!$C:$C,$M811))</f>
        <v>247000</v>
      </c>
      <c r="P811" s="1" t="n">
        <f aca="false">IF($A811="","",SUMIFS(物件収支!$I:$I,物件収支!$A:$A,$A811,物件収支!$C:$C,$M811))</f>
        <v>0</v>
      </c>
      <c r="Q811" s="1" t="n">
        <f aca="false">IF($A811="","",SUMIFS(物件収支!$O:$O,物件収支!$A:$A,$A811,物件収支!$C:$C,$M811))</f>
        <v>0</v>
      </c>
      <c r="R811" s="1" t="str">
        <f aca="false">IF($A811="","",IF(P811=0,"",O811-P811))</f>
        <v/>
      </c>
      <c r="S811" s="1" t="str">
        <f aca="false">IF($A811="","",IF(R811="","",R811+Q811))</f>
        <v/>
      </c>
      <c r="T811" s="1" t="str">
        <f aca="false">IF($A811="","",IF(OR(S811="",N811&lt;=0),"",S811/1000*12/N811))</f>
        <v/>
      </c>
      <c r="U811" s="1" t="str">
        <f aca="false">IF($A811="","",IF(OR(T811="",J811=0,J811=""),"",T811/J811))</f>
        <v/>
      </c>
      <c r="V811" s="1" t="str">
        <f aca="false">IF($A811="","",IF(OR(R811="",N811&lt;=0,J811=0,J811=""),"",(R811/1000*12/N811)/J811))</f>
        <v/>
      </c>
      <c r="W811" s="1" t="str">
        <f aca="false">IF($A811="","",IF(OR(T811="",K811=0,K811=""),"",T811/K811))</f>
        <v/>
      </c>
      <c r="X811" s="1" t="n">
        <f aca="false">IF($A811="","",IF(OR(N811&lt;=0,I811=0,I811="",O811=0),"",O811*1000/(I811*0.3025)/N811))</f>
        <v>15588.2057994058</v>
      </c>
      <c r="Y811" s="1" t="str">
        <f aca="false">IF($A811="","",IF(OR(O811=0,O811="",P811=0),"",P811/O811))</f>
        <v/>
      </c>
      <c r="Z811" s="1" t="str">
        <f aca="false">IF($A811="","",IFERROR(INDEX(物件収支!$E:$E,MATCH($A811,物件収支!$A:$A,0)),""))</f>
        <v>開示（物件別・収益のみ・百万円単位）</v>
      </c>
    </row>
    <row r="812" customFormat="false" ht="16.5" hidden="false" customHeight="true" outlineLevel="0" collapsed="false">
      <c r="A812" s="1" t="str">
        <f aca="false">IF(物件マスタ!A812="","",物件マスタ!A812)</f>
        <v>KDX-072</v>
      </c>
      <c r="B812" s="1" t="str">
        <f aca="false">IF($A812="","",物件マスタ!B812)</f>
        <v>KDX</v>
      </c>
      <c r="C812" s="1" t="str">
        <f aca="false">IF($A812="","",IFERROR(INDEX(法人マスタ!$C:$C,MATCH($B812,法人マスタ!$A:$A,0)),""))</f>
        <v>ＫＤＸ不動産投資法人</v>
      </c>
      <c r="D812" s="1" t="str">
        <f aca="false">IF($A812="","",物件マスタ!C812)</f>
        <v>KDX仙台ビル</v>
      </c>
      <c r="E812" s="1" t="str">
        <f aca="false">IF($A812="","",物件マスタ!H812)</f>
        <v>地方経済圏（KDX区分）</v>
      </c>
      <c r="F812" s="1" t="n">
        <f aca="false">IF($A812="","",物件マスタ!P812)</f>
        <v>0</v>
      </c>
      <c r="G812" s="1" t="str">
        <f aca="false">IF($A812="","",物件マスタ!Q812)</f>
        <v/>
      </c>
      <c r="H812" s="1" t="n">
        <f aca="false">IF($A812="","",物件マスタ!L812)</f>
        <v>0</v>
      </c>
      <c r="I812" s="1" t="n">
        <f aca="false">IF($A812="","",物件マスタ!M812)</f>
        <v>3948.03</v>
      </c>
      <c r="J812" s="1" t="n">
        <f aca="false">IF($A812="","",物件マスタ!S812)</f>
        <v>2100</v>
      </c>
      <c r="K812" s="1" t="n">
        <f aca="false">IF($A812="","",物件マスタ!U812)</f>
        <v>2020</v>
      </c>
      <c r="L812" s="1" t="n">
        <f aca="false">IF($A812="","",物件マスタ!W812)</f>
        <v>1</v>
      </c>
      <c r="M812" s="1" t="str">
        <f aca="false">IF($A812="","",IFERROR(INDEX(法人マスタ!$H:$H,MATCH($B812,法人マスタ!$A:$A,0)),""))</f>
        <v>2026年4月期（第42期）</v>
      </c>
      <c r="N812" s="1" t="n">
        <f aca="false">IF($A812="","",SUMIFS(物件収支!$D:$D,物件収支!$A:$A,$A812,物件収支!$C:$C,$M812))</f>
        <v>6</v>
      </c>
      <c r="O812" s="1" t="n">
        <f aca="false">IF($A812="","",SUMIFS(物件収支!$F:$F,物件収支!$A:$A,$A812,物件収支!$C:$C,$M812))</f>
        <v>101000</v>
      </c>
      <c r="P812" s="1" t="n">
        <f aca="false">IF($A812="","",SUMIFS(物件収支!$I:$I,物件収支!$A:$A,$A812,物件収支!$C:$C,$M812))</f>
        <v>0</v>
      </c>
      <c r="Q812" s="1" t="n">
        <f aca="false">IF($A812="","",SUMIFS(物件収支!$O:$O,物件収支!$A:$A,$A812,物件収支!$C:$C,$M812))</f>
        <v>0</v>
      </c>
      <c r="R812" s="1" t="str">
        <f aca="false">IF($A812="","",IF(P812=0,"",O812-P812))</f>
        <v/>
      </c>
      <c r="S812" s="1" t="str">
        <f aca="false">IF($A812="","",IF(R812="","",R812+Q812))</f>
        <v/>
      </c>
      <c r="T812" s="1" t="str">
        <f aca="false">IF($A812="","",IF(OR(S812="",N812&lt;=0),"",S812/1000*12/N812))</f>
        <v/>
      </c>
      <c r="U812" s="1" t="str">
        <f aca="false">IF($A812="","",IF(OR(T812="",J812=0,J812=""),"",T812/J812))</f>
        <v/>
      </c>
      <c r="V812" s="1" t="str">
        <f aca="false">IF($A812="","",IF(OR(R812="",N812&lt;=0,J812=0,J812=""),"",(R812/1000*12/N812)/J812))</f>
        <v/>
      </c>
      <c r="W812" s="1" t="str">
        <f aca="false">IF($A812="","",IF(OR(T812="",K812=0,K812=""),"",T812/K812))</f>
        <v/>
      </c>
      <c r="X812" s="1" t="n">
        <f aca="false">IF($A812="","",IF(OR(N812&lt;=0,I812=0,I812="",O812=0),"",O812*1000/(I812*0.3025)/N812))</f>
        <v>14094.9746886701</v>
      </c>
      <c r="Y812" s="1" t="str">
        <f aca="false">IF($A812="","",IF(OR(O812=0,O812="",P812=0),"",P812/O812))</f>
        <v/>
      </c>
      <c r="Z812" s="1" t="str">
        <f aca="false">IF($A812="","",IFERROR(INDEX(物件収支!$E:$E,MATCH($A812,物件収支!$A:$A,0)),""))</f>
        <v>開示（物件別・収益のみ・百万円単位）</v>
      </c>
    </row>
    <row r="813" customFormat="false" ht="16.5" hidden="false" customHeight="true" outlineLevel="0" collapsed="false">
      <c r="A813" s="1" t="str">
        <f aca="false">IF(物件マスタ!A813="","",物件マスタ!A813)</f>
        <v>KDX-073</v>
      </c>
      <c r="B813" s="1" t="str">
        <f aca="false">IF($A813="","",物件マスタ!B813)</f>
        <v>KDX</v>
      </c>
      <c r="C813" s="1" t="str">
        <f aca="false">IF($A813="","",IFERROR(INDEX(法人マスタ!$C:$C,MATCH($B813,法人マスタ!$A:$A,0)),""))</f>
        <v>ＫＤＸ不動産投資法人</v>
      </c>
      <c r="D813" s="1" t="str">
        <f aca="false">IF($A813="","",物件マスタ!C813)</f>
        <v>KDX博多南ビル</v>
      </c>
      <c r="E813" s="1" t="str">
        <f aca="false">IF($A813="","",物件マスタ!H813)</f>
        <v>地方経済圏（KDX区分）</v>
      </c>
      <c r="F813" s="1" t="n">
        <f aca="false">IF($A813="","",物件マスタ!P813)</f>
        <v>0</v>
      </c>
      <c r="G813" s="1" t="str">
        <f aca="false">IF($A813="","",物件マスタ!Q813)</f>
        <v/>
      </c>
      <c r="H813" s="1" t="n">
        <f aca="false">IF($A813="","",物件マスタ!L813)</f>
        <v>0</v>
      </c>
      <c r="I813" s="1" t="n">
        <f aca="false">IF($A813="","",物件マスタ!M813)</f>
        <v>10106.4</v>
      </c>
      <c r="J813" s="1" t="n">
        <f aca="false">IF($A813="","",物件マスタ!S813)</f>
        <v>4900</v>
      </c>
      <c r="K813" s="1" t="n">
        <f aca="false">IF($A813="","",物件マスタ!U813)</f>
        <v>6080</v>
      </c>
      <c r="L813" s="1" t="n">
        <f aca="false">IF($A813="","",物件マスタ!W813)</f>
        <v>1</v>
      </c>
      <c r="M813" s="1" t="str">
        <f aca="false">IF($A813="","",IFERROR(INDEX(法人マスタ!$H:$H,MATCH($B813,法人マスタ!$A:$A,0)),""))</f>
        <v>2026年4月期（第42期）</v>
      </c>
      <c r="N813" s="1" t="n">
        <f aca="false">IF($A813="","",SUMIFS(物件収支!$D:$D,物件収支!$A:$A,$A813,物件収支!$C:$C,$M813))</f>
        <v>6</v>
      </c>
      <c r="O813" s="1" t="n">
        <f aca="false">IF($A813="","",SUMIFS(物件収支!$F:$F,物件収支!$A:$A,$A813,物件収支!$C:$C,$M813))</f>
        <v>236000</v>
      </c>
      <c r="P813" s="1" t="n">
        <f aca="false">IF($A813="","",SUMIFS(物件収支!$I:$I,物件収支!$A:$A,$A813,物件収支!$C:$C,$M813))</f>
        <v>0</v>
      </c>
      <c r="Q813" s="1" t="n">
        <f aca="false">IF($A813="","",SUMIFS(物件収支!$O:$O,物件収支!$A:$A,$A813,物件収支!$C:$C,$M813))</f>
        <v>0</v>
      </c>
      <c r="R813" s="1" t="str">
        <f aca="false">IF($A813="","",IF(P813=0,"",O813-P813))</f>
        <v/>
      </c>
      <c r="S813" s="1" t="str">
        <f aca="false">IF($A813="","",IF(R813="","",R813+Q813))</f>
        <v/>
      </c>
      <c r="T813" s="1" t="str">
        <f aca="false">IF($A813="","",IF(OR(S813="",N813&lt;=0),"",S813/1000*12/N813))</f>
        <v/>
      </c>
      <c r="U813" s="1" t="str">
        <f aca="false">IF($A813="","",IF(OR(T813="",J813=0,J813=""),"",T813/J813))</f>
        <v/>
      </c>
      <c r="V813" s="1" t="str">
        <f aca="false">IF($A813="","",IF(OR(R813="",N813&lt;=0,J813=0,J813=""),"",(R813/1000*12/N813)/J813))</f>
        <v/>
      </c>
      <c r="W813" s="1" t="str">
        <f aca="false">IF($A813="","",IF(OR(T813="",K813=0,K813=""),"",T813/K813))</f>
        <v/>
      </c>
      <c r="X813" s="1" t="n">
        <f aca="false">IF($A813="","",IF(OR(N813&lt;=0,I813=0,I813="",O813=0),"",O813*1000/(I813*0.3025)/N813))</f>
        <v>12865.8620487381</v>
      </c>
      <c r="Y813" s="1" t="str">
        <f aca="false">IF($A813="","",IF(OR(O813=0,O813="",P813=0),"",P813/O813))</f>
        <v/>
      </c>
      <c r="Z813" s="1" t="str">
        <f aca="false">IF($A813="","",IFERROR(INDEX(物件収支!$E:$E,MATCH($A813,物件収支!$A:$A,0)),""))</f>
        <v>開示（物件別・収益のみ・百万円単位）</v>
      </c>
    </row>
    <row r="814" customFormat="false" ht="16.5" hidden="false" customHeight="true" outlineLevel="0" collapsed="false">
      <c r="A814" s="1" t="str">
        <f aca="false">IF(物件マスタ!A814="","",物件マスタ!A814)</f>
        <v>KDX-074</v>
      </c>
      <c r="B814" s="1" t="str">
        <f aca="false">IF($A814="","",物件マスタ!B814)</f>
        <v>KDX</v>
      </c>
      <c r="C814" s="1" t="str">
        <f aca="false">IF($A814="","",IFERROR(INDEX(法人マスタ!$C:$C,MATCH($B814,法人マスタ!$A:$A,0)),""))</f>
        <v>ＫＤＸ不動産投資法人</v>
      </c>
      <c r="D814" s="1" t="str">
        <f aca="false">IF($A814="","",物件マスタ!C814)</f>
        <v>KDX小林道修町ビル</v>
      </c>
      <c r="E814" s="1" t="str">
        <f aca="false">IF($A814="","",物件マスタ!H814)</f>
        <v>地方経済圏（KDX区分）</v>
      </c>
      <c r="F814" s="1" t="n">
        <f aca="false">IF($A814="","",物件マスタ!P814)</f>
        <v>0</v>
      </c>
      <c r="G814" s="1" t="str">
        <f aca="false">IF($A814="","",物件マスタ!Q814)</f>
        <v/>
      </c>
      <c r="H814" s="1" t="n">
        <f aca="false">IF($A814="","",物件マスタ!L814)</f>
        <v>0</v>
      </c>
      <c r="I814" s="1" t="n">
        <f aca="false">IF($A814="","",物件マスタ!M814)</f>
        <v>7071.71</v>
      </c>
      <c r="J814" s="1" t="n">
        <f aca="false">IF($A814="","",物件マスタ!S814)</f>
        <v>2870</v>
      </c>
      <c r="K814" s="1" t="n">
        <f aca="false">IF($A814="","",物件マスタ!U814)</f>
        <v>2960</v>
      </c>
      <c r="L814" s="1" t="n">
        <f aca="false">IF($A814="","",物件マスタ!W814)</f>
        <v>1</v>
      </c>
      <c r="M814" s="1" t="str">
        <f aca="false">IF($A814="","",IFERROR(INDEX(法人マスタ!$H:$H,MATCH($B814,法人マスタ!$A:$A,0)),""))</f>
        <v>2026年4月期（第42期）</v>
      </c>
      <c r="N814" s="1" t="n">
        <f aca="false">IF($A814="","",SUMIFS(物件収支!$D:$D,物件収支!$A:$A,$A814,物件収支!$C:$C,$M814))</f>
        <v>6</v>
      </c>
      <c r="O814" s="1" t="n">
        <f aca="false">IF($A814="","",SUMIFS(物件収支!$F:$F,物件収支!$A:$A,$A814,物件収支!$C:$C,$M814))</f>
        <v>207000</v>
      </c>
      <c r="P814" s="1" t="n">
        <f aca="false">IF($A814="","",SUMIFS(物件収支!$I:$I,物件収支!$A:$A,$A814,物件収支!$C:$C,$M814))</f>
        <v>0</v>
      </c>
      <c r="Q814" s="1" t="n">
        <f aca="false">IF($A814="","",SUMIFS(物件収支!$O:$O,物件収支!$A:$A,$A814,物件収支!$C:$C,$M814))</f>
        <v>0</v>
      </c>
      <c r="R814" s="1" t="str">
        <f aca="false">IF($A814="","",IF(P814=0,"",O814-P814))</f>
        <v/>
      </c>
      <c r="S814" s="1" t="str">
        <f aca="false">IF($A814="","",IF(R814="","",R814+Q814))</f>
        <v/>
      </c>
      <c r="T814" s="1" t="str">
        <f aca="false">IF($A814="","",IF(OR(S814="",N814&lt;=0),"",S814/1000*12/N814))</f>
        <v/>
      </c>
      <c r="U814" s="1" t="str">
        <f aca="false">IF($A814="","",IF(OR(T814="",J814=0,J814=""),"",T814/J814))</f>
        <v/>
      </c>
      <c r="V814" s="1" t="str">
        <f aca="false">IF($A814="","",IF(OR(R814="",N814&lt;=0,J814=0,J814=""),"",(R814/1000*12/N814)/J814))</f>
        <v/>
      </c>
      <c r="W814" s="1" t="str">
        <f aca="false">IF($A814="","",IF(OR(T814="",K814=0,K814=""),"",T814/K814))</f>
        <v/>
      </c>
      <c r="X814" s="1" t="n">
        <f aca="false">IF($A814="","",IF(OR(N814&lt;=0,I814=0,I814="",O814=0),"",O814*1000/(I814*0.3025)/N814))</f>
        <v>16127.5825474828</v>
      </c>
      <c r="Y814" s="1" t="str">
        <f aca="false">IF($A814="","",IF(OR(O814=0,O814="",P814=0),"",P814/O814))</f>
        <v/>
      </c>
      <c r="Z814" s="1" t="str">
        <f aca="false">IF($A814="","",IFERROR(INDEX(物件収支!$E:$E,MATCH($A814,物件収支!$A:$A,0)),""))</f>
        <v>開示（物件別・収益のみ・百万円単位）</v>
      </c>
    </row>
    <row r="815" customFormat="false" ht="16.5" hidden="false" customHeight="true" outlineLevel="0" collapsed="false">
      <c r="A815" s="1" t="str">
        <f aca="false">IF(物件マスタ!A815="","",物件マスタ!A815)</f>
        <v>KDX-075</v>
      </c>
      <c r="B815" s="1" t="str">
        <f aca="false">IF($A815="","",物件マスタ!B815)</f>
        <v>KDX</v>
      </c>
      <c r="C815" s="1" t="str">
        <f aca="false">IF($A815="","",IFERROR(INDEX(法人マスタ!$C:$C,MATCH($B815,法人マスタ!$A:$A,0)),""))</f>
        <v>ＫＤＸ不動産投資法人</v>
      </c>
      <c r="D815" s="1" t="str">
        <f aca="false">IF($A815="","",物件マスタ!C815)</f>
        <v>KDX札幌ビル</v>
      </c>
      <c r="E815" s="1" t="str">
        <f aca="false">IF($A815="","",物件マスタ!H815)</f>
        <v>地方経済圏（KDX区分）</v>
      </c>
      <c r="F815" s="1" t="n">
        <f aca="false">IF($A815="","",物件マスタ!P815)</f>
        <v>0</v>
      </c>
      <c r="G815" s="1" t="str">
        <f aca="false">IF($A815="","",物件マスタ!Q815)</f>
        <v/>
      </c>
      <c r="H815" s="1" t="n">
        <f aca="false">IF($A815="","",物件マスタ!L815)</f>
        <v>0</v>
      </c>
      <c r="I815" s="1" t="n">
        <f aca="false">IF($A815="","",物件マスタ!M815)</f>
        <v>3779.73</v>
      </c>
      <c r="J815" s="1" t="n">
        <f aca="false">IF($A815="","",物件マスタ!S815)</f>
        <v>2005</v>
      </c>
      <c r="K815" s="1" t="n">
        <f aca="false">IF($A815="","",物件マスタ!U815)</f>
        <v>2810</v>
      </c>
      <c r="L815" s="1" t="n">
        <f aca="false">IF($A815="","",物件マスタ!W815)</f>
        <v>1</v>
      </c>
      <c r="M815" s="1" t="str">
        <f aca="false">IF($A815="","",IFERROR(INDEX(法人マスタ!$H:$H,MATCH($B815,法人マスタ!$A:$A,0)),""))</f>
        <v>2026年4月期（第42期）</v>
      </c>
      <c r="N815" s="1" t="n">
        <f aca="false">IF($A815="","",SUMIFS(物件収支!$D:$D,物件収支!$A:$A,$A815,物件収支!$C:$C,$M815))</f>
        <v>6</v>
      </c>
      <c r="O815" s="1" t="n">
        <f aca="false">IF($A815="","",SUMIFS(物件収支!$F:$F,物件収支!$A:$A,$A815,物件収支!$C:$C,$M815))</f>
        <v>124000</v>
      </c>
      <c r="P815" s="1" t="n">
        <f aca="false">IF($A815="","",SUMIFS(物件収支!$I:$I,物件収支!$A:$A,$A815,物件収支!$C:$C,$M815))</f>
        <v>0</v>
      </c>
      <c r="Q815" s="1" t="n">
        <f aca="false">IF($A815="","",SUMIFS(物件収支!$O:$O,物件収支!$A:$A,$A815,物件収支!$C:$C,$M815))</f>
        <v>0</v>
      </c>
      <c r="R815" s="1" t="str">
        <f aca="false">IF($A815="","",IF(P815=0,"",O815-P815))</f>
        <v/>
      </c>
      <c r="S815" s="1" t="str">
        <f aca="false">IF($A815="","",IF(R815="","",R815+Q815))</f>
        <v/>
      </c>
      <c r="T815" s="1" t="str">
        <f aca="false">IF($A815="","",IF(OR(S815="",N815&lt;=0),"",S815/1000*12/N815))</f>
        <v/>
      </c>
      <c r="U815" s="1" t="str">
        <f aca="false">IF($A815="","",IF(OR(T815="",J815=0,J815=""),"",T815/J815))</f>
        <v/>
      </c>
      <c r="V815" s="1" t="str">
        <f aca="false">IF($A815="","",IF(OR(R815="",N815&lt;=0,J815=0,J815=""),"",(R815/1000*12/N815)/J815))</f>
        <v/>
      </c>
      <c r="W815" s="1" t="str">
        <f aca="false">IF($A815="","",IF(OR(T815="",K815=0,K815=""),"",T815/K815))</f>
        <v/>
      </c>
      <c r="X815" s="1" t="n">
        <f aca="false">IF($A815="","",IF(OR(N815&lt;=0,I815=0,I815="",O815=0),"",O815*1000/(I815*0.3025)/N815))</f>
        <v>18075.2485570795</v>
      </c>
      <c r="Y815" s="1" t="str">
        <f aca="false">IF($A815="","",IF(OR(O815=0,O815="",P815=0),"",P815/O815))</f>
        <v/>
      </c>
      <c r="Z815" s="1" t="str">
        <f aca="false">IF($A815="","",IFERROR(INDEX(物件収支!$E:$E,MATCH($A815,物件収支!$A:$A,0)),""))</f>
        <v>開示（物件別・収益のみ・百万円単位）</v>
      </c>
    </row>
    <row r="816" customFormat="false" ht="16.5" hidden="false" customHeight="true" outlineLevel="0" collapsed="false">
      <c r="A816" s="1" t="str">
        <f aca="false">IF(物件マスタ!A816="","",物件マスタ!A816)</f>
        <v>KDX-076</v>
      </c>
      <c r="B816" s="1" t="str">
        <f aca="false">IF($A816="","",物件マスタ!B816)</f>
        <v>KDX</v>
      </c>
      <c r="C816" s="1" t="str">
        <f aca="false">IF($A816="","",IFERROR(INDEX(法人マスタ!$C:$C,MATCH($B816,法人マスタ!$A:$A,0)),""))</f>
        <v>ＫＤＸ不動産投資法人</v>
      </c>
      <c r="D816" s="1" t="str">
        <f aca="false">IF($A816="","",物件マスタ!C816)</f>
        <v>KDX名古屋駅前ビル</v>
      </c>
      <c r="E816" s="1" t="str">
        <f aca="false">IF($A816="","",物件マスタ!H816)</f>
        <v>地方経済圏（KDX区分）</v>
      </c>
      <c r="F816" s="1" t="n">
        <f aca="false">IF($A816="","",物件マスタ!P816)</f>
        <v>0</v>
      </c>
      <c r="G816" s="1" t="str">
        <f aca="false">IF($A816="","",物件マスタ!Q816)</f>
        <v/>
      </c>
      <c r="H816" s="1" t="n">
        <f aca="false">IF($A816="","",物件マスタ!L816)</f>
        <v>0</v>
      </c>
      <c r="I816" s="1" t="n">
        <f aca="false">IF($A816="","",物件マスタ!M816)</f>
        <v>7904.22</v>
      </c>
      <c r="J816" s="1" t="n">
        <f aca="false">IF($A816="","",物件マスタ!S816)</f>
        <v>7327</v>
      </c>
      <c r="K816" s="1" t="n">
        <f aca="false">IF($A816="","",物件マスタ!U816)</f>
        <v>10200</v>
      </c>
      <c r="L816" s="1" t="n">
        <f aca="false">IF($A816="","",物件マスタ!W816)</f>
        <v>0.99</v>
      </c>
      <c r="M816" s="1" t="str">
        <f aca="false">IF($A816="","",IFERROR(INDEX(法人マスタ!$H:$H,MATCH($B816,法人マスタ!$A:$A,0)),""))</f>
        <v>2026年4月期（第42期）</v>
      </c>
      <c r="N816" s="1" t="n">
        <f aca="false">IF($A816="","",SUMIFS(物件収支!$D:$D,物件収支!$A:$A,$A816,物件収支!$C:$C,$M816))</f>
        <v>6</v>
      </c>
      <c r="O816" s="1" t="n">
        <f aca="false">IF($A816="","",SUMIFS(物件収支!$F:$F,物件収支!$A:$A,$A816,物件収支!$C:$C,$M816))</f>
        <v>344000</v>
      </c>
      <c r="P816" s="1" t="n">
        <f aca="false">IF($A816="","",SUMIFS(物件収支!$I:$I,物件収支!$A:$A,$A816,物件収支!$C:$C,$M816))</f>
        <v>0</v>
      </c>
      <c r="Q816" s="1" t="n">
        <f aca="false">IF($A816="","",SUMIFS(物件収支!$O:$O,物件収支!$A:$A,$A816,物件収支!$C:$C,$M816))</f>
        <v>0</v>
      </c>
      <c r="R816" s="1" t="str">
        <f aca="false">IF($A816="","",IF(P816=0,"",O816-P816))</f>
        <v/>
      </c>
      <c r="S816" s="1" t="str">
        <f aca="false">IF($A816="","",IF(R816="","",R816+Q816))</f>
        <v/>
      </c>
      <c r="T816" s="1" t="str">
        <f aca="false">IF($A816="","",IF(OR(S816="",N816&lt;=0),"",S816/1000*12/N816))</f>
        <v/>
      </c>
      <c r="U816" s="1" t="str">
        <f aca="false">IF($A816="","",IF(OR(T816="",J816=0,J816=""),"",T816/J816))</f>
        <v/>
      </c>
      <c r="V816" s="1" t="str">
        <f aca="false">IF($A816="","",IF(OR(R816="",N816&lt;=0,J816=0,J816=""),"",(R816/1000*12/N816)/J816))</f>
        <v/>
      </c>
      <c r="W816" s="1" t="str">
        <f aca="false">IF($A816="","",IF(OR(T816="",K816=0,K816=""),"",T816/K816))</f>
        <v/>
      </c>
      <c r="X816" s="1" t="n">
        <f aca="false">IF($A816="","",IF(OR(N816&lt;=0,I816=0,I816="",O816=0),"",O816*1000/(I816*0.3025)/N816))</f>
        <v>23978.5431631168</v>
      </c>
      <c r="Y816" s="1" t="str">
        <f aca="false">IF($A816="","",IF(OR(O816=0,O816="",P816=0),"",P816/O816))</f>
        <v/>
      </c>
      <c r="Z816" s="1" t="str">
        <f aca="false">IF($A816="","",IFERROR(INDEX(物件収支!$E:$E,MATCH($A816,物件収支!$A:$A,0)),""))</f>
        <v>開示（物件別・収益のみ・百万円単位）</v>
      </c>
    </row>
    <row r="817" customFormat="false" ht="16.5" hidden="false" customHeight="true" outlineLevel="0" collapsed="false">
      <c r="A817" s="1" t="str">
        <f aca="false">IF(物件マスタ!A817="","",物件マスタ!A817)</f>
        <v>KDX-077</v>
      </c>
      <c r="B817" s="1" t="str">
        <f aca="false">IF($A817="","",物件マスタ!B817)</f>
        <v>KDX</v>
      </c>
      <c r="C817" s="1" t="str">
        <f aca="false">IF($A817="","",IFERROR(INDEX(法人マスタ!$C:$C,MATCH($B817,法人マスタ!$A:$A,0)),""))</f>
        <v>ＫＤＸ不動産投資法人</v>
      </c>
      <c r="D817" s="1" t="str">
        <f aca="false">IF($A817="","",物件マスタ!C817)</f>
        <v>KDX東梅田ビル</v>
      </c>
      <c r="E817" s="1" t="str">
        <f aca="false">IF($A817="","",物件マスタ!H817)</f>
        <v>地方経済圏（KDX区分）</v>
      </c>
      <c r="F817" s="1" t="n">
        <f aca="false">IF($A817="","",物件マスタ!P817)</f>
        <v>0</v>
      </c>
      <c r="G817" s="1" t="str">
        <f aca="false">IF($A817="","",物件マスタ!Q817)</f>
        <v/>
      </c>
      <c r="H817" s="1" t="n">
        <f aca="false">IF($A817="","",物件マスタ!L817)</f>
        <v>0</v>
      </c>
      <c r="I817" s="1" t="n">
        <f aca="false">IF($A817="","",物件マスタ!M817)</f>
        <v>4998.53</v>
      </c>
      <c r="J817" s="1" t="n">
        <f aca="false">IF($A817="","",物件マスタ!S817)</f>
        <v>2770</v>
      </c>
      <c r="K817" s="1" t="n">
        <f aca="false">IF($A817="","",物件マスタ!U817)</f>
        <v>4470</v>
      </c>
      <c r="L817" s="1" t="n">
        <f aca="false">IF($A817="","",物件マスタ!W817)</f>
        <v>1</v>
      </c>
      <c r="M817" s="1" t="str">
        <f aca="false">IF($A817="","",IFERROR(INDEX(法人マスタ!$H:$H,MATCH($B817,法人マスタ!$A:$A,0)),""))</f>
        <v>2026年4月期（第42期）</v>
      </c>
      <c r="N817" s="1" t="n">
        <f aca="false">IF($A817="","",SUMIFS(物件収支!$D:$D,物件収支!$A:$A,$A817,物件収支!$C:$C,$M817))</f>
        <v>6</v>
      </c>
      <c r="O817" s="1" t="n">
        <f aca="false">IF($A817="","",SUMIFS(物件収支!$F:$F,物件収支!$A:$A,$A817,物件収支!$C:$C,$M817))</f>
        <v>151000</v>
      </c>
      <c r="P817" s="1" t="n">
        <f aca="false">IF($A817="","",SUMIFS(物件収支!$I:$I,物件収支!$A:$A,$A817,物件収支!$C:$C,$M817))</f>
        <v>0</v>
      </c>
      <c r="Q817" s="1" t="n">
        <f aca="false">IF($A817="","",SUMIFS(物件収支!$O:$O,物件収支!$A:$A,$A817,物件収支!$C:$C,$M817))</f>
        <v>0</v>
      </c>
      <c r="R817" s="1" t="str">
        <f aca="false">IF($A817="","",IF(P817=0,"",O817-P817))</f>
        <v/>
      </c>
      <c r="S817" s="1" t="str">
        <f aca="false">IF($A817="","",IF(R817="","",R817+Q817))</f>
        <v/>
      </c>
      <c r="T817" s="1" t="str">
        <f aca="false">IF($A817="","",IF(OR(S817="",N817&lt;=0),"",S817/1000*12/N817))</f>
        <v/>
      </c>
      <c r="U817" s="1" t="str">
        <f aca="false">IF($A817="","",IF(OR(T817="",J817=0,J817=""),"",T817/J817))</f>
        <v/>
      </c>
      <c r="V817" s="1" t="str">
        <f aca="false">IF($A817="","",IF(OR(R817="",N817&lt;=0,J817=0,J817=""),"",(R817/1000*12/N817)/J817))</f>
        <v/>
      </c>
      <c r="W817" s="1" t="str">
        <f aca="false">IF($A817="","",IF(OR(T817="",K817=0,K817=""),"",T817/K817))</f>
        <v/>
      </c>
      <c r="X817" s="1" t="n">
        <f aca="false">IF($A817="","",IF(OR(N817&lt;=0,I817=0,I817="",O817=0),"",O817*1000/(I817*0.3025)/N817))</f>
        <v>16644.0117967685</v>
      </c>
      <c r="Y817" s="1" t="str">
        <f aca="false">IF($A817="","",IF(OR(O817=0,O817="",P817=0),"",P817/O817))</f>
        <v/>
      </c>
      <c r="Z817" s="1" t="str">
        <f aca="false">IF($A817="","",IFERROR(INDEX(物件収支!$E:$E,MATCH($A817,物件収支!$A:$A,0)),""))</f>
        <v>開示（物件別・収益のみ・百万円単位）</v>
      </c>
    </row>
    <row r="818" customFormat="false" ht="16.5" hidden="false" customHeight="true" outlineLevel="0" collapsed="false">
      <c r="A818" s="1" t="str">
        <f aca="false">IF(物件マスタ!A818="","",物件マスタ!A818)</f>
        <v>KDX-078</v>
      </c>
      <c r="B818" s="1" t="str">
        <f aca="false">IF($A818="","",物件マスタ!B818)</f>
        <v>KDX</v>
      </c>
      <c r="C818" s="1" t="str">
        <f aca="false">IF($A818="","",IFERROR(INDEX(法人マスタ!$C:$C,MATCH($B818,法人マスタ!$A:$A,0)),""))</f>
        <v>ＫＤＸ不動産投資法人</v>
      </c>
      <c r="D818" s="1" t="str">
        <f aca="false">IF($A818="","",物件マスタ!C818)</f>
        <v>KDX宇都宮ビル</v>
      </c>
      <c r="E818" s="1" t="str">
        <f aca="false">IF($A818="","",物件マスタ!H818)</f>
        <v>（期中譲渡済）</v>
      </c>
      <c r="F818" s="1" t="n">
        <f aca="false">IF($A818="","",物件マスタ!P818)</f>
        <v>0</v>
      </c>
      <c r="G818" s="1" t="str">
        <f aca="false">IF($A818="","",物件マスタ!Q818)</f>
        <v/>
      </c>
      <c r="H818" s="1" t="n">
        <f aca="false">IF($A818="","",物件マスタ!L818)</f>
        <v>0</v>
      </c>
      <c r="I818" s="1" t="n">
        <f aca="false">IF($A818="","",物件マスタ!M818)</f>
        <v>0</v>
      </c>
      <c r="J818" s="1" t="n">
        <f aca="false">IF($A818="","",物件マスタ!S818)</f>
        <v>0</v>
      </c>
      <c r="K818" s="1" t="n">
        <f aca="false">IF($A818="","",物件マスタ!U818)</f>
        <v>0</v>
      </c>
      <c r="L818" s="1" t="n">
        <f aca="false">IF($A818="","",物件マスタ!W818)</f>
        <v>0</v>
      </c>
      <c r="M818" s="1" t="str">
        <f aca="false">IF($A818="","",IFERROR(INDEX(法人マスタ!$H:$H,MATCH($B818,法人マスタ!$A:$A,0)),""))</f>
        <v>2026年4月期（第42期）</v>
      </c>
      <c r="N818" s="1" t="n">
        <f aca="false">IF($A818="","",SUMIFS(物件収支!$D:$D,物件収支!$A:$A,$A818,物件収支!$C:$C,$M818))</f>
        <v>6</v>
      </c>
      <c r="O818" s="1" t="n">
        <f aca="false">IF($A818="","",SUMIFS(物件収支!$F:$F,物件収支!$A:$A,$A818,物件収支!$C:$C,$M818))</f>
        <v>134000</v>
      </c>
      <c r="P818" s="1" t="n">
        <f aca="false">IF($A818="","",SUMIFS(物件収支!$I:$I,物件収支!$A:$A,$A818,物件収支!$C:$C,$M818))</f>
        <v>0</v>
      </c>
      <c r="Q818" s="1" t="n">
        <f aca="false">IF($A818="","",SUMIFS(物件収支!$O:$O,物件収支!$A:$A,$A818,物件収支!$C:$C,$M818))</f>
        <v>0</v>
      </c>
      <c r="R818" s="1" t="str">
        <f aca="false">IF($A818="","",IF(P818=0,"",O818-P818))</f>
        <v/>
      </c>
      <c r="S818" s="1" t="str">
        <f aca="false">IF($A818="","",IF(R818="","",R818+Q818))</f>
        <v/>
      </c>
      <c r="T818" s="1" t="str">
        <f aca="false">IF($A818="","",IF(OR(S818="",N818&lt;=0),"",S818/1000*12/N818))</f>
        <v/>
      </c>
      <c r="U818" s="1" t="str">
        <f aca="false">IF($A818="","",IF(OR(T818="",J818=0,J818=""),"",T818/J818))</f>
        <v/>
      </c>
      <c r="V818" s="1" t="str">
        <f aca="false">IF($A818="","",IF(OR(R818="",N818&lt;=0,J818=0,J818=""),"",(R818/1000*12/N818)/J818))</f>
        <v/>
      </c>
      <c r="W818" s="1" t="str">
        <f aca="false">IF($A818="","",IF(OR(T818="",K818=0,K818=""),"",T818/K818))</f>
        <v/>
      </c>
      <c r="X818" s="1" t="str">
        <f aca="false">IF($A818="","",IF(OR(N818&lt;=0,I818=0,I818="",O818=0),"",O818*1000/(I818*0.3025)/N818))</f>
        <v/>
      </c>
      <c r="Y818" s="1" t="str">
        <f aca="false">IF($A818="","",IF(OR(O818=0,O818="",P818=0),"",P818/O818))</f>
        <v/>
      </c>
      <c r="Z818" s="1" t="str">
        <f aca="false">IF($A818="","",IFERROR(INDEX(物件収支!$E:$E,MATCH($A818,物件収支!$A:$A,0)),""))</f>
        <v>開示（期中譲渡・収益のみ・百万円単位）</v>
      </c>
    </row>
    <row r="819" customFormat="false" ht="16.5" hidden="false" customHeight="true" outlineLevel="0" collapsed="false">
      <c r="A819" s="1" t="str">
        <f aca="false">IF(物件マスタ!A819="","",物件マスタ!A819)</f>
        <v>KDX-079</v>
      </c>
      <c r="B819" s="1" t="str">
        <f aca="false">IF($A819="","",物件マスタ!B819)</f>
        <v>KDX</v>
      </c>
      <c r="C819" s="1" t="str">
        <f aca="false">IF($A819="","",IFERROR(INDEX(法人マスタ!$C:$C,MATCH($B819,法人マスタ!$A:$A,0)),""))</f>
        <v>ＫＤＸ不動産投資法人</v>
      </c>
      <c r="D819" s="1" t="str">
        <f aca="false">IF($A819="","",物件マスタ!C819)</f>
        <v>KDX広島ビル</v>
      </c>
      <c r="E819" s="1" t="str">
        <f aca="false">IF($A819="","",物件マスタ!H819)</f>
        <v>地方経済圏（KDX区分）</v>
      </c>
      <c r="F819" s="1" t="n">
        <f aca="false">IF($A819="","",物件マスタ!P819)</f>
        <v>0</v>
      </c>
      <c r="G819" s="1" t="str">
        <f aca="false">IF($A819="","",物件マスタ!Q819)</f>
        <v/>
      </c>
      <c r="H819" s="1" t="n">
        <f aca="false">IF($A819="","",物件マスタ!L819)</f>
        <v>0</v>
      </c>
      <c r="I819" s="1" t="n">
        <f aca="false">IF($A819="","",物件マスタ!M819)</f>
        <v>4000.67</v>
      </c>
      <c r="J819" s="1" t="n">
        <f aca="false">IF($A819="","",物件マスタ!S819)</f>
        <v>1300</v>
      </c>
      <c r="K819" s="1" t="n">
        <f aca="false">IF($A819="","",物件マスタ!U819)</f>
        <v>2050</v>
      </c>
      <c r="L819" s="1" t="n">
        <f aca="false">IF($A819="","",物件マスタ!W819)</f>
        <v>1</v>
      </c>
      <c r="M819" s="1" t="str">
        <f aca="false">IF($A819="","",IFERROR(INDEX(法人マスタ!$H:$H,MATCH($B819,法人マスタ!$A:$A,0)),""))</f>
        <v>2026年4月期（第42期）</v>
      </c>
      <c r="N819" s="1" t="n">
        <f aca="false">IF($A819="","",SUMIFS(物件収支!$D:$D,物件収支!$A:$A,$A819,物件収支!$C:$C,$M819))</f>
        <v>6</v>
      </c>
      <c r="O819" s="1" t="n">
        <f aca="false">IF($A819="","",SUMIFS(物件収支!$F:$F,物件収支!$A:$A,$A819,物件収支!$C:$C,$M819))</f>
        <v>88000</v>
      </c>
      <c r="P819" s="1" t="n">
        <f aca="false">IF($A819="","",SUMIFS(物件収支!$I:$I,物件収支!$A:$A,$A819,物件収支!$C:$C,$M819))</f>
        <v>0</v>
      </c>
      <c r="Q819" s="1" t="n">
        <f aca="false">IF($A819="","",SUMIFS(物件収支!$O:$O,物件収支!$A:$A,$A819,物件収支!$C:$C,$M819))</f>
        <v>0</v>
      </c>
      <c r="R819" s="1" t="str">
        <f aca="false">IF($A819="","",IF(P819=0,"",O819-P819))</f>
        <v/>
      </c>
      <c r="S819" s="1" t="str">
        <f aca="false">IF($A819="","",IF(R819="","",R819+Q819))</f>
        <v/>
      </c>
      <c r="T819" s="1" t="str">
        <f aca="false">IF($A819="","",IF(OR(S819="",N819&lt;=0),"",S819/1000*12/N819))</f>
        <v/>
      </c>
      <c r="U819" s="1" t="str">
        <f aca="false">IF($A819="","",IF(OR(T819="",J819=0,J819=""),"",T819/J819))</f>
        <v/>
      </c>
      <c r="V819" s="1" t="str">
        <f aca="false">IF($A819="","",IF(OR(R819="",N819&lt;=0,J819=0,J819=""),"",(R819/1000*12/N819)/J819))</f>
        <v/>
      </c>
      <c r="W819" s="1" t="str">
        <f aca="false">IF($A819="","",IF(OR(T819="",K819=0,K819=""),"",T819/K819))</f>
        <v/>
      </c>
      <c r="X819" s="1" t="n">
        <f aca="false">IF($A819="","",IF(OR(N819&lt;=0,I819=0,I819="",O819=0),"",O819*1000/(I819*0.3025)/N819))</f>
        <v>12119.1821582006</v>
      </c>
      <c r="Y819" s="1" t="str">
        <f aca="false">IF($A819="","",IF(OR(O819=0,O819="",P819=0),"",P819/O819))</f>
        <v/>
      </c>
      <c r="Z819" s="1" t="str">
        <f aca="false">IF($A819="","",IFERROR(INDEX(物件収支!$E:$E,MATCH($A819,物件収支!$A:$A,0)),""))</f>
        <v>開示（物件別・収益のみ・百万円単位）</v>
      </c>
    </row>
    <row r="820" customFormat="false" ht="16.5" hidden="false" customHeight="true" outlineLevel="0" collapsed="false">
      <c r="A820" s="1" t="str">
        <f aca="false">IF(物件マスタ!A820="","",物件マスタ!A820)</f>
        <v>KDX-080</v>
      </c>
      <c r="B820" s="1" t="str">
        <f aca="false">IF($A820="","",物件マスタ!B820)</f>
        <v>KDX</v>
      </c>
      <c r="C820" s="1" t="str">
        <f aca="false">IF($A820="","",IFERROR(INDEX(法人マスタ!$C:$C,MATCH($B820,法人マスタ!$A:$A,0)),""))</f>
        <v>ＫＤＸ不動産投資法人</v>
      </c>
      <c r="D820" s="1" t="str">
        <f aca="false">IF($A820="","",物件マスタ!C820)</f>
        <v>千里ライフサイエンスセンタービル</v>
      </c>
      <c r="E820" s="1" t="str">
        <f aca="false">IF($A820="","",物件マスタ!H820)</f>
        <v>地方経済圏（KDX区分）</v>
      </c>
      <c r="F820" s="1" t="n">
        <f aca="false">IF($A820="","",物件マスタ!P820)</f>
        <v>0</v>
      </c>
      <c r="G820" s="1" t="str">
        <f aca="false">IF($A820="","",物件マスタ!Q820)</f>
        <v/>
      </c>
      <c r="H820" s="1" t="n">
        <f aca="false">IF($A820="","",物件マスタ!L820)</f>
        <v>0</v>
      </c>
      <c r="I820" s="1" t="n">
        <f aca="false">IF($A820="","",物件マスタ!M820)</f>
        <v>17443</v>
      </c>
      <c r="J820" s="1" t="n">
        <f aca="false">IF($A820="","",物件マスタ!S820)</f>
        <v>13000</v>
      </c>
      <c r="K820" s="1" t="n">
        <f aca="false">IF($A820="","",物件マスタ!U820)</f>
        <v>14200</v>
      </c>
      <c r="L820" s="1" t="n">
        <f aca="false">IF($A820="","",物件マスタ!W820)</f>
        <v>0.989</v>
      </c>
      <c r="M820" s="1" t="str">
        <f aca="false">IF($A820="","",IFERROR(INDEX(法人マスタ!$H:$H,MATCH($B820,法人マスタ!$A:$A,0)),""))</f>
        <v>2026年4月期（第42期）</v>
      </c>
      <c r="N820" s="1" t="n">
        <f aca="false">IF($A820="","",SUMIFS(物件収支!$D:$D,物件収支!$A:$A,$A820,物件収支!$C:$C,$M820))</f>
        <v>6</v>
      </c>
      <c r="O820" s="1" t="n">
        <f aca="false">IF($A820="","",SUMIFS(物件収支!$F:$F,物件収支!$A:$A,$A820,物件収支!$C:$C,$M820))</f>
        <v>706000</v>
      </c>
      <c r="P820" s="1" t="n">
        <f aca="false">IF($A820="","",SUMIFS(物件収支!$I:$I,物件収支!$A:$A,$A820,物件収支!$C:$C,$M820))</f>
        <v>0</v>
      </c>
      <c r="Q820" s="1" t="n">
        <f aca="false">IF($A820="","",SUMIFS(物件収支!$O:$O,物件収支!$A:$A,$A820,物件収支!$C:$C,$M820))</f>
        <v>0</v>
      </c>
      <c r="R820" s="1" t="str">
        <f aca="false">IF($A820="","",IF(P820=0,"",O820-P820))</f>
        <v/>
      </c>
      <c r="S820" s="1" t="str">
        <f aca="false">IF($A820="","",IF(R820="","",R820+Q820))</f>
        <v/>
      </c>
      <c r="T820" s="1" t="str">
        <f aca="false">IF($A820="","",IF(OR(S820="",N820&lt;=0),"",S820/1000*12/N820))</f>
        <v/>
      </c>
      <c r="U820" s="1" t="str">
        <f aca="false">IF($A820="","",IF(OR(T820="",J820=0,J820=""),"",T820/J820))</f>
        <v/>
      </c>
      <c r="V820" s="1" t="str">
        <f aca="false">IF($A820="","",IF(OR(R820="",N820&lt;=0,J820=0,J820=""),"",(R820/1000*12/N820)/J820))</f>
        <v/>
      </c>
      <c r="W820" s="1" t="str">
        <f aca="false">IF($A820="","",IF(OR(T820="",K820=0,K820=""),"",T820/K820))</f>
        <v/>
      </c>
      <c r="X820" s="1" t="n">
        <f aca="false">IF($A820="","",IF(OR(N820&lt;=0,I820=0,I820="",O820=0),"",O820*1000/(I820*0.3025)/N820))</f>
        <v>22300.1041250613</v>
      </c>
      <c r="Y820" s="1" t="str">
        <f aca="false">IF($A820="","",IF(OR(O820=0,O820="",P820=0),"",P820/O820))</f>
        <v/>
      </c>
      <c r="Z820" s="1" t="str">
        <f aca="false">IF($A820="","",IFERROR(INDEX(物件収支!$E:$E,MATCH($A820,物件収支!$A:$A,0)),""))</f>
        <v>開示（物件別・収益のみ・百万円単位）</v>
      </c>
    </row>
    <row r="821" customFormat="false" ht="16.5" hidden="false" customHeight="true" outlineLevel="0" collapsed="false">
      <c r="A821" s="1" t="str">
        <f aca="false">IF(物件マスタ!A821="","",物件マスタ!A821)</f>
        <v>KDX-081</v>
      </c>
      <c r="B821" s="1" t="str">
        <f aca="false">IF($A821="","",物件マスタ!B821)</f>
        <v>KDX</v>
      </c>
      <c r="C821" s="1" t="str">
        <f aca="false">IF($A821="","",IFERROR(INDEX(法人マスタ!$C:$C,MATCH($B821,法人マスタ!$A:$A,0)),""))</f>
        <v>ＫＤＸ不動産投資法人</v>
      </c>
      <c r="D821" s="1" t="str">
        <f aca="false">IF($A821="","",物件マスタ!C821)</f>
        <v>KDX南本町ビル</v>
      </c>
      <c r="E821" s="1" t="str">
        <f aca="false">IF($A821="","",物件マスタ!H821)</f>
        <v>地方経済圏（KDX区分）</v>
      </c>
      <c r="F821" s="1" t="n">
        <f aca="false">IF($A821="","",物件マスタ!P821)</f>
        <v>0</v>
      </c>
      <c r="G821" s="1" t="str">
        <f aca="false">IF($A821="","",物件マスタ!Q821)</f>
        <v/>
      </c>
      <c r="H821" s="1" t="n">
        <f aca="false">IF($A821="","",物件マスタ!L821)</f>
        <v>0</v>
      </c>
      <c r="I821" s="1" t="n">
        <f aca="false">IF($A821="","",物件マスタ!M821)</f>
        <v>5280.02</v>
      </c>
      <c r="J821" s="1" t="n">
        <f aca="false">IF($A821="","",物件マスタ!S821)</f>
        <v>2200</v>
      </c>
      <c r="K821" s="1" t="n">
        <f aca="false">IF($A821="","",物件マスタ!U821)</f>
        <v>3700</v>
      </c>
      <c r="L821" s="1" t="n">
        <f aca="false">IF($A821="","",物件マスタ!W821)</f>
        <v>1</v>
      </c>
      <c r="M821" s="1" t="str">
        <f aca="false">IF($A821="","",IFERROR(INDEX(法人マスタ!$H:$H,MATCH($B821,法人マスタ!$A:$A,0)),""))</f>
        <v>2026年4月期（第42期）</v>
      </c>
      <c r="N821" s="1" t="n">
        <f aca="false">IF($A821="","",SUMIFS(物件収支!$D:$D,物件収支!$A:$A,$A821,物件収支!$C:$C,$M821))</f>
        <v>6</v>
      </c>
      <c r="O821" s="1" t="n">
        <f aca="false">IF($A821="","",SUMIFS(物件収支!$F:$F,物件収支!$A:$A,$A821,物件収支!$C:$C,$M821))</f>
        <v>113000</v>
      </c>
      <c r="P821" s="1" t="n">
        <f aca="false">IF($A821="","",SUMIFS(物件収支!$I:$I,物件収支!$A:$A,$A821,物件収支!$C:$C,$M821))</f>
        <v>0</v>
      </c>
      <c r="Q821" s="1" t="n">
        <f aca="false">IF($A821="","",SUMIFS(物件収支!$O:$O,物件収支!$A:$A,$A821,物件収支!$C:$C,$M821))</f>
        <v>0</v>
      </c>
      <c r="R821" s="1" t="str">
        <f aca="false">IF($A821="","",IF(P821=0,"",O821-P821))</f>
        <v/>
      </c>
      <c r="S821" s="1" t="str">
        <f aca="false">IF($A821="","",IF(R821="","",R821+Q821))</f>
        <v/>
      </c>
      <c r="T821" s="1" t="str">
        <f aca="false">IF($A821="","",IF(OR(S821="",N821&lt;=0),"",S821/1000*12/N821))</f>
        <v/>
      </c>
      <c r="U821" s="1" t="str">
        <f aca="false">IF($A821="","",IF(OR(T821="",J821=0,J821=""),"",T821/J821))</f>
        <v/>
      </c>
      <c r="V821" s="1" t="str">
        <f aca="false">IF($A821="","",IF(OR(R821="",N821&lt;=0,J821=0,J821=""),"",(R821/1000*12/N821)/J821))</f>
        <v/>
      </c>
      <c r="W821" s="1" t="str">
        <f aca="false">IF($A821="","",IF(OR(T821="",K821=0,K821=""),"",T821/K821))</f>
        <v/>
      </c>
      <c r="X821" s="1" t="n">
        <f aca="false">IF($A821="","",IF(OR(N821&lt;=0,I821=0,I821="",O821=0),"",O821*1000/(I821*0.3025)/N821))</f>
        <v>11791.4237385548</v>
      </c>
      <c r="Y821" s="1" t="str">
        <f aca="false">IF($A821="","",IF(OR(O821=0,O821="",P821=0),"",P821/O821))</f>
        <v/>
      </c>
      <c r="Z821" s="1" t="str">
        <f aca="false">IF($A821="","",IFERROR(INDEX(物件収支!$E:$E,MATCH($A821,物件収支!$A:$A,0)),""))</f>
        <v>開示（物件別・収益のみ・百万円単位）</v>
      </c>
    </row>
    <row r="822" customFormat="false" ht="16.5" hidden="false" customHeight="true" outlineLevel="0" collapsed="false">
      <c r="A822" s="1" t="str">
        <f aca="false">IF(物件マスタ!A822="","",物件マスタ!A822)</f>
        <v>KDX-082</v>
      </c>
      <c r="B822" s="1" t="str">
        <f aca="false">IF($A822="","",物件マスタ!B822)</f>
        <v>KDX</v>
      </c>
      <c r="C822" s="1" t="str">
        <f aca="false">IF($A822="","",IFERROR(INDEX(法人マスタ!$C:$C,MATCH($B822,法人マスタ!$A:$A,0)),""))</f>
        <v>ＫＤＸ不動産投資法人</v>
      </c>
      <c r="D822" s="1" t="str">
        <f aca="false">IF($A822="","",物件マスタ!C822)</f>
        <v>KDX桜通ビル</v>
      </c>
      <c r="E822" s="1" t="str">
        <f aca="false">IF($A822="","",物件マスタ!H822)</f>
        <v>地方経済圏（KDX区分）</v>
      </c>
      <c r="F822" s="1" t="n">
        <f aca="false">IF($A822="","",物件マスタ!P822)</f>
        <v>0</v>
      </c>
      <c r="G822" s="1" t="str">
        <f aca="false">IF($A822="","",物件マスタ!Q822)</f>
        <v/>
      </c>
      <c r="H822" s="1" t="n">
        <f aca="false">IF($A822="","",物件マスタ!L822)</f>
        <v>0</v>
      </c>
      <c r="I822" s="1" t="n">
        <f aca="false">IF($A822="","",物件マスタ!M822)</f>
        <v>12314.52</v>
      </c>
      <c r="J822" s="1" t="n">
        <f aca="false">IF($A822="","",物件マスタ!S822)</f>
        <v>5900</v>
      </c>
      <c r="K822" s="1" t="n">
        <f aca="false">IF($A822="","",物件マスタ!U822)</f>
        <v>8120</v>
      </c>
      <c r="L822" s="1" t="n">
        <f aca="false">IF($A822="","",物件マスタ!W822)</f>
        <v>1</v>
      </c>
      <c r="M822" s="1" t="str">
        <f aca="false">IF($A822="","",IFERROR(INDEX(法人マスタ!$H:$H,MATCH($B822,法人マスタ!$A:$A,0)),""))</f>
        <v>2026年4月期（第42期）</v>
      </c>
      <c r="N822" s="1" t="n">
        <f aca="false">IF($A822="","",SUMIFS(物件収支!$D:$D,物件収支!$A:$A,$A822,物件収支!$C:$C,$M822))</f>
        <v>6</v>
      </c>
      <c r="O822" s="1" t="n">
        <f aca="false">IF($A822="","",SUMIFS(物件収支!$F:$F,物件収支!$A:$A,$A822,物件収支!$C:$C,$M822))</f>
        <v>389000</v>
      </c>
      <c r="P822" s="1" t="n">
        <f aca="false">IF($A822="","",SUMIFS(物件収支!$I:$I,物件収支!$A:$A,$A822,物件収支!$C:$C,$M822))</f>
        <v>0</v>
      </c>
      <c r="Q822" s="1" t="n">
        <f aca="false">IF($A822="","",SUMIFS(物件収支!$O:$O,物件収支!$A:$A,$A822,物件収支!$C:$C,$M822))</f>
        <v>0</v>
      </c>
      <c r="R822" s="1" t="str">
        <f aca="false">IF($A822="","",IF(P822=0,"",O822-P822))</f>
        <v/>
      </c>
      <c r="S822" s="1" t="str">
        <f aca="false">IF($A822="","",IF(R822="","",R822+Q822))</f>
        <v/>
      </c>
      <c r="T822" s="1" t="str">
        <f aca="false">IF($A822="","",IF(OR(S822="",N822&lt;=0),"",S822/1000*12/N822))</f>
        <v/>
      </c>
      <c r="U822" s="1" t="str">
        <f aca="false">IF($A822="","",IF(OR(T822="",J822=0,J822=""),"",T822/J822))</f>
        <v/>
      </c>
      <c r="V822" s="1" t="str">
        <f aca="false">IF($A822="","",IF(OR(R822="",N822&lt;=0,J822=0,J822=""),"",(R822/1000*12/N822)/J822))</f>
        <v/>
      </c>
      <c r="W822" s="1" t="str">
        <f aca="false">IF($A822="","",IF(OR(T822="",K822=0,K822=""),"",T822/K822))</f>
        <v/>
      </c>
      <c r="X822" s="1" t="n">
        <f aca="false">IF($A822="","",IF(OR(N822&lt;=0,I822=0,I822="",O822=0),"",O822*1000/(I822*0.3025)/N822))</f>
        <v>17404.2568342512</v>
      </c>
      <c r="Y822" s="1" t="str">
        <f aca="false">IF($A822="","",IF(OR(O822=0,O822="",P822=0),"",P822/O822))</f>
        <v/>
      </c>
      <c r="Z822" s="1" t="str">
        <f aca="false">IF($A822="","",IFERROR(INDEX(物件収支!$E:$E,MATCH($A822,物件収支!$A:$A,0)),""))</f>
        <v>開示（物件別・収益のみ・百万円単位）</v>
      </c>
    </row>
    <row r="823" customFormat="false" ht="16.5" hidden="false" customHeight="true" outlineLevel="0" collapsed="false">
      <c r="A823" s="1" t="str">
        <f aca="false">IF(物件マスタ!A823="","",物件マスタ!A823)</f>
        <v>KDX-083</v>
      </c>
      <c r="B823" s="1" t="str">
        <f aca="false">IF($A823="","",物件マスタ!B823)</f>
        <v>KDX</v>
      </c>
      <c r="C823" s="1" t="str">
        <f aca="false">IF($A823="","",IFERROR(INDEX(法人マスタ!$C:$C,MATCH($B823,法人マスタ!$A:$A,0)),""))</f>
        <v>ＫＤＸ不動産投資法人</v>
      </c>
      <c r="D823" s="1" t="str">
        <f aca="false">IF($A823="","",物件マスタ!C823)</f>
        <v>KDX新大阪ビル</v>
      </c>
      <c r="E823" s="1" t="str">
        <f aca="false">IF($A823="","",物件マスタ!H823)</f>
        <v>地方経済圏（KDX区分）</v>
      </c>
      <c r="F823" s="1" t="n">
        <f aca="false">IF($A823="","",物件マスタ!P823)</f>
        <v>0</v>
      </c>
      <c r="G823" s="1" t="str">
        <f aca="false">IF($A823="","",物件マスタ!Q823)</f>
        <v/>
      </c>
      <c r="H823" s="1" t="n">
        <f aca="false">IF($A823="","",物件マスタ!L823)</f>
        <v>0</v>
      </c>
      <c r="I823" s="1" t="n">
        <f aca="false">IF($A823="","",物件マスタ!M823)</f>
        <v>5985.76</v>
      </c>
      <c r="J823" s="1" t="n">
        <f aca="false">IF($A823="","",物件マスタ!S823)</f>
        <v>4550</v>
      </c>
      <c r="K823" s="1" t="n">
        <f aca="false">IF($A823="","",物件マスタ!U823)</f>
        <v>5950</v>
      </c>
      <c r="L823" s="1" t="n">
        <f aca="false">IF($A823="","",物件マスタ!W823)</f>
        <v>1</v>
      </c>
      <c r="M823" s="1" t="str">
        <f aca="false">IF($A823="","",IFERROR(INDEX(法人マスタ!$H:$H,MATCH($B823,法人マスタ!$A:$A,0)),""))</f>
        <v>2026年4月期（第42期）</v>
      </c>
      <c r="N823" s="1" t="n">
        <f aca="false">IF($A823="","",SUMIFS(物件収支!$D:$D,物件収支!$A:$A,$A823,物件収支!$C:$C,$M823))</f>
        <v>6</v>
      </c>
      <c r="O823" s="1" t="n">
        <f aca="false">IF($A823="","",SUMIFS(物件収支!$F:$F,物件収支!$A:$A,$A823,物件収支!$C:$C,$M823))</f>
        <v>180000</v>
      </c>
      <c r="P823" s="1" t="n">
        <f aca="false">IF($A823="","",SUMIFS(物件収支!$I:$I,物件収支!$A:$A,$A823,物件収支!$C:$C,$M823))</f>
        <v>0</v>
      </c>
      <c r="Q823" s="1" t="n">
        <f aca="false">IF($A823="","",SUMIFS(物件収支!$O:$O,物件収支!$A:$A,$A823,物件収支!$C:$C,$M823))</f>
        <v>0</v>
      </c>
      <c r="R823" s="1" t="str">
        <f aca="false">IF($A823="","",IF(P823=0,"",O823-P823))</f>
        <v/>
      </c>
      <c r="S823" s="1" t="str">
        <f aca="false">IF($A823="","",IF(R823="","",R823+Q823))</f>
        <v/>
      </c>
      <c r="T823" s="1" t="str">
        <f aca="false">IF($A823="","",IF(OR(S823="",N823&lt;=0),"",S823/1000*12/N823))</f>
        <v/>
      </c>
      <c r="U823" s="1" t="str">
        <f aca="false">IF($A823="","",IF(OR(T823="",J823=0,J823=""),"",T823/J823))</f>
        <v/>
      </c>
      <c r="V823" s="1" t="str">
        <f aca="false">IF($A823="","",IF(OR(R823="",N823&lt;=0,J823=0,J823=""),"",(R823/1000*12/N823)/J823))</f>
        <v/>
      </c>
      <c r="W823" s="1" t="str">
        <f aca="false">IF($A823="","",IF(OR(T823="",K823=0,K823=""),"",T823/K823))</f>
        <v/>
      </c>
      <c r="X823" s="1" t="n">
        <f aca="false">IF($A823="","",IF(OR(N823&lt;=0,I823=0,I823="",O823=0),"",O823*1000/(I823*0.3025)/N823))</f>
        <v>16568.2475941248</v>
      </c>
      <c r="Y823" s="1" t="str">
        <f aca="false">IF($A823="","",IF(OR(O823=0,O823="",P823=0),"",P823/O823))</f>
        <v/>
      </c>
      <c r="Z823" s="1" t="str">
        <f aca="false">IF($A823="","",IFERROR(INDEX(物件収支!$E:$E,MATCH($A823,物件収支!$A:$A,0)),""))</f>
        <v>開示（物件別・収益のみ・百万円単位）</v>
      </c>
    </row>
    <row r="824" customFormat="false" ht="16.5" hidden="false" customHeight="true" outlineLevel="0" collapsed="false">
      <c r="A824" s="1" t="str">
        <f aca="false">IF(物件マスタ!A824="","",物件マスタ!A824)</f>
        <v>KDX-084</v>
      </c>
      <c r="B824" s="1" t="str">
        <f aca="false">IF($A824="","",物件マスタ!B824)</f>
        <v>KDX</v>
      </c>
      <c r="C824" s="1" t="str">
        <f aca="false">IF($A824="","",IFERROR(INDEX(法人マスタ!$C:$C,MATCH($B824,法人マスタ!$A:$A,0)),""))</f>
        <v>ＫＤＸ不動産投資法人</v>
      </c>
      <c r="D824" s="1" t="str">
        <f aca="false">IF($A824="","",物件マスタ!C824)</f>
        <v>KDX名古屋日銀前ビル</v>
      </c>
      <c r="E824" s="1" t="str">
        <f aca="false">IF($A824="","",物件マスタ!H824)</f>
        <v>地方経済圏（KDX区分）</v>
      </c>
      <c r="F824" s="1" t="n">
        <f aca="false">IF($A824="","",物件マスタ!P824)</f>
        <v>0</v>
      </c>
      <c r="G824" s="1" t="str">
        <f aca="false">IF($A824="","",物件マスタ!Q824)</f>
        <v/>
      </c>
      <c r="H824" s="1" t="n">
        <f aca="false">IF($A824="","",物件マスタ!L824)</f>
        <v>0</v>
      </c>
      <c r="I824" s="1" t="n">
        <f aca="false">IF($A824="","",物件マスタ!M824)</f>
        <v>4363.96</v>
      </c>
      <c r="J824" s="1" t="n">
        <f aca="false">IF($A824="","",物件マスタ!S824)</f>
        <v>3500</v>
      </c>
      <c r="K824" s="1" t="n">
        <f aca="false">IF($A824="","",物件マスタ!U824)</f>
        <v>4350</v>
      </c>
      <c r="L824" s="1" t="n">
        <f aca="false">IF($A824="","",物件マスタ!W824)</f>
        <v>0.931</v>
      </c>
      <c r="M824" s="1" t="str">
        <f aca="false">IF($A824="","",IFERROR(INDEX(法人マスタ!$H:$H,MATCH($B824,法人マスタ!$A:$A,0)),""))</f>
        <v>2026年4月期（第42期）</v>
      </c>
      <c r="N824" s="1" t="n">
        <f aca="false">IF($A824="","",SUMIFS(物件収支!$D:$D,物件収支!$A:$A,$A824,物件収支!$C:$C,$M824))</f>
        <v>6</v>
      </c>
      <c r="O824" s="1" t="n">
        <f aca="false">IF($A824="","",SUMIFS(物件収支!$F:$F,物件収支!$A:$A,$A824,物件収支!$C:$C,$M824))</f>
        <v>108000</v>
      </c>
      <c r="P824" s="1" t="n">
        <f aca="false">IF($A824="","",SUMIFS(物件収支!$I:$I,物件収支!$A:$A,$A824,物件収支!$C:$C,$M824))</f>
        <v>0</v>
      </c>
      <c r="Q824" s="1" t="n">
        <f aca="false">IF($A824="","",SUMIFS(物件収支!$O:$O,物件収支!$A:$A,$A824,物件収支!$C:$C,$M824))</f>
        <v>0</v>
      </c>
      <c r="R824" s="1" t="str">
        <f aca="false">IF($A824="","",IF(P824=0,"",O824-P824))</f>
        <v/>
      </c>
      <c r="S824" s="1" t="str">
        <f aca="false">IF($A824="","",IF(R824="","",R824+Q824))</f>
        <v/>
      </c>
      <c r="T824" s="1" t="str">
        <f aca="false">IF($A824="","",IF(OR(S824="",N824&lt;=0),"",S824/1000*12/N824))</f>
        <v/>
      </c>
      <c r="U824" s="1" t="str">
        <f aca="false">IF($A824="","",IF(OR(T824="",J824=0,J824=""),"",T824/J824))</f>
        <v/>
      </c>
      <c r="V824" s="1" t="str">
        <f aca="false">IF($A824="","",IF(OR(R824="",N824&lt;=0,J824=0,J824=""),"",(R824/1000*12/N824)/J824))</f>
        <v/>
      </c>
      <c r="W824" s="1" t="str">
        <f aca="false">IF($A824="","",IF(OR(T824="",K824=0,K824=""),"",T824/K824))</f>
        <v/>
      </c>
      <c r="X824" s="1" t="n">
        <f aca="false">IF($A824="","",IF(OR(N824&lt;=0,I824=0,I824="",O824=0),"",O824*1000/(I824*0.3025)/N824))</f>
        <v>13635.3523477312</v>
      </c>
      <c r="Y824" s="1" t="str">
        <f aca="false">IF($A824="","",IF(OR(O824=0,O824="",P824=0),"",P824/O824))</f>
        <v/>
      </c>
      <c r="Z824" s="1" t="str">
        <f aca="false">IF($A824="","",IFERROR(INDEX(物件収支!$E:$E,MATCH($A824,物件収支!$A:$A,0)),""))</f>
        <v>開示（物件別・収益のみ・百万円単位）</v>
      </c>
    </row>
    <row r="825" customFormat="false" ht="16.5" hidden="false" customHeight="true" outlineLevel="0" collapsed="false">
      <c r="A825" s="1" t="str">
        <f aca="false">IF(物件マスタ!A825="","",物件マスタ!A825)</f>
        <v>KDX-085</v>
      </c>
      <c r="B825" s="1" t="str">
        <f aca="false">IF($A825="","",物件マスタ!B825)</f>
        <v>KDX</v>
      </c>
      <c r="C825" s="1" t="str">
        <f aca="false">IF($A825="","",IFERROR(INDEX(法人マスタ!$C:$C,MATCH($B825,法人マスタ!$A:$A,0)),""))</f>
        <v>ＫＤＸ不動産投資法人</v>
      </c>
      <c r="D825" s="1" t="str">
        <f aca="false">IF($A825="","",物件マスタ!C825)</f>
        <v>KDX札幌北口ビル</v>
      </c>
      <c r="E825" s="1" t="str">
        <f aca="false">IF($A825="","",物件マスタ!H825)</f>
        <v>地方経済圏（KDX区分）</v>
      </c>
      <c r="F825" s="1" t="n">
        <f aca="false">IF($A825="","",物件マスタ!P825)</f>
        <v>0</v>
      </c>
      <c r="G825" s="1" t="str">
        <f aca="false">IF($A825="","",物件マスタ!Q825)</f>
        <v/>
      </c>
      <c r="H825" s="1" t="n">
        <f aca="false">IF($A825="","",物件マスタ!L825)</f>
        <v>0</v>
      </c>
      <c r="I825" s="1" t="n">
        <f aca="false">IF($A825="","",物件マスタ!M825)</f>
        <v>3318.81</v>
      </c>
      <c r="J825" s="1" t="n">
        <f aca="false">IF($A825="","",物件マスタ!S825)</f>
        <v>1800</v>
      </c>
      <c r="K825" s="1" t="n">
        <f aca="false">IF($A825="","",物件マスタ!U825)</f>
        <v>2530</v>
      </c>
      <c r="L825" s="1" t="n">
        <f aca="false">IF($A825="","",物件マスタ!W825)</f>
        <v>1</v>
      </c>
      <c r="M825" s="1" t="str">
        <f aca="false">IF($A825="","",IFERROR(INDEX(法人マスタ!$H:$H,MATCH($B825,法人マスタ!$A:$A,0)),""))</f>
        <v>2026年4月期（第42期）</v>
      </c>
      <c r="N825" s="1" t="n">
        <f aca="false">IF($A825="","",SUMIFS(物件収支!$D:$D,物件収支!$A:$A,$A825,物件収支!$C:$C,$M825))</f>
        <v>6</v>
      </c>
      <c r="O825" s="1" t="n">
        <f aca="false">IF($A825="","",SUMIFS(物件収支!$F:$F,物件収支!$A:$A,$A825,物件収支!$C:$C,$M825))</f>
        <v>107000</v>
      </c>
      <c r="P825" s="1" t="n">
        <f aca="false">IF($A825="","",SUMIFS(物件収支!$I:$I,物件収支!$A:$A,$A825,物件収支!$C:$C,$M825))</f>
        <v>0</v>
      </c>
      <c r="Q825" s="1" t="n">
        <f aca="false">IF($A825="","",SUMIFS(物件収支!$O:$O,物件収支!$A:$A,$A825,物件収支!$C:$C,$M825))</f>
        <v>0</v>
      </c>
      <c r="R825" s="1" t="str">
        <f aca="false">IF($A825="","",IF(P825=0,"",O825-P825))</f>
        <v/>
      </c>
      <c r="S825" s="1" t="str">
        <f aca="false">IF($A825="","",IF(R825="","",R825+Q825))</f>
        <v/>
      </c>
      <c r="T825" s="1" t="str">
        <f aca="false">IF($A825="","",IF(OR(S825="",N825&lt;=0),"",S825/1000*12/N825))</f>
        <v/>
      </c>
      <c r="U825" s="1" t="str">
        <f aca="false">IF($A825="","",IF(OR(T825="",J825=0,J825=""),"",T825/J825))</f>
        <v/>
      </c>
      <c r="V825" s="1" t="str">
        <f aca="false">IF($A825="","",IF(OR(R825="",N825&lt;=0,J825=0,J825=""),"",(R825/1000*12/N825)/J825))</f>
        <v/>
      </c>
      <c r="W825" s="1" t="str">
        <f aca="false">IF($A825="","",IF(OR(T825="",K825=0,K825=""),"",T825/K825))</f>
        <v/>
      </c>
      <c r="X825" s="1" t="n">
        <f aca="false">IF($A825="","",IF(OR(N825&lt;=0,I825=0,I825="",O825=0),"",O825*1000/(I825*0.3025)/N825))</f>
        <v>17763.3453087333</v>
      </c>
      <c r="Y825" s="1" t="str">
        <f aca="false">IF($A825="","",IF(OR(O825=0,O825="",P825=0),"",P825/O825))</f>
        <v/>
      </c>
      <c r="Z825" s="1" t="str">
        <f aca="false">IF($A825="","",IFERROR(INDEX(物件収支!$E:$E,MATCH($A825,物件収支!$A:$A,0)),""))</f>
        <v>開示（物件別・収益のみ・百万円単位）</v>
      </c>
    </row>
    <row r="826" customFormat="false" ht="16.5" hidden="false" customHeight="true" outlineLevel="0" collapsed="false">
      <c r="A826" s="1" t="str">
        <f aca="false">IF(物件マスタ!A826="","",物件マスタ!A826)</f>
        <v>KDX-086</v>
      </c>
      <c r="B826" s="1" t="str">
        <f aca="false">IF($A826="","",物件マスタ!B826)</f>
        <v>KDX</v>
      </c>
      <c r="C826" s="1" t="str">
        <f aca="false">IF($A826="","",IFERROR(INDEX(法人マスタ!$C:$C,MATCH($B826,法人マスタ!$A:$A,0)),""))</f>
        <v>ＫＤＸ不動産投資法人</v>
      </c>
      <c r="D826" s="1" t="str">
        <f aca="false">IF($A826="","",物件マスタ!C826)</f>
        <v>KDX土佐堀ビル</v>
      </c>
      <c r="E826" s="1" t="str">
        <f aca="false">IF($A826="","",物件マスタ!H826)</f>
        <v>地方経済圏（KDX区分）</v>
      </c>
      <c r="F826" s="1" t="n">
        <f aca="false">IF($A826="","",物件マスタ!P826)</f>
        <v>0</v>
      </c>
      <c r="G826" s="1" t="str">
        <f aca="false">IF($A826="","",物件マスタ!Q826)</f>
        <v/>
      </c>
      <c r="H826" s="1" t="n">
        <f aca="false">IF($A826="","",物件マスタ!L826)</f>
        <v>0</v>
      </c>
      <c r="I826" s="1" t="n">
        <f aca="false">IF($A826="","",物件マスタ!M826)</f>
        <v>5637.75</v>
      </c>
      <c r="J826" s="1" t="n">
        <f aca="false">IF($A826="","",物件マスタ!S826)</f>
        <v>5000</v>
      </c>
      <c r="K826" s="1" t="n">
        <f aca="false">IF($A826="","",物件マスタ!U826)</f>
        <v>4770</v>
      </c>
      <c r="L826" s="1" t="n">
        <f aca="false">IF($A826="","",物件マスタ!W826)</f>
        <v>1</v>
      </c>
      <c r="M826" s="1" t="str">
        <f aca="false">IF($A826="","",IFERROR(INDEX(法人マスタ!$H:$H,MATCH($B826,法人マスタ!$A:$A,0)),""))</f>
        <v>2026年4月期（第42期）</v>
      </c>
      <c r="N826" s="1" t="n">
        <f aca="false">IF($A826="","",SUMIFS(物件収支!$D:$D,物件収支!$A:$A,$A826,物件収支!$C:$C,$M826))</f>
        <v>6</v>
      </c>
      <c r="O826" s="1" t="n">
        <f aca="false">IF($A826="","",SUMIFS(物件収支!$F:$F,物件収支!$A:$A,$A826,物件収支!$C:$C,$M826))</f>
        <v>136000</v>
      </c>
      <c r="P826" s="1" t="n">
        <f aca="false">IF($A826="","",SUMIFS(物件収支!$I:$I,物件収支!$A:$A,$A826,物件収支!$C:$C,$M826))</f>
        <v>0</v>
      </c>
      <c r="Q826" s="1" t="n">
        <f aca="false">IF($A826="","",SUMIFS(物件収支!$O:$O,物件収支!$A:$A,$A826,物件収支!$C:$C,$M826))</f>
        <v>0</v>
      </c>
      <c r="R826" s="1" t="str">
        <f aca="false">IF($A826="","",IF(P826=0,"",O826-P826))</f>
        <v/>
      </c>
      <c r="S826" s="1" t="str">
        <f aca="false">IF($A826="","",IF(R826="","",R826+Q826))</f>
        <v/>
      </c>
      <c r="T826" s="1" t="str">
        <f aca="false">IF($A826="","",IF(OR(S826="",N826&lt;=0),"",S826/1000*12/N826))</f>
        <v/>
      </c>
      <c r="U826" s="1" t="str">
        <f aca="false">IF($A826="","",IF(OR(T826="",J826=0,J826=""),"",T826/J826))</f>
        <v/>
      </c>
      <c r="V826" s="1" t="str">
        <f aca="false">IF($A826="","",IF(OR(R826="",N826&lt;=0,J826=0,J826=""),"",(R826/1000*12/N826)/J826))</f>
        <v/>
      </c>
      <c r="W826" s="1" t="str">
        <f aca="false">IF($A826="","",IF(OR(T826="",K826=0,K826=""),"",T826/K826))</f>
        <v/>
      </c>
      <c r="X826" s="1" t="n">
        <f aca="false">IF($A826="","",IF(OR(N826&lt;=0,I826=0,I826="",O826=0),"",O826*1000/(I826*0.3025)/N826))</f>
        <v>13290.9635007909</v>
      </c>
      <c r="Y826" s="1" t="str">
        <f aca="false">IF($A826="","",IF(OR(O826=0,O826="",P826=0),"",P826/O826))</f>
        <v/>
      </c>
      <c r="Z826" s="1" t="str">
        <f aca="false">IF($A826="","",IFERROR(INDEX(物件収支!$E:$E,MATCH($A826,物件収支!$A:$A,0)),""))</f>
        <v>開示（物件別・収益のみ・百万円単位）</v>
      </c>
    </row>
    <row r="827" customFormat="false" ht="16.5" hidden="false" customHeight="true" outlineLevel="0" collapsed="false">
      <c r="A827" s="1" t="str">
        <f aca="false">IF(物件マスタ!A827="","",物件マスタ!A827)</f>
        <v>KDX-087</v>
      </c>
      <c r="B827" s="1" t="str">
        <f aca="false">IF($A827="","",物件マスタ!B827)</f>
        <v>KDX</v>
      </c>
      <c r="C827" s="1" t="str">
        <f aca="false">IF($A827="","",IFERROR(INDEX(法人マスタ!$C:$C,MATCH($B827,法人マスタ!$A:$A,0)),""))</f>
        <v>ＫＤＸ不動産投資法人</v>
      </c>
      <c r="D827" s="1" t="str">
        <f aca="false">IF($A827="","",物件マスタ!C827)</f>
        <v>KDX仙台本町ビル</v>
      </c>
      <c r="E827" s="1" t="str">
        <f aca="false">IF($A827="","",物件マスタ!H827)</f>
        <v>地方経済圏（KDX区分）</v>
      </c>
      <c r="F827" s="1" t="n">
        <f aca="false">IF($A827="","",物件マスタ!P827)</f>
        <v>0</v>
      </c>
      <c r="G827" s="1" t="str">
        <f aca="false">IF($A827="","",物件マスタ!Q827)</f>
        <v/>
      </c>
      <c r="H827" s="1" t="n">
        <f aca="false">IF($A827="","",物件マスタ!L827)</f>
        <v>0</v>
      </c>
      <c r="I827" s="1" t="n">
        <f aca="false">IF($A827="","",物件マスタ!M827)</f>
        <v>8886.09</v>
      </c>
      <c r="J827" s="1" t="n">
        <f aca="false">IF($A827="","",物件マスタ!S827)</f>
        <v>6360</v>
      </c>
      <c r="K827" s="1" t="n">
        <f aca="false">IF($A827="","",物件マスタ!U827)</f>
        <v>6550</v>
      </c>
      <c r="L827" s="1" t="n">
        <f aca="false">IF($A827="","",物件マスタ!W827)</f>
        <v>0.986</v>
      </c>
      <c r="M827" s="1" t="str">
        <f aca="false">IF($A827="","",IFERROR(INDEX(法人マスタ!$H:$H,MATCH($B827,法人マスタ!$A:$A,0)),""))</f>
        <v>2026年4月期（第42期）</v>
      </c>
      <c r="N827" s="1" t="n">
        <f aca="false">IF($A827="","",SUMIFS(物件収支!$D:$D,物件収支!$A:$A,$A827,物件収支!$C:$C,$M827))</f>
        <v>6</v>
      </c>
      <c r="O827" s="1" t="n">
        <f aca="false">IF($A827="","",SUMIFS(物件収支!$F:$F,物件収支!$A:$A,$A827,物件収支!$C:$C,$M827))</f>
        <v>224000</v>
      </c>
      <c r="P827" s="1" t="n">
        <f aca="false">IF($A827="","",SUMIFS(物件収支!$I:$I,物件収支!$A:$A,$A827,物件収支!$C:$C,$M827))</f>
        <v>0</v>
      </c>
      <c r="Q827" s="1" t="n">
        <f aca="false">IF($A827="","",SUMIFS(物件収支!$O:$O,物件収支!$A:$A,$A827,物件収支!$C:$C,$M827))</f>
        <v>0</v>
      </c>
      <c r="R827" s="1" t="str">
        <f aca="false">IF($A827="","",IF(P827=0,"",O827-P827))</f>
        <v/>
      </c>
      <c r="S827" s="1" t="str">
        <f aca="false">IF($A827="","",IF(R827="","",R827+Q827))</f>
        <v/>
      </c>
      <c r="T827" s="1" t="str">
        <f aca="false">IF($A827="","",IF(OR(S827="",N827&lt;=0),"",S827/1000*12/N827))</f>
        <v/>
      </c>
      <c r="U827" s="1" t="str">
        <f aca="false">IF($A827="","",IF(OR(T827="",J827=0,J827=""),"",T827/J827))</f>
        <v/>
      </c>
      <c r="V827" s="1" t="str">
        <f aca="false">IF($A827="","",IF(OR(R827="",N827&lt;=0,J827=0,J827=""),"",(R827/1000*12/N827)/J827))</f>
        <v/>
      </c>
      <c r="W827" s="1" t="str">
        <f aca="false">IF($A827="","",IF(OR(T827="",K827=0,K827=""),"",T827/K827))</f>
        <v/>
      </c>
      <c r="X827" s="1" t="n">
        <f aca="false">IF($A827="","",IF(OR(N827&lt;=0,I827=0,I827="",O827=0),"",O827*1000/(I827*0.3025)/N827))</f>
        <v>13888.6707158528</v>
      </c>
      <c r="Y827" s="1" t="str">
        <f aca="false">IF($A827="","",IF(OR(O827=0,O827="",P827=0),"",P827/O827))</f>
        <v/>
      </c>
      <c r="Z827" s="1" t="str">
        <f aca="false">IF($A827="","",IFERROR(INDEX(物件収支!$E:$E,MATCH($A827,物件収支!$A:$A,0)),""))</f>
        <v>開示（物件別・収益のみ・百万円単位）</v>
      </c>
    </row>
    <row r="828" customFormat="false" ht="16.5" hidden="false" customHeight="true" outlineLevel="0" collapsed="false">
      <c r="A828" s="1" t="str">
        <f aca="false">IF(物件マスタ!A828="","",物件マスタ!A828)</f>
        <v>KDX-088</v>
      </c>
      <c r="B828" s="1" t="str">
        <f aca="false">IF($A828="","",物件マスタ!B828)</f>
        <v>KDX</v>
      </c>
      <c r="C828" s="1" t="str">
        <f aca="false">IF($A828="","",IFERROR(INDEX(法人マスタ!$C:$C,MATCH($B828,法人マスタ!$A:$A,0)),""))</f>
        <v>ＫＤＸ不動産投資法人</v>
      </c>
      <c r="D828" s="1" t="str">
        <f aca="false">IF($A828="","",物件マスタ!C828)</f>
        <v>KDX神戸ビル</v>
      </c>
      <c r="E828" s="1" t="str">
        <f aca="false">IF($A828="","",物件マスタ!H828)</f>
        <v>地方経済圏（KDX区分）</v>
      </c>
      <c r="F828" s="1" t="n">
        <f aca="false">IF($A828="","",物件マスタ!P828)</f>
        <v>0</v>
      </c>
      <c r="G828" s="1" t="str">
        <f aca="false">IF($A828="","",物件マスタ!Q828)</f>
        <v/>
      </c>
      <c r="H828" s="1" t="n">
        <f aca="false">IF($A828="","",物件マスタ!L828)</f>
        <v>0</v>
      </c>
      <c r="I828" s="1" t="n">
        <f aca="false">IF($A828="","",物件マスタ!M828)</f>
        <v>5669.6</v>
      </c>
      <c r="J828" s="1" t="n">
        <f aca="false">IF($A828="","",物件マスタ!S828)</f>
        <v>3450</v>
      </c>
      <c r="K828" s="1" t="n">
        <f aca="false">IF($A828="","",物件マスタ!U828)</f>
        <v>3710</v>
      </c>
      <c r="L828" s="1" t="n">
        <f aca="false">IF($A828="","",物件マスタ!W828)</f>
        <v>1</v>
      </c>
      <c r="M828" s="1" t="str">
        <f aca="false">IF($A828="","",IFERROR(INDEX(法人マスタ!$H:$H,MATCH($B828,法人マスタ!$A:$A,0)),""))</f>
        <v>2026年4月期（第42期）</v>
      </c>
      <c r="N828" s="1" t="n">
        <f aca="false">IF($A828="","",SUMIFS(物件収支!$D:$D,物件収支!$A:$A,$A828,物件収支!$C:$C,$M828))</f>
        <v>6</v>
      </c>
      <c r="O828" s="1" t="n">
        <f aca="false">IF($A828="","",SUMIFS(物件収支!$F:$F,物件収支!$A:$A,$A828,物件収支!$C:$C,$M828))</f>
        <v>115000</v>
      </c>
      <c r="P828" s="1" t="n">
        <f aca="false">IF($A828="","",SUMIFS(物件収支!$I:$I,物件収支!$A:$A,$A828,物件収支!$C:$C,$M828))</f>
        <v>0</v>
      </c>
      <c r="Q828" s="1" t="n">
        <f aca="false">IF($A828="","",SUMIFS(物件収支!$O:$O,物件収支!$A:$A,$A828,物件収支!$C:$C,$M828))</f>
        <v>0</v>
      </c>
      <c r="R828" s="1" t="str">
        <f aca="false">IF($A828="","",IF(P828=0,"",O828-P828))</f>
        <v/>
      </c>
      <c r="S828" s="1" t="str">
        <f aca="false">IF($A828="","",IF(R828="","",R828+Q828))</f>
        <v/>
      </c>
      <c r="T828" s="1" t="str">
        <f aca="false">IF($A828="","",IF(OR(S828="",N828&lt;=0),"",S828/1000*12/N828))</f>
        <v/>
      </c>
      <c r="U828" s="1" t="str">
        <f aca="false">IF($A828="","",IF(OR(T828="",J828=0,J828=""),"",T828/J828))</f>
        <v/>
      </c>
      <c r="V828" s="1" t="str">
        <f aca="false">IF($A828="","",IF(OR(R828="",N828&lt;=0,J828=0,J828=""),"",(R828/1000*12/N828)/J828))</f>
        <v/>
      </c>
      <c r="W828" s="1" t="str">
        <f aca="false">IF($A828="","",IF(OR(T828="",K828=0,K828=""),"",T828/K828))</f>
        <v/>
      </c>
      <c r="X828" s="1" t="n">
        <f aca="false">IF($A828="","",IF(OR(N828&lt;=0,I828=0,I828="",O828=0),"",O828*1000/(I828*0.3025)/N828))</f>
        <v>11175.5470478869</v>
      </c>
      <c r="Y828" s="1" t="str">
        <f aca="false">IF($A828="","",IF(OR(O828=0,O828="",P828=0),"",P828/O828))</f>
        <v/>
      </c>
      <c r="Z828" s="1" t="str">
        <f aca="false">IF($A828="","",IFERROR(INDEX(物件収支!$E:$E,MATCH($A828,物件収支!$A:$A,0)),""))</f>
        <v>開示（物件別・収益のみ・百万円単位）</v>
      </c>
    </row>
    <row r="829" customFormat="false" ht="16.5" hidden="false" customHeight="true" outlineLevel="0" collapsed="false">
      <c r="A829" s="1" t="str">
        <f aca="false">IF(物件マスタ!A829="","",物件マスタ!A829)</f>
        <v>KDX-ALL</v>
      </c>
      <c r="B829" s="1" t="str">
        <f aca="false">IF($A829="","",物件マスタ!B829)</f>
        <v>KDX</v>
      </c>
      <c r="C829" s="1" t="str">
        <f aca="false">IF($A829="","",IFERROR(INDEX(法人マスタ!$C:$C,MATCH($B829,法人マスタ!$A:$A,0)),""))</f>
        <v>ＫＤＸ不動産投資法人</v>
      </c>
      <c r="D829" s="1" t="str">
        <f aca="false">IF($A829="","",物件マスタ!C829)</f>
        <v>【KDXポートフォリオ全体】</v>
      </c>
      <c r="E829" s="1" t="str">
        <f aca="false">IF($A829="","",物件マスタ!H829)</f>
        <v>─</v>
      </c>
      <c r="F829" s="1" t="n">
        <f aca="false">IF($A829="","",物件マスタ!P829)</f>
        <v>0</v>
      </c>
      <c r="G829" s="1" t="str">
        <f aca="false">IF($A829="","",物件マスタ!Q829)</f>
        <v/>
      </c>
      <c r="H829" s="1" t="n">
        <f aca="false">IF($A829="","",物件マスタ!L829)</f>
        <v>0</v>
      </c>
      <c r="I829" s="1" t="n">
        <f aca="false">IF($A829="","",物件マスタ!M829)</f>
        <v>2313854.89</v>
      </c>
      <c r="J829" s="1" t="n">
        <f aca="false">IF($A829="","",物件マスタ!S829)</f>
        <v>1218978</v>
      </c>
      <c r="K829" s="1" t="n">
        <f aca="false">IF($A829="","",物件マスタ!U829)</f>
        <v>1342000</v>
      </c>
      <c r="L829" s="1" t="n">
        <f aca="false">IF($A829="","",物件マスタ!W829)</f>
        <v>0.986</v>
      </c>
      <c r="M829" s="1" t="str">
        <f aca="false">IF($A829="","",IFERROR(INDEX(法人マスタ!$H:$H,MATCH($B829,法人マスタ!$A:$A,0)),""))</f>
        <v>2026年4月期（第42期）</v>
      </c>
      <c r="N829" s="1" t="n">
        <f aca="false">IF($A829="","",SUMIFS(物件収支!$D:$D,物件収支!$A:$A,$A829,物件収支!$C:$C,$M829))</f>
        <v>6</v>
      </c>
      <c r="O829" s="1" t="n">
        <f aca="false">IF($A829="","",SUMIFS(物件収支!$F:$F,物件収支!$A:$A,$A829,物件収支!$C:$C,$M829))</f>
        <v>38893986</v>
      </c>
      <c r="P829" s="1" t="n">
        <f aca="false">IF($A829="","",SUMIFS(物件収支!$I:$I,物件収支!$A:$A,$A829,物件収支!$C:$C,$M829))</f>
        <v>15889951</v>
      </c>
      <c r="Q829" s="1" t="n">
        <f aca="false">IF($A829="","",SUMIFS(物件収支!$O:$O,物件収支!$A:$A,$A829,物件収支!$C:$C,$M829))</f>
        <v>5197924</v>
      </c>
      <c r="R829" s="1" t="n">
        <f aca="false">IF($A829="","",IF(P829=0,"",O829-P829))</f>
        <v>23004035</v>
      </c>
      <c r="S829" s="1" t="n">
        <f aca="false">IF($A829="","",IF(R829="","",R829+Q829))</f>
        <v>28201959</v>
      </c>
      <c r="T829" s="1" t="n">
        <f aca="false">IF($A829="","",IF(OR(S829="",N829&lt;=0),"",S829/1000*12/N829))</f>
        <v>56403.918</v>
      </c>
      <c r="U829" s="1" t="n">
        <f aca="false">IF($A829="","",IF(OR(T829="",J829=0,J829=""),"",T829/J829))</f>
        <v>0.0462714815197649</v>
      </c>
      <c r="V829" s="1" t="n">
        <f aca="false">IF($A829="","",IF(OR(R829="",N829&lt;=0,J829=0,J829=""),"",(R829/1000*12/N829)/J829))</f>
        <v>0.0377431504096054</v>
      </c>
      <c r="W829" s="1" t="n">
        <f aca="false">IF($A829="","",IF(OR(T829="",K829=0,K829=""),"",T829/K829))</f>
        <v>0.0420297451564829</v>
      </c>
      <c r="X829" s="1" t="n">
        <f aca="false">IF($A829="","",IF(OR(N829&lt;=0,I829=0,I829="",O829=0),"",O829*1000/(I829*0.3025)/N829))</f>
        <v>9261.25206945443</v>
      </c>
      <c r="Y829" s="1" t="n">
        <f aca="false">IF($A829="","",IF(OR(O829=0,O829="",P829=0),"",P829/O829))</f>
        <v>0.408545192565246</v>
      </c>
      <c r="Z829" s="1" t="str">
        <f aca="false">IF($A829="","",IFERROR(INDEX(物件収支!$E:$E,MATCH($A829,物件収支!$A:$A,0)),""))</f>
        <v>開示（法人一括）</v>
      </c>
    </row>
    <row r="830" customFormat="false" ht="15" hidden="false" customHeight="true" outlineLevel="0" collapsed="false">
      <c r="A830" s="1" t="str">
        <f aca="false">IF(物件マスタ!A830="","",物件マスタ!A830)</f>
        <v>KDX-089</v>
      </c>
      <c r="B830" s="1" t="str">
        <f aca="false">IF($A830="","",物件マスタ!B830)</f>
        <v>KDX</v>
      </c>
      <c r="C830" s="1" t="str">
        <f aca="false">IF($A830="","",IFERROR(INDEX(法人マスタ!$C:$C,MATCH($B830,法人マスタ!$A:$A,0)),""))</f>
        <v>ＫＤＸ不動産投資法人</v>
      </c>
      <c r="D830" s="1" t="str">
        <f aca="false">IF($A830="","",物件マスタ!C830)</f>
        <v>KDX代官山レジデンス</v>
      </c>
      <c r="E830" s="1" t="str">
        <f aca="false">IF($A830="","",物件マスタ!H830)</f>
        <v>東京経済圏（KDX区分）</v>
      </c>
      <c r="F830" s="1" t="n">
        <f aca="false">IF($A830="","",物件マスタ!P830)</f>
        <v>0</v>
      </c>
      <c r="G830" s="1" t="str">
        <f aca="false">IF($A830="","",物件マスタ!Q830)</f>
        <v/>
      </c>
      <c r="H830" s="1" t="n">
        <f aca="false">IF($A830="","",物件マスタ!L830)</f>
        <v>0</v>
      </c>
      <c r="I830" s="1" t="n">
        <f aca="false">IF($A830="","",物件マスタ!M830)</f>
        <v>5338.99</v>
      </c>
      <c r="J830" s="1" t="n">
        <f aca="false">IF($A830="","",物件マスタ!S830)</f>
        <v>7950</v>
      </c>
      <c r="K830" s="1" t="n">
        <f aca="false">IF($A830="","",物件マスタ!U830)</f>
        <v>8080</v>
      </c>
      <c r="L830" s="1" t="n">
        <f aca="false">IF($A830="","",物件マスタ!W830)</f>
        <v>0.953</v>
      </c>
      <c r="M830" s="1" t="str">
        <f aca="false">IF($A830="","",IFERROR(INDEX(法人マスタ!$H:$H,MATCH($B830,法人マスタ!$A:$A,0)),""))</f>
        <v>2026年4月期（第42期）</v>
      </c>
      <c r="N830" s="1" t="n">
        <f aca="false">IF($A830="","",SUMIFS(物件収支!$D:$D,物件収支!$A:$A,$A830,物件収支!$C:$C,$M830))</f>
        <v>6</v>
      </c>
      <c r="O830" s="1" t="n">
        <f aca="false">IF($A830="","",SUMIFS(物件収支!$F:$F,物件収支!$A:$A,$A830,物件収支!$C:$C,$M830))</f>
        <v>173000</v>
      </c>
      <c r="P830" s="1" t="n">
        <f aca="false">IF($A830="","",SUMIFS(物件収支!$I:$I,物件収支!$A:$A,$A830,物件収支!$C:$C,$M830))</f>
        <v>0</v>
      </c>
      <c r="Q830" s="1" t="n">
        <f aca="false">IF($A830="","",SUMIFS(物件収支!$O:$O,物件収支!$A:$A,$A830,物件収支!$C:$C,$M830))</f>
        <v>0</v>
      </c>
      <c r="R830" s="1" t="str">
        <f aca="false">IF($A830="","",IF(P830=0,"",O830-P830))</f>
        <v/>
      </c>
      <c r="S830" s="1" t="str">
        <f aca="false">IF($A830="","",IF(R830="","",R830+Q830))</f>
        <v/>
      </c>
      <c r="T830" s="1" t="str">
        <f aca="false">IF($A830="","",IF(OR(S830="",N830&lt;=0),"",S830/1000*12/N830))</f>
        <v/>
      </c>
      <c r="U830" s="1" t="str">
        <f aca="false">IF($A830="","",IF(OR(T830="",J830=0,J830=""),"",T830/J830))</f>
        <v/>
      </c>
      <c r="V830" s="1" t="str">
        <f aca="false">IF($A830="","",IF(OR(R830="",N830&lt;=0,J830=0,J830=""),"",(R830/1000*12/N830)/J830))</f>
        <v/>
      </c>
      <c r="W830" s="1" t="str">
        <f aca="false">IF($A830="","",IF(OR(T830="",K830=0,K830=""),"",T830/K830))</f>
        <v/>
      </c>
      <c r="X830" s="1" t="n">
        <f aca="false">IF($A830="","",IF(OR(N830&lt;=0,I830=0,I830="",O830=0),"",O830*1000/(I830*0.3025)/N830))</f>
        <v>17852.9655248864</v>
      </c>
      <c r="Y830" s="1" t="str">
        <f aca="false">IF($A830="","",IF(OR(O830=0,O830="",P830=0),"",P830/O830))</f>
        <v/>
      </c>
      <c r="Z830" s="1" t="str">
        <f aca="false">IF($A830="","",IFERROR(INDEX(物件収支!$E:$E,MATCH($A830,物件収支!$A:$A,0)),""))</f>
        <v>開示（物件別・収益のみ・百万円単位）</v>
      </c>
    </row>
    <row r="831" customFormat="false" ht="15" hidden="false" customHeight="true" outlineLevel="0" collapsed="false">
      <c r="A831" s="1" t="str">
        <f aca="false">IF(物件マスタ!A831="","",物件マスタ!A831)</f>
        <v>KDX-090</v>
      </c>
      <c r="B831" s="1" t="str">
        <f aca="false">IF($A831="","",物件マスタ!B831)</f>
        <v>KDX</v>
      </c>
      <c r="C831" s="1" t="str">
        <f aca="false">IF($A831="","",IFERROR(INDEX(法人マスタ!$C:$C,MATCH($B831,法人マスタ!$A:$A,0)),""))</f>
        <v>ＫＤＸ不動産投資法人</v>
      </c>
      <c r="D831" s="1" t="str">
        <f aca="false">IF($A831="","",物件マスタ!C831)</f>
        <v>KDX志村坂上レジデンス</v>
      </c>
      <c r="E831" s="1" t="str">
        <f aca="false">IF($A831="","",物件マスタ!H831)</f>
        <v>東京経済圏（KDX区分）</v>
      </c>
      <c r="F831" s="1" t="n">
        <f aca="false">IF($A831="","",物件マスタ!P831)</f>
        <v>0</v>
      </c>
      <c r="G831" s="1" t="str">
        <f aca="false">IF($A831="","",物件マスタ!Q831)</f>
        <v/>
      </c>
      <c r="H831" s="1" t="n">
        <f aca="false">IF($A831="","",物件マスタ!L831)</f>
        <v>0</v>
      </c>
      <c r="I831" s="1" t="n">
        <f aca="false">IF($A831="","",物件マスタ!M831)</f>
        <v>6117.48</v>
      </c>
      <c r="J831" s="1" t="n">
        <f aca="false">IF($A831="","",物件マスタ!S831)</f>
        <v>4370</v>
      </c>
      <c r="K831" s="1" t="n">
        <f aca="false">IF($A831="","",物件マスタ!U831)</f>
        <v>4480</v>
      </c>
      <c r="L831" s="1" t="n">
        <f aca="false">IF($A831="","",物件マスタ!W831)</f>
        <v>0.965</v>
      </c>
      <c r="M831" s="1" t="str">
        <f aca="false">IF($A831="","",IFERROR(INDEX(法人マスタ!$H:$H,MATCH($B831,法人マスタ!$A:$A,0)),""))</f>
        <v>2026年4月期（第42期）</v>
      </c>
      <c r="N831" s="1" t="n">
        <f aca="false">IF($A831="","",SUMIFS(物件収支!$D:$D,物件収支!$A:$A,$A831,物件収支!$C:$C,$M831))</f>
        <v>6</v>
      </c>
      <c r="O831" s="1" t="n">
        <f aca="false">IF($A831="","",SUMIFS(物件収支!$F:$F,物件収支!$A:$A,$A831,物件収支!$C:$C,$M831))</f>
        <v>112000</v>
      </c>
      <c r="P831" s="1" t="n">
        <f aca="false">IF($A831="","",SUMIFS(物件収支!$I:$I,物件収支!$A:$A,$A831,物件収支!$C:$C,$M831))</f>
        <v>0</v>
      </c>
      <c r="Q831" s="1" t="n">
        <f aca="false">IF($A831="","",SUMIFS(物件収支!$O:$O,物件収支!$A:$A,$A831,物件収支!$C:$C,$M831))</f>
        <v>0</v>
      </c>
      <c r="R831" s="1" t="str">
        <f aca="false">IF($A831="","",IF(P831=0,"",O831-P831))</f>
        <v/>
      </c>
      <c r="S831" s="1" t="str">
        <f aca="false">IF($A831="","",IF(R831="","",R831+Q831))</f>
        <v/>
      </c>
      <c r="T831" s="1" t="str">
        <f aca="false">IF($A831="","",IF(OR(S831="",N831&lt;=0),"",S831/1000*12/N831))</f>
        <v/>
      </c>
      <c r="U831" s="1" t="str">
        <f aca="false">IF($A831="","",IF(OR(T831="",J831=0,J831=""),"",T831/J831))</f>
        <v/>
      </c>
      <c r="V831" s="1" t="str">
        <f aca="false">IF($A831="","",IF(OR(R831="",N831&lt;=0,J831=0,J831=""),"",(R831/1000*12/N831)/J831))</f>
        <v/>
      </c>
      <c r="W831" s="1" t="str">
        <f aca="false">IF($A831="","",IF(OR(T831="",K831=0,K831=""),"",T831/K831))</f>
        <v/>
      </c>
      <c r="X831" s="1" t="n">
        <f aca="false">IF($A831="","",IF(OR(N831&lt;=0,I831=0,I831="",O831=0),"",O831*1000/(I831*0.3025)/N831))</f>
        <v>10087.1582711699</v>
      </c>
      <c r="Y831" s="1" t="str">
        <f aca="false">IF($A831="","",IF(OR(O831=0,O831="",P831=0),"",P831/O831))</f>
        <v/>
      </c>
      <c r="Z831" s="1" t="str">
        <f aca="false">IF($A831="","",IFERROR(INDEX(物件収支!$E:$E,MATCH($A831,物件収支!$A:$A,0)),""))</f>
        <v>開示（物件別・収益のみ・百万円単位）</v>
      </c>
    </row>
    <row r="832" customFormat="false" ht="15" hidden="false" customHeight="true" outlineLevel="0" collapsed="false">
      <c r="A832" s="1" t="str">
        <f aca="false">IF(物件マスタ!A832="","",物件マスタ!A832)</f>
        <v>KDX-091</v>
      </c>
      <c r="B832" s="1" t="str">
        <f aca="false">IF($A832="","",物件マスタ!B832)</f>
        <v>KDX</v>
      </c>
      <c r="C832" s="1" t="str">
        <f aca="false">IF($A832="","",IFERROR(INDEX(法人マスタ!$C:$C,MATCH($B832,法人マスタ!$A:$A,0)),""))</f>
        <v>ＫＤＸ不動産投資法人</v>
      </c>
      <c r="D832" s="1" t="str">
        <f aca="false">IF($A832="","",物件マスタ!C832)</f>
        <v>KDX大伝馬レジデンス</v>
      </c>
      <c r="E832" s="1" t="str">
        <f aca="false">IF($A832="","",物件マスタ!H832)</f>
        <v>東京経済圏（KDX区分）</v>
      </c>
      <c r="F832" s="1" t="n">
        <f aca="false">IF($A832="","",物件マスタ!P832)</f>
        <v>0</v>
      </c>
      <c r="G832" s="1" t="str">
        <f aca="false">IF($A832="","",物件マスタ!Q832)</f>
        <v/>
      </c>
      <c r="H832" s="1" t="n">
        <f aca="false">IF($A832="","",物件マスタ!L832)</f>
        <v>0</v>
      </c>
      <c r="I832" s="1" t="n">
        <f aca="false">IF($A832="","",物件マスタ!M832)</f>
        <v>2353.23</v>
      </c>
      <c r="J832" s="1" t="n">
        <f aca="false">IF($A832="","",物件マスタ!S832)</f>
        <v>2870</v>
      </c>
      <c r="K832" s="1" t="n">
        <f aca="false">IF($A832="","",物件マスタ!U832)</f>
        <v>3030</v>
      </c>
      <c r="L832" s="1" t="n">
        <f aca="false">IF($A832="","",物件マスタ!W832)</f>
        <v>0.943</v>
      </c>
      <c r="M832" s="1" t="str">
        <f aca="false">IF($A832="","",IFERROR(INDEX(法人マスタ!$H:$H,MATCH($B832,法人マスタ!$A:$A,0)),""))</f>
        <v>2026年4月期（第42期）</v>
      </c>
      <c r="N832" s="1" t="n">
        <f aca="false">IF($A832="","",SUMIFS(物件収支!$D:$D,物件収支!$A:$A,$A832,物件収支!$C:$C,$M832))</f>
        <v>6</v>
      </c>
      <c r="O832" s="1" t="n">
        <f aca="false">IF($A832="","",SUMIFS(物件収支!$F:$F,物件収支!$A:$A,$A832,物件収支!$C:$C,$M832))</f>
        <v>62000</v>
      </c>
      <c r="P832" s="1" t="n">
        <f aca="false">IF($A832="","",SUMIFS(物件収支!$I:$I,物件収支!$A:$A,$A832,物件収支!$C:$C,$M832))</f>
        <v>0</v>
      </c>
      <c r="Q832" s="1" t="n">
        <f aca="false">IF($A832="","",SUMIFS(物件収支!$O:$O,物件収支!$A:$A,$A832,物件収支!$C:$C,$M832))</f>
        <v>0</v>
      </c>
      <c r="R832" s="1" t="str">
        <f aca="false">IF($A832="","",IF(P832=0,"",O832-P832))</f>
        <v/>
      </c>
      <c r="S832" s="1" t="str">
        <f aca="false">IF($A832="","",IF(R832="","",R832+Q832))</f>
        <v/>
      </c>
      <c r="T832" s="1" t="str">
        <f aca="false">IF($A832="","",IF(OR(S832="",N832&lt;=0),"",S832/1000*12/N832))</f>
        <v/>
      </c>
      <c r="U832" s="1" t="str">
        <f aca="false">IF($A832="","",IF(OR(T832="",J832=0,J832=""),"",T832/J832))</f>
        <v/>
      </c>
      <c r="V832" s="1" t="str">
        <f aca="false">IF($A832="","",IF(OR(R832="",N832&lt;=0,J832=0,J832=""),"",(R832/1000*12/N832)/J832))</f>
        <v/>
      </c>
      <c r="W832" s="1" t="str">
        <f aca="false">IF($A832="","",IF(OR(T832="",K832=0,K832=""),"",T832/K832))</f>
        <v/>
      </c>
      <c r="X832" s="1" t="n">
        <f aca="false">IF($A832="","",IF(OR(N832&lt;=0,I832=0,I832="",O832=0),"",O832*1000/(I832*0.3025)/N832))</f>
        <v>14516.124481808</v>
      </c>
      <c r="Y832" s="1" t="str">
        <f aca="false">IF($A832="","",IF(OR(O832=0,O832="",P832=0),"",P832/O832))</f>
        <v/>
      </c>
      <c r="Z832" s="1" t="str">
        <f aca="false">IF($A832="","",IFERROR(INDEX(物件収支!$E:$E,MATCH($A832,物件収支!$A:$A,0)),""))</f>
        <v>開示（物件別・収益のみ・百万円単位）</v>
      </c>
    </row>
    <row r="833" customFormat="false" ht="15" hidden="false" customHeight="true" outlineLevel="0" collapsed="false">
      <c r="A833" s="1" t="str">
        <f aca="false">IF(物件マスタ!A833="","",物件マスタ!A833)</f>
        <v>KDX-092</v>
      </c>
      <c r="B833" s="1" t="str">
        <f aca="false">IF($A833="","",物件マスタ!B833)</f>
        <v>KDX</v>
      </c>
      <c r="C833" s="1" t="str">
        <f aca="false">IF($A833="","",IFERROR(INDEX(法人マスタ!$C:$C,MATCH($B833,法人マスタ!$A:$A,0)),""))</f>
        <v>ＫＤＸ不動産投資法人</v>
      </c>
      <c r="D833" s="1" t="str">
        <f aca="false">IF($A833="","",物件マスタ!C833)</f>
        <v>KDX文京千石レジデンス</v>
      </c>
      <c r="E833" s="1" t="str">
        <f aca="false">IF($A833="","",物件マスタ!H833)</f>
        <v>東京経済圏（KDX区分）</v>
      </c>
      <c r="F833" s="1" t="n">
        <f aca="false">IF($A833="","",物件マスタ!P833)</f>
        <v>0</v>
      </c>
      <c r="G833" s="1" t="str">
        <f aca="false">IF($A833="","",物件マスタ!Q833)</f>
        <v/>
      </c>
      <c r="H833" s="1" t="n">
        <f aca="false">IF($A833="","",物件マスタ!L833)</f>
        <v>0</v>
      </c>
      <c r="I833" s="1" t="n">
        <f aca="false">IF($A833="","",物件マスタ!M833)</f>
        <v>2054.1</v>
      </c>
      <c r="J833" s="1" t="n">
        <f aca="false">IF($A833="","",物件マスタ!S833)</f>
        <v>2290</v>
      </c>
      <c r="K833" s="1" t="n">
        <f aca="false">IF($A833="","",物件マスタ!U833)</f>
        <v>2370</v>
      </c>
      <c r="L833" s="1" t="n">
        <f aca="false">IF($A833="","",物件マスタ!W833)</f>
        <v>1</v>
      </c>
      <c r="M833" s="1" t="str">
        <f aca="false">IF($A833="","",IFERROR(INDEX(法人マスタ!$H:$H,MATCH($B833,法人マスタ!$A:$A,0)),""))</f>
        <v>2026年4月期（第42期）</v>
      </c>
      <c r="N833" s="1" t="n">
        <f aca="false">IF($A833="","",SUMIFS(物件収支!$D:$D,物件収支!$A:$A,$A833,物件収支!$C:$C,$M833))</f>
        <v>6</v>
      </c>
      <c r="O833" s="1" t="n">
        <f aca="false">IF($A833="","",SUMIFS(物件収支!$F:$F,物件収支!$A:$A,$A833,物件収支!$C:$C,$M833))</f>
        <v>54000</v>
      </c>
      <c r="P833" s="1" t="n">
        <f aca="false">IF($A833="","",SUMIFS(物件収支!$I:$I,物件収支!$A:$A,$A833,物件収支!$C:$C,$M833))</f>
        <v>0</v>
      </c>
      <c r="Q833" s="1" t="n">
        <f aca="false">IF($A833="","",SUMIFS(物件収支!$O:$O,物件収支!$A:$A,$A833,物件収支!$C:$C,$M833))</f>
        <v>0</v>
      </c>
      <c r="R833" s="1" t="str">
        <f aca="false">IF($A833="","",IF(P833=0,"",O833-P833))</f>
        <v/>
      </c>
      <c r="S833" s="1" t="str">
        <f aca="false">IF($A833="","",IF(R833="","",R833+Q833))</f>
        <v/>
      </c>
      <c r="T833" s="1" t="str">
        <f aca="false">IF($A833="","",IF(OR(S833="",N833&lt;=0),"",S833/1000*12/N833))</f>
        <v/>
      </c>
      <c r="U833" s="1" t="str">
        <f aca="false">IF($A833="","",IF(OR(T833="",J833=0,J833=""),"",T833/J833))</f>
        <v/>
      </c>
      <c r="V833" s="1" t="str">
        <f aca="false">IF($A833="","",IF(OR(R833="",N833&lt;=0,J833=0,J833=""),"",(R833/1000*12/N833)/J833))</f>
        <v/>
      </c>
      <c r="W833" s="1" t="str">
        <f aca="false">IF($A833="","",IF(OR(T833="",K833=0,K833=""),"",T833/K833))</f>
        <v/>
      </c>
      <c r="X833" s="1" t="n">
        <f aca="false">IF($A833="","",IF(OR(N833&lt;=0,I833=0,I833="",O833=0),"",O833*1000/(I833*0.3025)/N833))</f>
        <v>14484.234514241</v>
      </c>
      <c r="Y833" s="1" t="str">
        <f aca="false">IF($A833="","",IF(OR(O833=0,O833="",P833=0),"",P833/O833))</f>
        <v/>
      </c>
      <c r="Z833" s="1" t="str">
        <f aca="false">IF($A833="","",IFERROR(INDEX(物件収支!$E:$E,MATCH($A833,物件収支!$A:$A,0)),""))</f>
        <v>開示（物件別・収益のみ・百万円単位）</v>
      </c>
    </row>
    <row r="834" customFormat="false" ht="15" hidden="false" customHeight="true" outlineLevel="0" collapsed="false">
      <c r="A834" s="1" t="str">
        <f aca="false">IF(物件マスタ!A834="","",物件マスタ!A834)</f>
        <v>KDX-093</v>
      </c>
      <c r="B834" s="1" t="str">
        <f aca="false">IF($A834="","",物件マスタ!B834)</f>
        <v>KDX</v>
      </c>
      <c r="C834" s="1" t="str">
        <f aca="false">IF($A834="","",IFERROR(INDEX(法人マスタ!$C:$C,MATCH($B834,法人マスタ!$A:$A,0)),""))</f>
        <v>ＫＤＸ不動産投資法人</v>
      </c>
      <c r="D834" s="1" t="str">
        <f aca="false">IF($A834="","",物件マスタ!C834)</f>
        <v>KDX千葉中央レジデンス</v>
      </c>
      <c r="E834" s="1" t="str">
        <f aca="false">IF($A834="","",物件マスタ!H834)</f>
        <v>東京経済圏（KDX区分）</v>
      </c>
      <c r="F834" s="1" t="n">
        <f aca="false">IF($A834="","",物件マスタ!P834)</f>
        <v>0</v>
      </c>
      <c r="G834" s="1" t="str">
        <f aca="false">IF($A834="","",物件マスタ!Q834)</f>
        <v/>
      </c>
      <c r="H834" s="1" t="n">
        <f aca="false">IF($A834="","",物件マスタ!L834)</f>
        <v>0</v>
      </c>
      <c r="I834" s="1" t="n">
        <f aca="false">IF($A834="","",物件マスタ!M834)</f>
        <v>3546.91</v>
      </c>
      <c r="J834" s="1" t="n">
        <f aca="false">IF($A834="","",物件マスタ!S834)</f>
        <v>1980</v>
      </c>
      <c r="K834" s="1" t="n">
        <f aca="false">IF($A834="","",物件マスタ!U834)</f>
        <v>2000</v>
      </c>
      <c r="L834" s="1" t="n">
        <f aca="false">IF($A834="","",物件マスタ!W834)</f>
        <v>0.972</v>
      </c>
      <c r="M834" s="1" t="str">
        <f aca="false">IF($A834="","",IFERROR(INDEX(法人マスタ!$H:$H,MATCH($B834,法人マスタ!$A:$A,0)),""))</f>
        <v>2026年4月期（第42期）</v>
      </c>
      <c r="N834" s="1" t="n">
        <f aca="false">IF($A834="","",SUMIFS(物件収支!$D:$D,物件収支!$A:$A,$A834,物件収支!$C:$C,$M834))</f>
        <v>6</v>
      </c>
      <c r="O834" s="1" t="n">
        <f aca="false">IF($A834="","",SUMIFS(物件収支!$F:$F,物件収支!$A:$A,$A834,物件収支!$C:$C,$M834))</f>
        <v>66000</v>
      </c>
      <c r="P834" s="1" t="n">
        <f aca="false">IF($A834="","",SUMIFS(物件収支!$I:$I,物件収支!$A:$A,$A834,物件収支!$C:$C,$M834))</f>
        <v>0</v>
      </c>
      <c r="Q834" s="1" t="n">
        <f aca="false">IF($A834="","",SUMIFS(物件収支!$O:$O,物件収支!$A:$A,$A834,物件収支!$C:$C,$M834))</f>
        <v>0</v>
      </c>
      <c r="R834" s="1" t="str">
        <f aca="false">IF($A834="","",IF(P834=0,"",O834-P834))</f>
        <v/>
      </c>
      <c r="S834" s="1" t="str">
        <f aca="false">IF($A834="","",IF(R834="","",R834+Q834))</f>
        <v/>
      </c>
      <c r="T834" s="1" t="str">
        <f aca="false">IF($A834="","",IF(OR(S834="",N834&lt;=0),"",S834/1000*12/N834))</f>
        <v/>
      </c>
      <c r="U834" s="1" t="str">
        <f aca="false">IF($A834="","",IF(OR(T834="",J834=0,J834=""),"",T834/J834))</f>
        <v/>
      </c>
      <c r="V834" s="1" t="str">
        <f aca="false">IF($A834="","",IF(OR(R834="",N834&lt;=0,J834=0,J834=""),"",(R834/1000*12/N834)/J834))</f>
        <v/>
      </c>
      <c r="W834" s="1" t="str">
        <f aca="false">IF($A834="","",IF(OR(T834="",K834=0,K834=""),"",T834/K834))</f>
        <v/>
      </c>
      <c r="X834" s="1" t="n">
        <f aca="false">IF($A834="","",IF(OR(N834&lt;=0,I834=0,I834="",O834=0),"",O834*1000/(I834*0.3025)/N834))</f>
        <v>10252.2015962165</v>
      </c>
      <c r="Y834" s="1" t="str">
        <f aca="false">IF($A834="","",IF(OR(O834=0,O834="",P834=0),"",P834/O834))</f>
        <v/>
      </c>
      <c r="Z834" s="1" t="str">
        <f aca="false">IF($A834="","",IFERROR(INDEX(物件収支!$E:$E,MATCH($A834,物件収支!$A:$A,0)),""))</f>
        <v>開示（物件別・収益のみ・百万円単位）</v>
      </c>
    </row>
    <row r="835" customFormat="false" ht="15" hidden="false" customHeight="true" outlineLevel="0" collapsed="false">
      <c r="A835" s="1" t="str">
        <f aca="false">IF(物件マスタ!A835="","",物件マスタ!A835)</f>
        <v>KDX-094</v>
      </c>
      <c r="B835" s="1" t="str">
        <f aca="false">IF($A835="","",物件マスタ!B835)</f>
        <v>KDX</v>
      </c>
      <c r="C835" s="1" t="str">
        <f aca="false">IF($A835="","",IFERROR(INDEX(法人マスタ!$C:$C,MATCH($B835,法人マスタ!$A:$A,0)),""))</f>
        <v>ＫＤＸ不動産投資法人</v>
      </c>
      <c r="D835" s="1" t="str">
        <f aca="false">IF($A835="","",物件マスタ!C835)</f>
        <v>KDX川口幸町レジデンス</v>
      </c>
      <c r="E835" s="1" t="str">
        <f aca="false">IF($A835="","",物件マスタ!H835)</f>
        <v>東京経済圏（KDX区分）</v>
      </c>
      <c r="F835" s="1" t="n">
        <f aca="false">IF($A835="","",物件マスタ!P835)</f>
        <v>0</v>
      </c>
      <c r="G835" s="1" t="str">
        <f aca="false">IF($A835="","",物件マスタ!Q835)</f>
        <v/>
      </c>
      <c r="H835" s="1" t="n">
        <f aca="false">IF($A835="","",物件マスタ!L835)</f>
        <v>0</v>
      </c>
      <c r="I835" s="1" t="n">
        <f aca="false">IF($A835="","",物件マスタ!M835)</f>
        <v>2491.66</v>
      </c>
      <c r="J835" s="1" t="n">
        <f aca="false">IF($A835="","",物件マスタ!S835)</f>
        <v>1910</v>
      </c>
      <c r="K835" s="1" t="n">
        <f aca="false">IF($A835="","",物件マスタ!U835)</f>
        <v>2020</v>
      </c>
      <c r="L835" s="1" t="n">
        <f aca="false">IF($A835="","",物件マスタ!W835)</f>
        <v>0.937</v>
      </c>
      <c r="M835" s="1" t="str">
        <f aca="false">IF($A835="","",IFERROR(INDEX(法人マスタ!$H:$H,MATCH($B835,法人マスタ!$A:$A,0)),""))</f>
        <v>2026年4月期（第42期）</v>
      </c>
      <c r="N835" s="1" t="n">
        <f aca="false">IF($A835="","",SUMIFS(物件収支!$D:$D,物件収支!$A:$A,$A835,物件収支!$C:$C,$M835))</f>
        <v>6</v>
      </c>
      <c r="O835" s="1" t="n">
        <f aca="false">IF($A835="","",SUMIFS(物件収支!$F:$F,物件収支!$A:$A,$A835,物件収支!$C:$C,$M835))</f>
        <v>52000</v>
      </c>
      <c r="P835" s="1" t="n">
        <f aca="false">IF($A835="","",SUMIFS(物件収支!$I:$I,物件収支!$A:$A,$A835,物件収支!$C:$C,$M835))</f>
        <v>0</v>
      </c>
      <c r="Q835" s="1" t="n">
        <f aca="false">IF($A835="","",SUMIFS(物件収支!$O:$O,物件収支!$A:$A,$A835,物件収支!$C:$C,$M835))</f>
        <v>0</v>
      </c>
      <c r="R835" s="1" t="str">
        <f aca="false">IF($A835="","",IF(P835=0,"",O835-P835))</f>
        <v/>
      </c>
      <c r="S835" s="1" t="str">
        <f aca="false">IF($A835="","",IF(R835="","",R835+Q835))</f>
        <v/>
      </c>
      <c r="T835" s="1" t="str">
        <f aca="false">IF($A835="","",IF(OR(S835="",N835&lt;=0),"",S835/1000*12/N835))</f>
        <v/>
      </c>
      <c r="U835" s="1" t="str">
        <f aca="false">IF($A835="","",IF(OR(T835="",J835=0,J835=""),"",T835/J835))</f>
        <v/>
      </c>
      <c r="V835" s="1" t="str">
        <f aca="false">IF($A835="","",IF(OR(R835="",N835&lt;=0,J835=0,J835=""),"",(R835/1000*12/N835)/J835))</f>
        <v/>
      </c>
      <c r="W835" s="1" t="str">
        <f aca="false">IF($A835="","",IF(OR(T835="",K835=0,K835=""),"",T835/K835))</f>
        <v/>
      </c>
      <c r="X835" s="1" t="n">
        <f aca="false">IF($A835="","",IF(OR(N835&lt;=0,I835=0,I835="",O835=0),"",O835*1000/(I835*0.3025)/N835))</f>
        <v>11498.4138048718</v>
      </c>
      <c r="Y835" s="1" t="str">
        <f aca="false">IF($A835="","",IF(OR(O835=0,O835="",P835=0),"",P835/O835))</f>
        <v/>
      </c>
      <c r="Z835" s="1" t="str">
        <f aca="false">IF($A835="","",IFERROR(INDEX(物件収支!$E:$E,MATCH($A835,物件収支!$A:$A,0)),""))</f>
        <v>開示（物件別・収益のみ・百万円単位）</v>
      </c>
    </row>
    <row r="836" customFormat="false" ht="15" hidden="false" customHeight="true" outlineLevel="0" collapsed="false">
      <c r="A836" s="1" t="str">
        <f aca="false">IF(物件マスタ!A836="","",物件マスタ!A836)</f>
        <v>KDX-095</v>
      </c>
      <c r="B836" s="1" t="str">
        <f aca="false">IF($A836="","",物件マスタ!B836)</f>
        <v>KDX</v>
      </c>
      <c r="C836" s="1" t="str">
        <f aca="false">IF($A836="","",IFERROR(INDEX(法人マスタ!$C:$C,MATCH($B836,法人マスタ!$A:$A,0)),""))</f>
        <v>ＫＤＸ不動産投資法人</v>
      </c>
      <c r="D836" s="1" t="str">
        <f aca="false">IF($A836="","",物件マスタ!C836)</f>
        <v>KDX岩本町レジデンス</v>
      </c>
      <c r="E836" s="1" t="str">
        <f aca="false">IF($A836="","",物件マスタ!H836)</f>
        <v>東京経済圏（KDX区分）</v>
      </c>
      <c r="F836" s="1" t="n">
        <f aca="false">IF($A836="","",物件マスタ!P836)</f>
        <v>0</v>
      </c>
      <c r="G836" s="1" t="str">
        <f aca="false">IF($A836="","",物件マスタ!Q836)</f>
        <v/>
      </c>
      <c r="H836" s="1" t="n">
        <f aca="false">IF($A836="","",物件マスタ!L836)</f>
        <v>0</v>
      </c>
      <c r="I836" s="1" t="n">
        <f aca="false">IF($A836="","",物件マスタ!M836)</f>
        <v>1131.24</v>
      </c>
      <c r="J836" s="1" t="n">
        <f aca="false">IF($A836="","",物件マスタ!S836)</f>
        <v>1290</v>
      </c>
      <c r="K836" s="1" t="n">
        <f aca="false">IF($A836="","",物件マスタ!U836)</f>
        <v>1330</v>
      </c>
      <c r="L836" s="1" t="n">
        <f aca="false">IF($A836="","",物件マスタ!W836)</f>
        <v>0.972</v>
      </c>
      <c r="M836" s="1" t="str">
        <f aca="false">IF($A836="","",IFERROR(INDEX(法人マスタ!$H:$H,MATCH($B836,法人マスタ!$A:$A,0)),""))</f>
        <v>2026年4月期（第42期）</v>
      </c>
      <c r="N836" s="1" t="n">
        <f aca="false">IF($A836="","",SUMIFS(物件収支!$D:$D,物件収支!$A:$A,$A836,物件収支!$C:$C,$M836))</f>
        <v>6</v>
      </c>
      <c r="O836" s="1" t="n">
        <f aca="false">IF($A836="","",SUMIFS(物件収支!$F:$F,物件収支!$A:$A,$A836,物件収支!$C:$C,$M836))</f>
        <v>30000</v>
      </c>
      <c r="P836" s="1" t="n">
        <f aca="false">IF($A836="","",SUMIFS(物件収支!$I:$I,物件収支!$A:$A,$A836,物件収支!$C:$C,$M836))</f>
        <v>0</v>
      </c>
      <c r="Q836" s="1" t="n">
        <f aca="false">IF($A836="","",SUMIFS(物件収支!$O:$O,物件収支!$A:$A,$A836,物件収支!$C:$C,$M836))</f>
        <v>0</v>
      </c>
      <c r="R836" s="1" t="str">
        <f aca="false">IF($A836="","",IF(P836=0,"",O836-P836))</f>
        <v/>
      </c>
      <c r="S836" s="1" t="str">
        <f aca="false">IF($A836="","",IF(R836="","",R836+Q836))</f>
        <v/>
      </c>
      <c r="T836" s="1" t="str">
        <f aca="false">IF($A836="","",IF(OR(S836="",N836&lt;=0),"",S836/1000*12/N836))</f>
        <v/>
      </c>
      <c r="U836" s="1" t="str">
        <f aca="false">IF($A836="","",IF(OR(T836="",J836=0,J836=""),"",T836/J836))</f>
        <v/>
      </c>
      <c r="V836" s="1" t="str">
        <f aca="false">IF($A836="","",IF(OR(R836="",N836&lt;=0,J836=0,J836=""),"",(R836/1000*12/N836)/J836))</f>
        <v/>
      </c>
      <c r="W836" s="1" t="str">
        <f aca="false">IF($A836="","",IF(OR(T836="",K836=0,K836=""),"",T836/K836))</f>
        <v/>
      </c>
      <c r="X836" s="1" t="n">
        <f aca="false">IF($A836="","",IF(OR(N836&lt;=0,I836=0,I836="",O836=0),"",O836*1000/(I836*0.3025)/N836))</f>
        <v>14611.3341287744</v>
      </c>
      <c r="Y836" s="1" t="str">
        <f aca="false">IF($A836="","",IF(OR(O836=0,O836="",P836=0),"",P836/O836))</f>
        <v/>
      </c>
      <c r="Z836" s="1" t="str">
        <f aca="false">IF($A836="","",IFERROR(INDEX(物件収支!$E:$E,MATCH($A836,物件収支!$A:$A,0)),""))</f>
        <v>開示（物件別・収益のみ・百万円単位）</v>
      </c>
    </row>
    <row r="837" customFormat="false" ht="15" hidden="false" customHeight="true" outlineLevel="0" collapsed="false">
      <c r="A837" s="1" t="str">
        <f aca="false">IF(物件マスタ!A837="","",物件マスタ!A837)</f>
        <v>KDX-096</v>
      </c>
      <c r="B837" s="1" t="str">
        <f aca="false">IF($A837="","",物件マスタ!B837)</f>
        <v>KDX</v>
      </c>
      <c r="C837" s="1" t="str">
        <f aca="false">IF($A837="","",IFERROR(INDEX(法人マスタ!$C:$C,MATCH($B837,法人マスタ!$A:$A,0)),""))</f>
        <v>ＫＤＸ不動産投資法人</v>
      </c>
      <c r="D837" s="1" t="str">
        <f aca="false">IF($A837="","",物件マスタ!C837)</f>
        <v>KDX吾妻橋レジデンス</v>
      </c>
      <c r="E837" s="1" t="str">
        <f aca="false">IF($A837="","",物件マスタ!H837)</f>
        <v>東京経済圏（KDX区分）</v>
      </c>
      <c r="F837" s="1" t="n">
        <f aca="false">IF($A837="","",物件マスタ!P837)</f>
        <v>0</v>
      </c>
      <c r="G837" s="1" t="str">
        <f aca="false">IF($A837="","",物件マスタ!Q837)</f>
        <v/>
      </c>
      <c r="H837" s="1" t="n">
        <f aca="false">IF($A837="","",物件マスタ!L837)</f>
        <v>0</v>
      </c>
      <c r="I837" s="1" t="n">
        <f aca="false">IF($A837="","",物件マスタ!M837)</f>
        <v>1054.83</v>
      </c>
      <c r="J837" s="1" t="n">
        <f aca="false">IF($A837="","",物件マスタ!S837)</f>
        <v>1160</v>
      </c>
      <c r="K837" s="1" t="n">
        <f aca="false">IF($A837="","",物件マスタ!U837)</f>
        <v>1230</v>
      </c>
      <c r="L837" s="1" t="n">
        <f aca="false">IF($A837="","",物件マスタ!W837)</f>
        <v>1</v>
      </c>
      <c r="M837" s="1" t="str">
        <f aca="false">IF($A837="","",IFERROR(INDEX(法人マスタ!$H:$H,MATCH($B837,法人マスタ!$A:$A,0)),""))</f>
        <v>2026年4月期（第42期）</v>
      </c>
      <c r="N837" s="1" t="n">
        <f aca="false">IF($A837="","",SUMIFS(物件収支!$D:$D,物件収支!$A:$A,$A837,物件収支!$C:$C,$M837))</f>
        <v>6</v>
      </c>
      <c r="O837" s="1" t="n">
        <f aca="false">IF($A837="","",SUMIFS(物件収支!$F:$F,物件収支!$A:$A,$A837,物件収支!$C:$C,$M837))</f>
        <v>28000</v>
      </c>
      <c r="P837" s="1" t="n">
        <f aca="false">IF($A837="","",SUMIFS(物件収支!$I:$I,物件収支!$A:$A,$A837,物件収支!$C:$C,$M837))</f>
        <v>0</v>
      </c>
      <c r="Q837" s="1" t="n">
        <f aca="false">IF($A837="","",SUMIFS(物件収支!$O:$O,物件収支!$A:$A,$A837,物件収支!$C:$C,$M837))</f>
        <v>0</v>
      </c>
      <c r="R837" s="1" t="str">
        <f aca="false">IF($A837="","",IF(P837=0,"",O837-P837))</f>
        <v/>
      </c>
      <c r="S837" s="1" t="str">
        <f aca="false">IF($A837="","",IF(R837="","",R837+Q837))</f>
        <v/>
      </c>
      <c r="T837" s="1" t="str">
        <f aca="false">IF($A837="","",IF(OR(S837="",N837&lt;=0),"",S837/1000*12/N837))</f>
        <v/>
      </c>
      <c r="U837" s="1" t="str">
        <f aca="false">IF($A837="","",IF(OR(T837="",J837=0,J837=""),"",T837/J837))</f>
        <v/>
      </c>
      <c r="V837" s="1" t="str">
        <f aca="false">IF($A837="","",IF(OR(R837="",N837&lt;=0,J837=0,J837=""),"",(R837/1000*12/N837)/J837))</f>
        <v/>
      </c>
      <c r="W837" s="1" t="str">
        <f aca="false">IF($A837="","",IF(OR(T837="",K837=0,K837=""),"",T837/K837))</f>
        <v/>
      </c>
      <c r="X837" s="1" t="n">
        <f aca="false">IF($A837="","",IF(OR(N837&lt;=0,I837=0,I837="",O837=0),"",O837*1000/(I837*0.3025)/N837))</f>
        <v>14625.1028556062</v>
      </c>
      <c r="Y837" s="1" t="str">
        <f aca="false">IF($A837="","",IF(OR(O837=0,O837="",P837=0),"",P837/O837))</f>
        <v/>
      </c>
      <c r="Z837" s="1" t="str">
        <f aca="false">IF($A837="","",IFERROR(INDEX(物件収支!$E:$E,MATCH($A837,物件収支!$A:$A,0)),""))</f>
        <v>開示（物件別・収益のみ・百万円単位）</v>
      </c>
    </row>
    <row r="838" customFormat="false" ht="15" hidden="false" customHeight="true" outlineLevel="0" collapsed="false">
      <c r="A838" s="1" t="str">
        <f aca="false">IF(物件マスタ!A838="","",物件マスタ!A838)</f>
        <v>KDX-097</v>
      </c>
      <c r="B838" s="1" t="str">
        <f aca="false">IF($A838="","",物件マスタ!B838)</f>
        <v>KDX</v>
      </c>
      <c r="C838" s="1" t="str">
        <f aca="false">IF($A838="","",IFERROR(INDEX(法人マスタ!$C:$C,MATCH($B838,法人マスタ!$A:$A,0)),""))</f>
        <v>ＫＤＸ不動産投資法人</v>
      </c>
      <c r="D838" s="1" t="str">
        <f aca="false">IF($A838="","",物件マスタ!C838)</f>
        <v>KDXレジデンス東新宿</v>
      </c>
      <c r="E838" s="1" t="str">
        <f aca="false">IF($A838="","",物件マスタ!H838)</f>
        <v>東京経済圏（KDX区分）</v>
      </c>
      <c r="F838" s="1" t="n">
        <f aca="false">IF($A838="","",物件マスタ!P838)</f>
        <v>0</v>
      </c>
      <c r="G838" s="1" t="str">
        <f aca="false">IF($A838="","",物件マスタ!Q838)</f>
        <v/>
      </c>
      <c r="H838" s="1" t="n">
        <f aca="false">IF($A838="","",物件マスタ!L838)</f>
        <v>0</v>
      </c>
      <c r="I838" s="1" t="n">
        <f aca="false">IF($A838="","",物件マスタ!M838)</f>
        <v>4358.43</v>
      </c>
      <c r="J838" s="1" t="n">
        <f aca="false">IF($A838="","",物件マスタ!S838)</f>
        <v>5130</v>
      </c>
      <c r="K838" s="1" t="n">
        <f aca="false">IF($A838="","",物件マスタ!U838)</f>
        <v>5610</v>
      </c>
      <c r="L838" s="1" t="n">
        <f aca="false">IF($A838="","",物件マスタ!W838)</f>
        <v>0.99</v>
      </c>
      <c r="M838" s="1" t="str">
        <f aca="false">IF($A838="","",IFERROR(INDEX(法人マスタ!$H:$H,MATCH($B838,法人マスタ!$A:$A,0)),""))</f>
        <v>2026年4月期（第42期）</v>
      </c>
      <c r="N838" s="1" t="n">
        <f aca="false">IF($A838="","",SUMIFS(物件収支!$D:$D,物件収支!$A:$A,$A838,物件収支!$C:$C,$M838))</f>
        <v>6</v>
      </c>
      <c r="O838" s="1" t="n">
        <f aca="false">IF($A838="","",SUMIFS(物件収支!$F:$F,物件収支!$A:$A,$A838,物件収支!$C:$C,$M838))</f>
        <v>118000</v>
      </c>
      <c r="P838" s="1" t="n">
        <f aca="false">IF($A838="","",SUMIFS(物件収支!$I:$I,物件収支!$A:$A,$A838,物件収支!$C:$C,$M838))</f>
        <v>0</v>
      </c>
      <c r="Q838" s="1" t="n">
        <f aca="false">IF($A838="","",SUMIFS(物件収支!$O:$O,物件収支!$A:$A,$A838,物件収支!$C:$C,$M838))</f>
        <v>0</v>
      </c>
      <c r="R838" s="1" t="str">
        <f aca="false">IF($A838="","",IF(P838=0,"",O838-P838))</f>
        <v/>
      </c>
      <c r="S838" s="1" t="str">
        <f aca="false">IF($A838="","",IF(R838="","",R838+Q838))</f>
        <v/>
      </c>
      <c r="T838" s="1" t="str">
        <f aca="false">IF($A838="","",IF(OR(S838="",N838&lt;=0),"",S838/1000*12/N838))</f>
        <v/>
      </c>
      <c r="U838" s="1" t="str">
        <f aca="false">IF($A838="","",IF(OR(T838="",J838=0,J838=""),"",T838/J838))</f>
        <v/>
      </c>
      <c r="V838" s="1" t="str">
        <f aca="false">IF($A838="","",IF(OR(R838="",N838&lt;=0,J838=0,J838=""),"",(R838/1000*12/N838)/J838))</f>
        <v/>
      </c>
      <c r="W838" s="1" t="str">
        <f aca="false">IF($A838="","",IF(OR(T838="",K838=0,K838=""),"",T838/K838))</f>
        <v/>
      </c>
      <c r="X838" s="1" t="n">
        <f aca="false">IF($A838="","",IF(OR(N838&lt;=0,I838=0,I838="",O838=0),"",O838*1000/(I838*0.3025)/N838))</f>
        <v>14916.7874910652</v>
      </c>
      <c r="Y838" s="1" t="str">
        <f aca="false">IF($A838="","",IF(OR(O838=0,O838="",P838=0),"",P838/O838))</f>
        <v/>
      </c>
      <c r="Z838" s="1" t="str">
        <f aca="false">IF($A838="","",IFERROR(INDEX(物件収支!$E:$E,MATCH($A838,物件収支!$A:$A,0)),""))</f>
        <v>開示（物件別・収益のみ・百万円単位）</v>
      </c>
    </row>
    <row r="839" customFormat="false" ht="15" hidden="false" customHeight="true" outlineLevel="0" collapsed="false">
      <c r="A839" s="1" t="str">
        <f aca="false">IF(物件マスタ!A839="","",物件マスタ!A839)</f>
        <v>KDX-098</v>
      </c>
      <c r="B839" s="1" t="str">
        <f aca="false">IF($A839="","",物件マスタ!B839)</f>
        <v>KDX</v>
      </c>
      <c r="C839" s="1" t="str">
        <f aca="false">IF($A839="","",IFERROR(INDEX(法人マスタ!$C:$C,MATCH($B839,法人マスタ!$A:$A,0)),""))</f>
        <v>ＫＤＸ不動産投資法人</v>
      </c>
      <c r="D839" s="1" t="str">
        <f aca="false">IF($A839="","",物件マスタ!C839)</f>
        <v>KDXレジデンス日本橋水天宮</v>
      </c>
      <c r="E839" s="1" t="str">
        <f aca="false">IF($A839="","",物件マスタ!H839)</f>
        <v>東京経済圏（KDX区分）</v>
      </c>
      <c r="F839" s="1" t="n">
        <f aca="false">IF($A839="","",物件マスタ!P839)</f>
        <v>0</v>
      </c>
      <c r="G839" s="1" t="str">
        <f aca="false">IF($A839="","",物件マスタ!Q839)</f>
        <v/>
      </c>
      <c r="H839" s="1" t="n">
        <f aca="false">IF($A839="","",物件マスタ!L839)</f>
        <v>0</v>
      </c>
      <c r="I839" s="1" t="n">
        <f aca="false">IF($A839="","",物件マスタ!M839)</f>
        <v>5534.86</v>
      </c>
      <c r="J839" s="1" t="n">
        <f aca="false">IF($A839="","",物件マスタ!S839)</f>
        <v>4750</v>
      </c>
      <c r="K839" s="1" t="n">
        <f aca="false">IF($A839="","",物件マスタ!U839)</f>
        <v>4750</v>
      </c>
      <c r="L839" s="1" t="n">
        <f aca="false">IF($A839="","",物件マスタ!W839)</f>
        <v>1</v>
      </c>
      <c r="M839" s="1" t="str">
        <f aca="false">IF($A839="","",IFERROR(INDEX(法人マスタ!$H:$H,MATCH($B839,法人マスタ!$A:$A,0)),""))</f>
        <v>2026年4月期（第42期）</v>
      </c>
      <c r="N839" s="1" t="n">
        <f aca="false">IF($A839="","",SUMIFS(物件収支!$D:$D,物件収支!$A:$A,$A839,物件収支!$C:$C,$M839))</f>
        <v>6</v>
      </c>
      <c r="O839" s="1" t="n">
        <f aca="false">IF($A839="","",SUMIFS(物件収支!$F:$F,物件収支!$A:$A,$A839,物件収支!$C:$C,$M839))</f>
        <v>110000</v>
      </c>
      <c r="P839" s="1" t="n">
        <f aca="false">IF($A839="","",SUMIFS(物件収支!$I:$I,物件収支!$A:$A,$A839,物件収支!$C:$C,$M839))</f>
        <v>0</v>
      </c>
      <c r="Q839" s="1" t="n">
        <f aca="false">IF($A839="","",SUMIFS(物件収支!$O:$O,物件収支!$A:$A,$A839,物件収支!$C:$C,$M839))</f>
        <v>0</v>
      </c>
      <c r="R839" s="1" t="str">
        <f aca="false">IF($A839="","",IF(P839=0,"",O839-P839))</f>
        <v/>
      </c>
      <c r="S839" s="1" t="str">
        <f aca="false">IF($A839="","",IF(R839="","",R839+Q839))</f>
        <v/>
      </c>
      <c r="T839" s="1" t="str">
        <f aca="false">IF($A839="","",IF(OR(S839="",N839&lt;=0),"",S839/1000*12/N839))</f>
        <v/>
      </c>
      <c r="U839" s="1" t="str">
        <f aca="false">IF($A839="","",IF(OR(T839="",J839=0,J839=""),"",T839/J839))</f>
        <v/>
      </c>
      <c r="V839" s="1" t="str">
        <f aca="false">IF($A839="","",IF(OR(R839="",N839&lt;=0,J839=0,J839=""),"",(R839/1000*12/N839)/J839))</f>
        <v/>
      </c>
      <c r="W839" s="1" t="str">
        <f aca="false">IF($A839="","",IF(OR(T839="",K839=0,K839=""),"",T839/K839))</f>
        <v/>
      </c>
      <c r="X839" s="1" t="n">
        <f aca="false">IF($A839="","",IF(OR(N839&lt;=0,I839=0,I839="",O839=0),"",O839*1000/(I839*0.3025)/N839))</f>
        <v>10949.8814073094</v>
      </c>
      <c r="Y839" s="1" t="str">
        <f aca="false">IF($A839="","",IF(OR(O839=0,O839="",P839=0),"",P839/O839))</f>
        <v/>
      </c>
      <c r="Z839" s="1" t="str">
        <f aca="false">IF($A839="","",IFERROR(INDEX(物件収支!$E:$E,MATCH($A839,物件収支!$A:$A,0)),""))</f>
        <v>開示（物件別・収益のみ・百万円単位）</v>
      </c>
    </row>
    <row r="840" customFormat="false" ht="15" hidden="false" customHeight="true" outlineLevel="0" collapsed="false">
      <c r="A840" s="1" t="str">
        <f aca="false">IF(物件マスタ!A840="","",物件マスタ!A840)</f>
        <v>KDX-099</v>
      </c>
      <c r="B840" s="1" t="str">
        <f aca="false">IF($A840="","",物件マスタ!B840)</f>
        <v>KDX</v>
      </c>
      <c r="C840" s="1" t="str">
        <f aca="false">IF($A840="","",IFERROR(INDEX(法人マスタ!$C:$C,MATCH($B840,法人マスタ!$A:$A,0)),""))</f>
        <v>ＫＤＸ不動産投資法人</v>
      </c>
      <c r="D840" s="1" t="str">
        <f aca="false">IF($A840="","",物件マスタ!C840)</f>
        <v>KDXレジデンス白金I</v>
      </c>
      <c r="E840" s="1" t="str">
        <f aca="false">IF($A840="","",物件マスタ!H840)</f>
        <v>東京経済圏（KDX区分）</v>
      </c>
      <c r="F840" s="1" t="n">
        <f aca="false">IF($A840="","",物件マスタ!P840)</f>
        <v>0</v>
      </c>
      <c r="G840" s="1" t="str">
        <f aca="false">IF($A840="","",物件マスタ!Q840)</f>
        <v/>
      </c>
      <c r="H840" s="1" t="n">
        <f aca="false">IF($A840="","",物件マスタ!L840)</f>
        <v>0</v>
      </c>
      <c r="I840" s="1" t="n">
        <f aca="false">IF($A840="","",物件マスタ!M840)</f>
        <v>3617.32</v>
      </c>
      <c r="J840" s="1" t="n">
        <f aca="false">IF($A840="","",物件マスタ!S840)</f>
        <v>4490</v>
      </c>
      <c r="K840" s="1" t="n">
        <f aca="false">IF($A840="","",物件マスタ!U840)</f>
        <v>4210</v>
      </c>
      <c r="L840" s="1" t="n">
        <f aca="false">IF($A840="","",物件マスタ!W840)</f>
        <v>0.975</v>
      </c>
      <c r="M840" s="1" t="str">
        <f aca="false">IF($A840="","",IFERROR(INDEX(法人マスタ!$H:$H,MATCH($B840,法人マスタ!$A:$A,0)),""))</f>
        <v>2026年4月期（第42期）</v>
      </c>
      <c r="N840" s="1" t="n">
        <f aca="false">IF($A840="","",SUMIFS(物件収支!$D:$D,物件収支!$A:$A,$A840,物件収支!$C:$C,$M840))</f>
        <v>6</v>
      </c>
      <c r="O840" s="1" t="n">
        <f aca="false">IF($A840="","",SUMIFS(物件収支!$F:$F,物件収支!$A:$A,$A840,物件収支!$C:$C,$M840))</f>
        <v>117000</v>
      </c>
      <c r="P840" s="1" t="n">
        <f aca="false">IF($A840="","",SUMIFS(物件収支!$I:$I,物件収支!$A:$A,$A840,物件収支!$C:$C,$M840))</f>
        <v>0</v>
      </c>
      <c r="Q840" s="1" t="n">
        <f aca="false">IF($A840="","",SUMIFS(物件収支!$O:$O,物件収支!$A:$A,$A840,物件収支!$C:$C,$M840))</f>
        <v>0</v>
      </c>
      <c r="R840" s="1" t="str">
        <f aca="false">IF($A840="","",IF(P840=0,"",O840-P840))</f>
        <v/>
      </c>
      <c r="S840" s="1" t="str">
        <f aca="false">IF($A840="","",IF(R840="","",R840+Q840))</f>
        <v/>
      </c>
      <c r="T840" s="1" t="str">
        <f aca="false">IF($A840="","",IF(OR(S840="",N840&lt;=0),"",S840/1000*12/N840))</f>
        <v/>
      </c>
      <c r="U840" s="1" t="str">
        <f aca="false">IF($A840="","",IF(OR(T840="",J840=0,J840=""),"",T840/J840))</f>
        <v/>
      </c>
      <c r="V840" s="1" t="str">
        <f aca="false">IF($A840="","",IF(OR(R840="",N840&lt;=0,J840=0,J840=""),"",(R840/1000*12/N840)/J840))</f>
        <v/>
      </c>
      <c r="W840" s="1" t="str">
        <f aca="false">IF($A840="","",IF(OR(T840="",K840=0,K840=""),"",T840/K840))</f>
        <v/>
      </c>
      <c r="X840" s="1" t="n">
        <f aca="false">IF($A840="","",IF(OR(N840&lt;=0,I840=0,I840="",O840=0),"",O840*1000/(I840*0.3025)/N840))</f>
        <v>17820.5992053109</v>
      </c>
      <c r="Y840" s="1" t="str">
        <f aca="false">IF($A840="","",IF(OR(O840=0,O840="",P840=0),"",P840/O840))</f>
        <v/>
      </c>
      <c r="Z840" s="1" t="str">
        <f aca="false">IF($A840="","",IFERROR(INDEX(物件収支!$E:$E,MATCH($A840,物件収支!$A:$A,0)),""))</f>
        <v>開示（物件別・収益のみ・百万円単位）</v>
      </c>
    </row>
    <row r="841" customFormat="false" ht="15" hidden="false" customHeight="true" outlineLevel="0" collapsed="false">
      <c r="A841" s="1" t="str">
        <f aca="false">IF(物件マスタ!A841="","",物件マスタ!A841)</f>
        <v>KDX-100</v>
      </c>
      <c r="B841" s="1" t="str">
        <f aca="false">IF($A841="","",物件マスタ!B841)</f>
        <v>KDX</v>
      </c>
      <c r="C841" s="1" t="str">
        <f aca="false">IF($A841="","",IFERROR(INDEX(法人マスタ!$C:$C,MATCH($B841,法人マスタ!$A:$A,0)),""))</f>
        <v>ＫＤＸ不動産投資法人</v>
      </c>
      <c r="D841" s="1" t="str">
        <f aca="false">IF($A841="","",物件マスタ!C841)</f>
        <v>KDXレジデンス白金II</v>
      </c>
      <c r="E841" s="1" t="str">
        <f aca="false">IF($A841="","",物件マスタ!H841)</f>
        <v>東京経済圏（KDX区分）</v>
      </c>
      <c r="F841" s="1" t="n">
        <f aca="false">IF($A841="","",物件マスタ!P841)</f>
        <v>0</v>
      </c>
      <c r="G841" s="1" t="str">
        <f aca="false">IF($A841="","",物件マスタ!Q841)</f>
        <v/>
      </c>
      <c r="H841" s="1" t="n">
        <f aca="false">IF($A841="","",物件マスタ!L841)</f>
        <v>0</v>
      </c>
      <c r="I841" s="1" t="n">
        <f aca="false">IF($A841="","",物件マスタ!M841)</f>
        <v>2889.66</v>
      </c>
      <c r="J841" s="1" t="n">
        <f aca="false">IF($A841="","",物件マスタ!S841)</f>
        <v>4380</v>
      </c>
      <c r="K841" s="1" t="n">
        <f aca="false">IF($A841="","",物件マスタ!U841)</f>
        <v>4280</v>
      </c>
      <c r="L841" s="1" t="n">
        <f aca="false">IF($A841="","",物件マスタ!W841)</f>
        <v>0.988</v>
      </c>
      <c r="M841" s="1" t="str">
        <f aca="false">IF($A841="","",IFERROR(INDEX(法人マスタ!$H:$H,MATCH($B841,法人マスタ!$A:$A,0)),""))</f>
        <v>2026年4月期（第42期）</v>
      </c>
      <c r="N841" s="1" t="n">
        <f aca="false">IF($A841="","",SUMIFS(物件収支!$D:$D,物件収支!$A:$A,$A841,物件収支!$C:$C,$M841))</f>
        <v>6</v>
      </c>
      <c r="O841" s="1" t="n">
        <f aca="false">IF($A841="","",SUMIFS(物件収支!$F:$F,物件収支!$A:$A,$A841,物件収支!$C:$C,$M841))</f>
        <v>98000</v>
      </c>
      <c r="P841" s="1" t="n">
        <f aca="false">IF($A841="","",SUMIFS(物件収支!$I:$I,物件収支!$A:$A,$A841,物件収支!$C:$C,$M841))</f>
        <v>0</v>
      </c>
      <c r="Q841" s="1" t="n">
        <f aca="false">IF($A841="","",SUMIFS(物件収支!$O:$O,物件収支!$A:$A,$A841,物件収支!$C:$C,$M841))</f>
        <v>0</v>
      </c>
      <c r="R841" s="1" t="str">
        <f aca="false">IF($A841="","",IF(P841=0,"",O841-P841))</f>
        <v/>
      </c>
      <c r="S841" s="1" t="str">
        <f aca="false">IF($A841="","",IF(R841="","",R841+Q841))</f>
        <v/>
      </c>
      <c r="T841" s="1" t="str">
        <f aca="false">IF($A841="","",IF(OR(S841="",N841&lt;=0),"",S841/1000*12/N841))</f>
        <v/>
      </c>
      <c r="U841" s="1" t="str">
        <f aca="false">IF($A841="","",IF(OR(T841="",J841=0,J841=""),"",T841/J841))</f>
        <v/>
      </c>
      <c r="V841" s="1" t="str">
        <f aca="false">IF($A841="","",IF(OR(R841="",N841&lt;=0,J841=0,J841=""),"",(R841/1000*12/N841)/J841))</f>
        <v/>
      </c>
      <c r="W841" s="1" t="str">
        <f aca="false">IF($A841="","",IF(OR(T841="",K841=0,K841=""),"",T841/K841))</f>
        <v/>
      </c>
      <c r="X841" s="1" t="n">
        <f aca="false">IF($A841="","",IF(OR(N841&lt;=0,I841=0,I841="",O841=0),"",O841*1000/(I841*0.3025)/N841))</f>
        <v>18685.4129406666</v>
      </c>
      <c r="Y841" s="1" t="str">
        <f aca="false">IF($A841="","",IF(OR(O841=0,O841="",P841=0),"",P841/O841))</f>
        <v/>
      </c>
      <c r="Z841" s="1" t="str">
        <f aca="false">IF($A841="","",IFERROR(INDEX(物件収支!$E:$E,MATCH($A841,物件収支!$A:$A,0)),""))</f>
        <v>開示（物件別・収益のみ・百万円単位）</v>
      </c>
    </row>
    <row r="842" customFormat="false" ht="15" hidden="false" customHeight="true" outlineLevel="0" collapsed="false">
      <c r="A842" s="1" t="str">
        <f aca="false">IF(物件マスタ!A842="","",物件マスタ!A842)</f>
        <v>KDX-101</v>
      </c>
      <c r="B842" s="1" t="str">
        <f aca="false">IF($A842="","",物件マスタ!B842)</f>
        <v>KDX</v>
      </c>
      <c r="C842" s="1" t="str">
        <f aca="false">IF($A842="","",IFERROR(INDEX(法人マスタ!$C:$C,MATCH($B842,法人マスタ!$A:$A,0)),""))</f>
        <v>ＫＤＸ不動産投資法人</v>
      </c>
      <c r="D842" s="1" t="str">
        <f aca="false">IF($A842="","",物件マスタ!C842)</f>
        <v>KDXレジデンス四谷</v>
      </c>
      <c r="E842" s="1" t="str">
        <f aca="false">IF($A842="","",物件マスタ!H842)</f>
        <v>東京経済圏（KDX区分）</v>
      </c>
      <c r="F842" s="1" t="n">
        <f aca="false">IF($A842="","",物件マスタ!P842)</f>
        <v>0</v>
      </c>
      <c r="G842" s="1" t="str">
        <f aca="false">IF($A842="","",物件マスタ!Q842)</f>
        <v/>
      </c>
      <c r="H842" s="1" t="n">
        <f aca="false">IF($A842="","",物件マスタ!L842)</f>
        <v>0</v>
      </c>
      <c r="I842" s="1" t="n">
        <f aca="false">IF($A842="","",物件マスタ!M842)</f>
        <v>3101.16</v>
      </c>
      <c r="J842" s="1" t="n">
        <f aca="false">IF($A842="","",物件マスタ!S842)</f>
        <v>3710</v>
      </c>
      <c r="K842" s="1" t="n">
        <f aca="false">IF($A842="","",物件マスタ!U842)</f>
        <v>3840</v>
      </c>
      <c r="L842" s="1" t="n">
        <f aca="false">IF($A842="","",物件マスタ!W842)</f>
        <v>0.981</v>
      </c>
      <c r="M842" s="1" t="str">
        <f aca="false">IF($A842="","",IFERROR(INDEX(法人マスタ!$H:$H,MATCH($B842,法人マスタ!$A:$A,0)),""))</f>
        <v>2026年4月期（第42期）</v>
      </c>
      <c r="N842" s="1" t="n">
        <f aca="false">IF($A842="","",SUMIFS(物件収支!$D:$D,物件収支!$A:$A,$A842,物件収支!$C:$C,$M842))</f>
        <v>6</v>
      </c>
      <c r="O842" s="1" t="n">
        <f aca="false">IF($A842="","",SUMIFS(物件収支!$F:$F,物件収支!$A:$A,$A842,物件収支!$C:$C,$M842))</f>
        <v>90000</v>
      </c>
      <c r="P842" s="1" t="n">
        <f aca="false">IF($A842="","",SUMIFS(物件収支!$I:$I,物件収支!$A:$A,$A842,物件収支!$C:$C,$M842))</f>
        <v>0</v>
      </c>
      <c r="Q842" s="1" t="n">
        <f aca="false">IF($A842="","",SUMIFS(物件収支!$O:$O,物件収支!$A:$A,$A842,物件収支!$C:$C,$M842))</f>
        <v>0</v>
      </c>
      <c r="R842" s="1" t="str">
        <f aca="false">IF($A842="","",IF(P842=0,"",O842-P842))</f>
        <v/>
      </c>
      <c r="S842" s="1" t="str">
        <f aca="false">IF($A842="","",IF(R842="","",R842+Q842))</f>
        <v/>
      </c>
      <c r="T842" s="1" t="str">
        <f aca="false">IF($A842="","",IF(OR(S842="",N842&lt;=0),"",S842/1000*12/N842))</f>
        <v/>
      </c>
      <c r="U842" s="1" t="str">
        <f aca="false">IF($A842="","",IF(OR(T842="",J842=0,J842=""),"",T842/J842))</f>
        <v/>
      </c>
      <c r="V842" s="1" t="str">
        <f aca="false">IF($A842="","",IF(OR(R842="",N842&lt;=0,J842=0,J842=""),"",(R842/1000*12/N842)/J842))</f>
        <v/>
      </c>
      <c r="W842" s="1" t="str">
        <f aca="false">IF($A842="","",IF(OR(T842="",K842=0,K842=""),"",T842/K842))</f>
        <v/>
      </c>
      <c r="X842" s="1" t="n">
        <f aca="false">IF($A842="","",IF(OR(N842&lt;=0,I842=0,I842="",O842=0),"",O842*1000/(I842*0.3025)/N842))</f>
        <v>15989.751209065</v>
      </c>
      <c r="Y842" s="1" t="str">
        <f aca="false">IF($A842="","",IF(OR(O842=0,O842="",P842=0),"",P842/O842))</f>
        <v/>
      </c>
      <c r="Z842" s="1" t="str">
        <f aca="false">IF($A842="","",IFERROR(INDEX(物件収支!$E:$E,MATCH($A842,物件収支!$A:$A,0)),""))</f>
        <v>開示（物件別・収益のみ・百万円単位）</v>
      </c>
    </row>
    <row r="843" customFormat="false" ht="15" hidden="false" customHeight="true" outlineLevel="0" collapsed="false">
      <c r="A843" s="1" t="str">
        <f aca="false">IF(物件マスタ!A843="","",物件マスタ!A843)</f>
        <v>KDX-102</v>
      </c>
      <c r="B843" s="1" t="str">
        <f aca="false">IF($A843="","",物件マスタ!B843)</f>
        <v>KDX</v>
      </c>
      <c r="C843" s="1" t="str">
        <f aca="false">IF($A843="","",IFERROR(INDEX(法人マスタ!$C:$C,MATCH($B843,法人マスタ!$A:$A,0)),""))</f>
        <v>ＫＤＸ不動産投資法人</v>
      </c>
      <c r="D843" s="1" t="str">
        <f aca="false">IF($A843="","",物件マスタ!C843)</f>
        <v>KDXレジデンス南麻布</v>
      </c>
      <c r="E843" s="1" t="str">
        <f aca="false">IF($A843="","",物件マスタ!H843)</f>
        <v>東京経済圏（KDX区分）</v>
      </c>
      <c r="F843" s="1" t="n">
        <f aca="false">IF($A843="","",物件マスタ!P843)</f>
        <v>0</v>
      </c>
      <c r="G843" s="1" t="str">
        <f aca="false">IF($A843="","",物件マスタ!Q843)</f>
        <v/>
      </c>
      <c r="H843" s="1" t="n">
        <f aca="false">IF($A843="","",物件マスタ!L843)</f>
        <v>0</v>
      </c>
      <c r="I843" s="1" t="n">
        <f aca="false">IF($A843="","",物件マスタ!M843)</f>
        <v>2785.42</v>
      </c>
      <c r="J843" s="1" t="n">
        <f aca="false">IF($A843="","",物件マスタ!S843)</f>
        <v>3400</v>
      </c>
      <c r="K843" s="1" t="n">
        <f aca="false">IF($A843="","",物件マスタ!U843)</f>
        <v>3790</v>
      </c>
      <c r="L843" s="1" t="n">
        <f aca="false">IF($A843="","",物件マスタ!W843)</f>
        <v>0.985</v>
      </c>
      <c r="M843" s="1" t="str">
        <f aca="false">IF($A843="","",IFERROR(INDEX(法人マスタ!$H:$H,MATCH($B843,法人マスタ!$A:$A,0)),""))</f>
        <v>2026年4月期（第42期）</v>
      </c>
      <c r="N843" s="1" t="n">
        <f aca="false">IF($A843="","",SUMIFS(物件収支!$D:$D,物件収支!$A:$A,$A843,物件収支!$C:$C,$M843))</f>
        <v>6</v>
      </c>
      <c r="O843" s="1" t="n">
        <f aca="false">IF($A843="","",SUMIFS(物件収支!$F:$F,物件収支!$A:$A,$A843,物件収支!$C:$C,$M843))</f>
        <v>79000</v>
      </c>
      <c r="P843" s="1" t="n">
        <f aca="false">IF($A843="","",SUMIFS(物件収支!$I:$I,物件収支!$A:$A,$A843,物件収支!$C:$C,$M843))</f>
        <v>0</v>
      </c>
      <c r="Q843" s="1" t="n">
        <f aca="false">IF($A843="","",SUMIFS(物件収支!$O:$O,物件収支!$A:$A,$A843,物件収支!$C:$C,$M843))</f>
        <v>0</v>
      </c>
      <c r="R843" s="1" t="str">
        <f aca="false">IF($A843="","",IF(P843=0,"",O843-P843))</f>
        <v/>
      </c>
      <c r="S843" s="1" t="str">
        <f aca="false">IF($A843="","",IF(R843="","",R843+Q843))</f>
        <v/>
      </c>
      <c r="T843" s="1" t="str">
        <f aca="false">IF($A843="","",IF(OR(S843="",N843&lt;=0),"",S843/1000*12/N843))</f>
        <v/>
      </c>
      <c r="U843" s="1" t="str">
        <f aca="false">IF($A843="","",IF(OR(T843="",J843=0,J843=""),"",T843/J843))</f>
        <v/>
      </c>
      <c r="V843" s="1" t="str">
        <f aca="false">IF($A843="","",IF(OR(R843="",N843&lt;=0,J843=0,J843=""),"",(R843/1000*12/N843)/J843))</f>
        <v/>
      </c>
      <c r="W843" s="1" t="str">
        <f aca="false">IF($A843="","",IF(OR(T843="",K843=0,K843=""),"",T843/K843))</f>
        <v/>
      </c>
      <c r="X843" s="1" t="n">
        <f aca="false">IF($A843="","",IF(OR(N843&lt;=0,I843=0,I843="",O843=0),"",O843*1000/(I843*0.3025)/N843))</f>
        <v>15626.4300532408</v>
      </c>
      <c r="Y843" s="1" t="str">
        <f aca="false">IF($A843="","",IF(OR(O843=0,O843="",P843=0),"",P843/O843))</f>
        <v/>
      </c>
      <c r="Z843" s="1" t="str">
        <f aca="false">IF($A843="","",IFERROR(INDEX(物件収支!$E:$E,MATCH($A843,物件収支!$A:$A,0)),""))</f>
        <v>開示（物件別・収益のみ・百万円単位）</v>
      </c>
    </row>
    <row r="844" customFormat="false" ht="15" hidden="false" customHeight="true" outlineLevel="0" collapsed="false">
      <c r="A844" s="1" t="str">
        <f aca="false">IF(物件マスタ!A844="","",物件マスタ!A844)</f>
        <v>KDX-103</v>
      </c>
      <c r="B844" s="1" t="str">
        <f aca="false">IF($A844="","",物件マスタ!B844)</f>
        <v>KDX</v>
      </c>
      <c r="C844" s="1" t="str">
        <f aca="false">IF($A844="","",IFERROR(INDEX(法人マスタ!$C:$C,MATCH($B844,法人マスタ!$A:$A,0)),""))</f>
        <v>ＫＤＸ不動産投資法人</v>
      </c>
      <c r="D844" s="1" t="str">
        <f aca="false">IF($A844="","",物件マスタ!C844)</f>
        <v>KDXレジデンス南青山</v>
      </c>
      <c r="E844" s="1" t="str">
        <f aca="false">IF($A844="","",物件マスタ!H844)</f>
        <v>東京経済圏（KDX区分）</v>
      </c>
      <c r="F844" s="1" t="n">
        <f aca="false">IF($A844="","",物件マスタ!P844)</f>
        <v>0</v>
      </c>
      <c r="G844" s="1" t="str">
        <f aca="false">IF($A844="","",物件マスタ!Q844)</f>
        <v/>
      </c>
      <c r="H844" s="1" t="n">
        <f aca="false">IF($A844="","",物件マスタ!L844)</f>
        <v>0</v>
      </c>
      <c r="I844" s="1" t="n">
        <f aca="false">IF($A844="","",物件マスタ!M844)</f>
        <v>1680.79</v>
      </c>
      <c r="J844" s="1" t="n">
        <f aca="false">IF($A844="","",物件マスタ!S844)</f>
        <v>2840</v>
      </c>
      <c r="K844" s="1" t="n">
        <f aca="false">IF($A844="","",物件マスタ!U844)</f>
        <v>2950</v>
      </c>
      <c r="L844" s="1" t="n">
        <f aca="false">IF($A844="","",物件マスタ!W844)</f>
        <v>0.976</v>
      </c>
      <c r="M844" s="1" t="str">
        <f aca="false">IF($A844="","",IFERROR(INDEX(法人マスタ!$H:$H,MATCH($B844,法人マスタ!$A:$A,0)),""))</f>
        <v>2026年4月期（第42期）</v>
      </c>
      <c r="N844" s="1" t="n">
        <f aca="false">IF($A844="","",SUMIFS(物件収支!$D:$D,物件収支!$A:$A,$A844,物件収支!$C:$C,$M844))</f>
        <v>6</v>
      </c>
      <c r="O844" s="1" t="n">
        <f aca="false">IF($A844="","",SUMIFS(物件収支!$F:$F,物件収支!$A:$A,$A844,物件収支!$C:$C,$M844))</f>
        <v>63000</v>
      </c>
      <c r="P844" s="1" t="n">
        <f aca="false">IF($A844="","",SUMIFS(物件収支!$I:$I,物件収支!$A:$A,$A844,物件収支!$C:$C,$M844))</f>
        <v>0</v>
      </c>
      <c r="Q844" s="1" t="n">
        <f aca="false">IF($A844="","",SUMIFS(物件収支!$O:$O,物件収支!$A:$A,$A844,物件収支!$C:$C,$M844))</f>
        <v>0</v>
      </c>
      <c r="R844" s="1" t="str">
        <f aca="false">IF($A844="","",IF(P844=0,"",O844-P844))</f>
        <v/>
      </c>
      <c r="S844" s="1" t="str">
        <f aca="false">IF($A844="","",IF(R844="","",R844+Q844))</f>
        <v/>
      </c>
      <c r="T844" s="1" t="str">
        <f aca="false">IF($A844="","",IF(OR(S844="",N844&lt;=0),"",S844/1000*12/N844))</f>
        <v/>
      </c>
      <c r="U844" s="1" t="str">
        <f aca="false">IF($A844="","",IF(OR(T844="",J844=0,J844=""),"",T844/J844))</f>
        <v/>
      </c>
      <c r="V844" s="1" t="str">
        <f aca="false">IF($A844="","",IF(OR(R844="",N844&lt;=0,J844=0,J844=""),"",(R844/1000*12/N844)/J844))</f>
        <v/>
      </c>
      <c r="W844" s="1" t="str">
        <f aca="false">IF($A844="","",IF(OR(T844="",K844=0,K844=""),"",T844/K844))</f>
        <v/>
      </c>
      <c r="X844" s="1" t="n">
        <f aca="false">IF($A844="","",IF(OR(N844&lt;=0,I844=0,I844="",O844=0),"",O844*1000/(I844*0.3025)/N844))</f>
        <v>20651.4459281962</v>
      </c>
      <c r="Y844" s="1" t="str">
        <f aca="false">IF($A844="","",IF(OR(O844=0,O844="",P844=0),"",P844/O844))</f>
        <v/>
      </c>
      <c r="Z844" s="1" t="str">
        <f aca="false">IF($A844="","",IFERROR(INDEX(物件収支!$E:$E,MATCH($A844,物件収支!$A:$A,0)),""))</f>
        <v>開示（物件別・収益のみ・百万円単位）</v>
      </c>
    </row>
    <row r="845" customFormat="false" ht="15" hidden="false" customHeight="true" outlineLevel="0" collapsed="false">
      <c r="A845" s="1" t="str">
        <f aca="false">IF(物件マスタ!A845="","",物件マスタ!A845)</f>
        <v>KDX-104</v>
      </c>
      <c r="B845" s="1" t="str">
        <f aca="false">IF($A845="","",物件マスタ!B845)</f>
        <v>KDX</v>
      </c>
      <c r="C845" s="1" t="str">
        <f aca="false">IF($A845="","",IFERROR(INDEX(法人マスタ!$C:$C,MATCH($B845,法人マスタ!$A:$A,0)),""))</f>
        <v>ＫＤＸ不動産投資法人</v>
      </c>
      <c r="D845" s="1" t="str">
        <f aca="false">IF($A845="","",物件マスタ!C845)</f>
        <v>KDXレジデンス芝公園</v>
      </c>
      <c r="E845" s="1" t="str">
        <f aca="false">IF($A845="","",物件マスタ!H845)</f>
        <v>東京経済圏（KDX区分）</v>
      </c>
      <c r="F845" s="1" t="n">
        <f aca="false">IF($A845="","",物件マスタ!P845)</f>
        <v>0</v>
      </c>
      <c r="G845" s="1" t="str">
        <f aca="false">IF($A845="","",物件マスタ!Q845)</f>
        <v/>
      </c>
      <c r="H845" s="1" t="n">
        <f aca="false">IF($A845="","",物件マスタ!L845)</f>
        <v>0</v>
      </c>
      <c r="I845" s="1" t="n">
        <f aca="false">IF($A845="","",物件マスタ!M845)</f>
        <v>2507.52</v>
      </c>
      <c r="J845" s="1" t="n">
        <f aca="false">IF($A845="","",物件マスタ!S845)</f>
        <v>2840</v>
      </c>
      <c r="K845" s="1" t="n">
        <f aca="false">IF($A845="","",物件マスタ!U845)</f>
        <v>3030</v>
      </c>
      <c r="L845" s="1" t="n">
        <f aca="false">IF($A845="","",物件マスタ!W845)</f>
        <v>0.984</v>
      </c>
      <c r="M845" s="1" t="str">
        <f aca="false">IF($A845="","",IFERROR(INDEX(法人マスタ!$H:$H,MATCH($B845,法人マスタ!$A:$A,0)),""))</f>
        <v>2026年4月期（第42期）</v>
      </c>
      <c r="N845" s="1" t="n">
        <f aca="false">IF($A845="","",SUMIFS(物件収支!$D:$D,物件収支!$A:$A,$A845,物件収支!$C:$C,$M845))</f>
        <v>6</v>
      </c>
      <c r="O845" s="1" t="n">
        <f aca="false">IF($A845="","",SUMIFS(物件収支!$F:$F,物件収支!$A:$A,$A845,物件収支!$C:$C,$M845))</f>
        <v>71000</v>
      </c>
      <c r="P845" s="1" t="n">
        <f aca="false">IF($A845="","",SUMIFS(物件収支!$I:$I,物件収支!$A:$A,$A845,物件収支!$C:$C,$M845))</f>
        <v>0</v>
      </c>
      <c r="Q845" s="1" t="n">
        <f aca="false">IF($A845="","",SUMIFS(物件収支!$O:$O,物件収支!$A:$A,$A845,物件収支!$C:$C,$M845))</f>
        <v>0</v>
      </c>
      <c r="R845" s="1" t="str">
        <f aca="false">IF($A845="","",IF(P845=0,"",O845-P845))</f>
        <v/>
      </c>
      <c r="S845" s="1" t="str">
        <f aca="false">IF($A845="","",IF(R845="","",R845+Q845))</f>
        <v/>
      </c>
      <c r="T845" s="1" t="str">
        <f aca="false">IF($A845="","",IF(OR(S845="",N845&lt;=0),"",S845/1000*12/N845))</f>
        <v/>
      </c>
      <c r="U845" s="1" t="str">
        <f aca="false">IF($A845="","",IF(OR(T845="",J845=0,J845=""),"",T845/J845))</f>
        <v/>
      </c>
      <c r="V845" s="1" t="str">
        <f aca="false">IF($A845="","",IF(OR(R845="",N845&lt;=0,J845=0,J845=""),"",(R845/1000*12/N845)/J845))</f>
        <v/>
      </c>
      <c r="W845" s="1" t="str">
        <f aca="false">IF($A845="","",IF(OR(T845="",K845=0,K845=""),"",T845/K845))</f>
        <v/>
      </c>
      <c r="X845" s="1" t="n">
        <f aca="false">IF($A845="","",IF(OR(N845&lt;=0,I845=0,I845="",O845=0),"",O845*1000/(I845*0.3025)/N845))</f>
        <v>15600.4567462176</v>
      </c>
      <c r="Y845" s="1" t="str">
        <f aca="false">IF($A845="","",IF(OR(O845=0,O845="",P845=0),"",P845/O845))</f>
        <v/>
      </c>
      <c r="Z845" s="1" t="str">
        <f aca="false">IF($A845="","",IFERROR(INDEX(物件収支!$E:$E,MATCH($A845,物件収支!$A:$A,0)),""))</f>
        <v>開示（物件別・収益のみ・百万円単位）</v>
      </c>
    </row>
    <row r="846" customFormat="false" ht="15" hidden="false" customHeight="true" outlineLevel="0" collapsed="false">
      <c r="A846" s="1" t="str">
        <f aca="false">IF(物件マスタ!A846="","",物件マスタ!A846)</f>
        <v>KDX-105</v>
      </c>
      <c r="B846" s="1" t="str">
        <f aca="false">IF($A846="","",物件マスタ!B846)</f>
        <v>KDX</v>
      </c>
      <c r="C846" s="1" t="str">
        <f aca="false">IF($A846="","",IFERROR(INDEX(法人マスタ!$C:$C,MATCH($B846,法人マスタ!$A:$A,0)),""))</f>
        <v>ＫＤＸ不動産投資法人</v>
      </c>
      <c r="D846" s="1" t="str">
        <f aca="false">IF($A846="","",物件マスタ!C846)</f>
        <v>KDXレジデンス町田</v>
      </c>
      <c r="E846" s="1" t="str">
        <f aca="false">IF($A846="","",物件マスタ!H846)</f>
        <v>東京経済圏（KDX区分）</v>
      </c>
      <c r="F846" s="1" t="n">
        <f aca="false">IF($A846="","",物件マスタ!P846)</f>
        <v>0</v>
      </c>
      <c r="G846" s="1" t="str">
        <f aca="false">IF($A846="","",物件マスタ!Q846)</f>
        <v/>
      </c>
      <c r="H846" s="1" t="n">
        <f aca="false">IF($A846="","",物件マスタ!L846)</f>
        <v>0</v>
      </c>
      <c r="I846" s="1" t="n">
        <f aca="false">IF($A846="","",物件マスタ!M846)</f>
        <v>3832.53</v>
      </c>
      <c r="J846" s="1" t="n">
        <f aca="false">IF($A846="","",物件マスタ!S846)</f>
        <v>2660</v>
      </c>
      <c r="K846" s="1" t="n">
        <f aca="false">IF($A846="","",物件マスタ!U846)</f>
        <v>2970</v>
      </c>
      <c r="L846" s="1" t="n">
        <f aca="false">IF($A846="","",物件マスタ!W846)</f>
        <v>0.907</v>
      </c>
      <c r="M846" s="1" t="str">
        <f aca="false">IF($A846="","",IFERROR(INDEX(法人マスタ!$H:$H,MATCH($B846,法人マスタ!$A:$A,0)),""))</f>
        <v>2026年4月期（第42期）</v>
      </c>
      <c r="N846" s="1" t="n">
        <f aca="false">IF($A846="","",SUMIFS(物件収支!$D:$D,物件収支!$A:$A,$A846,物件収支!$C:$C,$M846))</f>
        <v>6</v>
      </c>
      <c r="O846" s="1" t="n">
        <f aca="false">IF($A846="","",SUMIFS(物件収支!$F:$F,物件収支!$A:$A,$A846,物件収支!$C:$C,$M846))</f>
        <v>72000</v>
      </c>
      <c r="P846" s="1" t="n">
        <f aca="false">IF($A846="","",SUMIFS(物件収支!$I:$I,物件収支!$A:$A,$A846,物件収支!$C:$C,$M846))</f>
        <v>0</v>
      </c>
      <c r="Q846" s="1" t="n">
        <f aca="false">IF($A846="","",SUMIFS(物件収支!$O:$O,物件収支!$A:$A,$A846,物件収支!$C:$C,$M846))</f>
        <v>0</v>
      </c>
      <c r="R846" s="1" t="str">
        <f aca="false">IF($A846="","",IF(P846=0,"",O846-P846))</f>
        <v/>
      </c>
      <c r="S846" s="1" t="str">
        <f aca="false">IF($A846="","",IF(R846="","",R846+Q846))</f>
        <v/>
      </c>
      <c r="T846" s="1" t="str">
        <f aca="false">IF($A846="","",IF(OR(S846="",N846&lt;=0),"",S846/1000*12/N846))</f>
        <v/>
      </c>
      <c r="U846" s="1" t="str">
        <f aca="false">IF($A846="","",IF(OR(T846="",J846=0,J846=""),"",T846/J846))</f>
        <v/>
      </c>
      <c r="V846" s="1" t="str">
        <f aca="false">IF($A846="","",IF(OR(R846="",N846&lt;=0,J846=0,J846=""),"",(R846/1000*12/N846)/J846))</f>
        <v/>
      </c>
      <c r="W846" s="1" t="str">
        <f aca="false">IF($A846="","",IF(OR(T846="",K846=0,K846=""),"",T846/K846))</f>
        <v/>
      </c>
      <c r="X846" s="1" t="n">
        <f aca="false">IF($A846="","",IF(OR(N846&lt;=0,I846=0,I846="",O846=0),"",O846*1000/(I846*0.3025)/N846))</f>
        <v>10350.7138855021</v>
      </c>
      <c r="Y846" s="1" t="str">
        <f aca="false">IF($A846="","",IF(OR(O846=0,O846="",P846=0),"",P846/O846))</f>
        <v/>
      </c>
      <c r="Z846" s="1" t="str">
        <f aca="false">IF($A846="","",IFERROR(INDEX(物件収支!$E:$E,MATCH($A846,物件収支!$A:$A,0)),""))</f>
        <v>開示（物件別・収益のみ・百万円単位）</v>
      </c>
    </row>
    <row r="847" customFormat="false" ht="15" hidden="false" customHeight="true" outlineLevel="0" collapsed="false">
      <c r="A847" s="1" t="str">
        <f aca="false">IF(物件マスタ!A847="","",物件マスタ!A847)</f>
        <v>KDX-106</v>
      </c>
      <c r="B847" s="1" t="str">
        <f aca="false">IF($A847="","",物件マスタ!B847)</f>
        <v>KDX</v>
      </c>
      <c r="C847" s="1" t="str">
        <f aca="false">IF($A847="","",IFERROR(INDEX(法人マスタ!$C:$C,MATCH($B847,法人マスタ!$A:$A,0)),""))</f>
        <v>ＫＤＸ不動産投資法人</v>
      </c>
      <c r="D847" s="1" t="str">
        <f aca="false">IF($A847="","",物件マスタ!C847)</f>
        <v>KDXレジデンス麻布イースト</v>
      </c>
      <c r="E847" s="1" t="str">
        <f aca="false">IF($A847="","",物件マスタ!H847)</f>
        <v>東京経済圏（KDX区分）</v>
      </c>
      <c r="F847" s="1" t="n">
        <f aca="false">IF($A847="","",物件マスタ!P847)</f>
        <v>0</v>
      </c>
      <c r="G847" s="1" t="str">
        <f aca="false">IF($A847="","",物件マスタ!Q847)</f>
        <v/>
      </c>
      <c r="H847" s="1" t="n">
        <f aca="false">IF($A847="","",物件マスタ!L847)</f>
        <v>0</v>
      </c>
      <c r="I847" s="1" t="n">
        <f aca="false">IF($A847="","",物件マスタ!M847)</f>
        <v>1849</v>
      </c>
      <c r="J847" s="1" t="n">
        <f aca="false">IF($A847="","",物件マスタ!S847)</f>
        <v>2540</v>
      </c>
      <c r="K847" s="1" t="n">
        <f aca="false">IF($A847="","",物件マスタ!U847)</f>
        <v>2780</v>
      </c>
      <c r="L847" s="1" t="n">
        <f aca="false">IF($A847="","",物件マスタ!W847)</f>
        <v>0.977</v>
      </c>
      <c r="M847" s="1" t="str">
        <f aca="false">IF($A847="","",IFERROR(INDEX(法人マスタ!$H:$H,MATCH($B847,法人マスタ!$A:$A,0)),""))</f>
        <v>2026年4月期（第42期）</v>
      </c>
      <c r="N847" s="1" t="n">
        <f aca="false">IF($A847="","",SUMIFS(物件収支!$D:$D,物件収支!$A:$A,$A847,物件収支!$C:$C,$M847))</f>
        <v>6</v>
      </c>
      <c r="O847" s="1" t="n">
        <f aca="false">IF($A847="","",SUMIFS(物件収支!$F:$F,物件収支!$A:$A,$A847,物件収支!$C:$C,$M847))</f>
        <v>61000</v>
      </c>
      <c r="P847" s="1" t="n">
        <f aca="false">IF($A847="","",SUMIFS(物件収支!$I:$I,物件収支!$A:$A,$A847,物件収支!$C:$C,$M847))</f>
        <v>0</v>
      </c>
      <c r="Q847" s="1" t="n">
        <f aca="false">IF($A847="","",SUMIFS(物件収支!$O:$O,物件収支!$A:$A,$A847,物件収支!$C:$C,$M847))</f>
        <v>0</v>
      </c>
      <c r="R847" s="1" t="str">
        <f aca="false">IF($A847="","",IF(P847=0,"",O847-P847))</f>
        <v/>
      </c>
      <c r="S847" s="1" t="str">
        <f aca="false">IF($A847="","",IF(R847="","",R847+Q847))</f>
        <v/>
      </c>
      <c r="T847" s="1" t="str">
        <f aca="false">IF($A847="","",IF(OR(S847="",N847&lt;=0),"",S847/1000*12/N847))</f>
        <v/>
      </c>
      <c r="U847" s="1" t="str">
        <f aca="false">IF($A847="","",IF(OR(T847="",J847=0,J847=""),"",T847/J847))</f>
        <v/>
      </c>
      <c r="V847" s="1" t="str">
        <f aca="false">IF($A847="","",IF(OR(R847="",N847&lt;=0,J847=0,J847=""),"",(R847/1000*12/N847)/J847))</f>
        <v/>
      </c>
      <c r="W847" s="1" t="str">
        <f aca="false">IF($A847="","",IF(OR(T847="",K847=0,K847=""),"",T847/K847))</f>
        <v/>
      </c>
      <c r="X847" s="1" t="n">
        <f aca="false">IF($A847="","",IF(OR(N847&lt;=0,I847=0,I847="",O847=0),"",O847*1000/(I847*0.3025)/N847))</f>
        <v>18176.7525294739</v>
      </c>
      <c r="Y847" s="1" t="str">
        <f aca="false">IF($A847="","",IF(OR(O847=0,O847="",P847=0),"",P847/O847))</f>
        <v/>
      </c>
      <c r="Z847" s="1" t="str">
        <f aca="false">IF($A847="","",IFERROR(INDEX(物件収支!$E:$E,MATCH($A847,物件収支!$A:$A,0)),""))</f>
        <v>開示（物件別・収益のみ・百万円単位）</v>
      </c>
    </row>
    <row r="848" customFormat="false" ht="15" hidden="false" customHeight="true" outlineLevel="0" collapsed="false">
      <c r="A848" s="1" t="str">
        <f aca="false">IF(物件マスタ!A848="","",物件マスタ!A848)</f>
        <v>KDX-107</v>
      </c>
      <c r="B848" s="1" t="str">
        <f aca="false">IF($A848="","",物件マスタ!B848)</f>
        <v>KDX</v>
      </c>
      <c r="C848" s="1" t="str">
        <f aca="false">IF($A848="","",IFERROR(INDEX(法人マスタ!$C:$C,MATCH($B848,法人マスタ!$A:$A,0)),""))</f>
        <v>ＫＤＸ不動産投資法人</v>
      </c>
      <c r="D848" s="1" t="str">
        <f aca="false">IF($A848="","",物件マスタ!C848)</f>
        <v>KDXレジデンス西原</v>
      </c>
      <c r="E848" s="1" t="str">
        <f aca="false">IF($A848="","",物件マスタ!H848)</f>
        <v>東京経済圏（KDX区分）</v>
      </c>
      <c r="F848" s="1" t="n">
        <f aca="false">IF($A848="","",物件マスタ!P848)</f>
        <v>0</v>
      </c>
      <c r="G848" s="1" t="str">
        <f aca="false">IF($A848="","",物件マスタ!Q848)</f>
        <v/>
      </c>
      <c r="H848" s="1" t="n">
        <f aca="false">IF($A848="","",物件マスタ!L848)</f>
        <v>0</v>
      </c>
      <c r="I848" s="1" t="n">
        <f aca="false">IF($A848="","",物件マスタ!M848)</f>
        <v>2310.08</v>
      </c>
      <c r="J848" s="1" t="n">
        <f aca="false">IF($A848="","",物件マスタ!S848)</f>
        <v>2290</v>
      </c>
      <c r="K848" s="1" t="n">
        <f aca="false">IF($A848="","",物件マスタ!U848)</f>
        <v>2480</v>
      </c>
      <c r="L848" s="1" t="n">
        <f aca="false">IF($A848="","",物件マスタ!W848)</f>
        <v>1</v>
      </c>
      <c r="M848" s="1" t="str">
        <f aca="false">IF($A848="","",IFERROR(INDEX(法人マスタ!$H:$H,MATCH($B848,法人マスタ!$A:$A,0)),""))</f>
        <v>2026年4月期（第42期）</v>
      </c>
      <c r="N848" s="1" t="n">
        <f aca="false">IF($A848="","",SUMIFS(物件収支!$D:$D,物件収支!$A:$A,$A848,物件収支!$C:$C,$M848))</f>
        <v>6</v>
      </c>
      <c r="O848" s="1" t="n">
        <f aca="false">IF($A848="","",SUMIFS(物件収支!$F:$F,物件収支!$A:$A,$A848,物件収支!$C:$C,$M848))</f>
        <v>56000</v>
      </c>
      <c r="P848" s="1" t="n">
        <f aca="false">IF($A848="","",SUMIFS(物件収支!$I:$I,物件収支!$A:$A,$A848,物件収支!$C:$C,$M848))</f>
        <v>0</v>
      </c>
      <c r="Q848" s="1" t="n">
        <f aca="false">IF($A848="","",SUMIFS(物件収支!$O:$O,物件収支!$A:$A,$A848,物件収支!$C:$C,$M848))</f>
        <v>0</v>
      </c>
      <c r="R848" s="1" t="str">
        <f aca="false">IF($A848="","",IF(P848=0,"",O848-P848))</f>
        <v/>
      </c>
      <c r="S848" s="1" t="str">
        <f aca="false">IF($A848="","",IF(R848="","",R848+Q848))</f>
        <v/>
      </c>
      <c r="T848" s="1" t="str">
        <f aca="false">IF($A848="","",IF(OR(S848="",N848&lt;=0),"",S848/1000*12/N848))</f>
        <v/>
      </c>
      <c r="U848" s="1" t="str">
        <f aca="false">IF($A848="","",IF(OR(T848="",J848=0,J848=""),"",T848/J848))</f>
        <v/>
      </c>
      <c r="V848" s="1" t="str">
        <f aca="false">IF($A848="","",IF(OR(R848="",N848&lt;=0,J848=0,J848=""),"",(R848/1000*12/N848)/J848))</f>
        <v/>
      </c>
      <c r="W848" s="1" t="str">
        <f aca="false">IF($A848="","",IF(OR(T848="",K848=0,K848=""),"",T848/K848))</f>
        <v/>
      </c>
      <c r="X848" s="1" t="n">
        <f aca="false">IF($A848="","",IF(OR(N848&lt;=0,I848=0,I848="",O848=0),"",O848*1000/(I848*0.3025)/N848))</f>
        <v>13356.2450176436</v>
      </c>
      <c r="Y848" s="1" t="str">
        <f aca="false">IF($A848="","",IF(OR(O848=0,O848="",P848=0),"",P848/O848))</f>
        <v/>
      </c>
      <c r="Z848" s="1" t="str">
        <f aca="false">IF($A848="","",IFERROR(INDEX(物件収支!$E:$E,MATCH($A848,物件収支!$A:$A,0)),""))</f>
        <v>開示（物件別・収益のみ・百万円単位）</v>
      </c>
    </row>
    <row r="849" customFormat="false" ht="15" hidden="false" customHeight="true" outlineLevel="0" collapsed="false">
      <c r="A849" s="1" t="str">
        <f aca="false">IF(物件マスタ!A849="","",物件マスタ!A849)</f>
        <v>KDX-108</v>
      </c>
      <c r="B849" s="1" t="str">
        <f aca="false">IF($A849="","",物件マスタ!B849)</f>
        <v>KDX</v>
      </c>
      <c r="C849" s="1" t="str">
        <f aca="false">IF($A849="","",IFERROR(INDEX(法人マスタ!$C:$C,MATCH($B849,法人マスタ!$A:$A,0)),""))</f>
        <v>ＫＤＸ不動産投資法人</v>
      </c>
      <c r="D849" s="1" t="str">
        <f aca="false">IF($A849="","",物件マスタ!C849)</f>
        <v>KDXレジデンス二子玉川</v>
      </c>
      <c r="E849" s="1" t="str">
        <f aca="false">IF($A849="","",物件マスタ!H849)</f>
        <v>東京経済圏（KDX区分）</v>
      </c>
      <c r="F849" s="1" t="n">
        <f aca="false">IF($A849="","",物件マスタ!P849)</f>
        <v>0</v>
      </c>
      <c r="G849" s="1" t="str">
        <f aca="false">IF($A849="","",物件マスタ!Q849)</f>
        <v/>
      </c>
      <c r="H849" s="1" t="n">
        <f aca="false">IF($A849="","",物件マスタ!L849)</f>
        <v>0</v>
      </c>
      <c r="I849" s="1" t="n">
        <f aca="false">IF($A849="","",物件マスタ!M849)</f>
        <v>2339.62</v>
      </c>
      <c r="J849" s="1" t="n">
        <f aca="false">IF($A849="","",物件マスタ!S849)</f>
        <v>1820</v>
      </c>
      <c r="K849" s="1" t="n">
        <f aca="false">IF($A849="","",物件マスタ!U849)</f>
        <v>1900</v>
      </c>
      <c r="L849" s="1" t="n">
        <f aca="false">IF($A849="","",物件マスタ!W849)</f>
        <v>0.976</v>
      </c>
      <c r="M849" s="1" t="str">
        <f aca="false">IF($A849="","",IFERROR(INDEX(法人マスタ!$H:$H,MATCH($B849,法人マスタ!$A:$A,0)),""))</f>
        <v>2026年4月期（第42期）</v>
      </c>
      <c r="N849" s="1" t="n">
        <f aca="false">IF($A849="","",SUMIFS(物件収支!$D:$D,物件収支!$A:$A,$A849,物件収支!$C:$C,$M849))</f>
        <v>6</v>
      </c>
      <c r="O849" s="1" t="n">
        <f aca="false">IF($A849="","",SUMIFS(物件収支!$F:$F,物件収支!$A:$A,$A849,物件収支!$C:$C,$M849))</f>
        <v>47000</v>
      </c>
      <c r="P849" s="1" t="n">
        <f aca="false">IF($A849="","",SUMIFS(物件収支!$I:$I,物件収支!$A:$A,$A849,物件収支!$C:$C,$M849))</f>
        <v>0</v>
      </c>
      <c r="Q849" s="1" t="n">
        <f aca="false">IF($A849="","",SUMIFS(物件収支!$O:$O,物件収支!$A:$A,$A849,物件収支!$C:$C,$M849))</f>
        <v>0</v>
      </c>
      <c r="R849" s="1" t="str">
        <f aca="false">IF($A849="","",IF(P849=0,"",O849-P849))</f>
        <v/>
      </c>
      <c r="S849" s="1" t="str">
        <f aca="false">IF($A849="","",IF(R849="","",R849+Q849))</f>
        <v/>
      </c>
      <c r="T849" s="1" t="str">
        <f aca="false">IF($A849="","",IF(OR(S849="",N849&lt;=0),"",S849/1000*12/N849))</f>
        <v/>
      </c>
      <c r="U849" s="1" t="str">
        <f aca="false">IF($A849="","",IF(OR(T849="",J849=0,J849=""),"",T849/J849))</f>
        <v/>
      </c>
      <c r="V849" s="1" t="str">
        <f aca="false">IF($A849="","",IF(OR(R849="",N849&lt;=0,J849=0,J849=""),"",(R849/1000*12/N849)/J849))</f>
        <v/>
      </c>
      <c r="W849" s="1" t="str">
        <f aca="false">IF($A849="","",IF(OR(T849="",K849=0,K849=""),"",T849/K849))</f>
        <v/>
      </c>
      <c r="X849" s="1" t="n">
        <f aca="false">IF($A849="","",IF(OR(N849&lt;=0,I849=0,I849="",O849=0),"",O849*1000/(I849*0.3025)/N849))</f>
        <v>11068.1720982073</v>
      </c>
      <c r="Y849" s="1" t="str">
        <f aca="false">IF($A849="","",IF(OR(O849=0,O849="",P849=0),"",P849/O849))</f>
        <v/>
      </c>
      <c r="Z849" s="1" t="str">
        <f aca="false">IF($A849="","",IFERROR(INDEX(物件収支!$E:$E,MATCH($A849,物件収支!$A:$A,0)),""))</f>
        <v>開示（物件別・収益のみ・百万円単位）</v>
      </c>
    </row>
    <row r="850" customFormat="false" ht="15" hidden="false" customHeight="true" outlineLevel="0" collapsed="false">
      <c r="A850" s="1" t="str">
        <f aca="false">IF(物件マスタ!A850="","",物件マスタ!A850)</f>
        <v>KDX-109</v>
      </c>
      <c r="B850" s="1" t="str">
        <f aca="false">IF($A850="","",物件マスタ!B850)</f>
        <v>KDX</v>
      </c>
      <c r="C850" s="1" t="str">
        <f aca="false">IF($A850="","",IFERROR(INDEX(法人マスタ!$C:$C,MATCH($B850,法人マスタ!$A:$A,0)),""))</f>
        <v>ＫＤＸ不動産投資法人</v>
      </c>
      <c r="D850" s="1" t="str">
        <f aca="false">IF($A850="","",物件マスタ!C850)</f>
        <v>KDXレジデンス西新宿</v>
      </c>
      <c r="E850" s="1" t="str">
        <f aca="false">IF($A850="","",物件マスタ!H850)</f>
        <v>東京経済圏（KDX区分）</v>
      </c>
      <c r="F850" s="1" t="n">
        <f aca="false">IF($A850="","",物件マスタ!P850)</f>
        <v>0</v>
      </c>
      <c r="G850" s="1" t="str">
        <f aca="false">IF($A850="","",物件マスタ!Q850)</f>
        <v/>
      </c>
      <c r="H850" s="1" t="n">
        <f aca="false">IF($A850="","",物件マスタ!L850)</f>
        <v>0</v>
      </c>
      <c r="I850" s="1" t="n">
        <f aca="false">IF($A850="","",物件マスタ!M850)</f>
        <v>1345.92</v>
      </c>
      <c r="J850" s="1" t="n">
        <f aca="false">IF($A850="","",物件マスタ!S850)</f>
        <v>1710</v>
      </c>
      <c r="K850" s="1" t="n">
        <f aca="false">IF($A850="","",物件マスタ!U850)</f>
        <v>1680</v>
      </c>
      <c r="L850" s="1" t="n">
        <f aca="false">IF($A850="","",物件マスタ!W850)</f>
        <v>1</v>
      </c>
      <c r="M850" s="1" t="str">
        <f aca="false">IF($A850="","",IFERROR(INDEX(法人マスタ!$H:$H,MATCH($B850,法人マスタ!$A:$A,0)),""))</f>
        <v>2026年4月期（第42期）</v>
      </c>
      <c r="N850" s="1" t="n">
        <f aca="false">IF($A850="","",SUMIFS(物件収支!$D:$D,物件収支!$A:$A,$A850,物件収支!$C:$C,$M850))</f>
        <v>6</v>
      </c>
      <c r="O850" s="1" t="n">
        <f aca="false">IF($A850="","",SUMIFS(物件収支!$F:$F,物件収支!$A:$A,$A850,物件収支!$C:$C,$M850))</f>
        <v>39000</v>
      </c>
      <c r="P850" s="1" t="n">
        <f aca="false">IF($A850="","",SUMIFS(物件収支!$I:$I,物件収支!$A:$A,$A850,物件収支!$C:$C,$M850))</f>
        <v>0</v>
      </c>
      <c r="Q850" s="1" t="n">
        <f aca="false">IF($A850="","",SUMIFS(物件収支!$O:$O,物件収支!$A:$A,$A850,物件収支!$C:$C,$M850))</f>
        <v>0</v>
      </c>
      <c r="R850" s="1" t="str">
        <f aca="false">IF($A850="","",IF(P850=0,"",O850-P850))</f>
        <v/>
      </c>
      <c r="S850" s="1" t="str">
        <f aca="false">IF($A850="","",IF(R850="","",R850+Q850))</f>
        <v/>
      </c>
      <c r="T850" s="1" t="str">
        <f aca="false">IF($A850="","",IF(OR(S850="",N850&lt;=0),"",S850/1000*12/N850))</f>
        <v/>
      </c>
      <c r="U850" s="1" t="str">
        <f aca="false">IF($A850="","",IF(OR(T850="",J850=0,J850=""),"",T850/J850))</f>
        <v/>
      </c>
      <c r="V850" s="1" t="str">
        <f aca="false">IF($A850="","",IF(OR(R850="",N850&lt;=0,J850=0,J850=""),"",(R850/1000*12/N850)/J850))</f>
        <v/>
      </c>
      <c r="W850" s="1" t="str">
        <f aca="false">IF($A850="","",IF(OR(T850="",K850=0,K850=""),"",T850/K850))</f>
        <v/>
      </c>
      <c r="X850" s="1" t="n">
        <f aca="false">IF($A850="","",IF(OR(N850&lt;=0,I850=0,I850="",O850=0),"",O850*1000/(I850*0.3025)/N850))</f>
        <v>15964.9929459293</v>
      </c>
      <c r="Y850" s="1" t="str">
        <f aca="false">IF($A850="","",IF(OR(O850=0,O850="",P850=0),"",P850/O850))</f>
        <v/>
      </c>
      <c r="Z850" s="1" t="str">
        <f aca="false">IF($A850="","",IFERROR(INDEX(物件収支!$E:$E,MATCH($A850,物件収支!$A:$A,0)),""))</f>
        <v>開示（物件別・収益のみ・百万円単位）</v>
      </c>
    </row>
    <row r="851" customFormat="false" ht="15" hidden="false" customHeight="true" outlineLevel="0" collapsed="false">
      <c r="A851" s="1" t="str">
        <f aca="false">IF(物件マスタ!A851="","",物件マスタ!A851)</f>
        <v>KDX-110</v>
      </c>
      <c r="B851" s="1" t="str">
        <f aca="false">IF($A851="","",物件マスタ!B851)</f>
        <v>KDX</v>
      </c>
      <c r="C851" s="1" t="str">
        <f aca="false">IF($A851="","",IFERROR(INDEX(法人マスタ!$C:$C,MATCH($B851,法人マスタ!$A:$A,0)),""))</f>
        <v>ＫＤＸ不動産投資法人</v>
      </c>
      <c r="D851" s="1" t="str">
        <f aca="false">IF($A851="","",物件マスタ!C851)</f>
        <v>ラフィネ南馬込</v>
      </c>
      <c r="E851" s="1" t="str">
        <f aca="false">IF($A851="","",物件マスタ!H851)</f>
        <v>東京経済圏（KDX区分）</v>
      </c>
      <c r="F851" s="1" t="n">
        <f aca="false">IF($A851="","",物件マスタ!P851)</f>
        <v>0</v>
      </c>
      <c r="G851" s="1" t="str">
        <f aca="false">IF($A851="","",物件マスタ!Q851)</f>
        <v/>
      </c>
      <c r="H851" s="1" t="n">
        <f aca="false">IF($A851="","",物件マスタ!L851)</f>
        <v>0</v>
      </c>
      <c r="I851" s="1" t="n">
        <f aca="false">IF($A851="","",物件マスタ!M851)</f>
        <v>2408.56</v>
      </c>
      <c r="J851" s="1" t="n">
        <f aca="false">IF($A851="","",物件マスタ!S851)</f>
        <v>1630</v>
      </c>
      <c r="K851" s="1" t="n">
        <f aca="false">IF($A851="","",物件マスタ!U851)</f>
        <v>1660</v>
      </c>
      <c r="L851" s="1" t="n">
        <f aca="false">IF($A851="","",物件マスタ!W851)</f>
        <v>1</v>
      </c>
      <c r="M851" s="1" t="str">
        <f aca="false">IF($A851="","",IFERROR(INDEX(法人マスタ!$H:$H,MATCH($B851,法人マスタ!$A:$A,0)),""))</f>
        <v>2026年4月期（第42期）</v>
      </c>
      <c r="N851" s="1" t="n">
        <f aca="false">IF($A851="","",SUMIFS(物件収支!$D:$D,物件収支!$A:$A,$A851,物件収支!$C:$C,$M851))</f>
        <v>6</v>
      </c>
      <c r="O851" s="1" t="n">
        <f aca="false">IF($A851="","",SUMIFS(物件収支!$F:$F,物件収支!$A:$A,$A851,物件収支!$C:$C,$M851))</f>
        <v>41000</v>
      </c>
      <c r="P851" s="1" t="n">
        <f aca="false">IF($A851="","",SUMIFS(物件収支!$I:$I,物件収支!$A:$A,$A851,物件収支!$C:$C,$M851))</f>
        <v>0</v>
      </c>
      <c r="Q851" s="1" t="n">
        <f aca="false">IF($A851="","",SUMIFS(物件収支!$O:$O,物件収支!$A:$A,$A851,物件収支!$C:$C,$M851))</f>
        <v>0</v>
      </c>
      <c r="R851" s="1" t="str">
        <f aca="false">IF($A851="","",IF(P851=0,"",O851-P851))</f>
        <v/>
      </c>
      <c r="S851" s="1" t="str">
        <f aca="false">IF($A851="","",IF(R851="","",R851+Q851))</f>
        <v/>
      </c>
      <c r="T851" s="1" t="str">
        <f aca="false">IF($A851="","",IF(OR(S851="",N851&lt;=0),"",S851/1000*12/N851))</f>
        <v/>
      </c>
      <c r="U851" s="1" t="str">
        <f aca="false">IF($A851="","",IF(OR(T851="",J851=0,J851=""),"",T851/J851))</f>
        <v/>
      </c>
      <c r="V851" s="1" t="str">
        <f aca="false">IF($A851="","",IF(OR(R851="",N851&lt;=0,J851=0,J851=""),"",(R851/1000*12/N851)/J851))</f>
        <v/>
      </c>
      <c r="W851" s="1" t="str">
        <f aca="false">IF($A851="","",IF(OR(T851="",K851=0,K851=""),"",T851/K851))</f>
        <v/>
      </c>
      <c r="X851" s="1" t="n">
        <f aca="false">IF($A851="","",IF(OR(N851&lt;=0,I851=0,I851="",O851=0),"",O851*1000/(I851*0.3025)/N851))</f>
        <v>9378.85362226425</v>
      </c>
      <c r="Y851" s="1" t="str">
        <f aca="false">IF($A851="","",IF(OR(O851=0,O851="",P851=0),"",P851/O851))</f>
        <v/>
      </c>
      <c r="Z851" s="1" t="str">
        <f aca="false">IF($A851="","",IFERROR(INDEX(物件収支!$E:$E,MATCH($A851,物件収支!$A:$A,0)),""))</f>
        <v>開示（物件別・収益のみ・百万円単位）</v>
      </c>
    </row>
    <row r="852" customFormat="false" ht="15" hidden="false" customHeight="true" outlineLevel="0" collapsed="false">
      <c r="A852" s="1" t="str">
        <f aca="false">IF(物件マスタ!A852="","",物件マスタ!A852)</f>
        <v>KDX-111</v>
      </c>
      <c r="B852" s="1" t="str">
        <f aca="false">IF($A852="","",物件マスタ!B852)</f>
        <v>KDX</v>
      </c>
      <c r="C852" s="1" t="str">
        <f aca="false">IF($A852="","",IFERROR(INDEX(法人マスタ!$C:$C,MATCH($B852,法人マスタ!$A:$A,0)),""))</f>
        <v>ＫＤＸ不動産投資法人</v>
      </c>
      <c r="D852" s="1" t="str">
        <f aca="false">IF($A852="","",物件マスタ!C852)</f>
        <v>KDXレジデンス雪谷大塚</v>
      </c>
      <c r="E852" s="1" t="str">
        <f aca="false">IF($A852="","",物件マスタ!H852)</f>
        <v>東京経済圏（KDX区分）</v>
      </c>
      <c r="F852" s="1" t="n">
        <f aca="false">IF($A852="","",物件マスタ!P852)</f>
        <v>0</v>
      </c>
      <c r="G852" s="1" t="str">
        <f aca="false">IF($A852="","",物件マスタ!Q852)</f>
        <v/>
      </c>
      <c r="H852" s="1" t="n">
        <f aca="false">IF($A852="","",物件マスタ!L852)</f>
        <v>0</v>
      </c>
      <c r="I852" s="1" t="n">
        <f aca="false">IF($A852="","",物件マスタ!M852)</f>
        <v>1526.98</v>
      </c>
      <c r="J852" s="1" t="n">
        <f aca="false">IF($A852="","",物件マスタ!S852)</f>
        <v>1590</v>
      </c>
      <c r="K852" s="1" t="n">
        <f aca="false">IF($A852="","",物件マスタ!U852)</f>
        <v>1570</v>
      </c>
      <c r="L852" s="1" t="n">
        <f aca="false">IF($A852="","",物件マスタ!W852)</f>
        <v>0.987</v>
      </c>
      <c r="M852" s="1" t="str">
        <f aca="false">IF($A852="","",IFERROR(INDEX(法人マスタ!$H:$H,MATCH($B852,法人マスタ!$A:$A,0)),""))</f>
        <v>2026年4月期（第42期）</v>
      </c>
      <c r="N852" s="1" t="n">
        <f aca="false">IF($A852="","",SUMIFS(物件収支!$D:$D,物件収支!$A:$A,$A852,物件収支!$C:$C,$M852))</f>
        <v>6</v>
      </c>
      <c r="O852" s="1" t="n">
        <f aca="false">IF($A852="","",SUMIFS(物件収支!$F:$F,物件収支!$A:$A,$A852,物件収支!$C:$C,$M852))</f>
        <v>41000</v>
      </c>
      <c r="P852" s="1" t="n">
        <f aca="false">IF($A852="","",SUMIFS(物件収支!$I:$I,物件収支!$A:$A,$A852,物件収支!$C:$C,$M852))</f>
        <v>0</v>
      </c>
      <c r="Q852" s="1" t="n">
        <f aca="false">IF($A852="","",SUMIFS(物件収支!$O:$O,物件収支!$A:$A,$A852,物件収支!$C:$C,$M852))</f>
        <v>0</v>
      </c>
      <c r="R852" s="1" t="str">
        <f aca="false">IF($A852="","",IF(P852=0,"",O852-P852))</f>
        <v/>
      </c>
      <c r="S852" s="1" t="str">
        <f aca="false">IF($A852="","",IF(R852="","",R852+Q852))</f>
        <v/>
      </c>
      <c r="T852" s="1" t="str">
        <f aca="false">IF($A852="","",IF(OR(S852="",N852&lt;=0),"",S852/1000*12/N852))</f>
        <v/>
      </c>
      <c r="U852" s="1" t="str">
        <f aca="false">IF($A852="","",IF(OR(T852="",J852=0,J852=""),"",T852/J852))</f>
        <v/>
      </c>
      <c r="V852" s="1" t="str">
        <f aca="false">IF($A852="","",IF(OR(R852="",N852&lt;=0,J852=0,J852=""),"",(R852/1000*12/N852)/J852))</f>
        <v/>
      </c>
      <c r="W852" s="1" t="str">
        <f aca="false">IF($A852="","",IF(OR(T852="",K852=0,K852=""),"",T852/K852))</f>
        <v/>
      </c>
      <c r="X852" s="1" t="n">
        <f aca="false">IF($A852="","",IF(OR(N852&lt;=0,I852=0,I852="",O852=0),"",O852*1000/(I852*0.3025)/N852))</f>
        <v>14793.600230809</v>
      </c>
      <c r="Y852" s="1" t="str">
        <f aca="false">IF($A852="","",IF(OR(O852=0,O852="",P852=0),"",P852/O852))</f>
        <v/>
      </c>
      <c r="Z852" s="1" t="str">
        <f aca="false">IF($A852="","",IFERROR(INDEX(物件収支!$E:$E,MATCH($A852,物件収支!$A:$A,0)),""))</f>
        <v>開示（物件別・収益のみ・百万円単位）</v>
      </c>
    </row>
    <row r="853" customFormat="false" ht="15" hidden="false" customHeight="true" outlineLevel="0" collapsed="false">
      <c r="A853" s="1" t="str">
        <f aca="false">IF(物件マスタ!A853="","",物件マスタ!A853)</f>
        <v>KDX-112</v>
      </c>
      <c r="B853" s="1" t="str">
        <f aca="false">IF($A853="","",物件マスタ!B853)</f>
        <v>KDX</v>
      </c>
      <c r="C853" s="1" t="str">
        <f aca="false">IF($A853="","",IFERROR(INDEX(法人マスタ!$C:$C,MATCH($B853,法人マスタ!$A:$A,0)),""))</f>
        <v>ＫＤＸ不動産投資法人</v>
      </c>
      <c r="D853" s="1" t="str">
        <f aca="false">IF($A853="","",物件マスタ!C853)</f>
        <v>KDXレジデンス日本橋箱崎</v>
      </c>
      <c r="E853" s="1" t="str">
        <f aca="false">IF($A853="","",物件マスタ!H853)</f>
        <v>東京経済圏（KDX区分）</v>
      </c>
      <c r="F853" s="1" t="n">
        <f aca="false">IF($A853="","",物件マスタ!P853)</f>
        <v>0</v>
      </c>
      <c r="G853" s="1" t="str">
        <f aca="false">IF($A853="","",物件マスタ!Q853)</f>
        <v/>
      </c>
      <c r="H853" s="1" t="n">
        <f aca="false">IF($A853="","",物件マスタ!L853)</f>
        <v>0</v>
      </c>
      <c r="I853" s="1" t="n">
        <f aca="false">IF($A853="","",物件マスタ!M853)</f>
        <v>1537.38</v>
      </c>
      <c r="J853" s="1" t="n">
        <f aca="false">IF($A853="","",物件マスタ!S853)</f>
        <v>1600</v>
      </c>
      <c r="K853" s="1" t="n">
        <f aca="false">IF($A853="","",物件マスタ!U853)</f>
        <v>1690</v>
      </c>
      <c r="L853" s="1" t="n">
        <f aca="false">IF($A853="","",物件マスタ!W853)</f>
        <v>0.97</v>
      </c>
      <c r="M853" s="1" t="str">
        <f aca="false">IF($A853="","",IFERROR(INDEX(法人マスタ!$H:$H,MATCH($B853,法人マスタ!$A:$A,0)),""))</f>
        <v>2026年4月期（第42期）</v>
      </c>
      <c r="N853" s="1" t="n">
        <f aca="false">IF($A853="","",SUMIFS(物件収支!$D:$D,物件収支!$A:$A,$A853,物件収支!$C:$C,$M853))</f>
        <v>6</v>
      </c>
      <c r="O853" s="1" t="n">
        <f aca="false">IF($A853="","",SUMIFS(物件収支!$F:$F,物件収支!$A:$A,$A853,物件収支!$C:$C,$M853))</f>
        <v>45000</v>
      </c>
      <c r="P853" s="1" t="n">
        <f aca="false">IF($A853="","",SUMIFS(物件収支!$I:$I,物件収支!$A:$A,$A853,物件収支!$C:$C,$M853))</f>
        <v>0</v>
      </c>
      <c r="Q853" s="1" t="n">
        <f aca="false">IF($A853="","",SUMIFS(物件収支!$O:$O,物件収支!$A:$A,$A853,物件収支!$C:$C,$M853))</f>
        <v>0</v>
      </c>
      <c r="R853" s="1" t="str">
        <f aca="false">IF($A853="","",IF(P853=0,"",O853-P853))</f>
        <v/>
      </c>
      <c r="S853" s="1" t="str">
        <f aca="false">IF($A853="","",IF(R853="","",R853+Q853))</f>
        <v/>
      </c>
      <c r="T853" s="1" t="str">
        <f aca="false">IF($A853="","",IF(OR(S853="",N853&lt;=0),"",S853/1000*12/N853))</f>
        <v/>
      </c>
      <c r="U853" s="1" t="str">
        <f aca="false">IF($A853="","",IF(OR(T853="",J853=0,J853=""),"",T853/J853))</f>
        <v/>
      </c>
      <c r="V853" s="1" t="str">
        <f aca="false">IF($A853="","",IF(OR(R853="",N853&lt;=0,J853=0,J853=""),"",(R853/1000*12/N853)/J853))</f>
        <v/>
      </c>
      <c r="W853" s="1" t="str">
        <f aca="false">IF($A853="","",IF(OR(T853="",K853=0,K853=""),"",T853/K853))</f>
        <v/>
      </c>
      <c r="X853" s="1" t="n">
        <f aca="false">IF($A853="","",IF(OR(N853&lt;=0,I853=0,I853="",O853=0),"",O853*1000/(I853*0.3025)/N853))</f>
        <v>16127.03978831</v>
      </c>
      <c r="Y853" s="1" t="str">
        <f aca="false">IF($A853="","",IF(OR(O853=0,O853="",P853=0),"",P853/O853))</f>
        <v/>
      </c>
      <c r="Z853" s="1" t="str">
        <f aca="false">IF($A853="","",IFERROR(INDEX(物件収支!$E:$E,MATCH($A853,物件収支!$A:$A,0)),""))</f>
        <v>開示（物件別・収益のみ・百万円単位）</v>
      </c>
    </row>
    <row r="854" customFormat="false" ht="15" hidden="false" customHeight="true" outlineLevel="0" collapsed="false">
      <c r="A854" s="1" t="str">
        <f aca="false">IF(物件マスタ!A854="","",物件マスタ!A854)</f>
        <v>KDX-113</v>
      </c>
      <c r="B854" s="1" t="str">
        <f aca="false">IF($A854="","",物件マスタ!B854)</f>
        <v>KDX</v>
      </c>
      <c r="C854" s="1" t="str">
        <f aca="false">IF($A854="","",IFERROR(INDEX(法人マスタ!$C:$C,MATCH($B854,法人マスタ!$A:$A,0)),""))</f>
        <v>ＫＤＸ不動産投資法人</v>
      </c>
      <c r="D854" s="1" t="str">
        <f aca="false">IF($A854="","",物件マスタ!C854)</f>
        <v>KDXレジデンス田園調布</v>
      </c>
      <c r="E854" s="1" t="str">
        <f aca="false">IF($A854="","",物件マスタ!H854)</f>
        <v>東京経済圏（KDX区分）</v>
      </c>
      <c r="F854" s="1" t="n">
        <f aca="false">IF($A854="","",物件マスタ!P854)</f>
        <v>0</v>
      </c>
      <c r="G854" s="1" t="str">
        <f aca="false">IF($A854="","",物件マスタ!Q854)</f>
        <v/>
      </c>
      <c r="H854" s="1" t="n">
        <f aca="false">IF($A854="","",物件マスタ!L854)</f>
        <v>0</v>
      </c>
      <c r="I854" s="1" t="n">
        <f aca="false">IF($A854="","",物件マスタ!M854)</f>
        <v>2359.44</v>
      </c>
      <c r="J854" s="1" t="n">
        <f aca="false">IF($A854="","",物件マスタ!S854)</f>
        <v>1450</v>
      </c>
      <c r="K854" s="1" t="n">
        <f aca="false">IF($A854="","",物件マスタ!U854)</f>
        <v>1540</v>
      </c>
      <c r="L854" s="1" t="n">
        <f aca="false">IF($A854="","",物件マスタ!W854)</f>
        <v>0.944</v>
      </c>
      <c r="M854" s="1" t="str">
        <f aca="false">IF($A854="","",IFERROR(INDEX(法人マスタ!$H:$H,MATCH($B854,法人マスタ!$A:$A,0)),""))</f>
        <v>2026年4月期（第42期）</v>
      </c>
      <c r="N854" s="1" t="n">
        <f aca="false">IF($A854="","",SUMIFS(物件収支!$D:$D,物件収支!$A:$A,$A854,物件収支!$C:$C,$M854))</f>
        <v>6</v>
      </c>
      <c r="O854" s="1" t="n">
        <f aca="false">IF($A854="","",SUMIFS(物件収支!$F:$F,物件収支!$A:$A,$A854,物件収支!$C:$C,$M854))</f>
        <v>42000</v>
      </c>
      <c r="P854" s="1" t="n">
        <f aca="false">IF($A854="","",SUMIFS(物件収支!$I:$I,物件収支!$A:$A,$A854,物件収支!$C:$C,$M854))</f>
        <v>0</v>
      </c>
      <c r="Q854" s="1" t="n">
        <f aca="false">IF($A854="","",SUMIFS(物件収支!$O:$O,物件収支!$A:$A,$A854,物件収支!$C:$C,$M854))</f>
        <v>0</v>
      </c>
      <c r="R854" s="1" t="str">
        <f aca="false">IF($A854="","",IF(P854=0,"",O854-P854))</f>
        <v/>
      </c>
      <c r="S854" s="1" t="str">
        <f aca="false">IF($A854="","",IF(R854="","",R854+Q854))</f>
        <v/>
      </c>
      <c r="T854" s="1" t="str">
        <f aca="false">IF($A854="","",IF(OR(S854="",N854&lt;=0),"",S854/1000*12/N854))</f>
        <v/>
      </c>
      <c r="U854" s="1" t="str">
        <f aca="false">IF($A854="","",IF(OR(T854="",J854=0,J854=""),"",T854/J854))</f>
        <v/>
      </c>
      <c r="V854" s="1" t="str">
        <f aca="false">IF($A854="","",IF(OR(R854="",N854&lt;=0,J854=0,J854=""),"",(R854/1000*12/N854)/J854))</f>
        <v/>
      </c>
      <c r="W854" s="1" t="str">
        <f aca="false">IF($A854="","",IF(OR(T854="",K854=0,K854=""),"",T854/K854))</f>
        <v/>
      </c>
      <c r="X854" s="1" t="n">
        <f aca="false">IF($A854="","",IF(OR(N854&lt;=0,I854=0,I854="",O854=0),"",O854*1000/(I854*0.3025)/N854))</f>
        <v>9807.6220915847</v>
      </c>
      <c r="Y854" s="1" t="str">
        <f aca="false">IF($A854="","",IF(OR(O854=0,O854="",P854=0),"",P854/O854))</f>
        <v/>
      </c>
      <c r="Z854" s="1" t="str">
        <f aca="false">IF($A854="","",IFERROR(INDEX(物件収支!$E:$E,MATCH($A854,物件収支!$A:$A,0)),""))</f>
        <v>開示（物件別・収益のみ・百万円単位）</v>
      </c>
    </row>
    <row r="855" customFormat="false" ht="15" hidden="false" customHeight="true" outlineLevel="0" collapsed="false">
      <c r="A855" s="1" t="str">
        <f aca="false">IF(物件マスタ!A855="","",物件マスタ!A855)</f>
        <v>KDX-114</v>
      </c>
      <c r="B855" s="1" t="str">
        <f aca="false">IF($A855="","",物件マスタ!B855)</f>
        <v>KDX</v>
      </c>
      <c r="C855" s="1" t="str">
        <f aca="false">IF($A855="","",IFERROR(INDEX(法人マスタ!$C:$C,MATCH($B855,法人マスタ!$A:$A,0)),""))</f>
        <v>ＫＤＸ不動産投資法人</v>
      </c>
      <c r="D855" s="1" t="str">
        <f aca="false">IF($A855="","",物件マスタ!C855)</f>
        <v>KDXレジデンス駒沢公園</v>
      </c>
      <c r="E855" s="1" t="str">
        <f aca="false">IF($A855="","",物件マスタ!H855)</f>
        <v>東京経済圏（KDX区分）</v>
      </c>
      <c r="F855" s="1" t="n">
        <f aca="false">IF($A855="","",物件マスタ!P855)</f>
        <v>0</v>
      </c>
      <c r="G855" s="1" t="str">
        <f aca="false">IF($A855="","",物件マスタ!Q855)</f>
        <v/>
      </c>
      <c r="H855" s="1" t="n">
        <f aca="false">IF($A855="","",物件マスタ!L855)</f>
        <v>0</v>
      </c>
      <c r="I855" s="1" t="n">
        <f aca="false">IF($A855="","",物件マスタ!M855)</f>
        <v>1020.18</v>
      </c>
      <c r="J855" s="1" t="n">
        <f aca="false">IF($A855="","",物件マスタ!S855)</f>
        <v>1410</v>
      </c>
      <c r="K855" s="1" t="n">
        <f aca="false">IF($A855="","",物件マスタ!U855)</f>
        <v>1460</v>
      </c>
      <c r="L855" s="1" t="n">
        <f aca="false">IF($A855="","",物件マスタ!W855)</f>
        <v>0.93</v>
      </c>
      <c r="M855" s="1" t="str">
        <f aca="false">IF($A855="","",IFERROR(INDEX(法人マスタ!$H:$H,MATCH($B855,法人マスタ!$A:$A,0)),""))</f>
        <v>2026年4月期（第42期）</v>
      </c>
      <c r="N855" s="1" t="n">
        <f aca="false">IF($A855="","",SUMIFS(物件収支!$D:$D,物件収支!$A:$A,$A855,物件収支!$C:$C,$M855))</f>
        <v>6</v>
      </c>
      <c r="O855" s="1" t="n">
        <f aca="false">IF($A855="","",SUMIFS(物件収支!$F:$F,物件収支!$A:$A,$A855,物件収支!$C:$C,$M855))</f>
        <v>30000</v>
      </c>
      <c r="P855" s="1" t="n">
        <f aca="false">IF($A855="","",SUMIFS(物件収支!$I:$I,物件収支!$A:$A,$A855,物件収支!$C:$C,$M855))</f>
        <v>0</v>
      </c>
      <c r="Q855" s="1" t="n">
        <f aca="false">IF($A855="","",SUMIFS(物件収支!$O:$O,物件収支!$A:$A,$A855,物件収支!$C:$C,$M855))</f>
        <v>0</v>
      </c>
      <c r="R855" s="1" t="str">
        <f aca="false">IF($A855="","",IF(P855=0,"",O855-P855))</f>
        <v/>
      </c>
      <c r="S855" s="1" t="str">
        <f aca="false">IF($A855="","",IF(R855="","",R855+Q855))</f>
        <v/>
      </c>
      <c r="T855" s="1" t="str">
        <f aca="false">IF($A855="","",IF(OR(S855="",N855&lt;=0),"",S855/1000*12/N855))</f>
        <v/>
      </c>
      <c r="U855" s="1" t="str">
        <f aca="false">IF($A855="","",IF(OR(T855="",J855=0,J855=""),"",T855/J855))</f>
        <v/>
      </c>
      <c r="V855" s="1" t="str">
        <f aca="false">IF($A855="","",IF(OR(R855="",N855&lt;=0,J855=0,J855=""),"",(R855/1000*12/N855)/J855))</f>
        <v/>
      </c>
      <c r="W855" s="1" t="str">
        <f aca="false">IF($A855="","",IF(OR(T855="",K855=0,K855=""),"",T855/K855))</f>
        <v/>
      </c>
      <c r="X855" s="1" t="n">
        <f aca="false">IF($A855="","",IF(OR(N855&lt;=0,I855=0,I855="",O855=0),"",O855*1000/(I855*0.3025)/N855))</f>
        <v>16201.9698679005</v>
      </c>
      <c r="Y855" s="1" t="str">
        <f aca="false">IF($A855="","",IF(OR(O855=0,O855="",P855=0),"",P855/O855))</f>
        <v/>
      </c>
      <c r="Z855" s="1" t="str">
        <f aca="false">IF($A855="","",IFERROR(INDEX(物件収支!$E:$E,MATCH($A855,物件収支!$A:$A,0)),""))</f>
        <v>開示（物件別・収益のみ・百万円単位）</v>
      </c>
    </row>
    <row r="856" customFormat="false" ht="15" hidden="false" customHeight="true" outlineLevel="0" collapsed="false">
      <c r="A856" s="1" t="str">
        <f aca="false">IF(物件マスタ!A856="","",物件マスタ!A856)</f>
        <v>KDX-115</v>
      </c>
      <c r="B856" s="1" t="str">
        <f aca="false">IF($A856="","",物件マスタ!B856)</f>
        <v>KDX</v>
      </c>
      <c r="C856" s="1" t="str">
        <f aca="false">IF($A856="","",IFERROR(INDEX(法人マスタ!$C:$C,MATCH($B856,法人マスタ!$A:$A,0)),""))</f>
        <v>ＫＤＸ不動産投資法人</v>
      </c>
      <c r="D856" s="1" t="str">
        <f aca="false">IF($A856="","",物件マスタ!C856)</f>
        <v>KDXレジデンス代官山II</v>
      </c>
      <c r="E856" s="1" t="str">
        <f aca="false">IF($A856="","",物件マスタ!H856)</f>
        <v>東京経済圏（KDX区分）</v>
      </c>
      <c r="F856" s="1" t="n">
        <f aca="false">IF($A856="","",物件マスタ!P856)</f>
        <v>0</v>
      </c>
      <c r="G856" s="1" t="str">
        <f aca="false">IF($A856="","",物件マスタ!Q856)</f>
        <v/>
      </c>
      <c r="H856" s="1" t="n">
        <f aca="false">IF($A856="","",物件マスタ!L856)</f>
        <v>0</v>
      </c>
      <c r="I856" s="1" t="n">
        <f aca="false">IF($A856="","",物件マスタ!M856)</f>
        <v>985.1</v>
      </c>
      <c r="J856" s="1" t="n">
        <f aca="false">IF($A856="","",物件マスタ!S856)</f>
        <v>1390</v>
      </c>
      <c r="K856" s="1" t="n">
        <f aca="false">IF($A856="","",物件マスタ!U856)</f>
        <v>1510</v>
      </c>
      <c r="L856" s="1" t="n">
        <f aca="false">IF($A856="","",物件マスタ!W856)</f>
        <v>0.936</v>
      </c>
      <c r="M856" s="1" t="str">
        <f aca="false">IF($A856="","",IFERROR(INDEX(法人マスタ!$H:$H,MATCH($B856,法人マスタ!$A:$A,0)),""))</f>
        <v>2026年4月期（第42期）</v>
      </c>
      <c r="N856" s="1" t="n">
        <f aca="false">IF($A856="","",SUMIFS(物件収支!$D:$D,物件収支!$A:$A,$A856,物件収支!$C:$C,$M856))</f>
        <v>6</v>
      </c>
      <c r="O856" s="1" t="n">
        <f aca="false">IF($A856="","",SUMIFS(物件収支!$F:$F,物件収支!$A:$A,$A856,物件収支!$C:$C,$M856))</f>
        <v>34000</v>
      </c>
      <c r="P856" s="1" t="n">
        <f aca="false">IF($A856="","",SUMIFS(物件収支!$I:$I,物件収支!$A:$A,$A856,物件収支!$C:$C,$M856))</f>
        <v>0</v>
      </c>
      <c r="Q856" s="1" t="n">
        <f aca="false">IF($A856="","",SUMIFS(物件収支!$O:$O,物件収支!$A:$A,$A856,物件収支!$C:$C,$M856))</f>
        <v>0</v>
      </c>
      <c r="R856" s="1" t="str">
        <f aca="false">IF($A856="","",IF(P856=0,"",O856-P856))</f>
        <v/>
      </c>
      <c r="S856" s="1" t="str">
        <f aca="false">IF($A856="","",IF(R856="","",R856+Q856))</f>
        <v/>
      </c>
      <c r="T856" s="1" t="str">
        <f aca="false">IF($A856="","",IF(OR(S856="",N856&lt;=0),"",S856/1000*12/N856))</f>
        <v/>
      </c>
      <c r="U856" s="1" t="str">
        <f aca="false">IF($A856="","",IF(OR(T856="",J856=0,J856=""),"",T856/J856))</f>
        <v/>
      </c>
      <c r="V856" s="1" t="str">
        <f aca="false">IF($A856="","",IF(OR(R856="",N856&lt;=0,J856=0,J856=""),"",(R856/1000*12/N856)/J856))</f>
        <v/>
      </c>
      <c r="W856" s="1" t="str">
        <f aca="false">IF($A856="","",IF(OR(T856="",K856=0,K856=""),"",T856/K856))</f>
        <v/>
      </c>
      <c r="X856" s="1" t="n">
        <f aca="false">IF($A856="","",IF(OR(N856&lt;=0,I856=0,I856="",O856=0),"",O856*1000/(I856*0.3025)/N856))</f>
        <v>19016.1225958238</v>
      </c>
      <c r="Y856" s="1" t="str">
        <f aca="false">IF($A856="","",IF(OR(O856=0,O856="",P856=0),"",P856/O856))</f>
        <v/>
      </c>
      <c r="Z856" s="1" t="str">
        <f aca="false">IF($A856="","",IFERROR(INDEX(物件収支!$E:$E,MATCH($A856,物件収支!$A:$A,0)),""))</f>
        <v>開示（物件別・収益のみ・百万円単位）</v>
      </c>
    </row>
    <row r="857" customFormat="false" ht="15" hidden="false" customHeight="true" outlineLevel="0" collapsed="false">
      <c r="A857" s="1" t="str">
        <f aca="false">IF(物件マスタ!A857="","",物件マスタ!A857)</f>
        <v>KDX-116</v>
      </c>
      <c r="B857" s="1" t="str">
        <f aca="false">IF($A857="","",物件マスタ!B857)</f>
        <v>KDX</v>
      </c>
      <c r="C857" s="1" t="str">
        <f aca="false">IF($A857="","",IFERROR(INDEX(法人マスタ!$C:$C,MATCH($B857,法人マスタ!$A:$A,0)),""))</f>
        <v>ＫＤＸ不動産投資法人</v>
      </c>
      <c r="D857" s="1" t="str">
        <f aca="false">IF($A857="","",物件マスタ!C857)</f>
        <v>KDXレジデンス高輪</v>
      </c>
      <c r="E857" s="1" t="str">
        <f aca="false">IF($A857="","",物件マスタ!H857)</f>
        <v>東京経済圏（KDX区分）</v>
      </c>
      <c r="F857" s="1" t="n">
        <f aca="false">IF($A857="","",物件マスタ!P857)</f>
        <v>0</v>
      </c>
      <c r="G857" s="1" t="str">
        <f aca="false">IF($A857="","",物件マスタ!Q857)</f>
        <v/>
      </c>
      <c r="H857" s="1" t="n">
        <f aca="false">IF($A857="","",物件マスタ!L857)</f>
        <v>0</v>
      </c>
      <c r="I857" s="1" t="n">
        <f aca="false">IF($A857="","",物件マスタ!M857)</f>
        <v>1034.27</v>
      </c>
      <c r="J857" s="1" t="n">
        <f aca="false">IF($A857="","",物件マスタ!S857)</f>
        <v>1370</v>
      </c>
      <c r="K857" s="1" t="n">
        <f aca="false">IF($A857="","",物件マスタ!U857)</f>
        <v>1430</v>
      </c>
      <c r="L857" s="1" t="n">
        <f aca="false">IF($A857="","",物件マスタ!W857)</f>
        <v>0.888</v>
      </c>
      <c r="M857" s="1" t="str">
        <f aca="false">IF($A857="","",IFERROR(INDEX(法人マスタ!$H:$H,MATCH($B857,法人マスタ!$A:$A,0)),""))</f>
        <v>2026年4月期（第42期）</v>
      </c>
      <c r="N857" s="1" t="n">
        <f aca="false">IF($A857="","",SUMIFS(物件収支!$D:$D,物件収支!$A:$A,$A857,物件収支!$C:$C,$M857))</f>
        <v>6</v>
      </c>
      <c r="O857" s="1" t="n">
        <f aca="false">IF($A857="","",SUMIFS(物件収支!$F:$F,物件収支!$A:$A,$A857,物件収支!$C:$C,$M857))</f>
        <v>29000</v>
      </c>
      <c r="P857" s="1" t="n">
        <f aca="false">IF($A857="","",SUMIFS(物件収支!$I:$I,物件収支!$A:$A,$A857,物件収支!$C:$C,$M857))</f>
        <v>0</v>
      </c>
      <c r="Q857" s="1" t="n">
        <f aca="false">IF($A857="","",SUMIFS(物件収支!$O:$O,物件収支!$A:$A,$A857,物件収支!$C:$C,$M857))</f>
        <v>0</v>
      </c>
      <c r="R857" s="1" t="str">
        <f aca="false">IF($A857="","",IF(P857=0,"",O857-P857))</f>
        <v/>
      </c>
      <c r="S857" s="1" t="str">
        <f aca="false">IF($A857="","",IF(R857="","",R857+Q857))</f>
        <v/>
      </c>
      <c r="T857" s="1" t="str">
        <f aca="false">IF($A857="","",IF(OR(S857="",N857&lt;=0),"",S857/1000*12/N857))</f>
        <v/>
      </c>
      <c r="U857" s="1" t="str">
        <f aca="false">IF($A857="","",IF(OR(T857="",J857=0,J857=""),"",T857/J857))</f>
        <v/>
      </c>
      <c r="V857" s="1" t="str">
        <f aca="false">IF($A857="","",IF(OR(R857="",N857&lt;=0,J857=0,J857=""),"",(R857/1000*12/N857)/J857))</f>
        <v/>
      </c>
      <c r="W857" s="1" t="str">
        <f aca="false">IF($A857="","",IF(OR(T857="",K857=0,K857=""),"",T857/K857))</f>
        <v/>
      </c>
      <c r="X857" s="1" t="n">
        <f aca="false">IF($A857="","",IF(OR(N857&lt;=0,I857=0,I857="",O857=0),"",O857*1000/(I857*0.3025)/N857))</f>
        <v>15448.53996781</v>
      </c>
      <c r="Y857" s="1" t="str">
        <f aca="false">IF($A857="","",IF(OR(O857=0,O857="",P857=0),"",P857/O857))</f>
        <v/>
      </c>
      <c r="Z857" s="1" t="str">
        <f aca="false">IF($A857="","",IFERROR(INDEX(物件収支!$E:$E,MATCH($A857,物件収支!$A:$A,0)),""))</f>
        <v>開示（物件別・収益のみ・百万円単位）</v>
      </c>
    </row>
    <row r="858" customFormat="false" ht="15" hidden="false" customHeight="true" outlineLevel="0" collapsed="false">
      <c r="A858" s="1" t="str">
        <f aca="false">IF(物件マスタ!A858="","",物件マスタ!A858)</f>
        <v>KDX-117</v>
      </c>
      <c r="B858" s="1" t="str">
        <f aca="false">IF($A858="","",物件マスタ!B858)</f>
        <v>KDX</v>
      </c>
      <c r="C858" s="1" t="str">
        <f aca="false">IF($A858="","",IFERROR(INDEX(法人マスタ!$C:$C,MATCH($B858,法人マスタ!$A:$A,0)),""))</f>
        <v>ＫＤＸ不動産投資法人</v>
      </c>
      <c r="D858" s="1" t="str">
        <f aca="false">IF($A858="","",物件マスタ!C858)</f>
        <v>KDXレジデンス宮前平</v>
      </c>
      <c r="E858" s="1" t="str">
        <f aca="false">IF($A858="","",物件マスタ!H858)</f>
        <v>東京経済圏（KDX区分）</v>
      </c>
      <c r="F858" s="1" t="n">
        <f aca="false">IF($A858="","",物件マスタ!P858)</f>
        <v>0</v>
      </c>
      <c r="G858" s="1" t="str">
        <f aca="false">IF($A858="","",物件マスタ!Q858)</f>
        <v/>
      </c>
      <c r="H858" s="1" t="n">
        <f aca="false">IF($A858="","",物件マスタ!L858)</f>
        <v>0</v>
      </c>
      <c r="I858" s="1" t="n">
        <f aca="false">IF($A858="","",物件マスタ!M858)</f>
        <v>2448.27</v>
      </c>
      <c r="J858" s="1" t="n">
        <f aca="false">IF($A858="","",物件マスタ!S858)</f>
        <v>1350</v>
      </c>
      <c r="K858" s="1" t="n">
        <f aca="false">IF($A858="","",物件マスタ!U858)</f>
        <v>1430</v>
      </c>
      <c r="L858" s="1" t="n">
        <f aca="false">IF($A858="","",物件マスタ!W858)</f>
        <v>0.975</v>
      </c>
      <c r="M858" s="1" t="str">
        <f aca="false">IF($A858="","",IFERROR(INDEX(法人マスタ!$H:$H,MATCH($B858,法人マスタ!$A:$A,0)),""))</f>
        <v>2026年4月期（第42期）</v>
      </c>
      <c r="N858" s="1" t="n">
        <f aca="false">IF($A858="","",SUMIFS(物件収支!$D:$D,物件収支!$A:$A,$A858,物件収支!$C:$C,$M858))</f>
        <v>6</v>
      </c>
      <c r="O858" s="1" t="n">
        <f aca="false">IF($A858="","",SUMIFS(物件収支!$F:$F,物件収支!$A:$A,$A858,物件収支!$C:$C,$M858))</f>
        <v>39000</v>
      </c>
      <c r="P858" s="1" t="n">
        <f aca="false">IF($A858="","",SUMIFS(物件収支!$I:$I,物件収支!$A:$A,$A858,物件収支!$C:$C,$M858))</f>
        <v>0</v>
      </c>
      <c r="Q858" s="1" t="n">
        <f aca="false">IF($A858="","",SUMIFS(物件収支!$O:$O,物件収支!$A:$A,$A858,物件収支!$C:$C,$M858))</f>
        <v>0</v>
      </c>
      <c r="R858" s="1" t="str">
        <f aca="false">IF($A858="","",IF(P858=0,"",O858-P858))</f>
        <v/>
      </c>
      <c r="S858" s="1" t="str">
        <f aca="false">IF($A858="","",IF(R858="","",R858+Q858))</f>
        <v/>
      </c>
      <c r="T858" s="1" t="str">
        <f aca="false">IF($A858="","",IF(OR(S858="",N858&lt;=0),"",S858/1000*12/N858))</f>
        <v/>
      </c>
      <c r="U858" s="1" t="str">
        <f aca="false">IF($A858="","",IF(OR(T858="",J858=0,J858=""),"",T858/J858))</f>
        <v/>
      </c>
      <c r="V858" s="1" t="str">
        <f aca="false">IF($A858="","",IF(OR(R858="",N858&lt;=0,J858=0,J858=""),"",(R858/1000*12/N858)/J858))</f>
        <v/>
      </c>
      <c r="W858" s="1" t="str">
        <f aca="false">IF($A858="","",IF(OR(T858="",K858=0,K858=""),"",T858/K858))</f>
        <v/>
      </c>
      <c r="X858" s="1" t="n">
        <f aca="false">IF($A858="","",IF(OR(N858&lt;=0,I858=0,I858="",O858=0),"",O858*1000/(I858*0.3025)/N858))</f>
        <v>8776.64771687156</v>
      </c>
      <c r="Y858" s="1" t="str">
        <f aca="false">IF($A858="","",IF(OR(O858=0,O858="",P858=0),"",P858/O858))</f>
        <v/>
      </c>
      <c r="Z858" s="1" t="str">
        <f aca="false">IF($A858="","",IFERROR(INDEX(物件収支!$E:$E,MATCH($A858,物件収支!$A:$A,0)),""))</f>
        <v>開示（物件別・収益のみ・百万円単位）</v>
      </c>
    </row>
    <row r="859" customFormat="false" ht="15" hidden="false" customHeight="true" outlineLevel="0" collapsed="false">
      <c r="A859" s="1" t="str">
        <f aca="false">IF(物件マスタ!A859="","",物件マスタ!A859)</f>
        <v>KDX-118</v>
      </c>
      <c r="B859" s="1" t="str">
        <f aca="false">IF($A859="","",物件マスタ!B859)</f>
        <v>KDX</v>
      </c>
      <c r="C859" s="1" t="str">
        <f aca="false">IF($A859="","",IFERROR(INDEX(法人マスタ!$C:$C,MATCH($B859,法人マスタ!$A:$A,0)),""))</f>
        <v>ＫＤＸ不動産投資法人</v>
      </c>
      <c r="D859" s="1" t="str">
        <f aca="false">IF($A859="","",物件マスタ!C859)</f>
        <v>KDXレジデンス御徒町</v>
      </c>
      <c r="E859" s="1" t="str">
        <f aca="false">IF($A859="","",物件マスタ!H859)</f>
        <v>東京経済圏（KDX区分）</v>
      </c>
      <c r="F859" s="1" t="n">
        <f aca="false">IF($A859="","",物件マスタ!P859)</f>
        <v>0</v>
      </c>
      <c r="G859" s="1" t="str">
        <f aca="false">IF($A859="","",物件マスタ!Q859)</f>
        <v/>
      </c>
      <c r="H859" s="1" t="n">
        <f aca="false">IF($A859="","",物件マスタ!L859)</f>
        <v>0</v>
      </c>
      <c r="I859" s="1" t="n">
        <f aca="false">IF($A859="","",物件マスタ!M859)</f>
        <v>1329.79</v>
      </c>
      <c r="J859" s="1" t="n">
        <f aca="false">IF($A859="","",物件マスタ!S859)</f>
        <v>1320</v>
      </c>
      <c r="K859" s="1" t="n">
        <f aca="false">IF($A859="","",物件マスタ!U859)</f>
        <v>1440</v>
      </c>
      <c r="L859" s="1" t="n">
        <f aca="false">IF($A859="","",物件マスタ!W859)</f>
        <v>0.889</v>
      </c>
      <c r="M859" s="1" t="str">
        <f aca="false">IF($A859="","",IFERROR(INDEX(法人マスタ!$H:$H,MATCH($B859,法人マスタ!$A:$A,0)),""))</f>
        <v>2026年4月期（第42期）</v>
      </c>
      <c r="N859" s="1" t="n">
        <f aca="false">IF($A859="","",SUMIFS(物件収支!$D:$D,物件収支!$A:$A,$A859,物件収支!$C:$C,$M859))</f>
        <v>6</v>
      </c>
      <c r="O859" s="1" t="n">
        <f aca="false">IF($A859="","",SUMIFS(物件収支!$F:$F,物件収支!$A:$A,$A859,物件収支!$C:$C,$M859))</f>
        <v>34000</v>
      </c>
      <c r="P859" s="1" t="n">
        <f aca="false">IF($A859="","",SUMIFS(物件収支!$I:$I,物件収支!$A:$A,$A859,物件収支!$C:$C,$M859))</f>
        <v>0</v>
      </c>
      <c r="Q859" s="1" t="n">
        <f aca="false">IF($A859="","",SUMIFS(物件収支!$O:$O,物件収支!$A:$A,$A859,物件収支!$C:$C,$M859))</f>
        <v>0</v>
      </c>
      <c r="R859" s="1" t="str">
        <f aca="false">IF($A859="","",IF(P859=0,"",O859-P859))</f>
        <v/>
      </c>
      <c r="S859" s="1" t="str">
        <f aca="false">IF($A859="","",IF(R859="","",R859+Q859))</f>
        <v/>
      </c>
      <c r="T859" s="1" t="str">
        <f aca="false">IF($A859="","",IF(OR(S859="",N859&lt;=0),"",S859/1000*12/N859))</f>
        <v/>
      </c>
      <c r="U859" s="1" t="str">
        <f aca="false">IF($A859="","",IF(OR(T859="",J859=0,J859=""),"",T859/J859))</f>
        <v/>
      </c>
      <c r="V859" s="1" t="str">
        <f aca="false">IF($A859="","",IF(OR(R859="",N859&lt;=0,J859=0,J859=""),"",(R859/1000*12/N859)/J859))</f>
        <v/>
      </c>
      <c r="W859" s="1" t="str">
        <f aca="false">IF($A859="","",IF(OR(T859="",K859=0,K859=""),"",T859/K859))</f>
        <v/>
      </c>
      <c r="X859" s="1" t="n">
        <f aca="false">IF($A859="","",IF(OR(N859&lt;=0,I859=0,I859="",O859=0),"",O859*1000/(I859*0.3025)/N859))</f>
        <v>14087.0230405899</v>
      </c>
      <c r="Y859" s="1" t="str">
        <f aca="false">IF($A859="","",IF(OR(O859=0,O859="",P859=0),"",P859/O859))</f>
        <v/>
      </c>
      <c r="Z859" s="1" t="str">
        <f aca="false">IF($A859="","",IFERROR(INDEX(物件収支!$E:$E,MATCH($A859,物件収支!$A:$A,0)),""))</f>
        <v>開示（物件別・収益のみ・百万円単位）</v>
      </c>
    </row>
    <row r="860" customFormat="false" ht="15" hidden="false" customHeight="true" outlineLevel="0" collapsed="false">
      <c r="A860" s="1" t="str">
        <f aca="false">IF(物件マスタ!A860="","",物件マスタ!A860)</f>
        <v>KDX-119</v>
      </c>
      <c r="B860" s="1" t="str">
        <f aca="false">IF($A860="","",物件マスタ!B860)</f>
        <v>KDX</v>
      </c>
      <c r="C860" s="1" t="str">
        <f aca="false">IF($A860="","",IFERROR(INDEX(法人マスタ!$C:$C,MATCH($B860,法人マスタ!$A:$A,0)),""))</f>
        <v>ＫＤＸ不動産投資法人</v>
      </c>
      <c r="D860" s="1" t="str">
        <f aca="false">IF($A860="","",物件マスタ!C860)</f>
        <v>KDXレジデンス元浅草</v>
      </c>
      <c r="E860" s="1" t="str">
        <f aca="false">IF($A860="","",物件マスタ!H860)</f>
        <v>東京経済圏（KDX区分）</v>
      </c>
      <c r="F860" s="1" t="n">
        <f aca="false">IF($A860="","",物件マスタ!P860)</f>
        <v>0</v>
      </c>
      <c r="G860" s="1" t="str">
        <f aca="false">IF($A860="","",物件マスタ!Q860)</f>
        <v/>
      </c>
      <c r="H860" s="1" t="n">
        <f aca="false">IF($A860="","",物件マスタ!L860)</f>
        <v>0</v>
      </c>
      <c r="I860" s="1" t="n">
        <f aca="false">IF($A860="","",物件マスタ!M860)</f>
        <v>1314.91</v>
      </c>
      <c r="J860" s="1" t="n">
        <f aca="false">IF($A860="","",物件マスタ!S860)</f>
        <v>1220</v>
      </c>
      <c r="K860" s="1" t="n">
        <f aca="false">IF($A860="","",物件マスタ!U860)</f>
        <v>1300</v>
      </c>
      <c r="L860" s="1" t="n">
        <f aca="false">IF($A860="","",物件マスタ!W860)</f>
        <v>0.943</v>
      </c>
      <c r="M860" s="1" t="str">
        <f aca="false">IF($A860="","",IFERROR(INDEX(法人マスタ!$H:$H,MATCH($B860,法人マスタ!$A:$A,0)),""))</f>
        <v>2026年4月期（第42期）</v>
      </c>
      <c r="N860" s="1" t="n">
        <f aca="false">IF($A860="","",SUMIFS(物件収支!$D:$D,物件収支!$A:$A,$A860,物件収支!$C:$C,$M860))</f>
        <v>6</v>
      </c>
      <c r="O860" s="1" t="n">
        <f aca="false">IF($A860="","",SUMIFS(物件収支!$F:$F,物件収支!$A:$A,$A860,物件収支!$C:$C,$M860))</f>
        <v>31000</v>
      </c>
      <c r="P860" s="1" t="n">
        <f aca="false">IF($A860="","",SUMIFS(物件収支!$I:$I,物件収支!$A:$A,$A860,物件収支!$C:$C,$M860))</f>
        <v>0</v>
      </c>
      <c r="Q860" s="1" t="n">
        <f aca="false">IF($A860="","",SUMIFS(物件収支!$O:$O,物件収支!$A:$A,$A860,物件収支!$C:$C,$M860))</f>
        <v>0</v>
      </c>
      <c r="R860" s="1" t="str">
        <f aca="false">IF($A860="","",IF(P860=0,"",O860-P860))</f>
        <v/>
      </c>
      <c r="S860" s="1" t="str">
        <f aca="false">IF($A860="","",IF(R860="","",R860+Q860))</f>
        <v/>
      </c>
      <c r="T860" s="1" t="str">
        <f aca="false">IF($A860="","",IF(OR(S860="",N860&lt;=0),"",S860/1000*12/N860))</f>
        <v/>
      </c>
      <c r="U860" s="1" t="str">
        <f aca="false">IF($A860="","",IF(OR(T860="",J860=0,J860=""),"",T860/J860))</f>
        <v/>
      </c>
      <c r="V860" s="1" t="str">
        <f aca="false">IF($A860="","",IF(OR(R860="",N860&lt;=0,J860=0,J860=""),"",(R860/1000*12/N860)/J860))</f>
        <v/>
      </c>
      <c r="W860" s="1" t="str">
        <f aca="false">IF($A860="","",IF(OR(T860="",K860=0,K860=""),"",T860/K860))</f>
        <v/>
      </c>
      <c r="X860" s="1" t="n">
        <f aca="false">IF($A860="","",IF(OR(N860&lt;=0,I860=0,I860="",O860=0),"",O860*1000/(I860*0.3025)/N860))</f>
        <v>12989.3983673122</v>
      </c>
      <c r="Y860" s="1" t="str">
        <f aca="false">IF($A860="","",IF(OR(O860=0,O860="",P860=0),"",P860/O860))</f>
        <v/>
      </c>
      <c r="Z860" s="1" t="str">
        <f aca="false">IF($A860="","",IFERROR(INDEX(物件収支!$E:$E,MATCH($A860,物件収支!$A:$A,0)),""))</f>
        <v>開示（物件別・収益のみ・百万円単位）</v>
      </c>
    </row>
    <row r="861" customFormat="false" ht="15" hidden="false" customHeight="true" outlineLevel="0" collapsed="false">
      <c r="A861" s="1" t="str">
        <f aca="false">IF(物件マスタ!A861="","",物件マスタ!A861)</f>
        <v>KDX-120</v>
      </c>
      <c r="B861" s="1" t="str">
        <f aca="false">IF($A861="","",物件マスタ!B861)</f>
        <v>KDX</v>
      </c>
      <c r="C861" s="1" t="str">
        <f aca="false">IF($A861="","",IFERROR(INDEX(法人マスタ!$C:$C,MATCH($B861,法人マスタ!$A:$A,0)),""))</f>
        <v>ＫＤＸ不動産投資法人</v>
      </c>
      <c r="D861" s="1" t="str">
        <f aca="false">IF($A861="","",物件マスタ!C861)</f>
        <v>KDXレジデンス門前仲町</v>
      </c>
      <c r="E861" s="1" t="str">
        <f aca="false">IF($A861="","",物件マスタ!H861)</f>
        <v>東京経済圏（KDX区分）</v>
      </c>
      <c r="F861" s="1" t="n">
        <f aca="false">IF($A861="","",物件マスタ!P861)</f>
        <v>0</v>
      </c>
      <c r="G861" s="1" t="str">
        <f aca="false">IF($A861="","",物件マスタ!Q861)</f>
        <v/>
      </c>
      <c r="H861" s="1" t="n">
        <f aca="false">IF($A861="","",物件マスタ!L861)</f>
        <v>0</v>
      </c>
      <c r="I861" s="1" t="n">
        <f aca="false">IF($A861="","",物件マスタ!M861)</f>
        <v>1171.41</v>
      </c>
      <c r="J861" s="1" t="n">
        <f aca="false">IF($A861="","",物件マスタ!S861)</f>
        <v>1200</v>
      </c>
      <c r="K861" s="1" t="n">
        <f aca="false">IF($A861="","",物件マスタ!U861)</f>
        <v>1260</v>
      </c>
      <c r="L861" s="1" t="n">
        <f aca="false">IF($A861="","",物件マスタ!W861)</f>
        <v>0.921</v>
      </c>
      <c r="M861" s="1" t="str">
        <f aca="false">IF($A861="","",IFERROR(INDEX(法人マスタ!$H:$H,MATCH($B861,法人マスタ!$A:$A,0)),""))</f>
        <v>2026年4月期（第42期）</v>
      </c>
      <c r="N861" s="1" t="n">
        <f aca="false">IF($A861="","",SUMIFS(物件収支!$D:$D,物件収支!$A:$A,$A861,物件収支!$C:$C,$M861))</f>
        <v>6</v>
      </c>
      <c r="O861" s="1" t="n">
        <f aca="false">IF($A861="","",SUMIFS(物件収支!$F:$F,物件収支!$A:$A,$A861,物件収支!$C:$C,$M861))</f>
        <v>29000</v>
      </c>
      <c r="P861" s="1" t="n">
        <f aca="false">IF($A861="","",SUMIFS(物件収支!$I:$I,物件収支!$A:$A,$A861,物件収支!$C:$C,$M861))</f>
        <v>0</v>
      </c>
      <c r="Q861" s="1" t="n">
        <f aca="false">IF($A861="","",SUMIFS(物件収支!$O:$O,物件収支!$A:$A,$A861,物件収支!$C:$C,$M861))</f>
        <v>0</v>
      </c>
      <c r="R861" s="1" t="str">
        <f aca="false">IF($A861="","",IF(P861=0,"",O861-P861))</f>
        <v/>
      </c>
      <c r="S861" s="1" t="str">
        <f aca="false">IF($A861="","",IF(R861="","",R861+Q861))</f>
        <v/>
      </c>
      <c r="T861" s="1" t="str">
        <f aca="false">IF($A861="","",IF(OR(S861="",N861&lt;=0),"",S861/1000*12/N861))</f>
        <v/>
      </c>
      <c r="U861" s="1" t="str">
        <f aca="false">IF($A861="","",IF(OR(T861="",J861=0,J861=""),"",T861/J861))</f>
        <v/>
      </c>
      <c r="V861" s="1" t="str">
        <f aca="false">IF($A861="","",IF(OR(R861="",N861&lt;=0,J861=0,J861=""),"",(R861/1000*12/N861)/J861))</f>
        <v/>
      </c>
      <c r="W861" s="1" t="str">
        <f aca="false">IF($A861="","",IF(OR(T861="",K861=0,K861=""),"",T861/K861))</f>
        <v/>
      </c>
      <c r="X861" s="1" t="n">
        <f aca="false">IF($A861="","",IF(OR(N861&lt;=0,I861=0,I861="",O861=0),"",O861*1000/(I861*0.3025)/N861))</f>
        <v>13639.9394170332</v>
      </c>
      <c r="Y861" s="1" t="str">
        <f aca="false">IF($A861="","",IF(OR(O861=0,O861="",P861=0),"",P861/O861))</f>
        <v/>
      </c>
      <c r="Z861" s="1" t="str">
        <f aca="false">IF($A861="","",IFERROR(INDEX(物件収支!$E:$E,MATCH($A861,物件収支!$A:$A,0)),""))</f>
        <v>開示（物件別・収益のみ・百万円単位）</v>
      </c>
    </row>
    <row r="862" customFormat="false" ht="15" hidden="false" customHeight="true" outlineLevel="0" collapsed="false">
      <c r="A862" s="1" t="str">
        <f aca="false">IF(物件マスタ!A862="","",物件マスタ!A862)</f>
        <v>KDX-121</v>
      </c>
      <c r="B862" s="1" t="str">
        <f aca="false">IF($A862="","",物件マスタ!B862)</f>
        <v>KDX</v>
      </c>
      <c r="C862" s="1" t="str">
        <f aca="false">IF($A862="","",IFERROR(INDEX(法人マスタ!$C:$C,MATCH($B862,法人マスタ!$A:$A,0)),""))</f>
        <v>ＫＤＸ不動産投資法人</v>
      </c>
      <c r="D862" s="1" t="str">
        <f aca="false">IF($A862="","",物件マスタ!C862)</f>
        <v>KDXレジデンス三宿</v>
      </c>
      <c r="E862" s="1" t="str">
        <f aca="false">IF($A862="","",物件マスタ!H862)</f>
        <v>東京経済圏（KDX区分）</v>
      </c>
      <c r="F862" s="1" t="n">
        <f aca="false">IF($A862="","",物件マスタ!P862)</f>
        <v>0</v>
      </c>
      <c r="G862" s="1" t="str">
        <f aca="false">IF($A862="","",物件マスタ!Q862)</f>
        <v/>
      </c>
      <c r="H862" s="1" t="n">
        <f aca="false">IF($A862="","",物件マスタ!L862)</f>
        <v>0</v>
      </c>
      <c r="I862" s="1" t="n">
        <f aca="false">IF($A862="","",物件マスタ!M862)</f>
        <v>1103.82</v>
      </c>
      <c r="J862" s="1" t="n">
        <f aca="false">IF($A862="","",物件マスタ!S862)</f>
        <v>1190</v>
      </c>
      <c r="K862" s="1" t="n">
        <f aca="false">IF($A862="","",物件マスタ!U862)</f>
        <v>1320</v>
      </c>
      <c r="L862" s="1" t="n">
        <f aca="false">IF($A862="","",物件マスタ!W862)</f>
        <v>1</v>
      </c>
      <c r="M862" s="1" t="str">
        <f aca="false">IF($A862="","",IFERROR(INDEX(法人マスタ!$H:$H,MATCH($B862,法人マスタ!$A:$A,0)),""))</f>
        <v>2026年4月期（第42期）</v>
      </c>
      <c r="N862" s="1" t="n">
        <f aca="false">IF($A862="","",SUMIFS(物件収支!$D:$D,物件収支!$A:$A,$A862,物件収支!$C:$C,$M862))</f>
        <v>6</v>
      </c>
      <c r="O862" s="1" t="n">
        <f aca="false">IF($A862="","",SUMIFS(物件収支!$F:$F,物件収支!$A:$A,$A862,物件収支!$C:$C,$M862))</f>
        <v>28000</v>
      </c>
      <c r="P862" s="1" t="n">
        <f aca="false">IF($A862="","",SUMIFS(物件収支!$I:$I,物件収支!$A:$A,$A862,物件収支!$C:$C,$M862))</f>
        <v>0</v>
      </c>
      <c r="Q862" s="1" t="n">
        <f aca="false">IF($A862="","",SUMIFS(物件収支!$O:$O,物件収支!$A:$A,$A862,物件収支!$C:$C,$M862))</f>
        <v>0</v>
      </c>
      <c r="R862" s="1" t="str">
        <f aca="false">IF($A862="","",IF(P862=0,"",O862-P862))</f>
        <v/>
      </c>
      <c r="S862" s="1" t="str">
        <f aca="false">IF($A862="","",IF(R862="","",R862+Q862))</f>
        <v/>
      </c>
      <c r="T862" s="1" t="str">
        <f aca="false">IF($A862="","",IF(OR(S862="",N862&lt;=0),"",S862/1000*12/N862))</f>
        <v/>
      </c>
      <c r="U862" s="1" t="str">
        <f aca="false">IF($A862="","",IF(OR(T862="",J862=0,J862=""),"",T862/J862))</f>
        <v/>
      </c>
      <c r="V862" s="1" t="str">
        <f aca="false">IF($A862="","",IF(OR(R862="",N862&lt;=0,J862=0,J862=""),"",(R862/1000*12/N862)/J862))</f>
        <v/>
      </c>
      <c r="W862" s="1" t="str">
        <f aca="false">IF($A862="","",IF(OR(T862="",K862=0,K862=""),"",T862/K862))</f>
        <v/>
      </c>
      <c r="X862" s="1" t="n">
        <f aca="false">IF($A862="","",IF(OR(N862&lt;=0,I862=0,I862="",O862=0),"",O862*1000/(I862*0.3025)/N862))</f>
        <v>13976.0080857197</v>
      </c>
      <c r="Y862" s="1" t="str">
        <f aca="false">IF($A862="","",IF(OR(O862=0,O862="",P862=0),"",P862/O862))</f>
        <v/>
      </c>
      <c r="Z862" s="1" t="str">
        <f aca="false">IF($A862="","",IFERROR(INDEX(物件収支!$E:$E,MATCH($A862,物件収支!$A:$A,0)),""))</f>
        <v>開示（物件別・収益のみ・百万円単位）</v>
      </c>
    </row>
    <row r="863" customFormat="false" ht="15" hidden="false" customHeight="true" outlineLevel="0" collapsed="false">
      <c r="A863" s="1" t="str">
        <f aca="false">IF(物件マスタ!A863="","",物件マスタ!A863)</f>
        <v>KDX-122</v>
      </c>
      <c r="B863" s="1" t="str">
        <f aca="false">IF($A863="","",物件マスタ!B863)</f>
        <v>KDX</v>
      </c>
      <c r="C863" s="1" t="str">
        <f aca="false">IF($A863="","",IFERROR(INDEX(法人マスタ!$C:$C,MATCH($B863,法人マスタ!$A:$A,0)),""))</f>
        <v>ＫＤＸ不動産投資法人</v>
      </c>
      <c r="D863" s="1" t="str">
        <f aca="false">IF($A863="","",物件マスタ!C863)</f>
        <v>KDXレジデンス横浜関内</v>
      </c>
      <c r="E863" s="1" t="str">
        <f aca="false">IF($A863="","",物件マスタ!H863)</f>
        <v>東京経済圏（KDX区分）</v>
      </c>
      <c r="F863" s="1" t="n">
        <f aca="false">IF($A863="","",物件マスタ!P863)</f>
        <v>0</v>
      </c>
      <c r="G863" s="1" t="str">
        <f aca="false">IF($A863="","",物件マスタ!Q863)</f>
        <v/>
      </c>
      <c r="H863" s="1" t="n">
        <f aca="false">IF($A863="","",物件マスタ!L863)</f>
        <v>0</v>
      </c>
      <c r="I863" s="1" t="n">
        <f aca="false">IF($A863="","",物件マスタ!M863)</f>
        <v>1602.16</v>
      </c>
      <c r="J863" s="1" t="n">
        <f aca="false">IF($A863="","",物件マスタ!S863)</f>
        <v>1180</v>
      </c>
      <c r="K863" s="1" t="n">
        <f aca="false">IF($A863="","",物件マスタ!U863)</f>
        <v>1220</v>
      </c>
      <c r="L863" s="1" t="n">
        <f aca="false">IF($A863="","",物件マスタ!W863)</f>
        <v>0.988</v>
      </c>
      <c r="M863" s="1" t="str">
        <f aca="false">IF($A863="","",IFERROR(INDEX(法人マスタ!$H:$H,MATCH($B863,法人マスタ!$A:$A,0)),""))</f>
        <v>2026年4月期（第42期）</v>
      </c>
      <c r="N863" s="1" t="n">
        <f aca="false">IF($A863="","",SUMIFS(物件収支!$D:$D,物件収支!$A:$A,$A863,物件収支!$C:$C,$M863))</f>
        <v>6</v>
      </c>
      <c r="O863" s="1" t="n">
        <f aca="false">IF($A863="","",SUMIFS(物件収支!$F:$F,物件収支!$A:$A,$A863,物件収支!$C:$C,$M863))</f>
        <v>38000</v>
      </c>
      <c r="P863" s="1" t="n">
        <f aca="false">IF($A863="","",SUMIFS(物件収支!$I:$I,物件収支!$A:$A,$A863,物件収支!$C:$C,$M863))</f>
        <v>0</v>
      </c>
      <c r="Q863" s="1" t="n">
        <f aca="false">IF($A863="","",SUMIFS(物件収支!$O:$O,物件収支!$A:$A,$A863,物件収支!$C:$C,$M863))</f>
        <v>0</v>
      </c>
      <c r="R863" s="1" t="str">
        <f aca="false">IF($A863="","",IF(P863=0,"",O863-P863))</f>
        <v/>
      </c>
      <c r="S863" s="1" t="str">
        <f aca="false">IF($A863="","",IF(R863="","",R863+Q863))</f>
        <v/>
      </c>
      <c r="T863" s="1" t="str">
        <f aca="false">IF($A863="","",IF(OR(S863="",N863&lt;=0),"",S863/1000*12/N863))</f>
        <v/>
      </c>
      <c r="U863" s="1" t="str">
        <f aca="false">IF($A863="","",IF(OR(T863="",J863=0,J863=""),"",T863/J863))</f>
        <v/>
      </c>
      <c r="V863" s="1" t="str">
        <f aca="false">IF($A863="","",IF(OR(R863="",N863&lt;=0,J863=0,J863=""),"",(R863/1000*12/N863)/J863))</f>
        <v/>
      </c>
      <c r="W863" s="1" t="str">
        <f aca="false">IF($A863="","",IF(OR(T863="",K863=0,K863=""),"",T863/K863))</f>
        <v/>
      </c>
      <c r="X863" s="1" t="n">
        <f aca="false">IF($A863="","",IF(OR(N863&lt;=0,I863=0,I863="",O863=0),"",O863*1000/(I863*0.3025)/N863))</f>
        <v>13067.7579757685</v>
      </c>
      <c r="Y863" s="1" t="str">
        <f aca="false">IF($A863="","",IF(OR(O863=0,O863="",P863=0),"",P863/O863))</f>
        <v/>
      </c>
      <c r="Z863" s="1" t="str">
        <f aca="false">IF($A863="","",IFERROR(INDEX(物件収支!$E:$E,MATCH($A863,物件収支!$A:$A,0)),""))</f>
        <v>開示（物件別・収益のみ・百万円単位）</v>
      </c>
    </row>
    <row r="864" customFormat="false" ht="15" hidden="false" customHeight="true" outlineLevel="0" collapsed="false">
      <c r="A864" s="1" t="str">
        <f aca="false">IF(物件マスタ!A864="","",物件マスタ!A864)</f>
        <v>KDX-123</v>
      </c>
      <c r="B864" s="1" t="str">
        <f aca="false">IF($A864="","",物件マスタ!B864)</f>
        <v>KDX</v>
      </c>
      <c r="C864" s="1" t="str">
        <f aca="false">IF($A864="","",IFERROR(INDEX(法人マスタ!$C:$C,MATCH($B864,法人マスタ!$A:$A,0)),""))</f>
        <v>ＫＤＸ不動産投資法人</v>
      </c>
      <c r="D864" s="1" t="str">
        <f aca="false">IF($A864="","",物件マスタ!C864)</f>
        <v>KDXレジデンス神楽坂</v>
      </c>
      <c r="E864" s="1" t="str">
        <f aca="false">IF($A864="","",物件マスタ!H864)</f>
        <v>東京経済圏（KDX区分）</v>
      </c>
      <c r="F864" s="1" t="n">
        <f aca="false">IF($A864="","",物件マスタ!P864)</f>
        <v>0</v>
      </c>
      <c r="G864" s="1" t="str">
        <f aca="false">IF($A864="","",物件マスタ!Q864)</f>
        <v/>
      </c>
      <c r="H864" s="1" t="n">
        <f aca="false">IF($A864="","",物件マスタ!L864)</f>
        <v>0</v>
      </c>
      <c r="I864" s="1" t="n">
        <f aca="false">IF($A864="","",物件マスタ!M864)</f>
        <v>890.93</v>
      </c>
      <c r="J864" s="1" t="n">
        <f aca="false">IF($A864="","",物件マスタ!S864)</f>
        <v>1160</v>
      </c>
      <c r="K864" s="1" t="n">
        <f aca="false">IF($A864="","",物件マスタ!U864)</f>
        <v>1230</v>
      </c>
      <c r="L864" s="1" t="n">
        <f aca="false">IF($A864="","",物件マスタ!W864)</f>
        <v>1</v>
      </c>
      <c r="M864" s="1" t="str">
        <f aca="false">IF($A864="","",IFERROR(INDEX(法人マスタ!$H:$H,MATCH($B864,法人マスタ!$A:$A,0)),""))</f>
        <v>2026年4月期（第42期）</v>
      </c>
      <c r="N864" s="1" t="n">
        <f aca="false">IF($A864="","",SUMIFS(物件収支!$D:$D,物件収支!$A:$A,$A864,物件収支!$C:$C,$M864))</f>
        <v>6</v>
      </c>
      <c r="O864" s="1" t="n">
        <f aca="false">IF($A864="","",SUMIFS(物件収支!$F:$F,物件収支!$A:$A,$A864,物件収支!$C:$C,$M864))</f>
        <v>26000</v>
      </c>
      <c r="P864" s="1" t="n">
        <f aca="false">IF($A864="","",SUMIFS(物件収支!$I:$I,物件収支!$A:$A,$A864,物件収支!$C:$C,$M864))</f>
        <v>0</v>
      </c>
      <c r="Q864" s="1" t="n">
        <f aca="false">IF($A864="","",SUMIFS(物件収支!$O:$O,物件収支!$A:$A,$A864,物件収支!$C:$C,$M864))</f>
        <v>0</v>
      </c>
      <c r="R864" s="1" t="str">
        <f aca="false">IF($A864="","",IF(P864=0,"",O864-P864))</f>
        <v/>
      </c>
      <c r="S864" s="1" t="str">
        <f aca="false">IF($A864="","",IF(R864="","",R864+Q864))</f>
        <v/>
      </c>
      <c r="T864" s="1" t="str">
        <f aca="false">IF($A864="","",IF(OR(S864="",N864&lt;=0),"",S864/1000*12/N864))</f>
        <v/>
      </c>
      <c r="U864" s="1" t="str">
        <f aca="false">IF($A864="","",IF(OR(T864="",J864=0,J864=""),"",T864/J864))</f>
        <v/>
      </c>
      <c r="V864" s="1" t="str">
        <f aca="false">IF($A864="","",IF(OR(R864="",N864&lt;=0,J864=0,J864=""),"",(R864/1000*12/N864)/J864))</f>
        <v/>
      </c>
      <c r="W864" s="1" t="str">
        <f aca="false">IF($A864="","",IF(OR(T864="",K864=0,K864=""),"",T864/K864))</f>
        <v/>
      </c>
      <c r="X864" s="1" t="n">
        <f aca="false">IF($A864="","",IF(OR(N864&lt;=0,I864=0,I864="",O864=0),"",O864*1000/(I864*0.3025)/N864))</f>
        <v>16078.7815771423</v>
      </c>
      <c r="Y864" s="1" t="str">
        <f aca="false">IF($A864="","",IF(OR(O864=0,O864="",P864=0),"",P864/O864))</f>
        <v/>
      </c>
      <c r="Z864" s="1" t="str">
        <f aca="false">IF($A864="","",IFERROR(INDEX(物件収支!$E:$E,MATCH($A864,物件収支!$A:$A,0)),""))</f>
        <v>開示（物件別・収益のみ・百万円単位）</v>
      </c>
    </row>
    <row r="865" customFormat="false" ht="15" hidden="false" customHeight="true" outlineLevel="0" collapsed="false">
      <c r="A865" s="1" t="str">
        <f aca="false">IF(物件マスタ!A865="","",物件マスタ!A865)</f>
        <v>KDX-124</v>
      </c>
      <c r="B865" s="1" t="str">
        <f aca="false">IF($A865="","",物件マスタ!B865)</f>
        <v>KDX</v>
      </c>
      <c r="C865" s="1" t="str">
        <f aca="false">IF($A865="","",IFERROR(INDEX(法人マスタ!$C:$C,MATCH($B865,法人マスタ!$A:$A,0)),""))</f>
        <v>ＫＤＸ不動産投資法人</v>
      </c>
      <c r="D865" s="1" t="str">
        <f aca="false">IF($A865="","",物件マスタ!C865)</f>
        <v>KDXレジデンス多摩川</v>
      </c>
      <c r="E865" s="1" t="str">
        <f aca="false">IF($A865="","",物件マスタ!H865)</f>
        <v>東京経済圏（KDX区分）</v>
      </c>
      <c r="F865" s="1" t="n">
        <f aca="false">IF($A865="","",物件マスタ!P865)</f>
        <v>0</v>
      </c>
      <c r="G865" s="1" t="str">
        <f aca="false">IF($A865="","",物件マスタ!Q865)</f>
        <v/>
      </c>
      <c r="H865" s="1" t="n">
        <f aca="false">IF($A865="","",物件マスタ!L865)</f>
        <v>0</v>
      </c>
      <c r="I865" s="1" t="n">
        <f aca="false">IF($A865="","",物件マスタ!M865)</f>
        <v>1170.4</v>
      </c>
      <c r="J865" s="1" t="n">
        <f aca="false">IF($A865="","",物件マスタ!S865)</f>
        <v>1130</v>
      </c>
      <c r="K865" s="1" t="n">
        <f aca="false">IF($A865="","",物件マスタ!U865)</f>
        <v>1100</v>
      </c>
      <c r="L865" s="1" t="n">
        <f aca="false">IF($A865="","",物件マスタ!W865)</f>
        <v>0.964</v>
      </c>
      <c r="M865" s="1" t="str">
        <f aca="false">IF($A865="","",IFERROR(INDEX(法人マスタ!$H:$H,MATCH($B865,法人マスタ!$A:$A,0)),""))</f>
        <v>2026年4月期（第42期）</v>
      </c>
      <c r="N865" s="1" t="n">
        <f aca="false">IF($A865="","",SUMIFS(物件収支!$D:$D,物件収支!$A:$A,$A865,物件収支!$C:$C,$M865))</f>
        <v>6</v>
      </c>
      <c r="O865" s="1" t="n">
        <f aca="false">IF($A865="","",SUMIFS(物件収支!$F:$F,物件収支!$A:$A,$A865,物件収支!$C:$C,$M865))</f>
        <v>30000</v>
      </c>
      <c r="P865" s="1" t="n">
        <f aca="false">IF($A865="","",SUMIFS(物件収支!$I:$I,物件収支!$A:$A,$A865,物件収支!$C:$C,$M865))</f>
        <v>0</v>
      </c>
      <c r="Q865" s="1" t="n">
        <f aca="false">IF($A865="","",SUMIFS(物件収支!$O:$O,物件収支!$A:$A,$A865,物件収支!$C:$C,$M865))</f>
        <v>0</v>
      </c>
      <c r="R865" s="1" t="str">
        <f aca="false">IF($A865="","",IF(P865=0,"",O865-P865))</f>
        <v/>
      </c>
      <c r="S865" s="1" t="str">
        <f aca="false">IF($A865="","",IF(R865="","",R865+Q865))</f>
        <v/>
      </c>
      <c r="T865" s="1" t="str">
        <f aca="false">IF($A865="","",IF(OR(S865="",N865&lt;=0),"",S865/1000*12/N865))</f>
        <v/>
      </c>
      <c r="U865" s="1" t="str">
        <f aca="false">IF($A865="","",IF(OR(T865="",J865=0,J865=""),"",T865/J865))</f>
        <v/>
      </c>
      <c r="V865" s="1" t="str">
        <f aca="false">IF($A865="","",IF(OR(R865="",N865&lt;=0,J865=0,J865=""),"",(R865/1000*12/N865)/J865))</f>
        <v/>
      </c>
      <c r="W865" s="1" t="str">
        <f aca="false">IF($A865="","",IF(OR(T865="",K865=0,K865=""),"",T865/K865))</f>
        <v/>
      </c>
      <c r="X865" s="1" t="n">
        <f aca="false">IF($A865="","",IF(OR(N865&lt;=0,I865=0,I865="",O865=0),"",O865*1000/(I865*0.3025)/N865))</f>
        <v>14122.4586635635</v>
      </c>
      <c r="Y865" s="1" t="str">
        <f aca="false">IF($A865="","",IF(OR(O865=0,O865="",P865=0),"",P865/O865))</f>
        <v/>
      </c>
      <c r="Z865" s="1" t="str">
        <f aca="false">IF($A865="","",IFERROR(INDEX(物件収支!$E:$E,MATCH($A865,物件収支!$A:$A,0)),""))</f>
        <v>開示（物件別・収益のみ・百万円単位）</v>
      </c>
    </row>
    <row r="866" customFormat="false" ht="15" hidden="false" customHeight="true" outlineLevel="0" collapsed="false">
      <c r="A866" s="1" t="str">
        <f aca="false">IF(物件マスタ!A866="","",物件マスタ!A866)</f>
        <v>KDX-125</v>
      </c>
      <c r="B866" s="1" t="str">
        <f aca="false">IF($A866="","",物件マスタ!B866)</f>
        <v>KDX</v>
      </c>
      <c r="C866" s="1" t="str">
        <f aca="false">IF($A866="","",IFERROR(INDEX(法人マスタ!$C:$C,MATCH($B866,法人マスタ!$A:$A,0)),""))</f>
        <v>ＫＤＸ不動産投資法人</v>
      </c>
      <c r="D866" s="1" t="str">
        <f aca="false">IF($A866="","",物件マスタ!C866)</f>
        <v>KDXレジデンス用賀</v>
      </c>
      <c r="E866" s="1" t="str">
        <f aca="false">IF($A866="","",物件マスタ!H866)</f>
        <v>東京経済圏（KDX区分）</v>
      </c>
      <c r="F866" s="1" t="n">
        <f aca="false">IF($A866="","",物件マスタ!P866)</f>
        <v>0</v>
      </c>
      <c r="G866" s="1" t="str">
        <f aca="false">IF($A866="","",物件マスタ!Q866)</f>
        <v/>
      </c>
      <c r="H866" s="1" t="n">
        <f aca="false">IF($A866="","",物件マスタ!L866)</f>
        <v>0</v>
      </c>
      <c r="I866" s="1" t="n">
        <f aca="false">IF($A866="","",物件マスタ!M866)</f>
        <v>1012.8</v>
      </c>
      <c r="J866" s="1" t="n">
        <f aca="false">IF($A866="","",物件マスタ!S866)</f>
        <v>1080</v>
      </c>
      <c r="K866" s="1" t="n">
        <f aca="false">IF($A866="","",物件マスタ!U866)</f>
        <v>1130</v>
      </c>
      <c r="L866" s="1" t="n">
        <f aca="false">IF($A866="","",物件マスタ!W866)</f>
        <v>0.975</v>
      </c>
      <c r="M866" s="1" t="str">
        <f aca="false">IF($A866="","",IFERROR(INDEX(法人マスタ!$H:$H,MATCH($B866,法人マスタ!$A:$A,0)),""))</f>
        <v>2026年4月期（第42期）</v>
      </c>
      <c r="N866" s="1" t="n">
        <f aca="false">IF($A866="","",SUMIFS(物件収支!$D:$D,物件収支!$A:$A,$A866,物件収支!$C:$C,$M866))</f>
        <v>6</v>
      </c>
      <c r="O866" s="1" t="n">
        <f aca="false">IF($A866="","",SUMIFS(物件収支!$F:$F,物件収支!$A:$A,$A866,物件収支!$C:$C,$M866))</f>
        <v>28000</v>
      </c>
      <c r="P866" s="1" t="n">
        <f aca="false">IF($A866="","",SUMIFS(物件収支!$I:$I,物件収支!$A:$A,$A866,物件収支!$C:$C,$M866))</f>
        <v>0</v>
      </c>
      <c r="Q866" s="1" t="n">
        <f aca="false">IF($A866="","",SUMIFS(物件収支!$O:$O,物件収支!$A:$A,$A866,物件収支!$C:$C,$M866))</f>
        <v>0</v>
      </c>
      <c r="R866" s="1" t="str">
        <f aca="false">IF($A866="","",IF(P866=0,"",O866-P866))</f>
        <v/>
      </c>
      <c r="S866" s="1" t="str">
        <f aca="false">IF($A866="","",IF(R866="","",R866+Q866))</f>
        <v/>
      </c>
      <c r="T866" s="1" t="str">
        <f aca="false">IF($A866="","",IF(OR(S866="",N866&lt;=0),"",S866/1000*12/N866))</f>
        <v/>
      </c>
      <c r="U866" s="1" t="str">
        <f aca="false">IF($A866="","",IF(OR(T866="",J866=0,J866=""),"",T866/J866))</f>
        <v/>
      </c>
      <c r="V866" s="1" t="str">
        <f aca="false">IF($A866="","",IF(OR(R866="",N866&lt;=0,J866=0,J866=""),"",(R866/1000*12/N866)/J866))</f>
        <v/>
      </c>
      <c r="W866" s="1" t="str">
        <f aca="false">IF($A866="","",IF(OR(T866="",K866=0,K866=""),"",T866/K866))</f>
        <v/>
      </c>
      <c r="X866" s="1" t="n">
        <f aca="false">IF($A866="","",IF(OR(N866&lt;=0,I866=0,I866="",O866=0),"",O866*1000/(I866*0.3025)/N866))</f>
        <v>15232.0272957929</v>
      </c>
      <c r="Y866" s="1" t="str">
        <f aca="false">IF($A866="","",IF(OR(O866=0,O866="",P866=0),"",P866/O866))</f>
        <v/>
      </c>
      <c r="Z866" s="1" t="str">
        <f aca="false">IF($A866="","",IFERROR(INDEX(物件収支!$E:$E,MATCH($A866,物件収支!$A:$A,0)),""))</f>
        <v>開示（物件別・収益のみ・百万円単位）</v>
      </c>
    </row>
    <row r="867" customFormat="false" ht="15" hidden="false" customHeight="true" outlineLevel="0" collapsed="false">
      <c r="A867" s="1" t="str">
        <f aca="false">IF(物件マスタ!A867="","",物件マスタ!A867)</f>
        <v>KDX-126</v>
      </c>
      <c r="B867" s="1" t="str">
        <f aca="false">IF($A867="","",物件マスタ!B867)</f>
        <v>KDX</v>
      </c>
      <c r="C867" s="1" t="str">
        <f aca="false">IF($A867="","",IFERROR(INDEX(法人マスタ!$C:$C,MATCH($B867,法人マスタ!$A:$A,0)),""))</f>
        <v>ＫＤＸ不動産投資法人</v>
      </c>
      <c r="D867" s="1" t="str">
        <f aca="false">IF($A867="","",物件マスタ!C867)</f>
        <v>KDXレジデンス板橋本町</v>
      </c>
      <c r="E867" s="1" t="str">
        <f aca="false">IF($A867="","",物件マスタ!H867)</f>
        <v>東京経済圏（KDX区分）</v>
      </c>
      <c r="F867" s="1" t="n">
        <f aca="false">IF($A867="","",物件マスタ!P867)</f>
        <v>0</v>
      </c>
      <c r="G867" s="1" t="str">
        <f aca="false">IF($A867="","",物件マスタ!Q867)</f>
        <v/>
      </c>
      <c r="H867" s="1" t="n">
        <f aca="false">IF($A867="","",物件マスタ!L867)</f>
        <v>0</v>
      </c>
      <c r="I867" s="1" t="n">
        <f aca="false">IF($A867="","",物件マスタ!M867)</f>
        <v>1127.58</v>
      </c>
      <c r="J867" s="1" t="n">
        <f aca="false">IF($A867="","",物件マスタ!S867)</f>
        <v>958</v>
      </c>
      <c r="K867" s="1" t="n">
        <f aca="false">IF($A867="","",物件マスタ!U867)</f>
        <v>1010</v>
      </c>
      <c r="L867" s="1" t="n">
        <f aca="false">IF($A867="","",物件マスタ!W867)</f>
        <v>1</v>
      </c>
      <c r="M867" s="1" t="str">
        <f aca="false">IF($A867="","",IFERROR(INDEX(法人マスタ!$H:$H,MATCH($B867,法人マスタ!$A:$A,0)),""))</f>
        <v>2026年4月期（第42期）</v>
      </c>
      <c r="N867" s="1" t="n">
        <f aca="false">IF($A867="","",SUMIFS(物件収支!$D:$D,物件収支!$A:$A,$A867,物件収支!$C:$C,$M867))</f>
        <v>6</v>
      </c>
      <c r="O867" s="1" t="n">
        <f aca="false">IF($A867="","",SUMIFS(物件収支!$F:$F,物件収支!$A:$A,$A867,物件収支!$C:$C,$M867))</f>
        <v>27000</v>
      </c>
      <c r="P867" s="1" t="n">
        <f aca="false">IF($A867="","",SUMIFS(物件収支!$I:$I,物件収支!$A:$A,$A867,物件収支!$C:$C,$M867))</f>
        <v>0</v>
      </c>
      <c r="Q867" s="1" t="n">
        <f aca="false">IF($A867="","",SUMIFS(物件収支!$O:$O,物件収支!$A:$A,$A867,物件収支!$C:$C,$M867))</f>
        <v>0</v>
      </c>
      <c r="R867" s="1" t="str">
        <f aca="false">IF($A867="","",IF(P867=0,"",O867-P867))</f>
        <v/>
      </c>
      <c r="S867" s="1" t="str">
        <f aca="false">IF($A867="","",IF(R867="","",R867+Q867))</f>
        <v/>
      </c>
      <c r="T867" s="1" t="str">
        <f aca="false">IF($A867="","",IF(OR(S867="",N867&lt;=0),"",S867/1000*12/N867))</f>
        <v/>
      </c>
      <c r="U867" s="1" t="str">
        <f aca="false">IF($A867="","",IF(OR(T867="",J867=0,J867=""),"",T867/J867))</f>
        <v/>
      </c>
      <c r="V867" s="1" t="str">
        <f aca="false">IF($A867="","",IF(OR(R867="",N867&lt;=0,J867=0,J867=""),"",(R867/1000*12/N867)/J867))</f>
        <v/>
      </c>
      <c r="W867" s="1" t="str">
        <f aca="false">IF($A867="","",IF(OR(T867="",K867=0,K867=""),"",T867/K867))</f>
        <v/>
      </c>
      <c r="X867" s="1" t="n">
        <f aca="false">IF($A867="","",IF(OR(N867&lt;=0,I867=0,I867="",O867=0),"",O867*1000/(I867*0.3025)/N867))</f>
        <v>13192.8848133625</v>
      </c>
      <c r="Y867" s="1" t="str">
        <f aca="false">IF($A867="","",IF(OR(O867=0,O867="",P867=0),"",P867/O867))</f>
        <v/>
      </c>
      <c r="Z867" s="1" t="str">
        <f aca="false">IF($A867="","",IFERROR(INDEX(物件収支!$E:$E,MATCH($A867,物件収支!$A:$A,0)),""))</f>
        <v>開示（物件別・収益のみ・百万円単位）</v>
      </c>
    </row>
    <row r="868" customFormat="false" ht="15" hidden="false" customHeight="true" outlineLevel="0" collapsed="false">
      <c r="A868" s="1" t="str">
        <f aca="false">IF(物件マスタ!A868="","",物件マスタ!A868)</f>
        <v>KDX-127</v>
      </c>
      <c r="B868" s="1" t="str">
        <f aca="false">IF($A868="","",物件マスタ!B868)</f>
        <v>KDX</v>
      </c>
      <c r="C868" s="1" t="str">
        <f aca="false">IF($A868="","",IFERROR(INDEX(法人マスタ!$C:$C,MATCH($B868,法人マスタ!$A:$A,0)),""))</f>
        <v>ＫＤＸ不動産投資法人</v>
      </c>
      <c r="D868" s="1" t="str">
        <f aca="false">IF($A868="","",物件マスタ!C868)</f>
        <v>KDXレジデンス錦糸町</v>
      </c>
      <c r="E868" s="1" t="str">
        <f aca="false">IF($A868="","",物件マスタ!H868)</f>
        <v>東京経済圏（KDX区分）</v>
      </c>
      <c r="F868" s="1" t="n">
        <f aca="false">IF($A868="","",物件マスタ!P868)</f>
        <v>0</v>
      </c>
      <c r="G868" s="1" t="str">
        <f aca="false">IF($A868="","",物件マスタ!Q868)</f>
        <v/>
      </c>
      <c r="H868" s="1" t="n">
        <f aca="false">IF($A868="","",物件マスタ!L868)</f>
        <v>0</v>
      </c>
      <c r="I868" s="1" t="n">
        <f aca="false">IF($A868="","",物件マスタ!M868)</f>
        <v>2024.81</v>
      </c>
      <c r="J868" s="1" t="n">
        <f aca="false">IF($A868="","",物件マスタ!S868)</f>
        <v>2150</v>
      </c>
      <c r="K868" s="1" t="n">
        <f aca="false">IF($A868="","",物件マスタ!U868)</f>
        <v>2300</v>
      </c>
      <c r="L868" s="1" t="n">
        <f aca="false">IF($A868="","",物件マスタ!W868)</f>
        <v>0.909</v>
      </c>
      <c r="M868" s="1" t="str">
        <f aca="false">IF($A868="","",IFERROR(INDEX(法人マスタ!$H:$H,MATCH($B868,法人マスタ!$A:$A,0)),""))</f>
        <v>2026年4月期（第42期）</v>
      </c>
      <c r="N868" s="1" t="n">
        <f aca="false">IF($A868="","",SUMIFS(物件収支!$D:$D,物件収支!$A:$A,$A868,物件収支!$C:$C,$M868))</f>
        <v>6</v>
      </c>
      <c r="O868" s="1" t="n">
        <f aca="false">IF($A868="","",SUMIFS(物件収支!$F:$F,物件収支!$A:$A,$A868,物件収支!$C:$C,$M868))</f>
        <v>49000</v>
      </c>
      <c r="P868" s="1" t="n">
        <f aca="false">IF($A868="","",SUMIFS(物件収支!$I:$I,物件収支!$A:$A,$A868,物件収支!$C:$C,$M868))</f>
        <v>0</v>
      </c>
      <c r="Q868" s="1" t="n">
        <f aca="false">IF($A868="","",SUMIFS(物件収支!$O:$O,物件収支!$A:$A,$A868,物件収支!$C:$C,$M868))</f>
        <v>0</v>
      </c>
      <c r="R868" s="1" t="str">
        <f aca="false">IF($A868="","",IF(P868=0,"",O868-P868))</f>
        <v/>
      </c>
      <c r="S868" s="1" t="str">
        <f aca="false">IF($A868="","",IF(R868="","",R868+Q868))</f>
        <v/>
      </c>
      <c r="T868" s="1" t="str">
        <f aca="false">IF($A868="","",IF(OR(S868="",N868&lt;=0),"",S868/1000*12/N868))</f>
        <v/>
      </c>
      <c r="U868" s="1" t="str">
        <f aca="false">IF($A868="","",IF(OR(T868="",J868=0,J868=""),"",T868/J868))</f>
        <v/>
      </c>
      <c r="V868" s="1" t="str">
        <f aca="false">IF($A868="","",IF(OR(R868="",N868&lt;=0,J868=0,J868=""),"",(R868/1000*12/N868)/J868))</f>
        <v/>
      </c>
      <c r="W868" s="1" t="str">
        <f aca="false">IF($A868="","",IF(OR(T868="",K868=0,K868=""),"",T868/K868))</f>
        <v/>
      </c>
      <c r="X868" s="1" t="n">
        <f aca="false">IF($A868="","",IF(OR(N868&lt;=0,I868=0,I868="",O868=0),"",O868*1000/(I868*0.3025)/N868))</f>
        <v>13333.2239464757</v>
      </c>
      <c r="Y868" s="1" t="str">
        <f aca="false">IF($A868="","",IF(OR(O868=0,O868="",P868=0),"",P868/O868))</f>
        <v/>
      </c>
      <c r="Z868" s="1" t="str">
        <f aca="false">IF($A868="","",IFERROR(INDEX(物件収支!$E:$E,MATCH($A868,物件収支!$A:$A,0)),""))</f>
        <v>開示（物件別・収益のみ・百万円単位）</v>
      </c>
    </row>
    <row r="869" customFormat="false" ht="15" hidden="false" customHeight="true" outlineLevel="0" collapsed="false">
      <c r="A869" s="1" t="str">
        <f aca="false">IF(物件マスタ!A869="","",物件マスタ!A869)</f>
        <v>KDX-128</v>
      </c>
      <c r="B869" s="1" t="str">
        <f aca="false">IF($A869="","",物件マスタ!B869)</f>
        <v>KDX</v>
      </c>
      <c r="C869" s="1" t="str">
        <f aca="false">IF($A869="","",IFERROR(INDEX(法人マスタ!$C:$C,MATCH($B869,法人マスタ!$A:$A,0)),""))</f>
        <v>ＫＤＸ不動産投資法人</v>
      </c>
      <c r="D869" s="1" t="str">
        <f aca="false">IF($A869="","",物件マスタ!C869)</f>
        <v>KDXレジデンス戸越</v>
      </c>
      <c r="E869" s="1" t="str">
        <f aca="false">IF($A869="","",物件マスタ!H869)</f>
        <v>東京経済圏（KDX区分）</v>
      </c>
      <c r="F869" s="1" t="n">
        <f aca="false">IF($A869="","",物件マスタ!P869)</f>
        <v>0</v>
      </c>
      <c r="G869" s="1" t="str">
        <f aca="false">IF($A869="","",物件マスタ!Q869)</f>
        <v/>
      </c>
      <c r="H869" s="1" t="n">
        <f aca="false">IF($A869="","",物件マスタ!L869)</f>
        <v>0</v>
      </c>
      <c r="I869" s="1" t="n">
        <f aca="false">IF($A869="","",物件マスタ!M869)</f>
        <v>4591.76</v>
      </c>
      <c r="J869" s="1" t="n">
        <f aca="false">IF($A869="","",物件マスタ!S869)</f>
        <v>5750</v>
      </c>
      <c r="K869" s="1" t="n">
        <f aca="false">IF($A869="","",物件マスタ!U869)</f>
        <v>6080</v>
      </c>
      <c r="L869" s="1" t="n">
        <f aca="false">IF($A869="","",物件マスタ!W869)</f>
        <v>0.986</v>
      </c>
      <c r="M869" s="1" t="str">
        <f aca="false">IF($A869="","",IFERROR(INDEX(法人マスタ!$H:$H,MATCH($B869,法人マスタ!$A:$A,0)),""))</f>
        <v>2026年4月期（第42期）</v>
      </c>
      <c r="N869" s="1" t="n">
        <f aca="false">IF($A869="","",SUMIFS(物件収支!$D:$D,物件収支!$A:$A,$A869,物件収支!$C:$C,$M869))</f>
        <v>6</v>
      </c>
      <c r="O869" s="1" t="n">
        <f aca="false">IF($A869="","",SUMIFS(物件収支!$F:$F,物件収支!$A:$A,$A869,物件収支!$C:$C,$M869))</f>
        <v>131000</v>
      </c>
      <c r="P869" s="1" t="n">
        <f aca="false">IF($A869="","",SUMIFS(物件収支!$I:$I,物件収支!$A:$A,$A869,物件収支!$C:$C,$M869))</f>
        <v>0</v>
      </c>
      <c r="Q869" s="1" t="n">
        <f aca="false">IF($A869="","",SUMIFS(物件収支!$O:$O,物件収支!$A:$A,$A869,物件収支!$C:$C,$M869))</f>
        <v>0</v>
      </c>
      <c r="R869" s="1" t="str">
        <f aca="false">IF($A869="","",IF(P869=0,"",O869-P869))</f>
        <v/>
      </c>
      <c r="S869" s="1" t="str">
        <f aca="false">IF($A869="","",IF(R869="","",R869+Q869))</f>
        <v/>
      </c>
      <c r="T869" s="1" t="str">
        <f aca="false">IF($A869="","",IF(OR(S869="",N869&lt;=0),"",S869/1000*12/N869))</f>
        <v/>
      </c>
      <c r="U869" s="1" t="str">
        <f aca="false">IF($A869="","",IF(OR(T869="",J869=0,J869=""),"",T869/J869))</f>
        <v/>
      </c>
      <c r="V869" s="1" t="str">
        <f aca="false">IF($A869="","",IF(OR(R869="",N869&lt;=0,J869=0,J869=""),"",(R869/1000*12/N869)/J869))</f>
        <v/>
      </c>
      <c r="W869" s="1" t="str">
        <f aca="false">IF($A869="","",IF(OR(T869="",K869=0,K869=""),"",T869/K869))</f>
        <v/>
      </c>
      <c r="X869" s="1" t="n">
        <f aca="false">IF($A869="","",IF(OR(N869&lt;=0,I869=0,I869="",O869=0),"",O869*1000/(I869*0.3025)/N869))</f>
        <v>15718.6587582855</v>
      </c>
      <c r="Y869" s="1" t="str">
        <f aca="false">IF($A869="","",IF(OR(O869=0,O869="",P869=0),"",P869/O869))</f>
        <v/>
      </c>
      <c r="Z869" s="1" t="str">
        <f aca="false">IF($A869="","",IFERROR(INDEX(物件収支!$E:$E,MATCH($A869,物件収支!$A:$A,0)),""))</f>
        <v>開示（物件別・収益のみ・百万円単位）</v>
      </c>
    </row>
    <row r="870" customFormat="false" ht="15" hidden="false" customHeight="true" outlineLevel="0" collapsed="false">
      <c r="A870" s="1" t="str">
        <f aca="false">IF(物件マスタ!A870="","",物件マスタ!A870)</f>
        <v>KDX-129</v>
      </c>
      <c r="B870" s="1" t="str">
        <f aca="false">IF($A870="","",物件マスタ!B870)</f>
        <v>KDX</v>
      </c>
      <c r="C870" s="1" t="str">
        <f aca="false">IF($A870="","",IFERROR(INDEX(法人マスタ!$C:$C,MATCH($B870,法人マスタ!$A:$A,0)),""))</f>
        <v>ＫＤＸ不動産投資法人</v>
      </c>
      <c r="D870" s="1" t="str">
        <f aca="false">IF($A870="","",物件マスタ!C870)</f>
        <v>KDXレジデンス大山</v>
      </c>
      <c r="E870" s="1" t="str">
        <f aca="false">IF($A870="","",物件マスタ!H870)</f>
        <v>東京経済圏（KDX区分）</v>
      </c>
      <c r="F870" s="1" t="n">
        <f aca="false">IF($A870="","",物件マスタ!P870)</f>
        <v>0</v>
      </c>
      <c r="G870" s="1" t="str">
        <f aca="false">IF($A870="","",物件マスタ!Q870)</f>
        <v/>
      </c>
      <c r="H870" s="1" t="n">
        <f aca="false">IF($A870="","",物件マスタ!L870)</f>
        <v>0</v>
      </c>
      <c r="I870" s="1" t="n">
        <f aca="false">IF($A870="","",物件マスタ!M870)</f>
        <v>4009.07</v>
      </c>
      <c r="J870" s="1" t="n">
        <f aca="false">IF($A870="","",物件マスタ!S870)</f>
        <v>3970</v>
      </c>
      <c r="K870" s="1" t="n">
        <f aca="false">IF($A870="","",物件マスタ!U870)</f>
        <v>4130</v>
      </c>
      <c r="L870" s="1" t="n">
        <f aca="false">IF($A870="","",物件マスタ!W870)</f>
        <v>0.992</v>
      </c>
      <c r="M870" s="1" t="str">
        <f aca="false">IF($A870="","",IFERROR(INDEX(法人マスタ!$H:$H,MATCH($B870,法人マスタ!$A:$A,0)),""))</f>
        <v>2026年4月期（第42期）</v>
      </c>
      <c r="N870" s="1" t="n">
        <f aca="false">IF($A870="","",SUMIFS(物件収支!$D:$D,物件収支!$A:$A,$A870,物件収支!$C:$C,$M870))</f>
        <v>6</v>
      </c>
      <c r="O870" s="1" t="n">
        <f aca="false">IF($A870="","",SUMIFS(物件収支!$F:$F,物件収支!$A:$A,$A870,物件収支!$C:$C,$M870))</f>
        <v>102000</v>
      </c>
      <c r="P870" s="1" t="n">
        <f aca="false">IF($A870="","",SUMIFS(物件収支!$I:$I,物件収支!$A:$A,$A870,物件収支!$C:$C,$M870))</f>
        <v>0</v>
      </c>
      <c r="Q870" s="1" t="n">
        <f aca="false">IF($A870="","",SUMIFS(物件収支!$O:$O,物件収支!$A:$A,$A870,物件収支!$C:$C,$M870))</f>
        <v>0</v>
      </c>
      <c r="R870" s="1" t="str">
        <f aca="false">IF($A870="","",IF(P870=0,"",O870-P870))</f>
        <v/>
      </c>
      <c r="S870" s="1" t="str">
        <f aca="false">IF($A870="","",IF(R870="","",R870+Q870))</f>
        <v/>
      </c>
      <c r="T870" s="1" t="str">
        <f aca="false">IF($A870="","",IF(OR(S870="",N870&lt;=0),"",S870/1000*12/N870))</f>
        <v/>
      </c>
      <c r="U870" s="1" t="str">
        <f aca="false">IF($A870="","",IF(OR(T870="",J870=0,J870=""),"",T870/J870))</f>
        <v/>
      </c>
      <c r="V870" s="1" t="str">
        <f aca="false">IF($A870="","",IF(OR(R870="",N870&lt;=0,J870=0,J870=""),"",(R870/1000*12/N870)/J870))</f>
        <v/>
      </c>
      <c r="W870" s="1" t="str">
        <f aca="false">IF($A870="","",IF(OR(T870="",K870=0,K870=""),"",T870/K870))</f>
        <v/>
      </c>
      <c r="X870" s="1" t="n">
        <f aca="false">IF($A870="","",IF(OR(N870&lt;=0,I870=0,I870="",O870=0),"",O870*1000/(I870*0.3025)/N870))</f>
        <v>14017.8014121574</v>
      </c>
      <c r="Y870" s="1" t="str">
        <f aca="false">IF($A870="","",IF(OR(O870=0,O870="",P870=0),"",P870/O870))</f>
        <v/>
      </c>
      <c r="Z870" s="1" t="str">
        <f aca="false">IF($A870="","",IFERROR(INDEX(物件収支!$E:$E,MATCH($A870,物件収支!$A:$A,0)),""))</f>
        <v>開示（物件別・収益のみ・百万円単位）</v>
      </c>
    </row>
    <row r="871" customFormat="false" ht="15" hidden="false" customHeight="true" outlineLevel="0" collapsed="false">
      <c r="A871" s="1" t="str">
        <f aca="false">IF(物件マスタ!A871="","",物件マスタ!A871)</f>
        <v>KDX-130</v>
      </c>
      <c r="B871" s="1" t="str">
        <f aca="false">IF($A871="","",物件マスタ!B871)</f>
        <v>KDX</v>
      </c>
      <c r="C871" s="1" t="str">
        <f aca="false">IF($A871="","",IFERROR(INDEX(法人マスタ!$C:$C,MATCH($B871,法人マスタ!$A:$A,0)),""))</f>
        <v>ＫＤＸ不動産投資法人</v>
      </c>
      <c r="D871" s="1" t="str">
        <f aca="false">IF($A871="","",物件マスタ!C871)</f>
        <v>KDXレジデンス品川シーサイド</v>
      </c>
      <c r="E871" s="1" t="str">
        <f aca="false">IF($A871="","",物件マスタ!H871)</f>
        <v>東京経済圏（KDX区分）</v>
      </c>
      <c r="F871" s="1" t="n">
        <f aca="false">IF($A871="","",物件マスタ!P871)</f>
        <v>0</v>
      </c>
      <c r="G871" s="1" t="str">
        <f aca="false">IF($A871="","",物件マスタ!Q871)</f>
        <v/>
      </c>
      <c r="H871" s="1" t="n">
        <f aca="false">IF($A871="","",物件マスタ!L871)</f>
        <v>0</v>
      </c>
      <c r="I871" s="1" t="n">
        <f aca="false">IF($A871="","",物件マスタ!M871)</f>
        <v>3314.75</v>
      </c>
      <c r="J871" s="1" t="n">
        <f aca="false">IF($A871="","",物件マスタ!S871)</f>
        <v>3700</v>
      </c>
      <c r="K871" s="1" t="n">
        <f aca="false">IF($A871="","",物件マスタ!U871)</f>
        <v>3920</v>
      </c>
      <c r="L871" s="1" t="n">
        <f aca="false">IF($A871="","",物件マスタ!W871)</f>
        <v>0.908</v>
      </c>
      <c r="M871" s="1" t="str">
        <f aca="false">IF($A871="","",IFERROR(INDEX(法人マスタ!$H:$H,MATCH($B871,法人マスタ!$A:$A,0)),""))</f>
        <v>2026年4月期（第42期）</v>
      </c>
      <c r="N871" s="1" t="n">
        <f aca="false">IF($A871="","",SUMIFS(物件収支!$D:$D,物件収支!$A:$A,$A871,物件収支!$C:$C,$M871))</f>
        <v>6</v>
      </c>
      <c r="O871" s="1" t="n">
        <f aca="false">IF($A871="","",SUMIFS(物件収支!$F:$F,物件収支!$A:$A,$A871,物件収支!$C:$C,$M871))</f>
        <v>90000</v>
      </c>
      <c r="P871" s="1" t="n">
        <f aca="false">IF($A871="","",SUMIFS(物件収支!$I:$I,物件収支!$A:$A,$A871,物件収支!$C:$C,$M871))</f>
        <v>0</v>
      </c>
      <c r="Q871" s="1" t="n">
        <f aca="false">IF($A871="","",SUMIFS(物件収支!$O:$O,物件収支!$A:$A,$A871,物件収支!$C:$C,$M871))</f>
        <v>0</v>
      </c>
      <c r="R871" s="1" t="str">
        <f aca="false">IF($A871="","",IF(P871=0,"",O871-P871))</f>
        <v/>
      </c>
      <c r="S871" s="1" t="str">
        <f aca="false">IF($A871="","",IF(R871="","",R871+Q871))</f>
        <v/>
      </c>
      <c r="T871" s="1" t="str">
        <f aca="false">IF($A871="","",IF(OR(S871="",N871&lt;=0),"",S871/1000*12/N871))</f>
        <v/>
      </c>
      <c r="U871" s="1" t="str">
        <f aca="false">IF($A871="","",IF(OR(T871="",J871=0,J871=""),"",T871/J871))</f>
        <v/>
      </c>
      <c r="V871" s="1" t="str">
        <f aca="false">IF($A871="","",IF(OR(R871="",N871&lt;=0,J871=0,J871=""),"",(R871/1000*12/N871)/J871))</f>
        <v/>
      </c>
      <c r="W871" s="1" t="str">
        <f aca="false">IF($A871="","",IF(OR(T871="",K871=0,K871=""),"",T871/K871))</f>
        <v/>
      </c>
      <c r="X871" s="1" t="n">
        <f aca="false">IF($A871="","",IF(OR(N871&lt;=0,I871=0,I871="",O871=0),"",O871*1000/(I871*0.3025)/N871))</f>
        <v>14959.4318906416</v>
      </c>
      <c r="Y871" s="1" t="str">
        <f aca="false">IF($A871="","",IF(OR(O871=0,O871="",P871=0),"",P871/O871))</f>
        <v/>
      </c>
      <c r="Z871" s="1" t="str">
        <f aca="false">IF($A871="","",IFERROR(INDEX(物件収支!$E:$E,MATCH($A871,物件収支!$A:$A,0)),""))</f>
        <v>開示（物件別・収益のみ・百万円単位）</v>
      </c>
    </row>
    <row r="872" customFormat="false" ht="15" hidden="false" customHeight="true" outlineLevel="0" collapsed="false">
      <c r="A872" s="1" t="str">
        <f aca="false">IF(物件マスタ!A872="","",物件マスタ!A872)</f>
        <v>KDX-131</v>
      </c>
      <c r="B872" s="1" t="str">
        <f aca="false">IF($A872="","",物件マスタ!B872)</f>
        <v>KDX</v>
      </c>
      <c r="C872" s="1" t="str">
        <f aca="false">IF($A872="","",IFERROR(INDEX(法人マスタ!$C:$C,MATCH($B872,法人マスタ!$A:$A,0)),""))</f>
        <v>ＫＤＸ不動産投資法人</v>
      </c>
      <c r="D872" s="1" t="str">
        <f aca="false">IF($A872="","",物件マスタ!C872)</f>
        <v>KDXレジデンス大島</v>
      </c>
      <c r="E872" s="1" t="str">
        <f aca="false">IF($A872="","",物件マスタ!H872)</f>
        <v>東京経済圏（KDX区分）</v>
      </c>
      <c r="F872" s="1" t="n">
        <f aca="false">IF($A872="","",物件マスタ!P872)</f>
        <v>0</v>
      </c>
      <c r="G872" s="1" t="str">
        <f aca="false">IF($A872="","",物件マスタ!Q872)</f>
        <v/>
      </c>
      <c r="H872" s="1" t="n">
        <f aca="false">IF($A872="","",物件マスタ!L872)</f>
        <v>0</v>
      </c>
      <c r="I872" s="1" t="n">
        <f aca="false">IF($A872="","",物件マスタ!M872)</f>
        <v>2372.67</v>
      </c>
      <c r="J872" s="1" t="n">
        <f aca="false">IF($A872="","",物件マスタ!S872)</f>
        <v>2920</v>
      </c>
      <c r="K872" s="1" t="n">
        <f aca="false">IF($A872="","",物件マスタ!U872)</f>
        <v>3100</v>
      </c>
      <c r="L872" s="1" t="n">
        <f aca="false">IF($A872="","",物件マスタ!W872)</f>
        <v>0.949</v>
      </c>
      <c r="M872" s="1" t="str">
        <f aca="false">IF($A872="","",IFERROR(INDEX(法人マスタ!$H:$H,MATCH($B872,法人マスタ!$A:$A,0)),""))</f>
        <v>2026年4月期（第42期）</v>
      </c>
      <c r="N872" s="1" t="n">
        <f aca="false">IF($A872="","",SUMIFS(物件収支!$D:$D,物件収支!$A:$A,$A872,物件収支!$C:$C,$M872))</f>
        <v>6</v>
      </c>
      <c r="O872" s="1" t="n">
        <f aca="false">IF($A872="","",SUMIFS(物件収支!$F:$F,物件収支!$A:$A,$A872,物件収支!$C:$C,$M872))</f>
        <v>69000</v>
      </c>
      <c r="P872" s="1" t="n">
        <f aca="false">IF($A872="","",SUMIFS(物件収支!$I:$I,物件収支!$A:$A,$A872,物件収支!$C:$C,$M872))</f>
        <v>0</v>
      </c>
      <c r="Q872" s="1" t="n">
        <f aca="false">IF($A872="","",SUMIFS(物件収支!$O:$O,物件収支!$A:$A,$A872,物件収支!$C:$C,$M872))</f>
        <v>0</v>
      </c>
      <c r="R872" s="1" t="str">
        <f aca="false">IF($A872="","",IF(P872=0,"",O872-P872))</f>
        <v/>
      </c>
      <c r="S872" s="1" t="str">
        <f aca="false">IF($A872="","",IF(R872="","",R872+Q872))</f>
        <v/>
      </c>
      <c r="T872" s="1" t="str">
        <f aca="false">IF($A872="","",IF(OR(S872="",N872&lt;=0),"",S872/1000*12/N872))</f>
        <v/>
      </c>
      <c r="U872" s="1" t="str">
        <f aca="false">IF($A872="","",IF(OR(T872="",J872=0,J872=""),"",T872/J872))</f>
        <v/>
      </c>
      <c r="V872" s="1" t="str">
        <f aca="false">IF($A872="","",IF(OR(R872="",N872&lt;=0,J872=0,J872=""),"",(R872/1000*12/N872)/J872))</f>
        <v/>
      </c>
      <c r="W872" s="1" t="str">
        <f aca="false">IF($A872="","",IF(OR(T872="",K872=0,K872=""),"",T872/K872))</f>
        <v/>
      </c>
      <c r="X872" s="1" t="n">
        <f aca="false">IF($A872="","",IF(OR(N872&lt;=0,I872=0,I872="",O872=0),"",O872*1000/(I872*0.3025)/N872))</f>
        <v>16022.6786386728</v>
      </c>
      <c r="Y872" s="1" t="str">
        <f aca="false">IF($A872="","",IF(OR(O872=0,O872="",P872=0),"",P872/O872))</f>
        <v/>
      </c>
      <c r="Z872" s="1" t="str">
        <f aca="false">IF($A872="","",IFERROR(INDEX(物件収支!$E:$E,MATCH($A872,物件収支!$A:$A,0)),""))</f>
        <v>開示（物件別・収益のみ・百万円単位）</v>
      </c>
    </row>
    <row r="873" customFormat="false" ht="15" hidden="false" customHeight="true" outlineLevel="0" collapsed="false">
      <c r="A873" s="1" t="str">
        <f aca="false">IF(物件マスタ!A873="","",物件マスタ!A873)</f>
        <v>KDX-132</v>
      </c>
      <c r="B873" s="1" t="str">
        <f aca="false">IF($A873="","",物件マスタ!B873)</f>
        <v>KDX</v>
      </c>
      <c r="C873" s="1" t="str">
        <f aca="false">IF($A873="","",IFERROR(INDEX(法人マスタ!$C:$C,MATCH($B873,法人マスタ!$A:$A,0)),""))</f>
        <v>ＫＤＸ不動産投資法人</v>
      </c>
      <c r="D873" s="1" t="str">
        <f aca="false">IF($A873="","",物件マスタ!C873)</f>
        <v>KDXレジデンス自由が丘</v>
      </c>
      <c r="E873" s="1" t="str">
        <f aca="false">IF($A873="","",物件マスタ!H873)</f>
        <v>東京経済圏（KDX区分）</v>
      </c>
      <c r="F873" s="1" t="n">
        <f aca="false">IF($A873="","",物件マスタ!P873)</f>
        <v>0</v>
      </c>
      <c r="G873" s="1" t="str">
        <f aca="false">IF($A873="","",物件マスタ!Q873)</f>
        <v/>
      </c>
      <c r="H873" s="1" t="n">
        <f aca="false">IF($A873="","",物件マスタ!L873)</f>
        <v>0</v>
      </c>
      <c r="I873" s="1" t="n">
        <f aca="false">IF($A873="","",物件マスタ!M873)</f>
        <v>1637</v>
      </c>
      <c r="J873" s="1" t="n">
        <f aca="false">IF($A873="","",物件マスタ!S873)</f>
        <v>1950</v>
      </c>
      <c r="K873" s="1" t="n">
        <f aca="false">IF($A873="","",物件マスタ!U873)</f>
        <v>1910</v>
      </c>
      <c r="L873" s="1" t="n">
        <f aca="false">IF($A873="","",物件マスタ!W873)</f>
        <v>1</v>
      </c>
      <c r="M873" s="1" t="str">
        <f aca="false">IF($A873="","",IFERROR(INDEX(法人マスタ!$H:$H,MATCH($B873,法人マスタ!$A:$A,0)),""))</f>
        <v>2026年4月期（第42期）</v>
      </c>
      <c r="N873" s="1" t="n">
        <f aca="false">IF($A873="","",SUMIFS(物件収支!$D:$D,物件収支!$A:$A,$A873,物件収支!$C:$C,$M873))</f>
        <v>6</v>
      </c>
      <c r="O873" s="1" t="n">
        <f aca="false">IF($A873="","",SUMIFS(物件収支!$F:$F,物件収支!$A:$A,$A873,物件収支!$C:$C,$M873))</f>
        <v>42000</v>
      </c>
      <c r="P873" s="1" t="n">
        <f aca="false">IF($A873="","",SUMIFS(物件収支!$I:$I,物件収支!$A:$A,$A873,物件収支!$C:$C,$M873))</f>
        <v>0</v>
      </c>
      <c r="Q873" s="1" t="n">
        <f aca="false">IF($A873="","",SUMIFS(物件収支!$O:$O,物件収支!$A:$A,$A873,物件収支!$C:$C,$M873))</f>
        <v>0</v>
      </c>
      <c r="R873" s="1" t="str">
        <f aca="false">IF($A873="","",IF(P873=0,"",O873-P873))</f>
        <v/>
      </c>
      <c r="S873" s="1" t="str">
        <f aca="false">IF($A873="","",IF(R873="","",R873+Q873))</f>
        <v/>
      </c>
      <c r="T873" s="1" t="str">
        <f aca="false">IF($A873="","",IF(OR(S873="",N873&lt;=0),"",S873/1000*12/N873))</f>
        <v/>
      </c>
      <c r="U873" s="1" t="str">
        <f aca="false">IF($A873="","",IF(OR(T873="",J873=0,J873=""),"",T873/J873))</f>
        <v/>
      </c>
      <c r="V873" s="1" t="str">
        <f aca="false">IF($A873="","",IF(OR(R873="",N873&lt;=0,J873=0,J873=""),"",(R873/1000*12/N873)/J873))</f>
        <v/>
      </c>
      <c r="W873" s="1" t="str">
        <f aca="false">IF($A873="","",IF(OR(T873="",K873=0,K873=""),"",T873/K873))</f>
        <v/>
      </c>
      <c r="X873" s="1" t="n">
        <f aca="false">IF($A873="","",IF(OR(N873&lt;=0,I873=0,I873="",O873=0),"",O873*1000/(I873*0.3025)/N873))</f>
        <v>14135.9168404206</v>
      </c>
      <c r="Y873" s="1" t="str">
        <f aca="false">IF($A873="","",IF(OR(O873=0,O873="",P873=0),"",P873/O873))</f>
        <v/>
      </c>
      <c r="Z873" s="1" t="str">
        <f aca="false">IF($A873="","",IFERROR(INDEX(物件収支!$E:$E,MATCH($A873,物件収支!$A:$A,0)),""))</f>
        <v>開示（物件別・収益のみ・百万円単位）</v>
      </c>
    </row>
    <row r="874" customFormat="false" ht="15" hidden="false" customHeight="true" outlineLevel="0" collapsed="false">
      <c r="A874" s="1" t="str">
        <f aca="false">IF(物件マスタ!A874="","",物件マスタ!A874)</f>
        <v>KDX-133</v>
      </c>
      <c r="B874" s="1" t="str">
        <f aca="false">IF($A874="","",物件マスタ!B874)</f>
        <v>KDX</v>
      </c>
      <c r="C874" s="1" t="str">
        <f aca="false">IF($A874="","",IFERROR(INDEX(法人マスタ!$C:$C,MATCH($B874,法人マスタ!$A:$A,0)),""))</f>
        <v>ＫＤＸ不動産投資法人</v>
      </c>
      <c r="D874" s="1" t="str">
        <f aca="false">IF($A874="","",物件マスタ!C874)</f>
        <v>KDXレジデンス日本橋浜町</v>
      </c>
      <c r="E874" s="1" t="str">
        <f aca="false">IF($A874="","",物件マスタ!H874)</f>
        <v>東京経済圏（KDX区分）</v>
      </c>
      <c r="F874" s="1" t="n">
        <f aca="false">IF($A874="","",物件マスタ!P874)</f>
        <v>0</v>
      </c>
      <c r="G874" s="1" t="str">
        <f aca="false">IF($A874="","",物件マスタ!Q874)</f>
        <v/>
      </c>
      <c r="H874" s="1" t="n">
        <f aca="false">IF($A874="","",物件マスタ!L874)</f>
        <v>0</v>
      </c>
      <c r="I874" s="1" t="n">
        <f aca="false">IF($A874="","",物件マスタ!M874)</f>
        <v>1756.27</v>
      </c>
      <c r="J874" s="1" t="n">
        <f aca="false">IF($A874="","",物件マスタ!S874)</f>
        <v>1610</v>
      </c>
      <c r="K874" s="1" t="n">
        <f aca="false">IF($A874="","",物件マスタ!U874)</f>
        <v>1710</v>
      </c>
      <c r="L874" s="1" t="n">
        <f aca="false">IF($A874="","",物件マスタ!W874)</f>
        <v>1</v>
      </c>
      <c r="M874" s="1" t="str">
        <f aca="false">IF($A874="","",IFERROR(INDEX(法人マスタ!$H:$H,MATCH($B874,法人マスタ!$A:$A,0)),""))</f>
        <v>2026年4月期（第42期）</v>
      </c>
      <c r="N874" s="1" t="n">
        <f aca="false">IF($A874="","",SUMIFS(物件収支!$D:$D,物件収支!$A:$A,$A874,物件収支!$C:$C,$M874))</f>
        <v>6</v>
      </c>
      <c r="O874" s="1" t="n">
        <f aca="false">IF($A874="","",SUMIFS(物件収支!$F:$F,物件収支!$A:$A,$A874,物件収支!$C:$C,$M874))</f>
        <v>38000</v>
      </c>
      <c r="P874" s="1" t="n">
        <f aca="false">IF($A874="","",SUMIFS(物件収支!$I:$I,物件収支!$A:$A,$A874,物件収支!$C:$C,$M874))</f>
        <v>0</v>
      </c>
      <c r="Q874" s="1" t="n">
        <f aca="false">IF($A874="","",SUMIFS(物件収支!$O:$O,物件収支!$A:$A,$A874,物件収支!$C:$C,$M874))</f>
        <v>0</v>
      </c>
      <c r="R874" s="1" t="str">
        <f aca="false">IF($A874="","",IF(P874=0,"",O874-P874))</f>
        <v/>
      </c>
      <c r="S874" s="1" t="str">
        <f aca="false">IF($A874="","",IF(R874="","",R874+Q874))</f>
        <v/>
      </c>
      <c r="T874" s="1" t="str">
        <f aca="false">IF($A874="","",IF(OR(S874="",N874&lt;=0),"",S874/1000*12/N874))</f>
        <v/>
      </c>
      <c r="U874" s="1" t="str">
        <f aca="false">IF($A874="","",IF(OR(T874="",J874=0,J874=""),"",T874/J874))</f>
        <v/>
      </c>
      <c r="V874" s="1" t="str">
        <f aca="false">IF($A874="","",IF(OR(R874="",N874&lt;=0,J874=0,J874=""),"",(R874/1000*12/N874)/J874))</f>
        <v/>
      </c>
      <c r="W874" s="1" t="str">
        <f aca="false">IF($A874="","",IF(OR(T874="",K874=0,K874=""),"",T874/K874))</f>
        <v/>
      </c>
      <c r="X874" s="1" t="n">
        <f aca="false">IF($A874="","",IF(OR(N874&lt;=0,I874=0,I874="",O874=0),"",O874*1000/(I874*0.3025)/N874))</f>
        <v>11921.0822472953</v>
      </c>
      <c r="Y874" s="1" t="str">
        <f aca="false">IF($A874="","",IF(OR(O874=0,O874="",P874=0),"",P874/O874))</f>
        <v/>
      </c>
      <c r="Z874" s="1" t="str">
        <f aca="false">IF($A874="","",IFERROR(INDEX(物件収支!$E:$E,MATCH($A874,物件収支!$A:$A,0)),""))</f>
        <v>開示（物件別・収益のみ・百万円単位）</v>
      </c>
    </row>
    <row r="875" customFormat="false" ht="15" hidden="false" customHeight="true" outlineLevel="0" collapsed="false">
      <c r="A875" s="1" t="str">
        <f aca="false">IF(物件マスタ!A875="","",物件マスタ!A875)</f>
        <v>KDX-134</v>
      </c>
      <c r="B875" s="1" t="str">
        <f aca="false">IF($A875="","",物件マスタ!B875)</f>
        <v>KDX</v>
      </c>
      <c r="C875" s="1" t="str">
        <f aca="false">IF($A875="","",IFERROR(INDEX(法人マスタ!$C:$C,MATCH($B875,法人マスタ!$A:$A,0)),""))</f>
        <v>ＫＤＸ不動産投資法人</v>
      </c>
      <c r="D875" s="1" t="str">
        <f aca="false">IF($A875="","",物件マスタ!C875)</f>
        <v>KDXレジデンス日本橋人形町</v>
      </c>
      <c r="E875" s="1" t="str">
        <f aca="false">IF($A875="","",物件マスタ!H875)</f>
        <v>東京経済圏（KDX区分）</v>
      </c>
      <c r="F875" s="1" t="n">
        <f aca="false">IF($A875="","",物件マスタ!P875)</f>
        <v>0</v>
      </c>
      <c r="G875" s="1" t="str">
        <f aca="false">IF($A875="","",物件マスタ!Q875)</f>
        <v/>
      </c>
      <c r="H875" s="1" t="n">
        <f aca="false">IF($A875="","",物件マスタ!L875)</f>
        <v>0</v>
      </c>
      <c r="I875" s="1" t="n">
        <f aca="false">IF($A875="","",物件マスタ!M875)</f>
        <v>877.14</v>
      </c>
      <c r="J875" s="1" t="n">
        <f aca="false">IF($A875="","",物件マスタ!S875)</f>
        <v>819</v>
      </c>
      <c r="K875" s="1" t="n">
        <f aca="false">IF($A875="","",物件マスタ!U875)</f>
        <v>853</v>
      </c>
      <c r="L875" s="1" t="n">
        <f aca="false">IF($A875="","",物件マスタ!W875)</f>
        <v>1</v>
      </c>
      <c r="M875" s="1" t="str">
        <f aca="false">IF($A875="","",IFERROR(INDEX(法人マスタ!$H:$H,MATCH($B875,法人マスタ!$A:$A,0)),""))</f>
        <v>2026年4月期（第42期）</v>
      </c>
      <c r="N875" s="1" t="n">
        <f aca="false">IF($A875="","",SUMIFS(物件収支!$D:$D,物件収支!$A:$A,$A875,物件収支!$C:$C,$M875))</f>
        <v>6</v>
      </c>
      <c r="O875" s="1" t="n">
        <f aca="false">IF($A875="","",SUMIFS(物件収支!$F:$F,物件収支!$A:$A,$A875,物件収支!$C:$C,$M875))</f>
        <v>21000</v>
      </c>
      <c r="P875" s="1" t="n">
        <f aca="false">IF($A875="","",SUMIFS(物件収支!$I:$I,物件収支!$A:$A,$A875,物件収支!$C:$C,$M875))</f>
        <v>0</v>
      </c>
      <c r="Q875" s="1" t="n">
        <f aca="false">IF($A875="","",SUMIFS(物件収支!$O:$O,物件収支!$A:$A,$A875,物件収支!$C:$C,$M875))</f>
        <v>0</v>
      </c>
      <c r="R875" s="1" t="str">
        <f aca="false">IF($A875="","",IF(P875=0,"",O875-P875))</f>
        <v/>
      </c>
      <c r="S875" s="1" t="str">
        <f aca="false">IF($A875="","",IF(R875="","",R875+Q875))</f>
        <v/>
      </c>
      <c r="T875" s="1" t="str">
        <f aca="false">IF($A875="","",IF(OR(S875="",N875&lt;=0),"",S875/1000*12/N875))</f>
        <v/>
      </c>
      <c r="U875" s="1" t="str">
        <f aca="false">IF($A875="","",IF(OR(T875="",J875=0,J875=""),"",T875/J875))</f>
        <v/>
      </c>
      <c r="V875" s="1" t="str">
        <f aca="false">IF($A875="","",IF(OR(R875="",N875&lt;=0,J875=0,J875=""),"",(R875/1000*12/N875)/J875))</f>
        <v/>
      </c>
      <c r="W875" s="1" t="str">
        <f aca="false">IF($A875="","",IF(OR(T875="",K875=0,K875=""),"",T875/K875))</f>
        <v/>
      </c>
      <c r="X875" s="1" t="n">
        <f aca="false">IF($A875="","",IF(OR(N875&lt;=0,I875=0,I875="",O875=0),"",O875*1000/(I875*0.3025)/N875))</f>
        <v>13190.8793737423</v>
      </c>
      <c r="Y875" s="1" t="str">
        <f aca="false">IF($A875="","",IF(OR(O875=0,O875="",P875=0),"",P875/O875))</f>
        <v/>
      </c>
      <c r="Z875" s="1" t="str">
        <f aca="false">IF($A875="","",IFERROR(INDEX(物件収支!$E:$E,MATCH($A875,物件収支!$A:$A,0)),""))</f>
        <v>開示（物件別・収益のみ・百万円単位）</v>
      </c>
    </row>
    <row r="876" customFormat="false" ht="15" hidden="false" customHeight="true" outlineLevel="0" collapsed="false">
      <c r="A876" s="1" t="str">
        <f aca="false">IF(物件マスタ!A876="","",物件マスタ!A876)</f>
        <v>KDX-135</v>
      </c>
      <c r="B876" s="1" t="str">
        <f aca="false">IF($A876="","",物件マスタ!B876)</f>
        <v>KDX</v>
      </c>
      <c r="C876" s="1" t="str">
        <f aca="false">IF($A876="","",IFERROR(INDEX(法人マスタ!$C:$C,MATCH($B876,法人マスタ!$A:$A,0)),""))</f>
        <v>ＫＤＸ不動産投資法人</v>
      </c>
      <c r="D876" s="1" t="str">
        <f aca="false">IF($A876="","",物件マスタ!C876)</f>
        <v>KDXレジデンス半蔵門</v>
      </c>
      <c r="E876" s="1" t="str">
        <f aca="false">IF($A876="","",物件マスタ!H876)</f>
        <v>東京経済圏（KDX区分）</v>
      </c>
      <c r="F876" s="1" t="n">
        <f aca="false">IF($A876="","",物件マスタ!P876)</f>
        <v>0</v>
      </c>
      <c r="G876" s="1" t="str">
        <f aca="false">IF($A876="","",物件マスタ!Q876)</f>
        <v/>
      </c>
      <c r="H876" s="1" t="n">
        <f aca="false">IF($A876="","",物件マスタ!L876)</f>
        <v>0</v>
      </c>
      <c r="I876" s="1" t="n">
        <f aca="false">IF($A876="","",物件マスタ!M876)</f>
        <v>4854.23</v>
      </c>
      <c r="J876" s="1" t="n">
        <f aca="false">IF($A876="","",物件マスタ!S876)</f>
        <v>7090</v>
      </c>
      <c r="K876" s="1" t="n">
        <f aca="false">IF($A876="","",物件マスタ!U876)</f>
        <v>7260</v>
      </c>
      <c r="L876" s="1" t="n">
        <f aca="false">IF($A876="","",物件マスタ!W876)</f>
        <v>0.974</v>
      </c>
      <c r="M876" s="1" t="str">
        <f aca="false">IF($A876="","",IFERROR(INDEX(法人マスタ!$H:$H,MATCH($B876,法人マスタ!$A:$A,0)),""))</f>
        <v>2026年4月期（第42期）</v>
      </c>
      <c r="N876" s="1" t="n">
        <f aca="false">IF($A876="","",SUMIFS(物件収支!$D:$D,物件収支!$A:$A,$A876,物件収支!$C:$C,$M876))</f>
        <v>6</v>
      </c>
      <c r="O876" s="1" t="n">
        <f aca="false">IF($A876="","",SUMIFS(物件収支!$F:$F,物件収支!$A:$A,$A876,物件収支!$C:$C,$M876))</f>
        <v>141000</v>
      </c>
      <c r="P876" s="1" t="n">
        <f aca="false">IF($A876="","",SUMIFS(物件収支!$I:$I,物件収支!$A:$A,$A876,物件収支!$C:$C,$M876))</f>
        <v>0</v>
      </c>
      <c r="Q876" s="1" t="n">
        <f aca="false">IF($A876="","",SUMIFS(物件収支!$O:$O,物件収支!$A:$A,$A876,物件収支!$C:$C,$M876))</f>
        <v>0</v>
      </c>
      <c r="R876" s="1" t="str">
        <f aca="false">IF($A876="","",IF(P876=0,"",O876-P876))</f>
        <v/>
      </c>
      <c r="S876" s="1" t="str">
        <f aca="false">IF($A876="","",IF(R876="","",R876+Q876))</f>
        <v/>
      </c>
      <c r="T876" s="1" t="str">
        <f aca="false">IF($A876="","",IF(OR(S876="",N876&lt;=0),"",S876/1000*12/N876))</f>
        <v/>
      </c>
      <c r="U876" s="1" t="str">
        <f aca="false">IF($A876="","",IF(OR(T876="",J876=0,J876=""),"",T876/J876))</f>
        <v/>
      </c>
      <c r="V876" s="1" t="str">
        <f aca="false">IF($A876="","",IF(OR(R876="",N876&lt;=0,J876=0,J876=""),"",(R876/1000*12/N876)/J876))</f>
        <v/>
      </c>
      <c r="W876" s="1" t="str">
        <f aca="false">IF($A876="","",IF(OR(T876="",K876=0,K876=""),"",T876/K876))</f>
        <v/>
      </c>
      <c r="X876" s="1" t="n">
        <f aca="false">IF($A876="","",IF(OR(N876&lt;=0,I876=0,I876="",O876=0),"",O876*1000/(I876*0.3025)/N876))</f>
        <v>16003.7638128443</v>
      </c>
      <c r="Y876" s="1" t="str">
        <f aca="false">IF($A876="","",IF(OR(O876=0,O876="",P876=0),"",P876/O876))</f>
        <v/>
      </c>
      <c r="Z876" s="1" t="str">
        <f aca="false">IF($A876="","",IFERROR(INDEX(物件収支!$E:$E,MATCH($A876,物件収支!$A:$A,0)),""))</f>
        <v>開示（物件別・収益のみ・百万円単位）</v>
      </c>
    </row>
    <row r="877" customFormat="false" ht="15" hidden="false" customHeight="true" outlineLevel="0" collapsed="false">
      <c r="A877" s="1" t="str">
        <f aca="false">IF(物件マスタ!A877="","",物件マスタ!A877)</f>
        <v>KDX-136</v>
      </c>
      <c r="B877" s="1" t="str">
        <f aca="false">IF($A877="","",物件マスタ!B877)</f>
        <v>KDX</v>
      </c>
      <c r="C877" s="1" t="str">
        <f aca="false">IF($A877="","",IFERROR(INDEX(法人マスタ!$C:$C,MATCH($B877,法人マスタ!$A:$A,0)),""))</f>
        <v>ＫＤＸ不動産投資法人</v>
      </c>
      <c r="D877" s="1" t="str">
        <f aca="false">IF($A877="","",物件マスタ!C877)</f>
        <v>KDXレジデンス立川</v>
      </c>
      <c r="E877" s="1" t="str">
        <f aca="false">IF($A877="","",物件マスタ!H877)</f>
        <v>東京経済圏（KDX区分）</v>
      </c>
      <c r="F877" s="1" t="n">
        <f aca="false">IF($A877="","",物件マスタ!P877)</f>
        <v>0</v>
      </c>
      <c r="G877" s="1" t="str">
        <f aca="false">IF($A877="","",物件マスタ!Q877)</f>
        <v/>
      </c>
      <c r="H877" s="1" t="n">
        <f aca="false">IF($A877="","",物件マスタ!L877)</f>
        <v>0</v>
      </c>
      <c r="I877" s="1" t="n">
        <f aca="false">IF($A877="","",物件マスタ!M877)</f>
        <v>4314.87</v>
      </c>
      <c r="J877" s="1" t="n">
        <f aca="false">IF($A877="","",物件マスタ!S877)</f>
        <v>4350</v>
      </c>
      <c r="K877" s="1" t="n">
        <f aca="false">IF($A877="","",物件マスタ!U877)</f>
        <v>4590</v>
      </c>
      <c r="L877" s="1" t="n">
        <f aca="false">IF($A877="","",物件マスタ!W877)</f>
        <v>0.96</v>
      </c>
      <c r="M877" s="1" t="str">
        <f aca="false">IF($A877="","",IFERROR(INDEX(法人マスタ!$H:$H,MATCH($B877,法人マスタ!$A:$A,0)),""))</f>
        <v>2026年4月期（第42期）</v>
      </c>
      <c r="N877" s="1" t="n">
        <f aca="false">IF($A877="","",SUMIFS(物件収支!$D:$D,物件収支!$A:$A,$A877,物件収支!$C:$C,$M877))</f>
        <v>6</v>
      </c>
      <c r="O877" s="1" t="n">
        <f aca="false">IF($A877="","",SUMIFS(物件収支!$F:$F,物件収支!$A:$A,$A877,物件収支!$C:$C,$M877))</f>
        <v>111000</v>
      </c>
      <c r="P877" s="1" t="n">
        <f aca="false">IF($A877="","",SUMIFS(物件収支!$I:$I,物件収支!$A:$A,$A877,物件収支!$C:$C,$M877))</f>
        <v>0</v>
      </c>
      <c r="Q877" s="1" t="n">
        <f aca="false">IF($A877="","",SUMIFS(物件収支!$O:$O,物件収支!$A:$A,$A877,物件収支!$C:$C,$M877))</f>
        <v>0</v>
      </c>
      <c r="R877" s="1" t="str">
        <f aca="false">IF($A877="","",IF(P877=0,"",O877-P877))</f>
        <v/>
      </c>
      <c r="S877" s="1" t="str">
        <f aca="false">IF($A877="","",IF(R877="","",R877+Q877))</f>
        <v/>
      </c>
      <c r="T877" s="1" t="str">
        <f aca="false">IF($A877="","",IF(OR(S877="",N877&lt;=0),"",S877/1000*12/N877))</f>
        <v/>
      </c>
      <c r="U877" s="1" t="str">
        <f aca="false">IF($A877="","",IF(OR(T877="",J877=0,J877=""),"",T877/J877))</f>
        <v/>
      </c>
      <c r="V877" s="1" t="str">
        <f aca="false">IF($A877="","",IF(OR(R877="",N877&lt;=0,J877=0,J877=""),"",(R877/1000*12/N877)/J877))</f>
        <v/>
      </c>
      <c r="W877" s="1" t="str">
        <f aca="false">IF($A877="","",IF(OR(T877="",K877=0,K877=""),"",T877/K877))</f>
        <v/>
      </c>
      <c r="X877" s="1" t="n">
        <f aca="false">IF($A877="","",IF(OR(N877&lt;=0,I877=0,I877="",O877=0),"",O877*1000/(I877*0.3025)/N877))</f>
        <v>14173.5497925519</v>
      </c>
      <c r="Y877" s="1" t="str">
        <f aca="false">IF($A877="","",IF(OR(O877=0,O877="",P877=0),"",P877/O877))</f>
        <v/>
      </c>
      <c r="Z877" s="1" t="str">
        <f aca="false">IF($A877="","",IFERROR(INDEX(物件収支!$E:$E,MATCH($A877,物件収支!$A:$A,0)),""))</f>
        <v>開示（物件別・収益のみ・百万円単位）</v>
      </c>
    </row>
    <row r="878" customFormat="false" ht="15" hidden="false" customHeight="true" outlineLevel="0" collapsed="false">
      <c r="A878" s="1" t="str">
        <f aca="false">IF(物件マスタ!A878="","",物件マスタ!A878)</f>
        <v>KDX-137</v>
      </c>
      <c r="B878" s="1" t="str">
        <f aca="false">IF($A878="","",物件マスタ!B878)</f>
        <v>KDX</v>
      </c>
      <c r="C878" s="1" t="str">
        <f aca="false">IF($A878="","",IFERROR(INDEX(法人マスタ!$C:$C,MATCH($B878,法人マスタ!$A:$A,0)),""))</f>
        <v>ＫＤＸ不動産投資法人</v>
      </c>
      <c r="D878" s="1" t="str">
        <f aca="false">IF($A878="","",物件マスタ!C878)</f>
        <v>KDXレジデンス千駄木</v>
      </c>
      <c r="E878" s="1" t="str">
        <f aca="false">IF($A878="","",物件マスタ!H878)</f>
        <v>東京経済圏（KDX区分）</v>
      </c>
      <c r="F878" s="1" t="n">
        <f aca="false">IF($A878="","",物件マスタ!P878)</f>
        <v>0</v>
      </c>
      <c r="G878" s="1" t="str">
        <f aca="false">IF($A878="","",物件マスタ!Q878)</f>
        <v/>
      </c>
      <c r="H878" s="1" t="n">
        <f aca="false">IF($A878="","",物件マスタ!L878)</f>
        <v>0</v>
      </c>
      <c r="I878" s="1" t="n">
        <f aca="false">IF($A878="","",物件マスタ!M878)</f>
        <v>3159.89</v>
      </c>
      <c r="J878" s="1" t="n">
        <f aca="false">IF($A878="","",物件マスタ!S878)</f>
        <v>3100</v>
      </c>
      <c r="K878" s="1" t="n">
        <f aca="false">IF($A878="","",物件マスタ!U878)</f>
        <v>3130</v>
      </c>
      <c r="L878" s="1" t="n">
        <f aca="false">IF($A878="","",物件マスタ!W878)</f>
        <v>0.929</v>
      </c>
      <c r="M878" s="1" t="str">
        <f aca="false">IF($A878="","",IFERROR(INDEX(法人マスタ!$H:$H,MATCH($B878,法人マスタ!$A:$A,0)),""))</f>
        <v>2026年4月期（第42期）</v>
      </c>
      <c r="N878" s="1" t="n">
        <f aca="false">IF($A878="","",SUMIFS(物件収支!$D:$D,物件収支!$A:$A,$A878,物件収支!$C:$C,$M878))</f>
        <v>6</v>
      </c>
      <c r="O878" s="1" t="n">
        <f aca="false">IF($A878="","",SUMIFS(物件収支!$F:$F,物件収支!$A:$A,$A878,物件収支!$C:$C,$M878))</f>
        <v>73000</v>
      </c>
      <c r="P878" s="1" t="n">
        <f aca="false">IF($A878="","",SUMIFS(物件収支!$I:$I,物件収支!$A:$A,$A878,物件収支!$C:$C,$M878))</f>
        <v>0</v>
      </c>
      <c r="Q878" s="1" t="n">
        <f aca="false">IF($A878="","",SUMIFS(物件収支!$O:$O,物件収支!$A:$A,$A878,物件収支!$C:$C,$M878))</f>
        <v>0</v>
      </c>
      <c r="R878" s="1" t="str">
        <f aca="false">IF($A878="","",IF(P878=0,"",O878-P878))</f>
        <v/>
      </c>
      <c r="S878" s="1" t="str">
        <f aca="false">IF($A878="","",IF(R878="","",R878+Q878))</f>
        <v/>
      </c>
      <c r="T878" s="1" t="str">
        <f aca="false">IF($A878="","",IF(OR(S878="",N878&lt;=0),"",S878/1000*12/N878))</f>
        <v/>
      </c>
      <c r="U878" s="1" t="str">
        <f aca="false">IF($A878="","",IF(OR(T878="",J878=0,J878=""),"",T878/J878))</f>
        <v/>
      </c>
      <c r="V878" s="1" t="str">
        <f aca="false">IF($A878="","",IF(OR(R878="",N878&lt;=0,J878=0,J878=""),"",(R878/1000*12/N878)/J878))</f>
        <v/>
      </c>
      <c r="W878" s="1" t="str">
        <f aca="false">IF($A878="","",IF(OR(T878="",K878=0,K878=""),"",T878/K878))</f>
        <v/>
      </c>
      <c r="X878" s="1" t="n">
        <f aca="false">IF($A878="","",IF(OR(N878&lt;=0,I878=0,I878="",O878=0),"",O878*1000/(I878*0.3025)/N878))</f>
        <v>12728.4132279703</v>
      </c>
      <c r="Y878" s="1" t="str">
        <f aca="false">IF($A878="","",IF(OR(O878=0,O878="",P878=0),"",P878/O878))</f>
        <v/>
      </c>
      <c r="Z878" s="1" t="str">
        <f aca="false">IF($A878="","",IFERROR(INDEX(物件収支!$E:$E,MATCH($A878,物件収支!$A:$A,0)),""))</f>
        <v>開示（物件別・収益のみ・百万円単位）</v>
      </c>
    </row>
    <row r="879" customFormat="false" ht="15" hidden="false" customHeight="true" outlineLevel="0" collapsed="false">
      <c r="A879" s="1" t="str">
        <f aca="false">IF(物件マスタ!A879="","",物件マスタ!A879)</f>
        <v>KDX-138</v>
      </c>
      <c r="B879" s="1" t="str">
        <f aca="false">IF($A879="","",物件マスタ!B879)</f>
        <v>KDX</v>
      </c>
      <c r="C879" s="1" t="str">
        <f aca="false">IF($A879="","",IFERROR(INDEX(法人マスタ!$C:$C,MATCH($B879,法人マスタ!$A:$A,0)),""))</f>
        <v>ＫＤＸ不動産投資法人</v>
      </c>
      <c r="D879" s="1" t="str">
        <f aca="false">IF($A879="","",物件マスタ!C879)</f>
        <v>KDXレジデンス神楽坂通</v>
      </c>
      <c r="E879" s="1" t="str">
        <f aca="false">IF($A879="","",物件マスタ!H879)</f>
        <v>東京経済圏（KDX区分）</v>
      </c>
      <c r="F879" s="1" t="n">
        <f aca="false">IF($A879="","",物件マスタ!P879)</f>
        <v>0</v>
      </c>
      <c r="G879" s="1" t="str">
        <f aca="false">IF($A879="","",物件マスタ!Q879)</f>
        <v/>
      </c>
      <c r="H879" s="1" t="n">
        <f aca="false">IF($A879="","",物件マスタ!L879)</f>
        <v>0</v>
      </c>
      <c r="I879" s="1" t="n">
        <f aca="false">IF($A879="","",物件マスタ!M879)</f>
        <v>1809.84</v>
      </c>
      <c r="J879" s="1" t="n">
        <f aca="false">IF($A879="","",物件マスタ!S879)</f>
        <v>2710</v>
      </c>
      <c r="K879" s="1" t="n">
        <f aca="false">IF($A879="","",物件マスタ!U879)</f>
        <v>2670</v>
      </c>
      <c r="L879" s="1" t="n">
        <f aca="false">IF($A879="","",物件マスタ!W879)</f>
        <v>0.931</v>
      </c>
      <c r="M879" s="1" t="str">
        <f aca="false">IF($A879="","",IFERROR(INDEX(法人マスタ!$H:$H,MATCH($B879,法人マスタ!$A:$A,0)),""))</f>
        <v>2026年4月期（第42期）</v>
      </c>
      <c r="N879" s="1" t="n">
        <f aca="false">IF($A879="","",SUMIFS(物件収支!$D:$D,物件収支!$A:$A,$A879,物件収支!$C:$C,$M879))</f>
        <v>6</v>
      </c>
      <c r="O879" s="1" t="n">
        <f aca="false">IF($A879="","",SUMIFS(物件収支!$F:$F,物件収支!$A:$A,$A879,物件収支!$C:$C,$M879))</f>
        <v>55000</v>
      </c>
      <c r="P879" s="1" t="n">
        <f aca="false">IF($A879="","",SUMIFS(物件収支!$I:$I,物件収支!$A:$A,$A879,物件収支!$C:$C,$M879))</f>
        <v>0</v>
      </c>
      <c r="Q879" s="1" t="n">
        <f aca="false">IF($A879="","",SUMIFS(物件収支!$O:$O,物件収支!$A:$A,$A879,物件収支!$C:$C,$M879))</f>
        <v>0</v>
      </c>
      <c r="R879" s="1" t="str">
        <f aca="false">IF($A879="","",IF(P879=0,"",O879-P879))</f>
        <v/>
      </c>
      <c r="S879" s="1" t="str">
        <f aca="false">IF($A879="","",IF(R879="","",R879+Q879))</f>
        <v/>
      </c>
      <c r="T879" s="1" t="str">
        <f aca="false">IF($A879="","",IF(OR(S879="",N879&lt;=0),"",S879/1000*12/N879))</f>
        <v/>
      </c>
      <c r="U879" s="1" t="str">
        <f aca="false">IF($A879="","",IF(OR(T879="",J879=0,J879=""),"",T879/J879))</f>
        <v/>
      </c>
      <c r="V879" s="1" t="str">
        <f aca="false">IF($A879="","",IF(OR(R879="",N879&lt;=0,J879=0,J879=""),"",(R879/1000*12/N879)/J879))</f>
        <v/>
      </c>
      <c r="W879" s="1" t="str">
        <f aca="false">IF($A879="","",IF(OR(T879="",K879=0,K879=""),"",T879/K879))</f>
        <v/>
      </c>
      <c r="X879" s="1" t="n">
        <f aca="false">IF($A879="","",IF(OR(N879&lt;=0,I879=0,I879="",O879=0),"",O879*1000/(I879*0.3025)/N879))</f>
        <v>16743.4857794227</v>
      </c>
      <c r="Y879" s="1" t="str">
        <f aca="false">IF($A879="","",IF(OR(O879=0,O879="",P879=0),"",P879/O879))</f>
        <v/>
      </c>
      <c r="Z879" s="1" t="str">
        <f aca="false">IF($A879="","",IFERROR(INDEX(物件収支!$E:$E,MATCH($A879,物件収支!$A:$A,0)),""))</f>
        <v>開示（物件別・収益のみ・百万円単位）</v>
      </c>
    </row>
    <row r="880" customFormat="false" ht="15" hidden="false" customHeight="true" outlineLevel="0" collapsed="false">
      <c r="A880" s="1" t="str">
        <f aca="false">IF(物件マスタ!A880="","",物件マスタ!A880)</f>
        <v>KDX-139</v>
      </c>
      <c r="B880" s="1" t="str">
        <f aca="false">IF($A880="","",物件マスタ!B880)</f>
        <v>KDX</v>
      </c>
      <c r="C880" s="1" t="str">
        <f aca="false">IF($A880="","",IFERROR(INDEX(法人マスタ!$C:$C,MATCH($B880,法人マスタ!$A:$A,0)),""))</f>
        <v>ＫＤＸ不動産投資法人</v>
      </c>
      <c r="D880" s="1" t="str">
        <f aca="false">IF($A880="","",物件マスタ!C880)</f>
        <v>KDXレジデンス秋葉原</v>
      </c>
      <c r="E880" s="1" t="str">
        <f aca="false">IF($A880="","",物件マスタ!H880)</f>
        <v>東京経済圏（KDX区分）</v>
      </c>
      <c r="F880" s="1" t="n">
        <f aca="false">IF($A880="","",物件マスタ!P880)</f>
        <v>0</v>
      </c>
      <c r="G880" s="1" t="str">
        <f aca="false">IF($A880="","",物件マスタ!Q880)</f>
        <v/>
      </c>
      <c r="H880" s="1" t="n">
        <f aca="false">IF($A880="","",物件マスタ!L880)</f>
        <v>0</v>
      </c>
      <c r="I880" s="1" t="n">
        <f aca="false">IF($A880="","",物件マスタ!M880)</f>
        <v>1929.61</v>
      </c>
      <c r="J880" s="1" t="n">
        <f aca="false">IF($A880="","",物件マスタ!S880)</f>
        <v>1950</v>
      </c>
      <c r="K880" s="1" t="n">
        <f aca="false">IF($A880="","",物件マスタ!U880)</f>
        <v>2180</v>
      </c>
      <c r="L880" s="1" t="n">
        <f aca="false">IF($A880="","",物件マスタ!W880)</f>
        <v>0.97</v>
      </c>
      <c r="M880" s="1" t="str">
        <f aca="false">IF($A880="","",IFERROR(INDEX(法人マスタ!$H:$H,MATCH($B880,法人マスタ!$A:$A,0)),""))</f>
        <v>2026年4月期（第42期）</v>
      </c>
      <c r="N880" s="1" t="n">
        <f aca="false">IF($A880="","",SUMIFS(物件収支!$D:$D,物件収支!$A:$A,$A880,物件収支!$C:$C,$M880))</f>
        <v>6</v>
      </c>
      <c r="O880" s="1" t="n">
        <f aca="false">IF($A880="","",SUMIFS(物件収支!$F:$F,物件収支!$A:$A,$A880,物件収支!$C:$C,$M880))</f>
        <v>46000</v>
      </c>
      <c r="P880" s="1" t="n">
        <f aca="false">IF($A880="","",SUMIFS(物件収支!$I:$I,物件収支!$A:$A,$A880,物件収支!$C:$C,$M880))</f>
        <v>0</v>
      </c>
      <c r="Q880" s="1" t="n">
        <f aca="false">IF($A880="","",SUMIFS(物件収支!$O:$O,物件収支!$A:$A,$A880,物件収支!$C:$C,$M880))</f>
        <v>0</v>
      </c>
      <c r="R880" s="1" t="str">
        <f aca="false">IF($A880="","",IF(P880=0,"",O880-P880))</f>
        <v/>
      </c>
      <c r="S880" s="1" t="str">
        <f aca="false">IF($A880="","",IF(R880="","",R880+Q880))</f>
        <v/>
      </c>
      <c r="T880" s="1" t="str">
        <f aca="false">IF($A880="","",IF(OR(S880="",N880&lt;=0),"",S880/1000*12/N880))</f>
        <v/>
      </c>
      <c r="U880" s="1" t="str">
        <f aca="false">IF($A880="","",IF(OR(T880="",J880=0,J880=""),"",T880/J880))</f>
        <v/>
      </c>
      <c r="V880" s="1" t="str">
        <f aca="false">IF($A880="","",IF(OR(R880="",N880&lt;=0,J880=0,J880=""),"",(R880/1000*12/N880)/J880))</f>
        <v/>
      </c>
      <c r="W880" s="1" t="str">
        <f aca="false">IF($A880="","",IF(OR(T880="",K880=0,K880=""),"",T880/K880))</f>
        <v/>
      </c>
      <c r="X880" s="1" t="n">
        <f aca="false">IF($A880="","",IF(OR(N880&lt;=0,I880=0,I880="",O880=0),"",O880*1000/(I880*0.3025)/N880))</f>
        <v>13134.4430310166</v>
      </c>
      <c r="Y880" s="1" t="str">
        <f aca="false">IF($A880="","",IF(OR(O880=0,O880="",P880=0),"",P880/O880))</f>
        <v/>
      </c>
      <c r="Z880" s="1" t="str">
        <f aca="false">IF($A880="","",IFERROR(INDEX(物件収支!$E:$E,MATCH($A880,物件収支!$A:$A,0)),""))</f>
        <v>開示（物件別・収益のみ・百万円単位）</v>
      </c>
    </row>
    <row r="881" customFormat="false" ht="15" hidden="false" customHeight="true" outlineLevel="0" collapsed="false">
      <c r="A881" s="1" t="str">
        <f aca="false">IF(物件マスタ!A881="","",物件マスタ!A881)</f>
        <v>KDX-140</v>
      </c>
      <c r="B881" s="1" t="str">
        <f aca="false">IF($A881="","",物件マスタ!B881)</f>
        <v>KDX</v>
      </c>
      <c r="C881" s="1" t="str">
        <f aca="false">IF($A881="","",IFERROR(INDEX(法人マスタ!$C:$C,MATCH($B881,法人マスタ!$A:$A,0)),""))</f>
        <v>ＫＤＸ不動産投資法人</v>
      </c>
      <c r="D881" s="1" t="str">
        <f aca="false">IF($A881="","",物件マスタ!C881)</f>
        <v>KDXレジデンス成城</v>
      </c>
      <c r="E881" s="1" t="str">
        <f aca="false">IF($A881="","",物件マスタ!H881)</f>
        <v>東京経済圏（KDX区分）</v>
      </c>
      <c r="F881" s="1" t="n">
        <f aca="false">IF($A881="","",物件マスタ!P881)</f>
        <v>0</v>
      </c>
      <c r="G881" s="1" t="str">
        <f aca="false">IF($A881="","",物件マスタ!Q881)</f>
        <v/>
      </c>
      <c r="H881" s="1" t="n">
        <f aca="false">IF($A881="","",物件マスタ!L881)</f>
        <v>0</v>
      </c>
      <c r="I881" s="1" t="n">
        <f aca="false">IF($A881="","",物件マスタ!M881)</f>
        <v>2198.56</v>
      </c>
      <c r="J881" s="1" t="n">
        <f aca="false">IF($A881="","",物件マスタ!S881)</f>
        <v>1920</v>
      </c>
      <c r="K881" s="1" t="n">
        <f aca="false">IF($A881="","",物件マスタ!U881)</f>
        <v>2060</v>
      </c>
      <c r="L881" s="1" t="n">
        <f aca="false">IF($A881="","",物件マスタ!W881)</f>
        <v>0.95</v>
      </c>
      <c r="M881" s="1" t="str">
        <f aca="false">IF($A881="","",IFERROR(INDEX(法人マスタ!$H:$H,MATCH($B881,法人マスタ!$A:$A,0)),""))</f>
        <v>2026年4月期（第42期）</v>
      </c>
      <c r="N881" s="1" t="n">
        <f aca="false">IF($A881="","",SUMIFS(物件収支!$D:$D,物件収支!$A:$A,$A881,物件収支!$C:$C,$M881))</f>
        <v>6</v>
      </c>
      <c r="O881" s="1" t="n">
        <f aca="false">IF($A881="","",SUMIFS(物件収支!$F:$F,物件収支!$A:$A,$A881,物件収支!$C:$C,$M881))</f>
        <v>47000</v>
      </c>
      <c r="P881" s="1" t="n">
        <f aca="false">IF($A881="","",SUMIFS(物件収支!$I:$I,物件収支!$A:$A,$A881,物件収支!$C:$C,$M881))</f>
        <v>0</v>
      </c>
      <c r="Q881" s="1" t="n">
        <f aca="false">IF($A881="","",SUMIFS(物件収支!$O:$O,物件収支!$A:$A,$A881,物件収支!$C:$C,$M881))</f>
        <v>0</v>
      </c>
      <c r="R881" s="1" t="str">
        <f aca="false">IF($A881="","",IF(P881=0,"",O881-P881))</f>
        <v/>
      </c>
      <c r="S881" s="1" t="str">
        <f aca="false">IF($A881="","",IF(R881="","",R881+Q881))</f>
        <v/>
      </c>
      <c r="T881" s="1" t="str">
        <f aca="false">IF($A881="","",IF(OR(S881="",N881&lt;=0),"",S881/1000*12/N881))</f>
        <v/>
      </c>
      <c r="U881" s="1" t="str">
        <f aca="false">IF($A881="","",IF(OR(T881="",J881=0,J881=""),"",T881/J881))</f>
        <v/>
      </c>
      <c r="V881" s="1" t="str">
        <f aca="false">IF($A881="","",IF(OR(R881="",N881&lt;=0,J881=0,J881=""),"",(R881/1000*12/N881)/J881))</f>
        <v/>
      </c>
      <c r="W881" s="1" t="str">
        <f aca="false">IF($A881="","",IF(OR(T881="",K881=0,K881=""),"",T881/K881))</f>
        <v/>
      </c>
      <c r="X881" s="1" t="n">
        <f aca="false">IF($A881="","",IF(OR(N881&lt;=0,I881=0,I881="",O881=0),"",O881*1000/(I881*0.3025)/N881))</f>
        <v>11778.3079854121</v>
      </c>
      <c r="Y881" s="1" t="str">
        <f aca="false">IF($A881="","",IF(OR(O881=0,O881="",P881=0),"",P881/O881))</f>
        <v/>
      </c>
      <c r="Z881" s="1" t="str">
        <f aca="false">IF($A881="","",IFERROR(INDEX(物件収支!$E:$E,MATCH($A881,物件収支!$A:$A,0)),""))</f>
        <v>開示（物件別・収益のみ・百万円単位）</v>
      </c>
    </row>
    <row r="882" customFormat="false" ht="15" hidden="false" customHeight="true" outlineLevel="0" collapsed="false">
      <c r="A882" s="1" t="str">
        <f aca="false">IF(物件マスタ!A882="","",物件マスタ!A882)</f>
        <v>KDX-141</v>
      </c>
      <c r="B882" s="1" t="str">
        <f aca="false">IF($A882="","",物件マスタ!B882)</f>
        <v>KDX</v>
      </c>
      <c r="C882" s="1" t="str">
        <f aca="false">IF($A882="","",IFERROR(INDEX(法人マスタ!$C:$C,MATCH($B882,法人マスタ!$A:$A,0)),""))</f>
        <v>ＫＤＸ不動産投資法人</v>
      </c>
      <c r="D882" s="1" t="str">
        <f aca="false">IF($A882="","",物件マスタ!C882)</f>
        <v>KDXレジデンス鶴見</v>
      </c>
      <c r="E882" s="1" t="str">
        <f aca="false">IF($A882="","",物件マスタ!H882)</f>
        <v>東京経済圏（KDX区分）</v>
      </c>
      <c r="F882" s="1" t="n">
        <f aca="false">IF($A882="","",物件マスタ!P882)</f>
        <v>0</v>
      </c>
      <c r="G882" s="1" t="str">
        <f aca="false">IF($A882="","",物件マスタ!Q882)</f>
        <v/>
      </c>
      <c r="H882" s="1" t="n">
        <f aca="false">IF($A882="","",物件マスタ!L882)</f>
        <v>0</v>
      </c>
      <c r="I882" s="1" t="n">
        <f aca="false">IF($A882="","",物件マスタ!M882)</f>
        <v>3499.84</v>
      </c>
      <c r="J882" s="1" t="n">
        <f aca="false">IF($A882="","",物件マスタ!S882)</f>
        <v>1850</v>
      </c>
      <c r="K882" s="1" t="n">
        <f aca="false">IF($A882="","",物件マスタ!U882)</f>
        <v>1960</v>
      </c>
      <c r="L882" s="1" t="n">
        <f aca="false">IF($A882="","",物件マスタ!W882)</f>
        <v>1</v>
      </c>
      <c r="M882" s="1" t="str">
        <f aca="false">IF($A882="","",IFERROR(INDEX(法人マスタ!$H:$H,MATCH($B882,法人マスタ!$A:$A,0)),""))</f>
        <v>2026年4月期（第42期）</v>
      </c>
      <c r="N882" s="1" t="n">
        <f aca="false">IF($A882="","",SUMIFS(物件収支!$D:$D,物件収支!$A:$A,$A882,物件収支!$C:$C,$M882))</f>
        <v>6</v>
      </c>
      <c r="O882" s="1" t="n">
        <f aca="false">IF($A882="","",SUMIFS(物件収支!$F:$F,物件収支!$A:$A,$A882,物件収支!$C:$C,$M882))</f>
        <v>56000</v>
      </c>
      <c r="P882" s="1" t="n">
        <f aca="false">IF($A882="","",SUMIFS(物件収支!$I:$I,物件収支!$A:$A,$A882,物件収支!$C:$C,$M882))</f>
        <v>0</v>
      </c>
      <c r="Q882" s="1" t="n">
        <f aca="false">IF($A882="","",SUMIFS(物件収支!$O:$O,物件収支!$A:$A,$A882,物件収支!$C:$C,$M882))</f>
        <v>0</v>
      </c>
      <c r="R882" s="1" t="str">
        <f aca="false">IF($A882="","",IF(P882=0,"",O882-P882))</f>
        <v/>
      </c>
      <c r="S882" s="1" t="str">
        <f aca="false">IF($A882="","",IF(R882="","",R882+Q882))</f>
        <v/>
      </c>
      <c r="T882" s="1" t="str">
        <f aca="false">IF($A882="","",IF(OR(S882="",N882&lt;=0),"",S882/1000*12/N882))</f>
        <v/>
      </c>
      <c r="U882" s="1" t="str">
        <f aca="false">IF($A882="","",IF(OR(T882="",J882=0,J882=""),"",T882/J882))</f>
        <v/>
      </c>
      <c r="V882" s="1" t="str">
        <f aca="false">IF($A882="","",IF(OR(R882="",N882&lt;=0,J882=0,J882=""),"",(R882/1000*12/N882)/J882))</f>
        <v/>
      </c>
      <c r="W882" s="1" t="str">
        <f aca="false">IF($A882="","",IF(OR(T882="",K882=0,K882=""),"",T882/K882))</f>
        <v/>
      </c>
      <c r="X882" s="1" t="n">
        <f aca="false">IF($A882="","",IF(OR(N882&lt;=0,I882=0,I882="",O882=0),"",O882*1000/(I882*0.3025)/N882))</f>
        <v>8815.83000661691</v>
      </c>
      <c r="Y882" s="1" t="str">
        <f aca="false">IF($A882="","",IF(OR(O882=0,O882="",P882=0),"",P882/O882))</f>
        <v/>
      </c>
      <c r="Z882" s="1" t="str">
        <f aca="false">IF($A882="","",IFERROR(INDEX(物件収支!$E:$E,MATCH($A882,物件収支!$A:$A,0)),""))</f>
        <v>開示（物件別・収益のみ・百万円単位）</v>
      </c>
    </row>
    <row r="883" customFormat="false" ht="15" hidden="false" customHeight="true" outlineLevel="0" collapsed="false">
      <c r="A883" s="1" t="str">
        <f aca="false">IF(物件マスタ!A883="","",物件マスタ!A883)</f>
        <v>KDX-142</v>
      </c>
      <c r="B883" s="1" t="str">
        <f aca="false">IF($A883="","",物件マスタ!B883)</f>
        <v>KDX</v>
      </c>
      <c r="C883" s="1" t="str">
        <f aca="false">IF($A883="","",IFERROR(INDEX(法人マスタ!$C:$C,MATCH($B883,法人マスタ!$A:$A,0)),""))</f>
        <v>ＫＤＸ不動産投資法人</v>
      </c>
      <c r="D883" s="1" t="str">
        <f aca="false">IF($A883="","",物件マスタ!C883)</f>
        <v>KDXレジデンス入谷</v>
      </c>
      <c r="E883" s="1" t="str">
        <f aca="false">IF($A883="","",物件マスタ!H883)</f>
        <v>東京経済圏（KDX区分）</v>
      </c>
      <c r="F883" s="1" t="n">
        <f aca="false">IF($A883="","",物件マスタ!P883)</f>
        <v>0</v>
      </c>
      <c r="G883" s="1" t="str">
        <f aca="false">IF($A883="","",物件マスタ!Q883)</f>
        <v/>
      </c>
      <c r="H883" s="1" t="n">
        <f aca="false">IF($A883="","",物件マスタ!L883)</f>
        <v>0</v>
      </c>
      <c r="I883" s="1" t="n">
        <f aca="false">IF($A883="","",物件マスタ!M883)</f>
        <v>1899.29</v>
      </c>
      <c r="J883" s="1" t="n">
        <f aca="false">IF($A883="","",物件マスタ!S883)</f>
        <v>1670</v>
      </c>
      <c r="K883" s="1" t="n">
        <f aca="false">IF($A883="","",物件マスタ!U883)</f>
        <v>1730</v>
      </c>
      <c r="L883" s="1" t="n">
        <f aca="false">IF($A883="","",物件マスタ!W883)</f>
        <v>0.987</v>
      </c>
      <c r="M883" s="1" t="str">
        <f aca="false">IF($A883="","",IFERROR(INDEX(法人マスタ!$H:$H,MATCH($B883,法人マスタ!$A:$A,0)),""))</f>
        <v>2026年4月期（第42期）</v>
      </c>
      <c r="N883" s="1" t="n">
        <f aca="false">IF($A883="","",SUMIFS(物件収支!$D:$D,物件収支!$A:$A,$A883,物件収支!$C:$C,$M883))</f>
        <v>6</v>
      </c>
      <c r="O883" s="1" t="n">
        <f aca="false">IF($A883="","",SUMIFS(物件収支!$F:$F,物件収支!$A:$A,$A883,物件収支!$C:$C,$M883))</f>
        <v>43000</v>
      </c>
      <c r="P883" s="1" t="n">
        <f aca="false">IF($A883="","",SUMIFS(物件収支!$I:$I,物件収支!$A:$A,$A883,物件収支!$C:$C,$M883))</f>
        <v>0</v>
      </c>
      <c r="Q883" s="1" t="n">
        <f aca="false">IF($A883="","",SUMIFS(物件収支!$O:$O,物件収支!$A:$A,$A883,物件収支!$C:$C,$M883))</f>
        <v>0</v>
      </c>
      <c r="R883" s="1" t="str">
        <f aca="false">IF($A883="","",IF(P883=0,"",O883-P883))</f>
        <v/>
      </c>
      <c r="S883" s="1" t="str">
        <f aca="false">IF($A883="","",IF(R883="","",R883+Q883))</f>
        <v/>
      </c>
      <c r="T883" s="1" t="str">
        <f aca="false">IF($A883="","",IF(OR(S883="",N883&lt;=0),"",S883/1000*12/N883))</f>
        <v/>
      </c>
      <c r="U883" s="1" t="str">
        <f aca="false">IF($A883="","",IF(OR(T883="",J883=0,J883=""),"",T883/J883))</f>
        <v/>
      </c>
      <c r="V883" s="1" t="str">
        <f aca="false">IF($A883="","",IF(OR(R883="",N883&lt;=0,J883=0,J883=""),"",(R883/1000*12/N883)/J883))</f>
        <v/>
      </c>
      <c r="W883" s="1" t="str">
        <f aca="false">IF($A883="","",IF(OR(T883="",K883=0,K883=""),"",T883/K883))</f>
        <v/>
      </c>
      <c r="X883" s="1" t="n">
        <f aca="false">IF($A883="","",IF(OR(N883&lt;=0,I883=0,I883="",O883=0),"",O883*1000/(I883*0.3025)/N883))</f>
        <v>12473.8507837647</v>
      </c>
      <c r="Y883" s="1" t="str">
        <f aca="false">IF($A883="","",IF(OR(O883=0,O883="",P883=0),"",P883/O883))</f>
        <v/>
      </c>
      <c r="Z883" s="1" t="str">
        <f aca="false">IF($A883="","",IFERROR(INDEX(物件収支!$E:$E,MATCH($A883,物件収支!$A:$A,0)),""))</f>
        <v>開示（物件別・収益のみ・百万円単位）</v>
      </c>
    </row>
    <row r="884" customFormat="false" ht="15" hidden="false" customHeight="true" outlineLevel="0" collapsed="false">
      <c r="A884" s="1" t="str">
        <f aca="false">IF(物件マスタ!A884="","",物件マスタ!A884)</f>
        <v>KDX-143</v>
      </c>
      <c r="B884" s="1" t="str">
        <f aca="false">IF($A884="","",物件マスタ!B884)</f>
        <v>KDX</v>
      </c>
      <c r="C884" s="1" t="str">
        <f aca="false">IF($A884="","",IFERROR(INDEX(法人マスタ!$C:$C,MATCH($B884,法人マスタ!$A:$A,0)),""))</f>
        <v>ＫＤＸ不動産投資法人</v>
      </c>
      <c r="D884" s="1" t="str">
        <f aca="false">IF($A884="","",物件マスタ!C884)</f>
        <v>KDXレジデンス秋葉原II</v>
      </c>
      <c r="E884" s="1" t="str">
        <f aca="false">IF($A884="","",物件マスタ!H884)</f>
        <v>東京経済圏（KDX区分）</v>
      </c>
      <c r="F884" s="1" t="n">
        <f aca="false">IF($A884="","",物件マスタ!P884)</f>
        <v>0</v>
      </c>
      <c r="G884" s="1" t="str">
        <f aca="false">IF($A884="","",物件マスタ!Q884)</f>
        <v/>
      </c>
      <c r="H884" s="1" t="n">
        <f aca="false">IF($A884="","",物件マスタ!L884)</f>
        <v>0</v>
      </c>
      <c r="I884" s="1" t="n">
        <f aca="false">IF($A884="","",物件マスタ!M884)</f>
        <v>1254.5</v>
      </c>
      <c r="J884" s="1" t="n">
        <f aca="false">IF($A884="","",物件マスタ!S884)</f>
        <v>1320</v>
      </c>
      <c r="K884" s="1" t="n">
        <f aca="false">IF($A884="","",物件マスタ!U884)</f>
        <v>1360</v>
      </c>
      <c r="L884" s="1" t="n">
        <f aca="false">IF($A884="","",物件マスタ!W884)</f>
        <v>1</v>
      </c>
      <c r="M884" s="1" t="str">
        <f aca="false">IF($A884="","",IFERROR(INDEX(法人マスタ!$H:$H,MATCH($B884,法人マスタ!$A:$A,0)),""))</f>
        <v>2026年4月期（第42期）</v>
      </c>
      <c r="N884" s="1" t="n">
        <f aca="false">IF($A884="","",SUMIFS(物件収支!$D:$D,物件収支!$A:$A,$A884,物件収支!$C:$C,$M884))</f>
        <v>6</v>
      </c>
      <c r="O884" s="1" t="n">
        <f aca="false">IF($A884="","",SUMIFS(物件収支!$F:$F,物件収支!$A:$A,$A884,物件収支!$C:$C,$M884))</f>
        <v>35000</v>
      </c>
      <c r="P884" s="1" t="n">
        <f aca="false">IF($A884="","",SUMIFS(物件収支!$I:$I,物件収支!$A:$A,$A884,物件収支!$C:$C,$M884))</f>
        <v>0</v>
      </c>
      <c r="Q884" s="1" t="n">
        <f aca="false">IF($A884="","",SUMIFS(物件収支!$O:$O,物件収支!$A:$A,$A884,物件収支!$C:$C,$M884))</f>
        <v>0</v>
      </c>
      <c r="R884" s="1" t="str">
        <f aca="false">IF($A884="","",IF(P884=0,"",O884-P884))</f>
        <v/>
      </c>
      <c r="S884" s="1" t="str">
        <f aca="false">IF($A884="","",IF(R884="","",R884+Q884))</f>
        <v/>
      </c>
      <c r="T884" s="1" t="str">
        <f aca="false">IF($A884="","",IF(OR(S884="",N884&lt;=0),"",S884/1000*12/N884))</f>
        <v/>
      </c>
      <c r="U884" s="1" t="str">
        <f aca="false">IF($A884="","",IF(OR(T884="",J884=0,J884=""),"",T884/J884))</f>
        <v/>
      </c>
      <c r="V884" s="1" t="str">
        <f aca="false">IF($A884="","",IF(OR(R884="",N884&lt;=0,J884=0,J884=""),"",(R884/1000*12/N884)/J884))</f>
        <v/>
      </c>
      <c r="W884" s="1" t="str">
        <f aca="false">IF($A884="","",IF(OR(T884="",K884=0,K884=""),"",T884/K884))</f>
        <v/>
      </c>
      <c r="X884" s="1" t="n">
        <f aca="false">IF($A884="","",IF(OR(N884&lt;=0,I884=0,I884="",O884=0),"",O884*1000/(I884*0.3025)/N884))</f>
        <v>15371.6592718006</v>
      </c>
      <c r="Y884" s="1" t="str">
        <f aca="false">IF($A884="","",IF(OR(O884=0,O884="",P884=0),"",P884/O884))</f>
        <v/>
      </c>
      <c r="Z884" s="1" t="str">
        <f aca="false">IF($A884="","",IFERROR(INDEX(物件収支!$E:$E,MATCH($A884,物件収支!$A:$A,0)),""))</f>
        <v>開示（物件別・収益のみ・百万円単位）</v>
      </c>
    </row>
    <row r="885" customFormat="false" ht="15" hidden="false" customHeight="true" outlineLevel="0" collapsed="false">
      <c r="A885" s="1" t="str">
        <f aca="false">IF(物件マスタ!A885="","",物件マスタ!A885)</f>
        <v>KDX-144</v>
      </c>
      <c r="B885" s="1" t="str">
        <f aca="false">IF($A885="","",物件マスタ!B885)</f>
        <v>KDX</v>
      </c>
      <c r="C885" s="1" t="str">
        <f aca="false">IF($A885="","",IFERROR(INDEX(法人マスタ!$C:$C,MATCH($B885,法人マスタ!$A:$A,0)),""))</f>
        <v>ＫＤＸ不動産投資法人</v>
      </c>
      <c r="D885" s="1" t="str">
        <f aca="false">IF($A885="","",物件マスタ!C885)</f>
        <v>KDXレジデンス森下千歳</v>
      </c>
      <c r="E885" s="1" t="str">
        <f aca="false">IF($A885="","",物件マスタ!H885)</f>
        <v>東京経済圏（KDX区分）</v>
      </c>
      <c r="F885" s="1" t="n">
        <f aca="false">IF($A885="","",物件マスタ!P885)</f>
        <v>0</v>
      </c>
      <c r="G885" s="1" t="str">
        <f aca="false">IF($A885="","",物件マスタ!Q885)</f>
        <v/>
      </c>
      <c r="H885" s="1" t="n">
        <f aca="false">IF($A885="","",物件マスタ!L885)</f>
        <v>0</v>
      </c>
      <c r="I885" s="1" t="n">
        <f aca="false">IF($A885="","",物件マスタ!M885)</f>
        <v>1614.28</v>
      </c>
      <c r="J885" s="1" t="n">
        <f aca="false">IF($A885="","",物件マスタ!S885)</f>
        <v>1520</v>
      </c>
      <c r="K885" s="1" t="n">
        <f aca="false">IF($A885="","",物件マスタ!U885)</f>
        <v>1590</v>
      </c>
      <c r="L885" s="1" t="n">
        <f aca="false">IF($A885="","",物件マスタ!W885)</f>
        <v>1</v>
      </c>
      <c r="M885" s="1" t="str">
        <f aca="false">IF($A885="","",IFERROR(INDEX(法人マスタ!$H:$H,MATCH($B885,法人マスタ!$A:$A,0)),""))</f>
        <v>2026年4月期（第42期）</v>
      </c>
      <c r="N885" s="1" t="n">
        <f aca="false">IF($A885="","",SUMIFS(物件収支!$D:$D,物件収支!$A:$A,$A885,物件収支!$C:$C,$M885))</f>
        <v>6</v>
      </c>
      <c r="O885" s="1" t="n">
        <f aca="false">IF($A885="","",SUMIFS(物件収支!$F:$F,物件収支!$A:$A,$A885,物件収支!$C:$C,$M885))</f>
        <v>42000</v>
      </c>
      <c r="P885" s="1" t="n">
        <f aca="false">IF($A885="","",SUMIFS(物件収支!$I:$I,物件収支!$A:$A,$A885,物件収支!$C:$C,$M885))</f>
        <v>0</v>
      </c>
      <c r="Q885" s="1" t="n">
        <f aca="false">IF($A885="","",SUMIFS(物件収支!$O:$O,物件収支!$A:$A,$A885,物件収支!$C:$C,$M885))</f>
        <v>0</v>
      </c>
      <c r="R885" s="1" t="str">
        <f aca="false">IF($A885="","",IF(P885=0,"",O885-P885))</f>
        <v/>
      </c>
      <c r="S885" s="1" t="str">
        <f aca="false">IF($A885="","",IF(R885="","",R885+Q885))</f>
        <v/>
      </c>
      <c r="T885" s="1" t="str">
        <f aca="false">IF($A885="","",IF(OR(S885="",N885&lt;=0),"",S885/1000*12/N885))</f>
        <v/>
      </c>
      <c r="U885" s="1" t="str">
        <f aca="false">IF($A885="","",IF(OR(T885="",J885=0,J885=""),"",T885/J885))</f>
        <v/>
      </c>
      <c r="V885" s="1" t="str">
        <f aca="false">IF($A885="","",IF(OR(R885="",N885&lt;=0,J885=0,J885=""),"",(R885/1000*12/N885)/J885))</f>
        <v/>
      </c>
      <c r="W885" s="1" t="str">
        <f aca="false">IF($A885="","",IF(OR(T885="",K885=0,K885=""),"",T885/K885))</f>
        <v/>
      </c>
      <c r="X885" s="1" t="n">
        <f aca="false">IF($A885="","",IF(OR(N885&lt;=0,I885=0,I885="",O885=0),"",O885*1000/(I885*0.3025)/N885))</f>
        <v>14334.8711919671</v>
      </c>
      <c r="Y885" s="1" t="str">
        <f aca="false">IF($A885="","",IF(OR(O885=0,O885="",P885=0),"",P885/O885))</f>
        <v/>
      </c>
      <c r="Z885" s="1" t="str">
        <f aca="false">IF($A885="","",IFERROR(INDEX(物件収支!$E:$E,MATCH($A885,物件収支!$A:$A,0)),""))</f>
        <v>開示（物件別・収益のみ・百万円単位）</v>
      </c>
    </row>
    <row r="886" customFormat="false" ht="15" hidden="false" customHeight="true" outlineLevel="0" collapsed="false">
      <c r="A886" s="1" t="str">
        <f aca="false">IF(物件マスタ!A886="","",物件マスタ!A886)</f>
        <v>KDX-145</v>
      </c>
      <c r="B886" s="1" t="str">
        <f aca="false">IF($A886="","",物件マスタ!B886)</f>
        <v>KDX</v>
      </c>
      <c r="C886" s="1" t="str">
        <f aca="false">IF($A886="","",IFERROR(INDEX(法人マスタ!$C:$C,MATCH($B886,法人マスタ!$A:$A,0)),""))</f>
        <v>ＫＤＸ不動産投資法人</v>
      </c>
      <c r="D886" s="1" t="str">
        <f aca="false">IF($A886="","",物件マスタ!C886)</f>
        <v>KDXレジデンス赤坂</v>
      </c>
      <c r="E886" s="1" t="str">
        <f aca="false">IF($A886="","",物件マスタ!H886)</f>
        <v>東京経済圏（KDX区分）</v>
      </c>
      <c r="F886" s="1" t="n">
        <f aca="false">IF($A886="","",物件マスタ!P886)</f>
        <v>0</v>
      </c>
      <c r="G886" s="1" t="str">
        <f aca="false">IF($A886="","",物件マスタ!Q886)</f>
        <v/>
      </c>
      <c r="H886" s="1" t="n">
        <f aca="false">IF($A886="","",物件マスタ!L886)</f>
        <v>0</v>
      </c>
      <c r="I886" s="1" t="n">
        <f aca="false">IF($A886="","",物件マスタ!M886)</f>
        <v>1180.71</v>
      </c>
      <c r="J886" s="1" t="n">
        <f aca="false">IF($A886="","",物件マスタ!S886)</f>
        <v>2440</v>
      </c>
      <c r="K886" s="1" t="n">
        <f aca="false">IF($A886="","",物件マスタ!U886)</f>
        <v>2580</v>
      </c>
      <c r="L886" s="1" t="n">
        <f aca="false">IF($A886="","",物件マスタ!W886)</f>
        <v>0.895</v>
      </c>
      <c r="M886" s="1" t="str">
        <f aca="false">IF($A886="","",IFERROR(INDEX(法人マスタ!$H:$H,MATCH($B886,法人マスタ!$A:$A,0)),""))</f>
        <v>2026年4月期（第42期）</v>
      </c>
      <c r="N886" s="1" t="n">
        <f aca="false">IF($A886="","",SUMIFS(物件収支!$D:$D,物件収支!$A:$A,$A886,物件収支!$C:$C,$M886))</f>
        <v>6</v>
      </c>
      <c r="O886" s="1" t="n">
        <f aca="false">IF($A886="","",SUMIFS(物件収支!$F:$F,物件収支!$A:$A,$A886,物件収支!$C:$C,$M886))</f>
        <v>45000</v>
      </c>
      <c r="P886" s="1" t="n">
        <f aca="false">IF($A886="","",SUMIFS(物件収支!$I:$I,物件収支!$A:$A,$A886,物件収支!$C:$C,$M886))</f>
        <v>0</v>
      </c>
      <c r="Q886" s="1" t="n">
        <f aca="false">IF($A886="","",SUMIFS(物件収支!$O:$O,物件収支!$A:$A,$A886,物件収支!$C:$C,$M886))</f>
        <v>0</v>
      </c>
      <c r="R886" s="1" t="str">
        <f aca="false">IF($A886="","",IF(P886=0,"",O886-P886))</f>
        <v/>
      </c>
      <c r="S886" s="1" t="str">
        <f aca="false">IF($A886="","",IF(R886="","",R886+Q886))</f>
        <v/>
      </c>
      <c r="T886" s="1" t="str">
        <f aca="false">IF($A886="","",IF(OR(S886="",N886&lt;=0),"",S886/1000*12/N886))</f>
        <v/>
      </c>
      <c r="U886" s="1" t="str">
        <f aca="false">IF($A886="","",IF(OR(T886="",J886=0,J886=""),"",T886/J886))</f>
        <v/>
      </c>
      <c r="V886" s="1" t="str">
        <f aca="false">IF($A886="","",IF(OR(R886="",N886&lt;=0,J886=0,J886=""),"",(R886/1000*12/N886)/J886))</f>
        <v/>
      </c>
      <c r="W886" s="1" t="str">
        <f aca="false">IF($A886="","",IF(OR(T886="",K886=0,K886=""),"",T886/K886))</f>
        <v/>
      </c>
      <c r="X886" s="1" t="n">
        <f aca="false">IF($A886="","",IF(OR(N886&lt;=0,I886=0,I886="",O886=0),"",O886*1000/(I886*0.3025)/N886))</f>
        <v>20998.711309087</v>
      </c>
      <c r="Y886" s="1" t="str">
        <f aca="false">IF($A886="","",IF(OR(O886=0,O886="",P886=0),"",P886/O886))</f>
        <v/>
      </c>
      <c r="Z886" s="1" t="str">
        <f aca="false">IF($A886="","",IFERROR(INDEX(物件収支!$E:$E,MATCH($A886,物件収支!$A:$A,0)),""))</f>
        <v>開示（物件別・収益のみ・百万円単位）</v>
      </c>
    </row>
    <row r="887" customFormat="false" ht="15" hidden="false" customHeight="true" outlineLevel="0" collapsed="false">
      <c r="A887" s="1" t="str">
        <f aca="false">IF(物件マスタ!A887="","",物件マスタ!A887)</f>
        <v>KDX-146</v>
      </c>
      <c r="B887" s="1" t="str">
        <f aca="false">IF($A887="","",物件マスタ!B887)</f>
        <v>KDX</v>
      </c>
      <c r="C887" s="1" t="str">
        <f aca="false">IF($A887="","",IFERROR(INDEX(法人マスタ!$C:$C,MATCH($B887,法人マスタ!$A:$A,0)),""))</f>
        <v>ＫＤＸ不動産投資法人</v>
      </c>
      <c r="D887" s="1" t="str">
        <f aca="false">IF($A887="","",物件マスタ!C887)</f>
        <v>KDXレジデンス神田</v>
      </c>
      <c r="E887" s="1" t="str">
        <f aca="false">IF($A887="","",物件マスタ!H887)</f>
        <v>東京経済圏（KDX区分）</v>
      </c>
      <c r="F887" s="1" t="n">
        <f aca="false">IF($A887="","",物件マスタ!P887)</f>
        <v>0</v>
      </c>
      <c r="G887" s="1" t="str">
        <f aca="false">IF($A887="","",物件マスタ!Q887)</f>
        <v/>
      </c>
      <c r="H887" s="1" t="n">
        <f aca="false">IF($A887="","",物件マスタ!L887)</f>
        <v>0</v>
      </c>
      <c r="I887" s="1" t="n">
        <f aca="false">IF($A887="","",物件マスタ!M887)</f>
        <v>1031.09</v>
      </c>
      <c r="J887" s="1" t="n">
        <f aca="false">IF($A887="","",物件マスタ!S887)</f>
        <v>1340</v>
      </c>
      <c r="K887" s="1" t="n">
        <f aca="false">IF($A887="","",物件マスタ!U887)</f>
        <v>1460</v>
      </c>
      <c r="L887" s="1" t="n">
        <f aca="false">IF($A887="","",物件マスタ!W887)</f>
        <v>0.949</v>
      </c>
      <c r="M887" s="1" t="str">
        <f aca="false">IF($A887="","",IFERROR(INDEX(法人マスタ!$H:$H,MATCH($B887,法人マスタ!$A:$A,0)),""))</f>
        <v>2026年4月期（第42期）</v>
      </c>
      <c r="N887" s="1" t="n">
        <f aca="false">IF($A887="","",SUMIFS(物件収支!$D:$D,物件収支!$A:$A,$A887,物件収支!$C:$C,$M887))</f>
        <v>6</v>
      </c>
      <c r="O887" s="1" t="n">
        <f aca="false">IF($A887="","",SUMIFS(物件収支!$F:$F,物件収支!$A:$A,$A887,物件収支!$C:$C,$M887))</f>
        <v>31000</v>
      </c>
      <c r="P887" s="1" t="n">
        <f aca="false">IF($A887="","",SUMIFS(物件収支!$I:$I,物件収支!$A:$A,$A887,物件収支!$C:$C,$M887))</f>
        <v>0</v>
      </c>
      <c r="Q887" s="1" t="n">
        <f aca="false">IF($A887="","",SUMIFS(物件収支!$O:$O,物件収支!$A:$A,$A887,物件収支!$C:$C,$M887))</f>
        <v>0</v>
      </c>
      <c r="R887" s="1" t="str">
        <f aca="false">IF($A887="","",IF(P887=0,"",O887-P887))</f>
        <v/>
      </c>
      <c r="S887" s="1" t="str">
        <f aca="false">IF($A887="","",IF(R887="","",R887+Q887))</f>
        <v/>
      </c>
      <c r="T887" s="1" t="str">
        <f aca="false">IF($A887="","",IF(OR(S887="",N887&lt;=0),"",S887/1000*12/N887))</f>
        <v/>
      </c>
      <c r="U887" s="1" t="str">
        <f aca="false">IF($A887="","",IF(OR(T887="",J887=0,J887=""),"",T887/J887))</f>
        <v/>
      </c>
      <c r="V887" s="1" t="str">
        <f aca="false">IF($A887="","",IF(OR(R887="",N887&lt;=0,J887=0,J887=""),"",(R887/1000*12/N887)/J887))</f>
        <v/>
      </c>
      <c r="W887" s="1" t="str">
        <f aca="false">IF($A887="","",IF(OR(T887="",K887=0,K887=""),"",T887/K887))</f>
        <v/>
      </c>
      <c r="X887" s="1" t="n">
        <f aca="false">IF($A887="","",IF(OR(N887&lt;=0,I887=0,I887="",O887=0),"",O887*1000/(I887*0.3025)/N887))</f>
        <v>16564.8874561508</v>
      </c>
      <c r="Y887" s="1" t="str">
        <f aca="false">IF($A887="","",IF(OR(O887=0,O887="",P887=0),"",P887/O887))</f>
        <v/>
      </c>
      <c r="Z887" s="1" t="str">
        <f aca="false">IF($A887="","",IFERROR(INDEX(物件収支!$E:$E,MATCH($A887,物件収支!$A:$A,0)),""))</f>
        <v>開示（物件別・収益のみ・百万円単位）</v>
      </c>
    </row>
    <row r="888" customFormat="false" ht="15" hidden="false" customHeight="true" outlineLevel="0" collapsed="false">
      <c r="A888" s="1" t="str">
        <f aca="false">IF(物件マスタ!A888="","",物件マスタ!A888)</f>
        <v>KDX-147</v>
      </c>
      <c r="B888" s="1" t="str">
        <f aca="false">IF($A888="","",物件マスタ!B888)</f>
        <v>KDX</v>
      </c>
      <c r="C888" s="1" t="str">
        <f aca="false">IF($A888="","",IFERROR(INDEX(法人マスタ!$C:$C,MATCH($B888,法人マスタ!$A:$A,0)),""))</f>
        <v>ＫＤＸ不動産投資法人</v>
      </c>
      <c r="D888" s="1" t="str">
        <f aca="false">IF($A888="","",物件マスタ!C888)</f>
        <v>KDXレジデンス恵比寿</v>
      </c>
      <c r="E888" s="1" t="str">
        <f aca="false">IF($A888="","",物件マスタ!H888)</f>
        <v>東京経済圏（KDX区分）</v>
      </c>
      <c r="F888" s="1" t="n">
        <f aca="false">IF($A888="","",物件マスタ!P888)</f>
        <v>0</v>
      </c>
      <c r="G888" s="1" t="str">
        <f aca="false">IF($A888="","",物件マスタ!Q888)</f>
        <v/>
      </c>
      <c r="H888" s="1" t="n">
        <f aca="false">IF($A888="","",物件マスタ!L888)</f>
        <v>0</v>
      </c>
      <c r="I888" s="1" t="n">
        <f aca="false">IF($A888="","",物件マスタ!M888)</f>
        <v>2659.66</v>
      </c>
      <c r="J888" s="1" t="n">
        <f aca="false">IF($A888="","",物件マスタ!S888)</f>
        <v>5520</v>
      </c>
      <c r="K888" s="1" t="n">
        <f aca="false">IF($A888="","",物件マスタ!U888)</f>
        <v>5610</v>
      </c>
      <c r="L888" s="1" t="n">
        <f aca="false">IF($A888="","",物件マスタ!W888)</f>
        <v>0.899</v>
      </c>
      <c r="M888" s="1" t="str">
        <f aca="false">IF($A888="","",IFERROR(INDEX(法人マスタ!$H:$H,MATCH($B888,法人マスタ!$A:$A,0)),""))</f>
        <v>2026年4月期（第42期）</v>
      </c>
      <c r="N888" s="1" t="n">
        <f aca="false">IF($A888="","",SUMIFS(物件収支!$D:$D,物件収支!$A:$A,$A888,物件収支!$C:$C,$M888))</f>
        <v>6</v>
      </c>
      <c r="O888" s="1" t="n">
        <f aca="false">IF($A888="","",SUMIFS(物件収支!$F:$F,物件収支!$A:$A,$A888,物件収支!$C:$C,$M888))</f>
        <v>93000</v>
      </c>
      <c r="P888" s="1" t="n">
        <f aca="false">IF($A888="","",SUMIFS(物件収支!$I:$I,物件収支!$A:$A,$A888,物件収支!$C:$C,$M888))</f>
        <v>0</v>
      </c>
      <c r="Q888" s="1" t="n">
        <f aca="false">IF($A888="","",SUMIFS(物件収支!$O:$O,物件収支!$A:$A,$A888,物件収支!$C:$C,$M888))</f>
        <v>0</v>
      </c>
      <c r="R888" s="1" t="str">
        <f aca="false">IF($A888="","",IF(P888=0,"",O888-P888))</f>
        <v/>
      </c>
      <c r="S888" s="1" t="str">
        <f aca="false">IF($A888="","",IF(R888="","",R888+Q888))</f>
        <v/>
      </c>
      <c r="T888" s="1" t="str">
        <f aca="false">IF($A888="","",IF(OR(S888="",N888&lt;=0),"",S888/1000*12/N888))</f>
        <v/>
      </c>
      <c r="U888" s="1" t="str">
        <f aca="false">IF($A888="","",IF(OR(T888="",J888=0,J888=""),"",T888/J888))</f>
        <v/>
      </c>
      <c r="V888" s="1" t="str">
        <f aca="false">IF($A888="","",IF(OR(R888="",N888&lt;=0,J888=0,J888=""),"",(R888/1000*12/N888)/J888))</f>
        <v/>
      </c>
      <c r="W888" s="1" t="str">
        <f aca="false">IF($A888="","",IF(OR(T888="",K888=0,K888=""),"",T888/K888))</f>
        <v/>
      </c>
      <c r="X888" s="1" t="n">
        <f aca="false">IF($A888="","",IF(OR(N888&lt;=0,I888=0,I888="",O888=0),"",O888*1000/(I888*0.3025)/N888))</f>
        <v>19265.496124124</v>
      </c>
      <c r="Y888" s="1" t="str">
        <f aca="false">IF($A888="","",IF(OR(O888=0,O888="",P888=0),"",P888/O888))</f>
        <v/>
      </c>
      <c r="Z888" s="1" t="str">
        <f aca="false">IF($A888="","",IFERROR(INDEX(物件収支!$E:$E,MATCH($A888,物件収支!$A:$A,0)),""))</f>
        <v>開示（物件別・収益のみ・百万円単位）</v>
      </c>
    </row>
    <row r="889" customFormat="false" ht="15" hidden="false" customHeight="true" outlineLevel="0" collapsed="false">
      <c r="A889" s="1" t="str">
        <f aca="false">IF(物件マスタ!A889="","",物件マスタ!A889)</f>
        <v>KDX-148</v>
      </c>
      <c r="B889" s="1" t="str">
        <f aca="false">IF($A889="","",物件マスタ!B889)</f>
        <v>KDX</v>
      </c>
      <c r="C889" s="1" t="str">
        <f aca="false">IF($A889="","",IFERROR(INDEX(法人マスタ!$C:$C,MATCH($B889,法人マスタ!$A:$A,0)),""))</f>
        <v>ＫＤＸ不動産投資法人</v>
      </c>
      <c r="D889" s="1" t="str">
        <f aca="false">IF($A889="","",物件マスタ!C889)</f>
        <v>KDXレジデンス西麻布</v>
      </c>
      <c r="E889" s="1" t="str">
        <f aca="false">IF($A889="","",物件マスタ!H889)</f>
        <v>東京経済圏（KDX区分）</v>
      </c>
      <c r="F889" s="1" t="n">
        <f aca="false">IF($A889="","",物件マスタ!P889)</f>
        <v>0</v>
      </c>
      <c r="G889" s="1" t="str">
        <f aca="false">IF($A889="","",物件マスタ!Q889)</f>
        <v/>
      </c>
      <c r="H889" s="1" t="n">
        <f aca="false">IF($A889="","",物件マスタ!L889)</f>
        <v>0</v>
      </c>
      <c r="I889" s="1" t="n">
        <f aca="false">IF($A889="","",物件マスタ!M889)</f>
        <v>1357.88</v>
      </c>
      <c r="J889" s="1" t="n">
        <f aca="false">IF($A889="","",物件マスタ!S889)</f>
        <v>2030</v>
      </c>
      <c r="K889" s="1" t="n">
        <f aca="false">IF($A889="","",物件マスタ!U889)</f>
        <v>2150</v>
      </c>
      <c r="L889" s="1" t="n">
        <f aca="false">IF($A889="","",物件マスタ!W889)</f>
        <v>1</v>
      </c>
      <c r="M889" s="1" t="str">
        <f aca="false">IF($A889="","",IFERROR(INDEX(法人マスタ!$H:$H,MATCH($B889,法人マスタ!$A:$A,0)),""))</f>
        <v>2026年4月期（第42期）</v>
      </c>
      <c r="N889" s="1" t="n">
        <f aca="false">IF($A889="","",SUMIFS(物件収支!$D:$D,物件収支!$A:$A,$A889,物件収支!$C:$C,$M889))</f>
        <v>6</v>
      </c>
      <c r="O889" s="1" t="n">
        <f aca="false">IF($A889="","",SUMIFS(物件収支!$F:$F,物件収支!$A:$A,$A889,物件収支!$C:$C,$M889))</f>
        <v>42000</v>
      </c>
      <c r="P889" s="1" t="n">
        <f aca="false">IF($A889="","",SUMIFS(物件収支!$I:$I,物件収支!$A:$A,$A889,物件収支!$C:$C,$M889))</f>
        <v>0</v>
      </c>
      <c r="Q889" s="1" t="n">
        <f aca="false">IF($A889="","",SUMIFS(物件収支!$O:$O,物件収支!$A:$A,$A889,物件収支!$C:$C,$M889))</f>
        <v>0</v>
      </c>
      <c r="R889" s="1" t="str">
        <f aca="false">IF($A889="","",IF(P889=0,"",O889-P889))</f>
        <v/>
      </c>
      <c r="S889" s="1" t="str">
        <f aca="false">IF($A889="","",IF(R889="","",R889+Q889))</f>
        <v/>
      </c>
      <c r="T889" s="1" t="str">
        <f aca="false">IF($A889="","",IF(OR(S889="",N889&lt;=0),"",S889/1000*12/N889))</f>
        <v/>
      </c>
      <c r="U889" s="1" t="str">
        <f aca="false">IF($A889="","",IF(OR(T889="",J889=0,J889=""),"",T889/J889))</f>
        <v/>
      </c>
      <c r="V889" s="1" t="str">
        <f aca="false">IF($A889="","",IF(OR(R889="",N889&lt;=0,J889=0,J889=""),"",(R889/1000*12/N889)/J889))</f>
        <v/>
      </c>
      <c r="W889" s="1" t="str">
        <f aca="false">IF($A889="","",IF(OR(T889="",K889=0,K889=""),"",T889/K889))</f>
        <v/>
      </c>
      <c r="X889" s="1" t="n">
        <f aca="false">IF($A889="","",IF(OR(N889&lt;=0,I889=0,I889="",O889=0),"",O889*1000/(I889*0.3025)/N889))</f>
        <v>17041.635393237</v>
      </c>
      <c r="Y889" s="1" t="str">
        <f aca="false">IF($A889="","",IF(OR(O889=0,O889="",P889=0),"",P889/O889))</f>
        <v/>
      </c>
      <c r="Z889" s="1" t="str">
        <f aca="false">IF($A889="","",IFERROR(INDEX(物件収支!$E:$E,MATCH($A889,物件収支!$A:$A,0)),""))</f>
        <v>開示（物件別・収益のみ・百万円単位）</v>
      </c>
    </row>
    <row r="890" customFormat="false" ht="15" hidden="false" customHeight="true" outlineLevel="0" collapsed="false">
      <c r="A890" s="1" t="str">
        <f aca="false">IF(物件マスタ!A890="","",物件マスタ!A890)</f>
        <v>KDX-149</v>
      </c>
      <c r="B890" s="1" t="str">
        <f aca="false">IF($A890="","",物件マスタ!B890)</f>
        <v>KDX</v>
      </c>
      <c r="C890" s="1" t="str">
        <f aca="false">IF($A890="","",IFERROR(INDEX(法人マスタ!$C:$C,MATCH($B890,法人マスタ!$A:$A,0)),""))</f>
        <v>ＫＤＸ不動産投資法人</v>
      </c>
      <c r="D890" s="1" t="str">
        <f aca="false">IF($A890="","",物件マスタ!C890)</f>
        <v>KDXレジデンス麻布仙台坂</v>
      </c>
      <c r="E890" s="1" t="str">
        <f aca="false">IF($A890="","",物件マスタ!H890)</f>
        <v>東京経済圏（KDX区分）</v>
      </c>
      <c r="F890" s="1" t="n">
        <f aca="false">IF($A890="","",物件マスタ!P890)</f>
        <v>0</v>
      </c>
      <c r="G890" s="1" t="str">
        <f aca="false">IF($A890="","",物件マスタ!Q890)</f>
        <v/>
      </c>
      <c r="H890" s="1" t="n">
        <f aca="false">IF($A890="","",物件マスタ!L890)</f>
        <v>0</v>
      </c>
      <c r="I890" s="1" t="n">
        <f aca="false">IF($A890="","",物件マスタ!M890)</f>
        <v>878.5</v>
      </c>
      <c r="J890" s="1" t="n">
        <f aca="false">IF($A890="","",物件マスタ!S890)</f>
        <v>1330</v>
      </c>
      <c r="K890" s="1" t="n">
        <f aca="false">IF($A890="","",物件マスタ!U890)</f>
        <v>1410</v>
      </c>
      <c r="L890" s="1" t="n">
        <f aca="false">IF($A890="","",物件マスタ!W890)</f>
        <v>0.939</v>
      </c>
      <c r="M890" s="1" t="str">
        <f aca="false">IF($A890="","",IFERROR(INDEX(法人マスタ!$H:$H,MATCH($B890,法人マスタ!$A:$A,0)),""))</f>
        <v>2026年4月期（第42期）</v>
      </c>
      <c r="N890" s="1" t="n">
        <f aca="false">IF($A890="","",SUMIFS(物件収支!$D:$D,物件収支!$A:$A,$A890,物件収支!$C:$C,$M890))</f>
        <v>6</v>
      </c>
      <c r="O890" s="1" t="n">
        <f aca="false">IF($A890="","",SUMIFS(物件収支!$F:$F,物件収支!$A:$A,$A890,物件収支!$C:$C,$M890))</f>
        <v>28000</v>
      </c>
      <c r="P890" s="1" t="n">
        <f aca="false">IF($A890="","",SUMIFS(物件収支!$I:$I,物件収支!$A:$A,$A890,物件収支!$C:$C,$M890))</f>
        <v>0</v>
      </c>
      <c r="Q890" s="1" t="n">
        <f aca="false">IF($A890="","",SUMIFS(物件収支!$O:$O,物件収支!$A:$A,$A890,物件収支!$C:$C,$M890))</f>
        <v>0</v>
      </c>
      <c r="R890" s="1" t="str">
        <f aca="false">IF($A890="","",IF(P890=0,"",O890-P890))</f>
        <v/>
      </c>
      <c r="S890" s="1" t="str">
        <f aca="false">IF($A890="","",IF(R890="","",R890+Q890))</f>
        <v/>
      </c>
      <c r="T890" s="1" t="str">
        <f aca="false">IF($A890="","",IF(OR(S890="",N890&lt;=0),"",S890/1000*12/N890))</f>
        <v/>
      </c>
      <c r="U890" s="1" t="str">
        <f aca="false">IF($A890="","",IF(OR(T890="",J890=0,J890=""),"",T890/J890))</f>
        <v/>
      </c>
      <c r="V890" s="1" t="str">
        <f aca="false">IF($A890="","",IF(OR(R890="",N890&lt;=0,J890=0,J890=""),"",(R890/1000*12/N890)/J890))</f>
        <v/>
      </c>
      <c r="W890" s="1" t="str">
        <f aca="false">IF($A890="","",IF(OR(T890="",K890=0,K890=""),"",T890/K890))</f>
        <v/>
      </c>
      <c r="X890" s="1" t="n">
        <f aca="false">IF($A890="","",IF(OR(N890&lt;=0,I890=0,I890="",O890=0),"",O890*1000/(I890*0.3025)/N890))</f>
        <v>17560.6115482972</v>
      </c>
      <c r="Y890" s="1" t="str">
        <f aca="false">IF($A890="","",IF(OR(O890=0,O890="",P890=0),"",P890/O890))</f>
        <v/>
      </c>
      <c r="Z890" s="1" t="str">
        <f aca="false">IF($A890="","",IFERROR(INDEX(物件収支!$E:$E,MATCH($A890,物件収支!$A:$A,0)),""))</f>
        <v>開示（物件別・収益のみ・百万円単位）</v>
      </c>
    </row>
    <row r="891" customFormat="false" ht="15" hidden="false" customHeight="true" outlineLevel="0" collapsed="false">
      <c r="A891" s="1" t="str">
        <f aca="false">IF(物件マスタ!A891="","",物件マスタ!A891)</f>
        <v>KDX-150</v>
      </c>
      <c r="B891" s="1" t="str">
        <f aca="false">IF($A891="","",物件マスタ!B891)</f>
        <v>KDX</v>
      </c>
      <c r="C891" s="1" t="str">
        <f aca="false">IF($A891="","",IFERROR(INDEX(法人マスタ!$C:$C,MATCH($B891,法人マスタ!$A:$A,0)),""))</f>
        <v>ＫＤＸ不動産投資法人</v>
      </c>
      <c r="D891" s="1" t="str">
        <f aca="false">IF($A891="","",物件マスタ!C891)</f>
        <v>KDXレジデンス文京湯島</v>
      </c>
      <c r="E891" s="1" t="str">
        <f aca="false">IF($A891="","",物件マスタ!H891)</f>
        <v>東京経済圏（KDX区分）</v>
      </c>
      <c r="F891" s="1" t="n">
        <f aca="false">IF($A891="","",物件マスタ!P891)</f>
        <v>0</v>
      </c>
      <c r="G891" s="1" t="str">
        <f aca="false">IF($A891="","",物件マスタ!Q891)</f>
        <v/>
      </c>
      <c r="H891" s="1" t="n">
        <f aca="false">IF($A891="","",物件マスタ!L891)</f>
        <v>0</v>
      </c>
      <c r="I891" s="1" t="n">
        <f aca="false">IF($A891="","",物件マスタ!M891)</f>
        <v>939.89</v>
      </c>
      <c r="J891" s="1" t="n">
        <f aca="false">IF($A891="","",物件マスタ!S891)</f>
        <v>1090</v>
      </c>
      <c r="K891" s="1" t="n">
        <f aca="false">IF($A891="","",物件マスタ!U891)</f>
        <v>1120</v>
      </c>
      <c r="L891" s="1" t="n">
        <f aca="false">IF($A891="","",物件マスタ!W891)</f>
        <v>0.975</v>
      </c>
      <c r="M891" s="1" t="str">
        <f aca="false">IF($A891="","",IFERROR(INDEX(法人マスタ!$H:$H,MATCH($B891,法人マスタ!$A:$A,0)),""))</f>
        <v>2026年4月期（第42期）</v>
      </c>
      <c r="N891" s="1" t="n">
        <f aca="false">IF($A891="","",SUMIFS(物件収支!$D:$D,物件収支!$A:$A,$A891,物件収支!$C:$C,$M891))</f>
        <v>6</v>
      </c>
      <c r="O891" s="1" t="n">
        <f aca="false">IF($A891="","",SUMIFS(物件収支!$F:$F,物件収支!$A:$A,$A891,物件収支!$C:$C,$M891))</f>
        <v>28000</v>
      </c>
      <c r="P891" s="1" t="n">
        <f aca="false">IF($A891="","",SUMIFS(物件収支!$I:$I,物件収支!$A:$A,$A891,物件収支!$C:$C,$M891))</f>
        <v>0</v>
      </c>
      <c r="Q891" s="1" t="n">
        <f aca="false">IF($A891="","",SUMIFS(物件収支!$O:$O,物件収支!$A:$A,$A891,物件収支!$C:$C,$M891))</f>
        <v>0</v>
      </c>
      <c r="R891" s="1" t="str">
        <f aca="false">IF($A891="","",IF(P891=0,"",O891-P891))</f>
        <v/>
      </c>
      <c r="S891" s="1" t="str">
        <f aca="false">IF($A891="","",IF(R891="","",R891+Q891))</f>
        <v/>
      </c>
      <c r="T891" s="1" t="str">
        <f aca="false">IF($A891="","",IF(OR(S891="",N891&lt;=0),"",S891/1000*12/N891))</f>
        <v/>
      </c>
      <c r="U891" s="1" t="str">
        <f aca="false">IF($A891="","",IF(OR(T891="",J891=0,J891=""),"",T891/J891))</f>
        <v/>
      </c>
      <c r="V891" s="1" t="str">
        <f aca="false">IF($A891="","",IF(OR(R891="",N891&lt;=0,J891=0,J891=""),"",(R891/1000*12/N891)/J891))</f>
        <v/>
      </c>
      <c r="W891" s="1" t="str">
        <f aca="false">IF($A891="","",IF(OR(T891="",K891=0,K891=""),"",T891/K891))</f>
        <v/>
      </c>
      <c r="X891" s="1" t="n">
        <f aca="false">IF($A891="","",IF(OR(N891&lt;=0,I891=0,I891="",O891=0),"",O891*1000/(I891*0.3025)/N891))</f>
        <v>16413.6199397579</v>
      </c>
      <c r="Y891" s="1" t="str">
        <f aca="false">IF($A891="","",IF(OR(O891=0,O891="",P891=0),"",P891/O891))</f>
        <v/>
      </c>
      <c r="Z891" s="1" t="str">
        <f aca="false">IF($A891="","",IFERROR(INDEX(物件収支!$E:$E,MATCH($A891,物件収支!$A:$A,0)),""))</f>
        <v>開示（物件別・収益のみ・百万円単位）</v>
      </c>
    </row>
    <row r="892" customFormat="false" ht="15" hidden="false" customHeight="true" outlineLevel="0" collapsed="false">
      <c r="A892" s="1" t="str">
        <f aca="false">IF(物件マスタ!A892="","",物件マスタ!A892)</f>
        <v>KDX-151</v>
      </c>
      <c r="B892" s="1" t="str">
        <f aca="false">IF($A892="","",物件マスタ!B892)</f>
        <v>KDX</v>
      </c>
      <c r="C892" s="1" t="str">
        <f aca="false">IF($A892="","",IFERROR(INDEX(法人マスタ!$C:$C,MATCH($B892,法人マスタ!$A:$A,0)),""))</f>
        <v>ＫＤＸ不動産投資法人</v>
      </c>
      <c r="D892" s="1" t="str">
        <f aca="false">IF($A892="","",物件マスタ!C892)</f>
        <v>KDXレジデンス早稲田鶴巻</v>
      </c>
      <c r="E892" s="1" t="str">
        <f aca="false">IF($A892="","",物件マスタ!H892)</f>
        <v>東京経済圏（KDX区分）</v>
      </c>
      <c r="F892" s="1" t="n">
        <f aca="false">IF($A892="","",物件マスタ!P892)</f>
        <v>0</v>
      </c>
      <c r="G892" s="1" t="str">
        <f aca="false">IF($A892="","",物件マスタ!Q892)</f>
        <v/>
      </c>
      <c r="H892" s="1" t="n">
        <f aca="false">IF($A892="","",物件マスタ!L892)</f>
        <v>0</v>
      </c>
      <c r="I892" s="1" t="n">
        <f aca="false">IF($A892="","",物件マスタ!M892)</f>
        <v>808.54</v>
      </c>
      <c r="J892" s="1" t="n">
        <f aca="false">IF($A892="","",物件マスタ!S892)</f>
        <v>967</v>
      </c>
      <c r="K892" s="1" t="n">
        <f aca="false">IF($A892="","",物件マスタ!U892)</f>
        <v>1040</v>
      </c>
      <c r="L892" s="1" t="n">
        <f aca="false">IF($A892="","",物件マスタ!W892)</f>
        <v>0.928</v>
      </c>
      <c r="M892" s="1" t="str">
        <f aca="false">IF($A892="","",IFERROR(INDEX(法人マスタ!$H:$H,MATCH($B892,法人マスタ!$A:$A,0)),""))</f>
        <v>2026年4月期（第42期）</v>
      </c>
      <c r="N892" s="1" t="n">
        <f aca="false">IF($A892="","",SUMIFS(物件収支!$D:$D,物件収支!$A:$A,$A892,物件収支!$C:$C,$M892))</f>
        <v>6</v>
      </c>
      <c r="O892" s="1" t="n">
        <f aca="false">IF($A892="","",SUMIFS(物件収支!$F:$F,物件収支!$A:$A,$A892,物件収支!$C:$C,$M892))</f>
        <v>24000</v>
      </c>
      <c r="P892" s="1" t="n">
        <f aca="false">IF($A892="","",SUMIFS(物件収支!$I:$I,物件収支!$A:$A,$A892,物件収支!$C:$C,$M892))</f>
        <v>0</v>
      </c>
      <c r="Q892" s="1" t="n">
        <f aca="false">IF($A892="","",SUMIFS(物件収支!$O:$O,物件収支!$A:$A,$A892,物件収支!$C:$C,$M892))</f>
        <v>0</v>
      </c>
      <c r="R892" s="1" t="str">
        <f aca="false">IF($A892="","",IF(P892=0,"",O892-P892))</f>
        <v/>
      </c>
      <c r="S892" s="1" t="str">
        <f aca="false">IF($A892="","",IF(R892="","",R892+Q892))</f>
        <v/>
      </c>
      <c r="T892" s="1" t="str">
        <f aca="false">IF($A892="","",IF(OR(S892="",N892&lt;=0),"",S892/1000*12/N892))</f>
        <v/>
      </c>
      <c r="U892" s="1" t="str">
        <f aca="false">IF($A892="","",IF(OR(T892="",J892=0,J892=""),"",T892/J892))</f>
        <v/>
      </c>
      <c r="V892" s="1" t="str">
        <f aca="false">IF($A892="","",IF(OR(R892="",N892&lt;=0,J892=0,J892=""),"",(R892/1000*12/N892)/J892))</f>
        <v/>
      </c>
      <c r="W892" s="1" t="str">
        <f aca="false">IF($A892="","",IF(OR(T892="",K892=0,K892=""),"",T892/K892))</f>
        <v/>
      </c>
      <c r="X892" s="1" t="n">
        <f aca="false">IF($A892="","",IF(OR(N892&lt;=0,I892=0,I892="",O892=0),"",O892*1000/(I892*0.3025)/N892))</f>
        <v>16354.3430082219</v>
      </c>
      <c r="Y892" s="1" t="str">
        <f aca="false">IF($A892="","",IF(OR(O892=0,O892="",P892=0),"",P892/O892))</f>
        <v/>
      </c>
      <c r="Z892" s="1" t="str">
        <f aca="false">IF($A892="","",IFERROR(INDEX(物件収支!$E:$E,MATCH($A892,物件収支!$A:$A,0)),""))</f>
        <v>開示（物件別・収益のみ・百万円単位）</v>
      </c>
    </row>
    <row r="893" customFormat="false" ht="15" hidden="false" customHeight="true" outlineLevel="0" collapsed="false">
      <c r="A893" s="1" t="str">
        <f aca="false">IF(物件マスタ!A893="","",物件マスタ!A893)</f>
        <v>KDX-152</v>
      </c>
      <c r="B893" s="1" t="str">
        <f aca="false">IF($A893="","",物件マスタ!B893)</f>
        <v>KDX</v>
      </c>
      <c r="C893" s="1" t="str">
        <f aca="false">IF($A893="","",IFERROR(INDEX(法人マスタ!$C:$C,MATCH($B893,法人マスタ!$A:$A,0)),""))</f>
        <v>ＫＤＸ不動産投資法人</v>
      </c>
      <c r="D893" s="1" t="str">
        <f aca="false">IF($A893="","",物件マスタ!C893)</f>
        <v>KDXレジデンス上石神井</v>
      </c>
      <c r="E893" s="1" t="str">
        <f aca="false">IF($A893="","",物件マスタ!H893)</f>
        <v>東京経済圏（KDX区分）</v>
      </c>
      <c r="F893" s="1" t="n">
        <f aca="false">IF($A893="","",物件マスタ!P893)</f>
        <v>0</v>
      </c>
      <c r="G893" s="1" t="str">
        <f aca="false">IF($A893="","",物件マスタ!Q893)</f>
        <v/>
      </c>
      <c r="H893" s="1" t="n">
        <f aca="false">IF($A893="","",物件マスタ!L893)</f>
        <v>0</v>
      </c>
      <c r="I893" s="1" t="n">
        <f aca="false">IF($A893="","",物件マスタ!M893)</f>
        <v>1032.18</v>
      </c>
      <c r="J893" s="1" t="n">
        <f aca="false">IF($A893="","",物件マスタ!S893)</f>
        <v>938</v>
      </c>
      <c r="K893" s="1" t="n">
        <f aca="false">IF($A893="","",物件マスタ!U893)</f>
        <v>952</v>
      </c>
      <c r="L893" s="1" t="n">
        <f aca="false">IF($A893="","",物件マスタ!W893)</f>
        <v>0.977</v>
      </c>
      <c r="M893" s="1" t="str">
        <f aca="false">IF($A893="","",IFERROR(INDEX(法人マスタ!$H:$H,MATCH($B893,法人マスタ!$A:$A,0)),""))</f>
        <v>2026年4月期（第42期）</v>
      </c>
      <c r="N893" s="1" t="n">
        <f aca="false">IF($A893="","",SUMIFS(物件収支!$D:$D,物件収支!$A:$A,$A893,物件収支!$C:$C,$M893))</f>
        <v>6</v>
      </c>
      <c r="O893" s="1" t="n">
        <f aca="false">IF($A893="","",SUMIFS(物件収支!$F:$F,物件収支!$A:$A,$A893,物件収支!$C:$C,$M893))</f>
        <v>25000</v>
      </c>
      <c r="P893" s="1" t="n">
        <f aca="false">IF($A893="","",SUMIFS(物件収支!$I:$I,物件収支!$A:$A,$A893,物件収支!$C:$C,$M893))</f>
        <v>0</v>
      </c>
      <c r="Q893" s="1" t="n">
        <f aca="false">IF($A893="","",SUMIFS(物件収支!$O:$O,物件収支!$A:$A,$A893,物件収支!$C:$C,$M893))</f>
        <v>0</v>
      </c>
      <c r="R893" s="1" t="str">
        <f aca="false">IF($A893="","",IF(P893=0,"",O893-P893))</f>
        <v/>
      </c>
      <c r="S893" s="1" t="str">
        <f aca="false">IF($A893="","",IF(R893="","",R893+Q893))</f>
        <v/>
      </c>
      <c r="T893" s="1" t="str">
        <f aca="false">IF($A893="","",IF(OR(S893="",N893&lt;=0),"",S893/1000*12/N893))</f>
        <v/>
      </c>
      <c r="U893" s="1" t="str">
        <f aca="false">IF($A893="","",IF(OR(T893="",J893=0,J893=""),"",T893/J893))</f>
        <v/>
      </c>
      <c r="V893" s="1" t="str">
        <f aca="false">IF($A893="","",IF(OR(R893="",N893&lt;=0,J893=0,J893=""),"",(R893/1000*12/N893)/J893))</f>
        <v/>
      </c>
      <c r="W893" s="1" t="str">
        <f aca="false">IF($A893="","",IF(OR(T893="",K893=0,K893=""),"",T893/K893))</f>
        <v/>
      </c>
      <c r="X893" s="1" t="n">
        <f aca="false">IF($A893="","",IF(OR(N893&lt;=0,I893=0,I893="",O893=0),"",O893*1000/(I893*0.3025)/N893))</f>
        <v>13344.6731027491</v>
      </c>
      <c r="Y893" s="1" t="str">
        <f aca="false">IF($A893="","",IF(OR(O893=0,O893="",P893=0),"",P893/O893))</f>
        <v/>
      </c>
      <c r="Z893" s="1" t="str">
        <f aca="false">IF($A893="","",IFERROR(INDEX(物件収支!$E:$E,MATCH($A893,物件収支!$A:$A,0)),""))</f>
        <v>開示（物件別・収益のみ・百万円単位）</v>
      </c>
    </row>
    <row r="894" customFormat="false" ht="15" hidden="false" customHeight="true" outlineLevel="0" collapsed="false">
      <c r="A894" s="1" t="str">
        <f aca="false">IF(物件マスタ!A894="","",物件マスタ!A894)</f>
        <v>KDX-153</v>
      </c>
      <c r="B894" s="1" t="str">
        <f aca="false">IF($A894="","",物件マスタ!B894)</f>
        <v>KDX</v>
      </c>
      <c r="C894" s="1" t="str">
        <f aca="false">IF($A894="","",IFERROR(INDEX(法人マスタ!$C:$C,MATCH($B894,法人マスタ!$A:$A,0)),""))</f>
        <v>ＫＤＸ不動産投資法人</v>
      </c>
      <c r="D894" s="1" t="str">
        <f aca="false">IF($A894="","",物件マスタ!C894)</f>
        <v>KDXレジデンス西馬込</v>
      </c>
      <c r="E894" s="1" t="str">
        <f aca="false">IF($A894="","",物件マスタ!H894)</f>
        <v>東京経済圏（KDX区分）</v>
      </c>
      <c r="F894" s="1" t="n">
        <f aca="false">IF($A894="","",物件マスタ!P894)</f>
        <v>0</v>
      </c>
      <c r="G894" s="1" t="str">
        <f aca="false">IF($A894="","",物件マスタ!Q894)</f>
        <v/>
      </c>
      <c r="H894" s="1" t="n">
        <f aca="false">IF($A894="","",物件マスタ!L894)</f>
        <v>0</v>
      </c>
      <c r="I894" s="1" t="n">
        <f aca="false">IF($A894="","",物件マスタ!M894)</f>
        <v>1297.27</v>
      </c>
      <c r="J894" s="1" t="n">
        <f aca="false">IF($A894="","",物件マスタ!S894)</f>
        <v>1440</v>
      </c>
      <c r="K894" s="1" t="n">
        <f aca="false">IF($A894="","",物件マスタ!U894)</f>
        <v>1540</v>
      </c>
      <c r="L894" s="1" t="n">
        <f aca="false">IF($A894="","",物件マスタ!W894)</f>
        <v>0.942</v>
      </c>
      <c r="M894" s="1" t="str">
        <f aca="false">IF($A894="","",IFERROR(INDEX(法人マスタ!$H:$H,MATCH($B894,法人マスタ!$A:$A,0)),""))</f>
        <v>2026年4月期（第42期）</v>
      </c>
      <c r="N894" s="1" t="n">
        <f aca="false">IF($A894="","",SUMIFS(物件収支!$D:$D,物件収支!$A:$A,$A894,物件収支!$C:$C,$M894))</f>
        <v>6</v>
      </c>
      <c r="O894" s="1" t="n">
        <f aca="false">IF($A894="","",SUMIFS(物件収支!$F:$F,物件収支!$A:$A,$A894,物件収支!$C:$C,$M894))</f>
        <v>33000</v>
      </c>
      <c r="P894" s="1" t="n">
        <f aca="false">IF($A894="","",SUMIFS(物件収支!$I:$I,物件収支!$A:$A,$A894,物件収支!$C:$C,$M894))</f>
        <v>0</v>
      </c>
      <c r="Q894" s="1" t="n">
        <f aca="false">IF($A894="","",SUMIFS(物件収支!$O:$O,物件収支!$A:$A,$A894,物件収支!$C:$C,$M894))</f>
        <v>0</v>
      </c>
      <c r="R894" s="1" t="str">
        <f aca="false">IF($A894="","",IF(P894=0,"",O894-P894))</f>
        <v/>
      </c>
      <c r="S894" s="1" t="str">
        <f aca="false">IF($A894="","",IF(R894="","",R894+Q894))</f>
        <v/>
      </c>
      <c r="T894" s="1" t="str">
        <f aca="false">IF($A894="","",IF(OR(S894="",N894&lt;=0),"",S894/1000*12/N894))</f>
        <v/>
      </c>
      <c r="U894" s="1" t="str">
        <f aca="false">IF($A894="","",IF(OR(T894="",J894=0,J894=""),"",T894/J894))</f>
        <v/>
      </c>
      <c r="V894" s="1" t="str">
        <f aca="false">IF($A894="","",IF(OR(R894="",N894&lt;=0,J894=0,J894=""),"",(R894/1000*12/N894)/J894))</f>
        <v/>
      </c>
      <c r="W894" s="1" t="str">
        <f aca="false">IF($A894="","",IF(OR(T894="",K894=0,K894=""),"",T894/K894))</f>
        <v/>
      </c>
      <c r="X894" s="1" t="n">
        <f aca="false">IF($A894="","",IF(OR(N894&lt;=0,I894=0,I894="",O894=0),"",O894*1000/(I894*0.3025)/N894))</f>
        <v>14015.4464235033</v>
      </c>
      <c r="Y894" s="1" t="str">
        <f aca="false">IF($A894="","",IF(OR(O894=0,O894="",P894=0),"",P894/O894))</f>
        <v/>
      </c>
      <c r="Z894" s="1" t="str">
        <f aca="false">IF($A894="","",IFERROR(INDEX(物件収支!$E:$E,MATCH($A894,物件収支!$A:$A,0)),""))</f>
        <v>開示（物件別・収益のみ・百万円単位）</v>
      </c>
    </row>
    <row r="895" customFormat="false" ht="15" hidden="false" customHeight="true" outlineLevel="0" collapsed="false">
      <c r="A895" s="1" t="str">
        <f aca="false">IF(物件マスタ!A895="","",物件マスタ!A895)</f>
        <v>KDX-154</v>
      </c>
      <c r="B895" s="1" t="str">
        <f aca="false">IF($A895="","",物件マスタ!B895)</f>
        <v>KDX</v>
      </c>
      <c r="C895" s="1" t="str">
        <f aca="false">IF($A895="","",IFERROR(INDEX(法人マスタ!$C:$C,MATCH($B895,法人マスタ!$A:$A,0)),""))</f>
        <v>ＫＤＸ不動産投資法人</v>
      </c>
      <c r="D895" s="1" t="str">
        <f aca="false">IF($A895="","",物件マスタ!C895)</f>
        <v>KDXレジデンス両国</v>
      </c>
      <c r="E895" s="1" t="str">
        <f aca="false">IF($A895="","",物件マスタ!H895)</f>
        <v>東京経済圏（KDX区分）</v>
      </c>
      <c r="F895" s="1" t="n">
        <f aca="false">IF($A895="","",物件マスタ!P895)</f>
        <v>0</v>
      </c>
      <c r="G895" s="1" t="str">
        <f aca="false">IF($A895="","",物件マスタ!Q895)</f>
        <v/>
      </c>
      <c r="H895" s="1" t="n">
        <f aca="false">IF($A895="","",物件マスタ!L895)</f>
        <v>0</v>
      </c>
      <c r="I895" s="1" t="n">
        <f aca="false">IF($A895="","",物件マスタ!M895)</f>
        <v>1190.53</v>
      </c>
      <c r="J895" s="1" t="n">
        <f aca="false">IF($A895="","",物件マスタ!S895)</f>
        <v>1440</v>
      </c>
      <c r="K895" s="1" t="n">
        <f aca="false">IF($A895="","",物件マスタ!U895)</f>
        <v>1500</v>
      </c>
      <c r="L895" s="1" t="n">
        <f aca="false">IF($A895="","",物件マスタ!W895)</f>
        <v>1</v>
      </c>
      <c r="M895" s="1" t="str">
        <f aca="false">IF($A895="","",IFERROR(INDEX(法人マスタ!$H:$H,MATCH($B895,法人マスタ!$A:$A,0)),""))</f>
        <v>2026年4月期（第42期）</v>
      </c>
      <c r="N895" s="1" t="n">
        <f aca="false">IF($A895="","",SUMIFS(物件収支!$D:$D,物件収支!$A:$A,$A895,物件収支!$C:$C,$M895))</f>
        <v>6</v>
      </c>
      <c r="O895" s="1" t="n">
        <f aca="false">IF($A895="","",SUMIFS(物件収支!$F:$F,物件収支!$A:$A,$A895,物件収支!$C:$C,$M895))</f>
        <v>32000</v>
      </c>
      <c r="P895" s="1" t="n">
        <f aca="false">IF($A895="","",SUMIFS(物件収支!$I:$I,物件収支!$A:$A,$A895,物件収支!$C:$C,$M895))</f>
        <v>0</v>
      </c>
      <c r="Q895" s="1" t="n">
        <f aca="false">IF($A895="","",SUMIFS(物件収支!$O:$O,物件収支!$A:$A,$A895,物件収支!$C:$C,$M895))</f>
        <v>0</v>
      </c>
      <c r="R895" s="1" t="str">
        <f aca="false">IF($A895="","",IF(P895=0,"",O895-P895))</f>
        <v/>
      </c>
      <c r="S895" s="1" t="str">
        <f aca="false">IF($A895="","",IF(R895="","",R895+Q895))</f>
        <v/>
      </c>
      <c r="T895" s="1" t="str">
        <f aca="false">IF($A895="","",IF(OR(S895="",N895&lt;=0),"",S895/1000*12/N895))</f>
        <v/>
      </c>
      <c r="U895" s="1" t="str">
        <f aca="false">IF($A895="","",IF(OR(T895="",J895=0,J895=""),"",T895/J895))</f>
        <v/>
      </c>
      <c r="V895" s="1" t="str">
        <f aca="false">IF($A895="","",IF(OR(R895="",N895&lt;=0,J895=0,J895=""),"",(R895/1000*12/N895)/J895))</f>
        <v/>
      </c>
      <c r="W895" s="1" t="str">
        <f aca="false">IF($A895="","",IF(OR(T895="",K895=0,K895=""),"",T895/K895))</f>
        <v/>
      </c>
      <c r="X895" s="1" t="n">
        <f aca="false">IF($A895="","",IF(OR(N895&lt;=0,I895=0,I895="",O895=0),"",O895*1000/(I895*0.3025)/N895))</f>
        <v>14809.2479773633</v>
      </c>
      <c r="Y895" s="1" t="str">
        <f aca="false">IF($A895="","",IF(OR(O895=0,O895="",P895=0),"",P895/O895))</f>
        <v/>
      </c>
      <c r="Z895" s="1" t="str">
        <f aca="false">IF($A895="","",IFERROR(INDEX(物件収支!$E:$E,MATCH($A895,物件収支!$A:$A,0)),""))</f>
        <v>開示（物件別・収益のみ・百万円単位）</v>
      </c>
    </row>
    <row r="896" customFormat="false" ht="15" hidden="false" customHeight="true" outlineLevel="0" collapsed="false">
      <c r="A896" s="1" t="str">
        <f aca="false">IF(物件マスタ!A896="","",物件マスタ!A896)</f>
        <v>KDX-155</v>
      </c>
      <c r="B896" s="1" t="str">
        <f aca="false">IF($A896="","",物件マスタ!B896)</f>
        <v>KDX</v>
      </c>
      <c r="C896" s="1" t="str">
        <f aca="false">IF($A896="","",IFERROR(INDEX(法人マスタ!$C:$C,MATCH($B896,法人マスタ!$A:$A,0)),""))</f>
        <v>ＫＤＸ不動産投資法人</v>
      </c>
      <c r="D896" s="1" t="str">
        <f aca="false">IF($A896="","",物件マスタ!C896)</f>
        <v>KDXレジデンス桜上水</v>
      </c>
      <c r="E896" s="1" t="str">
        <f aca="false">IF($A896="","",物件マスタ!H896)</f>
        <v>東京経済圏（KDX区分）</v>
      </c>
      <c r="F896" s="1" t="n">
        <f aca="false">IF($A896="","",物件マスタ!P896)</f>
        <v>0</v>
      </c>
      <c r="G896" s="1" t="str">
        <f aca="false">IF($A896="","",物件マスタ!Q896)</f>
        <v/>
      </c>
      <c r="H896" s="1" t="n">
        <f aca="false">IF($A896="","",物件マスタ!L896)</f>
        <v>0</v>
      </c>
      <c r="I896" s="1" t="n">
        <f aca="false">IF($A896="","",物件マスタ!M896)</f>
        <v>1227.16</v>
      </c>
      <c r="J896" s="1" t="n">
        <f aca="false">IF($A896="","",物件マスタ!S896)</f>
        <v>1340</v>
      </c>
      <c r="K896" s="1" t="n">
        <f aca="false">IF($A896="","",物件マスタ!U896)</f>
        <v>1440</v>
      </c>
      <c r="L896" s="1" t="n">
        <f aca="false">IF($A896="","",物件マスタ!W896)</f>
        <v>0.979</v>
      </c>
      <c r="M896" s="1" t="str">
        <f aca="false">IF($A896="","",IFERROR(INDEX(法人マスタ!$H:$H,MATCH($B896,法人マスタ!$A:$A,0)),""))</f>
        <v>2026年4月期（第42期）</v>
      </c>
      <c r="N896" s="1" t="n">
        <f aca="false">IF($A896="","",SUMIFS(物件収支!$D:$D,物件収支!$A:$A,$A896,物件収支!$C:$C,$M896))</f>
        <v>6</v>
      </c>
      <c r="O896" s="1" t="n">
        <f aca="false">IF($A896="","",SUMIFS(物件収支!$F:$F,物件収支!$A:$A,$A896,物件収支!$C:$C,$M896))</f>
        <v>31000</v>
      </c>
      <c r="P896" s="1" t="n">
        <f aca="false">IF($A896="","",SUMIFS(物件収支!$I:$I,物件収支!$A:$A,$A896,物件収支!$C:$C,$M896))</f>
        <v>0</v>
      </c>
      <c r="Q896" s="1" t="n">
        <f aca="false">IF($A896="","",SUMIFS(物件収支!$O:$O,物件収支!$A:$A,$A896,物件収支!$C:$C,$M896))</f>
        <v>0</v>
      </c>
      <c r="R896" s="1" t="str">
        <f aca="false">IF($A896="","",IF(P896=0,"",O896-P896))</f>
        <v/>
      </c>
      <c r="S896" s="1" t="str">
        <f aca="false">IF($A896="","",IF(R896="","",R896+Q896))</f>
        <v/>
      </c>
      <c r="T896" s="1" t="str">
        <f aca="false">IF($A896="","",IF(OR(S896="",N896&lt;=0),"",S896/1000*12/N896))</f>
        <v/>
      </c>
      <c r="U896" s="1" t="str">
        <f aca="false">IF($A896="","",IF(OR(T896="",J896=0,J896=""),"",T896/J896))</f>
        <v/>
      </c>
      <c r="V896" s="1" t="str">
        <f aca="false">IF($A896="","",IF(OR(R896="",N896&lt;=0,J896=0,J896=""),"",(R896/1000*12/N896)/J896))</f>
        <v/>
      </c>
      <c r="W896" s="1" t="str">
        <f aca="false">IF($A896="","",IF(OR(T896="",K896=0,K896=""),"",T896/K896))</f>
        <v/>
      </c>
      <c r="X896" s="1" t="n">
        <f aca="false">IF($A896="","",IF(OR(N896&lt;=0,I896=0,I896="",O896=0),"",O896*1000/(I896*0.3025)/N896))</f>
        <v>13918.2256650824</v>
      </c>
      <c r="Y896" s="1" t="str">
        <f aca="false">IF($A896="","",IF(OR(O896=0,O896="",P896=0),"",P896/O896))</f>
        <v/>
      </c>
      <c r="Z896" s="1" t="str">
        <f aca="false">IF($A896="","",IFERROR(INDEX(物件収支!$E:$E,MATCH($A896,物件収支!$A:$A,0)),""))</f>
        <v>開示（物件別・収益のみ・百万円単位）</v>
      </c>
    </row>
    <row r="897" customFormat="false" ht="15" hidden="false" customHeight="true" outlineLevel="0" collapsed="false">
      <c r="A897" s="1" t="str">
        <f aca="false">IF(物件マスタ!A897="","",物件マスタ!A897)</f>
        <v>KDX-156</v>
      </c>
      <c r="B897" s="1" t="str">
        <f aca="false">IF($A897="","",物件マスタ!B897)</f>
        <v>KDX</v>
      </c>
      <c r="C897" s="1" t="str">
        <f aca="false">IF($A897="","",IFERROR(INDEX(法人マスタ!$C:$C,MATCH($B897,法人マスタ!$A:$A,0)),""))</f>
        <v>ＫＤＸ不動産投資法人</v>
      </c>
      <c r="D897" s="1" t="str">
        <f aca="false">IF($A897="","",物件マスタ!C897)</f>
        <v>KDXレジデンス新大塚</v>
      </c>
      <c r="E897" s="1" t="str">
        <f aca="false">IF($A897="","",物件マスタ!H897)</f>
        <v>東京経済圏（KDX区分）</v>
      </c>
      <c r="F897" s="1" t="n">
        <f aca="false">IF($A897="","",物件マスタ!P897)</f>
        <v>0</v>
      </c>
      <c r="G897" s="1" t="str">
        <f aca="false">IF($A897="","",物件マスタ!Q897)</f>
        <v/>
      </c>
      <c r="H897" s="1" t="n">
        <f aca="false">IF($A897="","",物件マスタ!L897)</f>
        <v>0</v>
      </c>
      <c r="I897" s="1" t="n">
        <f aca="false">IF($A897="","",物件マスタ!M897)</f>
        <v>872</v>
      </c>
      <c r="J897" s="1" t="n">
        <f aca="false">IF($A897="","",物件マスタ!S897)</f>
        <v>1220</v>
      </c>
      <c r="K897" s="1" t="n">
        <f aca="false">IF($A897="","",物件マスタ!U897)</f>
        <v>1250</v>
      </c>
      <c r="L897" s="1" t="n">
        <f aca="false">IF($A897="","",物件マスタ!W897)</f>
        <v>1</v>
      </c>
      <c r="M897" s="1" t="str">
        <f aca="false">IF($A897="","",IFERROR(INDEX(法人マスタ!$H:$H,MATCH($B897,法人マスタ!$A:$A,0)),""))</f>
        <v>2026年4月期（第42期）</v>
      </c>
      <c r="N897" s="1" t="n">
        <f aca="false">IF($A897="","",SUMIFS(物件収支!$D:$D,物件収支!$A:$A,$A897,物件収支!$C:$C,$M897))</f>
        <v>6</v>
      </c>
      <c r="O897" s="1" t="n">
        <f aca="false">IF($A897="","",SUMIFS(物件収支!$F:$F,物件収支!$A:$A,$A897,物件収支!$C:$C,$M897))</f>
        <v>26000</v>
      </c>
      <c r="P897" s="1" t="n">
        <f aca="false">IF($A897="","",SUMIFS(物件収支!$I:$I,物件収支!$A:$A,$A897,物件収支!$C:$C,$M897))</f>
        <v>0</v>
      </c>
      <c r="Q897" s="1" t="n">
        <f aca="false">IF($A897="","",SUMIFS(物件収支!$O:$O,物件収支!$A:$A,$A897,物件収支!$C:$C,$M897))</f>
        <v>0</v>
      </c>
      <c r="R897" s="1" t="str">
        <f aca="false">IF($A897="","",IF(P897=0,"",O897-P897))</f>
        <v/>
      </c>
      <c r="S897" s="1" t="str">
        <f aca="false">IF($A897="","",IF(R897="","",R897+Q897))</f>
        <v/>
      </c>
      <c r="T897" s="1" t="str">
        <f aca="false">IF($A897="","",IF(OR(S897="",N897&lt;=0),"",S897/1000*12/N897))</f>
        <v/>
      </c>
      <c r="U897" s="1" t="str">
        <f aca="false">IF($A897="","",IF(OR(T897="",J897=0,J897=""),"",T897/J897))</f>
        <v/>
      </c>
      <c r="V897" s="1" t="str">
        <f aca="false">IF($A897="","",IF(OR(R897="",N897&lt;=0,J897=0,J897=""),"",(R897/1000*12/N897)/J897))</f>
        <v/>
      </c>
      <c r="W897" s="1" t="str">
        <f aca="false">IF($A897="","",IF(OR(T897="",K897=0,K897=""),"",T897/K897))</f>
        <v/>
      </c>
      <c r="X897" s="1" t="n">
        <f aca="false">IF($A897="","",IF(OR(N897&lt;=0,I897=0,I897="",O897=0),"",O897*1000/(I897*0.3025)/N897))</f>
        <v>16427.831273536</v>
      </c>
      <c r="Y897" s="1" t="str">
        <f aca="false">IF($A897="","",IF(OR(O897=0,O897="",P897=0),"",P897/O897))</f>
        <v/>
      </c>
      <c r="Z897" s="1" t="str">
        <f aca="false">IF($A897="","",IFERROR(INDEX(物件収支!$E:$E,MATCH($A897,物件収支!$A:$A,0)),""))</f>
        <v>開示（物件別・収益のみ・百万円単位）</v>
      </c>
    </row>
    <row r="898" customFormat="false" ht="15" hidden="false" customHeight="true" outlineLevel="0" collapsed="false">
      <c r="A898" s="1" t="str">
        <f aca="false">IF(物件マスタ!A898="","",物件マスタ!A898)</f>
        <v>KDX-157</v>
      </c>
      <c r="B898" s="1" t="str">
        <f aca="false">IF($A898="","",物件マスタ!B898)</f>
        <v>KDX</v>
      </c>
      <c r="C898" s="1" t="str">
        <f aca="false">IF($A898="","",IFERROR(INDEX(法人マスタ!$C:$C,MATCH($B898,法人マスタ!$A:$A,0)),""))</f>
        <v>ＫＤＸ不動産投資法人</v>
      </c>
      <c r="D898" s="1" t="str">
        <f aca="false">IF($A898="","",物件マスタ!C898)</f>
        <v>KDXレジデンス豊洲</v>
      </c>
      <c r="E898" s="1" t="str">
        <f aca="false">IF($A898="","",物件マスタ!H898)</f>
        <v>東京経済圏（KDX区分）</v>
      </c>
      <c r="F898" s="1" t="n">
        <f aca="false">IF($A898="","",物件マスタ!P898)</f>
        <v>0</v>
      </c>
      <c r="G898" s="1" t="str">
        <f aca="false">IF($A898="","",物件マスタ!Q898)</f>
        <v/>
      </c>
      <c r="H898" s="1" t="n">
        <f aca="false">IF($A898="","",物件マスタ!L898)</f>
        <v>0</v>
      </c>
      <c r="I898" s="1" t="n">
        <f aca="false">IF($A898="","",物件マスタ!M898)</f>
        <v>6811.38</v>
      </c>
      <c r="J898" s="1" t="n">
        <f aca="false">IF($A898="","",物件マスタ!S898)</f>
        <v>8070</v>
      </c>
      <c r="K898" s="1" t="n">
        <f aca="false">IF($A898="","",物件マスタ!U898)</f>
        <v>8580</v>
      </c>
      <c r="L898" s="1" t="n">
        <f aca="false">IF($A898="","",物件マスタ!W898)</f>
        <v>1</v>
      </c>
      <c r="M898" s="1" t="str">
        <f aca="false">IF($A898="","",IFERROR(INDEX(法人マスタ!$H:$H,MATCH($B898,法人マスタ!$A:$A,0)),""))</f>
        <v>2026年4月期（第42期）</v>
      </c>
      <c r="N898" s="1" t="n">
        <f aca="false">IF($A898="","",SUMIFS(物件収支!$D:$D,物件収支!$A:$A,$A898,物件収支!$C:$C,$M898))</f>
        <v>6</v>
      </c>
      <c r="O898" s="1" t="n">
        <f aca="false">IF($A898="","",SUMIFS(物件収支!$F:$F,物件収支!$A:$A,$A898,物件収支!$C:$C,$M898))</f>
        <v>180000</v>
      </c>
      <c r="P898" s="1" t="n">
        <f aca="false">IF($A898="","",SUMIFS(物件収支!$I:$I,物件収支!$A:$A,$A898,物件収支!$C:$C,$M898))</f>
        <v>0</v>
      </c>
      <c r="Q898" s="1" t="n">
        <f aca="false">IF($A898="","",SUMIFS(物件収支!$O:$O,物件収支!$A:$A,$A898,物件収支!$C:$C,$M898))</f>
        <v>0</v>
      </c>
      <c r="R898" s="1" t="str">
        <f aca="false">IF($A898="","",IF(P898=0,"",O898-P898))</f>
        <v/>
      </c>
      <c r="S898" s="1" t="str">
        <f aca="false">IF($A898="","",IF(R898="","",R898+Q898))</f>
        <v/>
      </c>
      <c r="T898" s="1" t="str">
        <f aca="false">IF($A898="","",IF(OR(S898="",N898&lt;=0),"",S898/1000*12/N898))</f>
        <v/>
      </c>
      <c r="U898" s="1" t="str">
        <f aca="false">IF($A898="","",IF(OR(T898="",J898=0,J898=""),"",T898/J898))</f>
        <v/>
      </c>
      <c r="V898" s="1" t="str">
        <f aca="false">IF($A898="","",IF(OR(R898="",N898&lt;=0,J898=0,J898=""),"",(R898/1000*12/N898)/J898))</f>
        <v/>
      </c>
      <c r="W898" s="1" t="str">
        <f aca="false">IF($A898="","",IF(OR(T898="",K898=0,K898=""),"",T898/K898))</f>
        <v/>
      </c>
      <c r="X898" s="1" t="n">
        <f aca="false">IF($A898="","",IF(OR(N898&lt;=0,I898=0,I898="",O898=0),"",O898*1000/(I898*0.3025)/N898))</f>
        <v>14559.9795810846</v>
      </c>
      <c r="Y898" s="1" t="str">
        <f aca="false">IF($A898="","",IF(OR(O898=0,O898="",P898=0),"",P898/O898))</f>
        <v/>
      </c>
      <c r="Z898" s="1" t="str">
        <f aca="false">IF($A898="","",IFERROR(INDEX(物件収支!$E:$E,MATCH($A898,物件収支!$A:$A,0)),""))</f>
        <v>開示（物件別・収益のみ・百万円単位）</v>
      </c>
    </row>
    <row r="899" customFormat="false" ht="15" hidden="false" customHeight="true" outlineLevel="0" collapsed="false">
      <c r="A899" s="1" t="str">
        <f aca="false">IF(物件マスタ!A899="","",物件マスタ!A899)</f>
        <v>KDX-158</v>
      </c>
      <c r="B899" s="1" t="str">
        <f aca="false">IF($A899="","",物件マスタ!B899)</f>
        <v>KDX</v>
      </c>
      <c r="C899" s="1" t="str">
        <f aca="false">IF($A899="","",IFERROR(INDEX(法人マスタ!$C:$C,MATCH($B899,法人マスタ!$A:$A,0)),""))</f>
        <v>ＫＤＸ不動産投資法人</v>
      </c>
      <c r="D899" s="1" t="str">
        <f aca="false">IF($A899="","",物件マスタ!C899)</f>
        <v>KDXレジデンス日吉</v>
      </c>
      <c r="E899" s="1" t="str">
        <f aca="false">IF($A899="","",物件マスタ!H899)</f>
        <v>東京経済圏（KDX区分）</v>
      </c>
      <c r="F899" s="1" t="n">
        <f aca="false">IF($A899="","",物件マスタ!P899)</f>
        <v>0</v>
      </c>
      <c r="G899" s="1" t="str">
        <f aca="false">IF($A899="","",物件マスタ!Q899)</f>
        <v/>
      </c>
      <c r="H899" s="1" t="n">
        <f aca="false">IF($A899="","",物件マスタ!L899)</f>
        <v>0</v>
      </c>
      <c r="I899" s="1" t="n">
        <f aca="false">IF($A899="","",物件マスタ!M899)</f>
        <v>6131.93</v>
      </c>
      <c r="J899" s="1" t="n">
        <f aca="false">IF($A899="","",物件マスタ!S899)</f>
        <v>3040</v>
      </c>
      <c r="K899" s="1" t="n">
        <f aca="false">IF($A899="","",物件マスタ!U899)</f>
        <v>3100</v>
      </c>
      <c r="L899" s="1" t="n">
        <f aca="false">IF($A899="","",物件マスタ!W899)</f>
        <v>0.959</v>
      </c>
      <c r="M899" s="1" t="str">
        <f aca="false">IF($A899="","",IFERROR(INDEX(法人マスタ!$H:$H,MATCH($B899,法人マスタ!$A:$A,0)),""))</f>
        <v>2026年4月期（第42期）</v>
      </c>
      <c r="N899" s="1" t="n">
        <f aca="false">IF($A899="","",SUMIFS(物件収支!$D:$D,物件収支!$A:$A,$A899,物件収支!$C:$C,$M899))</f>
        <v>6</v>
      </c>
      <c r="O899" s="1" t="n">
        <f aca="false">IF($A899="","",SUMIFS(物件収支!$F:$F,物件収支!$A:$A,$A899,物件収支!$C:$C,$M899))</f>
        <v>85000</v>
      </c>
      <c r="P899" s="1" t="n">
        <f aca="false">IF($A899="","",SUMIFS(物件収支!$I:$I,物件収支!$A:$A,$A899,物件収支!$C:$C,$M899))</f>
        <v>0</v>
      </c>
      <c r="Q899" s="1" t="n">
        <f aca="false">IF($A899="","",SUMIFS(物件収支!$O:$O,物件収支!$A:$A,$A899,物件収支!$C:$C,$M899))</f>
        <v>0</v>
      </c>
      <c r="R899" s="1" t="str">
        <f aca="false">IF($A899="","",IF(P899=0,"",O899-P899))</f>
        <v/>
      </c>
      <c r="S899" s="1" t="str">
        <f aca="false">IF($A899="","",IF(R899="","",R899+Q899))</f>
        <v/>
      </c>
      <c r="T899" s="1" t="str">
        <f aca="false">IF($A899="","",IF(OR(S899="",N899&lt;=0),"",S899/1000*12/N899))</f>
        <v/>
      </c>
      <c r="U899" s="1" t="str">
        <f aca="false">IF($A899="","",IF(OR(T899="",J899=0,J899=""),"",T899/J899))</f>
        <v/>
      </c>
      <c r="V899" s="1" t="str">
        <f aca="false">IF($A899="","",IF(OR(R899="",N899&lt;=0,J899=0,J899=""),"",(R899/1000*12/N899)/J899))</f>
        <v/>
      </c>
      <c r="W899" s="1" t="str">
        <f aca="false">IF($A899="","",IF(OR(T899="",K899=0,K899=""),"",T899/K899))</f>
        <v/>
      </c>
      <c r="X899" s="1" t="n">
        <f aca="false">IF($A899="","",IF(OR(N899&lt;=0,I899=0,I899="",O899=0),"",O899*1000/(I899*0.3025)/N899))</f>
        <v>7637.39245602364</v>
      </c>
      <c r="Y899" s="1" t="str">
        <f aca="false">IF($A899="","",IF(OR(O899=0,O899="",P899=0),"",P899/O899))</f>
        <v/>
      </c>
      <c r="Z899" s="1" t="str">
        <f aca="false">IF($A899="","",IFERROR(INDEX(物件収支!$E:$E,MATCH($A899,物件収支!$A:$A,0)),""))</f>
        <v>開示（物件別・収益のみ・百万円単位）</v>
      </c>
    </row>
    <row r="900" customFormat="false" ht="15" hidden="false" customHeight="true" outlineLevel="0" collapsed="false">
      <c r="A900" s="1" t="str">
        <f aca="false">IF(物件マスタ!A900="","",物件マスタ!A900)</f>
        <v>KDX-159</v>
      </c>
      <c r="B900" s="1" t="str">
        <f aca="false">IF($A900="","",物件マスタ!B900)</f>
        <v>KDX</v>
      </c>
      <c r="C900" s="1" t="str">
        <f aca="false">IF($A900="","",IFERROR(INDEX(法人マスタ!$C:$C,MATCH($B900,法人マスタ!$A:$A,0)),""))</f>
        <v>ＫＤＸ不動産投資法人</v>
      </c>
      <c r="D900" s="1" t="str">
        <f aca="false">IF($A900="","",物件マスタ!C900)</f>
        <v>KDXレジデンス阿佐ヶ谷</v>
      </c>
      <c r="E900" s="1" t="str">
        <f aca="false">IF($A900="","",物件マスタ!H900)</f>
        <v>東京経済圏（KDX区分）</v>
      </c>
      <c r="F900" s="1" t="n">
        <f aca="false">IF($A900="","",物件マスタ!P900)</f>
        <v>0</v>
      </c>
      <c r="G900" s="1" t="str">
        <f aca="false">IF($A900="","",物件マスタ!Q900)</f>
        <v/>
      </c>
      <c r="H900" s="1" t="n">
        <f aca="false">IF($A900="","",物件マスタ!L900)</f>
        <v>0</v>
      </c>
      <c r="I900" s="1" t="n">
        <f aca="false">IF($A900="","",物件マスタ!M900)</f>
        <v>1996.08</v>
      </c>
      <c r="J900" s="1" t="n">
        <f aca="false">IF($A900="","",物件マスタ!S900)</f>
        <v>2570</v>
      </c>
      <c r="K900" s="1" t="n">
        <f aca="false">IF($A900="","",物件マスタ!U900)</f>
        <v>2570</v>
      </c>
      <c r="L900" s="1" t="n">
        <f aca="false">IF($A900="","",物件マスタ!W900)</f>
        <v>0.978</v>
      </c>
      <c r="M900" s="1" t="str">
        <f aca="false">IF($A900="","",IFERROR(INDEX(法人マスタ!$H:$H,MATCH($B900,法人マスタ!$A:$A,0)),""))</f>
        <v>2026年4月期（第42期）</v>
      </c>
      <c r="N900" s="1" t="n">
        <f aca="false">IF($A900="","",SUMIFS(物件収支!$D:$D,物件収支!$A:$A,$A900,物件収支!$C:$C,$M900))</f>
        <v>6</v>
      </c>
      <c r="O900" s="1" t="n">
        <f aca="false">IF($A900="","",SUMIFS(物件収支!$F:$F,物件収支!$A:$A,$A900,物件収支!$C:$C,$M900))</f>
        <v>54000</v>
      </c>
      <c r="P900" s="1" t="n">
        <f aca="false">IF($A900="","",SUMIFS(物件収支!$I:$I,物件収支!$A:$A,$A900,物件収支!$C:$C,$M900))</f>
        <v>0</v>
      </c>
      <c r="Q900" s="1" t="n">
        <f aca="false">IF($A900="","",SUMIFS(物件収支!$O:$O,物件収支!$A:$A,$A900,物件収支!$C:$C,$M900))</f>
        <v>0</v>
      </c>
      <c r="R900" s="1" t="str">
        <f aca="false">IF($A900="","",IF(P900=0,"",O900-P900))</f>
        <v/>
      </c>
      <c r="S900" s="1" t="str">
        <f aca="false">IF($A900="","",IF(R900="","",R900+Q900))</f>
        <v/>
      </c>
      <c r="T900" s="1" t="str">
        <f aca="false">IF($A900="","",IF(OR(S900="",N900&lt;=0),"",S900/1000*12/N900))</f>
        <v/>
      </c>
      <c r="U900" s="1" t="str">
        <f aca="false">IF($A900="","",IF(OR(T900="",J900=0,J900=""),"",T900/J900))</f>
        <v/>
      </c>
      <c r="V900" s="1" t="str">
        <f aca="false">IF($A900="","",IF(OR(R900="",N900&lt;=0,J900=0,J900=""),"",(R900/1000*12/N900)/J900))</f>
        <v/>
      </c>
      <c r="W900" s="1" t="str">
        <f aca="false">IF($A900="","",IF(OR(T900="",K900=0,K900=""),"",T900/K900))</f>
        <v/>
      </c>
      <c r="X900" s="1" t="n">
        <f aca="false">IF($A900="","",IF(OR(N900&lt;=0,I900=0,I900="",O900=0),"",O900*1000/(I900*0.3025)/N900))</f>
        <v>14905.2473426428</v>
      </c>
      <c r="Y900" s="1" t="str">
        <f aca="false">IF($A900="","",IF(OR(O900=0,O900="",P900=0),"",P900/O900))</f>
        <v/>
      </c>
      <c r="Z900" s="1" t="str">
        <f aca="false">IF($A900="","",IFERROR(INDEX(物件収支!$E:$E,MATCH($A900,物件収支!$A:$A,0)),""))</f>
        <v>開示（物件別・収益のみ・百万円単位）</v>
      </c>
    </row>
    <row r="901" customFormat="false" ht="15" hidden="false" customHeight="true" outlineLevel="0" collapsed="false">
      <c r="A901" s="1" t="str">
        <f aca="false">IF(物件マスタ!A901="","",物件マスタ!A901)</f>
        <v>KDX-160</v>
      </c>
      <c r="B901" s="1" t="str">
        <f aca="false">IF($A901="","",物件マスタ!B901)</f>
        <v>KDX</v>
      </c>
      <c r="C901" s="1" t="str">
        <f aca="false">IF($A901="","",IFERROR(INDEX(法人マスタ!$C:$C,MATCH($B901,法人マスタ!$A:$A,0)),""))</f>
        <v>ＫＤＸ不動産投資法人</v>
      </c>
      <c r="D901" s="1" t="str">
        <f aca="false">IF($A901="","",物件マスタ!C901)</f>
        <v>KDXレジデンス上北沢</v>
      </c>
      <c r="E901" s="1" t="str">
        <f aca="false">IF($A901="","",物件マスタ!H901)</f>
        <v>東京経済圏（KDX区分）</v>
      </c>
      <c r="F901" s="1" t="n">
        <f aca="false">IF($A901="","",物件マスタ!P901)</f>
        <v>0</v>
      </c>
      <c r="G901" s="1" t="str">
        <f aca="false">IF($A901="","",物件マスタ!Q901)</f>
        <v/>
      </c>
      <c r="H901" s="1" t="n">
        <f aca="false">IF($A901="","",物件マスタ!L901)</f>
        <v>0</v>
      </c>
      <c r="I901" s="1" t="n">
        <f aca="false">IF($A901="","",物件マスタ!M901)</f>
        <v>1971.07</v>
      </c>
      <c r="J901" s="1" t="n">
        <f aca="false">IF($A901="","",物件マスタ!S901)</f>
        <v>1670</v>
      </c>
      <c r="K901" s="1" t="n">
        <f aca="false">IF($A901="","",物件マスタ!U901)</f>
        <v>1820</v>
      </c>
      <c r="L901" s="1" t="n">
        <f aca="false">IF($A901="","",物件マスタ!W901)</f>
        <v>0.974</v>
      </c>
      <c r="M901" s="1" t="str">
        <f aca="false">IF($A901="","",IFERROR(INDEX(法人マスタ!$H:$H,MATCH($B901,法人マスタ!$A:$A,0)),""))</f>
        <v>2026年4月期（第42期）</v>
      </c>
      <c r="N901" s="1" t="n">
        <f aca="false">IF($A901="","",SUMIFS(物件収支!$D:$D,物件収支!$A:$A,$A901,物件収支!$C:$C,$M901))</f>
        <v>6</v>
      </c>
      <c r="O901" s="1" t="n">
        <f aca="false">IF($A901="","",SUMIFS(物件収支!$F:$F,物件収支!$A:$A,$A901,物件収支!$C:$C,$M901))</f>
        <v>42000</v>
      </c>
      <c r="P901" s="1" t="n">
        <f aca="false">IF($A901="","",SUMIFS(物件収支!$I:$I,物件収支!$A:$A,$A901,物件収支!$C:$C,$M901))</f>
        <v>0</v>
      </c>
      <c r="Q901" s="1" t="n">
        <f aca="false">IF($A901="","",SUMIFS(物件収支!$O:$O,物件収支!$A:$A,$A901,物件収支!$C:$C,$M901))</f>
        <v>0</v>
      </c>
      <c r="R901" s="1" t="str">
        <f aca="false">IF($A901="","",IF(P901=0,"",O901-P901))</f>
        <v/>
      </c>
      <c r="S901" s="1" t="str">
        <f aca="false">IF($A901="","",IF(R901="","",R901+Q901))</f>
        <v/>
      </c>
      <c r="T901" s="1" t="str">
        <f aca="false">IF($A901="","",IF(OR(S901="",N901&lt;=0),"",S901/1000*12/N901))</f>
        <v/>
      </c>
      <c r="U901" s="1" t="str">
        <f aca="false">IF($A901="","",IF(OR(T901="",J901=0,J901=""),"",T901/J901))</f>
        <v/>
      </c>
      <c r="V901" s="1" t="str">
        <f aca="false">IF($A901="","",IF(OR(R901="",N901&lt;=0,J901=0,J901=""),"",(R901/1000*12/N901)/J901))</f>
        <v/>
      </c>
      <c r="W901" s="1" t="str">
        <f aca="false">IF($A901="","",IF(OR(T901="",K901=0,K901=""),"",T901/K901))</f>
        <v/>
      </c>
      <c r="X901" s="1" t="n">
        <f aca="false">IF($A901="","",IF(OR(N901&lt;=0,I901=0,I901="",O901=0),"",O901*1000/(I901*0.3025)/N901))</f>
        <v>11740.0680177612</v>
      </c>
      <c r="Y901" s="1" t="str">
        <f aca="false">IF($A901="","",IF(OR(O901=0,O901="",P901=0),"",P901/O901))</f>
        <v/>
      </c>
      <c r="Z901" s="1" t="str">
        <f aca="false">IF($A901="","",IFERROR(INDEX(物件収支!$E:$E,MATCH($A901,物件収支!$A:$A,0)),""))</f>
        <v>開示（物件別・収益のみ・百万円単位）</v>
      </c>
    </row>
    <row r="902" customFormat="false" ht="15" hidden="false" customHeight="true" outlineLevel="0" collapsed="false">
      <c r="A902" s="1" t="str">
        <f aca="false">IF(物件マスタ!A902="","",物件マスタ!A902)</f>
        <v>KDX-161</v>
      </c>
      <c r="B902" s="1" t="str">
        <f aca="false">IF($A902="","",物件マスタ!B902)</f>
        <v>KDX</v>
      </c>
      <c r="C902" s="1" t="str">
        <f aca="false">IF($A902="","",IFERROR(INDEX(法人マスタ!$C:$C,MATCH($B902,法人マスタ!$A:$A,0)),""))</f>
        <v>ＫＤＸ不動産投資法人</v>
      </c>
      <c r="D902" s="1" t="str">
        <f aca="false">IF($A902="","",物件マスタ!C902)</f>
        <v>KDXレジデンス上野毛</v>
      </c>
      <c r="E902" s="1" t="str">
        <f aca="false">IF($A902="","",物件マスタ!H902)</f>
        <v>東京経済圏（KDX区分）</v>
      </c>
      <c r="F902" s="1" t="n">
        <f aca="false">IF($A902="","",物件マスタ!P902)</f>
        <v>0</v>
      </c>
      <c r="G902" s="1" t="str">
        <f aca="false">IF($A902="","",物件マスタ!Q902)</f>
        <v/>
      </c>
      <c r="H902" s="1" t="n">
        <f aca="false">IF($A902="","",物件マスタ!L902)</f>
        <v>0</v>
      </c>
      <c r="I902" s="1" t="n">
        <f aca="false">IF($A902="","",物件マスタ!M902)</f>
        <v>1224.87</v>
      </c>
      <c r="J902" s="1" t="n">
        <f aca="false">IF($A902="","",物件マスタ!S902)</f>
        <v>1460</v>
      </c>
      <c r="K902" s="1" t="n">
        <f aca="false">IF($A902="","",物件マスタ!U902)</f>
        <v>1470</v>
      </c>
      <c r="L902" s="1" t="n">
        <f aca="false">IF($A902="","",物件マスタ!W902)</f>
        <v>1</v>
      </c>
      <c r="M902" s="1" t="str">
        <f aca="false">IF($A902="","",IFERROR(INDEX(法人マスタ!$H:$H,MATCH($B902,法人マスタ!$A:$A,0)),""))</f>
        <v>2026年4月期（第42期）</v>
      </c>
      <c r="N902" s="1" t="n">
        <f aca="false">IF($A902="","",SUMIFS(物件収支!$D:$D,物件収支!$A:$A,$A902,物件収支!$C:$C,$M902))</f>
        <v>6</v>
      </c>
      <c r="O902" s="1" t="n">
        <f aca="false">IF($A902="","",SUMIFS(物件収支!$F:$F,物件収支!$A:$A,$A902,物件収支!$C:$C,$M902))</f>
        <v>26000</v>
      </c>
      <c r="P902" s="1" t="n">
        <f aca="false">IF($A902="","",SUMIFS(物件収支!$I:$I,物件収支!$A:$A,$A902,物件収支!$C:$C,$M902))</f>
        <v>0</v>
      </c>
      <c r="Q902" s="1" t="n">
        <f aca="false">IF($A902="","",SUMIFS(物件収支!$O:$O,物件収支!$A:$A,$A902,物件収支!$C:$C,$M902))</f>
        <v>0</v>
      </c>
      <c r="R902" s="1" t="str">
        <f aca="false">IF($A902="","",IF(P902=0,"",O902-P902))</f>
        <v/>
      </c>
      <c r="S902" s="1" t="str">
        <f aca="false">IF($A902="","",IF(R902="","",R902+Q902))</f>
        <v/>
      </c>
      <c r="T902" s="1" t="str">
        <f aca="false">IF($A902="","",IF(OR(S902="",N902&lt;=0),"",S902/1000*12/N902))</f>
        <v/>
      </c>
      <c r="U902" s="1" t="str">
        <f aca="false">IF($A902="","",IF(OR(T902="",J902=0,J902=""),"",T902/J902))</f>
        <v/>
      </c>
      <c r="V902" s="1" t="str">
        <f aca="false">IF($A902="","",IF(OR(R902="",N902&lt;=0,J902=0,J902=""),"",(R902/1000*12/N902)/J902))</f>
        <v/>
      </c>
      <c r="W902" s="1" t="str">
        <f aca="false">IF($A902="","",IF(OR(T902="",K902=0,K902=""),"",T902/K902))</f>
        <v/>
      </c>
      <c r="X902" s="1" t="n">
        <f aca="false">IF($A902="","",IF(OR(N902&lt;=0,I902=0,I902="",O902=0),"",O902*1000/(I902*0.3025)/N902))</f>
        <v>11695.1748924567</v>
      </c>
      <c r="Y902" s="1" t="str">
        <f aca="false">IF($A902="","",IF(OR(O902=0,O902="",P902=0),"",P902/O902))</f>
        <v/>
      </c>
      <c r="Z902" s="1" t="str">
        <f aca="false">IF($A902="","",IFERROR(INDEX(物件収支!$E:$E,MATCH($A902,物件収支!$A:$A,0)),""))</f>
        <v>開示（物件別・収益のみ・百万円単位）</v>
      </c>
    </row>
    <row r="903" customFormat="false" ht="15" hidden="false" customHeight="true" outlineLevel="0" collapsed="false">
      <c r="A903" s="1" t="str">
        <f aca="false">IF(物件マスタ!A903="","",物件マスタ!A903)</f>
        <v>KDX-162</v>
      </c>
      <c r="B903" s="1" t="str">
        <f aca="false">IF($A903="","",物件マスタ!B903)</f>
        <v>KDX</v>
      </c>
      <c r="C903" s="1" t="str">
        <f aca="false">IF($A903="","",IFERROR(INDEX(法人マスタ!$C:$C,MATCH($B903,法人マスタ!$A:$A,0)),""))</f>
        <v>ＫＤＸ不動産投資法人</v>
      </c>
      <c r="D903" s="1" t="str">
        <f aca="false">IF($A903="","",物件マスタ!C903)</f>
        <v>KDXレジデンス東浅草</v>
      </c>
      <c r="E903" s="1" t="str">
        <f aca="false">IF($A903="","",物件マスタ!H903)</f>
        <v>東京経済圏（KDX区分）</v>
      </c>
      <c r="F903" s="1" t="n">
        <f aca="false">IF($A903="","",物件マスタ!P903)</f>
        <v>0</v>
      </c>
      <c r="G903" s="1" t="str">
        <f aca="false">IF($A903="","",物件マスタ!Q903)</f>
        <v/>
      </c>
      <c r="H903" s="1" t="n">
        <f aca="false">IF($A903="","",物件マスタ!L903)</f>
        <v>0</v>
      </c>
      <c r="I903" s="1" t="n">
        <f aca="false">IF($A903="","",物件マスタ!M903)</f>
        <v>1013.4</v>
      </c>
      <c r="J903" s="1" t="n">
        <f aca="false">IF($A903="","",物件マスタ!S903)</f>
        <v>857</v>
      </c>
      <c r="K903" s="1" t="n">
        <f aca="false">IF($A903="","",物件マスタ!U903)</f>
        <v>829</v>
      </c>
      <c r="L903" s="1" t="n">
        <f aca="false">IF($A903="","",物件マスタ!W903)</f>
        <v>1</v>
      </c>
      <c r="M903" s="1" t="str">
        <f aca="false">IF($A903="","",IFERROR(INDEX(法人マスタ!$H:$H,MATCH($B903,法人マスタ!$A:$A,0)),""))</f>
        <v>2026年4月期（第42期）</v>
      </c>
      <c r="N903" s="1" t="n">
        <f aca="false">IF($A903="","",SUMIFS(物件収支!$D:$D,物件収支!$A:$A,$A903,物件収支!$C:$C,$M903))</f>
        <v>6</v>
      </c>
      <c r="O903" s="1" t="n">
        <f aca="false">IF($A903="","",SUMIFS(物件収支!$F:$F,物件収支!$A:$A,$A903,物件収支!$C:$C,$M903))</f>
        <v>20000</v>
      </c>
      <c r="P903" s="1" t="n">
        <f aca="false">IF($A903="","",SUMIFS(物件収支!$I:$I,物件収支!$A:$A,$A903,物件収支!$C:$C,$M903))</f>
        <v>0</v>
      </c>
      <c r="Q903" s="1" t="n">
        <f aca="false">IF($A903="","",SUMIFS(物件収支!$O:$O,物件収支!$A:$A,$A903,物件収支!$C:$C,$M903))</f>
        <v>0</v>
      </c>
      <c r="R903" s="1" t="str">
        <f aca="false">IF($A903="","",IF(P903=0,"",O903-P903))</f>
        <v/>
      </c>
      <c r="S903" s="1" t="str">
        <f aca="false">IF($A903="","",IF(R903="","",R903+Q903))</f>
        <v/>
      </c>
      <c r="T903" s="1" t="str">
        <f aca="false">IF($A903="","",IF(OR(S903="",N903&lt;=0),"",S903/1000*12/N903))</f>
        <v/>
      </c>
      <c r="U903" s="1" t="str">
        <f aca="false">IF($A903="","",IF(OR(T903="",J903=0,J903=""),"",T903/J903))</f>
        <v/>
      </c>
      <c r="V903" s="1" t="str">
        <f aca="false">IF($A903="","",IF(OR(R903="",N903&lt;=0,J903=0,J903=""),"",(R903/1000*12/N903)/J903))</f>
        <v/>
      </c>
      <c r="W903" s="1" t="str">
        <f aca="false">IF($A903="","",IF(OR(T903="",K903=0,K903=""),"",T903/K903))</f>
        <v/>
      </c>
      <c r="X903" s="1" t="n">
        <f aca="false">IF($A903="","",IF(OR(N903&lt;=0,I903=0,I903="",O903=0),"",O903*1000/(I903*0.3025)/N903))</f>
        <v>10873.5778039831</v>
      </c>
      <c r="Y903" s="1" t="str">
        <f aca="false">IF($A903="","",IF(OR(O903=0,O903="",P903=0),"",P903/O903))</f>
        <v/>
      </c>
      <c r="Z903" s="1" t="str">
        <f aca="false">IF($A903="","",IFERROR(INDEX(物件収支!$E:$E,MATCH($A903,物件収支!$A:$A,0)),""))</f>
        <v>開示（物件別・収益のみ・百万円単位）</v>
      </c>
    </row>
    <row r="904" customFormat="false" ht="15" hidden="false" customHeight="true" outlineLevel="0" collapsed="false">
      <c r="A904" s="1" t="str">
        <f aca="false">IF(物件マスタ!A904="","",物件マスタ!A904)</f>
        <v>KDX-163</v>
      </c>
      <c r="B904" s="1" t="str">
        <f aca="false">IF($A904="","",物件マスタ!B904)</f>
        <v>KDX</v>
      </c>
      <c r="C904" s="1" t="str">
        <f aca="false">IF($A904="","",IFERROR(INDEX(法人マスタ!$C:$C,MATCH($B904,法人マスタ!$A:$A,0)),""))</f>
        <v>ＫＤＸ不動産投資法人</v>
      </c>
      <c r="D904" s="1" t="str">
        <f aca="false">IF($A904="","",物件マスタ!C904)</f>
        <v>KDXレジデンス西船橋</v>
      </c>
      <c r="E904" s="1" t="str">
        <f aca="false">IF($A904="","",物件マスタ!H904)</f>
        <v>東京経済圏（KDX区分）</v>
      </c>
      <c r="F904" s="1" t="n">
        <f aca="false">IF($A904="","",物件マスタ!P904)</f>
        <v>0</v>
      </c>
      <c r="G904" s="1" t="str">
        <f aca="false">IF($A904="","",物件マスタ!Q904)</f>
        <v/>
      </c>
      <c r="H904" s="1" t="n">
        <f aca="false">IF($A904="","",物件マスタ!L904)</f>
        <v>0</v>
      </c>
      <c r="I904" s="1" t="n">
        <f aca="false">IF($A904="","",物件マスタ!M904)</f>
        <v>1277.78</v>
      </c>
      <c r="J904" s="1" t="n">
        <f aca="false">IF($A904="","",物件マスタ!S904)</f>
        <v>1190</v>
      </c>
      <c r="K904" s="1" t="n">
        <f aca="false">IF($A904="","",物件マスタ!U904)</f>
        <v>1200</v>
      </c>
      <c r="L904" s="1" t="n">
        <f aca="false">IF($A904="","",物件マスタ!W904)</f>
        <v>1</v>
      </c>
      <c r="M904" s="1" t="str">
        <f aca="false">IF($A904="","",IFERROR(INDEX(法人マスタ!$H:$H,MATCH($B904,法人マスタ!$A:$A,0)),""))</f>
        <v>2026年4月期（第42期）</v>
      </c>
      <c r="N904" s="1" t="n">
        <f aca="false">IF($A904="","",SUMIFS(物件収支!$D:$D,物件収支!$A:$A,$A904,物件収支!$C:$C,$M904))</f>
        <v>6</v>
      </c>
      <c r="O904" s="1" t="n">
        <f aca="false">IF($A904="","",SUMIFS(物件収支!$F:$F,物件収支!$A:$A,$A904,物件収支!$C:$C,$M904))</f>
        <v>29000</v>
      </c>
      <c r="P904" s="1" t="n">
        <f aca="false">IF($A904="","",SUMIFS(物件収支!$I:$I,物件収支!$A:$A,$A904,物件収支!$C:$C,$M904))</f>
        <v>0</v>
      </c>
      <c r="Q904" s="1" t="n">
        <f aca="false">IF($A904="","",SUMIFS(物件収支!$O:$O,物件収支!$A:$A,$A904,物件収支!$C:$C,$M904))</f>
        <v>0</v>
      </c>
      <c r="R904" s="1" t="str">
        <f aca="false">IF($A904="","",IF(P904=0,"",O904-P904))</f>
        <v/>
      </c>
      <c r="S904" s="1" t="str">
        <f aca="false">IF($A904="","",IF(R904="","",R904+Q904))</f>
        <v/>
      </c>
      <c r="T904" s="1" t="str">
        <f aca="false">IF($A904="","",IF(OR(S904="",N904&lt;=0),"",S904/1000*12/N904))</f>
        <v/>
      </c>
      <c r="U904" s="1" t="str">
        <f aca="false">IF($A904="","",IF(OR(T904="",J904=0,J904=""),"",T904/J904))</f>
        <v/>
      </c>
      <c r="V904" s="1" t="str">
        <f aca="false">IF($A904="","",IF(OR(R904="",N904&lt;=0,J904=0,J904=""),"",(R904/1000*12/N904)/J904))</f>
        <v/>
      </c>
      <c r="W904" s="1" t="str">
        <f aca="false">IF($A904="","",IF(OR(T904="",K904=0,K904=""),"",T904/K904))</f>
        <v/>
      </c>
      <c r="X904" s="1" t="n">
        <f aca="false">IF($A904="","",IF(OR(N904&lt;=0,I904=0,I904="",O904=0),"",O904*1000/(I904*0.3025)/N904))</f>
        <v>12504.4698089709</v>
      </c>
      <c r="Y904" s="1" t="str">
        <f aca="false">IF($A904="","",IF(OR(O904=0,O904="",P904=0),"",P904/O904))</f>
        <v/>
      </c>
      <c r="Z904" s="1" t="str">
        <f aca="false">IF($A904="","",IFERROR(INDEX(物件収支!$E:$E,MATCH($A904,物件収支!$A:$A,0)),""))</f>
        <v>開示（物件別・収益のみ・百万円単位）</v>
      </c>
    </row>
    <row r="905" customFormat="false" ht="15" hidden="false" customHeight="true" outlineLevel="0" collapsed="false">
      <c r="A905" s="1" t="str">
        <f aca="false">IF(物件マスタ!A905="","",物件マスタ!A905)</f>
        <v>KDX-164</v>
      </c>
      <c r="B905" s="1" t="str">
        <f aca="false">IF($A905="","",物件マスタ!B905)</f>
        <v>KDX</v>
      </c>
      <c r="C905" s="1" t="str">
        <f aca="false">IF($A905="","",IFERROR(INDEX(法人マスタ!$C:$C,MATCH($B905,法人マスタ!$A:$A,0)),""))</f>
        <v>ＫＤＸ不動産投資法人</v>
      </c>
      <c r="D905" s="1" t="str">
        <f aca="false">IF($A905="","",物件マスタ!C905)</f>
        <v>KDXレジデンス阿佐ヶ谷II</v>
      </c>
      <c r="E905" s="1" t="str">
        <f aca="false">IF($A905="","",物件マスタ!H905)</f>
        <v>東京経済圏（KDX区分）</v>
      </c>
      <c r="F905" s="1" t="n">
        <f aca="false">IF($A905="","",物件マスタ!P905)</f>
        <v>0</v>
      </c>
      <c r="G905" s="1" t="str">
        <f aca="false">IF($A905="","",物件マスタ!Q905)</f>
        <v/>
      </c>
      <c r="H905" s="1" t="n">
        <f aca="false">IF($A905="","",物件マスタ!L905)</f>
        <v>0</v>
      </c>
      <c r="I905" s="1" t="n">
        <f aca="false">IF($A905="","",物件マスタ!M905)</f>
        <v>957.67</v>
      </c>
      <c r="J905" s="1" t="n">
        <f aca="false">IF($A905="","",物件マスタ!S905)</f>
        <v>1110</v>
      </c>
      <c r="K905" s="1" t="n">
        <f aca="false">IF($A905="","",物件マスタ!U905)</f>
        <v>1090</v>
      </c>
      <c r="L905" s="1" t="n">
        <f aca="false">IF($A905="","",物件マスタ!W905)</f>
        <v>0.97</v>
      </c>
      <c r="M905" s="1" t="str">
        <f aca="false">IF($A905="","",IFERROR(INDEX(法人マスタ!$H:$H,MATCH($B905,法人マスタ!$A:$A,0)),""))</f>
        <v>2026年4月期（第42期）</v>
      </c>
      <c r="N905" s="1" t="n">
        <f aca="false">IF($A905="","",SUMIFS(物件収支!$D:$D,物件収支!$A:$A,$A905,物件収支!$C:$C,$M905))</f>
        <v>6</v>
      </c>
      <c r="O905" s="1" t="n">
        <f aca="false">IF($A905="","",SUMIFS(物件収支!$F:$F,物件収支!$A:$A,$A905,物件収支!$C:$C,$M905))</f>
        <v>25000</v>
      </c>
      <c r="P905" s="1" t="n">
        <f aca="false">IF($A905="","",SUMIFS(物件収支!$I:$I,物件収支!$A:$A,$A905,物件収支!$C:$C,$M905))</f>
        <v>0</v>
      </c>
      <c r="Q905" s="1" t="n">
        <f aca="false">IF($A905="","",SUMIFS(物件収支!$O:$O,物件収支!$A:$A,$A905,物件収支!$C:$C,$M905))</f>
        <v>0</v>
      </c>
      <c r="R905" s="1" t="str">
        <f aca="false">IF($A905="","",IF(P905=0,"",O905-P905))</f>
        <v/>
      </c>
      <c r="S905" s="1" t="str">
        <f aca="false">IF($A905="","",IF(R905="","",R905+Q905))</f>
        <v/>
      </c>
      <c r="T905" s="1" t="str">
        <f aca="false">IF($A905="","",IF(OR(S905="",N905&lt;=0),"",S905/1000*12/N905))</f>
        <v/>
      </c>
      <c r="U905" s="1" t="str">
        <f aca="false">IF($A905="","",IF(OR(T905="",J905=0,J905=""),"",T905/J905))</f>
        <v/>
      </c>
      <c r="V905" s="1" t="str">
        <f aca="false">IF($A905="","",IF(OR(R905="",N905&lt;=0,J905=0,J905=""),"",(R905/1000*12/N905)/J905))</f>
        <v/>
      </c>
      <c r="W905" s="1" t="str">
        <f aca="false">IF($A905="","",IF(OR(T905="",K905=0,K905=""),"",T905/K905))</f>
        <v/>
      </c>
      <c r="X905" s="1" t="n">
        <f aca="false">IF($A905="","",IF(OR(N905&lt;=0,I905=0,I905="",O905=0),"",O905*1000/(I905*0.3025)/N905))</f>
        <v>14382.934291766</v>
      </c>
      <c r="Y905" s="1" t="str">
        <f aca="false">IF($A905="","",IF(OR(O905=0,O905="",P905=0),"",P905/O905))</f>
        <v/>
      </c>
      <c r="Z905" s="1" t="str">
        <f aca="false">IF($A905="","",IFERROR(INDEX(物件収支!$E:$E,MATCH($A905,物件収支!$A:$A,0)),""))</f>
        <v>開示（物件別・収益のみ・百万円単位）</v>
      </c>
    </row>
    <row r="906" customFormat="false" ht="15" hidden="false" customHeight="true" outlineLevel="0" collapsed="false">
      <c r="A906" s="1" t="str">
        <f aca="false">IF(物件マスタ!A906="","",物件マスタ!A906)</f>
        <v>KDX-165</v>
      </c>
      <c r="B906" s="1" t="str">
        <f aca="false">IF($A906="","",物件マスタ!B906)</f>
        <v>KDX</v>
      </c>
      <c r="C906" s="1" t="str">
        <f aca="false">IF($A906="","",IFERROR(INDEX(法人マスタ!$C:$C,MATCH($B906,法人マスタ!$A:$A,0)),""))</f>
        <v>ＫＤＸ不動産投資法人</v>
      </c>
      <c r="D906" s="1" t="str">
        <f aca="false">IF($A906="","",物件マスタ!C906)</f>
        <v>KDXレジデンス幡ヶ谷</v>
      </c>
      <c r="E906" s="1" t="str">
        <f aca="false">IF($A906="","",物件マスタ!H906)</f>
        <v>東京経済圏（KDX区分）</v>
      </c>
      <c r="F906" s="1" t="n">
        <f aca="false">IF($A906="","",物件マスタ!P906)</f>
        <v>0</v>
      </c>
      <c r="G906" s="1" t="str">
        <f aca="false">IF($A906="","",物件マスタ!Q906)</f>
        <v/>
      </c>
      <c r="H906" s="1" t="n">
        <f aca="false">IF($A906="","",物件マスタ!L906)</f>
        <v>0</v>
      </c>
      <c r="I906" s="1" t="n">
        <f aca="false">IF($A906="","",物件マスタ!M906)</f>
        <v>2659.5</v>
      </c>
      <c r="J906" s="1" t="n">
        <f aca="false">IF($A906="","",物件マスタ!S906)</f>
        <v>2920</v>
      </c>
      <c r="K906" s="1" t="n">
        <f aca="false">IF($A906="","",物件マスタ!U906)</f>
        <v>2930</v>
      </c>
      <c r="L906" s="1" t="n">
        <f aca="false">IF($A906="","",物件マスタ!W906)</f>
        <v>1</v>
      </c>
      <c r="M906" s="1" t="str">
        <f aca="false">IF($A906="","",IFERROR(INDEX(法人マスタ!$H:$H,MATCH($B906,法人マスタ!$A:$A,0)),""))</f>
        <v>2026年4月期（第42期）</v>
      </c>
      <c r="N906" s="1" t="n">
        <f aca="false">IF($A906="","",SUMIFS(物件収支!$D:$D,物件収支!$A:$A,$A906,物件収支!$C:$C,$M906))</f>
        <v>6</v>
      </c>
      <c r="O906" s="1" t="n">
        <f aca="false">IF($A906="","",SUMIFS(物件収支!$F:$F,物件収支!$A:$A,$A906,物件収支!$C:$C,$M906))</f>
        <v>68000</v>
      </c>
      <c r="P906" s="1" t="n">
        <f aca="false">IF($A906="","",SUMIFS(物件収支!$I:$I,物件収支!$A:$A,$A906,物件収支!$C:$C,$M906))</f>
        <v>0</v>
      </c>
      <c r="Q906" s="1" t="n">
        <f aca="false">IF($A906="","",SUMIFS(物件収支!$O:$O,物件収支!$A:$A,$A906,物件収支!$C:$C,$M906))</f>
        <v>0</v>
      </c>
      <c r="R906" s="1" t="str">
        <f aca="false">IF($A906="","",IF(P906=0,"",O906-P906))</f>
        <v/>
      </c>
      <c r="S906" s="1" t="str">
        <f aca="false">IF($A906="","",IF(R906="","",R906+Q906))</f>
        <v/>
      </c>
      <c r="T906" s="1" t="str">
        <f aca="false">IF($A906="","",IF(OR(S906="",N906&lt;=0),"",S906/1000*12/N906))</f>
        <v/>
      </c>
      <c r="U906" s="1" t="str">
        <f aca="false">IF($A906="","",IF(OR(T906="",J906=0,J906=""),"",T906/J906))</f>
        <v/>
      </c>
      <c r="V906" s="1" t="str">
        <f aca="false">IF($A906="","",IF(OR(R906="",N906&lt;=0,J906=0,J906=""),"",(R906/1000*12/N906)/J906))</f>
        <v/>
      </c>
      <c r="W906" s="1" t="str">
        <f aca="false">IF($A906="","",IF(OR(T906="",K906=0,K906=""),"",T906/K906))</f>
        <v/>
      </c>
      <c r="X906" s="1" t="n">
        <f aca="false">IF($A906="","",IF(OR(N906&lt;=0,I906=0,I906="",O906=0),"",O906*1000/(I906*0.3025)/N906))</f>
        <v>14087.4467901079</v>
      </c>
      <c r="Y906" s="1" t="str">
        <f aca="false">IF($A906="","",IF(OR(O906=0,O906="",P906=0),"",P906/O906))</f>
        <v/>
      </c>
      <c r="Z906" s="1" t="str">
        <f aca="false">IF($A906="","",IFERROR(INDEX(物件収支!$E:$E,MATCH($A906,物件収支!$A:$A,0)),""))</f>
        <v>開示（物件別・収益のみ・百万円単位）</v>
      </c>
    </row>
    <row r="907" customFormat="false" ht="15" hidden="false" customHeight="true" outlineLevel="0" collapsed="false">
      <c r="A907" s="1" t="str">
        <f aca="false">IF(物件マスタ!A907="","",物件マスタ!A907)</f>
        <v>KDX-166</v>
      </c>
      <c r="B907" s="1" t="str">
        <f aca="false">IF($A907="","",物件マスタ!B907)</f>
        <v>KDX</v>
      </c>
      <c r="C907" s="1" t="str">
        <f aca="false">IF($A907="","",IFERROR(INDEX(法人マスタ!$C:$C,MATCH($B907,法人マスタ!$A:$A,0)),""))</f>
        <v>ＫＤＸ不動産投資法人</v>
      </c>
      <c r="D907" s="1" t="str">
        <f aca="false">IF($A907="","",物件マスタ!C907)</f>
        <v>KDXレジデンス蒲田南</v>
      </c>
      <c r="E907" s="1" t="str">
        <f aca="false">IF($A907="","",物件マスタ!H907)</f>
        <v>東京経済圏（KDX区分）</v>
      </c>
      <c r="F907" s="1" t="n">
        <f aca="false">IF($A907="","",物件マスタ!P907)</f>
        <v>0</v>
      </c>
      <c r="G907" s="1" t="str">
        <f aca="false">IF($A907="","",物件マスタ!Q907)</f>
        <v/>
      </c>
      <c r="H907" s="1" t="n">
        <f aca="false">IF($A907="","",物件マスタ!L907)</f>
        <v>0</v>
      </c>
      <c r="I907" s="1" t="n">
        <f aca="false">IF($A907="","",物件マスタ!M907)</f>
        <v>2203.87</v>
      </c>
      <c r="J907" s="1" t="n">
        <f aca="false">IF($A907="","",物件マスタ!S907)</f>
        <v>2460</v>
      </c>
      <c r="K907" s="1" t="n">
        <f aca="false">IF($A907="","",物件マスタ!U907)</f>
        <v>2490</v>
      </c>
      <c r="L907" s="1" t="n">
        <f aca="false">IF($A907="","",物件マスタ!W907)</f>
        <v>0.982</v>
      </c>
      <c r="M907" s="1" t="str">
        <f aca="false">IF($A907="","",IFERROR(INDEX(法人マスタ!$H:$H,MATCH($B907,法人マスタ!$A:$A,0)),""))</f>
        <v>2026年4月期（第42期）</v>
      </c>
      <c r="N907" s="1" t="n">
        <f aca="false">IF($A907="","",SUMIFS(物件収支!$D:$D,物件収支!$A:$A,$A907,物件収支!$C:$C,$M907))</f>
        <v>6</v>
      </c>
      <c r="O907" s="1" t="n">
        <f aca="false">IF($A907="","",SUMIFS(物件収支!$F:$F,物件収支!$A:$A,$A907,物件収支!$C:$C,$M907))</f>
        <v>51000</v>
      </c>
      <c r="P907" s="1" t="n">
        <f aca="false">IF($A907="","",SUMIFS(物件収支!$I:$I,物件収支!$A:$A,$A907,物件収支!$C:$C,$M907))</f>
        <v>0</v>
      </c>
      <c r="Q907" s="1" t="n">
        <f aca="false">IF($A907="","",SUMIFS(物件収支!$O:$O,物件収支!$A:$A,$A907,物件収支!$C:$C,$M907))</f>
        <v>0</v>
      </c>
      <c r="R907" s="1" t="str">
        <f aca="false">IF($A907="","",IF(P907=0,"",O907-P907))</f>
        <v/>
      </c>
      <c r="S907" s="1" t="str">
        <f aca="false">IF($A907="","",IF(R907="","",R907+Q907))</f>
        <v/>
      </c>
      <c r="T907" s="1" t="str">
        <f aca="false">IF($A907="","",IF(OR(S907="",N907&lt;=0),"",S907/1000*12/N907))</f>
        <v/>
      </c>
      <c r="U907" s="1" t="str">
        <f aca="false">IF($A907="","",IF(OR(T907="",J907=0,J907=""),"",T907/J907))</f>
        <v/>
      </c>
      <c r="V907" s="1" t="str">
        <f aca="false">IF($A907="","",IF(OR(R907="",N907&lt;=0,J907=0,J907=""),"",(R907/1000*12/N907)/J907))</f>
        <v/>
      </c>
      <c r="W907" s="1" t="str">
        <f aca="false">IF($A907="","",IF(OR(T907="",K907=0,K907=""),"",T907/K907))</f>
        <v/>
      </c>
      <c r="X907" s="1" t="n">
        <f aca="false">IF($A907="","",IF(OR(N907&lt;=0,I907=0,I907="",O907=0),"",O907*1000/(I907*0.3025)/N907))</f>
        <v>12749.9233410859</v>
      </c>
      <c r="Y907" s="1" t="str">
        <f aca="false">IF($A907="","",IF(OR(O907=0,O907="",P907=0),"",P907/O907))</f>
        <v/>
      </c>
      <c r="Z907" s="1" t="str">
        <f aca="false">IF($A907="","",IFERROR(INDEX(物件収支!$E:$E,MATCH($A907,物件収支!$A:$A,0)),""))</f>
        <v>開示（物件別・収益のみ・百万円単位）</v>
      </c>
    </row>
    <row r="908" customFormat="false" ht="15" hidden="false" customHeight="true" outlineLevel="0" collapsed="false">
      <c r="A908" s="1" t="str">
        <f aca="false">IF(物件マスタ!A908="","",物件マスタ!A908)</f>
        <v>KDX-167</v>
      </c>
      <c r="B908" s="1" t="str">
        <f aca="false">IF($A908="","",物件マスタ!B908)</f>
        <v>KDX</v>
      </c>
      <c r="C908" s="1" t="str">
        <f aca="false">IF($A908="","",IFERROR(INDEX(法人マスタ!$C:$C,MATCH($B908,法人マスタ!$A:$A,0)),""))</f>
        <v>ＫＤＸ不動産投資法人</v>
      </c>
      <c r="D908" s="1" t="str">
        <f aca="false">IF($A908="","",物件マスタ!C908)</f>
        <v>KDXレジデンス三鷹</v>
      </c>
      <c r="E908" s="1" t="str">
        <f aca="false">IF($A908="","",物件マスタ!H908)</f>
        <v>東京経済圏（KDX区分）</v>
      </c>
      <c r="F908" s="1" t="n">
        <f aca="false">IF($A908="","",物件マスタ!P908)</f>
        <v>0</v>
      </c>
      <c r="G908" s="1" t="str">
        <f aca="false">IF($A908="","",物件マスタ!Q908)</f>
        <v/>
      </c>
      <c r="H908" s="1" t="n">
        <f aca="false">IF($A908="","",物件マスタ!L908)</f>
        <v>0</v>
      </c>
      <c r="I908" s="1" t="n">
        <f aca="false">IF($A908="","",物件マスタ!M908)</f>
        <v>2631.45</v>
      </c>
      <c r="J908" s="1" t="n">
        <f aca="false">IF($A908="","",物件マスタ!S908)</f>
        <v>3280</v>
      </c>
      <c r="K908" s="1" t="n">
        <f aca="false">IF($A908="","",物件マスタ!U908)</f>
        <v>3370</v>
      </c>
      <c r="L908" s="1" t="n">
        <f aca="false">IF($A908="","",物件マスタ!W908)</f>
        <v>0.882</v>
      </c>
      <c r="M908" s="1" t="str">
        <f aca="false">IF($A908="","",IFERROR(INDEX(法人マスタ!$H:$H,MATCH($B908,法人マスタ!$A:$A,0)),""))</f>
        <v>2026年4月期（第42期）</v>
      </c>
      <c r="N908" s="1" t="n">
        <f aca="false">IF($A908="","",SUMIFS(物件収支!$D:$D,物件収支!$A:$A,$A908,物件収支!$C:$C,$M908))</f>
        <v>6</v>
      </c>
      <c r="O908" s="1" t="n">
        <f aca="false">IF($A908="","",SUMIFS(物件収支!$F:$F,物件収支!$A:$A,$A908,物件収支!$C:$C,$M908))</f>
        <v>70000</v>
      </c>
      <c r="P908" s="1" t="n">
        <f aca="false">IF($A908="","",SUMIFS(物件収支!$I:$I,物件収支!$A:$A,$A908,物件収支!$C:$C,$M908))</f>
        <v>0</v>
      </c>
      <c r="Q908" s="1" t="n">
        <f aca="false">IF($A908="","",SUMIFS(物件収支!$O:$O,物件収支!$A:$A,$A908,物件収支!$C:$C,$M908))</f>
        <v>0</v>
      </c>
      <c r="R908" s="1" t="str">
        <f aca="false">IF($A908="","",IF(P908=0,"",O908-P908))</f>
        <v/>
      </c>
      <c r="S908" s="1" t="str">
        <f aca="false">IF($A908="","",IF(R908="","",R908+Q908))</f>
        <v/>
      </c>
      <c r="T908" s="1" t="str">
        <f aca="false">IF($A908="","",IF(OR(S908="",N908&lt;=0),"",S908/1000*12/N908))</f>
        <v/>
      </c>
      <c r="U908" s="1" t="str">
        <f aca="false">IF($A908="","",IF(OR(T908="",J908=0,J908=""),"",T908/J908))</f>
        <v/>
      </c>
      <c r="V908" s="1" t="str">
        <f aca="false">IF($A908="","",IF(OR(R908="",N908&lt;=0,J908=0,J908=""),"",(R908/1000*12/N908)/J908))</f>
        <v/>
      </c>
      <c r="W908" s="1" t="str">
        <f aca="false">IF($A908="","",IF(OR(T908="",K908=0,K908=""),"",T908/K908))</f>
        <v/>
      </c>
      <c r="X908" s="1" t="n">
        <f aca="false">IF($A908="","",IF(OR(N908&lt;=0,I908=0,I908="",O908=0),"",O908*1000/(I908*0.3025)/N908))</f>
        <v>14656.3655448318</v>
      </c>
      <c r="Y908" s="1" t="str">
        <f aca="false">IF($A908="","",IF(OR(O908=0,O908="",P908=0),"",P908/O908))</f>
        <v/>
      </c>
      <c r="Z908" s="1" t="str">
        <f aca="false">IF($A908="","",IFERROR(INDEX(物件収支!$E:$E,MATCH($A908,物件収支!$A:$A,0)),""))</f>
        <v>開示（物件別・収益のみ・百万円単位）</v>
      </c>
    </row>
    <row r="909" customFormat="false" ht="15" hidden="false" customHeight="true" outlineLevel="0" collapsed="false">
      <c r="A909" s="1" t="str">
        <f aca="false">IF(物件マスタ!A909="","",物件マスタ!A909)</f>
        <v>KDX-168</v>
      </c>
      <c r="B909" s="1" t="str">
        <f aca="false">IF($A909="","",物件マスタ!B909)</f>
        <v>KDX</v>
      </c>
      <c r="C909" s="1" t="str">
        <f aca="false">IF($A909="","",IFERROR(INDEX(法人マスタ!$C:$C,MATCH($B909,法人マスタ!$A:$A,0)),""))</f>
        <v>ＫＤＸ不動産投資法人</v>
      </c>
      <c r="D909" s="1" t="str">
        <f aca="false">IF($A909="","",物件マスタ!C909)</f>
        <v>KDXレジデンス中延</v>
      </c>
      <c r="E909" s="1" t="str">
        <f aca="false">IF($A909="","",物件マスタ!H909)</f>
        <v>東京経済圏（KDX区分）</v>
      </c>
      <c r="F909" s="1" t="n">
        <f aca="false">IF($A909="","",物件マスタ!P909)</f>
        <v>0</v>
      </c>
      <c r="G909" s="1" t="str">
        <f aca="false">IF($A909="","",物件マスタ!Q909)</f>
        <v/>
      </c>
      <c r="H909" s="1" t="n">
        <f aca="false">IF($A909="","",物件マスタ!L909)</f>
        <v>0</v>
      </c>
      <c r="I909" s="1" t="n">
        <f aca="false">IF($A909="","",物件マスタ!M909)</f>
        <v>845.78</v>
      </c>
      <c r="J909" s="1" t="n">
        <f aca="false">IF($A909="","",物件マスタ!S909)</f>
        <v>939</v>
      </c>
      <c r="K909" s="1" t="n">
        <f aca="false">IF($A909="","",物件マスタ!U909)</f>
        <v>949</v>
      </c>
      <c r="L909" s="1" t="n">
        <f aca="false">IF($A909="","",物件マスタ!W909)</f>
        <v>0.97</v>
      </c>
      <c r="M909" s="1" t="str">
        <f aca="false">IF($A909="","",IFERROR(INDEX(法人マスタ!$H:$H,MATCH($B909,法人マスタ!$A:$A,0)),""))</f>
        <v>2026年4月期（第42期）</v>
      </c>
      <c r="N909" s="1" t="n">
        <f aca="false">IF($A909="","",SUMIFS(物件収支!$D:$D,物件収支!$A:$A,$A909,物件収支!$C:$C,$M909))</f>
        <v>6</v>
      </c>
      <c r="O909" s="1" t="n">
        <f aca="false">IF($A909="","",SUMIFS(物件収支!$F:$F,物件収支!$A:$A,$A909,物件収支!$C:$C,$M909))</f>
        <v>25000</v>
      </c>
      <c r="P909" s="1" t="n">
        <f aca="false">IF($A909="","",SUMIFS(物件収支!$I:$I,物件収支!$A:$A,$A909,物件収支!$C:$C,$M909))</f>
        <v>0</v>
      </c>
      <c r="Q909" s="1" t="n">
        <f aca="false">IF($A909="","",SUMIFS(物件収支!$O:$O,物件収支!$A:$A,$A909,物件収支!$C:$C,$M909))</f>
        <v>0</v>
      </c>
      <c r="R909" s="1" t="str">
        <f aca="false">IF($A909="","",IF(P909=0,"",O909-P909))</f>
        <v/>
      </c>
      <c r="S909" s="1" t="str">
        <f aca="false">IF($A909="","",IF(R909="","",R909+Q909))</f>
        <v/>
      </c>
      <c r="T909" s="1" t="str">
        <f aca="false">IF($A909="","",IF(OR(S909="",N909&lt;=0),"",S909/1000*12/N909))</f>
        <v/>
      </c>
      <c r="U909" s="1" t="str">
        <f aca="false">IF($A909="","",IF(OR(T909="",J909=0,J909=""),"",T909/J909))</f>
        <v/>
      </c>
      <c r="V909" s="1" t="str">
        <f aca="false">IF($A909="","",IF(OR(R909="",N909&lt;=0,J909=0,J909=""),"",(R909/1000*12/N909)/J909))</f>
        <v/>
      </c>
      <c r="W909" s="1" t="str">
        <f aca="false">IF($A909="","",IF(OR(T909="",K909=0,K909=""),"",T909/K909))</f>
        <v/>
      </c>
      <c r="X909" s="1" t="n">
        <f aca="false">IF($A909="","",IF(OR(N909&lt;=0,I909=0,I909="",O909=0),"",O909*1000/(I909*0.3025)/N909))</f>
        <v>16285.6826635716</v>
      </c>
      <c r="Y909" s="1" t="str">
        <f aca="false">IF($A909="","",IF(OR(O909=0,O909="",P909=0),"",P909/O909))</f>
        <v/>
      </c>
      <c r="Z909" s="1" t="str">
        <f aca="false">IF($A909="","",IFERROR(INDEX(物件収支!$E:$E,MATCH($A909,物件収支!$A:$A,0)),""))</f>
        <v>開示（物件別・収益のみ・百万円単位）</v>
      </c>
    </row>
    <row r="910" customFormat="false" ht="15" hidden="false" customHeight="true" outlineLevel="0" collapsed="false">
      <c r="A910" s="1" t="str">
        <f aca="false">IF(物件マスタ!A910="","",物件マスタ!A910)</f>
        <v>KDX-169</v>
      </c>
      <c r="B910" s="1" t="str">
        <f aca="false">IF($A910="","",物件マスタ!B910)</f>
        <v>KDX</v>
      </c>
      <c r="C910" s="1" t="str">
        <f aca="false">IF($A910="","",IFERROR(INDEX(法人マスタ!$C:$C,MATCH($B910,法人マスタ!$A:$A,0)),""))</f>
        <v>ＫＤＸ不動産投資法人</v>
      </c>
      <c r="D910" s="1" t="str">
        <f aca="false">IF($A910="","",物件マスタ!C910)</f>
        <v>KDXレジデンス市川</v>
      </c>
      <c r="E910" s="1" t="str">
        <f aca="false">IF($A910="","",物件マスタ!H910)</f>
        <v>東京経済圏（KDX区分）</v>
      </c>
      <c r="F910" s="1" t="n">
        <f aca="false">IF($A910="","",物件マスタ!P910)</f>
        <v>0</v>
      </c>
      <c r="G910" s="1" t="str">
        <f aca="false">IF($A910="","",物件マスタ!Q910)</f>
        <v/>
      </c>
      <c r="H910" s="1" t="n">
        <f aca="false">IF($A910="","",物件マスタ!L910)</f>
        <v>0</v>
      </c>
      <c r="I910" s="1" t="n">
        <f aca="false">IF($A910="","",物件マスタ!M910)</f>
        <v>1015.39</v>
      </c>
      <c r="J910" s="1" t="n">
        <f aca="false">IF($A910="","",物件マスタ!S910)</f>
        <v>945</v>
      </c>
      <c r="K910" s="1" t="n">
        <f aca="false">IF($A910="","",物件マスタ!U910)</f>
        <v>923</v>
      </c>
      <c r="L910" s="1" t="n">
        <f aca="false">IF($A910="","",物件マスタ!W910)</f>
        <v>0.979</v>
      </c>
      <c r="M910" s="1" t="str">
        <f aca="false">IF($A910="","",IFERROR(INDEX(法人マスタ!$H:$H,MATCH($B910,法人マスタ!$A:$A,0)),""))</f>
        <v>2026年4月期（第42期）</v>
      </c>
      <c r="N910" s="1" t="n">
        <f aca="false">IF($A910="","",SUMIFS(物件収支!$D:$D,物件収支!$A:$A,$A910,物件収支!$C:$C,$M910))</f>
        <v>6</v>
      </c>
      <c r="O910" s="1" t="n">
        <f aca="false">IF($A910="","",SUMIFS(物件収支!$F:$F,物件収支!$A:$A,$A910,物件収支!$C:$C,$M910))</f>
        <v>24000</v>
      </c>
      <c r="P910" s="1" t="n">
        <f aca="false">IF($A910="","",SUMIFS(物件収支!$I:$I,物件収支!$A:$A,$A910,物件収支!$C:$C,$M910))</f>
        <v>0</v>
      </c>
      <c r="Q910" s="1" t="n">
        <f aca="false">IF($A910="","",SUMIFS(物件収支!$O:$O,物件収支!$A:$A,$A910,物件収支!$C:$C,$M910))</f>
        <v>0</v>
      </c>
      <c r="R910" s="1" t="str">
        <f aca="false">IF($A910="","",IF(P910=0,"",O910-P910))</f>
        <v/>
      </c>
      <c r="S910" s="1" t="str">
        <f aca="false">IF($A910="","",IF(R910="","",R910+Q910))</f>
        <v/>
      </c>
      <c r="T910" s="1" t="str">
        <f aca="false">IF($A910="","",IF(OR(S910="",N910&lt;=0),"",S910/1000*12/N910))</f>
        <v/>
      </c>
      <c r="U910" s="1" t="str">
        <f aca="false">IF($A910="","",IF(OR(T910="",J910=0,J910=""),"",T910/J910))</f>
        <v/>
      </c>
      <c r="V910" s="1" t="str">
        <f aca="false">IF($A910="","",IF(OR(R910="",N910&lt;=0,J910=0,J910=""),"",(R910/1000*12/N910)/J910))</f>
        <v/>
      </c>
      <c r="W910" s="1" t="str">
        <f aca="false">IF($A910="","",IF(OR(T910="",K910=0,K910=""),"",T910/K910))</f>
        <v/>
      </c>
      <c r="X910" s="1" t="n">
        <f aca="false">IF($A910="","",IF(OR(N910&lt;=0,I910=0,I910="",O910=0),"",O910*1000/(I910*0.3025)/N910))</f>
        <v>13022.7208224109</v>
      </c>
      <c r="Y910" s="1" t="str">
        <f aca="false">IF($A910="","",IF(OR(O910=0,O910="",P910=0),"",P910/O910))</f>
        <v/>
      </c>
      <c r="Z910" s="1" t="str">
        <f aca="false">IF($A910="","",IFERROR(INDEX(物件収支!$E:$E,MATCH($A910,物件収支!$A:$A,0)),""))</f>
        <v>開示（物件別・収益のみ・百万円単位）</v>
      </c>
    </row>
    <row r="911" customFormat="false" ht="15" hidden="false" customHeight="true" outlineLevel="0" collapsed="false">
      <c r="A911" s="1" t="str">
        <f aca="false">IF(物件マスタ!A911="","",物件マスタ!A911)</f>
        <v>KDX-170</v>
      </c>
      <c r="B911" s="1" t="str">
        <f aca="false">IF($A911="","",物件マスタ!B911)</f>
        <v>KDX</v>
      </c>
      <c r="C911" s="1" t="str">
        <f aca="false">IF($A911="","",IFERROR(INDEX(法人マスタ!$C:$C,MATCH($B911,法人マスタ!$A:$A,0)),""))</f>
        <v>ＫＤＸ不動産投資法人</v>
      </c>
      <c r="D911" s="1" t="str">
        <f aca="false">IF($A911="","",物件マスタ!C911)</f>
        <v>KDXレジデンス八丁堀</v>
      </c>
      <c r="E911" s="1" t="str">
        <f aca="false">IF($A911="","",物件マスタ!H911)</f>
        <v>東京経済圏（KDX区分）</v>
      </c>
      <c r="F911" s="1" t="n">
        <f aca="false">IF($A911="","",物件マスタ!P911)</f>
        <v>0</v>
      </c>
      <c r="G911" s="1" t="str">
        <f aca="false">IF($A911="","",物件マスタ!Q911)</f>
        <v/>
      </c>
      <c r="H911" s="1" t="n">
        <f aca="false">IF($A911="","",物件マスタ!L911)</f>
        <v>0</v>
      </c>
      <c r="I911" s="1" t="n">
        <f aca="false">IF($A911="","",物件マスタ!M911)</f>
        <v>2821.15</v>
      </c>
      <c r="J911" s="1" t="n">
        <f aca="false">IF($A911="","",物件マスタ!S911)</f>
        <v>3720</v>
      </c>
      <c r="K911" s="1" t="n">
        <f aca="false">IF($A911="","",物件マスタ!U911)</f>
        <v>4060</v>
      </c>
      <c r="L911" s="1" t="n">
        <f aca="false">IF($A911="","",物件マスタ!W911)</f>
        <v>0.925</v>
      </c>
      <c r="M911" s="1" t="str">
        <f aca="false">IF($A911="","",IFERROR(INDEX(法人マスタ!$H:$H,MATCH($B911,法人マスタ!$A:$A,0)),""))</f>
        <v>2026年4月期（第42期）</v>
      </c>
      <c r="N911" s="1" t="n">
        <f aca="false">IF($A911="","",SUMIFS(物件収支!$D:$D,物件収支!$A:$A,$A911,物件収支!$C:$C,$M911))</f>
        <v>6</v>
      </c>
      <c r="O911" s="1" t="n">
        <f aca="false">IF($A911="","",SUMIFS(物件収支!$F:$F,物件収支!$A:$A,$A911,物件収支!$C:$C,$M911))</f>
        <v>86000</v>
      </c>
      <c r="P911" s="1" t="n">
        <f aca="false">IF($A911="","",SUMIFS(物件収支!$I:$I,物件収支!$A:$A,$A911,物件収支!$C:$C,$M911))</f>
        <v>0</v>
      </c>
      <c r="Q911" s="1" t="n">
        <f aca="false">IF($A911="","",SUMIFS(物件収支!$O:$O,物件収支!$A:$A,$A911,物件収支!$C:$C,$M911))</f>
        <v>0</v>
      </c>
      <c r="R911" s="1" t="str">
        <f aca="false">IF($A911="","",IF(P911=0,"",O911-P911))</f>
        <v/>
      </c>
      <c r="S911" s="1" t="str">
        <f aca="false">IF($A911="","",IF(R911="","",R911+Q911))</f>
        <v/>
      </c>
      <c r="T911" s="1" t="str">
        <f aca="false">IF($A911="","",IF(OR(S911="",N911&lt;=0),"",S911/1000*12/N911))</f>
        <v/>
      </c>
      <c r="U911" s="1" t="str">
        <f aca="false">IF($A911="","",IF(OR(T911="",J911=0,J911=""),"",T911/J911))</f>
        <v/>
      </c>
      <c r="V911" s="1" t="str">
        <f aca="false">IF($A911="","",IF(OR(R911="",N911&lt;=0,J911=0,J911=""),"",(R911/1000*12/N911)/J911))</f>
        <v/>
      </c>
      <c r="W911" s="1" t="str">
        <f aca="false">IF($A911="","",IF(OR(T911="",K911=0,K911=""),"",T911/K911))</f>
        <v/>
      </c>
      <c r="X911" s="1" t="n">
        <f aca="false">IF($A911="","",IF(OR(N911&lt;=0,I911=0,I911="",O911=0),"",O911*1000/(I911*0.3025)/N911))</f>
        <v>16795.6046683774</v>
      </c>
      <c r="Y911" s="1" t="str">
        <f aca="false">IF($A911="","",IF(OR(O911=0,O911="",P911=0),"",P911/O911))</f>
        <v/>
      </c>
      <c r="Z911" s="1" t="str">
        <f aca="false">IF($A911="","",IFERROR(INDEX(物件収支!$E:$E,MATCH($A911,物件収支!$A:$A,0)),""))</f>
        <v>開示（物件別・収益のみ・百万円単位）</v>
      </c>
    </row>
    <row r="912" customFormat="false" ht="15" hidden="false" customHeight="true" outlineLevel="0" collapsed="false">
      <c r="A912" s="1" t="str">
        <f aca="false">IF(物件マスタ!A912="","",物件マスタ!A912)</f>
        <v>KDX-171</v>
      </c>
      <c r="B912" s="1" t="str">
        <f aca="false">IF($A912="","",物件マスタ!B912)</f>
        <v>KDX</v>
      </c>
      <c r="C912" s="1" t="str">
        <f aca="false">IF($A912="","",IFERROR(INDEX(法人マスタ!$C:$C,MATCH($B912,法人マスタ!$A:$A,0)),""))</f>
        <v>ＫＤＸ不動産投資法人</v>
      </c>
      <c r="D912" s="1" t="str">
        <f aca="false">IF($A912="","",物件マスタ!C912)</f>
        <v>KDXレジデンス中板橋</v>
      </c>
      <c r="E912" s="1" t="str">
        <f aca="false">IF($A912="","",物件マスタ!H912)</f>
        <v>東京経済圏（KDX区分）</v>
      </c>
      <c r="F912" s="1" t="n">
        <f aca="false">IF($A912="","",物件マスタ!P912)</f>
        <v>0</v>
      </c>
      <c r="G912" s="1" t="str">
        <f aca="false">IF($A912="","",物件マスタ!Q912)</f>
        <v/>
      </c>
      <c r="H912" s="1" t="n">
        <f aca="false">IF($A912="","",物件マスタ!L912)</f>
        <v>0</v>
      </c>
      <c r="I912" s="1" t="n">
        <f aca="false">IF($A912="","",物件マスタ!M912)</f>
        <v>1972.49</v>
      </c>
      <c r="J912" s="1" t="n">
        <f aca="false">IF($A912="","",物件マスタ!S912)</f>
        <v>2030</v>
      </c>
      <c r="K912" s="1" t="n">
        <f aca="false">IF($A912="","",物件マスタ!U912)</f>
        <v>2120</v>
      </c>
      <c r="L912" s="1" t="n">
        <f aca="false">IF($A912="","",物件マスタ!W912)</f>
        <v>0.974</v>
      </c>
      <c r="M912" s="1" t="str">
        <f aca="false">IF($A912="","",IFERROR(INDEX(法人マスタ!$H:$H,MATCH($B912,法人マスタ!$A:$A,0)),""))</f>
        <v>2026年4月期（第42期）</v>
      </c>
      <c r="N912" s="1" t="n">
        <f aca="false">IF($A912="","",SUMIFS(物件収支!$D:$D,物件収支!$A:$A,$A912,物件収支!$C:$C,$M912))</f>
        <v>6</v>
      </c>
      <c r="O912" s="1" t="n">
        <f aca="false">IF($A912="","",SUMIFS(物件収支!$F:$F,物件収支!$A:$A,$A912,物件収支!$C:$C,$M912))</f>
        <v>49000</v>
      </c>
      <c r="P912" s="1" t="n">
        <f aca="false">IF($A912="","",SUMIFS(物件収支!$I:$I,物件収支!$A:$A,$A912,物件収支!$C:$C,$M912))</f>
        <v>0</v>
      </c>
      <c r="Q912" s="1" t="n">
        <f aca="false">IF($A912="","",SUMIFS(物件収支!$O:$O,物件収支!$A:$A,$A912,物件収支!$C:$C,$M912))</f>
        <v>0</v>
      </c>
      <c r="R912" s="1" t="str">
        <f aca="false">IF($A912="","",IF(P912=0,"",O912-P912))</f>
        <v/>
      </c>
      <c r="S912" s="1" t="str">
        <f aca="false">IF($A912="","",IF(R912="","",R912+Q912))</f>
        <v/>
      </c>
      <c r="T912" s="1" t="str">
        <f aca="false">IF($A912="","",IF(OR(S912="",N912&lt;=0),"",S912/1000*12/N912))</f>
        <v/>
      </c>
      <c r="U912" s="1" t="str">
        <f aca="false">IF($A912="","",IF(OR(T912="",J912=0,J912=""),"",T912/J912))</f>
        <v/>
      </c>
      <c r="V912" s="1" t="str">
        <f aca="false">IF($A912="","",IF(OR(R912="",N912&lt;=0,J912=0,J912=""),"",(R912/1000*12/N912)/J912))</f>
        <v/>
      </c>
      <c r="W912" s="1" t="str">
        <f aca="false">IF($A912="","",IF(OR(T912="",K912=0,K912=""),"",T912/K912))</f>
        <v/>
      </c>
      <c r="X912" s="1" t="n">
        <f aca="false">IF($A912="","",IF(OR(N912&lt;=0,I912=0,I912="",O912=0),"",O912*1000/(I912*0.3025)/N912))</f>
        <v>13686.8857023677</v>
      </c>
      <c r="Y912" s="1" t="str">
        <f aca="false">IF($A912="","",IF(OR(O912=0,O912="",P912=0),"",P912/O912))</f>
        <v/>
      </c>
      <c r="Z912" s="1" t="str">
        <f aca="false">IF($A912="","",IFERROR(INDEX(物件収支!$E:$E,MATCH($A912,物件収支!$A:$A,0)),""))</f>
        <v>開示（物件別・収益のみ・百万円単位）</v>
      </c>
    </row>
    <row r="913" customFormat="false" ht="15" hidden="false" customHeight="true" outlineLevel="0" collapsed="false">
      <c r="A913" s="1" t="str">
        <f aca="false">IF(物件マスタ!A913="","",物件マスタ!A913)</f>
        <v>KDX-172</v>
      </c>
      <c r="B913" s="1" t="str">
        <f aca="false">IF($A913="","",物件マスタ!B913)</f>
        <v>KDX</v>
      </c>
      <c r="C913" s="1" t="str">
        <f aca="false">IF($A913="","",IFERROR(INDEX(法人マスタ!$C:$C,MATCH($B913,法人マスタ!$A:$A,0)),""))</f>
        <v>ＫＤＸ不動産投資法人</v>
      </c>
      <c r="D913" s="1" t="str">
        <f aca="false">IF($A913="","",物件マスタ!C913)</f>
        <v>コスモハイム元住吉</v>
      </c>
      <c r="E913" s="1" t="str">
        <f aca="false">IF($A913="","",物件マスタ!H913)</f>
        <v>東京経済圏（KDX区分）</v>
      </c>
      <c r="F913" s="1" t="n">
        <f aca="false">IF($A913="","",物件マスタ!P913)</f>
        <v>0</v>
      </c>
      <c r="G913" s="1" t="str">
        <f aca="false">IF($A913="","",物件マスタ!Q913)</f>
        <v/>
      </c>
      <c r="H913" s="1" t="n">
        <f aca="false">IF($A913="","",物件マスタ!L913)</f>
        <v>0</v>
      </c>
      <c r="I913" s="1" t="n">
        <f aca="false">IF($A913="","",物件マスタ!M913)</f>
        <v>4538.04</v>
      </c>
      <c r="J913" s="1" t="n">
        <f aca="false">IF($A913="","",物件マスタ!S913)</f>
        <v>2580</v>
      </c>
      <c r="K913" s="1" t="n">
        <f aca="false">IF($A913="","",物件マスタ!U913)</f>
        <v>2590</v>
      </c>
      <c r="L913" s="1" t="n">
        <f aca="false">IF($A913="","",物件マスタ!W913)</f>
        <v>0.988</v>
      </c>
      <c r="M913" s="1" t="str">
        <f aca="false">IF($A913="","",IFERROR(INDEX(法人マスタ!$H:$H,MATCH($B913,法人マスタ!$A:$A,0)),""))</f>
        <v>2026年4月期（第42期）</v>
      </c>
      <c r="N913" s="1" t="n">
        <f aca="false">IF($A913="","",SUMIFS(物件収支!$D:$D,物件収支!$A:$A,$A913,物件収支!$C:$C,$M913))</f>
        <v>6</v>
      </c>
      <c r="O913" s="1" t="n">
        <f aca="false">IF($A913="","",SUMIFS(物件収支!$F:$F,物件収支!$A:$A,$A913,物件収支!$C:$C,$M913))</f>
        <v>77000</v>
      </c>
      <c r="P913" s="1" t="n">
        <f aca="false">IF($A913="","",SUMIFS(物件収支!$I:$I,物件収支!$A:$A,$A913,物件収支!$C:$C,$M913))</f>
        <v>0</v>
      </c>
      <c r="Q913" s="1" t="n">
        <f aca="false">IF($A913="","",SUMIFS(物件収支!$O:$O,物件収支!$A:$A,$A913,物件収支!$C:$C,$M913))</f>
        <v>0</v>
      </c>
      <c r="R913" s="1" t="str">
        <f aca="false">IF($A913="","",IF(P913=0,"",O913-P913))</f>
        <v/>
      </c>
      <c r="S913" s="1" t="str">
        <f aca="false">IF($A913="","",IF(R913="","",R913+Q913))</f>
        <v/>
      </c>
      <c r="T913" s="1" t="str">
        <f aca="false">IF($A913="","",IF(OR(S913="",N913&lt;=0),"",S913/1000*12/N913))</f>
        <v/>
      </c>
      <c r="U913" s="1" t="str">
        <f aca="false">IF($A913="","",IF(OR(T913="",J913=0,J913=""),"",T913/J913))</f>
        <v/>
      </c>
      <c r="V913" s="1" t="str">
        <f aca="false">IF($A913="","",IF(OR(R913="",N913&lt;=0,J913=0,J913=""),"",(R913/1000*12/N913)/J913))</f>
        <v/>
      </c>
      <c r="W913" s="1" t="str">
        <f aca="false">IF($A913="","",IF(OR(T913="",K913=0,K913=""),"",T913/K913))</f>
        <v/>
      </c>
      <c r="X913" s="1" t="n">
        <f aca="false">IF($A913="","",IF(OR(N913&lt;=0,I913=0,I913="",O913=0),"",O913*1000/(I913*0.3025)/N913))</f>
        <v>9348.58274150127</v>
      </c>
      <c r="Y913" s="1" t="str">
        <f aca="false">IF($A913="","",IF(OR(O913=0,O913="",P913=0),"",P913/O913))</f>
        <v/>
      </c>
      <c r="Z913" s="1" t="str">
        <f aca="false">IF($A913="","",IFERROR(INDEX(物件収支!$E:$E,MATCH($A913,物件収支!$A:$A,0)),""))</f>
        <v>開示（物件別・収益のみ・百万円単位）</v>
      </c>
    </row>
    <row r="914" customFormat="false" ht="15" hidden="false" customHeight="true" outlineLevel="0" collapsed="false">
      <c r="A914" s="1" t="str">
        <f aca="false">IF(物件マスタ!A914="","",物件マスタ!A914)</f>
        <v>KDX-173</v>
      </c>
      <c r="B914" s="1" t="str">
        <f aca="false">IF($A914="","",物件マスタ!B914)</f>
        <v>KDX</v>
      </c>
      <c r="C914" s="1" t="str">
        <f aca="false">IF($A914="","",IFERROR(INDEX(法人マスタ!$C:$C,MATCH($B914,法人マスタ!$A:$A,0)),""))</f>
        <v>ＫＤＸ不動産投資法人</v>
      </c>
      <c r="D914" s="1" t="str">
        <f aca="false">IF($A914="","",物件マスタ!C914)</f>
        <v>KDXレジデンス湘南台</v>
      </c>
      <c r="E914" s="1" t="str">
        <f aca="false">IF($A914="","",物件マスタ!H914)</f>
        <v>東京経済圏（KDX区分）</v>
      </c>
      <c r="F914" s="1" t="n">
        <f aca="false">IF($A914="","",物件マスタ!P914)</f>
        <v>0</v>
      </c>
      <c r="G914" s="1" t="str">
        <f aca="false">IF($A914="","",物件マスタ!Q914)</f>
        <v/>
      </c>
      <c r="H914" s="1" t="n">
        <f aca="false">IF($A914="","",物件マスタ!L914)</f>
        <v>0</v>
      </c>
      <c r="I914" s="1" t="n">
        <f aca="false">IF($A914="","",物件マスタ!M914)</f>
        <v>2723.2</v>
      </c>
      <c r="J914" s="1" t="n">
        <f aca="false">IF($A914="","",物件マスタ!S914)</f>
        <v>1730</v>
      </c>
      <c r="K914" s="1" t="n">
        <f aca="false">IF($A914="","",物件マスタ!U914)</f>
        <v>1720</v>
      </c>
      <c r="L914" s="1" t="n">
        <f aca="false">IF($A914="","",物件マスタ!W914)</f>
        <v>0.981</v>
      </c>
      <c r="M914" s="1" t="str">
        <f aca="false">IF($A914="","",IFERROR(INDEX(法人マスタ!$H:$H,MATCH($B914,法人マスタ!$A:$A,0)),""))</f>
        <v>2026年4月期（第42期）</v>
      </c>
      <c r="N914" s="1" t="n">
        <f aca="false">IF($A914="","",SUMIFS(物件収支!$D:$D,物件収支!$A:$A,$A914,物件収支!$C:$C,$M914))</f>
        <v>6</v>
      </c>
      <c r="O914" s="1" t="n">
        <f aca="false">IF($A914="","",SUMIFS(物件収支!$F:$F,物件収支!$A:$A,$A914,物件収支!$C:$C,$M914))</f>
        <v>53000</v>
      </c>
      <c r="P914" s="1" t="n">
        <f aca="false">IF($A914="","",SUMIFS(物件収支!$I:$I,物件収支!$A:$A,$A914,物件収支!$C:$C,$M914))</f>
        <v>0</v>
      </c>
      <c r="Q914" s="1" t="n">
        <f aca="false">IF($A914="","",SUMIFS(物件収支!$O:$O,物件収支!$A:$A,$A914,物件収支!$C:$C,$M914))</f>
        <v>0</v>
      </c>
      <c r="R914" s="1" t="str">
        <f aca="false">IF($A914="","",IF(P914=0,"",O914-P914))</f>
        <v/>
      </c>
      <c r="S914" s="1" t="str">
        <f aca="false">IF($A914="","",IF(R914="","",R914+Q914))</f>
        <v/>
      </c>
      <c r="T914" s="1" t="str">
        <f aca="false">IF($A914="","",IF(OR(S914="",N914&lt;=0),"",S914/1000*12/N914))</f>
        <v/>
      </c>
      <c r="U914" s="1" t="str">
        <f aca="false">IF($A914="","",IF(OR(T914="",J914=0,J914=""),"",T914/J914))</f>
        <v/>
      </c>
      <c r="V914" s="1" t="str">
        <f aca="false">IF($A914="","",IF(OR(R914="",N914&lt;=0,J914=0,J914=""),"",(R914/1000*12/N914)/J914))</f>
        <v/>
      </c>
      <c r="W914" s="1" t="str">
        <f aca="false">IF($A914="","",IF(OR(T914="",K914=0,K914=""),"",T914/K914))</f>
        <v/>
      </c>
      <c r="X914" s="1" t="n">
        <f aca="false">IF($A914="","",IF(OR(N914&lt;=0,I914=0,I914="",O914=0),"",O914*1000/(I914*0.3025)/N914))</f>
        <v>10723.0838456135</v>
      </c>
      <c r="Y914" s="1" t="str">
        <f aca="false">IF($A914="","",IF(OR(O914=0,O914="",P914=0),"",P914/O914))</f>
        <v/>
      </c>
      <c r="Z914" s="1" t="str">
        <f aca="false">IF($A914="","",IFERROR(INDEX(物件収支!$E:$E,MATCH($A914,物件収支!$A:$A,0)),""))</f>
        <v>開示（物件別・収益のみ・百万円単位）</v>
      </c>
    </row>
    <row r="915" customFormat="false" ht="15" hidden="false" customHeight="true" outlineLevel="0" collapsed="false">
      <c r="A915" s="1" t="str">
        <f aca="false">IF(物件マスタ!A915="","",物件マスタ!A915)</f>
        <v>KDX-174</v>
      </c>
      <c r="B915" s="1" t="str">
        <f aca="false">IF($A915="","",物件マスタ!B915)</f>
        <v>KDX</v>
      </c>
      <c r="C915" s="1" t="str">
        <f aca="false">IF($A915="","",IFERROR(INDEX(法人マスタ!$C:$C,MATCH($B915,法人マスタ!$A:$A,0)),""))</f>
        <v>ＫＤＸ不動産投資法人</v>
      </c>
      <c r="D915" s="1" t="str">
        <f aca="false">IF($A915="","",物件マスタ!C915)</f>
        <v>KDXレジデンス池袋ウエスト</v>
      </c>
      <c r="E915" s="1" t="str">
        <f aca="false">IF($A915="","",物件マスタ!H915)</f>
        <v>東京経済圏（KDX区分）</v>
      </c>
      <c r="F915" s="1" t="n">
        <f aca="false">IF($A915="","",物件マスタ!P915)</f>
        <v>0</v>
      </c>
      <c r="G915" s="1" t="str">
        <f aca="false">IF($A915="","",物件マスタ!Q915)</f>
        <v/>
      </c>
      <c r="H915" s="1" t="n">
        <f aca="false">IF($A915="","",物件マスタ!L915)</f>
        <v>0</v>
      </c>
      <c r="I915" s="1" t="n">
        <f aca="false">IF($A915="","",物件マスタ!M915)</f>
        <v>2274.7</v>
      </c>
      <c r="J915" s="1" t="n">
        <f aca="false">IF($A915="","",物件マスタ!S915)</f>
        <v>2580</v>
      </c>
      <c r="K915" s="1" t="n">
        <f aca="false">IF($A915="","",物件マスタ!U915)</f>
        <v>2650</v>
      </c>
      <c r="L915" s="1" t="n">
        <f aca="false">IF($A915="","",物件マスタ!W915)</f>
        <v>1</v>
      </c>
      <c r="M915" s="1" t="str">
        <f aca="false">IF($A915="","",IFERROR(INDEX(法人マスタ!$H:$H,MATCH($B915,法人マスタ!$A:$A,0)),""))</f>
        <v>2026年4月期（第42期）</v>
      </c>
      <c r="N915" s="1" t="n">
        <f aca="false">IF($A915="","",SUMIFS(物件収支!$D:$D,物件収支!$A:$A,$A915,物件収支!$C:$C,$M915))</f>
        <v>6</v>
      </c>
      <c r="O915" s="1" t="n">
        <f aca="false">IF($A915="","",SUMIFS(物件収支!$F:$F,物件収支!$A:$A,$A915,物件収支!$C:$C,$M915))</f>
        <v>55000</v>
      </c>
      <c r="P915" s="1" t="n">
        <f aca="false">IF($A915="","",SUMIFS(物件収支!$I:$I,物件収支!$A:$A,$A915,物件収支!$C:$C,$M915))</f>
        <v>0</v>
      </c>
      <c r="Q915" s="1" t="n">
        <f aca="false">IF($A915="","",SUMIFS(物件収支!$O:$O,物件収支!$A:$A,$A915,物件収支!$C:$C,$M915))</f>
        <v>0</v>
      </c>
      <c r="R915" s="1" t="str">
        <f aca="false">IF($A915="","",IF(P915=0,"",O915-P915))</f>
        <v/>
      </c>
      <c r="S915" s="1" t="str">
        <f aca="false">IF($A915="","",IF(R915="","",R915+Q915))</f>
        <v/>
      </c>
      <c r="T915" s="1" t="str">
        <f aca="false">IF($A915="","",IF(OR(S915="",N915&lt;=0),"",S915/1000*12/N915))</f>
        <v/>
      </c>
      <c r="U915" s="1" t="str">
        <f aca="false">IF($A915="","",IF(OR(T915="",J915=0,J915=""),"",T915/J915))</f>
        <v/>
      </c>
      <c r="V915" s="1" t="str">
        <f aca="false">IF($A915="","",IF(OR(R915="",N915&lt;=0,J915=0,J915=""),"",(R915/1000*12/N915)/J915))</f>
        <v/>
      </c>
      <c r="W915" s="1" t="str">
        <f aca="false">IF($A915="","",IF(OR(T915="",K915=0,K915=""),"",T915/K915))</f>
        <v/>
      </c>
      <c r="X915" s="1" t="n">
        <f aca="false">IF($A915="","",IF(OR(N915&lt;=0,I915=0,I915="",O915=0),"",O915*1000/(I915*0.3025)/N915))</f>
        <v>13321.7700369413</v>
      </c>
      <c r="Y915" s="1" t="str">
        <f aca="false">IF($A915="","",IF(OR(O915=0,O915="",P915=0),"",P915/O915))</f>
        <v/>
      </c>
      <c r="Z915" s="1" t="str">
        <f aca="false">IF($A915="","",IFERROR(INDEX(物件収支!$E:$E,MATCH($A915,物件収支!$A:$A,0)),""))</f>
        <v>開示（物件別・収益のみ・百万円単位）</v>
      </c>
    </row>
    <row r="916" customFormat="false" ht="15" hidden="false" customHeight="true" outlineLevel="0" collapsed="false">
      <c r="A916" s="1" t="str">
        <f aca="false">IF(物件マスタ!A916="","",物件マスタ!A916)</f>
        <v>KDX-175</v>
      </c>
      <c r="B916" s="1" t="str">
        <f aca="false">IF($A916="","",物件マスタ!B916)</f>
        <v>KDX</v>
      </c>
      <c r="C916" s="1" t="str">
        <f aca="false">IF($A916="","",IFERROR(INDEX(法人マスタ!$C:$C,MATCH($B916,法人マスタ!$A:$A,0)),""))</f>
        <v>ＫＤＸ不動産投資法人</v>
      </c>
      <c r="D916" s="1" t="str">
        <f aca="false">IF($A916="","",物件マスタ!C916)</f>
        <v>KDXレジデンス天王町</v>
      </c>
      <c r="E916" s="1" t="str">
        <f aca="false">IF($A916="","",物件マスタ!H916)</f>
        <v>東京経済圏（KDX区分）</v>
      </c>
      <c r="F916" s="1" t="n">
        <f aca="false">IF($A916="","",物件マスタ!P916)</f>
        <v>0</v>
      </c>
      <c r="G916" s="1" t="str">
        <f aca="false">IF($A916="","",物件マスタ!Q916)</f>
        <v/>
      </c>
      <c r="H916" s="1" t="n">
        <f aca="false">IF($A916="","",物件マスタ!L916)</f>
        <v>0</v>
      </c>
      <c r="I916" s="1" t="n">
        <f aca="false">IF($A916="","",物件マスタ!M916)</f>
        <v>1185.08</v>
      </c>
      <c r="J916" s="1" t="n">
        <f aca="false">IF($A916="","",物件マスタ!S916)</f>
        <v>961</v>
      </c>
      <c r="K916" s="1" t="n">
        <f aca="false">IF($A916="","",物件マスタ!U916)</f>
        <v>965</v>
      </c>
      <c r="L916" s="1" t="n">
        <f aca="false">IF($A916="","",物件マスタ!W916)</f>
        <v>1</v>
      </c>
      <c r="M916" s="1" t="str">
        <f aca="false">IF($A916="","",IFERROR(INDEX(法人マスタ!$H:$H,MATCH($B916,法人マスタ!$A:$A,0)),""))</f>
        <v>2026年4月期（第42期）</v>
      </c>
      <c r="N916" s="1" t="n">
        <f aca="false">IF($A916="","",SUMIFS(物件収支!$D:$D,物件収支!$A:$A,$A916,物件収支!$C:$C,$M916))</f>
        <v>6</v>
      </c>
      <c r="O916" s="1" t="n">
        <f aca="false">IF($A916="","",SUMIFS(物件収支!$F:$F,物件収支!$A:$A,$A916,物件収支!$C:$C,$M916))</f>
        <v>24000</v>
      </c>
      <c r="P916" s="1" t="n">
        <f aca="false">IF($A916="","",SUMIFS(物件収支!$I:$I,物件収支!$A:$A,$A916,物件収支!$C:$C,$M916))</f>
        <v>0</v>
      </c>
      <c r="Q916" s="1" t="n">
        <f aca="false">IF($A916="","",SUMIFS(物件収支!$O:$O,物件収支!$A:$A,$A916,物件収支!$C:$C,$M916))</f>
        <v>0</v>
      </c>
      <c r="R916" s="1" t="str">
        <f aca="false">IF($A916="","",IF(P916=0,"",O916-P916))</f>
        <v/>
      </c>
      <c r="S916" s="1" t="str">
        <f aca="false">IF($A916="","",IF(R916="","",R916+Q916))</f>
        <v/>
      </c>
      <c r="T916" s="1" t="str">
        <f aca="false">IF($A916="","",IF(OR(S916="",N916&lt;=0),"",S916/1000*12/N916))</f>
        <v/>
      </c>
      <c r="U916" s="1" t="str">
        <f aca="false">IF($A916="","",IF(OR(T916="",J916=0,J916=""),"",T916/J916))</f>
        <v/>
      </c>
      <c r="V916" s="1" t="str">
        <f aca="false">IF($A916="","",IF(OR(R916="",N916&lt;=0,J916=0,J916=""),"",(R916/1000*12/N916)/J916))</f>
        <v/>
      </c>
      <c r="W916" s="1" t="str">
        <f aca="false">IF($A916="","",IF(OR(T916="",K916=0,K916=""),"",T916/K916))</f>
        <v/>
      </c>
      <c r="X916" s="1" t="n">
        <f aca="false">IF($A916="","",IF(OR(N916&lt;=0,I916=0,I916="",O916=0),"",O916*1000/(I916*0.3025)/N916))</f>
        <v>11158.0150672256</v>
      </c>
      <c r="Y916" s="1" t="str">
        <f aca="false">IF($A916="","",IF(OR(O916=0,O916="",P916=0),"",P916/O916))</f>
        <v/>
      </c>
      <c r="Z916" s="1" t="str">
        <f aca="false">IF($A916="","",IFERROR(INDEX(物件収支!$E:$E,MATCH($A916,物件収支!$A:$A,0)),""))</f>
        <v>開示（物件別・収益のみ・百万円単位）</v>
      </c>
    </row>
    <row r="917" customFormat="false" ht="15" hidden="false" customHeight="true" outlineLevel="0" collapsed="false">
      <c r="A917" s="1" t="str">
        <f aca="false">IF(物件マスタ!A917="","",物件マスタ!A917)</f>
        <v>KDX-176</v>
      </c>
      <c r="B917" s="1" t="str">
        <f aca="false">IF($A917="","",物件マスタ!B917)</f>
        <v>KDX</v>
      </c>
      <c r="C917" s="1" t="str">
        <f aca="false">IF($A917="","",IFERROR(INDEX(法人マスタ!$C:$C,MATCH($B917,法人マスタ!$A:$A,0)),""))</f>
        <v>ＫＤＸ不動産投資法人</v>
      </c>
      <c r="D917" s="1" t="str">
        <f aca="false">IF($A917="","",物件マスタ!C917)</f>
        <v>KDXレジデンス川崎</v>
      </c>
      <c r="E917" s="1" t="str">
        <f aca="false">IF($A917="","",物件マスタ!H917)</f>
        <v>東京経済圏（KDX区分）</v>
      </c>
      <c r="F917" s="1" t="n">
        <f aca="false">IF($A917="","",物件マスタ!P917)</f>
        <v>0</v>
      </c>
      <c r="G917" s="1" t="str">
        <f aca="false">IF($A917="","",物件マスタ!Q917)</f>
        <v/>
      </c>
      <c r="H917" s="1" t="n">
        <f aca="false">IF($A917="","",物件マスタ!L917)</f>
        <v>0</v>
      </c>
      <c r="I917" s="1" t="n">
        <f aca="false">IF($A917="","",物件マスタ!M917)</f>
        <v>1179.11</v>
      </c>
      <c r="J917" s="1" t="n">
        <f aca="false">IF($A917="","",物件マスタ!S917)</f>
        <v>1080</v>
      </c>
      <c r="K917" s="1" t="n">
        <f aca="false">IF($A917="","",物件マスタ!U917)</f>
        <v>1110</v>
      </c>
      <c r="L917" s="1" t="n">
        <f aca="false">IF($A917="","",物件マスタ!W917)</f>
        <v>1</v>
      </c>
      <c r="M917" s="1" t="str">
        <f aca="false">IF($A917="","",IFERROR(INDEX(法人マスタ!$H:$H,MATCH($B917,法人マスタ!$A:$A,0)),""))</f>
        <v>2026年4月期（第42期）</v>
      </c>
      <c r="N917" s="1" t="n">
        <f aca="false">IF($A917="","",SUMIFS(物件収支!$D:$D,物件収支!$A:$A,$A917,物件収支!$C:$C,$M917))</f>
        <v>6</v>
      </c>
      <c r="O917" s="1" t="n">
        <f aca="false">IF($A917="","",SUMIFS(物件収支!$F:$F,物件収支!$A:$A,$A917,物件収支!$C:$C,$M917))</f>
        <v>26000</v>
      </c>
      <c r="P917" s="1" t="n">
        <f aca="false">IF($A917="","",SUMIFS(物件収支!$I:$I,物件収支!$A:$A,$A917,物件収支!$C:$C,$M917))</f>
        <v>0</v>
      </c>
      <c r="Q917" s="1" t="n">
        <f aca="false">IF($A917="","",SUMIFS(物件収支!$O:$O,物件収支!$A:$A,$A917,物件収支!$C:$C,$M917))</f>
        <v>0</v>
      </c>
      <c r="R917" s="1" t="str">
        <f aca="false">IF($A917="","",IF(P917=0,"",O917-P917))</f>
        <v/>
      </c>
      <c r="S917" s="1" t="str">
        <f aca="false">IF($A917="","",IF(R917="","",R917+Q917))</f>
        <v/>
      </c>
      <c r="T917" s="1" t="str">
        <f aca="false">IF($A917="","",IF(OR(S917="",N917&lt;=0),"",S917/1000*12/N917))</f>
        <v/>
      </c>
      <c r="U917" s="1" t="str">
        <f aca="false">IF($A917="","",IF(OR(T917="",J917=0,J917=""),"",T917/J917))</f>
        <v/>
      </c>
      <c r="V917" s="1" t="str">
        <f aca="false">IF($A917="","",IF(OR(R917="",N917&lt;=0,J917=0,J917=""),"",(R917/1000*12/N917)/J917))</f>
        <v/>
      </c>
      <c r="W917" s="1" t="str">
        <f aca="false">IF($A917="","",IF(OR(T917="",K917=0,K917=""),"",T917/K917))</f>
        <v/>
      </c>
      <c r="X917" s="1" t="n">
        <f aca="false">IF($A917="","",IF(OR(N917&lt;=0,I917=0,I917="",O917=0),"",O917*1000/(I917*0.3025)/N917))</f>
        <v>12149.0521414655</v>
      </c>
      <c r="Y917" s="1" t="str">
        <f aca="false">IF($A917="","",IF(OR(O917=0,O917="",P917=0),"",P917/O917))</f>
        <v/>
      </c>
      <c r="Z917" s="1" t="str">
        <f aca="false">IF($A917="","",IFERROR(INDEX(物件収支!$E:$E,MATCH($A917,物件収支!$A:$A,0)),""))</f>
        <v>開示（物件別・収益のみ・百万円単位）</v>
      </c>
    </row>
    <row r="918" customFormat="false" ht="15" hidden="false" customHeight="true" outlineLevel="0" collapsed="false">
      <c r="A918" s="1" t="str">
        <f aca="false">IF(物件マスタ!A918="","",物件マスタ!A918)</f>
        <v>KDX-177</v>
      </c>
      <c r="B918" s="1" t="str">
        <f aca="false">IF($A918="","",物件マスタ!B918)</f>
        <v>KDX</v>
      </c>
      <c r="C918" s="1" t="str">
        <f aca="false">IF($A918="","",IFERROR(INDEX(法人マスタ!$C:$C,MATCH($B918,法人マスタ!$A:$A,0)),""))</f>
        <v>ＫＤＸ不動産投資法人</v>
      </c>
      <c r="D918" s="1" t="str">
        <f aca="false">IF($A918="","",物件マスタ!C918)</f>
        <v>KDXレジデンス蒲田南II</v>
      </c>
      <c r="E918" s="1" t="str">
        <f aca="false">IF($A918="","",物件マスタ!H918)</f>
        <v>東京経済圏（KDX区分）</v>
      </c>
      <c r="F918" s="1" t="n">
        <f aca="false">IF($A918="","",物件マスタ!P918)</f>
        <v>0</v>
      </c>
      <c r="G918" s="1" t="str">
        <f aca="false">IF($A918="","",物件マスタ!Q918)</f>
        <v/>
      </c>
      <c r="H918" s="1" t="n">
        <f aca="false">IF($A918="","",物件マスタ!L918)</f>
        <v>0</v>
      </c>
      <c r="I918" s="1" t="n">
        <f aca="false">IF($A918="","",物件マスタ!M918)</f>
        <v>881.96</v>
      </c>
      <c r="J918" s="1" t="n">
        <f aca="false">IF($A918="","",物件マスタ!S918)</f>
        <v>950</v>
      </c>
      <c r="K918" s="1" t="n">
        <f aca="false">IF($A918="","",物件マスタ!U918)</f>
        <v>933</v>
      </c>
      <c r="L918" s="1" t="n">
        <f aca="false">IF($A918="","",物件マスタ!W918)</f>
        <v>1</v>
      </c>
      <c r="M918" s="1" t="str">
        <f aca="false">IF($A918="","",IFERROR(INDEX(法人マスタ!$H:$H,MATCH($B918,法人マスタ!$A:$A,0)),""))</f>
        <v>2026年4月期（第42期）</v>
      </c>
      <c r="N918" s="1" t="n">
        <f aca="false">IF($A918="","",SUMIFS(物件収支!$D:$D,物件収支!$A:$A,$A918,物件収支!$C:$C,$M918))</f>
        <v>6</v>
      </c>
      <c r="O918" s="1" t="n">
        <f aca="false">IF($A918="","",SUMIFS(物件収支!$F:$F,物件収支!$A:$A,$A918,物件収支!$C:$C,$M918))</f>
        <v>21000</v>
      </c>
      <c r="P918" s="1" t="n">
        <f aca="false">IF($A918="","",SUMIFS(物件収支!$I:$I,物件収支!$A:$A,$A918,物件収支!$C:$C,$M918))</f>
        <v>0</v>
      </c>
      <c r="Q918" s="1" t="n">
        <f aca="false">IF($A918="","",SUMIFS(物件収支!$O:$O,物件収支!$A:$A,$A918,物件収支!$C:$C,$M918))</f>
        <v>0</v>
      </c>
      <c r="R918" s="1" t="str">
        <f aca="false">IF($A918="","",IF(P918=0,"",O918-P918))</f>
        <v/>
      </c>
      <c r="S918" s="1" t="str">
        <f aca="false">IF($A918="","",IF(R918="","",R918+Q918))</f>
        <v/>
      </c>
      <c r="T918" s="1" t="str">
        <f aca="false">IF($A918="","",IF(OR(S918="",N918&lt;=0),"",S918/1000*12/N918))</f>
        <v/>
      </c>
      <c r="U918" s="1" t="str">
        <f aca="false">IF($A918="","",IF(OR(T918="",J918=0,J918=""),"",T918/J918))</f>
        <v/>
      </c>
      <c r="V918" s="1" t="str">
        <f aca="false">IF($A918="","",IF(OR(R918="",N918&lt;=0,J918=0,J918=""),"",(R918/1000*12/N918)/J918))</f>
        <v/>
      </c>
      <c r="W918" s="1" t="str">
        <f aca="false">IF($A918="","",IF(OR(T918="",K918=0,K918=""),"",T918/K918))</f>
        <v/>
      </c>
      <c r="X918" s="1" t="n">
        <f aca="false">IF($A918="","",IF(OR(N918&lt;=0,I918=0,I918="",O918=0),"",O918*1000/(I918*0.3025)/N918))</f>
        <v>13118.7898928345</v>
      </c>
      <c r="Y918" s="1" t="str">
        <f aca="false">IF($A918="","",IF(OR(O918=0,O918="",P918=0),"",P918/O918))</f>
        <v/>
      </c>
      <c r="Z918" s="1" t="str">
        <f aca="false">IF($A918="","",IFERROR(INDEX(物件収支!$E:$E,MATCH($A918,物件収支!$A:$A,0)),""))</f>
        <v>開示（物件別・収益のみ・百万円単位）</v>
      </c>
    </row>
    <row r="919" customFormat="false" ht="15" hidden="false" customHeight="true" outlineLevel="0" collapsed="false">
      <c r="A919" s="1" t="str">
        <f aca="false">IF(物件マスタ!A919="","",物件マスタ!A919)</f>
        <v>KDX-178</v>
      </c>
      <c r="B919" s="1" t="str">
        <f aca="false">IF($A919="","",物件マスタ!B919)</f>
        <v>KDX</v>
      </c>
      <c r="C919" s="1" t="str">
        <f aca="false">IF($A919="","",IFERROR(INDEX(法人マスタ!$C:$C,MATCH($B919,法人マスタ!$A:$A,0)),""))</f>
        <v>ＫＤＸ不動産投資法人</v>
      </c>
      <c r="D919" s="1" t="str">
        <f aca="false">IF($A919="","",物件マスタ!C919)</f>
        <v>KDXレジデンス上石神井II</v>
      </c>
      <c r="E919" s="1" t="str">
        <f aca="false">IF($A919="","",物件マスタ!H919)</f>
        <v>東京経済圏（KDX区分）</v>
      </c>
      <c r="F919" s="1" t="n">
        <f aca="false">IF($A919="","",物件マスタ!P919)</f>
        <v>0</v>
      </c>
      <c r="G919" s="1" t="str">
        <f aca="false">IF($A919="","",物件マスタ!Q919)</f>
        <v/>
      </c>
      <c r="H919" s="1" t="n">
        <f aca="false">IF($A919="","",物件マスタ!L919)</f>
        <v>0</v>
      </c>
      <c r="I919" s="1" t="n">
        <f aca="false">IF($A919="","",物件マスタ!M919)</f>
        <v>3988.06</v>
      </c>
      <c r="J919" s="1" t="n">
        <f aca="false">IF($A919="","",物件マスタ!S919)</f>
        <v>3570</v>
      </c>
      <c r="K919" s="1" t="n">
        <f aca="false">IF($A919="","",物件マスタ!U919)</f>
        <v>3730</v>
      </c>
      <c r="L919" s="1" t="n">
        <f aca="false">IF($A919="","",物件マスタ!W919)</f>
        <v>0.958</v>
      </c>
      <c r="M919" s="1" t="str">
        <f aca="false">IF($A919="","",IFERROR(INDEX(法人マスタ!$H:$H,MATCH($B919,法人マスタ!$A:$A,0)),""))</f>
        <v>2026年4月期（第42期）</v>
      </c>
      <c r="N919" s="1" t="n">
        <f aca="false">IF($A919="","",SUMIFS(物件収支!$D:$D,物件収支!$A:$A,$A919,物件収支!$C:$C,$M919))</f>
        <v>6</v>
      </c>
      <c r="O919" s="1" t="n">
        <f aca="false">IF($A919="","",SUMIFS(物件収支!$F:$F,物件収支!$A:$A,$A919,物件収支!$C:$C,$M919))</f>
        <v>92000</v>
      </c>
      <c r="P919" s="1" t="n">
        <f aca="false">IF($A919="","",SUMIFS(物件収支!$I:$I,物件収支!$A:$A,$A919,物件収支!$C:$C,$M919))</f>
        <v>0</v>
      </c>
      <c r="Q919" s="1" t="n">
        <f aca="false">IF($A919="","",SUMIFS(物件収支!$O:$O,物件収支!$A:$A,$A919,物件収支!$C:$C,$M919))</f>
        <v>0</v>
      </c>
      <c r="R919" s="1" t="str">
        <f aca="false">IF($A919="","",IF(P919=0,"",O919-P919))</f>
        <v/>
      </c>
      <c r="S919" s="1" t="str">
        <f aca="false">IF($A919="","",IF(R919="","",R919+Q919))</f>
        <v/>
      </c>
      <c r="T919" s="1" t="str">
        <f aca="false">IF($A919="","",IF(OR(S919="",N919&lt;=0),"",S919/1000*12/N919))</f>
        <v/>
      </c>
      <c r="U919" s="1" t="str">
        <f aca="false">IF($A919="","",IF(OR(T919="",J919=0,J919=""),"",T919/J919))</f>
        <v/>
      </c>
      <c r="V919" s="1" t="str">
        <f aca="false">IF($A919="","",IF(OR(R919="",N919&lt;=0,J919=0,J919=""),"",(R919/1000*12/N919)/J919))</f>
        <v/>
      </c>
      <c r="W919" s="1" t="str">
        <f aca="false">IF($A919="","",IF(OR(T919="",K919=0,K919=""),"",T919/K919))</f>
        <v/>
      </c>
      <c r="X919" s="1" t="n">
        <f aca="false">IF($A919="","",IF(OR(N919&lt;=0,I919=0,I919="",O919=0),"",O919*1000/(I919*0.3025)/N919))</f>
        <v>12710.1160048143</v>
      </c>
      <c r="Y919" s="1" t="str">
        <f aca="false">IF($A919="","",IF(OR(O919=0,O919="",P919=0),"",P919/O919))</f>
        <v/>
      </c>
      <c r="Z919" s="1" t="str">
        <f aca="false">IF($A919="","",IFERROR(INDEX(物件収支!$E:$E,MATCH($A919,物件収支!$A:$A,0)),""))</f>
        <v>開示（物件別・収益のみ・百万円単位）</v>
      </c>
    </row>
    <row r="920" customFormat="false" ht="15" hidden="false" customHeight="true" outlineLevel="0" collapsed="false">
      <c r="A920" s="1" t="str">
        <f aca="false">IF(物件マスタ!A920="","",物件マスタ!A920)</f>
        <v>KDX-179</v>
      </c>
      <c r="B920" s="1" t="str">
        <f aca="false">IF($A920="","",物件マスタ!B920)</f>
        <v>KDX</v>
      </c>
      <c r="C920" s="1" t="str">
        <f aca="false">IF($A920="","",IFERROR(INDEX(法人マスタ!$C:$C,MATCH($B920,法人マスタ!$A:$A,0)),""))</f>
        <v>ＫＤＸ不動産投資法人</v>
      </c>
      <c r="D920" s="1" t="str">
        <f aca="false">IF($A920="","",物件マスタ!C920)</f>
        <v>KDXレジデンス津田沼</v>
      </c>
      <c r="E920" s="1" t="str">
        <f aca="false">IF($A920="","",物件マスタ!H920)</f>
        <v>東京経済圏（KDX区分）</v>
      </c>
      <c r="F920" s="1" t="n">
        <f aca="false">IF($A920="","",物件マスタ!P920)</f>
        <v>0</v>
      </c>
      <c r="G920" s="1" t="str">
        <f aca="false">IF($A920="","",物件マスタ!Q920)</f>
        <v/>
      </c>
      <c r="H920" s="1" t="n">
        <f aca="false">IF($A920="","",物件マスタ!L920)</f>
        <v>0</v>
      </c>
      <c r="I920" s="1" t="n">
        <f aca="false">IF($A920="","",物件マスタ!M920)</f>
        <v>2477.01</v>
      </c>
      <c r="J920" s="1" t="n">
        <f aca="false">IF($A920="","",物件マスタ!S920)</f>
        <v>1390</v>
      </c>
      <c r="K920" s="1" t="n">
        <f aca="false">IF($A920="","",物件マスタ!U920)</f>
        <v>1360</v>
      </c>
      <c r="L920" s="1" t="n">
        <f aca="false">IF($A920="","",物件マスタ!W920)</f>
        <v>1</v>
      </c>
      <c r="M920" s="1" t="str">
        <f aca="false">IF($A920="","",IFERROR(INDEX(法人マスタ!$H:$H,MATCH($B920,法人マスタ!$A:$A,0)),""))</f>
        <v>2026年4月期（第42期）</v>
      </c>
      <c r="N920" s="1" t="n">
        <f aca="false">IF($A920="","",SUMIFS(物件収支!$D:$D,物件収支!$A:$A,$A920,物件収支!$C:$C,$M920))</f>
        <v>6</v>
      </c>
      <c r="O920" s="1" t="n">
        <f aca="false">IF($A920="","",SUMIFS(物件収支!$F:$F,物件収支!$A:$A,$A920,物件収支!$C:$C,$M920))</f>
        <v>33000</v>
      </c>
      <c r="P920" s="1" t="n">
        <f aca="false">IF($A920="","",SUMIFS(物件収支!$I:$I,物件収支!$A:$A,$A920,物件収支!$C:$C,$M920))</f>
        <v>0</v>
      </c>
      <c r="Q920" s="1" t="n">
        <f aca="false">IF($A920="","",SUMIFS(物件収支!$O:$O,物件収支!$A:$A,$A920,物件収支!$C:$C,$M920))</f>
        <v>0</v>
      </c>
      <c r="R920" s="1" t="str">
        <f aca="false">IF($A920="","",IF(P920=0,"",O920-P920))</f>
        <v/>
      </c>
      <c r="S920" s="1" t="str">
        <f aca="false">IF($A920="","",IF(R920="","",R920+Q920))</f>
        <v/>
      </c>
      <c r="T920" s="1" t="str">
        <f aca="false">IF($A920="","",IF(OR(S920="",N920&lt;=0),"",S920/1000*12/N920))</f>
        <v/>
      </c>
      <c r="U920" s="1" t="str">
        <f aca="false">IF($A920="","",IF(OR(T920="",J920=0,J920=""),"",T920/J920))</f>
        <v/>
      </c>
      <c r="V920" s="1" t="str">
        <f aca="false">IF($A920="","",IF(OR(R920="",N920&lt;=0,J920=0,J920=""),"",(R920/1000*12/N920)/J920))</f>
        <v/>
      </c>
      <c r="W920" s="1" t="str">
        <f aca="false">IF($A920="","",IF(OR(T920="",K920=0,K920=""),"",T920/K920))</f>
        <v/>
      </c>
      <c r="X920" s="1" t="n">
        <f aca="false">IF($A920="","",IF(OR(N920&lt;=0,I920=0,I920="",O920=0),"",O920*1000/(I920*0.3025)/N920))</f>
        <v>7340.22800950266</v>
      </c>
      <c r="Y920" s="1" t="str">
        <f aca="false">IF($A920="","",IF(OR(O920=0,O920="",P920=0),"",P920/O920))</f>
        <v/>
      </c>
      <c r="Z920" s="1" t="str">
        <f aca="false">IF($A920="","",IFERROR(INDEX(物件収支!$E:$E,MATCH($A920,物件収支!$A:$A,0)),""))</f>
        <v>開示（物件別・収益のみ・百万円単位）</v>
      </c>
    </row>
    <row r="921" customFormat="false" ht="15" hidden="false" customHeight="true" outlineLevel="0" collapsed="false">
      <c r="A921" s="1" t="str">
        <f aca="false">IF(物件マスタ!A921="","",物件マスタ!A921)</f>
        <v>KDX-180</v>
      </c>
      <c r="B921" s="1" t="str">
        <f aca="false">IF($A921="","",物件マスタ!B921)</f>
        <v>KDX</v>
      </c>
      <c r="C921" s="1" t="str">
        <f aca="false">IF($A921="","",IFERROR(INDEX(法人マスタ!$C:$C,MATCH($B921,法人マスタ!$A:$A,0)),""))</f>
        <v>ＫＤＸ不動産投資法人</v>
      </c>
      <c r="D921" s="1" t="str">
        <f aca="false">IF($A921="","",物件マスタ!C921)</f>
        <v>KDXレジデンス横濱紅葉坂</v>
      </c>
      <c r="E921" s="1" t="str">
        <f aca="false">IF($A921="","",物件マスタ!H921)</f>
        <v>東京経済圏（KDX区分）</v>
      </c>
      <c r="F921" s="1" t="n">
        <f aca="false">IF($A921="","",物件マスタ!P921)</f>
        <v>0</v>
      </c>
      <c r="G921" s="1" t="str">
        <f aca="false">IF($A921="","",物件マスタ!Q921)</f>
        <v/>
      </c>
      <c r="H921" s="1" t="n">
        <f aca="false">IF($A921="","",物件マスタ!L921)</f>
        <v>0</v>
      </c>
      <c r="I921" s="1" t="n">
        <f aca="false">IF($A921="","",物件マスタ!M921)</f>
        <v>4795.16</v>
      </c>
      <c r="J921" s="1" t="n">
        <f aca="false">IF($A921="","",物件マスタ!S921)</f>
        <v>5820</v>
      </c>
      <c r="K921" s="1" t="n">
        <f aca="false">IF($A921="","",物件マスタ!U921)</f>
        <v>6160</v>
      </c>
      <c r="L921" s="1" t="n">
        <f aca="false">IF($A921="","",物件マスタ!W921)</f>
        <v>0.959</v>
      </c>
      <c r="M921" s="1" t="str">
        <f aca="false">IF($A921="","",IFERROR(INDEX(法人マスタ!$H:$H,MATCH($B921,法人マスタ!$A:$A,0)),""))</f>
        <v>2026年4月期（第42期）</v>
      </c>
      <c r="N921" s="1" t="n">
        <f aca="false">IF($A921="","",SUMIFS(物件収支!$D:$D,物件収支!$A:$A,$A921,物件収支!$C:$C,$M921))</f>
        <v>6</v>
      </c>
      <c r="O921" s="1" t="n">
        <f aca="false">IF($A921="","",SUMIFS(物件収支!$F:$F,物件収支!$A:$A,$A921,物件収支!$C:$C,$M921))</f>
        <v>136000</v>
      </c>
      <c r="P921" s="1" t="n">
        <f aca="false">IF($A921="","",SUMIFS(物件収支!$I:$I,物件収支!$A:$A,$A921,物件収支!$C:$C,$M921))</f>
        <v>0</v>
      </c>
      <c r="Q921" s="1" t="n">
        <f aca="false">IF($A921="","",SUMIFS(物件収支!$O:$O,物件収支!$A:$A,$A921,物件収支!$C:$C,$M921))</f>
        <v>0</v>
      </c>
      <c r="R921" s="1" t="str">
        <f aca="false">IF($A921="","",IF(P921=0,"",O921-P921))</f>
        <v/>
      </c>
      <c r="S921" s="1" t="str">
        <f aca="false">IF($A921="","",IF(R921="","",R921+Q921))</f>
        <v/>
      </c>
      <c r="T921" s="1" t="str">
        <f aca="false">IF($A921="","",IF(OR(S921="",N921&lt;=0),"",S921/1000*12/N921))</f>
        <v/>
      </c>
      <c r="U921" s="1" t="str">
        <f aca="false">IF($A921="","",IF(OR(T921="",J921=0,J921=""),"",T921/J921))</f>
        <v/>
      </c>
      <c r="V921" s="1" t="str">
        <f aca="false">IF($A921="","",IF(OR(R921="",N921&lt;=0,J921=0,J921=""),"",(R921/1000*12/N921)/J921))</f>
        <v/>
      </c>
      <c r="W921" s="1" t="str">
        <f aca="false">IF($A921="","",IF(OR(T921="",K921=0,K921=""),"",T921/K921))</f>
        <v/>
      </c>
      <c r="X921" s="1" t="n">
        <f aca="false">IF($A921="","",IF(OR(N921&lt;=0,I921=0,I921="",O921=0),"",O921*1000/(I921*0.3025)/N921))</f>
        <v>15626.408602963</v>
      </c>
      <c r="Y921" s="1" t="str">
        <f aca="false">IF($A921="","",IF(OR(O921=0,O921="",P921=0),"",P921/O921))</f>
        <v/>
      </c>
      <c r="Z921" s="1" t="str">
        <f aca="false">IF($A921="","",IFERROR(INDEX(物件収支!$E:$E,MATCH($A921,物件収支!$A:$A,0)),""))</f>
        <v>開示（物件別・収益のみ・百万円単位）</v>
      </c>
    </row>
    <row r="922" customFormat="false" ht="15" hidden="false" customHeight="true" outlineLevel="0" collapsed="false">
      <c r="A922" s="1" t="str">
        <f aca="false">IF(物件マスタ!A922="","",物件マスタ!A922)</f>
        <v>KDX-181</v>
      </c>
      <c r="B922" s="1" t="str">
        <f aca="false">IF($A922="","",物件マスタ!B922)</f>
        <v>KDX</v>
      </c>
      <c r="C922" s="1" t="str">
        <f aca="false">IF($A922="","",IFERROR(INDEX(法人マスタ!$C:$C,MATCH($B922,法人マスタ!$A:$A,0)),""))</f>
        <v>ＫＤＸ不動産投資法人</v>
      </c>
      <c r="D922" s="1" t="str">
        <f aca="false">IF($A922="","",物件マスタ!C922)</f>
        <v>KDXレジデンス梅島</v>
      </c>
      <c r="E922" s="1" t="str">
        <f aca="false">IF($A922="","",物件マスタ!H922)</f>
        <v>東京経済圏（KDX区分）</v>
      </c>
      <c r="F922" s="1" t="n">
        <f aca="false">IF($A922="","",物件マスタ!P922)</f>
        <v>0</v>
      </c>
      <c r="G922" s="1" t="str">
        <f aca="false">IF($A922="","",物件マスタ!Q922)</f>
        <v/>
      </c>
      <c r="H922" s="1" t="n">
        <f aca="false">IF($A922="","",物件マスタ!L922)</f>
        <v>0</v>
      </c>
      <c r="I922" s="1" t="n">
        <f aca="false">IF($A922="","",物件マスタ!M922)</f>
        <v>3265.57</v>
      </c>
      <c r="J922" s="1" t="n">
        <f aca="false">IF($A922="","",物件マスタ!S922)</f>
        <v>2950</v>
      </c>
      <c r="K922" s="1" t="n">
        <f aca="false">IF($A922="","",物件マスタ!U922)</f>
        <v>3040</v>
      </c>
      <c r="L922" s="1" t="n">
        <f aca="false">IF($A922="","",物件マスタ!W922)</f>
        <v>0.965</v>
      </c>
      <c r="M922" s="1" t="str">
        <f aca="false">IF($A922="","",IFERROR(INDEX(法人マスタ!$H:$H,MATCH($B922,法人マスタ!$A:$A,0)),""))</f>
        <v>2026年4月期（第42期）</v>
      </c>
      <c r="N922" s="1" t="n">
        <f aca="false">IF($A922="","",SUMIFS(物件収支!$D:$D,物件収支!$A:$A,$A922,物件収支!$C:$C,$M922))</f>
        <v>6</v>
      </c>
      <c r="O922" s="1" t="n">
        <f aca="false">IF($A922="","",SUMIFS(物件収支!$F:$F,物件収支!$A:$A,$A922,物件収支!$C:$C,$M922))</f>
        <v>70000</v>
      </c>
      <c r="P922" s="1" t="n">
        <f aca="false">IF($A922="","",SUMIFS(物件収支!$I:$I,物件収支!$A:$A,$A922,物件収支!$C:$C,$M922))</f>
        <v>0</v>
      </c>
      <c r="Q922" s="1" t="n">
        <f aca="false">IF($A922="","",SUMIFS(物件収支!$O:$O,物件収支!$A:$A,$A922,物件収支!$C:$C,$M922))</f>
        <v>0</v>
      </c>
      <c r="R922" s="1" t="str">
        <f aca="false">IF($A922="","",IF(P922=0,"",O922-P922))</f>
        <v/>
      </c>
      <c r="S922" s="1" t="str">
        <f aca="false">IF($A922="","",IF(R922="","",R922+Q922))</f>
        <v/>
      </c>
      <c r="T922" s="1" t="str">
        <f aca="false">IF($A922="","",IF(OR(S922="",N922&lt;=0),"",S922/1000*12/N922))</f>
        <v/>
      </c>
      <c r="U922" s="1" t="str">
        <f aca="false">IF($A922="","",IF(OR(T922="",J922=0,J922=""),"",T922/J922))</f>
        <v/>
      </c>
      <c r="V922" s="1" t="str">
        <f aca="false">IF($A922="","",IF(OR(R922="",N922&lt;=0,J922=0,J922=""),"",(R922/1000*12/N922)/J922))</f>
        <v/>
      </c>
      <c r="W922" s="1" t="str">
        <f aca="false">IF($A922="","",IF(OR(T922="",K922=0,K922=""),"",T922/K922))</f>
        <v/>
      </c>
      <c r="X922" s="1" t="n">
        <f aca="false">IF($A922="","",IF(OR(N922&lt;=0,I922=0,I922="",O922=0),"",O922*1000/(I922*0.3025)/N922))</f>
        <v>11810.3403427113</v>
      </c>
      <c r="Y922" s="1" t="str">
        <f aca="false">IF($A922="","",IF(OR(O922=0,O922="",P922=0),"",P922/O922))</f>
        <v/>
      </c>
      <c r="Z922" s="1" t="str">
        <f aca="false">IF($A922="","",IFERROR(INDEX(物件収支!$E:$E,MATCH($A922,物件収支!$A:$A,0)),""))</f>
        <v>開示（物件別・収益のみ・百万円単位）</v>
      </c>
    </row>
    <row r="923" customFormat="false" ht="15" hidden="false" customHeight="true" outlineLevel="0" collapsed="false">
      <c r="A923" s="1" t="str">
        <f aca="false">IF(物件マスタ!A923="","",物件マスタ!A923)</f>
        <v>KDX-182</v>
      </c>
      <c r="B923" s="1" t="str">
        <f aca="false">IF($A923="","",物件マスタ!B923)</f>
        <v>KDX</v>
      </c>
      <c r="C923" s="1" t="str">
        <f aca="false">IF($A923="","",IFERROR(INDEX(法人マスタ!$C:$C,MATCH($B923,法人マスタ!$A:$A,0)),""))</f>
        <v>ＫＤＸ不動産投資法人</v>
      </c>
      <c r="D923" s="1" t="str">
        <f aca="false">IF($A923="","",物件マスタ!C923)</f>
        <v>KDXレジデンス溝の口</v>
      </c>
      <c r="E923" s="1" t="str">
        <f aca="false">IF($A923="","",物件マスタ!H923)</f>
        <v>東京経済圏（KDX区分）</v>
      </c>
      <c r="F923" s="1" t="n">
        <f aca="false">IF($A923="","",物件マスタ!P923)</f>
        <v>0</v>
      </c>
      <c r="G923" s="1" t="str">
        <f aca="false">IF($A923="","",物件マスタ!Q923)</f>
        <v/>
      </c>
      <c r="H923" s="1" t="n">
        <f aca="false">IF($A923="","",物件マスタ!L923)</f>
        <v>0</v>
      </c>
      <c r="I923" s="1" t="n">
        <f aca="false">IF($A923="","",物件マスタ!M923)</f>
        <v>4103.23</v>
      </c>
      <c r="J923" s="1" t="n">
        <f aca="false">IF($A923="","",物件マスタ!S923)</f>
        <v>3140</v>
      </c>
      <c r="K923" s="1" t="n">
        <f aca="false">IF($A923="","",物件マスタ!U923)</f>
        <v>3150</v>
      </c>
      <c r="L923" s="1" t="n">
        <f aca="false">IF($A923="","",物件マスタ!W923)</f>
        <v>1</v>
      </c>
      <c r="M923" s="1" t="str">
        <f aca="false">IF($A923="","",IFERROR(INDEX(法人マスタ!$H:$H,MATCH($B923,法人マスタ!$A:$A,0)),""))</f>
        <v>2026年4月期（第42期）</v>
      </c>
      <c r="N923" s="1" t="n">
        <f aca="false">IF($A923="","",SUMIFS(物件収支!$D:$D,物件収支!$A:$A,$A923,物件収支!$C:$C,$M923))</f>
        <v>6</v>
      </c>
      <c r="O923" s="1" t="n">
        <f aca="false">IF($A923="","",SUMIFS(物件収支!$F:$F,物件収支!$A:$A,$A923,物件収支!$C:$C,$M923))</f>
        <v>75000</v>
      </c>
      <c r="P923" s="1" t="n">
        <f aca="false">IF($A923="","",SUMIFS(物件収支!$I:$I,物件収支!$A:$A,$A923,物件収支!$C:$C,$M923))</f>
        <v>0</v>
      </c>
      <c r="Q923" s="1" t="n">
        <f aca="false">IF($A923="","",SUMIFS(物件収支!$O:$O,物件収支!$A:$A,$A923,物件収支!$C:$C,$M923))</f>
        <v>0</v>
      </c>
      <c r="R923" s="1" t="str">
        <f aca="false">IF($A923="","",IF(P923=0,"",O923-P923))</f>
        <v/>
      </c>
      <c r="S923" s="1" t="str">
        <f aca="false">IF($A923="","",IF(R923="","",R923+Q923))</f>
        <v/>
      </c>
      <c r="T923" s="1" t="str">
        <f aca="false">IF($A923="","",IF(OR(S923="",N923&lt;=0),"",S923/1000*12/N923))</f>
        <v/>
      </c>
      <c r="U923" s="1" t="str">
        <f aca="false">IF($A923="","",IF(OR(T923="",J923=0,J923=""),"",T923/J923))</f>
        <v/>
      </c>
      <c r="V923" s="1" t="str">
        <f aca="false">IF($A923="","",IF(OR(R923="",N923&lt;=0,J923=0,J923=""),"",(R923/1000*12/N923)/J923))</f>
        <v/>
      </c>
      <c r="W923" s="1" t="str">
        <f aca="false">IF($A923="","",IF(OR(T923="",K923=0,K923=""),"",T923/K923))</f>
        <v/>
      </c>
      <c r="X923" s="1" t="n">
        <f aca="false">IF($A923="","",IF(OR(N923&lt;=0,I923=0,I923="",O923=0),"",O923*1000/(I923*0.3025)/N923))</f>
        <v>10070.6794524282</v>
      </c>
      <c r="Y923" s="1" t="str">
        <f aca="false">IF($A923="","",IF(OR(O923=0,O923="",P923=0),"",P923/O923))</f>
        <v/>
      </c>
      <c r="Z923" s="1" t="str">
        <f aca="false">IF($A923="","",IFERROR(INDEX(物件収支!$E:$E,MATCH($A923,物件収支!$A:$A,0)),""))</f>
        <v>開示（物件別・収益のみ・百万円単位）</v>
      </c>
    </row>
    <row r="924" customFormat="false" ht="15" hidden="false" customHeight="true" outlineLevel="0" collapsed="false">
      <c r="A924" s="1" t="str">
        <f aca="false">IF(物件マスタ!A924="","",物件マスタ!A924)</f>
        <v>KDX-183</v>
      </c>
      <c r="B924" s="1" t="str">
        <f aca="false">IF($A924="","",物件マスタ!B924)</f>
        <v>KDX</v>
      </c>
      <c r="C924" s="1" t="str">
        <f aca="false">IF($A924="","",IFERROR(INDEX(法人マスタ!$C:$C,MATCH($B924,法人マスタ!$A:$A,0)),""))</f>
        <v>ＫＤＸ不動産投資法人</v>
      </c>
      <c r="D924" s="1" t="str">
        <f aca="false">IF($A924="","",物件マスタ!C924)</f>
        <v>KDXレジデンス津田沼II</v>
      </c>
      <c r="E924" s="1" t="str">
        <f aca="false">IF($A924="","",物件マスタ!H924)</f>
        <v>東京経済圏（KDX区分）</v>
      </c>
      <c r="F924" s="1" t="n">
        <f aca="false">IF($A924="","",物件マスタ!P924)</f>
        <v>0</v>
      </c>
      <c r="G924" s="1" t="str">
        <f aca="false">IF($A924="","",物件マスタ!Q924)</f>
        <v/>
      </c>
      <c r="H924" s="1" t="n">
        <f aca="false">IF($A924="","",物件マスタ!L924)</f>
        <v>0</v>
      </c>
      <c r="I924" s="1" t="n">
        <f aca="false">IF($A924="","",物件マスタ!M924)</f>
        <v>1647.07</v>
      </c>
      <c r="J924" s="1" t="n">
        <f aca="false">IF($A924="","",物件マスタ!S924)</f>
        <v>1020</v>
      </c>
      <c r="K924" s="1" t="n">
        <f aca="false">IF($A924="","",物件マスタ!U924)</f>
        <v>995</v>
      </c>
      <c r="L924" s="1" t="n">
        <f aca="false">IF($A924="","",物件マスタ!W924)</f>
        <v>1</v>
      </c>
      <c r="M924" s="1" t="str">
        <f aca="false">IF($A924="","",IFERROR(INDEX(法人マスタ!$H:$H,MATCH($B924,法人マスタ!$A:$A,0)),""))</f>
        <v>2026年4月期（第42期）</v>
      </c>
      <c r="N924" s="1" t="n">
        <f aca="false">IF($A924="","",SUMIFS(物件収支!$D:$D,物件収支!$A:$A,$A924,物件収支!$C:$C,$M924))</f>
        <v>6</v>
      </c>
      <c r="O924" s="1" t="n">
        <f aca="false">IF($A924="","",SUMIFS(物件収支!$F:$F,物件収支!$A:$A,$A924,物件収支!$C:$C,$M924))</f>
        <v>25000</v>
      </c>
      <c r="P924" s="1" t="n">
        <f aca="false">IF($A924="","",SUMIFS(物件収支!$I:$I,物件収支!$A:$A,$A924,物件収支!$C:$C,$M924))</f>
        <v>0</v>
      </c>
      <c r="Q924" s="1" t="n">
        <f aca="false">IF($A924="","",SUMIFS(物件収支!$O:$O,物件収支!$A:$A,$A924,物件収支!$C:$C,$M924))</f>
        <v>0</v>
      </c>
      <c r="R924" s="1" t="str">
        <f aca="false">IF($A924="","",IF(P924=0,"",O924-P924))</f>
        <v/>
      </c>
      <c r="S924" s="1" t="str">
        <f aca="false">IF($A924="","",IF(R924="","",R924+Q924))</f>
        <v/>
      </c>
      <c r="T924" s="1" t="str">
        <f aca="false">IF($A924="","",IF(OR(S924="",N924&lt;=0),"",S924/1000*12/N924))</f>
        <v/>
      </c>
      <c r="U924" s="1" t="str">
        <f aca="false">IF($A924="","",IF(OR(T924="",J924=0,J924=""),"",T924/J924))</f>
        <v/>
      </c>
      <c r="V924" s="1" t="str">
        <f aca="false">IF($A924="","",IF(OR(R924="",N924&lt;=0,J924=0,J924=""),"",(R924/1000*12/N924)/J924))</f>
        <v/>
      </c>
      <c r="W924" s="1" t="str">
        <f aca="false">IF($A924="","",IF(OR(T924="",K924=0,K924=""),"",T924/K924))</f>
        <v/>
      </c>
      <c r="X924" s="1" t="n">
        <f aca="false">IF($A924="","",IF(OR(N924&lt;=0,I924=0,I924="",O924=0),"",O924*1000/(I924*0.3025)/N924))</f>
        <v>8362.79252441948</v>
      </c>
      <c r="Y924" s="1" t="str">
        <f aca="false">IF($A924="","",IF(OR(O924=0,O924="",P924=0),"",P924/O924))</f>
        <v/>
      </c>
      <c r="Z924" s="1" t="str">
        <f aca="false">IF($A924="","",IFERROR(INDEX(物件収支!$E:$E,MATCH($A924,物件収支!$A:$A,0)),""))</f>
        <v>開示（物件別・収益のみ・百万円単位）</v>
      </c>
    </row>
    <row r="925" customFormat="false" ht="15" hidden="false" customHeight="true" outlineLevel="0" collapsed="false">
      <c r="A925" s="1" t="str">
        <f aca="false">IF(物件マスタ!A925="","",物件マスタ!A925)</f>
        <v>KDX-184</v>
      </c>
      <c r="B925" s="1" t="str">
        <f aca="false">IF($A925="","",物件マスタ!B925)</f>
        <v>KDX</v>
      </c>
      <c r="C925" s="1" t="str">
        <f aca="false">IF($A925="","",IFERROR(INDEX(法人マスタ!$C:$C,MATCH($B925,法人マスタ!$A:$A,0)),""))</f>
        <v>ＫＤＸ不動産投資法人</v>
      </c>
      <c r="D925" s="1" t="str">
        <f aca="false">IF($A925="","",物件マスタ!C925)</f>
        <v>KDXレジデンス八王子大塚</v>
      </c>
      <c r="E925" s="1" t="str">
        <f aca="false">IF($A925="","",物件マスタ!H925)</f>
        <v>東京経済圏（KDX区分）</v>
      </c>
      <c r="F925" s="1" t="n">
        <f aca="false">IF($A925="","",物件マスタ!P925)</f>
        <v>0</v>
      </c>
      <c r="G925" s="1" t="str">
        <f aca="false">IF($A925="","",物件マスタ!Q925)</f>
        <v/>
      </c>
      <c r="H925" s="1" t="n">
        <f aca="false">IF($A925="","",物件マスタ!L925)</f>
        <v>0</v>
      </c>
      <c r="I925" s="1" t="n">
        <f aca="false">IF($A925="","",物件マスタ!M925)</f>
        <v>2914.23</v>
      </c>
      <c r="J925" s="1" t="n">
        <f aca="false">IF($A925="","",物件マスタ!S925)</f>
        <v>1690</v>
      </c>
      <c r="K925" s="1" t="n">
        <f aca="false">IF($A925="","",物件マスタ!U925)</f>
        <v>1690</v>
      </c>
      <c r="L925" s="1" t="n">
        <f aca="false">IF($A925="","",物件マスタ!W925)</f>
        <v>1</v>
      </c>
      <c r="M925" s="1" t="str">
        <f aca="false">IF($A925="","",IFERROR(INDEX(法人マスタ!$H:$H,MATCH($B925,法人マスタ!$A:$A,0)),""))</f>
        <v>2026年4月期（第42期）</v>
      </c>
      <c r="N925" s="1" t="n">
        <f aca="false">IF($A925="","",SUMIFS(物件収支!$D:$D,物件収支!$A:$A,$A925,物件収支!$C:$C,$M925))</f>
        <v>6</v>
      </c>
      <c r="O925" s="1" t="n">
        <f aca="false">IF($A925="","",SUMIFS(物件収支!$F:$F,物件収支!$A:$A,$A925,物件収支!$C:$C,$M925))</f>
        <v>39000</v>
      </c>
      <c r="P925" s="1" t="n">
        <f aca="false">IF($A925="","",SUMIFS(物件収支!$I:$I,物件収支!$A:$A,$A925,物件収支!$C:$C,$M925))</f>
        <v>0</v>
      </c>
      <c r="Q925" s="1" t="n">
        <f aca="false">IF($A925="","",SUMIFS(物件収支!$O:$O,物件収支!$A:$A,$A925,物件収支!$C:$C,$M925))</f>
        <v>0</v>
      </c>
      <c r="R925" s="1" t="str">
        <f aca="false">IF($A925="","",IF(P925=0,"",O925-P925))</f>
        <v/>
      </c>
      <c r="S925" s="1" t="str">
        <f aca="false">IF($A925="","",IF(R925="","",R925+Q925))</f>
        <v/>
      </c>
      <c r="T925" s="1" t="str">
        <f aca="false">IF($A925="","",IF(OR(S925="",N925&lt;=0),"",S925/1000*12/N925))</f>
        <v/>
      </c>
      <c r="U925" s="1" t="str">
        <f aca="false">IF($A925="","",IF(OR(T925="",J925=0,J925=""),"",T925/J925))</f>
        <v/>
      </c>
      <c r="V925" s="1" t="str">
        <f aca="false">IF($A925="","",IF(OR(R925="",N925&lt;=0,J925=0,J925=""),"",(R925/1000*12/N925)/J925))</f>
        <v/>
      </c>
      <c r="W925" s="1" t="str">
        <f aca="false">IF($A925="","",IF(OR(T925="",K925=0,K925=""),"",T925/K925))</f>
        <v/>
      </c>
      <c r="X925" s="1" t="n">
        <f aca="false">IF($A925="","",IF(OR(N925&lt;=0,I925=0,I925="",O925=0),"",O925*1000/(I925*0.3025)/N925))</f>
        <v>7373.33817364625</v>
      </c>
      <c r="Y925" s="1" t="str">
        <f aca="false">IF($A925="","",IF(OR(O925=0,O925="",P925=0),"",P925/O925))</f>
        <v/>
      </c>
      <c r="Z925" s="1" t="str">
        <f aca="false">IF($A925="","",IFERROR(INDEX(物件収支!$E:$E,MATCH($A925,物件収支!$A:$A,0)),""))</f>
        <v>開示（物件別・収益のみ・百万円単位）</v>
      </c>
    </row>
    <row r="926" customFormat="false" ht="15" hidden="false" customHeight="true" outlineLevel="0" collapsed="false">
      <c r="A926" s="1" t="str">
        <f aca="false">IF(物件マスタ!A926="","",物件マスタ!A926)</f>
        <v>KDX-185</v>
      </c>
      <c r="B926" s="1" t="str">
        <f aca="false">IF($A926="","",物件マスタ!B926)</f>
        <v>KDX</v>
      </c>
      <c r="C926" s="1" t="str">
        <f aca="false">IF($A926="","",IFERROR(INDEX(法人マスタ!$C:$C,MATCH($B926,法人マスタ!$A:$A,0)),""))</f>
        <v>ＫＤＸ不動産投資法人</v>
      </c>
      <c r="D926" s="1" t="str">
        <f aca="false">IF($A926="","",物件マスタ!C926)</f>
        <v>KDXレジデンス尾山台</v>
      </c>
      <c r="E926" s="1" t="str">
        <f aca="false">IF($A926="","",物件マスタ!H926)</f>
        <v>東京経済圏（KDX区分）</v>
      </c>
      <c r="F926" s="1" t="n">
        <f aca="false">IF($A926="","",物件マスタ!P926)</f>
        <v>0</v>
      </c>
      <c r="G926" s="1" t="str">
        <f aca="false">IF($A926="","",物件マスタ!Q926)</f>
        <v/>
      </c>
      <c r="H926" s="1" t="n">
        <f aca="false">IF($A926="","",物件マスタ!L926)</f>
        <v>0</v>
      </c>
      <c r="I926" s="1" t="n">
        <f aca="false">IF($A926="","",物件マスタ!M926)</f>
        <v>2993.65</v>
      </c>
      <c r="J926" s="1" t="n">
        <f aca="false">IF($A926="","",物件マスタ!S926)</f>
        <v>3680</v>
      </c>
      <c r="K926" s="1" t="n">
        <f aca="false">IF($A926="","",物件マスタ!U926)</f>
        <v>3680</v>
      </c>
      <c r="L926" s="1" t="n">
        <f aca="false">IF($A926="","",物件マスタ!W926)</f>
        <v>0.956</v>
      </c>
      <c r="M926" s="1" t="str">
        <f aca="false">IF($A926="","",IFERROR(INDEX(法人マスタ!$H:$H,MATCH($B926,法人マスタ!$A:$A,0)),""))</f>
        <v>2026年4月期（第42期）</v>
      </c>
      <c r="N926" s="1" t="n">
        <f aca="false">IF($A926="","",SUMIFS(物件収支!$D:$D,物件収支!$A:$A,$A926,物件収支!$C:$C,$M926))</f>
        <v>6</v>
      </c>
      <c r="O926" s="1" t="n">
        <f aca="false">IF($A926="","",SUMIFS(物件収支!$F:$F,物件収支!$A:$A,$A926,物件収支!$C:$C,$M926))</f>
        <v>72000</v>
      </c>
      <c r="P926" s="1" t="n">
        <f aca="false">IF($A926="","",SUMIFS(物件収支!$I:$I,物件収支!$A:$A,$A926,物件収支!$C:$C,$M926))</f>
        <v>0</v>
      </c>
      <c r="Q926" s="1" t="n">
        <f aca="false">IF($A926="","",SUMIFS(物件収支!$O:$O,物件収支!$A:$A,$A926,物件収支!$C:$C,$M926))</f>
        <v>0</v>
      </c>
      <c r="R926" s="1" t="str">
        <f aca="false">IF($A926="","",IF(P926=0,"",O926-P926))</f>
        <v/>
      </c>
      <c r="S926" s="1" t="str">
        <f aca="false">IF($A926="","",IF(R926="","",R926+Q926))</f>
        <v/>
      </c>
      <c r="T926" s="1" t="str">
        <f aca="false">IF($A926="","",IF(OR(S926="",N926&lt;=0),"",S926/1000*12/N926))</f>
        <v/>
      </c>
      <c r="U926" s="1" t="str">
        <f aca="false">IF($A926="","",IF(OR(T926="",J926=0,J926=""),"",T926/J926))</f>
        <v/>
      </c>
      <c r="V926" s="1" t="str">
        <f aca="false">IF($A926="","",IF(OR(R926="",N926&lt;=0,J926=0,J926=""),"",(R926/1000*12/N926)/J926))</f>
        <v/>
      </c>
      <c r="W926" s="1" t="str">
        <f aca="false">IF($A926="","",IF(OR(T926="",K926=0,K926=""),"",T926/K926))</f>
        <v/>
      </c>
      <c r="X926" s="1" t="n">
        <f aca="false">IF($A926="","",IF(OR(N926&lt;=0,I926=0,I926="",O926=0),"",O926*1000/(I926*0.3025)/N926))</f>
        <v>13251.1888455909</v>
      </c>
      <c r="Y926" s="1" t="str">
        <f aca="false">IF($A926="","",IF(OR(O926=0,O926="",P926=0),"",P926/O926))</f>
        <v/>
      </c>
      <c r="Z926" s="1" t="str">
        <f aca="false">IF($A926="","",IFERROR(INDEX(物件収支!$E:$E,MATCH($A926,物件収支!$A:$A,0)),""))</f>
        <v>開示（物件別・収益のみ・百万円単位）</v>
      </c>
    </row>
    <row r="927" customFormat="false" ht="15" hidden="false" customHeight="true" outlineLevel="0" collapsed="false">
      <c r="A927" s="1" t="str">
        <f aca="false">IF(物件マスタ!A927="","",物件マスタ!A927)</f>
        <v>KDX-186</v>
      </c>
      <c r="B927" s="1" t="str">
        <f aca="false">IF($A927="","",物件マスタ!B927)</f>
        <v>KDX</v>
      </c>
      <c r="C927" s="1" t="str">
        <f aca="false">IF($A927="","",IFERROR(INDEX(法人マスタ!$C:$C,MATCH($B927,法人マスタ!$A:$A,0)),""))</f>
        <v>ＫＤＸ不動産投資法人</v>
      </c>
      <c r="D927" s="1" t="str">
        <f aca="false">IF($A927="","",物件マスタ!C927)</f>
        <v>KDXレジデンス浅草</v>
      </c>
      <c r="E927" s="1" t="str">
        <f aca="false">IF($A927="","",物件マスタ!H927)</f>
        <v>東京経済圏（KDX区分）</v>
      </c>
      <c r="F927" s="1" t="n">
        <f aca="false">IF($A927="","",物件マスタ!P927)</f>
        <v>0</v>
      </c>
      <c r="G927" s="1" t="str">
        <f aca="false">IF($A927="","",物件マスタ!Q927)</f>
        <v/>
      </c>
      <c r="H927" s="1" t="n">
        <f aca="false">IF($A927="","",物件マスタ!L927)</f>
        <v>0</v>
      </c>
      <c r="I927" s="1" t="n">
        <f aca="false">IF($A927="","",物件マスタ!M927)</f>
        <v>907.2</v>
      </c>
      <c r="J927" s="1" t="n">
        <f aca="false">IF($A927="","",物件マスタ!S927)</f>
        <v>1160</v>
      </c>
      <c r="K927" s="1" t="n">
        <f aca="false">IF($A927="","",物件マスタ!U927)</f>
        <v>1170</v>
      </c>
      <c r="L927" s="1" t="n">
        <f aca="false">IF($A927="","",物件マスタ!W927)</f>
        <v>1</v>
      </c>
      <c r="M927" s="1" t="str">
        <f aca="false">IF($A927="","",IFERROR(INDEX(法人マスタ!$H:$H,MATCH($B927,法人マスタ!$A:$A,0)),""))</f>
        <v>2026年4月期（第42期）</v>
      </c>
      <c r="N927" s="1" t="n">
        <f aca="false">IF($A927="","",SUMIFS(物件収支!$D:$D,物件収支!$A:$A,$A927,物件収支!$C:$C,$M927))</f>
        <v>6</v>
      </c>
      <c r="O927" s="1" t="n">
        <f aca="false">IF($A927="","",SUMIFS(物件収支!$F:$F,物件収支!$A:$A,$A927,物件収支!$C:$C,$M927))</f>
        <v>25000</v>
      </c>
      <c r="P927" s="1" t="n">
        <f aca="false">IF($A927="","",SUMIFS(物件収支!$I:$I,物件収支!$A:$A,$A927,物件収支!$C:$C,$M927))</f>
        <v>0</v>
      </c>
      <c r="Q927" s="1" t="n">
        <f aca="false">IF($A927="","",SUMIFS(物件収支!$O:$O,物件収支!$A:$A,$A927,物件収支!$C:$C,$M927))</f>
        <v>0</v>
      </c>
      <c r="R927" s="1" t="str">
        <f aca="false">IF($A927="","",IF(P927=0,"",O927-P927))</f>
        <v/>
      </c>
      <c r="S927" s="1" t="str">
        <f aca="false">IF($A927="","",IF(R927="","",R927+Q927))</f>
        <v/>
      </c>
      <c r="T927" s="1" t="str">
        <f aca="false">IF($A927="","",IF(OR(S927="",N927&lt;=0),"",S927/1000*12/N927))</f>
        <v/>
      </c>
      <c r="U927" s="1" t="str">
        <f aca="false">IF($A927="","",IF(OR(T927="",J927=0,J927=""),"",T927/J927))</f>
        <v/>
      </c>
      <c r="V927" s="1" t="str">
        <f aca="false">IF($A927="","",IF(OR(R927="",N927&lt;=0,J927=0,J927=""),"",(R927/1000*12/N927)/J927))</f>
        <v/>
      </c>
      <c r="W927" s="1" t="str">
        <f aca="false">IF($A927="","",IF(OR(T927="",K927=0,K927=""),"",T927/K927))</f>
        <v/>
      </c>
      <c r="X927" s="1" t="n">
        <f aca="false">IF($A927="","",IF(OR(N927&lt;=0,I927=0,I927="",O927=0),"",O927*1000/(I927*0.3025)/N927))</f>
        <v>15183.0959911768</v>
      </c>
      <c r="Y927" s="1" t="str">
        <f aca="false">IF($A927="","",IF(OR(O927=0,O927="",P927=0),"",P927/O927))</f>
        <v/>
      </c>
      <c r="Z927" s="1" t="str">
        <f aca="false">IF($A927="","",IFERROR(INDEX(物件収支!$E:$E,MATCH($A927,物件収支!$A:$A,0)),""))</f>
        <v>開示（物件別・収益のみ・百万円単位）</v>
      </c>
    </row>
    <row r="928" customFormat="false" ht="15" hidden="false" customHeight="true" outlineLevel="0" collapsed="false">
      <c r="A928" s="1" t="str">
        <f aca="false">IF(物件マスタ!A928="","",物件マスタ!A928)</f>
        <v>KDX-187</v>
      </c>
      <c r="B928" s="1" t="str">
        <f aca="false">IF($A928="","",物件マスタ!B928)</f>
        <v>KDX</v>
      </c>
      <c r="C928" s="1" t="str">
        <f aca="false">IF($A928="","",IFERROR(INDEX(法人マスタ!$C:$C,MATCH($B928,法人マスタ!$A:$A,0)),""))</f>
        <v>ＫＤＸ不動産投資法人</v>
      </c>
      <c r="D928" s="1" t="str">
        <f aca="false">IF($A928="","",物件マスタ!C928)</f>
        <v>リバーシティ21イーストタワーズⅡ</v>
      </c>
      <c r="E928" s="1" t="str">
        <f aca="false">IF($A928="","",物件マスタ!H928)</f>
        <v>東京経済圏（KDX区分）</v>
      </c>
      <c r="F928" s="1" t="n">
        <f aca="false">IF($A928="","",物件マスタ!P928)</f>
        <v>0</v>
      </c>
      <c r="G928" s="1" t="str">
        <f aca="false">IF($A928="","",物件マスタ!Q928)</f>
        <v/>
      </c>
      <c r="H928" s="1" t="n">
        <f aca="false">IF($A928="","",物件マスタ!L928)</f>
        <v>0</v>
      </c>
      <c r="I928" s="1" t="n">
        <f aca="false">IF($A928="","",物件マスタ!M928)</f>
        <v>9313.13</v>
      </c>
      <c r="J928" s="1" t="n">
        <f aca="false">IF($A928="","",物件マスタ!S928)</f>
        <v>9232</v>
      </c>
      <c r="K928" s="1" t="n">
        <f aca="false">IF($A928="","",物件マスタ!U928)</f>
        <v>10850</v>
      </c>
      <c r="L928" s="1" t="n">
        <f aca="false">IF($A928="","",物件マスタ!W928)</f>
        <v>0.973</v>
      </c>
      <c r="M928" s="1" t="str">
        <f aca="false">IF($A928="","",IFERROR(INDEX(法人マスタ!$H:$H,MATCH($B928,法人マスタ!$A:$A,0)),""))</f>
        <v>2026年4月期（第42期）</v>
      </c>
      <c r="N928" s="1" t="n">
        <f aca="false">IF($A928="","",SUMIFS(物件収支!$D:$D,物件収支!$A:$A,$A928,物件収支!$C:$C,$M928))</f>
        <v>6</v>
      </c>
      <c r="O928" s="1" t="n">
        <f aca="false">IF($A928="","",SUMIFS(物件収支!$F:$F,物件収支!$A:$A,$A928,物件収支!$C:$C,$M928))</f>
        <v>230000</v>
      </c>
      <c r="P928" s="1" t="n">
        <f aca="false">IF($A928="","",SUMIFS(物件収支!$I:$I,物件収支!$A:$A,$A928,物件収支!$C:$C,$M928))</f>
        <v>0</v>
      </c>
      <c r="Q928" s="1" t="n">
        <f aca="false">IF($A928="","",SUMIFS(物件収支!$O:$O,物件収支!$A:$A,$A928,物件収支!$C:$C,$M928))</f>
        <v>0</v>
      </c>
      <c r="R928" s="1" t="str">
        <f aca="false">IF($A928="","",IF(P928=0,"",O928-P928))</f>
        <v/>
      </c>
      <c r="S928" s="1" t="str">
        <f aca="false">IF($A928="","",IF(R928="","",R928+Q928))</f>
        <v/>
      </c>
      <c r="T928" s="1" t="str">
        <f aca="false">IF($A928="","",IF(OR(S928="",N928&lt;=0),"",S928/1000*12/N928))</f>
        <v/>
      </c>
      <c r="U928" s="1" t="str">
        <f aca="false">IF($A928="","",IF(OR(T928="",J928=0,J928=""),"",T928/J928))</f>
        <v/>
      </c>
      <c r="V928" s="1" t="str">
        <f aca="false">IF($A928="","",IF(OR(R928="",N928&lt;=0,J928=0,J928=""),"",(R928/1000*12/N928)/J928))</f>
        <v/>
      </c>
      <c r="W928" s="1" t="str">
        <f aca="false">IF($A928="","",IF(OR(T928="",K928=0,K928=""),"",T928/K928))</f>
        <v/>
      </c>
      <c r="X928" s="1" t="n">
        <f aca="false">IF($A928="","",IF(OR(N928&lt;=0,I928=0,I928="",O928=0),"",O928*1000/(I928*0.3025)/N928))</f>
        <v>13606.7855903868</v>
      </c>
      <c r="Y928" s="1" t="str">
        <f aca="false">IF($A928="","",IF(OR(O928=0,O928="",P928=0),"",P928/O928))</f>
        <v/>
      </c>
      <c r="Z928" s="1" t="str">
        <f aca="false">IF($A928="","",IFERROR(INDEX(物件収支!$E:$E,MATCH($A928,物件収支!$A:$A,0)),""))</f>
        <v>開示（物件別・収益のみ・百万円単位）</v>
      </c>
    </row>
    <row r="929" customFormat="false" ht="15" hidden="false" customHeight="true" outlineLevel="0" collapsed="false">
      <c r="A929" s="1" t="str">
        <f aca="false">IF(物件マスタ!A929="","",物件マスタ!A929)</f>
        <v>KDX-188</v>
      </c>
      <c r="B929" s="1" t="str">
        <f aca="false">IF($A929="","",物件マスタ!B929)</f>
        <v>KDX</v>
      </c>
      <c r="C929" s="1" t="str">
        <f aca="false">IF($A929="","",IFERROR(INDEX(法人マスタ!$C:$C,MATCH($B929,法人マスタ!$A:$A,0)),""))</f>
        <v>ＫＤＸ不動産投資法人</v>
      </c>
      <c r="D929" s="1" t="str">
        <f aca="false">IF($A929="","",物件マスタ!C929)</f>
        <v>KDXレジデンス池袋要町</v>
      </c>
      <c r="E929" s="1" t="str">
        <f aca="false">IF($A929="","",物件マスタ!H929)</f>
        <v>東京経済圏（KDX区分）</v>
      </c>
      <c r="F929" s="1" t="n">
        <f aca="false">IF($A929="","",物件マスタ!P929)</f>
        <v>0</v>
      </c>
      <c r="G929" s="1" t="str">
        <f aca="false">IF($A929="","",物件マスタ!Q929)</f>
        <v/>
      </c>
      <c r="H929" s="1" t="n">
        <f aca="false">IF($A929="","",物件マスタ!L929)</f>
        <v>0</v>
      </c>
      <c r="I929" s="1" t="n">
        <f aca="false">IF($A929="","",物件マスタ!M929)</f>
        <v>1415.43</v>
      </c>
      <c r="J929" s="1" t="n">
        <f aca="false">IF($A929="","",物件マスタ!S929)</f>
        <v>1406</v>
      </c>
      <c r="K929" s="1" t="n">
        <f aca="false">IF($A929="","",物件マスタ!U929)</f>
        <v>1680</v>
      </c>
      <c r="L929" s="1" t="n">
        <f aca="false">IF($A929="","",物件マスタ!W929)</f>
        <v>0.946</v>
      </c>
      <c r="M929" s="1" t="str">
        <f aca="false">IF($A929="","",IFERROR(INDEX(法人マスタ!$H:$H,MATCH($B929,法人マスタ!$A:$A,0)),""))</f>
        <v>2026年4月期（第42期）</v>
      </c>
      <c r="N929" s="1" t="n">
        <f aca="false">IF($A929="","",SUMIFS(物件収支!$D:$D,物件収支!$A:$A,$A929,物件収支!$C:$C,$M929))</f>
        <v>6</v>
      </c>
      <c r="O929" s="1" t="n">
        <f aca="false">IF($A929="","",SUMIFS(物件収支!$F:$F,物件収支!$A:$A,$A929,物件収支!$C:$C,$M929))</f>
        <v>40000</v>
      </c>
      <c r="P929" s="1" t="n">
        <f aca="false">IF($A929="","",SUMIFS(物件収支!$I:$I,物件収支!$A:$A,$A929,物件収支!$C:$C,$M929))</f>
        <v>0</v>
      </c>
      <c r="Q929" s="1" t="n">
        <f aca="false">IF($A929="","",SUMIFS(物件収支!$O:$O,物件収支!$A:$A,$A929,物件収支!$C:$C,$M929))</f>
        <v>0</v>
      </c>
      <c r="R929" s="1" t="str">
        <f aca="false">IF($A929="","",IF(P929=0,"",O929-P929))</f>
        <v/>
      </c>
      <c r="S929" s="1" t="str">
        <f aca="false">IF($A929="","",IF(R929="","",R929+Q929))</f>
        <v/>
      </c>
      <c r="T929" s="1" t="str">
        <f aca="false">IF($A929="","",IF(OR(S929="",N929&lt;=0),"",S929/1000*12/N929))</f>
        <v/>
      </c>
      <c r="U929" s="1" t="str">
        <f aca="false">IF($A929="","",IF(OR(T929="",J929=0,J929=""),"",T929/J929))</f>
        <v/>
      </c>
      <c r="V929" s="1" t="str">
        <f aca="false">IF($A929="","",IF(OR(R929="",N929&lt;=0,J929=0,J929=""),"",(R929/1000*12/N929)/J929))</f>
        <v/>
      </c>
      <c r="W929" s="1" t="str">
        <f aca="false">IF($A929="","",IF(OR(T929="",K929=0,K929=""),"",T929/K929))</f>
        <v/>
      </c>
      <c r="X929" s="1" t="n">
        <f aca="false">IF($A929="","",IF(OR(N929&lt;=0,I929=0,I929="",O929=0),"",O929*1000/(I929*0.3025)/N929))</f>
        <v>15570.2277704393</v>
      </c>
      <c r="Y929" s="1" t="str">
        <f aca="false">IF($A929="","",IF(OR(O929=0,O929="",P929=0),"",P929/O929))</f>
        <v/>
      </c>
      <c r="Z929" s="1" t="str">
        <f aca="false">IF($A929="","",IFERROR(INDEX(物件収支!$E:$E,MATCH($A929,物件収支!$A:$A,0)),""))</f>
        <v>開示（物件別・収益のみ・百万円単位）</v>
      </c>
    </row>
    <row r="930" customFormat="false" ht="15" hidden="false" customHeight="true" outlineLevel="0" collapsed="false">
      <c r="A930" s="1" t="str">
        <f aca="false">IF(物件マスタ!A930="","",物件マスタ!A930)</f>
        <v>KDX-189</v>
      </c>
      <c r="B930" s="1" t="str">
        <f aca="false">IF($A930="","",物件マスタ!B930)</f>
        <v>KDX</v>
      </c>
      <c r="C930" s="1" t="str">
        <f aca="false">IF($A930="","",IFERROR(INDEX(法人マスタ!$C:$C,MATCH($B930,法人マスタ!$A:$A,0)),""))</f>
        <v>ＫＤＸ不動産投資法人</v>
      </c>
      <c r="D930" s="1" t="str">
        <f aca="false">IF($A930="","",物件マスタ!C930)</f>
        <v>KDXレジデンス東雪谷</v>
      </c>
      <c r="E930" s="1" t="str">
        <f aca="false">IF($A930="","",物件マスタ!H930)</f>
        <v>東京経済圏（KDX区分）</v>
      </c>
      <c r="F930" s="1" t="n">
        <f aca="false">IF($A930="","",物件マスタ!P930)</f>
        <v>0</v>
      </c>
      <c r="G930" s="1" t="str">
        <f aca="false">IF($A930="","",物件マスタ!Q930)</f>
        <v/>
      </c>
      <c r="H930" s="1" t="n">
        <f aca="false">IF($A930="","",物件マスタ!L930)</f>
        <v>0</v>
      </c>
      <c r="I930" s="1" t="n">
        <f aca="false">IF($A930="","",物件マスタ!M930)</f>
        <v>4025.87</v>
      </c>
      <c r="J930" s="1" t="n">
        <f aca="false">IF($A930="","",物件マスタ!S930)</f>
        <v>2700</v>
      </c>
      <c r="K930" s="1" t="n">
        <f aca="false">IF($A930="","",物件マスタ!U930)</f>
        <v>2890</v>
      </c>
      <c r="L930" s="1" t="n">
        <f aca="false">IF($A930="","",物件マスタ!W930)</f>
        <v>0.934</v>
      </c>
      <c r="M930" s="1" t="str">
        <f aca="false">IF($A930="","",IFERROR(INDEX(法人マスタ!$H:$H,MATCH($B930,法人マスタ!$A:$A,0)),""))</f>
        <v>2026年4月期（第42期）</v>
      </c>
      <c r="N930" s="1" t="n">
        <f aca="false">IF($A930="","",SUMIFS(物件収支!$D:$D,物件収支!$A:$A,$A930,物件収支!$C:$C,$M930))</f>
        <v>6</v>
      </c>
      <c r="O930" s="1" t="n">
        <f aca="false">IF($A930="","",SUMIFS(物件収支!$F:$F,物件収支!$A:$A,$A930,物件収支!$C:$C,$M930))</f>
        <v>63000</v>
      </c>
      <c r="P930" s="1" t="n">
        <f aca="false">IF($A930="","",SUMIFS(物件収支!$I:$I,物件収支!$A:$A,$A930,物件収支!$C:$C,$M930))</f>
        <v>0</v>
      </c>
      <c r="Q930" s="1" t="n">
        <f aca="false">IF($A930="","",SUMIFS(物件収支!$O:$O,物件収支!$A:$A,$A930,物件収支!$C:$C,$M930))</f>
        <v>0</v>
      </c>
      <c r="R930" s="1" t="str">
        <f aca="false">IF($A930="","",IF(P930=0,"",O930-P930))</f>
        <v/>
      </c>
      <c r="S930" s="1" t="str">
        <f aca="false">IF($A930="","",IF(R930="","",R930+Q930))</f>
        <v/>
      </c>
      <c r="T930" s="1" t="str">
        <f aca="false">IF($A930="","",IF(OR(S930="",N930&lt;=0),"",S930/1000*12/N930))</f>
        <v/>
      </c>
      <c r="U930" s="1" t="str">
        <f aca="false">IF($A930="","",IF(OR(T930="",J930=0,J930=""),"",T930/J930))</f>
        <v/>
      </c>
      <c r="V930" s="1" t="str">
        <f aca="false">IF($A930="","",IF(OR(R930="",N930&lt;=0,J930=0,J930=""),"",(R930/1000*12/N930)/J930))</f>
        <v/>
      </c>
      <c r="W930" s="1" t="str">
        <f aca="false">IF($A930="","",IF(OR(T930="",K930=0,K930=""),"",T930/K930))</f>
        <v/>
      </c>
      <c r="X930" s="1" t="n">
        <f aca="false">IF($A930="","",IF(OR(N930&lt;=0,I930=0,I930="",O930=0),"",O930*1000/(I930*0.3025)/N930))</f>
        <v>8621.92365914769</v>
      </c>
      <c r="Y930" s="1" t="str">
        <f aca="false">IF($A930="","",IF(OR(O930=0,O930="",P930=0),"",P930/O930))</f>
        <v/>
      </c>
      <c r="Z930" s="1" t="str">
        <f aca="false">IF($A930="","",IFERROR(INDEX(物件収支!$E:$E,MATCH($A930,物件収支!$A:$A,0)),""))</f>
        <v>開示（物件別・収益のみ・百万円単位）</v>
      </c>
    </row>
    <row r="931" customFormat="false" ht="15" hidden="false" customHeight="true" outlineLevel="0" collapsed="false">
      <c r="A931" s="1" t="str">
        <f aca="false">IF(物件マスタ!A931="","",物件マスタ!A931)</f>
        <v>KDX-190</v>
      </c>
      <c r="B931" s="1" t="str">
        <f aca="false">IF($A931="","",物件マスタ!B931)</f>
        <v>KDX</v>
      </c>
      <c r="C931" s="1" t="str">
        <f aca="false">IF($A931="","",IFERROR(INDEX(法人マスタ!$C:$C,MATCH($B931,法人マスタ!$A:$A,0)),""))</f>
        <v>ＫＤＸ不動産投資法人</v>
      </c>
      <c r="D931" s="1" t="str">
        <f aca="false">IF($A931="","",物件マスタ!C931)</f>
        <v>KDXレジデンス杉並方南町</v>
      </c>
      <c r="E931" s="1" t="str">
        <f aca="false">IF($A931="","",物件マスタ!H931)</f>
        <v>東京経済圏（KDX区分）</v>
      </c>
      <c r="F931" s="1" t="n">
        <f aca="false">IF($A931="","",物件マスタ!P931)</f>
        <v>0</v>
      </c>
      <c r="G931" s="1" t="str">
        <f aca="false">IF($A931="","",物件マスタ!Q931)</f>
        <v/>
      </c>
      <c r="H931" s="1" t="n">
        <f aca="false">IF($A931="","",物件マスタ!L931)</f>
        <v>0</v>
      </c>
      <c r="I931" s="1" t="n">
        <f aca="false">IF($A931="","",物件マスタ!M931)</f>
        <v>1614.86</v>
      </c>
      <c r="J931" s="1" t="n">
        <f aca="false">IF($A931="","",物件マスタ!S931)</f>
        <v>1514</v>
      </c>
      <c r="K931" s="1" t="n">
        <f aca="false">IF($A931="","",物件マスタ!U931)</f>
        <v>1740</v>
      </c>
      <c r="L931" s="1" t="n">
        <f aca="false">IF($A931="","",物件マスタ!W931)</f>
        <v>0.899</v>
      </c>
      <c r="M931" s="1" t="str">
        <f aca="false">IF($A931="","",IFERROR(INDEX(法人マスタ!$H:$H,MATCH($B931,法人マスタ!$A:$A,0)),""))</f>
        <v>2026年4月期（第42期）</v>
      </c>
      <c r="N931" s="1" t="n">
        <f aca="false">IF($A931="","",SUMIFS(物件収支!$D:$D,物件収支!$A:$A,$A931,物件収支!$C:$C,$M931))</f>
        <v>6</v>
      </c>
      <c r="O931" s="1" t="n">
        <f aca="false">IF($A931="","",SUMIFS(物件収支!$F:$F,物件収支!$A:$A,$A931,物件収支!$C:$C,$M931))</f>
        <v>29000</v>
      </c>
      <c r="P931" s="1" t="n">
        <f aca="false">IF($A931="","",SUMIFS(物件収支!$I:$I,物件収支!$A:$A,$A931,物件収支!$C:$C,$M931))</f>
        <v>0</v>
      </c>
      <c r="Q931" s="1" t="n">
        <f aca="false">IF($A931="","",SUMIFS(物件収支!$O:$O,物件収支!$A:$A,$A931,物件収支!$C:$C,$M931))</f>
        <v>0</v>
      </c>
      <c r="R931" s="1" t="str">
        <f aca="false">IF($A931="","",IF(P931=0,"",O931-P931))</f>
        <v/>
      </c>
      <c r="S931" s="1" t="str">
        <f aca="false">IF($A931="","",IF(R931="","",R931+Q931))</f>
        <v/>
      </c>
      <c r="T931" s="1" t="str">
        <f aca="false">IF($A931="","",IF(OR(S931="",N931&lt;=0),"",S931/1000*12/N931))</f>
        <v/>
      </c>
      <c r="U931" s="1" t="str">
        <f aca="false">IF($A931="","",IF(OR(T931="",J931=0,J931=""),"",T931/J931))</f>
        <v/>
      </c>
      <c r="V931" s="1" t="str">
        <f aca="false">IF($A931="","",IF(OR(R931="",N931&lt;=0,J931=0,J931=""),"",(R931/1000*12/N931)/J931))</f>
        <v/>
      </c>
      <c r="W931" s="1" t="str">
        <f aca="false">IF($A931="","",IF(OR(T931="",K931=0,K931=""),"",T931/K931))</f>
        <v/>
      </c>
      <c r="X931" s="1" t="n">
        <f aca="false">IF($A931="","",IF(OR(N931&lt;=0,I931=0,I931="",O931=0),"",O931*1000/(I931*0.3025)/N931))</f>
        <v>9894.33228422705</v>
      </c>
      <c r="Y931" s="1" t="str">
        <f aca="false">IF($A931="","",IF(OR(O931=0,O931="",P931=0),"",P931/O931))</f>
        <v/>
      </c>
      <c r="Z931" s="1" t="str">
        <f aca="false">IF($A931="","",IFERROR(INDEX(物件収支!$E:$E,MATCH($A931,物件収支!$A:$A,0)),""))</f>
        <v>開示（物件別・収益のみ・百万円単位）</v>
      </c>
    </row>
    <row r="932" customFormat="false" ht="15" hidden="false" customHeight="true" outlineLevel="0" collapsed="false">
      <c r="A932" s="1" t="str">
        <f aca="false">IF(物件マスタ!A932="","",物件マスタ!A932)</f>
        <v>KDX-191</v>
      </c>
      <c r="B932" s="1" t="str">
        <f aca="false">IF($A932="","",物件マスタ!B932)</f>
        <v>KDX</v>
      </c>
      <c r="C932" s="1" t="str">
        <f aca="false">IF($A932="","",IFERROR(INDEX(法人マスタ!$C:$C,MATCH($B932,法人マスタ!$A:$A,0)),""))</f>
        <v>ＫＤＸ不動産投資法人</v>
      </c>
      <c r="D932" s="1" t="str">
        <f aca="false">IF($A932="","",物件マスタ!C932)</f>
        <v>KDXレジデンス瑞江</v>
      </c>
      <c r="E932" s="1" t="str">
        <f aca="false">IF($A932="","",物件マスタ!H932)</f>
        <v>東京経済圏（KDX区分）</v>
      </c>
      <c r="F932" s="1" t="n">
        <f aca="false">IF($A932="","",物件マスタ!P932)</f>
        <v>0</v>
      </c>
      <c r="G932" s="1" t="str">
        <f aca="false">IF($A932="","",物件マスタ!Q932)</f>
        <v/>
      </c>
      <c r="H932" s="1" t="n">
        <f aca="false">IF($A932="","",物件マスタ!L932)</f>
        <v>0</v>
      </c>
      <c r="I932" s="1" t="n">
        <f aca="false">IF($A932="","",物件マスタ!M932)</f>
        <v>2601.86</v>
      </c>
      <c r="J932" s="1" t="n">
        <f aca="false">IF($A932="","",物件マスタ!S932)</f>
        <v>2550</v>
      </c>
      <c r="K932" s="1" t="n">
        <f aca="false">IF($A932="","",物件マスタ!U932)</f>
        <v>2820</v>
      </c>
      <c r="L932" s="1" t="n">
        <f aca="false">IF($A932="","",物件マスタ!W932)</f>
        <v>0.959</v>
      </c>
      <c r="M932" s="1" t="str">
        <f aca="false">IF($A932="","",IFERROR(INDEX(法人マスタ!$H:$H,MATCH($B932,法人マスタ!$A:$A,0)),""))</f>
        <v>2026年4月期（第42期）</v>
      </c>
      <c r="N932" s="1" t="n">
        <f aca="false">IF($A932="","",SUMIFS(物件収支!$D:$D,物件収支!$A:$A,$A932,物件収支!$C:$C,$M932))</f>
        <v>6</v>
      </c>
      <c r="O932" s="1" t="n">
        <f aca="false">IF($A932="","",SUMIFS(物件収支!$F:$F,物件収支!$A:$A,$A932,物件収支!$C:$C,$M932))</f>
        <v>8000</v>
      </c>
      <c r="P932" s="1" t="n">
        <f aca="false">IF($A932="","",SUMIFS(物件収支!$I:$I,物件収支!$A:$A,$A932,物件収支!$C:$C,$M932))</f>
        <v>0</v>
      </c>
      <c r="Q932" s="1" t="n">
        <f aca="false">IF($A932="","",SUMIFS(物件収支!$O:$O,物件収支!$A:$A,$A932,物件収支!$C:$C,$M932))</f>
        <v>0</v>
      </c>
      <c r="R932" s="1" t="str">
        <f aca="false">IF($A932="","",IF(P932=0,"",O932-P932))</f>
        <v/>
      </c>
      <c r="S932" s="1" t="str">
        <f aca="false">IF($A932="","",IF(R932="","",R932+Q932))</f>
        <v/>
      </c>
      <c r="T932" s="1" t="str">
        <f aca="false">IF($A932="","",IF(OR(S932="",N932&lt;=0),"",S932/1000*12/N932))</f>
        <v/>
      </c>
      <c r="U932" s="1" t="str">
        <f aca="false">IF($A932="","",IF(OR(T932="",J932=0,J932=""),"",T932/J932))</f>
        <v/>
      </c>
      <c r="V932" s="1" t="str">
        <f aca="false">IF($A932="","",IF(OR(R932="",N932&lt;=0,J932=0,J932=""),"",(R932/1000*12/N932)/J932))</f>
        <v/>
      </c>
      <c r="W932" s="1" t="str">
        <f aca="false">IF($A932="","",IF(OR(T932="",K932=0,K932=""),"",T932/K932))</f>
        <v/>
      </c>
      <c r="X932" s="1" t="n">
        <f aca="false">IF($A932="","",IF(OR(N932&lt;=0,I932=0,I932="",O932=0),"",O932*1000/(I932*0.3025)/N932))</f>
        <v>1694.0625162855</v>
      </c>
      <c r="Y932" s="1" t="str">
        <f aca="false">IF($A932="","",IF(OR(O932=0,O932="",P932=0),"",P932/O932))</f>
        <v/>
      </c>
      <c r="Z932" s="1" t="str">
        <f aca="false">IF($A932="","",IFERROR(INDEX(物件収支!$E:$E,MATCH($A932,物件収支!$A:$A,0)),""))</f>
        <v>開示（物件別・収益のみ・百万円単位）</v>
      </c>
    </row>
    <row r="933" customFormat="false" ht="15" hidden="false" customHeight="true" outlineLevel="0" collapsed="false">
      <c r="A933" s="1" t="str">
        <f aca="false">IF(物件マスタ!A933="","",物件マスタ!A933)</f>
        <v>KDX-192</v>
      </c>
      <c r="B933" s="1" t="str">
        <f aca="false">IF($A933="","",物件マスタ!B933)</f>
        <v>KDX</v>
      </c>
      <c r="C933" s="1" t="str">
        <f aca="false">IF($A933="","",IFERROR(INDEX(法人マスタ!$C:$C,MATCH($B933,法人マスタ!$A:$A,0)),""))</f>
        <v>ＫＤＸ不動産投資法人</v>
      </c>
      <c r="D933" s="1" t="str">
        <f aca="false">IF($A933="","",物件マスタ!C933)</f>
        <v>KDX堺筋本町レジデンス</v>
      </c>
      <c r="E933" s="1" t="str">
        <f aca="false">IF($A933="","",物件マスタ!H933)</f>
        <v>地方経済圏（KDX区分）</v>
      </c>
      <c r="F933" s="1" t="n">
        <f aca="false">IF($A933="","",物件マスタ!P933)</f>
        <v>0</v>
      </c>
      <c r="G933" s="1" t="str">
        <f aca="false">IF($A933="","",物件マスタ!Q933)</f>
        <v/>
      </c>
      <c r="H933" s="1" t="n">
        <f aca="false">IF($A933="","",物件マスタ!L933)</f>
        <v>0</v>
      </c>
      <c r="I933" s="1" t="n">
        <f aca="false">IF($A933="","",物件マスタ!M933)</f>
        <v>6385.7</v>
      </c>
      <c r="J933" s="1" t="n">
        <f aca="false">IF($A933="","",物件マスタ!S933)</f>
        <v>4130</v>
      </c>
      <c r="K933" s="1" t="n">
        <f aca="false">IF($A933="","",物件マスタ!U933)</f>
        <v>4500</v>
      </c>
      <c r="L933" s="1" t="n">
        <f aca="false">IF($A933="","",物件マスタ!W933)</f>
        <v>0.995</v>
      </c>
      <c r="M933" s="1" t="str">
        <f aca="false">IF($A933="","",IFERROR(INDEX(法人マスタ!$H:$H,MATCH($B933,法人マスタ!$A:$A,0)),""))</f>
        <v>2026年4月期（第42期）</v>
      </c>
      <c r="N933" s="1" t="n">
        <f aca="false">IF($A933="","",SUMIFS(物件収支!$D:$D,物件収支!$A:$A,$A933,物件収支!$C:$C,$M933))</f>
        <v>6</v>
      </c>
      <c r="O933" s="1" t="n">
        <f aca="false">IF($A933="","",SUMIFS(物件収支!$F:$F,物件収支!$A:$A,$A933,物件収支!$C:$C,$M933))</f>
        <v>119000</v>
      </c>
      <c r="P933" s="1" t="n">
        <f aca="false">IF($A933="","",SUMIFS(物件収支!$I:$I,物件収支!$A:$A,$A933,物件収支!$C:$C,$M933))</f>
        <v>0</v>
      </c>
      <c r="Q933" s="1" t="n">
        <f aca="false">IF($A933="","",SUMIFS(物件収支!$O:$O,物件収支!$A:$A,$A933,物件収支!$C:$C,$M933))</f>
        <v>0</v>
      </c>
      <c r="R933" s="1" t="str">
        <f aca="false">IF($A933="","",IF(P933=0,"",O933-P933))</f>
        <v/>
      </c>
      <c r="S933" s="1" t="str">
        <f aca="false">IF($A933="","",IF(R933="","",R933+Q933))</f>
        <v/>
      </c>
      <c r="T933" s="1" t="str">
        <f aca="false">IF($A933="","",IF(OR(S933="",N933&lt;=0),"",S933/1000*12/N933))</f>
        <v/>
      </c>
      <c r="U933" s="1" t="str">
        <f aca="false">IF($A933="","",IF(OR(T933="",J933=0,J933=""),"",T933/J933))</f>
        <v/>
      </c>
      <c r="V933" s="1" t="str">
        <f aca="false">IF($A933="","",IF(OR(R933="",N933&lt;=0,J933=0,J933=""),"",(R933/1000*12/N933)/J933))</f>
        <v/>
      </c>
      <c r="W933" s="1" t="str">
        <f aca="false">IF($A933="","",IF(OR(T933="",K933=0,K933=""),"",T933/K933))</f>
        <v/>
      </c>
      <c r="X933" s="1" t="n">
        <f aca="false">IF($A933="","",IF(OR(N933&lt;=0,I933=0,I933="",O933=0),"",O933*1000/(I933*0.3025)/N933))</f>
        <v>10267.4316507213</v>
      </c>
      <c r="Y933" s="1" t="str">
        <f aca="false">IF($A933="","",IF(OR(O933=0,O933="",P933=0),"",P933/O933))</f>
        <v/>
      </c>
      <c r="Z933" s="1" t="str">
        <f aca="false">IF($A933="","",IFERROR(INDEX(物件収支!$E:$E,MATCH($A933,物件収支!$A:$A,0)),""))</f>
        <v>開示（物件別・収益のみ・百万円単位）</v>
      </c>
    </row>
    <row r="934" customFormat="false" ht="15" hidden="false" customHeight="true" outlineLevel="0" collapsed="false">
      <c r="A934" s="1" t="str">
        <f aca="false">IF(物件マスタ!A934="","",物件マスタ!A934)</f>
        <v>KDX-193</v>
      </c>
      <c r="B934" s="1" t="str">
        <f aca="false">IF($A934="","",物件マスタ!B934)</f>
        <v>KDX</v>
      </c>
      <c r="C934" s="1" t="str">
        <f aca="false">IF($A934="","",IFERROR(INDEX(法人マスタ!$C:$C,MATCH($B934,法人マスタ!$A:$A,0)),""))</f>
        <v>ＫＤＸ不動産投資法人</v>
      </c>
      <c r="D934" s="1" t="str">
        <f aca="false">IF($A934="","",物件マスタ!C934)</f>
        <v>KDX清水レジデンス</v>
      </c>
      <c r="E934" s="1" t="str">
        <f aca="false">IF($A934="","",物件マスタ!H934)</f>
        <v>地方経済圏（KDX区分）</v>
      </c>
      <c r="F934" s="1" t="n">
        <f aca="false">IF($A934="","",物件マスタ!P934)</f>
        <v>0</v>
      </c>
      <c r="G934" s="1" t="str">
        <f aca="false">IF($A934="","",物件マスタ!Q934)</f>
        <v/>
      </c>
      <c r="H934" s="1" t="n">
        <f aca="false">IF($A934="","",物件マスタ!L934)</f>
        <v>0</v>
      </c>
      <c r="I934" s="1" t="n">
        <f aca="false">IF($A934="","",物件マスタ!M934)</f>
        <v>6255.16</v>
      </c>
      <c r="J934" s="1" t="n">
        <f aca="false">IF($A934="","",物件マスタ!S934)</f>
        <v>2440</v>
      </c>
      <c r="K934" s="1" t="n">
        <f aca="false">IF($A934="","",物件マスタ!U934)</f>
        <v>2690</v>
      </c>
      <c r="L934" s="1" t="n">
        <f aca="false">IF($A934="","",物件マスタ!W934)</f>
        <v>0.961</v>
      </c>
      <c r="M934" s="1" t="str">
        <f aca="false">IF($A934="","",IFERROR(INDEX(法人マスタ!$H:$H,MATCH($B934,法人マスタ!$A:$A,0)),""))</f>
        <v>2026年4月期（第42期）</v>
      </c>
      <c r="N934" s="1" t="n">
        <f aca="false">IF($A934="","",SUMIFS(物件収支!$D:$D,物件収支!$A:$A,$A934,物件収支!$C:$C,$M934))</f>
        <v>6</v>
      </c>
      <c r="O934" s="1" t="n">
        <f aca="false">IF($A934="","",SUMIFS(物件収支!$F:$F,物件収支!$A:$A,$A934,物件収支!$C:$C,$M934))</f>
        <v>82000</v>
      </c>
      <c r="P934" s="1" t="n">
        <f aca="false">IF($A934="","",SUMIFS(物件収支!$I:$I,物件収支!$A:$A,$A934,物件収支!$C:$C,$M934))</f>
        <v>0</v>
      </c>
      <c r="Q934" s="1" t="n">
        <f aca="false">IF($A934="","",SUMIFS(物件収支!$O:$O,物件収支!$A:$A,$A934,物件収支!$C:$C,$M934))</f>
        <v>0</v>
      </c>
      <c r="R934" s="1" t="str">
        <f aca="false">IF($A934="","",IF(P934=0,"",O934-P934))</f>
        <v/>
      </c>
      <c r="S934" s="1" t="str">
        <f aca="false">IF($A934="","",IF(R934="","",R934+Q934))</f>
        <v/>
      </c>
      <c r="T934" s="1" t="str">
        <f aca="false">IF($A934="","",IF(OR(S934="",N934&lt;=0),"",S934/1000*12/N934))</f>
        <v/>
      </c>
      <c r="U934" s="1" t="str">
        <f aca="false">IF($A934="","",IF(OR(T934="",J934=0,J934=""),"",T934/J934))</f>
        <v/>
      </c>
      <c r="V934" s="1" t="str">
        <f aca="false">IF($A934="","",IF(OR(R934="",N934&lt;=0,J934=0,J934=""),"",(R934/1000*12/N934)/J934))</f>
        <v/>
      </c>
      <c r="W934" s="1" t="str">
        <f aca="false">IF($A934="","",IF(OR(T934="",K934=0,K934=""),"",T934/K934))</f>
        <v/>
      </c>
      <c r="X934" s="1" t="n">
        <f aca="false">IF($A934="","",IF(OR(N934&lt;=0,I934=0,I934="",O934=0),"",O934*1000/(I934*0.3025)/N934))</f>
        <v>7222.68708728179</v>
      </c>
      <c r="Y934" s="1" t="str">
        <f aca="false">IF($A934="","",IF(OR(O934=0,O934="",P934=0),"",P934/O934))</f>
        <v/>
      </c>
      <c r="Z934" s="1" t="str">
        <f aca="false">IF($A934="","",IFERROR(INDEX(物件収支!$E:$E,MATCH($A934,物件収支!$A:$A,0)),""))</f>
        <v>開示（物件別・収益のみ・百万円単位）</v>
      </c>
    </row>
    <row r="935" customFormat="false" ht="15" hidden="false" customHeight="true" outlineLevel="0" collapsed="false">
      <c r="A935" s="1" t="str">
        <f aca="false">IF(物件マスタ!A935="","",物件マスタ!A935)</f>
        <v>KDX-194</v>
      </c>
      <c r="B935" s="1" t="str">
        <f aca="false">IF($A935="","",物件マスタ!B935)</f>
        <v>KDX</v>
      </c>
      <c r="C935" s="1" t="str">
        <f aca="false">IF($A935="","",IFERROR(INDEX(法人マスタ!$C:$C,MATCH($B935,法人マスタ!$A:$A,0)),""))</f>
        <v>ＫＤＸ不動産投資法人</v>
      </c>
      <c r="D935" s="1" t="str">
        <f aca="false">IF($A935="","",物件マスタ!C935)</f>
        <v>KDX宝塚レジデンス</v>
      </c>
      <c r="E935" s="1" t="str">
        <f aca="false">IF($A935="","",物件マスタ!H935)</f>
        <v>地方経済圏（KDX区分）</v>
      </c>
      <c r="F935" s="1" t="n">
        <f aca="false">IF($A935="","",物件マスタ!P935)</f>
        <v>0</v>
      </c>
      <c r="G935" s="1" t="str">
        <f aca="false">IF($A935="","",物件マスタ!Q935)</f>
        <v/>
      </c>
      <c r="H935" s="1" t="n">
        <f aca="false">IF($A935="","",物件マスタ!L935)</f>
        <v>0</v>
      </c>
      <c r="I935" s="1" t="n">
        <f aca="false">IF($A935="","",物件マスタ!M935)</f>
        <v>4631.16</v>
      </c>
      <c r="J935" s="1" t="n">
        <f aca="false">IF($A935="","",物件マスタ!S935)</f>
        <v>2230</v>
      </c>
      <c r="K935" s="1" t="n">
        <f aca="false">IF($A935="","",物件マスタ!U935)</f>
        <v>2290</v>
      </c>
      <c r="L935" s="1" t="n">
        <f aca="false">IF($A935="","",物件マスタ!W935)</f>
        <v>0.986</v>
      </c>
      <c r="M935" s="1" t="str">
        <f aca="false">IF($A935="","",IFERROR(INDEX(法人マスタ!$H:$H,MATCH($B935,法人マスタ!$A:$A,0)),""))</f>
        <v>2026年4月期（第42期）</v>
      </c>
      <c r="N935" s="1" t="n">
        <f aca="false">IF($A935="","",SUMIFS(物件収支!$D:$D,物件収支!$A:$A,$A935,物件収支!$C:$C,$M935))</f>
        <v>6</v>
      </c>
      <c r="O935" s="1" t="n">
        <f aca="false">IF($A935="","",SUMIFS(物件収支!$F:$F,物件収支!$A:$A,$A935,物件収支!$C:$C,$M935))</f>
        <v>61000</v>
      </c>
      <c r="P935" s="1" t="n">
        <f aca="false">IF($A935="","",SUMIFS(物件収支!$I:$I,物件収支!$A:$A,$A935,物件収支!$C:$C,$M935))</f>
        <v>0</v>
      </c>
      <c r="Q935" s="1" t="n">
        <f aca="false">IF($A935="","",SUMIFS(物件収支!$O:$O,物件収支!$A:$A,$A935,物件収支!$C:$C,$M935))</f>
        <v>0</v>
      </c>
      <c r="R935" s="1" t="str">
        <f aca="false">IF($A935="","",IF(P935=0,"",O935-P935))</f>
        <v/>
      </c>
      <c r="S935" s="1" t="str">
        <f aca="false">IF($A935="","",IF(R935="","",R935+Q935))</f>
        <v/>
      </c>
      <c r="T935" s="1" t="str">
        <f aca="false">IF($A935="","",IF(OR(S935="",N935&lt;=0),"",S935/1000*12/N935))</f>
        <v/>
      </c>
      <c r="U935" s="1" t="str">
        <f aca="false">IF($A935="","",IF(OR(T935="",J935=0,J935=""),"",T935/J935))</f>
        <v/>
      </c>
      <c r="V935" s="1" t="str">
        <f aca="false">IF($A935="","",IF(OR(R935="",N935&lt;=0,J935=0,J935=""),"",(R935/1000*12/N935)/J935))</f>
        <v/>
      </c>
      <c r="W935" s="1" t="str">
        <f aca="false">IF($A935="","",IF(OR(T935="",K935=0,K935=""),"",T935/K935))</f>
        <v/>
      </c>
      <c r="X935" s="1" t="n">
        <f aca="false">IF($A935="","",IF(OR(N935&lt;=0,I935=0,I935="",O935=0),"",O935*1000/(I935*0.3025)/N935))</f>
        <v>7257.10522352872</v>
      </c>
      <c r="Y935" s="1" t="str">
        <f aca="false">IF($A935="","",IF(OR(O935=0,O935="",P935=0),"",P935/O935))</f>
        <v/>
      </c>
      <c r="Z935" s="1" t="str">
        <f aca="false">IF($A935="","",IFERROR(INDEX(物件収支!$E:$E,MATCH($A935,物件収支!$A:$A,0)),""))</f>
        <v>開示（物件別・収益のみ・百万円単位）</v>
      </c>
    </row>
    <row r="936" customFormat="false" ht="15" hidden="false" customHeight="true" outlineLevel="0" collapsed="false">
      <c r="A936" s="1" t="str">
        <f aca="false">IF(物件マスタ!A936="","",物件マスタ!A936)</f>
        <v>KDX-195</v>
      </c>
      <c r="B936" s="1" t="str">
        <f aca="false">IF($A936="","",物件マスタ!B936)</f>
        <v>KDX</v>
      </c>
      <c r="C936" s="1" t="str">
        <f aca="false">IF($A936="","",IFERROR(INDEX(法人マスタ!$C:$C,MATCH($B936,法人マスタ!$A:$A,0)),""))</f>
        <v>ＫＤＸ不動産投資法人</v>
      </c>
      <c r="D936" s="1" t="str">
        <f aca="false">IF($A936="","",物件マスタ!C936)</f>
        <v>KDX千早レジデンス</v>
      </c>
      <c r="E936" s="1" t="str">
        <f aca="false">IF($A936="","",物件マスタ!H936)</f>
        <v>地方経済圏（KDX区分）</v>
      </c>
      <c r="F936" s="1" t="n">
        <f aca="false">IF($A936="","",物件マスタ!P936)</f>
        <v>0</v>
      </c>
      <c r="G936" s="1" t="str">
        <f aca="false">IF($A936="","",物件マスタ!Q936)</f>
        <v/>
      </c>
      <c r="H936" s="1" t="n">
        <f aca="false">IF($A936="","",物件マスタ!L936)</f>
        <v>0</v>
      </c>
      <c r="I936" s="1" t="n">
        <f aca="false">IF($A936="","",物件マスタ!M936)</f>
        <v>2936.4</v>
      </c>
      <c r="J936" s="1" t="n">
        <f aca="false">IF($A936="","",物件マスタ!S936)</f>
        <v>1680</v>
      </c>
      <c r="K936" s="1" t="n">
        <f aca="false">IF($A936="","",物件マスタ!U936)</f>
        <v>1680</v>
      </c>
      <c r="L936" s="1" t="n">
        <f aca="false">IF($A936="","",物件マスタ!W936)</f>
        <v>0.983</v>
      </c>
      <c r="M936" s="1" t="str">
        <f aca="false">IF($A936="","",IFERROR(INDEX(法人マスタ!$H:$H,MATCH($B936,法人マスタ!$A:$A,0)),""))</f>
        <v>2026年4月期（第42期）</v>
      </c>
      <c r="N936" s="1" t="n">
        <f aca="false">IF($A936="","",SUMIFS(物件収支!$D:$D,物件収支!$A:$A,$A936,物件収支!$C:$C,$M936))</f>
        <v>6</v>
      </c>
      <c r="O936" s="1" t="n">
        <f aca="false">IF($A936="","",SUMIFS(物件収支!$F:$F,物件収支!$A:$A,$A936,物件収支!$C:$C,$M936))</f>
        <v>48000</v>
      </c>
      <c r="P936" s="1" t="n">
        <f aca="false">IF($A936="","",SUMIFS(物件収支!$I:$I,物件収支!$A:$A,$A936,物件収支!$C:$C,$M936))</f>
        <v>0</v>
      </c>
      <c r="Q936" s="1" t="n">
        <f aca="false">IF($A936="","",SUMIFS(物件収支!$O:$O,物件収支!$A:$A,$A936,物件収支!$C:$C,$M936))</f>
        <v>0</v>
      </c>
      <c r="R936" s="1" t="str">
        <f aca="false">IF($A936="","",IF(P936=0,"",O936-P936))</f>
        <v/>
      </c>
      <c r="S936" s="1" t="str">
        <f aca="false">IF($A936="","",IF(R936="","",R936+Q936))</f>
        <v/>
      </c>
      <c r="T936" s="1" t="str">
        <f aca="false">IF($A936="","",IF(OR(S936="",N936&lt;=0),"",S936/1000*12/N936))</f>
        <v/>
      </c>
      <c r="U936" s="1" t="str">
        <f aca="false">IF($A936="","",IF(OR(T936="",J936=0,J936=""),"",T936/J936))</f>
        <v/>
      </c>
      <c r="V936" s="1" t="str">
        <f aca="false">IF($A936="","",IF(OR(R936="",N936&lt;=0,J936=0,J936=""),"",(R936/1000*12/N936)/J936))</f>
        <v/>
      </c>
      <c r="W936" s="1" t="str">
        <f aca="false">IF($A936="","",IF(OR(T936="",K936=0,K936=""),"",T936/K936))</f>
        <v/>
      </c>
      <c r="X936" s="1" t="n">
        <f aca="false">IF($A936="","",IF(OR(N936&lt;=0,I936=0,I936="",O936=0),"",O936*1000/(I936*0.3025)/N936))</f>
        <v>9006.36186886512</v>
      </c>
      <c r="Y936" s="1" t="str">
        <f aca="false">IF($A936="","",IF(OR(O936=0,O936="",P936=0),"",P936/O936))</f>
        <v/>
      </c>
      <c r="Z936" s="1" t="str">
        <f aca="false">IF($A936="","",IFERROR(INDEX(物件収支!$E:$E,MATCH($A936,物件収支!$A:$A,0)),""))</f>
        <v>開示（物件別・収益のみ・百万円単位）</v>
      </c>
    </row>
    <row r="937" customFormat="false" ht="15" hidden="false" customHeight="true" outlineLevel="0" collapsed="false">
      <c r="A937" s="1" t="str">
        <f aca="false">IF(物件マスタ!A937="","",物件マスタ!A937)</f>
        <v>KDX-196</v>
      </c>
      <c r="B937" s="1" t="str">
        <f aca="false">IF($A937="","",物件マスタ!B937)</f>
        <v>KDX</v>
      </c>
      <c r="C937" s="1" t="str">
        <f aca="false">IF($A937="","",IFERROR(INDEX(法人マスタ!$C:$C,MATCH($B937,法人マスタ!$A:$A,0)),""))</f>
        <v>ＫＤＸ不動産投資法人</v>
      </c>
      <c r="D937" s="1" t="str">
        <f aca="false">IF($A937="","",物件マスタ!C937)</f>
        <v>KDX泉レジデンス</v>
      </c>
      <c r="E937" s="1" t="str">
        <f aca="false">IF($A937="","",物件マスタ!H937)</f>
        <v>地方経済圏（KDX区分）</v>
      </c>
      <c r="F937" s="1" t="n">
        <f aca="false">IF($A937="","",物件マスタ!P937)</f>
        <v>0</v>
      </c>
      <c r="G937" s="1" t="str">
        <f aca="false">IF($A937="","",物件マスタ!Q937)</f>
        <v/>
      </c>
      <c r="H937" s="1" t="n">
        <f aca="false">IF($A937="","",物件マスタ!L937)</f>
        <v>0</v>
      </c>
      <c r="I937" s="1" t="n">
        <f aca="false">IF($A937="","",物件マスタ!M937)</f>
        <v>2798.2</v>
      </c>
      <c r="J937" s="1" t="n">
        <f aca="false">IF($A937="","",物件マスタ!S937)</f>
        <v>1650</v>
      </c>
      <c r="K937" s="1" t="n">
        <f aca="false">IF($A937="","",物件マスタ!U937)</f>
        <v>1600</v>
      </c>
      <c r="L937" s="1" t="n">
        <f aca="false">IF($A937="","",物件マスタ!W937)</f>
        <v>1</v>
      </c>
      <c r="M937" s="1" t="str">
        <f aca="false">IF($A937="","",IFERROR(INDEX(法人マスタ!$H:$H,MATCH($B937,法人マスタ!$A:$A,0)),""))</f>
        <v>2026年4月期（第42期）</v>
      </c>
      <c r="N937" s="1" t="n">
        <f aca="false">IF($A937="","",SUMIFS(物件収支!$D:$D,物件収支!$A:$A,$A937,物件収支!$C:$C,$M937))</f>
        <v>6</v>
      </c>
      <c r="O937" s="1" t="n">
        <f aca="false">IF($A937="","",SUMIFS(物件収支!$F:$F,物件収支!$A:$A,$A937,物件収支!$C:$C,$M937))</f>
        <v>43000</v>
      </c>
      <c r="P937" s="1" t="n">
        <f aca="false">IF($A937="","",SUMIFS(物件収支!$I:$I,物件収支!$A:$A,$A937,物件収支!$C:$C,$M937))</f>
        <v>0</v>
      </c>
      <c r="Q937" s="1" t="n">
        <f aca="false">IF($A937="","",SUMIFS(物件収支!$O:$O,物件収支!$A:$A,$A937,物件収支!$C:$C,$M937))</f>
        <v>0</v>
      </c>
      <c r="R937" s="1" t="str">
        <f aca="false">IF($A937="","",IF(P937=0,"",O937-P937))</f>
        <v/>
      </c>
      <c r="S937" s="1" t="str">
        <f aca="false">IF($A937="","",IF(R937="","",R937+Q937))</f>
        <v/>
      </c>
      <c r="T937" s="1" t="str">
        <f aca="false">IF($A937="","",IF(OR(S937="",N937&lt;=0),"",S937/1000*12/N937))</f>
        <v/>
      </c>
      <c r="U937" s="1" t="str">
        <f aca="false">IF($A937="","",IF(OR(T937="",J937=0,J937=""),"",T937/J937))</f>
        <v/>
      </c>
      <c r="V937" s="1" t="str">
        <f aca="false">IF($A937="","",IF(OR(R937="",N937&lt;=0,J937=0,J937=""),"",(R937/1000*12/N937)/J937))</f>
        <v/>
      </c>
      <c r="W937" s="1" t="str">
        <f aca="false">IF($A937="","",IF(OR(T937="",K937=0,K937=""),"",T937/K937))</f>
        <v/>
      </c>
      <c r="X937" s="1" t="n">
        <f aca="false">IF($A937="","",IF(OR(N937&lt;=0,I937=0,I937="",O937=0),"",O937*1000/(I937*0.3025)/N937))</f>
        <v>8466.67859877651</v>
      </c>
      <c r="Y937" s="1" t="str">
        <f aca="false">IF($A937="","",IF(OR(O937=0,O937="",P937=0),"",P937/O937))</f>
        <v/>
      </c>
      <c r="Z937" s="1" t="str">
        <f aca="false">IF($A937="","",IFERROR(INDEX(物件収支!$E:$E,MATCH($A937,物件収支!$A:$A,0)),""))</f>
        <v>開示（物件別・収益のみ・百万円単位）</v>
      </c>
    </row>
    <row r="938" customFormat="false" ht="15" hidden="false" customHeight="true" outlineLevel="0" collapsed="false">
      <c r="A938" s="1" t="str">
        <f aca="false">IF(物件マスタ!A938="","",物件マスタ!A938)</f>
        <v>KDX-197</v>
      </c>
      <c r="B938" s="1" t="str">
        <f aca="false">IF($A938="","",物件マスタ!B938)</f>
        <v>KDX</v>
      </c>
      <c r="C938" s="1" t="str">
        <f aca="false">IF($A938="","",IFERROR(INDEX(法人マスタ!$C:$C,MATCH($B938,法人マスタ!$A:$A,0)),""))</f>
        <v>ＫＤＸ不動産投資法人</v>
      </c>
      <c r="D938" s="1" t="str">
        <f aca="false">IF($A938="","",物件マスタ!C938)</f>
        <v>KDX定禅寺通レジデンス</v>
      </c>
      <c r="E938" s="1" t="str">
        <f aca="false">IF($A938="","",物件マスタ!H938)</f>
        <v>地方経済圏（KDX区分）</v>
      </c>
      <c r="F938" s="1" t="n">
        <f aca="false">IF($A938="","",物件マスタ!P938)</f>
        <v>0</v>
      </c>
      <c r="G938" s="1" t="str">
        <f aca="false">IF($A938="","",物件マスタ!Q938)</f>
        <v/>
      </c>
      <c r="H938" s="1" t="n">
        <f aca="false">IF($A938="","",物件マスタ!L938)</f>
        <v>0</v>
      </c>
      <c r="I938" s="1" t="n">
        <f aca="false">IF($A938="","",物件マスタ!M938)</f>
        <v>3330.15</v>
      </c>
      <c r="J938" s="1" t="n">
        <f aca="false">IF($A938="","",物件マスタ!S938)</f>
        <v>1450</v>
      </c>
      <c r="K938" s="1" t="n">
        <f aca="false">IF($A938="","",物件マスタ!U938)</f>
        <v>1450</v>
      </c>
      <c r="L938" s="1" t="n">
        <f aca="false">IF($A938="","",物件マスタ!W938)</f>
        <v>0.909</v>
      </c>
      <c r="M938" s="1" t="str">
        <f aca="false">IF($A938="","",IFERROR(INDEX(法人マスタ!$H:$H,MATCH($B938,法人マスタ!$A:$A,0)),""))</f>
        <v>2026年4月期（第42期）</v>
      </c>
      <c r="N938" s="1" t="n">
        <f aca="false">IF($A938="","",SUMIFS(物件収支!$D:$D,物件収支!$A:$A,$A938,物件収支!$C:$C,$M938))</f>
        <v>6</v>
      </c>
      <c r="O938" s="1" t="n">
        <f aca="false">IF($A938="","",SUMIFS(物件収支!$F:$F,物件収支!$A:$A,$A938,物件収支!$C:$C,$M938))</f>
        <v>53000</v>
      </c>
      <c r="P938" s="1" t="n">
        <f aca="false">IF($A938="","",SUMIFS(物件収支!$I:$I,物件収支!$A:$A,$A938,物件収支!$C:$C,$M938))</f>
        <v>0</v>
      </c>
      <c r="Q938" s="1" t="n">
        <f aca="false">IF($A938="","",SUMIFS(物件収支!$O:$O,物件収支!$A:$A,$A938,物件収支!$C:$C,$M938))</f>
        <v>0</v>
      </c>
      <c r="R938" s="1" t="str">
        <f aca="false">IF($A938="","",IF(P938=0,"",O938-P938))</f>
        <v/>
      </c>
      <c r="S938" s="1" t="str">
        <f aca="false">IF($A938="","",IF(R938="","",R938+Q938))</f>
        <v/>
      </c>
      <c r="T938" s="1" t="str">
        <f aca="false">IF($A938="","",IF(OR(S938="",N938&lt;=0),"",S938/1000*12/N938))</f>
        <v/>
      </c>
      <c r="U938" s="1" t="str">
        <f aca="false">IF($A938="","",IF(OR(T938="",J938=0,J938=""),"",T938/J938))</f>
        <v/>
      </c>
      <c r="V938" s="1" t="str">
        <f aca="false">IF($A938="","",IF(OR(R938="",N938&lt;=0,J938=0,J938=""),"",(R938/1000*12/N938)/J938))</f>
        <v/>
      </c>
      <c r="W938" s="1" t="str">
        <f aca="false">IF($A938="","",IF(OR(T938="",K938=0,K938=""),"",T938/K938))</f>
        <v/>
      </c>
      <c r="X938" s="1" t="n">
        <f aca="false">IF($A938="","",IF(OR(N938&lt;=0,I938=0,I938="",O938=0),"",O938*1000/(I938*0.3025)/N938))</f>
        <v>8768.70469149277</v>
      </c>
      <c r="Y938" s="1" t="str">
        <f aca="false">IF($A938="","",IF(OR(O938=0,O938="",P938=0),"",P938/O938))</f>
        <v/>
      </c>
      <c r="Z938" s="1" t="str">
        <f aca="false">IF($A938="","",IFERROR(INDEX(物件収支!$E:$E,MATCH($A938,物件収支!$A:$A,0)),""))</f>
        <v>開示（物件別・収益のみ・百万円単位）</v>
      </c>
    </row>
    <row r="939" customFormat="false" ht="15" hidden="false" customHeight="true" outlineLevel="0" collapsed="false">
      <c r="A939" s="1" t="str">
        <f aca="false">IF(物件マスタ!A939="","",物件マスタ!A939)</f>
        <v>KDX-198</v>
      </c>
      <c r="B939" s="1" t="str">
        <f aca="false">IF($A939="","",物件マスタ!B939)</f>
        <v>KDX</v>
      </c>
      <c r="C939" s="1" t="str">
        <f aca="false">IF($A939="","",IFERROR(INDEX(法人マスタ!$C:$C,MATCH($B939,法人マスタ!$A:$A,0)),""))</f>
        <v>ＫＤＸ不動産投資法人</v>
      </c>
      <c r="D939" s="1" t="str">
        <f aca="false">IF($A939="","",物件マスタ!C939)</f>
        <v>KDXレジデンス東桜I</v>
      </c>
      <c r="E939" s="1" t="str">
        <f aca="false">IF($A939="","",物件マスタ!H939)</f>
        <v>地方経済圏（KDX区分）</v>
      </c>
      <c r="F939" s="1" t="n">
        <f aca="false">IF($A939="","",物件マスタ!P939)</f>
        <v>0</v>
      </c>
      <c r="G939" s="1" t="str">
        <f aca="false">IF($A939="","",物件マスタ!Q939)</f>
        <v/>
      </c>
      <c r="H939" s="1" t="n">
        <f aca="false">IF($A939="","",物件マスタ!L939)</f>
        <v>0</v>
      </c>
      <c r="I939" s="1" t="n">
        <f aca="false">IF($A939="","",物件マスタ!M939)</f>
        <v>6221.83</v>
      </c>
      <c r="J939" s="1" t="n">
        <f aca="false">IF($A939="","",物件マスタ!S939)</f>
        <v>2680</v>
      </c>
      <c r="K939" s="1" t="n">
        <f aca="false">IF($A939="","",物件マスタ!U939)</f>
        <v>2730</v>
      </c>
      <c r="L939" s="1" t="n">
        <f aca="false">IF($A939="","",物件マスタ!W939)</f>
        <v>0.957</v>
      </c>
      <c r="M939" s="1" t="str">
        <f aca="false">IF($A939="","",IFERROR(INDEX(法人マスタ!$H:$H,MATCH($B939,法人マスタ!$A:$A,0)),""))</f>
        <v>2026年4月期（第42期）</v>
      </c>
      <c r="N939" s="1" t="n">
        <f aca="false">IF($A939="","",SUMIFS(物件収支!$D:$D,物件収支!$A:$A,$A939,物件収支!$C:$C,$M939))</f>
        <v>6</v>
      </c>
      <c r="O939" s="1" t="n">
        <f aca="false">IF($A939="","",SUMIFS(物件収支!$F:$F,物件収支!$A:$A,$A939,物件収支!$C:$C,$M939))</f>
        <v>89000</v>
      </c>
      <c r="P939" s="1" t="n">
        <f aca="false">IF($A939="","",SUMIFS(物件収支!$I:$I,物件収支!$A:$A,$A939,物件収支!$C:$C,$M939))</f>
        <v>0</v>
      </c>
      <c r="Q939" s="1" t="n">
        <f aca="false">IF($A939="","",SUMIFS(物件収支!$O:$O,物件収支!$A:$A,$A939,物件収支!$C:$C,$M939))</f>
        <v>0</v>
      </c>
      <c r="R939" s="1" t="str">
        <f aca="false">IF($A939="","",IF(P939=0,"",O939-P939))</f>
        <v/>
      </c>
      <c r="S939" s="1" t="str">
        <f aca="false">IF($A939="","",IF(R939="","",R939+Q939))</f>
        <v/>
      </c>
      <c r="T939" s="1" t="str">
        <f aca="false">IF($A939="","",IF(OR(S939="",N939&lt;=0),"",S939/1000*12/N939))</f>
        <v/>
      </c>
      <c r="U939" s="1" t="str">
        <f aca="false">IF($A939="","",IF(OR(T939="",J939=0,J939=""),"",T939/J939))</f>
        <v/>
      </c>
      <c r="V939" s="1" t="str">
        <f aca="false">IF($A939="","",IF(OR(R939="",N939&lt;=0,J939=0,J939=""),"",(R939/1000*12/N939)/J939))</f>
        <v/>
      </c>
      <c r="W939" s="1" t="str">
        <f aca="false">IF($A939="","",IF(OR(T939="",K939=0,K939=""),"",T939/K939))</f>
        <v/>
      </c>
      <c r="X939" s="1" t="n">
        <f aca="false">IF($A939="","",IF(OR(N939&lt;=0,I939=0,I939="",O939=0),"",O939*1000/(I939*0.3025)/N939))</f>
        <v>7881.25240840337</v>
      </c>
      <c r="Y939" s="1" t="str">
        <f aca="false">IF($A939="","",IF(OR(O939=0,O939="",P939=0),"",P939/O939))</f>
        <v/>
      </c>
      <c r="Z939" s="1" t="str">
        <f aca="false">IF($A939="","",IFERROR(INDEX(物件収支!$E:$E,MATCH($A939,物件収支!$A:$A,0)),""))</f>
        <v>開示（物件別・収益のみ・百万円単位）</v>
      </c>
    </row>
    <row r="940" customFormat="false" ht="15" hidden="false" customHeight="true" outlineLevel="0" collapsed="false">
      <c r="A940" s="1" t="str">
        <f aca="false">IF(物件マスタ!A940="","",物件マスタ!A940)</f>
        <v>KDX-199</v>
      </c>
      <c r="B940" s="1" t="str">
        <f aca="false">IF($A940="","",物件マスタ!B940)</f>
        <v>KDX</v>
      </c>
      <c r="C940" s="1" t="str">
        <f aca="false">IF($A940="","",IFERROR(INDEX(法人マスタ!$C:$C,MATCH($B940,法人マスタ!$A:$A,0)),""))</f>
        <v>ＫＤＸ不動産投資法人</v>
      </c>
      <c r="D940" s="1" t="str">
        <f aca="false">IF($A940="","",物件マスタ!C940)</f>
        <v>芦屋ロイヤルホームズ</v>
      </c>
      <c r="E940" s="1" t="str">
        <f aca="false">IF($A940="","",物件マスタ!H940)</f>
        <v>地方経済圏（KDX区分）</v>
      </c>
      <c r="F940" s="1" t="n">
        <f aca="false">IF($A940="","",物件マスタ!P940)</f>
        <v>0</v>
      </c>
      <c r="G940" s="1" t="str">
        <f aca="false">IF($A940="","",物件マスタ!Q940)</f>
        <v/>
      </c>
      <c r="H940" s="1" t="n">
        <f aca="false">IF($A940="","",物件マスタ!L940)</f>
        <v>0</v>
      </c>
      <c r="I940" s="1" t="n">
        <f aca="false">IF($A940="","",物件マスタ!M940)</f>
        <v>4044.46</v>
      </c>
      <c r="J940" s="1" t="n">
        <f aca="false">IF($A940="","",物件マスタ!S940)</f>
        <v>2420</v>
      </c>
      <c r="K940" s="1" t="n">
        <f aca="false">IF($A940="","",物件マスタ!U940)</f>
        <v>2500</v>
      </c>
      <c r="L940" s="1" t="n">
        <f aca="false">IF($A940="","",物件マスタ!W940)</f>
        <v>0.967</v>
      </c>
      <c r="M940" s="1" t="str">
        <f aca="false">IF($A940="","",IFERROR(INDEX(法人マスタ!$H:$H,MATCH($B940,法人マスタ!$A:$A,0)),""))</f>
        <v>2026年4月期（第42期）</v>
      </c>
      <c r="N940" s="1" t="n">
        <f aca="false">IF($A940="","",SUMIFS(物件収支!$D:$D,物件収支!$A:$A,$A940,物件収支!$C:$C,$M940))</f>
        <v>6</v>
      </c>
      <c r="O940" s="1" t="n">
        <f aca="false">IF($A940="","",SUMIFS(物件収支!$F:$F,物件収支!$A:$A,$A940,物件収支!$C:$C,$M940))</f>
        <v>73000</v>
      </c>
      <c r="P940" s="1" t="n">
        <f aca="false">IF($A940="","",SUMIFS(物件収支!$I:$I,物件収支!$A:$A,$A940,物件収支!$C:$C,$M940))</f>
        <v>0</v>
      </c>
      <c r="Q940" s="1" t="n">
        <f aca="false">IF($A940="","",SUMIFS(物件収支!$O:$O,物件収支!$A:$A,$A940,物件収支!$C:$C,$M940))</f>
        <v>0</v>
      </c>
      <c r="R940" s="1" t="str">
        <f aca="false">IF($A940="","",IF(P940=0,"",O940-P940))</f>
        <v/>
      </c>
      <c r="S940" s="1" t="str">
        <f aca="false">IF($A940="","",IF(R940="","",R940+Q940))</f>
        <v/>
      </c>
      <c r="T940" s="1" t="str">
        <f aca="false">IF($A940="","",IF(OR(S940="",N940&lt;=0),"",S940/1000*12/N940))</f>
        <v/>
      </c>
      <c r="U940" s="1" t="str">
        <f aca="false">IF($A940="","",IF(OR(T940="",J940=0,J940=""),"",T940/J940))</f>
        <v/>
      </c>
      <c r="V940" s="1" t="str">
        <f aca="false">IF($A940="","",IF(OR(R940="",N940&lt;=0,J940=0,J940=""),"",(R940/1000*12/N940)/J940))</f>
        <v/>
      </c>
      <c r="W940" s="1" t="str">
        <f aca="false">IF($A940="","",IF(OR(T940="",K940=0,K940=""),"",T940/K940))</f>
        <v/>
      </c>
      <c r="X940" s="1" t="n">
        <f aca="false">IF($A940="","",IF(OR(N940&lt;=0,I940=0,I940="",O940=0),"",O940*1000/(I940*0.3025)/N940))</f>
        <v>9944.56260537405</v>
      </c>
      <c r="Y940" s="1" t="str">
        <f aca="false">IF($A940="","",IF(OR(O940=0,O940="",P940=0),"",P940/O940))</f>
        <v/>
      </c>
      <c r="Z940" s="1" t="str">
        <f aca="false">IF($A940="","",IFERROR(INDEX(物件収支!$E:$E,MATCH($A940,物件収支!$A:$A,0)),""))</f>
        <v>開示（物件別・収益のみ・百万円単位）</v>
      </c>
    </row>
    <row r="941" customFormat="false" ht="15" hidden="false" customHeight="true" outlineLevel="0" collapsed="false">
      <c r="A941" s="1" t="str">
        <f aca="false">IF(物件マスタ!A941="","",物件マスタ!A941)</f>
        <v>KDX-200</v>
      </c>
      <c r="B941" s="1" t="str">
        <f aca="false">IF($A941="","",物件マスタ!B941)</f>
        <v>KDX</v>
      </c>
      <c r="C941" s="1" t="str">
        <f aca="false">IF($A941="","",IFERROR(INDEX(法人マスタ!$C:$C,MATCH($B941,法人マスタ!$A:$A,0)),""))</f>
        <v>ＫＤＸ不動産投資法人</v>
      </c>
      <c r="D941" s="1" t="str">
        <f aca="false">IF($A941="","",物件マスタ!C941)</f>
        <v>KDXレジデンス難波</v>
      </c>
      <c r="E941" s="1" t="str">
        <f aca="false">IF($A941="","",物件マスタ!H941)</f>
        <v>地方経済圏（KDX区分）</v>
      </c>
      <c r="F941" s="1" t="n">
        <f aca="false">IF($A941="","",物件マスタ!P941)</f>
        <v>0</v>
      </c>
      <c r="G941" s="1" t="str">
        <f aca="false">IF($A941="","",物件マスタ!Q941)</f>
        <v/>
      </c>
      <c r="H941" s="1" t="n">
        <f aca="false">IF($A941="","",物件マスタ!L941)</f>
        <v>0</v>
      </c>
      <c r="I941" s="1" t="n">
        <f aca="false">IF($A941="","",物件マスタ!M941)</f>
        <v>3387.3</v>
      </c>
      <c r="J941" s="1" t="n">
        <f aca="false">IF($A941="","",物件マスタ!S941)</f>
        <v>1940</v>
      </c>
      <c r="K941" s="1" t="n">
        <f aca="false">IF($A941="","",物件マスタ!U941)</f>
        <v>2080</v>
      </c>
      <c r="L941" s="1" t="n">
        <f aca="false">IF($A941="","",物件マスタ!W941)</f>
        <v>0.977</v>
      </c>
      <c r="M941" s="1" t="str">
        <f aca="false">IF($A941="","",IFERROR(INDEX(法人マスタ!$H:$H,MATCH($B941,法人マスタ!$A:$A,0)),""))</f>
        <v>2026年4月期（第42期）</v>
      </c>
      <c r="N941" s="1" t="n">
        <f aca="false">IF($A941="","",SUMIFS(物件収支!$D:$D,物件収支!$A:$A,$A941,物件収支!$C:$C,$M941))</f>
        <v>6</v>
      </c>
      <c r="O941" s="1" t="n">
        <f aca="false">IF($A941="","",SUMIFS(物件収支!$F:$F,物件収支!$A:$A,$A941,物件収支!$C:$C,$M941))</f>
        <v>60000</v>
      </c>
      <c r="P941" s="1" t="n">
        <f aca="false">IF($A941="","",SUMIFS(物件収支!$I:$I,物件収支!$A:$A,$A941,物件収支!$C:$C,$M941))</f>
        <v>0</v>
      </c>
      <c r="Q941" s="1" t="n">
        <f aca="false">IF($A941="","",SUMIFS(物件収支!$O:$O,物件収支!$A:$A,$A941,物件収支!$C:$C,$M941))</f>
        <v>0</v>
      </c>
      <c r="R941" s="1" t="str">
        <f aca="false">IF($A941="","",IF(P941=0,"",O941-P941))</f>
        <v/>
      </c>
      <c r="S941" s="1" t="str">
        <f aca="false">IF($A941="","",IF(R941="","",R941+Q941))</f>
        <v/>
      </c>
      <c r="T941" s="1" t="str">
        <f aca="false">IF($A941="","",IF(OR(S941="",N941&lt;=0),"",S941/1000*12/N941))</f>
        <v/>
      </c>
      <c r="U941" s="1" t="str">
        <f aca="false">IF($A941="","",IF(OR(T941="",J941=0,J941=""),"",T941/J941))</f>
        <v/>
      </c>
      <c r="V941" s="1" t="str">
        <f aca="false">IF($A941="","",IF(OR(R941="",N941&lt;=0,J941=0,J941=""),"",(R941/1000*12/N941)/J941))</f>
        <v/>
      </c>
      <c r="W941" s="1" t="str">
        <f aca="false">IF($A941="","",IF(OR(T941="",K941=0,K941=""),"",T941/K941))</f>
        <v/>
      </c>
      <c r="X941" s="1" t="n">
        <f aca="false">IF($A941="","",IF(OR(N941&lt;=0,I941=0,I941="",O941=0),"",O941*1000/(I941*0.3025)/N941))</f>
        <v>9759.35147157601</v>
      </c>
      <c r="Y941" s="1" t="str">
        <f aca="false">IF($A941="","",IF(OR(O941=0,O941="",P941=0),"",P941/O941))</f>
        <v/>
      </c>
      <c r="Z941" s="1" t="str">
        <f aca="false">IF($A941="","",IFERROR(INDEX(物件収支!$E:$E,MATCH($A941,物件収支!$A:$A,0)),""))</f>
        <v>開示（物件別・収益のみ・百万円単位）</v>
      </c>
    </row>
    <row r="942" customFormat="false" ht="15" hidden="false" customHeight="true" outlineLevel="0" collapsed="false">
      <c r="A942" s="1" t="str">
        <f aca="false">IF(物件マスタ!A942="","",物件マスタ!A942)</f>
        <v>KDX-201</v>
      </c>
      <c r="B942" s="1" t="str">
        <f aca="false">IF($A942="","",物件マスタ!B942)</f>
        <v>KDX</v>
      </c>
      <c r="C942" s="1" t="str">
        <f aca="false">IF($A942="","",IFERROR(INDEX(法人マスタ!$C:$C,MATCH($B942,法人マスタ!$A:$A,0)),""))</f>
        <v>ＫＤＸ不動産投資法人</v>
      </c>
      <c r="D942" s="1" t="str">
        <f aca="false">IF($A942="","",物件マスタ!C942)</f>
        <v>KDXレジデンス難波南</v>
      </c>
      <c r="E942" s="1" t="str">
        <f aca="false">IF($A942="","",物件マスタ!H942)</f>
        <v>地方経済圏（KDX区分）</v>
      </c>
      <c r="F942" s="1" t="n">
        <f aca="false">IF($A942="","",物件マスタ!P942)</f>
        <v>0</v>
      </c>
      <c r="G942" s="1" t="str">
        <f aca="false">IF($A942="","",物件マスタ!Q942)</f>
        <v/>
      </c>
      <c r="H942" s="1" t="n">
        <f aca="false">IF($A942="","",物件マスタ!L942)</f>
        <v>0</v>
      </c>
      <c r="I942" s="1" t="n">
        <f aca="false">IF($A942="","",物件マスタ!M942)</f>
        <v>3813.31</v>
      </c>
      <c r="J942" s="1" t="n">
        <f aca="false">IF($A942="","",物件マスタ!S942)</f>
        <v>1780</v>
      </c>
      <c r="K942" s="1" t="n">
        <f aca="false">IF($A942="","",物件マスタ!U942)</f>
        <v>1870</v>
      </c>
      <c r="L942" s="1" t="n">
        <f aca="false">IF($A942="","",物件マスタ!W942)</f>
        <v>0.993</v>
      </c>
      <c r="M942" s="1" t="str">
        <f aca="false">IF($A942="","",IFERROR(INDEX(法人マスタ!$H:$H,MATCH($B942,法人マスタ!$A:$A,0)),""))</f>
        <v>2026年4月期（第42期）</v>
      </c>
      <c r="N942" s="1" t="n">
        <f aca="false">IF($A942="","",SUMIFS(物件収支!$D:$D,物件収支!$A:$A,$A942,物件収支!$C:$C,$M942))</f>
        <v>6</v>
      </c>
      <c r="O942" s="1" t="n">
        <f aca="false">IF($A942="","",SUMIFS(物件収支!$F:$F,物件収支!$A:$A,$A942,物件収支!$C:$C,$M942))</f>
        <v>58000</v>
      </c>
      <c r="P942" s="1" t="n">
        <f aca="false">IF($A942="","",SUMIFS(物件収支!$I:$I,物件収支!$A:$A,$A942,物件収支!$C:$C,$M942))</f>
        <v>0</v>
      </c>
      <c r="Q942" s="1" t="n">
        <f aca="false">IF($A942="","",SUMIFS(物件収支!$O:$O,物件収支!$A:$A,$A942,物件収支!$C:$C,$M942))</f>
        <v>0</v>
      </c>
      <c r="R942" s="1" t="str">
        <f aca="false">IF($A942="","",IF(P942=0,"",O942-P942))</f>
        <v/>
      </c>
      <c r="S942" s="1" t="str">
        <f aca="false">IF($A942="","",IF(R942="","",R942+Q942))</f>
        <v/>
      </c>
      <c r="T942" s="1" t="str">
        <f aca="false">IF($A942="","",IF(OR(S942="",N942&lt;=0),"",S942/1000*12/N942))</f>
        <v/>
      </c>
      <c r="U942" s="1" t="str">
        <f aca="false">IF($A942="","",IF(OR(T942="",J942=0,J942=""),"",T942/J942))</f>
        <v/>
      </c>
      <c r="V942" s="1" t="str">
        <f aca="false">IF($A942="","",IF(OR(R942="",N942&lt;=0,J942=0,J942=""),"",(R942/1000*12/N942)/J942))</f>
        <v/>
      </c>
      <c r="W942" s="1" t="str">
        <f aca="false">IF($A942="","",IF(OR(T942="",K942=0,K942=""),"",T942/K942))</f>
        <v/>
      </c>
      <c r="X942" s="1" t="n">
        <f aca="false">IF($A942="","",IF(OR(N942&lt;=0,I942=0,I942="",O942=0),"",O942*1000/(I942*0.3025)/N942))</f>
        <v>8380.10097920541</v>
      </c>
      <c r="Y942" s="1" t="str">
        <f aca="false">IF($A942="","",IF(OR(O942=0,O942="",P942=0),"",P942/O942))</f>
        <v/>
      </c>
      <c r="Z942" s="1" t="str">
        <f aca="false">IF($A942="","",IFERROR(INDEX(物件収支!$E:$E,MATCH($A942,物件収支!$A:$A,0)),""))</f>
        <v>開示（物件別・収益のみ・百万円単位）</v>
      </c>
    </row>
    <row r="943" customFormat="false" ht="15" hidden="false" customHeight="true" outlineLevel="0" collapsed="false">
      <c r="A943" s="1" t="str">
        <f aca="false">IF(物件マスタ!A943="","",物件マスタ!A943)</f>
        <v>KDX-202</v>
      </c>
      <c r="B943" s="1" t="str">
        <f aca="false">IF($A943="","",物件マスタ!B943)</f>
        <v>KDX</v>
      </c>
      <c r="C943" s="1" t="str">
        <f aca="false">IF($A943="","",IFERROR(INDEX(法人マスタ!$C:$C,MATCH($B943,法人マスタ!$A:$A,0)),""))</f>
        <v>ＫＤＸ不動産投資法人</v>
      </c>
      <c r="D943" s="1" t="str">
        <f aca="false">IF($A943="","",物件マスタ!C943)</f>
        <v>KDXレジデンス茨木I・II</v>
      </c>
      <c r="E943" s="1" t="str">
        <f aca="false">IF($A943="","",物件マスタ!H943)</f>
        <v>地方経済圏（KDX区分）</v>
      </c>
      <c r="F943" s="1" t="n">
        <f aca="false">IF($A943="","",物件マスタ!P943)</f>
        <v>0</v>
      </c>
      <c r="G943" s="1" t="str">
        <f aca="false">IF($A943="","",物件マスタ!Q943)</f>
        <v/>
      </c>
      <c r="H943" s="1" t="n">
        <f aca="false">IF($A943="","",物件マスタ!L943)</f>
        <v>0</v>
      </c>
      <c r="I943" s="1" t="n">
        <f aca="false">IF($A943="","",物件マスタ!M943)</f>
        <v>4701.87</v>
      </c>
      <c r="J943" s="1" t="n">
        <f aca="false">IF($A943="","",物件マスタ!S943)</f>
        <v>1657</v>
      </c>
      <c r="K943" s="1" t="n">
        <f aca="false">IF($A943="","",物件マスタ!U943)</f>
        <v>1728</v>
      </c>
      <c r="L943" s="1" t="n">
        <f aca="false">IF($A943="","",物件マスタ!W943)</f>
        <v>1</v>
      </c>
      <c r="M943" s="1" t="str">
        <f aca="false">IF($A943="","",IFERROR(INDEX(法人マスタ!$H:$H,MATCH($B943,法人マスタ!$A:$A,0)),""))</f>
        <v>2026年4月期（第42期）</v>
      </c>
      <c r="N943" s="1" t="n">
        <f aca="false">IF($A943="","",SUMIFS(物件収支!$D:$D,物件収支!$A:$A,$A943,物件収支!$C:$C,$M943))</f>
        <v>6</v>
      </c>
      <c r="O943" s="1" t="n">
        <f aca="false">IF($A943="","",SUMIFS(物件収支!$F:$F,物件収支!$A:$A,$A943,物件収支!$C:$C,$M943))</f>
        <v>58000</v>
      </c>
      <c r="P943" s="1" t="n">
        <f aca="false">IF($A943="","",SUMIFS(物件収支!$I:$I,物件収支!$A:$A,$A943,物件収支!$C:$C,$M943))</f>
        <v>0</v>
      </c>
      <c r="Q943" s="1" t="n">
        <f aca="false">IF($A943="","",SUMIFS(物件収支!$O:$O,物件収支!$A:$A,$A943,物件収支!$C:$C,$M943))</f>
        <v>0</v>
      </c>
      <c r="R943" s="1" t="str">
        <f aca="false">IF($A943="","",IF(P943=0,"",O943-P943))</f>
        <v/>
      </c>
      <c r="S943" s="1" t="str">
        <f aca="false">IF($A943="","",IF(R943="","",R943+Q943))</f>
        <v/>
      </c>
      <c r="T943" s="1" t="str">
        <f aca="false">IF($A943="","",IF(OR(S943="",N943&lt;=0),"",S943/1000*12/N943))</f>
        <v/>
      </c>
      <c r="U943" s="1" t="str">
        <f aca="false">IF($A943="","",IF(OR(T943="",J943=0,J943=""),"",T943/J943))</f>
        <v/>
      </c>
      <c r="V943" s="1" t="str">
        <f aca="false">IF($A943="","",IF(OR(R943="",N943&lt;=0,J943=0,J943=""),"",(R943/1000*12/N943)/J943))</f>
        <v/>
      </c>
      <c r="W943" s="1" t="str">
        <f aca="false">IF($A943="","",IF(OR(T943="",K943=0,K943=""),"",T943/K943))</f>
        <v/>
      </c>
      <c r="X943" s="1" t="n">
        <f aca="false">IF($A943="","",IF(OR(N943&lt;=0,I943=0,I943="",O943=0),"",O943*1000/(I943*0.3025)/N943))</f>
        <v>6796.42841359157</v>
      </c>
      <c r="Y943" s="1" t="str">
        <f aca="false">IF($A943="","",IF(OR(O943=0,O943="",P943=0),"",P943/O943))</f>
        <v/>
      </c>
      <c r="Z943" s="1" t="str">
        <f aca="false">IF($A943="","",IFERROR(INDEX(物件収支!$E:$E,MATCH($A943,物件収支!$A:$A,0)),""))</f>
        <v>開示（物件別・収益のみ・百万円単位）</v>
      </c>
    </row>
    <row r="944" customFormat="false" ht="15" hidden="false" customHeight="true" outlineLevel="0" collapsed="false">
      <c r="A944" s="1" t="str">
        <f aca="false">IF(物件マスタ!A944="","",物件マスタ!A944)</f>
        <v>KDX-203</v>
      </c>
      <c r="B944" s="1" t="str">
        <f aca="false">IF($A944="","",物件マスタ!B944)</f>
        <v>KDX</v>
      </c>
      <c r="C944" s="1" t="str">
        <f aca="false">IF($A944="","",IFERROR(INDEX(法人マスタ!$C:$C,MATCH($B944,法人マスタ!$A:$A,0)),""))</f>
        <v>ＫＤＸ不動産投資法人</v>
      </c>
      <c r="D944" s="1" t="str">
        <f aca="false">IF($A944="","",物件マスタ!C944)</f>
        <v>KDXレジデンス三宮</v>
      </c>
      <c r="E944" s="1" t="str">
        <f aca="false">IF($A944="","",物件マスタ!H944)</f>
        <v>地方経済圏（KDX区分）</v>
      </c>
      <c r="F944" s="1" t="n">
        <f aca="false">IF($A944="","",物件マスタ!P944)</f>
        <v>0</v>
      </c>
      <c r="G944" s="1" t="str">
        <f aca="false">IF($A944="","",物件マスタ!Q944)</f>
        <v/>
      </c>
      <c r="H944" s="1" t="n">
        <f aca="false">IF($A944="","",物件マスタ!L944)</f>
        <v>0</v>
      </c>
      <c r="I944" s="1" t="n">
        <f aca="false">IF($A944="","",物件マスタ!M944)</f>
        <v>2292.72</v>
      </c>
      <c r="J944" s="1" t="n">
        <f aca="false">IF($A944="","",物件マスタ!S944)</f>
        <v>1410</v>
      </c>
      <c r="K944" s="1" t="n">
        <f aca="false">IF($A944="","",物件マスタ!U944)</f>
        <v>1590</v>
      </c>
      <c r="L944" s="1" t="n">
        <f aca="false">IF($A944="","",物件マスタ!W944)</f>
        <v>0.989</v>
      </c>
      <c r="M944" s="1" t="str">
        <f aca="false">IF($A944="","",IFERROR(INDEX(法人マスタ!$H:$H,MATCH($B944,法人マスタ!$A:$A,0)),""))</f>
        <v>2026年4月期（第42期）</v>
      </c>
      <c r="N944" s="1" t="n">
        <f aca="false">IF($A944="","",SUMIFS(物件収支!$D:$D,物件収支!$A:$A,$A944,物件収支!$C:$C,$M944))</f>
        <v>6</v>
      </c>
      <c r="O944" s="1" t="n">
        <f aca="false">IF($A944="","",SUMIFS(物件収支!$F:$F,物件収支!$A:$A,$A944,物件収支!$C:$C,$M944))</f>
        <v>42000</v>
      </c>
      <c r="P944" s="1" t="n">
        <f aca="false">IF($A944="","",SUMIFS(物件収支!$I:$I,物件収支!$A:$A,$A944,物件収支!$C:$C,$M944))</f>
        <v>0</v>
      </c>
      <c r="Q944" s="1" t="n">
        <f aca="false">IF($A944="","",SUMIFS(物件収支!$O:$O,物件収支!$A:$A,$A944,物件収支!$C:$C,$M944))</f>
        <v>0</v>
      </c>
      <c r="R944" s="1" t="str">
        <f aca="false">IF($A944="","",IF(P944=0,"",O944-P944))</f>
        <v/>
      </c>
      <c r="S944" s="1" t="str">
        <f aca="false">IF($A944="","",IF(R944="","",R944+Q944))</f>
        <v/>
      </c>
      <c r="T944" s="1" t="str">
        <f aca="false">IF($A944="","",IF(OR(S944="",N944&lt;=0),"",S944/1000*12/N944))</f>
        <v/>
      </c>
      <c r="U944" s="1" t="str">
        <f aca="false">IF($A944="","",IF(OR(T944="",J944=0,J944=""),"",T944/J944))</f>
        <v/>
      </c>
      <c r="V944" s="1" t="str">
        <f aca="false">IF($A944="","",IF(OR(R944="",N944&lt;=0,J944=0,J944=""),"",(R944/1000*12/N944)/J944))</f>
        <v/>
      </c>
      <c r="W944" s="1" t="str">
        <f aca="false">IF($A944="","",IF(OR(T944="",K944=0,K944=""),"",T944/K944))</f>
        <v/>
      </c>
      <c r="X944" s="1" t="n">
        <f aca="false">IF($A944="","",IF(OR(N944&lt;=0,I944=0,I944="",O944=0),"",O944*1000/(I944*0.3025)/N944))</f>
        <v>10093.0317996827</v>
      </c>
      <c r="Y944" s="1" t="str">
        <f aca="false">IF($A944="","",IF(OR(O944=0,O944="",P944=0),"",P944/O944))</f>
        <v/>
      </c>
      <c r="Z944" s="1" t="str">
        <f aca="false">IF($A944="","",IFERROR(INDEX(物件収支!$E:$E,MATCH($A944,物件収支!$A:$A,0)),""))</f>
        <v>開示（物件別・収益のみ・百万円単位）</v>
      </c>
    </row>
    <row r="945" customFormat="false" ht="15" hidden="false" customHeight="true" outlineLevel="0" collapsed="false">
      <c r="A945" s="1" t="str">
        <f aca="false">IF(物件マスタ!A945="","",物件マスタ!A945)</f>
        <v>KDX-204</v>
      </c>
      <c r="B945" s="1" t="str">
        <f aca="false">IF($A945="","",物件マスタ!B945)</f>
        <v>KDX</v>
      </c>
      <c r="C945" s="1" t="str">
        <f aca="false">IF($A945="","",IFERROR(INDEX(法人マスタ!$C:$C,MATCH($B945,法人マスタ!$A:$A,0)),""))</f>
        <v>ＫＤＸ不動産投資法人</v>
      </c>
      <c r="D945" s="1" t="str">
        <f aca="false">IF($A945="","",物件マスタ!C945)</f>
        <v>KDXレジデンス菊水四条</v>
      </c>
      <c r="E945" s="1" t="str">
        <f aca="false">IF($A945="","",物件マスタ!H945)</f>
        <v>地方経済圏（KDX区分）</v>
      </c>
      <c r="F945" s="1" t="n">
        <f aca="false">IF($A945="","",物件マスタ!P945)</f>
        <v>0</v>
      </c>
      <c r="G945" s="1" t="str">
        <f aca="false">IF($A945="","",物件マスタ!Q945)</f>
        <v/>
      </c>
      <c r="H945" s="1" t="n">
        <f aca="false">IF($A945="","",物件マスタ!L945)</f>
        <v>0</v>
      </c>
      <c r="I945" s="1" t="n">
        <f aca="false">IF($A945="","",物件マスタ!M945)</f>
        <v>3413.06</v>
      </c>
      <c r="J945" s="1" t="n">
        <f aca="false">IF($A945="","",物件マスタ!S945)</f>
        <v>1180</v>
      </c>
      <c r="K945" s="1" t="n">
        <f aca="false">IF($A945="","",物件マスタ!U945)</f>
        <v>1230</v>
      </c>
      <c r="L945" s="1" t="n">
        <f aca="false">IF($A945="","",物件マスタ!W945)</f>
        <v>0.954</v>
      </c>
      <c r="M945" s="1" t="str">
        <f aca="false">IF($A945="","",IFERROR(INDEX(法人マスタ!$H:$H,MATCH($B945,法人マスタ!$A:$A,0)),""))</f>
        <v>2026年4月期（第42期）</v>
      </c>
      <c r="N945" s="1" t="n">
        <f aca="false">IF($A945="","",SUMIFS(物件収支!$D:$D,物件収支!$A:$A,$A945,物件収支!$C:$C,$M945))</f>
        <v>6</v>
      </c>
      <c r="O945" s="1" t="n">
        <f aca="false">IF($A945="","",SUMIFS(物件収支!$F:$F,物件収支!$A:$A,$A945,物件収支!$C:$C,$M945))</f>
        <v>40000</v>
      </c>
      <c r="P945" s="1" t="n">
        <f aca="false">IF($A945="","",SUMIFS(物件収支!$I:$I,物件収支!$A:$A,$A945,物件収支!$C:$C,$M945))</f>
        <v>0</v>
      </c>
      <c r="Q945" s="1" t="n">
        <f aca="false">IF($A945="","",SUMIFS(物件収支!$O:$O,物件収支!$A:$A,$A945,物件収支!$C:$C,$M945))</f>
        <v>0</v>
      </c>
      <c r="R945" s="1" t="str">
        <f aca="false">IF($A945="","",IF(P945=0,"",O945-P945))</f>
        <v/>
      </c>
      <c r="S945" s="1" t="str">
        <f aca="false">IF($A945="","",IF(R945="","",R945+Q945))</f>
        <v/>
      </c>
      <c r="T945" s="1" t="str">
        <f aca="false">IF($A945="","",IF(OR(S945="",N945&lt;=0),"",S945/1000*12/N945))</f>
        <v/>
      </c>
      <c r="U945" s="1" t="str">
        <f aca="false">IF($A945="","",IF(OR(T945="",J945=0,J945=""),"",T945/J945))</f>
        <v/>
      </c>
      <c r="V945" s="1" t="str">
        <f aca="false">IF($A945="","",IF(OR(R945="",N945&lt;=0,J945=0,J945=""),"",(R945/1000*12/N945)/J945))</f>
        <v/>
      </c>
      <c r="W945" s="1" t="str">
        <f aca="false">IF($A945="","",IF(OR(T945="",K945=0,K945=""),"",T945/K945))</f>
        <v/>
      </c>
      <c r="X945" s="1" t="n">
        <f aca="false">IF($A945="","",IF(OR(N945&lt;=0,I945=0,I945="",O945=0),"",O945*1000/(I945*0.3025)/N945))</f>
        <v>6457.12864500271</v>
      </c>
      <c r="Y945" s="1" t="str">
        <f aca="false">IF($A945="","",IF(OR(O945=0,O945="",P945=0),"",P945/O945))</f>
        <v/>
      </c>
      <c r="Z945" s="1" t="str">
        <f aca="false">IF($A945="","",IFERROR(INDEX(物件収支!$E:$E,MATCH($A945,物件収支!$A:$A,0)),""))</f>
        <v>開示（物件別・収益のみ・百万円単位）</v>
      </c>
    </row>
    <row r="946" customFormat="false" ht="15" hidden="false" customHeight="true" outlineLevel="0" collapsed="false">
      <c r="A946" s="1" t="str">
        <f aca="false">IF(物件マスタ!A946="","",物件マスタ!A946)</f>
        <v>KDX-205</v>
      </c>
      <c r="B946" s="1" t="str">
        <f aca="false">IF($A946="","",物件マスタ!B946)</f>
        <v>KDX</v>
      </c>
      <c r="C946" s="1" t="str">
        <f aca="false">IF($A946="","",IFERROR(INDEX(法人マスタ!$C:$C,MATCH($B946,法人マスタ!$A:$A,0)),""))</f>
        <v>ＫＤＸ不動産投資法人</v>
      </c>
      <c r="D946" s="1" t="str">
        <f aca="false">IF($A946="","",物件マスタ!C946)</f>
        <v>KDXレジデンス大通公園</v>
      </c>
      <c r="E946" s="1" t="str">
        <f aca="false">IF($A946="","",物件マスタ!H946)</f>
        <v>地方経済圏（KDX区分）</v>
      </c>
      <c r="F946" s="1" t="n">
        <f aca="false">IF($A946="","",物件マスタ!P946)</f>
        <v>0</v>
      </c>
      <c r="G946" s="1" t="str">
        <f aca="false">IF($A946="","",物件マスタ!Q946)</f>
        <v/>
      </c>
      <c r="H946" s="1" t="n">
        <f aca="false">IF($A946="","",物件マスタ!L946)</f>
        <v>0</v>
      </c>
      <c r="I946" s="1" t="n">
        <f aca="false">IF($A946="","",物件マスタ!M946)</f>
        <v>2762.76</v>
      </c>
      <c r="J946" s="1" t="n">
        <f aca="false">IF($A946="","",物件マスタ!S946)</f>
        <v>1150</v>
      </c>
      <c r="K946" s="1" t="n">
        <f aca="false">IF($A946="","",物件マスタ!U946)</f>
        <v>1190</v>
      </c>
      <c r="L946" s="1" t="n">
        <f aca="false">IF($A946="","",物件マスタ!W946)</f>
        <v>0.936</v>
      </c>
      <c r="M946" s="1" t="str">
        <f aca="false">IF($A946="","",IFERROR(INDEX(法人マスタ!$H:$H,MATCH($B946,法人マスタ!$A:$A,0)),""))</f>
        <v>2026年4月期（第42期）</v>
      </c>
      <c r="N946" s="1" t="n">
        <f aca="false">IF($A946="","",SUMIFS(物件収支!$D:$D,物件収支!$A:$A,$A946,物件収支!$C:$C,$M946))</f>
        <v>6</v>
      </c>
      <c r="O946" s="1" t="n">
        <f aca="false">IF($A946="","",SUMIFS(物件収支!$F:$F,物件収支!$A:$A,$A946,物件収支!$C:$C,$M946))</f>
        <v>35000</v>
      </c>
      <c r="P946" s="1" t="n">
        <f aca="false">IF($A946="","",SUMIFS(物件収支!$I:$I,物件収支!$A:$A,$A946,物件収支!$C:$C,$M946))</f>
        <v>0</v>
      </c>
      <c r="Q946" s="1" t="n">
        <f aca="false">IF($A946="","",SUMIFS(物件収支!$O:$O,物件収支!$A:$A,$A946,物件収支!$C:$C,$M946))</f>
        <v>0</v>
      </c>
      <c r="R946" s="1" t="str">
        <f aca="false">IF($A946="","",IF(P946=0,"",O946-P946))</f>
        <v/>
      </c>
      <c r="S946" s="1" t="str">
        <f aca="false">IF($A946="","",IF(R946="","",R946+Q946))</f>
        <v/>
      </c>
      <c r="T946" s="1" t="str">
        <f aca="false">IF($A946="","",IF(OR(S946="",N946&lt;=0),"",S946/1000*12/N946))</f>
        <v/>
      </c>
      <c r="U946" s="1" t="str">
        <f aca="false">IF($A946="","",IF(OR(T946="",J946=0,J946=""),"",T946/J946))</f>
        <v/>
      </c>
      <c r="V946" s="1" t="str">
        <f aca="false">IF($A946="","",IF(OR(R946="",N946&lt;=0,J946=0,J946=""),"",(R946/1000*12/N946)/J946))</f>
        <v/>
      </c>
      <c r="W946" s="1" t="str">
        <f aca="false">IF($A946="","",IF(OR(T946="",K946=0,K946=""),"",T946/K946))</f>
        <v/>
      </c>
      <c r="X946" s="1" t="n">
        <f aca="false">IF($A946="","",IF(OR(N946&lt;=0,I946=0,I946="",O946=0),"",O946*1000/(I946*0.3025)/N946))</f>
        <v>6979.88480956501</v>
      </c>
      <c r="Y946" s="1" t="str">
        <f aca="false">IF($A946="","",IF(OR(O946=0,O946="",P946=0),"",P946/O946))</f>
        <v/>
      </c>
      <c r="Z946" s="1" t="str">
        <f aca="false">IF($A946="","",IFERROR(INDEX(物件収支!$E:$E,MATCH($A946,物件収支!$A:$A,0)),""))</f>
        <v>開示（物件別・収益のみ・百万円単位）</v>
      </c>
    </row>
    <row r="947" customFormat="false" ht="15" hidden="false" customHeight="true" outlineLevel="0" collapsed="false">
      <c r="A947" s="1" t="str">
        <f aca="false">IF(物件マスタ!A947="","",物件マスタ!A947)</f>
        <v>KDX-206</v>
      </c>
      <c r="B947" s="1" t="str">
        <f aca="false">IF($A947="","",物件マスタ!B947)</f>
        <v>KDX</v>
      </c>
      <c r="C947" s="1" t="str">
        <f aca="false">IF($A947="","",IFERROR(INDEX(法人マスタ!$C:$C,MATCH($B947,法人マスタ!$A:$A,0)),""))</f>
        <v>ＫＤＸ不動産投資法人</v>
      </c>
      <c r="D947" s="1" t="str">
        <f aca="false">IF($A947="","",物件マスタ!C947)</f>
        <v>KDXレジデンス神宮前</v>
      </c>
      <c r="E947" s="1" t="str">
        <f aca="false">IF($A947="","",物件マスタ!H947)</f>
        <v>地方経済圏（KDX区分）</v>
      </c>
      <c r="F947" s="1" t="n">
        <f aca="false">IF($A947="","",物件マスタ!P947)</f>
        <v>0</v>
      </c>
      <c r="G947" s="1" t="str">
        <f aca="false">IF($A947="","",物件マスタ!Q947)</f>
        <v/>
      </c>
      <c r="H947" s="1" t="n">
        <f aca="false">IF($A947="","",物件マスタ!L947)</f>
        <v>0</v>
      </c>
      <c r="I947" s="1" t="n">
        <f aca="false">IF($A947="","",物件マスタ!M947)</f>
        <v>2724.19</v>
      </c>
      <c r="J947" s="1" t="n">
        <f aca="false">IF($A947="","",物件マスタ!S947)</f>
        <v>1120</v>
      </c>
      <c r="K947" s="1" t="n">
        <f aca="false">IF($A947="","",物件マスタ!U947)</f>
        <v>1160</v>
      </c>
      <c r="L947" s="1" t="n">
        <f aca="false">IF($A947="","",物件マスタ!W947)</f>
        <v>0.982</v>
      </c>
      <c r="M947" s="1" t="str">
        <f aca="false">IF($A947="","",IFERROR(INDEX(法人マスタ!$H:$H,MATCH($B947,法人マスタ!$A:$A,0)),""))</f>
        <v>2026年4月期（第42期）</v>
      </c>
      <c r="N947" s="1" t="n">
        <f aca="false">IF($A947="","",SUMIFS(物件収支!$D:$D,物件収支!$A:$A,$A947,物件収支!$C:$C,$M947))</f>
        <v>6</v>
      </c>
      <c r="O947" s="1" t="n">
        <f aca="false">IF($A947="","",SUMIFS(物件収支!$F:$F,物件収支!$A:$A,$A947,物件収支!$C:$C,$M947))</f>
        <v>39000</v>
      </c>
      <c r="P947" s="1" t="n">
        <f aca="false">IF($A947="","",SUMIFS(物件収支!$I:$I,物件収支!$A:$A,$A947,物件収支!$C:$C,$M947))</f>
        <v>0</v>
      </c>
      <c r="Q947" s="1" t="n">
        <f aca="false">IF($A947="","",SUMIFS(物件収支!$O:$O,物件収支!$A:$A,$A947,物件収支!$C:$C,$M947))</f>
        <v>0</v>
      </c>
      <c r="R947" s="1" t="str">
        <f aca="false">IF($A947="","",IF(P947=0,"",O947-P947))</f>
        <v/>
      </c>
      <c r="S947" s="1" t="str">
        <f aca="false">IF($A947="","",IF(R947="","",R947+Q947))</f>
        <v/>
      </c>
      <c r="T947" s="1" t="str">
        <f aca="false">IF($A947="","",IF(OR(S947="",N947&lt;=0),"",S947/1000*12/N947))</f>
        <v/>
      </c>
      <c r="U947" s="1" t="str">
        <f aca="false">IF($A947="","",IF(OR(T947="",J947=0,J947=""),"",T947/J947))</f>
        <v/>
      </c>
      <c r="V947" s="1" t="str">
        <f aca="false">IF($A947="","",IF(OR(R947="",N947&lt;=0,J947=0,J947=""),"",(R947/1000*12/N947)/J947))</f>
        <v/>
      </c>
      <c r="W947" s="1" t="str">
        <f aca="false">IF($A947="","",IF(OR(T947="",K947=0,K947=""),"",T947/K947))</f>
        <v/>
      </c>
      <c r="X947" s="1" t="n">
        <f aca="false">IF($A947="","",IF(OR(N947&lt;=0,I947=0,I947="",O947=0),"",O947*1000/(I947*0.3025)/N947))</f>
        <v>7887.70361310523</v>
      </c>
      <c r="Y947" s="1" t="str">
        <f aca="false">IF($A947="","",IF(OR(O947=0,O947="",P947=0),"",P947/O947))</f>
        <v/>
      </c>
      <c r="Z947" s="1" t="str">
        <f aca="false">IF($A947="","",IFERROR(INDEX(物件収支!$E:$E,MATCH($A947,物件収支!$A:$A,0)),""))</f>
        <v>開示（物件別・収益のみ・百万円単位）</v>
      </c>
    </row>
    <row r="948" customFormat="false" ht="15" hidden="false" customHeight="true" outlineLevel="0" collapsed="false">
      <c r="A948" s="1" t="str">
        <f aca="false">IF(物件マスタ!A948="","",物件マスタ!A948)</f>
        <v>KDX-207</v>
      </c>
      <c r="B948" s="1" t="str">
        <f aca="false">IF($A948="","",物件マスタ!B948)</f>
        <v>KDX</v>
      </c>
      <c r="C948" s="1" t="str">
        <f aca="false">IF($A948="","",IFERROR(INDEX(法人マスタ!$C:$C,MATCH($B948,法人マスタ!$A:$A,0)),""))</f>
        <v>ＫＤＸ不動産投資法人</v>
      </c>
      <c r="D948" s="1" t="str">
        <f aca="false">IF($A948="","",物件マスタ!C948)</f>
        <v>KDXレジデンス天神東II</v>
      </c>
      <c r="E948" s="1" t="str">
        <f aca="false">IF($A948="","",物件マスタ!H948)</f>
        <v>地方経済圏（KDX区分）</v>
      </c>
      <c r="F948" s="1" t="n">
        <f aca="false">IF($A948="","",物件マスタ!P948)</f>
        <v>0</v>
      </c>
      <c r="G948" s="1" t="str">
        <f aca="false">IF($A948="","",物件マスタ!Q948)</f>
        <v/>
      </c>
      <c r="H948" s="1" t="n">
        <f aca="false">IF($A948="","",物件マスタ!L948)</f>
        <v>0</v>
      </c>
      <c r="I948" s="1" t="n">
        <f aca="false">IF($A948="","",物件マスタ!M948)</f>
        <v>2602.53</v>
      </c>
      <c r="J948" s="1" t="n">
        <f aca="false">IF($A948="","",物件マスタ!S948)</f>
        <v>1090</v>
      </c>
      <c r="K948" s="1" t="n">
        <f aca="false">IF($A948="","",物件マスタ!U948)</f>
        <v>1130</v>
      </c>
      <c r="L948" s="1" t="n">
        <f aca="false">IF($A948="","",物件マスタ!W948)</f>
        <v>0.984</v>
      </c>
      <c r="M948" s="1" t="str">
        <f aca="false">IF($A948="","",IFERROR(INDEX(法人マスタ!$H:$H,MATCH($B948,法人マスタ!$A:$A,0)),""))</f>
        <v>2026年4月期（第42期）</v>
      </c>
      <c r="N948" s="1" t="n">
        <f aca="false">IF($A948="","",SUMIFS(物件収支!$D:$D,物件収支!$A:$A,$A948,物件収支!$C:$C,$M948))</f>
        <v>6</v>
      </c>
      <c r="O948" s="1" t="n">
        <f aca="false">IF($A948="","",SUMIFS(物件収支!$F:$F,物件収支!$A:$A,$A948,物件収支!$C:$C,$M948))</f>
        <v>34000</v>
      </c>
      <c r="P948" s="1" t="n">
        <f aca="false">IF($A948="","",SUMIFS(物件収支!$I:$I,物件収支!$A:$A,$A948,物件収支!$C:$C,$M948))</f>
        <v>0</v>
      </c>
      <c r="Q948" s="1" t="n">
        <f aca="false">IF($A948="","",SUMIFS(物件収支!$O:$O,物件収支!$A:$A,$A948,物件収支!$C:$C,$M948))</f>
        <v>0</v>
      </c>
      <c r="R948" s="1" t="str">
        <f aca="false">IF($A948="","",IF(P948=0,"",O948-P948))</f>
        <v/>
      </c>
      <c r="S948" s="1" t="str">
        <f aca="false">IF($A948="","",IF(R948="","",R948+Q948))</f>
        <v/>
      </c>
      <c r="T948" s="1" t="str">
        <f aca="false">IF($A948="","",IF(OR(S948="",N948&lt;=0),"",S948/1000*12/N948))</f>
        <v/>
      </c>
      <c r="U948" s="1" t="str">
        <f aca="false">IF($A948="","",IF(OR(T948="",J948=0,J948=""),"",T948/J948))</f>
        <v/>
      </c>
      <c r="V948" s="1" t="str">
        <f aca="false">IF($A948="","",IF(OR(R948="",N948&lt;=0,J948=0,J948=""),"",(R948/1000*12/N948)/J948))</f>
        <v/>
      </c>
      <c r="W948" s="1" t="str">
        <f aca="false">IF($A948="","",IF(OR(T948="",K948=0,K948=""),"",T948/K948))</f>
        <v/>
      </c>
      <c r="X948" s="1" t="n">
        <f aca="false">IF($A948="","",IF(OR(N948&lt;=0,I948=0,I948="",O948=0),"",O948*1000/(I948*0.3025)/N948))</f>
        <v>7197.91217359493</v>
      </c>
      <c r="Y948" s="1" t="str">
        <f aca="false">IF($A948="","",IF(OR(O948=0,O948="",P948=0),"",P948/O948))</f>
        <v/>
      </c>
      <c r="Z948" s="1" t="str">
        <f aca="false">IF($A948="","",IFERROR(INDEX(物件収支!$E:$E,MATCH($A948,物件収支!$A:$A,0)),""))</f>
        <v>開示（物件別・収益のみ・百万円単位）</v>
      </c>
    </row>
    <row r="949" customFormat="false" ht="15" hidden="false" customHeight="true" outlineLevel="0" collapsed="false">
      <c r="A949" s="1" t="str">
        <f aca="false">IF(物件マスタ!A949="","",物件マスタ!A949)</f>
        <v>KDX-208</v>
      </c>
      <c r="B949" s="1" t="str">
        <f aca="false">IF($A949="","",物件マスタ!B949)</f>
        <v>KDX</v>
      </c>
      <c r="C949" s="1" t="str">
        <f aca="false">IF($A949="","",IFERROR(INDEX(法人マスタ!$C:$C,MATCH($B949,法人マスタ!$A:$A,0)),""))</f>
        <v>ＫＤＸ不動産投資法人</v>
      </c>
      <c r="D949" s="1" t="str">
        <f aca="false">IF($A949="","",物件マスタ!C949)</f>
        <v>KDXレジデンス平尾浄水町</v>
      </c>
      <c r="E949" s="1" t="str">
        <f aca="false">IF($A949="","",物件マスタ!H949)</f>
        <v>地方経済圏（KDX区分）</v>
      </c>
      <c r="F949" s="1" t="n">
        <f aca="false">IF($A949="","",物件マスタ!P949)</f>
        <v>0</v>
      </c>
      <c r="G949" s="1" t="str">
        <f aca="false">IF($A949="","",物件マスタ!Q949)</f>
        <v/>
      </c>
      <c r="H949" s="1" t="n">
        <f aca="false">IF($A949="","",物件マスタ!L949)</f>
        <v>0</v>
      </c>
      <c r="I949" s="1" t="n">
        <f aca="false">IF($A949="","",物件マスタ!M949)</f>
        <v>2098.68</v>
      </c>
      <c r="J949" s="1" t="n">
        <f aca="false">IF($A949="","",物件マスタ!S949)</f>
        <v>1090</v>
      </c>
      <c r="K949" s="1" t="n">
        <f aca="false">IF($A949="","",物件マスタ!U949)</f>
        <v>1070</v>
      </c>
      <c r="L949" s="1" t="n">
        <f aca="false">IF($A949="","",物件マスタ!W949)</f>
        <v>0.957</v>
      </c>
      <c r="M949" s="1" t="str">
        <f aca="false">IF($A949="","",IFERROR(INDEX(法人マスタ!$H:$H,MATCH($B949,法人マスタ!$A:$A,0)),""))</f>
        <v>2026年4月期（第42期）</v>
      </c>
      <c r="N949" s="1" t="n">
        <f aca="false">IF($A949="","",SUMIFS(物件収支!$D:$D,物件収支!$A:$A,$A949,物件収支!$C:$C,$M949))</f>
        <v>6</v>
      </c>
      <c r="O949" s="1" t="n">
        <f aca="false">IF($A949="","",SUMIFS(物件収支!$F:$F,物件収支!$A:$A,$A949,物件収支!$C:$C,$M949))</f>
        <v>32000</v>
      </c>
      <c r="P949" s="1" t="n">
        <f aca="false">IF($A949="","",SUMIFS(物件収支!$I:$I,物件収支!$A:$A,$A949,物件収支!$C:$C,$M949))</f>
        <v>0</v>
      </c>
      <c r="Q949" s="1" t="n">
        <f aca="false">IF($A949="","",SUMIFS(物件収支!$O:$O,物件収支!$A:$A,$A949,物件収支!$C:$C,$M949))</f>
        <v>0</v>
      </c>
      <c r="R949" s="1" t="str">
        <f aca="false">IF($A949="","",IF(P949=0,"",O949-P949))</f>
        <v/>
      </c>
      <c r="S949" s="1" t="str">
        <f aca="false">IF($A949="","",IF(R949="","",R949+Q949))</f>
        <v/>
      </c>
      <c r="T949" s="1" t="str">
        <f aca="false">IF($A949="","",IF(OR(S949="",N949&lt;=0),"",S949/1000*12/N949))</f>
        <v/>
      </c>
      <c r="U949" s="1" t="str">
        <f aca="false">IF($A949="","",IF(OR(T949="",J949=0,J949=""),"",T949/J949))</f>
        <v/>
      </c>
      <c r="V949" s="1" t="str">
        <f aca="false">IF($A949="","",IF(OR(R949="",N949&lt;=0,J949=0,J949=""),"",(R949/1000*12/N949)/J949))</f>
        <v/>
      </c>
      <c r="W949" s="1" t="str">
        <f aca="false">IF($A949="","",IF(OR(T949="",K949=0,K949=""),"",T949/K949))</f>
        <v/>
      </c>
      <c r="X949" s="1" t="n">
        <f aca="false">IF($A949="","",IF(OR(N949&lt;=0,I949=0,I949="",O949=0),"",O949*1000/(I949*0.3025)/N949))</f>
        <v>8400.92534092399</v>
      </c>
      <c r="Y949" s="1" t="str">
        <f aca="false">IF($A949="","",IF(OR(O949=0,O949="",P949=0),"",P949/O949))</f>
        <v/>
      </c>
      <c r="Z949" s="1" t="str">
        <f aca="false">IF($A949="","",IFERROR(INDEX(物件収支!$E:$E,MATCH($A949,物件収支!$A:$A,0)),""))</f>
        <v>開示（物件別・収益のみ・百万円単位）</v>
      </c>
    </row>
    <row r="950" customFormat="false" ht="15" hidden="false" customHeight="true" outlineLevel="0" collapsed="false">
      <c r="A950" s="1" t="str">
        <f aca="false">IF(物件マスタ!A950="","",物件マスタ!A950)</f>
        <v>KDX-209</v>
      </c>
      <c r="B950" s="1" t="str">
        <f aca="false">IF($A950="","",物件マスタ!B950)</f>
        <v>KDX</v>
      </c>
      <c r="C950" s="1" t="str">
        <f aca="false">IF($A950="","",IFERROR(INDEX(法人マスタ!$C:$C,MATCH($B950,法人マスタ!$A:$A,0)),""))</f>
        <v>ＫＤＸ不動産投資法人</v>
      </c>
      <c r="D950" s="1" t="str">
        <f aca="false">IF($A950="","",物件マスタ!C950)</f>
        <v>KDXレジデンス西公園</v>
      </c>
      <c r="E950" s="1" t="str">
        <f aca="false">IF($A950="","",物件マスタ!H950)</f>
        <v>地方経済圏（KDX区分）</v>
      </c>
      <c r="F950" s="1" t="n">
        <f aca="false">IF($A950="","",物件マスタ!P950)</f>
        <v>0</v>
      </c>
      <c r="G950" s="1" t="str">
        <f aca="false">IF($A950="","",物件マスタ!Q950)</f>
        <v/>
      </c>
      <c r="H950" s="1" t="n">
        <f aca="false">IF($A950="","",物件マスタ!L950)</f>
        <v>0</v>
      </c>
      <c r="I950" s="1" t="n">
        <f aca="false">IF($A950="","",物件マスタ!M950)</f>
        <v>2522.16</v>
      </c>
      <c r="J950" s="1" t="n">
        <f aca="false">IF($A950="","",物件マスタ!S950)</f>
        <v>1110</v>
      </c>
      <c r="K950" s="1" t="n">
        <f aca="false">IF($A950="","",物件マスタ!U950)</f>
        <v>1070</v>
      </c>
      <c r="L950" s="1" t="n">
        <f aca="false">IF($A950="","",物件マスタ!W950)</f>
        <v>0.916</v>
      </c>
      <c r="M950" s="1" t="str">
        <f aca="false">IF($A950="","",IFERROR(INDEX(法人マスタ!$H:$H,MATCH($B950,法人マスタ!$A:$A,0)),""))</f>
        <v>2026年4月期（第42期）</v>
      </c>
      <c r="N950" s="1" t="n">
        <f aca="false">IF($A950="","",SUMIFS(物件収支!$D:$D,物件収支!$A:$A,$A950,物件収支!$C:$C,$M950))</f>
        <v>6</v>
      </c>
      <c r="O950" s="1" t="n">
        <f aca="false">IF($A950="","",SUMIFS(物件収支!$F:$F,物件収支!$A:$A,$A950,物件収支!$C:$C,$M950))</f>
        <v>33000</v>
      </c>
      <c r="P950" s="1" t="n">
        <f aca="false">IF($A950="","",SUMIFS(物件収支!$I:$I,物件収支!$A:$A,$A950,物件収支!$C:$C,$M950))</f>
        <v>0</v>
      </c>
      <c r="Q950" s="1" t="n">
        <f aca="false">IF($A950="","",SUMIFS(物件収支!$O:$O,物件収支!$A:$A,$A950,物件収支!$C:$C,$M950))</f>
        <v>0</v>
      </c>
      <c r="R950" s="1" t="str">
        <f aca="false">IF($A950="","",IF(P950=0,"",O950-P950))</f>
        <v/>
      </c>
      <c r="S950" s="1" t="str">
        <f aca="false">IF($A950="","",IF(R950="","",R950+Q950))</f>
        <v/>
      </c>
      <c r="T950" s="1" t="str">
        <f aca="false">IF($A950="","",IF(OR(S950="",N950&lt;=0),"",S950/1000*12/N950))</f>
        <v/>
      </c>
      <c r="U950" s="1" t="str">
        <f aca="false">IF($A950="","",IF(OR(T950="",J950=0,J950=""),"",T950/J950))</f>
        <v/>
      </c>
      <c r="V950" s="1" t="str">
        <f aca="false">IF($A950="","",IF(OR(R950="",N950&lt;=0,J950=0,J950=""),"",(R950/1000*12/N950)/J950))</f>
        <v/>
      </c>
      <c r="W950" s="1" t="str">
        <f aca="false">IF($A950="","",IF(OR(T950="",K950=0,K950=""),"",T950/K950))</f>
        <v/>
      </c>
      <c r="X950" s="1" t="n">
        <f aca="false">IF($A950="","",IF(OR(N950&lt;=0,I950=0,I950="",O950=0),"",O950*1000/(I950*0.3025)/N950))</f>
        <v>7208.82821939059</v>
      </c>
      <c r="Y950" s="1" t="str">
        <f aca="false">IF($A950="","",IF(OR(O950=0,O950="",P950=0),"",P950/O950))</f>
        <v/>
      </c>
      <c r="Z950" s="1" t="str">
        <f aca="false">IF($A950="","",IFERROR(INDEX(物件収支!$E:$E,MATCH($A950,物件収支!$A:$A,0)),""))</f>
        <v>開示（物件別・収益のみ・百万円単位）</v>
      </c>
    </row>
    <row r="951" customFormat="false" ht="15" hidden="false" customHeight="true" outlineLevel="0" collapsed="false">
      <c r="A951" s="1" t="str">
        <f aca="false">IF(物件マスタ!A951="","",物件マスタ!A951)</f>
        <v>KDX-210</v>
      </c>
      <c r="B951" s="1" t="str">
        <f aca="false">IF($A951="","",物件マスタ!B951)</f>
        <v>KDX</v>
      </c>
      <c r="C951" s="1" t="str">
        <f aca="false">IF($A951="","",IFERROR(INDEX(法人マスタ!$C:$C,MATCH($B951,法人マスタ!$A:$A,0)),""))</f>
        <v>ＫＤＸ不動産投資法人</v>
      </c>
      <c r="D951" s="1" t="str">
        <f aca="false">IF($A951="","",物件マスタ!C951)</f>
        <v>KDXレジデンス豊中南</v>
      </c>
      <c r="E951" s="1" t="str">
        <f aca="false">IF($A951="","",物件マスタ!H951)</f>
        <v>地方経済圏（KDX区分）</v>
      </c>
      <c r="F951" s="1" t="n">
        <f aca="false">IF($A951="","",物件マスタ!P951)</f>
        <v>0</v>
      </c>
      <c r="G951" s="1" t="str">
        <f aca="false">IF($A951="","",物件マスタ!Q951)</f>
        <v/>
      </c>
      <c r="H951" s="1" t="n">
        <f aca="false">IF($A951="","",物件マスタ!L951)</f>
        <v>0</v>
      </c>
      <c r="I951" s="1" t="n">
        <f aca="false">IF($A951="","",物件マスタ!M951)</f>
        <v>2024.5</v>
      </c>
      <c r="J951" s="1" t="n">
        <f aca="false">IF($A951="","",物件マスタ!S951)</f>
        <v>1070</v>
      </c>
      <c r="K951" s="1" t="n">
        <f aca="false">IF($A951="","",物件マスタ!U951)</f>
        <v>1030</v>
      </c>
      <c r="L951" s="1" t="n">
        <f aca="false">IF($A951="","",物件マスタ!W951)</f>
        <v>0.972</v>
      </c>
      <c r="M951" s="1" t="str">
        <f aca="false">IF($A951="","",IFERROR(INDEX(法人マスタ!$H:$H,MATCH($B951,法人マスタ!$A:$A,0)),""))</f>
        <v>2026年4月期（第42期）</v>
      </c>
      <c r="N951" s="1" t="n">
        <f aca="false">IF($A951="","",SUMIFS(物件収支!$D:$D,物件収支!$A:$A,$A951,物件収支!$C:$C,$M951))</f>
        <v>6</v>
      </c>
      <c r="O951" s="1" t="n">
        <f aca="false">IF($A951="","",SUMIFS(物件収支!$F:$F,物件収支!$A:$A,$A951,物件収支!$C:$C,$M951))</f>
        <v>31000</v>
      </c>
      <c r="P951" s="1" t="n">
        <f aca="false">IF($A951="","",SUMIFS(物件収支!$I:$I,物件収支!$A:$A,$A951,物件収支!$C:$C,$M951))</f>
        <v>0</v>
      </c>
      <c r="Q951" s="1" t="n">
        <f aca="false">IF($A951="","",SUMIFS(物件収支!$O:$O,物件収支!$A:$A,$A951,物件収支!$C:$C,$M951))</f>
        <v>0</v>
      </c>
      <c r="R951" s="1" t="str">
        <f aca="false">IF($A951="","",IF(P951=0,"",O951-P951))</f>
        <v/>
      </c>
      <c r="S951" s="1" t="str">
        <f aca="false">IF($A951="","",IF(R951="","",R951+Q951))</f>
        <v/>
      </c>
      <c r="T951" s="1" t="str">
        <f aca="false">IF($A951="","",IF(OR(S951="",N951&lt;=0),"",S951/1000*12/N951))</f>
        <v/>
      </c>
      <c r="U951" s="1" t="str">
        <f aca="false">IF($A951="","",IF(OR(T951="",J951=0,J951=""),"",T951/J951))</f>
        <v/>
      </c>
      <c r="V951" s="1" t="str">
        <f aca="false">IF($A951="","",IF(OR(R951="",N951&lt;=0,J951=0,J951=""),"",(R951/1000*12/N951)/J951))</f>
        <v/>
      </c>
      <c r="W951" s="1" t="str">
        <f aca="false">IF($A951="","",IF(OR(T951="",K951=0,K951=""),"",T951/K951))</f>
        <v/>
      </c>
      <c r="X951" s="1" t="n">
        <f aca="false">IF($A951="","",IF(OR(N951&lt;=0,I951=0,I951="",O951=0),"",O951*1000/(I951*0.3025)/N951))</f>
        <v>8436.59659528898</v>
      </c>
      <c r="Y951" s="1" t="str">
        <f aca="false">IF($A951="","",IF(OR(O951=0,O951="",P951=0),"",P951/O951))</f>
        <v/>
      </c>
      <c r="Z951" s="1" t="str">
        <f aca="false">IF($A951="","",IFERROR(INDEX(物件収支!$E:$E,MATCH($A951,物件収支!$A:$A,0)),""))</f>
        <v>開示（物件別・収益のみ・百万円単位）</v>
      </c>
    </row>
    <row r="952" customFormat="false" ht="15" hidden="false" customHeight="true" outlineLevel="0" collapsed="false">
      <c r="A952" s="1" t="str">
        <f aca="false">IF(物件マスタ!A952="","",物件マスタ!A952)</f>
        <v>KDX-211</v>
      </c>
      <c r="B952" s="1" t="str">
        <f aca="false">IF($A952="","",物件マスタ!B952)</f>
        <v>KDX</v>
      </c>
      <c r="C952" s="1" t="str">
        <f aca="false">IF($A952="","",IFERROR(INDEX(法人マスタ!$C:$C,MATCH($B952,法人マスタ!$A:$A,0)),""))</f>
        <v>ＫＤＸ不動産投資法人</v>
      </c>
      <c r="D952" s="1" t="str">
        <f aca="false">IF($A952="","",物件マスタ!C952)</f>
        <v>KDXレジデンス西大路</v>
      </c>
      <c r="E952" s="1" t="str">
        <f aca="false">IF($A952="","",物件マスタ!H952)</f>
        <v>地方経済圏（KDX区分）</v>
      </c>
      <c r="F952" s="1" t="n">
        <f aca="false">IF($A952="","",物件マスタ!P952)</f>
        <v>0</v>
      </c>
      <c r="G952" s="1" t="str">
        <f aca="false">IF($A952="","",物件マスタ!Q952)</f>
        <v/>
      </c>
      <c r="H952" s="1" t="n">
        <f aca="false">IF($A952="","",物件マスタ!L952)</f>
        <v>0</v>
      </c>
      <c r="I952" s="1" t="n">
        <f aca="false">IF($A952="","",物件マスタ!M952)</f>
        <v>2353.55</v>
      </c>
      <c r="J952" s="1" t="n">
        <f aca="false">IF($A952="","",物件マスタ!S952)</f>
        <v>993</v>
      </c>
      <c r="K952" s="1" t="n">
        <f aca="false">IF($A952="","",物件マスタ!U952)</f>
        <v>1030</v>
      </c>
      <c r="L952" s="1" t="n">
        <f aca="false">IF($A952="","",物件マスタ!W952)</f>
        <v>0.969</v>
      </c>
      <c r="M952" s="1" t="str">
        <f aca="false">IF($A952="","",IFERROR(INDEX(法人マスタ!$H:$H,MATCH($B952,法人マスタ!$A:$A,0)),""))</f>
        <v>2026年4月期（第42期）</v>
      </c>
      <c r="N952" s="1" t="n">
        <f aca="false">IF($A952="","",SUMIFS(物件収支!$D:$D,物件収支!$A:$A,$A952,物件収支!$C:$C,$M952))</f>
        <v>6</v>
      </c>
      <c r="O952" s="1" t="n">
        <f aca="false">IF($A952="","",SUMIFS(物件収支!$F:$F,物件収支!$A:$A,$A952,物件収支!$C:$C,$M952))</f>
        <v>35000</v>
      </c>
      <c r="P952" s="1" t="n">
        <f aca="false">IF($A952="","",SUMIFS(物件収支!$I:$I,物件収支!$A:$A,$A952,物件収支!$C:$C,$M952))</f>
        <v>0</v>
      </c>
      <c r="Q952" s="1" t="n">
        <f aca="false">IF($A952="","",SUMIFS(物件収支!$O:$O,物件収支!$A:$A,$A952,物件収支!$C:$C,$M952))</f>
        <v>0</v>
      </c>
      <c r="R952" s="1" t="str">
        <f aca="false">IF($A952="","",IF(P952=0,"",O952-P952))</f>
        <v/>
      </c>
      <c r="S952" s="1" t="str">
        <f aca="false">IF($A952="","",IF(R952="","",R952+Q952))</f>
        <v/>
      </c>
      <c r="T952" s="1" t="str">
        <f aca="false">IF($A952="","",IF(OR(S952="",N952&lt;=0),"",S952/1000*12/N952))</f>
        <v/>
      </c>
      <c r="U952" s="1" t="str">
        <f aca="false">IF($A952="","",IF(OR(T952="",J952=0,J952=""),"",T952/J952))</f>
        <v/>
      </c>
      <c r="V952" s="1" t="str">
        <f aca="false">IF($A952="","",IF(OR(R952="",N952&lt;=0,J952=0,J952=""),"",(R952/1000*12/N952)/J952))</f>
        <v/>
      </c>
      <c r="W952" s="1" t="str">
        <f aca="false">IF($A952="","",IF(OR(T952="",K952=0,K952=""),"",T952/K952))</f>
        <v/>
      </c>
      <c r="X952" s="1" t="n">
        <f aca="false">IF($A952="","",IF(OR(N952&lt;=0,I952=0,I952="",O952=0),"",O952*1000/(I952*0.3025)/N952))</f>
        <v>8193.47222556301</v>
      </c>
      <c r="Y952" s="1" t="str">
        <f aca="false">IF($A952="","",IF(OR(O952=0,O952="",P952=0),"",P952/O952))</f>
        <v/>
      </c>
      <c r="Z952" s="1" t="str">
        <f aca="false">IF($A952="","",IFERROR(INDEX(物件収支!$E:$E,MATCH($A952,物件収支!$A:$A,0)),""))</f>
        <v>開示（物件別・収益のみ・百万円単位）</v>
      </c>
    </row>
    <row r="953" customFormat="false" ht="15" hidden="false" customHeight="true" outlineLevel="0" collapsed="false">
      <c r="A953" s="1" t="str">
        <f aca="false">IF(物件マスタ!A953="","",物件マスタ!A953)</f>
        <v>KDX-212</v>
      </c>
      <c r="B953" s="1" t="str">
        <f aca="false">IF($A953="","",物件マスタ!B953)</f>
        <v>KDX</v>
      </c>
      <c r="C953" s="1" t="str">
        <f aca="false">IF($A953="","",IFERROR(INDEX(法人マスタ!$C:$C,MATCH($B953,法人マスタ!$A:$A,0)),""))</f>
        <v>ＫＤＸ不動産投資法人</v>
      </c>
      <c r="D953" s="1" t="str">
        <f aca="false">IF($A953="","",物件マスタ!C953)</f>
        <v>KDXレジデンス甲南山手</v>
      </c>
      <c r="E953" s="1" t="str">
        <f aca="false">IF($A953="","",物件マスタ!H953)</f>
        <v>地方経済圏（KDX区分）</v>
      </c>
      <c r="F953" s="1" t="n">
        <f aca="false">IF($A953="","",物件マスタ!P953)</f>
        <v>0</v>
      </c>
      <c r="G953" s="1" t="str">
        <f aca="false">IF($A953="","",物件マスタ!Q953)</f>
        <v/>
      </c>
      <c r="H953" s="1" t="n">
        <f aca="false">IF($A953="","",物件マスタ!L953)</f>
        <v>0</v>
      </c>
      <c r="I953" s="1" t="n">
        <f aca="false">IF($A953="","",物件マスタ!M953)</f>
        <v>1923.22</v>
      </c>
      <c r="J953" s="1" t="n">
        <f aca="false">IF($A953="","",物件マスタ!S953)</f>
        <v>1340</v>
      </c>
      <c r="K953" s="1" t="n">
        <f aca="false">IF($A953="","",物件マスタ!U953)</f>
        <v>1290</v>
      </c>
      <c r="L953" s="1" t="n">
        <f aca="false">IF($A953="","",物件マスタ!W953)</f>
        <v>0.984</v>
      </c>
      <c r="M953" s="1" t="str">
        <f aca="false">IF($A953="","",IFERROR(INDEX(法人マスタ!$H:$H,MATCH($B953,法人マスタ!$A:$A,0)),""))</f>
        <v>2026年4月期（第42期）</v>
      </c>
      <c r="N953" s="1" t="n">
        <f aca="false">IF($A953="","",SUMIFS(物件収支!$D:$D,物件収支!$A:$A,$A953,物件収支!$C:$C,$M953))</f>
        <v>6</v>
      </c>
      <c r="O953" s="1" t="n">
        <f aca="false">IF($A953="","",SUMIFS(物件収支!$F:$F,物件収支!$A:$A,$A953,物件収支!$C:$C,$M953))</f>
        <v>33000</v>
      </c>
      <c r="P953" s="1" t="n">
        <f aca="false">IF($A953="","",SUMIFS(物件収支!$I:$I,物件収支!$A:$A,$A953,物件収支!$C:$C,$M953))</f>
        <v>0</v>
      </c>
      <c r="Q953" s="1" t="n">
        <f aca="false">IF($A953="","",SUMIFS(物件収支!$O:$O,物件収支!$A:$A,$A953,物件収支!$C:$C,$M953))</f>
        <v>0</v>
      </c>
      <c r="R953" s="1" t="str">
        <f aca="false">IF($A953="","",IF(P953=0,"",O953-P953))</f>
        <v/>
      </c>
      <c r="S953" s="1" t="str">
        <f aca="false">IF($A953="","",IF(R953="","",R953+Q953))</f>
        <v/>
      </c>
      <c r="T953" s="1" t="str">
        <f aca="false">IF($A953="","",IF(OR(S953="",N953&lt;=0),"",S953/1000*12/N953))</f>
        <v/>
      </c>
      <c r="U953" s="1" t="str">
        <f aca="false">IF($A953="","",IF(OR(T953="",J953=0,J953=""),"",T953/J953))</f>
        <v/>
      </c>
      <c r="V953" s="1" t="str">
        <f aca="false">IF($A953="","",IF(OR(R953="",N953&lt;=0,J953=0,J953=""),"",(R953/1000*12/N953)/J953))</f>
        <v/>
      </c>
      <c r="W953" s="1" t="str">
        <f aca="false">IF($A953="","",IF(OR(T953="",K953=0,K953=""),"",T953/K953))</f>
        <v/>
      </c>
      <c r="X953" s="1" t="n">
        <f aca="false">IF($A953="","",IF(OR(N953&lt;=0,I953=0,I953="",O953=0),"",O953*1000/(I953*0.3025)/N953))</f>
        <v>9453.84208869406</v>
      </c>
      <c r="Y953" s="1" t="str">
        <f aca="false">IF($A953="","",IF(OR(O953=0,O953="",P953=0),"",P953/O953))</f>
        <v/>
      </c>
      <c r="Z953" s="1" t="str">
        <f aca="false">IF($A953="","",IFERROR(INDEX(物件収支!$E:$E,MATCH($A953,物件収支!$A:$A,0)),""))</f>
        <v>開示（物件別・収益のみ・百万円単位）</v>
      </c>
    </row>
    <row r="954" customFormat="false" ht="15" hidden="false" customHeight="true" outlineLevel="0" collapsed="false">
      <c r="A954" s="1" t="str">
        <f aca="false">IF(物件マスタ!A954="","",物件マスタ!A954)</f>
        <v>KDX-213</v>
      </c>
      <c r="B954" s="1" t="str">
        <f aca="false">IF($A954="","",物件マスタ!B954)</f>
        <v>KDX</v>
      </c>
      <c r="C954" s="1" t="str">
        <f aca="false">IF($A954="","",IFERROR(INDEX(法人マスタ!$C:$C,MATCH($B954,法人マスタ!$A:$A,0)),""))</f>
        <v>ＫＤＸ不動産投資法人</v>
      </c>
      <c r="D954" s="1" t="str">
        <f aca="false">IF($A954="","",物件マスタ!C954)</f>
        <v>KDXレジデンス本町橋</v>
      </c>
      <c r="E954" s="1" t="str">
        <f aca="false">IF($A954="","",物件マスタ!H954)</f>
        <v>地方経済圏（KDX区分）</v>
      </c>
      <c r="F954" s="1" t="n">
        <f aca="false">IF($A954="","",物件マスタ!P954)</f>
        <v>0</v>
      </c>
      <c r="G954" s="1" t="str">
        <f aca="false">IF($A954="","",物件マスタ!Q954)</f>
        <v/>
      </c>
      <c r="H954" s="1" t="n">
        <f aca="false">IF($A954="","",物件マスタ!L954)</f>
        <v>0</v>
      </c>
      <c r="I954" s="1" t="n">
        <f aca="false">IF($A954="","",物件マスタ!M954)</f>
        <v>6511.88</v>
      </c>
      <c r="J954" s="1" t="n">
        <f aca="false">IF($A954="","",物件マスタ!S954)</f>
        <v>4160</v>
      </c>
      <c r="K954" s="1" t="n">
        <f aca="false">IF($A954="","",物件マスタ!U954)</f>
        <v>4090</v>
      </c>
      <c r="L954" s="1" t="n">
        <f aca="false">IF($A954="","",物件マスタ!W954)</f>
        <v>0.987</v>
      </c>
      <c r="M954" s="1" t="str">
        <f aca="false">IF($A954="","",IFERROR(INDEX(法人マスタ!$H:$H,MATCH($B954,法人マスタ!$A:$A,0)),""))</f>
        <v>2026年4月期（第42期）</v>
      </c>
      <c r="N954" s="1" t="n">
        <f aca="false">IF($A954="","",SUMIFS(物件収支!$D:$D,物件収支!$A:$A,$A954,物件収支!$C:$C,$M954))</f>
        <v>6</v>
      </c>
      <c r="O954" s="1" t="n">
        <f aca="false">IF($A954="","",SUMIFS(物件収支!$F:$F,物件収支!$A:$A,$A954,物件収支!$C:$C,$M954))</f>
        <v>109000</v>
      </c>
      <c r="P954" s="1" t="n">
        <f aca="false">IF($A954="","",SUMIFS(物件収支!$I:$I,物件収支!$A:$A,$A954,物件収支!$C:$C,$M954))</f>
        <v>0</v>
      </c>
      <c r="Q954" s="1" t="n">
        <f aca="false">IF($A954="","",SUMIFS(物件収支!$O:$O,物件収支!$A:$A,$A954,物件収支!$C:$C,$M954))</f>
        <v>0</v>
      </c>
      <c r="R954" s="1" t="str">
        <f aca="false">IF($A954="","",IF(P954=0,"",O954-P954))</f>
        <v/>
      </c>
      <c r="S954" s="1" t="str">
        <f aca="false">IF($A954="","",IF(R954="","",R954+Q954))</f>
        <v/>
      </c>
      <c r="T954" s="1" t="str">
        <f aca="false">IF($A954="","",IF(OR(S954="",N954&lt;=0),"",S954/1000*12/N954))</f>
        <v/>
      </c>
      <c r="U954" s="1" t="str">
        <f aca="false">IF($A954="","",IF(OR(T954="",J954=0,J954=""),"",T954/J954))</f>
        <v/>
      </c>
      <c r="V954" s="1" t="str">
        <f aca="false">IF($A954="","",IF(OR(R954="",N954&lt;=0,J954=0,J954=""),"",(R954/1000*12/N954)/J954))</f>
        <v/>
      </c>
      <c r="W954" s="1" t="str">
        <f aca="false">IF($A954="","",IF(OR(T954="",K954=0,K954=""),"",T954/K954))</f>
        <v/>
      </c>
      <c r="X954" s="1" t="n">
        <f aca="false">IF($A954="","",IF(OR(N954&lt;=0,I954=0,I954="",O954=0),"",O954*1000/(I954*0.3025)/N954))</f>
        <v>9222.38991178166</v>
      </c>
      <c r="Y954" s="1" t="str">
        <f aca="false">IF($A954="","",IF(OR(O954=0,O954="",P954=0),"",P954/O954))</f>
        <v/>
      </c>
      <c r="Z954" s="1" t="str">
        <f aca="false">IF($A954="","",IFERROR(INDEX(物件収支!$E:$E,MATCH($A954,物件収支!$A:$A,0)),""))</f>
        <v>開示（物件別・収益のみ・百万円単位）</v>
      </c>
    </row>
    <row r="955" customFormat="false" ht="15" hidden="false" customHeight="true" outlineLevel="0" collapsed="false">
      <c r="A955" s="1" t="str">
        <f aca="false">IF(物件マスタ!A955="","",物件マスタ!A955)</f>
        <v>KDX-214</v>
      </c>
      <c r="B955" s="1" t="str">
        <f aca="false">IF($A955="","",物件マスタ!B955)</f>
        <v>KDX</v>
      </c>
      <c r="C955" s="1" t="str">
        <f aca="false">IF($A955="","",IFERROR(INDEX(法人マスタ!$C:$C,MATCH($B955,法人マスタ!$A:$A,0)),""))</f>
        <v>ＫＤＸ不動産投資法人</v>
      </c>
      <c r="D955" s="1" t="str">
        <f aca="false">IF($A955="","",物件マスタ!C955)</f>
        <v>KDXレジデンス大濠ハーバービュータワー</v>
      </c>
      <c r="E955" s="1" t="str">
        <f aca="false">IF($A955="","",物件マスタ!H955)</f>
        <v>地方経済圏（KDX区分）</v>
      </c>
      <c r="F955" s="1" t="n">
        <f aca="false">IF($A955="","",物件マスタ!P955)</f>
        <v>0</v>
      </c>
      <c r="G955" s="1" t="str">
        <f aca="false">IF($A955="","",物件マスタ!Q955)</f>
        <v/>
      </c>
      <c r="H955" s="1" t="n">
        <f aca="false">IF($A955="","",物件マスタ!L955)</f>
        <v>0</v>
      </c>
      <c r="I955" s="1" t="n">
        <f aca="false">IF($A955="","",物件マスタ!M955)</f>
        <v>11855.63</v>
      </c>
      <c r="J955" s="1" t="n">
        <f aca="false">IF($A955="","",物件マスタ!S955)</f>
        <v>5310</v>
      </c>
      <c r="K955" s="1" t="n">
        <f aca="false">IF($A955="","",物件マスタ!U955)</f>
        <v>5630</v>
      </c>
      <c r="L955" s="1" t="n">
        <f aca="false">IF($A955="","",物件マスタ!W955)</f>
        <v>0.967</v>
      </c>
      <c r="M955" s="1" t="str">
        <f aca="false">IF($A955="","",IFERROR(INDEX(法人マスタ!$H:$H,MATCH($B955,法人マスタ!$A:$A,0)),""))</f>
        <v>2026年4月期（第42期）</v>
      </c>
      <c r="N955" s="1" t="n">
        <f aca="false">IF($A955="","",SUMIFS(物件収支!$D:$D,物件収支!$A:$A,$A955,物件収支!$C:$C,$M955))</f>
        <v>6</v>
      </c>
      <c r="O955" s="1" t="n">
        <f aca="false">IF($A955="","",SUMIFS(物件収支!$F:$F,物件収支!$A:$A,$A955,物件収支!$C:$C,$M955))</f>
        <v>188000</v>
      </c>
      <c r="P955" s="1" t="n">
        <f aca="false">IF($A955="","",SUMIFS(物件収支!$I:$I,物件収支!$A:$A,$A955,物件収支!$C:$C,$M955))</f>
        <v>0</v>
      </c>
      <c r="Q955" s="1" t="n">
        <f aca="false">IF($A955="","",SUMIFS(物件収支!$O:$O,物件収支!$A:$A,$A955,物件収支!$C:$C,$M955))</f>
        <v>0</v>
      </c>
      <c r="R955" s="1" t="str">
        <f aca="false">IF($A955="","",IF(P955=0,"",O955-P955))</f>
        <v/>
      </c>
      <c r="S955" s="1" t="str">
        <f aca="false">IF($A955="","",IF(R955="","",R955+Q955))</f>
        <v/>
      </c>
      <c r="T955" s="1" t="str">
        <f aca="false">IF($A955="","",IF(OR(S955="",N955&lt;=0),"",S955/1000*12/N955))</f>
        <v/>
      </c>
      <c r="U955" s="1" t="str">
        <f aca="false">IF($A955="","",IF(OR(T955="",J955=0,J955=""),"",T955/J955))</f>
        <v/>
      </c>
      <c r="V955" s="1" t="str">
        <f aca="false">IF($A955="","",IF(OR(R955="",N955&lt;=0,J955=0,J955=""),"",(R955/1000*12/N955)/J955))</f>
        <v/>
      </c>
      <c r="W955" s="1" t="str">
        <f aca="false">IF($A955="","",IF(OR(T955="",K955=0,K955=""),"",T955/K955))</f>
        <v/>
      </c>
      <c r="X955" s="1" t="n">
        <f aca="false">IF($A955="","",IF(OR(N955&lt;=0,I955=0,I955="",O955=0),"",O955*1000/(I955*0.3025)/N955))</f>
        <v>8736.88426659999</v>
      </c>
      <c r="Y955" s="1" t="str">
        <f aca="false">IF($A955="","",IF(OR(O955=0,O955="",P955=0),"",P955/O955))</f>
        <v/>
      </c>
      <c r="Z955" s="1" t="str">
        <f aca="false">IF($A955="","",IFERROR(INDEX(物件収支!$E:$E,MATCH($A955,物件収支!$A:$A,0)),""))</f>
        <v>開示（物件別・収益のみ・百万円単位）</v>
      </c>
    </row>
    <row r="956" customFormat="false" ht="15" hidden="false" customHeight="true" outlineLevel="0" collapsed="false">
      <c r="A956" s="1" t="str">
        <f aca="false">IF(物件マスタ!A956="","",物件マスタ!A956)</f>
        <v>KDX-215</v>
      </c>
      <c r="B956" s="1" t="str">
        <f aca="false">IF($A956="","",物件マスタ!B956)</f>
        <v>KDX</v>
      </c>
      <c r="C956" s="1" t="str">
        <f aca="false">IF($A956="","",IFERROR(INDEX(法人マスタ!$C:$C,MATCH($B956,法人マスタ!$A:$A,0)),""))</f>
        <v>ＫＤＸ不動産投資法人</v>
      </c>
      <c r="D956" s="1" t="str">
        <f aca="false">IF($A956="","",物件マスタ!C956)</f>
        <v>KDXレジデンス南草津</v>
      </c>
      <c r="E956" s="1" t="str">
        <f aca="false">IF($A956="","",物件マスタ!H956)</f>
        <v>地方経済圏（KDX区分）</v>
      </c>
      <c r="F956" s="1" t="n">
        <f aca="false">IF($A956="","",物件マスタ!P956)</f>
        <v>0</v>
      </c>
      <c r="G956" s="1" t="str">
        <f aca="false">IF($A956="","",物件マスタ!Q956)</f>
        <v/>
      </c>
      <c r="H956" s="1" t="n">
        <f aca="false">IF($A956="","",物件マスタ!L956)</f>
        <v>0</v>
      </c>
      <c r="I956" s="1" t="n">
        <f aca="false">IF($A956="","",物件マスタ!M956)</f>
        <v>5735.96</v>
      </c>
      <c r="J956" s="1" t="n">
        <f aca="false">IF($A956="","",物件マスタ!S956)</f>
        <v>2650</v>
      </c>
      <c r="K956" s="1" t="n">
        <f aca="false">IF($A956="","",物件マスタ!U956)</f>
        <v>2660</v>
      </c>
      <c r="L956" s="1" t="n">
        <f aca="false">IF($A956="","",物件マスタ!W956)</f>
        <v>0.928</v>
      </c>
      <c r="M956" s="1" t="str">
        <f aca="false">IF($A956="","",IFERROR(INDEX(法人マスタ!$H:$H,MATCH($B956,法人マスタ!$A:$A,0)),""))</f>
        <v>2026年4月期（第42期）</v>
      </c>
      <c r="N956" s="1" t="n">
        <f aca="false">IF($A956="","",SUMIFS(物件収支!$D:$D,物件収支!$A:$A,$A956,物件収支!$C:$C,$M956))</f>
        <v>6</v>
      </c>
      <c r="O956" s="1" t="n">
        <f aca="false">IF($A956="","",SUMIFS(物件収支!$F:$F,物件収支!$A:$A,$A956,物件収支!$C:$C,$M956))</f>
        <v>102000</v>
      </c>
      <c r="P956" s="1" t="n">
        <f aca="false">IF($A956="","",SUMIFS(物件収支!$I:$I,物件収支!$A:$A,$A956,物件収支!$C:$C,$M956))</f>
        <v>0</v>
      </c>
      <c r="Q956" s="1" t="n">
        <f aca="false">IF($A956="","",SUMIFS(物件収支!$O:$O,物件収支!$A:$A,$A956,物件収支!$C:$C,$M956))</f>
        <v>0</v>
      </c>
      <c r="R956" s="1" t="str">
        <f aca="false">IF($A956="","",IF(P956=0,"",O956-P956))</f>
        <v/>
      </c>
      <c r="S956" s="1" t="str">
        <f aca="false">IF($A956="","",IF(R956="","",R956+Q956))</f>
        <v/>
      </c>
      <c r="T956" s="1" t="str">
        <f aca="false">IF($A956="","",IF(OR(S956="",N956&lt;=0),"",S956/1000*12/N956))</f>
        <v/>
      </c>
      <c r="U956" s="1" t="str">
        <f aca="false">IF($A956="","",IF(OR(T956="",J956=0,J956=""),"",T956/J956))</f>
        <v/>
      </c>
      <c r="V956" s="1" t="str">
        <f aca="false">IF($A956="","",IF(OR(R956="",N956&lt;=0,J956=0,J956=""),"",(R956/1000*12/N956)/J956))</f>
        <v/>
      </c>
      <c r="W956" s="1" t="str">
        <f aca="false">IF($A956="","",IF(OR(T956="",K956=0,K956=""),"",T956/K956))</f>
        <v/>
      </c>
      <c r="X956" s="1" t="n">
        <f aca="false">IF($A956="","",IF(OR(N956&lt;=0,I956=0,I956="",O956=0),"",O956*1000/(I956*0.3025)/N956))</f>
        <v>9797.54864180329</v>
      </c>
      <c r="Y956" s="1" t="str">
        <f aca="false">IF($A956="","",IF(OR(O956=0,O956="",P956=0),"",P956/O956))</f>
        <v/>
      </c>
      <c r="Z956" s="1" t="str">
        <f aca="false">IF($A956="","",IFERROR(INDEX(物件収支!$E:$E,MATCH($A956,物件収支!$A:$A,0)),""))</f>
        <v>開示（物件別・収益のみ・百万円単位）</v>
      </c>
    </row>
    <row r="957" customFormat="false" ht="15" hidden="false" customHeight="true" outlineLevel="0" collapsed="false">
      <c r="A957" s="1" t="str">
        <f aca="false">IF(物件マスタ!A957="","",物件マスタ!A957)</f>
        <v>KDX-216</v>
      </c>
      <c r="B957" s="1" t="str">
        <f aca="false">IF($A957="","",物件マスタ!B957)</f>
        <v>KDX</v>
      </c>
      <c r="C957" s="1" t="str">
        <f aca="false">IF($A957="","",IFERROR(INDEX(法人マスタ!$C:$C,MATCH($B957,法人マスタ!$A:$A,0)),""))</f>
        <v>ＫＤＸ不動産投資法人</v>
      </c>
      <c r="D957" s="1" t="str">
        <f aca="false">IF($A957="","",物件マスタ!C957)</f>
        <v>KDXレジデンス南三条</v>
      </c>
      <c r="E957" s="1" t="str">
        <f aca="false">IF($A957="","",物件マスタ!H957)</f>
        <v>地方経済圏（KDX区分）</v>
      </c>
      <c r="F957" s="1" t="n">
        <f aca="false">IF($A957="","",物件マスタ!P957)</f>
        <v>0</v>
      </c>
      <c r="G957" s="1" t="str">
        <f aca="false">IF($A957="","",物件マスタ!Q957)</f>
        <v/>
      </c>
      <c r="H957" s="1" t="n">
        <f aca="false">IF($A957="","",物件マスタ!L957)</f>
        <v>0</v>
      </c>
      <c r="I957" s="1" t="n">
        <f aca="false">IF($A957="","",物件マスタ!M957)</f>
        <v>5269.39</v>
      </c>
      <c r="J957" s="1" t="n">
        <f aca="false">IF($A957="","",物件マスタ!S957)</f>
        <v>1970</v>
      </c>
      <c r="K957" s="1" t="n">
        <f aca="false">IF($A957="","",物件マスタ!U957)</f>
        <v>2140</v>
      </c>
      <c r="L957" s="1" t="n">
        <f aca="false">IF($A957="","",物件マスタ!W957)</f>
        <v>0.952</v>
      </c>
      <c r="M957" s="1" t="str">
        <f aca="false">IF($A957="","",IFERROR(INDEX(法人マスタ!$H:$H,MATCH($B957,法人マスタ!$A:$A,0)),""))</f>
        <v>2026年4月期（第42期）</v>
      </c>
      <c r="N957" s="1" t="n">
        <f aca="false">IF($A957="","",SUMIFS(物件収支!$D:$D,物件収支!$A:$A,$A957,物件収支!$C:$C,$M957))</f>
        <v>6</v>
      </c>
      <c r="O957" s="1" t="n">
        <f aca="false">IF($A957="","",SUMIFS(物件収支!$F:$F,物件収支!$A:$A,$A957,物件収支!$C:$C,$M957))</f>
        <v>60000</v>
      </c>
      <c r="P957" s="1" t="n">
        <f aca="false">IF($A957="","",SUMIFS(物件収支!$I:$I,物件収支!$A:$A,$A957,物件収支!$C:$C,$M957))</f>
        <v>0</v>
      </c>
      <c r="Q957" s="1" t="n">
        <f aca="false">IF($A957="","",SUMIFS(物件収支!$O:$O,物件収支!$A:$A,$A957,物件収支!$C:$C,$M957))</f>
        <v>0</v>
      </c>
      <c r="R957" s="1" t="str">
        <f aca="false">IF($A957="","",IF(P957=0,"",O957-P957))</f>
        <v/>
      </c>
      <c r="S957" s="1" t="str">
        <f aca="false">IF($A957="","",IF(R957="","",R957+Q957))</f>
        <v/>
      </c>
      <c r="T957" s="1" t="str">
        <f aca="false">IF($A957="","",IF(OR(S957="",N957&lt;=0),"",S957/1000*12/N957))</f>
        <v/>
      </c>
      <c r="U957" s="1" t="str">
        <f aca="false">IF($A957="","",IF(OR(T957="",J957=0,J957=""),"",T957/J957))</f>
        <v/>
      </c>
      <c r="V957" s="1" t="str">
        <f aca="false">IF($A957="","",IF(OR(R957="",N957&lt;=0,J957=0,J957=""),"",(R957/1000*12/N957)/J957))</f>
        <v/>
      </c>
      <c r="W957" s="1" t="str">
        <f aca="false">IF($A957="","",IF(OR(T957="",K957=0,K957=""),"",T957/K957))</f>
        <v/>
      </c>
      <c r="X957" s="1" t="n">
        <f aca="false">IF($A957="","",IF(OR(N957&lt;=0,I957=0,I957="",O957=0),"",O957*1000/(I957*0.3025)/N957))</f>
        <v>6273.56320934101</v>
      </c>
      <c r="Y957" s="1" t="str">
        <f aca="false">IF($A957="","",IF(OR(O957=0,O957="",P957=0),"",P957/O957))</f>
        <v/>
      </c>
      <c r="Z957" s="1" t="str">
        <f aca="false">IF($A957="","",IFERROR(INDEX(物件収支!$E:$E,MATCH($A957,物件収支!$A:$A,0)),""))</f>
        <v>開示（物件別・収益のみ・百万円単位）</v>
      </c>
    </row>
    <row r="958" customFormat="false" ht="15" hidden="false" customHeight="true" outlineLevel="0" collapsed="false">
      <c r="A958" s="1" t="str">
        <f aca="false">IF(物件マスタ!A958="","",物件マスタ!A958)</f>
        <v>KDX-217</v>
      </c>
      <c r="B958" s="1" t="str">
        <f aca="false">IF($A958="","",物件マスタ!B958)</f>
        <v>KDX</v>
      </c>
      <c r="C958" s="1" t="str">
        <f aca="false">IF($A958="","",IFERROR(INDEX(法人マスタ!$C:$C,MATCH($B958,法人マスタ!$A:$A,0)),""))</f>
        <v>ＫＤＸ不動産投資法人</v>
      </c>
      <c r="D958" s="1" t="str">
        <f aca="false">IF($A958="","",物件マスタ!C958)</f>
        <v>セレニテ北久宝寺</v>
      </c>
      <c r="E958" s="1" t="str">
        <f aca="false">IF($A958="","",物件マスタ!H958)</f>
        <v>地方経済圏（KDX区分）</v>
      </c>
      <c r="F958" s="1" t="n">
        <f aca="false">IF($A958="","",物件マスタ!P958)</f>
        <v>0</v>
      </c>
      <c r="G958" s="1" t="str">
        <f aca="false">IF($A958="","",物件マスタ!Q958)</f>
        <v/>
      </c>
      <c r="H958" s="1" t="n">
        <f aca="false">IF($A958="","",物件マスタ!L958)</f>
        <v>0</v>
      </c>
      <c r="I958" s="1" t="n">
        <f aca="false">IF($A958="","",物件マスタ!M958)</f>
        <v>2277.14</v>
      </c>
      <c r="J958" s="1" t="n">
        <f aca="false">IF($A958="","",物件マスタ!S958)</f>
        <v>1780</v>
      </c>
      <c r="K958" s="1" t="n">
        <f aca="false">IF($A958="","",物件マスタ!U958)</f>
        <v>1810</v>
      </c>
      <c r="L958" s="1" t="n">
        <f aca="false">IF($A958="","",物件マスタ!W958)</f>
        <v>0.976</v>
      </c>
      <c r="M958" s="1" t="str">
        <f aca="false">IF($A958="","",IFERROR(INDEX(法人マスタ!$H:$H,MATCH($B958,法人マスタ!$A:$A,0)),""))</f>
        <v>2026年4月期（第42期）</v>
      </c>
      <c r="N958" s="1" t="n">
        <f aca="false">IF($A958="","",SUMIFS(物件収支!$D:$D,物件収支!$A:$A,$A958,物件収支!$C:$C,$M958))</f>
        <v>6</v>
      </c>
      <c r="O958" s="1" t="n">
        <f aca="false">IF($A958="","",SUMIFS(物件収支!$F:$F,物件収支!$A:$A,$A958,物件収支!$C:$C,$M958))</f>
        <v>45000</v>
      </c>
      <c r="P958" s="1" t="n">
        <f aca="false">IF($A958="","",SUMIFS(物件収支!$I:$I,物件収支!$A:$A,$A958,物件収支!$C:$C,$M958))</f>
        <v>0</v>
      </c>
      <c r="Q958" s="1" t="n">
        <f aca="false">IF($A958="","",SUMIFS(物件収支!$O:$O,物件収支!$A:$A,$A958,物件収支!$C:$C,$M958))</f>
        <v>0</v>
      </c>
      <c r="R958" s="1" t="str">
        <f aca="false">IF($A958="","",IF(P958=0,"",O958-P958))</f>
        <v/>
      </c>
      <c r="S958" s="1" t="str">
        <f aca="false">IF($A958="","",IF(R958="","",R958+Q958))</f>
        <v/>
      </c>
      <c r="T958" s="1" t="str">
        <f aca="false">IF($A958="","",IF(OR(S958="",N958&lt;=0),"",S958/1000*12/N958))</f>
        <v/>
      </c>
      <c r="U958" s="1" t="str">
        <f aca="false">IF($A958="","",IF(OR(T958="",J958=0,J958=""),"",T958/J958))</f>
        <v/>
      </c>
      <c r="V958" s="1" t="str">
        <f aca="false">IF($A958="","",IF(OR(R958="",N958&lt;=0,J958=0,J958=""),"",(R958/1000*12/N958)/J958))</f>
        <v/>
      </c>
      <c r="W958" s="1" t="str">
        <f aca="false">IF($A958="","",IF(OR(T958="",K958=0,K958=""),"",T958/K958))</f>
        <v/>
      </c>
      <c r="X958" s="1" t="n">
        <f aca="false">IF($A958="","",IF(OR(N958&lt;=0,I958=0,I958="",O958=0),"",O958*1000/(I958*0.3025)/N958))</f>
        <v>10887.950863694</v>
      </c>
      <c r="Y958" s="1" t="str">
        <f aca="false">IF($A958="","",IF(OR(O958=0,O958="",P958=0),"",P958/O958))</f>
        <v/>
      </c>
      <c r="Z958" s="1" t="str">
        <f aca="false">IF($A958="","",IFERROR(INDEX(物件収支!$E:$E,MATCH($A958,物件収支!$A:$A,0)),""))</f>
        <v>開示（物件別・収益のみ・百万円単位）</v>
      </c>
    </row>
    <row r="959" customFormat="false" ht="15" hidden="false" customHeight="true" outlineLevel="0" collapsed="false">
      <c r="A959" s="1" t="str">
        <f aca="false">IF(物件マスタ!A959="","",物件マスタ!A959)</f>
        <v>KDX-218</v>
      </c>
      <c r="B959" s="1" t="str">
        <f aca="false">IF($A959="","",物件マスタ!B959)</f>
        <v>KDX</v>
      </c>
      <c r="C959" s="1" t="str">
        <f aca="false">IF($A959="","",IFERROR(INDEX(法人マスタ!$C:$C,MATCH($B959,法人マスタ!$A:$A,0)),""))</f>
        <v>ＫＤＸ不動産投資法人</v>
      </c>
      <c r="D959" s="1" t="str">
        <f aca="false">IF($A959="","",物件マスタ!C959)</f>
        <v>セレニテ西宮本町</v>
      </c>
      <c r="E959" s="1" t="str">
        <f aca="false">IF($A959="","",物件マスタ!H959)</f>
        <v>地方経済圏（KDX区分）</v>
      </c>
      <c r="F959" s="1" t="n">
        <f aca="false">IF($A959="","",物件マスタ!P959)</f>
        <v>0</v>
      </c>
      <c r="G959" s="1" t="str">
        <f aca="false">IF($A959="","",物件マスタ!Q959)</f>
        <v/>
      </c>
      <c r="H959" s="1" t="n">
        <f aca="false">IF($A959="","",物件マスタ!L959)</f>
        <v>0</v>
      </c>
      <c r="I959" s="1" t="n">
        <f aca="false">IF($A959="","",物件マスタ!M959)</f>
        <v>1351.68</v>
      </c>
      <c r="J959" s="1" t="n">
        <f aca="false">IF($A959="","",物件マスタ!S959)</f>
        <v>783</v>
      </c>
      <c r="K959" s="1" t="n">
        <f aca="false">IF($A959="","",物件マスタ!U959)</f>
        <v>815</v>
      </c>
      <c r="L959" s="1" t="n">
        <f aca="false">IF($A959="","",物件マスタ!W959)</f>
        <v>0.93</v>
      </c>
      <c r="M959" s="1" t="str">
        <f aca="false">IF($A959="","",IFERROR(INDEX(法人マスタ!$H:$H,MATCH($B959,法人マスタ!$A:$A,0)),""))</f>
        <v>2026年4月期（第42期）</v>
      </c>
      <c r="N959" s="1" t="n">
        <f aca="false">IF($A959="","",SUMIFS(物件収支!$D:$D,物件収支!$A:$A,$A959,物件収支!$C:$C,$M959))</f>
        <v>6</v>
      </c>
      <c r="O959" s="1" t="n">
        <f aca="false">IF($A959="","",SUMIFS(物件収支!$F:$F,物件収支!$A:$A,$A959,物件収支!$C:$C,$M959))</f>
        <v>23000</v>
      </c>
      <c r="P959" s="1" t="n">
        <f aca="false">IF($A959="","",SUMIFS(物件収支!$I:$I,物件収支!$A:$A,$A959,物件収支!$C:$C,$M959))</f>
        <v>0</v>
      </c>
      <c r="Q959" s="1" t="n">
        <f aca="false">IF($A959="","",SUMIFS(物件収支!$O:$O,物件収支!$A:$A,$A959,物件収支!$C:$C,$M959))</f>
        <v>0</v>
      </c>
      <c r="R959" s="1" t="str">
        <f aca="false">IF($A959="","",IF(P959=0,"",O959-P959))</f>
        <v/>
      </c>
      <c r="S959" s="1" t="str">
        <f aca="false">IF($A959="","",IF(R959="","",R959+Q959))</f>
        <v/>
      </c>
      <c r="T959" s="1" t="str">
        <f aca="false">IF($A959="","",IF(OR(S959="",N959&lt;=0),"",S959/1000*12/N959))</f>
        <v/>
      </c>
      <c r="U959" s="1" t="str">
        <f aca="false">IF($A959="","",IF(OR(T959="",J959=0,J959=""),"",T959/J959))</f>
        <v/>
      </c>
      <c r="V959" s="1" t="str">
        <f aca="false">IF($A959="","",IF(OR(R959="",N959&lt;=0,J959=0,J959=""),"",(R959/1000*12/N959)/J959))</f>
        <v/>
      </c>
      <c r="W959" s="1" t="str">
        <f aca="false">IF($A959="","",IF(OR(T959="",K959=0,K959=""),"",T959/K959))</f>
        <v/>
      </c>
      <c r="X959" s="1" t="n">
        <f aca="false">IF($A959="","",IF(OR(N959&lt;=0,I959=0,I959="",O959=0),"",O959*1000/(I959*0.3025)/N959))</f>
        <v>9375.13043659738</v>
      </c>
      <c r="Y959" s="1" t="str">
        <f aca="false">IF($A959="","",IF(OR(O959=0,O959="",P959=0),"",P959/O959))</f>
        <v/>
      </c>
      <c r="Z959" s="1" t="str">
        <f aca="false">IF($A959="","",IFERROR(INDEX(物件収支!$E:$E,MATCH($A959,物件収支!$A:$A,0)),""))</f>
        <v>開示（物件別・収益のみ・百万円単位）</v>
      </c>
    </row>
    <row r="960" customFormat="false" ht="15" hidden="false" customHeight="true" outlineLevel="0" collapsed="false">
      <c r="A960" s="1" t="str">
        <f aca="false">IF(物件マスタ!A960="","",物件マスタ!A960)</f>
        <v>KDX-219</v>
      </c>
      <c r="B960" s="1" t="str">
        <f aca="false">IF($A960="","",物件マスタ!B960)</f>
        <v>KDX</v>
      </c>
      <c r="C960" s="1" t="str">
        <f aca="false">IF($A960="","",IFERROR(INDEX(法人マスタ!$C:$C,MATCH($B960,法人マスタ!$A:$A,0)),""))</f>
        <v>ＫＤＸ不動産投資法人</v>
      </c>
      <c r="D960" s="1" t="str">
        <f aca="false">IF($A960="","",物件マスタ!C960)</f>
        <v>KDXレジデンス西新</v>
      </c>
      <c r="E960" s="1" t="str">
        <f aca="false">IF($A960="","",物件マスタ!H960)</f>
        <v>地方経済圏（KDX区分）</v>
      </c>
      <c r="F960" s="1" t="n">
        <f aca="false">IF($A960="","",物件マスタ!P960)</f>
        <v>0</v>
      </c>
      <c r="G960" s="1" t="str">
        <f aca="false">IF($A960="","",物件マスタ!Q960)</f>
        <v/>
      </c>
      <c r="H960" s="1" t="n">
        <f aca="false">IF($A960="","",物件マスタ!L960)</f>
        <v>0</v>
      </c>
      <c r="I960" s="1" t="n">
        <f aca="false">IF($A960="","",物件マスタ!M960)</f>
        <v>4472.72</v>
      </c>
      <c r="J960" s="1" t="n">
        <f aca="false">IF($A960="","",物件マスタ!S960)</f>
        <v>1850</v>
      </c>
      <c r="K960" s="1" t="n">
        <f aca="false">IF($A960="","",物件マスタ!U960)</f>
        <v>1970</v>
      </c>
      <c r="L960" s="1" t="n">
        <f aca="false">IF($A960="","",物件マスタ!W960)</f>
        <v>0.948</v>
      </c>
      <c r="M960" s="1" t="str">
        <f aca="false">IF($A960="","",IFERROR(INDEX(法人マスタ!$H:$H,MATCH($B960,法人マスタ!$A:$A,0)),""))</f>
        <v>2026年4月期（第42期）</v>
      </c>
      <c r="N960" s="1" t="n">
        <f aca="false">IF($A960="","",SUMIFS(物件収支!$D:$D,物件収支!$A:$A,$A960,物件収支!$C:$C,$M960))</f>
        <v>6</v>
      </c>
      <c r="O960" s="1" t="n">
        <f aca="false">IF($A960="","",SUMIFS(物件収支!$F:$F,物件収支!$A:$A,$A960,物件収支!$C:$C,$M960))</f>
        <v>62000</v>
      </c>
      <c r="P960" s="1" t="n">
        <f aca="false">IF($A960="","",SUMIFS(物件収支!$I:$I,物件収支!$A:$A,$A960,物件収支!$C:$C,$M960))</f>
        <v>0</v>
      </c>
      <c r="Q960" s="1" t="n">
        <f aca="false">IF($A960="","",SUMIFS(物件収支!$O:$O,物件収支!$A:$A,$A960,物件収支!$C:$C,$M960))</f>
        <v>0</v>
      </c>
      <c r="R960" s="1" t="str">
        <f aca="false">IF($A960="","",IF(P960=0,"",O960-P960))</f>
        <v/>
      </c>
      <c r="S960" s="1" t="str">
        <f aca="false">IF($A960="","",IF(R960="","",R960+Q960))</f>
        <v/>
      </c>
      <c r="T960" s="1" t="str">
        <f aca="false">IF($A960="","",IF(OR(S960="",N960&lt;=0),"",S960/1000*12/N960))</f>
        <v/>
      </c>
      <c r="U960" s="1" t="str">
        <f aca="false">IF($A960="","",IF(OR(T960="",J960=0,J960=""),"",T960/J960))</f>
        <v/>
      </c>
      <c r="V960" s="1" t="str">
        <f aca="false">IF($A960="","",IF(OR(R960="",N960&lt;=0,J960=0,J960=""),"",(R960/1000*12/N960)/J960))</f>
        <v/>
      </c>
      <c r="W960" s="1" t="str">
        <f aca="false">IF($A960="","",IF(OR(T960="",K960=0,K960=""),"",T960/K960))</f>
        <v/>
      </c>
      <c r="X960" s="1" t="n">
        <f aca="false">IF($A960="","",IF(OR(N960&lt;=0,I960=0,I960="",O960=0),"",O960*1000/(I960*0.3025)/N960))</f>
        <v>7637.36151923775</v>
      </c>
      <c r="Y960" s="1" t="str">
        <f aca="false">IF($A960="","",IF(OR(O960=0,O960="",P960=0),"",P960/O960))</f>
        <v/>
      </c>
      <c r="Z960" s="1" t="str">
        <f aca="false">IF($A960="","",IFERROR(INDEX(物件収支!$E:$E,MATCH($A960,物件収支!$A:$A,0)),""))</f>
        <v>開示（物件別・収益のみ・百万円単位）</v>
      </c>
    </row>
    <row r="961" customFormat="false" ht="15" hidden="false" customHeight="true" outlineLevel="0" collapsed="false">
      <c r="A961" s="1" t="str">
        <f aca="false">IF(物件マスタ!A961="","",物件マスタ!A961)</f>
        <v>KDX-220</v>
      </c>
      <c r="B961" s="1" t="str">
        <f aca="false">IF($A961="","",物件マスタ!B961)</f>
        <v>KDX</v>
      </c>
      <c r="C961" s="1" t="str">
        <f aca="false">IF($A961="","",IFERROR(INDEX(法人マスタ!$C:$C,MATCH($B961,法人マスタ!$A:$A,0)),""))</f>
        <v>ＫＤＸ不動産投資法人</v>
      </c>
      <c r="D961" s="1" t="str">
        <f aca="false">IF($A961="","",物件マスタ!C961)</f>
        <v>KDXレジデンス夙川ヒルズ</v>
      </c>
      <c r="E961" s="1" t="str">
        <f aca="false">IF($A961="","",物件マスタ!H961)</f>
        <v>地方経済圏（KDX区分）</v>
      </c>
      <c r="F961" s="1" t="n">
        <f aca="false">IF($A961="","",物件マスタ!P961)</f>
        <v>0</v>
      </c>
      <c r="G961" s="1" t="str">
        <f aca="false">IF($A961="","",物件マスタ!Q961)</f>
        <v/>
      </c>
      <c r="H961" s="1" t="n">
        <f aca="false">IF($A961="","",物件マスタ!L961)</f>
        <v>0</v>
      </c>
      <c r="I961" s="1" t="n">
        <f aca="false">IF($A961="","",物件マスタ!M961)</f>
        <v>17575.39</v>
      </c>
      <c r="J961" s="1" t="n">
        <f aca="false">IF($A961="","",物件マスタ!S961)</f>
        <v>7460</v>
      </c>
      <c r="K961" s="1" t="n">
        <f aca="false">IF($A961="","",物件マスタ!U961)</f>
        <v>7410</v>
      </c>
      <c r="L961" s="1" t="n">
        <f aca="false">IF($A961="","",物件マスタ!W961)</f>
        <v>0.973</v>
      </c>
      <c r="M961" s="1" t="str">
        <f aca="false">IF($A961="","",IFERROR(INDEX(法人マスタ!$H:$H,MATCH($B961,法人マスタ!$A:$A,0)),""))</f>
        <v>2026年4月期（第42期）</v>
      </c>
      <c r="N961" s="1" t="n">
        <f aca="false">IF($A961="","",SUMIFS(物件収支!$D:$D,物件収支!$A:$A,$A961,物件収支!$C:$C,$M961))</f>
        <v>6</v>
      </c>
      <c r="O961" s="1" t="n">
        <f aca="false">IF($A961="","",SUMIFS(物件収支!$F:$F,物件収支!$A:$A,$A961,物件収支!$C:$C,$M961))</f>
        <v>228000</v>
      </c>
      <c r="P961" s="1" t="n">
        <f aca="false">IF($A961="","",SUMIFS(物件収支!$I:$I,物件収支!$A:$A,$A961,物件収支!$C:$C,$M961))</f>
        <v>0</v>
      </c>
      <c r="Q961" s="1" t="n">
        <f aca="false">IF($A961="","",SUMIFS(物件収支!$O:$O,物件収支!$A:$A,$A961,物件収支!$C:$C,$M961))</f>
        <v>0</v>
      </c>
      <c r="R961" s="1" t="str">
        <f aca="false">IF($A961="","",IF(P961=0,"",O961-P961))</f>
        <v/>
      </c>
      <c r="S961" s="1" t="str">
        <f aca="false">IF($A961="","",IF(R961="","",R961+Q961))</f>
        <v/>
      </c>
      <c r="T961" s="1" t="str">
        <f aca="false">IF($A961="","",IF(OR(S961="",N961&lt;=0),"",S961/1000*12/N961))</f>
        <v/>
      </c>
      <c r="U961" s="1" t="str">
        <f aca="false">IF($A961="","",IF(OR(T961="",J961=0,J961=""),"",T961/J961))</f>
        <v/>
      </c>
      <c r="V961" s="1" t="str">
        <f aca="false">IF($A961="","",IF(OR(R961="",N961&lt;=0,J961=0,J961=""),"",(R961/1000*12/N961)/J961))</f>
        <v/>
      </c>
      <c r="W961" s="1" t="str">
        <f aca="false">IF($A961="","",IF(OR(T961="",K961=0,K961=""),"",T961/K961))</f>
        <v/>
      </c>
      <c r="X961" s="1" t="n">
        <f aca="false">IF($A961="","",IF(OR(N961&lt;=0,I961=0,I961="",O961=0),"",O961*1000/(I961*0.3025)/N961))</f>
        <v>7147.48490421799</v>
      </c>
      <c r="Y961" s="1" t="str">
        <f aca="false">IF($A961="","",IF(OR(O961=0,O961="",P961=0),"",P961/O961))</f>
        <v/>
      </c>
      <c r="Z961" s="1" t="str">
        <f aca="false">IF($A961="","",IFERROR(INDEX(物件収支!$E:$E,MATCH($A961,物件収支!$A:$A,0)),""))</f>
        <v>開示（物件別・収益のみ・百万円単位）</v>
      </c>
    </row>
    <row r="962" customFormat="false" ht="15" hidden="false" customHeight="true" outlineLevel="0" collapsed="false">
      <c r="A962" s="1" t="str">
        <f aca="false">IF(物件マスタ!A962="","",物件マスタ!A962)</f>
        <v>KDX-221</v>
      </c>
      <c r="B962" s="1" t="str">
        <f aca="false">IF($A962="","",物件マスタ!B962)</f>
        <v>KDX</v>
      </c>
      <c r="C962" s="1" t="str">
        <f aca="false">IF($A962="","",IFERROR(INDEX(法人マスタ!$C:$C,MATCH($B962,法人マスタ!$A:$A,0)),""))</f>
        <v>ＫＤＸ不動産投資法人</v>
      </c>
      <c r="D962" s="1" t="str">
        <f aca="false">IF($A962="","",物件マスタ!C962)</f>
        <v>セレニテ神戸元町</v>
      </c>
      <c r="E962" s="1" t="str">
        <f aca="false">IF($A962="","",物件マスタ!H962)</f>
        <v>地方経済圏（KDX区分）</v>
      </c>
      <c r="F962" s="1" t="n">
        <f aca="false">IF($A962="","",物件マスタ!P962)</f>
        <v>0</v>
      </c>
      <c r="G962" s="1" t="str">
        <f aca="false">IF($A962="","",物件マスタ!Q962)</f>
        <v/>
      </c>
      <c r="H962" s="1" t="n">
        <f aca="false">IF($A962="","",物件マスタ!L962)</f>
        <v>0</v>
      </c>
      <c r="I962" s="1" t="n">
        <f aca="false">IF($A962="","",物件マスタ!M962)</f>
        <v>3787.85</v>
      </c>
      <c r="J962" s="1" t="n">
        <f aca="false">IF($A962="","",物件マスタ!S962)</f>
        <v>2790</v>
      </c>
      <c r="K962" s="1" t="n">
        <f aca="false">IF($A962="","",物件マスタ!U962)</f>
        <v>2900</v>
      </c>
      <c r="L962" s="1" t="n">
        <f aca="false">IF($A962="","",物件マスタ!W962)</f>
        <v>0.964</v>
      </c>
      <c r="M962" s="1" t="str">
        <f aca="false">IF($A962="","",IFERROR(INDEX(法人マスタ!$H:$H,MATCH($B962,法人マスタ!$A:$A,0)),""))</f>
        <v>2026年4月期（第42期）</v>
      </c>
      <c r="N962" s="1" t="n">
        <f aca="false">IF($A962="","",SUMIFS(物件収支!$D:$D,物件収支!$A:$A,$A962,物件収支!$C:$C,$M962))</f>
        <v>6</v>
      </c>
      <c r="O962" s="1" t="n">
        <f aca="false">IF($A962="","",SUMIFS(物件収支!$F:$F,物件収支!$A:$A,$A962,物件収支!$C:$C,$M962))</f>
        <v>79000</v>
      </c>
      <c r="P962" s="1" t="n">
        <f aca="false">IF($A962="","",SUMIFS(物件収支!$I:$I,物件収支!$A:$A,$A962,物件収支!$C:$C,$M962))</f>
        <v>0</v>
      </c>
      <c r="Q962" s="1" t="n">
        <f aca="false">IF($A962="","",SUMIFS(物件収支!$O:$O,物件収支!$A:$A,$A962,物件収支!$C:$C,$M962))</f>
        <v>0</v>
      </c>
      <c r="R962" s="1" t="str">
        <f aca="false">IF($A962="","",IF(P962=0,"",O962-P962))</f>
        <v/>
      </c>
      <c r="S962" s="1" t="str">
        <f aca="false">IF($A962="","",IF(R962="","",R962+Q962))</f>
        <v/>
      </c>
      <c r="T962" s="1" t="str">
        <f aca="false">IF($A962="","",IF(OR(S962="",N962&lt;=0),"",S962/1000*12/N962))</f>
        <v/>
      </c>
      <c r="U962" s="1" t="str">
        <f aca="false">IF($A962="","",IF(OR(T962="",J962=0,J962=""),"",T962/J962))</f>
        <v/>
      </c>
      <c r="V962" s="1" t="str">
        <f aca="false">IF($A962="","",IF(OR(R962="",N962&lt;=0,J962=0,J962=""),"",(R962/1000*12/N962)/J962))</f>
        <v/>
      </c>
      <c r="W962" s="1" t="str">
        <f aca="false">IF($A962="","",IF(OR(T962="",K962=0,K962=""),"",T962/K962))</f>
        <v/>
      </c>
      <c r="X962" s="1" t="n">
        <f aca="false">IF($A962="","",IF(OR(N962&lt;=0,I962=0,I962="",O962=0),"",O962*1000/(I962*0.3025)/N962))</f>
        <v>11490.9964224819</v>
      </c>
      <c r="Y962" s="1" t="str">
        <f aca="false">IF($A962="","",IF(OR(O962=0,O962="",P962=0),"",P962/O962))</f>
        <v/>
      </c>
      <c r="Z962" s="1" t="str">
        <f aca="false">IF($A962="","",IFERROR(INDEX(物件収支!$E:$E,MATCH($A962,物件収支!$A:$A,0)),""))</f>
        <v>開示（物件別・収益のみ・百万円単位）</v>
      </c>
    </row>
    <row r="963" customFormat="false" ht="15" hidden="false" customHeight="true" outlineLevel="0" collapsed="false">
      <c r="A963" s="1" t="str">
        <f aca="false">IF(物件マスタ!A963="","",物件マスタ!A963)</f>
        <v>KDX-222</v>
      </c>
      <c r="B963" s="1" t="str">
        <f aca="false">IF($A963="","",物件マスタ!B963)</f>
        <v>KDX</v>
      </c>
      <c r="C963" s="1" t="str">
        <f aca="false">IF($A963="","",IFERROR(INDEX(法人マスタ!$C:$C,MATCH($B963,法人マスタ!$A:$A,0)),""))</f>
        <v>ＫＤＸ不動産投資法人</v>
      </c>
      <c r="D963" s="1" t="str">
        <f aca="false">IF($A963="","",物件マスタ!C963)</f>
        <v>KDXレジデンス仙台駅東</v>
      </c>
      <c r="E963" s="1" t="str">
        <f aca="false">IF($A963="","",物件マスタ!H963)</f>
        <v>地方経済圏（KDX区分）</v>
      </c>
      <c r="F963" s="1" t="n">
        <f aca="false">IF($A963="","",物件マスタ!P963)</f>
        <v>0</v>
      </c>
      <c r="G963" s="1" t="str">
        <f aca="false">IF($A963="","",物件マスタ!Q963)</f>
        <v/>
      </c>
      <c r="H963" s="1" t="n">
        <f aca="false">IF($A963="","",物件マスタ!L963)</f>
        <v>0</v>
      </c>
      <c r="I963" s="1" t="n">
        <f aca="false">IF($A963="","",物件マスタ!M963)</f>
        <v>2254.34</v>
      </c>
      <c r="J963" s="1" t="n">
        <f aca="false">IF($A963="","",物件マスタ!S963)</f>
        <v>1590</v>
      </c>
      <c r="K963" s="1" t="n">
        <f aca="false">IF($A963="","",物件マスタ!U963)</f>
        <v>1580</v>
      </c>
      <c r="L963" s="1" t="n">
        <f aca="false">IF($A963="","",物件マスタ!W963)</f>
        <v>0.864</v>
      </c>
      <c r="M963" s="1" t="str">
        <f aca="false">IF($A963="","",IFERROR(INDEX(法人マスタ!$H:$H,MATCH($B963,法人マスタ!$A:$A,0)),""))</f>
        <v>2026年4月期（第42期）</v>
      </c>
      <c r="N963" s="1" t="n">
        <f aca="false">IF($A963="","",SUMIFS(物件収支!$D:$D,物件収支!$A:$A,$A963,物件収支!$C:$C,$M963))</f>
        <v>6</v>
      </c>
      <c r="O963" s="1" t="n">
        <f aca="false">IF($A963="","",SUMIFS(物件収支!$F:$F,物件収支!$A:$A,$A963,物件収支!$C:$C,$M963))</f>
        <v>40000</v>
      </c>
      <c r="P963" s="1" t="n">
        <f aca="false">IF($A963="","",SUMIFS(物件収支!$I:$I,物件収支!$A:$A,$A963,物件収支!$C:$C,$M963))</f>
        <v>0</v>
      </c>
      <c r="Q963" s="1" t="n">
        <f aca="false">IF($A963="","",SUMIFS(物件収支!$O:$O,物件収支!$A:$A,$A963,物件収支!$C:$C,$M963))</f>
        <v>0</v>
      </c>
      <c r="R963" s="1" t="str">
        <f aca="false">IF($A963="","",IF(P963=0,"",O963-P963))</f>
        <v/>
      </c>
      <c r="S963" s="1" t="str">
        <f aca="false">IF($A963="","",IF(R963="","",R963+Q963))</f>
        <v/>
      </c>
      <c r="T963" s="1" t="str">
        <f aca="false">IF($A963="","",IF(OR(S963="",N963&lt;=0),"",S963/1000*12/N963))</f>
        <v/>
      </c>
      <c r="U963" s="1" t="str">
        <f aca="false">IF($A963="","",IF(OR(T963="",J963=0,J963=""),"",T963/J963))</f>
        <v/>
      </c>
      <c r="V963" s="1" t="str">
        <f aca="false">IF($A963="","",IF(OR(R963="",N963&lt;=0,J963=0,J963=""),"",(R963/1000*12/N963)/J963))</f>
        <v/>
      </c>
      <c r="W963" s="1" t="str">
        <f aca="false">IF($A963="","",IF(OR(T963="",K963=0,K963=""),"",T963/K963))</f>
        <v/>
      </c>
      <c r="X963" s="1" t="n">
        <f aca="false">IF($A963="","",IF(OR(N963&lt;=0,I963=0,I963="",O963=0),"",O963*1000/(I963*0.3025)/N963))</f>
        <v>9776.06194855831</v>
      </c>
      <c r="Y963" s="1" t="str">
        <f aca="false">IF($A963="","",IF(OR(O963=0,O963="",P963=0),"",P963/O963))</f>
        <v/>
      </c>
      <c r="Z963" s="1" t="str">
        <f aca="false">IF($A963="","",IFERROR(INDEX(物件収支!$E:$E,MATCH($A963,物件収支!$A:$A,0)),""))</f>
        <v>開示（物件別・収益のみ・百万円単位）</v>
      </c>
    </row>
    <row r="964" customFormat="false" ht="15" hidden="false" customHeight="true" outlineLevel="0" collapsed="false">
      <c r="A964" s="1" t="str">
        <f aca="false">IF(物件マスタ!A964="","",物件マスタ!A964)</f>
        <v>KDX-223</v>
      </c>
      <c r="B964" s="1" t="str">
        <f aca="false">IF($A964="","",物件マスタ!B964)</f>
        <v>KDX</v>
      </c>
      <c r="C964" s="1" t="str">
        <f aca="false">IF($A964="","",IFERROR(INDEX(法人マスタ!$C:$C,MATCH($B964,法人マスタ!$A:$A,0)),""))</f>
        <v>ＫＤＸ不動産投資法人</v>
      </c>
      <c r="D964" s="1" t="str">
        <f aca="false">IF($A964="","",物件マスタ!C964)</f>
        <v>セレニテ甲子園プリエ</v>
      </c>
      <c r="E964" s="1" t="str">
        <f aca="false">IF($A964="","",物件マスタ!H964)</f>
        <v>地方経済圏（KDX区分）</v>
      </c>
      <c r="F964" s="1" t="n">
        <f aca="false">IF($A964="","",物件マスタ!P964)</f>
        <v>0</v>
      </c>
      <c r="G964" s="1" t="str">
        <f aca="false">IF($A964="","",物件マスタ!Q964)</f>
        <v/>
      </c>
      <c r="H964" s="1" t="n">
        <f aca="false">IF($A964="","",物件マスタ!L964)</f>
        <v>0</v>
      </c>
      <c r="I964" s="1" t="n">
        <f aca="false">IF($A964="","",物件マスタ!M964)</f>
        <v>1438.36</v>
      </c>
      <c r="J964" s="1" t="n">
        <f aca="false">IF($A964="","",物件マスタ!S964)</f>
        <v>865</v>
      </c>
      <c r="K964" s="1" t="n">
        <f aca="false">IF($A964="","",物件マスタ!U964)</f>
        <v>891</v>
      </c>
      <c r="L964" s="1" t="n">
        <f aca="false">IF($A964="","",物件マスタ!W964)</f>
        <v>0.979</v>
      </c>
      <c r="M964" s="1" t="str">
        <f aca="false">IF($A964="","",IFERROR(INDEX(法人マスタ!$H:$H,MATCH($B964,法人マスタ!$A:$A,0)),""))</f>
        <v>2026年4月期（第42期）</v>
      </c>
      <c r="N964" s="1" t="n">
        <f aca="false">IF($A964="","",SUMIFS(物件収支!$D:$D,物件収支!$A:$A,$A964,物件収支!$C:$C,$M964))</f>
        <v>6</v>
      </c>
      <c r="O964" s="1" t="n">
        <f aca="false">IF($A964="","",SUMIFS(物件収支!$F:$F,物件収支!$A:$A,$A964,物件収支!$C:$C,$M964))</f>
        <v>27000</v>
      </c>
      <c r="P964" s="1" t="n">
        <f aca="false">IF($A964="","",SUMIFS(物件収支!$I:$I,物件収支!$A:$A,$A964,物件収支!$C:$C,$M964))</f>
        <v>0</v>
      </c>
      <c r="Q964" s="1" t="n">
        <f aca="false">IF($A964="","",SUMIFS(物件収支!$O:$O,物件収支!$A:$A,$A964,物件収支!$C:$C,$M964))</f>
        <v>0</v>
      </c>
      <c r="R964" s="1" t="str">
        <f aca="false">IF($A964="","",IF(P964=0,"",O964-P964))</f>
        <v/>
      </c>
      <c r="S964" s="1" t="str">
        <f aca="false">IF($A964="","",IF(R964="","",R964+Q964))</f>
        <v/>
      </c>
      <c r="T964" s="1" t="str">
        <f aca="false">IF($A964="","",IF(OR(S964="",N964&lt;=0),"",S964/1000*12/N964))</f>
        <v/>
      </c>
      <c r="U964" s="1" t="str">
        <f aca="false">IF($A964="","",IF(OR(T964="",J964=0,J964=""),"",T964/J964))</f>
        <v/>
      </c>
      <c r="V964" s="1" t="str">
        <f aca="false">IF($A964="","",IF(OR(R964="",N964&lt;=0,J964=0,J964=""),"",(R964/1000*12/N964)/J964))</f>
        <v/>
      </c>
      <c r="W964" s="1" t="str">
        <f aca="false">IF($A964="","",IF(OR(T964="",K964=0,K964=""),"",T964/K964))</f>
        <v/>
      </c>
      <c r="X964" s="1" t="n">
        <f aca="false">IF($A964="","",IF(OR(N964&lt;=0,I964=0,I964="",O964=0),"",O964*1000/(I964*0.3025)/N964))</f>
        <v>10342.3573082199</v>
      </c>
      <c r="Y964" s="1" t="str">
        <f aca="false">IF($A964="","",IF(OR(O964=0,O964="",P964=0),"",P964/O964))</f>
        <v/>
      </c>
      <c r="Z964" s="1" t="str">
        <f aca="false">IF($A964="","",IFERROR(INDEX(物件収支!$E:$E,MATCH($A964,物件収支!$A:$A,0)),""))</f>
        <v>開示（物件別・収益のみ・百万円単位）</v>
      </c>
    </row>
    <row r="965" customFormat="false" ht="15" hidden="false" customHeight="true" outlineLevel="0" collapsed="false">
      <c r="A965" s="1" t="str">
        <f aca="false">IF(物件マスタ!A965="","",物件マスタ!A965)</f>
        <v>KDX-224</v>
      </c>
      <c r="B965" s="1" t="str">
        <f aca="false">IF($A965="","",物件マスタ!B965)</f>
        <v>KDX</v>
      </c>
      <c r="C965" s="1" t="str">
        <f aca="false">IF($A965="","",IFERROR(INDEX(法人マスタ!$C:$C,MATCH($B965,法人マスタ!$A:$A,0)),""))</f>
        <v>ＫＤＸ不動産投資法人</v>
      </c>
      <c r="D965" s="1" t="str">
        <f aca="false">IF($A965="","",物件マスタ!C965)</f>
        <v>銀座四丁目タワー</v>
      </c>
      <c r="E965" s="1" t="str">
        <f aca="false">IF($A965="","",物件マスタ!H965)</f>
        <v>東京経済圏（KDX区分）</v>
      </c>
      <c r="F965" s="1" t="n">
        <f aca="false">IF($A965="","",物件マスタ!P965)</f>
        <v>0</v>
      </c>
      <c r="G965" s="1" t="str">
        <f aca="false">IF($A965="","",物件マスタ!Q965)</f>
        <v/>
      </c>
      <c r="H965" s="1" t="n">
        <f aca="false">IF($A965="","",物件マスタ!L965)</f>
        <v>0</v>
      </c>
      <c r="I965" s="1" t="n">
        <f aca="false">IF($A965="","",物件マスタ!M965)</f>
        <v>5624.23</v>
      </c>
      <c r="J965" s="1" t="n">
        <f aca="false">IF($A965="","",物件マスタ!S965)</f>
        <v>9800</v>
      </c>
      <c r="K965" s="1" t="n">
        <f aca="false">IF($A965="","",物件マスタ!U965)</f>
        <v>15300</v>
      </c>
      <c r="L965" s="1" t="n">
        <f aca="false">IF($A965="","",物件マスタ!W965)</f>
        <v>1</v>
      </c>
      <c r="M965" s="1" t="str">
        <f aca="false">IF($A965="","",IFERROR(INDEX(法人マスタ!$H:$H,MATCH($B965,法人マスタ!$A:$A,0)),""))</f>
        <v>2026年4月期（第42期）</v>
      </c>
      <c r="N965" s="1" t="n">
        <f aca="false">IF($A965="","",SUMIFS(物件収支!$D:$D,物件収支!$A:$A,$A965,物件収支!$C:$C,$M965))</f>
        <v>6</v>
      </c>
      <c r="O965" s="1" t="n">
        <f aca="false">IF($A965="","",SUMIFS(物件収支!$F:$F,物件収支!$A:$A,$A965,物件収支!$C:$C,$M965))</f>
        <v>309000</v>
      </c>
      <c r="P965" s="1" t="n">
        <f aca="false">IF($A965="","",SUMIFS(物件収支!$I:$I,物件収支!$A:$A,$A965,物件収支!$C:$C,$M965))</f>
        <v>0</v>
      </c>
      <c r="Q965" s="1" t="n">
        <f aca="false">IF($A965="","",SUMIFS(物件収支!$O:$O,物件収支!$A:$A,$A965,物件収支!$C:$C,$M965))</f>
        <v>0</v>
      </c>
      <c r="R965" s="1" t="str">
        <f aca="false">IF($A965="","",IF(P965=0,"",O965-P965))</f>
        <v/>
      </c>
      <c r="S965" s="1" t="str">
        <f aca="false">IF($A965="","",IF(R965="","",R965+Q965))</f>
        <v/>
      </c>
      <c r="T965" s="1" t="str">
        <f aca="false">IF($A965="","",IF(OR(S965="",N965&lt;=0),"",S965/1000*12/N965))</f>
        <v/>
      </c>
      <c r="U965" s="1" t="str">
        <f aca="false">IF($A965="","",IF(OR(T965="",J965=0,J965=""),"",T965/J965))</f>
        <v/>
      </c>
      <c r="V965" s="1" t="str">
        <f aca="false">IF($A965="","",IF(OR(R965="",N965&lt;=0,J965=0,J965=""),"",(R965/1000*12/N965)/J965))</f>
        <v/>
      </c>
      <c r="W965" s="1" t="str">
        <f aca="false">IF($A965="","",IF(OR(T965="",K965=0,K965=""),"",T965/K965))</f>
        <v/>
      </c>
      <c r="X965" s="1" t="n">
        <f aca="false">IF($A965="","",IF(OR(N965&lt;=0,I965=0,I965="",O965=0),"",O965*1000/(I965*0.3025)/N965))</f>
        <v>30270.443044523</v>
      </c>
      <c r="Y965" s="1" t="str">
        <f aca="false">IF($A965="","",IF(OR(O965=0,O965="",P965=0),"",P965/O965))</f>
        <v/>
      </c>
      <c r="Z965" s="1" t="str">
        <f aca="false">IF($A965="","",IFERROR(INDEX(物件収支!$E:$E,MATCH($A965,物件収支!$A:$A,0)),""))</f>
        <v>開示（物件別・収益のみ・百万円単位）</v>
      </c>
    </row>
    <row r="966" customFormat="false" ht="15" hidden="false" customHeight="true" outlineLevel="0" collapsed="false">
      <c r="A966" s="1" t="str">
        <f aca="false">IF(物件マスタ!A966="","",物件マスタ!A966)</f>
        <v>KDX-225</v>
      </c>
      <c r="B966" s="1" t="str">
        <f aca="false">IF($A966="","",物件マスタ!B966)</f>
        <v>KDX</v>
      </c>
      <c r="C966" s="1" t="str">
        <f aca="false">IF($A966="","",IFERROR(INDEX(法人マスタ!$C:$C,MATCH($B966,法人マスタ!$A:$A,0)),""))</f>
        <v>ＫＤＸ不動産投資法人</v>
      </c>
      <c r="D966" s="1" t="str">
        <f aca="false">IF($A966="","",物件マスタ!C966)</f>
        <v>MONA新浦安</v>
      </c>
      <c r="E966" s="1" t="str">
        <f aca="false">IF($A966="","",物件マスタ!H966)</f>
        <v>東京経済圏（KDX区分）</v>
      </c>
      <c r="F966" s="1" t="n">
        <f aca="false">IF($A966="","",物件マスタ!P966)</f>
        <v>0</v>
      </c>
      <c r="G966" s="1" t="str">
        <f aca="false">IF($A966="","",物件マスタ!Q966)</f>
        <v/>
      </c>
      <c r="H966" s="1" t="n">
        <f aca="false">IF($A966="","",物件マスタ!L966)</f>
        <v>0</v>
      </c>
      <c r="I966" s="1" t="n">
        <f aca="false">IF($A966="","",物件マスタ!M966)</f>
        <v>9996.56</v>
      </c>
      <c r="J966" s="1" t="n">
        <f aca="false">IF($A966="","",物件マスタ!S966)</f>
        <v>8770</v>
      </c>
      <c r="K966" s="1" t="n">
        <f aca="false">IF($A966="","",物件マスタ!U966)</f>
        <v>9160</v>
      </c>
      <c r="L966" s="1" t="n">
        <f aca="false">IF($A966="","",物件マスタ!W966)</f>
        <v>1</v>
      </c>
      <c r="M966" s="1" t="str">
        <f aca="false">IF($A966="","",IFERROR(INDEX(法人マスタ!$H:$H,MATCH($B966,法人マスタ!$A:$A,0)),""))</f>
        <v>2026年4月期（第42期）</v>
      </c>
      <c r="N966" s="1" t="n">
        <f aca="false">IF($A966="","",SUMIFS(物件収支!$D:$D,物件収支!$A:$A,$A966,物件収支!$C:$C,$M966))</f>
        <v>6</v>
      </c>
      <c r="O966" s="1" t="n">
        <f aca="false">IF($A966="","",SUMIFS(物件収支!$F:$F,物件収支!$A:$A,$A966,物件収支!$C:$C,$M966))</f>
        <v>544000</v>
      </c>
      <c r="P966" s="1" t="n">
        <f aca="false">IF($A966="","",SUMIFS(物件収支!$I:$I,物件収支!$A:$A,$A966,物件収支!$C:$C,$M966))</f>
        <v>0</v>
      </c>
      <c r="Q966" s="1" t="n">
        <f aca="false">IF($A966="","",SUMIFS(物件収支!$O:$O,物件収支!$A:$A,$A966,物件収支!$C:$C,$M966))</f>
        <v>0</v>
      </c>
      <c r="R966" s="1" t="str">
        <f aca="false">IF($A966="","",IF(P966=0,"",O966-P966))</f>
        <v/>
      </c>
      <c r="S966" s="1" t="str">
        <f aca="false">IF($A966="","",IF(R966="","",R966+Q966))</f>
        <v/>
      </c>
      <c r="T966" s="1" t="str">
        <f aca="false">IF($A966="","",IF(OR(S966="",N966&lt;=0),"",S966/1000*12/N966))</f>
        <v/>
      </c>
      <c r="U966" s="1" t="str">
        <f aca="false">IF($A966="","",IF(OR(T966="",J966=0,J966=""),"",T966/J966))</f>
        <v/>
      </c>
      <c r="V966" s="1" t="str">
        <f aca="false">IF($A966="","",IF(OR(R966="",N966&lt;=0,J966=0,J966=""),"",(R966/1000*12/N966)/J966))</f>
        <v/>
      </c>
      <c r="W966" s="1" t="str">
        <f aca="false">IF($A966="","",IF(OR(T966="",K966=0,K966=""),"",T966/K966))</f>
        <v/>
      </c>
      <c r="X966" s="1" t="n">
        <f aca="false">IF($A966="","",IF(OR(N966&lt;=0,I966=0,I966="",O966=0),"",O966*1000/(I966*0.3025)/N966))</f>
        <v>29982.7658620902</v>
      </c>
      <c r="Y966" s="1" t="str">
        <f aca="false">IF($A966="","",IF(OR(O966=0,O966="",P966=0),"",P966/O966))</f>
        <v/>
      </c>
      <c r="Z966" s="1" t="str">
        <f aca="false">IF($A966="","",IFERROR(INDEX(物件収支!$E:$E,MATCH($A966,物件収支!$A:$A,0)),""))</f>
        <v>開示（物件別・収益のみ・百万円単位）</v>
      </c>
    </row>
    <row r="967" customFormat="false" ht="15" hidden="false" customHeight="true" outlineLevel="0" collapsed="false">
      <c r="A967" s="1" t="str">
        <f aca="false">IF(物件マスタ!A967="","",物件マスタ!A967)</f>
        <v>KDX-226</v>
      </c>
      <c r="B967" s="1" t="str">
        <f aca="false">IF($A967="","",物件マスタ!B967)</f>
        <v>KDX</v>
      </c>
      <c r="C967" s="1" t="str">
        <f aca="false">IF($A967="","",IFERROR(INDEX(法人マスタ!$C:$C,MATCH($B967,法人マスタ!$A:$A,0)),""))</f>
        <v>ＫＤＸ不動産投資法人</v>
      </c>
      <c r="D967" s="1" t="str">
        <f aca="false">IF($A967="","",物件マスタ!C967)</f>
        <v>パサージオ西新井</v>
      </c>
      <c r="E967" s="1" t="str">
        <f aca="false">IF($A967="","",物件マスタ!H967)</f>
        <v>東京経済圏（KDX区分）</v>
      </c>
      <c r="F967" s="1" t="n">
        <f aca="false">IF($A967="","",物件マスタ!P967)</f>
        <v>0</v>
      </c>
      <c r="G967" s="1" t="str">
        <f aca="false">IF($A967="","",物件マスタ!Q967)</f>
        <v/>
      </c>
      <c r="H967" s="1" t="n">
        <f aca="false">IF($A967="","",物件マスタ!L967)</f>
        <v>0</v>
      </c>
      <c r="I967" s="1" t="n">
        <f aca="false">IF($A967="","",物件マスタ!M967)</f>
        <v>10527.4</v>
      </c>
      <c r="J967" s="1" t="n">
        <f aca="false">IF($A967="","",物件マスタ!S967)</f>
        <v>6630</v>
      </c>
      <c r="K967" s="1" t="n">
        <f aca="false">IF($A967="","",物件マスタ!U967)</f>
        <v>6840</v>
      </c>
      <c r="L967" s="1" t="n">
        <f aca="false">IF($A967="","",物件マスタ!W967)</f>
        <v>1</v>
      </c>
      <c r="M967" s="1" t="str">
        <f aca="false">IF($A967="","",IFERROR(INDEX(法人マスタ!$H:$H,MATCH($B967,法人マスタ!$A:$A,0)),""))</f>
        <v>2026年4月期（第42期）</v>
      </c>
      <c r="N967" s="1" t="n">
        <f aca="false">IF($A967="","",SUMIFS(物件収支!$D:$D,物件収支!$A:$A,$A967,物件収支!$C:$C,$M967))</f>
        <v>6</v>
      </c>
      <c r="O967" s="1" t="n">
        <f aca="false">IF($A967="","",SUMIFS(物件収支!$F:$F,物件収支!$A:$A,$A967,物件収支!$C:$C,$M967))</f>
        <v>331000</v>
      </c>
      <c r="P967" s="1" t="n">
        <f aca="false">IF($A967="","",SUMIFS(物件収支!$I:$I,物件収支!$A:$A,$A967,物件収支!$C:$C,$M967))</f>
        <v>0</v>
      </c>
      <c r="Q967" s="1" t="n">
        <f aca="false">IF($A967="","",SUMIFS(物件収支!$O:$O,物件収支!$A:$A,$A967,物件収支!$C:$C,$M967))</f>
        <v>0</v>
      </c>
      <c r="R967" s="1" t="str">
        <f aca="false">IF($A967="","",IF(P967=0,"",O967-P967))</f>
        <v/>
      </c>
      <c r="S967" s="1" t="str">
        <f aca="false">IF($A967="","",IF(R967="","",R967+Q967))</f>
        <v/>
      </c>
      <c r="T967" s="1" t="str">
        <f aca="false">IF($A967="","",IF(OR(S967="",N967&lt;=0),"",S967/1000*12/N967))</f>
        <v/>
      </c>
      <c r="U967" s="1" t="str">
        <f aca="false">IF($A967="","",IF(OR(T967="",J967=0,J967=""),"",T967/J967))</f>
        <v/>
      </c>
      <c r="V967" s="1" t="str">
        <f aca="false">IF($A967="","",IF(OR(R967="",N967&lt;=0,J967=0,J967=""),"",(R967/1000*12/N967)/J967))</f>
        <v/>
      </c>
      <c r="W967" s="1" t="str">
        <f aca="false">IF($A967="","",IF(OR(T967="",K967=0,K967=""),"",T967/K967))</f>
        <v/>
      </c>
      <c r="X967" s="1" t="n">
        <f aca="false">IF($A967="","",IF(OR(N967&lt;=0,I967=0,I967="",O967=0),"",O967*1000/(I967*0.3025)/N967))</f>
        <v>17323.2845722125</v>
      </c>
      <c r="Y967" s="1" t="str">
        <f aca="false">IF($A967="","",IF(OR(O967=0,O967="",P967=0),"",P967/O967))</f>
        <v/>
      </c>
      <c r="Z967" s="1" t="str">
        <f aca="false">IF($A967="","",IFERROR(INDEX(物件収支!$E:$E,MATCH($A967,物件収支!$A:$A,0)),""))</f>
        <v>開示（物件別・収益のみ・百万円単位）</v>
      </c>
    </row>
    <row r="968" customFormat="false" ht="15" hidden="false" customHeight="true" outlineLevel="0" collapsed="false">
      <c r="A968" s="1" t="str">
        <f aca="false">IF(物件マスタ!A968="","",物件マスタ!A968)</f>
        <v>KDX-227</v>
      </c>
      <c r="B968" s="1" t="str">
        <f aca="false">IF($A968="","",物件マスタ!B968)</f>
        <v>KDX</v>
      </c>
      <c r="C968" s="1" t="str">
        <f aca="false">IF($A968="","",IFERROR(INDEX(法人マスタ!$C:$C,MATCH($B968,法人マスタ!$A:$A,0)),""))</f>
        <v>ＫＤＸ不動産投資法人</v>
      </c>
      <c r="D968" s="1" t="str">
        <f aca="false">IF($A968="","",物件マスタ!C968)</f>
        <v>ウニクス伊奈</v>
      </c>
      <c r="E968" s="1" t="str">
        <f aca="false">IF($A968="","",物件マスタ!H968)</f>
        <v>東京経済圏（KDX区分）</v>
      </c>
      <c r="F968" s="1" t="n">
        <f aca="false">IF($A968="","",物件マスタ!P968)</f>
        <v>0</v>
      </c>
      <c r="G968" s="1" t="str">
        <f aca="false">IF($A968="","",物件マスタ!Q968)</f>
        <v/>
      </c>
      <c r="H968" s="1" t="n">
        <f aca="false">IF($A968="","",物件マスタ!L968)</f>
        <v>0</v>
      </c>
      <c r="I968" s="1" t="n">
        <f aca="false">IF($A968="","",物件マスタ!M968)</f>
        <v>11303.41</v>
      </c>
      <c r="J968" s="1" t="n">
        <f aca="false">IF($A968="","",物件マスタ!S968)</f>
        <v>4808</v>
      </c>
      <c r="K968" s="1" t="n">
        <f aca="false">IF($A968="","",物件マスタ!U968)</f>
        <v>4760</v>
      </c>
      <c r="L968" s="1" t="n">
        <f aca="false">IF($A968="","",物件マスタ!W968)</f>
        <v>1</v>
      </c>
      <c r="M968" s="1" t="str">
        <f aca="false">IF($A968="","",IFERROR(INDEX(法人マスタ!$H:$H,MATCH($B968,法人マスタ!$A:$A,0)),""))</f>
        <v>2026年4月期（第42期）</v>
      </c>
      <c r="N968" s="1" t="n">
        <f aca="false">IF($A968="","",SUMIFS(物件収支!$D:$D,物件収支!$A:$A,$A968,物件収支!$C:$C,$M968))</f>
        <v>6</v>
      </c>
      <c r="O968" s="1" t="n">
        <f aca="false">IF($A968="","",SUMIFS(物件収支!$F:$F,物件収支!$A:$A,$A968,物件収支!$C:$C,$M968))</f>
        <v>122000</v>
      </c>
      <c r="P968" s="1" t="n">
        <f aca="false">IF($A968="","",SUMIFS(物件収支!$I:$I,物件収支!$A:$A,$A968,物件収支!$C:$C,$M968))</f>
        <v>0</v>
      </c>
      <c r="Q968" s="1" t="n">
        <f aca="false">IF($A968="","",SUMIFS(物件収支!$O:$O,物件収支!$A:$A,$A968,物件収支!$C:$C,$M968))</f>
        <v>0</v>
      </c>
      <c r="R968" s="1" t="str">
        <f aca="false">IF($A968="","",IF(P968=0,"",O968-P968))</f>
        <v/>
      </c>
      <c r="S968" s="1" t="str">
        <f aca="false">IF($A968="","",IF(R968="","",R968+Q968))</f>
        <v/>
      </c>
      <c r="T968" s="1" t="str">
        <f aca="false">IF($A968="","",IF(OR(S968="",N968&lt;=0),"",S968/1000*12/N968))</f>
        <v/>
      </c>
      <c r="U968" s="1" t="str">
        <f aca="false">IF($A968="","",IF(OR(T968="",J968=0,J968=""),"",T968/J968))</f>
        <v/>
      </c>
      <c r="V968" s="1" t="str">
        <f aca="false">IF($A968="","",IF(OR(R968="",N968&lt;=0,J968=0,J968=""),"",(R968/1000*12/N968)/J968))</f>
        <v/>
      </c>
      <c r="W968" s="1" t="str">
        <f aca="false">IF($A968="","",IF(OR(T968="",K968=0,K968=""),"",T968/K968))</f>
        <v/>
      </c>
      <c r="X968" s="1" t="n">
        <f aca="false">IF($A968="","",IF(OR(N968&lt;=0,I968=0,I968="",O968=0),"",O968*1000/(I968*0.3025)/N968))</f>
        <v>5946.66838184181</v>
      </c>
      <c r="Y968" s="1" t="str">
        <f aca="false">IF($A968="","",IF(OR(O968=0,O968="",P968=0),"",P968/O968))</f>
        <v/>
      </c>
      <c r="Z968" s="1" t="str">
        <f aca="false">IF($A968="","",IFERROR(INDEX(物件収支!$E:$E,MATCH($A968,物件収支!$A:$A,0)),""))</f>
        <v>開示（物件別・収益のみ・百万円単位）</v>
      </c>
    </row>
    <row r="969" customFormat="false" ht="15" hidden="false" customHeight="true" outlineLevel="0" collapsed="false">
      <c r="A969" s="1" t="str">
        <f aca="false">IF(物件マスタ!A969="","",物件マスタ!A969)</f>
        <v>KDX-228</v>
      </c>
      <c r="B969" s="1" t="str">
        <f aca="false">IF($A969="","",物件マスタ!B969)</f>
        <v>KDX</v>
      </c>
      <c r="C969" s="1" t="str">
        <f aca="false">IF($A969="","",IFERROR(INDEX(法人マスタ!$C:$C,MATCH($B969,法人マスタ!$A:$A,0)),""))</f>
        <v>ＫＤＸ不動産投資法人</v>
      </c>
      <c r="D969" s="1" t="str">
        <f aca="false">IF($A969="","",物件マスタ!C969)</f>
        <v>ヨークタウン北金目</v>
      </c>
      <c r="E969" s="1" t="str">
        <f aca="false">IF($A969="","",物件マスタ!H969)</f>
        <v>東京経済圏（KDX区分）</v>
      </c>
      <c r="F969" s="1" t="n">
        <f aca="false">IF($A969="","",物件マスタ!P969)</f>
        <v>0</v>
      </c>
      <c r="G969" s="1" t="str">
        <f aca="false">IF($A969="","",物件マスタ!Q969)</f>
        <v/>
      </c>
      <c r="H969" s="1" t="n">
        <f aca="false">IF($A969="","",物件マスタ!L969)</f>
        <v>0</v>
      </c>
      <c r="I969" s="1" t="n">
        <f aca="false">IF($A969="","",物件マスタ!M969)</f>
        <v>0</v>
      </c>
      <c r="J969" s="1" t="n">
        <f aca="false">IF($A969="","",物件マスタ!S969)</f>
        <v>4350</v>
      </c>
      <c r="K969" s="1" t="n">
        <f aca="false">IF($A969="","",物件マスタ!U969)</f>
        <v>4420</v>
      </c>
      <c r="L969" s="1" t="n">
        <f aca="false">IF($A969="","",物件マスタ!W969)</f>
        <v>1</v>
      </c>
      <c r="M969" s="1" t="str">
        <f aca="false">IF($A969="","",IFERROR(INDEX(法人マスタ!$H:$H,MATCH($B969,法人マスタ!$A:$A,0)),""))</f>
        <v>2026年4月期（第42期）</v>
      </c>
      <c r="N969" s="1" t="n">
        <f aca="false">IF($A969="","",SUMIFS(物件収支!$D:$D,物件収支!$A:$A,$A969,物件収支!$C:$C,$M969))</f>
        <v>6</v>
      </c>
      <c r="O969" s="1" t="n">
        <f aca="false">IF($A969="","",SUMIFS(物件収支!$F:$F,物件収支!$A:$A,$A969,物件収支!$C:$C,$M969))</f>
        <v>0</v>
      </c>
      <c r="P969" s="1" t="n">
        <f aca="false">IF($A969="","",SUMIFS(物件収支!$I:$I,物件収支!$A:$A,$A969,物件収支!$C:$C,$M969))</f>
        <v>0</v>
      </c>
      <c r="Q969" s="1" t="n">
        <f aca="false">IF($A969="","",SUMIFS(物件収支!$O:$O,物件収支!$A:$A,$A969,物件収支!$C:$C,$M969))</f>
        <v>0</v>
      </c>
      <c r="R969" s="1" t="str">
        <f aca="false">IF($A969="","",IF(P969=0,"",O969-P969))</f>
        <v/>
      </c>
      <c r="S969" s="1" t="str">
        <f aca="false">IF($A969="","",IF(R969="","",R969+Q969))</f>
        <v/>
      </c>
      <c r="T969" s="1" t="str">
        <f aca="false">IF($A969="","",IF(OR(S969="",N969&lt;=0),"",S969/1000*12/N969))</f>
        <v/>
      </c>
      <c r="U969" s="1" t="str">
        <f aca="false">IF($A969="","",IF(OR(T969="",J969=0,J969=""),"",T969/J969))</f>
        <v/>
      </c>
      <c r="V969" s="1" t="str">
        <f aca="false">IF($A969="","",IF(OR(R969="",N969&lt;=0,J969=0,J969=""),"",(R969/1000*12/N969)/J969))</f>
        <v/>
      </c>
      <c r="W969" s="1" t="str">
        <f aca="false">IF($A969="","",IF(OR(T969="",K969=0,K969=""),"",T969/K969))</f>
        <v/>
      </c>
      <c r="X969" s="1" t="str">
        <f aca="false">IF($A969="","",IF(OR(N969&lt;=0,I969=0,I969="",O969=0),"",O969*1000/(I969*0.3025)/N969))</f>
        <v/>
      </c>
      <c r="Y969" s="1" t="str">
        <f aca="false">IF($A969="","",IF(OR(O969=0,O969="",P969=0),"",P969/O969))</f>
        <v/>
      </c>
      <c r="Z969" s="1" t="str">
        <f aca="false">IF($A969="","",IFERROR(INDEX(物件収支!$E:$E,MATCH($A969,物件収支!$A:$A,0)),""))</f>
        <v>非開示</v>
      </c>
    </row>
    <row r="970" customFormat="false" ht="15" hidden="false" customHeight="true" outlineLevel="0" collapsed="false">
      <c r="A970" s="1" t="str">
        <f aca="false">IF(物件マスタ!A970="","",物件マスタ!A970)</f>
        <v>KDX-229</v>
      </c>
      <c r="B970" s="1" t="str">
        <f aca="false">IF($A970="","",物件マスタ!B970)</f>
        <v>KDX</v>
      </c>
      <c r="C970" s="1" t="str">
        <f aca="false">IF($A970="","",IFERROR(INDEX(法人マスタ!$C:$C,MATCH($B970,法人マスタ!$A:$A,0)),""))</f>
        <v>ＫＤＸ不動産投資法人</v>
      </c>
      <c r="D970" s="1" t="str">
        <f aca="false">IF($A970="","",物件マスタ!C970)</f>
        <v>ウニクス吉川</v>
      </c>
      <c r="E970" s="1" t="str">
        <f aca="false">IF($A970="","",物件マスタ!H970)</f>
        <v>東京経済圏（KDX区分）</v>
      </c>
      <c r="F970" s="1" t="n">
        <f aca="false">IF($A970="","",物件マスタ!P970)</f>
        <v>0</v>
      </c>
      <c r="G970" s="1" t="str">
        <f aca="false">IF($A970="","",物件マスタ!Q970)</f>
        <v/>
      </c>
      <c r="H970" s="1" t="n">
        <f aca="false">IF($A970="","",物件マスタ!L970)</f>
        <v>0</v>
      </c>
      <c r="I970" s="1" t="n">
        <f aca="false">IF($A970="","",物件マスタ!M970)</f>
        <v>10648.27</v>
      </c>
      <c r="J970" s="1" t="n">
        <f aca="false">IF($A970="","",物件マスタ!S970)</f>
        <v>3930</v>
      </c>
      <c r="K970" s="1" t="n">
        <f aca="false">IF($A970="","",物件マスタ!U970)</f>
        <v>3960</v>
      </c>
      <c r="L970" s="1" t="n">
        <f aca="false">IF($A970="","",物件マスタ!W970)</f>
        <v>1</v>
      </c>
      <c r="M970" s="1" t="str">
        <f aca="false">IF($A970="","",IFERROR(INDEX(法人マスタ!$H:$H,MATCH($B970,法人マスタ!$A:$A,0)),""))</f>
        <v>2026年4月期（第42期）</v>
      </c>
      <c r="N970" s="1" t="n">
        <f aca="false">IF($A970="","",SUMIFS(物件収支!$D:$D,物件収支!$A:$A,$A970,物件収支!$C:$C,$M970))</f>
        <v>6</v>
      </c>
      <c r="O970" s="1" t="n">
        <f aca="false">IF($A970="","",SUMIFS(物件収支!$F:$F,物件収支!$A:$A,$A970,物件収支!$C:$C,$M970))</f>
        <v>134000</v>
      </c>
      <c r="P970" s="1" t="n">
        <f aca="false">IF($A970="","",SUMIFS(物件収支!$I:$I,物件収支!$A:$A,$A970,物件収支!$C:$C,$M970))</f>
        <v>0</v>
      </c>
      <c r="Q970" s="1" t="n">
        <f aca="false">IF($A970="","",SUMIFS(物件収支!$O:$O,物件収支!$A:$A,$A970,物件収支!$C:$C,$M970))</f>
        <v>0</v>
      </c>
      <c r="R970" s="1" t="str">
        <f aca="false">IF($A970="","",IF(P970=0,"",O970-P970))</f>
        <v/>
      </c>
      <c r="S970" s="1" t="str">
        <f aca="false">IF($A970="","",IF(R970="","",R970+Q970))</f>
        <v/>
      </c>
      <c r="T970" s="1" t="str">
        <f aca="false">IF($A970="","",IF(OR(S970="",N970&lt;=0),"",S970/1000*12/N970))</f>
        <v/>
      </c>
      <c r="U970" s="1" t="str">
        <f aca="false">IF($A970="","",IF(OR(T970="",J970=0,J970=""),"",T970/J970))</f>
        <v/>
      </c>
      <c r="V970" s="1" t="str">
        <f aca="false">IF($A970="","",IF(OR(R970="",N970&lt;=0,J970=0,J970=""),"",(R970/1000*12/N970)/J970))</f>
        <v/>
      </c>
      <c r="W970" s="1" t="str">
        <f aca="false">IF($A970="","",IF(OR(T970="",K970=0,K970=""),"",T970/K970))</f>
        <v/>
      </c>
      <c r="X970" s="1" t="n">
        <f aca="false">IF($A970="","",IF(OR(N970&lt;=0,I970=0,I970="",O970=0),"",O970*1000/(I970*0.3025)/N970))</f>
        <v>6933.44563031632</v>
      </c>
      <c r="Y970" s="1" t="str">
        <f aca="false">IF($A970="","",IF(OR(O970=0,O970="",P970=0),"",P970/O970))</f>
        <v/>
      </c>
      <c r="Z970" s="1" t="str">
        <f aca="false">IF($A970="","",IFERROR(INDEX(物件収支!$E:$E,MATCH($A970,物件収支!$A:$A,0)),""))</f>
        <v>開示（物件別・収益のみ・百万円単位）</v>
      </c>
    </row>
    <row r="971" customFormat="false" ht="15" hidden="false" customHeight="true" outlineLevel="0" collapsed="false">
      <c r="A971" s="1" t="str">
        <f aca="false">IF(物件マスタ!A971="","",物件マスタ!A971)</f>
        <v>KDX-230</v>
      </c>
      <c r="B971" s="1" t="str">
        <f aca="false">IF($A971="","",物件マスタ!B971)</f>
        <v>KDX</v>
      </c>
      <c r="C971" s="1" t="str">
        <f aca="false">IF($A971="","",IFERROR(INDEX(法人マスタ!$C:$C,MATCH($B971,法人マスタ!$A:$A,0)),""))</f>
        <v>ＫＤＸ不動産投資法人</v>
      </c>
      <c r="D971" s="1" t="str">
        <f aca="false">IF($A971="","",物件マスタ!C971)</f>
        <v>スポーツクラブルネサンス富士見台</v>
      </c>
      <c r="E971" s="1" t="str">
        <f aca="false">IF($A971="","",物件マスタ!H971)</f>
        <v>東京経済圏（KDX区分）</v>
      </c>
      <c r="F971" s="1" t="n">
        <f aca="false">IF($A971="","",物件マスタ!P971)</f>
        <v>0</v>
      </c>
      <c r="G971" s="1" t="str">
        <f aca="false">IF($A971="","",物件マスタ!Q971)</f>
        <v/>
      </c>
      <c r="H971" s="1" t="n">
        <f aca="false">IF($A971="","",物件マスタ!L971)</f>
        <v>0</v>
      </c>
      <c r="I971" s="1" t="n">
        <f aca="false">IF($A971="","",物件マスタ!M971)</f>
        <v>3120.87</v>
      </c>
      <c r="J971" s="1" t="n">
        <f aca="false">IF($A971="","",物件マスタ!S971)</f>
        <v>2700</v>
      </c>
      <c r="K971" s="1" t="n">
        <f aca="false">IF($A971="","",物件マスタ!U971)</f>
        <v>2830</v>
      </c>
      <c r="L971" s="1" t="n">
        <f aca="false">IF($A971="","",物件マスタ!W971)</f>
        <v>1</v>
      </c>
      <c r="M971" s="1" t="str">
        <f aca="false">IF($A971="","",IFERROR(INDEX(法人マスタ!$H:$H,MATCH($B971,法人マスタ!$A:$A,0)),""))</f>
        <v>2026年4月期（第42期）</v>
      </c>
      <c r="N971" s="1" t="n">
        <f aca="false">IF($A971="","",SUMIFS(物件収支!$D:$D,物件収支!$A:$A,$A971,物件収支!$C:$C,$M971))</f>
        <v>6</v>
      </c>
      <c r="O971" s="1" t="n">
        <f aca="false">IF($A971="","",SUMIFS(物件収支!$F:$F,物件収支!$A:$A,$A971,物件収支!$C:$C,$M971))</f>
        <v>0</v>
      </c>
      <c r="P971" s="1" t="n">
        <f aca="false">IF($A971="","",SUMIFS(物件収支!$I:$I,物件収支!$A:$A,$A971,物件収支!$C:$C,$M971))</f>
        <v>0</v>
      </c>
      <c r="Q971" s="1" t="n">
        <f aca="false">IF($A971="","",SUMIFS(物件収支!$O:$O,物件収支!$A:$A,$A971,物件収支!$C:$C,$M971))</f>
        <v>0</v>
      </c>
      <c r="R971" s="1" t="str">
        <f aca="false">IF($A971="","",IF(P971=0,"",O971-P971))</f>
        <v/>
      </c>
      <c r="S971" s="1" t="str">
        <f aca="false">IF($A971="","",IF(R971="","",R971+Q971))</f>
        <v/>
      </c>
      <c r="T971" s="1" t="str">
        <f aca="false">IF($A971="","",IF(OR(S971="",N971&lt;=0),"",S971/1000*12/N971))</f>
        <v/>
      </c>
      <c r="U971" s="1" t="str">
        <f aca="false">IF($A971="","",IF(OR(T971="",J971=0,J971=""),"",T971/J971))</f>
        <v/>
      </c>
      <c r="V971" s="1" t="str">
        <f aca="false">IF($A971="","",IF(OR(R971="",N971&lt;=0,J971=0,J971=""),"",(R971/1000*12/N971)/J971))</f>
        <v/>
      </c>
      <c r="W971" s="1" t="str">
        <f aca="false">IF($A971="","",IF(OR(T971="",K971=0,K971=""),"",T971/K971))</f>
        <v/>
      </c>
      <c r="X971" s="1" t="str">
        <f aca="false">IF($A971="","",IF(OR(N971&lt;=0,I971=0,I971="",O971=0),"",O971*1000/(I971*0.3025)/N971))</f>
        <v/>
      </c>
      <c r="Y971" s="1" t="str">
        <f aca="false">IF($A971="","",IF(OR(O971=0,O971="",P971=0),"",P971/O971))</f>
        <v/>
      </c>
      <c r="Z971" s="1" t="str">
        <f aca="false">IF($A971="","",IFERROR(INDEX(物件収支!$E:$E,MATCH($A971,物件収支!$A:$A,0)),""))</f>
        <v>非開示</v>
      </c>
    </row>
    <row r="972" customFormat="false" ht="15" hidden="false" customHeight="true" outlineLevel="0" collapsed="false">
      <c r="A972" s="1" t="str">
        <f aca="false">IF(物件マスタ!A972="","",物件マスタ!A972)</f>
        <v>KDX-231</v>
      </c>
      <c r="B972" s="1" t="str">
        <f aca="false">IF($A972="","",物件マスタ!B972)</f>
        <v>KDX</v>
      </c>
      <c r="C972" s="1" t="str">
        <f aca="false">IF($A972="","",IFERROR(INDEX(法人マスタ!$C:$C,MATCH($B972,法人マスタ!$A:$A,0)),""))</f>
        <v>ＫＤＸ不動産投資法人</v>
      </c>
      <c r="D972" s="1" t="str">
        <f aca="false">IF($A972="","",物件マスタ!C972)</f>
        <v>スーパービバホーム岩槻店(底地)</v>
      </c>
      <c r="E972" s="1" t="str">
        <f aca="false">IF($A972="","",物件マスタ!H972)</f>
        <v>東京経済圏（KDX区分）</v>
      </c>
      <c r="F972" s="1" t="n">
        <f aca="false">IF($A972="","",物件マスタ!P972)</f>
        <v>0</v>
      </c>
      <c r="G972" s="1" t="str">
        <f aca="false">IF($A972="","",物件マスタ!Q972)</f>
        <v/>
      </c>
      <c r="H972" s="1" t="n">
        <f aca="false">IF($A972="","",物件マスタ!L972)</f>
        <v>0</v>
      </c>
      <c r="I972" s="1" t="n">
        <f aca="false">IF($A972="","",物件マスタ!M972)</f>
        <v>67325.95</v>
      </c>
      <c r="J972" s="1" t="n">
        <f aca="false">IF($A972="","",物件マスタ!S972)</f>
        <v>5930</v>
      </c>
      <c r="K972" s="1" t="n">
        <f aca="false">IF($A972="","",物件マスタ!U972)</f>
        <v>6150</v>
      </c>
      <c r="L972" s="1" t="n">
        <f aca="false">IF($A972="","",物件マスタ!W972)</f>
        <v>1</v>
      </c>
      <c r="M972" s="1" t="str">
        <f aca="false">IF($A972="","",IFERROR(INDEX(法人マスタ!$H:$H,MATCH($B972,法人マスタ!$A:$A,0)),""))</f>
        <v>2026年4月期（第42期）</v>
      </c>
      <c r="N972" s="1" t="n">
        <f aca="false">IF($A972="","",SUMIFS(物件収支!$D:$D,物件収支!$A:$A,$A972,物件収支!$C:$C,$M972))</f>
        <v>6</v>
      </c>
      <c r="O972" s="1" t="n">
        <f aca="false">IF($A972="","",SUMIFS(物件収支!$F:$F,物件収支!$A:$A,$A972,物件収支!$C:$C,$M972))</f>
        <v>0</v>
      </c>
      <c r="P972" s="1" t="n">
        <f aca="false">IF($A972="","",SUMIFS(物件収支!$I:$I,物件収支!$A:$A,$A972,物件収支!$C:$C,$M972))</f>
        <v>0</v>
      </c>
      <c r="Q972" s="1" t="n">
        <f aca="false">IF($A972="","",SUMIFS(物件収支!$O:$O,物件収支!$A:$A,$A972,物件収支!$C:$C,$M972))</f>
        <v>0</v>
      </c>
      <c r="R972" s="1" t="str">
        <f aca="false">IF($A972="","",IF(P972=0,"",O972-P972))</f>
        <v/>
      </c>
      <c r="S972" s="1" t="str">
        <f aca="false">IF($A972="","",IF(R972="","",R972+Q972))</f>
        <v/>
      </c>
      <c r="T972" s="1" t="str">
        <f aca="false">IF($A972="","",IF(OR(S972="",N972&lt;=0),"",S972/1000*12/N972))</f>
        <v/>
      </c>
      <c r="U972" s="1" t="str">
        <f aca="false">IF($A972="","",IF(OR(T972="",J972=0,J972=""),"",T972/J972))</f>
        <v/>
      </c>
      <c r="V972" s="1" t="str">
        <f aca="false">IF($A972="","",IF(OR(R972="",N972&lt;=0,J972=0,J972=""),"",(R972/1000*12/N972)/J972))</f>
        <v/>
      </c>
      <c r="W972" s="1" t="str">
        <f aca="false">IF($A972="","",IF(OR(T972="",K972=0,K972=""),"",T972/K972))</f>
        <v/>
      </c>
      <c r="X972" s="1" t="str">
        <f aca="false">IF($A972="","",IF(OR(N972&lt;=0,I972=0,I972="",O972=0),"",O972*1000/(I972*0.3025)/N972))</f>
        <v/>
      </c>
      <c r="Y972" s="1" t="str">
        <f aca="false">IF($A972="","",IF(OR(O972=0,O972="",P972=0),"",P972/O972))</f>
        <v/>
      </c>
      <c r="Z972" s="1" t="str">
        <f aca="false">IF($A972="","",IFERROR(INDEX(物件収支!$E:$E,MATCH($A972,物件収支!$A:$A,0)),""))</f>
        <v>非開示</v>
      </c>
    </row>
    <row r="973" customFormat="false" ht="15" hidden="false" customHeight="true" outlineLevel="0" collapsed="false">
      <c r="A973" s="1" t="str">
        <f aca="false">IF(物件マスタ!A973="","",物件マスタ!A973)</f>
        <v>KDX-232</v>
      </c>
      <c r="B973" s="1" t="str">
        <f aca="false">IF($A973="","",物件マスタ!B973)</f>
        <v>KDX</v>
      </c>
      <c r="C973" s="1" t="str">
        <f aca="false">IF($A973="","",IFERROR(INDEX(法人マスタ!$C:$C,MATCH($B973,法人マスタ!$A:$A,0)),""))</f>
        <v>ＫＤＸ不動産投資法人</v>
      </c>
      <c r="D973" s="1" t="str">
        <f aca="false">IF($A973="","",物件マスタ!C973)</f>
        <v>ウニクス上里(底地)</v>
      </c>
      <c r="E973" s="1" t="str">
        <f aca="false">IF($A973="","",物件マスタ!H973)</f>
        <v>東京経済圏（KDX区分）</v>
      </c>
      <c r="F973" s="1" t="n">
        <f aca="false">IF($A973="","",物件マスタ!P973)</f>
        <v>0</v>
      </c>
      <c r="G973" s="1" t="str">
        <f aca="false">IF($A973="","",物件マスタ!Q973)</f>
        <v/>
      </c>
      <c r="H973" s="1" t="n">
        <f aca="false">IF($A973="","",物件マスタ!L973)</f>
        <v>0</v>
      </c>
      <c r="I973" s="1" t="n">
        <f aca="false">IF($A973="","",物件マスタ!M973)</f>
        <v>67854.47</v>
      </c>
      <c r="J973" s="1" t="n">
        <f aca="false">IF($A973="","",物件マスタ!S973)</f>
        <v>3110</v>
      </c>
      <c r="K973" s="1" t="n">
        <f aca="false">IF($A973="","",物件マスタ!U973)</f>
        <v>3120</v>
      </c>
      <c r="L973" s="1" t="n">
        <f aca="false">IF($A973="","",物件マスタ!W973)</f>
        <v>1</v>
      </c>
      <c r="M973" s="1" t="str">
        <f aca="false">IF($A973="","",IFERROR(INDEX(法人マスタ!$H:$H,MATCH($B973,法人マスタ!$A:$A,0)),""))</f>
        <v>2026年4月期（第42期）</v>
      </c>
      <c r="N973" s="1" t="n">
        <f aca="false">IF($A973="","",SUMIFS(物件収支!$D:$D,物件収支!$A:$A,$A973,物件収支!$C:$C,$M973))</f>
        <v>6</v>
      </c>
      <c r="O973" s="1" t="n">
        <f aca="false">IF($A973="","",SUMIFS(物件収支!$F:$F,物件収支!$A:$A,$A973,物件収支!$C:$C,$M973))</f>
        <v>75000</v>
      </c>
      <c r="P973" s="1" t="n">
        <f aca="false">IF($A973="","",SUMIFS(物件収支!$I:$I,物件収支!$A:$A,$A973,物件収支!$C:$C,$M973))</f>
        <v>0</v>
      </c>
      <c r="Q973" s="1" t="n">
        <f aca="false">IF($A973="","",SUMIFS(物件収支!$O:$O,物件収支!$A:$A,$A973,物件収支!$C:$C,$M973))</f>
        <v>0</v>
      </c>
      <c r="R973" s="1" t="str">
        <f aca="false">IF($A973="","",IF(P973=0,"",O973-P973))</f>
        <v/>
      </c>
      <c r="S973" s="1" t="str">
        <f aca="false">IF($A973="","",IF(R973="","",R973+Q973))</f>
        <v/>
      </c>
      <c r="T973" s="1" t="str">
        <f aca="false">IF($A973="","",IF(OR(S973="",N973&lt;=0),"",S973/1000*12/N973))</f>
        <v/>
      </c>
      <c r="U973" s="1" t="str">
        <f aca="false">IF($A973="","",IF(OR(T973="",J973=0,J973=""),"",T973/J973))</f>
        <v/>
      </c>
      <c r="V973" s="1" t="str">
        <f aca="false">IF($A973="","",IF(OR(R973="",N973&lt;=0,J973=0,J973=""),"",(R973/1000*12/N973)/J973))</f>
        <v/>
      </c>
      <c r="W973" s="1" t="str">
        <f aca="false">IF($A973="","",IF(OR(T973="",K973=0,K973=""),"",T973/K973))</f>
        <v/>
      </c>
      <c r="X973" s="1" t="n">
        <f aca="false">IF($A973="","",IF(OR(N973&lt;=0,I973=0,I973="",O973=0),"",O973*1000/(I973*0.3025)/N973))</f>
        <v>608.984405148059</v>
      </c>
      <c r="Y973" s="1" t="str">
        <f aca="false">IF($A973="","",IF(OR(O973=0,O973="",P973=0),"",P973/O973))</f>
        <v/>
      </c>
      <c r="Z973" s="1" t="str">
        <f aca="false">IF($A973="","",IFERROR(INDEX(物件収支!$E:$E,MATCH($A973,物件収支!$A:$A,0)),""))</f>
        <v>開示（物件別・収益のみ・百万円単位）</v>
      </c>
    </row>
    <row r="974" customFormat="false" ht="15" hidden="false" customHeight="true" outlineLevel="0" collapsed="false">
      <c r="A974" s="1" t="str">
        <f aca="false">IF(物件マスタ!A974="","",物件マスタ!A974)</f>
        <v>KDX-233</v>
      </c>
      <c r="B974" s="1" t="str">
        <f aca="false">IF($A974="","",物件マスタ!B974)</f>
        <v>KDX</v>
      </c>
      <c r="C974" s="1" t="str">
        <f aca="false">IF($A974="","",IFERROR(INDEX(法人マスタ!$C:$C,MATCH($B974,法人マスタ!$A:$A,0)),""))</f>
        <v>ＫＤＸ不動産投資法人</v>
      </c>
      <c r="D974" s="1" t="str">
        <f aca="false">IF($A974="","",物件マスタ!C974)</f>
        <v>ウニクス鴻巣(底地)</v>
      </c>
      <c r="E974" s="1" t="str">
        <f aca="false">IF($A974="","",物件マスタ!H974)</f>
        <v>東京経済圏（KDX区分）</v>
      </c>
      <c r="F974" s="1" t="n">
        <f aca="false">IF($A974="","",物件マスタ!P974)</f>
        <v>0</v>
      </c>
      <c r="G974" s="1" t="str">
        <f aca="false">IF($A974="","",物件マスタ!Q974)</f>
        <v/>
      </c>
      <c r="H974" s="1" t="n">
        <f aca="false">IF($A974="","",物件マスタ!L974)</f>
        <v>0</v>
      </c>
      <c r="I974" s="1" t="n">
        <f aca="false">IF($A974="","",物件マスタ!M974)</f>
        <v>19329</v>
      </c>
      <c r="J974" s="1" t="n">
        <f aca="false">IF($A974="","",物件マスタ!S974)</f>
        <v>1850</v>
      </c>
      <c r="K974" s="1" t="n">
        <f aca="false">IF($A974="","",物件マスタ!U974)</f>
        <v>1850</v>
      </c>
      <c r="L974" s="1" t="n">
        <f aca="false">IF($A974="","",物件マスタ!W974)</f>
        <v>1</v>
      </c>
      <c r="M974" s="1" t="str">
        <f aca="false">IF($A974="","",IFERROR(INDEX(法人マスタ!$H:$H,MATCH($B974,法人マスタ!$A:$A,0)),""))</f>
        <v>2026年4月期（第42期）</v>
      </c>
      <c r="N974" s="1" t="n">
        <f aca="false">IF($A974="","",SUMIFS(物件収支!$D:$D,物件収支!$A:$A,$A974,物件収支!$C:$C,$M974))</f>
        <v>6</v>
      </c>
      <c r="O974" s="1" t="n">
        <f aca="false">IF($A974="","",SUMIFS(物件収支!$F:$F,物件収支!$A:$A,$A974,物件収支!$C:$C,$M974))</f>
        <v>43000</v>
      </c>
      <c r="P974" s="1" t="n">
        <f aca="false">IF($A974="","",SUMIFS(物件収支!$I:$I,物件収支!$A:$A,$A974,物件収支!$C:$C,$M974))</f>
        <v>0</v>
      </c>
      <c r="Q974" s="1" t="n">
        <f aca="false">IF($A974="","",SUMIFS(物件収支!$O:$O,物件収支!$A:$A,$A974,物件収支!$C:$C,$M974))</f>
        <v>0</v>
      </c>
      <c r="R974" s="1" t="str">
        <f aca="false">IF($A974="","",IF(P974=0,"",O974-P974))</f>
        <v/>
      </c>
      <c r="S974" s="1" t="str">
        <f aca="false">IF($A974="","",IF(R974="","",R974+Q974))</f>
        <v/>
      </c>
      <c r="T974" s="1" t="str">
        <f aca="false">IF($A974="","",IF(OR(S974="",N974&lt;=0),"",S974/1000*12/N974))</f>
        <v/>
      </c>
      <c r="U974" s="1" t="str">
        <f aca="false">IF($A974="","",IF(OR(T974="",J974=0,J974=""),"",T974/J974))</f>
        <v/>
      </c>
      <c r="V974" s="1" t="str">
        <f aca="false">IF($A974="","",IF(OR(R974="",N974&lt;=0,J974=0,J974=""),"",(R974/1000*12/N974)/J974))</f>
        <v/>
      </c>
      <c r="W974" s="1" t="str">
        <f aca="false">IF($A974="","",IF(OR(T974="",K974=0,K974=""),"",T974/K974))</f>
        <v/>
      </c>
      <c r="X974" s="1" t="n">
        <f aca="false">IF($A974="","",IF(OR(N974&lt;=0,I974=0,I974="",O974=0),"",O974*1000/(I974*0.3025)/N974))</f>
        <v>1225.69507243502</v>
      </c>
      <c r="Y974" s="1" t="str">
        <f aca="false">IF($A974="","",IF(OR(O974=0,O974="",P974=0),"",P974/O974))</f>
        <v/>
      </c>
      <c r="Z974" s="1" t="str">
        <f aca="false">IF($A974="","",IFERROR(INDEX(物件収支!$E:$E,MATCH($A974,物件収支!$A:$A,0)),""))</f>
        <v>開示（物件別・収益のみ・百万円単位）</v>
      </c>
    </row>
    <row r="975" customFormat="false" ht="15" hidden="false" customHeight="true" outlineLevel="0" collapsed="false">
      <c r="A975" s="1" t="str">
        <f aca="false">IF(物件マスタ!A975="","",物件マスタ!A975)</f>
        <v>KDX-234</v>
      </c>
      <c r="B975" s="1" t="str">
        <f aca="false">IF($A975="","",物件マスタ!B975)</f>
        <v>KDX</v>
      </c>
      <c r="C975" s="1" t="str">
        <f aca="false">IF($A975="","",IFERROR(INDEX(法人マスタ!$C:$C,MATCH($B975,法人マスタ!$A:$A,0)),""))</f>
        <v>ＫＤＸ不動産投資法人</v>
      </c>
      <c r="D975" s="1" t="str">
        <f aca="false">IF($A975="","",物件マスタ!C975)</f>
        <v>いなげや横浜南本宿店(底地)</v>
      </c>
      <c r="E975" s="1" t="str">
        <f aca="false">IF($A975="","",物件マスタ!H975)</f>
        <v>東京経済圏（KDX区分）</v>
      </c>
      <c r="F975" s="1" t="n">
        <f aca="false">IF($A975="","",物件マスタ!P975)</f>
        <v>0</v>
      </c>
      <c r="G975" s="1" t="str">
        <f aca="false">IF($A975="","",物件マスタ!Q975)</f>
        <v/>
      </c>
      <c r="H975" s="1" t="n">
        <f aca="false">IF($A975="","",物件マスタ!L975)</f>
        <v>0</v>
      </c>
      <c r="I975" s="1" t="n">
        <f aca="false">IF($A975="","",物件マスタ!M975)</f>
        <v>4405.41</v>
      </c>
      <c r="J975" s="1" t="n">
        <f aca="false">IF($A975="","",物件マスタ!S975)</f>
        <v>1400</v>
      </c>
      <c r="K975" s="1" t="n">
        <f aca="false">IF($A975="","",物件マスタ!U975)</f>
        <v>1400</v>
      </c>
      <c r="L975" s="1" t="n">
        <f aca="false">IF($A975="","",物件マスタ!W975)</f>
        <v>1</v>
      </c>
      <c r="M975" s="1" t="str">
        <f aca="false">IF($A975="","",IFERROR(INDEX(法人マスタ!$H:$H,MATCH($B975,法人マスタ!$A:$A,0)),""))</f>
        <v>2026年4月期（第42期）</v>
      </c>
      <c r="N975" s="1" t="n">
        <f aca="false">IF($A975="","",SUMIFS(物件収支!$D:$D,物件収支!$A:$A,$A975,物件収支!$C:$C,$M975))</f>
        <v>6</v>
      </c>
      <c r="O975" s="1" t="n">
        <f aca="false">IF($A975="","",SUMIFS(物件収支!$F:$F,物件収支!$A:$A,$A975,物件収支!$C:$C,$M975))</f>
        <v>0</v>
      </c>
      <c r="P975" s="1" t="n">
        <f aca="false">IF($A975="","",SUMIFS(物件収支!$I:$I,物件収支!$A:$A,$A975,物件収支!$C:$C,$M975))</f>
        <v>0</v>
      </c>
      <c r="Q975" s="1" t="n">
        <f aca="false">IF($A975="","",SUMIFS(物件収支!$O:$O,物件収支!$A:$A,$A975,物件収支!$C:$C,$M975))</f>
        <v>0</v>
      </c>
      <c r="R975" s="1" t="str">
        <f aca="false">IF($A975="","",IF(P975=0,"",O975-P975))</f>
        <v/>
      </c>
      <c r="S975" s="1" t="str">
        <f aca="false">IF($A975="","",IF(R975="","",R975+Q975))</f>
        <v/>
      </c>
      <c r="T975" s="1" t="str">
        <f aca="false">IF($A975="","",IF(OR(S975="",N975&lt;=0),"",S975/1000*12/N975))</f>
        <v/>
      </c>
      <c r="U975" s="1" t="str">
        <f aca="false">IF($A975="","",IF(OR(T975="",J975=0,J975=""),"",T975/J975))</f>
        <v/>
      </c>
      <c r="V975" s="1" t="str">
        <f aca="false">IF($A975="","",IF(OR(R975="",N975&lt;=0,J975=0,J975=""),"",(R975/1000*12/N975)/J975))</f>
        <v/>
      </c>
      <c r="W975" s="1" t="str">
        <f aca="false">IF($A975="","",IF(OR(T975="",K975=0,K975=""),"",T975/K975))</f>
        <v/>
      </c>
      <c r="X975" s="1" t="str">
        <f aca="false">IF($A975="","",IF(OR(N975&lt;=0,I975=0,I975="",O975=0),"",O975*1000/(I975*0.3025)/N975))</f>
        <v/>
      </c>
      <c r="Y975" s="1" t="str">
        <f aca="false">IF($A975="","",IF(OR(O975=0,O975="",P975=0),"",P975/O975))</f>
        <v/>
      </c>
      <c r="Z975" s="1" t="str">
        <f aca="false">IF($A975="","",IFERROR(INDEX(物件収支!$E:$E,MATCH($A975,物件収支!$A:$A,0)),""))</f>
        <v>非開示</v>
      </c>
    </row>
    <row r="976" customFormat="false" ht="15" hidden="false" customHeight="true" outlineLevel="0" collapsed="false">
      <c r="A976" s="1" t="str">
        <f aca="false">IF(物件マスタ!A976="","",物件マスタ!A976)</f>
        <v>KDX-235</v>
      </c>
      <c r="B976" s="1" t="str">
        <f aca="false">IF($A976="","",物件マスタ!B976)</f>
        <v>KDX</v>
      </c>
      <c r="C976" s="1" t="str">
        <f aca="false">IF($A976="","",IFERROR(INDEX(法人マスタ!$C:$C,MATCH($B976,法人マスタ!$A:$A,0)),""))</f>
        <v>ＫＤＸ不動産投資法人</v>
      </c>
      <c r="D976" s="1" t="str">
        <f aca="false">IF($A976="","",物件マスタ!C976)</f>
        <v>セントラルウェルネスクラブ長津田みなみ台</v>
      </c>
      <c r="E976" s="1" t="str">
        <f aca="false">IF($A976="","",物件マスタ!H976)</f>
        <v>東京経済圏（KDX区分）</v>
      </c>
      <c r="F976" s="1" t="n">
        <f aca="false">IF($A976="","",物件マスタ!P976)</f>
        <v>0</v>
      </c>
      <c r="G976" s="1" t="str">
        <f aca="false">IF($A976="","",物件マスタ!Q976)</f>
        <v/>
      </c>
      <c r="H976" s="1" t="n">
        <f aca="false">IF($A976="","",物件マスタ!L976)</f>
        <v>0</v>
      </c>
      <c r="I976" s="1" t="n">
        <f aca="false">IF($A976="","",物件マスタ!M976)</f>
        <v>3996.68</v>
      </c>
      <c r="J976" s="1" t="n">
        <f aca="false">IF($A976="","",物件マスタ!S976)</f>
        <v>1750</v>
      </c>
      <c r="K976" s="1" t="n">
        <f aca="false">IF($A976="","",物件マスタ!U976)</f>
        <v>1760</v>
      </c>
      <c r="L976" s="1" t="n">
        <f aca="false">IF($A976="","",物件マスタ!W976)</f>
        <v>1</v>
      </c>
      <c r="M976" s="1" t="str">
        <f aca="false">IF($A976="","",IFERROR(INDEX(法人マスタ!$H:$H,MATCH($B976,法人マスタ!$A:$A,0)),""))</f>
        <v>2026年4月期（第42期）</v>
      </c>
      <c r="N976" s="1" t="n">
        <f aca="false">IF($A976="","",SUMIFS(物件収支!$D:$D,物件収支!$A:$A,$A976,物件収支!$C:$C,$M976))</f>
        <v>6</v>
      </c>
      <c r="O976" s="1" t="n">
        <f aca="false">IF($A976="","",SUMIFS(物件収支!$F:$F,物件収支!$A:$A,$A976,物件収支!$C:$C,$M976))</f>
        <v>0</v>
      </c>
      <c r="P976" s="1" t="n">
        <f aca="false">IF($A976="","",SUMIFS(物件収支!$I:$I,物件収支!$A:$A,$A976,物件収支!$C:$C,$M976))</f>
        <v>0</v>
      </c>
      <c r="Q976" s="1" t="n">
        <f aca="false">IF($A976="","",SUMIFS(物件収支!$O:$O,物件収支!$A:$A,$A976,物件収支!$C:$C,$M976))</f>
        <v>0</v>
      </c>
      <c r="R976" s="1" t="str">
        <f aca="false">IF($A976="","",IF(P976=0,"",O976-P976))</f>
        <v/>
      </c>
      <c r="S976" s="1" t="str">
        <f aca="false">IF($A976="","",IF(R976="","",R976+Q976))</f>
        <v/>
      </c>
      <c r="T976" s="1" t="str">
        <f aca="false">IF($A976="","",IF(OR(S976="",N976&lt;=0),"",S976/1000*12/N976))</f>
        <v/>
      </c>
      <c r="U976" s="1" t="str">
        <f aca="false">IF($A976="","",IF(OR(T976="",J976=0,J976=""),"",T976/J976))</f>
        <v/>
      </c>
      <c r="V976" s="1" t="str">
        <f aca="false">IF($A976="","",IF(OR(R976="",N976&lt;=0,J976=0,J976=""),"",(R976/1000*12/N976)/J976))</f>
        <v/>
      </c>
      <c r="W976" s="1" t="str">
        <f aca="false">IF($A976="","",IF(OR(T976="",K976=0,K976=""),"",T976/K976))</f>
        <v/>
      </c>
      <c r="X976" s="1" t="str">
        <f aca="false">IF($A976="","",IF(OR(N976&lt;=0,I976=0,I976="",O976=0),"",O976*1000/(I976*0.3025)/N976))</f>
        <v/>
      </c>
      <c r="Y976" s="1" t="str">
        <f aca="false">IF($A976="","",IF(OR(O976=0,O976="",P976=0),"",P976/O976))</f>
        <v/>
      </c>
      <c r="Z976" s="1" t="str">
        <f aca="false">IF($A976="","",IFERROR(INDEX(物件収支!$E:$E,MATCH($A976,物件収支!$A:$A,0)),""))</f>
        <v>非開示</v>
      </c>
    </row>
    <row r="977" customFormat="false" ht="15" hidden="false" customHeight="true" outlineLevel="0" collapsed="false">
      <c r="A977" s="1" t="str">
        <f aca="false">IF(物件マスタ!A977="","",物件マスタ!A977)</f>
        <v>KDX-236</v>
      </c>
      <c r="B977" s="1" t="str">
        <f aca="false">IF($A977="","",物件マスタ!B977)</f>
        <v>KDX</v>
      </c>
      <c r="C977" s="1" t="str">
        <f aca="false">IF($A977="","",IFERROR(INDEX(法人マスタ!$C:$C,MATCH($B977,法人マスタ!$A:$A,0)),""))</f>
        <v>ＫＤＸ不動産投資法人</v>
      </c>
      <c r="D977" s="1" t="str">
        <f aca="false">IF($A977="","",物件マスタ!C977)</f>
        <v>仲町台東急ストア</v>
      </c>
      <c r="E977" s="1" t="str">
        <f aca="false">IF($A977="","",物件マスタ!H977)</f>
        <v>東京経済圏（KDX区分）</v>
      </c>
      <c r="F977" s="1" t="n">
        <f aca="false">IF($A977="","",物件マスタ!P977)</f>
        <v>0</v>
      </c>
      <c r="G977" s="1" t="str">
        <f aca="false">IF($A977="","",物件マスタ!Q977)</f>
        <v/>
      </c>
      <c r="H977" s="1" t="n">
        <f aca="false">IF($A977="","",物件マスタ!L977)</f>
        <v>0</v>
      </c>
      <c r="I977" s="1" t="n">
        <f aca="false">IF($A977="","",物件マスタ!M977)</f>
        <v>5968.71</v>
      </c>
      <c r="J977" s="1" t="n">
        <f aca="false">IF($A977="","",物件マスタ!S977)</f>
        <v>3740</v>
      </c>
      <c r="K977" s="1" t="n">
        <f aca="false">IF($A977="","",物件マスタ!U977)</f>
        <v>3800</v>
      </c>
      <c r="L977" s="1" t="n">
        <f aca="false">IF($A977="","",物件マスタ!W977)</f>
        <v>1</v>
      </c>
      <c r="M977" s="1" t="str">
        <f aca="false">IF($A977="","",IFERROR(INDEX(法人マスタ!$H:$H,MATCH($B977,法人マスタ!$A:$A,0)),""))</f>
        <v>2026年4月期（第42期）</v>
      </c>
      <c r="N977" s="1" t="n">
        <f aca="false">IF($A977="","",SUMIFS(物件収支!$D:$D,物件収支!$A:$A,$A977,物件収支!$C:$C,$M977))</f>
        <v>6</v>
      </c>
      <c r="O977" s="1" t="n">
        <f aca="false">IF($A977="","",SUMIFS(物件収支!$F:$F,物件収支!$A:$A,$A977,物件収支!$C:$C,$M977))</f>
        <v>0</v>
      </c>
      <c r="P977" s="1" t="n">
        <f aca="false">IF($A977="","",SUMIFS(物件収支!$I:$I,物件収支!$A:$A,$A977,物件収支!$C:$C,$M977))</f>
        <v>0</v>
      </c>
      <c r="Q977" s="1" t="n">
        <f aca="false">IF($A977="","",SUMIFS(物件収支!$O:$O,物件収支!$A:$A,$A977,物件収支!$C:$C,$M977))</f>
        <v>0</v>
      </c>
      <c r="R977" s="1" t="str">
        <f aca="false">IF($A977="","",IF(P977=0,"",O977-P977))</f>
        <v/>
      </c>
      <c r="S977" s="1" t="str">
        <f aca="false">IF($A977="","",IF(R977="","",R977+Q977))</f>
        <v/>
      </c>
      <c r="T977" s="1" t="str">
        <f aca="false">IF($A977="","",IF(OR(S977="",N977&lt;=0),"",S977/1000*12/N977))</f>
        <v/>
      </c>
      <c r="U977" s="1" t="str">
        <f aca="false">IF($A977="","",IF(OR(T977="",J977=0,J977=""),"",T977/J977))</f>
        <v/>
      </c>
      <c r="V977" s="1" t="str">
        <f aca="false">IF($A977="","",IF(OR(R977="",N977&lt;=0,J977=0,J977=""),"",(R977/1000*12/N977)/J977))</f>
        <v/>
      </c>
      <c r="W977" s="1" t="str">
        <f aca="false">IF($A977="","",IF(OR(T977="",K977=0,K977=""),"",T977/K977))</f>
        <v/>
      </c>
      <c r="X977" s="1" t="str">
        <f aca="false">IF($A977="","",IF(OR(N977&lt;=0,I977=0,I977="",O977=0),"",O977*1000/(I977*0.3025)/N977))</f>
        <v/>
      </c>
      <c r="Y977" s="1" t="str">
        <f aca="false">IF($A977="","",IF(OR(O977=0,O977="",P977=0),"",P977/O977))</f>
        <v/>
      </c>
      <c r="Z977" s="1" t="str">
        <f aca="false">IF($A977="","",IFERROR(INDEX(物件収支!$E:$E,MATCH($A977,物件収支!$A:$A,0)),""))</f>
        <v>非開示</v>
      </c>
    </row>
    <row r="978" customFormat="false" ht="15" hidden="false" customHeight="true" outlineLevel="0" collapsed="false">
      <c r="A978" s="1" t="str">
        <f aca="false">IF(物件マスタ!A978="","",物件マスタ!A978)</f>
        <v>KDX-237</v>
      </c>
      <c r="B978" s="1" t="str">
        <f aca="false">IF($A978="","",物件マスタ!B978)</f>
        <v>KDX</v>
      </c>
      <c r="C978" s="1" t="str">
        <f aca="false">IF($A978="","",IFERROR(INDEX(法人マスタ!$C:$C,MATCH($B978,法人マスタ!$A:$A,0)),""))</f>
        <v>ＫＤＸ不動産投資法人</v>
      </c>
      <c r="D978" s="1" t="str">
        <f aca="false">IF($A978="","",物件マスタ!C978)</f>
        <v>ライフ亀戸店</v>
      </c>
      <c r="E978" s="1" t="str">
        <f aca="false">IF($A978="","",物件マスタ!H978)</f>
        <v>東京経済圏（KDX区分）</v>
      </c>
      <c r="F978" s="1" t="n">
        <f aca="false">IF($A978="","",物件マスタ!P978)</f>
        <v>0</v>
      </c>
      <c r="G978" s="1" t="str">
        <f aca="false">IF($A978="","",物件マスタ!Q978)</f>
        <v/>
      </c>
      <c r="H978" s="1" t="n">
        <f aca="false">IF($A978="","",物件マスタ!L978)</f>
        <v>0</v>
      </c>
      <c r="I978" s="1" t="n">
        <f aca="false">IF($A978="","",物件マスタ!M978)</f>
        <v>2929.58</v>
      </c>
      <c r="J978" s="1" t="n">
        <f aca="false">IF($A978="","",物件マスタ!S978)</f>
        <v>1480</v>
      </c>
      <c r="K978" s="1" t="n">
        <f aca="false">IF($A978="","",物件マスタ!U978)</f>
        <v>1530</v>
      </c>
      <c r="L978" s="1" t="n">
        <f aca="false">IF($A978="","",物件マスタ!W978)</f>
        <v>1</v>
      </c>
      <c r="M978" s="1" t="str">
        <f aca="false">IF($A978="","",IFERROR(INDEX(法人マスタ!$H:$H,MATCH($B978,法人マスタ!$A:$A,0)),""))</f>
        <v>2026年4月期（第42期）</v>
      </c>
      <c r="N978" s="1" t="n">
        <f aca="false">IF($A978="","",SUMIFS(物件収支!$D:$D,物件収支!$A:$A,$A978,物件収支!$C:$C,$M978))</f>
        <v>6</v>
      </c>
      <c r="O978" s="1" t="n">
        <f aca="false">IF($A978="","",SUMIFS(物件収支!$F:$F,物件収支!$A:$A,$A978,物件収支!$C:$C,$M978))</f>
        <v>0</v>
      </c>
      <c r="P978" s="1" t="n">
        <f aca="false">IF($A978="","",SUMIFS(物件収支!$I:$I,物件収支!$A:$A,$A978,物件収支!$C:$C,$M978))</f>
        <v>0</v>
      </c>
      <c r="Q978" s="1" t="n">
        <f aca="false">IF($A978="","",SUMIFS(物件収支!$O:$O,物件収支!$A:$A,$A978,物件収支!$C:$C,$M978))</f>
        <v>0</v>
      </c>
      <c r="R978" s="1" t="str">
        <f aca="false">IF($A978="","",IF(P978=0,"",O978-P978))</f>
        <v/>
      </c>
      <c r="S978" s="1" t="str">
        <f aca="false">IF($A978="","",IF(R978="","",R978+Q978))</f>
        <v/>
      </c>
      <c r="T978" s="1" t="str">
        <f aca="false">IF($A978="","",IF(OR(S978="",N978&lt;=0),"",S978/1000*12/N978))</f>
        <v/>
      </c>
      <c r="U978" s="1" t="str">
        <f aca="false">IF($A978="","",IF(OR(T978="",J978=0,J978=""),"",T978/J978))</f>
        <v/>
      </c>
      <c r="V978" s="1" t="str">
        <f aca="false">IF($A978="","",IF(OR(R978="",N978&lt;=0,J978=0,J978=""),"",(R978/1000*12/N978)/J978))</f>
        <v/>
      </c>
      <c r="W978" s="1" t="str">
        <f aca="false">IF($A978="","",IF(OR(T978="",K978=0,K978=""),"",T978/K978))</f>
        <v/>
      </c>
      <c r="X978" s="1" t="str">
        <f aca="false">IF($A978="","",IF(OR(N978&lt;=0,I978=0,I978="",O978=0),"",O978*1000/(I978*0.3025)/N978))</f>
        <v/>
      </c>
      <c r="Y978" s="1" t="str">
        <f aca="false">IF($A978="","",IF(OR(O978=0,O978="",P978=0),"",P978/O978))</f>
        <v/>
      </c>
      <c r="Z978" s="1" t="str">
        <f aca="false">IF($A978="","",IFERROR(INDEX(物件収支!$E:$E,MATCH($A978,物件収支!$A:$A,0)),""))</f>
        <v>非開示</v>
      </c>
    </row>
    <row r="979" customFormat="false" ht="15" hidden="false" customHeight="true" outlineLevel="0" collapsed="false">
      <c r="A979" s="1" t="str">
        <f aca="false">IF(物件マスタ!A979="","",物件マスタ!A979)</f>
        <v>KDX-238</v>
      </c>
      <c r="B979" s="1" t="str">
        <f aca="false">IF($A979="","",物件マスタ!B979)</f>
        <v>KDX</v>
      </c>
      <c r="C979" s="1" t="str">
        <f aca="false">IF($A979="","",IFERROR(INDEX(法人マスタ!$C:$C,MATCH($B979,法人マスタ!$A:$A,0)),""))</f>
        <v>ＫＤＸ不動産投資法人</v>
      </c>
      <c r="D979" s="1" t="str">
        <f aca="false">IF($A979="","",物件マスタ!C979)</f>
        <v>戸塚深谷ショッピングセンター(底地)</v>
      </c>
      <c r="E979" s="1" t="str">
        <f aca="false">IF($A979="","",物件マスタ!H979)</f>
        <v>東京経済圏（KDX区分）</v>
      </c>
      <c r="F979" s="1" t="n">
        <f aca="false">IF($A979="","",物件マスタ!P979)</f>
        <v>0</v>
      </c>
      <c r="G979" s="1" t="str">
        <f aca="false">IF($A979="","",物件マスタ!Q979)</f>
        <v/>
      </c>
      <c r="H979" s="1" t="n">
        <f aca="false">IF($A979="","",物件マスタ!L979)</f>
        <v>0</v>
      </c>
      <c r="I979" s="1" t="n">
        <f aca="false">IF($A979="","",物件マスタ!M979)</f>
        <v>14092.51</v>
      </c>
      <c r="J979" s="1" t="n">
        <f aca="false">IF($A979="","",物件マスタ!S979)</f>
        <v>4370</v>
      </c>
      <c r="K979" s="1" t="n">
        <f aca="false">IF($A979="","",物件マスタ!U979)</f>
        <v>4620</v>
      </c>
      <c r="L979" s="1" t="n">
        <f aca="false">IF($A979="","",物件マスタ!W979)</f>
        <v>1</v>
      </c>
      <c r="M979" s="1" t="str">
        <f aca="false">IF($A979="","",IFERROR(INDEX(法人マスタ!$H:$H,MATCH($B979,法人マスタ!$A:$A,0)),""))</f>
        <v>2026年4月期（第42期）</v>
      </c>
      <c r="N979" s="1" t="n">
        <f aca="false">IF($A979="","",SUMIFS(物件収支!$D:$D,物件収支!$A:$A,$A979,物件収支!$C:$C,$M979))</f>
        <v>6</v>
      </c>
      <c r="O979" s="1" t="n">
        <f aca="false">IF($A979="","",SUMIFS(物件収支!$F:$F,物件収支!$A:$A,$A979,物件収支!$C:$C,$M979))</f>
        <v>0</v>
      </c>
      <c r="P979" s="1" t="n">
        <f aca="false">IF($A979="","",SUMIFS(物件収支!$I:$I,物件収支!$A:$A,$A979,物件収支!$C:$C,$M979))</f>
        <v>0</v>
      </c>
      <c r="Q979" s="1" t="n">
        <f aca="false">IF($A979="","",SUMIFS(物件収支!$O:$O,物件収支!$A:$A,$A979,物件収支!$C:$C,$M979))</f>
        <v>0</v>
      </c>
      <c r="R979" s="1" t="str">
        <f aca="false">IF($A979="","",IF(P979=0,"",O979-P979))</f>
        <v/>
      </c>
      <c r="S979" s="1" t="str">
        <f aca="false">IF($A979="","",IF(R979="","",R979+Q979))</f>
        <v/>
      </c>
      <c r="T979" s="1" t="str">
        <f aca="false">IF($A979="","",IF(OR(S979="",N979&lt;=0),"",S979/1000*12/N979))</f>
        <v/>
      </c>
      <c r="U979" s="1" t="str">
        <f aca="false">IF($A979="","",IF(OR(T979="",J979=0,J979=""),"",T979/J979))</f>
        <v/>
      </c>
      <c r="V979" s="1" t="str">
        <f aca="false">IF($A979="","",IF(OR(R979="",N979&lt;=0,J979=0,J979=""),"",(R979/1000*12/N979)/J979))</f>
        <v/>
      </c>
      <c r="W979" s="1" t="str">
        <f aca="false">IF($A979="","",IF(OR(T979="",K979=0,K979=""),"",T979/K979))</f>
        <v/>
      </c>
      <c r="X979" s="1" t="str">
        <f aca="false">IF($A979="","",IF(OR(N979&lt;=0,I979=0,I979="",O979=0),"",O979*1000/(I979*0.3025)/N979))</f>
        <v/>
      </c>
      <c r="Y979" s="1" t="str">
        <f aca="false">IF($A979="","",IF(OR(O979=0,O979="",P979=0),"",P979/O979))</f>
        <v/>
      </c>
      <c r="Z979" s="1" t="str">
        <f aca="false">IF($A979="","",IFERROR(INDEX(物件収支!$E:$E,MATCH($A979,物件収支!$A:$A,0)),""))</f>
        <v>非開示</v>
      </c>
    </row>
    <row r="980" customFormat="false" ht="15" hidden="false" customHeight="true" outlineLevel="0" collapsed="false">
      <c r="A980" s="1" t="str">
        <f aca="false">IF(物件マスタ!A980="","",物件マスタ!A980)</f>
        <v>KDX-239</v>
      </c>
      <c r="B980" s="1" t="str">
        <f aca="false">IF($A980="","",物件マスタ!B980)</f>
        <v>KDX</v>
      </c>
      <c r="C980" s="1" t="str">
        <f aca="false">IF($A980="","",IFERROR(INDEX(法人マスタ!$C:$C,MATCH($B980,法人マスタ!$A:$A,0)),""))</f>
        <v>ＫＤＸ不動産投資法人</v>
      </c>
      <c r="D980" s="1" t="str">
        <f aca="false">IF($A980="","",物件マスタ!C980)</f>
        <v>ゆめまち習志野台モール</v>
      </c>
      <c r="E980" s="1" t="str">
        <f aca="false">IF($A980="","",物件マスタ!H980)</f>
        <v>東京経済圏（KDX区分）</v>
      </c>
      <c r="F980" s="1" t="n">
        <f aca="false">IF($A980="","",物件マスタ!P980)</f>
        <v>0</v>
      </c>
      <c r="G980" s="1" t="str">
        <f aca="false">IF($A980="","",物件マスタ!Q980)</f>
        <v/>
      </c>
      <c r="H980" s="1" t="n">
        <f aca="false">IF($A980="","",物件マスタ!L980)</f>
        <v>0</v>
      </c>
      <c r="I980" s="1" t="n">
        <f aca="false">IF($A980="","",物件マスタ!M980)</f>
        <v>7827.95</v>
      </c>
      <c r="J980" s="1" t="n">
        <f aca="false">IF($A980="","",物件マスタ!S980)</f>
        <v>3700</v>
      </c>
      <c r="K980" s="1" t="n">
        <f aca="false">IF($A980="","",物件マスタ!U980)</f>
        <v>3840</v>
      </c>
      <c r="L980" s="1" t="n">
        <f aca="false">IF($A980="","",物件マスタ!W980)</f>
        <v>1</v>
      </c>
      <c r="M980" s="1" t="str">
        <f aca="false">IF($A980="","",IFERROR(INDEX(法人マスタ!$H:$H,MATCH($B980,法人マスタ!$A:$A,0)),""))</f>
        <v>2026年4月期（第42期）</v>
      </c>
      <c r="N980" s="1" t="n">
        <f aca="false">IF($A980="","",SUMIFS(物件収支!$D:$D,物件収支!$A:$A,$A980,物件収支!$C:$C,$M980))</f>
        <v>6</v>
      </c>
      <c r="O980" s="1" t="n">
        <f aca="false">IF($A980="","",SUMIFS(物件収支!$F:$F,物件収支!$A:$A,$A980,物件収支!$C:$C,$M980))</f>
        <v>144000</v>
      </c>
      <c r="P980" s="1" t="n">
        <f aca="false">IF($A980="","",SUMIFS(物件収支!$I:$I,物件収支!$A:$A,$A980,物件収支!$C:$C,$M980))</f>
        <v>0</v>
      </c>
      <c r="Q980" s="1" t="n">
        <f aca="false">IF($A980="","",SUMIFS(物件収支!$O:$O,物件収支!$A:$A,$A980,物件収支!$C:$C,$M980))</f>
        <v>0</v>
      </c>
      <c r="R980" s="1" t="str">
        <f aca="false">IF($A980="","",IF(P980=0,"",O980-P980))</f>
        <v/>
      </c>
      <c r="S980" s="1" t="str">
        <f aca="false">IF($A980="","",IF(R980="","",R980+Q980))</f>
        <v/>
      </c>
      <c r="T980" s="1" t="str">
        <f aca="false">IF($A980="","",IF(OR(S980="",N980&lt;=0),"",S980/1000*12/N980))</f>
        <v/>
      </c>
      <c r="U980" s="1" t="str">
        <f aca="false">IF($A980="","",IF(OR(T980="",J980=0,J980=""),"",T980/J980))</f>
        <v/>
      </c>
      <c r="V980" s="1" t="str">
        <f aca="false">IF($A980="","",IF(OR(R980="",N980&lt;=0,J980=0,J980=""),"",(R980/1000*12/N980)/J980))</f>
        <v/>
      </c>
      <c r="W980" s="1" t="str">
        <f aca="false">IF($A980="","",IF(OR(T980="",K980=0,K980=""),"",T980/K980))</f>
        <v/>
      </c>
      <c r="X980" s="1" t="n">
        <f aca="false">IF($A980="","",IF(OR(N980&lt;=0,I980=0,I980="",O980=0),"",O980*1000/(I980*0.3025)/N980))</f>
        <v>10135.3282756286</v>
      </c>
      <c r="Y980" s="1" t="str">
        <f aca="false">IF($A980="","",IF(OR(O980=0,O980="",P980=0),"",P980/O980))</f>
        <v/>
      </c>
      <c r="Z980" s="1" t="str">
        <f aca="false">IF($A980="","",IFERROR(INDEX(物件収支!$E:$E,MATCH($A980,物件収支!$A:$A,0)),""))</f>
        <v>開示（物件別・収益のみ・百万円単位）</v>
      </c>
    </row>
    <row r="981" customFormat="false" ht="15" hidden="false" customHeight="true" outlineLevel="0" collapsed="false">
      <c r="A981" s="1" t="str">
        <f aca="false">IF(物件マスタ!A981="","",物件マスタ!A981)</f>
        <v>KDX-240</v>
      </c>
      <c r="B981" s="1" t="str">
        <f aca="false">IF($A981="","",物件マスタ!B981)</f>
        <v>KDX</v>
      </c>
      <c r="C981" s="1" t="str">
        <f aca="false">IF($A981="","",IFERROR(INDEX(法人マスタ!$C:$C,MATCH($B981,法人マスタ!$A:$A,0)),""))</f>
        <v>ＫＤＸ不動産投資法人</v>
      </c>
      <c r="D981" s="1" t="str">
        <f aca="false">IF($A981="","",物件マスタ!C981)</f>
        <v>ラウンドワン市川鬼高店</v>
      </c>
      <c r="E981" s="1" t="str">
        <f aca="false">IF($A981="","",物件マスタ!H981)</f>
        <v>東京経済圏（KDX区分）</v>
      </c>
      <c r="F981" s="1" t="n">
        <f aca="false">IF($A981="","",物件マスタ!P981)</f>
        <v>0</v>
      </c>
      <c r="G981" s="1" t="str">
        <f aca="false">IF($A981="","",物件マスタ!Q981)</f>
        <v/>
      </c>
      <c r="H981" s="1" t="n">
        <f aca="false">IF($A981="","",物件マスタ!L981)</f>
        <v>0</v>
      </c>
      <c r="I981" s="1" t="n">
        <f aca="false">IF($A981="","",物件マスタ!M981)</f>
        <v>11963.61</v>
      </c>
      <c r="J981" s="1" t="n">
        <f aca="false">IF($A981="","",物件マスタ!S981)</f>
        <v>1950</v>
      </c>
      <c r="K981" s="1" t="n">
        <f aca="false">IF($A981="","",物件マスタ!U981)</f>
        <v>1950</v>
      </c>
      <c r="L981" s="1" t="n">
        <f aca="false">IF($A981="","",物件マスタ!W981)</f>
        <v>1</v>
      </c>
      <c r="M981" s="1" t="str">
        <f aca="false">IF($A981="","",IFERROR(INDEX(法人マスタ!$H:$H,MATCH($B981,法人マスタ!$A:$A,0)),""))</f>
        <v>2026年4月期（第42期）</v>
      </c>
      <c r="N981" s="1" t="n">
        <f aca="false">IF($A981="","",SUMIFS(物件収支!$D:$D,物件収支!$A:$A,$A981,物件収支!$C:$C,$M981))</f>
        <v>6</v>
      </c>
      <c r="O981" s="1" t="n">
        <f aca="false">IF($A981="","",SUMIFS(物件収支!$F:$F,物件収支!$A:$A,$A981,物件収支!$C:$C,$M981))</f>
        <v>0</v>
      </c>
      <c r="P981" s="1" t="n">
        <f aca="false">IF($A981="","",SUMIFS(物件収支!$I:$I,物件収支!$A:$A,$A981,物件収支!$C:$C,$M981))</f>
        <v>0</v>
      </c>
      <c r="Q981" s="1" t="n">
        <f aca="false">IF($A981="","",SUMIFS(物件収支!$O:$O,物件収支!$A:$A,$A981,物件収支!$C:$C,$M981))</f>
        <v>0</v>
      </c>
      <c r="R981" s="1" t="str">
        <f aca="false">IF($A981="","",IF(P981=0,"",O981-P981))</f>
        <v/>
      </c>
      <c r="S981" s="1" t="str">
        <f aca="false">IF($A981="","",IF(R981="","",R981+Q981))</f>
        <v/>
      </c>
      <c r="T981" s="1" t="str">
        <f aca="false">IF($A981="","",IF(OR(S981="",N981&lt;=0),"",S981/1000*12/N981))</f>
        <v/>
      </c>
      <c r="U981" s="1" t="str">
        <f aca="false">IF($A981="","",IF(OR(T981="",J981=0,J981=""),"",T981/J981))</f>
        <v/>
      </c>
      <c r="V981" s="1" t="str">
        <f aca="false">IF($A981="","",IF(OR(R981="",N981&lt;=0,J981=0,J981=""),"",(R981/1000*12/N981)/J981))</f>
        <v/>
      </c>
      <c r="W981" s="1" t="str">
        <f aca="false">IF($A981="","",IF(OR(T981="",K981=0,K981=""),"",T981/K981))</f>
        <v/>
      </c>
      <c r="X981" s="1" t="str">
        <f aca="false">IF($A981="","",IF(OR(N981&lt;=0,I981=0,I981="",O981=0),"",O981*1000/(I981*0.3025)/N981))</f>
        <v/>
      </c>
      <c r="Y981" s="1" t="str">
        <f aca="false">IF($A981="","",IF(OR(O981=0,O981="",P981=0),"",P981/O981))</f>
        <v/>
      </c>
      <c r="Z981" s="1" t="str">
        <f aca="false">IF($A981="","",IFERROR(INDEX(物件収支!$E:$E,MATCH($A981,物件収支!$A:$A,0)),""))</f>
        <v>非開示</v>
      </c>
    </row>
    <row r="982" customFormat="false" ht="15" hidden="false" customHeight="true" outlineLevel="0" collapsed="false">
      <c r="A982" s="1" t="str">
        <f aca="false">IF(物件マスタ!A982="","",物件マスタ!A982)</f>
        <v>KDX-241</v>
      </c>
      <c r="B982" s="1" t="str">
        <f aca="false">IF($A982="","",物件マスタ!B982)</f>
        <v>KDX</v>
      </c>
      <c r="C982" s="1" t="str">
        <f aca="false">IF($A982="","",IFERROR(INDEX(法人マスタ!$C:$C,MATCH($B982,法人マスタ!$A:$A,0)),""))</f>
        <v>ＫＤＸ不動産投資法人</v>
      </c>
      <c r="D982" s="1" t="str">
        <f aca="false">IF($A982="","",物件マスタ!C982)</f>
        <v>かわまち矢作モール</v>
      </c>
      <c r="E982" s="1" t="str">
        <f aca="false">IF($A982="","",物件マスタ!H982)</f>
        <v>東京経済圏（KDX区分）</v>
      </c>
      <c r="F982" s="1" t="n">
        <f aca="false">IF($A982="","",物件マスタ!P982)</f>
        <v>0</v>
      </c>
      <c r="G982" s="1" t="str">
        <f aca="false">IF($A982="","",物件マスタ!Q982)</f>
        <v/>
      </c>
      <c r="H982" s="1" t="n">
        <f aca="false">IF($A982="","",物件マスタ!L982)</f>
        <v>0</v>
      </c>
      <c r="I982" s="1" t="n">
        <f aca="false">IF($A982="","",物件マスタ!M982)</f>
        <v>6397.05</v>
      </c>
      <c r="J982" s="1" t="n">
        <f aca="false">IF($A982="","",物件マスタ!S982)</f>
        <v>3280</v>
      </c>
      <c r="K982" s="1" t="n">
        <f aca="false">IF($A982="","",物件マスタ!U982)</f>
        <v>3410</v>
      </c>
      <c r="L982" s="1" t="n">
        <f aca="false">IF($A982="","",物件マスタ!W982)</f>
        <v>1</v>
      </c>
      <c r="M982" s="1" t="str">
        <f aca="false">IF($A982="","",IFERROR(INDEX(法人マスタ!$H:$H,MATCH($B982,法人マスタ!$A:$A,0)),""))</f>
        <v>2026年4月期（第42期）</v>
      </c>
      <c r="N982" s="1" t="n">
        <f aca="false">IF($A982="","",SUMIFS(物件収支!$D:$D,物件収支!$A:$A,$A982,物件収支!$C:$C,$M982))</f>
        <v>6</v>
      </c>
      <c r="O982" s="1" t="n">
        <f aca="false">IF($A982="","",SUMIFS(物件収支!$F:$F,物件収支!$A:$A,$A982,物件収支!$C:$C,$M982))</f>
        <v>117000</v>
      </c>
      <c r="P982" s="1" t="n">
        <f aca="false">IF($A982="","",SUMIFS(物件収支!$I:$I,物件収支!$A:$A,$A982,物件収支!$C:$C,$M982))</f>
        <v>0</v>
      </c>
      <c r="Q982" s="1" t="n">
        <f aca="false">IF($A982="","",SUMIFS(物件収支!$O:$O,物件収支!$A:$A,$A982,物件収支!$C:$C,$M982))</f>
        <v>0</v>
      </c>
      <c r="R982" s="1" t="str">
        <f aca="false">IF($A982="","",IF(P982=0,"",O982-P982))</f>
        <v/>
      </c>
      <c r="S982" s="1" t="str">
        <f aca="false">IF($A982="","",IF(R982="","",R982+Q982))</f>
        <v/>
      </c>
      <c r="T982" s="1" t="str">
        <f aca="false">IF($A982="","",IF(OR(S982="",N982&lt;=0),"",S982/1000*12/N982))</f>
        <v/>
      </c>
      <c r="U982" s="1" t="str">
        <f aca="false">IF($A982="","",IF(OR(T982="",J982=0,J982=""),"",T982/J982))</f>
        <v/>
      </c>
      <c r="V982" s="1" t="str">
        <f aca="false">IF($A982="","",IF(OR(R982="",N982&lt;=0,J982=0,J982=""),"",(R982/1000*12/N982)/J982))</f>
        <v/>
      </c>
      <c r="W982" s="1" t="str">
        <f aca="false">IF($A982="","",IF(OR(T982="",K982=0,K982=""),"",T982/K982))</f>
        <v/>
      </c>
      <c r="X982" s="1" t="n">
        <f aca="false">IF($A982="","",IF(OR(N982&lt;=0,I982=0,I982="",O982=0),"",O982*1000/(I982*0.3025)/N982))</f>
        <v>10076.9588978287</v>
      </c>
      <c r="Y982" s="1" t="str">
        <f aca="false">IF($A982="","",IF(OR(O982=0,O982="",P982=0),"",P982/O982))</f>
        <v/>
      </c>
      <c r="Z982" s="1" t="str">
        <f aca="false">IF($A982="","",IFERROR(INDEX(物件収支!$E:$E,MATCH($A982,物件収支!$A:$A,0)),""))</f>
        <v>開示（物件別・収益のみ・百万円単位）</v>
      </c>
    </row>
    <row r="983" customFormat="false" ht="15" hidden="false" customHeight="true" outlineLevel="0" collapsed="false">
      <c r="A983" s="1" t="str">
        <f aca="false">IF(物件マスタ!A983="","",物件マスタ!A983)</f>
        <v>KDX-242</v>
      </c>
      <c r="B983" s="1" t="str">
        <f aca="false">IF($A983="","",物件マスタ!B983)</f>
        <v>KDX</v>
      </c>
      <c r="C983" s="1" t="str">
        <f aca="false">IF($A983="","",IFERROR(INDEX(法人マスタ!$C:$C,MATCH($B983,法人マスタ!$A:$A,0)),""))</f>
        <v>ＫＤＸ不動産投資法人</v>
      </c>
      <c r="D983" s="1" t="str">
        <f aca="false">IF($A983="","",物件マスタ!C983)</f>
        <v>オオゼキときわ台店</v>
      </c>
      <c r="E983" s="1" t="str">
        <f aca="false">IF($A983="","",物件マスタ!H983)</f>
        <v>東京経済圏（KDX区分）</v>
      </c>
      <c r="F983" s="1" t="n">
        <f aca="false">IF($A983="","",物件マスタ!P983)</f>
        <v>0</v>
      </c>
      <c r="G983" s="1" t="str">
        <f aca="false">IF($A983="","",物件マスタ!Q983)</f>
        <v/>
      </c>
      <c r="H983" s="1" t="n">
        <f aca="false">IF($A983="","",物件マスタ!L983)</f>
        <v>0</v>
      </c>
      <c r="I983" s="1" t="n">
        <f aca="false">IF($A983="","",物件マスタ!M983)</f>
        <v>1217.02</v>
      </c>
      <c r="J983" s="1" t="n">
        <f aca="false">IF($A983="","",物件マスタ!S983)</f>
        <v>1340</v>
      </c>
      <c r="K983" s="1" t="n">
        <f aca="false">IF($A983="","",物件マスタ!U983)</f>
        <v>1410</v>
      </c>
      <c r="L983" s="1" t="n">
        <f aca="false">IF($A983="","",物件マスタ!W983)</f>
        <v>1</v>
      </c>
      <c r="M983" s="1" t="str">
        <f aca="false">IF($A983="","",IFERROR(INDEX(法人マスタ!$H:$H,MATCH($B983,法人マスタ!$A:$A,0)),""))</f>
        <v>2026年4月期（第42期）</v>
      </c>
      <c r="N983" s="1" t="n">
        <f aca="false">IF($A983="","",SUMIFS(物件収支!$D:$D,物件収支!$A:$A,$A983,物件収支!$C:$C,$M983))</f>
        <v>6</v>
      </c>
      <c r="O983" s="1" t="n">
        <f aca="false">IF($A983="","",SUMIFS(物件収支!$F:$F,物件収支!$A:$A,$A983,物件収支!$C:$C,$M983))</f>
        <v>0</v>
      </c>
      <c r="P983" s="1" t="n">
        <f aca="false">IF($A983="","",SUMIFS(物件収支!$I:$I,物件収支!$A:$A,$A983,物件収支!$C:$C,$M983))</f>
        <v>0</v>
      </c>
      <c r="Q983" s="1" t="n">
        <f aca="false">IF($A983="","",SUMIFS(物件収支!$O:$O,物件収支!$A:$A,$A983,物件収支!$C:$C,$M983))</f>
        <v>0</v>
      </c>
      <c r="R983" s="1" t="str">
        <f aca="false">IF($A983="","",IF(P983=0,"",O983-P983))</f>
        <v/>
      </c>
      <c r="S983" s="1" t="str">
        <f aca="false">IF($A983="","",IF(R983="","",R983+Q983))</f>
        <v/>
      </c>
      <c r="T983" s="1" t="str">
        <f aca="false">IF($A983="","",IF(OR(S983="",N983&lt;=0),"",S983/1000*12/N983))</f>
        <v/>
      </c>
      <c r="U983" s="1" t="str">
        <f aca="false">IF($A983="","",IF(OR(T983="",J983=0,J983=""),"",T983/J983))</f>
        <v/>
      </c>
      <c r="V983" s="1" t="str">
        <f aca="false">IF($A983="","",IF(OR(R983="",N983&lt;=0,J983=0,J983=""),"",(R983/1000*12/N983)/J983))</f>
        <v/>
      </c>
      <c r="W983" s="1" t="str">
        <f aca="false">IF($A983="","",IF(OR(T983="",K983=0,K983=""),"",T983/K983))</f>
        <v/>
      </c>
      <c r="X983" s="1" t="str">
        <f aca="false">IF($A983="","",IF(OR(N983&lt;=0,I983=0,I983="",O983=0),"",O983*1000/(I983*0.3025)/N983))</f>
        <v/>
      </c>
      <c r="Y983" s="1" t="str">
        <f aca="false">IF($A983="","",IF(OR(O983=0,O983="",P983=0),"",P983/O983))</f>
        <v/>
      </c>
      <c r="Z983" s="1" t="str">
        <f aca="false">IF($A983="","",IFERROR(INDEX(物件収支!$E:$E,MATCH($A983,物件収支!$A:$A,0)),""))</f>
        <v>非開示</v>
      </c>
    </row>
    <row r="984" customFormat="false" ht="15" hidden="false" customHeight="true" outlineLevel="0" collapsed="false">
      <c r="A984" s="1" t="str">
        <f aca="false">IF(物件マスタ!A984="","",物件マスタ!A984)</f>
        <v>KDX-243</v>
      </c>
      <c r="B984" s="1" t="str">
        <f aca="false">IF($A984="","",物件マスタ!B984)</f>
        <v>KDX</v>
      </c>
      <c r="C984" s="1" t="str">
        <f aca="false">IF($A984="","",IFERROR(INDEX(法人マスタ!$C:$C,MATCH($B984,法人マスタ!$A:$A,0)),""))</f>
        <v>ＫＤＸ不動産投資法人</v>
      </c>
      <c r="D984" s="1" t="str">
        <f aca="false">IF($A984="","",物件マスタ!C984)</f>
        <v>もねの里モール</v>
      </c>
      <c r="E984" s="1" t="str">
        <f aca="false">IF($A984="","",物件マスタ!H984)</f>
        <v>東京経済圏（KDX区分）</v>
      </c>
      <c r="F984" s="1" t="n">
        <f aca="false">IF($A984="","",物件マスタ!P984)</f>
        <v>0</v>
      </c>
      <c r="G984" s="1" t="str">
        <f aca="false">IF($A984="","",物件マスタ!Q984)</f>
        <v/>
      </c>
      <c r="H984" s="1" t="n">
        <f aca="false">IF($A984="","",物件マスタ!L984)</f>
        <v>0</v>
      </c>
      <c r="I984" s="1" t="n">
        <f aca="false">IF($A984="","",物件マスタ!M984)</f>
        <v>6861.59</v>
      </c>
      <c r="J984" s="1" t="n">
        <f aca="false">IF($A984="","",物件マスタ!S984)</f>
        <v>3140</v>
      </c>
      <c r="K984" s="1" t="n">
        <f aca="false">IF($A984="","",物件マスタ!U984)</f>
        <v>3110</v>
      </c>
      <c r="L984" s="1" t="n">
        <f aca="false">IF($A984="","",物件マスタ!W984)</f>
        <v>0.998</v>
      </c>
      <c r="M984" s="1" t="str">
        <f aca="false">IF($A984="","",IFERROR(INDEX(法人マスタ!$H:$H,MATCH($B984,法人マスタ!$A:$A,0)),""))</f>
        <v>2026年4月期（第42期）</v>
      </c>
      <c r="N984" s="1" t="n">
        <f aca="false">IF($A984="","",SUMIFS(物件収支!$D:$D,物件収支!$A:$A,$A984,物件収支!$C:$C,$M984))</f>
        <v>6</v>
      </c>
      <c r="O984" s="1" t="n">
        <f aca="false">IF($A984="","",SUMIFS(物件収支!$F:$F,物件収支!$A:$A,$A984,物件収支!$C:$C,$M984))</f>
        <v>108000</v>
      </c>
      <c r="P984" s="1" t="n">
        <f aca="false">IF($A984="","",SUMIFS(物件収支!$I:$I,物件収支!$A:$A,$A984,物件収支!$C:$C,$M984))</f>
        <v>0</v>
      </c>
      <c r="Q984" s="1" t="n">
        <f aca="false">IF($A984="","",SUMIFS(物件収支!$O:$O,物件収支!$A:$A,$A984,物件収支!$C:$C,$M984))</f>
        <v>0</v>
      </c>
      <c r="R984" s="1" t="str">
        <f aca="false">IF($A984="","",IF(P984=0,"",O984-P984))</f>
        <v/>
      </c>
      <c r="S984" s="1" t="str">
        <f aca="false">IF($A984="","",IF(R984="","",R984+Q984))</f>
        <v/>
      </c>
      <c r="T984" s="1" t="str">
        <f aca="false">IF($A984="","",IF(OR(S984="",N984&lt;=0),"",S984/1000*12/N984))</f>
        <v/>
      </c>
      <c r="U984" s="1" t="str">
        <f aca="false">IF($A984="","",IF(OR(T984="",J984=0,J984=""),"",T984/J984))</f>
        <v/>
      </c>
      <c r="V984" s="1" t="str">
        <f aca="false">IF($A984="","",IF(OR(R984="",N984&lt;=0,J984=0,J984=""),"",(R984/1000*12/N984)/J984))</f>
        <v/>
      </c>
      <c r="W984" s="1" t="str">
        <f aca="false">IF($A984="","",IF(OR(T984="",K984=0,K984=""),"",T984/K984))</f>
        <v/>
      </c>
      <c r="X984" s="1" t="n">
        <f aca="false">IF($A984="","",IF(OR(N984&lt;=0,I984=0,I984="",O984=0),"",O984*1000/(I984*0.3025)/N984))</f>
        <v>8672.06175702788</v>
      </c>
      <c r="Y984" s="1" t="str">
        <f aca="false">IF($A984="","",IF(OR(O984=0,O984="",P984=0),"",P984/O984))</f>
        <v/>
      </c>
      <c r="Z984" s="1" t="str">
        <f aca="false">IF($A984="","",IFERROR(INDEX(物件収支!$E:$E,MATCH($A984,物件収支!$A:$A,0)),""))</f>
        <v>開示（物件別・収益のみ・百万円単位）</v>
      </c>
    </row>
    <row r="985" customFormat="false" ht="15" hidden="false" customHeight="true" outlineLevel="0" collapsed="false">
      <c r="A985" s="1" t="str">
        <f aca="false">IF(物件マスタ!A985="","",物件マスタ!A985)</f>
        <v>KDX-244</v>
      </c>
      <c r="B985" s="1" t="str">
        <f aca="false">IF($A985="","",物件マスタ!B985)</f>
        <v>KDX</v>
      </c>
      <c r="C985" s="1" t="str">
        <f aca="false">IF($A985="","",IFERROR(INDEX(法人マスタ!$C:$C,MATCH($B985,法人マスタ!$A:$A,0)),""))</f>
        <v>ＫＤＸ不動産投資法人</v>
      </c>
      <c r="D985" s="1" t="str">
        <f aca="false">IF($A985="","",物件マスタ!C985)</f>
        <v>アクロスプラザ浦安東野(底地)</v>
      </c>
      <c r="E985" s="1" t="str">
        <f aca="false">IF($A985="","",物件マスタ!H985)</f>
        <v>東京経済圏（KDX区分）</v>
      </c>
      <c r="F985" s="1" t="n">
        <f aca="false">IF($A985="","",物件マスタ!P985)</f>
        <v>0</v>
      </c>
      <c r="G985" s="1" t="str">
        <f aca="false">IF($A985="","",物件マスタ!Q985)</f>
        <v/>
      </c>
      <c r="H985" s="1" t="n">
        <f aca="false">IF($A985="","",物件マスタ!L985)</f>
        <v>0</v>
      </c>
      <c r="I985" s="1" t="n">
        <f aca="false">IF($A985="","",物件マスタ!M985)</f>
        <v>6229.32</v>
      </c>
      <c r="J985" s="1" t="n">
        <f aca="false">IF($A985="","",物件マスタ!S985)</f>
        <v>2380</v>
      </c>
      <c r="K985" s="1" t="n">
        <f aca="false">IF($A985="","",物件マスタ!U985)</f>
        <v>2610</v>
      </c>
      <c r="L985" s="1" t="n">
        <f aca="false">IF($A985="","",物件マスタ!W985)</f>
        <v>1</v>
      </c>
      <c r="M985" s="1" t="str">
        <f aca="false">IF($A985="","",IFERROR(INDEX(法人マスタ!$H:$H,MATCH($B985,法人マスタ!$A:$A,0)),""))</f>
        <v>2026年4月期（第42期）</v>
      </c>
      <c r="N985" s="1" t="n">
        <f aca="false">IF($A985="","",SUMIFS(物件収支!$D:$D,物件収支!$A:$A,$A985,物件収支!$C:$C,$M985))</f>
        <v>6</v>
      </c>
      <c r="O985" s="1" t="n">
        <f aca="false">IF($A985="","",SUMIFS(物件収支!$F:$F,物件収支!$A:$A,$A985,物件収支!$C:$C,$M985))</f>
        <v>0</v>
      </c>
      <c r="P985" s="1" t="n">
        <f aca="false">IF($A985="","",SUMIFS(物件収支!$I:$I,物件収支!$A:$A,$A985,物件収支!$C:$C,$M985))</f>
        <v>0</v>
      </c>
      <c r="Q985" s="1" t="n">
        <f aca="false">IF($A985="","",SUMIFS(物件収支!$O:$O,物件収支!$A:$A,$A985,物件収支!$C:$C,$M985))</f>
        <v>0</v>
      </c>
      <c r="R985" s="1" t="str">
        <f aca="false">IF($A985="","",IF(P985=0,"",O985-P985))</f>
        <v/>
      </c>
      <c r="S985" s="1" t="str">
        <f aca="false">IF($A985="","",IF(R985="","",R985+Q985))</f>
        <v/>
      </c>
      <c r="T985" s="1" t="str">
        <f aca="false">IF($A985="","",IF(OR(S985="",N985&lt;=0),"",S985/1000*12/N985))</f>
        <v/>
      </c>
      <c r="U985" s="1" t="str">
        <f aca="false">IF($A985="","",IF(OR(T985="",J985=0,J985=""),"",T985/J985))</f>
        <v/>
      </c>
      <c r="V985" s="1" t="str">
        <f aca="false">IF($A985="","",IF(OR(R985="",N985&lt;=0,J985=0,J985=""),"",(R985/1000*12/N985)/J985))</f>
        <v/>
      </c>
      <c r="W985" s="1" t="str">
        <f aca="false">IF($A985="","",IF(OR(T985="",K985=0,K985=""),"",T985/K985))</f>
        <v/>
      </c>
      <c r="X985" s="1" t="str">
        <f aca="false">IF($A985="","",IF(OR(N985&lt;=0,I985=0,I985="",O985=0),"",O985*1000/(I985*0.3025)/N985))</f>
        <v/>
      </c>
      <c r="Y985" s="1" t="str">
        <f aca="false">IF($A985="","",IF(OR(O985=0,O985="",P985=0),"",P985/O985))</f>
        <v/>
      </c>
      <c r="Z985" s="1" t="str">
        <f aca="false">IF($A985="","",IFERROR(INDEX(物件収支!$E:$E,MATCH($A985,物件収支!$A:$A,0)),""))</f>
        <v>非開示</v>
      </c>
    </row>
    <row r="986" customFormat="false" ht="15" hidden="false" customHeight="true" outlineLevel="0" collapsed="false">
      <c r="A986" s="1" t="str">
        <f aca="false">IF(物件マスタ!A986="","",物件マスタ!A986)</f>
        <v>KDX-245</v>
      </c>
      <c r="B986" s="1" t="str">
        <f aca="false">IF($A986="","",物件マスタ!B986)</f>
        <v>KDX</v>
      </c>
      <c r="C986" s="1" t="str">
        <f aca="false">IF($A986="","",IFERROR(INDEX(法人マスタ!$C:$C,MATCH($B986,法人マスタ!$A:$A,0)),""))</f>
        <v>ＫＤＸ不動産投資法人</v>
      </c>
      <c r="D986" s="1" t="str">
        <f aca="false">IF($A986="","",物件マスタ!C986)</f>
        <v>アピタテラス横浜綱島</v>
      </c>
      <c r="E986" s="1" t="str">
        <f aca="false">IF($A986="","",物件マスタ!H986)</f>
        <v>東京経済圏（KDX区分）</v>
      </c>
      <c r="F986" s="1" t="n">
        <f aca="false">IF($A986="","",物件マスタ!P986)</f>
        <v>0</v>
      </c>
      <c r="G986" s="1" t="str">
        <f aca="false">IF($A986="","",物件マスタ!Q986)</f>
        <v/>
      </c>
      <c r="H986" s="1" t="n">
        <f aca="false">IF($A986="","",物件マスタ!L986)</f>
        <v>0</v>
      </c>
      <c r="I986" s="1" t="n">
        <f aca="false">IF($A986="","",物件マスタ!M986)</f>
        <v>44568.05</v>
      </c>
      <c r="J986" s="1" t="n">
        <f aca="false">IF($A986="","",物件マスタ!S986)</f>
        <v>12000</v>
      </c>
      <c r="K986" s="1" t="n">
        <f aca="false">IF($A986="","",物件マスタ!U986)</f>
        <v>12500</v>
      </c>
      <c r="L986" s="1" t="n">
        <f aca="false">IF($A986="","",物件マスタ!W986)</f>
        <v>1</v>
      </c>
      <c r="M986" s="1" t="str">
        <f aca="false">IF($A986="","",IFERROR(INDEX(法人マスタ!$H:$H,MATCH($B986,法人マスタ!$A:$A,0)),""))</f>
        <v>2026年4月期（第42期）</v>
      </c>
      <c r="N986" s="1" t="n">
        <f aca="false">IF($A986="","",SUMIFS(物件収支!$D:$D,物件収支!$A:$A,$A986,物件収支!$C:$C,$M986))</f>
        <v>6</v>
      </c>
      <c r="O986" s="1" t="n">
        <f aca="false">IF($A986="","",SUMIFS(物件収支!$F:$F,物件収支!$A:$A,$A986,物件収支!$C:$C,$M986))</f>
        <v>0</v>
      </c>
      <c r="P986" s="1" t="n">
        <f aca="false">IF($A986="","",SUMIFS(物件収支!$I:$I,物件収支!$A:$A,$A986,物件収支!$C:$C,$M986))</f>
        <v>0</v>
      </c>
      <c r="Q986" s="1" t="n">
        <f aca="false">IF($A986="","",SUMIFS(物件収支!$O:$O,物件収支!$A:$A,$A986,物件収支!$C:$C,$M986))</f>
        <v>0</v>
      </c>
      <c r="R986" s="1" t="str">
        <f aca="false">IF($A986="","",IF(P986=0,"",O986-P986))</f>
        <v/>
      </c>
      <c r="S986" s="1" t="str">
        <f aca="false">IF($A986="","",IF(R986="","",R986+Q986))</f>
        <v/>
      </c>
      <c r="T986" s="1" t="str">
        <f aca="false">IF($A986="","",IF(OR(S986="",N986&lt;=0),"",S986/1000*12/N986))</f>
        <v/>
      </c>
      <c r="U986" s="1" t="str">
        <f aca="false">IF($A986="","",IF(OR(T986="",J986=0,J986=""),"",T986/J986))</f>
        <v/>
      </c>
      <c r="V986" s="1" t="str">
        <f aca="false">IF($A986="","",IF(OR(R986="",N986&lt;=0,J986=0,J986=""),"",(R986/1000*12/N986)/J986))</f>
        <v/>
      </c>
      <c r="W986" s="1" t="str">
        <f aca="false">IF($A986="","",IF(OR(T986="",K986=0,K986=""),"",T986/K986))</f>
        <v/>
      </c>
      <c r="X986" s="1" t="str">
        <f aca="false">IF($A986="","",IF(OR(N986&lt;=0,I986=0,I986="",O986=0),"",O986*1000/(I986*0.3025)/N986))</f>
        <v/>
      </c>
      <c r="Y986" s="1" t="str">
        <f aca="false">IF($A986="","",IF(OR(O986=0,O986="",P986=0),"",P986/O986))</f>
        <v/>
      </c>
      <c r="Z986" s="1" t="str">
        <f aca="false">IF($A986="","",IFERROR(INDEX(物件収支!$E:$E,MATCH($A986,物件収支!$A:$A,0)),""))</f>
        <v>非開示</v>
      </c>
    </row>
    <row r="987" customFormat="false" ht="15" hidden="false" customHeight="true" outlineLevel="0" collapsed="false">
      <c r="A987" s="1" t="str">
        <f aca="false">IF(物件マスタ!A987="","",物件マスタ!A987)</f>
        <v>KDX-246</v>
      </c>
      <c r="B987" s="1" t="str">
        <f aca="false">IF($A987="","",物件マスタ!B987)</f>
        <v>KDX</v>
      </c>
      <c r="C987" s="1" t="str">
        <f aca="false">IF($A987="","",IFERROR(INDEX(法人マスタ!$C:$C,MATCH($B987,法人マスタ!$A:$A,0)),""))</f>
        <v>ＫＤＸ不動産投資法人</v>
      </c>
      <c r="D987" s="1" t="str">
        <f aca="false">IF($A987="","",物件マスタ!C987)</f>
        <v>カルサ平塚</v>
      </c>
      <c r="E987" s="1" t="str">
        <f aca="false">IF($A987="","",物件マスタ!H987)</f>
        <v>東京経済圏（KDX区分）</v>
      </c>
      <c r="F987" s="1" t="n">
        <f aca="false">IF($A987="","",物件マスタ!P987)</f>
        <v>0</v>
      </c>
      <c r="G987" s="1" t="str">
        <f aca="false">IF($A987="","",物件マスタ!Q987)</f>
        <v/>
      </c>
      <c r="H987" s="1" t="n">
        <f aca="false">IF($A987="","",物件マスタ!L987)</f>
        <v>0</v>
      </c>
      <c r="I987" s="1" t="n">
        <f aca="false">IF($A987="","",物件マスタ!M987)</f>
        <v>14195</v>
      </c>
      <c r="J987" s="1" t="n">
        <f aca="false">IF($A987="","",物件マスタ!S987)</f>
        <v>6390</v>
      </c>
      <c r="K987" s="1" t="n">
        <f aca="false">IF($A987="","",物件マスタ!U987)</f>
        <v>6510</v>
      </c>
      <c r="L987" s="1" t="n">
        <f aca="false">IF($A987="","",物件マスタ!W987)</f>
        <v>1</v>
      </c>
      <c r="M987" s="1" t="str">
        <f aca="false">IF($A987="","",IFERROR(INDEX(法人マスタ!$H:$H,MATCH($B987,法人マスタ!$A:$A,0)),""))</f>
        <v>2026年4月期（第42期）</v>
      </c>
      <c r="N987" s="1" t="n">
        <f aca="false">IF($A987="","",SUMIFS(物件収支!$D:$D,物件収支!$A:$A,$A987,物件収支!$C:$C,$M987))</f>
        <v>6</v>
      </c>
      <c r="O987" s="1" t="n">
        <f aca="false">IF($A987="","",SUMIFS(物件収支!$F:$F,物件収支!$A:$A,$A987,物件収支!$C:$C,$M987))</f>
        <v>0</v>
      </c>
      <c r="P987" s="1" t="n">
        <f aca="false">IF($A987="","",SUMIFS(物件収支!$I:$I,物件収支!$A:$A,$A987,物件収支!$C:$C,$M987))</f>
        <v>0</v>
      </c>
      <c r="Q987" s="1" t="n">
        <f aca="false">IF($A987="","",SUMIFS(物件収支!$O:$O,物件収支!$A:$A,$A987,物件収支!$C:$C,$M987))</f>
        <v>0</v>
      </c>
      <c r="R987" s="1" t="str">
        <f aca="false">IF($A987="","",IF(P987=0,"",O987-P987))</f>
        <v/>
      </c>
      <c r="S987" s="1" t="str">
        <f aca="false">IF($A987="","",IF(R987="","",R987+Q987))</f>
        <v/>
      </c>
      <c r="T987" s="1" t="str">
        <f aca="false">IF($A987="","",IF(OR(S987="",N987&lt;=0),"",S987/1000*12/N987))</f>
        <v/>
      </c>
      <c r="U987" s="1" t="str">
        <f aca="false">IF($A987="","",IF(OR(T987="",J987=0,J987=""),"",T987/J987))</f>
        <v/>
      </c>
      <c r="V987" s="1" t="str">
        <f aca="false">IF($A987="","",IF(OR(R987="",N987&lt;=0,J987=0,J987=""),"",(R987/1000*12/N987)/J987))</f>
        <v/>
      </c>
      <c r="W987" s="1" t="str">
        <f aca="false">IF($A987="","",IF(OR(T987="",K987=0,K987=""),"",T987/K987))</f>
        <v/>
      </c>
      <c r="X987" s="1" t="str">
        <f aca="false">IF($A987="","",IF(OR(N987&lt;=0,I987=0,I987="",O987=0),"",O987*1000/(I987*0.3025)/N987))</f>
        <v/>
      </c>
      <c r="Y987" s="1" t="str">
        <f aca="false">IF($A987="","",IF(OR(O987=0,O987="",P987=0),"",P987/O987))</f>
        <v/>
      </c>
      <c r="Z987" s="1" t="str">
        <f aca="false">IF($A987="","",IFERROR(INDEX(物件収支!$E:$E,MATCH($A987,物件収支!$A:$A,0)),""))</f>
        <v>非開示</v>
      </c>
    </row>
    <row r="988" customFormat="false" ht="15" hidden="false" customHeight="true" outlineLevel="0" collapsed="false">
      <c r="A988" s="1" t="str">
        <f aca="false">IF(物件マスタ!A988="","",物件マスタ!A988)</f>
        <v>KDX-247</v>
      </c>
      <c r="B988" s="1" t="str">
        <f aca="false">IF($A988="","",物件マスタ!B988)</f>
        <v>KDX</v>
      </c>
      <c r="C988" s="1" t="str">
        <f aca="false">IF($A988="","",IFERROR(INDEX(法人マスタ!$C:$C,MATCH($B988,法人マスタ!$A:$A,0)),""))</f>
        <v>ＫＤＸ不動産投資法人</v>
      </c>
      <c r="D988" s="1" t="str">
        <f aca="false">IF($A988="","",物件マスタ!C988)</f>
        <v>コンフォートマーケット西馬込店</v>
      </c>
      <c r="E988" s="1" t="str">
        <f aca="false">IF($A988="","",物件マスタ!H988)</f>
        <v>東京経済圏（KDX区分）</v>
      </c>
      <c r="F988" s="1" t="n">
        <f aca="false">IF($A988="","",物件マスタ!P988)</f>
        <v>0</v>
      </c>
      <c r="G988" s="1" t="str">
        <f aca="false">IF($A988="","",物件マスタ!Q988)</f>
        <v/>
      </c>
      <c r="H988" s="1" t="n">
        <f aca="false">IF($A988="","",物件マスタ!L988)</f>
        <v>0</v>
      </c>
      <c r="I988" s="1" t="n">
        <f aca="false">IF($A988="","",物件マスタ!M988)</f>
        <v>1456.86</v>
      </c>
      <c r="J988" s="1" t="n">
        <f aca="false">IF($A988="","",物件マスタ!S988)</f>
        <v>2140</v>
      </c>
      <c r="K988" s="1" t="n">
        <f aca="false">IF($A988="","",物件マスタ!U988)</f>
        <v>2210</v>
      </c>
      <c r="L988" s="1" t="n">
        <f aca="false">IF($A988="","",物件マスタ!W988)</f>
        <v>1</v>
      </c>
      <c r="M988" s="1" t="str">
        <f aca="false">IF($A988="","",IFERROR(INDEX(法人マスタ!$H:$H,MATCH($B988,法人マスタ!$A:$A,0)),""))</f>
        <v>2026年4月期（第42期）</v>
      </c>
      <c r="N988" s="1" t="n">
        <f aca="false">IF($A988="","",SUMIFS(物件収支!$D:$D,物件収支!$A:$A,$A988,物件収支!$C:$C,$M988))</f>
        <v>6</v>
      </c>
      <c r="O988" s="1" t="n">
        <f aca="false">IF($A988="","",SUMIFS(物件収支!$F:$F,物件収支!$A:$A,$A988,物件収支!$C:$C,$M988))</f>
        <v>0</v>
      </c>
      <c r="P988" s="1" t="n">
        <f aca="false">IF($A988="","",SUMIFS(物件収支!$I:$I,物件収支!$A:$A,$A988,物件収支!$C:$C,$M988))</f>
        <v>0</v>
      </c>
      <c r="Q988" s="1" t="n">
        <f aca="false">IF($A988="","",SUMIFS(物件収支!$O:$O,物件収支!$A:$A,$A988,物件収支!$C:$C,$M988))</f>
        <v>0</v>
      </c>
      <c r="R988" s="1" t="str">
        <f aca="false">IF($A988="","",IF(P988=0,"",O988-P988))</f>
        <v/>
      </c>
      <c r="S988" s="1" t="str">
        <f aca="false">IF($A988="","",IF(R988="","",R988+Q988))</f>
        <v/>
      </c>
      <c r="T988" s="1" t="str">
        <f aca="false">IF($A988="","",IF(OR(S988="",N988&lt;=0),"",S988/1000*12/N988))</f>
        <v/>
      </c>
      <c r="U988" s="1" t="str">
        <f aca="false">IF($A988="","",IF(OR(T988="",J988=0,J988=""),"",T988/J988))</f>
        <v/>
      </c>
      <c r="V988" s="1" t="str">
        <f aca="false">IF($A988="","",IF(OR(R988="",N988&lt;=0,J988=0,J988=""),"",(R988/1000*12/N988)/J988))</f>
        <v/>
      </c>
      <c r="W988" s="1" t="str">
        <f aca="false">IF($A988="","",IF(OR(T988="",K988=0,K988=""),"",T988/K988))</f>
        <v/>
      </c>
      <c r="X988" s="1" t="str">
        <f aca="false">IF($A988="","",IF(OR(N988&lt;=0,I988=0,I988="",O988=0),"",O988*1000/(I988*0.3025)/N988))</f>
        <v/>
      </c>
      <c r="Y988" s="1" t="str">
        <f aca="false">IF($A988="","",IF(OR(O988=0,O988="",P988=0),"",P988/O988))</f>
        <v/>
      </c>
      <c r="Z988" s="1" t="str">
        <f aca="false">IF($A988="","",IFERROR(INDEX(物件収支!$E:$E,MATCH($A988,物件収支!$A:$A,0)),""))</f>
        <v>非開示</v>
      </c>
    </row>
    <row r="989" customFormat="false" ht="15" hidden="false" customHeight="true" outlineLevel="0" collapsed="false">
      <c r="A989" s="1" t="str">
        <f aca="false">IF(物件マスタ!A989="","",物件マスタ!A989)</f>
        <v>KDX-248</v>
      </c>
      <c r="B989" s="1" t="str">
        <f aca="false">IF($A989="","",物件マスタ!B989)</f>
        <v>KDX</v>
      </c>
      <c r="C989" s="1" t="str">
        <f aca="false">IF($A989="","",IFERROR(INDEX(法人マスタ!$C:$C,MATCH($B989,法人マスタ!$A:$A,0)),""))</f>
        <v>ＫＤＸ不動産投資法人</v>
      </c>
      <c r="D989" s="1" t="str">
        <f aca="false">IF($A989="","",物件マスタ!C989)</f>
        <v>ウニクス浦和美園(底地)</v>
      </c>
      <c r="E989" s="1" t="str">
        <f aca="false">IF($A989="","",物件マスタ!H989)</f>
        <v>東京経済圏（KDX区分）</v>
      </c>
      <c r="F989" s="1" t="n">
        <f aca="false">IF($A989="","",物件マスタ!P989)</f>
        <v>0</v>
      </c>
      <c r="G989" s="1" t="str">
        <f aca="false">IF($A989="","",物件マスタ!Q989)</f>
        <v/>
      </c>
      <c r="H989" s="1" t="n">
        <f aca="false">IF($A989="","",物件マスタ!L989)</f>
        <v>0</v>
      </c>
      <c r="I989" s="1" t="n">
        <f aca="false">IF($A989="","",物件マスタ!M989)</f>
        <v>3533.59</v>
      </c>
      <c r="J989" s="1" t="n">
        <f aca="false">IF($A989="","",物件マスタ!S989)</f>
        <v>881</v>
      </c>
      <c r="K989" s="1" t="n">
        <f aca="false">IF($A989="","",物件マスタ!U989)</f>
        <v>881</v>
      </c>
      <c r="L989" s="1" t="n">
        <f aca="false">IF($A989="","",物件マスタ!W989)</f>
        <v>1</v>
      </c>
      <c r="M989" s="1" t="str">
        <f aca="false">IF($A989="","",IFERROR(INDEX(法人マスタ!$H:$H,MATCH($B989,法人マスタ!$A:$A,0)),""))</f>
        <v>2026年4月期（第42期）</v>
      </c>
      <c r="N989" s="1" t="n">
        <f aca="false">IF($A989="","",SUMIFS(物件収支!$D:$D,物件収支!$A:$A,$A989,物件収支!$C:$C,$M989))</f>
        <v>6</v>
      </c>
      <c r="O989" s="1" t="n">
        <f aca="false">IF($A989="","",SUMIFS(物件収支!$F:$F,物件収支!$A:$A,$A989,物件収支!$C:$C,$M989))</f>
        <v>19000</v>
      </c>
      <c r="P989" s="1" t="n">
        <f aca="false">IF($A989="","",SUMIFS(物件収支!$I:$I,物件収支!$A:$A,$A989,物件収支!$C:$C,$M989))</f>
        <v>0</v>
      </c>
      <c r="Q989" s="1" t="n">
        <f aca="false">IF($A989="","",SUMIFS(物件収支!$O:$O,物件収支!$A:$A,$A989,物件収支!$C:$C,$M989))</f>
        <v>0</v>
      </c>
      <c r="R989" s="1" t="str">
        <f aca="false">IF($A989="","",IF(P989=0,"",O989-P989))</f>
        <v/>
      </c>
      <c r="S989" s="1" t="str">
        <f aca="false">IF($A989="","",IF(R989="","",R989+Q989))</f>
        <v/>
      </c>
      <c r="T989" s="1" t="str">
        <f aca="false">IF($A989="","",IF(OR(S989="",N989&lt;=0),"",S989/1000*12/N989))</f>
        <v/>
      </c>
      <c r="U989" s="1" t="str">
        <f aca="false">IF($A989="","",IF(OR(T989="",J989=0,J989=""),"",T989/J989))</f>
        <v/>
      </c>
      <c r="V989" s="1" t="str">
        <f aca="false">IF($A989="","",IF(OR(R989="",N989&lt;=0,J989=0,J989=""),"",(R989/1000*12/N989)/J989))</f>
        <v/>
      </c>
      <c r="W989" s="1" t="str">
        <f aca="false">IF($A989="","",IF(OR(T989="",K989=0,K989=""),"",T989/K989))</f>
        <v/>
      </c>
      <c r="X989" s="1" t="n">
        <f aca="false">IF($A989="","",IF(OR(N989&lt;=0,I989=0,I989="",O989=0),"",O989*1000/(I989*0.3025)/N989))</f>
        <v>2962.51674903672</v>
      </c>
      <c r="Y989" s="1" t="str">
        <f aca="false">IF($A989="","",IF(OR(O989=0,O989="",P989=0),"",P989/O989))</f>
        <v/>
      </c>
      <c r="Z989" s="1" t="str">
        <f aca="false">IF($A989="","",IFERROR(INDEX(物件収支!$E:$E,MATCH($A989,物件収支!$A:$A,0)),""))</f>
        <v>開示（物件別・収益のみ・百万円単位）</v>
      </c>
    </row>
    <row r="990" customFormat="false" ht="15" hidden="false" customHeight="true" outlineLevel="0" collapsed="false">
      <c r="A990" s="1" t="str">
        <f aca="false">IF(物件マスタ!A990="","",物件マスタ!A990)</f>
        <v>KDX-249</v>
      </c>
      <c r="B990" s="1" t="str">
        <f aca="false">IF($A990="","",物件マスタ!B990)</f>
        <v>KDX</v>
      </c>
      <c r="C990" s="1" t="str">
        <f aca="false">IF($A990="","",IFERROR(INDEX(法人マスタ!$C:$C,MATCH($B990,法人マスタ!$A:$A,0)),""))</f>
        <v>ＫＤＸ不動産投資法人</v>
      </c>
      <c r="D990" s="1" t="str">
        <f aca="false">IF($A990="","",物件マスタ!C990)</f>
        <v>キテラタウン調布</v>
      </c>
      <c r="E990" s="1" t="str">
        <f aca="false">IF($A990="","",物件マスタ!H990)</f>
        <v>東京経済圏（KDX区分）</v>
      </c>
      <c r="F990" s="1" t="n">
        <f aca="false">IF($A990="","",物件マスタ!P990)</f>
        <v>0</v>
      </c>
      <c r="G990" s="1" t="str">
        <f aca="false">IF($A990="","",物件マスタ!Q990)</f>
        <v/>
      </c>
      <c r="H990" s="1" t="n">
        <f aca="false">IF($A990="","",物件マスタ!L990)</f>
        <v>0</v>
      </c>
      <c r="I990" s="1" t="n">
        <f aca="false">IF($A990="","",物件マスタ!M990)</f>
        <v>10665.73</v>
      </c>
      <c r="J990" s="1" t="n">
        <f aca="false">IF($A990="","",物件マスタ!S990)</f>
        <v>11400</v>
      </c>
      <c r="K990" s="1" t="n">
        <f aca="false">IF($A990="","",物件マスタ!U990)</f>
        <v>11100</v>
      </c>
      <c r="L990" s="1" t="n">
        <f aca="false">IF($A990="","",物件マスタ!W990)</f>
        <v>0.942</v>
      </c>
      <c r="M990" s="1" t="str">
        <f aca="false">IF($A990="","",IFERROR(INDEX(法人マスタ!$H:$H,MATCH($B990,法人マスタ!$A:$A,0)),""))</f>
        <v>2026年4月期（第42期）</v>
      </c>
      <c r="N990" s="1" t="n">
        <f aca="false">IF($A990="","",SUMIFS(物件収支!$D:$D,物件収支!$A:$A,$A990,物件収支!$C:$C,$M990))</f>
        <v>6</v>
      </c>
      <c r="O990" s="1" t="n">
        <f aca="false">IF($A990="","",SUMIFS(物件収支!$F:$F,物件収支!$A:$A,$A990,物件収支!$C:$C,$M990))</f>
        <v>358000</v>
      </c>
      <c r="P990" s="1" t="n">
        <f aca="false">IF($A990="","",SUMIFS(物件収支!$I:$I,物件収支!$A:$A,$A990,物件収支!$C:$C,$M990))</f>
        <v>0</v>
      </c>
      <c r="Q990" s="1" t="n">
        <f aca="false">IF($A990="","",SUMIFS(物件収支!$O:$O,物件収支!$A:$A,$A990,物件収支!$C:$C,$M990))</f>
        <v>0</v>
      </c>
      <c r="R990" s="1" t="str">
        <f aca="false">IF($A990="","",IF(P990=0,"",O990-P990))</f>
        <v/>
      </c>
      <c r="S990" s="1" t="str">
        <f aca="false">IF($A990="","",IF(R990="","",R990+Q990))</f>
        <v/>
      </c>
      <c r="T990" s="1" t="str">
        <f aca="false">IF($A990="","",IF(OR(S990="",N990&lt;=0),"",S990/1000*12/N990))</f>
        <v/>
      </c>
      <c r="U990" s="1" t="str">
        <f aca="false">IF($A990="","",IF(OR(T990="",J990=0,J990=""),"",T990/J990))</f>
        <v/>
      </c>
      <c r="V990" s="1" t="str">
        <f aca="false">IF($A990="","",IF(OR(R990="",N990&lt;=0,J990=0,J990=""),"",(R990/1000*12/N990)/J990))</f>
        <v/>
      </c>
      <c r="W990" s="1" t="str">
        <f aca="false">IF($A990="","",IF(OR(T990="",K990=0,K990=""),"",T990/K990))</f>
        <v/>
      </c>
      <c r="X990" s="1" t="n">
        <f aca="false">IF($A990="","",IF(OR(N990&lt;=0,I990=0,I990="",O990=0),"",O990*1000/(I990*0.3025)/N990))</f>
        <v>18493.3594853199</v>
      </c>
      <c r="Y990" s="1" t="str">
        <f aca="false">IF($A990="","",IF(OR(O990=0,O990="",P990=0),"",P990/O990))</f>
        <v/>
      </c>
      <c r="Z990" s="1" t="str">
        <f aca="false">IF($A990="","",IFERROR(INDEX(物件収支!$E:$E,MATCH($A990,物件収支!$A:$A,0)),""))</f>
        <v>開示（物件別・収益のみ・百万円単位）</v>
      </c>
    </row>
    <row r="991" customFormat="false" ht="15" hidden="false" customHeight="true" outlineLevel="0" collapsed="false">
      <c r="A991" s="1" t="str">
        <f aca="false">IF(物件マスタ!A991="","",物件マスタ!A991)</f>
        <v>KDX-250</v>
      </c>
      <c r="B991" s="1" t="str">
        <f aca="false">IF($A991="","",物件マスタ!B991)</f>
        <v>KDX</v>
      </c>
      <c r="C991" s="1" t="str">
        <f aca="false">IF($A991="","",IFERROR(INDEX(法人マスタ!$C:$C,MATCH($B991,法人マスタ!$A:$A,0)),""))</f>
        <v>ＫＤＸ不動産投資法人</v>
      </c>
      <c r="D991" s="1" t="str">
        <f aca="false">IF($A991="","",物件マスタ!C991)</f>
        <v>キテラプラザ青葉台</v>
      </c>
      <c r="E991" s="1" t="str">
        <f aca="false">IF($A991="","",物件マスタ!H991)</f>
        <v>東京経済圏（KDX区分）</v>
      </c>
      <c r="F991" s="1" t="n">
        <f aca="false">IF($A991="","",物件マスタ!P991)</f>
        <v>0</v>
      </c>
      <c r="G991" s="1" t="str">
        <f aca="false">IF($A991="","",物件マスタ!Q991)</f>
        <v/>
      </c>
      <c r="H991" s="1" t="n">
        <f aca="false">IF($A991="","",物件マスタ!L991)</f>
        <v>0</v>
      </c>
      <c r="I991" s="1" t="n">
        <f aca="false">IF($A991="","",物件マスタ!M991)</f>
        <v>3030.58</v>
      </c>
      <c r="J991" s="1" t="n">
        <f aca="false">IF($A991="","",物件マスタ!S991)</f>
        <v>3680</v>
      </c>
      <c r="K991" s="1" t="n">
        <f aca="false">IF($A991="","",物件マスタ!U991)</f>
        <v>3870</v>
      </c>
      <c r="L991" s="1" t="n">
        <f aca="false">IF($A991="","",物件マスタ!W991)</f>
        <v>0.915</v>
      </c>
      <c r="M991" s="1" t="str">
        <f aca="false">IF($A991="","",IFERROR(INDEX(法人マスタ!$H:$H,MATCH($B991,法人マスタ!$A:$A,0)),""))</f>
        <v>2026年4月期（第42期）</v>
      </c>
      <c r="N991" s="1" t="n">
        <f aca="false">IF($A991="","",SUMIFS(物件収支!$D:$D,物件収支!$A:$A,$A991,物件収支!$C:$C,$M991))</f>
        <v>6</v>
      </c>
      <c r="O991" s="1" t="n">
        <f aca="false">IF($A991="","",SUMIFS(物件収支!$F:$F,物件収支!$A:$A,$A991,物件収支!$C:$C,$M991))</f>
        <v>114000</v>
      </c>
      <c r="P991" s="1" t="n">
        <f aca="false">IF($A991="","",SUMIFS(物件収支!$I:$I,物件収支!$A:$A,$A991,物件収支!$C:$C,$M991))</f>
        <v>0</v>
      </c>
      <c r="Q991" s="1" t="n">
        <f aca="false">IF($A991="","",SUMIFS(物件収支!$O:$O,物件収支!$A:$A,$A991,物件収支!$C:$C,$M991))</f>
        <v>0</v>
      </c>
      <c r="R991" s="1" t="str">
        <f aca="false">IF($A991="","",IF(P991=0,"",O991-P991))</f>
        <v/>
      </c>
      <c r="S991" s="1" t="str">
        <f aca="false">IF($A991="","",IF(R991="","",R991+Q991))</f>
        <v/>
      </c>
      <c r="T991" s="1" t="str">
        <f aca="false">IF($A991="","",IF(OR(S991="",N991&lt;=0),"",S991/1000*12/N991))</f>
        <v/>
      </c>
      <c r="U991" s="1" t="str">
        <f aca="false">IF($A991="","",IF(OR(T991="",J991=0,J991=""),"",T991/J991))</f>
        <v/>
      </c>
      <c r="V991" s="1" t="str">
        <f aca="false">IF($A991="","",IF(OR(R991="",N991&lt;=0,J991=0,J991=""),"",(R991/1000*12/N991)/J991))</f>
        <v/>
      </c>
      <c r="W991" s="1" t="str">
        <f aca="false">IF($A991="","",IF(OR(T991="",K991=0,K991=""),"",T991/K991))</f>
        <v/>
      </c>
      <c r="X991" s="1" t="n">
        <f aca="false">IF($A991="","",IF(OR(N991&lt;=0,I991=0,I991="",O991=0),"",O991*1000/(I991*0.3025)/N991))</f>
        <v>20725.3784276844</v>
      </c>
      <c r="Y991" s="1" t="str">
        <f aca="false">IF($A991="","",IF(OR(O991=0,O991="",P991=0),"",P991/O991))</f>
        <v/>
      </c>
      <c r="Z991" s="1" t="str">
        <f aca="false">IF($A991="","",IFERROR(INDEX(物件収支!$E:$E,MATCH($A991,物件収支!$A:$A,0)),""))</f>
        <v>開示（物件別・収益のみ・百万円単位）</v>
      </c>
    </row>
    <row r="992" customFormat="false" ht="15" hidden="false" customHeight="true" outlineLevel="0" collapsed="false">
      <c r="A992" s="1" t="str">
        <f aca="false">IF(物件マスタ!A992="","",物件マスタ!A992)</f>
        <v>KDX-251</v>
      </c>
      <c r="B992" s="1" t="str">
        <f aca="false">IF($A992="","",物件マスタ!B992)</f>
        <v>KDX</v>
      </c>
      <c r="C992" s="1" t="str">
        <f aca="false">IF($A992="","",IFERROR(INDEX(法人マスタ!$C:$C,MATCH($B992,法人マスタ!$A:$A,0)),""))</f>
        <v>ＫＤＸ不動産投資法人</v>
      </c>
      <c r="D992" s="1" t="str">
        <f aca="false">IF($A992="","",物件マスタ!C992)</f>
        <v>東松山ショッピングセンター</v>
      </c>
      <c r="E992" s="1" t="str">
        <f aca="false">IF($A992="","",物件マスタ!H992)</f>
        <v>東京経済圏（KDX区分）</v>
      </c>
      <c r="F992" s="1" t="n">
        <f aca="false">IF($A992="","",物件マスタ!P992)</f>
        <v>0</v>
      </c>
      <c r="G992" s="1" t="str">
        <f aca="false">IF($A992="","",物件マスタ!Q992)</f>
        <v/>
      </c>
      <c r="H992" s="1" t="n">
        <f aca="false">IF($A992="","",物件マスタ!L992)</f>
        <v>0</v>
      </c>
      <c r="I992" s="1" t="n">
        <f aca="false">IF($A992="","",物件マスタ!M992)</f>
        <v>36490.48</v>
      </c>
      <c r="J992" s="1" t="n">
        <f aca="false">IF($A992="","",物件マスタ!S992)</f>
        <v>4670</v>
      </c>
      <c r="K992" s="1" t="n">
        <f aca="false">IF($A992="","",物件マスタ!U992)</f>
        <v>3660</v>
      </c>
      <c r="L992" s="1" t="n">
        <f aca="false">IF($A992="","",物件マスタ!W992)</f>
        <v>1</v>
      </c>
      <c r="M992" s="1" t="str">
        <f aca="false">IF($A992="","",IFERROR(INDEX(法人マスタ!$H:$H,MATCH($B992,法人マスタ!$A:$A,0)),""))</f>
        <v>2026年4月期（第42期）</v>
      </c>
      <c r="N992" s="1" t="n">
        <f aca="false">IF($A992="","",SUMIFS(物件収支!$D:$D,物件収支!$A:$A,$A992,物件収支!$C:$C,$M992))</f>
        <v>6</v>
      </c>
      <c r="O992" s="1" t="n">
        <f aca="false">IF($A992="","",SUMIFS(物件収支!$F:$F,物件収支!$A:$A,$A992,物件収支!$C:$C,$M992))</f>
        <v>0</v>
      </c>
      <c r="P992" s="1" t="n">
        <f aca="false">IF($A992="","",SUMIFS(物件収支!$I:$I,物件収支!$A:$A,$A992,物件収支!$C:$C,$M992))</f>
        <v>0</v>
      </c>
      <c r="Q992" s="1" t="n">
        <f aca="false">IF($A992="","",SUMIFS(物件収支!$O:$O,物件収支!$A:$A,$A992,物件収支!$C:$C,$M992))</f>
        <v>0</v>
      </c>
      <c r="R992" s="1" t="str">
        <f aca="false">IF($A992="","",IF(P992=0,"",O992-P992))</f>
        <v/>
      </c>
      <c r="S992" s="1" t="str">
        <f aca="false">IF($A992="","",IF(R992="","",R992+Q992))</f>
        <v/>
      </c>
      <c r="T992" s="1" t="str">
        <f aca="false">IF($A992="","",IF(OR(S992="",N992&lt;=0),"",S992/1000*12/N992))</f>
        <v/>
      </c>
      <c r="U992" s="1" t="str">
        <f aca="false">IF($A992="","",IF(OR(T992="",J992=0,J992=""),"",T992/J992))</f>
        <v/>
      </c>
      <c r="V992" s="1" t="str">
        <f aca="false">IF($A992="","",IF(OR(R992="",N992&lt;=0,J992=0,J992=""),"",(R992/1000*12/N992)/J992))</f>
        <v/>
      </c>
      <c r="W992" s="1" t="str">
        <f aca="false">IF($A992="","",IF(OR(T992="",K992=0,K992=""),"",T992/K992))</f>
        <v/>
      </c>
      <c r="X992" s="1" t="str">
        <f aca="false">IF($A992="","",IF(OR(N992&lt;=0,I992=0,I992="",O992=0),"",O992*1000/(I992*0.3025)/N992))</f>
        <v/>
      </c>
      <c r="Y992" s="1" t="str">
        <f aca="false">IF($A992="","",IF(OR(O992=0,O992="",P992=0),"",P992/O992))</f>
        <v/>
      </c>
      <c r="Z992" s="1" t="str">
        <f aca="false">IF($A992="","",IFERROR(INDEX(物件収支!$E:$E,MATCH($A992,物件収支!$A:$A,0)),""))</f>
        <v>非開示</v>
      </c>
    </row>
    <row r="993" customFormat="false" ht="15" hidden="false" customHeight="true" outlineLevel="0" collapsed="false">
      <c r="A993" s="1" t="str">
        <f aca="false">IF(物件マスタ!A993="","",物件マスタ!A993)</f>
        <v>KDX-252</v>
      </c>
      <c r="B993" s="1" t="str">
        <f aca="false">IF($A993="","",物件マスタ!B993)</f>
        <v>KDX</v>
      </c>
      <c r="C993" s="1" t="str">
        <f aca="false">IF($A993="","",IFERROR(INDEX(法人マスタ!$C:$C,MATCH($B993,法人マスタ!$A:$A,0)),""))</f>
        <v>ＫＤＸ不動産投資法人</v>
      </c>
      <c r="D993" s="1" t="str">
        <f aca="false">IF($A993="","",物件マスタ!C993)</f>
        <v>ヨークマート東道野辺店</v>
      </c>
      <c r="E993" s="1" t="str">
        <f aca="false">IF($A993="","",物件マスタ!H993)</f>
        <v>東京経済圏（KDX区分）</v>
      </c>
      <c r="F993" s="1" t="n">
        <f aca="false">IF($A993="","",物件マスタ!P993)</f>
        <v>0</v>
      </c>
      <c r="G993" s="1" t="str">
        <f aca="false">IF($A993="","",物件マスタ!Q993)</f>
        <v/>
      </c>
      <c r="H993" s="1" t="n">
        <f aca="false">IF($A993="","",物件マスタ!L993)</f>
        <v>0</v>
      </c>
      <c r="I993" s="1" t="n">
        <f aca="false">IF($A993="","",物件マスタ!M993)</f>
        <v>9212.78</v>
      </c>
      <c r="J993" s="1" t="n">
        <f aca="false">IF($A993="","",物件マスタ!S993)</f>
        <v>4620</v>
      </c>
      <c r="K993" s="1" t="n">
        <f aca="false">IF($A993="","",物件マスタ!U993)</f>
        <v>4810</v>
      </c>
      <c r="L993" s="1" t="n">
        <f aca="false">IF($A993="","",物件マスタ!W993)</f>
        <v>1</v>
      </c>
      <c r="M993" s="1" t="str">
        <f aca="false">IF($A993="","",IFERROR(INDEX(法人マスタ!$H:$H,MATCH($B993,法人マスタ!$A:$A,0)),""))</f>
        <v>2026年4月期（第42期）</v>
      </c>
      <c r="N993" s="1" t="n">
        <f aca="false">IF($A993="","",SUMIFS(物件収支!$D:$D,物件収支!$A:$A,$A993,物件収支!$C:$C,$M993))</f>
        <v>6</v>
      </c>
      <c r="O993" s="1" t="n">
        <f aca="false">IF($A993="","",SUMIFS(物件収支!$F:$F,物件収支!$A:$A,$A993,物件収支!$C:$C,$M993))</f>
        <v>0</v>
      </c>
      <c r="P993" s="1" t="n">
        <f aca="false">IF($A993="","",SUMIFS(物件収支!$I:$I,物件収支!$A:$A,$A993,物件収支!$C:$C,$M993))</f>
        <v>0</v>
      </c>
      <c r="Q993" s="1" t="n">
        <f aca="false">IF($A993="","",SUMIFS(物件収支!$O:$O,物件収支!$A:$A,$A993,物件収支!$C:$C,$M993))</f>
        <v>0</v>
      </c>
      <c r="R993" s="1" t="str">
        <f aca="false">IF($A993="","",IF(P993=0,"",O993-P993))</f>
        <v/>
      </c>
      <c r="S993" s="1" t="str">
        <f aca="false">IF($A993="","",IF(R993="","",R993+Q993))</f>
        <v/>
      </c>
      <c r="T993" s="1" t="str">
        <f aca="false">IF($A993="","",IF(OR(S993="",N993&lt;=0),"",S993/1000*12/N993))</f>
        <v/>
      </c>
      <c r="U993" s="1" t="str">
        <f aca="false">IF($A993="","",IF(OR(T993="",J993=0,J993=""),"",T993/J993))</f>
        <v/>
      </c>
      <c r="V993" s="1" t="str">
        <f aca="false">IF($A993="","",IF(OR(R993="",N993&lt;=0,J993=0,J993=""),"",(R993/1000*12/N993)/J993))</f>
        <v/>
      </c>
      <c r="W993" s="1" t="str">
        <f aca="false">IF($A993="","",IF(OR(T993="",K993=0,K993=""),"",T993/K993))</f>
        <v/>
      </c>
      <c r="X993" s="1" t="str">
        <f aca="false">IF($A993="","",IF(OR(N993&lt;=0,I993=0,I993="",O993=0),"",O993*1000/(I993*0.3025)/N993))</f>
        <v/>
      </c>
      <c r="Y993" s="1" t="str">
        <f aca="false">IF($A993="","",IF(OR(O993=0,O993="",P993=0),"",P993/O993))</f>
        <v/>
      </c>
      <c r="Z993" s="1" t="str">
        <f aca="false">IF($A993="","",IFERROR(INDEX(物件収支!$E:$E,MATCH($A993,物件収支!$A:$A,0)),""))</f>
        <v>非開示</v>
      </c>
    </row>
    <row r="994" customFormat="false" ht="15" hidden="false" customHeight="true" outlineLevel="0" collapsed="false">
      <c r="A994" s="1" t="str">
        <f aca="false">IF(物件マスタ!A994="","",物件マスタ!A994)</f>
        <v>KDX-253</v>
      </c>
      <c r="B994" s="1" t="str">
        <f aca="false">IF($A994="","",物件マスタ!B994)</f>
        <v>KDX</v>
      </c>
      <c r="C994" s="1" t="str">
        <f aca="false">IF($A994="","",IFERROR(INDEX(法人マスタ!$C:$C,MATCH($B994,法人マスタ!$A:$A,0)),""))</f>
        <v>ＫＤＸ不動産投資法人</v>
      </c>
      <c r="D994" s="1" t="str">
        <f aca="false">IF($A994="","",物件マスタ!C994)</f>
        <v>いなげや新ゆりヨネッティー王禅寺前店</v>
      </c>
      <c r="E994" s="1" t="str">
        <f aca="false">IF($A994="","",物件マスタ!H994)</f>
        <v>東京経済圏（KDX区分）</v>
      </c>
      <c r="F994" s="1" t="n">
        <f aca="false">IF($A994="","",物件マスタ!P994)</f>
        <v>0</v>
      </c>
      <c r="G994" s="1" t="str">
        <f aca="false">IF($A994="","",物件マスタ!Q994)</f>
        <v/>
      </c>
      <c r="H994" s="1" t="n">
        <f aca="false">IF($A994="","",物件マスタ!L994)</f>
        <v>0</v>
      </c>
      <c r="I994" s="1" t="n">
        <f aca="false">IF($A994="","",物件マスタ!M994)</f>
        <v>9691.09</v>
      </c>
      <c r="J994" s="1" t="n">
        <f aca="false">IF($A994="","",物件マスタ!S994)</f>
        <v>3569</v>
      </c>
      <c r="K994" s="1" t="n">
        <f aca="false">IF($A994="","",物件マスタ!U994)</f>
        <v>3660</v>
      </c>
      <c r="L994" s="1" t="n">
        <f aca="false">IF($A994="","",物件マスタ!W994)</f>
        <v>1</v>
      </c>
      <c r="M994" s="1" t="str">
        <f aca="false">IF($A994="","",IFERROR(INDEX(法人マスタ!$H:$H,MATCH($B994,法人マスタ!$A:$A,0)),""))</f>
        <v>2026年4月期（第42期）</v>
      </c>
      <c r="N994" s="1" t="n">
        <f aca="false">IF($A994="","",SUMIFS(物件収支!$D:$D,物件収支!$A:$A,$A994,物件収支!$C:$C,$M994))</f>
        <v>6</v>
      </c>
      <c r="O994" s="1" t="n">
        <f aca="false">IF($A994="","",SUMIFS(物件収支!$F:$F,物件収支!$A:$A,$A994,物件収支!$C:$C,$M994))</f>
        <v>0</v>
      </c>
      <c r="P994" s="1" t="n">
        <f aca="false">IF($A994="","",SUMIFS(物件収支!$I:$I,物件収支!$A:$A,$A994,物件収支!$C:$C,$M994))</f>
        <v>0</v>
      </c>
      <c r="Q994" s="1" t="n">
        <f aca="false">IF($A994="","",SUMIFS(物件収支!$O:$O,物件収支!$A:$A,$A994,物件収支!$C:$C,$M994))</f>
        <v>0</v>
      </c>
      <c r="R994" s="1" t="str">
        <f aca="false">IF($A994="","",IF(P994=0,"",O994-P994))</f>
        <v/>
      </c>
      <c r="S994" s="1" t="str">
        <f aca="false">IF($A994="","",IF(R994="","",R994+Q994))</f>
        <v/>
      </c>
      <c r="T994" s="1" t="str">
        <f aca="false">IF($A994="","",IF(OR(S994="",N994&lt;=0),"",S994/1000*12/N994))</f>
        <v/>
      </c>
      <c r="U994" s="1" t="str">
        <f aca="false">IF($A994="","",IF(OR(T994="",J994=0,J994=""),"",T994/J994))</f>
        <v/>
      </c>
      <c r="V994" s="1" t="str">
        <f aca="false">IF($A994="","",IF(OR(R994="",N994&lt;=0,J994=0,J994=""),"",(R994/1000*12/N994)/J994))</f>
        <v/>
      </c>
      <c r="W994" s="1" t="str">
        <f aca="false">IF($A994="","",IF(OR(T994="",K994=0,K994=""),"",T994/K994))</f>
        <v/>
      </c>
      <c r="X994" s="1" t="str">
        <f aca="false">IF($A994="","",IF(OR(N994&lt;=0,I994=0,I994="",O994=0),"",O994*1000/(I994*0.3025)/N994))</f>
        <v/>
      </c>
      <c r="Y994" s="1" t="str">
        <f aca="false">IF($A994="","",IF(OR(O994=0,O994="",P994=0),"",P994/O994))</f>
        <v/>
      </c>
      <c r="Z994" s="1" t="str">
        <f aca="false">IF($A994="","",IFERROR(INDEX(物件収支!$E:$E,MATCH($A994,物件収支!$A:$A,0)),""))</f>
        <v>非開示</v>
      </c>
    </row>
    <row r="995" customFormat="false" ht="15" hidden="false" customHeight="true" outlineLevel="0" collapsed="false">
      <c r="A995" s="1" t="str">
        <f aca="false">IF(物件マスタ!A995="","",物件マスタ!A995)</f>
        <v>KDX-254</v>
      </c>
      <c r="B995" s="1" t="str">
        <f aca="false">IF($A995="","",物件マスタ!B995)</f>
        <v>KDX</v>
      </c>
      <c r="C995" s="1" t="str">
        <f aca="false">IF($A995="","",IFERROR(INDEX(法人マスタ!$C:$C,MATCH($B995,法人マスタ!$A:$A,0)),""))</f>
        <v>ＫＤＸ不動産投資法人</v>
      </c>
      <c r="D995" s="1" t="str">
        <f aca="false">IF($A995="","",物件マスタ!C995)</f>
        <v>イーアス高尾</v>
      </c>
      <c r="E995" s="1" t="str">
        <f aca="false">IF($A995="","",物件マスタ!H995)</f>
        <v>東京経済圏（KDX区分）</v>
      </c>
      <c r="F995" s="1" t="n">
        <f aca="false">IF($A995="","",物件マスタ!P995)</f>
        <v>0</v>
      </c>
      <c r="G995" s="1" t="str">
        <f aca="false">IF($A995="","",物件マスタ!Q995)</f>
        <v/>
      </c>
      <c r="H995" s="1" t="n">
        <f aca="false">IF($A995="","",物件マスタ!L995)</f>
        <v>0</v>
      </c>
      <c r="I995" s="1" t="n">
        <f aca="false">IF($A995="","",物件マスタ!M995)</f>
        <v>36813.59</v>
      </c>
      <c r="J995" s="1" t="n">
        <f aca="false">IF($A995="","",物件マスタ!S995)</f>
        <v>26300</v>
      </c>
      <c r="K995" s="1" t="n">
        <f aca="false">IF($A995="","",物件マスタ!U995)</f>
        <v>26700</v>
      </c>
      <c r="L995" s="1" t="n">
        <f aca="false">IF($A995="","",物件マスタ!W995)</f>
        <v>0.99</v>
      </c>
      <c r="M995" s="1" t="str">
        <f aca="false">IF($A995="","",IFERROR(INDEX(法人マスタ!$H:$H,MATCH($B995,法人マスタ!$A:$A,0)),""))</f>
        <v>2026年4月期（第42期）</v>
      </c>
      <c r="N995" s="1" t="n">
        <f aca="false">IF($A995="","",SUMIFS(物件収支!$D:$D,物件収支!$A:$A,$A995,物件収支!$C:$C,$M995))</f>
        <v>6</v>
      </c>
      <c r="O995" s="1" t="n">
        <f aca="false">IF($A995="","",SUMIFS(物件収支!$F:$F,物件収支!$A:$A,$A995,物件収支!$C:$C,$M995))</f>
        <v>655000</v>
      </c>
      <c r="P995" s="1" t="n">
        <f aca="false">IF($A995="","",SUMIFS(物件収支!$I:$I,物件収支!$A:$A,$A995,物件収支!$C:$C,$M995))</f>
        <v>0</v>
      </c>
      <c r="Q995" s="1" t="n">
        <f aca="false">IF($A995="","",SUMIFS(物件収支!$O:$O,物件収支!$A:$A,$A995,物件収支!$C:$C,$M995))</f>
        <v>0</v>
      </c>
      <c r="R995" s="1" t="str">
        <f aca="false">IF($A995="","",IF(P995=0,"",O995-P995))</f>
        <v/>
      </c>
      <c r="S995" s="1" t="str">
        <f aca="false">IF($A995="","",IF(R995="","",R995+Q995))</f>
        <v/>
      </c>
      <c r="T995" s="1" t="str">
        <f aca="false">IF($A995="","",IF(OR(S995="",N995&lt;=0),"",S995/1000*12/N995))</f>
        <v/>
      </c>
      <c r="U995" s="1" t="str">
        <f aca="false">IF($A995="","",IF(OR(T995="",J995=0,J995=""),"",T995/J995))</f>
        <v/>
      </c>
      <c r="V995" s="1" t="str">
        <f aca="false">IF($A995="","",IF(OR(R995="",N995&lt;=0,J995=0,J995=""),"",(R995/1000*12/N995)/J995))</f>
        <v/>
      </c>
      <c r="W995" s="1" t="str">
        <f aca="false">IF($A995="","",IF(OR(T995="",K995=0,K995=""),"",T995/K995))</f>
        <v/>
      </c>
      <c r="X995" s="1" t="n">
        <f aca="false">IF($A995="","",IF(OR(N995&lt;=0,I995=0,I995="",O995=0),"",O995*1000/(I995*0.3025)/N995))</f>
        <v>9802.94349721732</v>
      </c>
      <c r="Y995" s="1" t="str">
        <f aca="false">IF($A995="","",IF(OR(O995=0,O995="",P995=0),"",P995/O995))</f>
        <v/>
      </c>
      <c r="Z995" s="1" t="str">
        <f aca="false">IF($A995="","",IFERROR(INDEX(物件収支!$E:$E,MATCH($A995,物件収支!$A:$A,0)),""))</f>
        <v>開示（物件別・収益のみ・百万円単位）</v>
      </c>
    </row>
    <row r="996" customFormat="false" ht="15" hidden="false" customHeight="true" outlineLevel="0" collapsed="false">
      <c r="A996" s="1" t="str">
        <f aca="false">IF(物件マスタ!A996="","",物件マスタ!A996)</f>
        <v>KDX-255</v>
      </c>
      <c r="B996" s="1" t="str">
        <f aca="false">IF($A996="","",物件マスタ!B996)</f>
        <v>KDX</v>
      </c>
      <c r="C996" s="1" t="str">
        <f aca="false">IF($A996="","",IFERROR(INDEX(法人マスタ!$C:$C,MATCH($B996,法人マスタ!$A:$A,0)),""))</f>
        <v>ＫＤＸ不動産投資法人</v>
      </c>
      <c r="D996" s="1" t="str">
        <f aca="false">IF($A996="","",物件マスタ!C996)</f>
        <v>ロゼオ水戸</v>
      </c>
      <c r="E996" s="1" t="str">
        <f aca="false">IF($A996="","",物件マスタ!H996)</f>
        <v>地方経済圏（KDX区分）</v>
      </c>
      <c r="F996" s="1" t="n">
        <f aca="false">IF($A996="","",物件マスタ!P996)</f>
        <v>0</v>
      </c>
      <c r="G996" s="1" t="str">
        <f aca="false">IF($A996="","",物件マスタ!Q996)</f>
        <v/>
      </c>
      <c r="H996" s="1" t="n">
        <f aca="false">IF($A996="","",物件マスタ!L996)</f>
        <v>0</v>
      </c>
      <c r="I996" s="1" t="n">
        <f aca="false">IF($A996="","",物件マスタ!M996)</f>
        <v>48296.76</v>
      </c>
      <c r="J996" s="1" t="n">
        <f aca="false">IF($A996="","",物件マスタ!S996)</f>
        <v>12600</v>
      </c>
      <c r="K996" s="1" t="n">
        <f aca="false">IF($A996="","",物件マスタ!U996)</f>
        <v>12600</v>
      </c>
      <c r="L996" s="1" t="n">
        <f aca="false">IF($A996="","",物件マスタ!W996)</f>
        <v>0.998</v>
      </c>
      <c r="M996" s="1" t="str">
        <f aca="false">IF($A996="","",IFERROR(INDEX(法人マスタ!$H:$H,MATCH($B996,法人マスタ!$A:$A,0)),""))</f>
        <v>2026年4月期（第42期）</v>
      </c>
      <c r="N996" s="1" t="n">
        <f aca="false">IF($A996="","",SUMIFS(物件収支!$D:$D,物件収支!$A:$A,$A996,物件収支!$C:$C,$M996))</f>
        <v>6</v>
      </c>
      <c r="O996" s="1" t="n">
        <f aca="false">IF($A996="","",SUMIFS(物件収支!$F:$F,物件収支!$A:$A,$A996,物件収支!$C:$C,$M996))</f>
        <v>387000</v>
      </c>
      <c r="P996" s="1" t="n">
        <f aca="false">IF($A996="","",SUMIFS(物件収支!$I:$I,物件収支!$A:$A,$A996,物件収支!$C:$C,$M996))</f>
        <v>0</v>
      </c>
      <c r="Q996" s="1" t="n">
        <f aca="false">IF($A996="","",SUMIFS(物件収支!$O:$O,物件収支!$A:$A,$A996,物件収支!$C:$C,$M996))</f>
        <v>0</v>
      </c>
      <c r="R996" s="1" t="str">
        <f aca="false">IF($A996="","",IF(P996=0,"",O996-P996))</f>
        <v/>
      </c>
      <c r="S996" s="1" t="str">
        <f aca="false">IF($A996="","",IF(R996="","",R996+Q996))</f>
        <v/>
      </c>
      <c r="T996" s="1" t="str">
        <f aca="false">IF($A996="","",IF(OR(S996="",N996&lt;=0),"",S996/1000*12/N996))</f>
        <v/>
      </c>
      <c r="U996" s="1" t="str">
        <f aca="false">IF($A996="","",IF(OR(T996="",J996=0,J996=""),"",T996/J996))</f>
        <v/>
      </c>
      <c r="V996" s="1" t="str">
        <f aca="false">IF($A996="","",IF(OR(R996="",N996&lt;=0,J996=0,J996=""),"",(R996/1000*12/N996)/J996))</f>
        <v/>
      </c>
      <c r="W996" s="1" t="str">
        <f aca="false">IF($A996="","",IF(OR(T996="",K996=0,K996=""),"",T996/K996))</f>
        <v/>
      </c>
      <c r="X996" s="1" t="n">
        <f aca="false">IF($A996="","",IF(OR(N996&lt;=0,I996=0,I996="",O996=0),"",O996*1000/(I996*0.3025)/N996))</f>
        <v>4414.8539259335</v>
      </c>
      <c r="Y996" s="1" t="str">
        <f aca="false">IF($A996="","",IF(OR(O996=0,O996="",P996=0),"",P996/O996))</f>
        <v/>
      </c>
      <c r="Z996" s="1" t="str">
        <f aca="false">IF($A996="","",IFERROR(INDEX(物件収支!$E:$E,MATCH($A996,物件収支!$A:$A,0)),""))</f>
        <v>開示（物件別・収益のみ・百万円単位）</v>
      </c>
    </row>
    <row r="997" customFormat="false" ht="15" hidden="false" customHeight="true" outlineLevel="0" collapsed="false">
      <c r="A997" s="1" t="str">
        <f aca="false">IF(物件マスタ!A997="","",物件マスタ!A997)</f>
        <v>KDX-256</v>
      </c>
      <c r="B997" s="1" t="str">
        <f aca="false">IF($A997="","",物件マスタ!B997)</f>
        <v>KDX</v>
      </c>
      <c r="C997" s="1" t="str">
        <f aca="false">IF($A997="","",IFERROR(INDEX(法人マスタ!$C:$C,MATCH($B997,法人マスタ!$A:$A,0)),""))</f>
        <v>ＫＤＸ不動産投資法人</v>
      </c>
      <c r="D997" s="1" t="str">
        <f aca="false">IF($A997="","",物件マスタ!C997)</f>
        <v>ブルメール舞多聞</v>
      </c>
      <c r="E997" s="1" t="str">
        <f aca="false">IF($A997="","",物件マスタ!H997)</f>
        <v>地方経済圏（KDX区分）</v>
      </c>
      <c r="F997" s="1" t="n">
        <f aca="false">IF($A997="","",物件マスタ!P997)</f>
        <v>0</v>
      </c>
      <c r="G997" s="1" t="str">
        <f aca="false">IF($A997="","",物件マスタ!Q997)</f>
        <v/>
      </c>
      <c r="H997" s="1" t="n">
        <f aca="false">IF($A997="","",物件マスタ!L997)</f>
        <v>0</v>
      </c>
      <c r="I997" s="1" t="n">
        <f aca="false">IF($A997="","",物件マスタ!M997)</f>
        <v>30290.71</v>
      </c>
      <c r="J997" s="1" t="n">
        <f aca="false">IF($A997="","",物件マスタ!S997)</f>
        <v>9880</v>
      </c>
      <c r="K997" s="1" t="n">
        <f aca="false">IF($A997="","",物件マスタ!U997)</f>
        <v>10900</v>
      </c>
      <c r="L997" s="1" t="n">
        <f aca="false">IF($A997="","",物件マスタ!W997)</f>
        <v>1</v>
      </c>
      <c r="M997" s="1" t="str">
        <f aca="false">IF($A997="","",IFERROR(INDEX(法人マスタ!$H:$H,MATCH($B997,法人マスタ!$A:$A,0)),""))</f>
        <v>2026年4月期（第42期）</v>
      </c>
      <c r="N997" s="1" t="n">
        <f aca="false">IF($A997="","",SUMIFS(物件収支!$D:$D,物件収支!$A:$A,$A997,物件収支!$C:$C,$M997))</f>
        <v>6</v>
      </c>
      <c r="O997" s="1" t="n">
        <f aca="false">IF($A997="","",SUMIFS(物件収支!$F:$F,物件収支!$A:$A,$A997,物件収支!$C:$C,$M997))</f>
        <v>506000</v>
      </c>
      <c r="P997" s="1" t="n">
        <f aca="false">IF($A997="","",SUMIFS(物件収支!$I:$I,物件収支!$A:$A,$A997,物件収支!$C:$C,$M997))</f>
        <v>0</v>
      </c>
      <c r="Q997" s="1" t="n">
        <f aca="false">IF($A997="","",SUMIFS(物件収支!$O:$O,物件収支!$A:$A,$A997,物件収支!$C:$C,$M997))</f>
        <v>0</v>
      </c>
      <c r="R997" s="1" t="str">
        <f aca="false">IF($A997="","",IF(P997=0,"",O997-P997))</f>
        <v/>
      </c>
      <c r="S997" s="1" t="str">
        <f aca="false">IF($A997="","",IF(R997="","",R997+Q997))</f>
        <v/>
      </c>
      <c r="T997" s="1" t="str">
        <f aca="false">IF($A997="","",IF(OR(S997="",N997&lt;=0),"",S997/1000*12/N997))</f>
        <v/>
      </c>
      <c r="U997" s="1" t="str">
        <f aca="false">IF($A997="","",IF(OR(T997="",J997=0,J997=""),"",T997/J997))</f>
        <v/>
      </c>
      <c r="V997" s="1" t="str">
        <f aca="false">IF($A997="","",IF(OR(R997="",N997&lt;=0,J997=0,J997=""),"",(R997/1000*12/N997)/J997))</f>
        <v/>
      </c>
      <c r="W997" s="1" t="str">
        <f aca="false">IF($A997="","",IF(OR(T997="",K997=0,K997=""),"",T997/K997))</f>
        <v/>
      </c>
      <c r="X997" s="1" t="n">
        <f aca="false">IF($A997="","",IF(OR(N997&lt;=0,I997=0,I997="",O997=0),"",O997*1000/(I997*0.3025)/N997))</f>
        <v>9203.74196537086</v>
      </c>
      <c r="Y997" s="1" t="str">
        <f aca="false">IF($A997="","",IF(OR(O997=0,O997="",P997=0),"",P997/O997))</f>
        <v/>
      </c>
      <c r="Z997" s="1" t="str">
        <f aca="false">IF($A997="","",IFERROR(INDEX(物件収支!$E:$E,MATCH($A997,物件収支!$A:$A,0)),""))</f>
        <v>開示（物件別・収益のみ・百万円単位）</v>
      </c>
    </row>
    <row r="998" customFormat="false" ht="15" hidden="false" customHeight="true" outlineLevel="0" collapsed="false">
      <c r="A998" s="1" t="str">
        <f aca="false">IF(物件マスタ!A998="","",物件マスタ!A998)</f>
        <v>KDX-257</v>
      </c>
      <c r="B998" s="1" t="str">
        <f aca="false">IF($A998="","",物件マスタ!B998)</f>
        <v>KDX</v>
      </c>
      <c r="C998" s="1" t="str">
        <f aca="false">IF($A998="","",IFERROR(INDEX(法人マスタ!$C:$C,MATCH($B998,法人マスタ!$A:$A,0)),""))</f>
        <v>ＫＤＸ不動産投資法人</v>
      </c>
      <c r="D998" s="1" t="str">
        <f aca="false">IF($A998="","",物件マスタ!C998)</f>
        <v>ライフ高殿店(底地)</v>
      </c>
      <c r="E998" s="1" t="str">
        <f aca="false">IF($A998="","",物件マスタ!H998)</f>
        <v>地方経済圏（KDX区分）</v>
      </c>
      <c r="F998" s="1" t="n">
        <f aca="false">IF($A998="","",物件マスタ!P998)</f>
        <v>0</v>
      </c>
      <c r="G998" s="1" t="str">
        <f aca="false">IF($A998="","",物件マスタ!Q998)</f>
        <v/>
      </c>
      <c r="H998" s="1" t="n">
        <f aca="false">IF($A998="","",物件マスタ!L998)</f>
        <v>0</v>
      </c>
      <c r="I998" s="1" t="n">
        <f aca="false">IF($A998="","",物件マスタ!M998)</f>
        <v>4437.07</v>
      </c>
      <c r="J998" s="1" t="n">
        <f aca="false">IF($A998="","",物件マスタ!S998)</f>
        <v>3360</v>
      </c>
      <c r="K998" s="1" t="n">
        <f aca="false">IF($A998="","",物件マスタ!U998)</f>
        <v>3520</v>
      </c>
      <c r="L998" s="1" t="n">
        <f aca="false">IF($A998="","",物件マスタ!W998)</f>
        <v>1</v>
      </c>
      <c r="M998" s="1" t="str">
        <f aca="false">IF($A998="","",IFERROR(INDEX(法人マスタ!$H:$H,MATCH($B998,法人マスタ!$A:$A,0)),""))</f>
        <v>2026年4月期（第42期）</v>
      </c>
      <c r="N998" s="1" t="n">
        <f aca="false">IF($A998="","",SUMIFS(物件収支!$D:$D,物件収支!$A:$A,$A998,物件収支!$C:$C,$M998))</f>
        <v>6</v>
      </c>
      <c r="O998" s="1" t="n">
        <f aca="false">IF($A998="","",SUMIFS(物件収支!$F:$F,物件収支!$A:$A,$A998,物件収支!$C:$C,$M998))</f>
        <v>0</v>
      </c>
      <c r="P998" s="1" t="n">
        <f aca="false">IF($A998="","",SUMIFS(物件収支!$I:$I,物件収支!$A:$A,$A998,物件収支!$C:$C,$M998))</f>
        <v>0</v>
      </c>
      <c r="Q998" s="1" t="n">
        <f aca="false">IF($A998="","",SUMIFS(物件収支!$O:$O,物件収支!$A:$A,$A998,物件収支!$C:$C,$M998))</f>
        <v>0</v>
      </c>
      <c r="R998" s="1" t="str">
        <f aca="false">IF($A998="","",IF(P998=0,"",O998-P998))</f>
        <v/>
      </c>
      <c r="S998" s="1" t="str">
        <f aca="false">IF($A998="","",IF(R998="","",R998+Q998))</f>
        <v/>
      </c>
      <c r="T998" s="1" t="str">
        <f aca="false">IF($A998="","",IF(OR(S998="",N998&lt;=0),"",S998/1000*12/N998))</f>
        <v/>
      </c>
      <c r="U998" s="1" t="str">
        <f aca="false">IF($A998="","",IF(OR(T998="",J998=0,J998=""),"",T998/J998))</f>
        <v/>
      </c>
      <c r="V998" s="1" t="str">
        <f aca="false">IF($A998="","",IF(OR(R998="",N998&lt;=0,J998=0,J998=""),"",(R998/1000*12/N998)/J998))</f>
        <v/>
      </c>
      <c r="W998" s="1" t="str">
        <f aca="false">IF($A998="","",IF(OR(T998="",K998=0,K998=""),"",T998/K998))</f>
        <v/>
      </c>
      <c r="X998" s="1" t="str">
        <f aca="false">IF($A998="","",IF(OR(N998&lt;=0,I998=0,I998="",O998=0),"",O998*1000/(I998*0.3025)/N998))</f>
        <v/>
      </c>
      <c r="Y998" s="1" t="str">
        <f aca="false">IF($A998="","",IF(OR(O998=0,O998="",P998=0),"",P998/O998))</f>
        <v/>
      </c>
      <c r="Z998" s="1" t="str">
        <f aca="false">IF($A998="","",IFERROR(INDEX(物件収支!$E:$E,MATCH($A998,物件収支!$A:$A,0)),""))</f>
        <v>非開示</v>
      </c>
    </row>
    <row r="999" customFormat="false" ht="15" hidden="false" customHeight="true" outlineLevel="0" collapsed="false">
      <c r="A999" s="1" t="str">
        <f aca="false">IF(物件マスタ!A999="","",物件マスタ!A999)</f>
        <v>KDX-258</v>
      </c>
      <c r="B999" s="1" t="str">
        <f aca="false">IF($A999="","",物件マスタ!B999)</f>
        <v>KDX</v>
      </c>
      <c r="C999" s="1" t="str">
        <f aca="false">IF($A999="","",IFERROR(INDEX(法人マスタ!$C:$C,MATCH($B999,法人マスタ!$A:$A,0)),""))</f>
        <v>ＫＤＸ不動産投資法人</v>
      </c>
      <c r="D999" s="1" t="str">
        <f aca="false">IF($A999="","",物件マスタ!C999)</f>
        <v>DCM中川富田店(底地)</v>
      </c>
      <c r="E999" s="1" t="str">
        <f aca="false">IF($A999="","",物件マスタ!H999)</f>
        <v>地方経済圏（KDX区分）</v>
      </c>
      <c r="F999" s="1" t="n">
        <f aca="false">IF($A999="","",物件マスタ!P999)</f>
        <v>0</v>
      </c>
      <c r="G999" s="1" t="str">
        <f aca="false">IF($A999="","",物件マスタ!Q999)</f>
        <v/>
      </c>
      <c r="H999" s="1" t="n">
        <f aca="false">IF($A999="","",物件マスタ!L999)</f>
        <v>0</v>
      </c>
      <c r="I999" s="1" t="n">
        <f aca="false">IF($A999="","",物件マスタ!M999)</f>
        <v>0</v>
      </c>
      <c r="J999" s="1" t="n">
        <f aca="false">IF($A999="","",物件マスタ!S999)</f>
        <v>2850</v>
      </c>
      <c r="K999" s="1" t="n">
        <f aca="false">IF($A999="","",物件マスタ!U999)</f>
        <v>2950</v>
      </c>
      <c r="L999" s="1" t="n">
        <f aca="false">IF($A999="","",物件マスタ!W999)</f>
        <v>1</v>
      </c>
      <c r="M999" s="1" t="str">
        <f aca="false">IF($A999="","",IFERROR(INDEX(法人マスタ!$H:$H,MATCH($B999,法人マスタ!$A:$A,0)),""))</f>
        <v>2026年4月期（第42期）</v>
      </c>
      <c r="N999" s="1" t="n">
        <f aca="false">IF($A999="","",SUMIFS(物件収支!$D:$D,物件収支!$A:$A,$A999,物件収支!$C:$C,$M999))</f>
        <v>6</v>
      </c>
      <c r="O999" s="1" t="n">
        <f aca="false">IF($A999="","",SUMIFS(物件収支!$F:$F,物件収支!$A:$A,$A999,物件収支!$C:$C,$M999))</f>
        <v>0</v>
      </c>
      <c r="P999" s="1" t="n">
        <f aca="false">IF($A999="","",SUMIFS(物件収支!$I:$I,物件収支!$A:$A,$A999,物件収支!$C:$C,$M999))</f>
        <v>0</v>
      </c>
      <c r="Q999" s="1" t="n">
        <f aca="false">IF($A999="","",SUMIFS(物件収支!$O:$O,物件収支!$A:$A,$A999,物件収支!$C:$C,$M999))</f>
        <v>0</v>
      </c>
      <c r="R999" s="1" t="str">
        <f aca="false">IF($A999="","",IF(P999=0,"",O999-P999))</f>
        <v/>
      </c>
      <c r="S999" s="1" t="str">
        <f aca="false">IF($A999="","",IF(R999="","",R999+Q999))</f>
        <v/>
      </c>
      <c r="T999" s="1" t="str">
        <f aca="false">IF($A999="","",IF(OR(S999="",N999&lt;=0),"",S999/1000*12/N999))</f>
        <v/>
      </c>
      <c r="U999" s="1" t="str">
        <f aca="false">IF($A999="","",IF(OR(T999="",J999=0,J999=""),"",T999/J999))</f>
        <v/>
      </c>
      <c r="V999" s="1" t="str">
        <f aca="false">IF($A999="","",IF(OR(R999="",N999&lt;=0,J999=0,J999=""),"",(R999/1000*12/N999)/J999))</f>
        <v/>
      </c>
      <c r="W999" s="1" t="str">
        <f aca="false">IF($A999="","",IF(OR(T999="",K999=0,K999=""),"",T999/K999))</f>
        <v/>
      </c>
      <c r="X999" s="1" t="str">
        <f aca="false">IF($A999="","",IF(OR(N999&lt;=0,I999=0,I999="",O999=0),"",O999*1000/(I999*0.3025)/N999))</f>
        <v/>
      </c>
      <c r="Y999" s="1" t="str">
        <f aca="false">IF($A999="","",IF(OR(O999=0,O999="",P999=0),"",P999/O999))</f>
        <v/>
      </c>
      <c r="Z999" s="1" t="str">
        <f aca="false">IF($A999="","",IFERROR(INDEX(物件収支!$E:$E,MATCH($A999,物件収支!$A:$A,0)),""))</f>
        <v>非開示</v>
      </c>
    </row>
    <row r="1000" customFormat="false" ht="15" hidden="false" customHeight="true" outlineLevel="0" collapsed="false">
      <c r="A1000" s="1" t="str">
        <f aca="false">IF(物件マスタ!A1000="","",物件マスタ!A1000)</f>
        <v>KDX-259</v>
      </c>
      <c r="B1000" s="1" t="str">
        <f aca="false">IF($A1000="","",物件マスタ!B1000)</f>
        <v>KDX</v>
      </c>
      <c r="C1000" s="1" t="str">
        <f aca="false">IF($A1000="","",IFERROR(INDEX(法人マスタ!$C:$C,MATCH($B1000,法人マスタ!$A:$A,0)),""))</f>
        <v>ＫＤＸ不動産投資法人</v>
      </c>
      <c r="D1000" s="1" t="str">
        <f aca="false">IF($A1000="","",物件マスタ!C1000)</f>
        <v>DCM・MEGAドン・キホーテUNY近江八幡店</v>
      </c>
      <c r="E1000" s="1" t="str">
        <f aca="false">IF($A1000="","",物件マスタ!H1000)</f>
        <v>地方経済圏（KDX区分）</v>
      </c>
      <c r="F1000" s="1" t="n">
        <f aca="false">IF($A1000="","",物件マスタ!P1000)</f>
        <v>0</v>
      </c>
      <c r="G1000" s="1" t="str">
        <f aca="false">IF($A1000="","",物件マスタ!Q1000)</f>
        <v/>
      </c>
      <c r="H1000" s="1" t="n">
        <f aca="false">IF($A1000="","",物件マスタ!L1000)</f>
        <v>0</v>
      </c>
      <c r="I1000" s="1" t="n">
        <f aca="false">IF($A1000="","",物件マスタ!M1000)</f>
        <v>14313</v>
      </c>
      <c r="J1000" s="1" t="n">
        <f aca="false">IF($A1000="","",物件マスタ!S1000)</f>
        <v>2680</v>
      </c>
      <c r="K1000" s="1" t="n">
        <f aca="false">IF($A1000="","",物件マスタ!U1000)</f>
        <v>2620</v>
      </c>
      <c r="L1000" s="1" t="n">
        <f aca="false">IF($A1000="","",物件マスタ!W1000)</f>
        <v>1</v>
      </c>
      <c r="M1000" s="1" t="str">
        <f aca="false">IF($A1000="","",IFERROR(INDEX(法人マスタ!$H:$H,MATCH($B1000,法人マスタ!$A:$A,0)),""))</f>
        <v>2026年4月期（第42期）</v>
      </c>
      <c r="N1000" s="1" t="n">
        <f aca="false">IF($A1000="","",SUMIFS(物件収支!$D:$D,物件収支!$A:$A,$A1000,物件収支!$C:$C,$M1000))</f>
        <v>6</v>
      </c>
      <c r="O1000" s="1" t="n">
        <f aca="false">IF($A1000="","",SUMIFS(物件収支!$F:$F,物件収支!$A:$A,$A1000,物件収支!$C:$C,$M1000))</f>
        <v>0</v>
      </c>
      <c r="P1000" s="1" t="n">
        <f aca="false">IF($A1000="","",SUMIFS(物件収支!$I:$I,物件収支!$A:$A,$A1000,物件収支!$C:$C,$M1000))</f>
        <v>0</v>
      </c>
      <c r="Q1000" s="1" t="n">
        <f aca="false">IF($A1000="","",SUMIFS(物件収支!$O:$O,物件収支!$A:$A,$A1000,物件収支!$C:$C,$M1000))</f>
        <v>0</v>
      </c>
      <c r="R1000" s="1" t="str">
        <f aca="false">IF($A1000="","",IF(P1000=0,"",O1000-P1000))</f>
        <v/>
      </c>
      <c r="S1000" s="1" t="str">
        <f aca="false">IF($A1000="","",IF(R1000="","",R1000+Q1000))</f>
        <v/>
      </c>
      <c r="T1000" s="1" t="str">
        <f aca="false">IF($A1000="","",IF(OR(S1000="",N1000&lt;=0),"",S1000/1000*12/N1000))</f>
        <v/>
      </c>
      <c r="U1000" s="1" t="str">
        <f aca="false">IF($A1000="","",IF(OR(T1000="",J1000=0,J1000=""),"",T1000/J1000))</f>
        <v/>
      </c>
      <c r="V1000" s="1" t="str">
        <f aca="false">IF($A1000="","",IF(OR(R1000="",N1000&lt;=0,J1000=0,J1000=""),"",(R1000/1000*12/N1000)/J1000))</f>
        <v/>
      </c>
      <c r="W1000" s="1" t="str">
        <f aca="false">IF($A1000="","",IF(OR(T1000="",K1000=0,K1000=""),"",T1000/K1000))</f>
        <v/>
      </c>
      <c r="X1000" s="1" t="str">
        <f aca="false">IF($A1000="","",IF(OR(N1000&lt;=0,I1000=0,I1000="",O1000=0),"",O1000*1000/(I1000*0.3025)/N1000))</f>
        <v/>
      </c>
      <c r="Y1000" s="1" t="str">
        <f aca="false">IF($A1000="","",IF(OR(O1000=0,O1000="",P1000=0),"",P1000/O1000))</f>
        <v/>
      </c>
      <c r="Z1000" s="1" t="str">
        <f aca="false">IF($A1000="","",IFERROR(INDEX(物件収支!$E:$E,MATCH($A1000,物件収支!$A:$A,0)),""))</f>
        <v>非開示</v>
      </c>
    </row>
    <row r="1001" customFormat="false" ht="15" hidden="false" customHeight="true" outlineLevel="0" collapsed="false">
      <c r="A1001" s="1" t="str">
        <f aca="false">IF(物件マスタ!A1001="","",物件マスタ!A1001)</f>
        <v>KDX-260</v>
      </c>
      <c r="B1001" s="1" t="str">
        <f aca="false">IF($A1001="","",物件マスタ!B1001)</f>
        <v>KDX</v>
      </c>
      <c r="C1001" s="1" t="str">
        <f aca="false">IF($A1001="","",IFERROR(INDEX(法人マスタ!$C:$C,MATCH($B1001,法人マスタ!$A:$A,0)),""))</f>
        <v>ＫＤＸ不動産投資法人</v>
      </c>
      <c r="D1001" s="1" t="str">
        <f aca="false">IF($A1001="","",物件マスタ!C1001)</f>
        <v>バロー一宮西店</v>
      </c>
      <c r="E1001" s="1" t="str">
        <f aca="false">IF($A1001="","",物件マスタ!H1001)</f>
        <v>地方経済圏（KDX区分）</v>
      </c>
      <c r="F1001" s="1" t="n">
        <f aca="false">IF($A1001="","",物件マスタ!P1001)</f>
        <v>0</v>
      </c>
      <c r="G1001" s="1" t="str">
        <f aca="false">IF($A1001="","",物件マスタ!Q1001)</f>
        <v/>
      </c>
      <c r="H1001" s="1" t="n">
        <f aca="false">IF($A1001="","",物件マスタ!L1001)</f>
        <v>0</v>
      </c>
      <c r="I1001" s="1" t="n">
        <f aca="false">IF($A1001="","",物件マスタ!M1001)</f>
        <v>9447.48</v>
      </c>
      <c r="J1001" s="1" t="n">
        <f aca="false">IF($A1001="","",物件マスタ!S1001)</f>
        <v>2430</v>
      </c>
      <c r="K1001" s="1" t="n">
        <f aca="false">IF($A1001="","",物件マスタ!U1001)</f>
        <v>2410</v>
      </c>
      <c r="L1001" s="1" t="n">
        <f aca="false">IF($A1001="","",物件マスタ!W1001)</f>
        <v>1</v>
      </c>
      <c r="M1001" s="1" t="str">
        <f aca="false">IF($A1001="","",IFERROR(INDEX(法人マスタ!$H:$H,MATCH($B1001,法人マスタ!$A:$A,0)),""))</f>
        <v>2026年4月期（第42期）</v>
      </c>
      <c r="N1001" s="1" t="n">
        <f aca="false">IF($A1001="","",SUMIFS(物件収支!$D:$D,物件収支!$A:$A,$A1001,物件収支!$C:$C,$M1001))</f>
        <v>6</v>
      </c>
      <c r="O1001" s="1" t="n">
        <f aca="false">IF($A1001="","",SUMIFS(物件収支!$F:$F,物件収支!$A:$A,$A1001,物件収支!$C:$C,$M1001))</f>
        <v>0</v>
      </c>
      <c r="P1001" s="1" t="n">
        <f aca="false">IF($A1001="","",SUMIFS(物件収支!$I:$I,物件収支!$A:$A,$A1001,物件収支!$C:$C,$M1001))</f>
        <v>0</v>
      </c>
      <c r="Q1001" s="1" t="n">
        <f aca="false">IF($A1001="","",SUMIFS(物件収支!$O:$O,物件収支!$A:$A,$A1001,物件収支!$C:$C,$M1001))</f>
        <v>0</v>
      </c>
      <c r="R1001" s="1" t="str">
        <f aca="false">IF($A1001="","",IF(P1001=0,"",O1001-P1001))</f>
        <v/>
      </c>
      <c r="S1001" s="1" t="str">
        <f aca="false">IF($A1001="","",IF(R1001="","",R1001+Q1001))</f>
        <v/>
      </c>
      <c r="T1001" s="1" t="str">
        <f aca="false">IF($A1001="","",IF(OR(S1001="",N1001&lt;=0),"",S1001/1000*12/N1001))</f>
        <v/>
      </c>
      <c r="U1001" s="1" t="str">
        <f aca="false">IF($A1001="","",IF(OR(T1001="",J1001=0,J1001=""),"",T1001/J1001))</f>
        <v/>
      </c>
      <c r="V1001" s="1" t="str">
        <f aca="false">IF($A1001="","",IF(OR(R1001="",N1001&lt;=0,J1001=0,J1001=""),"",(R1001/1000*12/N1001)/J1001))</f>
        <v/>
      </c>
      <c r="W1001" s="1" t="str">
        <f aca="false">IF($A1001="","",IF(OR(T1001="",K1001=0,K1001=""),"",T1001/K1001))</f>
        <v/>
      </c>
      <c r="X1001" s="1" t="str">
        <f aca="false">IF($A1001="","",IF(OR(N1001&lt;=0,I1001=0,I1001="",O1001=0),"",O1001*1000/(I1001*0.3025)/N1001))</f>
        <v/>
      </c>
      <c r="Y1001" s="1" t="str">
        <f aca="false">IF($A1001="","",IF(OR(O1001=0,O1001="",P1001=0),"",P1001/O1001))</f>
        <v/>
      </c>
      <c r="Z1001" s="1" t="str">
        <f aca="false">IF($A1001="","",IFERROR(INDEX(物件収支!$E:$E,MATCH($A1001,物件収支!$A:$A,0)),""))</f>
        <v>非開示</v>
      </c>
    </row>
    <row r="1002" customFormat="false" ht="15" hidden="false" customHeight="true" outlineLevel="0" collapsed="false">
      <c r="A1002" s="1" t="str">
        <f aca="false">IF(物件マスタ!A1002="","",物件マスタ!A1002)</f>
        <v>KDX-261</v>
      </c>
      <c r="B1002" s="1" t="str">
        <f aca="false">IF($A1002="","",物件マスタ!B1002)</f>
        <v>KDX</v>
      </c>
      <c r="C1002" s="1" t="str">
        <f aca="false">IF($A1002="","",IFERROR(INDEX(法人マスタ!$C:$C,MATCH($B1002,法人マスタ!$A:$A,0)),""))</f>
        <v>ＫＤＸ不動産投資法人</v>
      </c>
      <c r="D1002" s="1" t="str">
        <f aca="false">IF($A1002="","",物件マスタ!C1002)</f>
        <v>サニー野間店</v>
      </c>
      <c r="E1002" s="1" t="str">
        <f aca="false">IF($A1002="","",物件マスタ!H1002)</f>
        <v>地方経済圏（KDX区分）</v>
      </c>
      <c r="F1002" s="1" t="n">
        <f aca="false">IF($A1002="","",物件マスタ!P1002)</f>
        <v>0</v>
      </c>
      <c r="G1002" s="1" t="str">
        <f aca="false">IF($A1002="","",物件マスタ!Q1002)</f>
        <v/>
      </c>
      <c r="H1002" s="1" t="n">
        <f aca="false">IF($A1002="","",物件マスタ!L1002)</f>
        <v>0</v>
      </c>
      <c r="I1002" s="1" t="n">
        <f aca="false">IF($A1002="","",物件マスタ!M1002)</f>
        <v>2814.67</v>
      </c>
      <c r="J1002" s="1" t="n">
        <f aca="false">IF($A1002="","",物件マスタ!S1002)</f>
        <v>1660</v>
      </c>
      <c r="K1002" s="1" t="n">
        <f aca="false">IF($A1002="","",物件マスタ!U1002)</f>
        <v>1630</v>
      </c>
      <c r="L1002" s="1" t="n">
        <f aca="false">IF($A1002="","",物件マスタ!W1002)</f>
        <v>1</v>
      </c>
      <c r="M1002" s="1" t="str">
        <f aca="false">IF($A1002="","",IFERROR(INDEX(法人マスタ!$H:$H,MATCH($B1002,法人マスタ!$A:$A,0)),""))</f>
        <v>2026年4月期（第42期）</v>
      </c>
      <c r="N1002" s="1" t="n">
        <f aca="false">IF($A1002="","",SUMIFS(物件収支!$D:$D,物件収支!$A:$A,$A1002,物件収支!$C:$C,$M1002))</f>
        <v>6</v>
      </c>
      <c r="O1002" s="1" t="n">
        <f aca="false">IF($A1002="","",SUMIFS(物件収支!$F:$F,物件収支!$A:$A,$A1002,物件収支!$C:$C,$M1002))</f>
        <v>0</v>
      </c>
      <c r="P1002" s="1" t="n">
        <f aca="false">IF($A1002="","",SUMIFS(物件収支!$I:$I,物件収支!$A:$A,$A1002,物件収支!$C:$C,$M1002))</f>
        <v>0</v>
      </c>
      <c r="Q1002" s="1" t="n">
        <f aca="false">IF($A1002="","",SUMIFS(物件収支!$O:$O,物件収支!$A:$A,$A1002,物件収支!$C:$C,$M1002))</f>
        <v>0</v>
      </c>
      <c r="R1002" s="1" t="str">
        <f aca="false">IF($A1002="","",IF(P1002=0,"",O1002-P1002))</f>
        <v/>
      </c>
      <c r="S1002" s="1" t="str">
        <f aca="false">IF($A1002="","",IF(R1002="","",R1002+Q1002))</f>
        <v/>
      </c>
      <c r="T1002" s="1" t="str">
        <f aca="false">IF($A1002="","",IF(OR(S1002="",N1002&lt;=0),"",S1002/1000*12/N1002))</f>
        <v/>
      </c>
      <c r="U1002" s="1" t="str">
        <f aca="false">IF($A1002="","",IF(OR(T1002="",J1002=0,J1002=""),"",T1002/J1002))</f>
        <v/>
      </c>
      <c r="V1002" s="1" t="str">
        <f aca="false">IF($A1002="","",IF(OR(R1002="",N1002&lt;=0,J1002=0,J1002=""),"",(R1002/1000*12/N1002)/J1002))</f>
        <v/>
      </c>
      <c r="W1002" s="1" t="str">
        <f aca="false">IF($A1002="","",IF(OR(T1002="",K1002=0,K1002=""),"",T1002/K1002))</f>
        <v/>
      </c>
      <c r="X1002" s="1" t="str">
        <f aca="false">IF($A1002="","",IF(OR(N1002&lt;=0,I1002=0,I1002="",O1002=0),"",O1002*1000/(I1002*0.3025)/N1002))</f>
        <v/>
      </c>
      <c r="Y1002" s="1" t="str">
        <f aca="false">IF($A1002="","",IF(OR(O1002=0,O1002="",P1002=0),"",P1002/O1002))</f>
        <v/>
      </c>
      <c r="Z1002" s="1" t="str">
        <f aca="false">IF($A1002="","",IFERROR(INDEX(物件収支!$E:$E,MATCH($A1002,物件収支!$A:$A,0)),""))</f>
        <v>非開示</v>
      </c>
    </row>
    <row r="1003" customFormat="false" ht="15" hidden="false" customHeight="true" outlineLevel="0" collapsed="false">
      <c r="A1003" s="1" t="str">
        <f aca="false">IF(物件マスタ!A1003="","",物件マスタ!A1003)</f>
        <v>KDX-262</v>
      </c>
      <c r="B1003" s="1" t="str">
        <f aca="false">IF($A1003="","",物件マスタ!B1003)</f>
        <v>KDX</v>
      </c>
      <c r="C1003" s="1" t="str">
        <f aca="false">IF($A1003="","",IFERROR(INDEX(法人マスタ!$C:$C,MATCH($B1003,法人マスタ!$A:$A,0)),""))</f>
        <v>ＫＤＸ不動産投資法人</v>
      </c>
      <c r="D1003" s="1" t="str">
        <f aca="false">IF($A1003="","",物件マスタ!C1003)</f>
        <v>ケーズデンキ青森本店</v>
      </c>
      <c r="E1003" s="1" t="str">
        <f aca="false">IF($A1003="","",物件マスタ!H1003)</f>
        <v>地方経済圏（KDX区分）</v>
      </c>
      <c r="F1003" s="1" t="n">
        <f aca="false">IF($A1003="","",物件マスタ!P1003)</f>
        <v>0</v>
      </c>
      <c r="G1003" s="1" t="str">
        <f aca="false">IF($A1003="","",物件マスタ!Q1003)</f>
        <v/>
      </c>
      <c r="H1003" s="1" t="n">
        <f aca="false">IF($A1003="","",物件マスタ!L1003)</f>
        <v>0</v>
      </c>
      <c r="I1003" s="1" t="n">
        <f aca="false">IF($A1003="","",物件マスタ!M1003)</f>
        <v>10083.41</v>
      </c>
      <c r="J1003" s="1" t="n">
        <f aca="false">IF($A1003="","",物件マスタ!S1003)</f>
        <v>1550</v>
      </c>
      <c r="K1003" s="1" t="n">
        <f aca="false">IF($A1003="","",物件マスタ!U1003)</f>
        <v>1710</v>
      </c>
      <c r="L1003" s="1" t="n">
        <f aca="false">IF($A1003="","",物件マスタ!W1003)</f>
        <v>1</v>
      </c>
      <c r="M1003" s="1" t="str">
        <f aca="false">IF($A1003="","",IFERROR(INDEX(法人マスタ!$H:$H,MATCH($B1003,法人マスタ!$A:$A,0)),""))</f>
        <v>2026年4月期（第42期）</v>
      </c>
      <c r="N1003" s="1" t="n">
        <f aca="false">IF($A1003="","",SUMIFS(物件収支!$D:$D,物件収支!$A:$A,$A1003,物件収支!$C:$C,$M1003))</f>
        <v>6</v>
      </c>
      <c r="O1003" s="1" t="n">
        <f aca="false">IF($A1003="","",SUMIFS(物件収支!$F:$F,物件収支!$A:$A,$A1003,物件収支!$C:$C,$M1003))</f>
        <v>0</v>
      </c>
      <c r="P1003" s="1" t="n">
        <f aca="false">IF($A1003="","",SUMIFS(物件収支!$I:$I,物件収支!$A:$A,$A1003,物件収支!$C:$C,$M1003))</f>
        <v>0</v>
      </c>
      <c r="Q1003" s="1" t="n">
        <f aca="false">IF($A1003="","",SUMIFS(物件収支!$O:$O,物件収支!$A:$A,$A1003,物件収支!$C:$C,$M1003))</f>
        <v>0</v>
      </c>
      <c r="R1003" s="1" t="str">
        <f aca="false">IF($A1003="","",IF(P1003=0,"",O1003-P1003))</f>
        <v/>
      </c>
      <c r="S1003" s="1" t="str">
        <f aca="false">IF($A1003="","",IF(R1003="","",R1003+Q1003))</f>
        <v/>
      </c>
      <c r="T1003" s="1" t="str">
        <f aca="false">IF($A1003="","",IF(OR(S1003="",N1003&lt;=0),"",S1003/1000*12/N1003))</f>
        <v/>
      </c>
      <c r="U1003" s="1" t="str">
        <f aca="false">IF($A1003="","",IF(OR(T1003="",J1003=0,J1003=""),"",T1003/J1003))</f>
        <v/>
      </c>
      <c r="V1003" s="1" t="str">
        <f aca="false">IF($A1003="","",IF(OR(R1003="",N1003&lt;=0,J1003=0,J1003=""),"",(R1003/1000*12/N1003)/J1003))</f>
        <v/>
      </c>
      <c r="W1003" s="1" t="str">
        <f aca="false">IF($A1003="","",IF(OR(T1003="",K1003=0,K1003=""),"",T1003/K1003))</f>
        <v/>
      </c>
      <c r="X1003" s="1" t="str">
        <f aca="false">IF($A1003="","",IF(OR(N1003&lt;=0,I1003=0,I1003="",O1003=0),"",O1003*1000/(I1003*0.3025)/N1003))</f>
        <v/>
      </c>
      <c r="Y1003" s="1" t="str">
        <f aca="false">IF($A1003="","",IF(OR(O1003=0,O1003="",P1003=0),"",P1003/O1003))</f>
        <v/>
      </c>
      <c r="Z1003" s="1" t="str">
        <f aca="false">IF($A1003="","",IFERROR(INDEX(物件収支!$E:$E,MATCH($A1003,物件収支!$A:$A,0)),""))</f>
        <v>非開示</v>
      </c>
    </row>
    <row r="1004" customFormat="false" ht="15" hidden="false" customHeight="true" outlineLevel="0" collapsed="false">
      <c r="A1004" s="1" t="str">
        <f aca="false">IF(物件マスタ!A1004="","",物件マスタ!A1004)</f>
        <v>KDX-263</v>
      </c>
      <c r="B1004" s="1" t="str">
        <f aca="false">IF($A1004="","",物件マスタ!B1004)</f>
        <v>KDX</v>
      </c>
      <c r="C1004" s="1" t="str">
        <f aca="false">IF($A1004="","",IFERROR(INDEX(法人マスタ!$C:$C,MATCH($B1004,法人マスタ!$A:$A,0)),""))</f>
        <v>ＫＤＸ不動産投資法人</v>
      </c>
      <c r="D1004" s="1" t="str">
        <f aca="false">IF($A1004="","",物件マスタ!C1004)</f>
        <v>スーパースポーツゼビオ青森中央店</v>
      </c>
      <c r="E1004" s="1" t="str">
        <f aca="false">IF($A1004="","",物件マスタ!H1004)</f>
        <v>地方経済圏（KDX区分）</v>
      </c>
      <c r="F1004" s="1" t="n">
        <f aca="false">IF($A1004="","",物件マスタ!P1004)</f>
        <v>0</v>
      </c>
      <c r="G1004" s="1" t="str">
        <f aca="false">IF($A1004="","",物件マスタ!Q1004)</f>
        <v/>
      </c>
      <c r="H1004" s="1" t="n">
        <f aca="false">IF($A1004="","",物件マスタ!L1004)</f>
        <v>0</v>
      </c>
      <c r="I1004" s="1" t="n">
        <f aca="false">IF($A1004="","",物件マスタ!M1004)</f>
        <v>0</v>
      </c>
      <c r="J1004" s="1" t="n">
        <f aca="false">IF($A1004="","",物件マスタ!S1004)</f>
        <v>968</v>
      </c>
      <c r="K1004" s="1" t="n">
        <f aca="false">IF($A1004="","",物件マスタ!U1004)</f>
        <v>1040</v>
      </c>
      <c r="L1004" s="1" t="n">
        <f aca="false">IF($A1004="","",物件マスタ!W1004)</f>
        <v>1</v>
      </c>
      <c r="M1004" s="1" t="str">
        <f aca="false">IF($A1004="","",IFERROR(INDEX(法人マスタ!$H:$H,MATCH($B1004,法人マスタ!$A:$A,0)),""))</f>
        <v>2026年4月期（第42期）</v>
      </c>
      <c r="N1004" s="1" t="n">
        <f aca="false">IF($A1004="","",SUMIFS(物件収支!$D:$D,物件収支!$A:$A,$A1004,物件収支!$C:$C,$M1004))</f>
        <v>6</v>
      </c>
      <c r="O1004" s="1" t="n">
        <f aca="false">IF($A1004="","",SUMIFS(物件収支!$F:$F,物件収支!$A:$A,$A1004,物件収支!$C:$C,$M1004))</f>
        <v>0</v>
      </c>
      <c r="P1004" s="1" t="n">
        <f aca="false">IF($A1004="","",SUMIFS(物件収支!$I:$I,物件収支!$A:$A,$A1004,物件収支!$C:$C,$M1004))</f>
        <v>0</v>
      </c>
      <c r="Q1004" s="1" t="n">
        <f aca="false">IF($A1004="","",SUMIFS(物件収支!$O:$O,物件収支!$A:$A,$A1004,物件収支!$C:$C,$M1004))</f>
        <v>0</v>
      </c>
      <c r="R1004" s="1" t="str">
        <f aca="false">IF($A1004="","",IF(P1004=0,"",O1004-P1004))</f>
        <v/>
      </c>
      <c r="S1004" s="1" t="str">
        <f aca="false">IF($A1004="","",IF(R1004="","",R1004+Q1004))</f>
        <v/>
      </c>
      <c r="T1004" s="1" t="str">
        <f aca="false">IF($A1004="","",IF(OR(S1004="",N1004&lt;=0),"",S1004/1000*12/N1004))</f>
        <v/>
      </c>
      <c r="U1004" s="1" t="str">
        <f aca="false">IF($A1004="","",IF(OR(T1004="",J1004=0,J1004=""),"",T1004/J1004))</f>
        <v/>
      </c>
      <c r="V1004" s="1" t="str">
        <f aca="false">IF($A1004="","",IF(OR(R1004="",N1004&lt;=0,J1004=0,J1004=""),"",(R1004/1000*12/N1004)/J1004))</f>
        <v/>
      </c>
      <c r="W1004" s="1" t="str">
        <f aca="false">IF($A1004="","",IF(OR(T1004="",K1004=0,K1004=""),"",T1004/K1004))</f>
        <v/>
      </c>
      <c r="X1004" s="1" t="str">
        <f aca="false">IF($A1004="","",IF(OR(N1004&lt;=0,I1004=0,I1004="",O1004=0),"",O1004*1000/(I1004*0.3025)/N1004))</f>
        <v/>
      </c>
      <c r="Y1004" s="1" t="str">
        <f aca="false">IF($A1004="","",IF(OR(O1004=0,O1004="",P1004=0),"",P1004/O1004))</f>
        <v/>
      </c>
      <c r="Z1004" s="1" t="str">
        <f aca="false">IF($A1004="","",IFERROR(INDEX(物件収支!$E:$E,MATCH($A1004,物件収支!$A:$A,0)),""))</f>
        <v>非開示</v>
      </c>
    </row>
    <row r="1005" customFormat="false" ht="15" hidden="false" customHeight="true" outlineLevel="0" collapsed="false">
      <c r="A1005" s="1" t="str">
        <f aca="false">IF(物件マスタ!A1005="","",物件マスタ!A1005)</f>
        <v>KDX-264</v>
      </c>
      <c r="B1005" s="1" t="str">
        <f aca="false">IF($A1005="","",物件マスタ!B1005)</f>
        <v>KDX</v>
      </c>
      <c r="C1005" s="1" t="str">
        <f aca="false">IF($A1005="","",IFERROR(INDEX(法人マスタ!$C:$C,MATCH($B1005,法人マスタ!$A:$A,0)),""))</f>
        <v>ＫＤＸ不動産投資法人</v>
      </c>
      <c r="D1005" s="1" t="str">
        <f aca="false">IF($A1005="","",物件マスタ!C1005)</f>
        <v>ブルメールHAT神戸</v>
      </c>
      <c r="E1005" s="1" t="str">
        <f aca="false">IF($A1005="","",物件マスタ!H1005)</f>
        <v>地方経済圏（KDX区分）</v>
      </c>
      <c r="F1005" s="1" t="n">
        <f aca="false">IF($A1005="","",物件マスタ!P1005)</f>
        <v>0</v>
      </c>
      <c r="G1005" s="1" t="str">
        <f aca="false">IF($A1005="","",物件マスタ!Q1005)</f>
        <v/>
      </c>
      <c r="H1005" s="1" t="n">
        <f aca="false">IF($A1005="","",物件マスタ!L1005)</f>
        <v>0</v>
      </c>
      <c r="I1005" s="1" t="n">
        <f aca="false">IF($A1005="","",物件マスタ!M1005)</f>
        <v>23775.88</v>
      </c>
      <c r="J1005" s="1" t="n">
        <f aca="false">IF($A1005="","",物件マスタ!S1005)</f>
        <v>11300</v>
      </c>
      <c r="K1005" s="1" t="n">
        <f aca="false">IF($A1005="","",物件マスタ!U1005)</f>
        <v>10600</v>
      </c>
      <c r="L1005" s="1" t="n">
        <f aca="false">IF($A1005="","",物件マスタ!W1005)</f>
        <v>0.99</v>
      </c>
      <c r="M1005" s="1" t="str">
        <f aca="false">IF($A1005="","",IFERROR(INDEX(法人マスタ!$H:$H,MATCH($B1005,法人マスタ!$A:$A,0)),""))</f>
        <v>2026年4月期（第42期）</v>
      </c>
      <c r="N1005" s="1" t="n">
        <f aca="false">IF($A1005="","",SUMIFS(物件収支!$D:$D,物件収支!$A:$A,$A1005,物件収支!$C:$C,$M1005))</f>
        <v>6</v>
      </c>
      <c r="O1005" s="1" t="n">
        <f aca="false">IF($A1005="","",SUMIFS(物件収支!$F:$F,物件収支!$A:$A,$A1005,物件収支!$C:$C,$M1005))</f>
        <v>457000</v>
      </c>
      <c r="P1005" s="1" t="n">
        <f aca="false">IF($A1005="","",SUMIFS(物件収支!$I:$I,物件収支!$A:$A,$A1005,物件収支!$C:$C,$M1005))</f>
        <v>0</v>
      </c>
      <c r="Q1005" s="1" t="n">
        <f aca="false">IF($A1005="","",SUMIFS(物件収支!$O:$O,物件収支!$A:$A,$A1005,物件収支!$C:$C,$M1005))</f>
        <v>0</v>
      </c>
      <c r="R1005" s="1" t="str">
        <f aca="false">IF($A1005="","",IF(P1005=0,"",O1005-P1005))</f>
        <v/>
      </c>
      <c r="S1005" s="1" t="str">
        <f aca="false">IF($A1005="","",IF(R1005="","",R1005+Q1005))</f>
        <v/>
      </c>
      <c r="T1005" s="1" t="str">
        <f aca="false">IF($A1005="","",IF(OR(S1005="",N1005&lt;=0),"",S1005/1000*12/N1005))</f>
        <v/>
      </c>
      <c r="U1005" s="1" t="str">
        <f aca="false">IF($A1005="","",IF(OR(T1005="",J1005=0,J1005=""),"",T1005/J1005))</f>
        <v/>
      </c>
      <c r="V1005" s="1" t="str">
        <f aca="false">IF($A1005="","",IF(OR(R1005="",N1005&lt;=0,J1005=0,J1005=""),"",(R1005/1000*12/N1005)/J1005))</f>
        <v/>
      </c>
      <c r="W1005" s="1" t="str">
        <f aca="false">IF($A1005="","",IF(OR(T1005="",K1005=0,K1005=""),"",T1005/K1005))</f>
        <v/>
      </c>
      <c r="X1005" s="1" t="n">
        <f aca="false">IF($A1005="","",IF(OR(N1005&lt;=0,I1005=0,I1005="",O1005=0),"",O1005*1000/(I1005*0.3025)/N1005))</f>
        <v>10590.1709467248</v>
      </c>
      <c r="Y1005" s="1" t="str">
        <f aca="false">IF($A1005="","",IF(OR(O1005=0,O1005="",P1005=0),"",P1005/O1005))</f>
        <v/>
      </c>
      <c r="Z1005" s="1" t="str">
        <f aca="false">IF($A1005="","",IFERROR(INDEX(物件収支!$E:$E,MATCH($A1005,物件収支!$A:$A,0)),""))</f>
        <v>開示（物件別・収益のみ・百万円単位）</v>
      </c>
    </row>
    <row r="1006" customFormat="false" ht="15" hidden="false" customHeight="true" outlineLevel="0" collapsed="false">
      <c r="A1006" s="1" t="str">
        <f aca="false">IF(物件マスタ!A1006="","",物件マスタ!A1006)</f>
        <v>KDX-265</v>
      </c>
      <c r="B1006" s="1" t="str">
        <f aca="false">IF($A1006="","",物件マスタ!B1006)</f>
        <v>KDX</v>
      </c>
      <c r="C1006" s="1" t="str">
        <f aca="false">IF($A1006="","",IFERROR(INDEX(法人マスタ!$C:$C,MATCH($B1006,法人マスタ!$A:$A,0)),""))</f>
        <v>ＫＤＸ不動産投資法人</v>
      </c>
      <c r="D1006" s="1" t="str">
        <f aca="false">IF($A1006="","",物件マスタ!C1006)</f>
        <v>アシコタウンあしかが</v>
      </c>
      <c r="E1006" s="1" t="str">
        <f aca="false">IF($A1006="","",物件マスタ!H1006)</f>
        <v>地方経済圏（KDX区分）</v>
      </c>
      <c r="F1006" s="1" t="n">
        <f aca="false">IF($A1006="","",物件マスタ!P1006)</f>
        <v>0</v>
      </c>
      <c r="G1006" s="1" t="str">
        <f aca="false">IF($A1006="","",物件マスタ!Q1006)</f>
        <v/>
      </c>
      <c r="H1006" s="1" t="n">
        <f aca="false">IF($A1006="","",物件マスタ!L1006)</f>
        <v>0</v>
      </c>
      <c r="I1006" s="1" t="n">
        <f aca="false">IF($A1006="","",物件マスタ!M1006)</f>
        <v>65382.12</v>
      </c>
      <c r="J1006" s="1" t="n">
        <f aca="false">IF($A1006="","",物件マスタ!S1006)</f>
        <v>5135</v>
      </c>
      <c r="K1006" s="1" t="n">
        <f aca="false">IF($A1006="","",物件マスタ!U1006)</f>
        <v>5180</v>
      </c>
      <c r="L1006" s="1" t="n">
        <f aca="false">IF($A1006="","",物件マスタ!W1006)</f>
        <v>0.997</v>
      </c>
      <c r="M1006" s="1" t="str">
        <f aca="false">IF($A1006="","",IFERROR(INDEX(法人マスタ!$H:$H,MATCH($B1006,法人マスタ!$A:$A,0)),""))</f>
        <v>2026年4月期（第42期）</v>
      </c>
      <c r="N1006" s="1" t="n">
        <f aca="false">IF($A1006="","",SUMIFS(物件収支!$D:$D,物件収支!$A:$A,$A1006,物件収支!$C:$C,$M1006))</f>
        <v>6</v>
      </c>
      <c r="O1006" s="1" t="n">
        <f aca="false">IF($A1006="","",SUMIFS(物件収支!$F:$F,物件収支!$A:$A,$A1006,物件収支!$C:$C,$M1006))</f>
        <v>296000</v>
      </c>
      <c r="P1006" s="1" t="n">
        <f aca="false">IF($A1006="","",SUMIFS(物件収支!$I:$I,物件収支!$A:$A,$A1006,物件収支!$C:$C,$M1006))</f>
        <v>0</v>
      </c>
      <c r="Q1006" s="1" t="n">
        <f aca="false">IF($A1006="","",SUMIFS(物件収支!$O:$O,物件収支!$A:$A,$A1006,物件収支!$C:$C,$M1006))</f>
        <v>0</v>
      </c>
      <c r="R1006" s="1" t="str">
        <f aca="false">IF($A1006="","",IF(P1006=0,"",O1006-P1006))</f>
        <v/>
      </c>
      <c r="S1006" s="1" t="str">
        <f aca="false">IF($A1006="","",IF(R1006="","",R1006+Q1006))</f>
        <v/>
      </c>
      <c r="T1006" s="1" t="str">
        <f aca="false">IF($A1006="","",IF(OR(S1006="",N1006&lt;=0),"",S1006/1000*12/N1006))</f>
        <v/>
      </c>
      <c r="U1006" s="1" t="str">
        <f aca="false">IF($A1006="","",IF(OR(T1006="",J1006=0,J1006=""),"",T1006/J1006))</f>
        <v/>
      </c>
      <c r="V1006" s="1" t="str">
        <f aca="false">IF($A1006="","",IF(OR(R1006="",N1006&lt;=0,J1006=0,J1006=""),"",(R1006/1000*12/N1006)/J1006))</f>
        <v/>
      </c>
      <c r="W1006" s="1" t="str">
        <f aca="false">IF($A1006="","",IF(OR(T1006="",K1006=0,K1006=""),"",T1006/K1006))</f>
        <v/>
      </c>
      <c r="X1006" s="1" t="n">
        <f aca="false">IF($A1006="","",IF(OR(N1006&lt;=0,I1006=0,I1006="",O1006=0),"",O1006*1000/(I1006*0.3025)/N1006))</f>
        <v>2494.34248153831</v>
      </c>
      <c r="Y1006" s="1" t="str">
        <f aca="false">IF($A1006="","",IF(OR(O1006=0,O1006="",P1006=0),"",P1006/O1006))</f>
        <v/>
      </c>
      <c r="Z1006" s="1" t="str">
        <f aca="false">IF($A1006="","",IFERROR(INDEX(物件収支!$E:$E,MATCH($A1006,物件収支!$A:$A,0)),""))</f>
        <v>開示（物件別・収益のみ・百万円単位）</v>
      </c>
    </row>
    <row r="1007" customFormat="false" ht="15" hidden="false" customHeight="true" outlineLevel="0" collapsed="false">
      <c r="A1007" s="1" t="str">
        <f aca="false">IF(物件マスタ!A1007="","",物件マスタ!A1007)</f>
        <v>KDX-266</v>
      </c>
      <c r="B1007" s="1" t="str">
        <f aca="false">IF($A1007="","",物件マスタ!B1007)</f>
        <v>KDX</v>
      </c>
      <c r="C1007" s="1" t="str">
        <f aca="false">IF($A1007="","",IFERROR(INDEX(法人マスタ!$C:$C,MATCH($B1007,法人マスタ!$A:$A,0)),""))</f>
        <v>ＫＤＸ不動産投資法人</v>
      </c>
      <c r="D1007" s="1" t="str">
        <f aca="false">IF($A1007="","",物件マスタ!C1007)</f>
        <v>ヨークタウン新田東</v>
      </c>
      <c r="E1007" s="1" t="str">
        <f aca="false">IF($A1007="","",物件マスタ!H1007)</f>
        <v>地方経済圏（KDX区分）</v>
      </c>
      <c r="F1007" s="1" t="n">
        <f aca="false">IF($A1007="","",物件マスタ!P1007)</f>
        <v>0</v>
      </c>
      <c r="G1007" s="1" t="str">
        <f aca="false">IF($A1007="","",物件マスタ!Q1007)</f>
        <v/>
      </c>
      <c r="H1007" s="1" t="n">
        <f aca="false">IF($A1007="","",物件マスタ!L1007)</f>
        <v>0</v>
      </c>
      <c r="I1007" s="1" t="n">
        <f aca="false">IF($A1007="","",物件マスタ!M1007)</f>
        <v>12768.77</v>
      </c>
      <c r="J1007" s="1" t="n">
        <f aca="false">IF($A1007="","",物件マスタ!S1007)</f>
        <v>2600</v>
      </c>
      <c r="K1007" s="1" t="n">
        <f aca="false">IF($A1007="","",物件マスタ!U1007)</f>
        <v>2870</v>
      </c>
      <c r="L1007" s="1" t="n">
        <f aca="false">IF($A1007="","",物件マスタ!W1007)</f>
        <v>1</v>
      </c>
      <c r="M1007" s="1" t="str">
        <f aca="false">IF($A1007="","",IFERROR(INDEX(法人マスタ!$H:$H,MATCH($B1007,法人マスタ!$A:$A,0)),""))</f>
        <v>2026年4月期（第42期）</v>
      </c>
      <c r="N1007" s="1" t="n">
        <f aca="false">IF($A1007="","",SUMIFS(物件収支!$D:$D,物件収支!$A:$A,$A1007,物件収支!$C:$C,$M1007))</f>
        <v>6</v>
      </c>
      <c r="O1007" s="1" t="n">
        <f aca="false">IF($A1007="","",SUMIFS(物件収支!$F:$F,物件収支!$A:$A,$A1007,物件収支!$C:$C,$M1007))</f>
        <v>0</v>
      </c>
      <c r="P1007" s="1" t="n">
        <f aca="false">IF($A1007="","",SUMIFS(物件収支!$I:$I,物件収支!$A:$A,$A1007,物件収支!$C:$C,$M1007))</f>
        <v>0</v>
      </c>
      <c r="Q1007" s="1" t="n">
        <f aca="false">IF($A1007="","",SUMIFS(物件収支!$O:$O,物件収支!$A:$A,$A1007,物件収支!$C:$C,$M1007))</f>
        <v>0</v>
      </c>
      <c r="R1007" s="1" t="str">
        <f aca="false">IF($A1007="","",IF(P1007=0,"",O1007-P1007))</f>
        <v/>
      </c>
      <c r="S1007" s="1" t="str">
        <f aca="false">IF($A1007="","",IF(R1007="","",R1007+Q1007))</f>
        <v/>
      </c>
      <c r="T1007" s="1" t="str">
        <f aca="false">IF($A1007="","",IF(OR(S1007="",N1007&lt;=0),"",S1007/1000*12/N1007))</f>
        <v/>
      </c>
      <c r="U1007" s="1" t="str">
        <f aca="false">IF($A1007="","",IF(OR(T1007="",J1007=0,J1007=""),"",T1007/J1007))</f>
        <v/>
      </c>
      <c r="V1007" s="1" t="str">
        <f aca="false">IF($A1007="","",IF(OR(R1007="",N1007&lt;=0,J1007=0,J1007=""),"",(R1007/1000*12/N1007)/J1007))</f>
        <v/>
      </c>
      <c r="W1007" s="1" t="str">
        <f aca="false">IF($A1007="","",IF(OR(T1007="",K1007=0,K1007=""),"",T1007/K1007))</f>
        <v/>
      </c>
      <c r="X1007" s="1" t="str">
        <f aca="false">IF($A1007="","",IF(OR(N1007&lt;=0,I1007=0,I1007="",O1007=0),"",O1007*1000/(I1007*0.3025)/N1007))</f>
        <v/>
      </c>
      <c r="Y1007" s="1" t="str">
        <f aca="false">IF($A1007="","",IF(OR(O1007=0,O1007="",P1007=0),"",P1007/O1007))</f>
        <v/>
      </c>
      <c r="Z1007" s="1" t="str">
        <f aca="false">IF($A1007="","",IFERROR(INDEX(物件収支!$E:$E,MATCH($A1007,物件収支!$A:$A,0)),""))</f>
        <v>非開示</v>
      </c>
    </row>
    <row r="1008" customFormat="false" ht="15" hidden="false" customHeight="true" outlineLevel="0" collapsed="false">
      <c r="A1008" s="1" t="str">
        <f aca="false">IF(物件マスタ!A1008="","",物件マスタ!A1008)</f>
        <v>KDX-267</v>
      </c>
      <c r="B1008" s="1" t="str">
        <f aca="false">IF($A1008="","",物件マスタ!B1008)</f>
        <v>KDX</v>
      </c>
      <c r="C1008" s="1" t="str">
        <f aca="false">IF($A1008="","",IFERROR(INDEX(法人マスタ!$C:$C,MATCH($B1008,法人マスタ!$A:$A,0)),""))</f>
        <v>ＫＤＸ不動産投資法人</v>
      </c>
      <c r="D1008" s="1" t="str">
        <f aca="false">IF($A1008="","",物件マスタ!C1008)</f>
        <v>カスミテクノパーク桜店</v>
      </c>
      <c r="E1008" s="1" t="str">
        <f aca="false">IF($A1008="","",物件マスタ!H1008)</f>
        <v>地方経済圏（KDX区分）</v>
      </c>
      <c r="F1008" s="1" t="n">
        <f aca="false">IF($A1008="","",物件マスタ!P1008)</f>
        <v>0</v>
      </c>
      <c r="G1008" s="1" t="str">
        <f aca="false">IF($A1008="","",物件マスタ!Q1008)</f>
        <v/>
      </c>
      <c r="H1008" s="1" t="n">
        <f aca="false">IF($A1008="","",物件マスタ!L1008)</f>
        <v>0</v>
      </c>
      <c r="I1008" s="1" t="n">
        <f aca="false">IF($A1008="","",物件マスタ!M1008)</f>
        <v>2228.04</v>
      </c>
      <c r="J1008" s="1" t="n">
        <f aca="false">IF($A1008="","",物件マスタ!S1008)</f>
        <v>979</v>
      </c>
      <c r="K1008" s="1" t="n">
        <f aca="false">IF($A1008="","",物件マスタ!U1008)</f>
        <v>1020</v>
      </c>
      <c r="L1008" s="1" t="n">
        <f aca="false">IF($A1008="","",物件マスタ!W1008)</f>
        <v>1</v>
      </c>
      <c r="M1008" s="1" t="str">
        <f aca="false">IF($A1008="","",IFERROR(INDEX(法人マスタ!$H:$H,MATCH($B1008,法人マスタ!$A:$A,0)),""))</f>
        <v>2026年4月期（第42期）</v>
      </c>
      <c r="N1008" s="1" t="n">
        <f aca="false">IF($A1008="","",SUMIFS(物件収支!$D:$D,物件収支!$A:$A,$A1008,物件収支!$C:$C,$M1008))</f>
        <v>6</v>
      </c>
      <c r="O1008" s="1" t="n">
        <f aca="false">IF($A1008="","",SUMIFS(物件収支!$F:$F,物件収支!$A:$A,$A1008,物件収支!$C:$C,$M1008))</f>
        <v>0</v>
      </c>
      <c r="P1008" s="1" t="n">
        <f aca="false">IF($A1008="","",SUMIFS(物件収支!$I:$I,物件収支!$A:$A,$A1008,物件収支!$C:$C,$M1008))</f>
        <v>0</v>
      </c>
      <c r="Q1008" s="1" t="n">
        <f aca="false">IF($A1008="","",SUMIFS(物件収支!$O:$O,物件収支!$A:$A,$A1008,物件収支!$C:$C,$M1008))</f>
        <v>0</v>
      </c>
      <c r="R1008" s="1" t="str">
        <f aca="false">IF($A1008="","",IF(P1008=0,"",O1008-P1008))</f>
        <v/>
      </c>
      <c r="S1008" s="1" t="str">
        <f aca="false">IF($A1008="","",IF(R1008="","",R1008+Q1008))</f>
        <v/>
      </c>
      <c r="T1008" s="1" t="str">
        <f aca="false">IF($A1008="","",IF(OR(S1008="",N1008&lt;=0),"",S1008/1000*12/N1008))</f>
        <v/>
      </c>
      <c r="U1008" s="1" t="str">
        <f aca="false">IF($A1008="","",IF(OR(T1008="",J1008=0,J1008=""),"",T1008/J1008))</f>
        <v/>
      </c>
      <c r="V1008" s="1" t="str">
        <f aca="false">IF($A1008="","",IF(OR(R1008="",N1008&lt;=0,J1008=0,J1008=""),"",(R1008/1000*12/N1008)/J1008))</f>
        <v/>
      </c>
      <c r="W1008" s="1" t="str">
        <f aca="false">IF($A1008="","",IF(OR(T1008="",K1008=0,K1008=""),"",T1008/K1008))</f>
        <v/>
      </c>
      <c r="X1008" s="1" t="str">
        <f aca="false">IF($A1008="","",IF(OR(N1008&lt;=0,I1008=0,I1008="",O1008=0),"",O1008*1000/(I1008*0.3025)/N1008))</f>
        <v/>
      </c>
      <c r="Y1008" s="1" t="str">
        <f aca="false">IF($A1008="","",IF(OR(O1008=0,O1008="",P1008=0),"",P1008/O1008))</f>
        <v/>
      </c>
      <c r="Z1008" s="1" t="str">
        <f aca="false">IF($A1008="","",IFERROR(INDEX(物件収支!$E:$E,MATCH($A1008,物件収支!$A:$A,0)),""))</f>
        <v>非開示</v>
      </c>
    </row>
    <row r="1009" customFormat="false" ht="15" hidden="false" customHeight="true" outlineLevel="0" collapsed="false">
      <c r="A1009" s="1" t="str">
        <f aca="false">IF(物件マスタ!A1009="","",物件マスタ!A1009)</f>
        <v>KDX-268</v>
      </c>
      <c r="B1009" s="1" t="str">
        <f aca="false">IF($A1009="","",物件マスタ!B1009)</f>
        <v>KDX</v>
      </c>
      <c r="C1009" s="1" t="str">
        <f aca="false">IF($A1009="","",IFERROR(INDEX(法人マスタ!$C:$C,MATCH($B1009,法人マスタ!$A:$A,0)),""))</f>
        <v>ＫＤＸ不動産投資法人</v>
      </c>
      <c r="D1009" s="1" t="str">
        <f aca="false">IF($A1009="","",物件マスタ!C1009)</f>
        <v>ライフ西天下茶屋店</v>
      </c>
      <c r="E1009" s="1" t="str">
        <f aca="false">IF($A1009="","",物件マスタ!H1009)</f>
        <v>地方経済圏（KDX区分）</v>
      </c>
      <c r="F1009" s="1" t="n">
        <f aca="false">IF($A1009="","",物件マスタ!P1009)</f>
        <v>0</v>
      </c>
      <c r="G1009" s="1" t="str">
        <f aca="false">IF($A1009="","",物件マスタ!Q1009)</f>
        <v/>
      </c>
      <c r="H1009" s="1" t="n">
        <f aca="false">IF($A1009="","",物件マスタ!L1009)</f>
        <v>0</v>
      </c>
      <c r="I1009" s="1" t="n">
        <f aca="false">IF($A1009="","",物件マスタ!M1009)</f>
        <v>2679.52</v>
      </c>
      <c r="J1009" s="1" t="n">
        <f aca="false">IF($A1009="","",物件マスタ!S1009)</f>
        <v>1790</v>
      </c>
      <c r="K1009" s="1" t="n">
        <f aca="false">IF($A1009="","",物件マスタ!U1009)</f>
        <v>1820</v>
      </c>
      <c r="L1009" s="1" t="n">
        <f aca="false">IF($A1009="","",物件マスタ!W1009)</f>
        <v>1</v>
      </c>
      <c r="M1009" s="1" t="str">
        <f aca="false">IF($A1009="","",IFERROR(INDEX(法人マスタ!$H:$H,MATCH($B1009,法人マスタ!$A:$A,0)),""))</f>
        <v>2026年4月期（第42期）</v>
      </c>
      <c r="N1009" s="1" t="n">
        <f aca="false">IF($A1009="","",SUMIFS(物件収支!$D:$D,物件収支!$A:$A,$A1009,物件収支!$C:$C,$M1009))</f>
        <v>6</v>
      </c>
      <c r="O1009" s="1" t="n">
        <f aca="false">IF($A1009="","",SUMIFS(物件収支!$F:$F,物件収支!$A:$A,$A1009,物件収支!$C:$C,$M1009))</f>
        <v>44000</v>
      </c>
      <c r="P1009" s="1" t="n">
        <f aca="false">IF($A1009="","",SUMIFS(物件収支!$I:$I,物件収支!$A:$A,$A1009,物件収支!$C:$C,$M1009))</f>
        <v>0</v>
      </c>
      <c r="Q1009" s="1" t="n">
        <f aca="false">IF($A1009="","",SUMIFS(物件収支!$O:$O,物件収支!$A:$A,$A1009,物件収支!$C:$C,$M1009))</f>
        <v>0</v>
      </c>
      <c r="R1009" s="1" t="str">
        <f aca="false">IF($A1009="","",IF(P1009=0,"",O1009-P1009))</f>
        <v/>
      </c>
      <c r="S1009" s="1" t="str">
        <f aca="false">IF($A1009="","",IF(R1009="","",R1009+Q1009))</f>
        <v/>
      </c>
      <c r="T1009" s="1" t="str">
        <f aca="false">IF($A1009="","",IF(OR(S1009="",N1009&lt;=0),"",S1009/1000*12/N1009))</f>
        <v/>
      </c>
      <c r="U1009" s="1" t="str">
        <f aca="false">IF($A1009="","",IF(OR(T1009="",J1009=0,J1009=""),"",T1009/J1009))</f>
        <v/>
      </c>
      <c r="V1009" s="1" t="str">
        <f aca="false">IF($A1009="","",IF(OR(R1009="",N1009&lt;=0,J1009=0,J1009=""),"",(R1009/1000*12/N1009)/J1009))</f>
        <v/>
      </c>
      <c r="W1009" s="1" t="str">
        <f aca="false">IF($A1009="","",IF(OR(T1009="",K1009=0,K1009=""),"",T1009/K1009))</f>
        <v/>
      </c>
      <c r="X1009" s="1" t="n">
        <f aca="false">IF($A1009="","",IF(OR(N1009&lt;=0,I1009=0,I1009="",O1009=0),"",O1009*1000/(I1009*0.3025)/N1009))</f>
        <v>9047.30109960898</v>
      </c>
      <c r="Y1009" s="1" t="str">
        <f aca="false">IF($A1009="","",IF(OR(O1009=0,O1009="",P1009=0),"",P1009/O1009))</f>
        <v/>
      </c>
      <c r="Z1009" s="1" t="str">
        <f aca="false">IF($A1009="","",IFERROR(INDEX(物件収支!$E:$E,MATCH($A1009,物件収支!$A:$A,0)),""))</f>
        <v>開示（物件別・収益のみ・百万円単位）</v>
      </c>
    </row>
    <row r="1010" customFormat="false" ht="15" hidden="false" customHeight="true" outlineLevel="0" collapsed="false">
      <c r="A1010" s="1" t="str">
        <f aca="false">IF(物件マスタ!A1010="","",物件マスタ!A1010)</f>
        <v>KDX-269</v>
      </c>
      <c r="B1010" s="1" t="str">
        <f aca="false">IF($A1010="","",物件マスタ!B1010)</f>
        <v>KDX</v>
      </c>
      <c r="C1010" s="1" t="str">
        <f aca="false">IF($A1010="","",IFERROR(INDEX(法人マスタ!$C:$C,MATCH($B1010,法人マスタ!$A:$A,0)),""))</f>
        <v>ＫＤＸ不動産投資法人</v>
      </c>
      <c r="D1010" s="1" t="str">
        <f aca="false">IF($A1010="","",物件マスタ!C1010)</f>
        <v>ホームセンターコーナン砂田橋店</v>
      </c>
      <c r="E1010" s="1" t="str">
        <f aca="false">IF($A1010="","",物件マスタ!H1010)</f>
        <v>地方経済圏（KDX区分）</v>
      </c>
      <c r="F1010" s="1" t="n">
        <f aca="false">IF($A1010="","",物件マスタ!P1010)</f>
        <v>0</v>
      </c>
      <c r="G1010" s="1" t="str">
        <f aca="false">IF($A1010="","",物件マスタ!Q1010)</f>
        <v/>
      </c>
      <c r="H1010" s="1" t="n">
        <f aca="false">IF($A1010="","",物件マスタ!L1010)</f>
        <v>0</v>
      </c>
      <c r="I1010" s="1" t="n">
        <f aca="false">IF($A1010="","",物件マスタ!M1010)</f>
        <v>20329.07</v>
      </c>
      <c r="J1010" s="1" t="n">
        <f aca="false">IF($A1010="","",物件マスタ!S1010)</f>
        <v>7480</v>
      </c>
      <c r="K1010" s="1" t="n">
        <f aca="false">IF($A1010="","",物件マスタ!U1010)</f>
        <v>7220</v>
      </c>
      <c r="L1010" s="1" t="n">
        <f aca="false">IF($A1010="","",物件マスタ!W1010)</f>
        <v>1</v>
      </c>
      <c r="M1010" s="1" t="str">
        <f aca="false">IF($A1010="","",IFERROR(INDEX(法人マスタ!$H:$H,MATCH($B1010,法人マスタ!$A:$A,0)),""))</f>
        <v>2026年4月期（第42期）</v>
      </c>
      <c r="N1010" s="1" t="n">
        <f aca="false">IF($A1010="","",SUMIFS(物件収支!$D:$D,物件収支!$A:$A,$A1010,物件収支!$C:$C,$M1010))</f>
        <v>6</v>
      </c>
      <c r="O1010" s="1" t="n">
        <f aca="false">IF($A1010="","",SUMIFS(物件収支!$F:$F,物件収支!$A:$A,$A1010,物件収支!$C:$C,$M1010))</f>
        <v>0</v>
      </c>
      <c r="P1010" s="1" t="n">
        <f aca="false">IF($A1010="","",SUMIFS(物件収支!$I:$I,物件収支!$A:$A,$A1010,物件収支!$C:$C,$M1010))</f>
        <v>0</v>
      </c>
      <c r="Q1010" s="1" t="n">
        <f aca="false">IF($A1010="","",SUMIFS(物件収支!$O:$O,物件収支!$A:$A,$A1010,物件収支!$C:$C,$M1010))</f>
        <v>0</v>
      </c>
      <c r="R1010" s="1" t="str">
        <f aca="false">IF($A1010="","",IF(P1010=0,"",O1010-P1010))</f>
        <v/>
      </c>
      <c r="S1010" s="1" t="str">
        <f aca="false">IF($A1010="","",IF(R1010="","",R1010+Q1010))</f>
        <v/>
      </c>
      <c r="T1010" s="1" t="str">
        <f aca="false">IF($A1010="","",IF(OR(S1010="",N1010&lt;=0),"",S1010/1000*12/N1010))</f>
        <v/>
      </c>
      <c r="U1010" s="1" t="str">
        <f aca="false">IF($A1010="","",IF(OR(T1010="",J1010=0,J1010=""),"",T1010/J1010))</f>
        <v/>
      </c>
      <c r="V1010" s="1" t="str">
        <f aca="false">IF($A1010="","",IF(OR(R1010="",N1010&lt;=0,J1010=0,J1010=""),"",(R1010/1000*12/N1010)/J1010))</f>
        <v/>
      </c>
      <c r="W1010" s="1" t="str">
        <f aca="false">IF($A1010="","",IF(OR(T1010="",K1010=0,K1010=""),"",T1010/K1010))</f>
        <v/>
      </c>
      <c r="X1010" s="1" t="str">
        <f aca="false">IF($A1010="","",IF(OR(N1010&lt;=0,I1010=0,I1010="",O1010=0),"",O1010*1000/(I1010*0.3025)/N1010))</f>
        <v/>
      </c>
      <c r="Y1010" s="1" t="str">
        <f aca="false">IF($A1010="","",IF(OR(O1010=0,O1010="",P1010=0),"",P1010/O1010))</f>
        <v/>
      </c>
      <c r="Z1010" s="1" t="str">
        <f aca="false">IF($A1010="","",IFERROR(INDEX(物件収支!$E:$E,MATCH($A1010,物件収支!$A:$A,0)),""))</f>
        <v>非開示</v>
      </c>
    </row>
    <row r="1011" customFormat="false" ht="15" hidden="false" customHeight="true" outlineLevel="0" collapsed="false">
      <c r="A1011" s="1" t="str">
        <f aca="false">IF(物件マスタ!A1011="","",物件マスタ!A1011)</f>
        <v>KDX-270</v>
      </c>
      <c r="B1011" s="1" t="str">
        <f aca="false">IF($A1011="","",物件マスタ!B1011)</f>
        <v>KDX</v>
      </c>
      <c r="C1011" s="1" t="str">
        <f aca="false">IF($A1011="","",IFERROR(INDEX(法人マスタ!$C:$C,MATCH($B1011,法人マスタ!$A:$A,0)),""))</f>
        <v>ＫＤＸ不動産投資法人</v>
      </c>
      <c r="D1011" s="1" t="str">
        <f aca="false">IF($A1011="","",物件マスタ!C1011)</f>
        <v>ミリオンタウン塚口(底地)</v>
      </c>
      <c r="E1011" s="1" t="str">
        <f aca="false">IF($A1011="","",物件マスタ!H1011)</f>
        <v>地方経済圏（KDX区分）</v>
      </c>
      <c r="F1011" s="1" t="n">
        <f aca="false">IF($A1011="","",物件マスタ!P1011)</f>
        <v>0</v>
      </c>
      <c r="G1011" s="1" t="str">
        <f aca="false">IF($A1011="","",物件マスタ!Q1011)</f>
        <v/>
      </c>
      <c r="H1011" s="1" t="n">
        <f aca="false">IF($A1011="","",物件マスタ!L1011)</f>
        <v>0</v>
      </c>
      <c r="I1011" s="1" t="n">
        <f aca="false">IF($A1011="","",物件マスタ!M1011)</f>
        <v>8264.46</v>
      </c>
      <c r="J1011" s="1" t="n">
        <f aca="false">IF($A1011="","",物件マスタ!S1011)</f>
        <v>4310</v>
      </c>
      <c r="K1011" s="1" t="n">
        <f aca="false">IF($A1011="","",物件マスタ!U1011)</f>
        <v>4580</v>
      </c>
      <c r="L1011" s="1" t="n">
        <f aca="false">IF($A1011="","",物件マスタ!W1011)</f>
        <v>1</v>
      </c>
      <c r="M1011" s="1" t="str">
        <f aca="false">IF($A1011="","",IFERROR(INDEX(法人マスタ!$H:$H,MATCH($B1011,法人マスタ!$A:$A,0)),""))</f>
        <v>2026年4月期（第42期）</v>
      </c>
      <c r="N1011" s="1" t="n">
        <f aca="false">IF($A1011="","",SUMIFS(物件収支!$D:$D,物件収支!$A:$A,$A1011,物件収支!$C:$C,$M1011))</f>
        <v>6</v>
      </c>
      <c r="O1011" s="1" t="n">
        <f aca="false">IF($A1011="","",SUMIFS(物件収支!$F:$F,物件収支!$A:$A,$A1011,物件収支!$C:$C,$M1011))</f>
        <v>0</v>
      </c>
      <c r="P1011" s="1" t="n">
        <f aca="false">IF($A1011="","",SUMIFS(物件収支!$I:$I,物件収支!$A:$A,$A1011,物件収支!$C:$C,$M1011))</f>
        <v>0</v>
      </c>
      <c r="Q1011" s="1" t="n">
        <f aca="false">IF($A1011="","",SUMIFS(物件収支!$O:$O,物件収支!$A:$A,$A1011,物件収支!$C:$C,$M1011))</f>
        <v>0</v>
      </c>
      <c r="R1011" s="1" t="str">
        <f aca="false">IF($A1011="","",IF(P1011=0,"",O1011-P1011))</f>
        <v/>
      </c>
      <c r="S1011" s="1" t="str">
        <f aca="false">IF($A1011="","",IF(R1011="","",R1011+Q1011))</f>
        <v/>
      </c>
      <c r="T1011" s="1" t="str">
        <f aca="false">IF($A1011="","",IF(OR(S1011="",N1011&lt;=0),"",S1011/1000*12/N1011))</f>
        <v/>
      </c>
      <c r="U1011" s="1" t="str">
        <f aca="false">IF($A1011="","",IF(OR(T1011="",J1011=0,J1011=""),"",T1011/J1011))</f>
        <v/>
      </c>
      <c r="V1011" s="1" t="str">
        <f aca="false">IF($A1011="","",IF(OR(R1011="",N1011&lt;=0,J1011=0,J1011=""),"",(R1011/1000*12/N1011)/J1011))</f>
        <v/>
      </c>
      <c r="W1011" s="1" t="str">
        <f aca="false">IF($A1011="","",IF(OR(T1011="",K1011=0,K1011=""),"",T1011/K1011))</f>
        <v/>
      </c>
      <c r="X1011" s="1" t="str">
        <f aca="false">IF($A1011="","",IF(OR(N1011&lt;=0,I1011=0,I1011="",O1011=0),"",O1011*1000/(I1011*0.3025)/N1011))</f>
        <v/>
      </c>
      <c r="Y1011" s="1" t="str">
        <f aca="false">IF($A1011="","",IF(OR(O1011=0,O1011="",P1011=0),"",P1011/O1011))</f>
        <v/>
      </c>
      <c r="Z1011" s="1" t="str">
        <f aca="false">IF($A1011="","",IFERROR(INDEX(物件収支!$E:$E,MATCH($A1011,物件収支!$A:$A,0)),""))</f>
        <v>非開示</v>
      </c>
    </row>
    <row r="1012" customFormat="false" ht="15" hidden="false" customHeight="true" outlineLevel="0" collapsed="false">
      <c r="A1012" s="1" t="str">
        <f aca="false">IF(物件マスタ!A1012="","",物件マスタ!A1012)</f>
        <v>KDX-271</v>
      </c>
      <c r="B1012" s="1" t="str">
        <f aca="false">IF($A1012="","",物件マスタ!B1012)</f>
        <v>KDX</v>
      </c>
      <c r="C1012" s="1" t="str">
        <f aca="false">IF($A1012="","",IFERROR(INDEX(法人マスタ!$C:$C,MATCH($B1012,法人マスタ!$A:$A,0)),""))</f>
        <v>ＫＤＸ不動産投資法人</v>
      </c>
      <c r="D1012" s="1" t="str">
        <f aca="false">IF($A1012="","",物件マスタ!C1012)</f>
        <v>ピーワンプラザ天王</v>
      </c>
      <c r="E1012" s="1" t="str">
        <f aca="false">IF($A1012="","",物件マスタ!H1012)</f>
        <v>地方経済圏（KDX区分）</v>
      </c>
      <c r="F1012" s="1" t="n">
        <f aca="false">IF($A1012="","",物件マスタ!P1012)</f>
        <v>0</v>
      </c>
      <c r="G1012" s="1" t="str">
        <f aca="false">IF($A1012="","",物件マスタ!Q1012)</f>
        <v/>
      </c>
      <c r="H1012" s="1" t="n">
        <f aca="false">IF($A1012="","",物件マスタ!L1012)</f>
        <v>0</v>
      </c>
      <c r="I1012" s="1" t="n">
        <f aca="false">IF($A1012="","",物件マスタ!M1012)</f>
        <v>12030.83</v>
      </c>
      <c r="J1012" s="1" t="n">
        <f aca="false">IF($A1012="","",物件マスタ!S1012)</f>
        <v>4180</v>
      </c>
      <c r="K1012" s="1" t="n">
        <f aca="false">IF($A1012="","",物件マスタ!U1012)</f>
        <v>4020</v>
      </c>
      <c r="L1012" s="1" t="n">
        <f aca="false">IF($A1012="","",物件マスタ!W1012)</f>
        <v>1</v>
      </c>
      <c r="M1012" s="1" t="str">
        <f aca="false">IF($A1012="","",IFERROR(INDEX(法人マスタ!$H:$H,MATCH($B1012,法人マスタ!$A:$A,0)),""))</f>
        <v>2026年4月期（第42期）</v>
      </c>
      <c r="N1012" s="1" t="n">
        <f aca="false">IF($A1012="","",SUMIFS(物件収支!$D:$D,物件収支!$A:$A,$A1012,物件収支!$C:$C,$M1012))</f>
        <v>6</v>
      </c>
      <c r="O1012" s="1" t="n">
        <f aca="false">IF($A1012="","",SUMIFS(物件収支!$F:$F,物件収支!$A:$A,$A1012,物件収支!$C:$C,$M1012))</f>
        <v>128000</v>
      </c>
      <c r="P1012" s="1" t="n">
        <f aca="false">IF($A1012="","",SUMIFS(物件収支!$I:$I,物件収支!$A:$A,$A1012,物件収支!$C:$C,$M1012))</f>
        <v>0</v>
      </c>
      <c r="Q1012" s="1" t="n">
        <f aca="false">IF($A1012="","",SUMIFS(物件収支!$O:$O,物件収支!$A:$A,$A1012,物件収支!$C:$C,$M1012))</f>
        <v>0</v>
      </c>
      <c r="R1012" s="1" t="str">
        <f aca="false">IF($A1012="","",IF(P1012=0,"",O1012-P1012))</f>
        <v/>
      </c>
      <c r="S1012" s="1" t="str">
        <f aca="false">IF($A1012="","",IF(R1012="","",R1012+Q1012))</f>
        <v/>
      </c>
      <c r="T1012" s="1" t="str">
        <f aca="false">IF($A1012="","",IF(OR(S1012="",N1012&lt;=0),"",S1012/1000*12/N1012))</f>
        <v/>
      </c>
      <c r="U1012" s="1" t="str">
        <f aca="false">IF($A1012="","",IF(OR(T1012="",J1012=0,J1012=""),"",T1012/J1012))</f>
        <v/>
      </c>
      <c r="V1012" s="1" t="str">
        <f aca="false">IF($A1012="","",IF(OR(R1012="",N1012&lt;=0,J1012=0,J1012=""),"",(R1012/1000*12/N1012)/J1012))</f>
        <v/>
      </c>
      <c r="W1012" s="1" t="str">
        <f aca="false">IF($A1012="","",IF(OR(T1012="",K1012=0,K1012=""),"",T1012/K1012))</f>
        <v/>
      </c>
      <c r="X1012" s="1" t="n">
        <f aca="false">IF($A1012="","",IF(OR(N1012&lt;=0,I1012=0,I1012="",O1012=0),"",O1012*1000/(I1012*0.3025)/N1012))</f>
        <v>5861.89115613482</v>
      </c>
      <c r="Y1012" s="1" t="str">
        <f aca="false">IF($A1012="","",IF(OR(O1012=0,O1012="",P1012=0),"",P1012/O1012))</f>
        <v/>
      </c>
      <c r="Z1012" s="1" t="str">
        <f aca="false">IF($A1012="","",IFERROR(INDEX(物件収支!$E:$E,MATCH($A1012,物件収支!$A:$A,0)),""))</f>
        <v>開示（物件別・収益のみ・百万円単位）</v>
      </c>
    </row>
    <row r="1013" customFormat="false" ht="15" hidden="false" customHeight="true" outlineLevel="0" collapsed="false">
      <c r="A1013" s="1" t="str">
        <f aca="false">IF(物件マスタ!A1013="","",物件マスタ!A1013)</f>
        <v>KDX-272</v>
      </c>
      <c r="B1013" s="1" t="str">
        <f aca="false">IF($A1013="","",物件マスタ!B1013)</f>
        <v>KDX</v>
      </c>
      <c r="C1013" s="1" t="str">
        <f aca="false">IF($A1013="","",IFERROR(INDEX(法人マスタ!$C:$C,MATCH($B1013,法人マスタ!$A:$A,0)),""))</f>
        <v>ＫＤＸ不動産投資法人</v>
      </c>
      <c r="D1013" s="1" t="str">
        <f aca="false">IF($A1013="","",物件マスタ!C1013)</f>
        <v>西友楽市守谷店(底地)</v>
      </c>
      <c r="E1013" s="1" t="str">
        <f aca="false">IF($A1013="","",物件マスタ!H1013)</f>
        <v>地方経済圏（KDX区分）</v>
      </c>
      <c r="F1013" s="1" t="n">
        <f aca="false">IF($A1013="","",物件マスタ!P1013)</f>
        <v>0</v>
      </c>
      <c r="G1013" s="1" t="str">
        <f aca="false">IF($A1013="","",物件マスタ!Q1013)</f>
        <v/>
      </c>
      <c r="H1013" s="1" t="n">
        <f aca="false">IF($A1013="","",物件マスタ!L1013)</f>
        <v>0</v>
      </c>
      <c r="I1013" s="1" t="n">
        <f aca="false">IF($A1013="","",物件マスタ!M1013)</f>
        <v>0</v>
      </c>
      <c r="J1013" s="1" t="n">
        <f aca="false">IF($A1013="","",物件マスタ!S1013)</f>
        <v>4350</v>
      </c>
      <c r="K1013" s="1" t="n">
        <f aca="false">IF($A1013="","",物件マスタ!U1013)</f>
        <v>4630</v>
      </c>
      <c r="L1013" s="1" t="n">
        <f aca="false">IF($A1013="","",物件マスタ!W1013)</f>
        <v>1</v>
      </c>
      <c r="M1013" s="1" t="str">
        <f aca="false">IF($A1013="","",IFERROR(INDEX(法人マスタ!$H:$H,MATCH($B1013,法人マスタ!$A:$A,0)),""))</f>
        <v>2026年4月期（第42期）</v>
      </c>
      <c r="N1013" s="1" t="n">
        <f aca="false">IF($A1013="","",SUMIFS(物件収支!$D:$D,物件収支!$A:$A,$A1013,物件収支!$C:$C,$M1013))</f>
        <v>6</v>
      </c>
      <c r="O1013" s="1" t="n">
        <f aca="false">IF($A1013="","",SUMIFS(物件収支!$F:$F,物件収支!$A:$A,$A1013,物件収支!$C:$C,$M1013))</f>
        <v>0</v>
      </c>
      <c r="P1013" s="1" t="n">
        <f aca="false">IF($A1013="","",SUMIFS(物件収支!$I:$I,物件収支!$A:$A,$A1013,物件収支!$C:$C,$M1013))</f>
        <v>0</v>
      </c>
      <c r="Q1013" s="1" t="n">
        <f aca="false">IF($A1013="","",SUMIFS(物件収支!$O:$O,物件収支!$A:$A,$A1013,物件収支!$C:$C,$M1013))</f>
        <v>0</v>
      </c>
      <c r="R1013" s="1" t="str">
        <f aca="false">IF($A1013="","",IF(P1013=0,"",O1013-P1013))</f>
        <v/>
      </c>
      <c r="S1013" s="1" t="str">
        <f aca="false">IF($A1013="","",IF(R1013="","",R1013+Q1013))</f>
        <v/>
      </c>
      <c r="T1013" s="1" t="str">
        <f aca="false">IF($A1013="","",IF(OR(S1013="",N1013&lt;=0),"",S1013/1000*12/N1013))</f>
        <v/>
      </c>
      <c r="U1013" s="1" t="str">
        <f aca="false">IF($A1013="","",IF(OR(T1013="",J1013=0,J1013=""),"",T1013/J1013))</f>
        <v/>
      </c>
      <c r="V1013" s="1" t="str">
        <f aca="false">IF($A1013="","",IF(OR(R1013="",N1013&lt;=0,J1013=0,J1013=""),"",(R1013/1000*12/N1013)/J1013))</f>
        <v/>
      </c>
      <c r="W1013" s="1" t="str">
        <f aca="false">IF($A1013="","",IF(OR(T1013="",K1013=0,K1013=""),"",T1013/K1013))</f>
        <v/>
      </c>
      <c r="X1013" s="1" t="str">
        <f aca="false">IF($A1013="","",IF(OR(N1013&lt;=0,I1013=0,I1013="",O1013=0),"",O1013*1000/(I1013*0.3025)/N1013))</f>
        <v/>
      </c>
      <c r="Y1013" s="1" t="str">
        <f aca="false">IF($A1013="","",IF(OR(O1013=0,O1013="",P1013=0),"",P1013/O1013))</f>
        <v/>
      </c>
      <c r="Z1013" s="1" t="str">
        <f aca="false">IF($A1013="","",IFERROR(INDEX(物件収支!$E:$E,MATCH($A1013,物件収支!$A:$A,0)),""))</f>
        <v>非開示</v>
      </c>
    </row>
    <row r="1014" customFormat="false" ht="15" hidden="false" customHeight="true" outlineLevel="0" collapsed="false">
      <c r="A1014" s="1" t="str">
        <f aca="false">IF(物件マスタ!A1014="","",物件マスタ!A1014)</f>
        <v>KDX-273</v>
      </c>
      <c r="B1014" s="1" t="str">
        <f aca="false">IF($A1014="","",物件マスタ!B1014)</f>
        <v>KDX</v>
      </c>
      <c r="C1014" s="1" t="str">
        <f aca="false">IF($A1014="","",IFERROR(INDEX(法人マスタ!$C:$C,MATCH($B1014,法人マスタ!$A:$A,0)),""))</f>
        <v>ＫＤＸ不動産投資法人</v>
      </c>
      <c r="D1014" s="1" t="str">
        <f aca="false">IF($A1014="","",物件マスタ!C1014)</f>
        <v>ラウンドワンスタジアム博多・半道橋店</v>
      </c>
      <c r="E1014" s="1" t="str">
        <f aca="false">IF($A1014="","",物件マスタ!H1014)</f>
        <v>地方経済圏（KDX区分）</v>
      </c>
      <c r="F1014" s="1" t="n">
        <f aca="false">IF($A1014="","",物件マスタ!P1014)</f>
        <v>0</v>
      </c>
      <c r="G1014" s="1" t="str">
        <f aca="false">IF($A1014="","",物件マスタ!Q1014)</f>
        <v/>
      </c>
      <c r="H1014" s="1" t="n">
        <f aca="false">IF($A1014="","",物件マスタ!L1014)</f>
        <v>0</v>
      </c>
      <c r="I1014" s="1" t="n">
        <f aca="false">IF($A1014="","",物件マスタ!M1014)</f>
        <v>28026.61</v>
      </c>
      <c r="J1014" s="1" t="n">
        <f aca="false">IF($A1014="","",物件マスタ!S1014)</f>
        <v>5900</v>
      </c>
      <c r="K1014" s="1" t="n">
        <f aca="false">IF($A1014="","",物件マスタ!U1014)</f>
        <v>7840</v>
      </c>
      <c r="L1014" s="1" t="n">
        <f aca="false">IF($A1014="","",物件マスタ!W1014)</f>
        <v>1</v>
      </c>
      <c r="M1014" s="1" t="str">
        <f aca="false">IF($A1014="","",IFERROR(INDEX(法人マスタ!$H:$H,MATCH($B1014,法人マスタ!$A:$A,0)),""))</f>
        <v>2026年4月期（第42期）</v>
      </c>
      <c r="N1014" s="1" t="n">
        <f aca="false">IF($A1014="","",SUMIFS(物件収支!$D:$D,物件収支!$A:$A,$A1014,物件収支!$C:$C,$M1014))</f>
        <v>6</v>
      </c>
      <c r="O1014" s="1" t="n">
        <f aca="false">IF($A1014="","",SUMIFS(物件収支!$F:$F,物件収支!$A:$A,$A1014,物件収支!$C:$C,$M1014))</f>
        <v>0</v>
      </c>
      <c r="P1014" s="1" t="n">
        <f aca="false">IF($A1014="","",SUMIFS(物件収支!$I:$I,物件収支!$A:$A,$A1014,物件収支!$C:$C,$M1014))</f>
        <v>0</v>
      </c>
      <c r="Q1014" s="1" t="n">
        <f aca="false">IF($A1014="","",SUMIFS(物件収支!$O:$O,物件収支!$A:$A,$A1014,物件収支!$C:$C,$M1014))</f>
        <v>0</v>
      </c>
      <c r="R1014" s="1" t="str">
        <f aca="false">IF($A1014="","",IF(P1014=0,"",O1014-P1014))</f>
        <v/>
      </c>
      <c r="S1014" s="1" t="str">
        <f aca="false">IF($A1014="","",IF(R1014="","",R1014+Q1014))</f>
        <v/>
      </c>
      <c r="T1014" s="1" t="str">
        <f aca="false">IF($A1014="","",IF(OR(S1014="",N1014&lt;=0),"",S1014/1000*12/N1014))</f>
        <v/>
      </c>
      <c r="U1014" s="1" t="str">
        <f aca="false">IF($A1014="","",IF(OR(T1014="",J1014=0,J1014=""),"",T1014/J1014))</f>
        <v/>
      </c>
      <c r="V1014" s="1" t="str">
        <f aca="false">IF($A1014="","",IF(OR(R1014="",N1014&lt;=0,J1014=0,J1014=""),"",(R1014/1000*12/N1014)/J1014))</f>
        <v/>
      </c>
      <c r="W1014" s="1" t="str">
        <f aca="false">IF($A1014="","",IF(OR(T1014="",K1014=0,K1014=""),"",T1014/K1014))</f>
        <v/>
      </c>
      <c r="X1014" s="1" t="str">
        <f aca="false">IF($A1014="","",IF(OR(N1014&lt;=0,I1014=0,I1014="",O1014=0),"",O1014*1000/(I1014*0.3025)/N1014))</f>
        <v/>
      </c>
      <c r="Y1014" s="1" t="str">
        <f aca="false">IF($A1014="","",IF(OR(O1014=0,O1014="",P1014=0),"",P1014/O1014))</f>
        <v/>
      </c>
      <c r="Z1014" s="1" t="str">
        <f aca="false">IF($A1014="","",IFERROR(INDEX(物件収支!$E:$E,MATCH($A1014,物件収支!$A:$A,0)),""))</f>
        <v>非開示</v>
      </c>
    </row>
    <row r="1015" customFormat="false" ht="15" hidden="false" customHeight="true" outlineLevel="0" collapsed="false">
      <c r="A1015" s="1" t="str">
        <f aca="false">IF(物件マスタ!A1015="","",物件マスタ!A1015)</f>
        <v>KDX-274</v>
      </c>
      <c r="B1015" s="1" t="str">
        <f aca="false">IF($A1015="","",物件マスタ!B1015)</f>
        <v>KDX</v>
      </c>
      <c r="C1015" s="1" t="str">
        <f aca="false">IF($A1015="","",IFERROR(INDEX(法人マスタ!$C:$C,MATCH($B1015,法人マスタ!$A:$A,0)),""))</f>
        <v>ＫＤＸ不動産投資法人</v>
      </c>
      <c r="D1015" s="1" t="str">
        <f aca="false">IF($A1015="","",物件マスタ!C1015)</f>
        <v>久留米西ショッピングセンター</v>
      </c>
      <c r="E1015" s="1" t="str">
        <f aca="false">IF($A1015="","",物件マスタ!H1015)</f>
        <v>地方経済圏（KDX区分）</v>
      </c>
      <c r="F1015" s="1" t="n">
        <f aca="false">IF($A1015="","",物件マスタ!P1015)</f>
        <v>0</v>
      </c>
      <c r="G1015" s="1" t="str">
        <f aca="false">IF($A1015="","",物件マスタ!Q1015)</f>
        <v/>
      </c>
      <c r="H1015" s="1" t="n">
        <f aca="false">IF($A1015="","",物件マスタ!L1015)</f>
        <v>0</v>
      </c>
      <c r="I1015" s="1" t="n">
        <f aca="false">IF($A1015="","",物件マスタ!M1015)</f>
        <v>4641.1</v>
      </c>
      <c r="J1015" s="1" t="n">
        <f aca="false">IF($A1015="","",物件マスタ!S1015)</f>
        <v>1900</v>
      </c>
      <c r="K1015" s="1" t="n">
        <f aca="false">IF($A1015="","",物件マスタ!U1015)</f>
        <v>1890</v>
      </c>
      <c r="L1015" s="1" t="n">
        <f aca="false">IF($A1015="","",物件マスタ!W1015)</f>
        <v>1</v>
      </c>
      <c r="M1015" s="1" t="str">
        <f aca="false">IF($A1015="","",IFERROR(INDEX(法人マスタ!$H:$H,MATCH($B1015,法人マスタ!$A:$A,0)),""))</f>
        <v>2026年4月期（第42期）</v>
      </c>
      <c r="N1015" s="1" t="n">
        <f aca="false">IF($A1015="","",SUMIFS(物件収支!$D:$D,物件収支!$A:$A,$A1015,物件収支!$C:$C,$M1015))</f>
        <v>6</v>
      </c>
      <c r="O1015" s="1" t="n">
        <f aca="false">IF($A1015="","",SUMIFS(物件収支!$F:$F,物件収支!$A:$A,$A1015,物件収支!$C:$C,$M1015))</f>
        <v>52000</v>
      </c>
      <c r="P1015" s="1" t="n">
        <f aca="false">IF($A1015="","",SUMIFS(物件収支!$I:$I,物件収支!$A:$A,$A1015,物件収支!$C:$C,$M1015))</f>
        <v>0</v>
      </c>
      <c r="Q1015" s="1" t="n">
        <f aca="false">IF($A1015="","",SUMIFS(物件収支!$O:$O,物件収支!$A:$A,$A1015,物件収支!$C:$C,$M1015))</f>
        <v>0</v>
      </c>
      <c r="R1015" s="1" t="str">
        <f aca="false">IF($A1015="","",IF(P1015=0,"",O1015-P1015))</f>
        <v/>
      </c>
      <c r="S1015" s="1" t="str">
        <f aca="false">IF($A1015="","",IF(R1015="","",R1015+Q1015))</f>
        <v/>
      </c>
      <c r="T1015" s="1" t="str">
        <f aca="false">IF($A1015="","",IF(OR(S1015="",N1015&lt;=0),"",S1015/1000*12/N1015))</f>
        <v/>
      </c>
      <c r="U1015" s="1" t="str">
        <f aca="false">IF($A1015="","",IF(OR(T1015="",J1015=0,J1015=""),"",T1015/J1015))</f>
        <v/>
      </c>
      <c r="V1015" s="1" t="str">
        <f aca="false">IF($A1015="","",IF(OR(R1015="",N1015&lt;=0,J1015=0,J1015=""),"",(R1015/1000*12/N1015)/J1015))</f>
        <v/>
      </c>
      <c r="W1015" s="1" t="str">
        <f aca="false">IF($A1015="","",IF(OR(T1015="",K1015=0,K1015=""),"",T1015/K1015))</f>
        <v/>
      </c>
      <c r="X1015" s="1" t="n">
        <f aca="false">IF($A1015="","",IF(OR(N1015&lt;=0,I1015=0,I1015="",O1015=0),"",O1015*1000/(I1015*0.3025)/N1015))</f>
        <v>6173.13519231364</v>
      </c>
      <c r="Y1015" s="1" t="str">
        <f aca="false">IF($A1015="","",IF(OR(O1015=0,O1015="",P1015=0),"",P1015/O1015))</f>
        <v/>
      </c>
      <c r="Z1015" s="1" t="str">
        <f aca="false">IF($A1015="","",IFERROR(INDEX(物件収支!$E:$E,MATCH($A1015,物件収支!$A:$A,0)),""))</f>
        <v>開示（物件別・収益のみ・百万円単位）</v>
      </c>
    </row>
    <row r="1016" customFormat="false" ht="15" hidden="false" customHeight="true" outlineLevel="0" collapsed="false">
      <c r="A1016" s="1" t="str">
        <f aca="false">IF(物件マスタ!A1016="","",物件マスタ!A1016)</f>
        <v>KDX-275</v>
      </c>
      <c r="B1016" s="1" t="str">
        <f aca="false">IF($A1016="","",物件マスタ!B1016)</f>
        <v>KDX</v>
      </c>
      <c r="C1016" s="1" t="str">
        <f aca="false">IF($A1016="","",IFERROR(INDEX(法人マスタ!$C:$C,MATCH($B1016,法人マスタ!$A:$A,0)),""))</f>
        <v>ＫＤＸ不動産投資法人</v>
      </c>
      <c r="D1016" s="1" t="str">
        <f aca="false">IF($A1016="","",物件マスタ!C1016)</f>
        <v>サンストリート浜北</v>
      </c>
      <c r="E1016" s="1" t="str">
        <f aca="false">IF($A1016="","",物件マスタ!H1016)</f>
        <v>地方経済圏（KDX区分）</v>
      </c>
      <c r="F1016" s="1" t="n">
        <f aca="false">IF($A1016="","",物件マスタ!P1016)</f>
        <v>0</v>
      </c>
      <c r="G1016" s="1" t="str">
        <f aca="false">IF($A1016="","",物件マスタ!Q1016)</f>
        <v/>
      </c>
      <c r="H1016" s="1" t="n">
        <f aca="false">IF($A1016="","",物件マスタ!L1016)</f>
        <v>0</v>
      </c>
      <c r="I1016" s="1" t="n">
        <f aca="false">IF($A1016="","",物件マスタ!M1016)</f>
        <v>54304.75</v>
      </c>
      <c r="J1016" s="1" t="n">
        <f aca="false">IF($A1016="","",物件マスタ!S1016)</f>
        <v>12000</v>
      </c>
      <c r="K1016" s="1" t="n">
        <f aca="false">IF($A1016="","",物件マスタ!U1016)</f>
        <v>12600</v>
      </c>
      <c r="L1016" s="1" t="n">
        <f aca="false">IF($A1016="","",物件マスタ!W1016)</f>
        <v>0.987</v>
      </c>
      <c r="M1016" s="1" t="str">
        <f aca="false">IF($A1016="","",IFERROR(INDEX(法人マスタ!$H:$H,MATCH($B1016,法人マスタ!$A:$A,0)),""))</f>
        <v>2026年4月期（第42期）</v>
      </c>
      <c r="N1016" s="1" t="n">
        <f aca="false">IF($A1016="","",SUMIFS(物件収支!$D:$D,物件収支!$A:$A,$A1016,物件収支!$C:$C,$M1016))</f>
        <v>6</v>
      </c>
      <c r="O1016" s="1" t="n">
        <f aca="false">IF($A1016="","",SUMIFS(物件収支!$F:$F,物件収支!$A:$A,$A1016,物件収支!$C:$C,$M1016))</f>
        <v>543000</v>
      </c>
      <c r="P1016" s="1" t="n">
        <f aca="false">IF($A1016="","",SUMIFS(物件収支!$I:$I,物件収支!$A:$A,$A1016,物件収支!$C:$C,$M1016))</f>
        <v>0</v>
      </c>
      <c r="Q1016" s="1" t="n">
        <f aca="false">IF($A1016="","",SUMIFS(物件収支!$O:$O,物件収支!$A:$A,$A1016,物件収支!$C:$C,$M1016))</f>
        <v>0</v>
      </c>
      <c r="R1016" s="1" t="str">
        <f aca="false">IF($A1016="","",IF(P1016=0,"",O1016-P1016))</f>
        <v/>
      </c>
      <c r="S1016" s="1" t="str">
        <f aca="false">IF($A1016="","",IF(R1016="","",R1016+Q1016))</f>
        <v/>
      </c>
      <c r="T1016" s="1" t="str">
        <f aca="false">IF($A1016="","",IF(OR(S1016="",N1016&lt;=0),"",S1016/1000*12/N1016))</f>
        <v/>
      </c>
      <c r="U1016" s="1" t="str">
        <f aca="false">IF($A1016="","",IF(OR(T1016="",J1016=0,J1016=""),"",T1016/J1016))</f>
        <v/>
      </c>
      <c r="V1016" s="1" t="str">
        <f aca="false">IF($A1016="","",IF(OR(R1016="",N1016&lt;=0,J1016=0,J1016=""),"",(R1016/1000*12/N1016)/J1016))</f>
        <v/>
      </c>
      <c r="W1016" s="1" t="str">
        <f aca="false">IF($A1016="","",IF(OR(T1016="",K1016=0,K1016=""),"",T1016/K1016))</f>
        <v/>
      </c>
      <c r="X1016" s="1" t="n">
        <f aca="false">IF($A1016="","",IF(OR(N1016&lt;=0,I1016=0,I1016="",O1016=0),"",O1016*1000/(I1016*0.3025)/N1016))</f>
        <v>5509.15994860502</v>
      </c>
      <c r="Y1016" s="1" t="str">
        <f aca="false">IF($A1016="","",IF(OR(O1016=0,O1016="",P1016=0),"",P1016/O1016))</f>
        <v/>
      </c>
      <c r="Z1016" s="1" t="str">
        <f aca="false">IF($A1016="","",IFERROR(INDEX(物件収支!$E:$E,MATCH($A1016,物件収支!$A:$A,0)),""))</f>
        <v>開示（物件別・収益のみ・百万円単位）</v>
      </c>
    </row>
    <row r="1017" customFormat="false" ht="15" hidden="false" customHeight="true" outlineLevel="0" collapsed="false">
      <c r="A1017" s="1" t="str">
        <f aca="false">IF(物件マスタ!A1017="","",物件マスタ!A1017)</f>
        <v>KDX-276</v>
      </c>
      <c r="B1017" s="1" t="str">
        <f aca="false">IF($A1017="","",物件マスタ!B1017)</f>
        <v>KDX</v>
      </c>
      <c r="C1017" s="1" t="str">
        <f aca="false">IF($A1017="","",IFERROR(INDEX(法人マスタ!$C:$C,MATCH($B1017,法人マスタ!$A:$A,0)),""))</f>
        <v>ＫＤＸ不動産投資法人</v>
      </c>
      <c r="D1017" s="1" t="str">
        <f aca="false">IF($A1017="","",物件マスタ!C1017)</f>
        <v>コストコホールセール札幌倉庫店</v>
      </c>
      <c r="E1017" s="1" t="str">
        <f aca="false">IF($A1017="","",物件マスタ!H1017)</f>
        <v>地方経済圏（KDX区分）</v>
      </c>
      <c r="F1017" s="1" t="n">
        <f aca="false">IF($A1017="","",物件マスタ!P1017)</f>
        <v>0</v>
      </c>
      <c r="G1017" s="1" t="str">
        <f aca="false">IF($A1017="","",物件マスタ!Q1017)</f>
        <v/>
      </c>
      <c r="H1017" s="1" t="n">
        <f aca="false">IF($A1017="","",物件マスタ!L1017)</f>
        <v>0</v>
      </c>
      <c r="I1017" s="1" t="n">
        <f aca="false">IF($A1017="","",物件マスタ!M1017)</f>
        <v>24006.16</v>
      </c>
      <c r="J1017" s="1" t="n">
        <f aca="false">IF($A1017="","",物件マスタ!S1017)</f>
        <v>4690</v>
      </c>
      <c r="K1017" s="1" t="n">
        <f aca="false">IF($A1017="","",物件マスタ!U1017)</f>
        <v>4650</v>
      </c>
      <c r="L1017" s="1" t="n">
        <f aca="false">IF($A1017="","",物件マスタ!W1017)</f>
        <v>1</v>
      </c>
      <c r="M1017" s="1" t="str">
        <f aca="false">IF($A1017="","",IFERROR(INDEX(法人マスタ!$H:$H,MATCH($B1017,法人マスタ!$A:$A,0)),""))</f>
        <v>2026年4月期（第42期）</v>
      </c>
      <c r="N1017" s="1" t="n">
        <f aca="false">IF($A1017="","",SUMIFS(物件収支!$D:$D,物件収支!$A:$A,$A1017,物件収支!$C:$C,$M1017))</f>
        <v>6</v>
      </c>
      <c r="O1017" s="1" t="n">
        <f aca="false">IF($A1017="","",SUMIFS(物件収支!$F:$F,物件収支!$A:$A,$A1017,物件収支!$C:$C,$M1017))</f>
        <v>0</v>
      </c>
      <c r="P1017" s="1" t="n">
        <f aca="false">IF($A1017="","",SUMIFS(物件収支!$I:$I,物件収支!$A:$A,$A1017,物件収支!$C:$C,$M1017))</f>
        <v>0</v>
      </c>
      <c r="Q1017" s="1" t="n">
        <f aca="false">IF($A1017="","",SUMIFS(物件収支!$O:$O,物件収支!$A:$A,$A1017,物件収支!$C:$C,$M1017))</f>
        <v>0</v>
      </c>
      <c r="R1017" s="1" t="str">
        <f aca="false">IF($A1017="","",IF(P1017=0,"",O1017-P1017))</f>
        <v/>
      </c>
      <c r="S1017" s="1" t="str">
        <f aca="false">IF($A1017="","",IF(R1017="","",R1017+Q1017))</f>
        <v/>
      </c>
      <c r="T1017" s="1" t="str">
        <f aca="false">IF($A1017="","",IF(OR(S1017="",N1017&lt;=0),"",S1017/1000*12/N1017))</f>
        <v/>
      </c>
      <c r="U1017" s="1" t="str">
        <f aca="false">IF($A1017="","",IF(OR(T1017="",J1017=0,J1017=""),"",T1017/J1017))</f>
        <v/>
      </c>
      <c r="V1017" s="1" t="str">
        <f aca="false">IF($A1017="","",IF(OR(R1017="",N1017&lt;=0,J1017=0,J1017=""),"",(R1017/1000*12/N1017)/J1017))</f>
        <v/>
      </c>
      <c r="W1017" s="1" t="str">
        <f aca="false">IF($A1017="","",IF(OR(T1017="",K1017=0,K1017=""),"",T1017/K1017))</f>
        <v/>
      </c>
      <c r="X1017" s="1" t="str">
        <f aca="false">IF($A1017="","",IF(OR(N1017&lt;=0,I1017=0,I1017="",O1017=0),"",O1017*1000/(I1017*0.3025)/N1017))</f>
        <v/>
      </c>
      <c r="Y1017" s="1" t="str">
        <f aca="false">IF($A1017="","",IF(OR(O1017=0,O1017="",P1017=0),"",P1017/O1017))</f>
        <v/>
      </c>
      <c r="Z1017" s="1" t="str">
        <f aca="false">IF($A1017="","",IFERROR(INDEX(物件収支!$E:$E,MATCH($A1017,物件収支!$A:$A,0)),""))</f>
        <v>非開示</v>
      </c>
    </row>
    <row r="1018" customFormat="false" ht="15" hidden="false" customHeight="true" outlineLevel="0" collapsed="false">
      <c r="A1018" s="1" t="str">
        <f aca="false">IF(物件マスタ!A1018="","",物件マスタ!A1018)</f>
        <v>KDX-277</v>
      </c>
      <c r="B1018" s="1" t="str">
        <f aca="false">IF($A1018="","",物件マスタ!B1018)</f>
        <v>KDX</v>
      </c>
      <c r="C1018" s="1" t="str">
        <f aca="false">IF($A1018="","",IFERROR(INDEX(法人マスタ!$C:$C,MATCH($B1018,法人マスタ!$A:$A,0)),""))</f>
        <v>ＫＤＸ不動産投資法人</v>
      </c>
      <c r="D1018" s="1" t="str">
        <f aca="false">IF($A1018="","",物件マスタ!C1018)</f>
        <v>羽曳が丘ショッピングセンター</v>
      </c>
      <c r="E1018" s="1" t="str">
        <f aca="false">IF($A1018="","",物件マスタ!H1018)</f>
        <v>地方経済圏（KDX区分）</v>
      </c>
      <c r="F1018" s="1" t="n">
        <f aca="false">IF($A1018="","",物件マスタ!P1018)</f>
        <v>0</v>
      </c>
      <c r="G1018" s="1" t="str">
        <f aca="false">IF($A1018="","",物件マスタ!Q1018)</f>
        <v/>
      </c>
      <c r="H1018" s="1" t="n">
        <f aca="false">IF($A1018="","",物件マスタ!L1018)</f>
        <v>0</v>
      </c>
      <c r="I1018" s="1" t="n">
        <f aca="false">IF($A1018="","",物件マスタ!M1018)</f>
        <v>6447.81</v>
      </c>
      <c r="J1018" s="1" t="n">
        <f aca="false">IF($A1018="","",物件マスタ!S1018)</f>
        <v>2030</v>
      </c>
      <c r="K1018" s="1" t="n">
        <f aca="false">IF($A1018="","",物件マスタ!U1018)</f>
        <v>2020</v>
      </c>
      <c r="L1018" s="1" t="n">
        <f aca="false">IF($A1018="","",物件マスタ!W1018)</f>
        <v>1</v>
      </c>
      <c r="M1018" s="1" t="str">
        <f aca="false">IF($A1018="","",IFERROR(INDEX(法人マスタ!$H:$H,MATCH($B1018,法人マスタ!$A:$A,0)),""))</f>
        <v>2026年4月期（第42期）</v>
      </c>
      <c r="N1018" s="1" t="n">
        <f aca="false">IF($A1018="","",SUMIFS(物件収支!$D:$D,物件収支!$A:$A,$A1018,物件収支!$C:$C,$M1018))</f>
        <v>6</v>
      </c>
      <c r="O1018" s="1" t="n">
        <f aca="false">IF($A1018="","",SUMIFS(物件収支!$F:$F,物件収支!$A:$A,$A1018,物件収支!$C:$C,$M1018))</f>
        <v>0</v>
      </c>
      <c r="P1018" s="1" t="n">
        <f aca="false">IF($A1018="","",SUMIFS(物件収支!$I:$I,物件収支!$A:$A,$A1018,物件収支!$C:$C,$M1018))</f>
        <v>0</v>
      </c>
      <c r="Q1018" s="1" t="n">
        <f aca="false">IF($A1018="","",SUMIFS(物件収支!$O:$O,物件収支!$A:$A,$A1018,物件収支!$C:$C,$M1018))</f>
        <v>0</v>
      </c>
      <c r="R1018" s="1" t="str">
        <f aca="false">IF($A1018="","",IF(P1018=0,"",O1018-P1018))</f>
        <v/>
      </c>
      <c r="S1018" s="1" t="str">
        <f aca="false">IF($A1018="","",IF(R1018="","",R1018+Q1018))</f>
        <v/>
      </c>
      <c r="T1018" s="1" t="str">
        <f aca="false">IF($A1018="","",IF(OR(S1018="",N1018&lt;=0),"",S1018/1000*12/N1018))</f>
        <v/>
      </c>
      <c r="U1018" s="1" t="str">
        <f aca="false">IF($A1018="","",IF(OR(T1018="",J1018=0,J1018=""),"",T1018/J1018))</f>
        <v/>
      </c>
      <c r="V1018" s="1" t="str">
        <f aca="false">IF($A1018="","",IF(OR(R1018="",N1018&lt;=0,J1018=0,J1018=""),"",(R1018/1000*12/N1018)/J1018))</f>
        <v/>
      </c>
      <c r="W1018" s="1" t="str">
        <f aca="false">IF($A1018="","",IF(OR(T1018="",K1018=0,K1018=""),"",T1018/K1018))</f>
        <v/>
      </c>
      <c r="X1018" s="1" t="str">
        <f aca="false">IF($A1018="","",IF(OR(N1018&lt;=0,I1018=0,I1018="",O1018=0),"",O1018*1000/(I1018*0.3025)/N1018))</f>
        <v/>
      </c>
      <c r="Y1018" s="1" t="str">
        <f aca="false">IF($A1018="","",IF(OR(O1018=0,O1018="",P1018=0),"",P1018/O1018))</f>
        <v/>
      </c>
      <c r="Z1018" s="1" t="str">
        <f aca="false">IF($A1018="","",IFERROR(INDEX(物件収支!$E:$E,MATCH($A1018,物件収支!$A:$A,0)),""))</f>
        <v>非開示</v>
      </c>
    </row>
    <row r="1019" customFormat="false" ht="15" hidden="false" customHeight="true" outlineLevel="0" collapsed="false">
      <c r="A1019" s="1" t="str">
        <f aca="false">IF(物件マスタ!A1019="","",物件マスタ!A1019)</f>
        <v>KDX-278</v>
      </c>
      <c r="B1019" s="1" t="str">
        <f aca="false">IF($A1019="","",物件マスタ!B1019)</f>
        <v>KDX</v>
      </c>
      <c r="C1019" s="1" t="str">
        <f aca="false">IF($A1019="","",IFERROR(INDEX(法人マスタ!$C:$C,MATCH($B1019,法人マスタ!$A:$A,0)),""))</f>
        <v>ＫＤＸ不動産投資法人</v>
      </c>
      <c r="D1019" s="1" t="str">
        <f aca="false">IF($A1019="","",物件マスタ!C1019)</f>
        <v>バロー中志段味店(底地)</v>
      </c>
      <c r="E1019" s="1" t="str">
        <f aca="false">IF($A1019="","",物件マスタ!H1019)</f>
        <v>地方経済圏（KDX区分）</v>
      </c>
      <c r="F1019" s="1" t="n">
        <f aca="false">IF($A1019="","",物件マスタ!P1019)</f>
        <v>0</v>
      </c>
      <c r="G1019" s="1" t="str">
        <f aca="false">IF($A1019="","",物件マスタ!Q1019)</f>
        <v/>
      </c>
      <c r="H1019" s="1" t="n">
        <f aca="false">IF($A1019="","",物件マスタ!L1019)</f>
        <v>0</v>
      </c>
      <c r="I1019" s="1" t="n">
        <f aca="false">IF($A1019="","",物件マスタ!M1019)</f>
        <v>13480.42</v>
      </c>
      <c r="J1019" s="1" t="n">
        <f aca="false">IF($A1019="","",物件マスタ!S1019)</f>
        <v>2640</v>
      </c>
      <c r="K1019" s="1" t="n">
        <f aca="false">IF($A1019="","",物件マスタ!U1019)</f>
        <v>2740</v>
      </c>
      <c r="L1019" s="1" t="n">
        <f aca="false">IF($A1019="","",物件マスタ!W1019)</f>
        <v>1</v>
      </c>
      <c r="M1019" s="1" t="str">
        <f aca="false">IF($A1019="","",IFERROR(INDEX(法人マスタ!$H:$H,MATCH($B1019,法人マスタ!$A:$A,0)),""))</f>
        <v>2026年4月期（第42期）</v>
      </c>
      <c r="N1019" s="1" t="n">
        <f aca="false">IF($A1019="","",SUMIFS(物件収支!$D:$D,物件収支!$A:$A,$A1019,物件収支!$C:$C,$M1019))</f>
        <v>6</v>
      </c>
      <c r="O1019" s="1" t="n">
        <f aca="false">IF($A1019="","",SUMIFS(物件収支!$F:$F,物件収支!$A:$A,$A1019,物件収支!$C:$C,$M1019))</f>
        <v>0</v>
      </c>
      <c r="P1019" s="1" t="n">
        <f aca="false">IF($A1019="","",SUMIFS(物件収支!$I:$I,物件収支!$A:$A,$A1019,物件収支!$C:$C,$M1019))</f>
        <v>0</v>
      </c>
      <c r="Q1019" s="1" t="n">
        <f aca="false">IF($A1019="","",SUMIFS(物件収支!$O:$O,物件収支!$A:$A,$A1019,物件収支!$C:$C,$M1019))</f>
        <v>0</v>
      </c>
      <c r="R1019" s="1" t="str">
        <f aca="false">IF($A1019="","",IF(P1019=0,"",O1019-P1019))</f>
        <v/>
      </c>
      <c r="S1019" s="1" t="str">
        <f aca="false">IF($A1019="","",IF(R1019="","",R1019+Q1019))</f>
        <v/>
      </c>
      <c r="T1019" s="1" t="str">
        <f aca="false">IF($A1019="","",IF(OR(S1019="",N1019&lt;=0),"",S1019/1000*12/N1019))</f>
        <v/>
      </c>
      <c r="U1019" s="1" t="str">
        <f aca="false">IF($A1019="","",IF(OR(T1019="",J1019=0,J1019=""),"",T1019/J1019))</f>
        <v/>
      </c>
      <c r="V1019" s="1" t="str">
        <f aca="false">IF($A1019="","",IF(OR(R1019="",N1019&lt;=0,J1019=0,J1019=""),"",(R1019/1000*12/N1019)/J1019))</f>
        <v/>
      </c>
      <c r="W1019" s="1" t="str">
        <f aca="false">IF($A1019="","",IF(OR(T1019="",K1019=0,K1019=""),"",T1019/K1019))</f>
        <v/>
      </c>
      <c r="X1019" s="1" t="str">
        <f aca="false">IF($A1019="","",IF(OR(N1019&lt;=0,I1019=0,I1019="",O1019=0),"",O1019*1000/(I1019*0.3025)/N1019))</f>
        <v/>
      </c>
      <c r="Y1019" s="1" t="str">
        <f aca="false">IF($A1019="","",IF(OR(O1019=0,O1019="",P1019=0),"",P1019/O1019))</f>
        <v/>
      </c>
      <c r="Z1019" s="1" t="str">
        <f aca="false">IF($A1019="","",IFERROR(INDEX(物件収支!$E:$E,MATCH($A1019,物件収支!$A:$A,0)),""))</f>
        <v>非開示</v>
      </c>
    </row>
    <row r="1020" customFormat="false" ht="15" hidden="false" customHeight="true" outlineLevel="0" collapsed="false">
      <c r="A1020" s="1" t="str">
        <f aca="false">IF(物件マスタ!A1020="","",物件マスタ!A1020)</f>
        <v>KDX-279</v>
      </c>
      <c r="B1020" s="1" t="str">
        <f aca="false">IF($A1020="","",物件マスタ!B1020)</f>
        <v>KDX</v>
      </c>
      <c r="C1020" s="1" t="str">
        <f aca="false">IF($A1020="","",IFERROR(INDEX(法人マスタ!$C:$C,MATCH($B1020,法人マスタ!$A:$A,0)),""))</f>
        <v>ＫＤＸ不動産投資法人</v>
      </c>
      <c r="D1020" s="1" t="str">
        <f aca="false">IF($A1020="","",物件マスタ!C1020)</f>
        <v>メラード大開</v>
      </c>
      <c r="E1020" s="1" t="str">
        <f aca="false">IF($A1020="","",物件マスタ!H1020)</f>
        <v>地方経済圏（KDX区分）</v>
      </c>
      <c r="F1020" s="1" t="n">
        <f aca="false">IF($A1020="","",物件マスタ!P1020)</f>
        <v>0</v>
      </c>
      <c r="G1020" s="1" t="str">
        <f aca="false">IF($A1020="","",物件マスタ!Q1020)</f>
        <v/>
      </c>
      <c r="H1020" s="1" t="n">
        <f aca="false">IF($A1020="","",物件マスタ!L1020)</f>
        <v>0</v>
      </c>
      <c r="I1020" s="1" t="n">
        <f aca="false">IF($A1020="","",物件マスタ!M1020)</f>
        <v>11922.77</v>
      </c>
      <c r="J1020" s="1" t="n">
        <f aca="false">IF($A1020="","",物件マスタ!S1020)</f>
        <v>5920</v>
      </c>
      <c r="K1020" s="1" t="n">
        <f aca="false">IF($A1020="","",物件マスタ!U1020)</f>
        <v>5820</v>
      </c>
      <c r="L1020" s="1" t="n">
        <f aca="false">IF($A1020="","",物件マスタ!W1020)</f>
        <v>1</v>
      </c>
      <c r="M1020" s="1" t="str">
        <f aca="false">IF($A1020="","",IFERROR(INDEX(法人マスタ!$H:$H,MATCH($B1020,法人マスタ!$A:$A,0)),""))</f>
        <v>2026年4月期（第42期）</v>
      </c>
      <c r="N1020" s="1" t="n">
        <f aca="false">IF($A1020="","",SUMIFS(物件収支!$D:$D,物件収支!$A:$A,$A1020,物件収支!$C:$C,$M1020))</f>
        <v>6</v>
      </c>
      <c r="O1020" s="1" t="n">
        <f aca="false">IF($A1020="","",SUMIFS(物件収支!$F:$F,物件収支!$A:$A,$A1020,物件収支!$C:$C,$M1020))</f>
        <v>202000</v>
      </c>
      <c r="P1020" s="1" t="n">
        <f aca="false">IF($A1020="","",SUMIFS(物件収支!$I:$I,物件収支!$A:$A,$A1020,物件収支!$C:$C,$M1020))</f>
        <v>0</v>
      </c>
      <c r="Q1020" s="1" t="n">
        <f aca="false">IF($A1020="","",SUMIFS(物件収支!$O:$O,物件収支!$A:$A,$A1020,物件収支!$C:$C,$M1020))</f>
        <v>0</v>
      </c>
      <c r="R1020" s="1" t="str">
        <f aca="false">IF($A1020="","",IF(P1020=0,"",O1020-P1020))</f>
        <v/>
      </c>
      <c r="S1020" s="1" t="str">
        <f aca="false">IF($A1020="","",IF(R1020="","",R1020+Q1020))</f>
        <v/>
      </c>
      <c r="T1020" s="1" t="str">
        <f aca="false">IF($A1020="","",IF(OR(S1020="",N1020&lt;=0),"",S1020/1000*12/N1020))</f>
        <v/>
      </c>
      <c r="U1020" s="1" t="str">
        <f aca="false">IF($A1020="","",IF(OR(T1020="",J1020=0,J1020=""),"",T1020/J1020))</f>
        <v/>
      </c>
      <c r="V1020" s="1" t="str">
        <f aca="false">IF($A1020="","",IF(OR(R1020="",N1020&lt;=0,J1020=0,J1020=""),"",(R1020/1000*12/N1020)/J1020))</f>
        <v/>
      </c>
      <c r="W1020" s="1" t="str">
        <f aca="false">IF($A1020="","",IF(OR(T1020="",K1020=0,K1020=""),"",T1020/K1020))</f>
        <v/>
      </c>
      <c r="X1020" s="1" t="n">
        <f aca="false">IF($A1020="","",IF(OR(N1020&lt;=0,I1020=0,I1020="",O1020=0),"",O1020*1000/(I1020*0.3025)/N1020))</f>
        <v>9334.64000733222</v>
      </c>
      <c r="Y1020" s="1" t="str">
        <f aca="false">IF($A1020="","",IF(OR(O1020=0,O1020="",P1020=0),"",P1020/O1020))</f>
        <v/>
      </c>
      <c r="Z1020" s="1" t="str">
        <f aca="false">IF($A1020="","",IFERROR(INDEX(物件収支!$E:$E,MATCH($A1020,物件収支!$A:$A,0)),""))</f>
        <v>開示（物件別・収益のみ・百万円単位）</v>
      </c>
    </row>
    <row r="1021" customFormat="false" ht="15" hidden="false" customHeight="true" outlineLevel="0" collapsed="false">
      <c r="A1021" s="1" t="str">
        <f aca="false">IF(物件マスタ!A1021="","",物件マスタ!A1021)</f>
        <v>KDX-280</v>
      </c>
      <c r="B1021" s="1" t="str">
        <f aca="false">IF($A1021="","",物件マスタ!B1021)</f>
        <v>KDX</v>
      </c>
      <c r="C1021" s="1" t="str">
        <f aca="false">IF($A1021="","",IFERROR(INDEX(法人マスタ!$C:$C,MATCH($B1021,法人マスタ!$A:$A,0)),""))</f>
        <v>ＫＤＸ不動産投資法人</v>
      </c>
      <c r="D1021" s="1" t="str">
        <f aca="false">IF($A1021="","",物件マスタ!C1021)</f>
        <v>キテラタウン福岡長浜</v>
      </c>
      <c r="E1021" s="1" t="str">
        <f aca="false">IF($A1021="","",物件マスタ!H1021)</f>
        <v>地方経済圏（KDX区分）</v>
      </c>
      <c r="F1021" s="1" t="n">
        <f aca="false">IF($A1021="","",物件マスタ!P1021)</f>
        <v>0</v>
      </c>
      <c r="G1021" s="1" t="str">
        <f aca="false">IF($A1021="","",物件マスタ!Q1021)</f>
        <v/>
      </c>
      <c r="H1021" s="1" t="n">
        <f aca="false">IF($A1021="","",物件マスタ!L1021)</f>
        <v>0</v>
      </c>
      <c r="I1021" s="1" t="n">
        <f aca="false">IF($A1021="","",物件マスタ!M1021)</f>
        <v>6355.66</v>
      </c>
      <c r="J1021" s="1" t="n">
        <f aca="false">IF($A1021="","",物件マスタ!S1021)</f>
        <v>6160</v>
      </c>
      <c r="K1021" s="1" t="n">
        <f aca="false">IF($A1021="","",物件マスタ!U1021)</f>
        <v>5880</v>
      </c>
      <c r="L1021" s="1" t="n">
        <f aca="false">IF($A1021="","",物件マスタ!W1021)</f>
        <v>0.775</v>
      </c>
      <c r="M1021" s="1" t="str">
        <f aca="false">IF($A1021="","",IFERROR(INDEX(法人マスタ!$H:$H,MATCH($B1021,法人マスタ!$A:$A,0)),""))</f>
        <v>2026年4月期（第42期）</v>
      </c>
      <c r="N1021" s="1" t="n">
        <f aca="false">IF($A1021="","",SUMIFS(物件収支!$D:$D,物件収支!$A:$A,$A1021,物件収支!$C:$C,$M1021))</f>
        <v>6</v>
      </c>
      <c r="O1021" s="1" t="n">
        <f aca="false">IF($A1021="","",SUMIFS(物件収支!$F:$F,物件収支!$A:$A,$A1021,物件収支!$C:$C,$M1021))</f>
        <v>167000</v>
      </c>
      <c r="P1021" s="1" t="n">
        <f aca="false">IF($A1021="","",SUMIFS(物件収支!$I:$I,物件収支!$A:$A,$A1021,物件収支!$C:$C,$M1021))</f>
        <v>0</v>
      </c>
      <c r="Q1021" s="1" t="n">
        <f aca="false">IF($A1021="","",SUMIFS(物件収支!$O:$O,物件収支!$A:$A,$A1021,物件収支!$C:$C,$M1021))</f>
        <v>0</v>
      </c>
      <c r="R1021" s="1" t="str">
        <f aca="false">IF($A1021="","",IF(P1021=0,"",O1021-P1021))</f>
        <v/>
      </c>
      <c r="S1021" s="1" t="str">
        <f aca="false">IF($A1021="","",IF(R1021="","",R1021+Q1021))</f>
        <v/>
      </c>
      <c r="T1021" s="1" t="str">
        <f aca="false">IF($A1021="","",IF(OR(S1021="",N1021&lt;=0),"",S1021/1000*12/N1021))</f>
        <v/>
      </c>
      <c r="U1021" s="1" t="str">
        <f aca="false">IF($A1021="","",IF(OR(T1021="",J1021=0,J1021=""),"",T1021/J1021))</f>
        <v/>
      </c>
      <c r="V1021" s="1" t="str">
        <f aca="false">IF($A1021="","",IF(OR(R1021="",N1021&lt;=0,J1021=0,J1021=""),"",(R1021/1000*12/N1021)/J1021))</f>
        <v/>
      </c>
      <c r="W1021" s="1" t="str">
        <f aca="false">IF($A1021="","",IF(OR(T1021="",K1021=0,K1021=""),"",T1021/K1021))</f>
        <v/>
      </c>
      <c r="X1021" s="1" t="n">
        <f aca="false">IF($A1021="","",IF(OR(N1021&lt;=0,I1021=0,I1021="",O1021=0),"",O1021*1000/(I1021*0.3025)/N1021))</f>
        <v>14477.0203698352</v>
      </c>
      <c r="Y1021" s="1" t="str">
        <f aca="false">IF($A1021="","",IF(OR(O1021=0,O1021="",P1021=0),"",P1021/O1021))</f>
        <v/>
      </c>
      <c r="Z1021" s="1" t="str">
        <f aca="false">IF($A1021="","",IFERROR(INDEX(物件収支!$E:$E,MATCH($A1021,物件収支!$A:$A,0)),""))</f>
        <v>開示（物件別・収益のみ・百万円単位）</v>
      </c>
    </row>
    <row r="1022" customFormat="false" ht="15" hidden="false" customHeight="true" outlineLevel="0" collapsed="false">
      <c r="A1022" s="1" t="str">
        <f aca="false">IF(物件マスタ!A1022="","",物件マスタ!A1022)</f>
        <v>KDX-281</v>
      </c>
      <c r="B1022" s="1" t="str">
        <f aca="false">IF($A1022="","",物件マスタ!B1022)</f>
        <v>KDX</v>
      </c>
      <c r="C1022" s="1" t="str">
        <f aca="false">IF($A1022="","",IFERROR(INDEX(法人マスタ!$C:$C,MATCH($B1022,法人マスタ!$A:$A,0)),""))</f>
        <v>ＫＤＸ不動産投資法人</v>
      </c>
      <c r="D1022" s="1" t="str">
        <f aca="false">IF($A1022="","",物件マスタ!C1022)</f>
        <v>コープさっぽろ春光店</v>
      </c>
      <c r="E1022" s="1" t="str">
        <f aca="false">IF($A1022="","",物件マスタ!H1022)</f>
        <v>地方経済圏（KDX区分）</v>
      </c>
      <c r="F1022" s="1" t="n">
        <f aca="false">IF($A1022="","",物件マスタ!P1022)</f>
        <v>0</v>
      </c>
      <c r="G1022" s="1" t="str">
        <f aca="false">IF($A1022="","",物件マスタ!Q1022)</f>
        <v/>
      </c>
      <c r="H1022" s="1" t="n">
        <f aca="false">IF($A1022="","",物件マスタ!L1022)</f>
        <v>0</v>
      </c>
      <c r="I1022" s="1" t="n">
        <f aca="false">IF($A1022="","",物件マスタ!M1022)</f>
        <v>7214.92</v>
      </c>
      <c r="J1022" s="1" t="n">
        <f aca="false">IF($A1022="","",物件マスタ!S1022)</f>
        <v>1230</v>
      </c>
      <c r="K1022" s="1" t="n">
        <f aca="false">IF($A1022="","",物件マスタ!U1022)</f>
        <v>1250</v>
      </c>
      <c r="L1022" s="1" t="n">
        <f aca="false">IF($A1022="","",物件マスタ!W1022)</f>
        <v>1</v>
      </c>
      <c r="M1022" s="1" t="str">
        <f aca="false">IF($A1022="","",IFERROR(INDEX(法人マスタ!$H:$H,MATCH($B1022,法人マスタ!$A:$A,0)),""))</f>
        <v>2026年4月期（第42期）</v>
      </c>
      <c r="N1022" s="1" t="n">
        <f aca="false">IF($A1022="","",SUMIFS(物件収支!$D:$D,物件収支!$A:$A,$A1022,物件収支!$C:$C,$M1022))</f>
        <v>6</v>
      </c>
      <c r="O1022" s="1" t="n">
        <f aca="false">IF($A1022="","",SUMIFS(物件収支!$F:$F,物件収支!$A:$A,$A1022,物件収支!$C:$C,$M1022))</f>
        <v>0</v>
      </c>
      <c r="P1022" s="1" t="n">
        <f aca="false">IF($A1022="","",SUMIFS(物件収支!$I:$I,物件収支!$A:$A,$A1022,物件収支!$C:$C,$M1022))</f>
        <v>0</v>
      </c>
      <c r="Q1022" s="1" t="n">
        <f aca="false">IF($A1022="","",SUMIFS(物件収支!$O:$O,物件収支!$A:$A,$A1022,物件収支!$C:$C,$M1022))</f>
        <v>0</v>
      </c>
      <c r="R1022" s="1" t="str">
        <f aca="false">IF($A1022="","",IF(P1022=0,"",O1022-P1022))</f>
        <v/>
      </c>
      <c r="S1022" s="1" t="str">
        <f aca="false">IF($A1022="","",IF(R1022="","",R1022+Q1022))</f>
        <v/>
      </c>
      <c r="T1022" s="1" t="str">
        <f aca="false">IF($A1022="","",IF(OR(S1022="",N1022&lt;=0),"",S1022/1000*12/N1022))</f>
        <v/>
      </c>
      <c r="U1022" s="1" t="str">
        <f aca="false">IF($A1022="","",IF(OR(T1022="",J1022=0,J1022=""),"",T1022/J1022))</f>
        <v/>
      </c>
      <c r="V1022" s="1" t="str">
        <f aca="false">IF($A1022="","",IF(OR(R1022="",N1022&lt;=0,J1022=0,J1022=""),"",(R1022/1000*12/N1022)/J1022))</f>
        <v/>
      </c>
      <c r="W1022" s="1" t="str">
        <f aca="false">IF($A1022="","",IF(OR(T1022="",K1022=0,K1022=""),"",T1022/K1022))</f>
        <v/>
      </c>
      <c r="X1022" s="1" t="str">
        <f aca="false">IF($A1022="","",IF(OR(N1022&lt;=0,I1022=0,I1022="",O1022=0),"",O1022*1000/(I1022*0.3025)/N1022))</f>
        <v/>
      </c>
      <c r="Y1022" s="1" t="str">
        <f aca="false">IF($A1022="","",IF(OR(O1022=0,O1022="",P1022=0),"",P1022/O1022))</f>
        <v/>
      </c>
      <c r="Z1022" s="1" t="str">
        <f aca="false">IF($A1022="","",IFERROR(INDEX(物件収支!$E:$E,MATCH($A1022,物件収支!$A:$A,0)),""))</f>
        <v>非開示</v>
      </c>
    </row>
    <row r="1023" customFormat="false" ht="15" hidden="false" customHeight="true" outlineLevel="0" collapsed="false">
      <c r="A1023" s="1" t="str">
        <f aca="false">IF(物件マスタ!A1023="","",物件マスタ!A1023)</f>
        <v>KDX-282</v>
      </c>
      <c r="B1023" s="1" t="str">
        <f aca="false">IF($A1023="","",物件マスタ!B1023)</f>
        <v>KDX</v>
      </c>
      <c r="C1023" s="1" t="str">
        <f aca="false">IF($A1023="","",IFERROR(INDEX(法人マスタ!$C:$C,MATCH($B1023,法人マスタ!$A:$A,0)),""))</f>
        <v>ＫＤＸ不動産投資法人</v>
      </c>
      <c r="D1023" s="1" t="str">
        <f aca="false">IF($A1023="","",物件マスタ!C1023)</f>
        <v>ヨロッカ春日井</v>
      </c>
      <c r="E1023" s="1" t="str">
        <f aca="false">IF($A1023="","",物件マスタ!H1023)</f>
        <v>地方経済圏（KDX区分）</v>
      </c>
      <c r="F1023" s="1" t="n">
        <f aca="false">IF($A1023="","",物件マスタ!P1023)</f>
        <v>0</v>
      </c>
      <c r="G1023" s="1" t="str">
        <f aca="false">IF($A1023="","",物件マスタ!Q1023)</f>
        <v/>
      </c>
      <c r="H1023" s="1" t="n">
        <f aca="false">IF($A1023="","",物件マスタ!L1023)</f>
        <v>0</v>
      </c>
      <c r="I1023" s="1" t="n">
        <f aca="false">IF($A1023="","",物件マスタ!M1023)</f>
        <v>39693.21</v>
      </c>
      <c r="J1023" s="1" t="n">
        <f aca="false">IF($A1023="","",物件マスタ!S1023)</f>
        <v>20625</v>
      </c>
      <c r="K1023" s="1" t="n">
        <f aca="false">IF($A1023="","",物件マスタ!U1023)</f>
        <v>21000</v>
      </c>
      <c r="L1023" s="1" t="n">
        <f aca="false">IF($A1023="","",物件マスタ!W1023)</f>
        <v>0.995</v>
      </c>
      <c r="M1023" s="1" t="str">
        <f aca="false">IF($A1023="","",IFERROR(INDEX(法人マスタ!$H:$H,MATCH($B1023,法人マスタ!$A:$A,0)),""))</f>
        <v>2026年4月期（第42期）</v>
      </c>
      <c r="N1023" s="1" t="n">
        <f aca="false">IF($A1023="","",SUMIFS(物件収支!$D:$D,物件収支!$A:$A,$A1023,物件収支!$C:$C,$M1023))</f>
        <v>6</v>
      </c>
      <c r="O1023" s="1" t="n">
        <f aca="false">IF($A1023="","",SUMIFS(物件収支!$F:$F,物件収支!$A:$A,$A1023,物件収支!$C:$C,$M1023))</f>
        <v>1029000</v>
      </c>
      <c r="P1023" s="1" t="n">
        <f aca="false">IF($A1023="","",SUMIFS(物件収支!$I:$I,物件収支!$A:$A,$A1023,物件収支!$C:$C,$M1023))</f>
        <v>0</v>
      </c>
      <c r="Q1023" s="1" t="n">
        <f aca="false">IF($A1023="","",SUMIFS(物件収支!$O:$O,物件収支!$A:$A,$A1023,物件収支!$C:$C,$M1023))</f>
        <v>0</v>
      </c>
      <c r="R1023" s="1" t="str">
        <f aca="false">IF($A1023="","",IF(P1023=0,"",O1023-P1023))</f>
        <v/>
      </c>
      <c r="S1023" s="1" t="str">
        <f aca="false">IF($A1023="","",IF(R1023="","",R1023+Q1023))</f>
        <v/>
      </c>
      <c r="T1023" s="1" t="str">
        <f aca="false">IF($A1023="","",IF(OR(S1023="",N1023&lt;=0),"",S1023/1000*12/N1023))</f>
        <v/>
      </c>
      <c r="U1023" s="1" t="str">
        <f aca="false">IF($A1023="","",IF(OR(T1023="",J1023=0,J1023=""),"",T1023/J1023))</f>
        <v/>
      </c>
      <c r="V1023" s="1" t="str">
        <f aca="false">IF($A1023="","",IF(OR(R1023="",N1023&lt;=0,J1023=0,J1023=""),"",(R1023/1000*12/N1023)/J1023))</f>
        <v/>
      </c>
      <c r="W1023" s="1" t="str">
        <f aca="false">IF($A1023="","",IF(OR(T1023="",K1023=0,K1023=""),"",T1023/K1023))</f>
        <v/>
      </c>
      <c r="X1023" s="1" t="n">
        <f aca="false">IF($A1023="","",IF(OR(N1023&lt;=0,I1023=0,I1023="",O1023=0),"",O1023*1000/(I1023*0.3025)/N1023))</f>
        <v>14283.1015370218</v>
      </c>
      <c r="Y1023" s="1" t="str">
        <f aca="false">IF($A1023="","",IF(OR(O1023=0,O1023="",P1023=0),"",P1023/O1023))</f>
        <v/>
      </c>
      <c r="Z1023" s="1" t="str">
        <f aca="false">IF($A1023="","",IFERROR(INDEX(物件収支!$E:$E,MATCH($A1023,物件収支!$A:$A,0)),""))</f>
        <v>開示（物件別・収益のみ・百万円単位）</v>
      </c>
    </row>
    <row r="1024" customFormat="false" ht="15" hidden="false" customHeight="true" outlineLevel="0" collapsed="false">
      <c r="A1024" s="1" t="str">
        <f aca="false">IF(物件マスタ!A1024="","",物件マスタ!A1024)</f>
        <v>KDX-283</v>
      </c>
      <c r="B1024" s="1" t="str">
        <f aca="false">IF($A1024="","",物件マスタ!B1024)</f>
        <v>KDX</v>
      </c>
      <c r="C1024" s="1" t="str">
        <f aca="false">IF($A1024="","",IFERROR(INDEX(法人マスタ!$C:$C,MATCH($B1024,法人マスタ!$A:$A,0)),""))</f>
        <v>ＫＤＸ不動産投資法人</v>
      </c>
      <c r="D1024" s="1" t="str">
        <f aca="false">IF($A1024="","",物件マスタ!C1024)</f>
        <v>コーナン新市店（底地）</v>
      </c>
      <c r="E1024" s="1" t="str">
        <f aca="false">IF($A1024="","",物件マスタ!H1024)</f>
        <v>地方経済圏（KDX区分）</v>
      </c>
      <c r="F1024" s="1" t="n">
        <f aca="false">IF($A1024="","",物件マスタ!P1024)</f>
        <v>0</v>
      </c>
      <c r="G1024" s="1" t="str">
        <f aca="false">IF($A1024="","",物件マスタ!Q1024)</f>
        <v/>
      </c>
      <c r="H1024" s="1" t="n">
        <f aca="false">IF($A1024="","",物件マスタ!L1024)</f>
        <v>0</v>
      </c>
      <c r="I1024" s="1" t="n">
        <f aca="false">IF($A1024="","",物件マスタ!M1024)</f>
        <v>23498.99</v>
      </c>
      <c r="J1024" s="1" t="n">
        <f aca="false">IF($A1024="","",物件マスタ!S1024)</f>
        <v>2630</v>
      </c>
      <c r="K1024" s="1" t="n">
        <f aca="false">IF($A1024="","",物件マスタ!U1024)</f>
        <v>2680</v>
      </c>
      <c r="L1024" s="1" t="n">
        <f aca="false">IF($A1024="","",物件マスタ!W1024)</f>
        <v>1</v>
      </c>
      <c r="M1024" s="1" t="str">
        <f aca="false">IF($A1024="","",IFERROR(INDEX(法人マスタ!$H:$H,MATCH($B1024,法人マスタ!$A:$A,0)),""))</f>
        <v>2026年4月期（第42期）</v>
      </c>
      <c r="N1024" s="1" t="n">
        <f aca="false">IF($A1024="","",SUMIFS(物件収支!$D:$D,物件収支!$A:$A,$A1024,物件収支!$C:$C,$M1024))</f>
        <v>6</v>
      </c>
      <c r="O1024" s="1" t="n">
        <f aca="false">IF($A1024="","",SUMIFS(物件収支!$F:$F,物件収支!$A:$A,$A1024,物件収支!$C:$C,$M1024))</f>
        <v>0</v>
      </c>
      <c r="P1024" s="1" t="n">
        <f aca="false">IF($A1024="","",SUMIFS(物件収支!$I:$I,物件収支!$A:$A,$A1024,物件収支!$C:$C,$M1024))</f>
        <v>0</v>
      </c>
      <c r="Q1024" s="1" t="n">
        <f aca="false">IF($A1024="","",SUMIFS(物件収支!$O:$O,物件収支!$A:$A,$A1024,物件収支!$C:$C,$M1024))</f>
        <v>0</v>
      </c>
      <c r="R1024" s="1" t="str">
        <f aca="false">IF($A1024="","",IF(P1024=0,"",O1024-P1024))</f>
        <v/>
      </c>
      <c r="S1024" s="1" t="str">
        <f aca="false">IF($A1024="","",IF(R1024="","",R1024+Q1024))</f>
        <v/>
      </c>
      <c r="T1024" s="1" t="str">
        <f aca="false">IF($A1024="","",IF(OR(S1024="",N1024&lt;=0),"",S1024/1000*12/N1024))</f>
        <v/>
      </c>
      <c r="U1024" s="1" t="str">
        <f aca="false">IF($A1024="","",IF(OR(T1024="",J1024=0,J1024=""),"",T1024/J1024))</f>
        <v/>
      </c>
      <c r="V1024" s="1" t="str">
        <f aca="false">IF($A1024="","",IF(OR(R1024="",N1024&lt;=0,J1024=0,J1024=""),"",(R1024/1000*12/N1024)/J1024))</f>
        <v/>
      </c>
      <c r="W1024" s="1" t="str">
        <f aca="false">IF($A1024="","",IF(OR(T1024="",K1024=0,K1024=""),"",T1024/K1024))</f>
        <v/>
      </c>
      <c r="X1024" s="1" t="str">
        <f aca="false">IF($A1024="","",IF(OR(N1024&lt;=0,I1024=0,I1024="",O1024=0),"",O1024*1000/(I1024*0.3025)/N1024))</f>
        <v/>
      </c>
      <c r="Y1024" s="1" t="str">
        <f aca="false">IF($A1024="","",IF(OR(O1024=0,O1024="",P1024=0),"",P1024/O1024))</f>
        <v/>
      </c>
      <c r="Z1024" s="1" t="str">
        <f aca="false">IF($A1024="","",IFERROR(INDEX(物件収支!$E:$E,MATCH($A1024,物件収支!$A:$A,0)),""))</f>
        <v>非開示</v>
      </c>
    </row>
    <row r="1025" customFormat="false" ht="15" hidden="false" customHeight="true" outlineLevel="0" collapsed="false">
      <c r="A1025" s="1" t="str">
        <f aca="false">IF(物件マスタ!A1025="","",物件マスタ!A1025)</f>
        <v>KDX-284</v>
      </c>
      <c r="B1025" s="1" t="str">
        <f aca="false">IF($A1025="","",物件マスタ!B1025)</f>
        <v>KDX</v>
      </c>
      <c r="C1025" s="1" t="str">
        <f aca="false">IF($A1025="","",IFERROR(INDEX(法人マスタ!$C:$C,MATCH($B1025,法人マスタ!$A:$A,0)),""))</f>
        <v>ＫＤＸ不動産投資法人</v>
      </c>
      <c r="D1025" s="1" t="str">
        <f aca="false">IF($A1025="","",物件マスタ!C1025)</f>
        <v>武蔵嵐山配送センター</v>
      </c>
      <c r="E1025" s="1" t="str">
        <f aca="false">IF($A1025="","",物件マスタ!H1025)</f>
        <v>東京経済圏（KDX区分）</v>
      </c>
      <c r="F1025" s="1" t="n">
        <f aca="false">IF($A1025="","",物件マスタ!P1025)</f>
        <v>0</v>
      </c>
      <c r="G1025" s="1" t="str">
        <f aca="false">IF($A1025="","",物件マスタ!Q1025)</f>
        <v/>
      </c>
      <c r="H1025" s="1" t="n">
        <f aca="false">IF($A1025="","",物件マスタ!L1025)</f>
        <v>0</v>
      </c>
      <c r="I1025" s="1" t="n">
        <f aca="false">IF($A1025="","",物件マスタ!M1025)</f>
        <v>32935.54</v>
      </c>
      <c r="J1025" s="1" t="n">
        <f aca="false">IF($A1025="","",物件マスタ!S1025)</f>
        <v>4550</v>
      </c>
      <c r="K1025" s="1" t="n">
        <f aca="false">IF($A1025="","",物件マスタ!U1025)</f>
        <v>4580</v>
      </c>
      <c r="L1025" s="1" t="n">
        <f aca="false">IF($A1025="","",物件マスタ!W1025)</f>
        <v>1</v>
      </c>
      <c r="M1025" s="1" t="str">
        <f aca="false">IF($A1025="","",IFERROR(INDEX(法人マスタ!$H:$H,MATCH($B1025,法人マスタ!$A:$A,0)),""))</f>
        <v>2026年4月期（第42期）</v>
      </c>
      <c r="N1025" s="1" t="n">
        <f aca="false">IF($A1025="","",SUMIFS(物件収支!$D:$D,物件収支!$A:$A,$A1025,物件収支!$C:$C,$M1025))</f>
        <v>6</v>
      </c>
      <c r="O1025" s="1" t="n">
        <f aca="false">IF($A1025="","",SUMIFS(物件収支!$F:$F,物件収支!$A:$A,$A1025,物件収支!$C:$C,$M1025))</f>
        <v>0</v>
      </c>
      <c r="P1025" s="1" t="n">
        <f aca="false">IF($A1025="","",SUMIFS(物件収支!$I:$I,物件収支!$A:$A,$A1025,物件収支!$C:$C,$M1025))</f>
        <v>0</v>
      </c>
      <c r="Q1025" s="1" t="n">
        <f aca="false">IF($A1025="","",SUMIFS(物件収支!$O:$O,物件収支!$A:$A,$A1025,物件収支!$C:$C,$M1025))</f>
        <v>0</v>
      </c>
      <c r="R1025" s="1" t="str">
        <f aca="false">IF($A1025="","",IF(P1025=0,"",O1025-P1025))</f>
        <v/>
      </c>
      <c r="S1025" s="1" t="str">
        <f aca="false">IF($A1025="","",IF(R1025="","",R1025+Q1025))</f>
        <v/>
      </c>
      <c r="T1025" s="1" t="str">
        <f aca="false">IF($A1025="","",IF(OR(S1025="",N1025&lt;=0),"",S1025/1000*12/N1025))</f>
        <v/>
      </c>
      <c r="U1025" s="1" t="str">
        <f aca="false">IF($A1025="","",IF(OR(T1025="",J1025=0,J1025=""),"",T1025/J1025))</f>
        <v/>
      </c>
      <c r="V1025" s="1" t="str">
        <f aca="false">IF($A1025="","",IF(OR(R1025="",N1025&lt;=0,J1025=0,J1025=""),"",(R1025/1000*12/N1025)/J1025))</f>
        <v/>
      </c>
      <c r="W1025" s="1" t="str">
        <f aca="false">IF($A1025="","",IF(OR(T1025="",K1025=0,K1025=""),"",T1025/K1025))</f>
        <v/>
      </c>
      <c r="X1025" s="1" t="str">
        <f aca="false">IF($A1025="","",IF(OR(N1025&lt;=0,I1025=0,I1025="",O1025=0),"",O1025*1000/(I1025*0.3025)/N1025))</f>
        <v/>
      </c>
      <c r="Y1025" s="1" t="str">
        <f aca="false">IF($A1025="","",IF(OR(O1025=0,O1025="",P1025=0),"",P1025/O1025))</f>
        <v/>
      </c>
      <c r="Z1025" s="1" t="str">
        <f aca="false">IF($A1025="","",IFERROR(INDEX(物件収支!$E:$E,MATCH($A1025,物件収支!$A:$A,0)),""))</f>
        <v>非開示</v>
      </c>
    </row>
    <row r="1026" customFormat="false" ht="15" hidden="false" customHeight="true" outlineLevel="0" collapsed="false">
      <c r="A1026" s="1" t="str">
        <f aca="false">IF(物件マスタ!A1026="","",物件マスタ!A1026)</f>
        <v>KDX-285</v>
      </c>
      <c r="B1026" s="1" t="str">
        <f aca="false">IF($A1026="","",物件マスタ!B1026)</f>
        <v>KDX</v>
      </c>
      <c r="C1026" s="1" t="str">
        <f aca="false">IF($A1026="","",IFERROR(INDEX(法人マスタ!$C:$C,MATCH($B1026,法人マスタ!$A:$A,0)),""))</f>
        <v>ＫＤＸ不動産投資法人</v>
      </c>
      <c r="D1026" s="1" t="str">
        <f aca="false">IF($A1026="","",物件マスタ!C1026)</f>
        <v>座間配送センター</v>
      </c>
      <c r="E1026" s="1" t="str">
        <f aca="false">IF($A1026="","",物件マスタ!H1026)</f>
        <v>東京経済圏（KDX区分）</v>
      </c>
      <c r="F1026" s="1" t="n">
        <f aca="false">IF($A1026="","",物件マスタ!P1026)</f>
        <v>0</v>
      </c>
      <c r="G1026" s="1" t="str">
        <f aca="false">IF($A1026="","",物件マスタ!Q1026)</f>
        <v/>
      </c>
      <c r="H1026" s="1" t="n">
        <f aca="false">IF($A1026="","",物件マスタ!L1026)</f>
        <v>0</v>
      </c>
      <c r="I1026" s="1" t="n">
        <f aca="false">IF($A1026="","",物件マスタ!M1026)</f>
        <v>5479.92</v>
      </c>
      <c r="J1026" s="1" t="n">
        <f aca="false">IF($A1026="","",物件マスタ!S1026)</f>
        <v>1890</v>
      </c>
      <c r="K1026" s="1" t="n">
        <f aca="false">IF($A1026="","",物件マスタ!U1026)</f>
        <v>1880</v>
      </c>
      <c r="L1026" s="1" t="n">
        <f aca="false">IF($A1026="","",物件マスタ!W1026)</f>
        <v>1</v>
      </c>
      <c r="M1026" s="1" t="str">
        <f aca="false">IF($A1026="","",IFERROR(INDEX(法人マスタ!$H:$H,MATCH($B1026,法人マスタ!$A:$A,0)),""))</f>
        <v>2026年4月期（第42期）</v>
      </c>
      <c r="N1026" s="1" t="n">
        <f aca="false">IF($A1026="","",SUMIFS(物件収支!$D:$D,物件収支!$A:$A,$A1026,物件収支!$C:$C,$M1026))</f>
        <v>6</v>
      </c>
      <c r="O1026" s="1" t="n">
        <f aca="false">IF($A1026="","",SUMIFS(物件収支!$F:$F,物件収支!$A:$A,$A1026,物件収支!$C:$C,$M1026))</f>
        <v>0</v>
      </c>
      <c r="P1026" s="1" t="n">
        <f aca="false">IF($A1026="","",SUMIFS(物件収支!$I:$I,物件収支!$A:$A,$A1026,物件収支!$C:$C,$M1026))</f>
        <v>0</v>
      </c>
      <c r="Q1026" s="1" t="n">
        <f aca="false">IF($A1026="","",SUMIFS(物件収支!$O:$O,物件収支!$A:$A,$A1026,物件収支!$C:$C,$M1026))</f>
        <v>0</v>
      </c>
      <c r="R1026" s="1" t="str">
        <f aca="false">IF($A1026="","",IF(P1026=0,"",O1026-P1026))</f>
        <v/>
      </c>
      <c r="S1026" s="1" t="str">
        <f aca="false">IF($A1026="","",IF(R1026="","",R1026+Q1026))</f>
        <v/>
      </c>
      <c r="T1026" s="1" t="str">
        <f aca="false">IF($A1026="","",IF(OR(S1026="",N1026&lt;=0),"",S1026/1000*12/N1026))</f>
        <v/>
      </c>
      <c r="U1026" s="1" t="str">
        <f aca="false">IF($A1026="","",IF(OR(T1026="",J1026=0,J1026=""),"",T1026/J1026))</f>
        <v/>
      </c>
      <c r="V1026" s="1" t="str">
        <f aca="false">IF($A1026="","",IF(OR(R1026="",N1026&lt;=0,J1026=0,J1026=""),"",(R1026/1000*12/N1026)/J1026))</f>
        <v/>
      </c>
      <c r="W1026" s="1" t="str">
        <f aca="false">IF($A1026="","",IF(OR(T1026="",K1026=0,K1026=""),"",T1026/K1026))</f>
        <v/>
      </c>
      <c r="X1026" s="1" t="str">
        <f aca="false">IF($A1026="","",IF(OR(N1026&lt;=0,I1026=0,I1026="",O1026=0),"",O1026*1000/(I1026*0.3025)/N1026))</f>
        <v/>
      </c>
      <c r="Y1026" s="1" t="str">
        <f aca="false">IF($A1026="","",IF(OR(O1026=0,O1026="",P1026=0),"",P1026/O1026))</f>
        <v/>
      </c>
      <c r="Z1026" s="1" t="str">
        <f aca="false">IF($A1026="","",IFERROR(INDEX(物件収支!$E:$E,MATCH($A1026,物件収支!$A:$A,0)),""))</f>
        <v>非開示</v>
      </c>
    </row>
    <row r="1027" customFormat="false" ht="15" hidden="false" customHeight="true" outlineLevel="0" collapsed="false">
      <c r="A1027" s="1" t="str">
        <f aca="false">IF(物件マスタ!A1027="","",物件マスタ!A1027)</f>
        <v>KDX-286</v>
      </c>
      <c r="B1027" s="1" t="str">
        <f aca="false">IF($A1027="","",物件マスタ!B1027)</f>
        <v>KDX</v>
      </c>
      <c r="C1027" s="1" t="str">
        <f aca="false">IF($A1027="","",IFERROR(INDEX(法人マスタ!$C:$C,MATCH($B1027,法人マスタ!$A:$A,0)),""))</f>
        <v>ＫＤＸ不動産投資法人</v>
      </c>
      <c r="D1027" s="1" t="str">
        <f aca="false">IF($A1027="","",物件マスタ!C1027)</f>
        <v>追浜配送センター</v>
      </c>
      <c r="E1027" s="1" t="str">
        <f aca="false">IF($A1027="","",物件マスタ!H1027)</f>
        <v>東京経済圏（KDX区分）</v>
      </c>
      <c r="F1027" s="1" t="n">
        <f aca="false">IF($A1027="","",物件マスタ!P1027)</f>
        <v>0</v>
      </c>
      <c r="G1027" s="1" t="str">
        <f aca="false">IF($A1027="","",物件マスタ!Q1027)</f>
        <v/>
      </c>
      <c r="H1027" s="1" t="n">
        <f aca="false">IF($A1027="","",物件マスタ!L1027)</f>
        <v>0</v>
      </c>
      <c r="I1027" s="1" t="n">
        <f aca="false">IF($A1027="","",物件マスタ!M1027)</f>
        <v>6543.87</v>
      </c>
      <c r="J1027" s="1" t="n">
        <f aca="false">IF($A1027="","",物件マスタ!S1027)</f>
        <v>1790</v>
      </c>
      <c r="K1027" s="1" t="n">
        <f aca="false">IF($A1027="","",物件マスタ!U1027)</f>
        <v>1780</v>
      </c>
      <c r="L1027" s="1" t="n">
        <f aca="false">IF($A1027="","",物件マスタ!W1027)</f>
        <v>1</v>
      </c>
      <c r="M1027" s="1" t="str">
        <f aca="false">IF($A1027="","",IFERROR(INDEX(法人マスタ!$H:$H,MATCH($B1027,法人マスタ!$A:$A,0)),""))</f>
        <v>2026年4月期（第42期）</v>
      </c>
      <c r="N1027" s="1" t="n">
        <f aca="false">IF($A1027="","",SUMIFS(物件収支!$D:$D,物件収支!$A:$A,$A1027,物件収支!$C:$C,$M1027))</f>
        <v>6</v>
      </c>
      <c r="O1027" s="1" t="n">
        <f aca="false">IF($A1027="","",SUMIFS(物件収支!$F:$F,物件収支!$A:$A,$A1027,物件収支!$C:$C,$M1027))</f>
        <v>0</v>
      </c>
      <c r="P1027" s="1" t="n">
        <f aca="false">IF($A1027="","",SUMIFS(物件収支!$I:$I,物件収支!$A:$A,$A1027,物件収支!$C:$C,$M1027))</f>
        <v>0</v>
      </c>
      <c r="Q1027" s="1" t="n">
        <f aca="false">IF($A1027="","",SUMIFS(物件収支!$O:$O,物件収支!$A:$A,$A1027,物件収支!$C:$C,$M1027))</f>
        <v>0</v>
      </c>
      <c r="R1027" s="1" t="str">
        <f aca="false">IF($A1027="","",IF(P1027=0,"",O1027-P1027))</f>
        <v/>
      </c>
      <c r="S1027" s="1" t="str">
        <f aca="false">IF($A1027="","",IF(R1027="","",R1027+Q1027))</f>
        <v/>
      </c>
      <c r="T1027" s="1" t="str">
        <f aca="false">IF($A1027="","",IF(OR(S1027="",N1027&lt;=0),"",S1027/1000*12/N1027))</f>
        <v/>
      </c>
      <c r="U1027" s="1" t="str">
        <f aca="false">IF($A1027="","",IF(OR(T1027="",J1027=0,J1027=""),"",T1027/J1027))</f>
        <v/>
      </c>
      <c r="V1027" s="1" t="str">
        <f aca="false">IF($A1027="","",IF(OR(R1027="",N1027&lt;=0,J1027=0,J1027=""),"",(R1027/1000*12/N1027)/J1027))</f>
        <v/>
      </c>
      <c r="W1027" s="1" t="str">
        <f aca="false">IF($A1027="","",IF(OR(T1027="",K1027=0,K1027=""),"",T1027/K1027))</f>
        <v/>
      </c>
      <c r="X1027" s="1" t="str">
        <f aca="false">IF($A1027="","",IF(OR(N1027&lt;=0,I1027=0,I1027="",O1027=0),"",O1027*1000/(I1027*0.3025)/N1027))</f>
        <v/>
      </c>
      <c r="Y1027" s="1" t="str">
        <f aca="false">IF($A1027="","",IF(OR(O1027=0,O1027="",P1027=0),"",P1027/O1027))</f>
        <v/>
      </c>
      <c r="Z1027" s="1" t="str">
        <f aca="false">IF($A1027="","",IFERROR(INDEX(物件収支!$E:$E,MATCH($A1027,物件収支!$A:$A,0)),""))</f>
        <v>非開示</v>
      </c>
    </row>
    <row r="1028" customFormat="false" ht="15" hidden="false" customHeight="true" outlineLevel="0" collapsed="false">
      <c r="A1028" s="1" t="str">
        <f aca="false">IF(物件マスタ!A1028="","",物件マスタ!A1028)</f>
        <v>KDX-287</v>
      </c>
      <c r="B1028" s="1" t="str">
        <f aca="false">IF($A1028="","",物件マスタ!B1028)</f>
        <v>KDX</v>
      </c>
      <c r="C1028" s="1" t="str">
        <f aca="false">IF($A1028="","",IFERROR(INDEX(法人マスタ!$C:$C,MATCH($B1028,法人マスタ!$A:$A,0)),""))</f>
        <v>ＫＤＸ不動産投資法人</v>
      </c>
      <c r="D1028" s="1" t="str">
        <f aca="false">IF($A1028="","",物件マスタ!C1028)</f>
        <v>横浜上郷配送センター</v>
      </c>
      <c r="E1028" s="1" t="str">
        <f aca="false">IF($A1028="","",物件マスタ!H1028)</f>
        <v>東京経済圏（KDX区分）</v>
      </c>
      <c r="F1028" s="1" t="n">
        <f aca="false">IF($A1028="","",物件マスタ!P1028)</f>
        <v>0</v>
      </c>
      <c r="G1028" s="1" t="str">
        <f aca="false">IF($A1028="","",物件マスタ!Q1028)</f>
        <v/>
      </c>
      <c r="H1028" s="1" t="n">
        <f aca="false">IF($A1028="","",物件マスタ!L1028)</f>
        <v>0</v>
      </c>
      <c r="I1028" s="1" t="n">
        <f aca="false">IF($A1028="","",物件マスタ!M1028)</f>
        <v>2040.05</v>
      </c>
      <c r="J1028" s="1" t="n">
        <f aca="false">IF($A1028="","",物件マスタ!S1028)</f>
        <v>1090</v>
      </c>
      <c r="K1028" s="1" t="n">
        <f aca="false">IF($A1028="","",物件マスタ!U1028)</f>
        <v>1080</v>
      </c>
      <c r="L1028" s="1" t="n">
        <f aca="false">IF($A1028="","",物件マスタ!W1028)</f>
        <v>1</v>
      </c>
      <c r="M1028" s="1" t="str">
        <f aca="false">IF($A1028="","",IFERROR(INDEX(法人マスタ!$H:$H,MATCH($B1028,法人マスタ!$A:$A,0)),""))</f>
        <v>2026年4月期（第42期）</v>
      </c>
      <c r="N1028" s="1" t="n">
        <f aca="false">IF($A1028="","",SUMIFS(物件収支!$D:$D,物件収支!$A:$A,$A1028,物件収支!$C:$C,$M1028))</f>
        <v>6</v>
      </c>
      <c r="O1028" s="1" t="n">
        <f aca="false">IF($A1028="","",SUMIFS(物件収支!$F:$F,物件収支!$A:$A,$A1028,物件収支!$C:$C,$M1028))</f>
        <v>0</v>
      </c>
      <c r="P1028" s="1" t="n">
        <f aca="false">IF($A1028="","",SUMIFS(物件収支!$I:$I,物件収支!$A:$A,$A1028,物件収支!$C:$C,$M1028))</f>
        <v>0</v>
      </c>
      <c r="Q1028" s="1" t="n">
        <f aca="false">IF($A1028="","",SUMIFS(物件収支!$O:$O,物件収支!$A:$A,$A1028,物件収支!$C:$C,$M1028))</f>
        <v>0</v>
      </c>
      <c r="R1028" s="1" t="str">
        <f aca="false">IF($A1028="","",IF(P1028=0,"",O1028-P1028))</f>
        <v/>
      </c>
      <c r="S1028" s="1" t="str">
        <f aca="false">IF($A1028="","",IF(R1028="","",R1028+Q1028))</f>
        <v/>
      </c>
      <c r="T1028" s="1" t="str">
        <f aca="false">IF($A1028="","",IF(OR(S1028="",N1028&lt;=0),"",S1028/1000*12/N1028))</f>
        <v/>
      </c>
      <c r="U1028" s="1" t="str">
        <f aca="false">IF($A1028="","",IF(OR(T1028="",J1028=0,J1028=""),"",T1028/J1028))</f>
        <v/>
      </c>
      <c r="V1028" s="1" t="str">
        <f aca="false">IF($A1028="","",IF(OR(R1028="",N1028&lt;=0,J1028=0,J1028=""),"",(R1028/1000*12/N1028)/J1028))</f>
        <v/>
      </c>
      <c r="W1028" s="1" t="str">
        <f aca="false">IF($A1028="","",IF(OR(T1028="",K1028=0,K1028=""),"",T1028/K1028))</f>
        <v/>
      </c>
      <c r="X1028" s="1" t="str">
        <f aca="false">IF($A1028="","",IF(OR(N1028&lt;=0,I1028=0,I1028="",O1028=0),"",O1028*1000/(I1028*0.3025)/N1028))</f>
        <v/>
      </c>
      <c r="Y1028" s="1" t="str">
        <f aca="false">IF($A1028="","",IF(OR(O1028=0,O1028="",P1028=0),"",P1028/O1028))</f>
        <v/>
      </c>
      <c r="Z1028" s="1" t="str">
        <f aca="false">IF($A1028="","",IFERROR(INDEX(物件収支!$E:$E,MATCH($A1028,物件収支!$A:$A,0)),""))</f>
        <v>非開示</v>
      </c>
    </row>
    <row r="1029" customFormat="false" ht="15" hidden="false" customHeight="true" outlineLevel="0" collapsed="false">
      <c r="A1029" s="1" t="str">
        <f aca="false">IF(物件マスタ!A1029="","",物件マスタ!A1029)</f>
        <v>KDX-288</v>
      </c>
      <c r="B1029" s="1" t="str">
        <f aca="false">IF($A1029="","",物件マスタ!B1029)</f>
        <v>KDX</v>
      </c>
      <c r="C1029" s="1" t="str">
        <f aca="false">IF($A1029="","",IFERROR(INDEX(法人マスタ!$C:$C,MATCH($B1029,法人マスタ!$A:$A,0)),""))</f>
        <v>ＫＤＸ不動産投資法人</v>
      </c>
      <c r="D1029" s="1" t="str">
        <f aca="false">IF($A1029="","",物件マスタ!C1029)</f>
        <v>行田配送センター</v>
      </c>
      <c r="E1029" s="1" t="str">
        <f aca="false">IF($A1029="","",物件マスタ!H1029)</f>
        <v>東京経済圏（KDX区分）</v>
      </c>
      <c r="F1029" s="1" t="n">
        <f aca="false">IF($A1029="","",物件マスタ!P1029)</f>
        <v>0</v>
      </c>
      <c r="G1029" s="1" t="str">
        <f aca="false">IF($A1029="","",物件マスタ!Q1029)</f>
        <v/>
      </c>
      <c r="H1029" s="1" t="n">
        <f aca="false">IF($A1029="","",物件マスタ!L1029)</f>
        <v>0</v>
      </c>
      <c r="I1029" s="1" t="n">
        <f aca="false">IF($A1029="","",物件マスタ!M1029)</f>
        <v>21956.09</v>
      </c>
      <c r="J1029" s="1" t="n">
        <f aca="false">IF($A1029="","",物件マスタ!S1029)</f>
        <v>3840</v>
      </c>
      <c r="K1029" s="1" t="n">
        <f aca="false">IF($A1029="","",物件マスタ!U1029)</f>
        <v>3770</v>
      </c>
      <c r="L1029" s="1" t="n">
        <f aca="false">IF($A1029="","",物件マスタ!W1029)</f>
        <v>0.497</v>
      </c>
      <c r="M1029" s="1" t="str">
        <f aca="false">IF($A1029="","",IFERROR(INDEX(法人マスタ!$H:$H,MATCH($B1029,法人マスタ!$A:$A,0)),""))</f>
        <v>2026年4月期（第42期）</v>
      </c>
      <c r="N1029" s="1" t="n">
        <f aca="false">IF($A1029="","",SUMIFS(物件収支!$D:$D,物件収支!$A:$A,$A1029,物件収支!$C:$C,$M1029))</f>
        <v>6</v>
      </c>
      <c r="O1029" s="1" t="n">
        <f aca="false">IF($A1029="","",SUMIFS(物件収支!$F:$F,物件収支!$A:$A,$A1029,物件収支!$C:$C,$M1029))</f>
        <v>0</v>
      </c>
      <c r="P1029" s="1" t="n">
        <f aca="false">IF($A1029="","",SUMIFS(物件収支!$I:$I,物件収支!$A:$A,$A1029,物件収支!$C:$C,$M1029))</f>
        <v>0</v>
      </c>
      <c r="Q1029" s="1" t="n">
        <f aca="false">IF($A1029="","",SUMIFS(物件収支!$O:$O,物件収支!$A:$A,$A1029,物件収支!$C:$C,$M1029))</f>
        <v>0</v>
      </c>
      <c r="R1029" s="1" t="str">
        <f aca="false">IF($A1029="","",IF(P1029=0,"",O1029-P1029))</f>
        <v/>
      </c>
      <c r="S1029" s="1" t="str">
        <f aca="false">IF($A1029="","",IF(R1029="","",R1029+Q1029))</f>
        <v/>
      </c>
      <c r="T1029" s="1" t="str">
        <f aca="false">IF($A1029="","",IF(OR(S1029="",N1029&lt;=0),"",S1029/1000*12/N1029))</f>
        <v/>
      </c>
      <c r="U1029" s="1" t="str">
        <f aca="false">IF($A1029="","",IF(OR(T1029="",J1029=0,J1029=""),"",T1029/J1029))</f>
        <v/>
      </c>
      <c r="V1029" s="1" t="str">
        <f aca="false">IF($A1029="","",IF(OR(R1029="",N1029&lt;=0,J1029=0,J1029=""),"",(R1029/1000*12/N1029)/J1029))</f>
        <v/>
      </c>
      <c r="W1029" s="1" t="str">
        <f aca="false">IF($A1029="","",IF(OR(T1029="",K1029=0,K1029=""),"",T1029/K1029))</f>
        <v/>
      </c>
      <c r="X1029" s="1" t="str">
        <f aca="false">IF($A1029="","",IF(OR(N1029&lt;=0,I1029=0,I1029="",O1029=0),"",O1029*1000/(I1029*0.3025)/N1029))</f>
        <v/>
      </c>
      <c r="Y1029" s="1" t="str">
        <f aca="false">IF($A1029="","",IF(OR(O1029=0,O1029="",P1029=0),"",P1029/O1029))</f>
        <v/>
      </c>
      <c r="Z1029" s="1" t="str">
        <f aca="false">IF($A1029="","",IFERROR(INDEX(物件収支!$E:$E,MATCH($A1029,物件収支!$A:$A,0)),""))</f>
        <v>非開示</v>
      </c>
    </row>
    <row r="1030" customFormat="false" ht="15" hidden="false" customHeight="true" outlineLevel="0" collapsed="false">
      <c r="A1030" s="1" t="str">
        <f aca="false">IF(物件マスタ!A1030="","",物件マスタ!A1030)</f>
        <v>KDX-289</v>
      </c>
      <c r="B1030" s="1" t="str">
        <f aca="false">IF($A1030="","",物件マスタ!B1030)</f>
        <v>KDX</v>
      </c>
      <c r="C1030" s="1" t="str">
        <f aca="false">IF($A1030="","",IFERROR(INDEX(法人マスタ!$C:$C,MATCH($B1030,法人マスタ!$A:$A,0)),""))</f>
        <v>ＫＤＸ不動産投資法人</v>
      </c>
      <c r="D1030" s="1" t="str">
        <f aca="false">IF($A1030="","",物件マスタ!C1030)</f>
        <v>新宿西落合配送センター</v>
      </c>
      <c r="E1030" s="1" t="str">
        <f aca="false">IF($A1030="","",物件マスタ!H1030)</f>
        <v>東京経済圏（KDX区分）</v>
      </c>
      <c r="F1030" s="1" t="n">
        <f aca="false">IF($A1030="","",物件マスタ!P1030)</f>
        <v>0</v>
      </c>
      <c r="G1030" s="1" t="str">
        <f aca="false">IF($A1030="","",物件マスタ!Q1030)</f>
        <v/>
      </c>
      <c r="H1030" s="1" t="n">
        <f aca="false">IF($A1030="","",物件マスタ!L1030)</f>
        <v>0</v>
      </c>
      <c r="I1030" s="1" t="n">
        <f aca="false">IF($A1030="","",物件マスタ!M1030)</f>
        <v>790.52</v>
      </c>
      <c r="J1030" s="1" t="n">
        <f aca="false">IF($A1030="","",物件マスタ!S1030)</f>
        <v>857</v>
      </c>
      <c r="K1030" s="1" t="n">
        <f aca="false">IF($A1030="","",物件マスタ!U1030)</f>
        <v>824</v>
      </c>
      <c r="L1030" s="1" t="n">
        <f aca="false">IF($A1030="","",物件マスタ!W1030)</f>
        <v>1</v>
      </c>
      <c r="M1030" s="1" t="str">
        <f aca="false">IF($A1030="","",IFERROR(INDEX(法人マスタ!$H:$H,MATCH($B1030,法人マスタ!$A:$A,0)),""))</f>
        <v>2026年4月期（第42期）</v>
      </c>
      <c r="N1030" s="1" t="n">
        <f aca="false">IF($A1030="","",SUMIFS(物件収支!$D:$D,物件収支!$A:$A,$A1030,物件収支!$C:$C,$M1030))</f>
        <v>6</v>
      </c>
      <c r="O1030" s="1" t="n">
        <f aca="false">IF($A1030="","",SUMIFS(物件収支!$F:$F,物件収支!$A:$A,$A1030,物件収支!$C:$C,$M1030))</f>
        <v>0</v>
      </c>
      <c r="P1030" s="1" t="n">
        <f aca="false">IF($A1030="","",SUMIFS(物件収支!$I:$I,物件収支!$A:$A,$A1030,物件収支!$C:$C,$M1030))</f>
        <v>0</v>
      </c>
      <c r="Q1030" s="1" t="n">
        <f aca="false">IF($A1030="","",SUMIFS(物件収支!$O:$O,物件収支!$A:$A,$A1030,物件収支!$C:$C,$M1030))</f>
        <v>0</v>
      </c>
      <c r="R1030" s="1" t="str">
        <f aca="false">IF($A1030="","",IF(P1030=0,"",O1030-P1030))</f>
        <v/>
      </c>
      <c r="S1030" s="1" t="str">
        <f aca="false">IF($A1030="","",IF(R1030="","",R1030+Q1030))</f>
        <v/>
      </c>
      <c r="T1030" s="1" t="str">
        <f aca="false">IF($A1030="","",IF(OR(S1030="",N1030&lt;=0),"",S1030/1000*12/N1030))</f>
        <v/>
      </c>
      <c r="U1030" s="1" t="str">
        <f aca="false">IF($A1030="","",IF(OR(T1030="",J1030=0,J1030=""),"",T1030/J1030))</f>
        <v/>
      </c>
      <c r="V1030" s="1" t="str">
        <f aca="false">IF($A1030="","",IF(OR(R1030="",N1030&lt;=0,J1030=0,J1030=""),"",(R1030/1000*12/N1030)/J1030))</f>
        <v/>
      </c>
      <c r="W1030" s="1" t="str">
        <f aca="false">IF($A1030="","",IF(OR(T1030="",K1030=0,K1030=""),"",T1030/K1030))</f>
        <v/>
      </c>
      <c r="X1030" s="1" t="str">
        <f aca="false">IF($A1030="","",IF(OR(N1030&lt;=0,I1030=0,I1030="",O1030=0),"",O1030*1000/(I1030*0.3025)/N1030))</f>
        <v/>
      </c>
      <c r="Y1030" s="1" t="str">
        <f aca="false">IF($A1030="","",IF(OR(O1030=0,O1030="",P1030=0),"",P1030/O1030))</f>
        <v/>
      </c>
      <c r="Z1030" s="1" t="str">
        <f aca="false">IF($A1030="","",IFERROR(INDEX(物件収支!$E:$E,MATCH($A1030,物件収支!$A:$A,0)),""))</f>
        <v>非開示</v>
      </c>
    </row>
    <row r="1031" customFormat="false" ht="15" hidden="false" customHeight="true" outlineLevel="0" collapsed="false">
      <c r="A1031" s="1" t="str">
        <f aca="false">IF(物件マスタ!A1031="","",物件マスタ!A1031)</f>
        <v>KDX-290</v>
      </c>
      <c r="B1031" s="1" t="str">
        <f aca="false">IF($A1031="","",物件マスタ!B1031)</f>
        <v>KDX</v>
      </c>
      <c r="C1031" s="1" t="str">
        <f aca="false">IF($A1031="","",IFERROR(INDEX(法人マスタ!$C:$C,MATCH($B1031,法人マスタ!$A:$A,0)),""))</f>
        <v>ＫＤＸ不動産投資法人</v>
      </c>
      <c r="D1031" s="1" t="str">
        <f aca="false">IF($A1031="","",物件マスタ!C1031)</f>
        <v>千葉北配送センター</v>
      </c>
      <c r="E1031" s="1" t="str">
        <f aca="false">IF($A1031="","",物件マスタ!H1031)</f>
        <v>東京経済圏（KDX区分）</v>
      </c>
      <c r="F1031" s="1" t="n">
        <f aca="false">IF($A1031="","",物件マスタ!P1031)</f>
        <v>0</v>
      </c>
      <c r="G1031" s="1" t="str">
        <f aca="false">IF($A1031="","",物件マスタ!Q1031)</f>
        <v/>
      </c>
      <c r="H1031" s="1" t="n">
        <f aca="false">IF($A1031="","",物件マスタ!L1031)</f>
        <v>0</v>
      </c>
      <c r="I1031" s="1" t="n">
        <f aca="false">IF($A1031="","",物件マスタ!M1031)</f>
        <v>5684.13</v>
      </c>
      <c r="J1031" s="1" t="n">
        <f aca="false">IF($A1031="","",物件マスタ!S1031)</f>
        <v>1550</v>
      </c>
      <c r="K1031" s="1" t="n">
        <f aca="false">IF($A1031="","",物件マスタ!U1031)</f>
        <v>1630</v>
      </c>
      <c r="L1031" s="1" t="n">
        <f aca="false">IF($A1031="","",物件マスタ!W1031)</f>
        <v>1</v>
      </c>
      <c r="M1031" s="1" t="str">
        <f aca="false">IF($A1031="","",IFERROR(INDEX(法人マスタ!$H:$H,MATCH($B1031,法人マスタ!$A:$A,0)),""))</f>
        <v>2026年4月期（第42期）</v>
      </c>
      <c r="N1031" s="1" t="n">
        <f aca="false">IF($A1031="","",SUMIFS(物件収支!$D:$D,物件収支!$A:$A,$A1031,物件収支!$C:$C,$M1031))</f>
        <v>6</v>
      </c>
      <c r="O1031" s="1" t="n">
        <f aca="false">IF($A1031="","",SUMIFS(物件収支!$F:$F,物件収支!$A:$A,$A1031,物件収支!$C:$C,$M1031))</f>
        <v>0</v>
      </c>
      <c r="P1031" s="1" t="n">
        <f aca="false">IF($A1031="","",SUMIFS(物件収支!$I:$I,物件収支!$A:$A,$A1031,物件収支!$C:$C,$M1031))</f>
        <v>0</v>
      </c>
      <c r="Q1031" s="1" t="n">
        <f aca="false">IF($A1031="","",SUMIFS(物件収支!$O:$O,物件収支!$A:$A,$A1031,物件収支!$C:$C,$M1031))</f>
        <v>0</v>
      </c>
      <c r="R1031" s="1" t="str">
        <f aca="false">IF($A1031="","",IF(P1031=0,"",O1031-P1031))</f>
        <v/>
      </c>
      <c r="S1031" s="1" t="str">
        <f aca="false">IF($A1031="","",IF(R1031="","",R1031+Q1031))</f>
        <v/>
      </c>
      <c r="T1031" s="1" t="str">
        <f aca="false">IF($A1031="","",IF(OR(S1031="",N1031&lt;=0),"",S1031/1000*12/N1031))</f>
        <v/>
      </c>
      <c r="U1031" s="1" t="str">
        <f aca="false">IF($A1031="","",IF(OR(T1031="",J1031=0,J1031=""),"",T1031/J1031))</f>
        <v/>
      </c>
      <c r="V1031" s="1" t="str">
        <f aca="false">IF($A1031="","",IF(OR(R1031="",N1031&lt;=0,J1031=0,J1031=""),"",(R1031/1000*12/N1031)/J1031))</f>
        <v/>
      </c>
      <c r="W1031" s="1" t="str">
        <f aca="false">IF($A1031="","",IF(OR(T1031="",K1031=0,K1031=""),"",T1031/K1031))</f>
        <v/>
      </c>
      <c r="X1031" s="1" t="str">
        <f aca="false">IF($A1031="","",IF(OR(N1031&lt;=0,I1031=0,I1031="",O1031=0),"",O1031*1000/(I1031*0.3025)/N1031))</f>
        <v/>
      </c>
      <c r="Y1031" s="1" t="str">
        <f aca="false">IF($A1031="","",IF(OR(O1031=0,O1031="",P1031=0),"",P1031/O1031))</f>
        <v/>
      </c>
      <c r="Z1031" s="1" t="str">
        <f aca="false">IF($A1031="","",IFERROR(INDEX(物件収支!$E:$E,MATCH($A1031,物件収支!$A:$A,0)),""))</f>
        <v>非開示</v>
      </c>
    </row>
    <row r="1032" customFormat="false" ht="15" hidden="false" customHeight="true" outlineLevel="0" collapsed="false">
      <c r="A1032" s="1" t="str">
        <f aca="false">IF(物件マスタ!A1032="","",物件マスタ!A1032)</f>
        <v>KDX-291</v>
      </c>
      <c r="B1032" s="1" t="str">
        <f aca="false">IF($A1032="","",物件マスタ!B1032)</f>
        <v>KDX</v>
      </c>
      <c r="C1032" s="1" t="str">
        <f aca="false">IF($A1032="","",IFERROR(INDEX(法人マスタ!$C:$C,MATCH($B1032,法人マスタ!$A:$A,0)),""))</f>
        <v>ＫＤＸ不動産投資法人</v>
      </c>
      <c r="D1032" s="1" t="str">
        <f aca="false">IF($A1032="","",物件マスタ!C1032)</f>
        <v>デリア食品昭島配送センター(底地)</v>
      </c>
      <c r="E1032" s="1" t="str">
        <f aca="false">IF($A1032="","",物件マスタ!H1032)</f>
        <v>東京経済圏（KDX区分）</v>
      </c>
      <c r="F1032" s="1" t="n">
        <f aca="false">IF($A1032="","",物件マスタ!P1032)</f>
        <v>0</v>
      </c>
      <c r="G1032" s="1" t="str">
        <f aca="false">IF($A1032="","",物件マスタ!Q1032)</f>
        <v/>
      </c>
      <c r="H1032" s="1" t="n">
        <f aca="false">IF($A1032="","",物件マスタ!L1032)</f>
        <v>0</v>
      </c>
      <c r="I1032" s="1" t="n">
        <f aca="false">IF($A1032="","",物件マスタ!M1032)</f>
        <v>10803.53</v>
      </c>
      <c r="J1032" s="1" t="n">
        <f aca="false">IF($A1032="","",物件マスタ!S1032)</f>
        <v>1872</v>
      </c>
      <c r="K1032" s="1" t="n">
        <f aca="false">IF($A1032="","",物件マスタ!U1032)</f>
        <v>2320</v>
      </c>
      <c r="L1032" s="1" t="n">
        <f aca="false">IF($A1032="","",物件マスタ!W1032)</f>
        <v>1</v>
      </c>
      <c r="M1032" s="1" t="str">
        <f aca="false">IF($A1032="","",IFERROR(INDEX(法人マスタ!$H:$H,MATCH($B1032,法人マスタ!$A:$A,0)),""))</f>
        <v>2026年4月期（第42期）</v>
      </c>
      <c r="N1032" s="1" t="n">
        <f aca="false">IF($A1032="","",SUMIFS(物件収支!$D:$D,物件収支!$A:$A,$A1032,物件収支!$C:$C,$M1032))</f>
        <v>6</v>
      </c>
      <c r="O1032" s="1" t="n">
        <f aca="false">IF($A1032="","",SUMIFS(物件収支!$F:$F,物件収支!$A:$A,$A1032,物件収支!$C:$C,$M1032))</f>
        <v>0</v>
      </c>
      <c r="P1032" s="1" t="n">
        <f aca="false">IF($A1032="","",SUMIFS(物件収支!$I:$I,物件収支!$A:$A,$A1032,物件収支!$C:$C,$M1032))</f>
        <v>0</v>
      </c>
      <c r="Q1032" s="1" t="n">
        <f aca="false">IF($A1032="","",SUMIFS(物件収支!$O:$O,物件収支!$A:$A,$A1032,物件収支!$C:$C,$M1032))</f>
        <v>0</v>
      </c>
      <c r="R1032" s="1" t="str">
        <f aca="false">IF($A1032="","",IF(P1032=0,"",O1032-P1032))</f>
        <v/>
      </c>
      <c r="S1032" s="1" t="str">
        <f aca="false">IF($A1032="","",IF(R1032="","",R1032+Q1032))</f>
        <v/>
      </c>
      <c r="T1032" s="1" t="str">
        <f aca="false">IF($A1032="","",IF(OR(S1032="",N1032&lt;=0),"",S1032/1000*12/N1032))</f>
        <v/>
      </c>
      <c r="U1032" s="1" t="str">
        <f aca="false">IF($A1032="","",IF(OR(T1032="",J1032=0,J1032=""),"",T1032/J1032))</f>
        <v/>
      </c>
      <c r="V1032" s="1" t="str">
        <f aca="false">IF($A1032="","",IF(OR(R1032="",N1032&lt;=0,J1032=0,J1032=""),"",(R1032/1000*12/N1032)/J1032))</f>
        <v/>
      </c>
      <c r="W1032" s="1" t="str">
        <f aca="false">IF($A1032="","",IF(OR(T1032="",K1032=0,K1032=""),"",T1032/K1032))</f>
        <v/>
      </c>
      <c r="X1032" s="1" t="str">
        <f aca="false">IF($A1032="","",IF(OR(N1032&lt;=0,I1032=0,I1032="",O1032=0),"",O1032*1000/(I1032*0.3025)/N1032))</f>
        <v/>
      </c>
      <c r="Y1032" s="1" t="str">
        <f aca="false">IF($A1032="","",IF(OR(O1032=0,O1032="",P1032=0),"",P1032/O1032))</f>
        <v/>
      </c>
      <c r="Z1032" s="1" t="str">
        <f aca="false">IF($A1032="","",IFERROR(INDEX(物件収支!$E:$E,MATCH($A1032,物件収支!$A:$A,0)),""))</f>
        <v>非開示</v>
      </c>
    </row>
    <row r="1033" customFormat="false" ht="15" hidden="false" customHeight="true" outlineLevel="0" collapsed="false">
      <c r="A1033" s="1" t="str">
        <f aca="false">IF(物件マスタ!A1033="","",物件マスタ!A1033)</f>
        <v>KDX-292</v>
      </c>
      <c r="B1033" s="1" t="str">
        <f aca="false">IF($A1033="","",物件マスタ!B1033)</f>
        <v>KDX</v>
      </c>
      <c r="C1033" s="1" t="str">
        <f aca="false">IF($A1033="","",IFERROR(INDEX(法人マスタ!$C:$C,MATCH($B1033,法人マスタ!$A:$A,0)),""))</f>
        <v>ＫＤＸ不動産投資法人</v>
      </c>
      <c r="D1033" s="1" t="str">
        <f aca="false">IF($A1033="","",物件マスタ!C1033)</f>
        <v>KDXロジスティクス海老名中央</v>
      </c>
      <c r="E1033" s="1" t="str">
        <f aca="false">IF($A1033="","",物件マスタ!H1033)</f>
        <v>東京経済圏（KDX区分）</v>
      </c>
      <c r="F1033" s="1" t="n">
        <f aca="false">IF($A1033="","",物件マスタ!P1033)</f>
        <v>0</v>
      </c>
      <c r="G1033" s="1" t="str">
        <f aca="false">IF($A1033="","",物件マスタ!Q1033)</f>
        <v/>
      </c>
      <c r="H1033" s="1" t="n">
        <f aca="false">IF($A1033="","",物件マスタ!L1033)</f>
        <v>0</v>
      </c>
      <c r="I1033" s="1" t="n">
        <f aca="false">IF($A1033="","",物件マスタ!M1033)</f>
        <v>15121.74</v>
      </c>
      <c r="J1033" s="1" t="n">
        <f aca="false">IF($A1033="","",物件マスタ!S1033)</f>
        <v>4950</v>
      </c>
      <c r="K1033" s="1" t="n">
        <f aca="false">IF($A1033="","",物件マスタ!U1033)</f>
        <v>5070</v>
      </c>
      <c r="L1033" s="1" t="n">
        <f aca="false">IF($A1033="","",物件マスタ!W1033)</f>
        <v>1</v>
      </c>
      <c r="M1033" s="1" t="str">
        <f aca="false">IF($A1033="","",IFERROR(INDEX(法人マスタ!$H:$H,MATCH($B1033,法人マスタ!$A:$A,0)),""))</f>
        <v>2026年4月期（第42期）</v>
      </c>
      <c r="N1033" s="1" t="n">
        <f aca="false">IF($A1033="","",SUMIFS(物件収支!$D:$D,物件収支!$A:$A,$A1033,物件収支!$C:$C,$M1033))</f>
        <v>6</v>
      </c>
      <c r="O1033" s="1" t="n">
        <f aca="false">IF($A1033="","",SUMIFS(物件収支!$F:$F,物件収支!$A:$A,$A1033,物件収支!$C:$C,$M1033))</f>
        <v>0</v>
      </c>
      <c r="P1033" s="1" t="n">
        <f aca="false">IF($A1033="","",SUMIFS(物件収支!$I:$I,物件収支!$A:$A,$A1033,物件収支!$C:$C,$M1033))</f>
        <v>0</v>
      </c>
      <c r="Q1033" s="1" t="n">
        <f aca="false">IF($A1033="","",SUMIFS(物件収支!$O:$O,物件収支!$A:$A,$A1033,物件収支!$C:$C,$M1033))</f>
        <v>0</v>
      </c>
      <c r="R1033" s="1" t="str">
        <f aca="false">IF($A1033="","",IF(P1033=0,"",O1033-P1033))</f>
        <v/>
      </c>
      <c r="S1033" s="1" t="str">
        <f aca="false">IF($A1033="","",IF(R1033="","",R1033+Q1033))</f>
        <v/>
      </c>
      <c r="T1033" s="1" t="str">
        <f aca="false">IF($A1033="","",IF(OR(S1033="",N1033&lt;=0),"",S1033/1000*12/N1033))</f>
        <v/>
      </c>
      <c r="U1033" s="1" t="str">
        <f aca="false">IF($A1033="","",IF(OR(T1033="",J1033=0,J1033=""),"",T1033/J1033))</f>
        <v/>
      </c>
      <c r="V1033" s="1" t="str">
        <f aca="false">IF($A1033="","",IF(OR(R1033="",N1033&lt;=0,J1033=0,J1033=""),"",(R1033/1000*12/N1033)/J1033))</f>
        <v/>
      </c>
      <c r="W1033" s="1" t="str">
        <f aca="false">IF($A1033="","",IF(OR(T1033="",K1033=0,K1033=""),"",T1033/K1033))</f>
        <v/>
      </c>
      <c r="X1033" s="1" t="str">
        <f aca="false">IF($A1033="","",IF(OR(N1033&lt;=0,I1033=0,I1033="",O1033=0),"",O1033*1000/(I1033*0.3025)/N1033))</f>
        <v/>
      </c>
      <c r="Y1033" s="1" t="str">
        <f aca="false">IF($A1033="","",IF(OR(O1033=0,O1033="",P1033=0),"",P1033/O1033))</f>
        <v/>
      </c>
      <c r="Z1033" s="1" t="str">
        <f aca="false">IF($A1033="","",IFERROR(INDEX(物件収支!$E:$E,MATCH($A1033,物件収支!$A:$A,0)),""))</f>
        <v>非開示</v>
      </c>
    </row>
    <row r="1034" customFormat="false" ht="15" hidden="false" customHeight="true" outlineLevel="0" collapsed="false">
      <c r="A1034" s="1" t="str">
        <f aca="false">IF(物件マスタ!A1034="","",物件マスタ!A1034)</f>
        <v>KDX-293</v>
      </c>
      <c r="B1034" s="1" t="str">
        <f aca="false">IF($A1034="","",物件マスタ!B1034)</f>
        <v>KDX</v>
      </c>
      <c r="C1034" s="1" t="str">
        <f aca="false">IF($A1034="","",IFERROR(INDEX(法人マスタ!$C:$C,MATCH($B1034,法人マスタ!$A:$A,0)),""))</f>
        <v>ＫＤＸ不動産投資法人</v>
      </c>
      <c r="D1034" s="1" t="str">
        <f aca="false">IF($A1034="","",物件マスタ!C1034)</f>
        <v>KDXロジスティクス昭島Ⅰ</v>
      </c>
      <c r="E1034" s="1" t="str">
        <f aca="false">IF($A1034="","",物件マスタ!H1034)</f>
        <v>東京経済圏（KDX区分）</v>
      </c>
      <c r="F1034" s="1" t="n">
        <f aca="false">IF($A1034="","",物件マスタ!P1034)</f>
        <v>0</v>
      </c>
      <c r="G1034" s="1" t="str">
        <f aca="false">IF($A1034="","",物件マスタ!Q1034)</f>
        <v/>
      </c>
      <c r="H1034" s="1" t="n">
        <f aca="false">IF($A1034="","",物件マスタ!L1034)</f>
        <v>0</v>
      </c>
      <c r="I1034" s="1" t="n">
        <f aca="false">IF($A1034="","",物件マスタ!M1034)</f>
        <v>26781.82</v>
      </c>
      <c r="J1034" s="1" t="n">
        <f aca="false">IF($A1034="","",物件マスタ!S1034)</f>
        <v>6137</v>
      </c>
      <c r="K1034" s="1" t="n">
        <f aca="false">IF($A1034="","",物件マスタ!U1034)</f>
        <v>6740</v>
      </c>
      <c r="L1034" s="1" t="n">
        <f aca="false">IF($A1034="","",物件マスタ!W1034)</f>
        <v>1</v>
      </c>
      <c r="M1034" s="1" t="str">
        <f aca="false">IF($A1034="","",IFERROR(INDEX(法人マスタ!$H:$H,MATCH($B1034,法人マスタ!$A:$A,0)),""))</f>
        <v>2026年4月期（第42期）</v>
      </c>
      <c r="N1034" s="1" t="n">
        <f aca="false">IF($A1034="","",SUMIFS(物件収支!$D:$D,物件収支!$A:$A,$A1034,物件収支!$C:$C,$M1034))</f>
        <v>6</v>
      </c>
      <c r="O1034" s="1" t="n">
        <f aca="false">IF($A1034="","",SUMIFS(物件収支!$F:$F,物件収支!$A:$A,$A1034,物件収支!$C:$C,$M1034))</f>
        <v>0</v>
      </c>
      <c r="P1034" s="1" t="n">
        <f aca="false">IF($A1034="","",SUMIFS(物件収支!$I:$I,物件収支!$A:$A,$A1034,物件収支!$C:$C,$M1034))</f>
        <v>0</v>
      </c>
      <c r="Q1034" s="1" t="n">
        <f aca="false">IF($A1034="","",SUMIFS(物件収支!$O:$O,物件収支!$A:$A,$A1034,物件収支!$C:$C,$M1034))</f>
        <v>0</v>
      </c>
      <c r="R1034" s="1" t="str">
        <f aca="false">IF($A1034="","",IF(P1034=0,"",O1034-P1034))</f>
        <v/>
      </c>
      <c r="S1034" s="1" t="str">
        <f aca="false">IF($A1034="","",IF(R1034="","",R1034+Q1034))</f>
        <v/>
      </c>
      <c r="T1034" s="1" t="str">
        <f aca="false">IF($A1034="","",IF(OR(S1034="",N1034&lt;=0),"",S1034/1000*12/N1034))</f>
        <v/>
      </c>
      <c r="U1034" s="1" t="str">
        <f aca="false">IF($A1034="","",IF(OR(T1034="",J1034=0,J1034=""),"",T1034/J1034))</f>
        <v/>
      </c>
      <c r="V1034" s="1" t="str">
        <f aca="false">IF($A1034="","",IF(OR(R1034="",N1034&lt;=0,J1034=0,J1034=""),"",(R1034/1000*12/N1034)/J1034))</f>
        <v/>
      </c>
      <c r="W1034" s="1" t="str">
        <f aca="false">IF($A1034="","",IF(OR(T1034="",K1034=0,K1034=""),"",T1034/K1034))</f>
        <v/>
      </c>
      <c r="X1034" s="1" t="str">
        <f aca="false">IF($A1034="","",IF(OR(N1034&lt;=0,I1034=0,I1034="",O1034=0),"",O1034*1000/(I1034*0.3025)/N1034))</f>
        <v/>
      </c>
      <c r="Y1034" s="1" t="str">
        <f aca="false">IF($A1034="","",IF(OR(O1034=0,O1034="",P1034=0),"",P1034/O1034))</f>
        <v/>
      </c>
      <c r="Z1034" s="1" t="str">
        <f aca="false">IF($A1034="","",IFERROR(INDEX(物件収支!$E:$E,MATCH($A1034,物件収支!$A:$A,0)),""))</f>
        <v>非開示</v>
      </c>
    </row>
    <row r="1035" customFormat="false" ht="15" hidden="false" customHeight="true" outlineLevel="0" collapsed="false">
      <c r="A1035" s="1" t="str">
        <f aca="false">IF(物件マスタ!A1035="","",物件マスタ!A1035)</f>
        <v>KDX-294</v>
      </c>
      <c r="B1035" s="1" t="str">
        <f aca="false">IF($A1035="","",物件マスタ!B1035)</f>
        <v>KDX</v>
      </c>
      <c r="C1035" s="1" t="str">
        <f aca="false">IF($A1035="","",IFERROR(INDEX(法人マスタ!$C:$C,MATCH($B1035,法人マスタ!$A:$A,0)),""))</f>
        <v>ＫＤＸ不動産投資法人</v>
      </c>
      <c r="D1035" s="1" t="str">
        <f aca="false">IF($A1035="","",物件マスタ!C1035)</f>
        <v>天理配送センター</v>
      </c>
      <c r="E1035" s="1" t="str">
        <f aca="false">IF($A1035="","",物件マスタ!H1035)</f>
        <v>地方経済圏（KDX区分）</v>
      </c>
      <c r="F1035" s="1" t="n">
        <f aca="false">IF($A1035="","",物件マスタ!P1035)</f>
        <v>0</v>
      </c>
      <c r="G1035" s="1" t="str">
        <f aca="false">IF($A1035="","",物件マスタ!Q1035)</f>
        <v/>
      </c>
      <c r="H1035" s="1" t="n">
        <f aca="false">IF($A1035="","",物件マスタ!L1035)</f>
        <v>0</v>
      </c>
      <c r="I1035" s="1" t="n">
        <f aca="false">IF($A1035="","",物件マスタ!M1035)</f>
        <v>7393.08</v>
      </c>
      <c r="J1035" s="1" t="n">
        <f aca="false">IF($A1035="","",物件マスタ!S1035)</f>
        <v>1110</v>
      </c>
      <c r="K1035" s="1" t="n">
        <f aca="false">IF($A1035="","",物件マスタ!U1035)</f>
        <v>1140</v>
      </c>
      <c r="L1035" s="1" t="n">
        <f aca="false">IF($A1035="","",物件マスタ!W1035)</f>
        <v>1</v>
      </c>
      <c r="M1035" s="1" t="str">
        <f aca="false">IF($A1035="","",IFERROR(INDEX(法人マスタ!$H:$H,MATCH($B1035,法人マスタ!$A:$A,0)),""))</f>
        <v>2026年4月期（第42期）</v>
      </c>
      <c r="N1035" s="1" t="n">
        <f aca="false">IF($A1035="","",SUMIFS(物件収支!$D:$D,物件収支!$A:$A,$A1035,物件収支!$C:$C,$M1035))</f>
        <v>6</v>
      </c>
      <c r="O1035" s="1" t="n">
        <f aca="false">IF($A1035="","",SUMIFS(物件収支!$F:$F,物件収支!$A:$A,$A1035,物件収支!$C:$C,$M1035))</f>
        <v>0</v>
      </c>
      <c r="P1035" s="1" t="n">
        <f aca="false">IF($A1035="","",SUMIFS(物件収支!$I:$I,物件収支!$A:$A,$A1035,物件収支!$C:$C,$M1035))</f>
        <v>0</v>
      </c>
      <c r="Q1035" s="1" t="n">
        <f aca="false">IF($A1035="","",SUMIFS(物件収支!$O:$O,物件収支!$A:$A,$A1035,物件収支!$C:$C,$M1035))</f>
        <v>0</v>
      </c>
      <c r="R1035" s="1" t="str">
        <f aca="false">IF($A1035="","",IF(P1035=0,"",O1035-P1035))</f>
        <v/>
      </c>
      <c r="S1035" s="1" t="str">
        <f aca="false">IF($A1035="","",IF(R1035="","",R1035+Q1035))</f>
        <v/>
      </c>
      <c r="T1035" s="1" t="str">
        <f aca="false">IF($A1035="","",IF(OR(S1035="",N1035&lt;=0),"",S1035/1000*12/N1035))</f>
        <v/>
      </c>
      <c r="U1035" s="1" t="str">
        <f aca="false">IF($A1035="","",IF(OR(T1035="",J1035=0,J1035=""),"",T1035/J1035))</f>
        <v/>
      </c>
      <c r="V1035" s="1" t="str">
        <f aca="false">IF($A1035="","",IF(OR(R1035="",N1035&lt;=0,J1035=0,J1035=""),"",(R1035/1000*12/N1035)/J1035))</f>
        <v/>
      </c>
      <c r="W1035" s="1" t="str">
        <f aca="false">IF($A1035="","",IF(OR(T1035="",K1035=0,K1035=""),"",T1035/K1035))</f>
        <v/>
      </c>
      <c r="X1035" s="1" t="str">
        <f aca="false">IF($A1035="","",IF(OR(N1035&lt;=0,I1035=0,I1035="",O1035=0),"",O1035*1000/(I1035*0.3025)/N1035))</f>
        <v/>
      </c>
      <c r="Y1035" s="1" t="str">
        <f aca="false">IF($A1035="","",IF(OR(O1035=0,O1035="",P1035=0),"",P1035/O1035))</f>
        <v/>
      </c>
      <c r="Z1035" s="1" t="str">
        <f aca="false">IF($A1035="","",IFERROR(INDEX(物件収支!$E:$E,MATCH($A1035,物件収支!$A:$A,0)),""))</f>
        <v>非開示</v>
      </c>
    </row>
    <row r="1036" customFormat="false" ht="15" hidden="false" customHeight="true" outlineLevel="0" collapsed="false">
      <c r="A1036" s="1" t="str">
        <f aca="false">IF(物件マスタ!A1036="","",物件マスタ!A1036)</f>
        <v>KDX-295</v>
      </c>
      <c r="B1036" s="1" t="str">
        <f aca="false">IF($A1036="","",物件マスタ!B1036)</f>
        <v>KDX</v>
      </c>
      <c r="C1036" s="1" t="str">
        <f aca="false">IF($A1036="","",IFERROR(INDEX(法人マスタ!$C:$C,MATCH($B1036,法人マスタ!$A:$A,0)),""))</f>
        <v>ＫＤＸ不動産投資法人</v>
      </c>
      <c r="D1036" s="1" t="str">
        <f aca="false">IF($A1036="","",物件マスタ!C1036)</f>
        <v>プリマハム近畿センター</v>
      </c>
      <c r="E1036" s="1" t="str">
        <f aca="false">IF($A1036="","",物件マスタ!H1036)</f>
        <v>地方経済圏（KDX区分）</v>
      </c>
      <c r="F1036" s="1" t="n">
        <f aca="false">IF($A1036="","",物件マスタ!P1036)</f>
        <v>0</v>
      </c>
      <c r="G1036" s="1" t="str">
        <f aca="false">IF($A1036="","",物件マスタ!Q1036)</f>
        <v/>
      </c>
      <c r="H1036" s="1" t="n">
        <f aca="false">IF($A1036="","",物件マスタ!L1036)</f>
        <v>0</v>
      </c>
      <c r="I1036" s="1" t="n">
        <f aca="false">IF($A1036="","",物件マスタ!M1036)</f>
        <v>6274.32</v>
      </c>
      <c r="J1036" s="1" t="n">
        <f aca="false">IF($A1036="","",物件マスタ!S1036)</f>
        <v>1107</v>
      </c>
      <c r="K1036" s="1" t="n">
        <f aca="false">IF($A1036="","",物件マスタ!U1036)</f>
        <v>1107</v>
      </c>
      <c r="L1036" s="1" t="n">
        <f aca="false">IF($A1036="","",物件マスタ!W1036)</f>
        <v>1</v>
      </c>
      <c r="M1036" s="1" t="str">
        <f aca="false">IF($A1036="","",IFERROR(INDEX(法人マスタ!$H:$H,MATCH($B1036,法人マスタ!$A:$A,0)),""))</f>
        <v>2026年4月期（第42期）</v>
      </c>
      <c r="N1036" s="1" t="n">
        <f aca="false">IF($A1036="","",SUMIFS(物件収支!$D:$D,物件収支!$A:$A,$A1036,物件収支!$C:$C,$M1036))</f>
        <v>6</v>
      </c>
      <c r="O1036" s="1" t="n">
        <f aca="false">IF($A1036="","",SUMIFS(物件収支!$F:$F,物件収支!$A:$A,$A1036,物件収支!$C:$C,$M1036))</f>
        <v>0</v>
      </c>
      <c r="P1036" s="1" t="n">
        <f aca="false">IF($A1036="","",SUMIFS(物件収支!$I:$I,物件収支!$A:$A,$A1036,物件収支!$C:$C,$M1036))</f>
        <v>0</v>
      </c>
      <c r="Q1036" s="1" t="n">
        <f aca="false">IF($A1036="","",SUMIFS(物件収支!$O:$O,物件収支!$A:$A,$A1036,物件収支!$C:$C,$M1036))</f>
        <v>0</v>
      </c>
      <c r="R1036" s="1" t="str">
        <f aca="false">IF($A1036="","",IF(P1036=0,"",O1036-P1036))</f>
        <v/>
      </c>
      <c r="S1036" s="1" t="str">
        <f aca="false">IF($A1036="","",IF(R1036="","",R1036+Q1036))</f>
        <v/>
      </c>
      <c r="T1036" s="1" t="str">
        <f aca="false">IF($A1036="","",IF(OR(S1036="",N1036&lt;=0),"",S1036/1000*12/N1036))</f>
        <v/>
      </c>
      <c r="U1036" s="1" t="str">
        <f aca="false">IF($A1036="","",IF(OR(T1036="",J1036=0,J1036=""),"",T1036/J1036))</f>
        <v/>
      </c>
      <c r="V1036" s="1" t="str">
        <f aca="false">IF($A1036="","",IF(OR(R1036="",N1036&lt;=0,J1036=0,J1036=""),"",(R1036/1000*12/N1036)/J1036))</f>
        <v/>
      </c>
      <c r="W1036" s="1" t="str">
        <f aca="false">IF($A1036="","",IF(OR(T1036="",K1036=0,K1036=""),"",T1036/K1036))</f>
        <v/>
      </c>
      <c r="X1036" s="1" t="str">
        <f aca="false">IF($A1036="","",IF(OR(N1036&lt;=0,I1036=0,I1036="",O1036=0),"",O1036*1000/(I1036*0.3025)/N1036))</f>
        <v/>
      </c>
      <c r="Y1036" s="1" t="str">
        <f aca="false">IF($A1036="","",IF(OR(O1036=0,O1036="",P1036=0),"",P1036/O1036))</f>
        <v/>
      </c>
      <c r="Z1036" s="1" t="str">
        <f aca="false">IF($A1036="","",IFERROR(INDEX(物件収支!$E:$E,MATCH($A1036,物件収支!$A:$A,0)),""))</f>
        <v>非開示</v>
      </c>
    </row>
    <row r="1037" customFormat="false" ht="15" hidden="false" customHeight="true" outlineLevel="0" collapsed="false">
      <c r="A1037" s="1" t="str">
        <f aca="false">IF(物件マスタ!A1037="","",物件マスタ!A1037)</f>
        <v>KDX-296</v>
      </c>
      <c r="B1037" s="1" t="str">
        <f aca="false">IF($A1037="","",物件マスタ!B1037)</f>
        <v>KDX</v>
      </c>
      <c r="C1037" s="1" t="str">
        <f aca="false">IF($A1037="","",IFERROR(INDEX(法人マスタ!$C:$C,MATCH($B1037,法人マスタ!$A:$A,0)),""))</f>
        <v>ＫＤＸ不動産投資法人</v>
      </c>
      <c r="D1037" s="1" t="str">
        <f aca="false">IF($A1037="","",物件マスタ!C1037)</f>
        <v>KDX広島呉配送センター</v>
      </c>
      <c r="E1037" s="1" t="str">
        <f aca="false">IF($A1037="","",物件マスタ!H1037)</f>
        <v>地方経済圏（KDX区分）</v>
      </c>
      <c r="F1037" s="1" t="n">
        <f aca="false">IF($A1037="","",物件マスタ!P1037)</f>
        <v>0</v>
      </c>
      <c r="G1037" s="1" t="str">
        <f aca="false">IF($A1037="","",物件マスタ!Q1037)</f>
        <v/>
      </c>
      <c r="H1037" s="1" t="n">
        <f aca="false">IF($A1037="","",物件マスタ!L1037)</f>
        <v>0</v>
      </c>
      <c r="I1037" s="1" t="n">
        <f aca="false">IF($A1037="","",物件マスタ!M1037)</f>
        <v>852.8</v>
      </c>
      <c r="J1037" s="1" t="n">
        <f aca="false">IF($A1037="","",物件マスタ!S1037)</f>
        <v>616</v>
      </c>
      <c r="K1037" s="1" t="n">
        <f aca="false">IF($A1037="","",物件マスタ!U1037)</f>
        <v>619</v>
      </c>
      <c r="L1037" s="1" t="n">
        <f aca="false">IF($A1037="","",物件マスタ!W1037)</f>
        <v>1</v>
      </c>
      <c r="M1037" s="1" t="str">
        <f aca="false">IF($A1037="","",IFERROR(INDEX(法人マスタ!$H:$H,MATCH($B1037,法人マスタ!$A:$A,0)),""))</f>
        <v>2026年4月期（第42期）</v>
      </c>
      <c r="N1037" s="1" t="n">
        <f aca="false">IF($A1037="","",SUMIFS(物件収支!$D:$D,物件収支!$A:$A,$A1037,物件収支!$C:$C,$M1037))</f>
        <v>6</v>
      </c>
      <c r="O1037" s="1" t="n">
        <f aca="false">IF($A1037="","",SUMIFS(物件収支!$F:$F,物件収支!$A:$A,$A1037,物件収支!$C:$C,$M1037))</f>
        <v>0</v>
      </c>
      <c r="P1037" s="1" t="n">
        <f aca="false">IF($A1037="","",SUMIFS(物件収支!$I:$I,物件収支!$A:$A,$A1037,物件収支!$C:$C,$M1037))</f>
        <v>0</v>
      </c>
      <c r="Q1037" s="1" t="n">
        <f aca="false">IF($A1037="","",SUMIFS(物件収支!$O:$O,物件収支!$A:$A,$A1037,物件収支!$C:$C,$M1037))</f>
        <v>0</v>
      </c>
      <c r="R1037" s="1" t="str">
        <f aca="false">IF($A1037="","",IF(P1037=0,"",O1037-P1037))</f>
        <v/>
      </c>
      <c r="S1037" s="1" t="str">
        <f aca="false">IF($A1037="","",IF(R1037="","",R1037+Q1037))</f>
        <v/>
      </c>
      <c r="T1037" s="1" t="str">
        <f aca="false">IF($A1037="","",IF(OR(S1037="",N1037&lt;=0),"",S1037/1000*12/N1037))</f>
        <v/>
      </c>
      <c r="U1037" s="1" t="str">
        <f aca="false">IF($A1037="","",IF(OR(T1037="",J1037=0,J1037=""),"",T1037/J1037))</f>
        <v/>
      </c>
      <c r="V1037" s="1" t="str">
        <f aca="false">IF($A1037="","",IF(OR(R1037="",N1037&lt;=0,J1037=0,J1037=""),"",(R1037/1000*12/N1037)/J1037))</f>
        <v/>
      </c>
      <c r="W1037" s="1" t="str">
        <f aca="false">IF($A1037="","",IF(OR(T1037="",K1037=0,K1037=""),"",T1037/K1037))</f>
        <v/>
      </c>
      <c r="X1037" s="1" t="str">
        <f aca="false">IF($A1037="","",IF(OR(N1037&lt;=0,I1037=0,I1037="",O1037=0),"",O1037*1000/(I1037*0.3025)/N1037))</f>
        <v/>
      </c>
      <c r="Y1037" s="1" t="str">
        <f aca="false">IF($A1037="","",IF(OR(O1037=0,O1037="",P1037=0),"",P1037/O1037))</f>
        <v/>
      </c>
      <c r="Z1037" s="1" t="str">
        <f aca="false">IF($A1037="","",IFERROR(INDEX(物件収支!$E:$E,MATCH($A1037,物件収支!$A:$A,0)),""))</f>
        <v>非開示</v>
      </c>
    </row>
    <row r="1038" customFormat="false" ht="15" hidden="false" customHeight="true" outlineLevel="0" collapsed="false">
      <c r="A1038" s="1" t="str">
        <f aca="false">IF(物件マスタ!A1038="","",物件マスタ!A1038)</f>
        <v>KDX-297</v>
      </c>
      <c r="B1038" s="1" t="str">
        <f aca="false">IF($A1038="","",物件マスタ!B1038)</f>
        <v>KDX</v>
      </c>
      <c r="C1038" s="1" t="str">
        <f aca="false">IF($A1038="","",IFERROR(INDEX(法人マスタ!$C:$C,MATCH($B1038,法人マスタ!$A:$A,0)),""))</f>
        <v>ＫＤＸ不動産投資法人</v>
      </c>
      <c r="D1038" s="1" t="str">
        <f aca="false">IF($A1038="","",物件マスタ!C1038)</f>
        <v>KDXロジスティクス恩田原</v>
      </c>
      <c r="E1038" s="1" t="str">
        <f aca="false">IF($A1038="","",物件マスタ!H1038)</f>
        <v>地方経済圏（KDX区分）</v>
      </c>
      <c r="F1038" s="1" t="n">
        <f aca="false">IF($A1038="","",物件マスタ!P1038)</f>
        <v>0</v>
      </c>
      <c r="G1038" s="1" t="str">
        <f aca="false">IF($A1038="","",物件マスタ!Q1038)</f>
        <v/>
      </c>
      <c r="H1038" s="1" t="n">
        <f aca="false">IF($A1038="","",物件マスタ!L1038)</f>
        <v>0</v>
      </c>
      <c r="I1038" s="1" t="n">
        <f aca="false">IF($A1038="","",物件マスタ!M1038)</f>
        <v>45622.8</v>
      </c>
      <c r="J1038" s="1" t="n">
        <f aca="false">IF($A1038="","",物件マスタ!S1038)</f>
        <v>12400</v>
      </c>
      <c r="K1038" s="1" t="n">
        <f aca="false">IF($A1038="","",物件マスタ!U1038)</f>
        <v>12600</v>
      </c>
      <c r="L1038" s="1" t="n">
        <f aca="false">IF($A1038="","",物件マスタ!W1038)</f>
        <v>1</v>
      </c>
      <c r="M1038" s="1" t="str">
        <f aca="false">IF($A1038="","",IFERROR(INDEX(法人マスタ!$H:$H,MATCH($B1038,法人マスタ!$A:$A,0)),""))</f>
        <v>2026年4月期（第42期）</v>
      </c>
      <c r="N1038" s="1" t="n">
        <f aca="false">IF($A1038="","",SUMIFS(物件収支!$D:$D,物件収支!$A:$A,$A1038,物件収支!$C:$C,$M1038))</f>
        <v>6</v>
      </c>
      <c r="O1038" s="1" t="n">
        <f aca="false">IF($A1038="","",SUMIFS(物件収支!$F:$F,物件収支!$A:$A,$A1038,物件収支!$C:$C,$M1038))</f>
        <v>0</v>
      </c>
      <c r="P1038" s="1" t="n">
        <f aca="false">IF($A1038="","",SUMIFS(物件収支!$I:$I,物件収支!$A:$A,$A1038,物件収支!$C:$C,$M1038))</f>
        <v>0</v>
      </c>
      <c r="Q1038" s="1" t="n">
        <f aca="false">IF($A1038="","",SUMIFS(物件収支!$O:$O,物件収支!$A:$A,$A1038,物件収支!$C:$C,$M1038))</f>
        <v>0</v>
      </c>
      <c r="R1038" s="1" t="str">
        <f aca="false">IF($A1038="","",IF(P1038=0,"",O1038-P1038))</f>
        <v/>
      </c>
      <c r="S1038" s="1" t="str">
        <f aca="false">IF($A1038="","",IF(R1038="","",R1038+Q1038))</f>
        <v/>
      </c>
      <c r="T1038" s="1" t="str">
        <f aca="false">IF($A1038="","",IF(OR(S1038="",N1038&lt;=0),"",S1038/1000*12/N1038))</f>
        <v/>
      </c>
      <c r="U1038" s="1" t="str">
        <f aca="false">IF($A1038="","",IF(OR(T1038="",J1038=0,J1038=""),"",T1038/J1038))</f>
        <v/>
      </c>
      <c r="V1038" s="1" t="str">
        <f aca="false">IF($A1038="","",IF(OR(R1038="",N1038&lt;=0,J1038=0,J1038=""),"",(R1038/1000*12/N1038)/J1038))</f>
        <v/>
      </c>
      <c r="W1038" s="1" t="str">
        <f aca="false">IF($A1038="","",IF(OR(T1038="",K1038=0,K1038=""),"",T1038/K1038))</f>
        <v/>
      </c>
      <c r="X1038" s="1" t="str">
        <f aca="false">IF($A1038="","",IF(OR(N1038&lt;=0,I1038=0,I1038="",O1038=0),"",O1038*1000/(I1038*0.3025)/N1038))</f>
        <v/>
      </c>
      <c r="Y1038" s="1" t="str">
        <f aca="false">IF($A1038="","",IF(OR(O1038=0,O1038="",P1038=0),"",P1038/O1038))</f>
        <v/>
      </c>
      <c r="Z1038" s="1" t="str">
        <f aca="false">IF($A1038="","",IFERROR(INDEX(物件収支!$E:$E,MATCH($A1038,物件収支!$A:$A,0)),""))</f>
        <v>非開示</v>
      </c>
    </row>
    <row r="1039" customFormat="false" ht="15" hidden="false" customHeight="true" outlineLevel="0" collapsed="false">
      <c r="A1039" s="1" t="str">
        <f aca="false">IF(物件マスタ!A1039="","",物件マスタ!A1039)</f>
        <v>KDX-298</v>
      </c>
      <c r="B1039" s="1" t="str">
        <f aca="false">IF($A1039="","",物件マスタ!B1039)</f>
        <v>KDX</v>
      </c>
      <c r="C1039" s="1" t="str">
        <f aca="false">IF($A1039="","",IFERROR(INDEX(法人マスタ!$C:$C,MATCH($B1039,法人マスタ!$A:$A,0)),""))</f>
        <v>ＫＤＸ不動産投資法人</v>
      </c>
      <c r="D1039" s="1" t="str">
        <f aca="false">IF($A1039="","",物件マスタ!C1039)</f>
        <v>ホテルリブマックス横浜駅西口</v>
      </c>
      <c r="E1039" s="1" t="str">
        <f aca="false">IF($A1039="","",物件マスタ!H1039)</f>
        <v>東京経済圏（KDX区分）</v>
      </c>
      <c r="F1039" s="1" t="n">
        <f aca="false">IF($A1039="","",物件マスタ!P1039)</f>
        <v>0</v>
      </c>
      <c r="G1039" s="1" t="str">
        <f aca="false">IF($A1039="","",物件マスタ!Q1039)</f>
        <v/>
      </c>
      <c r="H1039" s="1" t="n">
        <f aca="false">IF($A1039="","",物件マスタ!L1039)</f>
        <v>0</v>
      </c>
      <c r="I1039" s="1" t="n">
        <f aca="false">IF($A1039="","",物件マスタ!M1039)</f>
        <v>1997.18</v>
      </c>
      <c r="J1039" s="1" t="n">
        <f aca="false">IF($A1039="","",物件マスタ!S1039)</f>
        <v>2600</v>
      </c>
      <c r="K1039" s="1" t="n">
        <f aca="false">IF($A1039="","",物件マスタ!U1039)</f>
        <v>2540</v>
      </c>
      <c r="L1039" s="1" t="n">
        <f aca="false">IF($A1039="","",物件マスタ!W1039)</f>
        <v>1</v>
      </c>
      <c r="M1039" s="1" t="str">
        <f aca="false">IF($A1039="","",IFERROR(INDEX(法人マスタ!$H:$H,MATCH($B1039,法人マスタ!$A:$A,0)),""))</f>
        <v>2026年4月期（第42期）</v>
      </c>
      <c r="N1039" s="1" t="n">
        <f aca="false">IF($A1039="","",SUMIFS(物件収支!$D:$D,物件収支!$A:$A,$A1039,物件収支!$C:$C,$M1039))</f>
        <v>6</v>
      </c>
      <c r="O1039" s="1" t="n">
        <f aca="false">IF($A1039="","",SUMIFS(物件収支!$F:$F,物件収支!$A:$A,$A1039,物件収支!$C:$C,$M1039))</f>
        <v>0</v>
      </c>
      <c r="P1039" s="1" t="n">
        <f aca="false">IF($A1039="","",SUMIFS(物件収支!$I:$I,物件収支!$A:$A,$A1039,物件収支!$C:$C,$M1039))</f>
        <v>0</v>
      </c>
      <c r="Q1039" s="1" t="n">
        <f aca="false">IF($A1039="","",SUMIFS(物件収支!$O:$O,物件収支!$A:$A,$A1039,物件収支!$C:$C,$M1039))</f>
        <v>0</v>
      </c>
      <c r="R1039" s="1" t="str">
        <f aca="false">IF($A1039="","",IF(P1039=0,"",O1039-P1039))</f>
        <v/>
      </c>
      <c r="S1039" s="1" t="str">
        <f aca="false">IF($A1039="","",IF(R1039="","",R1039+Q1039))</f>
        <v/>
      </c>
      <c r="T1039" s="1" t="str">
        <f aca="false">IF($A1039="","",IF(OR(S1039="",N1039&lt;=0),"",S1039/1000*12/N1039))</f>
        <v/>
      </c>
      <c r="U1039" s="1" t="str">
        <f aca="false">IF($A1039="","",IF(OR(T1039="",J1039=0,J1039=""),"",T1039/J1039))</f>
        <v/>
      </c>
      <c r="V1039" s="1" t="str">
        <f aca="false">IF($A1039="","",IF(OR(R1039="",N1039&lt;=0,J1039=0,J1039=""),"",(R1039/1000*12/N1039)/J1039))</f>
        <v/>
      </c>
      <c r="W1039" s="1" t="str">
        <f aca="false">IF($A1039="","",IF(OR(T1039="",K1039=0,K1039=""),"",T1039/K1039))</f>
        <v/>
      </c>
      <c r="X1039" s="1" t="str">
        <f aca="false">IF($A1039="","",IF(OR(N1039&lt;=0,I1039=0,I1039="",O1039=0),"",O1039*1000/(I1039*0.3025)/N1039))</f>
        <v/>
      </c>
      <c r="Y1039" s="1" t="str">
        <f aca="false">IF($A1039="","",IF(OR(O1039=0,O1039="",P1039=0),"",P1039/O1039))</f>
        <v/>
      </c>
      <c r="Z1039" s="1" t="str">
        <f aca="false">IF($A1039="","",IFERROR(INDEX(物件収支!$E:$E,MATCH($A1039,物件収支!$A:$A,0)),""))</f>
        <v>非開示</v>
      </c>
    </row>
    <row r="1040" customFormat="false" ht="15" hidden="false" customHeight="true" outlineLevel="0" collapsed="false">
      <c r="A1040" s="1" t="str">
        <f aca="false">IF(物件マスタ!A1040="","",物件マスタ!A1040)</f>
        <v>KDX-299</v>
      </c>
      <c r="B1040" s="1" t="str">
        <f aca="false">IF($A1040="","",物件マスタ!B1040)</f>
        <v>KDX</v>
      </c>
      <c r="C1040" s="1" t="str">
        <f aca="false">IF($A1040="","",IFERROR(INDEX(法人マスタ!$C:$C,MATCH($B1040,法人マスタ!$A:$A,0)),""))</f>
        <v>ＫＤＸ不動産投資法人</v>
      </c>
      <c r="D1040" s="1" t="str">
        <f aca="false">IF($A1040="","",物件マスタ!C1040)</f>
        <v>ホテルリブマックス東京大塚駅前</v>
      </c>
      <c r="E1040" s="1" t="str">
        <f aca="false">IF($A1040="","",物件マスタ!H1040)</f>
        <v>東京経済圏（KDX区分）</v>
      </c>
      <c r="F1040" s="1" t="n">
        <f aca="false">IF($A1040="","",物件マスタ!P1040)</f>
        <v>0</v>
      </c>
      <c r="G1040" s="1" t="str">
        <f aca="false">IF($A1040="","",物件マスタ!Q1040)</f>
        <v/>
      </c>
      <c r="H1040" s="1" t="n">
        <f aca="false">IF($A1040="","",物件マスタ!L1040)</f>
        <v>0</v>
      </c>
      <c r="I1040" s="1" t="n">
        <f aca="false">IF($A1040="","",物件マスタ!M1040)</f>
        <v>1660.21</v>
      </c>
      <c r="J1040" s="1" t="n">
        <f aca="false">IF($A1040="","",物件マスタ!S1040)</f>
        <v>2370</v>
      </c>
      <c r="K1040" s="1" t="n">
        <f aca="false">IF($A1040="","",物件マスタ!U1040)</f>
        <v>2330</v>
      </c>
      <c r="L1040" s="1" t="n">
        <f aca="false">IF($A1040="","",物件マスタ!W1040)</f>
        <v>1</v>
      </c>
      <c r="M1040" s="1" t="str">
        <f aca="false">IF($A1040="","",IFERROR(INDEX(法人マスタ!$H:$H,MATCH($B1040,法人マスタ!$A:$A,0)),""))</f>
        <v>2026年4月期（第42期）</v>
      </c>
      <c r="N1040" s="1" t="n">
        <f aca="false">IF($A1040="","",SUMIFS(物件収支!$D:$D,物件収支!$A:$A,$A1040,物件収支!$C:$C,$M1040))</f>
        <v>6</v>
      </c>
      <c r="O1040" s="1" t="n">
        <f aca="false">IF($A1040="","",SUMIFS(物件収支!$F:$F,物件収支!$A:$A,$A1040,物件収支!$C:$C,$M1040))</f>
        <v>0</v>
      </c>
      <c r="P1040" s="1" t="n">
        <f aca="false">IF($A1040="","",SUMIFS(物件収支!$I:$I,物件収支!$A:$A,$A1040,物件収支!$C:$C,$M1040))</f>
        <v>0</v>
      </c>
      <c r="Q1040" s="1" t="n">
        <f aca="false">IF($A1040="","",SUMIFS(物件収支!$O:$O,物件収支!$A:$A,$A1040,物件収支!$C:$C,$M1040))</f>
        <v>0</v>
      </c>
      <c r="R1040" s="1" t="str">
        <f aca="false">IF($A1040="","",IF(P1040=0,"",O1040-P1040))</f>
        <v/>
      </c>
      <c r="S1040" s="1" t="str">
        <f aca="false">IF($A1040="","",IF(R1040="","",R1040+Q1040))</f>
        <v/>
      </c>
      <c r="T1040" s="1" t="str">
        <f aca="false">IF($A1040="","",IF(OR(S1040="",N1040&lt;=0),"",S1040/1000*12/N1040))</f>
        <v/>
      </c>
      <c r="U1040" s="1" t="str">
        <f aca="false">IF($A1040="","",IF(OR(T1040="",J1040=0,J1040=""),"",T1040/J1040))</f>
        <v/>
      </c>
      <c r="V1040" s="1" t="str">
        <f aca="false">IF($A1040="","",IF(OR(R1040="",N1040&lt;=0,J1040=0,J1040=""),"",(R1040/1000*12/N1040)/J1040))</f>
        <v/>
      </c>
      <c r="W1040" s="1" t="str">
        <f aca="false">IF($A1040="","",IF(OR(T1040="",K1040=0,K1040=""),"",T1040/K1040))</f>
        <v/>
      </c>
      <c r="X1040" s="1" t="str">
        <f aca="false">IF($A1040="","",IF(OR(N1040&lt;=0,I1040=0,I1040="",O1040=0),"",O1040*1000/(I1040*0.3025)/N1040))</f>
        <v/>
      </c>
      <c r="Y1040" s="1" t="str">
        <f aca="false">IF($A1040="","",IF(OR(O1040=0,O1040="",P1040=0),"",P1040/O1040))</f>
        <v/>
      </c>
      <c r="Z1040" s="1" t="str">
        <f aca="false">IF($A1040="","",IFERROR(INDEX(物件収支!$E:$E,MATCH($A1040,物件収支!$A:$A,0)),""))</f>
        <v>非開示</v>
      </c>
    </row>
    <row r="1041" customFormat="false" ht="15" hidden="false" customHeight="true" outlineLevel="0" collapsed="false">
      <c r="A1041" s="1" t="str">
        <f aca="false">IF(物件マスタ!A1041="","",物件マスタ!A1041)</f>
        <v>KDX-300</v>
      </c>
      <c r="B1041" s="1" t="str">
        <f aca="false">IF($A1041="","",物件マスタ!B1041)</f>
        <v>KDX</v>
      </c>
      <c r="C1041" s="1" t="str">
        <f aca="false">IF($A1041="","",IFERROR(INDEX(法人マスタ!$C:$C,MATCH($B1041,法人マスタ!$A:$A,0)),""))</f>
        <v>ＫＤＸ不動産投資法人</v>
      </c>
      <c r="D1041" s="1" t="str">
        <f aca="false">IF($A1041="","",物件マスタ!C1041)</f>
        <v>レム六本木ビル</v>
      </c>
      <c r="E1041" s="1" t="str">
        <f aca="false">IF($A1041="","",物件マスタ!H1041)</f>
        <v>東京経済圏（KDX区分）</v>
      </c>
      <c r="F1041" s="1" t="n">
        <f aca="false">IF($A1041="","",物件マスタ!P1041)</f>
        <v>0</v>
      </c>
      <c r="G1041" s="1" t="str">
        <f aca="false">IF($A1041="","",物件マスタ!Q1041)</f>
        <v/>
      </c>
      <c r="H1041" s="1" t="n">
        <f aca="false">IF($A1041="","",物件マスタ!L1041)</f>
        <v>0</v>
      </c>
      <c r="I1041" s="1" t="n">
        <f aca="false">IF($A1041="","",物件マスタ!M1041)</f>
        <v>6155.76</v>
      </c>
      <c r="J1041" s="1" t="n">
        <f aca="false">IF($A1041="","",物件マスタ!S1041)</f>
        <v>9900</v>
      </c>
      <c r="K1041" s="1" t="n">
        <f aca="false">IF($A1041="","",物件マスタ!U1041)</f>
        <v>10400</v>
      </c>
      <c r="L1041" s="1" t="n">
        <f aca="false">IF($A1041="","",物件マスタ!W1041)</f>
        <v>1</v>
      </c>
      <c r="M1041" s="1" t="str">
        <f aca="false">IF($A1041="","",IFERROR(INDEX(法人マスタ!$H:$H,MATCH($B1041,法人マスタ!$A:$A,0)),""))</f>
        <v>2026年4月期（第42期）</v>
      </c>
      <c r="N1041" s="1" t="n">
        <f aca="false">IF($A1041="","",SUMIFS(物件収支!$D:$D,物件収支!$A:$A,$A1041,物件収支!$C:$C,$M1041))</f>
        <v>6</v>
      </c>
      <c r="O1041" s="1" t="n">
        <f aca="false">IF($A1041="","",SUMIFS(物件収支!$F:$F,物件収支!$A:$A,$A1041,物件収支!$C:$C,$M1041))</f>
        <v>0</v>
      </c>
      <c r="P1041" s="1" t="n">
        <f aca="false">IF($A1041="","",SUMIFS(物件収支!$I:$I,物件収支!$A:$A,$A1041,物件収支!$C:$C,$M1041))</f>
        <v>0</v>
      </c>
      <c r="Q1041" s="1" t="n">
        <f aca="false">IF($A1041="","",SUMIFS(物件収支!$O:$O,物件収支!$A:$A,$A1041,物件収支!$C:$C,$M1041))</f>
        <v>0</v>
      </c>
      <c r="R1041" s="1" t="str">
        <f aca="false">IF($A1041="","",IF(P1041=0,"",O1041-P1041))</f>
        <v/>
      </c>
      <c r="S1041" s="1" t="str">
        <f aca="false">IF($A1041="","",IF(R1041="","",R1041+Q1041))</f>
        <v/>
      </c>
      <c r="T1041" s="1" t="str">
        <f aca="false">IF($A1041="","",IF(OR(S1041="",N1041&lt;=0),"",S1041/1000*12/N1041))</f>
        <v/>
      </c>
      <c r="U1041" s="1" t="str">
        <f aca="false">IF($A1041="","",IF(OR(T1041="",J1041=0,J1041=""),"",T1041/J1041))</f>
        <v/>
      </c>
      <c r="V1041" s="1" t="str">
        <f aca="false">IF($A1041="","",IF(OR(R1041="",N1041&lt;=0,J1041=0,J1041=""),"",(R1041/1000*12/N1041)/J1041))</f>
        <v/>
      </c>
      <c r="W1041" s="1" t="str">
        <f aca="false">IF($A1041="","",IF(OR(T1041="",K1041=0,K1041=""),"",T1041/K1041))</f>
        <v/>
      </c>
      <c r="X1041" s="1" t="str">
        <f aca="false">IF($A1041="","",IF(OR(N1041&lt;=0,I1041=0,I1041="",O1041=0),"",O1041*1000/(I1041*0.3025)/N1041))</f>
        <v/>
      </c>
      <c r="Y1041" s="1" t="str">
        <f aca="false">IF($A1041="","",IF(OR(O1041=0,O1041="",P1041=0),"",P1041/O1041))</f>
        <v/>
      </c>
      <c r="Z1041" s="1" t="str">
        <f aca="false">IF($A1041="","",IFERROR(INDEX(物件収支!$E:$E,MATCH($A1041,物件収支!$A:$A,0)),""))</f>
        <v>非開示</v>
      </c>
    </row>
    <row r="1042" customFormat="false" ht="15" hidden="false" customHeight="true" outlineLevel="0" collapsed="false">
      <c r="A1042" s="1" t="str">
        <f aca="false">IF(物件マスタ!A1042="","",物件マスタ!A1042)</f>
        <v>KDX-301</v>
      </c>
      <c r="B1042" s="1" t="str">
        <f aca="false">IF($A1042="","",物件マスタ!B1042)</f>
        <v>KDX</v>
      </c>
      <c r="C1042" s="1" t="str">
        <f aca="false">IF($A1042="","",IFERROR(INDEX(法人マスタ!$C:$C,MATCH($B1042,法人マスタ!$A:$A,0)),""))</f>
        <v>ＫＤＸ不動産投資法人</v>
      </c>
      <c r="D1042" s="1" t="str">
        <f aca="false">IF($A1042="","",物件マスタ!C1042)</f>
        <v>沖縄プリンスホテルオーシャンビューぎのわん</v>
      </c>
      <c r="E1042" s="1" t="str">
        <f aca="false">IF($A1042="","",物件マスタ!H1042)</f>
        <v>地方経済圏（KDX区分）</v>
      </c>
      <c r="F1042" s="1" t="n">
        <f aca="false">IF($A1042="","",物件マスタ!P1042)</f>
        <v>0</v>
      </c>
      <c r="G1042" s="1" t="str">
        <f aca="false">IF($A1042="","",物件マスタ!Q1042)</f>
        <v/>
      </c>
      <c r="H1042" s="1" t="n">
        <f aca="false">IF($A1042="","",物件マスタ!L1042)</f>
        <v>0</v>
      </c>
      <c r="I1042" s="1" t="n">
        <f aca="false">IF($A1042="","",物件マスタ!M1042)</f>
        <v>29210.96</v>
      </c>
      <c r="J1042" s="1" t="n">
        <f aca="false">IF($A1042="","",物件マスタ!S1042)</f>
        <v>22000</v>
      </c>
      <c r="K1042" s="1" t="n">
        <f aca="false">IF($A1042="","",物件マスタ!U1042)</f>
        <v>25100</v>
      </c>
      <c r="L1042" s="1" t="n">
        <f aca="false">IF($A1042="","",物件マスタ!W1042)</f>
        <v>1</v>
      </c>
      <c r="M1042" s="1" t="str">
        <f aca="false">IF($A1042="","",IFERROR(INDEX(法人マスタ!$H:$H,MATCH($B1042,法人マスタ!$A:$A,0)),""))</f>
        <v>2026年4月期（第42期）</v>
      </c>
      <c r="N1042" s="1" t="n">
        <f aca="false">IF($A1042="","",SUMIFS(物件収支!$D:$D,物件収支!$A:$A,$A1042,物件収支!$C:$C,$M1042))</f>
        <v>6</v>
      </c>
      <c r="O1042" s="1" t="n">
        <f aca="false">IF($A1042="","",SUMIFS(物件収支!$F:$F,物件収支!$A:$A,$A1042,物件収支!$C:$C,$M1042))</f>
        <v>0</v>
      </c>
      <c r="P1042" s="1" t="n">
        <f aca="false">IF($A1042="","",SUMIFS(物件収支!$I:$I,物件収支!$A:$A,$A1042,物件収支!$C:$C,$M1042))</f>
        <v>0</v>
      </c>
      <c r="Q1042" s="1" t="n">
        <f aca="false">IF($A1042="","",SUMIFS(物件収支!$O:$O,物件収支!$A:$A,$A1042,物件収支!$C:$C,$M1042))</f>
        <v>0</v>
      </c>
      <c r="R1042" s="1" t="str">
        <f aca="false">IF($A1042="","",IF(P1042=0,"",O1042-P1042))</f>
        <v/>
      </c>
      <c r="S1042" s="1" t="str">
        <f aca="false">IF($A1042="","",IF(R1042="","",R1042+Q1042))</f>
        <v/>
      </c>
      <c r="T1042" s="1" t="str">
        <f aca="false">IF($A1042="","",IF(OR(S1042="",N1042&lt;=0),"",S1042/1000*12/N1042))</f>
        <v/>
      </c>
      <c r="U1042" s="1" t="str">
        <f aca="false">IF($A1042="","",IF(OR(T1042="",J1042=0,J1042=""),"",T1042/J1042))</f>
        <v/>
      </c>
      <c r="V1042" s="1" t="str">
        <f aca="false">IF($A1042="","",IF(OR(R1042="",N1042&lt;=0,J1042=0,J1042=""),"",(R1042/1000*12/N1042)/J1042))</f>
        <v/>
      </c>
      <c r="W1042" s="1" t="str">
        <f aca="false">IF($A1042="","",IF(OR(T1042="",K1042=0,K1042=""),"",T1042/K1042))</f>
        <v/>
      </c>
      <c r="X1042" s="1" t="str">
        <f aca="false">IF($A1042="","",IF(OR(N1042&lt;=0,I1042=0,I1042="",O1042=0),"",O1042*1000/(I1042*0.3025)/N1042))</f>
        <v/>
      </c>
      <c r="Y1042" s="1" t="str">
        <f aca="false">IF($A1042="","",IF(OR(O1042=0,O1042="",P1042=0),"",P1042/O1042))</f>
        <v/>
      </c>
      <c r="Z1042" s="1" t="str">
        <f aca="false">IF($A1042="","",IFERROR(INDEX(物件収支!$E:$E,MATCH($A1042,物件収支!$A:$A,0)),""))</f>
        <v>非開示</v>
      </c>
    </row>
    <row r="1043" customFormat="false" ht="15" hidden="false" customHeight="true" outlineLevel="0" collapsed="false">
      <c r="A1043" s="1" t="str">
        <f aca="false">IF(物件マスタ!A1043="","",物件マスタ!A1043)</f>
        <v>KDX-302</v>
      </c>
      <c r="B1043" s="1" t="str">
        <f aca="false">IF($A1043="","",物件マスタ!B1043)</f>
        <v>KDX</v>
      </c>
      <c r="C1043" s="1" t="str">
        <f aca="false">IF($A1043="","",IFERROR(INDEX(法人マスタ!$C:$C,MATCH($B1043,法人マスタ!$A:$A,0)),""))</f>
        <v>ＫＤＸ不動産投資法人</v>
      </c>
      <c r="D1043" s="1" t="str">
        <f aca="false">IF($A1043="","",物件マスタ!C1043)</f>
        <v>新大阪江坂 東急REIホテル</v>
      </c>
      <c r="E1043" s="1" t="str">
        <f aca="false">IF($A1043="","",物件マスタ!H1043)</f>
        <v>地方経済圏（KDX区分）</v>
      </c>
      <c r="F1043" s="1" t="n">
        <f aca="false">IF($A1043="","",物件マスタ!P1043)</f>
        <v>0</v>
      </c>
      <c r="G1043" s="1" t="str">
        <f aca="false">IF($A1043="","",物件マスタ!Q1043)</f>
        <v/>
      </c>
      <c r="H1043" s="1" t="n">
        <f aca="false">IF($A1043="","",物件マスタ!L1043)</f>
        <v>0</v>
      </c>
      <c r="I1043" s="1" t="n">
        <f aca="false">IF($A1043="","",物件マスタ!M1043)</f>
        <v>21881.58</v>
      </c>
      <c r="J1043" s="1" t="n">
        <f aca="false">IF($A1043="","",物件マスタ!S1043)</f>
        <v>11770</v>
      </c>
      <c r="K1043" s="1" t="n">
        <f aca="false">IF($A1043="","",物件マスタ!U1043)</f>
        <v>13300</v>
      </c>
      <c r="L1043" s="1" t="n">
        <f aca="false">IF($A1043="","",物件マスタ!W1043)</f>
        <v>0.999</v>
      </c>
      <c r="M1043" s="1" t="str">
        <f aca="false">IF($A1043="","",IFERROR(INDEX(法人マスタ!$H:$H,MATCH($B1043,法人マスタ!$A:$A,0)),""))</f>
        <v>2026年4月期（第42期）</v>
      </c>
      <c r="N1043" s="1" t="n">
        <f aca="false">IF($A1043="","",SUMIFS(物件収支!$D:$D,物件収支!$A:$A,$A1043,物件収支!$C:$C,$M1043))</f>
        <v>6</v>
      </c>
      <c r="O1043" s="1" t="n">
        <f aca="false">IF($A1043="","",SUMIFS(物件収支!$F:$F,物件収支!$A:$A,$A1043,物件収支!$C:$C,$M1043))</f>
        <v>0</v>
      </c>
      <c r="P1043" s="1" t="n">
        <f aca="false">IF($A1043="","",SUMIFS(物件収支!$I:$I,物件収支!$A:$A,$A1043,物件収支!$C:$C,$M1043))</f>
        <v>0</v>
      </c>
      <c r="Q1043" s="1" t="n">
        <f aca="false">IF($A1043="","",SUMIFS(物件収支!$O:$O,物件収支!$A:$A,$A1043,物件収支!$C:$C,$M1043))</f>
        <v>0</v>
      </c>
      <c r="R1043" s="1" t="str">
        <f aca="false">IF($A1043="","",IF(P1043=0,"",O1043-P1043))</f>
        <v/>
      </c>
      <c r="S1043" s="1" t="str">
        <f aca="false">IF($A1043="","",IF(R1043="","",R1043+Q1043))</f>
        <v/>
      </c>
      <c r="T1043" s="1" t="str">
        <f aca="false">IF($A1043="","",IF(OR(S1043="",N1043&lt;=0),"",S1043/1000*12/N1043))</f>
        <v/>
      </c>
      <c r="U1043" s="1" t="str">
        <f aca="false">IF($A1043="","",IF(OR(T1043="",J1043=0,J1043=""),"",T1043/J1043))</f>
        <v/>
      </c>
      <c r="V1043" s="1" t="str">
        <f aca="false">IF($A1043="","",IF(OR(R1043="",N1043&lt;=0,J1043=0,J1043=""),"",(R1043/1000*12/N1043)/J1043))</f>
        <v/>
      </c>
      <c r="W1043" s="1" t="str">
        <f aca="false">IF($A1043="","",IF(OR(T1043="",K1043=0,K1043=""),"",T1043/K1043))</f>
        <v/>
      </c>
      <c r="X1043" s="1" t="str">
        <f aca="false">IF($A1043="","",IF(OR(N1043&lt;=0,I1043=0,I1043="",O1043=0),"",O1043*1000/(I1043*0.3025)/N1043))</f>
        <v/>
      </c>
      <c r="Y1043" s="1" t="str">
        <f aca="false">IF($A1043="","",IF(OR(O1043=0,O1043="",P1043=0),"",P1043/O1043))</f>
        <v/>
      </c>
      <c r="Z1043" s="1" t="str">
        <f aca="false">IF($A1043="","",IFERROR(INDEX(物件収支!$E:$E,MATCH($A1043,物件収支!$A:$A,0)),""))</f>
        <v>非開示</v>
      </c>
    </row>
    <row r="1044" customFormat="false" ht="15" hidden="false" customHeight="true" outlineLevel="0" collapsed="false">
      <c r="A1044" s="1" t="str">
        <f aca="false">IF(物件マスタ!A1044="","",物件マスタ!A1044)</f>
        <v>KDX-303</v>
      </c>
      <c r="B1044" s="1" t="str">
        <f aca="false">IF($A1044="","",物件マスタ!B1044)</f>
        <v>KDX</v>
      </c>
      <c r="C1044" s="1" t="str">
        <f aca="false">IF($A1044="","",IFERROR(INDEX(法人マスタ!$C:$C,MATCH($B1044,法人マスタ!$A:$A,0)),""))</f>
        <v>ＫＤＸ不動産投資法人</v>
      </c>
      <c r="D1044" s="1" t="str">
        <f aca="false">IF($A1044="","",物件マスタ!C1044)</f>
        <v>ホテルJALシティ名古屋錦</v>
      </c>
      <c r="E1044" s="1" t="str">
        <f aca="false">IF($A1044="","",物件マスタ!H1044)</f>
        <v>地方経済圏（KDX区分）</v>
      </c>
      <c r="F1044" s="1" t="n">
        <f aca="false">IF($A1044="","",物件マスタ!P1044)</f>
        <v>0</v>
      </c>
      <c r="G1044" s="1" t="str">
        <f aca="false">IF($A1044="","",物件マスタ!Q1044)</f>
        <v/>
      </c>
      <c r="H1044" s="1" t="n">
        <f aca="false">IF($A1044="","",物件マスタ!L1044)</f>
        <v>0</v>
      </c>
      <c r="I1044" s="1" t="n">
        <f aca="false">IF($A1044="","",物件マスタ!M1044)</f>
        <v>9065.23</v>
      </c>
      <c r="J1044" s="1" t="n">
        <f aca="false">IF($A1044="","",物件マスタ!S1044)</f>
        <v>7420</v>
      </c>
      <c r="K1044" s="1" t="n">
        <f aca="false">IF($A1044="","",物件マスタ!U1044)</f>
        <v>8060</v>
      </c>
      <c r="L1044" s="1" t="n">
        <f aca="false">IF($A1044="","",物件マスタ!W1044)</f>
        <v>1</v>
      </c>
      <c r="M1044" s="1" t="str">
        <f aca="false">IF($A1044="","",IFERROR(INDEX(法人マスタ!$H:$H,MATCH($B1044,法人マスタ!$A:$A,0)),""))</f>
        <v>2026年4月期（第42期）</v>
      </c>
      <c r="N1044" s="1" t="n">
        <f aca="false">IF($A1044="","",SUMIFS(物件収支!$D:$D,物件収支!$A:$A,$A1044,物件収支!$C:$C,$M1044))</f>
        <v>6</v>
      </c>
      <c r="O1044" s="1" t="n">
        <f aca="false">IF($A1044="","",SUMIFS(物件収支!$F:$F,物件収支!$A:$A,$A1044,物件収支!$C:$C,$M1044))</f>
        <v>0</v>
      </c>
      <c r="P1044" s="1" t="n">
        <f aca="false">IF($A1044="","",SUMIFS(物件収支!$I:$I,物件収支!$A:$A,$A1044,物件収支!$C:$C,$M1044))</f>
        <v>0</v>
      </c>
      <c r="Q1044" s="1" t="n">
        <f aca="false">IF($A1044="","",SUMIFS(物件収支!$O:$O,物件収支!$A:$A,$A1044,物件収支!$C:$C,$M1044))</f>
        <v>0</v>
      </c>
      <c r="R1044" s="1" t="str">
        <f aca="false">IF($A1044="","",IF(P1044=0,"",O1044-P1044))</f>
        <v/>
      </c>
      <c r="S1044" s="1" t="str">
        <f aca="false">IF($A1044="","",IF(R1044="","",R1044+Q1044))</f>
        <v/>
      </c>
      <c r="T1044" s="1" t="str">
        <f aca="false">IF($A1044="","",IF(OR(S1044="",N1044&lt;=0),"",S1044/1000*12/N1044))</f>
        <v/>
      </c>
      <c r="U1044" s="1" t="str">
        <f aca="false">IF($A1044="","",IF(OR(T1044="",J1044=0,J1044=""),"",T1044/J1044))</f>
        <v/>
      </c>
      <c r="V1044" s="1" t="str">
        <f aca="false">IF($A1044="","",IF(OR(R1044="",N1044&lt;=0,J1044=0,J1044=""),"",(R1044/1000*12/N1044)/J1044))</f>
        <v/>
      </c>
      <c r="W1044" s="1" t="str">
        <f aca="false">IF($A1044="","",IF(OR(T1044="",K1044=0,K1044=""),"",T1044/K1044))</f>
        <v/>
      </c>
      <c r="X1044" s="1" t="str">
        <f aca="false">IF($A1044="","",IF(OR(N1044&lt;=0,I1044=0,I1044="",O1044=0),"",O1044*1000/(I1044*0.3025)/N1044))</f>
        <v/>
      </c>
      <c r="Y1044" s="1" t="str">
        <f aca="false">IF($A1044="","",IF(OR(O1044=0,O1044="",P1044=0),"",P1044/O1044))</f>
        <v/>
      </c>
      <c r="Z1044" s="1" t="str">
        <f aca="false">IF($A1044="","",IFERROR(INDEX(物件収支!$E:$E,MATCH($A1044,物件収支!$A:$A,0)),""))</f>
        <v>非開示</v>
      </c>
    </row>
    <row r="1045" customFormat="false" ht="15" hidden="false" customHeight="true" outlineLevel="0" collapsed="false">
      <c r="A1045" s="1" t="str">
        <f aca="false">IF(物件マスタ!A1045="","",物件マスタ!A1045)</f>
        <v>KDX-304</v>
      </c>
      <c r="B1045" s="1" t="str">
        <f aca="false">IF($A1045="","",物件マスタ!B1045)</f>
        <v>KDX</v>
      </c>
      <c r="C1045" s="1" t="str">
        <f aca="false">IF($A1045="","",IFERROR(INDEX(法人マスタ!$C:$C,MATCH($B1045,法人マスタ!$A:$A,0)),""))</f>
        <v>ＫＤＸ不動産投資法人</v>
      </c>
      <c r="D1045" s="1" t="str">
        <f aca="false">IF($A1045="","",物件マスタ!C1045)</f>
        <v>ジョイステージ八王子</v>
      </c>
      <c r="E1045" s="1" t="str">
        <f aca="false">IF($A1045="","",物件マスタ!H1045)</f>
        <v>東京経済圏（KDX区分）</v>
      </c>
      <c r="F1045" s="1" t="n">
        <f aca="false">IF($A1045="","",物件マスタ!P1045)</f>
        <v>0</v>
      </c>
      <c r="G1045" s="1" t="str">
        <f aca="false">IF($A1045="","",物件マスタ!Q1045)</f>
        <v/>
      </c>
      <c r="H1045" s="1" t="n">
        <f aca="false">IF($A1045="","",物件マスタ!L1045)</f>
        <v>0</v>
      </c>
      <c r="I1045" s="1" t="n">
        <f aca="false">IF($A1045="","",物件マスタ!M1045)</f>
        <v>13812.27</v>
      </c>
      <c r="J1045" s="1" t="n">
        <f aca="false">IF($A1045="","",物件マスタ!S1045)</f>
        <v>4150</v>
      </c>
      <c r="K1045" s="1" t="n">
        <f aca="false">IF($A1045="","",物件マスタ!U1045)</f>
        <v>4270</v>
      </c>
      <c r="L1045" s="1" t="n">
        <f aca="false">IF($A1045="","",物件マスタ!W1045)</f>
        <v>1</v>
      </c>
      <c r="M1045" s="1" t="str">
        <f aca="false">IF($A1045="","",IFERROR(INDEX(法人マスタ!$H:$H,MATCH($B1045,法人マスタ!$A:$A,0)),""))</f>
        <v>2026年4月期（第42期）</v>
      </c>
      <c r="N1045" s="1" t="n">
        <f aca="false">IF($A1045="","",SUMIFS(物件収支!$D:$D,物件収支!$A:$A,$A1045,物件収支!$C:$C,$M1045))</f>
        <v>6</v>
      </c>
      <c r="O1045" s="1" t="n">
        <f aca="false">IF($A1045="","",SUMIFS(物件収支!$F:$F,物件収支!$A:$A,$A1045,物件収支!$C:$C,$M1045))</f>
        <v>0</v>
      </c>
      <c r="P1045" s="1" t="n">
        <f aca="false">IF($A1045="","",SUMIFS(物件収支!$I:$I,物件収支!$A:$A,$A1045,物件収支!$C:$C,$M1045))</f>
        <v>0</v>
      </c>
      <c r="Q1045" s="1" t="n">
        <f aca="false">IF($A1045="","",SUMIFS(物件収支!$O:$O,物件収支!$A:$A,$A1045,物件収支!$C:$C,$M1045))</f>
        <v>0</v>
      </c>
      <c r="R1045" s="1" t="str">
        <f aca="false">IF($A1045="","",IF(P1045=0,"",O1045-P1045))</f>
        <v/>
      </c>
      <c r="S1045" s="1" t="str">
        <f aca="false">IF($A1045="","",IF(R1045="","",R1045+Q1045))</f>
        <v/>
      </c>
      <c r="T1045" s="1" t="str">
        <f aca="false">IF($A1045="","",IF(OR(S1045="",N1045&lt;=0),"",S1045/1000*12/N1045))</f>
        <v/>
      </c>
      <c r="U1045" s="1" t="str">
        <f aca="false">IF($A1045="","",IF(OR(T1045="",J1045=0,J1045=""),"",T1045/J1045))</f>
        <v/>
      </c>
      <c r="V1045" s="1" t="str">
        <f aca="false">IF($A1045="","",IF(OR(R1045="",N1045&lt;=0,J1045=0,J1045=""),"",(R1045/1000*12/N1045)/J1045))</f>
        <v/>
      </c>
      <c r="W1045" s="1" t="str">
        <f aca="false">IF($A1045="","",IF(OR(T1045="",K1045=0,K1045=""),"",T1045/K1045))</f>
        <v/>
      </c>
      <c r="X1045" s="1" t="str">
        <f aca="false">IF($A1045="","",IF(OR(N1045&lt;=0,I1045=0,I1045="",O1045=0),"",O1045*1000/(I1045*0.3025)/N1045))</f>
        <v/>
      </c>
      <c r="Y1045" s="1" t="str">
        <f aca="false">IF($A1045="","",IF(OR(O1045=0,O1045="",P1045=0),"",P1045/O1045))</f>
        <v/>
      </c>
      <c r="Z1045" s="1" t="str">
        <f aca="false">IF($A1045="","",IFERROR(INDEX(物件収支!$E:$E,MATCH($A1045,物件収支!$A:$A,0)),""))</f>
        <v>非開示</v>
      </c>
    </row>
    <row r="1046" customFormat="false" ht="15" hidden="false" customHeight="true" outlineLevel="0" collapsed="false">
      <c r="A1046" s="1" t="str">
        <f aca="false">IF(物件マスタ!A1046="","",物件マスタ!A1046)</f>
        <v>KDX-305</v>
      </c>
      <c r="B1046" s="1" t="str">
        <f aca="false">IF($A1046="","",物件マスタ!B1046)</f>
        <v>KDX</v>
      </c>
      <c r="C1046" s="1" t="str">
        <f aca="false">IF($A1046="","",IFERROR(INDEX(法人マスタ!$C:$C,MATCH($B1046,法人マスタ!$A:$A,0)),""))</f>
        <v>ＫＤＸ不動産投資法人</v>
      </c>
      <c r="D1046" s="1" t="str">
        <f aca="false">IF($A1046="","",物件マスタ!C1046)</f>
        <v>ニチイホームたまプラーザ</v>
      </c>
      <c r="E1046" s="1" t="str">
        <f aca="false">IF($A1046="","",物件マスタ!H1046)</f>
        <v>東京経済圏（KDX区分）</v>
      </c>
      <c r="F1046" s="1" t="n">
        <f aca="false">IF($A1046="","",物件マスタ!P1046)</f>
        <v>0</v>
      </c>
      <c r="G1046" s="1" t="str">
        <f aca="false">IF($A1046="","",物件マスタ!Q1046)</f>
        <v/>
      </c>
      <c r="H1046" s="1" t="n">
        <f aca="false">IF($A1046="","",物件マスタ!L1046)</f>
        <v>0</v>
      </c>
      <c r="I1046" s="1" t="n">
        <f aca="false">IF($A1046="","",物件マスタ!M1046)</f>
        <v>8208.65</v>
      </c>
      <c r="J1046" s="1" t="n">
        <f aca="false">IF($A1046="","",物件マスタ!S1046)</f>
        <v>3160</v>
      </c>
      <c r="K1046" s="1" t="n">
        <f aca="false">IF($A1046="","",物件マスタ!U1046)</f>
        <v>2960</v>
      </c>
      <c r="L1046" s="1" t="n">
        <f aca="false">IF($A1046="","",物件マスタ!W1046)</f>
        <v>1</v>
      </c>
      <c r="M1046" s="1" t="str">
        <f aca="false">IF($A1046="","",IFERROR(INDEX(法人マスタ!$H:$H,MATCH($B1046,法人マスタ!$A:$A,0)),""))</f>
        <v>2026年4月期（第42期）</v>
      </c>
      <c r="N1046" s="1" t="n">
        <f aca="false">IF($A1046="","",SUMIFS(物件収支!$D:$D,物件収支!$A:$A,$A1046,物件収支!$C:$C,$M1046))</f>
        <v>6</v>
      </c>
      <c r="O1046" s="1" t="n">
        <f aca="false">IF($A1046="","",SUMIFS(物件収支!$F:$F,物件収支!$A:$A,$A1046,物件収支!$C:$C,$M1046))</f>
        <v>0</v>
      </c>
      <c r="P1046" s="1" t="n">
        <f aca="false">IF($A1046="","",SUMIFS(物件収支!$I:$I,物件収支!$A:$A,$A1046,物件収支!$C:$C,$M1046))</f>
        <v>0</v>
      </c>
      <c r="Q1046" s="1" t="n">
        <f aca="false">IF($A1046="","",SUMIFS(物件収支!$O:$O,物件収支!$A:$A,$A1046,物件収支!$C:$C,$M1046))</f>
        <v>0</v>
      </c>
      <c r="R1046" s="1" t="str">
        <f aca="false">IF($A1046="","",IF(P1046=0,"",O1046-P1046))</f>
        <v/>
      </c>
      <c r="S1046" s="1" t="str">
        <f aca="false">IF($A1046="","",IF(R1046="","",R1046+Q1046))</f>
        <v/>
      </c>
      <c r="T1046" s="1" t="str">
        <f aca="false">IF($A1046="","",IF(OR(S1046="",N1046&lt;=0),"",S1046/1000*12/N1046))</f>
        <v/>
      </c>
      <c r="U1046" s="1" t="str">
        <f aca="false">IF($A1046="","",IF(OR(T1046="",J1046=0,J1046=""),"",T1046/J1046))</f>
        <v/>
      </c>
      <c r="V1046" s="1" t="str">
        <f aca="false">IF($A1046="","",IF(OR(R1046="",N1046&lt;=0,J1046=0,J1046=""),"",(R1046/1000*12/N1046)/J1046))</f>
        <v/>
      </c>
      <c r="W1046" s="1" t="str">
        <f aca="false">IF($A1046="","",IF(OR(T1046="",K1046=0,K1046=""),"",T1046/K1046))</f>
        <v/>
      </c>
      <c r="X1046" s="1" t="str">
        <f aca="false">IF($A1046="","",IF(OR(N1046&lt;=0,I1046=0,I1046="",O1046=0),"",O1046*1000/(I1046*0.3025)/N1046))</f>
        <v/>
      </c>
      <c r="Y1046" s="1" t="str">
        <f aca="false">IF($A1046="","",IF(OR(O1046=0,O1046="",P1046=0),"",P1046/O1046))</f>
        <v/>
      </c>
      <c r="Z1046" s="1" t="str">
        <f aca="false">IF($A1046="","",IFERROR(INDEX(物件収支!$E:$E,MATCH($A1046,物件収支!$A:$A,0)),""))</f>
        <v>非開示</v>
      </c>
    </row>
    <row r="1047" customFormat="false" ht="15" hidden="false" customHeight="true" outlineLevel="0" collapsed="false">
      <c r="A1047" s="1" t="str">
        <f aca="false">IF(物件マスタ!A1047="","",物件マスタ!A1047)</f>
        <v>KDX-306</v>
      </c>
      <c r="B1047" s="1" t="str">
        <f aca="false">IF($A1047="","",物件マスタ!B1047)</f>
        <v>KDX</v>
      </c>
      <c r="C1047" s="1" t="str">
        <f aca="false">IF($A1047="","",IFERROR(INDEX(法人マスタ!$C:$C,MATCH($B1047,法人マスタ!$A:$A,0)),""))</f>
        <v>ＫＤＸ不動産投資法人</v>
      </c>
      <c r="D1047" s="1" t="str">
        <f aca="false">IF($A1047="","",物件マスタ!C1047)</f>
        <v>ニチイホーム中野南台</v>
      </c>
      <c r="E1047" s="1" t="str">
        <f aca="false">IF($A1047="","",物件マスタ!H1047)</f>
        <v>東京経済圏（KDX区分）</v>
      </c>
      <c r="F1047" s="1" t="n">
        <f aca="false">IF($A1047="","",物件マスタ!P1047)</f>
        <v>0</v>
      </c>
      <c r="G1047" s="1" t="str">
        <f aca="false">IF($A1047="","",物件マスタ!Q1047)</f>
        <v/>
      </c>
      <c r="H1047" s="1" t="n">
        <f aca="false">IF($A1047="","",物件マスタ!L1047)</f>
        <v>0</v>
      </c>
      <c r="I1047" s="1" t="n">
        <f aca="false">IF($A1047="","",物件マスタ!M1047)</f>
        <v>3339</v>
      </c>
      <c r="J1047" s="1" t="n">
        <f aca="false">IF($A1047="","",物件マスタ!S1047)</f>
        <v>2110</v>
      </c>
      <c r="K1047" s="1" t="n">
        <f aca="false">IF($A1047="","",物件マスタ!U1047)</f>
        <v>2240</v>
      </c>
      <c r="L1047" s="1" t="n">
        <f aca="false">IF($A1047="","",物件マスタ!W1047)</f>
        <v>1</v>
      </c>
      <c r="M1047" s="1" t="str">
        <f aca="false">IF($A1047="","",IFERROR(INDEX(法人マスタ!$H:$H,MATCH($B1047,法人マスタ!$A:$A,0)),""))</f>
        <v>2026年4月期（第42期）</v>
      </c>
      <c r="N1047" s="1" t="n">
        <f aca="false">IF($A1047="","",SUMIFS(物件収支!$D:$D,物件収支!$A:$A,$A1047,物件収支!$C:$C,$M1047))</f>
        <v>6</v>
      </c>
      <c r="O1047" s="1" t="n">
        <f aca="false">IF($A1047="","",SUMIFS(物件収支!$F:$F,物件収支!$A:$A,$A1047,物件収支!$C:$C,$M1047))</f>
        <v>0</v>
      </c>
      <c r="P1047" s="1" t="n">
        <f aca="false">IF($A1047="","",SUMIFS(物件収支!$I:$I,物件収支!$A:$A,$A1047,物件収支!$C:$C,$M1047))</f>
        <v>0</v>
      </c>
      <c r="Q1047" s="1" t="n">
        <f aca="false">IF($A1047="","",SUMIFS(物件収支!$O:$O,物件収支!$A:$A,$A1047,物件収支!$C:$C,$M1047))</f>
        <v>0</v>
      </c>
      <c r="R1047" s="1" t="str">
        <f aca="false">IF($A1047="","",IF(P1047=0,"",O1047-P1047))</f>
        <v/>
      </c>
      <c r="S1047" s="1" t="str">
        <f aca="false">IF($A1047="","",IF(R1047="","",R1047+Q1047))</f>
        <v/>
      </c>
      <c r="T1047" s="1" t="str">
        <f aca="false">IF($A1047="","",IF(OR(S1047="",N1047&lt;=0),"",S1047/1000*12/N1047))</f>
        <v/>
      </c>
      <c r="U1047" s="1" t="str">
        <f aca="false">IF($A1047="","",IF(OR(T1047="",J1047=0,J1047=""),"",T1047/J1047))</f>
        <v/>
      </c>
      <c r="V1047" s="1" t="str">
        <f aca="false">IF($A1047="","",IF(OR(R1047="",N1047&lt;=0,J1047=0,J1047=""),"",(R1047/1000*12/N1047)/J1047))</f>
        <v/>
      </c>
      <c r="W1047" s="1" t="str">
        <f aca="false">IF($A1047="","",IF(OR(T1047="",K1047=0,K1047=""),"",T1047/K1047))</f>
        <v/>
      </c>
      <c r="X1047" s="1" t="str">
        <f aca="false">IF($A1047="","",IF(OR(N1047&lt;=0,I1047=0,I1047="",O1047=0),"",O1047*1000/(I1047*0.3025)/N1047))</f>
        <v/>
      </c>
      <c r="Y1047" s="1" t="str">
        <f aca="false">IF($A1047="","",IF(OR(O1047=0,O1047="",P1047=0),"",P1047/O1047))</f>
        <v/>
      </c>
      <c r="Z1047" s="1" t="str">
        <f aca="false">IF($A1047="","",IFERROR(INDEX(物件収支!$E:$E,MATCH($A1047,物件収支!$A:$A,0)),""))</f>
        <v>非開示</v>
      </c>
    </row>
    <row r="1048" customFormat="false" ht="15" hidden="false" customHeight="true" outlineLevel="0" collapsed="false">
      <c r="A1048" s="1" t="str">
        <f aca="false">IF(物件マスタ!A1048="","",物件マスタ!A1048)</f>
        <v>KDX-307</v>
      </c>
      <c r="B1048" s="1" t="str">
        <f aca="false">IF($A1048="","",物件マスタ!B1048)</f>
        <v>KDX</v>
      </c>
      <c r="C1048" s="1" t="str">
        <f aca="false">IF($A1048="","",IFERROR(INDEX(法人マスタ!$C:$C,MATCH($B1048,法人マスタ!$A:$A,0)),""))</f>
        <v>ＫＤＸ不動産投資法人</v>
      </c>
      <c r="D1048" s="1" t="str">
        <f aca="false">IF($A1048="","",物件マスタ!C1048)</f>
        <v>ゆいま～る聖ヶ丘</v>
      </c>
      <c r="E1048" s="1" t="str">
        <f aca="false">IF($A1048="","",物件マスタ!H1048)</f>
        <v>東京経済圏（KDX区分）</v>
      </c>
      <c r="F1048" s="1" t="n">
        <f aca="false">IF($A1048="","",物件マスタ!P1048)</f>
        <v>0</v>
      </c>
      <c r="G1048" s="1" t="str">
        <f aca="false">IF($A1048="","",物件マスタ!Q1048)</f>
        <v/>
      </c>
      <c r="H1048" s="1" t="n">
        <f aca="false">IF($A1048="","",物件マスタ!L1048)</f>
        <v>0</v>
      </c>
      <c r="I1048" s="1" t="n">
        <f aca="false">IF($A1048="","",物件マスタ!M1048)</f>
        <v>4385.53</v>
      </c>
      <c r="J1048" s="1" t="n">
        <f aca="false">IF($A1048="","",物件マスタ!S1048)</f>
        <v>1190</v>
      </c>
      <c r="K1048" s="1" t="n">
        <f aca="false">IF($A1048="","",物件マスタ!U1048)</f>
        <v>1190</v>
      </c>
      <c r="L1048" s="1" t="n">
        <f aca="false">IF($A1048="","",物件マスタ!W1048)</f>
        <v>1</v>
      </c>
      <c r="M1048" s="1" t="str">
        <f aca="false">IF($A1048="","",IFERROR(INDEX(法人マスタ!$H:$H,MATCH($B1048,法人マスタ!$A:$A,0)),""))</f>
        <v>2026年4月期（第42期）</v>
      </c>
      <c r="N1048" s="1" t="n">
        <f aca="false">IF($A1048="","",SUMIFS(物件収支!$D:$D,物件収支!$A:$A,$A1048,物件収支!$C:$C,$M1048))</f>
        <v>6</v>
      </c>
      <c r="O1048" s="1" t="n">
        <f aca="false">IF($A1048="","",SUMIFS(物件収支!$F:$F,物件収支!$A:$A,$A1048,物件収支!$C:$C,$M1048))</f>
        <v>0</v>
      </c>
      <c r="P1048" s="1" t="n">
        <f aca="false">IF($A1048="","",SUMIFS(物件収支!$I:$I,物件収支!$A:$A,$A1048,物件収支!$C:$C,$M1048))</f>
        <v>0</v>
      </c>
      <c r="Q1048" s="1" t="n">
        <f aca="false">IF($A1048="","",SUMIFS(物件収支!$O:$O,物件収支!$A:$A,$A1048,物件収支!$C:$C,$M1048))</f>
        <v>0</v>
      </c>
      <c r="R1048" s="1" t="str">
        <f aca="false">IF($A1048="","",IF(P1048=0,"",O1048-P1048))</f>
        <v/>
      </c>
      <c r="S1048" s="1" t="str">
        <f aca="false">IF($A1048="","",IF(R1048="","",R1048+Q1048))</f>
        <v/>
      </c>
      <c r="T1048" s="1" t="str">
        <f aca="false">IF($A1048="","",IF(OR(S1048="",N1048&lt;=0),"",S1048/1000*12/N1048))</f>
        <v/>
      </c>
      <c r="U1048" s="1" t="str">
        <f aca="false">IF($A1048="","",IF(OR(T1048="",J1048=0,J1048=""),"",T1048/J1048))</f>
        <v/>
      </c>
      <c r="V1048" s="1" t="str">
        <f aca="false">IF($A1048="","",IF(OR(R1048="",N1048&lt;=0,J1048=0,J1048=""),"",(R1048/1000*12/N1048)/J1048))</f>
        <v/>
      </c>
      <c r="W1048" s="1" t="str">
        <f aca="false">IF($A1048="","",IF(OR(T1048="",K1048=0,K1048=""),"",T1048/K1048))</f>
        <v/>
      </c>
      <c r="X1048" s="1" t="str">
        <f aca="false">IF($A1048="","",IF(OR(N1048&lt;=0,I1048=0,I1048="",O1048=0),"",O1048*1000/(I1048*0.3025)/N1048))</f>
        <v/>
      </c>
      <c r="Y1048" s="1" t="str">
        <f aca="false">IF($A1048="","",IF(OR(O1048=0,O1048="",P1048=0),"",P1048/O1048))</f>
        <v/>
      </c>
      <c r="Z1048" s="1" t="str">
        <f aca="false">IF($A1048="","",IFERROR(INDEX(物件収支!$E:$E,MATCH($A1048,物件収支!$A:$A,0)),""))</f>
        <v>非開示</v>
      </c>
    </row>
    <row r="1049" customFormat="false" ht="15" hidden="false" customHeight="true" outlineLevel="0" collapsed="false">
      <c r="A1049" s="1" t="str">
        <f aca="false">IF(物件マスタ!A1049="","",物件マスタ!A1049)</f>
        <v>KDX-308</v>
      </c>
      <c r="B1049" s="1" t="str">
        <f aca="false">IF($A1049="","",物件マスタ!B1049)</f>
        <v>KDX</v>
      </c>
      <c r="C1049" s="1" t="str">
        <f aca="false">IF($A1049="","",IFERROR(INDEX(法人マスタ!$C:$C,MATCH($B1049,法人マスタ!$A:$A,0)),""))</f>
        <v>ＫＤＸ不動産投資法人</v>
      </c>
      <c r="D1049" s="1" t="str">
        <f aca="false">IF($A1049="","",物件マスタ!C1049)</f>
        <v>イリーゼ蒲田・悠生苑</v>
      </c>
      <c r="E1049" s="1" t="str">
        <f aca="false">IF($A1049="","",物件マスタ!H1049)</f>
        <v>東京経済圏（KDX区分）</v>
      </c>
      <c r="F1049" s="1" t="n">
        <f aca="false">IF($A1049="","",物件マスタ!P1049)</f>
        <v>0</v>
      </c>
      <c r="G1049" s="1" t="str">
        <f aca="false">IF($A1049="","",物件マスタ!Q1049)</f>
        <v/>
      </c>
      <c r="H1049" s="1" t="n">
        <f aca="false">IF($A1049="","",物件マスタ!L1049)</f>
        <v>0</v>
      </c>
      <c r="I1049" s="1" t="n">
        <f aca="false">IF($A1049="","",物件マスタ!M1049)</f>
        <v>2086.4</v>
      </c>
      <c r="J1049" s="1" t="n">
        <f aca="false">IF($A1049="","",物件マスタ!S1049)</f>
        <v>1120</v>
      </c>
      <c r="K1049" s="1" t="n">
        <f aca="false">IF($A1049="","",物件マスタ!U1049)</f>
        <v>1090</v>
      </c>
      <c r="L1049" s="1" t="n">
        <f aca="false">IF($A1049="","",物件マスタ!W1049)</f>
        <v>1</v>
      </c>
      <c r="M1049" s="1" t="str">
        <f aca="false">IF($A1049="","",IFERROR(INDEX(法人マスタ!$H:$H,MATCH($B1049,法人マスタ!$A:$A,0)),""))</f>
        <v>2026年4月期（第42期）</v>
      </c>
      <c r="N1049" s="1" t="n">
        <f aca="false">IF($A1049="","",SUMIFS(物件収支!$D:$D,物件収支!$A:$A,$A1049,物件収支!$C:$C,$M1049))</f>
        <v>6</v>
      </c>
      <c r="O1049" s="1" t="n">
        <f aca="false">IF($A1049="","",SUMIFS(物件収支!$F:$F,物件収支!$A:$A,$A1049,物件収支!$C:$C,$M1049))</f>
        <v>0</v>
      </c>
      <c r="P1049" s="1" t="n">
        <f aca="false">IF($A1049="","",SUMIFS(物件収支!$I:$I,物件収支!$A:$A,$A1049,物件収支!$C:$C,$M1049))</f>
        <v>0</v>
      </c>
      <c r="Q1049" s="1" t="n">
        <f aca="false">IF($A1049="","",SUMIFS(物件収支!$O:$O,物件収支!$A:$A,$A1049,物件収支!$C:$C,$M1049))</f>
        <v>0</v>
      </c>
      <c r="R1049" s="1" t="str">
        <f aca="false">IF($A1049="","",IF(P1049=0,"",O1049-P1049))</f>
        <v/>
      </c>
      <c r="S1049" s="1" t="str">
        <f aca="false">IF($A1049="","",IF(R1049="","",R1049+Q1049))</f>
        <v/>
      </c>
      <c r="T1049" s="1" t="str">
        <f aca="false">IF($A1049="","",IF(OR(S1049="",N1049&lt;=0),"",S1049/1000*12/N1049))</f>
        <v/>
      </c>
      <c r="U1049" s="1" t="str">
        <f aca="false">IF($A1049="","",IF(OR(T1049="",J1049=0,J1049=""),"",T1049/J1049))</f>
        <v/>
      </c>
      <c r="V1049" s="1" t="str">
        <f aca="false">IF($A1049="","",IF(OR(R1049="",N1049&lt;=0,J1049=0,J1049=""),"",(R1049/1000*12/N1049)/J1049))</f>
        <v/>
      </c>
      <c r="W1049" s="1" t="str">
        <f aca="false">IF($A1049="","",IF(OR(T1049="",K1049=0,K1049=""),"",T1049/K1049))</f>
        <v/>
      </c>
      <c r="X1049" s="1" t="str">
        <f aca="false">IF($A1049="","",IF(OR(N1049&lt;=0,I1049=0,I1049="",O1049=0),"",O1049*1000/(I1049*0.3025)/N1049))</f>
        <v/>
      </c>
      <c r="Y1049" s="1" t="str">
        <f aca="false">IF($A1049="","",IF(OR(O1049=0,O1049="",P1049=0),"",P1049/O1049))</f>
        <v/>
      </c>
      <c r="Z1049" s="1" t="str">
        <f aca="false">IF($A1049="","",IFERROR(INDEX(物件収支!$E:$E,MATCH($A1049,物件収支!$A:$A,0)),""))</f>
        <v>非開示</v>
      </c>
    </row>
    <row r="1050" customFormat="false" ht="15" hidden="false" customHeight="true" outlineLevel="0" collapsed="false">
      <c r="A1050" s="1" t="str">
        <f aca="false">IF(物件マスタ!A1050="","",物件マスタ!A1050)</f>
        <v>KDX-309</v>
      </c>
      <c r="B1050" s="1" t="str">
        <f aca="false">IF($A1050="","",物件マスタ!B1050)</f>
        <v>KDX</v>
      </c>
      <c r="C1050" s="1" t="str">
        <f aca="false">IF($A1050="","",IFERROR(INDEX(法人マスタ!$C:$C,MATCH($B1050,法人マスタ!$A:$A,0)),""))</f>
        <v>ＫＤＸ不動産投資法人</v>
      </c>
      <c r="D1050" s="1" t="str">
        <f aca="false">IF($A1050="","",物件マスタ!C1050)</f>
        <v>プレザングラン大田多摩川</v>
      </c>
      <c r="E1050" s="1" t="str">
        <f aca="false">IF($A1050="","",物件マスタ!H1050)</f>
        <v>東京経済圏（KDX区分）</v>
      </c>
      <c r="F1050" s="1" t="n">
        <f aca="false">IF($A1050="","",物件マスタ!P1050)</f>
        <v>0</v>
      </c>
      <c r="G1050" s="1" t="str">
        <f aca="false">IF($A1050="","",物件マスタ!Q1050)</f>
        <v/>
      </c>
      <c r="H1050" s="1" t="n">
        <f aca="false">IF($A1050="","",物件マスタ!L1050)</f>
        <v>0</v>
      </c>
      <c r="I1050" s="1" t="n">
        <f aca="false">IF($A1050="","",物件マスタ!M1050)</f>
        <v>3175.15</v>
      </c>
      <c r="J1050" s="1" t="n">
        <f aca="false">IF($A1050="","",物件マスタ!S1050)</f>
        <v>3490</v>
      </c>
      <c r="K1050" s="1" t="n">
        <f aca="false">IF($A1050="","",物件マスタ!U1050)</f>
        <v>3440</v>
      </c>
      <c r="L1050" s="1" t="n">
        <f aca="false">IF($A1050="","",物件マスタ!W1050)</f>
        <v>1</v>
      </c>
      <c r="M1050" s="1" t="str">
        <f aca="false">IF($A1050="","",IFERROR(INDEX(法人マスタ!$H:$H,MATCH($B1050,法人マスタ!$A:$A,0)),""))</f>
        <v>2026年4月期（第42期）</v>
      </c>
      <c r="N1050" s="1" t="n">
        <f aca="false">IF($A1050="","",SUMIFS(物件収支!$D:$D,物件収支!$A:$A,$A1050,物件収支!$C:$C,$M1050))</f>
        <v>6</v>
      </c>
      <c r="O1050" s="1" t="n">
        <f aca="false">IF($A1050="","",SUMIFS(物件収支!$F:$F,物件収支!$A:$A,$A1050,物件収支!$C:$C,$M1050))</f>
        <v>0</v>
      </c>
      <c r="P1050" s="1" t="n">
        <f aca="false">IF($A1050="","",SUMIFS(物件収支!$I:$I,物件収支!$A:$A,$A1050,物件収支!$C:$C,$M1050))</f>
        <v>0</v>
      </c>
      <c r="Q1050" s="1" t="n">
        <f aca="false">IF($A1050="","",SUMIFS(物件収支!$O:$O,物件収支!$A:$A,$A1050,物件収支!$C:$C,$M1050))</f>
        <v>0</v>
      </c>
      <c r="R1050" s="1" t="str">
        <f aca="false">IF($A1050="","",IF(P1050=0,"",O1050-P1050))</f>
        <v/>
      </c>
      <c r="S1050" s="1" t="str">
        <f aca="false">IF($A1050="","",IF(R1050="","",R1050+Q1050))</f>
        <v/>
      </c>
      <c r="T1050" s="1" t="str">
        <f aca="false">IF($A1050="","",IF(OR(S1050="",N1050&lt;=0),"",S1050/1000*12/N1050))</f>
        <v/>
      </c>
      <c r="U1050" s="1" t="str">
        <f aca="false">IF($A1050="","",IF(OR(T1050="",J1050=0,J1050=""),"",T1050/J1050))</f>
        <v/>
      </c>
      <c r="V1050" s="1" t="str">
        <f aca="false">IF($A1050="","",IF(OR(R1050="",N1050&lt;=0,J1050=0,J1050=""),"",(R1050/1000*12/N1050)/J1050))</f>
        <v/>
      </c>
      <c r="W1050" s="1" t="str">
        <f aca="false">IF($A1050="","",IF(OR(T1050="",K1050=0,K1050=""),"",T1050/K1050))</f>
        <v/>
      </c>
      <c r="X1050" s="1" t="str">
        <f aca="false">IF($A1050="","",IF(OR(N1050&lt;=0,I1050=0,I1050="",O1050=0),"",O1050*1000/(I1050*0.3025)/N1050))</f>
        <v/>
      </c>
      <c r="Y1050" s="1" t="str">
        <f aca="false">IF($A1050="","",IF(OR(O1050=0,O1050="",P1050=0),"",P1050/O1050))</f>
        <v/>
      </c>
      <c r="Z1050" s="1" t="str">
        <f aca="false">IF($A1050="","",IFERROR(INDEX(物件収支!$E:$E,MATCH($A1050,物件収支!$A:$A,0)),""))</f>
        <v>非開示</v>
      </c>
    </row>
    <row r="1051" customFormat="false" ht="15" hidden="false" customHeight="true" outlineLevel="0" collapsed="false">
      <c r="A1051" s="1" t="str">
        <f aca="false">IF(物件マスタ!A1051="","",物件マスタ!A1051)</f>
        <v>KDX-310</v>
      </c>
      <c r="B1051" s="1" t="str">
        <f aca="false">IF($A1051="","",物件マスタ!B1051)</f>
        <v>KDX</v>
      </c>
      <c r="C1051" s="1" t="str">
        <f aca="false">IF($A1051="","",IFERROR(INDEX(法人マスタ!$C:$C,MATCH($B1051,法人マスタ!$A:$A,0)),""))</f>
        <v>ＫＤＸ不動産投資法人</v>
      </c>
      <c r="D1051" s="1" t="str">
        <f aca="false">IF($A1051="","",物件マスタ!C1051)</f>
        <v>ツクイ・サンシャイン町田</v>
      </c>
      <c r="E1051" s="1" t="str">
        <f aca="false">IF($A1051="","",物件マスタ!H1051)</f>
        <v>東京経済圏（KDX区分）</v>
      </c>
      <c r="F1051" s="1" t="n">
        <f aca="false">IF($A1051="","",物件マスタ!P1051)</f>
        <v>0</v>
      </c>
      <c r="G1051" s="1" t="str">
        <f aca="false">IF($A1051="","",物件マスタ!Q1051)</f>
        <v/>
      </c>
      <c r="H1051" s="1" t="n">
        <f aca="false">IF($A1051="","",物件マスタ!L1051)</f>
        <v>0</v>
      </c>
      <c r="I1051" s="1" t="n">
        <f aca="false">IF($A1051="","",物件マスタ!M1051)</f>
        <v>15553.33</v>
      </c>
      <c r="J1051" s="1" t="n">
        <f aca="false">IF($A1051="","",物件マスタ!S1051)</f>
        <v>7650</v>
      </c>
      <c r="K1051" s="1" t="n">
        <f aca="false">IF($A1051="","",物件マスタ!U1051)</f>
        <v>7150</v>
      </c>
      <c r="L1051" s="1" t="n">
        <f aca="false">IF($A1051="","",物件マスタ!W1051)</f>
        <v>1</v>
      </c>
      <c r="M1051" s="1" t="str">
        <f aca="false">IF($A1051="","",IFERROR(INDEX(法人マスタ!$H:$H,MATCH($B1051,法人マスタ!$A:$A,0)),""))</f>
        <v>2026年4月期（第42期）</v>
      </c>
      <c r="N1051" s="1" t="n">
        <f aca="false">IF($A1051="","",SUMIFS(物件収支!$D:$D,物件収支!$A:$A,$A1051,物件収支!$C:$C,$M1051))</f>
        <v>6</v>
      </c>
      <c r="O1051" s="1" t="n">
        <f aca="false">IF($A1051="","",SUMIFS(物件収支!$F:$F,物件収支!$A:$A,$A1051,物件収支!$C:$C,$M1051))</f>
        <v>0</v>
      </c>
      <c r="P1051" s="1" t="n">
        <f aca="false">IF($A1051="","",SUMIFS(物件収支!$I:$I,物件収支!$A:$A,$A1051,物件収支!$C:$C,$M1051))</f>
        <v>0</v>
      </c>
      <c r="Q1051" s="1" t="n">
        <f aca="false">IF($A1051="","",SUMIFS(物件収支!$O:$O,物件収支!$A:$A,$A1051,物件収支!$C:$C,$M1051))</f>
        <v>0</v>
      </c>
      <c r="R1051" s="1" t="str">
        <f aca="false">IF($A1051="","",IF(P1051=0,"",O1051-P1051))</f>
        <v/>
      </c>
      <c r="S1051" s="1" t="str">
        <f aca="false">IF($A1051="","",IF(R1051="","",R1051+Q1051))</f>
        <v/>
      </c>
      <c r="T1051" s="1" t="str">
        <f aca="false">IF($A1051="","",IF(OR(S1051="",N1051&lt;=0),"",S1051/1000*12/N1051))</f>
        <v/>
      </c>
      <c r="U1051" s="1" t="str">
        <f aca="false">IF($A1051="","",IF(OR(T1051="",J1051=0,J1051=""),"",T1051/J1051))</f>
        <v/>
      </c>
      <c r="V1051" s="1" t="str">
        <f aca="false">IF($A1051="","",IF(OR(R1051="",N1051&lt;=0,J1051=0,J1051=""),"",(R1051/1000*12/N1051)/J1051))</f>
        <v/>
      </c>
      <c r="W1051" s="1" t="str">
        <f aca="false">IF($A1051="","",IF(OR(T1051="",K1051=0,K1051=""),"",T1051/K1051))</f>
        <v/>
      </c>
      <c r="X1051" s="1" t="str">
        <f aca="false">IF($A1051="","",IF(OR(N1051&lt;=0,I1051=0,I1051="",O1051=0),"",O1051*1000/(I1051*0.3025)/N1051))</f>
        <v/>
      </c>
      <c r="Y1051" s="1" t="str">
        <f aca="false">IF($A1051="","",IF(OR(O1051=0,O1051="",P1051=0),"",P1051/O1051))</f>
        <v/>
      </c>
      <c r="Z1051" s="1" t="str">
        <f aca="false">IF($A1051="","",IFERROR(INDEX(物件収支!$E:$E,MATCH($A1051,物件収支!$A:$A,0)),""))</f>
        <v>非開示</v>
      </c>
    </row>
    <row r="1052" customFormat="false" ht="15" hidden="false" customHeight="true" outlineLevel="0" collapsed="false">
      <c r="A1052" s="1" t="str">
        <f aca="false">IF(物件マスタ!A1052="","",物件マスタ!A1052)</f>
        <v>KDX-311</v>
      </c>
      <c r="B1052" s="1" t="str">
        <f aca="false">IF($A1052="","",物件マスタ!B1052)</f>
        <v>KDX</v>
      </c>
      <c r="C1052" s="1" t="str">
        <f aca="false">IF($A1052="","",IFERROR(INDEX(法人マスタ!$C:$C,MATCH($B1052,法人マスタ!$A:$A,0)),""))</f>
        <v>ＫＤＸ不動産投資法人</v>
      </c>
      <c r="D1052" s="1" t="str">
        <f aca="false">IF($A1052="","",物件マスタ!C1052)</f>
        <v>せらび恵比寿</v>
      </c>
      <c r="E1052" s="1" t="str">
        <f aca="false">IF($A1052="","",物件マスタ!H1052)</f>
        <v>東京経済圏（KDX区分）</v>
      </c>
      <c r="F1052" s="1" t="n">
        <f aca="false">IF($A1052="","",物件マスタ!P1052)</f>
        <v>0</v>
      </c>
      <c r="G1052" s="1" t="str">
        <f aca="false">IF($A1052="","",物件マスタ!Q1052)</f>
        <v/>
      </c>
      <c r="H1052" s="1" t="n">
        <f aca="false">IF($A1052="","",物件マスタ!L1052)</f>
        <v>0</v>
      </c>
      <c r="I1052" s="1" t="n">
        <f aca="false">IF($A1052="","",物件マスタ!M1052)</f>
        <v>1557.73</v>
      </c>
      <c r="J1052" s="1" t="n">
        <f aca="false">IF($A1052="","",物件マスタ!S1052)</f>
        <v>1740</v>
      </c>
      <c r="K1052" s="1" t="n">
        <f aca="false">IF($A1052="","",物件マスタ!U1052)</f>
        <v>1770</v>
      </c>
      <c r="L1052" s="1" t="n">
        <f aca="false">IF($A1052="","",物件マスタ!W1052)</f>
        <v>1</v>
      </c>
      <c r="M1052" s="1" t="str">
        <f aca="false">IF($A1052="","",IFERROR(INDEX(法人マスタ!$H:$H,MATCH($B1052,法人マスタ!$A:$A,0)),""))</f>
        <v>2026年4月期（第42期）</v>
      </c>
      <c r="N1052" s="1" t="n">
        <f aca="false">IF($A1052="","",SUMIFS(物件収支!$D:$D,物件収支!$A:$A,$A1052,物件収支!$C:$C,$M1052))</f>
        <v>6</v>
      </c>
      <c r="O1052" s="1" t="n">
        <f aca="false">IF($A1052="","",SUMIFS(物件収支!$F:$F,物件収支!$A:$A,$A1052,物件収支!$C:$C,$M1052))</f>
        <v>0</v>
      </c>
      <c r="P1052" s="1" t="n">
        <f aca="false">IF($A1052="","",SUMIFS(物件収支!$I:$I,物件収支!$A:$A,$A1052,物件収支!$C:$C,$M1052))</f>
        <v>0</v>
      </c>
      <c r="Q1052" s="1" t="n">
        <f aca="false">IF($A1052="","",SUMIFS(物件収支!$O:$O,物件収支!$A:$A,$A1052,物件収支!$C:$C,$M1052))</f>
        <v>0</v>
      </c>
      <c r="R1052" s="1" t="str">
        <f aca="false">IF($A1052="","",IF(P1052=0,"",O1052-P1052))</f>
        <v/>
      </c>
      <c r="S1052" s="1" t="str">
        <f aca="false">IF($A1052="","",IF(R1052="","",R1052+Q1052))</f>
        <v/>
      </c>
      <c r="T1052" s="1" t="str">
        <f aca="false">IF($A1052="","",IF(OR(S1052="",N1052&lt;=0),"",S1052/1000*12/N1052))</f>
        <v/>
      </c>
      <c r="U1052" s="1" t="str">
        <f aca="false">IF($A1052="","",IF(OR(T1052="",J1052=0,J1052=""),"",T1052/J1052))</f>
        <v/>
      </c>
      <c r="V1052" s="1" t="str">
        <f aca="false">IF($A1052="","",IF(OR(R1052="",N1052&lt;=0,J1052=0,J1052=""),"",(R1052/1000*12/N1052)/J1052))</f>
        <v/>
      </c>
      <c r="W1052" s="1" t="str">
        <f aca="false">IF($A1052="","",IF(OR(T1052="",K1052=0,K1052=""),"",T1052/K1052))</f>
        <v/>
      </c>
      <c r="X1052" s="1" t="str">
        <f aca="false">IF($A1052="","",IF(OR(N1052&lt;=0,I1052=0,I1052="",O1052=0),"",O1052*1000/(I1052*0.3025)/N1052))</f>
        <v/>
      </c>
      <c r="Y1052" s="1" t="str">
        <f aca="false">IF($A1052="","",IF(OR(O1052=0,O1052="",P1052=0),"",P1052/O1052))</f>
        <v/>
      </c>
      <c r="Z1052" s="1" t="str">
        <f aca="false">IF($A1052="","",IFERROR(INDEX(物件収支!$E:$E,MATCH($A1052,物件収支!$A:$A,0)),""))</f>
        <v>非開示</v>
      </c>
    </row>
    <row r="1053" customFormat="false" ht="15" hidden="false" customHeight="true" outlineLevel="0" collapsed="false">
      <c r="A1053" s="1" t="str">
        <f aca="false">IF(物件マスタ!A1053="","",物件マスタ!A1053)</f>
        <v>KDX-312</v>
      </c>
      <c r="B1053" s="1" t="str">
        <f aca="false">IF($A1053="","",物件マスタ!B1053)</f>
        <v>KDX</v>
      </c>
      <c r="C1053" s="1" t="str">
        <f aca="false">IF($A1053="","",IFERROR(INDEX(法人マスタ!$C:$C,MATCH($B1053,法人マスタ!$A:$A,0)),""))</f>
        <v>ＫＤＸ不動産投資法人</v>
      </c>
      <c r="D1053" s="1" t="str">
        <f aca="false">IF($A1053="","",物件マスタ!C1053)</f>
        <v>SOMPOケア そんぽの家Sふじみ野</v>
      </c>
      <c r="E1053" s="1" t="str">
        <f aca="false">IF($A1053="","",物件マスタ!H1053)</f>
        <v>東京経済圏（KDX区分）</v>
      </c>
      <c r="F1053" s="1" t="n">
        <f aca="false">IF($A1053="","",物件マスタ!P1053)</f>
        <v>0</v>
      </c>
      <c r="G1053" s="1" t="str">
        <f aca="false">IF($A1053="","",物件マスタ!Q1053)</f>
        <v/>
      </c>
      <c r="H1053" s="1" t="n">
        <f aca="false">IF($A1053="","",物件マスタ!L1053)</f>
        <v>0</v>
      </c>
      <c r="I1053" s="1" t="n">
        <f aca="false">IF($A1053="","",物件マスタ!M1053)</f>
        <v>3693.83</v>
      </c>
      <c r="J1053" s="1" t="n">
        <f aca="false">IF($A1053="","",物件マスタ!S1053)</f>
        <v>1630</v>
      </c>
      <c r="K1053" s="1" t="n">
        <f aca="false">IF($A1053="","",物件マスタ!U1053)</f>
        <v>1630</v>
      </c>
      <c r="L1053" s="1" t="n">
        <f aca="false">IF($A1053="","",物件マスタ!W1053)</f>
        <v>1</v>
      </c>
      <c r="M1053" s="1" t="str">
        <f aca="false">IF($A1053="","",IFERROR(INDEX(法人マスタ!$H:$H,MATCH($B1053,法人マスタ!$A:$A,0)),""))</f>
        <v>2026年4月期（第42期）</v>
      </c>
      <c r="N1053" s="1" t="n">
        <f aca="false">IF($A1053="","",SUMIFS(物件収支!$D:$D,物件収支!$A:$A,$A1053,物件収支!$C:$C,$M1053))</f>
        <v>6</v>
      </c>
      <c r="O1053" s="1" t="n">
        <f aca="false">IF($A1053="","",SUMIFS(物件収支!$F:$F,物件収支!$A:$A,$A1053,物件収支!$C:$C,$M1053))</f>
        <v>0</v>
      </c>
      <c r="P1053" s="1" t="n">
        <f aca="false">IF($A1053="","",SUMIFS(物件収支!$I:$I,物件収支!$A:$A,$A1053,物件収支!$C:$C,$M1053))</f>
        <v>0</v>
      </c>
      <c r="Q1053" s="1" t="n">
        <f aca="false">IF($A1053="","",SUMIFS(物件収支!$O:$O,物件収支!$A:$A,$A1053,物件収支!$C:$C,$M1053))</f>
        <v>0</v>
      </c>
      <c r="R1053" s="1" t="str">
        <f aca="false">IF($A1053="","",IF(P1053=0,"",O1053-P1053))</f>
        <v/>
      </c>
      <c r="S1053" s="1" t="str">
        <f aca="false">IF($A1053="","",IF(R1053="","",R1053+Q1053))</f>
        <v/>
      </c>
      <c r="T1053" s="1" t="str">
        <f aca="false">IF($A1053="","",IF(OR(S1053="",N1053&lt;=0),"",S1053/1000*12/N1053))</f>
        <v/>
      </c>
      <c r="U1053" s="1" t="str">
        <f aca="false">IF($A1053="","",IF(OR(T1053="",J1053=0,J1053=""),"",T1053/J1053))</f>
        <v/>
      </c>
      <c r="V1053" s="1" t="str">
        <f aca="false">IF($A1053="","",IF(OR(R1053="",N1053&lt;=0,J1053=0,J1053=""),"",(R1053/1000*12/N1053)/J1053))</f>
        <v/>
      </c>
      <c r="W1053" s="1" t="str">
        <f aca="false">IF($A1053="","",IF(OR(T1053="",K1053=0,K1053=""),"",T1053/K1053))</f>
        <v/>
      </c>
      <c r="X1053" s="1" t="str">
        <f aca="false">IF($A1053="","",IF(OR(N1053&lt;=0,I1053=0,I1053="",O1053=0),"",O1053*1000/(I1053*0.3025)/N1053))</f>
        <v/>
      </c>
      <c r="Y1053" s="1" t="str">
        <f aca="false">IF($A1053="","",IF(OR(O1053=0,O1053="",P1053=0),"",P1053/O1053))</f>
        <v/>
      </c>
      <c r="Z1053" s="1" t="str">
        <f aca="false">IF($A1053="","",IFERROR(INDEX(物件収支!$E:$E,MATCH($A1053,物件収支!$A:$A,0)),""))</f>
        <v>非開示</v>
      </c>
    </row>
    <row r="1054" customFormat="false" ht="15" hidden="false" customHeight="true" outlineLevel="0" collapsed="false">
      <c r="A1054" s="1" t="str">
        <f aca="false">IF(物件マスタ!A1054="","",物件マスタ!A1054)</f>
        <v>KDX-313</v>
      </c>
      <c r="B1054" s="1" t="str">
        <f aca="false">IF($A1054="","",物件マスタ!B1054)</f>
        <v>KDX</v>
      </c>
      <c r="C1054" s="1" t="str">
        <f aca="false">IF($A1054="","",IFERROR(INDEX(法人マスタ!$C:$C,MATCH($B1054,法人マスタ!$A:$A,0)),""))</f>
        <v>ＫＤＸ不動産投資法人</v>
      </c>
      <c r="D1054" s="1" t="str">
        <f aca="false">IF($A1054="","",物件マスタ!C1054)</f>
        <v>SOMPOケア ラヴィーレレジデンス川崎新町</v>
      </c>
      <c r="E1054" s="1" t="str">
        <f aca="false">IF($A1054="","",物件マスタ!H1054)</f>
        <v>東京経済圏（KDX区分）</v>
      </c>
      <c r="F1054" s="1" t="n">
        <f aca="false">IF($A1054="","",物件マスタ!P1054)</f>
        <v>0</v>
      </c>
      <c r="G1054" s="1" t="str">
        <f aca="false">IF($A1054="","",物件マスタ!Q1054)</f>
        <v/>
      </c>
      <c r="H1054" s="1" t="n">
        <f aca="false">IF($A1054="","",物件マスタ!L1054)</f>
        <v>0</v>
      </c>
      <c r="I1054" s="1" t="n">
        <f aca="false">IF($A1054="","",物件マスタ!M1054)</f>
        <v>3455.79</v>
      </c>
      <c r="J1054" s="1" t="n">
        <f aca="false">IF($A1054="","",物件マスタ!S1054)</f>
        <v>1600</v>
      </c>
      <c r="K1054" s="1" t="n">
        <f aca="false">IF($A1054="","",物件マスタ!U1054)</f>
        <v>1600</v>
      </c>
      <c r="L1054" s="1" t="n">
        <f aca="false">IF($A1054="","",物件マスタ!W1054)</f>
        <v>1</v>
      </c>
      <c r="M1054" s="1" t="str">
        <f aca="false">IF($A1054="","",IFERROR(INDEX(法人マスタ!$H:$H,MATCH($B1054,法人マスタ!$A:$A,0)),""))</f>
        <v>2026年4月期（第42期）</v>
      </c>
      <c r="N1054" s="1" t="n">
        <f aca="false">IF($A1054="","",SUMIFS(物件収支!$D:$D,物件収支!$A:$A,$A1054,物件収支!$C:$C,$M1054))</f>
        <v>6</v>
      </c>
      <c r="O1054" s="1" t="n">
        <f aca="false">IF($A1054="","",SUMIFS(物件収支!$F:$F,物件収支!$A:$A,$A1054,物件収支!$C:$C,$M1054))</f>
        <v>0</v>
      </c>
      <c r="P1054" s="1" t="n">
        <f aca="false">IF($A1054="","",SUMIFS(物件収支!$I:$I,物件収支!$A:$A,$A1054,物件収支!$C:$C,$M1054))</f>
        <v>0</v>
      </c>
      <c r="Q1054" s="1" t="n">
        <f aca="false">IF($A1054="","",SUMIFS(物件収支!$O:$O,物件収支!$A:$A,$A1054,物件収支!$C:$C,$M1054))</f>
        <v>0</v>
      </c>
      <c r="R1054" s="1" t="str">
        <f aca="false">IF($A1054="","",IF(P1054=0,"",O1054-P1054))</f>
        <v/>
      </c>
      <c r="S1054" s="1" t="str">
        <f aca="false">IF($A1054="","",IF(R1054="","",R1054+Q1054))</f>
        <v/>
      </c>
      <c r="T1054" s="1" t="str">
        <f aca="false">IF($A1054="","",IF(OR(S1054="",N1054&lt;=0),"",S1054/1000*12/N1054))</f>
        <v/>
      </c>
      <c r="U1054" s="1" t="str">
        <f aca="false">IF($A1054="","",IF(OR(T1054="",J1054=0,J1054=""),"",T1054/J1054))</f>
        <v/>
      </c>
      <c r="V1054" s="1" t="str">
        <f aca="false">IF($A1054="","",IF(OR(R1054="",N1054&lt;=0,J1054=0,J1054=""),"",(R1054/1000*12/N1054)/J1054))</f>
        <v/>
      </c>
      <c r="W1054" s="1" t="str">
        <f aca="false">IF($A1054="","",IF(OR(T1054="",K1054=0,K1054=""),"",T1054/K1054))</f>
        <v/>
      </c>
      <c r="X1054" s="1" t="str">
        <f aca="false">IF($A1054="","",IF(OR(N1054&lt;=0,I1054=0,I1054="",O1054=0),"",O1054*1000/(I1054*0.3025)/N1054))</f>
        <v/>
      </c>
      <c r="Y1054" s="1" t="str">
        <f aca="false">IF($A1054="","",IF(OR(O1054=0,O1054="",P1054=0),"",P1054/O1054))</f>
        <v/>
      </c>
      <c r="Z1054" s="1" t="str">
        <f aca="false">IF($A1054="","",IFERROR(INDEX(物件収支!$E:$E,MATCH($A1054,物件収支!$A:$A,0)),""))</f>
        <v>非開示</v>
      </c>
    </row>
    <row r="1055" customFormat="false" ht="15" hidden="false" customHeight="true" outlineLevel="0" collapsed="false">
      <c r="A1055" s="1" t="str">
        <f aca="false">IF(物件マスタ!A1055="","",物件マスタ!A1055)</f>
        <v>KDX-314</v>
      </c>
      <c r="B1055" s="1" t="str">
        <f aca="false">IF($A1055="","",物件マスタ!B1055)</f>
        <v>KDX</v>
      </c>
      <c r="C1055" s="1" t="str">
        <f aca="false">IF($A1055="","",IFERROR(INDEX(法人マスタ!$C:$C,MATCH($B1055,法人マスタ!$A:$A,0)),""))</f>
        <v>ＫＤＸ不動産投資法人</v>
      </c>
      <c r="D1055" s="1" t="str">
        <f aca="false">IF($A1055="","",物件マスタ!C1055)</f>
        <v>ツクイ・サンシャイン足立</v>
      </c>
      <c r="E1055" s="1" t="str">
        <f aca="false">IF($A1055="","",物件マスタ!H1055)</f>
        <v>東京経済圏（KDX区分）</v>
      </c>
      <c r="F1055" s="1" t="n">
        <f aca="false">IF($A1055="","",物件マスタ!P1055)</f>
        <v>0</v>
      </c>
      <c r="G1055" s="1" t="str">
        <f aca="false">IF($A1055="","",物件マスタ!Q1055)</f>
        <v/>
      </c>
      <c r="H1055" s="1" t="n">
        <f aca="false">IF($A1055="","",物件マスタ!L1055)</f>
        <v>0</v>
      </c>
      <c r="I1055" s="1" t="n">
        <f aca="false">IF($A1055="","",物件マスタ!M1055)</f>
        <v>2204.45</v>
      </c>
      <c r="J1055" s="1" t="n">
        <f aca="false">IF($A1055="","",物件マスタ!S1055)</f>
        <v>915</v>
      </c>
      <c r="K1055" s="1" t="n">
        <f aca="false">IF($A1055="","",物件マスタ!U1055)</f>
        <v>892</v>
      </c>
      <c r="L1055" s="1" t="n">
        <f aca="false">IF($A1055="","",物件マスタ!W1055)</f>
        <v>1</v>
      </c>
      <c r="M1055" s="1" t="str">
        <f aca="false">IF($A1055="","",IFERROR(INDEX(法人マスタ!$H:$H,MATCH($B1055,法人マスタ!$A:$A,0)),""))</f>
        <v>2026年4月期（第42期）</v>
      </c>
      <c r="N1055" s="1" t="n">
        <f aca="false">IF($A1055="","",SUMIFS(物件収支!$D:$D,物件収支!$A:$A,$A1055,物件収支!$C:$C,$M1055))</f>
        <v>6</v>
      </c>
      <c r="O1055" s="1" t="n">
        <f aca="false">IF($A1055="","",SUMIFS(物件収支!$F:$F,物件収支!$A:$A,$A1055,物件収支!$C:$C,$M1055))</f>
        <v>0</v>
      </c>
      <c r="P1055" s="1" t="n">
        <f aca="false">IF($A1055="","",SUMIFS(物件収支!$I:$I,物件収支!$A:$A,$A1055,物件収支!$C:$C,$M1055))</f>
        <v>0</v>
      </c>
      <c r="Q1055" s="1" t="n">
        <f aca="false">IF($A1055="","",SUMIFS(物件収支!$O:$O,物件収支!$A:$A,$A1055,物件収支!$C:$C,$M1055))</f>
        <v>0</v>
      </c>
      <c r="R1055" s="1" t="str">
        <f aca="false">IF($A1055="","",IF(P1055=0,"",O1055-P1055))</f>
        <v/>
      </c>
      <c r="S1055" s="1" t="str">
        <f aca="false">IF($A1055="","",IF(R1055="","",R1055+Q1055))</f>
        <v/>
      </c>
      <c r="T1055" s="1" t="str">
        <f aca="false">IF($A1055="","",IF(OR(S1055="",N1055&lt;=0),"",S1055/1000*12/N1055))</f>
        <v/>
      </c>
      <c r="U1055" s="1" t="str">
        <f aca="false">IF($A1055="","",IF(OR(T1055="",J1055=0,J1055=""),"",T1055/J1055))</f>
        <v/>
      </c>
      <c r="V1055" s="1" t="str">
        <f aca="false">IF($A1055="","",IF(OR(R1055="",N1055&lt;=0,J1055=0,J1055=""),"",(R1055/1000*12/N1055)/J1055))</f>
        <v/>
      </c>
      <c r="W1055" s="1" t="str">
        <f aca="false">IF($A1055="","",IF(OR(T1055="",K1055=0,K1055=""),"",T1055/K1055))</f>
        <v/>
      </c>
      <c r="X1055" s="1" t="str">
        <f aca="false">IF($A1055="","",IF(OR(N1055&lt;=0,I1055=0,I1055="",O1055=0),"",O1055*1000/(I1055*0.3025)/N1055))</f>
        <v/>
      </c>
      <c r="Y1055" s="1" t="str">
        <f aca="false">IF($A1055="","",IF(OR(O1055=0,O1055="",P1055=0),"",P1055/O1055))</f>
        <v/>
      </c>
      <c r="Z1055" s="1" t="str">
        <f aca="false">IF($A1055="","",IFERROR(INDEX(物件収支!$E:$E,MATCH($A1055,物件収支!$A:$A,0)),""))</f>
        <v>非開示</v>
      </c>
    </row>
    <row r="1056" customFormat="false" ht="15" hidden="false" customHeight="true" outlineLevel="0" collapsed="false">
      <c r="A1056" s="1" t="str">
        <f aca="false">IF(物件マスタ!A1056="","",物件マスタ!A1056)</f>
        <v>KDX-315</v>
      </c>
      <c r="B1056" s="1" t="str">
        <f aca="false">IF($A1056="","",物件マスタ!B1056)</f>
        <v>KDX</v>
      </c>
      <c r="C1056" s="1" t="str">
        <f aca="false">IF($A1056="","",IFERROR(INDEX(法人マスタ!$C:$C,MATCH($B1056,法人マスタ!$A:$A,0)),""))</f>
        <v>ＫＤＸ不動産投資法人</v>
      </c>
      <c r="D1056" s="1" t="str">
        <f aca="false">IF($A1056="","",物件マスタ!C1056)</f>
        <v>SOMPOケア ラヴィーレ一之江</v>
      </c>
      <c r="E1056" s="1" t="str">
        <f aca="false">IF($A1056="","",物件マスタ!H1056)</f>
        <v>東京経済圏（KDX区分）</v>
      </c>
      <c r="F1056" s="1" t="n">
        <f aca="false">IF($A1056="","",物件マスタ!P1056)</f>
        <v>0</v>
      </c>
      <c r="G1056" s="1" t="str">
        <f aca="false">IF($A1056="","",物件マスタ!Q1056)</f>
        <v/>
      </c>
      <c r="H1056" s="1" t="n">
        <f aca="false">IF($A1056="","",物件マスタ!L1056)</f>
        <v>0</v>
      </c>
      <c r="I1056" s="1" t="n">
        <f aca="false">IF($A1056="","",物件マスタ!M1056)</f>
        <v>2306.95</v>
      </c>
      <c r="J1056" s="1" t="n">
        <f aca="false">IF($A1056="","",物件マスタ!S1056)</f>
        <v>1260</v>
      </c>
      <c r="K1056" s="1" t="n">
        <f aca="false">IF($A1056="","",物件マスタ!U1056)</f>
        <v>1230</v>
      </c>
      <c r="L1056" s="1" t="n">
        <f aca="false">IF($A1056="","",物件マスタ!W1056)</f>
        <v>1</v>
      </c>
      <c r="M1056" s="1" t="str">
        <f aca="false">IF($A1056="","",IFERROR(INDEX(法人マスタ!$H:$H,MATCH($B1056,法人マスタ!$A:$A,0)),""))</f>
        <v>2026年4月期（第42期）</v>
      </c>
      <c r="N1056" s="1" t="n">
        <f aca="false">IF($A1056="","",SUMIFS(物件収支!$D:$D,物件収支!$A:$A,$A1056,物件収支!$C:$C,$M1056))</f>
        <v>6</v>
      </c>
      <c r="O1056" s="1" t="n">
        <f aca="false">IF($A1056="","",SUMIFS(物件収支!$F:$F,物件収支!$A:$A,$A1056,物件収支!$C:$C,$M1056))</f>
        <v>0</v>
      </c>
      <c r="P1056" s="1" t="n">
        <f aca="false">IF($A1056="","",SUMIFS(物件収支!$I:$I,物件収支!$A:$A,$A1056,物件収支!$C:$C,$M1056))</f>
        <v>0</v>
      </c>
      <c r="Q1056" s="1" t="n">
        <f aca="false">IF($A1056="","",SUMIFS(物件収支!$O:$O,物件収支!$A:$A,$A1056,物件収支!$C:$C,$M1056))</f>
        <v>0</v>
      </c>
      <c r="R1056" s="1" t="str">
        <f aca="false">IF($A1056="","",IF(P1056=0,"",O1056-P1056))</f>
        <v/>
      </c>
      <c r="S1056" s="1" t="str">
        <f aca="false">IF($A1056="","",IF(R1056="","",R1056+Q1056))</f>
        <v/>
      </c>
      <c r="T1056" s="1" t="str">
        <f aca="false">IF($A1056="","",IF(OR(S1056="",N1056&lt;=0),"",S1056/1000*12/N1056))</f>
        <v/>
      </c>
      <c r="U1056" s="1" t="str">
        <f aca="false">IF($A1056="","",IF(OR(T1056="",J1056=0,J1056=""),"",T1056/J1056))</f>
        <v/>
      </c>
      <c r="V1056" s="1" t="str">
        <f aca="false">IF($A1056="","",IF(OR(R1056="",N1056&lt;=0,J1056=0,J1056=""),"",(R1056/1000*12/N1056)/J1056))</f>
        <v/>
      </c>
      <c r="W1056" s="1" t="str">
        <f aca="false">IF($A1056="","",IF(OR(T1056="",K1056=0,K1056=""),"",T1056/K1056))</f>
        <v/>
      </c>
      <c r="X1056" s="1" t="str">
        <f aca="false">IF($A1056="","",IF(OR(N1056&lt;=0,I1056=0,I1056="",O1056=0),"",O1056*1000/(I1056*0.3025)/N1056))</f>
        <v/>
      </c>
      <c r="Y1056" s="1" t="str">
        <f aca="false">IF($A1056="","",IF(OR(O1056=0,O1056="",P1056=0),"",P1056/O1056))</f>
        <v/>
      </c>
      <c r="Z1056" s="1" t="str">
        <f aca="false">IF($A1056="","",IFERROR(INDEX(物件収支!$E:$E,MATCH($A1056,物件収支!$A:$A,0)),""))</f>
        <v>非開示</v>
      </c>
    </row>
    <row r="1057" customFormat="false" ht="15" hidden="false" customHeight="true" outlineLevel="0" collapsed="false">
      <c r="A1057" s="1" t="str">
        <f aca="false">IF(物件マスタ!A1057="","",物件マスタ!A1057)</f>
        <v>KDX-316</v>
      </c>
      <c r="B1057" s="1" t="str">
        <f aca="false">IF($A1057="","",物件マスタ!B1057)</f>
        <v>KDX</v>
      </c>
      <c r="C1057" s="1" t="str">
        <f aca="false">IF($A1057="","",IFERROR(INDEX(法人マスタ!$C:$C,MATCH($B1057,法人マスタ!$A:$A,0)),""))</f>
        <v>ＫＤＸ不動産投資法人</v>
      </c>
      <c r="D1057" s="1" t="str">
        <f aca="false">IF($A1057="","",物件マスタ!C1057)</f>
        <v>ニチイホーム八幡山</v>
      </c>
      <c r="E1057" s="1" t="str">
        <f aca="false">IF($A1057="","",物件マスタ!H1057)</f>
        <v>東京経済圏（KDX区分）</v>
      </c>
      <c r="F1057" s="1" t="n">
        <f aca="false">IF($A1057="","",物件マスタ!P1057)</f>
        <v>0</v>
      </c>
      <c r="G1057" s="1" t="str">
        <f aca="false">IF($A1057="","",物件マスタ!Q1057)</f>
        <v/>
      </c>
      <c r="H1057" s="1" t="n">
        <f aca="false">IF($A1057="","",物件マスタ!L1057)</f>
        <v>0</v>
      </c>
      <c r="I1057" s="1" t="n">
        <f aca="false">IF($A1057="","",物件マスタ!M1057)</f>
        <v>2739.47</v>
      </c>
      <c r="J1057" s="1" t="n">
        <f aca="false">IF($A1057="","",物件マスタ!S1057)</f>
        <v>2410</v>
      </c>
      <c r="K1057" s="1" t="n">
        <f aca="false">IF($A1057="","",物件マスタ!U1057)</f>
        <v>2400</v>
      </c>
      <c r="L1057" s="1" t="n">
        <f aca="false">IF($A1057="","",物件マスタ!W1057)</f>
        <v>1</v>
      </c>
      <c r="M1057" s="1" t="str">
        <f aca="false">IF($A1057="","",IFERROR(INDEX(法人マスタ!$H:$H,MATCH($B1057,法人マスタ!$A:$A,0)),""))</f>
        <v>2026年4月期（第42期）</v>
      </c>
      <c r="N1057" s="1" t="n">
        <f aca="false">IF($A1057="","",SUMIFS(物件収支!$D:$D,物件収支!$A:$A,$A1057,物件収支!$C:$C,$M1057))</f>
        <v>6</v>
      </c>
      <c r="O1057" s="1" t="n">
        <f aca="false">IF($A1057="","",SUMIFS(物件収支!$F:$F,物件収支!$A:$A,$A1057,物件収支!$C:$C,$M1057))</f>
        <v>0</v>
      </c>
      <c r="P1057" s="1" t="n">
        <f aca="false">IF($A1057="","",SUMIFS(物件収支!$I:$I,物件収支!$A:$A,$A1057,物件収支!$C:$C,$M1057))</f>
        <v>0</v>
      </c>
      <c r="Q1057" s="1" t="n">
        <f aca="false">IF($A1057="","",SUMIFS(物件収支!$O:$O,物件収支!$A:$A,$A1057,物件収支!$C:$C,$M1057))</f>
        <v>0</v>
      </c>
      <c r="R1057" s="1" t="str">
        <f aca="false">IF($A1057="","",IF(P1057=0,"",O1057-P1057))</f>
        <v/>
      </c>
      <c r="S1057" s="1" t="str">
        <f aca="false">IF($A1057="","",IF(R1057="","",R1057+Q1057))</f>
        <v/>
      </c>
      <c r="T1057" s="1" t="str">
        <f aca="false">IF($A1057="","",IF(OR(S1057="",N1057&lt;=0),"",S1057/1000*12/N1057))</f>
        <v/>
      </c>
      <c r="U1057" s="1" t="str">
        <f aca="false">IF($A1057="","",IF(OR(T1057="",J1057=0,J1057=""),"",T1057/J1057))</f>
        <v/>
      </c>
      <c r="V1057" s="1" t="str">
        <f aca="false">IF($A1057="","",IF(OR(R1057="",N1057&lt;=0,J1057=0,J1057=""),"",(R1057/1000*12/N1057)/J1057))</f>
        <v/>
      </c>
      <c r="W1057" s="1" t="str">
        <f aca="false">IF($A1057="","",IF(OR(T1057="",K1057=0,K1057=""),"",T1057/K1057))</f>
        <v/>
      </c>
      <c r="X1057" s="1" t="str">
        <f aca="false">IF($A1057="","",IF(OR(N1057&lt;=0,I1057=0,I1057="",O1057=0),"",O1057*1000/(I1057*0.3025)/N1057))</f>
        <v/>
      </c>
      <c r="Y1057" s="1" t="str">
        <f aca="false">IF($A1057="","",IF(OR(O1057=0,O1057="",P1057=0),"",P1057/O1057))</f>
        <v/>
      </c>
      <c r="Z1057" s="1" t="str">
        <f aca="false">IF($A1057="","",IFERROR(INDEX(物件収支!$E:$E,MATCH($A1057,物件収支!$A:$A,0)),""))</f>
        <v>非開示</v>
      </c>
    </row>
    <row r="1058" customFormat="false" ht="15" hidden="false" customHeight="true" outlineLevel="0" collapsed="false">
      <c r="A1058" s="1" t="str">
        <f aca="false">IF(物件マスタ!A1058="","",物件マスタ!A1058)</f>
        <v>KDX-317</v>
      </c>
      <c r="B1058" s="1" t="str">
        <f aca="false">IF($A1058="","",物件マスタ!B1058)</f>
        <v>KDX</v>
      </c>
      <c r="C1058" s="1" t="str">
        <f aca="false">IF($A1058="","",IFERROR(INDEX(法人マスタ!$C:$C,MATCH($B1058,法人マスタ!$A:$A,0)),""))</f>
        <v>ＫＤＸ不動産投資法人</v>
      </c>
      <c r="D1058" s="1" t="str">
        <f aca="false">IF($A1058="","",物件マスタ!C1058)</f>
        <v>サニーライフ立川</v>
      </c>
      <c r="E1058" s="1" t="str">
        <f aca="false">IF($A1058="","",物件マスタ!H1058)</f>
        <v>東京経済圏（KDX区分）</v>
      </c>
      <c r="F1058" s="1" t="n">
        <f aca="false">IF($A1058="","",物件マスタ!P1058)</f>
        <v>0</v>
      </c>
      <c r="G1058" s="1" t="str">
        <f aca="false">IF($A1058="","",物件マスタ!Q1058)</f>
        <v/>
      </c>
      <c r="H1058" s="1" t="n">
        <f aca="false">IF($A1058="","",物件マスタ!L1058)</f>
        <v>0</v>
      </c>
      <c r="I1058" s="1" t="n">
        <f aca="false">IF($A1058="","",物件マスタ!M1058)</f>
        <v>3485.36</v>
      </c>
      <c r="J1058" s="1" t="n">
        <f aca="false">IF($A1058="","",物件マスタ!S1058)</f>
        <v>1960</v>
      </c>
      <c r="K1058" s="1" t="n">
        <f aca="false">IF($A1058="","",物件マスタ!U1058)</f>
        <v>1950</v>
      </c>
      <c r="L1058" s="1" t="n">
        <f aca="false">IF($A1058="","",物件マスタ!W1058)</f>
        <v>1</v>
      </c>
      <c r="M1058" s="1" t="str">
        <f aca="false">IF($A1058="","",IFERROR(INDEX(法人マスタ!$H:$H,MATCH($B1058,法人マスタ!$A:$A,0)),""))</f>
        <v>2026年4月期（第42期）</v>
      </c>
      <c r="N1058" s="1" t="n">
        <f aca="false">IF($A1058="","",SUMIFS(物件収支!$D:$D,物件収支!$A:$A,$A1058,物件収支!$C:$C,$M1058))</f>
        <v>6</v>
      </c>
      <c r="O1058" s="1" t="n">
        <f aca="false">IF($A1058="","",SUMIFS(物件収支!$F:$F,物件収支!$A:$A,$A1058,物件収支!$C:$C,$M1058))</f>
        <v>0</v>
      </c>
      <c r="P1058" s="1" t="n">
        <f aca="false">IF($A1058="","",SUMIFS(物件収支!$I:$I,物件収支!$A:$A,$A1058,物件収支!$C:$C,$M1058))</f>
        <v>0</v>
      </c>
      <c r="Q1058" s="1" t="n">
        <f aca="false">IF($A1058="","",SUMIFS(物件収支!$O:$O,物件収支!$A:$A,$A1058,物件収支!$C:$C,$M1058))</f>
        <v>0</v>
      </c>
      <c r="R1058" s="1" t="str">
        <f aca="false">IF($A1058="","",IF(P1058=0,"",O1058-P1058))</f>
        <v/>
      </c>
      <c r="S1058" s="1" t="str">
        <f aca="false">IF($A1058="","",IF(R1058="","",R1058+Q1058))</f>
        <v/>
      </c>
      <c r="T1058" s="1" t="str">
        <f aca="false">IF($A1058="","",IF(OR(S1058="",N1058&lt;=0),"",S1058/1000*12/N1058))</f>
        <v/>
      </c>
      <c r="U1058" s="1" t="str">
        <f aca="false">IF($A1058="","",IF(OR(T1058="",J1058=0,J1058=""),"",T1058/J1058))</f>
        <v/>
      </c>
      <c r="V1058" s="1" t="str">
        <f aca="false">IF($A1058="","",IF(OR(R1058="",N1058&lt;=0,J1058=0,J1058=""),"",(R1058/1000*12/N1058)/J1058))</f>
        <v/>
      </c>
      <c r="W1058" s="1" t="str">
        <f aca="false">IF($A1058="","",IF(OR(T1058="",K1058=0,K1058=""),"",T1058/K1058))</f>
        <v/>
      </c>
      <c r="X1058" s="1" t="str">
        <f aca="false">IF($A1058="","",IF(OR(N1058&lt;=0,I1058=0,I1058="",O1058=0),"",O1058*1000/(I1058*0.3025)/N1058))</f>
        <v/>
      </c>
      <c r="Y1058" s="1" t="str">
        <f aca="false">IF($A1058="","",IF(OR(O1058=0,O1058="",P1058=0),"",P1058/O1058))</f>
        <v/>
      </c>
      <c r="Z1058" s="1" t="str">
        <f aca="false">IF($A1058="","",IFERROR(INDEX(物件収支!$E:$E,MATCH($A1058,物件収支!$A:$A,0)),""))</f>
        <v>非開示</v>
      </c>
    </row>
    <row r="1059" customFormat="false" ht="15" hidden="false" customHeight="true" outlineLevel="0" collapsed="false">
      <c r="A1059" s="1" t="str">
        <f aca="false">IF(物件マスタ!A1059="","",物件マスタ!A1059)</f>
        <v>KDX-318</v>
      </c>
      <c r="B1059" s="1" t="str">
        <f aca="false">IF($A1059="","",物件マスタ!B1059)</f>
        <v>KDX</v>
      </c>
      <c r="C1059" s="1" t="str">
        <f aca="false">IF($A1059="","",IFERROR(INDEX(法人マスタ!$C:$C,MATCH($B1059,法人マスタ!$A:$A,0)),""))</f>
        <v>ＫＤＸ不動産投資法人</v>
      </c>
      <c r="D1059" s="1" t="str">
        <f aca="false">IF($A1059="","",物件マスタ!C1059)</f>
        <v>リハビリホームボンセジュール南千束</v>
      </c>
      <c r="E1059" s="1" t="str">
        <f aca="false">IF($A1059="","",物件マスタ!H1059)</f>
        <v>東京経済圏（KDX区分）</v>
      </c>
      <c r="F1059" s="1" t="n">
        <f aca="false">IF($A1059="","",物件マスタ!P1059)</f>
        <v>0</v>
      </c>
      <c r="G1059" s="1" t="str">
        <f aca="false">IF($A1059="","",物件マスタ!Q1059)</f>
        <v/>
      </c>
      <c r="H1059" s="1" t="n">
        <f aca="false">IF($A1059="","",物件マスタ!L1059)</f>
        <v>0</v>
      </c>
      <c r="I1059" s="1" t="n">
        <f aca="false">IF($A1059="","",物件マスタ!M1059)</f>
        <v>1979.78</v>
      </c>
      <c r="J1059" s="1" t="n">
        <f aca="false">IF($A1059="","",物件マスタ!S1059)</f>
        <v>1590</v>
      </c>
      <c r="K1059" s="1" t="n">
        <f aca="false">IF($A1059="","",物件マスタ!U1059)</f>
        <v>1540</v>
      </c>
      <c r="L1059" s="1" t="n">
        <f aca="false">IF($A1059="","",物件マスタ!W1059)</f>
        <v>1</v>
      </c>
      <c r="M1059" s="1" t="str">
        <f aca="false">IF($A1059="","",IFERROR(INDEX(法人マスタ!$H:$H,MATCH($B1059,法人マスタ!$A:$A,0)),""))</f>
        <v>2026年4月期（第42期）</v>
      </c>
      <c r="N1059" s="1" t="n">
        <f aca="false">IF($A1059="","",SUMIFS(物件収支!$D:$D,物件収支!$A:$A,$A1059,物件収支!$C:$C,$M1059))</f>
        <v>6</v>
      </c>
      <c r="O1059" s="1" t="n">
        <f aca="false">IF($A1059="","",SUMIFS(物件収支!$F:$F,物件収支!$A:$A,$A1059,物件収支!$C:$C,$M1059))</f>
        <v>0</v>
      </c>
      <c r="P1059" s="1" t="n">
        <f aca="false">IF($A1059="","",SUMIFS(物件収支!$I:$I,物件収支!$A:$A,$A1059,物件収支!$C:$C,$M1059))</f>
        <v>0</v>
      </c>
      <c r="Q1059" s="1" t="n">
        <f aca="false">IF($A1059="","",SUMIFS(物件収支!$O:$O,物件収支!$A:$A,$A1059,物件収支!$C:$C,$M1059))</f>
        <v>0</v>
      </c>
      <c r="R1059" s="1" t="str">
        <f aca="false">IF($A1059="","",IF(P1059=0,"",O1059-P1059))</f>
        <v/>
      </c>
      <c r="S1059" s="1" t="str">
        <f aca="false">IF($A1059="","",IF(R1059="","",R1059+Q1059))</f>
        <v/>
      </c>
      <c r="T1059" s="1" t="str">
        <f aca="false">IF($A1059="","",IF(OR(S1059="",N1059&lt;=0),"",S1059/1000*12/N1059))</f>
        <v/>
      </c>
      <c r="U1059" s="1" t="str">
        <f aca="false">IF($A1059="","",IF(OR(T1059="",J1059=0,J1059=""),"",T1059/J1059))</f>
        <v/>
      </c>
      <c r="V1059" s="1" t="str">
        <f aca="false">IF($A1059="","",IF(OR(R1059="",N1059&lt;=0,J1059=0,J1059=""),"",(R1059/1000*12/N1059)/J1059))</f>
        <v/>
      </c>
      <c r="W1059" s="1" t="str">
        <f aca="false">IF($A1059="","",IF(OR(T1059="",K1059=0,K1059=""),"",T1059/K1059))</f>
        <v/>
      </c>
      <c r="X1059" s="1" t="str">
        <f aca="false">IF($A1059="","",IF(OR(N1059&lt;=0,I1059=0,I1059="",O1059=0),"",O1059*1000/(I1059*0.3025)/N1059))</f>
        <v/>
      </c>
      <c r="Y1059" s="1" t="str">
        <f aca="false">IF($A1059="","",IF(OR(O1059=0,O1059="",P1059=0),"",P1059/O1059))</f>
        <v/>
      </c>
      <c r="Z1059" s="1" t="str">
        <f aca="false">IF($A1059="","",IFERROR(INDEX(物件収支!$E:$E,MATCH($A1059,物件収支!$A:$A,0)),""))</f>
        <v>非開示</v>
      </c>
    </row>
    <row r="1060" customFormat="false" ht="15" hidden="false" customHeight="true" outlineLevel="0" collapsed="false">
      <c r="A1060" s="1" t="str">
        <f aca="false">IF(物件マスタ!A1060="","",物件マスタ!A1060)</f>
        <v>KDX-319</v>
      </c>
      <c r="B1060" s="1" t="str">
        <f aca="false">IF($A1060="","",物件マスタ!B1060)</f>
        <v>KDX</v>
      </c>
      <c r="C1060" s="1" t="str">
        <f aca="false">IF($A1060="","",IFERROR(INDEX(法人マスタ!$C:$C,MATCH($B1060,法人マスタ!$A:$A,0)),""))</f>
        <v>ＫＤＸ不動産投資法人</v>
      </c>
      <c r="D1060" s="1" t="str">
        <f aca="false">IF($A1060="","",物件マスタ!C1060)</f>
        <v>イリーゼ練馬光が丘</v>
      </c>
      <c r="E1060" s="1" t="str">
        <f aca="false">IF($A1060="","",物件マスタ!H1060)</f>
        <v>東京経済圏（KDX区分）</v>
      </c>
      <c r="F1060" s="1" t="n">
        <f aca="false">IF($A1060="","",物件マスタ!P1060)</f>
        <v>0</v>
      </c>
      <c r="G1060" s="1" t="str">
        <f aca="false">IF($A1060="","",物件マスタ!Q1060)</f>
        <v/>
      </c>
      <c r="H1060" s="1" t="n">
        <f aca="false">IF($A1060="","",物件マスタ!L1060)</f>
        <v>0</v>
      </c>
      <c r="I1060" s="1" t="n">
        <f aca="false">IF($A1060="","",物件マスタ!M1060)</f>
        <v>2464.51</v>
      </c>
      <c r="J1060" s="1" t="n">
        <f aca="false">IF($A1060="","",物件マスタ!S1060)</f>
        <v>1351</v>
      </c>
      <c r="K1060" s="1" t="n">
        <f aca="false">IF($A1060="","",物件マスタ!U1060)</f>
        <v>1490</v>
      </c>
      <c r="L1060" s="1" t="n">
        <f aca="false">IF($A1060="","",物件マスタ!W1060)</f>
        <v>1</v>
      </c>
      <c r="M1060" s="1" t="str">
        <f aca="false">IF($A1060="","",IFERROR(INDEX(法人マスタ!$H:$H,MATCH($B1060,法人マスタ!$A:$A,0)),""))</f>
        <v>2026年4月期（第42期）</v>
      </c>
      <c r="N1060" s="1" t="n">
        <f aca="false">IF($A1060="","",SUMIFS(物件収支!$D:$D,物件収支!$A:$A,$A1060,物件収支!$C:$C,$M1060))</f>
        <v>6</v>
      </c>
      <c r="O1060" s="1" t="n">
        <f aca="false">IF($A1060="","",SUMIFS(物件収支!$F:$F,物件収支!$A:$A,$A1060,物件収支!$C:$C,$M1060))</f>
        <v>0</v>
      </c>
      <c r="P1060" s="1" t="n">
        <f aca="false">IF($A1060="","",SUMIFS(物件収支!$I:$I,物件収支!$A:$A,$A1060,物件収支!$C:$C,$M1060))</f>
        <v>0</v>
      </c>
      <c r="Q1060" s="1" t="n">
        <f aca="false">IF($A1060="","",SUMIFS(物件収支!$O:$O,物件収支!$A:$A,$A1060,物件収支!$C:$C,$M1060))</f>
        <v>0</v>
      </c>
      <c r="R1060" s="1" t="str">
        <f aca="false">IF($A1060="","",IF(P1060=0,"",O1060-P1060))</f>
        <v/>
      </c>
      <c r="S1060" s="1" t="str">
        <f aca="false">IF($A1060="","",IF(R1060="","",R1060+Q1060))</f>
        <v/>
      </c>
      <c r="T1060" s="1" t="str">
        <f aca="false">IF($A1060="","",IF(OR(S1060="",N1060&lt;=0),"",S1060/1000*12/N1060))</f>
        <v/>
      </c>
      <c r="U1060" s="1" t="str">
        <f aca="false">IF($A1060="","",IF(OR(T1060="",J1060=0,J1060=""),"",T1060/J1060))</f>
        <v/>
      </c>
      <c r="V1060" s="1" t="str">
        <f aca="false">IF($A1060="","",IF(OR(R1060="",N1060&lt;=0,J1060=0,J1060=""),"",(R1060/1000*12/N1060)/J1060))</f>
        <v/>
      </c>
      <c r="W1060" s="1" t="str">
        <f aca="false">IF($A1060="","",IF(OR(T1060="",K1060=0,K1060=""),"",T1060/K1060))</f>
        <v/>
      </c>
      <c r="X1060" s="1" t="str">
        <f aca="false">IF($A1060="","",IF(OR(N1060&lt;=0,I1060=0,I1060="",O1060=0),"",O1060*1000/(I1060*0.3025)/N1060))</f>
        <v/>
      </c>
      <c r="Y1060" s="1" t="str">
        <f aca="false">IF($A1060="","",IF(OR(O1060=0,O1060="",P1060=0),"",P1060/O1060))</f>
        <v/>
      </c>
      <c r="Z1060" s="1" t="str">
        <f aca="false">IF($A1060="","",IFERROR(INDEX(物件収支!$E:$E,MATCH($A1060,物件収支!$A:$A,0)),""))</f>
        <v>非開示</v>
      </c>
    </row>
    <row r="1061" customFormat="false" ht="15" hidden="false" customHeight="true" outlineLevel="0" collapsed="false">
      <c r="A1061" s="1" t="str">
        <f aca="false">IF(物件マスタ!A1061="","",物件マスタ!A1061)</f>
        <v>KDX-320</v>
      </c>
      <c r="B1061" s="1" t="str">
        <f aca="false">IF($A1061="","",物件マスタ!B1061)</f>
        <v>KDX</v>
      </c>
      <c r="C1061" s="1" t="str">
        <f aca="false">IF($A1061="","",IFERROR(INDEX(法人マスタ!$C:$C,MATCH($B1061,法人マスタ!$A:$A,0)),""))</f>
        <v>ＫＤＸ不動産投資法人</v>
      </c>
      <c r="D1061" s="1" t="str">
        <f aca="false">IF($A1061="","",物件マスタ!C1061)</f>
        <v>SOMPOケア ラヴィーレ元住吉</v>
      </c>
      <c r="E1061" s="1" t="str">
        <f aca="false">IF($A1061="","",物件マスタ!H1061)</f>
        <v>東京経済圏（KDX区分）</v>
      </c>
      <c r="F1061" s="1" t="n">
        <f aca="false">IF($A1061="","",物件マスタ!P1061)</f>
        <v>0</v>
      </c>
      <c r="G1061" s="1" t="str">
        <f aca="false">IF($A1061="","",物件マスタ!Q1061)</f>
        <v/>
      </c>
      <c r="H1061" s="1" t="n">
        <f aca="false">IF($A1061="","",物件マスタ!L1061)</f>
        <v>0</v>
      </c>
      <c r="I1061" s="1" t="n">
        <f aca="false">IF($A1061="","",物件マスタ!M1061)</f>
        <v>4101.36</v>
      </c>
      <c r="J1061" s="1" t="n">
        <f aca="false">IF($A1061="","",物件マスタ!S1061)</f>
        <v>3730</v>
      </c>
      <c r="K1061" s="1" t="n">
        <f aca="false">IF($A1061="","",物件マスタ!U1061)</f>
        <v>3860</v>
      </c>
      <c r="L1061" s="1" t="n">
        <f aca="false">IF($A1061="","",物件マスタ!W1061)</f>
        <v>1</v>
      </c>
      <c r="M1061" s="1" t="str">
        <f aca="false">IF($A1061="","",IFERROR(INDEX(法人マスタ!$H:$H,MATCH($B1061,法人マスタ!$A:$A,0)),""))</f>
        <v>2026年4月期（第42期）</v>
      </c>
      <c r="N1061" s="1" t="n">
        <f aca="false">IF($A1061="","",SUMIFS(物件収支!$D:$D,物件収支!$A:$A,$A1061,物件収支!$C:$C,$M1061))</f>
        <v>6</v>
      </c>
      <c r="O1061" s="1" t="n">
        <f aca="false">IF($A1061="","",SUMIFS(物件収支!$F:$F,物件収支!$A:$A,$A1061,物件収支!$C:$C,$M1061))</f>
        <v>0</v>
      </c>
      <c r="P1061" s="1" t="n">
        <f aca="false">IF($A1061="","",SUMIFS(物件収支!$I:$I,物件収支!$A:$A,$A1061,物件収支!$C:$C,$M1061))</f>
        <v>0</v>
      </c>
      <c r="Q1061" s="1" t="n">
        <f aca="false">IF($A1061="","",SUMIFS(物件収支!$O:$O,物件収支!$A:$A,$A1061,物件収支!$C:$C,$M1061))</f>
        <v>0</v>
      </c>
      <c r="R1061" s="1" t="str">
        <f aca="false">IF($A1061="","",IF(P1061=0,"",O1061-P1061))</f>
        <v/>
      </c>
      <c r="S1061" s="1" t="str">
        <f aca="false">IF($A1061="","",IF(R1061="","",R1061+Q1061))</f>
        <v/>
      </c>
      <c r="T1061" s="1" t="str">
        <f aca="false">IF($A1061="","",IF(OR(S1061="",N1061&lt;=0),"",S1061/1000*12/N1061))</f>
        <v/>
      </c>
      <c r="U1061" s="1" t="str">
        <f aca="false">IF($A1061="","",IF(OR(T1061="",J1061=0,J1061=""),"",T1061/J1061))</f>
        <v/>
      </c>
      <c r="V1061" s="1" t="str">
        <f aca="false">IF($A1061="","",IF(OR(R1061="",N1061&lt;=0,J1061=0,J1061=""),"",(R1061/1000*12/N1061)/J1061))</f>
        <v/>
      </c>
      <c r="W1061" s="1" t="str">
        <f aca="false">IF($A1061="","",IF(OR(T1061="",K1061=0,K1061=""),"",T1061/K1061))</f>
        <v/>
      </c>
      <c r="X1061" s="1" t="str">
        <f aca="false">IF($A1061="","",IF(OR(N1061&lt;=0,I1061=0,I1061="",O1061=0),"",O1061*1000/(I1061*0.3025)/N1061))</f>
        <v/>
      </c>
      <c r="Y1061" s="1" t="str">
        <f aca="false">IF($A1061="","",IF(OR(O1061=0,O1061="",P1061=0),"",P1061/O1061))</f>
        <v/>
      </c>
      <c r="Z1061" s="1" t="str">
        <f aca="false">IF($A1061="","",IFERROR(INDEX(物件収支!$E:$E,MATCH($A1061,物件収支!$A:$A,0)),""))</f>
        <v>非開示</v>
      </c>
    </row>
    <row r="1062" customFormat="false" ht="15" hidden="false" customHeight="true" outlineLevel="0" collapsed="false">
      <c r="A1062" s="1" t="str">
        <f aca="false">IF(物件マスタ!A1062="","",物件マスタ!A1062)</f>
        <v>KDX-321</v>
      </c>
      <c r="B1062" s="1" t="str">
        <f aca="false">IF($A1062="","",物件マスタ!B1062)</f>
        <v>KDX</v>
      </c>
      <c r="C1062" s="1" t="str">
        <f aca="false">IF($A1062="","",IFERROR(INDEX(法人マスタ!$C:$C,MATCH($B1062,法人マスタ!$A:$A,0)),""))</f>
        <v>ＫＤＸ不動産投資法人</v>
      </c>
      <c r="D1062" s="1" t="str">
        <f aca="false">IF($A1062="","",物件マスタ!C1062)</f>
        <v>ニチイホーム碑文谷</v>
      </c>
      <c r="E1062" s="1" t="str">
        <f aca="false">IF($A1062="","",物件マスタ!H1062)</f>
        <v>東京経済圏（KDX区分）</v>
      </c>
      <c r="F1062" s="1" t="n">
        <f aca="false">IF($A1062="","",物件マスタ!P1062)</f>
        <v>0</v>
      </c>
      <c r="G1062" s="1" t="str">
        <f aca="false">IF($A1062="","",物件マスタ!Q1062)</f>
        <v/>
      </c>
      <c r="H1062" s="1" t="n">
        <f aca="false">IF($A1062="","",物件マスタ!L1062)</f>
        <v>0</v>
      </c>
      <c r="I1062" s="1" t="n">
        <f aca="false">IF($A1062="","",物件マスタ!M1062)</f>
        <v>1834.43</v>
      </c>
      <c r="J1062" s="1" t="n">
        <f aca="false">IF($A1062="","",物件マスタ!S1062)</f>
        <v>1780</v>
      </c>
      <c r="K1062" s="1" t="n">
        <f aca="false">IF($A1062="","",物件マスタ!U1062)</f>
        <v>2020</v>
      </c>
      <c r="L1062" s="1" t="n">
        <f aca="false">IF($A1062="","",物件マスタ!W1062)</f>
        <v>1</v>
      </c>
      <c r="M1062" s="1" t="str">
        <f aca="false">IF($A1062="","",IFERROR(INDEX(法人マスタ!$H:$H,MATCH($B1062,法人マスタ!$A:$A,0)),""))</f>
        <v>2026年4月期（第42期）</v>
      </c>
      <c r="N1062" s="1" t="n">
        <f aca="false">IF($A1062="","",SUMIFS(物件収支!$D:$D,物件収支!$A:$A,$A1062,物件収支!$C:$C,$M1062))</f>
        <v>6</v>
      </c>
      <c r="O1062" s="1" t="n">
        <f aca="false">IF($A1062="","",SUMIFS(物件収支!$F:$F,物件収支!$A:$A,$A1062,物件収支!$C:$C,$M1062))</f>
        <v>0</v>
      </c>
      <c r="P1062" s="1" t="n">
        <f aca="false">IF($A1062="","",SUMIFS(物件収支!$I:$I,物件収支!$A:$A,$A1062,物件収支!$C:$C,$M1062))</f>
        <v>0</v>
      </c>
      <c r="Q1062" s="1" t="n">
        <f aca="false">IF($A1062="","",SUMIFS(物件収支!$O:$O,物件収支!$A:$A,$A1062,物件収支!$C:$C,$M1062))</f>
        <v>0</v>
      </c>
      <c r="R1062" s="1" t="str">
        <f aca="false">IF($A1062="","",IF(P1062=0,"",O1062-P1062))</f>
        <v/>
      </c>
      <c r="S1062" s="1" t="str">
        <f aca="false">IF($A1062="","",IF(R1062="","",R1062+Q1062))</f>
        <v/>
      </c>
      <c r="T1062" s="1" t="str">
        <f aca="false">IF($A1062="","",IF(OR(S1062="",N1062&lt;=0),"",S1062/1000*12/N1062))</f>
        <v/>
      </c>
      <c r="U1062" s="1" t="str">
        <f aca="false">IF($A1062="","",IF(OR(T1062="",J1062=0,J1062=""),"",T1062/J1062))</f>
        <v/>
      </c>
      <c r="V1062" s="1" t="str">
        <f aca="false">IF($A1062="","",IF(OR(R1062="",N1062&lt;=0,J1062=0,J1062=""),"",(R1062/1000*12/N1062)/J1062))</f>
        <v/>
      </c>
      <c r="W1062" s="1" t="str">
        <f aca="false">IF($A1062="","",IF(OR(T1062="",K1062=0,K1062=""),"",T1062/K1062))</f>
        <v/>
      </c>
      <c r="X1062" s="1" t="str">
        <f aca="false">IF($A1062="","",IF(OR(N1062&lt;=0,I1062=0,I1062="",O1062=0),"",O1062*1000/(I1062*0.3025)/N1062))</f>
        <v/>
      </c>
      <c r="Y1062" s="1" t="str">
        <f aca="false">IF($A1062="","",IF(OR(O1062=0,O1062="",P1062=0),"",P1062/O1062))</f>
        <v/>
      </c>
      <c r="Z1062" s="1" t="str">
        <f aca="false">IF($A1062="","",IFERROR(INDEX(物件収支!$E:$E,MATCH($A1062,物件収支!$A:$A,0)),""))</f>
        <v>非開示</v>
      </c>
    </row>
    <row r="1063" customFormat="false" ht="15" hidden="false" customHeight="true" outlineLevel="0" collapsed="false">
      <c r="A1063" s="1" t="str">
        <f aca="false">IF(物件マスタ!A1063="","",物件マスタ!A1063)</f>
        <v>KDX-322</v>
      </c>
      <c r="B1063" s="1" t="str">
        <f aca="false">IF($A1063="","",物件マスタ!B1063)</f>
        <v>KDX</v>
      </c>
      <c r="C1063" s="1" t="str">
        <f aca="false">IF($A1063="","",IFERROR(INDEX(法人マスタ!$C:$C,MATCH($B1063,法人マスタ!$A:$A,0)),""))</f>
        <v>ＫＤＸ不動産投資法人</v>
      </c>
      <c r="D1063" s="1" t="str">
        <f aca="false">IF($A1063="","",物件マスタ!C1063)</f>
        <v>アクティバ琵琶</v>
      </c>
      <c r="E1063" s="1" t="str">
        <f aca="false">IF($A1063="","",物件マスタ!H1063)</f>
        <v>地方経済圏（KDX区分）</v>
      </c>
      <c r="F1063" s="1" t="n">
        <f aca="false">IF($A1063="","",物件マスタ!P1063)</f>
        <v>0</v>
      </c>
      <c r="G1063" s="1" t="str">
        <f aca="false">IF($A1063="","",物件マスタ!Q1063)</f>
        <v/>
      </c>
      <c r="H1063" s="1" t="n">
        <f aca="false">IF($A1063="","",物件マスタ!L1063)</f>
        <v>0</v>
      </c>
      <c r="I1063" s="1" t="n">
        <f aca="false">IF($A1063="","",物件マスタ!M1063)</f>
        <v>39649.84</v>
      </c>
      <c r="J1063" s="1" t="n">
        <f aca="false">IF($A1063="","",物件マスタ!S1063)</f>
        <v>6500</v>
      </c>
      <c r="K1063" s="1" t="n">
        <f aca="false">IF($A1063="","",物件マスタ!U1063)</f>
        <v>6500</v>
      </c>
      <c r="L1063" s="1" t="n">
        <f aca="false">IF($A1063="","",物件マスタ!W1063)</f>
        <v>1</v>
      </c>
      <c r="M1063" s="1" t="str">
        <f aca="false">IF($A1063="","",IFERROR(INDEX(法人マスタ!$H:$H,MATCH($B1063,法人マスタ!$A:$A,0)),""))</f>
        <v>2026年4月期（第42期）</v>
      </c>
      <c r="N1063" s="1" t="n">
        <f aca="false">IF($A1063="","",SUMIFS(物件収支!$D:$D,物件収支!$A:$A,$A1063,物件収支!$C:$C,$M1063))</f>
        <v>6</v>
      </c>
      <c r="O1063" s="1" t="n">
        <f aca="false">IF($A1063="","",SUMIFS(物件収支!$F:$F,物件収支!$A:$A,$A1063,物件収支!$C:$C,$M1063))</f>
        <v>0</v>
      </c>
      <c r="P1063" s="1" t="n">
        <f aca="false">IF($A1063="","",SUMIFS(物件収支!$I:$I,物件収支!$A:$A,$A1063,物件収支!$C:$C,$M1063))</f>
        <v>0</v>
      </c>
      <c r="Q1063" s="1" t="n">
        <f aca="false">IF($A1063="","",SUMIFS(物件収支!$O:$O,物件収支!$A:$A,$A1063,物件収支!$C:$C,$M1063))</f>
        <v>0</v>
      </c>
      <c r="R1063" s="1" t="str">
        <f aca="false">IF($A1063="","",IF(P1063=0,"",O1063-P1063))</f>
        <v/>
      </c>
      <c r="S1063" s="1" t="str">
        <f aca="false">IF($A1063="","",IF(R1063="","",R1063+Q1063))</f>
        <v/>
      </c>
      <c r="T1063" s="1" t="str">
        <f aca="false">IF($A1063="","",IF(OR(S1063="",N1063&lt;=0),"",S1063/1000*12/N1063))</f>
        <v/>
      </c>
      <c r="U1063" s="1" t="str">
        <f aca="false">IF($A1063="","",IF(OR(T1063="",J1063=0,J1063=""),"",T1063/J1063))</f>
        <v/>
      </c>
      <c r="V1063" s="1" t="str">
        <f aca="false">IF($A1063="","",IF(OR(R1063="",N1063&lt;=0,J1063=0,J1063=""),"",(R1063/1000*12/N1063)/J1063))</f>
        <v/>
      </c>
      <c r="W1063" s="1" t="str">
        <f aca="false">IF($A1063="","",IF(OR(T1063="",K1063=0,K1063=""),"",T1063/K1063))</f>
        <v/>
      </c>
      <c r="X1063" s="1" t="str">
        <f aca="false">IF($A1063="","",IF(OR(N1063&lt;=0,I1063=0,I1063="",O1063=0),"",O1063*1000/(I1063*0.3025)/N1063))</f>
        <v/>
      </c>
      <c r="Y1063" s="1" t="str">
        <f aca="false">IF($A1063="","",IF(OR(O1063=0,O1063="",P1063=0),"",P1063/O1063))</f>
        <v/>
      </c>
      <c r="Z1063" s="1" t="str">
        <f aca="false">IF($A1063="","",IFERROR(INDEX(物件収支!$E:$E,MATCH($A1063,物件収支!$A:$A,0)),""))</f>
        <v>非開示</v>
      </c>
    </row>
    <row r="1064" customFormat="false" ht="15" hidden="false" customHeight="true" outlineLevel="0" collapsed="false">
      <c r="A1064" s="1" t="str">
        <f aca="false">IF(物件マスタ!A1064="","",物件マスタ!A1064)</f>
        <v>KDX-323</v>
      </c>
      <c r="B1064" s="1" t="str">
        <f aca="false">IF($A1064="","",物件マスタ!B1064)</f>
        <v>KDX</v>
      </c>
      <c r="C1064" s="1" t="str">
        <f aca="false">IF($A1064="","",IFERROR(INDEX(法人マスタ!$C:$C,MATCH($B1064,法人マスタ!$A:$A,0)),""))</f>
        <v>ＫＤＸ不動産投資法人</v>
      </c>
      <c r="D1064" s="1" t="str">
        <f aca="false">IF($A1064="","",物件マスタ!C1064)</f>
        <v>天</v>
      </c>
      <c r="E1064" s="1" t="str">
        <f aca="false">IF($A1064="","",物件マスタ!H1064)</f>
        <v>地方経済圏（KDX区分）</v>
      </c>
      <c r="F1064" s="1" t="n">
        <f aca="false">IF($A1064="","",物件マスタ!P1064)</f>
        <v>0</v>
      </c>
      <c r="G1064" s="1" t="str">
        <f aca="false">IF($A1064="","",物件マスタ!Q1064)</f>
        <v/>
      </c>
      <c r="H1064" s="1" t="n">
        <f aca="false">IF($A1064="","",物件マスタ!L1064)</f>
        <v>0</v>
      </c>
      <c r="I1064" s="1" t="n">
        <f aca="false">IF($A1064="","",物件マスタ!M1064)</f>
        <v>6473.6</v>
      </c>
      <c r="J1064" s="1" t="n">
        <f aca="false">IF($A1064="","",物件マスタ!S1064)</f>
        <v>2660</v>
      </c>
      <c r="K1064" s="1" t="n">
        <f aca="false">IF($A1064="","",物件マスタ!U1064)</f>
        <v>2610</v>
      </c>
      <c r="L1064" s="1" t="n">
        <f aca="false">IF($A1064="","",物件マスタ!W1064)</f>
        <v>1</v>
      </c>
      <c r="M1064" s="1" t="str">
        <f aca="false">IF($A1064="","",IFERROR(INDEX(法人マスタ!$H:$H,MATCH($B1064,法人マスタ!$A:$A,0)),""))</f>
        <v>2026年4月期（第42期）</v>
      </c>
      <c r="N1064" s="1" t="n">
        <f aca="false">IF($A1064="","",SUMIFS(物件収支!$D:$D,物件収支!$A:$A,$A1064,物件収支!$C:$C,$M1064))</f>
        <v>6</v>
      </c>
      <c r="O1064" s="1" t="n">
        <f aca="false">IF($A1064="","",SUMIFS(物件収支!$F:$F,物件収支!$A:$A,$A1064,物件収支!$C:$C,$M1064))</f>
        <v>0</v>
      </c>
      <c r="P1064" s="1" t="n">
        <f aca="false">IF($A1064="","",SUMIFS(物件収支!$I:$I,物件収支!$A:$A,$A1064,物件収支!$C:$C,$M1064))</f>
        <v>0</v>
      </c>
      <c r="Q1064" s="1" t="n">
        <f aca="false">IF($A1064="","",SUMIFS(物件収支!$O:$O,物件収支!$A:$A,$A1064,物件収支!$C:$C,$M1064))</f>
        <v>0</v>
      </c>
      <c r="R1064" s="1" t="str">
        <f aca="false">IF($A1064="","",IF(P1064=0,"",O1064-P1064))</f>
        <v/>
      </c>
      <c r="S1064" s="1" t="str">
        <f aca="false">IF($A1064="","",IF(R1064="","",R1064+Q1064))</f>
        <v/>
      </c>
      <c r="T1064" s="1" t="str">
        <f aca="false">IF($A1064="","",IF(OR(S1064="",N1064&lt;=0),"",S1064/1000*12/N1064))</f>
        <v/>
      </c>
      <c r="U1064" s="1" t="str">
        <f aca="false">IF($A1064="","",IF(OR(T1064="",J1064=0,J1064=""),"",T1064/J1064))</f>
        <v/>
      </c>
      <c r="V1064" s="1" t="str">
        <f aca="false">IF($A1064="","",IF(OR(R1064="",N1064&lt;=0,J1064=0,J1064=""),"",(R1064/1000*12/N1064)/J1064))</f>
        <v/>
      </c>
      <c r="W1064" s="1" t="str">
        <f aca="false">IF($A1064="","",IF(OR(T1064="",K1064=0,K1064=""),"",T1064/K1064))</f>
        <v/>
      </c>
      <c r="X1064" s="1" t="str">
        <f aca="false">IF($A1064="","",IF(OR(N1064&lt;=0,I1064=0,I1064="",O1064=0),"",O1064*1000/(I1064*0.3025)/N1064))</f>
        <v/>
      </c>
      <c r="Y1064" s="1" t="str">
        <f aca="false">IF($A1064="","",IF(OR(O1064=0,O1064="",P1064=0),"",P1064/O1064))</f>
        <v/>
      </c>
      <c r="Z1064" s="1" t="str">
        <f aca="false">IF($A1064="","",IFERROR(INDEX(物件収支!$E:$E,MATCH($A1064,物件収支!$A:$A,0)),""))</f>
        <v>非開示</v>
      </c>
    </row>
    <row r="1065" customFormat="false" ht="15" hidden="false" customHeight="true" outlineLevel="0" collapsed="false">
      <c r="A1065" s="1" t="str">
        <f aca="false">IF(物件マスタ!A1065="","",物件マスタ!A1065)</f>
        <v>KDX-324</v>
      </c>
      <c r="B1065" s="1" t="str">
        <f aca="false">IF($A1065="","",物件マスタ!B1065)</f>
        <v>KDX</v>
      </c>
      <c r="C1065" s="1" t="str">
        <f aca="false">IF($A1065="","",IFERROR(INDEX(法人マスタ!$C:$C,MATCH($B1065,法人マスタ!$A:$A,0)),""))</f>
        <v>ＫＤＸ不動産投資法人</v>
      </c>
      <c r="D1065" s="1" t="str">
        <f aca="false">IF($A1065="","",物件マスタ!C1065)</f>
        <v>SOMPOケア ラヴィーレ神戸垂水</v>
      </c>
      <c r="E1065" s="1" t="str">
        <f aca="false">IF($A1065="","",物件マスタ!H1065)</f>
        <v>地方経済圏（KDX区分）</v>
      </c>
      <c r="F1065" s="1" t="n">
        <f aca="false">IF($A1065="","",物件マスタ!P1065)</f>
        <v>0</v>
      </c>
      <c r="G1065" s="1" t="str">
        <f aca="false">IF($A1065="","",物件マスタ!Q1065)</f>
        <v/>
      </c>
      <c r="H1065" s="1" t="n">
        <f aca="false">IF($A1065="","",物件マスタ!L1065)</f>
        <v>0</v>
      </c>
      <c r="I1065" s="1" t="n">
        <f aca="false">IF($A1065="","",物件マスタ!M1065)</f>
        <v>4493.35</v>
      </c>
      <c r="J1065" s="1" t="n">
        <f aca="false">IF($A1065="","",物件マスタ!S1065)</f>
        <v>2240</v>
      </c>
      <c r="K1065" s="1" t="n">
        <f aca="false">IF($A1065="","",物件マスタ!U1065)</f>
        <v>2200</v>
      </c>
      <c r="L1065" s="1" t="n">
        <f aca="false">IF($A1065="","",物件マスタ!W1065)</f>
        <v>1</v>
      </c>
      <c r="M1065" s="1" t="str">
        <f aca="false">IF($A1065="","",IFERROR(INDEX(法人マスタ!$H:$H,MATCH($B1065,法人マスタ!$A:$A,0)),""))</f>
        <v>2026年4月期（第42期）</v>
      </c>
      <c r="N1065" s="1" t="n">
        <f aca="false">IF($A1065="","",SUMIFS(物件収支!$D:$D,物件収支!$A:$A,$A1065,物件収支!$C:$C,$M1065))</f>
        <v>6</v>
      </c>
      <c r="O1065" s="1" t="n">
        <f aca="false">IF($A1065="","",SUMIFS(物件収支!$F:$F,物件収支!$A:$A,$A1065,物件収支!$C:$C,$M1065))</f>
        <v>0</v>
      </c>
      <c r="P1065" s="1" t="n">
        <f aca="false">IF($A1065="","",SUMIFS(物件収支!$I:$I,物件収支!$A:$A,$A1065,物件収支!$C:$C,$M1065))</f>
        <v>0</v>
      </c>
      <c r="Q1065" s="1" t="n">
        <f aca="false">IF($A1065="","",SUMIFS(物件収支!$O:$O,物件収支!$A:$A,$A1065,物件収支!$C:$C,$M1065))</f>
        <v>0</v>
      </c>
      <c r="R1065" s="1" t="str">
        <f aca="false">IF($A1065="","",IF(P1065=0,"",O1065-P1065))</f>
        <v/>
      </c>
      <c r="S1065" s="1" t="str">
        <f aca="false">IF($A1065="","",IF(R1065="","",R1065+Q1065))</f>
        <v/>
      </c>
      <c r="T1065" s="1" t="str">
        <f aca="false">IF($A1065="","",IF(OR(S1065="",N1065&lt;=0),"",S1065/1000*12/N1065))</f>
        <v/>
      </c>
      <c r="U1065" s="1" t="str">
        <f aca="false">IF($A1065="","",IF(OR(T1065="",J1065=0,J1065=""),"",T1065/J1065))</f>
        <v/>
      </c>
      <c r="V1065" s="1" t="str">
        <f aca="false">IF($A1065="","",IF(OR(R1065="",N1065&lt;=0,J1065=0,J1065=""),"",(R1065/1000*12/N1065)/J1065))</f>
        <v/>
      </c>
      <c r="W1065" s="1" t="str">
        <f aca="false">IF($A1065="","",IF(OR(T1065="",K1065=0,K1065=""),"",T1065/K1065))</f>
        <v/>
      </c>
      <c r="X1065" s="1" t="str">
        <f aca="false">IF($A1065="","",IF(OR(N1065&lt;=0,I1065=0,I1065="",O1065=0),"",O1065*1000/(I1065*0.3025)/N1065))</f>
        <v/>
      </c>
      <c r="Y1065" s="1" t="str">
        <f aca="false">IF($A1065="","",IF(OR(O1065=0,O1065="",P1065=0),"",P1065/O1065))</f>
        <v/>
      </c>
      <c r="Z1065" s="1" t="str">
        <f aca="false">IF($A1065="","",IFERROR(INDEX(物件収支!$E:$E,MATCH($A1065,物件収支!$A:$A,0)),""))</f>
        <v>非開示</v>
      </c>
    </row>
    <row r="1066" customFormat="false" ht="15" hidden="false" customHeight="true" outlineLevel="0" collapsed="false">
      <c r="A1066" s="1" t="str">
        <f aca="false">IF(物件マスタ!A1066="","",物件マスタ!A1066)</f>
        <v>KDX-325</v>
      </c>
      <c r="B1066" s="1" t="str">
        <f aca="false">IF($A1066="","",物件マスタ!B1066)</f>
        <v>KDX</v>
      </c>
      <c r="C1066" s="1" t="str">
        <f aca="false">IF($A1066="","",IFERROR(INDEX(法人マスタ!$C:$C,MATCH($B1066,法人マスタ!$A:$A,0)),""))</f>
        <v>ＫＤＸ不動産投資法人</v>
      </c>
      <c r="D1066" s="1" t="str">
        <f aca="false">IF($A1066="","",物件マスタ!C1066)</f>
        <v>いざりえ恵庭ビル</v>
      </c>
      <c r="E1066" s="1" t="str">
        <f aca="false">IF($A1066="","",物件マスタ!H1066)</f>
        <v>地方経済圏（KDX区分）</v>
      </c>
      <c r="F1066" s="1" t="n">
        <f aca="false">IF($A1066="","",物件マスタ!P1066)</f>
        <v>0</v>
      </c>
      <c r="G1066" s="1" t="str">
        <f aca="false">IF($A1066="","",物件マスタ!Q1066)</f>
        <v/>
      </c>
      <c r="H1066" s="1" t="n">
        <f aca="false">IF($A1066="","",物件マスタ!L1066)</f>
        <v>0</v>
      </c>
      <c r="I1066" s="1" t="n">
        <f aca="false">IF($A1066="","",物件マスタ!M1066)</f>
        <v>5343.39</v>
      </c>
      <c r="J1066" s="1" t="n">
        <f aca="false">IF($A1066="","",物件マスタ!S1066)</f>
        <v>1820</v>
      </c>
      <c r="K1066" s="1" t="n">
        <f aca="false">IF($A1066="","",物件マスタ!U1066)</f>
        <v>1850</v>
      </c>
      <c r="L1066" s="1" t="n">
        <f aca="false">IF($A1066="","",物件マスタ!W1066)</f>
        <v>0.983</v>
      </c>
      <c r="M1066" s="1" t="str">
        <f aca="false">IF($A1066="","",IFERROR(INDEX(法人マスタ!$H:$H,MATCH($B1066,法人マスタ!$A:$A,0)),""))</f>
        <v>2026年4月期（第42期）</v>
      </c>
      <c r="N1066" s="1" t="n">
        <f aca="false">IF($A1066="","",SUMIFS(物件収支!$D:$D,物件収支!$A:$A,$A1066,物件収支!$C:$C,$M1066))</f>
        <v>6</v>
      </c>
      <c r="O1066" s="1" t="n">
        <f aca="false">IF($A1066="","",SUMIFS(物件収支!$F:$F,物件収支!$A:$A,$A1066,物件収支!$C:$C,$M1066))</f>
        <v>0</v>
      </c>
      <c r="P1066" s="1" t="n">
        <f aca="false">IF($A1066="","",SUMIFS(物件収支!$I:$I,物件収支!$A:$A,$A1066,物件収支!$C:$C,$M1066))</f>
        <v>0</v>
      </c>
      <c r="Q1066" s="1" t="n">
        <f aca="false">IF($A1066="","",SUMIFS(物件収支!$O:$O,物件収支!$A:$A,$A1066,物件収支!$C:$C,$M1066))</f>
        <v>0</v>
      </c>
      <c r="R1066" s="1" t="str">
        <f aca="false">IF($A1066="","",IF(P1066=0,"",O1066-P1066))</f>
        <v/>
      </c>
      <c r="S1066" s="1" t="str">
        <f aca="false">IF($A1066="","",IF(R1066="","",R1066+Q1066))</f>
        <v/>
      </c>
      <c r="T1066" s="1" t="str">
        <f aca="false">IF($A1066="","",IF(OR(S1066="",N1066&lt;=0),"",S1066/1000*12/N1066))</f>
        <v/>
      </c>
      <c r="U1066" s="1" t="str">
        <f aca="false">IF($A1066="","",IF(OR(T1066="",J1066=0,J1066=""),"",T1066/J1066))</f>
        <v/>
      </c>
      <c r="V1066" s="1" t="str">
        <f aca="false">IF($A1066="","",IF(OR(R1066="",N1066&lt;=0,J1066=0,J1066=""),"",(R1066/1000*12/N1066)/J1066))</f>
        <v/>
      </c>
      <c r="W1066" s="1" t="str">
        <f aca="false">IF($A1066="","",IF(OR(T1066="",K1066=0,K1066=""),"",T1066/K1066))</f>
        <v/>
      </c>
      <c r="X1066" s="1" t="str">
        <f aca="false">IF($A1066="","",IF(OR(N1066&lt;=0,I1066=0,I1066="",O1066=0),"",O1066*1000/(I1066*0.3025)/N1066))</f>
        <v/>
      </c>
      <c r="Y1066" s="1" t="str">
        <f aca="false">IF($A1066="","",IF(OR(O1066=0,O1066="",P1066=0),"",P1066/O1066))</f>
        <v/>
      </c>
      <c r="Z1066" s="1" t="str">
        <f aca="false">IF($A1066="","",IFERROR(INDEX(物件収支!$E:$E,MATCH($A1066,物件収支!$A:$A,0)),""))</f>
        <v>非開示</v>
      </c>
    </row>
    <row r="1067" customFormat="false" ht="15" hidden="false" customHeight="true" outlineLevel="0" collapsed="false">
      <c r="A1067" s="1" t="str">
        <f aca="false">IF(物件マスタ!A1067="","",物件マスタ!A1067)</f>
        <v>KDX-326</v>
      </c>
      <c r="B1067" s="1" t="str">
        <f aca="false">IF($A1067="","",物件マスタ!B1067)</f>
        <v>KDX</v>
      </c>
      <c r="C1067" s="1" t="str">
        <f aca="false">IF($A1067="","",IFERROR(INDEX(法人マスタ!$C:$C,MATCH($B1067,法人マスタ!$A:$A,0)),""))</f>
        <v>ＫＤＸ不動産投資法人</v>
      </c>
      <c r="D1067" s="1" t="str">
        <f aca="false">IF($A1067="","",物件マスタ!C1067)</f>
        <v>グランヒルズおがわらこ</v>
      </c>
      <c r="E1067" s="1" t="str">
        <f aca="false">IF($A1067="","",物件マスタ!H1067)</f>
        <v>地方経済圏（KDX区分）</v>
      </c>
      <c r="F1067" s="1" t="n">
        <f aca="false">IF($A1067="","",物件マスタ!P1067)</f>
        <v>0</v>
      </c>
      <c r="G1067" s="1" t="str">
        <f aca="false">IF($A1067="","",物件マスタ!Q1067)</f>
        <v/>
      </c>
      <c r="H1067" s="1" t="n">
        <f aca="false">IF($A1067="","",物件マスタ!L1067)</f>
        <v>0</v>
      </c>
      <c r="I1067" s="1" t="n">
        <f aca="false">IF($A1067="","",物件マスタ!M1067)</f>
        <v>4180.28</v>
      </c>
      <c r="J1067" s="1" t="n">
        <f aca="false">IF($A1067="","",物件マスタ!S1067)</f>
        <v>1380</v>
      </c>
      <c r="K1067" s="1" t="n">
        <f aca="false">IF($A1067="","",物件マスタ!U1067)</f>
        <v>1400</v>
      </c>
      <c r="L1067" s="1" t="n">
        <f aca="false">IF($A1067="","",物件マスタ!W1067)</f>
        <v>1</v>
      </c>
      <c r="M1067" s="1" t="str">
        <f aca="false">IF($A1067="","",IFERROR(INDEX(法人マスタ!$H:$H,MATCH($B1067,法人マスタ!$A:$A,0)),""))</f>
        <v>2026年4月期（第42期）</v>
      </c>
      <c r="N1067" s="1" t="n">
        <f aca="false">IF($A1067="","",SUMIFS(物件収支!$D:$D,物件収支!$A:$A,$A1067,物件収支!$C:$C,$M1067))</f>
        <v>6</v>
      </c>
      <c r="O1067" s="1" t="n">
        <f aca="false">IF($A1067="","",SUMIFS(物件収支!$F:$F,物件収支!$A:$A,$A1067,物件収支!$C:$C,$M1067))</f>
        <v>0</v>
      </c>
      <c r="P1067" s="1" t="n">
        <f aca="false">IF($A1067="","",SUMIFS(物件収支!$I:$I,物件収支!$A:$A,$A1067,物件収支!$C:$C,$M1067))</f>
        <v>0</v>
      </c>
      <c r="Q1067" s="1" t="n">
        <f aca="false">IF($A1067="","",SUMIFS(物件収支!$O:$O,物件収支!$A:$A,$A1067,物件収支!$C:$C,$M1067))</f>
        <v>0</v>
      </c>
      <c r="R1067" s="1" t="str">
        <f aca="false">IF($A1067="","",IF(P1067=0,"",O1067-P1067))</f>
        <v/>
      </c>
      <c r="S1067" s="1" t="str">
        <f aca="false">IF($A1067="","",IF(R1067="","",R1067+Q1067))</f>
        <v/>
      </c>
      <c r="T1067" s="1" t="str">
        <f aca="false">IF($A1067="","",IF(OR(S1067="",N1067&lt;=0),"",S1067/1000*12/N1067))</f>
        <v/>
      </c>
      <c r="U1067" s="1" t="str">
        <f aca="false">IF($A1067="","",IF(OR(T1067="",J1067=0,J1067=""),"",T1067/J1067))</f>
        <v/>
      </c>
      <c r="V1067" s="1" t="str">
        <f aca="false">IF($A1067="","",IF(OR(R1067="",N1067&lt;=0,J1067=0,J1067=""),"",(R1067/1000*12/N1067)/J1067))</f>
        <v/>
      </c>
      <c r="W1067" s="1" t="str">
        <f aca="false">IF($A1067="","",IF(OR(T1067="",K1067=0,K1067=""),"",T1067/K1067))</f>
        <v/>
      </c>
      <c r="X1067" s="1" t="str">
        <f aca="false">IF($A1067="","",IF(OR(N1067&lt;=0,I1067=0,I1067="",O1067=0),"",O1067*1000/(I1067*0.3025)/N1067))</f>
        <v/>
      </c>
      <c r="Y1067" s="1" t="str">
        <f aca="false">IF($A1067="","",IF(OR(O1067=0,O1067="",P1067=0),"",P1067/O1067))</f>
        <v/>
      </c>
      <c r="Z1067" s="1" t="str">
        <f aca="false">IF($A1067="","",IFERROR(INDEX(物件収支!$E:$E,MATCH($A1067,物件収支!$A:$A,0)),""))</f>
        <v>非開示</v>
      </c>
    </row>
    <row r="1068" customFormat="false" ht="15" hidden="false" customHeight="true" outlineLevel="0" collapsed="false">
      <c r="A1068" s="1" t="str">
        <f aca="false">IF(物件マスタ!A1068="","",物件マスタ!A1068)</f>
        <v>KDX-327</v>
      </c>
      <c r="B1068" s="1" t="str">
        <f aca="false">IF($A1068="","",物件マスタ!B1068)</f>
        <v>KDX</v>
      </c>
      <c r="C1068" s="1" t="str">
        <f aca="false">IF($A1068="","",IFERROR(INDEX(法人マスタ!$C:$C,MATCH($B1068,法人マスタ!$A:$A,0)),""))</f>
        <v>ＫＤＸ不動産投資法人</v>
      </c>
      <c r="D1068" s="1" t="str">
        <f aca="false">IF($A1068="","",物件マスタ!C1068)</f>
        <v>リハビリホームグランダ門戸厄神</v>
      </c>
      <c r="E1068" s="1" t="str">
        <f aca="false">IF($A1068="","",物件マスタ!H1068)</f>
        <v>地方経済圏（KDX区分）</v>
      </c>
      <c r="F1068" s="1" t="n">
        <f aca="false">IF($A1068="","",物件マスタ!P1068)</f>
        <v>0</v>
      </c>
      <c r="G1068" s="1" t="str">
        <f aca="false">IF($A1068="","",物件マスタ!Q1068)</f>
        <v/>
      </c>
      <c r="H1068" s="1" t="n">
        <f aca="false">IF($A1068="","",物件マスタ!L1068)</f>
        <v>0</v>
      </c>
      <c r="I1068" s="1" t="n">
        <f aca="false">IF($A1068="","",物件マスタ!M1068)</f>
        <v>3287.8</v>
      </c>
      <c r="J1068" s="1" t="n">
        <f aca="false">IF($A1068="","",物件マスタ!S1068)</f>
        <v>1340</v>
      </c>
      <c r="K1068" s="1" t="n">
        <f aca="false">IF($A1068="","",物件マスタ!U1068)</f>
        <v>1330</v>
      </c>
      <c r="L1068" s="1" t="n">
        <f aca="false">IF($A1068="","",物件マスタ!W1068)</f>
        <v>1</v>
      </c>
      <c r="M1068" s="1" t="str">
        <f aca="false">IF($A1068="","",IFERROR(INDEX(法人マスタ!$H:$H,MATCH($B1068,法人マスタ!$A:$A,0)),""))</f>
        <v>2026年4月期（第42期）</v>
      </c>
      <c r="N1068" s="1" t="n">
        <f aca="false">IF($A1068="","",SUMIFS(物件収支!$D:$D,物件収支!$A:$A,$A1068,物件収支!$C:$C,$M1068))</f>
        <v>6</v>
      </c>
      <c r="O1068" s="1" t="n">
        <f aca="false">IF($A1068="","",SUMIFS(物件収支!$F:$F,物件収支!$A:$A,$A1068,物件収支!$C:$C,$M1068))</f>
        <v>0</v>
      </c>
      <c r="P1068" s="1" t="n">
        <f aca="false">IF($A1068="","",SUMIFS(物件収支!$I:$I,物件収支!$A:$A,$A1068,物件収支!$C:$C,$M1068))</f>
        <v>0</v>
      </c>
      <c r="Q1068" s="1" t="n">
        <f aca="false">IF($A1068="","",SUMIFS(物件収支!$O:$O,物件収支!$A:$A,$A1068,物件収支!$C:$C,$M1068))</f>
        <v>0</v>
      </c>
      <c r="R1068" s="1" t="str">
        <f aca="false">IF($A1068="","",IF(P1068=0,"",O1068-P1068))</f>
        <v/>
      </c>
      <c r="S1068" s="1" t="str">
        <f aca="false">IF($A1068="","",IF(R1068="","",R1068+Q1068))</f>
        <v/>
      </c>
      <c r="T1068" s="1" t="str">
        <f aca="false">IF($A1068="","",IF(OR(S1068="",N1068&lt;=0),"",S1068/1000*12/N1068))</f>
        <v/>
      </c>
      <c r="U1068" s="1" t="str">
        <f aca="false">IF($A1068="","",IF(OR(T1068="",J1068=0,J1068=""),"",T1068/J1068))</f>
        <v/>
      </c>
      <c r="V1068" s="1" t="str">
        <f aca="false">IF($A1068="","",IF(OR(R1068="",N1068&lt;=0,J1068=0,J1068=""),"",(R1068/1000*12/N1068)/J1068))</f>
        <v/>
      </c>
      <c r="W1068" s="1" t="str">
        <f aca="false">IF($A1068="","",IF(OR(T1068="",K1068=0,K1068=""),"",T1068/K1068))</f>
        <v/>
      </c>
      <c r="X1068" s="1" t="str">
        <f aca="false">IF($A1068="","",IF(OR(N1068&lt;=0,I1068=0,I1068="",O1068=0),"",O1068*1000/(I1068*0.3025)/N1068))</f>
        <v/>
      </c>
      <c r="Y1068" s="1" t="str">
        <f aca="false">IF($A1068="","",IF(OR(O1068=0,O1068="",P1068=0),"",P1068/O1068))</f>
        <v/>
      </c>
      <c r="Z1068" s="1" t="str">
        <f aca="false">IF($A1068="","",IFERROR(INDEX(物件収支!$E:$E,MATCH($A1068,物件収支!$A:$A,0)),""))</f>
        <v>非開示</v>
      </c>
    </row>
    <row r="1069" customFormat="false" ht="15" hidden="false" customHeight="true" outlineLevel="0" collapsed="false">
      <c r="A1069" s="1" t="str">
        <f aca="false">IF(物件マスタ!A1069="","",物件マスタ!A1069)</f>
        <v>KDX-328</v>
      </c>
      <c r="B1069" s="1" t="str">
        <f aca="false">IF($A1069="","",物件マスタ!B1069)</f>
        <v>KDX</v>
      </c>
      <c r="C1069" s="1" t="str">
        <f aca="false">IF($A1069="","",IFERROR(INDEX(法人マスタ!$C:$C,MATCH($B1069,法人マスタ!$A:$A,0)),""))</f>
        <v>ＫＤＸ不動産投資法人</v>
      </c>
      <c r="D1069" s="1" t="str">
        <f aca="false">IF($A1069="","",物件マスタ!C1069)</f>
        <v>さわやか桜弐番館</v>
      </c>
      <c r="E1069" s="1" t="str">
        <f aca="false">IF($A1069="","",物件マスタ!H1069)</f>
        <v>地方経済圏（KDX区分）</v>
      </c>
      <c r="F1069" s="1" t="n">
        <f aca="false">IF($A1069="","",物件マスタ!P1069)</f>
        <v>0</v>
      </c>
      <c r="G1069" s="1" t="str">
        <f aca="false">IF($A1069="","",物件マスタ!Q1069)</f>
        <v/>
      </c>
      <c r="H1069" s="1" t="n">
        <f aca="false">IF($A1069="","",物件マスタ!L1069)</f>
        <v>0</v>
      </c>
      <c r="I1069" s="1" t="n">
        <f aca="false">IF($A1069="","",物件マスタ!M1069)</f>
        <v>3628.51</v>
      </c>
      <c r="J1069" s="1" t="n">
        <f aca="false">IF($A1069="","",物件マスタ!S1069)</f>
        <v>1020</v>
      </c>
      <c r="K1069" s="1" t="n">
        <f aca="false">IF($A1069="","",物件マスタ!U1069)</f>
        <v>1000</v>
      </c>
      <c r="L1069" s="1" t="n">
        <f aca="false">IF($A1069="","",物件マスタ!W1069)</f>
        <v>1</v>
      </c>
      <c r="M1069" s="1" t="str">
        <f aca="false">IF($A1069="","",IFERROR(INDEX(法人マスタ!$H:$H,MATCH($B1069,法人マスタ!$A:$A,0)),""))</f>
        <v>2026年4月期（第42期）</v>
      </c>
      <c r="N1069" s="1" t="n">
        <f aca="false">IF($A1069="","",SUMIFS(物件収支!$D:$D,物件収支!$A:$A,$A1069,物件収支!$C:$C,$M1069))</f>
        <v>6</v>
      </c>
      <c r="O1069" s="1" t="n">
        <f aca="false">IF($A1069="","",SUMIFS(物件収支!$F:$F,物件収支!$A:$A,$A1069,物件収支!$C:$C,$M1069))</f>
        <v>0</v>
      </c>
      <c r="P1069" s="1" t="n">
        <f aca="false">IF($A1069="","",SUMIFS(物件収支!$I:$I,物件収支!$A:$A,$A1069,物件収支!$C:$C,$M1069))</f>
        <v>0</v>
      </c>
      <c r="Q1069" s="1" t="n">
        <f aca="false">IF($A1069="","",SUMIFS(物件収支!$O:$O,物件収支!$A:$A,$A1069,物件収支!$C:$C,$M1069))</f>
        <v>0</v>
      </c>
      <c r="R1069" s="1" t="str">
        <f aca="false">IF($A1069="","",IF(P1069=0,"",O1069-P1069))</f>
        <v/>
      </c>
      <c r="S1069" s="1" t="str">
        <f aca="false">IF($A1069="","",IF(R1069="","",R1069+Q1069))</f>
        <v/>
      </c>
      <c r="T1069" s="1" t="str">
        <f aca="false">IF($A1069="","",IF(OR(S1069="",N1069&lt;=0),"",S1069/1000*12/N1069))</f>
        <v/>
      </c>
      <c r="U1069" s="1" t="str">
        <f aca="false">IF($A1069="","",IF(OR(T1069="",J1069=0,J1069=""),"",T1069/J1069))</f>
        <v/>
      </c>
      <c r="V1069" s="1" t="str">
        <f aca="false">IF($A1069="","",IF(OR(R1069="",N1069&lt;=0,J1069=0,J1069=""),"",(R1069/1000*12/N1069)/J1069))</f>
        <v/>
      </c>
      <c r="W1069" s="1" t="str">
        <f aca="false">IF($A1069="","",IF(OR(T1069="",K1069=0,K1069=""),"",T1069/K1069))</f>
        <v/>
      </c>
      <c r="X1069" s="1" t="str">
        <f aca="false">IF($A1069="","",IF(OR(N1069&lt;=0,I1069=0,I1069="",O1069=0),"",O1069*1000/(I1069*0.3025)/N1069))</f>
        <v/>
      </c>
      <c r="Y1069" s="1" t="str">
        <f aca="false">IF($A1069="","",IF(OR(O1069=0,O1069="",P1069=0),"",P1069/O1069))</f>
        <v/>
      </c>
      <c r="Z1069" s="1" t="str">
        <f aca="false">IF($A1069="","",IFERROR(INDEX(物件収支!$E:$E,MATCH($A1069,物件収支!$A:$A,0)),""))</f>
        <v>非開示</v>
      </c>
    </row>
    <row r="1070" customFormat="false" ht="15" hidden="false" customHeight="true" outlineLevel="0" collapsed="false">
      <c r="A1070" s="1" t="str">
        <f aca="false">IF(物件マスタ!A1070="","",物件マスタ!A1070)</f>
        <v>KDX-329</v>
      </c>
      <c r="B1070" s="1" t="str">
        <f aca="false">IF($A1070="","",物件マスタ!B1070)</f>
        <v>KDX</v>
      </c>
      <c r="C1070" s="1" t="str">
        <f aca="false">IF($A1070="","",IFERROR(INDEX(法人マスタ!$C:$C,MATCH($B1070,法人マスタ!$A:$A,0)),""))</f>
        <v>ＫＤＸ不動産投資法人</v>
      </c>
      <c r="D1070" s="1" t="str">
        <f aca="false">IF($A1070="","",物件マスタ!C1070)</f>
        <v>エクセレント西宮</v>
      </c>
      <c r="E1070" s="1" t="str">
        <f aca="false">IF($A1070="","",物件マスタ!H1070)</f>
        <v>地方経済圏（KDX区分）</v>
      </c>
      <c r="F1070" s="1" t="n">
        <f aca="false">IF($A1070="","",物件マスタ!P1070)</f>
        <v>0</v>
      </c>
      <c r="G1070" s="1" t="str">
        <f aca="false">IF($A1070="","",物件マスタ!Q1070)</f>
        <v/>
      </c>
      <c r="H1070" s="1" t="n">
        <f aca="false">IF($A1070="","",物件マスタ!L1070)</f>
        <v>0</v>
      </c>
      <c r="I1070" s="1" t="n">
        <f aca="false">IF($A1070="","",物件マスタ!M1070)</f>
        <v>2685.48</v>
      </c>
      <c r="J1070" s="1" t="n">
        <f aca="false">IF($A1070="","",物件マスタ!S1070)</f>
        <v>973</v>
      </c>
      <c r="K1070" s="1" t="n">
        <f aca="false">IF($A1070="","",物件マスタ!U1070)</f>
        <v>994</v>
      </c>
      <c r="L1070" s="1" t="n">
        <f aca="false">IF($A1070="","",物件マスタ!W1070)</f>
        <v>1</v>
      </c>
      <c r="M1070" s="1" t="str">
        <f aca="false">IF($A1070="","",IFERROR(INDEX(法人マスタ!$H:$H,MATCH($B1070,法人マスタ!$A:$A,0)),""))</f>
        <v>2026年4月期（第42期）</v>
      </c>
      <c r="N1070" s="1" t="n">
        <f aca="false">IF($A1070="","",SUMIFS(物件収支!$D:$D,物件収支!$A:$A,$A1070,物件収支!$C:$C,$M1070))</f>
        <v>6</v>
      </c>
      <c r="O1070" s="1" t="n">
        <f aca="false">IF($A1070="","",SUMIFS(物件収支!$F:$F,物件収支!$A:$A,$A1070,物件収支!$C:$C,$M1070))</f>
        <v>0</v>
      </c>
      <c r="P1070" s="1" t="n">
        <f aca="false">IF($A1070="","",SUMIFS(物件収支!$I:$I,物件収支!$A:$A,$A1070,物件収支!$C:$C,$M1070))</f>
        <v>0</v>
      </c>
      <c r="Q1070" s="1" t="n">
        <f aca="false">IF($A1070="","",SUMIFS(物件収支!$O:$O,物件収支!$A:$A,$A1070,物件収支!$C:$C,$M1070))</f>
        <v>0</v>
      </c>
      <c r="R1070" s="1" t="str">
        <f aca="false">IF($A1070="","",IF(P1070=0,"",O1070-P1070))</f>
        <v/>
      </c>
      <c r="S1070" s="1" t="str">
        <f aca="false">IF($A1070="","",IF(R1070="","",R1070+Q1070))</f>
        <v/>
      </c>
      <c r="T1070" s="1" t="str">
        <f aca="false">IF($A1070="","",IF(OR(S1070="",N1070&lt;=0),"",S1070/1000*12/N1070))</f>
        <v/>
      </c>
      <c r="U1070" s="1" t="str">
        <f aca="false">IF($A1070="","",IF(OR(T1070="",J1070=0,J1070=""),"",T1070/J1070))</f>
        <v/>
      </c>
      <c r="V1070" s="1" t="str">
        <f aca="false">IF($A1070="","",IF(OR(R1070="",N1070&lt;=0,J1070=0,J1070=""),"",(R1070/1000*12/N1070)/J1070))</f>
        <v/>
      </c>
      <c r="W1070" s="1" t="str">
        <f aca="false">IF($A1070="","",IF(OR(T1070="",K1070=0,K1070=""),"",T1070/K1070))</f>
        <v/>
      </c>
      <c r="X1070" s="1" t="str">
        <f aca="false">IF($A1070="","",IF(OR(N1070&lt;=0,I1070=0,I1070="",O1070=0),"",O1070*1000/(I1070*0.3025)/N1070))</f>
        <v/>
      </c>
      <c r="Y1070" s="1" t="str">
        <f aca="false">IF($A1070="","",IF(OR(O1070=0,O1070="",P1070=0),"",P1070/O1070))</f>
        <v/>
      </c>
      <c r="Z1070" s="1" t="str">
        <f aca="false">IF($A1070="","",IFERROR(INDEX(物件収支!$E:$E,MATCH($A1070,物件収支!$A:$A,0)),""))</f>
        <v>非開示</v>
      </c>
    </row>
    <row r="1071" customFormat="false" ht="15" hidden="false" customHeight="true" outlineLevel="0" collapsed="false">
      <c r="A1071" s="1" t="str">
        <f aca="false">IF(物件マスタ!A1071="","",物件マスタ!A1071)</f>
        <v>KDX-330</v>
      </c>
      <c r="B1071" s="1" t="str">
        <f aca="false">IF($A1071="","",物件マスタ!B1071)</f>
        <v>KDX</v>
      </c>
      <c r="C1071" s="1" t="str">
        <f aca="false">IF($A1071="","",IFERROR(INDEX(法人マスタ!$C:$C,MATCH($B1071,法人マスタ!$A:$A,0)),""))</f>
        <v>ＫＤＸ不動産投資法人</v>
      </c>
      <c r="D1071" s="1" t="str">
        <f aca="false">IF($A1071="","",物件マスタ!C1071)</f>
        <v>イリーゼ西岡</v>
      </c>
      <c r="E1071" s="1" t="str">
        <f aca="false">IF($A1071="","",物件マスタ!H1071)</f>
        <v>地方経済圏（KDX区分）</v>
      </c>
      <c r="F1071" s="1" t="n">
        <f aca="false">IF($A1071="","",物件マスタ!P1071)</f>
        <v>0</v>
      </c>
      <c r="G1071" s="1" t="str">
        <f aca="false">IF($A1071="","",物件マスタ!Q1071)</f>
        <v/>
      </c>
      <c r="H1071" s="1" t="n">
        <f aca="false">IF($A1071="","",物件マスタ!L1071)</f>
        <v>0</v>
      </c>
      <c r="I1071" s="1" t="n">
        <f aca="false">IF($A1071="","",物件マスタ!M1071)</f>
        <v>3140.27</v>
      </c>
      <c r="J1071" s="1" t="n">
        <f aca="false">IF($A1071="","",物件マスタ!S1071)</f>
        <v>893</v>
      </c>
      <c r="K1071" s="1" t="n">
        <f aca="false">IF($A1071="","",物件マスタ!U1071)</f>
        <v>896</v>
      </c>
      <c r="L1071" s="1" t="n">
        <f aca="false">IF($A1071="","",物件マスタ!W1071)</f>
        <v>1</v>
      </c>
      <c r="M1071" s="1" t="str">
        <f aca="false">IF($A1071="","",IFERROR(INDEX(法人マスタ!$H:$H,MATCH($B1071,法人マスタ!$A:$A,0)),""))</f>
        <v>2026年4月期（第42期）</v>
      </c>
      <c r="N1071" s="1" t="n">
        <f aca="false">IF($A1071="","",SUMIFS(物件収支!$D:$D,物件収支!$A:$A,$A1071,物件収支!$C:$C,$M1071))</f>
        <v>6</v>
      </c>
      <c r="O1071" s="1" t="n">
        <f aca="false">IF($A1071="","",SUMIFS(物件収支!$F:$F,物件収支!$A:$A,$A1071,物件収支!$C:$C,$M1071))</f>
        <v>0</v>
      </c>
      <c r="P1071" s="1" t="n">
        <f aca="false">IF($A1071="","",SUMIFS(物件収支!$I:$I,物件収支!$A:$A,$A1071,物件収支!$C:$C,$M1071))</f>
        <v>0</v>
      </c>
      <c r="Q1071" s="1" t="n">
        <f aca="false">IF($A1071="","",SUMIFS(物件収支!$O:$O,物件収支!$A:$A,$A1071,物件収支!$C:$C,$M1071))</f>
        <v>0</v>
      </c>
      <c r="R1071" s="1" t="str">
        <f aca="false">IF($A1071="","",IF(P1071=0,"",O1071-P1071))</f>
        <v/>
      </c>
      <c r="S1071" s="1" t="str">
        <f aca="false">IF($A1071="","",IF(R1071="","",R1071+Q1071))</f>
        <v/>
      </c>
      <c r="T1071" s="1" t="str">
        <f aca="false">IF($A1071="","",IF(OR(S1071="",N1071&lt;=0),"",S1071/1000*12/N1071))</f>
        <v/>
      </c>
      <c r="U1071" s="1" t="str">
        <f aca="false">IF($A1071="","",IF(OR(T1071="",J1071=0,J1071=""),"",T1071/J1071))</f>
        <v/>
      </c>
      <c r="V1071" s="1" t="str">
        <f aca="false">IF($A1071="","",IF(OR(R1071="",N1071&lt;=0,J1071=0,J1071=""),"",(R1071/1000*12/N1071)/J1071))</f>
        <v/>
      </c>
      <c r="W1071" s="1" t="str">
        <f aca="false">IF($A1071="","",IF(OR(T1071="",K1071=0,K1071=""),"",T1071/K1071))</f>
        <v/>
      </c>
      <c r="X1071" s="1" t="str">
        <f aca="false">IF($A1071="","",IF(OR(N1071&lt;=0,I1071=0,I1071="",O1071=0),"",O1071*1000/(I1071*0.3025)/N1071))</f>
        <v/>
      </c>
      <c r="Y1071" s="1" t="str">
        <f aca="false">IF($A1071="","",IF(OR(O1071=0,O1071="",P1071=0),"",P1071/O1071))</f>
        <v/>
      </c>
      <c r="Z1071" s="1" t="str">
        <f aca="false">IF($A1071="","",IFERROR(INDEX(物件収支!$E:$E,MATCH($A1071,物件収支!$A:$A,0)),""))</f>
        <v>非開示</v>
      </c>
    </row>
    <row r="1072" customFormat="false" ht="15" hidden="false" customHeight="true" outlineLevel="0" collapsed="false">
      <c r="A1072" s="1" t="str">
        <f aca="false">IF(物件マスタ!A1072="","",物件マスタ!A1072)</f>
        <v>KDX-331</v>
      </c>
      <c r="B1072" s="1" t="str">
        <f aca="false">IF($A1072="","",物件マスタ!B1072)</f>
        <v>KDX</v>
      </c>
      <c r="C1072" s="1" t="str">
        <f aca="false">IF($A1072="","",IFERROR(INDEX(法人マスタ!$C:$C,MATCH($B1072,法人マスタ!$A:$A,0)),""))</f>
        <v>ＫＤＸ不動産投資法人</v>
      </c>
      <c r="D1072" s="1" t="str">
        <f aca="false">IF($A1072="","",物件マスタ!C1072)</f>
        <v>エクセレント北野</v>
      </c>
      <c r="E1072" s="1" t="str">
        <f aca="false">IF($A1072="","",物件マスタ!H1072)</f>
        <v>地方経済圏（KDX区分）</v>
      </c>
      <c r="F1072" s="1" t="n">
        <f aca="false">IF($A1072="","",物件マスタ!P1072)</f>
        <v>0</v>
      </c>
      <c r="G1072" s="1" t="str">
        <f aca="false">IF($A1072="","",物件マスタ!Q1072)</f>
        <v/>
      </c>
      <c r="H1072" s="1" t="n">
        <f aca="false">IF($A1072="","",物件マスタ!L1072)</f>
        <v>0</v>
      </c>
      <c r="I1072" s="1" t="n">
        <f aca="false">IF($A1072="","",物件マスタ!M1072)</f>
        <v>1339.58</v>
      </c>
      <c r="J1072" s="1" t="n">
        <f aca="false">IF($A1072="","",物件マスタ!S1072)</f>
        <v>823</v>
      </c>
      <c r="K1072" s="1" t="n">
        <f aca="false">IF($A1072="","",物件マスタ!U1072)</f>
        <v>843</v>
      </c>
      <c r="L1072" s="1" t="n">
        <f aca="false">IF($A1072="","",物件マスタ!W1072)</f>
        <v>1</v>
      </c>
      <c r="M1072" s="1" t="str">
        <f aca="false">IF($A1072="","",IFERROR(INDEX(法人マスタ!$H:$H,MATCH($B1072,法人マスタ!$A:$A,0)),""))</f>
        <v>2026年4月期（第42期）</v>
      </c>
      <c r="N1072" s="1" t="n">
        <f aca="false">IF($A1072="","",SUMIFS(物件収支!$D:$D,物件収支!$A:$A,$A1072,物件収支!$C:$C,$M1072))</f>
        <v>6</v>
      </c>
      <c r="O1072" s="1" t="n">
        <f aca="false">IF($A1072="","",SUMIFS(物件収支!$F:$F,物件収支!$A:$A,$A1072,物件収支!$C:$C,$M1072))</f>
        <v>0</v>
      </c>
      <c r="P1072" s="1" t="n">
        <f aca="false">IF($A1072="","",SUMIFS(物件収支!$I:$I,物件収支!$A:$A,$A1072,物件収支!$C:$C,$M1072))</f>
        <v>0</v>
      </c>
      <c r="Q1072" s="1" t="n">
        <f aca="false">IF($A1072="","",SUMIFS(物件収支!$O:$O,物件収支!$A:$A,$A1072,物件収支!$C:$C,$M1072))</f>
        <v>0</v>
      </c>
      <c r="R1072" s="1" t="str">
        <f aca="false">IF($A1072="","",IF(P1072=0,"",O1072-P1072))</f>
        <v/>
      </c>
      <c r="S1072" s="1" t="str">
        <f aca="false">IF($A1072="","",IF(R1072="","",R1072+Q1072))</f>
        <v/>
      </c>
      <c r="T1072" s="1" t="str">
        <f aca="false">IF($A1072="","",IF(OR(S1072="",N1072&lt;=0),"",S1072/1000*12/N1072))</f>
        <v/>
      </c>
      <c r="U1072" s="1" t="str">
        <f aca="false">IF($A1072="","",IF(OR(T1072="",J1072=0,J1072=""),"",T1072/J1072))</f>
        <v/>
      </c>
      <c r="V1072" s="1" t="str">
        <f aca="false">IF($A1072="","",IF(OR(R1072="",N1072&lt;=0,J1072=0,J1072=""),"",(R1072/1000*12/N1072)/J1072))</f>
        <v/>
      </c>
      <c r="W1072" s="1" t="str">
        <f aca="false">IF($A1072="","",IF(OR(T1072="",K1072=0,K1072=""),"",T1072/K1072))</f>
        <v/>
      </c>
      <c r="X1072" s="1" t="str">
        <f aca="false">IF($A1072="","",IF(OR(N1072&lt;=0,I1072=0,I1072="",O1072=0),"",O1072*1000/(I1072*0.3025)/N1072))</f>
        <v/>
      </c>
      <c r="Y1072" s="1" t="str">
        <f aca="false">IF($A1072="","",IF(OR(O1072=0,O1072="",P1072=0),"",P1072/O1072))</f>
        <v/>
      </c>
      <c r="Z1072" s="1" t="str">
        <f aca="false">IF($A1072="","",IFERROR(INDEX(物件収支!$E:$E,MATCH($A1072,物件収支!$A:$A,0)),""))</f>
        <v>非開示</v>
      </c>
    </row>
    <row r="1073" customFormat="false" ht="15" hidden="false" customHeight="true" outlineLevel="0" collapsed="false">
      <c r="A1073" s="1" t="str">
        <f aca="false">IF(物件マスタ!A1073="","",物件マスタ!A1073)</f>
        <v>KDX-332</v>
      </c>
      <c r="B1073" s="1" t="str">
        <f aca="false">IF($A1073="","",物件マスタ!B1073)</f>
        <v>KDX</v>
      </c>
      <c r="C1073" s="1" t="str">
        <f aca="false">IF($A1073="","",IFERROR(INDEX(法人マスタ!$C:$C,MATCH($B1073,法人マスタ!$A:$A,0)),""))</f>
        <v>ＫＤＸ不動産投資法人</v>
      </c>
      <c r="D1073" s="1" t="str">
        <f aca="false">IF($A1073="","",物件マスタ!C1073)</f>
        <v>アネシス寺田町</v>
      </c>
      <c r="E1073" s="1" t="str">
        <f aca="false">IF($A1073="","",物件マスタ!H1073)</f>
        <v>地方経済圏（KDX区分）</v>
      </c>
      <c r="F1073" s="1" t="n">
        <f aca="false">IF($A1073="","",物件マスタ!P1073)</f>
        <v>0</v>
      </c>
      <c r="G1073" s="1" t="str">
        <f aca="false">IF($A1073="","",物件マスタ!Q1073)</f>
        <v/>
      </c>
      <c r="H1073" s="1" t="n">
        <f aca="false">IF($A1073="","",物件マスタ!L1073)</f>
        <v>0</v>
      </c>
      <c r="I1073" s="1" t="n">
        <f aca="false">IF($A1073="","",物件マスタ!M1073)</f>
        <v>7856.64</v>
      </c>
      <c r="J1073" s="1" t="n">
        <f aca="false">IF($A1073="","",物件マスタ!S1073)</f>
        <v>3580</v>
      </c>
      <c r="K1073" s="1" t="n">
        <f aca="false">IF($A1073="","",物件マスタ!U1073)</f>
        <v>3600</v>
      </c>
      <c r="L1073" s="1" t="n">
        <f aca="false">IF($A1073="","",物件マスタ!W1073)</f>
        <v>1</v>
      </c>
      <c r="M1073" s="1" t="str">
        <f aca="false">IF($A1073="","",IFERROR(INDEX(法人マスタ!$H:$H,MATCH($B1073,法人マスタ!$A:$A,0)),""))</f>
        <v>2026年4月期（第42期）</v>
      </c>
      <c r="N1073" s="1" t="n">
        <f aca="false">IF($A1073="","",SUMIFS(物件収支!$D:$D,物件収支!$A:$A,$A1073,物件収支!$C:$C,$M1073))</f>
        <v>6</v>
      </c>
      <c r="O1073" s="1" t="n">
        <f aca="false">IF($A1073="","",SUMIFS(物件収支!$F:$F,物件収支!$A:$A,$A1073,物件収支!$C:$C,$M1073))</f>
        <v>0</v>
      </c>
      <c r="P1073" s="1" t="n">
        <f aca="false">IF($A1073="","",SUMIFS(物件収支!$I:$I,物件収支!$A:$A,$A1073,物件収支!$C:$C,$M1073))</f>
        <v>0</v>
      </c>
      <c r="Q1073" s="1" t="n">
        <f aca="false">IF($A1073="","",SUMIFS(物件収支!$O:$O,物件収支!$A:$A,$A1073,物件収支!$C:$C,$M1073))</f>
        <v>0</v>
      </c>
      <c r="R1073" s="1" t="str">
        <f aca="false">IF($A1073="","",IF(P1073=0,"",O1073-P1073))</f>
        <v/>
      </c>
      <c r="S1073" s="1" t="str">
        <f aca="false">IF($A1073="","",IF(R1073="","",R1073+Q1073))</f>
        <v/>
      </c>
      <c r="T1073" s="1" t="str">
        <f aca="false">IF($A1073="","",IF(OR(S1073="",N1073&lt;=0),"",S1073/1000*12/N1073))</f>
        <v/>
      </c>
      <c r="U1073" s="1" t="str">
        <f aca="false">IF($A1073="","",IF(OR(T1073="",J1073=0,J1073=""),"",T1073/J1073))</f>
        <v/>
      </c>
      <c r="V1073" s="1" t="str">
        <f aca="false">IF($A1073="","",IF(OR(R1073="",N1073&lt;=0,J1073=0,J1073=""),"",(R1073/1000*12/N1073)/J1073))</f>
        <v/>
      </c>
      <c r="W1073" s="1" t="str">
        <f aca="false">IF($A1073="","",IF(OR(T1073="",K1073=0,K1073=""),"",T1073/K1073))</f>
        <v/>
      </c>
      <c r="X1073" s="1" t="str">
        <f aca="false">IF($A1073="","",IF(OR(N1073&lt;=0,I1073=0,I1073="",O1073=0),"",O1073*1000/(I1073*0.3025)/N1073))</f>
        <v/>
      </c>
      <c r="Y1073" s="1" t="str">
        <f aca="false">IF($A1073="","",IF(OR(O1073=0,O1073="",P1073=0),"",P1073/O1073))</f>
        <v/>
      </c>
      <c r="Z1073" s="1" t="str">
        <f aca="false">IF($A1073="","",IFERROR(INDEX(物件収支!$E:$E,MATCH($A1073,物件収支!$A:$A,0)),""))</f>
        <v>非開示</v>
      </c>
    </row>
    <row r="1074" customFormat="false" ht="15" hidden="false" customHeight="true" outlineLevel="0" collapsed="false">
      <c r="A1074" s="1" t="str">
        <f aca="false">IF(物件マスタ!A1074="","",物件マスタ!A1074)</f>
        <v>KDX-333</v>
      </c>
      <c r="B1074" s="1" t="str">
        <f aca="false">IF($A1074="","",物件マスタ!B1074)</f>
        <v>KDX</v>
      </c>
      <c r="C1074" s="1" t="str">
        <f aca="false">IF($A1074="","",IFERROR(INDEX(法人マスタ!$C:$C,MATCH($B1074,法人マスタ!$A:$A,0)),""))</f>
        <v>ＫＤＸ不動産投資法人</v>
      </c>
      <c r="D1074" s="1" t="str">
        <f aca="false">IF($A1074="","",物件マスタ!C1074)</f>
        <v>オラージュ須磨</v>
      </c>
      <c r="E1074" s="1" t="str">
        <f aca="false">IF($A1074="","",物件マスタ!H1074)</f>
        <v>地方経済圏（KDX区分）</v>
      </c>
      <c r="F1074" s="1" t="n">
        <f aca="false">IF($A1074="","",物件マスタ!P1074)</f>
        <v>0</v>
      </c>
      <c r="G1074" s="1" t="str">
        <f aca="false">IF($A1074="","",物件マスタ!Q1074)</f>
        <v/>
      </c>
      <c r="H1074" s="1" t="n">
        <f aca="false">IF($A1074="","",物件マスタ!L1074)</f>
        <v>0</v>
      </c>
      <c r="I1074" s="1" t="n">
        <f aca="false">IF($A1074="","",物件マスタ!M1074)</f>
        <v>5995.74</v>
      </c>
      <c r="J1074" s="1" t="n">
        <f aca="false">IF($A1074="","",物件マスタ!S1074)</f>
        <v>2770</v>
      </c>
      <c r="K1074" s="1" t="n">
        <f aca="false">IF($A1074="","",物件マスタ!U1074)</f>
        <v>2780</v>
      </c>
      <c r="L1074" s="1" t="n">
        <f aca="false">IF($A1074="","",物件マスタ!W1074)</f>
        <v>1</v>
      </c>
      <c r="M1074" s="1" t="str">
        <f aca="false">IF($A1074="","",IFERROR(INDEX(法人マスタ!$H:$H,MATCH($B1074,法人マスタ!$A:$A,0)),""))</f>
        <v>2026年4月期（第42期）</v>
      </c>
      <c r="N1074" s="1" t="n">
        <f aca="false">IF($A1074="","",SUMIFS(物件収支!$D:$D,物件収支!$A:$A,$A1074,物件収支!$C:$C,$M1074))</f>
        <v>6</v>
      </c>
      <c r="O1074" s="1" t="n">
        <f aca="false">IF($A1074="","",SUMIFS(物件収支!$F:$F,物件収支!$A:$A,$A1074,物件収支!$C:$C,$M1074))</f>
        <v>0</v>
      </c>
      <c r="P1074" s="1" t="n">
        <f aca="false">IF($A1074="","",SUMIFS(物件収支!$I:$I,物件収支!$A:$A,$A1074,物件収支!$C:$C,$M1074))</f>
        <v>0</v>
      </c>
      <c r="Q1074" s="1" t="n">
        <f aca="false">IF($A1074="","",SUMIFS(物件収支!$O:$O,物件収支!$A:$A,$A1074,物件収支!$C:$C,$M1074))</f>
        <v>0</v>
      </c>
      <c r="R1074" s="1" t="str">
        <f aca="false">IF($A1074="","",IF(P1074=0,"",O1074-P1074))</f>
        <v/>
      </c>
      <c r="S1074" s="1" t="str">
        <f aca="false">IF($A1074="","",IF(R1074="","",R1074+Q1074))</f>
        <v/>
      </c>
      <c r="T1074" s="1" t="str">
        <f aca="false">IF($A1074="","",IF(OR(S1074="",N1074&lt;=0),"",S1074/1000*12/N1074))</f>
        <v/>
      </c>
      <c r="U1074" s="1" t="str">
        <f aca="false">IF($A1074="","",IF(OR(T1074="",J1074=0,J1074=""),"",T1074/J1074))</f>
        <v/>
      </c>
      <c r="V1074" s="1" t="str">
        <f aca="false">IF($A1074="","",IF(OR(R1074="",N1074&lt;=0,J1074=0,J1074=""),"",(R1074/1000*12/N1074)/J1074))</f>
        <v/>
      </c>
      <c r="W1074" s="1" t="str">
        <f aca="false">IF($A1074="","",IF(OR(T1074="",K1074=0,K1074=""),"",T1074/K1074))</f>
        <v/>
      </c>
      <c r="X1074" s="1" t="str">
        <f aca="false">IF($A1074="","",IF(OR(N1074&lt;=0,I1074=0,I1074="",O1074=0),"",O1074*1000/(I1074*0.3025)/N1074))</f>
        <v/>
      </c>
      <c r="Y1074" s="1" t="str">
        <f aca="false">IF($A1074="","",IF(OR(O1074=0,O1074="",P1074=0),"",P1074/O1074))</f>
        <v/>
      </c>
      <c r="Z1074" s="1" t="str">
        <f aca="false">IF($A1074="","",IFERROR(INDEX(物件収支!$E:$E,MATCH($A1074,物件収支!$A:$A,0)),""))</f>
        <v>非開示</v>
      </c>
    </row>
    <row r="1075" customFormat="false" ht="15" hidden="false" customHeight="true" outlineLevel="0" collapsed="false">
      <c r="A1075" s="1" t="str">
        <f aca="false">IF(物件マスタ!A1075="","",物件マスタ!A1075)</f>
        <v>KDX-334</v>
      </c>
      <c r="B1075" s="1" t="str">
        <f aca="false">IF($A1075="","",物件マスタ!B1075)</f>
        <v>KDX</v>
      </c>
      <c r="C1075" s="1" t="str">
        <f aca="false">IF($A1075="","",IFERROR(INDEX(法人マスタ!$C:$C,MATCH($B1075,法人マスタ!$A:$A,0)),""))</f>
        <v>ＫＤＸ不動産投資法人</v>
      </c>
      <c r="D1075" s="1" t="str">
        <f aca="false">IF($A1075="","",物件マスタ!C1075)</f>
        <v>ロココリハ</v>
      </c>
      <c r="E1075" s="1" t="str">
        <f aca="false">IF($A1075="","",物件マスタ!H1075)</f>
        <v>地方経済圏（KDX区分）</v>
      </c>
      <c r="F1075" s="1" t="n">
        <f aca="false">IF($A1075="","",物件マスタ!P1075)</f>
        <v>0</v>
      </c>
      <c r="G1075" s="1" t="str">
        <f aca="false">IF($A1075="","",物件マスタ!Q1075)</f>
        <v/>
      </c>
      <c r="H1075" s="1" t="n">
        <f aca="false">IF($A1075="","",物件マスタ!L1075)</f>
        <v>0</v>
      </c>
      <c r="I1075" s="1" t="n">
        <f aca="false">IF($A1075="","",物件マスタ!M1075)</f>
        <v>3860.29</v>
      </c>
      <c r="J1075" s="1" t="n">
        <f aca="false">IF($A1075="","",物件マスタ!S1075)</f>
        <v>2160</v>
      </c>
      <c r="K1075" s="1" t="n">
        <f aca="false">IF($A1075="","",物件マスタ!U1075)</f>
        <v>2160</v>
      </c>
      <c r="L1075" s="1" t="n">
        <f aca="false">IF($A1075="","",物件マスタ!W1075)</f>
        <v>1</v>
      </c>
      <c r="M1075" s="1" t="str">
        <f aca="false">IF($A1075="","",IFERROR(INDEX(法人マスタ!$H:$H,MATCH($B1075,法人マスタ!$A:$A,0)),""))</f>
        <v>2026年4月期（第42期）</v>
      </c>
      <c r="N1075" s="1" t="n">
        <f aca="false">IF($A1075="","",SUMIFS(物件収支!$D:$D,物件収支!$A:$A,$A1075,物件収支!$C:$C,$M1075))</f>
        <v>6</v>
      </c>
      <c r="O1075" s="1" t="n">
        <f aca="false">IF($A1075="","",SUMIFS(物件収支!$F:$F,物件収支!$A:$A,$A1075,物件収支!$C:$C,$M1075))</f>
        <v>0</v>
      </c>
      <c r="P1075" s="1" t="n">
        <f aca="false">IF($A1075="","",SUMIFS(物件収支!$I:$I,物件収支!$A:$A,$A1075,物件収支!$C:$C,$M1075))</f>
        <v>0</v>
      </c>
      <c r="Q1075" s="1" t="n">
        <f aca="false">IF($A1075="","",SUMIFS(物件収支!$O:$O,物件収支!$A:$A,$A1075,物件収支!$C:$C,$M1075))</f>
        <v>0</v>
      </c>
      <c r="R1075" s="1" t="str">
        <f aca="false">IF($A1075="","",IF(P1075=0,"",O1075-P1075))</f>
        <v/>
      </c>
      <c r="S1075" s="1" t="str">
        <f aca="false">IF($A1075="","",IF(R1075="","",R1075+Q1075))</f>
        <v/>
      </c>
      <c r="T1075" s="1" t="str">
        <f aca="false">IF($A1075="","",IF(OR(S1075="",N1075&lt;=0),"",S1075/1000*12/N1075))</f>
        <v/>
      </c>
      <c r="U1075" s="1" t="str">
        <f aca="false">IF($A1075="","",IF(OR(T1075="",J1075=0,J1075=""),"",T1075/J1075))</f>
        <v/>
      </c>
      <c r="V1075" s="1" t="str">
        <f aca="false">IF($A1075="","",IF(OR(R1075="",N1075&lt;=0,J1075=0,J1075=""),"",(R1075/1000*12/N1075)/J1075))</f>
        <v/>
      </c>
      <c r="W1075" s="1" t="str">
        <f aca="false">IF($A1075="","",IF(OR(T1075="",K1075=0,K1075=""),"",T1075/K1075))</f>
        <v/>
      </c>
      <c r="X1075" s="1" t="str">
        <f aca="false">IF($A1075="","",IF(OR(N1075&lt;=0,I1075=0,I1075="",O1075=0),"",O1075*1000/(I1075*0.3025)/N1075))</f>
        <v/>
      </c>
      <c r="Y1075" s="1" t="str">
        <f aca="false">IF($A1075="","",IF(OR(O1075=0,O1075="",P1075=0),"",P1075/O1075))</f>
        <v/>
      </c>
      <c r="Z1075" s="1" t="str">
        <f aca="false">IF($A1075="","",IFERROR(INDEX(物件収支!$E:$E,MATCH($A1075,物件収支!$A:$A,0)),""))</f>
        <v>非開示</v>
      </c>
    </row>
    <row r="1076" customFormat="false" ht="15" hidden="false" customHeight="true" outlineLevel="0" collapsed="false">
      <c r="A1076" s="1" t="str">
        <f aca="false">IF(物件マスタ!A1076="","",物件マスタ!A1076)</f>
        <v>KDX-335</v>
      </c>
      <c r="B1076" s="1" t="str">
        <f aca="false">IF($A1076="","",物件マスタ!B1076)</f>
        <v>KDX</v>
      </c>
      <c r="C1076" s="1" t="str">
        <f aca="false">IF($A1076="","",IFERROR(INDEX(法人マスタ!$C:$C,MATCH($B1076,法人マスタ!$A:$A,0)),""))</f>
        <v>ＫＤＸ不動産投資法人</v>
      </c>
      <c r="D1076" s="1" t="str">
        <f aca="false">IF($A1076="","",物件マスタ!C1076)</f>
        <v>カネディアンヒル</v>
      </c>
      <c r="E1076" s="1" t="str">
        <f aca="false">IF($A1076="","",物件マスタ!H1076)</f>
        <v>地方経済圏（KDX区分）</v>
      </c>
      <c r="F1076" s="1" t="n">
        <f aca="false">IF($A1076="","",物件マスタ!P1076)</f>
        <v>0</v>
      </c>
      <c r="G1076" s="1" t="str">
        <f aca="false">IF($A1076="","",物件マスタ!Q1076)</f>
        <v/>
      </c>
      <c r="H1076" s="1" t="n">
        <f aca="false">IF($A1076="","",物件マスタ!L1076)</f>
        <v>0</v>
      </c>
      <c r="I1076" s="1" t="n">
        <f aca="false">IF($A1076="","",物件マスタ!M1076)</f>
        <v>3731.26</v>
      </c>
      <c r="J1076" s="1" t="n">
        <f aca="false">IF($A1076="","",物件マスタ!S1076)</f>
        <v>1720</v>
      </c>
      <c r="K1076" s="1" t="n">
        <f aca="false">IF($A1076="","",物件マスタ!U1076)</f>
        <v>1730</v>
      </c>
      <c r="L1076" s="1" t="n">
        <f aca="false">IF($A1076="","",物件マスタ!W1076)</f>
        <v>1</v>
      </c>
      <c r="M1076" s="1" t="str">
        <f aca="false">IF($A1076="","",IFERROR(INDEX(法人マスタ!$H:$H,MATCH($B1076,法人マスタ!$A:$A,0)),""))</f>
        <v>2026年4月期（第42期）</v>
      </c>
      <c r="N1076" s="1" t="n">
        <f aca="false">IF($A1076="","",SUMIFS(物件収支!$D:$D,物件収支!$A:$A,$A1076,物件収支!$C:$C,$M1076))</f>
        <v>6</v>
      </c>
      <c r="O1076" s="1" t="n">
        <f aca="false">IF($A1076="","",SUMIFS(物件収支!$F:$F,物件収支!$A:$A,$A1076,物件収支!$C:$C,$M1076))</f>
        <v>0</v>
      </c>
      <c r="P1076" s="1" t="n">
        <f aca="false">IF($A1076="","",SUMIFS(物件収支!$I:$I,物件収支!$A:$A,$A1076,物件収支!$C:$C,$M1076))</f>
        <v>0</v>
      </c>
      <c r="Q1076" s="1" t="n">
        <f aca="false">IF($A1076="","",SUMIFS(物件収支!$O:$O,物件収支!$A:$A,$A1076,物件収支!$C:$C,$M1076))</f>
        <v>0</v>
      </c>
      <c r="R1076" s="1" t="str">
        <f aca="false">IF($A1076="","",IF(P1076=0,"",O1076-P1076))</f>
        <v/>
      </c>
      <c r="S1076" s="1" t="str">
        <f aca="false">IF($A1076="","",IF(R1076="","",R1076+Q1076))</f>
        <v/>
      </c>
      <c r="T1076" s="1" t="str">
        <f aca="false">IF($A1076="","",IF(OR(S1076="",N1076&lt;=0),"",S1076/1000*12/N1076))</f>
        <v/>
      </c>
      <c r="U1076" s="1" t="str">
        <f aca="false">IF($A1076="","",IF(OR(T1076="",J1076=0,J1076=""),"",T1076/J1076))</f>
        <v/>
      </c>
      <c r="V1076" s="1" t="str">
        <f aca="false">IF($A1076="","",IF(OR(R1076="",N1076&lt;=0,J1076=0,J1076=""),"",(R1076/1000*12/N1076)/J1076))</f>
        <v/>
      </c>
      <c r="W1076" s="1" t="str">
        <f aca="false">IF($A1076="","",IF(OR(T1076="",K1076=0,K1076=""),"",T1076/K1076))</f>
        <v/>
      </c>
      <c r="X1076" s="1" t="str">
        <f aca="false">IF($A1076="","",IF(OR(N1076&lt;=0,I1076=0,I1076="",O1076=0),"",O1076*1000/(I1076*0.3025)/N1076))</f>
        <v/>
      </c>
      <c r="Y1076" s="1" t="str">
        <f aca="false">IF($A1076="","",IF(OR(O1076=0,O1076="",P1076=0),"",P1076/O1076))</f>
        <v/>
      </c>
      <c r="Z1076" s="1" t="str">
        <f aca="false">IF($A1076="","",IFERROR(INDEX(物件収支!$E:$E,MATCH($A1076,物件収支!$A:$A,0)),""))</f>
        <v>非開示</v>
      </c>
    </row>
    <row r="1077" customFormat="false" ht="15" hidden="false" customHeight="true" outlineLevel="0" collapsed="false">
      <c r="A1077" s="1" t="str">
        <f aca="false">IF(物件マスタ!A1077="","",物件マスタ!A1077)</f>
        <v>KDX-336</v>
      </c>
      <c r="B1077" s="1" t="str">
        <f aca="false">IF($A1077="","",物件マスタ!B1077)</f>
        <v>KDX</v>
      </c>
      <c r="C1077" s="1" t="str">
        <f aca="false">IF($A1077="","",IFERROR(INDEX(法人マスタ!$C:$C,MATCH($B1077,法人マスタ!$A:$A,0)),""))</f>
        <v>ＫＤＸ不動産投資法人</v>
      </c>
      <c r="D1077" s="1" t="str">
        <f aca="false">IF($A1077="","",物件マスタ!C1077)</f>
        <v>アネシス兵庫</v>
      </c>
      <c r="E1077" s="1" t="str">
        <f aca="false">IF($A1077="","",物件マスタ!H1077)</f>
        <v>地方経済圏（KDX区分）</v>
      </c>
      <c r="F1077" s="1" t="n">
        <f aca="false">IF($A1077="","",物件マスタ!P1077)</f>
        <v>0</v>
      </c>
      <c r="G1077" s="1" t="str">
        <f aca="false">IF($A1077="","",物件マスタ!Q1077)</f>
        <v/>
      </c>
      <c r="H1077" s="1" t="n">
        <f aca="false">IF($A1077="","",物件マスタ!L1077)</f>
        <v>0</v>
      </c>
      <c r="I1077" s="1" t="n">
        <f aca="false">IF($A1077="","",物件マスタ!M1077)</f>
        <v>4415.16</v>
      </c>
      <c r="J1077" s="1" t="n">
        <f aca="false">IF($A1077="","",物件マスタ!S1077)</f>
        <v>1440</v>
      </c>
      <c r="K1077" s="1" t="n">
        <f aca="false">IF($A1077="","",物件マスタ!U1077)</f>
        <v>1430</v>
      </c>
      <c r="L1077" s="1" t="n">
        <f aca="false">IF($A1077="","",物件マスタ!W1077)</f>
        <v>1</v>
      </c>
      <c r="M1077" s="1" t="str">
        <f aca="false">IF($A1077="","",IFERROR(INDEX(法人マスタ!$H:$H,MATCH($B1077,法人マスタ!$A:$A,0)),""))</f>
        <v>2026年4月期（第42期）</v>
      </c>
      <c r="N1077" s="1" t="n">
        <f aca="false">IF($A1077="","",SUMIFS(物件収支!$D:$D,物件収支!$A:$A,$A1077,物件収支!$C:$C,$M1077))</f>
        <v>6</v>
      </c>
      <c r="O1077" s="1" t="n">
        <f aca="false">IF($A1077="","",SUMIFS(物件収支!$F:$F,物件収支!$A:$A,$A1077,物件収支!$C:$C,$M1077))</f>
        <v>0</v>
      </c>
      <c r="P1077" s="1" t="n">
        <f aca="false">IF($A1077="","",SUMIFS(物件収支!$I:$I,物件収支!$A:$A,$A1077,物件収支!$C:$C,$M1077))</f>
        <v>0</v>
      </c>
      <c r="Q1077" s="1" t="n">
        <f aca="false">IF($A1077="","",SUMIFS(物件収支!$O:$O,物件収支!$A:$A,$A1077,物件収支!$C:$C,$M1077))</f>
        <v>0</v>
      </c>
      <c r="R1077" s="1" t="str">
        <f aca="false">IF($A1077="","",IF(P1077=0,"",O1077-P1077))</f>
        <v/>
      </c>
      <c r="S1077" s="1" t="str">
        <f aca="false">IF($A1077="","",IF(R1077="","",R1077+Q1077))</f>
        <v/>
      </c>
      <c r="T1077" s="1" t="str">
        <f aca="false">IF($A1077="","",IF(OR(S1077="",N1077&lt;=0),"",S1077/1000*12/N1077))</f>
        <v/>
      </c>
      <c r="U1077" s="1" t="str">
        <f aca="false">IF($A1077="","",IF(OR(T1077="",J1077=0,J1077=""),"",T1077/J1077))</f>
        <v/>
      </c>
      <c r="V1077" s="1" t="str">
        <f aca="false">IF($A1077="","",IF(OR(R1077="",N1077&lt;=0,J1077=0,J1077=""),"",(R1077/1000*12/N1077)/J1077))</f>
        <v/>
      </c>
      <c r="W1077" s="1" t="str">
        <f aca="false">IF($A1077="","",IF(OR(T1077="",K1077=0,K1077=""),"",T1077/K1077))</f>
        <v/>
      </c>
      <c r="X1077" s="1" t="str">
        <f aca="false">IF($A1077="","",IF(OR(N1077&lt;=0,I1077=0,I1077="",O1077=0),"",O1077*1000/(I1077*0.3025)/N1077))</f>
        <v/>
      </c>
      <c r="Y1077" s="1" t="str">
        <f aca="false">IF($A1077="","",IF(OR(O1077=0,O1077="",P1077=0),"",P1077/O1077))</f>
        <v/>
      </c>
      <c r="Z1077" s="1" t="str">
        <f aca="false">IF($A1077="","",IFERROR(INDEX(物件収支!$E:$E,MATCH($A1077,物件収支!$A:$A,0)),""))</f>
        <v>非開示</v>
      </c>
    </row>
    <row r="1078" customFormat="false" ht="15" hidden="false" customHeight="true" outlineLevel="0" collapsed="false">
      <c r="A1078" s="1" t="str">
        <f aca="false">IF(物件マスタ!A1078="","",物件マスタ!A1078)</f>
        <v>KDX-337</v>
      </c>
      <c r="B1078" s="1" t="str">
        <f aca="false">IF($A1078="","",物件マスタ!B1078)</f>
        <v>KDX</v>
      </c>
      <c r="C1078" s="1" t="str">
        <f aca="false">IF($A1078="","",IFERROR(INDEX(法人マスタ!$C:$C,MATCH($B1078,法人マスタ!$A:$A,0)),""))</f>
        <v>ＫＤＸ不動産投資法人</v>
      </c>
      <c r="D1078" s="1" t="str">
        <f aca="false">IF($A1078="","",物件マスタ!C1078)</f>
        <v>アルテ石屋川</v>
      </c>
      <c r="E1078" s="1" t="str">
        <f aca="false">IF($A1078="","",物件マスタ!H1078)</f>
        <v>地方経済圏（KDX区分）</v>
      </c>
      <c r="F1078" s="1" t="n">
        <f aca="false">IF($A1078="","",物件マスタ!P1078)</f>
        <v>0</v>
      </c>
      <c r="G1078" s="1" t="str">
        <f aca="false">IF($A1078="","",物件マスタ!Q1078)</f>
        <v/>
      </c>
      <c r="H1078" s="1" t="n">
        <f aca="false">IF($A1078="","",物件マスタ!L1078)</f>
        <v>0</v>
      </c>
      <c r="I1078" s="1" t="n">
        <f aca="false">IF($A1078="","",物件マスタ!M1078)</f>
        <v>3444.81</v>
      </c>
      <c r="J1078" s="1" t="n">
        <f aca="false">IF($A1078="","",物件マスタ!S1078)</f>
        <v>1370</v>
      </c>
      <c r="K1078" s="1" t="n">
        <f aca="false">IF($A1078="","",物件マスタ!U1078)</f>
        <v>1310</v>
      </c>
      <c r="L1078" s="1" t="n">
        <f aca="false">IF($A1078="","",物件マスタ!W1078)</f>
        <v>1</v>
      </c>
      <c r="M1078" s="1" t="str">
        <f aca="false">IF($A1078="","",IFERROR(INDEX(法人マスタ!$H:$H,MATCH($B1078,法人マスタ!$A:$A,0)),""))</f>
        <v>2026年4月期（第42期）</v>
      </c>
      <c r="N1078" s="1" t="n">
        <f aca="false">IF($A1078="","",SUMIFS(物件収支!$D:$D,物件収支!$A:$A,$A1078,物件収支!$C:$C,$M1078))</f>
        <v>6</v>
      </c>
      <c r="O1078" s="1" t="n">
        <f aca="false">IF($A1078="","",SUMIFS(物件収支!$F:$F,物件収支!$A:$A,$A1078,物件収支!$C:$C,$M1078))</f>
        <v>0</v>
      </c>
      <c r="P1078" s="1" t="n">
        <f aca="false">IF($A1078="","",SUMIFS(物件収支!$I:$I,物件収支!$A:$A,$A1078,物件収支!$C:$C,$M1078))</f>
        <v>0</v>
      </c>
      <c r="Q1078" s="1" t="n">
        <f aca="false">IF($A1078="","",SUMIFS(物件収支!$O:$O,物件収支!$A:$A,$A1078,物件収支!$C:$C,$M1078))</f>
        <v>0</v>
      </c>
      <c r="R1078" s="1" t="str">
        <f aca="false">IF($A1078="","",IF(P1078=0,"",O1078-P1078))</f>
        <v/>
      </c>
      <c r="S1078" s="1" t="str">
        <f aca="false">IF($A1078="","",IF(R1078="","",R1078+Q1078))</f>
        <v/>
      </c>
      <c r="T1078" s="1" t="str">
        <f aca="false">IF($A1078="","",IF(OR(S1078="",N1078&lt;=0),"",S1078/1000*12/N1078))</f>
        <v/>
      </c>
      <c r="U1078" s="1" t="str">
        <f aca="false">IF($A1078="","",IF(OR(T1078="",J1078=0,J1078=""),"",T1078/J1078))</f>
        <v/>
      </c>
      <c r="V1078" s="1" t="str">
        <f aca="false">IF($A1078="","",IF(OR(R1078="",N1078&lt;=0,J1078=0,J1078=""),"",(R1078/1000*12/N1078)/J1078))</f>
        <v/>
      </c>
      <c r="W1078" s="1" t="str">
        <f aca="false">IF($A1078="","",IF(OR(T1078="",K1078=0,K1078=""),"",T1078/K1078))</f>
        <v/>
      </c>
      <c r="X1078" s="1" t="str">
        <f aca="false">IF($A1078="","",IF(OR(N1078&lt;=0,I1078=0,I1078="",O1078=0),"",O1078*1000/(I1078*0.3025)/N1078))</f>
        <v/>
      </c>
      <c r="Y1078" s="1" t="str">
        <f aca="false">IF($A1078="","",IF(OR(O1078=0,O1078="",P1078=0),"",P1078/O1078))</f>
        <v/>
      </c>
      <c r="Z1078" s="1" t="str">
        <f aca="false">IF($A1078="","",IFERROR(INDEX(物件収支!$E:$E,MATCH($A1078,物件収支!$A:$A,0)),""))</f>
        <v>非開示</v>
      </c>
    </row>
    <row r="1079" customFormat="false" ht="15" hidden="false" customHeight="true" outlineLevel="0" collapsed="false">
      <c r="A1079" s="1" t="str">
        <f aca="false">IF(物件マスタ!A1079="","",物件マスタ!A1079)</f>
        <v>KDX-338</v>
      </c>
      <c r="B1079" s="1" t="str">
        <f aca="false">IF($A1079="","",物件マスタ!B1079)</f>
        <v>KDX</v>
      </c>
      <c r="C1079" s="1" t="str">
        <f aca="false">IF($A1079="","",IFERROR(INDEX(法人マスタ!$C:$C,MATCH($B1079,法人マスタ!$A:$A,0)),""))</f>
        <v>ＫＤＸ不動産投資法人</v>
      </c>
      <c r="D1079" s="1" t="str">
        <f aca="false">IF($A1079="","",物件マスタ!C1079)</f>
        <v>メディカルホームグランダ苦楽園</v>
      </c>
      <c r="E1079" s="1" t="str">
        <f aca="false">IF($A1079="","",物件マスタ!H1079)</f>
        <v>地方経済圏（KDX区分）</v>
      </c>
      <c r="F1079" s="1" t="n">
        <f aca="false">IF($A1079="","",物件マスタ!P1079)</f>
        <v>0</v>
      </c>
      <c r="G1079" s="1" t="str">
        <f aca="false">IF($A1079="","",物件マスタ!Q1079)</f>
        <v/>
      </c>
      <c r="H1079" s="1" t="n">
        <f aca="false">IF($A1079="","",物件マスタ!L1079)</f>
        <v>0</v>
      </c>
      <c r="I1079" s="1" t="n">
        <f aca="false">IF($A1079="","",物件マスタ!M1079)</f>
        <v>3900.59</v>
      </c>
      <c r="J1079" s="1" t="n">
        <f aca="false">IF($A1079="","",物件マスタ!S1079)</f>
        <v>3000</v>
      </c>
      <c r="K1079" s="1" t="n">
        <f aca="false">IF($A1079="","",物件マスタ!U1079)</f>
        <v>3010</v>
      </c>
      <c r="L1079" s="1" t="n">
        <f aca="false">IF($A1079="","",物件マスタ!W1079)</f>
        <v>1</v>
      </c>
      <c r="M1079" s="1" t="str">
        <f aca="false">IF($A1079="","",IFERROR(INDEX(法人マスタ!$H:$H,MATCH($B1079,法人マスタ!$A:$A,0)),""))</f>
        <v>2026年4月期（第42期）</v>
      </c>
      <c r="N1079" s="1" t="n">
        <f aca="false">IF($A1079="","",SUMIFS(物件収支!$D:$D,物件収支!$A:$A,$A1079,物件収支!$C:$C,$M1079))</f>
        <v>6</v>
      </c>
      <c r="O1079" s="1" t="n">
        <f aca="false">IF($A1079="","",SUMIFS(物件収支!$F:$F,物件収支!$A:$A,$A1079,物件収支!$C:$C,$M1079))</f>
        <v>0</v>
      </c>
      <c r="P1079" s="1" t="n">
        <f aca="false">IF($A1079="","",SUMIFS(物件収支!$I:$I,物件収支!$A:$A,$A1079,物件収支!$C:$C,$M1079))</f>
        <v>0</v>
      </c>
      <c r="Q1079" s="1" t="n">
        <f aca="false">IF($A1079="","",SUMIFS(物件収支!$O:$O,物件収支!$A:$A,$A1079,物件収支!$C:$C,$M1079))</f>
        <v>0</v>
      </c>
      <c r="R1079" s="1" t="str">
        <f aca="false">IF($A1079="","",IF(P1079=0,"",O1079-P1079))</f>
        <v/>
      </c>
      <c r="S1079" s="1" t="str">
        <f aca="false">IF($A1079="","",IF(R1079="","",R1079+Q1079))</f>
        <v/>
      </c>
      <c r="T1079" s="1" t="str">
        <f aca="false">IF($A1079="","",IF(OR(S1079="",N1079&lt;=0),"",S1079/1000*12/N1079))</f>
        <v/>
      </c>
      <c r="U1079" s="1" t="str">
        <f aca="false">IF($A1079="","",IF(OR(T1079="",J1079=0,J1079=""),"",T1079/J1079))</f>
        <v/>
      </c>
      <c r="V1079" s="1" t="str">
        <f aca="false">IF($A1079="","",IF(OR(R1079="",N1079&lt;=0,J1079=0,J1079=""),"",(R1079/1000*12/N1079)/J1079))</f>
        <v/>
      </c>
      <c r="W1079" s="1" t="str">
        <f aca="false">IF($A1079="","",IF(OR(T1079="",K1079=0,K1079=""),"",T1079/K1079))</f>
        <v/>
      </c>
      <c r="X1079" s="1" t="str">
        <f aca="false">IF($A1079="","",IF(OR(N1079&lt;=0,I1079=0,I1079="",O1079=0),"",O1079*1000/(I1079*0.3025)/N1079))</f>
        <v/>
      </c>
      <c r="Y1079" s="1" t="str">
        <f aca="false">IF($A1079="","",IF(OR(O1079=0,O1079="",P1079=0),"",P1079/O1079))</f>
        <v/>
      </c>
      <c r="Z1079" s="1" t="str">
        <f aca="false">IF($A1079="","",IFERROR(INDEX(物件収支!$E:$E,MATCH($A1079,物件収支!$A:$A,0)),""))</f>
        <v>非開示</v>
      </c>
    </row>
    <row r="1080" customFormat="false" ht="15" hidden="false" customHeight="true" outlineLevel="0" collapsed="false">
      <c r="A1080" s="1" t="str">
        <f aca="false">IF(物件マスタ!A1080="","",物件マスタ!A1080)</f>
        <v>KDX-339</v>
      </c>
      <c r="B1080" s="1" t="str">
        <f aca="false">IF($A1080="","",物件マスタ!B1080)</f>
        <v>KDX</v>
      </c>
      <c r="C1080" s="1" t="str">
        <f aca="false">IF($A1080="","",IFERROR(INDEX(法人マスタ!$C:$C,MATCH($B1080,法人マスタ!$A:$A,0)),""))</f>
        <v>ＫＤＸ不動産投資法人</v>
      </c>
      <c r="D1080" s="1" t="str">
        <f aca="false">IF($A1080="","",物件マスタ!C1080)</f>
        <v>メディカル・リハビリホームグランダ神戸北野</v>
      </c>
      <c r="E1080" s="1" t="str">
        <f aca="false">IF($A1080="","",物件マスタ!H1080)</f>
        <v>地方経済圏（KDX区分）</v>
      </c>
      <c r="F1080" s="1" t="n">
        <f aca="false">IF($A1080="","",物件マスタ!P1080)</f>
        <v>0</v>
      </c>
      <c r="G1080" s="1" t="str">
        <f aca="false">IF($A1080="","",物件マスタ!Q1080)</f>
        <v/>
      </c>
      <c r="H1080" s="1" t="n">
        <f aca="false">IF($A1080="","",物件マスタ!L1080)</f>
        <v>0</v>
      </c>
      <c r="I1080" s="1" t="n">
        <f aca="false">IF($A1080="","",物件マスタ!M1080)</f>
        <v>2725.53</v>
      </c>
      <c r="J1080" s="1" t="n">
        <f aca="false">IF($A1080="","",物件マスタ!S1080)</f>
        <v>2030</v>
      </c>
      <c r="K1080" s="1" t="n">
        <f aca="false">IF($A1080="","",物件マスタ!U1080)</f>
        <v>1960</v>
      </c>
      <c r="L1080" s="1" t="n">
        <f aca="false">IF($A1080="","",物件マスタ!W1080)</f>
        <v>1</v>
      </c>
      <c r="M1080" s="1" t="str">
        <f aca="false">IF($A1080="","",IFERROR(INDEX(法人マスタ!$H:$H,MATCH($B1080,法人マスタ!$A:$A,0)),""))</f>
        <v>2026年4月期（第42期）</v>
      </c>
      <c r="N1080" s="1" t="n">
        <f aca="false">IF($A1080="","",SUMIFS(物件収支!$D:$D,物件収支!$A:$A,$A1080,物件収支!$C:$C,$M1080))</f>
        <v>6</v>
      </c>
      <c r="O1080" s="1" t="n">
        <f aca="false">IF($A1080="","",SUMIFS(物件収支!$F:$F,物件収支!$A:$A,$A1080,物件収支!$C:$C,$M1080))</f>
        <v>0</v>
      </c>
      <c r="P1080" s="1" t="n">
        <f aca="false">IF($A1080="","",SUMIFS(物件収支!$I:$I,物件収支!$A:$A,$A1080,物件収支!$C:$C,$M1080))</f>
        <v>0</v>
      </c>
      <c r="Q1080" s="1" t="n">
        <f aca="false">IF($A1080="","",SUMIFS(物件収支!$O:$O,物件収支!$A:$A,$A1080,物件収支!$C:$C,$M1080))</f>
        <v>0</v>
      </c>
      <c r="R1080" s="1" t="str">
        <f aca="false">IF($A1080="","",IF(P1080=0,"",O1080-P1080))</f>
        <v/>
      </c>
      <c r="S1080" s="1" t="str">
        <f aca="false">IF($A1080="","",IF(R1080="","",R1080+Q1080))</f>
        <v/>
      </c>
      <c r="T1080" s="1" t="str">
        <f aca="false">IF($A1080="","",IF(OR(S1080="",N1080&lt;=0),"",S1080/1000*12/N1080))</f>
        <v/>
      </c>
      <c r="U1080" s="1" t="str">
        <f aca="false">IF($A1080="","",IF(OR(T1080="",J1080=0,J1080=""),"",T1080/J1080))</f>
        <v/>
      </c>
      <c r="V1080" s="1" t="str">
        <f aca="false">IF($A1080="","",IF(OR(R1080="",N1080&lt;=0,J1080=0,J1080=""),"",(R1080/1000*12/N1080)/J1080))</f>
        <v/>
      </c>
      <c r="W1080" s="1" t="str">
        <f aca="false">IF($A1080="","",IF(OR(T1080="",K1080=0,K1080=""),"",T1080/K1080))</f>
        <v/>
      </c>
      <c r="X1080" s="1" t="str">
        <f aca="false">IF($A1080="","",IF(OR(N1080&lt;=0,I1080=0,I1080="",O1080=0),"",O1080*1000/(I1080*0.3025)/N1080))</f>
        <v/>
      </c>
      <c r="Y1080" s="1" t="str">
        <f aca="false">IF($A1080="","",IF(OR(O1080=0,O1080="",P1080=0),"",P1080/O1080))</f>
        <v/>
      </c>
      <c r="Z1080" s="1" t="str">
        <f aca="false">IF($A1080="","",IFERROR(INDEX(物件収支!$E:$E,MATCH($A1080,物件収支!$A:$A,0)),""))</f>
        <v>非開示</v>
      </c>
    </row>
    <row r="1081" customFormat="false" ht="15" hidden="false" customHeight="true" outlineLevel="0" collapsed="false">
      <c r="A1081" s="1" t="str">
        <f aca="false">IF(物件マスタ!A1081="","",物件マスタ!A1081)</f>
        <v>KDX-340</v>
      </c>
      <c r="B1081" s="1" t="str">
        <f aca="false">IF($A1081="","",物件マスタ!B1081)</f>
        <v>KDX</v>
      </c>
      <c r="C1081" s="1" t="str">
        <f aca="false">IF($A1081="","",IFERROR(INDEX(法人マスタ!$C:$C,MATCH($B1081,法人マスタ!$A:$A,0)),""))</f>
        <v>ＫＤＸ不動産投資法人</v>
      </c>
      <c r="D1081" s="1" t="str">
        <f aca="false">IF($A1081="","",物件マスタ!C1081)</f>
        <v>エクセレント花屋敷ガーデンヒルズ</v>
      </c>
      <c r="E1081" s="1" t="str">
        <f aca="false">IF($A1081="","",物件マスタ!H1081)</f>
        <v>地方経済圏（KDX区分）</v>
      </c>
      <c r="F1081" s="1" t="n">
        <f aca="false">IF($A1081="","",物件マスタ!P1081)</f>
        <v>0</v>
      </c>
      <c r="G1081" s="1" t="str">
        <f aca="false">IF($A1081="","",物件マスタ!Q1081)</f>
        <v/>
      </c>
      <c r="H1081" s="1" t="n">
        <f aca="false">IF($A1081="","",物件マスタ!L1081)</f>
        <v>0</v>
      </c>
      <c r="I1081" s="1" t="n">
        <f aca="false">IF($A1081="","",物件マスタ!M1081)</f>
        <v>3469.84</v>
      </c>
      <c r="J1081" s="1" t="n">
        <f aca="false">IF($A1081="","",物件マスタ!S1081)</f>
        <v>1470</v>
      </c>
      <c r="K1081" s="1" t="n">
        <f aca="false">IF($A1081="","",物件マスタ!U1081)</f>
        <v>1500</v>
      </c>
      <c r="L1081" s="1" t="n">
        <f aca="false">IF($A1081="","",物件マスタ!W1081)</f>
        <v>1</v>
      </c>
      <c r="M1081" s="1" t="str">
        <f aca="false">IF($A1081="","",IFERROR(INDEX(法人マスタ!$H:$H,MATCH($B1081,法人マスタ!$A:$A,0)),""))</f>
        <v>2026年4月期（第42期）</v>
      </c>
      <c r="N1081" s="1" t="n">
        <f aca="false">IF($A1081="","",SUMIFS(物件収支!$D:$D,物件収支!$A:$A,$A1081,物件収支!$C:$C,$M1081))</f>
        <v>6</v>
      </c>
      <c r="O1081" s="1" t="n">
        <f aca="false">IF($A1081="","",SUMIFS(物件収支!$F:$F,物件収支!$A:$A,$A1081,物件収支!$C:$C,$M1081))</f>
        <v>0</v>
      </c>
      <c r="P1081" s="1" t="n">
        <f aca="false">IF($A1081="","",SUMIFS(物件収支!$I:$I,物件収支!$A:$A,$A1081,物件収支!$C:$C,$M1081))</f>
        <v>0</v>
      </c>
      <c r="Q1081" s="1" t="n">
        <f aca="false">IF($A1081="","",SUMIFS(物件収支!$O:$O,物件収支!$A:$A,$A1081,物件収支!$C:$C,$M1081))</f>
        <v>0</v>
      </c>
      <c r="R1081" s="1" t="str">
        <f aca="false">IF($A1081="","",IF(P1081=0,"",O1081-P1081))</f>
        <v/>
      </c>
      <c r="S1081" s="1" t="str">
        <f aca="false">IF($A1081="","",IF(R1081="","",R1081+Q1081))</f>
        <v/>
      </c>
      <c r="T1081" s="1" t="str">
        <f aca="false">IF($A1081="","",IF(OR(S1081="",N1081&lt;=0),"",S1081/1000*12/N1081))</f>
        <v/>
      </c>
      <c r="U1081" s="1" t="str">
        <f aca="false">IF($A1081="","",IF(OR(T1081="",J1081=0,J1081=""),"",T1081/J1081))</f>
        <v/>
      </c>
      <c r="V1081" s="1" t="str">
        <f aca="false">IF($A1081="","",IF(OR(R1081="",N1081&lt;=0,J1081=0,J1081=""),"",(R1081/1000*12/N1081)/J1081))</f>
        <v/>
      </c>
      <c r="W1081" s="1" t="str">
        <f aca="false">IF($A1081="","",IF(OR(T1081="",K1081=0,K1081=""),"",T1081/K1081))</f>
        <v/>
      </c>
      <c r="X1081" s="1" t="str">
        <f aca="false">IF($A1081="","",IF(OR(N1081&lt;=0,I1081=0,I1081="",O1081=0),"",O1081*1000/(I1081*0.3025)/N1081))</f>
        <v/>
      </c>
      <c r="Y1081" s="1" t="str">
        <f aca="false">IF($A1081="","",IF(OR(O1081=0,O1081="",P1081=0),"",P1081/O1081))</f>
        <v/>
      </c>
      <c r="Z1081" s="1" t="str">
        <f aca="false">IF($A1081="","",IFERROR(INDEX(物件収支!$E:$E,MATCH($A1081,物件収支!$A:$A,0)),""))</f>
        <v>非開示</v>
      </c>
    </row>
    <row r="1082" customFormat="false" ht="15" hidden="false" customHeight="true" outlineLevel="0" collapsed="false">
      <c r="A1082" s="1" t="str">
        <f aca="false">IF(物件マスタ!A1082="","",物件マスタ!A1082)</f>
        <v>KDX-341</v>
      </c>
      <c r="B1082" s="1" t="str">
        <f aca="false">IF($A1082="","",物件マスタ!B1082)</f>
        <v>KDX</v>
      </c>
      <c r="C1082" s="1" t="str">
        <f aca="false">IF($A1082="","",IFERROR(INDEX(法人マスタ!$C:$C,MATCH($B1082,法人マスタ!$A:$A,0)),""))</f>
        <v>ＫＤＸ不動産投資法人</v>
      </c>
      <c r="D1082" s="1" t="str">
        <f aca="false">IF($A1082="","",物件マスタ!C1082)</f>
        <v>イリーゼ神戸六甲</v>
      </c>
      <c r="E1082" s="1" t="str">
        <f aca="false">IF($A1082="","",物件マスタ!H1082)</f>
        <v>地方経済圏（KDX区分）</v>
      </c>
      <c r="F1082" s="1" t="n">
        <f aca="false">IF($A1082="","",物件マスタ!P1082)</f>
        <v>0</v>
      </c>
      <c r="G1082" s="1" t="str">
        <f aca="false">IF($A1082="","",物件マスタ!Q1082)</f>
        <v/>
      </c>
      <c r="H1082" s="1" t="n">
        <f aca="false">IF($A1082="","",物件マスタ!L1082)</f>
        <v>0</v>
      </c>
      <c r="I1082" s="1" t="n">
        <f aca="false">IF($A1082="","",物件マスタ!M1082)</f>
        <v>2278.43</v>
      </c>
      <c r="J1082" s="1" t="n">
        <f aca="false">IF($A1082="","",物件マスタ!S1082)</f>
        <v>1420</v>
      </c>
      <c r="K1082" s="1" t="n">
        <f aca="false">IF($A1082="","",物件マスタ!U1082)</f>
        <v>1450</v>
      </c>
      <c r="L1082" s="1" t="n">
        <f aca="false">IF($A1082="","",物件マスタ!W1082)</f>
        <v>1</v>
      </c>
      <c r="M1082" s="1" t="str">
        <f aca="false">IF($A1082="","",IFERROR(INDEX(法人マスタ!$H:$H,MATCH($B1082,法人マスタ!$A:$A,0)),""))</f>
        <v>2026年4月期（第42期）</v>
      </c>
      <c r="N1082" s="1" t="n">
        <f aca="false">IF($A1082="","",SUMIFS(物件収支!$D:$D,物件収支!$A:$A,$A1082,物件収支!$C:$C,$M1082))</f>
        <v>6</v>
      </c>
      <c r="O1082" s="1" t="n">
        <f aca="false">IF($A1082="","",SUMIFS(物件収支!$F:$F,物件収支!$A:$A,$A1082,物件収支!$C:$C,$M1082))</f>
        <v>0</v>
      </c>
      <c r="P1082" s="1" t="n">
        <f aca="false">IF($A1082="","",SUMIFS(物件収支!$I:$I,物件収支!$A:$A,$A1082,物件収支!$C:$C,$M1082))</f>
        <v>0</v>
      </c>
      <c r="Q1082" s="1" t="n">
        <f aca="false">IF($A1082="","",SUMIFS(物件収支!$O:$O,物件収支!$A:$A,$A1082,物件収支!$C:$C,$M1082))</f>
        <v>0</v>
      </c>
      <c r="R1082" s="1" t="str">
        <f aca="false">IF($A1082="","",IF(P1082=0,"",O1082-P1082))</f>
        <v/>
      </c>
      <c r="S1082" s="1" t="str">
        <f aca="false">IF($A1082="","",IF(R1082="","",R1082+Q1082))</f>
        <v/>
      </c>
      <c r="T1082" s="1" t="str">
        <f aca="false">IF($A1082="","",IF(OR(S1082="",N1082&lt;=0),"",S1082/1000*12/N1082))</f>
        <v/>
      </c>
      <c r="U1082" s="1" t="str">
        <f aca="false">IF($A1082="","",IF(OR(T1082="",J1082=0,J1082=""),"",T1082/J1082))</f>
        <v/>
      </c>
      <c r="V1082" s="1" t="str">
        <f aca="false">IF($A1082="","",IF(OR(R1082="",N1082&lt;=0,J1082=0,J1082=""),"",(R1082/1000*12/N1082)/J1082))</f>
        <v/>
      </c>
      <c r="W1082" s="1" t="str">
        <f aca="false">IF($A1082="","",IF(OR(T1082="",K1082=0,K1082=""),"",T1082/K1082))</f>
        <v/>
      </c>
      <c r="X1082" s="1" t="str">
        <f aca="false">IF($A1082="","",IF(OR(N1082&lt;=0,I1082=0,I1082="",O1082=0),"",O1082*1000/(I1082*0.3025)/N1082))</f>
        <v/>
      </c>
      <c r="Y1082" s="1" t="str">
        <f aca="false">IF($A1082="","",IF(OR(O1082=0,O1082="",P1082=0),"",P1082/O1082))</f>
        <v/>
      </c>
      <c r="Z1082" s="1" t="str">
        <f aca="false">IF($A1082="","",IFERROR(INDEX(物件収支!$E:$E,MATCH($A1082,物件収支!$A:$A,0)),""))</f>
        <v>非開示</v>
      </c>
    </row>
    <row r="1083" customFormat="false" ht="15" hidden="false" customHeight="true" outlineLevel="0" collapsed="false">
      <c r="A1083" s="1" t="str">
        <f aca="false">IF(物件マスタ!A1083="","",物件マスタ!A1083)</f>
        <v>KDX-342</v>
      </c>
      <c r="B1083" s="1" t="str">
        <f aca="false">IF($A1083="","",物件マスタ!B1083)</f>
        <v>KDX</v>
      </c>
      <c r="C1083" s="1" t="str">
        <f aca="false">IF($A1083="","",IFERROR(INDEX(法人マスタ!$C:$C,MATCH($B1083,法人マスタ!$A:$A,0)),""))</f>
        <v>ＫＤＸ不動産投資法人</v>
      </c>
      <c r="D1083" s="1" t="str">
        <f aca="false">IF($A1083="","",物件マスタ!C1083)</f>
        <v>エクセレント宝塚ガーデンヒルズ</v>
      </c>
      <c r="E1083" s="1" t="str">
        <f aca="false">IF($A1083="","",物件マスタ!H1083)</f>
        <v>地方経済圏（KDX区分）</v>
      </c>
      <c r="F1083" s="1" t="n">
        <f aca="false">IF($A1083="","",物件マスタ!P1083)</f>
        <v>0</v>
      </c>
      <c r="G1083" s="1" t="str">
        <f aca="false">IF($A1083="","",物件マスタ!Q1083)</f>
        <v/>
      </c>
      <c r="H1083" s="1" t="n">
        <f aca="false">IF($A1083="","",物件マスタ!L1083)</f>
        <v>0</v>
      </c>
      <c r="I1083" s="1" t="n">
        <f aca="false">IF($A1083="","",物件マスタ!M1083)</f>
        <v>5414.02</v>
      </c>
      <c r="J1083" s="1" t="n">
        <f aca="false">IF($A1083="","",物件マスタ!S1083)</f>
        <v>2610</v>
      </c>
      <c r="K1083" s="1" t="n">
        <f aca="false">IF($A1083="","",物件マスタ!U1083)</f>
        <v>2670</v>
      </c>
      <c r="L1083" s="1" t="n">
        <f aca="false">IF($A1083="","",物件マスタ!W1083)</f>
        <v>1</v>
      </c>
      <c r="M1083" s="1" t="str">
        <f aca="false">IF($A1083="","",IFERROR(INDEX(法人マスタ!$H:$H,MATCH($B1083,法人マスタ!$A:$A,0)),""))</f>
        <v>2026年4月期（第42期）</v>
      </c>
      <c r="N1083" s="1" t="n">
        <f aca="false">IF($A1083="","",SUMIFS(物件収支!$D:$D,物件収支!$A:$A,$A1083,物件収支!$C:$C,$M1083))</f>
        <v>6</v>
      </c>
      <c r="O1083" s="1" t="n">
        <f aca="false">IF($A1083="","",SUMIFS(物件収支!$F:$F,物件収支!$A:$A,$A1083,物件収支!$C:$C,$M1083))</f>
        <v>0</v>
      </c>
      <c r="P1083" s="1" t="n">
        <f aca="false">IF($A1083="","",SUMIFS(物件収支!$I:$I,物件収支!$A:$A,$A1083,物件収支!$C:$C,$M1083))</f>
        <v>0</v>
      </c>
      <c r="Q1083" s="1" t="n">
        <f aca="false">IF($A1083="","",SUMIFS(物件収支!$O:$O,物件収支!$A:$A,$A1083,物件収支!$C:$C,$M1083))</f>
        <v>0</v>
      </c>
      <c r="R1083" s="1" t="str">
        <f aca="false">IF($A1083="","",IF(P1083=0,"",O1083-P1083))</f>
        <v/>
      </c>
      <c r="S1083" s="1" t="str">
        <f aca="false">IF($A1083="","",IF(R1083="","",R1083+Q1083))</f>
        <v/>
      </c>
      <c r="T1083" s="1" t="str">
        <f aca="false">IF($A1083="","",IF(OR(S1083="",N1083&lt;=0),"",S1083/1000*12/N1083))</f>
        <v/>
      </c>
      <c r="U1083" s="1" t="str">
        <f aca="false">IF($A1083="","",IF(OR(T1083="",J1083=0,J1083=""),"",T1083/J1083))</f>
        <v/>
      </c>
      <c r="V1083" s="1" t="str">
        <f aca="false">IF($A1083="","",IF(OR(R1083="",N1083&lt;=0,J1083=0,J1083=""),"",(R1083/1000*12/N1083)/J1083))</f>
        <v/>
      </c>
      <c r="W1083" s="1" t="str">
        <f aca="false">IF($A1083="","",IF(OR(T1083="",K1083=0,K1083=""),"",T1083/K1083))</f>
        <v/>
      </c>
      <c r="X1083" s="1" t="str">
        <f aca="false">IF($A1083="","",IF(OR(N1083&lt;=0,I1083=0,I1083="",O1083=0),"",O1083*1000/(I1083*0.3025)/N1083))</f>
        <v/>
      </c>
      <c r="Y1083" s="1" t="str">
        <f aca="false">IF($A1083="","",IF(OR(O1083=0,O1083="",P1083=0),"",P1083/O1083))</f>
        <v/>
      </c>
      <c r="Z1083" s="1" t="str">
        <f aca="false">IF($A1083="","",IFERROR(INDEX(物件収支!$E:$E,MATCH($A1083,物件収支!$A:$A,0)),""))</f>
        <v>非開示</v>
      </c>
    </row>
    <row r="1084" customFormat="false" ht="15" hidden="false" customHeight="true" outlineLevel="0" collapsed="false">
      <c r="A1084" s="1" t="str">
        <f aca="false">IF(物件マスタ!A1084="","",物件マスタ!A1084)</f>
        <v>KDX-343</v>
      </c>
      <c r="B1084" s="1" t="str">
        <f aca="false">IF($A1084="","",物件マスタ!B1084)</f>
        <v>KDX</v>
      </c>
      <c r="C1084" s="1" t="str">
        <f aca="false">IF($A1084="","",IFERROR(INDEX(法人マスタ!$C:$C,MATCH($B1084,法人マスタ!$A:$A,0)),""))</f>
        <v>ＫＤＸ不動産投資法人</v>
      </c>
      <c r="D1084" s="1" t="str">
        <f aca="false">IF($A1084="","",物件マスタ!C1084)</f>
        <v>ライフシップ大麻</v>
      </c>
      <c r="E1084" s="1" t="str">
        <f aca="false">IF($A1084="","",物件マスタ!H1084)</f>
        <v>地方経済圏（KDX区分）</v>
      </c>
      <c r="F1084" s="1" t="n">
        <f aca="false">IF($A1084="","",物件マスタ!P1084)</f>
        <v>0</v>
      </c>
      <c r="G1084" s="1" t="str">
        <f aca="false">IF($A1084="","",物件マスタ!Q1084)</f>
        <v/>
      </c>
      <c r="H1084" s="1" t="n">
        <f aca="false">IF($A1084="","",物件マスタ!L1084)</f>
        <v>0</v>
      </c>
      <c r="I1084" s="1" t="n">
        <f aca="false">IF($A1084="","",物件マスタ!M1084)</f>
        <v>3406.41</v>
      </c>
      <c r="J1084" s="1" t="n">
        <f aca="false">IF($A1084="","",物件マスタ!S1084)</f>
        <v>1210</v>
      </c>
      <c r="K1084" s="1" t="n">
        <f aca="false">IF($A1084="","",物件マスタ!U1084)</f>
        <v>1210</v>
      </c>
      <c r="L1084" s="1" t="n">
        <f aca="false">IF($A1084="","",物件マスタ!W1084)</f>
        <v>1</v>
      </c>
      <c r="M1084" s="1" t="str">
        <f aca="false">IF($A1084="","",IFERROR(INDEX(法人マスタ!$H:$H,MATCH($B1084,法人マスタ!$A:$A,0)),""))</f>
        <v>2026年4月期（第42期）</v>
      </c>
      <c r="N1084" s="1" t="n">
        <f aca="false">IF($A1084="","",SUMIFS(物件収支!$D:$D,物件収支!$A:$A,$A1084,物件収支!$C:$C,$M1084))</f>
        <v>6</v>
      </c>
      <c r="O1084" s="1" t="n">
        <f aca="false">IF($A1084="","",SUMIFS(物件収支!$F:$F,物件収支!$A:$A,$A1084,物件収支!$C:$C,$M1084))</f>
        <v>0</v>
      </c>
      <c r="P1084" s="1" t="n">
        <f aca="false">IF($A1084="","",SUMIFS(物件収支!$I:$I,物件収支!$A:$A,$A1084,物件収支!$C:$C,$M1084))</f>
        <v>0</v>
      </c>
      <c r="Q1084" s="1" t="n">
        <f aca="false">IF($A1084="","",SUMIFS(物件収支!$O:$O,物件収支!$A:$A,$A1084,物件収支!$C:$C,$M1084))</f>
        <v>0</v>
      </c>
      <c r="R1084" s="1" t="str">
        <f aca="false">IF($A1084="","",IF(P1084=0,"",O1084-P1084))</f>
        <v/>
      </c>
      <c r="S1084" s="1" t="str">
        <f aca="false">IF($A1084="","",IF(R1084="","",R1084+Q1084))</f>
        <v/>
      </c>
      <c r="T1084" s="1" t="str">
        <f aca="false">IF($A1084="","",IF(OR(S1084="",N1084&lt;=0),"",S1084/1000*12/N1084))</f>
        <v/>
      </c>
      <c r="U1084" s="1" t="str">
        <f aca="false">IF($A1084="","",IF(OR(T1084="",J1084=0,J1084=""),"",T1084/J1084))</f>
        <v/>
      </c>
      <c r="V1084" s="1" t="str">
        <f aca="false">IF($A1084="","",IF(OR(R1084="",N1084&lt;=0,J1084=0,J1084=""),"",(R1084/1000*12/N1084)/J1084))</f>
        <v/>
      </c>
      <c r="W1084" s="1" t="str">
        <f aca="false">IF($A1084="","",IF(OR(T1084="",K1084=0,K1084=""),"",T1084/K1084))</f>
        <v/>
      </c>
      <c r="X1084" s="1" t="str">
        <f aca="false">IF($A1084="","",IF(OR(N1084&lt;=0,I1084=0,I1084="",O1084=0),"",O1084*1000/(I1084*0.3025)/N1084))</f>
        <v/>
      </c>
      <c r="Y1084" s="1" t="str">
        <f aca="false">IF($A1084="","",IF(OR(O1084=0,O1084="",P1084=0),"",P1084/O1084))</f>
        <v/>
      </c>
      <c r="Z1084" s="1" t="str">
        <f aca="false">IF($A1084="","",IFERROR(INDEX(物件収支!$E:$E,MATCH($A1084,物件収支!$A:$A,0)),""))</f>
        <v>非開示</v>
      </c>
    </row>
    <row r="1085" customFormat="false" ht="15" hidden="false" customHeight="true" outlineLevel="0" collapsed="false">
      <c r="A1085" s="1" t="str">
        <f aca="false">IF(物件マスタ!A1085="","",物件マスタ!A1085)</f>
        <v>KDX-344</v>
      </c>
      <c r="B1085" s="1" t="str">
        <f aca="false">IF($A1085="","",物件マスタ!B1085)</f>
        <v>KDX</v>
      </c>
      <c r="C1085" s="1" t="str">
        <f aca="false">IF($A1085="","",IFERROR(INDEX(法人マスタ!$C:$C,MATCH($B1085,法人マスタ!$A:$A,0)),""))</f>
        <v>ＫＤＸ不動産投資法人</v>
      </c>
      <c r="D1085" s="1" t="str">
        <f aca="false">IF($A1085="","",物件マスタ!C1085)</f>
        <v>医療ケア対応型住宅・ナーシングホームレラ湯の川</v>
      </c>
      <c r="E1085" s="1" t="str">
        <f aca="false">IF($A1085="","",物件マスタ!H1085)</f>
        <v>地方経済圏（KDX区分）</v>
      </c>
      <c r="F1085" s="1" t="n">
        <f aca="false">IF($A1085="","",物件マスタ!P1085)</f>
        <v>0</v>
      </c>
      <c r="G1085" s="1" t="str">
        <f aca="false">IF($A1085="","",物件マスタ!Q1085)</f>
        <v/>
      </c>
      <c r="H1085" s="1" t="n">
        <f aca="false">IF($A1085="","",物件マスタ!L1085)</f>
        <v>0</v>
      </c>
      <c r="I1085" s="1" t="n">
        <f aca="false">IF($A1085="","",物件マスタ!M1085)</f>
        <v>3413.76</v>
      </c>
      <c r="J1085" s="1" t="n">
        <f aca="false">IF($A1085="","",物件マスタ!S1085)</f>
        <v>1120</v>
      </c>
      <c r="K1085" s="1" t="n">
        <f aca="false">IF($A1085="","",物件マスタ!U1085)</f>
        <v>1120</v>
      </c>
      <c r="L1085" s="1" t="n">
        <f aca="false">IF($A1085="","",物件マスタ!W1085)</f>
        <v>1</v>
      </c>
      <c r="M1085" s="1" t="str">
        <f aca="false">IF($A1085="","",IFERROR(INDEX(法人マスタ!$H:$H,MATCH($B1085,法人マスタ!$A:$A,0)),""))</f>
        <v>2026年4月期（第42期）</v>
      </c>
      <c r="N1085" s="1" t="n">
        <f aca="false">IF($A1085="","",SUMIFS(物件収支!$D:$D,物件収支!$A:$A,$A1085,物件収支!$C:$C,$M1085))</f>
        <v>6</v>
      </c>
      <c r="O1085" s="1" t="n">
        <f aca="false">IF($A1085="","",SUMIFS(物件収支!$F:$F,物件収支!$A:$A,$A1085,物件収支!$C:$C,$M1085))</f>
        <v>0</v>
      </c>
      <c r="P1085" s="1" t="n">
        <f aca="false">IF($A1085="","",SUMIFS(物件収支!$I:$I,物件収支!$A:$A,$A1085,物件収支!$C:$C,$M1085))</f>
        <v>0</v>
      </c>
      <c r="Q1085" s="1" t="n">
        <f aca="false">IF($A1085="","",SUMIFS(物件収支!$O:$O,物件収支!$A:$A,$A1085,物件収支!$C:$C,$M1085))</f>
        <v>0</v>
      </c>
      <c r="R1085" s="1" t="str">
        <f aca="false">IF($A1085="","",IF(P1085=0,"",O1085-P1085))</f>
        <v/>
      </c>
      <c r="S1085" s="1" t="str">
        <f aca="false">IF($A1085="","",IF(R1085="","",R1085+Q1085))</f>
        <v/>
      </c>
      <c r="T1085" s="1" t="str">
        <f aca="false">IF($A1085="","",IF(OR(S1085="",N1085&lt;=0),"",S1085/1000*12/N1085))</f>
        <v/>
      </c>
      <c r="U1085" s="1" t="str">
        <f aca="false">IF($A1085="","",IF(OR(T1085="",J1085=0,J1085=""),"",T1085/J1085))</f>
        <v/>
      </c>
      <c r="V1085" s="1" t="str">
        <f aca="false">IF($A1085="","",IF(OR(R1085="",N1085&lt;=0,J1085=0,J1085=""),"",(R1085/1000*12/N1085)/J1085))</f>
        <v/>
      </c>
      <c r="W1085" s="1" t="str">
        <f aca="false">IF($A1085="","",IF(OR(T1085="",K1085=0,K1085=""),"",T1085/K1085))</f>
        <v/>
      </c>
      <c r="X1085" s="1" t="str">
        <f aca="false">IF($A1085="","",IF(OR(N1085&lt;=0,I1085=0,I1085="",O1085=0),"",O1085*1000/(I1085*0.3025)/N1085))</f>
        <v/>
      </c>
      <c r="Y1085" s="1" t="str">
        <f aca="false">IF($A1085="","",IF(OR(O1085=0,O1085="",P1085=0),"",P1085/O1085))</f>
        <v/>
      </c>
      <c r="Z1085" s="1" t="str">
        <f aca="false">IF($A1085="","",IFERROR(INDEX(物件収支!$E:$E,MATCH($A1085,物件収支!$A:$A,0)),""))</f>
        <v>非開示</v>
      </c>
    </row>
    <row r="1086" customFormat="false" ht="15" hidden="false" customHeight="true" outlineLevel="0" collapsed="false">
      <c r="A1086" s="1" t="str">
        <f aca="false">IF(物件マスタ!A1086="","",物件マスタ!A1086)</f>
        <v>KDX-345</v>
      </c>
      <c r="B1086" s="1" t="str">
        <f aca="false">IF($A1086="","",物件マスタ!B1086)</f>
        <v>KDX</v>
      </c>
      <c r="C1086" s="1" t="str">
        <f aca="false">IF($A1086="","",IFERROR(INDEX(法人マスタ!$C:$C,MATCH($B1086,法人マスタ!$A:$A,0)),""))</f>
        <v>ＫＤＸ不動産投資法人</v>
      </c>
      <c r="D1086" s="1" t="str">
        <f aca="false">IF($A1086="","",物件マスタ!C1086)</f>
        <v>ライフシップ深川</v>
      </c>
      <c r="E1086" s="1" t="str">
        <f aca="false">IF($A1086="","",物件マスタ!H1086)</f>
        <v>地方経済圏（KDX区分）</v>
      </c>
      <c r="F1086" s="1" t="n">
        <f aca="false">IF($A1086="","",物件マスタ!P1086)</f>
        <v>0</v>
      </c>
      <c r="G1086" s="1" t="str">
        <f aca="false">IF($A1086="","",物件マスタ!Q1086)</f>
        <v/>
      </c>
      <c r="H1086" s="1" t="n">
        <f aca="false">IF($A1086="","",物件マスタ!L1086)</f>
        <v>0</v>
      </c>
      <c r="I1086" s="1" t="n">
        <f aca="false">IF($A1086="","",物件マスタ!M1086)</f>
        <v>3397.74</v>
      </c>
      <c r="J1086" s="1" t="n">
        <f aca="false">IF($A1086="","",物件マスタ!S1086)</f>
        <v>893</v>
      </c>
      <c r="K1086" s="1" t="n">
        <f aca="false">IF($A1086="","",物件マスタ!U1086)</f>
        <v>898</v>
      </c>
      <c r="L1086" s="1" t="n">
        <f aca="false">IF($A1086="","",物件マスタ!W1086)</f>
        <v>1</v>
      </c>
      <c r="M1086" s="1" t="str">
        <f aca="false">IF($A1086="","",IFERROR(INDEX(法人マスタ!$H:$H,MATCH($B1086,法人マスタ!$A:$A,0)),""))</f>
        <v>2026年4月期（第42期）</v>
      </c>
      <c r="N1086" s="1" t="n">
        <f aca="false">IF($A1086="","",SUMIFS(物件収支!$D:$D,物件収支!$A:$A,$A1086,物件収支!$C:$C,$M1086))</f>
        <v>6</v>
      </c>
      <c r="O1086" s="1" t="n">
        <f aca="false">IF($A1086="","",SUMIFS(物件収支!$F:$F,物件収支!$A:$A,$A1086,物件収支!$C:$C,$M1086))</f>
        <v>0</v>
      </c>
      <c r="P1086" s="1" t="n">
        <f aca="false">IF($A1086="","",SUMIFS(物件収支!$I:$I,物件収支!$A:$A,$A1086,物件収支!$C:$C,$M1086))</f>
        <v>0</v>
      </c>
      <c r="Q1086" s="1" t="n">
        <f aca="false">IF($A1086="","",SUMIFS(物件収支!$O:$O,物件収支!$A:$A,$A1086,物件収支!$C:$C,$M1086))</f>
        <v>0</v>
      </c>
      <c r="R1086" s="1" t="str">
        <f aca="false">IF($A1086="","",IF(P1086=0,"",O1086-P1086))</f>
        <v/>
      </c>
      <c r="S1086" s="1" t="str">
        <f aca="false">IF($A1086="","",IF(R1086="","",R1086+Q1086))</f>
        <v/>
      </c>
      <c r="T1086" s="1" t="str">
        <f aca="false">IF($A1086="","",IF(OR(S1086="",N1086&lt;=0),"",S1086/1000*12/N1086))</f>
        <v/>
      </c>
      <c r="U1086" s="1" t="str">
        <f aca="false">IF($A1086="","",IF(OR(T1086="",J1086=0,J1086=""),"",T1086/J1086))</f>
        <v/>
      </c>
      <c r="V1086" s="1" t="str">
        <f aca="false">IF($A1086="","",IF(OR(R1086="",N1086&lt;=0,J1086=0,J1086=""),"",(R1086/1000*12/N1086)/J1086))</f>
        <v/>
      </c>
      <c r="W1086" s="1" t="str">
        <f aca="false">IF($A1086="","",IF(OR(T1086="",K1086=0,K1086=""),"",T1086/K1086))</f>
        <v/>
      </c>
      <c r="X1086" s="1" t="str">
        <f aca="false">IF($A1086="","",IF(OR(N1086&lt;=0,I1086=0,I1086="",O1086=0),"",O1086*1000/(I1086*0.3025)/N1086))</f>
        <v/>
      </c>
      <c r="Y1086" s="1" t="str">
        <f aca="false">IF($A1086="","",IF(OR(O1086=0,O1086="",P1086=0),"",P1086/O1086))</f>
        <v/>
      </c>
      <c r="Z1086" s="1" t="str">
        <f aca="false">IF($A1086="","",IFERROR(INDEX(物件収支!$E:$E,MATCH($A1086,物件収支!$A:$A,0)),""))</f>
        <v>非開示</v>
      </c>
    </row>
    <row r="1087" customFormat="false" ht="15" hidden="false" customHeight="true" outlineLevel="0" collapsed="false">
      <c r="A1087" s="1" t="str">
        <f aca="false">IF(物件マスタ!A1087="","",物件マスタ!A1087)</f>
        <v>HLC-001</v>
      </c>
      <c r="B1087" s="1" t="str">
        <f aca="false">IF($A1087="","",物件マスタ!B1087)</f>
        <v>HLC</v>
      </c>
      <c r="C1087" s="1" t="str">
        <f aca="false">IF($A1087="","",IFERROR(INDEX(法人マスタ!$C:$C,MATCH($B1087,法人マスタ!$A:$A,0)),""))</f>
        <v>ヒューリックリート投資法人</v>
      </c>
      <c r="D1087" s="1" t="str">
        <f aca="false">IF($A1087="","",物件マスタ!C1087)</f>
        <v>ヒューリック神谷町ビル</v>
      </c>
      <c r="E1087" s="1" t="str">
        <f aca="false">IF($A1087="","",物件マスタ!H1087)</f>
        <v>都心5区</v>
      </c>
      <c r="F1087" s="53" t="n">
        <f aca="false">IF($A1087="","",物件マスタ!P1087)</f>
        <v>31138</v>
      </c>
      <c r="G1087" s="1" t="n">
        <f aca="false">IF($A1087="","",物件マスタ!Q1087)</f>
        <v>41.4</v>
      </c>
      <c r="H1087" s="1" t="n">
        <f aca="false">IF($A1087="","",物件マスタ!L1087)</f>
        <v>0</v>
      </c>
      <c r="I1087" s="1" t="n">
        <f aca="false">IF($A1087="","",物件マスタ!M1087)</f>
        <v>2923.86</v>
      </c>
      <c r="J1087" s="1" t="n">
        <f aca="false">IF($A1087="","",物件マスタ!S1087)</f>
        <v>4973</v>
      </c>
      <c r="K1087" s="1" t="n">
        <f aca="false">IF($A1087="","",物件マスタ!U1087)</f>
        <v>5780</v>
      </c>
      <c r="L1087" s="1" t="n">
        <f aca="false">IF($A1087="","",物件マスタ!W1087)</f>
        <v>1</v>
      </c>
      <c r="M1087" s="1" t="str">
        <f aca="false">IF($A1087="","",IFERROR(INDEX(法人マスタ!$H:$H,MATCH($B1087,法人マスタ!$A:$A,0)),""))</f>
        <v>2026年2月期（第24期）</v>
      </c>
      <c r="N1087" s="1" t="n">
        <f aca="false">IF($A1087="","",SUMIFS(物件収支!$D:$D,物件収支!$A:$A,$A1087,物件収支!$C:$C,$M1087))</f>
        <v>6</v>
      </c>
      <c r="O1087" s="1" t="n">
        <f aca="false">IF($A1087="","",SUMIFS(物件収支!$F:$F,物件収支!$A:$A,$A1087,物件収支!$C:$C,$M1087))</f>
        <v>246810</v>
      </c>
      <c r="P1087" s="1" t="n">
        <f aca="false">IF($A1087="","",SUMIFS(物件収支!$I:$I,物件収支!$A:$A,$A1087,物件収支!$C:$C,$M1087))</f>
        <v>78047</v>
      </c>
      <c r="Q1087" s="1" t="n">
        <f aca="false">IF($A1087="","",SUMIFS(物件収支!$O:$O,物件収支!$A:$A,$A1087,物件収支!$C:$C,$M1087))</f>
        <v>16242</v>
      </c>
      <c r="R1087" s="1" t="n">
        <f aca="false">IF($A1087="","",IF(P1087=0,"",O1087-P1087))</f>
        <v>168763</v>
      </c>
      <c r="S1087" s="1" t="n">
        <f aca="false">IF($A1087="","",IF(R1087="","",R1087+Q1087))</f>
        <v>185005</v>
      </c>
      <c r="T1087" s="1" t="n">
        <f aca="false">IF($A1087="","",IF(OR(S1087="",N1087&lt;=0),"",S1087/1000*12/N1087))</f>
        <v>370.01</v>
      </c>
      <c r="U1087" s="1" t="n">
        <f aca="false">IF($A1087="","",IF(OR(T1087="",J1087=0,J1087=""),"",T1087/J1087))</f>
        <v>0.0744037804142369</v>
      </c>
      <c r="V1087" s="1" t="n">
        <f aca="false">IF($A1087="","",IF(OR(R1087="",N1087&lt;=0,J1087=0,J1087=""),"",(R1087/1000*12/N1087)/J1087))</f>
        <v>0.0678717072189825</v>
      </c>
      <c r="W1087" s="1" t="n">
        <f aca="false">IF($A1087="","",IF(OR(T1087="",K1087=0,K1087=""),"",T1087/K1087))</f>
        <v>0.0640155709342561</v>
      </c>
      <c r="X1087" s="1" t="n">
        <f aca="false">IF($A1087="","",IF(OR(N1087&lt;=0,I1087=0,I1087="",O1087=0),"",O1087*1000/(I1087*0.3025)/N1087))</f>
        <v>46508.201854528</v>
      </c>
      <c r="Y1087" s="1" t="n">
        <f aca="false">IF($A1087="","",IF(OR(O1087=0,O1087="",P1087=0),"",P1087/O1087))</f>
        <v>0.316223005550829</v>
      </c>
      <c r="Z1087" s="1" t="str">
        <f aca="false">IF($A1087="","",IFERROR(INDEX(物件収支!$E:$E,MATCH($A1087,物件収支!$A:$A,0)),""))</f>
        <v>開示（物件別・費用内訳含む）</v>
      </c>
    </row>
    <row r="1088" customFormat="false" ht="15" hidden="false" customHeight="true" outlineLevel="0" collapsed="false">
      <c r="A1088" s="1" t="str">
        <f aca="false">IF(物件マスタ!A1088="","",物件マスタ!A1088)</f>
        <v>HLC-002</v>
      </c>
      <c r="B1088" s="1" t="str">
        <f aca="false">IF($A1088="","",物件マスタ!B1088)</f>
        <v>HLC</v>
      </c>
      <c r="C1088" s="1" t="str">
        <f aca="false">IF($A1088="","",IFERROR(INDEX(法人マスタ!$C:$C,MATCH($B1088,法人マスタ!$A:$A,0)),""))</f>
        <v>ヒューリックリート投資法人</v>
      </c>
      <c r="D1088" s="1" t="str">
        <f aca="false">IF($A1088="","",物件マスタ!C1088)</f>
        <v>ヒューリック九段ビル（底地）</v>
      </c>
      <c r="E1088" s="1" t="str">
        <f aca="false">IF($A1088="","",物件マスタ!H1088)</f>
        <v>都心5区</v>
      </c>
      <c r="F1088" s="1" t="n">
        <f aca="false">IF($A1088="","",物件マスタ!P1088)</f>
        <v>0</v>
      </c>
      <c r="G1088" s="1" t="str">
        <f aca="false">IF($A1088="","",物件マスタ!Q1088)</f>
        <v/>
      </c>
      <c r="H1088" s="1" t="n">
        <f aca="false">IF($A1088="","",物件マスタ!L1088)</f>
        <v>0</v>
      </c>
      <c r="I1088" s="1" t="n">
        <f aca="false">IF($A1088="","",物件マスタ!M1088)</f>
        <v>3351.07</v>
      </c>
      <c r="J1088" s="1" t="n">
        <f aca="false">IF($A1088="","",物件マスタ!S1088)</f>
        <v>11100</v>
      </c>
      <c r="K1088" s="1" t="n">
        <f aca="false">IF($A1088="","",物件マスタ!U1088)</f>
        <v>14100</v>
      </c>
      <c r="L1088" s="1" t="n">
        <f aca="false">IF($A1088="","",物件マスタ!W1088)</f>
        <v>1</v>
      </c>
      <c r="M1088" s="1" t="str">
        <f aca="false">IF($A1088="","",IFERROR(INDEX(法人マスタ!$H:$H,MATCH($B1088,法人マスタ!$A:$A,0)),""))</f>
        <v>2026年2月期（第24期）</v>
      </c>
      <c r="N1088" s="1" t="n">
        <f aca="false">IF($A1088="","",SUMIFS(物件収支!$D:$D,物件収支!$A:$A,$A1088,物件収支!$C:$C,$M1088))</f>
        <v>6</v>
      </c>
      <c r="O1088" s="1" t="n">
        <f aca="false">IF($A1088="","",SUMIFS(物件収支!$F:$F,物件収支!$A:$A,$A1088,物件収支!$C:$C,$M1088))</f>
        <v>265002</v>
      </c>
      <c r="P1088" s="1" t="n">
        <f aca="false">IF($A1088="","",SUMIFS(物件収支!$I:$I,物件収支!$A:$A,$A1088,物件収支!$C:$C,$M1088))</f>
        <v>40584</v>
      </c>
      <c r="Q1088" s="1" t="n">
        <f aca="false">IF($A1088="","",SUMIFS(物件収支!$O:$O,物件収支!$A:$A,$A1088,物件収支!$C:$C,$M1088))</f>
        <v>0</v>
      </c>
      <c r="R1088" s="1" t="n">
        <f aca="false">IF($A1088="","",IF(P1088=0,"",O1088-P1088))</f>
        <v>224418</v>
      </c>
      <c r="S1088" s="1" t="n">
        <f aca="false">IF($A1088="","",IF(R1088="","",R1088+Q1088))</f>
        <v>224418</v>
      </c>
      <c r="T1088" s="1" t="n">
        <f aca="false">IF($A1088="","",IF(OR(S1088="",N1088&lt;=0),"",S1088/1000*12/N1088))</f>
        <v>448.836</v>
      </c>
      <c r="U1088" s="1" t="n">
        <f aca="false">IF($A1088="","",IF(OR(T1088="",J1088=0,J1088=""),"",T1088/J1088))</f>
        <v>0.0404356756756757</v>
      </c>
      <c r="V1088" s="1" t="n">
        <f aca="false">IF($A1088="","",IF(OR(R1088="",N1088&lt;=0,J1088=0,J1088=""),"",(R1088/1000*12/N1088)/J1088))</f>
        <v>0.0404356756756757</v>
      </c>
      <c r="W1088" s="1" t="n">
        <f aca="false">IF($A1088="","",IF(OR(T1088="",K1088=0,K1088=""),"",T1088/K1088))</f>
        <v>0.0318323404255319</v>
      </c>
      <c r="X1088" s="1" t="n">
        <f aca="false">IF($A1088="","",IF(OR(N1088&lt;=0,I1088=0,I1088="",O1088=0),"",O1088*1000/(I1088*0.3025)/N1088))</f>
        <v>43570.1467203753</v>
      </c>
      <c r="Y1088" s="1" t="n">
        <f aca="false">IF($A1088="","",IF(OR(O1088=0,O1088="",P1088=0),"",P1088/O1088))</f>
        <v>0.153146013992347</v>
      </c>
      <c r="Z1088" s="1" t="str">
        <f aca="false">IF($A1088="","",IFERROR(INDEX(物件収支!$E:$E,MATCH($A1088,物件収支!$A:$A,0)),""))</f>
        <v>開示（物件別・費用内訳含む）</v>
      </c>
    </row>
    <row r="1089" customFormat="false" ht="15" hidden="false" customHeight="true" outlineLevel="0" collapsed="false">
      <c r="A1089" s="1" t="str">
        <f aca="false">IF(物件マスタ!A1089="","",物件マスタ!A1089)</f>
        <v>HLC-003</v>
      </c>
      <c r="B1089" s="1" t="str">
        <f aca="false">IF($A1089="","",物件マスタ!B1089)</f>
        <v>HLC</v>
      </c>
      <c r="C1089" s="1" t="str">
        <f aca="false">IF($A1089="","",IFERROR(INDEX(法人マスタ!$C:$C,MATCH($B1089,法人マスタ!$A:$A,0)),""))</f>
        <v>ヒューリックリート投資法人</v>
      </c>
      <c r="D1089" s="1" t="str">
        <f aca="false">IF($A1089="","",物件マスタ!C1089)</f>
        <v>虎ノ門ファーストガーデン</v>
      </c>
      <c r="E1089" s="1" t="str">
        <f aca="false">IF($A1089="","",物件マスタ!H1089)</f>
        <v>都心5区</v>
      </c>
      <c r="F1089" s="53" t="n">
        <f aca="false">IF($A1089="","",物件マスタ!P1089)</f>
        <v>40391</v>
      </c>
      <c r="G1089" s="1" t="n">
        <f aca="false">IF($A1089="","",物件マスタ!Q1089)</f>
        <v>16</v>
      </c>
      <c r="H1089" s="1" t="n">
        <f aca="false">IF($A1089="","",物件マスタ!L1089)</f>
        <v>0</v>
      </c>
      <c r="I1089" s="1" t="n">
        <f aca="false">IF($A1089="","",物件マスタ!M1089)</f>
        <v>5689.97</v>
      </c>
      <c r="J1089" s="1" t="n">
        <f aca="false">IF($A1089="","",物件マスタ!S1089)</f>
        <v>8623</v>
      </c>
      <c r="K1089" s="1" t="n">
        <f aca="false">IF($A1089="","",物件マスタ!U1089)</f>
        <v>12300</v>
      </c>
      <c r="L1089" s="1" t="n">
        <f aca="false">IF($A1089="","",物件マスタ!W1089)</f>
        <v>1</v>
      </c>
      <c r="M1089" s="1" t="str">
        <f aca="false">IF($A1089="","",IFERROR(INDEX(法人マスタ!$H:$H,MATCH($B1089,法人マスタ!$A:$A,0)),""))</f>
        <v>2026年2月期（第24期）</v>
      </c>
      <c r="N1089" s="1" t="n">
        <f aca="false">IF($A1089="","",SUMIFS(物件収支!$D:$D,物件収支!$A:$A,$A1089,物件収支!$C:$C,$M1089))</f>
        <v>6</v>
      </c>
      <c r="O1089" s="1" t="n">
        <f aca="false">IF($A1089="","",SUMIFS(物件収支!$F:$F,物件収支!$A:$A,$A1089,物件収支!$C:$C,$M1089))</f>
        <v>293380</v>
      </c>
      <c r="P1089" s="1" t="n">
        <f aca="false">IF($A1089="","",SUMIFS(物件収支!$I:$I,物件収支!$A:$A,$A1089,物件収支!$C:$C,$M1089))</f>
        <v>143412</v>
      </c>
      <c r="Q1089" s="1" t="n">
        <f aca="false">IF($A1089="","",SUMIFS(物件収支!$O:$O,物件収支!$A:$A,$A1089,物件収支!$C:$C,$M1089))</f>
        <v>34017</v>
      </c>
      <c r="R1089" s="1" t="n">
        <f aca="false">IF($A1089="","",IF(P1089=0,"",O1089-P1089))</f>
        <v>149968</v>
      </c>
      <c r="S1089" s="1" t="n">
        <f aca="false">IF($A1089="","",IF(R1089="","",R1089+Q1089))</f>
        <v>183985</v>
      </c>
      <c r="T1089" s="1" t="n">
        <f aca="false">IF($A1089="","",IF(OR(S1089="",N1089&lt;=0),"",S1089/1000*12/N1089))</f>
        <v>367.97</v>
      </c>
      <c r="U1089" s="1" t="n">
        <f aca="false">IF($A1089="","",IF(OR(T1089="",J1089=0,J1089=""),"",T1089/J1089))</f>
        <v>0.0426730836135916</v>
      </c>
      <c r="V1089" s="1" t="n">
        <f aca="false">IF($A1089="","",IF(OR(R1089="",N1089&lt;=0,J1089=0,J1089=""),"",(R1089/1000*12/N1089)/J1089))</f>
        <v>0.0347832540879044</v>
      </c>
      <c r="W1089" s="1" t="n">
        <f aca="false">IF($A1089="","",IF(OR(T1089="",K1089=0,K1089=""),"",T1089/K1089))</f>
        <v>0.0299162601626016</v>
      </c>
      <c r="X1089" s="1" t="n">
        <f aca="false">IF($A1089="","",IF(OR(N1089&lt;=0,I1089=0,I1089="",O1089=0),"",O1089*1000/(I1089*0.3025)/N1089))</f>
        <v>28408.2118672395</v>
      </c>
      <c r="Y1089" s="1" t="n">
        <f aca="false">IF($A1089="","",IF(OR(O1089=0,O1089="",P1089=0),"",P1089/O1089))</f>
        <v>0.488826777558116</v>
      </c>
      <c r="Z1089" s="1" t="str">
        <f aca="false">IF($A1089="","",IFERROR(INDEX(物件収支!$E:$E,MATCH($A1089,物件収支!$A:$A,0)),""))</f>
        <v>開示（物件別・費用内訳含む）</v>
      </c>
    </row>
    <row r="1090" customFormat="false" ht="15" hidden="false" customHeight="true" outlineLevel="0" collapsed="false">
      <c r="A1090" s="1" t="str">
        <f aca="false">IF(物件マスタ!A1090="","",物件マスタ!A1090)</f>
        <v>HLC-004</v>
      </c>
      <c r="B1090" s="1" t="str">
        <f aca="false">IF($A1090="","",物件マスタ!B1090)</f>
        <v>HLC</v>
      </c>
      <c r="C1090" s="1" t="str">
        <f aca="false">IF($A1090="","",IFERROR(INDEX(法人マスタ!$C:$C,MATCH($B1090,法人マスタ!$A:$A,0)),""))</f>
        <v>ヒューリックリート投資法人</v>
      </c>
      <c r="D1090" s="1" t="str">
        <f aca="false">IF($A1090="","",物件マスタ!C1090)</f>
        <v>ラピロス六本木</v>
      </c>
      <c r="E1090" s="1" t="str">
        <f aca="false">IF($A1090="","",物件マスタ!H1090)</f>
        <v>都心5区</v>
      </c>
      <c r="F1090" s="53" t="n">
        <f aca="false">IF($A1090="","",物件マスタ!P1090)</f>
        <v>35643</v>
      </c>
      <c r="G1090" s="1" t="n">
        <f aca="false">IF($A1090="","",物件マスタ!Q1090)</f>
        <v>29</v>
      </c>
      <c r="H1090" s="1" t="n">
        <f aca="false">IF($A1090="","",物件マスタ!L1090)</f>
        <v>0</v>
      </c>
      <c r="I1090" s="1" t="n">
        <f aca="false">IF($A1090="","",物件マスタ!M1090)</f>
        <v>6730.52</v>
      </c>
      <c r="J1090" s="1" t="n">
        <f aca="false">IF($A1090="","",物件マスタ!S1090)</f>
        <v>6210</v>
      </c>
      <c r="K1090" s="1" t="n">
        <f aca="false">IF($A1090="","",物件マスタ!U1090)</f>
        <v>10300</v>
      </c>
      <c r="L1090" s="1" t="n">
        <f aca="false">IF($A1090="","",物件マスタ!W1090)</f>
        <v>1</v>
      </c>
      <c r="M1090" s="1" t="str">
        <f aca="false">IF($A1090="","",IFERROR(INDEX(法人マスタ!$H:$H,MATCH($B1090,法人マスタ!$A:$A,0)),""))</f>
        <v>2026年2月期（第24期）</v>
      </c>
      <c r="N1090" s="1" t="n">
        <f aca="false">IF($A1090="","",SUMIFS(物件収支!$D:$D,物件収支!$A:$A,$A1090,物件収支!$C:$C,$M1090))</f>
        <v>6</v>
      </c>
      <c r="O1090" s="1" t="n">
        <f aca="false">IF($A1090="","",SUMIFS(物件収支!$F:$F,物件収支!$A:$A,$A1090,物件収支!$C:$C,$M1090))</f>
        <v>274316</v>
      </c>
      <c r="P1090" s="1" t="n">
        <f aca="false">IF($A1090="","",SUMIFS(物件収支!$I:$I,物件収支!$A:$A,$A1090,物件収支!$C:$C,$M1090))</f>
        <v>164482</v>
      </c>
      <c r="Q1090" s="1" t="n">
        <f aca="false">IF($A1090="","",SUMIFS(物件収支!$O:$O,物件収支!$A:$A,$A1090,物件収支!$C:$C,$M1090))</f>
        <v>19286</v>
      </c>
      <c r="R1090" s="1" t="n">
        <f aca="false">IF($A1090="","",IF(P1090=0,"",O1090-P1090))</f>
        <v>109834</v>
      </c>
      <c r="S1090" s="1" t="n">
        <f aca="false">IF($A1090="","",IF(R1090="","",R1090+Q1090))</f>
        <v>129120</v>
      </c>
      <c r="T1090" s="1" t="n">
        <f aca="false">IF($A1090="","",IF(OR(S1090="",N1090&lt;=0),"",S1090/1000*12/N1090))</f>
        <v>258.24</v>
      </c>
      <c r="U1090" s="1" t="n">
        <f aca="false">IF($A1090="","",IF(OR(T1090="",J1090=0,J1090=""),"",T1090/J1090))</f>
        <v>0.0415845410628019</v>
      </c>
      <c r="V1090" s="1" t="n">
        <f aca="false">IF($A1090="","",IF(OR(R1090="",N1090&lt;=0,J1090=0,J1090=""),"",(R1090/1000*12/N1090)/J1090))</f>
        <v>0.035373268921095</v>
      </c>
      <c r="W1090" s="1" t="n">
        <f aca="false">IF($A1090="","",IF(OR(T1090="",K1090=0,K1090=""),"",T1090/K1090))</f>
        <v>0.0250718446601942</v>
      </c>
      <c r="X1090" s="1" t="n">
        <f aca="false">IF($A1090="","",IF(OR(N1090&lt;=0,I1090=0,I1090="",O1090=0),"",O1090*1000/(I1090*0.3025)/N1090))</f>
        <v>22455.6634570612</v>
      </c>
      <c r="Y1090" s="1" t="n">
        <f aca="false">IF($A1090="","",IF(OR(O1090=0,O1090="",P1090=0),"",P1090/O1090))</f>
        <v>0.599607751644089</v>
      </c>
      <c r="Z1090" s="1" t="str">
        <f aca="false">IF($A1090="","",IFERROR(INDEX(物件収支!$E:$E,MATCH($A1090,物件収支!$A:$A,0)),""))</f>
        <v>開示（物件別・費用内訳含む）</v>
      </c>
    </row>
    <row r="1091" customFormat="false" ht="15" hidden="false" customHeight="true" outlineLevel="0" collapsed="false">
      <c r="A1091" s="1" t="str">
        <f aca="false">IF(物件マスタ!A1091="","",物件マスタ!A1091)</f>
        <v>HLC-005</v>
      </c>
      <c r="B1091" s="1" t="str">
        <f aca="false">IF($A1091="","",物件マスタ!B1091)</f>
        <v>HLC</v>
      </c>
      <c r="C1091" s="1" t="str">
        <f aca="false">IF($A1091="","",IFERROR(INDEX(法人マスタ!$C:$C,MATCH($B1091,法人マスタ!$A:$A,0)),""))</f>
        <v>ヒューリックリート投資法人</v>
      </c>
      <c r="D1091" s="1" t="str">
        <f aca="false">IF($A1091="","",物件マスタ!C1091)</f>
        <v>ヒューリック高田馬場ビル</v>
      </c>
      <c r="E1091" s="1" t="str">
        <f aca="false">IF($A1091="","",物件マスタ!H1091)</f>
        <v>都心5区</v>
      </c>
      <c r="F1091" s="53" t="n">
        <f aca="false">IF($A1091="","",物件マスタ!P1091)</f>
        <v>34274</v>
      </c>
      <c r="G1091" s="1" t="n">
        <f aca="false">IF($A1091="","",物件マスタ!Q1091)</f>
        <v>32.8</v>
      </c>
      <c r="H1091" s="1" t="n">
        <f aca="false">IF($A1091="","",物件マスタ!L1091)</f>
        <v>0</v>
      </c>
      <c r="I1091" s="1" t="n">
        <f aca="false">IF($A1091="","",物件マスタ!M1091)</f>
        <v>5369.71</v>
      </c>
      <c r="J1091" s="1" t="n">
        <f aca="false">IF($A1091="","",物件マスタ!S1091)</f>
        <v>3900</v>
      </c>
      <c r="K1091" s="1" t="n">
        <f aca="false">IF($A1091="","",物件マスタ!U1091)</f>
        <v>5460</v>
      </c>
      <c r="L1091" s="1" t="n">
        <f aca="false">IF($A1091="","",物件マスタ!W1091)</f>
        <v>1</v>
      </c>
      <c r="M1091" s="1" t="str">
        <f aca="false">IF($A1091="","",IFERROR(INDEX(法人マスタ!$H:$H,MATCH($B1091,法人マスタ!$A:$A,0)),""))</f>
        <v>2026年2月期（第24期）</v>
      </c>
      <c r="N1091" s="1" t="n">
        <f aca="false">IF($A1091="","",SUMIFS(物件収支!$D:$D,物件収支!$A:$A,$A1091,物件収支!$C:$C,$M1091))</f>
        <v>6</v>
      </c>
      <c r="O1091" s="1" t="n">
        <f aca="false">IF($A1091="","",SUMIFS(物件収支!$F:$F,物件収支!$A:$A,$A1091,物件収支!$C:$C,$M1091))</f>
        <v>175341</v>
      </c>
      <c r="P1091" s="1" t="n">
        <f aca="false">IF($A1091="","",SUMIFS(物件収支!$I:$I,物件収支!$A:$A,$A1091,物件収支!$C:$C,$M1091))</f>
        <v>73597</v>
      </c>
      <c r="Q1091" s="1" t="n">
        <f aca="false">IF($A1091="","",SUMIFS(物件収支!$O:$O,物件収支!$A:$A,$A1091,物件収支!$C:$C,$M1091))</f>
        <v>23724</v>
      </c>
      <c r="R1091" s="1" t="n">
        <f aca="false">IF($A1091="","",IF(P1091=0,"",O1091-P1091))</f>
        <v>101744</v>
      </c>
      <c r="S1091" s="1" t="n">
        <f aca="false">IF($A1091="","",IF(R1091="","",R1091+Q1091))</f>
        <v>125468</v>
      </c>
      <c r="T1091" s="1" t="n">
        <f aca="false">IF($A1091="","",IF(OR(S1091="",N1091&lt;=0),"",S1091/1000*12/N1091))</f>
        <v>250.936</v>
      </c>
      <c r="U1091" s="1" t="n">
        <f aca="false">IF($A1091="","",IF(OR(T1091="",J1091=0,J1091=""),"",T1091/J1091))</f>
        <v>0.0643425641025641</v>
      </c>
      <c r="V1091" s="1" t="n">
        <f aca="false">IF($A1091="","",IF(OR(R1091="",N1091&lt;=0,J1091=0,J1091=""),"",(R1091/1000*12/N1091)/J1091))</f>
        <v>0.0521764102564103</v>
      </c>
      <c r="W1091" s="1" t="n">
        <f aca="false">IF($A1091="","",IF(OR(T1091="",K1091=0,K1091=""),"",T1091/K1091))</f>
        <v>0.0459589743589744</v>
      </c>
      <c r="X1091" s="1" t="n">
        <f aca="false">IF($A1091="","",IF(OR(N1091&lt;=0,I1091=0,I1091="",O1091=0),"",O1091*1000/(I1091*0.3025)/N1091))</f>
        <v>17991.0296031346</v>
      </c>
      <c r="Y1091" s="1" t="n">
        <f aca="false">IF($A1091="","",IF(OR(O1091=0,O1091="",P1091=0),"",P1091/O1091))</f>
        <v>0.419736399358963</v>
      </c>
      <c r="Z1091" s="1" t="str">
        <f aca="false">IF($A1091="","",IFERROR(INDEX(物件収支!$E:$E,MATCH($A1091,物件収支!$A:$A,0)),""))</f>
        <v>開示（物件別・費用内訳含む）</v>
      </c>
    </row>
    <row r="1092" customFormat="false" ht="15" hidden="false" customHeight="true" outlineLevel="0" collapsed="false">
      <c r="A1092" s="1" t="str">
        <f aca="false">IF(物件マスタ!A1092="","",物件マスタ!A1092)</f>
        <v>HLC-006</v>
      </c>
      <c r="B1092" s="1" t="str">
        <f aca="false">IF($A1092="","",物件マスタ!B1092)</f>
        <v>HLC</v>
      </c>
      <c r="C1092" s="1" t="str">
        <f aca="false">IF($A1092="","",IFERROR(INDEX(法人マスタ!$C:$C,MATCH($B1092,法人マスタ!$A:$A,0)),""))</f>
        <v>ヒューリックリート投資法人</v>
      </c>
      <c r="D1092" s="1" t="str">
        <f aca="false">IF($A1092="","",物件マスタ!C1092)</f>
        <v>ヒューリック神田ビル</v>
      </c>
      <c r="E1092" s="1" t="str">
        <f aca="false">IF($A1092="","",物件マスタ!H1092)</f>
        <v>都心5区</v>
      </c>
      <c r="F1092" s="53" t="n">
        <f aca="false">IF($A1092="","",物件マスタ!P1092)</f>
        <v>39692</v>
      </c>
      <c r="G1092" s="1" t="n">
        <f aca="false">IF($A1092="","",物件マスタ!Q1092)</f>
        <v>17.9</v>
      </c>
      <c r="H1092" s="1" t="n">
        <f aca="false">IF($A1092="","",物件マスタ!L1092)</f>
        <v>0</v>
      </c>
      <c r="I1092" s="1" t="n">
        <f aca="false">IF($A1092="","",物件マスタ!M1092)</f>
        <v>3728.36</v>
      </c>
      <c r="J1092" s="1" t="n">
        <f aca="false">IF($A1092="","",物件マスタ!S1092)</f>
        <v>3780</v>
      </c>
      <c r="K1092" s="1" t="n">
        <f aca="false">IF($A1092="","",物件マスタ!U1092)</f>
        <v>3820</v>
      </c>
      <c r="L1092" s="1" t="n">
        <f aca="false">IF($A1092="","",物件マスタ!W1092)</f>
        <v>1</v>
      </c>
      <c r="M1092" s="1" t="str">
        <f aca="false">IF($A1092="","",IFERROR(INDEX(法人マスタ!$H:$H,MATCH($B1092,法人マスタ!$A:$A,0)),""))</f>
        <v>2026年2月期（第24期）</v>
      </c>
      <c r="N1092" s="1" t="n">
        <f aca="false">IF($A1092="","",SUMIFS(物件収支!$D:$D,物件収支!$A:$A,$A1092,物件収支!$C:$C,$M1092))</f>
        <v>6</v>
      </c>
      <c r="O1092" s="1" t="n">
        <f aca="false">IF($A1092="","",SUMIFS(物件収支!$F:$F,物件収支!$A:$A,$A1092,物件収支!$C:$C,$M1092))</f>
        <v>153696</v>
      </c>
      <c r="P1092" s="1" t="n">
        <f aca="false">IF($A1092="","",SUMIFS(物件収支!$I:$I,物件収支!$A:$A,$A1092,物件収支!$C:$C,$M1092))</f>
        <v>71171</v>
      </c>
      <c r="Q1092" s="1" t="n">
        <f aca="false">IF($A1092="","",SUMIFS(物件収支!$O:$O,物件収支!$A:$A,$A1092,物件収支!$C:$C,$M1092))</f>
        <v>11951</v>
      </c>
      <c r="R1092" s="1" t="n">
        <f aca="false">IF($A1092="","",IF(P1092=0,"",O1092-P1092))</f>
        <v>82525</v>
      </c>
      <c r="S1092" s="1" t="n">
        <f aca="false">IF($A1092="","",IF(R1092="","",R1092+Q1092))</f>
        <v>94476</v>
      </c>
      <c r="T1092" s="1" t="n">
        <f aca="false">IF($A1092="","",IF(OR(S1092="",N1092&lt;=0),"",S1092/1000*12/N1092))</f>
        <v>188.952</v>
      </c>
      <c r="U1092" s="1" t="n">
        <f aca="false">IF($A1092="","",IF(OR(T1092="",J1092=0,J1092=""),"",T1092/J1092))</f>
        <v>0.0499873015873016</v>
      </c>
      <c r="V1092" s="1" t="n">
        <f aca="false">IF($A1092="","",IF(OR(R1092="",N1092&lt;=0,J1092=0,J1092=""),"",(R1092/1000*12/N1092)/J1092))</f>
        <v>0.0436640211640212</v>
      </c>
      <c r="W1092" s="1" t="n">
        <f aca="false">IF($A1092="","",IF(OR(T1092="",K1092=0,K1092=""),"",T1092/K1092))</f>
        <v>0.0494638743455497</v>
      </c>
      <c r="X1092" s="1" t="n">
        <f aca="false">IF($A1092="","",IF(OR(N1092&lt;=0,I1092=0,I1092="",O1092=0),"",O1092*1000/(I1092*0.3025)/N1092))</f>
        <v>22712.6650150568</v>
      </c>
      <c r="Y1092" s="1" t="n">
        <f aca="false">IF($A1092="","",IF(OR(O1092=0,O1092="",P1092=0),"",P1092/O1092))</f>
        <v>0.463063449927129</v>
      </c>
      <c r="Z1092" s="1" t="str">
        <f aca="false">IF($A1092="","",IFERROR(INDEX(物件収支!$E:$E,MATCH($A1092,物件収支!$A:$A,0)),""))</f>
        <v>開示（物件別・費用内訳含む）</v>
      </c>
    </row>
    <row r="1093" customFormat="false" ht="15" hidden="false" customHeight="true" outlineLevel="0" collapsed="false">
      <c r="A1093" s="1" t="str">
        <f aca="false">IF(物件マスタ!A1093="","",物件マスタ!A1093)</f>
        <v>HLC-007</v>
      </c>
      <c r="B1093" s="1" t="str">
        <f aca="false">IF($A1093="","",物件マスタ!B1093)</f>
        <v>HLC</v>
      </c>
      <c r="C1093" s="1" t="str">
        <f aca="false">IF($A1093="","",IFERROR(INDEX(法人マスタ!$C:$C,MATCH($B1093,法人マスタ!$A:$A,0)),""))</f>
        <v>ヒューリックリート投資法人</v>
      </c>
      <c r="D1093" s="1" t="str">
        <f aca="false">IF($A1093="","",物件マスタ!C1093)</f>
        <v>ヒューリック神田橋ビル</v>
      </c>
      <c r="E1093" s="1" t="str">
        <f aca="false">IF($A1093="","",物件マスタ!H1093)</f>
        <v>都心5区</v>
      </c>
      <c r="F1093" s="53" t="n">
        <f aca="false">IF($A1093="","",物件マスタ!P1093)</f>
        <v>37043</v>
      </c>
      <c r="G1093" s="1" t="n">
        <f aca="false">IF($A1093="","",物件マスタ!Q1093)</f>
        <v>25.2</v>
      </c>
      <c r="H1093" s="1" t="n">
        <f aca="false">IF($A1093="","",物件マスタ!L1093)</f>
        <v>0</v>
      </c>
      <c r="I1093" s="1" t="n">
        <f aca="false">IF($A1093="","",物件マスタ!M1093)</f>
        <v>2566.95</v>
      </c>
      <c r="J1093" s="1" t="n">
        <f aca="false">IF($A1093="","",物件マスタ!S1093)</f>
        <v>2500</v>
      </c>
      <c r="K1093" s="1" t="n">
        <f aca="false">IF($A1093="","",物件マスタ!U1093)</f>
        <v>2970</v>
      </c>
      <c r="L1093" s="1" t="n">
        <f aca="false">IF($A1093="","",物件マスタ!W1093)</f>
        <v>1</v>
      </c>
      <c r="M1093" s="1" t="str">
        <f aca="false">IF($A1093="","",IFERROR(INDEX(法人マスタ!$H:$H,MATCH($B1093,法人マスタ!$A:$A,0)),""))</f>
        <v>2026年2月期（第24期）</v>
      </c>
      <c r="N1093" s="1" t="n">
        <f aca="false">IF($A1093="","",SUMIFS(物件収支!$D:$D,物件収支!$A:$A,$A1093,物件収支!$C:$C,$M1093))</f>
        <v>6</v>
      </c>
      <c r="O1093" s="1" t="n">
        <f aca="false">IF($A1093="","",SUMIFS(物件収支!$F:$F,物件収支!$A:$A,$A1093,物件収支!$C:$C,$M1093))</f>
        <v>92656</v>
      </c>
      <c r="P1093" s="1" t="n">
        <f aca="false">IF($A1093="","",SUMIFS(物件収支!$I:$I,物件収支!$A:$A,$A1093,物件収支!$C:$C,$M1093))</f>
        <v>42835</v>
      </c>
      <c r="Q1093" s="1" t="n">
        <f aca="false">IF($A1093="","",SUMIFS(物件収支!$O:$O,物件収支!$A:$A,$A1093,物件収支!$C:$C,$M1093))</f>
        <v>11718</v>
      </c>
      <c r="R1093" s="1" t="n">
        <f aca="false">IF($A1093="","",IF(P1093=0,"",O1093-P1093))</f>
        <v>49821</v>
      </c>
      <c r="S1093" s="1" t="n">
        <f aca="false">IF($A1093="","",IF(R1093="","",R1093+Q1093))</f>
        <v>61539</v>
      </c>
      <c r="T1093" s="1" t="n">
        <f aca="false">IF($A1093="","",IF(OR(S1093="",N1093&lt;=0),"",S1093/1000*12/N1093))</f>
        <v>123.078</v>
      </c>
      <c r="U1093" s="1" t="n">
        <f aca="false">IF($A1093="","",IF(OR(T1093="",J1093=0,J1093=""),"",T1093/J1093))</f>
        <v>0.0492312</v>
      </c>
      <c r="V1093" s="1" t="n">
        <f aca="false">IF($A1093="","",IF(OR(R1093="",N1093&lt;=0,J1093=0,J1093=""),"",(R1093/1000*12/N1093)/J1093))</f>
        <v>0.0398568</v>
      </c>
      <c r="W1093" s="1" t="n">
        <f aca="false">IF($A1093="","",IF(OR(T1093="",K1093=0,K1093=""),"",T1093/K1093))</f>
        <v>0.0414404040404041</v>
      </c>
      <c r="X1093" s="1" t="n">
        <f aca="false">IF($A1093="","",IF(OR(N1093&lt;=0,I1093=0,I1093="",O1093=0),"",O1093*1000/(I1093*0.3025)/N1093))</f>
        <v>19887.4686850335</v>
      </c>
      <c r="Y1093" s="1" t="n">
        <f aca="false">IF($A1093="","",IF(OR(O1093=0,O1093="",P1093=0),"",P1093/O1093))</f>
        <v>0.46230141599033</v>
      </c>
      <c r="Z1093" s="1" t="str">
        <f aca="false">IF($A1093="","",IFERROR(INDEX(物件収支!$E:$E,MATCH($A1093,物件収支!$A:$A,0)),""))</f>
        <v>開示（物件別・費用内訳含む）</v>
      </c>
    </row>
    <row r="1094" customFormat="false" ht="15" hidden="false" customHeight="true" outlineLevel="0" collapsed="false">
      <c r="A1094" s="1" t="str">
        <f aca="false">IF(物件マスタ!A1094="","",物件マスタ!A1094)</f>
        <v>HLC-008</v>
      </c>
      <c r="B1094" s="1" t="str">
        <f aca="false">IF($A1094="","",物件マスタ!B1094)</f>
        <v>HLC</v>
      </c>
      <c r="C1094" s="1" t="str">
        <f aca="false">IF($A1094="","",IFERROR(INDEX(法人マスタ!$C:$C,MATCH($B1094,法人マスタ!$A:$A,0)),""))</f>
        <v>ヒューリックリート投資法人</v>
      </c>
      <c r="D1094" s="1" t="str">
        <f aca="false">IF($A1094="","",物件マスタ!C1094)</f>
        <v>ヒューリック蛎殻町ビル</v>
      </c>
      <c r="E1094" s="1" t="str">
        <f aca="false">IF($A1094="","",物件マスタ!H1094)</f>
        <v>都心5区</v>
      </c>
      <c r="F1094" s="53" t="n">
        <f aca="false">IF($A1094="","",物件マスタ!P1094)</f>
        <v>34029</v>
      </c>
      <c r="G1094" s="1" t="n">
        <f aca="false">IF($A1094="","",物件マスタ!Q1094)</f>
        <v>33.4</v>
      </c>
      <c r="H1094" s="1" t="n">
        <f aca="false">IF($A1094="","",物件マスタ!L1094)</f>
        <v>0</v>
      </c>
      <c r="I1094" s="1" t="n">
        <f aca="false">IF($A1094="","",物件マスタ!M1094)</f>
        <v>2858.48</v>
      </c>
      <c r="J1094" s="1" t="n">
        <f aca="false">IF($A1094="","",物件マスタ!S1094)</f>
        <v>2210</v>
      </c>
      <c r="K1094" s="1" t="n">
        <f aca="false">IF($A1094="","",物件マスタ!U1094)</f>
        <v>2760</v>
      </c>
      <c r="L1094" s="1" t="n">
        <f aca="false">IF($A1094="","",物件マスタ!W1094)</f>
        <v>1</v>
      </c>
      <c r="M1094" s="1" t="str">
        <f aca="false">IF($A1094="","",IFERROR(INDEX(法人マスタ!$H:$H,MATCH($B1094,法人マスタ!$A:$A,0)),""))</f>
        <v>2026年2月期（第24期）</v>
      </c>
      <c r="N1094" s="1" t="n">
        <f aca="false">IF($A1094="","",SUMIFS(物件収支!$D:$D,物件収支!$A:$A,$A1094,物件収支!$C:$C,$M1094))</f>
        <v>6</v>
      </c>
      <c r="O1094" s="1" t="n">
        <f aca="false">IF($A1094="","",SUMIFS(物件収支!$F:$F,物件収支!$A:$A,$A1094,物件収支!$C:$C,$M1094))</f>
        <v>108281</v>
      </c>
      <c r="P1094" s="1" t="n">
        <f aca="false">IF($A1094="","",SUMIFS(物件収支!$I:$I,物件収支!$A:$A,$A1094,物件収支!$C:$C,$M1094))</f>
        <v>43660</v>
      </c>
      <c r="Q1094" s="1" t="n">
        <f aca="false">IF($A1094="","",SUMIFS(物件収支!$O:$O,物件収支!$A:$A,$A1094,物件収支!$C:$C,$M1094))</f>
        <v>9741</v>
      </c>
      <c r="R1094" s="1" t="n">
        <f aca="false">IF($A1094="","",IF(P1094=0,"",O1094-P1094))</f>
        <v>64621</v>
      </c>
      <c r="S1094" s="1" t="n">
        <f aca="false">IF($A1094="","",IF(R1094="","",R1094+Q1094))</f>
        <v>74362</v>
      </c>
      <c r="T1094" s="1" t="n">
        <f aca="false">IF($A1094="","",IF(OR(S1094="",N1094&lt;=0),"",S1094/1000*12/N1094))</f>
        <v>148.724</v>
      </c>
      <c r="U1094" s="1" t="n">
        <f aca="false">IF($A1094="","",IF(OR(T1094="",J1094=0,J1094=""),"",T1094/J1094))</f>
        <v>0.06729592760181</v>
      </c>
      <c r="V1094" s="1" t="n">
        <f aca="false">IF($A1094="","",IF(OR(R1094="",N1094&lt;=0,J1094=0,J1094=""),"",(R1094/1000*12/N1094)/J1094))</f>
        <v>0.0584805429864253</v>
      </c>
      <c r="W1094" s="1" t="n">
        <f aca="false">IF($A1094="","",IF(OR(T1094="",K1094=0,K1094=""),"",T1094/K1094))</f>
        <v>0.0538855072463768</v>
      </c>
      <c r="X1094" s="1" t="n">
        <f aca="false">IF($A1094="","",IF(OR(N1094&lt;=0,I1094=0,I1094="",O1094=0),"",O1094*1000/(I1094*0.3025)/N1094))</f>
        <v>20870.8660435071</v>
      </c>
      <c r="Y1094" s="1" t="n">
        <f aca="false">IF($A1094="","",IF(OR(O1094=0,O1094="",P1094=0),"",P1094/O1094))</f>
        <v>0.403210166141798</v>
      </c>
      <c r="Z1094" s="1" t="str">
        <f aca="false">IF($A1094="","",IFERROR(INDEX(物件収支!$E:$E,MATCH($A1094,物件収支!$A:$A,0)),""))</f>
        <v>開示（物件別・費用内訳含む）</v>
      </c>
    </row>
    <row r="1095" customFormat="false" ht="15" hidden="false" customHeight="true" outlineLevel="0" collapsed="false">
      <c r="A1095" s="1" t="str">
        <f aca="false">IF(物件マスタ!A1095="","",物件マスタ!A1095)</f>
        <v>HLC-009</v>
      </c>
      <c r="B1095" s="1" t="str">
        <f aca="false">IF($A1095="","",物件マスタ!B1095)</f>
        <v>HLC</v>
      </c>
      <c r="C1095" s="1" t="str">
        <f aca="false">IF($A1095="","",IFERROR(INDEX(法人マスタ!$C:$C,MATCH($B1095,法人マスタ!$A:$A,0)),""))</f>
        <v>ヒューリックリート投資法人</v>
      </c>
      <c r="D1095" s="1" t="str">
        <f aca="false">IF($A1095="","",物件マスタ!C1095)</f>
        <v>御茶ノ水ソラシティ</v>
      </c>
      <c r="E1095" s="1" t="str">
        <f aca="false">IF($A1095="","",物件マスタ!H1095)</f>
        <v>都心5区</v>
      </c>
      <c r="F1095" s="53" t="n">
        <f aca="false">IF($A1095="","",物件マスタ!P1095)</f>
        <v>41306</v>
      </c>
      <c r="G1095" s="1" t="n">
        <f aca="false">IF($A1095="","",物件マスタ!Q1095)</f>
        <v>13.5</v>
      </c>
      <c r="H1095" s="1" t="n">
        <f aca="false">IF($A1095="","",物件マスタ!L1095)</f>
        <v>0</v>
      </c>
      <c r="I1095" s="1" t="n">
        <f aca="false">IF($A1095="","",物件マスタ!M1095)</f>
        <v>13923.42</v>
      </c>
      <c r="J1095" s="1" t="n">
        <f aca="false">IF($A1095="","",物件マスタ!S1095)</f>
        <v>38149</v>
      </c>
      <c r="K1095" s="1" t="n">
        <f aca="false">IF($A1095="","",物件マスタ!U1095)</f>
        <v>46221</v>
      </c>
      <c r="L1095" s="1" t="n">
        <f aca="false">IF($A1095="","",物件マスタ!W1095)</f>
        <v>1</v>
      </c>
      <c r="M1095" s="1" t="str">
        <f aca="false">IF($A1095="","",IFERROR(INDEX(法人マスタ!$H:$H,MATCH($B1095,法人マスタ!$A:$A,0)),""))</f>
        <v>2026年2月期（第24期）</v>
      </c>
      <c r="N1095" s="1" t="n">
        <f aca="false">IF($A1095="","",SUMIFS(物件収支!$D:$D,物件収支!$A:$A,$A1095,物件収支!$C:$C,$M1095))</f>
        <v>6</v>
      </c>
      <c r="O1095" s="1" t="n">
        <f aca="false">IF($A1095="","",SUMIFS(物件収支!$F:$F,物件収支!$A:$A,$A1095,物件収支!$C:$C,$M1095))</f>
        <v>0</v>
      </c>
      <c r="P1095" s="1" t="n">
        <f aca="false">IF($A1095="","",SUMIFS(物件収支!$I:$I,物件収支!$A:$A,$A1095,物件収支!$C:$C,$M1095))</f>
        <v>0</v>
      </c>
      <c r="Q1095" s="1" t="n">
        <f aca="false">IF($A1095="","",SUMIFS(物件収支!$O:$O,物件収支!$A:$A,$A1095,物件収支!$C:$C,$M1095))</f>
        <v>0</v>
      </c>
      <c r="R1095" s="1" t="str">
        <f aca="false">IF($A1095="","",IF(P1095=0,"",O1095-P1095))</f>
        <v/>
      </c>
      <c r="S1095" s="1" t="str">
        <f aca="false">IF($A1095="","",IF(R1095="","",R1095+Q1095))</f>
        <v/>
      </c>
      <c r="T1095" s="1" t="str">
        <f aca="false">IF($A1095="","",IF(OR(S1095="",N1095&lt;=0),"",S1095/1000*12/N1095))</f>
        <v/>
      </c>
      <c r="U1095" s="1" t="str">
        <f aca="false">IF($A1095="","",IF(OR(T1095="",J1095=0,J1095=""),"",T1095/J1095))</f>
        <v/>
      </c>
      <c r="V1095" s="1" t="str">
        <f aca="false">IF($A1095="","",IF(OR(R1095="",N1095&lt;=0,J1095=0,J1095=""),"",(R1095/1000*12/N1095)/J1095))</f>
        <v/>
      </c>
      <c r="W1095" s="1" t="str">
        <f aca="false">IF($A1095="","",IF(OR(T1095="",K1095=0,K1095=""),"",T1095/K1095))</f>
        <v/>
      </c>
      <c r="X1095" s="1" t="str">
        <f aca="false">IF($A1095="","",IF(OR(N1095&lt;=0,I1095=0,I1095="",O1095=0),"",O1095*1000/(I1095*0.3025)/N1095))</f>
        <v/>
      </c>
      <c r="Y1095" s="1" t="str">
        <f aca="false">IF($A1095="","",IF(OR(O1095=0,O1095="",P1095=0),"",P1095/O1095))</f>
        <v/>
      </c>
      <c r="Z1095" s="1" t="str">
        <f aca="false">IF($A1095="","",IFERROR(INDEX(物件収支!$E:$E,MATCH($A1095,物件収支!$A:$A,0)),""))</f>
        <v>非開示（NOIのみ開示）</v>
      </c>
    </row>
    <row r="1096" customFormat="false" ht="15" hidden="false" customHeight="true" outlineLevel="0" collapsed="false">
      <c r="A1096" s="1" t="str">
        <f aca="false">IF(物件マスタ!A1096="","",物件マスタ!A1096)</f>
        <v>HLC-010</v>
      </c>
      <c r="B1096" s="1" t="str">
        <f aca="false">IF($A1096="","",物件マスタ!B1096)</f>
        <v>HLC</v>
      </c>
      <c r="C1096" s="1" t="str">
        <f aca="false">IF($A1096="","",IFERROR(INDEX(法人マスタ!$C:$C,MATCH($B1096,法人マスタ!$A:$A,0)),""))</f>
        <v>ヒューリックリート投資法人</v>
      </c>
      <c r="D1096" s="1" t="str">
        <f aca="false">IF($A1096="","",物件マスタ!C1096)</f>
        <v>ヒューリック東上野一丁目ビル</v>
      </c>
      <c r="E1096" s="1" t="str">
        <f aca="false">IF($A1096="","",物件マスタ!H1096)</f>
        <v>その他東京23区</v>
      </c>
      <c r="F1096" s="53" t="n">
        <f aca="false">IF($A1096="","",物件マスタ!P1096)</f>
        <v>32325</v>
      </c>
      <c r="G1096" s="1" t="n">
        <f aca="false">IF($A1096="","",物件マスタ!Q1096)</f>
        <v>38.1</v>
      </c>
      <c r="H1096" s="1" t="n">
        <f aca="false">IF($A1096="","",物件マスタ!L1096)</f>
        <v>0</v>
      </c>
      <c r="I1096" s="1" t="n">
        <f aca="false">IF($A1096="","",物件マスタ!M1096)</f>
        <v>3137.09</v>
      </c>
      <c r="J1096" s="1" t="n">
        <f aca="false">IF($A1096="","",物件マスタ!S1096)</f>
        <v>2678</v>
      </c>
      <c r="K1096" s="1" t="n">
        <f aca="false">IF($A1096="","",物件マスタ!U1096)</f>
        <v>3160</v>
      </c>
      <c r="L1096" s="1" t="n">
        <f aca="false">IF($A1096="","",物件マスタ!W1096)</f>
        <v>1</v>
      </c>
      <c r="M1096" s="1" t="str">
        <f aca="false">IF($A1096="","",IFERROR(INDEX(法人マスタ!$H:$H,MATCH($B1096,法人マスタ!$A:$A,0)),""))</f>
        <v>2026年2月期（第24期）</v>
      </c>
      <c r="N1096" s="1" t="n">
        <f aca="false">IF($A1096="","",SUMIFS(物件収支!$D:$D,物件収支!$A:$A,$A1096,物件収支!$C:$C,$M1096))</f>
        <v>6</v>
      </c>
      <c r="O1096" s="1" t="n">
        <f aca="false">IF($A1096="","",SUMIFS(物件収支!$F:$F,物件収支!$A:$A,$A1096,物件収支!$C:$C,$M1096))</f>
        <v>100630</v>
      </c>
      <c r="P1096" s="1" t="n">
        <f aca="false">IF($A1096="","",SUMIFS(物件収支!$I:$I,物件収支!$A:$A,$A1096,物件収支!$C:$C,$M1096))</f>
        <v>48361</v>
      </c>
      <c r="Q1096" s="1" t="n">
        <f aca="false">IF($A1096="","",SUMIFS(物件収支!$O:$O,物件収支!$A:$A,$A1096,物件収支!$C:$C,$M1096))</f>
        <v>16709</v>
      </c>
      <c r="R1096" s="1" t="n">
        <f aca="false">IF($A1096="","",IF(P1096=0,"",O1096-P1096))</f>
        <v>52269</v>
      </c>
      <c r="S1096" s="1" t="n">
        <f aca="false">IF($A1096="","",IF(R1096="","",R1096+Q1096))</f>
        <v>68978</v>
      </c>
      <c r="T1096" s="1" t="n">
        <f aca="false">IF($A1096="","",IF(OR(S1096="",N1096&lt;=0),"",S1096/1000*12/N1096))</f>
        <v>137.956</v>
      </c>
      <c r="U1096" s="1" t="n">
        <f aca="false">IF($A1096="","",IF(OR(T1096="",J1096=0,J1096=""),"",T1096/J1096))</f>
        <v>0.0515145631067961</v>
      </c>
      <c r="V1096" s="1" t="n">
        <f aca="false">IF($A1096="","",IF(OR(R1096="",N1096&lt;=0,J1096=0,J1096=""),"",(R1096/1000*12/N1096)/J1096))</f>
        <v>0.0390358476474981</v>
      </c>
      <c r="W1096" s="1" t="n">
        <f aca="false">IF($A1096="","",IF(OR(T1096="",K1096=0,K1096=""),"",T1096/K1096))</f>
        <v>0.0436569620253165</v>
      </c>
      <c r="X1096" s="1" t="n">
        <f aca="false">IF($A1096="","",IF(OR(N1096&lt;=0,I1096=0,I1096="",O1096=0),"",O1096*1000/(I1096*0.3025)/N1096))</f>
        <v>17673.5529330682</v>
      </c>
      <c r="Y1096" s="1" t="n">
        <f aca="false">IF($A1096="","",IF(OR(O1096=0,O1096="",P1096=0),"",P1096/O1096))</f>
        <v>0.48058233131273</v>
      </c>
      <c r="Z1096" s="1" t="str">
        <f aca="false">IF($A1096="","",IFERROR(INDEX(物件収支!$E:$E,MATCH($A1096,物件収支!$A:$A,0)),""))</f>
        <v>開示（物件別・費用内訳含む）</v>
      </c>
    </row>
    <row r="1097" customFormat="false" ht="15" hidden="false" customHeight="true" outlineLevel="0" collapsed="false">
      <c r="A1097" s="1" t="str">
        <f aca="false">IF(物件マスタ!A1097="","",物件マスタ!A1097)</f>
        <v>HLC-011</v>
      </c>
      <c r="B1097" s="1" t="str">
        <f aca="false">IF($A1097="","",物件マスタ!B1097)</f>
        <v>HLC</v>
      </c>
      <c r="C1097" s="1" t="str">
        <f aca="false">IF($A1097="","",IFERROR(INDEX(法人マスタ!$C:$C,MATCH($B1097,法人マスタ!$A:$A,0)),""))</f>
        <v>ヒューリックリート投資法人</v>
      </c>
      <c r="D1097" s="1" t="str">
        <f aca="false">IF($A1097="","",物件マスタ!C1097)</f>
        <v>東京西池袋ビルディング</v>
      </c>
      <c r="E1097" s="1" t="str">
        <f aca="false">IF($A1097="","",物件マスタ!H1097)</f>
        <v>その他東京23区</v>
      </c>
      <c r="F1097" s="53" t="n">
        <f aca="false">IF($A1097="","",物件マスタ!P1097)</f>
        <v>33147</v>
      </c>
      <c r="G1097" s="1" t="n">
        <f aca="false">IF($A1097="","",物件マスタ!Q1097)</f>
        <v>35.9</v>
      </c>
      <c r="H1097" s="1" t="n">
        <f aca="false">IF($A1097="","",物件マスタ!L1097)</f>
        <v>0</v>
      </c>
      <c r="I1097" s="1" t="n">
        <f aca="false">IF($A1097="","",物件マスタ!M1097)</f>
        <v>1429.74</v>
      </c>
      <c r="J1097" s="1" t="n">
        <f aca="false">IF($A1097="","",物件マスタ!S1097)</f>
        <v>1580</v>
      </c>
      <c r="K1097" s="1" t="n">
        <f aca="false">IF($A1097="","",物件マスタ!U1097)</f>
        <v>2120</v>
      </c>
      <c r="L1097" s="1" t="n">
        <f aca="false">IF($A1097="","",物件マスタ!W1097)</f>
        <v>1</v>
      </c>
      <c r="M1097" s="1" t="str">
        <f aca="false">IF($A1097="","",IFERROR(INDEX(法人マスタ!$H:$H,MATCH($B1097,法人マスタ!$A:$A,0)),""))</f>
        <v>2026年2月期（第24期）</v>
      </c>
      <c r="N1097" s="1" t="n">
        <f aca="false">IF($A1097="","",SUMIFS(物件収支!$D:$D,物件収支!$A:$A,$A1097,物件収支!$C:$C,$M1097))</f>
        <v>6</v>
      </c>
      <c r="O1097" s="1" t="n">
        <f aca="false">IF($A1097="","",SUMIFS(物件収支!$F:$F,物件収支!$A:$A,$A1097,物件収支!$C:$C,$M1097))</f>
        <v>56902</v>
      </c>
      <c r="P1097" s="1" t="n">
        <f aca="false">IF($A1097="","",SUMIFS(物件収支!$I:$I,物件収支!$A:$A,$A1097,物件収支!$C:$C,$M1097))</f>
        <v>20750</v>
      </c>
      <c r="Q1097" s="1" t="n">
        <f aca="false">IF($A1097="","",SUMIFS(物件収支!$O:$O,物件収支!$A:$A,$A1097,物件収支!$C:$C,$M1097))</f>
        <v>4719</v>
      </c>
      <c r="R1097" s="1" t="n">
        <f aca="false">IF($A1097="","",IF(P1097=0,"",O1097-P1097))</f>
        <v>36152</v>
      </c>
      <c r="S1097" s="1" t="n">
        <f aca="false">IF($A1097="","",IF(R1097="","",R1097+Q1097))</f>
        <v>40871</v>
      </c>
      <c r="T1097" s="1" t="n">
        <f aca="false">IF($A1097="","",IF(OR(S1097="",N1097&lt;=0),"",S1097/1000*12/N1097))</f>
        <v>81.742</v>
      </c>
      <c r="U1097" s="1" t="n">
        <f aca="false">IF($A1097="","",IF(OR(T1097="",J1097=0,J1097=""),"",T1097/J1097))</f>
        <v>0.0517354430379747</v>
      </c>
      <c r="V1097" s="1" t="n">
        <f aca="false">IF($A1097="","",IF(OR(R1097="",N1097&lt;=0,J1097=0,J1097=""),"",(R1097/1000*12/N1097)/J1097))</f>
        <v>0.0457620253164557</v>
      </c>
      <c r="W1097" s="1" t="n">
        <f aca="false">IF($A1097="","",IF(OR(T1097="",K1097=0,K1097=""),"",T1097/K1097))</f>
        <v>0.0385575471698113</v>
      </c>
      <c r="X1097" s="1" t="n">
        <f aca="false">IF($A1097="","",IF(OR(N1097&lt;=0,I1097=0,I1097="",O1097=0),"",O1097*1000/(I1097*0.3025)/N1097))</f>
        <v>21927.7380414116</v>
      </c>
      <c r="Y1097" s="1" t="n">
        <f aca="false">IF($A1097="","",IF(OR(O1097=0,O1097="",P1097=0),"",P1097/O1097))</f>
        <v>0.364662050543039</v>
      </c>
      <c r="Z1097" s="1" t="str">
        <f aca="false">IF($A1097="","",IFERROR(INDEX(物件収支!$E:$E,MATCH($A1097,物件収支!$A:$A,0)),""))</f>
        <v>開示（物件別・費用内訳含む）</v>
      </c>
    </row>
    <row r="1098" customFormat="false" ht="15" hidden="false" customHeight="true" outlineLevel="0" collapsed="false">
      <c r="A1098" s="1" t="str">
        <f aca="false">IF(物件マスタ!A1098="","",物件マスタ!A1098)</f>
        <v>HLC-012</v>
      </c>
      <c r="B1098" s="1" t="str">
        <f aca="false">IF($A1098="","",物件マスタ!B1098)</f>
        <v>HLC</v>
      </c>
      <c r="C1098" s="1" t="str">
        <f aca="false">IF($A1098="","",IFERROR(INDEX(法人マスタ!$C:$C,MATCH($B1098,法人マスタ!$A:$A,0)),""))</f>
        <v>ヒューリックリート投資法人</v>
      </c>
      <c r="D1098" s="1" t="str">
        <f aca="false">IF($A1098="","",物件マスタ!C1098)</f>
        <v>ヒューリック虎ノ門ビル</v>
      </c>
      <c r="E1098" s="1" t="str">
        <f aca="false">IF($A1098="","",物件マスタ!H1098)</f>
        <v>都心5区</v>
      </c>
      <c r="F1098" s="53" t="n">
        <f aca="false">IF($A1098="","",物件マスタ!P1098)</f>
        <v>42125</v>
      </c>
      <c r="G1098" s="1" t="n">
        <f aca="false">IF($A1098="","",物件マスタ!Q1098)</f>
        <v>11.3</v>
      </c>
      <c r="H1098" s="1" t="n">
        <f aca="false">IF($A1098="","",物件マスタ!L1098)</f>
        <v>0</v>
      </c>
      <c r="I1098" s="1" t="n">
        <f aca="false">IF($A1098="","",物件マスタ!M1098)</f>
        <v>8574.65</v>
      </c>
      <c r="J1098" s="1" t="n">
        <f aca="false">IF($A1098="","",物件マスタ!S1098)</f>
        <v>18310</v>
      </c>
      <c r="K1098" s="1" t="n">
        <f aca="false">IF($A1098="","",物件マスタ!U1098)</f>
        <v>21800</v>
      </c>
      <c r="L1098" s="1" t="n">
        <f aca="false">IF($A1098="","",物件マスタ!W1098)</f>
        <v>1</v>
      </c>
      <c r="M1098" s="1" t="str">
        <f aca="false">IF($A1098="","",IFERROR(INDEX(法人マスタ!$H:$H,MATCH($B1098,法人マスタ!$A:$A,0)),""))</f>
        <v>2026年2月期（第24期）</v>
      </c>
      <c r="N1098" s="1" t="n">
        <f aca="false">IF($A1098="","",SUMIFS(物件収支!$D:$D,物件収支!$A:$A,$A1098,物件収支!$C:$C,$M1098))</f>
        <v>6</v>
      </c>
      <c r="O1098" s="1" t="n">
        <f aca="false">IF($A1098="","",SUMIFS(物件収支!$F:$F,物件収支!$A:$A,$A1098,物件収支!$C:$C,$M1098))</f>
        <v>431238</v>
      </c>
      <c r="P1098" s="1" t="n">
        <f aca="false">IF($A1098="","",SUMIFS(物件収支!$I:$I,物件収支!$A:$A,$A1098,物件収支!$C:$C,$M1098))</f>
        <v>199123</v>
      </c>
      <c r="Q1098" s="1" t="n">
        <f aca="false">IF($A1098="","",SUMIFS(物件収支!$O:$O,物件収支!$A:$A,$A1098,物件収支!$C:$C,$M1098))</f>
        <v>51656</v>
      </c>
      <c r="R1098" s="1" t="n">
        <f aca="false">IF($A1098="","",IF(P1098=0,"",O1098-P1098))</f>
        <v>232115</v>
      </c>
      <c r="S1098" s="1" t="n">
        <f aca="false">IF($A1098="","",IF(R1098="","",R1098+Q1098))</f>
        <v>283771</v>
      </c>
      <c r="T1098" s="1" t="n">
        <f aca="false">IF($A1098="","",IF(OR(S1098="",N1098&lt;=0),"",S1098/1000*12/N1098))</f>
        <v>567.542</v>
      </c>
      <c r="U1098" s="1" t="n">
        <f aca="false">IF($A1098="","",IF(OR(T1098="",J1098=0,J1098=""),"",T1098/J1098))</f>
        <v>0.030996286182414</v>
      </c>
      <c r="V1098" s="1" t="n">
        <f aca="false">IF($A1098="","",IF(OR(R1098="",N1098&lt;=0,J1098=0,J1098=""),"",(R1098/1000*12/N1098)/J1098))</f>
        <v>0.0253539049699618</v>
      </c>
      <c r="W1098" s="1" t="n">
        <f aca="false">IF($A1098="","",IF(OR(T1098="",K1098=0,K1098=""),"",T1098/K1098))</f>
        <v>0.0260340366972477</v>
      </c>
      <c r="X1098" s="1" t="n">
        <f aca="false">IF($A1098="","",IF(OR(N1098&lt;=0,I1098=0,I1098="",O1098=0),"",O1098*1000/(I1098*0.3025)/N1098))</f>
        <v>27709.2002839622</v>
      </c>
      <c r="Y1098" s="1" t="n">
        <f aca="false">IF($A1098="","",IF(OR(O1098=0,O1098="",P1098=0),"",P1098/O1098))</f>
        <v>0.461747341375296</v>
      </c>
      <c r="Z1098" s="1" t="str">
        <f aca="false">IF($A1098="","",IFERROR(INDEX(物件収支!$E:$E,MATCH($A1098,物件収支!$A:$A,0)),""))</f>
        <v>開示（物件別・費用内訳含む）</v>
      </c>
    </row>
    <row r="1099" customFormat="false" ht="15" hidden="false" customHeight="true" outlineLevel="0" collapsed="false">
      <c r="A1099" s="1" t="str">
        <f aca="false">IF(物件マスタ!A1099="","",物件マスタ!A1099)</f>
        <v>HLC-013</v>
      </c>
      <c r="B1099" s="1" t="str">
        <f aca="false">IF($A1099="","",物件マスタ!B1099)</f>
        <v>HLC</v>
      </c>
      <c r="C1099" s="1" t="str">
        <f aca="false">IF($A1099="","",IFERROR(INDEX(法人マスタ!$C:$C,MATCH($B1099,法人マスタ!$A:$A,0)),""))</f>
        <v>ヒューリックリート投資法人</v>
      </c>
      <c r="D1099" s="1" t="str">
        <f aca="false">IF($A1099="","",物件マスタ!C1099)</f>
        <v>ヒューリック渋谷一丁目ビル</v>
      </c>
      <c r="E1099" s="1" t="str">
        <f aca="false">IF($A1099="","",物件マスタ!H1099)</f>
        <v>都心5区</v>
      </c>
      <c r="F1099" s="53" t="n">
        <f aca="false">IF($A1099="","",物件マスタ!P1099)</f>
        <v>34182</v>
      </c>
      <c r="G1099" s="1" t="n">
        <f aca="false">IF($A1099="","",物件マスタ!Q1099)</f>
        <v>33</v>
      </c>
      <c r="H1099" s="1" t="n">
        <f aca="false">IF($A1099="","",物件マスタ!L1099)</f>
        <v>0</v>
      </c>
      <c r="I1099" s="1" t="n">
        <f aca="false">IF($A1099="","",物件マスタ!M1099)</f>
        <v>2817.65</v>
      </c>
      <c r="J1099" s="1" t="n">
        <f aca="false">IF($A1099="","",物件マスタ!S1099)</f>
        <v>5100</v>
      </c>
      <c r="K1099" s="1" t="n">
        <f aca="false">IF($A1099="","",物件マスタ!U1099)</f>
        <v>5890</v>
      </c>
      <c r="L1099" s="1" t="n">
        <f aca="false">IF($A1099="","",物件マスタ!W1099)</f>
        <v>1</v>
      </c>
      <c r="M1099" s="1" t="str">
        <f aca="false">IF($A1099="","",IFERROR(INDEX(法人マスタ!$H:$H,MATCH($B1099,法人マスタ!$A:$A,0)),""))</f>
        <v>2026年2月期（第24期）</v>
      </c>
      <c r="N1099" s="1" t="n">
        <f aca="false">IF($A1099="","",SUMIFS(物件収支!$D:$D,物件収支!$A:$A,$A1099,物件収支!$C:$C,$M1099))</f>
        <v>6</v>
      </c>
      <c r="O1099" s="1" t="n">
        <f aca="false">IF($A1099="","",SUMIFS(物件収支!$F:$F,物件収支!$A:$A,$A1099,物件収支!$C:$C,$M1099))</f>
        <v>138197</v>
      </c>
      <c r="P1099" s="1" t="n">
        <f aca="false">IF($A1099="","",SUMIFS(物件収支!$I:$I,物件収支!$A:$A,$A1099,物件収支!$C:$C,$M1099))</f>
        <v>49090</v>
      </c>
      <c r="Q1099" s="1" t="n">
        <f aca="false">IF($A1099="","",SUMIFS(物件収支!$O:$O,物件収支!$A:$A,$A1099,物件収支!$C:$C,$M1099))</f>
        <v>16042</v>
      </c>
      <c r="R1099" s="1" t="n">
        <f aca="false">IF($A1099="","",IF(P1099=0,"",O1099-P1099))</f>
        <v>89107</v>
      </c>
      <c r="S1099" s="1" t="n">
        <f aca="false">IF($A1099="","",IF(R1099="","",R1099+Q1099))</f>
        <v>105149</v>
      </c>
      <c r="T1099" s="1" t="n">
        <f aca="false">IF($A1099="","",IF(OR(S1099="",N1099&lt;=0),"",S1099/1000*12/N1099))</f>
        <v>210.298</v>
      </c>
      <c r="U1099" s="1" t="n">
        <f aca="false">IF($A1099="","",IF(OR(T1099="",J1099=0,J1099=""),"",T1099/J1099))</f>
        <v>0.0412349019607843</v>
      </c>
      <c r="V1099" s="1" t="n">
        <f aca="false">IF($A1099="","",IF(OR(R1099="",N1099&lt;=0,J1099=0,J1099=""),"",(R1099/1000*12/N1099)/J1099))</f>
        <v>0.0349439215686275</v>
      </c>
      <c r="W1099" s="1" t="n">
        <f aca="false">IF($A1099="","",IF(OR(T1099="",K1099=0,K1099=""),"",T1099/K1099))</f>
        <v>0.0357042444821732</v>
      </c>
      <c r="X1099" s="1" t="n">
        <f aca="false">IF($A1099="","",IF(OR(N1099&lt;=0,I1099=0,I1099="",O1099=0),"",O1099*1000/(I1099*0.3025)/N1099))</f>
        <v>27023.0858325709</v>
      </c>
      <c r="Y1099" s="1" t="n">
        <f aca="false">IF($A1099="","",IF(OR(O1099=0,O1099="",P1099=0),"",P1099/O1099))</f>
        <v>0.355217551755827</v>
      </c>
      <c r="Z1099" s="1" t="str">
        <f aca="false">IF($A1099="","",IFERROR(INDEX(物件収支!$E:$E,MATCH($A1099,物件収支!$A:$A,0)),""))</f>
        <v>開示（物件別・費用内訳含む）</v>
      </c>
    </row>
    <row r="1100" customFormat="false" ht="15" hidden="false" customHeight="true" outlineLevel="0" collapsed="false">
      <c r="A1100" s="1" t="str">
        <f aca="false">IF(物件マスタ!A1100="","",物件マスタ!A1100)</f>
        <v>HLC-014</v>
      </c>
      <c r="B1100" s="1" t="str">
        <f aca="false">IF($A1100="","",物件マスタ!B1100)</f>
        <v>HLC</v>
      </c>
      <c r="C1100" s="1" t="str">
        <f aca="false">IF($A1100="","",IFERROR(INDEX(法人マスタ!$C:$C,MATCH($B1100,法人マスタ!$A:$A,0)),""))</f>
        <v>ヒューリックリート投資法人</v>
      </c>
      <c r="D1100" s="1" t="str">
        <f aca="false">IF($A1100="","",物件マスタ!C1100)</f>
        <v>ヒューリック神保町ビル</v>
      </c>
      <c r="E1100" s="1" t="str">
        <f aca="false">IF($A1100="","",物件マスタ!H1100)</f>
        <v>都心5区</v>
      </c>
      <c r="F1100" s="53" t="n">
        <f aca="false">IF($A1100="","",物件マスタ!P1100)</f>
        <v>32752</v>
      </c>
      <c r="G1100" s="1" t="n">
        <f aca="false">IF($A1100="","",物件マスタ!Q1100)</f>
        <v>36.9</v>
      </c>
      <c r="H1100" s="1" t="n">
        <f aca="false">IF($A1100="","",物件マスタ!L1100)</f>
        <v>0</v>
      </c>
      <c r="I1100" s="1" t="n">
        <f aca="false">IF($A1100="","",物件マスタ!M1100)</f>
        <v>1561.38</v>
      </c>
      <c r="J1100" s="1" t="n">
        <f aca="false">IF($A1100="","",物件マスタ!S1100)</f>
        <v>1460</v>
      </c>
      <c r="K1100" s="1" t="n">
        <f aca="false">IF($A1100="","",物件マスタ!U1100)</f>
        <v>1760</v>
      </c>
      <c r="L1100" s="1" t="n">
        <f aca="false">IF($A1100="","",物件マスタ!W1100)</f>
        <v>1</v>
      </c>
      <c r="M1100" s="1" t="str">
        <f aca="false">IF($A1100="","",IFERROR(INDEX(法人マスタ!$H:$H,MATCH($B1100,法人マスタ!$A:$A,0)),""))</f>
        <v>2026年2月期（第24期）</v>
      </c>
      <c r="N1100" s="1" t="n">
        <f aca="false">IF($A1100="","",SUMIFS(物件収支!$D:$D,物件収支!$A:$A,$A1100,物件収支!$C:$C,$M1100))</f>
        <v>6</v>
      </c>
      <c r="O1100" s="1" t="n">
        <f aca="false">IF($A1100="","",SUMIFS(物件収支!$F:$F,物件収支!$A:$A,$A1100,物件収支!$C:$C,$M1100))</f>
        <v>46550</v>
      </c>
      <c r="P1100" s="1" t="n">
        <f aca="false">IF($A1100="","",SUMIFS(物件収支!$I:$I,物件収支!$A:$A,$A1100,物件収支!$C:$C,$M1100))</f>
        <v>18120</v>
      </c>
      <c r="Q1100" s="1" t="n">
        <f aca="false">IF($A1100="","",SUMIFS(物件収支!$O:$O,物件収支!$A:$A,$A1100,物件収支!$C:$C,$M1100))</f>
        <v>5600</v>
      </c>
      <c r="R1100" s="1" t="n">
        <f aca="false">IF($A1100="","",IF(P1100=0,"",O1100-P1100))</f>
        <v>28430</v>
      </c>
      <c r="S1100" s="1" t="n">
        <f aca="false">IF($A1100="","",IF(R1100="","",R1100+Q1100))</f>
        <v>34030</v>
      </c>
      <c r="T1100" s="1" t="n">
        <f aca="false">IF($A1100="","",IF(OR(S1100="",N1100&lt;=0),"",S1100/1000*12/N1100))</f>
        <v>68.06</v>
      </c>
      <c r="U1100" s="1" t="n">
        <f aca="false">IF($A1100="","",IF(OR(T1100="",J1100=0,J1100=""),"",T1100/J1100))</f>
        <v>0.0466164383561644</v>
      </c>
      <c r="V1100" s="1" t="n">
        <f aca="false">IF($A1100="","",IF(OR(R1100="",N1100&lt;=0,J1100=0,J1100=""),"",(R1100/1000*12/N1100)/J1100))</f>
        <v>0.0389452054794521</v>
      </c>
      <c r="W1100" s="1" t="n">
        <f aca="false">IF($A1100="","",IF(OR(T1100="",K1100=0,K1100=""),"",T1100/K1100))</f>
        <v>0.0386704545454546</v>
      </c>
      <c r="X1100" s="1" t="n">
        <f aca="false">IF($A1100="","",IF(OR(N1100&lt;=0,I1100=0,I1100="",O1100=0),"",O1100*1000/(I1100*0.3025)/N1100))</f>
        <v>16426.0992968465</v>
      </c>
      <c r="Y1100" s="1" t="n">
        <f aca="false">IF($A1100="","",IF(OR(O1100=0,O1100="",P1100=0),"",P1100/O1100))</f>
        <v>0.389258861439313</v>
      </c>
      <c r="Z1100" s="1" t="str">
        <f aca="false">IF($A1100="","",IFERROR(INDEX(物件収支!$E:$E,MATCH($A1100,物件収支!$A:$A,0)),""))</f>
        <v>開示（物件別・費用内訳含む）</v>
      </c>
    </row>
    <row r="1101" customFormat="false" ht="15" hidden="false" customHeight="true" outlineLevel="0" collapsed="false">
      <c r="A1101" s="1" t="str">
        <f aca="false">IF(物件マスタ!A1101="","",物件マスタ!A1101)</f>
        <v>HLC-015</v>
      </c>
      <c r="B1101" s="1" t="str">
        <f aca="false">IF($A1101="","",物件マスタ!B1101)</f>
        <v>HLC</v>
      </c>
      <c r="C1101" s="1" t="str">
        <f aca="false">IF($A1101="","",IFERROR(INDEX(法人マスタ!$C:$C,MATCH($B1101,法人マスタ!$A:$A,0)),""))</f>
        <v>ヒューリックリート投資法人</v>
      </c>
      <c r="D1101" s="1" t="str">
        <f aca="false">IF($A1101="","",物件マスタ!C1101)</f>
        <v>ヒューリック五反田山手通ビル</v>
      </c>
      <c r="E1101" s="1" t="str">
        <f aca="false">IF($A1101="","",物件マスタ!H1101)</f>
        <v>その他東京23区</v>
      </c>
      <c r="F1101" s="53" t="n">
        <f aca="false">IF($A1101="","",物件マスタ!P1101)</f>
        <v>35125</v>
      </c>
      <c r="G1101" s="1" t="n">
        <f aca="false">IF($A1101="","",物件マスタ!Q1101)</f>
        <v>30.4</v>
      </c>
      <c r="H1101" s="1" t="n">
        <f aca="false">IF($A1101="","",物件マスタ!L1101)</f>
        <v>0</v>
      </c>
      <c r="I1101" s="1" t="n">
        <f aca="false">IF($A1101="","",物件マスタ!M1101)</f>
        <v>3276.05</v>
      </c>
      <c r="J1101" s="1" t="n">
        <f aca="false">IF($A1101="","",物件マスタ!S1101)</f>
        <v>3450</v>
      </c>
      <c r="K1101" s="1" t="n">
        <f aca="false">IF($A1101="","",物件マスタ!U1101)</f>
        <v>3420</v>
      </c>
      <c r="L1101" s="1" t="n">
        <f aca="false">IF($A1101="","",物件マスタ!W1101)</f>
        <v>1</v>
      </c>
      <c r="M1101" s="1" t="str">
        <f aca="false">IF($A1101="","",IFERROR(INDEX(法人マスタ!$H:$H,MATCH($B1101,法人マスタ!$A:$A,0)),""))</f>
        <v>2026年2月期（第24期）</v>
      </c>
      <c r="N1101" s="1" t="n">
        <f aca="false">IF($A1101="","",SUMIFS(物件収支!$D:$D,物件収支!$A:$A,$A1101,物件収支!$C:$C,$M1101))</f>
        <v>6</v>
      </c>
      <c r="O1101" s="1" t="n">
        <f aca="false">IF($A1101="","",SUMIFS(物件収支!$F:$F,物件収支!$A:$A,$A1101,物件収支!$C:$C,$M1101))</f>
        <v>106606</v>
      </c>
      <c r="P1101" s="1" t="n">
        <f aca="false">IF($A1101="","",SUMIFS(物件収支!$I:$I,物件収支!$A:$A,$A1101,物件収支!$C:$C,$M1101))</f>
        <v>61532</v>
      </c>
      <c r="Q1101" s="1" t="n">
        <f aca="false">IF($A1101="","",SUMIFS(物件収支!$O:$O,物件収支!$A:$A,$A1101,物件収支!$C:$C,$M1101))</f>
        <v>12626</v>
      </c>
      <c r="R1101" s="1" t="n">
        <f aca="false">IF($A1101="","",IF(P1101=0,"",O1101-P1101))</f>
        <v>45074</v>
      </c>
      <c r="S1101" s="1" t="n">
        <f aca="false">IF($A1101="","",IF(R1101="","",R1101+Q1101))</f>
        <v>57700</v>
      </c>
      <c r="T1101" s="1" t="n">
        <f aca="false">IF($A1101="","",IF(OR(S1101="",N1101&lt;=0),"",S1101/1000*12/N1101))</f>
        <v>115.4</v>
      </c>
      <c r="U1101" s="1" t="n">
        <f aca="false">IF($A1101="","",IF(OR(T1101="",J1101=0,J1101=""),"",T1101/J1101))</f>
        <v>0.0334492753623189</v>
      </c>
      <c r="V1101" s="1" t="n">
        <f aca="false">IF($A1101="","",IF(OR(R1101="",N1101&lt;=0,J1101=0,J1101=""),"",(R1101/1000*12/N1101)/J1101))</f>
        <v>0.0261298550724638</v>
      </c>
      <c r="W1101" s="1" t="n">
        <f aca="false">IF($A1101="","",IF(OR(T1101="",K1101=0,K1101=""),"",T1101/K1101))</f>
        <v>0.0337426900584795</v>
      </c>
      <c r="X1101" s="1" t="n">
        <f aca="false">IF($A1101="","",IF(OR(N1101&lt;=0,I1101=0,I1101="",O1101=0),"",O1101*1000/(I1101*0.3025)/N1101))</f>
        <v>17928.9351976527</v>
      </c>
      <c r="Y1101" s="1" t="n">
        <f aca="false">IF($A1101="","",IF(OR(O1101=0,O1101="",P1101=0),"",P1101/O1101))</f>
        <v>0.577190777254564</v>
      </c>
      <c r="Z1101" s="1" t="str">
        <f aca="false">IF($A1101="","",IFERROR(INDEX(物件収支!$E:$E,MATCH($A1101,物件収支!$A:$A,0)),""))</f>
        <v>開示（物件別・費用内訳含む）</v>
      </c>
    </row>
    <row r="1102" customFormat="false" ht="15" hidden="false" customHeight="true" outlineLevel="0" collapsed="false">
      <c r="A1102" s="1" t="str">
        <f aca="false">IF(物件マスタ!A1102="","",物件マスタ!A1102)</f>
        <v>HLC-016</v>
      </c>
      <c r="B1102" s="1" t="str">
        <f aca="false">IF($A1102="","",物件マスタ!B1102)</f>
        <v>HLC</v>
      </c>
      <c r="C1102" s="1" t="str">
        <f aca="false">IF($A1102="","",IFERROR(INDEX(法人マスタ!$C:$C,MATCH($B1102,法人マスタ!$A:$A,0)),""))</f>
        <v>ヒューリックリート投資法人</v>
      </c>
      <c r="D1102" s="1" t="str">
        <f aca="false">IF($A1102="","",物件マスタ!C1102)</f>
        <v>番町ハウス</v>
      </c>
      <c r="E1102" s="1" t="str">
        <f aca="false">IF($A1102="","",物件マスタ!H1102)</f>
        <v>都心5区</v>
      </c>
      <c r="F1102" s="53" t="n">
        <f aca="false">IF($A1102="","",物件マスタ!P1102)</f>
        <v>32721</v>
      </c>
      <c r="G1102" s="1" t="n">
        <f aca="false">IF($A1102="","",物件マスタ!Q1102)</f>
        <v>37</v>
      </c>
      <c r="H1102" s="1" t="n">
        <f aca="false">IF($A1102="","",物件マスタ!L1102)</f>
        <v>0</v>
      </c>
      <c r="I1102" s="1" t="n">
        <f aca="false">IF($A1102="","",物件マスタ!M1102)</f>
        <v>1981.83</v>
      </c>
      <c r="J1102" s="1" t="n">
        <f aca="false">IF($A1102="","",物件マスタ!S1102)</f>
        <v>2750</v>
      </c>
      <c r="K1102" s="1" t="n">
        <f aca="false">IF($A1102="","",物件マスタ!U1102)</f>
        <v>3610</v>
      </c>
      <c r="L1102" s="1" t="n">
        <f aca="false">IF($A1102="","",物件マスタ!W1102)</f>
        <v>1</v>
      </c>
      <c r="M1102" s="1" t="str">
        <f aca="false">IF($A1102="","",IFERROR(INDEX(法人マスタ!$H:$H,MATCH($B1102,法人マスタ!$A:$A,0)),""))</f>
        <v>2026年2月期（第24期）</v>
      </c>
      <c r="N1102" s="1" t="n">
        <f aca="false">IF($A1102="","",SUMIFS(物件収支!$D:$D,物件収支!$A:$A,$A1102,物件収支!$C:$C,$M1102))</f>
        <v>6</v>
      </c>
      <c r="O1102" s="1" t="n">
        <f aca="false">IF($A1102="","",SUMIFS(物件収支!$F:$F,物件収支!$A:$A,$A1102,物件収支!$C:$C,$M1102))</f>
        <v>0</v>
      </c>
      <c r="P1102" s="1" t="n">
        <f aca="false">IF($A1102="","",SUMIFS(物件収支!$I:$I,物件収支!$A:$A,$A1102,物件収支!$C:$C,$M1102))</f>
        <v>0</v>
      </c>
      <c r="Q1102" s="1" t="n">
        <f aca="false">IF($A1102="","",SUMIFS(物件収支!$O:$O,物件収支!$A:$A,$A1102,物件収支!$C:$C,$M1102))</f>
        <v>0</v>
      </c>
      <c r="R1102" s="1" t="str">
        <f aca="false">IF($A1102="","",IF(P1102=0,"",O1102-P1102))</f>
        <v/>
      </c>
      <c r="S1102" s="1" t="str">
        <f aca="false">IF($A1102="","",IF(R1102="","",R1102+Q1102))</f>
        <v/>
      </c>
      <c r="T1102" s="1" t="str">
        <f aca="false">IF($A1102="","",IF(OR(S1102="",N1102&lt;=0),"",S1102/1000*12/N1102))</f>
        <v/>
      </c>
      <c r="U1102" s="1" t="str">
        <f aca="false">IF($A1102="","",IF(OR(T1102="",J1102=0,J1102=""),"",T1102/J1102))</f>
        <v/>
      </c>
      <c r="V1102" s="1" t="str">
        <f aca="false">IF($A1102="","",IF(OR(R1102="",N1102&lt;=0,J1102=0,J1102=""),"",(R1102/1000*12/N1102)/J1102))</f>
        <v/>
      </c>
      <c r="W1102" s="1" t="str">
        <f aca="false">IF($A1102="","",IF(OR(T1102="",K1102=0,K1102=""),"",T1102/K1102))</f>
        <v/>
      </c>
      <c r="X1102" s="1" t="str">
        <f aca="false">IF($A1102="","",IF(OR(N1102&lt;=0,I1102=0,I1102="",O1102=0),"",O1102*1000/(I1102*0.3025)/N1102))</f>
        <v/>
      </c>
      <c r="Y1102" s="1" t="str">
        <f aca="false">IF($A1102="","",IF(OR(O1102=0,O1102="",P1102=0),"",P1102/O1102))</f>
        <v/>
      </c>
      <c r="Z1102" s="1" t="str">
        <f aca="false">IF($A1102="","",IFERROR(INDEX(物件収支!$E:$E,MATCH($A1102,物件収支!$A:$A,0)),""))</f>
        <v>非開示（NOIのみ開示）</v>
      </c>
    </row>
    <row r="1103" customFormat="false" ht="15" hidden="false" customHeight="true" outlineLevel="0" collapsed="false">
      <c r="A1103" s="1" t="str">
        <f aca="false">IF(物件マスタ!A1103="","",物件マスタ!A1103)</f>
        <v>HLC-017</v>
      </c>
      <c r="B1103" s="1" t="str">
        <f aca="false">IF($A1103="","",物件マスタ!B1103)</f>
        <v>HLC</v>
      </c>
      <c r="C1103" s="1" t="str">
        <f aca="false">IF($A1103="","",IFERROR(INDEX(法人マスタ!$C:$C,MATCH($B1103,法人マスタ!$A:$A,0)),""))</f>
        <v>ヒューリックリート投資法人</v>
      </c>
      <c r="D1103" s="1" t="str">
        <f aca="false">IF($A1103="","",物件マスタ!C1103)</f>
        <v>恵比寿南ビル</v>
      </c>
      <c r="E1103" s="1" t="str">
        <f aca="false">IF($A1103="","",物件マスタ!H1103)</f>
        <v>都心5区</v>
      </c>
      <c r="F1103" s="53" t="n">
        <f aca="false">IF($A1103="","",物件マスタ!P1103)</f>
        <v>33848</v>
      </c>
      <c r="G1103" s="1" t="n">
        <f aca="false">IF($A1103="","",物件マスタ!Q1103)</f>
        <v>33.9</v>
      </c>
      <c r="H1103" s="1" t="n">
        <f aca="false">IF($A1103="","",物件マスタ!L1103)</f>
        <v>0</v>
      </c>
      <c r="I1103" s="1" t="n">
        <f aca="false">IF($A1103="","",物件マスタ!M1103)</f>
        <v>1629.09</v>
      </c>
      <c r="J1103" s="1" t="n">
        <f aca="false">IF($A1103="","",物件マスタ!S1103)</f>
        <v>2420</v>
      </c>
      <c r="K1103" s="1" t="n">
        <f aca="false">IF($A1103="","",物件マスタ!U1103)</f>
        <v>2610</v>
      </c>
      <c r="L1103" s="1" t="n">
        <f aca="false">IF($A1103="","",物件マスタ!W1103)</f>
        <v>1</v>
      </c>
      <c r="M1103" s="1" t="str">
        <f aca="false">IF($A1103="","",IFERROR(INDEX(法人マスタ!$H:$H,MATCH($B1103,法人マスタ!$A:$A,0)),""))</f>
        <v>2026年2月期（第24期）</v>
      </c>
      <c r="N1103" s="1" t="n">
        <f aca="false">IF($A1103="","",SUMIFS(物件収支!$D:$D,物件収支!$A:$A,$A1103,物件収支!$C:$C,$M1103))</f>
        <v>6</v>
      </c>
      <c r="O1103" s="1" t="n">
        <f aca="false">IF($A1103="","",SUMIFS(物件収支!$F:$F,物件収支!$A:$A,$A1103,物件収支!$C:$C,$M1103))</f>
        <v>0</v>
      </c>
      <c r="P1103" s="1" t="n">
        <f aca="false">IF($A1103="","",SUMIFS(物件収支!$I:$I,物件収支!$A:$A,$A1103,物件収支!$C:$C,$M1103))</f>
        <v>0</v>
      </c>
      <c r="Q1103" s="1" t="n">
        <f aca="false">IF($A1103="","",SUMIFS(物件収支!$O:$O,物件収支!$A:$A,$A1103,物件収支!$C:$C,$M1103))</f>
        <v>0</v>
      </c>
      <c r="R1103" s="1" t="str">
        <f aca="false">IF($A1103="","",IF(P1103=0,"",O1103-P1103))</f>
        <v/>
      </c>
      <c r="S1103" s="1" t="str">
        <f aca="false">IF($A1103="","",IF(R1103="","",R1103+Q1103))</f>
        <v/>
      </c>
      <c r="T1103" s="1" t="str">
        <f aca="false">IF($A1103="","",IF(OR(S1103="",N1103&lt;=0),"",S1103/1000*12/N1103))</f>
        <v/>
      </c>
      <c r="U1103" s="1" t="str">
        <f aca="false">IF($A1103="","",IF(OR(T1103="",J1103=0,J1103=""),"",T1103/J1103))</f>
        <v/>
      </c>
      <c r="V1103" s="1" t="str">
        <f aca="false">IF($A1103="","",IF(OR(R1103="",N1103&lt;=0,J1103=0,J1103=""),"",(R1103/1000*12/N1103)/J1103))</f>
        <v/>
      </c>
      <c r="W1103" s="1" t="str">
        <f aca="false">IF($A1103="","",IF(OR(T1103="",K1103=0,K1103=""),"",T1103/K1103))</f>
        <v/>
      </c>
      <c r="X1103" s="1" t="str">
        <f aca="false">IF($A1103="","",IF(OR(N1103&lt;=0,I1103=0,I1103="",O1103=0),"",O1103*1000/(I1103*0.3025)/N1103))</f>
        <v/>
      </c>
      <c r="Y1103" s="1" t="str">
        <f aca="false">IF($A1103="","",IF(OR(O1103=0,O1103="",P1103=0),"",P1103/O1103))</f>
        <v/>
      </c>
      <c r="Z1103" s="1" t="str">
        <f aca="false">IF($A1103="","",IFERROR(INDEX(物件収支!$E:$E,MATCH($A1103,物件収支!$A:$A,0)),""))</f>
        <v>非開示（NOIのみ開示）</v>
      </c>
    </row>
    <row r="1104" customFormat="false" ht="15" hidden="false" customHeight="true" outlineLevel="0" collapsed="false">
      <c r="A1104" s="1" t="str">
        <f aca="false">IF(物件マスタ!A1104="","",物件マスタ!A1104)</f>
        <v>HLC-018</v>
      </c>
      <c r="B1104" s="1" t="str">
        <f aca="false">IF($A1104="","",物件マスタ!B1104)</f>
        <v>HLC</v>
      </c>
      <c r="C1104" s="1" t="str">
        <f aca="false">IF($A1104="","",IFERROR(INDEX(法人マスタ!$C:$C,MATCH($B1104,法人マスタ!$A:$A,0)),""))</f>
        <v>ヒューリックリート投資法人</v>
      </c>
      <c r="D1104" s="1" t="str">
        <f aca="false">IF($A1104="","",物件マスタ!C1104)</f>
        <v>ヒューリック飯田橋ビル</v>
      </c>
      <c r="E1104" s="1" t="str">
        <f aca="false">IF($A1104="","",物件マスタ!H1104)</f>
        <v>都心5区</v>
      </c>
      <c r="F1104" s="53" t="n">
        <f aca="false">IF($A1104="","",物件マスタ!P1104)</f>
        <v>33270</v>
      </c>
      <c r="G1104" s="1" t="n">
        <f aca="false">IF($A1104="","",物件マスタ!Q1104)</f>
        <v>35.5</v>
      </c>
      <c r="H1104" s="1" t="n">
        <f aca="false">IF($A1104="","",物件マスタ!L1104)</f>
        <v>0</v>
      </c>
      <c r="I1104" s="1" t="n">
        <f aca="false">IF($A1104="","",物件マスタ!M1104)</f>
        <v>1431.94</v>
      </c>
      <c r="J1104" s="1" t="n">
        <f aca="false">IF($A1104="","",物件マスタ!S1104)</f>
        <v>1450</v>
      </c>
      <c r="K1104" s="1" t="n">
        <f aca="false">IF($A1104="","",物件マスタ!U1104)</f>
        <v>1390</v>
      </c>
      <c r="L1104" s="1" t="n">
        <f aca="false">IF($A1104="","",物件マスタ!W1104)</f>
        <v>0.885</v>
      </c>
      <c r="M1104" s="1" t="str">
        <f aca="false">IF($A1104="","",IFERROR(INDEX(法人マスタ!$H:$H,MATCH($B1104,法人マスタ!$A:$A,0)),""))</f>
        <v>2026年2月期（第24期）</v>
      </c>
      <c r="N1104" s="1" t="n">
        <f aca="false">IF($A1104="","",SUMIFS(物件収支!$D:$D,物件収支!$A:$A,$A1104,物件収支!$C:$C,$M1104))</f>
        <v>6</v>
      </c>
      <c r="O1104" s="1" t="n">
        <f aca="false">IF($A1104="","",SUMIFS(物件収支!$F:$F,物件収支!$A:$A,$A1104,物件収支!$C:$C,$M1104))</f>
        <v>45811</v>
      </c>
      <c r="P1104" s="1" t="n">
        <f aca="false">IF($A1104="","",SUMIFS(物件収支!$I:$I,物件収支!$A:$A,$A1104,物件収支!$C:$C,$M1104))</f>
        <v>22881</v>
      </c>
      <c r="Q1104" s="1" t="n">
        <f aca="false">IF($A1104="","",SUMIFS(物件収支!$O:$O,物件収支!$A:$A,$A1104,物件収支!$C:$C,$M1104))</f>
        <v>7253</v>
      </c>
      <c r="R1104" s="1" t="n">
        <f aca="false">IF($A1104="","",IF(P1104=0,"",O1104-P1104))</f>
        <v>22930</v>
      </c>
      <c r="S1104" s="1" t="n">
        <f aca="false">IF($A1104="","",IF(R1104="","",R1104+Q1104))</f>
        <v>30183</v>
      </c>
      <c r="T1104" s="1" t="n">
        <f aca="false">IF($A1104="","",IF(OR(S1104="",N1104&lt;=0),"",S1104/1000*12/N1104))</f>
        <v>60.366</v>
      </c>
      <c r="U1104" s="1" t="n">
        <f aca="false">IF($A1104="","",IF(OR(T1104="",J1104=0,J1104=""),"",T1104/J1104))</f>
        <v>0.041631724137931</v>
      </c>
      <c r="V1104" s="1" t="n">
        <f aca="false">IF($A1104="","",IF(OR(R1104="",N1104&lt;=0,J1104=0,J1104=""),"",(R1104/1000*12/N1104)/J1104))</f>
        <v>0.0316275862068966</v>
      </c>
      <c r="W1104" s="1" t="n">
        <f aca="false">IF($A1104="","",IF(OR(T1104="",K1104=0,K1104=""),"",T1104/K1104))</f>
        <v>0.0434287769784173</v>
      </c>
      <c r="X1104" s="1" t="n">
        <f aca="false">IF($A1104="","",IF(OR(N1104&lt;=0,I1104=0,I1104="",O1104=0),"",O1104*1000/(I1104*0.3025)/N1104))</f>
        <v>17626.5907689393</v>
      </c>
      <c r="Y1104" s="1" t="n">
        <f aca="false">IF($A1104="","",IF(OR(O1104=0,O1104="",P1104=0),"",P1104/O1104))</f>
        <v>0.499465193949052</v>
      </c>
      <c r="Z1104" s="1" t="str">
        <f aca="false">IF($A1104="","",IFERROR(INDEX(物件収支!$E:$E,MATCH($A1104,物件収支!$A:$A,0)),""))</f>
        <v>開示（物件別・費用内訳含む）</v>
      </c>
    </row>
    <row r="1105" customFormat="false" ht="15" hidden="false" customHeight="true" outlineLevel="0" collapsed="false">
      <c r="A1105" s="1" t="str">
        <f aca="false">IF(物件マスタ!A1105="","",物件マスタ!A1105)</f>
        <v>HLC-019</v>
      </c>
      <c r="B1105" s="1" t="str">
        <f aca="false">IF($A1105="","",物件マスタ!B1105)</f>
        <v>HLC</v>
      </c>
      <c r="C1105" s="1" t="str">
        <f aca="false">IF($A1105="","",IFERROR(INDEX(法人マスタ!$C:$C,MATCH($B1105,法人マスタ!$A:$A,0)),""))</f>
        <v>ヒューリックリート投資法人</v>
      </c>
      <c r="D1105" s="1" t="str">
        <f aca="false">IF($A1105="","",物件マスタ!C1105)</f>
        <v>ヒューリック浅草橋ビル</v>
      </c>
      <c r="E1105" s="1" t="str">
        <f aca="false">IF($A1105="","",物件マスタ!H1105)</f>
        <v>その他東京23区</v>
      </c>
      <c r="F1105" s="53" t="n">
        <f aca="false">IF($A1105="","",物件マスタ!P1105)</f>
        <v>41306</v>
      </c>
      <c r="G1105" s="1" t="n">
        <f aca="false">IF($A1105="","",物件マスタ!Q1105)</f>
        <v>13.5</v>
      </c>
      <c r="H1105" s="1" t="n">
        <f aca="false">IF($A1105="","",物件マスタ!L1105)</f>
        <v>0</v>
      </c>
      <c r="I1105" s="1" t="n">
        <f aca="false">IF($A1105="","",物件マスタ!M1105)</f>
        <v>5280.72</v>
      </c>
      <c r="J1105" s="1" t="n">
        <f aca="false">IF($A1105="","",物件マスタ!S1105)</f>
        <v>4750</v>
      </c>
      <c r="K1105" s="1" t="n">
        <f aca="false">IF($A1105="","",物件マスタ!U1105)</f>
        <v>4810</v>
      </c>
      <c r="L1105" s="1" t="n">
        <f aca="false">IF($A1105="","",物件マスタ!W1105)</f>
        <v>1</v>
      </c>
      <c r="M1105" s="1" t="str">
        <f aca="false">IF($A1105="","",IFERROR(INDEX(法人マスタ!$H:$H,MATCH($B1105,法人マスタ!$A:$A,0)),""))</f>
        <v>2026年2月期（第24期）</v>
      </c>
      <c r="N1105" s="1" t="n">
        <f aca="false">IF($A1105="","",SUMIFS(物件収支!$D:$D,物件収支!$A:$A,$A1105,物件収支!$C:$C,$M1105))</f>
        <v>6</v>
      </c>
      <c r="O1105" s="1" t="n">
        <f aca="false">IF($A1105="","",SUMIFS(物件収支!$F:$F,物件収支!$A:$A,$A1105,物件収支!$C:$C,$M1105))</f>
        <v>285696</v>
      </c>
      <c r="P1105" s="1" t="n">
        <f aca="false">IF($A1105="","",SUMIFS(物件収支!$I:$I,物件収支!$A:$A,$A1105,物件収支!$C:$C,$M1105))</f>
        <v>212982</v>
      </c>
      <c r="Q1105" s="1" t="n">
        <f aca="false">IF($A1105="","",SUMIFS(物件収支!$O:$O,物件収支!$A:$A,$A1105,物件収支!$C:$C,$M1105))</f>
        <v>92890</v>
      </c>
      <c r="R1105" s="1" t="n">
        <f aca="false">IF($A1105="","",IF(P1105=0,"",O1105-P1105))</f>
        <v>72714</v>
      </c>
      <c r="S1105" s="1" t="n">
        <f aca="false">IF($A1105="","",IF(R1105="","",R1105+Q1105))</f>
        <v>165604</v>
      </c>
      <c r="T1105" s="1" t="n">
        <f aca="false">IF($A1105="","",IF(OR(S1105="",N1105&lt;=0),"",S1105/1000*12/N1105))</f>
        <v>331.208</v>
      </c>
      <c r="U1105" s="1" t="n">
        <f aca="false">IF($A1105="","",IF(OR(T1105="",J1105=0,J1105=""),"",T1105/J1105))</f>
        <v>0.069728</v>
      </c>
      <c r="V1105" s="1" t="n">
        <f aca="false">IF($A1105="","",IF(OR(R1105="",N1105&lt;=0,J1105=0,J1105=""),"",(R1105/1000*12/N1105)/J1105))</f>
        <v>0.0306164210526316</v>
      </c>
      <c r="W1105" s="1" t="n">
        <f aca="false">IF($A1105="","",IF(OR(T1105="",K1105=0,K1105=""),"",T1105/K1105))</f>
        <v>0.0688582120582121</v>
      </c>
      <c r="X1105" s="1" t="n">
        <f aca="false">IF($A1105="","",IF(OR(N1105&lt;=0,I1105=0,I1105="",O1105=0),"",O1105*1000/(I1105*0.3025)/N1105))</f>
        <v>29808.1065579712</v>
      </c>
      <c r="Y1105" s="1" t="n">
        <f aca="false">IF($A1105="","",IF(OR(O1105=0,O1105="",P1105=0),"",P1105/O1105))</f>
        <v>0.745484711021505</v>
      </c>
      <c r="Z1105" s="1" t="str">
        <f aca="false">IF($A1105="","",IFERROR(INDEX(物件収支!$E:$E,MATCH($A1105,物件収支!$A:$A,0)),""))</f>
        <v>開示（物件別・費用内訳含む）</v>
      </c>
    </row>
    <row r="1106" customFormat="false" ht="15" hidden="false" customHeight="true" outlineLevel="0" collapsed="false">
      <c r="A1106" s="1" t="str">
        <f aca="false">IF(物件マスタ!A1106="","",物件マスタ!A1106)</f>
        <v>HLC-020</v>
      </c>
      <c r="B1106" s="1" t="str">
        <f aca="false">IF($A1106="","",物件マスタ!B1106)</f>
        <v>HLC</v>
      </c>
      <c r="C1106" s="1" t="str">
        <f aca="false">IF($A1106="","",IFERROR(INDEX(法人マスタ!$C:$C,MATCH($B1106,法人マスタ!$A:$A,0)),""))</f>
        <v>ヒューリックリート投資法人</v>
      </c>
      <c r="D1106" s="1" t="str">
        <f aca="false">IF($A1106="","",物件マスタ!C1106)</f>
        <v>ヒューリック恵比寿ビル</v>
      </c>
      <c r="E1106" s="1" t="str">
        <f aca="false">IF($A1106="","",物件マスタ!H1106)</f>
        <v>都心5区</v>
      </c>
      <c r="F1106" s="53" t="n">
        <f aca="false">IF($A1106="","",物件マスタ!P1106)</f>
        <v>33635</v>
      </c>
      <c r="G1106" s="1" t="n">
        <f aca="false">IF($A1106="","",物件マスタ!Q1106)</f>
        <v>34.5</v>
      </c>
      <c r="H1106" s="1" t="n">
        <f aca="false">IF($A1106="","",物件マスタ!L1106)</f>
        <v>0</v>
      </c>
      <c r="I1106" s="1" t="n">
        <f aca="false">IF($A1106="","",物件マスタ!M1106)</f>
        <v>1059.22</v>
      </c>
      <c r="J1106" s="1" t="n">
        <f aca="false">IF($A1106="","",物件マスタ!S1106)</f>
        <v>1275</v>
      </c>
      <c r="K1106" s="1" t="n">
        <f aca="false">IF($A1106="","",物件マスタ!U1106)</f>
        <v>1550</v>
      </c>
      <c r="L1106" s="1" t="n">
        <f aca="false">IF($A1106="","",物件マスタ!W1106)</f>
        <v>1</v>
      </c>
      <c r="M1106" s="1" t="str">
        <f aca="false">IF($A1106="","",IFERROR(INDEX(法人マスタ!$H:$H,MATCH($B1106,法人マスタ!$A:$A,0)),""))</f>
        <v>2026年2月期（第24期）</v>
      </c>
      <c r="N1106" s="1" t="n">
        <f aca="false">IF($A1106="","",SUMIFS(物件収支!$D:$D,物件収支!$A:$A,$A1106,物件収支!$C:$C,$M1106))</f>
        <v>6</v>
      </c>
      <c r="O1106" s="1" t="n">
        <f aca="false">IF($A1106="","",SUMIFS(物件収支!$F:$F,物件収支!$A:$A,$A1106,物件収支!$C:$C,$M1106))</f>
        <v>39812</v>
      </c>
      <c r="P1106" s="1" t="n">
        <f aca="false">IF($A1106="","",SUMIFS(物件収支!$I:$I,物件収支!$A:$A,$A1106,物件収支!$C:$C,$M1106))</f>
        <v>12215</v>
      </c>
      <c r="Q1106" s="1" t="n">
        <f aca="false">IF($A1106="","",SUMIFS(物件収支!$O:$O,物件収支!$A:$A,$A1106,物件収支!$C:$C,$M1106))</f>
        <v>1811</v>
      </c>
      <c r="R1106" s="1" t="n">
        <f aca="false">IF($A1106="","",IF(P1106=0,"",O1106-P1106))</f>
        <v>27597</v>
      </c>
      <c r="S1106" s="1" t="n">
        <f aca="false">IF($A1106="","",IF(R1106="","",R1106+Q1106))</f>
        <v>29408</v>
      </c>
      <c r="T1106" s="1" t="n">
        <f aca="false">IF($A1106="","",IF(OR(S1106="",N1106&lt;=0),"",S1106/1000*12/N1106))</f>
        <v>58.816</v>
      </c>
      <c r="U1106" s="1" t="n">
        <f aca="false">IF($A1106="","",IF(OR(T1106="",J1106=0,J1106=""),"",T1106/J1106))</f>
        <v>0.0461301960784314</v>
      </c>
      <c r="V1106" s="1" t="n">
        <f aca="false">IF($A1106="","",IF(OR(R1106="",N1106&lt;=0,J1106=0,J1106=""),"",(R1106/1000*12/N1106)/J1106))</f>
        <v>0.0432894117647059</v>
      </c>
      <c r="W1106" s="1" t="n">
        <f aca="false">IF($A1106="","",IF(OR(T1106="",K1106=0,K1106=""),"",T1106/K1106))</f>
        <v>0.0379458064516129</v>
      </c>
      <c r="X1106" s="1" t="n">
        <f aca="false">IF($A1106="","",IF(OR(N1106&lt;=0,I1106=0,I1106="",O1106=0),"",O1106*1000/(I1106*0.3025)/N1106))</f>
        <v>20708.6216516827</v>
      </c>
      <c r="Y1106" s="1" t="n">
        <f aca="false">IF($A1106="","",IF(OR(O1106=0,O1106="",P1106=0),"",P1106/O1106))</f>
        <v>0.306817040088416</v>
      </c>
      <c r="Z1106" s="1" t="str">
        <f aca="false">IF($A1106="","",IFERROR(INDEX(物件収支!$E:$E,MATCH($A1106,物件収支!$A:$A,0)),""))</f>
        <v>開示（物件別・費用内訳含む）</v>
      </c>
    </row>
    <row r="1107" customFormat="false" ht="15" hidden="false" customHeight="true" outlineLevel="0" collapsed="false">
      <c r="A1107" s="1" t="str">
        <f aca="false">IF(物件マスタ!A1107="","",物件マスタ!A1107)</f>
        <v>HLC-021</v>
      </c>
      <c r="B1107" s="1" t="str">
        <f aca="false">IF($A1107="","",物件マスタ!B1107)</f>
        <v>HLC</v>
      </c>
      <c r="C1107" s="1" t="str">
        <f aca="false">IF($A1107="","",IFERROR(INDEX(法人マスタ!$C:$C,MATCH($B1107,法人マスタ!$A:$A,0)),""))</f>
        <v>ヒューリックリート投資法人</v>
      </c>
      <c r="D1107" s="1" t="str">
        <f aca="false">IF($A1107="","",物件マスタ!C1107)</f>
        <v>ヒューリック両国ビル</v>
      </c>
      <c r="E1107" s="1" t="str">
        <f aca="false">IF($A1107="","",物件マスタ!H1107)</f>
        <v>その他東京23区</v>
      </c>
      <c r="F1107" s="53" t="n">
        <f aca="false">IF($A1107="","",物件マスタ!P1107)</f>
        <v>40179</v>
      </c>
      <c r="G1107" s="1" t="n">
        <f aca="false">IF($A1107="","",物件マスタ!Q1107)</f>
        <v>16.6</v>
      </c>
      <c r="H1107" s="1" t="n">
        <f aca="false">IF($A1107="","",物件マスタ!L1107)</f>
        <v>0</v>
      </c>
      <c r="I1107" s="1" t="n">
        <f aca="false">IF($A1107="","",物件マスタ!M1107)</f>
        <v>4569.34</v>
      </c>
      <c r="J1107" s="1" t="n">
        <f aca="false">IF($A1107="","",物件マスタ!S1107)</f>
        <v>5610</v>
      </c>
      <c r="K1107" s="1" t="n">
        <f aca="false">IF($A1107="","",物件マスタ!U1107)</f>
        <v>6102</v>
      </c>
      <c r="L1107" s="1" t="n">
        <f aca="false">IF($A1107="","",物件マスタ!W1107)</f>
        <v>0.891</v>
      </c>
      <c r="M1107" s="1" t="str">
        <f aca="false">IF($A1107="","",IFERROR(INDEX(法人マスタ!$H:$H,MATCH($B1107,法人マスタ!$A:$A,0)),""))</f>
        <v>2026年2月期（第24期）</v>
      </c>
      <c r="N1107" s="1" t="n">
        <f aca="false">IF($A1107="","",SUMIFS(物件収支!$D:$D,物件収支!$A:$A,$A1107,物件収支!$C:$C,$M1107))</f>
        <v>6</v>
      </c>
      <c r="O1107" s="1" t="n">
        <f aca="false">IF($A1107="","",SUMIFS(物件収支!$F:$F,物件収支!$A:$A,$A1107,物件収支!$C:$C,$M1107))</f>
        <v>146081</v>
      </c>
      <c r="P1107" s="1" t="n">
        <f aca="false">IF($A1107="","",SUMIFS(物件収支!$I:$I,物件収支!$A:$A,$A1107,物件収支!$C:$C,$M1107))</f>
        <v>73124</v>
      </c>
      <c r="Q1107" s="1" t="n">
        <f aca="false">IF($A1107="","",SUMIFS(物件収支!$O:$O,物件収支!$A:$A,$A1107,物件収支!$C:$C,$M1107))</f>
        <v>32967</v>
      </c>
      <c r="R1107" s="1" t="n">
        <f aca="false">IF($A1107="","",IF(P1107=0,"",O1107-P1107))</f>
        <v>72957</v>
      </c>
      <c r="S1107" s="1" t="n">
        <f aca="false">IF($A1107="","",IF(R1107="","",R1107+Q1107))</f>
        <v>105924</v>
      </c>
      <c r="T1107" s="1" t="n">
        <f aca="false">IF($A1107="","",IF(OR(S1107="",N1107&lt;=0),"",S1107/1000*12/N1107))</f>
        <v>211.848</v>
      </c>
      <c r="U1107" s="1" t="n">
        <f aca="false">IF($A1107="","",IF(OR(T1107="",J1107=0,J1107=""),"",T1107/J1107))</f>
        <v>0.0377625668449198</v>
      </c>
      <c r="V1107" s="1" t="n">
        <f aca="false">IF($A1107="","",IF(OR(R1107="",N1107&lt;=0,J1107=0,J1107=""),"",(R1107/1000*12/N1107)/J1107))</f>
        <v>0.0260096256684492</v>
      </c>
      <c r="W1107" s="1" t="n">
        <f aca="false">IF($A1107="","",IF(OR(T1107="",K1107=0,K1107=""),"",T1107/K1107))</f>
        <v>0.0347177974434612</v>
      </c>
      <c r="X1107" s="1" t="n">
        <f aca="false">IF($A1107="","",IF(OR(N1107&lt;=0,I1107=0,I1107="",O1107=0),"",O1107*1000/(I1107*0.3025)/N1107))</f>
        <v>17614.228630182</v>
      </c>
      <c r="Y1107" s="1" t="n">
        <f aca="false">IF($A1107="","",IF(OR(O1107=0,O1107="",P1107=0),"",P1107/O1107))</f>
        <v>0.50057160068729</v>
      </c>
      <c r="Z1107" s="1" t="str">
        <f aca="false">IF($A1107="","",IFERROR(INDEX(物件収支!$E:$E,MATCH($A1107,物件収支!$A:$A,0)),""))</f>
        <v>開示（物件別・費用内訳含む）</v>
      </c>
    </row>
    <row r="1108" customFormat="false" ht="15" hidden="false" customHeight="true" outlineLevel="0" collapsed="false">
      <c r="A1108" s="1" t="str">
        <f aca="false">IF(物件マスタ!A1108="","",物件マスタ!A1108)</f>
        <v>HLC-022</v>
      </c>
      <c r="B1108" s="1" t="str">
        <f aca="false">IF($A1108="","",物件マスタ!B1108)</f>
        <v>HLC</v>
      </c>
      <c r="C1108" s="1" t="str">
        <f aca="false">IF($A1108="","",IFERROR(INDEX(法人マスタ!$C:$C,MATCH($B1108,法人マスタ!$A:$A,0)),""))</f>
        <v>ヒューリックリート投資法人</v>
      </c>
      <c r="D1108" s="1" t="str">
        <f aca="false">IF($A1108="","",物件マスタ!C1108)</f>
        <v>ヒューリック浅草橋江戸通</v>
      </c>
      <c r="E1108" s="1" t="str">
        <f aca="false">IF($A1108="","",物件マスタ!H1108)</f>
        <v>その他東京23区</v>
      </c>
      <c r="F1108" s="53" t="n">
        <f aca="false">IF($A1108="","",物件マスタ!P1108)</f>
        <v>42248</v>
      </c>
      <c r="G1108" s="1" t="n">
        <f aca="false">IF($A1108="","",物件マスタ!Q1108)</f>
        <v>10.9</v>
      </c>
      <c r="H1108" s="1" t="n">
        <f aca="false">IF($A1108="","",物件マスタ!L1108)</f>
        <v>0</v>
      </c>
      <c r="I1108" s="1" t="n">
        <f aca="false">IF($A1108="","",物件マスタ!M1108)</f>
        <v>3956.73</v>
      </c>
      <c r="J1108" s="1" t="n">
        <f aca="false">IF($A1108="","",物件マスタ!S1108)</f>
        <v>5420</v>
      </c>
      <c r="K1108" s="1" t="n">
        <f aca="false">IF($A1108="","",物件マスタ!U1108)</f>
        <v>5895</v>
      </c>
      <c r="L1108" s="1" t="n">
        <f aca="false">IF($A1108="","",物件マスタ!W1108)</f>
        <v>0.983</v>
      </c>
      <c r="M1108" s="1" t="str">
        <f aca="false">IF($A1108="","",IFERROR(INDEX(法人マスタ!$H:$H,MATCH($B1108,法人マスタ!$A:$A,0)),""))</f>
        <v>2026年2月期（第24期）</v>
      </c>
      <c r="N1108" s="1" t="n">
        <f aca="false">IF($A1108="","",SUMIFS(物件収支!$D:$D,物件収支!$A:$A,$A1108,物件収支!$C:$C,$M1108))</f>
        <v>6</v>
      </c>
      <c r="O1108" s="1" t="n">
        <f aca="false">IF($A1108="","",SUMIFS(物件収支!$F:$F,物件収支!$A:$A,$A1108,物件収支!$C:$C,$M1108))</f>
        <v>146410</v>
      </c>
      <c r="P1108" s="1" t="n">
        <f aca="false">IF($A1108="","",SUMIFS(物件収支!$I:$I,物件収支!$A:$A,$A1108,物件収支!$C:$C,$M1108))</f>
        <v>57492</v>
      </c>
      <c r="Q1108" s="1" t="n">
        <f aca="false">IF($A1108="","",SUMIFS(物件収支!$O:$O,物件収支!$A:$A,$A1108,物件収支!$C:$C,$M1108))</f>
        <v>28204</v>
      </c>
      <c r="R1108" s="1" t="n">
        <f aca="false">IF($A1108="","",IF(P1108=0,"",O1108-P1108))</f>
        <v>88918</v>
      </c>
      <c r="S1108" s="1" t="n">
        <f aca="false">IF($A1108="","",IF(R1108="","",R1108+Q1108))</f>
        <v>117122</v>
      </c>
      <c r="T1108" s="1" t="n">
        <f aca="false">IF($A1108="","",IF(OR(S1108="",N1108&lt;=0),"",S1108/1000*12/N1108))</f>
        <v>234.244</v>
      </c>
      <c r="U1108" s="1" t="n">
        <f aca="false">IF($A1108="","",IF(OR(T1108="",J1108=0,J1108=""),"",T1108/J1108))</f>
        <v>0.0432184501845018</v>
      </c>
      <c r="V1108" s="1" t="n">
        <f aca="false">IF($A1108="","",IF(OR(R1108="",N1108&lt;=0,J1108=0,J1108=""),"",(R1108/1000*12/N1108)/J1108))</f>
        <v>0.0328110701107011</v>
      </c>
      <c r="W1108" s="1" t="n">
        <f aca="false">IF($A1108="","",IF(OR(T1108="",K1108=0,K1108=""),"",T1108/K1108))</f>
        <v>0.0397360474978796</v>
      </c>
      <c r="X1108" s="1" t="n">
        <f aca="false">IF($A1108="","",IF(OR(N1108&lt;=0,I1108=0,I1108="",O1108=0),"",O1108*1000/(I1108*0.3025)/N1108))</f>
        <v>20387.205259562</v>
      </c>
      <c r="Y1108" s="1" t="n">
        <f aca="false">IF($A1108="","",IF(OR(O1108=0,O1108="",P1108=0),"",P1108/O1108))</f>
        <v>0.392678095758486</v>
      </c>
      <c r="Z1108" s="1" t="str">
        <f aca="false">IF($A1108="","",IFERROR(INDEX(物件収支!$E:$E,MATCH($A1108,物件収支!$A:$A,0)),""))</f>
        <v>開示（物件別・費用内訳含む）</v>
      </c>
    </row>
    <row r="1109" customFormat="false" ht="15" hidden="false" customHeight="true" outlineLevel="0" collapsed="false">
      <c r="A1109" s="1" t="str">
        <f aca="false">IF(物件マスタ!A1109="","",物件マスタ!A1109)</f>
        <v>HLC-023</v>
      </c>
      <c r="B1109" s="1" t="str">
        <f aca="false">IF($A1109="","",物件マスタ!B1109)</f>
        <v>HLC</v>
      </c>
      <c r="C1109" s="1" t="str">
        <f aca="false">IF($A1109="","",IFERROR(INDEX(法人マスタ!$C:$C,MATCH($B1109,法人マスタ!$A:$A,0)),""))</f>
        <v>ヒューリックリート投資法人</v>
      </c>
      <c r="D1109" s="1" t="str">
        <f aca="false">IF($A1109="","",物件マスタ!C1109)</f>
        <v>ヒューリック中野ビル</v>
      </c>
      <c r="E1109" s="1" t="str">
        <f aca="false">IF($A1109="","",物件マスタ!H1109)</f>
        <v>その他東京23区</v>
      </c>
      <c r="F1109" s="53" t="n">
        <f aca="false">IF($A1109="","",物件マスタ!P1109)</f>
        <v>34608</v>
      </c>
      <c r="G1109" s="1" t="n">
        <f aca="false">IF($A1109="","",物件マスタ!Q1109)</f>
        <v>31.9</v>
      </c>
      <c r="H1109" s="1" t="n">
        <f aca="false">IF($A1109="","",物件マスタ!L1109)</f>
        <v>0</v>
      </c>
      <c r="I1109" s="1" t="n">
        <f aca="false">IF($A1109="","",物件マスタ!M1109)</f>
        <v>2616.83</v>
      </c>
      <c r="J1109" s="1" t="n">
        <f aca="false">IF($A1109="","",物件マスタ!S1109)</f>
        <v>3200</v>
      </c>
      <c r="K1109" s="1" t="n">
        <f aca="false">IF($A1109="","",物件マスタ!U1109)</f>
        <v>3492</v>
      </c>
      <c r="L1109" s="1" t="n">
        <f aca="false">IF($A1109="","",物件マスタ!W1109)</f>
        <v>1</v>
      </c>
      <c r="M1109" s="1" t="str">
        <f aca="false">IF($A1109="","",IFERROR(INDEX(法人マスタ!$H:$H,MATCH($B1109,法人マスタ!$A:$A,0)),""))</f>
        <v>2026年2月期（第24期）</v>
      </c>
      <c r="N1109" s="1" t="n">
        <f aca="false">IF($A1109="","",SUMIFS(物件収支!$D:$D,物件収支!$A:$A,$A1109,物件収支!$C:$C,$M1109))</f>
        <v>6</v>
      </c>
      <c r="O1109" s="1" t="n">
        <f aca="false">IF($A1109="","",SUMIFS(物件収支!$F:$F,物件収支!$A:$A,$A1109,物件収支!$C:$C,$M1109))</f>
        <v>96926</v>
      </c>
      <c r="P1109" s="1" t="n">
        <f aca="false">IF($A1109="","",SUMIFS(物件収支!$I:$I,物件収支!$A:$A,$A1109,物件収支!$C:$C,$M1109))</f>
        <v>36941</v>
      </c>
      <c r="Q1109" s="1" t="n">
        <f aca="false">IF($A1109="","",SUMIFS(物件収支!$O:$O,物件収支!$A:$A,$A1109,物件収支!$C:$C,$M1109))</f>
        <v>9234</v>
      </c>
      <c r="R1109" s="1" t="n">
        <f aca="false">IF($A1109="","",IF(P1109=0,"",O1109-P1109))</f>
        <v>59985</v>
      </c>
      <c r="S1109" s="1" t="n">
        <f aca="false">IF($A1109="","",IF(R1109="","",R1109+Q1109))</f>
        <v>69219</v>
      </c>
      <c r="T1109" s="1" t="n">
        <f aca="false">IF($A1109="","",IF(OR(S1109="",N1109&lt;=0),"",S1109/1000*12/N1109))</f>
        <v>138.438</v>
      </c>
      <c r="U1109" s="1" t="n">
        <f aca="false">IF($A1109="","",IF(OR(T1109="",J1109=0,J1109=""),"",T1109/J1109))</f>
        <v>0.043261875</v>
      </c>
      <c r="V1109" s="1" t="n">
        <f aca="false">IF($A1109="","",IF(OR(R1109="",N1109&lt;=0,J1109=0,J1109=""),"",(R1109/1000*12/N1109)/J1109))</f>
        <v>0.037490625</v>
      </c>
      <c r="W1109" s="1" t="n">
        <f aca="false">IF($A1109="","",IF(OR(T1109="",K1109=0,K1109=""),"",T1109/K1109))</f>
        <v>0.0396443298969072</v>
      </c>
      <c r="X1109" s="1" t="n">
        <f aca="false">IF($A1109="","",IF(OR(N1109&lt;=0,I1109=0,I1109="",O1109=0),"",O1109*1000/(I1109*0.3025)/N1109))</f>
        <v>20407.4222708149</v>
      </c>
      <c r="Y1109" s="1" t="n">
        <f aca="false">IF($A1109="","",IF(OR(O1109=0,O1109="",P1109=0),"",P1109/O1109))</f>
        <v>0.381125807316922</v>
      </c>
      <c r="Z1109" s="1" t="str">
        <f aca="false">IF($A1109="","",IFERROR(INDEX(物件収支!$E:$E,MATCH($A1109,物件収支!$A:$A,0)),""))</f>
        <v>開示（物件別・費用内訳含む）</v>
      </c>
    </row>
    <row r="1110" customFormat="false" ht="15" hidden="false" customHeight="true" outlineLevel="0" collapsed="false">
      <c r="A1110" s="1" t="str">
        <f aca="false">IF(物件マスタ!A1110="","",物件マスタ!A1110)</f>
        <v>HLC-024</v>
      </c>
      <c r="B1110" s="1" t="str">
        <f aca="false">IF($A1110="","",物件マスタ!B1110)</f>
        <v>HLC</v>
      </c>
      <c r="C1110" s="1" t="str">
        <f aca="false">IF($A1110="","",IFERROR(INDEX(法人マスタ!$C:$C,MATCH($B1110,法人マスタ!$A:$A,0)),""))</f>
        <v>ヒューリックリート投資法人</v>
      </c>
      <c r="D1110" s="1" t="str">
        <f aca="false">IF($A1110="","",物件マスタ!C1110)</f>
        <v>ヒューリック上野ビル</v>
      </c>
      <c r="E1110" s="1" t="str">
        <f aca="false">IF($A1110="","",物件マスタ!H1110)</f>
        <v>その他東京23区</v>
      </c>
      <c r="F1110" s="53" t="n">
        <f aca="false">IF($A1110="","",物件マスタ!P1110)</f>
        <v>31503</v>
      </c>
      <c r="G1110" s="1" t="n">
        <f aca="false">IF($A1110="","",物件マスタ!Q1110)</f>
        <v>40.4</v>
      </c>
      <c r="H1110" s="1" t="n">
        <f aca="false">IF($A1110="","",物件マスタ!L1110)</f>
        <v>0</v>
      </c>
      <c r="I1110" s="1" t="n">
        <f aca="false">IF($A1110="","",物件マスタ!M1110)</f>
        <v>3031.85</v>
      </c>
      <c r="J1110" s="1" t="n">
        <f aca="false">IF($A1110="","",物件マスタ!S1110)</f>
        <v>4100</v>
      </c>
      <c r="K1110" s="1" t="n">
        <f aca="false">IF($A1110="","",物件マスタ!U1110)</f>
        <v>4140</v>
      </c>
      <c r="L1110" s="1" t="n">
        <f aca="false">IF($A1110="","",物件マスタ!W1110)</f>
        <v>1</v>
      </c>
      <c r="M1110" s="1" t="str">
        <f aca="false">IF($A1110="","",IFERROR(INDEX(法人マスタ!$H:$H,MATCH($B1110,法人マスタ!$A:$A,0)),""))</f>
        <v>2026年2月期（第24期）</v>
      </c>
      <c r="N1110" s="1" t="n">
        <f aca="false">IF($A1110="","",SUMIFS(物件収支!$D:$D,物件収支!$A:$A,$A1110,物件収支!$C:$C,$M1110))</f>
        <v>6</v>
      </c>
      <c r="O1110" s="1" t="n">
        <f aca="false">IF($A1110="","",SUMIFS(物件収支!$F:$F,物件収支!$A:$A,$A1110,物件収支!$C:$C,$M1110))</f>
        <v>121475</v>
      </c>
      <c r="P1110" s="1" t="n">
        <f aca="false">IF($A1110="","",SUMIFS(物件収支!$I:$I,物件収支!$A:$A,$A1110,物件収支!$C:$C,$M1110))</f>
        <v>41801</v>
      </c>
      <c r="Q1110" s="1" t="n">
        <f aca="false">IF($A1110="","",SUMIFS(物件収支!$O:$O,物件収支!$A:$A,$A1110,物件収支!$C:$C,$M1110))</f>
        <v>5536</v>
      </c>
      <c r="R1110" s="1" t="n">
        <f aca="false">IF($A1110="","",IF(P1110=0,"",O1110-P1110))</f>
        <v>79674</v>
      </c>
      <c r="S1110" s="1" t="n">
        <f aca="false">IF($A1110="","",IF(R1110="","",R1110+Q1110))</f>
        <v>85210</v>
      </c>
      <c r="T1110" s="1" t="n">
        <f aca="false">IF($A1110="","",IF(OR(S1110="",N1110&lt;=0),"",S1110/1000*12/N1110))</f>
        <v>170.42</v>
      </c>
      <c r="U1110" s="1" t="n">
        <f aca="false">IF($A1110="","",IF(OR(T1110="",J1110=0,J1110=""),"",T1110/J1110))</f>
        <v>0.0415658536585366</v>
      </c>
      <c r="V1110" s="1" t="n">
        <f aca="false">IF($A1110="","",IF(OR(R1110="",N1110&lt;=0,J1110=0,J1110=""),"",(R1110/1000*12/N1110)/J1110))</f>
        <v>0.0388653658536585</v>
      </c>
      <c r="W1110" s="1" t="n">
        <f aca="false">IF($A1110="","",IF(OR(T1110="",K1110=0,K1110=""),"",T1110/K1110))</f>
        <v>0.0411642512077295</v>
      </c>
      <c r="X1110" s="1" t="n">
        <f aca="false">IF($A1110="","",IF(OR(N1110&lt;=0,I1110=0,I1110="",O1110=0),"",O1110*1000/(I1110*0.3025)/N1110))</f>
        <v>22075.0943007231</v>
      </c>
      <c r="Y1110" s="1" t="n">
        <f aca="false">IF($A1110="","",IF(OR(O1110=0,O1110="",P1110=0),"",P1110/O1110))</f>
        <v>0.344111957192838</v>
      </c>
      <c r="Z1110" s="1" t="str">
        <f aca="false">IF($A1110="","",IFERROR(INDEX(物件収支!$E:$E,MATCH($A1110,物件収支!$A:$A,0)),""))</f>
        <v>開示（物件別・費用内訳含む）</v>
      </c>
    </row>
    <row r="1111" customFormat="false" ht="15" hidden="false" customHeight="true" outlineLevel="0" collapsed="false">
      <c r="A1111" s="1" t="str">
        <f aca="false">IF(物件マスタ!A1111="","",物件マスタ!A1111)</f>
        <v>HLC-025</v>
      </c>
      <c r="B1111" s="1" t="str">
        <f aca="false">IF($A1111="","",物件マスタ!B1111)</f>
        <v>HLC</v>
      </c>
      <c r="C1111" s="1" t="str">
        <f aca="false">IF($A1111="","",IFERROR(INDEX(法人マスタ!$C:$C,MATCH($B1111,法人マスタ!$A:$A,0)),""))</f>
        <v>ヒューリックリート投資法人</v>
      </c>
      <c r="D1111" s="1" t="str">
        <f aca="false">IF($A1111="","",物件マスタ!C1111)</f>
        <v>ヒューリック麹町ビル</v>
      </c>
      <c r="E1111" s="1" t="str">
        <f aca="false">IF($A1111="","",物件マスタ!H1111)</f>
        <v>都心5区</v>
      </c>
      <c r="F1111" s="53" t="n">
        <f aca="false">IF($A1111="","",物件マスタ!P1111)</f>
        <v>40452</v>
      </c>
      <c r="G1111" s="1" t="n">
        <f aca="false">IF($A1111="","",物件マスタ!Q1111)</f>
        <v>15.9</v>
      </c>
      <c r="H1111" s="1" t="n">
        <f aca="false">IF($A1111="","",物件マスタ!L1111)</f>
        <v>0</v>
      </c>
      <c r="I1111" s="1" t="n">
        <f aca="false">IF($A1111="","",物件マスタ!M1111)</f>
        <v>5380.17</v>
      </c>
      <c r="J1111" s="1" t="n">
        <f aca="false">IF($A1111="","",物件マスタ!S1111)</f>
        <v>12600</v>
      </c>
      <c r="K1111" s="1" t="n">
        <f aca="false">IF($A1111="","",物件マスタ!U1111)</f>
        <v>12900</v>
      </c>
      <c r="L1111" s="1" t="n">
        <f aca="false">IF($A1111="","",物件マスタ!W1111)</f>
        <v>1</v>
      </c>
      <c r="M1111" s="1" t="str">
        <f aca="false">IF($A1111="","",IFERROR(INDEX(法人マスタ!$H:$H,MATCH($B1111,法人マスタ!$A:$A,0)),""))</f>
        <v>2026年2月期（第24期）</v>
      </c>
      <c r="N1111" s="1" t="n">
        <f aca="false">IF($A1111="","",SUMIFS(物件収支!$D:$D,物件収支!$A:$A,$A1111,物件収支!$C:$C,$M1111))</f>
        <v>6</v>
      </c>
      <c r="O1111" s="1" t="n">
        <f aca="false">IF($A1111="","",SUMIFS(物件収支!$F:$F,物件収支!$A:$A,$A1111,物件収支!$C:$C,$M1111))</f>
        <v>279410</v>
      </c>
      <c r="P1111" s="1" t="n">
        <f aca="false">IF($A1111="","",SUMIFS(物件収支!$I:$I,物件収支!$A:$A,$A1111,物件収支!$C:$C,$M1111))</f>
        <v>95875</v>
      </c>
      <c r="Q1111" s="1" t="n">
        <f aca="false">IF($A1111="","",SUMIFS(物件収支!$O:$O,物件収支!$A:$A,$A1111,物件収支!$C:$C,$M1111))</f>
        <v>28945</v>
      </c>
      <c r="R1111" s="1" t="n">
        <f aca="false">IF($A1111="","",IF(P1111=0,"",O1111-P1111))</f>
        <v>183535</v>
      </c>
      <c r="S1111" s="1" t="n">
        <f aca="false">IF($A1111="","",IF(R1111="","",R1111+Q1111))</f>
        <v>212480</v>
      </c>
      <c r="T1111" s="1" t="n">
        <f aca="false">IF($A1111="","",IF(OR(S1111="",N1111&lt;=0),"",S1111/1000*12/N1111))</f>
        <v>424.96</v>
      </c>
      <c r="U1111" s="1" t="n">
        <f aca="false">IF($A1111="","",IF(OR(T1111="",J1111=0,J1111=""),"",T1111/J1111))</f>
        <v>0.0337269841269841</v>
      </c>
      <c r="V1111" s="1" t="n">
        <f aca="false">IF($A1111="","",IF(OR(R1111="",N1111&lt;=0,J1111=0,J1111=""),"",(R1111/1000*12/N1111)/J1111))</f>
        <v>0.0291325396825397</v>
      </c>
      <c r="W1111" s="1" t="n">
        <f aca="false">IF($A1111="","",IF(OR(T1111="",K1111=0,K1111=""),"",T1111/K1111))</f>
        <v>0.0329426356589147</v>
      </c>
      <c r="X1111" s="1" t="n">
        <f aca="false">IF($A1111="","",IF(OR(N1111&lt;=0,I1111=0,I1111="",O1111=0),"",O1111*1000/(I1111*0.3025)/N1111))</f>
        <v>28613.3902053778</v>
      </c>
      <c r="Y1111" s="1" t="n">
        <f aca="false">IF($A1111="","",IF(OR(O1111=0,O1111="",P1111=0),"",P1111/O1111))</f>
        <v>0.34313374610787</v>
      </c>
      <c r="Z1111" s="1" t="str">
        <f aca="false">IF($A1111="","",IFERROR(INDEX(物件収支!$E:$E,MATCH($A1111,物件収支!$A:$A,0)),""))</f>
        <v>開示（物件別・費用内訳含む）</v>
      </c>
    </row>
    <row r="1112" customFormat="false" ht="15" hidden="false" customHeight="true" outlineLevel="0" collapsed="false">
      <c r="A1112" s="1" t="str">
        <f aca="false">IF(物件マスタ!A1112="","",物件マスタ!A1112)</f>
        <v>HLC-026</v>
      </c>
      <c r="B1112" s="1" t="str">
        <f aca="false">IF($A1112="","",物件マスタ!B1112)</f>
        <v>HLC</v>
      </c>
      <c r="C1112" s="1" t="str">
        <f aca="false">IF($A1112="","",IFERROR(INDEX(法人マスタ!$C:$C,MATCH($B1112,法人マスタ!$A:$A,0)),""))</f>
        <v>ヒューリックリート投資法人</v>
      </c>
      <c r="D1112" s="1" t="str">
        <f aca="false">IF($A1112="","",物件マスタ!C1112)</f>
        <v>吉祥寺富士ビル</v>
      </c>
      <c r="E1112" s="1" t="str">
        <f aca="false">IF($A1112="","",物件マスタ!H1112)</f>
        <v>東京周辺都市部</v>
      </c>
      <c r="F1112" s="53" t="n">
        <f aca="false">IF($A1112="","",物件マスタ!P1112)</f>
        <v>29495</v>
      </c>
      <c r="G1112" s="1" t="n">
        <f aca="false">IF($A1112="","",物件マスタ!Q1112)</f>
        <v>45.9</v>
      </c>
      <c r="H1112" s="1" t="n">
        <f aca="false">IF($A1112="","",物件マスタ!L1112)</f>
        <v>0</v>
      </c>
      <c r="I1112" s="1" t="n">
        <f aca="false">IF($A1112="","",物件マスタ!M1112)</f>
        <v>3958.37</v>
      </c>
      <c r="J1112" s="1" t="n">
        <f aca="false">IF($A1112="","",物件マスタ!S1112)</f>
        <v>5150</v>
      </c>
      <c r="K1112" s="1" t="n">
        <f aca="false">IF($A1112="","",物件マスタ!U1112)</f>
        <v>6310</v>
      </c>
      <c r="L1112" s="1" t="n">
        <f aca="false">IF($A1112="","",物件マスタ!W1112)</f>
        <v>1</v>
      </c>
      <c r="M1112" s="1" t="str">
        <f aca="false">IF($A1112="","",IFERROR(INDEX(法人マスタ!$H:$H,MATCH($B1112,法人マスタ!$A:$A,0)),""))</f>
        <v>2026年2月期（第24期）</v>
      </c>
      <c r="N1112" s="1" t="n">
        <f aca="false">IF($A1112="","",SUMIFS(物件収支!$D:$D,物件収支!$A:$A,$A1112,物件収支!$C:$C,$M1112))</f>
        <v>6</v>
      </c>
      <c r="O1112" s="1" t="n">
        <f aca="false">IF($A1112="","",SUMIFS(物件収支!$F:$F,物件収支!$A:$A,$A1112,物件収支!$C:$C,$M1112))</f>
        <v>0</v>
      </c>
      <c r="P1112" s="1" t="n">
        <f aca="false">IF($A1112="","",SUMIFS(物件収支!$I:$I,物件収支!$A:$A,$A1112,物件収支!$C:$C,$M1112))</f>
        <v>0</v>
      </c>
      <c r="Q1112" s="1" t="n">
        <f aca="false">IF($A1112="","",SUMIFS(物件収支!$O:$O,物件収支!$A:$A,$A1112,物件収支!$C:$C,$M1112))</f>
        <v>0</v>
      </c>
      <c r="R1112" s="1" t="str">
        <f aca="false">IF($A1112="","",IF(P1112=0,"",O1112-P1112))</f>
        <v/>
      </c>
      <c r="S1112" s="1" t="str">
        <f aca="false">IF($A1112="","",IF(R1112="","",R1112+Q1112))</f>
        <v/>
      </c>
      <c r="T1112" s="1" t="str">
        <f aca="false">IF($A1112="","",IF(OR(S1112="",N1112&lt;=0),"",S1112/1000*12/N1112))</f>
        <v/>
      </c>
      <c r="U1112" s="1" t="str">
        <f aca="false">IF($A1112="","",IF(OR(T1112="",J1112=0,J1112=""),"",T1112/J1112))</f>
        <v/>
      </c>
      <c r="V1112" s="1" t="str">
        <f aca="false">IF($A1112="","",IF(OR(R1112="",N1112&lt;=0,J1112=0,J1112=""),"",(R1112/1000*12/N1112)/J1112))</f>
        <v/>
      </c>
      <c r="W1112" s="1" t="str">
        <f aca="false">IF($A1112="","",IF(OR(T1112="",K1112=0,K1112=""),"",T1112/K1112))</f>
        <v/>
      </c>
      <c r="X1112" s="1" t="str">
        <f aca="false">IF($A1112="","",IF(OR(N1112&lt;=0,I1112=0,I1112="",O1112=0),"",O1112*1000/(I1112*0.3025)/N1112))</f>
        <v/>
      </c>
      <c r="Y1112" s="1" t="str">
        <f aca="false">IF($A1112="","",IF(OR(O1112=0,O1112="",P1112=0),"",P1112/O1112))</f>
        <v/>
      </c>
      <c r="Z1112" s="1" t="str">
        <f aca="false">IF($A1112="","",IFERROR(INDEX(物件収支!$E:$E,MATCH($A1112,物件収支!$A:$A,0)),""))</f>
        <v>非開示（NOIのみ開示）</v>
      </c>
    </row>
    <row r="1113" customFormat="false" ht="15" hidden="false" customHeight="true" outlineLevel="0" collapsed="false">
      <c r="A1113" s="1" t="str">
        <f aca="false">IF(物件マスタ!A1113="","",物件マスタ!A1113)</f>
        <v>HLC-027</v>
      </c>
      <c r="B1113" s="1" t="str">
        <f aca="false">IF($A1113="","",物件マスタ!B1113)</f>
        <v>HLC</v>
      </c>
      <c r="C1113" s="1" t="str">
        <f aca="false">IF($A1113="","",IFERROR(INDEX(法人マスタ!$C:$C,MATCH($B1113,法人マスタ!$A:$A,0)),""))</f>
        <v>ヒューリックリート投資法人</v>
      </c>
      <c r="D1113" s="1" t="str">
        <f aca="false">IF($A1113="","",物件マスタ!C1113)</f>
        <v>ヒューリック八王子ビル</v>
      </c>
      <c r="E1113" s="1" t="str">
        <f aca="false">IF($A1113="","",物件マスタ!H1113)</f>
        <v>東京周辺都市部</v>
      </c>
      <c r="F1113" s="53" t="n">
        <f aca="false">IF($A1113="","",物件マスタ!P1113)</f>
        <v>39845</v>
      </c>
      <c r="G1113" s="1" t="n">
        <f aca="false">IF($A1113="","",物件マスタ!Q1113)</f>
        <v>17.5</v>
      </c>
      <c r="H1113" s="1" t="n">
        <f aca="false">IF($A1113="","",物件マスタ!L1113)</f>
        <v>0</v>
      </c>
      <c r="I1113" s="1" t="n">
        <f aca="false">IF($A1113="","",物件マスタ!M1113)</f>
        <v>3768</v>
      </c>
      <c r="J1113" s="1" t="n">
        <f aca="false">IF($A1113="","",物件マスタ!S1113)</f>
        <v>4900</v>
      </c>
      <c r="K1113" s="1" t="n">
        <f aca="false">IF($A1113="","",物件マスタ!U1113)</f>
        <v>5220</v>
      </c>
      <c r="L1113" s="1" t="n">
        <f aca="false">IF($A1113="","",物件マスタ!W1113)</f>
        <v>1</v>
      </c>
      <c r="M1113" s="1" t="str">
        <f aca="false">IF($A1113="","",IFERROR(INDEX(法人マスタ!$H:$H,MATCH($B1113,法人マスタ!$A:$A,0)),""))</f>
        <v>2026年2月期（第24期）</v>
      </c>
      <c r="N1113" s="1" t="n">
        <f aca="false">IF($A1113="","",SUMIFS(物件収支!$D:$D,物件収支!$A:$A,$A1113,物件収支!$C:$C,$M1113))</f>
        <v>6</v>
      </c>
      <c r="O1113" s="1" t="n">
        <f aca="false">IF($A1113="","",SUMIFS(物件収支!$F:$F,物件収支!$A:$A,$A1113,物件収支!$C:$C,$M1113))</f>
        <v>156772</v>
      </c>
      <c r="P1113" s="1" t="n">
        <f aca="false">IF($A1113="","",SUMIFS(物件収支!$I:$I,物件収支!$A:$A,$A1113,物件収支!$C:$C,$M1113))</f>
        <v>42486</v>
      </c>
      <c r="Q1113" s="1" t="n">
        <f aca="false">IF($A1113="","",SUMIFS(物件収支!$O:$O,物件収支!$A:$A,$A1113,物件収支!$C:$C,$M1113))</f>
        <v>14817</v>
      </c>
      <c r="R1113" s="1" t="n">
        <f aca="false">IF($A1113="","",IF(P1113=0,"",O1113-P1113))</f>
        <v>114286</v>
      </c>
      <c r="S1113" s="1" t="n">
        <f aca="false">IF($A1113="","",IF(R1113="","",R1113+Q1113))</f>
        <v>129103</v>
      </c>
      <c r="T1113" s="1" t="n">
        <f aca="false">IF($A1113="","",IF(OR(S1113="",N1113&lt;=0),"",S1113/1000*12/N1113))</f>
        <v>258.206</v>
      </c>
      <c r="U1113" s="1" t="n">
        <f aca="false">IF($A1113="","",IF(OR(T1113="",J1113=0,J1113=""),"",T1113/J1113))</f>
        <v>0.0526951020408163</v>
      </c>
      <c r="V1113" s="1" t="n">
        <f aca="false">IF($A1113="","",IF(OR(R1113="",N1113&lt;=0,J1113=0,J1113=""),"",(R1113/1000*12/N1113)/J1113))</f>
        <v>0.0466473469387755</v>
      </c>
      <c r="W1113" s="1" t="n">
        <f aca="false">IF($A1113="","",IF(OR(T1113="",K1113=0,K1113=""),"",T1113/K1113))</f>
        <v>0.0494647509578544</v>
      </c>
      <c r="X1113" s="1" t="n">
        <f aca="false">IF($A1113="","",IF(OR(N1113&lt;=0,I1113=0,I1113="",O1113=0),"",O1113*1000/(I1113*0.3025)/N1113))</f>
        <v>22923.5025413369</v>
      </c>
      <c r="Y1113" s="1" t="n">
        <f aca="false">IF($A1113="","",IF(OR(O1113=0,O1113="",P1113=0),"",P1113/O1113))</f>
        <v>0.271005026407777</v>
      </c>
      <c r="Z1113" s="1" t="str">
        <f aca="false">IF($A1113="","",IFERROR(INDEX(物件収支!$E:$E,MATCH($A1113,物件収支!$A:$A,0)),""))</f>
        <v>開示（物件別・費用内訳含む）</v>
      </c>
    </row>
    <row r="1114" customFormat="false" ht="15" hidden="false" customHeight="true" outlineLevel="0" collapsed="false">
      <c r="A1114" s="1" t="str">
        <f aca="false">IF(物件マスタ!A1114="","",物件マスタ!A1114)</f>
        <v>HLC-028</v>
      </c>
      <c r="B1114" s="1" t="str">
        <f aca="false">IF($A1114="","",物件マスタ!B1114)</f>
        <v>HLC</v>
      </c>
      <c r="C1114" s="1" t="str">
        <f aca="false">IF($A1114="","",IFERROR(INDEX(法人マスタ!$C:$C,MATCH($B1114,法人マスタ!$A:$A,0)),""))</f>
        <v>ヒューリックリート投資法人</v>
      </c>
      <c r="D1114" s="1" t="str">
        <f aca="false">IF($A1114="","",物件マスタ!C1114)</f>
        <v>ヒューリック神戸ビル</v>
      </c>
      <c r="E1114" s="1" t="str">
        <f aca="false">IF($A1114="","",物件マスタ!H1114)</f>
        <v>その他3大都市圏</v>
      </c>
      <c r="F1114" s="53" t="n">
        <f aca="false">IF($A1114="","",物件マスタ!P1114)</f>
        <v>33147</v>
      </c>
      <c r="G1114" s="1" t="n">
        <f aca="false">IF($A1114="","",物件マスタ!Q1114)</f>
        <v>35.9</v>
      </c>
      <c r="H1114" s="1" t="n">
        <f aca="false">IF($A1114="","",物件マスタ!L1114)</f>
        <v>0</v>
      </c>
      <c r="I1114" s="1" t="n">
        <f aca="false">IF($A1114="","",物件マスタ!M1114)</f>
        <v>5126.08</v>
      </c>
      <c r="J1114" s="1" t="n">
        <f aca="false">IF($A1114="","",物件マスタ!S1114)</f>
        <v>6710</v>
      </c>
      <c r="K1114" s="1" t="n">
        <f aca="false">IF($A1114="","",物件マスタ!U1114)</f>
        <v>6980</v>
      </c>
      <c r="L1114" s="1" t="n">
        <f aca="false">IF($A1114="","",物件マスタ!W1114)</f>
        <v>1</v>
      </c>
      <c r="M1114" s="1" t="str">
        <f aca="false">IF($A1114="","",IFERROR(INDEX(法人マスタ!$H:$H,MATCH($B1114,法人マスタ!$A:$A,0)),""))</f>
        <v>2026年2月期（第24期）</v>
      </c>
      <c r="N1114" s="1" t="n">
        <f aca="false">IF($A1114="","",SUMIFS(物件収支!$D:$D,物件収支!$A:$A,$A1114,物件収支!$C:$C,$M1114))</f>
        <v>6</v>
      </c>
      <c r="O1114" s="1" t="n">
        <f aca="false">IF($A1114="","",SUMIFS(物件収支!$F:$F,物件収支!$A:$A,$A1114,物件収支!$C:$C,$M1114))</f>
        <v>216827</v>
      </c>
      <c r="P1114" s="1" t="n">
        <f aca="false">IF($A1114="","",SUMIFS(物件収支!$I:$I,物件収支!$A:$A,$A1114,物件収支!$C:$C,$M1114))</f>
        <v>67734</v>
      </c>
      <c r="Q1114" s="1" t="n">
        <f aca="false">IF($A1114="","",SUMIFS(物件収支!$O:$O,物件収支!$A:$A,$A1114,物件収支!$C:$C,$M1114))</f>
        <v>10904</v>
      </c>
      <c r="R1114" s="1" t="n">
        <f aca="false">IF($A1114="","",IF(P1114=0,"",O1114-P1114))</f>
        <v>149093</v>
      </c>
      <c r="S1114" s="1" t="n">
        <f aca="false">IF($A1114="","",IF(R1114="","",R1114+Q1114))</f>
        <v>159997</v>
      </c>
      <c r="T1114" s="1" t="n">
        <f aca="false">IF($A1114="","",IF(OR(S1114="",N1114&lt;=0),"",S1114/1000*12/N1114))</f>
        <v>319.994</v>
      </c>
      <c r="U1114" s="1" t="n">
        <f aca="false">IF($A1114="","",IF(OR(T1114="",J1114=0,J1114=""),"",T1114/J1114))</f>
        <v>0.0476891207153502</v>
      </c>
      <c r="V1114" s="1" t="n">
        <f aca="false">IF($A1114="","",IF(OR(R1114="",N1114&lt;=0,J1114=0,J1114=""),"",(R1114/1000*12/N1114)/J1114))</f>
        <v>0.0444390461997019</v>
      </c>
      <c r="W1114" s="1" t="n">
        <f aca="false">IF($A1114="","",IF(OR(T1114="",K1114=0,K1114=""),"",T1114/K1114))</f>
        <v>0.0458444126074499</v>
      </c>
      <c r="X1114" s="1" t="n">
        <f aca="false">IF($A1114="","",IF(OR(N1114&lt;=0,I1114=0,I1114="",O1114=0),"",O1114*1000/(I1114*0.3025)/N1114))</f>
        <v>23305.1204518326</v>
      </c>
      <c r="Y1114" s="1" t="n">
        <f aca="false">IF($A1114="","",IF(OR(O1114=0,O1114="",P1114=0),"",P1114/O1114))</f>
        <v>0.312387294940206</v>
      </c>
      <c r="Z1114" s="1" t="str">
        <f aca="false">IF($A1114="","",IFERROR(INDEX(物件収支!$E:$E,MATCH($A1114,物件収支!$A:$A,0)),""))</f>
        <v>開示（物件別・費用内訳含む）</v>
      </c>
    </row>
    <row r="1115" customFormat="false" ht="15" hidden="false" customHeight="true" outlineLevel="0" collapsed="false">
      <c r="A1115" s="1" t="str">
        <f aca="false">IF(物件マスタ!A1115="","",物件マスタ!A1115)</f>
        <v>HLC-029</v>
      </c>
      <c r="B1115" s="1" t="str">
        <f aca="false">IF($A1115="","",物件マスタ!B1115)</f>
        <v>HLC</v>
      </c>
      <c r="C1115" s="1" t="str">
        <f aca="false">IF($A1115="","",IFERROR(INDEX(法人マスタ!$C:$C,MATCH($B1115,法人マスタ!$A:$A,0)),""))</f>
        <v>ヒューリックリート投資法人</v>
      </c>
      <c r="D1115" s="1" t="str">
        <f aca="false">IF($A1115="","",物件マスタ!C1115)</f>
        <v>ヒューリック五反田ビル</v>
      </c>
      <c r="E1115" s="1" t="str">
        <f aca="false">IF($A1115="","",物件マスタ!H1115)</f>
        <v>その他東京23区</v>
      </c>
      <c r="F1115" s="53" t="n">
        <f aca="false">IF($A1115="","",物件マスタ!P1115)</f>
        <v>31533</v>
      </c>
      <c r="G1115" s="1" t="n">
        <f aca="false">IF($A1115="","",物件マスタ!Q1115)</f>
        <v>40.3</v>
      </c>
      <c r="H1115" s="1" t="n">
        <f aca="false">IF($A1115="","",物件マスタ!L1115)</f>
        <v>0</v>
      </c>
      <c r="I1115" s="1" t="n">
        <f aca="false">IF($A1115="","",物件マスタ!M1115)</f>
        <v>4246.19</v>
      </c>
      <c r="J1115" s="1" t="n">
        <f aca="false">IF($A1115="","",物件マスタ!S1115)</f>
        <v>6162</v>
      </c>
      <c r="K1115" s="1" t="n">
        <f aca="false">IF($A1115="","",物件マスタ!U1115)</f>
        <v>6360</v>
      </c>
      <c r="L1115" s="1" t="n">
        <f aca="false">IF($A1115="","",物件マスタ!W1115)</f>
        <v>1</v>
      </c>
      <c r="M1115" s="1" t="str">
        <f aca="false">IF($A1115="","",IFERROR(INDEX(法人マスタ!$H:$H,MATCH($B1115,法人マスタ!$A:$A,0)),""))</f>
        <v>2026年2月期（第24期）</v>
      </c>
      <c r="N1115" s="1" t="n">
        <f aca="false">IF($A1115="","",SUMIFS(物件収支!$D:$D,物件収支!$A:$A,$A1115,物件収支!$C:$C,$M1115))</f>
        <v>6</v>
      </c>
      <c r="O1115" s="1" t="n">
        <f aca="false">IF($A1115="","",SUMIFS(物件収支!$F:$F,物件収支!$A:$A,$A1115,物件収支!$C:$C,$M1115))</f>
        <v>161311</v>
      </c>
      <c r="P1115" s="1" t="n">
        <f aca="false">IF($A1115="","",SUMIFS(物件収支!$I:$I,物件収支!$A:$A,$A1115,物件収支!$C:$C,$M1115))</f>
        <v>45557</v>
      </c>
      <c r="Q1115" s="1" t="n">
        <f aca="false">IF($A1115="","",SUMIFS(物件収支!$O:$O,物件収支!$A:$A,$A1115,物件収支!$C:$C,$M1115))</f>
        <v>10879</v>
      </c>
      <c r="R1115" s="1" t="n">
        <f aca="false">IF($A1115="","",IF(P1115=0,"",O1115-P1115))</f>
        <v>115754</v>
      </c>
      <c r="S1115" s="1" t="n">
        <f aca="false">IF($A1115="","",IF(R1115="","",R1115+Q1115))</f>
        <v>126633</v>
      </c>
      <c r="T1115" s="1" t="n">
        <f aca="false">IF($A1115="","",IF(OR(S1115="",N1115&lt;=0),"",S1115/1000*12/N1115))</f>
        <v>253.266</v>
      </c>
      <c r="U1115" s="1" t="n">
        <f aca="false">IF($A1115="","",IF(OR(T1115="",J1115=0,J1115=""),"",T1115/J1115))</f>
        <v>0.0411012658227848</v>
      </c>
      <c r="V1115" s="1" t="n">
        <f aca="false">IF($A1115="","",IF(OR(R1115="",N1115&lt;=0,J1115=0,J1115=""),"",(R1115/1000*12/N1115)/J1115))</f>
        <v>0.0375702693930542</v>
      </c>
      <c r="W1115" s="1" t="n">
        <f aca="false">IF($A1115="","",IF(OR(T1115="",K1115=0,K1115=""),"",T1115/K1115))</f>
        <v>0.0398216981132075</v>
      </c>
      <c r="X1115" s="1" t="n">
        <f aca="false">IF($A1115="","",IF(OR(N1115&lt;=0,I1115=0,I1115="",O1115=0),"",O1115*1000/(I1115*0.3025)/N1115))</f>
        <v>20930.9013543997</v>
      </c>
      <c r="Y1115" s="1" t="n">
        <f aca="false">IF($A1115="","",IF(OR(O1115=0,O1115="",P1115=0),"",P1115/O1115))</f>
        <v>0.282417194115714</v>
      </c>
      <c r="Z1115" s="1" t="str">
        <f aca="false">IF($A1115="","",IFERROR(INDEX(物件収支!$E:$E,MATCH($A1115,物件収支!$A:$A,0)),""))</f>
        <v>開示（物件別・費用内訳含む）</v>
      </c>
    </row>
    <row r="1116" customFormat="false" ht="15" hidden="false" customHeight="true" outlineLevel="0" collapsed="false">
      <c r="A1116" s="1" t="str">
        <f aca="false">IF(物件マスタ!A1116="","",物件マスタ!A1116)</f>
        <v>HLC-030</v>
      </c>
      <c r="B1116" s="1" t="str">
        <f aca="false">IF($A1116="","",物件マスタ!B1116)</f>
        <v>HLC</v>
      </c>
      <c r="C1116" s="1" t="str">
        <f aca="false">IF($A1116="","",IFERROR(INDEX(法人マスタ!$C:$C,MATCH($B1116,法人マスタ!$A:$A,0)),""))</f>
        <v>ヒューリックリート投資法人</v>
      </c>
      <c r="D1116" s="1" t="str">
        <f aca="false">IF($A1116="","",物件マスタ!C1116)</f>
        <v>ヒューリック王子ビル</v>
      </c>
      <c r="E1116" s="1" t="str">
        <f aca="false">IF($A1116="","",物件マスタ!H1116)</f>
        <v>その他東京23区</v>
      </c>
      <c r="F1116" s="53" t="n">
        <f aca="false">IF($A1116="","",物件マスタ!P1116)</f>
        <v>43831</v>
      </c>
      <c r="G1116" s="1" t="n">
        <f aca="false">IF($A1116="","",物件マスタ!Q1116)</f>
        <v>6.6</v>
      </c>
      <c r="H1116" s="1" t="n">
        <f aca="false">IF($A1116="","",物件マスタ!L1116)</f>
        <v>0</v>
      </c>
      <c r="I1116" s="1" t="n">
        <f aca="false">IF($A1116="","",物件マスタ!M1116)</f>
        <v>3695.59</v>
      </c>
      <c r="J1116" s="1" t="n">
        <f aca="false">IF($A1116="","",物件マスタ!S1116)</f>
        <v>5300</v>
      </c>
      <c r="K1116" s="1" t="n">
        <f aca="false">IF($A1116="","",物件マスタ!U1116)</f>
        <v>5450</v>
      </c>
      <c r="L1116" s="1" t="n">
        <f aca="false">IF($A1116="","",物件マスタ!W1116)</f>
        <v>1</v>
      </c>
      <c r="M1116" s="1" t="str">
        <f aca="false">IF($A1116="","",IFERROR(INDEX(法人マスタ!$H:$H,MATCH($B1116,法人マスタ!$A:$A,0)),""))</f>
        <v>2026年2月期（第24期）</v>
      </c>
      <c r="N1116" s="1" t="n">
        <f aca="false">IF($A1116="","",SUMIFS(物件収支!$D:$D,物件収支!$A:$A,$A1116,物件収支!$C:$C,$M1116))</f>
        <v>6</v>
      </c>
      <c r="O1116" s="1" t="n">
        <f aca="false">IF($A1116="","",SUMIFS(物件収支!$F:$F,物件収支!$A:$A,$A1116,物件収支!$C:$C,$M1116))</f>
        <v>150696</v>
      </c>
      <c r="P1116" s="1" t="n">
        <f aca="false">IF($A1116="","",SUMIFS(物件収支!$I:$I,物件収支!$A:$A,$A1116,物件収支!$C:$C,$M1116))</f>
        <v>69584</v>
      </c>
      <c r="Q1116" s="1" t="n">
        <f aca="false">IF($A1116="","",SUMIFS(物件収支!$O:$O,物件収支!$A:$A,$A1116,物件収支!$C:$C,$M1116))</f>
        <v>21737</v>
      </c>
      <c r="R1116" s="1" t="n">
        <f aca="false">IF($A1116="","",IF(P1116=0,"",O1116-P1116))</f>
        <v>81112</v>
      </c>
      <c r="S1116" s="1" t="n">
        <f aca="false">IF($A1116="","",IF(R1116="","",R1116+Q1116))</f>
        <v>102849</v>
      </c>
      <c r="T1116" s="1" t="n">
        <f aca="false">IF($A1116="","",IF(OR(S1116="",N1116&lt;=0),"",S1116/1000*12/N1116))</f>
        <v>205.698</v>
      </c>
      <c r="U1116" s="1" t="n">
        <f aca="false">IF($A1116="","",IF(OR(T1116="",J1116=0,J1116=""),"",T1116/J1116))</f>
        <v>0.0388109433962264</v>
      </c>
      <c r="V1116" s="1" t="n">
        <f aca="false">IF($A1116="","",IF(OR(R1116="",N1116&lt;=0,J1116=0,J1116=""),"",(R1116/1000*12/N1116)/J1116))</f>
        <v>0.0306083018867925</v>
      </c>
      <c r="W1116" s="1" t="n">
        <f aca="false">IF($A1116="","",IF(OR(T1116="",K1116=0,K1116=""),"",T1116/K1116))</f>
        <v>0.037742752293578</v>
      </c>
      <c r="X1116" s="1" t="n">
        <f aca="false">IF($A1116="","",IF(OR(N1116&lt;=0,I1116=0,I1116="",O1116=0),"",O1116*1000/(I1116*0.3025)/N1116))</f>
        <v>22466.8048061483</v>
      </c>
      <c r="Y1116" s="1" t="n">
        <f aca="false">IF($A1116="","",IF(OR(O1116=0,O1116="",P1116=0),"",P1116/O1116))</f>
        <v>0.461750809576897</v>
      </c>
      <c r="Z1116" s="1" t="str">
        <f aca="false">IF($A1116="","",IFERROR(INDEX(物件収支!$E:$E,MATCH($A1116,物件収支!$A:$A,0)),""))</f>
        <v>開示（物件別・費用内訳含む）</v>
      </c>
    </row>
    <row r="1117" customFormat="false" ht="15" hidden="false" customHeight="true" outlineLevel="0" collapsed="false">
      <c r="A1117" s="1" t="str">
        <f aca="false">IF(物件マスタ!A1117="","",物件マスタ!A1117)</f>
        <v>HLC-031</v>
      </c>
      <c r="B1117" s="1" t="str">
        <f aca="false">IF($A1117="","",物件マスタ!B1117)</f>
        <v>HLC</v>
      </c>
      <c r="C1117" s="1" t="str">
        <f aca="false">IF($A1117="","",IFERROR(INDEX(法人マスタ!$C:$C,MATCH($B1117,法人マスタ!$A:$A,0)),""))</f>
        <v>ヒューリックリート投資法人</v>
      </c>
      <c r="D1117" s="1" t="str">
        <f aca="false">IF($A1117="","",物件マスタ!C1117)</f>
        <v>ヒューリック小舟町ビル</v>
      </c>
      <c r="E1117" s="1" t="str">
        <f aca="false">IF($A1117="","",物件マスタ!H1117)</f>
        <v>都心5区</v>
      </c>
      <c r="F1117" s="53" t="n">
        <f aca="false">IF($A1117="","",物件マスタ!P1117)</f>
        <v>34455</v>
      </c>
      <c r="G1117" s="1" t="n">
        <f aca="false">IF($A1117="","",物件マスタ!Q1117)</f>
        <v>32.3</v>
      </c>
      <c r="H1117" s="1" t="n">
        <f aca="false">IF($A1117="","",物件マスタ!L1117)</f>
        <v>0</v>
      </c>
      <c r="I1117" s="1" t="n">
        <f aca="false">IF($A1117="","",物件マスタ!M1117)</f>
        <v>7781.3</v>
      </c>
      <c r="J1117" s="1" t="n">
        <f aca="false">IF($A1117="","",物件マスタ!S1117)</f>
        <v>10970</v>
      </c>
      <c r="K1117" s="1" t="n">
        <f aca="false">IF($A1117="","",物件マスタ!U1117)</f>
        <v>11800</v>
      </c>
      <c r="L1117" s="1" t="n">
        <f aca="false">IF($A1117="","",物件マスタ!W1117)</f>
        <v>1</v>
      </c>
      <c r="M1117" s="1" t="str">
        <f aca="false">IF($A1117="","",IFERROR(INDEX(法人マスタ!$H:$H,MATCH($B1117,法人マスタ!$A:$A,0)),""))</f>
        <v>2026年2月期（第24期）</v>
      </c>
      <c r="N1117" s="1" t="n">
        <f aca="false">IF($A1117="","",SUMIFS(物件収支!$D:$D,物件収支!$A:$A,$A1117,物件収支!$C:$C,$M1117))</f>
        <v>6</v>
      </c>
      <c r="O1117" s="1" t="n">
        <f aca="false">IF($A1117="","",SUMIFS(物件収支!$F:$F,物件収支!$A:$A,$A1117,物件収支!$C:$C,$M1117))</f>
        <v>320170</v>
      </c>
      <c r="P1117" s="1" t="n">
        <f aca="false">IF($A1117="","",SUMIFS(物件収支!$I:$I,物件収支!$A:$A,$A1117,物件収支!$C:$C,$M1117))</f>
        <v>123025</v>
      </c>
      <c r="Q1117" s="1" t="n">
        <f aca="false">IF($A1117="","",SUMIFS(物件収支!$O:$O,物件収支!$A:$A,$A1117,物件収支!$C:$C,$M1117))</f>
        <v>26884</v>
      </c>
      <c r="R1117" s="1" t="n">
        <f aca="false">IF($A1117="","",IF(P1117=0,"",O1117-P1117))</f>
        <v>197145</v>
      </c>
      <c r="S1117" s="1" t="n">
        <f aca="false">IF($A1117="","",IF(R1117="","",R1117+Q1117))</f>
        <v>224029</v>
      </c>
      <c r="T1117" s="1" t="n">
        <f aca="false">IF($A1117="","",IF(OR(S1117="",N1117&lt;=0),"",S1117/1000*12/N1117))</f>
        <v>448.058</v>
      </c>
      <c r="U1117" s="1" t="n">
        <f aca="false">IF($A1117="","",IF(OR(T1117="",J1117=0,J1117=""),"",T1117/J1117))</f>
        <v>0.0408439380127621</v>
      </c>
      <c r="V1117" s="1" t="n">
        <f aca="false">IF($A1117="","",IF(OR(R1117="",N1117&lt;=0,J1117=0,J1117=""),"",(R1117/1000*12/N1117)/J1117))</f>
        <v>0.0359425706472197</v>
      </c>
      <c r="W1117" s="1" t="n">
        <f aca="false">IF($A1117="","",IF(OR(T1117="",K1117=0,K1117=""),"",T1117/K1117))</f>
        <v>0.0379710169491525</v>
      </c>
      <c r="X1117" s="1" t="n">
        <f aca="false">IF($A1117="","",IF(OR(N1117&lt;=0,I1117=0,I1117="",O1117=0),"",O1117*1000/(I1117*0.3025)/N1117))</f>
        <v>22670.01707385</v>
      </c>
      <c r="Y1117" s="1" t="n">
        <f aca="false">IF($A1117="","",IF(OR(O1117=0,O1117="",P1117=0),"",P1117/O1117))</f>
        <v>0.384248992722616</v>
      </c>
      <c r="Z1117" s="1" t="str">
        <f aca="false">IF($A1117="","",IFERROR(INDEX(物件収支!$E:$E,MATCH($A1117,物件収支!$A:$A,0)),""))</f>
        <v>開示（物件別・費用内訳含む）</v>
      </c>
    </row>
    <row r="1118" customFormat="false" ht="15" hidden="false" customHeight="true" outlineLevel="0" collapsed="false">
      <c r="A1118" s="1" t="str">
        <f aca="false">IF(物件マスタ!A1118="","",物件マスタ!A1118)</f>
        <v>HLC-032</v>
      </c>
      <c r="B1118" s="1" t="str">
        <f aca="false">IF($A1118="","",物件マスタ!B1118)</f>
        <v>HLC</v>
      </c>
      <c r="C1118" s="1" t="str">
        <f aca="false">IF($A1118="","",IFERROR(INDEX(法人マスタ!$C:$C,MATCH($B1118,法人マスタ!$A:$A,0)),""))</f>
        <v>ヒューリックリート投資法人</v>
      </c>
      <c r="D1118" s="1" t="str">
        <f aca="false">IF($A1118="","",物件マスタ!C1118)</f>
        <v>ヒューリック駒込ビル</v>
      </c>
      <c r="E1118" s="1" t="str">
        <f aca="false">IF($A1118="","",物件マスタ!H1118)</f>
        <v>その他東京23区</v>
      </c>
      <c r="F1118" s="53" t="n">
        <f aca="false">IF($A1118="","",物件マスタ!P1118)</f>
        <v>40909</v>
      </c>
      <c r="G1118" s="1" t="n">
        <f aca="false">IF($A1118="","",物件マスタ!Q1118)</f>
        <v>14.6</v>
      </c>
      <c r="H1118" s="1" t="n">
        <f aca="false">IF($A1118="","",物件マスタ!L1118)</f>
        <v>0</v>
      </c>
      <c r="I1118" s="1" t="n">
        <f aca="false">IF($A1118="","",物件マスタ!M1118)</f>
        <v>1310.4</v>
      </c>
      <c r="J1118" s="1" t="n">
        <f aca="false">IF($A1118="","",物件マスタ!S1118)</f>
        <v>1930</v>
      </c>
      <c r="K1118" s="1" t="n">
        <f aca="false">IF($A1118="","",物件マスタ!U1118)</f>
        <v>1989</v>
      </c>
      <c r="L1118" s="1" t="n">
        <f aca="false">IF($A1118="","",物件マスタ!W1118)</f>
        <v>1</v>
      </c>
      <c r="M1118" s="1" t="str">
        <f aca="false">IF($A1118="","",IFERROR(INDEX(法人マスタ!$H:$H,MATCH($B1118,法人マスタ!$A:$A,0)),""))</f>
        <v>2026年2月期（第24期）</v>
      </c>
      <c r="N1118" s="1" t="n">
        <f aca="false">IF($A1118="","",SUMIFS(物件収支!$D:$D,物件収支!$A:$A,$A1118,物件収支!$C:$C,$M1118))</f>
        <v>6</v>
      </c>
      <c r="O1118" s="1" t="n">
        <f aca="false">IF($A1118="","",SUMIFS(物件収支!$F:$F,物件収支!$A:$A,$A1118,物件収支!$C:$C,$M1118))</f>
        <v>0</v>
      </c>
      <c r="P1118" s="1" t="n">
        <f aca="false">IF($A1118="","",SUMIFS(物件収支!$I:$I,物件収支!$A:$A,$A1118,物件収支!$C:$C,$M1118))</f>
        <v>0</v>
      </c>
      <c r="Q1118" s="1" t="n">
        <f aca="false">IF($A1118="","",SUMIFS(物件収支!$O:$O,物件収支!$A:$A,$A1118,物件収支!$C:$C,$M1118))</f>
        <v>0</v>
      </c>
      <c r="R1118" s="1" t="str">
        <f aca="false">IF($A1118="","",IF(P1118=0,"",O1118-P1118))</f>
        <v/>
      </c>
      <c r="S1118" s="1" t="str">
        <f aca="false">IF($A1118="","",IF(R1118="","",R1118+Q1118))</f>
        <v/>
      </c>
      <c r="T1118" s="1" t="str">
        <f aca="false">IF($A1118="","",IF(OR(S1118="",N1118&lt;=0),"",S1118/1000*12/N1118))</f>
        <v/>
      </c>
      <c r="U1118" s="1" t="str">
        <f aca="false">IF($A1118="","",IF(OR(T1118="",J1118=0,J1118=""),"",T1118/J1118))</f>
        <v/>
      </c>
      <c r="V1118" s="1" t="str">
        <f aca="false">IF($A1118="","",IF(OR(R1118="",N1118&lt;=0,J1118=0,J1118=""),"",(R1118/1000*12/N1118)/J1118))</f>
        <v/>
      </c>
      <c r="W1118" s="1" t="str">
        <f aca="false">IF($A1118="","",IF(OR(T1118="",K1118=0,K1118=""),"",T1118/K1118))</f>
        <v/>
      </c>
      <c r="X1118" s="1" t="str">
        <f aca="false">IF($A1118="","",IF(OR(N1118&lt;=0,I1118=0,I1118="",O1118=0),"",O1118*1000/(I1118*0.3025)/N1118))</f>
        <v/>
      </c>
      <c r="Y1118" s="1" t="str">
        <f aca="false">IF($A1118="","",IF(OR(O1118=0,O1118="",P1118=0),"",P1118/O1118))</f>
        <v/>
      </c>
      <c r="Z1118" s="1" t="str">
        <f aca="false">IF($A1118="","",IFERROR(INDEX(物件収支!$E:$E,MATCH($A1118,物件収支!$A:$A,0)),""))</f>
        <v>非開示（NOIのみ開示）</v>
      </c>
    </row>
    <row r="1119" customFormat="false" ht="15" hidden="false" customHeight="true" outlineLevel="0" collapsed="false">
      <c r="A1119" s="1" t="str">
        <f aca="false">IF(物件マスタ!A1119="","",物件マスタ!A1119)</f>
        <v>HLC-033</v>
      </c>
      <c r="B1119" s="1" t="str">
        <f aca="false">IF($A1119="","",物件マスタ!B1119)</f>
        <v>HLC</v>
      </c>
      <c r="C1119" s="1" t="str">
        <f aca="false">IF($A1119="","",IFERROR(INDEX(法人マスタ!$C:$C,MATCH($B1119,法人マスタ!$A:$A,0)),""))</f>
        <v>ヒューリックリート投資法人</v>
      </c>
      <c r="D1119" s="1" t="str">
        <f aca="false">IF($A1119="","",物件マスタ!C1119)</f>
        <v>亀戸富士ビル</v>
      </c>
      <c r="E1119" s="1" t="str">
        <f aca="false">IF($A1119="","",物件マスタ!H1119)</f>
        <v>その他東京23区</v>
      </c>
      <c r="F1119" s="53" t="n">
        <f aca="false">IF($A1119="","",物件マスタ!P1119)</f>
        <v>29068</v>
      </c>
      <c r="G1119" s="1" t="n">
        <f aca="false">IF($A1119="","",物件マスタ!Q1119)</f>
        <v>47</v>
      </c>
      <c r="H1119" s="1" t="n">
        <f aca="false">IF($A1119="","",物件マスタ!L1119)</f>
        <v>0</v>
      </c>
      <c r="I1119" s="1" t="n">
        <f aca="false">IF($A1119="","",物件マスタ!M1119)</f>
        <v>2376.29</v>
      </c>
      <c r="J1119" s="1" t="n">
        <f aca="false">IF($A1119="","",物件マスタ!S1119)</f>
        <v>3000</v>
      </c>
      <c r="K1119" s="1" t="n">
        <f aca="false">IF($A1119="","",物件マスタ!U1119)</f>
        <v>3375</v>
      </c>
      <c r="L1119" s="1" t="n">
        <f aca="false">IF($A1119="","",物件マスタ!W1119)</f>
        <v>1</v>
      </c>
      <c r="M1119" s="1" t="str">
        <f aca="false">IF($A1119="","",IFERROR(INDEX(法人マスタ!$H:$H,MATCH($B1119,法人マスタ!$A:$A,0)),""))</f>
        <v>2026年2月期（第24期）</v>
      </c>
      <c r="N1119" s="1" t="n">
        <f aca="false">IF($A1119="","",SUMIFS(物件収支!$D:$D,物件収支!$A:$A,$A1119,物件収支!$C:$C,$M1119))</f>
        <v>6</v>
      </c>
      <c r="O1119" s="1" t="n">
        <f aca="false">IF($A1119="","",SUMIFS(物件収支!$F:$F,物件収支!$A:$A,$A1119,物件収支!$C:$C,$M1119))</f>
        <v>0</v>
      </c>
      <c r="P1119" s="1" t="n">
        <f aca="false">IF($A1119="","",SUMIFS(物件収支!$I:$I,物件収支!$A:$A,$A1119,物件収支!$C:$C,$M1119))</f>
        <v>0</v>
      </c>
      <c r="Q1119" s="1" t="n">
        <f aca="false">IF($A1119="","",SUMIFS(物件収支!$O:$O,物件収支!$A:$A,$A1119,物件収支!$C:$C,$M1119))</f>
        <v>0</v>
      </c>
      <c r="R1119" s="1" t="str">
        <f aca="false">IF($A1119="","",IF(P1119=0,"",O1119-P1119))</f>
        <v/>
      </c>
      <c r="S1119" s="1" t="str">
        <f aca="false">IF($A1119="","",IF(R1119="","",R1119+Q1119))</f>
        <v/>
      </c>
      <c r="T1119" s="1" t="str">
        <f aca="false">IF($A1119="","",IF(OR(S1119="",N1119&lt;=0),"",S1119/1000*12/N1119))</f>
        <v/>
      </c>
      <c r="U1119" s="1" t="str">
        <f aca="false">IF($A1119="","",IF(OR(T1119="",J1119=0,J1119=""),"",T1119/J1119))</f>
        <v/>
      </c>
      <c r="V1119" s="1" t="str">
        <f aca="false">IF($A1119="","",IF(OR(R1119="",N1119&lt;=0,J1119=0,J1119=""),"",(R1119/1000*12/N1119)/J1119))</f>
        <v/>
      </c>
      <c r="W1119" s="1" t="str">
        <f aca="false">IF($A1119="","",IF(OR(T1119="",K1119=0,K1119=""),"",T1119/K1119))</f>
        <v/>
      </c>
      <c r="X1119" s="1" t="str">
        <f aca="false">IF($A1119="","",IF(OR(N1119&lt;=0,I1119=0,I1119="",O1119=0),"",O1119*1000/(I1119*0.3025)/N1119))</f>
        <v/>
      </c>
      <c r="Y1119" s="1" t="str">
        <f aca="false">IF($A1119="","",IF(OR(O1119=0,O1119="",P1119=0),"",P1119/O1119))</f>
        <v/>
      </c>
      <c r="Z1119" s="1" t="str">
        <f aca="false">IF($A1119="","",IFERROR(INDEX(物件収支!$E:$E,MATCH($A1119,物件収支!$A:$A,0)),""))</f>
        <v>非開示（NOIのみ開示）</v>
      </c>
    </row>
    <row r="1120" customFormat="false" ht="15" hidden="false" customHeight="true" outlineLevel="0" collapsed="false">
      <c r="A1120" s="1" t="str">
        <f aca="false">IF(物件マスタ!A1120="","",物件マスタ!A1120)</f>
        <v>HLC-034</v>
      </c>
      <c r="B1120" s="1" t="str">
        <f aca="false">IF($A1120="","",物件マスタ!B1120)</f>
        <v>HLC</v>
      </c>
      <c r="C1120" s="1" t="str">
        <f aca="false">IF($A1120="","",IFERROR(INDEX(法人マスタ!$C:$C,MATCH($B1120,法人マスタ!$A:$A,0)),""))</f>
        <v>ヒューリックリート投資法人</v>
      </c>
      <c r="D1120" s="1" t="str">
        <f aca="false">IF($A1120="","",物件マスタ!C1120)</f>
        <v>ヒューリック新宿ビル</v>
      </c>
      <c r="E1120" s="1" t="str">
        <f aca="false">IF($A1120="","",物件マスタ!H1120)</f>
        <v>都心5区</v>
      </c>
      <c r="F1120" s="53" t="n">
        <f aca="false">IF($A1120="","",物件マスタ!P1120)</f>
        <v>41913</v>
      </c>
      <c r="G1120" s="1" t="n">
        <f aca="false">IF($A1120="","",物件マスタ!Q1120)</f>
        <v>11.9</v>
      </c>
      <c r="H1120" s="1" t="n">
        <f aca="false">IF($A1120="","",物件マスタ!L1120)</f>
        <v>0</v>
      </c>
      <c r="I1120" s="1" t="n">
        <f aca="false">IF($A1120="","",物件マスタ!M1120)</f>
        <v>2723.84</v>
      </c>
      <c r="J1120" s="1" t="n">
        <f aca="false">IF($A1120="","",物件マスタ!S1120)</f>
        <v>26350</v>
      </c>
      <c r="K1120" s="1" t="n">
        <f aca="false">IF($A1120="","",物件マスタ!U1120)</f>
        <v>28290</v>
      </c>
      <c r="L1120" s="1" t="n">
        <f aca="false">IF($A1120="","",物件マスタ!W1120)</f>
        <v>1</v>
      </c>
      <c r="M1120" s="1" t="str">
        <f aca="false">IF($A1120="","",IFERROR(INDEX(法人マスタ!$H:$H,MATCH($B1120,法人マスタ!$A:$A,0)),""))</f>
        <v>2026年2月期（第24期）</v>
      </c>
      <c r="N1120" s="1" t="n">
        <f aca="false">IF($A1120="","",SUMIFS(物件収支!$D:$D,物件収支!$A:$A,$A1120,物件収支!$C:$C,$M1120))</f>
        <v>6</v>
      </c>
      <c r="O1120" s="1" t="n">
        <f aca="false">IF($A1120="","",SUMIFS(物件収支!$F:$F,物件収支!$A:$A,$A1120,物件収支!$C:$C,$M1120))</f>
        <v>447179</v>
      </c>
      <c r="P1120" s="1" t="n">
        <f aca="false">IF($A1120="","",SUMIFS(物件収支!$I:$I,物件収支!$A:$A,$A1120,物件収支!$C:$C,$M1120))</f>
        <v>46348</v>
      </c>
      <c r="Q1120" s="1" t="n">
        <f aca="false">IF($A1120="","",SUMIFS(物件収支!$O:$O,物件収支!$A:$A,$A1120,物件収支!$C:$C,$M1120))</f>
        <v>14039</v>
      </c>
      <c r="R1120" s="1" t="n">
        <f aca="false">IF($A1120="","",IF(P1120=0,"",O1120-P1120))</f>
        <v>400831</v>
      </c>
      <c r="S1120" s="1" t="n">
        <f aca="false">IF($A1120="","",IF(R1120="","",R1120+Q1120))</f>
        <v>414870</v>
      </c>
      <c r="T1120" s="1" t="n">
        <f aca="false">IF($A1120="","",IF(OR(S1120="",N1120&lt;=0),"",S1120/1000*12/N1120))</f>
        <v>829.74</v>
      </c>
      <c r="U1120" s="1" t="n">
        <f aca="false">IF($A1120="","",IF(OR(T1120="",J1120=0,J1120=""),"",T1120/J1120))</f>
        <v>0.0314891840607211</v>
      </c>
      <c r="V1120" s="1" t="n">
        <f aca="false">IF($A1120="","",IF(OR(R1120="",N1120&lt;=0,J1120=0,J1120=""),"",(R1120/1000*12/N1120)/J1120))</f>
        <v>0.030423605313093</v>
      </c>
      <c r="W1120" s="1" t="n">
        <f aca="false">IF($A1120="","",IF(OR(T1120="",K1120=0,K1120=""),"",T1120/K1120))</f>
        <v>0.0293297985153765</v>
      </c>
      <c r="X1120" s="1" t="n">
        <f aca="false">IF($A1120="","",IF(OR(N1120&lt;=0,I1120=0,I1120="",O1120=0),"",O1120*1000/(I1120*0.3025)/N1120))</f>
        <v>90453.0421482425</v>
      </c>
      <c r="Y1120" s="1" t="n">
        <f aca="false">IF($A1120="","",IF(OR(O1120=0,O1120="",P1120=0),"",P1120/O1120))</f>
        <v>0.103645296402559</v>
      </c>
      <c r="Z1120" s="1" t="str">
        <f aca="false">IF($A1120="","",IFERROR(INDEX(物件収支!$E:$E,MATCH($A1120,物件収支!$A:$A,0)),""))</f>
        <v>開示（物件別・費用内訳含む）</v>
      </c>
    </row>
    <row r="1121" customFormat="false" ht="15" hidden="false" customHeight="true" outlineLevel="0" collapsed="false">
      <c r="A1121" s="1" t="str">
        <f aca="false">IF(物件マスタ!A1121="","",物件マスタ!A1121)</f>
        <v>HLC-035</v>
      </c>
      <c r="B1121" s="1" t="str">
        <f aca="false">IF($A1121="","",物件マスタ!B1121)</f>
        <v>HLC</v>
      </c>
      <c r="C1121" s="1" t="str">
        <f aca="false">IF($A1121="","",IFERROR(INDEX(法人マスタ!$C:$C,MATCH($B1121,法人マスタ!$A:$A,0)),""))</f>
        <v>ヒューリックリート投資法人</v>
      </c>
      <c r="D1121" s="1" t="str">
        <f aca="false">IF($A1121="","",物件マスタ!C1121)</f>
        <v>大井町再開発ビル２号棟</v>
      </c>
      <c r="E1121" s="1" t="str">
        <f aca="false">IF($A1121="","",物件マスタ!H1121)</f>
        <v>その他東京23区</v>
      </c>
      <c r="F1121" s="53" t="n">
        <f aca="false">IF($A1121="","",物件マスタ!P1121)</f>
        <v>32752</v>
      </c>
      <c r="G1121" s="1" t="n">
        <f aca="false">IF($A1121="","",物件マスタ!Q1121)</f>
        <v>36.9</v>
      </c>
      <c r="H1121" s="1" t="n">
        <f aca="false">IF($A1121="","",物件マスタ!L1121)</f>
        <v>0</v>
      </c>
      <c r="I1121" s="1" t="n">
        <f aca="false">IF($A1121="","",物件マスタ!M1121)</f>
        <v>14485.66</v>
      </c>
      <c r="J1121" s="1" t="n">
        <f aca="false">IF($A1121="","",物件マスタ!S1121)</f>
        <v>9456</v>
      </c>
      <c r="K1121" s="1" t="n">
        <f aca="false">IF($A1121="","",物件マスタ!U1121)</f>
        <v>12100</v>
      </c>
      <c r="L1121" s="1" t="n">
        <f aca="false">IF($A1121="","",物件マスタ!W1121)</f>
        <v>1</v>
      </c>
      <c r="M1121" s="1" t="str">
        <f aca="false">IF($A1121="","",IFERROR(INDEX(法人マスタ!$H:$H,MATCH($B1121,法人マスタ!$A:$A,0)),""))</f>
        <v>2026年2月期（第24期）</v>
      </c>
      <c r="N1121" s="1" t="n">
        <f aca="false">IF($A1121="","",SUMIFS(物件収支!$D:$D,物件収支!$A:$A,$A1121,物件収支!$C:$C,$M1121))</f>
        <v>6</v>
      </c>
      <c r="O1121" s="1" t="n">
        <f aca="false">IF($A1121="","",SUMIFS(物件収支!$F:$F,物件収支!$A:$A,$A1121,物件収支!$C:$C,$M1121))</f>
        <v>312000</v>
      </c>
      <c r="P1121" s="1" t="n">
        <f aca="false">IF($A1121="","",SUMIFS(物件収支!$I:$I,物件収支!$A:$A,$A1121,物件収支!$C:$C,$M1121))</f>
        <v>88682</v>
      </c>
      <c r="Q1121" s="1" t="n">
        <f aca="false">IF($A1121="","",SUMIFS(物件収支!$O:$O,物件収支!$A:$A,$A1121,物件収支!$C:$C,$M1121))</f>
        <v>43515</v>
      </c>
      <c r="R1121" s="1" t="n">
        <f aca="false">IF($A1121="","",IF(P1121=0,"",O1121-P1121))</f>
        <v>223318</v>
      </c>
      <c r="S1121" s="1" t="n">
        <f aca="false">IF($A1121="","",IF(R1121="","",R1121+Q1121))</f>
        <v>266833</v>
      </c>
      <c r="T1121" s="1" t="n">
        <f aca="false">IF($A1121="","",IF(OR(S1121="",N1121&lt;=0),"",S1121/1000*12/N1121))</f>
        <v>533.666</v>
      </c>
      <c r="U1121" s="1" t="n">
        <f aca="false">IF($A1121="","",IF(OR(T1121="",J1121=0,J1121=""),"",T1121/J1121))</f>
        <v>0.0564367597292724</v>
      </c>
      <c r="V1121" s="1" t="n">
        <f aca="false">IF($A1121="","",IF(OR(R1121="",N1121&lt;=0,J1121=0,J1121=""),"",(R1121/1000*12/N1121)/J1121))</f>
        <v>0.0472330795262267</v>
      </c>
      <c r="W1121" s="1" t="n">
        <f aca="false">IF($A1121="","",IF(OR(T1121="",K1121=0,K1121=""),"",T1121/K1121))</f>
        <v>0.0441046280991736</v>
      </c>
      <c r="X1121" s="1" t="n">
        <f aca="false">IF($A1121="","",IF(OR(N1121&lt;=0,I1121=0,I1121="",O1121=0),"",O1121*1000/(I1121*0.3025)/N1121))</f>
        <v>11866.9654296926</v>
      </c>
      <c r="Y1121" s="1" t="n">
        <f aca="false">IF($A1121="","",IF(OR(O1121=0,O1121="",P1121=0),"",P1121/O1121))</f>
        <v>0.284237179487179</v>
      </c>
      <c r="Z1121" s="1" t="str">
        <f aca="false">IF($A1121="","",IFERROR(INDEX(物件収支!$E:$E,MATCH($A1121,物件収支!$A:$A,0)),""))</f>
        <v>開示（物件別・費用内訳含む）</v>
      </c>
    </row>
    <row r="1122" customFormat="false" ht="15" hidden="false" customHeight="true" outlineLevel="0" collapsed="false">
      <c r="A1122" s="1" t="str">
        <f aca="false">IF(物件マスタ!A1122="","",物件マスタ!A1122)</f>
        <v>HLC-036</v>
      </c>
      <c r="B1122" s="1" t="str">
        <f aca="false">IF($A1122="","",物件マスタ!B1122)</f>
        <v>HLC</v>
      </c>
      <c r="C1122" s="1" t="str">
        <f aca="false">IF($A1122="","",IFERROR(INDEX(法人マスタ!$C:$C,MATCH($B1122,法人マスタ!$A:$A,0)),""))</f>
        <v>ヒューリックリート投資法人</v>
      </c>
      <c r="D1122" s="1" t="str">
        <f aca="false">IF($A1122="","",物件マスタ!C1122)</f>
        <v>大井町再開発ビル１号棟</v>
      </c>
      <c r="E1122" s="1" t="str">
        <f aca="false">IF($A1122="","",物件マスタ!H1122)</f>
        <v>その他東京23区</v>
      </c>
      <c r="F1122" s="53" t="n">
        <f aca="false">IF($A1122="","",物件マスタ!P1122)</f>
        <v>32752</v>
      </c>
      <c r="G1122" s="1" t="n">
        <f aca="false">IF($A1122="","",物件マスタ!Q1122)</f>
        <v>36.9</v>
      </c>
      <c r="H1122" s="1" t="n">
        <f aca="false">IF($A1122="","",物件マスタ!L1122)</f>
        <v>0</v>
      </c>
      <c r="I1122" s="1" t="n">
        <f aca="false">IF($A1122="","",物件マスタ!M1122)</f>
        <v>10612.67</v>
      </c>
      <c r="J1122" s="1" t="n">
        <f aca="false">IF($A1122="","",物件マスタ!S1122)</f>
        <v>6166</v>
      </c>
      <c r="K1122" s="1" t="n">
        <f aca="false">IF($A1122="","",物件マスタ!U1122)</f>
        <v>7240</v>
      </c>
      <c r="L1122" s="1" t="n">
        <f aca="false">IF($A1122="","",物件マスタ!W1122)</f>
        <v>1</v>
      </c>
      <c r="M1122" s="1" t="str">
        <f aca="false">IF($A1122="","",IFERROR(INDEX(法人マスタ!$H:$H,MATCH($B1122,法人マスタ!$A:$A,0)),""))</f>
        <v>2026年2月期（第24期）</v>
      </c>
      <c r="N1122" s="1" t="n">
        <f aca="false">IF($A1122="","",SUMIFS(物件収支!$D:$D,物件収支!$A:$A,$A1122,物件収支!$C:$C,$M1122))</f>
        <v>6</v>
      </c>
      <c r="O1122" s="1" t="n">
        <f aca="false">IF($A1122="","",SUMIFS(物件収支!$F:$F,物件収支!$A:$A,$A1122,物件収支!$C:$C,$M1122))</f>
        <v>218931</v>
      </c>
      <c r="P1122" s="1" t="n">
        <f aca="false">IF($A1122="","",SUMIFS(物件収支!$I:$I,物件収支!$A:$A,$A1122,物件収支!$C:$C,$M1122))</f>
        <v>83597</v>
      </c>
      <c r="Q1122" s="1" t="n">
        <f aca="false">IF($A1122="","",SUMIFS(物件収支!$O:$O,物件収支!$A:$A,$A1122,物件収支!$C:$C,$M1122))</f>
        <v>27022</v>
      </c>
      <c r="R1122" s="1" t="n">
        <f aca="false">IF($A1122="","",IF(P1122=0,"",O1122-P1122))</f>
        <v>135334</v>
      </c>
      <c r="S1122" s="1" t="n">
        <f aca="false">IF($A1122="","",IF(R1122="","",R1122+Q1122))</f>
        <v>162356</v>
      </c>
      <c r="T1122" s="1" t="n">
        <f aca="false">IF($A1122="","",IF(OR(S1122="",N1122&lt;=0),"",S1122/1000*12/N1122))</f>
        <v>324.712</v>
      </c>
      <c r="U1122" s="1" t="n">
        <f aca="false">IF($A1122="","",IF(OR(T1122="",J1122=0,J1122=""),"",T1122/J1122))</f>
        <v>0.0526616931560169</v>
      </c>
      <c r="V1122" s="1" t="n">
        <f aca="false">IF($A1122="","",IF(OR(R1122="",N1122&lt;=0,J1122=0,J1122=""),"",(R1122/1000*12/N1122)/J1122))</f>
        <v>0.043896853713915</v>
      </c>
      <c r="W1122" s="1" t="n">
        <f aca="false">IF($A1122="","",IF(OR(T1122="",K1122=0,K1122=""),"",T1122/K1122))</f>
        <v>0.0448497237569061</v>
      </c>
      <c r="X1122" s="1" t="n">
        <f aca="false">IF($A1122="","",IF(OR(N1122&lt;=0,I1122=0,I1122="",O1122=0),"",O1122*1000/(I1122*0.3025)/N1122))</f>
        <v>11365.9560219877</v>
      </c>
      <c r="Y1122" s="1" t="n">
        <f aca="false">IF($A1122="","",IF(OR(O1122=0,O1122="",P1122=0),"",P1122/O1122))</f>
        <v>0.381841767497522</v>
      </c>
      <c r="Z1122" s="1" t="str">
        <f aca="false">IF($A1122="","",IFERROR(INDEX(物件収支!$E:$E,MATCH($A1122,物件収支!$A:$A,0)),""))</f>
        <v>開示（物件別・費用内訳含む）</v>
      </c>
    </row>
    <row r="1123" customFormat="false" ht="15" hidden="false" customHeight="true" outlineLevel="0" collapsed="false">
      <c r="A1123" s="1" t="str">
        <f aca="false">IF(物件マスタ!A1123="","",物件マスタ!A1123)</f>
        <v>HLC-037</v>
      </c>
      <c r="B1123" s="1" t="str">
        <f aca="false">IF($A1123="","",物件マスタ!B1123)</f>
        <v>HLC</v>
      </c>
      <c r="C1123" s="1" t="str">
        <f aca="false">IF($A1123="","",IFERROR(INDEX(法人マスタ!$C:$C,MATCH($B1123,法人マスタ!$A:$A,0)),""))</f>
        <v>ヒューリックリート投資法人</v>
      </c>
      <c r="D1123" s="1" t="str">
        <f aca="false">IF($A1123="","",物件マスタ!C1123)</f>
        <v>ヒューリック神宮前ビル</v>
      </c>
      <c r="E1123" s="1" t="str">
        <f aca="false">IF($A1123="","",物件マスタ!H1123)</f>
        <v>都心5区</v>
      </c>
      <c r="F1123" s="53" t="n">
        <f aca="false">IF($A1123="","",物件マスタ!P1123)</f>
        <v>36770</v>
      </c>
      <c r="G1123" s="1" t="n">
        <f aca="false">IF($A1123="","",物件マスタ!Q1123)</f>
        <v>25.9</v>
      </c>
      <c r="H1123" s="1" t="n">
        <f aca="false">IF($A1123="","",物件マスタ!L1123)</f>
        <v>0</v>
      </c>
      <c r="I1123" s="1" t="n">
        <f aca="false">IF($A1123="","",物件マスタ!M1123)</f>
        <v>1660.6</v>
      </c>
      <c r="J1123" s="1" t="n">
        <f aca="false">IF($A1123="","",物件マスタ!S1123)</f>
        <v>2660</v>
      </c>
      <c r="K1123" s="1" t="n">
        <f aca="false">IF($A1123="","",物件マスタ!U1123)</f>
        <v>3600</v>
      </c>
      <c r="L1123" s="1" t="n">
        <f aca="false">IF($A1123="","",物件マスタ!W1123)</f>
        <v>1</v>
      </c>
      <c r="M1123" s="1" t="str">
        <f aca="false">IF($A1123="","",IFERROR(INDEX(法人マスタ!$H:$H,MATCH($B1123,法人マスタ!$A:$A,0)),""))</f>
        <v>2026年2月期（第24期）</v>
      </c>
      <c r="N1123" s="1" t="n">
        <f aca="false">IF($A1123="","",SUMIFS(物件収支!$D:$D,物件収支!$A:$A,$A1123,物件収支!$C:$C,$M1123))</f>
        <v>6</v>
      </c>
      <c r="O1123" s="1" t="n">
        <f aca="false">IF($A1123="","",SUMIFS(物件収支!$F:$F,物件収支!$A:$A,$A1123,物件収支!$C:$C,$M1123))</f>
        <v>88945</v>
      </c>
      <c r="P1123" s="1" t="n">
        <f aca="false">IF($A1123="","",SUMIFS(物件収支!$I:$I,物件収支!$A:$A,$A1123,物件収支!$C:$C,$M1123))</f>
        <v>25053</v>
      </c>
      <c r="Q1123" s="1" t="n">
        <f aca="false">IF($A1123="","",SUMIFS(物件収支!$O:$O,物件収支!$A:$A,$A1123,物件収支!$C:$C,$M1123))</f>
        <v>5815</v>
      </c>
      <c r="R1123" s="1" t="n">
        <f aca="false">IF($A1123="","",IF(P1123=0,"",O1123-P1123))</f>
        <v>63892</v>
      </c>
      <c r="S1123" s="1" t="n">
        <f aca="false">IF($A1123="","",IF(R1123="","",R1123+Q1123))</f>
        <v>69707</v>
      </c>
      <c r="T1123" s="1" t="n">
        <f aca="false">IF($A1123="","",IF(OR(S1123="",N1123&lt;=0),"",S1123/1000*12/N1123))</f>
        <v>139.414</v>
      </c>
      <c r="U1123" s="1" t="n">
        <f aca="false">IF($A1123="","",IF(OR(T1123="",J1123=0,J1123=""),"",T1123/J1123))</f>
        <v>0.0524112781954887</v>
      </c>
      <c r="V1123" s="1" t="n">
        <f aca="false">IF($A1123="","",IF(OR(R1123="",N1123&lt;=0,J1123=0,J1123=""),"",(R1123/1000*12/N1123)/J1123))</f>
        <v>0.0480390977443609</v>
      </c>
      <c r="W1123" s="1" t="n">
        <f aca="false">IF($A1123="","",IF(OR(T1123="",K1123=0,K1123=""),"",T1123/K1123))</f>
        <v>0.0387261111111111</v>
      </c>
      <c r="X1123" s="1" t="n">
        <f aca="false">IF($A1123="","",IF(OR(N1123&lt;=0,I1123=0,I1123="",O1123=0),"",O1123*1000/(I1123*0.3025)/N1123))</f>
        <v>29510.7248234814</v>
      </c>
      <c r="Y1123" s="1" t="n">
        <f aca="false">IF($A1123="","",IF(OR(O1123=0,O1123="",P1123=0),"",P1123/O1123))</f>
        <v>0.281668446792962</v>
      </c>
      <c r="Z1123" s="1" t="str">
        <f aca="false">IF($A1123="","",IFERROR(INDEX(物件収支!$E:$E,MATCH($A1123,物件収支!$A:$A,0)),""))</f>
        <v>開示（物件別・費用内訳含む）</v>
      </c>
    </row>
    <row r="1124" customFormat="false" ht="15" hidden="false" customHeight="true" outlineLevel="0" collapsed="false">
      <c r="A1124" s="1" t="str">
        <f aca="false">IF(物件マスタ!A1124="","",物件マスタ!A1124)</f>
        <v>HLC-038</v>
      </c>
      <c r="B1124" s="1" t="str">
        <f aca="false">IF($A1124="","",物件マスタ!B1124)</f>
        <v>HLC</v>
      </c>
      <c r="C1124" s="1" t="str">
        <f aca="false">IF($A1124="","",IFERROR(INDEX(法人マスタ!$C:$C,MATCH($B1124,法人マスタ!$A:$A,0)),""))</f>
        <v>ヒューリックリート投資法人</v>
      </c>
      <c r="D1124" s="1" t="str">
        <f aca="false">IF($A1124="","",物件マスタ!C1124)</f>
        <v>ヒューリック等々力ビル</v>
      </c>
      <c r="E1124" s="1" t="str">
        <f aca="false">IF($A1124="","",物件マスタ!H1124)</f>
        <v>その他東京23区</v>
      </c>
      <c r="F1124" s="53" t="n">
        <f aca="false">IF($A1124="","",物件マスタ!P1124)</f>
        <v>33086</v>
      </c>
      <c r="G1124" s="1" t="n">
        <f aca="false">IF($A1124="","",物件マスタ!Q1124)</f>
        <v>36</v>
      </c>
      <c r="H1124" s="1" t="n">
        <f aca="false">IF($A1124="","",物件マスタ!L1124)</f>
        <v>0</v>
      </c>
      <c r="I1124" s="1" t="n">
        <f aca="false">IF($A1124="","",物件マスタ!M1124)</f>
        <v>1676.02</v>
      </c>
      <c r="J1124" s="1" t="n">
        <f aca="false">IF($A1124="","",物件マスタ!S1124)</f>
        <v>1200</v>
      </c>
      <c r="K1124" s="1" t="n">
        <f aca="false">IF($A1124="","",物件マスタ!U1124)</f>
        <v>1460</v>
      </c>
      <c r="L1124" s="1" t="n">
        <f aca="false">IF($A1124="","",物件マスタ!W1124)</f>
        <v>1</v>
      </c>
      <c r="M1124" s="1" t="str">
        <f aca="false">IF($A1124="","",IFERROR(INDEX(法人マスタ!$H:$H,MATCH($B1124,法人マスタ!$A:$A,0)),""))</f>
        <v>2026年2月期（第24期）</v>
      </c>
      <c r="N1124" s="1" t="n">
        <f aca="false">IF($A1124="","",SUMIFS(物件収支!$D:$D,物件収支!$A:$A,$A1124,物件収支!$C:$C,$M1124))</f>
        <v>6</v>
      </c>
      <c r="O1124" s="1" t="n">
        <f aca="false">IF($A1124="","",SUMIFS(物件収支!$F:$F,物件収支!$A:$A,$A1124,物件収支!$C:$C,$M1124))</f>
        <v>55821</v>
      </c>
      <c r="P1124" s="1" t="n">
        <f aca="false">IF($A1124="","",SUMIFS(物件収支!$I:$I,物件収支!$A:$A,$A1124,物件収支!$C:$C,$M1124))</f>
        <v>25516</v>
      </c>
      <c r="Q1124" s="1" t="n">
        <f aca="false">IF($A1124="","",SUMIFS(物件収支!$O:$O,物件収支!$A:$A,$A1124,物件収支!$C:$C,$M1124))</f>
        <v>5707</v>
      </c>
      <c r="R1124" s="1" t="n">
        <f aca="false">IF($A1124="","",IF(P1124=0,"",O1124-P1124))</f>
        <v>30305</v>
      </c>
      <c r="S1124" s="1" t="n">
        <f aca="false">IF($A1124="","",IF(R1124="","",R1124+Q1124))</f>
        <v>36012</v>
      </c>
      <c r="T1124" s="1" t="n">
        <f aca="false">IF($A1124="","",IF(OR(S1124="",N1124&lt;=0),"",S1124/1000*12/N1124))</f>
        <v>72.024</v>
      </c>
      <c r="U1124" s="1" t="n">
        <f aca="false">IF($A1124="","",IF(OR(T1124="",J1124=0,J1124=""),"",T1124/J1124))</f>
        <v>0.06002</v>
      </c>
      <c r="V1124" s="1" t="n">
        <f aca="false">IF($A1124="","",IF(OR(R1124="",N1124&lt;=0,J1124=0,J1124=""),"",(R1124/1000*12/N1124)/J1124))</f>
        <v>0.0505083333333333</v>
      </c>
      <c r="W1124" s="1" t="n">
        <f aca="false">IF($A1124="","",IF(OR(T1124="",K1124=0,K1124=""),"",T1124/K1124))</f>
        <v>0.0493315068493151</v>
      </c>
      <c r="X1124" s="1" t="n">
        <f aca="false">IF($A1124="","",IF(OR(N1124&lt;=0,I1124=0,I1124="",O1124=0),"",O1124*1000/(I1124*0.3025)/N1124))</f>
        <v>18350.2415847224</v>
      </c>
      <c r="Y1124" s="1" t="n">
        <f aca="false">IF($A1124="","",IF(OR(O1124=0,O1124="",P1124=0),"",P1124/O1124))</f>
        <v>0.457103957292059</v>
      </c>
      <c r="Z1124" s="1" t="str">
        <f aca="false">IF($A1124="","",IFERROR(INDEX(物件収支!$E:$E,MATCH($A1124,物件収支!$A:$A,0)),""))</f>
        <v>開示（物件別・費用内訳含む）</v>
      </c>
    </row>
    <row r="1125" customFormat="false" ht="15" hidden="false" customHeight="true" outlineLevel="0" collapsed="false">
      <c r="A1125" s="1" t="str">
        <f aca="false">IF(物件マスタ!A1125="","",物件マスタ!A1125)</f>
        <v>HLC-039</v>
      </c>
      <c r="B1125" s="1" t="str">
        <f aca="false">IF($A1125="","",物件マスタ!B1125)</f>
        <v>HLC</v>
      </c>
      <c r="C1125" s="1" t="str">
        <f aca="false">IF($A1125="","",IFERROR(INDEX(法人マスタ!$C:$C,MATCH($B1125,法人マスタ!$A:$A,0)),""))</f>
        <v>ヒューリックリート投資法人</v>
      </c>
      <c r="D1125" s="1" t="str">
        <f aca="false">IF($A1125="","",物件マスタ!C1125)</f>
        <v>HULIC &amp;New SHIBUYA</v>
      </c>
      <c r="E1125" s="1" t="str">
        <f aca="false">IF($A1125="","",物件マスタ!H1125)</f>
        <v>都心5区</v>
      </c>
      <c r="F1125" s="53" t="n">
        <f aca="false">IF($A1125="","",物件マスタ!P1125)</f>
        <v>42826</v>
      </c>
      <c r="G1125" s="1" t="n">
        <f aca="false">IF($A1125="","",物件マスタ!Q1125)</f>
        <v>9.4</v>
      </c>
      <c r="H1125" s="1" t="n">
        <f aca="false">IF($A1125="","",物件マスタ!L1125)</f>
        <v>0</v>
      </c>
      <c r="I1125" s="1" t="n">
        <f aca="false">IF($A1125="","",物件マスタ!M1125)</f>
        <v>898.62</v>
      </c>
      <c r="J1125" s="1" t="n">
        <f aca="false">IF($A1125="","",物件マスタ!S1125)</f>
        <v>3150</v>
      </c>
      <c r="K1125" s="1" t="n">
        <f aca="false">IF($A1125="","",物件マスタ!U1125)</f>
        <v>3655</v>
      </c>
      <c r="L1125" s="1" t="n">
        <f aca="false">IF($A1125="","",物件マスタ!W1125)</f>
        <v>1</v>
      </c>
      <c r="M1125" s="1" t="str">
        <f aca="false">IF($A1125="","",IFERROR(INDEX(法人マスタ!$H:$H,MATCH($B1125,法人マスタ!$A:$A,0)),""))</f>
        <v>2026年2月期（第24期）</v>
      </c>
      <c r="N1125" s="1" t="n">
        <f aca="false">IF($A1125="","",SUMIFS(物件収支!$D:$D,物件収支!$A:$A,$A1125,物件収支!$C:$C,$M1125))</f>
        <v>6</v>
      </c>
      <c r="O1125" s="1" t="n">
        <f aca="false">IF($A1125="","",SUMIFS(物件収支!$F:$F,物件収支!$A:$A,$A1125,物件収支!$C:$C,$M1125))</f>
        <v>71038</v>
      </c>
      <c r="P1125" s="1" t="n">
        <f aca="false">IF($A1125="","",SUMIFS(物件収支!$I:$I,物件収支!$A:$A,$A1125,物件収支!$C:$C,$M1125))</f>
        <v>25229</v>
      </c>
      <c r="Q1125" s="1" t="n">
        <f aca="false">IF($A1125="","",SUMIFS(物件収支!$O:$O,物件収支!$A:$A,$A1125,物件収支!$C:$C,$M1125))</f>
        <v>8696</v>
      </c>
      <c r="R1125" s="1" t="n">
        <f aca="false">IF($A1125="","",IF(P1125=0,"",O1125-P1125))</f>
        <v>45809</v>
      </c>
      <c r="S1125" s="1" t="n">
        <f aca="false">IF($A1125="","",IF(R1125="","",R1125+Q1125))</f>
        <v>54505</v>
      </c>
      <c r="T1125" s="1" t="n">
        <f aca="false">IF($A1125="","",IF(OR(S1125="",N1125&lt;=0),"",S1125/1000*12/N1125))</f>
        <v>109.01</v>
      </c>
      <c r="U1125" s="1" t="n">
        <f aca="false">IF($A1125="","",IF(OR(T1125="",J1125=0,J1125=""),"",T1125/J1125))</f>
        <v>0.0346063492063492</v>
      </c>
      <c r="V1125" s="1" t="n">
        <f aca="false">IF($A1125="","",IF(OR(R1125="",N1125&lt;=0,J1125=0,J1125=""),"",(R1125/1000*12/N1125)/J1125))</f>
        <v>0.0290850793650794</v>
      </c>
      <c r="W1125" s="1" t="n">
        <f aca="false">IF($A1125="","",IF(OR(T1125="",K1125=0,K1125=""),"",T1125/K1125))</f>
        <v>0.0298248974008208</v>
      </c>
      <c r="X1125" s="1" t="n">
        <f aca="false">IF($A1125="","",IF(OR(N1125&lt;=0,I1125=0,I1125="",O1125=0),"",O1125*1000/(I1125*0.3025)/N1125))</f>
        <v>43554.9998212748</v>
      </c>
      <c r="Y1125" s="1" t="n">
        <f aca="false">IF($A1125="","",IF(OR(O1125=0,O1125="",P1125=0),"",P1125/O1125))</f>
        <v>0.35514794898505</v>
      </c>
      <c r="Z1125" s="1" t="str">
        <f aca="false">IF($A1125="","",IFERROR(INDEX(物件収支!$E:$E,MATCH($A1125,物件収支!$A:$A,0)),""))</f>
        <v>開示（物件別・費用内訳含む）</v>
      </c>
    </row>
    <row r="1126" customFormat="false" ht="15" hidden="false" customHeight="true" outlineLevel="0" collapsed="false">
      <c r="A1126" s="1" t="str">
        <f aca="false">IF(物件マスタ!A1126="","",物件マスタ!A1126)</f>
        <v>HLC-040</v>
      </c>
      <c r="B1126" s="1" t="str">
        <f aca="false">IF($A1126="","",物件マスタ!B1126)</f>
        <v>HLC</v>
      </c>
      <c r="C1126" s="1" t="str">
        <f aca="false">IF($A1126="","",IFERROR(INDEX(法人マスタ!$C:$C,MATCH($B1126,法人マスタ!$A:$A,0)),""))</f>
        <v>ヒューリックリート投資法人</v>
      </c>
      <c r="D1126" s="1" t="str">
        <f aca="false">IF($A1126="","",物件マスタ!C1126)</f>
        <v>HULIC &amp;New SHINBASHI</v>
      </c>
      <c r="E1126" s="1" t="str">
        <f aca="false">IF($A1126="","",物件マスタ!H1126)</f>
        <v>都心5区</v>
      </c>
      <c r="F1126" s="53" t="n">
        <f aca="false">IF($A1126="","",物件マスタ!P1126)</f>
        <v>42826</v>
      </c>
      <c r="G1126" s="1" t="n">
        <f aca="false">IF($A1126="","",物件マスタ!Q1126)</f>
        <v>9.4</v>
      </c>
      <c r="H1126" s="1" t="n">
        <f aca="false">IF($A1126="","",物件マスタ!L1126)</f>
        <v>0</v>
      </c>
      <c r="I1126" s="1" t="n">
        <f aca="false">IF($A1126="","",物件マスタ!M1126)</f>
        <v>1725.35</v>
      </c>
      <c r="J1126" s="1" t="n">
        <f aca="false">IF($A1126="","",物件マスタ!S1126)</f>
        <v>3100</v>
      </c>
      <c r="K1126" s="1" t="n">
        <f aca="false">IF($A1126="","",物件マスタ!U1126)</f>
        <v>3440</v>
      </c>
      <c r="L1126" s="1" t="n">
        <f aca="false">IF($A1126="","",物件マスタ!W1126)</f>
        <v>1</v>
      </c>
      <c r="M1126" s="1" t="str">
        <f aca="false">IF($A1126="","",IFERROR(INDEX(法人マスタ!$H:$H,MATCH($B1126,法人マスタ!$A:$A,0)),""))</f>
        <v>2026年2月期（第24期）</v>
      </c>
      <c r="N1126" s="1" t="n">
        <f aca="false">IF($A1126="","",SUMIFS(物件収支!$D:$D,物件収支!$A:$A,$A1126,物件収支!$C:$C,$M1126))</f>
        <v>6</v>
      </c>
      <c r="O1126" s="1" t="n">
        <f aca="false">IF($A1126="","",SUMIFS(物件収支!$F:$F,物件収支!$A:$A,$A1126,物件収支!$C:$C,$M1126))</f>
        <v>84966</v>
      </c>
      <c r="P1126" s="1" t="n">
        <f aca="false">IF($A1126="","",SUMIFS(物件収支!$I:$I,物件収支!$A:$A,$A1126,物件収支!$C:$C,$M1126))</f>
        <v>33127</v>
      </c>
      <c r="Q1126" s="1" t="n">
        <f aca="false">IF($A1126="","",SUMIFS(物件収支!$O:$O,物件収支!$A:$A,$A1126,物件収支!$C:$C,$M1126))</f>
        <v>13081</v>
      </c>
      <c r="R1126" s="1" t="n">
        <f aca="false">IF($A1126="","",IF(P1126=0,"",O1126-P1126))</f>
        <v>51839</v>
      </c>
      <c r="S1126" s="1" t="n">
        <f aca="false">IF($A1126="","",IF(R1126="","",R1126+Q1126))</f>
        <v>64920</v>
      </c>
      <c r="T1126" s="1" t="n">
        <f aca="false">IF($A1126="","",IF(OR(S1126="",N1126&lt;=0),"",S1126/1000*12/N1126))</f>
        <v>129.84</v>
      </c>
      <c r="U1126" s="1" t="n">
        <f aca="false">IF($A1126="","",IF(OR(T1126="",J1126=0,J1126=""),"",T1126/J1126))</f>
        <v>0.0418838709677419</v>
      </c>
      <c r="V1126" s="1" t="n">
        <f aca="false">IF($A1126="","",IF(OR(R1126="",N1126&lt;=0,J1126=0,J1126=""),"",(R1126/1000*12/N1126)/J1126))</f>
        <v>0.0334445161290323</v>
      </c>
      <c r="W1126" s="1" t="n">
        <f aca="false">IF($A1126="","",IF(OR(T1126="",K1126=0,K1126=""),"",T1126/K1126))</f>
        <v>0.0377441860465116</v>
      </c>
      <c r="X1126" s="1" t="n">
        <f aca="false">IF($A1126="","",IF(OR(N1126&lt;=0,I1126=0,I1126="",O1126=0),"",O1126*1000/(I1126*0.3025)/N1126))</f>
        <v>27132.595207057</v>
      </c>
      <c r="Y1126" s="1" t="n">
        <f aca="false">IF($A1126="","",IF(OR(O1126=0,O1126="",P1126=0),"",P1126/O1126))</f>
        <v>0.38988536591107</v>
      </c>
      <c r="Z1126" s="1" t="str">
        <f aca="false">IF($A1126="","",IFERROR(INDEX(物件収支!$E:$E,MATCH($A1126,物件収支!$A:$A,0)),""))</f>
        <v>開示（物件別・費用内訳含む）</v>
      </c>
    </row>
    <row r="1127" customFormat="false" ht="15" hidden="false" customHeight="true" outlineLevel="0" collapsed="false">
      <c r="A1127" s="1" t="str">
        <f aca="false">IF(物件マスタ!A1127="","",物件マスタ!A1127)</f>
        <v>HLC-041</v>
      </c>
      <c r="B1127" s="1" t="str">
        <f aca="false">IF($A1127="","",物件マスタ!B1127)</f>
        <v>HLC</v>
      </c>
      <c r="C1127" s="1" t="str">
        <f aca="false">IF($A1127="","",IFERROR(INDEX(法人マスタ!$C:$C,MATCH($B1127,法人マスタ!$A:$A,0)),""))</f>
        <v>ヒューリックリート投資法人</v>
      </c>
      <c r="D1127" s="1" t="str">
        <f aca="false">IF($A1127="","",物件マスタ!C1127)</f>
        <v>ヒューリック志村坂上</v>
      </c>
      <c r="E1127" s="1" t="str">
        <f aca="false">IF($A1127="","",物件マスタ!H1127)</f>
        <v>その他東京23区</v>
      </c>
      <c r="F1127" s="53" t="n">
        <f aca="false">IF($A1127="","",物件マスタ!P1127)</f>
        <v>42309</v>
      </c>
      <c r="G1127" s="1" t="n">
        <f aca="false">IF($A1127="","",物件マスタ!Q1127)</f>
        <v>10.8</v>
      </c>
      <c r="H1127" s="1" t="n">
        <f aca="false">IF($A1127="","",物件マスタ!L1127)</f>
        <v>0</v>
      </c>
      <c r="I1127" s="1" t="n">
        <f aca="false">IF($A1127="","",物件マスタ!M1127)</f>
        <v>11528.34</v>
      </c>
      <c r="J1127" s="1" t="n">
        <f aca="false">IF($A1127="","",物件マスタ!S1127)</f>
        <v>7556</v>
      </c>
      <c r="K1127" s="1" t="n">
        <f aca="false">IF($A1127="","",物件マスタ!U1127)</f>
        <v>7690</v>
      </c>
      <c r="L1127" s="1" t="n">
        <f aca="false">IF($A1127="","",物件マスタ!W1127)</f>
        <v>1</v>
      </c>
      <c r="M1127" s="1" t="str">
        <f aca="false">IF($A1127="","",IFERROR(INDEX(法人マスタ!$H:$H,MATCH($B1127,法人マスタ!$A:$A,0)),""))</f>
        <v>2026年2月期（第24期）</v>
      </c>
      <c r="N1127" s="1" t="n">
        <f aca="false">IF($A1127="","",SUMIFS(物件収支!$D:$D,物件収支!$A:$A,$A1127,物件収支!$C:$C,$M1127))</f>
        <v>6</v>
      </c>
      <c r="O1127" s="1" t="n">
        <f aca="false">IF($A1127="","",SUMIFS(物件収支!$F:$F,物件収支!$A:$A,$A1127,物件収支!$C:$C,$M1127))</f>
        <v>246445</v>
      </c>
      <c r="P1127" s="1" t="n">
        <f aca="false">IF($A1127="","",SUMIFS(物件収支!$I:$I,物件収支!$A:$A,$A1127,物件収支!$C:$C,$M1127))</f>
        <v>135165</v>
      </c>
      <c r="Q1127" s="1" t="n">
        <f aca="false">IF($A1127="","",SUMIFS(物件収支!$O:$O,物件収支!$A:$A,$A1127,物件収支!$C:$C,$M1127))</f>
        <v>52938</v>
      </c>
      <c r="R1127" s="1" t="n">
        <f aca="false">IF($A1127="","",IF(P1127=0,"",O1127-P1127))</f>
        <v>111280</v>
      </c>
      <c r="S1127" s="1" t="n">
        <f aca="false">IF($A1127="","",IF(R1127="","",R1127+Q1127))</f>
        <v>164218</v>
      </c>
      <c r="T1127" s="1" t="n">
        <f aca="false">IF($A1127="","",IF(OR(S1127="",N1127&lt;=0),"",S1127/1000*12/N1127))</f>
        <v>328.436</v>
      </c>
      <c r="U1127" s="1" t="n">
        <f aca="false">IF($A1127="","",IF(OR(T1127="",J1127=0,J1127=""),"",T1127/J1127))</f>
        <v>0.0434669137109582</v>
      </c>
      <c r="V1127" s="1" t="n">
        <f aca="false">IF($A1127="","",IF(OR(R1127="",N1127&lt;=0,J1127=0,J1127=""),"",(R1127/1000*12/N1127)/J1127))</f>
        <v>0.0294547379565908</v>
      </c>
      <c r="W1127" s="1" t="n">
        <f aca="false">IF($A1127="","",IF(OR(T1127="",K1127=0,K1127=""),"",T1127/K1127))</f>
        <v>0.0427094928478544</v>
      </c>
      <c r="X1127" s="1" t="n">
        <f aca="false">IF($A1127="","",IF(OR(N1127&lt;=0,I1127=0,I1127="",O1127=0),"",O1127*1000/(I1127*0.3025)/N1127))</f>
        <v>11778.1371078582</v>
      </c>
      <c r="Y1127" s="1" t="n">
        <f aca="false">IF($A1127="","",IF(OR(O1127=0,O1127="",P1127=0),"",P1127/O1127))</f>
        <v>0.548459088234697</v>
      </c>
      <c r="Z1127" s="1" t="str">
        <f aca="false">IF($A1127="","",IFERROR(INDEX(物件収支!$E:$E,MATCH($A1127,物件収支!$A:$A,0)),""))</f>
        <v>開示（物件別・費用内訳含む）</v>
      </c>
    </row>
    <row r="1128" customFormat="false" ht="15" hidden="false" customHeight="true" outlineLevel="0" collapsed="false">
      <c r="A1128" s="1" t="str">
        <f aca="false">IF(物件マスタ!A1128="","",物件マスタ!A1128)</f>
        <v>HLC-042</v>
      </c>
      <c r="B1128" s="1" t="str">
        <f aca="false">IF($A1128="","",物件マスタ!B1128)</f>
        <v>HLC</v>
      </c>
      <c r="C1128" s="1" t="str">
        <f aca="false">IF($A1128="","",IFERROR(INDEX(法人マスタ!$C:$C,MATCH($B1128,法人マスタ!$A:$A,0)),""))</f>
        <v>ヒューリックリート投資法人</v>
      </c>
      <c r="D1128" s="1" t="str">
        <f aca="false">IF($A1128="","",物件マスタ!C1128)</f>
        <v>ヒューリック目白</v>
      </c>
      <c r="E1128" s="1" t="str">
        <f aca="false">IF($A1128="","",物件マスタ!H1128)</f>
        <v>その他東京23区</v>
      </c>
      <c r="F1128" s="53" t="n">
        <f aca="false">IF($A1128="","",物件マスタ!P1128)</f>
        <v>43374</v>
      </c>
      <c r="G1128" s="1" t="n">
        <f aca="false">IF($A1128="","",物件マスタ!Q1128)</f>
        <v>7.9</v>
      </c>
      <c r="H1128" s="1" t="n">
        <f aca="false">IF($A1128="","",物件マスタ!L1128)</f>
        <v>0</v>
      </c>
      <c r="I1128" s="1" t="n">
        <f aca="false">IF($A1128="","",物件マスタ!M1128)</f>
        <v>3805.72</v>
      </c>
      <c r="J1128" s="1" t="n">
        <f aca="false">IF($A1128="","",物件マスタ!S1128)</f>
        <v>5670</v>
      </c>
      <c r="K1128" s="1" t="n">
        <f aca="false">IF($A1128="","",物件マスタ!U1128)</f>
        <v>6610</v>
      </c>
      <c r="L1128" s="1" t="n">
        <f aca="false">IF($A1128="","",物件マスタ!W1128)</f>
        <v>1</v>
      </c>
      <c r="M1128" s="1" t="str">
        <f aca="false">IF($A1128="","",IFERROR(INDEX(法人マスタ!$H:$H,MATCH($B1128,法人マスタ!$A:$A,0)),""))</f>
        <v>2026年2月期（第24期）</v>
      </c>
      <c r="N1128" s="1" t="n">
        <f aca="false">IF($A1128="","",SUMIFS(物件収支!$D:$D,物件収支!$A:$A,$A1128,物件収支!$C:$C,$M1128))</f>
        <v>6</v>
      </c>
      <c r="O1128" s="1" t="n">
        <f aca="false">IF($A1128="","",SUMIFS(物件収支!$F:$F,物件収支!$A:$A,$A1128,物件収支!$C:$C,$M1128))</f>
        <v>152573</v>
      </c>
      <c r="P1128" s="1" t="n">
        <f aca="false">IF($A1128="","",SUMIFS(物件収支!$I:$I,物件収支!$A:$A,$A1128,物件収支!$C:$C,$M1128))</f>
        <v>56226</v>
      </c>
      <c r="Q1128" s="1" t="n">
        <f aca="false">IF($A1128="","",SUMIFS(物件収支!$O:$O,物件収支!$A:$A,$A1128,物件収支!$C:$C,$M1128))</f>
        <v>23701</v>
      </c>
      <c r="R1128" s="1" t="n">
        <f aca="false">IF($A1128="","",IF(P1128=0,"",O1128-P1128))</f>
        <v>96347</v>
      </c>
      <c r="S1128" s="1" t="n">
        <f aca="false">IF($A1128="","",IF(R1128="","",R1128+Q1128))</f>
        <v>120048</v>
      </c>
      <c r="T1128" s="1" t="n">
        <f aca="false">IF($A1128="","",IF(OR(S1128="",N1128&lt;=0),"",S1128/1000*12/N1128))</f>
        <v>240.096</v>
      </c>
      <c r="U1128" s="1" t="n">
        <f aca="false">IF($A1128="","",IF(OR(T1128="",J1128=0,J1128=""),"",T1128/J1128))</f>
        <v>0.0423449735449735</v>
      </c>
      <c r="V1128" s="1" t="n">
        <f aca="false">IF($A1128="","",IF(OR(R1128="",N1128&lt;=0,J1128=0,J1128=""),"",(R1128/1000*12/N1128)/J1128))</f>
        <v>0.0339848324514991</v>
      </c>
      <c r="W1128" s="1" t="n">
        <f aca="false">IF($A1128="","",IF(OR(T1128="",K1128=0,K1128=""),"",T1128/K1128))</f>
        <v>0.0363231467473525</v>
      </c>
      <c r="X1128" s="1" t="n">
        <f aca="false">IF($A1128="","",IF(OR(N1128&lt;=0,I1128=0,I1128="",O1128=0),"",O1128*1000/(I1128*0.3025)/N1128))</f>
        <v>22088.3982408501</v>
      </c>
      <c r="Y1128" s="1" t="n">
        <f aca="false">IF($A1128="","",IF(OR(O1128=0,O1128="",P1128=0),"",P1128/O1128))</f>
        <v>0.368518676305768</v>
      </c>
      <c r="Z1128" s="1" t="str">
        <f aca="false">IF($A1128="","",IFERROR(INDEX(物件収支!$E:$E,MATCH($A1128,物件収支!$A:$A,0)),""))</f>
        <v>開示（物件別・費用内訳含む）</v>
      </c>
    </row>
    <row r="1129" customFormat="false" ht="15" hidden="false" customHeight="true" outlineLevel="0" collapsed="false">
      <c r="A1129" s="1" t="str">
        <f aca="false">IF(物件マスタ!A1129="","",物件マスタ!A1129)</f>
        <v>HLC-043</v>
      </c>
      <c r="B1129" s="1" t="str">
        <f aca="false">IF($A1129="","",物件マスタ!B1129)</f>
        <v>HLC</v>
      </c>
      <c r="C1129" s="1" t="str">
        <f aca="false">IF($A1129="","",IFERROR(INDEX(法人マスタ!$C:$C,MATCH($B1129,法人マスタ!$A:$A,0)),""))</f>
        <v>ヒューリックリート投資法人</v>
      </c>
      <c r="D1129" s="1" t="str">
        <f aca="false">IF($A1129="","",物件マスタ!C1129)</f>
        <v>相鉄フレッサイン銀座七丁目</v>
      </c>
      <c r="E1129" s="1" t="str">
        <f aca="false">IF($A1129="","",物件マスタ!H1129)</f>
        <v>都心5区</v>
      </c>
      <c r="F1129" s="53" t="n">
        <f aca="false">IF($A1129="","",物件マスタ!P1129)</f>
        <v>42583</v>
      </c>
      <c r="G1129" s="1" t="n">
        <f aca="false">IF($A1129="","",物件マスタ!Q1129)</f>
        <v>10</v>
      </c>
      <c r="H1129" s="1" t="n">
        <f aca="false">IF($A1129="","",物件マスタ!L1129)</f>
        <v>0</v>
      </c>
      <c r="I1129" s="1" t="n">
        <f aca="false">IF($A1129="","",物件マスタ!M1129)</f>
        <v>6984.32</v>
      </c>
      <c r="J1129" s="1" t="n">
        <f aca="false">IF($A1129="","",物件マスタ!S1129)</f>
        <v>11520</v>
      </c>
      <c r="K1129" s="1" t="n">
        <f aca="false">IF($A1129="","",物件マスタ!U1129)</f>
        <v>15600</v>
      </c>
      <c r="L1129" s="1" t="n">
        <f aca="false">IF($A1129="","",物件マスタ!W1129)</f>
        <v>1</v>
      </c>
      <c r="M1129" s="1" t="str">
        <f aca="false">IF($A1129="","",IFERROR(INDEX(法人マスタ!$H:$H,MATCH($B1129,法人マスタ!$A:$A,0)),""))</f>
        <v>2026年2月期（第24期）</v>
      </c>
      <c r="N1129" s="1" t="n">
        <f aca="false">IF($A1129="","",SUMIFS(物件収支!$D:$D,物件収支!$A:$A,$A1129,物件収支!$C:$C,$M1129))</f>
        <v>6</v>
      </c>
      <c r="O1129" s="1" t="n">
        <f aca="false">IF($A1129="","",SUMIFS(物件収支!$F:$F,物件収支!$A:$A,$A1129,物件収支!$C:$C,$M1129))</f>
        <v>388810</v>
      </c>
      <c r="P1129" s="1" t="n">
        <f aca="false">IF($A1129="","",SUMIFS(物件収支!$I:$I,物件収支!$A:$A,$A1129,物件収支!$C:$C,$M1129))</f>
        <v>60577</v>
      </c>
      <c r="Q1129" s="1" t="n">
        <f aca="false">IF($A1129="","",SUMIFS(物件収支!$O:$O,物件収支!$A:$A,$A1129,物件収支!$C:$C,$M1129))</f>
        <v>28504</v>
      </c>
      <c r="R1129" s="1" t="n">
        <f aca="false">IF($A1129="","",IF(P1129=0,"",O1129-P1129))</f>
        <v>328233</v>
      </c>
      <c r="S1129" s="1" t="n">
        <f aca="false">IF($A1129="","",IF(R1129="","",R1129+Q1129))</f>
        <v>356737</v>
      </c>
      <c r="T1129" s="1" t="n">
        <f aca="false">IF($A1129="","",IF(OR(S1129="",N1129&lt;=0),"",S1129/1000*12/N1129))</f>
        <v>713.474</v>
      </c>
      <c r="U1129" s="1" t="n">
        <f aca="false">IF($A1129="","",IF(OR(T1129="",J1129=0,J1129=""),"",T1129/J1129))</f>
        <v>0.0619335069444444</v>
      </c>
      <c r="V1129" s="1" t="n">
        <f aca="false">IF($A1129="","",IF(OR(R1129="",N1129&lt;=0,J1129=0,J1129=""),"",(R1129/1000*12/N1129)/J1129))</f>
        <v>0.0569848958333333</v>
      </c>
      <c r="W1129" s="1" t="n">
        <f aca="false">IF($A1129="","",IF(OR(T1129="",K1129=0,K1129=""),"",T1129/K1129))</f>
        <v>0.0457355128205128</v>
      </c>
      <c r="X1129" s="1" t="n">
        <f aca="false">IF($A1129="","",IF(OR(N1129&lt;=0,I1129=0,I1129="",O1129=0),"",O1129*1000/(I1129*0.3025)/N1129))</f>
        <v>30671.6166605956</v>
      </c>
      <c r="Y1129" s="1" t="n">
        <f aca="false">IF($A1129="","",IF(OR(O1129=0,O1129="",P1129=0),"",P1129/O1129))</f>
        <v>0.155801033924025</v>
      </c>
      <c r="Z1129" s="1" t="str">
        <f aca="false">IF($A1129="","",IFERROR(INDEX(物件収支!$E:$E,MATCH($A1129,物件収支!$A:$A,0)),""))</f>
        <v>開示（物件別・費用内訳含む）</v>
      </c>
    </row>
    <row r="1130" customFormat="false" ht="15" hidden="false" customHeight="true" outlineLevel="0" collapsed="false">
      <c r="A1130" s="1" t="str">
        <f aca="false">IF(物件マスタ!A1130="","",物件マスタ!A1130)</f>
        <v>HLC-044</v>
      </c>
      <c r="B1130" s="1" t="str">
        <f aca="false">IF($A1130="","",物件マスタ!B1130)</f>
        <v>HLC</v>
      </c>
      <c r="C1130" s="1" t="str">
        <f aca="false">IF($A1130="","",IFERROR(INDEX(法人マスタ!$C:$C,MATCH($B1130,法人マスタ!$A:$A,0)),""))</f>
        <v>ヒューリックリート投資法人</v>
      </c>
      <c r="D1130" s="1" t="str">
        <f aca="false">IF($A1130="","",物件マスタ!C1130)</f>
        <v>相鉄フレッサイン東京六本木</v>
      </c>
      <c r="E1130" s="1" t="str">
        <f aca="false">IF($A1130="","",物件マスタ!H1130)</f>
        <v>都心5区</v>
      </c>
      <c r="F1130" s="53" t="n">
        <f aca="false">IF($A1130="","",物件マスタ!P1130)</f>
        <v>42948</v>
      </c>
      <c r="G1130" s="1" t="n">
        <f aca="false">IF($A1130="","",物件マスタ!Q1130)</f>
        <v>9</v>
      </c>
      <c r="H1130" s="1" t="n">
        <f aca="false">IF($A1130="","",物件マスタ!L1130)</f>
        <v>0</v>
      </c>
      <c r="I1130" s="1" t="n">
        <f aca="false">IF($A1130="","",物件マスタ!M1130)</f>
        <v>4816.89</v>
      </c>
      <c r="J1130" s="1" t="n">
        <f aca="false">IF($A1130="","",物件マスタ!S1130)</f>
        <v>9950</v>
      </c>
      <c r="K1130" s="1" t="n">
        <f aca="false">IF($A1130="","",物件マスタ!U1130)</f>
        <v>11100</v>
      </c>
      <c r="L1130" s="1" t="n">
        <f aca="false">IF($A1130="","",物件マスタ!W1130)</f>
        <v>1</v>
      </c>
      <c r="M1130" s="1" t="str">
        <f aca="false">IF($A1130="","",IFERROR(INDEX(法人マスタ!$H:$H,MATCH($B1130,法人マスタ!$A:$A,0)),""))</f>
        <v>2026年2月期（第24期）</v>
      </c>
      <c r="N1130" s="1" t="n">
        <f aca="false">IF($A1130="","",SUMIFS(物件収支!$D:$D,物件収支!$A:$A,$A1130,物件収支!$C:$C,$M1130))</f>
        <v>6</v>
      </c>
      <c r="O1130" s="1" t="n">
        <f aca="false">IF($A1130="","",SUMIFS(物件収支!$F:$F,物件収支!$A:$A,$A1130,物件収支!$C:$C,$M1130))</f>
        <v>258593</v>
      </c>
      <c r="P1130" s="1" t="n">
        <f aca="false">IF($A1130="","",SUMIFS(物件収支!$I:$I,物件収支!$A:$A,$A1130,物件収支!$C:$C,$M1130))</f>
        <v>66512</v>
      </c>
      <c r="Q1130" s="1" t="n">
        <f aca="false">IF($A1130="","",SUMIFS(物件収支!$O:$O,物件収支!$A:$A,$A1130,物件収支!$C:$C,$M1130))</f>
        <v>38433</v>
      </c>
      <c r="R1130" s="1" t="n">
        <f aca="false">IF($A1130="","",IF(P1130=0,"",O1130-P1130))</f>
        <v>192081</v>
      </c>
      <c r="S1130" s="1" t="n">
        <f aca="false">IF($A1130="","",IF(R1130="","",R1130+Q1130))</f>
        <v>230514</v>
      </c>
      <c r="T1130" s="1" t="n">
        <f aca="false">IF($A1130="","",IF(OR(S1130="",N1130&lt;=0),"",S1130/1000*12/N1130))</f>
        <v>461.028</v>
      </c>
      <c r="U1130" s="1" t="n">
        <f aca="false">IF($A1130="","",IF(OR(T1130="",J1130=0,J1130=""),"",T1130/J1130))</f>
        <v>0.0463344723618091</v>
      </c>
      <c r="V1130" s="1" t="n">
        <f aca="false">IF($A1130="","",IF(OR(R1130="",N1130&lt;=0,J1130=0,J1130=""),"",(R1130/1000*12/N1130)/J1130))</f>
        <v>0.0386092462311558</v>
      </c>
      <c r="W1130" s="1" t="n">
        <f aca="false">IF($A1130="","",IF(OR(T1130="",K1130=0,K1130=""),"",T1130/K1130))</f>
        <v>0.0415340540540541</v>
      </c>
      <c r="X1130" s="1" t="n">
        <f aca="false">IF($A1130="","",IF(OR(N1130&lt;=0,I1130=0,I1130="",O1130=0),"",O1130*1000/(I1130*0.3025)/N1130))</f>
        <v>29578.3134125263</v>
      </c>
      <c r="Y1130" s="1" t="n">
        <f aca="false">IF($A1130="","",IF(OR(O1130=0,O1130="",P1130=0),"",P1130/O1130))</f>
        <v>0.257207271658552</v>
      </c>
      <c r="Z1130" s="1" t="str">
        <f aca="false">IF($A1130="","",IFERROR(INDEX(物件収支!$E:$E,MATCH($A1130,物件収支!$A:$A,0)),""))</f>
        <v>開示（物件別・費用内訳含む）</v>
      </c>
    </row>
    <row r="1131" customFormat="false" ht="15" hidden="false" customHeight="true" outlineLevel="0" collapsed="false">
      <c r="A1131" s="1" t="str">
        <f aca="false">IF(物件マスタ!A1131="","",物件マスタ!A1131)</f>
        <v>HLC-045</v>
      </c>
      <c r="B1131" s="1" t="str">
        <f aca="false">IF($A1131="","",物件マスタ!B1131)</f>
        <v>HLC</v>
      </c>
      <c r="C1131" s="1" t="str">
        <f aca="false">IF($A1131="","",IFERROR(INDEX(法人マスタ!$C:$C,MATCH($B1131,法人マスタ!$A:$A,0)),""))</f>
        <v>ヒューリックリート投資法人</v>
      </c>
      <c r="D1131" s="1" t="str">
        <f aca="false">IF($A1131="","",物件マスタ!C1131)</f>
        <v>ヒューリック築地三丁目ビル</v>
      </c>
      <c r="E1131" s="1" t="str">
        <f aca="false">IF($A1131="","",物件マスタ!H1131)</f>
        <v>都心5区</v>
      </c>
      <c r="F1131" s="53" t="n">
        <f aca="false">IF($A1131="","",物件マスタ!P1131)</f>
        <v>43405</v>
      </c>
      <c r="G1131" s="1" t="n">
        <f aca="false">IF($A1131="","",物件マスタ!Q1131)</f>
        <v>7.8</v>
      </c>
      <c r="H1131" s="1" t="n">
        <f aca="false">IF($A1131="","",物件マスタ!L1131)</f>
        <v>0</v>
      </c>
      <c r="I1131" s="1" t="n">
        <f aca="false">IF($A1131="","",物件マスタ!M1131)</f>
        <v>4740.31</v>
      </c>
      <c r="J1131" s="1" t="n">
        <f aca="false">IF($A1131="","",物件マスタ!S1131)</f>
        <v>6972</v>
      </c>
      <c r="K1131" s="1" t="n">
        <f aca="false">IF($A1131="","",物件マスタ!U1131)</f>
        <v>7350</v>
      </c>
      <c r="L1131" s="1" t="n">
        <f aca="false">IF($A1131="","",物件マスタ!W1131)</f>
        <v>1</v>
      </c>
      <c r="M1131" s="1" t="str">
        <f aca="false">IF($A1131="","",IFERROR(INDEX(法人マスタ!$H:$H,MATCH($B1131,法人マスタ!$A:$A,0)),""))</f>
        <v>2026年2月期（第24期）</v>
      </c>
      <c r="N1131" s="1" t="n">
        <f aca="false">IF($A1131="","",SUMIFS(物件収支!$D:$D,物件収支!$A:$A,$A1131,物件収支!$C:$C,$M1131))</f>
        <v>6</v>
      </c>
      <c r="O1131" s="1" t="n">
        <f aca="false">IF($A1131="","",SUMIFS(物件収支!$F:$F,物件収支!$A:$A,$A1131,物件収支!$C:$C,$M1131))</f>
        <v>0</v>
      </c>
      <c r="P1131" s="1" t="n">
        <f aca="false">IF($A1131="","",SUMIFS(物件収支!$I:$I,物件収支!$A:$A,$A1131,物件収支!$C:$C,$M1131))</f>
        <v>0</v>
      </c>
      <c r="Q1131" s="1" t="n">
        <f aca="false">IF($A1131="","",SUMIFS(物件収支!$O:$O,物件収支!$A:$A,$A1131,物件収支!$C:$C,$M1131))</f>
        <v>0</v>
      </c>
      <c r="R1131" s="1" t="str">
        <f aca="false">IF($A1131="","",IF(P1131=0,"",O1131-P1131))</f>
        <v/>
      </c>
      <c r="S1131" s="1" t="str">
        <f aca="false">IF($A1131="","",IF(R1131="","",R1131+Q1131))</f>
        <v/>
      </c>
      <c r="T1131" s="1" t="str">
        <f aca="false">IF($A1131="","",IF(OR(S1131="",N1131&lt;=0),"",S1131/1000*12/N1131))</f>
        <v/>
      </c>
      <c r="U1131" s="1" t="str">
        <f aca="false">IF($A1131="","",IF(OR(T1131="",J1131=0,J1131=""),"",T1131/J1131))</f>
        <v/>
      </c>
      <c r="V1131" s="1" t="str">
        <f aca="false">IF($A1131="","",IF(OR(R1131="",N1131&lt;=0,J1131=0,J1131=""),"",(R1131/1000*12/N1131)/J1131))</f>
        <v/>
      </c>
      <c r="W1131" s="1" t="str">
        <f aca="false">IF($A1131="","",IF(OR(T1131="",K1131=0,K1131=""),"",T1131/K1131))</f>
        <v/>
      </c>
      <c r="X1131" s="1" t="str">
        <f aca="false">IF($A1131="","",IF(OR(N1131&lt;=0,I1131=0,I1131="",O1131=0),"",O1131*1000/(I1131*0.3025)/N1131))</f>
        <v/>
      </c>
      <c r="Y1131" s="1" t="str">
        <f aca="false">IF($A1131="","",IF(OR(O1131=0,O1131="",P1131=0),"",P1131/O1131))</f>
        <v/>
      </c>
      <c r="Z1131" s="1" t="str">
        <f aca="false">IF($A1131="","",IFERROR(INDEX(物件収支!$E:$E,MATCH($A1131,物件収支!$A:$A,0)),""))</f>
        <v>非開示</v>
      </c>
    </row>
    <row r="1132" customFormat="false" ht="15" hidden="false" customHeight="true" outlineLevel="0" collapsed="false">
      <c r="A1132" s="1" t="str">
        <f aca="false">IF(物件マスタ!A1132="","",物件マスタ!A1132)</f>
        <v>HLC-046</v>
      </c>
      <c r="B1132" s="1" t="str">
        <f aca="false">IF($A1132="","",物件マスタ!B1132)</f>
        <v>HLC</v>
      </c>
      <c r="C1132" s="1" t="str">
        <f aca="false">IF($A1132="","",IFERROR(INDEX(法人マスタ!$C:$C,MATCH($B1132,法人マスタ!$A:$A,0)),""))</f>
        <v>ヒューリックリート投資法人</v>
      </c>
      <c r="D1132" s="1" t="str">
        <f aca="false">IF($A1132="","",物件マスタ!C1132)</f>
        <v>ヒューリック雷門ビル</v>
      </c>
      <c r="E1132" s="1" t="str">
        <f aca="false">IF($A1132="","",物件マスタ!H1132)</f>
        <v>その他東京23区</v>
      </c>
      <c r="F1132" s="53" t="n">
        <f aca="false">IF($A1132="","",物件マスタ!P1132)</f>
        <v>41091</v>
      </c>
      <c r="G1132" s="1" t="n">
        <f aca="false">IF($A1132="","",物件マスタ!Q1132)</f>
        <v>14.1</v>
      </c>
      <c r="H1132" s="1" t="n">
        <f aca="false">IF($A1132="","",物件マスタ!L1132)</f>
        <v>0</v>
      </c>
      <c r="I1132" s="1" t="n">
        <f aca="false">IF($A1132="","",物件マスタ!M1132)</f>
        <v>6493.82</v>
      </c>
      <c r="J1132" s="1" t="n">
        <f aca="false">IF($A1132="","",物件マスタ!S1132)</f>
        <v>5900</v>
      </c>
      <c r="K1132" s="1" t="n">
        <f aca="false">IF($A1132="","",物件マスタ!U1132)</f>
        <v>6340</v>
      </c>
      <c r="L1132" s="1" t="n">
        <f aca="false">IF($A1132="","",物件マスタ!W1132)</f>
        <v>1</v>
      </c>
      <c r="M1132" s="1" t="str">
        <f aca="false">IF($A1132="","",IFERROR(INDEX(法人マスタ!$H:$H,MATCH($B1132,法人マスタ!$A:$A,0)),""))</f>
        <v>2026年2月期（第24期）</v>
      </c>
      <c r="N1132" s="1" t="n">
        <f aca="false">IF($A1132="","",SUMIFS(物件収支!$D:$D,物件収支!$A:$A,$A1132,物件収支!$C:$C,$M1132))</f>
        <v>6</v>
      </c>
      <c r="O1132" s="1" t="n">
        <f aca="false">IF($A1132="","",SUMIFS(物件収支!$F:$F,物件収支!$A:$A,$A1132,物件収支!$C:$C,$M1132))</f>
        <v>0</v>
      </c>
      <c r="P1132" s="1" t="n">
        <f aca="false">IF($A1132="","",SUMIFS(物件収支!$I:$I,物件収支!$A:$A,$A1132,物件収支!$C:$C,$M1132))</f>
        <v>0</v>
      </c>
      <c r="Q1132" s="1" t="n">
        <f aca="false">IF($A1132="","",SUMIFS(物件収支!$O:$O,物件収支!$A:$A,$A1132,物件収支!$C:$C,$M1132))</f>
        <v>0</v>
      </c>
      <c r="R1132" s="1" t="str">
        <f aca="false">IF($A1132="","",IF(P1132=0,"",O1132-P1132))</f>
        <v/>
      </c>
      <c r="S1132" s="1" t="str">
        <f aca="false">IF($A1132="","",IF(R1132="","",R1132+Q1132))</f>
        <v/>
      </c>
      <c r="T1132" s="1" t="str">
        <f aca="false">IF($A1132="","",IF(OR(S1132="",N1132&lt;=0),"",S1132/1000*12/N1132))</f>
        <v/>
      </c>
      <c r="U1132" s="1" t="str">
        <f aca="false">IF($A1132="","",IF(OR(T1132="",J1132=0,J1132=""),"",T1132/J1132))</f>
        <v/>
      </c>
      <c r="V1132" s="1" t="str">
        <f aca="false">IF($A1132="","",IF(OR(R1132="",N1132&lt;=0,J1132=0,J1132=""),"",(R1132/1000*12/N1132)/J1132))</f>
        <v/>
      </c>
      <c r="W1132" s="1" t="str">
        <f aca="false">IF($A1132="","",IF(OR(T1132="",K1132=0,K1132=""),"",T1132/K1132))</f>
        <v/>
      </c>
      <c r="X1132" s="1" t="str">
        <f aca="false">IF($A1132="","",IF(OR(N1132&lt;=0,I1132=0,I1132="",O1132=0),"",O1132*1000/(I1132*0.3025)/N1132))</f>
        <v/>
      </c>
      <c r="Y1132" s="1" t="str">
        <f aca="false">IF($A1132="","",IF(OR(O1132=0,O1132="",P1132=0),"",P1132/O1132))</f>
        <v/>
      </c>
      <c r="Z1132" s="1" t="str">
        <f aca="false">IF($A1132="","",IFERROR(INDEX(物件収支!$E:$E,MATCH($A1132,物件収支!$A:$A,0)),""))</f>
        <v>非開示（NOIのみ開示）</v>
      </c>
    </row>
    <row r="1133" customFormat="false" ht="15" hidden="false" customHeight="true" outlineLevel="0" collapsed="false">
      <c r="A1133" s="1" t="str">
        <f aca="false">IF(物件マスタ!A1133="","",物件マスタ!A1133)</f>
        <v>HLC-047</v>
      </c>
      <c r="B1133" s="1" t="str">
        <f aca="false">IF($A1133="","",物件マスタ!B1133)</f>
        <v>HLC</v>
      </c>
      <c r="C1133" s="1" t="str">
        <f aca="false">IF($A1133="","",IFERROR(INDEX(法人マスタ!$C:$C,MATCH($B1133,法人マスタ!$A:$A,0)),""))</f>
        <v>ヒューリックリート投資法人</v>
      </c>
      <c r="D1133" s="1" t="str">
        <f aca="false">IF($A1133="","",物件マスタ!C1133)</f>
        <v>グランドニッコー東京ベイ 舞浜</v>
      </c>
      <c r="E1133" s="1" t="str">
        <f aca="false">IF($A1133="","",物件マスタ!H1133)</f>
        <v>東京周辺都市部</v>
      </c>
      <c r="F1133" s="53" t="n">
        <f aca="false">IF($A1133="","",物件マスタ!P1133)</f>
        <v>32933</v>
      </c>
      <c r="G1133" s="1" t="n">
        <f aca="false">IF($A1133="","",物件マスタ!Q1133)</f>
        <v>36.4</v>
      </c>
      <c r="H1133" s="1" t="n">
        <f aca="false">IF($A1133="","",物件マスタ!L1133)</f>
        <v>0</v>
      </c>
      <c r="I1133" s="1" t="n">
        <f aca="false">IF($A1133="","",物件マスタ!M1133)</f>
        <v>33744.31</v>
      </c>
      <c r="J1133" s="1" t="n">
        <f aca="false">IF($A1133="","",物件マスタ!S1133)</f>
        <v>27000</v>
      </c>
      <c r="K1133" s="1" t="n">
        <f aca="false">IF($A1133="","",物件マスタ!U1133)</f>
        <v>30050</v>
      </c>
      <c r="L1133" s="1" t="n">
        <f aca="false">IF($A1133="","",物件マスタ!W1133)</f>
        <v>1</v>
      </c>
      <c r="M1133" s="1" t="str">
        <f aca="false">IF($A1133="","",IFERROR(INDEX(法人マスタ!$H:$H,MATCH($B1133,法人マスタ!$A:$A,0)),""))</f>
        <v>2026年2月期（第24期）</v>
      </c>
      <c r="N1133" s="1" t="n">
        <f aca="false">IF($A1133="","",SUMIFS(物件収支!$D:$D,物件収支!$A:$A,$A1133,物件収支!$C:$C,$M1133))</f>
        <v>6</v>
      </c>
      <c r="O1133" s="1" t="n">
        <f aca="false">IF($A1133="","",SUMIFS(物件収支!$F:$F,物件収支!$A:$A,$A1133,物件収支!$C:$C,$M1133))</f>
        <v>0</v>
      </c>
      <c r="P1133" s="1" t="n">
        <f aca="false">IF($A1133="","",SUMIFS(物件収支!$I:$I,物件収支!$A:$A,$A1133,物件収支!$C:$C,$M1133))</f>
        <v>0</v>
      </c>
      <c r="Q1133" s="1" t="n">
        <f aca="false">IF($A1133="","",SUMIFS(物件収支!$O:$O,物件収支!$A:$A,$A1133,物件収支!$C:$C,$M1133))</f>
        <v>0</v>
      </c>
      <c r="R1133" s="1" t="str">
        <f aca="false">IF($A1133="","",IF(P1133=0,"",O1133-P1133))</f>
        <v/>
      </c>
      <c r="S1133" s="1" t="str">
        <f aca="false">IF($A1133="","",IF(R1133="","",R1133+Q1133))</f>
        <v/>
      </c>
      <c r="T1133" s="1" t="str">
        <f aca="false">IF($A1133="","",IF(OR(S1133="",N1133&lt;=0),"",S1133/1000*12/N1133))</f>
        <v/>
      </c>
      <c r="U1133" s="1" t="str">
        <f aca="false">IF($A1133="","",IF(OR(T1133="",J1133=0,J1133=""),"",T1133/J1133))</f>
        <v/>
      </c>
      <c r="V1133" s="1" t="str">
        <f aca="false">IF($A1133="","",IF(OR(R1133="",N1133&lt;=0,J1133=0,J1133=""),"",(R1133/1000*12/N1133)/J1133))</f>
        <v/>
      </c>
      <c r="W1133" s="1" t="str">
        <f aca="false">IF($A1133="","",IF(OR(T1133="",K1133=0,K1133=""),"",T1133/K1133))</f>
        <v/>
      </c>
      <c r="X1133" s="1" t="str">
        <f aca="false">IF($A1133="","",IF(OR(N1133&lt;=0,I1133=0,I1133="",O1133=0),"",O1133*1000/(I1133*0.3025)/N1133))</f>
        <v/>
      </c>
      <c r="Y1133" s="1" t="str">
        <f aca="false">IF($A1133="","",IF(OR(O1133=0,O1133="",P1133=0),"",P1133/O1133))</f>
        <v/>
      </c>
      <c r="Z1133" s="1" t="str">
        <f aca="false">IF($A1133="","",IFERROR(INDEX(物件収支!$E:$E,MATCH($A1133,物件収支!$A:$A,0)),""))</f>
        <v>非開示（NOIのみ開示）</v>
      </c>
    </row>
    <row r="1134" customFormat="false" ht="15" hidden="false" customHeight="true" outlineLevel="0" collapsed="false">
      <c r="A1134" s="1" t="str">
        <f aca="false">IF(物件マスタ!A1134="","",物件マスタ!A1134)</f>
        <v>HLC-048</v>
      </c>
      <c r="B1134" s="1" t="str">
        <f aca="false">IF($A1134="","",物件マスタ!B1134)</f>
        <v>HLC</v>
      </c>
      <c r="C1134" s="1" t="str">
        <f aca="false">IF($A1134="","",IFERROR(INDEX(法人マスタ!$C:$C,MATCH($B1134,法人マスタ!$A:$A,0)),""))</f>
        <v>ヒューリックリート投資法人</v>
      </c>
      <c r="D1134" s="1" t="str">
        <f aca="false">IF($A1134="","",物件マスタ!C1134)</f>
        <v>浅草ビューホテル</v>
      </c>
      <c r="E1134" s="1" t="str">
        <f aca="false">IF($A1134="","",物件マスタ!H1134)</f>
        <v>その他東京23区</v>
      </c>
      <c r="F1134" s="53" t="n">
        <f aca="false">IF($A1134="","",物件マスタ!P1134)</f>
        <v>31229</v>
      </c>
      <c r="G1134" s="1" t="n">
        <f aca="false">IF($A1134="","",物件マスタ!Q1134)</f>
        <v>41.1</v>
      </c>
      <c r="H1134" s="1" t="n">
        <f aca="false">IF($A1134="","",物件マスタ!L1134)</f>
        <v>0</v>
      </c>
      <c r="I1134" s="1" t="n">
        <f aca="false">IF($A1134="","",物件マスタ!M1134)</f>
        <v>49360.52</v>
      </c>
      <c r="J1134" s="1" t="n">
        <f aca="false">IF($A1134="","",物件マスタ!S1134)</f>
        <v>38000</v>
      </c>
      <c r="K1134" s="1" t="n">
        <f aca="false">IF($A1134="","",物件マスタ!U1134)</f>
        <v>42000</v>
      </c>
      <c r="L1134" s="1" t="n">
        <f aca="false">IF($A1134="","",物件マスタ!W1134)</f>
        <v>1</v>
      </c>
      <c r="M1134" s="1" t="str">
        <f aca="false">IF($A1134="","",IFERROR(INDEX(法人マスタ!$H:$H,MATCH($B1134,法人マスタ!$A:$A,0)),""))</f>
        <v>2026年2月期（第24期）</v>
      </c>
      <c r="N1134" s="1" t="n">
        <f aca="false">IF($A1134="","",SUMIFS(物件収支!$D:$D,物件収支!$A:$A,$A1134,物件収支!$C:$C,$M1134))</f>
        <v>6</v>
      </c>
      <c r="O1134" s="1" t="n">
        <f aca="false">IF($A1134="","",SUMIFS(物件収支!$F:$F,物件収支!$A:$A,$A1134,物件収支!$C:$C,$M1134))</f>
        <v>0</v>
      </c>
      <c r="P1134" s="1" t="n">
        <f aca="false">IF($A1134="","",SUMIFS(物件収支!$I:$I,物件収支!$A:$A,$A1134,物件収支!$C:$C,$M1134))</f>
        <v>0</v>
      </c>
      <c r="Q1134" s="1" t="n">
        <f aca="false">IF($A1134="","",SUMIFS(物件収支!$O:$O,物件収支!$A:$A,$A1134,物件収支!$C:$C,$M1134))</f>
        <v>0</v>
      </c>
      <c r="R1134" s="1" t="str">
        <f aca="false">IF($A1134="","",IF(P1134=0,"",O1134-P1134))</f>
        <v/>
      </c>
      <c r="S1134" s="1" t="str">
        <f aca="false">IF($A1134="","",IF(R1134="","",R1134+Q1134))</f>
        <v/>
      </c>
      <c r="T1134" s="1" t="str">
        <f aca="false">IF($A1134="","",IF(OR(S1134="",N1134&lt;=0),"",S1134/1000*12/N1134))</f>
        <v/>
      </c>
      <c r="U1134" s="1" t="str">
        <f aca="false">IF($A1134="","",IF(OR(T1134="",J1134=0,J1134=""),"",T1134/J1134))</f>
        <v/>
      </c>
      <c r="V1134" s="1" t="str">
        <f aca="false">IF($A1134="","",IF(OR(R1134="",N1134&lt;=0,J1134=0,J1134=""),"",(R1134/1000*12/N1134)/J1134))</f>
        <v/>
      </c>
      <c r="W1134" s="1" t="str">
        <f aca="false">IF($A1134="","",IF(OR(T1134="",K1134=0,K1134=""),"",T1134/K1134))</f>
        <v/>
      </c>
      <c r="X1134" s="1" t="str">
        <f aca="false">IF($A1134="","",IF(OR(N1134&lt;=0,I1134=0,I1134="",O1134=0),"",O1134*1000/(I1134*0.3025)/N1134))</f>
        <v/>
      </c>
      <c r="Y1134" s="1" t="str">
        <f aca="false">IF($A1134="","",IF(OR(O1134=0,O1134="",P1134=0),"",P1134/O1134))</f>
        <v/>
      </c>
      <c r="Z1134" s="1" t="str">
        <f aca="false">IF($A1134="","",IFERROR(INDEX(物件収支!$E:$E,MATCH($A1134,物件収支!$A:$A,0)),""))</f>
        <v>非開示（NOIのみ開示）</v>
      </c>
    </row>
    <row r="1135" customFormat="false" ht="15" hidden="false" customHeight="true" outlineLevel="0" collapsed="false">
      <c r="A1135" s="1" t="str">
        <f aca="false">IF(物件マスタ!A1135="","",物件マスタ!A1135)</f>
        <v>HLC-049</v>
      </c>
      <c r="B1135" s="1" t="str">
        <f aca="false">IF($A1135="","",物件マスタ!B1135)</f>
        <v>HLC</v>
      </c>
      <c r="C1135" s="1" t="str">
        <f aca="false">IF($A1135="","",IFERROR(INDEX(法人マスタ!$C:$C,MATCH($B1135,法人マスタ!$A:$A,0)),""))</f>
        <v>ヒューリックリート投資法人</v>
      </c>
      <c r="D1135" s="1" t="str">
        <f aca="false">IF($A1135="","",物件マスタ!C1135)</f>
        <v>アリア松原</v>
      </c>
      <c r="E1135" s="1" t="str">
        <f aca="false">IF($A1135="","",物件マスタ!H1135)</f>
        <v>その他東京23区</v>
      </c>
      <c r="F1135" s="53" t="n">
        <f aca="false">IF($A1135="","",物件マスタ!P1135)</f>
        <v>38596</v>
      </c>
      <c r="G1135" s="1" t="n">
        <f aca="false">IF($A1135="","",物件マスタ!Q1135)</f>
        <v>20.9</v>
      </c>
      <c r="H1135" s="1" t="n">
        <f aca="false">IF($A1135="","",物件マスタ!L1135)</f>
        <v>0</v>
      </c>
      <c r="I1135" s="1" t="n">
        <f aca="false">IF($A1135="","",物件マスタ!M1135)</f>
        <v>5454.48</v>
      </c>
      <c r="J1135" s="1" t="n">
        <f aca="false">IF($A1135="","",物件マスタ!S1135)</f>
        <v>3244</v>
      </c>
      <c r="K1135" s="1" t="n">
        <f aca="false">IF($A1135="","",物件マスタ!U1135)</f>
        <v>4560</v>
      </c>
      <c r="L1135" s="1" t="n">
        <f aca="false">IF($A1135="","",物件マスタ!W1135)</f>
        <v>1</v>
      </c>
      <c r="M1135" s="1" t="str">
        <f aca="false">IF($A1135="","",IFERROR(INDEX(法人マスタ!$H:$H,MATCH($B1135,法人マスタ!$A:$A,0)),""))</f>
        <v>2026年2月期（第24期）</v>
      </c>
      <c r="N1135" s="1" t="n">
        <f aca="false">IF($A1135="","",SUMIFS(物件収支!$D:$D,物件収支!$A:$A,$A1135,物件収支!$C:$C,$M1135))</f>
        <v>6</v>
      </c>
      <c r="O1135" s="1" t="n">
        <f aca="false">IF($A1135="","",SUMIFS(物件収支!$F:$F,物件収支!$A:$A,$A1135,物件収支!$C:$C,$M1135))</f>
        <v>0</v>
      </c>
      <c r="P1135" s="1" t="n">
        <f aca="false">IF($A1135="","",SUMIFS(物件収支!$I:$I,物件収支!$A:$A,$A1135,物件収支!$C:$C,$M1135))</f>
        <v>0</v>
      </c>
      <c r="Q1135" s="1" t="n">
        <f aca="false">IF($A1135="","",SUMIFS(物件収支!$O:$O,物件収支!$A:$A,$A1135,物件収支!$C:$C,$M1135))</f>
        <v>0</v>
      </c>
      <c r="R1135" s="1" t="str">
        <f aca="false">IF($A1135="","",IF(P1135=0,"",O1135-P1135))</f>
        <v/>
      </c>
      <c r="S1135" s="1" t="str">
        <f aca="false">IF($A1135="","",IF(R1135="","",R1135+Q1135))</f>
        <v/>
      </c>
      <c r="T1135" s="1" t="str">
        <f aca="false">IF($A1135="","",IF(OR(S1135="",N1135&lt;=0),"",S1135/1000*12/N1135))</f>
        <v/>
      </c>
      <c r="U1135" s="1" t="str">
        <f aca="false">IF($A1135="","",IF(OR(T1135="",J1135=0,J1135=""),"",T1135/J1135))</f>
        <v/>
      </c>
      <c r="V1135" s="1" t="str">
        <f aca="false">IF($A1135="","",IF(OR(R1135="",N1135&lt;=0,J1135=0,J1135=""),"",(R1135/1000*12/N1135)/J1135))</f>
        <v/>
      </c>
      <c r="W1135" s="1" t="str">
        <f aca="false">IF($A1135="","",IF(OR(T1135="",K1135=0,K1135=""),"",T1135/K1135))</f>
        <v/>
      </c>
      <c r="X1135" s="1" t="str">
        <f aca="false">IF($A1135="","",IF(OR(N1135&lt;=0,I1135=0,I1135="",O1135=0),"",O1135*1000/(I1135*0.3025)/N1135))</f>
        <v/>
      </c>
      <c r="Y1135" s="1" t="str">
        <f aca="false">IF($A1135="","",IF(OR(O1135=0,O1135="",P1135=0),"",P1135/O1135))</f>
        <v/>
      </c>
      <c r="Z1135" s="1" t="str">
        <f aca="false">IF($A1135="","",IFERROR(INDEX(物件収支!$E:$E,MATCH($A1135,物件収支!$A:$A,0)),""))</f>
        <v>非開示（NOIのみ開示）</v>
      </c>
    </row>
    <row r="1136" customFormat="false" ht="15" hidden="false" customHeight="true" outlineLevel="0" collapsed="false">
      <c r="A1136" s="1" t="str">
        <f aca="false">IF(物件マスタ!A1136="","",物件マスタ!A1136)</f>
        <v>HLC-050</v>
      </c>
      <c r="B1136" s="1" t="str">
        <f aca="false">IF($A1136="","",物件マスタ!B1136)</f>
        <v>HLC</v>
      </c>
      <c r="C1136" s="1" t="str">
        <f aca="false">IF($A1136="","",IFERROR(INDEX(法人マスタ!$C:$C,MATCH($B1136,法人マスタ!$A:$A,0)),""))</f>
        <v>ヒューリックリート投資法人</v>
      </c>
      <c r="D1136" s="1" t="str">
        <f aca="false">IF($A1136="","",物件マスタ!C1136)</f>
        <v>トラストガーデン用賀の杜</v>
      </c>
      <c r="E1136" s="1" t="str">
        <f aca="false">IF($A1136="","",物件マスタ!H1136)</f>
        <v>その他東京23区</v>
      </c>
      <c r="F1136" s="53" t="n">
        <f aca="false">IF($A1136="","",物件マスタ!P1136)</f>
        <v>38596</v>
      </c>
      <c r="G1136" s="1" t="n">
        <f aca="false">IF($A1136="","",物件マスタ!Q1136)</f>
        <v>20.9</v>
      </c>
      <c r="H1136" s="1" t="n">
        <f aca="false">IF($A1136="","",物件マスタ!L1136)</f>
        <v>0</v>
      </c>
      <c r="I1136" s="1" t="n">
        <f aca="false">IF($A1136="","",物件マスタ!M1136)</f>
        <v>5977.75</v>
      </c>
      <c r="J1136" s="1" t="n">
        <f aca="false">IF($A1136="","",物件マスタ!S1136)</f>
        <v>5390</v>
      </c>
      <c r="K1136" s="1" t="n">
        <f aca="false">IF($A1136="","",物件マスタ!U1136)</f>
        <v>7170</v>
      </c>
      <c r="L1136" s="1" t="n">
        <f aca="false">IF($A1136="","",物件マスタ!W1136)</f>
        <v>1</v>
      </c>
      <c r="M1136" s="1" t="str">
        <f aca="false">IF($A1136="","",IFERROR(INDEX(法人マスタ!$H:$H,MATCH($B1136,法人マスタ!$A:$A,0)),""))</f>
        <v>2026年2月期（第24期）</v>
      </c>
      <c r="N1136" s="1" t="n">
        <f aca="false">IF($A1136="","",SUMIFS(物件収支!$D:$D,物件収支!$A:$A,$A1136,物件収支!$C:$C,$M1136))</f>
        <v>6</v>
      </c>
      <c r="O1136" s="1" t="n">
        <f aca="false">IF($A1136="","",SUMIFS(物件収支!$F:$F,物件収支!$A:$A,$A1136,物件収支!$C:$C,$M1136))</f>
        <v>0</v>
      </c>
      <c r="P1136" s="1" t="n">
        <f aca="false">IF($A1136="","",SUMIFS(物件収支!$I:$I,物件収支!$A:$A,$A1136,物件収支!$C:$C,$M1136))</f>
        <v>0</v>
      </c>
      <c r="Q1136" s="1" t="n">
        <f aca="false">IF($A1136="","",SUMIFS(物件収支!$O:$O,物件収支!$A:$A,$A1136,物件収支!$C:$C,$M1136))</f>
        <v>0</v>
      </c>
      <c r="R1136" s="1" t="str">
        <f aca="false">IF($A1136="","",IF(P1136=0,"",O1136-P1136))</f>
        <v/>
      </c>
      <c r="S1136" s="1" t="str">
        <f aca="false">IF($A1136="","",IF(R1136="","",R1136+Q1136))</f>
        <v/>
      </c>
      <c r="T1136" s="1" t="str">
        <f aca="false">IF($A1136="","",IF(OR(S1136="",N1136&lt;=0),"",S1136/1000*12/N1136))</f>
        <v/>
      </c>
      <c r="U1136" s="1" t="str">
        <f aca="false">IF($A1136="","",IF(OR(T1136="",J1136=0,J1136=""),"",T1136/J1136))</f>
        <v/>
      </c>
      <c r="V1136" s="1" t="str">
        <f aca="false">IF($A1136="","",IF(OR(R1136="",N1136&lt;=0,J1136=0,J1136=""),"",(R1136/1000*12/N1136)/J1136))</f>
        <v/>
      </c>
      <c r="W1136" s="1" t="str">
        <f aca="false">IF($A1136="","",IF(OR(T1136="",K1136=0,K1136=""),"",T1136/K1136))</f>
        <v/>
      </c>
      <c r="X1136" s="1" t="str">
        <f aca="false">IF($A1136="","",IF(OR(N1136&lt;=0,I1136=0,I1136="",O1136=0),"",O1136*1000/(I1136*0.3025)/N1136))</f>
        <v/>
      </c>
      <c r="Y1136" s="1" t="str">
        <f aca="false">IF($A1136="","",IF(OR(O1136=0,O1136="",P1136=0),"",P1136/O1136))</f>
        <v/>
      </c>
      <c r="Z1136" s="1" t="str">
        <f aca="false">IF($A1136="","",IFERROR(INDEX(物件収支!$E:$E,MATCH($A1136,物件収支!$A:$A,0)),""))</f>
        <v>非開示（NOIのみ開示）</v>
      </c>
    </row>
    <row r="1137" customFormat="false" ht="15" hidden="false" customHeight="true" outlineLevel="0" collapsed="false">
      <c r="A1137" s="1" t="str">
        <f aca="false">IF(物件マスタ!A1137="","",物件マスタ!A1137)</f>
        <v>HLC-051</v>
      </c>
      <c r="B1137" s="1" t="str">
        <f aca="false">IF($A1137="","",物件マスタ!B1137)</f>
        <v>HLC</v>
      </c>
      <c r="C1137" s="1" t="str">
        <f aca="false">IF($A1137="","",IFERROR(INDEX(法人マスタ!$C:$C,MATCH($B1137,法人マスタ!$A:$A,0)),""))</f>
        <v>ヒューリックリート投資法人</v>
      </c>
      <c r="D1137" s="1" t="str">
        <f aca="false">IF($A1137="","",物件マスタ!C1137)</f>
        <v>トラストガーデン桜新町</v>
      </c>
      <c r="E1137" s="1" t="str">
        <f aca="false">IF($A1137="","",物件マスタ!H1137)</f>
        <v>その他東京23区</v>
      </c>
      <c r="F1137" s="53" t="n">
        <f aca="false">IF($A1137="","",物件マスタ!P1137)</f>
        <v>38565</v>
      </c>
      <c r="G1137" s="1" t="n">
        <f aca="false">IF($A1137="","",物件マスタ!Q1137)</f>
        <v>21</v>
      </c>
      <c r="H1137" s="1" t="n">
        <f aca="false">IF($A1137="","",物件マスタ!L1137)</f>
        <v>0</v>
      </c>
      <c r="I1137" s="1" t="n">
        <f aca="false">IF($A1137="","",物件マスタ!M1137)</f>
        <v>3700.26</v>
      </c>
      <c r="J1137" s="1" t="n">
        <f aca="false">IF($A1137="","",物件マスタ!S1137)</f>
        <v>2850</v>
      </c>
      <c r="K1137" s="1" t="n">
        <f aca="false">IF($A1137="","",物件マスタ!U1137)</f>
        <v>3830</v>
      </c>
      <c r="L1137" s="1" t="n">
        <f aca="false">IF($A1137="","",物件マスタ!W1137)</f>
        <v>1</v>
      </c>
      <c r="M1137" s="1" t="str">
        <f aca="false">IF($A1137="","",IFERROR(INDEX(法人マスタ!$H:$H,MATCH($B1137,法人マスタ!$A:$A,0)),""))</f>
        <v>2026年2月期（第24期）</v>
      </c>
      <c r="N1137" s="1" t="n">
        <f aca="false">IF($A1137="","",SUMIFS(物件収支!$D:$D,物件収支!$A:$A,$A1137,物件収支!$C:$C,$M1137))</f>
        <v>6</v>
      </c>
      <c r="O1137" s="1" t="n">
        <f aca="false">IF($A1137="","",SUMIFS(物件収支!$F:$F,物件収支!$A:$A,$A1137,物件収支!$C:$C,$M1137))</f>
        <v>0</v>
      </c>
      <c r="P1137" s="1" t="n">
        <f aca="false">IF($A1137="","",SUMIFS(物件収支!$I:$I,物件収支!$A:$A,$A1137,物件収支!$C:$C,$M1137))</f>
        <v>0</v>
      </c>
      <c r="Q1137" s="1" t="n">
        <f aca="false">IF($A1137="","",SUMIFS(物件収支!$O:$O,物件収支!$A:$A,$A1137,物件収支!$C:$C,$M1137))</f>
        <v>0</v>
      </c>
      <c r="R1137" s="1" t="str">
        <f aca="false">IF($A1137="","",IF(P1137=0,"",O1137-P1137))</f>
        <v/>
      </c>
      <c r="S1137" s="1" t="str">
        <f aca="false">IF($A1137="","",IF(R1137="","",R1137+Q1137))</f>
        <v/>
      </c>
      <c r="T1137" s="1" t="str">
        <f aca="false">IF($A1137="","",IF(OR(S1137="",N1137&lt;=0),"",S1137/1000*12/N1137))</f>
        <v/>
      </c>
      <c r="U1137" s="1" t="str">
        <f aca="false">IF($A1137="","",IF(OR(T1137="",J1137=0,J1137=""),"",T1137/J1137))</f>
        <v/>
      </c>
      <c r="V1137" s="1" t="str">
        <f aca="false">IF($A1137="","",IF(OR(R1137="",N1137&lt;=0,J1137=0,J1137=""),"",(R1137/1000*12/N1137)/J1137))</f>
        <v/>
      </c>
      <c r="W1137" s="1" t="str">
        <f aca="false">IF($A1137="","",IF(OR(T1137="",K1137=0,K1137=""),"",T1137/K1137))</f>
        <v/>
      </c>
      <c r="X1137" s="1" t="str">
        <f aca="false">IF($A1137="","",IF(OR(N1137&lt;=0,I1137=0,I1137="",O1137=0),"",O1137*1000/(I1137*0.3025)/N1137))</f>
        <v/>
      </c>
      <c r="Y1137" s="1" t="str">
        <f aca="false">IF($A1137="","",IF(OR(O1137=0,O1137="",P1137=0),"",P1137/O1137))</f>
        <v/>
      </c>
      <c r="Z1137" s="1" t="str">
        <f aca="false">IF($A1137="","",IFERROR(INDEX(物件収支!$E:$E,MATCH($A1137,物件収支!$A:$A,0)),""))</f>
        <v>非開示（NOIのみ開示）</v>
      </c>
    </row>
    <row r="1138" customFormat="false" ht="15" hidden="false" customHeight="true" outlineLevel="0" collapsed="false">
      <c r="A1138" s="1" t="str">
        <f aca="false">IF(物件マスタ!A1138="","",物件マスタ!A1138)</f>
        <v>HLC-052</v>
      </c>
      <c r="B1138" s="1" t="str">
        <f aca="false">IF($A1138="","",物件マスタ!B1138)</f>
        <v>HLC</v>
      </c>
      <c r="C1138" s="1" t="str">
        <f aca="false">IF($A1138="","",IFERROR(INDEX(法人マスタ!$C:$C,MATCH($B1138,法人マスタ!$A:$A,0)),""))</f>
        <v>ヒューリックリート投資法人</v>
      </c>
      <c r="D1138" s="1" t="str">
        <f aca="false">IF($A1138="","",物件マスタ!C1138)</f>
        <v>トラストガーデン杉並宮前</v>
      </c>
      <c r="E1138" s="1" t="str">
        <f aca="false">IF($A1138="","",物件マスタ!H1138)</f>
        <v>その他東京23区</v>
      </c>
      <c r="F1138" s="53" t="n">
        <f aca="false">IF($A1138="","",物件マスタ!P1138)</f>
        <v>38443</v>
      </c>
      <c r="G1138" s="1" t="n">
        <f aca="false">IF($A1138="","",物件マスタ!Q1138)</f>
        <v>21.4</v>
      </c>
      <c r="H1138" s="1" t="n">
        <f aca="false">IF($A1138="","",物件マスタ!L1138)</f>
        <v>0</v>
      </c>
      <c r="I1138" s="1" t="n">
        <f aca="false">IF($A1138="","",物件マスタ!M1138)</f>
        <v>3975.99</v>
      </c>
      <c r="J1138" s="1" t="n">
        <f aca="false">IF($A1138="","",物件マスタ!S1138)</f>
        <v>2760</v>
      </c>
      <c r="K1138" s="1" t="n">
        <f aca="false">IF($A1138="","",物件マスタ!U1138)</f>
        <v>3700</v>
      </c>
      <c r="L1138" s="1" t="n">
        <f aca="false">IF($A1138="","",物件マスタ!W1138)</f>
        <v>1</v>
      </c>
      <c r="M1138" s="1" t="str">
        <f aca="false">IF($A1138="","",IFERROR(INDEX(法人マスタ!$H:$H,MATCH($B1138,法人マスタ!$A:$A,0)),""))</f>
        <v>2026年2月期（第24期）</v>
      </c>
      <c r="N1138" s="1" t="n">
        <f aca="false">IF($A1138="","",SUMIFS(物件収支!$D:$D,物件収支!$A:$A,$A1138,物件収支!$C:$C,$M1138))</f>
        <v>6</v>
      </c>
      <c r="O1138" s="1" t="n">
        <f aca="false">IF($A1138="","",SUMIFS(物件収支!$F:$F,物件収支!$A:$A,$A1138,物件収支!$C:$C,$M1138))</f>
        <v>0</v>
      </c>
      <c r="P1138" s="1" t="n">
        <f aca="false">IF($A1138="","",SUMIFS(物件収支!$I:$I,物件収支!$A:$A,$A1138,物件収支!$C:$C,$M1138))</f>
        <v>0</v>
      </c>
      <c r="Q1138" s="1" t="n">
        <f aca="false">IF($A1138="","",SUMIFS(物件収支!$O:$O,物件収支!$A:$A,$A1138,物件収支!$C:$C,$M1138))</f>
        <v>0</v>
      </c>
      <c r="R1138" s="1" t="str">
        <f aca="false">IF($A1138="","",IF(P1138=0,"",O1138-P1138))</f>
        <v/>
      </c>
      <c r="S1138" s="1" t="str">
        <f aca="false">IF($A1138="","",IF(R1138="","",R1138+Q1138))</f>
        <v/>
      </c>
      <c r="T1138" s="1" t="str">
        <f aca="false">IF($A1138="","",IF(OR(S1138="",N1138&lt;=0),"",S1138/1000*12/N1138))</f>
        <v/>
      </c>
      <c r="U1138" s="1" t="str">
        <f aca="false">IF($A1138="","",IF(OR(T1138="",J1138=0,J1138=""),"",T1138/J1138))</f>
        <v/>
      </c>
      <c r="V1138" s="1" t="str">
        <f aca="false">IF($A1138="","",IF(OR(R1138="",N1138&lt;=0,J1138=0,J1138=""),"",(R1138/1000*12/N1138)/J1138))</f>
        <v/>
      </c>
      <c r="W1138" s="1" t="str">
        <f aca="false">IF($A1138="","",IF(OR(T1138="",K1138=0,K1138=""),"",T1138/K1138))</f>
        <v/>
      </c>
      <c r="X1138" s="1" t="str">
        <f aca="false">IF($A1138="","",IF(OR(N1138&lt;=0,I1138=0,I1138="",O1138=0),"",O1138*1000/(I1138*0.3025)/N1138))</f>
        <v/>
      </c>
      <c r="Y1138" s="1" t="str">
        <f aca="false">IF($A1138="","",IF(OR(O1138=0,O1138="",P1138=0),"",P1138/O1138))</f>
        <v/>
      </c>
      <c r="Z1138" s="1" t="str">
        <f aca="false">IF($A1138="","",IFERROR(INDEX(物件収支!$E:$E,MATCH($A1138,物件収支!$A:$A,0)),""))</f>
        <v>非開示（NOIのみ開示）</v>
      </c>
    </row>
    <row r="1139" customFormat="false" ht="15" hidden="false" customHeight="true" outlineLevel="0" collapsed="false">
      <c r="A1139" s="1" t="str">
        <f aca="false">IF(物件マスタ!A1139="","",物件マスタ!A1139)</f>
        <v>HLC-053</v>
      </c>
      <c r="B1139" s="1" t="str">
        <f aca="false">IF($A1139="","",物件マスタ!B1139)</f>
        <v>HLC</v>
      </c>
      <c r="C1139" s="1" t="str">
        <f aca="false">IF($A1139="","",IFERROR(INDEX(法人マスタ!$C:$C,MATCH($B1139,法人マスタ!$A:$A,0)),""))</f>
        <v>ヒューリックリート投資法人</v>
      </c>
      <c r="D1139" s="1" t="str">
        <f aca="false">IF($A1139="","",物件マスタ!C1139)</f>
        <v>トラストガーデン常磐松</v>
      </c>
      <c r="E1139" s="1" t="str">
        <f aca="false">IF($A1139="","",物件マスタ!H1139)</f>
        <v>都心5区</v>
      </c>
      <c r="F1139" s="53" t="n">
        <f aca="false">IF($A1139="","",物件マスタ!P1139)</f>
        <v>42370</v>
      </c>
      <c r="G1139" s="1" t="n">
        <f aca="false">IF($A1139="","",物件マスタ!Q1139)</f>
        <v>10.6</v>
      </c>
      <c r="H1139" s="1" t="n">
        <f aca="false">IF($A1139="","",物件マスタ!L1139)</f>
        <v>0</v>
      </c>
      <c r="I1139" s="1" t="n">
        <f aca="false">IF($A1139="","",物件マスタ!M1139)</f>
        <v>2893.82</v>
      </c>
      <c r="J1139" s="1" t="n">
        <f aca="false">IF($A1139="","",物件マスタ!S1139)</f>
        <v>3030</v>
      </c>
      <c r="K1139" s="1" t="n">
        <f aca="false">IF($A1139="","",物件マスタ!U1139)</f>
        <v>3570</v>
      </c>
      <c r="L1139" s="1" t="n">
        <f aca="false">IF($A1139="","",物件マスタ!W1139)</f>
        <v>1</v>
      </c>
      <c r="M1139" s="1" t="str">
        <f aca="false">IF($A1139="","",IFERROR(INDEX(法人マスタ!$H:$H,MATCH($B1139,法人マスタ!$A:$A,0)),""))</f>
        <v>2026年2月期（第24期）</v>
      </c>
      <c r="N1139" s="1" t="n">
        <f aca="false">IF($A1139="","",SUMIFS(物件収支!$D:$D,物件収支!$A:$A,$A1139,物件収支!$C:$C,$M1139))</f>
        <v>6</v>
      </c>
      <c r="O1139" s="1" t="n">
        <f aca="false">IF($A1139="","",SUMIFS(物件収支!$F:$F,物件収支!$A:$A,$A1139,物件収支!$C:$C,$M1139))</f>
        <v>0</v>
      </c>
      <c r="P1139" s="1" t="n">
        <f aca="false">IF($A1139="","",SUMIFS(物件収支!$I:$I,物件収支!$A:$A,$A1139,物件収支!$C:$C,$M1139))</f>
        <v>0</v>
      </c>
      <c r="Q1139" s="1" t="n">
        <f aca="false">IF($A1139="","",SUMIFS(物件収支!$O:$O,物件収支!$A:$A,$A1139,物件収支!$C:$C,$M1139))</f>
        <v>0</v>
      </c>
      <c r="R1139" s="1" t="str">
        <f aca="false">IF($A1139="","",IF(P1139=0,"",O1139-P1139))</f>
        <v/>
      </c>
      <c r="S1139" s="1" t="str">
        <f aca="false">IF($A1139="","",IF(R1139="","",R1139+Q1139))</f>
        <v/>
      </c>
      <c r="T1139" s="1" t="str">
        <f aca="false">IF($A1139="","",IF(OR(S1139="",N1139&lt;=0),"",S1139/1000*12/N1139))</f>
        <v/>
      </c>
      <c r="U1139" s="1" t="str">
        <f aca="false">IF($A1139="","",IF(OR(T1139="",J1139=0,J1139=""),"",T1139/J1139))</f>
        <v/>
      </c>
      <c r="V1139" s="1" t="str">
        <f aca="false">IF($A1139="","",IF(OR(R1139="",N1139&lt;=0,J1139=0,J1139=""),"",(R1139/1000*12/N1139)/J1139))</f>
        <v/>
      </c>
      <c r="W1139" s="1" t="str">
        <f aca="false">IF($A1139="","",IF(OR(T1139="",K1139=0,K1139=""),"",T1139/K1139))</f>
        <v/>
      </c>
      <c r="X1139" s="1" t="str">
        <f aca="false">IF($A1139="","",IF(OR(N1139&lt;=0,I1139=0,I1139="",O1139=0),"",O1139*1000/(I1139*0.3025)/N1139))</f>
        <v/>
      </c>
      <c r="Y1139" s="1" t="str">
        <f aca="false">IF($A1139="","",IF(OR(O1139=0,O1139="",P1139=0),"",P1139/O1139))</f>
        <v/>
      </c>
      <c r="Z1139" s="1" t="str">
        <f aca="false">IF($A1139="","",IFERROR(INDEX(物件収支!$E:$E,MATCH($A1139,物件収支!$A:$A,0)),""))</f>
        <v>非開示（NOIのみ開示）</v>
      </c>
    </row>
    <row r="1140" customFormat="false" ht="15" hidden="false" customHeight="true" outlineLevel="0" collapsed="false">
      <c r="A1140" s="1" t="str">
        <f aca="false">IF(物件マスタ!A1140="","",物件マスタ!A1140)</f>
        <v>HLC-054</v>
      </c>
      <c r="B1140" s="1" t="str">
        <f aca="false">IF($A1140="","",物件マスタ!B1140)</f>
        <v>HLC</v>
      </c>
      <c r="C1140" s="1" t="str">
        <f aca="false">IF($A1140="","",IFERROR(INDEX(法人マスタ!$C:$C,MATCH($B1140,法人マスタ!$A:$A,0)),""))</f>
        <v>ヒューリックリート投資法人</v>
      </c>
      <c r="D1140" s="1" t="str">
        <f aca="false">IF($A1140="","",物件マスタ!C1140)</f>
        <v>SOMPOケア ラヴィーレ北鎌倉</v>
      </c>
      <c r="E1140" s="1" t="str">
        <f aca="false">IF($A1140="","",物件マスタ!H1140)</f>
        <v>東京周辺都市部</v>
      </c>
      <c r="F1140" s="53" t="n">
        <f aca="false">IF($A1140="","",物件マスタ!P1140)</f>
        <v>39873</v>
      </c>
      <c r="G1140" s="1" t="n">
        <f aca="false">IF($A1140="","",物件マスタ!Q1140)</f>
        <v>17.4</v>
      </c>
      <c r="H1140" s="1" t="n">
        <f aca="false">IF($A1140="","",物件マスタ!L1140)</f>
        <v>0</v>
      </c>
      <c r="I1140" s="1" t="n">
        <f aca="false">IF($A1140="","",物件マスタ!M1140)</f>
        <v>4912.57</v>
      </c>
      <c r="J1140" s="1" t="n">
        <f aca="false">IF($A1140="","",物件マスタ!S1140)</f>
        <v>1780</v>
      </c>
      <c r="K1140" s="1" t="n">
        <f aca="false">IF($A1140="","",物件マスタ!U1140)</f>
        <v>1900</v>
      </c>
      <c r="L1140" s="1" t="n">
        <f aca="false">IF($A1140="","",物件マスタ!W1140)</f>
        <v>1</v>
      </c>
      <c r="M1140" s="1" t="str">
        <f aca="false">IF($A1140="","",IFERROR(INDEX(法人マスタ!$H:$H,MATCH($B1140,法人マスタ!$A:$A,0)),""))</f>
        <v>2026年2月期（第24期）</v>
      </c>
      <c r="N1140" s="1" t="n">
        <f aca="false">IF($A1140="","",SUMIFS(物件収支!$D:$D,物件収支!$A:$A,$A1140,物件収支!$C:$C,$M1140))</f>
        <v>6</v>
      </c>
      <c r="O1140" s="1" t="n">
        <f aca="false">IF($A1140="","",SUMIFS(物件収支!$F:$F,物件収支!$A:$A,$A1140,物件収支!$C:$C,$M1140))</f>
        <v>0</v>
      </c>
      <c r="P1140" s="1" t="n">
        <f aca="false">IF($A1140="","",SUMIFS(物件収支!$I:$I,物件収支!$A:$A,$A1140,物件収支!$C:$C,$M1140))</f>
        <v>0</v>
      </c>
      <c r="Q1140" s="1" t="n">
        <f aca="false">IF($A1140="","",SUMIFS(物件収支!$O:$O,物件収支!$A:$A,$A1140,物件収支!$C:$C,$M1140))</f>
        <v>0</v>
      </c>
      <c r="R1140" s="1" t="str">
        <f aca="false">IF($A1140="","",IF(P1140=0,"",O1140-P1140))</f>
        <v/>
      </c>
      <c r="S1140" s="1" t="str">
        <f aca="false">IF($A1140="","",IF(R1140="","",R1140+Q1140))</f>
        <v/>
      </c>
      <c r="T1140" s="1" t="str">
        <f aca="false">IF($A1140="","",IF(OR(S1140="",N1140&lt;=0),"",S1140/1000*12/N1140))</f>
        <v/>
      </c>
      <c r="U1140" s="1" t="str">
        <f aca="false">IF($A1140="","",IF(OR(T1140="",J1140=0,J1140=""),"",T1140/J1140))</f>
        <v/>
      </c>
      <c r="V1140" s="1" t="str">
        <f aca="false">IF($A1140="","",IF(OR(R1140="",N1140&lt;=0,J1140=0,J1140=""),"",(R1140/1000*12/N1140)/J1140))</f>
        <v/>
      </c>
      <c r="W1140" s="1" t="str">
        <f aca="false">IF($A1140="","",IF(OR(T1140="",K1140=0,K1140=""),"",T1140/K1140))</f>
        <v/>
      </c>
      <c r="X1140" s="1" t="str">
        <f aca="false">IF($A1140="","",IF(OR(N1140&lt;=0,I1140=0,I1140="",O1140=0),"",O1140*1000/(I1140*0.3025)/N1140))</f>
        <v/>
      </c>
      <c r="Y1140" s="1" t="str">
        <f aca="false">IF($A1140="","",IF(OR(O1140=0,O1140="",P1140=0),"",P1140/O1140))</f>
        <v/>
      </c>
      <c r="Z1140" s="1" t="str">
        <f aca="false">IF($A1140="","",IFERROR(INDEX(物件収支!$E:$E,MATCH($A1140,物件収支!$A:$A,0)),""))</f>
        <v>非開示（NOIのみ開示）</v>
      </c>
    </row>
    <row r="1141" customFormat="false" ht="15" hidden="false" customHeight="true" outlineLevel="0" collapsed="false">
      <c r="A1141" s="1" t="str">
        <f aca="false">IF(物件マスタ!A1141="","",物件マスタ!A1141)</f>
        <v>HLC-055</v>
      </c>
      <c r="B1141" s="1" t="str">
        <f aca="false">IF($A1141="","",物件マスタ!B1141)</f>
        <v>HLC</v>
      </c>
      <c r="C1141" s="1" t="str">
        <f aca="false">IF($A1141="","",IFERROR(INDEX(法人マスタ!$C:$C,MATCH($B1141,法人マスタ!$A:$A,0)),""))</f>
        <v>ヒューリックリート投資法人</v>
      </c>
      <c r="D1141" s="1" t="str">
        <f aca="false">IF($A1141="","",物件マスタ!C1141)</f>
        <v>チャームスイート新宿戸山</v>
      </c>
      <c r="E1141" s="1" t="str">
        <f aca="false">IF($A1141="","",物件マスタ!H1141)</f>
        <v>都心5区</v>
      </c>
      <c r="F1141" s="53" t="n">
        <f aca="false">IF($A1141="","",物件マスタ!P1141)</f>
        <v>42156</v>
      </c>
      <c r="G1141" s="1" t="n">
        <f aca="false">IF($A1141="","",物件マスタ!Q1141)</f>
        <v>11.2</v>
      </c>
      <c r="H1141" s="1" t="n">
        <f aca="false">IF($A1141="","",物件マスタ!L1141)</f>
        <v>0</v>
      </c>
      <c r="I1141" s="1" t="n">
        <f aca="false">IF($A1141="","",物件マスタ!M1141)</f>
        <v>4065.62</v>
      </c>
      <c r="J1141" s="1" t="n">
        <f aca="false">IF($A1141="","",物件マスタ!S1141)</f>
        <v>3323</v>
      </c>
      <c r="K1141" s="1" t="n">
        <f aca="false">IF($A1141="","",物件マスタ!U1141)</f>
        <v>3720</v>
      </c>
      <c r="L1141" s="1" t="n">
        <f aca="false">IF($A1141="","",物件マスタ!W1141)</f>
        <v>1</v>
      </c>
      <c r="M1141" s="1" t="str">
        <f aca="false">IF($A1141="","",IFERROR(INDEX(法人マスタ!$H:$H,MATCH($B1141,法人マスタ!$A:$A,0)),""))</f>
        <v>2026年2月期（第24期）</v>
      </c>
      <c r="N1141" s="1" t="n">
        <f aca="false">IF($A1141="","",SUMIFS(物件収支!$D:$D,物件収支!$A:$A,$A1141,物件収支!$C:$C,$M1141))</f>
        <v>6</v>
      </c>
      <c r="O1141" s="1" t="n">
        <f aca="false">IF($A1141="","",SUMIFS(物件収支!$F:$F,物件収支!$A:$A,$A1141,物件収支!$C:$C,$M1141))</f>
        <v>0</v>
      </c>
      <c r="P1141" s="1" t="n">
        <f aca="false">IF($A1141="","",SUMIFS(物件収支!$I:$I,物件収支!$A:$A,$A1141,物件収支!$C:$C,$M1141))</f>
        <v>0</v>
      </c>
      <c r="Q1141" s="1" t="n">
        <f aca="false">IF($A1141="","",SUMIFS(物件収支!$O:$O,物件収支!$A:$A,$A1141,物件収支!$C:$C,$M1141))</f>
        <v>0</v>
      </c>
      <c r="R1141" s="1" t="str">
        <f aca="false">IF($A1141="","",IF(P1141=0,"",O1141-P1141))</f>
        <v/>
      </c>
      <c r="S1141" s="1" t="str">
        <f aca="false">IF($A1141="","",IF(R1141="","",R1141+Q1141))</f>
        <v/>
      </c>
      <c r="T1141" s="1" t="str">
        <f aca="false">IF($A1141="","",IF(OR(S1141="",N1141&lt;=0),"",S1141/1000*12/N1141))</f>
        <v/>
      </c>
      <c r="U1141" s="1" t="str">
        <f aca="false">IF($A1141="","",IF(OR(T1141="",J1141=0,J1141=""),"",T1141/J1141))</f>
        <v/>
      </c>
      <c r="V1141" s="1" t="str">
        <f aca="false">IF($A1141="","",IF(OR(R1141="",N1141&lt;=0,J1141=0,J1141=""),"",(R1141/1000*12/N1141)/J1141))</f>
        <v/>
      </c>
      <c r="W1141" s="1" t="str">
        <f aca="false">IF($A1141="","",IF(OR(T1141="",K1141=0,K1141=""),"",T1141/K1141))</f>
        <v/>
      </c>
      <c r="X1141" s="1" t="str">
        <f aca="false">IF($A1141="","",IF(OR(N1141&lt;=0,I1141=0,I1141="",O1141=0),"",O1141*1000/(I1141*0.3025)/N1141))</f>
        <v/>
      </c>
      <c r="Y1141" s="1" t="str">
        <f aca="false">IF($A1141="","",IF(OR(O1141=0,O1141="",P1141=0),"",P1141/O1141))</f>
        <v/>
      </c>
      <c r="Z1141" s="1" t="str">
        <f aca="false">IF($A1141="","",IFERROR(INDEX(物件収支!$E:$E,MATCH($A1141,物件収支!$A:$A,0)),""))</f>
        <v>非開示（NOIのみ開示）</v>
      </c>
    </row>
    <row r="1142" customFormat="false" ht="15" hidden="false" customHeight="true" outlineLevel="0" collapsed="false">
      <c r="A1142" s="1" t="str">
        <f aca="false">IF(物件マスタ!A1142="","",物件マスタ!A1142)</f>
        <v>HLC-056</v>
      </c>
      <c r="B1142" s="1" t="str">
        <f aca="false">IF($A1142="","",物件マスタ!B1142)</f>
        <v>HLC</v>
      </c>
      <c r="C1142" s="1" t="str">
        <f aca="false">IF($A1142="","",IFERROR(INDEX(法人マスタ!$C:$C,MATCH($B1142,法人マスタ!$A:$A,0)),""))</f>
        <v>ヒューリックリート投資法人</v>
      </c>
      <c r="D1142" s="1" t="str">
        <f aca="false">IF($A1142="","",物件マスタ!C1142)</f>
        <v>チャームスイート石神井公園</v>
      </c>
      <c r="E1142" s="1" t="str">
        <f aca="false">IF($A1142="","",物件マスタ!H1142)</f>
        <v>その他東京23区</v>
      </c>
      <c r="F1142" s="53" t="n">
        <f aca="false">IF($A1142="","",物件マスタ!P1142)</f>
        <v>41791</v>
      </c>
      <c r="G1142" s="1" t="n">
        <f aca="false">IF($A1142="","",物件マスタ!Q1142)</f>
        <v>12.2</v>
      </c>
      <c r="H1142" s="1" t="n">
        <f aca="false">IF($A1142="","",物件マスタ!L1142)</f>
        <v>0</v>
      </c>
      <c r="I1142" s="1" t="n">
        <f aca="false">IF($A1142="","",物件マスタ!M1142)</f>
        <v>4241.68</v>
      </c>
      <c r="J1142" s="1" t="n">
        <f aca="false">IF($A1142="","",物件マスタ!S1142)</f>
        <v>3200</v>
      </c>
      <c r="K1142" s="1" t="n">
        <f aca="false">IF($A1142="","",物件マスタ!U1142)</f>
        <v>3440</v>
      </c>
      <c r="L1142" s="1" t="n">
        <f aca="false">IF($A1142="","",物件マスタ!W1142)</f>
        <v>1</v>
      </c>
      <c r="M1142" s="1" t="str">
        <f aca="false">IF($A1142="","",IFERROR(INDEX(法人マスタ!$H:$H,MATCH($B1142,法人マスタ!$A:$A,0)),""))</f>
        <v>2026年2月期（第24期）</v>
      </c>
      <c r="N1142" s="1" t="n">
        <f aca="false">IF($A1142="","",SUMIFS(物件収支!$D:$D,物件収支!$A:$A,$A1142,物件収支!$C:$C,$M1142))</f>
        <v>6</v>
      </c>
      <c r="O1142" s="1" t="n">
        <f aca="false">IF($A1142="","",SUMIFS(物件収支!$F:$F,物件収支!$A:$A,$A1142,物件収支!$C:$C,$M1142))</f>
        <v>0</v>
      </c>
      <c r="P1142" s="1" t="n">
        <f aca="false">IF($A1142="","",SUMIFS(物件収支!$I:$I,物件収支!$A:$A,$A1142,物件収支!$C:$C,$M1142))</f>
        <v>0</v>
      </c>
      <c r="Q1142" s="1" t="n">
        <f aca="false">IF($A1142="","",SUMIFS(物件収支!$O:$O,物件収支!$A:$A,$A1142,物件収支!$C:$C,$M1142))</f>
        <v>0</v>
      </c>
      <c r="R1142" s="1" t="str">
        <f aca="false">IF($A1142="","",IF(P1142=0,"",O1142-P1142))</f>
        <v/>
      </c>
      <c r="S1142" s="1" t="str">
        <f aca="false">IF($A1142="","",IF(R1142="","",R1142+Q1142))</f>
        <v/>
      </c>
      <c r="T1142" s="1" t="str">
        <f aca="false">IF($A1142="","",IF(OR(S1142="",N1142&lt;=0),"",S1142/1000*12/N1142))</f>
        <v/>
      </c>
      <c r="U1142" s="1" t="str">
        <f aca="false">IF($A1142="","",IF(OR(T1142="",J1142=0,J1142=""),"",T1142/J1142))</f>
        <v/>
      </c>
      <c r="V1142" s="1" t="str">
        <f aca="false">IF($A1142="","",IF(OR(R1142="",N1142&lt;=0,J1142=0,J1142=""),"",(R1142/1000*12/N1142)/J1142))</f>
        <v/>
      </c>
      <c r="W1142" s="1" t="str">
        <f aca="false">IF($A1142="","",IF(OR(T1142="",K1142=0,K1142=""),"",T1142/K1142))</f>
        <v/>
      </c>
      <c r="X1142" s="1" t="str">
        <f aca="false">IF($A1142="","",IF(OR(N1142&lt;=0,I1142=0,I1142="",O1142=0),"",O1142*1000/(I1142*0.3025)/N1142))</f>
        <v/>
      </c>
      <c r="Y1142" s="1" t="str">
        <f aca="false">IF($A1142="","",IF(OR(O1142=0,O1142="",P1142=0),"",P1142/O1142))</f>
        <v/>
      </c>
      <c r="Z1142" s="1" t="str">
        <f aca="false">IF($A1142="","",IFERROR(INDEX(物件収支!$E:$E,MATCH($A1142,物件収支!$A:$A,0)),""))</f>
        <v>非開示（NOIのみ開示）</v>
      </c>
    </row>
    <row r="1143" customFormat="false" ht="15" hidden="false" customHeight="true" outlineLevel="0" collapsed="false">
      <c r="A1143" s="1" t="str">
        <f aca="false">IF(物件マスタ!A1143="","",物件マスタ!A1143)</f>
        <v>HLC-057</v>
      </c>
      <c r="B1143" s="1" t="str">
        <f aca="false">IF($A1143="","",物件マスタ!B1143)</f>
        <v>HLC</v>
      </c>
      <c r="C1143" s="1" t="str">
        <f aca="false">IF($A1143="","",IFERROR(INDEX(法人マスタ!$C:$C,MATCH($B1143,法人マスタ!$A:$A,0)),""))</f>
        <v>ヒューリックリート投資法人</v>
      </c>
      <c r="D1143" s="1" t="str">
        <f aca="false">IF($A1143="","",物件マスタ!C1143)</f>
        <v>ヒューリック調布</v>
      </c>
      <c r="E1143" s="1" t="str">
        <f aca="false">IF($A1143="","",物件マスタ!H1143)</f>
        <v>東京周辺都市部</v>
      </c>
      <c r="F1143" s="53" t="n">
        <f aca="false">IF($A1143="","",物件マスタ!P1143)</f>
        <v>42795</v>
      </c>
      <c r="G1143" s="1" t="n">
        <f aca="false">IF($A1143="","",物件マスタ!Q1143)</f>
        <v>9.4</v>
      </c>
      <c r="H1143" s="1" t="n">
        <f aca="false">IF($A1143="","",物件マスタ!L1143)</f>
        <v>0</v>
      </c>
      <c r="I1143" s="1" t="n">
        <f aca="false">IF($A1143="","",物件マスタ!M1143)</f>
        <v>4357.58</v>
      </c>
      <c r="J1143" s="1" t="n">
        <f aca="false">IF($A1143="","",物件マスタ!S1143)</f>
        <v>3340</v>
      </c>
      <c r="K1143" s="1" t="n">
        <f aca="false">IF($A1143="","",物件マスタ!U1143)</f>
        <v>3630</v>
      </c>
      <c r="L1143" s="1" t="n">
        <f aca="false">IF($A1143="","",物件マスタ!W1143)</f>
        <v>1</v>
      </c>
      <c r="M1143" s="1" t="str">
        <f aca="false">IF($A1143="","",IFERROR(INDEX(法人マスタ!$H:$H,MATCH($B1143,法人マスタ!$A:$A,0)),""))</f>
        <v>2026年2月期（第24期）</v>
      </c>
      <c r="N1143" s="1" t="n">
        <f aca="false">IF($A1143="","",SUMIFS(物件収支!$D:$D,物件収支!$A:$A,$A1143,物件収支!$C:$C,$M1143))</f>
        <v>6</v>
      </c>
      <c r="O1143" s="1" t="n">
        <f aca="false">IF($A1143="","",SUMIFS(物件収支!$F:$F,物件収支!$A:$A,$A1143,物件収支!$C:$C,$M1143))</f>
        <v>94785</v>
      </c>
      <c r="P1143" s="1" t="n">
        <f aca="false">IF($A1143="","",SUMIFS(物件収支!$I:$I,物件収支!$A:$A,$A1143,物件収支!$C:$C,$M1143))</f>
        <v>37121</v>
      </c>
      <c r="Q1143" s="1" t="n">
        <f aca="false">IF($A1143="","",SUMIFS(物件収支!$O:$O,物件収支!$A:$A,$A1143,物件収支!$C:$C,$M1143))</f>
        <v>19262</v>
      </c>
      <c r="R1143" s="1" t="n">
        <f aca="false">IF($A1143="","",IF(P1143=0,"",O1143-P1143))</f>
        <v>57664</v>
      </c>
      <c r="S1143" s="1" t="n">
        <f aca="false">IF($A1143="","",IF(R1143="","",R1143+Q1143))</f>
        <v>76926</v>
      </c>
      <c r="T1143" s="1" t="n">
        <f aca="false">IF($A1143="","",IF(OR(S1143="",N1143&lt;=0),"",S1143/1000*12/N1143))</f>
        <v>153.852</v>
      </c>
      <c r="U1143" s="1" t="n">
        <f aca="false">IF($A1143="","",IF(OR(T1143="",J1143=0,J1143=""),"",T1143/J1143))</f>
        <v>0.0460634730538922</v>
      </c>
      <c r="V1143" s="1" t="n">
        <f aca="false">IF($A1143="","",IF(OR(R1143="",N1143&lt;=0,J1143=0,J1143=""),"",(R1143/1000*12/N1143)/J1143))</f>
        <v>0.0345293413173653</v>
      </c>
      <c r="W1143" s="1" t="n">
        <f aca="false">IF($A1143="","",IF(OR(T1143="",K1143=0,K1143=""),"",T1143/K1143))</f>
        <v>0.0423834710743802</v>
      </c>
      <c r="X1143" s="1" t="n">
        <f aca="false">IF($A1143="","",IF(OR(N1143&lt;=0,I1143=0,I1143="",O1143=0),"",O1143*1000/(I1143*0.3025)/N1143))</f>
        <v>11984.436429364</v>
      </c>
      <c r="Y1143" s="1" t="n">
        <f aca="false">IF($A1143="","",IF(OR(O1143=0,O1143="",P1143=0),"",P1143/O1143))</f>
        <v>0.391633697314976</v>
      </c>
      <c r="Z1143" s="1" t="str">
        <f aca="false">IF($A1143="","",IFERROR(INDEX(物件収支!$E:$E,MATCH($A1143,物件収支!$A:$A,0)),""))</f>
        <v>開示（物件別・費用内訳含む）</v>
      </c>
    </row>
    <row r="1144" customFormat="false" ht="15" hidden="false" customHeight="true" outlineLevel="0" collapsed="false">
      <c r="A1144" s="1" t="str">
        <f aca="false">IF(物件マスタ!A1144="","",物件マスタ!A1144)</f>
        <v>HLC-058</v>
      </c>
      <c r="B1144" s="1" t="str">
        <f aca="false">IF($A1144="","",物件マスタ!B1144)</f>
        <v>HLC</v>
      </c>
      <c r="C1144" s="1" t="str">
        <f aca="false">IF($A1144="","",IFERROR(INDEX(法人マスタ!$C:$C,MATCH($B1144,法人マスタ!$A:$A,0)),""))</f>
        <v>ヒューリックリート投資法人</v>
      </c>
      <c r="D1144" s="1" t="str">
        <f aca="false">IF($A1144="","",物件マスタ!C1144)</f>
        <v>アリスタージュ経堂</v>
      </c>
      <c r="E1144" s="1" t="str">
        <f aca="false">IF($A1144="","",物件マスタ!H1144)</f>
        <v>その他東京23区</v>
      </c>
      <c r="F1144" s="53" t="n">
        <f aca="false">IF($A1144="","",物件マスタ!P1144)</f>
        <v>41030</v>
      </c>
      <c r="G1144" s="1" t="n">
        <f aca="false">IF($A1144="","",物件マスタ!Q1144)</f>
        <v>14.3</v>
      </c>
      <c r="H1144" s="1" t="n">
        <f aca="false">IF($A1144="","",物件マスタ!L1144)</f>
        <v>0</v>
      </c>
      <c r="I1144" s="1" t="n">
        <f aca="false">IF($A1144="","",物件マスタ!M1144)</f>
        <v>13279.12</v>
      </c>
      <c r="J1144" s="1" t="n">
        <f aca="false">IF($A1144="","",物件マスタ!S1144)</f>
        <v>9000</v>
      </c>
      <c r="K1144" s="1" t="n">
        <f aca="false">IF($A1144="","",物件マスタ!U1144)</f>
        <v>10070</v>
      </c>
      <c r="L1144" s="1" t="n">
        <f aca="false">IF($A1144="","",物件マスタ!W1144)</f>
        <v>1</v>
      </c>
      <c r="M1144" s="1" t="str">
        <f aca="false">IF($A1144="","",IFERROR(INDEX(法人マスタ!$H:$H,MATCH($B1144,法人マスタ!$A:$A,0)),""))</f>
        <v>2026年2月期（第24期）</v>
      </c>
      <c r="N1144" s="1" t="n">
        <f aca="false">IF($A1144="","",SUMIFS(物件収支!$D:$D,物件収支!$A:$A,$A1144,物件収支!$C:$C,$M1144))</f>
        <v>6</v>
      </c>
      <c r="O1144" s="1" t="n">
        <f aca="false">IF($A1144="","",SUMIFS(物件収支!$F:$F,物件収支!$A:$A,$A1144,物件収支!$C:$C,$M1144))</f>
        <v>0</v>
      </c>
      <c r="P1144" s="1" t="n">
        <f aca="false">IF($A1144="","",SUMIFS(物件収支!$I:$I,物件収支!$A:$A,$A1144,物件収支!$C:$C,$M1144))</f>
        <v>0</v>
      </c>
      <c r="Q1144" s="1" t="n">
        <f aca="false">IF($A1144="","",SUMIFS(物件収支!$O:$O,物件収支!$A:$A,$A1144,物件収支!$C:$C,$M1144))</f>
        <v>0</v>
      </c>
      <c r="R1144" s="1" t="str">
        <f aca="false">IF($A1144="","",IF(P1144=0,"",O1144-P1144))</f>
        <v/>
      </c>
      <c r="S1144" s="1" t="str">
        <f aca="false">IF($A1144="","",IF(R1144="","",R1144+Q1144))</f>
        <v/>
      </c>
      <c r="T1144" s="1" t="str">
        <f aca="false">IF($A1144="","",IF(OR(S1144="",N1144&lt;=0),"",S1144/1000*12/N1144))</f>
        <v/>
      </c>
      <c r="U1144" s="1" t="str">
        <f aca="false">IF($A1144="","",IF(OR(T1144="",J1144=0,J1144=""),"",T1144/J1144))</f>
        <v/>
      </c>
      <c r="V1144" s="1" t="str">
        <f aca="false">IF($A1144="","",IF(OR(R1144="",N1144&lt;=0,J1144=0,J1144=""),"",(R1144/1000*12/N1144)/J1144))</f>
        <v/>
      </c>
      <c r="W1144" s="1" t="str">
        <f aca="false">IF($A1144="","",IF(OR(T1144="",K1144=0,K1144=""),"",T1144/K1144))</f>
        <v/>
      </c>
      <c r="X1144" s="1" t="str">
        <f aca="false">IF($A1144="","",IF(OR(N1144&lt;=0,I1144=0,I1144="",O1144=0),"",O1144*1000/(I1144*0.3025)/N1144))</f>
        <v/>
      </c>
      <c r="Y1144" s="1" t="str">
        <f aca="false">IF($A1144="","",IF(OR(O1144=0,O1144="",P1144=0),"",P1144/O1144))</f>
        <v/>
      </c>
      <c r="Z1144" s="1" t="str">
        <f aca="false">IF($A1144="","",IFERROR(INDEX(物件収支!$E:$E,MATCH($A1144,物件収支!$A:$A,0)),""))</f>
        <v>非開示（NOIのみ開示）</v>
      </c>
    </row>
    <row r="1145" customFormat="false" ht="15" hidden="false" customHeight="true" outlineLevel="0" collapsed="false">
      <c r="A1145" s="1" t="str">
        <f aca="false">IF(物件マスタ!A1145="","",物件マスタ!A1145)</f>
        <v>HLC-059</v>
      </c>
      <c r="B1145" s="1" t="str">
        <f aca="false">IF($A1145="","",物件マスタ!B1145)</f>
        <v>HLC</v>
      </c>
      <c r="C1145" s="1" t="str">
        <f aca="false">IF($A1145="","",IFERROR(INDEX(法人マスタ!$C:$C,MATCH($B1145,法人マスタ!$A:$A,0)),""))</f>
        <v>ヒューリックリート投資法人</v>
      </c>
      <c r="D1145" s="1" t="str">
        <f aca="false">IF($A1145="","",物件マスタ!C1145)</f>
        <v>グランダ学芸大学</v>
      </c>
      <c r="E1145" s="1" t="str">
        <f aca="false">IF($A1145="","",物件マスタ!H1145)</f>
        <v>その他東京23区</v>
      </c>
      <c r="F1145" s="53" t="n">
        <f aca="false">IF($A1145="","",物件マスタ!P1145)</f>
        <v>41365</v>
      </c>
      <c r="G1145" s="1" t="n">
        <f aca="false">IF($A1145="","",物件マスタ!Q1145)</f>
        <v>13.4</v>
      </c>
      <c r="H1145" s="1" t="n">
        <f aca="false">IF($A1145="","",物件マスタ!L1145)</f>
        <v>0</v>
      </c>
      <c r="I1145" s="1" t="n">
        <f aca="false">IF($A1145="","",物件マスタ!M1145)</f>
        <v>2803.79</v>
      </c>
      <c r="J1145" s="1" t="n">
        <f aca="false">IF($A1145="","",物件マスタ!S1145)</f>
        <v>2200</v>
      </c>
      <c r="K1145" s="1" t="n">
        <f aca="false">IF($A1145="","",物件マスタ!U1145)</f>
        <v>2430</v>
      </c>
      <c r="L1145" s="1" t="n">
        <f aca="false">IF($A1145="","",物件マスタ!W1145)</f>
        <v>1</v>
      </c>
      <c r="M1145" s="1" t="str">
        <f aca="false">IF($A1145="","",IFERROR(INDEX(法人マスタ!$H:$H,MATCH($B1145,法人マスタ!$A:$A,0)),""))</f>
        <v>2026年2月期（第24期）</v>
      </c>
      <c r="N1145" s="1" t="n">
        <f aca="false">IF($A1145="","",SUMIFS(物件収支!$D:$D,物件収支!$A:$A,$A1145,物件収支!$C:$C,$M1145))</f>
        <v>6</v>
      </c>
      <c r="O1145" s="1" t="n">
        <f aca="false">IF($A1145="","",SUMIFS(物件収支!$F:$F,物件収支!$A:$A,$A1145,物件収支!$C:$C,$M1145))</f>
        <v>0</v>
      </c>
      <c r="P1145" s="1" t="n">
        <f aca="false">IF($A1145="","",SUMIFS(物件収支!$I:$I,物件収支!$A:$A,$A1145,物件収支!$C:$C,$M1145))</f>
        <v>0</v>
      </c>
      <c r="Q1145" s="1" t="n">
        <f aca="false">IF($A1145="","",SUMIFS(物件収支!$O:$O,物件収支!$A:$A,$A1145,物件収支!$C:$C,$M1145))</f>
        <v>0</v>
      </c>
      <c r="R1145" s="1" t="str">
        <f aca="false">IF($A1145="","",IF(P1145=0,"",O1145-P1145))</f>
        <v/>
      </c>
      <c r="S1145" s="1" t="str">
        <f aca="false">IF($A1145="","",IF(R1145="","",R1145+Q1145))</f>
        <v/>
      </c>
      <c r="T1145" s="1" t="str">
        <f aca="false">IF($A1145="","",IF(OR(S1145="",N1145&lt;=0),"",S1145/1000*12/N1145))</f>
        <v/>
      </c>
      <c r="U1145" s="1" t="str">
        <f aca="false">IF($A1145="","",IF(OR(T1145="",J1145=0,J1145=""),"",T1145/J1145))</f>
        <v/>
      </c>
      <c r="V1145" s="1" t="str">
        <f aca="false">IF($A1145="","",IF(OR(R1145="",N1145&lt;=0,J1145=0,J1145=""),"",(R1145/1000*12/N1145)/J1145))</f>
        <v/>
      </c>
      <c r="W1145" s="1" t="str">
        <f aca="false">IF($A1145="","",IF(OR(T1145="",K1145=0,K1145=""),"",T1145/K1145))</f>
        <v/>
      </c>
      <c r="X1145" s="1" t="str">
        <f aca="false">IF($A1145="","",IF(OR(N1145&lt;=0,I1145=0,I1145="",O1145=0),"",O1145*1000/(I1145*0.3025)/N1145))</f>
        <v/>
      </c>
      <c r="Y1145" s="1" t="str">
        <f aca="false">IF($A1145="","",IF(OR(O1145=0,O1145="",P1145=0),"",P1145/O1145))</f>
        <v/>
      </c>
      <c r="Z1145" s="1" t="str">
        <f aca="false">IF($A1145="","",IFERROR(INDEX(物件収支!$E:$E,MATCH($A1145,物件収支!$A:$A,0)),""))</f>
        <v>非開示（NOIのみ開示）</v>
      </c>
    </row>
    <row r="1146" customFormat="false" ht="15" hidden="false" customHeight="true" outlineLevel="0" collapsed="false">
      <c r="A1146" s="1" t="str">
        <f aca="false">IF(物件マスタ!A1146="","",物件マスタ!A1146)</f>
        <v>HLC-060</v>
      </c>
      <c r="B1146" s="1" t="str">
        <f aca="false">IF($A1146="","",物件マスタ!B1146)</f>
        <v>HLC</v>
      </c>
      <c r="C1146" s="1" t="str">
        <f aca="false">IF($A1146="","",IFERROR(INDEX(法人マスタ!$C:$C,MATCH($B1146,法人マスタ!$A:$A,0)),""))</f>
        <v>ヒューリックリート投資法人</v>
      </c>
      <c r="D1146" s="1" t="str">
        <f aca="false">IF($A1146="","",物件マスタ!C1146)</f>
        <v>チャームプレミア田園調布</v>
      </c>
      <c r="E1146" s="1" t="str">
        <f aca="false">IF($A1146="","",物件マスタ!H1146)</f>
        <v>その他東京23区</v>
      </c>
      <c r="F1146" s="53" t="n">
        <f aca="false">IF($A1146="","",物件マスタ!P1146)</f>
        <v>43132</v>
      </c>
      <c r="G1146" s="1" t="n">
        <f aca="false">IF($A1146="","",物件マスタ!Q1146)</f>
        <v>8.5</v>
      </c>
      <c r="H1146" s="1" t="n">
        <f aca="false">IF($A1146="","",物件マスタ!L1146)</f>
        <v>0</v>
      </c>
      <c r="I1146" s="1" t="n">
        <f aca="false">IF($A1146="","",物件マスタ!M1146)</f>
        <v>1983.71</v>
      </c>
      <c r="J1146" s="1" t="n">
        <f aca="false">IF($A1146="","",物件マスタ!S1146)</f>
        <v>2550</v>
      </c>
      <c r="K1146" s="1" t="n">
        <f aca="false">IF($A1146="","",物件マスタ!U1146)</f>
        <v>2710</v>
      </c>
      <c r="L1146" s="1" t="n">
        <f aca="false">IF($A1146="","",物件マスタ!W1146)</f>
        <v>1</v>
      </c>
      <c r="M1146" s="1" t="str">
        <f aca="false">IF($A1146="","",IFERROR(INDEX(法人マスタ!$H:$H,MATCH($B1146,法人マスタ!$A:$A,0)),""))</f>
        <v>2026年2月期（第24期）</v>
      </c>
      <c r="N1146" s="1" t="n">
        <f aca="false">IF($A1146="","",SUMIFS(物件収支!$D:$D,物件収支!$A:$A,$A1146,物件収支!$C:$C,$M1146))</f>
        <v>6</v>
      </c>
      <c r="O1146" s="1" t="n">
        <f aca="false">IF($A1146="","",SUMIFS(物件収支!$F:$F,物件収支!$A:$A,$A1146,物件収支!$C:$C,$M1146))</f>
        <v>0</v>
      </c>
      <c r="P1146" s="1" t="n">
        <f aca="false">IF($A1146="","",SUMIFS(物件収支!$I:$I,物件収支!$A:$A,$A1146,物件収支!$C:$C,$M1146))</f>
        <v>0</v>
      </c>
      <c r="Q1146" s="1" t="n">
        <f aca="false">IF($A1146="","",SUMIFS(物件収支!$O:$O,物件収支!$A:$A,$A1146,物件収支!$C:$C,$M1146))</f>
        <v>0</v>
      </c>
      <c r="R1146" s="1" t="str">
        <f aca="false">IF($A1146="","",IF(P1146=0,"",O1146-P1146))</f>
        <v/>
      </c>
      <c r="S1146" s="1" t="str">
        <f aca="false">IF($A1146="","",IF(R1146="","",R1146+Q1146))</f>
        <v/>
      </c>
      <c r="T1146" s="1" t="str">
        <f aca="false">IF($A1146="","",IF(OR(S1146="",N1146&lt;=0),"",S1146/1000*12/N1146))</f>
        <v/>
      </c>
      <c r="U1146" s="1" t="str">
        <f aca="false">IF($A1146="","",IF(OR(T1146="",J1146=0,J1146=""),"",T1146/J1146))</f>
        <v/>
      </c>
      <c r="V1146" s="1" t="str">
        <f aca="false">IF($A1146="","",IF(OR(R1146="",N1146&lt;=0,J1146=0,J1146=""),"",(R1146/1000*12/N1146)/J1146))</f>
        <v/>
      </c>
      <c r="W1146" s="1" t="str">
        <f aca="false">IF($A1146="","",IF(OR(T1146="",K1146=0,K1146=""),"",T1146/K1146))</f>
        <v/>
      </c>
      <c r="X1146" s="1" t="str">
        <f aca="false">IF($A1146="","",IF(OR(N1146&lt;=0,I1146=0,I1146="",O1146=0),"",O1146*1000/(I1146*0.3025)/N1146))</f>
        <v/>
      </c>
      <c r="Y1146" s="1" t="str">
        <f aca="false">IF($A1146="","",IF(OR(O1146=0,O1146="",P1146=0),"",P1146/O1146))</f>
        <v/>
      </c>
      <c r="Z1146" s="1" t="str">
        <f aca="false">IF($A1146="","",IFERROR(INDEX(物件収支!$E:$E,MATCH($A1146,物件収支!$A:$A,0)),""))</f>
        <v>非開示（NOIのみ開示）</v>
      </c>
    </row>
    <row r="1147" customFormat="false" ht="15" hidden="false" customHeight="true" outlineLevel="0" collapsed="false">
      <c r="A1147" s="1" t="str">
        <f aca="false">IF(物件マスタ!A1147="","",物件マスタ!A1147)</f>
        <v>HLC-061</v>
      </c>
      <c r="B1147" s="1" t="str">
        <f aca="false">IF($A1147="","",物件マスタ!B1147)</f>
        <v>HLC</v>
      </c>
      <c r="C1147" s="1" t="str">
        <f aca="false">IF($A1147="","",IFERROR(INDEX(法人マスタ!$C:$C,MATCH($B1147,法人マスタ!$A:$A,0)),""))</f>
        <v>ヒューリックリート投資法人</v>
      </c>
      <c r="D1147" s="1" t="str">
        <f aca="false">IF($A1147="","",物件マスタ!C1147)</f>
        <v>ソナーレ石神井</v>
      </c>
      <c r="E1147" s="1" t="str">
        <f aca="false">IF($A1147="","",物件マスタ!H1147)</f>
        <v>その他東京23区</v>
      </c>
      <c r="F1147" s="53" t="n">
        <f aca="false">IF($A1147="","",物件マスタ!P1147)</f>
        <v>43374</v>
      </c>
      <c r="G1147" s="1" t="n">
        <f aca="false">IF($A1147="","",物件マスタ!Q1147)</f>
        <v>7.9</v>
      </c>
      <c r="H1147" s="1" t="n">
        <f aca="false">IF($A1147="","",物件マスタ!L1147)</f>
        <v>0</v>
      </c>
      <c r="I1147" s="1" t="n">
        <f aca="false">IF($A1147="","",物件マスタ!M1147)</f>
        <v>2295.79</v>
      </c>
      <c r="J1147" s="1" t="n">
        <f aca="false">IF($A1147="","",物件マスタ!S1147)</f>
        <v>2400</v>
      </c>
      <c r="K1147" s="1" t="n">
        <f aca="false">IF($A1147="","",物件マスタ!U1147)</f>
        <v>2570</v>
      </c>
      <c r="L1147" s="1" t="n">
        <f aca="false">IF($A1147="","",物件マスタ!W1147)</f>
        <v>1</v>
      </c>
      <c r="M1147" s="1" t="str">
        <f aca="false">IF($A1147="","",IFERROR(INDEX(法人マスタ!$H:$H,MATCH($B1147,法人マスタ!$A:$A,0)),""))</f>
        <v>2026年2月期（第24期）</v>
      </c>
      <c r="N1147" s="1" t="n">
        <f aca="false">IF($A1147="","",SUMIFS(物件収支!$D:$D,物件収支!$A:$A,$A1147,物件収支!$C:$C,$M1147))</f>
        <v>6</v>
      </c>
      <c r="O1147" s="1" t="n">
        <f aca="false">IF($A1147="","",SUMIFS(物件収支!$F:$F,物件収支!$A:$A,$A1147,物件収支!$C:$C,$M1147))</f>
        <v>0</v>
      </c>
      <c r="P1147" s="1" t="n">
        <f aca="false">IF($A1147="","",SUMIFS(物件収支!$I:$I,物件収支!$A:$A,$A1147,物件収支!$C:$C,$M1147))</f>
        <v>0</v>
      </c>
      <c r="Q1147" s="1" t="n">
        <f aca="false">IF($A1147="","",SUMIFS(物件収支!$O:$O,物件収支!$A:$A,$A1147,物件収支!$C:$C,$M1147))</f>
        <v>0</v>
      </c>
      <c r="R1147" s="1" t="str">
        <f aca="false">IF($A1147="","",IF(P1147=0,"",O1147-P1147))</f>
        <v/>
      </c>
      <c r="S1147" s="1" t="str">
        <f aca="false">IF($A1147="","",IF(R1147="","",R1147+Q1147))</f>
        <v/>
      </c>
      <c r="T1147" s="1" t="str">
        <f aca="false">IF($A1147="","",IF(OR(S1147="",N1147&lt;=0),"",S1147/1000*12/N1147))</f>
        <v/>
      </c>
      <c r="U1147" s="1" t="str">
        <f aca="false">IF($A1147="","",IF(OR(T1147="",J1147=0,J1147=""),"",T1147/J1147))</f>
        <v/>
      </c>
      <c r="V1147" s="1" t="str">
        <f aca="false">IF($A1147="","",IF(OR(R1147="",N1147&lt;=0,J1147=0,J1147=""),"",(R1147/1000*12/N1147)/J1147))</f>
        <v/>
      </c>
      <c r="W1147" s="1" t="str">
        <f aca="false">IF($A1147="","",IF(OR(T1147="",K1147=0,K1147=""),"",T1147/K1147))</f>
        <v/>
      </c>
      <c r="X1147" s="1" t="str">
        <f aca="false">IF($A1147="","",IF(OR(N1147&lt;=0,I1147=0,I1147="",O1147=0),"",O1147*1000/(I1147*0.3025)/N1147))</f>
        <v/>
      </c>
      <c r="Y1147" s="1" t="str">
        <f aca="false">IF($A1147="","",IF(OR(O1147=0,O1147="",P1147=0),"",P1147/O1147))</f>
        <v/>
      </c>
      <c r="Z1147" s="1" t="str">
        <f aca="false">IF($A1147="","",IFERROR(INDEX(物件収支!$E:$E,MATCH($A1147,物件収支!$A:$A,0)),""))</f>
        <v>非開示（NOIのみ開示）</v>
      </c>
    </row>
    <row r="1148" customFormat="false" ht="15" hidden="false" customHeight="true" outlineLevel="0" collapsed="false">
      <c r="A1148" s="1" t="str">
        <f aca="false">IF(物件マスタ!A1148="","",物件マスタ!A1148)</f>
        <v>HLC-062</v>
      </c>
      <c r="B1148" s="1" t="str">
        <f aca="false">IF($A1148="","",物件マスタ!B1148)</f>
        <v>HLC</v>
      </c>
      <c r="C1148" s="1" t="str">
        <f aca="false">IF($A1148="","",IFERROR(INDEX(法人マスタ!$C:$C,MATCH($B1148,法人マスタ!$A:$A,0)),""))</f>
        <v>ヒューリックリート投資法人</v>
      </c>
      <c r="D1148" s="1" t="str">
        <f aca="false">IF($A1148="","",物件マスタ!C1148)</f>
        <v>ホスピタルメント本郷</v>
      </c>
      <c r="E1148" s="1" t="str">
        <f aca="false">IF($A1148="","",物件マスタ!H1148)</f>
        <v>その他東京23区</v>
      </c>
      <c r="F1148" s="53" t="n">
        <f aca="false">IF($A1148="","",物件マスタ!P1148)</f>
        <v>43525</v>
      </c>
      <c r="G1148" s="1" t="n">
        <f aca="false">IF($A1148="","",物件マスタ!Q1148)</f>
        <v>7.4</v>
      </c>
      <c r="H1148" s="1" t="n">
        <f aca="false">IF($A1148="","",物件マスタ!L1148)</f>
        <v>0</v>
      </c>
      <c r="I1148" s="1" t="n">
        <f aca="false">IF($A1148="","",物件マスタ!M1148)</f>
        <v>2116.93</v>
      </c>
      <c r="J1148" s="1" t="n">
        <f aca="false">IF($A1148="","",物件マスタ!S1148)</f>
        <v>2884</v>
      </c>
      <c r="K1148" s="1" t="n">
        <f aca="false">IF($A1148="","",物件マスタ!U1148)</f>
        <v>3060</v>
      </c>
      <c r="L1148" s="1" t="n">
        <f aca="false">IF($A1148="","",物件マスタ!W1148)</f>
        <v>1</v>
      </c>
      <c r="M1148" s="1" t="str">
        <f aca="false">IF($A1148="","",IFERROR(INDEX(法人マスタ!$H:$H,MATCH($B1148,法人マスタ!$A:$A,0)),""))</f>
        <v>2026年2月期（第24期）</v>
      </c>
      <c r="N1148" s="1" t="n">
        <f aca="false">IF($A1148="","",SUMIFS(物件収支!$D:$D,物件収支!$A:$A,$A1148,物件収支!$C:$C,$M1148))</f>
        <v>6</v>
      </c>
      <c r="O1148" s="1" t="n">
        <f aca="false">IF($A1148="","",SUMIFS(物件収支!$F:$F,物件収支!$A:$A,$A1148,物件収支!$C:$C,$M1148))</f>
        <v>0</v>
      </c>
      <c r="P1148" s="1" t="n">
        <f aca="false">IF($A1148="","",SUMIFS(物件収支!$I:$I,物件収支!$A:$A,$A1148,物件収支!$C:$C,$M1148))</f>
        <v>0</v>
      </c>
      <c r="Q1148" s="1" t="n">
        <f aca="false">IF($A1148="","",SUMIFS(物件収支!$O:$O,物件収支!$A:$A,$A1148,物件収支!$C:$C,$M1148))</f>
        <v>0</v>
      </c>
      <c r="R1148" s="1" t="str">
        <f aca="false">IF($A1148="","",IF(P1148=0,"",O1148-P1148))</f>
        <v/>
      </c>
      <c r="S1148" s="1" t="str">
        <f aca="false">IF($A1148="","",IF(R1148="","",R1148+Q1148))</f>
        <v/>
      </c>
      <c r="T1148" s="1" t="str">
        <f aca="false">IF($A1148="","",IF(OR(S1148="",N1148&lt;=0),"",S1148/1000*12/N1148))</f>
        <v/>
      </c>
      <c r="U1148" s="1" t="str">
        <f aca="false">IF($A1148="","",IF(OR(T1148="",J1148=0,J1148=""),"",T1148/J1148))</f>
        <v/>
      </c>
      <c r="V1148" s="1" t="str">
        <f aca="false">IF($A1148="","",IF(OR(R1148="",N1148&lt;=0,J1148=0,J1148=""),"",(R1148/1000*12/N1148)/J1148))</f>
        <v/>
      </c>
      <c r="W1148" s="1" t="str">
        <f aca="false">IF($A1148="","",IF(OR(T1148="",K1148=0,K1148=""),"",T1148/K1148))</f>
        <v/>
      </c>
      <c r="X1148" s="1" t="str">
        <f aca="false">IF($A1148="","",IF(OR(N1148&lt;=0,I1148=0,I1148="",O1148=0),"",O1148*1000/(I1148*0.3025)/N1148))</f>
        <v/>
      </c>
      <c r="Y1148" s="1" t="str">
        <f aca="false">IF($A1148="","",IF(OR(O1148=0,O1148="",P1148=0),"",P1148/O1148))</f>
        <v/>
      </c>
      <c r="Z1148" s="1" t="str">
        <f aca="false">IF($A1148="","",IFERROR(INDEX(物件収支!$E:$E,MATCH($A1148,物件収支!$A:$A,0)),""))</f>
        <v>非開示（NOIのみ開示）</v>
      </c>
    </row>
    <row r="1149" customFormat="false" ht="15" hidden="false" customHeight="true" outlineLevel="0" collapsed="false">
      <c r="A1149" s="1" t="str">
        <f aca="false">IF(物件マスタ!A1149="","",物件マスタ!A1149)</f>
        <v>HLC-063</v>
      </c>
      <c r="B1149" s="1" t="str">
        <f aca="false">IF($A1149="","",物件マスタ!B1149)</f>
        <v>HLC</v>
      </c>
      <c r="C1149" s="1" t="str">
        <f aca="false">IF($A1149="","",IFERROR(INDEX(法人マスタ!$C:$C,MATCH($B1149,法人マスタ!$A:$A,0)),""))</f>
        <v>ヒューリックリート投資法人</v>
      </c>
      <c r="D1149" s="1" t="str">
        <f aca="false">IF($A1149="","",物件マスタ!C1149)</f>
        <v>池袋ネットワークセンター</v>
      </c>
      <c r="E1149" s="1" t="str">
        <f aca="false">IF($A1149="","",物件マスタ!H1149)</f>
        <v>（期中譲渡済）</v>
      </c>
      <c r="F1149" s="1" t="n">
        <f aca="false">IF($A1149="","",物件マスタ!P1149)</f>
        <v>0</v>
      </c>
      <c r="G1149" s="1" t="str">
        <f aca="false">IF($A1149="","",物件マスタ!Q1149)</f>
        <v/>
      </c>
      <c r="H1149" s="1" t="n">
        <f aca="false">IF($A1149="","",物件マスタ!L1149)</f>
        <v>0</v>
      </c>
      <c r="I1149" s="1" t="n">
        <f aca="false">IF($A1149="","",物件マスタ!M1149)</f>
        <v>0</v>
      </c>
      <c r="J1149" s="1" t="n">
        <f aca="false">IF($A1149="","",物件マスタ!S1149)</f>
        <v>0</v>
      </c>
      <c r="K1149" s="1" t="n">
        <f aca="false">IF($A1149="","",物件マスタ!U1149)</f>
        <v>0</v>
      </c>
      <c r="L1149" s="1" t="n">
        <f aca="false">IF($A1149="","",物件マスタ!W1149)</f>
        <v>0</v>
      </c>
      <c r="M1149" s="1" t="str">
        <f aca="false">IF($A1149="","",IFERROR(INDEX(法人マスタ!$H:$H,MATCH($B1149,法人マスタ!$A:$A,0)),""))</f>
        <v>2026年2月期（第24期）</v>
      </c>
      <c r="N1149" s="1" t="n">
        <f aca="false">IF($A1149="","",SUMIFS(物件収支!$D:$D,物件収支!$A:$A,$A1149,物件収支!$C:$C,$M1149))</f>
        <v>6</v>
      </c>
      <c r="O1149" s="1" t="n">
        <f aca="false">IF($A1149="","",SUMIFS(物件収支!$F:$F,物件収支!$A:$A,$A1149,物件収支!$C:$C,$M1149))</f>
        <v>5273</v>
      </c>
      <c r="P1149" s="1" t="n">
        <f aca="false">IF($A1149="","",SUMIFS(物件収支!$I:$I,物件収支!$A:$A,$A1149,物件収支!$C:$C,$M1149))</f>
        <v>2098</v>
      </c>
      <c r="Q1149" s="1" t="n">
        <f aca="false">IF($A1149="","",SUMIFS(物件収支!$O:$O,物件収支!$A:$A,$A1149,物件収支!$C:$C,$M1149))</f>
        <v>2000</v>
      </c>
      <c r="R1149" s="1" t="n">
        <f aca="false">IF($A1149="","",IF(P1149=0,"",O1149-P1149))</f>
        <v>3175</v>
      </c>
      <c r="S1149" s="1" t="n">
        <f aca="false">IF($A1149="","",IF(R1149="","",R1149+Q1149))</f>
        <v>5175</v>
      </c>
      <c r="T1149" s="1" t="n">
        <f aca="false">IF($A1149="","",IF(OR(S1149="",N1149&lt;=0),"",S1149/1000*12/N1149))</f>
        <v>10.35</v>
      </c>
      <c r="U1149" s="1" t="str">
        <f aca="false">IF($A1149="","",IF(OR(T1149="",J1149=0,J1149=""),"",T1149/J1149))</f>
        <v/>
      </c>
      <c r="V1149" s="1" t="str">
        <f aca="false">IF($A1149="","",IF(OR(R1149="",N1149&lt;=0,J1149=0,J1149=""),"",(R1149/1000*12/N1149)/J1149))</f>
        <v/>
      </c>
      <c r="W1149" s="1" t="str">
        <f aca="false">IF($A1149="","",IF(OR(T1149="",K1149=0,K1149=""),"",T1149/K1149))</f>
        <v/>
      </c>
      <c r="X1149" s="1" t="str">
        <f aca="false">IF($A1149="","",IF(OR(N1149&lt;=0,I1149=0,I1149="",O1149=0),"",O1149*1000/(I1149*0.3025)/N1149))</f>
        <v/>
      </c>
      <c r="Y1149" s="1" t="n">
        <f aca="false">IF($A1149="","",IF(OR(O1149=0,O1149="",P1149=0),"",P1149/O1149))</f>
        <v>0.397875971932486</v>
      </c>
      <c r="Z1149" s="1" t="str">
        <f aca="false">IF($A1149="","",IFERROR(INDEX(物件収支!$E:$E,MATCH($A1149,物件収支!$A:$A,0)),""))</f>
        <v>開示（物件別・費用内訳含む）</v>
      </c>
    </row>
    <row r="1150" customFormat="false" ht="15" hidden="false" customHeight="true" outlineLevel="0" collapsed="false">
      <c r="A1150" s="1" t="str">
        <f aca="false">IF(物件マスタ!A1150="","",物件マスタ!A1150)</f>
        <v>HLC-064</v>
      </c>
      <c r="B1150" s="1" t="str">
        <f aca="false">IF($A1150="","",物件マスタ!B1150)</f>
        <v>HLC</v>
      </c>
      <c r="C1150" s="1" t="str">
        <f aca="false">IF($A1150="","",IFERROR(INDEX(法人マスタ!$C:$C,MATCH($B1150,法人マスタ!$A:$A,0)),""))</f>
        <v>ヒューリックリート投資法人</v>
      </c>
      <c r="D1150" s="1" t="str">
        <f aca="false">IF($A1150="","",物件マスタ!C1150)</f>
        <v>田端ネットワークセンター</v>
      </c>
      <c r="E1150" s="1" t="str">
        <f aca="false">IF($A1150="","",物件マスタ!H1150)</f>
        <v>その他東京23区</v>
      </c>
      <c r="F1150" s="53" t="n">
        <f aca="false">IF($A1150="","",物件マスタ!P1150)</f>
        <v>35886</v>
      </c>
      <c r="G1150" s="1" t="n">
        <f aca="false">IF($A1150="","",物件マスタ!Q1150)</f>
        <v>28.4</v>
      </c>
      <c r="H1150" s="1" t="n">
        <f aca="false">IF($A1150="","",物件マスタ!L1150)</f>
        <v>0</v>
      </c>
      <c r="I1150" s="1" t="n">
        <f aca="false">IF($A1150="","",物件マスタ!M1150)</f>
        <v>3832.73</v>
      </c>
      <c r="J1150" s="1" t="n">
        <f aca="false">IF($A1150="","",物件マスタ!S1150)</f>
        <v>1355</v>
      </c>
      <c r="K1150" s="1" t="n">
        <f aca="false">IF($A1150="","",物件マスタ!U1150)</f>
        <v>1560</v>
      </c>
      <c r="L1150" s="1" t="n">
        <f aca="false">IF($A1150="","",物件マスタ!W1150)</f>
        <v>1</v>
      </c>
      <c r="M1150" s="1" t="str">
        <f aca="false">IF($A1150="","",IFERROR(INDEX(法人マスタ!$H:$H,MATCH($B1150,法人マスタ!$A:$A,0)),""))</f>
        <v>2026年2月期（第24期）</v>
      </c>
      <c r="N1150" s="1" t="n">
        <f aca="false">IF($A1150="","",SUMIFS(物件収支!$D:$D,物件収支!$A:$A,$A1150,物件収支!$C:$C,$M1150))</f>
        <v>6</v>
      </c>
      <c r="O1150" s="1" t="n">
        <f aca="false">IF($A1150="","",SUMIFS(物件収支!$F:$F,物件収支!$A:$A,$A1150,物件収支!$C:$C,$M1150))</f>
        <v>43285</v>
      </c>
      <c r="P1150" s="1" t="n">
        <f aca="false">IF($A1150="","",SUMIFS(物件収支!$I:$I,物件収支!$A:$A,$A1150,物件収支!$C:$C,$M1150))</f>
        <v>10839</v>
      </c>
      <c r="Q1150" s="1" t="n">
        <f aca="false">IF($A1150="","",SUMIFS(物件収支!$O:$O,物件収支!$A:$A,$A1150,物件収支!$C:$C,$M1150))</f>
        <v>4102</v>
      </c>
      <c r="R1150" s="1" t="n">
        <f aca="false">IF($A1150="","",IF(P1150=0,"",O1150-P1150))</f>
        <v>32446</v>
      </c>
      <c r="S1150" s="1" t="n">
        <f aca="false">IF($A1150="","",IF(R1150="","",R1150+Q1150))</f>
        <v>36548</v>
      </c>
      <c r="T1150" s="1" t="n">
        <f aca="false">IF($A1150="","",IF(OR(S1150="",N1150&lt;=0),"",S1150/1000*12/N1150))</f>
        <v>73.096</v>
      </c>
      <c r="U1150" s="1" t="n">
        <f aca="false">IF($A1150="","",IF(OR(T1150="",J1150=0,J1150=""),"",T1150/J1150))</f>
        <v>0.0539453874538745</v>
      </c>
      <c r="V1150" s="1" t="n">
        <f aca="false">IF($A1150="","",IF(OR(R1150="",N1150&lt;=0,J1150=0,J1150=""),"",(R1150/1000*12/N1150)/J1150))</f>
        <v>0.0478907749077491</v>
      </c>
      <c r="W1150" s="1" t="n">
        <f aca="false">IF($A1150="","",IF(OR(T1150="",K1150=0,K1150=""),"",T1150/K1150))</f>
        <v>0.0468564102564103</v>
      </c>
      <c r="X1150" s="1" t="n">
        <f aca="false">IF($A1150="","",IF(OR(N1150&lt;=0,I1150=0,I1150="",O1150=0),"",O1150*1000/(I1150*0.3025)/N1150))</f>
        <v>6222.32321308437</v>
      </c>
      <c r="Y1150" s="1" t="n">
        <f aca="false">IF($A1150="","",IF(OR(O1150=0,O1150="",P1150=0),"",P1150/O1150))</f>
        <v>0.250410072773478</v>
      </c>
      <c r="Z1150" s="1" t="str">
        <f aca="false">IF($A1150="","",IFERROR(INDEX(物件収支!$E:$E,MATCH($A1150,物件収支!$A:$A,0)),""))</f>
        <v>開示（物件別・費用内訳含む）</v>
      </c>
    </row>
    <row r="1151" customFormat="false" ht="15" hidden="false" customHeight="true" outlineLevel="0" collapsed="false">
      <c r="A1151" s="1" t="str">
        <f aca="false">IF(物件マスタ!A1151="","",物件マスタ!A1151)</f>
        <v>HLC-065</v>
      </c>
      <c r="B1151" s="1" t="str">
        <f aca="false">IF($A1151="","",物件マスタ!B1151)</f>
        <v>HLC</v>
      </c>
      <c r="C1151" s="1" t="str">
        <f aca="false">IF($A1151="","",IFERROR(INDEX(法人マスタ!$C:$C,MATCH($B1151,法人マスタ!$A:$A,0)),""))</f>
        <v>ヒューリックリート投資法人</v>
      </c>
      <c r="D1151" s="1" t="str">
        <f aca="false">IF($A1151="","",物件マスタ!C1151)</f>
        <v>広島ネットワークセンター</v>
      </c>
      <c r="E1151" s="1" t="str">
        <f aca="false">IF($A1151="","",物件マスタ!H1151)</f>
        <v>3大都市圏以外の政令市</v>
      </c>
      <c r="F1151" s="53" t="n">
        <f aca="false">IF($A1151="","",物件マスタ!P1151)</f>
        <v>37165</v>
      </c>
      <c r="G1151" s="1" t="n">
        <f aca="false">IF($A1151="","",物件マスタ!Q1151)</f>
        <v>24.9</v>
      </c>
      <c r="H1151" s="1" t="n">
        <f aca="false">IF($A1151="","",物件マスタ!L1151)</f>
        <v>0</v>
      </c>
      <c r="I1151" s="1" t="n">
        <f aca="false">IF($A1151="","",物件マスタ!M1151)</f>
        <v>5208.54</v>
      </c>
      <c r="J1151" s="1" t="n">
        <f aca="false">IF($A1151="","",物件マスタ!S1151)</f>
        <v>1080</v>
      </c>
      <c r="K1151" s="1" t="n">
        <f aca="false">IF($A1151="","",物件マスタ!U1151)</f>
        <v>1160</v>
      </c>
      <c r="L1151" s="1" t="n">
        <f aca="false">IF($A1151="","",物件マスタ!W1151)</f>
        <v>1</v>
      </c>
      <c r="M1151" s="1" t="str">
        <f aca="false">IF($A1151="","",IFERROR(INDEX(法人マスタ!$H:$H,MATCH($B1151,法人マスタ!$A:$A,0)),""))</f>
        <v>2026年2月期（第24期）</v>
      </c>
      <c r="N1151" s="1" t="n">
        <f aca="false">IF($A1151="","",SUMIFS(物件収支!$D:$D,物件収支!$A:$A,$A1151,物件収支!$C:$C,$M1151))</f>
        <v>6</v>
      </c>
      <c r="O1151" s="1" t="n">
        <f aca="false">IF($A1151="","",SUMIFS(物件収支!$F:$F,物件収支!$A:$A,$A1151,物件収支!$C:$C,$M1151))</f>
        <v>42091</v>
      </c>
      <c r="P1151" s="1" t="n">
        <f aca="false">IF($A1151="","",SUMIFS(物件収支!$I:$I,物件収支!$A:$A,$A1151,物件収支!$C:$C,$M1151))</f>
        <v>22836</v>
      </c>
      <c r="Q1151" s="1" t="n">
        <f aca="false">IF($A1151="","",SUMIFS(物件収支!$O:$O,物件収支!$A:$A,$A1151,物件収支!$C:$C,$M1151))</f>
        <v>6129</v>
      </c>
      <c r="R1151" s="1" t="n">
        <f aca="false">IF($A1151="","",IF(P1151=0,"",O1151-P1151))</f>
        <v>19255</v>
      </c>
      <c r="S1151" s="1" t="n">
        <f aca="false">IF($A1151="","",IF(R1151="","",R1151+Q1151))</f>
        <v>25384</v>
      </c>
      <c r="T1151" s="1" t="n">
        <f aca="false">IF($A1151="","",IF(OR(S1151="",N1151&lt;=0),"",S1151/1000*12/N1151))</f>
        <v>50.768</v>
      </c>
      <c r="U1151" s="1" t="n">
        <f aca="false">IF($A1151="","",IF(OR(T1151="",J1151=0,J1151=""),"",T1151/J1151))</f>
        <v>0.0470074074074074</v>
      </c>
      <c r="V1151" s="1" t="n">
        <f aca="false">IF($A1151="","",IF(OR(R1151="",N1151&lt;=0,J1151=0,J1151=""),"",(R1151/1000*12/N1151)/J1151))</f>
        <v>0.0356574074074074</v>
      </c>
      <c r="W1151" s="1" t="n">
        <f aca="false">IF($A1151="","",IF(OR(T1151="",K1151=0,K1151=""),"",T1151/K1151))</f>
        <v>0.0437655172413793</v>
      </c>
      <c r="X1151" s="1" t="n">
        <f aca="false">IF($A1151="","",IF(OR(N1151&lt;=0,I1151=0,I1151="",O1151=0),"",O1151*1000/(I1151*0.3025)/N1151))</f>
        <v>4452.42498066933</v>
      </c>
      <c r="Y1151" s="1" t="n">
        <f aca="false">IF($A1151="","",IF(OR(O1151=0,O1151="",P1151=0),"",P1151/O1151))</f>
        <v>0.542538785013423</v>
      </c>
      <c r="Z1151" s="1" t="str">
        <f aca="false">IF($A1151="","",IFERROR(INDEX(物件収支!$E:$E,MATCH($A1151,物件収支!$A:$A,0)),""))</f>
        <v>開示（物件別・費用内訳含む）</v>
      </c>
    </row>
    <row r="1152" customFormat="false" ht="15" hidden="false" customHeight="true" outlineLevel="0" collapsed="false">
      <c r="A1152" s="1" t="str">
        <f aca="false">IF(物件マスタ!A1152="","",物件マスタ!A1152)</f>
        <v>HLC-066</v>
      </c>
      <c r="B1152" s="1" t="str">
        <f aca="false">IF($A1152="","",物件マスタ!B1152)</f>
        <v>HLC</v>
      </c>
      <c r="C1152" s="1" t="str">
        <f aca="false">IF($A1152="","",IFERROR(INDEX(法人マスタ!$C:$C,MATCH($B1152,法人マスタ!$A:$A,0)),""))</f>
        <v>ヒューリックリート投資法人</v>
      </c>
      <c r="D1152" s="1" t="str">
        <f aca="false">IF($A1152="","",物件マスタ!C1152)</f>
        <v>熱田ネットワークセンター</v>
      </c>
      <c r="E1152" s="1" t="str">
        <f aca="false">IF($A1152="","",物件マスタ!H1152)</f>
        <v>その他3大都市圏</v>
      </c>
      <c r="F1152" s="53" t="n">
        <f aca="false">IF($A1152="","",物件マスタ!P1152)</f>
        <v>35551</v>
      </c>
      <c r="G1152" s="1" t="n">
        <f aca="false">IF($A1152="","",物件マスタ!Q1152)</f>
        <v>29.3</v>
      </c>
      <c r="H1152" s="1" t="n">
        <f aca="false">IF($A1152="","",物件マスタ!L1152)</f>
        <v>0</v>
      </c>
      <c r="I1152" s="1" t="n">
        <f aca="false">IF($A1152="","",物件マスタ!M1152)</f>
        <v>4943.1</v>
      </c>
      <c r="J1152" s="1" t="n">
        <f aca="false">IF($A1152="","",物件マスタ!S1152)</f>
        <v>1015</v>
      </c>
      <c r="K1152" s="1" t="n">
        <f aca="false">IF($A1152="","",物件マスタ!U1152)</f>
        <v>1020</v>
      </c>
      <c r="L1152" s="1" t="n">
        <f aca="false">IF($A1152="","",物件マスタ!W1152)</f>
        <v>1</v>
      </c>
      <c r="M1152" s="1" t="str">
        <f aca="false">IF($A1152="","",IFERROR(INDEX(法人マスタ!$H:$H,MATCH($B1152,法人マスタ!$A:$A,0)),""))</f>
        <v>2026年2月期（第24期）</v>
      </c>
      <c r="N1152" s="1" t="n">
        <f aca="false">IF($A1152="","",SUMIFS(物件収支!$D:$D,物件収支!$A:$A,$A1152,物件収支!$C:$C,$M1152))</f>
        <v>6</v>
      </c>
      <c r="O1152" s="1" t="n">
        <f aca="false">IF($A1152="","",SUMIFS(物件収支!$F:$F,物件収支!$A:$A,$A1152,物件収支!$C:$C,$M1152))</f>
        <v>35273</v>
      </c>
      <c r="P1152" s="1" t="n">
        <f aca="false">IF($A1152="","",SUMIFS(物件収支!$I:$I,物件収支!$A:$A,$A1152,物件収支!$C:$C,$M1152))</f>
        <v>11990</v>
      </c>
      <c r="Q1152" s="1" t="n">
        <f aca="false">IF($A1152="","",SUMIFS(物件収支!$O:$O,物件収支!$A:$A,$A1152,物件収支!$C:$C,$M1152))</f>
        <v>4929</v>
      </c>
      <c r="R1152" s="1" t="n">
        <f aca="false">IF($A1152="","",IF(P1152=0,"",O1152-P1152))</f>
        <v>23283</v>
      </c>
      <c r="S1152" s="1" t="n">
        <f aca="false">IF($A1152="","",IF(R1152="","",R1152+Q1152))</f>
        <v>28212</v>
      </c>
      <c r="T1152" s="1" t="n">
        <f aca="false">IF($A1152="","",IF(OR(S1152="",N1152&lt;=0),"",S1152/1000*12/N1152))</f>
        <v>56.424</v>
      </c>
      <c r="U1152" s="1" t="n">
        <f aca="false">IF($A1152="","",IF(OR(T1152="",J1152=0,J1152=""),"",T1152/J1152))</f>
        <v>0.0555901477832512</v>
      </c>
      <c r="V1152" s="1" t="n">
        <f aca="false">IF($A1152="","",IF(OR(R1152="",N1152&lt;=0,J1152=0,J1152=""),"",(R1152/1000*12/N1152)/J1152))</f>
        <v>0.0458778325123153</v>
      </c>
      <c r="W1152" s="1" t="n">
        <f aca="false">IF($A1152="","",IF(OR(T1152="",K1152=0,K1152=""),"",T1152/K1152))</f>
        <v>0.0553176470588235</v>
      </c>
      <c r="X1152" s="1" t="n">
        <f aca="false">IF($A1152="","",IF(OR(N1152&lt;=0,I1152=0,I1152="",O1152=0),"",O1152*1000/(I1152*0.3025)/N1152))</f>
        <v>3931.57325961731</v>
      </c>
      <c r="Y1152" s="1" t="n">
        <f aca="false">IF($A1152="","",IF(OR(O1152=0,O1152="",P1152=0),"",P1152/O1152))</f>
        <v>0.339920052164545</v>
      </c>
      <c r="Z1152" s="1" t="str">
        <f aca="false">IF($A1152="","",IFERROR(INDEX(物件収支!$E:$E,MATCH($A1152,物件収支!$A:$A,0)),""))</f>
        <v>開示（物件別・費用内訳含む）</v>
      </c>
    </row>
    <row r="1153" customFormat="false" ht="15" hidden="false" customHeight="true" outlineLevel="0" collapsed="false">
      <c r="A1153" s="1" t="str">
        <f aca="false">IF(物件マスタ!A1153="","",物件マスタ!A1153)</f>
        <v>HLC-067</v>
      </c>
      <c r="B1153" s="1" t="str">
        <f aca="false">IF($A1153="","",物件マスタ!B1153)</f>
        <v>HLC</v>
      </c>
      <c r="C1153" s="1" t="str">
        <f aca="false">IF($A1153="","",IFERROR(INDEX(法人マスタ!$C:$C,MATCH($B1153,法人マスタ!$A:$A,0)),""))</f>
        <v>ヒューリックリート投資法人</v>
      </c>
      <c r="D1153" s="1" t="str">
        <f aca="false">IF($A1153="","",物件マスタ!C1153)</f>
        <v>長野ネットワークセンター</v>
      </c>
      <c r="E1153" s="1" t="str">
        <f aca="false">IF($A1153="","",物件マスタ!H1153)</f>
        <v>（期中譲渡済）</v>
      </c>
      <c r="F1153" s="1" t="n">
        <f aca="false">IF($A1153="","",物件マスタ!P1153)</f>
        <v>0</v>
      </c>
      <c r="G1153" s="1" t="str">
        <f aca="false">IF($A1153="","",物件マスタ!Q1153)</f>
        <v/>
      </c>
      <c r="H1153" s="1" t="n">
        <f aca="false">IF($A1153="","",物件マスタ!L1153)</f>
        <v>0</v>
      </c>
      <c r="I1153" s="1" t="n">
        <f aca="false">IF($A1153="","",物件マスタ!M1153)</f>
        <v>0</v>
      </c>
      <c r="J1153" s="1" t="n">
        <f aca="false">IF($A1153="","",物件マスタ!S1153)</f>
        <v>0</v>
      </c>
      <c r="K1153" s="1" t="n">
        <f aca="false">IF($A1153="","",物件マスタ!U1153)</f>
        <v>0</v>
      </c>
      <c r="L1153" s="1" t="n">
        <f aca="false">IF($A1153="","",物件マスタ!W1153)</f>
        <v>0</v>
      </c>
      <c r="M1153" s="1" t="str">
        <f aca="false">IF($A1153="","",IFERROR(INDEX(法人マスタ!$H:$H,MATCH($B1153,法人マスタ!$A:$A,0)),""))</f>
        <v>2026年2月期（第24期）</v>
      </c>
      <c r="N1153" s="1" t="n">
        <f aca="false">IF($A1153="","",SUMIFS(物件収支!$D:$D,物件収支!$A:$A,$A1153,物件収支!$C:$C,$M1153))</f>
        <v>6</v>
      </c>
      <c r="O1153" s="1" t="n">
        <f aca="false">IF($A1153="","",SUMIFS(物件収支!$F:$F,物件収支!$A:$A,$A1153,物件収支!$C:$C,$M1153))</f>
        <v>649</v>
      </c>
      <c r="P1153" s="1" t="n">
        <f aca="false">IF($A1153="","",SUMIFS(物件収支!$I:$I,物件収支!$A:$A,$A1153,物件収支!$C:$C,$M1153))</f>
        <v>624</v>
      </c>
      <c r="Q1153" s="1" t="n">
        <f aca="false">IF($A1153="","",SUMIFS(物件収支!$O:$O,物件収支!$A:$A,$A1153,物件収支!$C:$C,$M1153))</f>
        <v>558</v>
      </c>
      <c r="R1153" s="1" t="n">
        <f aca="false">IF($A1153="","",IF(P1153=0,"",O1153-P1153))</f>
        <v>25</v>
      </c>
      <c r="S1153" s="1" t="n">
        <f aca="false">IF($A1153="","",IF(R1153="","",R1153+Q1153))</f>
        <v>583</v>
      </c>
      <c r="T1153" s="1" t="n">
        <f aca="false">IF($A1153="","",IF(OR(S1153="",N1153&lt;=0),"",S1153/1000*12/N1153))</f>
        <v>1.166</v>
      </c>
      <c r="U1153" s="1" t="str">
        <f aca="false">IF($A1153="","",IF(OR(T1153="",J1153=0,J1153=""),"",T1153/J1153))</f>
        <v/>
      </c>
      <c r="V1153" s="1" t="str">
        <f aca="false">IF($A1153="","",IF(OR(R1153="",N1153&lt;=0,J1153=0,J1153=""),"",(R1153/1000*12/N1153)/J1153))</f>
        <v/>
      </c>
      <c r="W1153" s="1" t="str">
        <f aca="false">IF($A1153="","",IF(OR(T1153="",K1153=0,K1153=""),"",T1153/K1153))</f>
        <v/>
      </c>
      <c r="X1153" s="1" t="str">
        <f aca="false">IF($A1153="","",IF(OR(N1153&lt;=0,I1153=0,I1153="",O1153=0),"",O1153*1000/(I1153*0.3025)/N1153))</f>
        <v/>
      </c>
      <c r="Y1153" s="1" t="n">
        <f aca="false">IF($A1153="","",IF(OR(O1153=0,O1153="",P1153=0),"",P1153/O1153))</f>
        <v>0.961479198767334</v>
      </c>
      <c r="Z1153" s="1" t="str">
        <f aca="false">IF($A1153="","",IFERROR(INDEX(物件収支!$E:$E,MATCH($A1153,物件収支!$A:$A,0)),""))</f>
        <v>開示（物件別・費用内訳含む）</v>
      </c>
    </row>
    <row r="1154" customFormat="false" ht="15" hidden="false" customHeight="true" outlineLevel="0" collapsed="false">
      <c r="A1154" s="1" t="str">
        <f aca="false">IF(物件マスタ!A1154="","",物件マスタ!A1154)</f>
        <v>HLC-068</v>
      </c>
      <c r="B1154" s="1" t="str">
        <f aca="false">IF($A1154="","",物件マスタ!B1154)</f>
        <v>HLC</v>
      </c>
      <c r="C1154" s="1" t="str">
        <f aca="false">IF($A1154="","",IFERROR(INDEX(法人マスタ!$C:$C,MATCH($B1154,法人マスタ!$A:$A,0)),""))</f>
        <v>ヒューリックリート投資法人</v>
      </c>
      <c r="D1154" s="1" t="str">
        <f aca="false">IF($A1154="","",物件マスタ!C1154)</f>
        <v>札幌ネットワークセンター</v>
      </c>
      <c r="E1154" s="1" t="str">
        <f aca="false">IF($A1154="","",物件マスタ!H1154)</f>
        <v>3大都市圏以外の政令市</v>
      </c>
      <c r="F1154" s="53" t="n">
        <f aca="false">IF($A1154="","",物件マスタ!P1154)</f>
        <v>37257</v>
      </c>
      <c r="G1154" s="1" t="n">
        <f aca="false">IF($A1154="","",物件マスタ!Q1154)</f>
        <v>24.6</v>
      </c>
      <c r="H1154" s="1" t="n">
        <f aca="false">IF($A1154="","",物件マスタ!L1154)</f>
        <v>0</v>
      </c>
      <c r="I1154" s="1" t="n">
        <f aca="false">IF($A1154="","",物件マスタ!M1154)</f>
        <v>9793.57</v>
      </c>
      <c r="J1154" s="1" t="n">
        <f aca="false">IF($A1154="","",物件マスタ!S1154)</f>
        <v>2510</v>
      </c>
      <c r="K1154" s="1" t="n">
        <f aca="false">IF($A1154="","",物件マスタ!U1154)</f>
        <v>2540</v>
      </c>
      <c r="L1154" s="1" t="n">
        <f aca="false">IF($A1154="","",物件マスタ!W1154)</f>
        <v>1</v>
      </c>
      <c r="M1154" s="1" t="str">
        <f aca="false">IF($A1154="","",IFERROR(INDEX(法人マスタ!$H:$H,MATCH($B1154,法人マスタ!$A:$A,0)),""))</f>
        <v>2026年2月期（第24期）</v>
      </c>
      <c r="N1154" s="1" t="n">
        <f aca="false">IF($A1154="","",SUMIFS(物件収支!$D:$D,物件収支!$A:$A,$A1154,物件収支!$C:$C,$M1154))</f>
        <v>6</v>
      </c>
      <c r="O1154" s="1" t="n">
        <f aca="false">IF($A1154="","",SUMIFS(物件収支!$F:$F,物件収支!$A:$A,$A1154,物件収支!$C:$C,$M1154))</f>
        <v>80358</v>
      </c>
      <c r="P1154" s="1" t="n">
        <f aca="false">IF($A1154="","",SUMIFS(物件収支!$I:$I,物件収支!$A:$A,$A1154,物件収支!$C:$C,$M1154))</f>
        <v>26244</v>
      </c>
      <c r="Q1154" s="1" t="n">
        <f aca="false">IF($A1154="","",SUMIFS(物件収支!$O:$O,物件収支!$A:$A,$A1154,物件収支!$C:$C,$M1154))</f>
        <v>9264</v>
      </c>
      <c r="R1154" s="1" t="n">
        <f aca="false">IF($A1154="","",IF(P1154=0,"",O1154-P1154))</f>
        <v>54114</v>
      </c>
      <c r="S1154" s="1" t="n">
        <f aca="false">IF($A1154="","",IF(R1154="","",R1154+Q1154))</f>
        <v>63378</v>
      </c>
      <c r="T1154" s="1" t="n">
        <f aca="false">IF($A1154="","",IF(OR(S1154="",N1154&lt;=0),"",S1154/1000*12/N1154))</f>
        <v>126.756</v>
      </c>
      <c r="U1154" s="1" t="n">
        <f aca="false">IF($A1154="","",IF(OR(T1154="",J1154=0,J1154=""),"",T1154/J1154))</f>
        <v>0.0505003984063745</v>
      </c>
      <c r="V1154" s="1" t="n">
        <f aca="false">IF($A1154="","",IF(OR(R1154="",N1154&lt;=0,J1154=0,J1154=""),"",(R1154/1000*12/N1154)/J1154))</f>
        <v>0.0431187250996016</v>
      </c>
      <c r="W1154" s="1" t="n">
        <f aca="false">IF($A1154="","",IF(OR(T1154="",K1154=0,K1154=""),"",T1154/K1154))</f>
        <v>0.049903937007874</v>
      </c>
      <c r="X1154" s="1" t="n">
        <f aca="false">IF($A1154="","",IF(OR(N1154&lt;=0,I1154=0,I1154="",O1154=0),"",O1154*1000/(I1154*0.3025)/N1154))</f>
        <v>4520.76006658341</v>
      </c>
      <c r="Y1154" s="1" t="n">
        <f aca="false">IF($A1154="","",IF(OR(O1154=0,O1154="",P1154=0),"",P1154/O1154))</f>
        <v>0.326588516389159</v>
      </c>
      <c r="Z1154" s="1" t="str">
        <f aca="false">IF($A1154="","",IFERROR(INDEX(物件収支!$E:$E,MATCH($A1154,物件収支!$A:$A,0)),""))</f>
        <v>開示（物件別・費用内訳含む）</v>
      </c>
    </row>
    <row r="1155" customFormat="false" ht="15" hidden="false" customHeight="true" outlineLevel="0" collapsed="false">
      <c r="A1155" s="1" t="str">
        <f aca="false">IF(物件マスタ!A1155="","",物件マスタ!A1155)</f>
        <v>HLC-069</v>
      </c>
      <c r="B1155" s="1" t="str">
        <f aca="false">IF($A1155="","",物件マスタ!B1155)</f>
        <v>HLC</v>
      </c>
      <c r="C1155" s="1" t="str">
        <f aca="false">IF($A1155="","",IFERROR(INDEX(法人マスタ!$C:$C,MATCH($B1155,法人マスタ!$A:$A,0)),""))</f>
        <v>ヒューリックリート投資法人</v>
      </c>
      <c r="D1155" s="1" t="str">
        <f aca="false">IF($A1155="","",物件マスタ!C1155)</f>
        <v>京阪奈ネットワークセンター</v>
      </c>
      <c r="E1155" s="1" t="str">
        <f aca="false">IF($A1155="","",物件マスタ!H1155)</f>
        <v>その他3大都市圏</v>
      </c>
      <c r="F1155" s="53" t="n">
        <f aca="false">IF($A1155="","",物件マスタ!P1155)</f>
        <v>37012</v>
      </c>
      <c r="G1155" s="1" t="n">
        <f aca="false">IF($A1155="","",物件マスタ!Q1155)</f>
        <v>25.3</v>
      </c>
      <c r="H1155" s="1" t="n">
        <f aca="false">IF($A1155="","",物件マスタ!L1155)</f>
        <v>0</v>
      </c>
      <c r="I1155" s="1" t="n">
        <f aca="false">IF($A1155="","",物件マスタ!M1155)</f>
        <v>9273.44</v>
      </c>
      <c r="J1155" s="1" t="n">
        <f aca="false">IF($A1155="","",物件マスタ!S1155)</f>
        <v>1250</v>
      </c>
      <c r="K1155" s="1" t="n">
        <f aca="false">IF($A1155="","",物件マスタ!U1155)</f>
        <v>1360</v>
      </c>
      <c r="L1155" s="1" t="n">
        <f aca="false">IF($A1155="","",物件マスタ!W1155)</f>
        <v>1</v>
      </c>
      <c r="M1155" s="1" t="str">
        <f aca="false">IF($A1155="","",IFERROR(INDEX(法人マスタ!$H:$H,MATCH($B1155,法人マスタ!$A:$A,0)),""))</f>
        <v>2026年2月期（第24期）</v>
      </c>
      <c r="N1155" s="1" t="n">
        <f aca="false">IF($A1155="","",SUMIFS(物件収支!$D:$D,物件収支!$A:$A,$A1155,物件収支!$C:$C,$M1155))</f>
        <v>6</v>
      </c>
      <c r="O1155" s="1" t="n">
        <f aca="false">IF($A1155="","",SUMIFS(物件収支!$F:$F,物件収支!$A:$A,$A1155,物件収支!$C:$C,$M1155))</f>
        <v>45166</v>
      </c>
      <c r="P1155" s="1" t="n">
        <f aca="false">IF($A1155="","",SUMIFS(物件収支!$I:$I,物件収支!$A:$A,$A1155,物件収支!$C:$C,$M1155))</f>
        <v>20330</v>
      </c>
      <c r="Q1155" s="1" t="n">
        <f aca="false">IF($A1155="","",SUMIFS(物件収支!$O:$O,物件収支!$A:$A,$A1155,物件収支!$C:$C,$M1155))</f>
        <v>8593</v>
      </c>
      <c r="R1155" s="1" t="n">
        <f aca="false">IF($A1155="","",IF(P1155=0,"",O1155-P1155))</f>
        <v>24836</v>
      </c>
      <c r="S1155" s="1" t="n">
        <f aca="false">IF($A1155="","",IF(R1155="","",R1155+Q1155))</f>
        <v>33429</v>
      </c>
      <c r="T1155" s="1" t="n">
        <f aca="false">IF($A1155="","",IF(OR(S1155="",N1155&lt;=0),"",S1155/1000*12/N1155))</f>
        <v>66.858</v>
      </c>
      <c r="U1155" s="1" t="n">
        <f aca="false">IF($A1155="","",IF(OR(T1155="",J1155=0,J1155=""),"",T1155/J1155))</f>
        <v>0.0534864</v>
      </c>
      <c r="V1155" s="1" t="n">
        <f aca="false">IF($A1155="","",IF(OR(R1155="",N1155&lt;=0,J1155=0,J1155=""),"",(R1155/1000*12/N1155)/J1155))</f>
        <v>0.0397376</v>
      </c>
      <c r="W1155" s="1" t="n">
        <f aca="false">IF($A1155="","",IF(OR(T1155="",K1155=0,K1155=""),"",T1155/K1155))</f>
        <v>0.0491602941176471</v>
      </c>
      <c r="X1155" s="1" t="n">
        <f aca="false">IF($A1155="","",IF(OR(N1155&lt;=0,I1155=0,I1155="",O1155=0),"",O1155*1000/(I1155*0.3025)/N1155))</f>
        <v>2683.45387308793</v>
      </c>
      <c r="Y1155" s="1" t="n">
        <f aca="false">IF($A1155="","",IF(OR(O1155=0,O1155="",P1155=0),"",P1155/O1155))</f>
        <v>0.45011734490546</v>
      </c>
      <c r="Z1155" s="1" t="str">
        <f aca="false">IF($A1155="","",IFERROR(INDEX(物件収支!$E:$E,MATCH($A1155,物件収支!$A:$A,0)),""))</f>
        <v>開示（物件別・費用内訳含む）</v>
      </c>
    </row>
    <row r="1156" customFormat="false" ht="15" hidden="false" customHeight="true" outlineLevel="0" collapsed="false">
      <c r="A1156" s="1" t="str">
        <f aca="false">IF(物件マスタ!A1156="","",物件マスタ!A1156)</f>
        <v>HLC-ALL</v>
      </c>
      <c r="B1156" s="1" t="str">
        <f aca="false">IF($A1156="","",物件マスタ!B1156)</f>
        <v>HLC</v>
      </c>
      <c r="C1156" s="1" t="str">
        <f aca="false">IF($A1156="","",IFERROR(INDEX(法人マスタ!$C:$C,MATCH($B1156,法人マスタ!$A:$A,0)),""))</f>
        <v>ヒューリックリート投資法人</v>
      </c>
      <c r="D1156" s="1" t="str">
        <f aca="false">IF($A1156="","",物件マスタ!C1156)</f>
        <v>（HLC全67物件一括）</v>
      </c>
      <c r="E1156" s="1" t="str">
        <f aca="false">IF($A1156="","",物件マスタ!H1156)</f>
        <v>（法人一括）</v>
      </c>
      <c r="F1156" s="1" t="n">
        <f aca="false">IF($A1156="","",物件マスタ!P1156)</f>
        <v>0</v>
      </c>
      <c r="G1156" s="1" t="str">
        <f aca="false">IF($A1156="","",物件マスタ!Q1156)</f>
        <v/>
      </c>
      <c r="H1156" s="1" t="n">
        <f aca="false">IF($A1156="","",物件マスタ!L1156)</f>
        <v>0</v>
      </c>
      <c r="I1156" s="1" t="n">
        <f aca="false">IF($A1156="","",物件マスタ!M1156)</f>
        <v>0</v>
      </c>
      <c r="J1156" s="1" t="n">
        <f aca="false">IF($A1156="","",物件マスタ!S1156)</f>
        <v>421530</v>
      </c>
      <c r="K1156" s="1" t="n">
        <f aca="false">IF($A1156="","",物件マスタ!U1156)</f>
        <v>486369</v>
      </c>
      <c r="L1156" s="1" t="n">
        <f aca="false">IF($A1156="","",物件マスタ!W1156)</f>
        <v>0.998</v>
      </c>
      <c r="M1156" s="1" t="str">
        <f aca="false">IF($A1156="","",IFERROR(INDEX(法人マスタ!$H:$H,MATCH($B1156,法人マスタ!$A:$A,0)),""))</f>
        <v>2026年2月期（第24期）</v>
      </c>
      <c r="N1156" s="1" t="n">
        <f aca="false">IF($A1156="","",SUMIFS(物件収支!$D:$D,物件収支!$A:$A,$A1156,物件収支!$C:$C,$M1156))</f>
        <v>6</v>
      </c>
      <c r="O1156" s="1" t="n">
        <f aca="false">IF($A1156="","",SUMIFS(物件収支!$F:$F,物件収支!$A:$A,$A1156,物件収支!$C:$C,$M1156))</f>
        <v>11416272</v>
      </c>
      <c r="P1156" s="1" t="n">
        <f aca="false">IF($A1156="","",SUMIFS(物件収支!$I:$I,物件収支!$A:$A,$A1156,物件収支!$C:$C,$M1156))</f>
        <v>3849536</v>
      </c>
      <c r="Q1156" s="1" t="n">
        <f aca="false">IF($A1156="","",SUMIFS(物件収支!$O:$O,物件収支!$A:$A,$A1156,物件収支!$C:$C,$M1156))</f>
        <v>1415769</v>
      </c>
      <c r="R1156" s="1" t="n">
        <f aca="false">IF($A1156="","",IF(P1156=0,"",O1156-P1156))</f>
        <v>7566736</v>
      </c>
      <c r="S1156" s="1" t="n">
        <f aca="false">IF($A1156="","",IF(R1156="","",R1156+Q1156))</f>
        <v>8982505</v>
      </c>
      <c r="T1156" s="1" t="n">
        <f aca="false">IF($A1156="","",IF(OR(S1156="",N1156&lt;=0),"",S1156/1000*12/N1156))</f>
        <v>17965.01</v>
      </c>
      <c r="U1156" s="1" t="n">
        <f aca="false">IF($A1156="","",IF(OR(T1156="",J1156=0,J1156=""),"",T1156/J1156))</f>
        <v>0.0426185799349987</v>
      </c>
      <c r="V1156" s="1" t="n">
        <f aca="false">IF($A1156="","",IF(OR(R1156="",N1156&lt;=0,J1156=0,J1156=""),"",(R1156/1000*12/N1156)/J1156))</f>
        <v>0.0359012929091642</v>
      </c>
      <c r="W1156" s="1" t="n">
        <f aca="false">IF($A1156="","",IF(OR(T1156="",K1156=0,K1156=""),"",T1156/K1156))</f>
        <v>0.0369369963957407</v>
      </c>
      <c r="X1156" s="1" t="str">
        <f aca="false">IF($A1156="","",IF(OR(N1156&lt;=0,I1156=0,I1156="",O1156=0),"",O1156*1000/(I1156*0.3025)/N1156))</f>
        <v/>
      </c>
      <c r="Y1156" s="1" t="n">
        <f aca="false">IF($A1156="","",IF(OR(O1156=0,O1156="",P1156=0),"",P1156/O1156))</f>
        <v>0.337197291725355</v>
      </c>
      <c r="Z1156" s="1" t="str">
        <f aca="false">IF($A1156="","",IFERROR(INDEX(物件収支!$E:$E,MATCH($A1156,物件収支!$A:$A,0)),""))</f>
        <v>開示（法人一括・費用内訳含む）</v>
      </c>
    </row>
    <row r="1157" customFormat="false" ht="15" hidden="false" customHeight="true" outlineLevel="0" collapsed="false">
      <c r="A1157" s="1" t="str">
        <f aca="false">IF(物件マスタ!A1157="","",物件マスタ!A1157)</f>
        <v>SKR-001</v>
      </c>
      <c r="B1157" s="1" t="str">
        <f aca="false">IF($A1157="","",物件マスタ!B1157)</f>
        <v>SKR</v>
      </c>
      <c r="C1157" s="1" t="str">
        <f aca="false">IF($A1157="","",IFERROR(INDEX(法人マスタ!$C:$C,MATCH($B1157,法人マスタ!$A:$A,0)),""))</f>
        <v>サンケイリアルエステート投資法人</v>
      </c>
      <c r="D1157" s="1" t="str">
        <f aca="false">IF($A1157="","",物件マスタ!C1157)</f>
        <v>S-GATE日本橋本町</v>
      </c>
      <c r="E1157" s="1" t="str">
        <f aca="false">IF($A1157="","",物件マスタ!H1157)</f>
        <v>都心5区</v>
      </c>
      <c r="F1157" s="53" t="n">
        <f aca="false">IF($A1157="","",物件マスタ!P1157)</f>
        <v>43374</v>
      </c>
      <c r="G1157" s="1" t="n">
        <f aca="false">IF($A1157="","",物件マスタ!Q1157)</f>
        <v>7.9</v>
      </c>
      <c r="H1157" s="1" t="n">
        <f aca="false">IF($A1157="","",物件マスタ!L1157)</f>
        <v>0</v>
      </c>
      <c r="I1157" s="1" t="n">
        <f aca="false">IF($A1157="","",物件マスタ!M1157)</f>
        <v>6219.28</v>
      </c>
      <c r="J1157" s="1" t="n">
        <f aca="false">IF($A1157="","",物件マスタ!S1157)</f>
        <v>14148</v>
      </c>
      <c r="K1157" s="1" t="n">
        <f aca="false">IF($A1157="","",物件マスタ!U1157)</f>
        <v>15800</v>
      </c>
      <c r="L1157" s="1" t="n">
        <f aca="false">IF($A1157="","",物件マスタ!W1157)</f>
        <v>1</v>
      </c>
      <c r="M1157" s="1" t="str">
        <f aca="false">IF($A1157="","",IFERROR(INDEX(法人マスタ!$H:$H,MATCH($B1157,法人マスタ!$A:$A,0)),""))</f>
        <v>2026年2月期（第14期）</v>
      </c>
      <c r="N1157" s="1" t="n">
        <f aca="false">IF($A1157="","",SUMIFS(物件収支!$D:$D,物件収支!$A:$A,$A1157,物件収支!$C:$C,$M1157))</f>
        <v>6</v>
      </c>
      <c r="O1157" s="1" t="n">
        <f aca="false">IF($A1157="","",SUMIFS(物件収支!$F:$F,物件収支!$A:$A,$A1157,物件収支!$C:$C,$M1157))</f>
        <v>0</v>
      </c>
      <c r="P1157" s="1" t="n">
        <f aca="false">IF($A1157="","",SUMIFS(物件収支!$I:$I,物件収支!$A:$A,$A1157,物件収支!$C:$C,$M1157))</f>
        <v>0</v>
      </c>
      <c r="Q1157" s="1" t="n">
        <f aca="false">IF($A1157="","",SUMIFS(物件収支!$O:$O,物件収支!$A:$A,$A1157,物件収支!$C:$C,$M1157))</f>
        <v>0</v>
      </c>
      <c r="R1157" s="1" t="str">
        <f aca="false">IF($A1157="","",IF(P1157=0,"",O1157-P1157))</f>
        <v/>
      </c>
      <c r="S1157" s="1" t="str">
        <f aca="false">IF($A1157="","",IF(R1157="","",R1157+Q1157))</f>
        <v/>
      </c>
      <c r="T1157" s="1" t="str">
        <f aca="false">IF($A1157="","",IF(OR(S1157="",N1157&lt;=0),"",S1157/1000*12/N1157))</f>
        <v/>
      </c>
      <c r="U1157" s="1" t="str">
        <f aca="false">IF($A1157="","",IF(OR(T1157="",J1157=0,J1157=""),"",T1157/J1157))</f>
        <v/>
      </c>
      <c r="V1157" s="1" t="str">
        <f aca="false">IF($A1157="","",IF(OR(R1157="",N1157&lt;=0,J1157=0,J1157=""),"",(R1157/1000*12/N1157)/J1157))</f>
        <v/>
      </c>
      <c r="W1157" s="1" t="str">
        <f aca="false">IF($A1157="","",IF(OR(T1157="",K1157=0,K1157=""),"",T1157/K1157))</f>
        <v/>
      </c>
      <c r="X1157" s="1" t="str">
        <f aca="false">IF($A1157="","",IF(OR(N1157&lt;=0,I1157=0,I1157="",O1157=0),"",O1157*1000/(I1157*0.3025)/N1157))</f>
        <v/>
      </c>
      <c r="Y1157" s="1" t="str">
        <f aca="false">IF($A1157="","",IF(OR(O1157=0,O1157="",P1157=0),"",P1157/O1157))</f>
        <v/>
      </c>
      <c r="Z1157" s="1" t="str">
        <f aca="false">IF($A1157="","",IFERROR(INDEX(物件収支!$E:$E,MATCH($A1157,物件収支!$A:$A,0)),""))</f>
        <v>非開示（法人一括のみ開示）</v>
      </c>
    </row>
    <row r="1158" customFormat="false" ht="15" hidden="false" customHeight="true" outlineLevel="0" collapsed="false">
      <c r="A1158" s="1" t="str">
        <f aca="false">IF(物件マスタ!A1158="","",物件マスタ!A1158)</f>
        <v>SKR-002</v>
      </c>
      <c r="B1158" s="1" t="str">
        <f aca="false">IF($A1158="","",物件マスタ!B1158)</f>
        <v>SKR</v>
      </c>
      <c r="C1158" s="1" t="str">
        <f aca="false">IF($A1158="","",IFERROR(INDEX(法人マスタ!$C:$C,MATCH($B1158,法人マスタ!$A:$A,0)),""))</f>
        <v>サンケイリアルエステート投資法人</v>
      </c>
      <c r="D1158" s="1" t="str">
        <f aca="false">IF($A1158="","",物件マスタ!C1158)</f>
        <v>S-GATE秋葉原</v>
      </c>
      <c r="E1158" s="1" t="str">
        <f aca="false">IF($A1158="","",物件マスタ!H1158)</f>
        <v>都心5区</v>
      </c>
      <c r="F1158" s="53" t="n">
        <f aca="false">IF($A1158="","",物件マスタ!P1158)</f>
        <v>42979</v>
      </c>
      <c r="G1158" s="1" t="n">
        <f aca="false">IF($A1158="","",物件マスタ!Q1158)</f>
        <v>8.9</v>
      </c>
      <c r="H1158" s="1" t="n">
        <f aca="false">IF($A1158="","",物件マスタ!L1158)</f>
        <v>0</v>
      </c>
      <c r="I1158" s="1" t="n">
        <f aca="false">IF($A1158="","",物件マスタ!M1158)</f>
        <v>1681.55</v>
      </c>
      <c r="J1158" s="1" t="n">
        <f aca="false">IF($A1158="","",物件マスタ!S1158)</f>
        <v>2055</v>
      </c>
      <c r="K1158" s="1" t="n">
        <f aca="false">IF($A1158="","",物件マスタ!U1158)</f>
        <v>2940</v>
      </c>
      <c r="L1158" s="1" t="n">
        <f aca="false">IF($A1158="","",物件マスタ!W1158)</f>
        <v>1</v>
      </c>
      <c r="M1158" s="1" t="str">
        <f aca="false">IF($A1158="","",IFERROR(INDEX(法人マスタ!$H:$H,MATCH($B1158,法人マスタ!$A:$A,0)),""))</f>
        <v>2026年2月期（第14期）</v>
      </c>
      <c r="N1158" s="1" t="n">
        <f aca="false">IF($A1158="","",SUMIFS(物件収支!$D:$D,物件収支!$A:$A,$A1158,物件収支!$C:$C,$M1158))</f>
        <v>6</v>
      </c>
      <c r="O1158" s="1" t="n">
        <f aca="false">IF($A1158="","",SUMIFS(物件収支!$F:$F,物件収支!$A:$A,$A1158,物件収支!$C:$C,$M1158))</f>
        <v>0</v>
      </c>
      <c r="P1158" s="1" t="n">
        <f aca="false">IF($A1158="","",SUMIFS(物件収支!$I:$I,物件収支!$A:$A,$A1158,物件収支!$C:$C,$M1158))</f>
        <v>0</v>
      </c>
      <c r="Q1158" s="1" t="n">
        <f aca="false">IF($A1158="","",SUMIFS(物件収支!$O:$O,物件収支!$A:$A,$A1158,物件収支!$C:$C,$M1158))</f>
        <v>0</v>
      </c>
      <c r="R1158" s="1" t="str">
        <f aca="false">IF($A1158="","",IF(P1158=0,"",O1158-P1158))</f>
        <v/>
      </c>
      <c r="S1158" s="1" t="str">
        <f aca="false">IF($A1158="","",IF(R1158="","",R1158+Q1158))</f>
        <v/>
      </c>
      <c r="T1158" s="1" t="str">
        <f aca="false">IF($A1158="","",IF(OR(S1158="",N1158&lt;=0),"",S1158/1000*12/N1158))</f>
        <v/>
      </c>
      <c r="U1158" s="1" t="str">
        <f aca="false">IF($A1158="","",IF(OR(T1158="",J1158=0,J1158=""),"",T1158/J1158))</f>
        <v/>
      </c>
      <c r="V1158" s="1" t="str">
        <f aca="false">IF($A1158="","",IF(OR(R1158="",N1158&lt;=0,J1158=0,J1158=""),"",(R1158/1000*12/N1158)/J1158))</f>
        <v/>
      </c>
      <c r="W1158" s="1" t="str">
        <f aca="false">IF($A1158="","",IF(OR(T1158="",K1158=0,K1158=""),"",T1158/K1158))</f>
        <v/>
      </c>
      <c r="X1158" s="1" t="str">
        <f aca="false">IF($A1158="","",IF(OR(N1158&lt;=0,I1158=0,I1158="",O1158=0),"",O1158*1000/(I1158*0.3025)/N1158))</f>
        <v/>
      </c>
      <c r="Y1158" s="1" t="str">
        <f aca="false">IF($A1158="","",IF(OR(O1158=0,O1158="",P1158=0),"",P1158/O1158))</f>
        <v/>
      </c>
      <c r="Z1158" s="1" t="str">
        <f aca="false">IF($A1158="","",IFERROR(INDEX(物件収支!$E:$E,MATCH($A1158,物件収支!$A:$A,0)),""))</f>
        <v>非開示（法人一括のみ開示）</v>
      </c>
    </row>
    <row r="1159" customFormat="false" ht="15" hidden="false" customHeight="true" outlineLevel="0" collapsed="false">
      <c r="A1159" s="1" t="str">
        <f aca="false">IF(物件マスタ!A1159="","",物件マスタ!A1159)</f>
        <v>SKR-003</v>
      </c>
      <c r="B1159" s="1" t="str">
        <f aca="false">IF($A1159="","",物件マスタ!B1159)</f>
        <v>SKR</v>
      </c>
      <c r="C1159" s="1" t="str">
        <f aca="false">IF($A1159="","",IFERROR(INDEX(法人マスタ!$C:$C,MATCH($B1159,法人マスタ!$A:$A,0)),""))</f>
        <v>サンケイリアルエステート投資法人</v>
      </c>
      <c r="D1159" s="1" t="str">
        <f aca="false">IF($A1159="","",物件マスタ!C1159)</f>
        <v>日比谷サンケイビル</v>
      </c>
      <c r="E1159" s="1" t="str">
        <f aca="false">IF($A1159="","",物件マスタ!H1159)</f>
        <v>都心5区</v>
      </c>
      <c r="F1159" s="53" t="n">
        <f aca="false">IF($A1159="","",物件マスタ!P1159)</f>
        <v>33756</v>
      </c>
      <c r="G1159" s="1" t="n">
        <f aca="false">IF($A1159="","",物件マスタ!Q1159)</f>
        <v>34.2</v>
      </c>
      <c r="H1159" s="1" t="n">
        <f aca="false">IF($A1159="","",物件マスタ!L1159)</f>
        <v>0</v>
      </c>
      <c r="I1159" s="1" t="n">
        <f aca="false">IF($A1159="","",物件マスタ!M1159)</f>
        <v>3439.61</v>
      </c>
      <c r="J1159" s="1" t="n">
        <f aca="false">IF($A1159="","",物件マスタ!S1159)</f>
        <v>5829</v>
      </c>
      <c r="K1159" s="1" t="n">
        <f aca="false">IF($A1159="","",物件マスタ!U1159)</f>
        <v>7190</v>
      </c>
      <c r="L1159" s="1" t="n">
        <f aca="false">IF($A1159="","",物件マスタ!W1159)</f>
        <v>1</v>
      </c>
      <c r="M1159" s="1" t="str">
        <f aca="false">IF($A1159="","",IFERROR(INDEX(法人マスタ!$H:$H,MATCH($B1159,法人マスタ!$A:$A,0)),""))</f>
        <v>2026年2月期（第14期）</v>
      </c>
      <c r="N1159" s="1" t="n">
        <f aca="false">IF($A1159="","",SUMIFS(物件収支!$D:$D,物件収支!$A:$A,$A1159,物件収支!$C:$C,$M1159))</f>
        <v>6</v>
      </c>
      <c r="O1159" s="1" t="n">
        <f aca="false">IF($A1159="","",SUMIFS(物件収支!$F:$F,物件収支!$A:$A,$A1159,物件収支!$C:$C,$M1159))</f>
        <v>0</v>
      </c>
      <c r="P1159" s="1" t="n">
        <f aca="false">IF($A1159="","",SUMIFS(物件収支!$I:$I,物件収支!$A:$A,$A1159,物件収支!$C:$C,$M1159))</f>
        <v>0</v>
      </c>
      <c r="Q1159" s="1" t="n">
        <f aca="false">IF($A1159="","",SUMIFS(物件収支!$O:$O,物件収支!$A:$A,$A1159,物件収支!$C:$C,$M1159))</f>
        <v>0</v>
      </c>
      <c r="R1159" s="1" t="str">
        <f aca="false">IF($A1159="","",IF(P1159=0,"",O1159-P1159))</f>
        <v/>
      </c>
      <c r="S1159" s="1" t="str">
        <f aca="false">IF($A1159="","",IF(R1159="","",R1159+Q1159))</f>
        <v/>
      </c>
      <c r="T1159" s="1" t="str">
        <f aca="false">IF($A1159="","",IF(OR(S1159="",N1159&lt;=0),"",S1159/1000*12/N1159))</f>
        <v/>
      </c>
      <c r="U1159" s="1" t="str">
        <f aca="false">IF($A1159="","",IF(OR(T1159="",J1159=0,J1159=""),"",T1159/J1159))</f>
        <v/>
      </c>
      <c r="V1159" s="1" t="str">
        <f aca="false">IF($A1159="","",IF(OR(R1159="",N1159&lt;=0,J1159=0,J1159=""),"",(R1159/1000*12/N1159)/J1159))</f>
        <v/>
      </c>
      <c r="W1159" s="1" t="str">
        <f aca="false">IF($A1159="","",IF(OR(T1159="",K1159=0,K1159=""),"",T1159/K1159))</f>
        <v/>
      </c>
      <c r="X1159" s="1" t="str">
        <f aca="false">IF($A1159="","",IF(OR(N1159&lt;=0,I1159=0,I1159="",O1159=0),"",O1159*1000/(I1159*0.3025)/N1159))</f>
        <v/>
      </c>
      <c r="Y1159" s="1" t="str">
        <f aca="false">IF($A1159="","",IF(OR(O1159=0,O1159="",P1159=0),"",P1159/O1159))</f>
        <v/>
      </c>
      <c r="Z1159" s="1" t="str">
        <f aca="false">IF($A1159="","",IFERROR(INDEX(物件収支!$E:$E,MATCH($A1159,物件収支!$A:$A,0)),""))</f>
        <v>非開示（法人一括のみ開示）</v>
      </c>
    </row>
    <row r="1160" customFormat="false" ht="15" hidden="false" customHeight="true" outlineLevel="0" collapsed="false">
      <c r="A1160" s="1" t="str">
        <f aca="false">IF(物件マスタ!A1160="","",物件マスタ!A1160)</f>
        <v>SKR-004</v>
      </c>
      <c r="B1160" s="1" t="str">
        <f aca="false">IF($A1160="","",物件マスタ!B1160)</f>
        <v>SKR</v>
      </c>
      <c r="C1160" s="1" t="str">
        <f aca="false">IF($A1160="","",IFERROR(INDEX(法人マスタ!$C:$C,MATCH($B1160,法人マスタ!$A:$A,0)),""))</f>
        <v>サンケイリアルエステート投資法人</v>
      </c>
      <c r="D1160" s="1" t="str">
        <f aca="false">IF($A1160="","",物件マスタ!C1160)</f>
        <v>八丁堀サンケイビル</v>
      </c>
      <c r="E1160" s="1" t="str">
        <f aca="false">IF($A1160="","",物件マスタ!H1160)</f>
        <v>都心5区</v>
      </c>
      <c r="F1160" s="53" t="n">
        <f aca="false">IF($A1160="","",物件マスタ!P1160)</f>
        <v>23986</v>
      </c>
      <c r="G1160" s="1" t="n">
        <f aca="false">IF($A1160="","",物件マスタ!Q1160)</f>
        <v>60.9</v>
      </c>
      <c r="H1160" s="1" t="n">
        <f aca="false">IF($A1160="","",物件マスタ!L1160)</f>
        <v>0</v>
      </c>
      <c r="I1160" s="1" t="n">
        <f aca="false">IF($A1160="","",物件マスタ!M1160)</f>
        <v>5594.9</v>
      </c>
      <c r="J1160" s="1" t="n">
        <f aca="false">IF($A1160="","",物件マスタ!S1160)</f>
        <v>4959</v>
      </c>
      <c r="K1160" s="1" t="n">
        <f aca="false">IF($A1160="","",物件マスタ!U1160)</f>
        <v>5160</v>
      </c>
      <c r="L1160" s="1" t="n">
        <f aca="false">IF($A1160="","",物件マスタ!W1160)</f>
        <v>1</v>
      </c>
      <c r="M1160" s="1" t="str">
        <f aca="false">IF($A1160="","",IFERROR(INDEX(法人マスタ!$H:$H,MATCH($B1160,法人マスタ!$A:$A,0)),""))</f>
        <v>2026年2月期（第14期）</v>
      </c>
      <c r="N1160" s="1" t="n">
        <f aca="false">IF($A1160="","",SUMIFS(物件収支!$D:$D,物件収支!$A:$A,$A1160,物件収支!$C:$C,$M1160))</f>
        <v>6</v>
      </c>
      <c r="O1160" s="1" t="n">
        <f aca="false">IF($A1160="","",SUMIFS(物件収支!$F:$F,物件収支!$A:$A,$A1160,物件収支!$C:$C,$M1160))</f>
        <v>0</v>
      </c>
      <c r="P1160" s="1" t="n">
        <f aca="false">IF($A1160="","",SUMIFS(物件収支!$I:$I,物件収支!$A:$A,$A1160,物件収支!$C:$C,$M1160))</f>
        <v>0</v>
      </c>
      <c r="Q1160" s="1" t="n">
        <f aca="false">IF($A1160="","",SUMIFS(物件収支!$O:$O,物件収支!$A:$A,$A1160,物件収支!$C:$C,$M1160))</f>
        <v>0</v>
      </c>
      <c r="R1160" s="1" t="str">
        <f aca="false">IF($A1160="","",IF(P1160=0,"",O1160-P1160))</f>
        <v/>
      </c>
      <c r="S1160" s="1" t="str">
        <f aca="false">IF($A1160="","",IF(R1160="","",R1160+Q1160))</f>
        <v/>
      </c>
      <c r="T1160" s="1" t="str">
        <f aca="false">IF($A1160="","",IF(OR(S1160="",N1160&lt;=0),"",S1160/1000*12/N1160))</f>
        <v/>
      </c>
      <c r="U1160" s="1" t="str">
        <f aca="false">IF($A1160="","",IF(OR(T1160="",J1160=0,J1160=""),"",T1160/J1160))</f>
        <v/>
      </c>
      <c r="V1160" s="1" t="str">
        <f aca="false">IF($A1160="","",IF(OR(R1160="",N1160&lt;=0,J1160=0,J1160=""),"",(R1160/1000*12/N1160)/J1160))</f>
        <v/>
      </c>
      <c r="W1160" s="1" t="str">
        <f aca="false">IF($A1160="","",IF(OR(T1160="",K1160=0,K1160=""),"",T1160/K1160))</f>
        <v/>
      </c>
      <c r="X1160" s="1" t="str">
        <f aca="false">IF($A1160="","",IF(OR(N1160&lt;=0,I1160=0,I1160="",O1160=0),"",O1160*1000/(I1160*0.3025)/N1160))</f>
        <v/>
      </c>
      <c r="Y1160" s="1" t="str">
        <f aca="false">IF($A1160="","",IF(OR(O1160=0,O1160="",P1160=0),"",P1160/O1160))</f>
        <v/>
      </c>
      <c r="Z1160" s="1" t="str">
        <f aca="false">IF($A1160="","",IFERROR(INDEX(物件収支!$E:$E,MATCH($A1160,物件収支!$A:$A,0)),""))</f>
        <v>非開示（法人一括のみ開示）</v>
      </c>
    </row>
    <row r="1161" customFormat="false" ht="15" hidden="false" customHeight="true" outlineLevel="0" collapsed="false">
      <c r="A1161" s="1" t="str">
        <f aca="false">IF(物件マスタ!A1161="","",物件マスタ!A1161)</f>
        <v>SKR-005</v>
      </c>
      <c r="B1161" s="1" t="str">
        <f aca="false">IF($A1161="","",物件マスタ!B1161)</f>
        <v>SKR</v>
      </c>
      <c r="C1161" s="1" t="str">
        <f aca="false">IF($A1161="","",IFERROR(INDEX(法人マスタ!$C:$C,MATCH($B1161,法人マスタ!$A:$A,0)),""))</f>
        <v>サンケイリアルエステート投資法人</v>
      </c>
      <c r="D1161" s="1" t="str">
        <f aca="false">IF($A1161="","",物件マスタ!C1161)</f>
        <v>東陽パークビル</v>
      </c>
      <c r="E1161" s="1" t="str">
        <f aca="false">IF($A1161="","",物件マスタ!H1161)</f>
        <v>その他東京23区</v>
      </c>
      <c r="F1161" s="53" t="n">
        <f aca="false">IF($A1161="","",物件マスタ!P1161)</f>
        <v>33390</v>
      </c>
      <c r="G1161" s="1" t="n">
        <f aca="false">IF($A1161="","",物件マスタ!Q1161)</f>
        <v>35.2</v>
      </c>
      <c r="H1161" s="1" t="n">
        <f aca="false">IF($A1161="","",物件マスタ!L1161)</f>
        <v>0</v>
      </c>
      <c r="I1161" s="1" t="n">
        <f aca="false">IF($A1161="","",物件マスタ!M1161)</f>
        <v>4224.52</v>
      </c>
      <c r="J1161" s="1" t="n">
        <f aca="false">IF($A1161="","",物件マスタ!S1161)</f>
        <v>3782</v>
      </c>
      <c r="K1161" s="1" t="n">
        <f aca="false">IF($A1161="","",物件マスタ!U1161)</f>
        <v>3470</v>
      </c>
      <c r="L1161" s="1" t="n">
        <f aca="false">IF($A1161="","",物件マスタ!W1161)</f>
        <v>0.751</v>
      </c>
      <c r="M1161" s="1" t="str">
        <f aca="false">IF($A1161="","",IFERROR(INDEX(法人マスタ!$H:$H,MATCH($B1161,法人マスタ!$A:$A,0)),""))</f>
        <v>2026年2月期（第14期）</v>
      </c>
      <c r="N1161" s="1" t="n">
        <f aca="false">IF($A1161="","",SUMIFS(物件収支!$D:$D,物件収支!$A:$A,$A1161,物件収支!$C:$C,$M1161))</f>
        <v>6</v>
      </c>
      <c r="O1161" s="1" t="n">
        <f aca="false">IF($A1161="","",SUMIFS(物件収支!$F:$F,物件収支!$A:$A,$A1161,物件収支!$C:$C,$M1161))</f>
        <v>0</v>
      </c>
      <c r="P1161" s="1" t="n">
        <f aca="false">IF($A1161="","",SUMIFS(物件収支!$I:$I,物件収支!$A:$A,$A1161,物件収支!$C:$C,$M1161))</f>
        <v>0</v>
      </c>
      <c r="Q1161" s="1" t="n">
        <f aca="false">IF($A1161="","",SUMIFS(物件収支!$O:$O,物件収支!$A:$A,$A1161,物件収支!$C:$C,$M1161))</f>
        <v>0</v>
      </c>
      <c r="R1161" s="1" t="str">
        <f aca="false">IF($A1161="","",IF(P1161=0,"",O1161-P1161))</f>
        <v/>
      </c>
      <c r="S1161" s="1" t="str">
        <f aca="false">IF($A1161="","",IF(R1161="","",R1161+Q1161))</f>
        <v/>
      </c>
      <c r="T1161" s="1" t="str">
        <f aca="false">IF($A1161="","",IF(OR(S1161="",N1161&lt;=0),"",S1161/1000*12/N1161))</f>
        <v/>
      </c>
      <c r="U1161" s="1" t="str">
        <f aca="false">IF($A1161="","",IF(OR(T1161="",J1161=0,J1161=""),"",T1161/J1161))</f>
        <v/>
      </c>
      <c r="V1161" s="1" t="str">
        <f aca="false">IF($A1161="","",IF(OR(R1161="",N1161&lt;=0,J1161=0,J1161=""),"",(R1161/1000*12/N1161)/J1161))</f>
        <v/>
      </c>
      <c r="W1161" s="1" t="str">
        <f aca="false">IF($A1161="","",IF(OR(T1161="",K1161=0,K1161=""),"",T1161/K1161))</f>
        <v/>
      </c>
      <c r="X1161" s="1" t="str">
        <f aca="false">IF($A1161="","",IF(OR(N1161&lt;=0,I1161=0,I1161="",O1161=0),"",O1161*1000/(I1161*0.3025)/N1161))</f>
        <v/>
      </c>
      <c r="Y1161" s="1" t="str">
        <f aca="false">IF($A1161="","",IF(OR(O1161=0,O1161="",P1161=0),"",P1161/O1161))</f>
        <v/>
      </c>
      <c r="Z1161" s="1" t="str">
        <f aca="false">IF($A1161="","",IFERROR(INDEX(物件収支!$E:$E,MATCH($A1161,物件収支!$A:$A,0)),""))</f>
        <v>非開示（法人一括のみ開示）</v>
      </c>
    </row>
    <row r="1162" customFormat="false" ht="15" hidden="false" customHeight="true" outlineLevel="0" collapsed="false">
      <c r="A1162" s="1" t="str">
        <f aca="false">IF(物件マスタ!A1162="","",物件マスタ!A1162)</f>
        <v>SKR-006</v>
      </c>
      <c r="B1162" s="1" t="str">
        <f aca="false">IF($A1162="","",物件マスタ!B1162)</f>
        <v>SKR</v>
      </c>
      <c r="C1162" s="1" t="str">
        <f aca="false">IF($A1162="","",IFERROR(INDEX(法人マスタ!$C:$C,MATCH($B1162,法人マスタ!$A:$A,0)),""))</f>
        <v>サンケイリアルエステート投資法人</v>
      </c>
      <c r="D1162" s="1" t="str">
        <f aca="false">IF($A1162="","",物件マスタ!C1162)</f>
        <v>大森パークビル</v>
      </c>
      <c r="E1162" s="1" t="str">
        <f aca="false">IF($A1162="","",物件マスタ!H1162)</f>
        <v>その他東京23区</v>
      </c>
      <c r="F1162" s="53" t="n">
        <f aca="false">IF($A1162="","",物件マスタ!P1162)</f>
        <v>34090</v>
      </c>
      <c r="G1162" s="1" t="n">
        <f aca="false">IF($A1162="","",物件マスタ!Q1162)</f>
        <v>33.3</v>
      </c>
      <c r="H1162" s="1" t="n">
        <f aca="false">IF($A1162="","",物件マスタ!L1162)</f>
        <v>0</v>
      </c>
      <c r="I1162" s="1" t="n">
        <f aca="false">IF($A1162="","",物件マスタ!M1162)</f>
        <v>7469.72</v>
      </c>
      <c r="J1162" s="1" t="n">
        <f aca="false">IF($A1162="","",物件マスタ!S1162)</f>
        <v>5400</v>
      </c>
      <c r="K1162" s="1" t="n">
        <f aca="false">IF($A1162="","",物件マスタ!U1162)</f>
        <v>4890</v>
      </c>
      <c r="L1162" s="1" t="n">
        <f aca="false">IF($A1162="","",物件マスタ!W1162)</f>
        <v>0.64</v>
      </c>
      <c r="M1162" s="1" t="str">
        <f aca="false">IF($A1162="","",IFERROR(INDEX(法人マスタ!$H:$H,MATCH($B1162,法人マスタ!$A:$A,0)),""))</f>
        <v>2026年2月期（第14期）</v>
      </c>
      <c r="N1162" s="1" t="n">
        <f aca="false">IF($A1162="","",SUMIFS(物件収支!$D:$D,物件収支!$A:$A,$A1162,物件収支!$C:$C,$M1162))</f>
        <v>6</v>
      </c>
      <c r="O1162" s="1" t="n">
        <f aca="false">IF($A1162="","",SUMIFS(物件収支!$F:$F,物件収支!$A:$A,$A1162,物件収支!$C:$C,$M1162))</f>
        <v>0</v>
      </c>
      <c r="P1162" s="1" t="n">
        <f aca="false">IF($A1162="","",SUMIFS(物件収支!$I:$I,物件収支!$A:$A,$A1162,物件収支!$C:$C,$M1162))</f>
        <v>0</v>
      </c>
      <c r="Q1162" s="1" t="n">
        <f aca="false">IF($A1162="","",SUMIFS(物件収支!$O:$O,物件収支!$A:$A,$A1162,物件収支!$C:$C,$M1162))</f>
        <v>0</v>
      </c>
      <c r="R1162" s="1" t="str">
        <f aca="false">IF($A1162="","",IF(P1162=0,"",O1162-P1162))</f>
        <v/>
      </c>
      <c r="S1162" s="1" t="str">
        <f aca="false">IF($A1162="","",IF(R1162="","",R1162+Q1162))</f>
        <v/>
      </c>
      <c r="T1162" s="1" t="str">
        <f aca="false">IF($A1162="","",IF(OR(S1162="",N1162&lt;=0),"",S1162/1000*12/N1162))</f>
        <v/>
      </c>
      <c r="U1162" s="1" t="str">
        <f aca="false">IF($A1162="","",IF(OR(T1162="",J1162=0,J1162=""),"",T1162/J1162))</f>
        <v/>
      </c>
      <c r="V1162" s="1" t="str">
        <f aca="false">IF($A1162="","",IF(OR(R1162="",N1162&lt;=0,J1162=0,J1162=""),"",(R1162/1000*12/N1162)/J1162))</f>
        <v/>
      </c>
      <c r="W1162" s="1" t="str">
        <f aca="false">IF($A1162="","",IF(OR(T1162="",K1162=0,K1162=""),"",T1162/K1162))</f>
        <v/>
      </c>
      <c r="X1162" s="1" t="str">
        <f aca="false">IF($A1162="","",IF(OR(N1162&lt;=0,I1162=0,I1162="",O1162=0),"",O1162*1000/(I1162*0.3025)/N1162))</f>
        <v/>
      </c>
      <c r="Y1162" s="1" t="str">
        <f aca="false">IF($A1162="","",IF(OR(O1162=0,O1162="",P1162=0),"",P1162/O1162))</f>
        <v/>
      </c>
      <c r="Z1162" s="1" t="str">
        <f aca="false">IF($A1162="","",IFERROR(INDEX(物件収支!$E:$E,MATCH($A1162,物件収支!$A:$A,0)),""))</f>
        <v>非開示（法人一括のみ開示）</v>
      </c>
    </row>
    <row r="1163" customFormat="false" ht="15" hidden="false" customHeight="true" outlineLevel="0" collapsed="false">
      <c r="A1163" s="1" t="str">
        <f aca="false">IF(物件マスタ!A1163="","",物件マスタ!A1163)</f>
        <v>SKR-007</v>
      </c>
      <c r="B1163" s="1" t="str">
        <f aca="false">IF($A1163="","",物件マスタ!B1163)</f>
        <v>SKR</v>
      </c>
      <c r="C1163" s="1" t="str">
        <f aca="false">IF($A1163="","",IFERROR(INDEX(法人マスタ!$C:$C,MATCH($B1163,法人マスタ!$A:$A,0)),""))</f>
        <v>サンケイリアルエステート投資法人</v>
      </c>
      <c r="D1163" s="1" t="str">
        <f aca="false">IF($A1163="","",物件マスタ!C1163)</f>
        <v>S-GATE赤坂</v>
      </c>
      <c r="E1163" s="1" t="str">
        <f aca="false">IF($A1163="","",物件マスタ!H1163)</f>
        <v>都心5区</v>
      </c>
      <c r="F1163" s="53" t="n">
        <f aca="false">IF($A1163="","",物件マスタ!P1163)</f>
        <v>42186</v>
      </c>
      <c r="G1163" s="1" t="n">
        <f aca="false">IF($A1163="","",物件マスタ!Q1163)</f>
        <v>11.1</v>
      </c>
      <c r="H1163" s="1" t="n">
        <f aca="false">IF($A1163="","",物件マスタ!L1163)</f>
        <v>0</v>
      </c>
      <c r="I1163" s="1" t="n">
        <f aca="false">IF($A1163="","",物件マスタ!M1163)</f>
        <v>3308.1</v>
      </c>
      <c r="J1163" s="1" t="n">
        <f aca="false">IF($A1163="","",物件マスタ!S1163)</f>
        <v>7000</v>
      </c>
      <c r="K1163" s="1" t="n">
        <f aca="false">IF($A1163="","",物件マスタ!U1163)</f>
        <v>7550</v>
      </c>
      <c r="L1163" s="1" t="n">
        <f aca="false">IF($A1163="","",物件マスタ!W1163)</f>
        <v>1</v>
      </c>
      <c r="M1163" s="1" t="str">
        <f aca="false">IF($A1163="","",IFERROR(INDEX(法人マスタ!$H:$H,MATCH($B1163,法人マスタ!$A:$A,0)),""))</f>
        <v>2026年2月期（第14期）</v>
      </c>
      <c r="N1163" s="1" t="n">
        <f aca="false">IF($A1163="","",SUMIFS(物件収支!$D:$D,物件収支!$A:$A,$A1163,物件収支!$C:$C,$M1163))</f>
        <v>6</v>
      </c>
      <c r="O1163" s="1" t="n">
        <f aca="false">IF($A1163="","",SUMIFS(物件収支!$F:$F,物件収支!$A:$A,$A1163,物件収支!$C:$C,$M1163))</f>
        <v>0</v>
      </c>
      <c r="P1163" s="1" t="n">
        <f aca="false">IF($A1163="","",SUMIFS(物件収支!$I:$I,物件収支!$A:$A,$A1163,物件収支!$C:$C,$M1163))</f>
        <v>0</v>
      </c>
      <c r="Q1163" s="1" t="n">
        <f aca="false">IF($A1163="","",SUMIFS(物件収支!$O:$O,物件収支!$A:$A,$A1163,物件収支!$C:$C,$M1163))</f>
        <v>0</v>
      </c>
      <c r="R1163" s="1" t="str">
        <f aca="false">IF($A1163="","",IF(P1163=0,"",O1163-P1163))</f>
        <v/>
      </c>
      <c r="S1163" s="1" t="str">
        <f aca="false">IF($A1163="","",IF(R1163="","",R1163+Q1163))</f>
        <v/>
      </c>
      <c r="T1163" s="1" t="str">
        <f aca="false">IF($A1163="","",IF(OR(S1163="",N1163&lt;=0),"",S1163/1000*12/N1163))</f>
        <v/>
      </c>
      <c r="U1163" s="1" t="str">
        <f aca="false">IF($A1163="","",IF(OR(T1163="",J1163=0,J1163=""),"",T1163/J1163))</f>
        <v/>
      </c>
      <c r="V1163" s="1" t="str">
        <f aca="false">IF($A1163="","",IF(OR(R1163="",N1163&lt;=0,J1163=0,J1163=""),"",(R1163/1000*12/N1163)/J1163))</f>
        <v/>
      </c>
      <c r="W1163" s="1" t="str">
        <f aca="false">IF($A1163="","",IF(OR(T1163="",K1163=0,K1163=""),"",T1163/K1163))</f>
        <v/>
      </c>
      <c r="X1163" s="1" t="str">
        <f aca="false">IF($A1163="","",IF(OR(N1163&lt;=0,I1163=0,I1163="",O1163=0),"",O1163*1000/(I1163*0.3025)/N1163))</f>
        <v/>
      </c>
      <c r="Y1163" s="1" t="str">
        <f aca="false">IF($A1163="","",IF(OR(O1163=0,O1163="",P1163=0),"",P1163/O1163))</f>
        <v/>
      </c>
      <c r="Z1163" s="1" t="str">
        <f aca="false">IF($A1163="","",IFERROR(INDEX(物件収支!$E:$E,MATCH($A1163,物件収支!$A:$A,0)),""))</f>
        <v>非開示（法人一括のみ開示）</v>
      </c>
    </row>
    <row r="1164" customFormat="false" ht="15" hidden="false" customHeight="true" outlineLevel="0" collapsed="false">
      <c r="A1164" s="1" t="str">
        <f aca="false">IF(物件マスタ!A1164="","",物件マスタ!A1164)</f>
        <v>SKR-008</v>
      </c>
      <c r="B1164" s="1" t="str">
        <f aca="false">IF($A1164="","",物件マスタ!B1164)</f>
        <v>SKR</v>
      </c>
      <c r="C1164" s="1" t="str">
        <f aca="false">IF($A1164="","",IFERROR(INDEX(法人マスタ!$C:$C,MATCH($B1164,法人マスタ!$A:$A,0)),""))</f>
        <v>サンケイリアルエステート投資法人</v>
      </c>
      <c r="D1164" s="1" t="str">
        <f aca="false">IF($A1164="","",物件マスタ!C1164)</f>
        <v>宮崎台ガーデンオフィス</v>
      </c>
      <c r="E1164" s="1" t="str">
        <f aca="false">IF($A1164="","",物件マスタ!H1164)</f>
        <v>東京周辺都市部</v>
      </c>
      <c r="F1164" s="53" t="n">
        <f aca="false">IF($A1164="","",物件マスタ!P1164)</f>
        <v>34001</v>
      </c>
      <c r="G1164" s="1" t="n">
        <f aca="false">IF($A1164="","",物件マスタ!Q1164)</f>
        <v>33.5</v>
      </c>
      <c r="H1164" s="1" t="n">
        <f aca="false">IF($A1164="","",物件マスタ!L1164)</f>
        <v>0</v>
      </c>
      <c r="I1164" s="1" t="n">
        <f aca="false">IF($A1164="","",物件マスタ!M1164)</f>
        <v>3687.53</v>
      </c>
      <c r="J1164" s="1" t="n">
        <f aca="false">IF($A1164="","",物件マスタ!S1164)</f>
        <v>2800</v>
      </c>
      <c r="K1164" s="1" t="n">
        <f aca="false">IF($A1164="","",物件マスタ!U1164)</f>
        <v>2750</v>
      </c>
      <c r="L1164" s="1" t="n">
        <f aca="false">IF($A1164="","",物件マスタ!W1164)</f>
        <v>1</v>
      </c>
      <c r="M1164" s="1" t="str">
        <f aca="false">IF($A1164="","",IFERROR(INDEX(法人マスタ!$H:$H,MATCH($B1164,法人マスタ!$A:$A,0)),""))</f>
        <v>2026年2月期（第14期）</v>
      </c>
      <c r="N1164" s="1" t="n">
        <f aca="false">IF($A1164="","",SUMIFS(物件収支!$D:$D,物件収支!$A:$A,$A1164,物件収支!$C:$C,$M1164))</f>
        <v>6</v>
      </c>
      <c r="O1164" s="1" t="n">
        <f aca="false">IF($A1164="","",SUMIFS(物件収支!$F:$F,物件収支!$A:$A,$A1164,物件収支!$C:$C,$M1164))</f>
        <v>0</v>
      </c>
      <c r="P1164" s="1" t="n">
        <f aca="false">IF($A1164="","",SUMIFS(物件収支!$I:$I,物件収支!$A:$A,$A1164,物件収支!$C:$C,$M1164))</f>
        <v>0</v>
      </c>
      <c r="Q1164" s="1" t="n">
        <f aca="false">IF($A1164="","",SUMIFS(物件収支!$O:$O,物件収支!$A:$A,$A1164,物件収支!$C:$C,$M1164))</f>
        <v>0</v>
      </c>
      <c r="R1164" s="1" t="str">
        <f aca="false">IF($A1164="","",IF(P1164=0,"",O1164-P1164))</f>
        <v/>
      </c>
      <c r="S1164" s="1" t="str">
        <f aca="false">IF($A1164="","",IF(R1164="","",R1164+Q1164))</f>
        <v/>
      </c>
      <c r="T1164" s="1" t="str">
        <f aca="false">IF($A1164="","",IF(OR(S1164="",N1164&lt;=0),"",S1164/1000*12/N1164))</f>
        <v/>
      </c>
      <c r="U1164" s="1" t="str">
        <f aca="false">IF($A1164="","",IF(OR(T1164="",J1164=0,J1164=""),"",T1164/J1164))</f>
        <v/>
      </c>
      <c r="V1164" s="1" t="str">
        <f aca="false">IF($A1164="","",IF(OR(R1164="",N1164&lt;=0,J1164=0,J1164=""),"",(R1164/1000*12/N1164)/J1164))</f>
        <v/>
      </c>
      <c r="W1164" s="1" t="str">
        <f aca="false">IF($A1164="","",IF(OR(T1164="",K1164=0,K1164=""),"",T1164/K1164))</f>
        <v/>
      </c>
      <c r="X1164" s="1" t="str">
        <f aca="false">IF($A1164="","",IF(OR(N1164&lt;=0,I1164=0,I1164="",O1164=0),"",O1164*1000/(I1164*0.3025)/N1164))</f>
        <v/>
      </c>
      <c r="Y1164" s="1" t="str">
        <f aca="false">IF($A1164="","",IF(OR(O1164=0,O1164="",P1164=0),"",P1164/O1164))</f>
        <v/>
      </c>
      <c r="Z1164" s="1" t="str">
        <f aca="false">IF($A1164="","",IFERROR(INDEX(物件収支!$E:$E,MATCH($A1164,物件収支!$A:$A,0)),""))</f>
        <v>非開示（法人一括のみ開示）</v>
      </c>
    </row>
    <row r="1165" customFormat="false" ht="15" hidden="false" customHeight="true" outlineLevel="0" collapsed="false">
      <c r="A1165" s="1" t="str">
        <f aca="false">IF(物件マスタ!A1165="","",物件マスタ!A1165)</f>
        <v>SKR-009</v>
      </c>
      <c r="B1165" s="1" t="str">
        <f aca="false">IF($A1165="","",物件マスタ!B1165)</f>
        <v>SKR</v>
      </c>
      <c r="C1165" s="1" t="str">
        <f aca="false">IF($A1165="","",IFERROR(INDEX(法人マスタ!$C:$C,MATCH($B1165,法人マスタ!$A:$A,0)),""))</f>
        <v>サンケイリアルエステート投資法人</v>
      </c>
      <c r="D1165" s="1" t="str">
        <f aca="false">IF($A1165="","",物件マスタ!C1165)</f>
        <v>福岡グリーンビルディング</v>
      </c>
      <c r="E1165" s="1" t="str">
        <f aca="false">IF($A1165="","",物件マスタ!H1165)</f>
        <v>3大都市圏以外の政令市</v>
      </c>
      <c r="F1165" s="53" t="n">
        <f aca="false">IF($A1165="","",物件マスタ!P1165)</f>
        <v>35096</v>
      </c>
      <c r="G1165" s="1" t="n">
        <f aca="false">IF($A1165="","",物件マスタ!Q1165)</f>
        <v>30.5</v>
      </c>
      <c r="H1165" s="1" t="n">
        <f aca="false">IF($A1165="","",物件マスタ!L1165)</f>
        <v>0</v>
      </c>
      <c r="I1165" s="1" t="n">
        <f aca="false">IF($A1165="","",物件マスタ!M1165)</f>
        <v>14587</v>
      </c>
      <c r="J1165" s="1" t="n">
        <f aca="false">IF($A1165="","",物件マスタ!S1165)</f>
        <v>10000</v>
      </c>
      <c r="K1165" s="1" t="n">
        <f aca="false">IF($A1165="","",物件マスタ!U1165)</f>
        <v>5260</v>
      </c>
      <c r="L1165" s="1" t="n">
        <f aca="false">IF($A1165="","",物件マスタ!W1165)</f>
        <v>0</v>
      </c>
      <c r="M1165" s="1" t="str">
        <f aca="false">IF($A1165="","",IFERROR(INDEX(法人マスタ!$H:$H,MATCH($B1165,法人マスタ!$A:$A,0)),""))</f>
        <v>2026年2月期（第14期）</v>
      </c>
      <c r="N1165" s="1" t="n">
        <f aca="false">IF($A1165="","",SUMIFS(物件収支!$D:$D,物件収支!$A:$A,$A1165,物件収支!$C:$C,$M1165))</f>
        <v>6</v>
      </c>
      <c r="O1165" s="1" t="n">
        <f aca="false">IF($A1165="","",SUMIFS(物件収支!$F:$F,物件収支!$A:$A,$A1165,物件収支!$C:$C,$M1165))</f>
        <v>0</v>
      </c>
      <c r="P1165" s="1" t="n">
        <f aca="false">IF($A1165="","",SUMIFS(物件収支!$I:$I,物件収支!$A:$A,$A1165,物件収支!$C:$C,$M1165))</f>
        <v>0</v>
      </c>
      <c r="Q1165" s="1" t="n">
        <f aca="false">IF($A1165="","",SUMIFS(物件収支!$O:$O,物件収支!$A:$A,$A1165,物件収支!$C:$C,$M1165))</f>
        <v>0</v>
      </c>
      <c r="R1165" s="1" t="str">
        <f aca="false">IF($A1165="","",IF(P1165=0,"",O1165-P1165))</f>
        <v/>
      </c>
      <c r="S1165" s="1" t="str">
        <f aca="false">IF($A1165="","",IF(R1165="","",R1165+Q1165))</f>
        <v/>
      </c>
      <c r="T1165" s="1" t="str">
        <f aca="false">IF($A1165="","",IF(OR(S1165="",N1165&lt;=0),"",S1165/1000*12/N1165))</f>
        <v/>
      </c>
      <c r="U1165" s="1" t="str">
        <f aca="false">IF($A1165="","",IF(OR(T1165="",J1165=0,J1165=""),"",T1165/J1165))</f>
        <v/>
      </c>
      <c r="V1165" s="1" t="str">
        <f aca="false">IF($A1165="","",IF(OR(R1165="",N1165&lt;=0,J1165=0,J1165=""),"",(R1165/1000*12/N1165)/J1165))</f>
        <v/>
      </c>
      <c r="W1165" s="1" t="str">
        <f aca="false">IF($A1165="","",IF(OR(T1165="",K1165=0,K1165=""),"",T1165/K1165))</f>
        <v/>
      </c>
      <c r="X1165" s="1" t="str">
        <f aca="false">IF($A1165="","",IF(OR(N1165&lt;=0,I1165=0,I1165="",O1165=0),"",O1165*1000/(I1165*0.3025)/N1165))</f>
        <v/>
      </c>
      <c r="Y1165" s="1" t="str">
        <f aca="false">IF($A1165="","",IF(OR(O1165=0,O1165="",P1165=0),"",P1165/O1165))</f>
        <v/>
      </c>
      <c r="Z1165" s="1" t="str">
        <f aca="false">IF($A1165="","",IFERROR(INDEX(物件収支!$E:$E,MATCH($A1165,物件収支!$A:$A,0)),""))</f>
        <v>非開示（法人一括のみ開示）</v>
      </c>
    </row>
    <row r="1166" customFormat="false" ht="15" hidden="false" customHeight="true" outlineLevel="0" collapsed="false">
      <c r="A1166" s="1" t="str">
        <f aca="false">IF(物件マスタ!A1166="","",物件マスタ!A1166)</f>
        <v>SKR-010</v>
      </c>
      <c r="B1166" s="1" t="str">
        <f aca="false">IF($A1166="","",物件マスタ!B1166)</f>
        <v>SKR</v>
      </c>
      <c r="C1166" s="1" t="str">
        <f aca="false">IF($A1166="","",IFERROR(INDEX(法人マスタ!$C:$C,MATCH($B1166,法人マスタ!$A:$A,0)),""))</f>
        <v>サンケイリアルエステート投資法人</v>
      </c>
      <c r="D1166" s="1" t="str">
        <f aca="false">IF($A1166="","",物件マスタ!C1166)</f>
        <v>ホテルインターゲート東京 京橋</v>
      </c>
      <c r="E1166" s="1" t="str">
        <f aca="false">IF($A1166="","",物件マスタ!H1166)</f>
        <v>都心5区</v>
      </c>
      <c r="F1166" s="53" t="n">
        <f aca="false">IF($A1166="","",物件マスタ!P1166)</f>
        <v>43101</v>
      </c>
      <c r="G1166" s="1" t="n">
        <f aca="false">IF($A1166="","",物件マスタ!Q1166)</f>
        <v>8.6</v>
      </c>
      <c r="H1166" s="1" t="n">
        <f aca="false">IF($A1166="","",物件マスタ!L1166)</f>
        <v>0</v>
      </c>
      <c r="I1166" s="1" t="n">
        <f aca="false">IF($A1166="","",物件マスタ!M1166)</f>
        <v>6006.53</v>
      </c>
      <c r="J1166" s="1" t="n">
        <f aca="false">IF($A1166="","",物件マスタ!S1166)</f>
        <v>8961</v>
      </c>
      <c r="K1166" s="1" t="n">
        <f aca="false">IF($A1166="","",物件マスタ!U1166)</f>
        <v>9640</v>
      </c>
      <c r="L1166" s="1" t="n">
        <f aca="false">IF($A1166="","",物件マスタ!W1166)</f>
        <v>1</v>
      </c>
      <c r="M1166" s="1" t="str">
        <f aca="false">IF($A1166="","",IFERROR(INDEX(法人マスタ!$H:$H,MATCH($B1166,法人マスタ!$A:$A,0)),""))</f>
        <v>2026年2月期（第14期）</v>
      </c>
      <c r="N1166" s="1" t="n">
        <f aca="false">IF($A1166="","",SUMIFS(物件収支!$D:$D,物件収支!$A:$A,$A1166,物件収支!$C:$C,$M1166))</f>
        <v>6</v>
      </c>
      <c r="O1166" s="1" t="n">
        <f aca="false">IF($A1166="","",SUMIFS(物件収支!$F:$F,物件収支!$A:$A,$A1166,物件収支!$C:$C,$M1166))</f>
        <v>0</v>
      </c>
      <c r="P1166" s="1" t="n">
        <f aca="false">IF($A1166="","",SUMIFS(物件収支!$I:$I,物件収支!$A:$A,$A1166,物件収支!$C:$C,$M1166))</f>
        <v>0</v>
      </c>
      <c r="Q1166" s="1" t="n">
        <f aca="false">IF($A1166="","",SUMIFS(物件収支!$O:$O,物件収支!$A:$A,$A1166,物件収支!$C:$C,$M1166))</f>
        <v>0</v>
      </c>
      <c r="R1166" s="1" t="str">
        <f aca="false">IF($A1166="","",IF(P1166=0,"",O1166-P1166))</f>
        <v/>
      </c>
      <c r="S1166" s="1" t="str">
        <f aca="false">IF($A1166="","",IF(R1166="","",R1166+Q1166))</f>
        <v/>
      </c>
      <c r="T1166" s="1" t="str">
        <f aca="false">IF($A1166="","",IF(OR(S1166="",N1166&lt;=0),"",S1166/1000*12/N1166))</f>
        <v/>
      </c>
      <c r="U1166" s="1" t="str">
        <f aca="false">IF($A1166="","",IF(OR(T1166="",J1166=0,J1166=""),"",T1166/J1166))</f>
        <v/>
      </c>
      <c r="V1166" s="1" t="str">
        <f aca="false">IF($A1166="","",IF(OR(R1166="",N1166&lt;=0,J1166=0,J1166=""),"",(R1166/1000*12/N1166)/J1166))</f>
        <v/>
      </c>
      <c r="W1166" s="1" t="str">
        <f aca="false">IF($A1166="","",IF(OR(T1166="",K1166=0,K1166=""),"",T1166/K1166))</f>
        <v/>
      </c>
      <c r="X1166" s="1" t="str">
        <f aca="false">IF($A1166="","",IF(OR(N1166&lt;=0,I1166=0,I1166="",O1166=0),"",O1166*1000/(I1166*0.3025)/N1166))</f>
        <v/>
      </c>
      <c r="Y1166" s="1" t="str">
        <f aca="false">IF($A1166="","",IF(OR(O1166=0,O1166="",P1166=0),"",P1166/O1166))</f>
        <v/>
      </c>
      <c r="Z1166" s="1" t="str">
        <f aca="false">IF($A1166="","",IFERROR(INDEX(物件収支!$E:$E,MATCH($A1166,物件収支!$A:$A,0)),""))</f>
        <v>非開示（法人一括のみ開示）</v>
      </c>
    </row>
    <row r="1167" customFormat="false" ht="15" hidden="false" customHeight="true" outlineLevel="0" collapsed="false">
      <c r="A1167" s="1" t="str">
        <f aca="false">IF(物件マスタ!A1167="","",物件マスタ!A1167)</f>
        <v>SKR-011</v>
      </c>
      <c r="B1167" s="1" t="str">
        <f aca="false">IF($A1167="","",物件マスタ!B1167)</f>
        <v>SKR</v>
      </c>
      <c r="C1167" s="1" t="str">
        <f aca="false">IF($A1167="","",IFERROR(INDEX(法人マスタ!$C:$C,MATCH($B1167,法人マスタ!$A:$A,0)),""))</f>
        <v>サンケイリアルエステート投資法人</v>
      </c>
      <c r="D1167" s="1" t="str">
        <f aca="false">IF($A1167="","",物件マスタ!C1167)</f>
        <v>ホテルインターゲート広島</v>
      </c>
      <c r="E1167" s="1" t="str">
        <f aca="false">IF($A1167="","",物件マスタ!H1167)</f>
        <v>3大都市圏以外の政令市</v>
      </c>
      <c r="F1167" s="53" t="n">
        <f aca="false">IF($A1167="","",物件マスタ!P1167)</f>
        <v>43374</v>
      </c>
      <c r="G1167" s="1" t="n">
        <f aca="false">IF($A1167="","",物件マスタ!Q1167)</f>
        <v>7.9</v>
      </c>
      <c r="H1167" s="1" t="n">
        <f aca="false">IF($A1167="","",物件マスタ!L1167)</f>
        <v>0</v>
      </c>
      <c r="I1167" s="1" t="n">
        <f aca="false">IF($A1167="","",物件マスタ!M1167)</f>
        <v>9160.15</v>
      </c>
      <c r="J1167" s="1" t="n">
        <f aca="false">IF($A1167="","",物件マスタ!S1167)</f>
        <v>3990</v>
      </c>
      <c r="K1167" s="1" t="n">
        <f aca="false">IF($A1167="","",物件マスタ!U1167)</f>
        <v>4340</v>
      </c>
      <c r="L1167" s="1" t="n">
        <f aca="false">IF($A1167="","",物件マスタ!W1167)</f>
        <v>1</v>
      </c>
      <c r="M1167" s="1" t="str">
        <f aca="false">IF($A1167="","",IFERROR(INDEX(法人マスタ!$H:$H,MATCH($B1167,法人マスタ!$A:$A,0)),""))</f>
        <v>2026年2月期（第14期）</v>
      </c>
      <c r="N1167" s="1" t="n">
        <f aca="false">IF($A1167="","",SUMIFS(物件収支!$D:$D,物件収支!$A:$A,$A1167,物件収支!$C:$C,$M1167))</f>
        <v>6</v>
      </c>
      <c r="O1167" s="1" t="n">
        <f aca="false">IF($A1167="","",SUMIFS(物件収支!$F:$F,物件収支!$A:$A,$A1167,物件収支!$C:$C,$M1167))</f>
        <v>0</v>
      </c>
      <c r="P1167" s="1" t="n">
        <f aca="false">IF($A1167="","",SUMIFS(物件収支!$I:$I,物件収支!$A:$A,$A1167,物件収支!$C:$C,$M1167))</f>
        <v>0</v>
      </c>
      <c r="Q1167" s="1" t="n">
        <f aca="false">IF($A1167="","",SUMIFS(物件収支!$O:$O,物件収支!$A:$A,$A1167,物件収支!$C:$C,$M1167))</f>
        <v>0</v>
      </c>
      <c r="R1167" s="1" t="str">
        <f aca="false">IF($A1167="","",IF(P1167=0,"",O1167-P1167))</f>
        <v/>
      </c>
      <c r="S1167" s="1" t="str">
        <f aca="false">IF($A1167="","",IF(R1167="","",R1167+Q1167))</f>
        <v/>
      </c>
      <c r="T1167" s="1" t="str">
        <f aca="false">IF($A1167="","",IF(OR(S1167="",N1167&lt;=0),"",S1167/1000*12/N1167))</f>
        <v/>
      </c>
      <c r="U1167" s="1" t="str">
        <f aca="false">IF($A1167="","",IF(OR(T1167="",J1167=0,J1167=""),"",T1167/J1167))</f>
        <v/>
      </c>
      <c r="V1167" s="1" t="str">
        <f aca="false">IF($A1167="","",IF(OR(R1167="",N1167&lt;=0,J1167=0,J1167=""),"",(R1167/1000*12/N1167)/J1167))</f>
        <v/>
      </c>
      <c r="W1167" s="1" t="str">
        <f aca="false">IF($A1167="","",IF(OR(T1167="",K1167=0,K1167=""),"",T1167/K1167))</f>
        <v/>
      </c>
      <c r="X1167" s="1" t="str">
        <f aca="false">IF($A1167="","",IF(OR(N1167&lt;=0,I1167=0,I1167="",O1167=0),"",O1167*1000/(I1167*0.3025)/N1167))</f>
        <v/>
      </c>
      <c r="Y1167" s="1" t="str">
        <f aca="false">IF($A1167="","",IF(OR(O1167=0,O1167="",P1167=0),"",P1167/O1167))</f>
        <v/>
      </c>
      <c r="Z1167" s="1" t="str">
        <f aca="false">IF($A1167="","",IFERROR(INDEX(物件収支!$E:$E,MATCH($A1167,物件収支!$A:$A,0)),""))</f>
        <v>非開示（法人一括のみ開示）</v>
      </c>
    </row>
    <row r="1168" customFormat="false" ht="15" hidden="false" customHeight="true" outlineLevel="0" collapsed="false">
      <c r="A1168" s="1" t="str">
        <f aca="false">IF(物件マスタ!A1168="","",物件マスタ!A1168)</f>
        <v>SKR-012</v>
      </c>
      <c r="B1168" s="1" t="str">
        <f aca="false">IF($A1168="","",物件マスタ!B1168)</f>
        <v>SKR</v>
      </c>
      <c r="C1168" s="1" t="str">
        <f aca="false">IF($A1168="","",IFERROR(INDEX(法人マスタ!$C:$C,MATCH($B1168,法人マスタ!$A:$A,0)),""))</f>
        <v>サンケイリアルエステート投資法人</v>
      </c>
      <c r="D1168" s="1" t="str">
        <f aca="false">IF($A1168="","",物件マスタ!C1168)</f>
        <v>SANKEILOGI摂津</v>
      </c>
      <c r="E1168" s="1" t="str">
        <f aca="false">IF($A1168="","",物件マスタ!H1168)</f>
        <v>その他3大都市圏</v>
      </c>
      <c r="F1168" s="53" t="n">
        <f aca="false">IF($A1168="","",物件マスタ!P1168)</f>
        <v>44835</v>
      </c>
      <c r="G1168" s="1" t="n">
        <f aca="false">IF($A1168="","",物件マスタ!Q1168)</f>
        <v>3.9</v>
      </c>
      <c r="H1168" s="1" t="n">
        <f aca="false">IF($A1168="","",物件マスタ!L1168)</f>
        <v>0</v>
      </c>
      <c r="I1168" s="1" t="n">
        <f aca="false">IF($A1168="","",物件マスタ!M1168)</f>
        <v>14748.33</v>
      </c>
      <c r="J1168" s="1" t="n">
        <f aca="false">IF($A1168="","",物件マスタ!S1168)</f>
        <v>5242</v>
      </c>
      <c r="K1168" s="1" t="n">
        <f aca="false">IF($A1168="","",物件マスタ!U1168)</f>
        <v>5520</v>
      </c>
      <c r="L1168" s="1" t="n">
        <f aca="false">IF($A1168="","",物件マスタ!W1168)</f>
        <v>1</v>
      </c>
      <c r="M1168" s="1" t="str">
        <f aca="false">IF($A1168="","",IFERROR(INDEX(法人マスタ!$H:$H,MATCH($B1168,法人マスタ!$A:$A,0)),""))</f>
        <v>2026年2月期（第14期）</v>
      </c>
      <c r="N1168" s="1" t="n">
        <f aca="false">IF($A1168="","",SUMIFS(物件収支!$D:$D,物件収支!$A:$A,$A1168,物件収支!$C:$C,$M1168))</f>
        <v>6</v>
      </c>
      <c r="O1168" s="1" t="n">
        <f aca="false">IF($A1168="","",SUMIFS(物件収支!$F:$F,物件収支!$A:$A,$A1168,物件収支!$C:$C,$M1168))</f>
        <v>0</v>
      </c>
      <c r="P1168" s="1" t="n">
        <f aca="false">IF($A1168="","",SUMIFS(物件収支!$I:$I,物件収支!$A:$A,$A1168,物件収支!$C:$C,$M1168))</f>
        <v>0</v>
      </c>
      <c r="Q1168" s="1" t="n">
        <f aca="false">IF($A1168="","",SUMIFS(物件収支!$O:$O,物件収支!$A:$A,$A1168,物件収支!$C:$C,$M1168))</f>
        <v>0</v>
      </c>
      <c r="R1168" s="1" t="str">
        <f aca="false">IF($A1168="","",IF(P1168=0,"",O1168-P1168))</f>
        <v/>
      </c>
      <c r="S1168" s="1" t="str">
        <f aca="false">IF($A1168="","",IF(R1168="","",R1168+Q1168))</f>
        <v/>
      </c>
      <c r="T1168" s="1" t="str">
        <f aca="false">IF($A1168="","",IF(OR(S1168="",N1168&lt;=0),"",S1168/1000*12/N1168))</f>
        <v/>
      </c>
      <c r="U1168" s="1" t="str">
        <f aca="false">IF($A1168="","",IF(OR(T1168="",J1168=0,J1168=""),"",T1168/J1168))</f>
        <v/>
      </c>
      <c r="V1168" s="1" t="str">
        <f aca="false">IF($A1168="","",IF(OR(R1168="",N1168&lt;=0,J1168=0,J1168=""),"",(R1168/1000*12/N1168)/J1168))</f>
        <v/>
      </c>
      <c r="W1168" s="1" t="str">
        <f aca="false">IF($A1168="","",IF(OR(T1168="",K1168=0,K1168=""),"",T1168/K1168))</f>
        <v/>
      </c>
      <c r="X1168" s="1" t="str">
        <f aca="false">IF($A1168="","",IF(OR(N1168&lt;=0,I1168=0,I1168="",O1168=0),"",O1168*1000/(I1168*0.3025)/N1168))</f>
        <v/>
      </c>
      <c r="Y1168" s="1" t="str">
        <f aca="false">IF($A1168="","",IF(OR(O1168=0,O1168="",P1168=0),"",P1168/O1168))</f>
        <v/>
      </c>
      <c r="Z1168" s="1" t="str">
        <f aca="false">IF($A1168="","",IFERROR(INDEX(物件収支!$E:$E,MATCH($A1168,物件収支!$A:$A,0)),""))</f>
        <v>非開示（法人一括のみ開示）</v>
      </c>
    </row>
    <row r="1169" customFormat="false" ht="15" hidden="false" customHeight="true" outlineLevel="0" collapsed="false">
      <c r="A1169" s="1" t="str">
        <f aca="false">IF(物件マスタ!A1169="","",物件マスタ!A1169)</f>
        <v>SKR-013</v>
      </c>
      <c r="B1169" s="1" t="str">
        <f aca="false">IF($A1169="","",物件マスタ!B1169)</f>
        <v>SKR</v>
      </c>
      <c r="C1169" s="1" t="str">
        <f aca="false">IF($A1169="","",IFERROR(INDEX(法人マスタ!$C:$C,MATCH($B1169,法人マスタ!$A:$A,0)),""))</f>
        <v>サンケイリアルエステート投資法人</v>
      </c>
      <c r="D1169" s="1" t="str">
        <f aca="false">IF($A1169="","",物件マスタ!C1169)</f>
        <v>ホテルインターゲート京都 四条新町</v>
      </c>
      <c r="E1169" s="1" t="str">
        <f aca="false">IF($A1169="","",物件マスタ!H1169)</f>
        <v>その他3大都市圏</v>
      </c>
      <c r="F1169" s="53" t="n">
        <f aca="false">IF($A1169="","",物件マスタ!P1169)</f>
        <v>43040</v>
      </c>
      <c r="G1169" s="1" t="n">
        <f aca="false">IF($A1169="","",物件マスタ!Q1169)</f>
        <v>8.8</v>
      </c>
      <c r="H1169" s="1" t="n">
        <f aca="false">IF($A1169="","",物件マスタ!L1169)</f>
        <v>0</v>
      </c>
      <c r="I1169" s="1" t="n">
        <f aca="false">IF($A1169="","",物件マスタ!M1169)</f>
        <v>6029.4</v>
      </c>
      <c r="J1169" s="1" t="n">
        <f aca="false">IF($A1169="","",物件マスタ!S1169)</f>
        <v>5800</v>
      </c>
      <c r="K1169" s="1" t="n">
        <f aca="false">IF($A1169="","",物件マスタ!U1169)</f>
        <v>6610</v>
      </c>
      <c r="L1169" s="1" t="n">
        <f aca="false">IF($A1169="","",物件マスタ!W1169)</f>
        <v>1</v>
      </c>
      <c r="M1169" s="1" t="str">
        <f aca="false">IF($A1169="","",IFERROR(INDEX(法人マスタ!$H:$H,MATCH($B1169,法人マスタ!$A:$A,0)),""))</f>
        <v>2026年2月期（第14期）</v>
      </c>
      <c r="N1169" s="1" t="n">
        <f aca="false">IF($A1169="","",SUMIFS(物件収支!$D:$D,物件収支!$A:$A,$A1169,物件収支!$C:$C,$M1169))</f>
        <v>6</v>
      </c>
      <c r="O1169" s="1" t="n">
        <f aca="false">IF($A1169="","",SUMIFS(物件収支!$F:$F,物件収支!$A:$A,$A1169,物件収支!$C:$C,$M1169))</f>
        <v>0</v>
      </c>
      <c r="P1169" s="1" t="n">
        <f aca="false">IF($A1169="","",SUMIFS(物件収支!$I:$I,物件収支!$A:$A,$A1169,物件収支!$C:$C,$M1169))</f>
        <v>0</v>
      </c>
      <c r="Q1169" s="1" t="n">
        <f aca="false">IF($A1169="","",SUMIFS(物件収支!$O:$O,物件収支!$A:$A,$A1169,物件収支!$C:$C,$M1169))</f>
        <v>0</v>
      </c>
      <c r="R1169" s="1" t="str">
        <f aca="false">IF($A1169="","",IF(P1169=0,"",O1169-P1169))</f>
        <v/>
      </c>
      <c r="S1169" s="1" t="str">
        <f aca="false">IF($A1169="","",IF(R1169="","",R1169+Q1169))</f>
        <v/>
      </c>
      <c r="T1169" s="1" t="str">
        <f aca="false">IF($A1169="","",IF(OR(S1169="",N1169&lt;=0),"",S1169/1000*12/N1169))</f>
        <v/>
      </c>
      <c r="U1169" s="1" t="str">
        <f aca="false">IF($A1169="","",IF(OR(T1169="",J1169=0,J1169=""),"",T1169/J1169))</f>
        <v/>
      </c>
      <c r="V1169" s="1" t="str">
        <f aca="false">IF($A1169="","",IF(OR(R1169="",N1169&lt;=0,J1169=0,J1169=""),"",(R1169/1000*12/N1169)/J1169))</f>
        <v/>
      </c>
      <c r="W1169" s="1" t="str">
        <f aca="false">IF($A1169="","",IF(OR(T1169="",K1169=0,K1169=""),"",T1169/K1169))</f>
        <v/>
      </c>
      <c r="X1169" s="1" t="str">
        <f aca="false">IF($A1169="","",IF(OR(N1169&lt;=0,I1169=0,I1169="",O1169=0),"",O1169*1000/(I1169*0.3025)/N1169))</f>
        <v/>
      </c>
      <c r="Y1169" s="1" t="str">
        <f aca="false">IF($A1169="","",IF(OR(O1169=0,O1169="",P1169=0),"",P1169/O1169))</f>
        <v/>
      </c>
      <c r="Z1169" s="1" t="str">
        <f aca="false">IF($A1169="","",IFERROR(INDEX(物件収支!$E:$E,MATCH($A1169,物件収支!$A:$A,0)),""))</f>
        <v>非開示（法人一括のみ開示）</v>
      </c>
    </row>
    <row r="1170" customFormat="false" ht="15" hidden="false" customHeight="true" outlineLevel="0" collapsed="false">
      <c r="A1170" s="1" t="str">
        <f aca="false">IF(物件マスタ!A1170="","",物件マスタ!A1170)</f>
        <v>SKR-014</v>
      </c>
      <c r="B1170" s="1" t="str">
        <f aca="false">IF($A1170="","",物件マスタ!B1170)</f>
        <v>SKR</v>
      </c>
      <c r="C1170" s="1" t="str">
        <f aca="false">IF($A1170="","",IFERROR(INDEX(法人マスタ!$C:$C,MATCH($B1170,法人マスタ!$A:$A,0)),""))</f>
        <v>サンケイリアルエステート投資法人</v>
      </c>
      <c r="D1170" s="1" t="str">
        <f aca="false">IF($A1170="","",物件マスタ!C1170)</f>
        <v>ホテルインターゲート金沢</v>
      </c>
      <c r="E1170" s="1" t="str">
        <f aca="false">IF($A1170="","",物件マスタ!H1170)</f>
        <v>その他地方都市</v>
      </c>
      <c r="F1170" s="53" t="n">
        <f aca="false">IF($A1170="","",物件マスタ!P1170)</f>
        <v>43466</v>
      </c>
      <c r="G1170" s="1" t="n">
        <f aca="false">IF($A1170="","",物件マスタ!Q1170)</f>
        <v>7.6</v>
      </c>
      <c r="H1170" s="1" t="n">
        <f aca="false">IF($A1170="","",物件マスタ!L1170)</f>
        <v>0</v>
      </c>
      <c r="I1170" s="1" t="n">
        <f aca="false">IF($A1170="","",物件マスタ!M1170)</f>
        <v>5177.73</v>
      </c>
      <c r="J1170" s="1" t="n">
        <f aca="false">IF($A1170="","",物件マスタ!S1170)</f>
        <v>3250</v>
      </c>
      <c r="K1170" s="1" t="n">
        <f aca="false">IF($A1170="","",物件マスタ!U1170)</f>
        <v>3300</v>
      </c>
      <c r="L1170" s="1" t="n">
        <f aca="false">IF($A1170="","",物件マスタ!W1170)</f>
        <v>1</v>
      </c>
      <c r="M1170" s="1" t="str">
        <f aca="false">IF($A1170="","",IFERROR(INDEX(法人マスタ!$H:$H,MATCH($B1170,法人マスタ!$A:$A,0)),""))</f>
        <v>2026年2月期（第14期）</v>
      </c>
      <c r="N1170" s="1" t="n">
        <f aca="false">IF($A1170="","",SUMIFS(物件収支!$D:$D,物件収支!$A:$A,$A1170,物件収支!$C:$C,$M1170))</f>
        <v>6</v>
      </c>
      <c r="O1170" s="1" t="n">
        <f aca="false">IF($A1170="","",SUMIFS(物件収支!$F:$F,物件収支!$A:$A,$A1170,物件収支!$C:$C,$M1170))</f>
        <v>0</v>
      </c>
      <c r="P1170" s="1" t="n">
        <f aca="false">IF($A1170="","",SUMIFS(物件収支!$I:$I,物件収支!$A:$A,$A1170,物件収支!$C:$C,$M1170))</f>
        <v>0</v>
      </c>
      <c r="Q1170" s="1" t="n">
        <f aca="false">IF($A1170="","",SUMIFS(物件収支!$O:$O,物件収支!$A:$A,$A1170,物件収支!$C:$C,$M1170))</f>
        <v>0</v>
      </c>
      <c r="R1170" s="1" t="str">
        <f aca="false">IF($A1170="","",IF(P1170=0,"",O1170-P1170))</f>
        <v/>
      </c>
      <c r="S1170" s="1" t="str">
        <f aca="false">IF($A1170="","",IF(R1170="","",R1170+Q1170))</f>
        <v/>
      </c>
      <c r="T1170" s="1" t="str">
        <f aca="false">IF($A1170="","",IF(OR(S1170="",N1170&lt;=0),"",S1170/1000*12/N1170))</f>
        <v/>
      </c>
      <c r="U1170" s="1" t="str">
        <f aca="false">IF($A1170="","",IF(OR(T1170="",J1170=0,J1170=""),"",T1170/J1170))</f>
        <v/>
      </c>
      <c r="V1170" s="1" t="str">
        <f aca="false">IF($A1170="","",IF(OR(R1170="",N1170&lt;=0,J1170=0,J1170=""),"",(R1170/1000*12/N1170)/J1170))</f>
        <v/>
      </c>
      <c r="W1170" s="1" t="str">
        <f aca="false">IF($A1170="","",IF(OR(T1170="",K1170=0,K1170=""),"",T1170/K1170))</f>
        <v/>
      </c>
      <c r="X1170" s="1" t="str">
        <f aca="false">IF($A1170="","",IF(OR(N1170&lt;=0,I1170=0,I1170="",O1170=0),"",O1170*1000/(I1170*0.3025)/N1170))</f>
        <v/>
      </c>
      <c r="Y1170" s="1" t="str">
        <f aca="false">IF($A1170="","",IF(OR(O1170=0,O1170="",P1170=0),"",P1170/O1170))</f>
        <v/>
      </c>
      <c r="Z1170" s="1" t="str">
        <f aca="false">IF($A1170="","",IFERROR(INDEX(物件収支!$E:$E,MATCH($A1170,物件収支!$A:$A,0)),""))</f>
        <v>非開示（法人一括のみ開示）</v>
      </c>
    </row>
    <row r="1171" customFormat="false" ht="15" hidden="false" customHeight="true" outlineLevel="0" collapsed="false">
      <c r="A1171" s="1" t="str">
        <f aca="false">IF(物件マスタ!A1171="","",物件マスタ!A1171)</f>
        <v>SKR-015</v>
      </c>
      <c r="B1171" s="1" t="str">
        <f aca="false">IF($A1171="","",物件マスタ!B1171)</f>
        <v>SKR</v>
      </c>
      <c r="C1171" s="1" t="str">
        <f aca="false">IF($A1171="","",IFERROR(INDEX(法人マスタ!$C:$C,MATCH($B1171,法人マスタ!$A:$A,0)),""))</f>
        <v>サンケイリアルエステート投資法人</v>
      </c>
      <c r="D1171" s="1" t="str">
        <f aca="false">IF($A1171="","",物件マスタ!C1171)</f>
        <v>グリッズプレミアムホテル大阪なんば</v>
      </c>
      <c r="E1171" s="1" t="str">
        <f aca="false">IF($A1171="","",物件マスタ!H1171)</f>
        <v>その他3大都市圏</v>
      </c>
      <c r="F1171" s="53" t="n">
        <f aca="false">IF($A1171="","",物件マスタ!P1171)</f>
        <v>44197</v>
      </c>
      <c r="G1171" s="1" t="n">
        <f aca="false">IF($A1171="","",物件マスタ!Q1171)</f>
        <v>5.6</v>
      </c>
      <c r="H1171" s="1" t="n">
        <f aca="false">IF($A1171="","",物件マスタ!L1171)</f>
        <v>0</v>
      </c>
      <c r="I1171" s="1" t="n">
        <f aca="false">IF($A1171="","",物件マスタ!M1171)</f>
        <v>4353.79</v>
      </c>
      <c r="J1171" s="1" t="n">
        <f aca="false">IF($A1171="","",物件マスタ!S1171)</f>
        <v>7800</v>
      </c>
      <c r="K1171" s="1" t="n">
        <f aca="false">IF($A1171="","",物件マスタ!U1171)</f>
        <v>9230</v>
      </c>
      <c r="L1171" s="1" t="n">
        <f aca="false">IF($A1171="","",物件マスタ!W1171)</f>
        <v>1</v>
      </c>
      <c r="M1171" s="1" t="str">
        <f aca="false">IF($A1171="","",IFERROR(INDEX(法人マスタ!$H:$H,MATCH($B1171,法人マスタ!$A:$A,0)),""))</f>
        <v>2026年2月期（第14期）</v>
      </c>
      <c r="N1171" s="1" t="n">
        <f aca="false">IF($A1171="","",SUMIFS(物件収支!$D:$D,物件収支!$A:$A,$A1171,物件収支!$C:$C,$M1171))</f>
        <v>6</v>
      </c>
      <c r="O1171" s="1" t="n">
        <f aca="false">IF($A1171="","",SUMIFS(物件収支!$F:$F,物件収支!$A:$A,$A1171,物件収支!$C:$C,$M1171))</f>
        <v>0</v>
      </c>
      <c r="P1171" s="1" t="n">
        <f aca="false">IF($A1171="","",SUMIFS(物件収支!$I:$I,物件収支!$A:$A,$A1171,物件収支!$C:$C,$M1171))</f>
        <v>0</v>
      </c>
      <c r="Q1171" s="1" t="n">
        <f aca="false">IF($A1171="","",SUMIFS(物件収支!$O:$O,物件収支!$A:$A,$A1171,物件収支!$C:$C,$M1171))</f>
        <v>0</v>
      </c>
      <c r="R1171" s="1" t="str">
        <f aca="false">IF($A1171="","",IF(P1171=0,"",O1171-P1171))</f>
        <v/>
      </c>
      <c r="S1171" s="1" t="str">
        <f aca="false">IF($A1171="","",IF(R1171="","",R1171+Q1171))</f>
        <v/>
      </c>
      <c r="T1171" s="1" t="str">
        <f aca="false">IF($A1171="","",IF(OR(S1171="",N1171&lt;=0),"",S1171/1000*12/N1171))</f>
        <v/>
      </c>
      <c r="U1171" s="1" t="str">
        <f aca="false">IF($A1171="","",IF(OR(T1171="",J1171=0,J1171=""),"",T1171/J1171))</f>
        <v/>
      </c>
      <c r="V1171" s="1" t="str">
        <f aca="false">IF($A1171="","",IF(OR(R1171="",N1171&lt;=0,J1171=0,J1171=""),"",(R1171/1000*12/N1171)/J1171))</f>
        <v/>
      </c>
      <c r="W1171" s="1" t="str">
        <f aca="false">IF($A1171="","",IF(OR(T1171="",K1171=0,K1171=""),"",T1171/K1171))</f>
        <v/>
      </c>
      <c r="X1171" s="1" t="str">
        <f aca="false">IF($A1171="","",IF(OR(N1171&lt;=0,I1171=0,I1171="",O1171=0),"",O1171*1000/(I1171*0.3025)/N1171))</f>
        <v/>
      </c>
      <c r="Y1171" s="1" t="str">
        <f aca="false">IF($A1171="","",IF(OR(O1171=0,O1171="",P1171=0),"",P1171/O1171))</f>
        <v/>
      </c>
      <c r="Z1171" s="1" t="str">
        <f aca="false">IF($A1171="","",IFERROR(INDEX(物件収支!$E:$E,MATCH($A1171,物件収支!$A:$A,0)),""))</f>
        <v>非開示（法人一括のみ開示）</v>
      </c>
    </row>
    <row r="1172" customFormat="false" ht="15" hidden="false" customHeight="true" outlineLevel="0" collapsed="false">
      <c r="A1172" s="1" t="str">
        <f aca="false">IF(物件マスタ!A1172="","",物件マスタ!A1172)</f>
        <v>SKR-016</v>
      </c>
      <c r="B1172" s="1" t="str">
        <f aca="false">IF($A1172="","",物件マスタ!B1172)</f>
        <v>SKR</v>
      </c>
      <c r="C1172" s="1" t="str">
        <f aca="false">IF($A1172="","",IFERROR(INDEX(法人マスタ!$C:$C,MATCH($B1172,法人マスタ!$A:$A,0)),""))</f>
        <v>サンケイリアルエステート投資法人</v>
      </c>
      <c r="D1172" s="1" t="str">
        <f aca="false">IF($A1172="","",物件マスタ!C1172)</f>
        <v>ベッセルホテルカンパーナすすきの</v>
      </c>
      <c r="E1172" s="1" t="str">
        <f aca="false">IF($A1172="","",物件マスタ!H1172)</f>
        <v>3大都市圏以外の政令市</v>
      </c>
      <c r="F1172" s="53" t="n">
        <f aca="false">IF($A1172="","",物件マスタ!P1172)</f>
        <v>43525</v>
      </c>
      <c r="G1172" s="1" t="n">
        <f aca="false">IF($A1172="","",物件マスタ!Q1172)</f>
        <v>7.4</v>
      </c>
      <c r="H1172" s="1" t="n">
        <f aca="false">IF($A1172="","",物件マスタ!L1172)</f>
        <v>0</v>
      </c>
      <c r="I1172" s="1" t="n">
        <f aca="false">IF($A1172="","",物件マスタ!M1172)</f>
        <v>4427.11</v>
      </c>
      <c r="J1172" s="1" t="n">
        <f aca="false">IF($A1172="","",物件マスタ!S1172)</f>
        <v>2920</v>
      </c>
      <c r="K1172" s="1" t="n">
        <f aca="false">IF($A1172="","",物件マスタ!U1172)</f>
        <v>3010</v>
      </c>
      <c r="L1172" s="1" t="n">
        <f aca="false">IF($A1172="","",物件マスタ!W1172)</f>
        <v>1</v>
      </c>
      <c r="M1172" s="1" t="str">
        <f aca="false">IF($A1172="","",IFERROR(INDEX(法人マスタ!$H:$H,MATCH($B1172,法人マスタ!$A:$A,0)),""))</f>
        <v>2026年2月期（第14期）</v>
      </c>
      <c r="N1172" s="1" t="n">
        <f aca="false">IF($A1172="","",SUMIFS(物件収支!$D:$D,物件収支!$A:$A,$A1172,物件収支!$C:$C,$M1172))</f>
        <v>6</v>
      </c>
      <c r="O1172" s="1" t="n">
        <f aca="false">IF($A1172="","",SUMIFS(物件収支!$F:$F,物件収支!$A:$A,$A1172,物件収支!$C:$C,$M1172))</f>
        <v>0</v>
      </c>
      <c r="P1172" s="1" t="n">
        <f aca="false">IF($A1172="","",SUMIFS(物件収支!$I:$I,物件収支!$A:$A,$A1172,物件収支!$C:$C,$M1172))</f>
        <v>0</v>
      </c>
      <c r="Q1172" s="1" t="n">
        <f aca="false">IF($A1172="","",SUMIFS(物件収支!$O:$O,物件収支!$A:$A,$A1172,物件収支!$C:$C,$M1172))</f>
        <v>0</v>
      </c>
      <c r="R1172" s="1" t="str">
        <f aca="false">IF($A1172="","",IF(P1172=0,"",O1172-P1172))</f>
        <v/>
      </c>
      <c r="S1172" s="1" t="str">
        <f aca="false">IF($A1172="","",IF(R1172="","",R1172+Q1172))</f>
        <v/>
      </c>
      <c r="T1172" s="1" t="str">
        <f aca="false">IF($A1172="","",IF(OR(S1172="",N1172&lt;=0),"",S1172/1000*12/N1172))</f>
        <v/>
      </c>
      <c r="U1172" s="1" t="str">
        <f aca="false">IF($A1172="","",IF(OR(T1172="",J1172=0,J1172=""),"",T1172/J1172))</f>
        <v/>
      </c>
      <c r="V1172" s="1" t="str">
        <f aca="false">IF($A1172="","",IF(OR(R1172="",N1172&lt;=0,J1172=0,J1172=""),"",(R1172/1000*12/N1172)/J1172))</f>
        <v/>
      </c>
      <c r="W1172" s="1" t="str">
        <f aca="false">IF($A1172="","",IF(OR(T1172="",K1172=0,K1172=""),"",T1172/K1172))</f>
        <v/>
      </c>
      <c r="X1172" s="1" t="str">
        <f aca="false">IF($A1172="","",IF(OR(N1172&lt;=0,I1172=0,I1172="",O1172=0),"",O1172*1000/(I1172*0.3025)/N1172))</f>
        <v/>
      </c>
      <c r="Y1172" s="1" t="str">
        <f aca="false">IF($A1172="","",IF(OR(O1172=0,O1172="",P1172=0),"",P1172/O1172))</f>
        <v/>
      </c>
      <c r="Z1172" s="1" t="str">
        <f aca="false">IF($A1172="","",IFERROR(INDEX(物件収支!$E:$E,MATCH($A1172,物件収支!$A:$A,0)),""))</f>
        <v>非開示（法人一括のみ開示）</v>
      </c>
    </row>
    <row r="1173" customFormat="false" ht="15" hidden="false" customHeight="true" outlineLevel="0" collapsed="false">
      <c r="A1173" s="1" t="str">
        <f aca="false">IF(物件マスタ!A1173="","",物件マスタ!A1173)</f>
        <v>SKR-ALL</v>
      </c>
      <c r="B1173" s="1" t="str">
        <f aca="false">IF($A1173="","",物件マスタ!B1173)</f>
        <v>SKR</v>
      </c>
      <c r="C1173" s="1" t="str">
        <f aca="false">IF($A1173="","",IFERROR(INDEX(法人マスタ!$C:$C,MATCH($B1173,法人マスタ!$A:$A,0)),""))</f>
        <v>サンケイリアルエステート投資法人</v>
      </c>
      <c r="D1173" s="1" t="str">
        <f aca="false">IF($A1173="","",物件マスタ!C1173)</f>
        <v>（SKR全16物件一括）</v>
      </c>
      <c r="E1173" s="1" t="str">
        <f aca="false">IF($A1173="","",物件マスタ!H1173)</f>
        <v>（法人一括）</v>
      </c>
      <c r="F1173" s="1" t="n">
        <f aca="false">IF($A1173="","",物件マスタ!P1173)</f>
        <v>0</v>
      </c>
      <c r="G1173" s="1" t="str">
        <f aca="false">IF($A1173="","",物件マスタ!Q1173)</f>
        <v/>
      </c>
      <c r="H1173" s="1" t="n">
        <f aca="false">IF($A1173="","",物件マスタ!L1173)</f>
        <v>0</v>
      </c>
      <c r="I1173" s="1" t="n">
        <f aca="false">IF($A1173="","",物件マスタ!M1173)</f>
        <v>0</v>
      </c>
      <c r="J1173" s="1" t="n">
        <f aca="false">IF($A1173="","",物件マスタ!S1173)</f>
        <v>93938</v>
      </c>
      <c r="K1173" s="1" t="n">
        <f aca="false">IF($A1173="","",物件マスタ!U1173)</f>
        <v>96660</v>
      </c>
      <c r="L1173" s="1" t="n">
        <f aca="false">IF($A1173="","",物件マスタ!W1173)</f>
        <v>0.817</v>
      </c>
      <c r="M1173" s="1" t="str">
        <f aca="false">IF($A1173="","",IFERROR(INDEX(法人マスタ!$H:$H,MATCH($B1173,法人マスタ!$A:$A,0)),""))</f>
        <v>2026年2月期（第14期）</v>
      </c>
      <c r="N1173" s="1" t="n">
        <f aca="false">IF($A1173="","",SUMIFS(物件収支!$D:$D,物件収支!$A:$A,$A1173,物件収支!$C:$C,$M1173))</f>
        <v>6</v>
      </c>
      <c r="O1173" s="1" t="n">
        <f aca="false">IF($A1173="","",SUMIFS(物件収支!$F:$F,物件収支!$A:$A,$A1173,物件収支!$C:$C,$M1173))</f>
        <v>2882078</v>
      </c>
      <c r="P1173" s="1" t="n">
        <f aca="false">IF($A1173="","",SUMIFS(物件収支!$I:$I,物件収支!$A:$A,$A1173,物件収支!$C:$C,$M1173))</f>
        <v>947798</v>
      </c>
      <c r="Q1173" s="1" t="n">
        <f aca="false">IF($A1173="","",SUMIFS(物件収支!$O:$O,物件収支!$A:$A,$A1173,物件収支!$C:$C,$M1173))</f>
        <v>319927</v>
      </c>
      <c r="R1173" s="1" t="n">
        <f aca="false">IF($A1173="","",IF(P1173=0,"",O1173-P1173))</f>
        <v>1934280</v>
      </c>
      <c r="S1173" s="1" t="n">
        <f aca="false">IF($A1173="","",IF(R1173="","",R1173+Q1173))</f>
        <v>2254207</v>
      </c>
      <c r="T1173" s="1" t="n">
        <f aca="false">IF($A1173="","",IF(OR(S1173="",N1173&lt;=0),"",S1173/1000*12/N1173))</f>
        <v>4508.414</v>
      </c>
      <c r="U1173" s="1" t="n">
        <f aca="false">IF($A1173="","",IF(OR(T1173="",J1173=0,J1173=""),"",T1173/J1173))</f>
        <v>0.0479935063552556</v>
      </c>
      <c r="V1173" s="1" t="n">
        <f aca="false">IF($A1173="","",IF(OR(R1173="",N1173&lt;=0,J1173=0,J1173=""),"",(R1173/1000*12/N1173)/J1173))</f>
        <v>0.0411820562498669</v>
      </c>
      <c r="W1173" s="1" t="n">
        <f aca="false">IF($A1173="","",IF(OR(T1173="",K1173=0,K1173=""),"",T1173/K1173))</f>
        <v>0.0466419822056694</v>
      </c>
      <c r="X1173" s="1" t="str">
        <f aca="false">IF($A1173="","",IF(OR(N1173&lt;=0,I1173=0,I1173="",O1173=0),"",O1173*1000/(I1173*0.3025)/N1173))</f>
        <v/>
      </c>
      <c r="Y1173" s="1" t="n">
        <f aca="false">IF($A1173="","",IF(OR(O1173=0,O1173="",P1173=0),"",P1173/O1173))</f>
        <v>0.328859246696307</v>
      </c>
      <c r="Z1173" s="1" t="str">
        <f aca="false">IF($A1173="","",IFERROR(INDEX(物件収支!$E:$E,MATCH($A1173,物件収支!$A:$A,0)),""))</f>
        <v>開示（法人一括・費用内訳含む）</v>
      </c>
    </row>
    <row r="1174" customFormat="false" ht="15" hidden="false" customHeight="true" outlineLevel="0" collapsed="false">
      <c r="A1174" s="1" t="str">
        <f aca="false">IF(物件マスタ!A1174="","",物件マスタ!A1174)</f>
        <v>JRE-001</v>
      </c>
      <c r="B1174" s="1" t="str">
        <f aca="false">IF($A1174="","",物件マスタ!B1174)</f>
        <v>JRE</v>
      </c>
      <c r="C1174" s="1" t="str">
        <f aca="false">IF($A1174="","",IFERROR(INDEX(法人マスタ!$C:$C,MATCH($B1174,法人マスタ!$A:$A,0)),""))</f>
        <v>ジャパンリアルエステイト投資法人</v>
      </c>
      <c r="D1174" s="1" t="str">
        <f aca="false">IF($A1174="","",物件マスタ!C1174)</f>
        <v>北の丸スクエア</v>
      </c>
      <c r="E1174" s="1" t="str">
        <f aca="false">IF($A1174="","",物件マスタ!H1174)</f>
        <v>都心5区</v>
      </c>
      <c r="F1174" s="1" t="n">
        <f aca="false">IF($A1174="","",物件マスタ!P1174)</f>
        <v>0</v>
      </c>
      <c r="G1174" s="1" t="str">
        <f aca="false">IF($A1174="","",物件マスタ!Q1174)</f>
        <v/>
      </c>
      <c r="H1174" s="1" t="n">
        <f aca="false">IF($A1174="","",物件マスタ!L1174)</f>
        <v>0</v>
      </c>
      <c r="I1174" s="1" t="n">
        <f aca="false">IF($A1174="","",物件マスタ!M1174)</f>
        <v>25678</v>
      </c>
      <c r="J1174" s="1" t="n">
        <f aca="false">IF($A1174="","",物件マスタ!S1174)</f>
        <v>81555.5</v>
      </c>
      <c r="K1174" s="1" t="n">
        <f aca="false">IF($A1174="","",物件マスタ!U1174)</f>
        <v>84400</v>
      </c>
      <c r="L1174" s="1" t="n">
        <f aca="false">IF($A1174="","",物件マスタ!W1174)</f>
        <v>1</v>
      </c>
      <c r="M1174" s="1" t="str">
        <f aca="false">IF($A1174="","",IFERROR(INDEX(法人マスタ!$H:$H,MATCH($B1174,法人マスタ!$A:$A,0)),""))</f>
        <v>2026年3月期（第49期）</v>
      </c>
      <c r="N1174" s="1" t="n">
        <f aca="false">IF($A1174="","",SUMIFS(物件収支!$D:$D,物件収支!$A:$A,$A1174,物件収支!$C:$C,$M1174))</f>
        <v>6</v>
      </c>
      <c r="O1174" s="1" t="n">
        <f aca="false">IF($A1174="","",SUMIFS(物件収支!$F:$F,物件収支!$A:$A,$A1174,物件収支!$C:$C,$M1174))</f>
        <v>1786000</v>
      </c>
      <c r="P1174" s="1" t="n">
        <f aca="false">IF($A1174="","",SUMIFS(物件収支!$I:$I,物件収支!$A:$A,$A1174,物件収支!$C:$C,$M1174))</f>
        <v>659000</v>
      </c>
      <c r="Q1174" s="1" t="n">
        <f aca="false">IF($A1174="","",SUMIFS(物件収支!$O:$O,物件収支!$A:$A,$A1174,物件収支!$C:$C,$M1174))</f>
        <v>249000</v>
      </c>
      <c r="R1174" s="1" t="n">
        <f aca="false">IF($A1174="","",IF(P1174=0,"",O1174-P1174))</f>
        <v>1127000</v>
      </c>
      <c r="S1174" s="1" t="n">
        <f aca="false">IF($A1174="","",IF(R1174="","",R1174+Q1174))</f>
        <v>1376000</v>
      </c>
      <c r="T1174" s="1" t="n">
        <f aca="false">IF($A1174="","",IF(OR(S1174="",N1174&lt;=0),"",S1174/1000*12/N1174))</f>
        <v>2752</v>
      </c>
      <c r="U1174" s="1" t="n">
        <f aca="false">IF($A1174="","",IF(OR(T1174="",J1174=0,J1174=""),"",T1174/J1174))</f>
        <v>0.0337438921961119</v>
      </c>
      <c r="V1174" s="1" t="n">
        <f aca="false">IF($A1174="","",IF(OR(R1174="",N1174&lt;=0,J1174=0,J1174=""),"",(R1174/1000*12/N1174)/J1174))</f>
        <v>0.0276376210065538</v>
      </c>
      <c r="W1174" s="1" t="n">
        <f aca="false">IF($A1174="","",IF(OR(T1174="",K1174=0,K1174=""),"",T1174/K1174))</f>
        <v>0.03260663507109</v>
      </c>
      <c r="X1174" s="1" t="n">
        <f aca="false">IF($A1174="","",IF(OR(N1174&lt;=0,I1174=0,I1174="",O1174=0),"",O1174*1000/(I1174*0.3025)/N1174))</f>
        <v>38321.5997572822</v>
      </c>
      <c r="Y1174" s="1" t="n">
        <f aca="false">IF($A1174="","",IF(OR(O1174=0,O1174="",P1174=0),"",P1174/O1174))</f>
        <v>0.368980963045913</v>
      </c>
      <c r="Z1174" s="1" t="str">
        <f aca="false">IF($A1174="","",IFERROR(INDEX(物件収支!$E:$E,MATCH($A1174,物件収支!$A:$A,0)),""))</f>
        <v>開示（物件別・費用内訳含む・百万円単位）</v>
      </c>
    </row>
    <row r="1175" customFormat="false" ht="15" hidden="false" customHeight="true" outlineLevel="0" collapsed="false">
      <c r="A1175" s="1" t="str">
        <f aca="false">IF(物件マスタ!A1175="","",物件マスタ!A1175)</f>
        <v>JRE-002</v>
      </c>
      <c r="B1175" s="1" t="str">
        <f aca="false">IF($A1175="","",物件マスタ!B1175)</f>
        <v>JRE</v>
      </c>
      <c r="C1175" s="1" t="str">
        <f aca="false">IF($A1175="","",IFERROR(INDEX(法人マスタ!$C:$C,MATCH($B1175,法人マスタ!$A:$A,0)),""))</f>
        <v>ジャパンリアルエステイト投資法人</v>
      </c>
      <c r="D1175" s="1" t="str">
        <f aca="false">IF($A1175="","",物件マスタ!C1175)</f>
        <v>ＪＲＥ神田小川町ビル</v>
      </c>
      <c r="E1175" s="1" t="str">
        <f aca="false">IF($A1175="","",物件マスタ!H1175)</f>
        <v>都心5区</v>
      </c>
      <c r="F1175" s="1" t="n">
        <f aca="false">IF($A1175="","",物件マスタ!P1175)</f>
        <v>0</v>
      </c>
      <c r="G1175" s="1" t="str">
        <f aca="false">IF($A1175="","",物件マスタ!Q1175)</f>
        <v/>
      </c>
      <c r="H1175" s="1" t="n">
        <f aca="false">IF($A1175="","",物件マスタ!L1175)</f>
        <v>0</v>
      </c>
      <c r="I1175" s="1" t="n">
        <f aca="false">IF($A1175="","",物件マスタ!M1175)</f>
        <v>6269</v>
      </c>
      <c r="J1175" s="1" t="n">
        <f aca="false">IF($A1175="","",物件マスタ!S1175)</f>
        <v>9520</v>
      </c>
      <c r="K1175" s="1" t="n">
        <f aca="false">IF($A1175="","",物件マスタ!U1175)</f>
        <v>9600</v>
      </c>
      <c r="L1175" s="1" t="n">
        <f aca="false">IF($A1175="","",物件マスタ!W1175)</f>
        <v>1</v>
      </c>
      <c r="M1175" s="1" t="str">
        <f aca="false">IF($A1175="","",IFERROR(INDEX(法人マスタ!$H:$H,MATCH($B1175,法人マスタ!$A:$A,0)),""))</f>
        <v>2026年3月期（第49期）</v>
      </c>
      <c r="N1175" s="1" t="n">
        <f aca="false">IF($A1175="","",SUMIFS(物件収支!$D:$D,物件収支!$A:$A,$A1175,物件収支!$C:$C,$M1175))</f>
        <v>6</v>
      </c>
      <c r="O1175" s="1" t="n">
        <f aca="false">IF($A1175="","",SUMIFS(物件収支!$F:$F,物件収支!$A:$A,$A1175,物件収支!$C:$C,$M1175))</f>
        <v>247000</v>
      </c>
      <c r="P1175" s="1" t="n">
        <f aca="false">IF($A1175="","",SUMIFS(物件収支!$I:$I,物件収支!$A:$A,$A1175,物件収支!$C:$C,$M1175))</f>
        <v>93000</v>
      </c>
      <c r="Q1175" s="1" t="n">
        <f aca="false">IF($A1175="","",SUMIFS(物件収支!$O:$O,物件収支!$A:$A,$A1175,物件収支!$C:$C,$M1175))</f>
        <v>32000</v>
      </c>
      <c r="R1175" s="1" t="n">
        <f aca="false">IF($A1175="","",IF(P1175=0,"",O1175-P1175))</f>
        <v>154000</v>
      </c>
      <c r="S1175" s="1" t="n">
        <f aca="false">IF($A1175="","",IF(R1175="","",R1175+Q1175))</f>
        <v>186000</v>
      </c>
      <c r="T1175" s="1" t="n">
        <f aca="false">IF($A1175="","",IF(OR(S1175="",N1175&lt;=0),"",S1175/1000*12/N1175))</f>
        <v>372</v>
      </c>
      <c r="U1175" s="1" t="n">
        <f aca="false">IF($A1175="","",IF(OR(T1175="",J1175=0,J1175=""),"",T1175/J1175))</f>
        <v>0.0390756302521008</v>
      </c>
      <c r="V1175" s="1" t="n">
        <f aca="false">IF($A1175="","",IF(OR(R1175="",N1175&lt;=0,J1175=0,J1175=""),"",(R1175/1000*12/N1175)/J1175))</f>
        <v>0.0323529411764706</v>
      </c>
      <c r="W1175" s="1" t="n">
        <f aca="false">IF($A1175="","",IF(OR(T1175="",K1175=0,K1175=""),"",T1175/K1175))</f>
        <v>0.03875</v>
      </c>
      <c r="X1175" s="1" t="n">
        <f aca="false">IF($A1175="","",IF(OR(N1175&lt;=0,I1175=0,I1175="",O1175=0),"",O1175*1000/(I1175*0.3025)/N1175))</f>
        <v>21708.1120226467</v>
      </c>
      <c r="Y1175" s="1" t="n">
        <f aca="false">IF($A1175="","",IF(OR(O1175=0,O1175="",P1175=0),"",P1175/O1175))</f>
        <v>0.376518218623482</v>
      </c>
      <c r="Z1175" s="1" t="str">
        <f aca="false">IF($A1175="","",IFERROR(INDEX(物件収支!$E:$E,MATCH($A1175,物件収支!$A:$A,0)),""))</f>
        <v>開示（物件別・費用内訳含む・百万円単位）</v>
      </c>
    </row>
    <row r="1176" customFormat="false" ht="15" hidden="false" customHeight="true" outlineLevel="0" collapsed="false">
      <c r="A1176" s="1" t="str">
        <f aca="false">IF(物件マスタ!A1176="","",物件マスタ!A1176)</f>
        <v>JRE-003</v>
      </c>
      <c r="B1176" s="1" t="str">
        <f aca="false">IF($A1176="","",物件マスタ!B1176)</f>
        <v>JRE</v>
      </c>
      <c r="C1176" s="1" t="str">
        <f aca="false">IF($A1176="","",IFERROR(INDEX(法人マスタ!$C:$C,MATCH($B1176,法人マスタ!$A:$A,0)),""))</f>
        <v>ジャパンリアルエステイト投資法人</v>
      </c>
      <c r="D1176" s="1" t="str">
        <f aca="false">IF($A1176="","",物件マスタ!C1176)</f>
        <v>神田橋パークビルヂング</v>
      </c>
      <c r="E1176" s="1" t="str">
        <f aca="false">IF($A1176="","",物件マスタ!H1176)</f>
        <v>都心5区</v>
      </c>
      <c r="F1176" s="1" t="n">
        <f aca="false">IF($A1176="","",物件マスタ!P1176)</f>
        <v>0</v>
      </c>
      <c r="G1176" s="1" t="str">
        <f aca="false">IF($A1176="","",物件マスタ!Q1176)</f>
        <v/>
      </c>
      <c r="H1176" s="1" t="n">
        <f aca="false">IF($A1176="","",物件マスタ!L1176)</f>
        <v>0</v>
      </c>
      <c r="I1176" s="1" t="n">
        <f aca="false">IF($A1176="","",物件マスタ!M1176)</f>
        <v>5551</v>
      </c>
      <c r="J1176" s="1" t="n">
        <f aca="false">IF($A1176="","",物件マスタ!S1176)</f>
        <v>6960</v>
      </c>
      <c r="K1176" s="1" t="n">
        <f aca="false">IF($A1176="","",物件マスタ!U1176)</f>
        <v>8210</v>
      </c>
      <c r="L1176" s="1" t="n">
        <f aca="false">IF($A1176="","",物件マスタ!W1176)</f>
        <v>1</v>
      </c>
      <c r="M1176" s="1" t="str">
        <f aca="false">IF($A1176="","",IFERROR(INDEX(法人マスタ!$H:$H,MATCH($B1176,法人マスタ!$A:$A,0)),""))</f>
        <v>2026年3月期（第49期）</v>
      </c>
      <c r="N1176" s="1" t="n">
        <f aca="false">IF($A1176="","",SUMIFS(物件収支!$D:$D,物件収支!$A:$A,$A1176,物件収支!$C:$C,$M1176))</f>
        <v>6</v>
      </c>
      <c r="O1176" s="1" t="n">
        <f aca="false">IF($A1176="","",SUMIFS(物件収支!$F:$F,物件収支!$A:$A,$A1176,物件収支!$C:$C,$M1176))</f>
        <v>158000</v>
      </c>
      <c r="P1176" s="1" t="n">
        <f aca="false">IF($A1176="","",SUMIFS(物件収支!$I:$I,物件収支!$A:$A,$A1176,物件収支!$C:$C,$M1176))</f>
        <v>46000</v>
      </c>
      <c r="Q1176" s="1" t="n">
        <f aca="false">IF($A1176="","",SUMIFS(物件収支!$O:$O,物件収支!$A:$A,$A1176,物件収支!$C:$C,$M1176))</f>
        <v>20000</v>
      </c>
      <c r="R1176" s="1" t="n">
        <f aca="false">IF($A1176="","",IF(P1176=0,"",O1176-P1176))</f>
        <v>112000</v>
      </c>
      <c r="S1176" s="1" t="n">
        <f aca="false">IF($A1176="","",IF(R1176="","",R1176+Q1176))</f>
        <v>132000</v>
      </c>
      <c r="T1176" s="1" t="n">
        <f aca="false">IF($A1176="","",IF(OR(S1176="",N1176&lt;=0),"",S1176/1000*12/N1176))</f>
        <v>264</v>
      </c>
      <c r="U1176" s="1" t="n">
        <f aca="false">IF($A1176="","",IF(OR(T1176="",J1176=0,J1176=""),"",T1176/J1176))</f>
        <v>0.0379310344827586</v>
      </c>
      <c r="V1176" s="1" t="n">
        <f aca="false">IF($A1176="","",IF(OR(R1176="",N1176&lt;=0,J1176=0,J1176=""),"",(R1176/1000*12/N1176)/J1176))</f>
        <v>0.032183908045977</v>
      </c>
      <c r="W1176" s="1" t="n">
        <f aca="false">IF($A1176="","",IF(OR(T1176="",K1176=0,K1176=""),"",T1176/K1176))</f>
        <v>0.0321559074299635</v>
      </c>
      <c r="X1176" s="1" t="n">
        <f aca="false">IF($A1176="","",IF(OR(N1176&lt;=0,I1176=0,I1176="",O1176=0),"",O1176*1000/(I1176*0.3025)/N1176))</f>
        <v>15682.2809579889</v>
      </c>
      <c r="Y1176" s="1" t="n">
        <f aca="false">IF($A1176="","",IF(OR(O1176=0,O1176="",P1176=0),"",P1176/O1176))</f>
        <v>0.291139240506329</v>
      </c>
      <c r="Z1176" s="1" t="str">
        <f aca="false">IF($A1176="","",IFERROR(INDEX(物件収支!$E:$E,MATCH($A1176,物件収支!$A:$A,0)),""))</f>
        <v>開示（物件別・費用内訳含む・百万円単位）</v>
      </c>
    </row>
    <row r="1177" customFormat="false" ht="15" hidden="false" customHeight="true" outlineLevel="0" collapsed="false">
      <c r="A1177" s="1" t="str">
        <f aca="false">IF(物件マスタ!A1177="","",物件マスタ!A1177)</f>
        <v>JRE-004</v>
      </c>
      <c r="B1177" s="1" t="str">
        <f aca="false">IF($A1177="","",物件マスタ!B1177)</f>
        <v>JRE</v>
      </c>
      <c r="C1177" s="1" t="str">
        <f aca="false">IF($A1177="","",IFERROR(INDEX(法人マスタ!$C:$C,MATCH($B1177,法人マスタ!$A:$A,0)),""))</f>
        <v>ジャパンリアルエステイト投資法人</v>
      </c>
      <c r="D1177" s="1" t="str">
        <f aca="false">IF($A1177="","",物件マスタ!C1177)</f>
        <v>大手町フィナンシャルシティノースタワー</v>
      </c>
      <c r="E1177" s="1" t="str">
        <f aca="false">IF($A1177="","",物件マスタ!H1177)</f>
        <v>都心5区</v>
      </c>
      <c r="F1177" s="1" t="n">
        <f aca="false">IF($A1177="","",物件マスタ!P1177)</f>
        <v>0</v>
      </c>
      <c r="G1177" s="1" t="str">
        <f aca="false">IF($A1177="","",物件マスタ!Q1177)</f>
        <v/>
      </c>
      <c r="H1177" s="1" t="n">
        <f aca="false">IF($A1177="","",物件マスタ!L1177)</f>
        <v>0</v>
      </c>
      <c r="I1177" s="1" t="n">
        <f aca="false">IF($A1177="","",物件マスタ!M1177)</f>
        <v>7659</v>
      </c>
      <c r="J1177" s="1" t="n">
        <f aca="false">IF($A1177="","",物件マスタ!S1177)</f>
        <v>21842.9</v>
      </c>
      <c r="K1177" s="1" t="n">
        <f aca="false">IF($A1177="","",物件マスタ!U1177)</f>
        <v>29300</v>
      </c>
      <c r="L1177" s="1" t="n">
        <f aca="false">IF($A1177="","",物件マスタ!W1177)</f>
        <v>0.999</v>
      </c>
      <c r="M1177" s="1" t="str">
        <f aca="false">IF($A1177="","",IFERROR(INDEX(法人マスタ!$H:$H,MATCH($B1177,法人マスタ!$A:$A,0)),""))</f>
        <v>2026年3月期（第49期）</v>
      </c>
      <c r="N1177" s="1" t="n">
        <f aca="false">IF($A1177="","",SUMIFS(物件収支!$D:$D,物件収支!$A:$A,$A1177,物件収支!$C:$C,$M1177))</f>
        <v>6</v>
      </c>
      <c r="O1177" s="1" t="n">
        <f aca="false">IF($A1177="","",SUMIFS(物件収支!$F:$F,物件収支!$A:$A,$A1177,物件収支!$C:$C,$M1177))</f>
        <v>475000</v>
      </c>
      <c r="P1177" s="1" t="n">
        <f aca="false">IF($A1177="","",SUMIFS(物件収支!$I:$I,物件収支!$A:$A,$A1177,物件収支!$C:$C,$M1177))</f>
        <v>301000</v>
      </c>
      <c r="Q1177" s="1" t="n">
        <f aca="false">IF($A1177="","",SUMIFS(物件収支!$O:$O,物件収支!$A:$A,$A1177,物件収支!$C:$C,$M1177))</f>
        <v>101000</v>
      </c>
      <c r="R1177" s="1" t="n">
        <f aca="false">IF($A1177="","",IF(P1177=0,"",O1177-P1177))</f>
        <v>174000</v>
      </c>
      <c r="S1177" s="1" t="n">
        <f aca="false">IF($A1177="","",IF(R1177="","",R1177+Q1177))</f>
        <v>275000</v>
      </c>
      <c r="T1177" s="1" t="n">
        <f aca="false">IF($A1177="","",IF(OR(S1177="",N1177&lt;=0),"",S1177/1000*12/N1177))</f>
        <v>550</v>
      </c>
      <c r="U1177" s="1" t="n">
        <f aca="false">IF($A1177="","",IF(OR(T1177="",J1177=0,J1177=""),"",T1177/J1177))</f>
        <v>0.0251798067106474</v>
      </c>
      <c r="V1177" s="1" t="n">
        <f aca="false">IF($A1177="","",IF(OR(R1177="",N1177&lt;=0,J1177=0,J1177=""),"",(R1177/1000*12/N1177)/J1177))</f>
        <v>0.0159319504278278</v>
      </c>
      <c r="W1177" s="1" t="n">
        <f aca="false">IF($A1177="","",IF(OR(T1177="",K1177=0,K1177=""),"",T1177/K1177))</f>
        <v>0.0187713310580205</v>
      </c>
      <c r="X1177" s="1" t="n">
        <f aca="false">IF($A1177="","",IF(OR(N1177&lt;=0,I1177=0,I1177="",O1177=0),"",O1177*1000/(I1177*0.3025)/N1177))</f>
        <v>34169.994644303</v>
      </c>
      <c r="Y1177" s="1" t="n">
        <f aca="false">IF($A1177="","",IF(OR(O1177=0,O1177="",P1177=0),"",P1177/O1177))</f>
        <v>0.633684210526316</v>
      </c>
      <c r="Z1177" s="1" t="str">
        <f aca="false">IF($A1177="","",IFERROR(INDEX(物件収支!$E:$E,MATCH($A1177,物件収支!$A:$A,0)),""))</f>
        <v>開示（物件別・費用内訳含む・百万円単位）</v>
      </c>
    </row>
    <row r="1178" customFormat="false" ht="15" hidden="false" customHeight="true" outlineLevel="0" collapsed="false">
      <c r="A1178" s="1" t="str">
        <f aca="false">IF(物件マスタ!A1178="","",物件マスタ!A1178)</f>
        <v>JRE-005</v>
      </c>
      <c r="B1178" s="1" t="str">
        <f aca="false">IF($A1178="","",物件マスタ!B1178)</f>
        <v>JRE</v>
      </c>
      <c r="C1178" s="1" t="str">
        <f aca="false">IF($A1178="","",IFERROR(INDEX(法人マスタ!$C:$C,MATCH($B1178,法人マスタ!$A:$A,0)),""))</f>
        <v>ジャパンリアルエステイト投資法人</v>
      </c>
      <c r="D1178" s="1" t="str">
        <f aca="false">IF($A1178="","",物件マスタ!C1178)</f>
        <v>大手町パークビルディング</v>
      </c>
      <c r="E1178" s="1" t="str">
        <f aca="false">IF($A1178="","",物件マスタ!H1178)</f>
        <v>都心5区</v>
      </c>
      <c r="F1178" s="1" t="n">
        <f aca="false">IF($A1178="","",物件マスタ!P1178)</f>
        <v>0</v>
      </c>
      <c r="G1178" s="1" t="str">
        <f aca="false">IF($A1178="","",物件マスタ!Q1178)</f>
        <v/>
      </c>
      <c r="H1178" s="1" t="n">
        <f aca="false">IF($A1178="","",物件マスタ!L1178)</f>
        <v>0</v>
      </c>
      <c r="I1178" s="1" t="n">
        <f aca="false">IF($A1178="","",物件マスタ!M1178)</f>
        <v>2372</v>
      </c>
      <c r="J1178" s="1" t="n">
        <f aca="false">IF($A1178="","",物件マスタ!S1178)</f>
        <v>10175</v>
      </c>
      <c r="K1178" s="1" t="n">
        <f aca="false">IF($A1178="","",物件マスタ!U1178)</f>
        <v>11500</v>
      </c>
      <c r="L1178" s="1" t="n">
        <f aca="false">IF($A1178="","",物件マスタ!W1178)</f>
        <v>1</v>
      </c>
      <c r="M1178" s="1" t="str">
        <f aca="false">IF($A1178="","",IFERROR(INDEX(法人マスタ!$H:$H,MATCH($B1178,法人マスタ!$A:$A,0)),""))</f>
        <v>2026年3月期（第49期）</v>
      </c>
      <c r="N1178" s="1" t="n">
        <f aca="false">IF($A1178="","",SUMIFS(物件収支!$D:$D,物件収支!$A:$A,$A1178,物件収支!$C:$C,$M1178))</f>
        <v>6</v>
      </c>
      <c r="O1178" s="1" t="n">
        <f aca="false">IF($A1178="","",SUMIFS(物件収支!$F:$F,物件収支!$A:$A,$A1178,物件収支!$C:$C,$M1178))</f>
        <v>186000</v>
      </c>
      <c r="P1178" s="1" t="n">
        <f aca="false">IF($A1178="","",SUMIFS(物件収支!$I:$I,物件収支!$A:$A,$A1178,物件収支!$C:$C,$M1178))</f>
        <v>92000</v>
      </c>
      <c r="Q1178" s="1" t="n">
        <f aca="false">IF($A1178="","",SUMIFS(物件収支!$O:$O,物件収支!$A:$A,$A1178,物件収支!$C:$C,$M1178))</f>
        <v>31000</v>
      </c>
      <c r="R1178" s="1" t="n">
        <f aca="false">IF($A1178="","",IF(P1178=0,"",O1178-P1178))</f>
        <v>94000</v>
      </c>
      <c r="S1178" s="1" t="n">
        <f aca="false">IF($A1178="","",IF(R1178="","",R1178+Q1178))</f>
        <v>125000</v>
      </c>
      <c r="T1178" s="1" t="n">
        <f aca="false">IF($A1178="","",IF(OR(S1178="",N1178&lt;=0),"",S1178/1000*12/N1178))</f>
        <v>250</v>
      </c>
      <c r="U1178" s="1" t="n">
        <f aca="false">IF($A1178="","",IF(OR(T1178="",J1178=0,J1178=""),"",T1178/J1178))</f>
        <v>0.0245700245700246</v>
      </c>
      <c r="V1178" s="1" t="n">
        <f aca="false">IF($A1178="","",IF(OR(R1178="",N1178&lt;=0,J1178=0,J1178=""),"",(R1178/1000*12/N1178)/J1178))</f>
        <v>0.0184766584766585</v>
      </c>
      <c r="W1178" s="1" t="n">
        <f aca="false">IF($A1178="","",IF(OR(T1178="",K1178=0,K1178=""),"",T1178/K1178))</f>
        <v>0.0217391304347826</v>
      </c>
      <c r="X1178" s="1" t="n">
        <f aca="false">IF($A1178="","",IF(OR(N1178&lt;=0,I1178=0,I1178="",O1178=0),"",O1178*1000/(I1178*0.3025)/N1178))</f>
        <v>43203.7684835477</v>
      </c>
      <c r="Y1178" s="1" t="n">
        <f aca="false">IF($A1178="","",IF(OR(O1178=0,O1178="",P1178=0),"",P1178/O1178))</f>
        <v>0.494623655913979</v>
      </c>
      <c r="Z1178" s="1" t="str">
        <f aca="false">IF($A1178="","",IFERROR(INDEX(物件収支!$E:$E,MATCH($A1178,物件収支!$A:$A,0)),""))</f>
        <v>開示（物件別・費用内訳含む・百万円単位）</v>
      </c>
    </row>
    <row r="1179" customFormat="false" ht="15" hidden="false" customHeight="true" outlineLevel="0" collapsed="false">
      <c r="A1179" s="1" t="str">
        <f aca="false">IF(物件マスタ!A1179="","",物件マスタ!A1179)</f>
        <v>JRE-006</v>
      </c>
      <c r="B1179" s="1" t="str">
        <f aca="false">IF($A1179="","",物件マスタ!B1179)</f>
        <v>JRE</v>
      </c>
      <c r="C1179" s="1" t="str">
        <f aca="false">IF($A1179="","",IFERROR(INDEX(法人マスタ!$C:$C,MATCH($B1179,法人マスタ!$A:$A,0)),""))</f>
        <v>ジャパンリアルエステイト投資法人</v>
      </c>
      <c r="D1179" s="1" t="str">
        <f aca="false">IF($A1179="","",物件マスタ!C1179)</f>
        <v>二番町ガーデン</v>
      </c>
      <c r="E1179" s="1" t="str">
        <f aca="false">IF($A1179="","",物件マスタ!H1179)</f>
        <v>都心5区</v>
      </c>
      <c r="F1179" s="1" t="n">
        <f aca="false">IF($A1179="","",物件マスタ!P1179)</f>
        <v>0</v>
      </c>
      <c r="G1179" s="1" t="str">
        <f aca="false">IF($A1179="","",物件マスタ!Q1179)</f>
        <v/>
      </c>
      <c r="H1179" s="1" t="n">
        <f aca="false">IF($A1179="","",物件マスタ!L1179)</f>
        <v>0</v>
      </c>
      <c r="I1179" s="1" t="n">
        <f aca="false">IF($A1179="","",物件マスタ!M1179)</f>
        <v>9316</v>
      </c>
      <c r="J1179" s="1" t="n">
        <f aca="false">IF($A1179="","",物件マスタ!S1179)</f>
        <v>14700</v>
      </c>
      <c r="K1179" s="1" t="n">
        <f aca="false">IF($A1179="","",物件マスタ!U1179)</f>
        <v>18000</v>
      </c>
      <c r="L1179" s="1" t="n">
        <f aca="false">IF($A1179="","",物件マスタ!W1179)</f>
        <v>1</v>
      </c>
      <c r="M1179" s="1" t="str">
        <f aca="false">IF($A1179="","",IFERROR(INDEX(法人マスタ!$H:$H,MATCH($B1179,法人マスタ!$A:$A,0)),""))</f>
        <v>2026年3月期（第49期）</v>
      </c>
      <c r="N1179" s="1" t="n">
        <f aca="false">IF($A1179="","",SUMIFS(物件収支!$D:$D,物件収支!$A:$A,$A1179,物件収支!$C:$C,$M1179))</f>
        <v>6</v>
      </c>
      <c r="O1179" s="1" t="n">
        <f aca="false">IF($A1179="","",SUMIFS(物件収支!$F:$F,物件収支!$A:$A,$A1179,物件収支!$C:$C,$M1179))</f>
        <v>530000</v>
      </c>
      <c r="P1179" s="1" t="n">
        <f aca="false">IF($A1179="","",SUMIFS(物件収支!$I:$I,物件収支!$A:$A,$A1179,物件収支!$C:$C,$M1179))</f>
        <v>263000</v>
      </c>
      <c r="Q1179" s="1" t="n">
        <f aca="false">IF($A1179="","",SUMIFS(物件収支!$O:$O,物件収支!$A:$A,$A1179,物件収支!$C:$C,$M1179))</f>
        <v>64000</v>
      </c>
      <c r="R1179" s="1" t="n">
        <f aca="false">IF($A1179="","",IF(P1179=0,"",O1179-P1179))</f>
        <v>267000</v>
      </c>
      <c r="S1179" s="1" t="n">
        <f aca="false">IF($A1179="","",IF(R1179="","",R1179+Q1179))</f>
        <v>331000</v>
      </c>
      <c r="T1179" s="1" t="n">
        <f aca="false">IF($A1179="","",IF(OR(S1179="",N1179&lt;=0),"",S1179/1000*12/N1179))</f>
        <v>662</v>
      </c>
      <c r="U1179" s="1" t="n">
        <f aca="false">IF($A1179="","",IF(OR(T1179="",J1179=0,J1179=""),"",T1179/J1179))</f>
        <v>0.0450340136054422</v>
      </c>
      <c r="V1179" s="1" t="n">
        <f aca="false">IF($A1179="","",IF(OR(R1179="",N1179&lt;=0,J1179=0,J1179=""),"",(R1179/1000*12/N1179)/J1179))</f>
        <v>0.0363265306122449</v>
      </c>
      <c r="W1179" s="1" t="n">
        <f aca="false">IF($A1179="","",IF(OR(T1179="",K1179=0,K1179=""),"",T1179/K1179))</f>
        <v>0.0367777777777778</v>
      </c>
      <c r="X1179" s="1" t="n">
        <f aca="false">IF($A1179="","",IF(OR(N1179&lt;=0,I1179=0,I1179="",O1179=0),"",O1179*1000/(I1179*0.3025)/N1179))</f>
        <v>31345.1072653227</v>
      </c>
      <c r="Y1179" s="1" t="n">
        <f aca="false">IF($A1179="","",IF(OR(O1179=0,O1179="",P1179=0),"",P1179/O1179))</f>
        <v>0.49622641509434</v>
      </c>
      <c r="Z1179" s="1" t="str">
        <f aca="false">IF($A1179="","",IFERROR(INDEX(物件収支!$E:$E,MATCH($A1179,物件収支!$A:$A,0)),""))</f>
        <v>開示（物件別・費用内訳含む・百万円単位）</v>
      </c>
    </row>
    <row r="1180" customFormat="false" ht="15" hidden="false" customHeight="true" outlineLevel="0" collapsed="false">
      <c r="A1180" s="1" t="str">
        <f aca="false">IF(物件マスタ!A1180="","",物件マスタ!A1180)</f>
        <v>JRE-007</v>
      </c>
      <c r="B1180" s="1" t="str">
        <f aca="false">IF($A1180="","",物件マスタ!B1180)</f>
        <v>JRE</v>
      </c>
      <c r="C1180" s="1" t="str">
        <f aca="false">IF($A1180="","",IFERROR(INDEX(法人マスタ!$C:$C,MATCH($B1180,法人マスタ!$A:$A,0)),""))</f>
        <v>ジャパンリアルエステイト投資法人</v>
      </c>
      <c r="D1180" s="1" t="str">
        <f aca="false">IF($A1180="","",物件マスタ!C1180)</f>
        <v>三菱ＵＦＪ信託銀行本店ビル</v>
      </c>
      <c r="E1180" s="1" t="str">
        <f aca="false">IF($A1180="","",物件マスタ!H1180)</f>
        <v>都心5区</v>
      </c>
      <c r="F1180" s="1" t="n">
        <f aca="false">IF($A1180="","",物件マスタ!P1180)</f>
        <v>0</v>
      </c>
      <c r="G1180" s="1" t="str">
        <f aca="false">IF($A1180="","",物件マスタ!Q1180)</f>
        <v/>
      </c>
      <c r="H1180" s="1" t="n">
        <f aca="false">IF($A1180="","",物件マスタ!L1180)</f>
        <v>0</v>
      </c>
      <c r="I1180" s="1" t="n">
        <f aca="false">IF($A1180="","",物件マスタ!M1180)</f>
        <v>11904</v>
      </c>
      <c r="J1180" s="1" t="n">
        <f aca="false">IF($A1180="","",物件マスタ!S1180)</f>
        <v>44700</v>
      </c>
      <c r="K1180" s="1" t="n">
        <f aca="false">IF($A1180="","",物件マスタ!U1180)</f>
        <v>57700</v>
      </c>
      <c r="L1180" s="1" t="n">
        <f aca="false">IF($A1180="","",物件マスタ!W1180)</f>
        <v>1</v>
      </c>
      <c r="M1180" s="1" t="str">
        <f aca="false">IF($A1180="","",IFERROR(INDEX(法人マスタ!$H:$H,MATCH($B1180,法人マスタ!$A:$A,0)),""))</f>
        <v>2026年3月期（第49期）</v>
      </c>
      <c r="N1180" s="1" t="n">
        <f aca="false">IF($A1180="","",SUMIFS(物件収支!$D:$D,物件収支!$A:$A,$A1180,物件収支!$C:$C,$M1180))</f>
        <v>6</v>
      </c>
      <c r="O1180" s="1" t="n">
        <f aca="false">IF($A1180="","",SUMIFS(物件収支!$F:$F,物件収支!$A:$A,$A1180,物件収支!$C:$C,$M1180))</f>
        <v>997000</v>
      </c>
      <c r="P1180" s="1" t="n">
        <f aca="false">IF($A1180="","",SUMIFS(物件収支!$I:$I,物件収支!$A:$A,$A1180,物件収支!$C:$C,$M1180))</f>
        <v>455000</v>
      </c>
      <c r="Q1180" s="1" t="n">
        <f aca="false">IF($A1180="","",SUMIFS(物件収支!$O:$O,物件収支!$A:$A,$A1180,物件収支!$C:$C,$M1180))</f>
        <v>94000</v>
      </c>
      <c r="R1180" s="1" t="n">
        <f aca="false">IF($A1180="","",IF(P1180=0,"",O1180-P1180))</f>
        <v>542000</v>
      </c>
      <c r="S1180" s="1" t="n">
        <f aca="false">IF($A1180="","",IF(R1180="","",R1180+Q1180))</f>
        <v>636000</v>
      </c>
      <c r="T1180" s="1" t="n">
        <f aca="false">IF($A1180="","",IF(OR(S1180="",N1180&lt;=0),"",S1180/1000*12/N1180))</f>
        <v>1272</v>
      </c>
      <c r="U1180" s="1" t="n">
        <f aca="false">IF($A1180="","",IF(OR(T1180="",J1180=0,J1180=""),"",T1180/J1180))</f>
        <v>0.0284563758389262</v>
      </c>
      <c r="V1180" s="1" t="n">
        <f aca="false">IF($A1180="","",IF(OR(R1180="",N1180&lt;=0,J1180=0,J1180=""),"",(R1180/1000*12/N1180)/J1180))</f>
        <v>0.0242505592841163</v>
      </c>
      <c r="W1180" s="1" t="n">
        <f aca="false">IF($A1180="","",IF(OR(T1180="",K1180=0,K1180=""),"",T1180/K1180))</f>
        <v>0.0220450606585789</v>
      </c>
      <c r="X1180" s="1" t="n">
        <f aca="false">IF($A1180="","",IF(OR(N1180&lt;=0,I1180=0,I1180="",O1180=0),"",O1180*1000/(I1180*0.3025)/N1180))</f>
        <v>46145.1020468616</v>
      </c>
      <c r="Y1180" s="1" t="n">
        <f aca="false">IF($A1180="","",IF(OR(O1180=0,O1180="",P1180=0),"",P1180/O1180))</f>
        <v>0.456369107321966</v>
      </c>
      <c r="Z1180" s="1" t="str">
        <f aca="false">IF($A1180="","",IFERROR(INDEX(物件収支!$E:$E,MATCH($A1180,物件収支!$A:$A,0)),""))</f>
        <v>開示（物件別・費用内訳含む・百万円単位）</v>
      </c>
    </row>
    <row r="1181" customFormat="false" ht="15" hidden="false" customHeight="true" outlineLevel="0" collapsed="false">
      <c r="A1181" s="1" t="str">
        <f aca="false">IF(物件マスタ!A1181="","",物件マスタ!A1181)</f>
        <v>JRE-008</v>
      </c>
      <c r="B1181" s="1" t="str">
        <f aca="false">IF($A1181="","",物件マスタ!B1181)</f>
        <v>JRE</v>
      </c>
      <c r="C1181" s="1" t="str">
        <f aca="false">IF($A1181="","",IFERROR(INDEX(法人マスタ!$C:$C,MATCH($B1181,法人マスタ!$A:$A,0)),""))</f>
        <v>ジャパンリアルエステイト投資法人</v>
      </c>
      <c r="D1181" s="1" t="str">
        <f aca="false">IF($A1181="","",物件マスタ!C1181)</f>
        <v>ビュレックス麹町</v>
      </c>
      <c r="E1181" s="1" t="str">
        <f aca="false">IF($A1181="","",物件マスタ!H1181)</f>
        <v>都心5区</v>
      </c>
      <c r="F1181" s="1" t="n">
        <f aca="false">IF($A1181="","",物件マスタ!P1181)</f>
        <v>0</v>
      </c>
      <c r="G1181" s="1" t="str">
        <f aca="false">IF($A1181="","",物件マスタ!Q1181)</f>
        <v/>
      </c>
      <c r="H1181" s="1" t="n">
        <f aca="false">IF($A1181="","",物件マスタ!L1181)</f>
        <v>0</v>
      </c>
      <c r="I1181" s="1" t="n">
        <f aca="false">IF($A1181="","",物件マスタ!M1181)</f>
        <v>4495</v>
      </c>
      <c r="J1181" s="1" t="n">
        <f aca="false">IF($A1181="","",物件マスタ!S1181)</f>
        <v>7000</v>
      </c>
      <c r="K1181" s="1" t="n">
        <f aca="false">IF($A1181="","",物件マスタ!U1181)</f>
        <v>7610</v>
      </c>
      <c r="L1181" s="1" t="n">
        <f aca="false">IF($A1181="","",物件マスタ!W1181)</f>
        <v>1</v>
      </c>
      <c r="M1181" s="1" t="str">
        <f aca="false">IF($A1181="","",IFERROR(INDEX(法人マスタ!$H:$H,MATCH($B1181,法人マスタ!$A:$A,0)),""))</f>
        <v>2026年3月期（第49期）</v>
      </c>
      <c r="N1181" s="1" t="n">
        <f aca="false">IF($A1181="","",SUMIFS(物件収支!$D:$D,物件収支!$A:$A,$A1181,物件収支!$C:$C,$M1181))</f>
        <v>6</v>
      </c>
      <c r="O1181" s="1" t="n">
        <f aca="false">IF($A1181="","",SUMIFS(物件収支!$F:$F,物件収支!$A:$A,$A1181,物件収支!$C:$C,$M1181))</f>
        <v>162000</v>
      </c>
      <c r="P1181" s="1" t="n">
        <f aca="false">IF($A1181="","",SUMIFS(物件収支!$I:$I,物件収支!$A:$A,$A1181,物件収支!$C:$C,$M1181))</f>
        <v>66000</v>
      </c>
      <c r="Q1181" s="1" t="n">
        <f aca="false">IF($A1181="","",SUMIFS(物件収支!$O:$O,物件収支!$A:$A,$A1181,物件収支!$C:$C,$M1181))</f>
        <v>35000</v>
      </c>
      <c r="R1181" s="1" t="n">
        <f aca="false">IF($A1181="","",IF(P1181=0,"",O1181-P1181))</f>
        <v>96000</v>
      </c>
      <c r="S1181" s="1" t="n">
        <f aca="false">IF($A1181="","",IF(R1181="","",R1181+Q1181))</f>
        <v>131000</v>
      </c>
      <c r="T1181" s="1" t="n">
        <f aca="false">IF($A1181="","",IF(OR(S1181="",N1181&lt;=0),"",S1181/1000*12/N1181))</f>
        <v>262</v>
      </c>
      <c r="U1181" s="1" t="n">
        <f aca="false">IF($A1181="","",IF(OR(T1181="",J1181=0,J1181=""),"",T1181/J1181))</f>
        <v>0.0374285714285714</v>
      </c>
      <c r="V1181" s="1" t="n">
        <f aca="false">IF($A1181="","",IF(OR(R1181="",N1181&lt;=0,J1181=0,J1181=""),"",(R1181/1000*12/N1181)/J1181))</f>
        <v>0.0274285714285714</v>
      </c>
      <c r="W1181" s="1" t="n">
        <f aca="false">IF($A1181="","",IF(OR(T1181="",K1181=0,K1181=""),"",T1181/K1181))</f>
        <v>0.0344283837056505</v>
      </c>
      <c r="X1181" s="1" t="n">
        <f aca="false">IF($A1181="","",IF(OR(N1181&lt;=0,I1181=0,I1181="",O1181=0),"",O1181*1000/(I1181*0.3025)/N1181))</f>
        <v>19856.7738258304</v>
      </c>
      <c r="Y1181" s="1" t="n">
        <f aca="false">IF($A1181="","",IF(OR(O1181=0,O1181="",P1181=0),"",P1181/O1181))</f>
        <v>0.407407407407407</v>
      </c>
      <c r="Z1181" s="1" t="str">
        <f aca="false">IF($A1181="","",IFERROR(INDEX(物件収支!$E:$E,MATCH($A1181,物件収支!$A:$A,0)),""))</f>
        <v>開示（物件別・費用内訳含む・百万円単位）</v>
      </c>
    </row>
    <row r="1182" customFormat="false" ht="15" hidden="false" customHeight="true" outlineLevel="0" collapsed="false">
      <c r="A1182" s="1" t="str">
        <f aca="false">IF(物件マスタ!A1182="","",物件マスタ!A1182)</f>
        <v>JRE-009</v>
      </c>
      <c r="B1182" s="1" t="str">
        <f aca="false">IF($A1182="","",物件マスタ!B1182)</f>
        <v>JRE</v>
      </c>
      <c r="C1182" s="1" t="str">
        <f aca="false">IF($A1182="","",IFERROR(INDEX(法人マスタ!$C:$C,MATCH($B1182,法人マスタ!$A:$A,0)),""))</f>
        <v>ジャパンリアルエステイト投資法人</v>
      </c>
      <c r="D1182" s="1" t="str">
        <f aca="false">IF($A1182="","",物件マスタ!C1182)</f>
        <v>CIRCLES平河町</v>
      </c>
      <c r="E1182" s="1" t="str">
        <f aca="false">IF($A1182="","",物件マスタ!H1182)</f>
        <v>都心5区</v>
      </c>
      <c r="F1182" s="1" t="n">
        <f aca="false">IF($A1182="","",物件マスタ!P1182)</f>
        <v>0</v>
      </c>
      <c r="G1182" s="1" t="str">
        <f aca="false">IF($A1182="","",物件マスタ!Q1182)</f>
        <v/>
      </c>
      <c r="H1182" s="1" t="n">
        <f aca="false">IF($A1182="","",物件マスタ!L1182)</f>
        <v>0</v>
      </c>
      <c r="I1182" s="1" t="n">
        <f aca="false">IF($A1182="","",物件マスタ!M1182)</f>
        <v>979</v>
      </c>
      <c r="J1182" s="1" t="n">
        <f aca="false">IF($A1182="","",物件マスタ!S1182)</f>
        <v>1780</v>
      </c>
      <c r="K1182" s="1" t="n">
        <f aca="false">IF($A1182="","",物件マスタ!U1182)</f>
        <v>1900</v>
      </c>
      <c r="L1182" s="1" t="n">
        <f aca="false">IF($A1182="","",物件マスタ!W1182)</f>
        <v>1</v>
      </c>
      <c r="M1182" s="1" t="str">
        <f aca="false">IF($A1182="","",IFERROR(INDEX(法人マスタ!$H:$H,MATCH($B1182,法人マスタ!$A:$A,0)),""))</f>
        <v>2026年3月期（第49期）</v>
      </c>
      <c r="N1182" s="1" t="n">
        <f aca="false">IF($A1182="","",SUMIFS(物件収支!$D:$D,物件収支!$A:$A,$A1182,物件収支!$C:$C,$M1182))</f>
        <v>6</v>
      </c>
      <c r="O1182" s="1" t="n">
        <f aca="false">IF($A1182="","",SUMIFS(物件収支!$F:$F,物件収支!$A:$A,$A1182,物件収支!$C:$C,$M1182))</f>
        <v>36000</v>
      </c>
      <c r="P1182" s="1" t="n">
        <f aca="false">IF($A1182="","",SUMIFS(物件収支!$I:$I,物件収支!$A:$A,$A1182,物件収支!$C:$C,$M1182))</f>
        <v>21000</v>
      </c>
      <c r="Q1182" s="1" t="n">
        <f aca="false">IF($A1182="","",SUMIFS(物件収支!$O:$O,物件収支!$A:$A,$A1182,物件収支!$C:$C,$M1182))</f>
        <v>11000</v>
      </c>
      <c r="R1182" s="1" t="n">
        <f aca="false">IF($A1182="","",IF(P1182=0,"",O1182-P1182))</f>
        <v>15000</v>
      </c>
      <c r="S1182" s="1" t="n">
        <f aca="false">IF($A1182="","",IF(R1182="","",R1182+Q1182))</f>
        <v>26000</v>
      </c>
      <c r="T1182" s="1" t="n">
        <f aca="false">IF($A1182="","",IF(OR(S1182="",N1182&lt;=0),"",S1182/1000*12/N1182))</f>
        <v>52</v>
      </c>
      <c r="U1182" s="1" t="n">
        <f aca="false">IF($A1182="","",IF(OR(T1182="",J1182=0,J1182=""),"",T1182/J1182))</f>
        <v>0.0292134831460674</v>
      </c>
      <c r="V1182" s="1" t="n">
        <f aca="false">IF($A1182="","",IF(OR(R1182="",N1182&lt;=0,J1182=0,J1182=""),"",(R1182/1000*12/N1182)/J1182))</f>
        <v>0.0168539325842697</v>
      </c>
      <c r="W1182" s="1" t="n">
        <f aca="false">IF($A1182="","",IF(OR(T1182="",K1182=0,K1182=""),"",T1182/K1182))</f>
        <v>0.0273684210526316</v>
      </c>
      <c r="X1182" s="1" t="n">
        <f aca="false">IF($A1182="","",IF(OR(N1182&lt;=0,I1182=0,I1182="",O1182=0),"",O1182*1000/(I1182*0.3025)/N1182))</f>
        <v>20260.1744063347</v>
      </c>
      <c r="Y1182" s="1" t="n">
        <f aca="false">IF($A1182="","",IF(OR(O1182=0,O1182="",P1182=0),"",P1182/O1182))</f>
        <v>0.583333333333333</v>
      </c>
      <c r="Z1182" s="1" t="str">
        <f aca="false">IF($A1182="","",IFERROR(INDEX(物件収支!$E:$E,MATCH($A1182,物件収支!$A:$A,0)),""))</f>
        <v>開示（物件別・費用内訳含む・百万円単位）</v>
      </c>
    </row>
    <row r="1183" customFormat="false" ht="15" hidden="false" customHeight="true" outlineLevel="0" collapsed="false">
      <c r="A1183" s="1" t="str">
        <f aca="false">IF(物件マスタ!A1183="","",物件マスタ!A1183)</f>
        <v>JRE-010</v>
      </c>
      <c r="B1183" s="1" t="str">
        <f aca="false">IF($A1183="","",物件マスタ!B1183)</f>
        <v>JRE</v>
      </c>
      <c r="C1183" s="1" t="str">
        <f aca="false">IF($A1183="","",IFERROR(INDEX(法人マスタ!$C:$C,MATCH($B1183,法人マスタ!$A:$A,0)),""))</f>
        <v>ジャパンリアルエステイト投資法人</v>
      </c>
      <c r="D1183" s="1" t="str">
        <f aca="false">IF($A1183="","",物件マスタ!C1183)</f>
        <v>山王グランドビル</v>
      </c>
      <c r="E1183" s="1" t="str">
        <f aca="false">IF($A1183="","",物件マスタ!H1183)</f>
        <v>都心5区</v>
      </c>
      <c r="F1183" s="1" t="n">
        <f aca="false">IF($A1183="","",物件マスタ!P1183)</f>
        <v>0</v>
      </c>
      <c r="G1183" s="1" t="str">
        <f aca="false">IF($A1183="","",物件マスタ!Q1183)</f>
        <v/>
      </c>
      <c r="H1183" s="1" t="n">
        <f aca="false">IF($A1183="","",物件マスタ!L1183)</f>
        <v>0</v>
      </c>
      <c r="I1183" s="1" t="n">
        <f aca="false">IF($A1183="","",物件マスタ!M1183)</f>
        <v>19896</v>
      </c>
      <c r="J1183" s="1" t="n">
        <f aca="false">IF($A1183="","",物件マスタ!S1183)</f>
        <v>20900</v>
      </c>
      <c r="K1183" s="1" t="n">
        <f aca="false">IF($A1183="","",物件マスタ!U1183)</f>
        <v>23100</v>
      </c>
      <c r="L1183" s="1" t="n">
        <f aca="false">IF($A1183="","",物件マスタ!W1183)</f>
        <v>0.952</v>
      </c>
      <c r="M1183" s="1" t="str">
        <f aca="false">IF($A1183="","",IFERROR(INDEX(法人マスタ!$H:$H,MATCH($B1183,法人マスタ!$A:$A,0)),""))</f>
        <v>2026年3月期（第49期）</v>
      </c>
      <c r="N1183" s="1" t="n">
        <f aca="false">IF($A1183="","",SUMIFS(物件収支!$D:$D,物件収支!$A:$A,$A1183,物件収支!$C:$C,$M1183))</f>
        <v>6</v>
      </c>
      <c r="O1183" s="1" t="n">
        <f aca="false">IF($A1183="","",SUMIFS(物件収支!$F:$F,物件収支!$A:$A,$A1183,物件収支!$C:$C,$M1183))</f>
        <v>647000</v>
      </c>
      <c r="P1183" s="1" t="n">
        <f aca="false">IF($A1183="","",SUMIFS(物件収支!$I:$I,物件収支!$A:$A,$A1183,物件収支!$C:$C,$M1183))</f>
        <v>532000</v>
      </c>
      <c r="Q1183" s="1" t="n">
        <f aca="false">IF($A1183="","",SUMIFS(物件収支!$O:$O,物件収支!$A:$A,$A1183,物件収支!$C:$C,$M1183))</f>
        <v>56000</v>
      </c>
      <c r="R1183" s="1" t="n">
        <f aca="false">IF($A1183="","",IF(P1183=0,"",O1183-P1183))</f>
        <v>115000</v>
      </c>
      <c r="S1183" s="1" t="n">
        <f aca="false">IF($A1183="","",IF(R1183="","",R1183+Q1183))</f>
        <v>171000</v>
      </c>
      <c r="T1183" s="1" t="n">
        <f aca="false">IF($A1183="","",IF(OR(S1183="",N1183&lt;=0),"",S1183/1000*12/N1183))</f>
        <v>342</v>
      </c>
      <c r="U1183" s="1" t="n">
        <f aca="false">IF($A1183="","",IF(OR(T1183="",J1183=0,J1183=""),"",T1183/J1183))</f>
        <v>0.0163636363636364</v>
      </c>
      <c r="V1183" s="1" t="n">
        <f aca="false">IF($A1183="","",IF(OR(R1183="",N1183&lt;=0,J1183=0,J1183=""),"",(R1183/1000*12/N1183)/J1183))</f>
        <v>0.0110047846889952</v>
      </c>
      <c r="W1183" s="1" t="n">
        <f aca="false">IF($A1183="","",IF(OR(T1183="",K1183=0,K1183=""),"",T1183/K1183))</f>
        <v>0.0148051948051948</v>
      </c>
      <c r="X1183" s="1" t="n">
        <f aca="false">IF($A1183="","",IF(OR(N1183&lt;=0,I1183=0,I1183="",O1183=0),"",O1183*1000/(I1183*0.3025)/N1183))</f>
        <v>17916.8591275182</v>
      </c>
      <c r="Y1183" s="1" t="n">
        <f aca="false">IF($A1183="","",IF(OR(O1183=0,O1183="",P1183=0),"",P1183/O1183))</f>
        <v>0.82225656877898</v>
      </c>
      <c r="Z1183" s="1" t="str">
        <f aca="false">IF($A1183="","",IFERROR(INDEX(物件収支!$E:$E,MATCH($A1183,物件収支!$A:$A,0)),""))</f>
        <v>開示（物件別・費用内訳含む・百万円単位）</v>
      </c>
    </row>
    <row r="1184" customFormat="false" ht="15" hidden="false" customHeight="true" outlineLevel="0" collapsed="false">
      <c r="A1184" s="1" t="str">
        <f aca="false">IF(物件マスタ!A1184="","",物件マスタ!A1184)</f>
        <v>JRE-011</v>
      </c>
      <c r="B1184" s="1" t="str">
        <f aca="false">IF($A1184="","",物件マスタ!B1184)</f>
        <v>JRE</v>
      </c>
      <c r="C1184" s="1" t="str">
        <f aca="false">IF($A1184="","",IFERROR(INDEX(法人マスタ!$C:$C,MATCH($B1184,法人マスタ!$A:$A,0)),""))</f>
        <v>ジャパンリアルエステイト投資法人</v>
      </c>
      <c r="D1184" s="1" t="str">
        <f aca="false">IF($A1184="","",物件マスタ!C1184)</f>
        <v>有楽町電気ビルヂング</v>
      </c>
      <c r="E1184" s="1" t="str">
        <f aca="false">IF($A1184="","",物件マスタ!H1184)</f>
        <v>都心5区</v>
      </c>
      <c r="F1184" s="1" t="n">
        <f aca="false">IF($A1184="","",物件マスタ!P1184)</f>
        <v>0</v>
      </c>
      <c r="G1184" s="1" t="str">
        <f aca="false">IF($A1184="","",物件マスタ!Q1184)</f>
        <v/>
      </c>
      <c r="H1184" s="1" t="n">
        <f aca="false">IF($A1184="","",物件マスタ!L1184)</f>
        <v>0</v>
      </c>
      <c r="I1184" s="1" t="n">
        <f aca="false">IF($A1184="","",物件マスタ!M1184)</f>
        <v>4697</v>
      </c>
      <c r="J1184" s="1" t="n">
        <f aca="false">IF($A1184="","",物件マスタ!S1184)</f>
        <v>7200</v>
      </c>
      <c r="K1184" s="1" t="n">
        <f aca="false">IF($A1184="","",物件マスタ!U1184)</f>
        <v>9940</v>
      </c>
      <c r="L1184" s="1" t="n">
        <f aca="false">IF($A1184="","",物件マスタ!W1184)</f>
        <v>1</v>
      </c>
      <c r="M1184" s="1" t="str">
        <f aca="false">IF($A1184="","",IFERROR(INDEX(法人マスタ!$H:$H,MATCH($B1184,法人マスタ!$A:$A,0)),""))</f>
        <v>2026年3月期（第49期）</v>
      </c>
      <c r="N1184" s="1" t="n">
        <f aca="false">IF($A1184="","",SUMIFS(物件収支!$D:$D,物件収支!$A:$A,$A1184,物件収支!$C:$C,$M1184))</f>
        <v>6</v>
      </c>
      <c r="O1184" s="1" t="n">
        <f aca="false">IF($A1184="","",SUMIFS(物件収支!$F:$F,物件収支!$A:$A,$A1184,物件収支!$C:$C,$M1184))</f>
        <v>290000</v>
      </c>
      <c r="P1184" s="1" t="n">
        <f aca="false">IF($A1184="","",SUMIFS(物件収支!$I:$I,物件収支!$A:$A,$A1184,物件収支!$C:$C,$M1184))</f>
        <v>142000</v>
      </c>
      <c r="Q1184" s="1" t="n">
        <f aca="false">IF($A1184="","",SUMIFS(物件収支!$O:$O,物件収支!$A:$A,$A1184,物件収支!$C:$C,$M1184))</f>
        <v>19000</v>
      </c>
      <c r="R1184" s="1" t="n">
        <f aca="false">IF($A1184="","",IF(P1184=0,"",O1184-P1184))</f>
        <v>148000</v>
      </c>
      <c r="S1184" s="1" t="n">
        <f aca="false">IF($A1184="","",IF(R1184="","",R1184+Q1184))</f>
        <v>167000</v>
      </c>
      <c r="T1184" s="1" t="n">
        <f aca="false">IF($A1184="","",IF(OR(S1184="",N1184&lt;=0),"",S1184/1000*12/N1184))</f>
        <v>334</v>
      </c>
      <c r="U1184" s="1" t="n">
        <f aca="false">IF($A1184="","",IF(OR(T1184="",J1184=0,J1184=""),"",T1184/J1184))</f>
        <v>0.0463888888888889</v>
      </c>
      <c r="V1184" s="1" t="n">
        <f aca="false">IF($A1184="","",IF(OR(R1184="",N1184&lt;=0,J1184=0,J1184=""),"",(R1184/1000*12/N1184)/J1184))</f>
        <v>0.0411111111111111</v>
      </c>
      <c r="W1184" s="1" t="n">
        <f aca="false">IF($A1184="","",IF(OR(T1184="",K1184=0,K1184=""),"",T1184/K1184))</f>
        <v>0.0336016096579477</v>
      </c>
      <c r="X1184" s="1" t="n">
        <f aca="false">IF($A1184="","",IF(OR(N1184&lt;=0,I1184=0,I1184="",O1184=0),"",O1184*1000/(I1184*0.3025)/N1184))</f>
        <v>34017.375840977</v>
      </c>
      <c r="Y1184" s="1" t="n">
        <f aca="false">IF($A1184="","",IF(OR(O1184=0,O1184="",P1184=0),"",P1184/O1184))</f>
        <v>0.489655172413793</v>
      </c>
      <c r="Z1184" s="1" t="str">
        <f aca="false">IF($A1184="","",IFERROR(INDEX(物件収支!$E:$E,MATCH($A1184,物件収支!$A:$A,0)),""))</f>
        <v>開示（物件別・費用内訳含む・百万円単位）</v>
      </c>
    </row>
    <row r="1185" customFormat="false" ht="15" hidden="false" customHeight="true" outlineLevel="0" collapsed="false">
      <c r="A1185" s="1" t="str">
        <f aca="false">IF(物件マスタ!A1185="","",物件マスタ!A1185)</f>
        <v>JRE-012</v>
      </c>
      <c r="B1185" s="1" t="str">
        <f aca="false">IF($A1185="","",物件マスタ!B1185)</f>
        <v>JRE</v>
      </c>
      <c r="C1185" s="1" t="str">
        <f aca="false">IF($A1185="","",IFERROR(INDEX(法人マスタ!$C:$C,MATCH($B1185,法人マスタ!$A:$A,0)),""))</f>
        <v>ジャパンリアルエステイト投資法人</v>
      </c>
      <c r="D1185" s="1" t="str">
        <f aca="false">IF($A1185="","",物件マスタ!C1185)</f>
        <v>フロントプレイス日本橋</v>
      </c>
      <c r="E1185" s="1" t="str">
        <f aca="false">IF($A1185="","",物件マスタ!H1185)</f>
        <v>都心5区</v>
      </c>
      <c r="F1185" s="1" t="n">
        <f aca="false">IF($A1185="","",物件マスタ!P1185)</f>
        <v>0</v>
      </c>
      <c r="G1185" s="1" t="str">
        <f aca="false">IF($A1185="","",物件マスタ!Q1185)</f>
        <v/>
      </c>
      <c r="H1185" s="1" t="n">
        <f aca="false">IF($A1185="","",物件マスタ!L1185)</f>
        <v>0</v>
      </c>
      <c r="I1185" s="1" t="n">
        <f aca="false">IF($A1185="","",物件マスタ!M1185)</f>
        <v>8468</v>
      </c>
      <c r="J1185" s="1" t="n">
        <f aca="false">IF($A1185="","",物件マスタ!S1185)</f>
        <v>17560</v>
      </c>
      <c r="K1185" s="1" t="n">
        <f aca="false">IF($A1185="","",物件マスタ!U1185)</f>
        <v>22200</v>
      </c>
      <c r="L1185" s="1" t="n">
        <f aca="false">IF($A1185="","",物件マスタ!W1185)</f>
        <v>1</v>
      </c>
      <c r="M1185" s="1" t="str">
        <f aca="false">IF($A1185="","",IFERROR(INDEX(法人マスタ!$H:$H,MATCH($B1185,法人マスタ!$A:$A,0)),""))</f>
        <v>2026年3月期（第49期）</v>
      </c>
      <c r="N1185" s="1" t="n">
        <f aca="false">IF($A1185="","",SUMIFS(物件収支!$D:$D,物件収支!$A:$A,$A1185,物件収支!$C:$C,$M1185))</f>
        <v>6</v>
      </c>
      <c r="O1185" s="1" t="n">
        <f aca="false">IF($A1185="","",SUMIFS(物件収支!$F:$F,物件収支!$A:$A,$A1185,物件収支!$C:$C,$M1185))</f>
        <v>422000</v>
      </c>
      <c r="P1185" s="1" t="n">
        <f aca="false">IF($A1185="","",SUMIFS(物件収支!$I:$I,物件収支!$A:$A,$A1185,物件収支!$C:$C,$M1185))</f>
        <v>176000</v>
      </c>
      <c r="Q1185" s="1" t="n">
        <f aca="false">IF($A1185="","",SUMIFS(物件収支!$O:$O,物件収支!$A:$A,$A1185,物件収支!$C:$C,$M1185))</f>
        <v>50000</v>
      </c>
      <c r="R1185" s="1" t="n">
        <f aca="false">IF($A1185="","",IF(P1185=0,"",O1185-P1185))</f>
        <v>246000</v>
      </c>
      <c r="S1185" s="1" t="n">
        <f aca="false">IF($A1185="","",IF(R1185="","",R1185+Q1185))</f>
        <v>296000</v>
      </c>
      <c r="T1185" s="1" t="n">
        <f aca="false">IF($A1185="","",IF(OR(S1185="",N1185&lt;=0),"",S1185/1000*12/N1185))</f>
        <v>592</v>
      </c>
      <c r="U1185" s="1" t="n">
        <f aca="false">IF($A1185="","",IF(OR(T1185="",J1185=0,J1185=""),"",T1185/J1185))</f>
        <v>0.0337129840546697</v>
      </c>
      <c r="V1185" s="1" t="n">
        <f aca="false">IF($A1185="","",IF(OR(R1185="",N1185&lt;=0,J1185=0,J1185=""),"",(R1185/1000*12/N1185)/J1185))</f>
        <v>0.0280182232346241</v>
      </c>
      <c r="W1185" s="1" t="n">
        <f aca="false">IF($A1185="","",IF(OR(T1185="",K1185=0,K1185=""),"",T1185/K1185))</f>
        <v>0.0266666666666667</v>
      </c>
      <c r="X1185" s="1" t="n">
        <f aca="false">IF($A1185="","",IF(OR(N1185&lt;=0,I1185=0,I1185="",O1185=0),"",O1185*1000/(I1185*0.3025)/N1185))</f>
        <v>27457.1193968283</v>
      </c>
      <c r="Y1185" s="1" t="n">
        <f aca="false">IF($A1185="","",IF(OR(O1185=0,O1185="",P1185=0),"",P1185/O1185))</f>
        <v>0.417061611374408</v>
      </c>
      <c r="Z1185" s="1" t="str">
        <f aca="false">IF($A1185="","",IFERROR(INDEX(物件収支!$E:$E,MATCH($A1185,物件収支!$A:$A,0)),""))</f>
        <v>開示（物件別・費用内訳含む・百万円単位）</v>
      </c>
    </row>
    <row r="1186" customFormat="false" ht="15" hidden="false" customHeight="true" outlineLevel="0" collapsed="false">
      <c r="A1186" s="1" t="str">
        <f aca="false">IF(物件マスタ!A1186="","",物件マスタ!A1186)</f>
        <v>JRE-013</v>
      </c>
      <c r="B1186" s="1" t="str">
        <f aca="false">IF($A1186="","",物件マスタ!B1186)</f>
        <v>JRE</v>
      </c>
      <c r="C1186" s="1" t="str">
        <f aca="false">IF($A1186="","",IFERROR(INDEX(法人マスタ!$C:$C,MATCH($B1186,法人マスタ!$A:$A,0)),""))</f>
        <v>ジャパンリアルエステイト投資法人</v>
      </c>
      <c r="D1186" s="1" t="str">
        <f aca="false">IF($A1186="","",物件マスタ!C1186)</f>
        <v>ＪＲＥ茅場町二丁目ビル</v>
      </c>
      <c r="E1186" s="1" t="str">
        <f aca="false">IF($A1186="","",物件マスタ!H1186)</f>
        <v>都心5区</v>
      </c>
      <c r="F1186" s="1" t="n">
        <f aca="false">IF($A1186="","",物件マスタ!P1186)</f>
        <v>0</v>
      </c>
      <c r="G1186" s="1" t="str">
        <f aca="false">IF($A1186="","",物件マスタ!Q1186)</f>
        <v/>
      </c>
      <c r="H1186" s="1" t="n">
        <f aca="false">IF($A1186="","",物件マスタ!L1186)</f>
        <v>0</v>
      </c>
      <c r="I1186" s="1" t="n">
        <f aca="false">IF($A1186="","",物件マスタ!M1186)</f>
        <v>4419</v>
      </c>
      <c r="J1186" s="1" t="n">
        <f aca="false">IF($A1186="","",物件マスタ!S1186)</f>
        <v>4410</v>
      </c>
      <c r="K1186" s="1" t="n">
        <f aca="false">IF($A1186="","",物件マスタ!U1186)</f>
        <v>5160</v>
      </c>
      <c r="L1186" s="1" t="n">
        <f aca="false">IF($A1186="","",物件マスタ!W1186)</f>
        <v>0.931</v>
      </c>
      <c r="M1186" s="1" t="str">
        <f aca="false">IF($A1186="","",IFERROR(INDEX(法人マスタ!$H:$H,MATCH($B1186,法人マスタ!$A:$A,0)),""))</f>
        <v>2026年3月期（第49期）</v>
      </c>
      <c r="N1186" s="1" t="n">
        <f aca="false">IF($A1186="","",SUMIFS(物件収支!$D:$D,物件収支!$A:$A,$A1186,物件収支!$C:$C,$M1186))</f>
        <v>6</v>
      </c>
      <c r="O1186" s="1" t="n">
        <f aca="false">IF($A1186="","",SUMIFS(物件収支!$F:$F,物件収支!$A:$A,$A1186,物件収支!$C:$C,$M1186))</f>
        <v>151000</v>
      </c>
      <c r="P1186" s="1" t="n">
        <f aca="false">IF($A1186="","",SUMIFS(物件収支!$I:$I,物件収支!$A:$A,$A1186,物件収支!$C:$C,$M1186))</f>
        <v>56000</v>
      </c>
      <c r="Q1186" s="1" t="n">
        <f aca="false">IF($A1186="","",SUMIFS(物件収支!$O:$O,物件収支!$A:$A,$A1186,物件収支!$C:$C,$M1186))</f>
        <v>16000</v>
      </c>
      <c r="R1186" s="1" t="n">
        <f aca="false">IF($A1186="","",IF(P1186=0,"",O1186-P1186))</f>
        <v>95000</v>
      </c>
      <c r="S1186" s="1" t="n">
        <f aca="false">IF($A1186="","",IF(R1186="","",R1186+Q1186))</f>
        <v>111000</v>
      </c>
      <c r="T1186" s="1" t="n">
        <f aca="false">IF($A1186="","",IF(OR(S1186="",N1186&lt;=0),"",S1186/1000*12/N1186))</f>
        <v>222</v>
      </c>
      <c r="U1186" s="1" t="n">
        <f aca="false">IF($A1186="","",IF(OR(T1186="",J1186=0,J1186=""),"",T1186/J1186))</f>
        <v>0.0503401360544218</v>
      </c>
      <c r="V1186" s="1" t="n">
        <f aca="false">IF($A1186="","",IF(OR(R1186="",N1186&lt;=0,J1186=0,J1186=""),"",(R1186/1000*12/N1186)/J1186))</f>
        <v>0.0430839002267574</v>
      </c>
      <c r="W1186" s="1" t="n">
        <f aca="false">IF($A1186="","",IF(OR(T1186="",K1186=0,K1186=""),"",T1186/K1186))</f>
        <v>0.0430232558139535</v>
      </c>
      <c r="X1186" s="1" t="n">
        <f aca="false">IF($A1186="","",IF(OR(N1186&lt;=0,I1186=0,I1186="",O1186=0),"",O1186*1000/(I1186*0.3025)/N1186))</f>
        <v>18826.7916466398</v>
      </c>
      <c r="Y1186" s="1" t="n">
        <f aca="false">IF($A1186="","",IF(OR(O1186=0,O1186="",P1186=0),"",P1186/O1186))</f>
        <v>0.370860927152318</v>
      </c>
      <c r="Z1186" s="1" t="str">
        <f aca="false">IF($A1186="","",IFERROR(INDEX(物件収支!$E:$E,MATCH($A1186,物件収支!$A:$A,0)),""))</f>
        <v>開示（物件別・費用内訳含む・百万円単位）</v>
      </c>
    </row>
    <row r="1187" customFormat="false" ht="15" hidden="false" customHeight="true" outlineLevel="0" collapsed="false">
      <c r="A1187" s="1" t="str">
        <f aca="false">IF(物件マスタ!A1187="","",物件マスタ!A1187)</f>
        <v>JRE-014</v>
      </c>
      <c r="B1187" s="1" t="str">
        <f aca="false">IF($A1187="","",物件マスタ!B1187)</f>
        <v>JRE</v>
      </c>
      <c r="C1187" s="1" t="str">
        <f aca="false">IF($A1187="","",IFERROR(INDEX(法人マスタ!$C:$C,MATCH($B1187,法人マスタ!$A:$A,0)),""))</f>
        <v>ジャパンリアルエステイト投資法人</v>
      </c>
      <c r="D1187" s="1" t="str">
        <f aca="false">IF($A1187="","",物件マスタ!C1187)</f>
        <v>ビュレックス京橋</v>
      </c>
      <c r="E1187" s="1" t="str">
        <f aca="false">IF($A1187="","",物件マスタ!H1187)</f>
        <v>都心5区</v>
      </c>
      <c r="F1187" s="1" t="n">
        <f aca="false">IF($A1187="","",物件マスタ!P1187)</f>
        <v>0</v>
      </c>
      <c r="G1187" s="1" t="str">
        <f aca="false">IF($A1187="","",物件マスタ!Q1187)</f>
        <v/>
      </c>
      <c r="H1187" s="1" t="n">
        <f aca="false">IF($A1187="","",物件マスタ!L1187)</f>
        <v>0</v>
      </c>
      <c r="I1187" s="1" t="n">
        <f aca="false">IF($A1187="","",物件マスタ!M1187)</f>
        <v>4279</v>
      </c>
      <c r="J1187" s="1" t="n">
        <f aca="false">IF($A1187="","",物件マスタ!S1187)</f>
        <v>5250</v>
      </c>
      <c r="K1187" s="1" t="n">
        <f aca="false">IF($A1187="","",物件マスタ!U1187)</f>
        <v>8920</v>
      </c>
      <c r="L1187" s="1" t="n">
        <f aca="false">IF($A1187="","",物件マスタ!W1187)</f>
        <v>1</v>
      </c>
      <c r="M1187" s="1" t="str">
        <f aca="false">IF($A1187="","",IFERROR(INDEX(法人マスタ!$H:$H,MATCH($B1187,法人マスタ!$A:$A,0)),""))</f>
        <v>2026年3月期（第49期）</v>
      </c>
      <c r="N1187" s="1" t="n">
        <f aca="false">IF($A1187="","",SUMIFS(物件収支!$D:$D,物件収支!$A:$A,$A1187,物件収支!$C:$C,$M1187))</f>
        <v>6</v>
      </c>
      <c r="O1187" s="1" t="n">
        <f aca="false">IF($A1187="","",SUMIFS(物件収支!$F:$F,物件収支!$A:$A,$A1187,物件収支!$C:$C,$M1187))</f>
        <v>165000</v>
      </c>
      <c r="P1187" s="1" t="n">
        <f aca="false">IF($A1187="","",SUMIFS(物件収支!$I:$I,物件収支!$A:$A,$A1187,物件収支!$C:$C,$M1187))</f>
        <v>46000</v>
      </c>
      <c r="Q1187" s="1" t="n">
        <f aca="false">IF($A1187="","",SUMIFS(物件収支!$O:$O,物件収支!$A:$A,$A1187,物件収支!$C:$C,$M1187))</f>
        <v>29000</v>
      </c>
      <c r="R1187" s="1" t="n">
        <f aca="false">IF($A1187="","",IF(P1187=0,"",O1187-P1187))</f>
        <v>119000</v>
      </c>
      <c r="S1187" s="1" t="n">
        <f aca="false">IF($A1187="","",IF(R1187="","",R1187+Q1187))</f>
        <v>148000</v>
      </c>
      <c r="T1187" s="1" t="n">
        <f aca="false">IF($A1187="","",IF(OR(S1187="",N1187&lt;=0),"",S1187/1000*12/N1187))</f>
        <v>296</v>
      </c>
      <c r="U1187" s="1" t="n">
        <f aca="false">IF($A1187="","",IF(OR(T1187="",J1187=0,J1187=""),"",T1187/J1187))</f>
        <v>0.0563809523809524</v>
      </c>
      <c r="V1187" s="1" t="n">
        <f aca="false">IF($A1187="","",IF(OR(R1187="",N1187&lt;=0,J1187=0,J1187=""),"",(R1187/1000*12/N1187)/J1187))</f>
        <v>0.0453333333333333</v>
      </c>
      <c r="W1187" s="1" t="n">
        <f aca="false">IF($A1187="","",IF(OR(T1187="",K1187=0,K1187=""),"",T1187/K1187))</f>
        <v>0.0331838565022422</v>
      </c>
      <c r="X1187" s="1" t="n">
        <f aca="false">IF($A1187="","",IF(OR(N1187&lt;=0,I1187=0,I1187="",O1187=0),"",O1187*1000/(I1187*0.3025)/N1187))</f>
        <v>21245.4056810215</v>
      </c>
      <c r="Y1187" s="1" t="n">
        <f aca="false">IF($A1187="","",IF(OR(O1187=0,O1187="",P1187=0),"",P1187/O1187))</f>
        <v>0.278787878787879</v>
      </c>
      <c r="Z1187" s="1" t="str">
        <f aca="false">IF($A1187="","",IFERROR(INDEX(物件収支!$E:$E,MATCH($A1187,物件収支!$A:$A,0)),""))</f>
        <v>開示（物件別・費用内訳含む・百万円単位）</v>
      </c>
    </row>
    <row r="1188" customFormat="false" ht="15" hidden="false" customHeight="true" outlineLevel="0" collapsed="false">
      <c r="A1188" s="1" t="str">
        <f aca="false">IF(物件マスタ!A1188="","",物件マスタ!A1188)</f>
        <v>JRE-015</v>
      </c>
      <c r="B1188" s="1" t="str">
        <f aca="false">IF($A1188="","",物件マスタ!B1188)</f>
        <v>JRE</v>
      </c>
      <c r="C1188" s="1" t="str">
        <f aca="false">IF($A1188="","",IFERROR(INDEX(法人マスタ!$C:$C,MATCH($B1188,法人マスタ!$A:$A,0)),""))</f>
        <v>ジャパンリアルエステイト投資法人</v>
      </c>
      <c r="D1188" s="1" t="str">
        <f aca="false">IF($A1188="","",物件マスタ!C1188)</f>
        <v>ＪＲＥ銀座一丁目イーストビル</v>
      </c>
      <c r="E1188" s="1" t="str">
        <f aca="false">IF($A1188="","",物件マスタ!H1188)</f>
        <v>都心5区</v>
      </c>
      <c r="F1188" s="1" t="n">
        <f aca="false">IF($A1188="","",物件マスタ!P1188)</f>
        <v>0</v>
      </c>
      <c r="G1188" s="1" t="str">
        <f aca="false">IF($A1188="","",物件マスタ!Q1188)</f>
        <v/>
      </c>
      <c r="H1188" s="1" t="n">
        <f aca="false">IF($A1188="","",物件マスタ!L1188)</f>
        <v>0</v>
      </c>
      <c r="I1188" s="1" t="n">
        <f aca="false">IF($A1188="","",物件マスタ!M1188)</f>
        <v>4513</v>
      </c>
      <c r="J1188" s="1" t="n">
        <f aca="false">IF($A1188="","",物件マスタ!S1188)</f>
        <v>6459</v>
      </c>
      <c r="K1188" s="1" t="n">
        <f aca="false">IF($A1188="","",物件マスタ!U1188)</f>
        <v>8910</v>
      </c>
      <c r="L1188" s="1" t="n">
        <f aca="false">IF($A1188="","",物件マスタ!W1188)</f>
        <v>1</v>
      </c>
      <c r="M1188" s="1" t="str">
        <f aca="false">IF($A1188="","",IFERROR(INDEX(法人マスタ!$H:$H,MATCH($B1188,法人マスタ!$A:$A,0)),""))</f>
        <v>2026年3月期（第49期）</v>
      </c>
      <c r="N1188" s="1" t="n">
        <f aca="false">IF($A1188="","",SUMIFS(物件収支!$D:$D,物件収支!$A:$A,$A1188,物件収支!$C:$C,$M1188))</f>
        <v>6</v>
      </c>
      <c r="O1188" s="1" t="n">
        <f aca="false">IF($A1188="","",SUMIFS(物件収支!$F:$F,物件収支!$A:$A,$A1188,物件収支!$C:$C,$M1188))</f>
        <v>196000</v>
      </c>
      <c r="P1188" s="1" t="n">
        <f aca="false">IF($A1188="","",SUMIFS(物件収支!$I:$I,物件収支!$A:$A,$A1188,物件収支!$C:$C,$M1188))</f>
        <v>80000</v>
      </c>
      <c r="Q1188" s="1" t="n">
        <f aca="false">IF($A1188="","",SUMIFS(物件収支!$O:$O,物件収支!$A:$A,$A1188,物件収支!$C:$C,$M1188))</f>
        <v>31000</v>
      </c>
      <c r="R1188" s="1" t="n">
        <f aca="false">IF($A1188="","",IF(P1188=0,"",O1188-P1188))</f>
        <v>116000</v>
      </c>
      <c r="S1188" s="1" t="n">
        <f aca="false">IF($A1188="","",IF(R1188="","",R1188+Q1188))</f>
        <v>147000</v>
      </c>
      <c r="T1188" s="1" t="n">
        <f aca="false">IF($A1188="","",IF(OR(S1188="",N1188&lt;=0),"",S1188/1000*12/N1188))</f>
        <v>294</v>
      </c>
      <c r="U1188" s="1" t="n">
        <f aca="false">IF($A1188="","",IF(OR(T1188="",J1188=0,J1188=""),"",T1188/J1188))</f>
        <v>0.0455178820250813</v>
      </c>
      <c r="V1188" s="1" t="n">
        <f aca="false">IF($A1188="","",IF(OR(R1188="",N1188&lt;=0,J1188=0,J1188=""),"",(R1188/1000*12/N1188)/J1188))</f>
        <v>0.0359188728905403</v>
      </c>
      <c r="W1188" s="1" t="n">
        <f aca="false">IF($A1188="","",IF(OR(T1188="",K1188=0,K1188=""),"",T1188/K1188))</f>
        <v>0.032996632996633</v>
      </c>
      <c r="X1188" s="1" t="n">
        <f aca="false">IF($A1188="","",IF(OR(N1188&lt;=0,I1188=0,I1188="",O1188=0),"",O1188*1000/(I1188*0.3025)/N1188))</f>
        <v>23928.4247100052</v>
      </c>
      <c r="Y1188" s="1" t="n">
        <f aca="false">IF($A1188="","",IF(OR(O1188=0,O1188="",P1188=0),"",P1188/O1188))</f>
        <v>0.408163265306122</v>
      </c>
      <c r="Z1188" s="1" t="str">
        <f aca="false">IF($A1188="","",IFERROR(INDEX(物件収支!$E:$E,MATCH($A1188,物件収支!$A:$A,0)),""))</f>
        <v>開示（物件別・費用内訳含む・百万円単位）</v>
      </c>
    </row>
    <row r="1189" customFormat="false" ht="15" hidden="false" customHeight="true" outlineLevel="0" collapsed="false">
      <c r="A1189" s="1" t="str">
        <f aca="false">IF(物件マスタ!A1189="","",物件マスタ!A1189)</f>
        <v>JRE-016</v>
      </c>
      <c r="B1189" s="1" t="str">
        <f aca="false">IF($A1189="","",物件マスタ!B1189)</f>
        <v>JRE</v>
      </c>
      <c r="C1189" s="1" t="str">
        <f aca="false">IF($A1189="","",IFERROR(INDEX(法人マスタ!$C:$C,MATCH($B1189,法人マスタ!$A:$A,0)),""))</f>
        <v>ジャパンリアルエステイト投資法人</v>
      </c>
      <c r="D1189" s="1" t="str">
        <f aca="false">IF($A1189="","",物件マスタ!C1189)</f>
        <v>銀座三和ビル</v>
      </c>
      <c r="E1189" s="1" t="str">
        <f aca="false">IF($A1189="","",物件マスタ!H1189)</f>
        <v>都心5区</v>
      </c>
      <c r="F1189" s="1" t="n">
        <f aca="false">IF($A1189="","",物件マスタ!P1189)</f>
        <v>0</v>
      </c>
      <c r="G1189" s="1" t="str">
        <f aca="false">IF($A1189="","",物件マスタ!Q1189)</f>
        <v/>
      </c>
      <c r="H1189" s="1" t="n">
        <f aca="false">IF($A1189="","",物件マスタ!L1189)</f>
        <v>0</v>
      </c>
      <c r="I1189" s="1" t="n">
        <f aca="false">IF($A1189="","",物件マスタ!M1189)</f>
        <v>4266</v>
      </c>
      <c r="J1189" s="1" t="n">
        <f aca="false">IF($A1189="","",物件マスタ!S1189)</f>
        <v>16830</v>
      </c>
      <c r="K1189" s="1" t="n">
        <f aca="false">IF($A1189="","",物件マスタ!U1189)</f>
        <v>27300</v>
      </c>
      <c r="L1189" s="1" t="n">
        <f aca="false">IF($A1189="","",物件マスタ!W1189)</f>
        <v>1</v>
      </c>
      <c r="M1189" s="1" t="str">
        <f aca="false">IF($A1189="","",IFERROR(INDEX(法人マスタ!$H:$H,MATCH($B1189,法人マスタ!$A:$A,0)),""))</f>
        <v>2026年3月期（第49期）</v>
      </c>
      <c r="N1189" s="1" t="n">
        <f aca="false">IF($A1189="","",SUMIFS(物件収支!$D:$D,物件収支!$A:$A,$A1189,物件収支!$C:$C,$M1189))</f>
        <v>6</v>
      </c>
      <c r="O1189" s="1" t="n">
        <f aca="false">IF($A1189="","",SUMIFS(物件収支!$F:$F,物件収支!$A:$A,$A1189,物件収支!$C:$C,$M1189))</f>
        <v>740000</v>
      </c>
      <c r="P1189" s="1" t="n">
        <f aca="false">IF($A1189="","",SUMIFS(物件収支!$I:$I,物件収支!$A:$A,$A1189,物件収支!$C:$C,$M1189))</f>
        <v>229000</v>
      </c>
      <c r="Q1189" s="1" t="n">
        <f aca="false">IF($A1189="","",SUMIFS(物件収支!$O:$O,物件収支!$A:$A,$A1189,物件収支!$C:$C,$M1189))</f>
        <v>44000</v>
      </c>
      <c r="R1189" s="1" t="n">
        <f aca="false">IF($A1189="","",IF(P1189=0,"",O1189-P1189))</f>
        <v>511000</v>
      </c>
      <c r="S1189" s="1" t="n">
        <f aca="false">IF($A1189="","",IF(R1189="","",R1189+Q1189))</f>
        <v>555000</v>
      </c>
      <c r="T1189" s="1" t="n">
        <f aca="false">IF($A1189="","",IF(OR(S1189="",N1189&lt;=0),"",S1189/1000*12/N1189))</f>
        <v>1110</v>
      </c>
      <c r="U1189" s="1" t="n">
        <f aca="false">IF($A1189="","",IF(OR(T1189="",J1189=0,J1189=""),"",T1189/J1189))</f>
        <v>0.0659536541889483</v>
      </c>
      <c r="V1189" s="1" t="n">
        <f aca="false">IF($A1189="","",IF(OR(R1189="",N1189&lt;=0,J1189=0,J1189=""),"",(R1189/1000*12/N1189)/J1189))</f>
        <v>0.0607248960190137</v>
      </c>
      <c r="W1189" s="1" t="n">
        <f aca="false">IF($A1189="","",IF(OR(T1189="",K1189=0,K1189=""),"",T1189/K1189))</f>
        <v>0.0406593406593407</v>
      </c>
      <c r="X1189" s="1" t="n">
        <f aca="false">IF($A1189="","",IF(OR(N1189&lt;=0,I1189=0,I1189="",O1189=0),"",O1189*1000/(I1189*0.3025)/N1189))</f>
        <v>95572.7844872456</v>
      </c>
      <c r="Y1189" s="1" t="n">
        <f aca="false">IF($A1189="","",IF(OR(O1189=0,O1189="",P1189=0),"",P1189/O1189))</f>
        <v>0.309459459459459</v>
      </c>
      <c r="Z1189" s="1" t="str">
        <f aca="false">IF($A1189="","",IFERROR(INDEX(物件収支!$E:$E,MATCH($A1189,物件収支!$A:$A,0)),""))</f>
        <v>開示（物件別・費用内訳含む・百万円単位）</v>
      </c>
    </row>
    <row r="1190" customFormat="false" ht="15" hidden="false" customHeight="true" outlineLevel="0" collapsed="false">
      <c r="A1190" s="1" t="str">
        <f aca="false">IF(物件マスタ!A1190="","",物件マスタ!A1190)</f>
        <v>JRE-017</v>
      </c>
      <c r="B1190" s="1" t="str">
        <f aca="false">IF($A1190="","",物件マスタ!B1190)</f>
        <v>JRE</v>
      </c>
      <c r="C1190" s="1" t="str">
        <f aca="false">IF($A1190="","",IFERROR(INDEX(法人マスタ!$C:$C,MATCH($B1190,法人マスタ!$A:$A,0)),""))</f>
        <v>ジャパンリアルエステイト投資法人</v>
      </c>
      <c r="D1190" s="1" t="str">
        <f aca="false">IF($A1190="","",物件マスタ!C1190)</f>
        <v>ＪＲＥ銀座三丁目ビル</v>
      </c>
      <c r="E1190" s="1" t="str">
        <f aca="false">IF($A1190="","",物件マスタ!H1190)</f>
        <v>都心5区</v>
      </c>
      <c r="F1190" s="1" t="n">
        <f aca="false">IF($A1190="","",物件マスタ!P1190)</f>
        <v>0</v>
      </c>
      <c r="G1190" s="1" t="str">
        <f aca="false">IF($A1190="","",物件マスタ!Q1190)</f>
        <v/>
      </c>
      <c r="H1190" s="1" t="n">
        <f aca="false">IF($A1190="","",物件マスタ!L1190)</f>
        <v>0</v>
      </c>
      <c r="I1190" s="1" t="n">
        <f aca="false">IF($A1190="","",物件マスタ!M1190)</f>
        <v>4255</v>
      </c>
      <c r="J1190" s="1" t="n">
        <f aca="false">IF($A1190="","",物件マスタ!S1190)</f>
        <v>7999.4</v>
      </c>
      <c r="K1190" s="1" t="n">
        <f aca="false">IF($A1190="","",物件マスタ!U1190)</f>
        <v>6640</v>
      </c>
      <c r="L1190" s="1" t="n">
        <f aca="false">IF($A1190="","",物件マスタ!W1190)</f>
        <v>1</v>
      </c>
      <c r="M1190" s="1" t="str">
        <f aca="false">IF($A1190="","",IFERROR(INDEX(法人マスタ!$H:$H,MATCH($B1190,法人マスタ!$A:$A,0)),""))</f>
        <v>2026年3月期（第49期）</v>
      </c>
      <c r="N1190" s="1" t="n">
        <f aca="false">IF($A1190="","",SUMIFS(物件収支!$D:$D,物件収支!$A:$A,$A1190,物件収支!$C:$C,$M1190))</f>
        <v>6</v>
      </c>
      <c r="O1190" s="1" t="n">
        <f aca="false">IF($A1190="","",SUMIFS(物件収支!$F:$F,物件収支!$A:$A,$A1190,物件収支!$C:$C,$M1190))</f>
        <v>176000</v>
      </c>
      <c r="P1190" s="1" t="n">
        <f aca="false">IF($A1190="","",SUMIFS(物件収支!$I:$I,物件収支!$A:$A,$A1190,物件収支!$C:$C,$M1190))</f>
        <v>95000</v>
      </c>
      <c r="Q1190" s="1" t="n">
        <f aca="false">IF($A1190="","",SUMIFS(物件収支!$O:$O,物件収支!$A:$A,$A1190,物件収支!$C:$C,$M1190))</f>
        <v>38000</v>
      </c>
      <c r="R1190" s="1" t="n">
        <f aca="false">IF($A1190="","",IF(P1190=0,"",O1190-P1190))</f>
        <v>81000</v>
      </c>
      <c r="S1190" s="1" t="n">
        <f aca="false">IF($A1190="","",IF(R1190="","",R1190+Q1190))</f>
        <v>119000</v>
      </c>
      <c r="T1190" s="1" t="n">
        <f aca="false">IF($A1190="","",IF(OR(S1190="",N1190&lt;=0),"",S1190/1000*12/N1190))</f>
        <v>238</v>
      </c>
      <c r="U1190" s="1" t="n">
        <f aca="false">IF($A1190="","",IF(OR(T1190="",J1190=0,J1190=""),"",T1190/J1190))</f>
        <v>0.0297522314173563</v>
      </c>
      <c r="V1190" s="1" t="n">
        <f aca="false">IF($A1190="","",IF(OR(R1190="",N1190&lt;=0,J1190=0,J1190=""),"",(R1190/1000*12/N1190)/J1190))</f>
        <v>0.0202515188639148</v>
      </c>
      <c r="W1190" s="1" t="n">
        <f aca="false">IF($A1190="","",IF(OR(T1190="",K1190=0,K1190=""),"",T1190/K1190))</f>
        <v>0.0358433734939759</v>
      </c>
      <c r="X1190" s="1" t="n">
        <f aca="false">IF($A1190="","",IF(OR(N1190&lt;=0,I1190=0,I1190="",O1190=0),"",O1190*1000/(I1190*0.3025)/N1190))</f>
        <v>22789.5880069793</v>
      </c>
      <c r="Y1190" s="1" t="n">
        <f aca="false">IF($A1190="","",IF(OR(O1190=0,O1190="",P1190=0),"",P1190/O1190))</f>
        <v>0.539772727272727</v>
      </c>
      <c r="Z1190" s="1" t="str">
        <f aca="false">IF($A1190="","",IFERROR(INDEX(物件収支!$E:$E,MATCH($A1190,物件収支!$A:$A,0)),""))</f>
        <v>開示（物件別・費用内訳含む・百万円単位）</v>
      </c>
    </row>
    <row r="1191" customFormat="false" ht="15" hidden="false" customHeight="true" outlineLevel="0" collapsed="false">
      <c r="A1191" s="1" t="str">
        <f aca="false">IF(物件マスタ!A1191="","",物件マスタ!A1191)</f>
        <v>JRE-018</v>
      </c>
      <c r="B1191" s="1" t="str">
        <f aca="false">IF($A1191="","",物件マスタ!B1191)</f>
        <v>JRE</v>
      </c>
      <c r="C1191" s="1" t="str">
        <f aca="false">IF($A1191="","",IFERROR(INDEX(法人マスタ!$C:$C,MATCH($B1191,法人マスタ!$A:$A,0)),""))</f>
        <v>ジャパンリアルエステイト投資法人</v>
      </c>
      <c r="D1191" s="1" t="str">
        <f aca="false">IF($A1191="","",物件マスタ!C1191)</f>
        <v>赤坂パークビル</v>
      </c>
      <c r="E1191" s="1" t="str">
        <f aca="false">IF($A1191="","",物件マスタ!H1191)</f>
        <v>都心5区</v>
      </c>
      <c r="F1191" s="1" t="n">
        <f aca="false">IF($A1191="","",物件マスタ!P1191)</f>
        <v>0</v>
      </c>
      <c r="G1191" s="1" t="str">
        <f aca="false">IF($A1191="","",物件マスタ!Q1191)</f>
        <v/>
      </c>
      <c r="H1191" s="1" t="n">
        <f aca="false">IF($A1191="","",物件マスタ!L1191)</f>
        <v>0</v>
      </c>
      <c r="I1191" s="1" t="n">
        <f aca="false">IF($A1191="","",物件マスタ!M1191)</f>
        <v>29957</v>
      </c>
      <c r="J1191" s="1" t="n">
        <f aca="false">IF($A1191="","",物件マスタ!S1191)</f>
        <v>40517.1</v>
      </c>
      <c r="K1191" s="1" t="n">
        <f aca="false">IF($A1191="","",物件マスタ!U1191)</f>
        <v>53400</v>
      </c>
      <c r="L1191" s="1" t="n">
        <f aca="false">IF($A1191="","",物件マスタ!W1191)</f>
        <v>1</v>
      </c>
      <c r="M1191" s="1" t="str">
        <f aca="false">IF($A1191="","",IFERROR(INDEX(法人マスタ!$H:$H,MATCH($B1191,法人マスタ!$A:$A,0)),""))</f>
        <v>2026年3月期（第49期）</v>
      </c>
      <c r="N1191" s="1" t="n">
        <f aca="false">IF($A1191="","",SUMIFS(物件収支!$D:$D,物件収支!$A:$A,$A1191,物件収支!$C:$C,$M1191))</f>
        <v>6</v>
      </c>
      <c r="O1191" s="1" t="n">
        <f aca="false">IF($A1191="","",SUMIFS(物件収支!$F:$F,物件収支!$A:$A,$A1191,物件収支!$C:$C,$M1191))</f>
        <v>1301000</v>
      </c>
      <c r="P1191" s="1" t="n">
        <f aca="false">IF($A1191="","",SUMIFS(物件収支!$I:$I,物件収支!$A:$A,$A1191,物件収支!$C:$C,$M1191))</f>
        <v>846000</v>
      </c>
      <c r="Q1191" s="1" t="n">
        <f aca="false">IF($A1191="","",SUMIFS(物件収支!$O:$O,物件収支!$A:$A,$A1191,物件収支!$C:$C,$M1191))</f>
        <v>252000</v>
      </c>
      <c r="R1191" s="1" t="n">
        <f aca="false">IF($A1191="","",IF(P1191=0,"",O1191-P1191))</f>
        <v>455000</v>
      </c>
      <c r="S1191" s="1" t="n">
        <f aca="false">IF($A1191="","",IF(R1191="","",R1191+Q1191))</f>
        <v>707000</v>
      </c>
      <c r="T1191" s="1" t="n">
        <f aca="false">IF($A1191="","",IF(OR(S1191="",N1191&lt;=0),"",S1191/1000*12/N1191))</f>
        <v>1414</v>
      </c>
      <c r="U1191" s="1" t="n">
        <f aca="false">IF($A1191="","",IF(OR(T1191="",J1191=0,J1191=""),"",T1191/J1191))</f>
        <v>0.0348988451789491</v>
      </c>
      <c r="V1191" s="1" t="n">
        <f aca="false">IF($A1191="","",IF(OR(R1191="",N1191&lt;=0,J1191=0,J1191=""),"",(R1191/1000*12/N1191)/J1191))</f>
        <v>0.0224596528379376</v>
      </c>
      <c r="W1191" s="1" t="n">
        <f aca="false">IF($A1191="","",IF(OR(T1191="",K1191=0,K1191=""),"",T1191/K1191))</f>
        <v>0.0264794007490637</v>
      </c>
      <c r="X1191" s="1" t="n">
        <f aca="false">IF($A1191="","",IF(OR(N1191&lt;=0,I1191=0,I1191="",O1191=0),"",O1191*1000/(I1191*0.3025)/N1191))</f>
        <v>23927.7767371065</v>
      </c>
      <c r="Y1191" s="1" t="n">
        <f aca="false">IF($A1191="","",IF(OR(O1191=0,O1191="",P1191=0),"",P1191/O1191))</f>
        <v>0.650269023827825</v>
      </c>
      <c r="Z1191" s="1" t="str">
        <f aca="false">IF($A1191="","",IFERROR(INDEX(物件収支!$E:$E,MATCH($A1191,物件収支!$A:$A,0)),""))</f>
        <v>開示（物件別・費用内訳含む・百万円単位）</v>
      </c>
    </row>
    <row r="1192" customFormat="false" ht="15" hidden="false" customHeight="true" outlineLevel="0" collapsed="false">
      <c r="A1192" s="1" t="str">
        <f aca="false">IF(物件マスタ!A1192="","",物件マスタ!A1192)</f>
        <v>JRE-019</v>
      </c>
      <c r="B1192" s="1" t="str">
        <f aca="false">IF($A1192="","",物件マスタ!B1192)</f>
        <v>JRE</v>
      </c>
      <c r="C1192" s="1" t="str">
        <f aca="false">IF($A1192="","",IFERROR(INDEX(法人マスタ!$C:$C,MATCH($B1192,法人マスタ!$A:$A,0)),""))</f>
        <v>ジャパンリアルエステイト投資法人</v>
      </c>
      <c r="D1192" s="1" t="str">
        <f aca="false">IF($A1192="","",物件マスタ!C1192)</f>
        <v>the ARGYLE aoyama</v>
      </c>
      <c r="E1192" s="1" t="str">
        <f aca="false">IF($A1192="","",物件マスタ!H1192)</f>
        <v>都心5区</v>
      </c>
      <c r="F1192" s="1" t="n">
        <f aca="false">IF($A1192="","",物件マスタ!P1192)</f>
        <v>0</v>
      </c>
      <c r="G1192" s="1" t="str">
        <f aca="false">IF($A1192="","",物件マスタ!Q1192)</f>
        <v/>
      </c>
      <c r="H1192" s="1" t="n">
        <f aca="false">IF($A1192="","",物件マスタ!L1192)</f>
        <v>0</v>
      </c>
      <c r="I1192" s="1" t="n">
        <f aca="false">IF($A1192="","",物件マスタ!M1192)</f>
        <v>7478</v>
      </c>
      <c r="J1192" s="1" t="n">
        <f aca="false">IF($A1192="","",物件マスタ!S1192)</f>
        <v>23900</v>
      </c>
      <c r="K1192" s="1" t="n">
        <f aca="false">IF($A1192="","",物件マスタ!U1192)</f>
        <v>26200</v>
      </c>
      <c r="L1192" s="1" t="n">
        <f aca="false">IF($A1192="","",物件マスタ!W1192)</f>
        <v>1</v>
      </c>
      <c r="M1192" s="1" t="str">
        <f aca="false">IF($A1192="","",IFERROR(INDEX(法人マスタ!$H:$H,MATCH($B1192,法人マスタ!$A:$A,0)),""))</f>
        <v>2026年3月期（第49期）</v>
      </c>
      <c r="N1192" s="1" t="n">
        <f aca="false">IF($A1192="","",SUMIFS(物件収支!$D:$D,物件収支!$A:$A,$A1192,物件収支!$C:$C,$M1192))</f>
        <v>6</v>
      </c>
      <c r="O1192" s="1" t="n">
        <f aca="false">IF($A1192="","",SUMIFS(物件収支!$F:$F,物件収支!$A:$A,$A1192,物件収支!$C:$C,$M1192))</f>
        <v>487000</v>
      </c>
      <c r="P1192" s="1" t="n">
        <f aca="false">IF($A1192="","",SUMIFS(物件収支!$I:$I,物件収支!$A:$A,$A1192,物件収支!$C:$C,$M1192))</f>
        <v>225000</v>
      </c>
      <c r="Q1192" s="1" t="n">
        <f aca="false">IF($A1192="","",SUMIFS(物件収支!$O:$O,物件収支!$A:$A,$A1192,物件収支!$C:$C,$M1192))</f>
        <v>86000</v>
      </c>
      <c r="R1192" s="1" t="n">
        <f aca="false">IF($A1192="","",IF(P1192=0,"",O1192-P1192))</f>
        <v>262000</v>
      </c>
      <c r="S1192" s="1" t="n">
        <f aca="false">IF($A1192="","",IF(R1192="","",R1192+Q1192))</f>
        <v>348000</v>
      </c>
      <c r="T1192" s="1" t="n">
        <f aca="false">IF($A1192="","",IF(OR(S1192="",N1192&lt;=0),"",S1192/1000*12/N1192))</f>
        <v>696</v>
      </c>
      <c r="U1192" s="1" t="n">
        <f aca="false">IF($A1192="","",IF(OR(T1192="",J1192=0,J1192=""),"",T1192/J1192))</f>
        <v>0.0291213389121339</v>
      </c>
      <c r="V1192" s="1" t="n">
        <f aca="false">IF($A1192="","",IF(OR(R1192="",N1192&lt;=0,J1192=0,J1192=""),"",(R1192/1000*12/N1192)/J1192))</f>
        <v>0.0219246861924686</v>
      </c>
      <c r="W1192" s="1" t="n">
        <f aca="false">IF($A1192="","",IF(OR(T1192="",K1192=0,K1192=""),"",T1192/K1192))</f>
        <v>0.0265648854961832</v>
      </c>
      <c r="X1192" s="1" t="n">
        <f aca="false">IF($A1192="","",IF(OR(N1192&lt;=0,I1192=0,I1192="",O1192=0),"",O1192*1000/(I1192*0.3025)/N1192))</f>
        <v>35881.1927291589</v>
      </c>
      <c r="Y1192" s="1" t="n">
        <f aca="false">IF($A1192="","",IF(OR(O1192=0,O1192="",P1192=0),"",P1192/O1192))</f>
        <v>0.462012320328542</v>
      </c>
      <c r="Z1192" s="1" t="str">
        <f aca="false">IF($A1192="","",IFERROR(INDEX(物件収支!$E:$E,MATCH($A1192,物件収支!$A:$A,0)),""))</f>
        <v>開示（物件別・費用内訳含む・百万円単位）</v>
      </c>
    </row>
    <row r="1193" customFormat="false" ht="15" hidden="false" customHeight="true" outlineLevel="0" collapsed="false">
      <c r="A1193" s="1" t="str">
        <f aca="false">IF(物件マスタ!A1193="","",物件マスタ!A1193)</f>
        <v>JRE-020</v>
      </c>
      <c r="B1193" s="1" t="str">
        <f aca="false">IF($A1193="","",物件マスタ!B1193)</f>
        <v>JRE</v>
      </c>
      <c r="C1193" s="1" t="str">
        <f aca="false">IF($A1193="","",IFERROR(INDEX(法人マスタ!$C:$C,MATCH($B1193,法人マスタ!$A:$A,0)),""))</f>
        <v>ジャパンリアルエステイト投資法人</v>
      </c>
      <c r="D1193" s="1" t="str">
        <f aca="false">IF($A1193="","",物件マスタ!C1193)</f>
        <v>3rd MINAMI AOYAMA</v>
      </c>
      <c r="E1193" s="1" t="str">
        <f aca="false">IF($A1193="","",物件マスタ!H1193)</f>
        <v>都心5区</v>
      </c>
      <c r="F1193" s="1" t="n">
        <f aca="false">IF($A1193="","",物件マスタ!P1193)</f>
        <v>0</v>
      </c>
      <c r="G1193" s="1" t="str">
        <f aca="false">IF($A1193="","",物件マスタ!Q1193)</f>
        <v/>
      </c>
      <c r="H1193" s="1" t="n">
        <f aca="false">IF($A1193="","",物件マスタ!L1193)</f>
        <v>0</v>
      </c>
      <c r="I1193" s="1" t="n">
        <f aca="false">IF($A1193="","",物件マスタ!M1193)</f>
        <v>7781</v>
      </c>
      <c r="J1193" s="1" t="n">
        <f aca="false">IF($A1193="","",物件マスタ!S1193)</f>
        <v>21000</v>
      </c>
      <c r="K1193" s="1" t="n">
        <f aca="false">IF($A1193="","",物件マスタ!U1193)</f>
        <v>22200</v>
      </c>
      <c r="L1193" s="1" t="n">
        <f aca="false">IF($A1193="","",物件マスタ!W1193)</f>
        <v>1</v>
      </c>
      <c r="M1193" s="1" t="str">
        <f aca="false">IF($A1193="","",IFERROR(INDEX(法人マスタ!$H:$H,MATCH($B1193,法人マスタ!$A:$A,0)),""))</f>
        <v>2026年3月期（第49期）</v>
      </c>
      <c r="N1193" s="1" t="n">
        <f aca="false">IF($A1193="","",SUMIFS(物件収支!$D:$D,物件収支!$A:$A,$A1193,物件収支!$C:$C,$M1193))</f>
        <v>6</v>
      </c>
      <c r="O1193" s="1" t="n">
        <f aca="false">IF($A1193="","",SUMIFS(物件収支!$F:$F,物件収支!$A:$A,$A1193,物件収支!$C:$C,$M1193))</f>
        <v>584000</v>
      </c>
      <c r="P1193" s="1" t="n">
        <f aca="false">IF($A1193="","",SUMIFS(物件収支!$I:$I,物件収支!$A:$A,$A1193,物件収支!$C:$C,$M1193))</f>
        <v>306000</v>
      </c>
      <c r="Q1193" s="1" t="n">
        <f aca="false">IF($A1193="","",SUMIFS(物件収支!$O:$O,物件収支!$A:$A,$A1193,物件収支!$C:$C,$M1193))</f>
        <v>83000</v>
      </c>
      <c r="R1193" s="1" t="n">
        <f aca="false">IF($A1193="","",IF(P1193=0,"",O1193-P1193))</f>
        <v>278000</v>
      </c>
      <c r="S1193" s="1" t="n">
        <f aca="false">IF($A1193="","",IF(R1193="","",R1193+Q1193))</f>
        <v>361000</v>
      </c>
      <c r="T1193" s="1" t="n">
        <f aca="false">IF($A1193="","",IF(OR(S1193="",N1193&lt;=0),"",S1193/1000*12/N1193))</f>
        <v>722</v>
      </c>
      <c r="U1193" s="1" t="n">
        <f aca="false">IF($A1193="","",IF(OR(T1193="",J1193=0,J1193=""),"",T1193/J1193))</f>
        <v>0.0343809523809524</v>
      </c>
      <c r="V1193" s="1" t="n">
        <f aca="false">IF($A1193="","",IF(OR(R1193="",N1193&lt;=0,J1193=0,J1193=""),"",(R1193/1000*12/N1193)/J1193))</f>
        <v>0.0264761904761905</v>
      </c>
      <c r="W1193" s="1" t="n">
        <f aca="false">IF($A1193="","",IF(OR(T1193="",K1193=0,K1193=""),"",T1193/K1193))</f>
        <v>0.0325225225225225</v>
      </c>
      <c r="X1193" s="1" t="n">
        <f aca="false">IF($A1193="","",IF(OR(N1193&lt;=0,I1193=0,I1193="",O1193=0),"",O1193*1000/(I1193*0.3025)/N1193))</f>
        <v>41352.4078395385</v>
      </c>
      <c r="Y1193" s="1" t="n">
        <f aca="false">IF($A1193="","",IF(OR(O1193=0,O1193="",P1193=0),"",P1193/O1193))</f>
        <v>0.523972602739726</v>
      </c>
      <c r="Z1193" s="1" t="str">
        <f aca="false">IF($A1193="","",IFERROR(INDEX(物件収支!$E:$E,MATCH($A1193,物件収支!$A:$A,0)),""))</f>
        <v>開示（物件別・費用内訳含む・百万円単位）</v>
      </c>
    </row>
    <row r="1194" customFormat="false" ht="15" hidden="false" customHeight="true" outlineLevel="0" collapsed="false">
      <c r="A1194" s="1" t="str">
        <f aca="false">IF(物件マスタ!A1194="","",物件マスタ!A1194)</f>
        <v>JRE-021</v>
      </c>
      <c r="B1194" s="1" t="str">
        <f aca="false">IF($A1194="","",物件マスタ!B1194)</f>
        <v>JRE</v>
      </c>
      <c r="C1194" s="1" t="str">
        <f aca="false">IF($A1194="","",IFERROR(INDEX(法人マスタ!$C:$C,MATCH($B1194,法人マスタ!$A:$A,0)),""))</f>
        <v>ジャパンリアルエステイト投資法人</v>
      </c>
      <c r="D1194" s="1" t="str">
        <f aca="false">IF($A1194="","",物件マスタ!C1194)</f>
        <v>ＪＲＥ青山クリスタルビル</v>
      </c>
      <c r="E1194" s="1" t="str">
        <f aca="false">IF($A1194="","",物件マスタ!H1194)</f>
        <v>都心5区</v>
      </c>
      <c r="F1194" s="1" t="n">
        <f aca="false">IF($A1194="","",物件マスタ!P1194)</f>
        <v>0</v>
      </c>
      <c r="G1194" s="1" t="str">
        <f aca="false">IF($A1194="","",物件マスタ!Q1194)</f>
        <v/>
      </c>
      <c r="H1194" s="1" t="n">
        <f aca="false">IF($A1194="","",物件マスタ!L1194)</f>
        <v>0</v>
      </c>
      <c r="I1194" s="1" t="n">
        <f aca="false">IF($A1194="","",物件マスタ!M1194)</f>
        <v>4898</v>
      </c>
      <c r="J1194" s="1" t="n">
        <f aca="false">IF($A1194="","",物件マスタ!S1194)</f>
        <v>7680</v>
      </c>
      <c r="K1194" s="1" t="n">
        <f aca="false">IF($A1194="","",物件マスタ!U1194)</f>
        <v>10900</v>
      </c>
      <c r="L1194" s="1" t="n">
        <f aca="false">IF($A1194="","",物件マスタ!W1194)</f>
        <v>1</v>
      </c>
      <c r="M1194" s="1" t="str">
        <f aca="false">IF($A1194="","",IFERROR(INDEX(法人マスタ!$H:$H,MATCH($B1194,法人マスタ!$A:$A,0)),""))</f>
        <v>2026年3月期（第49期）</v>
      </c>
      <c r="N1194" s="1" t="n">
        <f aca="false">IF($A1194="","",SUMIFS(物件収支!$D:$D,物件収支!$A:$A,$A1194,物件収支!$C:$C,$M1194))</f>
        <v>6</v>
      </c>
      <c r="O1194" s="1" t="n">
        <f aca="false">IF($A1194="","",SUMIFS(物件収支!$F:$F,物件収支!$A:$A,$A1194,物件収支!$C:$C,$M1194))</f>
        <v>240000</v>
      </c>
      <c r="P1194" s="1" t="n">
        <f aca="false">IF($A1194="","",SUMIFS(物件収支!$I:$I,物件収支!$A:$A,$A1194,物件収支!$C:$C,$M1194))</f>
        <v>97000</v>
      </c>
      <c r="Q1194" s="1" t="n">
        <f aca="false">IF($A1194="","",SUMIFS(物件収支!$O:$O,物件収支!$A:$A,$A1194,物件収支!$C:$C,$M1194))</f>
        <v>23000</v>
      </c>
      <c r="R1194" s="1" t="n">
        <f aca="false">IF($A1194="","",IF(P1194=0,"",O1194-P1194))</f>
        <v>143000</v>
      </c>
      <c r="S1194" s="1" t="n">
        <f aca="false">IF($A1194="","",IF(R1194="","",R1194+Q1194))</f>
        <v>166000</v>
      </c>
      <c r="T1194" s="1" t="n">
        <f aca="false">IF($A1194="","",IF(OR(S1194="",N1194&lt;=0),"",S1194/1000*12/N1194))</f>
        <v>332</v>
      </c>
      <c r="U1194" s="1" t="n">
        <f aca="false">IF($A1194="","",IF(OR(T1194="",J1194=0,J1194=""),"",T1194/J1194))</f>
        <v>0.0432291666666667</v>
      </c>
      <c r="V1194" s="1" t="n">
        <f aca="false">IF($A1194="","",IF(OR(R1194="",N1194&lt;=0,J1194=0,J1194=""),"",(R1194/1000*12/N1194)/J1194))</f>
        <v>0.0372395833333333</v>
      </c>
      <c r="W1194" s="1" t="n">
        <f aca="false">IF($A1194="","",IF(OR(T1194="",K1194=0,K1194=""),"",T1194/K1194))</f>
        <v>0.0304587155963303</v>
      </c>
      <c r="X1194" s="1" t="n">
        <f aca="false">IF($A1194="","",IF(OR(N1194&lt;=0,I1194=0,I1194="",O1194=0),"",O1194*1000/(I1194*0.3025)/N1194))</f>
        <v>26997.020203895</v>
      </c>
      <c r="Y1194" s="1" t="n">
        <f aca="false">IF($A1194="","",IF(OR(O1194=0,O1194="",P1194=0),"",P1194/O1194))</f>
        <v>0.404166666666667</v>
      </c>
      <c r="Z1194" s="1" t="str">
        <f aca="false">IF($A1194="","",IFERROR(INDEX(物件収支!$E:$E,MATCH($A1194,物件収支!$A:$A,0)),""))</f>
        <v>開示（物件別・費用内訳含む・百万円単位）</v>
      </c>
    </row>
    <row r="1195" customFormat="false" ht="15" hidden="false" customHeight="true" outlineLevel="0" collapsed="false">
      <c r="A1195" s="1" t="str">
        <f aca="false">IF(物件マスタ!A1195="","",物件マスタ!A1195)</f>
        <v>JRE-022</v>
      </c>
      <c r="B1195" s="1" t="str">
        <f aca="false">IF($A1195="","",物件マスタ!B1195)</f>
        <v>JRE</v>
      </c>
      <c r="C1195" s="1" t="str">
        <f aca="false">IF($A1195="","",IFERROR(INDEX(法人マスタ!$C:$C,MATCH($B1195,法人マスタ!$A:$A,0)),""))</f>
        <v>ジャパンリアルエステイト投資法人</v>
      </c>
      <c r="D1195" s="1" t="str">
        <f aca="false">IF($A1195="","",物件マスタ!C1195)</f>
        <v>クローバー芝公園</v>
      </c>
      <c r="E1195" s="1" t="str">
        <f aca="false">IF($A1195="","",物件マスタ!H1195)</f>
        <v>都心5区</v>
      </c>
      <c r="F1195" s="1" t="n">
        <f aca="false">IF($A1195="","",物件マスタ!P1195)</f>
        <v>0</v>
      </c>
      <c r="G1195" s="1" t="str">
        <f aca="false">IF($A1195="","",物件マスタ!Q1195)</f>
        <v/>
      </c>
      <c r="H1195" s="1" t="n">
        <f aca="false">IF($A1195="","",物件マスタ!L1195)</f>
        <v>0</v>
      </c>
      <c r="I1195" s="1" t="n">
        <f aca="false">IF($A1195="","",物件マスタ!M1195)</f>
        <v>2550</v>
      </c>
      <c r="J1195" s="1" t="n">
        <f aca="false">IF($A1195="","",物件マスタ!S1195)</f>
        <v>4500</v>
      </c>
      <c r="K1195" s="1" t="n">
        <f aca="false">IF($A1195="","",物件マスタ!U1195)</f>
        <v>4950</v>
      </c>
      <c r="L1195" s="1" t="n">
        <f aca="false">IF($A1195="","",物件マスタ!W1195)</f>
        <v>1</v>
      </c>
      <c r="M1195" s="1" t="str">
        <f aca="false">IF($A1195="","",IFERROR(INDEX(法人マスタ!$H:$H,MATCH($B1195,法人マスタ!$A:$A,0)),""))</f>
        <v>2026年3月期（第49期）</v>
      </c>
      <c r="N1195" s="1" t="n">
        <f aca="false">IF($A1195="","",SUMIFS(物件収支!$D:$D,物件収支!$A:$A,$A1195,物件収支!$C:$C,$M1195))</f>
        <v>6</v>
      </c>
      <c r="O1195" s="1" t="n">
        <f aca="false">IF($A1195="","",SUMIFS(物件収支!$F:$F,物件収支!$A:$A,$A1195,物件収支!$C:$C,$M1195))</f>
        <v>107000</v>
      </c>
      <c r="P1195" s="1" t="n">
        <f aca="false">IF($A1195="","",SUMIFS(物件収支!$I:$I,物件収支!$A:$A,$A1195,物件収支!$C:$C,$M1195))</f>
        <v>50000</v>
      </c>
      <c r="Q1195" s="1" t="n">
        <f aca="false">IF($A1195="","",SUMIFS(物件収支!$O:$O,物件収支!$A:$A,$A1195,物件収支!$C:$C,$M1195))</f>
        <v>11000</v>
      </c>
      <c r="R1195" s="1" t="n">
        <f aca="false">IF($A1195="","",IF(P1195=0,"",O1195-P1195))</f>
        <v>57000</v>
      </c>
      <c r="S1195" s="1" t="n">
        <f aca="false">IF($A1195="","",IF(R1195="","",R1195+Q1195))</f>
        <v>68000</v>
      </c>
      <c r="T1195" s="1" t="n">
        <f aca="false">IF($A1195="","",IF(OR(S1195="",N1195&lt;=0),"",S1195/1000*12/N1195))</f>
        <v>136</v>
      </c>
      <c r="U1195" s="1" t="n">
        <f aca="false">IF($A1195="","",IF(OR(T1195="",J1195=0,J1195=""),"",T1195/J1195))</f>
        <v>0.0302222222222222</v>
      </c>
      <c r="V1195" s="1" t="n">
        <f aca="false">IF($A1195="","",IF(OR(R1195="",N1195&lt;=0,J1195=0,J1195=""),"",(R1195/1000*12/N1195)/J1195))</f>
        <v>0.0253333333333333</v>
      </c>
      <c r="W1195" s="1" t="n">
        <f aca="false">IF($A1195="","",IF(OR(T1195="",K1195=0,K1195=""),"",T1195/K1195))</f>
        <v>0.0274747474747475</v>
      </c>
      <c r="X1195" s="1" t="n">
        <f aca="false">IF($A1195="","",IF(OR(N1195&lt;=0,I1195=0,I1195="",O1195=0),"",O1195*1000/(I1195*0.3025)/N1195))</f>
        <v>23118.8894290499</v>
      </c>
      <c r="Y1195" s="1" t="n">
        <f aca="false">IF($A1195="","",IF(OR(O1195=0,O1195="",P1195=0),"",P1195/O1195))</f>
        <v>0.467289719626168</v>
      </c>
      <c r="Z1195" s="1" t="str">
        <f aca="false">IF($A1195="","",IFERROR(INDEX(物件収支!$E:$E,MATCH($A1195,物件収支!$A:$A,0)),""))</f>
        <v>開示（物件別・費用内訳含む・百万円単位）</v>
      </c>
    </row>
    <row r="1196" customFormat="false" ht="15" hidden="false" customHeight="true" outlineLevel="0" collapsed="false">
      <c r="A1196" s="1" t="str">
        <f aca="false">IF(物件マスタ!A1196="","",物件マスタ!A1196)</f>
        <v>JRE-023</v>
      </c>
      <c r="B1196" s="1" t="str">
        <f aca="false">IF($A1196="","",物件マスタ!B1196)</f>
        <v>JRE</v>
      </c>
      <c r="C1196" s="1" t="str">
        <f aca="false">IF($A1196="","",IFERROR(INDEX(法人マスタ!$C:$C,MATCH($B1196,法人マスタ!$A:$A,0)),""))</f>
        <v>ジャパンリアルエステイト投資法人</v>
      </c>
      <c r="D1196" s="1" t="str">
        <f aca="false">IF($A1196="","",物件マスタ!C1196)</f>
        <v>汐留ビルディング</v>
      </c>
      <c r="E1196" s="1" t="str">
        <f aca="false">IF($A1196="","",物件マスタ!H1196)</f>
        <v>都心5区</v>
      </c>
      <c r="F1196" s="1" t="n">
        <f aca="false">IF($A1196="","",物件マスタ!P1196)</f>
        <v>0</v>
      </c>
      <c r="G1196" s="1" t="str">
        <f aca="false">IF($A1196="","",物件マスタ!Q1196)</f>
        <v/>
      </c>
      <c r="H1196" s="1" t="n">
        <f aca="false">IF($A1196="","",物件マスタ!L1196)</f>
        <v>0</v>
      </c>
      <c r="I1196" s="1" t="n">
        <f aca="false">IF($A1196="","",物件マスタ!M1196)</f>
        <v>44213</v>
      </c>
      <c r="J1196" s="1" t="n">
        <f aca="false">IF($A1196="","",物件マスタ!S1196)</f>
        <v>106930</v>
      </c>
      <c r="K1196" s="1" t="n">
        <f aca="false">IF($A1196="","",物件マスタ!U1196)</f>
        <v>122000</v>
      </c>
      <c r="L1196" s="1" t="n">
        <f aca="false">IF($A1196="","",物件マスタ!W1196)</f>
        <v>0.998</v>
      </c>
      <c r="M1196" s="1" t="str">
        <f aca="false">IF($A1196="","",IFERROR(INDEX(法人マスタ!$H:$H,MATCH($B1196,法人マスタ!$A:$A,0)),""))</f>
        <v>2026年3月期（第49期）</v>
      </c>
      <c r="N1196" s="1" t="n">
        <f aca="false">IF($A1196="","",SUMIFS(物件収支!$D:$D,物件収支!$A:$A,$A1196,物件収支!$C:$C,$M1196))</f>
        <v>6</v>
      </c>
      <c r="O1196" s="1" t="n">
        <f aca="false">IF($A1196="","",SUMIFS(物件収支!$F:$F,物件収支!$A:$A,$A1196,物件収支!$C:$C,$M1196))</f>
        <v>2245000</v>
      </c>
      <c r="P1196" s="1" t="n">
        <f aca="false">IF($A1196="","",SUMIFS(物件収支!$I:$I,物件収支!$A:$A,$A1196,物件収支!$C:$C,$M1196))</f>
        <v>875000</v>
      </c>
      <c r="Q1196" s="1" t="n">
        <f aca="false">IF($A1196="","",SUMIFS(物件収支!$O:$O,物件収支!$A:$A,$A1196,物件収支!$C:$C,$M1196))</f>
        <v>253000</v>
      </c>
      <c r="R1196" s="1" t="n">
        <f aca="false">IF($A1196="","",IF(P1196=0,"",O1196-P1196))</f>
        <v>1370000</v>
      </c>
      <c r="S1196" s="1" t="n">
        <f aca="false">IF($A1196="","",IF(R1196="","",R1196+Q1196))</f>
        <v>1623000</v>
      </c>
      <c r="T1196" s="1" t="n">
        <f aca="false">IF($A1196="","",IF(OR(S1196="",N1196&lt;=0),"",S1196/1000*12/N1196))</f>
        <v>3246</v>
      </c>
      <c r="U1196" s="1" t="n">
        <f aca="false">IF($A1196="","",IF(OR(T1196="",J1196=0,J1196=""),"",T1196/J1196))</f>
        <v>0.0303563078649584</v>
      </c>
      <c r="V1196" s="1" t="n">
        <f aca="false">IF($A1196="","",IF(OR(R1196="",N1196&lt;=0,J1196=0,J1196=""),"",(R1196/1000*12/N1196)/J1196))</f>
        <v>0.0256242401571121</v>
      </c>
      <c r="W1196" s="1" t="n">
        <f aca="false">IF($A1196="","",IF(OR(T1196="",K1196=0,K1196=""),"",T1196/K1196))</f>
        <v>0.0266065573770492</v>
      </c>
      <c r="X1196" s="1" t="n">
        <f aca="false">IF($A1196="","",IF(OR(N1196&lt;=0,I1196=0,I1196="",O1196=0),"",O1196*1000/(I1196*0.3025)/N1196))</f>
        <v>27976.2649119255</v>
      </c>
      <c r="Y1196" s="1" t="n">
        <f aca="false">IF($A1196="","",IF(OR(O1196=0,O1196="",P1196=0),"",P1196/O1196))</f>
        <v>0.389755011135858</v>
      </c>
      <c r="Z1196" s="1" t="str">
        <f aca="false">IF($A1196="","",IFERROR(INDEX(物件収支!$E:$E,MATCH($A1196,物件収支!$A:$A,0)),""))</f>
        <v>開示（物件別・費用内訳含む・百万円単位）</v>
      </c>
    </row>
    <row r="1197" customFormat="false" ht="15" hidden="false" customHeight="true" outlineLevel="0" collapsed="false">
      <c r="A1197" s="1" t="str">
        <f aca="false">IF(物件マスタ!A1197="","",物件マスタ!A1197)</f>
        <v>JRE-024</v>
      </c>
      <c r="B1197" s="1" t="str">
        <f aca="false">IF($A1197="","",物件マスタ!B1197)</f>
        <v>JRE</v>
      </c>
      <c r="C1197" s="1" t="str">
        <f aca="false">IF($A1197="","",IFERROR(INDEX(法人マスタ!$C:$C,MATCH($B1197,法人マスタ!$A:$A,0)),""))</f>
        <v>ジャパンリアルエステイト投資法人</v>
      </c>
      <c r="D1197" s="1" t="str">
        <f aca="false">IF($A1197="","",物件マスタ!C1197)</f>
        <v>ＪＲＥ芝二丁目大門ビル</v>
      </c>
      <c r="E1197" s="1" t="str">
        <f aca="false">IF($A1197="","",物件マスタ!H1197)</f>
        <v>都心5区</v>
      </c>
      <c r="F1197" s="1" t="n">
        <f aca="false">IF($A1197="","",物件マスタ!P1197)</f>
        <v>0</v>
      </c>
      <c r="G1197" s="1" t="str">
        <f aca="false">IF($A1197="","",物件マスタ!Q1197)</f>
        <v/>
      </c>
      <c r="H1197" s="1" t="n">
        <f aca="false">IF($A1197="","",物件マスタ!L1197)</f>
        <v>0</v>
      </c>
      <c r="I1197" s="1" t="n">
        <f aca="false">IF($A1197="","",物件マスタ!M1197)</f>
        <v>9503</v>
      </c>
      <c r="J1197" s="1" t="n">
        <f aca="false">IF($A1197="","",物件マスタ!S1197)</f>
        <v>4859</v>
      </c>
      <c r="K1197" s="1" t="n">
        <f aca="false">IF($A1197="","",物件マスタ!U1197)</f>
        <v>9600</v>
      </c>
      <c r="L1197" s="1" t="n">
        <f aca="false">IF($A1197="","",物件マスタ!W1197)</f>
        <v>1</v>
      </c>
      <c r="M1197" s="1" t="str">
        <f aca="false">IF($A1197="","",IFERROR(INDEX(法人マスタ!$H:$H,MATCH($B1197,法人マスタ!$A:$A,0)),""))</f>
        <v>2026年3月期（第49期）</v>
      </c>
      <c r="N1197" s="1" t="n">
        <f aca="false">IF($A1197="","",SUMIFS(物件収支!$D:$D,物件収支!$A:$A,$A1197,物件収支!$C:$C,$M1197))</f>
        <v>6</v>
      </c>
      <c r="O1197" s="1" t="n">
        <f aca="false">IF($A1197="","",SUMIFS(物件収支!$F:$F,物件収支!$A:$A,$A1197,物件収支!$C:$C,$M1197))</f>
        <v>329000</v>
      </c>
      <c r="P1197" s="1" t="n">
        <f aca="false">IF($A1197="","",SUMIFS(物件収支!$I:$I,物件収支!$A:$A,$A1197,物件収支!$C:$C,$M1197))</f>
        <v>174000</v>
      </c>
      <c r="Q1197" s="1" t="n">
        <f aca="false">IF($A1197="","",SUMIFS(物件収支!$O:$O,物件収支!$A:$A,$A1197,物件収支!$C:$C,$M1197))</f>
        <v>65000</v>
      </c>
      <c r="R1197" s="1" t="n">
        <f aca="false">IF($A1197="","",IF(P1197=0,"",O1197-P1197))</f>
        <v>155000</v>
      </c>
      <c r="S1197" s="1" t="n">
        <f aca="false">IF($A1197="","",IF(R1197="","",R1197+Q1197))</f>
        <v>220000</v>
      </c>
      <c r="T1197" s="1" t="n">
        <f aca="false">IF($A1197="","",IF(OR(S1197="",N1197&lt;=0),"",S1197/1000*12/N1197))</f>
        <v>440</v>
      </c>
      <c r="U1197" s="1" t="n">
        <f aca="false">IF($A1197="","",IF(OR(T1197="",J1197=0,J1197=""),"",T1197/J1197))</f>
        <v>0.090553611854291</v>
      </c>
      <c r="V1197" s="1" t="n">
        <f aca="false">IF($A1197="","",IF(OR(R1197="",N1197&lt;=0,J1197=0,J1197=""),"",(R1197/1000*12/N1197)/J1197))</f>
        <v>0.0637991356246141</v>
      </c>
      <c r="W1197" s="1" t="n">
        <f aca="false">IF($A1197="","",IF(OR(T1197="",K1197=0,K1197=""),"",T1197/K1197))</f>
        <v>0.0458333333333333</v>
      </c>
      <c r="X1197" s="1" t="n">
        <f aca="false">IF($A1197="","",IF(OR(N1197&lt;=0,I1197=0,I1197="",O1197=0),"",O1197*1000/(I1197*0.3025)/N1197))</f>
        <v>19074.7361497268</v>
      </c>
      <c r="Y1197" s="1" t="n">
        <f aca="false">IF($A1197="","",IF(OR(O1197=0,O1197="",P1197=0),"",P1197/O1197))</f>
        <v>0.52887537993921</v>
      </c>
      <c r="Z1197" s="1" t="str">
        <f aca="false">IF($A1197="","",IFERROR(INDEX(物件収支!$E:$E,MATCH($A1197,物件収支!$A:$A,0)),""))</f>
        <v>開示（物件別・費用内訳含む・百万円単位）</v>
      </c>
    </row>
    <row r="1198" customFormat="false" ht="15" hidden="false" customHeight="true" outlineLevel="0" collapsed="false">
      <c r="A1198" s="1" t="str">
        <f aca="false">IF(物件マスタ!A1198="","",物件マスタ!A1198)</f>
        <v>JRE-025</v>
      </c>
      <c r="B1198" s="1" t="str">
        <f aca="false">IF($A1198="","",物件マスタ!B1198)</f>
        <v>JRE</v>
      </c>
      <c r="C1198" s="1" t="str">
        <f aca="false">IF($A1198="","",IFERROR(INDEX(法人マスタ!$C:$C,MATCH($B1198,法人マスタ!$A:$A,0)),""))</f>
        <v>ジャパンリアルエステイト投資法人</v>
      </c>
      <c r="D1198" s="1" t="str">
        <f aca="false">IF($A1198="","",物件マスタ!C1198)</f>
        <v>ＪＲＥコスモ金杉橋ビル</v>
      </c>
      <c r="E1198" s="1" t="str">
        <f aca="false">IF($A1198="","",物件マスタ!H1198)</f>
        <v>都心5区</v>
      </c>
      <c r="F1198" s="1" t="n">
        <f aca="false">IF($A1198="","",物件マスタ!P1198)</f>
        <v>0</v>
      </c>
      <c r="G1198" s="1" t="str">
        <f aca="false">IF($A1198="","",物件マスタ!Q1198)</f>
        <v/>
      </c>
      <c r="H1198" s="1" t="n">
        <f aca="false">IF($A1198="","",物件マスタ!L1198)</f>
        <v>0</v>
      </c>
      <c r="I1198" s="1" t="n">
        <f aca="false">IF($A1198="","",物件マスタ!M1198)</f>
        <v>4062</v>
      </c>
      <c r="J1198" s="1" t="n">
        <f aca="false">IF($A1198="","",物件マスタ!S1198)</f>
        <v>2808</v>
      </c>
      <c r="K1198" s="1" t="n">
        <f aca="false">IF($A1198="","",物件マスタ!U1198)</f>
        <v>3880</v>
      </c>
      <c r="L1198" s="1" t="n">
        <f aca="false">IF($A1198="","",物件マスタ!W1198)</f>
        <v>1</v>
      </c>
      <c r="M1198" s="1" t="str">
        <f aca="false">IF($A1198="","",IFERROR(INDEX(法人マスタ!$H:$H,MATCH($B1198,法人マスタ!$A:$A,0)),""))</f>
        <v>2026年3月期（第49期）</v>
      </c>
      <c r="N1198" s="1" t="n">
        <f aca="false">IF($A1198="","",SUMIFS(物件収支!$D:$D,物件収支!$A:$A,$A1198,物件収支!$C:$C,$M1198))</f>
        <v>6</v>
      </c>
      <c r="O1198" s="1" t="n">
        <f aca="false">IF($A1198="","",SUMIFS(物件収支!$F:$F,物件収支!$A:$A,$A1198,物件収支!$C:$C,$M1198))</f>
        <v>126000</v>
      </c>
      <c r="P1198" s="1" t="n">
        <f aca="false">IF($A1198="","",SUMIFS(物件収支!$I:$I,物件収支!$A:$A,$A1198,物件収支!$C:$C,$M1198))</f>
        <v>54000</v>
      </c>
      <c r="Q1198" s="1" t="n">
        <f aca="false">IF($A1198="","",SUMIFS(物件収支!$O:$O,物件収支!$A:$A,$A1198,物件収支!$C:$C,$M1198))</f>
        <v>15000</v>
      </c>
      <c r="R1198" s="1" t="n">
        <f aca="false">IF($A1198="","",IF(P1198=0,"",O1198-P1198))</f>
        <v>72000</v>
      </c>
      <c r="S1198" s="1" t="n">
        <f aca="false">IF($A1198="","",IF(R1198="","",R1198+Q1198))</f>
        <v>87000</v>
      </c>
      <c r="T1198" s="1" t="n">
        <f aca="false">IF($A1198="","",IF(OR(S1198="",N1198&lt;=0),"",S1198/1000*12/N1198))</f>
        <v>174</v>
      </c>
      <c r="U1198" s="1" t="n">
        <f aca="false">IF($A1198="","",IF(OR(T1198="",J1198=0,J1198=""),"",T1198/J1198))</f>
        <v>0.061965811965812</v>
      </c>
      <c r="V1198" s="1" t="n">
        <f aca="false">IF($A1198="","",IF(OR(R1198="",N1198&lt;=0,J1198=0,J1198=""),"",(R1198/1000*12/N1198)/J1198))</f>
        <v>0.0512820512820513</v>
      </c>
      <c r="W1198" s="1" t="n">
        <f aca="false">IF($A1198="","",IF(OR(T1198="",K1198=0,K1198=""),"",T1198/K1198))</f>
        <v>0.0448453608247423</v>
      </c>
      <c r="X1198" s="1" t="n">
        <f aca="false">IF($A1198="","",IF(OR(N1198&lt;=0,I1198=0,I1198="",O1198=0),"",O1198*1000/(I1198*0.3025)/N1198))</f>
        <v>17090.4696216903</v>
      </c>
      <c r="Y1198" s="1" t="n">
        <f aca="false">IF($A1198="","",IF(OR(O1198=0,O1198="",P1198=0),"",P1198/O1198))</f>
        <v>0.428571428571429</v>
      </c>
      <c r="Z1198" s="1" t="str">
        <f aca="false">IF($A1198="","",IFERROR(INDEX(物件収支!$E:$E,MATCH($A1198,物件収支!$A:$A,0)),""))</f>
        <v>開示（物件別・費用内訳含む・百万円単位）</v>
      </c>
    </row>
    <row r="1199" customFormat="false" ht="15" hidden="false" customHeight="true" outlineLevel="0" collapsed="false">
      <c r="A1199" s="1" t="str">
        <f aca="false">IF(物件マスタ!A1199="","",物件マスタ!A1199)</f>
        <v>JRE-026</v>
      </c>
      <c r="B1199" s="1" t="str">
        <f aca="false">IF($A1199="","",物件マスタ!B1199)</f>
        <v>JRE</v>
      </c>
      <c r="C1199" s="1" t="str">
        <f aca="false">IF($A1199="","",IFERROR(INDEX(法人マスタ!$C:$C,MATCH($B1199,法人マスタ!$A:$A,0)),""))</f>
        <v>ジャパンリアルエステイト投資法人</v>
      </c>
      <c r="D1199" s="1" t="str">
        <f aca="false">IF($A1199="","",物件マスタ!C1199)</f>
        <v>シーバンスＳ棟</v>
      </c>
      <c r="E1199" s="1" t="str">
        <f aca="false">IF($A1199="","",物件マスタ!H1199)</f>
        <v>都心5区</v>
      </c>
      <c r="F1199" s="1" t="n">
        <f aca="false">IF($A1199="","",物件マスタ!P1199)</f>
        <v>0</v>
      </c>
      <c r="G1199" s="1" t="str">
        <f aca="false">IF($A1199="","",物件マスタ!Q1199)</f>
        <v/>
      </c>
      <c r="H1199" s="1" t="n">
        <f aca="false">IF($A1199="","",物件マスタ!L1199)</f>
        <v>0</v>
      </c>
      <c r="I1199" s="1" t="n">
        <f aca="false">IF($A1199="","",物件マスタ!M1199)</f>
        <v>7979</v>
      </c>
      <c r="J1199" s="1" t="n">
        <f aca="false">IF($A1199="","",物件マスタ!S1199)</f>
        <v>7690</v>
      </c>
      <c r="K1199" s="1" t="n">
        <f aca="false">IF($A1199="","",物件マスタ!U1199)</f>
        <v>9500</v>
      </c>
      <c r="L1199" s="1" t="n">
        <f aca="false">IF($A1199="","",物件マスタ!W1199)</f>
        <v>1</v>
      </c>
      <c r="M1199" s="1" t="str">
        <f aca="false">IF($A1199="","",IFERROR(INDEX(法人マスタ!$H:$H,MATCH($B1199,法人マスタ!$A:$A,0)),""))</f>
        <v>2026年3月期（第49期）</v>
      </c>
      <c r="N1199" s="1" t="n">
        <f aca="false">IF($A1199="","",SUMIFS(物件収支!$D:$D,物件収支!$A:$A,$A1199,物件収支!$C:$C,$M1199))</f>
        <v>6</v>
      </c>
      <c r="O1199" s="1" t="n">
        <f aca="false">IF($A1199="","",SUMIFS(物件収支!$F:$F,物件収支!$A:$A,$A1199,物件収支!$C:$C,$M1199))</f>
        <v>330000</v>
      </c>
      <c r="P1199" s="1" t="n">
        <f aca="false">IF($A1199="","",SUMIFS(物件収支!$I:$I,物件収支!$A:$A,$A1199,物件収支!$C:$C,$M1199))</f>
        <v>212000</v>
      </c>
      <c r="Q1199" s="1" t="n">
        <f aca="false">IF($A1199="","",SUMIFS(物件収支!$O:$O,物件収支!$A:$A,$A1199,物件収支!$C:$C,$M1199))</f>
        <v>48000</v>
      </c>
      <c r="R1199" s="1" t="n">
        <f aca="false">IF($A1199="","",IF(P1199=0,"",O1199-P1199))</f>
        <v>118000</v>
      </c>
      <c r="S1199" s="1" t="n">
        <f aca="false">IF($A1199="","",IF(R1199="","",R1199+Q1199))</f>
        <v>166000</v>
      </c>
      <c r="T1199" s="1" t="n">
        <f aca="false">IF($A1199="","",IF(OR(S1199="",N1199&lt;=0),"",S1199/1000*12/N1199))</f>
        <v>332</v>
      </c>
      <c r="U1199" s="1" t="n">
        <f aca="false">IF($A1199="","",IF(OR(T1199="",J1199=0,J1199=""),"",T1199/J1199))</f>
        <v>0.0431729518855657</v>
      </c>
      <c r="V1199" s="1" t="n">
        <f aca="false">IF($A1199="","",IF(OR(R1199="",N1199&lt;=0,J1199=0,J1199=""),"",(R1199/1000*12/N1199)/J1199))</f>
        <v>0.0306892067620286</v>
      </c>
      <c r="W1199" s="1" t="n">
        <f aca="false">IF($A1199="","",IF(OR(T1199="",K1199=0,K1199=""),"",T1199/K1199))</f>
        <v>0.0349473684210526</v>
      </c>
      <c r="X1199" s="1" t="n">
        <f aca="false">IF($A1199="","",IF(OR(N1199&lt;=0,I1199=0,I1199="",O1199=0),"",O1199*1000/(I1199*0.3025)/N1199))</f>
        <v>22787.0888354658</v>
      </c>
      <c r="Y1199" s="1" t="n">
        <f aca="false">IF($A1199="","",IF(OR(O1199=0,O1199="",P1199=0),"",P1199/O1199))</f>
        <v>0.642424242424243</v>
      </c>
      <c r="Z1199" s="1" t="str">
        <f aca="false">IF($A1199="","",IFERROR(INDEX(物件収支!$E:$E,MATCH($A1199,物件収支!$A:$A,0)),""))</f>
        <v>開示（物件別・費用内訳含む・百万円単位）</v>
      </c>
    </row>
    <row r="1200" customFormat="false" ht="15" hidden="false" customHeight="true" outlineLevel="0" collapsed="false">
      <c r="A1200" s="1" t="str">
        <f aca="false">IF(物件マスタ!A1200="","",物件マスタ!A1200)</f>
        <v>JRE-027</v>
      </c>
      <c r="B1200" s="1" t="str">
        <f aca="false">IF($A1200="","",物件マスタ!B1200)</f>
        <v>JRE</v>
      </c>
      <c r="C1200" s="1" t="str">
        <f aca="false">IF($A1200="","",IFERROR(INDEX(法人マスタ!$C:$C,MATCH($B1200,法人マスタ!$A:$A,0)),""))</f>
        <v>ジャパンリアルエステイト投資法人</v>
      </c>
      <c r="D1200" s="1" t="str">
        <f aca="false">IF($A1200="","",物件マスタ!C1200)</f>
        <v>田町フロントビル</v>
      </c>
      <c r="E1200" s="1" t="str">
        <f aca="false">IF($A1200="","",物件マスタ!H1200)</f>
        <v>都心5区</v>
      </c>
      <c r="F1200" s="1" t="n">
        <f aca="false">IF($A1200="","",物件マスタ!P1200)</f>
        <v>0</v>
      </c>
      <c r="G1200" s="1" t="str">
        <f aca="false">IF($A1200="","",物件マスタ!Q1200)</f>
        <v/>
      </c>
      <c r="H1200" s="1" t="n">
        <f aca="false">IF($A1200="","",物件マスタ!L1200)</f>
        <v>0</v>
      </c>
      <c r="I1200" s="1" t="n">
        <f aca="false">IF($A1200="","",物件マスタ!M1200)</f>
        <v>3792</v>
      </c>
      <c r="J1200" s="1" t="n">
        <f aca="false">IF($A1200="","",物件マスタ!S1200)</f>
        <v>6210</v>
      </c>
      <c r="K1200" s="1" t="n">
        <f aca="false">IF($A1200="","",物件マスタ!U1200)</f>
        <v>8070</v>
      </c>
      <c r="L1200" s="1" t="n">
        <f aca="false">IF($A1200="","",物件マスタ!W1200)</f>
        <v>1</v>
      </c>
      <c r="M1200" s="1" t="str">
        <f aca="false">IF($A1200="","",IFERROR(INDEX(法人マスタ!$H:$H,MATCH($B1200,法人マスタ!$A:$A,0)),""))</f>
        <v>2026年3月期（第49期）</v>
      </c>
      <c r="N1200" s="1" t="n">
        <f aca="false">IF($A1200="","",SUMIFS(物件収支!$D:$D,物件収支!$A:$A,$A1200,物件収支!$C:$C,$M1200))</f>
        <v>6</v>
      </c>
      <c r="O1200" s="1" t="n">
        <f aca="false">IF($A1200="","",SUMIFS(物件収支!$F:$F,物件収支!$A:$A,$A1200,物件収支!$C:$C,$M1200))</f>
        <v>174000</v>
      </c>
      <c r="P1200" s="1" t="n">
        <f aca="false">IF($A1200="","",SUMIFS(物件収支!$I:$I,物件収支!$A:$A,$A1200,物件収支!$C:$C,$M1200))</f>
        <v>65000</v>
      </c>
      <c r="Q1200" s="1" t="n">
        <f aca="false">IF($A1200="","",SUMIFS(物件収支!$O:$O,物件収支!$A:$A,$A1200,物件収支!$C:$C,$M1200))</f>
        <v>27000</v>
      </c>
      <c r="R1200" s="1" t="n">
        <f aca="false">IF($A1200="","",IF(P1200=0,"",O1200-P1200))</f>
        <v>109000</v>
      </c>
      <c r="S1200" s="1" t="n">
        <f aca="false">IF($A1200="","",IF(R1200="","",R1200+Q1200))</f>
        <v>136000</v>
      </c>
      <c r="T1200" s="1" t="n">
        <f aca="false">IF($A1200="","",IF(OR(S1200="",N1200&lt;=0),"",S1200/1000*12/N1200))</f>
        <v>272</v>
      </c>
      <c r="U1200" s="1" t="n">
        <f aca="false">IF($A1200="","",IF(OR(T1200="",J1200=0,J1200=""),"",T1200/J1200))</f>
        <v>0.0438003220611916</v>
      </c>
      <c r="V1200" s="1" t="n">
        <f aca="false">IF($A1200="","",IF(OR(R1200="",N1200&lt;=0,J1200=0,J1200=""),"",(R1200/1000*12/N1200)/J1200))</f>
        <v>0.0351046698872786</v>
      </c>
      <c r="W1200" s="1" t="n">
        <f aca="false">IF($A1200="","",IF(OR(T1200="",K1200=0,K1200=""),"",T1200/K1200))</f>
        <v>0.0337050805452292</v>
      </c>
      <c r="X1200" s="1" t="n">
        <f aca="false">IF($A1200="","",IF(OR(N1200&lt;=0,I1200=0,I1200="",O1200=0),"",O1200*1000/(I1200*0.3025)/N1200))</f>
        <v>25281.5845451058</v>
      </c>
      <c r="Y1200" s="1" t="n">
        <f aca="false">IF($A1200="","",IF(OR(O1200=0,O1200="",P1200=0),"",P1200/O1200))</f>
        <v>0.373563218390805</v>
      </c>
      <c r="Z1200" s="1" t="str">
        <f aca="false">IF($A1200="","",IFERROR(INDEX(物件収支!$E:$E,MATCH($A1200,物件収支!$A:$A,0)),""))</f>
        <v>開示（物件別・費用内訳含む・百万円単位）</v>
      </c>
    </row>
    <row r="1201" customFormat="false" ht="16.5" hidden="false" customHeight="true" outlineLevel="0" collapsed="false">
      <c r="A1201" s="1" t="str">
        <f aca="false">IF(物件マスタ!A1201="","",物件マスタ!A1201)</f>
        <v>JRE-028</v>
      </c>
      <c r="B1201" s="1" t="str">
        <f aca="false">IF($A1201="","",物件マスタ!B1201)</f>
        <v>JRE</v>
      </c>
      <c r="C1201" s="1" t="str">
        <f aca="false">IF($A1201="","",IFERROR(INDEX(法人マスタ!$C:$C,MATCH($B1201,法人マスタ!$A:$A,0)),""))</f>
        <v>ジャパンリアルエステイト投資法人</v>
      </c>
      <c r="D1201" s="1" t="str">
        <f aca="false">IF($A1201="","",物件マスタ!C1201)</f>
        <v>新宿イーストサイドスクエア</v>
      </c>
      <c r="E1201" s="1" t="str">
        <f aca="false">IF($A1201="","",物件マスタ!H1201)</f>
        <v>都心5区</v>
      </c>
      <c r="F1201" s="1" t="n">
        <f aca="false">IF($A1201="","",物件マスタ!P1201)</f>
        <v>0</v>
      </c>
      <c r="G1201" s="1" t="str">
        <f aca="false">IF($A1201="","",物件マスタ!Q1201)</f>
        <v/>
      </c>
      <c r="H1201" s="1" t="n">
        <f aca="false">IF($A1201="","",物件マスタ!L1201)</f>
        <v>0</v>
      </c>
      <c r="I1201" s="1" t="n">
        <f aca="false">IF($A1201="","",物件マスタ!M1201)</f>
        <v>56145</v>
      </c>
      <c r="J1201" s="1" t="n">
        <f aca="false">IF($A1201="","",物件マスタ!S1201)</f>
        <v>92533</v>
      </c>
      <c r="K1201" s="1" t="n">
        <f aca="false">IF($A1201="","",物件マスタ!U1201)</f>
        <v>109000</v>
      </c>
      <c r="L1201" s="1" t="n">
        <f aca="false">IF($A1201="","",物件マスタ!W1201)</f>
        <v>0.998</v>
      </c>
      <c r="M1201" s="1" t="str">
        <f aca="false">IF($A1201="","",IFERROR(INDEX(法人マスタ!$H:$H,MATCH($B1201,法人マスタ!$A:$A,0)),""))</f>
        <v>2026年3月期（第49期）</v>
      </c>
      <c r="N1201" s="1" t="n">
        <f aca="false">IF($A1201="","",SUMIFS(物件収支!$D:$D,物件収支!$A:$A,$A1201,物件収支!$C:$C,$M1201))</f>
        <v>6</v>
      </c>
      <c r="O1201" s="1" t="n">
        <f aca="false">IF($A1201="","",SUMIFS(物件収支!$F:$F,物件収支!$A:$A,$A1201,物件収支!$C:$C,$M1201))</f>
        <v>1805000</v>
      </c>
      <c r="P1201" s="1" t="n">
        <f aca="false">IF($A1201="","",SUMIFS(物件収支!$I:$I,物件収支!$A:$A,$A1201,物件収支!$C:$C,$M1201))</f>
        <v>856000</v>
      </c>
      <c r="Q1201" s="1" t="n">
        <f aca="false">IF($A1201="","",SUMIFS(物件収支!$O:$O,物件収支!$A:$A,$A1201,物件収支!$C:$C,$M1201))</f>
        <v>343000</v>
      </c>
      <c r="R1201" s="1" t="n">
        <f aca="false">IF($A1201="","",IF(P1201=0,"",O1201-P1201))</f>
        <v>949000</v>
      </c>
      <c r="S1201" s="1" t="n">
        <f aca="false">IF($A1201="","",IF(R1201="","",R1201+Q1201))</f>
        <v>1292000</v>
      </c>
      <c r="T1201" s="1" t="n">
        <f aca="false">IF($A1201="","",IF(OR(S1201="",N1201&lt;=0),"",S1201/1000*12/N1201))</f>
        <v>2584</v>
      </c>
      <c r="U1201" s="1" t="n">
        <f aca="false">IF($A1201="","",IF(OR(T1201="",J1201=0,J1201=""),"",T1201/J1201))</f>
        <v>0.0279251726411118</v>
      </c>
      <c r="V1201" s="1" t="n">
        <f aca="false">IF($A1201="","",IF(OR(R1201="",N1201&lt;=0,J1201=0,J1201=""),"",(R1201/1000*12/N1201)/J1201))</f>
        <v>0.0205116012665752</v>
      </c>
      <c r="W1201" s="1" t="n">
        <f aca="false">IF($A1201="","",IF(OR(T1201="",K1201=0,K1201=""),"",T1201/K1201))</f>
        <v>0.0237064220183486</v>
      </c>
      <c r="X1201" s="1" t="n">
        <f aca="false">IF($A1201="","",IF(OR(N1201&lt;=0,I1201=0,I1201="",O1201=0),"",O1201*1000/(I1201*0.3025)/N1201))</f>
        <v>17712.8926552092</v>
      </c>
      <c r="Y1201" s="1" t="n">
        <f aca="false">IF($A1201="","",IF(OR(O1201=0,O1201="",P1201=0),"",P1201/O1201))</f>
        <v>0.474238227146814</v>
      </c>
      <c r="Z1201" s="1" t="str">
        <f aca="false">IF($A1201="","",IFERROR(INDEX(物件収支!$E:$E,MATCH($A1201,物件収支!$A:$A,0)),""))</f>
        <v>開示（物件別・費用内訳含む・百万円単位）</v>
      </c>
    </row>
    <row r="1202" customFormat="false" ht="16.5" hidden="false" customHeight="true" outlineLevel="0" collapsed="false">
      <c r="A1202" s="1" t="str">
        <f aca="false">IF(物件マスタ!A1202="","",物件マスタ!A1202)</f>
        <v>JRE-029</v>
      </c>
      <c r="B1202" s="1" t="str">
        <f aca="false">IF($A1202="","",物件マスタ!B1202)</f>
        <v>JRE</v>
      </c>
      <c r="C1202" s="1" t="str">
        <f aca="false">IF($A1202="","",IFERROR(INDEX(法人マスタ!$C:$C,MATCH($B1202,法人マスタ!$A:$A,0)),""))</f>
        <v>ジャパンリアルエステイト投資法人</v>
      </c>
      <c r="D1202" s="1" t="str">
        <f aca="false">IF($A1202="","",物件マスタ!C1202)</f>
        <v>新宿フロントタワー</v>
      </c>
      <c r="E1202" s="1" t="str">
        <f aca="false">IF($A1202="","",物件マスタ!H1202)</f>
        <v>都心5区</v>
      </c>
      <c r="F1202" s="1" t="n">
        <f aca="false">IF($A1202="","",物件マスタ!P1202)</f>
        <v>0</v>
      </c>
      <c r="G1202" s="1" t="str">
        <f aca="false">IF($A1202="","",物件マスタ!Q1202)</f>
        <v/>
      </c>
      <c r="H1202" s="1" t="n">
        <f aca="false">IF($A1202="","",物件マスタ!L1202)</f>
        <v>0</v>
      </c>
      <c r="I1202" s="1" t="n">
        <f aca="false">IF($A1202="","",物件マスタ!M1202)</f>
        <v>21416</v>
      </c>
      <c r="J1202" s="1" t="n">
        <f aca="false">IF($A1202="","",物件マスタ!S1202)</f>
        <v>35125</v>
      </c>
      <c r="K1202" s="1" t="n">
        <f aca="false">IF($A1202="","",物件マスタ!U1202)</f>
        <v>37800</v>
      </c>
      <c r="L1202" s="1" t="n">
        <f aca="false">IF($A1202="","",物件マスタ!W1202)</f>
        <v>1</v>
      </c>
      <c r="M1202" s="1" t="str">
        <f aca="false">IF($A1202="","",IFERROR(INDEX(法人マスタ!$H:$H,MATCH($B1202,法人マスタ!$A:$A,0)),""))</f>
        <v>2026年3月期（第49期）</v>
      </c>
      <c r="N1202" s="1" t="n">
        <f aca="false">IF($A1202="","",SUMIFS(物件収支!$D:$D,物件収支!$A:$A,$A1202,物件収支!$C:$C,$M1202))</f>
        <v>6</v>
      </c>
      <c r="O1202" s="1" t="n">
        <f aca="false">IF($A1202="","",SUMIFS(物件収支!$F:$F,物件収支!$A:$A,$A1202,物件収支!$C:$C,$M1202))</f>
        <v>902000</v>
      </c>
      <c r="P1202" s="1" t="n">
        <f aca="false">IF($A1202="","",SUMIFS(物件収支!$I:$I,物件収支!$A:$A,$A1202,物件収支!$C:$C,$M1202))</f>
        <v>470000</v>
      </c>
      <c r="Q1202" s="1" t="n">
        <f aca="false">IF($A1202="","",SUMIFS(物件収支!$O:$O,物件収支!$A:$A,$A1202,物件収支!$C:$C,$M1202))</f>
        <v>177000</v>
      </c>
      <c r="R1202" s="1" t="n">
        <f aca="false">IF($A1202="","",IF(P1202=0,"",O1202-P1202))</f>
        <v>432000</v>
      </c>
      <c r="S1202" s="1" t="n">
        <f aca="false">IF($A1202="","",IF(R1202="","",R1202+Q1202))</f>
        <v>609000</v>
      </c>
      <c r="T1202" s="1" t="n">
        <f aca="false">IF($A1202="","",IF(OR(S1202="",N1202&lt;=0),"",S1202/1000*12/N1202))</f>
        <v>1218</v>
      </c>
      <c r="U1202" s="1" t="n">
        <f aca="false">IF($A1202="","",IF(OR(T1202="",J1202=0,J1202=""),"",T1202/J1202))</f>
        <v>0.0346761565836299</v>
      </c>
      <c r="V1202" s="1" t="n">
        <f aca="false">IF($A1202="","",IF(OR(R1202="",N1202&lt;=0,J1202=0,J1202=""),"",(R1202/1000*12/N1202)/J1202))</f>
        <v>0.0245978647686833</v>
      </c>
      <c r="W1202" s="1" t="n">
        <f aca="false">IF($A1202="","",IF(OR(T1202="",K1202=0,K1202=""),"",T1202/K1202))</f>
        <v>0.0322222222222222</v>
      </c>
      <c r="X1202" s="1" t="n">
        <f aca="false">IF($A1202="","",IF(OR(N1202&lt;=0,I1202=0,I1202="",O1202=0),"",O1202*1000/(I1202*0.3025)/N1202))</f>
        <v>23205.5331046739</v>
      </c>
      <c r="Y1202" s="1" t="n">
        <f aca="false">IF($A1202="","",IF(OR(O1202=0,O1202="",P1202=0),"",P1202/O1202))</f>
        <v>0.521064301552107</v>
      </c>
      <c r="Z1202" s="1" t="str">
        <f aca="false">IF($A1202="","",IFERROR(INDEX(物件収支!$E:$E,MATCH($A1202,物件収支!$A:$A,0)),""))</f>
        <v>開示（物件別・費用内訳含む・百万円単位）</v>
      </c>
    </row>
    <row r="1203" customFormat="false" ht="16.5" hidden="false" customHeight="true" outlineLevel="0" collapsed="false">
      <c r="A1203" s="1" t="str">
        <f aca="false">IF(物件マスタ!A1203="","",物件マスタ!A1203)</f>
        <v>JRE-030</v>
      </c>
      <c r="B1203" s="1" t="str">
        <f aca="false">IF($A1203="","",物件マスタ!B1203)</f>
        <v>JRE</v>
      </c>
      <c r="C1203" s="1" t="str">
        <f aca="false">IF($A1203="","",IFERROR(INDEX(法人マスタ!$C:$C,MATCH($B1203,法人マスタ!$A:$A,0)),""))</f>
        <v>ジャパンリアルエステイト投資法人</v>
      </c>
      <c r="D1203" s="1" t="str">
        <f aca="false">IF($A1203="","",物件マスタ!C1203)</f>
        <v>コモレ四谷</v>
      </c>
      <c r="E1203" s="1" t="str">
        <f aca="false">IF($A1203="","",物件マスタ!H1203)</f>
        <v>都心5区</v>
      </c>
      <c r="F1203" s="1" t="n">
        <f aca="false">IF($A1203="","",物件マスタ!P1203)</f>
        <v>0</v>
      </c>
      <c r="G1203" s="1" t="str">
        <f aca="false">IF($A1203="","",物件マスタ!Q1203)</f>
        <v/>
      </c>
      <c r="H1203" s="1" t="n">
        <f aca="false">IF($A1203="","",物件マスタ!L1203)</f>
        <v>0</v>
      </c>
      <c r="I1203" s="1" t="n">
        <f aca="false">IF($A1203="","",物件マスタ!M1203)</f>
        <v>10997</v>
      </c>
      <c r="J1203" s="1" t="n">
        <f aca="false">IF($A1203="","",物件マスタ!S1203)</f>
        <v>29050</v>
      </c>
      <c r="K1203" s="1" t="n">
        <f aca="false">IF($A1203="","",物件マスタ!U1203)</f>
        <v>29800</v>
      </c>
      <c r="L1203" s="1" t="n">
        <f aca="false">IF($A1203="","",物件マスタ!W1203)</f>
        <v>0.999</v>
      </c>
      <c r="M1203" s="1" t="str">
        <f aca="false">IF($A1203="","",IFERROR(INDEX(法人マスタ!$H:$H,MATCH($B1203,法人マスタ!$A:$A,0)),""))</f>
        <v>2026年3月期（第49期）</v>
      </c>
      <c r="N1203" s="1" t="n">
        <f aca="false">IF($A1203="","",SUMIFS(物件収支!$D:$D,物件収支!$A:$A,$A1203,物件収支!$C:$C,$M1203))</f>
        <v>6</v>
      </c>
      <c r="O1203" s="1" t="n">
        <f aca="false">IF($A1203="","",SUMIFS(物件収支!$F:$F,物件収支!$A:$A,$A1203,物件収支!$C:$C,$M1203))</f>
        <v>653000</v>
      </c>
      <c r="P1203" s="1" t="n">
        <f aca="false">IF($A1203="","",SUMIFS(物件収支!$I:$I,物件収支!$A:$A,$A1203,物件収支!$C:$C,$M1203))</f>
        <v>241000</v>
      </c>
      <c r="Q1203" s="1" t="n">
        <f aca="false">IF($A1203="","",SUMIFS(物件収支!$O:$O,物件収支!$A:$A,$A1203,物件収支!$C:$C,$M1203))</f>
        <v>147000</v>
      </c>
      <c r="R1203" s="1" t="n">
        <f aca="false">IF($A1203="","",IF(P1203=0,"",O1203-P1203))</f>
        <v>412000</v>
      </c>
      <c r="S1203" s="1" t="n">
        <f aca="false">IF($A1203="","",IF(R1203="","",R1203+Q1203))</f>
        <v>559000</v>
      </c>
      <c r="T1203" s="1" t="n">
        <f aca="false">IF($A1203="","",IF(OR(S1203="",N1203&lt;=0),"",S1203/1000*12/N1203))</f>
        <v>1118</v>
      </c>
      <c r="U1203" s="1" t="n">
        <f aca="false">IF($A1203="","",IF(OR(T1203="",J1203=0,J1203=""),"",T1203/J1203))</f>
        <v>0.0384853700516351</v>
      </c>
      <c r="V1203" s="1" t="n">
        <f aca="false">IF($A1203="","",IF(OR(R1203="",N1203&lt;=0,J1203=0,J1203=""),"",(R1203/1000*12/N1203)/J1203))</f>
        <v>0.0283648881239243</v>
      </c>
      <c r="W1203" s="1" t="n">
        <f aca="false">IF($A1203="","",IF(OR(T1203="",K1203=0,K1203=""),"",T1203/K1203))</f>
        <v>0.0375167785234899</v>
      </c>
      <c r="X1203" s="1" t="n">
        <f aca="false">IF($A1203="","",IF(OR(N1203&lt;=0,I1203=0,I1203="",O1203=0),"",O1203*1000/(I1203*0.3025)/N1203))</f>
        <v>32716.1602550758</v>
      </c>
      <c r="Y1203" s="1" t="n">
        <f aca="false">IF($A1203="","",IF(OR(O1203=0,O1203="",P1203=0),"",P1203/O1203))</f>
        <v>0.36906584992343</v>
      </c>
      <c r="Z1203" s="1" t="str">
        <f aca="false">IF($A1203="","",IFERROR(INDEX(物件収支!$E:$E,MATCH($A1203,物件収支!$A:$A,0)),""))</f>
        <v>開示（物件別・費用内訳含む・百万円単位）</v>
      </c>
    </row>
    <row r="1204" customFormat="false" ht="16.5" hidden="false" customHeight="true" outlineLevel="0" collapsed="false">
      <c r="A1204" s="1" t="str">
        <f aca="false">IF(物件マスタ!A1204="","",物件マスタ!A1204)</f>
        <v>JRE-031</v>
      </c>
      <c r="B1204" s="1" t="str">
        <f aca="false">IF($A1204="","",物件マスタ!B1204)</f>
        <v>JRE</v>
      </c>
      <c r="C1204" s="1" t="str">
        <f aca="false">IF($A1204="","",IFERROR(INDEX(法人マスタ!$C:$C,MATCH($B1204,法人マスタ!$A:$A,0)),""))</f>
        <v>ジャパンリアルエステイト投資法人</v>
      </c>
      <c r="D1204" s="1" t="str">
        <f aca="false">IF($A1204="","",物件マスタ!C1204)</f>
        <v>ＪＲＥ西新宿テラス</v>
      </c>
      <c r="E1204" s="1" t="str">
        <f aca="false">IF($A1204="","",物件マスタ!H1204)</f>
        <v>都心5区</v>
      </c>
      <c r="F1204" s="1" t="n">
        <f aca="false">IF($A1204="","",物件マスタ!P1204)</f>
        <v>0</v>
      </c>
      <c r="G1204" s="1" t="str">
        <f aca="false">IF($A1204="","",物件マスタ!Q1204)</f>
        <v/>
      </c>
      <c r="H1204" s="1" t="n">
        <f aca="false">IF($A1204="","",物件マスタ!L1204)</f>
        <v>0</v>
      </c>
      <c r="I1204" s="1" t="n">
        <f aca="false">IF($A1204="","",物件マスタ!M1204)</f>
        <v>6036</v>
      </c>
      <c r="J1204" s="1" t="n">
        <f aca="false">IF($A1204="","",物件マスタ!S1204)</f>
        <v>7830</v>
      </c>
      <c r="K1204" s="1" t="n">
        <f aca="false">IF($A1204="","",物件マスタ!U1204)</f>
        <v>10100</v>
      </c>
      <c r="L1204" s="1" t="n">
        <f aca="false">IF($A1204="","",物件マスタ!W1204)</f>
        <v>1</v>
      </c>
      <c r="M1204" s="1" t="str">
        <f aca="false">IF($A1204="","",IFERROR(INDEX(法人マスタ!$H:$H,MATCH($B1204,法人マスタ!$A:$A,0)),""))</f>
        <v>2026年3月期（第49期）</v>
      </c>
      <c r="N1204" s="1" t="n">
        <f aca="false">IF($A1204="","",SUMIFS(物件収支!$D:$D,物件収支!$A:$A,$A1204,物件収支!$C:$C,$M1204))</f>
        <v>6</v>
      </c>
      <c r="O1204" s="1" t="n">
        <f aca="false">IF($A1204="","",SUMIFS(物件収支!$F:$F,物件収支!$A:$A,$A1204,物件収支!$C:$C,$M1204))</f>
        <v>249000</v>
      </c>
      <c r="P1204" s="1" t="n">
        <f aca="false">IF($A1204="","",SUMIFS(物件収支!$I:$I,物件収支!$A:$A,$A1204,物件収支!$C:$C,$M1204))</f>
        <v>119000</v>
      </c>
      <c r="Q1204" s="1" t="n">
        <f aca="false">IF($A1204="","",SUMIFS(物件収支!$O:$O,物件収支!$A:$A,$A1204,物件収支!$C:$C,$M1204))</f>
        <v>44000</v>
      </c>
      <c r="R1204" s="1" t="n">
        <f aca="false">IF($A1204="","",IF(P1204=0,"",O1204-P1204))</f>
        <v>130000</v>
      </c>
      <c r="S1204" s="1" t="n">
        <f aca="false">IF($A1204="","",IF(R1204="","",R1204+Q1204))</f>
        <v>174000</v>
      </c>
      <c r="T1204" s="1" t="n">
        <f aca="false">IF($A1204="","",IF(OR(S1204="",N1204&lt;=0),"",S1204/1000*12/N1204))</f>
        <v>348</v>
      </c>
      <c r="U1204" s="1" t="n">
        <f aca="false">IF($A1204="","",IF(OR(T1204="",J1204=0,J1204=""),"",T1204/J1204))</f>
        <v>0.0444444444444444</v>
      </c>
      <c r="V1204" s="1" t="n">
        <f aca="false">IF($A1204="","",IF(OR(R1204="",N1204&lt;=0,J1204=0,J1204=""),"",(R1204/1000*12/N1204)/J1204))</f>
        <v>0.033205619412516</v>
      </c>
      <c r="W1204" s="1" t="n">
        <f aca="false">IF($A1204="","",IF(OR(T1204="",K1204=0,K1204=""),"",T1204/K1204))</f>
        <v>0.0344554455445545</v>
      </c>
      <c r="X1204" s="1" t="n">
        <f aca="false">IF($A1204="","",IF(OR(N1204&lt;=0,I1204=0,I1204="",O1204=0),"",O1204*1000/(I1204*0.3025)/N1204))</f>
        <v>22728.6419225693</v>
      </c>
      <c r="Y1204" s="1" t="n">
        <f aca="false">IF($A1204="","",IF(OR(O1204=0,O1204="",P1204=0),"",P1204/O1204))</f>
        <v>0.477911646586345</v>
      </c>
      <c r="Z1204" s="1" t="str">
        <f aca="false">IF($A1204="","",IFERROR(INDEX(物件収支!$E:$E,MATCH($A1204,物件収支!$A:$A,0)),""))</f>
        <v>開示（物件別・費用内訳含む・百万円単位）</v>
      </c>
    </row>
    <row r="1205" customFormat="false" ht="16.5" hidden="false" customHeight="true" outlineLevel="0" collapsed="false">
      <c r="A1205" s="1" t="str">
        <f aca="false">IF(物件マスタ!A1205="","",物件マスタ!A1205)</f>
        <v>JRE-032</v>
      </c>
      <c r="B1205" s="1" t="str">
        <f aca="false">IF($A1205="","",物件マスタ!B1205)</f>
        <v>JRE</v>
      </c>
      <c r="C1205" s="1" t="str">
        <f aca="false">IF($A1205="","",IFERROR(INDEX(法人マスタ!$C:$C,MATCH($B1205,法人マスタ!$A:$A,0)),""))</f>
        <v>ジャパンリアルエステイト投資法人</v>
      </c>
      <c r="D1205" s="1" t="str">
        <f aca="false">IF($A1205="","",物件マスタ!C1205)</f>
        <v>東京オペラシティビル</v>
      </c>
      <c r="E1205" s="1" t="str">
        <f aca="false">IF($A1205="","",物件マスタ!H1205)</f>
        <v>都心5区</v>
      </c>
      <c r="F1205" s="1" t="n">
        <f aca="false">IF($A1205="","",物件マスタ!P1205)</f>
        <v>0</v>
      </c>
      <c r="G1205" s="1" t="str">
        <f aca="false">IF($A1205="","",物件マスタ!Q1205)</f>
        <v/>
      </c>
      <c r="H1205" s="1" t="n">
        <f aca="false">IF($A1205="","",物件マスタ!L1205)</f>
        <v>0</v>
      </c>
      <c r="I1205" s="1" t="n">
        <f aca="false">IF($A1205="","",物件マスタ!M1205)</f>
        <v>34948</v>
      </c>
      <c r="J1205" s="1" t="n">
        <f aca="false">IF($A1205="","",物件マスタ!S1205)</f>
        <v>31776.8</v>
      </c>
      <c r="K1205" s="1" t="n">
        <f aca="false">IF($A1205="","",物件マスタ!U1205)</f>
        <v>35800</v>
      </c>
      <c r="L1205" s="1" t="n">
        <f aca="false">IF($A1205="","",物件マスタ!W1205)</f>
        <v>0.997</v>
      </c>
      <c r="M1205" s="1" t="str">
        <f aca="false">IF($A1205="","",IFERROR(INDEX(法人マスタ!$H:$H,MATCH($B1205,法人マスタ!$A:$A,0)),""))</f>
        <v>2026年3月期（第49期）</v>
      </c>
      <c r="N1205" s="1" t="n">
        <f aca="false">IF($A1205="","",SUMIFS(物件収支!$D:$D,物件収支!$A:$A,$A1205,物件収支!$C:$C,$M1205))</f>
        <v>6</v>
      </c>
      <c r="O1205" s="1" t="n">
        <f aca="false">IF($A1205="","",SUMIFS(物件収支!$F:$F,物件収支!$A:$A,$A1205,物件収支!$C:$C,$M1205))</f>
        <v>1570000</v>
      </c>
      <c r="P1205" s="1" t="n">
        <f aca="false">IF($A1205="","",SUMIFS(物件収支!$I:$I,物件収支!$A:$A,$A1205,物件収支!$C:$C,$M1205))</f>
        <v>1363000</v>
      </c>
      <c r="Q1205" s="1" t="n">
        <f aca="false">IF($A1205="","",SUMIFS(物件収支!$O:$O,物件収支!$A:$A,$A1205,物件収支!$C:$C,$M1205))</f>
        <v>0</v>
      </c>
      <c r="R1205" s="1" t="n">
        <f aca="false">IF($A1205="","",IF(P1205=0,"",O1205-P1205))</f>
        <v>207000</v>
      </c>
      <c r="S1205" s="1" t="n">
        <f aca="false">IF($A1205="","",IF(R1205="","",R1205+Q1205))</f>
        <v>207000</v>
      </c>
      <c r="T1205" s="1" t="n">
        <f aca="false">IF($A1205="","",IF(OR(S1205="",N1205&lt;=0),"",S1205/1000*12/N1205))</f>
        <v>414</v>
      </c>
      <c r="U1205" s="1" t="n">
        <f aca="false">IF($A1205="","",IF(OR(T1205="",J1205=0,J1205=""),"",T1205/J1205))</f>
        <v>0.0130283729009844</v>
      </c>
      <c r="V1205" s="1" t="n">
        <f aca="false">IF($A1205="","",IF(OR(R1205="",N1205&lt;=0,J1205=0,J1205=""),"",(R1205/1000*12/N1205)/J1205))</f>
        <v>0.0130283729009844</v>
      </c>
      <c r="W1205" s="1" t="n">
        <f aca="false">IF($A1205="","",IF(OR(T1205="",K1205=0,K1205=""),"",T1205/K1205))</f>
        <v>0.0115642458100559</v>
      </c>
      <c r="X1205" s="1" t="n">
        <f aca="false">IF($A1205="","",IF(OR(N1205&lt;=0,I1205=0,I1205="",O1205=0),"",O1205*1000/(I1205*0.3025)/N1205))</f>
        <v>24751.4528472211</v>
      </c>
      <c r="Y1205" s="1" t="n">
        <f aca="false">IF($A1205="","",IF(OR(O1205=0,O1205="",P1205=0),"",P1205/O1205))</f>
        <v>0.868152866242038</v>
      </c>
      <c r="Z1205" s="1" t="str">
        <f aca="false">IF($A1205="","",IFERROR(INDEX(物件収支!$E:$E,MATCH($A1205,物件収支!$A:$A,0)),""))</f>
        <v>一部開示（収益・費用計・損益のみ・百万円単位）</v>
      </c>
    </row>
    <row r="1206" customFormat="false" ht="16.5" hidden="false" customHeight="true" outlineLevel="0" collapsed="false">
      <c r="A1206" s="1" t="str">
        <f aca="false">IF(物件マスタ!A1206="","",物件マスタ!A1206)</f>
        <v>JRE-033</v>
      </c>
      <c r="B1206" s="1" t="str">
        <f aca="false">IF($A1206="","",物件マスタ!B1206)</f>
        <v>JRE</v>
      </c>
      <c r="C1206" s="1" t="str">
        <f aca="false">IF($A1206="","",IFERROR(INDEX(法人マスタ!$C:$C,MATCH($B1206,法人マスタ!$A:$A,0)),""))</f>
        <v>ジャパンリアルエステイト投資法人</v>
      </c>
      <c r="D1206" s="1" t="str">
        <f aca="false">IF($A1206="","",物件マスタ!C1206)</f>
        <v>フロントプレイス南新宿</v>
      </c>
      <c r="E1206" s="1" t="str">
        <f aca="false">IF($A1206="","",物件マスタ!H1206)</f>
        <v>都心5区</v>
      </c>
      <c r="F1206" s="1" t="n">
        <f aca="false">IF($A1206="","",物件マスタ!P1206)</f>
        <v>0</v>
      </c>
      <c r="G1206" s="1" t="str">
        <f aca="false">IF($A1206="","",物件マスタ!Q1206)</f>
        <v/>
      </c>
      <c r="H1206" s="1" t="n">
        <f aca="false">IF($A1206="","",物件マスタ!L1206)</f>
        <v>0</v>
      </c>
      <c r="I1206" s="1" t="n">
        <f aca="false">IF($A1206="","",物件マスタ!M1206)</f>
        <v>4095</v>
      </c>
      <c r="J1206" s="1" t="n">
        <f aca="false">IF($A1206="","",物件マスタ!S1206)</f>
        <v>9250</v>
      </c>
      <c r="K1206" s="1" t="n">
        <f aca="false">IF($A1206="","",物件マスタ!U1206)</f>
        <v>9720</v>
      </c>
      <c r="L1206" s="1" t="n">
        <f aca="false">IF($A1206="","",物件マスタ!W1206)</f>
        <v>1</v>
      </c>
      <c r="M1206" s="1" t="str">
        <f aca="false">IF($A1206="","",IFERROR(INDEX(法人マスタ!$H:$H,MATCH($B1206,法人マスタ!$A:$A,0)),""))</f>
        <v>2026年3月期（第49期）</v>
      </c>
      <c r="N1206" s="1" t="n">
        <f aca="false">IF($A1206="","",SUMIFS(物件収支!$D:$D,物件収支!$A:$A,$A1206,物件収支!$C:$C,$M1206))</f>
        <v>6</v>
      </c>
      <c r="O1206" s="1" t="n">
        <f aca="false">IF($A1206="","",SUMIFS(物件収支!$F:$F,物件収支!$A:$A,$A1206,物件収支!$C:$C,$M1206))</f>
        <v>200000</v>
      </c>
      <c r="P1206" s="1" t="n">
        <f aca="false">IF($A1206="","",SUMIFS(物件収支!$I:$I,物件収支!$A:$A,$A1206,物件収支!$C:$C,$M1206))</f>
        <v>93000</v>
      </c>
      <c r="Q1206" s="1" t="n">
        <f aca="false">IF($A1206="","",SUMIFS(物件収支!$O:$O,物件収支!$A:$A,$A1206,物件収支!$C:$C,$M1206))</f>
        <v>28000</v>
      </c>
      <c r="R1206" s="1" t="n">
        <f aca="false">IF($A1206="","",IF(P1206=0,"",O1206-P1206))</f>
        <v>107000</v>
      </c>
      <c r="S1206" s="1" t="n">
        <f aca="false">IF($A1206="","",IF(R1206="","",R1206+Q1206))</f>
        <v>135000</v>
      </c>
      <c r="T1206" s="1" t="n">
        <f aca="false">IF($A1206="","",IF(OR(S1206="",N1206&lt;=0),"",S1206/1000*12/N1206))</f>
        <v>270</v>
      </c>
      <c r="U1206" s="1" t="n">
        <f aca="false">IF($A1206="","",IF(OR(T1206="",J1206=0,J1206=""),"",T1206/J1206))</f>
        <v>0.0291891891891892</v>
      </c>
      <c r="V1206" s="1" t="n">
        <f aca="false">IF($A1206="","",IF(OR(R1206="",N1206&lt;=0,J1206=0,J1206=""),"",(R1206/1000*12/N1206)/J1206))</f>
        <v>0.0231351351351351</v>
      </c>
      <c r="W1206" s="1" t="n">
        <f aca="false">IF($A1206="","",IF(OR(T1206="",K1206=0,K1206=""),"",T1206/K1206))</f>
        <v>0.0277777777777778</v>
      </c>
      <c r="X1206" s="1" t="n">
        <f aca="false">IF($A1206="","",IF(OR(N1206&lt;=0,I1206=0,I1206="",O1206=0),"",O1206*1000/(I1206*0.3025)/N1206))</f>
        <v>26909.1178182087</v>
      </c>
      <c r="Y1206" s="1" t="n">
        <f aca="false">IF($A1206="","",IF(OR(O1206=0,O1206="",P1206=0),"",P1206/O1206))</f>
        <v>0.465</v>
      </c>
      <c r="Z1206" s="1" t="str">
        <f aca="false">IF($A1206="","",IFERROR(INDEX(物件収支!$E:$E,MATCH($A1206,物件収支!$A:$A,0)),""))</f>
        <v>開示（物件別・費用内訳含む・百万円単位）</v>
      </c>
    </row>
    <row r="1207" customFormat="false" ht="16.5" hidden="false" customHeight="true" outlineLevel="0" collapsed="false">
      <c r="A1207" s="1" t="str">
        <f aca="false">IF(物件マスタ!A1207="","",物件マスタ!A1207)</f>
        <v>JRE-034</v>
      </c>
      <c r="B1207" s="1" t="str">
        <f aca="false">IF($A1207="","",物件マスタ!B1207)</f>
        <v>JRE</v>
      </c>
      <c r="C1207" s="1" t="str">
        <f aca="false">IF($A1207="","",IFERROR(INDEX(法人マスタ!$C:$C,MATCH($B1207,法人マスタ!$A:$A,0)),""))</f>
        <v>ジャパンリアルエステイト投資法人</v>
      </c>
      <c r="D1207" s="1" t="str">
        <f aca="false">IF($A1207="","",物件マスタ!C1207)</f>
        <v>リンクスクエア新宿</v>
      </c>
      <c r="E1207" s="1" t="str">
        <f aca="false">IF($A1207="","",物件マスタ!H1207)</f>
        <v>都心5区</v>
      </c>
      <c r="F1207" s="1" t="n">
        <f aca="false">IF($A1207="","",物件マスタ!P1207)</f>
        <v>0</v>
      </c>
      <c r="G1207" s="1" t="str">
        <f aca="false">IF($A1207="","",物件マスタ!Q1207)</f>
        <v/>
      </c>
      <c r="H1207" s="1" t="n">
        <f aca="false">IF($A1207="","",物件マスタ!L1207)</f>
        <v>0</v>
      </c>
      <c r="I1207" s="1" t="n">
        <f aca="false">IF($A1207="","",物件マスタ!M1207)</f>
        <v>9786</v>
      </c>
      <c r="J1207" s="1" t="n">
        <f aca="false">IF($A1207="","",物件マスタ!S1207)</f>
        <v>22800</v>
      </c>
      <c r="K1207" s="1" t="n">
        <f aca="false">IF($A1207="","",物件マスタ!U1207)</f>
        <v>27700</v>
      </c>
      <c r="L1207" s="1" t="n">
        <f aca="false">IF($A1207="","",物件マスタ!W1207)</f>
        <v>1</v>
      </c>
      <c r="M1207" s="1" t="str">
        <f aca="false">IF($A1207="","",IFERROR(INDEX(法人マスタ!$H:$H,MATCH($B1207,法人マスタ!$A:$A,0)),""))</f>
        <v>2026年3月期（第49期）</v>
      </c>
      <c r="N1207" s="1" t="n">
        <f aca="false">IF($A1207="","",SUMIFS(物件収支!$D:$D,物件収支!$A:$A,$A1207,物件収支!$C:$C,$M1207))</f>
        <v>6</v>
      </c>
      <c r="O1207" s="1" t="n">
        <f aca="false">IF($A1207="","",SUMIFS(物件収支!$F:$F,物件収支!$A:$A,$A1207,物件収支!$C:$C,$M1207))</f>
        <v>599000</v>
      </c>
      <c r="P1207" s="1" t="n">
        <f aca="false">IF($A1207="","",SUMIFS(物件収支!$I:$I,物件収支!$A:$A,$A1207,物件収支!$C:$C,$M1207))</f>
        <v>271000</v>
      </c>
      <c r="Q1207" s="1" t="n">
        <f aca="false">IF($A1207="","",SUMIFS(物件収支!$O:$O,物件収支!$A:$A,$A1207,物件収支!$C:$C,$M1207))</f>
        <v>132000</v>
      </c>
      <c r="R1207" s="1" t="n">
        <f aca="false">IF($A1207="","",IF(P1207=0,"",O1207-P1207))</f>
        <v>328000</v>
      </c>
      <c r="S1207" s="1" t="n">
        <f aca="false">IF($A1207="","",IF(R1207="","",R1207+Q1207))</f>
        <v>460000</v>
      </c>
      <c r="T1207" s="1" t="n">
        <f aca="false">IF($A1207="","",IF(OR(S1207="",N1207&lt;=0),"",S1207/1000*12/N1207))</f>
        <v>920</v>
      </c>
      <c r="U1207" s="1" t="n">
        <f aca="false">IF($A1207="","",IF(OR(T1207="",J1207=0,J1207=""),"",T1207/J1207))</f>
        <v>0.0403508771929825</v>
      </c>
      <c r="V1207" s="1" t="n">
        <f aca="false">IF($A1207="","",IF(OR(R1207="",N1207&lt;=0,J1207=0,J1207=""),"",(R1207/1000*12/N1207)/J1207))</f>
        <v>0.0287719298245614</v>
      </c>
      <c r="W1207" s="1" t="n">
        <f aca="false">IF($A1207="","",IF(OR(T1207="",K1207=0,K1207=""),"",T1207/K1207))</f>
        <v>0.0332129963898917</v>
      </c>
      <c r="X1207" s="1" t="n">
        <f aca="false">IF($A1207="","",IF(OR(N1207&lt;=0,I1207=0,I1207="",O1207=0),"",O1207*1000/(I1207*0.3025)/N1207))</f>
        <v>33724.4582269943</v>
      </c>
      <c r="Y1207" s="1" t="n">
        <f aca="false">IF($A1207="","",IF(OR(O1207=0,O1207="",P1207=0),"",P1207/O1207))</f>
        <v>0.452420701168614</v>
      </c>
      <c r="Z1207" s="1" t="str">
        <f aca="false">IF($A1207="","",IFERROR(INDEX(物件収支!$E:$E,MATCH($A1207,物件収支!$A:$A,0)),""))</f>
        <v>開示（物件別・費用内訳含む・百万円単位）</v>
      </c>
    </row>
    <row r="1208" customFormat="false" ht="16.5" hidden="false" customHeight="true" outlineLevel="0" collapsed="false">
      <c r="A1208" s="1" t="str">
        <f aca="false">IF(物件マスタ!A1208="","",物件マスタ!A1208)</f>
        <v>JRE-035</v>
      </c>
      <c r="B1208" s="1" t="str">
        <f aca="false">IF($A1208="","",物件マスタ!B1208)</f>
        <v>JRE</v>
      </c>
      <c r="C1208" s="1" t="str">
        <f aca="false">IF($A1208="","",IFERROR(INDEX(法人マスタ!$C:$C,MATCH($B1208,法人マスタ!$A:$A,0)),""))</f>
        <v>ジャパンリアルエステイト投資法人</v>
      </c>
      <c r="D1208" s="1" t="str">
        <f aca="false">IF($A1208="","",物件マスタ!C1208)</f>
        <v>ＪＲＥ代々木一丁目ビル</v>
      </c>
      <c r="E1208" s="1" t="str">
        <f aca="false">IF($A1208="","",物件マスタ!H1208)</f>
        <v>都心5区</v>
      </c>
      <c r="F1208" s="1" t="n">
        <f aca="false">IF($A1208="","",物件マスタ!P1208)</f>
        <v>0</v>
      </c>
      <c r="G1208" s="1" t="str">
        <f aca="false">IF($A1208="","",物件マスタ!Q1208)</f>
        <v/>
      </c>
      <c r="H1208" s="1" t="n">
        <f aca="false">IF($A1208="","",物件マスタ!L1208)</f>
        <v>0</v>
      </c>
      <c r="I1208" s="1" t="n">
        <f aca="false">IF($A1208="","",物件マスタ!M1208)</f>
        <v>7745</v>
      </c>
      <c r="J1208" s="1" t="n">
        <f aca="false">IF($A1208="","",物件マスタ!S1208)</f>
        <v>8700</v>
      </c>
      <c r="K1208" s="1" t="n">
        <f aca="false">IF($A1208="","",物件マスタ!U1208)</f>
        <v>14100</v>
      </c>
      <c r="L1208" s="1" t="n">
        <f aca="false">IF($A1208="","",物件マスタ!W1208)</f>
        <v>1</v>
      </c>
      <c r="M1208" s="1" t="str">
        <f aca="false">IF($A1208="","",IFERROR(INDEX(法人マスタ!$H:$H,MATCH($B1208,法人マスタ!$A:$A,0)),""))</f>
        <v>2026年3月期（第49期）</v>
      </c>
      <c r="N1208" s="1" t="n">
        <f aca="false">IF($A1208="","",SUMIFS(物件収支!$D:$D,物件収支!$A:$A,$A1208,物件収支!$C:$C,$M1208))</f>
        <v>6</v>
      </c>
      <c r="O1208" s="1" t="n">
        <f aca="false">IF($A1208="","",SUMIFS(物件収支!$F:$F,物件収支!$A:$A,$A1208,物件収支!$C:$C,$M1208))</f>
        <v>352000</v>
      </c>
      <c r="P1208" s="1" t="n">
        <f aca="false">IF($A1208="","",SUMIFS(物件収支!$I:$I,物件収支!$A:$A,$A1208,物件収支!$C:$C,$M1208))</f>
        <v>135000</v>
      </c>
      <c r="Q1208" s="1" t="n">
        <f aca="false">IF($A1208="","",SUMIFS(物件収支!$O:$O,物件収支!$A:$A,$A1208,物件収支!$C:$C,$M1208))</f>
        <v>58000</v>
      </c>
      <c r="R1208" s="1" t="n">
        <f aca="false">IF($A1208="","",IF(P1208=0,"",O1208-P1208))</f>
        <v>217000</v>
      </c>
      <c r="S1208" s="1" t="n">
        <f aca="false">IF($A1208="","",IF(R1208="","",R1208+Q1208))</f>
        <v>275000</v>
      </c>
      <c r="T1208" s="1" t="n">
        <f aca="false">IF($A1208="","",IF(OR(S1208="",N1208&lt;=0),"",S1208/1000*12/N1208))</f>
        <v>550</v>
      </c>
      <c r="U1208" s="1" t="n">
        <f aca="false">IF($A1208="","",IF(OR(T1208="",J1208=0,J1208=""),"",T1208/J1208))</f>
        <v>0.0632183908045977</v>
      </c>
      <c r="V1208" s="1" t="n">
        <f aca="false">IF($A1208="","",IF(OR(R1208="",N1208&lt;=0,J1208=0,J1208=""),"",(R1208/1000*12/N1208)/J1208))</f>
        <v>0.0498850574712644</v>
      </c>
      <c r="W1208" s="1" t="n">
        <f aca="false">IF($A1208="","",IF(OR(T1208="",K1208=0,K1208=""),"",T1208/K1208))</f>
        <v>0.0390070921985816</v>
      </c>
      <c r="X1208" s="1" t="n">
        <f aca="false">IF($A1208="","",IF(OR(N1208&lt;=0,I1208=0,I1208="",O1208=0),"",O1208*1000/(I1208*0.3025)/N1208))</f>
        <v>25040.5931490502</v>
      </c>
      <c r="Y1208" s="1" t="n">
        <f aca="false">IF($A1208="","",IF(OR(O1208=0,O1208="",P1208=0),"",P1208/O1208))</f>
        <v>0.383522727272727</v>
      </c>
      <c r="Z1208" s="1" t="str">
        <f aca="false">IF($A1208="","",IFERROR(INDEX(物件収支!$E:$E,MATCH($A1208,物件収支!$A:$A,0)),""))</f>
        <v>開示（物件別・費用内訳含む・百万円単位）</v>
      </c>
    </row>
    <row r="1209" customFormat="false" ht="16.5" hidden="false" customHeight="true" outlineLevel="0" collapsed="false">
      <c r="A1209" s="1" t="str">
        <f aca="false">IF(物件マスタ!A1209="","",物件マスタ!A1209)</f>
        <v>JRE-036</v>
      </c>
      <c r="B1209" s="1" t="str">
        <f aca="false">IF($A1209="","",物件マスタ!B1209)</f>
        <v>JRE</v>
      </c>
      <c r="C1209" s="1" t="str">
        <f aca="false">IF($A1209="","",IFERROR(INDEX(法人マスタ!$C:$C,MATCH($B1209,法人マスタ!$A:$A,0)),""))</f>
        <v>ジャパンリアルエステイト投資法人</v>
      </c>
      <c r="D1209" s="1" t="str">
        <f aca="false">IF($A1209="","",物件マスタ!C1209)</f>
        <v>ＪＲＥ神宮前テラス</v>
      </c>
      <c r="E1209" s="1" t="str">
        <f aca="false">IF($A1209="","",物件マスタ!H1209)</f>
        <v>都心5区</v>
      </c>
      <c r="F1209" s="1" t="n">
        <f aca="false">IF($A1209="","",物件マスタ!P1209)</f>
        <v>0</v>
      </c>
      <c r="G1209" s="1" t="str">
        <f aca="false">IF($A1209="","",物件マスタ!Q1209)</f>
        <v/>
      </c>
      <c r="H1209" s="1" t="n">
        <f aca="false">IF($A1209="","",物件マスタ!L1209)</f>
        <v>0</v>
      </c>
      <c r="I1209" s="1" t="n">
        <f aca="false">IF($A1209="","",物件マスタ!M1209)</f>
        <v>3147</v>
      </c>
      <c r="J1209" s="1" t="n">
        <f aca="false">IF($A1209="","",物件マスタ!S1209)</f>
        <v>4885</v>
      </c>
      <c r="K1209" s="1" t="n">
        <f aca="false">IF($A1209="","",物件マスタ!U1209)</f>
        <v>8060</v>
      </c>
      <c r="L1209" s="1" t="n">
        <f aca="false">IF($A1209="","",物件マスタ!W1209)</f>
        <v>1</v>
      </c>
      <c r="M1209" s="1" t="str">
        <f aca="false">IF($A1209="","",IFERROR(INDEX(法人マスタ!$H:$H,MATCH($B1209,法人マスタ!$A:$A,0)),""))</f>
        <v>2026年3月期（第49期）</v>
      </c>
      <c r="N1209" s="1" t="n">
        <f aca="false">IF($A1209="","",SUMIFS(物件収支!$D:$D,物件収支!$A:$A,$A1209,物件収支!$C:$C,$M1209))</f>
        <v>6</v>
      </c>
      <c r="O1209" s="1" t="n">
        <f aca="false">IF($A1209="","",SUMIFS(物件収支!$F:$F,物件収支!$A:$A,$A1209,物件収支!$C:$C,$M1209))</f>
        <v>185000</v>
      </c>
      <c r="P1209" s="1" t="n">
        <f aca="false">IF($A1209="","",SUMIFS(物件収支!$I:$I,物件収支!$A:$A,$A1209,物件収支!$C:$C,$M1209))</f>
        <v>63000</v>
      </c>
      <c r="Q1209" s="1" t="n">
        <f aca="false">IF($A1209="","",SUMIFS(物件収支!$O:$O,物件収支!$A:$A,$A1209,物件収支!$C:$C,$M1209))</f>
        <v>13000</v>
      </c>
      <c r="R1209" s="1" t="n">
        <f aca="false">IF($A1209="","",IF(P1209=0,"",O1209-P1209))</f>
        <v>122000</v>
      </c>
      <c r="S1209" s="1" t="n">
        <f aca="false">IF($A1209="","",IF(R1209="","",R1209+Q1209))</f>
        <v>135000</v>
      </c>
      <c r="T1209" s="1" t="n">
        <f aca="false">IF($A1209="","",IF(OR(S1209="",N1209&lt;=0),"",S1209/1000*12/N1209))</f>
        <v>270</v>
      </c>
      <c r="U1209" s="1" t="n">
        <f aca="false">IF($A1209="","",IF(OR(T1209="",J1209=0,J1209=""),"",T1209/J1209))</f>
        <v>0.0552712384851587</v>
      </c>
      <c r="V1209" s="1" t="n">
        <f aca="false">IF($A1209="","",IF(OR(R1209="",N1209&lt;=0,J1209=0,J1209=""),"",(R1209/1000*12/N1209)/J1209))</f>
        <v>0.0499488229273286</v>
      </c>
      <c r="W1209" s="1" t="n">
        <f aca="false">IF($A1209="","",IF(OR(T1209="",K1209=0,K1209=""),"",T1209/K1209))</f>
        <v>0.0334987593052109</v>
      </c>
      <c r="X1209" s="1" t="n">
        <f aca="false">IF($A1209="","",IF(OR(N1209&lt;=0,I1209=0,I1209="",O1209=0),"",O1209*1000/(I1209*0.3025)/N1209))</f>
        <v>32389.0609010637</v>
      </c>
      <c r="Y1209" s="1" t="n">
        <f aca="false">IF($A1209="","",IF(OR(O1209=0,O1209="",P1209=0),"",P1209/O1209))</f>
        <v>0.340540540540541</v>
      </c>
      <c r="Z1209" s="1" t="str">
        <f aca="false">IF($A1209="","",IFERROR(INDEX(物件収支!$E:$E,MATCH($A1209,物件収支!$A:$A,0)),""))</f>
        <v>開示（物件別・費用内訳含む・百万円単位）</v>
      </c>
    </row>
    <row r="1210" customFormat="false" ht="16.5" hidden="false" customHeight="true" outlineLevel="0" collapsed="false">
      <c r="A1210" s="1" t="str">
        <f aca="false">IF(物件マスタ!A1210="","",物件マスタ!A1210)</f>
        <v>JRE-037</v>
      </c>
      <c r="B1210" s="1" t="str">
        <f aca="false">IF($A1210="","",物件マスタ!B1210)</f>
        <v>JRE</v>
      </c>
      <c r="C1210" s="1" t="str">
        <f aca="false">IF($A1210="","",IFERROR(INDEX(法人マスタ!$C:$C,MATCH($B1210,法人マスタ!$A:$A,0)),""))</f>
        <v>ジャパンリアルエステイト投資法人</v>
      </c>
      <c r="D1210" s="1" t="str">
        <f aca="false">IF($A1210="","",物件マスタ!C1210)</f>
        <v>ＪＲＥ神宮前メディアスクエアビル</v>
      </c>
      <c r="E1210" s="1" t="str">
        <f aca="false">IF($A1210="","",物件マスタ!H1210)</f>
        <v>都心5区</v>
      </c>
      <c r="F1210" s="1" t="n">
        <f aca="false">IF($A1210="","",物件マスタ!P1210)</f>
        <v>0</v>
      </c>
      <c r="G1210" s="1" t="str">
        <f aca="false">IF($A1210="","",物件マスタ!Q1210)</f>
        <v/>
      </c>
      <c r="H1210" s="1" t="n">
        <f aca="false">IF($A1210="","",物件マスタ!L1210)</f>
        <v>0</v>
      </c>
      <c r="I1210" s="1" t="n">
        <f aca="false">IF($A1210="","",物件マスタ!M1210)</f>
        <v>5558</v>
      </c>
      <c r="J1210" s="1" t="n">
        <f aca="false">IF($A1210="","",物件マスタ!S1210)</f>
        <v>12200</v>
      </c>
      <c r="K1210" s="1" t="n">
        <f aca="false">IF($A1210="","",物件マスタ!U1210)</f>
        <v>10500</v>
      </c>
      <c r="L1210" s="1" t="n">
        <f aca="false">IF($A1210="","",物件マスタ!W1210)</f>
        <v>1</v>
      </c>
      <c r="M1210" s="1" t="str">
        <f aca="false">IF($A1210="","",IFERROR(INDEX(法人マスタ!$H:$H,MATCH($B1210,法人マスタ!$A:$A,0)),""))</f>
        <v>2026年3月期（第49期）</v>
      </c>
      <c r="N1210" s="1" t="n">
        <f aca="false">IF($A1210="","",SUMIFS(物件収支!$D:$D,物件収支!$A:$A,$A1210,物件収支!$C:$C,$M1210))</f>
        <v>6</v>
      </c>
      <c r="O1210" s="1" t="n">
        <f aca="false">IF($A1210="","",SUMIFS(物件収支!$F:$F,物件収支!$A:$A,$A1210,物件収支!$C:$C,$M1210))</f>
        <v>336000</v>
      </c>
      <c r="P1210" s="1" t="n">
        <f aca="false">IF($A1210="","",SUMIFS(物件収支!$I:$I,物件収支!$A:$A,$A1210,物件収支!$C:$C,$M1210))</f>
        <v>207000</v>
      </c>
      <c r="Q1210" s="1" t="n">
        <f aca="false">IF($A1210="","",SUMIFS(物件収支!$O:$O,物件収支!$A:$A,$A1210,物件収支!$C:$C,$M1210))</f>
        <v>57000</v>
      </c>
      <c r="R1210" s="1" t="n">
        <f aca="false">IF($A1210="","",IF(P1210=0,"",O1210-P1210))</f>
        <v>129000</v>
      </c>
      <c r="S1210" s="1" t="n">
        <f aca="false">IF($A1210="","",IF(R1210="","",R1210+Q1210))</f>
        <v>186000</v>
      </c>
      <c r="T1210" s="1" t="n">
        <f aca="false">IF($A1210="","",IF(OR(S1210="",N1210&lt;=0),"",S1210/1000*12/N1210))</f>
        <v>372</v>
      </c>
      <c r="U1210" s="1" t="n">
        <f aca="false">IF($A1210="","",IF(OR(T1210="",J1210=0,J1210=""),"",T1210/J1210))</f>
        <v>0.0304918032786885</v>
      </c>
      <c r="V1210" s="1" t="n">
        <f aca="false">IF($A1210="","",IF(OR(R1210="",N1210&lt;=0,J1210=0,J1210=""),"",(R1210/1000*12/N1210)/J1210))</f>
        <v>0.0211475409836066</v>
      </c>
      <c r="W1210" s="1" t="n">
        <f aca="false">IF($A1210="","",IF(OR(T1210="",K1210=0,K1210=""),"",T1210/K1210))</f>
        <v>0.0354285714285714</v>
      </c>
      <c r="X1210" s="1" t="n">
        <f aca="false">IF($A1210="","",IF(OR(N1210&lt;=0,I1210=0,I1210="",O1210=0),"",O1210*1000/(I1210*0.3025)/N1210))</f>
        <v>33307.6586797677</v>
      </c>
      <c r="Y1210" s="1" t="n">
        <f aca="false">IF($A1210="","",IF(OR(O1210=0,O1210="",P1210=0),"",P1210/O1210))</f>
        <v>0.616071428571429</v>
      </c>
      <c r="Z1210" s="1" t="str">
        <f aca="false">IF($A1210="","",IFERROR(INDEX(物件収支!$E:$E,MATCH($A1210,物件収支!$A:$A,0)),""))</f>
        <v>開示（物件別・費用内訳含む・百万円単位）</v>
      </c>
    </row>
    <row r="1211" customFormat="false" ht="16.5" hidden="false" customHeight="true" outlineLevel="0" collapsed="false">
      <c r="A1211" s="1" t="str">
        <f aca="false">IF(物件マスタ!A1211="","",物件マスタ!A1211)</f>
        <v>JRE-038</v>
      </c>
      <c r="B1211" s="1" t="str">
        <f aca="false">IF($A1211="","",物件マスタ!B1211)</f>
        <v>JRE</v>
      </c>
      <c r="C1211" s="1" t="str">
        <f aca="false">IF($A1211="","",IFERROR(INDEX(法人マスタ!$C:$C,MATCH($B1211,法人マスタ!$A:$A,0)),""))</f>
        <v>ジャパンリアルエステイト投資法人</v>
      </c>
      <c r="D1211" s="1" t="str">
        <f aca="false">IF($A1211="","",物件マスタ!C1211)</f>
        <v>渋谷クロスタワー（底地）</v>
      </c>
      <c r="E1211" s="1" t="str">
        <f aca="false">IF($A1211="","",物件マスタ!H1211)</f>
        <v>都心5区</v>
      </c>
      <c r="F1211" s="1" t="n">
        <f aca="false">IF($A1211="","",物件マスタ!P1211)</f>
        <v>0</v>
      </c>
      <c r="G1211" s="1" t="str">
        <f aca="false">IF($A1211="","",物件マスタ!Q1211)</f>
        <v/>
      </c>
      <c r="H1211" s="1" t="n">
        <f aca="false">IF($A1211="","",物件マスタ!L1211)</f>
        <v>0</v>
      </c>
      <c r="I1211" s="1" t="n">
        <f aca="false">IF($A1211="","",物件マスタ!M1211)</f>
        <v>0</v>
      </c>
      <c r="J1211" s="1" t="n">
        <f aca="false">IF($A1211="","",物件マスタ!S1211)</f>
        <v>26524</v>
      </c>
      <c r="K1211" s="1" t="n">
        <f aca="false">IF($A1211="","",物件マスタ!U1211)</f>
        <v>51300</v>
      </c>
      <c r="L1211" s="1" t="n">
        <f aca="false">IF($A1211="","",物件マスタ!W1211)</f>
        <v>0</v>
      </c>
      <c r="M1211" s="1" t="str">
        <f aca="false">IF($A1211="","",IFERROR(INDEX(法人マスタ!$H:$H,MATCH($B1211,法人マスタ!$A:$A,0)),""))</f>
        <v>2026年3月期（第49期）</v>
      </c>
      <c r="N1211" s="1" t="n">
        <f aca="false">IF($A1211="","",SUMIFS(物件収支!$D:$D,物件収支!$A:$A,$A1211,物件収支!$C:$C,$M1211))</f>
        <v>6</v>
      </c>
      <c r="O1211" s="1" t="n">
        <f aca="false">IF($A1211="","",SUMIFS(物件収支!$F:$F,物件収支!$A:$A,$A1211,物件収支!$C:$C,$M1211))</f>
        <v>600000</v>
      </c>
      <c r="P1211" s="1" t="n">
        <f aca="false">IF($A1211="","",SUMIFS(物件収支!$I:$I,物件収支!$A:$A,$A1211,物件収支!$C:$C,$M1211))</f>
        <v>120000</v>
      </c>
      <c r="Q1211" s="1" t="n">
        <f aca="false">IF($A1211="","",SUMIFS(物件収支!$O:$O,物件収支!$A:$A,$A1211,物件収支!$C:$C,$M1211))</f>
        <v>0</v>
      </c>
      <c r="R1211" s="1" t="n">
        <f aca="false">IF($A1211="","",IF(P1211=0,"",O1211-P1211))</f>
        <v>480000</v>
      </c>
      <c r="S1211" s="1" t="n">
        <f aca="false">IF($A1211="","",IF(R1211="","",R1211+Q1211))</f>
        <v>480000</v>
      </c>
      <c r="T1211" s="1" t="n">
        <f aca="false">IF($A1211="","",IF(OR(S1211="",N1211&lt;=0),"",S1211/1000*12/N1211))</f>
        <v>960</v>
      </c>
      <c r="U1211" s="1" t="n">
        <f aca="false">IF($A1211="","",IF(OR(T1211="",J1211=0,J1211=""),"",T1211/J1211))</f>
        <v>0.036193635952345</v>
      </c>
      <c r="V1211" s="1" t="n">
        <f aca="false">IF($A1211="","",IF(OR(R1211="",N1211&lt;=0,J1211=0,J1211=""),"",(R1211/1000*12/N1211)/J1211))</f>
        <v>0.036193635952345</v>
      </c>
      <c r="W1211" s="1" t="n">
        <f aca="false">IF($A1211="","",IF(OR(T1211="",K1211=0,K1211=""),"",T1211/K1211))</f>
        <v>0.0187134502923977</v>
      </c>
      <c r="X1211" s="1" t="str">
        <f aca="false">IF($A1211="","",IF(OR(N1211&lt;=0,I1211=0,I1211="",O1211=0),"",O1211*1000/(I1211*0.3025)/N1211))</f>
        <v/>
      </c>
      <c r="Y1211" s="1" t="n">
        <f aca="false">IF($A1211="","",IF(OR(O1211=0,O1211="",P1211=0),"",P1211/O1211))</f>
        <v>0.2</v>
      </c>
      <c r="Z1211" s="1" t="str">
        <f aca="false">IF($A1211="","",IFERROR(INDEX(物件収支!$E:$E,MATCH($A1211,物件収支!$A:$A,0)),""))</f>
        <v>開示（物件別・費用内訳含む・百万円単位）</v>
      </c>
    </row>
    <row r="1212" customFormat="false" ht="16.5" hidden="false" customHeight="true" outlineLevel="0" collapsed="false">
      <c r="A1212" s="1" t="str">
        <f aca="false">IF(物件マスタ!A1212="","",物件マスタ!A1212)</f>
        <v>JRE-039</v>
      </c>
      <c r="B1212" s="1" t="str">
        <f aca="false">IF($A1212="","",物件マスタ!B1212)</f>
        <v>JRE</v>
      </c>
      <c r="C1212" s="1" t="str">
        <f aca="false">IF($A1212="","",IFERROR(INDEX(法人マスタ!$C:$C,MATCH($B1212,法人マスタ!$A:$A,0)),""))</f>
        <v>ジャパンリアルエステイト投資法人</v>
      </c>
      <c r="D1212" s="1" t="str">
        <f aca="false">IF($A1212="","",物件マスタ!C1212)</f>
        <v>恵比寿ネオナート</v>
      </c>
      <c r="E1212" s="1" t="str">
        <f aca="false">IF($A1212="","",物件マスタ!H1212)</f>
        <v>都心5区</v>
      </c>
      <c r="F1212" s="1" t="n">
        <f aca="false">IF($A1212="","",物件マスタ!P1212)</f>
        <v>0</v>
      </c>
      <c r="G1212" s="1" t="str">
        <f aca="false">IF($A1212="","",物件マスタ!Q1212)</f>
        <v/>
      </c>
      <c r="H1212" s="1" t="n">
        <f aca="false">IF($A1212="","",物件マスタ!L1212)</f>
        <v>0</v>
      </c>
      <c r="I1212" s="1" t="n">
        <f aca="false">IF($A1212="","",物件マスタ!M1212)</f>
        <v>8659</v>
      </c>
      <c r="J1212" s="1" t="n">
        <f aca="false">IF($A1212="","",物件マスタ!S1212)</f>
        <v>14612</v>
      </c>
      <c r="K1212" s="1" t="n">
        <f aca="false">IF($A1212="","",物件マスタ!U1212)</f>
        <v>20600</v>
      </c>
      <c r="L1212" s="1" t="n">
        <f aca="false">IF($A1212="","",物件マスタ!W1212)</f>
        <v>1</v>
      </c>
      <c r="M1212" s="1" t="str">
        <f aca="false">IF($A1212="","",IFERROR(INDEX(法人マスタ!$H:$H,MATCH($B1212,法人マスタ!$A:$A,0)),""))</f>
        <v>2026年3月期（第49期）</v>
      </c>
      <c r="N1212" s="1" t="n">
        <f aca="false">IF($A1212="","",SUMIFS(物件収支!$D:$D,物件収支!$A:$A,$A1212,物件収支!$C:$C,$M1212))</f>
        <v>6</v>
      </c>
      <c r="O1212" s="1" t="n">
        <f aca="false">IF($A1212="","",SUMIFS(物件収支!$F:$F,物件収支!$A:$A,$A1212,物件収支!$C:$C,$M1212))</f>
        <v>485000</v>
      </c>
      <c r="P1212" s="1" t="n">
        <f aca="false">IF($A1212="","",SUMIFS(物件収支!$I:$I,物件収支!$A:$A,$A1212,物件収支!$C:$C,$M1212))</f>
        <v>245000</v>
      </c>
      <c r="Q1212" s="1" t="n">
        <f aca="false">IF($A1212="","",SUMIFS(物件収支!$O:$O,物件収支!$A:$A,$A1212,物件収支!$C:$C,$M1212))</f>
        <v>112000</v>
      </c>
      <c r="R1212" s="1" t="n">
        <f aca="false">IF($A1212="","",IF(P1212=0,"",O1212-P1212))</f>
        <v>240000</v>
      </c>
      <c r="S1212" s="1" t="n">
        <f aca="false">IF($A1212="","",IF(R1212="","",R1212+Q1212))</f>
        <v>352000</v>
      </c>
      <c r="T1212" s="1" t="n">
        <f aca="false">IF($A1212="","",IF(OR(S1212="",N1212&lt;=0),"",S1212/1000*12/N1212))</f>
        <v>704</v>
      </c>
      <c r="U1212" s="1" t="n">
        <f aca="false">IF($A1212="","",IF(OR(T1212="",J1212=0,J1212=""),"",T1212/J1212))</f>
        <v>0.0481795784286888</v>
      </c>
      <c r="V1212" s="1" t="n">
        <f aca="false">IF($A1212="","",IF(OR(R1212="",N1212&lt;=0,J1212=0,J1212=""),"",(R1212/1000*12/N1212)/J1212))</f>
        <v>0.0328497125650151</v>
      </c>
      <c r="W1212" s="1" t="n">
        <f aca="false">IF($A1212="","",IF(OR(T1212="",K1212=0,K1212=""),"",T1212/K1212))</f>
        <v>0.0341747572815534</v>
      </c>
      <c r="X1212" s="1" t="n">
        <f aca="false">IF($A1212="","",IF(OR(N1212&lt;=0,I1212=0,I1212="",O1212=0),"",O1212*1000/(I1212*0.3025)/N1212))</f>
        <v>30860.1028818564</v>
      </c>
      <c r="Y1212" s="1" t="n">
        <f aca="false">IF($A1212="","",IF(OR(O1212=0,O1212="",P1212=0),"",P1212/O1212))</f>
        <v>0.505154639175258</v>
      </c>
      <c r="Z1212" s="1" t="str">
        <f aca="false">IF($A1212="","",IFERROR(INDEX(物件収支!$E:$E,MATCH($A1212,物件収支!$A:$A,0)),""))</f>
        <v>開示（物件別・費用内訳含む・百万円単位）</v>
      </c>
    </row>
    <row r="1213" customFormat="false" ht="16.5" hidden="false" customHeight="true" outlineLevel="0" collapsed="false">
      <c r="A1213" s="1" t="str">
        <f aca="false">IF(物件マスタ!A1213="","",物件マスタ!A1213)</f>
        <v>JRE-040</v>
      </c>
      <c r="B1213" s="1" t="str">
        <f aca="false">IF($A1213="","",物件マスタ!B1213)</f>
        <v>JRE</v>
      </c>
      <c r="C1213" s="1" t="str">
        <f aca="false">IF($A1213="","",IFERROR(INDEX(法人マスタ!$C:$C,MATCH($B1213,法人マスタ!$A:$A,0)),""))</f>
        <v>ジャパンリアルエステイト投資法人</v>
      </c>
      <c r="D1213" s="1" t="str">
        <f aca="false">IF($A1213="","",物件マスタ!C1213)</f>
        <v>ＴＩＸＴＯＷＥＲ ＵＥＮＯ</v>
      </c>
      <c r="E1213" s="1" t="str">
        <f aca="false">IF($A1213="","",物件マスタ!H1213)</f>
        <v>その他東京23区</v>
      </c>
      <c r="F1213" s="1" t="n">
        <f aca="false">IF($A1213="","",物件マスタ!P1213)</f>
        <v>0</v>
      </c>
      <c r="G1213" s="1" t="str">
        <f aca="false">IF($A1213="","",物件マスタ!Q1213)</f>
        <v/>
      </c>
      <c r="H1213" s="1" t="n">
        <f aca="false">IF($A1213="","",物件マスタ!L1213)</f>
        <v>0</v>
      </c>
      <c r="I1213" s="1" t="n">
        <f aca="false">IF($A1213="","",物件マスタ!M1213)</f>
        <v>15016</v>
      </c>
      <c r="J1213" s="1" t="n">
        <f aca="false">IF($A1213="","",物件マスタ!S1213)</f>
        <v>22000</v>
      </c>
      <c r="K1213" s="1" t="n">
        <f aca="false">IF($A1213="","",物件マスタ!U1213)</f>
        <v>26700</v>
      </c>
      <c r="L1213" s="1" t="n">
        <f aca="false">IF($A1213="","",物件マスタ!W1213)</f>
        <v>1</v>
      </c>
      <c r="M1213" s="1" t="str">
        <f aca="false">IF($A1213="","",IFERROR(INDEX(法人マスタ!$H:$H,MATCH($B1213,法人マスタ!$A:$A,0)),""))</f>
        <v>2026年3月期（第49期）</v>
      </c>
      <c r="N1213" s="1" t="n">
        <f aca="false">IF($A1213="","",SUMIFS(物件収支!$D:$D,物件収支!$A:$A,$A1213,物件収支!$C:$C,$M1213))</f>
        <v>6</v>
      </c>
      <c r="O1213" s="1" t="n">
        <f aca="false">IF($A1213="","",SUMIFS(物件収支!$F:$F,物件収支!$A:$A,$A1213,物件収支!$C:$C,$M1213))</f>
        <v>714000</v>
      </c>
      <c r="P1213" s="1" t="n">
        <f aca="false">IF($A1213="","",SUMIFS(物件収支!$I:$I,物件収支!$A:$A,$A1213,物件収支!$C:$C,$M1213))</f>
        <v>300000</v>
      </c>
      <c r="Q1213" s="1" t="n">
        <f aca="false">IF($A1213="","",SUMIFS(物件収支!$O:$O,物件収支!$A:$A,$A1213,物件収支!$C:$C,$M1213))</f>
        <v>118000</v>
      </c>
      <c r="R1213" s="1" t="n">
        <f aca="false">IF($A1213="","",IF(P1213=0,"",O1213-P1213))</f>
        <v>414000</v>
      </c>
      <c r="S1213" s="1" t="n">
        <f aca="false">IF($A1213="","",IF(R1213="","",R1213+Q1213))</f>
        <v>532000</v>
      </c>
      <c r="T1213" s="1" t="n">
        <f aca="false">IF($A1213="","",IF(OR(S1213="",N1213&lt;=0),"",S1213/1000*12/N1213))</f>
        <v>1064</v>
      </c>
      <c r="U1213" s="1" t="n">
        <f aca="false">IF($A1213="","",IF(OR(T1213="",J1213=0,J1213=""),"",T1213/J1213))</f>
        <v>0.0483636363636364</v>
      </c>
      <c r="V1213" s="1" t="n">
        <f aca="false">IF($A1213="","",IF(OR(R1213="",N1213&lt;=0,J1213=0,J1213=""),"",(R1213/1000*12/N1213)/J1213))</f>
        <v>0.0376363636363636</v>
      </c>
      <c r="W1213" s="1" t="n">
        <f aca="false">IF($A1213="","",IF(OR(T1213="",K1213=0,K1213=""),"",T1213/K1213))</f>
        <v>0.0398501872659176</v>
      </c>
      <c r="X1213" s="1" t="n">
        <f aca="false">IF($A1213="","",IF(OR(N1213&lt;=0,I1213=0,I1213="",O1213=0),"",O1213*1000/(I1213*0.3025)/N1213))</f>
        <v>26197.9508359128</v>
      </c>
      <c r="Y1213" s="1" t="n">
        <f aca="false">IF($A1213="","",IF(OR(O1213=0,O1213="",P1213=0),"",P1213/O1213))</f>
        <v>0.420168067226891</v>
      </c>
      <c r="Z1213" s="1" t="str">
        <f aca="false">IF($A1213="","",IFERROR(INDEX(物件収支!$E:$E,MATCH($A1213,物件収支!$A:$A,0)),""))</f>
        <v>開示（物件別・費用内訳含む・百万円単位）</v>
      </c>
    </row>
    <row r="1214" customFormat="false" ht="16.5" hidden="false" customHeight="true" outlineLevel="0" collapsed="false">
      <c r="A1214" s="1" t="str">
        <f aca="false">IF(物件マスタ!A1214="","",物件マスタ!A1214)</f>
        <v>JRE-041</v>
      </c>
      <c r="B1214" s="1" t="str">
        <f aca="false">IF($A1214="","",物件マスタ!B1214)</f>
        <v>JRE</v>
      </c>
      <c r="C1214" s="1" t="str">
        <f aca="false">IF($A1214="","",IFERROR(INDEX(法人マスタ!$C:$C,MATCH($B1214,法人マスタ!$A:$A,0)),""))</f>
        <v>ジャパンリアルエステイト投資法人</v>
      </c>
      <c r="D1214" s="1" t="str">
        <f aca="false">IF($A1214="","",物件マスタ!C1214)</f>
        <v>豊洲フォレシア</v>
      </c>
      <c r="E1214" s="1" t="str">
        <f aca="false">IF($A1214="","",物件マスタ!H1214)</f>
        <v>その他東京23区</v>
      </c>
      <c r="F1214" s="1" t="n">
        <f aca="false">IF($A1214="","",物件マスタ!P1214)</f>
        <v>0</v>
      </c>
      <c r="G1214" s="1" t="str">
        <f aca="false">IF($A1214="","",物件マスタ!Q1214)</f>
        <v/>
      </c>
      <c r="H1214" s="1" t="n">
        <f aca="false">IF($A1214="","",物件マスタ!L1214)</f>
        <v>0</v>
      </c>
      <c r="I1214" s="1" t="n">
        <f aca="false">IF($A1214="","",物件マスタ!M1214)</f>
        <v>20778</v>
      </c>
      <c r="J1214" s="1" t="n">
        <f aca="false">IF($A1214="","",物件マスタ!S1214)</f>
        <v>27856</v>
      </c>
      <c r="K1214" s="1" t="n">
        <f aca="false">IF($A1214="","",物件マスタ!U1214)</f>
        <v>28000</v>
      </c>
      <c r="L1214" s="1" t="n">
        <f aca="false">IF($A1214="","",物件マスタ!W1214)</f>
        <v>1</v>
      </c>
      <c r="M1214" s="1" t="str">
        <f aca="false">IF($A1214="","",IFERROR(INDEX(法人マスタ!$H:$H,MATCH($B1214,法人マスタ!$A:$A,0)),""))</f>
        <v>2026年3月期（第49期）</v>
      </c>
      <c r="N1214" s="1" t="n">
        <f aca="false">IF($A1214="","",SUMIFS(物件収支!$D:$D,物件収支!$A:$A,$A1214,物件収支!$C:$C,$M1214))</f>
        <v>6</v>
      </c>
      <c r="O1214" s="1" t="n">
        <f aca="false">IF($A1214="","",SUMIFS(物件収支!$F:$F,物件収支!$A:$A,$A1214,物件収支!$C:$C,$M1214))</f>
        <v>818000</v>
      </c>
      <c r="P1214" s="1" t="n">
        <f aca="false">IF($A1214="","",SUMIFS(物件収支!$I:$I,物件収支!$A:$A,$A1214,物件収支!$C:$C,$M1214))</f>
        <v>409000</v>
      </c>
      <c r="Q1214" s="1" t="n">
        <f aca="false">IF($A1214="","",SUMIFS(物件収支!$O:$O,物件収支!$A:$A,$A1214,物件収支!$C:$C,$M1214))</f>
        <v>186000</v>
      </c>
      <c r="R1214" s="1" t="n">
        <f aca="false">IF($A1214="","",IF(P1214=0,"",O1214-P1214))</f>
        <v>409000</v>
      </c>
      <c r="S1214" s="1" t="n">
        <f aca="false">IF($A1214="","",IF(R1214="","",R1214+Q1214))</f>
        <v>595000</v>
      </c>
      <c r="T1214" s="1" t="n">
        <f aca="false">IF($A1214="","",IF(OR(S1214="",N1214&lt;=0),"",S1214/1000*12/N1214))</f>
        <v>1190</v>
      </c>
      <c r="U1214" s="1" t="n">
        <f aca="false">IF($A1214="","",IF(OR(T1214="",J1214=0,J1214=""),"",T1214/J1214))</f>
        <v>0.0427197013210798</v>
      </c>
      <c r="V1214" s="1" t="n">
        <f aca="false">IF($A1214="","",IF(OR(R1214="",N1214&lt;=0,J1214=0,J1214=""),"",(R1214/1000*12/N1214)/J1214))</f>
        <v>0.0293653072946582</v>
      </c>
      <c r="W1214" s="1" t="n">
        <f aca="false">IF($A1214="","",IF(OR(T1214="",K1214=0,K1214=""),"",T1214/K1214))</f>
        <v>0.0425</v>
      </c>
      <c r="X1214" s="1" t="n">
        <f aca="false">IF($A1214="","",IF(OR(N1214&lt;=0,I1214=0,I1214="",O1214=0),"",O1214*1000/(I1214*0.3025)/N1214))</f>
        <v>21690.6682661546</v>
      </c>
      <c r="Y1214" s="1" t="n">
        <f aca="false">IF($A1214="","",IF(OR(O1214=0,O1214="",P1214=0),"",P1214/O1214))</f>
        <v>0.5</v>
      </c>
      <c r="Z1214" s="1" t="str">
        <f aca="false">IF($A1214="","",IFERROR(INDEX(物件収支!$E:$E,MATCH($A1214,物件収支!$A:$A,0)),""))</f>
        <v>開示（物件別・費用内訳含む・百万円単位）</v>
      </c>
    </row>
    <row r="1215" customFormat="false" ht="16.5" hidden="false" customHeight="true" outlineLevel="0" collapsed="false">
      <c r="A1215" s="1" t="str">
        <f aca="false">IF(物件マスタ!A1215="","",物件マスタ!A1215)</f>
        <v>JRE-042</v>
      </c>
      <c r="B1215" s="1" t="str">
        <f aca="false">IF($A1215="","",物件マスタ!B1215)</f>
        <v>JRE</v>
      </c>
      <c r="C1215" s="1" t="str">
        <f aca="false">IF($A1215="","",IFERROR(INDEX(法人マスタ!$C:$C,MATCH($B1215,法人マスタ!$A:$A,0)),""))</f>
        <v>ジャパンリアルエステイト投資法人</v>
      </c>
      <c r="D1215" s="1" t="str">
        <f aca="false">IF($A1215="","",物件マスタ!C1215)</f>
        <v>豊洲フロント</v>
      </c>
      <c r="E1215" s="1" t="str">
        <f aca="false">IF($A1215="","",物件マスタ!H1215)</f>
        <v>その他東京23区</v>
      </c>
      <c r="F1215" s="1" t="n">
        <f aca="false">IF($A1215="","",物件マスタ!P1215)</f>
        <v>0</v>
      </c>
      <c r="G1215" s="1" t="str">
        <f aca="false">IF($A1215="","",物件マスタ!Q1215)</f>
        <v/>
      </c>
      <c r="H1215" s="1" t="n">
        <f aca="false">IF($A1215="","",物件マスタ!L1215)</f>
        <v>0</v>
      </c>
      <c r="I1215" s="1" t="n">
        <f aca="false">IF($A1215="","",物件マスタ!M1215)</f>
        <v>17407</v>
      </c>
      <c r="J1215" s="1" t="n">
        <f aca="false">IF($A1215="","",物件マスタ!S1215)</f>
        <v>25500</v>
      </c>
      <c r="K1215" s="1" t="n">
        <f aca="false">IF($A1215="","",物件マスタ!U1215)</f>
        <v>25900</v>
      </c>
      <c r="L1215" s="1" t="n">
        <f aca="false">IF($A1215="","",物件マスタ!W1215)</f>
        <v>1</v>
      </c>
      <c r="M1215" s="1" t="str">
        <f aca="false">IF($A1215="","",IFERROR(INDEX(法人マスタ!$H:$H,MATCH($B1215,法人マスタ!$A:$A,0)),""))</f>
        <v>2026年3月期（第49期）</v>
      </c>
      <c r="N1215" s="1" t="n">
        <f aca="false">IF($A1215="","",SUMIFS(物件収支!$D:$D,物件収支!$A:$A,$A1215,物件収支!$C:$C,$M1215))</f>
        <v>6</v>
      </c>
      <c r="O1215" s="1" t="n">
        <f aca="false">IF($A1215="","",SUMIFS(物件収支!$F:$F,物件収支!$A:$A,$A1215,物件収支!$C:$C,$M1215))</f>
        <v>625000</v>
      </c>
      <c r="P1215" s="1" t="n">
        <f aca="false">IF($A1215="","",SUMIFS(物件収支!$I:$I,物件収支!$A:$A,$A1215,物件収支!$C:$C,$M1215))</f>
        <v>396000</v>
      </c>
      <c r="Q1215" s="1" t="n">
        <f aca="false">IF($A1215="","",SUMIFS(物件収支!$O:$O,物件収支!$A:$A,$A1215,物件収支!$C:$C,$M1215))</f>
        <v>169000</v>
      </c>
      <c r="R1215" s="1" t="n">
        <f aca="false">IF($A1215="","",IF(P1215=0,"",O1215-P1215))</f>
        <v>229000</v>
      </c>
      <c r="S1215" s="1" t="n">
        <f aca="false">IF($A1215="","",IF(R1215="","",R1215+Q1215))</f>
        <v>398000</v>
      </c>
      <c r="T1215" s="1" t="n">
        <f aca="false">IF($A1215="","",IF(OR(S1215="",N1215&lt;=0),"",S1215/1000*12/N1215))</f>
        <v>796</v>
      </c>
      <c r="U1215" s="1" t="n">
        <f aca="false">IF($A1215="","",IF(OR(T1215="",J1215=0,J1215=""),"",T1215/J1215))</f>
        <v>0.0312156862745098</v>
      </c>
      <c r="V1215" s="1" t="n">
        <f aca="false">IF($A1215="","",IF(OR(R1215="",N1215&lt;=0,J1215=0,J1215=""),"",(R1215/1000*12/N1215)/J1215))</f>
        <v>0.0179607843137255</v>
      </c>
      <c r="W1215" s="1" t="n">
        <f aca="false">IF($A1215="","",IF(OR(T1215="",K1215=0,K1215=""),"",T1215/K1215))</f>
        <v>0.0307335907335907</v>
      </c>
      <c r="X1215" s="1" t="n">
        <f aca="false">IF($A1215="","",IF(OR(N1215&lt;=0,I1215=0,I1215="",O1215=0),"",O1215*1000/(I1215*0.3025)/N1215))</f>
        <v>19782.4218463773</v>
      </c>
      <c r="Y1215" s="1" t="n">
        <f aca="false">IF($A1215="","",IF(OR(O1215=0,O1215="",P1215=0),"",P1215/O1215))</f>
        <v>0.6336</v>
      </c>
      <c r="Z1215" s="1" t="str">
        <f aca="false">IF($A1215="","",IFERROR(INDEX(物件収支!$E:$E,MATCH($A1215,物件収支!$A:$A,0)),""))</f>
        <v>開示（物件別・費用内訳含む・百万円単位）</v>
      </c>
    </row>
    <row r="1216" customFormat="false" ht="16.5" hidden="false" customHeight="true" outlineLevel="0" collapsed="false">
      <c r="A1216" s="1" t="str">
        <f aca="false">IF(物件マスタ!A1216="","",物件マスタ!A1216)</f>
        <v>JRE-043</v>
      </c>
      <c r="B1216" s="1" t="str">
        <f aca="false">IF($A1216="","",物件マスタ!B1216)</f>
        <v>JRE</v>
      </c>
      <c r="C1216" s="1" t="str">
        <f aca="false">IF($A1216="","",IFERROR(INDEX(法人マスタ!$C:$C,MATCH($B1216,法人マスタ!$A:$A,0)),""))</f>
        <v>ジャパンリアルエステイト投資法人</v>
      </c>
      <c r="D1216" s="1" t="str">
        <f aca="false">IF($A1216="","",物件マスタ!C1216)</f>
        <v>ＪＲＥ東五反田一丁目ビル</v>
      </c>
      <c r="E1216" s="1" t="str">
        <f aca="false">IF($A1216="","",物件マスタ!H1216)</f>
        <v>その他東京23区</v>
      </c>
      <c r="F1216" s="1" t="n">
        <f aca="false">IF($A1216="","",物件マスタ!P1216)</f>
        <v>0</v>
      </c>
      <c r="G1216" s="1" t="str">
        <f aca="false">IF($A1216="","",物件マスタ!Q1216)</f>
        <v/>
      </c>
      <c r="H1216" s="1" t="n">
        <f aca="false">IF($A1216="","",物件マスタ!L1216)</f>
        <v>0</v>
      </c>
      <c r="I1216" s="1" t="n">
        <f aca="false">IF($A1216="","",物件マスタ!M1216)</f>
        <v>5205</v>
      </c>
      <c r="J1216" s="1" t="n">
        <f aca="false">IF($A1216="","",物件マスタ!S1216)</f>
        <v>5500</v>
      </c>
      <c r="K1216" s="1" t="n">
        <f aca="false">IF($A1216="","",物件マスタ!U1216)</f>
        <v>8030</v>
      </c>
      <c r="L1216" s="1" t="n">
        <f aca="false">IF($A1216="","",物件マスタ!W1216)</f>
        <v>1</v>
      </c>
      <c r="M1216" s="1" t="str">
        <f aca="false">IF($A1216="","",IFERROR(INDEX(法人マスタ!$H:$H,MATCH($B1216,法人マスタ!$A:$A,0)),""))</f>
        <v>2026年3月期（第49期）</v>
      </c>
      <c r="N1216" s="1" t="n">
        <f aca="false">IF($A1216="","",SUMIFS(物件収支!$D:$D,物件収支!$A:$A,$A1216,物件収支!$C:$C,$M1216))</f>
        <v>6</v>
      </c>
      <c r="O1216" s="1" t="n">
        <f aca="false">IF($A1216="","",SUMIFS(物件収支!$F:$F,物件収支!$A:$A,$A1216,物件収支!$C:$C,$M1216))</f>
        <v>199000</v>
      </c>
      <c r="P1216" s="1" t="n">
        <f aca="false">IF($A1216="","",SUMIFS(物件収支!$I:$I,物件収支!$A:$A,$A1216,物件収支!$C:$C,$M1216))</f>
        <v>87000</v>
      </c>
      <c r="Q1216" s="1" t="n">
        <f aca="false">IF($A1216="","",SUMIFS(物件収支!$O:$O,物件収支!$A:$A,$A1216,物件収支!$C:$C,$M1216))</f>
        <v>31000</v>
      </c>
      <c r="R1216" s="1" t="n">
        <f aca="false">IF($A1216="","",IF(P1216=0,"",O1216-P1216))</f>
        <v>112000</v>
      </c>
      <c r="S1216" s="1" t="n">
        <f aca="false">IF($A1216="","",IF(R1216="","",R1216+Q1216))</f>
        <v>143000</v>
      </c>
      <c r="T1216" s="1" t="n">
        <f aca="false">IF($A1216="","",IF(OR(S1216="",N1216&lt;=0),"",S1216/1000*12/N1216))</f>
        <v>286</v>
      </c>
      <c r="U1216" s="1" t="n">
        <f aca="false">IF($A1216="","",IF(OR(T1216="",J1216=0,J1216=""),"",T1216/J1216))</f>
        <v>0.052</v>
      </c>
      <c r="V1216" s="1" t="n">
        <f aca="false">IF($A1216="","",IF(OR(R1216="",N1216&lt;=0,J1216=0,J1216=""),"",(R1216/1000*12/N1216)/J1216))</f>
        <v>0.0407272727272727</v>
      </c>
      <c r="W1216" s="1" t="n">
        <f aca="false">IF($A1216="","",IF(OR(T1216="",K1216=0,K1216=""),"",T1216/K1216))</f>
        <v>0.0356164383561644</v>
      </c>
      <c r="X1216" s="1" t="n">
        <f aca="false">IF($A1216="","",IF(OR(N1216&lt;=0,I1216=0,I1216="",O1216=0),"",O1216*1000/(I1216*0.3025)/N1216))</f>
        <v>21064.7210909197</v>
      </c>
      <c r="Y1216" s="1" t="n">
        <f aca="false">IF($A1216="","",IF(OR(O1216=0,O1216="",P1216=0),"",P1216/O1216))</f>
        <v>0.437185929648241</v>
      </c>
      <c r="Z1216" s="1" t="str">
        <f aca="false">IF($A1216="","",IFERROR(INDEX(物件収支!$E:$E,MATCH($A1216,物件収支!$A:$A,0)),""))</f>
        <v>開示（物件別・費用内訳含む・百万円単位）</v>
      </c>
    </row>
    <row r="1217" customFormat="false" ht="16.5" hidden="false" customHeight="true" outlineLevel="0" collapsed="false">
      <c r="A1217" s="1" t="str">
        <f aca="false">IF(物件マスタ!A1217="","",物件マスタ!A1217)</f>
        <v>JRE-044</v>
      </c>
      <c r="B1217" s="1" t="str">
        <f aca="false">IF($A1217="","",物件マスタ!B1217)</f>
        <v>JRE</v>
      </c>
      <c r="C1217" s="1" t="str">
        <f aca="false">IF($A1217="","",IFERROR(INDEX(法人マスタ!$C:$C,MATCH($B1217,法人マスタ!$A:$A,0)),""))</f>
        <v>ジャパンリアルエステイト投資法人</v>
      </c>
      <c r="D1217" s="1" t="str">
        <f aca="false">IF($A1217="","",物件マスタ!C1217)</f>
        <v>大崎フロントタワー</v>
      </c>
      <c r="E1217" s="1" t="str">
        <f aca="false">IF($A1217="","",物件マスタ!H1217)</f>
        <v>その他東京23区</v>
      </c>
      <c r="F1217" s="1" t="n">
        <f aca="false">IF($A1217="","",物件マスタ!P1217)</f>
        <v>0</v>
      </c>
      <c r="G1217" s="1" t="str">
        <f aca="false">IF($A1217="","",物件マスタ!Q1217)</f>
        <v/>
      </c>
      <c r="H1217" s="1" t="n">
        <f aca="false">IF($A1217="","",物件マスタ!L1217)</f>
        <v>0</v>
      </c>
      <c r="I1217" s="1" t="n">
        <f aca="false">IF($A1217="","",物件マスタ!M1217)</f>
        <v>16856</v>
      </c>
      <c r="J1217" s="1" t="n">
        <f aca="false">IF($A1217="","",物件マスタ!S1217)</f>
        <v>12300</v>
      </c>
      <c r="K1217" s="1" t="n">
        <f aca="false">IF($A1217="","",物件マスタ!U1217)</f>
        <v>16300</v>
      </c>
      <c r="L1217" s="1" t="n">
        <f aca="false">IF($A1217="","",物件マスタ!W1217)</f>
        <v>1</v>
      </c>
      <c r="M1217" s="1" t="str">
        <f aca="false">IF($A1217="","",IFERROR(INDEX(法人マスタ!$H:$H,MATCH($B1217,法人マスタ!$A:$A,0)),""))</f>
        <v>2026年3月期（第49期）</v>
      </c>
      <c r="N1217" s="1" t="n">
        <f aca="false">IF($A1217="","",SUMIFS(物件収支!$D:$D,物件収支!$A:$A,$A1217,物件収支!$C:$C,$M1217))</f>
        <v>6</v>
      </c>
      <c r="O1217" s="1" t="n">
        <f aca="false">IF($A1217="","",SUMIFS(物件収支!$F:$F,物件収支!$A:$A,$A1217,物件収支!$C:$C,$M1217))</f>
        <v>735000</v>
      </c>
      <c r="P1217" s="1" t="n">
        <f aca="false">IF($A1217="","",SUMIFS(物件収支!$I:$I,物件収支!$A:$A,$A1217,物件収支!$C:$C,$M1217))</f>
        <v>452000</v>
      </c>
      <c r="Q1217" s="1" t="n">
        <f aca="false">IF($A1217="","",SUMIFS(物件収支!$O:$O,物件収支!$A:$A,$A1217,物件収支!$C:$C,$M1217))</f>
        <v>203000</v>
      </c>
      <c r="R1217" s="1" t="n">
        <f aca="false">IF($A1217="","",IF(P1217=0,"",O1217-P1217))</f>
        <v>283000</v>
      </c>
      <c r="S1217" s="1" t="n">
        <f aca="false">IF($A1217="","",IF(R1217="","",R1217+Q1217))</f>
        <v>486000</v>
      </c>
      <c r="T1217" s="1" t="n">
        <f aca="false">IF($A1217="","",IF(OR(S1217="",N1217&lt;=0),"",S1217/1000*12/N1217))</f>
        <v>972</v>
      </c>
      <c r="U1217" s="1" t="n">
        <f aca="false">IF($A1217="","",IF(OR(T1217="",J1217=0,J1217=""),"",T1217/J1217))</f>
        <v>0.0790243902439024</v>
      </c>
      <c r="V1217" s="1" t="n">
        <f aca="false">IF($A1217="","",IF(OR(R1217="",N1217&lt;=0,J1217=0,J1217=""),"",(R1217/1000*12/N1217)/J1217))</f>
        <v>0.0460162601626016</v>
      </c>
      <c r="W1217" s="1" t="n">
        <f aca="false">IF($A1217="","",IF(OR(T1217="",K1217=0,K1217=""),"",T1217/K1217))</f>
        <v>0.0596319018404908</v>
      </c>
      <c r="X1217" s="1" t="n">
        <f aca="false">IF($A1217="","",IF(OR(N1217&lt;=0,I1217=0,I1217="",O1217=0),"",O1217*1000/(I1217*0.3025)/N1217))</f>
        <v>24024.6011916202</v>
      </c>
      <c r="Y1217" s="1" t="n">
        <f aca="false">IF($A1217="","",IF(OR(O1217=0,O1217="",P1217=0),"",P1217/O1217))</f>
        <v>0.614965986394558</v>
      </c>
      <c r="Z1217" s="1" t="str">
        <f aca="false">IF($A1217="","",IFERROR(INDEX(物件収支!$E:$E,MATCH($A1217,物件収支!$A:$A,0)),""))</f>
        <v>開示（物件別・費用内訳含む・百万円単位）</v>
      </c>
    </row>
    <row r="1218" customFormat="false" ht="16.5" hidden="false" customHeight="true" outlineLevel="0" collapsed="false">
      <c r="A1218" s="1" t="str">
        <f aca="false">IF(物件マスタ!A1218="","",物件マスタ!A1218)</f>
        <v>JRE-045</v>
      </c>
      <c r="B1218" s="1" t="str">
        <f aca="false">IF($A1218="","",物件マスタ!B1218)</f>
        <v>JRE</v>
      </c>
      <c r="C1218" s="1" t="str">
        <f aca="false">IF($A1218="","",IFERROR(INDEX(法人マスタ!$C:$C,MATCH($B1218,法人マスタ!$A:$A,0)),""))</f>
        <v>ジャパンリアルエステイト投資法人</v>
      </c>
      <c r="D1218" s="1" t="str">
        <f aca="false">IF($A1218="","",物件マスタ!C1218)</f>
        <v>ＪＲＥ大森駅東口ビル</v>
      </c>
      <c r="E1218" s="1" t="str">
        <f aca="false">IF($A1218="","",物件マスタ!H1218)</f>
        <v>その他東京23区</v>
      </c>
      <c r="F1218" s="1" t="n">
        <f aca="false">IF($A1218="","",物件マスタ!P1218)</f>
        <v>0</v>
      </c>
      <c r="G1218" s="1" t="str">
        <f aca="false">IF($A1218="","",物件マスタ!Q1218)</f>
        <v/>
      </c>
      <c r="H1218" s="1" t="n">
        <f aca="false">IF($A1218="","",物件マスタ!L1218)</f>
        <v>0</v>
      </c>
      <c r="I1218" s="1" t="n">
        <f aca="false">IF($A1218="","",物件マスタ!M1218)</f>
        <v>7706</v>
      </c>
      <c r="J1218" s="1" t="n">
        <f aca="false">IF($A1218="","",物件マスタ!S1218)</f>
        <v>5123</v>
      </c>
      <c r="K1218" s="1" t="n">
        <f aca="false">IF($A1218="","",物件マスタ!U1218)</f>
        <v>6140</v>
      </c>
      <c r="L1218" s="1" t="n">
        <f aca="false">IF($A1218="","",物件マスタ!W1218)</f>
        <v>1</v>
      </c>
      <c r="M1218" s="1" t="str">
        <f aca="false">IF($A1218="","",IFERROR(INDEX(法人マスタ!$H:$H,MATCH($B1218,法人マスタ!$A:$A,0)),""))</f>
        <v>2026年3月期（第49期）</v>
      </c>
      <c r="N1218" s="1" t="n">
        <f aca="false">IF($A1218="","",SUMIFS(物件収支!$D:$D,物件収支!$A:$A,$A1218,物件収支!$C:$C,$M1218))</f>
        <v>6</v>
      </c>
      <c r="O1218" s="1" t="n">
        <f aca="false">IF($A1218="","",SUMIFS(物件収支!$F:$F,物件収支!$A:$A,$A1218,物件収支!$C:$C,$M1218))</f>
        <v>244000</v>
      </c>
      <c r="P1218" s="1" t="n">
        <f aca="false">IF($A1218="","",SUMIFS(物件収支!$I:$I,物件収支!$A:$A,$A1218,物件収支!$C:$C,$M1218))</f>
        <v>128000</v>
      </c>
      <c r="Q1218" s="1" t="n">
        <f aca="false">IF($A1218="","",SUMIFS(物件収支!$O:$O,物件収支!$A:$A,$A1218,物件収支!$C:$C,$M1218))</f>
        <v>51000</v>
      </c>
      <c r="R1218" s="1" t="n">
        <f aca="false">IF($A1218="","",IF(P1218=0,"",O1218-P1218))</f>
        <v>116000</v>
      </c>
      <c r="S1218" s="1" t="n">
        <f aca="false">IF($A1218="","",IF(R1218="","",R1218+Q1218))</f>
        <v>167000</v>
      </c>
      <c r="T1218" s="1" t="n">
        <f aca="false">IF($A1218="","",IF(OR(S1218="",N1218&lt;=0),"",S1218/1000*12/N1218))</f>
        <v>334</v>
      </c>
      <c r="U1218" s="1" t="n">
        <f aca="false">IF($A1218="","",IF(OR(T1218="",J1218=0,J1218=""),"",T1218/J1218))</f>
        <v>0.0651961741167285</v>
      </c>
      <c r="V1218" s="1" t="n">
        <f aca="false">IF($A1218="","",IF(OR(R1218="",N1218&lt;=0,J1218=0,J1218=""),"",(R1218/1000*12/N1218)/J1218))</f>
        <v>0.0452859652547336</v>
      </c>
      <c r="W1218" s="1" t="n">
        <f aca="false">IF($A1218="","",IF(OR(T1218="",K1218=0,K1218=""),"",T1218/K1218))</f>
        <v>0.0543973941368078</v>
      </c>
      <c r="X1218" s="1" t="n">
        <f aca="false">IF($A1218="","",IF(OR(N1218&lt;=0,I1218=0,I1218="",O1218=0),"",O1218*1000/(I1218*0.3025)/N1218))</f>
        <v>17445.5309768997</v>
      </c>
      <c r="Y1218" s="1" t="n">
        <f aca="false">IF($A1218="","",IF(OR(O1218=0,O1218="",P1218=0),"",P1218/O1218))</f>
        <v>0.524590163934426</v>
      </c>
      <c r="Z1218" s="1" t="str">
        <f aca="false">IF($A1218="","",IFERROR(INDEX(物件収支!$E:$E,MATCH($A1218,物件収支!$A:$A,0)),""))</f>
        <v>開示（物件別・費用内訳含む・百万円単位）</v>
      </c>
    </row>
    <row r="1219" customFormat="false" ht="16.5" hidden="false" customHeight="true" outlineLevel="0" collapsed="false">
      <c r="A1219" s="1" t="str">
        <f aca="false">IF(物件マスタ!A1219="","",物件マスタ!A1219)</f>
        <v>JRE-046</v>
      </c>
      <c r="B1219" s="1" t="str">
        <f aca="false">IF($A1219="","",物件マスタ!B1219)</f>
        <v>JRE</v>
      </c>
      <c r="C1219" s="1" t="str">
        <f aca="false">IF($A1219="","",IFERROR(INDEX(法人マスタ!$C:$C,MATCH($B1219,法人マスタ!$A:$A,0)),""))</f>
        <v>ジャパンリアルエステイト投資法人</v>
      </c>
      <c r="D1219" s="1" t="str">
        <f aca="false">IF($A1219="","",物件マスタ!C1219)</f>
        <v>ハーモニータワー</v>
      </c>
      <c r="E1219" s="1" t="str">
        <f aca="false">IF($A1219="","",物件マスタ!H1219)</f>
        <v>その他東京23区</v>
      </c>
      <c r="F1219" s="1" t="n">
        <f aca="false">IF($A1219="","",物件マスタ!P1219)</f>
        <v>0</v>
      </c>
      <c r="G1219" s="1" t="str">
        <f aca="false">IF($A1219="","",物件マスタ!Q1219)</f>
        <v/>
      </c>
      <c r="H1219" s="1" t="n">
        <f aca="false">IF($A1219="","",物件マスタ!L1219)</f>
        <v>0</v>
      </c>
      <c r="I1219" s="1" t="n">
        <f aca="false">IF($A1219="","",物件マスタ!M1219)</f>
        <v>14340</v>
      </c>
      <c r="J1219" s="1" t="n">
        <f aca="false">IF($A1219="","",物件マスタ!S1219)</f>
        <v>11120</v>
      </c>
      <c r="K1219" s="1" t="n">
        <f aca="false">IF($A1219="","",物件マスタ!U1219)</f>
        <v>15500</v>
      </c>
      <c r="L1219" s="1" t="n">
        <f aca="false">IF($A1219="","",物件マスタ!W1219)</f>
        <v>1</v>
      </c>
      <c r="M1219" s="1" t="str">
        <f aca="false">IF($A1219="","",IFERROR(INDEX(法人マスタ!$H:$H,MATCH($B1219,法人マスタ!$A:$A,0)),""))</f>
        <v>2026年3月期（第49期）</v>
      </c>
      <c r="N1219" s="1" t="n">
        <f aca="false">IF($A1219="","",SUMIFS(物件収支!$D:$D,物件収支!$A:$A,$A1219,物件収支!$C:$C,$M1219))</f>
        <v>6</v>
      </c>
      <c r="O1219" s="1" t="n">
        <f aca="false">IF($A1219="","",SUMIFS(物件収支!$F:$F,物件収支!$A:$A,$A1219,物件収支!$C:$C,$M1219))</f>
        <v>499000</v>
      </c>
      <c r="P1219" s="1" t="n">
        <f aca="false">IF($A1219="","",SUMIFS(物件収支!$I:$I,物件収支!$A:$A,$A1219,物件収支!$C:$C,$M1219))</f>
        <v>280000</v>
      </c>
      <c r="Q1219" s="1" t="n">
        <f aca="false">IF($A1219="","",SUMIFS(物件収支!$O:$O,物件収支!$A:$A,$A1219,物件収支!$C:$C,$M1219))</f>
        <v>50000</v>
      </c>
      <c r="R1219" s="1" t="n">
        <f aca="false">IF($A1219="","",IF(P1219=0,"",O1219-P1219))</f>
        <v>219000</v>
      </c>
      <c r="S1219" s="1" t="n">
        <f aca="false">IF($A1219="","",IF(R1219="","",R1219+Q1219))</f>
        <v>269000</v>
      </c>
      <c r="T1219" s="1" t="n">
        <f aca="false">IF($A1219="","",IF(OR(S1219="",N1219&lt;=0),"",S1219/1000*12/N1219))</f>
        <v>538</v>
      </c>
      <c r="U1219" s="1" t="n">
        <f aca="false">IF($A1219="","",IF(OR(T1219="",J1219=0,J1219=""),"",T1219/J1219))</f>
        <v>0.0483812949640288</v>
      </c>
      <c r="V1219" s="1" t="n">
        <f aca="false">IF($A1219="","",IF(OR(R1219="",N1219&lt;=0,J1219=0,J1219=""),"",(R1219/1000*12/N1219)/J1219))</f>
        <v>0.0393884892086331</v>
      </c>
      <c r="W1219" s="1" t="n">
        <f aca="false">IF($A1219="","",IF(OR(T1219="",K1219=0,K1219=""),"",T1219/K1219))</f>
        <v>0.0347096774193548</v>
      </c>
      <c r="X1219" s="1" t="n">
        <f aca="false">IF($A1219="","",IF(OR(N1219&lt;=0,I1219=0,I1219="",O1219=0),"",O1219*1000/(I1219*0.3025)/N1219))</f>
        <v>19172.324231282</v>
      </c>
      <c r="Y1219" s="1" t="n">
        <f aca="false">IF($A1219="","",IF(OR(O1219=0,O1219="",P1219=0),"",P1219/O1219))</f>
        <v>0.561122244488978</v>
      </c>
      <c r="Z1219" s="1" t="str">
        <f aca="false">IF($A1219="","",IFERROR(INDEX(物件収支!$E:$E,MATCH($A1219,物件収支!$A:$A,0)),""))</f>
        <v>開示（物件別・費用内訳含む・百万円単位）</v>
      </c>
    </row>
    <row r="1220" customFormat="false" ht="16.5" hidden="false" customHeight="true" outlineLevel="0" collapsed="false">
      <c r="A1220" s="1" t="str">
        <f aca="false">IF(物件マスタ!A1220="","",物件マスタ!A1220)</f>
        <v>JRE-047</v>
      </c>
      <c r="B1220" s="1" t="str">
        <f aca="false">IF($A1220="","",物件マスタ!B1220)</f>
        <v>JRE</v>
      </c>
      <c r="C1220" s="1" t="str">
        <f aca="false">IF($A1220="","",IFERROR(INDEX(法人マスタ!$C:$C,MATCH($B1220,法人マスタ!$A:$A,0)),""))</f>
        <v>ジャパンリアルエステイト投資法人</v>
      </c>
      <c r="D1220" s="1" t="str">
        <f aca="false">IF($A1220="","",物件マスタ!C1220)</f>
        <v>ＪＲＥ池袋二丁目ビル</v>
      </c>
      <c r="E1220" s="1" t="str">
        <f aca="false">IF($A1220="","",物件マスタ!H1220)</f>
        <v>その他東京23区</v>
      </c>
      <c r="F1220" s="1" t="n">
        <f aca="false">IF($A1220="","",物件マスタ!P1220)</f>
        <v>0</v>
      </c>
      <c r="G1220" s="1" t="str">
        <f aca="false">IF($A1220="","",物件マスタ!Q1220)</f>
        <v/>
      </c>
      <c r="H1220" s="1" t="n">
        <f aca="false">IF($A1220="","",物件マスタ!L1220)</f>
        <v>0</v>
      </c>
      <c r="I1220" s="1" t="n">
        <f aca="false">IF($A1220="","",物件マスタ!M1220)</f>
        <v>2186</v>
      </c>
      <c r="J1220" s="1" t="n">
        <f aca="false">IF($A1220="","",物件マスタ!S1220)</f>
        <v>1728</v>
      </c>
      <c r="K1220" s="1" t="n">
        <f aca="false">IF($A1220="","",物件マスタ!U1220)</f>
        <v>2090</v>
      </c>
      <c r="L1220" s="1" t="n">
        <f aca="false">IF($A1220="","",物件マスタ!W1220)</f>
        <v>1</v>
      </c>
      <c r="M1220" s="1" t="str">
        <f aca="false">IF($A1220="","",IFERROR(INDEX(法人マスタ!$H:$H,MATCH($B1220,法人マスタ!$A:$A,0)),""))</f>
        <v>2026年3月期（第49期）</v>
      </c>
      <c r="N1220" s="1" t="n">
        <f aca="false">IF($A1220="","",SUMIFS(物件収支!$D:$D,物件収支!$A:$A,$A1220,物件収支!$C:$C,$M1220))</f>
        <v>6</v>
      </c>
      <c r="O1220" s="1" t="n">
        <f aca="false">IF($A1220="","",SUMIFS(物件収支!$F:$F,物件収支!$A:$A,$A1220,物件収支!$C:$C,$M1220))</f>
        <v>74000</v>
      </c>
      <c r="P1220" s="1" t="n">
        <f aca="false">IF($A1220="","",SUMIFS(物件収支!$I:$I,物件収支!$A:$A,$A1220,物件収支!$C:$C,$M1220))</f>
        <v>36000</v>
      </c>
      <c r="Q1220" s="1" t="n">
        <f aca="false">IF($A1220="","",SUMIFS(物件収支!$O:$O,物件収支!$A:$A,$A1220,物件収支!$C:$C,$M1220))</f>
        <v>9000</v>
      </c>
      <c r="R1220" s="1" t="n">
        <f aca="false">IF($A1220="","",IF(P1220=0,"",O1220-P1220))</f>
        <v>38000</v>
      </c>
      <c r="S1220" s="1" t="n">
        <f aca="false">IF($A1220="","",IF(R1220="","",R1220+Q1220))</f>
        <v>47000</v>
      </c>
      <c r="T1220" s="1" t="n">
        <f aca="false">IF($A1220="","",IF(OR(S1220="",N1220&lt;=0),"",S1220/1000*12/N1220))</f>
        <v>94</v>
      </c>
      <c r="U1220" s="1" t="n">
        <f aca="false">IF($A1220="","",IF(OR(T1220="",J1220=0,J1220=""),"",T1220/J1220))</f>
        <v>0.0543981481481482</v>
      </c>
      <c r="V1220" s="1" t="n">
        <f aca="false">IF($A1220="","",IF(OR(R1220="",N1220&lt;=0,J1220=0,J1220=""),"",(R1220/1000*12/N1220)/J1220))</f>
        <v>0.0439814814814815</v>
      </c>
      <c r="W1220" s="1" t="n">
        <f aca="false">IF($A1220="","",IF(OR(T1220="",K1220=0,K1220=""),"",T1220/K1220))</f>
        <v>0.0449760765550239</v>
      </c>
      <c r="X1220" s="1" t="n">
        <f aca="false">IF($A1220="","",IF(OR(N1220&lt;=0,I1220=0,I1220="",O1220=0),"",O1220*1000/(I1220*0.3025)/N1220))</f>
        <v>18651.1207055164</v>
      </c>
      <c r="Y1220" s="1" t="n">
        <f aca="false">IF($A1220="","",IF(OR(O1220=0,O1220="",P1220=0),"",P1220/O1220))</f>
        <v>0.486486486486487</v>
      </c>
      <c r="Z1220" s="1" t="str">
        <f aca="false">IF($A1220="","",IFERROR(INDEX(物件収支!$E:$E,MATCH($A1220,物件収支!$A:$A,0)),""))</f>
        <v>開示（物件別・費用内訳含む・百万円単位）</v>
      </c>
    </row>
    <row r="1221" customFormat="false" ht="16.5" hidden="false" customHeight="true" outlineLevel="0" collapsed="false">
      <c r="A1221" s="1" t="str">
        <f aca="false">IF(物件マスタ!A1221="","",物件マスタ!A1221)</f>
        <v>JRE-048</v>
      </c>
      <c r="B1221" s="1" t="str">
        <f aca="false">IF($A1221="","",物件マスタ!B1221)</f>
        <v>JRE</v>
      </c>
      <c r="C1221" s="1" t="str">
        <f aca="false">IF($A1221="","",IFERROR(INDEX(法人マスタ!$C:$C,MATCH($B1221,法人マスタ!$A:$A,0)),""))</f>
        <v>ジャパンリアルエステイト投資法人</v>
      </c>
      <c r="D1221" s="1" t="str">
        <f aca="false">IF($A1221="","",物件マスタ!C1221)</f>
        <v>ＪＲＥ南池袋ビル</v>
      </c>
      <c r="E1221" s="1" t="str">
        <f aca="false">IF($A1221="","",物件マスタ!H1221)</f>
        <v>その他東京23区</v>
      </c>
      <c r="F1221" s="1" t="n">
        <f aca="false">IF($A1221="","",物件マスタ!P1221)</f>
        <v>0</v>
      </c>
      <c r="G1221" s="1" t="str">
        <f aca="false">IF($A1221="","",物件マスタ!Q1221)</f>
        <v/>
      </c>
      <c r="H1221" s="1" t="n">
        <f aca="false">IF($A1221="","",物件マスタ!L1221)</f>
        <v>0</v>
      </c>
      <c r="I1221" s="1" t="n">
        <f aca="false">IF($A1221="","",物件マスタ!M1221)</f>
        <v>5932</v>
      </c>
      <c r="J1221" s="1" t="n">
        <f aca="false">IF($A1221="","",物件マスタ!S1221)</f>
        <v>4500</v>
      </c>
      <c r="K1221" s="1" t="n">
        <f aca="false">IF($A1221="","",物件マスタ!U1221)</f>
        <v>6230</v>
      </c>
      <c r="L1221" s="1" t="n">
        <f aca="false">IF($A1221="","",物件マスタ!W1221)</f>
        <v>1</v>
      </c>
      <c r="M1221" s="1" t="str">
        <f aca="false">IF($A1221="","",IFERROR(INDEX(法人マスタ!$H:$H,MATCH($B1221,法人マスタ!$A:$A,0)),""))</f>
        <v>2026年3月期（第49期）</v>
      </c>
      <c r="N1221" s="1" t="n">
        <f aca="false">IF($A1221="","",SUMIFS(物件収支!$D:$D,物件収支!$A:$A,$A1221,物件収支!$C:$C,$M1221))</f>
        <v>6</v>
      </c>
      <c r="O1221" s="1" t="n">
        <f aca="false">IF($A1221="","",SUMIFS(物件収支!$F:$F,物件収支!$A:$A,$A1221,物件収支!$C:$C,$M1221))</f>
        <v>207000</v>
      </c>
      <c r="P1221" s="1" t="n">
        <f aca="false">IF($A1221="","",SUMIFS(物件収支!$I:$I,物件収支!$A:$A,$A1221,物件収支!$C:$C,$M1221))</f>
        <v>86000</v>
      </c>
      <c r="Q1221" s="1" t="n">
        <f aca="false">IF($A1221="","",SUMIFS(物件収支!$O:$O,物件収支!$A:$A,$A1221,物件収支!$C:$C,$M1221))</f>
        <v>25000</v>
      </c>
      <c r="R1221" s="1" t="n">
        <f aca="false">IF($A1221="","",IF(P1221=0,"",O1221-P1221))</f>
        <v>121000</v>
      </c>
      <c r="S1221" s="1" t="n">
        <f aca="false">IF($A1221="","",IF(R1221="","",R1221+Q1221))</f>
        <v>146000</v>
      </c>
      <c r="T1221" s="1" t="n">
        <f aca="false">IF($A1221="","",IF(OR(S1221="",N1221&lt;=0),"",S1221/1000*12/N1221))</f>
        <v>292</v>
      </c>
      <c r="U1221" s="1" t="n">
        <f aca="false">IF($A1221="","",IF(OR(T1221="",J1221=0,J1221=""),"",T1221/J1221))</f>
        <v>0.0648888888888889</v>
      </c>
      <c r="V1221" s="1" t="n">
        <f aca="false">IF($A1221="","",IF(OR(R1221="",N1221&lt;=0,J1221=0,J1221=""),"",(R1221/1000*12/N1221)/J1221))</f>
        <v>0.0537777777777778</v>
      </c>
      <c r="W1221" s="1" t="n">
        <f aca="false">IF($A1221="","",IF(OR(T1221="",K1221=0,K1221=""),"",T1221/K1221))</f>
        <v>0.0468699839486356</v>
      </c>
      <c r="X1221" s="1" t="n">
        <f aca="false">IF($A1221="","",IF(OR(N1221&lt;=0,I1221=0,I1221="",O1221=0),"",O1221*1000/(I1221*0.3025)/N1221))</f>
        <v>19226.1609536176</v>
      </c>
      <c r="Y1221" s="1" t="n">
        <f aca="false">IF($A1221="","",IF(OR(O1221=0,O1221="",P1221=0),"",P1221/O1221))</f>
        <v>0.415458937198068</v>
      </c>
      <c r="Z1221" s="1" t="str">
        <f aca="false">IF($A1221="","",IFERROR(INDEX(物件収支!$E:$E,MATCH($A1221,物件収支!$A:$A,0)),""))</f>
        <v>開示（物件別・費用内訳含む・百万円単位）</v>
      </c>
    </row>
    <row r="1222" customFormat="false" ht="16.5" hidden="false" customHeight="true" outlineLevel="0" collapsed="false">
      <c r="A1222" s="1" t="str">
        <f aca="false">IF(物件マスタ!A1222="","",物件マスタ!A1222)</f>
        <v>JRE-049</v>
      </c>
      <c r="B1222" s="1" t="str">
        <f aca="false">IF($A1222="","",物件マスタ!B1222)</f>
        <v>JRE</v>
      </c>
      <c r="C1222" s="1" t="str">
        <f aca="false">IF($A1222="","",IFERROR(INDEX(法人マスタ!$C:$C,MATCH($B1222,法人マスタ!$A:$A,0)),""))</f>
        <v>ジャパンリアルエステイト投資法人</v>
      </c>
      <c r="D1222" s="1" t="str">
        <f aca="false">IF($A1222="","",物件マスタ!C1222)</f>
        <v>八王子ファーストスクエア</v>
      </c>
      <c r="E1222" s="1" t="str">
        <f aca="false">IF($A1222="","",物件マスタ!H1222)</f>
        <v>東京周辺都市部</v>
      </c>
      <c r="F1222" s="1" t="n">
        <f aca="false">IF($A1222="","",物件マスタ!P1222)</f>
        <v>0</v>
      </c>
      <c r="G1222" s="1" t="str">
        <f aca="false">IF($A1222="","",物件マスタ!Q1222)</f>
        <v/>
      </c>
      <c r="H1222" s="1" t="n">
        <f aca="false">IF($A1222="","",物件マスタ!L1222)</f>
        <v>0</v>
      </c>
      <c r="I1222" s="1" t="n">
        <f aca="false">IF($A1222="","",物件マスタ!M1222)</f>
        <v>10629</v>
      </c>
      <c r="J1222" s="1" t="n">
        <f aca="false">IF($A1222="","",物件マスタ!S1222)</f>
        <v>5934.1</v>
      </c>
      <c r="K1222" s="1" t="n">
        <f aca="false">IF($A1222="","",物件マスタ!U1222)</f>
        <v>5550</v>
      </c>
      <c r="L1222" s="1" t="n">
        <f aca="false">IF($A1222="","",物件マスタ!W1222)</f>
        <v>1</v>
      </c>
      <c r="M1222" s="1" t="str">
        <f aca="false">IF($A1222="","",IFERROR(INDEX(法人マスタ!$H:$H,MATCH($B1222,法人マスタ!$A:$A,0)),""))</f>
        <v>2026年3月期（第49期）</v>
      </c>
      <c r="N1222" s="1" t="n">
        <f aca="false">IF($A1222="","",SUMIFS(物件収支!$D:$D,物件収支!$A:$A,$A1222,物件収支!$C:$C,$M1222))</f>
        <v>6</v>
      </c>
      <c r="O1222" s="1" t="n">
        <f aca="false">IF($A1222="","",SUMIFS(物件収支!$F:$F,物件収支!$A:$A,$A1222,物件収支!$C:$C,$M1222))</f>
        <v>258000</v>
      </c>
      <c r="P1222" s="1" t="n">
        <f aca="false">IF($A1222="","",SUMIFS(物件収支!$I:$I,物件収支!$A:$A,$A1222,物件収支!$C:$C,$M1222))</f>
        <v>137000</v>
      </c>
      <c r="Q1222" s="1" t="n">
        <f aca="false">IF($A1222="","",SUMIFS(物件収支!$O:$O,物件収支!$A:$A,$A1222,物件収支!$C:$C,$M1222))</f>
        <v>41000</v>
      </c>
      <c r="R1222" s="1" t="n">
        <f aca="false">IF($A1222="","",IF(P1222=0,"",O1222-P1222))</f>
        <v>121000</v>
      </c>
      <c r="S1222" s="1" t="n">
        <f aca="false">IF($A1222="","",IF(R1222="","",R1222+Q1222))</f>
        <v>162000</v>
      </c>
      <c r="T1222" s="1" t="n">
        <f aca="false">IF($A1222="","",IF(OR(S1222="",N1222&lt;=0),"",S1222/1000*12/N1222))</f>
        <v>324</v>
      </c>
      <c r="U1222" s="1" t="n">
        <f aca="false">IF($A1222="","",IF(OR(T1222="",J1222=0,J1222=""),"",T1222/J1222))</f>
        <v>0.054599686557355</v>
      </c>
      <c r="V1222" s="1" t="n">
        <f aca="false">IF($A1222="","",IF(OR(R1222="",N1222&lt;=0,J1222=0,J1222=""),"",(R1222/1000*12/N1222)/J1222))</f>
        <v>0.0407812473669133</v>
      </c>
      <c r="W1222" s="1" t="n">
        <f aca="false">IF($A1222="","",IF(OR(T1222="",K1222=0,K1222=""),"",T1222/K1222))</f>
        <v>0.0583783783783784</v>
      </c>
      <c r="X1222" s="1" t="n">
        <f aca="false">IF($A1222="","",IF(OR(N1222&lt;=0,I1222=0,I1222="",O1222=0),"",O1222*1000/(I1222*0.3025)/N1222))</f>
        <v>13373.6720604552</v>
      </c>
      <c r="Y1222" s="1" t="n">
        <f aca="false">IF($A1222="","",IF(OR(O1222=0,O1222="",P1222=0),"",P1222/O1222))</f>
        <v>0.531007751937985</v>
      </c>
      <c r="Z1222" s="1" t="str">
        <f aca="false">IF($A1222="","",IFERROR(INDEX(物件収支!$E:$E,MATCH($A1222,物件収支!$A:$A,0)),""))</f>
        <v>開示（物件別・費用内訳含む・百万円単位）</v>
      </c>
    </row>
    <row r="1223" customFormat="false" ht="16.5" hidden="false" customHeight="true" outlineLevel="0" collapsed="false">
      <c r="A1223" s="1" t="str">
        <f aca="false">IF(物件マスタ!A1223="","",物件マスタ!A1223)</f>
        <v>JRE-050</v>
      </c>
      <c r="B1223" s="1" t="str">
        <f aca="false">IF($A1223="","",物件マスタ!B1223)</f>
        <v>JRE</v>
      </c>
      <c r="C1223" s="1" t="str">
        <f aca="false">IF($A1223="","",IFERROR(INDEX(法人マスタ!$C:$C,MATCH($B1223,法人マスタ!$A:$A,0)),""))</f>
        <v>ジャパンリアルエステイト投資法人</v>
      </c>
      <c r="D1223" s="1" t="str">
        <f aca="false">IF($A1223="","",物件マスタ!C1223)</f>
        <v>ＪＲＥさいたま浦和ビル</v>
      </c>
      <c r="E1223" s="1" t="str">
        <f aca="false">IF($A1223="","",物件マスタ!H1223)</f>
        <v>東京周辺都市部</v>
      </c>
      <c r="F1223" s="1" t="n">
        <f aca="false">IF($A1223="","",物件マスタ!P1223)</f>
        <v>0</v>
      </c>
      <c r="G1223" s="1" t="str">
        <f aca="false">IF($A1223="","",物件マスタ!Q1223)</f>
        <v/>
      </c>
      <c r="H1223" s="1" t="n">
        <f aca="false">IF($A1223="","",物件マスタ!L1223)</f>
        <v>0</v>
      </c>
      <c r="I1223" s="1" t="n">
        <f aca="false">IF($A1223="","",物件マスタ!M1223)</f>
        <v>4510</v>
      </c>
      <c r="J1223" s="1" t="n">
        <f aca="false">IF($A1223="","",物件マスタ!S1223)</f>
        <v>2574</v>
      </c>
      <c r="K1223" s="1" t="n">
        <f aca="false">IF($A1223="","",物件マスタ!U1223)</f>
        <v>3810</v>
      </c>
      <c r="L1223" s="1" t="n">
        <f aca="false">IF($A1223="","",物件マスタ!W1223)</f>
        <v>1</v>
      </c>
      <c r="M1223" s="1" t="str">
        <f aca="false">IF($A1223="","",IFERROR(INDEX(法人マスタ!$H:$H,MATCH($B1223,法人マスタ!$A:$A,0)),""))</f>
        <v>2026年3月期（第49期）</v>
      </c>
      <c r="N1223" s="1" t="n">
        <f aca="false">IF($A1223="","",SUMIFS(物件収支!$D:$D,物件収支!$A:$A,$A1223,物件収支!$C:$C,$M1223))</f>
        <v>6</v>
      </c>
      <c r="O1223" s="1" t="n">
        <f aca="false">IF($A1223="","",SUMIFS(物件収支!$F:$F,物件収支!$A:$A,$A1223,物件収支!$C:$C,$M1223))</f>
        <v>144000</v>
      </c>
      <c r="P1223" s="1" t="n">
        <f aca="false">IF($A1223="","",SUMIFS(物件収支!$I:$I,物件収支!$A:$A,$A1223,物件収支!$C:$C,$M1223))</f>
        <v>59000</v>
      </c>
      <c r="Q1223" s="1" t="n">
        <f aca="false">IF($A1223="","",SUMIFS(物件収支!$O:$O,物件収支!$A:$A,$A1223,物件収支!$C:$C,$M1223))</f>
        <v>21000</v>
      </c>
      <c r="R1223" s="1" t="n">
        <f aca="false">IF($A1223="","",IF(P1223=0,"",O1223-P1223))</f>
        <v>85000</v>
      </c>
      <c r="S1223" s="1" t="n">
        <f aca="false">IF($A1223="","",IF(R1223="","",R1223+Q1223))</f>
        <v>106000</v>
      </c>
      <c r="T1223" s="1" t="n">
        <f aca="false">IF($A1223="","",IF(OR(S1223="",N1223&lt;=0),"",S1223/1000*12/N1223))</f>
        <v>212</v>
      </c>
      <c r="U1223" s="1" t="n">
        <f aca="false">IF($A1223="","",IF(OR(T1223="",J1223=0,J1223=""),"",T1223/J1223))</f>
        <v>0.0823620823620824</v>
      </c>
      <c r="V1223" s="1" t="n">
        <f aca="false">IF($A1223="","",IF(OR(R1223="",N1223&lt;=0,J1223=0,J1223=""),"",(R1223/1000*12/N1223)/J1223))</f>
        <v>0.0660450660450661</v>
      </c>
      <c r="W1223" s="1" t="n">
        <f aca="false">IF($A1223="","",IF(OR(T1223="",K1223=0,K1223=""),"",T1223/K1223))</f>
        <v>0.0556430446194226</v>
      </c>
      <c r="X1223" s="1" t="n">
        <f aca="false">IF($A1223="","",IF(OR(N1223&lt;=0,I1223=0,I1223="",O1223=0),"",O1223*1000/(I1223*0.3025)/N1223))</f>
        <v>17591.7611918418</v>
      </c>
      <c r="Y1223" s="1" t="n">
        <f aca="false">IF($A1223="","",IF(OR(O1223=0,O1223="",P1223=0),"",P1223/O1223))</f>
        <v>0.409722222222222</v>
      </c>
      <c r="Z1223" s="1" t="str">
        <f aca="false">IF($A1223="","",IFERROR(INDEX(物件収支!$E:$E,MATCH($A1223,物件収支!$A:$A,0)),""))</f>
        <v>開示（物件別・費用内訳含む・百万円単位）</v>
      </c>
    </row>
    <row r="1224" customFormat="false" ht="16.5" hidden="false" customHeight="true" outlineLevel="0" collapsed="false">
      <c r="A1224" s="1" t="str">
        <f aca="false">IF(物件マスタ!A1224="","",物件マスタ!A1224)</f>
        <v>JRE-051</v>
      </c>
      <c r="B1224" s="1" t="str">
        <f aca="false">IF($A1224="","",物件マスタ!B1224)</f>
        <v>JRE</v>
      </c>
      <c r="C1224" s="1" t="str">
        <f aca="false">IF($A1224="","",IFERROR(INDEX(法人マスタ!$C:$C,MATCH($B1224,法人マスタ!$A:$A,0)),""))</f>
        <v>ジャパンリアルエステイト投資法人</v>
      </c>
      <c r="D1224" s="1" t="str">
        <f aca="false">IF($A1224="","",物件マスタ!C1224)</f>
        <v>ＭＭパークビル</v>
      </c>
      <c r="E1224" s="1" t="str">
        <f aca="false">IF($A1224="","",物件マスタ!H1224)</f>
        <v>東京周辺都市部</v>
      </c>
      <c r="F1224" s="1" t="n">
        <f aca="false">IF($A1224="","",物件マスタ!P1224)</f>
        <v>0</v>
      </c>
      <c r="G1224" s="1" t="str">
        <f aca="false">IF($A1224="","",物件マスタ!Q1224)</f>
        <v/>
      </c>
      <c r="H1224" s="1" t="n">
        <f aca="false">IF($A1224="","",物件マスタ!L1224)</f>
        <v>0</v>
      </c>
      <c r="I1224" s="1" t="n">
        <f aca="false">IF($A1224="","",物件マスタ!M1224)</f>
        <v>38398</v>
      </c>
      <c r="J1224" s="1" t="n">
        <f aca="false">IF($A1224="","",物件マスタ!S1224)</f>
        <v>37400</v>
      </c>
      <c r="K1224" s="1" t="n">
        <f aca="false">IF($A1224="","",物件マスタ!U1224)</f>
        <v>41300</v>
      </c>
      <c r="L1224" s="1" t="n">
        <f aca="false">IF($A1224="","",物件マスタ!W1224)</f>
        <v>0.995</v>
      </c>
      <c r="M1224" s="1" t="str">
        <f aca="false">IF($A1224="","",IFERROR(INDEX(法人マスタ!$H:$H,MATCH($B1224,法人マスタ!$A:$A,0)),""))</f>
        <v>2026年3月期（第49期）</v>
      </c>
      <c r="N1224" s="1" t="n">
        <f aca="false">IF($A1224="","",SUMIFS(物件収支!$D:$D,物件収支!$A:$A,$A1224,物件収支!$C:$C,$M1224))</f>
        <v>6</v>
      </c>
      <c r="O1224" s="1" t="n">
        <f aca="false">IF($A1224="","",SUMIFS(物件収支!$F:$F,物件収支!$A:$A,$A1224,物件収支!$C:$C,$M1224))</f>
        <v>1292000</v>
      </c>
      <c r="P1224" s="1" t="n">
        <f aca="false">IF($A1224="","",SUMIFS(物件収支!$I:$I,物件収支!$A:$A,$A1224,物件収支!$C:$C,$M1224))</f>
        <v>612000</v>
      </c>
      <c r="Q1224" s="1" t="n">
        <f aca="false">IF($A1224="","",SUMIFS(物件収支!$O:$O,物件収支!$A:$A,$A1224,物件収支!$C:$C,$M1224))</f>
        <v>182000</v>
      </c>
      <c r="R1224" s="1" t="n">
        <f aca="false">IF($A1224="","",IF(P1224=0,"",O1224-P1224))</f>
        <v>680000</v>
      </c>
      <c r="S1224" s="1" t="n">
        <f aca="false">IF($A1224="","",IF(R1224="","",R1224+Q1224))</f>
        <v>862000</v>
      </c>
      <c r="T1224" s="1" t="n">
        <f aca="false">IF($A1224="","",IF(OR(S1224="",N1224&lt;=0),"",S1224/1000*12/N1224))</f>
        <v>1724</v>
      </c>
      <c r="U1224" s="1" t="n">
        <f aca="false">IF($A1224="","",IF(OR(T1224="",J1224=0,J1224=""),"",T1224/J1224))</f>
        <v>0.046096256684492</v>
      </c>
      <c r="V1224" s="1" t="n">
        <f aca="false">IF($A1224="","",IF(OR(R1224="",N1224&lt;=0,J1224=0,J1224=""),"",(R1224/1000*12/N1224)/J1224))</f>
        <v>0.0363636363636364</v>
      </c>
      <c r="W1224" s="1" t="n">
        <f aca="false">IF($A1224="","",IF(OR(T1224="",K1224=0,K1224=""),"",T1224/K1224))</f>
        <v>0.0417433414043584</v>
      </c>
      <c r="X1224" s="1" t="n">
        <f aca="false">IF($A1224="","",IF(OR(N1224&lt;=0,I1224=0,I1224="",O1224=0),"",O1224*1000/(I1224*0.3025)/N1224))</f>
        <v>18538.6147723201</v>
      </c>
      <c r="Y1224" s="1" t="n">
        <f aca="false">IF($A1224="","",IF(OR(O1224=0,O1224="",P1224=0),"",P1224/O1224))</f>
        <v>0.473684210526316</v>
      </c>
      <c r="Z1224" s="1" t="str">
        <f aca="false">IF($A1224="","",IFERROR(INDEX(物件収支!$E:$E,MATCH($A1224,物件収支!$A:$A,0)),""))</f>
        <v>開示（物件別・費用内訳含む・百万円単位）</v>
      </c>
    </row>
    <row r="1225" customFormat="false" ht="16.5" hidden="false" customHeight="true" outlineLevel="0" collapsed="false">
      <c r="A1225" s="1" t="str">
        <f aca="false">IF(物件マスタ!A1225="","",物件マスタ!A1225)</f>
        <v>JRE-052</v>
      </c>
      <c r="B1225" s="1" t="str">
        <f aca="false">IF($A1225="","",物件マスタ!B1225)</f>
        <v>JRE</v>
      </c>
      <c r="C1225" s="1" t="str">
        <f aca="false">IF($A1225="","",IFERROR(INDEX(法人マスタ!$C:$C,MATCH($B1225,法人マスタ!$A:$A,0)),""))</f>
        <v>ジャパンリアルエステイト投資法人</v>
      </c>
      <c r="D1225" s="1" t="str">
        <f aca="false">IF($A1225="","",物件マスタ!C1225)</f>
        <v>クイーンズタワーＡ</v>
      </c>
      <c r="E1225" s="1" t="str">
        <f aca="false">IF($A1225="","",物件マスタ!H1225)</f>
        <v>東京周辺都市部</v>
      </c>
      <c r="F1225" s="1" t="n">
        <f aca="false">IF($A1225="","",物件マスタ!P1225)</f>
        <v>0</v>
      </c>
      <c r="G1225" s="1" t="str">
        <f aca="false">IF($A1225="","",物件マスタ!Q1225)</f>
        <v/>
      </c>
      <c r="H1225" s="1" t="n">
        <f aca="false">IF($A1225="","",物件マスタ!L1225)</f>
        <v>0</v>
      </c>
      <c r="I1225" s="1" t="n">
        <f aca="false">IF($A1225="","",物件マスタ!M1225)</f>
        <v>26696</v>
      </c>
      <c r="J1225" s="1" t="n">
        <f aca="false">IF($A1225="","",物件マスタ!S1225)</f>
        <v>17200</v>
      </c>
      <c r="K1225" s="1" t="n">
        <f aca="false">IF($A1225="","",物件マスタ!U1225)</f>
        <v>27900</v>
      </c>
      <c r="L1225" s="1" t="n">
        <f aca="false">IF($A1225="","",物件マスタ!W1225)</f>
        <v>0.974</v>
      </c>
      <c r="M1225" s="1" t="str">
        <f aca="false">IF($A1225="","",IFERROR(INDEX(法人マスタ!$H:$H,MATCH($B1225,法人マスタ!$A:$A,0)),""))</f>
        <v>2026年3月期（第49期）</v>
      </c>
      <c r="N1225" s="1" t="n">
        <f aca="false">IF($A1225="","",SUMIFS(物件収支!$D:$D,物件収支!$A:$A,$A1225,物件収支!$C:$C,$M1225))</f>
        <v>6</v>
      </c>
      <c r="O1225" s="1" t="n">
        <f aca="false">IF($A1225="","",SUMIFS(物件収支!$F:$F,物件収支!$A:$A,$A1225,物件収支!$C:$C,$M1225))</f>
        <v>1064000</v>
      </c>
      <c r="P1225" s="1" t="n">
        <f aca="false">IF($A1225="","",SUMIFS(物件収支!$I:$I,物件収支!$A:$A,$A1225,物件収支!$C:$C,$M1225))</f>
        <v>776000</v>
      </c>
      <c r="Q1225" s="1" t="n">
        <f aca="false">IF($A1225="","",SUMIFS(物件収支!$O:$O,物件収支!$A:$A,$A1225,物件収支!$C:$C,$M1225))</f>
        <v>279000</v>
      </c>
      <c r="R1225" s="1" t="n">
        <f aca="false">IF($A1225="","",IF(P1225=0,"",O1225-P1225))</f>
        <v>288000</v>
      </c>
      <c r="S1225" s="1" t="n">
        <f aca="false">IF($A1225="","",IF(R1225="","",R1225+Q1225))</f>
        <v>567000</v>
      </c>
      <c r="T1225" s="1" t="n">
        <f aca="false">IF($A1225="","",IF(OR(S1225="",N1225&lt;=0),"",S1225/1000*12/N1225))</f>
        <v>1134</v>
      </c>
      <c r="U1225" s="1" t="n">
        <f aca="false">IF($A1225="","",IF(OR(T1225="",J1225=0,J1225=""),"",T1225/J1225))</f>
        <v>0.0659302325581395</v>
      </c>
      <c r="V1225" s="1" t="n">
        <f aca="false">IF($A1225="","",IF(OR(R1225="",N1225&lt;=0,J1225=0,J1225=""),"",(R1225/1000*12/N1225)/J1225))</f>
        <v>0.0334883720930233</v>
      </c>
      <c r="W1225" s="1" t="n">
        <f aca="false">IF($A1225="","",IF(OR(T1225="",K1225=0,K1225=""),"",T1225/K1225))</f>
        <v>0.0406451612903226</v>
      </c>
      <c r="X1225" s="1" t="n">
        <f aca="false">IF($A1225="","",IF(OR(N1225&lt;=0,I1225=0,I1225="",O1225=0),"",O1225*1000/(I1225*0.3025)/N1225))</f>
        <v>21959.3158269705</v>
      </c>
      <c r="Y1225" s="1" t="n">
        <f aca="false">IF($A1225="","",IF(OR(O1225=0,O1225="",P1225=0),"",P1225/O1225))</f>
        <v>0.729323308270677</v>
      </c>
      <c r="Z1225" s="1" t="str">
        <f aca="false">IF($A1225="","",IFERROR(INDEX(物件収支!$E:$E,MATCH($A1225,物件収支!$A:$A,0)),""))</f>
        <v>開示（物件別・費用内訳含む・百万円単位）</v>
      </c>
    </row>
    <row r="1226" customFormat="false" ht="16.5" hidden="false" customHeight="true" outlineLevel="0" collapsed="false">
      <c r="A1226" s="1" t="str">
        <f aca="false">IF(物件マスタ!A1226="","",物件マスタ!A1226)</f>
        <v>JRE-053</v>
      </c>
      <c r="B1226" s="1" t="str">
        <f aca="false">IF($A1226="","",物件マスタ!B1226)</f>
        <v>JRE</v>
      </c>
      <c r="C1226" s="1" t="str">
        <f aca="false">IF($A1226="","",IFERROR(INDEX(法人マスタ!$C:$C,MATCH($B1226,法人マスタ!$A:$A,0)),""))</f>
        <v>ジャパンリアルエステイト投資法人</v>
      </c>
      <c r="D1226" s="1" t="str">
        <f aca="false">IF($A1226="","",物件マスタ!C1226)</f>
        <v>武蔵小杉ＳＴＭビル</v>
      </c>
      <c r="E1226" s="1" t="str">
        <f aca="false">IF($A1226="","",物件マスタ!H1226)</f>
        <v>東京周辺都市部</v>
      </c>
      <c r="F1226" s="1" t="n">
        <f aca="false">IF($A1226="","",物件マスタ!P1226)</f>
        <v>0</v>
      </c>
      <c r="G1226" s="1" t="str">
        <f aca="false">IF($A1226="","",物件マスタ!Q1226)</f>
        <v/>
      </c>
      <c r="H1226" s="1" t="n">
        <f aca="false">IF($A1226="","",物件マスタ!L1226)</f>
        <v>0</v>
      </c>
      <c r="I1226" s="1" t="n">
        <f aca="false">IF($A1226="","",物件マスタ!M1226)</f>
        <v>5378</v>
      </c>
      <c r="J1226" s="1" t="n">
        <f aca="false">IF($A1226="","",物件マスタ!S1226)</f>
        <v>4000</v>
      </c>
      <c r="K1226" s="1" t="n">
        <f aca="false">IF($A1226="","",物件マスタ!U1226)</f>
        <v>4710</v>
      </c>
      <c r="L1226" s="1" t="n">
        <f aca="false">IF($A1226="","",物件マスタ!W1226)</f>
        <v>1</v>
      </c>
      <c r="M1226" s="1" t="str">
        <f aca="false">IF($A1226="","",IFERROR(INDEX(法人マスタ!$H:$H,MATCH($B1226,法人マスタ!$A:$A,0)),""))</f>
        <v>2026年3月期（第49期）</v>
      </c>
      <c r="N1226" s="1" t="n">
        <f aca="false">IF($A1226="","",SUMIFS(物件収支!$D:$D,物件収支!$A:$A,$A1226,物件収支!$C:$C,$M1226))</f>
        <v>6</v>
      </c>
      <c r="O1226" s="1" t="n">
        <f aca="false">IF($A1226="","",SUMIFS(物件収支!$F:$F,物件収支!$A:$A,$A1226,物件収支!$C:$C,$M1226))</f>
        <v>175000</v>
      </c>
      <c r="P1226" s="1" t="n">
        <f aca="false">IF($A1226="","",SUMIFS(物件収支!$I:$I,物件収支!$A:$A,$A1226,物件収支!$C:$C,$M1226))</f>
        <v>74000</v>
      </c>
      <c r="Q1226" s="1" t="n">
        <f aca="false">IF($A1226="","",SUMIFS(物件収支!$O:$O,物件収支!$A:$A,$A1226,物件収支!$C:$C,$M1226))</f>
        <v>29000</v>
      </c>
      <c r="R1226" s="1" t="n">
        <f aca="false">IF($A1226="","",IF(P1226=0,"",O1226-P1226))</f>
        <v>101000</v>
      </c>
      <c r="S1226" s="1" t="n">
        <f aca="false">IF($A1226="","",IF(R1226="","",R1226+Q1226))</f>
        <v>130000</v>
      </c>
      <c r="T1226" s="1" t="n">
        <f aca="false">IF($A1226="","",IF(OR(S1226="",N1226&lt;=0),"",S1226/1000*12/N1226))</f>
        <v>260</v>
      </c>
      <c r="U1226" s="1" t="n">
        <f aca="false">IF($A1226="","",IF(OR(T1226="",J1226=0,J1226=""),"",T1226/J1226))</f>
        <v>0.065</v>
      </c>
      <c r="V1226" s="1" t="n">
        <f aca="false">IF($A1226="","",IF(OR(R1226="",N1226&lt;=0,J1226=0,J1226=""),"",(R1226/1000*12/N1226)/J1226))</f>
        <v>0.0505</v>
      </c>
      <c r="W1226" s="1" t="n">
        <f aca="false">IF($A1226="","",IF(OR(T1226="",K1226=0,K1226=""),"",T1226/K1226))</f>
        <v>0.0552016985138004</v>
      </c>
      <c r="X1226" s="1" t="n">
        <f aca="false">IF($A1226="","",IF(OR(N1226&lt;=0,I1226=0,I1226="",O1226=0),"",O1226*1000/(I1226*0.3025)/N1226))</f>
        <v>17928.3623619132</v>
      </c>
      <c r="Y1226" s="1" t="n">
        <f aca="false">IF($A1226="","",IF(OR(O1226=0,O1226="",P1226=0),"",P1226/O1226))</f>
        <v>0.422857142857143</v>
      </c>
      <c r="Z1226" s="1" t="str">
        <f aca="false">IF($A1226="","",IFERROR(INDEX(物件収支!$E:$E,MATCH($A1226,物件収支!$A:$A,0)),""))</f>
        <v>開示（物件別・費用内訳含む・百万円単位）</v>
      </c>
    </row>
    <row r="1227" customFormat="false" ht="16.5" hidden="false" customHeight="true" outlineLevel="0" collapsed="false">
      <c r="A1227" s="1" t="str">
        <f aca="false">IF(物件マスタ!A1227="","",物件マスタ!A1227)</f>
        <v>JRE-054</v>
      </c>
      <c r="B1227" s="1" t="str">
        <f aca="false">IF($A1227="","",物件マスタ!B1227)</f>
        <v>JRE</v>
      </c>
      <c r="C1227" s="1" t="str">
        <f aca="false">IF($A1227="","",IFERROR(INDEX(法人マスタ!$C:$C,MATCH($B1227,法人マスタ!$A:$A,0)),""))</f>
        <v>ジャパンリアルエステイト投資法人</v>
      </c>
      <c r="D1227" s="1" t="str">
        <f aca="false">IF($A1227="","",物件マスタ!C1227)</f>
        <v>サッポロアーチビル</v>
      </c>
      <c r="E1227" s="1" t="str">
        <f aca="false">IF($A1227="","",物件マスタ!H1227)</f>
        <v>3大都市圏以外の政令市</v>
      </c>
      <c r="F1227" s="1" t="n">
        <f aca="false">IF($A1227="","",物件マスタ!P1227)</f>
        <v>0</v>
      </c>
      <c r="G1227" s="1" t="str">
        <f aca="false">IF($A1227="","",物件マスタ!Q1227)</f>
        <v/>
      </c>
      <c r="H1227" s="1" t="n">
        <f aca="false">IF($A1227="","",物件マスタ!L1227)</f>
        <v>0</v>
      </c>
      <c r="I1227" s="1" t="n">
        <f aca="false">IF($A1227="","",物件マスタ!M1227)</f>
        <v>5266</v>
      </c>
      <c r="J1227" s="1" t="n">
        <f aca="false">IF($A1227="","",物件マスタ!S1227)</f>
        <v>8175</v>
      </c>
      <c r="K1227" s="1" t="n">
        <f aca="false">IF($A1227="","",物件マスタ!U1227)</f>
        <v>8530</v>
      </c>
      <c r="L1227" s="1" t="n">
        <f aca="false">IF($A1227="","",物件マスタ!W1227)</f>
        <v>0.66</v>
      </c>
      <c r="M1227" s="1" t="str">
        <f aca="false">IF($A1227="","",IFERROR(INDEX(法人マスタ!$H:$H,MATCH($B1227,法人マスタ!$A:$A,0)),""))</f>
        <v>2026年3月期（第49期）</v>
      </c>
      <c r="N1227" s="1" t="n">
        <f aca="false">IF($A1227="","",SUMIFS(物件収支!$D:$D,物件収支!$A:$A,$A1227,物件収支!$C:$C,$M1227))</f>
        <v>6</v>
      </c>
      <c r="O1227" s="1" t="n">
        <f aca="false">IF($A1227="","",SUMIFS(物件収支!$F:$F,物件収支!$A:$A,$A1227,物件収支!$C:$C,$M1227))</f>
        <v>0</v>
      </c>
      <c r="P1227" s="1" t="n">
        <f aca="false">IF($A1227="","",SUMIFS(物件収支!$I:$I,物件収支!$A:$A,$A1227,物件収支!$C:$C,$M1227))</f>
        <v>9000</v>
      </c>
      <c r="Q1227" s="1" t="n">
        <f aca="false">IF($A1227="","",SUMIFS(物件収支!$O:$O,物件収支!$A:$A,$A1227,物件収支!$C:$C,$M1227))</f>
        <v>8000</v>
      </c>
      <c r="R1227" s="1" t="n">
        <f aca="false">IF($A1227="","",IF(P1227=0,"",O1227-P1227))</f>
        <v>-9000</v>
      </c>
      <c r="S1227" s="1" t="n">
        <f aca="false">IF($A1227="","",IF(R1227="","",R1227+Q1227))</f>
        <v>-1000</v>
      </c>
      <c r="T1227" s="1" t="n">
        <f aca="false">IF($A1227="","",IF(OR(S1227="",N1227&lt;=0),"",S1227/1000*12/N1227))</f>
        <v>-2</v>
      </c>
      <c r="U1227" s="1" t="n">
        <f aca="false">IF($A1227="","",IF(OR(T1227="",J1227=0,J1227=""),"",T1227/J1227))</f>
        <v>-0.000244648318042813</v>
      </c>
      <c r="V1227" s="1" t="n">
        <f aca="false">IF($A1227="","",IF(OR(R1227="",N1227&lt;=0,J1227=0,J1227=""),"",(R1227/1000*12/N1227)/J1227))</f>
        <v>-0.00220183486238532</v>
      </c>
      <c r="W1227" s="1" t="n">
        <f aca="false">IF($A1227="","",IF(OR(T1227="",K1227=0,K1227=""),"",T1227/K1227))</f>
        <v>-0.000234466588511137</v>
      </c>
      <c r="X1227" s="1" t="str">
        <f aca="false">IF($A1227="","",IF(OR(N1227&lt;=0,I1227=0,I1227="",O1227=0),"",O1227*1000/(I1227*0.3025)/N1227))</f>
        <v/>
      </c>
      <c r="Y1227" s="1" t="str">
        <f aca="false">IF($A1227="","",IF(OR(O1227=0,O1227="",P1227=0),"",P1227/O1227))</f>
        <v/>
      </c>
      <c r="Z1227" s="1" t="str">
        <f aca="false">IF($A1227="","",IFERROR(INDEX(物件収支!$E:$E,MATCH($A1227,物件収支!$A:$A,0)),""))</f>
        <v>開示（物件別・費用内訳含む・百万円単位）</v>
      </c>
    </row>
    <row r="1228" customFormat="false" ht="16.5" hidden="false" customHeight="true" outlineLevel="0" collapsed="false">
      <c r="A1228" s="1" t="str">
        <f aca="false">IF(物件マスタ!A1228="","",物件マスタ!A1228)</f>
        <v>JRE-055</v>
      </c>
      <c r="B1228" s="1" t="str">
        <f aca="false">IF($A1228="","",物件マスタ!B1228)</f>
        <v>JRE</v>
      </c>
      <c r="C1228" s="1" t="str">
        <f aca="false">IF($A1228="","",IFERROR(INDEX(法人マスタ!$C:$C,MATCH($B1228,法人マスタ!$A:$A,0)),""))</f>
        <v>ジャパンリアルエステイト投資法人</v>
      </c>
      <c r="D1228" s="1" t="str">
        <f aca="false">IF($A1228="","",物件マスタ!C1228)</f>
        <v>８・３スクエア北ビル</v>
      </c>
      <c r="E1228" s="1" t="str">
        <f aca="false">IF($A1228="","",物件マスタ!H1228)</f>
        <v>3大都市圏以外の政令市</v>
      </c>
      <c r="F1228" s="1" t="n">
        <f aca="false">IF($A1228="","",物件マスタ!P1228)</f>
        <v>0</v>
      </c>
      <c r="G1228" s="1" t="str">
        <f aca="false">IF($A1228="","",物件マスタ!Q1228)</f>
        <v/>
      </c>
      <c r="H1228" s="1" t="n">
        <f aca="false">IF($A1228="","",物件マスタ!L1228)</f>
        <v>0</v>
      </c>
      <c r="I1228" s="1" t="n">
        <f aca="false">IF($A1228="","",物件マスタ!M1228)</f>
        <v>12265</v>
      </c>
      <c r="J1228" s="1" t="n">
        <f aca="false">IF($A1228="","",物件マスタ!S1228)</f>
        <v>7100</v>
      </c>
      <c r="K1228" s="1" t="n">
        <f aca="false">IF($A1228="","",物件マスタ!U1228)</f>
        <v>13100</v>
      </c>
      <c r="L1228" s="1" t="n">
        <f aca="false">IF($A1228="","",物件マスタ!W1228)</f>
        <v>0.991</v>
      </c>
      <c r="M1228" s="1" t="str">
        <f aca="false">IF($A1228="","",IFERROR(INDEX(法人マスタ!$H:$H,MATCH($B1228,法人マスタ!$A:$A,0)),""))</f>
        <v>2026年3月期（第49期）</v>
      </c>
      <c r="N1228" s="1" t="n">
        <f aca="false">IF($A1228="","",SUMIFS(物件収支!$D:$D,物件収支!$A:$A,$A1228,物件収支!$C:$C,$M1228))</f>
        <v>6</v>
      </c>
      <c r="O1228" s="1" t="n">
        <f aca="false">IF($A1228="","",SUMIFS(物件収支!$F:$F,物件収支!$A:$A,$A1228,物件収支!$C:$C,$M1228))</f>
        <v>404000</v>
      </c>
      <c r="P1228" s="1" t="n">
        <f aca="false">IF($A1228="","",SUMIFS(物件収支!$I:$I,物件収支!$A:$A,$A1228,物件収支!$C:$C,$M1228))</f>
        <v>162000</v>
      </c>
      <c r="Q1228" s="1" t="n">
        <f aca="false">IF($A1228="","",SUMIFS(物件収支!$O:$O,物件収支!$A:$A,$A1228,物件収支!$C:$C,$M1228))</f>
        <v>41000</v>
      </c>
      <c r="R1228" s="1" t="n">
        <f aca="false">IF($A1228="","",IF(P1228=0,"",O1228-P1228))</f>
        <v>242000</v>
      </c>
      <c r="S1228" s="1" t="n">
        <f aca="false">IF($A1228="","",IF(R1228="","",R1228+Q1228))</f>
        <v>283000</v>
      </c>
      <c r="T1228" s="1" t="n">
        <f aca="false">IF($A1228="","",IF(OR(S1228="",N1228&lt;=0),"",S1228/1000*12/N1228))</f>
        <v>566</v>
      </c>
      <c r="U1228" s="1" t="n">
        <f aca="false">IF($A1228="","",IF(OR(T1228="",J1228=0,J1228=""),"",T1228/J1228))</f>
        <v>0.0797183098591549</v>
      </c>
      <c r="V1228" s="1" t="n">
        <f aca="false">IF($A1228="","",IF(OR(R1228="",N1228&lt;=0,J1228=0,J1228=""),"",(R1228/1000*12/N1228)/J1228))</f>
        <v>0.068169014084507</v>
      </c>
      <c r="W1228" s="1" t="n">
        <f aca="false">IF($A1228="","",IF(OR(T1228="",K1228=0,K1228=""),"",T1228/K1228))</f>
        <v>0.043206106870229</v>
      </c>
      <c r="X1228" s="1" t="n">
        <f aca="false">IF($A1228="","",IF(OR(N1228&lt;=0,I1228=0,I1228="",O1228=0),"",O1228*1000/(I1228*0.3025)/N1228))</f>
        <v>18148.3515434522</v>
      </c>
      <c r="Y1228" s="1" t="n">
        <f aca="false">IF($A1228="","",IF(OR(O1228=0,O1228="",P1228=0),"",P1228/O1228))</f>
        <v>0.400990099009901</v>
      </c>
      <c r="Z1228" s="1" t="str">
        <f aca="false">IF($A1228="","",IFERROR(INDEX(物件収支!$E:$E,MATCH($A1228,物件収支!$A:$A,0)),""))</f>
        <v>開示（物件別・費用内訳含む・百万円単位）</v>
      </c>
    </row>
    <row r="1229" customFormat="false" ht="16.5" hidden="false" customHeight="true" outlineLevel="0" collapsed="false">
      <c r="A1229" s="1" t="str">
        <f aca="false">IF(物件マスタ!A1229="","",物件マスタ!A1229)</f>
        <v>JRE-056</v>
      </c>
      <c r="B1229" s="1" t="str">
        <f aca="false">IF($A1229="","",物件マスタ!B1229)</f>
        <v>JRE</v>
      </c>
      <c r="C1229" s="1" t="str">
        <f aca="false">IF($A1229="","",IFERROR(INDEX(法人マスタ!$C:$C,MATCH($B1229,法人マスタ!$A:$A,0)),""))</f>
        <v>ジャパンリアルエステイト投資法人</v>
      </c>
      <c r="D1229" s="1" t="str">
        <f aca="false">IF($A1229="","",物件マスタ!C1229)</f>
        <v>The Link Sapporo</v>
      </c>
      <c r="E1229" s="1" t="str">
        <f aca="false">IF($A1229="","",物件マスタ!H1229)</f>
        <v>3大都市圏以外の政令市</v>
      </c>
      <c r="F1229" s="1" t="n">
        <f aca="false">IF($A1229="","",物件マスタ!P1229)</f>
        <v>0</v>
      </c>
      <c r="G1229" s="1" t="str">
        <f aca="false">IF($A1229="","",物件マスタ!Q1229)</f>
        <v/>
      </c>
      <c r="H1229" s="1" t="n">
        <f aca="false">IF($A1229="","",物件マスタ!L1229)</f>
        <v>0</v>
      </c>
      <c r="I1229" s="1" t="n">
        <f aca="false">IF($A1229="","",物件マスタ!M1229)</f>
        <v>11818</v>
      </c>
      <c r="J1229" s="1" t="n">
        <f aca="false">IF($A1229="","",物件マスタ!S1229)</f>
        <v>21340</v>
      </c>
      <c r="K1229" s="1" t="n">
        <f aca="false">IF($A1229="","",物件マスタ!U1229)</f>
        <v>22000</v>
      </c>
      <c r="L1229" s="1" t="n">
        <f aca="false">IF($A1229="","",物件マスタ!W1229)</f>
        <v>0.875</v>
      </c>
      <c r="M1229" s="1" t="str">
        <f aca="false">IF($A1229="","",IFERROR(INDEX(法人マスタ!$H:$H,MATCH($B1229,法人マスタ!$A:$A,0)),""))</f>
        <v>2026年3月期（第49期）</v>
      </c>
      <c r="N1229" s="1" t="n">
        <f aca="false">IF($A1229="","",SUMIFS(物件収支!$D:$D,物件収支!$A:$A,$A1229,物件収支!$C:$C,$M1229))</f>
        <v>6</v>
      </c>
      <c r="O1229" s="1" t="n">
        <f aca="false">IF($A1229="","",SUMIFS(物件収支!$F:$F,物件収支!$A:$A,$A1229,物件収支!$C:$C,$M1229))</f>
        <v>303000</v>
      </c>
      <c r="P1229" s="1" t="n">
        <f aca="false">IF($A1229="","",SUMIFS(物件収支!$I:$I,物件収支!$A:$A,$A1229,物件収支!$C:$C,$M1229))</f>
        <v>205000</v>
      </c>
      <c r="Q1229" s="1" t="n">
        <f aca="false">IF($A1229="","",SUMIFS(物件収支!$O:$O,物件収支!$A:$A,$A1229,物件収支!$C:$C,$M1229))</f>
        <v>145000</v>
      </c>
      <c r="R1229" s="1" t="n">
        <f aca="false">IF($A1229="","",IF(P1229=0,"",O1229-P1229))</f>
        <v>98000</v>
      </c>
      <c r="S1229" s="1" t="n">
        <f aca="false">IF($A1229="","",IF(R1229="","",R1229+Q1229))</f>
        <v>243000</v>
      </c>
      <c r="T1229" s="1" t="n">
        <f aca="false">IF($A1229="","",IF(OR(S1229="",N1229&lt;=0),"",S1229/1000*12/N1229))</f>
        <v>486</v>
      </c>
      <c r="U1229" s="1" t="n">
        <f aca="false">IF($A1229="","",IF(OR(T1229="",J1229=0,J1229=""),"",T1229/J1229))</f>
        <v>0.0227741330834114</v>
      </c>
      <c r="V1229" s="1" t="n">
        <f aca="false">IF($A1229="","",IF(OR(R1229="",N1229&lt;=0,J1229=0,J1229=""),"",(R1229/1000*12/N1229)/J1229))</f>
        <v>0.00918462980318651</v>
      </c>
      <c r="W1229" s="1" t="n">
        <f aca="false">IF($A1229="","",IF(OR(T1229="",K1229=0,K1229=""),"",T1229/K1229))</f>
        <v>0.0220909090909091</v>
      </c>
      <c r="X1229" s="1" t="n">
        <f aca="false">IF($A1229="","",IF(OR(N1229&lt;=0,I1229=0,I1229="",O1229=0),"",O1229*1000/(I1229*0.3025)/N1229))</f>
        <v>14126.091450358</v>
      </c>
      <c r="Y1229" s="1" t="n">
        <f aca="false">IF($A1229="","",IF(OR(O1229=0,O1229="",P1229=0),"",P1229/O1229))</f>
        <v>0.676567656765677</v>
      </c>
      <c r="Z1229" s="1" t="str">
        <f aca="false">IF($A1229="","",IFERROR(INDEX(物件収支!$E:$E,MATCH($A1229,物件収支!$A:$A,0)),""))</f>
        <v>開示（物件別・費用内訳含む・百万円単位）</v>
      </c>
    </row>
    <row r="1230" customFormat="false" ht="16.5" hidden="false" customHeight="true" outlineLevel="0" collapsed="false">
      <c r="A1230" s="1" t="str">
        <f aca="false">IF(物件マスタ!A1230="","",物件マスタ!A1230)</f>
        <v>JRE-057</v>
      </c>
      <c r="B1230" s="1" t="str">
        <f aca="false">IF($A1230="","",物件マスタ!B1230)</f>
        <v>JRE</v>
      </c>
      <c r="C1230" s="1" t="str">
        <f aca="false">IF($A1230="","",IFERROR(INDEX(法人マスタ!$C:$C,MATCH($B1230,法人マスタ!$A:$A,0)),""))</f>
        <v>ジャパンリアルエステイト投資法人</v>
      </c>
      <c r="D1230" s="1" t="str">
        <f aca="false">IF($A1230="","",物件マスタ!C1230)</f>
        <v>定禅寺パークビル</v>
      </c>
      <c r="E1230" s="1" t="str">
        <f aca="false">IF($A1230="","",物件マスタ!H1230)</f>
        <v>3大都市圏以外の政令市</v>
      </c>
      <c r="F1230" s="1" t="n">
        <f aca="false">IF($A1230="","",物件マスタ!P1230)</f>
        <v>0</v>
      </c>
      <c r="G1230" s="1" t="str">
        <f aca="false">IF($A1230="","",物件マスタ!Q1230)</f>
        <v/>
      </c>
      <c r="H1230" s="1" t="n">
        <f aca="false">IF($A1230="","",物件マスタ!L1230)</f>
        <v>0</v>
      </c>
      <c r="I1230" s="1" t="n">
        <f aca="false">IF($A1230="","",物件マスタ!M1230)</f>
        <v>2518</v>
      </c>
      <c r="J1230" s="1" t="n">
        <f aca="false">IF($A1230="","",物件マスタ!S1230)</f>
        <v>1000</v>
      </c>
      <c r="K1230" s="1" t="n">
        <f aca="false">IF($A1230="","",物件マスタ!U1230)</f>
        <v>1130</v>
      </c>
      <c r="L1230" s="1" t="n">
        <f aca="false">IF($A1230="","",物件マスタ!W1230)</f>
        <v>0.98</v>
      </c>
      <c r="M1230" s="1" t="str">
        <f aca="false">IF($A1230="","",IFERROR(INDEX(法人マスタ!$H:$H,MATCH($B1230,法人マスタ!$A:$A,0)),""))</f>
        <v>2026年3月期（第49期）</v>
      </c>
      <c r="N1230" s="1" t="n">
        <f aca="false">IF($A1230="","",SUMIFS(物件収支!$D:$D,物件収支!$A:$A,$A1230,物件収支!$C:$C,$M1230))</f>
        <v>6</v>
      </c>
      <c r="O1230" s="1" t="n">
        <f aca="false">IF($A1230="","",SUMIFS(物件収支!$F:$F,物件収支!$A:$A,$A1230,物件収支!$C:$C,$M1230))</f>
        <v>69000</v>
      </c>
      <c r="P1230" s="1" t="n">
        <f aca="false">IF($A1230="","",SUMIFS(物件収支!$I:$I,物件収支!$A:$A,$A1230,物件収支!$C:$C,$M1230))</f>
        <v>50000</v>
      </c>
      <c r="Q1230" s="1" t="n">
        <f aca="false">IF($A1230="","",SUMIFS(物件収支!$O:$O,物件収支!$A:$A,$A1230,物件収支!$C:$C,$M1230))</f>
        <v>13000</v>
      </c>
      <c r="R1230" s="1" t="n">
        <f aca="false">IF($A1230="","",IF(P1230=0,"",O1230-P1230))</f>
        <v>19000</v>
      </c>
      <c r="S1230" s="1" t="n">
        <f aca="false">IF($A1230="","",IF(R1230="","",R1230+Q1230))</f>
        <v>32000</v>
      </c>
      <c r="T1230" s="1" t="n">
        <f aca="false">IF($A1230="","",IF(OR(S1230="",N1230&lt;=0),"",S1230/1000*12/N1230))</f>
        <v>64</v>
      </c>
      <c r="U1230" s="1" t="n">
        <f aca="false">IF($A1230="","",IF(OR(T1230="",J1230=0,J1230=""),"",T1230/J1230))</f>
        <v>0.064</v>
      </c>
      <c r="V1230" s="1" t="n">
        <f aca="false">IF($A1230="","",IF(OR(R1230="",N1230&lt;=0,J1230=0,J1230=""),"",(R1230/1000*12/N1230)/J1230))</f>
        <v>0.038</v>
      </c>
      <c r="W1230" s="1" t="n">
        <f aca="false">IF($A1230="","",IF(OR(T1230="",K1230=0,K1230=""),"",T1230/K1230))</f>
        <v>0.0566371681415929</v>
      </c>
      <c r="X1230" s="1" t="n">
        <f aca="false">IF($A1230="","",IF(OR(N1230&lt;=0,I1230=0,I1230="",O1230=0),"",O1230*1000/(I1230*0.3025)/N1230))</f>
        <v>15097.9066424225</v>
      </c>
      <c r="Y1230" s="1" t="n">
        <f aca="false">IF($A1230="","",IF(OR(O1230=0,O1230="",P1230=0),"",P1230/O1230))</f>
        <v>0.72463768115942</v>
      </c>
      <c r="Z1230" s="1" t="str">
        <f aca="false">IF($A1230="","",IFERROR(INDEX(物件収支!$E:$E,MATCH($A1230,物件収支!$A:$A,0)),""))</f>
        <v>開示（物件別・費用内訳含む・百万円単位）</v>
      </c>
    </row>
    <row r="1231" customFormat="false" ht="16.5" hidden="false" customHeight="true" outlineLevel="0" collapsed="false">
      <c r="A1231" s="1" t="str">
        <f aca="false">IF(物件マスタ!A1231="","",物件マスタ!A1231)</f>
        <v>JRE-058</v>
      </c>
      <c r="B1231" s="1" t="str">
        <f aca="false">IF($A1231="","",物件マスタ!B1231)</f>
        <v>JRE</v>
      </c>
      <c r="C1231" s="1" t="str">
        <f aca="false">IF($A1231="","",IFERROR(INDEX(法人マスタ!$C:$C,MATCH($B1231,法人マスタ!$A:$A,0)),""))</f>
        <v>ジャパンリアルエステイト投資法人</v>
      </c>
      <c r="D1231" s="1" t="str">
        <f aca="false">IF($A1231="","",物件マスタ!C1231)</f>
        <v>ＪＲＥ東二番丁スクエア</v>
      </c>
      <c r="E1231" s="1" t="str">
        <f aca="false">IF($A1231="","",物件マスタ!H1231)</f>
        <v>3大都市圏以外の政令市</v>
      </c>
      <c r="F1231" s="1" t="n">
        <f aca="false">IF($A1231="","",物件マスタ!P1231)</f>
        <v>0</v>
      </c>
      <c r="G1231" s="1" t="str">
        <f aca="false">IF($A1231="","",物件マスタ!Q1231)</f>
        <v/>
      </c>
      <c r="H1231" s="1" t="n">
        <f aca="false">IF($A1231="","",物件マスタ!L1231)</f>
        <v>0</v>
      </c>
      <c r="I1231" s="1" t="n">
        <f aca="false">IF($A1231="","",物件マスタ!M1231)</f>
        <v>20526</v>
      </c>
      <c r="J1231" s="1" t="n">
        <f aca="false">IF($A1231="","",物件マスタ!S1231)</f>
        <v>9950</v>
      </c>
      <c r="K1231" s="1" t="n">
        <f aca="false">IF($A1231="","",物件マスタ!U1231)</f>
        <v>17200</v>
      </c>
      <c r="L1231" s="1" t="n">
        <f aca="false">IF($A1231="","",物件マスタ!W1231)</f>
        <v>1</v>
      </c>
      <c r="M1231" s="1" t="str">
        <f aca="false">IF($A1231="","",IFERROR(INDEX(法人マスタ!$H:$H,MATCH($B1231,法人マスタ!$A:$A,0)),""))</f>
        <v>2026年3月期（第49期）</v>
      </c>
      <c r="N1231" s="1" t="n">
        <f aca="false">IF($A1231="","",SUMIFS(物件収支!$D:$D,物件収支!$A:$A,$A1231,物件収支!$C:$C,$M1231))</f>
        <v>6</v>
      </c>
      <c r="O1231" s="1" t="n">
        <f aca="false">IF($A1231="","",SUMIFS(物件収支!$F:$F,物件収支!$A:$A,$A1231,物件収支!$C:$C,$M1231))</f>
        <v>661000</v>
      </c>
      <c r="P1231" s="1" t="n">
        <f aca="false">IF($A1231="","",SUMIFS(物件収支!$I:$I,物件収支!$A:$A,$A1231,物件収支!$C:$C,$M1231))</f>
        <v>275000</v>
      </c>
      <c r="Q1231" s="1" t="n">
        <f aca="false">IF($A1231="","",SUMIFS(物件収支!$O:$O,物件収支!$A:$A,$A1231,物件収支!$C:$C,$M1231))</f>
        <v>67000</v>
      </c>
      <c r="R1231" s="1" t="n">
        <f aca="false">IF($A1231="","",IF(P1231=0,"",O1231-P1231))</f>
        <v>386000</v>
      </c>
      <c r="S1231" s="1" t="n">
        <f aca="false">IF($A1231="","",IF(R1231="","",R1231+Q1231))</f>
        <v>453000</v>
      </c>
      <c r="T1231" s="1" t="n">
        <f aca="false">IF($A1231="","",IF(OR(S1231="",N1231&lt;=0),"",S1231/1000*12/N1231))</f>
        <v>906</v>
      </c>
      <c r="U1231" s="1" t="n">
        <f aca="false">IF($A1231="","",IF(OR(T1231="",J1231=0,J1231=""),"",T1231/J1231))</f>
        <v>0.0910552763819096</v>
      </c>
      <c r="V1231" s="1" t="n">
        <f aca="false">IF($A1231="","",IF(OR(R1231="",N1231&lt;=0,J1231=0,J1231=""),"",(R1231/1000*12/N1231)/J1231))</f>
        <v>0.0775879396984925</v>
      </c>
      <c r="W1231" s="1" t="n">
        <f aca="false">IF($A1231="","",IF(OR(T1231="",K1231=0,K1231=""),"",T1231/K1231))</f>
        <v>0.0526744186046512</v>
      </c>
      <c r="X1231" s="1" t="n">
        <f aca="false">IF($A1231="","",IF(OR(N1231&lt;=0,I1231=0,I1231="",O1231=0),"",O1231*1000/(I1231*0.3025)/N1231))</f>
        <v>17742.7325257572</v>
      </c>
      <c r="Y1231" s="1" t="n">
        <f aca="false">IF($A1231="","",IF(OR(O1231=0,O1231="",P1231=0),"",P1231/O1231))</f>
        <v>0.416036308623298</v>
      </c>
      <c r="Z1231" s="1" t="str">
        <f aca="false">IF($A1231="","",IFERROR(INDEX(物件収支!$E:$E,MATCH($A1231,物件収支!$A:$A,0)),""))</f>
        <v>開示（物件別・費用内訳含む・百万円単位）</v>
      </c>
    </row>
    <row r="1232" customFormat="false" ht="16.5" hidden="false" customHeight="true" outlineLevel="0" collapsed="false">
      <c r="A1232" s="1" t="str">
        <f aca="false">IF(物件マスタ!A1232="","",物件マスタ!A1232)</f>
        <v>JRE-059</v>
      </c>
      <c r="B1232" s="1" t="str">
        <f aca="false">IF($A1232="","",物件マスタ!B1232)</f>
        <v>JRE</v>
      </c>
      <c r="C1232" s="1" t="str">
        <f aca="false">IF($A1232="","",IFERROR(INDEX(法人マスタ!$C:$C,MATCH($B1232,法人マスタ!$A:$A,0)),""))</f>
        <v>ジャパンリアルエステイト投資法人</v>
      </c>
      <c r="D1232" s="1" t="str">
        <f aca="false">IF($A1232="","",物件マスタ!C1232)</f>
        <v>ＪＲＥ仙台本町ホンマビル</v>
      </c>
      <c r="E1232" s="1" t="str">
        <f aca="false">IF($A1232="","",物件マスタ!H1232)</f>
        <v>3大都市圏以外の政令市</v>
      </c>
      <c r="F1232" s="1" t="n">
        <f aca="false">IF($A1232="","",物件マスタ!P1232)</f>
        <v>0</v>
      </c>
      <c r="G1232" s="1" t="str">
        <f aca="false">IF($A1232="","",物件マスタ!Q1232)</f>
        <v/>
      </c>
      <c r="H1232" s="1" t="n">
        <f aca="false">IF($A1232="","",物件マスタ!L1232)</f>
        <v>0</v>
      </c>
      <c r="I1232" s="1" t="n">
        <f aca="false">IF($A1232="","",物件マスタ!M1232)</f>
        <v>6234</v>
      </c>
      <c r="J1232" s="1" t="n">
        <f aca="false">IF($A1232="","",物件マスタ!S1232)</f>
        <v>3174</v>
      </c>
      <c r="K1232" s="1" t="n">
        <f aca="false">IF($A1232="","",物件マスタ!U1232)</f>
        <v>3240</v>
      </c>
      <c r="L1232" s="1" t="n">
        <f aca="false">IF($A1232="","",物件マスタ!W1232)</f>
        <v>1</v>
      </c>
      <c r="M1232" s="1" t="str">
        <f aca="false">IF($A1232="","",IFERROR(INDEX(法人マスタ!$H:$H,MATCH($B1232,法人マスタ!$A:$A,0)),""))</f>
        <v>2026年3月期（第49期）</v>
      </c>
      <c r="N1232" s="1" t="n">
        <f aca="false">IF($A1232="","",SUMIFS(物件収支!$D:$D,物件収支!$A:$A,$A1232,物件収支!$C:$C,$M1232))</f>
        <v>6</v>
      </c>
      <c r="O1232" s="1" t="n">
        <f aca="false">IF($A1232="","",SUMIFS(物件収支!$F:$F,物件収支!$A:$A,$A1232,物件収支!$C:$C,$M1232))</f>
        <v>152000</v>
      </c>
      <c r="P1232" s="1" t="n">
        <f aca="false">IF($A1232="","",SUMIFS(物件収支!$I:$I,物件収支!$A:$A,$A1232,物件収支!$C:$C,$M1232))</f>
        <v>135000</v>
      </c>
      <c r="Q1232" s="1" t="n">
        <f aca="false">IF($A1232="","",SUMIFS(物件収支!$O:$O,物件収支!$A:$A,$A1232,物件収支!$C:$C,$M1232))</f>
        <v>23000</v>
      </c>
      <c r="R1232" s="1" t="n">
        <f aca="false">IF($A1232="","",IF(P1232=0,"",O1232-P1232))</f>
        <v>17000</v>
      </c>
      <c r="S1232" s="1" t="n">
        <f aca="false">IF($A1232="","",IF(R1232="","",R1232+Q1232))</f>
        <v>40000</v>
      </c>
      <c r="T1232" s="1" t="n">
        <f aca="false">IF($A1232="","",IF(OR(S1232="",N1232&lt;=0),"",S1232/1000*12/N1232))</f>
        <v>80</v>
      </c>
      <c r="U1232" s="1" t="n">
        <f aca="false">IF($A1232="","",IF(OR(T1232="",J1232=0,J1232=""),"",T1232/J1232))</f>
        <v>0.0252047889098929</v>
      </c>
      <c r="V1232" s="1" t="n">
        <f aca="false">IF($A1232="","",IF(OR(R1232="",N1232&lt;=0,J1232=0,J1232=""),"",(R1232/1000*12/N1232)/J1232))</f>
        <v>0.0107120352867045</v>
      </c>
      <c r="W1232" s="1" t="n">
        <f aca="false">IF($A1232="","",IF(OR(T1232="",K1232=0,K1232=""),"",T1232/K1232))</f>
        <v>0.0246913580246914</v>
      </c>
      <c r="X1232" s="1" t="n">
        <f aca="false">IF($A1232="","",IF(OR(N1232&lt;=0,I1232=0,I1232="",O1232=0),"",O1232*1000/(I1232*0.3025)/N1232))</f>
        <v>13433.839665356</v>
      </c>
      <c r="Y1232" s="1" t="n">
        <f aca="false">IF($A1232="","",IF(OR(O1232=0,O1232="",P1232=0),"",P1232/O1232))</f>
        <v>0.888157894736842</v>
      </c>
      <c r="Z1232" s="1" t="str">
        <f aca="false">IF($A1232="","",IFERROR(INDEX(物件収支!$E:$E,MATCH($A1232,物件収支!$A:$A,0)),""))</f>
        <v>開示（物件別・費用内訳含む・百万円単位）</v>
      </c>
    </row>
    <row r="1233" customFormat="false" ht="16.5" hidden="false" customHeight="true" outlineLevel="0" collapsed="false">
      <c r="A1233" s="1" t="str">
        <f aca="false">IF(物件マスタ!A1233="","",物件マスタ!A1233)</f>
        <v>JRE-060</v>
      </c>
      <c r="B1233" s="1" t="str">
        <f aca="false">IF($A1233="","",物件マスタ!B1233)</f>
        <v>JRE</v>
      </c>
      <c r="C1233" s="1" t="str">
        <f aca="false">IF($A1233="","",IFERROR(INDEX(法人マスタ!$C:$C,MATCH($B1233,法人マスタ!$A:$A,0)),""))</f>
        <v>ジャパンリアルエステイト投資法人</v>
      </c>
      <c r="D1233" s="1" t="str">
        <f aca="false">IF($A1233="","",物件マスタ!C1233)</f>
        <v>ＡＥＲ</v>
      </c>
      <c r="E1233" s="1" t="str">
        <f aca="false">IF($A1233="","",物件マスタ!H1233)</f>
        <v>3大都市圏以外の政令市</v>
      </c>
      <c r="F1233" s="1" t="n">
        <f aca="false">IF($A1233="","",物件マスタ!P1233)</f>
        <v>0</v>
      </c>
      <c r="G1233" s="1" t="str">
        <f aca="false">IF($A1233="","",物件マスタ!Q1233)</f>
        <v/>
      </c>
      <c r="H1233" s="1" t="n">
        <f aca="false">IF($A1233="","",物件マスタ!L1233)</f>
        <v>0</v>
      </c>
      <c r="I1233" s="1" t="n">
        <f aca="false">IF($A1233="","",物件マスタ!M1233)</f>
        <v>23612</v>
      </c>
      <c r="J1233" s="1" t="n">
        <f aca="false">IF($A1233="","",物件マスタ!S1233)</f>
        <v>18640</v>
      </c>
      <c r="K1233" s="1" t="n">
        <f aca="false">IF($A1233="","",物件マスタ!U1233)</f>
        <v>20500</v>
      </c>
      <c r="L1233" s="1" t="n">
        <f aca="false">IF($A1233="","",物件マスタ!W1233)</f>
        <v>0.975</v>
      </c>
      <c r="M1233" s="1" t="str">
        <f aca="false">IF($A1233="","",IFERROR(INDEX(法人マスタ!$H:$H,MATCH($B1233,法人マスタ!$A:$A,0)),""))</f>
        <v>2026年3月期（第49期）</v>
      </c>
      <c r="N1233" s="1" t="n">
        <f aca="false">IF($A1233="","",SUMIFS(物件収支!$D:$D,物件収支!$A:$A,$A1233,物件収支!$C:$C,$M1233))</f>
        <v>6</v>
      </c>
      <c r="O1233" s="1" t="n">
        <f aca="false">IF($A1233="","",SUMIFS(物件収支!$F:$F,物件収支!$A:$A,$A1233,物件収支!$C:$C,$M1233))</f>
        <v>736000</v>
      </c>
      <c r="P1233" s="1" t="n">
        <f aca="false">IF($A1233="","",SUMIFS(物件収支!$I:$I,物件収支!$A:$A,$A1233,物件収支!$C:$C,$M1233))</f>
        <v>384000</v>
      </c>
      <c r="Q1233" s="1" t="n">
        <f aca="false">IF($A1233="","",SUMIFS(物件収支!$O:$O,物件収支!$A:$A,$A1233,物件収支!$C:$C,$M1233))</f>
        <v>134000</v>
      </c>
      <c r="R1233" s="1" t="n">
        <f aca="false">IF($A1233="","",IF(P1233=0,"",O1233-P1233))</f>
        <v>352000</v>
      </c>
      <c r="S1233" s="1" t="n">
        <f aca="false">IF($A1233="","",IF(R1233="","",R1233+Q1233))</f>
        <v>486000</v>
      </c>
      <c r="T1233" s="1" t="n">
        <f aca="false">IF($A1233="","",IF(OR(S1233="",N1233&lt;=0),"",S1233/1000*12/N1233))</f>
        <v>972</v>
      </c>
      <c r="U1233" s="1" t="n">
        <f aca="false">IF($A1233="","",IF(OR(T1233="",J1233=0,J1233=""),"",T1233/J1233))</f>
        <v>0.0521459227467811</v>
      </c>
      <c r="V1233" s="1" t="n">
        <f aca="false">IF($A1233="","",IF(OR(R1233="",N1233&lt;=0,J1233=0,J1233=""),"",(R1233/1000*12/N1233)/J1233))</f>
        <v>0.0377682403433476</v>
      </c>
      <c r="W1233" s="1" t="n">
        <f aca="false">IF($A1233="","",IF(OR(T1233="",K1233=0,K1233=""),"",T1233/K1233))</f>
        <v>0.0474146341463415</v>
      </c>
      <c r="X1233" s="1" t="n">
        <f aca="false">IF($A1233="","",IF(OR(N1233&lt;=0,I1233=0,I1233="",O1233=0),"",O1233*1000/(I1233*0.3025)/N1233))</f>
        <v>17173.8794627002</v>
      </c>
      <c r="Y1233" s="1" t="n">
        <f aca="false">IF($A1233="","",IF(OR(O1233=0,O1233="",P1233=0),"",P1233/O1233))</f>
        <v>0.521739130434783</v>
      </c>
      <c r="Z1233" s="1" t="str">
        <f aca="false">IF($A1233="","",IFERROR(INDEX(物件収支!$E:$E,MATCH($A1233,物件収支!$A:$A,0)),""))</f>
        <v>開示（物件別・費用内訳含む・百万円単位）</v>
      </c>
    </row>
    <row r="1234" customFormat="false" ht="16.5" hidden="false" customHeight="true" outlineLevel="0" collapsed="false">
      <c r="A1234" s="1" t="str">
        <f aca="false">IF(物件マスタ!A1234="","",物件マスタ!A1234)</f>
        <v>JRE-061</v>
      </c>
      <c r="B1234" s="1" t="str">
        <f aca="false">IF($A1234="","",物件マスタ!B1234)</f>
        <v>JRE</v>
      </c>
      <c r="C1234" s="1" t="str">
        <f aca="false">IF($A1234="","",IFERROR(INDEX(法人マスタ!$C:$C,MATCH($B1234,法人マスタ!$A:$A,0)),""))</f>
        <v>ジャパンリアルエステイト投資法人</v>
      </c>
      <c r="D1234" s="1" t="str">
        <f aca="false">IF($A1234="","",物件マスタ!C1234)</f>
        <v>大同生命新潟ビル</v>
      </c>
      <c r="E1234" s="1" t="str">
        <f aca="false">IF($A1234="","",物件マスタ!H1234)</f>
        <v>3大都市圏以外の政令市</v>
      </c>
      <c r="F1234" s="1" t="n">
        <f aca="false">IF($A1234="","",物件マスタ!P1234)</f>
        <v>0</v>
      </c>
      <c r="G1234" s="1" t="str">
        <f aca="false">IF($A1234="","",物件マスタ!Q1234)</f>
        <v/>
      </c>
      <c r="H1234" s="1" t="n">
        <f aca="false">IF($A1234="","",物件マスタ!L1234)</f>
        <v>0</v>
      </c>
      <c r="I1234" s="1" t="n">
        <f aca="false">IF($A1234="","",物件マスタ!M1234)</f>
        <v>3928</v>
      </c>
      <c r="J1234" s="1" t="n">
        <f aca="false">IF($A1234="","",物件マスタ!S1234)</f>
        <v>1770</v>
      </c>
      <c r="K1234" s="1" t="n">
        <f aca="false">IF($A1234="","",物件マスタ!U1234)</f>
        <v>1800</v>
      </c>
      <c r="L1234" s="1" t="n">
        <f aca="false">IF($A1234="","",物件マスタ!W1234)</f>
        <v>0.851</v>
      </c>
      <c r="M1234" s="1" t="str">
        <f aca="false">IF($A1234="","",IFERROR(INDEX(法人マスタ!$H:$H,MATCH($B1234,法人マスタ!$A:$A,0)),""))</f>
        <v>2026年3月期（第49期）</v>
      </c>
      <c r="N1234" s="1" t="n">
        <f aca="false">IF($A1234="","",SUMIFS(物件収支!$D:$D,物件収支!$A:$A,$A1234,物件収支!$C:$C,$M1234))</f>
        <v>6</v>
      </c>
      <c r="O1234" s="1" t="n">
        <f aca="false">IF($A1234="","",SUMIFS(物件収支!$F:$F,物件収支!$A:$A,$A1234,物件収支!$C:$C,$M1234))</f>
        <v>71000</v>
      </c>
      <c r="P1234" s="1" t="n">
        <f aca="false">IF($A1234="","",SUMIFS(物件収支!$I:$I,物件収支!$A:$A,$A1234,物件収支!$C:$C,$M1234))</f>
        <v>62000</v>
      </c>
      <c r="Q1234" s="1" t="n">
        <f aca="false">IF($A1234="","",SUMIFS(物件収支!$O:$O,物件収支!$A:$A,$A1234,物件収支!$C:$C,$M1234))</f>
        <v>30000</v>
      </c>
      <c r="R1234" s="1" t="n">
        <f aca="false">IF($A1234="","",IF(P1234=0,"",O1234-P1234))</f>
        <v>9000</v>
      </c>
      <c r="S1234" s="1" t="n">
        <f aca="false">IF($A1234="","",IF(R1234="","",R1234+Q1234))</f>
        <v>39000</v>
      </c>
      <c r="T1234" s="1" t="n">
        <f aca="false">IF($A1234="","",IF(OR(S1234="",N1234&lt;=0),"",S1234/1000*12/N1234))</f>
        <v>78</v>
      </c>
      <c r="U1234" s="1" t="n">
        <f aca="false">IF($A1234="","",IF(OR(T1234="",J1234=0,J1234=""),"",T1234/J1234))</f>
        <v>0.0440677966101695</v>
      </c>
      <c r="V1234" s="1" t="n">
        <f aca="false">IF($A1234="","",IF(OR(R1234="",N1234&lt;=0,J1234=0,J1234=""),"",(R1234/1000*12/N1234)/J1234))</f>
        <v>0.0101694915254237</v>
      </c>
      <c r="W1234" s="1" t="n">
        <f aca="false">IF($A1234="","",IF(OR(T1234="",K1234=0,K1234=""),"",T1234/K1234))</f>
        <v>0.0433333333333333</v>
      </c>
      <c r="X1234" s="1" t="n">
        <f aca="false">IF($A1234="","",IF(OR(N1234&lt;=0,I1234=0,I1234="",O1234=0),"",O1234*1000/(I1234*0.3025)/N1234))</f>
        <v>9958.87405811494</v>
      </c>
      <c r="Y1234" s="1" t="n">
        <f aca="false">IF($A1234="","",IF(OR(O1234=0,O1234="",P1234=0),"",P1234/O1234))</f>
        <v>0.873239436619718</v>
      </c>
      <c r="Z1234" s="1" t="str">
        <f aca="false">IF($A1234="","",IFERROR(INDEX(物件収支!$E:$E,MATCH($A1234,物件収支!$A:$A,0)),""))</f>
        <v>開示（物件別・費用内訳含む・百万円単位）</v>
      </c>
    </row>
    <row r="1235" customFormat="false" ht="16.5" hidden="false" customHeight="true" outlineLevel="0" collapsed="false">
      <c r="A1235" s="1" t="str">
        <f aca="false">IF(物件マスタ!A1235="","",物件マスタ!A1235)</f>
        <v>JRE-062</v>
      </c>
      <c r="B1235" s="1" t="str">
        <f aca="false">IF($A1235="","",物件マスタ!B1235)</f>
        <v>JRE</v>
      </c>
      <c r="C1235" s="1" t="str">
        <f aca="false">IF($A1235="","",IFERROR(INDEX(法人マスタ!$C:$C,MATCH($B1235,法人マスタ!$A:$A,0)),""))</f>
        <v>ジャパンリアルエステイト投資法人</v>
      </c>
      <c r="D1235" s="1" t="str">
        <f aca="false">IF($A1235="","",物件マスタ!C1235)</f>
        <v>金沢パークビル</v>
      </c>
      <c r="E1235" s="1" t="str">
        <f aca="false">IF($A1235="","",物件マスタ!H1235)</f>
        <v>その他地方都市</v>
      </c>
      <c r="F1235" s="1" t="n">
        <f aca="false">IF($A1235="","",物件マスタ!P1235)</f>
        <v>0</v>
      </c>
      <c r="G1235" s="1" t="str">
        <f aca="false">IF($A1235="","",物件マスタ!Q1235)</f>
        <v/>
      </c>
      <c r="H1235" s="1" t="n">
        <f aca="false">IF($A1235="","",物件マスタ!L1235)</f>
        <v>0</v>
      </c>
      <c r="I1235" s="1" t="n">
        <f aca="false">IF($A1235="","",物件マスタ!M1235)</f>
        <v>20951</v>
      </c>
      <c r="J1235" s="1" t="n">
        <f aca="false">IF($A1235="","",物件マスタ!S1235)</f>
        <v>4580</v>
      </c>
      <c r="K1235" s="1" t="n">
        <f aca="false">IF($A1235="","",物件マスタ!U1235)</f>
        <v>8150</v>
      </c>
      <c r="L1235" s="1" t="n">
        <f aca="false">IF($A1235="","",物件マスタ!W1235)</f>
        <v>0.989</v>
      </c>
      <c r="M1235" s="1" t="str">
        <f aca="false">IF($A1235="","",IFERROR(INDEX(法人マスタ!$H:$H,MATCH($B1235,法人マスタ!$A:$A,0)),""))</f>
        <v>2026年3月期（第49期）</v>
      </c>
      <c r="N1235" s="1" t="n">
        <f aca="false">IF($A1235="","",SUMIFS(物件収支!$D:$D,物件収支!$A:$A,$A1235,物件収支!$C:$C,$M1235))</f>
        <v>6</v>
      </c>
      <c r="O1235" s="1" t="n">
        <f aca="false">IF($A1235="","",SUMIFS(物件収支!$F:$F,物件収支!$A:$A,$A1235,物件収支!$C:$C,$M1235))</f>
        <v>559000</v>
      </c>
      <c r="P1235" s="1" t="n">
        <f aca="false">IF($A1235="","",SUMIFS(物件収支!$I:$I,物件収支!$A:$A,$A1235,物件収支!$C:$C,$M1235))</f>
        <v>342000</v>
      </c>
      <c r="Q1235" s="1" t="n">
        <f aca="false">IF($A1235="","",SUMIFS(物件収支!$O:$O,物件収支!$A:$A,$A1235,物件収支!$C:$C,$M1235))</f>
        <v>104000</v>
      </c>
      <c r="R1235" s="1" t="n">
        <f aca="false">IF($A1235="","",IF(P1235=0,"",O1235-P1235))</f>
        <v>217000</v>
      </c>
      <c r="S1235" s="1" t="n">
        <f aca="false">IF($A1235="","",IF(R1235="","",R1235+Q1235))</f>
        <v>321000</v>
      </c>
      <c r="T1235" s="1" t="n">
        <f aca="false">IF($A1235="","",IF(OR(S1235="",N1235&lt;=0),"",S1235/1000*12/N1235))</f>
        <v>642</v>
      </c>
      <c r="U1235" s="1" t="n">
        <f aca="false">IF($A1235="","",IF(OR(T1235="",J1235=0,J1235=""),"",T1235/J1235))</f>
        <v>0.140174672489083</v>
      </c>
      <c r="V1235" s="1" t="n">
        <f aca="false">IF($A1235="","",IF(OR(R1235="",N1235&lt;=0,J1235=0,J1235=""),"",(R1235/1000*12/N1235)/J1235))</f>
        <v>0.0947598253275109</v>
      </c>
      <c r="W1235" s="1" t="n">
        <f aca="false">IF($A1235="","",IF(OR(T1235="",K1235=0,K1235=""),"",T1235/K1235))</f>
        <v>0.0787730061349693</v>
      </c>
      <c r="X1235" s="1" t="n">
        <f aca="false">IF($A1235="","",IF(OR(N1235&lt;=0,I1235=0,I1235="",O1235=0),"",O1235*1000/(I1235*0.3025)/N1235))</f>
        <v>14700.4429724716</v>
      </c>
      <c r="Y1235" s="1" t="n">
        <f aca="false">IF($A1235="","",IF(OR(O1235=0,O1235="",P1235=0),"",P1235/O1235))</f>
        <v>0.61180679785331</v>
      </c>
      <c r="Z1235" s="1" t="str">
        <f aca="false">IF($A1235="","",IFERROR(INDEX(物件収支!$E:$E,MATCH($A1235,物件収支!$A:$A,0)),""))</f>
        <v>開示（物件別・費用内訳含む・百万円単位）</v>
      </c>
    </row>
    <row r="1236" customFormat="false" ht="16.5" hidden="false" customHeight="true" outlineLevel="0" collapsed="false">
      <c r="A1236" s="1" t="str">
        <f aca="false">IF(物件マスタ!A1236="","",物件マスタ!A1236)</f>
        <v>JRE-063</v>
      </c>
      <c r="B1236" s="1" t="str">
        <f aca="false">IF($A1236="","",物件マスタ!B1236)</f>
        <v>JRE</v>
      </c>
      <c r="C1236" s="1" t="str">
        <f aca="false">IF($A1236="","",IFERROR(INDEX(法人マスタ!$C:$C,MATCH($B1236,法人マスタ!$A:$A,0)),""))</f>
        <v>ジャパンリアルエステイト投資法人</v>
      </c>
      <c r="D1236" s="1" t="str">
        <f aca="false">IF($A1236="","",物件マスタ!C1236)</f>
        <v>ＪＲＥ金沢上堤町ビル</v>
      </c>
      <c r="E1236" s="1" t="str">
        <f aca="false">IF($A1236="","",物件マスタ!H1236)</f>
        <v>その他地方都市</v>
      </c>
      <c r="F1236" s="1" t="n">
        <f aca="false">IF($A1236="","",物件マスタ!P1236)</f>
        <v>0</v>
      </c>
      <c r="G1236" s="1" t="str">
        <f aca="false">IF($A1236="","",物件マスタ!Q1236)</f>
        <v/>
      </c>
      <c r="H1236" s="1" t="n">
        <f aca="false">IF($A1236="","",物件マスタ!L1236)</f>
        <v>0</v>
      </c>
      <c r="I1236" s="1" t="n">
        <f aca="false">IF($A1236="","",物件マスタ!M1236)</f>
        <v>7213</v>
      </c>
      <c r="J1236" s="1" t="n">
        <f aca="false">IF($A1236="","",物件マスタ!S1236)</f>
        <v>2780</v>
      </c>
      <c r="K1236" s="1" t="n">
        <f aca="false">IF($A1236="","",物件マスタ!U1236)</f>
        <v>2980</v>
      </c>
      <c r="L1236" s="1" t="n">
        <f aca="false">IF($A1236="","",物件マスタ!W1236)</f>
        <v>0.914</v>
      </c>
      <c r="M1236" s="1" t="str">
        <f aca="false">IF($A1236="","",IFERROR(INDEX(法人マスタ!$H:$H,MATCH($B1236,法人マスタ!$A:$A,0)),""))</f>
        <v>2026年3月期（第49期）</v>
      </c>
      <c r="N1236" s="1" t="n">
        <f aca="false">IF($A1236="","",SUMIFS(物件収支!$D:$D,物件収支!$A:$A,$A1236,物件収支!$C:$C,$M1236))</f>
        <v>6</v>
      </c>
      <c r="O1236" s="1" t="n">
        <f aca="false">IF($A1236="","",SUMIFS(物件収支!$F:$F,物件収支!$A:$A,$A1236,物件収支!$C:$C,$M1236))</f>
        <v>134000</v>
      </c>
      <c r="P1236" s="1" t="n">
        <f aca="false">IF($A1236="","",SUMIFS(物件収支!$I:$I,物件収支!$A:$A,$A1236,物件収支!$C:$C,$M1236))</f>
        <v>80000</v>
      </c>
      <c r="Q1236" s="1" t="n">
        <f aca="false">IF($A1236="","",SUMIFS(物件収支!$O:$O,物件収支!$A:$A,$A1236,物件収支!$C:$C,$M1236))</f>
        <v>27000</v>
      </c>
      <c r="R1236" s="1" t="n">
        <f aca="false">IF($A1236="","",IF(P1236=0,"",O1236-P1236))</f>
        <v>54000</v>
      </c>
      <c r="S1236" s="1" t="n">
        <f aca="false">IF($A1236="","",IF(R1236="","",R1236+Q1236))</f>
        <v>81000</v>
      </c>
      <c r="T1236" s="1" t="n">
        <f aca="false">IF($A1236="","",IF(OR(S1236="",N1236&lt;=0),"",S1236/1000*12/N1236))</f>
        <v>162</v>
      </c>
      <c r="U1236" s="1" t="n">
        <f aca="false">IF($A1236="","",IF(OR(T1236="",J1236=0,J1236=""),"",T1236/J1236))</f>
        <v>0.058273381294964</v>
      </c>
      <c r="V1236" s="1" t="n">
        <f aca="false">IF($A1236="","",IF(OR(R1236="",N1236&lt;=0,J1236=0,J1236=""),"",(R1236/1000*12/N1236)/J1236))</f>
        <v>0.0388489208633094</v>
      </c>
      <c r="W1236" s="1" t="n">
        <f aca="false">IF($A1236="","",IF(OR(T1236="",K1236=0,K1236=""),"",T1236/K1236))</f>
        <v>0.0543624161073826</v>
      </c>
      <c r="X1236" s="1" t="n">
        <f aca="false">IF($A1236="","",IF(OR(N1236&lt;=0,I1236=0,I1236="",O1236=0),"",O1236*1000/(I1236*0.3025)/N1236))</f>
        <v>10235.5748096393</v>
      </c>
      <c r="Y1236" s="1" t="n">
        <f aca="false">IF($A1236="","",IF(OR(O1236=0,O1236="",P1236=0),"",P1236/O1236))</f>
        <v>0.597014925373134</v>
      </c>
      <c r="Z1236" s="1" t="str">
        <f aca="false">IF($A1236="","",IFERROR(INDEX(物件収支!$E:$E,MATCH($A1236,物件収支!$A:$A,0)),""))</f>
        <v>開示（物件別・費用内訳含む・百万円単位）</v>
      </c>
    </row>
    <row r="1237" customFormat="false" ht="16.5" hidden="false" customHeight="true" outlineLevel="0" collapsed="false">
      <c r="A1237" s="1" t="str">
        <f aca="false">IF(物件マスタ!A1237="","",物件マスタ!A1237)</f>
        <v>JRE-064</v>
      </c>
      <c r="B1237" s="1" t="str">
        <f aca="false">IF($A1237="","",物件マスタ!B1237)</f>
        <v>JRE</v>
      </c>
      <c r="C1237" s="1" t="str">
        <f aca="false">IF($A1237="","",IFERROR(INDEX(法人マスタ!$C:$C,MATCH($B1237,法人マスタ!$A:$A,0)),""))</f>
        <v>ジャパンリアルエステイト投資法人</v>
      </c>
      <c r="D1237" s="1" t="str">
        <f aca="false">IF($A1237="","",物件マスタ!C1237)</f>
        <v>錦パークビル</v>
      </c>
      <c r="E1237" s="1" t="str">
        <f aca="false">IF($A1237="","",物件マスタ!H1237)</f>
        <v>その他3大都市圏</v>
      </c>
      <c r="F1237" s="1" t="n">
        <f aca="false">IF($A1237="","",物件マスタ!P1237)</f>
        <v>0</v>
      </c>
      <c r="G1237" s="1" t="str">
        <f aca="false">IF($A1237="","",物件マスタ!Q1237)</f>
        <v/>
      </c>
      <c r="H1237" s="1" t="n">
        <f aca="false">IF($A1237="","",物件マスタ!L1237)</f>
        <v>0</v>
      </c>
      <c r="I1237" s="1" t="n">
        <f aca="false">IF($A1237="","",物件マスタ!M1237)</f>
        <v>10338</v>
      </c>
      <c r="J1237" s="1" t="n">
        <f aca="false">IF($A1237="","",物件マスタ!S1237)</f>
        <v>5975</v>
      </c>
      <c r="K1237" s="1" t="n">
        <f aca="false">IF($A1237="","",物件マスタ!U1237)</f>
        <v>6250</v>
      </c>
      <c r="L1237" s="1" t="n">
        <f aca="false">IF($A1237="","",物件マスタ!W1237)</f>
        <v>0.98</v>
      </c>
      <c r="M1237" s="1" t="str">
        <f aca="false">IF($A1237="","",IFERROR(INDEX(法人マスタ!$H:$H,MATCH($B1237,法人マスタ!$A:$A,0)),""))</f>
        <v>2026年3月期（第49期）</v>
      </c>
      <c r="N1237" s="1" t="n">
        <f aca="false">IF($A1237="","",SUMIFS(物件収支!$D:$D,物件収支!$A:$A,$A1237,物件収支!$C:$C,$M1237))</f>
        <v>6</v>
      </c>
      <c r="O1237" s="1" t="n">
        <f aca="false">IF($A1237="","",SUMIFS(物件収支!$F:$F,物件収支!$A:$A,$A1237,物件収支!$C:$C,$M1237))</f>
        <v>313000</v>
      </c>
      <c r="P1237" s="1" t="n">
        <f aca="false">IF($A1237="","",SUMIFS(物件収支!$I:$I,物件収支!$A:$A,$A1237,物件収支!$C:$C,$M1237))</f>
        <v>214000</v>
      </c>
      <c r="Q1237" s="1" t="n">
        <f aca="false">IF($A1237="","",SUMIFS(物件収支!$O:$O,物件収支!$A:$A,$A1237,物件収支!$C:$C,$M1237))</f>
        <v>64000</v>
      </c>
      <c r="R1237" s="1" t="n">
        <f aca="false">IF($A1237="","",IF(P1237=0,"",O1237-P1237))</f>
        <v>99000</v>
      </c>
      <c r="S1237" s="1" t="n">
        <f aca="false">IF($A1237="","",IF(R1237="","",R1237+Q1237))</f>
        <v>163000</v>
      </c>
      <c r="T1237" s="1" t="n">
        <f aca="false">IF($A1237="","",IF(OR(S1237="",N1237&lt;=0),"",S1237/1000*12/N1237))</f>
        <v>326</v>
      </c>
      <c r="U1237" s="1" t="n">
        <f aca="false">IF($A1237="","",IF(OR(T1237="",J1237=0,J1237=""),"",T1237/J1237))</f>
        <v>0.054560669456067</v>
      </c>
      <c r="V1237" s="1" t="n">
        <f aca="false">IF($A1237="","",IF(OR(R1237="",N1237&lt;=0,J1237=0,J1237=""),"",(R1237/1000*12/N1237)/J1237))</f>
        <v>0.0331380753138075</v>
      </c>
      <c r="W1237" s="1" t="n">
        <f aca="false">IF($A1237="","",IF(OR(T1237="",K1237=0,K1237=""),"",T1237/K1237))</f>
        <v>0.05216</v>
      </c>
      <c r="X1237" s="1" t="n">
        <f aca="false">IF($A1237="","",IF(OR(N1237&lt;=0,I1237=0,I1237="",O1237=0),"",O1237*1000/(I1237*0.3025)/N1237))</f>
        <v>16681.3494518871</v>
      </c>
      <c r="Y1237" s="1" t="n">
        <f aca="false">IF($A1237="","",IF(OR(O1237=0,O1237="",P1237=0),"",P1237/O1237))</f>
        <v>0.68370607028754</v>
      </c>
      <c r="Z1237" s="1" t="str">
        <f aca="false">IF($A1237="","",IFERROR(INDEX(物件収支!$E:$E,MATCH($A1237,物件収支!$A:$A,0)),""))</f>
        <v>開示（物件別・費用内訳含む・百万円単位）</v>
      </c>
    </row>
    <row r="1238" customFormat="false" ht="16.5" hidden="false" customHeight="true" outlineLevel="0" collapsed="false">
      <c r="A1238" s="1" t="str">
        <f aca="false">IF(物件マスタ!A1238="","",物件マスタ!A1238)</f>
        <v>JRE-065</v>
      </c>
      <c r="B1238" s="1" t="str">
        <f aca="false">IF($A1238="","",物件マスタ!B1238)</f>
        <v>JRE</v>
      </c>
      <c r="C1238" s="1" t="str">
        <f aca="false">IF($A1238="","",IFERROR(INDEX(法人マスタ!$C:$C,MATCH($B1238,法人マスタ!$A:$A,0)),""))</f>
        <v>ジャパンリアルエステイト投資法人</v>
      </c>
      <c r="D1238" s="1" t="str">
        <f aca="false">IF($A1238="","",物件マスタ!C1238)</f>
        <v>ＪＲＥ名古屋広小路プレイス</v>
      </c>
      <c r="E1238" s="1" t="str">
        <f aca="false">IF($A1238="","",物件マスタ!H1238)</f>
        <v>その他3大都市圏</v>
      </c>
      <c r="F1238" s="1" t="n">
        <f aca="false">IF($A1238="","",物件マスタ!P1238)</f>
        <v>0</v>
      </c>
      <c r="G1238" s="1" t="str">
        <f aca="false">IF($A1238="","",物件マスタ!Q1238)</f>
        <v/>
      </c>
      <c r="H1238" s="1" t="n">
        <f aca="false">IF($A1238="","",物件マスタ!L1238)</f>
        <v>0</v>
      </c>
      <c r="I1238" s="1" t="n">
        <f aca="false">IF($A1238="","",物件マスタ!M1238)</f>
        <v>13200</v>
      </c>
      <c r="J1238" s="1" t="n">
        <f aca="false">IF($A1238="","",物件マスタ!S1238)</f>
        <v>8567</v>
      </c>
      <c r="K1238" s="1" t="n">
        <f aca="false">IF($A1238="","",物件マスタ!U1238)</f>
        <v>14800</v>
      </c>
      <c r="L1238" s="1" t="n">
        <f aca="false">IF($A1238="","",物件マスタ!W1238)</f>
        <v>1</v>
      </c>
      <c r="M1238" s="1" t="str">
        <f aca="false">IF($A1238="","",IFERROR(INDEX(法人マスタ!$H:$H,MATCH($B1238,法人マスタ!$A:$A,0)),""))</f>
        <v>2026年3月期（第49期）</v>
      </c>
      <c r="N1238" s="1" t="n">
        <f aca="false">IF($A1238="","",SUMIFS(物件収支!$D:$D,物件収支!$A:$A,$A1238,物件収支!$C:$C,$M1238))</f>
        <v>6</v>
      </c>
      <c r="O1238" s="1" t="n">
        <f aca="false">IF($A1238="","",SUMIFS(物件収支!$F:$F,物件収支!$A:$A,$A1238,物件収支!$C:$C,$M1238))</f>
        <v>425000</v>
      </c>
      <c r="P1238" s="1" t="n">
        <f aca="false">IF($A1238="","",SUMIFS(物件収支!$I:$I,物件収支!$A:$A,$A1238,物件収支!$C:$C,$M1238))</f>
        <v>223000</v>
      </c>
      <c r="Q1238" s="1" t="n">
        <f aca="false">IF($A1238="","",SUMIFS(物件収支!$O:$O,物件収支!$A:$A,$A1238,物件収支!$C:$C,$M1238))</f>
        <v>63000</v>
      </c>
      <c r="R1238" s="1" t="n">
        <f aca="false">IF($A1238="","",IF(P1238=0,"",O1238-P1238))</f>
        <v>202000</v>
      </c>
      <c r="S1238" s="1" t="n">
        <f aca="false">IF($A1238="","",IF(R1238="","",R1238+Q1238))</f>
        <v>265000</v>
      </c>
      <c r="T1238" s="1" t="n">
        <f aca="false">IF($A1238="","",IF(OR(S1238="",N1238&lt;=0),"",S1238/1000*12/N1238))</f>
        <v>530</v>
      </c>
      <c r="U1238" s="1" t="n">
        <f aca="false">IF($A1238="","",IF(OR(T1238="",J1238=0,J1238=""),"",T1238/J1238))</f>
        <v>0.0618652970701529</v>
      </c>
      <c r="V1238" s="1" t="n">
        <f aca="false">IF($A1238="","",IF(OR(R1238="",N1238&lt;=0,J1238=0,J1238=""),"",(R1238/1000*12/N1238)/J1238))</f>
        <v>0.0471576981440411</v>
      </c>
      <c r="W1238" s="1" t="n">
        <f aca="false">IF($A1238="","",IF(OR(T1238="",K1238=0,K1238=""),"",T1238/K1238))</f>
        <v>0.0358108108108108</v>
      </c>
      <c r="X1238" s="1" t="n">
        <f aca="false">IF($A1238="","",IF(OR(N1238&lt;=0,I1238=0,I1238="",O1238=0),"",O1238*1000/(I1238*0.3025)/N1238))</f>
        <v>17739.3772435095</v>
      </c>
      <c r="Y1238" s="1" t="n">
        <f aca="false">IF($A1238="","",IF(OR(O1238=0,O1238="",P1238=0),"",P1238/O1238))</f>
        <v>0.524705882352941</v>
      </c>
      <c r="Z1238" s="1" t="str">
        <f aca="false">IF($A1238="","",IFERROR(INDEX(物件収支!$E:$E,MATCH($A1238,物件収支!$A:$A,0)),""))</f>
        <v>開示（物件別・費用内訳含む・百万円単位）</v>
      </c>
    </row>
    <row r="1239" customFormat="false" ht="16.5" hidden="false" customHeight="true" outlineLevel="0" collapsed="false">
      <c r="A1239" s="1" t="str">
        <f aca="false">IF(物件マスタ!A1239="","",物件マスタ!A1239)</f>
        <v>JRE-066</v>
      </c>
      <c r="B1239" s="1" t="str">
        <f aca="false">IF($A1239="","",物件マスタ!B1239)</f>
        <v>JRE</v>
      </c>
      <c r="C1239" s="1" t="str">
        <f aca="false">IF($A1239="","",IFERROR(INDEX(法人マスタ!$C:$C,MATCH($B1239,法人マスタ!$A:$A,0)),""))</f>
        <v>ジャパンリアルエステイト投資法人</v>
      </c>
      <c r="D1239" s="1" t="str">
        <f aca="false">IF($A1239="","",物件マスタ!C1239)</f>
        <v>名古屋広小路ビルヂング</v>
      </c>
      <c r="E1239" s="1" t="str">
        <f aca="false">IF($A1239="","",物件マスタ!H1239)</f>
        <v>その他3大都市圏</v>
      </c>
      <c r="F1239" s="1" t="n">
        <f aca="false">IF($A1239="","",物件マスタ!P1239)</f>
        <v>0</v>
      </c>
      <c r="G1239" s="1" t="str">
        <f aca="false">IF($A1239="","",物件マスタ!Q1239)</f>
        <v/>
      </c>
      <c r="H1239" s="1" t="n">
        <f aca="false">IF($A1239="","",物件マスタ!L1239)</f>
        <v>0</v>
      </c>
      <c r="I1239" s="1" t="n">
        <f aca="false">IF($A1239="","",物件マスタ!M1239)</f>
        <v>21372</v>
      </c>
      <c r="J1239" s="1" t="n">
        <f aca="false">IF($A1239="","",物件マスタ!S1239)</f>
        <v>14533</v>
      </c>
      <c r="K1239" s="1" t="n">
        <f aca="false">IF($A1239="","",物件マスタ!U1239)</f>
        <v>13600</v>
      </c>
      <c r="L1239" s="1" t="n">
        <f aca="false">IF($A1239="","",物件マスタ!W1239)</f>
        <v>1</v>
      </c>
      <c r="M1239" s="1" t="str">
        <f aca="false">IF($A1239="","",IFERROR(INDEX(法人マスタ!$H:$H,MATCH($B1239,法人マスタ!$A:$A,0)),""))</f>
        <v>2026年3月期（第49期）</v>
      </c>
      <c r="N1239" s="1" t="n">
        <f aca="false">IF($A1239="","",SUMIFS(物件収支!$D:$D,物件収支!$A:$A,$A1239,物件収支!$C:$C,$M1239))</f>
        <v>6</v>
      </c>
      <c r="O1239" s="1" t="n">
        <f aca="false">IF($A1239="","",SUMIFS(物件収支!$F:$F,物件収支!$A:$A,$A1239,物件収支!$C:$C,$M1239))</f>
        <v>575000</v>
      </c>
      <c r="P1239" s="1" t="n">
        <f aca="false">IF($A1239="","",SUMIFS(物件収支!$I:$I,物件収支!$A:$A,$A1239,物件収支!$C:$C,$M1239))</f>
        <v>517000</v>
      </c>
      <c r="Q1239" s="1" t="n">
        <f aca="false">IF($A1239="","",SUMIFS(物件収支!$O:$O,物件収支!$A:$A,$A1239,物件収支!$C:$C,$M1239))</f>
        <v>147000</v>
      </c>
      <c r="R1239" s="1" t="n">
        <f aca="false">IF($A1239="","",IF(P1239=0,"",O1239-P1239))</f>
        <v>58000</v>
      </c>
      <c r="S1239" s="1" t="n">
        <f aca="false">IF($A1239="","",IF(R1239="","",R1239+Q1239))</f>
        <v>205000</v>
      </c>
      <c r="T1239" s="1" t="n">
        <f aca="false">IF($A1239="","",IF(OR(S1239="",N1239&lt;=0),"",S1239/1000*12/N1239))</f>
        <v>410</v>
      </c>
      <c r="U1239" s="1" t="n">
        <f aca="false">IF($A1239="","",IF(OR(T1239="",J1239=0,J1239=""),"",T1239/J1239))</f>
        <v>0.0282116562306475</v>
      </c>
      <c r="V1239" s="1" t="n">
        <f aca="false">IF($A1239="","",IF(OR(R1239="",N1239&lt;=0,J1239=0,J1239=""),"",(R1239/1000*12/N1239)/J1239))</f>
        <v>0.00798183444574417</v>
      </c>
      <c r="W1239" s="1" t="n">
        <f aca="false">IF($A1239="","",IF(OR(T1239="",K1239=0,K1239=""),"",T1239/K1239))</f>
        <v>0.0301470588235294</v>
      </c>
      <c r="X1239" s="1" t="n">
        <f aca="false">IF($A1239="","",IF(OR(N1239&lt;=0,I1239=0,I1239="",O1239=0),"",O1239*1000/(I1239*0.3025)/N1239))</f>
        <v>14823.3393090726</v>
      </c>
      <c r="Y1239" s="1" t="n">
        <f aca="false">IF($A1239="","",IF(OR(O1239=0,O1239="",P1239=0),"",P1239/O1239))</f>
        <v>0.899130434782609</v>
      </c>
      <c r="Z1239" s="1" t="str">
        <f aca="false">IF($A1239="","",IFERROR(INDEX(物件収支!$E:$E,MATCH($A1239,物件収支!$A:$A,0)),""))</f>
        <v>開示（物件別・費用内訳含む・百万円単位）</v>
      </c>
    </row>
    <row r="1240" customFormat="false" ht="16.5" hidden="false" customHeight="true" outlineLevel="0" collapsed="false">
      <c r="A1240" s="1" t="str">
        <f aca="false">IF(物件マスタ!A1240="","",物件マスタ!A1240)</f>
        <v>JRE-067</v>
      </c>
      <c r="B1240" s="1" t="str">
        <f aca="false">IF($A1240="","",物件マスタ!B1240)</f>
        <v>JRE</v>
      </c>
      <c r="C1240" s="1" t="str">
        <f aca="false">IF($A1240="","",IFERROR(INDEX(法人マスタ!$C:$C,MATCH($B1240,法人マスタ!$A:$A,0)),""))</f>
        <v>ジャパンリアルエステイト投資法人</v>
      </c>
      <c r="D1240" s="1" t="str">
        <f aca="false">IF($A1240="","",物件マスタ!C1240)</f>
        <v>ＪＲＥ四条烏丸センタービル</v>
      </c>
      <c r="E1240" s="1" t="str">
        <f aca="false">IF($A1240="","",物件マスタ!H1240)</f>
        <v>その他3大都市圏</v>
      </c>
      <c r="F1240" s="1" t="n">
        <f aca="false">IF($A1240="","",物件マスタ!P1240)</f>
        <v>0</v>
      </c>
      <c r="G1240" s="1" t="str">
        <f aca="false">IF($A1240="","",物件マスタ!Q1240)</f>
        <v/>
      </c>
      <c r="H1240" s="1" t="n">
        <f aca="false">IF($A1240="","",物件マスタ!L1240)</f>
        <v>0</v>
      </c>
      <c r="I1240" s="1" t="n">
        <f aca="false">IF($A1240="","",物件マスタ!M1240)</f>
        <v>6634</v>
      </c>
      <c r="J1240" s="1" t="n">
        <f aca="false">IF($A1240="","",物件マスタ!S1240)</f>
        <v>4400</v>
      </c>
      <c r="K1240" s="1" t="n">
        <f aca="false">IF($A1240="","",物件マスタ!U1240)</f>
        <v>8730</v>
      </c>
      <c r="L1240" s="1" t="n">
        <f aca="false">IF($A1240="","",物件マスタ!W1240)</f>
        <v>1</v>
      </c>
      <c r="M1240" s="1" t="str">
        <f aca="false">IF($A1240="","",IFERROR(INDEX(法人マスタ!$H:$H,MATCH($B1240,法人マスタ!$A:$A,0)),""))</f>
        <v>2026年3月期（第49期）</v>
      </c>
      <c r="N1240" s="1" t="n">
        <f aca="false">IF($A1240="","",SUMIFS(物件収支!$D:$D,物件収支!$A:$A,$A1240,物件収支!$C:$C,$M1240))</f>
        <v>6</v>
      </c>
      <c r="O1240" s="1" t="n">
        <f aca="false">IF($A1240="","",SUMIFS(物件収支!$F:$F,物件収支!$A:$A,$A1240,物件収支!$C:$C,$M1240))</f>
        <v>257000</v>
      </c>
      <c r="P1240" s="1" t="n">
        <f aca="false">IF($A1240="","",SUMIFS(物件収支!$I:$I,物件収支!$A:$A,$A1240,物件収支!$C:$C,$M1240))</f>
        <v>89000</v>
      </c>
      <c r="Q1240" s="1" t="n">
        <f aca="false">IF($A1240="","",SUMIFS(物件収支!$O:$O,物件収支!$A:$A,$A1240,物件収支!$C:$C,$M1240))</f>
        <v>22000</v>
      </c>
      <c r="R1240" s="1" t="n">
        <f aca="false">IF($A1240="","",IF(P1240=0,"",O1240-P1240))</f>
        <v>168000</v>
      </c>
      <c r="S1240" s="1" t="n">
        <f aca="false">IF($A1240="","",IF(R1240="","",R1240+Q1240))</f>
        <v>190000</v>
      </c>
      <c r="T1240" s="1" t="n">
        <f aca="false">IF($A1240="","",IF(OR(S1240="",N1240&lt;=0),"",S1240/1000*12/N1240))</f>
        <v>380</v>
      </c>
      <c r="U1240" s="1" t="n">
        <f aca="false">IF($A1240="","",IF(OR(T1240="",J1240=0,J1240=""),"",T1240/J1240))</f>
        <v>0.0863636363636364</v>
      </c>
      <c r="V1240" s="1" t="n">
        <f aca="false">IF($A1240="","",IF(OR(R1240="",N1240&lt;=0,J1240=0,J1240=""),"",(R1240/1000*12/N1240)/J1240))</f>
        <v>0.0763636363636364</v>
      </c>
      <c r="W1240" s="1" t="n">
        <f aca="false">IF($A1240="","",IF(OR(T1240="",K1240=0,K1240=""),"",T1240/K1240))</f>
        <v>0.0435280641466208</v>
      </c>
      <c r="X1240" s="1" t="n">
        <f aca="false">IF($A1240="","",IF(OR(N1240&lt;=0,I1240=0,I1240="",O1240=0),"",O1240*1000/(I1240*0.3025)/N1240))</f>
        <v>21344.2562772461</v>
      </c>
      <c r="Y1240" s="1" t="n">
        <f aca="false">IF($A1240="","",IF(OR(O1240=0,O1240="",P1240=0),"",P1240/O1240))</f>
        <v>0.346303501945525</v>
      </c>
      <c r="Z1240" s="1" t="str">
        <f aca="false">IF($A1240="","",IFERROR(INDEX(物件収支!$E:$E,MATCH($A1240,物件収支!$A:$A,0)),""))</f>
        <v>開示（物件別・費用内訳含む・百万円単位）</v>
      </c>
    </row>
    <row r="1241" customFormat="false" ht="16.5" hidden="false" customHeight="true" outlineLevel="0" collapsed="false">
      <c r="A1241" s="1" t="str">
        <f aca="false">IF(物件マスタ!A1241="","",物件マスタ!A1241)</f>
        <v>JRE-068</v>
      </c>
      <c r="B1241" s="1" t="str">
        <f aca="false">IF($A1241="","",物件マスタ!B1241)</f>
        <v>JRE</v>
      </c>
      <c r="C1241" s="1" t="str">
        <f aca="false">IF($A1241="","",IFERROR(INDEX(法人マスタ!$C:$C,MATCH($B1241,法人マスタ!$A:$A,0)),""))</f>
        <v>ジャパンリアルエステイト投資法人</v>
      </c>
      <c r="D1241" s="1" t="str">
        <f aca="false">IF($A1241="","",物件マスタ!C1241)</f>
        <v>グランフロント大阪（北館）</v>
      </c>
      <c r="E1241" s="1" t="str">
        <f aca="false">IF($A1241="","",物件マスタ!H1241)</f>
        <v>その他3大都市圏</v>
      </c>
      <c r="F1241" s="1" t="n">
        <f aca="false">IF($A1241="","",物件マスタ!P1241)</f>
        <v>0</v>
      </c>
      <c r="G1241" s="1" t="str">
        <f aca="false">IF($A1241="","",物件マスタ!Q1241)</f>
        <v/>
      </c>
      <c r="H1241" s="1" t="n">
        <f aca="false">IF($A1241="","",物件マスタ!L1241)</f>
        <v>0</v>
      </c>
      <c r="I1241" s="1" t="n">
        <f aca="false">IF($A1241="","",物件マスタ!M1241)</f>
        <v>8481</v>
      </c>
      <c r="J1241" s="1" t="n">
        <f aca="false">IF($A1241="","",物件マスタ!S1241)</f>
        <v>9750</v>
      </c>
      <c r="K1241" s="1" t="n">
        <f aca="false">IF($A1241="","",物件マスタ!U1241)</f>
        <v>11000</v>
      </c>
      <c r="L1241" s="1" t="n">
        <f aca="false">IF($A1241="","",物件マスタ!W1241)</f>
        <v>0.979</v>
      </c>
      <c r="M1241" s="1" t="str">
        <f aca="false">IF($A1241="","",IFERROR(INDEX(法人マスタ!$H:$H,MATCH($B1241,法人マスタ!$A:$A,0)),""))</f>
        <v>2026年3月期（第49期）</v>
      </c>
      <c r="N1241" s="1" t="n">
        <f aca="false">IF($A1241="","",SUMIFS(物件収支!$D:$D,物件収支!$A:$A,$A1241,物件収支!$C:$C,$M1241))</f>
        <v>6</v>
      </c>
      <c r="O1241" s="1" t="n">
        <f aca="false">IF($A1241="","",SUMIFS(物件収支!$F:$F,物件収支!$A:$A,$A1241,物件収支!$C:$C,$M1241))</f>
        <v>0</v>
      </c>
      <c r="P1241" s="1" t="n">
        <f aca="false">IF($A1241="","",SUMIFS(物件収支!$I:$I,物件収支!$A:$A,$A1241,物件収支!$C:$C,$M1241))</f>
        <v>0</v>
      </c>
      <c r="Q1241" s="1" t="n">
        <f aca="false">IF($A1241="","",SUMIFS(物件収支!$O:$O,物件収支!$A:$A,$A1241,物件収支!$C:$C,$M1241))</f>
        <v>0</v>
      </c>
      <c r="R1241" s="1" t="str">
        <f aca="false">IF($A1241="","",IF(P1241=0,"",O1241-P1241))</f>
        <v/>
      </c>
      <c r="S1241" s="1" t="str">
        <f aca="false">IF($A1241="","",IF(R1241="","",R1241+Q1241))</f>
        <v/>
      </c>
      <c r="T1241" s="1" t="str">
        <f aca="false">IF($A1241="","",IF(OR(S1241="",N1241&lt;=0),"",S1241/1000*12/N1241))</f>
        <v/>
      </c>
      <c r="U1241" s="1" t="str">
        <f aca="false">IF($A1241="","",IF(OR(T1241="",J1241=0,J1241=""),"",T1241/J1241))</f>
        <v/>
      </c>
      <c r="V1241" s="1" t="str">
        <f aca="false">IF($A1241="","",IF(OR(R1241="",N1241&lt;=0,J1241=0,J1241=""),"",(R1241/1000*12/N1241)/J1241))</f>
        <v/>
      </c>
      <c r="W1241" s="1" t="str">
        <f aca="false">IF($A1241="","",IF(OR(T1241="",K1241=0,K1241=""),"",T1241/K1241))</f>
        <v/>
      </c>
      <c r="X1241" s="1" t="str">
        <f aca="false">IF($A1241="","",IF(OR(N1241&lt;=0,I1241=0,I1241="",O1241=0),"",O1241*1000/(I1241*0.3025)/N1241))</f>
        <v/>
      </c>
      <c r="Y1241" s="1" t="str">
        <f aca="false">IF($A1241="","",IF(OR(O1241=0,O1241="",P1241=0),"",P1241/O1241))</f>
        <v/>
      </c>
      <c r="Z1241" s="1" t="str">
        <f aca="false">IF($A1241="","",IFERROR(INDEX(物件収支!$E:$E,MATCH($A1241,物件収支!$A:$A,0)),""))</f>
        <v>非開示（損益・NOIのみ開示）</v>
      </c>
    </row>
    <row r="1242" customFormat="false" ht="16.5" hidden="false" customHeight="true" outlineLevel="0" collapsed="false">
      <c r="A1242" s="1" t="str">
        <f aca="false">IF(物件マスタ!A1242="","",物件マスタ!A1242)</f>
        <v>JRE-069</v>
      </c>
      <c r="B1242" s="1" t="str">
        <f aca="false">IF($A1242="","",物件マスタ!B1242)</f>
        <v>JRE</v>
      </c>
      <c r="C1242" s="1" t="str">
        <f aca="false">IF($A1242="","",IFERROR(INDEX(法人マスタ!$C:$C,MATCH($B1242,法人マスタ!$A:$A,0)),""))</f>
        <v>ジャパンリアルエステイト投資法人</v>
      </c>
      <c r="D1242" s="1" t="str">
        <f aca="false">IF($A1242="","",物件マスタ!C1242)</f>
        <v>グランフロント大阪（うめきた広場・南館）</v>
      </c>
      <c r="E1242" s="1" t="str">
        <f aca="false">IF($A1242="","",物件マスタ!H1242)</f>
        <v>その他3大都市圏</v>
      </c>
      <c r="F1242" s="1" t="n">
        <f aca="false">IF($A1242="","",物件マスタ!P1242)</f>
        <v>0</v>
      </c>
      <c r="G1242" s="1" t="str">
        <f aca="false">IF($A1242="","",物件マスタ!Q1242)</f>
        <v/>
      </c>
      <c r="H1242" s="1" t="n">
        <f aca="false">IF($A1242="","",物件マスタ!L1242)</f>
        <v>0</v>
      </c>
      <c r="I1242" s="1" t="n">
        <f aca="false">IF($A1242="","",物件マスタ!M1242)</f>
        <v>5187</v>
      </c>
      <c r="J1242" s="1" t="n">
        <f aca="false">IF($A1242="","",物件マスタ!S1242)</f>
        <v>11250</v>
      </c>
      <c r="K1242" s="1" t="n">
        <f aca="false">IF($A1242="","",物件マスタ!U1242)</f>
        <v>12400</v>
      </c>
      <c r="L1242" s="1" t="n">
        <f aca="false">IF($A1242="","",物件マスタ!W1242)</f>
        <v>0.983</v>
      </c>
      <c r="M1242" s="1" t="str">
        <f aca="false">IF($A1242="","",IFERROR(INDEX(法人マスタ!$H:$H,MATCH($B1242,法人マスタ!$A:$A,0)),""))</f>
        <v>2026年3月期（第49期）</v>
      </c>
      <c r="N1242" s="1" t="n">
        <f aca="false">IF($A1242="","",SUMIFS(物件収支!$D:$D,物件収支!$A:$A,$A1242,物件収支!$C:$C,$M1242))</f>
        <v>6</v>
      </c>
      <c r="O1242" s="1" t="n">
        <f aca="false">IF($A1242="","",SUMIFS(物件収支!$F:$F,物件収支!$A:$A,$A1242,物件収支!$C:$C,$M1242))</f>
        <v>0</v>
      </c>
      <c r="P1242" s="1" t="n">
        <f aca="false">IF($A1242="","",SUMIFS(物件収支!$I:$I,物件収支!$A:$A,$A1242,物件収支!$C:$C,$M1242))</f>
        <v>0</v>
      </c>
      <c r="Q1242" s="1" t="n">
        <f aca="false">IF($A1242="","",SUMIFS(物件収支!$O:$O,物件収支!$A:$A,$A1242,物件収支!$C:$C,$M1242))</f>
        <v>0</v>
      </c>
      <c r="R1242" s="1" t="str">
        <f aca="false">IF($A1242="","",IF(P1242=0,"",O1242-P1242))</f>
        <v/>
      </c>
      <c r="S1242" s="1" t="str">
        <f aca="false">IF($A1242="","",IF(R1242="","",R1242+Q1242))</f>
        <v/>
      </c>
      <c r="T1242" s="1" t="str">
        <f aca="false">IF($A1242="","",IF(OR(S1242="",N1242&lt;=0),"",S1242/1000*12/N1242))</f>
        <v/>
      </c>
      <c r="U1242" s="1" t="str">
        <f aca="false">IF($A1242="","",IF(OR(T1242="",J1242=0,J1242=""),"",T1242/J1242))</f>
        <v/>
      </c>
      <c r="V1242" s="1" t="str">
        <f aca="false">IF($A1242="","",IF(OR(R1242="",N1242&lt;=0,J1242=0,J1242=""),"",(R1242/1000*12/N1242)/J1242))</f>
        <v/>
      </c>
      <c r="W1242" s="1" t="str">
        <f aca="false">IF($A1242="","",IF(OR(T1242="",K1242=0,K1242=""),"",T1242/K1242))</f>
        <v/>
      </c>
      <c r="X1242" s="1" t="str">
        <f aca="false">IF($A1242="","",IF(OR(N1242&lt;=0,I1242=0,I1242="",O1242=0),"",O1242*1000/(I1242*0.3025)/N1242))</f>
        <v/>
      </c>
      <c r="Y1242" s="1" t="str">
        <f aca="false">IF($A1242="","",IF(OR(O1242=0,O1242="",P1242=0),"",P1242/O1242))</f>
        <v/>
      </c>
      <c r="Z1242" s="1" t="str">
        <f aca="false">IF($A1242="","",IFERROR(INDEX(物件収支!$E:$E,MATCH($A1242,物件収支!$A:$A,0)),""))</f>
        <v>非開示（損益・NOIのみ開示）</v>
      </c>
    </row>
    <row r="1243" customFormat="false" ht="16.5" hidden="false" customHeight="true" outlineLevel="0" collapsed="false">
      <c r="A1243" s="1" t="str">
        <f aca="false">IF(物件マスタ!A1243="","",物件マスタ!A1243)</f>
        <v>JRE-070</v>
      </c>
      <c r="B1243" s="1" t="str">
        <f aca="false">IF($A1243="","",物件マスタ!B1243)</f>
        <v>JRE</v>
      </c>
      <c r="C1243" s="1" t="str">
        <f aca="false">IF($A1243="","",IFERROR(INDEX(法人マスタ!$C:$C,MATCH($B1243,法人マスタ!$A:$A,0)),""))</f>
        <v>ジャパンリアルエステイト投資法人</v>
      </c>
      <c r="D1243" s="1" t="str">
        <f aca="false">IF($A1243="","",物件マスタ!C1243)</f>
        <v>ＪＲＥ梅田スクエアビル</v>
      </c>
      <c r="E1243" s="1" t="str">
        <f aca="false">IF($A1243="","",物件マスタ!H1243)</f>
        <v>その他3大都市圏</v>
      </c>
      <c r="F1243" s="1" t="n">
        <f aca="false">IF($A1243="","",物件マスタ!P1243)</f>
        <v>0</v>
      </c>
      <c r="G1243" s="1" t="str">
        <f aca="false">IF($A1243="","",物件マスタ!Q1243)</f>
        <v/>
      </c>
      <c r="H1243" s="1" t="n">
        <f aca="false">IF($A1243="","",物件マスタ!L1243)</f>
        <v>0</v>
      </c>
      <c r="I1243" s="1" t="n">
        <f aca="false">IF($A1243="","",物件マスタ!M1243)</f>
        <v>10375</v>
      </c>
      <c r="J1243" s="1" t="n">
        <f aca="false">IF($A1243="","",物件マスタ!S1243)</f>
        <v>15523.5</v>
      </c>
      <c r="K1243" s="1" t="n">
        <f aca="false">IF($A1243="","",物件マスタ!U1243)</f>
        <v>18400</v>
      </c>
      <c r="L1243" s="1" t="n">
        <f aca="false">IF($A1243="","",物件マスタ!W1243)</f>
        <v>0.975</v>
      </c>
      <c r="M1243" s="1" t="str">
        <f aca="false">IF($A1243="","",IFERROR(INDEX(法人マスタ!$H:$H,MATCH($B1243,法人マスタ!$A:$A,0)),""))</f>
        <v>2026年3月期（第49期）</v>
      </c>
      <c r="N1243" s="1" t="n">
        <f aca="false">IF($A1243="","",SUMIFS(物件収支!$D:$D,物件収支!$A:$A,$A1243,物件収支!$C:$C,$M1243))</f>
        <v>6</v>
      </c>
      <c r="O1243" s="1" t="n">
        <f aca="false">IF($A1243="","",SUMIFS(物件収支!$F:$F,物件収支!$A:$A,$A1243,物件収支!$C:$C,$M1243))</f>
        <v>514000</v>
      </c>
      <c r="P1243" s="1" t="n">
        <f aca="false">IF($A1243="","",SUMIFS(物件収支!$I:$I,物件収支!$A:$A,$A1243,物件収支!$C:$C,$M1243))</f>
        <v>255000</v>
      </c>
      <c r="Q1243" s="1" t="n">
        <f aca="false">IF($A1243="","",SUMIFS(物件収支!$O:$O,物件収支!$A:$A,$A1243,物件収支!$C:$C,$M1243))</f>
        <v>90000</v>
      </c>
      <c r="R1243" s="1" t="n">
        <f aca="false">IF($A1243="","",IF(P1243=0,"",O1243-P1243))</f>
        <v>259000</v>
      </c>
      <c r="S1243" s="1" t="n">
        <f aca="false">IF($A1243="","",IF(R1243="","",R1243+Q1243))</f>
        <v>349000</v>
      </c>
      <c r="T1243" s="1" t="n">
        <f aca="false">IF($A1243="","",IF(OR(S1243="",N1243&lt;=0),"",S1243/1000*12/N1243))</f>
        <v>698</v>
      </c>
      <c r="U1243" s="1" t="n">
        <f aca="false">IF($A1243="","",IF(OR(T1243="",J1243=0,J1243=""),"",T1243/J1243))</f>
        <v>0.0449640867072503</v>
      </c>
      <c r="V1243" s="1" t="n">
        <f aca="false">IF($A1243="","",IF(OR(R1243="",N1243&lt;=0,J1243=0,J1243=""),"",(R1243/1000*12/N1243)/J1243))</f>
        <v>0.0333687634876156</v>
      </c>
      <c r="W1243" s="1" t="n">
        <f aca="false">IF($A1243="","",IF(OR(T1243="",K1243=0,K1243=""),"",T1243/K1243))</f>
        <v>0.0379347826086957</v>
      </c>
      <c r="X1243" s="1" t="n">
        <f aca="false">IF($A1243="","",IF(OR(N1243&lt;=0,I1243=0,I1243="",O1243=0),"",O1243*1000/(I1243*0.3025)/N1243))</f>
        <v>27295.9607023134</v>
      </c>
      <c r="Y1243" s="1" t="n">
        <f aca="false">IF($A1243="","",IF(OR(O1243=0,O1243="",P1243=0),"",P1243/O1243))</f>
        <v>0.496108949416342</v>
      </c>
      <c r="Z1243" s="1" t="str">
        <f aca="false">IF($A1243="","",IFERROR(INDEX(物件収支!$E:$E,MATCH($A1243,物件収支!$A:$A,0)),""))</f>
        <v>開示（物件別・費用内訳含む・百万円単位）</v>
      </c>
    </row>
    <row r="1244" customFormat="false" ht="16.5" hidden="false" customHeight="true" outlineLevel="0" collapsed="false">
      <c r="A1244" s="1" t="str">
        <f aca="false">IF(物件マスタ!A1244="","",物件マスタ!A1244)</f>
        <v>JRE-071</v>
      </c>
      <c r="B1244" s="1" t="str">
        <f aca="false">IF($A1244="","",物件マスタ!B1244)</f>
        <v>JRE</v>
      </c>
      <c r="C1244" s="1" t="str">
        <f aca="false">IF($A1244="","",IFERROR(INDEX(法人マスタ!$C:$C,MATCH($B1244,法人マスタ!$A:$A,0)),""))</f>
        <v>ジャパンリアルエステイト投資法人</v>
      </c>
      <c r="D1244" s="1" t="str">
        <f aca="false">IF($A1244="","",物件マスタ!C1244)</f>
        <v>ＪＲＥ堺筋本町ビル</v>
      </c>
      <c r="E1244" s="1" t="str">
        <f aca="false">IF($A1244="","",物件マスタ!H1244)</f>
        <v>その他3大都市圏</v>
      </c>
      <c r="F1244" s="1" t="n">
        <f aca="false">IF($A1244="","",物件マスタ!P1244)</f>
        <v>0</v>
      </c>
      <c r="G1244" s="1" t="str">
        <f aca="false">IF($A1244="","",物件マスタ!Q1244)</f>
        <v/>
      </c>
      <c r="H1244" s="1" t="n">
        <f aca="false">IF($A1244="","",物件マスタ!L1244)</f>
        <v>0</v>
      </c>
      <c r="I1244" s="1" t="n">
        <f aca="false">IF($A1244="","",物件マスタ!M1244)</f>
        <v>11520</v>
      </c>
      <c r="J1244" s="1" t="n">
        <f aca="false">IF($A1244="","",物件マスタ!S1244)</f>
        <v>4164</v>
      </c>
      <c r="K1244" s="1" t="n">
        <f aca="false">IF($A1244="","",物件マスタ!U1244)</f>
        <v>5260</v>
      </c>
      <c r="L1244" s="1" t="n">
        <f aca="false">IF($A1244="","",物件マスタ!W1244)</f>
        <v>1</v>
      </c>
      <c r="M1244" s="1" t="str">
        <f aca="false">IF($A1244="","",IFERROR(INDEX(法人マスタ!$H:$H,MATCH($B1244,法人マスタ!$A:$A,0)),""))</f>
        <v>2026年3月期（第49期）</v>
      </c>
      <c r="N1244" s="1" t="n">
        <f aca="false">IF($A1244="","",SUMIFS(物件収支!$D:$D,物件収支!$A:$A,$A1244,物件収支!$C:$C,$M1244))</f>
        <v>6</v>
      </c>
      <c r="O1244" s="1" t="n">
        <f aca="false">IF($A1244="","",SUMIFS(物件収支!$F:$F,物件収支!$A:$A,$A1244,物件収支!$C:$C,$M1244))</f>
        <v>294000</v>
      </c>
      <c r="P1244" s="1" t="n">
        <f aca="false">IF($A1244="","",SUMIFS(物件収支!$I:$I,物件収支!$A:$A,$A1244,物件収支!$C:$C,$M1244))</f>
        <v>148000</v>
      </c>
      <c r="Q1244" s="1" t="n">
        <f aca="false">IF($A1244="","",SUMIFS(物件収支!$O:$O,物件収支!$A:$A,$A1244,物件収支!$C:$C,$M1244))</f>
        <v>24000</v>
      </c>
      <c r="R1244" s="1" t="n">
        <f aca="false">IF($A1244="","",IF(P1244=0,"",O1244-P1244))</f>
        <v>146000</v>
      </c>
      <c r="S1244" s="1" t="n">
        <f aca="false">IF($A1244="","",IF(R1244="","",R1244+Q1244))</f>
        <v>170000</v>
      </c>
      <c r="T1244" s="1" t="n">
        <f aca="false">IF($A1244="","",IF(OR(S1244="",N1244&lt;=0),"",S1244/1000*12/N1244))</f>
        <v>340</v>
      </c>
      <c r="U1244" s="1" t="n">
        <f aca="false">IF($A1244="","",IF(OR(T1244="",J1244=0,J1244=""),"",T1244/J1244))</f>
        <v>0.0816522574447647</v>
      </c>
      <c r="V1244" s="1" t="n">
        <f aca="false">IF($A1244="","",IF(OR(R1244="",N1244&lt;=0,J1244=0,J1244=""),"",(R1244/1000*12/N1244)/J1244))</f>
        <v>0.0701248799231508</v>
      </c>
      <c r="W1244" s="1" t="n">
        <f aca="false">IF($A1244="","",IF(OR(T1244="",K1244=0,K1244=""),"",T1244/K1244))</f>
        <v>0.064638783269962</v>
      </c>
      <c r="X1244" s="1" t="n">
        <f aca="false">IF($A1244="","",IF(OR(N1244&lt;=0,I1244=0,I1244="",O1244=0),"",O1244*1000/(I1244*0.3025)/N1244))</f>
        <v>14061.0651974288</v>
      </c>
      <c r="Y1244" s="1" t="n">
        <f aca="false">IF($A1244="","",IF(OR(O1244=0,O1244="",P1244=0),"",P1244/O1244))</f>
        <v>0.503401360544218</v>
      </c>
      <c r="Z1244" s="1" t="str">
        <f aca="false">IF($A1244="","",IFERROR(INDEX(物件収支!$E:$E,MATCH($A1244,物件収支!$A:$A,0)),""))</f>
        <v>開示（物件別・費用内訳含む・百万円単位）</v>
      </c>
    </row>
    <row r="1245" customFormat="false" ht="16.5" hidden="false" customHeight="true" outlineLevel="0" collapsed="false">
      <c r="A1245" s="1" t="str">
        <f aca="false">IF(物件マスタ!A1245="","",物件マスタ!A1245)</f>
        <v>JRE-072</v>
      </c>
      <c r="B1245" s="1" t="str">
        <f aca="false">IF($A1245="","",物件マスタ!B1245)</f>
        <v>JRE</v>
      </c>
      <c r="C1245" s="1" t="str">
        <f aca="false">IF($A1245="","",IFERROR(INDEX(法人マスタ!$C:$C,MATCH($B1245,法人マスタ!$A:$A,0)),""))</f>
        <v>ジャパンリアルエステイト投資法人</v>
      </c>
      <c r="D1245" s="1" t="str">
        <f aca="false">IF($A1245="","",物件マスタ!C1245)</f>
        <v>ＪＲＥ堺筋本町スクエア</v>
      </c>
      <c r="E1245" s="1" t="str">
        <f aca="false">IF($A1245="","",物件マスタ!H1245)</f>
        <v>その他3大都市圏</v>
      </c>
      <c r="F1245" s="1" t="n">
        <f aca="false">IF($A1245="","",物件マスタ!P1245)</f>
        <v>0</v>
      </c>
      <c r="G1245" s="1" t="str">
        <f aca="false">IF($A1245="","",物件マスタ!Q1245)</f>
        <v/>
      </c>
      <c r="H1245" s="1" t="n">
        <f aca="false">IF($A1245="","",物件マスタ!L1245)</f>
        <v>0</v>
      </c>
      <c r="I1245" s="1" t="n">
        <f aca="false">IF($A1245="","",物件マスタ!M1245)</f>
        <v>11913</v>
      </c>
      <c r="J1245" s="1" t="n">
        <f aca="false">IF($A1245="","",物件マスタ!S1245)</f>
        <v>17215</v>
      </c>
      <c r="K1245" s="1" t="n">
        <f aca="false">IF($A1245="","",物件マスタ!U1245)</f>
        <v>17300</v>
      </c>
      <c r="L1245" s="1" t="n">
        <f aca="false">IF($A1245="","",物件マスタ!W1245)</f>
        <v>1</v>
      </c>
      <c r="M1245" s="1" t="str">
        <f aca="false">IF($A1245="","",IFERROR(INDEX(法人マスタ!$H:$H,MATCH($B1245,法人マスタ!$A:$A,0)),""))</f>
        <v>2026年3月期（第49期）</v>
      </c>
      <c r="N1245" s="1" t="n">
        <f aca="false">IF($A1245="","",SUMIFS(物件収支!$D:$D,物件収支!$A:$A,$A1245,物件収支!$C:$C,$M1245))</f>
        <v>6</v>
      </c>
      <c r="O1245" s="1" t="n">
        <f aca="false">IF($A1245="","",SUMIFS(物件収支!$F:$F,物件収支!$A:$A,$A1245,物件収支!$C:$C,$M1245))</f>
        <v>385000</v>
      </c>
      <c r="P1245" s="1" t="n">
        <f aca="false">IF($A1245="","",SUMIFS(物件収支!$I:$I,物件収支!$A:$A,$A1245,物件収支!$C:$C,$M1245))</f>
        <v>217000</v>
      </c>
      <c r="Q1245" s="1" t="n">
        <f aca="false">IF($A1245="","",SUMIFS(物件収支!$O:$O,物件収支!$A:$A,$A1245,物件収支!$C:$C,$M1245))</f>
        <v>130000</v>
      </c>
      <c r="R1245" s="1" t="n">
        <f aca="false">IF($A1245="","",IF(P1245=0,"",O1245-P1245))</f>
        <v>168000</v>
      </c>
      <c r="S1245" s="1" t="n">
        <f aca="false">IF($A1245="","",IF(R1245="","",R1245+Q1245))</f>
        <v>298000</v>
      </c>
      <c r="T1245" s="1" t="n">
        <f aca="false">IF($A1245="","",IF(OR(S1245="",N1245&lt;=0),"",S1245/1000*12/N1245))</f>
        <v>596</v>
      </c>
      <c r="U1245" s="1" t="n">
        <f aca="false">IF($A1245="","",IF(OR(T1245="",J1245=0,J1245=""),"",T1245/J1245))</f>
        <v>0.0346209700842289</v>
      </c>
      <c r="V1245" s="1" t="n">
        <f aca="false">IF($A1245="","",IF(OR(R1245="",N1245&lt;=0,J1245=0,J1245=""),"",(R1245/1000*12/N1245)/J1245))</f>
        <v>0.0195178623293639</v>
      </c>
      <c r="W1245" s="1" t="n">
        <f aca="false">IF($A1245="","",IF(OR(T1245="",K1245=0,K1245=""),"",T1245/K1245))</f>
        <v>0.0344508670520231</v>
      </c>
      <c r="X1245" s="1" t="n">
        <f aca="false">IF($A1245="","",IF(OR(N1245&lt;=0,I1245=0,I1245="",O1245=0),"",O1245*1000/(I1245*0.3025)/N1245))</f>
        <v>17805.8601629491</v>
      </c>
      <c r="Y1245" s="1" t="n">
        <f aca="false">IF($A1245="","",IF(OR(O1245=0,O1245="",P1245=0),"",P1245/O1245))</f>
        <v>0.563636363636364</v>
      </c>
      <c r="Z1245" s="1" t="str">
        <f aca="false">IF($A1245="","",IFERROR(INDEX(物件収支!$E:$E,MATCH($A1245,物件収支!$A:$A,0)),""))</f>
        <v>開示（物件別・費用内訳含む・百万円単位）</v>
      </c>
    </row>
    <row r="1246" customFormat="false" ht="16.5" hidden="false" customHeight="true" outlineLevel="0" collapsed="false">
      <c r="A1246" s="1" t="str">
        <f aca="false">IF(物件マスタ!A1246="","",物件マスタ!A1246)</f>
        <v>JRE-073</v>
      </c>
      <c r="B1246" s="1" t="str">
        <f aca="false">IF($A1246="","",物件マスタ!B1246)</f>
        <v>JRE</v>
      </c>
      <c r="C1246" s="1" t="str">
        <f aca="false">IF($A1246="","",IFERROR(INDEX(法人マスタ!$C:$C,MATCH($B1246,法人マスタ!$A:$A,0)),""))</f>
        <v>ジャパンリアルエステイト投資法人</v>
      </c>
      <c r="D1246" s="1" t="str">
        <f aca="false">IF($A1246="","",物件マスタ!C1246)</f>
        <v>ＪＲＥ御堂筋ダイワビル</v>
      </c>
      <c r="E1246" s="1" t="str">
        <f aca="false">IF($A1246="","",物件マスタ!H1246)</f>
        <v>その他3大都市圏</v>
      </c>
      <c r="F1246" s="1" t="n">
        <f aca="false">IF($A1246="","",物件マスタ!P1246)</f>
        <v>0</v>
      </c>
      <c r="G1246" s="1" t="str">
        <f aca="false">IF($A1246="","",物件マスタ!Q1246)</f>
        <v/>
      </c>
      <c r="H1246" s="1" t="n">
        <f aca="false">IF($A1246="","",物件マスタ!L1246)</f>
        <v>0</v>
      </c>
      <c r="I1246" s="1" t="n">
        <f aca="false">IF($A1246="","",物件マスタ!M1246)</f>
        <v>20450</v>
      </c>
      <c r="J1246" s="1" t="n">
        <f aca="false">IF($A1246="","",物件マスタ!S1246)</f>
        <v>14314</v>
      </c>
      <c r="K1246" s="1" t="n">
        <f aca="false">IF($A1246="","",物件マスタ!U1246)</f>
        <v>17200</v>
      </c>
      <c r="L1246" s="1" t="n">
        <f aca="false">IF($A1246="","",物件マスタ!W1246)</f>
        <v>1</v>
      </c>
      <c r="M1246" s="1" t="str">
        <f aca="false">IF($A1246="","",IFERROR(INDEX(法人マスタ!$H:$H,MATCH($B1246,法人マスタ!$A:$A,0)),""))</f>
        <v>2026年3月期（第49期）</v>
      </c>
      <c r="N1246" s="1" t="n">
        <f aca="false">IF($A1246="","",SUMIFS(物件収支!$D:$D,物件収支!$A:$A,$A1246,物件収支!$C:$C,$M1246))</f>
        <v>6</v>
      </c>
      <c r="O1246" s="1" t="n">
        <f aca="false">IF($A1246="","",SUMIFS(物件収支!$F:$F,物件収支!$A:$A,$A1246,物件収支!$C:$C,$M1246))</f>
        <v>595000</v>
      </c>
      <c r="P1246" s="1" t="n">
        <f aca="false">IF($A1246="","",SUMIFS(物件収支!$I:$I,物件収支!$A:$A,$A1246,物件収支!$C:$C,$M1246))</f>
        <v>301000</v>
      </c>
      <c r="Q1246" s="1" t="n">
        <f aca="false">IF($A1246="","",SUMIFS(物件収支!$O:$O,物件収支!$A:$A,$A1246,物件収支!$C:$C,$M1246))</f>
        <v>83000</v>
      </c>
      <c r="R1246" s="1" t="n">
        <f aca="false">IF($A1246="","",IF(P1246=0,"",O1246-P1246))</f>
        <v>294000</v>
      </c>
      <c r="S1246" s="1" t="n">
        <f aca="false">IF($A1246="","",IF(R1246="","",R1246+Q1246))</f>
        <v>377000</v>
      </c>
      <c r="T1246" s="1" t="n">
        <f aca="false">IF($A1246="","",IF(OR(S1246="",N1246&lt;=0),"",S1246/1000*12/N1246))</f>
        <v>754</v>
      </c>
      <c r="U1246" s="1" t="n">
        <f aca="false">IF($A1246="","",IF(OR(T1246="",J1246=0,J1246=""),"",T1246/J1246))</f>
        <v>0.0526757021098226</v>
      </c>
      <c r="V1246" s="1" t="n">
        <f aca="false">IF($A1246="","",IF(OR(R1246="",N1246&lt;=0,J1246=0,J1246=""),"",(R1246/1000*12/N1246)/J1246))</f>
        <v>0.0410786642447953</v>
      </c>
      <c r="W1246" s="1" t="n">
        <f aca="false">IF($A1246="","",IF(OR(T1246="",K1246=0,K1246=""),"",T1246/K1246))</f>
        <v>0.0438372093023256</v>
      </c>
      <c r="X1246" s="1" t="n">
        <f aca="false">IF($A1246="","",IF(OR(N1246&lt;=0,I1246=0,I1246="",O1246=0),"",O1246*1000/(I1246*0.3025)/N1246))</f>
        <v>16030.4983599049</v>
      </c>
      <c r="Y1246" s="1" t="n">
        <f aca="false">IF($A1246="","",IF(OR(O1246=0,O1246="",P1246=0),"",P1246/O1246))</f>
        <v>0.505882352941176</v>
      </c>
      <c r="Z1246" s="1" t="str">
        <f aca="false">IF($A1246="","",IFERROR(INDEX(物件収支!$E:$E,MATCH($A1246,物件収支!$A:$A,0)),""))</f>
        <v>開示（物件別・費用内訳含む・百万円単位）</v>
      </c>
    </row>
    <row r="1247" customFormat="false" ht="16.5" hidden="false" customHeight="true" outlineLevel="0" collapsed="false">
      <c r="A1247" s="1" t="str">
        <f aca="false">IF(物件マスタ!A1247="","",物件マスタ!A1247)</f>
        <v>JRE-074</v>
      </c>
      <c r="B1247" s="1" t="str">
        <f aca="false">IF($A1247="","",物件マスタ!B1247)</f>
        <v>JRE</v>
      </c>
      <c r="C1247" s="1" t="str">
        <f aca="false">IF($A1247="","",IFERROR(INDEX(法人マスタ!$C:$C,MATCH($B1247,法人マスタ!$A:$A,0)),""))</f>
        <v>ジャパンリアルエステイト投資法人</v>
      </c>
      <c r="D1247" s="1" t="str">
        <f aca="false">IF($A1247="","",物件マスタ!C1247)</f>
        <v>ＪＲＥ尼崎フロントビル</v>
      </c>
      <c r="E1247" s="1" t="str">
        <f aca="false">IF($A1247="","",物件マスタ!H1247)</f>
        <v>その他3大都市圏</v>
      </c>
      <c r="F1247" s="1" t="n">
        <f aca="false">IF($A1247="","",物件マスタ!P1247)</f>
        <v>0</v>
      </c>
      <c r="G1247" s="1" t="str">
        <f aca="false">IF($A1247="","",物件マスタ!Q1247)</f>
        <v/>
      </c>
      <c r="H1247" s="1" t="n">
        <f aca="false">IF($A1247="","",物件マスタ!L1247)</f>
        <v>0</v>
      </c>
      <c r="I1247" s="1" t="n">
        <f aca="false">IF($A1247="","",物件マスタ!M1247)</f>
        <v>15498</v>
      </c>
      <c r="J1247" s="1" t="n">
        <f aca="false">IF($A1247="","",物件マスタ!S1247)</f>
        <v>9300</v>
      </c>
      <c r="K1247" s="1" t="n">
        <f aca="false">IF($A1247="","",物件マスタ!U1247)</f>
        <v>11300</v>
      </c>
      <c r="L1247" s="1" t="n">
        <f aca="false">IF($A1247="","",物件マスタ!W1247)</f>
        <v>1</v>
      </c>
      <c r="M1247" s="1" t="str">
        <f aca="false">IF($A1247="","",IFERROR(INDEX(法人マスタ!$H:$H,MATCH($B1247,法人マスタ!$A:$A,0)),""))</f>
        <v>2026年3月期（第49期）</v>
      </c>
      <c r="N1247" s="1" t="n">
        <f aca="false">IF($A1247="","",SUMIFS(物件収支!$D:$D,物件収支!$A:$A,$A1247,物件収支!$C:$C,$M1247))</f>
        <v>6</v>
      </c>
      <c r="O1247" s="1" t="n">
        <f aca="false">IF($A1247="","",SUMIFS(物件収支!$F:$F,物件収支!$A:$A,$A1247,物件収支!$C:$C,$M1247))</f>
        <v>449000</v>
      </c>
      <c r="P1247" s="1" t="n">
        <f aca="false">IF($A1247="","",SUMIFS(物件収支!$I:$I,物件収支!$A:$A,$A1247,物件収支!$C:$C,$M1247))</f>
        <v>214000</v>
      </c>
      <c r="Q1247" s="1" t="n">
        <f aca="false">IF($A1247="","",SUMIFS(物件収支!$O:$O,物件収支!$A:$A,$A1247,物件収支!$C:$C,$M1247))</f>
        <v>74000</v>
      </c>
      <c r="R1247" s="1" t="n">
        <f aca="false">IF($A1247="","",IF(P1247=0,"",O1247-P1247))</f>
        <v>235000</v>
      </c>
      <c r="S1247" s="1" t="n">
        <f aca="false">IF($A1247="","",IF(R1247="","",R1247+Q1247))</f>
        <v>309000</v>
      </c>
      <c r="T1247" s="1" t="n">
        <f aca="false">IF($A1247="","",IF(OR(S1247="",N1247&lt;=0),"",S1247/1000*12/N1247))</f>
        <v>618</v>
      </c>
      <c r="U1247" s="1" t="n">
        <f aca="false">IF($A1247="","",IF(OR(T1247="",J1247=0,J1247=""),"",T1247/J1247))</f>
        <v>0.0664516129032258</v>
      </c>
      <c r="V1247" s="1" t="n">
        <f aca="false">IF($A1247="","",IF(OR(R1247="",N1247&lt;=0,J1247=0,J1247=""),"",(R1247/1000*12/N1247)/J1247))</f>
        <v>0.0505376344086022</v>
      </c>
      <c r="W1247" s="1" t="n">
        <f aca="false">IF($A1247="","",IF(OR(T1247="",K1247=0,K1247=""),"",T1247/K1247))</f>
        <v>0.0546902654867257</v>
      </c>
      <c r="X1247" s="1" t="n">
        <f aca="false">IF($A1247="","",IF(OR(N1247&lt;=0,I1247=0,I1247="",O1247=0),"",O1247*1000/(I1247*0.3025)/N1247))</f>
        <v>15962.2480391143</v>
      </c>
      <c r="Y1247" s="1" t="n">
        <f aca="false">IF($A1247="","",IF(OR(O1247=0,O1247="",P1247=0),"",P1247/O1247))</f>
        <v>0.476614699331849</v>
      </c>
      <c r="Z1247" s="1" t="str">
        <f aca="false">IF($A1247="","",IFERROR(INDEX(物件収支!$E:$E,MATCH($A1247,物件収支!$A:$A,0)),""))</f>
        <v>開示（物件別・費用内訳含む・百万円単位）</v>
      </c>
    </row>
    <row r="1248" customFormat="false" ht="16.5" hidden="false" customHeight="true" outlineLevel="0" collapsed="false">
      <c r="A1248" s="1" t="str">
        <f aca="false">IF(物件マスタ!A1248="","",物件マスタ!A1248)</f>
        <v>JRE-075</v>
      </c>
      <c r="B1248" s="1" t="str">
        <f aca="false">IF($A1248="","",物件マスタ!B1248)</f>
        <v>JRE</v>
      </c>
      <c r="C1248" s="1" t="str">
        <f aca="false">IF($A1248="","",IFERROR(INDEX(法人マスタ!$C:$C,MATCH($B1248,法人マスタ!$A:$A,0)),""))</f>
        <v>ジャパンリアルエステイト投資法人</v>
      </c>
      <c r="D1248" s="1" t="str">
        <f aca="false">IF($A1248="","",物件マスタ!C1248)</f>
        <v>リットシティビル</v>
      </c>
      <c r="E1248" s="1" t="str">
        <f aca="false">IF($A1248="","",物件マスタ!H1248)</f>
        <v>3大都市圏以外の政令市</v>
      </c>
      <c r="F1248" s="1" t="n">
        <f aca="false">IF($A1248="","",物件マスタ!P1248)</f>
        <v>0</v>
      </c>
      <c r="G1248" s="1" t="str">
        <f aca="false">IF($A1248="","",物件マスタ!Q1248)</f>
        <v/>
      </c>
      <c r="H1248" s="1" t="n">
        <f aca="false">IF($A1248="","",物件マスタ!L1248)</f>
        <v>0</v>
      </c>
      <c r="I1248" s="1" t="n">
        <f aca="false">IF($A1248="","",物件マスタ!M1248)</f>
        <v>8814</v>
      </c>
      <c r="J1248" s="1" t="n">
        <f aca="false">IF($A1248="","",物件マスタ!S1248)</f>
        <v>4094.9</v>
      </c>
      <c r="K1248" s="1" t="n">
        <f aca="false">IF($A1248="","",物件マスタ!U1248)</f>
        <v>5640</v>
      </c>
      <c r="L1248" s="1" t="n">
        <f aca="false">IF($A1248="","",物件マスタ!W1248)</f>
        <v>1</v>
      </c>
      <c r="M1248" s="1" t="str">
        <f aca="false">IF($A1248="","",IFERROR(INDEX(法人マスタ!$H:$H,MATCH($B1248,法人マスタ!$A:$A,0)),""))</f>
        <v>2026年3月期（第49期）</v>
      </c>
      <c r="N1248" s="1" t="n">
        <f aca="false">IF($A1248="","",SUMIFS(物件収支!$D:$D,物件収支!$A:$A,$A1248,物件収支!$C:$C,$M1248))</f>
        <v>6</v>
      </c>
      <c r="O1248" s="1" t="n">
        <f aca="false">IF($A1248="","",SUMIFS(物件収支!$F:$F,物件収支!$A:$A,$A1248,物件収支!$C:$C,$M1248))</f>
        <v>277000</v>
      </c>
      <c r="P1248" s="1" t="n">
        <f aca="false">IF($A1248="","",SUMIFS(物件収支!$I:$I,物件収支!$A:$A,$A1248,物件収支!$C:$C,$M1248))</f>
        <v>194000</v>
      </c>
      <c r="Q1248" s="1" t="n">
        <f aca="false">IF($A1248="","",SUMIFS(物件収支!$O:$O,物件収支!$A:$A,$A1248,物件収支!$C:$C,$M1248))</f>
        <v>44000</v>
      </c>
      <c r="R1248" s="1" t="n">
        <f aca="false">IF($A1248="","",IF(P1248=0,"",O1248-P1248))</f>
        <v>83000</v>
      </c>
      <c r="S1248" s="1" t="n">
        <f aca="false">IF($A1248="","",IF(R1248="","",R1248+Q1248))</f>
        <v>127000</v>
      </c>
      <c r="T1248" s="1" t="n">
        <f aca="false">IF($A1248="","",IF(OR(S1248="",N1248&lt;=0),"",S1248/1000*12/N1248))</f>
        <v>254</v>
      </c>
      <c r="U1248" s="1" t="n">
        <f aca="false">IF($A1248="","",IF(OR(T1248="",J1248=0,J1248=""),"",T1248/J1248))</f>
        <v>0.0620283767613373</v>
      </c>
      <c r="V1248" s="1" t="n">
        <f aca="false">IF($A1248="","",IF(OR(R1248="",N1248&lt;=0,J1248=0,J1248=""),"",(R1248/1000*12/N1248)/J1248))</f>
        <v>0.0405382304818189</v>
      </c>
      <c r="W1248" s="1" t="n">
        <f aca="false">IF($A1248="","",IF(OR(T1248="",K1248=0,K1248=""),"",T1248/K1248))</f>
        <v>0.0450354609929078</v>
      </c>
      <c r="X1248" s="1" t="n">
        <f aca="false">IF($A1248="","",IF(OR(N1248&lt;=0,I1248=0,I1248="",O1248=0),"",O1248*1000/(I1248*0.3025)/N1248))</f>
        <v>17315.3029146593</v>
      </c>
      <c r="Y1248" s="1" t="n">
        <f aca="false">IF($A1248="","",IF(OR(O1248=0,O1248="",P1248=0),"",P1248/O1248))</f>
        <v>0.700361010830325</v>
      </c>
      <c r="Z1248" s="1" t="str">
        <f aca="false">IF($A1248="","",IFERROR(INDEX(物件収支!$E:$E,MATCH($A1248,物件収支!$A:$A,0)),""))</f>
        <v>開示（物件別・費用内訳含む・百万円単位）</v>
      </c>
    </row>
    <row r="1249" customFormat="false" ht="16.5" hidden="false" customHeight="true" outlineLevel="0" collapsed="false">
      <c r="A1249" s="1" t="str">
        <f aca="false">IF(物件マスタ!A1249="","",物件マスタ!A1249)</f>
        <v>JRE-076</v>
      </c>
      <c r="B1249" s="1" t="str">
        <f aca="false">IF($A1249="","",物件マスタ!B1249)</f>
        <v>JRE</v>
      </c>
      <c r="C1249" s="1" t="str">
        <f aca="false">IF($A1249="","",IFERROR(INDEX(法人マスタ!$C:$C,MATCH($B1249,法人マスタ!$A:$A,0)),""))</f>
        <v>ジャパンリアルエステイト投資法人</v>
      </c>
      <c r="D1249" s="1" t="str">
        <f aca="false">IF($A1249="","",物件マスタ!C1249)</f>
        <v>ＮＨＫ広島放送センタービル</v>
      </c>
      <c r="E1249" s="1" t="str">
        <f aca="false">IF($A1249="","",物件マスタ!H1249)</f>
        <v>3大都市圏以外の政令市</v>
      </c>
      <c r="F1249" s="1" t="n">
        <f aca="false">IF($A1249="","",物件マスタ!P1249)</f>
        <v>0</v>
      </c>
      <c r="G1249" s="1" t="str">
        <f aca="false">IF($A1249="","",物件マスタ!Q1249)</f>
        <v/>
      </c>
      <c r="H1249" s="1" t="n">
        <f aca="false">IF($A1249="","",物件マスタ!L1249)</f>
        <v>0</v>
      </c>
      <c r="I1249" s="1" t="n">
        <f aca="false">IF($A1249="","",物件マスタ!M1249)</f>
        <v>9877</v>
      </c>
      <c r="J1249" s="1" t="n">
        <f aca="false">IF($A1249="","",物件マスタ!S1249)</f>
        <v>2770</v>
      </c>
      <c r="K1249" s="1" t="n">
        <f aca="false">IF($A1249="","",物件マスタ!U1249)</f>
        <v>3450</v>
      </c>
      <c r="L1249" s="1" t="n">
        <f aca="false">IF($A1249="","",物件マスタ!W1249)</f>
        <v>1</v>
      </c>
      <c r="M1249" s="1" t="str">
        <f aca="false">IF($A1249="","",IFERROR(INDEX(法人マスタ!$H:$H,MATCH($B1249,法人マスタ!$A:$A,0)),""))</f>
        <v>2026年3月期（第49期）</v>
      </c>
      <c r="N1249" s="1" t="n">
        <f aca="false">IF($A1249="","",SUMIFS(物件収支!$D:$D,物件収支!$A:$A,$A1249,物件収支!$C:$C,$M1249))</f>
        <v>6</v>
      </c>
      <c r="O1249" s="1" t="n">
        <f aca="false">IF($A1249="","",SUMIFS(物件収支!$F:$F,物件収支!$A:$A,$A1249,物件収支!$C:$C,$M1249))</f>
        <v>276000</v>
      </c>
      <c r="P1249" s="1" t="n">
        <f aca="false">IF($A1249="","",SUMIFS(物件収支!$I:$I,物件収支!$A:$A,$A1249,物件収支!$C:$C,$M1249))</f>
        <v>252000</v>
      </c>
      <c r="Q1249" s="1" t="n">
        <f aca="false">IF($A1249="","",SUMIFS(物件収支!$O:$O,物件収支!$A:$A,$A1249,物件収支!$C:$C,$M1249))</f>
        <v>83000</v>
      </c>
      <c r="R1249" s="1" t="n">
        <f aca="false">IF($A1249="","",IF(P1249=0,"",O1249-P1249))</f>
        <v>24000</v>
      </c>
      <c r="S1249" s="1" t="n">
        <f aca="false">IF($A1249="","",IF(R1249="","",R1249+Q1249))</f>
        <v>107000</v>
      </c>
      <c r="T1249" s="1" t="n">
        <f aca="false">IF($A1249="","",IF(OR(S1249="",N1249&lt;=0),"",S1249/1000*12/N1249))</f>
        <v>214</v>
      </c>
      <c r="U1249" s="1" t="n">
        <f aca="false">IF($A1249="","",IF(OR(T1249="",J1249=0,J1249=""),"",T1249/J1249))</f>
        <v>0.0772563176895307</v>
      </c>
      <c r="V1249" s="1" t="n">
        <f aca="false">IF($A1249="","",IF(OR(R1249="",N1249&lt;=0,J1249=0,J1249=""),"",(R1249/1000*12/N1249)/J1249))</f>
        <v>0.0173285198555957</v>
      </c>
      <c r="W1249" s="1" t="n">
        <f aca="false">IF($A1249="","",IF(OR(T1249="",K1249=0,K1249=""),"",T1249/K1249))</f>
        <v>0.0620289855072464</v>
      </c>
      <c r="X1249" s="1" t="n">
        <f aca="false">IF($A1249="","",IF(OR(N1249&lt;=0,I1249=0,I1249="",O1249=0),"",O1249*1000/(I1249*0.3025)/N1249))</f>
        <v>15395.9821507016</v>
      </c>
      <c r="Y1249" s="1" t="n">
        <f aca="false">IF($A1249="","",IF(OR(O1249=0,O1249="",P1249=0),"",P1249/O1249))</f>
        <v>0.91304347826087</v>
      </c>
      <c r="Z1249" s="1" t="str">
        <f aca="false">IF($A1249="","",IFERROR(INDEX(物件収支!$E:$E,MATCH($A1249,物件収支!$A:$A,0)),""))</f>
        <v>開示（物件別・費用内訳含む・百万円単位）</v>
      </c>
    </row>
    <row r="1250" customFormat="false" ht="16.5" hidden="false" customHeight="true" outlineLevel="0" collapsed="false">
      <c r="A1250" s="1" t="str">
        <f aca="false">IF(物件マスタ!A1250="","",物件マスタ!A1250)</f>
        <v>JRE-077</v>
      </c>
      <c r="B1250" s="1" t="str">
        <f aca="false">IF($A1250="","",物件マスタ!B1250)</f>
        <v>JRE</v>
      </c>
      <c r="C1250" s="1" t="str">
        <f aca="false">IF($A1250="","",IFERROR(INDEX(法人マスタ!$C:$C,MATCH($B1250,法人マスタ!$A:$A,0)),""))</f>
        <v>ジャパンリアルエステイト投資法人</v>
      </c>
      <c r="D1250" s="1" t="str">
        <f aca="false">IF($A1250="","",物件マスタ!C1250)</f>
        <v>ＪＲＥ天神三丁目ビル</v>
      </c>
      <c r="E1250" s="1" t="str">
        <f aca="false">IF($A1250="","",物件マスタ!H1250)</f>
        <v>3大都市圏以外の政令市</v>
      </c>
      <c r="F1250" s="1" t="n">
        <f aca="false">IF($A1250="","",物件マスタ!P1250)</f>
        <v>0</v>
      </c>
      <c r="G1250" s="1" t="str">
        <f aca="false">IF($A1250="","",物件マスタ!Q1250)</f>
        <v/>
      </c>
      <c r="H1250" s="1" t="n">
        <f aca="false">IF($A1250="","",物件マスタ!L1250)</f>
        <v>0</v>
      </c>
      <c r="I1250" s="1" t="n">
        <f aca="false">IF($A1250="","",物件マスタ!M1250)</f>
        <v>3995</v>
      </c>
      <c r="J1250" s="1" t="n">
        <f aca="false">IF($A1250="","",物件マスタ!S1250)</f>
        <v>1550</v>
      </c>
      <c r="K1250" s="1" t="n">
        <f aca="false">IF($A1250="","",物件マスタ!U1250)</f>
        <v>2450</v>
      </c>
      <c r="L1250" s="1" t="n">
        <f aca="false">IF($A1250="","",物件マスタ!W1250)</f>
        <v>0.962</v>
      </c>
      <c r="M1250" s="1" t="str">
        <f aca="false">IF($A1250="","",IFERROR(INDEX(法人マスタ!$H:$H,MATCH($B1250,法人マスタ!$A:$A,0)),""))</f>
        <v>2026年3月期（第49期）</v>
      </c>
      <c r="N1250" s="1" t="n">
        <f aca="false">IF($A1250="","",SUMIFS(物件収支!$D:$D,物件収支!$A:$A,$A1250,物件収支!$C:$C,$M1250))</f>
        <v>6</v>
      </c>
      <c r="O1250" s="1" t="n">
        <f aca="false">IF($A1250="","",SUMIFS(物件収支!$F:$F,物件収支!$A:$A,$A1250,物件収支!$C:$C,$M1250))</f>
        <v>96000</v>
      </c>
      <c r="P1250" s="1" t="n">
        <f aca="false">IF($A1250="","",SUMIFS(物件収支!$I:$I,物件収支!$A:$A,$A1250,物件収支!$C:$C,$M1250))</f>
        <v>46000</v>
      </c>
      <c r="Q1250" s="1" t="n">
        <f aca="false">IF($A1250="","",SUMIFS(物件収支!$O:$O,物件収支!$A:$A,$A1250,物件収支!$C:$C,$M1250))</f>
        <v>14000</v>
      </c>
      <c r="R1250" s="1" t="n">
        <f aca="false">IF($A1250="","",IF(P1250=0,"",O1250-P1250))</f>
        <v>50000</v>
      </c>
      <c r="S1250" s="1" t="n">
        <f aca="false">IF($A1250="","",IF(R1250="","",R1250+Q1250))</f>
        <v>64000</v>
      </c>
      <c r="T1250" s="1" t="n">
        <f aca="false">IF($A1250="","",IF(OR(S1250="",N1250&lt;=0),"",S1250/1000*12/N1250))</f>
        <v>128</v>
      </c>
      <c r="U1250" s="1" t="n">
        <f aca="false">IF($A1250="","",IF(OR(T1250="",J1250=0,J1250=""),"",T1250/J1250))</f>
        <v>0.0825806451612903</v>
      </c>
      <c r="V1250" s="1" t="n">
        <f aca="false">IF($A1250="","",IF(OR(R1250="",N1250&lt;=0,J1250=0,J1250=""),"",(R1250/1000*12/N1250)/J1250))</f>
        <v>0.0645161290322581</v>
      </c>
      <c r="W1250" s="1" t="n">
        <f aca="false">IF($A1250="","",IF(OR(T1250="",K1250=0,K1250=""),"",T1250/K1250))</f>
        <v>0.0522448979591837</v>
      </c>
      <c r="X1250" s="1" t="n">
        <f aca="false">IF($A1250="","",IF(OR(N1250&lt;=0,I1250=0,I1250="",O1250=0),"",O1250*1000/(I1250*0.3025)/N1250))</f>
        <v>13239.6901085034</v>
      </c>
      <c r="Y1250" s="1" t="n">
        <f aca="false">IF($A1250="","",IF(OR(O1250=0,O1250="",P1250=0),"",P1250/O1250))</f>
        <v>0.479166666666667</v>
      </c>
      <c r="Z1250" s="1" t="str">
        <f aca="false">IF($A1250="","",IFERROR(INDEX(物件収支!$E:$E,MATCH($A1250,物件収支!$A:$A,0)),""))</f>
        <v>開示（物件別・費用内訳含む・百万円単位）</v>
      </c>
    </row>
    <row r="1251" customFormat="false" ht="16.5" hidden="false" customHeight="true" outlineLevel="0" collapsed="false">
      <c r="A1251" s="1" t="str">
        <f aca="false">IF(物件マスタ!A1251="","",物件マスタ!A1251)</f>
        <v>JRE-078</v>
      </c>
      <c r="B1251" s="1" t="str">
        <f aca="false">IF($A1251="","",物件マスタ!B1251)</f>
        <v>JRE</v>
      </c>
      <c r="C1251" s="1" t="str">
        <f aca="false">IF($A1251="","",IFERROR(INDEX(法人マスタ!$C:$C,MATCH($B1251,法人マスタ!$A:$A,0)),""))</f>
        <v>ジャパンリアルエステイト投資法人</v>
      </c>
      <c r="D1251" s="1" t="str">
        <f aca="false">IF($A1251="","",物件マスタ!C1251)</f>
        <v>ＪＲＥ天神クリスタルビル</v>
      </c>
      <c r="E1251" s="1" t="str">
        <f aca="false">IF($A1251="","",物件マスタ!H1251)</f>
        <v>3大都市圏以外の政令市</v>
      </c>
      <c r="F1251" s="1" t="n">
        <f aca="false">IF($A1251="","",物件マスタ!P1251)</f>
        <v>0</v>
      </c>
      <c r="G1251" s="1" t="str">
        <f aca="false">IF($A1251="","",物件マスタ!Q1251)</f>
        <v/>
      </c>
      <c r="H1251" s="1" t="n">
        <f aca="false">IF($A1251="","",物件マスタ!L1251)</f>
        <v>0</v>
      </c>
      <c r="I1251" s="1" t="n">
        <f aca="false">IF($A1251="","",物件マスタ!M1251)</f>
        <v>2982</v>
      </c>
      <c r="J1251" s="1" t="n">
        <f aca="false">IF($A1251="","",物件マスタ!S1251)</f>
        <v>2500</v>
      </c>
      <c r="K1251" s="1" t="n">
        <f aca="false">IF($A1251="","",物件マスタ!U1251)</f>
        <v>1800</v>
      </c>
      <c r="L1251" s="1" t="n">
        <f aca="false">IF($A1251="","",物件マスタ!W1251)</f>
        <v>0.959</v>
      </c>
      <c r="M1251" s="1" t="str">
        <f aca="false">IF($A1251="","",IFERROR(INDEX(法人マスタ!$H:$H,MATCH($B1251,法人マスタ!$A:$A,0)),""))</f>
        <v>2026年3月期（第49期）</v>
      </c>
      <c r="N1251" s="1" t="n">
        <f aca="false">IF($A1251="","",SUMIFS(物件収支!$D:$D,物件収支!$A:$A,$A1251,物件収支!$C:$C,$M1251))</f>
        <v>6</v>
      </c>
      <c r="O1251" s="1" t="n">
        <f aca="false">IF($A1251="","",SUMIFS(物件収支!$F:$F,物件収支!$A:$A,$A1251,物件収支!$C:$C,$M1251))</f>
        <v>154000</v>
      </c>
      <c r="P1251" s="1" t="n">
        <f aca="false">IF($A1251="","",SUMIFS(物件収支!$I:$I,物件収支!$A:$A,$A1251,物件収支!$C:$C,$M1251))</f>
        <v>134000</v>
      </c>
      <c r="Q1251" s="1" t="n">
        <f aca="false">IF($A1251="","",SUMIFS(物件収支!$O:$O,物件収支!$A:$A,$A1251,物件収支!$C:$C,$M1251))</f>
        <v>68000</v>
      </c>
      <c r="R1251" s="1" t="n">
        <f aca="false">IF($A1251="","",IF(P1251=0,"",O1251-P1251))</f>
        <v>20000</v>
      </c>
      <c r="S1251" s="1" t="n">
        <f aca="false">IF($A1251="","",IF(R1251="","",R1251+Q1251))</f>
        <v>88000</v>
      </c>
      <c r="T1251" s="1" t="n">
        <f aca="false">IF($A1251="","",IF(OR(S1251="",N1251&lt;=0),"",S1251/1000*12/N1251))</f>
        <v>176</v>
      </c>
      <c r="U1251" s="1" t="n">
        <f aca="false">IF($A1251="","",IF(OR(T1251="",J1251=0,J1251=""),"",T1251/J1251))</f>
        <v>0.0704</v>
      </c>
      <c r="V1251" s="1" t="n">
        <f aca="false">IF($A1251="","",IF(OR(R1251="",N1251&lt;=0,J1251=0,J1251=""),"",(R1251/1000*12/N1251)/J1251))</f>
        <v>0.016</v>
      </c>
      <c r="W1251" s="1" t="n">
        <f aca="false">IF($A1251="","",IF(OR(T1251="",K1251=0,K1251=""),"",T1251/K1251))</f>
        <v>0.0977777777777778</v>
      </c>
      <c r="X1251" s="1" t="n">
        <f aca="false">IF($A1251="","",IF(OR(N1251&lt;=0,I1251=0,I1251="",O1251=0),"",O1251*1000/(I1251*0.3025)/N1251))</f>
        <v>28453.5495803101</v>
      </c>
      <c r="Y1251" s="1" t="n">
        <f aca="false">IF($A1251="","",IF(OR(O1251=0,O1251="",P1251=0),"",P1251/O1251))</f>
        <v>0.87012987012987</v>
      </c>
      <c r="Z1251" s="1" t="str">
        <f aca="false">IF($A1251="","",IFERROR(INDEX(物件収支!$E:$E,MATCH($A1251,物件収支!$A:$A,0)),""))</f>
        <v>開示（物件別・費用内訳含む・百万円単位）</v>
      </c>
    </row>
    <row r="1252" customFormat="false" ht="16.5" hidden="false" customHeight="true" outlineLevel="0" collapsed="false">
      <c r="A1252" s="1" t="str">
        <f aca="false">IF(物件マスタ!A1252="","",物件マスタ!A1252)</f>
        <v>JRE-079</v>
      </c>
      <c r="B1252" s="1" t="str">
        <f aca="false">IF($A1252="","",物件マスタ!B1252)</f>
        <v>JRE</v>
      </c>
      <c r="C1252" s="1" t="str">
        <f aca="false">IF($A1252="","",IFERROR(INDEX(法人マスタ!$C:$C,MATCH($B1252,法人マスタ!$A:$A,0)),""))</f>
        <v>ジャパンリアルエステイト投資法人</v>
      </c>
      <c r="D1252" s="1" t="str">
        <f aca="false">IF($A1252="","",物件マスタ!C1252)</f>
        <v>日之出天神ビルディング</v>
      </c>
      <c r="E1252" s="1" t="str">
        <f aca="false">IF($A1252="","",物件マスタ!H1252)</f>
        <v>3大都市圏以外の政令市</v>
      </c>
      <c r="F1252" s="1" t="n">
        <f aca="false">IF($A1252="","",物件マスタ!P1252)</f>
        <v>0</v>
      </c>
      <c r="G1252" s="1" t="str">
        <f aca="false">IF($A1252="","",物件マスタ!Q1252)</f>
        <v/>
      </c>
      <c r="H1252" s="1" t="n">
        <f aca="false">IF($A1252="","",物件マスタ!L1252)</f>
        <v>0</v>
      </c>
      <c r="I1252" s="1" t="n">
        <f aca="false">IF($A1252="","",物件マスタ!M1252)</f>
        <v>5944</v>
      </c>
      <c r="J1252" s="1" t="n">
        <f aca="false">IF($A1252="","",物件マスタ!S1252)</f>
        <v>3657</v>
      </c>
      <c r="K1252" s="1" t="n">
        <f aca="false">IF($A1252="","",物件マスタ!U1252)</f>
        <v>5350</v>
      </c>
      <c r="L1252" s="1" t="n">
        <f aca="false">IF($A1252="","",物件マスタ!W1252)</f>
        <v>0.798</v>
      </c>
      <c r="M1252" s="1" t="str">
        <f aca="false">IF($A1252="","",IFERROR(INDEX(法人マスタ!$H:$H,MATCH($B1252,法人マスタ!$A:$A,0)),""))</f>
        <v>2026年3月期（第49期）</v>
      </c>
      <c r="N1252" s="1" t="n">
        <f aca="false">IF($A1252="","",SUMIFS(物件収支!$D:$D,物件収支!$A:$A,$A1252,物件収支!$C:$C,$M1252))</f>
        <v>6</v>
      </c>
      <c r="O1252" s="1" t="n">
        <f aca="false">IF($A1252="","",SUMIFS(物件収支!$F:$F,物件収支!$A:$A,$A1252,物件収支!$C:$C,$M1252))</f>
        <v>163000</v>
      </c>
      <c r="P1252" s="1" t="n">
        <f aca="false">IF($A1252="","",SUMIFS(物件収支!$I:$I,物件収支!$A:$A,$A1252,物件収支!$C:$C,$M1252))</f>
        <v>84000</v>
      </c>
      <c r="Q1252" s="1" t="n">
        <f aca="false">IF($A1252="","",SUMIFS(物件収支!$O:$O,物件収支!$A:$A,$A1252,物件収支!$C:$C,$M1252))</f>
        <v>18000</v>
      </c>
      <c r="R1252" s="1" t="n">
        <f aca="false">IF($A1252="","",IF(P1252=0,"",O1252-P1252))</f>
        <v>79000</v>
      </c>
      <c r="S1252" s="1" t="n">
        <f aca="false">IF($A1252="","",IF(R1252="","",R1252+Q1252))</f>
        <v>97000</v>
      </c>
      <c r="T1252" s="1" t="n">
        <f aca="false">IF($A1252="","",IF(OR(S1252="",N1252&lt;=0),"",S1252/1000*12/N1252))</f>
        <v>194</v>
      </c>
      <c r="U1252" s="1" t="n">
        <f aca="false">IF($A1252="","",IF(OR(T1252="",J1252=0,J1252=""),"",T1252/J1252))</f>
        <v>0.053048947224501</v>
      </c>
      <c r="V1252" s="1" t="n">
        <f aca="false">IF($A1252="","",IF(OR(R1252="",N1252&lt;=0,J1252=0,J1252=""),"",(R1252/1000*12/N1252)/J1252))</f>
        <v>0.0432048126879956</v>
      </c>
      <c r="W1252" s="1" t="n">
        <f aca="false">IF($A1252="","",IF(OR(T1252="",K1252=0,K1252=""),"",T1252/K1252))</f>
        <v>0.0362616822429907</v>
      </c>
      <c r="X1252" s="1" t="n">
        <f aca="false">IF($A1252="","",IF(OR(N1252&lt;=0,I1252=0,I1252="",O1252=0),"",O1252*1000/(I1252*0.3025)/N1252))</f>
        <v>15108.8766040436</v>
      </c>
      <c r="Y1252" s="1" t="n">
        <f aca="false">IF($A1252="","",IF(OR(O1252=0,O1252="",P1252=0),"",P1252/O1252))</f>
        <v>0.515337423312884</v>
      </c>
      <c r="Z1252" s="1" t="str">
        <f aca="false">IF($A1252="","",IFERROR(INDEX(物件収支!$E:$E,MATCH($A1252,物件収支!$A:$A,0)),""))</f>
        <v>開示（物件別・費用内訳含む・百万円単位）</v>
      </c>
    </row>
    <row r="1253" customFormat="false" ht="16.5" hidden="false" customHeight="true" outlineLevel="0" collapsed="false">
      <c r="A1253" s="1" t="str">
        <f aca="false">IF(物件マスタ!A1253="","",物件マスタ!A1253)</f>
        <v>JRE-ALL</v>
      </c>
      <c r="B1253" s="1" t="str">
        <f aca="false">IF($A1253="","",物件マスタ!B1253)</f>
        <v>JRE</v>
      </c>
      <c r="C1253" s="1" t="str">
        <f aca="false">IF($A1253="","",IFERROR(INDEX(法人マスタ!$C:$C,MATCH($B1253,法人マスタ!$A:$A,0)),""))</f>
        <v>ジャパンリアルエステイト投資法人</v>
      </c>
      <c r="D1253" s="1" t="str">
        <f aca="false">IF($A1253="","",物件マスタ!C1253)</f>
        <v>（JRE全79物件一括）</v>
      </c>
      <c r="E1253" s="1" t="str">
        <f aca="false">IF($A1253="","",物件マスタ!H1253)</f>
        <v>（法人一括）</v>
      </c>
      <c r="F1253" s="1" t="n">
        <f aca="false">IF($A1253="","",物件マスタ!P1253)</f>
        <v>0</v>
      </c>
      <c r="G1253" s="1" t="str">
        <f aca="false">IF($A1253="","",物件マスタ!Q1253)</f>
        <v/>
      </c>
      <c r="H1253" s="1" t="n">
        <f aca="false">IF($A1253="","",物件マスタ!L1253)</f>
        <v>0</v>
      </c>
      <c r="I1253" s="1" t="n">
        <f aca="false">IF($A1253="","",物件マスタ!M1253)</f>
        <v>0</v>
      </c>
      <c r="J1253" s="1" t="n">
        <f aca="false">IF($A1253="","",物件マスタ!S1253)</f>
        <v>1197029</v>
      </c>
      <c r="K1253" s="1" t="n">
        <f aca="false">IF($A1253="","",物件マスタ!U1253)</f>
        <v>1447290</v>
      </c>
      <c r="L1253" s="1" t="n">
        <f aca="false">IF($A1253="","",物件マスタ!W1253)</f>
        <v>0.989</v>
      </c>
      <c r="M1253" s="1" t="str">
        <f aca="false">IF($A1253="","",IFERROR(INDEX(法人マスタ!$H:$H,MATCH($B1253,法人マスタ!$A:$A,0)),""))</f>
        <v>2026年3月期（第49期）</v>
      </c>
      <c r="N1253" s="1" t="n">
        <f aca="false">IF($A1253="","",SUMIFS(物件収支!$D:$D,物件収支!$A:$A,$A1253,物件収支!$C:$C,$M1253))</f>
        <v>6</v>
      </c>
      <c r="O1253" s="1" t="n">
        <f aca="false">IF($A1253="","",SUMIFS(物件収支!$F:$F,物件収支!$A:$A,$A1253,物件収支!$C:$C,$M1253))</f>
        <v>36817129</v>
      </c>
      <c r="P1253" s="1" t="n">
        <f aca="false">IF($A1253="","",SUMIFS(物件収支!$I:$I,物件収支!$A:$A,$A1253,物件収支!$C:$C,$M1253))</f>
        <v>19317966</v>
      </c>
      <c r="Q1253" s="1" t="n">
        <f aca="false">IF($A1253="","",SUMIFS(物件収支!$O:$O,物件収支!$A:$A,$A1253,物件収支!$C:$C,$M1253))</f>
        <v>6309528</v>
      </c>
      <c r="R1253" s="1" t="n">
        <f aca="false">IF($A1253="","",IF(P1253=0,"",O1253-P1253))</f>
        <v>17499163</v>
      </c>
      <c r="S1253" s="1" t="n">
        <f aca="false">IF($A1253="","",IF(R1253="","",R1253+Q1253))</f>
        <v>23808691</v>
      </c>
      <c r="T1253" s="1" t="n">
        <f aca="false">IF($A1253="","",IF(OR(S1253="",N1253&lt;=0),"",S1253/1000*12/N1253))</f>
        <v>47617.382</v>
      </c>
      <c r="U1253" s="1" t="n">
        <f aca="false">IF($A1253="","",IF(OR(T1253="",J1253=0,J1253=""),"",T1253/J1253))</f>
        <v>0.0397796394239404</v>
      </c>
      <c r="V1253" s="1" t="n">
        <f aca="false">IF($A1253="","",IF(OR(R1253="",N1253&lt;=0,J1253=0,J1253=""),"",(R1253/1000*12/N1253)/J1253))</f>
        <v>0.0292376592379967</v>
      </c>
      <c r="W1253" s="1" t="n">
        <f aca="false">IF($A1253="","",IF(OR(T1253="",K1253=0,K1253=""),"",T1253/K1253))</f>
        <v>0.0329010647485991</v>
      </c>
      <c r="X1253" s="1" t="str">
        <f aca="false">IF($A1253="","",IF(OR(N1253&lt;=0,I1253=0,I1253="",O1253=0),"",O1253*1000/(I1253*0.3025)/N1253))</f>
        <v/>
      </c>
      <c r="Y1253" s="1" t="n">
        <f aca="false">IF($A1253="","",IF(OR(O1253=0,O1253="",P1253=0),"",P1253/O1253))</f>
        <v>0.524700500139487</v>
      </c>
      <c r="Z1253" s="1" t="str">
        <f aca="false">IF($A1253="","",IFERROR(INDEX(物件収支!$E:$E,MATCH($A1253,物件収支!$A:$A,0)),""))</f>
        <v>開示（法人一括・費用内訳含む）</v>
      </c>
    </row>
    <row r="1254" customFormat="false" ht="15" hidden="false" customHeight="true" outlineLevel="0" collapsed="false">
      <c r="A1254" s="1" t="str">
        <f aca="false">IF(物件マスタ!A1254="","",物件マスタ!A1254)</f>
        <v>MTR-001</v>
      </c>
      <c r="B1254" s="1" t="str">
        <f aca="false">IF($A1254="","",物件マスタ!B1254)</f>
        <v>MTR</v>
      </c>
      <c r="C1254" s="1" t="str">
        <f aca="false">IF($A1254="","",IFERROR(INDEX(法人マスタ!$C:$C,MATCH($B1254,法人マスタ!$A:$A,0)),""))</f>
        <v>森トラストリート投資法人</v>
      </c>
      <c r="D1254" s="1" t="str">
        <f aca="false">IF($A1254="","",物件マスタ!C1254)</f>
        <v>東京汐留ビルディング</v>
      </c>
      <c r="E1254" s="1" t="str">
        <f aca="false">IF($A1254="","",物件マスタ!H1254)</f>
        <v>都心5区</v>
      </c>
      <c r="F1254" s="53" t="n">
        <f aca="false">IF($A1254="","",物件マスタ!P1254)</f>
        <v>38353</v>
      </c>
      <c r="G1254" s="1" t="n">
        <f aca="false">IF($A1254="","",物件マスタ!Q1254)</f>
        <v>21.6</v>
      </c>
      <c r="H1254" s="1" t="n">
        <f aca="false">IF($A1254="","",物件マスタ!L1254)</f>
        <v>0</v>
      </c>
      <c r="I1254" s="1" t="n">
        <f aca="false">IF($A1254="","",物件マスタ!M1254)</f>
        <v>71806.84</v>
      </c>
      <c r="J1254" s="1" t="n">
        <f aca="false">IF($A1254="","",物件マスタ!S1254)</f>
        <v>82539</v>
      </c>
      <c r="K1254" s="1" t="n">
        <f aca="false">IF($A1254="","",物件マスタ!U1254)</f>
        <v>82300</v>
      </c>
      <c r="L1254" s="1" t="n">
        <f aca="false">IF($A1254="","",物件マスタ!W1254)</f>
        <v>1</v>
      </c>
      <c r="M1254" s="1" t="str">
        <f aca="false">IF($A1254="","",IFERROR(INDEX(法人マスタ!$H:$H,MATCH($B1254,法人マスタ!$A:$A,0)),""))</f>
        <v>2026年2月期（第48期）</v>
      </c>
      <c r="N1254" s="1" t="n">
        <f aca="false">IF($A1254="","",SUMIFS(物件収支!$D:$D,物件収支!$A:$A,$A1254,物件収支!$C:$C,$M1254))</f>
        <v>6</v>
      </c>
      <c r="O1254" s="1" t="n">
        <f aca="false">IF($A1254="","",SUMIFS(物件収支!$F:$F,物件収支!$A:$A,$A1254,物件収支!$C:$C,$M1254))</f>
        <v>1739703</v>
      </c>
      <c r="P1254" s="1" t="n">
        <f aca="false">IF($A1254="","",SUMIFS(物件収支!$I:$I,物件収支!$A:$A,$A1254,物件収支!$C:$C,$M1254))</f>
        <v>698351</v>
      </c>
      <c r="Q1254" s="1" t="n">
        <f aca="false">IF($A1254="","",SUMIFS(物件収支!$O:$O,物件収支!$A:$A,$A1254,物件収支!$C:$C,$M1254))</f>
        <v>72682</v>
      </c>
      <c r="R1254" s="1" t="n">
        <f aca="false">IF($A1254="","",IF(P1254=0,"",O1254-P1254))</f>
        <v>1041352</v>
      </c>
      <c r="S1254" s="1" t="n">
        <f aca="false">IF($A1254="","",IF(R1254="","",R1254+Q1254))</f>
        <v>1114034</v>
      </c>
      <c r="T1254" s="1" t="n">
        <f aca="false">IF($A1254="","",IF(OR(S1254="",N1254&lt;=0),"",S1254/1000*12/N1254))</f>
        <v>2228.068</v>
      </c>
      <c r="U1254" s="1" t="n">
        <f aca="false">IF($A1254="","",IF(OR(T1254="",J1254=0,J1254=""),"",T1254/J1254))</f>
        <v>0.0269941239898715</v>
      </c>
      <c r="V1254" s="1" t="n">
        <f aca="false">IF($A1254="","",IF(OR(R1254="",N1254&lt;=0,J1254=0,J1254=""),"",(R1254/1000*12/N1254)/J1254))</f>
        <v>0.0252329686572408</v>
      </c>
      <c r="W1254" s="1" t="n">
        <f aca="false">IF($A1254="","",IF(OR(T1254="",K1254=0,K1254=""),"",T1254/K1254))</f>
        <v>0.0270725151883354</v>
      </c>
      <c r="X1254" s="1" t="n">
        <f aca="false">IF($A1254="","",IF(OR(N1254&lt;=0,I1254=0,I1254="",O1254=0),"",O1254*1000/(I1254*0.3025)/N1254))</f>
        <v>13348.5062089736</v>
      </c>
      <c r="Y1254" s="1" t="n">
        <f aca="false">IF($A1254="","",IF(OR(O1254=0,O1254="",P1254=0),"",P1254/O1254))</f>
        <v>0.401419667609931</v>
      </c>
      <c r="Z1254" s="1" t="str">
        <f aca="false">IF($A1254="","",IFERROR(INDEX(物件収支!$E:$E,MATCH($A1254,物件収支!$A:$A,0)),""))</f>
        <v>開示（物件別・費用内訳含む）</v>
      </c>
    </row>
    <row r="1255" customFormat="false" ht="15" hidden="false" customHeight="true" outlineLevel="0" collapsed="false">
      <c r="A1255" s="1" t="str">
        <f aca="false">IF(物件マスタ!A1255="","",物件マスタ!A1255)</f>
        <v>MTR-002</v>
      </c>
      <c r="B1255" s="1" t="str">
        <f aca="false">IF($A1255="","",物件マスタ!B1255)</f>
        <v>MTR</v>
      </c>
      <c r="C1255" s="1" t="str">
        <f aca="false">IF($A1255="","",IFERROR(INDEX(法人マスタ!$C:$C,MATCH($B1255,法人マスタ!$A:$A,0)),""))</f>
        <v>森トラストリート投資法人</v>
      </c>
      <c r="D1255" s="1" t="str">
        <f aca="false">IF($A1255="","",物件マスタ!C1255)</f>
        <v>神谷町トラストタワー</v>
      </c>
      <c r="E1255" s="1" t="str">
        <f aca="false">IF($A1255="","",物件マスタ!H1255)</f>
        <v>都心5区</v>
      </c>
      <c r="F1255" s="53" t="n">
        <f aca="false">IF($A1255="","",物件マスタ!P1255)</f>
        <v>43891</v>
      </c>
      <c r="G1255" s="1" t="n">
        <f aca="false">IF($A1255="","",物件マスタ!Q1255)</f>
        <v>6.4</v>
      </c>
      <c r="H1255" s="1" t="n">
        <f aca="false">IF($A1255="","",物件マスタ!L1255)</f>
        <v>0</v>
      </c>
      <c r="I1255" s="1" t="n">
        <f aca="false">IF($A1255="","",物件マスタ!M1255)</f>
        <v>13479.44</v>
      </c>
      <c r="J1255" s="1" t="n">
        <f aca="false">IF($A1255="","",物件マスタ!S1255)</f>
        <v>51660</v>
      </c>
      <c r="K1255" s="1" t="n">
        <f aca="false">IF($A1255="","",物件マスタ!U1255)</f>
        <v>56900</v>
      </c>
      <c r="L1255" s="1" t="n">
        <f aca="false">IF($A1255="","",物件マスタ!W1255)</f>
        <v>1</v>
      </c>
      <c r="M1255" s="1" t="str">
        <f aca="false">IF($A1255="","",IFERROR(INDEX(法人マスタ!$H:$H,MATCH($B1255,法人マスタ!$A:$A,0)),""))</f>
        <v>2026年2月期（第48期）</v>
      </c>
      <c r="N1255" s="1" t="n">
        <f aca="false">IF($A1255="","",SUMIFS(物件収支!$D:$D,物件収支!$A:$A,$A1255,物件収支!$C:$C,$M1255))</f>
        <v>6</v>
      </c>
      <c r="O1255" s="1" t="n">
        <f aca="false">IF($A1255="","",SUMIFS(物件収支!$F:$F,物件収支!$A:$A,$A1255,物件収支!$C:$C,$M1255))</f>
        <v>905345</v>
      </c>
      <c r="P1255" s="1" t="n">
        <f aca="false">IF($A1255="","",SUMIFS(物件収支!$I:$I,物件収支!$A:$A,$A1255,物件収支!$C:$C,$M1255))</f>
        <v>318681</v>
      </c>
      <c r="Q1255" s="1" t="n">
        <f aca="false">IF($A1255="","",SUMIFS(物件収支!$O:$O,物件収支!$A:$A,$A1255,物件収支!$C:$C,$M1255))</f>
        <v>156235</v>
      </c>
      <c r="R1255" s="1" t="n">
        <f aca="false">IF($A1255="","",IF(P1255=0,"",O1255-P1255))</f>
        <v>586664</v>
      </c>
      <c r="S1255" s="1" t="n">
        <f aca="false">IF($A1255="","",IF(R1255="","",R1255+Q1255))</f>
        <v>742899</v>
      </c>
      <c r="T1255" s="1" t="n">
        <f aca="false">IF($A1255="","",IF(OR(S1255="",N1255&lt;=0),"",S1255/1000*12/N1255))</f>
        <v>1485.798</v>
      </c>
      <c r="U1255" s="1" t="n">
        <f aca="false">IF($A1255="","",IF(OR(T1255="",J1255=0,J1255=""),"",T1255/J1255))</f>
        <v>0.0287610917537747</v>
      </c>
      <c r="V1255" s="1" t="n">
        <f aca="false">IF($A1255="","",IF(OR(R1255="",N1255&lt;=0,J1255=0,J1255=""),"",(R1255/1000*12/N1255)/J1255))</f>
        <v>0.0227125048393341</v>
      </c>
      <c r="W1255" s="1" t="n">
        <f aca="false">IF($A1255="","",IF(OR(T1255="",K1255=0,K1255=""),"",T1255/K1255))</f>
        <v>0.0261124428822496</v>
      </c>
      <c r="X1255" s="1" t="n">
        <f aca="false">IF($A1255="","",IF(OR(N1255&lt;=0,I1255=0,I1255="",O1255=0),"",O1255*1000/(I1255*0.3025)/N1255))</f>
        <v>37005.4447496564</v>
      </c>
      <c r="Y1255" s="1" t="n">
        <f aca="false">IF($A1255="","",IF(OR(O1255=0,O1255="",P1255=0),"",P1255/O1255))</f>
        <v>0.351999513997426</v>
      </c>
      <c r="Z1255" s="1" t="str">
        <f aca="false">IF($A1255="","",IFERROR(INDEX(物件収支!$E:$E,MATCH($A1255,物件収支!$A:$A,0)),""))</f>
        <v>開示（物件別・費用内訳含む）</v>
      </c>
    </row>
    <row r="1256" customFormat="false" ht="15" hidden="false" customHeight="true" outlineLevel="0" collapsed="false">
      <c r="A1256" s="1" t="str">
        <f aca="false">IF(物件マスタ!A1256="","",物件マスタ!A1256)</f>
        <v>MTR-003</v>
      </c>
      <c r="B1256" s="1" t="str">
        <f aca="false">IF($A1256="","",物件マスタ!B1256)</f>
        <v>MTR</v>
      </c>
      <c r="C1256" s="1" t="str">
        <f aca="false">IF($A1256="","",IFERROR(INDEX(法人マスタ!$C:$C,MATCH($B1256,法人マスタ!$A:$A,0)),""))</f>
        <v>森トラストリート投資法人</v>
      </c>
      <c r="D1256" s="1" t="str">
        <f aca="false">IF($A1256="","",物件マスタ!C1256)</f>
        <v>ONビル</v>
      </c>
      <c r="E1256" s="1" t="str">
        <f aca="false">IF($A1256="","",物件マスタ!H1256)</f>
        <v>その他東京23区</v>
      </c>
      <c r="F1256" s="53" t="n">
        <f aca="false">IF($A1256="","",物件マスタ!P1256)</f>
        <v>33178</v>
      </c>
      <c r="G1256" s="1" t="n">
        <f aca="false">IF($A1256="","",物件マスタ!Q1256)</f>
        <v>35.8</v>
      </c>
      <c r="H1256" s="1" t="n">
        <f aca="false">IF($A1256="","",物件マスタ!L1256)</f>
        <v>0</v>
      </c>
      <c r="I1256" s="1" t="n">
        <f aca="false">IF($A1256="","",物件マスタ!M1256)</f>
        <v>20654.6</v>
      </c>
      <c r="J1256" s="1" t="n">
        <f aca="false">IF($A1256="","",物件マスタ!S1256)</f>
        <v>39900</v>
      </c>
      <c r="K1256" s="1" t="n">
        <f aca="false">IF($A1256="","",物件マスタ!U1256)</f>
        <v>35500</v>
      </c>
      <c r="L1256" s="1" t="n">
        <f aca="false">IF($A1256="","",物件マスタ!W1256)</f>
        <v>1</v>
      </c>
      <c r="M1256" s="1" t="str">
        <f aca="false">IF($A1256="","",IFERROR(INDEX(法人マスタ!$H:$H,MATCH($B1256,法人マスタ!$A:$A,0)),""))</f>
        <v>2026年2月期（第48期）</v>
      </c>
      <c r="N1256" s="1" t="n">
        <f aca="false">IF($A1256="","",SUMIFS(物件収支!$D:$D,物件収支!$A:$A,$A1256,物件収支!$C:$C,$M1256))</f>
        <v>6</v>
      </c>
      <c r="O1256" s="1" t="n">
        <f aca="false">IF($A1256="","",SUMIFS(物件収支!$F:$F,物件収支!$A:$A,$A1256,物件収支!$C:$C,$M1256))</f>
        <v>0</v>
      </c>
      <c r="P1256" s="1" t="n">
        <f aca="false">IF($A1256="","",SUMIFS(物件収支!$I:$I,物件収支!$A:$A,$A1256,物件収支!$C:$C,$M1256))</f>
        <v>0</v>
      </c>
      <c r="Q1256" s="1" t="n">
        <f aca="false">IF($A1256="","",SUMIFS(物件収支!$O:$O,物件収支!$A:$A,$A1256,物件収支!$C:$C,$M1256))</f>
        <v>0</v>
      </c>
      <c r="R1256" s="1" t="str">
        <f aca="false">IF($A1256="","",IF(P1256=0,"",O1256-P1256))</f>
        <v/>
      </c>
      <c r="S1256" s="1" t="str">
        <f aca="false">IF($A1256="","",IF(R1256="","",R1256+Q1256))</f>
        <v/>
      </c>
      <c r="T1256" s="1" t="str">
        <f aca="false">IF($A1256="","",IF(OR(S1256="",N1256&lt;=0),"",S1256/1000*12/N1256))</f>
        <v/>
      </c>
      <c r="U1256" s="1" t="str">
        <f aca="false">IF($A1256="","",IF(OR(T1256="",J1256=0,J1256=""),"",T1256/J1256))</f>
        <v/>
      </c>
      <c r="V1256" s="1" t="str">
        <f aca="false">IF($A1256="","",IF(OR(R1256="",N1256&lt;=0,J1256=0,J1256=""),"",(R1256/1000*12/N1256)/J1256))</f>
        <v/>
      </c>
      <c r="W1256" s="1" t="str">
        <f aca="false">IF($A1256="","",IF(OR(T1256="",K1256=0,K1256=""),"",T1256/K1256))</f>
        <v/>
      </c>
      <c r="X1256" s="1" t="str">
        <f aca="false">IF($A1256="","",IF(OR(N1256&lt;=0,I1256=0,I1256="",O1256=0),"",O1256*1000/(I1256*0.3025)/N1256))</f>
        <v/>
      </c>
      <c r="Y1256" s="1" t="str">
        <f aca="false">IF($A1256="","",IF(OR(O1256=0,O1256="",P1256=0),"",P1256/O1256))</f>
        <v/>
      </c>
      <c r="Z1256" s="1" t="str">
        <f aca="false">IF($A1256="","",IFERROR(INDEX(物件収支!$E:$E,MATCH($A1256,物件収支!$A:$A,0)),""))</f>
        <v>非開示（NOI・損益のみ開示）</v>
      </c>
    </row>
    <row r="1257" customFormat="false" ht="15" hidden="false" customHeight="true" outlineLevel="0" collapsed="false">
      <c r="A1257" s="1" t="str">
        <f aca="false">IF(物件マスタ!A1257="","",物件マスタ!A1257)</f>
        <v>MTR-004</v>
      </c>
      <c r="B1257" s="1" t="str">
        <f aca="false">IF($A1257="","",物件マスタ!B1257)</f>
        <v>MTR</v>
      </c>
      <c r="C1257" s="1" t="str">
        <f aca="false">IF($A1257="","",IFERROR(INDEX(法人マスタ!$C:$C,MATCH($B1257,法人マスタ!$A:$A,0)),""))</f>
        <v>森トラストリート投資法人</v>
      </c>
      <c r="D1257" s="1" t="str">
        <f aca="false">IF($A1257="","",物件マスタ!C1257)</f>
        <v>紀尾井町ビル</v>
      </c>
      <c r="E1257" s="1" t="str">
        <f aca="false">IF($A1257="","",物件マスタ!H1257)</f>
        <v>都心5区</v>
      </c>
      <c r="F1257" s="53" t="n">
        <f aca="false">IF($A1257="","",物件マスタ!P1257)</f>
        <v>32813</v>
      </c>
      <c r="G1257" s="1" t="n">
        <f aca="false">IF($A1257="","",物件マスタ!Q1257)</f>
        <v>36.8</v>
      </c>
      <c r="H1257" s="1" t="n">
        <f aca="false">IF($A1257="","",物件マスタ!L1257)</f>
        <v>0</v>
      </c>
      <c r="I1257" s="1" t="n">
        <f aca="false">IF($A1257="","",物件マスタ!M1257)</f>
        <v>24748.47</v>
      </c>
      <c r="J1257" s="1" t="n">
        <f aca="false">IF($A1257="","",物件マスタ!S1257)</f>
        <v>34300</v>
      </c>
      <c r="K1257" s="1" t="n">
        <f aca="false">IF($A1257="","",物件マスタ!U1257)</f>
        <v>39000</v>
      </c>
      <c r="L1257" s="1" t="n">
        <f aca="false">IF($A1257="","",物件マスタ!W1257)</f>
        <v>0.9875</v>
      </c>
      <c r="M1257" s="1" t="str">
        <f aca="false">IF($A1257="","",IFERROR(INDEX(法人マスタ!$H:$H,MATCH($B1257,法人マスタ!$A:$A,0)),""))</f>
        <v>2026年2月期（第48期）</v>
      </c>
      <c r="N1257" s="1" t="n">
        <f aca="false">IF($A1257="","",SUMIFS(物件収支!$D:$D,物件収支!$A:$A,$A1257,物件収支!$C:$C,$M1257))</f>
        <v>6</v>
      </c>
      <c r="O1257" s="1" t="n">
        <f aca="false">IF($A1257="","",SUMIFS(物件収支!$F:$F,物件収支!$A:$A,$A1257,物件収支!$C:$C,$M1257))</f>
        <v>1060985</v>
      </c>
      <c r="P1257" s="1" t="n">
        <f aca="false">IF($A1257="","",SUMIFS(物件収支!$I:$I,物件収支!$A:$A,$A1257,物件収支!$C:$C,$M1257))</f>
        <v>474498</v>
      </c>
      <c r="Q1257" s="1" t="n">
        <f aca="false">IF($A1257="","",SUMIFS(物件収支!$O:$O,物件収支!$A:$A,$A1257,物件収支!$C:$C,$M1257))</f>
        <v>65473</v>
      </c>
      <c r="R1257" s="1" t="n">
        <f aca="false">IF($A1257="","",IF(P1257=0,"",O1257-P1257))</f>
        <v>586487</v>
      </c>
      <c r="S1257" s="1" t="n">
        <f aca="false">IF($A1257="","",IF(R1257="","",R1257+Q1257))</f>
        <v>651960</v>
      </c>
      <c r="T1257" s="1" t="n">
        <f aca="false">IF($A1257="","",IF(OR(S1257="",N1257&lt;=0),"",S1257/1000*12/N1257))</f>
        <v>1303.92</v>
      </c>
      <c r="U1257" s="1" t="n">
        <f aca="false">IF($A1257="","",IF(OR(T1257="",J1257=0,J1257=""),"",T1257/J1257))</f>
        <v>0.0380151603498542</v>
      </c>
      <c r="V1257" s="1" t="n">
        <f aca="false">IF($A1257="","",IF(OR(R1257="",N1257&lt;=0,J1257=0,J1257=""),"",(R1257/1000*12/N1257)/J1257))</f>
        <v>0.0341974927113703</v>
      </c>
      <c r="W1257" s="1" t="n">
        <f aca="false">IF($A1257="","",IF(OR(T1257="",K1257=0,K1257=""),"",T1257/K1257))</f>
        <v>0.0334338461538462</v>
      </c>
      <c r="X1257" s="1" t="n">
        <f aca="false">IF($A1257="","",IF(OR(N1257&lt;=0,I1257=0,I1257="",O1257=0),"",O1257*1000/(I1257*0.3025)/N1257))</f>
        <v>23620.2374648619</v>
      </c>
      <c r="Y1257" s="1" t="n">
        <f aca="false">IF($A1257="","",IF(OR(O1257=0,O1257="",P1257=0),"",P1257/O1257))</f>
        <v>0.447224041810205</v>
      </c>
      <c r="Z1257" s="1" t="str">
        <f aca="false">IF($A1257="","",IFERROR(INDEX(物件収支!$E:$E,MATCH($A1257,物件収支!$A:$A,0)),""))</f>
        <v>開示（物件別・費用内訳含む）</v>
      </c>
    </row>
    <row r="1258" customFormat="false" ht="15" hidden="false" customHeight="true" outlineLevel="0" collapsed="false">
      <c r="A1258" s="1" t="str">
        <f aca="false">IF(物件マスタ!A1258="","",物件マスタ!A1258)</f>
        <v>MTR-005</v>
      </c>
      <c r="B1258" s="1" t="str">
        <f aca="false">IF($A1258="","",物件マスタ!B1258)</f>
        <v>MTR</v>
      </c>
      <c r="C1258" s="1" t="str">
        <f aca="false">IF($A1258="","",IFERROR(INDEX(法人マスタ!$C:$C,MATCH($B1258,法人マスタ!$A:$A,0)),""))</f>
        <v>森トラストリート投資法人</v>
      </c>
      <c r="D1258" s="1" t="str">
        <f aca="false">IF($A1258="","",物件マスタ!C1258)</f>
        <v>大崎MTビル</v>
      </c>
      <c r="E1258" s="1" t="str">
        <f aca="false">IF($A1258="","",物件マスタ!H1258)</f>
        <v>その他東京23区</v>
      </c>
      <c r="F1258" s="53" t="n">
        <f aca="false">IF($A1258="","",物件マスタ!P1258)</f>
        <v>34516</v>
      </c>
      <c r="G1258" s="1" t="n">
        <f aca="false">IF($A1258="","",物件マスタ!Q1258)</f>
        <v>32.1</v>
      </c>
      <c r="H1258" s="1" t="n">
        <f aca="false">IF($A1258="","",物件マスタ!L1258)</f>
        <v>0</v>
      </c>
      <c r="I1258" s="1" t="n">
        <f aca="false">IF($A1258="","",物件マスタ!M1258)</f>
        <v>24495.21</v>
      </c>
      <c r="J1258" s="1" t="n">
        <f aca="false">IF($A1258="","",物件マスタ!S1258)</f>
        <v>14386</v>
      </c>
      <c r="K1258" s="1" t="n">
        <f aca="false">IF($A1258="","",物件マスタ!U1258)</f>
        <v>16800</v>
      </c>
      <c r="L1258" s="1" t="n">
        <f aca="false">IF($A1258="","",物件マスタ!W1258)</f>
        <v>1</v>
      </c>
      <c r="M1258" s="1" t="str">
        <f aca="false">IF($A1258="","",IFERROR(INDEX(法人マスタ!$H:$H,MATCH($B1258,法人マスタ!$A:$A,0)),""))</f>
        <v>2026年2月期（第48期）</v>
      </c>
      <c r="N1258" s="1" t="n">
        <f aca="false">IF($A1258="","",SUMIFS(物件収支!$D:$D,物件収支!$A:$A,$A1258,物件収支!$C:$C,$M1258))</f>
        <v>6</v>
      </c>
      <c r="O1258" s="1" t="n">
        <f aca="false">IF($A1258="","",SUMIFS(物件収支!$F:$F,物件収支!$A:$A,$A1258,物件収支!$C:$C,$M1258))</f>
        <v>338219</v>
      </c>
      <c r="P1258" s="1" t="n">
        <f aca="false">IF($A1258="","",SUMIFS(物件収支!$I:$I,物件収支!$A:$A,$A1258,物件収支!$C:$C,$M1258))</f>
        <v>84860</v>
      </c>
      <c r="Q1258" s="1" t="n">
        <f aca="false">IF($A1258="","",SUMIFS(物件収支!$O:$O,物件収支!$A:$A,$A1258,物件収支!$C:$C,$M1258))</f>
        <v>39038</v>
      </c>
      <c r="R1258" s="1" t="n">
        <f aca="false">IF($A1258="","",IF(P1258=0,"",O1258-P1258))</f>
        <v>253359</v>
      </c>
      <c r="S1258" s="1" t="n">
        <f aca="false">IF($A1258="","",IF(R1258="","",R1258+Q1258))</f>
        <v>292397</v>
      </c>
      <c r="T1258" s="1" t="n">
        <f aca="false">IF($A1258="","",IF(OR(S1258="",N1258&lt;=0),"",S1258/1000*12/N1258))</f>
        <v>584.794</v>
      </c>
      <c r="U1258" s="1" t="n">
        <f aca="false">IF($A1258="","",IF(OR(T1258="",J1258=0,J1258=""),"",T1258/J1258))</f>
        <v>0.0406502154872793</v>
      </c>
      <c r="V1258" s="1" t="n">
        <f aca="false">IF($A1258="","",IF(OR(R1258="",N1258&lt;=0,J1258=0,J1258=""),"",(R1258/1000*12/N1258)/J1258))</f>
        <v>0.035222994578062</v>
      </c>
      <c r="W1258" s="1" t="n">
        <f aca="false">IF($A1258="","",IF(OR(T1258="",K1258=0,K1258=""),"",T1258/K1258))</f>
        <v>0.0348091666666667</v>
      </c>
      <c r="X1258" s="1" t="n">
        <f aca="false">IF($A1258="","",IF(OR(N1258&lt;=0,I1258=0,I1258="",O1258=0),"",O1258*1000/(I1258*0.3025)/N1258))</f>
        <v>7607.46923475362</v>
      </c>
      <c r="Y1258" s="1" t="n">
        <f aca="false">IF($A1258="","",IF(OR(O1258=0,O1258="",P1258=0),"",P1258/O1258))</f>
        <v>0.250902521738873</v>
      </c>
      <c r="Z1258" s="1" t="str">
        <f aca="false">IF($A1258="","",IFERROR(INDEX(物件収支!$E:$E,MATCH($A1258,物件収支!$A:$A,0)),""))</f>
        <v>開示（物件別・費用内訳含む）</v>
      </c>
    </row>
    <row r="1259" customFormat="false" ht="15" hidden="false" customHeight="true" outlineLevel="0" collapsed="false">
      <c r="A1259" s="1" t="str">
        <f aca="false">IF(物件マスタ!A1259="","",物件マスタ!A1259)</f>
        <v>MTR-006</v>
      </c>
      <c r="B1259" s="1" t="str">
        <f aca="false">IF($A1259="","",物件マスタ!B1259)</f>
        <v>MTR</v>
      </c>
      <c r="C1259" s="1" t="str">
        <f aca="false">IF($A1259="","",IFERROR(INDEX(法人マスタ!$C:$C,MATCH($B1259,法人マスタ!$A:$A,0)),""))</f>
        <v>森トラストリート投資法人</v>
      </c>
      <c r="D1259" s="1" t="str">
        <f aca="false">IF($A1259="","",物件マスタ!C1259)</f>
        <v>広尾MTRビル</v>
      </c>
      <c r="E1259" s="1" t="str">
        <f aca="false">IF($A1259="","",物件マスタ!H1259)</f>
        <v>都心5区</v>
      </c>
      <c r="F1259" s="53" t="n">
        <f aca="false">IF($A1259="","",物件マスタ!P1259)</f>
        <v>33909</v>
      </c>
      <c r="G1259" s="1" t="n">
        <f aca="false">IF($A1259="","",物件マスタ!Q1259)</f>
        <v>33.8</v>
      </c>
      <c r="H1259" s="1" t="n">
        <f aca="false">IF($A1259="","",物件マスタ!L1259)</f>
        <v>0</v>
      </c>
      <c r="I1259" s="1" t="n">
        <f aca="false">IF($A1259="","",物件マスタ!M1259)</f>
        <v>4946.36</v>
      </c>
      <c r="J1259" s="1" t="n">
        <f aca="false">IF($A1259="","",物件マスタ!S1259)</f>
        <v>8100</v>
      </c>
      <c r="K1259" s="1" t="n">
        <f aca="false">IF($A1259="","",物件マスタ!U1259)</f>
        <v>8400</v>
      </c>
      <c r="L1259" s="1" t="n">
        <f aca="false">IF($A1259="","",物件マスタ!W1259)</f>
        <v>1</v>
      </c>
      <c r="M1259" s="1" t="str">
        <f aca="false">IF($A1259="","",IFERROR(INDEX(法人マスタ!$H:$H,MATCH($B1259,法人マスタ!$A:$A,0)),""))</f>
        <v>2026年2月期（第48期）</v>
      </c>
      <c r="N1259" s="1" t="n">
        <f aca="false">IF($A1259="","",SUMIFS(物件収支!$D:$D,物件収支!$A:$A,$A1259,物件収支!$C:$C,$M1259))</f>
        <v>6</v>
      </c>
      <c r="O1259" s="1" t="n">
        <f aca="false">IF($A1259="","",SUMIFS(物件収支!$F:$F,物件収支!$A:$A,$A1259,物件収支!$C:$C,$M1259))</f>
        <v>170065</v>
      </c>
      <c r="P1259" s="1" t="n">
        <f aca="false">IF($A1259="","",SUMIFS(物件収支!$I:$I,物件収支!$A:$A,$A1259,物件収支!$C:$C,$M1259))</f>
        <v>41432</v>
      </c>
      <c r="Q1259" s="1" t="n">
        <f aca="false">IF($A1259="","",SUMIFS(物件収支!$O:$O,物件収支!$A:$A,$A1259,物件収支!$C:$C,$M1259))</f>
        <v>13027</v>
      </c>
      <c r="R1259" s="1" t="n">
        <f aca="false">IF($A1259="","",IF(P1259=0,"",O1259-P1259))</f>
        <v>128633</v>
      </c>
      <c r="S1259" s="1" t="n">
        <f aca="false">IF($A1259="","",IF(R1259="","",R1259+Q1259))</f>
        <v>141660</v>
      </c>
      <c r="T1259" s="1" t="n">
        <f aca="false">IF($A1259="","",IF(OR(S1259="",N1259&lt;=0),"",S1259/1000*12/N1259))</f>
        <v>283.32</v>
      </c>
      <c r="U1259" s="1" t="n">
        <f aca="false">IF($A1259="","",IF(OR(T1259="",J1259=0,J1259=""),"",T1259/J1259))</f>
        <v>0.0349777777777778</v>
      </c>
      <c r="V1259" s="1" t="n">
        <f aca="false">IF($A1259="","",IF(OR(R1259="",N1259&lt;=0,J1259=0,J1259=""),"",(R1259/1000*12/N1259)/J1259))</f>
        <v>0.0317612345679012</v>
      </c>
      <c r="W1259" s="1" t="n">
        <f aca="false">IF($A1259="","",IF(OR(T1259="",K1259=0,K1259=""),"",T1259/K1259))</f>
        <v>0.0337285714285714</v>
      </c>
      <c r="X1259" s="1" t="n">
        <f aca="false">IF($A1259="","",IF(OR(N1259&lt;=0,I1259=0,I1259="",O1259=0),"",O1259*1000/(I1259*0.3025)/N1259))</f>
        <v>18943.167201317</v>
      </c>
      <c r="Y1259" s="1" t="n">
        <f aca="false">IF($A1259="","",IF(OR(O1259=0,O1259="",P1259=0),"",P1259/O1259))</f>
        <v>0.243624496516038</v>
      </c>
      <c r="Z1259" s="1" t="str">
        <f aca="false">IF($A1259="","",IFERROR(INDEX(物件収支!$E:$E,MATCH($A1259,物件収支!$A:$A,0)),""))</f>
        <v>開示（物件別・費用内訳含む）</v>
      </c>
    </row>
    <row r="1260" customFormat="false" ht="15" hidden="false" customHeight="true" outlineLevel="0" collapsed="false">
      <c r="A1260" s="1" t="str">
        <f aca="false">IF(物件マスタ!A1260="","",物件マスタ!A1260)</f>
        <v>MTR-007</v>
      </c>
      <c r="B1260" s="1" t="str">
        <f aca="false">IF($A1260="","",物件マスタ!B1260)</f>
        <v>MTR</v>
      </c>
      <c r="C1260" s="1" t="str">
        <f aca="false">IF($A1260="","",IFERROR(INDEX(法人マスタ!$C:$C,MATCH($B1260,法人マスタ!$A:$A,0)),""))</f>
        <v>森トラストリート投資法人</v>
      </c>
      <c r="D1260" s="1" t="str">
        <f aca="false">IF($A1260="","",物件マスタ!C1260)</f>
        <v>仙台MTビル</v>
      </c>
      <c r="E1260" s="1" t="str">
        <f aca="false">IF($A1260="","",物件マスタ!H1260)</f>
        <v>3大都市圏以外の政令市</v>
      </c>
      <c r="F1260" s="53" t="n">
        <f aca="false">IF($A1260="","",物件マスタ!P1260)</f>
        <v>36220</v>
      </c>
      <c r="G1260" s="1" t="n">
        <f aca="false">IF($A1260="","",物件マスタ!Q1260)</f>
        <v>27.4</v>
      </c>
      <c r="H1260" s="1" t="n">
        <f aca="false">IF($A1260="","",物件マスタ!L1260)</f>
        <v>0</v>
      </c>
      <c r="I1260" s="1" t="n">
        <f aca="false">IF($A1260="","",物件マスタ!M1260)</f>
        <v>42941.53</v>
      </c>
      <c r="J1260" s="1" t="n">
        <f aca="false">IF($A1260="","",物件マスタ!S1260)</f>
        <v>17360</v>
      </c>
      <c r="K1260" s="1" t="n">
        <f aca="false">IF($A1260="","",物件マスタ!U1260)</f>
        <v>17000</v>
      </c>
      <c r="L1260" s="1" t="n">
        <f aca="false">IF($A1260="","",物件マスタ!W1260)</f>
        <v>1</v>
      </c>
      <c r="M1260" s="1" t="str">
        <f aca="false">IF($A1260="","",IFERROR(INDEX(法人マスタ!$H:$H,MATCH($B1260,法人マスタ!$A:$A,0)),""))</f>
        <v>2026年2月期（第48期）</v>
      </c>
      <c r="N1260" s="1" t="n">
        <f aca="false">IF($A1260="","",SUMIFS(物件収支!$D:$D,物件収支!$A:$A,$A1260,物件収支!$C:$C,$M1260))</f>
        <v>6</v>
      </c>
      <c r="O1260" s="1" t="n">
        <f aca="false">IF($A1260="","",SUMIFS(物件収支!$F:$F,物件収支!$A:$A,$A1260,物件収支!$C:$C,$M1260))</f>
        <v>754601</v>
      </c>
      <c r="P1260" s="1" t="n">
        <f aca="false">IF($A1260="","",SUMIFS(物件収支!$I:$I,物件収支!$A:$A,$A1260,物件収支!$C:$C,$M1260))</f>
        <v>307909</v>
      </c>
      <c r="Q1260" s="1" t="n">
        <f aca="false">IF($A1260="","",SUMIFS(物件収支!$O:$O,物件収支!$A:$A,$A1260,物件収支!$C:$C,$M1260))</f>
        <v>62854</v>
      </c>
      <c r="R1260" s="1" t="n">
        <f aca="false">IF($A1260="","",IF(P1260=0,"",O1260-P1260))</f>
        <v>446692</v>
      </c>
      <c r="S1260" s="1" t="n">
        <f aca="false">IF($A1260="","",IF(R1260="","",R1260+Q1260))</f>
        <v>509546</v>
      </c>
      <c r="T1260" s="1" t="n">
        <f aca="false">IF($A1260="","",IF(OR(S1260="",N1260&lt;=0),"",S1260/1000*12/N1260))</f>
        <v>1019.092</v>
      </c>
      <c r="U1260" s="1" t="n">
        <f aca="false">IF($A1260="","",IF(OR(T1260="",J1260=0,J1260=""),"",T1260/J1260))</f>
        <v>0.0587034562211982</v>
      </c>
      <c r="V1260" s="1" t="n">
        <f aca="false">IF($A1260="","",IF(OR(R1260="",N1260&lt;=0,J1260=0,J1260=""),"",(R1260/1000*12/N1260)/J1260))</f>
        <v>0.0514622119815668</v>
      </c>
      <c r="W1260" s="1" t="n">
        <f aca="false">IF($A1260="","",IF(OR(T1260="",K1260=0,K1260=""),"",T1260/K1260))</f>
        <v>0.0599465882352941</v>
      </c>
      <c r="X1260" s="1" t="n">
        <f aca="false">IF($A1260="","",IF(OR(N1260&lt;=0,I1260=0,I1260="",O1260=0),"",O1260*1000/(I1260*0.3025)/N1260))</f>
        <v>9681.95885711951</v>
      </c>
      <c r="Y1260" s="1" t="n">
        <f aca="false">IF($A1260="","",IF(OR(O1260=0,O1260="",P1260=0),"",P1260/O1260))</f>
        <v>0.408042130874462</v>
      </c>
      <c r="Z1260" s="1" t="str">
        <f aca="false">IF($A1260="","",IFERROR(INDEX(物件収支!$E:$E,MATCH($A1260,物件収支!$A:$A,0)),""))</f>
        <v>開示（物件別・費用内訳含む）</v>
      </c>
    </row>
    <row r="1261" customFormat="false" ht="15" hidden="false" customHeight="true" outlineLevel="0" collapsed="false">
      <c r="A1261" s="1" t="str">
        <f aca="false">IF(物件マスタ!A1261="","",物件マスタ!A1261)</f>
        <v>MTR-008</v>
      </c>
      <c r="B1261" s="1" t="str">
        <f aca="false">IF($A1261="","",物件マスタ!B1261)</f>
        <v>MTR</v>
      </c>
      <c r="C1261" s="1" t="str">
        <f aca="false">IF($A1261="","",IFERROR(INDEX(法人マスタ!$C:$C,MATCH($B1261,法人マスタ!$A:$A,0)),""))</f>
        <v>森トラストリート投資法人</v>
      </c>
      <c r="D1261" s="1" t="str">
        <f aca="false">IF($A1261="","",物件マスタ!C1261)</f>
        <v>御堂筋MTRビル</v>
      </c>
      <c r="E1261" s="1" t="str">
        <f aca="false">IF($A1261="","",物件マスタ!H1261)</f>
        <v>その他3大都市圏</v>
      </c>
      <c r="F1261" s="53" t="n">
        <f aca="false">IF($A1261="","",物件マスタ!P1261)</f>
        <v>36220</v>
      </c>
      <c r="G1261" s="1" t="n">
        <f aca="false">IF($A1261="","",物件マスタ!Q1261)</f>
        <v>27.4</v>
      </c>
      <c r="H1261" s="1" t="n">
        <f aca="false">IF($A1261="","",物件マスタ!L1261)</f>
        <v>0</v>
      </c>
      <c r="I1261" s="1" t="n">
        <f aca="false">IF($A1261="","",物件マスタ!M1261)</f>
        <v>15129.16</v>
      </c>
      <c r="J1261" s="1" t="n">
        <f aca="false">IF($A1261="","",物件マスタ!S1261)</f>
        <v>10170</v>
      </c>
      <c r="K1261" s="1" t="n">
        <f aca="false">IF($A1261="","",物件マスタ!U1261)</f>
        <v>10800</v>
      </c>
      <c r="L1261" s="1" t="n">
        <f aca="false">IF($A1261="","",物件マスタ!W1261)</f>
        <v>1</v>
      </c>
      <c r="M1261" s="1" t="str">
        <f aca="false">IF($A1261="","",IFERROR(INDEX(法人マスタ!$H:$H,MATCH($B1261,法人マスタ!$A:$A,0)),""))</f>
        <v>2026年2月期（第48期）</v>
      </c>
      <c r="N1261" s="1" t="n">
        <f aca="false">IF($A1261="","",SUMIFS(物件収支!$D:$D,物件収支!$A:$A,$A1261,物件収支!$C:$C,$M1261))</f>
        <v>6</v>
      </c>
      <c r="O1261" s="1" t="n">
        <f aca="false">IF($A1261="","",SUMIFS(物件収支!$F:$F,物件収支!$A:$A,$A1261,物件収支!$C:$C,$M1261))</f>
        <v>319821</v>
      </c>
      <c r="P1261" s="1" t="n">
        <f aca="false">IF($A1261="","",SUMIFS(物件収支!$I:$I,物件収支!$A:$A,$A1261,物件収支!$C:$C,$M1261))</f>
        <v>132631</v>
      </c>
      <c r="Q1261" s="1" t="n">
        <f aca="false">IF($A1261="","",SUMIFS(物件収支!$O:$O,物件収支!$A:$A,$A1261,物件収支!$C:$C,$M1261))</f>
        <v>26014</v>
      </c>
      <c r="R1261" s="1" t="n">
        <f aca="false">IF($A1261="","",IF(P1261=0,"",O1261-P1261))</f>
        <v>187190</v>
      </c>
      <c r="S1261" s="1" t="n">
        <f aca="false">IF($A1261="","",IF(R1261="","",R1261+Q1261))</f>
        <v>213204</v>
      </c>
      <c r="T1261" s="1" t="n">
        <f aca="false">IF($A1261="","",IF(OR(S1261="",N1261&lt;=0),"",S1261/1000*12/N1261))</f>
        <v>426.408</v>
      </c>
      <c r="U1261" s="1" t="n">
        <f aca="false">IF($A1261="","",IF(OR(T1261="",J1261=0,J1261=""),"",T1261/J1261))</f>
        <v>0.0419280235988201</v>
      </c>
      <c r="V1261" s="1" t="n">
        <f aca="false">IF($A1261="","",IF(OR(R1261="",N1261&lt;=0,J1261=0,J1261=""),"",(R1261/1000*12/N1261)/J1261))</f>
        <v>0.0368121927236971</v>
      </c>
      <c r="W1261" s="1" t="n">
        <f aca="false">IF($A1261="","",IF(OR(T1261="",K1261=0,K1261=""),"",T1261/K1261))</f>
        <v>0.0394822222222222</v>
      </c>
      <c r="X1261" s="1" t="n">
        <f aca="false">IF($A1261="","",IF(OR(N1261&lt;=0,I1261=0,I1261="",O1261=0),"",O1261*1000/(I1261*0.3025)/N1261))</f>
        <v>11647.0390527545</v>
      </c>
      <c r="Y1261" s="1" t="n">
        <f aca="false">IF($A1261="","",IF(OR(O1261=0,O1261="",P1261=0),"",P1261/O1261))</f>
        <v>0.414703849966075</v>
      </c>
      <c r="Z1261" s="1" t="str">
        <f aca="false">IF($A1261="","",IFERROR(INDEX(物件収支!$E:$E,MATCH($A1261,物件収支!$A:$A,0)),""))</f>
        <v>開示（物件別・費用内訳含む）</v>
      </c>
    </row>
    <row r="1262" customFormat="false" ht="15" hidden="false" customHeight="true" outlineLevel="0" collapsed="false">
      <c r="A1262" s="1" t="str">
        <f aca="false">IF(物件マスタ!A1262="","",物件マスタ!A1262)</f>
        <v>MTR-009</v>
      </c>
      <c r="B1262" s="1" t="str">
        <f aca="false">IF($A1262="","",物件マスタ!B1262)</f>
        <v>MTR</v>
      </c>
      <c r="C1262" s="1" t="str">
        <f aca="false">IF($A1262="","",IFERROR(INDEX(法人マスタ!$C:$C,MATCH($B1262,法人マスタ!$A:$A,0)),""))</f>
        <v>森トラストリート投資法人</v>
      </c>
      <c r="D1262" s="1" t="str">
        <f aca="false">IF($A1262="","",物件マスタ!C1262)</f>
        <v>天神プライム</v>
      </c>
      <c r="E1262" s="1" t="str">
        <f aca="false">IF($A1262="","",物件マスタ!H1262)</f>
        <v>3大都市圏以外の政令市</v>
      </c>
      <c r="F1262" s="53" t="n">
        <f aca="false">IF($A1262="","",物件マスタ!P1262)</f>
        <v>39508</v>
      </c>
      <c r="G1262" s="1" t="n">
        <f aca="false">IF($A1262="","",物件マスタ!Q1262)</f>
        <v>18.4</v>
      </c>
      <c r="H1262" s="1" t="n">
        <f aca="false">IF($A1262="","",物件マスタ!L1262)</f>
        <v>0</v>
      </c>
      <c r="I1262" s="1" t="n">
        <f aca="false">IF($A1262="","",物件マスタ!M1262)</f>
        <v>5909.4</v>
      </c>
      <c r="J1262" s="1" t="n">
        <f aca="false">IF($A1262="","",物件マスタ!S1262)</f>
        <v>7050</v>
      </c>
      <c r="K1262" s="1" t="n">
        <f aca="false">IF($A1262="","",物件マスタ!U1262)</f>
        <v>9850</v>
      </c>
      <c r="L1262" s="1" t="n">
        <f aca="false">IF($A1262="","",物件マスタ!W1262)</f>
        <v>0.9631</v>
      </c>
      <c r="M1262" s="1" t="str">
        <f aca="false">IF($A1262="","",IFERROR(INDEX(法人マスタ!$H:$H,MATCH($B1262,法人マスタ!$A:$A,0)),""))</f>
        <v>2026年2月期（第48期）</v>
      </c>
      <c r="N1262" s="1" t="n">
        <f aca="false">IF($A1262="","",SUMIFS(物件収支!$D:$D,物件収支!$A:$A,$A1262,物件収支!$C:$C,$M1262))</f>
        <v>6</v>
      </c>
      <c r="O1262" s="1" t="n">
        <f aca="false">IF($A1262="","",SUMIFS(物件収支!$F:$F,物件収支!$A:$A,$A1262,物件収支!$C:$C,$M1262))</f>
        <v>227548</v>
      </c>
      <c r="P1262" s="1" t="n">
        <f aca="false">IF($A1262="","",SUMIFS(物件収支!$I:$I,物件収支!$A:$A,$A1262,物件収支!$C:$C,$M1262))</f>
        <v>92185</v>
      </c>
      <c r="Q1262" s="1" t="n">
        <f aca="false">IF($A1262="","",SUMIFS(物件収支!$O:$O,物件収支!$A:$A,$A1262,物件収支!$C:$C,$M1262))</f>
        <v>14951</v>
      </c>
      <c r="R1262" s="1" t="n">
        <f aca="false">IF($A1262="","",IF(P1262=0,"",O1262-P1262))</f>
        <v>135363</v>
      </c>
      <c r="S1262" s="1" t="n">
        <f aca="false">IF($A1262="","",IF(R1262="","",R1262+Q1262))</f>
        <v>150314</v>
      </c>
      <c r="T1262" s="1" t="n">
        <f aca="false">IF($A1262="","",IF(OR(S1262="",N1262&lt;=0),"",S1262/1000*12/N1262))</f>
        <v>300.628</v>
      </c>
      <c r="U1262" s="1" t="n">
        <f aca="false">IF($A1262="","",IF(OR(T1262="",J1262=0,J1262=""),"",T1262/J1262))</f>
        <v>0.0426422695035461</v>
      </c>
      <c r="V1262" s="1" t="n">
        <f aca="false">IF($A1262="","",IF(OR(R1262="",N1262&lt;=0,J1262=0,J1262=""),"",(R1262/1000*12/N1262)/J1262))</f>
        <v>0.0384008510638298</v>
      </c>
      <c r="W1262" s="1" t="n">
        <f aca="false">IF($A1262="","",IF(OR(T1262="",K1262=0,K1262=""),"",T1262/K1262))</f>
        <v>0.0305206091370558</v>
      </c>
      <c r="X1262" s="1" t="n">
        <f aca="false">IF($A1262="","",IF(OR(N1262&lt;=0,I1262=0,I1262="",O1262=0),"",O1262*1000/(I1262*0.3025)/N1262))</f>
        <v>21215.4870034304</v>
      </c>
      <c r="Y1262" s="1" t="n">
        <f aca="false">IF($A1262="","",IF(OR(O1262=0,O1262="",P1262=0),"",P1262/O1262))</f>
        <v>0.405123314641306</v>
      </c>
      <c r="Z1262" s="1" t="str">
        <f aca="false">IF($A1262="","",IFERROR(INDEX(物件収支!$E:$E,MATCH($A1262,物件収支!$A:$A,0)),""))</f>
        <v>開示（物件別・費用内訳含む）</v>
      </c>
    </row>
    <row r="1263" customFormat="false" ht="15" hidden="false" customHeight="true" outlineLevel="0" collapsed="false">
      <c r="A1263" s="1" t="str">
        <f aca="false">IF(物件マスタ!A1263="","",物件マスタ!A1263)</f>
        <v>MTR-010</v>
      </c>
      <c r="B1263" s="1" t="str">
        <f aca="false">IF($A1263="","",物件マスタ!B1263)</f>
        <v>MTR</v>
      </c>
      <c r="C1263" s="1" t="str">
        <f aca="false">IF($A1263="","",IFERROR(INDEX(法人マスタ!$C:$C,MATCH($B1263,法人マスタ!$A:$A,0)),""))</f>
        <v>森トラストリート投資法人</v>
      </c>
      <c r="D1263" s="1" t="str">
        <f aca="false">IF($A1263="","",物件マスタ!C1263)</f>
        <v>新横浜TECHビル</v>
      </c>
      <c r="E1263" s="1" t="str">
        <f aca="false">IF($A1263="","",物件マスタ!H1263)</f>
        <v>東京周辺都市部</v>
      </c>
      <c r="F1263" s="53" t="n">
        <f aca="false">IF($A1263="","",物件マスタ!P1263)</f>
        <v>31444</v>
      </c>
      <c r="G1263" s="1" t="n">
        <f aca="false">IF($A1263="","",物件マスタ!Q1263)</f>
        <v>40.5</v>
      </c>
      <c r="H1263" s="1" t="n">
        <f aca="false">IF($A1263="","",物件マスタ!L1263)</f>
        <v>0</v>
      </c>
      <c r="I1263" s="1" t="n">
        <f aca="false">IF($A1263="","",物件マスタ!M1263)</f>
        <v>18117.03</v>
      </c>
      <c r="J1263" s="1" t="n">
        <f aca="false">IF($A1263="","",物件マスタ!S1263)</f>
        <v>6900</v>
      </c>
      <c r="K1263" s="1" t="n">
        <f aca="false">IF($A1263="","",物件マスタ!U1263)</f>
        <v>9150</v>
      </c>
      <c r="L1263" s="1" t="n">
        <f aca="false">IF($A1263="","",物件マスタ!W1263)</f>
        <v>0.9607</v>
      </c>
      <c r="M1263" s="1" t="str">
        <f aca="false">IF($A1263="","",IFERROR(INDEX(法人マスタ!$H:$H,MATCH($B1263,法人マスタ!$A:$A,0)),""))</f>
        <v>2026年2月期（第48期）</v>
      </c>
      <c r="N1263" s="1" t="n">
        <f aca="false">IF($A1263="","",SUMIFS(物件収支!$D:$D,物件収支!$A:$A,$A1263,物件収支!$C:$C,$M1263))</f>
        <v>6</v>
      </c>
      <c r="O1263" s="1" t="n">
        <f aca="false">IF($A1263="","",SUMIFS(物件収支!$F:$F,物件収支!$A:$A,$A1263,物件収支!$C:$C,$M1263))</f>
        <v>362917</v>
      </c>
      <c r="P1263" s="1" t="n">
        <f aca="false">IF($A1263="","",SUMIFS(物件収支!$I:$I,物件収支!$A:$A,$A1263,物件収支!$C:$C,$M1263))</f>
        <v>164015</v>
      </c>
      <c r="Q1263" s="1" t="n">
        <f aca="false">IF($A1263="","",SUMIFS(物件収支!$O:$O,物件収支!$A:$A,$A1263,物件収支!$C:$C,$M1263))</f>
        <v>52907</v>
      </c>
      <c r="R1263" s="1" t="n">
        <f aca="false">IF($A1263="","",IF(P1263=0,"",O1263-P1263))</f>
        <v>198902</v>
      </c>
      <c r="S1263" s="1" t="n">
        <f aca="false">IF($A1263="","",IF(R1263="","",R1263+Q1263))</f>
        <v>251809</v>
      </c>
      <c r="T1263" s="1" t="n">
        <f aca="false">IF($A1263="","",IF(OR(S1263="",N1263&lt;=0),"",S1263/1000*12/N1263))</f>
        <v>503.618</v>
      </c>
      <c r="U1263" s="1" t="n">
        <f aca="false">IF($A1263="","",IF(OR(T1263="",J1263=0,J1263=""),"",T1263/J1263))</f>
        <v>0.072988115942029</v>
      </c>
      <c r="V1263" s="1" t="n">
        <f aca="false">IF($A1263="","",IF(OR(R1263="",N1263&lt;=0,J1263=0,J1263=""),"",(R1263/1000*12/N1263)/J1263))</f>
        <v>0.0576527536231884</v>
      </c>
      <c r="W1263" s="1" t="n">
        <f aca="false">IF($A1263="","",IF(OR(T1263="",K1263=0,K1263=""),"",T1263/K1263))</f>
        <v>0.055040218579235</v>
      </c>
      <c r="X1263" s="1" t="n">
        <f aca="false">IF($A1263="","",IF(OR(N1263&lt;=0,I1263=0,I1263="",O1263=0),"",O1263*1000/(I1263*0.3025)/N1263))</f>
        <v>11036.8128756453</v>
      </c>
      <c r="Y1263" s="1" t="n">
        <f aca="false">IF($A1263="","",IF(OR(O1263=0,O1263="",P1263=0),"",P1263/O1263))</f>
        <v>0.4519352909894</v>
      </c>
      <c r="Z1263" s="1" t="str">
        <f aca="false">IF($A1263="","",IFERROR(INDEX(物件収支!$E:$E,MATCH($A1263,物件収支!$A:$A,0)),""))</f>
        <v>開示（物件別・費用内訳含む）</v>
      </c>
    </row>
    <row r="1264" customFormat="false" ht="15" hidden="false" customHeight="true" outlineLevel="0" collapsed="false">
      <c r="A1264" s="1" t="str">
        <f aca="false">IF(物件マスタ!A1264="","",物件マスタ!A1264)</f>
        <v>MTR-011</v>
      </c>
      <c r="B1264" s="1" t="str">
        <f aca="false">IF($A1264="","",物件マスタ!B1264)</f>
        <v>MTR</v>
      </c>
      <c r="C1264" s="1" t="str">
        <f aca="false">IF($A1264="","",IFERROR(INDEX(法人マスタ!$C:$C,MATCH($B1264,法人マスタ!$A:$A,0)),""))</f>
        <v>森トラストリート投資法人</v>
      </c>
      <c r="D1264" s="1" t="str">
        <f aca="false">IF($A1264="","",物件マスタ!C1264)</f>
        <v>シャングリ・ラ 東京</v>
      </c>
      <c r="E1264" s="1" t="str">
        <f aca="false">IF($A1264="","",物件マスタ!H1264)</f>
        <v>都心5区</v>
      </c>
      <c r="F1264" s="53" t="n">
        <f aca="false">IF($A1264="","",物件マスタ!P1264)</f>
        <v>39753</v>
      </c>
      <c r="G1264" s="1" t="n">
        <f aca="false">IF($A1264="","",物件マスタ!Q1264)</f>
        <v>17.8</v>
      </c>
      <c r="H1264" s="1" t="n">
        <f aca="false">IF($A1264="","",物件マスタ!L1264)</f>
        <v>0</v>
      </c>
      <c r="I1264" s="1" t="n">
        <f aca="false">IF($A1264="","",物件マスタ!M1264)</f>
        <v>22755.55</v>
      </c>
      <c r="J1264" s="1" t="n">
        <f aca="false">IF($A1264="","",物件マスタ!S1264)</f>
        <v>49200</v>
      </c>
      <c r="K1264" s="1" t="n">
        <f aca="false">IF($A1264="","",物件マスタ!U1264)</f>
        <v>60600</v>
      </c>
      <c r="L1264" s="1" t="n">
        <f aca="false">IF($A1264="","",物件マスタ!W1264)</f>
        <v>1</v>
      </c>
      <c r="M1264" s="1" t="str">
        <f aca="false">IF($A1264="","",IFERROR(INDEX(法人マスタ!$H:$H,MATCH($B1264,法人マスタ!$A:$A,0)),""))</f>
        <v>2026年2月期（第48期）</v>
      </c>
      <c r="N1264" s="1" t="n">
        <f aca="false">IF($A1264="","",SUMIFS(物件収支!$D:$D,物件収支!$A:$A,$A1264,物件収支!$C:$C,$M1264))</f>
        <v>6</v>
      </c>
      <c r="O1264" s="1" t="n">
        <f aca="false">IF($A1264="","",SUMIFS(物件収支!$F:$F,物件収支!$A:$A,$A1264,物件収支!$C:$C,$M1264))</f>
        <v>1077981</v>
      </c>
      <c r="P1264" s="1" t="n">
        <f aca="false">IF($A1264="","",SUMIFS(物件収支!$I:$I,物件収支!$A:$A,$A1264,物件収支!$C:$C,$M1264))</f>
        <v>208825</v>
      </c>
      <c r="Q1264" s="1" t="n">
        <f aca="false">IF($A1264="","",SUMIFS(物件収支!$O:$O,物件収支!$A:$A,$A1264,物件収支!$C:$C,$M1264))</f>
        <v>67439</v>
      </c>
      <c r="R1264" s="1" t="n">
        <f aca="false">IF($A1264="","",IF(P1264=0,"",O1264-P1264))</f>
        <v>869156</v>
      </c>
      <c r="S1264" s="1" t="n">
        <f aca="false">IF($A1264="","",IF(R1264="","",R1264+Q1264))</f>
        <v>936595</v>
      </c>
      <c r="T1264" s="1" t="n">
        <f aca="false">IF($A1264="","",IF(OR(S1264="",N1264&lt;=0),"",S1264/1000*12/N1264))</f>
        <v>1873.19</v>
      </c>
      <c r="U1264" s="1" t="n">
        <f aca="false">IF($A1264="","",IF(OR(T1264="",J1264=0,J1264=""),"",T1264/J1264))</f>
        <v>0.0380729674796748</v>
      </c>
      <c r="V1264" s="1" t="n">
        <f aca="false">IF($A1264="","",IF(OR(R1264="",N1264&lt;=0,J1264=0,J1264=""),"",(R1264/1000*12/N1264)/J1264))</f>
        <v>0.0353315447154472</v>
      </c>
      <c r="W1264" s="1" t="n">
        <f aca="false">IF($A1264="","",IF(OR(T1264="",K1264=0,K1264=""),"",T1264/K1264))</f>
        <v>0.0309107260726073</v>
      </c>
      <c r="X1264" s="1" t="n">
        <f aca="false">IF($A1264="","",IF(OR(N1264&lt;=0,I1264=0,I1264="",O1264=0),"",O1264*1000/(I1264*0.3025)/N1264))</f>
        <v>26100.3986113205</v>
      </c>
      <c r="Y1264" s="1" t="n">
        <f aca="false">IF($A1264="","",IF(OR(O1264=0,O1264="",P1264=0),"",P1264/O1264))</f>
        <v>0.193718627693809</v>
      </c>
      <c r="Z1264" s="1" t="str">
        <f aca="false">IF($A1264="","",IFERROR(INDEX(物件収支!$E:$E,MATCH($A1264,物件収支!$A:$A,0)),""))</f>
        <v>開示（物件別・費用内訳含む）</v>
      </c>
    </row>
    <row r="1265" customFormat="false" ht="15" hidden="false" customHeight="true" outlineLevel="0" collapsed="false">
      <c r="A1265" s="1" t="str">
        <f aca="false">IF(物件マスタ!A1265="","",物件マスタ!A1265)</f>
        <v>MTR-012</v>
      </c>
      <c r="B1265" s="1" t="str">
        <f aca="false">IF($A1265="","",物件マスタ!B1265)</f>
        <v>MTR</v>
      </c>
      <c r="C1265" s="1" t="str">
        <f aca="false">IF($A1265="","",IFERROR(INDEX(法人マスタ!$C:$C,MATCH($B1265,法人マスタ!$A:$A,0)),""))</f>
        <v>森トラストリート投資法人</v>
      </c>
      <c r="D1265" s="1" t="str">
        <f aca="false">IF($A1265="","",物件マスタ!C1265)</f>
        <v>ホテルオークラ神戸</v>
      </c>
      <c r="E1265" s="1" t="str">
        <f aca="false">IF($A1265="","",物件マスタ!H1265)</f>
        <v>その他3大都市圏</v>
      </c>
      <c r="F1265" s="53" t="n">
        <f aca="false">IF($A1265="","",物件マスタ!P1265)</f>
        <v>32568</v>
      </c>
      <c r="G1265" s="1" t="n">
        <f aca="false">IF($A1265="","",物件マスタ!Q1265)</f>
        <v>37.4</v>
      </c>
      <c r="H1265" s="1" t="n">
        <f aca="false">IF($A1265="","",物件マスタ!L1265)</f>
        <v>0</v>
      </c>
      <c r="I1265" s="1" t="n">
        <f aca="false">IF($A1265="","",物件マスタ!M1265)</f>
        <v>72246.86</v>
      </c>
      <c r="J1265" s="1" t="n">
        <f aca="false">IF($A1265="","",物件マスタ!S1265)</f>
        <v>19000</v>
      </c>
      <c r="K1265" s="1" t="n">
        <f aca="false">IF($A1265="","",物件マスタ!U1265)</f>
        <v>17100</v>
      </c>
      <c r="L1265" s="1" t="n">
        <f aca="false">IF($A1265="","",物件マスタ!W1265)</f>
        <v>1</v>
      </c>
      <c r="M1265" s="1" t="str">
        <f aca="false">IF($A1265="","",IFERROR(INDEX(法人マスタ!$H:$H,MATCH($B1265,法人マスタ!$A:$A,0)),""))</f>
        <v>2026年2月期（第48期）</v>
      </c>
      <c r="N1265" s="1" t="n">
        <f aca="false">IF($A1265="","",SUMIFS(物件収支!$D:$D,物件収支!$A:$A,$A1265,物件収支!$C:$C,$M1265))</f>
        <v>6</v>
      </c>
      <c r="O1265" s="1" t="n">
        <f aca="false">IF($A1265="","",SUMIFS(物件収支!$F:$F,物件収支!$A:$A,$A1265,物件収支!$C:$C,$M1265))</f>
        <v>626222</v>
      </c>
      <c r="P1265" s="1" t="n">
        <f aca="false">IF($A1265="","",SUMIFS(物件収支!$I:$I,物件収支!$A:$A,$A1265,物件収支!$C:$C,$M1265))</f>
        <v>182363</v>
      </c>
      <c r="Q1265" s="1" t="n">
        <f aca="false">IF($A1265="","",SUMIFS(物件収支!$O:$O,物件収支!$A:$A,$A1265,物件収支!$C:$C,$M1265))</f>
        <v>91745</v>
      </c>
      <c r="R1265" s="1" t="n">
        <f aca="false">IF($A1265="","",IF(P1265=0,"",O1265-P1265))</f>
        <v>443859</v>
      </c>
      <c r="S1265" s="1" t="n">
        <f aca="false">IF($A1265="","",IF(R1265="","",R1265+Q1265))</f>
        <v>535604</v>
      </c>
      <c r="T1265" s="1" t="n">
        <f aca="false">IF($A1265="","",IF(OR(S1265="",N1265&lt;=0),"",S1265/1000*12/N1265))</f>
        <v>1071.208</v>
      </c>
      <c r="U1265" s="1" t="n">
        <f aca="false">IF($A1265="","",IF(OR(T1265="",J1265=0,J1265=""),"",T1265/J1265))</f>
        <v>0.0563793684210526</v>
      </c>
      <c r="V1265" s="1" t="n">
        <f aca="false">IF($A1265="","",IF(OR(R1265="",N1265&lt;=0,J1265=0,J1265=""),"",(R1265/1000*12/N1265)/J1265))</f>
        <v>0.046722</v>
      </c>
      <c r="W1265" s="1" t="n">
        <f aca="false">IF($A1265="","",IF(OR(T1265="",K1265=0,K1265=""),"",T1265/K1265))</f>
        <v>0.0626437426900585</v>
      </c>
      <c r="X1265" s="1" t="n">
        <f aca="false">IF($A1265="","",IF(OR(N1265&lt;=0,I1265=0,I1265="",O1265=0),"",O1265*1000/(I1265*0.3025)/N1265))</f>
        <v>4775.65246872742</v>
      </c>
      <c r="Y1265" s="1" t="n">
        <f aca="false">IF($A1265="","",IF(OR(O1265=0,O1265="",P1265=0),"",P1265/O1265))</f>
        <v>0.29121142342492</v>
      </c>
      <c r="Z1265" s="1" t="str">
        <f aca="false">IF($A1265="","",IFERROR(INDEX(物件収支!$E:$E,MATCH($A1265,物件収支!$A:$A,0)),""))</f>
        <v>開示（物件別・費用内訳含む）</v>
      </c>
    </row>
    <row r="1266" customFormat="false" ht="15" hidden="false" customHeight="true" outlineLevel="0" collapsed="false">
      <c r="A1266" s="1" t="str">
        <f aca="false">IF(物件マスタ!A1266="","",物件マスタ!A1266)</f>
        <v>MTR-013</v>
      </c>
      <c r="B1266" s="1" t="str">
        <f aca="false">IF($A1266="","",物件マスタ!B1266)</f>
        <v>MTR</v>
      </c>
      <c r="C1266" s="1" t="str">
        <f aca="false">IF($A1266="","",IFERROR(INDEX(法人マスタ!$C:$C,MATCH($B1266,法人マスタ!$A:$A,0)),""))</f>
        <v>森トラストリート投資法人</v>
      </c>
      <c r="D1266" s="1" t="str">
        <f aca="false">IF($A1266="","",物件マスタ!C1266)</f>
        <v>ヒルトン小田原リゾート＆スパ</v>
      </c>
      <c r="E1266" s="1" t="str">
        <f aca="false">IF($A1266="","",物件マスタ!H1266)</f>
        <v>東京周辺都市部</v>
      </c>
      <c r="F1266" s="53" t="n">
        <f aca="false">IF($A1266="","",物件マスタ!P1266)</f>
        <v>35704</v>
      </c>
      <c r="G1266" s="1" t="n">
        <f aca="false">IF($A1266="","",物件マスタ!Q1266)</f>
        <v>28.9</v>
      </c>
      <c r="H1266" s="1" t="n">
        <f aca="false">IF($A1266="","",物件マスタ!L1266)</f>
        <v>0</v>
      </c>
      <c r="I1266" s="1" t="n">
        <f aca="false">IF($A1266="","",物件マスタ!M1266)</f>
        <v>25302.83</v>
      </c>
      <c r="J1266" s="1" t="n">
        <f aca="false">IF($A1266="","",物件マスタ!S1266)</f>
        <v>7100</v>
      </c>
      <c r="K1266" s="1" t="n">
        <f aca="false">IF($A1266="","",物件マスタ!U1266)</f>
        <v>7250</v>
      </c>
      <c r="L1266" s="1" t="n">
        <f aca="false">IF($A1266="","",物件マスタ!W1266)</f>
        <v>1</v>
      </c>
      <c r="M1266" s="1" t="str">
        <f aca="false">IF($A1266="","",IFERROR(INDEX(法人マスタ!$H:$H,MATCH($B1266,法人マスタ!$A:$A,0)),""))</f>
        <v>2026年2月期（第48期）</v>
      </c>
      <c r="N1266" s="1" t="n">
        <f aca="false">IF($A1266="","",SUMIFS(物件収支!$D:$D,物件収支!$A:$A,$A1266,物件収支!$C:$C,$M1266))</f>
        <v>6</v>
      </c>
      <c r="O1266" s="1" t="n">
        <f aca="false">IF($A1266="","",SUMIFS(物件収支!$F:$F,物件収支!$A:$A,$A1266,物件収支!$C:$C,$M1266))</f>
        <v>209304</v>
      </c>
      <c r="P1266" s="1" t="n">
        <f aca="false">IF($A1266="","",SUMIFS(物件収支!$I:$I,物件収支!$A:$A,$A1266,物件収支!$C:$C,$M1266))</f>
        <v>118824</v>
      </c>
      <c r="Q1266" s="1" t="n">
        <f aca="false">IF($A1266="","",SUMIFS(物件収支!$O:$O,物件収支!$A:$A,$A1266,物件収支!$C:$C,$M1266))</f>
        <v>65825</v>
      </c>
      <c r="R1266" s="1" t="n">
        <f aca="false">IF($A1266="","",IF(P1266=0,"",O1266-P1266))</f>
        <v>90480</v>
      </c>
      <c r="S1266" s="1" t="n">
        <f aca="false">IF($A1266="","",IF(R1266="","",R1266+Q1266))</f>
        <v>156305</v>
      </c>
      <c r="T1266" s="1" t="n">
        <f aca="false">IF($A1266="","",IF(OR(S1266="",N1266&lt;=0),"",S1266/1000*12/N1266))</f>
        <v>312.61</v>
      </c>
      <c r="U1266" s="1" t="n">
        <f aca="false">IF($A1266="","",IF(OR(T1266="",J1266=0,J1266=""),"",T1266/J1266))</f>
        <v>0.0440295774647887</v>
      </c>
      <c r="V1266" s="1" t="n">
        <f aca="false">IF($A1266="","",IF(OR(R1266="",N1266&lt;=0,J1266=0,J1266=""),"",(R1266/1000*12/N1266)/J1266))</f>
        <v>0.025487323943662</v>
      </c>
      <c r="W1266" s="1" t="n">
        <f aca="false">IF($A1266="","",IF(OR(T1266="",K1266=0,K1266=""),"",T1266/K1266))</f>
        <v>0.0431186206896552</v>
      </c>
      <c r="X1266" s="1" t="n">
        <f aca="false">IF($A1266="","",IF(OR(N1266&lt;=0,I1266=0,I1266="",O1266=0),"",O1266*1000/(I1266*0.3025)/N1266))</f>
        <v>4557.55377024874</v>
      </c>
      <c r="Y1266" s="1" t="n">
        <f aca="false">IF($A1266="","",IF(OR(O1266=0,O1266="",P1266=0),"",P1266/O1266))</f>
        <v>0.567710124985667</v>
      </c>
      <c r="Z1266" s="1" t="str">
        <f aca="false">IF($A1266="","",IFERROR(INDEX(物件収支!$E:$E,MATCH($A1266,物件収支!$A:$A,0)),""))</f>
        <v>開示（物件別・費用内訳含む）</v>
      </c>
    </row>
    <row r="1267" customFormat="false" ht="15" hidden="false" customHeight="true" outlineLevel="0" collapsed="false">
      <c r="A1267" s="1" t="str">
        <f aca="false">IF(物件マスタ!A1267="","",物件マスタ!A1267)</f>
        <v>MTR-014</v>
      </c>
      <c r="B1267" s="1" t="str">
        <f aca="false">IF($A1267="","",物件マスタ!B1267)</f>
        <v>MTR</v>
      </c>
      <c r="C1267" s="1" t="str">
        <f aca="false">IF($A1267="","",IFERROR(INDEX(法人マスタ!$C:$C,MATCH($B1267,法人マスタ!$A:$A,0)),""))</f>
        <v>森トラストリート投資法人</v>
      </c>
      <c r="D1267" s="1" t="str">
        <f aca="false">IF($A1267="","",物件マスタ!C1267)</f>
        <v>コートヤード・バイ・マリオット 新大阪ステーション</v>
      </c>
      <c r="E1267" s="1" t="str">
        <f aca="false">IF($A1267="","",物件マスタ!H1267)</f>
        <v>その他3大都市圏</v>
      </c>
      <c r="F1267" s="53" t="n">
        <f aca="false">IF($A1267="","",物件マスタ!P1267)</f>
        <v>35490</v>
      </c>
      <c r="G1267" s="1" t="n">
        <f aca="false">IF($A1267="","",物件マスタ!Q1267)</f>
        <v>29.4</v>
      </c>
      <c r="H1267" s="1" t="n">
        <f aca="false">IF($A1267="","",物件マスタ!L1267)</f>
        <v>0</v>
      </c>
      <c r="I1267" s="1" t="n">
        <f aca="false">IF($A1267="","",物件マスタ!M1267)</f>
        <v>13881.47</v>
      </c>
      <c r="J1267" s="1" t="n">
        <f aca="false">IF($A1267="","",物件マスタ!S1267)</f>
        <v>17400</v>
      </c>
      <c r="K1267" s="1" t="n">
        <f aca="false">IF($A1267="","",物件マスタ!U1267)</f>
        <v>19300</v>
      </c>
      <c r="L1267" s="1" t="n">
        <f aca="false">IF($A1267="","",物件マスタ!W1267)</f>
        <v>1</v>
      </c>
      <c r="M1267" s="1" t="str">
        <f aca="false">IF($A1267="","",IFERROR(INDEX(法人マスタ!$H:$H,MATCH($B1267,法人マスタ!$A:$A,0)),""))</f>
        <v>2026年2月期（第48期）</v>
      </c>
      <c r="N1267" s="1" t="n">
        <f aca="false">IF($A1267="","",SUMIFS(物件収支!$D:$D,物件収支!$A:$A,$A1267,物件収支!$C:$C,$M1267))</f>
        <v>6</v>
      </c>
      <c r="O1267" s="1" t="n">
        <f aca="false">IF($A1267="","",SUMIFS(物件収支!$F:$F,物件収支!$A:$A,$A1267,物件収支!$C:$C,$M1267))</f>
        <v>505497</v>
      </c>
      <c r="P1267" s="1" t="n">
        <f aca="false">IF($A1267="","",SUMIFS(物件収支!$I:$I,物件収支!$A:$A,$A1267,物件収支!$C:$C,$M1267))</f>
        <v>93982</v>
      </c>
      <c r="Q1267" s="1" t="n">
        <f aca="false">IF($A1267="","",SUMIFS(物件収支!$O:$O,物件収支!$A:$A,$A1267,物件収支!$C:$C,$M1267))</f>
        <v>69126</v>
      </c>
      <c r="R1267" s="1" t="n">
        <f aca="false">IF($A1267="","",IF(P1267=0,"",O1267-P1267))</f>
        <v>411515</v>
      </c>
      <c r="S1267" s="1" t="n">
        <f aca="false">IF($A1267="","",IF(R1267="","",R1267+Q1267))</f>
        <v>480641</v>
      </c>
      <c r="T1267" s="1" t="n">
        <f aca="false">IF($A1267="","",IF(OR(S1267="",N1267&lt;=0),"",S1267/1000*12/N1267))</f>
        <v>961.282</v>
      </c>
      <c r="U1267" s="1" t="n">
        <f aca="false">IF($A1267="","",IF(OR(T1267="",J1267=0,J1267=""),"",T1267/J1267))</f>
        <v>0.055246091954023</v>
      </c>
      <c r="V1267" s="1" t="n">
        <f aca="false">IF($A1267="","",IF(OR(R1267="",N1267&lt;=0,J1267=0,J1267=""),"",(R1267/1000*12/N1267)/J1267))</f>
        <v>0.0473005747126437</v>
      </c>
      <c r="W1267" s="1" t="n">
        <f aca="false">IF($A1267="","",IF(OR(T1267="",K1267=0,K1267=""),"",T1267/K1267))</f>
        <v>0.0498073575129534</v>
      </c>
      <c r="X1267" s="1" t="n">
        <f aca="false">IF($A1267="","",IF(OR(N1267&lt;=0,I1267=0,I1267="",O1267=0),"",O1267*1000/(I1267*0.3025)/N1267))</f>
        <v>20063.4906678942</v>
      </c>
      <c r="Y1267" s="1" t="n">
        <f aca="false">IF($A1267="","",IF(OR(O1267=0,O1267="",P1267=0),"",P1267/O1267))</f>
        <v>0.185919995568718</v>
      </c>
      <c r="Z1267" s="1" t="str">
        <f aca="false">IF($A1267="","",IFERROR(INDEX(物件収支!$E:$E,MATCH($A1267,物件収支!$A:$A,0)),""))</f>
        <v>開示（物件別・費用内訳含む）</v>
      </c>
    </row>
    <row r="1268" customFormat="false" ht="15" hidden="false" customHeight="true" outlineLevel="0" collapsed="false">
      <c r="A1268" s="1" t="str">
        <f aca="false">IF(物件マスタ!A1268="","",物件マスタ!A1268)</f>
        <v>MTR-015</v>
      </c>
      <c r="B1268" s="1" t="str">
        <f aca="false">IF($A1268="","",物件マスタ!B1268)</f>
        <v>MTR</v>
      </c>
      <c r="C1268" s="1" t="str">
        <f aca="false">IF($A1268="","",IFERROR(INDEX(法人マスタ!$C:$C,MATCH($B1268,法人マスタ!$A:$A,0)),""))</f>
        <v>森トラストリート投資法人</v>
      </c>
      <c r="D1268" s="1" t="str">
        <f aca="false">IF($A1268="","",物件マスタ!C1268)</f>
        <v>コートヤード・バイ・マリオット 東京ステーション</v>
      </c>
      <c r="E1268" s="1" t="str">
        <f aca="false">IF($A1268="","",物件マスタ!H1268)</f>
        <v>都心5区</v>
      </c>
      <c r="F1268" s="53" t="n">
        <f aca="false">IF($A1268="","",物件マスタ!P1268)</f>
        <v>41671</v>
      </c>
      <c r="G1268" s="1" t="n">
        <f aca="false">IF($A1268="","",物件マスタ!Q1268)</f>
        <v>12.5</v>
      </c>
      <c r="H1268" s="1" t="n">
        <f aca="false">IF($A1268="","",物件マスタ!L1268)</f>
        <v>0</v>
      </c>
      <c r="I1268" s="1" t="n">
        <f aca="false">IF($A1268="","",物件マスタ!M1268)</f>
        <v>5255.05</v>
      </c>
      <c r="J1268" s="1" t="n">
        <f aca="false">IF($A1268="","",物件マスタ!S1268)</f>
        <v>17017</v>
      </c>
      <c r="K1268" s="1" t="n">
        <f aca="false">IF($A1268="","",物件マスタ!U1268)</f>
        <v>20289</v>
      </c>
      <c r="L1268" s="1" t="n">
        <f aca="false">IF($A1268="","",物件マスタ!W1268)</f>
        <v>1</v>
      </c>
      <c r="M1268" s="1" t="str">
        <f aca="false">IF($A1268="","",IFERROR(INDEX(法人マスタ!$H:$H,MATCH($B1268,法人マスタ!$A:$A,0)),""))</f>
        <v>2026年2月期（第48期）</v>
      </c>
      <c r="N1268" s="1" t="n">
        <f aca="false">IF($A1268="","",SUMIFS(物件収支!$D:$D,物件収支!$A:$A,$A1268,物件収支!$C:$C,$M1268))</f>
        <v>6</v>
      </c>
      <c r="O1268" s="1" t="n">
        <f aca="false">IF($A1268="","",SUMIFS(物件収支!$F:$F,物件収支!$A:$A,$A1268,物件収支!$C:$C,$M1268))</f>
        <v>502021</v>
      </c>
      <c r="P1268" s="1" t="n">
        <f aca="false">IF($A1268="","",SUMIFS(物件収支!$I:$I,物件収支!$A:$A,$A1268,物件収支!$C:$C,$M1268))</f>
        <v>68102</v>
      </c>
      <c r="Q1268" s="1" t="n">
        <f aca="false">IF($A1268="","",SUMIFS(物件収支!$O:$O,物件収支!$A:$A,$A1268,物件収支!$C:$C,$M1268))</f>
        <v>40500</v>
      </c>
      <c r="R1268" s="1" t="n">
        <f aca="false">IF($A1268="","",IF(P1268=0,"",O1268-P1268))</f>
        <v>433919</v>
      </c>
      <c r="S1268" s="1" t="n">
        <f aca="false">IF($A1268="","",IF(R1268="","",R1268+Q1268))</f>
        <v>474419</v>
      </c>
      <c r="T1268" s="1" t="n">
        <f aca="false">IF($A1268="","",IF(OR(S1268="",N1268&lt;=0),"",S1268/1000*12/N1268))</f>
        <v>948.838</v>
      </c>
      <c r="U1268" s="1" t="n">
        <f aca="false">IF($A1268="","",IF(OR(T1268="",J1268=0,J1268=""),"",T1268/J1268))</f>
        <v>0.0557582417582418</v>
      </c>
      <c r="V1268" s="1" t="n">
        <f aca="false">IF($A1268="","",IF(OR(R1268="",N1268&lt;=0,J1268=0,J1268=""),"",(R1268/1000*12/N1268)/J1268))</f>
        <v>0.0509982958218252</v>
      </c>
      <c r="W1268" s="1" t="n">
        <f aca="false">IF($A1268="","",IF(OR(T1268="",K1268=0,K1268=""),"",T1268/K1268))</f>
        <v>0.0467661294297403</v>
      </c>
      <c r="X1268" s="1" t="n">
        <f aca="false">IF($A1268="","",IF(OR(N1268&lt;=0,I1268=0,I1268="",O1268=0),"",O1268*1000/(I1268*0.3025)/N1268))</f>
        <v>52634.2455897663</v>
      </c>
      <c r="Y1268" s="1" t="n">
        <f aca="false">IF($A1268="","",IF(OR(O1268=0,O1268="",P1268=0),"",P1268/O1268))</f>
        <v>0.135655679742481</v>
      </c>
      <c r="Z1268" s="1" t="str">
        <f aca="false">IF($A1268="","",IFERROR(INDEX(物件収支!$E:$E,MATCH($A1268,物件収支!$A:$A,0)),""))</f>
        <v>開示（物件別・費用内訳含む）</v>
      </c>
    </row>
    <row r="1269" customFormat="false" ht="15" hidden="false" customHeight="true" outlineLevel="0" collapsed="false">
      <c r="A1269" s="1" t="str">
        <f aca="false">IF(物件マスタ!A1269="","",物件マスタ!A1269)</f>
        <v>MTR-016</v>
      </c>
      <c r="B1269" s="1" t="str">
        <f aca="false">IF($A1269="","",物件マスタ!B1269)</f>
        <v>MTR</v>
      </c>
      <c r="C1269" s="1" t="str">
        <f aca="false">IF($A1269="","",IFERROR(INDEX(法人マスタ!$C:$C,MATCH($B1269,法人マスタ!$A:$A,0)),""))</f>
        <v>森トラストリート投資法人</v>
      </c>
      <c r="D1269" s="1" t="str">
        <f aca="false">IF($A1269="","",物件マスタ!C1269)</f>
        <v>ホテルサンルートプラザ新宿</v>
      </c>
      <c r="E1269" s="1" t="str">
        <f aca="false">IF($A1269="","",物件マスタ!H1269)</f>
        <v>都心5区</v>
      </c>
      <c r="F1269" s="53" t="n">
        <f aca="false">IF($A1269="","",物件マスタ!P1269)</f>
        <v>39295</v>
      </c>
      <c r="G1269" s="1" t="n">
        <f aca="false">IF($A1269="","",物件マスタ!Q1269)</f>
        <v>19</v>
      </c>
      <c r="H1269" s="1" t="n">
        <f aca="false">IF($A1269="","",物件マスタ!L1269)</f>
        <v>0</v>
      </c>
      <c r="I1269" s="1" t="n">
        <f aca="false">IF($A1269="","",物件マスタ!M1269)</f>
        <v>21248.23</v>
      </c>
      <c r="J1269" s="1" t="n">
        <f aca="false">IF($A1269="","",物件マスタ!S1269)</f>
        <v>32500</v>
      </c>
      <c r="K1269" s="1" t="n">
        <f aca="false">IF($A1269="","",物件マスタ!U1269)</f>
        <v>65500</v>
      </c>
      <c r="L1269" s="1" t="n">
        <f aca="false">IF($A1269="","",物件マスタ!W1269)</f>
        <v>1</v>
      </c>
      <c r="M1269" s="1" t="str">
        <f aca="false">IF($A1269="","",IFERROR(INDEX(法人マスタ!$H:$H,MATCH($B1269,法人マスタ!$A:$A,0)),""))</f>
        <v>2026年2月期（第48期）</v>
      </c>
      <c r="N1269" s="1" t="n">
        <f aca="false">IF($A1269="","",SUMIFS(物件収支!$D:$D,物件収支!$A:$A,$A1269,物件収支!$C:$C,$M1269))</f>
        <v>6</v>
      </c>
      <c r="O1269" s="1" t="n">
        <f aca="false">IF($A1269="","",SUMIFS(物件収支!$F:$F,物件収支!$A:$A,$A1269,物件収支!$C:$C,$M1269))</f>
        <v>653716</v>
      </c>
      <c r="P1269" s="1" t="n">
        <f aca="false">IF($A1269="","",SUMIFS(物件収支!$I:$I,物件収支!$A:$A,$A1269,物件収支!$C:$C,$M1269))</f>
        <v>130272</v>
      </c>
      <c r="Q1269" s="1" t="n">
        <f aca="false">IF($A1269="","",SUMIFS(物件収支!$O:$O,物件収支!$A:$A,$A1269,物件収支!$C:$C,$M1269))</f>
        <v>52159</v>
      </c>
      <c r="R1269" s="1" t="n">
        <f aca="false">IF($A1269="","",IF(P1269=0,"",O1269-P1269))</f>
        <v>523444</v>
      </c>
      <c r="S1269" s="1" t="n">
        <f aca="false">IF($A1269="","",IF(R1269="","",R1269+Q1269))</f>
        <v>575603</v>
      </c>
      <c r="T1269" s="1" t="n">
        <f aca="false">IF($A1269="","",IF(OR(S1269="",N1269&lt;=0),"",S1269/1000*12/N1269))</f>
        <v>1151.206</v>
      </c>
      <c r="U1269" s="1" t="n">
        <f aca="false">IF($A1269="","",IF(OR(T1269="",J1269=0,J1269=""),"",T1269/J1269))</f>
        <v>0.0354217230769231</v>
      </c>
      <c r="V1269" s="1" t="n">
        <f aca="false">IF($A1269="","",IF(OR(R1269="",N1269&lt;=0,J1269=0,J1269=""),"",(R1269/1000*12/N1269)/J1269))</f>
        <v>0.0322119384615385</v>
      </c>
      <c r="W1269" s="1" t="n">
        <f aca="false">IF($A1269="","",IF(OR(T1269="",K1269=0,K1269=""),"",T1269/K1269))</f>
        <v>0.0175756641221374</v>
      </c>
      <c r="X1269" s="1" t="n">
        <f aca="false">IF($A1269="","",IF(OR(N1269&lt;=0,I1269=0,I1269="",O1269=0),"",O1269*1000/(I1269*0.3025)/N1269))</f>
        <v>16950.7815325416</v>
      </c>
      <c r="Y1269" s="1" t="n">
        <f aca="false">IF($A1269="","",IF(OR(O1269=0,O1269="",P1269=0),"",P1269/O1269))</f>
        <v>0.199279197694412</v>
      </c>
      <c r="Z1269" s="1" t="str">
        <f aca="false">IF($A1269="","",IFERROR(INDEX(物件収支!$E:$E,MATCH($A1269,物件収支!$A:$A,0)),""))</f>
        <v>開示（物件別・費用内訳含む）</v>
      </c>
    </row>
    <row r="1270" customFormat="false" ht="15" hidden="false" customHeight="true" outlineLevel="0" collapsed="false">
      <c r="A1270" s="1" t="str">
        <f aca="false">IF(物件マスタ!A1270="","",物件マスタ!A1270)</f>
        <v>MTR-017</v>
      </c>
      <c r="B1270" s="1" t="str">
        <f aca="false">IF($A1270="","",物件マスタ!B1270)</f>
        <v>MTR</v>
      </c>
      <c r="C1270" s="1" t="str">
        <f aca="false">IF($A1270="","",IFERROR(INDEX(法人マスタ!$C:$C,MATCH($B1270,法人マスタ!$A:$A,0)),""))</f>
        <v>森トラストリート投資法人</v>
      </c>
      <c r="D1270" s="1" t="str">
        <f aca="false">IF($A1270="","",物件マスタ!C1270)</f>
        <v>渋谷フラッグ</v>
      </c>
      <c r="E1270" s="1" t="str">
        <f aca="false">IF($A1270="","",物件マスタ!H1270)</f>
        <v>都心5区</v>
      </c>
      <c r="F1270" s="53" t="n">
        <f aca="false">IF($A1270="","",物件マスタ!P1270)</f>
        <v>40026</v>
      </c>
      <c r="G1270" s="1" t="n">
        <f aca="false">IF($A1270="","",物件マスタ!Q1270)</f>
        <v>17</v>
      </c>
      <c r="H1270" s="1" t="n">
        <f aca="false">IF($A1270="","",物件マスタ!L1270)</f>
        <v>0</v>
      </c>
      <c r="I1270" s="1" t="n">
        <f aca="false">IF($A1270="","",物件マスタ!M1270)</f>
        <v>5983.86</v>
      </c>
      <c r="J1270" s="1" t="n">
        <f aca="false">IF($A1270="","",物件マスタ!S1270)</f>
        <v>32040</v>
      </c>
      <c r="K1270" s="1" t="n">
        <f aca="false">IF($A1270="","",物件マスタ!U1270)</f>
        <v>41900</v>
      </c>
      <c r="L1270" s="1" t="n">
        <f aca="false">IF($A1270="","",物件マスタ!W1270)</f>
        <v>1</v>
      </c>
      <c r="M1270" s="1" t="str">
        <f aca="false">IF($A1270="","",IFERROR(INDEX(法人マスタ!$H:$H,MATCH($B1270,法人マスタ!$A:$A,0)),""))</f>
        <v>2026年2月期（第48期）</v>
      </c>
      <c r="N1270" s="1" t="n">
        <f aca="false">IF($A1270="","",SUMIFS(物件収支!$D:$D,物件収支!$A:$A,$A1270,物件収支!$C:$C,$M1270))</f>
        <v>6</v>
      </c>
      <c r="O1270" s="1" t="n">
        <f aca="false">IF($A1270="","",SUMIFS(物件収支!$F:$F,物件収支!$A:$A,$A1270,物件収支!$C:$C,$M1270))</f>
        <v>0</v>
      </c>
      <c r="P1270" s="1" t="n">
        <f aca="false">IF($A1270="","",SUMIFS(物件収支!$I:$I,物件収支!$A:$A,$A1270,物件収支!$C:$C,$M1270))</f>
        <v>0</v>
      </c>
      <c r="Q1270" s="1" t="n">
        <f aca="false">IF($A1270="","",SUMIFS(物件収支!$O:$O,物件収支!$A:$A,$A1270,物件収支!$C:$C,$M1270))</f>
        <v>0</v>
      </c>
      <c r="R1270" s="1" t="str">
        <f aca="false">IF($A1270="","",IF(P1270=0,"",O1270-P1270))</f>
        <v/>
      </c>
      <c r="S1270" s="1" t="str">
        <f aca="false">IF($A1270="","",IF(R1270="","",R1270+Q1270))</f>
        <v/>
      </c>
      <c r="T1270" s="1" t="str">
        <f aca="false">IF($A1270="","",IF(OR(S1270="",N1270&lt;=0),"",S1270/1000*12/N1270))</f>
        <v/>
      </c>
      <c r="U1270" s="1" t="str">
        <f aca="false">IF($A1270="","",IF(OR(T1270="",J1270=0,J1270=""),"",T1270/J1270))</f>
        <v/>
      </c>
      <c r="V1270" s="1" t="str">
        <f aca="false">IF($A1270="","",IF(OR(R1270="",N1270&lt;=0,J1270=0,J1270=""),"",(R1270/1000*12/N1270)/J1270))</f>
        <v/>
      </c>
      <c r="W1270" s="1" t="str">
        <f aca="false">IF($A1270="","",IF(OR(T1270="",K1270=0,K1270=""),"",T1270/K1270))</f>
        <v/>
      </c>
      <c r="X1270" s="1" t="str">
        <f aca="false">IF($A1270="","",IF(OR(N1270&lt;=0,I1270=0,I1270="",O1270=0),"",O1270*1000/(I1270*0.3025)/N1270))</f>
        <v/>
      </c>
      <c r="Y1270" s="1" t="str">
        <f aca="false">IF($A1270="","",IF(OR(O1270=0,O1270="",P1270=0),"",P1270/O1270))</f>
        <v/>
      </c>
      <c r="Z1270" s="1" t="str">
        <f aca="false">IF($A1270="","",IFERROR(INDEX(物件収支!$E:$E,MATCH($A1270,物件収支!$A:$A,0)),""))</f>
        <v>非開示（NOI・損益のみ開示）</v>
      </c>
    </row>
    <row r="1271" customFormat="false" ht="15" hidden="false" customHeight="true" outlineLevel="0" collapsed="false">
      <c r="A1271" s="1" t="str">
        <f aca="false">IF(物件マスタ!A1271="","",物件マスタ!A1271)</f>
        <v>MTR-018</v>
      </c>
      <c r="B1271" s="1" t="str">
        <f aca="false">IF($A1271="","",物件マスタ!B1271)</f>
        <v>MTR</v>
      </c>
      <c r="C1271" s="1" t="str">
        <f aca="false">IF($A1271="","",IFERROR(INDEX(法人マスタ!$C:$C,MATCH($B1271,法人マスタ!$A:$A,0)),""))</f>
        <v>森トラストリート投資法人</v>
      </c>
      <c r="D1271" s="1" t="str">
        <f aca="false">IF($A1271="","",物件マスタ!C1271)</f>
        <v>イトーヨーカドー湘南台店</v>
      </c>
      <c r="E1271" s="1" t="str">
        <f aca="false">IF($A1271="","",物件マスタ!H1271)</f>
        <v>東京周辺都市部</v>
      </c>
      <c r="F1271" s="53" t="n">
        <f aca="false">IF($A1271="","",物件マスタ!P1271)</f>
        <v>37561</v>
      </c>
      <c r="G1271" s="1" t="n">
        <f aca="false">IF($A1271="","",物件マスタ!Q1271)</f>
        <v>23.8</v>
      </c>
      <c r="H1271" s="1" t="n">
        <f aca="false">IF($A1271="","",物件マスタ!L1271)</f>
        <v>0</v>
      </c>
      <c r="I1271" s="1" t="n">
        <f aca="false">IF($A1271="","",物件マスタ!M1271)</f>
        <v>53393.66</v>
      </c>
      <c r="J1271" s="1" t="n">
        <f aca="false">IF($A1271="","",物件マスタ!S1271)</f>
        <v>11600</v>
      </c>
      <c r="K1271" s="1" t="n">
        <f aca="false">IF($A1271="","",物件マスタ!U1271)</f>
        <v>10800</v>
      </c>
      <c r="L1271" s="1" t="n">
        <f aca="false">IF($A1271="","",物件マスタ!W1271)</f>
        <v>1</v>
      </c>
      <c r="M1271" s="1" t="str">
        <f aca="false">IF($A1271="","",IFERROR(INDEX(法人マスタ!$H:$H,MATCH($B1271,法人マスタ!$A:$A,0)),""))</f>
        <v>2026年2月期（第48期）</v>
      </c>
      <c r="N1271" s="1" t="n">
        <f aca="false">IF($A1271="","",SUMIFS(物件収支!$D:$D,物件収支!$A:$A,$A1271,物件収支!$C:$C,$M1271))</f>
        <v>6</v>
      </c>
      <c r="O1271" s="1" t="n">
        <f aca="false">IF($A1271="","",SUMIFS(物件収支!$F:$F,物件収支!$A:$A,$A1271,物件収支!$C:$C,$M1271))</f>
        <v>375022</v>
      </c>
      <c r="P1271" s="1" t="n">
        <f aca="false">IF($A1271="","",SUMIFS(物件収支!$I:$I,物件収支!$A:$A,$A1271,物件収支!$C:$C,$M1271))</f>
        <v>77279</v>
      </c>
      <c r="Q1271" s="1" t="n">
        <f aca="false">IF($A1271="","",SUMIFS(物件収支!$O:$O,物件収支!$A:$A,$A1271,物件収支!$C:$C,$M1271))</f>
        <v>36000</v>
      </c>
      <c r="R1271" s="1" t="n">
        <f aca="false">IF($A1271="","",IF(P1271=0,"",O1271-P1271))</f>
        <v>297743</v>
      </c>
      <c r="S1271" s="1" t="n">
        <f aca="false">IF($A1271="","",IF(R1271="","",R1271+Q1271))</f>
        <v>333743</v>
      </c>
      <c r="T1271" s="1" t="n">
        <f aca="false">IF($A1271="","",IF(OR(S1271="",N1271&lt;=0),"",S1271/1000*12/N1271))</f>
        <v>667.486</v>
      </c>
      <c r="U1271" s="1" t="n">
        <f aca="false">IF($A1271="","",IF(OR(T1271="",J1271=0,J1271=""),"",T1271/J1271))</f>
        <v>0.0575418965517241</v>
      </c>
      <c r="V1271" s="1" t="n">
        <f aca="false">IF($A1271="","",IF(OR(R1271="",N1271&lt;=0,J1271=0,J1271=""),"",(R1271/1000*12/N1271)/J1271))</f>
        <v>0.051335</v>
      </c>
      <c r="W1271" s="1" t="n">
        <f aca="false">IF($A1271="","",IF(OR(T1271="",K1271=0,K1271=""),"",T1271/K1271))</f>
        <v>0.0618042592592593</v>
      </c>
      <c r="X1271" s="1" t="n">
        <f aca="false">IF($A1271="","",IF(OR(N1271&lt;=0,I1271=0,I1271="",O1271=0),"",O1271*1000/(I1271*0.3025)/N1271))</f>
        <v>3869.81696815793</v>
      </c>
      <c r="Y1271" s="1" t="n">
        <f aca="false">IF($A1271="","",IF(OR(O1271=0,O1271="",P1271=0),"",P1271/O1271))</f>
        <v>0.206065244172342</v>
      </c>
      <c r="Z1271" s="1" t="str">
        <f aca="false">IF($A1271="","",IFERROR(INDEX(物件収支!$E:$E,MATCH($A1271,物件収支!$A:$A,0)),""))</f>
        <v>開示（物件別・費用内訳含む）</v>
      </c>
    </row>
    <row r="1272" customFormat="false" ht="15" hidden="false" customHeight="true" outlineLevel="0" collapsed="false">
      <c r="A1272" s="1" t="str">
        <f aca="false">IF(物件マスタ!A1272="","",物件マスタ!A1272)</f>
        <v>MTR-019</v>
      </c>
      <c r="B1272" s="1" t="str">
        <f aca="false">IF($A1272="","",物件マスタ!B1272)</f>
        <v>MTR</v>
      </c>
      <c r="C1272" s="1" t="str">
        <f aca="false">IF($A1272="","",IFERROR(INDEX(法人マスタ!$C:$C,MATCH($B1272,法人マスタ!$A:$A,0)),""))</f>
        <v>森トラストリート投資法人</v>
      </c>
      <c r="D1272" s="1" t="str">
        <f aca="false">IF($A1272="","",物件マスタ!C1272)</f>
        <v>フレスポ稲毛</v>
      </c>
      <c r="E1272" s="1" t="str">
        <f aca="false">IF($A1272="","",物件マスタ!H1272)</f>
        <v>東京周辺都市部</v>
      </c>
      <c r="F1272" s="1" t="n">
        <f aca="false">IF($A1272="","",物件マスタ!P1272)</f>
        <v>0</v>
      </c>
      <c r="G1272" s="1" t="str">
        <f aca="false">IF($A1272="","",物件マスタ!Q1272)</f>
        <v/>
      </c>
      <c r="H1272" s="1" t="n">
        <f aca="false">IF($A1272="","",物件マスタ!L1272)</f>
        <v>0</v>
      </c>
      <c r="I1272" s="1" t="n">
        <f aca="false">IF($A1272="","",物件マスタ!M1272)</f>
        <v>39556.71</v>
      </c>
      <c r="J1272" s="1" t="n">
        <f aca="false">IF($A1272="","",物件マスタ!S1272)</f>
        <v>2100</v>
      </c>
      <c r="K1272" s="1" t="n">
        <f aca="false">IF($A1272="","",物件マスタ!U1272)</f>
        <v>3060</v>
      </c>
      <c r="L1272" s="1" t="n">
        <f aca="false">IF($A1272="","",物件マスタ!W1272)</f>
        <v>1</v>
      </c>
      <c r="M1272" s="1" t="str">
        <f aca="false">IF($A1272="","",IFERROR(INDEX(法人マスタ!$H:$H,MATCH($B1272,法人マスタ!$A:$A,0)),""))</f>
        <v>2026年2月期（第48期）</v>
      </c>
      <c r="N1272" s="1" t="n">
        <f aca="false">IF($A1272="","",SUMIFS(物件収支!$D:$D,物件収支!$A:$A,$A1272,物件収支!$C:$C,$M1272))</f>
        <v>6</v>
      </c>
      <c r="O1272" s="1" t="n">
        <f aca="false">IF($A1272="","",SUMIFS(物件収支!$F:$F,物件収支!$A:$A,$A1272,物件収支!$C:$C,$M1272))</f>
        <v>123609</v>
      </c>
      <c r="P1272" s="1" t="n">
        <f aca="false">IF($A1272="","",SUMIFS(物件収支!$I:$I,物件収支!$A:$A,$A1272,物件収支!$C:$C,$M1272))</f>
        <v>8019</v>
      </c>
      <c r="Q1272" s="1" t="n">
        <f aca="false">IF($A1272="","",SUMIFS(物件収支!$O:$O,物件収支!$A:$A,$A1272,物件収支!$C:$C,$M1272))</f>
        <v>0</v>
      </c>
      <c r="R1272" s="1" t="n">
        <f aca="false">IF($A1272="","",IF(P1272=0,"",O1272-P1272))</f>
        <v>115590</v>
      </c>
      <c r="S1272" s="1" t="n">
        <f aca="false">IF($A1272="","",IF(R1272="","",R1272+Q1272))</f>
        <v>115590</v>
      </c>
      <c r="T1272" s="1" t="n">
        <f aca="false">IF($A1272="","",IF(OR(S1272="",N1272&lt;=0),"",S1272/1000*12/N1272))</f>
        <v>231.18</v>
      </c>
      <c r="U1272" s="1" t="n">
        <f aca="false">IF($A1272="","",IF(OR(T1272="",J1272=0,J1272=""),"",T1272/J1272))</f>
        <v>0.110085714285714</v>
      </c>
      <c r="V1272" s="1" t="n">
        <f aca="false">IF($A1272="","",IF(OR(R1272="",N1272&lt;=0,J1272=0,J1272=""),"",(R1272/1000*12/N1272)/J1272))</f>
        <v>0.110085714285714</v>
      </c>
      <c r="W1272" s="1" t="n">
        <f aca="false">IF($A1272="","",IF(OR(T1272="",K1272=0,K1272=""),"",T1272/K1272))</f>
        <v>0.0755490196078431</v>
      </c>
      <c r="X1272" s="1" t="n">
        <f aca="false">IF($A1272="","",IF(OR(N1272&lt;=0,I1272=0,I1272="",O1272=0),"",O1272*1000/(I1272*0.3025)/N1272))</f>
        <v>1721.6834319994</v>
      </c>
      <c r="Y1272" s="1" t="n">
        <f aca="false">IF($A1272="","",IF(OR(O1272=0,O1272="",P1272=0),"",P1272/O1272))</f>
        <v>0.0648739169477951</v>
      </c>
      <c r="Z1272" s="1" t="str">
        <f aca="false">IF($A1272="","",IFERROR(INDEX(物件収支!$E:$E,MATCH($A1272,物件収支!$A:$A,0)),""))</f>
        <v>開示（物件別・費用内訳含む）</v>
      </c>
    </row>
    <row r="1273" customFormat="false" ht="15" hidden="false" customHeight="true" outlineLevel="0" collapsed="false">
      <c r="A1273" s="1" t="str">
        <f aca="false">IF(物件マスタ!A1273="","",物件マスタ!A1273)</f>
        <v>MTR-020</v>
      </c>
      <c r="B1273" s="1" t="str">
        <f aca="false">IF($A1273="","",物件マスタ!B1273)</f>
        <v>MTR</v>
      </c>
      <c r="C1273" s="1" t="str">
        <f aca="false">IF($A1273="","",IFERROR(INDEX(法人マスタ!$C:$C,MATCH($B1273,法人マスタ!$A:$A,0)),""))</f>
        <v>森トラストリート投資法人</v>
      </c>
      <c r="D1273" s="1" t="str">
        <f aca="false">IF($A1273="","",物件マスタ!C1273)</f>
        <v>パークレーンプラザ</v>
      </c>
      <c r="E1273" s="1" t="str">
        <f aca="false">IF($A1273="","",物件マスタ!H1273)</f>
        <v>都心5区</v>
      </c>
      <c r="F1273" s="53" t="n">
        <f aca="false">IF($A1273="","",物件マスタ!P1273)</f>
        <v>32295</v>
      </c>
      <c r="G1273" s="1" t="n">
        <f aca="false">IF($A1273="","",物件マスタ!Q1273)</f>
        <v>38.2</v>
      </c>
      <c r="H1273" s="1" t="n">
        <f aca="false">IF($A1273="","",物件マスタ!L1273)</f>
        <v>0</v>
      </c>
      <c r="I1273" s="1" t="n">
        <f aca="false">IF($A1273="","",物件マスタ!M1273)</f>
        <v>4443.03</v>
      </c>
      <c r="J1273" s="1" t="n">
        <f aca="false">IF($A1273="","",物件マスタ!S1273)</f>
        <v>3200</v>
      </c>
      <c r="K1273" s="1" t="n">
        <f aca="false">IF($A1273="","",物件マスタ!U1273)</f>
        <v>4920</v>
      </c>
      <c r="L1273" s="1" t="n">
        <f aca="false">IF($A1273="","",物件マスタ!W1273)</f>
        <v>0.85</v>
      </c>
      <c r="M1273" s="1" t="str">
        <f aca="false">IF($A1273="","",IFERROR(INDEX(法人マスタ!$H:$H,MATCH($B1273,法人マスタ!$A:$A,0)),""))</f>
        <v>2026年2月期（第48期）</v>
      </c>
      <c r="N1273" s="1" t="n">
        <f aca="false">IF($A1273="","",SUMIFS(物件収支!$D:$D,物件収支!$A:$A,$A1273,物件収支!$C:$C,$M1273))</f>
        <v>6</v>
      </c>
      <c r="O1273" s="1" t="n">
        <f aca="false">IF($A1273="","",SUMIFS(物件収支!$F:$F,物件収支!$A:$A,$A1273,物件収支!$C:$C,$M1273))</f>
        <v>100605</v>
      </c>
      <c r="P1273" s="1" t="n">
        <f aca="false">IF($A1273="","",SUMIFS(物件収支!$I:$I,物件収支!$A:$A,$A1273,物件収支!$C:$C,$M1273))</f>
        <v>32707</v>
      </c>
      <c r="Q1273" s="1" t="n">
        <f aca="false">IF($A1273="","",SUMIFS(物件収支!$O:$O,物件収支!$A:$A,$A1273,物件収支!$C:$C,$M1273))</f>
        <v>7776</v>
      </c>
      <c r="R1273" s="1" t="n">
        <f aca="false">IF($A1273="","",IF(P1273=0,"",O1273-P1273))</f>
        <v>67898</v>
      </c>
      <c r="S1273" s="1" t="n">
        <f aca="false">IF($A1273="","",IF(R1273="","",R1273+Q1273))</f>
        <v>75674</v>
      </c>
      <c r="T1273" s="1" t="n">
        <f aca="false">IF($A1273="","",IF(OR(S1273="",N1273&lt;=0),"",S1273/1000*12/N1273))</f>
        <v>151.348</v>
      </c>
      <c r="U1273" s="1" t="n">
        <f aca="false">IF($A1273="","",IF(OR(T1273="",J1273=0,J1273=""),"",T1273/J1273))</f>
        <v>0.04729625</v>
      </c>
      <c r="V1273" s="1" t="n">
        <f aca="false">IF($A1273="","",IF(OR(R1273="",N1273&lt;=0,J1273=0,J1273=""),"",(R1273/1000*12/N1273)/J1273))</f>
        <v>0.04243625</v>
      </c>
      <c r="W1273" s="1" t="n">
        <f aca="false">IF($A1273="","",IF(OR(T1273="",K1273=0,K1273=""),"",T1273/K1273))</f>
        <v>0.0307617886178862</v>
      </c>
      <c r="X1273" s="1" t="n">
        <f aca="false">IF($A1273="","",IF(OR(N1273&lt;=0,I1273=0,I1273="",O1273=0),"",O1273*1000/(I1273*0.3025)/N1273))</f>
        <v>12475.6645951334</v>
      </c>
      <c r="Y1273" s="1" t="n">
        <f aca="false">IF($A1273="","",IF(OR(O1273=0,O1273="",P1273=0),"",P1273/O1273))</f>
        <v>0.325103126087173</v>
      </c>
      <c r="Z1273" s="1" t="str">
        <f aca="false">IF($A1273="","",IFERROR(INDEX(物件収支!$E:$E,MATCH($A1273,物件収支!$A:$A,0)),""))</f>
        <v>開示（物件別・費用内訳含む）</v>
      </c>
    </row>
    <row r="1274" customFormat="false" ht="15" hidden="false" customHeight="true" outlineLevel="0" collapsed="false">
      <c r="A1274" s="1" t="str">
        <f aca="false">IF(物件マスタ!A1274="","",物件マスタ!A1274)</f>
        <v>MTR-ALL</v>
      </c>
      <c r="B1274" s="1" t="str">
        <f aca="false">IF($A1274="","",物件マスタ!B1274)</f>
        <v>MTR</v>
      </c>
      <c r="C1274" s="1" t="str">
        <f aca="false">IF($A1274="","",IFERROR(INDEX(法人マスタ!$C:$C,MATCH($B1274,法人マスタ!$A:$A,0)),""))</f>
        <v>森トラストリート投資法人</v>
      </c>
      <c r="D1274" s="1" t="str">
        <f aca="false">IF($A1274="","",物件マスタ!C1274)</f>
        <v>（MTR全20物件一括）</v>
      </c>
      <c r="E1274" s="1" t="str">
        <f aca="false">IF($A1274="","",物件マスタ!H1274)</f>
        <v>（法人一括）</v>
      </c>
      <c r="F1274" s="1" t="n">
        <f aca="false">IF($A1274="","",物件マスタ!P1274)</f>
        <v>0</v>
      </c>
      <c r="G1274" s="1" t="str">
        <f aca="false">IF($A1274="","",物件マスタ!Q1274)</f>
        <v/>
      </c>
      <c r="H1274" s="1" t="n">
        <f aca="false">IF($A1274="","",物件マスタ!L1274)</f>
        <v>0</v>
      </c>
      <c r="I1274" s="1" t="n">
        <f aca="false">IF($A1274="","",物件マスタ!M1274)</f>
        <v>0</v>
      </c>
      <c r="J1274" s="1" t="n">
        <f aca="false">IF($A1274="","",物件マスタ!S1274)</f>
        <v>463522</v>
      </c>
      <c r="K1274" s="1" t="n">
        <f aca="false">IF($A1274="","",物件マスタ!U1274)</f>
        <v>536419</v>
      </c>
      <c r="L1274" s="1" t="n">
        <f aca="false">IF($A1274="","",物件マスタ!W1274)</f>
        <v>0.996</v>
      </c>
      <c r="M1274" s="1" t="str">
        <f aca="false">IF($A1274="","",IFERROR(INDEX(法人マスタ!$H:$H,MATCH($B1274,法人マスタ!$A:$A,0)),""))</f>
        <v>2026年2月期（第48期）</v>
      </c>
      <c r="N1274" s="1" t="n">
        <f aca="false">IF($A1274="","",SUMIFS(物件収支!$D:$D,物件収支!$A:$A,$A1274,物件収支!$C:$C,$M1274))</f>
        <v>6</v>
      </c>
      <c r="O1274" s="1" t="n">
        <f aca="false">IF($A1274="","",SUMIFS(物件収支!$F:$F,物件収支!$A:$A,$A1274,物件収支!$C:$C,$M1274))</f>
        <v>11584936</v>
      </c>
      <c r="P1274" s="1" t="n">
        <f aca="false">IF($A1274="","",SUMIFS(物件収支!$I:$I,物件収支!$A:$A,$A1274,物件収支!$C:$C,$M1274))</f>
        <v>3558722</v>
      </c>
      <c r="Q1274" s="1" t="n">
        <f aca="false">IF($A1274="","",SUMIFS(物件収支!$O:$O,物件収支!$A:$A,$A1274,物件収支!$C:$C,$M1274))</f>
        <v>1016319</v>
      </c>
      <c r="R1274" s="1" t="n">
        <f aca="false">IF($A1274="","",IF(P1274=0,"",O1274-P1274))</f>
        <v>8026214</v>
      </c>
      <c r="S1274" s="1" t="n">
        <f aca="false">IF($A1274="","",IF(R1274="","",R1274+Q1274))</f>
        <v>9042533</v>
      </c>
      <c r="T1274" s="1" t="n">
        <f aca="false">IF($A1274="","",IF(OR(S1274="",N1274&lt;=0),"",S1274/1000*12/N1274))</f>
        <v>18085.066</v>
      </c>
      <c r="U1274" s="1" t="n">
        <f aca="false">IF($A1274="","",IF(OR(T1274="",J1274=0,J1274=""),"",T1274/J1274))</f>
        <v>0.0390166291999085</v>
      </c>
      <c r="V1274" s="1" t="n">
        <f aca="false">IF($A1274="","",IF(OR(R1274="",N1274&lt;=0,J1274=0,J1274=""),"",(R1274/1000*12/N1274)/J1274))</f>
        <v>0.0346314263400658</v>
      </c>
      <c r="W1274" s="1" t="n">
        <f aca="false">IF($A1274="","",IF(OR(T1274="",K1274=0,K1274=""),"",T1274/K1274))</f>
        <v>0.0337144396451282</v>
      </c>
      <c r="X1274" s="1" t="str">
        <f aca="false">IF($A1274="","",IF(OR(N1274&lt;=0,I1274=0,I1274="",O1274=0),"",O1274*1000/(I1274*0.3025)/N1274))</f>
        <v/>
      </c>
      <c r="Y1274" s="1" t="n">
        <f aca="false">IF($A1274="","",IF(OR(O1274=0,O1274="",P1274=0),"",P1274/O1274))</f>
        <v>0.307185296491927</v>
      </c>
      <c r="Z1274" s="1" t="str">
        <f aca="false">IF($A1274="","",IFERROR(INDEX(物件収支!$E:$E,MATCH($A1274,物件収支!$A:$A,0)),""))</f>
        <v>開示（法人一括・費用内訳含む）</v>
      </c>
    </row>
    <row r="1275" customFormat="false" ht="15" hidden="false" customHeight="true" outlineLevel="0" collapsed="false">
      <c r="A1275" s="1" t="str">
        <f aca="false">IF(物件マスタ!A1275="","",物件マスタ!A1275)</f>
        <v/>
      </c>
      <c r="B1275" s="1" t="str">
        <f aca="false">IF($A1275="","",物件マスタ!B1275)</f>
        <v/>
      </c>
      <c r="C1275" s="1" t="str">
        <f aca="false">IF($A1275="","",IFERROR(INDEX(法人マスタ!$C:$C,MATCH($B1275,法人マスタ!$A:$A,0)),""))</f>
        <v/>
      </c>
      <c r="D1275" s="1" t="str">
        <f aca="false">IF($A1275="","",物件マスタ!C1275)</f>
        <v/>
      </c>
      <c r="E1275" s="1" t="str">
        <f aca="false">IF($A1275="","",物件マスタ!H1275)</f>
        <v/>
      </c>
      <c r="F1275" s="1" t="str">
        <f aca="false">IF($A1275="","",物件マスタ!P1275)</f>
        <v/>
      </c>
      <c r="G1275" s="1" t="str">
        <f aca="false">IF($A1275="","",物件マスタ!Q1275)</f>
        <v/>
      </c>
      <c r="H1275" s="1" t="str">
        <f aca="false">IF($A1275="","",物件マスタ!L1275)</f>
        <v/>
      </c>
      <c r="I1275" s="1" t="str">
        <f aca="false">IF($A1275="","",物件マスタ!M1275)</f>
        <v/>
      </c>
      <c r="J1275" s="1" t="str">
        <f aca="false">IF($A1275="","",物件マスタ!S1275)</f>
        <v/>
      </c>
      <c r="K1275" s="1" t="str">
        <f aca="false">IF($A1275="","",物件マスタ!U1275)</f>
        <v/>
      </c>
      <c r="L1275" s="1" t="str">
        <f aca="false">IF($A1275="","",物件マスタ!W1275)</f>
        <v/>
      </c>
      <c r="M1275" s="1" t="str">
        <f aca="false">IF($A1275="","",IFERROR(INDEX(法人マスタ!$H:$H,MATCH($B1275,法人マスタ!$A:$A,0)),""))</f>
        <v/>
      </c>
      <c r="N1275" s="1" t="str">
        <f aca="false">IF($A1275="","",SUMIFS(物件収支!$D:$D,物件収支!$A:$A,$A1275,物件収支!$C:$C,$M1275))</f>
        <v/>
      </c>
      <c r="O1275" s="1" t="str">
        <f aca="false">IF($A1275="","",SUMIFS(物件収支!$F:$F,物件収支!$A:$A,$A1275,物件収支!$C:$C,$M1275))</f>
        <v/>
      </c>
      <c r="P1275" s="1" t="str">
        <f aca="false">IF($A1275="","",SUMIFS(物件収支!$I:$I,物件収支!$A:$A,$A1275,物件収支!$C:$C,$M1275))</f>
        <v/>
      </c>
      <c r="Q1275" s="1" t="str">
        <f aca="false">IF($A1275="","",SUMIFS(物件収支!$O:$O,物件収支!$A:$A,$A1275,物件収支!$C:$C,$M1275))</f>
        <v/>
      </c>
      <c r="R1275" s="1" t="str">
        <f aca="false">IF($A1275="","",IF(P1275=0,"",O1275-P1275))</f>
        <v/>
      </c>
      <c r="S1275" s="1" t="str">
        <f aca="false">IF($A1275="","",IF(R1275="","",R1275+Q1275))</f>
        <v/>
      </c>
      <c r="T1275" s="1" t="str">
        <f aca="false">IF($A1275="","",IF(OR(S1275="",N1275&lt;=0),"",S1275/1000*12/N1275))</f>
        <v/>
      </c>
      <c r="U1275" s="1" t="str">
        <f aca="false">IF($A1275="","",IF(OR(T1275="",J1275=0,J1275=""),"",T1275/J1275))</f>
        <v/>
      </c>
      <c r="V1275" s="1" t="str">
        <f aca="false">IF($A1275="","",IF(OR(R1275="",N1275&lt;=0,J1275=0,J1275=""),"",(R1275/1000*12/N1275)/J1275))</f>
        <v/>
      </c>
      <c r="W1275" s="1" t="str">
        <f aca="false">IF($A1275="","",IF(OR(T1275="",K1275=0,K1275=""),"",T1275/K1275))</f>
        <v/>
      </c>
      <c r="X1275" s="1" t="str">
        <f aca="false">IF($A1275="","",IF(OR(N1275&lt;=0,I1275=0,I1275="",O1275=0),"",O1275*1000/(I1275*0.3025)/N1275))</f>
        <v/>
      </c>
      <c r="Y1275" s="1" t="str">
        <f aca="false">IF($A1275="","",IF(OR(O1275=0,O1275="",P1275=0),"",P1275/O1275))</f>
        <v/>
      </c>
      <c r="Z1275" s="1" t="str">
        <f aca="false">IF($A1275="","",IFERROR(INDEX(物件収支!$E:$E,MATCH($A1275,物件収支!$A:$A,0)),""))</f>
        <v/>
      </c>
    </row>
    <row r="1276" customFormat="false" ht="15" hidden="false" customHeight="true" outlineLevel="0" collapsed="false">
      <c r="A1276" s="1" t="str">
        <f aca="false">IF(物件マスタ!A1276="","",物件マスタ!A1276)</f>
        <v/>
      </c>
      <c r="B1276" s="1" t="str">
        <f aca="false">IF($A1276="","",物件マスタ!B1276)</f>
        <v/>
      </c>
      <c r="C1276" s="1" t="str">
        <f aca="false">IF($A1276="","",IFERROR(INDEX(法人マスタ!$C:$C,MATCH($B1276,法人マスタ!$A:$A,0)),""))</f>
        <v/>
      </c>
      <c r="D1276" s="1" t="str">
        <f aca="false">IF($A1276="","",物件マスタ!C1276)</f>
        <v/>
      </c>
      <c r="E1276" s="1" t="str">
        <f aca="false">IF($A1276="","",物件マスタ!H1276)</f>
        <v/>
      </c>
      <c r="F1276" s="1" t="str">
        <f aca="false">IF($A1276="","",物件マスタ!P1276)</f>
        <v/>
      </c>
      <c r="G1276" s="1" t="str">
        <f aca="false">IF($A1276="","",物件マスタ!Q1276)</f>
        <v/>
      </c>
      <c r="H1276" s="1" t="str">
        <f aca="false">IF($A1276="","",物件マスタ!L1276)</f>
        <v/>
      </c>
      <c r="I1276" s="1" t="str">
        <f aca="false">IF($A1276="","",物件マスタ!M1276)</f>
        <v/>
      </c>
      <c r="J1276" s="1" t="str">
        <f aca="false">IF($A1276="","",物件マスタ!S1276)</f>
        <v/>
      </c>
      <c r="K1276" s="1" t="str">
        <f aca="false">IF($A1276="","",物件マスタ!U1276)</f>
        <v/>
      </c>
      <c r="L1276" s="1" t="str">
        <f aca="false">IF($A1276="","",物件マスタ!W1276)</f>
        <v/>
      </c>
      <c r="M1276" s="1" t="str">
        <f aca="false">IF($A1276="","",IFERROR(INDEX(法人マスタ!$H:$H,MATCH($B1276,法人マスタ!$A:$A,0)),""))</f>
        <v/>
      </c>
      <c r="N1276" s="1" t="str">
        <f aca="false">IF($A1276="","",SUMIFS(物件収支!$D:$D,物件収支!$A:$A,$A1276,物件収支!$C:$C,$M1276))</f>
        <v/>
      </c>
      <c r="O1276" s="1" t="str">
        <f aca="false">IF($A1276="","",SUMIFS(物件収支!$F:$F,物件収支!$A:$A,$A1276,物件収支!$C:$C,$M1276))</f>
        <v/>
      </c>
      <c r="P1276" s="1" t="str">
        <f aca="false">IF($A1276="","",SUMIFS(物件収支!$I:$I,物件収支!$A:$A,$A1276,物件収支!$C:$C,$M1276))</f>
        <v/>
      </c>
      <c r="Q1276" s="1" t="str">
        <f aca="false">IF($A1276="","",SUMIFS(物件収支!$O:$O,物件収支!$A:$A,$A1276,物件収支!$C:$C,$M1276))</f>
        <v/>
      </c>
      <c r="R1276" s="1" t="str">
        <f aca="false">IF($A1276="","",IF(P1276=0,"",O1276-P1276))</f>
        <v/>
      </c>
      <c r="S1276" s="1" t="str">
        <f aca="false">IF($A1276="","",IF(R1276="","",R1276+Q1276))</f>
        <v/>
      </c>
      <c r="T1276" s="1" t="str">
        <f aca="false">IF($A1276="","",IF(OR(S1276="",N1276&lt;=0),"",S1276/1000*12/N1276))</f>
        <v/>
      </c>
      <c r="U1276" s="1" t="str">
        <f aca="false">IF($A1276="","",IF(OR(T1276="",J1276=0,J1276=""),"",T1276/J1276))</f>
        <v/>
      </c>
      <c r="V1276" s="1" t="str">
        <f aca="false">IF($A1276="","",IF(OR(R1276="",N1276&lt;=0,J1276=0,J1276=""),"",(R1276/1000*12/N1276)/J1276))</f>
        <v/>
      </c>
      <c r="W1276" s="1" t="str">
        <f aca="false">IF($A1276="","",IF(OR(T1276="",K1276=0,K1276=""),"",T1276/K1276))</f>
        <v/>
      </c>
      <c r="X1276" s="1" t="str">
        <f aca="false">IF($A1276="","",IF(OR(N1276&lt;=0,I1276=0,I1276="",O1276=0),"",O1276*1000/(I1276*0.3025)/N1276))</f>
        <v/>
      </c>
      <c r="Y1276" s="1" t="str">
        <f aca="false">IF($A1276="","",IF(OR(O1276=0,O1276="",P1276=0),"",P1276/O1276))</f>
        <v/>
      </c>
      <c r="Z1276" s="1" t="str">
        <f aca="false">IF($A1276="","",IFERROR(INDEX(物件収支!$E:$E,MATCH($A1276,物件収支!$A:$A,0)),""))</f>
        <v/>
      </c>
    </row>
    <row r="1277" customFormat="false" ht="15" hidden="false" customHeight="true" outlineLevel="0" collapsed="false">
      <c r="A1277" s="1" t="str">
        <f aca="false">IF(物件マスタ!A1277="","",物件マスタ!A1277)</f>
        <v/>
      </c>
      <c r="B1277" s="1" t="str">
        <f aca="false">IF($A1277="","",物件マスタ!B1277)</f>
        <v/>
      </c>
      <c r="C1277" s="1" t="str">
        <f aca="false">IF($A1277="","",IFERROR(INDEX(法人マスタ!$C:$C,MATCH($B1277,法人マスタ!$A:$A,0)),""))</f>
        <v/>
      </c>
      <c r="D1277" s="1" t="str">
        <f aca="false">IF($A1277="","",物件マスタ!C1277)</f>
        <v/>
      </c>
      <c r="E1277" s="1" t="str">
        <f aca="false">IF($A1277="","",物件マスタ!H1277)</f>
        <v/>
      </c>
      <c r="F1277" s="1" t="str">
        <f aca="false">IF($A1277="","",物件マスタ!P1277)</f>
        <v/>
      </c>
      <c r="G1277" s="1" t="str">
        <f aca="false">IF($A1277="","",物件マスタ!Q1277)</f>
        <v/>
      </c>
      <c r="H1277" s="1" t="str">
        <f aca="false">IF($A1277="","",物件マスタ!L1277)</f>
        <v/>
      </c>
      <c r="I1277" s="1" t="str">
        <f aca="false">IF($A1277="","",物件マスタ!M1277)</f>
        <v/>
      </c>
      <c r="J1277" s="1" t="str">
        <f aca="false">IF($A1277="","",物件マスタ!S1277)</f>
        <v/>
      </c>
      <c r="K1277" s="1" t="str">
        <f aca="false">IF($A1277="","",物件マスタ!U1277)</f>
        <v/>
      </c>
      <c r="L1277" s="1" t="str">
        <f aca="false">IF($A1277="","",物件マスタ!W1277)</f>
        <v/>
      </c>
      <c r="M1277" s="1" t="str">
        <f aca="false">IF($A1277="","",IFERROR(INDEX(法人マスタ!$H:$H,MATCH($B1277,法人マスタ!$A:$A,0)),""))</f>
        <v/>
      </c>
      <c r="N1277" s="1" t="str">
        <f aca="false">IF($A1277="","",SUMIFS(物件収支!$D:$D,物件収支!$A:$A,$A1277,物件収支!$C:$C,$M1277))</f>
        <v/>
      </c>
      <c r="O1277" s="1" t="str">
        <f aca="false">IF($A1277="","",SUMIFS(物件収支!$F:$F,物件収支!$A:$A,$A1277,物件収支!$C:$C,$M1277))</f>
        <v/>
      </c>
      <c r="P1277" s="1" t="str">
        <f aca="false">IF($A1277="","",SUMIFS(物件収支!$I:$I,物件収支!$A:$A,$A1277,物件収支!$C:$C,$M1277))</f>
        <v/>
      </c>
      <c r="Q1277" s="1" t="str">
        <f aca="false">IF($A1277="","",SUMIFS(物件収支!$O:$O,物件収支!$A:$A,$A1277,物件収支!$C:$C,$M1277))</f>
        <v/>
      </c>
      <c r="R1277" s="1" t="str">
        <f aca="false">IF($A1277="","",IF(P1277=0,"",O1277-P1277))</f>
        <v/>
      </c>
      <c r="S1277" s="1" t="str">
        <f aca="false">IF($A1277="","",IF(R1277="","",R1277+Q1277))</f>
        <v/>
      </c>
      <c r="T1277" s="1" t="str">
        <f aca="false">IF($A1277="","",IF(OR(S1277="",N1277&lt;=0),"",S1277/1000*12/N1277))</f>
        <v/>
      </c>
      <c r="U1277" s="1" t="str">
        <f aca="false">IF($A1277="","",IF(OR(T1277="",J1277=0,J1277=""),"",T1277/J1277))</f>
        <v/>
      </c>
      <c r="V1277" s="1" t="str">
        <f aca="false">IF($A1277="","",IF(OR(R1277="",N1277&lt;=0,J1277=0,J1277=""),"",(R1277/1000*12/N1277)/J1277))</f>
        <v/>
      </c>
      <c r="W1277" s="1" t="str">
        <f aca="false">IF($A1277="","",IF(OR(T1277="",K1277=0,K1277=""),"",T1277/K1277))</f>
        <v/>
      </c>
      <c r="X1277" s="1" t="str">
        <f aca="false">IF($A1277="","",IF(OR(N1277&lt;=0,I1277=0,I1277="",O1277=0),"",O1277*1000/(I1277*0.3025)/N1277))</f>
        <v/>
      </c>
      <c r="Y1277" s="1" t="str">
        <f aca="false">IF($A1277="","",IF(OR(O1277=0,O1277="",P1277=0),"",P1277/O1277))</f>
        <v/>
      </c>
      <c r="Z1277" s="1" t="str">
        <f aca="false">IF($A1277="","",IFERROR(INDEX(物件収支!$E:$E,MATCH($A1277,物件収支!$A:$A,0)),""))</f>
        <v/>
      </c>
    </row>
    <row r="1278" customFormat="false" ht="15" hidden="false" customHeight="true" outlineLevel="0" collapsed="false">
      <c r="A1278" s="1" t="str">
        <f aca="false">IF(物件マスタ!A1278="","",物件マスタ!A1278)</f>
        <v/>
      </c>
      <c r="B1278" s="1" t="str">
        <f aca="false">IF($A1278="","",物件マスタ!B1278)</f>
        <v/>
      </c>
      <c r="C1278" s="1" t="str">
        <f aca="false">IF($A1278="","",IFERROR(INDEX(法人マスタ!$C:$C,MATCH($B1278,法人マスタ!$A:$A,0)),""))</f>
        <v/>
      </c>
      <c r="D1278" s="1" t="str">
        <f aca="false">IF($A1278="","",物件マスタ!C1278)</f>
        <v/>
      </c>
      <c r="E1278" s="1" t="str">
        <f aca="false">IF($A1278="","",物件マスタ!H1278)</f>
        <v/>
      </c>
      <c r="F1278" s="1" t="str">
        <f aca="false">IF($A1278="","",物件マスタ!P1278)</f>
        <v/>
      </c>
      <c r="G1278" s="1" t="str">
        <f aca="false">IF($A1278="","",物件マスタ!Q1278)</f>
        <v/>
      </c>
      <c r="H1278" s="1" t="str">
        <f aca="false">IF($A1278="","",物件マスタ!L1278)</f>
        <v/>
      </c>
      <c r="I1278" s="1" t="str">
        <f aca="false">IF($A1278="","",物件マスタ!M1278)</f>
        <v/>
      </c>
      <c r="J1278" s="1" t="str">
        <f aca="false">IF($A1278="","",物件マスタ!S1278)</f>
        <v/>
      </c>
      <c r="K1278" s="1" t="str">
        <f aca="false">IF($A1278="","",物件マスタ!U1278)</f>
        <v/>
      </c>
      <c r="L1278" s="1" t="str">
        <f aca="false">IF($A1278="","",物件マスタ!W1278)</f>
        <v/>
      </c>
      <c r="M1278" s="1" t="str">
        <f aca="false">IF($A1278="","",IFERROR(INDEX(法人マスタ!$H:$H,MATCH($B1278,法人マスタ!$A:$A,0)),""))</f>
        <v/>
      </c>
      <c r="N1278" s="1" t="str">
        <f aca="false">IF($A1278="","",SUMIFS(物件収支!$D:$D,物件収支!$A:$A,$A1278,物件収支!$C:$C,$M1278))</f>
        <v/>
      </c>
      <c r="O1278" s="1" t="str">
        <f aca="false">IF($A1278="","",SUMIFS(物件収支!$F:$F,物件収支!$A:$A,$A1278,物件収支!$C:$C,$M1278))</f>
        <v/>
      </c>
      <c r="P1278" s="1" t="str">
        <f aca="false">IF($A1278="","",SUMIFS(物件収支!$I:$I,物件収支!$A:$A,$A1278,物件収支!$C:$C,$M1278))</f>
        <v/>
      </c>
      <c r="Q1278" s="1" t="str">
        <f aca="false">IF($A1278="","",SUMIFS(物件収支!$O:$O,物件収支!$A:$A,$A1278,物件収支!$C:$C,$M1278))</f>
        <v/>
      </c>
      <c r="R1278" s="1" t="str">
        <f aca="false">IF($A1278="","",IF(P1278=0,"",O1278-P1278))</f>
        <v/>
      </c>
      <c r="S1278" s="1" t="str">
        <f aca="false">IF($A1278="","",IF(R1278="","",R1278+Q1278))</f>
        <v/>
      </c>
      <c r="T1278" s="1" t="str">
        <f aca="false">IF($A1278="","",IF(OR(S1278="",N1278&lt;=0),"",S1278/1000*12/N1278))</f>
        <v/>
      </c>
      <c r="U1278" s="1" t="str">
        <f aca="false">IF($A1278="","",IF(OR(T1278="",J1278=0,J1278=""),"",T1278/J1278))</f>
        <v/>
      </c>
      <c r="V1278" s="1" t="str">
        <f aca="false">IF($A1278="","",IF(OR(R1278="",N1278&lt;=0,J1278=0,J1278=""),"",(R1278/1000*12/N1278)/J1278))</f>
        <v/>
      </c>
      <c r="W1278" s="1" t="str">
        <f aca="false">IF($A1278="","",IF(OR(T1278="",K1278=0,K1278=""),"",T1278/K1278))</f>
        <v/>
      </c>
      <c r="X1278" s="1" t="str">
        <f aca="false">IF($A1278="","",IF(OR(N1278&lt;=0,I1278=0,I1278="",O1278=0),"",O1278*1000/(I1278*0.3025)/N1278))</f>
        <v/>
      </c>
      <c r="Y1278" s="1" t="str">
        <f aca="false">IF($A1278="","",IF(OR(O1278=0,O1278="",P1278=0),"",P1278/O1278))</f>
        <v/>
      </c>
      <c r="Z1278" s="1" t="str">
        <f aca="false">IF($A1278="","",IFERROR(INDEX(物件収支!$E:$E,MATCH($A1278,物件収支!$A:$A,0)),""))</f>
        <v/>
      </c>
    </row>
    <row r="1279" customFormat="false" ht="15" hidden="false" customHeight="true" outlineLevel="0" collapsed="false">
      <c r="A1279" s="1" t="str">
        <f aca="false">IF(物件マスタ!A1279="","",物件マスタ!A1279)</f>
        <v/>
      </c>
      <c r="B1279" s="1" t="str">
        <f aca="false">IF($A1279="","",物件マスタ!B1279)</f>
        <v/>
      </c>
      <c r="C1279" s="1" t="str">
        <f aca="false">IF($A1279="","",IFERROR(INDEX(法人マスタ!$C:$C,MATCH($B1279,法人マスタ!$A:$A,0)),""))</f>
        <v/>
      </c>
      <c r="D1279" s="1" t="str">
        <f aca="false">IF($A1279="","",物件マスタ!C1279)</f>
        <v/>
      </c>
      <c r="E1279" s="1" t="str">
        <f aca="false">IF($A1279="","",物件マスタ!H1279)</f>
        <v/>
      </c>
      <c r="F1279" s="1" t="str">
        <f aca="false">IF($A1279="","",物件マスタ!P1279)</f>
        <v/>
      </c>
      <c r="G1279" s="1" t="str">
        <f aca="false">IF($A1279="","",物件マスタ!Q1279)</f>
        <v/>
      </c>
      <c r="H1279" s="1" t="str">
        <f aca="false">IF($A1279="","",物件マスタ!L1279)</f>
        <v/>
      </c>
      <c r="I1279" s="1" t="str">
        <f aca="false">IF($A1279="","",物件マスタ!M1279)</f>
        <v/>
      </c>
      <c r="J1279" s="1" t="str">
        <f aca="false">IF($A1279="","",物件マスタ!S1279)</f>
        <v/>
      </c>
      <c r="K1279" s="1" t="str">
        <f aca="false">IF($A1279="","",物件マスタ!U1279)</f>
        <v/>
      </c>
      <c r="L1279" s="1" t="str">
        <f aca="false">IF($A1279="","",物件マスタ!W1279)</f>
        <v/>
      </c>
      <c r="M1279" s="1" t="str">
        <f aca="false">IF($A1279="","",IFERROR(INDEX(法人マスタ!$H:$H,MATCH($B1279,法人マスタ!$A:$A,0)),""))</f>
        <v/>
      </c>
      <c r="N1279" s="1" t="str">
        <f aca="false">IF($A1279="","",SUMIFS(物件収支!$D:$D,物件収支!$A:$A,$A1279,物件収支!$C:$C,$M1279))</f>
        <v/>
      </c>
      <c r="O1279" s="1" t="str">
        <f aca="false">IF($A1279="","",SUMIFS(物件収支!$F:$F,物件収支!$A:$A,$A1279,物件収支!$C:$C,$M1279))</f>
        <v/>
      </c>
      <c r="P1279" s="1" t="str">
        <f aca="false">IF($A1279="","",SUMIFS(物件収支!$I:$I,物件収支!$A:$A,$A1279,物件収支!$C:$C,$M1279))</f>
        <v/>
      </c>
      <c r="Q1279" s="1" t="str">
        <f aca="false">IF($A1279="","",SUMIFS(物件収支!$O:$O,物件収支!$A:$A,$A1279,物件収支!$C:$C,$M1279))</f>
        <v/>
      </c>
      <c r="R1279" s="1" t="str">
        <f aca="false">IF($A1279="","",IF(P1279=0,"",O1279-P1279))</f>
        <v/>
      </c>
      <c r="S1279" s="1" t="str">
        <f aca="false">IF($A1279="","",IF(R1279="","",R1279+Q1279))</f>
        <v/>
      </c>
      <c r="T1279" s="1" t="str">
        <f aca="false">IF($A1279="","",IF(OR(S1279="",N1279&lt;=0),"",S1279/1000*12/N1279))</f>
        <v/>
      </c>
      <c r="U1279" s="1" t="str">
        <f aca="false">IF($A1279="","",IF(OR(T1279="",J1279=0,J1279=""),"",T1279/J1279))</f>
        <v/>
      </c>
      <c r="V1279" s="1" t="str">
        <f aca="false">IF($A1279="","",IF(OR(R1279="",N1279&lt;=0,J1279=0,J1279=""),"",(R1279/1000*12/N1279)/J1279))</f>
        <v/>
      </c>
      <c r="W1279" s="1" t="str">
        <f aca="false">IF($A1279="","",IF(OR(T1279="",K1279=0,K1279=""),"",T1279/K1279))</f>
        <v/>
      </c>
      <c r="X1279" s="1" t="str">
        <f aca="false">IF($A1279="","",IF(OR(N1279&lt;=0,I1279=0,I1279="",O1279=0),"",O1279*1000/(I1279*0.3025)/N1279))</f>
        <v/>
      </c>
      <c r="Y1279" s="1" t="str">
        <f aca="false">IF($A1279="","",IF(OR(O1279=0,O1279="",P1279=0),"",P1279/O1279))</f>
        <v/>
      </c>
      <c r="Z1279" s="1" t="str">
        <f aca="false">IF($A1279="","",IFERROR(INDEX(物件収支!$E:$E,MATCH($A1279,物件収支!$A:$A,0)),""))</f>
        <v/>
      </c>
    </row>
    <row r="1280" customFormat="false" ht="15" hidden="false" customHeight="true" outlineLevel="0" collapsed="false">
      <c r="A1280" s="1" t="str">
        <f aca="false">IF(物件マスタ!A1280="","",物件マスタ!A1280)</f>
        <v/>
      </c>
      <c r="B1280" s="1" t="str">
        <f aca="false">IF($A1280="","",物件マスタ!B1280)</f>
        <v/>
      </c>
      <c r="C1280" s="1" t="str">
        <f aca="false">IF($A1280="","",IFERROR(INDEX(法人マスタ!$C:$C,MATCH($B1280,法人マスタ!$A:$A,0)),""))</f>
        <v/>
      </c>
      <c r="D1280" s="1" t="str">
        <f aca="false">IF($A1280="","",物件マスタ!C1280)</f>
        <v/>
      </c>
      <c r="E1280" s="1" t="str">
        <f aca="false">IF($A1280="","",物件マスタ!H1280)</f>
        <v/>
      </c>
      <c r="F1280" s="1" t="str">
        <f aca="false">IF($A1280="","",物件マスタ!P1280)</f>
        <v/>
      </c>
      <c r="G1280" s="1" t="str">
        <f aca="false">IF($A1280="","",物件マスタ!Q1280)</f>
        <v/>
      </c>
      <c r="H1280" s="1" t="str">
        <f aca="false">IF($A1280="","",物件マスタ!L1280)</f>
        <v/>
      </c>
      <c r="I1280" s="1" t="str">
        <f aca="false">IF($A1280="","",物件マスタ!M1280)</f>
        <v/>
      </c>
      <c r="J1280" s="1" t="str">
        <f aca="false">IF($A1280="","",物件マスタ!S1280)</f>
        <v/>
      </c>
      <c r="K1280" s="1" t="str">
        <f aca="false">IF($A1280="","",物件マスタ!U1280)</f>
        <v/>
      </c>
      <c r="L1280" s="1" t="str">
        <f aca="false">IF($A1280="","",物件マスタ!W1280)</f>
        <v/>
      </c>
      <c r="M1280" s="1" t="str">
        <f aca="false">IF($A1280="","",IFERROR(INDEX(法人マスタ!$H:$H,MATCH($B1280,法人マスタ!$A:$A,0)),""))</f>
        <v/>
      </c>
      <c r="N1280" s="1" t="str">
        <f aca="false">IF($A1280="","",SUMIFS(物件収支!$D:$D,物件収支!$A:$A,$A1280,物件収支!$C:$C,$M1280))</f>
        <v/>
      </c>
      <c r="O1280" s="1" t="str">
        <f aca="false">IF($A1280="","",SUMIFS(物件収支!$F:$F,物件収支!$A:$A,$A1280,物件収支!$C:$C,$M1280))</f>
        <v/>
      </c>
      <c r="P1280" s="1" t="str">
        <f aca="false">IF($A1280="","",SUMIFS(物件収支!$I:$I,物件収支!$A:$A,$A1280,物件収支!$C:$C,$M1280))</f>
        <v/>
      </c>
      <c r="Q1280" s="1" t="str">
        <f aca="false">IF($A1280="","",SUMIFS(物件収支!$O:$O,物件収支!$A:$A,$A1280,物件収支!$C:$C,$M1280))</f>
        <v/>
      </c>
      <c r="R1280" s="1" t="str">
        <f aca="false">IF($A1280="","",IF(P1280=0,"",O1280-P1280))</f>
        <v/>
      </c>
      <c r="S1280" s="1" t="str">
        <f aca="false">IF($A1280="","",IF(R1280="","",R1280+Q1280))</f>
        <v/>
      </c>
      <c r="T1280" s="1" t="str">
        <f aca="false">IF($A1280="","",IF(OR(S1280="",N1280&lt;=0),"",S1280/1000*12/N1280))</f>
        <v/>
      </c>
      <c r="U1280" s="1" t="str">
        <f aca="false">IF($A1280="","",IF(OR(T1280="",J1280=0,J1280=""),"",T1280/J1280))</f>
        <v/>
      </c>
      <c r="V1280" s="1" t="str">
        <f aca="false">IF($A1280="","",IF(OR(R1280="",N1280&lt;=0,J1280=0,J1280=""),"",(R1280/1000*12/N1280)/J1280))</f>
        <v/>
      </c>
      <c r="W1280" s="1" t="str">
        <f aca="false">IF($A1280="","",IF(OR(T1280="",K1280=0,K1280=""),"",T1280/K1280))</f>
        <v/>
      </c>
      <c r="X1280" s="1" t="str">
        <f aca="false">IF($A1280="","",IF(OR(N1280&lt;=0,I1280=0,I1280="",O1280=0),"",O1280*1000/(I1280*0.3025)/N1280))</f>
        <v/>
      </c>
      <c r="Y1280" s="1" t="str">
        <f aca="false">IF($A1280="","",IF(OR(O1280=0,O1280="",P1280=0),"",P1280/O1280))</f>
        <v/>
      </c>
      <c r="Z1280" s="1" t="str">
        <f aca="false">IF($A1280="","",IFERROR(INDEX(物件収支!$E:$E,MATCH($A1280,物件収支!$A:$A,0)),""))</f>
        <v/>
      </c>
    </row>
    <row r="1281" customFormat="false" ht="15" hidden="false" customHeight="true" outlineLevel="0" collapsed="false">
      <c r="A1281" s="1" t="str">
        <f aca="false">IF(物件マスタ!A1281="","",物件マスタ!A1281)</f>
        <v/>
      </c>
      <c r="B1281" s="1" t="str">
        <f aca="false">IF($A1281="","",物件マスタ!B1281)</f>
        <v/>
      </c>
      <c r="C1281" s="1" t="str">
        <f aca="false">IF($A1281="","",IFERROR(INDEX(法人マスタ!$C:$C,MATCH($B1281,法人マスタ!$A:$A,0)),""))</f>
        <v/>
      </c>
      <c r="D1281" s="1" t="str">
        <f aca="false">IF($A1281="","",物件マスタ!C1281)</f>
        <v/>
      </c>
      <c r="E1281" s="1" t="str">
        <f aca="false">IF($A1281="","",物件マスタ!H1281)</f>
        <v/>
      </c>
      <c r="F1281" s="1" t="str">
        <f aca="false">IF($A1281="","",物件マスタ!P1281)</f>
        <v/>
      </c>
      <c r="G1281" s="1" t="str">
        <f aca="false">IF($A1281="","",物件マスタ!Q1281)</f>
        <v/>
      </c>
      <c r="H1281" s="1" t="str">
        <f aca="false">IF($A1281="","",物件マスタ!L1281)</f>
        <v/>
      </c>
      <c r="I1281" s="1" t="str">
        <f aca="false">IF($A1281="","",物件マスタ!M1281)</f>
        <v/>
      </c>
      <c r="J1281" s="1" t="str">
        <f aca="false">IF($A1281="","",物件マスタ!S1281)</f>
        <v/>
      </c>
      <c r="K1281" s="1" t="str">
        <f aca="false">IF($A1281="","",物件マスタ!U1281)</f>
        <v/>
      </c>
      <c r="L1281" s="1" t="str">
        <f aca="false">IF($A1281="","",物件マスタ!W1281)</f>
        <v/>
      </c>
      <c r="M1281" s="1" t="str">
        <f aca="false">IF($A1281="","",IFERROR(INDEX(法人マスタ!$H:$H,MATCH($B1281,法人マスタ!$A:$A,0)),""))</f>
        <v/>
      </c>
      <c r="N1281" s="1" t="str">
        <f aca="false">IF($A1281="","",SUMIFS(物件収支!$D:$D,物件収支!$A:$A,$A1281,物件収支!$C:$C,$M1281))</f>
        <v/>
      </c>
      <c r="O1281" s="1" t="str">
        <f aca="false">IF($A1281="","",SUMIFS(物件収支!$F:$F,物件収支!$A:$A,$A1281,物件収支!$C:$C,$M1281))</f>
        <v/>
      </c>
      <c r="P1281" s="1" t="str">
        <f aca="false">IF($A1281="","",SUMIFS(物件収支!$I:$I,物件収支!$A:$A,$A1281,物件収支!$C:$C,$M1281))</f>
        <v/>
      </c>
      <c r="Q1281" s="1" t="str">
        <f aca="false">IF($A1281="","",SUMIFS(物件収支!$O:$O,物件収支!$A:$A,$A1281,物件収支!$C:$C,$M1281))</f>
        <v/>
      </c>
      <c r="R1281" s="1" t="str">
        <f aca="false">IF($A1281="","",IF(P1281=0,"",O1281-P1281))</f>
        <v/>
      </c>
      <c r="S1281" s="1" t="str">
        <f aca="false">IF($A1281="","",IF(R1281="","",R1281+Q1281))</f>
        <v/>
      </c>
      <c r="T1281" s="1" t="str">
        <f aca="false">IF($A1281="","",IF(OR(S1281="",N1281&lt;=0),"",S1281/1000*12/N1281))</f>
        <v/>
      </c>
      <c r="U1281" s="1" t="str">
        <f aca="false">IF($A1281="","",IF(OR(T1281="",J1281=0,J1281=""),"",T1281/J1281))</f>
        <v/>
      </c>
      <c r="V1281" s="1" t="str">
        <f aca="false">IF($A1281="","",IF(OR(R1281="",N1281&lt;=0,J1281=0,J1281=""),"",(R1281/1000*12/N1281)/J1281))</f>
        <v/>
      </c>
      <c r="W1281" s="1" t="str">
        <f aca="false">IF($A1281="","",IF(OR(T1281="",K1281=0,K1281=""),"",T1281/K1281))</f>
        <v/>
      </c>
      <c r="X1281" s="1" t="str">
        <f aca="false">IF($A1281="","",IF(OR(N1281&lt;=0,I1281=0,I1281="",O1281=0),"",O1281*1000/(I1281*0.3025)/N1281))</f>
        <v/>
      </c>
      <c r="Y1281" s="1" t="str">
        <f aca="false">IF($A1281="","",IF(OR(O1281=0,O1281="",P1281=0),"",P1281/O1281))</f>
        <v/>
      </c>
      <c r="Z1281" s="1" t="str">
        <f aca="false">IF($A1281="","",IFERROR(INDEX(物件収支!$E:$E,MATCH($A1281,物件収支!$A:$A,0)),""))</f>
        <v/>
      </c>
    </row>
    <row r="1282" customFormat="false" ht="15" hidden="false" customHeight="true" outlineLevel="0" collapsed="false">
      <c r="A1282" s="1" t="str">
        <f aca="false">IF(物件マスタ!A1282="","",物件マスタ!A1282)</f>
        <v/>
      </c>
      <c r="B1282" s="1" t="str">
        <f aca="false">IF($A1282="","",物件マスタ!B1282)</f>
        <v/>
      </c>
      <c r="C1282" s="1" t="str">
        <f aca="false">IF($A1282="","",IFERROR(INDEX(法人マスタ!$C:$C,MATCH($B1282,法人マスタ!$A:$A,0)),""))</f>
        <v/>
      </c>
      <c r="D1282" s="1" t="str">
        <f aca="false">IF($A1282="","",物件マスタ!C1282)</f>
        <v/>
      </c>
      <c r="E1282" s="1" t="str">
        <f aca="false">IF($A1282="","",物件マスタ!H1282)</f>
        <v/>
      </c>
      <c r="F1282" s="1" t="str">
        <f aca="false">IF($A1282="","",物件マスタ!P1282)</f>
        <v/>
      </c>
      <c r="G1282" s="1" t="str">
        <f aca="false">IF($A1282="","",物件マスタ!Q1282)</f>
        <v/>
      </c>
      <c r="H1282" s="1" t="str">
        <f aca="false">IF($A1282="","",物件マスタ!L1282)</f>
        <v/>
      </c>
      <c r="I1282" s="1" t="str">
        <f aca="false">IF($A1282="","",物件マスタ!M1282)</f>
        <v/>
      </c>
      <c r="J1282" s="1" t="str">
        <f aca="false">IF($A1282="","",物件マスタ!S1282)</f>
        <v/>
      </c>
      <c r="K1282" s="1" t="str">
        <f aca="false">IF($A1282="","",物件マスタ!U1282)</f>
        <v/>
      </c>
      <c r="L1282" s="1" t="str">
        <f aca="false">IF($A1282="","",物件マスタ!W1282)</f>
        <v/>
      </c>
      <c r="M1282" s="1" t="str">
        <f aca="false">IF($A1282="","",IFERROR(INDEX(法人マスタ!$H:$H,MATCH($B1282,法人マスタ!$A:$A,0)),""))</f>
        <v/>
      </c>
      <c r="N1282" s="1" t="str">
        <f aca="false">IF($A1282="","",SUMIFS(物件収支!$D:$D,物件収支!$A:$A,$A1282,物件収支!$C:$C,$M1282))</f>
        <v/>
      </c>
      <c r="O1282" s="1" t="str">
        <f aca="false">IF($A1282="","",SUMIFS(物件収支!$F:$F,物件収支!$A:$A,$A1282,物件収支!$C:$C,$M1282))</f>
        <v/>
      </c>
      <c r="P1282" s="1" t="str">
        <f aca="false">IF($A1282="","",SUMIFS(物件収支!$I:$I,物件収支!$A:$A,$A1282,物件収支!$C:$C,$M1282))</f>
        <v/>
      </c>
      <c r="Q1282" s="1" t="str">
        <f aca="false">IF($A1282="","",SUMIFS(物件収支!$O:$O,物件収支!$A:$A,$A1282,物件収支!$C:$C,$M1282))</f>
        <v/>
      </c>
      <c r="R1282" s="1" t="str">
        <f aca="false">IF($A1282="","",IF(P1282=0,"",O1282-P1282))</f>
        <v/>
      </c>
      <c r="S1282" s="1" t="str">
        <f aca="false">IF($A1282="","",IF(R1282="","",R1282+Q1282))</f>
        <v/>
      </c>
      <c r="T1282" s="1" t="str">
        <f aca="false">IF($A1282="","",IF(OR(S1282="",N1282&lt;=0),"",S1282/1000*12/N1282))</f>
        <v/>
      </c>
      <c r="U1282" s="1" t="str">
        <f aca="false">IF($A1282="","",IF(OR(T1282="",J1282=0,J1282=""),"",T1282/J1282))</f>
        <v/>
      </c>
      <c r="V1282" s="1" t="str">
        <f aca="false">IF($A1282="","",IF(OR(R1282="",N1282&lt;=0,J1282=0,J1282=""),"",(R1282/1000*12/N1282)/J1282))</f>
        <v/>
      </c>
      <c r="W1282" s="1" t="str">
        <f aca="false">IF($A1282="","",IF(OR(T1282="",K1282=0,K1282=""),"",T1282/K1282))</f>
        <v/>
      </c>
      <c r="X1282" s="1" t="str">
        <f aca="false">IF($A1282="","",IF(OR(N1282&lt;=0,I1282=0,I1282="",O1282=0),"",O1282*1000/(I1282*0.3025)/N1282))</f>
        <v/>
      </c>
      <c r="Y1282" s="1" t="str">
        <f aca="false">IF($A1282="","",IF(OR(O1282=0,O1282="",P1282=0),"",P1282/O1282))</f>
        <v/>
      </c>
      <c r="Z1282" s="1" t="str">
        <f aca="false">IF($A1282="","",IFERROR(INDEX(物件収支!$E:$E,MATCH($A1282,物件収支!$A:$A,0)),""))</f>
        <v/>
      </c>
    </row>
    <row r="1283" customFormat="false" ht="15" hidden="false" customHeight="true" outlineLevel="0" collapsed="false">
      <c r="A1283" s="1" t="str">
        <f aca="false">IF(物件マスタ!A1283="","",物件マスタ!A1283)</f>
        <v/>
      </c>
      <c r="B1283" s="1" t="str">
        <f aca="false">IF($A1283="","",物件マスタ!B1283)</f>
        <v/>
      </c>
      <c r="C1283" s="1" t="str">
        <f aca="false">IF($A1283="","",IFERROR(INDEX(法人マスタ!$C:$C,MATCH($B1283,法人マスタ!$A:$A,0)),""))</f>
        <v/>
      </c>
      <c r="D1283" s="1" t="str">
        <f aca="false">IF($A1283="","",物件マスタ!C1283)</f>
        <v/>
      </c>
      <c r="E1283" s="1" t="str">
        <f aca="false">IF($A1283="","",物件マスタ!H1283)</f>
        <v/>
      </c>
      <c r="F1283" s="1" t="str">
        <f aca="false">IF($A1283="","",物件マスタ!P1283)</f>
        <v/>
      </c>
      <c r="G1283" s="1" t="str">
        <f aca="false">IF($A1283="","",物件マスタ!Q1283)</f>
        <v/>
      </c>
      <c r="H1283" s="1" t="str">
        <f aca="false">IF($A1283="","",物件マスタ!L1283)</f>
        <v/>
      </c>
      <c r="I1283" s="1" t="str">
        <f aca="false">IF($A1283="","",物件マスタ!M1283)</f>
        <v/>
      </c>
      <c r="J1283" s="1" t="str">
        <f aca="false">IF($A1283="","",物件マスタ!S1283)</f>
        <v/>
      </c>
      <c r="K1283" s="1" t="str">
        <f aca="false">IF($A1283="","",物件マスタ!U1283)</f>
        <v/>
      </c>
      <c r="L1283" s="1" t="str">
        <f aca="false">IF($A1283="","",物件マスタ!W1283)</f>
        <v/>
      </c>
      <c r="M1283" s="1" t="str">
        <f aca="false">IF($A1283="","",IFERROR(INDEX(法人マスタ!$H:$H,MATCH($B1283,法人マスタ!$A:$A,0)),""))</f>
        <v/>
      </c>
      <c r="N1283" s="1" t="str">
        <f aca="false">IF($A1283="","",SUMIFS(物件収支!$D:$D,物件収支!$A:$A,$A1283,物件収支!$C:$C,$M1283))</f>
        <v/>
      </c>
      <c r="O1283" s="1" t="str">
        <f aca="false">IF($A1283="","",SUMIFS(物件収支!$F:$F,物件収支!$A:$A,$A1283,物件収支!$C:$C,$M1283))</f>
        <v/>
      </c>
      <c r="P1283" s="1" t="str">
        <f aca="false">IF($A1283="","",SUMIFS(物件収支!$I:$I,物件収支!$A:$A,$A1283,物件収支!$C:$C,$M1283))</f>
        <v/>
      </c>
      <c r="Q1283" s="1" t="str">
        <f aca="false">IF($A1283="","",SUMIFS(物件収支!$O:$O,物件収支!$A:$A,$A1283,物件収支!$C:$C,$M1283))</f>
        <v/>
      </c>
      <c r="R1283" s="1" t="str">
        <f aca="false">IF($A1283="","",IF(P1283=0,"",O1283-P1283))</f>
        <v/>
      </c>
      <c r="S1283" s="1" t="str">
        <f aca="false">IF($A1283="","",IF(R1283="","",R1283+Q1283))</f>
        <v/>
      </c>
      <c r="T1283" s="1" t="str">
        <f aca="false">IF($A1283="","",IF(OR(S1283="",N1283&lt;=0),"",S1283/1000*12/N1283))</f>
        <v/>
      </c>
      <c r="U1283" s="1" t="str">
        <f aca="false">IF($A1283="","",IF(OR(T1283="",J1283=0,J1283=""),"",T1283/J1283))</f>
        <v/>
      </c>
      <c r="V1283" s="1" t="str">
        <f aca="false">IF($A1283="","",IF(OR(R1283="",N1283&lt;=0,J1283=0,J1283=""),"",(R1283/1000*12/N1283)/J1283))</f>
        <v/>
      </c>
      <c r="W1283" s="1" t="str">
        <f aca="false">IF($A1283="","",IF(OR(T1283="",K1283=0,K1283=""),"",T1283/K1283))</f>
        <v/>
      </c>
      <c r="X1283" s="1" t="str">
        <f aca="false">IF($A1283="","",IF(OR(N1283&lt;=0,I1283=0,I1283="",O1283=0),"",O1283*1000/(I1283*0.3025)/N1283))</f>
        <v/>
      </c>
      <c r="Y1283" s="1" t="str">
        <f aca="false">IF($A1283="","",IF(OR(O1283=0,O1283="",P1283=0),"",P1283/O1283))</f>
        <v/>
      </c>
      <c r="Z1283" s="1" t="str">
        <f aca="false">IF($A1283="","",IFERROR(INDEX(物件収支!$E:$E,MATCH($A1283,物件収支!$A:$A,0)),""))</f>
        <v/>
      </c>
    </row>
    <row r="1284" customFormat="false" ht="15" hidden="false" customHeight="true" outlineLevel="0" collapsed="false">
      <c r="A1284" s="1" t="str">
        <f aca="false">IF(物件マスタ!A1284="","",物件マスタ!A1284)</f>
        <v/>
      </c>
      <c r="B1284" s="1" t="str">
        <f aca="false">IF($A1284="","",物件マスタ!B1284)</f>
        <v/>
      </c>
      <c r="C1284" s="1" t="str">
        <f aca="false">IF($A1284="","",IFERROR(INDEX(法人マスタ!$C:$C,MATCH($B1284,法人マスタ!$A:$A,0)),""))</f>
        <v/>
      </c>
      <c r="D1284" s="1" t="str">
        <f aca="false">IF($A1284="","",物件マスタ!C1284)</f>
        <v/>
      </c>
      <c r="E1284" s="1" t="str">
        <f aca="false">IF($A1284="","",物件マスタ!H1284)</f>
        <v/>
      </c>
      <c r="F1284" s="1" t="str">
        <f aca="false">IF($A1284="","",物件マスタ!P1284)</f>
        <v/>
      </c>
      <c r="G1284" s="1" t="str">
        <f aca="false">IF($A1284="","",物件マスタ!Q1284)</f>
        <v/>
      </c>
      <c r="H1284" s="1" t="str">
        <f aca="false">IF($A1284="","",物件マスタ!L1284)</f>
        <v/>
      </c>
      <c r="I1284" s="1" t="str">
        <f aca="false">IF($A1284="","",物件マスタ!M1284)</f>
        <v/>
      </c>
      <c r="J1284" s="1" t="str">
        <f aca="false">IF($A1284="","",物件マスタ!S1284)</f>
        <v/>
      </c>
      <c r="K1284" s="1" t="str">
        <f aca="false">IF($A1284="","",物件マスタ!U1284)</f>
        <v/>
      </c>
      <c r="L1284" s="1" t="str">
        <f aca="false">IF($A1284="","",物件マスタ!W1284)</f>
        <v/>
      </c>
      <c r="M1284" s="1" t="str">
        <f aca="false">IF($A1284="","",IFERROR(INDEX(法人マスタ!$H:$H,MATCH($B1284,法人マスタ!$A:$A,0)),""))</f>
        <v/>
      </c>
      <c r="N1284" s="1" t="str">
        <f aca="false">IF($A1284="","",SUMIFS(物件収支!$D:$D,物件収支!$A:$A,$A1284,物件収支!$C:$C,$M1284))</f>
        <v/>
      </c>
      <c r="O1284" s="1" t="str">
        <f aca="false">IF($A1284="","",SUMIFS(物件収支!$F:$F,物件収支!$A:$A,$A1284,物件収支!$C:$C,$M1284))</f>
        <v/>
      </c>
      <c r="P1284" s="1" t="str">
        <f aca="false">IF($A1284="","",SUMIFS(物件収支!$I:$I,物件収支!$A:$A,$A1284,物件収支!$C:$C,$M1284))</f>
        <v/>
      </c>
      <c r="Q1284" s="1" t="str">
        <f aca="false">IF($A1284="","",SUMIFS(物件収支!$O:$O,物件収支!$A:$A,$A1284,物件収支!$C:$C,$M1284))</f>
        <v/>
      </c>
      <c r="R1284" s="1" t="str">
        <f aca="false">IF($A1284="","",IF(P1284=0,"",O1284-P1284))</f>
        <v/>
      </c>
      <c r="S1284" s="1" t="str">
        <f aca="false">IF($A1284="","",IF(R1284="","",R1284+Q1284))</f>
        <v/>
      </c>
      <c r="T1284" s="1" t="str">
        <f aca="false">IF($A1284="","",IF(OR(S1284="",N1284&lt;=0),"",S1284/1000*12/N1284))</f>
        <v/>
      </c>
      <c r="U1284" s="1" t="str">
        <f aca="false">IF($A1284="","",IF(OR(T1284="",J1284=0,J1284=""),"",T1284/J1284))</f>
        <v/>
      </c>
      <c r="V1284" s="1" t="str">
        <f aca="false">IF($A1284="","",IF(OR(R1284="",N1284&lt;=0,J1284=0,J1284=""),"",(R1284/1000*12/N1284)/J1284))</f>
        <v/>
      </c>
      <c r="W1284" s="1" t="str">
        <f aca="false">IF($A1284="","",IF(OR(T1284="",K1284=0,K1284=""),"",T1284/K1284))</f>
        <v/>
      </c>
      <c r="X1284" s="1" t="str">
        <f aca="false">IF($A1284="","",IF(OR(N1284&lt;=0,I1284=0,I1284="",O1284=0),"",O1284*1000/(I1284*0.3025)/N1284))</f>
        <v/>
      </c>
      <c r="Y1284" s="1" t="str">
        <f aca="false">IF($A1284="","",IF(OR(O1284=0,O1284="",P1284=0),"",P1284/O1284))</f>
        <v/>
      </c>
      <c r="Z1284" s="1" t="str">
        <f aca="false">IF($A1284="","",IFERROR(INDEX(物件収支!$E:$E,MATCH($A1284,物件収支!$A:$A,0)),""))</f>
        <v/>
      </c>
    </row>
    <row r="1285" customFormat="false" ht="15" hidden="false" customHeight="true" outlineLevel="0" collapsed="false">
      <c r="A1285" s="1" t="str">
        <f aca="false">IF(物件マスタ!A1285="","",物件マスタ!A1285)</f>
        <v/>
      </c>
      <c r="B1285" s="1" t="str">
        <f aca="false">IF($A1285="","",物件マスタ!B1285)</f>
        <v/>
      </c>
      <c r="C1285" s="1" t="str">
        <f aca="false">IF($A1285="","",IFERROR(INDEX(法人マスタ!$C:$C,MATCH($B1285,法人マスタ!$A:$A,0)),""))</f>
        <v/>
      </c>
      <c r="D1285" s="1" t="str">
        <f aca="false">IF($A1285="","",物件マスタ!C1285)</f>
        <v/>
      </c>
      <c r="E1285" s="1" t="str">
        <f aca="false">IF($A1285="","",物件マスタ!H1285)</f>
        <v/>
      </c>
      <c r="F1285" s="1" t="str">
        <f aca="false">IF($A1285="","",物件マスタ!P1285)</f>
        <v/>
      </c>
      <c r="G1285" s="1" t="str">
        <f aca="false">IF($A1285="","",物件マスタ!Q1285)</f>
        <v/>
      </c>
      <c r="H1285" s="1" t="str">
        <f aca="false">IF($A1285="","",物件マスタ!L1285)</f>
        <v/>
      </c>
      <c r="I1285" s="1" t="str">
        <f aca="false">IF($A1285="","",物件マスタ!M1285)</f>
        <v/>
      </c>
      <c r="J1285" s="1" t="str">
        <f aca="false">IF($A1285="","",物件マスタ!S1285)</f>
        <v/>
      </c>
      <c r="K1285" s="1" t="str">
        <f aca="false">IF($A1285="","",物件マスタ!U1285)</f>
        <v/>
      </c>
      <c r="L1285" s="1" t="str">
        <f aca="false">IF($A1285="","",物件マスタ!W1285)</f>
        <v/>
      </c>
      <c r="M1285" s="1" t="str">
        <f aca="false">IF($A1285="","",IFERROR(INDEX(法人マスタ!$H:$H,MATCH($B1285,法人マスタ!$A:$A,0)),""))</f>
        <v/>
      </c>
      <c r="N1285" s="1" t="str">
        <f aca="false">IF($A1285="","",SUMIFS(物件収支!$D:$D,物件収支!$A:$A,$A1285,物件収支!$C:$C,$M1285))</f>
        <v/>
      </c>
      <c r="O1285" s="1" t="str">
        <f aca="false">IF($A1285="","",SUMIFS(物件収支!$F:$F,物件収支!$A:$A,$A1285,物件収支!$C:$C,$M1285))</f>
        <v/>
      </c>
      <c r="P1285" s="1" t="str">
        <f aca="false">IF($A1285="","",SUMIFS(物件収支!$I:$I,物件収支!$A:$A,$A1285,物件収支!$C:$C,$M1285))</f>
        <v/>
      </c>
      <c r="Q1285" s="1" t="str">
        <f aca="false">IF($A1285="","",SUMIFS(物件収支!$O:$O,物件収支!$A:$A,$A1285,物件収支!$C:$C,$M1285))</f>
        <v/>
      </c>
      <c r="R1285" s="1" t="str">
        <f aca="false">IF($A1285="","",IF(P1285=0,"",O1285-P1285))</f>
        <v/>
      </c>
      <c r="S1285" s="1" t="str">
        <f aca="false">IF($A1285="","",IF(R1285="","",R1285+Q1285))</f>
        <v/>
      </c>
      <c r="T1285" s="1" t="str">
        <f aca="false">IF($A1285="","",IF(OR(S1285="",N1285&lt;=0),"",S1285/1000*12/N1285))</f>
        <v/>
      </c>
      <c r="U1285" s="1" t="str">
        <f aca="false">IF($A1285="","",IF(OR(T1285="",J1285=0,J1285=""),"",T1285/J1285))</f>
        <v/>
      </c>
      <c r="V1285" s="1" t="str">
        <f aca="false">IF($A1285="","",IF(OR(R1285="",N1285&lt;=0,J1285=0,J1285=""),"",(R1285/1000*12/N1285)/J1285))</f>
        <v/>
      </c>
      <c r="W1285" s="1" t="str">
        <f aca="false">IF($A1285="","",IF(OR(T1285="",K1285=0,K1285=""),"",T1285/K1285))</f>
        <v/>
      </c>
      <c r="X1285" s="1" t="str">
        <f aca="false">IF($A1285="","",IF(OR(N1285&lt;=0,I1285=0,I1285="",O1285=0),"",O1285*1000/(I1285*0.3025)/N1285))</f>
        <v/>
      </c>
      <c r="Y1285" s="1" t="str">
        <f aca="false">IF($A1285="","",IF(OR(O1285=0,O1285="",P1285=0),"",P1285/O1285))</f>
        <v/>
      </c>
      <c r="Z1285" s="1" t="str">
        <f aca="false">IF($A1285="","",IFERROR(INDEX(物件収支!$E:$E,MATCH($A1285,物件収支!$A:$A,0)),""))</f>
        <v/>
      </c>
    </row>
    <row r="1286" customFormat="false" ht="15" hidden="false" customHeight="true" outlineLevel="0" collapsed="false">
      <c r="A1286" s="1" t="str">
        <f aca="false">IF(物件マスタ!A1286="","",物件マスタ!A1286)</f>
        <v/>
      </c>
      <c r="B1286" s="1" t="str">
        <f aca="false">IF($A1286="","",物件マスタ!B1286)</f>
        <v/>
      </c>
      <c r="C1286" s="1" t="str">
        <f aca="false">IF($A1286="","",IFERROR(INDEX(法人マスタ!$C:$C,MATCH($B1286,法人マスタ!$A:$A,0)),""))</f>
        <v/>
      </c>
      <c r="D1286" s="1" t="str">
        <f aca="false">IF($A1286="","",物件マスタ!C1286)</f>
        <v/>
      </c>
      <c r="E1286" s="1" t="str">
        <f aca="false">IF($A1286="","",物件マスタ!H1286)</f>
        <v/>
      </c>
      <c r="F1286" s="1" t="str">
        <f aca="false">IF($A1286="","",物件マスタ!P1286)</f>
        <v/>
      </c>
      <c r="G1286" s="1" t="str">
        <f aca="false">IF($A1286="","",物件マスタ!Q1286)</f>
        <v/>
      </c>
      <c r="H1286" s="1" t="str">
        <f aca="false">IF($A1286="","",物件マスタ!L1286)</f>
        <v/>
      </c>
      <c r="I1286" s="1" t="str">
        <f aca="false">IF($A1286="","",物件マスタ!M1286)</f>
        <v/>
      </c>
      <c r="J1286" s="1" t="str">
        <f aca="false">IF($A1286="","",物件マスタ!S1286)</f>
        <v/>
      </c>
      <c r="K1286" s="1" t="str">
        <f aca="false">IF($A1286="","",物件マスタ!U1286)</f>
        <v/>
      </c>
      <c r="L1286" s="1" t="str">
        <f aca="false">IF($A1286="","",物件マスタ!W1286)</f>
        <v/>
      </c>
      <c r="M1286" s="1" t="str">
        <f aca="false">IF($A1286="","",IFERROR(INDEX(法人マスタ!$H:$H,MATCH($B1286,法人マスタ!$A:$A,0)),""))</f>
        <v/>
      </c>
      <c r="N1286" s="1" t="str">
        <f aca="false">IF($A1286="","",SUMIFS(物件収支!$D:$D,物件収支!$A:$A,$A1286,物件収支!$C:$C,$M1286))</f>
        <v/>
      </c>
      <c r="O1286" s="1" t="str">
        <f aca="false">IF($A1286="","",SUMIFS(物件収支!$F:$F,物件収支!$A:$A,$A1286,物件収支!$C:$C,$M1286))</f>
        <v/>
      </c>
      <c r="P1286" s="1" t="str">
        <f aca="false">IF($A1286="","",SUMIFS(物件収支!$I:$I,物件収支!$A:$A,$A1286,物件収支!$C:$C,$M1286))</f>
        <v/>
      </c>
      <c r="Q1286" s="1" t="str">
        <f aca="false">IF($A1286="","",SUMIFS(物件収支!$O:$O,物件収支!$A:$A,$A1286,物件収支!$C:$C,$M1286))</f>
        <v/>
      </c>
      <c r="R1286" s="1" t="str">
        <f aca="false">IF($A1286="","",IF(P1286=0,"",O1286-P1286))</f>
        <v/>
      </c>
      <c r="S1286" s="1" t="str">
        <f aca="false">IF($A1286="","",IF(R1286="","",R1286+Q1286))</f>
        <v/>
      </c>
      <c r="T1286" s="1" t="str">
        <f aca="false">IF($A1286="","",IF(OR(S1286="",N1286&lt;=0),"",S1286/1000*12/N1286))</f>
        <v/>
      </c>
      <c r="U1286" s="1" t="str">
        <f aca="false">IF($A1286="","",IF(OR(T1286="",J1286=0,J1286=""),"",T1286/J1286))</f>
        <v/>
      </c>
      <c r="V1286" s="1" t="str">
        <f aca="false">IF($A1286="","",IF(OR(R1286="",N1286&lt;=0,J1286=0,J1286=""),"",(R1286/1000*12/N1286)/J1286))</f>
        <v/>
      </c>
      <c r="W1286" s="1" t="str">
        <f aca="false">IF($A1286="","",IF(OR(T1286="",K1286=0,K1286=""),"",T1286/K1286))</f>
        <v/>
      </c>
      <c r="X1286" s="1" t="str">
        <f aca="false">IF($A1286="","",IF(OR(N1286&lt;=0,I1286=0,I1286="",O1286=0),"",O1286*1000/(I1286*0.3025)/N1286))</f>
        <v/>
      </c>
      <c r="Y1286" s="1" t="str">
        <f aca="false">IF($A1286="","",IF(OR(O1286=0,O1286="",P1286=0),"",P1286/O1286))</f>
        <v/>
      </c>
      <c r="Z1286" s="1" t="str">
        <f aca="false">IF($A1286="","",IFERROR(INDEX(物件収支!$E:$E,MATCH($A1286,物件収支!$A:$A,0)),""))</f>
        <v/>
      </c>
    </row>
    <row r="1287" customFormat="false" ht="15" hidden="false" customHeight="true" outlineLevel="0" collapsed="false">
      <c r="A1287" s="1" t="str">
        <f aca="false">IF(物件マスタ!A1287="","",物件マスタ!A1287)</f>
        <v/>
      </c>
      <c r="B1287" s="1" t="str">
        <f aca="false">IF($A1287="","",物件マスタ!B1287)</f>
        <v/>
      </c>
      <c r="C1287" s="1" t="str">
        <f aca="false">IF($A1287="","",IFERROR(INDEX(法人マスタ!$C:$C,MATCH($B1287,法人マスタ!$A:$A,0)),""))</f>
        <v/>
      </c>
      <c r="D1287" s="1" t="str">
        <f aca="false">IF($A1287="","",物件マスタ!C1287)</f>
        <v/>
      </c>
      <c r="E1287" s="1" t="str">
        <f aca="false">IF($A1287="","",物件マスタ!H1287)</f>
        <v/>
      </c>
      <c r="F1287" s="1" t="str">
        <f aca="false">IF($A1287="","",物件マスタ!P1287)</f>
        <v/>
      </c>
      <c r="G1287" s="1" t="str">
        <f aca="false">IF($A1287="","",物件マスタ!Q1287)</f>
        <v/>
      </c>
      <c r="H1287" s="1" t="str">
        <f aca="false">IF($A1287="","",物件マスタ!L1287)</f>
        <v/>
      </c>
      <c r="I1287" s="1" t="str">
        <f aca="false">IF($A1287="","",物件マスタ!M1287)</f>
        <v/>
      </c>
      <c r="J1287" s="1" t="str">
        <f aca="false">IF($A1287="","",物件マスタ!S1287)</f>
        <v/>
      </c>
      <c r="K1287" s="1" t="str">
        <f aca="false">IF($A1287="","",物件マスタ!U1287)</f>
        <v/>
      </c>
      <c r="L1287" s="1" t="str">
        <f aca="false">IF($A1287="","",物件マスタ!W1287)</f>
        <v/>
      </c>
      <c r="M1287" s="1" t="str">
        <f aca="false">IF($A1287="","",IFERROR(INDEX(法人マスタ!$H:$H,MATCH($B1287,法人マスタ!$A:$A,0)),""))</f>
        <v/>
      </c>
      <c r="N1287" s="1" t="str">
        <f aca="false">IF($A1287="","",SUMIFS(物件収支!$D:$D,物件収支!$A:$A,$A1287,物件収支!$C:$C,$M1287))</f>
        <v/>
      </c>
      <c r="O1287" s="1" t="str">
        <f aca="false">IF($A1287="","",SUMIFS(物件収支!$F:$F,物件収支!$A:$A,$A1287,物件収支!$C:$C,$M1287))</f>
        <v/>
      </c>
      <c r="P1287" s="1" t="str">
        <f aca="false">IF($A1287="","",SUMIFS(物件収支!$I:$I,物件収支!$A:$A,$A1287,物件収支!$C:$C,$M1287))</f>
        <v/>
      </c>
      <c r="Q1287" s="1" t="str">
        <f aca="false">IF($A1287="","",SUMIFS(物件収支!$O:$O,物件収支!$A:$A,$A1287,物件収支!$C:$C,$M1287))</f>
        <v/>
      </c>
      <c r="R1287" s="1" t="str">
        <f aca="false">IF($A1287="","",IF(P1287=0,"",O1287-P1287))</f>
        <v/>
      </c>
      <c r="S1287" s="1" t="str">
        <f aca="false">IF($A1287="","",IF(R1287="","",R1287+Q1287))</f>
        <v/>
      </c>
      <c r="T1287" s="1" t="str">
        <f aca="false">IF($A1287="","",IF(OR(S1287="",N1287&lt;=0),"",S1287/1000*12/N1287))</f>
        <v/>
      </c>
      <c r="U1287" s="1" t="str">
        <f aca="false">IF($A1287="","",IF(OR(T1287="",J1287=0,J1287=""),"",T1287/J1287))</f>
        <v/>
      </c>
      <c r="V1287" s="1" t="str">
        <f aca="false">IF($A1287="","",IF(OR(R1287="",N1287&lt;=0,J1287=0,J1287=""),"",(R1287/1000*12/N1287)/J1287))</f>
        <v/>
      </c>
      <c r="W1287" s="1" t="str">
        <f aca="false">IF($A1287="","",IF(OR(T1287="",K1287=0,K1287=""),"",T1287/K1287))</f>
        <v/>
      </c>
      <c r="X1287" s="1" t="str">
        <f aca="false">IF($A1287="","",IF(OR(N1287&lt;=0,I1287=0,I1287="",O1287=0),"",O1287*1000/(I1287*0.3025)/N1287))</f>
        <v/>
      </c>
      <c r="Y1287" s="1" t="str">
        <f aca="false">IF($A1287="","",IF(OR(O1287=0,O1287="",P1287=0),"",P1287/O1287))</f>
        <v/>
      </c>
      <c r="Z1287" s="1" t="str">
        <f aca="false">IF($A1287="","",IFERROR(INDEX(物件収支!$E:$E,MATCH($A1287,物件収支!$A:$A,0)),""))</f>
        <v/>
      </c>
    </row>
    <row r="1288" customFormat="false" ht="15" hidden="false" customHeight="true" outlineLevel="0" collapsed="false">
      <c r="A1288" s="1" t="str">
        <f aca="false">IF(物件マスタ!A1288="","",物件マスタ!A1288)</f>
        <v/>
      </c>
      <c r="B1288" s="1" t="str">
        <f aca="false">IF($A1288="","",物件マスタ!B1288)</f>
        <v/>
      </c>
      <c r="C1288" s="1" t="str">
        <f aca="false">IF($A1288="","",IFERROR(INDEX(法人マスタ!$C:$C,MATCH($B1288,法人マスタ!$A:$A,0)),""))</f>
        <v/>
      </c>
      <c r="D1288" s="1" t="str">
        <f aca="false">IF($A1288="","",物件マスタ!C1288)</f>
        <v/>
      </c>
      <c r="E1288" s="1" t="str">
        <f aca="false">IF($A1288="","",物件マスタ!H1288)</f>
        <v/>
      </c>
      <c r="F1288" s="1" t="str">
        <f aca="false">IF($A1288="","",物件マスタ!P1288)</f>
        <v/>
      </c>
      <c r="G1288" s="1" t="str">
        <f aca="false">IF($A1288="","",物件マスタ!Q1288)</f>
        <v/>
      </c>
      <c r="H1288" s="1" t="str">
        <f aca="false">IF($A1288="","",物件マスタ!L1288)</f>
        <v/>
      </c>
      <c r="I1288" s="1" t="str">
        <f aca="false">IF($A1288="","",物件マスタ!M1288)</f>
        <v/>
      </c>
      <c r="J1288" s="1" t="str">
        <f aca="false">IF($A1288="","",物件マスタ!S1288)</f>
        <v/>
      </c>
      <c r="K1288" s="1" t="str">
        <f aca="false">IF($A1288="","",物件マスタ!U1288)</f>
        <v/>
      </c>
      <c r="L1288" s="1" t="str">
        <f aca="false">IF($A1288="","",物件マスタ!W1288)</f>
        <v/>
      </c>
      <c r="M1288" s="1" t="str">
        <f aca="false">IF($A1288="","",IFERROR(INDEX(法人マスタ!$H:$H,MATCH($B1288,法人マスタ!$A:$A,0)),""))</f>
        <v/>
      </c>
      <c r="N1288" s="1" t="str">
        <f aca="false">IF($A1288="","",SUMIFS(物件収支!$D:$D,物件収支!$A:$A,$A1288,物件収支!$C:$C,$M1288))</f>
        <v/>
      </c>
      <c r="O1288" s="1" t="str">
        <f aca="false">IF($A1288="","",SUMIFS(物件収支!$F:$F,物件収支!$A:$A,$A1288,物件収支!$C:$C,$M1288))</f>
        <v/>
      </c>
      <c r="P1288" s="1" t="str">
        <f aca="false">IF($A1288="","",SUMIFS(物件収支!$I:$I,物件収支!$A:$A,$A1288,物件収支!$C:$C,$M1288))</f>
        <v/>
      </c>
      <c r="Q1288" s="1" t="str">
        <f aca="false">IF($A1288="","",SUMIFS(物件収支!$O:$O,物件収支!$A:$A,$A1288,物件収支!$C:$C,$M1288))</f>
        <v/>
      </c>
      <c r="R1288" s="1" t="str">
        <f aca="false">IF($A1288="","",IF(P1288=0,"",O1288-P1288))</f>
        <v/>
      </c>
      <c r="S1288" s="1" t="str">
        <f aca="false">IF($A1288="","",IF(R1288="","",R1288+Q1288))</f>
        <v/>
      </c>
      <c r="T1288" s="1" t="str">
        <f aca="false">IF($A1288="","",IF(OR(S1288="",N1288&lt;=0),"",S1288/1000*12/N1288))</f>
        <v/>
      </c>
      <c r="U1288" s="1" t="str">
        <f aca="false">IF($A1288="","",IF(OR(T1288="",J1288=0,J1288=""),"",T1288/J1288))</f>
        <v/>
      </c>
      <c r="V1288" s="1" t="str">
        <f aca="false">IF($A1288="","",IF(OR(R1288="",N1288&lt;=0,J1288=0,J1288=""),"",(R1288/1000*12/N1288)/J1288))</f>
        <v/>
      </c>
      <c r="W1288" s="1" t="str">
        <f aca="false">IF($A1288="","",IF(OR(T1288="",K1288=0,K1288=""),"",T1288/K1288))</f>
        <v/>
      </c>
      <c r="X1288" s="1" t="str">
        <f aca="false">IF($A1288="","",IF(OR(N1288&lt;=0,I1288=0,I1288="",O1288=0),"",O1288*1000/(I1288*0.3025)/N1288))</f>
        <v/>
      </c>
      <c r="Y1288" s="1" t="str">
        <f aca="false">IF($A1288="","",IF(OR(O1288=0,O1288="",P1288=0),"",P1288/O1288))</f>
        <v/>
      </c>
      <c r="Z1288" s="1" t="str">
        <f aca="false">IF($A1288="","",IFERROR(INDEX(物件収支!$E:$E,MATCH($A1288,物件収支!$A:$A,0)),""))</f>
        <v/>
      </c>
    </row>
    <row r="1289" customFormat="false" ht="15" hidden="false" customHeight="true" outlineLevel="0" collapsed="false">
      <c r="A1289" s="1" t="str">
        <f aca="false">IF(物件マスタ!A1289="","",物件マスタ!A1289)</f>
        <v/>
      </c>
      <c r="B1289" s="1" t="str">
        <f aca="false">IF($A1289="","",物件マスタ!B1289)</f>
        <v/>
      </c>
      <c r="C1289" s="1" t="str">
        <f aca="false">IF($A1289="","",IFERROR(INDEX(法人マスタ!$C:$C,MATCH($B1289,法人マスタ!$A:$A,0)),""))</f>
        <v/>
      </c>
      <c r="D1289" s="1" t="str">
        <f aca="false">IF($A1289="","",物件マスタ!C1289)</f>
        <v/>
      </c>
      <c r="E1289" s="1" t="str">
        <f aca="false">IF($A1289="","",物件マスタ!H1289)</f>
        <v/>
      </c>
      <c r="F1289" s="1" t="str">
        <f aca="false">IF($A1289="","",物件マスタ!P1289)</f>
        <v/>
      </c>
      <c r="G1289" s="1" t="str">
        <f aca="false">IF($A1289="","",物件マスタ!Q1289)</f>
        <v/>
      </c>
      <c r="H1289" s="1" t="str">
        <f aca="false">IF($A1289="","",物件マスタ!L1289)</f>
        <v/>
      </c>
      <c r="I1289" s="1" t="str">
        <f aca="false">IF($A1289="","",物件マスタ!M1289)</f>
        <v/>
      </c>
      <c r="J1289" s="1" t="str">
        <f aca="false">IF($A1289="","",物件マスタ!S1289)</f>
        <v/>
      </c>
      <c r="K1289" s="1" t="str">
        <f aca="false">IF($A1289="","",物件マスタ!U1289)</f>
        <v/>
      </c>
      <c r="L1289" s="1" t="str">
        <f aca="false">IF($A1289="","",物件マスタ!W1289)</f>
        <v/>
      </c>
      <c r="M1289" s="1" t="str">
        <f aca="false">IF($A1289="","",IFERROR(INDEX(法人マスタ!$H:$H,MATCH($B1289,法人マスタ!$A:$A,0)),""))</f>
        <v/>
      </c>
      <c r="N1289" s="1" t="str">
        <f aca="false">IF($A1289="","",SUMIFS(物件収支!$D:$D,物件収支!$A:$A,$A1289,物件収支!$C:$C,$M1289))</f>
        <v/>
      </c>
      <c r="O1289" s="1" t="str">
        <f aca="false">IF($A1289="","",SUMIFS(物件収支!$F:$F,物件収支!$A:$A,$A1289,物件収支!$C:$C,$M1289))</f>
        <v/>
      </c>
      <c r="P1289" s="1" t="str">
        <f aca="false">IF($A1289="","",SUMIFS(物件収支!$I:$I,物件収支!$A:$A,$A1289,物件収支!$C:$C,$M1289))</f>
        <v/>
      </c>
      <c r="Q1289" s="1" t="str">
        <f aca="false">IF($A1289="","",SUMIFS(物件収支!$O:$O,物件収支!$A:$A,$A1289,物件収支!$C:$C,$M1289))</f>
        <v/>
      </c>
      <c r="R1289" s="1" t="str">
        <f aca="false">IF($A1289="","",IF(P1289=0,"",O1289-P1289))</f>
        <v/>
      </c>
      <c r="S1289" s="1" t="str">
        <f aca="false">IF($A1289="","",IF(R1289="","",R1289+Q1289))</f>
        <v/>
      </c>
      <c r="T1289" s="1" t="str">
        <f aca="false">IF($A1289="","",IF(OR(S1289="",N1289&lt;=0),"",S1289/1000*12/N1289))</f>
        <v/>
      </c>
      <c r="U1289" s="1" t="str">
        <f aca="false">IF($A1289="","",IF(OR(T1289="",J1289=0,J1289=""),"",T1289/J1289))</f>
        <v/>
      </c>
      <c r="V1289" s="1" t="str">
        <f aca="false">IF($A1289="","",IF(OR(R1289="",N1289&lt;=0,J1289=0,J1289=""),"",(R1289/1000*12/N1289)/J1289))</f>
        <v/>
      </c>
      <c r="W1289" s="1" t="str">
        <f aca="false">IF($A1289="","",IF(OR(T1289="",K1289=0,K1289=""),"",T1289/K1289))</f>
        <v/>
      </c>
      <c r="X1289" s="1" t="str">
        <f aca="false">IF($A1289="","",IF(OR(N1289&lt;=0,I1289=0,I1289="",O1289=0),"",O1289*1000/(I1289*0.3025)/N1289))</f>
        <v/>
      </c>
      <c r="Y1289" s="1" t="str">
        <f aca="false">IF($A1289="","",IF(OR(O1289=0,O1289="",P1289=0),"",P1289/O1289))</f>
        <v/>
      </c>
      <c r="Z1289" s="1" t="str">
        <f aca="false">IF($A1289="","",IFERROR(INDEX(物件収支!$E:$E,MATCH($A1289,物件収支!$A:$A,0)),""))</f>
        <v/>
      </c>
    </row>
    <row r="1290" customFormat="false" ht="15" hidden="false" customHeight="true" outlineLevel="0" collapsed="false">
      <c r="A1290" s="1" t="str">
        <f aca="false">IF(物件マスタ!A1290="","",物件マスタ!A1290)</f>
        <v/>
      </c>
      <c r="B1290" s="1" t="str">
        <f aca="false">IF($A1290="","",物件マスタ!B1290)</f>
        <v/>
      </c>
      <c r="C1290" s="1" t="str">
        <f aca="false">IF($A1290="","",IFERROR(INDEX(法人マスタ!$C:$C,MATCH($B1290,法人マスタ!$A:$A,0)),""))</f>
        <v/>
      </c>
      <c r="D1290" s="1" t="str">
        <f aca="false">IF($A1290="","",物件マスタ!C1290)</f>
        <v/>
      </c>
      <c r="E1290" s="1" t="str">
        <f aca="false">IF($A1290="","",物件マスタ!H1290)</f>
        <v/>
      </c>
      <c r="F1290" s="1" t="str">
        <f aca="false">IF($A1290="","",物件マスタ!P1290)</f>
        <v/>
      </c>
      <c r="G1290" s="1" t="str">
        <f aca="false">IF($A1290="","",物件マスタ!Q1290)</f>
        <v/>
      </c>
      <c r="H1290" s="1" t="str">
        <f aca="false">IF($A1290="","",物件マスタ!L1290)</f>
        <v/>
      </c>
      <c r="I1290" s="1" t="str">
        <f aca="false">IF($A1290="","",物件マスタ!M1290)</f>
        <v/>
      </c>
      <c r="J1290" s="1" t="str">
        <f aca="false">IF($A1290="","",物件マスタ!S1290)</f>
        <v/>
      </c>
      <c r="K1290" s="1" t="str">
        <f aca="false">IF($A1290="","",物件マスタ!U1290)</f>
        <v/>
      </c>
      <c r="L1290" s="1" t="str">
        <f aca="false">IF($A1290="","",物件マスタ!W1290)</f>
        <v/>
      </c>
      <c r="M1290" s="1" t="str">
        <f aca="false">IF($A1290="","",IFERROR(INDEX(法人マスタ!$H:$H,MATCH($B1290,法人マスタ!$A:$A,0)),""))</f>
        <v/>
      </c>
      <c r="N1290" s="1" t="str">
        <f aca="false">IF($A1290="","",SUMIFS(物件収支!$D:$D,物件収支!$A:$A,$A1290,物件収支!$C:$C,$M1290))</f>
        <v/>
      </c>
      <c r="O1290" s="1" t="str">
        <f aca="false">IF($A1290="","",SUMIFS(物件収支!$F:$F,物件収支!$A:$A,$A1290,物件収支!$C:$C,$M1290))</f>
        <v/>
      </c>
      <c r="P1290" s="1" t="str">
        <f aca="false">IF($A1290="","",SUMIFS(物件収支!$I:$I,物件収支!$A:$A,$A1290,物件収支!$C:$C,$M1290))</f>
        <v/>
      </c>
      <c r="Q1290" s="1" t="str">
        <f aca="false">IF($A1290="","",SUMIFS(物件収支!$O:$O,物件収支!$A:$A,$A1290,物件収支!$C:$C,$M1290))</f>
        <v/>
      </c>
      <c r="R1290" s="1" t="str">
        <f aca="false">IF($A1290="","",IF(P1290=0,"",O1290-P1290))</f>
        <v/>
      </c>
      <c r="S1290" s="1" t="str">
        <f aca="false">IF($A1290="","",IF(R1290="","",R1290+Q1290))</f>
        <v/>
      </c>
      <c r="T1290" s="1" t="str">
        <f aca="false">IF($A1290="","",IF(OR(S1290="",N1290&lt;=0),"",S1290/1000*12/N1290))</f>
        <v/>
      </c>
      <c r="U1290" s="1" t="str">
        <f aca="false">IF($A1290="","",IF(OR(T1290="",J1290=0,J1290=""),"",T1290/J1290))</f>
        <v/>
      </c>
      <c r="V1290" s="1" t="str">
        <f aca="false">IF($A1290="","",IF(OR(R1290="",N1290&lt;=0,J1290=0,J1290=""),"",(R1290/1000*12/N1290)/J1290))</f>
        <v/>
      </c>
      <c r="W1290" s="1" t="str">
        <f aca="false">IF($A1290="","",IF(OR(T1290="",K1290=0,K1290=""),"",T1290/K1290))</f>
        <v/>
      </c>
      <c r="X1290" s="1" t="str">
        <f aca="false">IF($A1290="","",IF(OR(N1290&lt;=0,I1290=0,I1290="",O1290=0),"",O1290*1000/(I1290*0.3025)/N1290))</f>
        <v/>
      </c>
      <c r="Y1290" s="1" t="str">
        <f aca="false">IF($A1290="","",IF(OR(O1290=0,O1290="",P1290=0),"",P1290/O1290))</f>
        <v/>
      </c>
      <c r="Z1290" s="1" t="str">
        <f aca="false">IF($A1290="","",IFERROR(INDEX(物件収支!$E:$E,MATCH($A1290,物件収支!$A:$A,0)),""))</f>
        <v/>
      </c>
    </row>
    <row r="1291" customFormat="false" ht="15" hidden="false" customHeight="true" outlineLevel="0" collapsed="false">
      <c r="A1291" s="1" t="str">
        <f aca="false">IF(物件マスタ!A1291="","",物件マスタ!A1291)</f>
        <v/>
      </c>
      <c r="B1291" s="1" t="str">
        <f aca="false">IF($A1291="","",物件マスタ!B1291)</f>
        <v/>
      </c>
      <c r="C1291" s="1" t="str">
        <f aca="false">IF($A1291="","",IFERROR(INDEX(法人マスタ!$C:$C,MATCH($B1291,法人マスタ!$A:$A,0)),""))</f>
        <v/>
      </c>
      <c r="D1291" s="1" t="str">
        <f aca="false">IF($A1291="","",物件マスタ!C1291)</f>
        <v/>
      </c>
      <c r="E1291" s="1" t="str">
        <f aca="false">IF($A1291="","",物件マスタ!H1291)</f>
        <v/>
      </c>
      <c r="F1291" s="1" t="str">
        <f aca="false">IF($A1291="","",物件マスタ!P1291)</f>
        <v/>
      </c>
      <c r="G1291" s="1" t="str">
        <f aca="false">IF($A1291="","",物件マスタ!Q1291)</f>
        <v/>
      </c>
      <c r="H1291" s="1" t="str">
        <f aca="false">IF($A1291="","",物件マスタ!L1291)</f>
        <v/>
      </c>
      <c r="I1291" s="1" t="str">
        <f aca="false">IF($A1291="","",物件マスタ!M1291)</f>
        <v/>
      </c>
      <c r="J1291" s="1" t="str">
        <f aca="false">IF($A1291="","",物件マスタ!S1291)</f>
        <v/>
      </c>
      <c r="K1291" s="1" t="str">
        <f aca="false">IF($A1291="","",物件マスタ!U1291)</f>
        <v/>
      </c>
      <c r="L1291" s="1" t="str">
        <f aca="false">IF($A1291="","",物件マスタ!W1291)</f>
        <v/>
      </c>
      <c r="M1291" s="1" t="str">
        <f aca="false">IF($A1291="","",IFERROR(INDEX(法人マスタ!$H:$H,MATCH($B1291,法人マスタ!$A:$A,0)),""))</f>
        <v/>
      </c>
      <c r="N1291" s="1" t="str">
        <f aca="false">IF($A1291="","",SUMIFS(物件収支!$D:$D,物件収支!$A:$A,$A1291,物件収支!$C:$C,$M1291))</f>
        <v/>
      </c>
      <c r="O1291" s="1" t="str">
        <f aca="false">IF($A1291="","",SUMIFS(物件収支!$F:$F,物件収支!$A:$A,$A1291,物件収支!$C:$C,$M1291))</f>
        <v/>
      </c>
      <c r="P1291" s="1" t="str">
        <f aca="false">IF($A1291="","",SUMIFS(物件収支!$I:$I,物件収支!$A:$A,$A1291,物件収支!$C:$C,$M1291))</f>
        <v/>
      </c>
      <c r="Q1291" s="1" t="str">
        <f aca="false">IF($A1291="","",SUMIFS(物件収支!$O:$O,物件収支!$A:$A,$A1291,物件収支!$C:$C,$M1291))</f>
        <v/>
      </c>
      <c r="R1291" s="1" t="str">
        <f aca="false">IF($A1291="","",IF(P1291=0,"",O1291-P1291))</f>
        <v/>
      </c>
      <c r="S1291" s="1" t="str">
        <f aca="false">IF($A1291="","",IF(R1291="","",R1291+Q1291))</f>
        <v/>
      </c>
      <c r="T1291" s="1" t="str">
        <f aca="false">IF($A1291="","",IF(OR(S1291="",N1291&lt;=0),"",S1291/1000*12/N1291))</f>
        <v/>
      </c>
      <c r="U1291" s="1" t="str">
        <f aca="false">IF($A1291="","",IF(OR(T1291="",J1291=0,J1291=""),"",T1291/J1291))</f>
        <v/>
      </c>
      <c r="V1291" s="1" t="str">
        <f aca="false">IF($A1291="","",IF(OR(R1291="",N1291&lt;=0,J1291=0,J1291=""),"",(R1291/1000*12/N1291)/J1291))</f>
        <v/>
      </c>
      <c r="W1291" s="1" t="str">
        <f aca="false">IF($A1291="","",IF(OR(T1291="",K1291=0,K1291=""),"",T1291/K1291))</f>
        <v/>
      </c>
      <c r="X1291" s="1" t="str">
        <f aca="false">IF($A1291="","",IF(OR(N1291&lt;=0,I1291=0,I1291="",O1291=0),"",O1291*1000/(I1291*0.3025)/N1291))</f>
        <v/>
      </c>
      <c r="Y1291" s="1" t="str">
        <f aca="false">IF($A1291="","",IF(OR(O1291=0,O1291="",P1291=0),"",P1291/O1291))</f>
        <v/>
      </c>
      <c r="Z1291" s="1" t="str">
        <f aca="false">IF($A1291="","",IFERROR(INDEX(物件収支!$E:$E,MATCH($A1291,物件収支!$A:$A,0)),""))</f>
        <v/>
      </c>
    </row>
    <row r="1292" customFormat="false" ht="15" hidden="false" customHeight="true" outlineLevel="0" collapsed="false">
      <c r="A1292" s="1" t="str">
        <f aca="false">IF(物件マスタ!A1292="","",物件マスタ!A1292)</f>
        <v/>
      </c>
      <c r="B1292" s="1" t="str">
        <f aca="false">IF($A1292="","",物件マスタ!B1292)</f>
        <v/>
      </c>
      <c r="C1292" s="1" t="str">
        <f aca="false">IF($A1292="","",IFERROR(INDEX(法人マスタ!$C:$C,MATCH($B1292,法人マスタ!$A:$A,0)),""))</f>
        <v/>
      </c>
      <c r="D1292" s="1" t="str">
        <f aca="false">IF($A1292="","",物件マスタ!C1292)</f>
        <v/>
      </c>
      <c r="E1292" s="1" t="str">
        <f aca="false">IF($A1292="","",物件マスタ!H1292)</f>
        <v/>
      </c>
      <c r="F1292" s="1" t="str">
        <f aca="false">IF($A1292="","",物件マスタ!P1292)</f>
        <v/>
      </c>
      <c r="G1292" s="1" t="str">
        <f aca="false">IF($A1292="","",物件マスタ!Q1292)</f>
        <v/>
      </c>
      <c r="H1292" s="1" t="str">
        <f aca="false">IF($A1292="","",物件マスタ!L1292)</f>
        <v/>
      </c>
      <c r="I1292" s="1" t="str">
        <f aca="false">IF($A1292="","",物件マスタ!M1292)</f>
        <v/>
      </c>
      <c r="J1292" s="1" t="str">
        <f aca="false">IF($A1292="","",物件マスタ!S1292)</f>
        <v/>
      </c>
      <c r="K1292" s="1" t="str">
        <f aca="false">IF($A1292="","",物件マスタ!U1292)</f>
        <v/>
      </c>
      <c r="L1292" s="1" t="str">
        <f aca="false">IF($A1292="","",物件マスタ!W1292)</f>
        <v/>
      </c>
      <c r="M1292" s="1" t="str">
        <f aca="false">IF($A1292="","",IFERROR(INDEX(法人マスタ!$H:$H,MATCH($B1292,法人マスタ!$A:$A,0)),""))</f>
        <v/>
      </c>
      <c r="N1292" s="1" t="str">
        <f aca="false">IF($A1292="","",SUMIFS(物件収支!$D:$D,物件収支!$A:$A,$A1292,物件収支!$C:$C,$M1292))</f>
        <v/>
      </c>
      <c r="O1292" s="1" t="str">
        <f aca="false">IF($A1292="","",SUMIFS(物件収支!$F:$F,物件収支!$A:$A,$A1292,物件収支!$C:$C,$M1292))</f>
        <v/>
      </c>
      <c r="P1292" s="1" t="str">
        <f aca="false">IF($A1292="","",SUMIFS(物件収支!$I:$I,物件収支!$A:$A,$A1292,物件収支!$C:$C,$M1292))</f>
        <v/>
      </c>
      <c r="Q1292" s="1" t="str">
        <f aca="false">IF($A1292="","",SUMIFS(物件収支!$O:$O,物件収支!$A:$A,$A1292,物件収支!$C:$C,$M1292))</f>
        <v/>
      </c>
      <c r="R1292" s="1" t="str">
        <f aca="false">IF($A1292="","",IF(P1292=0,"",O1292-P1292))</f>
        <v/>
      </c>
      <c r="S1292" s="1" t="str">
        <f aca="false">IF($A1292="","",IF(R1292="","",R1292+Q1292))</f>
        <v/>
      </c>
      <c r="T1292" s="1" t="str">
        <f aca="false">IF($A1292="","",IF(OR(S1292="",N1292&lt;=0),"",S1292/1000*12/N1292))</f>
        <v/>
      </c>
      <c r="U1292" s="1" t="str">
        <f aca="false">IF($A1292="","",IF(OR(T1292="",J1292=0,J1292=""),"",T1292/J1292))</f>
        <v/>
      </c>
      <c r="V1292" s="1" t="str">
        <f aca="false">IF($A1292="","",IF(OR(R1292="",N1292&lt;=0,J1292=0,J1292=""),"",(R1292/1000*12/N1292)/J1292))</f>
        <v/>
      </c>
      <c r="W1292" s="1" t="str">
        <f aca="false">IF($A1292="","",IF(OR(T1292="",K1292=0,K1292=""),"",T1292/K1292))</f>
        <v/>
      </c>
      <c r="X1292" s="1" t="str">
        <f aca="false">IF($A1292="","",IF(OR(N1292&lt;=0,I1292=0,I1292="",O1292=0),"",O1292*1000/(I1292*0.3025)/N1292))</f>
        <v/>
      </c>
      <c r="Y1292" s="1" t="str">
        <f aca="false">IF($A1292="","",IF(OR(O1292=0,O1292="",P1292=0),"",P1292/O1292))</f>
        <v/>
      </c>
      <c r="Z1292" s="1" t="str">
        <f aca="false">IF($A1292="","",IFERROR(INDEX(物件収支!$E:$E,MATCH($A1292,物件収支!$A:$A,0)),""))</f>
        <v/>
      </c>
    </row>
    <row r="1293" customFormat="false" ht="15" hidden="false" customHeight="true" outlineLevel="0" collapsed="false">
      <c r="A1293" s="1" t="str">
        <f aca="false">IF(物件マスタ!A1293="","",物件マスタ!A1293)</f>
        <v/>
      </c>
      <c r="B1293" s="1" t="str">
        <f aca="false">IF($A1293="","",物件マスタ!B1293)</f>
        <v/>
      </c>
      <c r="C1293" s="1" t="str">
        <f aca="false">IF($A1293="","",IFERROR(INDEX(法人マスタ!$C:$C,MATCH($B1293,法人マスタ!$A:$A,0)),""))</f>
        <v/>
      </c>
      <c r="D1293" s="1" t="str">
        <f aca="false">IF($A1293="","",物件マスタ!C1293)</f>
        <v/>
      </c>
      <c r="E1293" s="1" t="str">
        <f aca="false">IF($A1293="","",物件マスタ!H1293)</f>
        <v/>
      </c>
      <c r="F1293" s="1" t="str">
        <f aca="false">IF($A1293="","",物件マスタ!P1293)</f>
        <v/>
      </c>
      <c r="G1293" s="1" t="str">
        <f aca="false">IF($A1293="","",物件マスタ!Q1293)</f>
        <v/>
      </c>
      <c r="H1293" s="1" t="str">
        <f aca="false">IF($A1293="","",物件マスタ!L1293)</f>
        <v/>
      </c>
      <c r="I1293" s="1" t="str">
        <f aca="false">IF($A1293="","",物件マスタ!M1293)</f>
        <v/>
      </c>
      <c r="J1293" s="1" t="str">
        <f aca="false">IF($A1293="","",物件マスタ!S1293)</f>
        <v/>
      </c>
      <c r="K1293" s="1" t="str">
        <f aca="false">IF($A1293="","",物件マスタ!U1293)</f>
        <v/>
      </c>
      <c r="L1293" s="1" t="str">
        <f aca="false">IF($A1293="","",物件マスタ!W1293)</f>
        <v/>
      </c>
      <c r="M1293" s="1" t="str">
        <f aca="false">IF($A1293="","",IFERROR(INDEX(法人マスタ!$H:$H,MATCH($B1293,法人マスタ!$A:$A,0)),""))</f>
        <v/>
      </c>
      <c r="N1293" s="1" t="str">
        <f aca="false">IF($A1293="","",SUMIFS(物件収支!$D:$D,物件収支!$A:$A,$A1293,物件収支!$C:$C,$M1293))</f>
        <v/>
      </c>
      <c r="O1293" s="1" t="str">
        <f aca="false">IF($A1293="","",SUMIFS(物件収支!$F:$F,物件収支!$A:$A,$A1293,物件収支!$C:$C,$M1293))</f>
        <v/>
      </c>
      <c r="P1293" s="1" t="str">
        <f aca="false">IF($A1293="","",SUMIFS(物件収支!$I:$I,物件収支!$A:$A,$A1293,物件収支!$C:$C,$M1293))</f>
        <v/>
      </c>
      <c r="Q1293" s="1" t="str">
        <f aca="false">IF($A1293="","",SUMIFS(物件収支!$O:$O,物件収支!$A:$A,$A1293,物件収支!$C:$C,$M1293))</f>
        <v/>
      </c>
      <c r="R1293" s="1" t="str">
        <f aca="false">IF($A1293="","",IF(P1293=0,"",O1293-P1293))</f>
        <v/>
      </c>
      <c r="S1293" s="1" t="str">
        <f aca="false">IF($A1293="","",IF(R1293="","",R1293+Q1293))</f>
        <v/>
      </c>
      <c r="T1293" s="1" t="str">
        <f aca="false">IF($A1293="","",IF(OR(S1293="",N1293&lt;=0),"",S1293/1000*12/N1293))</f>
        <v/>
      </c>
      <c r="U1293" s="1" t="str">
        <f aca="false">IF($A1293="","",IF(OR(T1293="",J1293=0,J1293=""),"",T1293/J1293))</f>
        <v/>
      </c>
      <c r="V1293" s="1" t="str">
        <f aca="false">IF($A1293="","",IF(OR(R1293="",N1293&lt;=0,J1293=0,J1293=""),"",(R1293/1000*12/N1293)/J1293))</f>
        <v/>
      </c>
      <c r="W1293" s="1" t="str">
        <f aca="false">IF($A1293="","",IF(OR(T1293="",K1293=0,K1293=""),"",T1293/K1293))</f>
        <v/>
      </c>
      <c r="X1293" s="1" t="str">
        <f aca="false">IF($A1293="","",IF(OR(N1293&lt;=0,I1293=0,I1293="",O1293=0),"",O1293*1000/(I1293*0.3025)/N1293))</f>
        <v/>
      </c>
      <c r="Y1293" s="1" t="str">
        <f aca="false">IF($A1293="","",IF(OR(O1293=0,O1293="",P1293=0),"",P1293/O1293))</f>
        <v/>
      </c>
      <c r="Z1293" s="1" t="str">
        <f aca="false">IF($A1293="","",IFERROR(INDEX(物件収支!$E:$E,MATCH($A1293,物件収支!$A:$A,0)),""))</f>
        <v/>
      </c>
    </row>
    <row r="1294" customFormat="false" ht="15" hidden="false" customHeight="true" outlineLevel="0" collapsed="false">
      <c r="A1294" s="1" t="str">
        <f aca="false">IF(物件マスタ!A1294="","",物件マスタ!A1294)</f>
        <v/>
      </c>
      <c r="B1294" s="1" t="str">
        <f aca="false">IF($A1294="","",物件マスタ!B1294)</f>
        <v/>
      </c>
      <c r="C1294" s="1" t="str">
        <f aca="false">IF($A1294="","",IFERROR(INDEX(法人マスタ!$C:$C,MATCH($B1294,法人マスタ!$A:$A,0)),""))</f>
        <v/>
      </c>
      <c r="D1294" s="1" t="str">
        <f aca="false">IF($A1294="","",物件マスタ!C1294)</f>
        <v/>
      </c>
      <c r="E1294" s="1" t="str">
        <f aca="false">IF($A1294="","",物件マスタ!H1294)</f>
        <v/>
      </c>
      <c r="F1294" s="1" t="str">
        <f aca="false">IF($A1294="","",物件マスタ!P1294)</f>
        <v/>
      </c>
      <c r="G1294" s="1" t="str">
        <f aca="false">IF($A1294="","",物件マスタ!Q1294)</f>
        <v/>
      </c>
      <c r="H1294" s="1" t="str">
        <f aca="false">IF($A1294="","",物件マスタ!L1294)</f>
        <v/>
      </c>
      <c r="I1294" s="1" t="str">
        <f aca="false">IF($A1294="","",物件マスタ!M1294)</f>
        <v/>
      </c>
      <c r="J1294" s="1" t="str">
        <f aca="false">IF($A1294="","",物件マスタ!S1294)</f>
        <v/>
      </c>
      <c r="K1294" s="1" t="str">
        <f aca="false">IF($A1294="","",物件マスタ!U1294)</f>
        <v/>
      </c>
      <c r="L1294" s="1" t="str">
        <f aca="false">IF($A1294="","",物件マスタ!W1294)</f>
        <v/>
      </c>
      <c r="M1294" s="1" t="str">
        <f aca="false">IF($A1294="","",IFERROR(INDEX(法人マスタ!$H:$H,MATCH($B1294,法人マスタ!$A:$A,0)),""))</f>
        <v/>
      </c>
      <c r="N1294" s="1" t="str">
        <f aca="false">IF($A1294="","",SUMIFS(物件収支!$D:$D,物件収支!$A:$A,$A1294,物件収支!$C:$C,$M1294))</f>
        <v/>
      </c>
      <c r="O1294" s="1" t="str">
        <f aca="false">IF($A1294="","",SUMIFS(物件収支!$F:$F,物件収支!$A:$A,$A1294,物件収支!$C:$C,$M1294))</f>
        <v/>
      </c>
      <c r="P1294" s="1" t="str">
        <f aca="false">IF($A1294="","",SUMIFS(物件収支!$I:$I,物件収支!$A:$A,$A1294,物件収支!$C:$C,$M1294))</f>
        <v/>
      </c>
      <c r="Q1294" s="1" t="str">
        <f aca="false">IF($A1294="","",SUMIFS(物件収支!$O:$O,物件収支!$A:$A,$A1294,物件収支!$C:$C,$M1294))</f>
        <v/>
      </c>
      <c r="R1294" s="1" t="str">
        <f aca="false">IF($A1294="","",IF(P1294=0,"",O1294-P1294))</f>
        <v/>
      </c>
      <c r="S1294" s="1" t="str">
        <f aca="false">IF($A1294="","",IF(R1294="","",R1294+Q1294))</f>
        <v/>
      </c>
      <c r="T1294" s="1" t="str">
        <f aca="false">IF($A1294="","",IF(OR(S1294="",N1294&lt;=0),"",S1294/1000*12/N1294))</f>
        <v/>
      </c>
      <c r="U1294" s="1" t="str">
        <f aca="false">IF($A1294="","",IF(OR(T1294="",J1294=0,J1294=""),"",T1294/J1294))</f>
        <v/>
      </c>
      <c r="V1294" s="1" t="str">
        <f aca="false">IF($A1294="","",IF(OR(R1294="",N1294&lt;=0,J1294=0,J1294=""),"",(R1294/1000*12/N1294)/J1294))</f>
        <v/>
      </c>
      <c r="W1294" s="1" t="str">
        <f aca="false">IF($A1294="","",IF(OR(T1294="",K1294=0,K1294=""),"",T1294/K1294))</f>
        <v/>
      </c>
      <c r="X1294" s="1" t="str">
        <f aca="false">IF($A1294="","",IF(OR(N1294&lt;=0,I1294=0,I1294="",O1294=0),"",O1294*1000/(I1294*0.3025)/N1294))</f>
        <v/>
      </c>
      <c r="Y1294" s="1" t="str">
        <f aca="false">IF($A1294="","",IF(OR(O1294=0,O1294="",P1294=0),"",P1294/O1294))</f>
        <v/>
      </c>
      <c r="Z1294" s="1" t="str">
        <f aca="false">IF($A1294="","",IFERROR(INDEX(物件収支!$E:$E,MATCH($A1294,物件収支!$A:$A,0)),""))</f>
        <v/>
      </c>
    </row>
    <row r="1295" customFormat="false" ht="15" hidden="false" customHeight="true" outlineLevel="0" collapsed="false">
      <c r="A1295" s="1" t="str">
        <f aca="false">IF(物件マスタ!A1295="","",物件マスタ!A1295)</f>
        <v/>
      </c>
      <c r="B1295" s="1" t="str">
        <f aca="false">IF($A1295="","",物件マスタ!B1295)</f>
        <v/>
      </c>
      <c r="C1295" s="1" t="str">
        <f aca="false">IF($A1295="","",IFERROR(INDEX(法人マスタ!$C:$C,MATCH($B1295,法人マスタ!$A:$A,0)),""))</f>
        <v/>
      </c>
      <c r="D1295" s="1" t="str">
        <f aca="false">IF($A1295="","",物件マスタ!C1295)</f>
        <v/>
      </c>
      <c r="E1295" s="1" t="str">
        <f aca="false">IF($A1295="","",物件マスタ!H1295)</f>
        <v/>
      </c>
      <c r="F1295" s="1" t="str">
        <f aca="false">IF($A1295="","",物件マスタ!P1295)</f>
        <v/>
      </c>
      <c r="G1295" s="1" t="str">
        <f aca="false">IF($A1295="","",物件マスタ!Q1295)</f>
        <v/>
      </c>
      <c r="H1295" s="1" t="str">
        <f aca="false">IF($A1295="","",物件マスタ!L1295)</f>
        <v/>
      </c>
      <c r="I1295" s="1" t="str">
        <f aca="false">IF($A1295="","",物件マスタ!M1295)</f>
        <v/>
      </c>
      <c r="J1295" s="1" t="str">
        <f aca="false">IF($A1295="","",物件マスタ!S1295)</f>
        <v/>
      </c>
      <c r="K1295" s="1" t="str">
        <f aca="false">IF($A1295="","",物件マスタ!U1295)</f>
        <v/>
      </c>
      <c r="L1295" s="1" t="str">
        <f aca="false">IF($A1295="","",物件マスタ!W1295)</f>
        <v/>
      </c>
      <c r="M1295" s="1" t="str">
        <f aca="false">IF($A1295="","",IFERROR(INDEX(法人マスタ!$H:$H,MATCH($B1295,法人マスタ!$A:$A,0)),""))</f>
        <v/>
      </c>
      <c r="N1295" s="1" t="str">
        <f aca="false">IF($A1295="","",SUMIFS(物件収支!$D:$D,物件収支!$A:$A,$A1295,物件収支!$C:$C,$M1295))</f>
        <v/>
      </c>
      <c r="O1295" s="1" t="str">
        <f aca="false">IF($A1295="","",SUMIFS(物件収支!$F:$F,物件収支!$A:$A,$A1295,物件収支!$C:$C,$M1295))</f>
        <v/>
      </c>
      <c r="P1295" s="1" t="str">
        <f aca="false">IF($A1295="","",SUMIFS(物件収支!$I:$I,物件収支!$A:$A,$A1295,物件収支!$C:$C,$M1295))</f>
        <v/>
      </c>
      <c r="Q1295" s="1" t="str">
        <f aca="false">IF($A1295="","",SUMIFS(物件収支!$O:$O,物件収支!$A:$A,$A1295,物件収支!$C:$C,$M1295))</f>
        <v/>
      </c>
      <c r="R1295" s="1" t="str">
        <f aca="false">IF($A1295="","",IF(P1295=0,"",O1295-P1295))</f>
        <v/>
      </c>
      <c r="S1295" s="1" t="str">
        <f aca="false">IF($A1295="","",IF(R1295="","",R1295+Q1295))</f>
        <v/>
      </c>
      <c r="T1295" s="1" t="str">
        <f aca="false">IF($A1295="","",IF(OR(S1295="",N1295&lt;=0),"",S1295/1000*12/N1295))</f>
        <v/>
      </c>
      <c r="U1295" s="1" t="str">
        <f aca="false">IF($A1295="","",IF(OR(T1295="",J1295=0,J1295=""),"",T1295/J1295))</f>
        <v/>
      </c>
      <c r="V1295" s="1" t="str">
        <f aca="false">IF($A1295="","",IF(OR(R1295="",N1295&lt;=0,J1295=0,J1295=""),"",(R1295/1000*12/N1295)/J1295))</f>
        <v/>
      </c>
      <c r="W1295" s="1" t="str">
        <f aca="false">IF($A1295="","",IF(OR(T1295="",K1295=0,K1295=""),"",T1295/K1295))</f>
        <v/>
      </c>
      <c r="X1295" s="1" t="str">
        <f aca="false">IF($A1295="","",IF(OR(N1295&lt;=0,I1295=0,I1295="",O1295=0),"",O1295*1000/(I1295*0.3025)/N1295))</f>
        <v/>
      </c>
      <c r="Y1295" s="1" t="str">
        <f aca="false">IF($A1295="","",IF(OR(O1295=0,O1295="",P1295=0),"",P1295/O1295))</f>
        <v/>
      </c>
      <c r="Z1295" s="1" t="str">
        <f aca="false">IF($A1295="","",IFERROR(INDEX(物件収支!$E:$E,MATCH($A1295,物件収支!$A:$A,0)),""))</f>
        <v/>
      </c>
    </row>
    <row r="1296" customFormat="false" ht="15" hidden="false" customHeight="true" outlineLevel="0" collapsed="false">
      <c r="A1296" s="1" t="str">
        <f aca="false">IF(物件マスタ!A1296="","",物件マスタ!A1296)</f>
        <v/>
      </c>
      <c r="B1296" s="1" t="str">
        <f aca="false">IF($A1296="","",物件マスタ!B1296)</f>
        <v/>
      </c>
      <c r="C1296" s="1" t="str">
        <f aca="false">IF($A1296="","",IFERROR(INDEX(法人マスタ!$C:$C,MATCH($B1296,法人マスタ!$A:$A,0)),""))</f>
        <v/>
      </c>
      <c r="D1296" s="1" t="str">
        <f aca="false">IF($A1296="","",物件マスタ!C1296)</f>
        <v/>
      </c>
      <c r="E1296" s="1" t="str">
        <f aca="false">IF($A1296="","",物件マスタ!H1296)</f>
        <v/>
      </c>
      <c r="F1296" s="1" t="str">
        <f aca="false">IF($A1296="","",物件マスタ!P1296)</f>
        <v/>
      </c>
      <c r="G1296" s="1" t="str">
        <f aca="false">IF($A1296="","",物件マスタ!Q1296)</f>
        <v/>
      </c>
      <c r="H1296" s="1" t="str">
        <f aca="false">IF($A1296="","",物件マスタ!L1296)</f>
        <v/>
      </c>
      <c r="I1296" s="1" t="str">
        <f aca="false">IF($A1296="","",物件マスタ!M1296)</f>
        <v/>
      </c>
      <c r="J1296" s="1" t="str">
        <f aca="false">IF($A1296="","",物件マスタ!S1296)</f>
        <v/>
      </c>
      <c r="K1296" s="1" t="str">
        <f aca="false">IF($A1296="","",物件マスタ!U1296)</f>
        <v/>
      </c>
      <c r="L1296" s="1" t="str">
        <f aca="false">IF($A1296="","",物件マスタ!W1296)</f>
        <v/>
      </c>
      <c r="M1296" s="1" t="str">
        <f aca="false">IF($A1296="","",IFERROR(INDEX(法人マスタ!$H:$H,MATCH($B1296,法人マスタ!$A:$A,0)),""))</f>
        <v/>
      </c>
      <c r="N1296" s="1" t="str">
        <f aca="false">IF($A1296="","",SUMIFS(物件収支!$D:$D,物件収支!$A:$A,$A1296,物件収支!$C:$C,$M1296))</f>
        <v/>
      </c>
      <c r="O1296" s="1" t="str">
        <f aca="false">IF($A1296="","",SUMIFS(物件収支!$F:$F,物件収支!$A:$A,$A1296,物件収支!$C:$C,$M1296))</f>
        <v/>
      </c>
      <c r="P1296" s="1" t="str">
        <f aca="false">IF($A1296="","",SUMIFS(物件収支!$I:$I,物件収支!$A:$A,$A1296,物件収支!$C:$C,$M1296))</f>
        <v/>
      </c>
      <c r="Q1296" s="1" t="str">
        <f aca="false">IF($A1296="","",SUMIFS(物件収支!$O:$O,物件収支!$A:$A,$A1296,物件収支!$C:$C,$M1296))</f>
        <v/>
      </c>
      <c r="R1296" s="1" t="str">
        <f aca="false">IF($A1296="","",IF(P1296=0,"",O1296-P1296))</f>
        <v/>
      </c>
      <c r="S1296" s="1" t="str">
        <f aca="false">IF($A1296="","",IF(R1296="","",R1296+Q1296))</f>
        <v/>
      </c>
      <c r="T1296" s="1" t="str">
        <f aca="false">IF($A1296="","",IF(OR(S1296="",N1296&lt;=0),"",S1296/1000*12/N1296))</f>
        <v/>
      </c>
      <c r="U1296" s="1" t="str">
        <f aca="false">IF($A1296="","",IF(OR(T1296="",J1296=0,J1296=""),"",T1296/J1296))</f>
        <v/>
      </c>
      <c r="V1296" s="1" t="str">
        <f aca="false">IF($A1296="","",IF(OR(R1296="",N1296&lt;=0,J1296=0,J1296=""),"",(R1296/1000*12/N1296)/J1296))</f>
        <v/>
      </c>
      <c r="W1296" s="1" t="str">
        <f aca="false">IF($A1296="","",IF(OR(T1296="",K1296=0,K1296=""),"",T1296/K1296))</f>
        <v/>
      </c>
      <c r="X1296" s="1" t="str">
        <f aca="false">IF($A1296="","",IF(OR(N1296&lt;=0,I1296=0,I1296="",O1296=0),"",O1296*1000/(I1296*0.3025)/N1296))</f>
        <v/>
      </c>
      <c r="Y1296" s="1" t="str">
        <f aca="false">IF($A1296="","",IF(OR(O1296=0,O1296="",P1296=0),"",P1296/O1296))</f>
        <v/>
      </c>
      <c r="Z1296" s="1" t="str">
        <f aca="false">IF($A1296="","",IFERROR(INDEX(物件収支!$E:$E,MATCH($A1296,物件収支!$A:$A,0)),""))</f>
        <v/>
      </c>
    </row>
    <row r="1297" customFormat="false" ht="15" hidden="false" customHeight="true" outlineLevel="0" collapsed="false">
      <c r="A1297" s="1" t="str">
        <f aca="false">IF(物件マスタ!A1297="","",物件マスタ!A1297)</f>
        <v/>
      </c>
      <c r="B1297" s="1" t="str">
        <f aca="false">IF($A1297="","",物件マスタ!B1297)</f>
        <v/>
      </c>
      <c r="C1297" s="1" t="str">
        <f aca="false">IF($A1297="","",IFERROR(INDEX(法人マスタ!$C:$C,MATCH($B1297,法人マスタ!$A:$A,0)),""))</f>
        <v/>
      </c>
      <c r="D1297" s="1" t="str">
        <f aca="false">IF($A1297="","",物件マスタ!C1297)</f>
        <v/>
      </c>
      <c r="E1297" s="1" t="str">
        <f aca="false">IF($A1297="","",物件マスタ!H1297)</f>
        <v/>
      </c>
      <c r="F1297" s="1" t="str">
        <f aca="false">IF($A1297="","",物件マスタ!P1297)</f>
        <v/>
      </c>
      <c r="G1297" s="1" t="str">
        <f aca="false">IF($A1297="","",物件マスタ!Q1297)</f>
        <v/>
      </c>
      <c r="H1297" s="1" t="str">
        <f aca="false">IF($A1297="","",物件マスタ!L1297)</f>
        <v/>
      </c>
      <c r="I1297" s="1" t="str">
        <f aca="false">IF($A1297="","",物件マスタ!M1297)</f>
        <v/>
      </c>
      <c r="J1297" s="1" t="str">
        <f aca="false">IF($A1297="","",物件マスタ!S1297)</f>
        <v/>
      </c>
      <c r="K1297" s="1" t="str">
        <f aca="false">IF($A1297="","",物件マスタ!U1297)</f>
        <v/>
      </c>
      <c r="L1297" s="1" t="str">
        <f aca="false">IF($A1297="","",物件マスタ!W1297)</f>
        <v/>
      </c>
      <c r="M1297" s="1" t="str">
        <f aca="false">IF($A1297="","",IFERROR(INDEX(法人マスタ!$H:$H,MATCH($B1297,法人マスタ!$A:$A,0)),""))</f>
        <v/>
      </c>
      <c r="N1297" s="1" t="str">
        <f aca="false">IF($A1297="","",SUMIFS(物件収支!$D:$D,物件収支!$A:$A,$A1297,物件収支!$C:$C,$M1297))</f>
        <v/>
      </c>
      <c r="O1297" s="1" t="str">
        <f aca="false">IF($A1297="","",SUMIFS(物件収支!$F:$F,物件収支!$A:$A,$A1297,物件収支!$C:$C,$M1297))</f>
        <v/>
      </c>
      <c r="P1297" s="1" t="str">
        <f aca="false">IF($A1297="","",SUMIFS(物件収支!$I:$I,物件収支!$A:$A,$A1297,物件収支!$C:$C,$M1297))</f>
        <v/>
      </c>
      <c r="Q1297" s="1" t="str">
        <f aca="false">IF($A1297="","",SUMIFS(物件収支!$O:$O,物件収支!$A:$A,$A1297,物件収支!$C:$C,$M1297))</f>
        <v/>
      </c>
      <c r="R1297" s="1" t="str">
        <f aca="false">IF($A1297="","",IF(P1297=0,"",O1297-P1297))</f>
        <v/>
      </c>
      <c r="S1297" s="1" t="str">
        <f aca="false">IF($A1297="","",IF(R1297="","",R1297+Q1297))</f>
        <v/>
      </c>
      <c r="T1297" s="1" t="str">
        <f aca="false">IF($A1297="","",IF(OR(S1297="",N1297&lt;=0),"",S1297/1000*12/N1297))</f>
        <v/>
      </c>
      <c r="U1297" s="1" t="str">
        <f aca="false">IF($A1297="","",IF(OR(T1297="",J1297=0,J1297=""),"",T1297/J1297))</f>
        <v/>
      </c>
      <c r="V1297" s="1" t="str">
        <f aca="false">IF($A1297="","",IF(OR(R1297="",N1297&lt;=0,J1297=0,J1297=""),"",(R1297/1000*12/N1297)/J1297))</f>
        <v/>
      </c>
      <c r="W1297" s="1" t="str">
        <f aca="false">IF($A1297="","",IF(OR(T1297="",K1297=0,K1297=""),"",T1297/K1297))</f>
        <v/>
      </c>
      <c r="X1297" s="1" t="str">
        <f aca="false">IF($A1297="","",IF(OR(N1297&lt;=0,I1297=0,I1297="",O1297=0),"",O1297*1000/(I1297*0.3025)/N1297))</f>
        <v/>
      </c>
      <c r="Y1297" s="1" t="str">
        <f aca="false">IF($A1297="","",IF(OR(O1297=0,O1297="",P1297=0),"",P1297/O1297))</f>
        <v/>
      </c>
      <c r="Z1297" s="1" t="str">
        <f aca="false">IF($A1297="","",IFERROR(INDEX(物件収支!$E:$E,MATCH($A1297,物件収支!$A:$A,0)),""))</f>
        <v/>
      </c>
    </row>
    <row r="1298" customFormat="false" ht="15" hidden="false" customHeight="true" outlineLevel="0" collapsed="false">
      <c r="A1298" s="1" t="str">
        <f aca="false">IF(物件マスタ!A1298="","",物件マスタ!A1298)</f>
        <v/>
      </c>
      <c r="B1298" s="1" t="str">
        <f aca="false">IF($A1298="","",物件マスタ!B1298)</f>
        <v/>
      </c>
      <c r="C1298" s="1" t="str">
        <f aca="false">IF($A1298="","",IFERROR(INDEX(法人マスタ!$C:$C,MATCH($B1298,法人マスタ!$A:$A,0)),""))</f>
        <v/>
      </c>
      <c r="D1298" s="1" t="str">
        <f aca="false">IF($A1298="","",物件マスタ!C1298)</f>
        <v/>
      </c>
      <c r="E1298" s="1" t="str">
        <f aca="false">IF($A1298="","",物件マスタ!H1298)</f>
        <v/>
      </c>
      <c r="F1298" s="1" t="str">
        <f aca="false">IF($A1298="","",物件マスタ!P1298)</f>
        <v/>
      </c>
      <c r="G1298" s="1" t="str">
        <f aca="false">IF($A1298="","",物件マスタ!Q1298)</f>
        <v/>
      </c>
      <c r="H1298" s="1" t="str">
        <f aca="false">IF($A1298="","",物件マスタ!L1298)</f>
        <v/>
      </c>
      <c r="I1298" s="1" t="str">
        <f aca="false">IF($A1298="","",物件マスタ!M1298)</f>
        <v/>
      </c>
      <c r="J1298" s="1" t="str">
        <f aca="false">IF($A1298="","",物件マスタ!S1298)</f>
        <v/>
      </c>
      <c r="K1298" s="1" t="str">
        <f aca="false">IF($A1298="","",物件マスタ!U1298)</f>
        <v/>
      </c>
      <c r="L1298" s="1" t="str">
        <f aca="false">IF($A1298="","",物件マスタ!W1298)</f>
        <v/>
      </c>
      <c r="M1298" s="1" t="str">
        <f aca="false">IF($A1298="","",IFERROR(INDEX(法人マスタ!$H:$H,MATCH($B1298,法人マスタ!$A:$A,0)),""))</f>
        <v/>
      </c>
      <c r="N1298" s="1" t="str">
        <f aca="false">IF($A1298="","",SUMIFS(物件収支!$D:$D,物件収支!$A:$A,$A1298,物件収支!$C:$C,$M1298))</f>
        <v/>
      </c>
      <c r="O1298" s="1" t="str">
        <f aca="false">IF($A1298="","",SUMIFS(物件収支!$F:$F,物件収支!$A:$A,$A1298,物件収支!$C:$C,$M1298))</f>
        <v/>
      </c>
      <c r="P1298" s="1" t="str">
        <f aca="false">IF($A1298="","",SUMIFS(物件収支!$I:$I,物件収支!$A:$A,$A1298,物件収支!$C:$C,$M1298))</f>
        <v/>
      </c>
      <c r="Q1298" s="1" t="str">
        <f aca="false">IF($A1298="","",SUMIFS(物件収支!$O:$O,物件収支!$A:$A,$A1298,物件収支!$C:$C,$M1298))</f>
        <v/>
      </c>
      <c r="R1298" s="1" t="str">
        <f aca="false">IF($A1298="","",IF(P1298=0,"",O1298-P1298))</f>
        <v/>
      </c>
      <c r="S1298" s="1" t="str">
        <f aca="false">IF($A1298="","",IF(R1298="","",R1298+Q1298))</f>
        <v/>
      </c>
      <c r="T1298" s="1" t="str">
        <f aca="false">IF($A1298="","",IF(OR(S1298="",N1298&lt;=0),"",S1298/1000*12/N1298))</f>
        <v/>
      </c>
      <c r="U1298" s="1" t="str">
        <f aca="false">IF($A1298="","",IF(OR(T1298="",J1298=0,J1298=""),"",T1298/J1298))</f>
        <v/>
      </c>
      <c r="V1298" s="1" t="str">
        <f aca="false">IF($A1298="","",IF(OR(R1298="",N1298&lt;=0,J1298=0,J1298=""),"",(R1298/1000*12/N1298)/J1298))</f>
        <v/>
      </c>
      <c r="W1298" s="1" t="str">
        <f aca="false">IF($A1298="","",IF(OR(T1298="",K1298=0,K1298=""),"",T1298/K1298))</f>
        <v/>
      </c>
      <c r="X1298" s="1" t="str">
        <f aca="false">IF($A1298="","",IF(OR(N1298&lt;=0,I1298=0,I1298="",O1298=0),"",O1298*1000/(I1298*0.3025)/N1298))</f>
        <v/>
      </c>
      <c r="Y1298" s="1" t="str">
        <f aca="false">IF($A1298="","",IF(OR(O1298=0,O1298="",P1298=0),"",P1298/O1298))</f>
        <v/>
      </c>
      <c r="Z1298" s="1" t="str">
        <f aca="false">IF($A1298="","",IFERROR(INDEX(物件収支!$E:$E,MATCH($A1298,物件収支!$A:$A,0)),""))</f>
        <v/>
      </c>
    </row>
    <row r="1299" customFormat="false" ht="15" hidden="false" customHeight="true" outlineLevel="0" collapsed="false">
      <c r="A1299" s="1" t="str">
        <f aca="false">IF(物件マスタ!A1299="","",物件マスタ!A1299)</f>
        <v/>
      </c>
      <c r="B1299" s="1" t="str">
        <f aca="false">IF($A1299="","",物件マスタ!B1299)</f>
        <v/>
      </c>
      <c r="C1299" s="1" t="str">
        <f aca="false">IF($A1299="","",IFERROR(INDEX(法人マスタ!$C:$C,MATCH($B1299,法人マスタ!$A:$A,0)),""))</f>
        <v/>
      </c>
      <c r="D1299" s="1" t="str">
        <f aca="false">IF($A1299="","",物件マスタ!C1299)</f>
        <v/>
      </c>
      <c r="E1299" s="1" t="str">
        <f aca="false">IF($A1299="","",物件マスタ!H1299)</f>
        <v/>
      </c>
      <c r="F1299" s="1" t="str">
        <f aca="false">IF($A1299="","",物件マスタ!P1299)</f>
        <v/>
      </c>
      <c r="G1299" s="1" t="str">
        <f aca="false">IF($A1299="","",物件マスタ!Q1299)</f>
        <v/>
      </c>
      <c r="H1299" s="1" t="str">
        <f aca="false">IF($A1299="","",物件マスタ!L1299)</f>
        <v/>
      </c>
      <c r="I1299" s="1" t="str">
        <f aca="false">IF($A1299="","",物件マスタ!M1299)</f>
        <v/>
      </c>
      <c r="J1299" s="1" t="str">
        <f aca="false">IF($A1299="","",物件マスタ!S1299)</f>
        <v/>
      </c>
      <c r="K1299" s="1" t="str">
        <f aca="false">IF($A1299="","",物件マスタ!U1299)</f>
        <v/>
      </c>
      <c r="L1299" s="1" t="str">
        <f aca="false">IF($A1299="","",物件マスタ!W1299)</f>
        <v/>
      </c>
      <c r="M1299" s="1" t="str">
        <f aca="false">IF($A1299="","",IFERROR(INDEX(法人マスタ!$H:$H,MATCH($B1299,法人マスタ!$A:$A,0)),""))</f>
        <v/>
      </c>
      <c r="N1299" s="1" t="str">
        <f aca="false">IF($A1299="","",SUMIFS(物件収支!$D:$D,物件収支!$A:$A,$A1299,物件収支!$C:$C,$M1299))</f>
        <v/>
      </c>
      <c r="O1299" s="1" t="str">
        <f aca="false">IF($A1299="","",SUMIFS(物件収支!$F:$F,物件収支!$A:$A,$A1299,物件収支!$C:$C,$M1299))</f>
        <v/>
      </c>
      <c r="P1299" s="1" t="str">
        <f aca="false">IF($A1299="","",SUMIFS(物件収支!$I:$I,物件収支!$A:$A,$A1299,物件収支!$C:$C,$M1299))</f>
        <v/>
      </c>
      <c r="Q1299" s="1" t="str">
        <f aca="false">IF($A1299="","",SUMIFS(物件収支!$O:$O,物件収支!$A:$A,$A1299,物件収支!$C:$C,$M1299))</f>
        <v/>
      </c>
      <c r="R1299" s="1" t="str">
        <f aca="false">IF($A1299="","",IF(P1299=0,"",O1299-P1299))</f>
        <v/>
      </c>
      <c r="S1299" s="1" t="str">
        <f aca="false">IF($A1299="","",IF(R1299="","",R1299+Q1299))</f>
        <v/>
      </c>
      <c r="T1299" s="1" t="str">
        <f aca="false">IF($A1299="","",IF(OR(S1299="",N1299&lt;=0),"",S1299/1000*12/N1299))</f>
        <v/>
      </c>
      <c r="U1299" s="1" t="str">
        <f aca="false">IF($A1299="","",IF(OR(T1299="",J1299=0,J1299=""),"",T1299/J1299))</f>
        <v/>
      </c>
      <c r="V1299" s="1" t="str">
        <f aca="false">IF($A1299="","",IF(OR(R1299="",N1299&lt;=0,J1299=0,J1299=""),"",(R1299/1000*12/N1299)/J1299))</f>
        <v/>
      </c>
      <c r="W1299" s="1" t="str">
        <f aca="false">IF($A1299="","",IF(OR(T1299="",K1299=0,K1299=""),"",T1299/K1299))</f>
        <v/>
      </c>
      <c r="X1299" s="1" t="str">
        <f aca="false">IF($A1299="","",IF(OR(N1299&lt;=0,I1299=0,I1299="",O1299=0),"",O1299*1000/(I1299*0.3025)/N1299))</f>
        <v/>
      </c>
      <c r="Y1299" s="1" t="str">
        <f aca="false">IF($A1299="","",IF(OR(O1299=0,O1299="",P1299=0),"",P1299/O1299))</f>
        <v/>
      </c>
      <c r="Z1299" s="1" t="str">
        <f aca="false">IF($A1299="","",IFERROR(INDEX(物件収支!$E:$E,MATCH($A1299,物件収支!$A:$A,0)),""))</f>
        <v/>
      </c>
    </row>
    <row r="1300" customFormat="false" ht="15" hidden="false" customHeight="true" outlineLevel="0" collapsed="false">
      <c r="A1300" s="1" t="str">
        <f aca="false">IF(物件マスタ!A1300="","",物件マスタ!A1300)</f>
        <v/>
      </c>
      <c r="B1300" s="1" t="str">
        <f aca="false">IF($A1300="","",物件マスタ!B1300)</f>
        <v/>
      </c>
      <c r="C1300" s="1" t="str">
        <f aca="false">IF($A1300="","",IFERROR(INDEX(法人マスタ!$C:$C,MATCH($B1300,法人マスタ!$A:$A,0)),""))</f>
        <v/>
      </c>
      <c r="D1300" s="1" t="str">
        <f aca="false">IF($A1300="","",物件マスタ!C1300)</f>
        <v/>
      </c>
      <c r="E1300" s="1" t="str">
        <f aca="false">IF($A1300="","",物件マスタ!H1300)</f>
        <v/>
      </c>
      <c r="F1300" s="1" t="str">
        <f aca="false">IF($A1300="","",物件マスタ!P1300)</f>
        <v/>
      </c>
      <c r="G1300" s="1" t="str">
        <f aca="false">IF($A1300="","",物件マスタ!Q1300)</f>
        <v/>
      </c>
      <c r="H1300" s="1" t="str">
        <f aca="false">IF($A1300="","",物件マスタ!L1300)</f>
        <v/>
      </c>
      <c r="I1300" s="1" t="str">
        <f aca="false">IF($A1300="","",物件マスタ!M1300)</f>
        <v/>
      </c>
      <c r="J1300" s="1" t="str">
        <f aca="false">IF($A1300="","",物件マスタ!S1300)</f>
        <v/>
      </c>
      <c r="K1300" s="1" t="str">
        <f aca="false">IF($A1300="","",物件マスタ!U1300)</f>
        <v/>
      </c>
      <c r="L1300" s="1" t="str">
        <f aca="false">IF($A1300="","",物件マスタ!W1300)</f>
        <v/>
      </c>
      <c r="M1300" s="1" t="str">
        <f aca="false">IF($A1300="","",IFERROR(INDEX(法人マスタ!$H:$H,MATCH($B1300,法人マスタ!$A:$A,0)),""))</f>
        <v/>
      </c>
      <c r="N1300" s="1" t="str">
        <f aca="false">IF($A1300="","",SUMIFS(物件収支!$D:$D,物件収支!$A:$A,$A1300,物件収支!$C:$C,$M1300))</f>
        <v/>
      </c>
      <c r="O1300" s="1" t="str">
        <f aca="false">IF($A1300="","",SUMIFS(物件収支!$F:$F,物件収支!$A:$A,$A1300,物件収支!$C:$C,$M1300))</f>
        <v/>
      </c>
      <c r="P1300" s="1" t="str">
        <f aca="false">IF($A1300="","",SUMIFS(物件収支!$I:$I,物件収支!$A:$A,$A1300,物件収支!$C:$C,$M1300))</f>
        <v/>
      </c>
      <c r="Q1300" s="1" t="str">
        <f aca="false">IF($A1300="","",SUMIFS(物件収支!$O:$O,物件収支!$A:$A,$A1300,物件収支!$C:$C,$M1300))</f>
        <v/>
      </c>
      <c r="R1300" s="1" t="str">
        <f aca="false">IF($A1300="","",IF(P1300=0,"",O1300-P1300))</f>
        <v/>
      </c>
      <c r="S1300" s="1" t="str">
        <f aca="false">IF($A1300="","",IF(R1300="","",R1300+Q1300))</f>
        <v/>
      </c>
      <c r="T1300" s="1" t="str">
        <f aca="false">IF($A1300="","",IF(OR(S1300="",N1300&lt;=0),"",S1300/1000*12/N1300))</f>
        <v/>
      </c>
      <c r="U1300" s="1" t="str">
        <f aca="false">IF($A1300="","",IF(OR(T1300="",J1300=0,J1300=""),"",T1300/J1300))</f>
        <v/>
      </c>
      <c r="V1300" s="1" t="str">
        <f aca="false">IF($A1300="","",IF(OR(R1300="",N1300&lt;=0,J1300=0,J1300=""),"",(R1300/1000*12/N1300)/J1300))</f>
        <v/>
      </c>
      <c r="W1300" s="1" t="str">
        <f aca="false">IF($A1300="","",IF(OR(T1300="",K1300=0,K1300=""),"",T1300/K1300))</f>
        <v/>
      </c>
      <c r="X1300" s="1" t="str">
        <f aca="false">IF($A1300="","",IF(OR(N1300&lt;=0,I1300=0,I1300="",O1300=0),"",O1300*1000/(I1300*0.3025)/N1300))</f>
        <v/>
      </c>
      <c r="Y1300" s="1" t="str">
        <f aca="false">IF($A1300="","",IF(OR(O1300=0,O1300="",P1300=0),"",P1300/O1300))</f>
        <v/>
      </c>
      <c r="Z1300" s="1" t="str">
        <f aca="false">IF($A1300="","",IFERROR(INDEX(物件収支!$E:$E,MATCH($A1300,物件収支!$A:$A,0)),""))</f>
        <v/>
      </c>
    </row>
  </sheetData>
  <autoFilter ref="A1:Z3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12"/>
    <col collapsed="false" customWidth="true" hidden="false" outlineLevel="0" max="4" min="4" style="1" width="30"/>
    <col collapsed="false" customWidth="true" hidden="false" outlineLevel="0" max="5" min="5" style="1" width="14"/>
    <col collapsed="false" customWidth="true" hidden="false" outlineLevel="0" max="7" min="6" style="1" width="10"/>
    <col collapsed="false" customWidth="true" hidden="false" outlineLevel="0" max="8" min="8" style="1" width="30"/>
    <col collapsed="false" customWidth="true" hidden="false" outlineLevel="0" max="9" min="9" style="1" width="60"/>
  </cols>
  <sheetData>
    <row r="1" customFormat="false" ht="15" hidden="false" customHeight="true" outlineLevel="0" collapsed="false">
      <c r="A1" s="30" t="s">
        <v>492</v>
      </c>
      <c r="B1" s="30" t="s">
        <v>360</v>
      </c>
      <c r="C1" s="30" t="s">
        <v>4829</v>
      </c>
      <c r="D1" s="30" t="s">
        <v>4830</v>
      </c>
      <c r="E1" s="30" t="s">
        <v>4831</v>
      </c>
      <c r="F1" s="30" t="s">
        <v>4832</v>
      </c>
      <c r="G1" s="30" t="s">
        <v>508</v>
      </c>
      <c r="H1" s="30" t="s">
        <v>4833</v>
      </c>
      <c r="I1" s="30" t="s">
        <v>372</v>
      </c>
    </row>
    <row r="2" customFormat="false" ht="15" hidden="false" customHeight="true" outlineLevel="0" collapsed="false">
      <c r="A2" s="37" t="s">
        <v>976</v>
      </c>
      <c r="B2" s="37" t="s">
        <v>373</v>
      </c>
      <c r="C2" s="37" t="s">
        <v>4834</v>
      </c>
      <c r="D2" s="37" t="s">
        <v>4835</v>
      </c>
      <c r="E2" s="37"/>
      <c r="F2" s="37" t="s">
        <v>4836</v>
      </c>
      <c r="G2" s="37"/>
      <c r="H2" s="54" t="s">
        <v>977</v>
      </c>
      <c r="I2" s="37"/>
    </row>
    <row r="3" customFormat="false" ht="15" hidden="false" customHeight="true" outlineLevel="0" collapsed="false">
      <c r="A3" s="37" t="s">
        <v>980</v>
      </c>
      <c r="B3" s="37" t="s">
        <v>373</v>
      </c>
      <c r="C3" s="37" t="s">
        <v>4834</v>
      </c>
      <c r="D3" s="37" t="s">
        <v>4835</v>
      </c>
      <c r="E3" s="37"/>
      <c r="F3" s="37" t="s">
        <v>4836</v>
      </c>
      <c r="G3" s="37"/>
      <c r="H3" s="54" t="s">
        <v>981</v>
      </c>
      <c r="I3" s="37"/>
    </row>
    <row r="4" customFormat="false" ht="15" hidden="false" customHeight="true" outlineLevel="0" collapsed="false">
      <c r="A4" s="37" t="s">
        <v>983</v>
      </c>
      <c r="B4" s="37" t="s">
        <v>373</v>
      </c>
      <c r="C4" s="37" t="s">
        <v>4834</v>
      </c>
      <c r="D4" s="37" t="s">
        <v>4835</v>
      </c>
      <c r="E4" s="37"/>
      <c r="F4" s="37" t="s">
        <v>4836</v>
      </c>
      <c r="G4" s="37"/>
      <c r="H4" s="54" t="s">
        <v>984</v>
      </c>
      <c r="I4" s="37"/>
    </row>
    <row r="5" customFormat="false" ht="15" hidden="false" customHeight="true" outlineLevel="0" collapsed="false">
      <c r="A5" s="37" t="s">
        <v>986</v>
      </c>
      <c r="B5" s="37" t="s">
        <v>373</v>
      </c>
      <c r="C5" s="37" t="s">
        <v>4834</v>
      </c>
      <c r="D5" s="37" t="s">
        <v>4835</v>
      </c>
      <c r="E5" s="37"/>
      <c r="F5" s="37" t="s">
        <v>4836</v>
      </c>
      <c r="G5" s="37"/>
      <c r="H5" s="54" t="s">
        <v>987</v>
      </c>
      <c r="I5" s="37"/>
    </row>
    <row r="6" customFormat="false" ht="15" hidden="false" customHeight="true" outlineLevel="0" collapsed="false">
      <c r="A6" s="37" t="s">
        <v>989</v>
      </c>
      <c r="B6" s="37" t="s">
        <v>373</v>
      </c>
      <c r="C6" s="37" t="s">
        <v>4834</v>
      </c>
      <c r="D6" s="37" t="s">
        <v>4835</v>
      </c>
      <c r="E6" s="37"/>
      <c r="F6" s="37" t="s">
        <v>4836</v>
      </c>
      <c r="G6" s="37"/>
      <c r="H6" s="54" t="s">
        <v>990</v>
      </c>
      <c r="I6" s="37"/>
    </row>
    <row r="7" customFormat="false" ht="15" hidden="false" customHeight="true" outlineLevel="0" collapsed="false">
      <c r="A7" s="37" t="s">
        <v>992</v>
      </c>
      <c r="B7" s="37" t="s">
        <v>373</v>
      </c>
      <c r="C7" s="37" t="s">
        <v>4834</v>
      </c>
      <c r="D7" s="37" t="s">
        <v>4835</v>
      </c>
      <c r="E7" s="37"/>
      <c r="F7" s="37" t="s">
        <v>4836</v>
      </c>
      <c r="G7" s="37"/>
      <c r="H7" s="37" t="s">
        <v>4837</v>
      </c>
      <c r="I7" s="37"/>
    </row>
    <row r="8" customFormat="false" ht="15" hidden="false" customHeight="true" outlineLevel="0" collapsed="false">
      <c r="A8" s="37" t="s">
        <v>995</v>
      </c>
      <c r="B8" s="37" t="s">
        <v>373</v>
      </c>
      <c r="C8" s="37" t="s">
        <v>4834</v>
      </c>
      <c r="D8" s="37" t="s">
        <v>4835</v>
      </c>
      <c r="E8" s="37"/>
      <c r="F8" s="37" t="s">
        <v>4836</v>
      </c>
      <c r="G8" s="37"/>
      <c r="H8" s="37" t="s">
        <v>4838</v>
      </c>
      <c r="I8" s="37"/>
    </row>
    <row r="9" customFormat="false" ht="15" hidden="false" customHeight="true" outlineLevel="0" collapsed="false">
      <c r="A9" s="37" t="s">
        <v>998</v>
      </c>
      <c r="B9" s="37" t="s">
        <v>373</v>
      </c>
      <c r="C9" s="37" t="s">
        <v>4834</v>
      </c>
      <c r="D9" s="37" t="s">
        <v>4835</v>
      </c>
      <c r="E9" s="37"/>
      <c r="F9" s="37" t="s">
        <v>4836</v>
      </c>
      <c r="G9" s="37"/>
      <c r="H9" s="37" t="s">
        <v>4839</v>
      </c>
      <c r="I9" s="37"/>
    </row>
    <row r="10" customFormat="false" ht="15" hidden="false" customHeight="true" outlineLevel="0" collapsed="false">
      <c r="A10" s="37" t="s">
        <v>1001</v>
      </c>
      <c r="B10" s="37" t="s">
        <v>373</v>
      </c>
      <c r="C10" s="37" t="s">
        <v>4834</v>
      </c>
      <c r="D10" s="37" t="s">
        <v>4835</v>
      </c>
      <c r="E10" s="37"/>
      <c r="F10" s="37" t="s">
        <v>4836</v>
      </c>
      <c r="G10" s="37"/>
      <c r="H10" s="37" t="s">
        <v>4840</v>
      </c>
      <c r="I10" s="37"/>
    </row>
    <row r="11" customFormat="false" ht="15" hidden="false" customHeight="true" outlineLevel="0" collapsed="false">
      <c r="A11" s="37" t="s">
        <v>1004</v>
      </c>
      <c r="B11" s="37" t="s">
        <v>373</v>
      </c>
      <c r="C11" s="37" t="s">
        <v>4834</v>
      </c>
      <c r="D11" s="37" t="s">
        <v>4835</v>
      </c>
      <c r="E11" s="37"/>
      <c r="F11" s="37" t="s">
        <v>4836</v>
      </c>
      <c r="G11" s="37"/>
      <c r="H11" s="54" t="s">
        <v>1005</v>
      </c>
      <c r="I11" s="37"/>
    </row>
    <row r="12" customFormat="false" ht="15" hidden="false" customHeight="true" outlineLevel="0" collapsed="false">
      <c r="A12" s="37" t="s">
        <v>1007</v>
      </c>
      <c r="B12" s="37" t="s">
        <v>373</v>
      </c>
      <c r="C12" s="37" t="s">
        <v>4834</v>
      </c>
      <c r="D12" s="37" t="s">
        <v>4835</v>
      </c>
      <c r="E12" s="37"/>
      <c r="F12" s="37" t="s">
        <v>4836</v>
      </c>
      <c r="G12" s="37"/>
      <c r="H12" s="37" t="s">
        <v>4841</v>
      </c>
      <c r="I12" s="37"/>
    </row>
    <row r="13" customFormat="false" ht="15" hidden="false" customHeight="true" outlineLevel="0" collapsed="false">
      <c r="A13" s="37" t="s">
        <v>1010</v>
      </c>
      <c r="B13" s="37" t="s">
        <v>373</v>
      </c>
      <c r="C13" s="37" t="s">
        <v>4834</v>
      </c>
      <c r="D13" s="37" t="s">
        <v>4835</v>
      </c>
      <c r="E13" s="37"/>
      <c r="F13" s="37" t="s">
        <v>4842</v>
      </c>
      <c r="G13" s="37"/>
      <c r="H13" s="37" t="s">
        <v>4843</v>
      </c>
      <c r="I13" s="37"/>
    </row>
    <row r="14" customFormat="false" ht="15" hidden="false" customHeight="true" outlineLevel="0" collapsed="false">
      <c r="A14" s="37" t="s">
        <v>1013</v>
      </c>
      <c r="B14" s="37" t="s">
        <v>373</v>
      </c>
      <c r="C14" s="37" t="s">
        <v>4834</v>
      </c>
      <c r="D14" s="37" t="s">
        <v>4835</v>
      </c>
      <c r="E14" s="37"/>
      <c r="F14" s="37" t="s">
        <v>4836</v>
      </c>
      <c r="G14" s="37"/>
      <c r="H14" s="54" t="s">
        <v>1014</v>
      </c>
      <c r="I14" s="37"/>
    </row>
    <row r="15" customFormat="false" ht="15" hidden="false" customHeight="true" outlineLevel="0" collapsed="false">
      <c r="A15" s="37" t="s">
        <v>1015</v>
      </c>
      <c r="B15" s="37" t="s">
        <v>373</v>
      </c>
      <c r="C15" s="37" t="s">
        <v>4834</v>
      </c>
      <c r="D15" s="37" t="s">
        <v>4835</v>
      </c>
      <c r="E15" s="37"/>
      <c r="F15" s="37" t="s">
        <v>4842</v>
      </c>
      <c r="G15" s="37"/>
      <c r="H15" s="54" t="s">
        <v>4844</v>
      </c>
      <c r="I15" s="37"/>
    </row>
    <row r="16" customFormat="false" ht="15" hidden="false" customHeight="true" outlineLevel="0" collapsed="false">
      <c r="A16" s="37" t="s">
        <v>1018</v>
      </c>
      <c r="B16" s="37" t="s">
        <v>373</v>
      </c>
      <c r="C16" s="37" t="s">
        <v>4834</v>
      </c>
      <c r="D16" s="37" t="s">
        <v>4835</v>
      </c>
      <c r="E16" s="37"/>
      <c r="F16" s="37" t="s">
        <v>4836</v>
      </c>
      <c r="G16" s="37"/>
      <c r="H16" s="54" t="s">
        <v>4845</v>
      </c>
      <c r="I16" s="37"/>
    </row>
    <row r="17" customFormat="false" ht="15" hidden="false" customHeight="true" outlineLevel="0" collapsed="false">
      <c r="A17" s="37" t="s">
        <v>1020</v>
      </c>
      <c r="B17" s="37" t="s">
        <v>373</v>
      </c>
      <c r="C17" s="37" t="s">
        <v>4834</v>
      </c>
      <c r="D17" s="37" t="s">
        <v>4835</v>
      </c>
      <c r="E17" s="37"/>
      <c r="F17" s="37" t="s">
        <v>4842</v>
      </c>
      <c r="G17" s="37"/>
      <c r="H17" s="54" t="s">
        <v>4846</v>
      </c>
      <c r="I17" s="37"/>
    </row>
    <row r="18" customFormat="false" ht="15" hidden="false" customHeight="true" outlineLevel="0" collapsed="false">
      <c r="A18" s="37" t="s">
        <v>1025</v>
      </c>
      <c r="B18" s="37" t="s">
        <v>373</v>
      </c>
      <c r="C18" s="37" t="s">
        <v>4834</v>
      </c>
      <c r="D18" s="37" t="s">
        <v>4835</v>
      </c>
      <c r="E18" s="37"/>
      <c r="F18" s="37" t="s">
        <v>4836</v>
      </c>
      <c r="G18" s="37"/>
      <c r="H18" s="54" t="s">
        <v>1026</v>
      </c>
      <c r="I18" s="37"/>
    </row>
    <row r="19" customFormat="false" ht="15" hidden="false" customHeight="true" outlineLevel="0" collapsed="false">
      <c r="A19" s="37" t="s">
        <v>1028</v>
      </c>
      <c r="B19" s="37" t="s">
        <v>373</v>
      </c>
      <c r="C19" s="37" t="s">
        <v>4834</v>
      </c>
      <c r="D19" s="37" t="s">
        <v>4835</v>
      </c>
      <c r="E19" s="37"/>
      <c r="F19" s="37" t="s">
        <v>4836</v>
      </c>
      <c r="G19" s="37"/>
      <c r="H19" s="37" t="s">
        <v>4847</v>
      </c>
      <c r="I19" s="37"/>
    </row>
    <row r="20" customFormat="false" ht="15" hidden="false" customHeight="true" outlineLevel="0" collapsed="false">
      <c r="A20" s="37" t="s">
        <v>1030</v>
      </c>
      <c r="B20" s="37" t="s">
        <v>373</v>
      </c>
      <c r="C20" s="37" t="s">
        <v>4834</v>
      </c>
      <c r="D20" s="37" t="s">
        <v>4835</v>
      </c>
      <c r="E20" s="37"/>
      <c r="F20" s="37" t="s">
        <v>4842</v>
      </c>
      <c r="G20" s="37"/>
      <c r="H20" s="54" t="s">
        <v>1031</v>
      </c>
      <c r="I20" s="37"/>
    </row>
    <row r="21" customFormat="false" ht="15" hidden="false" customHeight="true" outlineLevel="0" collapsed="false">
      <c r="A21" s="37" t="s">
        <v>1033</v>
      </c>
      <c r="B21" s="37" t="s">
        <v>373</v>
      </c>
      <c r="C21" s="37" t="s">
        <v>4834</v>
      </c>
      <c r="D21" s="37" t="s">
        <v>4835</v>
      </c>
      <c r="E21" s="37"/>
      <c r="F21" s="37" t="s">
        <v>4836</v>
      </c>
      <c r="G21" s="37"/>
      <c r="H21" s="37" t="s">
        <v>4848</v>
      </c>
      <c r="I21" s="37"/>
    </row>
    <row r="22" customFormat="false" ht="15" hidden="false" customHeight="true" outlineLevel="0" collapsed="false">
      <c r="A22" s="37" t="s">
        <v>1035</v>
      </c>
      <c r="B22" s="37" t="s">
        <v>373</v>
      </c>
      <c r="C22" s="37" t="s">
        <v>4834</v>
      </c>
      <c r="D22" s="37" t="s">
        <v>4835</v>
      </c>
      <c r="E22" s="37"/>
      <c r="F22" s="37" t="s">
        <v>4842</v>
      </c>
      <c r="G22" s="37"/>
      <c r="H22" s="37" t="s">
        <v>4849</v>
      </c>
      <c r="I22" s="37"/>
    </row>
    <row r="23" customFormat="false" ht="15" hidden="false" customHeight="true" outlineLevel="0" collapsed="false">
      <c r="A23" s="37" t="s">
        <v>1037</v>
      </c>
      <c r="B23" s="37" t="s">
        <v>373</v>
      </c>
      <c r="C23" s="37" t="s">
        <v>4834</v>
      </c>
      <c r="D23" s="37" t="s">
        <v>4835</v>
      </c>
      <c r="E23" s="37"/>
      <c r="F23" s="37" t="s">
        <v>4842</v>
      </c>
      <c r="G23" s="37"/>
      <c r="H23" s="37" t="s">
        <v>4850</v>
      </c>
      <c r="I23" s="37"/>
    </row>
    <row r="24" customFormat="false" ht="15" hidden="false" customHeight="true" outlineLevel="0" collapsed="false">
      <c r="A24" s="37" t="s">
        <v>1039</v>
      </c>
      <c r="B24" s="37" t="s">
        <v>373</v>
      </c>
      <c r="C24" s="37" t="s">
        <v>4834</v>
      </c>
      <c r="D24" s="37" t="s">
        <v>4835</v>
      </c>
      <c r="E24" s="37"/>
      <c r="F24" s="37" t="s">
        <v>4842</v>
      </c>
      <c r="G24" s="37"/>
      <c r="H24" s="37" t="s">
        <v>4851</v>
      </c>
      <c r="I24" s="37"/>
    </row>
    <row r="25" customFormat="false" ht="15" hidden="false" customHeight="true" outlineLevel="0" collapsed="false">
      <c r="A25" s="37" t="s">
        <v>1041</v>
      </c>
      <c r="B25" s="37" t="s">
        <v>373</v>
      </c>
      <c r="C25" s="37" t="s">
        <v>4834</v>
      </c>
      <c r="D25" s="37" t="s">
        <v>4835</v>
      </c>
      <c r="E25" s="37"/>
      <c r="F25" s="37" t="s">
        <v>4842</v>
      </c>
      <c r="G25" s="37"/>
      <c r="H25" s="37" t="s">
        <v>4852</v>
      </c>
      <c r="I25" s="37"/>
    </row>
    <row r="26" customFormat="false" ht="15" hidden="false" customHeight="true" outlineLevel="0" collapsed="false">
      <c r="A26" s="37" t="s">
        <v>1044</v>
      </c>
      <c r="B26" s="37" t="s">
        <v>373</v>
      </c>
      <c r="C26" s="37" t="s">
        <v>4834</v>
      </c>
      <c r="D26" s="37" t="s">
        <v>4835</v>
      </c>
      <c r="E26" s="37"/>
      <c r="F26" s="37" t="s">
        <v>4836</v>
      </c>
      <c r="G26" s="37"/>
      <c r="H26" s="54" t="s">
        <v>1045</v>
      </c>
      <c r="I26" s="37"/>
    </row>
    <row r="27" customFormat="false" ht="15" hidden="false" customHeight="true" outlineLevel="0" collapsed="false">
      <c r="A27" s="37" t="s">
        <v>1047</v>
      </c>
      <c r="B27" s="37" t="s">
        <v>373</v>
      </c>
      <c r="C27" s="37" t="s">
        <v>4834</v>
      </c>
      <c r="D27" s="37" t="s">
        <v>4835</v>
      </c>
      <c r="E27" s="37"/>
      <c r="F27" s="37" t="s">
        <v>4842</v>
      </c>
      <c r="G27" s="37"/>
      <c r="H27" s="37" t="s">
        <v>4853</v>
      </c>
      <c r="I27" s="37"/>
    </row>
    <row r="28" customFormat="false" ht="15" hidden="false" customHeight="true" outlineLevel="0" collapsed="false">
      <c r="A28" s="37" t="s">
        <v>1049</v>
      </c>
      <c r="B28" s="37" t="s">
        <v>373</v>
      </c>
      <c r="C28" s="37" t="s">
        <v>4834</v>
      </c>
      <c r="D28" s="37" t="s">
        <v>4835</v>
      </c>
      <c r="E28" s="37"/>
      <c r="F28" s="37" t="s">
        <v>4842</v>
      </c>
      <c r="G28" s="37"/>
      <c r="H28" s="54" t="s">
        <v>4854</v>
      </c>
      <c r="I28" s="37"/>
    </row>
    <row r="29" customFormat="false" ht="15" hidden="false" customHeight="true" outlineLevel="0" collapsed="false">
      <c r="A29" s="37" t="s">
        <v>1051</v>
      </c>
      <c r="B29" s="37" t="s">
        <v>373</v>
      </c>
      <c r="C29" s="37" t="s">
        <v>4834</v>
      </c>
      <c r="D29" s="37" t="s">
        <v>4835</v>
      </c>
      <c r="E29" s="37"/>
      <c r="F29" s="37" t="s">
        <v>4836</v>
      </c>
      <c r="G29" s="37"/>
      <c r="H29" s="37" t="s">
        <v>4855</v>
      </c>
      <c r="I29" s="37"/>
    </row>
    <row r="30" customFormat="false" ht="15" hidden="false" customHeight="true" outlineLevel="0" collapsed="false">
      <c r="A30" s="37" t="s">
        <v>1054</v>
      </c>
      <c r="B30" s="37" t="s">
        <v>373</v>
      </c>
      <c r="C30" s="37" t="s">
        <v>4834</v>
      </c>
      <c r="D30" s="37" t="s">
        <v>4835</v>
      </c>
      <c r="E30" s="37"/>
      <c r="F30" s="37" t="s">
        <v>4842</v>
      </c>
      <c r="G30" s="37"/>
      <c r="H30" s="54" t="s">
        <v>1055</v>
      </c>
      <c r="I30" s="37"/>
    </row>
    <row r="31" customFormat="false" ht="15" hidden="false" customHeight="true" outlineLevel="0" collapsed="false">
      <c r="A31" s="37" t="s">
        <v>1056</v>
      </c>
      <c r="B31" s="37" t="s">
        <v>373</v>
      </c>
      <c r="C31" s="37" t="s">
        <v>4834</v>
      </c>
      <c r="D31" s="37" t="s">
        <v>4835</v>
      </c>
      <c r="E31" s="37"/>
      <c r="F31" s="37" t="s">
        <v>4836</v>
      </c>
      <c r="G31" s="37"/>
      <c r="H31" s="54" t="s">
        <v>4856</v>
      </c>
      <c r="I31" s="37"/>
    </row>
    <row r="32" customFormat="false" ht="15" hidden="false" customHeight="true" outlineLevel="0" collapsed="false">
      <c r="A32" s="37" t="s">
        <v>1058</v>
      </c>
      <c r="B32" s="37" t="s">
        <v>373</v>
      </c>
      <c r="C32" s="37" t="s">
        <v>4834</v>
      </c>
      <c r="D32" s="37" t="s">
        <v>4835</v>
      </c>
      <c r="E32" s="37"/>
      <c r="F32" s="37" t="s">
        <v>4836</v>
      </c>
      <c r="G32" s="37"/>
      <c r="H32" s="54" t="s">
        <v>1059</v>
      </c>
      <c r="I32" s="37"/>
    </row>
    <row r="33" customFormat="false" ht="15" hidden="false" customHeight="true" outlineLevel="0" collapsed="false">
      <c r="A33" s="37" t="s">
        <v>1061</v>
      </c>
      <c r="B33" s="37" t="s">
        <v>373</v>
      </c>
      <c r="C33" s="37" t="s">
        <v>4834</v>
      </c>
      <c r="D33" s="37" t="s">
        <v>4835</v>
      </c>
      <c r="E33" s="37"/>
      <c r="F33" s="37" t="s">
        <v>4836</v>
      </c>
      <c r="G33" s="37"/>
      <c r="H33" s="37" t="s">
        <v>4857</v>
      </c>
      <c r="I33" s="37"/>
    </row>
    <row r="34" customFormat="false" ht="15" hidden="false" customHeight="true" outlineLevel="0" collapsed="false">
      <c r="A34" s="37" t="s">
        <v>1064</v>
      </c>
      <c r="B34" s="37" t="s">
        <v>373</v>
      </c>
      <c r="C34" s="37" t="s">
        <v>4834</v>
      </c>
      <c r="D34" s="37" t="s">
        <v>4835</v>
      </c>
      <c r="E34" s="37"/>
      <c r="F34" s="37" t="s">
        <v>4836</v>
      </c>
      <c r="G34" s="37"/>
      <c r="H34" s="54" t="s">
        <v>1065</v>
      </c>
      <c r="I34" s="37"/>
    </row>
    <row r="35" customFormat="false" ht="15" hidden="false" customHeight="true" outlineLevel="0" collapsed="false">
      <c r="A35" s="37" t="s">
        <v>1064</v>
      </c>
      <c r="B35" s="37" t="s">
        <v>373</v>
      </c>
      <c r="C35" s="37" t="s">
        <v>4834</v>
      </c>
      <c r="D35" s="37" t="s">
        <v>4858</v>
      </c>
      <c r="E35" s="37"/>
      <c r="F35" s="37"/>
      <c r="G35" s="37"/>
      <c r="H35" s="54" t="s">
        <v>1065</v>
      </c>
      <c r="I35" s="37"/>
    </row>
    <row r="36" customFormat="false" ht="15" hidden="false" customHeight="true" outlineLevel="0" collapsed="false">
      <c r="A36" s="37" t="s">
        <v>1067</v>
      </c>
      <c r="B36" s="37" t="s">
        <v>373</v>
      </c>
      <c r="C36" s="37" t="s">
        <v>4834</v>
      </c>
      <c r="D36" s="37" t="s">
        <v>4835</v>
      </c>
      <c r="E36" s="37"/>
      <c r="F36" s="37" t="s">
        <v>4836</v>
      </c>
      <c r="G36" s="37"/>
      <c r="H36" s="37" t="s">
        <v>4859</v>
      </c>
      <c r="I36" s="37"/>
    </row>
    <row r="37" customFormat="false" ht="15" hidden="false" customHeight="true" outlineLevel="0" collapsed="false">
      <c r="A37" s="37" t="s">
        <v>1070</v>
      </c>
      <c r="B37" s="37" t="s">
        <v>373</v>
      </c>
      <c r="C37" s="37" t="s">
        <v>4834</v>
      </c>
      <c r="D37" s="37" t="s">
        <v>4835</v>
      </c>
      <c r="E37" s="37"/>
      <c r="F37" s="37" t="s">
        <v>4836</v>
      </c>
      <c r="G37" s="37"/>
      <c r="H37" s="54" t="s">
        <v>1071</v>
      </c>
      <c r="I37" s="37"/>
    </row>
    <row r="38" customFormat="false" ht="15" hidden="false" customHeight="true" outlineLevel="0" collapsed="false">
      <c r="A38" s="37" t="s">
        <v>1073</v>
      </c>
      <c r="B38" s="37" t="s">
        <v>373</v>
      </c>
      <c r="C38" s="37" t="s">
        <v>4834</v>
      </c>
      <c r="D38" s="37" t="s">
        <v>4835</v>
      </c>
      <c r="E38" s="37"/>
      <c r="F38" s="37" t="s">
        <v>4842</v>
      </c>
      <c r="G38" s="37"/>
      <c r="H38" s="37" t="s">
        <v>4860</v>
      </c>
      <c r="I38" s="37"/>
    </row>
    <row r="39" customFormat="false" ht="15" hidden="false" customHeight="true" outlineLevel="0" collapsed="false">
      <c r="A39" s="37" t="s">
        <v>1076</v>
      </c>
      <c r="B39" s="37" t="s">
        <v>373</v>
      </c>
      <c r="C39" s="37" t="s">
        <v>4834</v>
      </c>
      <c r="D39" s="37" t="s">
        <v>4835</v>
      </c>
      <c r="E39" s="37"/>
      <c r="F39" s="37" t="s">
        <v>4836</v>
      </c>
      <c r="G39" s="37"/>
      <c r="H39" s="54" t="s">
        <v>4861</v>
      </c>
      <c r="I39" s="37"/>
    </row>
    <row r="40" customFormat="false" ht="15" hidden="false" customHeight="true" outlineLevel="0" collapsed="false">
      <c r="A40" s="37" t="s">
        <v>1079</v>
      </c>
      <c r="B40" s="37" t="s">
        <v>373</v>
      </c>
      <c r="C40" s="37" t="s">
        <v>4834</v>
      </c>
      <c r="D40" s="37" t="s">
        <v>4835</v>
      </c>
      <c r="E40" s="37"/>
      <c r="F40" s="37" t="s">
        <v>4836</v>
      </c>
      <c r="G40" s="37"/>
      <c r="H40" s="54" t="s">
        <v>4862</v>
      </c>
      <c r="I40" s="37"/>
    </row>
    <row r="41" customFormat="false" ht="15" hidden="false" customHeight="true" outlineLevel="0" collapsed="false">
      <c r="A41" s="37" t="s">
        <v>1082</v>
      </c>
      <c r="B41" s="37" t="s">
        <v>373</v>
      </c>
      <c r="C41" s="37" t="s">
        <v>4834</v>
      </c>
      <c r="D41" s="37" t="s">
        <v>4835</v>
      </c>
      <c r="E41" s="37"/>
      <c r="F41" s="37" t="s">
        <v>4836</v>
      </c>
      <c r="G41" s="37"/>
      <c r="H41" s="54" t="s">
        <v>1083</v>
      </c>
      <c r="I41" s="37"/>
    </row>
    <row r="42" customFormat="false" ht="15" hidden="false" customHeight="true" outlineLevel="0" collapsed="false">
      <c r="A42" s="37" t="s">
        <v>1084</v>
      </c>
      <c r="B42" s="37" t="s">
        <v>373</v>
      </c>
      <c r="C42" s="37" t="s">
        <v>4834</v>
      </c>
      <c r="D42" s="37" t="s">
        <v>4835</v>
      </c>
      <c r="E42" s="37"/>
      <c r="F42" s="37" t="s">
        <v>4836</v>
      </c>
      <c r="G42" s="37"/>
      <c r="H42" s="37" t="s">
        <v>4863</v>
      </c>
      <c r="I42" s="37"/>
    </row>
    <row r="43" customFormat="false" ht="15" hidden="false" customHeight="true" outlineLevel="0" collapsed="false">
      <c r="A43" s="37" t="s">
        <v>1086</v>
      </c>
      <c r="B43" s="37" t="s">
        <v>373</v>
      </c>
      <c r="C43" s="37" t="s">
        <v>4834</v>
      </c>
      <c r="D43" s="37" t="s">
        <v>4835</v>
      </c>
      <c r="E43" s="37"/>
      <c r="F43" s="37" t="s">
        <v>4836</v>
      </c>
      <c r="G43" s="37"/>
      <c r="H43" s="54" t="s">
        <v>1087</v>
      </c>
      <c r="I43" s="37"/>
    </row>
    <row r="44" customFormat="false" ht="15" hidden="false" customHeight="true" outlineLevel="0" collapsed="false">
      <c r="A44" s="37" t="s">
        <v>1088</v>
      </c>
      <c r="B44" s="37" t="s">
        <v>373</v>
      </c>
      <c r="C44" s="37" t="s">
        <v>4834</v>
      </c>
      <c r="D44" s="37" t="s">
        <v>4835</v>
      </c>
      <c r="E44" s="37"/>
      <c r="F44" s="37" t="s">
        <v>4842</v>
      </c>
      <c r="G44" s="37"/>
      <c r="H44" s="37" t="s">
        <v>4864</v>
      </c>
      <c r="I44" s="37"/>
    </row>
    <row r="45" customFormat="false" ht="15" hidden="false" customHeight="true" outlineLevel="0" collapsed="false">
      <c r="A45" s="37" t="s">
        <v>1090</v>
      </c>
      <c r="B45" s="37" t="s">
        <v>373</v>
      </c>
      <c r="C45" s="37" t="s">
        <v>4834</v>
      </c>
      <c r="D45" s="37" t="s">
        <v>4835</v>
      </c>
      <c r="E45" s="37"/>
      <c r="F45" s="37" t="s">
        <v>4842</v>
      </c>
      <c r="G45" s="37"/>
      <c r="H45" s="37" t="s">
        <v>4865</v>
      </c>
      <c r="I45" s="37"/>
    </row>
    <row r="46" customFormat="false" ht="15" hidden="false" customHeight="true" outlineLevel="0" collapsed="false">
      <c r="A46" s="37" t="s">
        <v>1092</v>
      </c>
      <c r="B46" s="37" t="s">
        <v>373</v>
      </c>
      <c r="C46" s="37" t="s">
        <v>4834</v>
      </c>
      <c r="D46" s="37" t="s">
        <v>4835</v>
      </c>
      <c r="E46" s="37"/>
      <c r="F46" s="37" t="s">
        <v>4836</v>
      </c>
      <c r="G46" s="37"/>
      <c r="H46" s="54" t="s">
        <v>1093</v>
      </c>
      <c r="I46" s="37"/>
    </row>
    <row r="47" customFormat="false" ht="15" hidden="false" customHeight="true" outlineLevel="0" collapsed="false">
      <c r="A47" s="37" t="s">
        <v>1096</v>
      </c>
      <c r="B47" s="37" t="s">
        <v>373</v>
      </c>
      <c r="C47" s="37" t="s">
        <v>4866</v>
      </c>
      <c r="D47" s="37" t="s">
        <v>4867</v>
      </c>
      <c r="E47" s="37"/>
      <c r="F47" s="37"/>
      <c r="G47" s="37"/>
      <c r="H47" s="54" t="s">
        <v>1097</v>
      </c>
      <c r="I47" s="54" t="s">
        <v>4868</v>
      </c>
    </row>
    <row r="48" customFormat="false" ht="15" hidden="false" customHeight="true" outlineLevel="0" collapsed="false">
      <c r="A48" s="37" t="s">
        <v>1096</v>
      </c>
      <c r="B48" s="37" t="s">
        <v>373</v>
      </c>
      <c r="C48" s="37" t="s">
        <v>4834</v>
      </c>
      <c r="D48" s="37" t="s">
        <v>4835</v>
      </c>
      <c r="E48" s="37"/>
      <c r="F48" s="37" t="s">
        <v>4836</v>
      </c>
      <c r="G48" s="37"/>
      <c r="H48" s="54" t="s">
        <v>1097</v>
      </c>
      <c r="I48" s="37"/>
    </row>
    <row r="49" customFormat="false" ht="15" hidden="false" customHeight="true" outlineLevel="0" collapsed="false">
      <c r="A49" s="37" t="s">
        <v>1099</v>
      </c>
      <c r="B49" s="37" t="s">
        <v>373</v>
      </c>
      <c r="C49" s="37" t="s">
        <v>4834</v>
      </c>
      <c r="D49" s="37" t="s">
        <v>4835</v>
      </c>
      <c r="E49" s="37"/>
      <c r="F49" s="37" t="s">
        <v>4836</v>
      </c>
      <c r="G49" s="37"/>
      <c r="H49" s="54" t="s">
        <v>4869</v>
      </c>
      <c r="I49" s="37"/>
    </row>
    <row r="50" customFormat="false" ht="15" hidden="false" customHeight="true" outlineLevel="0" collapsed="false">
      <c r="A50" s="37" t="s">
        <v>1102</v>
      </c>
      <c r="B50" s="37" t="s">
        <v>373</v>
      </c>
      <c r="C50" s="37" t="s">
        <v>4834</v>
      </c>
      <c r="D50" s="37" t="s">
        <v>4835</v>
      </c>
      <c r="E50" s="37"/>
      <c r="F50" s="37" t="s">
        <v>4836</v>
      </c>
      <c r="G50" s="37"/>
      <c r="H50" s="54" t="s">
        <v>4870</v>
      </c>
      <c r="I50" s="37"/>
    </row>
    <row r="51" customFormat="false" ht="15" hidden="false" customHeight="true" outlineLevel="0" collapsed="false">
      <c r="A51" s="37" t="s">
        <v>1105</v>
      </c>
      <c r="B51" s="37" t="s">
        <v>373</v>
      </c>
      <c r="C51" s="37" t="s">
        <v>4834</v>
      </c>
      <c r="D51" s="37" t="s">
        <v>4835</v>
      </c>
      <c r="E51" s="37"/>
      <c r="F51" s="37" t="s">
        <v>4836</v>
      </c>
      <c r="G51" s="37"/>
      <c r="H51" s="54" t="s">
        <v>1106</v>
      </c>
      <c r="I51" s="37"/>
    </row>
    <row r="52" customFormat="false" ht="15" hidden="false" customHeight="true" outlineLevel="0" collapsed="false">
      <c r="A52" s="37" t="s">
        <v>1107</v>
      </c>
      <c r="B52" s="37" t="s">
        <v>373</v>
      </c>
      <c r="C52" s="37" t="s">
        <v>4834</v>
      </c>
      <c r="D52" s="37" t="s">
        <v>4835</v>
      </c>
      <c r="E52" s="37"/>
      <c r="F52" s="37" t="s">
        <v>4836</v>
      </c>
      <c r="G52" s="37"/>
      <c r="H52" s="54" t="s">
        <v>1108</v>
      </c>
      <c r="I52" s="37"/>
    </row>
    <row r="53" customFormat="false" ht="15" hidden="false" customHeight="true" outlineLevel="0" collapsed="false">
      <c r="A53" s="37" t="s">
        <v>1110</v>
      </c>
      <c r="B53" s="37" t="s">
        <v>373</v>
      </c>
      <c r="C53" s="37" t="s">
        <v>4834</v>
      </c>
      <c r="D53" s="37" t="s">
        <v>4835</v>
      </c>
      <c r="E53" s="37"/>
      <c r="F53" s="37" t="s">
        <v>4842</v>
      </c>
      <c r="G53" s="37"/>
      <c r="H53" s="37" t="s">
        <v>4871</v>
      </c>
      <c r="I53" s="37"/>
    </row>
    <row r="54" customFormat="false" ht="15" hidden="false" customHeight="true" outlineLevel="0" collapsed="false">
      <c r="A54" s="37" t="s">
        <v>1112</v>
      </c>
      <c r="B54" s="37" t="s">
        <v>373</v>
      </c>
      <c r="C54" s="37" t="s">
        <v>4834</v>
      </c>
      <c r="D54" s="37" t="s">
        <v>4835</v>
      </c>
      <c r="E54" s="37"/>
      <c r="F54" s="37" t="s">
        <v>4842</v>
      </c>
      <c r="G54" s="37"/>
      <c r="H54" s="37" t="s">
        <v>4872</v>
      </c>
      <c r="I54" s="37"/>
    </row>
    <row r="55" customFormat="false" ht="15" hidden="false" customHeight="true" outlineLevel="0" collapsed="false">
      <c r="A55" s="37" t="s">
        <v>1118</v>
      </c>
      <c r="B55" s="37" t="s">
        <v>373</v>
      </c>
      <c r="C55" s="37" t="s">
        <v>4834</v>
      </c>
      <c r="D55" s="37" t="s">
        <v>4835</v>
      </c>
      <c r="E55" s="37"/>
      <c r="F55" s="37" t="s">
        <v>4836</v>
      </c>
      <c r="G55" s="37"/>
      <c r="H55" s="54" t="s">
        <v>1119</v>
      </c>
      <c r="I55" s="37"/>
    </row>
    <row r="56" customFormat="false" ht="15" hidden="false" customHeight="true" outlineLevel="0" collapsed="false">
      <c r="A56" s="37" t="s">
        <v>1121</v>
      </c>
      <c r="B56" s="37" t="s">
        <v>373</v>
      </c>
      <c r="C56" s="37" t="s">
        <v>4834</v>
      </c>
      <c r="D56" s="37" t="s">
        <v>4835</v>
      </c>
      <c r="E56" s="37"/>
      <c r="F56" s="37" t="s">
        <v>4842</v>
      </c>
      <c r="G56" s="37"/>
      <c r="H56" s="37" t="s">
        <v>4873</v>
      </c>
      <c r="I56" s="37"/>
    </row>
    <row r="57" customFormat="false" ht="15" hidden="false" customHeight="true" outlineLevel="0" collapsed="false">
      <c r="A57" s="37" t="s">
        <v>1124</v>
      </c>
      <c r="B57" s="37" t="s">
        <v>373</v>
      </c>
      <c r="C57" s="37" t="s">
        <v>4874</v>
      </c>
      <c r="D57" s="37" t="s">
        <v>4875</v>
      </c>
      <c r="E57" s="37"/>
      <c r="F57" s="37"/>
      <c r="G57" s="37"/>
      <c r="H57" s="37" t="s">
        <v>4876</v>
      </c>
      <c r="I57" s="54" t="s">
        <v>4877</v>
      </c>
    </row>
    <row r="58" customFormat="false" ht="15" hidden="false" customHeight="true" outlineLevel="0" collapsed="false">
      <c r="A58" s="37" t="s">
        <v>1124</v>
      </c>
      <c r="B58" s="37" t="s">
        <v>373</v>
      </c>
      <c r="C58" s="37" t="s">
        <v>4834</v>
      </c>
      <c r="D58" s="37" t="s">
        <v>4835</v>
      </c>
      <c r="E58" s="37"/>
      <c r="F58" s="37" t="s">
        <v>4836</v>
      </c>
      <c r="G58" s="37"/>
      <c r="H58" s="37" t="s">
        <v>4876</v>
      </c>
      <c r="I58" s="37"/>
    </row>
    <row r="59" customFormat="false" ht="15" hidden="false" customHeight="true" outlineLevel="0" collapsed="false">
      <c r="A59" s="37" t="s">
        <v>1129</v>
      </c>
      <c r="B59" s="37" t="s">
        <v>373</v>
      </c>
      <c r="C59" s="37" t="s">
        <v>4834</v>
      </c>
      <c r="D59" s="37" t="s">
        <v>4835</v>
      </c>
      <c r="E59" s="37"/>
      <c r="F59" s="37" t="s">
        <v>4836</v>
      </c>
      <c r="G59" s="37"/>
      <c r="H59" s="54" t="s">
        <v>1130</v>
      </c>
      <c r="I59" s="37"/>
    </row>
    <row r="60" customFormat="false" ht="15" hidden="false" customHeight="true" outlineLevel="0" collapsed="false">
      <c r="A60" s="37" t="s">
        <v>1131</v>
      </c>
      <c r="B60" s="37" t="s">
        <v>373</v>
      </c>
      <c r="C60" s="37" t="s">
        <v>4834</v>
      </c>
      <c r="D60" s="37" t="s">
        <v>4835</v>
      </c>
      <c r="E60" s="37"/>
      <c r="F60" s="37" t="s">
        <v>4836</v>
      </c>
      <c r="G60" s="37"/>
      <c r="H60" s="54" t="s">
        <v>1132</v>
      </c>
      <c r="I60" s="37"/>
    </row>
    <row r="61" customFormat="false" ht="15" hidden="false" customHeight="true" outlineLevel="0" collapsed="false">
      <c r="A61" s="37" t="s">
        <v>1133</v>
      </c>
      <c r="B61" s="37" t="s">
        <v>373</v>
      </c>
      <c r="C61" s="37" t="s">
        <v>4834</v>
      </c>
      <c r="D61" s="37" t="s">
        <v>4835</v>
      </c>
      <c r="E61" s="37"/>
      <c r="F61" s="37" t="s">
        <v>4836</v>
      </c>
      <c r="G61" s="37"/>
      <c r="H61" s="54" t="s">
        <v>1134</v>
      </c>
      <c r="I61" s="37"/>
    </row>
    <row r="62" customFormat="false" ht="15" hidden="false" customHeight="true" outlineLevel="0" collapsed="false">
      <c r="A62" s="37" t="s">
        <v>1135</v>
      </c>
      <c r="B62" s="37" t="s">
        <v>373</v>
      </c>
      <c r="C62" s="37" t="s">
        <v>4834</v>
      </c>
      <c r="D62" s="37" t="s">
        <v>4835</v>
      </c>
      <c r="E62" s="37"/>
      <c r="F62" s="37" t="s">
        <v>4836</v>
      </c>
      <c r="G62" s="37"/>
      <c r="H62" s="37" t="s">
        <v>4878</v>
      </c>
      <c r="I62" s="37"/>
    </row>
    <row r="63" customFormat="false" ht="15" hidden="false" customHeight="true" outlineLevel="0" collapsed="false">
      <c r="A63" s="37" t="s">
        <v>1138</v>
      </c>
      <c r="B63" s="37" t="s">
        <v>373</v>
      </c>
      <c r="C63" s="37" t="s">
        <v>4834</v>
      </c>
      <c r="D63" s="37" t="s">
        <v>4835</v>
      </c>
      <c r="E63" s="37"/>
      <c r="F63" s="37" t="s">
        <v>4836</v>
      </c>
      <c r="G63" s="37"/>
      <c r="H63" s="54" t="s">
        <v>1139</v>
      </c>
      <c r="I63" s="37"/>
    </row>
    <row r="64" customFormat="false" ht="15" hidden="false" customHeight="true" outlineLevel="0" collapsed="false">
      <c r="A64" s="37" t="s">
        <v>1140</v>
      </c>
      <c r="B64" s="37" t="s">
        <v>373</v>
      </c>
      <c r="C64" s="37" t="s">
        <v>4834</v>
      </c>
      <c r="D64" s="37" t="s">
        <v>4835</v>
      </c>
      <c r="E64" s="37"/>
      <c r="F64" s="37" t="s">
        <v>4836</v>
      </c>
      <c r="G64" s="37"/>
      <c r="H64" s="54" t="s">
        <v>4879</v>
      </c>
      <c r="I64" s="37"/>
    </row>
    <row r="65" customFormat="false" ht="15" hidden="false" customHeight="true" outlineLevel="0" collapsed="false">
      <c r="A65" s="37" t="s">
        <v>1142</v>
      </c>
      <c r="B65" s="37" t="s">
        <v>373</v>
      </c>
      <c r="C65" s="37" t="s">
        <v>4834</v>
      </c>
      <c r="D65" s="37" t="s">
        <v>4835</v>
      </c>
      <c r="E65" s="37"/>
      <c r="F65" s="37" t="s">
        <v>4836</v>
      </c>
      <c r="G65" s="37"/>
      <c r="H65" s="54" t="s">
        <v>1143</v>
      </c>
      <c r="I65" s="37"/>
    </row>
    <row r="66" customFormat="false" ht="15" hidden="false" customHeight="true" outlineLevel="0" collapsed="false">
      <c r="A66" s="37" t="s">
        <v>1144</v>
      </c>
      <c r="B66" s="37" t="s">
        <v>373</v>
      </c>
      <c r="C66" s="37" t="s">
        <v>4834</v>
      </c>
      <c r="D66" s="37" t="s">
        <v>4835</v>
      </c>
      <c r="E66" s="37"/>
      <c r="F66" s="37" t="s">
        <v>4842</v>
      </c>
      <c r="G66" s="37"/>
      <c r="H66" s="54" t="s">
        <v>1145</v>
      </c>
      <c r="I66" s="37"/>
    </row>
    <row r="67" customFormat="false" ht="15" hidden="false" customHeight="true" outlineLevel="0" collapsed="false">
      <c r="A67" s="37" t="s">
        <v>1146</v>
      </c>
      <c r="B67" s="37" t="s">
        <v>373</v>
      </c>
      <c r="C67" s="37" t="s">
        <v>4834</v>
      </c>
      <c r="D67" s="37" t="s">
        <v>4835</v>
      </c>
      <c r="E67" s="37"/>
      <c r="F67" s="37" t="s">
        <v>4836</v>
      </c>
      <c r="G67" s="37"/>
      <c r="H67" s="54" t="s">
        <v>1147</v>
      </c>
      <c r="I67" s="37"/>
    </row>
    <row r="68" customFormat="false" ht="15" hidden="false" customHeight="true" outlineLevel="0" collapsed="false">
      <c r="A68" s="37" t="s">
        <v>1149</v>
      </c>
      <c r="B68" s="37" t="s">
        <v>373</v>
      </c>
      <c r="C68" s="37" t="s">
        <v>4834</v>
      </c>
      <c r="D68" s="37" t="s">
        <v>4835</v>
      </c>
      <c r="E68" s="37"/>
      <c r="F68" s="37" t="s">
        <v>4842</v>
      </c>
      <c r="G68" s="37"/>
      <c r="H68" s="54" t="s">
        <v>1150</v>
      </c>
      <c r="I68" s="37"/>
    </row>
    <row r="69" customFormat="false" ht="15" hidden="false" customHeight="true" outlineLevel="0" collapsed="false">
      <c r="A69" s="37" t="s">
        <v>1151</v>
      </c>
      <c r="B69" s="37" t="s">
        <v>373</v>
      </c>
      <c r="C69" s="37" t="s">
        <v>4834</v>
      </c>
      <c r="D69" s="37" t="s">
        <v>4835</v>
      </c>
      <c r="E69" s="37"/>
      <c r="F69" s="37" t="s">
        <v>4836</v>
      </c>
      <c r="G69" s="37"/>
      <c r="H69" s="54" t="s">
        <v>1152</v>
      </c>
      <c r="I69" s="37"/>
    </row>
    <row r="70" customFormat="false" ht="15" hidden="false" customHeight="true" outlineLevel="0" collapsed="false">
      <c r="A70" s="37" t="s">
        <v>1154</v>
      </c>
      <c r="B70" s="37" t="s">
        <v>373</v>
      </c>
      <c r="C70" s="37" t="s">
        <v>4834</v>
      </c>
      <c r="D70" s="37" t="s">
        <v>4835</v>
      </c>
      <c r="E70" s="37"/>
      <c r="F70" s="37" t="s">
        <v>4836</v>
      </c>
      <c r="G70" s="37"/>
      <c r="H70" s="37" t="s">
        <v>4880</v>
      </c>
      <c r="I70" s="37"/>
    </row>
    <row r="71" customFormat="false" ht="15" hidden="false" customHeight="true" outlineLevel="0" collapsed="false">
      <c r="A71" s="37" t="s">
        <v>1158</v>
      </c>
      <c r="B71" s="37" t="s">
        <v>373</v>
      </c>
      <c r="C71" s="37" t="s">
        <v>4834</v>
      </c>
      <c r="D71" s="37" t="s">
        <v>4835</v>
      </c>
      <c r="E71" s="37"/>
      <c r="F71" s="37" t="s">
        <v>4842</v>
      </c>
      <c r="G71" s="37"/>
      <c r="H71" s="54" t="s">
        <v>4881</v>
      </c>
      <c r="I71" s="37"/>
    </row>
    <row r="72" customFormat="false" ht="15" hidden="false" customHeight="true" outlineLevel="0" collapsed="false">
      <c r="A72" s="37" t="s">
        <v>1161</v>
      </c>
      <c r="B72" s="37" t="s">
        <v>373</v>
      </c>
      <c r="C72" s="37" t="s">
        <v>4834</v>
      </c>
      <c r="D72" s="37" t="s">
        <v>4835</v>
      </c>
      <c r="E72" s="37"/>
      <c r="F72" s="37" t="s">
        <v>4836</v>
      </c>
      <c r="G72" s="37"/>
      <c r="H72" s="37" t="s">
        <v>4882</v>
      </c>
      <c r="I72" s="37"/>
    </row>
    <row r="73" customFormat="false" ht="15" hidden="false" customHeight="true" outlineLevel="0" collapsed="false">
      <c r="A73" s="37" t="s">
        <v>4097</v>
      </c>
      <c r="B73" s="37" t="s">
        <v>383</v>
      </c>
      <c r="C73" s="37" t="s">
        <v>4874</v>
      </c>
      <c r="D73" s="37" t="s">
        <v>4875</v>
      </c>
      <c r="E73" s="37"/>
      <c r="F73" s="37" t="s">
        <v>4883</v>
      </c>
      <c r="G73" s="37"/>
      <c r="H73" s="54" t="s">
        <v>4098</v>
      </c>
      <c r="I73" s="37"/>
    </row>
    <row r="74" customFormat="false" ht="15" hidden="false" customHeight="true" outlineLevel="0" collapsed="false">
      <c r="A74" s="37" t="s">
        <v>4097</v>
      </c>
      <c r="B74" s="37" t="s">
        <v>383</v>
      </c>
      <c r="C74" s="37" t="s">
        <v>4834</v>
      </c>
      <c r="D74" s="37" t="s">
        <v>4835</v>
      </c>
      <c r="E74" s="37"/>
      <c r="F74" s="37" t="s">
        <v>4836</v>
      </c>
      <c r="G74" s="37"/>
      <c r="H74" s="54" t="s">
        <v>4098</v>
      </c>
      <c r="I74" s="37"/>
    </row>
    <row r="75" customFormat="false" ht="15" hidden="false" customHeight="true" outlineLevel="0" collapsed="false">
      <c r="A75" s="37" t="s">
        <v>4101</v>
      </c>
      <c r="B75" s="37" t="s">
        <v>383</v>
      </c>
      <c r="C75" s="37" t="s">
        <v>4834</v>
      </c>
      <c r="D75" s="37" t="s">
        <v>4835</v>
      </c>
      <c r="E75" s="37"/>
      <c r="F75" s="37" t="s">
        <v>4836</v>
      </c>
      <c r="G75" s="37"/>
      <c r="H75" s="54" t="s">
        <v>4102</v>
      </c>
      <c r="I75" s="37"/>
    </row>
    <row r="76" customFormat="false" ht="15" hidden="false" customHeight="true" outlineLevel="0" collapsed="false">
      <c r="A76" s="37" t="s">
        <v>4103</v>
      </c>
      <c r="B76" s="37" t="s">
        <v>383</v>
      </c>
      <c r="C76" s="37" t="s">
        <v>4866</v>
      </c>
      <c r="D76" s="37" t="s">
        <v>4867</v>
      </c>
      <c r="E76" s="37"/>
      <c r="F76" s="37" t="s">
        <v>4884</v>
      </c>
      <c r="G76" s="37"/>
      <c r="H76" s="54" t="s">
        <v>4104</v>
      </c>
      <c r="I76" s="37"/>
    </row>
    <row r="77" customFormat="false" ht="15" hidden="false" customHeight="true" outlineLevel="0" collapsed="false">
      <c r="A77" s="37" t="s">
        <v>4106</v>
      </c>
      <c r="B77" s="37" t="s">
        <v>383</v>
      </c>
      <c r="C77" s="37" t="s">
        <v>4866</v>
      </c>
      <c r="D77" s="37" t="s">
        <v>4867</v>
      </c>
      <c r="E77" s="37"/>
      <c r="F77" s="37" t="s">
        <v>4885</v>
      </c>
      <c r="G77" s="37"/>
      <c r="H77" s="54" t="s">
        <v>4107</v>
      </c>
      <c r="I77" s="37"/>
    </row>
    <row r="78" customFormat="false" ht="15" hidden="false" customHeight="true" outlineLevel="0" collapsed="false">
      <c r="A78" s="37" t="s">
        <v>4108</v>
      </c>
      <c r="B78" s="37" t="s">
        <v>383</v>
      </c>
      <c r="C78" s="37" t="s">
        <v>4866</v>
      </c>
      <c r="D78" s="37" t="s">
        <v>4867</v>
      </c>
      <c r="E78" s="37"/>
      <c r="F78" s="37" t="s">
        <v>4886</v>
      </c>
      <c r="G78" s="37"/>
      <c r="H78" s="54" t="s">
        <v>4109</v>
      </c>
      <c r="I78" s="37"/>
    </row>
    <row r="79" customFormat="false" ht="15" hidden="false" customHeight="true" outlineLevel="0" collapsed="false">
      <c r="A79" s="37" t="s">
        <v>4110</v>
      </c>
      <c r="B79" s="37" t="s">
        <v>383</v>
      </c>
      <c r="C79" s="37" t="s">
        <v>4866</v>
      </c>
      <c r="D79" s="37" t="s">
        <v>4867</v>
      </c>
      <c r="E79" s="37"/>
      <c r="F79" s="37" t="s">
        <v>4884</v>
      </c>
      <c r="G79" s="37"/>
      <c r="H79" s="54" t="s">
        <v>4111</v>
      </c>
      <c r="I79" s="37"/>
    </row>
    <row r="80" customFormat="false" ht="15" hidden="false" customHeight="true" outlineLevel="0" collapsed="false">
      <c r="A80" s="37" t="s">
        <v>4113</v>
      </c>
      <c r="B80" s="37" t="s">
        <v>383</v>
      </c>
      <c r="C80" s="37" t="s">
        <v>4866</v>
      </c>
      <c r="D80" s="37" t="s">
        <v>4867</v>
      </c>
      <c r="E80" s="37"/>
      <c r="F80" s="37" t="s">
        <v>4886</v>
      </c>
      <c r="G80" s="37"/>
      <c r="H80" s="54" t="s">
        <v>4114</v>
      </c>
      <c r="I80" s="37"/>
    </row>
    <row r="81" customFormat="false" ht="15" hidden="false" customHeight="true" outlineLevel="0" collapsed="false">
      <c r="A81" s="37" t="s">
        <v>4115</v>
      </c>
      <c r="B81" s="37" t="s">
        <v>383</v>
      </c>
      <c r="C81" s="37" t="s">
        <v>4834</v>
      </c>
      <c r="D81" s="37" t="s">
        <v>4887</v>
      </c>
      <c r="E81" s="37"/>
      <c r="F81" s="37" t="s">
        <v>4842</v>
      </c>
      <c r="G81" s="37"/>
      <c r="H81" s="54" t="s">
        <v>4116</v>
      </c>
      <c r="I81" s="54" t="s">
        <v>4888</v>
      </c>
    </row>
    <row r="82" customFormat="false" ht="15" hidden="false" customHeight="true" outlineLevel="0" collapsed="false">
      <c r="A82" s="37" t="s">
        <v>4117</v>
      </c>
      <c r="B82" s="37" t="s">
        <v>383</v>
      </c>
      <c r="C82" s="37" t="s">
        <v>4874</v>
      </c>
      <c r="D82" s="37" t="s">
        <v>4875</v>
      </c>
      <c r="E82" s="37"/>
      <c r="F82" s="37" t="s">
        <v>4886</v>
      </c>
      <c r="G82" s="37"/>
      <c r="H82" s="37" t="s">
        <v>4118</v>
      </c>
      <c r="I82" s="37"/>
    </row>
    <row r="83" customFormat="false" ht="15" hidden="false" customHeight="true" outlineLevel="0" collapsed="false">
      <c r="A83" s="37" t="s">
        <v>4119</v>
      </c>
      <c r="B83" s="37" t="s">
        <v>383</v>
      </c>
      <c r="C83" s="37" t="s">
        <v>4866</v>
      </c>
      <c r="D83" s="37" t="s">
        <v>4867</v>
      </c>
      <c r="E83" s="37"/>
      <c r="F83" s="37" t="s">
        <v>4884</v>
      </c>
      <c r="G83" s="37"/>
      <c r="H83" s="54" t="s">
        <v>4120</v>
      </c>
      <c r="I83" s="37"/>
    </row>
    <row r="84" customFormat="false" ht="15" hidden="false" customHeight="true" outlineLevel="0" collapsed="false">
      <c r="A84" s="37" t="s">
        <v>4122</v>
      </c>
      <c r="B84" s="37" t="s">
        <v>383</v>
      </c>
      <c r="C84" s="37" t="s">
        <v>4866</v>
      </c>
      <c r="D84" s="37" t="s">
        <v>4867</v>
      </c>
      <c r="E84" s="37"/>
      <c r="F84" s="37" t="s">
        <v>4884</v>
      </c>
      <c r="G84" s="37"/>
      <c r="H84" s="54" t="s">
        <v>4123</v>
      </c>
      <c r="I84" s="37"/>
    </row>
    <row r="85" customFormat="false" ht="15" hidden="false" customHeight="true" outlineLevel="0" collapsed="false">
      <c r="A85" s="37" t="s">
        <v>4124</v>
      </c>
      <c r="B85" s="37" t="s">
        <v>383</v>
      </c>
      <c r="C85" s="37" t="s">
        <v>4874</v>
      </c>
      <c r="D85" s="37" t="s">
        <v>4875</v>
      </c>
      <c r="E85" s="37"/>
      <c r="F85" s="37" t="s">
        <v>4884</v>
      </c>
      <c r="G85" s="37"/>
      <c r="H85" s="54" t="s">
        <v>4125</v>
      </c>
      <c r="I85" s="37"/>
    </row>
    <row r="86" customFormat="false" ht="15" hidden="false" customHeight="true" outlineLevel="0" collapsed="false">
      <c r="A86" s="37" t="s">
        <v>4124</v>
      </c>
      <c r="B86" s="37" t="s">
        <v>383</v>
      </c>
      <c r="C86" s="37" t="s">
        <v>4834</v>
      </c>
      <c r="D86" s="37" t="s">
        <v>4835</v>
      </c>
      <c r="E86" s="37"/>
      <c r="F86" s="37" t="s">
        <v>4836</v>
      </c>
      <c r="G86" s="37"/>
      <c r="H86" s="54" t="s">
        <v>4125</v>
      </c>
      <c r="I86" s="37"/>
    </row>
    <row r="87" customFormat="false" ht="15" hidden="false" customHeight="true" outlineLevel="0" collapsed="false">
      <c r="A87" s="37" t="s">
        <v>4126</v>
      </c>
      <c r="B87" s="37" t="s">
        <v>383</v>
      </c>
      <c r="C87" s="37" t="s">
        <v>4874</v>
      </c>
      <c r="D87" s="37" t="s">
        <v>4889</v>
      </c>
      <c r="E87" s="37"/>
      <c r="F87" s="37"/>
      <c r="G87" s="37"/>
      <c r="H87" s="54" t="s">
        <v>4127</v>
      </c>
      <c r="I87" s="54" t="s">
        <v>4890</v>
      </c>
    </row>
    <row r="88" customFormat="false" ht="15" hidden="false" customHeight="true" outlineLevel="0" collapsed="false">
      <c r="A88" s="37" t="s">
        <v>4130</v>
      </c>
      <c r="B88" s="37" t="s">
        <v>383</v>
      </c>
      <c r="C88" s="37" t="s">
        <v>4874</v>
      </c>
      <c r="D88" s="37" t="s">
        <v>4889</v>
      </c>
      <c r="E88" s="37"/>
      <c r="F88" s="37"/>
      <c r="G88" s="37"/>
      <c r="H88" s="54" t="s">
        <v>4131</v>
      </c>
      <c r="I88" s="54" t="s">
        <v>4890</v>
      </c>
    </row>
    <row r="89" customFormat="false" ht="15" hidden="false" customHeight="true" outlineLevel="0" collapsed="false">
      <c r="A89" s="37" t="s">
        <v>4130</v>
      </c>
      <c r="B89" s="37" t="s">
        <v>383</v>
      </c>
      <c r="C89" s="37" t="s">
        <v>4834</v>
      </c>
      <c r="D89" s="37" t="s">
        <v>4887</v>
      </c>
      <c r="E89" s="37"/>
      <c r="F89" s="37" t="s">
        <v>4842</v>
      </c>
      <c r="G89" s="37"/>
      <c r="H89" s="54" t="s">
        <v>4131</v>
      </c>
      <c r="I89" s="54" t="s">
        <v>4888</v>
      </c>
    </row>
    <row r="90" customFormat="false" ht="15" hidden="false" customHeight="true" outlineLevel="0" collapsed="false">
      <c r="A90" s="37" t="s">
        <v>4132</v>
      </c>
      <c r="B90" s="37" t="s">
        <v>383</v>
      </c>
      <c r="C90" s="37" t="s">
        <v>4866</v>
      </c>
      <c r="D90" s="37" t="s">
        <v>4867</v>
      </c>
      <c r="E90" s="37"/>
      <c r="F90" s="37" t="s">
        <v>4884</v>
      </c>
      <c r="G90" s="37"/>
      <c r="H90" s="54" t="s">
        <v>1214</v>
      </c>
      <c r="I90" s="37"/>
    </row>
    <row r="91" customFormat="false" ht="15" hidden="false" customHeight="true" outlineLevel="0" collapsed="false">
      <c r="A91" s="37" t="s">
        <v>4133</v>
      </c>
      <c r="B91" s="37" t="s">
        <v>383</v>
      </c>
      <c r="C91" s="37" t="s">
        <v>4834</v>
      </c>
      <c r="D91" s="37" t="s">
        <v>4887</v>
      </c>
      <c r="E91" s="37"/>
      <c r="F91" s="37" t="s">
        <v>4842</v>
      </c>
      <c r="G91" s="37"/>
      <c r="H91" s="54" t="s">
        <v>4134</v>
      </c>
      <c r="I91" s="54" t="s">
        <v>4888</v>
      </c>
    </row>
    <row r="92" customFormat="false" ht="15" hidden="false" customHeight="true" outlineLevel="0" collapsed="false">
      <c r="A92" s="37" t="s">
        <v>4136</v>
      </c>
      <c r="B92" s="37" t="s">
        <v>383</v>
      </c>
      <c r="C92" s="37" t="s">
        <v>4866</v>
      </c>
      <c r="D92" s="37" t="s">
        <v>4867</v>
      </c>
      <c r="E92" s="37"/>
      <c r="F92" s="37" t="s">
        <v>4884</v>
      </c>
      <c r="G92" s="37"/>
      <c r="H92" s="54" t="s">
        <v>4137</v>
      </c>
      <c r="I92" s="37"/>
    </row>
    <row r="93" customFormat="false" ht="15" hidden="false" customHeight="true" outlineLevel="0" collapsed="false">
      <c r="A93" s="37" t="s">
        <v>4139</v>
      </c>
      <c r="B93" s="37" t="s">
        <v>383</v>
      </c>
      <c r="C93" s="37" t="s">
        <v>4866</v>
      </c>
      <c r="D93" s="37" t="s">
        <v>4867</v>
      </c>
      <c r="E93" s="37"/>
      <c r="F93" s="37" t="s">
        <v>4885</v>
      </c>
      <c r="G93" s="37"/>
      <c r="H93" s="37" t="s">
        <v>4140</v>
      </c>
      <c r="I93" s="37"/>
    </row>
    <row r="94" customFormat="false" ht="15" hidden="false" customHeight="true" outlineLevel="0" collapsed="false">
      <c r="A94" s="37" t="s">
        <v>4141</v>
      </c>
      <c r="B94" s="37" t="s">
        <v>383</v>
      </c>
      <c r="C94" s="37" t="s">
        <v>4874</v>
      </c>
      <c r="D94" s="37" t="s">
        <v>4875</v>
      </c>
      <c r="E94" s="37"/>
      <c r="F94" s="37" t="s">
        <v>4884</v>
      </c>
      <c r="G94" s="37"/>
      <c r="H94" s="37" t="s">
        <v>4142</v>
      </c>
      <c r="I94" s="37"/>
    </row>
    <row r="95" customFormat="false" ht="15" hidden="false" customHeight="true" outlineLevel="0" collapsed="false">
      <c r="A95" s="37" t="s">
        <v>4141</v>
      </c>
      <c r="B95" s="37" t="s">
        <v>383</v>
      </c>
      <c r="C95" s="37" t="s">
        <v>4866</v>
      </c>
      <c r="D95" s="37" t="s">
        <v>4867</v>
      </c>
      <c r="E95" s="37"/>
      <c r="F95" s="37" t="s">
        <v>4885</v>
      </c>
      <c r="G95" s="37"/>
      <c r="H95" s="37" t="s">
        <v>4142</v>
      </c>
      <c r="I95" s="37"/>
    </row>
    <row r="96" customFormat="false" ht="15" hidden="false" customHeight="true" outlineLevel="0" collapsed="false">
      <c r="A96" s="37" t="s">
        <v>4143</v>
      </c>
      <c r="B96" s="37" t="s">
        <v>383</v>
      </c>
      <c r="C96" s="37" t="s">
        <v>4834</v>
      </c>
      <c r="D96" s="37" t="s">
        <v>4887</v>
      </c>
      <c r="E96" s="37"/>
      <c r="F96" s="37" t="s">
        <v>4842</v>
      </c>
      <c r="G96" s="37"/>
      <c r="H96" s="54" t="s">
        <v>4144</v>
      </c>
      <c r="I96" s="54" t="s">
        <v>4888</v>
      </c>
    </row>
    <row r="97" customFormat="false" ht="15" hidden="false" customHeight="true" outlineLevel="0" collapsed="false">
      <c r="A97" s="37" t="s">
        <v>4145</v>
      </c>
      <c r="B97" s="37" t="s">
        <v>383</v>
      </c>
      <c r="C97" s="37" t="s">
        <v>4834</v>
      </c>
      <c r="D97" s="37" t="s">
        <v>4887</v>
      </c>
      <c r="E97" s="37"/>
      <c r="F97" s="37" t="s">
        <v>4842</v>
      </c>
      <c r="G97" s="37"/>
      <c r="H97" s="54" t="s">
        <v>4146</v>
      </c>
      <c r="I97" s="54" t="s">
        <v>4888</v>
      </c>
    </row>
    <row r="98" customFormat="false" ht="15" hidden="false" customHeight="true" outlineLevel="0" collapsed="false">
      <c r="A98" s="37" t="s">
        <v>4147</v>
      </c>
      <c r="B98" s="37" t="s">
        <v>383</v>
      </c>
      <c r="C98" s="37" t="s">
        <v>4866</v>
      </c>
      <c r="D98" s="37" t="s">
        <v>4867</v>
      </c>
      <c r="E98" s="37"/>
      <c r="F98" s="37" t="s">
        <v>4886</v>
      </c>
      <c r="G98" s="37"/>
      <c r="H98" s="54" t="s">
        <v>4148</v>
      </c>
      <c r="I98" s="37"/>
    </row>
    <row r="99" customFormat="false" ht="15" hidden="false" customHeight="true" outlineLevel="0" collapsed="false">
      <c r="A99" s="37" t="s">
        <v>4149</v>
      </c>
      <c r="B99" s="37" t="s">
        <v>383</v>
      </c>
      <c r="C99" s="37" t="s">
        <v>4834</v>
      </c>
      <c r="D99" s="37" t="s">
        <v>4835</v>
      </c>
      <c r="E99" s="37"/>
      <c r="F99" s="37" t="s">
        <v>4836</v>
      </c>
      <c r="G99" s="37"/>
      <c r="H99" s="54" t="s">
        <v>4150</v>
      </c>
      <c r="I99" s="37"/>
    </row>
    <row r="100" customFormat="false" ht="15" hidden="false" customHeight="true" outlineLevel="0" collapsed="false">
      <c r="A100" s="37" t="s">
        <v>4151</v>
      </c>
      <c r="B100" s="37" t="s">
        <v>383</v>
      </c>
      <c r="C100" s="37" t="s">
        <v>4834</v>
      </c>
      <c r="D100" s="37" t="s">
        <v>4835</v>
      </c>
      <c r="E100" s="37"/>
      <c r="F100" s="37" t="s">
        <v>4836</v>
      </c>
      <c r="G100" s="37"/>
      <c r="H100" s="54" t="s">
        <v>4152</v>
      </c>
      <c r="I100" s="37"/>
    </row>
    <row r="101" customFormat="false" ht="15" hidden="false" customHeight="true" outlineLevel="0" collapsed="false">
      <c r="A101" s="37" t="s">
        <v>4153</v>
      </c>
      <c r="B101" s="37" t="s">
        <v>383</v>
      </c>
      <c r="C101" s="37" t="s">
        <v>4834</v>
      </c>
      <c r="D101" s="37" t="s">
        <v>4835</v>
      </c>
      <c r="E101" s="37"/>
      <c r="F101" s="37" t="s">
        <v>4836</v>
      </c>
      <c r="G101" s="37"/>
      <c r="H101" s="54" t="s">
        <v>4891</v>
      </c>
      <c r="I101" s="37"/>
    </row>
    <row r="102" customFormat="false" ht="15" hidden="false" customHeight="true" outlineLevel="0" collapsed="false">
      <c r="A102" s="37" t="s">
        <v>4155</v>
      </c>
      <c r="B102" s="37" t="s">
        <v>383</v>
      </c>
      <c r="C102" s="37" t="s">
        <v>4874</v>
      </c>
      <c r="D102" s="37" t="s">
        <v>4875</v>
      </c>
      <c r="E102" s="37"/>
      <c r="F102" s="37" t="s">
        <v>4892</v>
      </c>
      <c r="G102" s="37"/>
      <c r="H102" s="54" t="s">
        <v>4156</v>
      </c>
      <c r="I102" s="37"/>
    </row>
    <row r="103" customFormat="false" ht="15" hidden="false" customHeight="true" outlineLevel="0" collapsed="false">
      <c r="A103" s="37" t="s">
        <v>4155</v>
      </c>
      <c r="B103" s="37" t="s">
        <v>383</v>
      </c>
      <c r="C103" s="37" t="s">
        <v>4834</v>
      </c>
      <c r="D103" s="37" t="s">
        <v>4835</v>
      </c>
      <c r="E103" s="37"/>
      <c r="F103" s="37" t="s">
        <v>4836</v>
      </c>
      <c r="G103" s="37"/>
      <c r="H103" s="54" t="s">
        <v>4156</v>
      </c>
      <c r="I103" s="37"/>
    </row>
    <row r="104" customFormat="false" ht="15" hidden="false" customHeight="true" outlineLevel="0" collapsed="false">
      <c r="A104" s="37" t="s">
        <v>4157</v>
      </c>
      <c r="B104" s="37" t="s">
        <v>383</v>
      </c>
      <c r="C104" s="37" t="s">
        <v>4866</v>
      </c>
      <c r="D104" s="37" t="s">
        <v>4867</v>
      </c>
      <c r="E104" s="37"/>
      <c r="F104" s="37" t="s">
        <v>4886</v>
      </c>
      <c r="G104" s="37"/>
      <c r="H104" s="54" t="s">
        <v>4158</v>
      </c>
      <c r="I104" s="37"/>
    </row>
    <row r="105" customFormat="false" ht="15" hidden="false" customHeight="true" outlineLevel="0" collapsed="false">
      <c r="A105" s="37" t="s">
        <v>4160</v>
      </c>
      <c r="B105" s="37" t="s">
        <v>383</v>
      </c>
      <c r="C105" s="37" t="s">
        <v>4866</v>
      </c>
      <c r="D105" s="37" t="s">
        <v>4867</v>
      </c>
      <c r="E105" s="37"/>
      <c r="F105" s="37" t="s">
        <v>4885</v>
      </c>
      <c r="G105" s="37"/>
      <c r="H105" s="54" t="s">
        <v>4161</v>
      </c>
      <c r="I105" s="37"/>
    </row>
    <row r="106" customFormat="false" ht="15" hidden="false" customHeight="true" outlineLevel="0" collapsed="false">
      <c r="A106" s="37" t="s">
        <v>4165</v>
      </c>
      <c r="B106" s="37" t="s">
        <v>383</v>
      </c>
      <c r="C106" s="37" t="s">
        <v>4834</v>
      </c>
      <c r="D106" s="37" t="s">
        <v>4887</v>
      </c>
      <c r="E106" s="37"/>
      <c r="F106" s="37" t="s">
        <v>4842</v>
      </c>
      <c r="G106" s="37"/>
      <c r="H106" s="54" t="s">
        <v>4166</v>
      </c>
      <c r="I106" s="54" t="s">
        <v>4888</v>
      </c>
    </row>
    <row r="107" customFormat="false" ht="15" hidden="false" customHeight="true" outlineLevel="0" collapsed="false">
      <c r="A107" s="37" t="s">
        <v>4167</v>
      </c>
      <c r="B107" s="37" t="s">
        <v>383</v>
      </c>
      <c r="C107" s="37" t="s">
        <v>4866</v>
      </c>
      <c r="D107" s="37" t="s">
        <v>4867</v>
      </c>
      <c r="E107" s="37"/>
      <c r="F107" s="37" t="s">
        <v>4885</v>
      </c>
      <c r="G107" s="37"/>
      <c r="H107" s="54" t="s">
        <v>1777</v>
      </c>
      <c r="I107" s="37"/>
    </row>
    <row r="108" customFormat="false" ht="15" hidden="false" customHeight="true" outlineLevel="0" collapsed="false">
      <c r="A108" s="37" t="s">
        <v>4169</v>
      </c>
      <c r="B108" s="37" t="s">
        <v>383</v>
      </c>
      <c r="C108" s="37" t="s">
        <v>4834</v>
      </c>
      <c r="D108" s="37" t="s">
        <v>4887</v>
      </c>
      <c r="E108" s="37"/>
      <c r="F108" s="37" t="s">
        <v>4842</v>
      </c>
      <c r="G108" s="37"/>
      <c r="H108" s="54" t="s">
        <v>4170</v>
      </c>
      <c r="I108" s="54" t="s">
        <v>4888</v>
      </c>
    </row>
    <row r="109" customFormat="false" ht="15" hidden="false" customHeight="true" outlineLevel="0" collapsed="false">
      <c r="A109" s="37" t="s">
        <v>4171</v>
      </c>
      <c r="B109" s="37" t="s">
        <v>383</v>
      </c>
      <c r="C109" s="37" t="s">
        <v>4866</v>
      </c>
      <c r="D109" s="37" t="s">
        <v>4867</v>
      </c>
      <c r="E109" s="37"/>
      <c r="F109" s="37" t="s">
        <v>4885</v>
      </c>
      <c r="G109" s="37"/>
      <c r="H109" s="54" t="s">
        <v>4172</v>
      </c>
      <c r="I109" s="37"/>
    </row>
    <row r="110" customFormat="false" ht="15" hidden="false" customHeight="true" outlineLevel="0" collapsed="false">
      <c r="A110" s="37" t="s">
        <v>4173</v>
      </c>
      <c r="B110" s="37" t="s">
        <v>383</v>
      </c>
      <c r="C110" s="37" t="s">
        <v>4874</v>
      </c>
      <c r="D110" s="37" t="s">
        <v>4893</v>
      </c>
      <c r="E110" s="37"/>
      <c r="F110" s="37"/>
      <c r="G110" s="37"/>
      <c r="H110" s="54" t="s">
        <v>4174</v>
      </c>
      <c r="I110" s="54" t="s">
        <v>4890</v>
      </c>
    </row>
    <row r="111" customFormat="false" ht="15" hidden="false" customHeight="true" outlineLevel="0" collapsed="false">
      <c r="A111" s="37" t="s">
        <v>4173</v>
      </c>
      <c r="B111" s="37" t="s">
        <v>383</v>
      </c>
      <c r="C111" s="37" t="s">
        <v>4834</v>
      </c>
      <c r="D111" s="37" t="s">
        <v>4835</v>
      </c>
      <c r="E111" s="37"/>
      <c r="F111" s="37" t="s">
        <v>4836</v>
      </c>
      <c r="G111" s="37"/>
      <c r="H111" s="54" t="s">
        <v>4174</v>
      </c>
      <c r="I111" s="37"/>
    </row>
    <row r="112" customFormat="false" ht="15" hidden="false" customHeight="true" outlineLevel="0" collapsed="false">
      <c r="A112" s="37" t="s">
        <v>4175</v>
      </c>
      <c r="B112" s="37" t="s">
        <v>383</v>
      </c>
      <c r="C112" s="37" t="s">
        <v>4834</v>
      </c>
      <c r="D112" s="37" t="s">
        <v>4835</v>
      </c>
      <c r="E112" s="37"/>
      <c r="F112" s="37" t="s">
        <v>4836</v>
      </c>
      <c r="G112" s="37"/>
      <c r="H112" s="54" t="s">
        <v>4176</v>
      </c>
      <c r="I112" s="37"/>
    </row>
    <row r="113" customFormat="false" ht="15" hidden="false" customHeight="true" outlineLevel="0" collapsed="false">
      <c r="A113" s="37" t="s">
        <v>4182</v>
      </c>
      <c r="B113" s="37" t="s">
        <v>383</v>
      </c>
      <c r="C113" s="37" t="s">
        <v>4866</v>
      </c>
      <c r="D113" s="37" t="s">
        <v>4867</v>
      </c>
      <c r="E113" s="37"/>
      <c r="F113" s="37" t="s">
        <v>4884</v>
      </c>
      <c r="G113" s="37"/>
      <c r="H113" s="54" t="s">
        <v>4183</v>
      </c>
      <c r="I113" s="37"/>
    </row>
    <row r="114" customFormat="false" ht="15" hidden="false" customHeight="true" outlineLevel="0" collapsed="false">
      <c r="A114" s="37" t="s">
        <v>4184</v>
      </c>
      <c r="B114" s="37" t="s">
        <v>383</v>
      </c>
      <c r="C114" s="37" t="s">
        <v>4874</v>
      </c>
      <c r="D114" s="37" t="s">
        <v>4875</v>
      </c>
      <c r="E114" s="37"/>
      <c r="F114" s="37" t="s">
        <v>4892</v>
      </c>
      <c r="G114" s="37"/>
      <c r="H114" s="54" t="s">
        <v>4894</v>
      </c>
      <c r="I114" s="37"/>
    </row>
    <row r="115" customFormat="false" ht="15" hidden="false" customHeight="true" outlineLevel="0" collapsed="false">
      <c r="A115" s="37" t="s">
        <v>4184</v>
      </c>
      <c r="B115" s="37" t="s">
        <v>383</v>
      </c>
      <c r="C115" s="37" t="s">
        <v>4866</v>
      </c>
      <c r="D115" s="37" t="s">
        <v>4867</v>
      </c>
      <c r="E115" s="37"/>
      <c r="F115" s="37" t="s">
        <v>4884</v>
      </c>
      <c r="G115" s="37"/>
      <c r="H115" s="54" t="s">
        <v>4894</v>
      </c>
      <c r="I115" s="37"/>
    </row>
    <row r="116" customFormat="false" ht="15" hidden="false" customHeight="true" outlineLevel="0" collapsed="false">
      <c r="A116" s="37" t="s">
        <v>4186</v>
      </c>
      <c r="B116" s="37" t="s">
        <v>383</v>
      </c>
      <c r="C116" s="37" t="s">
        <v>4866</v>
      </c>
      <c r="D116" s="37" t="s">
        <v>4867</v>
      </c>
      <c r="E116" s="37"/>
      <c r="F116" s="37" t="s">
        <v>4886</v>
      </c>
      <c r="G116" s="37"/>
      <c r="H116" s="54" t="s">
        <v>4187</v>
      </c>
      <c r="I116" s="37"/>
    </row>
    <row r="117" customFormat="false" ht="15" hidden="false" customHeight="true" outlineLevel="0" collapsed="false">
      <c r="A117" s="37" t="s">
        <v>4188</v>
      </c>
      <c r="B117" s="37" t="s">
        <v>383</v>
      </c>
      <c r="C117" s="37" t="s">
        <v>4866</v>
      </c>
      <c r="D117" s="37" t="s">
        <v>4867</v>
      </c>
      <c r="E117" s="37"/>
      <c r="F117" s="37" t="s">
        <v>4885</v>
      </c>
      <c r="G117" s="37"/>
      <c r="H117" s="54" t="s">
        <v>4189</v>
      </c>
      <c r="I117" s="37"/>
    </row>
    <row r="118" customFormat="false" ht="15" hidden="false" customHeight="true" outlineLevel="0" collapsed="false">
      <c r="A118" s="37" t="s">
        <v>4190</v>
      </c>
      <c r="B118" s="37" t="s">
        <v>383</v>
      </c>
      <c r="C118" s="37" t="s">
        <v>4874</v>
      </c>
      <c r="D118" s="37" t="s">
        <v>4889</v>
      </c>
      <c r="E118" s="37"/>
      <c r="F118" s="37"/>
      <c r="G118" s="37"/>
      <c r="H118" s="54" t="s">
        <v>4191</v>
      </c>
      <c r="I118" s="54" t="s">
        <v>4890</v>
      </c>
    </row>
    <row r="119" customFormat="false" ht="15" hidden="false" customHeight="true" outlineLevel="0" collapsed="false">
      <c r="A119" s="37" t="s">
        <v>4192</v>
      </c>
      <c r="B119" s="37" t="s">
        <v>383</v>
      </c>
      <c r="C119" s="37" t="s">
        <v>4874</v>
      </c>
      <c r="D119" s="37" t="s">
        <v>4875</v>
      </c>
      <c r="E119" s="37"/>
      <c r="F119" s="37" t="s">
        <v>4892</v>
      </c>
      <c r="G119" s="37"/>
      <c r="H119" s="54" t="s">
        <v>4193</v>
      </c>
      <c r="I119" s="37"/>
    </row>
    <row r="120" customFormat="false" ht="15" hidden="false" customHeight="true" outlineLevel="0" collapsed="false">
      <c r="A120" s="37" t="s">
        <v>4192</v>
      </c>
      <c r="B120" s="37" t="s">
        <v>383</v>
      </c>
      <c r="C120" s="37" t="s">
        <v>4834</v>
      </c>
      <c r="D120" s="37" t="s">
        <v>4835</v>
      </c>
      <c r="E120" s="37"/>
      <c r="F120" s="37" t="s">
        <v>4836</v>
      </c>
      <c r="G120" s="37"/>
      <c r="H120" s="54" t="s">
        <v>4193</v>
      </c>
      <c r="I120" s="37"/>
    </row>
    <row r="121" customFormat="false" ht="15" hidden="false" customHeight="true" outlineLevel="0" collapsed="false">
      <c r="A121" s="37" t="s">
        <v>4195</v>
      </c>
      <c r="B121" s="37" t="s">
        <v>383</v>
      </c>
      <c r="C121" s="37" t="s">
        <v>4834</v>
      </c>
      <c r="D121" s="37" t="s">
        <v>4835</v>
      </c>
      <c r="E121" s="37"/>
      <c r="F121" s="37" t="s">
        <v>4836</v>
      </c>
      <c r="G121" s="37"/>
      <c r="H121" s="54" t="s">
        <v>4196</v>
      </c>
      <c r="I121" s="37"/>
    </row>
    <row r="122" customFormat="false" ht="15" hidden="false" customHeight="true" outlineLevel="0" collapsed="false">
      <c r="A122" s="37" t="s">
        <v>4197</v>
      </c>
      <c r="B122" s="37" t="s">
        <v>383</v>
      </c>
      <c r="C122" s="37" t="s">
        <v>4866</v>
      </c>
      <c r="D122" s="37" t="s">
        <v>4867</v>
      </c>
      <c r="E122" s="37"/>
      <c r="F122" s="37" t="s">
        <v>4884</v>
      </c>
      <c r="G122" s="37"/>
      <c r="H122" s="54" t="s">
        <v>4198</v>
      </c>
      <c r="I122" s="37"/>
    </row>
    <row r="123" customFormat="false" ht="15" hidden="false" customHeight="true" outlineLevel="0" collapsed="false">
      <c r="A123" s="37" t="s">
        <v>4201</v>
      </c>
      <c r="B123" s="37" t="s">
        <v>383</v>
      </c>
      <c r="C123" s="37" t="s">
        <v>4834</v>
      </c>
      <c r="D123" s="37" t="s">
        <v>4887</v>
      </c>
      <c r="E123" s="37"/>
      <c r="F123" s="37" t="s">
        <v>4842</v>
      </c>
      <c r="G123" s="37"/>
      <c r="H123" s="54" t="s">
        <v>4202</v>
      </c>
      <c r="I123" s="54" t="s">
        <v>4888</v>
      </c>
    </row>
    <row r="124" customFormat="false" ht="15" hidden="false" customHeight="true" outlineLevel="0" collapsed="false">
      <c r="A124" s="37" t="s">
        <v>4203</v>
      </c>
      <c r="B124" s="37" t="s">
        <v>383</v>
      </c>
      <c r="C124" s="37" t="s">
        <v>4834</v>
      </c>
      <c r="D124" s="37" t="s">
        <v>4835</v>
      </c>
      <c r="E124" s="37"/>
      <c r="F124" s="37" t="s">
        <v>4836</v>
      </c>
      <c r="G124" s="37"/>
      <c r="H124" s="54" t="s">
        <v>4204</v>
      </c>
      <c r="I124" s="37"/>
    </row>
    <row r="125" customFormat="false" ht="15" hidden="false" customHeight="true" outlineLevel="0" collapsed="false">
      <c r="A125" s="37" t="s">
        <v>4205</v>
      </c>
      <c r="B125" s="37" t="s">
        <v>383</v>
      </c>
      <c r="C125" s="37" t="s">
        <v>4834</v>
      </c>
      <c r="D125" s="37" t="s">
        <v>4835</v>
      </c>
      <c r="E125" s="37"/>
      <c r="F125" s="37" t="s">
        <v>4836</v>
      </c>
      <c r="G125" s="37"/>
      <c r="H125" s="54" t="s">
        <v>4206</v>
      </c>
      <c r="I125" s="37"/>
    </row>
    <row r="126" customFormat="false" ht="15" hidden="false" customHeight="true" outlineLevel="0" collapsed="false">
      <c r="A126" s="37" t="s">
        <v>4207</v>
      </c>
      <c r="B126" s="37" t="s">
        <v>383</v>
      </c>
      <c r="C126" s="37" t="s">
        <v>4834</v>
      </c>
      <c r="D126" s="37" t="s">
        <v>4835</v>
      </c>
      <c r="E126" s="37"/>
      <c r="F126" s="37" t="s">
        <v>4836</v>
      </c>
      <c r="G126" s="37"/>
      <c r="H126" s="54" t="s">
        <v>4208</v>
      </c>
      <c r="I126" s="37"/>
    </row>
    <row r="127" customFormat="false" ht="15" hidden="false" customHeight="true" outlineLevel="0" collapsed="false">
      <c r="A127" s="37" t="s">
        <v>4209</v>
      </c>
      <c r="B127" s="37" t="s">
        <v>383</v>
      </c>
      <c r="C127" s="37" t="s">
        <v>4866</v>
      </c>
      <c r="D127" s="37" t="s">
        <v>4867</v>
      </c>
      <c r="E127" s="37"/>
      <c r="F127" s="37" t="s">
        <v>4885</v>
      </c>
      <c r="G127" s="37"/>
      <c r="H127" s="54" t="s">
        <v>4210</v>
      </c>
      <c r="I127" s="37"/>
    </row>
    <row r="128" customFormat="false" ht="15" hidden="false" customHeight="true" outlineLevel="0" collapsed="false">
      <c r="A128" s="37" t="s">
        <v>4211</v>
      </c>
      <c r="B128" s="37" t="s">
        <v>383</v>
      </c>
      <c r="C128" s="37" t="s">
        <v>4834</v>
      </c>
      <c r="D128" s="37" t="s">
        <v>4887</v>
      </c>
      <c r="E128" s="37"/>
      <c r="F128" s="37" t="s">
        <v>4842</v>
      </c>
      <c r="G128" s="37"/>
      <c r="H128" s="54" t="s">
        <v>4212</v>
      </c>
      <c r="I128" s="54" t="s">
        <v>4888</v>
      </c>
    </row>
    <row r="129" customFormat="false" ht="15" hidden="false" customHeight="true" outlineLevel="0" collapsed="false">
      <c r="A129" s="37" t="s">
        <v>4213</v>
      </c>
      <c r="B129" s="37" t="s">
        <v>383</v>
      </c>
      <c r="C129" s="37" t="s">
        <v>4874</v>
      </c>
      <c r="D129" s="37" t="s">
        <v>4889</v>
      </c>
      <c r="E129" s="37"/>
      <c r="F129" s="37"/>
      <c r="G129" s="37"/>
      <c r="H129" s="54" t="s">
        <v>4214</v>
      </c>
      <c r="I129" s="54" t="s">
        <v>4890</v>
      </c>
    </row>
    <row r="130" customFormat="false" ht="15" hidden="false" customHeight="true" outlineLevel="0" collapsed="false">
      <c r="A130" s="37" t="s">
        <v>4213</v>
      </c>
      <c r="B130" s="37" t="s">
        <v>383</v>
      </c>
      <c r="C130" s="37" t="s">
        <v>4834</v>
      </c>
      <c r="D130" s="37" t="s">
        <v>4887</v>
      </c>
      <c r="E130" s="37"/>
      <c r="F130" s="37" t="s">
        <v>4842</v>
      </c>
      <c r="G130" s="37"/>
      <c r="H130" s="54" t="s">
        <v>4214</v>
      </c>
      <c r="I130" s="54" t="s">
        <v>4888</v>
      </c>
    </row>
    <row r="131" customFormat="false" ht="15" hidden="false" customHeight="true" outlineLevel="0" collapsed="false">
      <c r="A131" s="37" t="s">
        <v>4216</v>
      </c>
      <c r="B131" s="37" t="s">
        <v>383</v>
      </c>
      <c r="C131" s="37" t="s">
        <v>4874</v>
      </c>
      <c r="D131" s="37" t="s">
        <v>4875</v>
      </c>
      <c r="E131" s="37"/>
      <c r="F131" s="37" t="s">
        <v>4892</v>
      </c>
      <c r="G131" s="37"/>
      <c r="H131" s="54" t="s">
        <v>4217</v>
      </c>
      <c r="I131" s="37"/>
    </row>
    <row r="132" customFormat="false" ht="15" hidden="false" customHeight="true" outlineLevel="0" collapsed="false">
      <c r="A132" s="37" t="s">
        <v>4216</v>
      </c>
      <c r="B132" s="37" t="s">
        <v>383</v>
      </c>
      <c r="C132" s="37" t="s">
        <v>4834</v>
      </c>
      <c r="D132" s="37" t="s">
        <v>4835</v>
      </c>
      <c r="E132" s="37"/>
      <c r="F132" s="37" t="s">
        <v>4836</v>
      </c>
      <c r="G132" s="37"/>
      <c r="H132" s="54" t="s">
        <v>4217</v>
      </c>
      <c r="I132" s="37"/>
    </row>
    <row r="133" customFormat="false" ht="15" hidden="false" customHeight="true" outlineLevel="0" collapsed="false">
      <c r="A133" s="37" t="s">
        <v>4218</v>
      </c>
      <c r="B133" s="37" t="s">
        <v>383</v>
      </c>
      <c r="C133" s="37" t="s">
        <v>4834</v>
      </c>
      <c r="D133" s="37" t="s">
        <v>4887</v>
      </c>
      <c r="E133" s="37"/>
      <c r="F133" s="37" t="s">
        <v>4842</v>
      </c>
      <c r="G133" s="37"/>
      <c r="H133" s="37" t="s">
        <v>4219</v>
      </c>
      <c r="I133" s="54" t="s">
        <v>4888</v>
      </c>
    </row>
    <row r="134" customFormat="false" ht="15" hidden="false" customHeight="true" outlineLevel="0" collapsed="false">
      <c r="A134" s="37" t="s">
        <v>4221</v>
      </c>
      <c r="B134" s="37" t="s">
        <v>383</v>
      </c>
      <c r="C134" s="37" t="s">
        <v>4866</v>
      </c>
      <c r="D134" s="37" t="s">
        <v>4867</v>
      </c>
      <c r="E134" s="37"/>
      <c r="F134" s="37" t="s">
        <v>4884</v>
      </c>
      <c r="G134" s="37"/>
      <c r="H134" s="54" t="s">
        <v>4222</v>
      </c>
      <c r="I134" s="37"/>
    </row>
    <row r="135" customFormat="false" ht="15" hidden="false" customHeight="true" outlineLevel="0" collapsed="false">
      <c r="A135" s="37" t="s">
        <v>4223</v>
      </c>
      <c r="B135" s="37" t="s">
        <v>383</v>
      </c>
      <c r="C135" s="37" t="s">
        <v>4874</v>
      </c>
      <c r="D135" s="37" t="s">
        <v>4893</v>
      </c>
      <c r="E135" s="37"/>
      <c r="F135" s="37"/>
      <c r="G135" s="37"/>
      <c r="H135" s="54" t="s">
        <v>4224</v>
      </c>
      <c r="I135" s="54" t="s">
        <v>4890</v>
      </c>
    </row>
    <row r="136" customFormat="false" ht="15" hidden="false" customHeight="true" outlineLevel="0" collapsed="false">
      <c r="A136" s="37" t="s">
        <v>4223</v>
      </c>
      <c r="B136" s="37" t="s">
        <v>383</v>
      </c>
      <c r="C136" s="37" t="s">
        <v>4834</v>
      </c>
      <c r="D136" s="37" t="s">
        <v>4835</v>
      </c>
      <c r="E136" s="37"/>
      <c r="F136" s="37" t="s">
        <v>4836</v>
      </c>
      <c r="G136" s="37"/>
      <c r="H136" s="54" t="s">
        <v>4224</v>
      </c>
      <c r="I136" s="37"/>
    </row>
    <row r="137" customFormat="false" ht="15" hidden="false" customHeight="true" outlineLevel="0" collapsed="false">
      <c r="A137" s="37" t="s">
        <v>4225</v>
      </c>
      <c r="B137" s="37" t="s">
        <v>383</v>
      </c>
      <c r="C137" s="37" t="s">
        <v>4834</v>
      </c>
      <c r="D137" s="37" t="s">
        <v>4835</v>
      </c>
      <c r="E137" s="37"/>
      <c r="F137" s="37" t="s">
        <v>4836</v>
      </c>
      <c r="G137" s="37"/>
      <c r="H137" s="54" t="s">
        <v>4226</v>
      </c>
      <c r="I137" s="37"/>
    </row>
    <row r="138" customFormat="false" ht="15" hidden="false" customHeight="true" outlineLevel="0" collapsed="false">
      <c r="A138" s="37" t="s">
        <v>4227</v>
      </c>
      <c r="B138" s="37" t="s">
        <v>383</v>
      </c>
      <c r="C138" s="37" t="s">
        <v>4866</v>
      </c>
      <c r="D138" s="37" t="s">
        <v>4867</v>
      </c>
      <c r="E138" s="37"/>
      <c r="F138" s="37" t="s">
        <v>4885</v>
      </c>
      <c r="G138" s="37"/>
      <c r="H138" s="54" t="s">
        <v>4228</v>
      </c>
      <c r="I138" s="37"/>
    </row>
    <row r="139" customFormat="false" ht="15" hidden="false" customHeight="true" outlineLevel="0" collapsed="false">
      <c r="A139" s="37" t="s">
        <v>4229</v>
      </c>
      <c r="B139" s="37" t="s">
        <v>383</v>
      </c>
      <c r="C139" s="37" t="s">
        <v>4874</v>
      </c>
      <c r="D139" s="37" t="s">
        <v>4889</v>
      </c>
      <c r="E139" s="37"/>
      <c r="F139" s="37"/>
      <c r="G139" s="37"/>
      <c r="H139" s="54" t="s">
        <v>4230</v>
      </c>
      <c r="I139" s="54" t="s">
        <v>4890</v>
      </c>
    </row>
    <row r="140" customFormat="false" ht="15" hidden="false" customHeight="true" outlineLevel="0" collapsed="false">
      <c r="A140" s="37" t="s">
        <v>4232</v>
      </c>
      <c r="B140" s="37" t="s">
        <v>383</v>
      </c>
      <c r="C140" s="37" t="s">
        <v>4866</v>
      </c>
      <c r="D140" s="37" t="s">
        <v>4867</v>
      </c>
      <c r="E140" s="37"/>
      <c r="F140" s="37" t="s">
        <v>4884</v>
      </c>
      <c r="G140" s="37"/>
      <c r="H140" s="54" t="s">
        <v>4233</v>
      </c>
      <c r="I140" s="37"/>
    </row>
    <row r="141" customFormat="false" ht="15" hidden="false" customHeight="true" outlineLevel="0" collapsed="false">
      <c r="A141" s="37" t="s">
        <v>4234</v>
      </c>
      <c r="B141" s="37" t="s">
        <v>383</v>
      </c>
      <c r="C141" s="37" t="s">
        <v>4874</v>
      </c>
      <c r="D141" s="37" t="s">
        <v>4875</v>
      </c>
      <c r="E141" s="37"/>
      <c r="F141" s="37" t="s">
        <v>4892</v>
      </c>
      <c r="G141" s="37"/>
      <c r="H141" s="54" t="s">
        <v>4235</v>
      </c>
      <c r="I141" s="37"/>
    </row>
    <row r="142" customFormat="false" ht="15" hidden="false" customHeight="true" outlineLevel="0" collapsed="false">
      <c r="A142" s="37" t="s">
        <v>4234</v>
      </c>
      <c r="B142" s="37" t="s">
        <v>383</v>
      </c>
      <c r="C142" s="37" t="s">
        <v>4834</v>
      </c>
      <c r="D142" s="37" t="s">
        <v>4835</v>
      </c>
      <c r="E142" s="37"/>
      <c r="F142" s="37" t="s">
        <v>4836</v>
      </c>
      <c r="G142" s="37"/>
      <c r="H142" s="54" t="s">
        <v>4235</v>
      </c>
      <c r="I142" s="37"/>
    </row>
    <row r="143" customFormat="false" ht="15" hidden="false" customHeight="true" outlineLevel="0" collapsed="false">
      <c r="A143" s="37" t="s">
        <v>4236</v>
      </c>
      <c r="B143" s="37" t="s">
        <v>383</v>
      </c>
      <c r="C143" s="37" t="s">
        <v>4866</v>
      </c>
      <c r="D143" s="37" t="s">
        <v>4867</v>
      </c>
      <c r="E143" s="37"/>
      <c r="F143" s="37" t="s">
        <v>4884</v>
      </c>
      <c r="G143" s="37"/>
      <c r="H143" s="54" t="s">
        <v>4237</v>
      </c>
      <c r="I143" s="37"/>
    </row>
    <row r="144" customFormat="false" ht="15" hidden="false" customHeight="true" outlineLevel="0" collapsed="false">
      <c r="A144" s="37" t="s">
        <v>4239</v>
      </c>
      <c r="B144" s="37" t="s">
        <v>383</v>
      </c>
      <c r="C144" s="37" t="s">
        <v>4874</v>
      </c>
      <c r="D144" s="37" t="s">
        <v>4875</v>
      </c>
      <c r="E144" s="37"/>
      <c r="F144" s="37" t="s">
        <v>4892</v>
      </c>
      <c r="G144" s="37"/>
      <c r="H144" s="54" t="s">
        <v>4240</v>
      </c>
      <c r="I144" s="37"/>
    </row>
    <row r="145" customFormat="false" ht="15" hidden="false" customHeight="true" outlineLevel="0" collapsed="false">
      <c r="A145" s="37" t="s">
        <v>4239</v>
      </c>
      <c r="B145" s="37" t="s">
        <v>383</v>
      </c>
      <c r="C145" s="37" t="s">
        <v>4834</v>
      </c>
      <c r="D145" s="37" t="s">
        <v>4835</v>
      </c>
      <c r="E145" s="37"/>
      <c r="F145" s="37" t="s">
        <v>4836</v>
      </c>
      <c r="G145" s="37"/>
      <c r="H145" s="54" t="s">
        <v>4240</v>
      </c>
      <c r="I145" s="37"/>
    </row>
    <row r="146" customFormat="false" ht="15" hidden="false" customHeight="true" outlineLevel="0" collapsed="false">
      <c r="A146" s="37" t="s">
        <v>4241</v>
      </c>
      <c r="B146" s="37" t="s">
        <v>383</v>
      </c>
      <c r="C146" s="37" t="s">
        <v>4834</v>
      </c>
      <c r="D146" s="37" t="s">
        <v>4835</v>
      </c>
      <c r="E146" s="37"/>
      <c r="F146" s="37" t="s">
        <v>4836</v>
      </c>
      <c r="G146" s="37"/>
      <c r="H146" s="54" t="s">
        <v>4242</v>
      </c>
      <c r="I146" s="37"/>
    </row>
    <row r="147" customFormat="false" ht="15" hidden="false" customHeight="true" outlineLevel="0" collapsed="false">
      <c r="A147" s="37" t="s">
        <v>4243</v>
      </c>
      <c r="B147" s="37" t="s">
        <v>383</v>
      </c>
      <c r="C147" s="37" t="s">
        <v>4874</v>
      </c>
      <c r="D147" s="37" t="s">
        <v>4875</v>
      </c>
      <c r="E147" s="37"/>
      <c r="F147" s="37" t="s">
        <v>4883</v>
      </c>
      <c r="G147" s="37"/>
      <c r="H147" s="54" t="s">
        <v>4244</v>
      </c>
      <c r="I147" s="37"/>
    </row>
    <row r="148" customFormat="false" ht="15" hidden="false" customHeight="true" outlineLevel="0" collapsed="false">
      <c r="A148" s="37" t="s">
        <v>4243</v>
      </c>
      <c r="B148" s="37" t="s">
        <v>383</v>
      </c>
      <c r="C148" s="37" t="s">
        <v>4834</v>
      </c>
      <c r="D148" s="37" t="s">
        <v>4887</v>
      </c>
      <c r="E148" s="37"/>
      <c r="F148" s="37" t="s">
        <v>4842</v>
      </c>
      <c r="G148" s="37"/>
      <c r="H148" s="54" t="s">
        <v>4244</v>
      </c>
      <c r="I148" s="54" t="s">
        <v>4888</v>
      </c>
    </row>
    <row r="149" customFormat="false" ht="15" hidden="false" customHeight="true" outlineLevel="0" collapsed="false">
      <c r="A149" s="37" t="s">
        <v>4247</v>
      </c>
      <c r="B149" s="37" t="s">
        <v>383</v>
      </c>
      <c r="C149" s="37" t="s">
        <v>4834</v>
      </c>
      <c r="D149" s="37" t="s">
        <v>4835</v>
      </c>
      <c r="E149" s="54" t="s">
        <v>4895</v>
      </c>
      <c r="F149" s="37" t="s">
        <v>4836</v>
      </c>
      <c r="G149" s="37"/>
      <c r="H149" s="54" t="s">
        <v>683</v>
      </c>
      <c r="I149" s="37"/>
    </row>
    <row r="150" customFormat="false" ht="15" hidden="false" customHeight="true" outlineLevel="0" collapsed="false">
      <c r="A150" s="37" t="s">
        <v>4247</v>
      </c>
      <c r="B150" s="37" t="s">
        <v>383</v>
      </c>
      <c r="C150" s="37" t="s">
        <v>4834</v>
      </c>
      <c r="D150" s="37" t="s">
        <v>4835</v>
      </c>
      <c r="E150" s="54" t="s">
        <v>4896</v>
      </c>
      <c r="F150" s="37" t="s">
        <v>4836</v>
      </c>
      <c r="G150" s="37"/>
      <c r="H150" s="54" t="s">
        <v>683</v>
      </c>
      <c r="I150" s="37"/>
    </row>
    <row r="151" customFormat="false" ht="15" hidden="false" customHeight="true" outlineLevel="0" collapsed="false">
      <c r="A151" s="37" t="s">
        <v>4247</v>
      </c>
      <c r="B151" s="37" t="s">
        <v>383</v>
      </c>
      <c r="C151" s="37" t="s">
        <v>4834</v>
      </c>
      <c r="D151" s="37" t="s">
        <v>4835</v>
      </c>
      <c r="E151" s="54" t="s">
        <v>4897</v>
      </c>
      <c r="F151" s="37" t="s">
        <v>4836</v>
      </c>
      <c r="G151" s="37"/>
      <c r="H151" s="54" t="s">
        <v>4898</v>
      </c>
      <c r="I151" s="37"/>
    </row>
    <row r="152" customFormat="false" ht="15" hidden="false" customHeight="true" outlineLevel="0" collapsed="false">
      <c r="A152" s="37" t="s">
        <v>4247</v>
      </c>
      <c r="B152" s="37" t="s">
        <v>383</v>
      </c>
      <c r="C152" s="37" t="s">
        <v>4834</v>
      </c>
      <c r="D152" s="37" t="s">
        <v>4835</v>
      </c>
      <c r="E152" s="54" t="s">
        <v>4899</v>
      </c>
      <c r="F152" s="37" t="s">
        <v>4836</v>
      </c>
      <c r="G152" s="37"/>
      <c r="H152" s="54" t="s">
        <v>4898</v>
      </c>
      <c r="I152" s="37"/>
    </row>
    <row r="153" customFormat="false" ht="15" hidden="false" customHeight="true" outlineLevel="0" collapsed="false">
      <c r="A153" s="37" t="s">
        <v>4247</v>
      </c>
      <c r="B153" s="37" t="s">
        <v>383</v>
      </c>
      <c r="C153" s="37" t="s">
        <v>4834</v>
      </c>
      <c r="D153" s="37" t="s">
        <v>4887</v>
      </c>
      <c r="E153" s="54" t="s">
        <v>4900</v>
      </c>
      <c r="F153" s="37" t="s">
        <v>4842</v>
      </c>
      <c r="G153" s="37"/>
      <c r="H153" s="54" t="s">
        <v>4901</v>
      </c>
      <c r="I153" s="54" t="s">
        <v>4888</v>
      </c>
    </row>
    <row r="154" customFormat="false" ht="15" hidden="false" customHeight="true" outlineLevel="0" collapsed="false">
      <c r="A154" s="37" t="s">
        <v>4248</v>
      </c>
      <c r="B154" s="37" t="s">
        <v>383</v>
      </c>
      <c r="C154" s="37" t="s">
        <v>4834</v>
      </c>
      <c r="D154" s="37" t="s">
        <v>4835</v>
      </c>
      <c r="E154" s="37"/>
      <c r="F154" s="37" t="s">
        <v>4836</v>
      </c>
      <c r="G154" s="37"/>
      <c r="H154" s="54" t="s">
        <v>4249</v>
      </c>
      <c r="I154" s="37"/>
    </row>
    <row r="155" customFormat="false" ht="15" hidden="false" customHeight="true" outlineLevel="0" collapsed="false">
      <c r="A155" s="37" t="s">
        <v>4250</v>
      </c>
      <c r="B155" s="37" t="s">
        <v>383</v>
      </c>
      <c r="C155" s="37" t="s">
        <v>4834</v>
      </c>
      <c r="D155" s="37" t="s">
        <v>4835</v>
      </c>
      <c r="E155" s="37"/>
      <c r="F155" s="37" t="s">
        <v>4836</v>
      </c>
      <c r="G155" s="37"/>
      <c r="H155" s="54" t="s">
        <v>4251</v>
      </c>
      <c r="I155" s="37"/>
    </row>
    <row r="156" customFormat="false" ht="15" hidden="false" customHeight="true" outlineLevel="0" collapsed="false">
      <c r="A156" s="37" t="s">
        <v>4252</v>
      </c>
      <c r="B156" s="37" t="s">
        <v>383</v>
      </c>
      <c r="C156" s="37" t="s">
        <v>4834</v>
      </c>
      <c r="D156" s="37" t="s">
        <v>4887</v>
      </c>
      <c r="E156" s="37"/>
      <c r="F156" s="37" t="s">
        <v>4842</v>
      </c>
      <c r="G156" s="37"/>
      <c r="H156" s="54" t="s">
        <v>4253</v>
      </c>
      <c r="I156" s="54" t="s">
        <v>4888</v>
      </c>
    </row>
    <row r="157" customFormat="false" ht="15" hidden="false" customHeight="true" outlineLevel="0" collapsed="false">
      <c r="A157" s="37" t="s">
        <v>4254</v>
      </c>
      <c r="B157" s="37" t="s">
        <v>383</v>
      </c>
      <c r="C157" s="37" t="s">
        <v>4834</v>
      </c>
      <c r="D157" s="37" t="s">
        <v>4835</v>
      </c>
      <c r="E157" s="37"/>
      <c r="F157" s="37" t="s">
        <v>4836</v>
      </c>
      <c r="G157" s="37"/>
      <c r="H157" s="54" t="s">
        <v>4255</v>
      </c>
      <c r="I157" s="37"/>
    </row>
    <row r="158" customFormat="false" ht="15" hidden="false" customHeight="true" outlineLevel="0" collapsed="false">
      <c r="A158" s="37" t="s">
        <v>4256</v>
      </c>
      <c r="B158" s="37" t="s">
        <v>383</v>
      </c>
      <c r="C158" s="37" t="s">
        <v>4874</v>
      </c>
      <c r="D158" s="37" t="s">
        <v>4889</v>
      </c>
      <c r="E158" s="37"/>
      <c r="F158" s="37"/>
      <c r="G158" s="37"/>
      <c r="H158" s="54" t="s">
        <v>4257</v>
      </c>
      <c r="I158" s="54" t="s">
        <v>4890</v>
      </c>
    </row>
    <row r="159" customFormat="false" ht="15" hidden="false" customHeight="true" outlineLevel="0" collapsed="false">
      <c r="A159" s="37" t="s">
        <v>4256</v>
      </c>
      <c r="B159" s="37" t="s">
        <v>383</v>
      </c>
      <c r="C159" s="37" t="s">
        <v>4834</v>
      </c>
      <c r="D159" s="37" t="s">
        <v>4835</v>
      </c>
      <c r="E159" s="37"/>
      <c r="F159" s="37" t="s">
        <v>4836</v>
      </c>
      <c r="G159" s="37"/>
      <c r="H159" s="54" t="s">
        <v>4257</v>
      </c>
      <c r="I159" s="37"/>
    </row>
    <row r="160" customFormat="false" ht="15" hidden="false" customHeight="true" outlineLevel="0" collapsed="false">
      <c r="A160" s="37" t="s">
        <v>4259</v>
      </c>
      <c r="B160" s="37" t="s">
        <v>383</v>
      </c>
      <c r="C160" s="37" t="s">
        <v>4866</v>
      </c>
      <c r="D160" s="37" t="s">
        <v>4867</v>
      </c>
      <c r="E160" s="37"/>
      <c r="F160" s="37" t="s">
        <v>4884</v>
      </c>
      <c r="G160" s="37"/>
      <c r="H160" s="54" t="s">
        <v>4260</v>
      </c>
      <c r="I160" s="37"/>
    </row>
    <row r="161" customFormat="false" ht="15" hidden="false" customHeight="true" outlineLevel="0" collapsed="false">
      <c r="A161" s="37" t="s">
        <v>4263</v>
      </c>
      <c r="B161" s="37" t="s">
        <v>383</v>
      </c>
      <c r="C161" s="37" t="s">
        <v>4866</v>
      </c>
      <c r="D161" s="37" t="s">
        <v>4867</v>
      </c>
      <c r="E161" s="37"/>
      <c r="F161" s="37" t="s">
        <v>4885</v>
      </c>
      <c r="G161" s="37"/>
      <c r="H161" s="54" t="s">
        <v>4264</v>
      </c>
      <c r="I161" s="37"/>
    </row>
    <row r="162" customFormat="false" ht="15" hidden="false" customHeight="true" outlineLevel="0" collapsed="false">
      <c r="A162" s="37" t="s">
        <v>4265</v>
      </c>
      <c r="B162" s="37" t="s">
        <v>383</v>
      </c>
      <c r="C162" s="37" t="s">
        <v>4834</v>
      </c>
      <c r="D162" s="37" t="s">
        <v>4835</v>
      </c>
      <c r="E162" s="37"/>
      <c r="F162" s="37" t="s">
        <v>4836</v>
      </c>
      <c r="G162" s="37"/>
      <c r="H162" s="54" t="s">
        <v>4266</v>
      </c>
      <c r="I162" s="37"/>
    </row>
    <row r="163" customFormat="false" ht="15" hidden="false" customHeight="true" outlineLevel="0" collapsed="false">
      <c r="A163" s="37" t="s">
        <v>4267</v>
      </c>
      <c r="B163" s="37" t="s">
        <v>383</v>
      </c>
      <c r="C163" s="37" t="s">
        <v>4834</v>
      </c>
      <c r="D163" s="37" t="s">
        <v>4835</v>
      </c>
      <c r="E163" s="37"/>
      <c r="F163" s="37" t="s">
        <v>4836</v>
      </c>
      <c r="G163" s="37"/>
      <c r="H163" s="54" t="s">
        <v>4268</v>
      </c>
      <c r="I163" s="37"/>
    </row>
    <row r="164" customFormat="false" ht="15" hidden="false" customHeight="true" outlineLevel="0" collapsed="false">
      <c r="A164" s="37" t="s">
        <v>520</v>
      </c>
      <c r="B164" s="37" t="s">
        <v>390</v>
      </c>
      <c r="C164" s="37" t="s">
        <v>4866</v>
      </c>
      <c r="D164" s="37" t="s">
        <v>4867</v>
      </c>
      <c r="E164" s="37"/>
      <c r="F164" s="37" t="s">
        <v>4886</v>
      </c>
      <c r="G164" s="37"/>
      <c r="H164" s="54" t="s">
        <v>521</v>
      </c>
      <c r="I164" s="37"/>
    </row>
    <row r="165" customFormat="false" ht="15" hidden="false" customHeight="true" outlineLevel="0" collapsed="false">
      <c r="A165" s="37" t="s">
        <v>520</v>
      </c>
      <c r="B165" s="37" t="s">
        <v>390</v>
      </c>
      <c r="C165" s="37" t="s">
        <v>4834</v>
      </c>
      <c r="D165" s="37" t="s">
        <v>4835</v>
      </c>
      <c r="E165" s="37"/>
      <c r="F165" s="37" t="s">
        <v>4836</v>
      </c>
      <c r="G165" s="37"/>
      <c r="H165" s="54" t="s">
        <v>521</v>
      </c>
      <c r="I165" s="37"/>
    </row>
    <row r="166" customFormat="false" ht="15" hidden="false" customHeight="true" outlineLevel="0" collapsed="false">
      <c r="A166" s="37" t="s">
        <v>530</v>
      </c>
      <c r="B166" s="37" t="s">
        <v>390</v>
      </c>
      <c r="C166" s="37" t="s">
        <v>4866</v>
      </c>
      <c r="D166" s="37" t="s">
        <v>4867</v>
      </c>
      <c r="E166" s="37"/>
      <c r="F166" s="37" t="s">
        <v>4884</v>
      </c>
      <c r="G166" s="37"/>
      <c r="H166" s="54" t="s">
        <v>531</v>
      </c>
      <c r="I166" s="37"/>
    </row>
    <row r="167" customFormat="false" ht="15" hidden="false" customHeight="true" outlineLevel="0" collapsed="false">
      <c r="A167" s="37" t="s">
        <v>534</v>
      </c>
      <c r="B167" s="37" t="s">
        <v>390</v>
      </c>
      <c r="C167" s="37" t="s">
        <v>4866</v>
      </c>
      <c r="D167" s="37" t="s">
        <v>4867</v>
      </c>
      <c r="E167" s="37"/>
      <c r="F167" s="37" t="s">
        <v>4886</v>
      </c>
      <c r="G167" s="37"/>
      <c r="H167" s="54" t="s">
        <v>535</v>
      </c>
      <c r="I167" s="37"/>
    </row>
    <row r="168" customFormat="false" ht="15" hidden="false" customHeight="true" outlineLevel="0" collapsed="false">
      <c r="A168" s="37" t="s">
        <v>534</v>
      </c>
      <c r="B168" s="37" t="s">
        <v>390</v>
      </c>
      <c r="C168" s="37" t="s">
        <v>4834</v>
      </c>
      <c r="D168" s="37" t="s">
        <v>4835</v>
      </c>
      <c r="E168" s="37"/>
      <c r="F168" s="37" t="s">
        <v>4836</v>
      </c>
      <c r="G168" s="37"/>
      <c r="H168" s="54" t="s">
        <v>535</v>
      </c>
      <c r="I168" s="37"/>
    </row>
    <row r="169" customFormat="false" ht="15" hidden="false" customHeight="true" outlineLevel="0" collapsed="false">
      <c r="A169" s="37" t="s">
        <v>537</v>
      </c>
      <c r="B169" s="37" t="s">
        <v>390</v>
      </c>
      <c r="C169" s="37" t="s">
        <v>4834</v>
      </c>
      <c r="D169" s="37" t="s">
        <v>4835</v>
      </c>
      <c r="E169" s="37"/>
      <c r="F169" s="37" t="s">
        <v>4836</v>
      </c>
      <c r="G169" s="37"/>
      <c r="H169" s="54" t="s">
        <v>538</v>
      </c>
      <c r="I169" s="37"/>
    </row>
    <row r="170" customFormat="false" ht="15" hidden="false" customHeight="true" outlineLevel="0" collapsed="false">
      <c r="A170" s="37" t="s">
        <v>541</v>
      </c>
      <c r="B170" s="37" t="s">
        <v>390</v>
      </c>
      <c r="C170" s="37" t="s">
        <v>4874</v>
      </c>
      <c r="D170" s="37" t="s">
        <v>4875</v>
      </c>
      <c r="E170" s="37"/>
      <c r="F170" s="37"/>
      <c r="G170" s="37"/>
      <c r="H170" s="54" t="s">
        <v>542</v>
      </c>
      <c r="I170" s="54" t="s">
        <v>4877</v>
      </c>
    </row>
    <row r="171" customFormat="false" ht="15" hidden="false" customHeight="true" outlineLevel="0" collapsed="false">
      <c r="A171" s="37" t="s">
        <v>541</v>
      </c>
      <c r="B171" s="37" t="s">
        <v>390</v>
      </c>
      <c r="C171" s="37" t="s">
        <v>4834</v>
      </c>
      <c r="D171" s="37" t="s">
        <v>4835</v>
      </c>
      <c r="E171" s="37"/>
      <c r="F171" s="37" t="s">
        <v>4836</v>
      </c>
      <c r="G171" s="37"/>
      <c r="H171" s="54" t="s">
        <v>542</v>
      </c>
      <c r="I171" s="37"/>
    </row>
    <row r="172" customFormat="false" ht="15" hidden="false" customHeight="true" outlineLevel="0" collapsed="false">
      <c r="A172" s="37" t="s">
        <v>545</v>
      </c>
      <c r="B172" s="37" t="s">
        <v>390</v>
      </c>
      <c r="C172" s="37" t="s">
        <v>4874</v>
      </c>
      <c r="D172" s="37" t="s">
        <v>4875</v>
      </c>
      <c r="E172" s="37"/>
      <c r="F172" s="37"/>
      <c r="G172" s="37"/>
      <c r="H172" s="54" t="s">
        <v>546</v>
      </c>
      <c r="I172" s="54" t="s">
        <v>4877</v>
      </c>
    </row>
    <row r="173" customFormat="false" ht="15" hidden="false" customHeight="true" outlineLevel="0" collapsed="false">
      <c r="A173" s="37" t="s">
        <v>553</v>
      </c>
      <c r="B173" s="37" t="s">
        <v>390</v>
      </c>
      <c r="C173" s="37" t="s">
        <v>4834</v>
      </c>
      <c r="D173" s="37" t="s">
        <v>4835</v>
      </c>
      <c r="E173" s="37"/>
      <c r="F173" s="37" t="s">
        <v>4836</v>
      </c>
      <c r="G173" s="37"/>
      <c r="H173" s="54" t="s">
        <v>554</v>
      </c>
      <c r="I173" s="37"/>
    </row>
    <row r="174" customFormat="false" ht="15" hidden="false" customHeight="true" outlineLevel="0" collapsed="false">
      <c r="A174" s="37" t="s">
        <v>558</v>
      </c>
      <c r="B174" s="37" t="s">
        <v>390</v>
      </c>
      <c r="C174" s="37" t="s">
        <v>4874</v>
      </c>
      <c r="D174" s="37" t="s">
        <v>4875</v>
      </c>
      <c r="E174" s="37"/>
      <c r="F174" s="37"/>
      <c r="G174" s="37"/>
      <c r="H174" s="37" t="s">
        <v>559</v>
      </c>
      <c r="I174" s="54" t="s">
        <v>4877</v>
      </c>
    </row>
    <row r="175" customFormat="false" ht="15" hidden="false" customHeight="true" outlineLevel="0" collapsed="false">
      <c r="A175" s="37" t="s">
        <v>565</v>
      </c>
      <c r="B175" s="37" t="s">
        <v>390</v>
      </c>
      <c r="C175" s="37" t="s">
        <v>4834</v>
      </c>
      <c r="D175" s="37" t="s">
        <v>4835</v>
      </c>
      <c r="E175" s="37"/>
      <c r="F175" s="37" t="s">
        <v>4836</v>
      </c>
      <c r="G175" s="37"/>
      <c r="H175" s="54" t="s">
        <v>566</v>
      </c>
      <c r="I175" s="37"/>
    </row>
    <row r="176" customFormat="false" ht="15" hidden="false" customHeight="true" outlineLevel="0" collapsed="false">
      <c r="A176" s="37" t="s">
        <v>576</v>
      </c>
      <c r="B176" s="37" t="s">
        <v>390</v>
      </c>
      <c r="C176" s="37" t="s">
        <v>4834</v>
      </c>
      <c r="D176" s="37" t="s">
        <v>4835</v>
      </c>
      <c r="E176" s="37"/>
      <c r="F176" s="37" t="s">
        <v>4842</v>
      </c>
      <c r="G176" s="37"/>
      <c r="H176" s="54" t="s">
        <v>577</v>
      </c>
      <c r="I176" s="37"/>
    </row>
    <row r="177" customFormat="false" ht="15" hidden="false" customHeight="true" outlineLevel="0" collapsed="false">
      <c r="A177" s="37" t="s">
        <v>585</v>
      </c>
      <c r="B177" s="37" t="s">
        <v>390</v>
      </c>
      <c r="C177" s="37" t="s">
        <v>4834</v>
      </c>
      <c r="D177" s="37" t="s">
        <v>4835</v>
      </c>
      <c r="E177" s="37"/>
      <c r="F177" s="37" t="s">
        <v>4836</v>
      </c>
      <c r="G177" s="37"/>
      <c r="H177" s="54" t="s">
        <v>586</v>
      </c>
      <c r="I177" s="37"/>
    </row>
    <row r="178" customFormat="false" ht="15" hidden="false" customHeight="true" outlineLevel="0" collapsed="false">
      <c r="A178" s="37" t="s">
        <v>590</v>
      </c>
      <c r="B178" s="37" t="s">
        <v>390</v>
      </c>
      <c r="C178" s="37" t="s">
        <v>4834</v>
      </c>
      <c r="D178" s="37" t="s">
        <v>4835</v>
      </c>
      <c r="E178" s="37"/>
      <c r="F178" s="37" t="s">
        <v>4836</v>
      </c>
      <c r="G178" s="37"/>
      <c r="H178" s="54" t="s">
        <v>591</v>
      </c>
      <c r="I178" s="37"/>
    </row>
    <row r="179" customFormat="false" ht="15" hidden="false" customHeight="true" outlineLevel="0" collapsed="false">
      <c r="A179" s="37" t="s">
        <v>594</v>
      </c>
      <c r="B179" s="37" t="s">
        <v>390</v>
      </c>
      <c r="C179" s="37" t="s">
        <v>4874</v>
      </c>
      <c r="D179" s="37" t="s">
        <v>4875</v>
      </c>
      <c r="E179" s="37"/>
      <c r="F179" s="37"/>
      <c r="G179" s="37"/>
      <c r="H179" s="54" t="s">
        <v>595</v>
      </c>
      <c r="I179" s="54" t="s">
        <v>4877</v>
      </c>
    </row>
    <row r="180" customFormat="false" ht="15" hidden="false" customHeight="true" outlineLevel="0" collapsed="false">
      <c r="A180" s="37" t="s">
        <v>602</v>
      </c>
      <c r="B180" s="37" t="s">
        <v>390</v>
      </c>
      <c r="C180" s="37" t="s">
        <v>4874</v>
      </c>
      <c r="D180" s="37" t="s">
        <v>4875</v>
      </c>
      <c r="E180" s="37"/>
      <c r="F180" s="37"/>
      <c r="G180" s="37"/>
      <c r="H180" s="37" t="s">
        <v>603</v>
      </c>
      <c r="I180" s="54" t="s">
        <v>4877</v>
      </c>
    </row>
    <row r="181" customFormat="false" ht="15" hidden="false" customHeight="true" outlineLevel="0" collapsed="false">
      <c r="A181" s="37" t="s">
        <v>602</v>
      </c>
      <c r="B181" s="37" t="s">
        <v>390</v>
      </c>
      <c r="C181" s="37" t="s">
        <v>4834</v>
      </c>
      <c r="D181" s="37" t="s">
        <v>4835</v>
      </c>
      <c r="E181" s="37"/>
      <c r="F181" s="37" t="s">
        <v>4836</v>
      </c>
      <c r="G181" s="37"/>
      <c r="H181" s="37" t="s">
        <v>603</v>
      </c>
      <c r="I181" s="37"/>
    </row>
    <row r="182" customFormat="false" ht="15" hidden="false" customHeight="true" outlineLevel="0" collapsed="false">
      <c r="A182" s="37" t="s">
        <v>767</v>
      </c>
      <c r="B182" s="37" t="s">
        <v>396</v>
      </c>
      <c r="C182" s="37" t="s">
        <v>4834</v>
      </c>
      <c r="D182" s="37" t="s">
        <v>4835</v>
      </c>
      <c r="E182" s="37"/>
      <c r="F182" s="37" t="s">
        <v>4842</v>
      </c>
      <c r="G182" s="37"/>
      <c r="H182" s="54" t="s">
        <v>768</v>
      </c>
      <c r="I182" s="37"/>
    </row>
    <row r="183" customFormat="false" ht="15" hidden="false" customHeight="true" outlineLevel="0" collapsed="false">
      <c r="A183" s="37" t="s">
        <v>770</v>
      </c>
      <c r="B183" s="37" t="s">
        <v>396</v>
      </c>
      <c r="C183" s="37" t="s">
        <v>4834</v>
      </c>
      <c r="D183" s="37" t="s">
        <v>4835</v>
      </c>
      <c r="E183" s="37"/>
      <c r="F183" s="37" t="s">
        <v>4842</v>
      </c>
      <c r="G183" s="37"/>
      <c r="H183" s="54" t="s">
        <v>771</v>
      </c>
      <c r="I183" s="37"/>
    </row>
    <row r="184" customFormat="false" ht="15" hidden="false" customHeight="true" outlineLevel="0" collapsed="false">
      <c r="A184" s="37" t="s">
        <v>773</v>
      </c>
      <c r="B184" s="37" t="s">
        <v>396</v>
      </c>
      <c r="C184" s="37" t="s">
        <v>4834</v>
      </c>
      <c r="D184" s="37" t="s">
        <v>4835</v>
      </c>
      <c r="E184" s="37"/>
      <c r="F184" s="37" t="s">
        <v>4842</v>
      </c>
      <c r="G184" s="37"/>
      <c r="H184" s="54" t="s">
        <v>774</v>
      </c>
      <c r="I184" s="37"/>
    </row>
    <row r="185" customFormat="false" ht="15" hidden="false" customHeight="true" outlineLevel="0" collapsed="false">
      <c r="A185" s="37" t="s">
        <v>776</v>
      </c>
      <c r="B185" s="37" t="s">
        <v>396</v>
      </c>
      <c r="C185" s="37" t="s">
        <v>4834</v>
      </c>
      <c r="D185" s="37" t="s">
        <v>4835</v>
      </c>
      <c r="E185" s="37"/>
      <c r="F185" s="37" t="s">
        <v>4842</v>
      </c>
      <c r="G185" s="37"/>
      <c r="H185" s="54" t="s">
        <v>777</v>
      </c>
      <c r="I185" s="37"/>
    </row>
    <row r="186" customFormat="false" ht="15" hidden="false" customHeight="true" outlineLevel="0" collapsed="false">
      <c r="A186" s="37" t="s">
        <v>779</v>
      </c>
      <c r="B186" s="37" t="s">
        <v>396</v>
      </c>
      <c r="C186" s="37" t="s">
        <v>4834</v>
      </c>
      <c r="D186" s="37" t="s">
        <v>4835</v>
      </c>
      <c r="E186" s="37"/>
      <c r="F186" s="37" t="s">
        <v>4842</v>
      </c>
      <c r="G186" s="37"/>
      <c r="H186" s="54" t="s">
        <v>780</v>
      </c>
      <c r="I186" s="37"/>
    </row>
    <row r="187" customFormat="false" ht="15" hidden="false" customHeight="true" outlineLevel="0" collapsed="false">
      <c r="A187" s="37" t="s">
        <v>784</v>
      </c>
      <c r="B187" s="37" t="s">
        <v>396</v>
      </c>
      <c r="C187" s="37" t="s">
        <v>4866</v>
      </c>
      <c r="D187" s="37" t="s">
        <v>4867</v>
      </c>
      <c r="E187" s="37"/>
      <c r="F187" s="37" t="s">
        <v>4885</v>
      </c>
      <c r="G187" s="37"/>
      <c r="H187" s="54" t="s">
        <v>785</v>
      </c>
      <c r="I187" s="37"/>
    </row>
    <row r="188" customFormat="false" ht="15" hidden="false" customHeight="true" outlineLevel="0" collapsed="false">
      <c r="A188" s="37" t="s">
        <v>784</v>
      </c>
      <c r="B188" s="37" t="s">
        <v>396</v>
      </c>
      <c r="C188" s="37" t="s">
        <v>4834</v>
      </c>
      <c r="D188" s="37" t="s">
        <v>4835</v>
      </c>
      <c r="E188" s="37"/>
      <c r="F188" s="37" t="s">
        <v>4836</v>
      </c>
      <c r="G188" s="37"/>
      <c r="H188" s="54" t="s">
        <v>785</v>
      </c>
      <c r="I188" s="37"/>
    </row>
    <row r="189" customFormat="false" ht="15" hidden="false" customHeight="true" outlineLevel="0" collapsed="false">
      <c r="A189" s="37" t="s">
        <v>790</v>
      </c>
      <c r="B189" s="37" t="s">
        <v>396</v>
      </c>
      <c r="C189" s="37" t="s">
        <v>4834</v>
      </c>
      <c r="D189" s="37" t="s">
        <v>4835</v>
      </c>
      <c r="E189" s="37"/>
      <c r="F189" s="37" t="s">
        <v>4836</v>
      </c>
      <c r="G189" s="37"/>
      <c r="H189" s="54" t="s">
        <v>791</v>
      </c>
      <c r="I189" s="37"/>
    </row>
    <row r="190" customFormat="false" ht="15" hidden="false" customHeight="true" outlineLevel="0" collapsed="false">
      <c r="A190" s="37" t="s">
        <v>793</v>
      </c>
      <c r="B190" s="37" t="s">
        <v>396</v>
      </c>
      <c r="C190" s="37" t="s">
        <v>4874</v>
      </c>
      <c r="D190" s="37" t="s">
        <v>4875</v>
      </c>
      <c r="E190" s="37"/>
      <c r="F190" s="37" t="s">
        <v>4883</v>
      </c>
      <c r="G190" s="37"/>
      <c r="H190" s="54" t="s">
        <v>794</v>
      </c>
      <c r="I190" s="37"/>
    </row>
    <row r="191" customFormat="false" ht="15" hidden="false" customHeight="true" outlineLevel="0" collapsed="false">
      <c r="A191" s="37" t="s">
        <v>793</v>
      </c>
      <c r="B191" s="37" t="s">
        <v>396</v>
      </c>
      <c r="C191" s="37" t="s">
        <v>4834</v>
      </c>
      <c r="D191" s="37" t="s">
        <v>4835</v>
      </c>
      <c r="E191" s="37"/>
      <c r="F191" s="37" t="s">
        <v>4836</v>
      </c>
      <c r="G191" s="37"/>
      <c r="H191" s="54" t="s">
        <v>794</v>
      </c>
      <c r="I191" s="37"/>
    </row>
    <row r="192" customFormat="false" ht="15" hidden="false" customHeight="true" outlineLevel="0" collapsed="false">
      <c r="A192" s="37" t="s">
        <v>796</v>
      </c>
      <c r="B192" s="37" t="s">
        <v>396</v>
      </c>
      <c r="C192" s="37" t="s">
        <v>4834</v>
      </c>
      <c r="D192" s="37" t="s">
        <v>4835</v>
      </c>
      <c r="E192" s="37"/>
      <c r="F192" s="37" t="s">
        <v>4842</v>
      </c>
      <c r="G192" s="37"/>
      <c r="H192" s="54" t="s">
        <v>797</v>
      </c>
      <c r="I192" s="37"/>
    </row>
    <row r="193" customFormat="false" ht="15" hidden="false" customHeight="true" outlineLevel="0" collapsed="false">
      <c r="A193" s="37" t="s">
        <v>799</v>
      </c>
      <c r="B193" s="37" t="s">
        <v>396</v>
      </c>
      <c r="C193" s="37" t="s">
        <v>4834</v>
      </c>
      <c r="D193" s="37" t="s">
        <v>4835</v>
      </c>
      <c r="E193" s="37"/>
      <c r="F193" s="37" t="s">
        <v>4836</v>
      </c>
      <c r="G193" s="37"/>
      <c r="H193" s="54" t="s">
        <v>800</v>
      </c>
      <c r="I193" s="37"/>
    </row>
    <row r="194" customFormat="false" ht="15" hidden="false" customHeight="true" outlineLevel="0" collapsed="false">
      <c r="A194" s="37" t="s">
        <v>802</v>
      </c>
      <c r="B194" s="37" t="s">
        <v>396</v>
      </c>
      <c r="C194" s="37" t="s">
        <v>4834</v>
      </c>
      <c r="D194" s="37" t="s">
        <v>4835</v>
      </c>
      <c r="E194" s="37"/>
      <c r="F194" s="37" t="s">
        <v>4836</v>
      </c>
      <c r="G194" s="37"/>
      <c r="H194" s="54" t="s">
        <v>803</v>
      </c>
      <c r="I194" s="37"/>
    </row>
    <row r="195" customFormat="false" ht="15" hidden="false" customHeight="true" outlineLevel="0" collapsed="false">
      <c r="A195" s="37" t="s">
        <v>804</v>
      </c>
      <c r="B195" s="37" t="s">
        <v>396</v>
      </c>
      <c r="C195" s="37" t="s">
        <v>4874</v>
      </c>
      <c r="D195" s="37" t="s">
        <v>4875</v>
      </c>
      <c r="E195" s="37"/>
      <c r="F195" s="37" t="s">
        <v>4892</v>
      </c>
      <c r="G195" s="37"/>
      <c r="H195" s="54" t="s">
        <v>4902</v>
      </c>
      <c r="I195" s="37"/>
    </row>
    <row r="196" customFormat="false" ht="15" hidden="false" customHeight="true" outlineLevel="0" collapsed="false">
      <c r="A196" s="37" t="s">
        <v>814</v>
      </c>
      <c r="B196" s="37" t="s">
        <v>396</v>
      </c>
      <c r="C196" s="37" t="s">
        <v>4874</v>
      </c>
      <c r="D196" s="37" t="s">
        <v>4875</v>
      </c>
      <c r="E196" s="37"/>
      <c r="F196" s="37" t="s">
        <v>4884</v>
      </c>
      <c r="G196" s="37"/>
      <c r="H196" s="54" t="s">
        <v>815</v>
      </c>
      <c r="I196" s="37"/>
    </row>
    <row r="197" customFormat="false" ht="15" hidden="false" customHeight="true" outlineLevel="0" collapsed="false">
      <c r="A197" s="37" t="s">
        <v>820</v>
      </c>
      <c r="B197" s="37" t="s">
        <v>396</v>
      </c>
      <c r="C197" s="37" t="s">
        <v>4834</v>
      </c>
      <c r="D197" s="37" t="s">
        <v>4835</v>
      </c>
      <c r="E197" s="37"/>
      <c r="F197" s="37" t="s">
        <v>4842</v>
      </c>
      <c r="G197" s="37"/>
      <c r="H197" s="54" t="s">
        <v>821</v>
      </c>
      <c r="I197" s="37"/>
    </row>
    <row r="198" customFormat="false" ht="15" hidden="false" customHeight="true" outlineLevel="0" collapsed="false">
      <c r="A198" s="37" t="s">
        <v>824</v>
      </c>
      <c r="B198" s="37" t="s">
        <v>396</v>
      </c>
      <c r="C198" s="37" t="s">
        <v>4834</v>
      </c>
      <c r="D198" s="37" t="s">
        <v>4835</v>
      </c>
      <c r="E198" s="37"/>
      <c r="F198" s="37" t="s">
        <v>4842</v>
      </c>
      <c r="G198" s="37"/>
      <c r="H198" s="54" t="s">
        <v>825</v>
      </c>
      <c r="I198" s="37"/>
    </row>
    <row r="199" customFormat="false" ht="15" hidden="false" customHeight="true" outlineLevel="0" collapsed="false">
      <c r="A199" s="37" t="s">
        <v>827</v>
      </c>
      <c r="B199" s="37" t="s">
        <v>396</v>
      </c>
      <c r="C199" s="37" t="s">
        <v>4834</v>
      </c>
      <c r="D199" s="37" t="s">
        <v>4835</v>
      </c>
      <c r="E199" s="37"/>
      <c r="F199" s="37" t="s">
        <v>4836</v>
      </c>
      <c r="G199" s="37"/>
      <c r="H199" s="54" t="s">
        <v>828</v>
      </c>
      <c r="I199" s="37"/>
    </row>
    <row r="200" customFormat="false" ht="15" hidden="false" customHeight="true" outlineLevel="0" collapsed="false">
      <c r="A200" s="37" t="s">
        <v>829</v>
      </c>
      <c r="B200" s="37" t="s">
        <v>396</v>
      </c>
      <c r="C200" s="37" t="s">
        <v>4834</v>
      </c>
      <c r="D200" s="37" t="s">
        <v>4835</v>
      </c>
      <c r="E200" s="37"/>
      <c r="F200" s="37" t="s">
        <v>4836</v>
      </c>
      <c r="G200" s="37"/>
      <c r="H200" s="54" t="s">
        <v>830</v>
      </c>
      <c r="I200" s="37"/>
    </row>
    <row r="201" customFormat="false" ht="15" hidden="false" customHeight="true" outlineLevel="0" collapsed="false">
      <c r="A201" s="37" t="s">
        <v>832</v>
      </c>
      <c r="B201" s="37" t="s">
        <v>396</v>
      </c>
      <c r="C201" s="37" t="s">
        <v>4834</v>
      </c>
      <c r="D201" s="37" t="s">
        <v>4835</v>
      </c>
      <c r="E201" s="37"/>
      <c r="F201" s="37" t="s">
        <v>4842</v>
      </c>
      <c r="G201" s="37"/>
      <c r="H201" s="54" t="s">
        <v>833</v>
      </c>
      <c r="I201" s="37"/>
    </row>
    <row r="202" customFormat="false" ht="15" hidden="false" customHeight="true" outlineLevel="0" collapsed="false">
      <c r="A202" s="37" t="s">
        <v>835</v>
      </c>
      <c r="B202" s="37" t="s">
        <v>396</v>
      </c>
      <c r="C202" s="37" t="s">
        <v>4834</v>
      </c>
      <c r="D202" s="37" t="s">
        <v>4835</v>
      </c>
      <c r="E202" s="37"/>
      <c r="F202" s="37" t="s">
        <v>4842</v>
      </c>
      <c r="G202" s="37"/>
      <c r="H202" s="54" t="s">
        <v>836</v>
      </c>
      <c r="I202" s="37"/>
    </row>
    <row r="203" customFormat="false" ht="15" hidden="false" customHeight="true" outlineLevel="0" collapsed="false">
      <c r="A203" s="37" t="s">
        <v>837</v>
      </c>
      <c r="B203" s="37" t="s">
        <v>396</v>
      </c>
      <c r="C203" s="37" t="s">
        <v>4834</v>
      </c>
      <c r="D203" s="37" t="s">
        <v>4835</v>
      </c>
      <c r="E203" s="37"/>
      <c r="F203" s="37" t="s">
        <v>4842</v>
      </c>
      <c r="G203" s="37"/>
      <c r="H203" s="54" t="s">
        <v>838</v>
      </c>
      <c r="I203" s="37"/>
    </row>
    <row r="204" customFormat="false" ht="15" hidden="false" customHeight="true" outlineLevel="0" collapsed="false">
      <c r="A204" s="37" t="s">
        <v>840</v>
      </c>
      <c r="B204" s="37" t="s">
        <v>396</v>
      </c>
      <c r="C204" s="37" t="s">
        <v>4834</v>
      </c>
      <c r="D204" s="37" t="s">
        <v>4835</v>
      </c>
      <c r="E204" s="37"/>
      <c r="F204" s="37" t="s">
        <v>4836</v>
      </c>
      <c r="G204" s="37"/>
      <c r="H204" s="54" t="s">
        <v>841</v>
      </c>
      <c r="I204" s="37"/>
    </row>
    <row r="205" customFormat="false" ht="15" hidden="false" customHeight="true" outlineLevel="0" collapsed="false">
      <c r="A205" s="37" t="s">
        <v>843</v>
      </c>
      <c r="B205" s="37" t="s">
        <v>396</v>
      </c>
      <c r="C205" s="37" t="s">
        <v>4834</v>
      </c>
      <c r="D205" s="37" t="s">
        <v>4835</v>
      </c>
      <c r="E205" s="37"/>
      <c r="F205" s="37" t="s">
        <v>4836</v>
      </c>
      <c r="G205" s="37"/>
      <c r="H205" s="37" t="s">
        <v>4903</v>
      </c>
      <c r="I205" s="37"/>
    </row>
    <row r="206" customFormat="false" ht="15" hidden="false" customHeight="true" outlineLevel="0" collapsed="false">
      <c r="A206" s="37" t="s">
        <v>846</v>
      </c>
      <c r="B206" s="37" t="s">
        <v>396</v>
      </c>
      <c r="C206" s="37" t="s">
        <v>4834</v>
      </c>
      <c r="D206" s="37" t="s">
        <v>4835</v>
      </c>
      <c r="E206" s="37"/>
      <c r="F206" s="37" t="s">
        <v>4842</v>
      </c>
      <c r="G206" s="37"/>
      <c r="H206" s="54" t="s">
        <v>847</v>
      </c>
      <c r="I206" s="37"/>
    </row>
    <row r="207" customFormat="false" ht="15" hidden="false" customHeight="true" outlineLevel="0" collapsed="false">
      <c r="A207" s="37" t="s">
        <v>851</v>
      </c>
      <c r="B207" s="37" t="s">
        <v>396</v>
      </c>
      <c r="C207" s="37" t="s">
        <v>4834</v>
      </c>
      <c r="D207" s="37" t="s">
        <v>4835</v>
      </c>
      <c r="E207" s="37"/>
      <c r="F207" s="37" t="s">
        <v>4836</v>
      </c>
      <c r="G207" s="37"/>
      <c r="H207" s="54" t="s">
        <v>852</v>
      </c>
      <c r="I207" s="37"/>
    </row>
    <row r="208" customFormat="false" ht="15" hidden="false" customHeight="true" outlineLevel="0" collapsed="false">
      <c r="A208" s="37" t="s">
        <v>866</v>
      </c>
      <c r="B208" s="37" t="s">
        <v>396</v>
      </c>
      <c r="C208" s="37" t="s">
        <v>4834</v>
      </c>
      <c r="D208" s="37" t="s">
        <v>4835</v>
      </c>
      <c r="E208" s="37"/>
      <c r="F208" s="37" t="s">
        <v>4836</v>
      </c>
      <c r="G208" s="37"/>
      <c r="H208" s="54" t="s">
        <v>867</v>
      </c>
      <c r="I208" s="37"/>
    </row>
    <row r="209" customFormat="false" ht="15" hidden="false" customHeight="true" outlineLevel="0" collapsed="false">
      <c r="A209" s="37" t="s">
        <v>869</v>
      </c>
      <c r="B209" s="37" t="s">
        <v>396</v>
      </c>
      <c r="C209" s="37" t="s">
        <v>4834</v>
      </c>
      <c r="D209" s="37" t="s">
        <v>4835</v>
      </c>
      <c r="E209" s="37"/>
      <c r="F209" s="37" t="s">
        <v>4836</v>
      </c>
      <c r="G209" s="37"/>
      <c r="H209" s="54" t="s">
        <v>870</v>
      </c>
      <c r="I209" s="37"/>
    </row>
    <row r="210" customFormat="false" ht="15" hidden="false" customHeight="true" outlineLevel="0" collapsed="false">
      <c r="A210" s="37" t="s">
        <v>871</v>
      </c>
      <c r="B210" s="37" t="s">
        <v>396</v>
      </c>
      <c r="C210" s="37" t="s">
        <v>4834</v>
      </c>
      <c r="D210" s="37" t="s">
        <v>4835</v>
      </c>
      <c r="E210" s="37"/>
      <c r="F210" s="37" t="s">
        <v>4836</v>
      </c>
      <c r="G210" s="37"/>
      <c r="H210" s="54" t="s">
        <v>872</v>
      </c>
      <c r="I210" s="37"/>
    </row>
    <row r="211" customFormat="false" ht="15" hidden="false" customHeight="true" outlineLevel="0" collapsed="false">
      <c r="A211" s="37" t="s">
        <v>874</v>
      </c>
      <c r="B211" s="37" t="s">
        <v>396</v>
      </c>
      <c r="C211" s="37" t="s">
        <v>4874</v>
      </c>
      <c r="D211" s="37" t="s">
        <v>4875</v>
      </c>
      <c r="E211" s="37"/>
      <c r="F211" s="37" t="s">
        <v>4884</v>
      </c>
      <c r="G211" s="37"/>
      <c r="H211" s="54" t="s">
        <v>875</v>
      </c>
      <c r="I211" s="37"/>
    </row>
    <row r="212" customFormat="false" ht="15" hidden="false" customHeight="true" outlineLevel="0" collapsed="false">
      <c r="A212" s="37" t="s">
        <v>879</v>
      </c>
      <c r="B212" s="37" t="s">
        <v>396</v>
      </c>
      <c r="C212" s="37" t="s">
        <v>4874</v>
      </c>
      <c r="D212" s="37" t="s">
        <v>4875</v>
      </c>
      <c r="E212" s="37"/>
      <c r="F212" s="37" t="s">
        <v>4886</v>
      </c>
      <c r="G212" s="37"/>
      <c r="H212" s="54" t="s">
        <v>880</v>
      </c>
      <c r="I212" s="37"/>
    </row>
    <row r="213" customFormat="false" ht="15" hidden="false" customHeight="true" outlineLevel="0" collapsed="false">
      <c r="A213" s="37" t="s">
        <v>882</v>
      </c>
      <c r="B213" s="37" t="s">
        <v>396</v>
      </c>
      <c r="C213" s="37" t="s">
        <v>4874</v>
      </c>
      <c r="D213" s="37" t="s">
        <v>4875</v>
      </c>
      <c r="E213" s="37"/>
      <c r="F213" s="37" t="s">
        <v>4885</v>
      </c>
      <c r="G213" s="37"/>
      <c r="H213" s="54" t="s">
        <v>883</v>
      </c>
      <c r="I213" s="37"/>
    </row>
    <row r="214" customFormat="false" ht="15" hidden="false" customHeight="true" outlineLevel="0" collapsed="false">
      <c r="A214" s="37" t="s">
        <v>888</v>
      </c>
      <c r="B214" s="37" t="s">
        <v>396</v>
      </c>
      <c r="C214" s="37" t="s">
        <v>4834</v>
      </c>
      <c r="D214" s="37" t="s">
        <v>4835</v>
      </c>
      <c r="E214" s="37"/>
      <c r="F214" s="37" t="s">
        <v>4842</v>
      </c>
      <c r="G214" s="37"/>
      <c r="H214" s="54" t="s">
        <v>889</v>
      </c>
      <c r="I214" s="37"/>
    </row>
    <row r="215" customFormat="false" ht="15" hidden="false" customHeight="true" outlineLevel="0" collapsed="false">
      <c r="A215" s="37" t="s">
        <v>891</v>
      </c>
      <c r="B215" s="37" t="s">
        <v>396</v>
      </c>
      <c r="C215" s="37" t="s">
        <v>4874</v>
      </c>
      <c r="D215" s="37" t="s">
        <v>4875</v>
      </c>
      <c r="E215" s="37"/>
      <c r="F215" s="37" t="s">
        <v>4883</v>
      </c>
      <c r="G215" s="37"/>
      <c r="H215" s="54" t="s">
        <v>892</v>
      </c>
      <c r="I215" s="37"/>
    </row>
    <row r="216" customFormat="false" ht="15" hidden="false" customHeight="true" outlineLevel="0" collapsed="false">
      <c r="A216" s="37" t="s">
        <v>895</v>
      </c>
      <c r="B216" s="37" t="s">
        <v>396</v>
      </c>
      <c r="C216" s="37" t="s">
        <v>4834</v>
      </c>
      <c r="D216" s="37" t="s">
        <v>4835</v>
      </c>
      <c r="E216" s="37"/>
      <c r="F216" s="37" t="s">
        <v>4842</v>
      </c>
      <c r="G216" s="37"/>
      <c r="H216" s="54" t="s">
        <v>896</v>
      </c>
      <c r="I216" s="37"/>
    </row>
    <row r="217" customFormat="false" ht="15" hidden="false" customHeight="true" outlineLevel="0" collapsed="false">
      <c r="A217" s="37" t="s">
        <v>907</v>
      </c>
      <c r="B217" s="37" t="s">
        <v>396</v>
      </c>
      <c r="C217" s="37" t="s">
        <v>4834</v>
      </c>
      <c r="D217" s="37" t="s">
        <v>4835</v>
      </c>
      <c r="E217" s="37"/>
      <c r="F217" s="37" t="s">
        <v>4836</v>
      </c>
      <c r="G217" s="37"/>
      <c r="H217" s="54" t="s">
        <v>908</v>
      </c>
      <c r="I217" s="37"/>
    </row>
    <row r="218" customFormat="false" ht="15" hidden="false" customHeight="true" outlineLevel="0" collapsed="false">
      <c r="A218" s="37" t="s">
        <v>909</v>
      </c>
      <c r="B218" s="37" t="s">
        <v>396</v>
      </c>
      <c r="C218" s="37" t="s">
        <v>4866</v>
      </c>
      <c r="D218" s="37" t="s">
        <v>4867</v>
      </c>
      <c r="E218" s="37"/>
      <c r="F218" s="37" t="s">
        <v>4884</v>
      </c>
      <c r="G218" s="37"/>
      <c r="H218" s="54" t="s">
        <v>910</v>
      </c>
      <c r="I218" s="37"/>
    </row>
    <row r="219" customFormat="false" ht="15" hidden="false" customHeight="true" outlineLevel="0" collapsed="false">
      <c r="A219" s="37" t="s">
        <v>909</v>
      </c>
      <c r="B219" s="37" t="s">
        <v>396</v>
      </c>
      <c r="C219" s="37" t="s">
        <v>4834</v>
      </c>
      <c r="D219" s="37" t="s">
        <v>4835</v>
      </c>
      <c r="E219" s="37"/>
      <c r="F219" s="37" t="s">
        <v>4842</v>
      </c>
      <c r="G219" s="37"/>
      <c r="H219" s="54" t="s">
        <v>910</v>
      </c>
      <c r="I219" s="37"/>
    </row>
    <row r="220" customFormat="false" ht="15" hidden="false" customHeight="true" outlineLevel="0" collapsed="false">
      <c r="A220" s="37" t="s">
        <v>912</v>
      </c>
      <c r="B220" s="37" t="s">
        <v>396</v>
      </c>
      <c r="C220" s="37" t="s">
        <v>4834</v>
      </c>
      <c r="D220" s="37" t="s">
        <v>4835</v>
      </c>
      <c r="E220" s="37"/>
      <c r="F220" s="37" t="s">
        <v>4836</v>
      </c>
      <c r="G220" s="37"/>
      <c r="H220" s="54" t="s">
        <v>913</v>
      </c>
      <c r="I220" s="37"/>
    </row>
    <row r="221" customFormat="false" ht="15" hidden="false" customHeight="true" outlineLevel="0" collapsed="false">
      <c r="A221" s="37" t="s">
        <v>917</v>
      </c>
      <c r="B221" s="37" t="s">
        <v>396</v>
      </c>
      <c r="C221" s="37" t="s">
        <v>4834</v>
      </c>
      <c r="D221" s="37" t="s">
        <v>4835</v>
      </c>
      <c r="E221" s="37"/>
      <c r="F221" s="37" t="s">
        <v>4836</v>
      </c>
      <c r="G221" s="37"/>
      <c r="H221" s="54" t="s">
        <v>918</v>
      </c>
      <c r="I221" s="37"/>
    </row>
    <row r="222" customFormat="false" ht="15" hidden="false" customHeight="true" outlineLevel="0" collapsed="false">
      <c r="A222" s="37" t="s">
        <v>1469</v>
      </c>
      <c r="B222" s="37" t="s">
        <v>403</v>
      </c>
      <c r="C222" s="37" t="s">
        <v>4834</v>
      </c>
      <c r="D222" s="37" t="s">
        <v>4835</v>
      </c>
      <c r="E222" s="37" t="s">
        <v>4904</v>
      </c>
      <c r="F222" s="37" t="s">
        <v>4836</v>
      </c>
      <c r="G222" s="37" t="s">
        <v>4905</v>
      </c>
      <c r="H222" s="54" t="s">
        <v>1470</v>
      </c>
      <c r="I222" s="37"/>
    </row>
    <row r="223" customFormat="false" ht="15" hidden="false" customHeight="true" outlineLevel="0" collapsed="false">
      <c r="A223" s="37" t="s">
        <v>1469</v>
      </c>
      <c r="B223" s="37" t="s">
        <v>403</v>
      </c>
      <c r="C223" s="37" t="s">
        <v>4834</v>
      </c>
      <c r="D223" s="37" t="s">
        <v>4835</v>
      </c>
      <c r="E223" s="37" t="s">
        <v>4906</v>
      </c>
      <c r="F223" s="37" t="s">
        <v>4836</v>
      </c>
      <c r="G223" s="37" t="s">
        <v>4905</v>
      </c>
      <c r="H223" s="54" t="s">
        <v>1470</v>
      </c>
      <c r="I223" s="37"/>
    </row>
    <row r="224" customFormat="false" ht="15" hidden="false" customHeight="true" outlineLevel="0" collapsed="false">
      <c r="A224" s="37" t="s">
        <v>1537</v>
      </c>
      <c r="B224" s="37" t="s">
        <v>403</v>
      </c>
      <c r="C224" s="37" t="s">
        <v>4834</v>
      </c>
      <c r="D224" s="37" t="s">
        <v>4835</v>
      </c>
      <c r="E224" s="37"/>
      <c r="F224" s="37" t="s">
        <v>4836</v>
      </c>
      <c r="G224" s="37" t="s">
        <v>4907</v>
      </c>
      <c r="H224" s="54" t="s">
        <v>1538</v>
      </c>
      <c r="I224" s="37"/>
    </row>
    <row r="225" customFormat="false" ht="15" hidden="false" customHeight="true" outlineLevel="0" collapsed="false">
      <c r="A225" s="37" t="s">
        <v>1543</v>
      </c>
      <c r="B225" s="37" t="s">
        <v>403</v>
      </c>
      <c r="C225" s="37" t="s">
        <v>4834</v>
      </c>
      <c r="D225" s="37" t="s">
        <v>4835</v>
      </c>
      <c r="E225" s="37"/>
      <c r="F225" s="37" t="s">
        <v>4836</v>
      </c>
      <c r="G225" s="37" t="s">
        <v>4908</v>
      </c>
      <c r="H225" s="54" t="s">
        <v>1544</v>
      </c>
      <c r="I225" s="37"/>
    </row>
    <row r="226" customFormat="false" ht="15" hidden="false" customHeight="true" outlineLevel="0" collapsed="false">
      <c r="A226" s="37" t="s">
        <v>1548</v>
      </c>
      <c r="B226" s="37" t="s">
        <v>403</v>
      </c>
      <c r="C226" s="37" t="s">
        <v>4834</v>
      </c>
      <c r="D226" s="37" t="s">
        <v>4835</v>
      </c>
      <c r="E226" s="37"/>
      <c r="F226" s="37" t="s">
        <v>4836</v>
      </c>
      <c r="G226" s="37" t="s">
        <v>4909</v>
      </c>
      <c r="H226" s="54" t="s">
        <v>1549</v>
      </c>
      <c r="I226" s="37"/>
    </row>
    <row r="227" customFormat="false" ht="15" hidden="false" customHeight="true" outlineLevel="0" collapsed="false">
      <c r="A227" s="37" t="s">
        <v>1551</v>
      </c>
      <c r="B227" s="37" t="s">
        <v>403</v>
      </c>
      <c r="C227" s="37" t="s">
        <v>4874</v>
      </c>
      <c r="D227" s="37" t="s">
        <v>4875</v>
      </c>
      <c r="E227" s="37"/>
      <c r="F227" s="37" t="s">
        <v>4883</v>
      </c>
      <c r="G227" s="37" t="s">
        <v>4910</v>
      </c>
      <c r="H227" s="54" t="s">
        <v>1552</v>
      </c>
      <c r="I227" s="37" t="s">
        <v>4911</v>
      </c>
    </row>
    <row r="228" customFormat="false" ht="15" hidden="false" customHeight="true" outlineLevel="0" collapsed="false">
      <c r="A228" s="37" t="s">
        <v>1551</v>
      </c>
      <c r="B228" s="37" t="s">
        <v>403</v>
      </c>
      <c r="C228" s="37" t="s">
        <v>4834</v>
      </c>
      <c r="D228" s="37" t="s">
        <v>4835</v>
      </c>
      <c r="E228" s="37"/>
      <c r="F228" s="37" t="s">
        <v>4836</v>
      </c>
      <c r="G228" s="37" t="s">
        <v>4912</v>
      </c>
      <c r="H228" s="54" t="s">
        <v>1552</v>
      </c>
      <c r="I228" s="37"/>
    </row>
    <row r="229" customFormat="false" ht="15" hidden="false" customHeight="true" outlineLevel="0" collapsed="false">
      <c r="A229" s="37" t="s">
        <v>1554</v>
      </c>
      <c r="B229" s="37" t="s">
        <v>403</v>
      </c>
      <c r="C229" s="37" t="s">
        <v>4834</v>
      </c>
      <c r="D229" s="37" t="s">
        <v>4835</v>
      </c>
      <c r="E229" s="37"/>
      <c r="F229" s="37" t="s">
        <v>4842</v>
      </c>
      <c r="G229" s="37" t="s">
        <v>4913</v>
      </c>
      <c r="H229" s="54" t="s">
        <v>1555</v>
      </c>
      <c r="I229" s="37"/>
    </row>
    <row r="230" customFormat="false" ht="15" hidden="false" customHeight="true" outlineLevel="0" collapsed="false">
      <c r="A230" s="37" t="s">
        <v>1560</v>
      </c>
      <c r="B230" s="37" t="s">
        <v>403</v>
      </c>
      <c r="C230" s="37" t="s">
        <v>4874</v>
      </c>
      <c r="D230" s="37" t="s">
        <v>4889</v>
      </c>
      <c r="E230" s="37"/>
      <c r="F230" s="37" t="s">
        <v>4914</v>
      </c>
      <c r="G230" s="37" t="s">
        <v>4915</v>
      </c>
      <c r="H230" s="54" t="s">
        <v>1561</v>
      </c>
      <c r="I230" s="37" t="s">
        <v>4916</v>
      </c>
    </row>
    <row r="231" customFormat="false" ht="15" hidden="false" customHeight="true" outlineLevel="0" collapsed="false">
      <c r="A231" s="37" t="s">
        <v>1563</v>
      </c>
      <c r="B231" s="37" t="s">
        <v>403</v>
      </c>
      <c r="C231" s="37" t="s">
        <v>4834</v>
      </c>
      <c r="D231" s="37" t="s">
        <v>4835</v>
      </c>
      <c r="E231" s="37"/>
      <c r="F231" s="37" t="s">
        <v>4842</v>
      </c>
      <c r="G231" s="37" t="s">
        <v>4917</v>
      </c>
      <c r="H231" s="54" t="s">
        <v>1564</v>
      </c>
      <c r="I231" s="37"/>
    </row>
    <row r="232" customFormat="false" ht="15" hidden="false" customHeight="true" outlineLevel="0" collapsed="false">
      <c r="A232" s="37" t="s">
        <v>1572</v>
      </c>
      <c r="B232" s="37" t="s">
        <v>403</v>
      </c>
      <c r="C232" s="37" t="s">
        <v>4874</v>
      </c>
      <c r="D232" s="37" t="s">
        <v>4875</v>
      </c>
      <c r="E232" s="37"/>
      <c r="F232" s="37" t="s">
        <v>4892</v>
      </c>
      <c r="G232" s="37" t="s">
        <v>4918</v>
      </c>
      <c r="H232" s="54" t="s">
        <v>1573</v>
      </c>
      <c r="I232" s="37" t="s">
        <v>4911</v>
      </c>
    </row>
    <row r="233" customFormat="false" ht="15" hidden="false" customHeight="true" outlineLevel="0" collapsed="false">
      <c r="A233" s="37" t="s">
        <v>1572</v>
      </c>
      <c r="B233" s="37" t="s">
        <v>403</v>
      </c>
      <c r="C233" s="37" t="s">
        <v>4834</v>
      </c>
      <c r="D233" s="37" t="s">
        <v>4835</v>
      </c>
      <c r="E233" s="37"/>
      <c r="F233" s="37" t="s">
        <v>4836</v>
      </c>
      <c r="G233" s="37" t="s">
        <v>4909</v>
      </c>
      <c r="H233" s="54" t="s">
        <v>1573</v>
      </c>
      <c r="I233" s="37"/>
    </row>
    <row r="234" customFormat="false" ht="15" hidden="false" customHeight="true" outlineLevel="0" collapsed="false">
      <c r="A234" s="37" t="s">
        <v>1579</v>
      </c>
      <c r="B234" s="37" t="s">
        <v>403</v>
      </c>
      <c r="C234" s="37" t="s">
        <v>4834</v>
      </c>
      <c r="D234" s="37" t="s">
        <v>4835</v>
      </c>
      <c r="E234" s="37"/>
      <c r="F234" s="37" t="s">
        <v>4836</v>
      </c>
      <c r="G234" s="37" t="s">
        <v>4913</v>
      </c>
      <c r="H234" s="54" t="s">
        <v>1580</v>
      </c>
      <c r="I234" s="37"/>
    </row>
    <row r="235" customFormat="false" ht="15" hidden="false" customHeight="true" outlineLevel="0" collapsed="false">
      <c r="A235" s="37" t="s">
        <v>1582</v>
      </c>
      <c r="B235" s="37" t="s">
        <v>403</v>
      </c>
      <c r="C235" s="37" t="s">
        <v>4834</v>
      </c>
      <c r="D235" s="37" t="s">
        <v>4835</v>
      </c>
      <c r="E235" s="37"/>
      <c r="F235" s="37" t="s">
        <v>4842</v>
      </c>
      <c r="G235" s="37" t="s">
        <v>4919</v>
      </c>
      <c r="H235" s="54" t="s">
        <v>1583</v>
      </c>
      <c r="I235" s="37"/>
    </row>
    <row r="236" customFormat="false" ht="15" hidden="false" customHeight="true" outlineLevel="0" collapsed="false">
      <c r="A236" s="37" t="s">
        <v>1585</v>
      </c>
      <c r="B236" s="37" t="s">
        <v>403</v>
      </c>
      <c r="C236" s="37" t="s">
        <v>4834</v>
      </c>
      <c r="D236" s="37" t="s">
        <v>4835</v>
      </c>
      <c r="E236" s="37"/>
      <c r="F236" s="37" t="s">
        <v>4836</v>
      </c>
      <c r="G236" s="37" t="s">
        <v>4920</v>
      </c>
      <c r="H236" s="54" t="s">
        <v>1586</v>
      </c>
      <c r="I236" s="37"/>
    </row>
    <row r="237" customFormat="false" ht="15" hidden="false" customHeight="true" outlineLevel="0" collapsed="false">
      <c r="A237" s="37" t="s">
        <v>1597</v>
      </c>
      <c r="B237" s="37" t="s">
        <v>403</v>
      </c>
      <c r="C237" s="37" t="s">
        <v>4866</v>
      </c>
      <c r="D237" s="37" t="s">
        <v>4867</v>
      </c>
      <c r="E237" s="37"/>
      <c r="F237" s="37" t="s">
        <v>4884</v>
      </c>
      <c r="G237" s="37" t="s">
        <v>4921</v>
      </c>
      <c r="H237" s="54" t="s">
        <v>1598</v>
      </c>
      <c r="I237" s="37"/>
    </row>
    <row r="238" customFormat="false" ht="15" hidden="false" customHeight="true" outlineLevel="0" collapsed="false">
      <c r="A238" s="37" t="s">
        <v>1609</v>
      </c>
      <c r="B238" s="37" t="s">
        <v>403</v>
      </c>
      <c r="C238" s="37" t="s">
        <v>4834</v>
      </c>
      <c r="D238" s="37" t="s">
        <v>4835</v>
      </c>
      <c r="E238" s="37"/>
      <c r="F238" s="37" t="s">
        <v>4842</v>
      </c>
      <c r="G238" s="37" t="s">
        <v>4920</v>
      </c>
      <c r="H238" s="54" t="s">
        <v>1610</v>
      </c>
      <c r="I238" s="37"/>
    </row>
    <row r="239" customFormat="false" ht="15" hidden="false" customHeight="true" outlineLevel="0" collapsed="false">
      <c r="A239" s="37" t="s">
        <v>1650</v>
      </c>
      <c r="B239" s="37" t="s">
        <v>403</v>
      </c>
      <c r="C239" s="37" t="s">
        <v>4834</v>
      </c>
      <c r="D239" s="37" t="s">
        <v>4835</v>
      </c>
      <c r="E239" s="37"/>
      <c r="F239" s="37" t="s">
        <v>4836</v>
      </c>
      <c r="G239" s="37" t="s">
        <v>4919</v>
      </c>
      <c r="H239" s="54" t="s">
        <v>1651</v>
      </c>
      <c r="I239" s="37"/>
    </row>
    <row r="240" customFormat="false" ht="15" hidden="false" customHeight="true" outlineLevel="0" collapsed="false">
      <c r="A240" s="37" t="s">
        <v>1662</v>
      </c>
      <c r="B240" s="37" t="s">
        <v>403</v>
      </c>
      <c r="C240" s="37" t="s">
        <v>4866</v>
      </c>
      <c r="D240" s="37" t="s">
        <v>4867</v>
      </c>
      <c r="E240" s="37"/>
      <c r="F240" s="37" t="s">
        <v>4884</v>
      </c>
      <c r="G240" s="37" t="s">
        <v>4921</v>
      </c>
      <c r="H240" s="54" t="s">
        <v>4922</v>
      </c>
      <c r="I240" s="37"/>
    </row>
    <row r="241" customFormat="false" ht="15" hidden="false" customHeight="true" outlineLevel="0" collapsed="false">
      <c r="A241" s="37" t="s">
        <v>1671</v>
      </c>
      <c r="B241" s="37" t="s">
        <v>403</v>
      </c>
      <c r="C241" s="37" t="s">
        <v>4834</v>
      </c>
      <c r="D241" s="37" t="s">
        <v>4835</v>
      </c>
      <c r="E241" s="37"/>
      <c r="F241" s="37" t="s">
        <v>4836</v>
      </c>
      <c r="G241" s="37" t="s">
        <v>4923</v>
      </c>
      <c r="H241" s="54" t="s">
        <v>4924</v>
      </c>
      <c r="I241" s="37"/>
    </row>
    <row r="242" customFormat="false" ht="15" hidden="false" customHeight="true" outlineLevel="0" collapsed="false">
      <c r="A242" s="37" t="s">
        <v>1692</v>
      </c>
      <c r="B242" s="37" t="s">
        <v>403</v>
      </c>
      <c r="C242" s="37" t="s">
        <v>4834</v>
      </c>
      <c r="D242" s="37" t="s">
        <v>4835</v>
      </c>
      <c r="E242" s="37"/>
      <c r="F242" s="37" t="s">
        <v>4836</v>
      </c>
      <c r="G242" s="37" t="s">
        <v>4909</v>
      </c>
      <c r="H242" s="54" t="s">
        <v>1693</v>
      </c>
      <c r="I242" s="37"/>
    </row>
    <row r="243" customFormat="false" ht="15" hidden="false" customHeight="true" outlineLevel="0" collapsed="false">
      <c r="A243" s="37" t="s">
        <v>1713</v>
      </c>
      <c r="B243" s="37" t="s">
        <v>403</v>
      </c>
      <c r="C243" s="37" t="s">
        <v>4834</v>
      </c>
      <c r="D243" s="37" t="s">
        <v>4835</v>
      </c>
      <c r="E243" s="37"/>
      <c r="F243" s="37" t="s">
        <v>4836</v>
      </c>
      <c r="G243" s="37" t="s">
        <v>4925</v>
      </c>
      <c r="H243" s="54" t="s">
        <v>4926</v>
      </c>
      <c r="I243" s="37"/>
    </row>
    <row r="244" customFormat="false" ht="15" hidden="false" customHeight="true" outlineLevel="0" collapsed="false">
      <c r="A244" s="37" t="s">
        <v>623</v>
      </c>
      <c r="B244" s="37" t="s">
        <v>412</v>
      </c>
      <c r="C244" s="37" t="s">
        <v>4834</v>
      </c>
      <c r="D244" s="37" t="s">
        <v>4835</v>
      </c>
      <c r="E244" s="37"/>
      <c r="F244" s="37" t="s">
        <v>4836</v>
      </c>
      <c r="G244" s="37"/>
      <c r="H244" s="54" t="s">
        <v>624</v>
      </c>
      <c r="I244" s="37"/>
    </row>
    <row r="245" customFormat="false" ht="15" hidden="false" customHeight="true" outlineLevel="0" collapsed="false">
      <c r="A245" s="37" t="s">
        <v>628</v>
      </c>
      <c r="B245" s="37" t="s">
        <v>412</v>
      </c>
      <c r="C245" s="37" t="s">
        <v>4834</v>
      </c>
      <c r="D245" s="37" t="s">
        <v>4835</v>
      </c>
      <c r="E245" s="54" t="s">
        <v>4927</v>
      </c>
      <c r="F245" s="37" t="s">
        <v>4836</v>
      </c>
      <c r="G245" s="37"/>
      <c r="H245" s="54" t="s">
        <v>4928</v>
      </c>
      <c r="I245" s="37"/>
    </row>
    <row r="246" customFormat="false" ht="15" hidden="false" customHeight="true" outlineLevel="0" collapsed="false">
      <c r="A246" s="37" t="s">
        <v>634</v>
      </c>
      <c r="B246" s="37" t="s">
        <v>412</v>
      </c>
      <c r="C246" s="37" t="s">
        <v>4834</v>
      </c>
      <c r="D246" s="37" t="s">
        <v>4835</v>
      </c>
      <c r="E246" s="37"/>
      <c r="F246" s="37" t="s">
        <v>4842</v>
      </c>
      <c r="G246" s="37"/>
      <c r="H246" s="54" t="s">
        <v>635</v>
      </c>
      <c r="I246" s="37"/>
    </row>
    <row r="247" customFormat="false" ht="15" hidden="false" customHeight="true" outlineLevel="0" collapsed="false">
      <c r="A247" s="37" t="s">
        <v>637</v>
      </c>
      <c r="B247" s="37" t="s">
        <v>412</v>
      </c>
      <c r="C247" s="37" t="s">
        <v>4834</v>
      </c>
      <c r="D247" s="37" t="s">
        <v>4835</v>
      </c>
      <c r="E247" s="37"/>
      <c r="F247" s="37" t="s">
        <v>4836</v>
      </c>
      <c r="G247" s="37"/>
      <c r="H247" s="54" t="s">
        <v>638</v>
      </c>
      <c r="I247" s="37"/>
    </row>
    <row r="248" customFormat="false" ht="15" hidden="false" customHeight="true" outlineLevel="0" collapsed="false">
      <c r="A248" s="37" t="s">
        <v>640</v>
      </c>
      <c r="B248" s="37" t="s">
        <v>412</v>
      </c>
      <c r="C248" s="37" t="s">
        <v>4834</v>
      </c>
      <c r="D248" s="37" t="s">
        <v>4835</v>
      </c>
      <c r="E248" s="54" t="s">
        <v>4927</v>
      </c>
      <c r="F248" s="37" t="s">
        <v>4836</v>
      </c>
      <c r="G248" s="37"/>
      <c r="H248" s="54" t="s">
        <v>4929</v>
      </c>
      <c r="I248" s="37"/>
    </row>
    <row r="249" customFormat="false" ht="15" hidden="false" customHeight="true" outlineLevel="0" collapsed="false">
      <c r="A249" s="37" t="s">
        <v>640</v>
      </c>
      <c r="B249" s="37" t="s">
        <v>412</v>
      </c>
      <c r="C249" s="37" t="s">
        <v>4834</v>
      </c>
      <c r="D249" s="37" t="s">
        <v>4835</v>
      </c>
      <c r="E249" s="54" t="s">
        <v>959</v>
      </c>
      <c r="F249" s="37" t="s">
        <v>4836</v>
      </c>
      <c r="G249" s="37"/>
      <c r="H249" s="54" t="s">
        <v>4930</v>
      </c>
      <c r="I249" s="37"/>
    </row>
    <row r="250" customFormat="false" ht="15" hidden="false" customHeight="true" outlineLevel="0" collapsed="false">
      <c r="A250" s="37" t="s">
        <v>643</v>
      </c>
      <c r="B250" s="37" t="s">
        <v>412</v>
      </c>
      <c r="C250" s="37" t="s">
        <v>4834</v>
      </c>
      <c r="D250" s="37" t="s">
        <v>4835</v>
      </c>
      <c r="E250" s="37"/>
      <c r="F250" s="37" t="s">
        <v>4842</v>
      </c>
      <c r="G250" s="37"/>
      <c r="H250" s="54" t="s">
        <v>644</v>
      </c>
      <c r="I250" s="37"/>
    </row>
    <row r="251" customFormat="false" ht="15" hidden="false" customHeight="true" outlineLevel="0" collapsed="false">
      <c r="A251" s="37" t="s">
        <v>646</v>
      </c>
      <c r="B251" s="37" t="s">
        <v>412</v>
      </c>
      <c r="C251" s="37" t="s">
        <v>4834</v>
      </c>
      <c r="D251" s="37" t="s">
        <v>4835</v>
      </c>
      <c r="E251" s="37"/>
      <c r="F251" s="37" t="s">
        <v>4836</v>
      </c>
      <c r="G251" s="37"/>
      <c r="H251" s="54" t="s">
        <v>647</v>
      </c>
      <c r="I251" s="37"/>
    </row>
    <row r="252" customFormat="false" ht="15" hidden="false" customHeight="true" outlineLevel="0" collapsed="false">
      <c r="A252" s="37" t="s">
        <v>650</v>
      </c>
      <c r="B252" s="37" t="s">
        <v>412</v>
      </c>
      <c r="C252" s="37" t="s">
        <v>4834</v>
      </c>
      <c r="D252" s="37" t="s">
        <v>4835</v>
      </c>
      <c r="E252" s="37"/>
      <c r="F252" s="37" t="s">
        <v>4836</v>
      </c>
      <c r="G252" s="37"/>
      <c r="H252" s="54" t="s">
        <v>651</v>
      </c>
      <c r="I252" s="37"/>
    </row>
    <row r="253" customFormat="false" ht="15" hidden="false" customHeight="true" outlineLevel="0" collapsed="false">
      <c r="A253" s="37" t="s">
        <v>650</v>
      </c>
      <c r="B253" s="37" t="s">
        <v>412</v>
      </c>
      <c r="C253" s="37" t="s">
        <v>4931</v>
      </c>
      <c r="D253" s="37" t="s">
        <v>4932</v>
      </c>
      <c r="E253" s="37"/>
      <c r="F253" s="37" t="s">
        <v>4933</v>
      </c>
      <c r="G253" s="37"/>
      <c r="H253" s="54" t="s">
        <v>651</v>
      </c>
      <c r="I253" s="37"/>
    </row>
    <row r="254" customFormat="false" ht="15" hidden="false" customHeight="true" outlineLevel="0" collapsed="false">
      <c r="A254" s="37" t="s">
        <v>654</v>
      </c>
      <c r="B254" s="37" t="s">
        <v>412</v>
      </c>
      <c r="C254" s="37" t="s">
        <v>4874</v>
      </c>
      <c r="D254" s="37" t="s">
        <v>4875</v>
      </c>
      <c r="E254" s="37"/>
      <c r="F254" s="37" t="s">
        <v>4884</v>
      </c>
      <c r="G254" s="37"/>
      <c r="H254" s="37" t="s">
        <v>655</v>
      </c>
      <c r="I254" s="37"/>
    </row>
    <row r="255" customFormat="false" ht="15" hidden="false" customHeight="true" outlineLevel="0" collapsed="false">
      <c r="A255" s="37" t="s">
        <v>654</v>
      </c>
      <c r="B255" s="37" t="s">
        <v>412</v>
      </c>
      <c r="C255" s="37" t="s">
        <v>4834</v>
      </c>
      <c r="D255" s="37" t="s">
        <v>4835</v>
      </c>
      <c r="E255" s="37"/>
      <c r="F255" s="37" t="s">
        <v>4836</v>
      </c>
      <c r="G255" s="37"/>
      <c r="H255" s="37" t="s">
        <v>655</v>
      </c>
      <c r="I255" s="37"/>
    </row>
    <row r="256" customFormat="false" ht="15" hidden="false" customHeight="true" outlineLevel="0" collapsed="false">
      <c r="A256" s="37" t="s">
        <v>658</v>
      </c>
      <c r="B256" s="37" t="s">
        <v>412</v>
      </c>
      <c r="C256" s="37" t="s">
        <v>4874</v>
      </c>
      <c r="D256" s="37" t="s">
        <v>4875</v>
      </c>
      <c r="E256" s="37"/>
      <c r="F256" s="37" t="s">
        <v>4885</v>
      </c>
      <c r="G256" s="37"/>
      <c r="H256" s="37" t="s">
        <v>659</v>
      </c>
      <c r="I256" s="37"/>
    </row>
    <row r="257" customFormat="false" ht="15" hidden="false" customHeight="true" outlineLevel="0" collapsed="false">
      <c r="A257" s="37" t="s">
        <v>658</v>
      </c>
      <c r="B257" s="37" t="s">
        <v>412</v>
      </c>
      <c r="C257" s="37" t="s">
        <v>4834</v>
      </c>
      <c r="D257" s="37" t="s">
        <v>4835</v>
      </c>
      <c r="E257" s="37"/>
      <c r="F257" s="37" t="s">
        <v>4842</v>
      </c>
      <c r="G257" s="37"/>
      <c r="H257" s="37" t="s">
        <v>659</v>
      </c>
      <c r="I257" s="37"/>
    </row>
    <row r="258" customFormat="false" ht="15" hidden="false" customHeight="true" outlineLevel="0" collapsed="false">
      <c r="A258" s="37" t="s">
        <v>661</v>
      </c>
      <c r="B258" s="37" t="s">
        <v>412</v>
      </c>
      <c r="C258" s="37" t="s">
        <v>4874</v>
      </c>
      <c r="D258" s="37" t="s">
        <v>4875</v>
      </c>
      <c r="E258" s="37"/>
      <c r="F258" s="37" t="s">
        <v>4884</v>
      </c>
      <c r="G258" s="37"/>
      <c r="H258" s="37" t="s">
        <v>662</v>
      </c>
      <c r="I258" s="37"/>
    </row>
    <row r="259" customFormat="false" ht="15" hidden="false" customHeight="true" outlineLevel="0" collapsed="false">
      <c r="A259" s="37" t="s">
        <v>661</v>
      </c>
      <c r="B259" s="37" t="s">
        <v>412</v>
      </c>
      <c r="C259" s="37" t="s">
        <v>4834</v>
      </c>
      <c r="D259" s="37" t="s">
        <v>4835</v>
      </c>
      <c r="E259" s="37"/>
      <c r="F259" s="37" t="s">
        <v>4836</v>
      </c>
      <c r="G259" s="37"/>
      <c r="H259" s="37" t="s">
        <v>662</v>
      </c>
      <c r="I259" s="37"/>
    </row>
    <row r="260" customFormat="false" ht="15" hidden="false" customHeight="true" outlineLevel="0" collapsed="false">
      <c r="A260" s="37" t="s">
        <v>664</v>
      </c>
      <c r="B260" s="37" t="s">
        <v>412</v>
      </c>
      <c r="C260" s="37" t="s">
        <v>4834</v>
      </c>
      <c r="D260" s="37" t="s">
        <v>4835</v>
      </c>
      <c r="E260" s="37"/>
      <c r="F260" s="37" t="s">
        <v>4836</v>
      </c>
      <c r="G260" s="37"/>
      <c r="H260" s="37" t="s">
        <v>665</v>
      </c>
      <c r="I260" s="37"/>
    </row>
    <row r="261" customFormat="false" ht="15" hidden="false" customHeight="true" outlineLevel="0" collapsed="false">
      <c r="A261" s="37" t="s">
        <v>668</v>
      </c>
      <c r="B261" s="37" t="s">
        <v>412</v>
      </c>
      <c r="C261" s="37" t="s">
        <v>4834</v>
      </c>
      <c r="D261" s="37" t="s">
        <v>4835</v>
      </c>
      <c r="E261" s="37"/>
      <c r="F261" s="37" t="s">
        <v>4836</v>
      </c>
      <c r="G261" s="37"/>
      <c r="H261" s="54" t="s">
        <v>1083</v>
      </c>
      <c r="I261" s="37"/>
    </row>
    <row r="262" customFormat="false" ht="15" hidden="false" customHeight="true" outlineLevel="0" collapsed="false">
      <c r="A262" s="37" t="s">
        <v>674</v>
      </c>
      <c r="B262" s="37" t="s">
        <v>412</v>
      </c>
      <c r="C262" s="37" t="s">
        <v>4834</v>
      </c>
      <c r="D262" s="37" t="s">
        <v>4835</v>
      </c>
      <c r="E262" s="37"/>
      <c r="F262" s="37" t="s">
        <v>4836</v>
      </c>
      <c r="G262" s="37"/>
      <c r="H262" s="37" t="s">
        <v>675</v>
      </c>
      <c r="I262" s="37"/>
    </row>
    <row r="263" customFormat="false" ht="15" hidden="false" customHeight="true" outlineLevel="0" collapsed="false">
      <c r="A263" s="37" t="s">
        <v>682</v>
      </c>
      <c r="B263" s="37" t="s">
        <v>412</v>
      </c>
      <c r="C263" s="37" t="s">
        <v>4834</v>
      </c>
      <c r="D263" s="37" t="s">
        <v>4835</v>
      </c>
      <c r="E263" s="54" t="s">
        <v>4900</v>
      </c>
      <c r="F263" s="37" t="s">
        <v>4842</v>
      </c>
      <c r="G263" s="37"/>
      <c r="H263" s="54" t="s">
        <v>4901</v>
      </c>
      <c r="I263" s="37"/>
    </row>
    <row r="264" customFormat="false" ht="15" hidden="false" customHeight="true" outlineLevel="0" collapsed="false">
      <c r="A264" s="37" t="s">
        <v>682</v>
      </c>
      <c r="B264" s="37" t="s">
        <v>412</v>
      </c>
      <c r="C264" s="37" t="s">
        <v>4834</v>
      </c>
      <c r="D264" s="37" t="s">
        <v>4835</v>
      </c>
      <c r="E264" s="54" t="s">
        <v>4934</v>
      </c>
      <c r="F264" s="37" t="s">
        <v>4836</v>
      </c>
      <c r="G264" s="37"/>
      <c r="H264" s="54" t="s">
        <v>683</v>
      </c>
      <c r="I264" s="37"/>
    </row>
    <row r="265" customFormat="false" ht="15" hidden="false" customHeight="true" outlineLevel="0" collapsed="false">
      <c r="A265" s="37" t="s">
        <v>682</v>
      </c>
      <c r="B265" s="37" t="s">
        <v>412</v>
      </c>
      <c r="C265" s="37" t="s">
        <v>4834</v>
      </c>
      <c r="D265" s="37" t="s">
        <v>4835</v>
      </c>
      <c r="E265" s="54" t="s">
        <v>4935</v>
      </c>
      <c r="F265" s="37" t="s">
        <v>4836</v>
      </c>
      <c r="G265" s="37"/>
      <c r="H265" s="54" t="s">
        <v>4898</v>
      </c>
      <c r="I265" s="37"/>
    </row>
    <row r="266" customFormat="false" ht="15" hidden="false" customHeight="true" outlineLevel="0" collapsed="false">
      <c r="A266" s="37" t="s">
        <v>685</v>
      </c>
      <c r="B266" s="37" t="s">
        <v>412</v>
      </c>
      <c r="C266" s="37" t="s">
        <v>4834</v>
      </c>
      <c r="D266" s="37" t="s">
        <v>4835</v>
      </c>
      <c r="E266" s="37"/>
      <c r="F266" s="37" t="s">
        <v>4836</v>
      </c>
      <c r="G266" s="37"/>
      <c r="H266" s="54" t="s">
        <v>686</v>
      </c>
      <c r="I266" s="37"/>
    </row>
    <row r="267" customFormat="false" ht="15" hidden="false" customHeight="true" outlineLevel="0" collapsed="false">
      <c r="A267" s="37" t="s">
        <v>689</v>
      </c>
      <c r="B267" s="37" t="s">
        <v>412</v>
      </c>
      <c r="C267" s="37" t="s">
        <v>4834</v>
      </c>
      <c r="D267" s="37" t="s">
        <v>4835</v>
      </c>
      <c r="E267" s="37"/>
      <c r="F267" s="37" t="s">
        <v>4836</v>
      </c>
      <c r="G267" s="37"/>
      <c r="H267" s="54" t="s">
        <v>690</v>
      </c>
      <c r="I267" s="37"/>
    </row>
    <row r="268" customFormat="false" ht="15" hidden="false" customHeight="true" outlineLevel="0" collapsed="false">
      <c r="A268" s="37" t="s">
        <v>692</v>
      </c>
      <c r="B268" s="37" t="s">
        <v>412</v>
      </c>
      <c r="C268" s="37" t="s">
        <v>4834</v>
      </c>
      <c r="D268" s="37" t="s">
        <v>4835</v>
      </c>
      <c r="E268" s="37"/>
      <c r="F268" s="37" t="s">
        <v>4842</v>
      </c>
      <c r="G268" s="37"/>
      <c r="H268" s="37" t="s">
        <v>693</v>
      </c>
      <c r="I268" s="37"/>
    </row>
    <row r="269" customFormat="false" ht="15" hidden="false" customHeight="true" outlineLevel="0" collapsed="false">
      <c r="A269" s="37" t="s">
        <v>695</v>
      </c>
      <c r="B269" s="37" t="s">
        <v>412</v>
      </c>
      <c r="C269" s="37" t="s">
        <v>4834</v>
      </c>
      <c r="D269" s="37" t="s">
        <v>4835</v>
      </c>
      <c r="E269" s="37"/>
      <c r="F269" s="37" t="s">
        <v>4836</v>
      </c>
      <c r="G269" s="37"/>
      <c r="H269" s="54" t="s">
        <v>696</v>
      </c>
      <c r="I269" s="37"/>
    </row>
    <row r="270" customFormat="false" ht="15" hidden="false" customHeight="true" outlineLevel="0" collapsed="false">
      <c r="A270" s="37" t="s">
        <v>699</v>
      </c>
      <c r="B270" s="37" t="s">
        <v>412</v>
      </c>
      <c r="C270" s="37" t="s">
        <v>4874</v>
      </c>
      <c r="D270" s="37" t="s">
        <v>4875</v>
      </c>
      <c r="E270" s="37"/>
      <c r="F270" s="37" t="s">
        <v>4883</v>
      </c>
      <c r="G270" s="37"/>
      <c r="H270" s="54" t="s">
        <v>700</v>
      </c>
      <c r="I270" s="37"/>
    </row>
    <row r="271" customFormat="false" ht="15" hidden="false" customHeight="true" outlineLevel="0" collapsed="false">
      <c r="A271" s="37" t="s">
        <v>699</v>
      </c>
      <c r="B271" s="37" t="s">
        <v>412</v>
      </c>
      <c r="C271" s="37" t="s">
        <v>4834</v>
      </c>
      <c r="D271" s="37" t="s">
        <v>4835</v>
      </c>
      <c r="E271" s="37"/>
      <c r="F271" s="37" t="s">
        <v>4836</v>
      </c>
      <c r="G271" s="37"/>
      <c r="H271" s="54" t="s">
        <v>700</v>
      </c>
      <c r="I271" s="37"/>
    </row>
    <row r="272" customFormat="false" ht="15" hidden="false" customHeight="true" outlineLevel="0" collapsed="false">
      <c r="A272" s="37" t="s">
        <v>703</v>
      </c>
      <c r="B272" s="37" t="s">
        <v>412</v>
      </c>
      <c r="C272" s="37" t="s">
        <v>4834</v>
      </c>
      <c r="D272" s="37" t="s">
        <v>4835</v>
      </c>
      <c r="E272" s="37"/>
      <c r="F272" s="37" t="s">
        <v>4842</v>
      </c>
      <c r="G272" s="37"/>
      <c r="H272" s="54" t="s">
        <v>704</v>
      </c>
      <c r="I272" s="37"/>
    </row>
    <row r="273" customFormat="false" ht="15" hidden="false" customHeight="true" outlineLevel="0" collapsed="false">
      <c r="A273" s="37" t="s">
        <v>706</v>
      </c>
      <c r="B273" s="37" t="s">
        <v>412</v>
      </c>
      <c r="C273" s="37" t="s">
        <v>4834</v>
      </c>
      <c r="D273" s="37" t="s">
        <v>4835</v>
      </c>
      <c r="E273" s="37"/>
      <c r="F273" s="37" t="s">
        <v>4842</v>
      </c>
      <c r="G273" s="37"/>
      <c r="H273" s="54" t="s">
        <v>707</v>
      </c>
      <c r="I273" s="37"/>
    </row>
    <row r="274" customFormat="false" ht="15" hidden="false" customHeight="true" outlineLevel="0" collapsed="false">
      <c r="A274" s="37" t="s">
        <v>713</v>
      </c>
      <c r="B274" s="37" t="s">
        <v>412</v>
      </c>
      <c r="C274" s="37" t="s">
        <v>4834</v>
      </c>
      <c r="D274" s="37" t="s">
        <v>4835</v>
      </c>
      <c r="E274" s="37"/>
      <c r="F274" s="37" t="s">
        <v>4836</v>
      </c>
      <c r="G274" s="37"/>
      <c r="H274" s="37" t="s">
        <v>714</v>
      </c>
      <c r="I274" s="37"/>
    </row>
    <row r="275" customFormat="false" ht="15" hidden="false" customHeight="true" outlineLevel="0" collapsed="false">
      <c r="A275" s="37" t="s">
        <v>718</v>
      </c>
      <c r="B275" s="37" t="s">
        <v>412</v>
      </c>
      <c r="C275" s="37" t="s">
        <v>4834</v>
      </c>
      <c r="D275" s="37" t="s">
        <v>4835</v>
      </c>
      <c r="E275" s="37"/>
      <c r="F275" s="37" t="s">
        <v>4842</v>
      </c>
      <c r="G275" s="37"/>
      <c r="H275" s="37" t="s">
        <v>719</v>
      </c>
      <c r="I275" s="37"/>
    </row>
    <row r="276" customFormat="false" ht="15" hidden="false" customHeight="true" outlineLevel="0" collapsed="false">
      <c r="A276" s="37" t="s">
        <v>730</v>
      </c>
      <c r="B276" s="37" t="s">
        <v>412</v>
      </c>
      <c r="C276" s="37" t="s">
        <v>4834</v>
      </c>
      <c r="D276" s="37" t="s">
        <v>4835</v>
      </c>
      <c r="E276" s="37"/>
      <c r="F276" s="37" t="s">
        <v>4842</v>
      </c>
      <c r="G276" s="37"/>
      <c r="H276" s="37" t="s">
        <v>731</v>
      </c>
      <c r="I276" s="37"/>
    </row>
    <row r="277" customFormat="false" ht="15" hidden="false" customHeight="true" outlineLevel="0" collapsed="false">
      <c r="A277" s="37" t="s">
        <v>736</v>
      </c>
      <c r="B277" s="37" t="s">
        <v>412</v>
      </c>
      <c r="C277" s="37" t="s">
        <v>4834</v>
      </c>
      <c r="D277" s="37" t="s">
        <v>4835</v>
      </c>
      <c r="E277" s="37"/>
      <c r="F277" s="37" t="s">
        <v>4842</v>
      </c>
      <c r="G277" s="37"/>
      <c r="H277" s="54" t="s">
        <v>737</v>
      </c>
      <c r="I277" s="37"/>
    </row>
    <row r="278" customFormat="false" ht="15" hidden="false" customHeight="true" outlineLevel="0" collapsed="false">
      <c r="A278" s="37" t="s">
        <v>924</v>
      </c>
      <c r="B278" s="37" t="s">
        <v>418</v>
      </c>
      <c r="C278" s="37" t="s">
        <v>4834</v>
      </c>
      <c r="D278" s="37" t="s">
        <v>4835</v>
      </c>
      <c r="E278" s="37"/>
      <c r="F278" s="37" t="s">
        <v>4836</v>
      </c>
      <c r="G278" s="37"/>
      <c r="H278" s="54" t="s">
        <v>925</v>
      </c>
      <c r="I278" s="37"/>
    </row>
    <row r="279" customFormat="false" ht="15" hidden="false" customHeight="true" outlineLevel="0" collapsed="false">
      <c r="A279" s="37" t="s">
        <v>929</v>
      </c>
      <c r="B279" s="37" t="s">
        <v>418</v>
      </c>
      <c r="C279" s="37" t="s">
        <v>4834</v>
      </c>
      <c r="D279" s="37" t="s">
        <v>4835</v>
      </c>
      <c r="E279" s="37"/>
      <c r="F279" s="37" t="s">
        <v>4836</v>
      </c>
      <c r="G279" s="37"/>
      <c r="H279" s="54" t="s">
        <v>930</v>
      </c>
      <c r="I279" s="37"/>
    </row>
    <row r="280" customFormat="false" ht="15" hidden="false" customHeight="true" outlineLevel="0" collapsed="false">
      <c r="A280" s="37" t="s">
        <v>932</v>
      </c>
      <c r="B280" s="37" t="s">
        <v>418</v>
      </c>
      <c r="C280" s="37" t="s">
        <v>4834</v>
      </c>
      <c r="D280" s="37" t="s">
        <v>4835</v>
      </c>
      <c r="E280" s="37"/>
      <c r="F280" s="37" t="s">
        <v>4836</v>
      </c>
      <c r="G280" s="37"/>
      <c r="H280" s="54" t="s">
        <v>933</v>
      </c>
      <c r="I280" s="37"/>
    </row>
    <row r="281" customFormat="false" ht="15" hidden="false" customHeight="true" outlineLevel="0" collapsed="false">
      <c r="A281" s="37" t="s">
        <v>937</v>
      </c>
      <c r="B281" s="37" t="s">
        <v>418</v>
      </c>
      <c r="C281" s="37" t="s">
        <v>4834</v>
      </c>
      <c r="D281" s="37" t="s">
        <v>4835</v>
      </c>
      <c r="E281" s="37"/>
      <c r="F281" s="37" t="s">
        <v>4842</v>
      </c>
      <c r="G281" s="37"/>
      <c r="H281" s="54" t="s">
        <v>938</v>
      </c>
      <c r="I281" s="37"/>
    </row>
    <row r="282" customFormat="false" ht="15" hidden="false" customHeight="true" outlineLevel="0" collapsed="false">
      <c r="A282" s="37" t="s">
        <v>941</v>
      </c>
      <c r="B282" s="37" t="s">
        <v>418</v>
      </c>
      <c r="C282" s="37" t="s">
        <v>4834</v>
      </c>
      <c r="D282" s="37" t="s">
        <v>4835</v>
      </c>
      <c r="E282" s="37"/>
      <c r="F282" s="37" t="s">
        <v>4836</v>
      </c>
      <c r="G282" s="37"/>
      <c r="H282" s="54" t="s">
        <v>4936</v>
      </c>
      <c r="I282" s="37"/>
    </row>
    <row r="283" customFormat="false" ht="15" hidden="false" customHeight="true" outlineLevel="0" collapsed="false">
      <c r="A283" s="37" t="s">
        <v>945</v>
      </c>
      <c r="B283" s="37" t="s">
        <v>418</v>
      </c>
      <c r="C283" s="37" t="s">
        <v>4866</v>
      </c>
      <c r="D283" s="37" t="s">
        <v>4867</v>
      </c>
      <c r="E283" s="37"/>
      <c r="F283" s="37" t="s">
        <v>4886</v>
      </c>
      <c r="G283" s="37"/>
      <c r="H283" s="54" t="s">
        <v>946</v>
      </c>
      <c r="I283" s="37"/>
    </row>
    <row r="284" customFormat="false" ht="15" hidden="false" customHeight="true" outlineLevel="0" collapsed="false">
      <c r="A284" s="37" t="s">
        <v>949</v>
      </c>
      <c r="B284" s="37" t="s">
        <v>418</v>
      </c>
      <c r="C284" s="37" t="s">
        <v>4834</v>
      </c>
      <c r="D284" s="37" t="s">
        <v>4835</v>
      </c>
      <c r="E284" s="37"/>
      <c r="F284" s="37" t="s">
        <v>4836</v>
      </c>
      <c r="G284" s="37"/>
      <c r="H284" s="54" t="s">
        <v>950</v>
      </c>
      <c r="I284" s="37"/>
    </row>
    <row r="285" customFormat="false" ht="15" hidden="false" customHeight="true" outlineLevel="0" collapsed="false">
      <c r="A285" s="37" t="s">
        <v>953</v>
      </c>
      <c r="B285" s="37" t="s">
        <v>418</v>
      </c>
      <c r="C285" s="37" t="s">
        <v>4834</v>
      </c>
      <c r="D285" s="37" t="s">
        <v>4835</v>
      </c>
      <c r="E285" s="37"/>
      <c r="F285" s="37" t="s">
        <v>4836</v>
      </c>
      <c r="G285" s="37"/>
      <c r="H285" s="54" t="s">
        <v>954</v>
      </c>
      <c r="I285" s="37"/>
    </row>
    <row r="286" customFormat="false" ht="15" hidden="false" customHeight="true" outlineLevel="0" collapsed="false">
      <c r="A286" s="37" t="s">
        <v>1174</v>
      </c>
      <c r="B286" s="37" t="s">
        <v>427</v>
      </c>
      <c r="C286" s="37" t="s">
        <v>4834</v>
      </c>
      <c r="D286" s="37" t="s">
        <v>4835</v>
      </c>
      <c r="E286" s="37"/>
      <c r="F286" s="37" t="s">
        <v>4842</v>
      </c>
      <c r="G286" s="37" t="s">
        <v>4937</v>
      </c>
      <c r="H286" s="54" t="s">
        <v>1175</v>
      </c>
      <c r="I286" s="37"/>
    </row>
    <row r="287" customFormat="false" ht="15" hidden="false" customHeight="true" outlineLevel="0" collapsed="false">
      <c r="A287" s="37" t="s">
        <v>1177</v>
      </c>
      <c r="B287" s="37" t="s">
        <v>427</v>
      </c>
      <c r="C287" s="37" t="s">
        <v>4834</v>
      </c>
      <c r="D287" s="37" t="s">
        <v>4835</v>
      </c>
      <c r="E287" s="37"/>
      <c r="F287" s="37" t="s">
        <v>4842</v>
      </c>
      <c r="G287" s="37" t="s">
        <v>4937</v>
      </c>
      <c r="H287" s="37" t="s">
        <v>4938</v>
      </c>
      <c r="I287" s="37"/>
    </row>
    <row r="288" customFormat="false" ht="15" hidden="false" customHeight="true" outlineLevel="0" collapsed="false">
      <c r="A288" s="37" t="s">
        <v>1179</v>
      </c>
      <c r="B288" s="37" t="s">
        <v>427</v>
      </c>
      <c r="C288" s="37" t="s">
        <v>4834</v>
      </c>
      <c r="D288" s="37" t="s">
        <v>4835</v>
      </c>
      <c r="E288" s="37"/>
      <c r="F288" s="37" t="s">
        <v>4836</v>
      </c>
      <c r="G288" s="37" t="s">
        <v>4939</v>
      </c>
      <c r="H288" s="54" t="s">
        <v>1180</v>
      </c>
      <c r="I288" s="37"/>
    </row>
    <row r="289" customFormat="false" ht="15" hidden="false" customHeight="true" outlineLevel="0" collapsed="false">
      <c r="A289" s="37" t="s">
        <v>1182</v>
      </c>
      <c r="B289" s="37" t="s">
        <v>427</v>
      </c>
      <c r="C289" s="37" t="s">
        <v>4834</v>
      </c>
      <c r="D289" s="37" t="s">
        <v>4835</v>
      </c>
      <c r="E289" s="37"/>
      <c r="F289" s="37" t="s">
        <v>4836</v>
      </c>
      <c r="G289" s="37" t="s">
        <v>4940</v>
      </c>
      <c r="H289" s="37" t="s">
        <v>4941</v>
      </c>
      <c r="I289" s="37"/>
    </row>
    <row r="290" customFormat="false" ht="15" hidden="false" customHeight="true" outlineLevel="0" collapsed="false">
      <c r="A290" s="37" t="s">
        <v>1185</v>
      </c>
      <c r="B290" s="37" t="s">
        <v>427</v>
      </c>
      <c r="C290" s="37" t="s">
        <v>4834</v>
      </c>
      <c r="D290" s="37" t="s">
        <v>4835</v>
      </c>
      <c r="E290" s="37"/>
      <c r="F290" s="37" t="s">
        <v>4842</v>
      </c>
      <c r="G290" s="37" t="s">
        <v>4937</v>
      </c>
      <c r="H290" s="37" t="s">
        <v>4942</v>
      </c>
      <c r="I290" s="37"/>
    </row>
    <row r="291" customFormat="false" ht="15" hidden="false" customHeight="true" outlineLevel="0" collapsed="false">
      <c r="A291" s="37" t="s">
        <v>1190</v>
      </c>
      <c r="B291" s="37" t="s">
        <v>427</v>
      </c>
      <c r="C291" s="37" t="s">
        <v>4834</v>
      </c>
      <c r="D291" s="37" t="s">
        <v>4835</v>
      </c>
      <c r="E291" s="37"/>
      <c r="F291" s="37" t="s">
        <v>4836</v>
      </c>
      <c r="G291" s="37" t="s">
        <v>4940</v>
      </c>
      <c r="H291" s="54" t="s">
        <v>1191</v>
      </c>
      <c r="I291" s="37"/>
    </row>
    <row r="292" customFormat="false" ht="15" hidden="false" customHeight="true" outlineLevel="0" collapsed="false">
      <c r="A292" s="37" t="s">
        <v>1193</v>
      </c>
      <c r="B292" s="37" t="s">
        <v>427</v>
      </c>
      <c r="C292" s="37" t="s">
        <v>4834</v>
      </c>
      <c r="D292" s="37" t="s">
        <v>4835</v>
      </c>
      <c r="E292" s="37"/>
      <c r="F292" s="37" t="s">
        <v>4836</v>
      </c>
      <c r="G292" s="37" t="s">
        <v>4943</v>
      </c>
      <c r="H292" s="54" t="s">
        <v>1194</v>
      </c>
      <c r="I292" s="37"/>
    </row>
    <row r="293" customFormat="false" ht="15" hidden="false" customHeight="true" outlineLevel="0" collapsed="false">
      <c r="A293" s="37" t="s">
        <v>1198</v>
      </c>
      <c r="B293" s="37" t="s">
        <v>427</v>
      </c>
      <c r="C293" s="37" t="s">
        <v>4866</v>
      </c>
      <c r="D293" s="37" t="s">
        <v>4867</v>
      </c>
      <c r="E293" s="37"/>
      <c r="F293" s="37" t="s">
        <v>4885</v>
      </c>
      <c r="G293" s="37" t="s">
        <v>4944</v>
      </c>
      <c r="H293" s="54" t="s">
        <v>1199</v>
      </c>
      <c r="I293" s="37"/>
    </row>
    <row r="294" customFormat="false" ht="15" hidden="false" customHeight="true" outlineLevel="0" collapsed="false">
      <c r="A294" s="37" t="s">
        <v>1207</v>
      </c>
      <c r="B294" s="37" t="s">
        <v>427</v>
      </c>
      <c r="C294" s="37" t="s">
        <v>4834</v>
      </c>
      <c r="D294" s="37" t="s">
        <v>4835</v>
      </c>
      <c r="E294" s="37"/>
      <c r="F294" s="37" t="s">
        <v>4836</v>
      </c>
      <c r="G294" s="37" t="s">
        <v>4945</v>
      </c>
      <c r="H294" s="54" t="s">
        <v>1208</v>
      </c>
      <c r="I294" s="37"/>
    </row>
    <row r="295" customFormat="false" ht="15" hidden="false" customHeight="true" outlineLevel="0" collapsed="false">
      <c r="A295" s="37" t="s">
        <v>1209</v>
      </c>
      <c r="B295" s="37" t="s">
        <v>427</v>
      </c>
      <c r="C295" s="37" t="s">
        <v>4834</v>
      </c>
      <c r="D295" s="37" t="s">
        <v>4835</v>
      </c>
      <c r="E295" s="37"/>
      <c r="F295" s="37" t="s">
        <v>4836</v>
      </c>
      <c r="G295" s="37" t="s">
        <v>4937</v>
      </c>
      <c r="H295" s="37" t="s">
        <v>4946</v>
      </c>
      <c r="I295" s="37"/>
    </row>
    <row r="296" customFormat="false" ht="15" hidden="false" customHeight="true" outlineLevel="0" collapsed="false">
      <c r="A296" s="37" t="s">
        <v>1211</v>
      </c>
      <c r="B296" s="37" t="s">
        <v>427</v>
      </c>
      <c r="C296" s="37" t="s">
        <v>4834</v>
      </c>
      <c r="D296" s="37" t="s">
        <v>4835</v>
      </c>
      <c r="E296" s="37"/>
      <c r="F296" s="37" t="s">
        <v>4842</v>
      </c>
      <c r="G296" s="37" t="s">
        <v>4947</v>
      </c>
      <c r="H296" s="37" t="s">
        <v>4948</v>
      </c>
      <c r="I296" s="37"/>
    </row>
    <row r="297" customFormat="false" ht="15" hidden="false" customHeight="true" outlineLevel="0" collapsed="false">
      <c r="A297" s="37" t="s">
        <v>1222</v>
      </c>
      <c r="B297" s="37" t="s">
        <v>427</v>
      </c>
      <c r="C297" s="37" t="s">
        <v>4834</v>
      </c>
      <c r="D297" s="37" t="s">
        <v>4835</v>
      </c>
      <c r="E297" s="37"/>
      <c r="F297" s="37" t="s">
        <v>4842</v>
      </c>
      <c r="G297" s="37" t="s">
        <v>4945</v>
      </c>
      <c r="H297" s="54" t="s">
        <v>1223</v>
      </c>
      <c r="I297" s="37"/>
    </row>
    <row r="298" customFormat="false" ht="15" hidden="false" customHeight="true" outlineLevel="0" collapsed="false">
      <c r="A298" s="37" t="s">
        <v>1225</v>
      </c>
      <c r="B298" s="37" t="s">
        <v>427</v>
      </c>
      <c r="C298" s="37" t="s">
        <v>4866</v>
      </c>
      <c r="D298" s="37" t="s">
        <v>4867</v>
      </c>
      <c r="E298" s="37"/>
      <c r="F298" s="37" t="s">
        <v>4886</v>
      </c>
      <c r="G298" s="37" t="s">
        <v>4949</v>
      </c>
      <c r="H298" s="54" t="s">
        <v>1226</v>
      </c>
      <c r="I298" s="37"/>
    </row>
    <row r="299" customFormat="false" ht="15" hidden="false" customHeight="true" outlineLevel="0" collapsed="false">
      <c r="A299" s="37" t="s">
        <v>1228</v>
      </c>
      <c r="B299" s="37" t="s">
        <v>427</v>
      </c>
      <c r="C299" s="37" t="s">
        <v>4874</v>
      </c>
      <c r="D299" s="37" t="s">
        <v>4875</v>
      </c>
      <c r="E299" s="37"/>
      <c r="F299" s="37" t="s">
        <v>4884</v>
      </c>
      <c r="G299" s="37" t="s">
        <v>4947</v>
      </c>
      <c r="H299" s="37" t="s">
        <v>4950</v>
      </c>
      <c r="I299" s="37"/>
    </row>
    <row r="300" customFormat="false" ht="15" hidden="false" customHeight="true" outlineLevel="0" collapsed="false">
      <c r="A300" s="37" t="s">
        <v>1228</v>
      </c>
      <c r="B300" s="37" t="s">
        <v>427</v>
      </c>
      <c r="C300" s="37" t="s">
        <v>4834</v>
      </c>
      <c r="D300" s="37" t="s">
        <v>4835</v>
      </c>
      <c r="E300" s="37"/>
      <c r="F300" s="37" t="s">
        <v>4836</v>
      </c>
      <c r="G300" s="37" t="s">
        <v>4951</v>
      </c>
      <c r="H300" s="37" t="s">
        <v>4950</v>
      </c>
      <c r="I300" s="37"/>
    </row>
    <row r="301" customFormat="false" ht="15" hidden="false" customHeight="true" outlineLevel="0" collapsed="false">
      <c r="A301" s="37" t="s">
        <v>1230</v>
      </c>
      <c r="B301" s="37" t="s">
        <v>427</v>
      </c>
      <c r="C301" s="37" t="s">
        <v>4866</v>
      </c>
      <c r="D301" s="37" t="s">
        <v>4867</v>
      </c>
      <c r="E301" s="37"/>
      <c r="F301" s="37" t="s">
        <v>4885</v>
      </c>
      <c r="G301" s="37" t="s">
        <v>4952</v>
      </c>
      <c r="H301" s="54" t="s">
        <v>1231</v>
      </c>
      <c r="I301" s="37"/>
    </row>
    <row r="302" customFormat="false" ht="15" hidden="false" customHeight="true" outlineLevel="0" collapsed="false">
      <c r="A302" s="37" t="s">
        <v>1233</v>
      </c>
      <c r="B302" s="37" t="s">
        <v>427</v>
      </c>
      <c r="C302" s="37" t="s">
        <v>4834</v>
      </c>
      <c r="D302" s="37" t="s">
        <v>4835</v>
      </c>
      <c r="E302" s="37"/>
      <c r="F302" s="37" t="s">
        <v>4836</v>
      </c>
      <c r="G302" s="37" t="s">
        <v>4940</v>
      </c>
      <c r="H302" s="54" t="s">
        <v>1234</v>
      </c>
      <c r="I302" s="37"/>
    </row>
    <row r="303" customFormat="false" ht="15" hidden="false" customHeight="true" outlineLevel="0" collapsed="false">
      <c r="A303" s="37" t="s">
        <v>1236</v>
      </c>
      <c r="B303" s="37" t="s">
        <v>427</v>
      </c>
      <c r="C303" s="37" t="s">
        <v>4866</v>
      </c>
      <c r="D303" s="37" t="s">
        <v>4867</v>
      </c>
      <c r="E303" s="37"/>
      <c r="F303" s="37" t="s">
        <v>4886</v>
      </c>
      <c r="G303" s="37" t="s">
        <v>4925</v>
      </c>
      <c r="H303" s="54" t="s">
        <v>1237</v>
      </c>
      <c r="I303" s="37"/>
    </row>
    <row r="304" customFormat="false" ht="15" hidden="false" customHeight="true" outlineLevel="0" collapsed="false">
      <c r="A304" s="37" t="s">
        <v>1239</v>
      </c>
      <c r="B304" s="37" t="s">
        <v>427</v>
      </c>
      <c r="C304" s="37" t="s">
        <v>4834</v>
      </c>
      <c r="D304" s="37" t="s">
        <v>4835</v>
      </c>
      <c r="E304" s="37"/>
      <c r="F304" s="37" t="s">
        <v>4842</v>
      </c>
      <c r="G304" s="37" t="s">
        <v>4939</v>
      </c>
      <c r="H304" s="37" t="s">
        <v>4953</v>
      </c>
      <c r="I304" s="37"/>
    </row>
    <row r="305" customFormat="false" ht="15" hidden="false" customHeight="true" outlineLevel="0" collapsed="false">
      <c r="A305" s="37" t="s">
        <v>1243</v>
      </c>
      <c r="B305" s="37" t="s">
        <v>427</v>
      </c>
      <c r="C305" s="37" t="s">
        <v>4834</v>
      </c>
      <c r="D305" s="37" t="s">
        <v>4835</v>
      </c>
      <c r="E305" s="37"/>
      <c r="F305" s="37" t="s">
        <v>4842</v>
      </c>
      <c r="G305" s="37" t="s">
        <v>4954</v>
      </c>
      <c r="H305" s="37" t="s">
        <v>4955</v>
      </c>
      <c r="I305" s="37"/>
    </row>
    <row r="306" customFormat="false" ht="15" hidden="false" customHeight="true" outlineLevel="0" collapsed="false">
      <c r="A306" s="37" t="s">
        <v>1251</v>
      </c>
      <c r="B306" s="37" t="s">
        <v>427</v>
      </c>
      <c r="C306" s="37" t="s">
        <v>4834</v>
      </c>
      <c r="D306" s="37" t="s">
        <v>4835</v>
      </c>
      <c r="E306" s="37"/>
      <c r="F306" s="37" t="s">
        <v>4842</v>
      </c>
      <c r="G306" s="37" t="s">
        <v>4954</v>
      </c>
      <c r="H306" s="37" t="s">
        <v>4956</v>
      </c>
      <c r="I306" s="37"/>
    </row>
    <row r="307" customFormat="false" ht="15" hidden="false" customHeight="true" outlineLevel="0" collapsed="false">
      <c r="A307" s="37" t="s">
        <v>1253</v>
      </c>
      <c r="B307" s="37" t="s">
        <v>427</v>
      </c>
      <c r="C307" s="37" t="s">
        <v>4834</v>
      </c>
      <c r="D307" s="37" t="s">
        <v>4835</v>
      </c>
      <c r="E307" s="37"/>
      <c r="F307" s="37" t="s">
        <v>4836</v>
      </c>
      <c r="G307" s="37" t="s">
        <v>4954</v>
      </c>
      <c r="H307" s="37" t="s">
        <v>4957</v>
      </c>
      <c r="I307" s="37"/>
    </row>
    <row r="308" customFormat="false" ht="15" hidden="false" customHeight="true" outlineLevel="0" collapsed="false">
      <c r="A308" s="37" t="s">
        <v>1255</v>
      </c>
      <c r="B308" s="37" t="s">
        <v>427</v>
      </c>
      <c r="C308" s="37" t="s">
        <v>4834</v>
      </c>
      <c r="D308" s="37" t="s">
        <v>4835</v>
      </c>
      <c r="E308" s="37"/>
      <c r="F308" s="37" t="s">
        <v>4842</v>
      </c>
      <c r="G308" s="37" t="s">
        <v>4945</v>
      </c>
      <c r="H308" s="54" t="s">
        <v>1256</v>
      </c>
      <c r="I308" s="37"/>
    </row>
    <row r="309" customFormat="false" ht="15" hidden="false" customHeight="true" outlineLevel="0" collapsed="false">
      <c r="A309" s="37" t="s">
        <v>1258</v>
      </c>
      <c r="B309" s="37" t="s">
        <v>427</v>
      </c>
      <c r="C309" s="37" t="s">
        <v>4834</v>
      </c>
      <c r="D309" s="37" t="s">
        <v>4835</v>
      </c>
      <c r="E309" s="37"/>
      <c r="F309" s="37" t="s">
        <v>4842</v>
      </c>
      <c r="G309" s="37" t="s">
        <v>4947</v>
      </c>
      <c r="H309" s="37" t="s">
        <v>4958</v>
      </c>
      <c r="I309" s="37"/>
    </row>
    <row r="310" customFormat="false" ht="15" hidden="false" customHeight="true" outlineLevel="0" collapsed="false">
      <c r="A310" s="37" t="s">
        <v>1266</v>
      </c>
      <c r="B310" s="37" t="s">
        <v>427</v>
      </c>
      <c r="C310" s="37" t="s">
        <v>4834</v>
      </c>
      <c r="D310" s="37" t="s">
        <v>4835</v>
      </c>
      <c r="E310" s="37"/>
      <c r="F310" s="37" t="s">
        <v>4836</v>
      </c>
      <c r="G310" s="37" t="s">
        <v>4959</v>
      </c>
      <c r="H310" s="54" t="s">
        <v>1267</v>
      </c>
      <c r="I310" s="37"/>
    </row>
    <row r="311" customFormat="false" ht="15" hidden="false" customHeight="true" outlineLevel="0" collapsed="false">
      <c r="A311" s="37" t="s">
        <v>1269</v>
      </c>
      <c r="B311" s="37" t="s">
        <v>427</v>
      </c>
      <c r="C311" s="37" t="s">
        <v>4834</v>
      </c>
      <c r="D311" s="37" t="s">
        <v>4835</v>
      </c>
      <c r="E311" s="37"/>
      <c r="F311" s="37" t="s">
        <v>4836</v>
      </c>
      <c r="G311" s="37" t="s">
        <v>4944</v>
      </c>
      <c r="H311" s="54" t="s">
        <v>1270</v>
      </c>
      <c r="I311" s="37"/>
    </row>
    <row r="312" customFormat="false" ht="15" hidden="false" customHeight="true" outlineLevel="0" collapsed="false">
      <c r="A312" s="37" t="s">
        <v>1272</v>
      </c>
      <c r="B312" s="37" t="s">
        <v>427</v>
      </c>
      <c r="C312" s="37" t="s">
        <v>4834</v>
      </c>
      <c r="D312" s="37" t="s">
        <v>4835</v>
      </c>
      <c r="E312" s="37"/>
      <c r="F312" s="37" t="s">
        <v>4836</v>
      </c>
      <c r="G312" s="37" t="s">
        <v>4945</v>
      </c>
      <c r="H312" s="54" t="s">
        <v>1273</v>
      </c>
      <c r="I312" s="37"/>
    </row>
    <row r="313" customFormat="false" ht="15" hidden="false" customHeight="true" outlineLevel="0" collapsed="false">
      <c r="A313" s="37" t="s">
        <v>1275</v>
      </c>
      <c r="B313" s="37" t="s">
        <v>427</v>
      </c>
      <c r="C313" s="37" t="s">
        <v>4834</v>
      </c>
      <c r="D313" s="37" t="s">
        <v>4835</v>
      </c>
      <c r="E313" s="37"/>
      <c r="F313" s="37" t="s">
        <v>4836</v>
      </c>
      <c r="G313" s="37" t="s">
        <v>4944</v>
      </c>
      <c r="H313" s="54" t="s">
        <v>1276</v>
      </c>
      <c r="I313" s="37"/>
    </row>
    <row r="314" customFormat="false" ht="15" hidden="false" customHeight="true" outlineLevel="0" collapsed="false">
      <c r="A314" s="37" t="s">
        <v>1278</v>
      </c>
      <c r="B314" s="37" t="s">
        <v>427</v>
      </c>
      <c r="C314" s="37" t="s">
        <v>4834</v>
      </c>
      <c r="D314" s="37" t="s">
        <v>4835</v>
      </c>
      <c r="E314" s="37"/>
      <c r="F314" s="37" t="s">
        <v>4836</v>
      </c>
      <c r="G314" s="37" t="s">
        <v>4951</v>
      </c>
      <c r="H314" s="54" t="s">
        <v>1279</v>
      </c>
      <c r="I314" s="37"/>
    </row>
    <row r="315" customFormat="false" ht="15" hidden="false" customHeight="true" outlineLevel="0" collapsed="false">
      <c r="A315" s="37" t="s">
        <v>1280</v>
      </c>
      <c r="B315" s="37" t="s">
        <v>427</v>
      </c>
      <c r="C315" s="37" t="s">
        <v>4866</v>
      </c>
      <c r="D315" s="37" t="s">
        <v>4867</v>
      </c>
      <c r="E315" s="37"/>
      <c r="F315" s="37" t="s">
        <v>4885</v>
      </c>
      <c r="G315" s="37" t="s">
        <v>4944</v>
      </c>
      <c r="H315" s="54" t="s">
        <v>1281</v>
      </c>
      <c r="I315" s="37"/>
    </row>
    <row r="316" customFormat="false" ht="15" hidden="false" customHeight="true" outlineLevel="0" collapsed="false">
      <c r="A316" s="37" t="s">
        <v>1283</v>
      </c>
      <c r="B316" s="37" t="s">
        <v>427</v>
      </c>
      <c r="C316" s="37" t="s">
        <v>4834</v>
      </c>
      <c r="D316" s="37" t="s">
        <v>4835</v>
      </c>
      <c r="E316" s="37"/>
      <c r="F316" s="37" t="s">
        <v>4960</v>
      </c>
      <c r="G316" s="37" t="s">
        <v>4947</v>
      </c>
      <c r="H316" s="37" t="s">
        <v>4961</v>
      </c>
      <c r="I316" s="37"/>
    </row>
    <row r="317" customFormat="false" ht="15" hidden="false" customHeight="true" outlineLevel="0" collapsed="false">
      <c r="A317" s="37" t="s">
        <v>1285</v>
      </c>
      <c r="B317" s="37" t="s">
        <v>427</v>
      </c>
      <c r="C317" s="37" t="s">
        <v>4874</v>
      </c>
      <c r="D317" s="37" t="s">
        <v>4893</v>
      </c>
      <c r="E317" s="37"/>
      <c r="F317" s="37" t="s">
        <v>4886</v>
      </c>
      <c r="G317" s="37" t="s">
        <v>4962</v>
      </c>
      <c r="H317" s="37" t="s">
        <v>4963</v>
      </c>
      <c r="I317" s="37"/>
    </row>
    <row r="318" customFormat="false" ht="15" hidden="false" customHeight="true" outlineLevel="0" collapsed="false">
      <c r="A318" s="37" t="s">
        <v>1287</v>
      </c>
      <c r="B318" s="37" t="s">
        <v>427</v>
      </c>
      <c r="C318" s="37" t="s">
        <v>4834</v>
      </c>
      <c r="D318" s="37" t="s">
        <v>4835</v>
      </c>
      <c r="E318" s="37"/>
      <c r="F318" s="37" t="s">
        <v>4836</v>
      </c>
      <c r="G318" s="37" t="s">
        <v>4945</v>
      </c>
      <c r="H318" s="54" t="s">
        <v>1288</v>
      </c>
      <c r="I318" s="37"/>
    </row>
    <row r="319" customFormat="false" ht="15" hidden="false" customHeight="true" outlineLevel="0" collapsed="false">
      <c r="A319" s="37" t="s">
        <v>1290</v>
      </c>
      <c r="B319" s="37" t="s">
        <v>427</v>
      </c>
      <c r="C319" s="37" t="s">
        <v>4834</v>
      </c>
      <c r="D319" s="37" t="s">
        <v>4835</v>
      </c>
      <c r="E319" s="37"/>
      <c r="F319" s="37" t="s">
        <v>4836</v>
      </c>
      <c r="G319" s="37" t="s">
        <v>4951</v>
      </c>
      <c r="H319" s="54" t="s">
        <v>1291</v>
      </c>
      <c r="I319" s="37"/>
    </row>
    <row r="320" customFormat="false" ht="15" hidden="false" customHeight="true" outlineLevel="0" collapsed="false">
      <c r="A320" s="37" t="s">
        <v>1300</v>
      </c>
      <c r="B320" s="37" t="s">
        <v>427</v>
      </c>
      <c r="C320" s="37" t="s">
        <v>4834</v>
      </c>
      <c r="D320" s="37" t="s">
        <v>4835</v>
      </c>
      <c r="E320" s="37"/>
      <c r="F320" s="37" t="s">
        <v>4836</v>
      </c>
      <c r="G320" s="37" t="s">
        <v>4944</v>
      </c>
      <c r="H320" s="37" t="s">
        <v>4964</v>
      </c>
      <c r="I320" s="37"/>
    </row>
    <row r="321" customFormat="false" ht="15" hidden="false" customHeight="true" outlineLevel="0" collapsed="false">
      <c r="A321" s="37" t="s">
        <v>1303</v>
      </c>
      <c r="B321" s="37" t="s">
        <v>427</v>
      </c>
      <c r="C321" s="37" t="s">
        <v>4834</v>
      </c>
      <c r="D321" s="37" t="s">
        <v>4835</v>
      </c>
      <c r="E321" s="37"/>
      <c r="F321" s="37" t="s">
        <v>4836</v>
      </c>
      <c r="G321" s="37" t="s">
        <v>4939</v>
      </c>
      <c r="H321" s="54" t="s">
        <v>1304</v>
      </c>
      <c r="I321" s="37"/>
    </row>
    <row r="322" customFormat="false" ht="15" hidden="false" customHeight="true" outlineLevel="0" collapsed="false">
      <c r="A322" s="37" t="s">
        <v>1305</v>
      </c>
      <c r="B322" s="37" t="s">
        <v>427</v>
      </c>
      <c r="C322" s="37" t="s">
        <v>4866</v>
      </c>
      <c r="D322" s="37" t="s">
        <v>4867</v>
      </c>
      <c r="E322" s="37"/>
      <c r="F322" s="37" t="s">
        <v>4885</v>
      </c>
      <c r="G322" s="37" t="s">
        <v>4944</v>
      </c>
      <c r="H322" s="54" t="s">
        <v>1306</v>
      </c>
      <c r="I322" s="37"/>
    </row>
    <row r="323" customFormat="false" ht="15" hidden="false" customHeight="true" outlineLevel="0" collapsed="false">
      <c r="A323" s="37" t="s">
        <v>1308</v>
      </c>
      <c r="B323" s="37" t="s">
        <v>427</v>
      </c>
      <c r="C323" s="37" t="s">
        <v>4874</v>
      </c>
      <c r="D323" s="37" t="s">
        <v>4875</v>
      </c>
      <c r="E323" s="37"/>
      <c r="F323" s="37" t="s">
        <v>4883</v>
      </c>
      <c r="G323" s="37" t="s">
        <v>4959</v>
      </c>
      <c r="H323" s="37" t="s">
        <v>4965</v>
      </c>
      <c r="I323" s="37"/>
    </row>
    <row r="324" customFormat="false" ht="15" hidden="false" customHeight="true" outlineLevel="0" collapsed="false">
      <c r="A324" s="37" t="s">
        <v>1308</v>
      </c>
      <c r="B324" s="37" t="s">
        <v>427</v>
      </c>
      <c r="C324" s="37" t="s">
        <v>4834</v>
      </c>
      <c r="D324" s="37" t="s">
        <v>4835</v>
      </c>
      <c r="E324" s="37"/>
      <c r="F324" s="37" t="s">
        <v>4842</v>
      </c>
      <c r="G324" s="37" t="s">
        <v>4951</v>
      </c>
      <c r="H324" s="37" t="s">
        <v>4965</v>
      </c>
      <c r="I324" s="37"/>
    </row>
    <row r="325" customFormat="false" ht="15" hidden="false" customHeight="true" outlineLevel="0" collapsed="false">
      <c r="A325" s="37" t="s">
        <v>1323</v>
      </c>
      <c r="B325" s="37" t="s">
        <v>427</v>
      </c>
      <c r="C325" s="37" t="s">
        <v>4834</v>
      </c>
      <c r="D325" s="37" t="s">
        <v>4835</v>
      </c>
      <c r="E325" s="37"/>
      <c r="F325" s="37" t="s">
        <v>4842</v>
      </c>
      <c r="G325" s="37" t="s">
        <v>4945</v>
      </c>
      <c r="H325" s="37" t="s">
        <v>4966</v>
      </c>
      <c r="I325" s="37"/>
    </row>
    <row r="326" customFormat="false" ht="15" hidden="false" customHeight="true" outlineLevel="0" collapsed="false">
      <c r="A326" s="37" t="s">
        <v>1326</v>
      </c>
      <c r="B326" s="37" t="s">
        <v>427</v>
      </c>
      <c r="C326" s="37" t="s">
        <v>4834</v>
      </c>
      <c r="D326" s="37" t="s">
        <v>4835</v>
      </c>
      <c r="E326" s="37"/>
      <c r="F326" s="37" t="s">
        <v>4836</v>
      </c>
      <c r="G326" s="37" t="s">
        <v>4944</v>
      </c>
      <c r="H326" s="54" t="s">
        <v>1327</v>
      </c>
      <c r="I326" s="37"/>
    </row>
    <row r="327" customFormat="false" ht="15" hidden="false" customHeight="true" outlineLevel="0" collapsed="false">
      <c r="A327" s="37" t="s">
        <v>1328</v>
      </c>
      <c r="B327" s="37" t="s">
        <v>427</v>
      </c>
      <c r="C327" s="37" t="s">
        <v>4834</v>
      </c>
      <c r="D327" s="37" t="s">
        <v>4835</v>
      </c>
      <c r="E327" s="37"/>
      <c r="F327" s="37" t="s">
        <v>4836</v>
      </c>
      <c r="G327" s="37" t="s">
        <v>4959</v>
      </c>
      <c r="H327" s="54" t="s">
        <v>1329</v>
      </c>
      <c r="I327" s="37"/>
    </row>
    <row r="328" customFormat="false" ht="15" hidden="false" customHeight="true" outlineLevel="0" collapsed="false">
      <c r="A328" s="37" t="s">
        <v>1334</v>
      </c>
      <c r="B328" s="37" t="s">
        <v>427</v>
      </c>
      <c r="C328" s="37" t="s">
        <v>4834</v>
      </c>
      <c r="D328" s="37" t="s">
        <v>4835</v>
      </c>
      <c r="E328" s="37"/>
      <c r="F328" s="37" t="s">
        <v>4836</v>
      </c>
      <c r="G328" s="37" t="s">
        <v>4959</v>
      </c>
      <c r="H328" s="37" t="s">
        <v>4967</v>
      </c>
      <c r="I328" s="37"/>
    </row>
    <row r="329" customFormat="false" ht="15" hidden="false" customHeight="true" outlineLevel="0" collapsed="false">
      <c r="A329" s="37" t="s">
        <v>1337</v>
      </c>
      <c r="B329" s="37" t="s">
        <v>427</v>
      </c>
      <c r="C329" s="37" t="s">
        <v>4834</v>
      </c>
      <c r="D329" s="37" t="s">
        <v>4835</v>
      </c>
      <c r="E329" s="37"/>
      <c r="F329" s="37" t="s">
        <v>4836</v>
      </c>
      <c r="G329" s="37" t="s">
        <v>4968</v>
      </c>
      <c r="H329" s="54" t="s">
        <v>1338</v>
      </c>
      <c r="I329" s="37"/>
    </row>
    <row r="330" customFormat="false" ht="15" hidden="false" customHeight="true" outlineLevel="0" collapsed="false">
      <c r="A330" s="37" t="s">
        <v>1340</v>
      </c>
      <c r="B330" s="37" t="s">
        <v>427</v>
      </c>
      <c r="C330" s="37" t="s">
        <v>4834</v>
      </c>
      <c r="D330" s="37" t="s">
        <v>4835</v>
      </c>
      <c r="E330" s="37"/>
      <c r="F330" s="37" t="s">
        <v>4842</v>
      </c>
      <c r="G330" s="37" t="s">
        <v>4959</v>
      </c>
      <c r="H330" s="37" t="s">
        <v>4969</v>
      </c>
      <c r="I330" s="37"/>
    </row>
    <row r="331" customFormat="false" ht="15" hidden="false" customHeight="true" outlineLevel="0" collapsed="false">
      <c r="A331" s="37" t="s">
        <v>1343</v>
      </c>
      <c r="B331" s="37" t="s">
        <v>427</v>
      </c>
      <c r="C331" s="37" t="s">
        <v>4874</v>
      </c>
      <c r="D331" s="37" t="s">
        <v>4889</v>
      </c>
      <c r="E331" s="37"/>
      <c r="F331" s="37" t="s">
        <v>4914</v>
      </c>
      <c r="G331" s="37" t="s">
        <v>4905</v>
      </c>
      <c r="H331" s="37" t="s">
        <v>4970</v>
      </c>
      <c r="I331" s="37"/>
    </row>
    <row r="332" customFormat="false" ht="15" hidden="false" customHeight="true" outlineLevel="0" collapsed="false">
      <c r="A332" s="37" t="s">
        <v>1343</v>
      </c>
      <c r="B332" s="37" t="s">
        <v>427</v>
      </c>
      <c r="C332" s="37" t="s">
        <v>4834</v>
      </c>
      <c r="D332" s="37" t="s">
        <v>4835</v>
      </c>
      <c r="E332" s="37"/>
      <c r="F332" s="37" t="s">
        <v>4836</v>
      </c>
      <c r="G332" s="37" t="s">
        <v>4959</v>
      </c>
      <c r="H332" s="37" t="s">
        <v>4970</v>
      </c>
      <c r="I332" s="37"/>
    </row>
    <row r="333" customFormat="false" ht="15" hidden="false" customHeight="true" outlineLevel="0" collapsed="false">
      <c r="A333" s="37" t="s">
        <v>1349</v>
      </c>
      <c r="B333" s="37" t="s">
        <v>427</v>
      </c>
      <c r="C333" s="37" t="s">
        <v>4834</v>
      </c>
      <c r="D333" s="37" t="s">
        <v>4835</v>
      </c>
      <c r="E333" s="54" t="s">
        <v>4900</v>
      </c>
      <c r="F333" s="37" t="s">
        <v>4842</v>
      </c>
      <c r="G333" s="37" t="s">
        <v>4908</v>
      </c>
      <c r="H333" s="54" t="s">
        <v>4901</v>
      </c>
      <c r="I333" s="37"/>
    </row>
    <row r="334" customFormat="false" ht="15" hidden="false" customHeight="true" outlineLevel="0" collapsed="false">
      <c r="A334" s="37" t="s">
        <v>1349</v>
      </c>
      <c r="B334" s="37" t="s">
        <v>427</v>
      </c>
      <c r="C334" s="37" t="s">
        <v>4834</v>
      </c>
      <c r="D334" s="37" t="s">
        <v>4835</v>
      </c>
      <c r="E334" s="54" t="s">
        <v>4934</v>
      </c>
      <c r="F334" s="37" t="s">
        <v>4836</v>
      </c>
      <c r="G334" s="37" t="s">
        <v>4908</v>
      </c>
      <c r="H334" s="54" t="s">
        <v>683</v>
      </c>
      <c r="I334" s="37"/>
    </row>
    <row r="335" customFormat="false" ht="15" hidden="false" customHeight="true" outlineLevel="0" collapsed="false">
      <c r="A335" s="37" t="s">
        <v>1349</v>
      </c>
      <c r="B335" s="37" t="s">
        <v>427</v>
      </c>
      <c r="C335" s="37" t="s">
        <v>4834</v>
      </c>
      <c r="D335" s="37" t="s">
        <v>4835</v>
      </c>
      <c r="E335" s="54" t="s">
        <v>4935</v>
      </c>
      <c r="F335" s="37" t="s">
        <v>4836</v>
      </c>
      <c r="G335" s="37" t="s">
        <v>4908</v>
      </c>
      <c r="H335" s="54" t="s">
        <v>4898</v>
      </c>
      <c r="I335" s="37"/>
    </row>
    <row r="336" customFormat="false" ht="15" hidden="false" customHeight="true" outlineLevel="0" collapsed="false">
      <c r="A336" s="37" t="s">
        <v>1351</v>
      </c>
      <c r="B336" s="37" t="s">
        <v>427</v>
      </c>
      <c r="C336" s="37" t="s">
        <v>4834</v>
      </c>
      <c r="D336" s="37" t="s">
        <v>4835</v>
      </c>
      <c r="E336" s="37"/>
      <c r="F336" s="37" t="s">
        <v>4836</v>
      </c>
      <c r="G336" s="37" t="s">
        <v>4939</v>
      </c>
      <c r="H336" s="37" t="s">
        <v>4971</v>
      </c>
      <c r="I336" s="37"/>
    </row>
    <row r="337" customFormat="false" ht="15" hidden="false" customHeight="true" outlineLevel="0" collapsed="false">
      <c r="A337" s="37" t="s">
        <v>1353</v>
      </c>
      <c r="B337" s="37" t="s">
        <v>427</v>
      </c>
      <c r="C337" s="37" t="s">
        <v>4834</v>
      </c>
      <c r="D337" s="37" t="s">
        <v>4835</v>
      </c>
      <c r="E337" s="37"/>
      <c r="F337" s="37" t="s">
        <v>4842</v>
      </c>
      <c r="G337" s="37" t="s">
        <v>4959</v>
      </c>
      <c r="H337" s="37" t="s">
        <v>4972</v>
      </c>
      <c r="I337" s="37"/>
    </row>
    <row r="338" customFormat="false" ht="15" hidden="false" customHeight="true" outlineLevel="0" collapsed="false">
      <c r="A338" s="37" t="s">
        <v>1355</v>
      </c>
      <c r="B338" s="37" t="s">
        <v>427</v>
      </c>
      <c r="C338" s="37" t="s">
        <v>4874</v>
      </c>
      <c r="D338" s="37" t="s">
        <v>4875</v>
      </c>
      <c r="E338" s="37"/>
      <c r="F338" s="37" t="s">
        <v>4885</v>
      </c>
      <c r="G338" s="37" t="s">
        <v>4949</v>
      </c>
      <c r="H338" s="37" t="s">
        <v>4973</v>
      </c>
      <c r="I338" s="37"/>
    </row>
    <row r="339" customFormat="false" ht="15" hidden="false" customHeight="true" outlineLevel="0" collapsed="false">
      <c r="A339" s="37" t="s">
        <v>1371</v>
      </c>
      <c r="B339" s="37" t="s">
        <v>434</v>
      </c>
      <c r="C339" s="37" t="s">
        <v>4834</v>
      </c>
      <c r="D339" s="37" t="s">
        <v>4835</v>
      </c>
      <c r="E339" s="37"/>
      <c r="F339" s="37" t="s">
        <v>4842</v>
      </c>
      <c r="G339" s="37" t="s">
        <v>4974</v>
      </c>
      <c r="H339" s="37" t="s">
        <v>4975</v>
      </c>
      <c r="I339" s="37"/>
    </row>
    <row r="340" customFormat="false" ht="15" hidden="false" customHeight="true" outlineLevel="0" collapsed="false">
      <c r="A340" s="37" t="s">
        <v>1376</v>
      </c>
      <c r="B340" s="37" t="s">
        <v>434</v>
      </c>
      <c r="C340" s="37" t="s">
        <v>4834</v>
      </c>
      <c r="D340" s="37" t="s">
        <v>4835</v>
      </c>
      <c r="E340" s="37"/>
      <c r="F340" s="37" t="s">
        <v>4836</v>
      </c>
      <c r="G340" s="37" t="s">
        <v>4974</v>
      </c>
      <c r="H340" s="54" t="s">
        <v>1377</v>
      </c>
      <c r="I340" s="37"/>
    </row>
    <row r="341" customFormat="false" ht="15" hidden="false" customHeight="true" outlineLevel="0" collapsed="false">
      <c r="A341" s="37" t="s">
        <v>1379</v>
      </c>
      <c r="B341" s="37" t="s">
        <v>434</v>
      </c>
      <c r="C341" s="37" t="s">
        <v>4874</v>
      </c>
      <c r="D341" s="37" t="s">
        <v>4875</v>
      </c>
      <c r="E341" s="37"/>
      <c r="F341" s="37" t="s">
        <v>4892</v>
      </c>
      <c r="G341" s="37" t="s">
        <v>4976</v>
      </c>
      <c r="H341" s="37" t="s">
        <v>4977</v>
      </c>
      <c r="I341" s="37"/>
    </row>
    <row r="342" customFormat="false" ht="15" hidden="false" customHeight="true" outlineLevel="0" collapsed="false">
      <c r="A342" s="37" t="s">
        <v>1385</v>
      </c>
      <c r="B342" s="37" t="s">
        <v>434</v>
      </c>
      <c r="C342" s="37" t="s">
        <v>4834</v>
      </c>
      <c r="D342" s="37" t="s">
        <v>4835</v>
      </c>
      <c r="E342" s="37"/>
      <c r="F342" s="37" t="s">
        <v>4842</v>
      </c>
      <c r="G342" s="37" t="s">
        <v>4974</v>
      </c>
      <c r="H342" s="37" t="s">
        <v>4978</v>
      </c>
      <c r="I342" s="37"/>
    </row>
    <row r="343" customFormat="false" ht="15" hidden="false" customHeight="true" outlineLevel="0" collapsed="false">
      <c r="A343" s="37" t="s">
        <v>1388</v>
      </c>
      <c r="B343" s="37" t="s">
        <v>434</v>
      </c>
      <c r="C343" s="37" t="s">
        <v>4834</v>
      </c>
      <c r="D343" s="37" t="s">
        <v>4835</v>
      </c>
      <c r="E343" s="37"/>
      <c r="F343" s="37" t="s">
        <v>4842</v>
      </c>
      <c r="G343" s="37" t="s">
        <v>4979</v>
      </c>
      <c r="H343" s="37" t="s">
        <v>4980</v>
      </c>
      <c r="I343" s="37"/>
    </row>
    <row r="344" customFormat="false" ht="15" hidden="false" customHeight="true" outlineLevel="0" collapsed="false">
      <c r="A344" s="37" t="s">
        <v>1391</v>
      </c>
      <c r="B344" s="37" t="s">
        <v>434</v>
      </c>
      <c r="C344" s="37" t="s">
        <v>4874</v>
      </c>
      <c r="D344" s="37" t="s">
        <v>4875</v>
      </c>
      <c r="E344" s="37"/>
      <c r="F344" s="37" t="s">
        <v>4885</v>
      </c>
      <c r="G344" s="37" t="s">
        <v>4913</v>
      </c>
      <c r="H344" s="54" t="s">
        <v>1392</v>
      </c>
      <c r="I344" s="37"/>
    </row>
    <row r="345" customFormat="false" ht="15" hidden="false" customHeight="true" outlineLevel="0" collapsed="false">
      <c r="A345" s="37" t="s">
        <v>1391</v>
      </c>
      <c r="B345" s="37" t="s">
        <v>434</v>
      </c>
      <c r="C345" s="37" t="s">
        <v>4834</v>
      </c>
      <c r="D345" s="37" t="s">
        <v>4835</v>
      </c>
      <c r="E345" s="37"/>
      <c r="F345" s="37" t="s">
        <v>4836</v>
      </c>
      <c r="G345" s="37" t="s">
        <v>4974</v>
      </c>
      <c r="H345" s="54" t="s">
        <v>1392</v>
      </c>
      <c r="I345" s="37"/>
    </row>
    <row r="346" customFormat="false" ht="15" hidden="false" customHeight="true" outlineLevel="0" collapsed="false">
      <c r="A346" s="37" t="s">
        <v>1394</v>
      </c>
      <c r="B346" s="37" t="s">
        <v>434</v>
      </c>
      <c r="C346" s="37" t="s">
        <v>4874</v>
      </c>
      <c r="D346" s="37" t="s">
        <v>4875</v>
      </c>
      <c r="E346" s="37"/>
      <c r="F346" s="37" t="s">
        <v>4885</v>
      </c>
      <c r="G346" s="37" t="s">
        <v>4915</v>
      </c>
      <c r="H346" s="54" t="s">
        <v>1395</v>
      </c>
      <c r="I346" s="37"/>
    </row>
    <row r="347" customFormat="false" ht="15" hidden="false" customHeight="true" outlineLevel="0" collapsed="false">
      <c r="A347" s="37" t="s">
        <v>1394</v>
      </c>
      <c r="B347" s="37" t="s">
        <v>434</v>
      </c>
      <c r="C347" s="37" t="s">
        <v>4834</v>
      </c>
      <c r="D347" s="37" t="s">
        <v>4835</v>
      </c>
      <c r="E347" s="37"/>
      <c r="F347" s="37" t="s">
        <v>4836</v>
      </c>
      <c r="G347" s="37" t="s">
        <v>4979</v>
      </c>
      <c r="H347" s="54" t="s">
        <v>1395</v>
      </c>
      <c r="I347" s="37"/>
    </row>
    <row r="348" customFormat="false" ht="15" hidden="false" customHeight="true" outlineLevel="0" collapsed="false">
      <c r="A348" s="37" t="s">
        <v>1398</v>
      </c>
      <c r="B348" s="37" t="s">
        <v>434</v>
      </c>
      <c r="C348" s="37" t="s">
        <v>4874</v>
      </c>
      <c r="D348" s="37" t="s">
        <v>4875</v>
      </c>
      <c r="E348" s="37" t="s">
        <v>4981</v>
      </c>
      <c r="F348" s="37" t="s">
        <v>4885</v>
      </c>
      <c r="G348" s="37" t="s">
        <v>4982</v>
      </c>
      <c r="H348" s="37" t="s">
        <v>4983</v>
      </c>
      <c r="I348" s="37"/>
    </row>
    <row r="349" customFormat="false" ht="15" hidden="false" customHeight="true" outlineLevel="0" collapsed="false">
      <c r="A349" s="37" t="s">
        <v>1398</v>
      </c>
      <c r="B349" s="37" t="s">
        <v>434</v>
      </c>
      <c r="C349" s="37" t="s">
        <v>4834</v>
      </c>
      <c r="D349" s="37" t="s">
        <v>4835</v>
      </c>
      <c r="E349" s="37"/>
      <c r="F349" s="37" t="s">
        <v>4842</v>
      </c>
      <c r="G349" s="37" t="s">
        <v>4979</v>
      </c>
      <c r="H349" s="37" t="s">
        <v>4983</v>
      </c>
      <c r="I349" s="37"/>
    </row>
    <row r="350" customFormat="false" ht="15" hidden="false" customHeight="true" outlineLevel="0" collapsed="false">
      <c r="A350" s="37" t="s">
        <v>1405</v>
      </c>
      <c r="B350" s="37" t="s">
        <v>434</v>
      </c>
      <c r="C350" s="37" t="s">
        <v>4874</v>
      </c>
      <c r="D350" s="37" t="s">
        <v>4875</v>
      </c>
      <c r="E350" s="37"/>
      <c r="F350" s="37" t="s">
        <v>4883</v>
      </c>
      <c r="G350" s="37" t="s">
        <v>4984</v>
      </c>
      <c r="H350" s="54" t="s">
        <v>1406</v>
      </c>
      <c r="I350" s="37"/>
    </row>
    <row r="351" customFormat="false" ht="15" hidden="false" customHeight="true" outlineLevel="0" collapsed="false">
      <c r="A351" s="37" t="s">
        <v>1408</v>
      </c>
      <c r="B351" s="37" t="s">
        <v>434</v>
      </c>
      <c r="C351" s="37" t="s">
        <v>4874</v>
      </c>
      <c r="D351" s="37" t="s">
        <v>4875</v>
      </c>
      <c r="E351" s="37"/>
      <c r="F351" s="37" t="s">
        <v>4884</v>
      </c>
      <c r="G351" s="37" t="s">
        <v>4985</v>
      </c>
      <c r="H351" s="54" t="s">
        <v>1409</v>
      </c>
      <c r="I351" s="37"/>
    </row>
    <row r="352" customFormat="false" ht="15" hidden="false" customHeight="true" outlineLevel="0" collapsed="false">
      <c r="A352" s="37" t="s">
        <v>1408</v>
      </c>
      <c r="B352" s="37" t="s">
        <v>434</v>
      </c>
      <c r="C352" s="37" t="s">
        <v>4834</v>
      </c>
      <c r="D352" s="37" t="s">
        <v>4835</v>
      </c>
      <c r="E352" s="37"/>
      <c r="F352" s="37" t="s">
        <v>4842</v>
      </c>
      <c r="G352" s="37" t="s">
        <v>4986</v>
      </c>
      <c r="H352" s="54" t="s">
        <v>1409</v>
      </c>
      <c r="I352" s="37"/>
    </row>
    <row r="353" customFormat="false" ht="15" hidden="false" customHeight="true" outlineLevel="0" collapsed="false">
      <c r="A353" s="37" t="s">
        <v>1411</v>
      </c>
      <c r="B353" s="37" t="s">
        <v>434</v>
      </c>
      <c r="C353" s="37" t="s">
        <v>4834</v>
      </c>
      <c r="D353" s="37" t="s">
        <v>4835</v>
      </c>
      <c r="E353" s="37"/>
      <c r="F353" s="37" t="s">
        <v>4842</v>
      </c>
      <c r="G353" s="37" t="s">
        <v>4986</v>
      </c>
      <c r="H353" s="37" t="s">
        <v>4987</v>
      </c>
      <c r="I353" s="37"/>
    </row>
    <row r="354" customFormat="false" ht="15" hidden="false" customHeight="true" outlineLevel="0" collapsed="false">
      <c r="A354" s="37" t="s">
        <v>1414</v>
      </c>
      <c r="B354" s="37" t="s">
        <v>434</v>
      </c>
      <c r="C354" s="37" t="s">
        <v>4874</v>
      </c>
      <c r="D354" s="37" t="s">
        <v>4875</v>
      </c>
      <c r="E354" s="37"/>
      <c r="F354" s="37" t="s">
        <v>4883</v>
      </c>
      <c r="G354" s="37" t="s">
        <v>4982</v>
      </c>
      <c r="H354" s="54" t="s">
        <v>1415</v>
      </c>
      <c r="I354" s="37"/>
    </row>
    <row r="355" customFormat="false" ht="15" hidden="false" customHeight="true" outlineLevel="0" collapsed="false">
      <c r="A355" s="37" t="s">
        <v>1421</v>
      </c>
      <c r="B355" s="37" t="s">
        <v>434</v>
      </c>
      <c r="C355" s="37" t="s">
        <v>4834</v>
      </c>
      <c r="D355" s="37" t="s">
        <v>4835</v>
      </c>
      <c r="E355" s="37"/>
      <c r="F355" s="37" t="s">
        <v>4842</v>
      </c>
      <c r="G355" s="37" t="s">
        <v>4974</v>
      </c>
      <c r="H355" s="54" t="s">
        <v>1422</v>
      </c>
      <c r="I355" s="37"/>
    </row>
    <row r="356" customFormat="false" ht="15" hidden="false" customHeight="true" outlineLevel="0" collapsed="false">
      <c r="A356" s="37" t="s">
        <v>1424</v>
      </c>
      <c r="B356" s="37" t="s">
        <v>434</v>
      </c>
      <c r="C356" s="37" t="s">
        <v>4874</v>
      </c>
      <c r="D356" s="37" t="s">
        <v>4875</v>
      </c>
      <c r="E356" s="37"/>
      <c r="F356" s="37" t="s">
        <v>4883</v>
      </c>
      <c r="G356" s="37" t="s">
        <v>4982</v>
      </c>
      <c r="H356" s="37" t="s">
        <v>4988</v>
      </c>
      <c r="I356" s="37"/>
    </row>
    <row r="357" customFormat="false" ht="15" hidden="false" customHeight="true" outlineLevel="0" collapsed="false">
      <c r="A357" s="37" t="s">
        <v>1427</v>
      </c>
      <c r="B357" s="37" t="s">
        <v>434</v>
      </c>
      <c r="C357" s="37" t="s">
        <v>4834</v>
      </c>
      <c r="D357" s="37" t="s">
        <v>4835</v>
      </c>
      <c r="E357" s="37"/>
      <c r="F357" s="37" t="s">
        <v>4842</v>
      </c>
      <c r="G357" s="37" t="s">
        <v>4974</v>
      </c>
      <c r="H357" s="54" t="s">
        <v>1428</v>
      </c>
      <c r="I357" s="37"/>
    </row>
    <row r="358" customFormat="false" ht="15" hidden="false" customHeight="true" outlineLevel="0" collapsed="false">
      <c r="A358" s="37" t="s">
        <v>1434</v>
      </c>
      <c r="B358" s="37" t="s">
        <v>434</v>
      </c>
      <c r="C358" s="37" t="s">
        <v>4874</v>
      </c>
      <c r="D358" s="37" t="s">
        <v>4875</v>
      </c>
      <c r="E358" s="37"/>
      <c r="F358" s="37" t="s">
        <v>4884</v>
      </c>
      <c r="G358" s="37" t="s">
        <v>4982</v>
      </c>
      <c r="H358" s="54" t="s">
        <v>1435</v>
      </c>
      <c r="I358" s="37"/>
    </row>
    <row r="359" customFormat="false" ht="15" hidden="false" customHeight="true" outlineLevel="0" collapsed="false">
      <c r="A359" s="37" t="s">
        <v>1440</v>
      </c>
      <c r="B359" s="37" t="s">
        <v>434</v>
      </c>
      <c r="C359" s="37" t="s">
        <v>4874</v>
      </c>
      <c r="D359" s="37" t="s">
        <v>4875</v>
      </c>
      <c r="E359" s="37"/>
      <c r="F359" s="37" t="s">
        <v>4883</v>
      </c>
      <c r="G359" s="37" t="s">
        <v>4982</v>
      </c>
      <c r="H359" s="37" t="s">
        <v>4989</v>
      </c>
      <c r="I359" s="37"/>
    </row>
    <row r="360" customFormat="false" ht="15" hidden="false" customHeight="true" outlineLevel="0" collapsed="false">
      <c r="A360" s="37" t="s">
        <v>1440</v>
      </c>
      <c r="B360" s="37" t="s">
        <v>434</v>
      </c>
      <c r="C360" s="37" t="s">
        <v>4834</v>
      </c>
      <c r="D360" s="37" t="s">
        <v>4835</v>
      </c>
      <c r="E360" s="37"/>
      <c r="F360" s="37" t="s">
        <v>4842</v>
      </c>
      <c r="G360" s="37" t="s">
        <v>4974</v>
      </c>
      <c r="H360" s="37" t="s">
        <v>4989</v>
      </c>
      <c r="I360" s="37"/>
    </row>
    <row r="361" customFormat="false" ht="15" hidden="false" customHeight="true" outlineLevel="0" collapsed="false">
      <c r="A361" s="37" t="s">
        <v>1443</v>
      </c>
      <c r="B361" s="37" t="s">
        <v>434</v>
      </c>
      <c r="C361" s="37" t="s">
        <v>4834</v>
      </c>
      <c r="D361" s="37" t="s">
        <v>4835</v>
      </c>
      <c r="E361" s="37"/>
      <c r="F361" s="37" t="s">
        <v>4836</v>
      </c>
      <c r="G361" s="37" t="s">
        <v>4979</v>
      </c>
      <c r="H361" s="54" t="s">
        <v>1444</v>
      </c>
      <c r="I361" s="37"/>
    </row>
    <row r="362" customFormat="false" ht="15" hidden="false" customHeight="true" outlineLevel="0" collapsed="false">
      <c r="A362" s="37" t="s">
        <v>1447</v>
      </c>
      <c r="B362" s="37" t="s">
        <v>434</v>
      </c>
      <c r="C362" s="37" t="s">
        <v>4834</v>
      </c>
      <c r="D362" s="37" t="s">
        <v>4835</v>
      </c>
      <c r="E362" s="37"/>
      <c r="F362" s="37" t="s">
        <v>4836</v>
      </c>
      <c r="G362" s="37" t="s">
        <v>4979</v>
      </c>
      <c r="H362" s="54" t="s">
        <v>1448</v>
      </c>
      <c r="I362" s="37"/>
    </row>
    <row r="363" customFormat="false" ht="15" hidden="false" customHeight="true" outlineLevel="0" collapsed="false">
      <c r="A363" s="37" t="s">
        <v>1453</v>
      </c>
      <c r="B363" s="37" t="s">
        <v>434</v>
      </c>
      <c r="C363" s="37" t="s">
        <v>4874</v>
      </c>
      <c r="D363" s="37" t="s">
        <v>4875</v>
      </c>
      <c r="E363" s="37"/>
      <c r="F363" s="37" t="s">
        <v>4892</v>
      </c>
      <c r="G363" s="37" t="s">
        <v>4982</v>
      </c>
      <c r="H363" s="54" t="s">
        <v>1454</v>
      </c>
      <c r="I363" s="37"/>
    </row>
    <row r="364" customFormat="false" ht="15" hidden="false" customHeight="true" outlineLevel="0" collapsed="false">
      <c r="A364" s="37" t="s">
        <v>1459</v>
      </c>
      <c r="B364" s="37" t="s">
        <v>434</v>
      </c>
      <c r="C364" s="37" t="s">
        <v>4931</v>
      </c>
      <c r="D364" s="37" t="s">
        <v>4990</v>
      </c>
      <c r="E364" s="54" t="s">
        <v>4991</v>
      </c>
      <c r="F364" s="37" t="s">
        <v>4992</v>
      </c>
      <c r="G364" s="37" t="s">
        <v>4993</v>
      </c>
      <c r="H364" s="54" t="s">
        <v>1460</v>
      </c>
      <c r="I364" s="37"/>
    </row>
    <row r="365" customFormat="false" ht="15" hidden="false" customHeight="true" outlineLevel="0" collapsed="false">
      <c r="A365" s="37" t="s">
        <v>1459</v>
      </c>
      <c r="B365" s="37" t="s">
        <v>434</v>
      </c>
      <c r="C365" s="37" t="s">
        <v>4931</v>
      </c>
      <c r="D365" s="37" t="s">
        <v>4994</v>
      </c>
      <c r="E365" s="37"/>
      <c r="F365" s="37" t="s">
        <v>4992</v>
      </c>
      <c r="G365" s="37" t="s">
        <v>4995</v>
      </c>
      <c r="H365" s="54" t="s">
        <v>1460</v>
      </c>
      <c r="I365" s="37"/>
    </row>
    <row r="366" customFormat="false" ht="15" hidden="false" customHeight="true" outlineLevel="0" collapsed="false">
      <c r="A366" s="37" t="s">
        <v>3886</v>
      </c>
      <c r="B366" s="37" t="s">
        <v>440</v>
      </c>
      <c r="C366" s="37" t="s">
        <v>4834</v>
      </c>
      <c r="D366" s="37" t="s">
        <v>4835</v>
      </c>
      <c r="E366" s="37"/>
      <c r="F366" s="37" t="s">
        <v>4836</v>
      </c>
      <c r="G366" s="37"/>
      <c r="H366" s="54" t="s">
        <v>3887</v>
      </c>
      <c r="I366" s="37"/>
    </row>
    <row r="367" customFormat="false" ht="15" hidden="false" customHeight="true" outlineLevel="0" collapsed="false">
      <c r="A367" s="37" t="s">
        <v>3893</v>
      </c>
      <c r="B367" s="37" t="s">
        <v>440</v>
      </c>
      <c r="C367" s="37" t="s">
        <v>4866</v>
      </c>
      <c r="D367" s="37" t="s">
        <v>4867</v>
      </c>
      <c r="E367" s="37"/>
      <c r="F367" s="37" t="s">
        <v>4885</v>
      </c>
      <c r="G367" s="37"/>
      <c r="H367" s="54" t="s">
        <v>3894</v>
      </c>
      <c r="I367" s="37"/>
    </row>
    <row r="368" customFormat="false" ht="15" hidden="false" customHeight="true" outlineLevel="0" collapsed="false">
      <c r="A368" s="37" t="s">
        <v>3893</v>
      </c>
      <c r="B368" s="37" t="s">
        <v>440</v>
      </c>
      <c r="C368" s="37" t="s">
        <v>4834</v>
      </c>
      <c r="D368" s="37" t="s">
        <v>4835</v>
      </c>
      <c r="E368" s="37"/>
      <c r="F368" s="37" t="s">
        <v>4836</v>
      </c>
      <c r="G368" s="37"/>
      <c r="H368" s="54" t="s">
        <v>3894</v>
      </c>
      <c r="I368" s="37"/>
    </row>
    <row r="369" customFormat="false" ht="15" hidden="false" customHeight="true" outlineLevel="0" collapsed="false">
      <c r="A369" s="37" t="s">
        <v>3897</v>
      </c>
      <c r="B369" s="37" t="s">
        <v>440</v>
      </c>
      <c r="C369" s="37" t="s">
        <v>4834</v>
      </c>
      <c r="D369" s="37" t="s">
        <v>4835</v>
      </c>
      <c r="E369" s="37"/>
      <c r="F369" s="37" t="s">
        <v>4842</v>
      </c>
      <c r="G369" s="37"/>
      <c r="H369" s="54" t="s">
        <v>3898</v>
      </c>
      <c r="I369" s="37"/>
    </row>
    <row r="370" customFormat="false" ht="15" hidden="false" customHeight="true" outlineLevel="0" collapsed="false">
      <c r="A370" s="37" t="s">
        <v>3899</v>
      </c>
      <c r="B370" s="37" t="s">
        <v>440</v>
      </c>
      <c r="C370" s="37" t="s">
        <v>4874</v>
      </c>
      <c r="D370" s="37" t="s">
        <v>4875</v>
      </c>
      <c r="E370" s="37"/>
      <c r="F370" s="37" t="s">
        <v>4884</v>
      </c>
      <c r="G370" s="37"/>
      <c r="H370" s="54" t="s">
        <v>3900</v>
      </c>
      <c r="I370" s="37"/>
    </row>
    <row r="371" customFormat="false" ht="15" hidden="false" customHeight="true" outlineLevel="0" collapsed="false">
      <c r="A371" s="37" t="s">
        <v>3899</v>
      </c>
      <c r="B371" s="37" t="s">
        <v>440</v>
      </c>
      <c r="C371" s="37" t="s">
        <v>4834</v>
      </c>
      <c r="D371" s="37" t="s">
        <v>4835</v>
      </c>
      <c r="E371" s="37"/>
      <c r="F371" s="37" t="s">
        <v>4842</v>
      </c>
      <c r="G371" s="37"/>
      <c r="H371" s="54" t="s">
        <v>3900</v>
      </c>
      <c r="I371" s="37"/>
    </row>
    <row r="372" customFormat="false" ht="15" hidden="false" customHeight="true" outlineLevel="0" collapsed="false">
      <c r="A372" s="37" t="s">
        <v>3901</v>
      </c>
      <c r="B372" s="37" t="s">
        <v>440</v>
      </c>
      <c r="C372" s="37" t="s">
        <v>4874</v>
      </c>
      <c r="D372" s="37" t="s">
        <v>4875</v>
      </c>
      <c r="E372" s="37"/>
      <c r="F372" s="37" t="s">
        <v>4884</v>
      </c>
      <c r="G372" s="37"/>
      <c r="H372" s="54" t="s">
        <v>3902</v>
      </c>
      <c r="I372" s="37"/>
    </row>
    <row r="373" customFormat="false" ht="15" hidden="false" customHeight="true" outlineLevel="0" collapsed="false">
      <c r="A373" s="37" t="s">
        <v>3901</v>
      </c>
      <c r="B373" s="37" t="s">
        <v>440</v>
      </c>
      <c r="C373" s="37" t="s">
        <v>4834</v>
      </c>
      <c r="D373" s="37" t="s">
        <v>4835</v>
      </c>
      <c r="E373" s="37"/>
      <c r="F373" s="37" t="s">
        <v>4836</v>
      </c>
      <c r="G373" s="37"/>
      <c r="H373" s="54" t="s">
        <v>3902</v>
      </c>
      <c r="I373" s="37"/>
    </row>
    <row r="374" customFormat="false" ht="15" hidden="false" customHeight="true" outlineLevel="0" collapsed="false">
      <c r="A374" s="37" t="s">
        <v>3903</v>
      </c>
      <c r="B374" s="37" t="s">
        <v>440</v>
      </c>
      <c r="C374" s="37" t="s">
        <v>4834</v>
      </c>
      <c r="D374" s="37" t="s">
        <v>4835</v>
      </c>
      <c r="E374" s="37"/>
      <c r="F374" s="37" t="s">
        <v>4836</v>
      </c>
      <c r="G374" s="37"/>
      <c r="H374" s="54" t="s">
        <v>3904</v>
      </c>
      <c r="I374" s="37"/>
    </row>
    <row r="375" customFormat="false" ht="15" hidden="false" customHeight="true" outlineLevel="0" collapsed="false">
      <c r="A375" s="37" t="s">
        <v>3905</v>
      </c>
      <c r="B375" s="37" t="s">
        <v>440</v>
      </c>
      <c r="C375" s="37" t="s">
        <v>4866</v>
      </c>
      <c r="D375" s="37" t="s">
        <v>4867</v>
      </c>
      <c r="E375" s="37"/>
      <c r="F375" s="37" t="s">
        <v>4886</v>
      </c>
      <c r="G375" s="37"/>
      <c r="H375" s="54" t="s">
        <v>1237</v>
      </c>
      <c r="I375" s="37"/>
    </row>
    <row r="376" customFormat="false" ht="15" hidden="false" customHeight="true" outlineLevel="0" collapsed="false">
      <c r="A376" s="37" t="s">
        <v>3905</v>
      </c>
      <c r="B376" s="37" t="s">
        <v>440</v>
      </c>
      <c r="C376" s="37" t="s">
        <v>4834</v>
      </c>
      <c r="D376" s="37" t="s">
        <v>4835</v>
      </c>
      <c r="E376" s="37"/>
      <c r="F376" s="37" t="s">
        <v>4836</v>
      </c>
      <c r="G376" s="37"/>
      <c r="H376" s="54" t="s">
        <v>1237</v>
      </c>
      <c r="I376" s="37"/>
    </row>
    <row r="377" customFormat="false" ht="15" hidden="false" customHeight="true" outlineLevel="0" collapsed="false">
      <c r="A377" s="37" t="s">
        <v>3907</v>
      </c>
      <c r="B377" s="37" t="s">
        <v>440</v>
      </c>
      <c r="C377" s="37" t="s">
        <v>4834</v>
      </c>
      <c r="D377" s="37" t="s">
        <v>4835</v>
      </c>
      <c r="E377" s="37"/>
      <c r="F377" s="37" t="s">
        <v>4836</v>
      </c>
      <c r="G377" s="37"/>
      <c r="H377" s="54" t="s">
        <v>3908</v>
      </c>
      <c r="I377" s="37"/>
    </row>
    <row r="378" customFormat="false" ht="15" hidden="false" customHeight="true" outlineLevel="0" collapsed="false">
      <c r="A378" s="37" t="s">
        <v>3911</v>
      </c>
      <c r="B378" s="37" t="s">
        <v>440</v>
      </c>
      <c r="C378" s="37" t="s">
        <v>4874</v>
      </c>
      <c r="D378" s="37" t="s">
        <v>4875</v>
      </c>
      <c r="E378" s="37"/>
      <c r="F378" s="37" t="s">
        <v>4884</v>
      </c>
      <c r="G378" s="37"/>
      <c r="H378" s="54" t="s">
        <v>3912</v>
      </c>
      <c r="I378" s="37"/>
    </row>
    <row r="379" customFormat="false" ht="15" hidden="false" customHeight="true" outlineLevel="0" collapsed="false">
      <c r="A379" s="37" t="s">
        <v>3911</v>
      </c>
      <c r="B379" s="37" t="s">
        <v>440</v>
      </c>
      <c r="C379" s="37" t="s">
        <v>4866</v>
      </c>
      <c r="D379" s="37" t="s">
        <v>4867</v>
      </c>
      <c r="E379" s="37"/>
      <c r="F379" s="37" t="s">
        <v>4885</v>
      </c>
      <c r="G379" s="37"/>
      <c r="H379" s="54" t="s">
        <v>3912</v>
      </c>
      <c r="I379" s="37"/>
    </row>
    <row r="380" customFormat="false" ht="15" hidden="false" customHeight="true" outlineLevel="0" collapsed="false">
      <c r="A380" s="37" t="s">
        <v>3913</v>
      </c>
      <c r="B380" s="37" t="s">
        <v>440</v>
      </c>
      <c r="C380" s="37" t="s">
        <v>4834</v>
      </c>
      <c r="D380" s="37" t="s">
        <v>4835</v>
      </c>
      <c r="E380" s="37"/>
      <c r="F380" s="37" t="s">
        <v>4842</v>
      </c>
      <c r="G380" s="37"/>
      <c r="H380" s="54" t="s">
        <v>3914</v>
      </c>
      <c r="I380" s="37"/>
    </row>
    <row r="381" customFormat="false" ht="15" hidden="false" customHeight="true" outlineLevel="0" collapsed="false">
      <c r="A381" s="37" t="s">
        <v>3915</v>
      </c>
      <c r="B381" s="37" t="s">
        <v>440</v>
      </c>
      <c r="C381" s="37" t="s">
        <v>4874</v>
      </c>
      <c r="D381" s="37" t="s">
        <v>4875</v>
      </c>
      <c r="E381" s="37"/>
      <c r="F381" s="37" t="s">
        <v>4884</v>
      </c>
      <c r="G381" s="37"/>
      <c r="H381" s="54" t="s">
        <v>3916</v>
      </c>
      <c r="I381" s="37"/>
    </row>
    <row r="382" customFormat="false" ht="15" hidden="false" customHeight="true" outlineLevel="0" collapsed="false">
      <c r="A382" s="37" t="s">
        <v>3915</v>
      </c>
      <c r="B382" s="37" t="s">
        <v>440</v>
      </c>
      <c r="C382" s="37" t="s">
        <v>4834</v>
      </c>
      <c r="D382" s="37" t="s">
        <v>4835</v>
      </c>
      <c r="E382" s="37"/>
      <c r="F382" s="37" t="s">
        <v>4836</v>
      </c>
      <c r="G382" s="37"/>
      <c r="H382" s="54" t="s">
        <v>3916</v>
      </c>
      <c r="I382" s="37"/>
    </row>
    <row r="383" customFormat="false" ht="15" hidden="false" customHeight="true" outlineLevel="0" collapsed="false">
      <c r="A383" s="37" t="s">
        <v>3917</v>
      </c>
      <c r="B383" s="37" t="s">
        <v>440</v>
      </c>
      <c r="C383" s="37" t="s">
        <v>4834</v>
      </c>
      <c r="D383" s="37" t="s">
        <v>4835</v>
      </c>
      <c r="E383" s="37"/>
      <c r="F383" s="37" t="s">
        <v>4842</v>
      </c>
      <c r="G383" s="37"/>
      <c r="H383" s="54" t="s">
        <v>3918</v>
      </c>
      <c r="I383" s="37"/>
    </row>
    <row r="384" customFormat="false" ht="15" hidden="false" customHeight="true" outlineLevel="0" collapsed="false">
      <c r="A384" s="37" t="s">
        <v>3920</v>
      </c>
      <c r="B384" s="37" t="s">
        <v>440</v>
      </c>
      <c r="C384" s="37" t="s">
        <v>4834</v>
      </c>
      <c r="D384" s="37" t="s">
        <v>4835</v>
      </c>
      <c r="E384" s="37"/>
      <c r="F384" s="37" t="s">
        <v>4842</v>
      </c>
      <c r="G384" s="37"/>
      <c r="H384" s="54" t="s">
        <v>3921</v>
      </c>
      <c r="I384" s="37"/>
    </row>
    <row r="385" customFormat="false" ht="15" hidden="false" customHeight="true" outlineLevel="0" collapsed="false">
      <c r="A385" s="37" t="s">
        <v>3926</v>
      </c>
      <c r="B385" s="37" t="s">
        <v>440</v>
      </c>
      <c r="C385" s="37" t="s">
        <v>4874</v>
      </c>
      <c r="D385" s="37" t="s">
        <v>4875</v>
      </c>
      <c r="E385" s="37"/>
      <c r="F385" s="37" t="s">
        <v>4884</v>
      </c>
      <c r="G385" s="37"/>
      <c r="H385" s="54" t="s">
        <v>3927</v>
      </c>
      <c r="I385" s="37"/>
    </row>
    <row r="386" customFormat="false" ht="15" hidden="false" customHeight="true" outlineLevel="0" collapsed="false">
      <c r="A386" s="37" t="s">
        <v>3926</v>
      </c>
      <c r="B386" s="37" t="s">
        <v>440</v>
      </c>
      <c r="C386" s="37" t="s">
        <v>4866</v>
      </c>
      <c r="D386" s="37" t="s">
        <v>4867</v>
      </c>
      <c r="E386" s="37"/>
      <c r="F386" s="37" t="s">
        <v>4886</v>
      </c>
      <c r="G386" s="37"/>
      <c r="H386" s="54" t="s">
        <v>3927</v>
      </c>
      <c r="I386" s="37"/>
    </row>
    <row r="387" customFormat="false" ht="15" hidden="false" customHeight="true" outlineLevel="0" collapsed="false">
      <c r="A387" s="37" t="s">
        <v>3930</v>
      </c>
      <c r="B387" s="37" t="s">
        <v>440</v>
      </c>
      <c r="C387" s="37" t="s">
        <v>4874</v>
      </c>
      <c r="D387" s="37" t="s">
        <v>4875</v>
      </c>
      <c r="E387" s="37"/>
      <c r="F387" s="37" t="s">
        <v>4884</v>
      </c>
      <c r="G387" s="37"/>
      <c r="H387" s="54" t="s">
        <v>3931</v>
      </c>
      <c r="I387" s="37"/>
    </row>
    <row r="388" customFormat="false" ht="15" hidden="false" customHeight="true" outlineLevel="0" collapsed="false">
      <c r="A388" s="37" t="s">
        <v>3930</v>
      </c>
      <c r="B388" s="37" t="s">
        <v>440</v>
      </c>
      <c r="C388" s="37" t="s">
        <v>4834</v>
      </c>
      <c r="D388" s="37" t="s">
        <v>4835</v>
      </c>
      <c r="E388" s="37"/>
      <c r="F388" s="37" t="s">
        <v>4842</v>
      </c>
      <c r="G388" s="37"/>
      <c r="H388" s="54" t="s">
        <v>3931</v>
      </c>
      <c r="I388" s="37"/>
    </row>
    <row r="389" customFormat="false" ht="15" hidden="false" customHeight="true" outlineLevel="0" collapsed="false">
      <c r="A389" s="37" t="s">
        <v>3932</v>
      </c>
      <c r="B389" s="37" t="s">
        <v>440</v>
      </c>
      <c r="C389" s="37" t="s">
        <v>4834</v>
      </c>
      <c r="D389" s="37" t="s">
        <v>4835</v>
      </c>
      <c r="E389" s="37"/>
      <c r="F389" s="37" t="s">
        <v>4836</v>
      </c>
      <c r="G389" s="37"/>
      <c r="H389" s="54" t="s">
        <v>3933</v>
      </c>
      <c r="I389" s="37"/>
    </row>
    <row r="390" customFormat="false" ht="15" hidden="false" customHeight="true" outlineLevel="0" collapsed="false">
      <c r="A390" s="37" t="s">
        <v>3934</v>
      </c>
      <c r="B390" s="37" t="s">
        <v>440</v>
      </c>
      <c r="C390" s="37" t="s">
        <v>4834</v>
      </c>
      <c r="D390" s="37" t="s">
        <v>4835</v>
      </c>
      <c r="E390" s="37"/>
      <c r="F390" s="37" t="s">
        <v>4842</v>
      </c>
      <c r="G390" s="37"/>
      <c r="H390" s="54" t="s">
        <v>3935</v>
      </c>
      <c r="I390" s="37"/>
    </row>
    <row r="391" customFormat="false" ht="15" hidden="false" customHeight="true" outlineLevel="0" collapsed="false">
      <c r="A391" s="37" t="s">
        <v>3938</v>
      </c>
      <c r="B391" s="37" t="s">
        <v>440</v>
      </c>
      <c r="C391" s="37" t="s">
        <v>4834</v>
      </c>
      <c r="D391" s="37" t="s">
        <v>4835</v>
      </c>
      <c r="E391" s="37"/>
      <c r="F391" s="37" t="s">
        <v>4836</v>
      </c>
      <c r="G391" s="37"/>
      <c r="H391" s="54" t="s">
        <v>3939</v>
      </c>
      <c r="I391" s="37"/>
    </row>
    <row r="392" customFormat="false" ht="15" hidden="false" customHeight="true" outlineLevel="0" collapsed="false">
      <c r="A392" s="37" t="s">
        <v>3942</v>
      </c>
      <c r="B392" s="37" t="s">
        <v>440</v>
      </c>
      <c r="C392" s="37" t="s">
        <v>4874</v>
      </c>
      <c r="D392" s="37" t="s">
        <v>4875</v>
      </c>
      <c r="E392" s="37"/>
      <c r="F392" s="37" t="s">
        <v>4884</v>
      </c>
      <c r="G392" s="37"/>
      <c r="H392" s="54" t="s">
        <v>3943</v>
      </c>
      <c r="I392" s="37"/>
    </row>
    <row r="393" customFormat="false" ht="15" hidden="false" customHeight="true" outlineLevel="0" collapsed="false">
      <c r="A393" s="37" t="s">
        <v>3942</v>
      </c>
      <c r="B393" s="37" t="s">
        <v>440</v>
      </c>
      <c r="C393" s="37" t="s">
        <v>4834</v>
      </c>
      <c r="D393" s="37" t="s">
        <v>4835</v>
      </c>
      <c r="E393" s="37"/>
      <c r="F393" s="37" t="s">
        <v>4842</v>
      </c>
      <c r="G393" s="37"/>
      <c r="H393" s="54" t="s">
        <v>3943</v>
      </c>
      <c r="I393" s="37"/>
    </row>
    <row r="394" customFormat="false" ht="15" hidden="false" customHeight="true" outlineLevel="0" collapsed="false">
      <c r="A394" s="37" t="s">
        <v>3948</v>
      </c>
      <c r="B394" s="37" t="s">
        <v>440</v>
      </c>
      <c r="C394" s="37" t="s">
        <v>4834</v>
      </c>
      <c r="D394" s="37" t="s">
        <v>4835</v>
      </c>
      <c r="E394" s="37"/>
      <c r="F394" s="37" t="s">
        <v>4842</v>
      </c>
      <c r="G394" s="37"/>
      <c r="H394" s="54" t="s">
        <v>3949</v>
      </c>
      <c r="I394" s="37"/>
    </row>
    <row r="395" customFormat="false" ht="15" hidden="false" customHeight="true" outlineLevel="0" collapsed="false">
      <c r="A395" s="37" t="s">
        <v>3950</v>
      </c>
      <c r="B395" s="37" t="s">
        <v>440</v>
      </c>
      <c r="C395" s="37" t="s">
        <v>4834</v>
      </c>
      <c r="D395" s="37" t="s">
        <v>4835</v>
      </c>
      <c r="E395" s="37"/>
      <c r="F395" s="37" t="s">
        <v>4836</v>
      </c>
      <c r="G395" s="37"/>
      <c r="H395" s="54" t="s">
        <v>3951</v>
      </c>
      <c r="I395" s="37"/>
    </row>
    <row r="396" customFormat="false" ht="15" hidden="false" customHeight="true" outlineLevel="0" collapsed="false">
      <c r="A396" s="37" t="s">
        <v>3959</v>
      </c>
      <c r="B396" s="37" t="s">
        <v>440</v>
      </c>
      <c r="C396" s="37" t="s">
        <v>4866</v>
      </c>
      <c r="D396" s="37" t="s">
        <v>4867</v>
      </c>
      <c r="E396" s="37"/>
      <c r="F396" s="37" t="s">
        <v>4884</v>
      </c>
      <c r="G396" s="37"/>
      <c r="H396" s="54" t="s">
        <v>4996</v>
      </c>
      <c r="I396" s="37"/>
    </row>
    <row r="397" customFormat="false" ht="15" hidden="false" customHeight="true" outlineLevel="0" collapsed="false">
      <c r="A397" s="37" t="s">
        <v>3959</v>
      </c>
      <c r="B397" s="37" t="s">
        <v>440</v>
      </c>
      <c r="C397" s="37" t="s">
        <v>4834</v>
      </c>
      <c r="D397" s="37" t="s">
        <v>4835</v>
      </c>
      <c r="E397" s="37"/>
      <c r="F397" s="37" t="s">
        <v>4836</v>
      </c>
      <c r="G397" s="37"/>
      <c r="H397" s="54" t="s">
        <v>4996</v>
      </c>
      <c r="I397" s="37"/>
    </row>
    <row r="398" customFormat="false" ht="15" hidden="false" customHeight="true" outlineLevel="0" collapsed="false">
      <c r="A398" s="37" t="s">
        <v>3961</v>
      </c>
      <c r="B398" s="37" t="s">
        <v>440</v>
      </c>
      <c r="C398" s="37" t="s">
        <v>4866</v>
      </c>
      <c r="D398" s="37" t="s">
        <v>4867</v>
      </c>
      <c r="E398" s="37"/>
      <c r="F398" s="37" t="s">
        <v>4885</v>
      </c>
      <c r="G398" s="37"/>
      <c r="H398" s="54" t="s">
        <v>4997</v>
      </c>
      <c r="I398" s="37"/>
    </row>
    <row r="399" customFormat="false" ht="15" hidden="false" customHeight="true" outlineLevel="0" collapsed="false">
      <c r="A399" s="37" t="s">
        <v>3961</v>
      </c>
      <c r="B399" s="37" t="s">
        <v>440</v>
      </c>
      <c r="C399" s="37" t="s">
        <v>4834</v>
      </c>
      <c r="D399" s="37" t="s">
        <v>4835</v>
      </c>
      <c r="E399" s="37"/>
      <c r="F399" s="37" t="s">
        <v>4836</v>
      </c>
      <c r="G399" s="37"/>
      <c r="H399" s="54" t="s">
        <v>4997</v>
      </c>
      <c r="I399" s="37"/>
    </row>
    <row r="400" customFormat="false" ht="15" hidden="false" customHeight="true" outlineLevel="0" collapsed="false">
      <c r="A400" s="37" t="s">
        <v>3963</v>
      </c>
      <c r="B400" s="37" t="s">
        <v>440</v>
      </c>
      <c r="C400" s="37" t="s">
        <v>4834</v>
      </c>
      <c r="D400" s="37" t="s">
        <v>4835</v>
      </c>
      <c r="E400" s="37"/>
      <c r="F400" s="37" t="s">
        <v>4836</v>
      </c>
      <c r="G400" s="37"/>
      <c r="H400" s="54" t="s">
        <v>3964</v>
      </c>
      <c r="I400" s="37"/>
    </row>
    <row r="401" customFormat="false" ht="15" hidden="false" customHeight="true" outlineLevel="0" collapsed="false">
      <c r="A401" s="37" t="s">
        <v>3967</v>
      </c>
      <c r="B401" s="37" t="s">
        <v>440</v>
      </c>
      <c r="C401" s="37" t="s">
        <v>4874</v>
      </c>
      <c r="D401" s="37" t="s">
        <v>4875</v>
      </c>
      <c r="E401" s="37"/>
      <c r="F401" s="37" t="s">
        <v>4886</v>
      </c>
      <c r="G401" s="37"/>
      <c r="H401" s="37" t="s">
        <v>3968</v>
      </c>
      <c r="I401" s="37"/>
    </row>
    <row r="402" customFormat="false" ht="15" hidden="false" customHeight="true" outlineLevel="0" collapsed="false">
      <c r="A402" s="37" t="s">
        <v>3967</v>
      </c>
      <c r="B402" s="37" t="s">
        <v>440</v>
      </c>
      <c r="C402" s="37" t="s">
        <v>4834</v>
      </c>
      <c r="D402" s="37" t="s">
        <v>4835</v>
      </c>
      <c r="E402" s="37"/>
      <c r="F402" s="37" t="s">
        <v>4842</v>
      </c>
      <c r="G402" s="37"/>
      <c r="H402" s="37" t="s">
        <v>3968</v>
      </c>
      <c r="I402" s="37"/>
    </row>
    <row r="403" customFormat="false" ht="15" hidden="false" customHeight="true" outlineLevel="0" collapsed="false">
      <c r="A403" s="37" t="s">
        <v>3971</v>
      </c>
      <c r="B403" s="37" t="s">
        <v>440</v>
      </c>
      <c r="C403" s="37" t="s">
        <v>4874</v>
      </c>
      <c r="D403" s="37" t="s">
        <v>4875</v>
      </c>
      <c r="E403" s="37"/>
      <c r="F403" s="37" t="s">
        <v>4886</v>
      </c>
      <c r="G403" s="37"/>
      <c r="H403" s="54" t="s">
        <v>3972</v>
      </c>
      <c r="I403" s="37"/>
    </row>
    <row r="404" customFormat="false" ht="15" hidden="false" customHeight="true" outlineLevel="0" collapsed="false">
      <c r="A404" s="37" t="s">
        <v>3973</v>
      </c>
      <c r="B404" s="37" t="s">
        <v>440</v>
      </c>
      <c r="C404" s="37" t="s">
        <v>4874</v>
      </c>
      <c r="D404" s="37" t="s">
        <v>4875</v>
      </c>
      <c r="E404" s="37"/>
      <c r="F404" s="37" t="s">
        <v>4885</v>
      </c>
      <c r="G404" s="37"/>
      <c r="H404" s="54" t="s">
        <v>3974</v>
      </c>
      <c r="I404" s="37"/>
    </row>
    <row r="405" customFormat="false" ht="15" hidden="false" customHeight="true" outlineLevel="0" collapsed="false">
      <c r="A405" s="37" t="s">
        <v>3973</v>
      </c>
      <c r="B405" s="37" t="s">
        <v>440</v>
      </c>
      <c r="C405" s="37" t="s">
        <v>4834</v>
      </c>
      <c r="D405" s="37" t="s">
        <v>4835</v>
      </c>
      <c r="E405" s="37"/>
      <c r="F405" s="37" t="s">
        <v>4836</v>
      </c>
      <c r="G405" s="37"/>
      <c r="H405" s="54" t="s">
        <v>3974</v>
      </c>
      <c r="I405" s="37"/>
    </row>
    <row r="406" customFormat="false" ht="15" hidden="false" customHeight="true" outlineLevel="0" collapsed="false">
      <c r="A406" s="37" t="s">
        <v>3981</v>
      </c>
      <c r="B406" s="37" t="s">
        <v>440</v>
      </c>
      <c r="C406" s="37" t="s">
        <v>4866</v>
      </c>
      <c r="D406" s="37" t="s">
        <v>4867</v>
      </c>
      <c r="E406" s="37"/>
      <c r="F406" s="37" t="s">
        <v>4884</v>
      </c>
      <c r="G406" s="37"/>
      <c r="H406" s="54" t="s">
        <v>3982</v>
      </c>
      <c r="I406" s="37"/>
    </row>
    <row r="407" customFormat="false" ht="15" hidden="false" customHeight="true" outlineLevel="0" collapsed="false">
      <c r="A407" s="37" t="s">
        <v>1745</v>
      </c>
      <c r="B407" s="37" t="s">
        <v>448</v>
      </c>
      <c r="C407" s="37" t="s">
        <v>4834</v>
      </c>
      <c r="D407" s="37" t="s">
        <v>4887</v>
      </c>
      <c r="E407" s="37"/>
      <c r="F407" s="37" t="s">
        <v>4836</v>
      </c>
      <c r="G407" s="37" t="s">
        <v>4998</v>
      </c>
      <c r="H407" s="54" t="s">
        <v>1746</v>
      </c>
      <c r="I407" s="54" t="s">
        <v>4888</v>
      </c>
    </row>
    <row r="408" customFormat="false" ht="15" hidden="false" customHeight="true" outlineLevel="0" collapsed="false">
      <c r="A408" s="37" t="s">
        <v>1752</v>
      </c>
      <c r="B408" s="37" t="s">
        <v>448</v>
      </c>
      <c r="C408" s="37" t="s">
        <v>4834</v>
      </c>
      <c r="D408" s="37" t="s">
        <v>4887</v>
      </c>
      <c r="E408" s="37"/>
      <c r="F408" s="37" t="s">
        <v>4842</v>
      </c>
      <c r="G408" s="37" t="s">
        <v>4998</v>
      </c>
      <c r="H408" s="54" t="s">
        <v>1753</v>
      </c>
      <c r="I408" s="54" t="s">
        <v>4888</v>
      </c>
    </row>
    <row r="409" customFormat="false" ht="15" hidden="false" customHeight="true" outlineLevel="0" collapsed="false">
      <c r="A409" s="37" t="s">
        <v>1758</v>
      </c>
      <c r="B409" s="37" t="s">
        <v>448</v>
      </c>
      <c r="C409" s="37" t="s">
        <v>4834</v>
      </c>
      <c r="D409" s="37" t="s">
        <v>4887</v>
      </c>
      <c r="E409" s="37"/>
      <c r="F409" s="37" t="s">
        <v>4836</v>
      </c>
      <c r="G409" s="37" t="s">
        <v>4999</v>
      </c>
      <c r="H409" s="54" t="s">
        <v>1759</v>
      </c>
      <c r="I409" s="54" t="s">
        <v>4888</v>
      </c>
    </row>
    <row r="410" customFormat="false" ht="15" hidden="false" customHeight="true" outlineLevel="0" collapsed="false">
      <c r="A410" s="37" t="s">
        <v>1761</v>
      </c>
      <c r="B410" s="37" t="s">
        <v>448</v>
      </c>
      <c r="C410" s="37" t="s">
        <v>4834</v>
      </c>
      <c r="D410" s="37" t="s">
        <v>4887</v>
      </c>
      <c r="E410" s="37"/>
      <c r="F410" s="37" t="s">
        <v>4836</v>
      </c>
      <c r="G410" s="37" t="s">
        <v>4998</v>
      </c>
      <c r="H410" s="54" t="s">
        <v>1762</v>
      </c>
      <c r="I410" s="54" t="s">
        <v>4888</v>
      </c>
    </row>
    <row r="411" customFormat="false" ht="15" hidden="false" customHeight="true" outlineLevel="0" collapsed="false">
      <c r="A411" s="37" t="s">
        <v>1764</v>
      </c>
      <c r="B411" s="37" t="s">
        <v>448</v>
      </c>
      <c r="C411" s="37" t="s">
        <v>4834</v>
      </c>
      <c r="D411" s="37" t="s">
        <v>4887</v>
      </c>
      <c r="E411" s="37"/>
      <c r="F411" s="37" t="s">
        <v>4842</v>
      </c>
      <c r="G411" s="37" t="s">
        <v>5000</v>
      </c>
      <c r="H411" s="54" t="s">
        <v>1765</v>
      </c>
      <c r="I411" s="54" t="s">
        <v>4888</v>
      </c>
    </row>
    <row r="412" customFormat="false" ht="15" hidden="false" customHeight="true" outlineLevel="0" collapsed="false">
      <c r="A412" s="37" t="s">
        <v>1767</v>
      </c>
      <c r="B412" s="37" t="s">
        <v>448</v>
      </c>
      <c r="C412" s="37" t="s">
        <v>4834</v>
      </c>
      <c r="D412" s="37" t="s">
        <v>4887</v>
      </c>
      <c r="E412" s="37"/>
      <c r="F412" s="37" t="s">
        <v>4836</v>
      </c>
      <c r="G412" s="37" t="s">
        <v>4944</v>
      </c>
      <c r="H412" s="54" t="s">
        <v>1768</v>
      </c>
      <c r="I412" s="54" t="s">
        <v>4888</v>
      </c>
    </row>
    <row r="413" customFormat="false" ht="15" hidden="false" customHeight="true" outlineLevel="0" collapsed="false">
      <c r="A413" s="37" t="s">
        <v>1773</v>
      </c>
      <c r="B413" s="37" t="s">
        <v>448</v>
      </c>
      <c r="C413" s="37" t="s">
        <v>4874</v>
      </c>
      <c r="D413" s="37" t="s">
        <v>4875</v>
      </c>
      <c r="E413" s="37"/>
      <c r="F413" s="37" t="s">
        <v>4886</v>
      </c>
      <c r="G413" s="37" t="s">
        <v>5001</v>
      </c>
      <c r="H413" s="54" t="s">
        <v>1774</v>
      </c>
      <c r="I413" s="37"/>
    </row>
    <row r="414" customFormat="false" ht="15" hidden="false" customHeight="true" outlineLevel="0" collapsed="false">
      <c r="A414" s="37" t="s">
        <v>1773</v>
      </c>
      <c r="B414" s="37" t="s">
        <v>448</v>
      </c>
      <c r="C414" s="37" t="s">
        <v>4834</v>
      </c>
      <c r="D414" s="37" t="s">
        <v>4887</v>
      </c>
      <c r="E414" s="37"/>
      <c r="F414" s="37" t="s">
        <v>4836</v>
      </c>
      <c r="G414" s="37" t="s">
        <v>5002</v>
      </c>
      <c r="H414" s="54" t="s">
        <v>1774</v>
      </c>
      <c r="I414" s="54" t="s">
        <v>4888</v>
      </c>
    </row>
    <row r="415" customFormat="false" ht="15" hidden="false" customHeight="true" outlineLevel="0" collapsed="false">
      <c r="A415" s="37" t="s">
        <v>1779</v>
      </c>
      <c r="B415" s="37" t="s">
        <v>448</v>
      </c>
      <c r="C415" s="37" t="s">
        <v>4834</v>
      </c>
      <c r="D415" s="37" t="s">
        <v>4887</v>
      </c>
      <c r="E415" s="37"/>
      <c r="F415" s="37" t="s">
        <v>4836</v>
      </c>
      <c r="G415" s="37" t="s">
        <v>4925</v>
      </c>
      <c r="H415" s="54" t="s">
        <v>1780</v>
      </c>
      <c r="I415" s="54" t="s">
        <v>4888</v>
      </c>
    </row>
    <row r="416" customFormat="false" ht="15" hidden="false" customHeight="true" outlineLevel="0" collapsed="false">
      <c r="A416" s="37" t="s">
        <v>1782</v>
      </c>
      <c r="B416" s="37" t="s">
        <v>448</v>
      </c>
      <c r="C416" s="37" t="s">
        <v>4834</v>
      </c>
      <c r="D416" s="37" t="s">
        <v>4887</v>
      </c>
      <c r="E416" s="37"/>
      <c r="F416" s="37" t="s">
        <v>4842</v>
      </c>
      <c r="G416" s="37" t="s">
        <v>4999</v>
      </c>
      <c r="H416" s="54" t="s">
        <v>1783</v>
      </c>
      <c r="I416" s="54" t="s">
        <v>4888</v>
      </c>
    </row>
    <row r="417" customFormat="false" ht="15" hidden="false" customHeight="true" outlineLevel="0" collapsed="false">
      <c r="A417" s="37" t="s">
        <v>1785</v>
      </c>
      <c r="B417" s="37" t="s">
        <v>448</v>
      </c>
      <c r="C417" s="37" t="s">
        <v>4834</v>
      </c>
      <c r="D417" s="37" t="s">
        <v>4887</v>
      </c>
      <c r="E417" s="37"/>
      <c r="F417" s="37" t="s">
        <v>4842</v>
      </c>
      <c r="G417" s="37" t="s">
        <v>5003</v>
      </c>
      <c r="H417" s="54" t="s">
        <v>1786</v>
      </c>
      <c r="I417" s="54" t="s">
        <v>4888</v>
      </c>
    </row>
    <row r="418" customFormat="false" ht="15" hidden="false" customHeight="true" outlineLevel="0" collapsed="false">
      <c r="A418" s="37" t="s">
        <v>1788</v>
      </c>
      <c r="B418" s="37" t="s">
        <v>448</v>
      </c>
      <c r="C418" s="37" t="s">
        <v>4834</v>
      </c>
      <c r="D418" s="37" t="s">
        <v>4887</v>
      </c>
      <c r="E418" s="37"/>
      <c r="F418" s="37" t="s">
        <v>4842</v>
      </c>
      <c r="G418" s="37" t="s">
        <v>5004</v>
      </c>
      <c r="H418" s="54" t="s">
        <v>1789</v>
      </c>
      <c r="I418" s="54" t="s">
        <v>4888</v>
      </c>
    </row>
    <row r="419" customFormat="false" ht="15" hidden="false" customHeight="true" outlineLevel="0" collapsed="false">
      <c r="A419" s="37" t="s">
        <v>1791</v>
      </c>
      <c r="B419" s="37" t="s">
        <v>448</v>
      </c>
      <c r="C419" s="37" t="s">
        <v>4874</v>
      </c>
      <c r="D419" s="37" t="s">
        <v>4875</v>
      </c>
      <c r="E419" s="37"/>
      <c r="F419" s="37" t="s">
        <v>4884</v>
      </c>
      <c r="G419" s="37" t="s">
        <v>5005</v>
      </c>
      <c r="H419" s="54" t="s">
        <v>1792</v>
      </c>
      <c r="I419" s="37"/>
    </row>
    <row r="420" customFormat="false" ht="15" hidden="false" customHeight="true" outlineLevel="0" collapsed="false">
      <c r="A420" s="37" t="s">
        <v>1791</v>
      </c>
      <c r="B420" s="37" t="s">
        <v>448</v>
      </c>
      <c r="C420" s="37" t="s">
        <v>4834</v>
      </c>
      <c r="D420" s="37" t="s">
        <v>4887</v>
      </c>
      <c r="E420" s="37"/>
      <c r="F420" s="37" t="s">
        <v>4836</v>
      </c>
      <c r="G420" s="37" t="s">
        <v>4907</v>
      </c>
      <c r="H420" s="54" t="s">
        <v>1792</v>
      </c>
      <c r="I420" s="54" t="s">
        <v>4888</v>
      </c>
    </row>
    <row r="421" customFormat="false" ht="15" hidden="false" customHeight="true" outlineLevel="0" collapsed="false">
      <c r="A421" s="37" t="s">
        <v>1794</v>
      </c>
      <c r="B421" s="37" t="s">
        <v>448</v>
      </c>
      <c r="C421" s="37" t="s">
        <v>4834</v>
      </c>
      <c r="D421" s="37" t="s">
        <v>4887</v>
      </c>
      <c r="E421" s="37"/>
      <c r="F421" s="37" t="s">
        <v>4842</v>
      </c>
      <c r="G421" s="37" t="s">
        <v>5006</v>
      </c>
      <c r="H421" s="54" t="s">
        <v>1795</v>
      </c>
      <c r="I421" s="54" t="s">
        <v>4888</v>
      </c>
    </row>
    <row r="422" customFormat="false" ht="15" hidden="false" customHeight="true" outlineLevel="0" collapsed="false">
      <c r="A422" s="37" t="s">
        <v>1797</v>
      </c>
      <c r="B422" s="37" t="s">
        <v>448</v>
      </c>
      <c r="C422" s="37" t="s">
        <v>4834</v>
      </c>
      <c r="D422" s="37" t="s">
        <v>4887</v>
      </c>
      <c r="E422" s="37"/>
      <c r="F422" s="37" t="s">
        <v>4836</v>
      </c>
      <c r="G422" s="37" t="s">
        <v>5006</v>
      </c>
      <c r="H422" s="54" t="s">
        <v>1798</v>
      </c>
      <c r="I422" s="54" t="s">
        <v>4888</v>
      </c>
    </row>
    <row r="423" customFormat="false" ht="15" hidden="false" customHeight="true" outlineLevel="0" collapsed="false">
      <c r="A423" s="37" t="s">
        <v>1803</v>
      </c>
      <c r="B423" s="37" t="s">
        <v>448</v>
      </c>
      <c r="C423" s="37" t="s">
        <v>4874</v>
      </c>
      <c r="D423" s="37" t="s">
        <v>4875</v>
      </c>
      <c r="E423" s="37"/>
      <c r="F423" s="37" t="s">
        <v>4884</v>
      </c>
      <c r="G423" s="37" t="s">
        <v>5007</v>
      </c>
      <c r="H423" s="54" t="s">
        <v>1804</v>
      </c>
      <c r="I423" s="37"/>
    </row>
    <row r="424" customFormat="false" ht="15" hidden="false" customHeight="true" outlineLevel="0" collapsed="false">
      <c r="A424" s="37" t="s">
        <v>1803</v>
      </c>
      <c r="B424" s="37" t="s">
        <v>448</v>
      </c>
      <c r="C424" s="37" t="s">
        <v>4834</v>
      </c>
      <c r="D424" s="37" t="s">
        <v>4887</v>
      </c>
      <c r="E424" s="37"/>
      <c r="F424" s="37" t="s">
        <v>4842</v>
      </c>
      <c r="G424" s="37" t="s">
        <v>4925</v>
      </c>
      <c r="H424" s="54" t="s">
        <v>1804</v>
      </c>
      <c r="I424" s="54" t="s">
        <v>4888</v>
      </c>
    </row>
    <row r="425" customFormat="false" ht="15" hidden="false" customHeight="true" outlineLevel="0" collapsed="false">
      <c r="A425" s="37" t="s">
        <v>1806</v>
      </c>
      <c r="B425" s="37" t="s">
        <v>448</v>
      </c>
      <c r="C425" s="37" t="s">
        <v>4834</v>
      </c>
      <c r="D425" s="37" t="s">
        <v>4887</v>
      </c>
      <c r="E425" s="37"/>
      <c r="F425" s="37" t="s">
        <v>4836</v>
      </c>
      <c r="G425" s="37" t="s">
        <v>4915</v>
      </c>
      <c r="H425" s="54" t="s">
        <v>1807</v>
      </c>
      <c r="I425" s="54" t="s">
        <v>4888</v>
      </c>
    </row>
    <row r="426" customFormat="false" ht="15" hidden="false" customHeight="true" outlineLevel="0" collapsed="false">
      <c r="A426" s="37" t="s">
        <v>1809</v>
      </c>
      <c r="B426" s="37" t="s">
        <v>448</v>
      </c>
      <c r="C426" s="37" t="s">
        <v>4834</v>
      </c>
      <c r="D426" s="37" t="s">
        <v>4887</v>
      </c>
      <c r="E426" s="37"/>
      <c r="F426" s="37" t="s">
        <v>4836</v>
      </c>
      <c r="G426" s="37" t="s">
        <v>5008</v>
      </c>
      <c r="H426" s="54" t="s">
        <v>1810</v>
      </c>
      <c r="I426" s="54" t="s">
        <v>4888</v>
      </c>
    </row>
    <row r="427" customFormat="false" ht="15" hidden="false" customHeight="true" outlineLevel="0" collapsed="false">
      <c r="A427" s="37" t="s">
        <v>1814</v>
      </c>
      <c r="B427" s="37" t="s">
        <v>448</v>
      </c>
      <c r="C427" s="37" t="s">
        <v>4834</v>
      </c>
      <c r="D427" s="37" t="s">
        <v>4887</v>
      </c>
      <c r="E427" s="37"/>
      <c r="F427" s="37" t="s">
        <v>4842</v>
      </c>
      <c r="G427" s="37" t="s">
        <v>5008</v>
      </c>
      <c r="H427" s="54" t="s">
        <v>1815</v>
      </c>
      <c r="I427" s="54" t="s">
        <v>4888</v>
      </c>
    </row>
    <row r="428" customFormat="false" ht="15" hidden="false" customHeight="true" outlineLevel="0" collapsed="false">
      <c r="A428" s="37" t="s">
        <v>1817</v>
      </c>
      <c r="B428" s="37" t="s">
        <v>448</v>
      </c>
      <c r="C428" s="37" t="s">
        <v>4834</v>
      </c>
      <c r="D428" s="37" t="s">
        <v>4887</v>
      </c>
      <c r="E428" s="37"/>
      <c r="F428" s="37" t="s">
        <v>4836</v>
      </c>
      <c r="G428" s="37" t="s">
        <v>5009</v>
      </c>
      <c r="H428" s="54" t="s">
        <v>1818</v>
      </c>
      <c r="I428" s="54" t="s">
        <v>4888</v>
      </c>
    </row>
    <row r="429" customFormat="false" ht="15" hidden="false" customHeight="true" outlineLevel="0" collapsed="false">
      <c r="A429" s="37" t="s">
        <v>1828</v>
      </c>
      <c r="B429" s="37" t="s">
        <v>448</v>
      </c>
      <c r="C429" s="37" t="s">
        <v>4866</v>
      </c>
      <c r="D429" s="37" t="s">
        <v>4867</v>
      </c>
      <c r="E429" s="37"/>
      <c r="F429" s="37" t="s">
        <v>4884</v>
      </c>
      <c r="G429" s="37" t="s">
        <v>5010</v>
      </c>
      <c r="H429" s="54" t="s">
        <v>1829</v>
      </c>
      <c r="I429" s="37"/>
    </row>
    <row r="430" customFormat="false" ht="15" hidden="false" customHeight="true" outlineLevel="0" collapsed="false">
      <c r="A430" s="37" t="s">
        <v>1831</v>
      </c>
      <c r="B430" s="37" t="s">
        <v>448</v>
      </c>
      <c r="C430" s="37" t="s">
        <v>4866</v>
      </c>
      <c r="D430" s="37" t="s">
        <v>4867</v>
      </c>
      <c r="E430" s="37"/>
      <c r="F430" s="37" t="s">
        <v>4884</v>
      </c>
      <c r="G430" s="37" t="s">
        <v>4909</v>
      </c>
      <c r="H430" s="54" t="s">
        <v>1832</v>
      </c>
      <c r="I430" s="37"/>
    </row>
    <row r="431" customFormat="false" ht="15" hidden="false" customHeight="true" outlineLevel="0" collapsed="false">
      <c r="A431" s="37" t="s">
        <v>1834</v>
      </c>
      <c r="B431" s="37" t="s">
        <v>448</v>
      </c>
      <c r="C431" s="37" t="s">
        <v>4866</v>
      </c>
      <c r="D431" s="37" t="s">
        <v>4867</v>
      </c>
      <c r="E431" s="37"/>
      <c r="F431" s="37" t="s">
        <v>4884</v>
      </c>
      <c r="G431" s="37" t="s">
        <v>5010</v>
      </c>
      <c r="H431" s="54" t="s">
        <v>1835</v>
      </c>
      <c r="I431" s="37"/>
    </row>
    <row r="432" customFormat="false" ht="15" hidden="false" customHeight="true" outlineLevel="0" collapsed="false">
      <c r="A432" s="37" t="s">
        <v>1837</v>
      </c>
      <c r="B432" s="37" t="s">
        <v>448</v>
      </c>
      <c r="C432" s="37" t="s">
        <v>4866</v>
      </c>
      <c r="D432" s="37" t="s">
        <v>4867</v>
      </c>
      <c r="E432" s="37"/>
      <c r="F432" s="37" t="s">
        <v>4884</v>
      </c>
      <c r="G432" s="37" t="s">
        <v>4949</v>
      </c>
      <c r="H432" s="54" t="s">
        <v>1838</v>
      </c>
      <c r="I432" s="37"/>
    </row>
    <row r="433" customFormat="false" ht="15" hidden="false" customHeight="true" outlineLevel="0" collapsed="false">
      <c r="A433" s="37" t="s">
        <v>1840</v>
      </c>
      <c r="B433" s="37" t="s">
        <v>448</v>
      </c>
      <c r="C433" s="37" t="s">
        <v>4866</v>
      </c>
      <c r="D433" s="37" t="s">
        <v>4867</v>
      </c>
      <c r="E433" s="37"/>
      <c r="F433" s="37" t="s">
        <v>4885</v>
      </c>
      <c r="G433" s="37" t="s">
        <v>4912</v>
      </c>
      <c r="H433" s="54" t="s">
        <v>1841</v>
      </c>
      <c r="I433" s="37"/>
    </row>
    <row r="434" customFormat="false" ht="15" hidden="false" customHeight="true" outlineLevel="0" collapsed="false">
      <c r="A434" s="37" t="s">
        <v>1843</v>
      </c>
      <c r="B434" s="37" t="s">
        <v>448</v>
      </c>
      <c r="C434" s="37" t="s">
        <v>4866</v>
      </c>
      <c r="D434" s="37" t="s">
        <v>4867</v>
      </c>
      <c r="E434" s="37"/>
      <c r="F434" s="37" t="s">
        <v>4884</v>
      </c>
      <c r="G434" s="37" t="s">
        <v>5011</v>
      </c>
      <c r="H434" s="54" t="s">
        <v>1844</v>
      </c>
      <c r="I434" s="37"/>
    </row>
    <row r="435" customFormat="false" ht="15" hidden="false" customHeight="true" outlineLevel="0" collapsed="false">
      <c r="A435" s="37" t="s">
        <v>1849</v>
      </c>
      <c r="B435" s="37" t="s">
        <v>448</v>
      </c>
      <c r="C435" s="37" t="s">
        <v>4866</v>
      </c>
      <c r="D435" s="37" t="s">
        <v>4867</v>
      </c>
      <c r="E435" s="37"/>
      <c r="F435" s="37" t="s">
        <v>4884</v>
      </c>
      <c r="G435" s="37" t="s">
        <v>5012</v>
      </c>
      <c r="H435" s="54" t="s">
        <v>1850</v>
      </c>
      <c r="I435" s="37"/>
    </row>
    <row r="436" customFormat="false" ht="15" hidden="false" customHeight="true" outlineLevel="0" collapsed="false">
      <c r="A436" s="37" t="s">
        <v>1852</v>
      </c>
      <c r="B436" s="37" t="s">
        <v>448</v>
      </c>
      <c r="C436" s="37" t="s">
        <v>4866</v>
      </c>
      <c r="D436" s="37" t="s">
        <v>4867</v>
      </c>
      <c r="E436" s="37"/>
      <c r="F436" s="37" t="s">
        <v>4884</v>
      </c>
      <c r="G436" s="37" t="s">
        <v>4912</v>
      </c>
      <c r="H436" s="54" t="s">
        <v>5013</v>
      </c>
      <c r="I436" s="37"/>
    </row>
    <row r="437" customFormat="false" ht="15" hidden="false" customHeight="true" outlineLevel="0" collapsed="false">
      <c r="A437" s="37" t="s">
        <v>1855</v>
      </c>
      <c r="B437" s="37" t="s">
        <v>448</v>
      </c>
      <c r="C437" s="37" t="s">
        <v>4866</v>
      </c>
      <c r="D437" s="37" t="s">
        <v>4867</v>
      </c>
      <c r="E437" s="37"/>
      <c r="F437" s="37" t="s">
        <v>4885</v>
      </c>
      <c r="G437" s="37" t="s">
        <v>5012</v>
      </c>
      <c r="H437" s="54" t="s">
        <v>1856</v>
      </c>
      <c r="I437" s="37"/>
    </row>
    <row r="438" customFormat="false" ht="15" hidden="false" customHeight="true" outlineLevel="0" collapsed="false">
      <c r="A438" s="37" t="s">
        <v>1858</v>
      </c>
      <c r="B438" s="37" t="s">
        <v>448</v>
      </c>
      <c r="C438" s="37" t="s">
        <v>4866</v>
      </c>
      <c r="D438" s="37" t="s">
        <v>4867</v>
      </c>
      <c r="E438" s="37"/>
      <c r="F438" s="37" t="s">
        <v>4884</v>
      </c>
      <c r="G438" s="37" t="s">
        <v>4909</v>
      </c>
      <c r="H438" s="54" t="s">
        <v>1859</v>
      </c>
      <c r="I438" s="37"/>
    </row>
    <row r="439" customFormat="false" ht="15" hidden="false" customHeight="true" outlineLevel="0" collapsed="false">
      <c r="A439" s="37" t="s">
        <v>1861</v>
      </c>
      <c r="B439" s="37" t="s">
        <v>448</v>
      </c>
      <c r="C439" s="37" t="s">
        <v>4866</v>
      </c>
      <c r="D439" s="37" t="s">
        <v>4867</v>
      </c>
      <c r="E439" s="37"/>
      <c r="F439" s="37" t="s">
        <v>4884</v>
      </c>
      <c r="G439" s="37" t="s">
        <v>4949</v>
      </c>
      <c r="H439" s="54" t="s">
        <v>1862</v>
      </c>
      <c r="I439" s="37"/>
    </row>
    <row r="440" customFormat="false" ht="15" hidden="false" customHeight="true" outlineLevel="0" collapsed="false">
      <c r="A440" s="37" t="s">
        <v>1864</v>
      </c>
      <c r="B440" s="37" t="s">
        <v>448</v>
      </c>
      <c r="C440" s="37" t="s">
        <v>4866</v>
      </c>
      <c r="D440" s="37" t="s">
        <v>4867</v>
      </c>
      <c r="E440" s="37"/>
      <c r="F440" s="37" t="s">
        <v>4884</v>
      </c>
      <c r="G440" s="37" t="s">
        <v>4912</v>
      </c>
      <c r="H440" s="37" t="s">
        <v>5014</v>
      </c>
      <c r="I440" s="37"/>
    </row>
    <row r="441" customFormat="false" ht="15" hidden="false" customHeight="true" outlineLevel="0" collapsed="false">
      <c r="A441" s="37" t="s">
        <v>1867</v>
      </c>
      <c r="B441" s="37" t="s">
        <v>448</v>
      </c>
      <c r="C441" s="37" t="s">
        <v>4866</v>
      </c>
      <c r="D441" s="37" t="s">
        <v>4867</v>
      </c>
      <c r="E441" s="37"/>
      <c r="F441" s="37" t="s">
        <v>4885</v>
      </c>
      <c r="G441" s="37" t="s">
        <v>4915</v>
      </c>
      <c r="H441" s="54" t="s">
        <v>1868</v>
      </c>
      <c r="I441" s="37"/>
    </row>
    <row r="442" customFormat="false" ht="15" hidden="false" customHeight="true" outlineLevel="0" collapsed="false">
      <c r="A442" s="37" t="s">
        <v>1873</v>
      </c>
      <c r="B442" s="37" t="s">
        <v>448</v>
      </c>
      <c r="C442" s="37" t="s">
        <v>4834</v>
      </c>
      <c r="D442" s="37" t="s">
        <v>4887</v>
      </c>
      <c r="E442" s="37"/>
      <c r="F442" s="37" t="s">
        <v>4842</v>
      </c>
      <c r="G442" s="37" t="s">
        <v>5012</v>
      </c>
      <c r="H442" s="54" t="s">
        <v>5015</v>
      </c>
      <c r="I442" s="54" t="s">
        <v>4888</v>
      </c>
    </row>
    <row r="443" customFormat="false" ht="15" hidden="false" customHeight="true" outlineLevel="0" collapsed="false">
      <c r="A443" s="37" t="s">
        <v>1876</v>
      </c>
      <c r="B443" s="37" t="s">
        <v>448</v>
      </c>
      <c r="C443" s="37" t="s">
        <v>4866</v>
      </c>
      <c r="D443" s="37" t="s">
        <v>4867</v>
      </c>
      <c r="E443" s="37"/>
      <c r="F443" s="37" t="s">
        <v>4885</v>
      </c>
      <c r="G443" s="37" t="s">
        <v>4912</v>
      </c>
      <c r="H443" s="54" t="s">
        <v>1877</v>
      </c>
      <c r="I443" s="37"/>
    </row>
    <row r="444" customFormat="false" ht="15" hidden="false" customHeight="true" outlineLevel="0" collapsed="false">
      <c r="A444" s="37" t="s">
        <v>1879</v>
      </c>
      <c r="B444" s="37" t="s">
        <v>448</v>
      </c>
      <c r="C444" s="37" t="s">
        <v>4866</v>
      </c>
      <c r="D444" s="37" t="s">
        <v>4867</v>
      </c>
      <c r="E444" s="37"/>
      <c r="F444" s="37" t="s">
        <v>4885</v>
      </c>
      <c r="G444" s="37" t="s">
        <v>4912</v>
      </c>
      <c r="H444" s="54" t="s">
        <v>1880</v>
      </c>
      <c r="I444" s="37"/>
    </row>
    <row r="445" customFormat="false" ht="15" hidden="false" customHeight="true" outlineLevel="0" collapsed="false">
      <c r="A445" s="37" t="s">
        <v>1882</v>
      </c>
      <c r="B445" s="37" t="s">
        <v>448</v>
      </c>
      <c r="C445" s="37" t="s">
        <v>4866</v>
      </c>
      <c r="D445" s="37" t="s">
        <v>4867</v>
      </c>
      <c r="E445" s="37"/>
      <c r="F445" s="37" t="s">
        <v>4886</v>
      </c>
      <c r="G445" s="37" t="s">
        <v>5012</v>
      </c>
      <c r="H445" s="54" t="s">
        <v>1883</v>
      </c>
      <c r="I445" s="37"/>
    </row>
    <row r="446" customFormat="false" ht="15" hidden="false" customHeight="true" outlineLevel="0" collapsed="false">
      <c r="A446" s="37" t="s">
        <v>1891</v>
      </c>
      <c r="B446" s="37" t="s">
        <v>448</v>
      </c>
      <c r="C446" s="37" t="s">
        <v>4866</v>
      </c>
      <c r="D446" s="37" t="s">
        <v>4867</v>
      </c>
      <c r="E446" s="37"/>
      <c r="F446" s="37" t="s">
        <v>4885</v>
      </c>
      <c r="G446" s="37" t="s">
        <v>4915</v>
      </c>
      <c r="H446" s="54" t="s">
        <v>1892</v>
      </c>
      <c r="I446" s="37"/>
    </row>
    <row r="447" customFormat="false" ht="15" hidden="false" customHeight="true" outlineLevel="0" collapsed="false">
      <c r="A447" s="37" t="s">
        <v>1894</v>
      </c>
      <c r="B447" s="37" t="s">
        <v>448</v>
      </c>
      <c r="C447" s="37" t="s">
        <v>4866</v>
      </c>
      <c r="D447" s="37" t="s">
        <v>4867</v>
      </c>
      <c r="E447" s="37"/>
      <c r="F447" s="37" t="s">
        <v>4884</v>
      </c>
      <c r="G447" s="37" t="s">
        <v>4909</v>
      </c>
      <c r="H447" s="54" t="s">
        <v>1895</v>
      </c>
      <c r="I447" s="37"/>
    </row>
    <row r="448" customFormat="false" ht="15" hidden="false" customHeight="true" outlineLevel="0" collapsed="false">
      <c r="A448" s="37" t="s">
        <v>1900</v>
      </c>
      <c r="B448" s="37" t="s">
        <v>448</v>
      </c>
      <c r="C448" s="37" t="s">
        <v>4866</v>
      </c>
      <c r="D448" s="37" t="s">
        <v>4867</v>
      </c>
      <c r="E448" s="37"/>
      <c r="F448" s="37" t="s">
        <v>4884</v>
      </c>
      <c r="G448" s="37" t="s">
        <v>5010</v>
      </c>
      <c r="H448" s="54" t="s">
        <v>1901</v>
      </c>
      <c r="I448" s="37"/>
    </row>
    <row r="449" customFormat="false" ht="15" hidden="false" customHeight="true" outlineLevel="0" collapsed="false">
      <c r="A449" s="37" t="s">
        <v>1903</v>
      </c>
      <c r="B449" s="37" t="s">
        <v>448</v>
      </c>
      <c r="C449" s="37" t="s">
        <v>4866</v>
      </c>
      <c r="D449" s="37" t="s">
        <v>4867</v>
      </c>
      <c r="E449" s="37"/>
      <c r="F449" s="37" t="s">
        <v>4884</v>
      </c>
      <c r="G449" s="37" t="s">
        <v>4949</v>
      </c>
      <c r="H449" s="54" t="s">
        <v>1904</v>
      </c>
      <c r="I449" s="37"/>
    </row>
    <row r="450" customFormat="false" ht="15" hidden="false" customHeight="true" outlineLevel="0" collapsed="false">
      <c r="A450" s="37" t="s">
        <v>1909</v>
      </c>
      <c r="B450" s="37" t="s">
        <v>448</v>
      </c>
      <c r="C450" s="37" t="s">
        <v>4866</v>
      </c>
      <c r="D450" s="37" t="s">
        <v>4867</v>
      </c>
      <c r="E450" s="37"/>
      <c r="F450" s="37" t="s">
        <v>4884</v>
      </c>
      <c r="G450" s="37" t="s">
        <v>4912</v>
      </c>
      <c r="H450" s="54" t="s">
        <v>1910</v>
      </c>
      <c r="I450" s="37"/>
    </row>
    <row r="451" customFormat="false" ht="15" hidden="false" customHeight="true" outlineLevel="0" collapsed="false">
      <c r="A451" s="37" t="s">
        <v>1912</v>
      </c>
      <c r="B451" s="37" t="s">
        <v>448</v>
      </c>
      <c r="C451" s="37" t="s">
        <v>4866</v>
      </c>
      <c r="D451" s="37" t="s">
        <v>4867</v>
      </c>
      <c r="E451" s="37"/>
      <c r="F451" s="37" t="s">
        <v>4884</v>
      </c>
      <c r="G451" s="37" t="s">
        <v>4909</v>
      </c>
      <c r="H451" s="54" t="s">
        <v>1913</v>
      </c>
      <c r="I451" s="37"/>
    </row>
    <row r="452" customFormat="false" ht="15" hidden="false" customHeight="true" outlineLevel="0" collapsed="false">
      <c r="A452" s="37" t="s">
        <v>1918</v>
      </c>
      <c r="B452" s="37" t="s">
        <v>448</v>
      </c>
      <c r="C452" s="37" t="s">
        <v>4866</v>
      </c>
      <c r="D452" s="37" t="s">
        <v>4867</v>
      </c>
      <c r="E452" s="37"/>
      <c r="F452" s="37" t="s">
        <v>4884</v>
      </c>
      <c r="G452" s="37" t="s">
        <v>5010</v>
      </c>
      <c r="H452" s="54" t="s">
        <v>1919</v>
      </c>
      <c r="I452" s="37"/>
    </row>
    <row r="453" customFormat="false" ht="15" hidden="false" customHeight="true" outlineLevel="0" collapsed="false">
      <c r="A453" s="37" t="s">
        <v>1938</v>
      </c>
      <c r="B453" s="37" t="s">
        <v>448</v>
      </c>
      <c r="C453" s="37" t="s">
        <v>4834</v>
      </c>
      <c r="D453" s="37" t="s">
        <v>4887</v>
      </c>
      <c r="E453" s="37"/>
      <c r="F453" s="37" t="s">
        <v>4836</v>
      </c>
      <c r="G453" s="37" t="s">
        <v>5002</v>
      </c>
      <c r="H453" s="54" t="s">
        <v>5016</v>
      </c>
      <c r="I453" s="54" t="s">
        <v>4888</v>
      </c>
    </row>
    <row r="454" customFormat="false" ht="15" hidden="false" customHeight="true" outlineLevel="0" collapsed="false">
      <c r="A454" s="37" t="s">
        <v>2448</v>
      </c>
      <c r="B454" s="37" t="s">
        <v>456</v>
      </c>
      <c r="C454" s="37" t="s">
        <v>4866</v>
      </c>
      <c r="D454" s="37" t="s">
        <v>4867</v>
      </c>
      <c r="E454" s="37"/>
      <c r="F454" s="37"/>
      <c r="G454" s="37"/>
      <c r="H454" s="54" t="s">
        <v>2449</v>
      </c>
      <c r="I454" s="54" t="s">
        <v>4868</v>
      </c>
    </row>
    <row r="455" customFormat="false" ht="15" hidden="false" customHeight="true" outlineLevel="0" collapsed="false">
      <c r="A455" s="37" t="s">
        <v>2451</v>
      </c>
      <c r="B455" s="37" t="s">
        <v>456</v>
      </c>
      <c r="C455" s="37" t="s">
        <v>4874</v>
      </c>
      <c r="D455" s="37" t="s">
        <v>4875</v>
      </c>
      <c r="E455" s="37"/>
      <c r="F455" s="37" t="s">
        <v>4883</v>
      </c>
      <c r="G455" s="37"/>
      <c r="H455" s="54" t="s">
        <v>2452</v>
      </c>
      <c r="I455" s="37"/>
    </row>
    <row r="456" customFormat="false" ht="15" hidden="false" customHeight="true" outlineLevel="0" collapsed="false">
      <c r="A456" s="37" t="s">
        <v>2451</v>
      </c>
      <c r="B456" s="37" t="s">
        <v>456</v>
      </c>
      <c r="C456" s="37" t="s">
        <v>4834</v>
      </c>
      <c r="D456" s="37" t="s">
        <v>4835</v>
      </c>
      <c r="E456" s="37"/>
      <c r="F456" s="37" t="s">
        <v>4842</v>
      </c>
      <c r="G456" s="37"/>
      <c r="H456" s="54" t="s">
        <v>2452</v>
      </c>
      <c r="I456" s="37"/>
    </row>
    <row r="457" customFormat="false" ht="15" hidden="false" customHeight="true" outlineLevel="0" collapsed="false">
      <c r="A457" s="37" t="s">
        <v>2457</v>
      </c>
      <c r="B457" s="37" t="s">
        <v>456</v>
      </c>
      <c r="C457" s="37" t="s">
        <v>4866</v>
      </c>
      <c r="D457" s="37" t="s">
        <v>4867</v>
      </c>
      <c r="E457" s="37"/>
      <c r="F457" s="37"/>
      <c r="G457" s="37"/>
      <c r="H457" s="37" t="s">
        <v>5017</v>
      </c>
      <c r="I457" s="54" t="s">
        <v>4868</v>
      </c>
    </row>
    <row r="458" customFormat="false" ht="15" hidden="false" customHeight="true" outlineLevel="0" collapsed="false">
      <c r="A458" s="37" t="s">
        <v>2457</v>
      </c>
      <c r="B458" s="37" t="s">
        <v>456</v>
      </c>
      <c r="C458" s="37" t="s">
        <v>4834</v>
      </c>
      <c r="D458" s="37" t="s">
        <v>4835</v>
      </c>
      <c r="E458" s="37"/>
      <c r="F458" s="37" t="s">
        <v>4836</v>
      </c>
      <c r="G458" s="37"/>
      <c r="H458" s="37" t="s">
        <v>5017</v>
      </c>
      <c r="I458" s="37"/>
    </row>
    <row r="459" customFormat="false" ht="15" hidden="false" customHeight="true" outlineLevel="0" collapsed="false">
      <c r="A459" s="37" t="s">
        <v>2460</v>
      </c>
      <c r="B459" s="37" t="s">
        <v>456</v>
      </c>
      <c r="C459" s="37" t="s">
        <v>4866</v>
      </c>
      <c r="D459" s="37" t="s">
        <v>4867</v>
      </c>
      <c r="E459" s="37"/>
      <c r="F459" s="37"/>
      <c r="G459" s="37"/>
      <c r="H459" s="54" t="s">
        <v>2461</v>
      </c>
      <c r="I459" s="54" t="s">
        <v>4868</v>
      </c>
    </row>
    <row r="460" customFormat="false" ht="15" hidden="false" customHeight="true" outlineLevel="0" collapsed="false">
      <c r="A460" s="37" t="s">
        <v>2460</v>
      </c>
      <c r="B460" s="37" t="s">
        <v>456</v>
      </c>
      <c r="C460" s="37" t="s">
        <v>4834</v>
      </c>
      <c r="D460" s="37" t="s">
        <v>4835</v>
      </c>
      <c r="E460" s="37"/>
      <c r="F460" s="37" t="s">
        <v>4836</v>
      </c>
      <c r="G460" s="37"/>
      <c r="H460" s="37" t="s">
        <v>5018</v>
      </c>
      <c r="I460" s="37"/>
    </row>
    <row r="461" customFormat="false" ht="15" hidden="false" customHeight="true" outlineLevel="0" collapsed="false">
      <c r="A461" s="37" t="s">
        <v>2463</v>
      </c>
      <c r="B461" s="37" t="s">
        <v>456</v>
      </c>
      <c r="C461" s="37" t="s">
        <v>4834</v>
      </c>
      <c r="D461" s="37" t="s">
        <v>4835</v>
      </c>
      <c r="E461" s="37"/>
      <c r="F461" s="37" t="s">
        <v>4842</v>
      </c>
      <c r="G461" s="37"/>
      <c r="H461" s="37" t="s">
        <v>5019</v>
      </c>
      <c r="I461" s="37"/>
    </row>
    <row r="462" customFormat="false" ht="15" hidden="false" customHeight="true" outlineLevel="0" collapsed="false">
      <c r="A462" s="37" t="s">
        <v>2482</v>
      </c>
      <c r="B462" s="37" t="s">
        <v>456</v>
      </c>
      <c r="C462" s="37" t="s">
        <v>4834</v>
      </c>
      <c r="D462" s="37" t="s">
        <v>4835</v>
      </c>
      <c r="E462" s="37"/>
      <c r="F462" s="37" t="s">
        <v>4836</v>
      </c>
      <c r="G462" s="37"/>
      <c r="H462" s="54" t="s">
        <v>930</v>
      </c>
      <c r="I462" s="37"/>
    </row>
    <row r="463" customFormat="false" ht="15" hidden="false" customHeight="true" outlineLevel="0" collapsed="false">
      <c r="A463" s="37" t="s">
        <v>2484</v>
      </c>
      <c r="B463" s="37" t="s">
        <v>456</v>
      </c>
      <c r="C463" s="37" t="s">
        <v>4834</v>
      </c>
      <c r="D463" s="37" t="s">
        <v>4835</v>
      </c>
      <c r="E463" s="37"/>
      <c r="F463" s="37" t="s">
        <v>4842</v>
      </c>
      <c r="G463" s="37"/>
      <c r="H463" s="54" t="s">
        <v>2485</v>
      </c>
      <c r="I463" s="37"/>
    </row>
    <row r="464" customFormat="false" ht="15" hidden="false" customHeight="true" outlineLevel="0" collapsed="false">
      <c r="A464" s="37" t="s">
        <v>2497</v>
      </c>
      <c r="B464" s="37" t="s">
        <v>456</v>
      </c>
      <c r="C464" s="37" t="s">
        <v>4834</v>
      </c>
      <c r="D464" s="37" t="s">
        <v>4835</v>
      </c>
      <c r="E464" s="37"/>
      <c r="F464" s="37" t="s">
        <v>4836</v>
      </c>
      <c r="G464" s="37"/>
      <c r="H464" s="37" t="s">
        <v>5020</v>
      </c>
      <c r="I464" s="37"/>
    </row>
    <row r="465" customFormat="false" ht="15" hidden="false" customHeight="true" outlineLevel="0" collapsed="false">
      <c r="A465" s="37" t="s">
        <v>2500</v>
      </c>
      <c r="B465" s="37" t="s">
        <v>456</v>
      </c>
      <c r="C465" s="37" t="s">
        <v>4834</v>
      </c>
      <c r="D465" s="37" t="s">
        <v>4835</v>
      </c>
      <c r="E465" s="37"/>
      <c r="F465" s="37" t="s">
        <v>4836</v>
      </c>
      <c r="G465" s="37"/>
      <c r="H465" s="37" t="s">
        <v>5021</v>
      </c>
      <c r="I465" s="37"/>
    </row>
    <row r="466" customFormat="false" ht="15" hidden="false" customHeight="true" outlineLevel="0" collapsed="false">
      <c r="A466" s="37" t="s">
        <v>2509</v>
      </c>
      <c r="B466" s="37" t="s">
        <v>456</v>
      </c>
      <c r="C466" s="37" t="s">
        <v>4834</v>
      </c>
      <c r="D466" s="37" t="s">
        <v>4835</v>
      </c>
      <c r="E466" s="37"/>
      <c r="F466" s="37" t="s">
        <v>4842</v>
      </c>
      <c r="G466" s="37"/>
      <c r="H466" s="37" t="s">
        <v>5022</v>
      </c>
      <c r="I466" s="37"/>
    </row>
    <row r="467" customFormat="false" ht="15" hidden="false" customHeight="true" outlineLevel="0" collapsed="false">
      <c r="A467" s="37" t="s">
        <v>2513</v>
      </c>
      <c r="B467" s="37" t="s">
        <v>456</v>
      </c>
      <c r="C467" s="37" t="s">
        <v>4834</v>
      </c>
      <c r="D467" s="37" t="s">
        <v>4835</v>
      </c>
      <c r="E467" s="37"/>
      <c r="F467" s="37" t="s">
        <v>4842</v>
      </c>
      <c r="G467" s="37"/>
      <c r="H467" s="54" t="s">
        <v>2514</v>
      </c>
      <c r="I467" s="37"/>
    </row>
    <row r="468" customFormat="false" ht="15" hidden="false" customHeight="true" outlineLevel="0" collapsed="false">
      <c r="A468" s="37" t="s">
        <v>2516</v>
      </c>
      <c r="B468" s="37" t="s">
        <v>456</v>
      </c>
      <c r="C468" s="37" t="s">
        <v>4834</v>
      </c>
      <c r="D468" s="37" t="s">
        <v>4835</v>
      </c>
      <c r="E468" s="37"/>
      <c r="F468" s="37" t="s">
        <v>4836</v>
      </c>
      <c r="G468" s="37"/>
      <c r="H468" s="54" t="s">
        <v>2517</v>
      </c>
      <c r="I468" s="37"/>
    </row>
    <row r="469" customFormat="false" ht="15" hidden="false" customHeight="true" outlineLevel="0" collapsed="false">
      <c r="A469" s="37" t="s">
        <v>2528</v>
      </c>
      <c r="B469" s="37" t="s">
        <v>456</v>
      </c>
      <c r="C469" s="37" t="s">
        <v>4834</v>
      </c>
      <c r="D469" s="37" t="s">
        <v>4835</v>
      </c>
      <c r="E469" s="37"/>
      <c r="F469" s="37" t="s">
        <v>4836</v>
      </c>
      <c r="G469" s="37"/>
      <c r="H469" s="54" t="s">
        <v>2529</v>
      </c>
      <c r="I469" s="37"/>
    </row>
    <row r="470" customFormat="false" ht="15" hidden="false" customHeight="true" outlineLevel="0" collapsed="false">
      <c r="A470" s="37" t="s">
        <v>2534</v>
      </c>
      <c r="B470" s="37" t="s">
        <v>456</v>
      </c>
      <c r="C470" s="37" t="s">
        <v>4834</v>
      </c>
      <c r="D470" s="37" t="s">
        <v>4835</v>
      </c>
      <c r="E470" s="37"/>
      <c r="F470" s="37" t="s">
        <v>4836</v>
      </c>
      <c r="G470" s="37"/>
      <c r="H470" s="37" t="s">
        <v>5023</v>
      </c>
      <c r="I470" s="37"/>
    </row>
    <row r="471" customFormat="false" ht="15" hidden="false" customHeight="true" outlineLevel="0" collapsed="false">
      <c r="A471" s="37" t="s">
        <v>2537</v>
      </c>
      <c r="B471" s="37" t="s">
        <v>456</v>
      </c>
      <c r="C471" s="37" t="s">
        <v>4866</v>
      </c>
      <c r="D471" s="37" t="s">
        <v>4867</v>
      </c>
      <c r="E471" s="37"/>
      <c r="F471" s="37"/>
      <c r="G471" s="37"/>
      <c r="H471" s="37" t="s">
        <v>5024</v>
      </c>
      <c r="I471" s="54" t="s">
        <v>4868</v>
      </c>
    </row>
    <row r="472" customFormat="false" ht="15" hidden="false" customHeight="true" outlineLevel="0" collapsed="false">
      <c r="A472" s="37" t="s">
        <v>2584</v>
      </c>
      <c r="B472" s="37" t="s">
        <v>456</v>
      </c>
      <c r="C472" s="37" t="s">
        <v>4866</v>
      </c>
      <c r="D472" s="37" t="s">
        <v>4867</v>
      </c>
      <c r="E472" s="37"/>
      <c r="F472" s="37"/>
      <c r="G472" s="37"/>
      <c r="H472" s="37" t="s">
        <v>5025</v>
      </c>
      <c r="I472" s="54" t="s">
        <v>4868</v>
      </c>
    </row>
    <row r="473" customFormat="false" ht="15" hidden="false" customHeight="true" outlineLevel="0" collapsed="false">
      <c r="A473" s="37" t="s">
        <v>2599</v>
      </c>
      <c r="B473" s="37" t="s">
        <v>456</v>
      </c>
      <c r="C473" s="37" t="s">
        <v>4834</v>
      </c>
      <c r="D473" s="37" t="s">
        <v>4835</v>
      </c>
      <c r="E473" s="37"/>
      <c r="F473" s="37" t="s">
        <v>4842</v>
      </c>
      <c r="G473" s="37"/>
      <c r="H473" s="37" t="s">
        <v>5026</v>
      </c>
      <c r="I473" s="37"/>
    </row>
    <row r="474" customFormat="false" ht="15" hidden="false" customHeight="true" outlineLevel="0" collapsed="false">
      <c r="A474" s="37" t="s">
        <v>2602</v>
      </c>
      <c r="B474" s="37" t="s">
        <v>456</v>
      </c>
      <c r="C474" s="37" t="s">
        <v>4834</v>
      </c>
      <c r="D474" s="37" t="s">
        <v>4835</v>
      </c>
      <c r="E474" s="37"/>
      <c r="F474" s="37" t="s">
        <v>4842</v>
      </c>
      <c r="G474" s="37"/>
      <c r="H474" s="37" t="s">
        <v>5027</v>
      </c>
      <c r="I474" s="37"/>
    </row>
    <row r="475" customFormat="false" ht="15" hidden="false" customHeight="true" outlineLevel="0" collapsed="false">
      <c r="A475" s="37" t="s">
        <v>2629</v>
      </c>
      <c r="B475" s="37" t="s">
        <v>456</v>
      </c>
      <c r="C475" s="37" t="s">
        <v>4866</v>
      </c>
      <c r="D475" s="37" t="s">
        <v>4867</v>
      </c>
      <c r="E475" s="37"/>
      <c r="F475" s="37"/>
      <c r="G475" s="37"/>
      <c r="H475" s="37" t="s">
        <v>5028</v>
      </c>
      <c r="I475" s="54" t="s">
        <v>4868</v>
      </c>
    </row>
    <row r="476" customFormat="false" ht="15" hidden="false" customHeight="true" outlineLevel="0" collapsed="false">
      <c r="A476" s="37" t="s">
        <v>2635</v>
      </c>
      <c r="B476" s="37" t="s">
        <v>456</v>
      </c>
      <c r="C476" s="37" t="s">
        <v>4866</v>
      </c>
      <c r="D476" s="37" t="s">
        <v>4867</v>
      </c>
      <c r="E476" s="37"/>
      <c r="F476" s="37"/>
      <c r="G476" s="37"/>
      <c r="H476" s="37" t="s">
        <v>5029</v>
      </c>
      <c r="I476" s="54" t="s">
        <v>4868</v>
      </c>
    </row>
    <row r="477" customFormat="false" ht="15" hidden="false" customHeight="true" outlineLevel="0" collapsed="false">
      <c r="A477" s="37" t="s">
        <v>2641</v>
      </c>
      <c r="B477" s="37" t="s">
        <v>456</v>
      </c>
      <c r="C477" s="37" t="s">
        <v>4834</v>
      </c>
      <c r="D477" s="37" t="s">
        <v>4835</v>
      </c>
      <c r="E477" s="37"/>
      <c r="F477" s="37" t="s">
        <v>4842</v>
      </c>
      <c r="G477" s="37"/>
      <c r="H477" s="37" t="s">
        <v>5030</v>
      </c>
      <c r="I477" s="37"/>
    </row>
    <row r="478" customFormat="false" ht="15" hidden="false" customHeight="true" outlineLevel="0" collapsed="false">
      <c r="A478" s="37" t="s">
        <v>2687</v>
      </c>
      <c r="B478" s="37" t="s">
        <v>456</v>
      </c>
      <c r="C478" s="37" t="s">
        <v>4834</v>
      </c>
      <c r="D478" s="37" t="s">
        <v>4835</v>
      </c>
      <c r="E478" s="37"/>
      <c r="F478" s="37" t="s">
        <v>4842</v>
      </c>
      <c r="G478" s="37"/>
      <c r="H478" s="37" t="s">
        <v>5031</v>
      </c>
      <c r="I478" s="37"/>
    </row>
    <row r="479" customFormat="false" ht="15" hidden="false" customHeight="true" outlineLevel="0" collapsed="false">
      <c r="A479" s="37" t="s">
        <v>2708</v>
      </c>
      <c r="B479" s="37" t="s">
        <v>456</v>
      </c>
      <c r="C479" s="37" t="s">
        <v>4834</v>
      </c>
      <c r="D479" s="37" t="s">
        <v>4835</v>
      </c>
      <c r="E479" s="37"/>
      <c r="F479" s="37" t="s">
        <v>4842</v>
      </c>
      <c r="G479" s="37"/>
      <c r="H479" s="37" t="s">
        <v>5032</v>
      </c>
      <c r="I479" s="37"/>
    </row>
    <row r="480" customFormat="false" ht="15" hidden="false" customHeight="true" outlineLevel="0" collapsed="false">
      <c r="A480" s="37" t="s">
        <v>2711</v>
      </c>
      <c r="B480" s="37" t="s">
        <v>456</v>
      </c>
      <c r="C480" s="37" t="s">
        <v>4866</v>
      </c>
      <c r="D480" s="37" t="s">
        <v>4867</v>
      </c>
      <c r="E480" s="37"/>
      <c r="F480" s="37"/>
      <c r="G480" s="37"/>
      <c r="H480" s="37" t="s">
        <v>5033</v>
      </c>
      <c r="I480" s="54" t="s">
        <v>4868</v>
      </c>
    </row>
    <row r="481" customFormat="false" ht="15" hidden="false" customHeight="true" outlineLevel="0" collapsed="false">
      <c r="A481" s="37" t="s">
        <v>2720</v>
      </c>
      <c r="B481" s="37" t="s">
        <v>456</v>
      </c>
      <c r="C481" s="37" t="s">
        <v>4874</v>
      </c>
      <c r="D481" s="37" t="s">
        <v>4875</v>
      </c>
      <c r="E481" s="37"/>
      <c r="F481" s="37" t="s">
        <v>4883</v>
      </c>
      <c r="G481" s="37"/>
      <c r="H481" s="37" t="s">
        <v>5034</v>
      </c>
      <c r="I481" s="37"/>
    </row>
    <row r="482" customFormat="false" ht="15" hidden="false" customHeight="true" outlineLevel="0" collapsed="false">
      <c r="A482" s="37" t="s">
        <v>2750</v>
      </c>
      <c r="B482" s="37" t="s">
        <v>456</v>
      </c>
      <c r="C482" s="37" t="s">
        <v>4834</v>
      </c>
      <c r="D482" s="37" t="s">
        <v>4835</v>
      </c>
      <c r="E482" s="37"/>
      <c r="F482" s="37" t="s">
        <v>4842</v>
      </c>
      <c r="G482" s="37"/>
      <c r="H482" s="37" t="s">
        <v>5035</v>
      </c>
      <c r="I482" s="37"/>
    </row>
    <row r="483" customFormat="false" ht="15" hidden="false" customHeight="true" outlineLevel="0" collapsed="false">
      <c r="A483" s="37" t="s">
        <v>2753</v>
      </c>
      <c r="B483" s="37" t="s">
        <v>456</v>
      </c>
      <c r="C483" s="37" t="s">
        <v>4834</v>
      </c>
      <c r="D483" s="37" t="s">
        <v>4835</v>
      </c>
      <c r="E483" s="37"/>
      <c r="F483" s="37" t="s">
        <v>4842</v>
      </c>
      <c r="G483" s="37"/>
      <c r="H483" s="37" t="s">
        <v>5036</v>
      </c>
      <c r="I483" s="37"/>
    </row>
    <row r="484" customFormat="false" ht="15" hidden="false" customHeight="true" outlineLevel="0" collapsed="false">
      <c r="A484" s="37" t="s">
        <v>2756</v>
      </c>
      <c r="B484" s="37" t="s">
        <v>456</v>
      </c>
      <c r="C484" s="37" t="s">
        <v>4834</v>
      </c>
      <c r="D484" s="37" t="s">
        <v>4835</v>
      </c>
      <c r="E484" s="37"/>
      <c r="F484" s="37" t="s">
        <v>4842</v>
      </c>
      <c r="G484" s="37"/>
      <c r="H484" s="37" t="s">
        <v>5037</v>
      </c>
      <c r="I484" s="37"/>
    </row>
    <row r="485" customFormat="false" ht="15" hidden="false" customHeight="true" outlineLevel="0" collapsed="false">
      <c r="A485" s="37" t="s">
        <v>2759</v>
      </c>
      <c r="B485" s="37" t="s">
        <v>456</v>
      </c>
      <c r="C485" s="37" t="s">
        <v>4834</v>
      </c>
      <c r="D485" s="37" t="s">
        <v>4835</v>
      </c>
      <c r="E485" s="37"/>
      <c r="F485" s="37" t="s">
        <v>4842</v>
      </c>
      <c r="G485" s="37"/>
      <c r="H485" s="37" t="s">
        <v>5038</v>
      </c>
      <c r="I485" s="37"/>
    </row>
    <row r="486" customFormat="false" ht="15" hidden="false" customHeight="true" outlineLevel="0" collapsed="false">
      <c r="A486" s="37" t="s">
        <v>2772</v>
      </c>
      <c r="B486" s="37" t="s">
        <v>456</v>
      </c>
      <c r="C486" s="37" t="s">
        <v>4834</v>
      </c>
      <c r="D486" s="37" t="s">
        <v>4835</v>
      </c>
      <c r="E486" s="37"/>
      <c r="F486" s="37" t="s">
        <v>4836</v>
      </c>
      <c r="G486" s="37"/>
      <c r="H486" s="37" t="s">
        <v>5039</v>
      </c>
      <c r="I486" s="37"/>
    </row>
    <row r="487" customFormat="false" ht="15" hidden="false" customHeight="true" outlineLevel="0" collapsed="false">
      <c r="A487" s="37" t="s">
        <v>2798</v>
      </c>
      <c r="B487" s="37" t="s">
        <v>456</v>
      </c>
      <c r="C487" s="37" t="s">
        <v>4866</v>
      </c>
      <c r="D487" s="37" t="s">
        <v>4867</v>
      </c>
      <c r="E487" s="37"/>
      <c r="F487" s="37"/>
      <c r="G487" s="37"/>
      <c r="H487" s="37" t="s">
        <v>5040</v>
      </c>
      <c r="I487" s="54" t="s">
        <v>4868</v>
      </c>
    </row>
    <row r="488" customFormat="false" ht="15" hidden="false" customHeight="true" outlineLevel="0" collapsed="false">
      <c r="A488" s="37" t="s">
        <v>1947</v>
      </c>
      <c r="B488" s="37" t="s">
        <v>463</v>
      </c>
      <c r="C488" s="37" t="s">
        <v>4834</v>
      </c>
      <c r="D488" s="37" t="s">
        <v>4835</v>
      </c>
      <c r="E488" s="37"/>
      <c r="F488" s="37" t="s">
        <v>4842</v>
      </c>
      <c r="G488" s="37"/>
      <c r="H488" s="54" t="s">
        <v>1948</v>
      </c>
      <c r="I488" s="37"/>
    </row>
    <row r="489" customFormat="false" ht="15" hidden="false" customHeight="true" outlineLevel="0" collapsed="false">
      <c r="A489" s="37" t="s">
        <v>1951</v>
      </c>
      <c r="B489" s="37" t="s">
        <v>463</v>
      </c>
      <c r="C489" s="37" t="s">
        <v>4834</v>
      </c>
      <c r="D489" s="37" t="s">
        <v>4835</v>
      </c>
      <c r="E489" s="37"/>
      <c r="F489" s="37" t="s">
        <v>4842</v>
      </c>
      <c r="G489" s="37"/>
      <c r="H489" s="54" t="s">
        <v>1952</v>
      </c>
      <c r="I489" s="37"/>
    </row>
    <row r="490" customFormat="false" ht="15" hidden="false" customHeight="true" outlineLevel="0" collapsed="false">
      <c r="A490" s="37" t="s">
        <v>1954</v>
      </c>
      <c r="B490" s="37" t="s">
        <v>463</v>
      </c>
      <c r="C490" s="37" t="s">
        <v>4834</v>
      </c>
      <c r="D490" s="37" t="s">
        <v>4835</v>
      </c>
      <c r="E490" s="37"/>
      <c r="F490" s="37" t="s">
        <v>4842</v>
      </c>
      <c r="G490" s="37"/>
      <c r="H490" s="54" t="s">
        <v>1955</v>
      </c>
      <c r="I490" s="37"/>
    </row>
    <row r="491" customFormat="false" ht="15" hidden="false" customHeight="true" outlineLevel="0" collapsed="false">
      <c r="A491" s="37" t="s">
        <v>1963</v>
      </c>
      <c r="B491" s="37" t="s">
        <v>463</v>
      </c>
      <c r="C491" s="37" t="s">
        <v>4834</v>
      </c>
      <c r="D491" s="37" t="s">
        <v>4835</v>
      </c>
      <c r="E491" s="37"/>
      <c r="F491" s="37" t="s">
        <v>4842</v>
      </c>
      <c r="G491" s="37"/>
      <c r="H491" s="54" t="s">
        <v>1964</v>
      </c>
      <c r="I491" s="37"/>
    </row>
    <row r="492" customFormat="false" ht="15" hidden="false" customHeight="true" outlineLevel="0" collapsed="false">
      <c r="A492" s="37" t="s">
        <v>1972</v>
      </c>
      <c r="B492" s="37" t="s">
        <v>463</v>
      </c>
      <c r="C492" s="37" t="s">
        <v>4834</v>
      </c>
      <c r="D492" s="37" t="s">
        <v>4835</v>
      </c>
      <c r="E492" s="37"/>
      <c r="F492" s="37" t="s">
        <v>4842</v>
      </c>
      <c r="G492" s="37"/>
      <c r="H492" s="54" t="s">
        <v>1973</v>
      </c>
      <c r="I492" s="37"/>
    </row>
    <row r="493" customFormat="false" ht="15" hidden="false" customHeight="true" outlineLevel="0" collapsed="false">
      <c r="A493" s="37" t="s">
        <v>1975</v>
      </c>
      <c r="B493" s="37" t="s">
        <v>463</v>
      </c>
      <c r="C493" s="37" t="s">
        <v>4834</v>
      </c>
      <c r="D493" s="37" t="s">
        <v>4835</v>
      </c>
      <c r="E493" s="37"/>
      <c r="F493" s="37" t="s">
        <v>4842</v>
      </c>
      <c r="G493" s="37"/>
      <c r="H493" s="54" t="s">
        <v>1976</v>
      </c>
      <c r="I493" s="37"/>
    </row>
    <row r="494" customFormat="false" ht="15" hidden="false" customHeight="true" outlineLevel="0" collapsed="false">
      <c r="A494" s="37" t="s">
        <v>1978</v>
      </c>
      <c r="B494" s="37" t="s">
        <v>463</v>
      </c>
      <c r="C494" s="37" t="s">
        <v>4834</v>
      </c>
      <c r="D494" s="37" t="s">
        <v>4835</v>
      </c>
      <c r="E494" s="37"/>
      <c r="F494" s="37" t="s">
        <v>4842</v>
      </c>
      <c r="G494" s="37"/>
      <c r="H494" s="54" t="s">
        <v>1979</v>
      </c>
      <c r="I494" s="37"/>
    </row>
    <row r="495" customFormat="false" ht="15" hidden="false" customHeight="true" outlineLevel="0" collapsed="false">
      <c r="A495" s="37" t="s">
        <v>1984</v>
      </c>
      <c r="B495" s="37" t="s">
        <v>463</v>
      </c>
      <c r="C495" s="37" t="s">
        <v>4834</v>
      </c>
      <c r="D495" s="37" t="s">
        <v>4835</v>
      </c>
      <c r="E495" s="37"/>
      <c r="F495" s="37" t="s">
        <v>4842</v>
      </c>
      <c r="G495" s="37"/>
      <c r="H495" s="54" t="s">
        <v>1985</v>
      </c>
      <c r="I495" s="37"/>
    </row>
    <row r="496" customFormat="false" ht="15" hidden="false" customHeight="true" outlineLevel="0" collapsed="false">
      <c r="A496" s="37" t="s">
        <v>1987</v>
      </c>
      <c r="B496" s="37" t="s">
        <v>463</v>
      </c>
      <c r="C496" s="37" t="s">
        <v>4834</v>
      </c>
      <c r="D496" s="37" t="s">
        <v>4835</v>
      </c>
      <c r="E496" s="37"/>
      <c r="F496" s="37" t="s">
        <v>4842</v>
      </c>
      <c r="G496" s="37"/>
      <c r="H496" s="54" t="s">
        <v>1988</v>
      </c>
      <c r="I496" s="37"/>
    </row>
    <row r="497" customFormat="false" ht="15" hidden="false" customHeight="true" outlineLevel="0" collapsed="false">
      <c r="A497" s="37" t="s">
        <v>1999</v>
      </c>
      <c r="B497" s="37" t="s">
        <v>463</v>
      </c>
      <c r="C497" s="37" t="s">
        <v>4834</v>
      </c>
      <c r="D497" s="37" t="s">
        <v>4835</v>
      </c>
      <c r="E497" s="37"/>
      <c r="F497" s="37" t="s">
        <v>4842</v>
      </c>
      <c r="G497" s="37"/>
      <c r="H497" s="54" t="s">
        <v>2000</v>
      </c>
      <c r="I497" s="37"/>
    </row>
    <row r="498" customFormat="false" ht="15" hidden="false" customHeight="true" outlineLevel="0" collapsed="false">
      <c r="A498" s="37" t="s">
        <v>2002</v>
      </c>
      <c r="B498" s="37" t="s">
        <v>463</v>
      </c>
      <c r="C498" s="37" t="s">
        <v>4834</v>
      </c>
      <c r="D498" s="37" t="s">
        <v>4835</v>
      </c>
      <c r="E498" s="37"/>
      <c r="F498" s="37" t="s">
        <v>4842</v>
      </c>
      <c r="G498" s="37"/>
      <c r="H498" s="54" t="s">
        <v>2003</v>
      </c>
      <c r="I498" s="37"/>
    </row>
    <row r="499" customFormat="false" ht="15" hidden="false" customHeight="true" outlineLevel="0" collapsed="false">
      <c r="A499" s="37" t="s">
        <v>2005</v>
      </c>
      <c r="B499" s="37" t="s">
        <v>463</v>
      </c>
      <c r="C499" s="37" t="s">
        <v>4834</v>
      </c>
      <c r="D499" s="37" t="s">
        <v>4835</v>
      </c>
      <c r="E499" s="37"/>
      <c r="F499" s="37" t="s">
        <v>4842</v>
      </c>
      <c r="G499" s="37"/>
      <c r="H499" s="54" t="s">
        <v>2006</v>
      </c>
      <c r="I499" s="37"/>
    </row>
    <row r="500" customFormat="false" ht="15" hidden="false" customHeight="true" outlineLevel="0" collapsed="false">
      <c r="A500" s="37" t="s">
        <v>2017</v>
      </c>
      <c r="B500" s="37" t="s">
        <v>463</v>
      </c>
      <c r="C500" s="37" t="s">
        <v>4834</v>
      </c>
      <c r="D500" s="37" t="s">
        <v>4835</v>
      </c>
      <c r="E500" s="37"/>
      <c r="F500" s="37" t="s">
        <v>4842</v>
      </c>
      <c r="G500" s="37"/>
      <c r="H500" s="54" t="s">
        <v>2018</v>
      </c>
      <c r="I500" s="37"/>
    </row>
    <row r="501" customFormat="false" ht="15" hidden="false" customHeight="true" outlineLevel="0" collapsed="false">
      <c r="A501" s="37" t="s">
        <v>2020</v>
      </c>
      <c r="B501" s="37" t="s">
        <v>463</v>
      </c>
      <c r="C501" s="37" t="s">
        <v>4834</v>
      </c>
      <c r="D501" s="37" t="s">
        <v>4835</v>
      </c>
      <c r="E501" s="37"/>
      <c r="F501" s="37" t="s">
        <v>4842</v>
      </c>
      <c r="G501" s="37"/>
      <c r="H501" s="54" t="s">
        <v>2021</v>
      </c>
      <c r="I501" s="37"/>
    </row>
    <row r="502" customFormat="false" ht="15" hidden="false" customHeight="true" outlineLevel="0" collapsed="false">
      <c r="A502" s="37" t="s">
        <v>2027</v>
      </c>
      <c r="B502" s="37" t="s">
        <v>463</v>
      </c>
      <c r="C502" s="37" t="s">
        <v>4834</v>
      </c>
      <c r="D502" s="37" t="s">
        <v>4835</v>
      </c>
      <c r="E502" s="37"/>
      <c r="F502" s="37" t="s">
        <v>4842</v>
      </c>
      <c r="G502" s="37"/>
      <c r="H502" s="54" t="s">
        <v>2028</v>
      </c>
      <c r="I502" s="37"/>
    </row>
    <row r="503" customFormat="false" ht="15" hidden="false" customHeight="true" outlineLevel="0" collapsed="false">
      <c r="A503" s="37" t="s">
        <v>2030</v>
      </c>
      <c r="B503" s="37" t="s">
        <v>463</v>
      </c>
      <c r="C503" s="37" t="s">
        <v>4834</v>
      </c>
      <c r="D503" s="37" t="s">
        <v>4835</v>
      </c>
      <c r="E503" s="37"/>
      <c r="F503" s="37" t="s">
        <v>4842</v>
      </c>
      <c r="G503" s="37"/>
      <c r="H503" s="54" t="s">
        <v>2031</v>
      </c>
      <c r="I503" s="37"/>
    </row>
    <row r="504" customFormat="false" ht="15" hidden="false" customHeight="true" outlineLevel="0" collapsed="false">
      <c r="A504" s="37" t="s">
        <v>2033</v>
      </c>
      <c r="B504" s="37" t="s">
        <v>463</v>
      </c>
      <c r="C504" s="37" t="s">
        <v>4834</v>
      </c>
      <c r="D504" s="37" t="s">
        <v>4835</v>
      </c>
      <c r="E504" s="37"/>
      <c r="F504" s="37" t="s">
        <v>4842</v>
      </c>
      <c r="G504" s="37"/>
      <c r="H504" s="54" t="s">
        <v>2034</v>
      </c>
      <c r="I504" s="37"/>
    </row>
    <row r="505" customFormat="false" ht="15" hidden="false" customHeight="true" outlineLevel="0" collapsed="false">
      <c r="A505" s="37" t="s">
        <v>2036</v>
      </c>
      <c r="B505" s="37" t="s">
        <v>463</v>
      </c>
      <c r="C505" s="37" t="s">
        <v>4834</v>
      </c>
      <c r="D505" s="37" t="s">
        <v>4835</v>
      </c>
      <c r="E505" s="37"/>
      <c r="F505" s="37" t="s">
        <v>4842</v>
      </c>
      <c r="G505" s="37"/>
      <c r="H505" s="54" t="s">
        <v>2037</v>
      </c>
      <c r="I505" s="37"/>
    </row>
    <row r="506" customFormat="false" ht="15" hidden="false" customHeight="true" outlineLevel="0" collapsed="false">
      <c r="A506" s="37" t="s">
        <v>2042</v>
      </c>
      <c r="B506" s="37" t="s">
        <v>463</v>
      </c>
      <c r="C506" s="37" t="s">
        <v>4834</v>
      </c>
      <c r="D506" s="37" t="s">
        <v>4835</v>
      </c>
      <c r="E506" s="37"/>
      <c r="F506" s="37" t="s">
        <v>4842</v>
      </c>
      <c r="G506" s="37"/>
      <c r="H506" s="54" t="s">
        <v>2043</v>
      </c>
      <c r="I506" s="37"/>
    </row>
    <row r="507" customFormat="false" ht="15" hidden="false" customHeight="true" outlineLevel="0" collapsed="false">
      <c r="A507" s="37" t="s">
        <v>2046</v>
      </c>
      <c r="B507" s="37" t="s">
        <v>463</v>
      </c>
      <c r="C507" s="37" t="s">
        <v>4834</v>
      </c>
      <c r="D507" s="37" t="s">
        <v>4835</v>
      </c>
      <c r="E507" s="37"/>
      <c r="F507" s="37" t="s">
        <v>4836</v>
      </c>
      <c r="G507" s="37"/>
      <c r="H507" s="54" t="s">
        <v>2047</v>
      </c>
      <c r="I507" s="37"/>
    </row>
    <row r="508" customFormat="false" ht="15" hidden="false" customHeight="true" outlineLevel="0" collapsed="false">
      <c r="A508" s="37" t="s">
        <v>2049</v>
      </c>
      <c r="B508" s="37" t="s">
        <v>463</v>
      </c>
      <c r="C508" s="37" t="s">
        <v>4834</v>
      </c>
      <c r="D508" s="37" t="s">
        <v>4835</v>
      </c>
      <c r="E508" s="37"/>
      <c r="F508" s="37" t="s">
        <v>4842</v>
      </c>
      <c r="G508" s="37"/>
      <c r="H508" s="54" t="s">
        <v>2050</v>
      </c>
      <c r="I508" s="37"/>
    </row>
    <row r="509" customFormat="false" ht="15" hidden="false" customHeight="true" outlineLevel="0" collapsed="false">
      <c r="A509" s="37" t="s">
        <v>2052</v>
      </c>
      <c r="B509" s="37" t="s">
        <v>463</v>
      </c>
      <c r="C509" s="37" t="s">
        <v>4834</v>
      </c>
      <c r="D509" s="37" t="s">
        <v>4835</v>
      </c>
      <c r="E509" s="37"/>
      <c r="F509" s="37" t="s">
        <v>4842</v>
      </c>
      <c r="G509" s="37"/>
      <c r="H509" s="54" t="s">
        <v>2053</v>
      </c>
      <c r="I509" s="37"/>
    </row>
    <row r="510" customFormat="false" ht="15" hidden="false" customHeight="true" outlineLevel="0" collapsed="false">
      <c r="A510" s="37" t="s">
        <v>2055</v>
      </c>
      <c r="B510" s="37" t="s">
        <v>463</v>
      </c>
      <c r="C510" s="37" t="s">
        <v>4834</v>
      </c>
      <c r="D510" s="37" t="s">
        <v>4835</v>
      </c>
      <c r="E510" s="37"/>
      <c r="F510" s="37" t="s">
        <v>4842</v>
      </c>
      <c r="G510" s="37"/>
      <c r="H510" s="54" t="s">
        <v>2056</v>
      </c>
      <c r="I510" s="37"/>
    </row>
    <row r="511" customFormat="false" ht="15" hidden="false" customHeight="true" outlineLevel="0" collapsed="false">
      <c r="A511" s="37" t="s">
        <v>2061</v>
      </c>
      <c r="B511" s="37" t="s">
        <v>463</v>
      </c>
      <c r="C511" s="37" t="s">
        <v>4834</v>
      </c>
      <c r="D511" s="37" t="s">
        <v>4835</v>
      </c>
      <c r="E511" s="37"/>
      <c r="F511" s="37" t="s">
        <v>4842</v>
      </c>
      <c r="G511" s="37"/>
      <c r="H511" s="54" t="s">
        <v>2062</v>
      </c>
      <c r="I511" s="37"/>
    </row>
    <row r="512" customFormat="false" ht="15" hidden="false" customHeight="true" outlineLevel="0" collapsed="false">
      <c r="A512" s="37" t="s">
        <v>2064</v>
      </c>
      <c r="B512" s="37" t="s">
        <v>463</v>
      </c>
      <c r="C512" s="37" t="s">
        <v>4834</v>
      </c>
      <c r="D512" s="37" t="s">
        <v>4835</v>
      </c>
      <c r="E512" s="37"/>
      <c r="F512" s="37" t="s">
        <v>4836</v>
      </c>
      <c r="G512" s="37"/>
      <c r="H512" s="54" t="s">
        <v>2065</v>
      </c>
      <c r="I512" s="37"/>
    </row>
    <row r="513" customFormat="false" ht="15" hidden="false" customHeight="true" outlineLevel="0" collapsed="false">
      <c r="A513" s="37" t="s">
        <v>2067</v>
      </c>
      <c r="B513" s="37" t="s">
        <v>463</v>
      </c>
      <c r="C513" s="37" t="s">
        <v>4834</v>
      </c>
      <c r="D513" s="37" t="s">
        <v>4835</v>
      </c>
      <c r="E513" s="37"/>
      <c r="F513" s="37" t="s">
        <v>4842</v>
      </c>
      <c r="G513" s="37"/>
      <c r="H513" s="54" t="s">
        <v>2068</v>
      </c>
      <c r="I513" s="37"/>
    </row>
    <row r="514" customFormat="false" ht="15" hidden="false" customHeight="true" outlineLevel="0" collapsed="false">
      <c r="A514" s="37" t="s">
        <v>2070</v>
      </c>
      <c r="B514" s="37" t="s">
        <v>463</v>
      </c>
      <c r="C514" s="37" t="s">
        <v>4834</v>
      </c>
      <c r="D514" s="37" t="s">
        <v>4835</v>
      </c>
      <c r="E514" s="37"/>
      <c r="F514" s="37" t="s">
        <v>4842</v>
      </c>
      <c r="G514" s="37"/>
      <c r="H514" s="54" t="s">
        <v>2071</v>
      </c>
      <c r="I514" s="37"/>
    </row>
    <row r="515" customFormat="false" ht="15" hidden="false" customHeight="true" outlineLevel="0" collapsed="false">
      <c r="A515" s="37" t="s">
        <v>2073</v>
      </c>
      <c r="B515" s="37" t="s">
        <v>463</v>
      </c>
      <c r="C515" s="37" t="s">
        <v>4834</v>
      </c>
      <c r="D515" s="37" t="s">
        <v>4835</v>
      </c>
      <c r="E515" s="37"/>
      <c r="F515" s="37" t="s">
        <v>4842</v>
      </c>
      <c r="G515" s="37"/>
      <c r="H515" s="54" t="s">
        <v>2074</v>
      </c>
      <c r="I515" s="37"/>
    </row>
    <row r="516" customFormat="false" ht="15" hidden="false" customHeight="true" outlineLevel="0" collapsed="false">
      <c r="A516" s="37" t="s">
        <v>2079</v>
      </c>
      <c r="B516" s="37" t="s">
        <v>463</v>
      </c>
      <c r="C516" s="37" t="s">
        <v>4834</v>
      </c>
      <c r="D516" s="37" t="s">
        <v>4835</v>
      </c>
      <c r="E516" s="37"/>
      <c r="F516" s="37" t="s">
        <v>4842</v>
      </c>
      <c r="G516" s="37"/>
      <c r="H516" s="54" t="s">
        <v>2080</v>
      </c>
      <c r="I516" s="37"/>
    </row>
    <row r="517" customFormat="false" ht="15" hidden="false" customHeight="true" outlineLevel="0" collapsed="false">
      <c r="A517" s="37" t="s">
        <v>2082</v>
      </c>
      <c r="B517" s="37" t="s">
        <v>463</v>
      </c>
      <c r="C517" s="37" t="s">
        <v>4834</v>
      </c>
      <c r="D517" s="37" t="s">
        <v>4835</v>
      </c>
      <c r="E517" s="37"/>
      <c r="F517" s="37" t="s">
        <v>4842</v>
      </c>
      <c r="G517" s="37"/>
      <c r="H517" s="54" t="s">
        <v>2083</v>
      </c>
      <c r="I517" s="37"/>
    </row>
    <row r="518" customFormat="false" ht="15" hidden="false" customHeight="true" outlineLevel="0" collapsed="false">
      <c r="A518" s="37" t="s">
        <v>2085</v>
      </c>
      <c r="B518" s="37" t="s">
        <v>463</v>
      </c>
      <c r="C518" s="37" t="s">
        <v>4834</v>
      </c>
      <c r="D518" s="37" t="s">
        <v>4835</v>
      </c>
      <c r="E518" s="37"/>
      <c r="F518" s="37" t="s">
        <v>4842</v>
      </c>
      <c r="G518" s="37"/>
      <c r="H518" s="54" t="s">
        <v>2086</v>
      </c>
      <c r="I518" s="37"/>
    </row>
    <row r="519" customFormat="false" ht="15" hidden="false" customHeight="true" outlineLevel="0" collapsed="false">
      <c r="A519" s="37" t="s">
        <v>2088</v>
      </c>
      <c r="B519" s="37" t="s">
        <v>463</v>
      </c>
      <c r="C519" s="37" t="s">
        <v>4834</v>
      </c>
      <c r="D519" s="37" t="s">
        <v>4835</v>
      </c>
      <c r="E519" s="37"/>
      <c r="F519" s="37" t="s">
        <v>4842</v>
      </c>
      <c r="G519" s="37"/>
      <c r="H519" s="54" t="s">
        <v>2089</v>
      </c>
      <c r="I519" s="37"/>
    </row>
    <row r="520" customFormat="false" ht="15" hidden="false" customHeight="true" outlineLevel="0" collapsed="false">
      <c r="A520" s="37" t="s">
        <v>2091</v>
      </c>
      <c r="B520" s="37" t="s">
        <v>463</v>
      </c>
      <c r="C520" s="37" t="s">
        <v>4834</v>
      </c>
      <c r="D520" s="37" t="s">
        <v>4835</v>
      </c>
      <c r="E520" s="37"/>
      <c r="F520" s="37" t="s">
        <v>4842</v>
      </c>
      <c r="G520" s="37"/>
      <c r="H520" s="54" t="s">
        <v>2092</v>
      </c>
      <c r="I520" s="37"/>
    </row>
    <row r="521" customFormat="false" ht="15" hidden="false" customHeight="true" outlineLevel="0" collapsed="false">
      <c r="A521" s="37" t="s">
        <v>2103</v>
      </c>
      <c r="B521" s="37" t="s">
        <v>463</v>
      </c>
      <c r="C521" s="37" t="s">
        <v>4834</v>
      </c>
      <c r="D521" s="37" t="s">
        <v>4835</v>
      </c>
      <c r="E521" s="37"/>
      <c r="F521" s="37" t="s">
        <v>4842</v>
      </c>
      <c r="G521" s="37"/>
      <c r="H521" s="54" t="s">
        <v>2104</v>
      </c>
      <c r="I521" s="37"/>
    </row>
    <row r="522" customFormat="false" ht="15" hidden="false" customHeight="true" outlineLevel="0" collapsed="false">
      <c r="A522" s="37" t="s">
        <v>2106</v>
      </c>
      <c r="B522" s="37" t="s">
        <v>463</v>
      </c>
      <c r="C522" s="37" t="s">
        <v>4834</v>
      </c>
      <c r="D522" s="37" t="s">
        <v>4835</v>
      </c>
      <c r="E522" s="37"/>
      <c r="F522" s="37" t="s">
        <v>4842</v>
      </c>
      <c r="G522" s="37"/>
      <c r="H522" s="54" t="s">
        <v>2107</v>
      </c>
      <c r="I522" s="37"/>
    </row>
    <row r="523" customFormat="false" ht="15" hidden="false" customHeight="true" outlineLevel="0" collapsed="false">
      <c r="A523" s="37" t="s">
        <v>2112</v>
      </c>
      <c r="B523" s="37" t="s">
        <v>463</v>
      </c>
      <c r="C523" s="37" t="s">
        <v>4834</v>
      </c>
      <c r="D523" s="37" t="s">
        <v>4835</v>
      </c>
      <c r="E523" s="37"/>
      <c r="F523" s="37" t="s">
        <v>4842</v>
      </c>
      <c r="G523" s="37"/>
      <c r="H523" s="54" t="s">
        <v>2113</v>
      </c>
      <c r="I523" s="37"/>
    </row>
    <row r="524" customFormat="false" ht="15" hidden="false" customHeight="true" outlineLevel="0" collapsed="false">
      <c r="A524" s="37" t="s">
        <v>2118</v>
      </c>
      <c r="B524" s="37" t="s">
        <v>463</v>
      </c>
      <c r="C524" s="37" t="s">
        <v>4834</v>
      </c>
      <c r="D524" s="37" t="s">
        <v>4835</v>
      </c>
      <c r="E524" s="37"/>
      <c r="F524" s="37" t="s">
        <v>4842</v>
      </c>
      <c r="G524" s="37"/>
      <c r="H524" s="54" t="s">
        <v>2119</v>
      </c>
      <c r="I524" s="37"/>
    </row>
    <row r="525" customFormat="false" ht="15" hidden="false" customHeight="true" outlineLevel="0" collapsed="false">
      <c r="A525" s="37" t="s">
        <v>2121</v>
      </c>
      <c r="B525" s="37" t="s">
        <v>463</v>
      </c>
      <c r="C525" s="37" t="s">
        <v>4834</v>
      </c>
      <c r="D525" s="37" t="s">
        <v>4835</v>
      </c>
      <c r="E525" s="37"/>
      <c r="F525" s="37" t="s">
        <v>4842</v>
      </c>
      <c r="G525" s="37"/>
      <c r="H525" s="54" t="s">
        <v>2122</v>
      </c>
      <c r="I525" s="37"/>
    </row>
    <row r="526" customFormat="false" ht="15" hidden="false" customHeight="true" outlineLevel="0" collapsed="false">
      <c r="A526" s="37" t="s">
        <v>2124</v>
      </c>
      <c r="B526" s="37" t="s">
        <v>463</v>
      </c>
      <c r="C526" s="37" t="s">
        <v>4834</v>
      </c>
      <c r="D526" s="37" t="s">
        <v>4835</v>
      </c>
      <c r="E526" s="37"/>
      <c r="F526" s="37" t="s">
        <v>4842</v>
      </c>
      <c r="G526" s="37"/>
      <c r="H526" s="54" t="s">
        <v>2125</v>
      </c>
      <c r="I526" s="37"/>
    </row>
    <row r="527" customFormat="false" ht="15" hidden="false" customHeight="true" outlineLevel="0" collapsed="false">
      <c r="A527" s="37" t="s">
        <v>2131</v>
      </c>
      <c r="B527" s="37" t="s">
        <v>463</v>
      </c>
      <c r="C527" s="37" t="s">
        <v>4834</v>
      </c>
      <c r="D527" s="37" t="s">
        <v>4835</v>
      </c>
      <c r="E527" s="37"/>
      <c r="F527" s="37" t="s">
        <v>4836</v>
      </c>
      <c r="G527" s="37"/>
      <c r="H527" s="54" t="s">
        <v>2132</v>
      </c>
      <c r="I527" s="37"/>
    </row>
    <row r="528" customFormat="false" ht="15" hidden="false" customHeight="true" outlineLevel="0" collapsed="false">
      <c r="A528" s="37" t="s">
        <v>2134</v>
      </c>
      <c r="B528" s="37" t="s">
        <v>463</v>
      </c>
      <c r="C528" s="37" t="s">
        <v>4834</v>
      </c>
      <c r="D528" s="37" t="s">
        <v>4835</v>
      </c>
      <c r="E528" s="37"/>
      <c r="F528" s="37" t="s">
        <v>4842</v>
      </c>
      <c r="G528" s="37"/>
      <c r="H528" s="54" t="s">
        <v>2135</v>
      </c>
      <c r="I528" s="37"/>
    </row>
    <row r="529" customFormat="false" ht="15" hidden="false" customHeight="true" outlineLevel="0" collapsed="false">
      <c r="A529" s="37" t="s">
        <v>2137</v>
      </c>
      <c r="B529" s="37" t="s">
        <v>463</v>
      </c>
      <c r="C529" s="37" t="s">
        <v>4834</v>
      </c>
      <c r="D529" s="37" t="s">
        <v>4835</v>
      </c>
      <c r="E529" s="37"/>
      <c r="F529" s="37" t="s">
        <v>4836</v>
      </c>
      <c r="G529" s="37"/>
      <c r="H529" s="54" t="s">
        <v>2138</v>
      </c>
      <c r="I529" s="37"/>
    </row>
    <row r="530" customFormat="false" ht="15" hidden="false" customHeight="true" outlineLevel="0" collapsed="false">
      <c r="A530" s="37" t="s">
        <v>2140</v>
      </c>
      <c r="B530" s="37" t="s">
        <v>463</v>
      </c>
      <c r="C530" s="37" t="s">
        <v>4834</v>
      </c>
      <c r="D530" s="37" t="s">
        <v>4835</v>
      </c>
      <c r="E530" s="37"/>
      <c r="F530" s="37" t="s">
        <v>4836</v>
      </c>
      <c r="G530" s="37"/>
      <c r="H530" s="54" t="s">
        <v>2141</v>
      </c>
      <c r="I530" s="37"/>
    </row>
    <row r="531" customFormat="false" ht="15" hidden="false" customHeight="true" outlineLevel="0" collapsed="false">
      <c r="A531" s="37" t="s">
        <v>2143</v>
      </c>
      <c r="B531" s="37" t="s">
        <v>463</v>
      </c>
      <c r="C531" s="37" t="s">
        <v>4834</v>
      </c>
      <c r="D531" s="37" t="s">
        <v>4835</v>
      </c>
      <c r="E531" s="37"/>
      <c r="F531" s="37" t="s">
        <v>4842</v>
      </c>
      <c r="G531" s="37"/>
      <c r="H531" s="54" t="s">
        <v>2144</v>
      </c>
      <c r="I531" s="37"/>
    </row>
    <row r="532" customFormat="false" ht="15" hidden="false" customHeight="true" outlineLevel="0" collapsed="false">
      <c r="A532" s="37" t="s">
        <v>2149</v>
      </c>
      <c r="B532" s="37" t="s">
        <v>463</v>
      </c>
      <c r="C532" s="37" t="s">
        <v>4834</v>
      </c>
      <c r="D532" s="37" t="s">
        <v>4835</v>
      </c>
      <c r="E532" s="37"/>
      <c r="F532" s="37" t="s">
        <v>4960</v>
      </c>
      <c r="G532" s="37"/>
      <c r="H532" s="54" t="s">
        <v>2150</v>
      </c>
      <c r="I532" s="37"/>
    </row>
    <row r="533" customFormat="false" ht="15" hidden="false" customHeight="true" outlineLevel="0" collapsed="false">
      <c r="A533" s="37" t="s">
        <v>2152</v>
      </c>
      <c r="B533" s="37" t="s">
        <v>463</v>
      </c>
      <c r="C533" s="37" t="s">
        <v>4834</v>
      </c>
      <c r="D533" s="37" t="s">
        <v>4835</v>
      </c>
      <c r="E533" s="37"/>
      <c r="F533" s="37" t="s">
        <v>4842</v>
      </c>
      <c r="G533" s="37"/>
      <c r="H533" s="54" t="s">
        <v>2153</v>
      </c>
      <c r="I533" s="37"/>
    </row>
    <row r="534" customFormat="false" ht="15" hidden="false" customHeight="true" outlineLevel="0" collapsed="false">
      <c r="A534" s="37" t="s">
        <v>2155</v>
      </c>
      <c r="B534" s="37" t="s">
        <v>463</v>
      </c>
      <c r="C534" s="37" t="s">
        <v>4834</v>
      </c>
      <c r="D534" s="37" t="s">
        <v>4835</v>
      </c>
      <c r="E534" s="37"/>
      <c r="F534" s="37" t="s">
        <v>4842</v>
      </c>
      <c r="G534" s="37"/>
      <c r="H534" s="54" t="s">
        <v>2156</v>
      </c>
      <c r="I534" s="37"/>
    </row>
    <row r="535" customFormat="false" ht="15" hidden="false" customHeight="true" outlineLevel="0" collapsed="false">
      <c r="A535" s="37" t="s">
        <v>2158</v>
      </c>
      <c r="B535" s="37" t="s">
        <v>463</v>
      </c>
      <c r="C535" s="37" t="s">
        <v>4834</v>
      </c>
      <c r="D535" s="37" t="s">
        <v>4835</v>
      </c>
      <c r="E535" s="37"/>
      <c r="F535" s="37" t="s">
        <v>4842</v>
      </c>
      <c r="G535" s="37"/>
      <c r="H535" s="54" t="s">
        <v>2159</v>
      </c>
      <c r="I535" s="37"/>
    </row>
    <row r="536" customFormat="false" ht="15" hidden="false" customHeight="true" outlineLevel="0" collapsed="false">
      <c r="A536" s="37" t="s">
        <v>2161</v>
      </c>
      <c r="B536" s="37" t="s">
        <v>463</v>
      </c>
      <c r="C536" s="37" t="s">
        <v>4834</v>
      </c>
      <c r="D536" s="37" t="s">
        <v>4835</v>
      </c>
      <c r="E536" s="37"/>
      <c r="F536" s="37" t="s">
        <v>4842</v>
      </c>
      <c r="G536" s="37"/>
      <c r="H536" s="54" t="s">
        <v>2162</v>
      </c>
      <c r="I536" s="37"/>
    </row>
    <row r="537" customFormat="false" ht="15" hidden="false" customHeight="true" outlineLevel="0" collapsed="false">
      <c r="A537" s="37" t="s">
        <v>2164</v>
      </c>
      <c r="B537" s="37" t="s">
        <v>463</v>
      </c>
      <c r="C537" s="37" t="s">
        <v>4834</v>
      </c>
      <c r="D537" s="37" t="s">
        <v>4835</v>
      </c>
      <c r="E537" s="37"/>
      <c r="F537" s="37" t="s">
        <v>4836</v>
      </c>
      <c r="G537" s="37"/>
      <c r="H537" s="54" t="s">
        <v>2165</v>
      </c>
      <c r="I537" s="37"/>
    </row>
    <row r="538" customFormat="false" ht="15" hidden="false" customHeight="true" outlineLevel="0" collapsed="false">
      <c r="A538" s="37" t="s">
        <v>2167</v>
      </c>
      <c r="B538" s="37" t="s">
        <v>463</v>
      </c>
      <c r="C538" s="37" t="s">
        <v>4834</v>
      </c>
      <c r="D538" s="37" t="s">
        <v>4835</v>
      </c>
      <c r="E538" s="37"/>
      <c r="F538" s="37" t="s">
        <v>4836</v>
      </c>
      <c r="G538" s="37"/>
      <c r="H538" s="54" t="s">
        <v>2168</v>
      </c>
      <c r="I538" s="37"/>
    </row>
    <row r="539" customFormat="false" ht="15" hidden="false" customHeight="true" outlineLevel="0" collapsed="false">
      <c r="A539" s="37" t="s">
        <v>2170</v>
      </c>
      <c r="B539" s="37" t="s">
        <v>463</v>
      </c>
      <c r="C539" s="37" t="s">
        <v>4834</v>
      </c>
      <c r="D539" s="37" t="s">
        <v>4835</v>
      </c>
      <c r="E539" s="37"/>
      <c r="F539" s="37" t="s">
        <v>4842</v>
      </c>
      <c r="G539" s="37"/>
      <c r="H539" s="54" t="s">
        <v>2171</v>
      </c>
      <c r="I539" s="37"/>
    </row>
    <row r="540" customFormat="false" ht="15" hidden="false" customHeight="true" outlineLevel="0" collapsed="false">
      <c r="A540" s="37" t="s">
        <v>2173</v>
      </c>
      <c r="B540" s="37" t="s">
        <v>463</v>
      </c>
      <c r="C540" s="37" t="s">
        <v>4834</v>
      </c>
      <c r="D540" s="37" t="s">
        <v>4835</v>
      </c>
      <c r="E540" s="37"/>
      <c r="F540" s="37" t="s">
        <v>4836</v>
      </c>
      <c r="G540" s="37"/>
      <c r="H540" s="54" t="s">
        <v>2174</v>
      </c>
      <c r="I540" s="37"/>
    </row>
    <row r="541" customFormat="false" ht="15" hidden="false" customHeight="true" outlineLevel="0" collapsed="false">
      <c r="A541" s="37" t="s">
        <v>2176</v>
      </c>
      <c r="B541" s="37" t="s">
        <v>463</v>
      </c>
      <c r="C541" s="37" t="s">
        <v>4834</v>
      </c>
      <c r="D541" s="37" t="s">
        <v>4835</v>
      </c>
      <c r="E541" s="37"/>
      <c r="F541" s="37" t="s">
        <v>4836</v>
      </c>
      <c r="G541" s="37"/>
      <c r="H541" s="54" t="s">
        <v>2177</v>
      </c>
      <c r="I541" s="37"/>
    </row>
    <row r="542" customFormat="false" ht="15" hidden="false" customHeight="true" outlineLevel="0" collapsed="false">
      <c r="A542" s="37" t="s">
        <v>2179</v>
      </c>
      <c r="B542" s="37" t="s">
        <v>463</v>
      </c>
      <c r="C542" s="37" t="s">
        <v>4834</v>
      </c>
      <c r="D542" s="37" t="s">
        <v>4835</v>
      </c>
      <c r="E542" s="37"/>
      <c r="F542" s="37" t="s">
        <v>4842</v>
      </c>
      <c r="G542" s="37"/>
      <c r="H542" s="54" t="s">
        <v>2180</v>
      </c>
      <c r="I542" s="37"/>
    </row>
    <row r="543" customFormat="false" ht="15" hidden="false" customHeight="true" outlineLevel="0" collapsed="false">
      <c r="A543" s="37" t="s">
        <v>2182</v>
      </c>
      <c r="B543" s="37" t="s">
        <v>463</v>
      </c>
      <c r="C543" s="37" t="s">
        <v>4834</v>
      </c>
      <c r="D543" s="37" t="s">
        <v>4835</v>
      </c>
      <c r="E543" s="37"/>
      <c r="F543" s="37" t="s">
        <v>4842</v>
      </c>
      <c r="G543" s="37"/>
      <c r="H543" s="54" t="s">
        <v>2183</v>
      </c>
      <c r="I543" s="37"/>
    </row>
    <row r="544" customFormat="false" ht="15" hidden="false" customHeight="true" outlineLevel="0" collapsed="false">
      <c r="A544" s="37" t="s">
        <v>2185</v>
      </c>
      <c r="B544" s="37" t="s">
        <v>463</v>
      </c>
      <c r="C544" s="37" t="s">
        <v>4834</v>
      </c>
      <c r="D544" s="37" t="s">
        <v>4835</v>
      </c>
      <c r="E544" s="37"/>
      <c r="F544" s="37" t="s">
        <v>4842</v>
      </c>
      <c r="G544" s="37"/>
      <c r="H544" s="54" t="s">
        <v>2186</v>
      </c>
      <c r="I544" s="37"/>
    </row>
    <row r="545" customFormat="false" ht="15" hidden="false" customHeight="true" outlineLevel="0" collapsed="false">
      <c r="A545" s="37" t="s">
        <v>2191</v>
      </c>
      <c r="B545" s="37" t="s">
        <v>463</v>
      </c>
      <c r="C545" s="37" t="s">
        <v>4834</v>
      </c>
      <c r="D545" s="37" t="s">
        <v>4835</v>
      </c>
      <c r="E545" s="37"/>
      <c r="F545" s="37" t="s">
        <v>4842</v>
      </c>
      <c r="G545" s="37"/>
      <c r="H545" s="54" t="s">
        <v>2192</v>
      </c>
      <c r="I545" s="37"/>
    </row>
    <row r="546" customFormat="false" ht="15" hidden="false" customHeight="true" outlineLevel="0" collapsed="false">
      <c r="A546" s="37" t="s">
        <v>2195</v>
      </c>
      <c r="B546" s="37" t="s">
        <v>463</v>
      </c>
      <c r="C546" s="37" t="s">
        <v>4834</v>
      </c>
      <c r="D546" s="37" t="s">
        <v>4835</v>
      </c>
      <c r="E546" s="37"/>
      <c r="F546" s="37" t="s">
        <v>4836</v>
      </c>
      <c r="G546" s="37"/>
      <c r="H546" s="54" t="s">
        <v>2196</v>
      </c>
      <c r="I546" s="37"/>
    </row>
    <row r="547" customFormat="false" ht="15" hidden="false" customHeight="true" outlineLevel="0" collapsed="false">
      <c r="A547" s="37" t="s">
        <v>2198</v>
      </c>
      <c r="B547" s="37" t="s">
        <v>463</v>
      </c>
      <c r="C547" s="37" t="s">
        <v>4834</v>
      </c>
      <c r="D547" s="37" t="s">
        <v>4835</v>
      </c>
      <c r="E547" s="37"/>
      <c r="F547" s="37" t="s">
        <v>4842</v>
      </c>
      <c r="G547" s="37"/>
      <c r="H547" s="54" t="s">
        <v>2199</v>
      </c>
      <c r="I547" s="37"/>
    </row>
    <row r="548" customFormat="false" ht="15" hidden="false" customHeight="true" outlineLevel="0" collapsed="false">
      <c r="A548" s="37" t="s">
        <v>2201</v>
      </c>
      <c r="B548" s="37" t="s">
        <v>463</v>
      </c>
      <c r="C548" s="37" t="s">
        <v>4834</v>
      </c>
      <c r="D548" s="37" t="s">
        <v>4835</v>
      </c>
      <c r="E548" s="37"/>
      <c r="F548" s="37" t="s">
        <v>4842</v>
      </c>
      <c r="G548" s="37"/>
      <c r="H548" s="54" t="s">
        <v>2202</v>
      </c>
      <c r="I548" s="37"/>
    </row>
    <row r="549" customFormat="false" ht="15" hidden="false" customHeight="true" outlineLevel="0" collapsed="false">
      <c r="A549" s="37" t="s">
        <v>2204</v>
      </c>
      <c r="B549" s="37" t="s">
        <v>463</v>
      </c>
      <c r="C549" s="37" t="s">
        <v>4834</v>
      </c>
      <c r="D549" s="37" t="s">
        <v>4835</v>
      </c>
      <c r="E549" s="37"/>
      <c r="F549" s="37" t="s">
        <v>4836</v>
      </c>
      <c r="G549" s="37"/>
      <c r="H549" s="54" t="s">
        <v>2205</v>
      </c>
      <c r="I549" s="37"/>
    </row>
    <row r="550" customFormat="false" ht="15" hidden="false" customHeight="true" outlineLevel="0" collapsed="false">
      <c r="A550" s="37" t="s">
        <v>2207</v>
      </c>
      <c r="B550" s="37" t="s">
        <v>463</v>
      </c>
      <c r="C550" s="37" t="s">
        <v>4834</v>
      </c>
      <c r="D550" s="37" t="s">
        <v>4835</v>
      </c>
      <c r="E550" s="37"/>
      <c r="F550" s="37" t="s">
        <v>4842</v>
      </c>
      <c r="G550" s="37"/>
      <c r="H550" s="54" t="s">
        <v>2208</v>
      </c>
      <c r="I550" s="37"/>
    </row>
    <row r="551" customFormat="false" ht="15" hidden="false" customHeight="true" outlineLevel="0" collapsed="false">
      <c r="A551" s="37" t="s">
        <v>2210</v>
      </c>
      <c r="B551" s="37" t="s">
        <v>463</v>
      </c>
      <c r="C551" s="37" t="s">
        <v>4834</v>
      </c>
      <c r="D551" s="37" t="s">
        <v>4835</v>
      </c>
      <c r="E551" s="37"/>
      <c r="F551" s="37" t="s">
        <v>4842</v>
      </c>
      <c r="G551" s="37"/>
      <c r="H551" s="54" t="s">
        <v>2211</v>
      </c>
      <c r="I551" s="37"/>
    </row>
    <row r="552" customFormat="false" ht="15" hidden="false" customHeight="true" outlineLevel="0" collapsed="false">
      <c r="A552" s="37" t="s">
        <v>2213</v>
      </c>
      <c r="B552" s="37" t="s">
        <v>463</v>
      </c>
      <c r="C552" s="37" t="s">
        <v>4834</v>
      </c>
      <c r="D552" s="37" t="s">
        <v>4835</v>
      </c>
      <c r="E552" s="37"/>
      <c r="F552" s="37" t="s">
        <v>4842</v>
      </c>
      <c r="G552" s="37"/>
      <c r="H552" s="54" t="s">
        <v>2214</v>
      </c>
      <c r="I552" s="37"/>
    </row>
    <row r="553" customFormat="false" ht="15" hidden="false" customHeight="true" outlineLevel="0" collapsed="false">
      <c r="A553" s="37" t="s">
        <v>2216</v>
      </c>
      <c r="B553" s="37" t="s">
        <v>463</v>
      </c>
      <c r="C553" s="37" t="s">
        <v>4834</v>
      </c>
      <c r="D553" s="37" t="s">
        <v>4835</v>
      </c>
      <c r="E553" s="37"/>
      <c r="F553" s="37" t="s">
        <v>4842</v>
      </c>
      <c r="G553" s="37"/>
      <c r="H553" s="54" t="s">
        <v>2217</v>
      </c>
      <c r="I553" s="37"/>
    </row>
    <row r="554" customFormat="false" ht="15" hidden="false" customHeight="true" outlineLevel="0" collapsed="false">
      <c r="A554" s="37" t="s">
        <v>2219</v>
      </c>
      <c r="B554" s="37" t="s">
        <v>463</v>
      </c>
      <c r="C554" s="37" t="s">
        <v>4834</v>
      </c>
      <c r="D554" s="37" t="s">
        <v>4835</v>
      </c>
      <c r="E554" s="37"/>
      <c r="F554" s="37" t="s">
        <v>4836</v>
      </c>
      <c r="G554" s="37"/>
      <c r="H554" s="54" t="s">
        <v>2220</v>
      </c>
      <c r="I554" s="37"/>
    </row>
    <row r="555" customFormat="false" ht="15" hidden="false" customHeight="true" outlineLevel="0" collapsed="false">
      <c r="A555" s="37" t="s">
        <v>2222</v>
      </c>
      <c r="B555" s="37" t="s">
        <v>463</v>
      </c>
      <c r="C555" s="37" t="s">
        <v>4834</v>
      </c>
      <c r="D555" s="37" t="s">
        <v>4835</v>
      </c>
      <c r="E555" s="37"/>
      <c r="F555" s="37" t="s">
        <v>4836</v>
      </c>
      <c r="G555" s="37"/>
      <c r="H555" s="54" t="s">
        <v>2223</v>
      </c>
      <c r="I555" s="37"/>
    </row>
    <row r="556" customFormat="false" ht="15" hidden="false" customHeight="true" outlineLevel="0" collapsed="false">
      <c r="A556" s="37" t="s">
        <v>2225</v>
      </c>
      <c r="B556" s="37" t="s">
        <v>463</v>
      </c>
      <c r="C556" s="37" t="s">
        <v>4834</v>
      </c>
      <c r="D556" s="37" t="s">
        <v>4835</v>
      </c>
      <c r="E556" s="37"/>
      <c r="F556" s="37" t="s">
        <v>4836</v>
      </c>
      <c r="G556" s="37"/>
      <c r="H556" s="54" t="s">
        <v>2226</v>
      </c>
      <c r="I556" s="37"/>
    </row>
    <row r="557" customFormat="false" ht="15" hidden="false" customHeight="true" outlineLevel="0" collapsed="false">
      <c r="A557" s="37" t="s">
        <v>2228</v>
      </c>
      <c r="B557" s="37" t="s">
        <v>463</v>
      </c>
      <c r="C557" s="37" t="s">
        <v>4834</v>
      </c>
      <c r="D557" s="37" t="s">
        <v>4835</v>
      </c>
      <c r="E557" s="37"/>
      <c r="F557" s="37" t="s">
        <v>4842</v>
      </c>
      <c r="G557" s="37"/>
      <c r="H557" s="54" t="s">
        <v>2229</v>
      </c>
      <c r="I557" s="37"/>
    </row>
    <row r="558" customFormat="false" ht="15" hidden="false" customHeight="true" outlineLevel="0" collapsed="false">
      <c r="A558" s="37" t="s">
        <v>2231</v>
      </c>
      <c r="B558" s="37" t="s">
        <v>463</v>
      </c>
      <c r="C558" s="37" t="s">
        <v>4834</v>
      </c>
      <c r="D558" s="37" t="s">
        <v>4835</v>
      </c>
      <c r="E558" s="37"/>
      <c r="F558" s="37" t="s">
        <v>4836</v>
      </c>
      <c r="G558" s="37"/>
      <c r="H558" s="54" t="s">
        <v>2232</v>
      </c>
      <c r="I558" s="37"/>
    </row>
    <row r="559" customFormat="false" ht="15" hidden="false" customHeight="true" outlineLevel="0" collapsed="false">
      <c r="A559" s="37" t="s">
        <v>2234</v>
      </c>
      <c r="B559" s="37" t="s">
        <v>463</v>
      </c>
      <c r="C559" s="37" t="s">
        <v>4834</v>
      </c>
      <c r="D559" s="37" t="s">
        <v>4835</v>
      </c>
      <c r="E559" s="37"/>
      <c r="F559" s="37" t="s">
        <v>4842</v>
      </c>
      <c r="G559" s="37"/>
      <c r="H559" s="54" t="s">
        <v>2235</v>
      </c>
      <c r="I559" s="37"/>
    </row>
    <row r="560" customFormat="false" ht="15" hidden="false" customHeight="true" outlineLevel="0" collapsed="false">
      <c r="A560" s="37" t="s">
        <v>2237</v>
      </c>
      <c r="B560" s="37" t="s">
        <v>463</v>
      </c>
      <c r="C560" s="37" t="s">
        <v>4834</v>
      </c>
      <c r="D560" s="37" t="s">
        <v>4835</v>
      </c>
      <c r="E560" s="37"/>
      <c r="F560" s="37" t="s">
        <v>4842</v>
      </c>
      <c r="G560" s="37"/>
      <c r="H560" s="54" t="s">
        <v>2238</v>
      </c>
      <c r="I560" s="37"/>
    </row>
    <row r="561" customFormat="false" ht="15" hidden="false" customHeight="true" outlineLevel="0" collapsed="false">
      <c r="A561" s="37" t="s">
        <v>2240</v>
      </c>
      <c r="B561" s="37" t="s">
        <v>463</v>
      </c>
      <c r="C561" s="37" t="s">
        <v>4834</v>
      </c>
      <c r="D561" s="37" t="s">
        <v>4835</v>
      </c>
      <c r="E561" s="37"/>
      <c r="F561" s="37" t="s">
        <v>4836</v>
      </c>
      <c r="G561" s="37"/>
      <c r="H561" s="54" t="s">
        <v>2241</v>
      </c>
      <c r="I561" s="37"/>
    </row>
    <row r="562" customFormat="false" ht="15" hidden="false" customHeight="true" outlineLevel="0" collapsed="false">
      <c r="A562" s="37" t="s">
        <v>2243</v>
      </c>
      <c r="B562" s="37" t="s">
        <v>463</v>
      </c>
      <c r="C562" s="37" t="s">
        <v>4834</v>
      </c>
      <c r="D562" s="37" t="s">
        <v>4835</v>
      </c>
      <c r="E562" s="37"/>
      <c r="F562" s="37" t="s">
        <v>4842</v>
      </c>
      <c r="G562" s="37"/>
      <c r="H562" s="54" t="s">
        <v>2244</v>
      </c>
      <c r="I562" s="37"/>
    </row>
    <row r="563" customFormat="false" ht="15" hidden="false" customHeight="true" outlineLevel="0" collapsed="false">
      <c r="A563" s="37" t="s">
        <v>2246</v>
      </c>
      <c r="B563" s="37" t="s">
        <v>463</v>
      </c>
      <c r="C563" s="37" t="s">
        <v>4834</v>
      </c>
      <c r="D563" s="37" t="s">
        <v>4835</v>
      </c>
      <c r="E563" s="37"/>
      <c r="F563" s="37" t="s">
        <v>4836</v>
      </c>
      <c r="G563" s="37"/>
      <c r="H563" s="54" t="s">
        <v>2247</v>
      </c>
      <c r="I563" s="37"/>
    </row>
    <row r="564" customFormat="false" ht="15" hidden="false" customHeight="true" outlineLevel="0" collapsed="false">
      <c r="A564" s="37" t="s">
        <v>2255</v>
      </c>
      <c r="B564" s="37" t="s">
        <v>463</v>
      </c>
      <c r="C564" s="37" t="s">
        <v>4834</v>
      </c>
      <c r="D564" s="37" t="s">
        <v>4835</v>
      </c>
      <c r="E564" s="37"/>
      <c r="F564" s="37" t="s">
        <v>4842</v>
      </c>
      <c r="G564" s="37"/>
      <c r="H564" s="54" t="s">
        <v>2256</v>
      </c>
      <c r="I564" s="37"/>
    </row>
    <row r="565" customFormat="false" ht="15" hidden="false" customHeight="true" outlineLevel="0" collapsed="false">
      <c r="A565" s="37" t="s">
        <v>2261</v>
      </c>
      <c r="B565" s="37" t="s">
        <v>463</v>
      </c>
      <c r="C565" s="37" t="s">
        <v>4834</v>
      </c>
      <c r="D565" s="37" t="s">
        <v>4835</v>
      </c>
      <c r="E565" s="37"/>
      <c r="F565" s="37" t="s">
        <v>4842</v>
      </c>
      <c r="G565" s="37"/>
      <c r="H565" s="54" t="s">
        <v>2262</v>
      </c>
      <c r="I565" s="37"/>
    </row>
    <row r="566" customFormat="false" ht="15" hidden="false" customHeight="true" outlineLevel="0" collapsed="false">
      <c r="A566" s="37" t="s">
        <v>2264</v>
      </c>
      <c r="B566" s="37" t="s">
        <v>463</v>
      </c>
      <c r="C566" s="37" t="s">
        <v>4834</v>
      </c>
      <c r="D566" s="37" t="s">
        <v>4835</v>
      </c>
      <c r="E566" s="37"/>
      <c r="F566" s="37" t="s">
        <v>4842</v>
      </c>
      <c r="G566" s="37"/>
      <c r="H566" s="54" t="s">
        <v>2265</v>
      </c>
      <c r="I566" s="37"/>
    </row>
    <row r="567" customFormat="false" ht="15" hidden="false" customHeight="true" outlineLevel="0" collapsed="false">
      <c r="A567" s="37" t="s">
        <v>2267</v>
      </c>
      <c r="B567" s="37" t="s">
        <v>463</v>
      </c>
      <c r="C567" s="37" t="s">
        <v>4834</v>
      </c>
      <c r="D567" s="37" t="s">
        <v>4835</v>
      </c>
      <c r="E567" s="37"/>
      <c r="F567" s="37" t="s">
        <v>4836</v>
      </c>
      <c r="G567" s="37"/>
      <c r="H567" s="54" t="s">
        <v>2268</v>
      </c>
      <c r="I567" s="37"/>
    </row>
    <row r="568" customFormat="false" ht="15" hidden="false" customHeight="true" outlineLevel="0" collapsed="false">
      <c r="A568" s="37" t="s">
        <v>2270</v>
      </c>
      <c r="B568" s="37" t="s">
        <v>463</v>
      </c>
      <c r="C568" s="37" t="s">
        <v>4834</v>
      </c>
      <c r="D568" s="37" t="s">
        <v>4835</v>
      </c>
      <c r="E568" s="37"/>
      <c r="F568" s="37" t="s">
        <v>4836</v>
      </c>
      <c r="G568" s="37"/>
      <c r="H568" s="54" t="s">
        <v>2271</v>
      </c>
      <c r="I568" s="37"/>
    </row>
    <row r="569" customFormat="false" ht="15" hidden="false" customHeight="true" outlineLevel="0" collapsed="false">
      <c r="A569" s="37" t="s">
        <v>2273</v>
      </c>
      <c r="B569" s="37" t="s">
        <v>463</v>
      </c>
      <c r="C569" s="37" t="s">
        <v>4834</v>
      </c>
      <c r="D569" s="37" t="s">
        <v>4835</v>
      </c>
      <c r="E569" s="37"/>
      <c r="F569" s="37" t="s">
        <v>4836</v>
      </c>
      <c r="G569" s="37"/>
      <c r="H569" s="54" t="s">
        <v>2274</v>
      </c>
      <c r="I569" s="37"/>
    </row>
    <row r="570" customFormat="false" ht="15" hidden="false" customHeight="true" outlineLevel="0" collapsed="false">
      <c r="A570" s="37" t="s">
        <v>2276</v>
      </c>
      <c r="B570" s="37" t="s">
        <v>463</v>
      </c>
      <c r="C570" s="37" t="s">
        <v>4834</v>
      </c>
      <c r="D570" s="37" t="s">
        <v>4835</v>
      </c>
      <c r="E570" s="37"/>
      <c r="F570" s="37" t="s">
        <v>4836</v>
      </c>
      <c r="G570" s="37"/>
      <c r="H570" s="54" t="s">
        <v>2277</v>
      </c>
      <c r="I570" s="37"/>
    </row>
    <row r="571" customFormat="false" ht="15" hidden="false" customHeight="true" outlineLevel="0" collapsed="false">
      <c r="A571" s="37" t="s">
        <v>2279</v>
      </c>
      <c r="B571" s="37" t="s">
        <v>463</v>
      </c>
      <c r="C571" s="37" t="s">
        <v>4834</v>
      </c>
      <c r="D571" s="37" t="s">
        <v>4835</v>
      </c>
      <c r="E571" s="37"/>
      <c r="F571" s="37" t="s">
        <v>4836</v>
      </c>
      <c r="G571" s="37"/>
      <c r="H571" s="54" t="s">
        <v>2280</v>
      </c>
      <c r="I571" s="37"/>
    </row>
    <row r="572" customFormat="false" ht="15" hidden="false" customHeight="true" outlineLevel="0" collapsed="false">
      <c r="A572" s="37" t="s">
        <v>2282</v>
      </c>
      <c r="B572" s="37" t="s">
        <v>463</v>
      </c>
      <c r="C572" s="37" t="s">
        <v>4834</v>
      </c>
      <c r="D572" s="37" t="s">
        <v>4835</v>
      </c>
      <c r="E572" s="37"/>
      <c r="F572" s="37" t="s">
        <v>4836</v>
      </c>
      <c r="G572" s="37"/>
      <c r="H572" s="54" t="s">
        <v>2283</v>
      </c>
      <c r="I572" s="37"/>
    </row>
    <row r="573" customFormat="false" ht="15" hidden="false" customHeight="true" outlineLevel="0" collapsed="false">
      <c r="A573" s="37" t="s">
        <v>2285</v>
      </c>
      <c r="B573" s="37" t="s">
        <v>463</v>
      </c>
      <c r="C573" s="37" t="s">
        <v>4834</v>
      </c>
      <c r="D573" s="37" t="s">
        <v>4835</v>
      </c>
      <c r="E573" s="37"/>
      <c r="F573" s="37" t="s">
        <v>4836</v>
      </c>
      <c r="G573" s="37"/>
      <c r="H573" s="54" t="s">
        <v>2286</v>
      </c>
      <c r="I573" s="37"/>
    </row>
    <row r="574" customFormat="false" ht="15" hidden="false" customHeight="true" outlineLevel="0" collapsed="false">
      <c r="A574" s="37" t="s">
        <v>2288</v>
      </c>
      <c r="B574" s="37" t="s">
        <v>463</v>
      </c>
      <c r="C574" s="37" t="s">
        <v>4834</v>
      </c>
      <c r="D574" s="37" t="s">
        <v>4835</v>
      </c>
      <c r="E574" s="37"/>
      <c r="F574" s="37" t="s">
        <v>4842</v>
      </c>
      <c r="G574" s="37"/>
      <c r="H574" s="54" t="s">
        <v>2289</v>
      </c>
      <c r="I574" s="37"/>
    </row>
    <row r="575" customFormat="false" ht="15" hidden="false" customHeight="true" outlineLevel="0" collapsed="false">
      <c r="A575" s="37" t="s">
        <v>2291</v>
      </c>
      <c r="B575" s="37" t="s">
        <v>463</v>
      </c>
      <c r="C575" s="37" t="s">
        <v>4834</v>
      </c>
      <c r="D575" s="37" t="s">
        <v>4835</v>
      </c>
      <c r="E575" s="37"/>
      <c r="F575" s="37" t="s">
        <v>4836</v>
      </c>
      <c r="G575" s="37"/>
      <c r="H575" s="54" t="s">
        <v>2292</v>
      </c>
      <c r="I575" s="37"/>
    </row>
    <row r="576" customFormat="false" ht="15" hidden="false" customHeight="true" outlineLevel="0" collapsed="false">
      <c r="A576" s="37" t="s">
        <v>2294</v>
      </c>
      <c r="B576" s="37" t="s">
        <v>463</v>
      </c>
      <c r="C576" s="37" t="s">
        <v>4834</v>
      </c>
      <c r="D576" s="37" t="s">
        <v>4835</v>
      </c>
      <c r="E576" s="37"/>
      <c r="F576" s="37" t="s">
        <v>4842</v>
      </c>
      <c r="G576" s="37"/>
      <c r="H576" s="54" t="s">
        <v>2295</v>
      </c>
      <c r="I576" s="37"/>
    </row>
    <row r="577" customFormat="false" ht="15" hidden="false" customHeight="true" outlineLevel="0" collapsed="false">
      <c r="A577" s="37" t="s">
        <v>2297</v>
      </c>
      <c r="B577" s="37" t="s">
        <v>463</v>
      </c>
      <c r="C577" s="37" t="s">
        <v>4834</v>
      </c>
      <c r="D577" s="37" t="s">
        <v>4835</v>
      </c>
      <c r="E577" s="37"/>
      <c r="F577" s="37" t="s">
        <v>4836</v>
      </c>
      <c r="G577" s="37"/>
      <c r="H577" s="54" t="s">
        <v>2298</v>
      </c>
      <c r="I577" s="37"/>
    </row>
    <row r="578" customFormat="false" ht="15" hidden="false" customHeight="true" outlineLevel="0" collapsed="false">
      <c r="A578" s="37" t="s">
        <v>2300</v>
      </c>
      <c r="B578" s="37" t="s">
        <v>463</v>
      </c>
      <c r="C578" s="37" t="s">
        <v>4834</v>
      </c>
      <c r="D578" s="37" t="s">
        <v>4835</v>
      </c>
      <c r="E578" s="37"/>
      <c r="F578" s="37" t="s">
        <v>4836</v>
      </c>
      <c r="G578" s="37"/>
      <c r="H578" s="54" t="s">
        <v>2301</v>
      </c>
      <c r="I578" s="37"/>
    </row>
    <row r="579" customFormat="false" ht="15" hidden="false" customHeight="true" outlineLevel="0" collapsed="false">
      <c r="A579" s="37" t="s">
        <v>2303</v>
      </c>
      <c r="B579" s="37" t="s">
        <v>463</v>
      </c>
      <c r="C579" s="37" t="s">
        <v>4834</v>
      </c>
      <c r="D579" s="37" t="s">
        <v>4835</v>
      </c>
      <c r="E579" s="37"/>
      <c r="F579" s="37" t="s">
        <v>4836</v>
      </c>
      <c r="G579" s="37"/>
      <c r="H579" s="54" t="s">
        <v>2304</v>
      </c>
      <c r="I579" s="37"/>
    </row>
    <row r="580" customFormat="false" ht="15" hidden="false" customHeight="true" outlineLevel="0" collapsed="false">
      <c r="A580" s="37" t="s">
        <v>2306</v>
      </c>
      <c r="B580" s="37" t="s">
        <v>463</v>
      </c>
      <c r="C580" s="37" t="s">
        <v>4834</v>
      </c>
      <c r="D580" s="37" t="s">
        <v>4835</v>
      </c>
      <c r="E580" s="37"/>
      <c r="F580" s="37" t="s">
        <v>4842</v>
      </c>
      <c r="G580" s="37"/>
      <c r="H580" s="54" t="s">
        <v>2307</v>
      </c>
      <c r="I580" s="37"/>
    </row>
    <row r="581" customFormat="false" ht="15" hidden="false" customHeight="true" outlineLevel="0" collapsed="false">
      <c r="A581" s="37" t="s">
        <v>2309</v>
      </c>
      <c r="B581" s="37" t="s">
        <v>463</v>
      </c>
      <c r="C581" s="37" t="s">
        <v>4834</v>
      </c>
      <c r="D581" s="37" t="s">
        <v>4835</v>
      </c>
      <c r="E581" s="37"/>
      <c r="F581" s="37" t="s">
        <v>4836</v>
      </c>
      <c r="G581" s="37"/>
      <c r="H581" s="54" t="s">
        <v>2310</v>
      </c>
      <c r="I581" s="37"/>
    </row>
    <row r="582" customFormat="false" ht="15" hidden="false" customHeight="true" outlineLevel="0" collapsed="false">
      <c r="A582" s="37" t="s">
        <v>2312</v>
      </c>
      <c r="B582" s="37" t="s">
        <v>463</v>
      </c>
      <c r="C582" s="37" t="s">
        <v>4834</v>
      </c>
      <c r="D582" s="37" t="s">
        <v>4835</v>
      </c>
      <c r="E582" s="37"/>
      <c r="F582" s="37" t="s">
        <v>4836</v>
      </c>
      <c r="G582" s="37"/>
      <c r="H582" s="54" t="s">
        <v>2313</v>
      </c>
      <c r="I582" s="37"/>
    </row>
    <row r="583" customFormat="false" ht="15" hidden="false" customHeight="true" outlineLevel="0" collapsed="false">
      <c r="A583" s="37" t="s">
        <v>2315</v>
      </c>
      <c r="B583" s="37" t="s">
        <v>463</v>
      </c>
      <c r="C583" s="37" t="s">
        <v>4874</v>
      </c>
      <c r="D583" s="37" t="s">
        <v>4875</v>
      </c>
      <c r="E583" s="37"/>
      <c r="F583" s="37" t="s">
        <v>4886</v>
      </c>
      <c r="G583" s="37"/>
      <c r="H583" s="54" t="s">
        <v>2316</v>
      </c>
      <c r="I583" s="37"/>
    </row>
    <row r="584" customFormat="false" ht="15" hidden="false" customHeight="true" outlineLevel="0" collapsed="false">
      <c r="A584" s="37" t="s">
        <v>2315</v>
      </c>
      <c r="B584" s="37" t="s">
        <v>463</v>
      </c>
      <c r="C584" s="37" t="s">
        <v>4834</v>
      </c>
      <c r="D584" s="37" t="s">
        <v>4835</v>
      </c>
      <c r="E584" s="37"/>
      <c r="F584" s="37" t="s">
        <v>4836</v>
      </c>
      <c r="G584" s="37"/>
      <c r="H584" s="54" t="s">
        <v>2316</v>
      </c>
      <c r="I584" s="37"/>
    </row>
    <row r="585" customFormat="false" ht="15" hidden="false" customHeight="true" outlineLevel="0" collapsed="false">
      <c r="A585" s="37" t="s">
        <v>2318</v>
      </c>
      <c r="B585" s="37" t="s">
        <v>463</v>
      </c>
      <c r="C585" s="37" t="s">
        <v>4834</v>
      </c>
      <c r="D585" s="37" t="s">
        <v>4835</v>
      </c>
      <c r="E585" s="37"/>
      <c r="F585" s="37" t="s">
        <v>4842</v>
      </c>
      <c r="G585" s="37"/>
      <c r="H585" s="54" t="s">
        <v>2319</v>
      </c>
      <c r="I585" s="37"/>
    </row>
    <row r="586" customFormat="false" ht="15" hidden="false" customHeight="true" outlineLevel="0" collapsed="false">
      <c r="A586" s="37" t="s">
        <v>2325</v>
      </c>
      <c r="B586" s="37" t="s">
        <v>463</v>
      </c>
      <c r="C586" s="37" t="s">
        <v>4874</v>
      </c>
      <c r="D586" s="37" t="s">
        <v>4875</v>
      </c>
      <c r="E586" s="37"/>
      <c r="F586" s="37" t="s">
        <v>4886</v>
      </c>
      <c r="G586" s="37"/>
      <c r="H586" s="54" t="s">
        <v>2326</v>
      </c>
      <c r="I586" s="37"/>
    </row>
    <row r="587" customFormat="false" ht="15" hidden="false" customHeight="true" outlineLevel="0" collapsed="false">
      <c r="A587" s="37" t="s">
        <v>2325</v>
      </c>
      <c r="B587" s="37" t="s">
        <v>463</v>
      </c>
      <c r="C587" s="37" t="s">
        <v>4834</v>
      </c>
      <c r="D587" s="37" t="s">
        <v>4835</v>
      </c>
      <c r="E587" s="37"/>
      <c r="F587" s="37" t="s">
        <v>4836</v>
      </c>
      <c r="G587" s="37"/>
      <c r="H587" s="54" t="s">
        <v>2326</v>
      </c>
      <c r="I587" s="37"/>
    </row>
    <row r="588" customFormat="false" ht="15" hidden="false" customHeight="true" outlineLevel="0" collapsed="false">
      <c r="A588" s="37" t="s">
        <v>2328</v>
      </c>
      <c r="B588" s="37" t="s">
        <v>463</v>
      </c>
      <c r="C588" s="37" t="s">
        <v>4834</v>
      </c>
      <c r="D588" s="37" t="s">
        <v>4835</v>
      </c>
      <c r="E588" s="37"/>
      <c r="F588" s="37" t="s">
        <v>4842</v>
      </c>
      <c r="G588" s="37"/>
      <c r="H588" s="54" t="s">
        <v>2329</v>
      </c>
      <c r="I588" s="37"/>
    </row>
    <row r="589" customFormat="false" ht="15" hidden="false" customHeight="true" outlineLevel="0" collapsed="false">
      <c r="A589" s="37" t="s">
        <v>2357</v>
      </c>
      <c r="B589" s="37" t="s">
        <v>463</v>
      </c>
      <c r="C589" s="37" t="s">
        <v>4874</v>
      </c>
      <c r="D589" s="37" t="s">
        <v>4875</v>
      </c>
      <c r="E589" s="37"/>
      <c r="F589" s="37" t="s">
        <v>4886</v>
      </c>
      <c r="G589" s="37"/>
      <c r="H589" s="54" t="s">
        <v>2358</v>
      </c>
      <c r="I589" s="37"/>
    </row>
    <row r="590" customFormat="false" ht="15" hidden="false" customHeight="true" outlineLevel="0" collapsed="false">
      <c r="A590" s="37" t="s">
        <v>2360</v>
      </c>
      <c r="B590" s="37" t="s">
        <v>463</v>
      </c>
      <c r="C590" s="37" t="s">
        <v>4874</v>
      </c>
      <c r="D590" s="37" t="s">
        <v>4875</v>
      </c>
      <c r="E590" s="37"/>
      <c r="F590" s="37" t="s">
        <v>4886</v>
      </c>
      <c r="G590" s="37"/>
      <c r="H590" s="54" t="s">
        <v>2361</v>
      </c>
      <c r="I590" s="37"/>
    </row>
    <row r="591" customFormat="false" ht="15" hidden="false" customHeight="true" outlineLevel="0" collapsed="false">
      <c r="A591" s="37" t="s">
        <v>2363</v>
      </c>
      <c r="B591" s="37" t="s">
        <v>463</v>
      </c>
      <c r="C591" s="37" t="s">
        <v>4874</v>
      </c>
      <c r="D591" s="37" t="s">
        <v>4875</v>
      </c>
      <c r="E591" s="37"/>
      <c r="F591" s="37" t="s">
        <v>4886</v>
      </c>
      <c r="G591" s="37"/>
      <c r="H591" s="54" t="s">
        <v>2364</v>
      </c>
      <c r="I591" s="37"/>
    </row>
    <row r="592" customFormat="false" ht="15" hidden="false" customHeight="true" outlineLevel="0" collapsed="false">
      <c r="A592" s="37" t="s">
        <v>2366</v>
      </c>
      <c r="B592" s="37" t="s">
        <v>463</v>
      </c>
      <c r="C592" s="37" t="s">
        <v>4874</v>
      </c>
      <c r="D592" s="37" t="s">
        <v>4875</v>
      </c>
      <c r="E592" s="37"/>
      <c r="F592" s="37" t="s">
        <v>4886</v>
      </c>
      <c r="G592" s="37"/>
      <c r="H592" s="54" t="s">
        <v>2367</v>
      </c>
      <c r="I592" s="37"/>
    </row>
    <row r="593" customFormat="false" ht="15" hidden="false" customHeight="true" outlineLevel="0" collapsed="false">
      <c r="A593" s="37" t="s">
        <v>2369</v>
      </c>
      <c r="B593" s="37" t="s">
        <v>463</v>
      </c>
      <c r="C593" s="37" t="s">
        <v>4874</v>
      </c>
      <c r="D593" s="37" t="s">
        <v>4875</v>
      </c>
      <c r="E593" s="37"/>
      <c r="F593" s="37" t="s">
        <v>4886</v>
      </c>
      <c r="G593" s="37"/>
      <c r="H593" s="54" t="s">
        <v>2370</v>
      </c>
      <c r="I593" s="37"/>
    </row>
    <row r="594" customFormat="false" ht="15" hidden="false" customHeight="true" outlineLevel="0" collapsed="false">
      <c r="A594" s="37" t="s">
        <v>2372</v>
      </c>
      <c r="B594" s="37" t="s">
        <v>463</v>
      </c>
      <c r="C594" s="37" t="s">
        <v>4874</v>
      </c>
      <c r="D594" s="37" t="s">
        <v>4875</v>
      </c>
      <c r="E594" s="37"/>
      <c r="F594" s="37" t="s">
        <v>4886</v>
      </c>
      <c r="G594" s="37"/>
      <c r="H594" s="54" t="s">
        <v>2373</v>
      </c>
      <c r="I594" s="37"/>
    </row>
    <row r="595" customFormat="false" ht="15" hidden="false" customHeight="true" outlineLevel="0" collapsed="false">
      <c r="A595" s="37" t="s">
        <v>2375</v>
      </c>
      <c r="B595" s="37" t="s">
        <v>463</v>
      </c>
      <c r="C595" s="37" t="s">
        <v>4874</v>
      </c>
      <c r="D595" s="37" t="s">
        <v>4875</v>
      </c>
      <c r="E595" s="37"/>
      <c r="F595" s="37" t="s">
        <v>4886</v>
      </c>
      <c r="G595" s="37"/>
      <c r="H595" s="54" t="s">
        <v>2376</v>
      </c>
      <c r="I595" s="37"/>
    </row>
    <row r="596" customFormat="false" ht="15" hidden="false" customHeight="true" outlineLevel="0" collapsed="false">
      <c r="A596" s="37" t="s">
        <v>2381</v>
      </c>
      <c r="B596" s="37" t="s">
        <v>463</v>
      </c>
      <c r="C596" s="37" t="s">
        <v>4834</v>
      </c>
      <c r="D596" s="37" t="s">
        <v>4835</v>
      </c>
      <c r="E596" s="37"/>
      <c r="F596" s="37" t="s">
        <v>4842</v>
      </c>
      <c r="G596" s="37"/>
      <c r="H596" s="54" t="s">
        <v>2382</v>
      </c>
      <c r="I596" s="37"/>
    </row>
    <row r="597" customFormat="false" ht="15" hidden="false" customHeight="true" outlineLevel="0" collapsed="false">
      <c r="A597" s="37" t="s">
        <v>2384</v>
      </c>
      <c r="B597" s="37" t="s">
        <v>463</v>
      </c>
      <c r="C597" s="37" t="s">
        <v>4931</v>
      </c>
      <c r="D597" s="37" t="s">
        <v>5041</v>
      </c>
      <c r="E597" s="37"/>
      <c r="F597" s="37" t="s">
        <v>4992</v>
      </c>
      <c r="G597" s="37"/>
      <c r="H597" s="54" t="s">
        <v>2385</v>
      </c>
      <c r="I597" s="54" t="s">
        <v>5042</v>
      </c>
    </row>
    <row r="598" customFormat="false" ht="15" hidden="false" customHeight="true" outlineLevel="0" collapsed="false">
      <c r="A598" s="37" t="s">
        <v>2390</v>
      </c>
      <c r="B598" s="37" t="s">
        <v>463</v>
      </c>
      <c r="C598" s="37" t="s">
        <v>4931</v>
      </c>
      <c r="D598" s="37" t="s">
        <v>5041</v>
      </c>
      <c r="E598" s="37"/>
      <c r="F598" s="37" t="s">
        <v>4992</v>
      </c>
      <c r="G598" s="37"/>
      <c r="H598" s="54" t="s">
        <v>2391</v>
      </c>
      <c r="I598" s="54" t="s">
        <v>5042</v>
      </c>
    </row>
    <row r="599" customFormat="false" ht="15" hidden="false" customHeight="true" outlineLevel="0" collapsed="false">
      <c r="A599" s="37" t="s">
        <v>2397</v>
      </c>
      <c r="B599" s="37" t="s">
        <v>463</v>
      </c>
      <c r="C599" s="37" t="s">
        <v>4834</v>
      </c>
      <c r="D599" s="37" t="s">
        <v>5043</v>
      </c>
      <c r="E599" s="37"/>
      <c r="F599" s="37" t="s">
        <v>4842</v>
      </c>
      <c r="G599" s="37"/>
      <c r="H599" s="54" t="s">
        <v>2398</v>
      </c>
      <c r="I599" s="37"/>
    </row>
    <row r="600" customFormat="false" ht="15" hidden="false" customHeight="true" outlineLevel="0" collapsed="false">
      <c r="A600" s="37" t="s">
        <v>2397</v>
      </c>
      <c r="B600" s="37" t="s">
        <v>463</v>
      </c>
      <c r="C600" s="37" t="s">
        <v>4834</v>
      </c>
      <c r="D600" s="37" t="s">
        <v>4835</v>
      </c>
      <c r="E600" s="37"/>
      <c r="F600" s="37" t="s">
        <v>4836</v>
      </c>
      <c r="G600" s="37"/>
      <c r="H600" s="54" t="s">
        <v>2398</v>
      </c>
      <c r="I600" s="37"/>
    </row>
    <row r="601" customFormat="false" ht="15" hidden="false" customHeight="true" outlineLevel="0" collapsed="false">
      <c r="A601" s="37" t="s">
        <v>2400</v>
      </c>
      <c r="B601" s="37" t="s">
        <v>463</v>
      </c>
      <c r="C601" s="37" t="s">
        <v>4834</v>
      </c>
      <c r="D601" s="37" t="s">
        <v>4835</v>
      </c>
      <c r="E601" s="37"/>
      <c r="F601" s="37" t="s">
        <v>4836</v>
      </c>
      <c r="G601" s="37"/>
      <c r="H601" s="37" t="s">
        <v>5044</v>
      </c>
      <c r="I601" s="37"/>
    </row>
    <row r="602" customFormat="false" ht="15" hidden="false" customHeight="true" outlineLevel="0" collapsed="false">
      <c r="A602" s="37" t="s">
        <v>2403</v>
      </c>
      <c r="B602" s="37" t="s">
        <v>463</v>
      </c>
      <c r="C602" s="37" t="s">
        <v>4874</v>
      </c>
      <c r="D602" s="37" t="s">
        <v>4875</v>
      </c>
      <c r="E602" s="37"/>
      <c r="F602" s="37" t="s">
        <v>4883</v>
      </c>
      <c r="G602" s="37"/>
      <c r="H602" s="54" t="s">
        <v>2404</v>
      </c>
      <c r="I602" s="37"/>
    </row>
    <row r="603" customFormat="false" ht="15" hidden="false" customHeight="true" outlineLevel="0" collapsed="false">
      <c r="A603" s="37" t="s">
        <v>2403</v>
      </c>
      <c r="B603" s="37" t="s">
        <v>463</v>
      </c>
      <c r="C603" s="37" t="s">
        <v>4834</v>
      </c>
      <c r="D603" s="37" t="s">
        <v>4835</v>
      </c>
      <c r="E603" s="37"/>
      <c r="F603" s="37" t="s">
        <v>4836</v>
      </c>
      <c r="G603" s="37"/>
      <c r="H603" s="54" t="s">
        <v>2404</v>
      </c>
      <c r="I603" s="37"/>
    </row>
    <row r="604" customFormat="false" ht="15" hidden="false" customHeight="true" outlineLevel="0" collapsed="false">
      <c r="A604" s="37" t="s">
        <v>4275</v>
      </c>
      <c r="B604" s="37" t="s">
        <v>469</v>
      </c>
      <c r="C604" s="37" t="s">
        <v>4866</v>
      </c>
      <c r="D604" s="37" t="s">
        <v>4867</v>
      </c>
      <c r="E604" s="37"/>
      <c r="F604" s="37" t="s">
        <v>4885</v>
      </c>
      <c r="G604" s="37"/>
      <c r="H604" s="54" t="s">
        <v>4276</v>
      </c>
      <c r="I604" s="37"/>
    </row>
    <row r="605" customFormat="false" ht="15" hidden="false" customHeight="true" outlineLevel="0" collapsed="false">
      <c r="A605" s="37" t="s">
        <v>4279</v>
      </c>
      <c r="B605" s="37" t="s">
        <v>469</v>
      </c>
      <c r="C605" s="37" t="s">
        <v>4866</v>
      </c>
      <c r="D605" s="37" t="s">
        <v>4867</v>
      </c>
      <c r="E605" s="37"/>
      <c r="F605" s="37" t="s">
        <v>4885</v>
      </c>
      <c r="G605" s="37"/>
      <c r="H605" s="54" t="s">
        <v>4280</v>
      </c>
      <c r="I605" s="37"/>
    </row>
    <row r="606" customFormat="false" ht="15" hidden="false" customHeight="true" outlineLevel="0" collapsed="false">
      <c r="A606" s="37" t="s">
        <v>4282</v>
      </c>
      <c r="B606" s="37" t="s">
        <v>469</v>
      </c>
      <c r="C606" s="37" t="s">
        <v>4866</v>
      </c>
      <c r="D606" s="37" t="s">
        <v>4867</v>
      </c>
      <c r="E606" s="37"/>
      <c r="F606" s="37" t="s">
        <v>4884</v>
      </c>
      <c r="G606" s="37"/>
      <c r="H606" s="37" t="s">
        <v>4283</v>
      </c>
      <c r="I606" s="37"/>
    </row>
    <row r="607" customFormat="false" ht="15" hidden="false" customHeight="true" outlineLevel="0" collapsed="false">
      <c r="A607" s="37" t="s">
        <v>4285</v>
      </c>
      <c r="B607" s="37" t="s">
        <v>469</v>
      </c>
      <c r="C607" s="37" t="s">
        <v>4866</v>
      </c>
      <c r="D607" s="37" t="s">
        <v>4867</v>
      </c>
      <c r="E607" s="54" t="s">
        <v>4927</v>
      </c>
      <c r="F607" s="37" t="s">
        <v>4884</v>
      </c>
      <c r="G607" s="37"/>
      <c r="H607" s="54" t="s">
        <v>4286</v>
      </c>
      <c r="I607" s="37"/>
    </row>
    <row r="608" customFormat="false" ht="15" hidden="false" customHeight="true" outlineLevel="0" collapsed="false">
      <c r="A608" s="37" t="s">
        <v>4285</v>
      </c>
      <c r="B608" s="37" t="s">
        <v>469</v>
      </c>
      <c r="C608" s="37" t="s">
        <v>4866</v>
      </c>
      <c r="D608" s="37" t="s">
        <v>4867</v>
      </c>
      <c r="E608" s="54" t="s">
        <v>959</v>
      </c>
      <c r="F608" s="37" t="s">
        <v>4885</v>
      </c>
      <c r="G608" s="37"/>
      <c r="H608" s="54" t="s">
        <v>4286</v>
      </c>
      <c r="I608" s="37"/>
    </row>
    <row r="609" customFormat="false" ht="15" hidden="false" customHeight="true" outlineLevel="0" collapsed="false">
      <c r="A609" s="37" t="s">
        <v>4288</v>
      </c>
      <c r="B609" s="37" t="s">
        <v>469</v>
      </c>
      <c r="C609" s="37" t="s">
        <v>4866</v>
      </c>
      <c r="D609" s="37" t="s">
        <v>4867</v>
      </c>
      <c r="E609" s="37"/>
      <c r="F609" s="37" t="s">
        <v>4884</v>
      </c>
      <c r="G609" s="37"/>
      <c r="H609" s="54" t="s">
        <v>4289</v>
      </c>
      <c r="I609" s="37"/>
    </row>
    <row r="610" customFormat="false" ht="15" hidden="false" customHeight="true" outlineLevel="0" collapsed="false">
      <c r="A610" s="37" t="s">
        <v>4291</v>
      </c>
      <c r="B610" s="37" t="s">
        <v>469</v>
      </c>
      <c r="C610" s="37" t="s">
        <v>4866</v>
      </c>
      <c r="D610" s="37" t="s">
        <v>4867</v>
      </c>
      <c r="E610" s="37"/>
      <c r="F610" s="37" t="s">
        <v>4883</v>
      </c>
      <c r="G610" s="37"/>
      <c r="H610" s="54" t="s">
        <v>4292</v>
      </c>
      <c r="I610" s="37"/>
    </row>
    <row r="611" customFormat="false" ht="15" hidden="false" customHeight="true" outlineLevel="0" collapsed="false">
      <c r="A611" s="37" t="s">
        <v>4293</v>
      </c>
      <c r="B611" s="37" t="s">
        <v>469</v>
      </c>
      <c r="C611" s="37" t="s">
        <v>4834</v>
      </c>
      <c r="D611" s="37" t="s">
        <v>4835</v>
      </c>
      <c r="E611" s="37"/>
      <c r="F611" s="37" t="s">
        <v>4836</v>
      </c>
      <c r="G611" s="37"/>
      <c r="H611" s="54" t="s">
        <v>4294</v>
      </c>
      <c r="I611" s="37"/>
    </row>
    <row r="612" customFormat="false" ht="15" hidden="false" customHeight="true" outlineLevel="0" collapsed="false">
      <c r="A612" s="37" t="s">
        <v>4297</v>
      </c>
      <c r="B612" s="37" t="s">
        <v>469</v>
      </c>
      <c r="C612" s="37" t="s">
        <v>4866</v>
      </c>
      <c r="D612" s="37" t="s">
        <v>4867</v>
      </c>
      <c r="E612" s="37"/>
      <c r="F612" s="37" t="s">
        <v>4884</v>
      </c>
      <c r="G612" s="37"/>
      <c r="H612" s="54" t="s">
        <v>4298</v>
      </c>
      <c r="I612" s="37"/>
    </row>
    <row r="613" customFormat="false" ht="15" hidden="false" customHeight="true" outlineLevel="0" collapsed="false">
      <c r="A613" s="37" t="s">
        <v>4300</v>
      </c>
      <c r="B613" s="37" t="s">
        <v>469</v>
      </c>
      <c r="C613" s="37" t="s">
        <v>4866</v>
      </c>
      <c r="D613" s="37" t="s">
        <v>4867</v>
      </c>
      <c r="E613" s="37"/>
      <c r="F613" s="37" t="s">
        <v>4884</v>
      </c>
      <c r="G613" s="37"/>
      <c r="H613" s="54" t="s">
        <v>4301</v>
      </c>
      <c r="I613" s="37"/>
    </row>
    <row r="614" customFormat="false" ht="15" hidden="false" customHeight="true" outlineLevel="0" collapsed="false">
      <c r="A614" s="37" t="s">
        <v>4303</v>
      </c>
      <c r="B614" s="37" t="s">
        <v>469</v>
      </c>
      <c r="C614" s="37" t="s">
        <v>4866</v>
      </c>
      <c r="D614" s="37" t="s">
        <v>4867</v>
      </c>
      <c r="E614" s="37"/>
      <c r="F614" s="37" t="s">
        <v>4883</v>
      </c>
      <c r="G614" s="37"/>
      <c r="H614" s="54" t="s">
        <v>4304</v>
      </c>
      <c r="I614" s="37"/>
    </row>
    <row r="615" customFormat="false" ht="15" hidden="false" customHeight="true" outlineLevel="0" collapsed="false">
      <c r="A615" s="37" t="s">
        <v>4307</v>
      </c>
      <c r="B615" s="37" t="s">
        <v>469</v>
      </c>
      <c r="C615" s="37" t="s">
        <v>4866</v>
      </c>
      <c r="D615" s="37" t="s">
        <v>4867</v>
      </c>
      <c r="E615" s="37"/>
      <c r="F615" s="37" t="s">
        <v>4886</v>
      </c>
      <c r="G615" s="37"/>
      <c r="H615" s="54" t="s">
        <v>4308</v>
      </c>
      <c r="I615" s="37"/>
    </row>
    <row r="616" customFormat="false" ht="15" hidden="false" customHeight="true" outlineLevel="0" collapsed="false">
      <c r="A616" s="37" t="s">
        <v>4310</v>
      </c>
      <c r="B616" s="37" t="s">
        <v>469</v>
      </c>
      <c r="C616" s="37" t="s">
        <v>4866</v>
      </c>
      <c r="D616" s="37" t="s">
        <v>4867</v>
      </c>
      <c r="E616" s="37"/>
      <c r="F616" s="37" t="s">
        <v>4885</v>
      </c>
      <c r="G616" s="37"/>
      <c r="H616" s="54" t="s">
        <v>4311</v>
      </c>
      <c r="I616" s="37"/>
    </row>
    <row r="617" customFormat="false" ht="15" hidden="false" customHeight="true" outlineLevel="0" collapsed="false">
      <c r="A617" s="37" t="s">
        <v>4314</v>
      </c>
      <c r="B617" s="37" t="s">
        <v>469</v>
      </c>
      <c r="C617" s="37" t="s">
        <v>4866</v>
      </c>
      <c r="D617" s="37" t="s">
        <v>4867</v>
      </c>
      <c r="E617" s="37"/>
      <c r="F617" s="37" t="s">
        <v>4885</v>
      </c>
      <c r="G617" s="37"/>
      <c r="H617" s="54" t="s">
        <v>4315</v>
      </c>
      <c r="I617" s="37"/>
    </row>
    <row r="618" customFormat="false" ht="15" hidden="false" customHeight="true" outlineLevel="0" collapsed="false">
      <c r="A618" s="37" t="s">
        <v>4318</v>
      </c>
      <c r="B618" s="37" t="s">
        <v>469</v>
      </c>
      <c r="C618" s="37" t="s">
        <v>4866</v>
      </c>
      <c r="D618" s="37" t="s">
        <v>4867</v>
      </c>
      <c r="E618" s="37"/>
      <c r="F618" s="37" t="s">
        <v>4885</v>
      </c>
      <c r="G618" s="37"/>
      <c r="H618" s="54" t="s">
        <v>4319</v>
      </c>
      <c r="I618" s="37"/>
    </row>
    <row r="619" customFormat="false" ht="15" hidden="false" customHeight="true" outlineLevel="0" collapsed="false">
      <c r="A619" s="37" t="s">
        <v>4322</v>
      </c>
      <c r="B619" s="37" t="s">
        <v>469</v>
      </c>
      <c r="C619" s="37" t="s">
        <v>4866</v>
      </c>
      <c r="D619" s="37" t="s">
        <v>4867</v>
      </c>
      <c r="E619" s="37"/>
      <c r="F619" s="37" t="s">
        <v>4886</v>
      </c>
      <c r="G619" s="37"/>
      <c r="H619" s="54" t="s">
        <v>4323</v>
      </c>
      <c r="I619" s="37"/>
    </row>
    <row r="620" customFormat="false" ht="15" hidden="false" customHeight="true" outlineLevel="0" collapsed="false">
      <c r="A620" s="37" t="s">
        <v>4325</v>
      </c>
      <c r="B620" s="37" t="s">
        <v>469</v>
      </c>
      <c r="C620" s="37" t="s">
        <v>4874</v>
      </c>
      <c r="D620" s="37" t="s">
        <v>4875</v>
      </c>
      <c r="E620" s="37"/>
      <c r="F620" s="37" t="s">
        <v>4884</v>
      </c>
      <c r="G620" s="37"/>
      <c r="H620" s="54" t="s">
        <v>4326</v>
      </c>
      <c r="I620" s="37"/>
    </row>
    <row r="621" customFormat="false" ht="15" hidden="false" customHeight="true" outlineLevel="0" collapsed="false">
      <c r="A621" s="37" t="s">
        <v>4325</v>
      </c>
      <c r="B621" s="37" t="s">
        <v>469</v>
      </c>
      <c r="C621" s="37" t="s">
        <v>4866</v>
      </c>
      <c r="D621" s="37" t="s">
        <v>4867</v>
      </c>
      <c r="E621" s="37"/>
      <c r="F621" s="37" t="s">
        <v>4885</v>
      </c>
      <c r="G621" s="37"/>
      <c r="H621" s="54" t="s">
        <v>4326</v>
      </c>
      <c r="I621" s="37"/>
    </row>
    <row r="622" customFormat="false" ht="15" hidden="false" customHeight="true" outlineLevel="0" collapsed="false">
      <c r="A622" s="37" t="s">
        <v>4328</v>
      </c>
      <c r="B622" s="37" t="s">
        <v>469</v>
      </c>
      <c r="C622" s="37" t="s">
        <v>4866</v>
      </c>
      <c r="D622" s="37" t="s">
        <v>4867</v>
      </c>
      <c r="E622" s="54" t="s">
        <v>4927</v>
      </c>
      <c r="F622" s="37" t="s">
        <v>4883</v>
      </c>
      <c r="G622" s="37"/>
      <c r="H622" s="54" t="s">
        <v>4329</v>
      </c>
      <c r="I622" s="37"/>
    </row>
    <row r="623" customFormat="false" ht="15" hidden="false" customHeight="true" outlineLevel="0" collapsed="false">
      <c r="A623" s="37" t="s">
        <v>4328</v>
      </c>
      <c r="B623" s="37" t="s">
        <v>469</v>
      </c>
      <c r="C623" s="37" t="s">
        <v>4866</v>
      </c>
      <c r="D623" s="37" t="s">
        <v>4867</v>
      </c>
      <c r="E623" s="54" t="s">
        <v>5045</v>
      </c>
      <c r="F623" s="37" t="s">
        <v>4883</v>
      </c>
      <c r="G623" s="37"/>
      <c r="H623" s="54" t="s">
        <v>4329</v>
      </c>
      <c r="I623" s="37"/>
    </row>
    <row r="624" customFormat="false" ht="15" hidden="false" customHeight="true" outlineLevel="0" collapsed="false">
      <c r="A624" s="37" t="s">
        <v>4331</v>
      </c>
      <c r="B624" s="37" t="s">
        <v>469</v>
      </c>
      <c r="C624" s="37" t="s">
        <v>4834</v>
      </c>
      <c r="D624" s="37" t="s">
        <v>4835</v>
      </c>
      <c r="E624" s="37"/>
      <c r="F624" s="37" t="s">
        <v>4836</v>
      </c>
      <c r="G624" s="37"/>
      <c r="H624" s="54" t="s">
        <v>4332</v>
      </c>
      <c r="I624" s="37"/>
    </row>
    <row r="625" customFormat="false" ht="15" hidden="false" customHeight="true" outlineLevel="0" collapsed="false">
      <c r="A625" s="37" t="s">
        <v>4338</v>
      </c>
      <c r="B625" s="37" t="s">
        <v>469</v>
      </c>
      <c r="C625" s="37" t="s">
        <v>4834</v>
      </c>
      <c r="D625" s="37" t="s">
        <v>4835</v>
      </c>
      <c r="E625" s="37"/>
      <c r="F625" s="37" t="s">
        <v>4842</v>
      </c>
      <c r="G625" s="37"/>
      <c r="H625" s="54" t="s">
        <v>4339</v>
      </c>
      <c r="I625" s="37"/>
    </row>
    <row r="626" customFormat="false" ht="15" hidden="false" customHeight="true" outlineLevel="0" collapsed="false">
      <c r="A626" s="37" t="s">
        <v>4074</v>
      </c>
      <c r="B626" s="37" t="s">
        <v>477</v>
      </c>
      <c r="C626" s="37" t="s">
        <v>4866</v>
      </c>
      <c r="D626" s="37" t="s">
        <v>4867</v>
      </c>
      <c r="E626" s="37"/>
      <c r="F626" s="37"/>
      <c r="G626" s="37" t="s">
        <v>4909</v>
      </c>
      <c r="H626" s="37" t="s">
        <v>4075</v>
      </c>
      <c r="I626" s="54" t="s">
        <v>4868</v>
      </c>
    </row>
    <row r="627" customFormat="false" ht="15" hidden="false" customHeight="true" outlineLevel="0" collapsed="false">
      <c r="A627" s="37" t="s">
        <v>4078</v>
      </c>
      <c r="B627" s="37" t="s">
        <v>477</v>
      </c>
      <c r="C627" s="37" t="s">
        <v>4866</v>
      </c>
      <c r="D627" s="37" t="s">
        <v>4867</v>
      </c>
      <c r="E627" s="37"/>
      <c r="F627" s="37"/>
      <c r="G627" s="37" t="s">
        <v>4909</v>
      </c>
      <c r="H627" s="54" t="s">
        <v>4079</v>
      </c>
      <c r="I627" s="54" t="s">
        <v>4868</v>
      </c>
    </row>
    <row r="628" customFormat="false" ht="15" hidden="false" customHeight="true" outlineLevel="0" collapsed="false">
      <c r="A628" s="37" t="s">
        <v>4082</v>
      </c>
      <c r="B628" s="37" t="s">
        <v>477</v>
      </c>
      <c r="C628" s="37" t="s">
        <v>4866</v>
      </c>
      <c r="D628" s="37" t="s">
        <v>4867</v>
      </c>
      <c r="E628" s="37"/>
      <c r="F628" s="37"/>
      <c r="G628" s="37" t="s">
        <v>4909</v>
      </c>
      <c r="H628" s="54" t="s">
        <v>4083</v>
      </c>
      <c r="I628" s="54" t="s">
        <v>4868</v>
      </c>
    </row>
    <row r="629" customFormat="false" ht="15" hidden="false" customHeight="true" outlineLevel="0" collapsed="false">
      <c r="A629" s="37" t="s">
        <v>4086</v>
      </c>
      <c r="B629" s="37" t="s">
        <v>477</v>
      </c>
      <c r="C629" s="37" t="s">
        <v>4866</v>
      </c>
      <c r="D629" s="37" t="s">
        <v>4867</v>
      </c>
      <c r="E629" s="37"/>
      <c r="F629" s="37"/>
      <c r="G629" s="37" t="s">
        <v>4909</v>
      </c>
      <c r="H629" s="54" t="s">
        <v>4087</v>
      </c>
      <c r="I629" s="54" t="s">
        <v>4868</v>
      </c>
    </row>
    <row r="630" customFormat="false" ht="15" hidden="false" customHeight="true" outlineLevel="0" collapsed="false">
      <c r="A630" s="37" t="s">
        <v>2842</v>
      </c>
      <c r="B630" s="37" t="s">
        <v>485</v>
      </c>
      <c r="C630" s="37" t="s">
        <v>4834</v>
      </c>
      <c r="D630" s="37" t="s">
        <v>4835</v>
      </c>
      <c r="E630" s="37"/>
      <c r="F630" s="37" t="s">
        <v>4842</v>
      </c>
      <c r="G630" s="37"/>
      <c r="H630" s="37" t="s">
        <v>2843</v>
      </c>
      <c r="I630" s="37"/>
    </row>
    <row r="631" customFormat="false" ht="15" hidden="false" customHeight="true" outlineLevel="0" collapsed="false">
      <c r="A631" s="37" t="s">
        <v>2847</v>
      </c>
      <c r="B631" s="37" t="s">
        <v>485</v>
      </c>
      <c r="C631" s="37" t="s">
        <v>4834</v>
      </c>
      <c r="D631" s="37" t="s">
        <v>4835</v>
      </c>
      <c r="E631" s="37"/>
      <c r="F631" s="37" t="s">
        <v>4842</v>
      </c>
      <c r="G631" s="37"/>
      <c r="H631" s="37" t="s">
        <v>2848</v>
      </c>
      <c r="I631" s="37"/>
    </row>
    <row r="632" customFormat="false" ht="15" hidden="false" customHeight="true" outlineLevel="0" collapsed="false">
      <c r="A632" s="37" t="s">
        <v>2850</v>
      </c>
      <c r="B632" s="37" t="s">
        <v>485</v>
      </c>
      <c r="C632" s="37" t="s">
        <v>4834</v>
      </c>
      <c r="D632" s="37" t="s">
        <v>4835</v>
      </c>
      <c r="E632" s="37"/>
      <c r="F632" s="37" t="s">
        <v>4842</v>
      </c>
      <c r="G632" s="37"/>
      <c r="H632" s="37" t="s">
        <v>2851</v>
      </c>
      <c r="I632" s="37"/>
    </row>
    <row r="633" customFormat="false" ht="15" hidden="false" customHeight="true" outlineLevel="0" collapsed="false">
      <c r="A633" s="37" t="s">
        <v>2856</v>
      </c>
      <c r="B633" s="37" t="s">
        <v>485</v>
      </c>
      <c r="C633" s="37" t="s">
        <v>4834</v>
      </c>
      <c r="D633" s="37" t="s">
        <v>4835</v>
      </c>
      <c r="E633" s="37"/>
      <c r="F633" s="37" t="s">
        <v>4842</v>
      </c>
      <c r="G633" s="37"/>
      <c r="H633" s="37" t="s">
        <v>2857</v>
      </c>
      <c r="I633" s="37"/>
    </row>
    <row r="634" customFormat="false" ht="15" hidden="false" customHeight="true" outlineLevel="0" collapsed="false">
      <c r="A634" s="37" t="s">
        <v>2862</v>
      </c>
      <c r="B634" s="37" t="s">
        <v>485</v>
      </c>
      <c r="C634" s="37" t="s">
        <v>4834</v>
      </c>
      <c r="D634" s="37" t="s">
        <v>4835</v>
      </c>
      <c r="E634" s="37"/>
      <c r="F634" s="37" t="s">
        <v>4842</v>
      </c>
      <c r="G634" s="37"/>
      <c r="H634" s="37" t="s">
        <v>2863</v>
      </c>
      <c r="I634" s="37"/>
    </row>
    <row r="635" customFormat="false" ht="15" hidden="false" customHeight="true" outlineLevel="0" collapsed="false">
      <c r="A635" s="37" t="s">
        <v>2865</v>
      </c>
      <c r="B635" s="37" t="s">
        <v>485</v>
      </c>
      <c r="C635" s="37" t="s">
        <v>4834</v>
      </c>
      <c r="D635" s="37" t="s">
        <v>4835</v>
      </c>
      <c r="E635" s="37"/>
      <c r="F635" s="37" t="s">
        <v>4842</v>
      </c>
      <c r="G635" s="37"/>
      <c r="H635" s="37" t="s">
        <v>2866</v>
      </c>
      <c r="I635" s="37"/>
    </row>
    <row r="636" customFormat="false" ht="15" hidden="false" customHeight="true" outlineLevel="0" collapsed="false">
      <c r="A636" s="37" t="s">
        <v>2868</v>
      </c>
      <c r="B636" s="37" t="s">
        <v>485</v>
      </c>
      <c r="C636" s="37" t="s">
        <v>4834</v>
      </c>
      <c r="D636" s="37" t="s">
        <v>4835</v>
      </c>
      <c r="E636" s="37"/>
      <c r="F636" s="37" t="s">
        <v>4836</v>
      </c>
      <c r="G636" s="37"/>
      <c r="H636" s="37" t="s">
        <v>2869</v>
      </c>
      <c r="I636" s="37"/>
    </row>
    <row r="637" customFormat="false" ht="15" hidden="false" customHeight="true" outlineLevel="0" collapsed="false">
      <c r="A637" s="37" t="s">
        <v>2871</v>
      </c>
      <c r="B637" s="37" t="s">
        <v>485</v>
      </c>
      <c r="C637" s="37" t="s">
        <v>4834</v>
      </c>
      <c r="D637" s="37" t="s">
        <v>4835</v>
      </c>
      <c r="E637" s="37"/>
      <c r="F637" s="37" t="s">
        <v>4842</v>
      </c>
      <c r="G637" s="37"/>
      <c r="H637" s="37" t="s">
        <v>2872</v>
      </c>
      <c r="I637" s="37"/>
    </row>
    <row r="638" customFormat="false" ht="15" hidden="false" customHeight="true" outlineLevel="0" collapsed="false">
      <c r="A638" s="37" t="s">
        <v>2874</v>
      </c>
      <c r="B638" s="37" t="s">
        <v>485</v>
      </c>
      <c r="C638" s="37" t="s">
        <v>4834</v>
      </c>
      <c r="D638" s="37" t="s">
        <v>4835</v>
      </c>
      <c r="E638" s="37"/>
      <c r="F638" s="37" t="s">
        <v>4836</v>
      </c>
      <c r="G638" s="37"/>
      <c r="H638" s="37" t="s">
        <v>2875</v>
      </c>
      <c r="I638" s="37"/>
    </row>
    <row r="639" customFormat="false" ht="15" hidden="false" customHeight="true" outlineLevel="0" collapsed="false">
      <c r="A639" s="37" t="s">
        <v>2877</v>
      </c>
      <c r="B639" s="37" t="s">
        <v>485</v>
      </c>
      <c r="C639" s="37" t="s">
        <v>4834</v>
      </c>
      <c r="D639" s="37" t="s">
        <v>4835</v>
      </c>
      <c r="E639" s="37"/>
      <c r="F639" s="37" t="s">
        <v>4842</v>
      </c>
      <c r="G639" s="37"/>
      <c r="H639" s="37" t="s">
        <v>2878</v>
      </c>
      <c r="I639" s="37"/>
    </row>
    <row r="640" customFormat="false" ht="15" hidden="false" customHeight="true" outlineLevel="0" collapsed="false">
      <c r="A640" s="37" t="s">
        <v>2883</v>
      </c>
      <c r="B640" s="37" t="s">
        <v>485</v>
      </c>
      <c r="C640" s="37" t="s">
        <v>4834</v>
      </c>
      <c r="D640" s="37" t="s">
        <v>4835</v>
      </c>
      <c r="E640" s="37"/>
      <c r="F640" s="37" t="s">
        <v>4836</v>
      </c>
      <c r="G640" s="37"/>
      <c r="H640" s="37" t="s">
        <v>2884</v>
      </c>
      <c r="I640" s="37"/>
    </row>
    <row r="641" customFormat="false" ht="15" hidden="false" customHeight="true" outlineLevel="0" collapsed="false">
      <c r="A641" s="37" t="s">
        <v>2886</v>
      </c>
      <c r="B641" s="37" t="s">
        <v>485</v>
      </c>
      <c r="C641" s="37" t="s">
        <v>4834</v>
      </c>
      <c r="D641" s="37" t="s">
        <v>4835</v>
      </c>
      <c r="E641" s="37"/>
      <c r="F641" s="37" t="s">
        <v>4842</v>
      </c>
      <c r="G641" s="37"/>
      <c r="H641" s="37" t="s">
        <v>2887</v>
      </c>
      <c r="I641" s="37"/>
    </row>
    <row r="642" customFormat="false" ht="15" hidden="false" customHeight="true" outlineLevel="0" collapsed="false">
      <c r="A642" s="37" t="s">
        <v>2889</v>
      </c>
      <c r="B642" s="37" t="s">
        <v>485</v>
      </c>
      <c r="C642" s="37" t="s">
        <v>4834</v>
      </c>
      <c r="D642" s="37" t="s">
        <v>4835</v>
      </c>
      <c r="E642" s="37"/>
      <c r="F642" s="37" t="s">
        <v>4842</v>
      </c>
      <c r="G642" s="37"/>
      <c r="H642" s="37" t="s">
        <v>2890</v>
      </c>
      <c r="I642" s="37"/>
    </row>
    <row r="643" customFormat="false" ht="15" hidden="false" customHeight="true" outlineLevel="0" collapsed="false">
      <c r="A643" s="37" t="s">
        <v>2892</v>
      </c>
      <c r="B643" s="37" t="s">
        <v>485</v>
      </c>
      <c r="C643" s="37" t="s">
        <v>4834</v>
      </c>
      <c r="D643" s="37" t="s">
        <v>4835</v>
      </c>
      <c r="E643" s="37"/>
      <c r="F643" s="37" t="s">
        <v>4842</v>
      </c>
      <c r="G643" s="37"/>
      <c r="H643" s="37" t="s">
        <v>2893</v>
      </c>
      <c r="I643" s="37"/>
    </row>
    <row r="644" customFormat="false" ht="15" hidden="false" customHeight="true" outlineLevel="0" collapsed="false">
      <c r="A644" s="37" t="s">
        <v>2895</v>
      </c>
      <c r="B644" s="37" t="s">
        <v>485</v>
      </c>
      <c r="C644" s="37" t="s">
        <v>4834</v>
      </c>
      <c r="D644" s="37" t="s">
        <v>4835</v>
      </c>
      <c r="E644" s="37"/>
      <c r="F644" s="37" t="s">
        <v>4842</v>
      </c>
      <c r="G644" s="37"/>
      <c r="H644" s="37" t="s">
        <v>2896</v>
      </c>
      <c r="I644" s="37"/>
    </row>
    <row r="645" customFormat="false" ht="15" hidden="false" customHeight="true" outlineLevel="0" collapsed="false">
      <c r="A645" s="37" t="s">
        <v>2901</v>
      </c>
      <c r="B645" s="37" t="s">
        <v>485</v>
      </c>
      <c r="C645" s="37" t="s">
        <v>4834</v>
      </c>
      <c r="D645" s="37" t="s">
        <v>4835</v>
      </c>
      <c r="E645" s="37"/>
      <c r="F645" s="37" t="s">
        <v>4836</v>
      </c>
      <c r="G645" s="37"/>
      <c r="H645" s="37" t="s">
        <v>2902</v>
      </c>
      <c r="I645" s="37"/>
    </row>
    <row r="646" customFormat="false" ht="15" hidden="false" customHeight="true" outlineLevel="0" collapsed="false">
      <c r="A646" s="37" t="s">
        <v>2904</v>
      </c>
      <c r="B646" s="37" t="s">
        <v>485</v>
      </c>
      <c r="C646" s="37" t="s">
        <v>4874</v>
      </c>
      <c r="D646" s="37" t="s">
        <v>4875</v>
      </c>
      <c r="E646" s="37"/>
      <c r="F646" s="37" t="s">
        <v>4885</v>
      </c>
      <c r="G646" s="37"/>
      <c r="H646" s="37" t="s">
        <v>2905</v>
      </c>
      <c r="I646" s="37"/>
    </row>
    <row r="647" customFormat="false" ht="15" hidden="false" customHeight="true" outlineLevel="0" collapsed="false">
      <c r="A647" s="37" t="s">
        <v>2904</v>
      </c>
      <c r="B647" s="37" t="s">
        <v>485</v>
      </c>
      <c r="C647" s="37" t="s">
        <v>4866</v>
      </c>
      <c r="D647" s="37" t="s">
        <v>4867</v>
      </c>
      <c r="E647" s="37"/>
      <c r="F647" s="37" t="s">
        <v>4884</v>
      </c>
      <c r="G647" s="37"/>
      <c r="H647" s="37" t="s">
        <v>2905</v>
      </c>
      <c r="I647" s="37"/>
    </row>
    <row r="648" customFormat="false" ht="15" hidden="false" customHeight="true" outlineLevel="0" collapsed="false">
      <c r="A648" s="37" t="s">
        <v>2910</v>
      </c>
      <c r="B648" s="37" t="s">
        <v>485</v>
      </c>
      <c r="C648" s="37" t="s">
        <v>4866</v>
      </c>
      <c r="D648" s="37" t="s">
        <v>4867</v>
      </c>
      <c r="E648" s="37"/>
      <c r="F648" s="37" t="s">
        <v>4884</v>
      </c>
      <c r="G648" s="37"/>
      <c r="H648" s="54" t="s">
        <v>2911</v>
      </c>
      <c r="I648" s="37"/>
    </row>
    <row r="649" customFormat="false" ht="15" hidden="false" customHeight="true" outlineLevel="0" collapsed="false">
      <c r="A649" s="37" t="s">
        <v>2913</v>
      </c>
      <c r="B649" s="37" t="s">
        <v>485</v>
      </c>
      <c r="C649" s="37" t="s">
        <v>4834</v>
      </c>
      <c r="D649" s="37" t="s">
        <v>4835</v>
      </c>
      <c r="E649" s="37"/>
      <c r="F649" s="37" t="s">
        <v>4842</v>
      </c>
      <c r="G649" s="37"/>
      <c r="H649" s="37" t="s">
        <v>2914</v>
      </c>
      <c r="I649" s="37"/>
    </row>
    <row r="650" customFormat="false" ht="15" hidden="false" customHeight="true" outlineLevel="0" collapsed="false">
      <c r="A650" s="37" t="s">
        <v>2922</v>
      </c>
      <c r="B650" s="37" t="s">
        <v>485</v>
      </c>
      <c r="C650" s="37" t="s">
        <v>4866</v>
      </c>
      <c r="D650" s="37" t="s">
        <v>4867</v>
      </c>
      <c r="E650" s="37"/>
      <c r="F650" s="37" t="s">
        <v>4884</v>
      </c>
      <c r="G650" s="37"/>
      <c r="H650" s="37" t="s">
        <v>2923</v>
      </c>
      <c r="I650" s="37"/>
    </row>
    <row r="651" customFormat="false" ht="15" hidden="false" customHeight="true" outlineLevel="0" collapsed="false">
      <c r="A651" s="37" t="s">
        <v>2928</v>
      </c>
      <c r="B651" s="37" t="s">
        <v>485</v>
      </c>
      <c r="C651" s="37" t="s">
        <v>4834</v>
      </c>
      <c r="D651" s="37" t="s">
        <v>4835</v>
      </c>
      <c r="E651" s="37"/>
      <c r="F651" s="37" t="s">
        <v>4836</v>
      </c>
      <c r="G651" s="37"/>
      <c r="H651" s="37" t="s">
        <v>2929</v>
      </c>
      <c r="I651" s="37"/>
    </row>
    <row r="652" customFormat="false" ht="15" hidden="false" customHeight="true" outlineLevel="0" collapsed="false">
      <c r="A652" s="37" t="s">
        <v>2934</v>
      </c>
      <c r="B652" s="37" t="s">
        <v>485</v>
      </c>
      <c r="C652" s="37" t="s">
        <v>4866</v>
      </c>
      <c r="D652" s="37" t="s">
        <v>4867</v>
      </c>
      <c r="E652" s="37"/>
      <c r="F652" s="37" t="s">
        <v>4883</v>
      </c>
      <c r="G652" s="37"/>
      <c r="H652" s="37" t="s">
        <v>2935</v>
      </c>
      <c r="I652" s="37"/>
    </row>
    <row r="653" customFormat="false" ht="15" hidden="false" customHeight="true" outlineLevel="0" collapsed="false">
      <c r="A653" s="37" t="s">
        <v>2934</v>
      </c>
      <c r="B653" s="37" t="s">
        <v>485</v>
      </c>
      <c r="C653" s="37" t="s">
        <v>4834</v>
      </c>
      <c r="D653" s="37" t="s">
        <v>4835</v>
      </c>
      <c r="E653" s="37"/>
      <c r="F653" s="37" t="s">
        <v>4836</v>
      </c>
      <c r="G653" s="37"/>
      <c r="H653" s="37" t="s">
        <v>2935</v>
      </c>
      <c r="I653" s="37"/>
    </row>
    <row r="654" customFormat="false" ht="15" hidden="false" customHeight="true" outlineLevel="0" collapsed="false">
      <c r="A654" s="37" t="s">
        <v>2937</v>
      </c>
      <c r="B654" s="37" t="s">
        <v>485</v>
      </c>
      <c r="C654" s="37" t="s">
        <v>4834</v>
      </c>
      <c r="D654" s="37" t="s">
        <v>4835</v>
      </c>
      <c r="E654" s="37"/>
      <c r="F654" s="37" t="s">
        <v>4842</v>
      </c>
      <c r="G654" s="37"/>
      <c r="H654" s="37" t="s">
        <v>2938</v>
      </c>
      <c r="I654" s="37"/>
    </row>
    <row r="655" customFormat="false" ht="15" hidden="false" customHeight="true" outlineLevel="0" collapsed="false">
      <c r="A655" s="37" t="s">
        <v>2940</v>
      </c>
      <c r="B655" s="37" t="s">
        <v>485</v>
      </c>
      <c r="C655" s="37" t="s">
        <v>4834</v>
      </c>
      <c r="D655" s="37" t="s">
        <v>4835</v>
      </c>
      <c r="E655" s="37"/>
      <c r="F655" s="37" t="s">
        <v>4842</v>
      </c>
      <c r="G655" s="37"/>
      <c r="H655" s="37" t="s">
        <v>2941</v>
      </c>
      <c r="I655" s="37"/>
    </row>
    <row r="656" customFormat="false" ht="15" hidden="false" customHeight="true" outlineLevel="0" collapsed="false">
      <c r="A656" s="37" t="s">
        <v>2943</v>
      </c>
      <c r="B656" s="37" t="s">
        <v>485</v>
      </c>
      <c r="C656" s="37" t="s">
        <v>4834</v>
      </c>
      <c r="D656" s="37" t="s">
        <v>4835</v>
      </c>
      <c r="E656" s="37"/>
      <c r="F656" s="37" t="s">
        <v>4842</v>
      </c>
      <c r="G656" s="37"/>
      <c r="H656" s="37" t="s">
        <v>2944</v>
      </c>
      <c r="I656" s="37"/>
    </row>
    <row r="657" customFormat="false" ht="15" hidden="false" customHeight="true" outlineLevel="0" collapsed="false">
      <c r="A657" s="37" t="s">
        <v>2946</v>
      </c>
      <c r="B657" s="37" t="s">
        <v>485</v>
      </c>
      <c r="C657" s="37" t="s">
        <v>4834</v>
      </c>
      <c r="D657" s="37" t="s">
        <v>4835</v>
      </c>
      <c r="E657" s="37"/>
      <c r="F657" s="37" t="s">
        <v>4836</v>
      </c>
      <c r="G657" s="37"/>
      <c r="H657" s="37" t="s">
        <v>2947</v>
      </c>
      <c r="I657" s="37"/>
    </row>
    <row r="658" customFormat="false" ht="15" hidden="false" customHeight="true" outlineLevel="0" collapsed="false">
      <c r="A658" s="37" t="s">
        <v>2949</v>
      </c>
      <c r="B658" s="37" t="s">
        <v>485</v>
      </c>
      <c r="C658" s="37" t="s">
        <v>4866</v>
      </c>
      <c r="D658" s="37" t="s">
        <v>4867</v>
      </c>
      <c r="E658" s="37"/>
      <c r="F658" s="37" t="s">
        <v>4884</v>
      </c>
      <c r="G658" s="37"/>
      <c r="H658" s="37" t="s">
        <v>2950</v>
      </c>
      <c r="I658" s="37"/>
    </row>
    <row r="659" customFormat="false" ht="15" hidden="false" customHeight="true" outlineLevel="0" collapsed="false">
      <c r="A659" s="37" t="s">
        <v>2952</v>
      </c>
      <c r="B659" s="37" t="s">
        <v>485</v>
      </c>
      <c r="C659" s="37" t="s">
        <v>4834</v>
      </c>
      <c r="D659" s="37" t="s">
        <v>4835</v>
      </c>
      <c r="E659" s="37"/>
      <c r="F659" s="37" t="s">
        <v>4836</v>
      </c>
      <c r="G659" s="37"/>
      <c r="H659" s="37" t="s">
        <v>2953</v>
      </c>
      <c r="I659" s="37"/>
    </row>
    <row r="660" customFormat="false" ht="15" hidden="false" customHeight="true" outlineLevel="0" collapsed="false">
      <c r="A660" s="37" t="s">
        <v>2955</v>
      </c>
      <c r="B660" s="37" t="s">
        <v>485</v>
      </c>
      <c r="C660" s="37" t="s">
        <v>4834</v>
      </c>
      <c r="D660" s="37" t="s">
        <v>4835</v>
      </c>
      <c r="E660" s="37"/>
      <c r="F660" s="37" t="s">
        <v>4836</v>
      </c>
      <c r="G660" s="37"/>
      <c r="H660" s="37" t="s">
        <v>2956</v>
      </c>
      <c r="I660" s="37"/>
    </row>
    <row r="661" customFormat="false" ht="15" hidden="false" customHeight="true" outlineLevel="0" collapsed="false">
      <c r="A661" s="37" t="s">
        <v>2958</v>
      </c>
      <c r="B661" s="37" t="s">
        <v>485</v>
      </c>
      <c r="C661" s="37" t="s">
        <v>4834</v>
      </c>
      <c r="D661" s="37" t="s">
        <v>4835</v>
      </c>
      <c r="E661" s="37"/>
      <c r="F661" s="37" t="s">
        <v>4842</v>
      </c>
      <c r="G661" s="37"/>
      <c r="H661" s="37" t="s">
        <v>2959</v>
      </c>
      <c r="I661" s="37"/>
    </row>
    <row r="662" customFormat="false" ht="15" hidden="false" customHeight="true" outlineLevel="0" collapsed="false">
      <c r="A662" s="37" t="s">
        <v>2961</v>
      </c>
      <c r="B662" s="37" t="s">
        <v>485</v>
      </c>
      <c r="C662" s="37" t="s">
        <v>4834</v>
      </c>
      <c r="D662" s="37" t="s">
        <v>4835</v>
      </c>
      <c r="E662" s="37"/>
      <c r="F662" s="37" t="s">
        <v>4842</v>
      </c>
      <c r="G662" s="37"/>
      <c r="H662" s="54" t="s">
        <v>2485</v>
      </c>
      <c r="I662" s="37"/>
    </row>
    <row r="663" customFormat="false" ht="15" hidden="false" customHeight="true" outlineLevel="0" collapsed="false">
      <c r="A663" s="37" t="s">
        <v>2963</v>
      </c>
      <c r="B663" s="37" t="s">
        <v>485</v>
      </c>
      <c r="C663" s="37" t="s">
        <v>4834</v>
      </c>
      <c r="D663" s="37" t="s">
        <v>4835</v>
      </c>
      <c r="E663" s="37"/>
      <c r="F663" s="37" t="s">
        <v>4842</v>
      </c>
      <c r="G663" s="37"/>
      <c r="H663" s="37" t="s">
        <v>2964</v>
      </c>
      <c r="I663" s="37"/>
    </row>
    <row r="664" customFormat="false" ht="15" hidden="false" customHeight="true" outlineLevel="0" collapsed="false">
      <c r="A664" s="37" t="s">
        <v>2966</v>
      </c>
      <c r="B664" s="37" t="s">
        <v>485</v>
      </c>
      <c r="C664" s="37" t="s">
        <v>4866</v>
      </c>
      <c r="D664" s="37" t="s">
        <v>4867</v>
      </c>
      <c r="E664" s="37"/>
      <c r="F664" s="37" t="s">
        <v>4883</v>
      </c>
      <c r="G664" s="37"/>
      <c r="H664" s="37" t="s">
        <v>2967</v>
      </c>
      <c r="I664" s="37"/>
    </row>
    <row r="665" customFormat="false" ht="15" hidden="false" customHeight="true" outlineLevel="0" collapsed="false">
      <c r="A665" s="37" t="s">
        <v>2969</v>
      </c>
      <c r="B665" s="37" t="s">
        <v>485</v>
      </c>
      <c r="C665" s="37" t="s">
        <v>4834</v>
      </c>
      <c r="D665" s="37" t="s">
        <v>4835</v>
      </c>
      <c r="E665" s="37"/>
      <c r="F665" s="37" t="s">
        <v>4842</v>
      </c>
      <c r="G665" s="37"/>
      <c r="H665" s="37" t="s">
        <v>2970</v>
      </c>
      <c r="I665" s="37"/>
    </row>
    <row r="666" customFormat="false" ht="15" hidden="false" customHeight="true" outlineLevel="0" collapsed="false">
      <c r="A666" s="37" t="s">
        <v>2972</v>
      </c>
      <c r="B666" s="37" t="s">
        <v>485</v>
      </c>
      <c r="C666" s="37" t="s">
        <v>4834</v>
      </c>
      <c r="D666" s="37" t="s">
        <v>4835</v>
      </c>
      <c r="E666" s="37"/>
      <c r="F666" s="37" t="s">
        <v>4842</v>
      </c>
      <c r="G666" s="37"/>
      <c r="H666" s="37" t="s">
        <v>2973</v>
      </c>
      <c r="I666" s="37"/>
    </row>
    <row r="667" customFormat="false" ht="15" hidden="false" customHeight="true" outlineLevel="0" collapsed="false">
      <c r="A667" s="37" t="s">
        <v>2975</v>
      </c>
      <c r="B667" s="37" t="s">
        <v>485</v>
      </c>
      <c r="C667" s="37" t="s">
        <v>4834</v>
      </c>
      <c r="D667" s="37" t="s">
        <v>4835</v>
      </c>
      <c r="E667" s="37"/>
      <c r="F667" s="37" t="s">
        <v>4836</v>
      </c>
      <c r="G667" s="37"/>
      <c r="H667" s="37" t="s">
        <v>2976</v>
      </c>
      <c r="I667" s="37"/>
    </row>
    <row r="668" customFormat="false" ht="15" hidden="false" customHeight="true" outlineLevel="0" collapsed="false">
      <c r="A668" s="37" t="s">
        <v>2978</v>
      </c>
      <c r="B668" s="37" t="s">
        <v>485</v>
      </c>
      <c r="C668" s="37" t="s">
        <v>4874</v>
      </c>
      <c r="D668" s="37" t="s">
        <v>4875</v>
      </c>
      <c r="E668" s="37"/>
      <c r="F668" s="37" t="s">
        <v>4884</v>
      </c>
      <c r="G668" s="37"/>
      <c r="H668" s="37" t="s">
        <v>2979</v>
      </c>
      <c r="I668" s="37"/>
    </row>
    <row r="669" customFormat="false" ht="15" hidden="false" customHeight="true" outlineLevel="0" collapsed="false">
      <c r="A669" s="37" t="s">
        <v>2978</v>
      </c>
      <c r="B669" s="37" t="s">
        <v>485</v>
      </c>
      <c r="C669" s="37" t="s">
        <v>4866</v>
      </c>
      <c r="D669" s="37" t="s">
        <v>4867</v>
      </c>
      <c r="E669" s="37"/>
      <c r="F669" s="37" t="s">
        <v>4884</v>
      </c>
      <c r="G669" s="37"/>
      <c r="H669" s="37" t="s">
        <v>2979</v>
      </c>
      <c r="I669" s="37"/>
    </row>
    <row r="670" customFormat="false" ht="15" hidden="false" customHeight="true" outlineLevel="0" collapsed="false">
      <c r="A670" s="37" t="s">
        <v>2981</v>
      </c>
      <c r="B670" s="37" t="s">
        <v>485</v>
      </c>
      <c r="C670" s="37" t="s">
        <v>4874</v>
      </c>
      <c r="D670" s="37" t="s">
        <v>4875</v>
      </c>
      <c r="E670" s="37"/>
      <c r="F670" s="37" t="s">
        <v>4884</v>
      </c>
      <c r="G670" s="37"/>
      <c r="H670" s="37" t="s">
        <v>2982</v>
      </c>
      <c r="I670" s="37"/>
    </row>
    <row r="671" customFormat="false" ht="15" hidden="false" customHeight="true" outlineLevel="0" collapsed="false">
      <c r="A671" s="37" t="s">
        <v>2981</v>
      </c>
      <c r="B671" s="37" t="s">
        <v>485</v>
      </c>
      <c r="C671" s="37" t="s">
        <v>4866</v>
      </c>
      <c r="D671" s="37" t="s">
        <v>4867</v>
      </c>
      <c r="E671" s="37"/>
      <c r="F671" s="37" t="s">
        <v>4885</v>
      </c>
      <c r="G671" s="37"/>
      <c r="H671" s="37" t="s">
        <v>2982</v>
      </c>
      <c r="I671" s="37"/>
    </row>
    <row r="672" customFormat="false" ht="15" hidden="false" customHeight="true" outlineLevel="0" collapsed="false">
      <c r="A672" s="37" t="s">
        <v>2987</v>
      </c>
      <c r="B672" s="37" t="s">
        <v>485</v>
      </c>
      <c r="C672" s="37" t="s">
        <v>4866</v>
      </c>
      <c r="D672" s="37" t="s">
        <v>4867</v>
      </c>
      <c r="E672" s="37"/>
      <c r="F672" s="37" t="s">
        <v>4885</v>
      </c>
      <c r="G672" s="37"/>
      <c r="H672" s="37" t="s">
        <v>2988</v>
      </c>
      <c r="I672" s="37"/>
    </row>
    <row r="673" customFormat="false" ht="15" hidden="false" customHeight="true" outlineLevel="0" collapsed="false">
      <c r="A673" s="37" t="s">
        <v>2987</v>
      </c>
      <c r="B673" s="37" t="s">
        <v>485</v>
      </c>
      <c r="C673" s="37" t="s">
        <v>4834</v>
      </c>
      <c r="D673" s="37" t="s">
        <v>4835</v>
      </c>
      <c r="E673" s="37"/>
      <c r="F673" s="37" t="s">
        <v>4842</v>
      </c>
      <c r="G673" s="37"/>
      <c r="H673" s="37" t="s">
        <v>2988</v>
      </c>
      <c r="I673" s="37"/>
    </row>
    <row r="674" customFormat="false" ht="15" hidden="false" customHeight="true" outlineLevel="0" collapsed="false">
      <c r="A674" s="37" t="s">
        <v>2990</v>
      </c>
      <c r="B674" s="37" t="s">
        <v>485</v>
      </c>
      <c r="C674" s="37" t="s">
        <v>4834</v>
      </c>
      <c r="D674" s="37" t="s">
        <v>4835</v>
      </c>
      <c r="E674" s="37"/>
      <c r="F674" s="37" t="s">
        <v>4842</v>
      </c>
      <c r="G674" s="37"/>
      <c r="H674" s="37" t="s">
        <v>2991</v>
      </c>
      <c r="I674" s="37"/>
    </row>
    <row r="675" customFormat="false" ht="15" hidden="false" customHeight="true" outlineLevel="0" collapsed="false">
      <c r="A675" s="37" t="s">
        <v>2993</v>
      </c>
      <c r="B675" s="37" t="s">
        <v>485</v>
      </c>
      <c r="C675" s="37" t="s">
        <v>4834</v>
      </c>
      <c r="D675" s="37" t="s">
        <v>4835</v>
      </c>
      <c r="E675" s="37"/>
      <c r="F675" s="37" t="s">
        <v>4836</v>
      </c>
      <c r="G675" s="37"/>
      <c r="H675" s="37" t="s">
        <v>2994</v>
      </c>
      <c r="I675" s="37"/>
    </row>
    <row r="676" customFormat="false" ht="15" hidden="false" customHeight="true" outlineLevel="0" collapsed="false">
      <c r="A676" s="37" t="s">
        <v>2996</v>
      </c>
      <c r="B676" s="37" t="s">
        <v>485</v>
      </c>
      <c r="C676" s="37" t="s">
        <v>4866</v>
      </c>
      <c r="D676" s="37" t="s">
        <v>4867</v>
      </c>
      <c r="E676" s="37"/>
      <c r="F676" s="37" t="s">
        <v>4884</v>
      </c>
      <c r="G676" s="37"/>
      <c r="H676" s="37" t="s">
        <v>2997</v>
      </c>
      <c r="I676" s="37"/>
    </row>
    <row r="677" customFormat="false" ht="15" hidden="false" customHeight="true" outlineLevel="0" collapsed="false">
      <c r="A677" s="37" t="s">
        <v>2999</v>
      </c>
      <c r="B677" s="37" t="s">
        <v>485</v>
      </c>
      <c r="C677" s="37" t="s">
        <v>4834</v>
      </c>
      <c r="D677" s="37" t="s">
        <v>4835</v>
      </c>
      <c r="E677" s="37"/>
      <c r="F677" s="37" t="s">
        <v>4842</v>
      </c>
      <c r="G677" s="37"/>
      <c r="H677" s="37" t="s">
        <v>3000</v>
      </c>
      <c r="I677" s="37"/>
    </row>
    <row r="678" customFormat="false" ht="15" hidden="false" customHeight="true" outlineLevel="0" collapsed="false">
      <c r="A678" s="37" t="s">
        <v>3002</v>
      </c>
      <c r="B678" s="37" t="s">
        <v>485</v>
      </c>
      <c r="C678" s="37" t="s">
        <v>4834</v>
      </c>
      <c r="D678" s="37" t="s">
        <v>4835</v>
      </c>
      <c r="E678" s="37"/>
      <c r="F678" s="37" t="s">
        <v>4842</v>
      </c>
      <c r="G678" s="37"/>
      <c r="H678" s="37" t="s">
        <v>3003</v>
      </c>
      <c r="I678" s="37"/>
    </row>
    <row r="679" customFormat="false" ht="15" hidden="false" customHeight="true" outlineLevel="0" collapsed="false">
      <c r="A679" s="37" t="s">
        <v>3008</v>
      </c>
      <c r="B679" s="37" t="s">
        <v>485</v>
      </c>
      <c r="C679" s="37" t="s">
        <v>4834</v>
      </c>
      <c r="D679" s="37" t="s">
        <v>4835</v>
      </c>
      <c r="E679" s="37"/>
      <c r="F679" s="37" t="s">
        <v>4842</v>
      </c>
      <c r="G679" s="37"/>
      <c r="H679" s="37" t="s">
        <v>3009</v>
      </c>
      <c r="I679" s="37"/>
    </row>
    <row r="680" customFormat="false" ht="15" hidden="false" customHeight="true" outlineLevel="0" collapsed="false">
      <c r="A680" s="37" t="s">
        <v>3011</v>
      </c>
      <c r="B680" s="37" t="s">
        <v>485</v>
      </c>
      <c r="C680" s="37" t="s">
        <v>4874</v>
      </c>
      <c r="D680" s="37" t="s">
        <v>4893</v>
      </c>
      <c r="E680" s="37"/>
      <c r="F680" s="37" t="s">
        <v>4886</v>
      </c>
      <c r="G680" s="37"/>
      <c r="H680" s="37" t="s">
        <v>3012</v>
      </c>
      <c r="I680" s="37"/>
    </row>
    <row r="681" customFormat="false" ht="15" hidden="false" customHeight="true" outlineLevel="0" collapsed="false">
      <c r="A681" s="37" t="s">
        <v>3011</v>
      </c>
      <c r="B681" s="37" t="s">
        <v>485</v>
      </c>
      <c r="C681" s="37" t="s">
        <v>4866</v>
      </c>
      <c r="D681" s="37" t="s">
        <v>4867</v>
      </c>
      <c r="E681" s="37"/>
      <c r="F681" s="37" t="s">
        <v>4885</v>
      </c>
      <c r="G681" s="37"/>
      <c r="H681" s="37" t="s">
        <v>3012</v>
      </c>
      <c r="I681" s="37"/>
    </row>
    <row r="682" customFormat="false" ht="15" hidden="false" customHeight="true" outlineLevel="0" collapsed="false">
      <c r="A682" s="37" t="s">
        <v>3011</v>
      </c>
      <c r="B682" s="37" t="s">
        <v>485</v>
      </c>
      <c r="C682" s="37" t="s">
        <v>4834</v>
      </c>
      <c r="D682" s="37" t="s">
        <v>4835</v>
      </c>
      <c r="E682" s="37"/>
      <c r="F682" s="37" t="s">
        <v>4836</v>
      </c>
      <c r="G682" s="37"/>
      <c r="H682" s="37" t="s">
        <v>3012</v>
      </c>
      <c r="I682" s="37"/>
    </row>
    <row r="683" customFormat="false" ht="15" hidden="false" customHeight="true" outlineLevel="0" collapsed="false">
      <c r="A683" s="37" t="s">
        <v>3014</v>
      </c>
      <c r="B683" s="37" t="s">
        <v>485</v>
      </c>
      <c r="C683" s="37" t="s">
        <v>4834</v>
      </c>
      <c r="D683" s="37" t="s">
        <v>4835</v>
      </c>
      <c r="E683" s="37"/>
      <c r="F683" s="37" t="s">
        <v>4842</v>
      </c>
      <c r="G683" s="37"/>
      <c r="H683" s="37" t="s">
        <v>3015</v>
      </c>
      <c r="I683" s="37"/>
    </row>
    <row r="684" customFormat="false" ht="15" hidden="false" customHeight="true" outlineLevel="0" collapsed="false">
      <c r="A684" s="37" t="s">
        <v>3017</v>
      </c>
      <c r="B684" s="37" t="s">
        <v>485</v>
      </c>
      <c r="C684" s="37" t="s">
        <v>4834</v>
      </c>
      <c r="D684" s="37" t="s">
        <v>4835</v>
      </c>
      <c r="E684" s="37"/>
      <c r="F684" s="37" t="s">
        <v>4836</v>
      </c>
      <c r="G684" s="37"/>
      <c r="H684" s="54" t="s">
        <v>930</v>
      </c>
      <c r="I684" s="37"/>
    </row>
    <row r="685" customFormat="false" ht="15" hidden="false" customHeight="true" outlineLevel="0" collapsed="false">
      <c r="A685" s="37" t="s">
        <v>3019</v>
      </c>
      <c r="B685" s="37" t="s">
        <v>485</v>
      </c>
      <c r="C685" s="37" t="s">
        <v>4866</v>
      </c>
      <c r="D685" s="37" t="s">
        <v>4867</v>
      </c>
      <c r="E685" s="37"/>
      <c r="F685" s="37" t="s">
        <v>4884</v>
      </c>
      <c r="G685" s="37"/>
      <c r="H685" s="37" t="s">
        <v>3020</v>
      </c>
      <c r="I685" s="37"/>
    </row>
    <row r="686" customFormat="false" ht="15" hidden="false" customHeight="true" outlineLevel="0" collapsed="false">
      <c r="A686" s="37" t="s">
        <v>3022</v>
      </c>
      <c r="B686" s="37" t="s">
        <v>485</v>
      </c>
      <c r="C686" s="37" t="s">
        <v>4834</v>
      </c>
      <c r="D686" s="37" t="s">
        <v>4835</v>
      </c>
      <c r="E686" s="37"/>
      <c r="F686" s="37" t="s">
        <v>4842</v>
      </c>
      <c r="G686" s="37"/>
      <c r="H686" s="37" t="s">
        <v>3023</v>
      </c>
      <c r="I686" s="37"/>
    </row>
    <row r="687" customFormat="false" ht="15" hidden="false" customHeight="true" outlineLevel="0" collapsed="false">
      <c r="A687" s="37" t="s">
        <v>3025</v>
      </c>
      <c r="B687" s="37" t="s">
        <v>485</v>
      </c>
      <c r="C687" s="37" t="s">
        <v>4866</v>
      </c>
      <c r="D687" s="37" t="s">
        <v>4867</v>
      </c>
      <c r="E687" s="37"/>
      <c r="F687" s="37" t="s">
        <v>4883</v>
      </c>
      <c r="G687" s="37"/>
      <c r="H687" s="37" t="s">
        <v>3026</v>
      </c>
      <c r="I687" s="37"/>
    </row>
    <row r="688" customFormat="false" ht="15" hidden="false" customHeight="true" outlineLevel="0" collapsed="false">
      <c r="A688" s="37" t="s">
        <v>3028</v>
      </c>
      <c r="B688" s="37" t="s">
        <v>485</v>
      </c>
      <c r="C688" s="37" t="s">
        <v>4834</v>
      </c>
      <c r="D688" s="37" t="s">
        <v>4835</v>
      </c>
      <c r="E688" s="37"/>
      <c r="F688" s="37" t="s">
        <v>4836</v>
      </c>
      <c r="G688" s="37"/>
      <c r="H688" s="37" t="s">
        <v>3029</v>
      </c>
      <c r="I688" s="37"/>
    </row>
    <row r="689" customFormat="false" ht="15" hidden="false" customHeight="true" outlineLevel="0" collapsed="false">
      <c r="A689" s="37" t="s">
        <v>3031</v>
      </c>
      <c r="B689" s="37" t="s">
        <v>485</v>
      </c>
      <c r="C689" s="37" t="s">
        <v>4866</v>
      </c>
      <c r="D689" s="37" t="s">
        <v>4867</v>
      </c>
      <c r="E689" s="37"/>
      <c r="F689" s="37" t="s">
        <v>4884</v>
      </c>
      <c r="G689" s="37"/>
      <c r="H689" s="37" t="s">
        <v>3032</v>
      </c>
      <c r="I689" s="37"/>
    </row>
    <row r="690" customFormat="false" ht="15" hidden="false" customHeight="true" outlineLevel="0" collapsed="false">
      <c r="A690" s="37" t="s">
        <v>3034</v>
      </c>
      <c r="B690" s="37" t="s">
        <v>485</v>
      </c>
      <c r="C690" s="37" t="s">
        <v>4874</v>
      </c>
      <c r="D690" s="37" t="s">
        <v>4875</v>
      </c>
      <c r="E690" s="37"/>
      <c r="F690" s="37" t="s">
        <v>4884</v>
      </c>
      <c r="G690" s="37"/>
      <c r="H690" s="37" t="s">
        <v>3035</v>
      </c>
      <c r="I690" s="37"/>
    </row>
    <row r="691" customFormat="false" ht="15" hidden="false" customHeight="true" outlineLevel="0" collapsed="false">
      <c r="A691" s="37" t="s">
        <v>3034</v>
      </c>
      <c r="B691" s="37" t="s">
        <v>485</v>
      </c>
      <c r="C691" s="37" t="s">
        <v>4866</v>
      </c>
      <c r="D691" s="37" t="s">
        <v>4867</v>
      </c>
      <c r="E691" s="37"/>
      <c r="F691" s="37" t="s">
        <v>4885</v>
      </c>
      <c r="G691" s="37"/>
      <c r="H691" s="37" t="s">
        <v>3035</v>
      </c>
      <c r="I691" s="37"/>
    </row>
    <row r="692" customFormat="false" ht="15" hidden="false" customHeight="true" outlineLevel="0" collapsed="false">
      <c r="A692" s="37" t="s">
        <v>3034</v>
      </c>
      <c r="B692" s="37" t="s">
        <v>485</v>
      </c>
      <c r="C692" s="37" t="s">
        <v>4834</v>
      </c>
      <c r="D692" s="37" t="s">
        <v>5043</v>
      </c>
      <c r="E692" s="37"/>
      <c r="F692" s="37" t="s">
        <v>4842</v>
      </c>
      <c r="G692" s="37"/>
      <c r="H692" s="37" t="s">
        <v>3035</v>
      </c>
      <c r="I692" s="37"/>
    </row>
    <row r="693" customFormat="false" ht="15" hidden="false" customHeight="true" outlineLevel="0" collapsed="false">
      <c r="A693" s="37" t="s">
        <v>3037</v>
      </c>
      <c r="B693" s="37" t="s">
        <v>485</v>
      </c>
      <c r="C693" s="37" t="s">
        <v>4866</v>
      </c>
      <c r="D693" s="37" t="s">
        <v>4867</v>
      </c>
      <c r="E693" s="37"/>
      <c r="F693" s="37" t="s">
        <v>4884</v>
      </c>
      <c r="G693" s="37"/>
      <c r="H693" s="37" t="s">
        <v>3038</v>
      </c>
      <c r="I693" s="37"/>
    </row>
    <row r="694" customFormat="false" ht="15" hidden="false" customHeight="true" outlineLevel="0" collapsed="false">
      <c r="A694" s="37" t="s">
        <v>3043</v>
      </c>
      <c r="B694" s="37" t="s">
        <v>485</v>
      </c>
      <c r="C694" s="37" t="s">
        <v>4874</v>
      </c>
      <c r="D694" s="37" t="s">
        <v>4875</v>
      </c>
      <c r="E694" s="37"/>
      <c r="F694" s="37" t="s">
        <v>4883</v>
      </c>
      <c r="G694" s="37"/>
      <c r="H694" s="37" t="s">
        <v>3044</v>
      </c>
      <c r="I694" s="37"/>
    </row>
    <row r="695" customFormat="false" ht="15" hidden="false" customHeight="true" outlineLevel="0" collapsed="false">
      <c r="A695" s="37" t="s">
        <v>3043</v>
      </c>
      <c r="B695" s="37" t="s">
        <v>485</v>
      </c>
      <c r="C695" s="37" t="s">
        <v>4834</v>
      </c>
      <c r="D695" s="37" t="s">
        <v>4835</v>
      </c>
      <c r="E695" s="37"/>
      <c r="F695" s="37" t="s">
        <v>4836</v>
      </c>
      <c r="G695" s="37"/>
      <c r="H695" s="37" t="s">
        <v>3044</v>
      </c>
      <c r="I695" s="37"/>
    </row>
    <row r="696" customFormat="false" ht="15" hidden="false" customHeight="true" outlineLevel="0" collapsed="false">
      <c r="A696" s="37" t="s">
        <v>3046</v>
      </c>
      <c r="B696" s="37" t="s">
        <v>485</v>
      </c>
      <c r="C696" s="37" t="s">
        <v>4834</v>
      </c>
      <c r="D696" s="37" t="s">
        <v>4835</v>
      </c>
      <c r="E696" s="37"/>
      <c r="F696" s="37" t="s">
        <v>4836</v>
      </c>
      <c r="G696" s="37"/>
      <c r="H696" s="37" t="s">
        <v>3047</v>
      </c>
      <c r="I696" s="37"/>
    </row>
    <row r="697" customFormat="false" ht="15" hidden="false" customHeight="true" outlineLevel="0" collapsed="false">
      <c r="A697" s="37" t="s">
        <v>3053</v>
      </c>
      <c r="B697" s="37" t="s">
        <v>485</v>
      </c>
      <c r="C697" s="37" t="s">
        <v>4866</v>
      </c>
      <c r="D697" s="37" t="s">
        <v>4867</v>
      </c>
      <c r="E697" s="37"/>
      <c r="F697" s="37" t="s">
        <v>4884</v>
      </c>
      <c r="G697" s="37"/>
      <c r="H697" s="37" t="s">
        <v>3054</v>
      </c>
      <c r="I697" s="37"/>
    </row>
    <row r="698" customFormat="false" ht="15" hidden="false" customHeight="true" outlineLevel="0" collapsed="false">
      <c r="A698" s="37" t="s">
        <v>3053</v>
      </c>
      <c r="B698" s="37" t="s">
        <v>485</v>
      </c>
      <c r="C698" s="37" t="s">
        <v>4834</v>
      </c>
      <c r="D698" s="37" t="s">
        <v>4835</v>
      </c>
      <c r="E698" s="37"/>
      <c r="F698" s="37" t="s">
        <v>4836</v>
      </c>
      <c r="G698" s="37"/>
      <c r="H698" s="37" t="s">
        <v>3054</v>
      </c>
      <c r="I698" s="37"/>
    </row>
    <row r="699" customFormat="false" ht="15" hidden="false" customHeight="true" outlineLevel="0" collapsed="false">
      <c r="A699" s="37" t="s">
        <v>3056</v>
      </c>
      <c r="B699" s="37" t="s">
        <v>485</v>
      </c>
      <c r="C699" s="37" t="s">
        <v>4834</v>
      </c>
      <c r="D699" s="37" t="s">
        <v>4835</v>
      </c>
      <c r="E699" s="37"/>
      <c r="F699" s="37" t="s">
        <v>4836</v>
      </c>
      <c r="G699" s="37"/>
      <c r="H699" s="37" t="s">
        <v>3057</v>
      </c>
      <c r="I699" s="37"/>
    </row>
    <row r="700" customFormat="false" ht="15" hidden="false" customHeight="true" outlineLevel="0" collapsed="false">
      <c r="A700" s="37" t="s">
        <v>3059</v>
      </c>
      <c r="B700" s="37" t="s">
        <v>485</v>
      </c>
      <c r="C700" s="37" t="s">
        <v>4834</v>
      </c>
      <c r="D700" s="37" t="s">
        <v>4835</v>
      </c>
      <c r="E700" s="37"/>
      <c r="F700" s="37" t="s">
        <v>4842</v>
      </c>
      <c r="G700" s="37"/>
      <c r="H700" s="37" t="s">
        <v>3060</v>
      </c>
      <c r="I700" s="37"/>
    </row>
    <row r="701" customFormat="false" ht="15" hidden="false" customHeight="true" outlineLevel="0" collapsed="false">
      <c r="A701" s="37" t="s">
        <v>3062</v>
      </c>
      <c r="B701" s="37" t="s">
        <v>485</v>
      </c>
      <c r="C701" s="37" t="s">
        <v>4866</v>
      </c>
      <c r="D701" s="37" t="s">
        <v>4867</v>
      </c>
      <c r="E701" s="37"/>
      <c r="F701" s="37" t="s">
        <v>4884</v>
      </c>
      <c r="G701" s="37"/>
      <c r="H701" s="37" t="s">
        <v>3063</v>
      </c>
      <c r="I701" s="37"/>
    </row>
    <row r="702" customFormat="false" ht="15" hidden="false" customHeight="true" outlineLevel="0" collapsed="false">
      <c r="A702" s="37" t="s">
        <v>3062</v>
      </c>
      <c r="B702" s="37" t="s">
        <v>485</v>
      </c>
      <c r="C702" s="37" t="s">
        <v>4834</v>
      </c>
      <c r="D702" s="37" t="s">
        <v>4835</v>
      </c>
      <c r="E702" s="37"/>
      <c r="F702" s="37" t="s">
        <v>4836</v>
      </c>
      <c r="G702" s="37"/>
      <c r="H702" s="37" t="s">
        <v>3063</v>
      </c>
      <c r="I702" s="37"/>
    </row>
    <row r="703" customFormat="false" ht="15" hidden="false" customHeight="true" outlineLevel="0" collapsed="false">
      <c r="A703" s="37" t="s">
        <v>3065</v>
      </c>
      <c r="B703" s="37" t="s">
        <v>485</v>
      </c>
      <c r="C703" s="37" t="s">
        <v>4834</v>
      </c>
      <c r="D703" s="37" t="s">
        <v>4835</v>
      </c>
      <c r="E703" s="37"/>
      <c r="F703" s="37" t="s">
        <v>4836</v>
      </c>
      <c r="G703" s="37"/>
      <c r="H703" s="37" t="s">
        <v>3066</v>
      </c>
      <c r="I703" s="37"/>
    </row>
    <row r="704" customFormat="false" ht="15" hidden="false" customHeight="true" outlineLevel="0" collapsed="false">
      <c r="A704" s="37" t="s">
        <v>3068</v>
      </c>
      <c r="B704" s="37" t="s">
        <v>485</v>
      </c>
      <c r="C704" s="37" t="s">
        <v>4866</v>
      </c>
      <c r="D704" s="37" t="s">
        <v>4867</v>
      </c>
      <c r="E704" s="37"/>
      <c r="F704" s="37" t="s">
        <v>4884</v>
      </c>
      <c r="G704" s="37"/>
      <c r="H704" s="37" t="s">
        <v>3069</v>
      </c>
      <c r="I704" s="37"/>
    </row>
    <row r="705" customFormat="false" ht="15" hidden="false" customHeight="true" outlineLevel="0" collapsed="false">
      <c r="A705" s="37" t="s">
        <v>3071</v>
      </c>
      <c r="B705" s="37" t="s">
        <v>485</v>
      </c>
      <c r="C705" s="37" t="s">
        <v>4866</v>
      </c>
      <c r="D705" s="37" t="s">
        <v>4867</v>
      </c>
      <c r="E705" s="37"/>
      <c r="F705" s="37" t="s">
        <v>4883</v>
      </c>
      <c r="G705" s="37"/>
      <c r="H705" s="37" t="s">
        <v>3072</v>
      </c>
      <c r="I705" s="37"/>
    </row>
    <row r="706" customFormat="false" ht="15" hidden="false" customHeight="true" outlineLevel="0" collapsed="false">
      <c r="A706" s="37" t="s">
        <v>3077</v>
      </c>
      <c r="B706" s="37" t="s">
        <v>485</v>
      </c>
      <c r="C706" s="37" t="s">
        <v>4834</v>
      </c>
      <c r="D706" s="37" t="s">
        <v>4835</v>
      </c>
      <c r="E706" s="37"/>
      <c r="F706" s="37" t="s">
        <v>4836</v>
      </c>
      <c r="G706" s="37"/>
      <c r="H706" s="37" t="s">
        <v>3078</v>
      </c>
      <c r="I706" s="37"/>
    </row>
    <row r="707" customFormat="false" ht="15" hidden="false" customHeight="true" outlineLevel="0" collapsed="false">
      <c r="A707" s="37" t="s">
        <v>3080</v>
      </c>
      <c r="B707" s="37" t="s">
        <v>485</v>
      </c>
      <c r="C707" s="37" t="s">
        <v>4866</v>
      </c>
      <c r="D707" s="37" t="s">
        <v>4867</v>
      </c>
      <c r="E707" s="37"/>
      <c r="F707" s="37" t="s">
        <v>4884</v>
      </c>
      <c r="G707" s="37"/>
      <c r="H707" s="54" t="s">
        <v>3081</v>
      </c>
      <c r="I707" s="37"/>
    </row>
    <row r="708" customFormat="false" ht="15" hidden="false" customHeight="true" outlineLevel="0" collapsed="false">
      <c r="A708" s="37" t="s">
        <v>3086</v>
      </c>
      <c r="B708" s="37" t="s">
        <v>485</v>
      </c>
      <c r="C708" s="37" t="s">
        <v>4866</v>
      </c>
      <c r="D708" s="37" t="s">
        <v>4867</v>
      </c>
      <c r="E708" s="37"/>
      <c r="F708" s="37" t="s">
        <v>4884</v>
      </c>
      <c r="G708" s="37"/>
      <c r="H708" s="37" t="s">
        <v>3087</v>
      </c>
      <c r="I708" s="37"/>
    </row>
    <row r="709" customFormat="false" ht="15" hidden="false" customHeight="true" outlineLevel="0" collapsed="false">
      <c r="A709" s="37" t="s">
        <v>3089</v>
      </c>
      <c r="B709" s="37" t="s">
        <v>485</v>
      </c>
      <c r="C709" s="37" t="s">
        <v>4834</v>
      </c>
      <c r="D709" s="37" t="s">
        <v>4835</v>
      </c>
      <c r="E709" s="37"/>
      <c r="F709" s="37" t="s">
        <v>4836</v>
      </c>
      <c r="G709" s="37"/>
      <c r="H709" s="37" t="s">
        <v>3090</v>
      </c>
      <c r="I709" s="37"/>
    </row>
    <row r="710" customFormat="false" ht="15" hidden="false" customHeight="true" outlineLevel="0" collapsed="false">
      <c r="A710" s="37" t="s">
        <v>3092</v>
      </c>
      <c r="B710" s="37" t="s">
        <v>485</v>
      </c>
      <c r="C710" s="37" t="s">
        <v>4866</v>
      </c>
      <c r="D710" s="37" t="s">
        <v>4867</v>
      </c>
      <c r="E710" s="37"/>
      <c r="F710" s="37" t="s">
        <v>4884</v>
      </c>
      <c r="G710" s="37"/>
      <c r="H710" s="37" t="s">
        <v>3093</v>
      </c>
      <c r="I710" s="37"/>
    </row>
    <row r="711" customFormat="false" ht="15" hidden="false" customHeight="true" outlineLevel="0" collapsed="false">
      <c r="A711" s="37" t="s">
        <v>3095</v>
      </c>
      <c r="B711" s="37" t="s">
        <v>485</v>
      </c>
      <c r="C711" s="37" t="s">
        <v>4834</v>
      </c>
      <c r="D711" s="37" t="s">
        <v>4835</v>
      </c>
      <c r="E711" s="37"/>
      <c r="F711" s="37" t="s">
        <v>4836</v>
      </c>
      <c r="G711" s="37"/>
      <c r="H711" s="37" t="s">
        <v>3096</v>
      </c>
      <c r="I711" s="37"/>
    </row>
    <row r="712" customFormat="false" ht="15" hidden="false" customHeight="true" outlineLevel="0" collapsed="false">
      <c r="A712" s="37" t="s">
        <v>3098</v>
      </c>
      <c r="B712" s="37" t="s">
        <v>485</v>
      </c>
      <c r="C712" s="37" t="s">
        <v>4834</v>
      </c>
      <c r="D712" s="37" t="s">
        <v>4835</v>
      </c>
      <c r="E712" s="37"/>
      <c r="F712" s="37" t="s">
        <v>4842</v>
      </c>
      <c r="G712" s="37"/>
      <c r="H712" s="37" t="s">
        <v>3099</v>
      </c>
      <c r="I712" s="37"/>
    </row>
    <row r="713" customFormat="false" ht="15" hidden="false" customHeight="true" outlineLevel="0" collapsed="false">
      <c r="A713" s="37" t="s">
        <v>3101</v>
      </c>
      <c r="B713" s="37" t="s">
        <v>485</v>
      </c>
      <c r="C713" s="37" t="s">
        <v>4834</v>
      </c>
      <c r="D713" s="37" t="s">
        <v>4835</v>
      </c>
      <c r="E713" s="37"/>
      <c r="F713" s="37" t="s">
        <v>4836</v>
      </c>
      <c r="G713" s="37"/>
      <c r="H713" s="37" t="s">
        <v>3102</v>
      </c>
      <c r="I713" s="37"/>
    </row>
    <row r="714" customFormat="false" ht="15" hidden="false" customHeight="true" outlineLevel="0" collapsed="false">
      <c r="A714" s="37" t="s">
        <v>3104</v>
      </c>
      <c r="B714" s="37" t="s">
        <v>485</v>
      </c>
      <c r="C714" s="37" t="s">
        <v>4834</v>
      </c>
      <c r="D714" s="37" t="s">
        <v>4835</v>
      </c>
      <c r="E714" s="37"/>
      <c r="F714" s="37" t="s">
        <v>4836</v>
      </c>
      <c r="G714" s="37"/>
      <c r="H714" s="37" t="s">
        <v>3105</v>
      </c>
      <c r="I714" s="37"/>
    </row>
    <row r="715" customFormat="false" ht="15" hidden="false" customHeight="true" outlineLevel="0" collapsed="false">
      <c r="A715" s="37" t="s">
        <v>3112</v>
      </c>
      <c r="B715" s="37" t="s">
        <v>485</v>
      </c>
      <c r="C715" s="37" t="s">
        <v>4866</v>
      </c>
      <c r="D715" s="37" t="s">
        <v>4867</v>
      </c>
      <c r="E715" s="37"/>
      <c r="F715" s="37" t="s">
        <v>4885</v>
      </c>
      <c r="G715" s="37"/>
      <c r="H715" s="37" t="s">
        <v>3113</v>
      </c>
      <c r="I715" s="37"/>
    </row>
    <row r="716" customFormat="false" ht="15" hidden="false" customHeight="true" outlineLevel="0" collapsed="false">
      <c r="A716" s="37" t="s">
        <v>3112</v>
      </c>
      <c r="B716" s="37" t="s">
        <v>485</v>
      </c>
      <c r="C716" s="37" t="s">
        <v>4834</v>
      </c>
      <c r="D716" s="37" t="s">
        <v>4835</v>
      </c>
      <c r="E716" s="37"/>
      <c r="F716" s="37" t="s">
        <v>4842</v>
      </c>
      <c r="G716" s="37"/>
      <c r="H716" s="37" t="s">
        <v>3113</v>
      </c>
      <c r="I716" s="37"/>
    </row>
    <row r="717" customFormat="false" ht="15" hidden="false" customHeight="true" outlineLevel="0" collapsed="false">
      <c r="A717" s="37" t="s">
        <v>3115</v>
      </c>
      <c r="B717" s="37" t="s">
        <v>485</v>
      </c>
      <c r="C717" s="37" t="s">
        <v>4834</v>
      </c>
      <c r="D717" s="37" t="s">
        <v>4835</v>
      </c>
      <c r="E717" s="37"/>
      <c r="F717" s="37" t="s">
        <v>4960</v>
      </c>
      <c r="G717" s="37"/>
      <c r="H717" s="37" t="s">
        <v>3116</v>
      </c>
      <c r="I717" s="37"/>
    </row>
    <row r="718" customFormat="false" ht="15" hidden="false" customHeight="true" outlineLevel="0" collapsed="false">
      <c r="A718" s="37" t="s">
        <v>3118</v>
      </c>
      <c r="B718" s="37" t="s">
        <v>485</v>
      </c>
      <c r="C718" s="37" t="s">
        <v>4834</v>
      </c>
      <c r="D718" s="37" t="s">
        <v>4835</v>
      </c>
      <c r="E718" s="37"/>
      <c r="F718" s="37" t="s">
        <v>4842</v>
      </c>
      <c r="G718" s="37"/>
      <c r="H718" s="37" t="s">
        <v>3119</v>
      </c>
      <c r="I718" s="37"/>
    </row>
    <row r="719" customFormat="false" ht="15" hidden="false" customHeight="true" outlineLevel="0" collapsed="false">
      <c r="A719" s="37" t="s">
        <v>3121</v>
      </c>
      <c r="B719" s="37" t="s">
        <v>485</v>
      </c>
      <c r="C719" s="37" t="s">
        <v>4834</v>
      </c>
      <c r="D719" s="37" t="s">
        <v>4835</v>
      </c>
      <c r="E719" s="37"/>
      <c r="F719" s="37" t="s">
        <v>4842</v>
      </c>
      <c r="G719" s="37"/>
      <c r="H719" s="37" t="s">
        <v>3122</v>
      </c>
      <c r="I719" s="37"/>
    </row>
    <row r="720" customFormat="false" ht="15" hidden="false" customHeight="true" outlineLevel="0" collapsed="false">
      <c r="A720" s="37" t="s">
        <v>3124</v>
      </c>
      <c r="B720" s="37" t="s">
        <v>485</v>
      </c>
      <c r="C720" s="37" t="s">
        <v>4834</v>
      </c>
      <c r="D720" s="37" t="s">
        <v>4835</v>
      </c>
      <c r="E720" s="37"/>
      <c r="F720" s="37" t="s">
        <v>4842</v>
      </c>
      <c r="G720" s="37"/>
      <c r="H720" s="37" t="s">
        <v>3125</v>
      </c>
      <c r="I720" s="37"/>
    </row>
    <row r="721" customFormat="false" ht="15" hidden="false" customHeight="true" outlineLevel="0" collapsed="false">
      <c r="A721" s="37" t="s">
        <v>3127</v>
      </c>
      <c r="B721" s="37" t="s">
        <v>485</v>
      </c>
      <c r="C721" s="37" t="s">
        <v>4834</v>
      </c>
      <c r="D721" s="37" t="s">
        <v>4835</v>
      </c>
      <c r="E721" s="37"/>
      <c r="F721" s="37" t="s">
        <v>4842</v>
      </c>
      <c r="G721" s="37"/>
      <c r="H721" s="37" t="s">
        <v>3128</v>
      </c>
      <c r="I721" s="37"/>
    </row>
    <row r="722" customFormat="false" ht="15" hidden="false" customHeight="true" outlineLevel="0" collapsed="false">
      <c r="A722" s="37" t="s">
        <v>3136</v>
      </c>
      <c r="B722" s="37" t="s">
        <v>485</v>
      </c>
      <c r="C722" s="37" t="s">
        <v>4834</v>
      </c>
      <c r="D722" s="37" t="s">
        <v>4835</v>
      </c>
      <c r="E722" s="37"/>
      <c r="F722" s="37" t="s">
        <v>4842</v>
      </c>
      <c r="G722" s="37"/>
      <c r="H722" s="37" t="s">
        <v>3137</v>
      </c>
      <c r="I722" s="37"/>
    </row>
    <row r="723" customFormat="false" ht="15" hidden="false" customHeight="true" outlineLevel="0" collapsed="false">
      <c r="A723" s="37" t="s">
        <v>3139</v>
      </c>
      <c r="B723" s="37" t="s">
        <v>485</v>
      </c>
      <c r="C723" s="37" t="s">
        <v>4834</v>
      </c>
      <c r="D723" s="37" t="s">
        <v>4835</v>
      </c>
      <c r="E723" s="37"/>
      <c r="F723" s="37" t="s">
        <v>4842</v>
      </c>
      <c r="G723" s="37"/>
      <c r="H723" s="37" t="s">
        <v>3140</v>
      </c>
      <c r="I723" s="37"/>
    </row>
    <row r="724" customFormat="false" ht="15" hidden="false" customHeight="true" outlineLevel="0" collapsed="false">
      <c r="A724" s="37" t="s">
        <v>3142</v>
      </c>
      <c r="B724" s="37" t="s">
        <v>485</v>
      </c>
      <c r="C724" s="37" t="s">
        <v>4834</v>
      </c>
      <c r="D724" s="37" t="s">
        <v>4835</v>
      </c>
      <c r="E724" s="37"/>
      <c r="F724" s="37" t="s">
        <v>4842</v>
      </c>
      <c r="G724" s="37"/>
      <c r="H724" s="37" t="s">
        <v>3143</v>
      </c>
      <c r="I724" s="37"/>
    </row>
    <row r="725" customFormat="false" ht="15" hidden="false" customHeight="true" outlineLevel="0" collapsed="false">
      <c r="A725" s="37" t="s">
        <v>3145</v>
      </c>
      <c r="B725" s="37" t="s">
        <v>485</v>
      </c>
      <c r="C725" s="37" t="s">
        <v>4834</v>
      </c>
      <c r="D725" s="37" t="s">
        <v>4835</v>
      </c>
      <c r="E725" s="37"/>
      <c r="F725" s="37" t="s">
        <v>4960</v>
      </c>
      <c r="G725" s="37"/>
      <c r="H725" s="37" t="s">
        <v>3146</v>
      </c>
      <c r="I725" s="37"/>
    </row>
    <row r="726" customFormat="false" ht="15" hidden="false" customHeight="true" outlineLevel="0" collapsed="false">
      <c r="A726" s="37" t="s">
        <v>3148</v>
      </c>
      <c r="B726" s="37" t="s">
        <v>485</v>
      </c>
      <c r="C726" s="37" t="s">
        <v>4866</v>
      </c>
      <c r="D726" s="37" t="s">
        <v>4867</v>
      </c>
      <c r="E726" s="37"/>
      <c r="F726" s="37" t="s">
        <v>4884</v>
      </c>
      <c r="G726" s="37"/>
      <c r="H726" s="37" t="s">
        <v>3149</v>
      </c>
      <c r="I726" s="37"/>
    </row>
    <row r="727" customFormat="false" ht="15" hidden="false" customHeight="true" outlineLevel="0" collapsed="false">
      <c r="A727" s="37" t="s">
        <v>3148</v>
      </c>
      <c r="B727" s="37" t="s">
        <v>485</v>
      </c>
      <c r="C727" s="37" t="s">
        <v>4834</v>
      </c>
      <c r="D727" s="37" t="s">
        <v>4835</v>
      </c>
      <c r="E727" s="37"/>
      <c r="F727" s="37" t="s">
        <v>4842</v>
      </c>
      <c r="G727" s="37"/>
      <c r="H727" s="37" t="s">
        <v>3149</v>
      </c>
      <c r="I727" s="37"/>
    </row>
    <row r="728" customFormat="false" ht="15" hidden="false" customHeight="true" outlineLevel="0" collapsed="false">
      <c r="A728" s="37" t="s">
        <v>3151</v>
      </c>
      <c r="B728" s="37" t="s">
        <v>485</v>
      </c>
      <c r="C728" s="37" t="s">
        <v>4834</v>
      </c>
      <c r="D728" s="37" t="s">
        <v>4835</v>
      </c>
      <c r="E728" s="37"/>
      <c r="F728" s="37" t="s">
        <v>4842</v>
      </c>
      <c r="G728" s="37"/>
      <c r="H728" s="37" t="s">
        <v>3152</v>
      </c>
      <c r="I728" s="37"/>
    </row>
    <row r="729" customFormat="false" ht="15" hidden="false" customHeight="true" outlineLevel="0" collapsed="false">
      <c r="A729" s="37" t="s">
        <v>3157</v>
      </c>
      <c r="B729" s="37" t="s">
        <v>485</v>
      </c>
      <c r="C729" s="37" t="s">
        <v>4834</v>
      </c>
      <c r="D729" s="37" t="s">
        <v>4835</v>
      </c>
      <c r="E729" s="37"/>
      <c r="F729" s="37" t="s">
        <v>4842</v>
      </c>
      <c r="G729" s="37"/>
      <c r="H729" s="37" t="s">
        <v>3158</v>
      </c>
      <c r="I729" s="37"/>
    </row>
    <row r="730" customFormat="false" ht="15" hidden="false" customHeight="true" outlineLevel="0" collapsed="false">
      <c r="A730" s="37" t="s">
        <v>3160</v>
      </c>
      <c r="B730" s="37" t="s">
        <v>485</v>
      </c>
      <c r="C730" s="37" t="s">
        <v>4834</v>
      </c>
      <c r="D730" s="37" t="s">
        <v>4835</v>
      </c>
      <c r="E730" s="37"/>
      <c r="F730" s="37" t="s">
        <v>4836</v>
      </c>
      <c r="G730" s="37"/>
      <c r="H730" s="37" t="s">
        <v>3161</v>
      </c>
      <c r="I730" s="37"/>
    </row>
    <row r="731" customFormat="false" ht="15" hidden="false" customHeight="true" outlineLevel="0" collapsed="false">
      <c r="A731" s="37" t="s">
        <v>3163</v>
      </c>
      <c r="B731" s="37" t="s">
        <v>485</v>
      </c>
      <c r="C731" s="37" t="s">
        <v>4834</v>
      </c>
      <c r="D731" s="37" t="s">
        <v>4835</v>
      </c>
      <c r="E731" s="37"/>
      <c r="F731" s="37" t="s">
        <v>4842</v>
      </c>
      <c r="G731" s="37"/>
      <c r="H731" s="37" t="s">
        <v>3164</v>
      </c>
      <c r="I731" s="37"/>
    </row>
    <row r="732" customFormat="false" ht="15" hidden="false" customHeight="true" outlineLevel="0" collapsed="false">
      <c r="A732" s="37" t="s">
        <v>3166</v>
      </c>
      <c r="B732" s="37" t="s">
        <v>485</v>
      </c>
      <c r="C732" s="37" t="s">
        <v>4834</v>
      </c>
      <c r="D732" s="37" t="s">
        <v>4835</v>
      </c>
      <c r="E732" s="37"/>
      <c r="F732" s="37" t="s">
        <v>4842</v>
      </c>
      <c r="G732" s="37"/>
      <c r="H732" s="37" t="s">
        <v>3167</v>
      </c>
      <c r="I732" s="37"/>
    </row>
    <row r="733" customFormat="false" ht="15" hidden="false" customHeight="true" outlineLevel="0" collapsed="false">
      <c r="A733" s="37" t="s">
        <v>3169</v>
      </c>
      <c r="B733" s="37" t="s">
        <v>485</v>
      </c>
      <c r="C733" s="37" t="s">
        <v>4834</v>
      </c>
      <c r="D733" s="37" t="s">
        <v>4835</v>
      </c>
      <c r="E733" s="37"/>
      <c r="F733" s="37" t="s">
        <v>4842</v>
      </c>
      <c r="G733" s="37"/>
      <c r="H733" s="37" t="s">
        <v>3170</v>
      </c>
      <c r="I733" s="37"/>
    </row>
    <row r="734" customFormat="false" ht="15" hidden="false" customHeight="true" outlineLevel="0" collapsed="false">
      <c r="A734" s="37" t="s">
        <v>3178</v>
      </c>
      <c r="B734" s="37" t="s">
        <v>485</v>
      </c>
      <c r="C734" s="37" t="s">
        <v>4834</v>
      </c>
      <c r="D734" s="37" t="s">
        <v>4835</v>
      </c>
      <c r="E734" s="37"/>
      <c r="F734" s="37" t="s">
        <v>4842</v>
      </c>
      <c r="G734" s="37"/>
      <c r="H734" s="37" t="s">
        <v>3179</v>
      </c>
      <c r="I734" s="37"/>
    </row>
    <row r="735" customFormat="false" ht="15" hidden="false" customHeight="true" outlineLevel="0" collapsed="false">
      <c r="A735" s="37" t="s">
        <v>3184</v>
      </c>
      <c r="B735" s="37" t="s">
        <v>485</v>
      </c>
      <c r="C735" s="37" t="s">
        <v>4834</v>
      </c>
      <c r="D735" s="37" t="s">
        <v>4835</v>
      </c>
      <c r="E735" s="37"/>
      <c r="F735" s="37" t="s">
        <v>4842</v>
      </c>
      <c r="G735" s="37"/>
      <c r="H735" s="37" t="s">
        <v>3185</v>
      </c>
      <c r="I735" s="37"/>
    </row>
    <row r="736" customFormat="false" ht="15" hidden="false" customHeight="true" outlineLevel="0" collapsed="false">
      <c r="A736" s="37" t="s">
        <v>3196</v>
      </c>
      <c r="B736" s="37" t="s">
        <v>485</v>
      </c>
      <c r="C736" s="37" t="s">
        <v>4834</v>
      </c>
      <c r="D736" s="37" t="s">
        <v>4835</v>
      </c>
      <c r="E736" s="37"/>
      <c r="F736" s="37" t="s">
        <v>4842</v>
      </c>
      <c r="G736" s="37"/>
      <c r="H736" s="37" t="s">
        <v>3197</v>
      </c>
      <c r="I736" s="37"/>
    </row>
    <row r="737" customFormat="false" ht="15" hidden="false" customHeight="true" outlineLevel="0" collapsed="false">
      <c r="A737" s="37" t="s">
        <v>3226</v>
      </c>
      <c r="B737" s="37" t="s">
        <v>485</v>
      </c>
      <c r="C737" s="37" t="s">
        <v>4834</v>
      </c>
      <c r="D737" s="37" t="s">
        <v>4835</v>
      </c>
      <c r="E737" s="37"/>
      <c r="F737" s="37" t="s">
        <v>4842</v>
      </c>
      <c r="G737" s="37"/>
      <c r="H737" s="37" t="s">
        <v>3227</v>
      </c>
      <c r="I737" s="37"/>
    </row>
    <row r="738" customFormat="false" ht="15" hidden="false" customHeight="true" outlineLevel="0" collapsed="false">
      <c r="A738" s="37" t="s">
        <v>3229</v>
      </c>
      <c r="B738" s="37" t="s">
        <v>485</v>
      </c>
      <c r="C738" s="37" t="s">
        <v>4834</v>
      </c>
      <c r="D738" s="37" t="s">
        <v>4835</v>
      </c>
      <c r="E738" s="37"/>
      <c r="F738" s="37" t="s">
        <v>4842</v>
      </c>
      <c r="G738" s="37"/>
      <c r="H738" s="37" t="s">
        <v>3230</v>
      </c>
      <c r="I738" s="37"/>
    </row>
    <row r="739" customFormat="false" ht="15" hidden="false" customHeight="true" outlineLevel="0" collapsed="false">
      <c r="A739" s="37" t="s">
        <v>3232</v>
      </c>
      <c r="B739" s="37" t="s">
        <v>485</v>
      </c>
      <c r="C739" s="37" t="s">
        <v>4834</v>
      </c>
      <c r="D739" s="37" t="s">
        <v>4835</v>
      </c>
      <c r="E739" s="37"/>
      <c r="F739" s="37" t="s">
        <v>4842</v>
      </c>
      <c r="G739" s="37"/>
      <c r="H739" s="37" t="s">
        <v>3233</v>
      </c>
      <c r="I739" s="37"/>
    </row>
    <row r="740" customFormat="false" ht="15" hidden="false" customHeight="true" outlineLevel="0" collapsed="false">
      <c r="A740" s="37" t="s">
        <v>3235</v>
      </c>
      <c r="B740" s="37" t="s">
        <v>485</v>
      </c>
      <c r="C740" s="37" t="s">
        <v>4834</v>
      </c>
      <c r="D740" s="37" t="s">
        <v>4835</v>
      </c>
      <c r="E740" s="37"/>
      <c r="F740" s="37" t="s">
        <v>4842</v>
      </c>
      <c r="G740" s="37"/>
      <c r="H740" s="37" t="s">
        <v>3236</v>
      </c>
      <c r="I740" s="37"/>
    </row>
    <row r="741" customFormat="false" ht="15" hidden="false" customHeight="true" outlineLevel="0" collapsed="false">
      <c r="A741" s="37" t="s">
        <v>3238</v>
      </c>
      <c r="B741" s="37" t="s">
        <v>485</v>
      </c>
      <c r="C741" s="37" t="s">
        <v>4834</v>
      </c>
      <c r="D741" s="37" t="s">
        <v>4835</v>
      </c>
      <c r="E741" s="37"/>
      <c r="F741" s="37" t="s">
        <v>4842</v>
      </c>
      <c r="G741" s="37"/>
      <c r="H741" s="37" t="s">
        <v>3239</v>
      </c>
      <c r="I741" s="37"/>
    </row>
    <row r="742" customFormat="false" ht="15" hidden="false" customHeight="true" outlineLevel="0" collapsed="false">
      <c r="A742" s="37" t="s">
        <v>3244</v>
      </c>
      <c r="B742" s="37" t="s">
        <v>485</v>
      </c>
      <c r="C742" s="37" t="s">
        <v>4834</v>
      </c>
      <c r="D742" s="37" t="s">
        <v>4835</v>
      </c>
      <c r="E742" s="37"/>
      <c r="F742" s="37" t="s">
        <v>4842</v>
      </c>
      <c r="G742" s="37"/>
      <c r="H742" s="37" t="s">
        <v>3245</v>
      </c>
      <c r="I742" s="37"/>
    </row>
    <row r="743" customFormat="false" ht="15" hidden="false" customHeight="true" outlineLevel="0" collapsed="false">
      <c r="A743" s="37" t="s">
        <v>3250</v>
      </c>
      <c r="B743" s="37" t="s">
        <v>485</v>
      </c>
      <c r="C743" s="37" t="s">
        <v>4866</v>
      </c>
      <c r="D743" s="37" t="s">
        <v>4867</v>
      </c>
      <c r="E743" s="37"/>
      <c r="F743" s="37" t="s">
        <v>4884</v>
      </c>
      <c r="G743" s="37"/>
      <c r="H743" s="37" t="s">
        <v>3251</v>
      </c>
      <c r="I743" s="37"/>
    </row>
    <row r="744" customFormat="false" ht="15" hidden="false" customHeight="true" outlineLevel="0" collapsed="false">
      <c r="A744" s="37" t="s">
        <v>3250</v>
      </c>
      <c r="B744" s="37" t="s">
        <v>485</v>
      </c>
      <c r="C744" s="37" t="s">
        <v>4834</v>
      </c>
      <c r="D744" s="37" t="s">
        <v>4835</v>
      </c>
      <c r="E744" s="37"/>
      <c r="F744" s="37" t="s">
        <v>4842</v>
      </c>
      <c r="G744" s="37"/>
      <c r="H744" s="37" t="s">
        <v>3251</v>
      </c>
      <c r="I744" s="37"/>
    </row>
    <row r="745" customFormat="false" ht="15" hidden="false" customHeight="true" outlineLevel="0" collapsed="false">
      <c r="A745" s="37" t="s">
        <v>3253</v>
      </c>
      <c r="B745" s="37" t="s">
        <v>485</v>
      </c>
      <c r="C745" s="37" t="s">
        <v>4834</v>
      </c>
      <c r="D745" s="37" t="s">
        <v>4835</v>
      </c>
      <c r="E745" s="37"/>
      <c r="F745" s="37" t="s">
        <v>4842</v>
      </c>
      <c r="G745" s="37"/>
      <c r="H745" s="37" t="s">
        <v>3254</v>
      </c>
      <c r="I745" s="37"/>
    </row>
    <row r="746" customFormat="false" ht="15" hidden="false" customHeight="true" outlineLevel="0" collapsed="false">
      <c r="A746" s="37" t="s">
        <v>3256</v>
      </c>
      <c r="B746" s="37" t="s">
        <v>485</v>
      </c>
      <c r="C746" s="37" t="s">
        <v>4834</v>
      </c>
      <c r="D746" s="37" t="s">
        <v>4835</v>
      </c>
      <c r="E746" s="37"/>
      <c r="F746" s="37" t="s">
        <v>4842</v>
      </c>
      <c r="G746" s="37"/>
      <c r="H746" s="37" t="s">
        <v>3257</v>
      </c>
      <c r="I746" s="37"/>
    </row>
    <row r="747" customFormat="false" ht="15" hidden="false" customHeight="true" outlineLevel="0" collapsed="false">
      <c r="A747" s="37" t="s">
        <v>3259</v>
      </c>
      <c r="B747" s="37" t="s">
        <v>485</v>
      </c>
      <c r="C747" s="37" t="s">
        <v>4834</v>
      </c>
      <c r="D747" s="37" t="s">
        <v>4835</v>
      </c>
      <c r="E747" s="37"/>
      <c r="F747" s="37" t="s">
        <v>4842</v>
      </c>
      <c r="G747" s="37"/>
      <c r="H747" s="37" t="s">
        <v>3260</v>
      </c>
      <c r="I747" s="37"/>
    </row>
    <row r="748" customFormat="false" ht="15" hidden="false" customHeight="true" outlineLevel="0" collapsed="false">
      <c r="A748" s="37" t="s">
        <v>3262</v>
      </c>
      <c r="B748" s="37" t="s">
        <v>485</v>
      </c>
      <c r="C748" s="37" t="s">
        <v>4834</v>
      </c>
      <c r="D748" s="37" t="s">
        <v>4835</v>
      </c>
      <c r="E748" s="37"/>
      <c r="F748" s="37" t="s">
        <v>4842</v>
      </c>
      <c r="G748" s="37"/>
      <c r="H748" s="37" t="s">
        <v>3263</v>
      </c>
      <c r="I748" s="37"/>
    </row>
    <row r="749" customFormat="false" ht="15" hidden="false" customHeight="true" outlineLevel="0" collapsed="false">
      <c r="A749" s="37" t="s">
        <v>3265</v>
      </c>
      <c r="B749" s="37" t="s">
        <v>485</v>
      </c>
      <c r="C749" s="37" t="s">
        <v>4834</v>
      </c>
      <c r="D749" s="37" t="s">
        <v>4835</v>
      </c>
      <c r="E749" s="37"/>
      <c r="F749" s="37" t="s">
        <v>4842</v>
      </c>
      <c r="G749" s="37"/>
      <c r="H749" s="37" t="s">
        <v>3266</v>
      </c>
      <c r="I749" s="37"/>
    </row>
    <row r="750" customFormat="false" ht="15" hidden="false" customHeight="true" outlineLevel="0" collapsed="false">
      <c r="A750" s="37" t="s">
        <v>3268</v>
      </c>
      <c r="B750" s="37" t="s">
        <v>485</v>
      </c>
      <c r="C750" s="37" t="s">
        <v>4834</v>
      </c>
      <c r="D750" s="37" t="s">
        <v>4835</v>
      </c>
      <c r="E750" s="37"/>
      <c r="F750" s="37" t="s">
        <v>4842</v>
      </c>
      <c r="G750" s="37"/>
      <c r="H750" s="37" t="s">
        <v>3269</v>
      </c>
      <c r="I750" s="37"/>
    </row>
    <row r="751" customFormat="false" ht="15" hidden="false" customHeight="true" outlineLevel="0" collapsed="false">
      <c r="A751" s="37" t="s">
        <v>3271</v>
      </c>
      <c r="B751" s="37" t="s">
        <v>485</v>
      </c>
      <c r="C751" s="37" t="s">
        <v>4834</v>
      </c>
      <c r="D751" s="37" t="s">
        <v>4835</v>
      </c>
      <c r="E751" s="37"/>
      <c r="F751" s="37" t="s">
        <v>4842</v>
      </c>
      <c r="G751" s="37"/>
      <c r="H751" s="37" t="s">
        <v>3272</v>
      </c>
      <c r="I751" s="37"/>
    </row>
    <row r="752" customFormat="false" ht="15" hidden="false" customHeight="true" outlineLevel="0" collapsed="false">
      <c r="A752" s="37" t="s">
        <v>3277</v>
      </c>
      <c r="B752" s="37" t="s">
        <v>485</v>
      </c>
      <c r="C752" s="37" t="s">
        <v>4834</v>
      </c>
      <c r="D752" s="37" t="s">
        <v>4835</v>
      </c>
      <c r="E752" s="37"/>
      <c r="F752" s="37" t="s">
        <v>4842</v>
      </c>
      <c r="G752" s="37"/>
      <c r="H752" s="37" t="s">
        <v>3278</v>
      </c>
      <c r="I752" s="37"/>
    </row>
    <row r="753" customFormat="false" ht="15" hidden="false" customHeight="true" outlineLevel="0" collapsed="false">
      <c r="A753" s="37" t="s">
        <v>3286</v>
      </c>
      <c r="B753" s="37" t="s">
        <v>485</v>
      </c>
      <c r="C753" s="37" t="s">
        <v>4866</v>
      </c>
      <c r="D753" s="37" t="s">
        <v>4867</v>
      </c>
      <c r="E753" s="37"/>
      <c r="F753" s="37" t="s">
        <v>4884</v>
      </c>
      <c r="G753" s="37"/>
      <c r="H753" s="37" t="s">
        <v>3287</v>
      </c>
      <c r="I753" s="37"/>
    </row>
    <row r="754" customFormat="false" ht="15" hidden="false" customHeight="true" outlineLevel="0" collapsed="false">
      <c r="A754" s="37" t="s">
        <v>3286</v>
      </c>
      <c r="B754" s="37" t="s">
        <v>485</v>
      </c>
      <c r="C754" s="37" t="s">
        <v>4834</v>
      </c>
      <c r="D754" s="37" t="s">
        <v>4835</v>
      </c>
      <c r="E754" s="37"/>
      <c r="F754" s="37" t="s">
        <v>4836</v>
      </c>
      <c r="G754" s="37"/>
      <c r="H754" s="37" t="s">
        <v>3287</v>
      </c>
      <c r="I754" s="37"/>
    </row>
    <row r="755" customFormat="false" ht="15" hidden="false" customHeight="true" outlineLevel="0" collapsed="false">
      <c r="A755" s="37" t="s">
        <v>3289</v>
      </c>
      <c r="B755" s="37" t="s">
        <v>485</v>
      </c>
      <c r="C755" s="37" t="s">
        <v>4834</v>
      </c>
      <c r="D755" s="37" t="s">
        <v>4835</v>
      </c>
      <c r="E755" s="37"/>
      <c r="F755" s="37" t="s">
        <v>4842</v>
      </c>
      <c r="G755" s="37"/>
      <c r="H755" s="37" t="s">
        <v>3290</v>
      </c>
      <c r="I755" s="37"/>
    </row>
    <row r="756" customFormat="false" ht="15" hidden="false" customHeight="true" outlineLevel="0" collapsed="false">
      <c r="A756" s="37" t="s">
        <v>3316</v>
      </c>
      <c r="B756" s="37" t="s">
        <v>485</v>
      </c>
      <c r="C756" s="37" t="s">
        <v>4866</v>
      </c>
      <c r="D756" s="37" t="s">
        <v>4867</v>
      </c>
      <c r="E756" s="37"/>
      <c r="F756" s="37" t="s">
        <v>4885</v>
      </c>
      <c r="G756" s="37"/>
      <c r="H756" s="37" t="s">
        <v>3317</v>
      </c>
      <c r="I756" s="37"/>
    </row>
    <row r="757" customFormat="false" ht="15" hidden="false" customHeight="true" outlineLevel="0" collapsed="false">
      <c r="A757" s="37" t="s">
        <v>3316</v>
      </c>
      <c r="B757" s="37" t="s">
        <v>485</v>
      </c>
      <c r="C757" s="37" t="s">
        <v>4834</v>
      </c>
      <c r="D757" s="37" t="s">
        <v>4835</v>
      </c>
      <c r="E757" s="37"/>
      <c r="F757" s="37" t="s">
        <v>4836</v>
      </c>
      <c r="G757" s="37"/>
      <c r="H757" s="37" t="s">
        <v>3317</v>
      </c>
      <c r="I757" s="37"/>
    </row>
    <row r="758" customFormat="false" ht="15" hidden="false" customHeight="true" outlineLevel="0" collapsed="false">
      <c r="A758" s="37" t="s">
        <v>3319</v>
      </c>
      <c r="B758" s="37" t="s">
        <v>485</v>
      </c>
      <c r="C758" s="37" t="s">
        <v>4834</v>
      </c>
      <c r="D758" s="37" t="s">
        <v>4835</v>
      </c>
      <c r="E758" s="37"/>
      <c r="F758" s="37" t="s">
        <v>4842</v>
      </c>
      <c r="G758" s="37"/>
      <c r="H758" s="37" t="s">
        <v>3320</v>
      </c>
      <c r="I758" s="37"/>
    </row>
    <row r="759" customFormat="false" ht="15" hidden="false" customHeight="true" outlineLevel="0" collapsed="false">
      <c r="A759" s="37" t="s">
        <v>3322</v>
      </c>
      <c r="B759" s="37" t="s">
        <v>485</v>
      </c>
      <c r="C759" s="37" t="s">
        <v>4834</v>
      </c>
      <c r="D759" s="37" t="s">
        <v>4835</v>
      </c>
      <c r="E759" s="37"/>
      <c r="F759" s="37" t="s">
        <v>4842</v>
      </c>
      <c r="G759" s="37"/>
      <c r="H759" s="37" t="s">
        <v>3323</v>
      </c>
      <c r="I759" s="37"/>
    </row>
    <row r="760" customFormat="false" ht="15" hidden="false" customHeight="true" outlineLevel="0" collapsed="false">
      <c r="A760" s="37" t="s">
        <v>3325</v>
      </c>
      <c r="B760" s="37" t="s">
        <v>485</v>
      </c>
      <c r="C760" s="37" t="s">
        <v>4834</v>
      </c>
      <c r="D760" s="37" t="s">
        <v>4835</v>
      </c>
      <c r="E760" s="37"/>
      <c r="F760" s="37" t="s">
        <v>4842</v>
      </c>
      <c r="G760" s="37"/>
      <c r="H760" s="37" t="s">
        <v>3326</v>
      </c>
      <c r="I760" s="37"/>
    </row>
    <row r="761" customFormat="false" ht="15" hidden="false" customHeight="true" outlineLevel="0" collapsed="false">
      <c r="A761" s="37" t="s">
        <v>3340</v>
      </c>
      <c r="B761" s="37" t="s">
        <v>485</v>
      </c>
      <c r="C761" s="37" t="s">
        <v>4834</v>
      </c>
      <c r="D761" s="37" t="s">
        <v>4835</v>
      </c>
      <c r="E761" s="37"/>
      <c r="F761" s="37" t="s">
        <v>4842</v>
      </c>
      <c r="G761" s="37"/>
      <c r="H761" s="37" t="s">
        <v>3341</v>
      </c>
      <c r="I761" s="37"/>
    </row>
    <row r="762" customFormat="false" ht="15" hidden="false" customHeight="true" outlineLevel="0" collapsed="false">
      <c r="A762" s="37" t="s">
        <v>3343</v>
      </c>
      <c r="B762" s="37" t="s">
        <v>485</v>
      </c>
      <c r="C762" s="37" t="s">
        <v>4834</v>
      </c>
      <c r="D762" s="37" t="s">
        <v>4835</v>
      </c>
      <c r="E762" s="37"/>
      <c r="F762" s="37" t="s">
        <v>4842</v>
      </c>
      <c r="G762" s="37"/>
      <c r="H762" s="37" t="s">
        <v>3344</v>
      </c>
      <c r="I762" s="37"/>
    </row>
    <row r="763" customFormat="false" ht="15" hidden="false" customHeight="true" outlineLevel="0" collapsed="false">
      <c r="A763" s="37" t="s">
        <v>3346</v>
      </c>
      <c r="B763" s="37" t="s">
        <v>485</v>
      </c>
      <c r="C763" s="37" t="s">
        <v>4834</v>
      </c>
      <c r="D763" s="37" t="s">
        <v>4835</v>
      </c>
      <c r="E763" s="37"/>
      <c r="F763" s="37" t="s">
        <v>4842</v>
      </c>
      <c r="G763" s="37"/>
      <c r="H763" s="37" t="s">
        <v>3347</v>
      </c>
      <c r="I763" s="37"/>
    </row>
    <row r="764" customFormat="false" ht="15" hidden="false" customHeight="true" outlineLevel="0" collapsed="false">
      <c r="A764" s="37" t="s">
        <v>3355</v>
      </c>
      <c r="B764" s="37" t="s">
        <v>485</v>
      </c>
      <c r="C764" s="37" t="s">
        <v>4834</v>
      </c>
      <c r="D764" s="37" t="s">
        <v>4835</v>
      </c>
      <c r="E764" s="37"/>
      <c r="F764" s="37" t="s">
        <v>4836</v>
      </c>
      <c r="G764" s="37"/>
      <c r="H764" s="37" t="s">
        <v>3356</v>
      </c>
      <c r="I764" s="37"/>
    </row>
    <row r="765" customFormat="false" ht="15" hidden="false" customHeight="true" outlineLevel="0" collapsed="false">
      <c r="A765" s="37" t="s">
        <v>3358</v>
      </c>
      <c r="B765" s="37" t="s">
        <v>485</v>
      </c>
      <c r="C765" s="37" t="s">
        <v>4834</v>
      </c>
      <c r="D765" s="37" t="s">
        <v>4835</v>
      </c>
      <c r="E765" s="37"/>
      <c r="F765" s="37" t="s">
        <v>4836</v>
      </c>
      <c r="G765" s="37"/>
      <c r="H765" s="37" t="s">
        <v>3359</v>
      </c>
      <c r="I765" s="37"/>
    </row>
    <row r="766" customFormat="false" ht="15" hidden="false" customHeight="true" outlineLevel="0" collapsed="false">
      <c r="A766" s="37" t="s">
        <v>3364</v>
      </c>
      <c r="B766" s="37" t="s">
        <v>485</v>
      </c>
      <c r="C766" s="37" t="s">
        <v>4834</v>
      </c>
      <c r="D766" s="37" t="s">
        <v>4835</v>
      </c>
      <c r="E766" s="37"/>
      <c r="F766" s="37" t="s">
        <v>4842</v>
      </c>
      <c r="G766" s="37"/>
      <c r="H766" s="37" t="s">
        <v>3365</v>
      </c>
      <c r="I766" s="37"/>
    </row>
    <row r="767" customFormat="false" ht="15" hidden="false" customHeight="true" outlineLevel="0" collapsed="false">
      <c r="A767" s="37" t="s">
        <v>3367</v>
      </c>
      <c r="B767" s="37" t="s">
        <v>485</v>
      </c>
      <c r="C767" s="37" t="s">
        <v>4834</v>
      </c>
      <c r="D767" s="37" t="s">
        <v>4835</v>
      </c>
      <c r="E767" s="37"/>
      <c r="F767" s="37" t="s">
        <v>4842</v>
      </c>
      <c r="G767" s="37"/>
      <c r="H767" s="37" t="s">
        <v>3368</v>
      </c>
      <c r="I767" s="37"/>
    </row>
    <row r="768" customFormat="false" ht="15" hidden="false" customHeight="true" outlineLevel="0" collapsed="false">
      <c r="A768" s="37" t="s">
        <v>3379</v>
      </c>
      <c r="B768" s="37" t="s">
        <v>485</v>
      </c>
      <c r="C768" s="37" t="s">
        <v>4834</v>
      </c>
      <c r="D768" s="37" t="s">
        <v>4835</v>
      </c>
      <c r="E768" s="37"/>
      <c r="F768" s="37" t="s">
        <v>4842</v>
      </c>
      <c r="G768" s="37"/>
      <c r="H768" s="37" t="s">
        <v>5046</v>
      </c>
      <c r="I768" s="37"/>
    </row>
    <row r="769" customFormat="false" ht="15" hidden="false" customHeight="true" outlineLevel="0" collapsed="false">
      <c r="A769" s="37" t="s">
        <v>3385</v>
      </c>
      <c r="B769" s="37" t="s">
        <v>485</v>
      </c>
      <c r="C769" s="37" t="s">
        <v>4834</v>
      </c>
      <c r="D769" s="37" t="s">
        <v>4835</v>
      </c>
      <c r="E769" s="37"/>
      <c r="F769" s="37" t="s">
        <v>4836</v>
      </c>
      <c r="G769" s="37"/>
      <c r="H769" s="37" t="s">
        <v>3386</v>
      </c>
      <c r="I769" s="37"/>
    </row>
    <row r="770" customFormat="false" ht="15" hidden="false" customHeight="true" outlineLevel="0" collapsed="false">
      <c r="A770" s="37" t="s">
        <v>3388</v>
      </c>
      <c r="B770" s="37" t="s">
        <v>485</v>
      </c>
      <c r="C770" s="37" t="s">
        <v>4834</v>
      </c>
      <c r="D770" s="37" t="s">
        <v>4835</v>
      </c>
      <c r="E770" s="37"/>
      <c r="F770" s="37" t="s">
        <v>4842</v>
      </c>
      <c r="G770" s="37"/>
      <c r="H770" s="37" t="s">
        <v>3389</v>
      </c>
      <c r="I770" s="37"/>
    </row>
    <row r="771" customFormat="false" ht="15" hidden="false" customHeight="true" outlineLevel="0" collapsed="false">
      <c r="A771" s="37" t="s">
        <v>3391</v>
      </c>
      <c r="B771" s="37" t="s">
        <v>485</v>
      </c>
      <c r="C771" s="37" t="s">
        <v>4834</v>
      </c>
      <c r="D771" s="37" t="s">
        <v>4835</v>
      </c>
      <c r="E771" s="37"/>
      <c r="F771" s="37" t="s">
        <v>4842</v>
      </c>
      <c r="G771" s="37"/>
      <c r="H771" s="37" t="s">
        <v>3392</v>
      </c>
      <c r="I771" s="37"/>
    </row>
    <row r="772" customFormat="false" ht="15" hidden="false" customHeight="true" outlineLevel="0" collapsed="false">
      <c r="A772" s="37" t="s">
        <v>3397</v>
      </c>
      <c r="B772" s="37" t="s">
        <v>485</v>
      </c>
      <c r="C772" s="37" t="s">
        <v>4834</v>
      </c>
      <c r="D772" s="37" t="s">
        <v>4835</v>
      </c>
      <c r="E772" s="37"/>
      <c r="F772" s="37" t="s">
        <v>4960</v>
      </c>
      <c r="G772" s="37"/>
      <c r="H772" s="37" t="s">
        <v>3398</v>
      </c>
      <c r="I772" s="37"/>
    </row>
    <row r="773" customFormat="false" ht="15" hidden="false" customHeight="true" outlineLevel="0" collapsed="false">
      <c r="A773" s="37" t="s">
        <v>3400</v>
      </c>
      <c r="B773" s="37" t="s">
        <v>485</v>
      </c>
      <c r="C773" s="37" t="s">
        <v>4834</v>
      </c>
      <c r="D773" s="37" t="s">
        <v>4835</v>
      </c>
      <c r="E773" s="37"/>
      <c r="F773" s="37" t="s">
        <v>4836</v>
      </c>
      <c r="G773" s="37"/>
      <c r="H773" s="37" t="s">
        <v>3401</v>
      </c>
      <c r="I773" s="37"/>
    </row>
    <row r="774" customFormat="false" ht="15" hidden="false" customHeight="true" outlineLevel="0" collapsed="false">
      <c r="A774" s="37" t="s">
        <v>3406</v>
      </c>
      <c r="B774" s="37" t="s">
        <v>485</v>
      </c>
      <c r="C774" s="37" t="s">
        <v>4834</v>
      </c>
      <c r="D774" s="37" t="s">
        <v>4835</v>
      </c>
      <c r="E774" s="37"/>
      <c r="F774" s="37" t="s">
        <v>4836</v>
      </c>
      <c r="G774" s="37"/>
      <c r="H774" s="54" t="s">
        <v>3407</v>
      </c>
      <c r="I774" s="37"/>
    </row>
    <row r="775" customFormat="false" ht="15" hidden="false" customHeight="true" outlineLevel="0" collapsed="false">
      <c r="A775" s="37" t="s">
        <v>3412</v>
      </c>
      <c r="B775" s="37" t="s">
        <v>485</v>
      </c>
      <c r="C775" s="37" t="s">
        <v>4834</v>
      </c>
      <c r="D775" s="37" t="s">
        <v>4835</v>
      </c>
      <c r="E775" s="37"/>
      <c r="F775" s="37" t="s">
        <v>4842</v>
      </c>
      <c r="G775" s="37"/>
      <c r="H775" s="37" t="s">
        <v>3413</v>
      </c>
      <c r="I775" s="37"/>
    </row>
    <row r="776" customFormat="false" ht="15" hidden="false" customHeight="true" outlineLevel="0" collapsed="false">
      <c r="A776" s="37" t="s">
        <v>3421</v>
      </c>
      <c r="B776" s="37" t="s">
        <v>485</v>
      </c>
      <c r="C776" s="37" t="s">
        <v>4866</v>
      </c>
      <c r="D776" s="37" t="s">
        <v>4867</v>
      </c>
      <c r="E776" s="37"/>
      <c r="F776" s="37" t="s">
        <v>4884</v>
      </c>
      <c r="G776" s="37"/>
      <c r="H776" s="37" t="s">
        <v>3422</v>
      </c>
      <c r="I776" s="37"/>
    </row>
    <row r="777" customFormat="false" ht="15" hidden="false" customHeight="true" outlineLevel="0" collapsed="false">
      <c r="A777" s="37" t="s">
        <v>3421</v>
      </c>
      <c r="B777" s="37" t="s">
        <v>485</v>
      </c>
      <c r="C777" s="37" t="s">
        <v>4834</v>
      </c>
      <c r="D777" s="37" t="s">
        <v>4835</v>
      </c>
      <c r="E777" s="37"/>
      <c r="F777" s="37" t="s">
        <v>4842</v>
      </c>
      <c r="G777" s="37"/>
      <c r="H777" s="37" t="s">
        <v>3422</v>
      </c>
      <c r="I777" s="37"/>
    </row>
    <row r="778" customFormat="false" ht="15" hidden="false" customHeight="true" outlineLevel="0" collapsed="false">
      <c r="A778" s="37" t="s">
        <v>3424</v>
      </c>
      <c r="B778" s="37" t="s">
        <v>485</v>
      </c>
      <c r="C778" s="37" t="s">
        <v>4834</v>
      </c>
      <c r="D778" s="37" t="s">
        <v>4835</v>
      </c>
      <c r="E778" s="37"/>
      <c r="F778" s="37" t="s">
        <v>4842</v>
      </c>
      <c r="G778" s="37"/>
      <c r="H778" s="37" t="s">
        <v>3425</v>
      </c>
      <c r="I778" s="37"/>
    </row>
    <row r="779" customFormat="false" ht="15" hidden="false" customHeight="true" outlineLevel="0" collapsed="false">
      <c r="A779" s="37" t="s">
        <v>3427</v>
      </c>
      <c r="B779" s="37" t="s">
        <v>485</v>
      </c>
      <c r="C779" s="37" t="s">
        <v>4834</v>
      </c>
      <c r="D779" s="37" t="s">
        <v>4835</v>
      </c>
      <c r="E779" s="37"/>
      <c r="F779" s="37" t="s">
        <v>4842</v>
      </c>
      <c r="G779" s="37"/>
      <c r="H779" s="37" t="s">
        <v>3428</v>
      </c>
      <c r="I779" s="37"/>
    </row>
    <row r="780" customFormat="false" ht="15" hidden="false" customHeight="true" outlineLevel="0" collapsed="false">
      <c r="A780" s="37" t="s">
        <v>3430</v>
      </c>
      <c r="B780" s="37" t="s">
        <v>485</v>
      </c>
      <c r="C780" s="37" t="s">
        <v>4834</v>
      </c>
      <c r="D780" s="37" t="s">
        <v>4835</v>
      </c>
      <c r="E780" s="37"/>
      <c r="F780" s="37" t="s">
        <v>4842</v>
      </c>
      <c r="G780" s="37"/>
      <c r="H780" s="37" t="s">
        <v>3431</v>
      </c>
      <c r="I780" s="37"/>
    </row>
    <row r="781" customFormat="false" ht="15" hidden="false" customHeight="true" outlineLevel="0" collapsed="false">
      <c r="A781" s="37" t="s">
        <v>3433</v>
      </c>
      <c r="B781" s="37" t="s">
        <v>485</v>
      </c>
      <c r="C781" s="37" t="s">
        <v>4834</v>
      </c>
      <c r="D781" s="37" t="s">
        <v>4835</v>
      </c>
      <c r="E781" s="37"/>
      <c r="F781" s="37" t="s">
        <v>4842</v>
      </c>
      <c r="G781" s="37"/>
      <c r="H781" s="37" t="s">
        <v>3434</v>
      </c>
      <c r="I781" s="37"/>
    </row>
    <row r="782" customFormat="false" ht="15" hidden="false" customHeight="true" outlineLevel="0" collapsed="false">
      <c r="A782" s="37" t="s">
        <v>3436</v>
      </c>
      <c r="B782" s="37" t="s">
        <v>485</v>
      </c>
      <c r="C782" s="37" t="s">
        <v>4834</v>
      </c>
      <c r="D782" s="37" t="s">
        <v>4835</v>
      </c>
      <c r="E782" s="37"/>
      <c r="F782" s="37" t="s">
        <v>4842</v>
      </c>
      <c r="G782" s="37"/>
      <c r="H782" s="37" t="s">
        <v>3437</v>
      </c>
      <c r="I782" s="37"/>
    </row>
    <row r="783" customFormat="false" ht="15" hidden="false" customHeight="true" outlineLevel="0" collapsed="false">
      <c r="A783" s="37" t="s">
        <v>3439</v>
      </c>
      <c r="B783" s="37" t="s">
        <v>485</v>
      </c>
      <c r="C783" s="37" t="s">
        <v>4866</v>
      </c>
      <c r="D783" s="37" t="s">
        <v>4867</v>
      </c>
      <c r="E783" s="37"/>
      <c r="F783" s="37" t="s">
        <v>4884</v>
      </c>
      <c r="G783" s="37"/>
      <c r="H783" s="37" t="s">
        <v>3440</v>
      </c>
      <c r="I783" s="37"/>
    </row>
    <row r="784" customFormat="false" ht="15" hidden="false" customHeight="true" outlineLevel="0" collapsed="false">
      <c r="A784" s="37" t="s">
        <v>3439</v>
      </c>
      <c r="B784" s="37" t="s">
        <v>485</v>
      </c>
      <c r="C784" s="37" t="s">
        <v>4834</v>
      </c>
      <c r="D784" s="37" t="s">
        <v>4835</v>
      </c>
      <c r="E784" s="37"/>
      <c r="F784" s="37" t="s">
        <v>4836</v>
      </c>
      <c r="G784" s="37"/>
      <c r="H784" s="37" t="s">
        <v>3440</v>
      </c>
      <c r="I784" s="37"/>
    </row>
    <row r="785" customFormat="false" ht="15" hidden="false" customHeight="true" outlineLevel="0" collapsed="false">
      <c r="A785" s="37" t="s">
        <v>3442</v>
      </c>
      <c r="B785" s="37" t="s">
        <v>485</v>
      </c>
      <c r="C785" s="37" t="s">
        <v>4866</v>
      </c>
      <c r="D785" s="37" t="s">
        <v>4867</v>
      </c>
      <c r="E785" s="37"/>
      <c r="F785" s="37" t="s">
        <v>4885</v>
      </c>
      <c r="G785" s="37"/>
      <c r="H785" s="54" t="s">
        <v>3443</v>
      </c>
      <c r="I785" s="37"/>
    </row>
    <row r="786" customFormat="false" ht="15" hidden="false" customHeight="true" outlineLevel="0" collapsed="false">
      <c r="A786" s="37" t="s">
        <v>3442</v>
      </c>
      <c r="B786" s="37" t="s">
        <v>485</v>
      </c>
      <c r="C786" s="37" t="s">
        <v>4834</v>
      </c>
      <c r="D786" s="37" t="s">
        <v>4835</v>
      </c>
      <c r="E786" s="37"/>
      <c r="F786" s="37" t="s">
        <v>4842</v>
      </c>
      <c r="G786" s="37"/>
      <c r="H786" s="54" t="s">
        <v>3443</v>
      </c>
      <c r="I786" s="37"/>
    </row>
    <row r="787" customFormat="false" ht="15" hidden="false" customHeight="true" outlineLevel="0" collapsed="false">
      <c r="A787" s="37" t="s">
        <v>3445</v>
      </c>
      <c r="B787" s="37" t="s">
        <v>485</v>
      </c>
      <c r="C787" s="37" t="s">
        <v>4834</v>
      </c>
      <c r="D787" s="37" t="s">
        <v>4835</v>
      </c>
      <c r="E787" s="37"/>
      <c r="F787" s="37" t="s">
        <v>4960</v>
      </c>
      <c r="G787" s="37"/>
      <c r="H787" s="37" t="s">
        <v>3446</v>
      </c>
      <c r="I787" s="37"/>
    </row>
    <row r="788" customFormat="false" ht="15" hidden="false" customHeight="true" outlineLevel="0" collapsed="false">
      <c r="A788" s="37" t="s">
        <v>3448</v>
      </c>
      <c r="B788" s="37" t="s">
        <v>485</v>
      </c>
      <c r="C788" s="37" t="s">
        <v>4834</v>
      </c>
      <c r="D788" s="37" t="s">
        <v>4835</v>
      </c>
      <c r="E788" s="37"/>
      <c r="F788" s="37" t="s">
        <v>4842</v>
      </c>
      <c r="G788" s="37"/>
      <c r="H788" s="37" t="s">
        <v>3449</v>
      </c>
      <c r="I788" s="37"/>
    </row>
    <row r="789" customFormat="false" ht="15" hidden="false" customHeight="true" outlineLevel="0" collapsed="false">
      <c r="A789" s="37" t="s">
        <v>3451</v>
      </c>
      <c r="B789" s="37" t="s">
        <v>485</v>
      </c>
      <c r="C789" s="37" t="s">
        <v>4834</v>
      </c>
      <c r="D789" s="37" t="s">
        <v>4835</v>
      </c>
      <c r="E789" s="37"/>
      <c r="F789" s="37" t="s">
        <v>4842</v>
      </c>
      <c r="G789" s="37"/>
      <c r="H789" s="37" t="s">
        <v>3452</v>
      </c>
      <c r="I789" s="37"/>
    </row>
    <row r="790" customFormat="false" ht="15" hidden="false" customHeight="true" outlineLevel="0" collapsed="false">
      <c r="A790" s="37" t="s">
        <v>3454</v>
      </c>
      <c r="B790" s="37" t="s">
        <v>485</v>
      </c>
      <c r="C790" s="37" t="s">
        <v>4834</v>
      </c>
      <c r="D790" s="37" t="s">
        <v>4835</v>
      </c>
      <c r="E790" s="37"/>
      <c r="F790" s="37" t="s">
        <v>4842</v>
      </c>
      <c r="G790" s="37"/>
      <c r="H790" s="37" t="s">
        <v>3455</v>
      </c>
      <c r="I790" s="37"/>
    </row>
    <row r="791" customFormat="false" ht="15" hidden="false" customHeight="true" outlineLevel="0" collapsed="false">
      <c r="A791" s="37" t="s">
        <v>3457</v>
      </c>
      <c r="B791" s="37" t="s">
        <v>485</v>
      </c>
      <c r="C791" s="37" t="s">
        <v>4834</v>
      </c>
      <c r="D791" s="37" t="s">
        <v>4835</v>
      </c>
      <c r="E791" s="37"/>
      <c r="F791" s="37" t="s">
        <v>4960</v>
      </c>
      <c r="G791" s="37"/>
      <c r="H791" s="37" t="s">
        <v>3458</v>
      </c>
      <c r="I791" s="37"/>
    </row>
    <row r="792" customFormat="false" ht="15" hidden="false" customHeight="true" outlineLevel="0" collapsed="false">
      <c r="A792" s="37" t="s">
        <v>3460</v>
      </c>
      <c r="B792" s="37" t="s">
        <v>485</v>
      </c>
      <c r="C792" s="37" t="s">
        <v>4834</v>
      </c>
      <c r="D792" s="37" t="s">
        <v>4835</v>
      </c>
      <c r="E792" s="37"/>
      <c r="F792" s="37" t="s">
        <v>4842</v>
      </c>
      <c r="G792" s="37"/>
      <c r="H792" s="37" t="s">
        <v>3461</v>
      </c>
      <c r="I792" s="37"/>
    </row>
    <row r="793" customFormat="false" ht="15" hidden="false" customHeight="true" outlineLevel="0" collapsed="false">
      <c r="A793" s="37" t="s">
        <v>3463</v>
      </c>
      <c r="B793" s="37" t="s">
        <v>485</v>
      </c>
      <c r="C793" s="37" t="s">
        <v>4834</v>
      </c>
      <c r="D793" s="37" t="s">
        <v>4835</v>
      </c>
      <c r="E793" s="37"/>
      <c r="F793" s="37" t="s">
        <v>4842</v>
      </c>
      <c r="G793" s="37"/>
      <c r="H793" s="37" t="s">
        <v>3464</v>
      </c>
      <c r="I793" s="37"/>
    </row>
    <row r="794" customFormat="false" ht="15" hidden="false" customHeight="true" outlineLevel="0" collapsed="false">
      <c r="A794" s="37" t="s">
        <v>3466</v>
      </c>
      <c r="B794" s="37" t="s">
        <v>485</v>
      </c>
      <c r="C794" s="37" t="s">
        <v>4834</v>
      </c>
      <c r="D794" s="37" t="s">
        <v>4835</v>
      </c>
      <c r="E794" s="37"/>
      <c r="F794" s="37" t="s">
        <v>4842</v>
      </c>
      <c r="G794" s="37"/>
      <c r="H794" s="37" t="s">
        <v>3467</v>
      </c>
      <c r="I794" s="37"/>
    </row>
    <row r="795" customFormat="false" ht="15" hidden="false" customHeight="true" outlineLevel="0" collapsed="false">
      <c r="A795" s="37" t="s">
        <v>3469</v>
      </c>
      <c r="B795" s="37" t="s">
        <v>485</v>
      </c>
      <c r="C795" s="37" t="s">
        <v>4834</v>
      </c>
      <c r="D795" s="37" t="s">
        <v>4835</v>
      </c>
      <c r="E795" s="37"/>
      <c r="F795" s="37" t="s">
        <v>4842</v>
      </c>
      <c r="G795" s="37"/>
      <c r="H795" s="37" t="s">
        <v>3470</v>
      </c>
      <c r="I795" s="37"/>
    </row>
    <row r="796" customFormat="false" ht="15" hidden="false" customHeight="true" outlineLevel="0" collapsed="false">
      <c r="A796" s="37" t="s">
        <v>3472</v>
      </c>
      <c r="B796" s="37" t="s">
        <v>485</v>
      </c>
      <c r="C796" s="37" t="s">
        <v>4834</v>
      </c>
      <c r="D796" s="37" t="s">
        <v>4835</v>
      </c>
      <c r="E796" s="37"/>
      <c r="F796" s="37" t="s">
        <v>4842</v>
      </c>
      <c r="G796" s="37"/>
      <c r="H796" s="37" t="s">
        <v>3473</v>
      </c>
      <c r="I796" s="37"/>
    </row>
    <row r="797" customFormat="false" ht="15" hidden="false" customHeight="true" outlineLevel="0" collapsed="false">
      <c r="A797" s="37" t="s">
        <v>3475</v>
      </c>
      <c r="B797" s="37" t="s">
        <v>485</v>
      </c>
      <c r="C797" s="37" t="s">
        <v>4834</v>
      </c>
      <c r="D797" s="37" t="s">
        <v>4835</v>
      </c>
      <c r="E797" s="37"/>
      <c r="F797" s="37" t="s">
        <v>4842</v>
      </c>
      <c r="G797" s="37"/>
      <c r="H797" s="37" t="s">
        <v>3476</v>
      </c>
      <c r="I797" s="37"/>
    </row>
    <row r="798" customFormat="false" ht="15" hidden="false" customHeight="true" outlineLevel="0" collapsed="false">
      <c r="A798" s="37" t="s">
        <v>3481</v>
      </c>
      <c r="B798" s="37" t="s">
        <v>485</v>
      </c>
      <c r="C798" s="37" t="s">
        <v>4834</v>
      </c>
      <c r="D798" s="37" t="s">
        <v>4835</v>
      </c>
      <c r="E798" s="37"/>
      <c r="F798" s="37" t="s">
        <v>4842</v>
      </c>
      <c r="G798" s="37"/>
      <c r="H798" s="37" t="s">
        <v>3482</v>
      </c>
      <c r="I798" s="37"/>
    </row>
    <row r="799" customFormat="false" ht="15" hidden="false" customHeight="true" outlineLevel="0" collapsed="false">
      <c r="A799" s="37" t="s">
        <v>3484</v>
      </c>
      <c r="B799" s="37" t="s">
        <v>485</v>
      </c>
      <c r="C799" s="37" t="s">
        <v>4866</v>
      </c>
      <c r="D799" s="37" t="s">
        <v>4867</v>
      </c>
      <c r="E799" s="37"/>
      <c r="F799" s="37" t="s">
        <v>4884</v>
      </c>
      <c r="G799" s="37"/>
      <c r="H799" s="37" t="s">
        <v>3485</v>
      </c>
      <c r="I799" s="37"/>
    </row>
    <row r="800" customFormat="false" ht="15" hidden="false" customHeight="true" outlineLevel="0" collapsed="false">
      <c r="A800" s="37" t="s">
        <v>3484</v>
      </c>
      <c r="B800" s="37" t="s">
        <v>485</v>
      </c>
      <c r="C800" s="37" t="s">
        <v>4834</v>
      </c>
      <c r="D800" s="37" t="s">
        <v>4835</v>
      </c>
      <c r="E800" s="37"/>
      <c r="F800" s="37" t="s">
        <v>4842</v>
      </c>
      <c r="G800" s="37"/>
      <c r="H800" s="37" t="s">
        <v>3485</v>
      </c>
      <c r="I800" s="37"/>
    </row>
    <row r="801" customFormat="false" ht="15" hidden="false" customHeight="true" outlineLevel="0" collapsed="false">
      <c r="A801" s="37" t="s">
        <v>3487</v>
      </c>
      <c r="B801" s="37" t="s">
        <v>485</v>
      </c>
      <c r="C801" s="37" t="s">
        <v>4866</v>
      </c>
      <c r="D801" s="37" t="s">
        <v>4867</v>
      </c>
      <c r="E801" s="37"/>
      <c r="F801" s="37" t="s">
        <v>4885</v>
      </c>
      <c r="G801" s="37"/>
      <c r="H801" s="37" t="s">
        <v>3488</v>
      </c>
      <c r="I801" s="37"/>
    </row>
    <row r="802" customFormat="false" ht="15" hidden="false" customHeight="true" outlineLevel="0" collapsed="false">
      <c r="A802" s="37" t="s">
        <v>3487</v>
      </c>
      <c r="B802" s="37" t="s">
        <v>485</v>
      </c>
      <c r="C802" s="37" t="s">
        <v>4834</v>
      </c>
      <c r="D802" s="37" t="s">
        <v>4835</v>
      </c>
      <c r="E802" s="37"/>
      <c r="F802" s="37" t="s">
        <v>4836</v>
      </c>
      <c r="G802" s="37"/>
      <c r="H802" s="37" t="s">
        <v>3488</v>
      </c>
      <c r="I802" s="37"/>
    </row>
    <row r="803" customFormat="false" ht="15" hidden="false" customHeight="true" outlineLevel="0" collapsed="false">
      <c r="A803" s="37" t="s">
        <v>3490</v>
      </c>
      <c r="B803" s="37" t="s">
        <v>485</v>
      </c>
      <c r="C803" s="37" t="s">
        <v>4834</v>
      </c>
      <c r="D803" s="37" t="s">
        <v>4835</v>
      </c>
      <c r="E803" s="37"/>
      <c r="F803" s="37" t="s">
        <v>4842</v>
      </c>
      <c r="G803" s="37"/>
      <c r="H803" s="37" t="s">
        <v>3491</v>
      </c>
      <c r="I803" s="37"/>
    </row>
    <row r="804" customFormat="false" ht="15" hidden="false" customHeight="true" outlineLevel="0" collapsed="false">
      <c r="A804" s="37" t="s">
        <v>3493</v>
      </c>
      <c r="B804" s="37" t="s">
        <v>485</v>
      </c>
      <c r="C804" s="37" t="s">
        <v>4834</v>
      </c>
      <c r="D804" s="37" t="s">
        <v>4835</v>
      </c>
      <c r="E804" s="37"/>
      <c r="F804" s="37" t="s">
        <v>4842</v>
      </c>
      <c r="G804" s="37"/>
      <c r="H804" s="37" t="s">
        <v>3494</v>
      </c>
      <c r="I804" s="37"/>
    </row>
    <row r="805" customFormat="false" ht="15" hidden="false" customHeight="true" outlineLevel="0" collapsed="false">
      <c r="A805" s="37" t="s">
        <v>3502</v>
      </c>
      <c r="B805" s="37" t="s">
        <v>485</v>
      </c>
      <c r="C805" s="37" t="s">
        <v>4834</v>
      </c>
      <c r="D805" s="37" t="s">
        <v>4835</v>
      </c>
      <c r="E805" s="37"/>
      <c r="F805" s="37" t="s">
        <v>4842</v>
      </c>
      <c r="G805" s="37"/>
      <c r="H805" s="37" t="s">
        <v>3503</v>
      </c>
      <c r="I805" s="37"/>
    </row>
    <row r="806" customFormat="false" ht="15" hidden="false" customHeight="true" outlineLevel="0" collapsed="false">
      <c r="A806" s="37" t="s">
        <v>3505</v>
      </c>
      <c r="B806" s="37" t="s">
        <v>485</v>
      </c>
      <c r="C806" s="37" t="s">
        <v>4866</v>
      </c>
      <c r="D806" s="37" t="s">
        <v>4867</v>
      </c>
      <c r="E806" s="37"/>
      <c r="F806" s="37" t="s">
        <v>4884</v>
      </c>
      <c r="G806" s="37"/>
      <c r="H806" s="37" t="s">
        <v>3506</v>
      </c>
      <c r="I806" s="37"/>
    </row>
    <row r="807" customFormat="false" ht="15" hidden="false" customHeight="true" outlineLevel="0" collapsed="false">
      <c r="A807" s="37" t="s">
        <v>3505</v>
      </c>
      <c r="B807" s="37" t="s">
        <v>485</v>
      </c>
      <c r="C807" s="37" t="s">
        <v>4834</v>
      </c>
      <c r="D807" s="37" t="s">
        <v>4835</v>
      </c>
      <c r="E807" s="37"/>
      <c r="F807" s="37" t="s">
        <v>4842</v>
      </c>
      <c r="G807" s="37"/>
      <c r="H807" s="37" t="s">
        <v>3506</v>
      </c>
      <c r="I807" s="37"/>
    </row>
    <row r="808" customFormat="false" ht="15" hidden="false" customHeight="true" outlineLevel="0" collapsed="false">
      <c r="A808" s="37" t="s">
        <v>3508</v>
      </c>
      <c r="B808" s="37" t="s">
        <v>485</v>
      </c>
      <c r="C808" s="37" t="s">
        <v>4866</v>
      </c>
      <c r="D808" s="37" t="s">
        <v>4867</v>
      </c>
      <c r="E808" s="37"/>
      <c r="F808" s="37" t="s">
        <v>4884</v>
      </c>
      <c r="G808" s="37"/>
      <c r="H808" s="54" t="s">
        <v>3509</v>
      </c>
      <c r="I808" s="37"/>
    </row>
    <row r="809" customFormat="false" ht="15" hidden="false" customHeight="true" outlineLevel="0" collapsed="false">
      <c r="A809" s="37" t="s">
        <v>3508</v>
      </c>
      <c r="B809" s="37" t="s">
        <v>485</v>
      </c>
      <c r="C809" s="37" t="s">
        <v>4834</v>
      </c>
      <c r="D809" s="37" t="s">
        <v>4835</v>
      </c>
      <c r="E809" s="37"/>
      <c r="F809" s="37" t="s">
        <v>4842</v>
      </c>
      <c r="G809" s="37"/>
      <c r="H809" s="54" t="s">
        <v>3509</v>
      </c>
      <c r="I809" s="37"/>
    </row>
    <row r="810" customFormat="false" ht="15" hidden="false" customHeight="true" outlineLevel="0" collapsed="false">
      <c r="A810" s="37" t="s">
        <v>3511</v>
      </c>
      <c r="B810" s="37" t="s">
        <v>485</v>
      </c>
      <c r="C810" s="37" t="s">
        <v>4834</v>
      </c>
      <c r="D810" s="37" t="s">
        <v>4835</v>
      </c>
      <c r="E810" s="37"/>
      <c r="F810" s="37" t="s">
        <v>4842</v>
      </c>
      <c r="G810" s="37"/>
      <c r="H810" s="37" t="s">
        <v>3512</v>
      </c>
      <c r="I810" s="37"/>
    </row>
    <row r="811" customFormat="false" ht="15" hidden="false" customHeight="true" outlineLevel="0" collapsed="false">
      <c r="A811" s="37" t="s">
        <v>3517</v>
      </c>
      <c r="B811" s="37" t="s">
        <v>485</v>
      </c>
      <c r="C811" s="37" t="s">
        <v>4834</v>
      </c>
      <c r="D811" s="37" t="s">
        <v>4835</v>
      </c>
      <c r="E811" s="37"/>
      <c r="F811" s="37" t="s">
        <v>4842</v>
      </c>
      <c r="G811" s="37"/>
      <c r="H811" s="54" t="s">
        <v>3518</v>
      </c>
      <c r="I811" s="37"/>
    </row>
    <row r="812" customFormat="false" ht="15" hidden="false" customHeight="true" outlineLevel="0" collapsed="false">
      <c r="A812" s="37" t="s">
        <v>3521</v>
      </c>
      <c r="B812" s="37" t="s">
        <v>485</v>
      </c>
      <c r="C812" s="37" t="s">
        <v>4834</v>
      </c>
      <c r="D812" s="37" t="s">
        <v>4835</v>
      </c>
      <c r="E812" s="37"/>
      <c r="F812" s="37" t="s">
        <v>4842</v>
      </c>
      <c r="G812" s="37"/>
      <c r="H812" s="37" t="s">
        <v>3522</v>
      </c>
      <c r="I812" s="37"/>
    </row>
    <row r="813" customFormat="false" ht="15" hidden="false" customHeight="true" outlineLevel="0" collapsed="false">
      <c r="A813" s="37" t="s">
        <v>3524</v>
      </c>
      <c r="B813" s="37" t="s">
        <v>485</v>
      </c>
      <c r="C813" s="37" t="s">
        <v>4834</v>
      </c>
      <c r="D813" s="37" t="s">
        <v>4835</v>
      </c>
      <c r="E813" s="37"/>
      <c r="F813" s="37" t="s">
        <v>4836</v>
      </c>
      <c r="G813" s="37"/>
      <c r="H813" s="54" t="s">
        <v>3525</v>
      </c>
      <c r="I813" s="37"/>
    </row>
    <row r="814" customFormat="false" ht="15" hidden="false" customHeight="true" outlineLevel="0" collapsed="false">
      <c r="A814" s="37" t="s">
        <v>3527</v>
      </c>
      <c r="B814" s="37" t="s">
        <v>485</v>
      </c>
      <c r="C814" s="37" t="s">
        <v>4866</v>
      </c>
      <c r="D814" s="37" t="s">
        <v>4867</v>
      </c>
      <c r="E814" s="37"/>
      <c r="F814" s="37" t="s">
        <v>4884</v>
      </c>
      <c r="G814" s="37"/>
      <c r="H814" s="54" t="s">
        <v>3528</v>
      </c>
      <c r="I814" s="37"/>
    </row>
    <row r="815" customFormat="false" ht="15" hidden="false" customHeight="true" outlineLevel="0" collapsed="false">
      <c r="A815" s="37" t="s">
        <v>3530</v>
      </c>
      <c r="B815" s="37" t="s">
        <v>485</v>
      </c>
      <c r="C815" s="37" t="s">
        <v>4834</v>
      </c>
      <c r="D815" s="37" t="s">
        <v>4835</v>
      </c>
      <c r="E815" s="37"/>
      <c r="F815" s="37" t="s">
        <v>4836</v>
      </c>
      <c r="G815" s="37"/>
      <c r="H815" s="54" t="s">
        <v>3531</v>
      </c>
      <c r="I815" s="37"/>
    </row>
    <row r="816" customFormat="false" ht="15" hidden="false" customHeight="true" outlineLevel="0" collapsed="false">
      <c r="A816" s="37" t="s">
        <v>3533</v>
      </c>
      <c r="B816" s="37" t="s">
        <v>485</v>
      </c>
      <c r="C816" s="37" t="s">
        <v>4834</v>
      </c>
      <c r="D816" s="37" t="s">
        <v>4835</v>
      </c>
      <c r="E816" s="37"/>
      <c r="F816" s="37" t="s">
        <v>4836</v>
      </c>
      <c r="G816" s="37"/>
      <c r="H816" s="54" t="s">
        <v>3534</v>
      </c>
      <c r="I816" s="37"/>
    </row>
    <row r="817" customFormat="false" ht="15" hidden="false" customHeight="true" outlineLevel="0" collapsed="false">
      <c r="A817" s="37" t="s">
        <v>3554</v>
      </c>
      <c r="B817" s="37" t="s">
        <v>485</v>
      </c>
      <c r="C817" s="37" t="s">
        <v>4834</v>
      </c>
      <c r="D817" s="37" t="s">
        <v>4835</v>
      </c>
      <c r="E817" s="37"/>
      <c r="F817" s="37" t="s">
        <v>4842</v>
      </c>
      <c r="G817" s="37"/>
      <c r="H817" s="54" t="s">
        <v>3555</v>
      </c>
      <c r="I817" s="37"/>
    </row>
    <row r="818" customFormat="false" ht="15" hidden="false" customHeight="true" outlineLevel="0" collapsed="false">
      <c r="A818" s="37" t="s">
        <v>3563</v>
      </c>
      <c r="B818" s="37" t="s">
        <v>485</v>
      </c>
      <c r="C818" s="37" t="s">
        <v>4834</v>
      </c>
      <c r="D818" s="37" t="s">
        <v>4835</v>
      </c>
      <c r="E818" s="37"/>
      <c r="F818" s="37" t="s">
        <v>4836</v>
      </c>
      <c r="G818" s="37"/>
      <c r="H818" s="54" t="s">
        <v>3564</v>
      </c>
      <c r="I818" s="37"/>
    </row>
    <row r="819" customFormat="false" ht="15" hidden="false" customHeight="true" outlineLevel="0" collapsed="false">
      <c r="A819" s="37" t="s">
        <v>3569</v>
      </c>
      <c r="B819" s="37" t="s">
        <v>485</v>
      </c>
      <c r="C819" s="37" t="s">
        <v>4866</v>
      </c>
      <c r="D819" s="37" t="s">
        <v>4867</v>
      </c>
      <c r="E819" s="37"/>
      <c r="F819" s="37" t="s">
        <v>4884</v>
      </c>
      <c r="G819" s="37"/>
      <c r="H819" s="54" t="s">
        <v>3570</v>
      </c>
      <c r="I819" s="37"/>
    </row>
    <row r="820" customFormat="false" ht="15" hidden="false" customHeight="true" outlineLevel="0" collapsed="false">
      <c r="A820" s="37" t="s">
        <v>3575</v>
      </c>
      <c r="B820" s="37" t="s">
        <v>485</v>
      </c>
      <c r="C820" s="37" t="s">
        <v>4866</v>
      </c>
      <c r="D820" s="37" t="s">
        <v>4867</v>
      </c>
      <c r="E820" s="37"/>
      <c r="F820" s="37" t="s">
        <v>4884</v>
      </c>
      <c r="G820" s="37"/>
      <c r="H820" s="54" t="s">
        <v>3576</v>
      </c>
      <c r="I820" s="37"/>
    </row>
    <row r="821" customFormat="false" ht="15" hidden="false" customHeight="true" outlineLevel="0" collapsed="false">
      <c r="A821" s="37" t="s">
        <v>3581</v>
      </c>
      <c r="B821" s="37" t="s">
        <v>485</v>
      </c>
      <c r="C821" s="37" t="s">
        <v>4874</v>
      </c>
      <c r="D821" s="37" t="s">
        <v>4875</v>
      </c>
      <c r="E821" s="37"/>
      <c r="F821" s="37" t="s">
        <v>4886</v>
      </c>
      <c r="G821" s="37"/>
      <c r="H821" s="54" t="s">
        <v>3582</v>
      </c>
      <c r="I821" s="37"/>
    </row>
    <row r="822" customFormat="false" ht="15" hidden="false" customHeight="true" outlineLevel="0" collapsed="false">
      <c r="A822" s="37" t="s">
        <v>3581</v>
      </c>
      <c r="B822" s="37" t="s">
        <v>485</v>
      </c>
      <c r="C822" s="37" t="s">
        <v>4834</v>
      </c>
      <c r="D822" s="37" t="s">
        <v>4835</v>
      </c>
      <c r="E822" s="37"/>
      <c r="F822" s="37" t="s">
        <v>4836</v>
      </c>
      <c r="G822" s="37"/>
      <c r="H822" s="54" t="s">
        <v>3582</v>
      </c>
      <c r="I822" s="37"/>
    </row>
    <row r="823" customFormat="false" ht="15" hidden="false" customHeight="true" outlineLevel="0" collapsed="false">
      <c r="A823" s="37" t="s">
        <v>3584</v>
      </c>
      <c r="B823" s="37" t="s">
        <v>485</v>
      </c>
      <c r="C823" s="37" t="s">
        <v>4834</v>
      </c>
      <c r="D823" s="37" t="s">
        <v>4835</v>
      </c>
      <c r="E823" s="37"/>
      <c r="F823" s="37" t="s">
        <v>4836</v>
      </c>
      <c r="G823" s="37"/>
      <c r="H823" s="54" t="s">
        <v>3585</v>
      </c>
      <c r="I823" s="37"/>
    </row>
    <row r="824" customFormat="false" ht="15" hidden="false" customHeight="true" outlineLevel="0" collapsed="false">
      <c r="A824" s="37" t="s">
        <v>3593</v>
      </c>
      <c r="B824" s="37" t="s">
        <v>485</v>
      </c>
      <c r="C824" s="37" t="s">
        <v>4834</v>
      </c>
      <c r="D824" s="37" t="s">
        <v>4835</v>
      </c>
      <c r="E824" s="37"/>
      <c r="F824" s="37" t="s">
        <v>4836</v>
      </c>
      <c r="G824" s="37"/>
      <c r="H824" s="54" t="s">
        <v>3594</v>
      </c>
      <c r="I824" s="37"/>
    </row>
    <row r="825" customFormat="false" ht="15" hidden="false" customHeight="true" outlineLevel="0" collapsed="false">
      <c r="A825" s="37" t="s">
        <v>3599</v>
      </c>
      <c r="B825" s="37" t="s">
        <v>485</v>
      </c>
      <c r="C825" s="37" t="s">
        <v>4834</v>
      </c>
      <c r="D825" s="37" t="s">
        <v>4835</v>
      </c>
      <c r="E825" s="37"/>
      <c r="F825" s="37" t="s">
        <v>4842</v>
      </c>
      <c r="G825" s="37"/>
      <c r="H825" s="54" t="s">
        <v>3600</v>
      </c>
      <c r="I825" s="37"/>
    </row>
    <row r="826" customFormat="false" ht="15" hidden="false" customHeight="true" outlineLevel="0" collapsed="false">
      <c r="A826" s="37" t="s">
        <v>3602</v>
      </c>
      <c r="B826" s="37" t="s">
        <v>485</v>
      </c>
      <c r="C826" s="37" t="s">
        <v>4834</v>
      </c>
      <c r="D826" s="37" t="s">
        <v>4835</v>
      </c>
      <c r="E826" s="37"/>
      <c r="F826" s="37" t="s">
        <v>4842</v>
      </c>
      <c r="G826" s="37"/>
      <c r="H826" s="54" t="s">
        <v>3603</v>
      </c>
      <c r="I826" s="37"/>
    </row>
    <row r="827" customFormat="false" ht="15" hidden="false" customHeight="true" outlineLevel="0" collapsed="false">
      <c r="A827" s="37" t="s">
        <v>3611</v>
      </c>
      <c r="B827" s="37" t="s">
        <v>485</v>
      </c>
      <c r="C827" s="37" t="s">
        <v>4866</v>
      </c>
      <c r="D827" s="37" t="s">
        <v>4867</v>
      </c>
      <c r="E827" s="37"/>
      <c r="F827" s="37" t="s">
        <v>4884</v>
      </c>
      <c r="G827" s="37"/>
      <c r="H827" s="54" t="s">
        <v>3612</v>
      </c>
      <c r="I827" s="37"/>
    </row>
    <row r="828" customFormat="false" ht="15" hidden="false" customHeight="true" outlineLevel="0" collapsed="false">
      <c r="A828" s="37" t="s">
        <v>3614</v>
      </c>
      <c r="B828" s="37" t="s">
        <v>485</v>
      </c>
      <c r="C828" s="37" t="s">
        <v>4834</v>
      </c>
      <c r="D828" s="37" t="s">
        <v>4835</v>
      </c>
      <c r="E828" s="37"/>
      <c r="F828" s="37" t="s">
        <v>4836</v>
      </c>
      <c r="G828" s="37"/>
      <c r="H828" s="54" t="s">
        <v>3615</v>
      </c>
      <c r="I828" s="37"/>
    </row>
    <row r="829" customFormat="false" ht="15" hidden="false" customHeight="true" outlineLevel="0" collapsed="false">
      <c r="A829" s="37" t="s">
        <v>3623</v>
      </c>
      <c r="B829" s="37" t="s">
        <v>485</v>
      </c>
      <c r="C829" s="37" t="s">
        <v>4834</v>
      </c>
      <c r="D829" s="37" t="s">
        <v>4835</v>
      </c>
      <c r="E829" s="37"/>
      <c r="F829" s="37" t="s">
        <v>4842</v>
      </c>
      <c r="G829" s="37"/>
      <c r="H829" s="37" t="s">
        <v>3624</v>
      </c>
      <c r="I829" s="37"/>
    </row>
    <row r="830" customFormat="false" ht="15" hidden="false" customHeight="true" outlineLevel="0" collapsed="false">
      <c r="A830" s="37" t="s">
        <v>3626</v>
      </c>
      <c r="B830" s="37" t="s">
        <v>485</v>
      </c>
      <c r="C830" s="37" t="s">
        <v>4834</v>
      </c>
      <c r="D830" s="37" t="s">
        <v>4835</v>
      </c>
      <c r="E830" s="37"/>
      <c r="F830" s="37" t="s">
        <v>4842</v>
      </c>
      <c r="G830" s="37"/>
      <c r="H830" s="54" t="s">
        <v>3627</v>
      </c>
      <c r="I830" s="37"/>
    </row>
    <row r="831" customFormat="false" ht="15" hidden="false" customHeight="true" outlineLevel="0" collapsed="false">
      <c r="A831" s="37" t="s">
        <v>3632</v>
      </c>
      <c r="B831" s="37" t="s">
        <v>485</v>
      </c>
      <c r="C831" s="37" t="s">
        <v>4834</v>
      </c>
      <c r="D831" s="37" t="s">
        <v>4835</v>
      </c>
      <c r="E831" s="37"/>
      <c r="F831" s="37" t="s">
        <v>4836</v>
      </c>
      <c r="G831" s="37"/>
      <c r="H831" s="54" t="s">
        <v>3633</v>
      </c>
      <c r="I831" s="54" t="s">
        <v>5047</v>
      </c>
    </row>
    <row r="832" customFormat="false" ht="15" hidden="false" customHeight="true" outlineLevel="0" collapsed="false">
      <c r="A832" s="37" t="s">
        <v>3635</v>
      </c>
      <c r="B832" s="37" t="s">
        <v>485</v>
      </c>
      <c r="C832" s="37" t="s">
        <v>4834</v>
      </c>
      <c r="D832" s="37" t="s">
        <v>4835</v>
      </c>
      <c r="E832" s="37"/>
      <c r="F832" s="37" t="s">
        <v>4842</v>
      </c>
      <c r="G832" s="37"/>
      <c r="H832" s="54" t="s">
        <v>3636</v>
      </c>
      <c r="I832" s="37"/>
    </row>
    <row r="833" customFormat="false" ht="15" hidden="false" customHeight="true" outlineLevel="0" collapsed="false">
      <c r="A833" s="37" t="s">
        <v>3638</v>
      </c>
      <c r="B833" s="37" t="s">
        <v>485</v>
      </c>
      <c r="C833" s="37" t="s">
        <v>4834</v>
      </c>
      <c r="D833" s="37" t="s">
        <v>4835</v>
      </c>
      <c r="E833" s="37"/>
      <c r="F833" s="37" t="s">
        <v>4836</v>
      </c>
      <c r="G833" s="37"/>
      <c r="H833" s="54" t="s">
        <v>3639</v>
      </c>
      <c r="I833" s="37"/>
    </row>
    <row r="834" customFormat="false" ht="15" hidden="false" customHeight="true" outlineLevel="0" collapsed="false">
      <c r="A834" s="37" t="s">
        <v>3641</v>
      </c>
      <c r="B834" s="37" t="s">
        <v>485</v>
      </c>
      <c r="C834" s="37" t="s">
        <v>4866</v>
      </c>
      <c r="D834" s="37" t="s">
        <v>4867</v>
      </c>
      <c r="E834" s="37"/>
      <c r="F834" s="37" t="s">
        <v>4884</v>
      </c>
      <c r="G834" s="37"/>
      <c r="H834" s="54" t="s">
        <v>3642</v>
      </c>
      <c r="I834" s="37"/>
    </row>
    <row r="835" customFormat="false" ht="15" hidden="false" customHeight="true" outlineLevel="0" collapsed="false">
      <c r="A835" s="37" t="s">
        <v>3644</v>
      </c>
      <c r="B835" s="37" t="s">
        <v>485</v>
      </c>
      <c r="C835" s="37" t="s">
        <v>4834</v>
      </c>
      <c r="D835" s="37" t="s">
        <v>4835</v>
      </c>
      <c r="E835" s="37"/>
      <c r="F835" s="37" t="s">
        <v>4836</v>
      </c>
      <c r="G835" s="37"/>
      <c r="H835" s="54" t="s">
        <v>3645</v>
      </c>
      <c r="I835" s="37"/>
    </row>
    <row r="836" customFormat="false" ht="15" hidden="false" customHeight="true" outlineLevel="0" collapsed="false">
      <c r="A836" s="37" t="s">
        <v>3653</v>
      </c>
      <c r="B836" s="37" t="s">
        <v>485</v>
      </c>
      <c r="C836" s="37" t="s">
        <v>4834</v>
      </c>
      <c r="D836" s="37" t="s">
        <v>4835</v>
      </c>
      <c r="E836" s="37"/>
      <c r="F836" s="37" t="s">
        <v>4836</v>
      </c>
      <c r="G836" s="37"/>
      <c r="H836" s="54" t="s">
        <v>3654</v>
      </c>
      <c r="I836" s="37"/>
    </row>
    <row r="837" customFormat="false" ht="15" hidden="false" customHeight="true" outlineLevel="0" collapsed="false">
      <c r="A837" s="37" t="s">
        <v>3671</v>
      </c>
      <c r="B837" s="37" t="s">
        <v>485</v>
      </c>
      <c r="C837" s="37" t="s">
        <v>4866</v>
      </c>
      <c r="D837" s="37" t="s">
        <v>4867</v>
      </c>
      <c r="E837" s="37"/>
      <c r="F837" s="37" t="s">
        <v>4885</v>
      </c>
      <c r="G837" s="37"/>
      <c r="H837" s="54" t="s">
        <v>3672</v>
      </c>
      <c r="I837" s="37"/>
    </row>
    <row r="838" customFormat="false" ht="15" hidden="false" customHeight="true" outlineLevel="0" collapsed="false">
      <c r="A838" s="37" t="s">
        <v>3674</v>
      </c>
      <c r="B838" s="37" t="s">
        <v>485</v>
      </c>
      <c r="C838" s="37" t="s">
        <v>4834</v>
      </c>
      <c r="D838" s="37" t="s">
        <v>4835</v>
      </c>
      <c r="E838" s="37"/>
      <c r="F838" s="37" t="s">
        <v>4842</v>
      </c>
      <c r="G838" s="37"/>
      <c r="H838" s="54" t="s">
        <v>3675</v>
      </c>
      <c r="I838" s="37"/>
    </row>
    <row r="839" customFormat="false" ht="15" hidden="false" customHeight="true" outlineLevel="0" collapsed="false">
      <c r="A839" s="37" t="s">
        <v>3683</v>
      </c>
      <c r="B839" s="37" t="s">
        <v>485</v>
      </c>
      <c r="C839" s="37" t="s">
        <v>4834</v>
      </c>
      <c r="D839" s="37" t="s">
        <v>4835</v>
      </c>
      <c r="E839" s="37"/>
      <c r="F839" s="37" t="s">
        <v>4836</v>
      </c>
      <c r="G839" s="37"/>
      <c r="H839" s="54" t="s">
        <v>3684</v>
      </c>
      <c r="I839" s="37"/>
    </row>
    <row r="840" customFormat="false" ht="15" hidden="false" customHeight="true" outlineLevel="0" collapsed="false">
      <c r="A840" s="37" t="s">
        <v>3686</v>
      </c>
      <c r="B840" s="37" t="s">
        <v>485</v>
      </c>
      <c r="C840" s="37" t="s">
        <v>4834</v>
      </c>
      <c r="D840" s="37" t="s">
        <v>4835</v>
      </c>
      <c r="E840" s="37"/>
      <c r="F840" s="37" t="s">
        <v>4842</v>
      </c>
      <c r="G840" s="37"/>
      <c r="H840" s="54" t="s">
        <v>3687</v>
      </c>
      <c r="I840" s="37"/>
    </row>
    <row r="841" customFormat="false" ht="15" hidden="false" customHeight="true" outlineLevel="0" collapsed="false">
      <c r="A841" s="37" t="s">
        <v>3692</v>
      </c>
      <c r="B841" s="37" t="s">
        <v>485</v>
      </c>
      <c r="C841" s="37" t="s">
        <v>4874</v>
      </c>
      <c r="D841" s="37" t="s">
        <v>4875</v>
      </c>
      <c r="E841" s="37"/>
      <c r="F841" s="37" t="s">
        <v>4886</v>
      </c>
      <c r="G841" s="37"/>
      <c r="H841" s="54" t="s">
        <v>3693</v>
      </c>
      <c r="I841" s="37"/>
    </row>
    <row r="842" customFormat="false" ht="15" hidden="false" customHeight="true" outlineLevel="0" collapsed="false">
      <c r="A842" s="37" t="s">
        <v>3698</v>
      </c>
      <c r="B842" s="37" t="s">
        <v>485</v>
      </c>
      <c r="C842" s="37" t="s">
        <v>4834</v>
      </c>
      <c r="D842" s="37" t="s">
        <v>4835</v>
      </c>
      <c r="E842" s="37"/>
      <c r="F842" s="37" t="s">
        <v>4842</v>
      </c>
      <c r="G842" s="37"/>
      <c r="H842" s="54" t="s">
        <v>3699</v>
      </c>
      <c r="I842" s="37"/>
    </row>
    <row r="843" customFormat="false" ht="15" hidden="false" customHeight="true" outlineLevel="0" collapsed="false">
      <c r="A843" s="37" t="s">
        <v>3717</v>
      </c>
      <c r="B843" s="37" t="s">
        <v>485</v>
      </c>
      <c r="C843" s="37" t="s">
        <v>4834</v>
      </c>
      <c r="D843" s="37" t="s">
        <v>4835</v>
      </c>
      <c r="E843" s="37"/>
      <c r="F843" s="37" t="s">
        <v>4842</v>
      </c>
      <c r="G843" s="37"/>
      <c r="H843" s="54" t="s">
        <v>3718</v>
      </c>
      <c r="I843" s="37"/>
    </row>
    <row r="844" customFormat="false" ht="15" hidden="false" customHeight="true" outlineLevel="0" collapsed="false">
      <c r="A844" s="37" t="s">
        <v>3723</v>
      </c>
      <c r="B844" s="37" t="s">
        <v>485</v>
      </c>
      <c r="C844" s="37" t="s">
        <v>4834</v>
      </c>
      <c r="D844" s="37" t="s">
        <v>4835</v>
      </c>
      <c r="E844" s="37"/>
      <c r="F844" s="37" t="s">
        <v>4842</v>
      </c>
      <c r="G844" s="37"/>
      <c r="H844" s="37" t="s">
        <v>3724</v>
      </c>
      <c r="I844" s="37"/>
    </row>
    <row r="845" customFormat="false" ht="15" hidden="false" customHeight="true" outlineLevel="0" collapsed="false">
      <c r="A845" s="37" t="s">
        <v>3738</v>
      </c>
      <c r="B845" s="37" t="s">
        <v>485</v>
      </c>
      <c r="C845" s="37" t="s">
        <v>4874</v>
      </c>
      <c r="D845" s="37" t="s">
        <v>4889</v>
      </c>
      <c r="E845" s="37"/>
      <c r="F845" s="37" t="s">
        <v>4914</v>
      </c>
      <c r="G845" s="37"/>
      <c r="H845" s="37" t="s">
        <v>3739</v>
      </c>
      <c r="I845" s="37"/>
    </row>
    <row r="846" customFormat="false" ht="15" hidden="false" customHeight="true" outlineLevel="0" collapsed="false">
      <c r="A846" s="37" t="s">
        <v>3738</v>
      </c>
      <c r="B846" s="37" t="s">
        <v>485</v>
      </c>
      <c r="C846" s="37" t="s">
        <v>4834</v>
      </c>
      <c r="D846" s="37" t="s">
        <v>4858</v>
      </c>
      <c r="E846" s="37"/>
      <c r="F846" s="37" t="s">
        <v>4842</v>
      </c>
      <c r="G846" s="37"/>
      <c r="H846" s="37" t="s">
        <v>3739</v>
      </c>
      <c r="I846" s="37"/>
    </row>
    <row r="847" customFormat="false" ht="15" hidden="false" customHeight="true" outlineLevel="0" collapsed="false">
      <c r="A847" s="37" t="s">
        <v>3750</v>
      </c>
      <c r="B847" s="37" t="s">
        <v>485</v>
      </c>
      <c r="C847" s="37" t="s">
        <v>4866</v>
      </c>
      <c r="D847" s="37" t="s">
        <v>4867</v>
      </c>
      <c r="E847" s="37"/>
      <c r="F847" s="37" t="s">
        <v>4885</v>
      </c>
      <c r="G847" s="37"/>
      <c r="H847" s="54" t="s">
        <v>5048</v>
      </c>
      <c r="I847" s="37"/>
    </row>
    <row r="848" customFormat="false" ht="15" hidden="false" customHeight="true" outlineLevel="0" collapsed="false">
      <c r="A848" s="37" t="s">
        <v>3753</v>
      </c>
      <c r="B848" s="37" t="s">
        <v>485</v>
      </c>
      <c r="C848" s="37" t="s">
        <v>4834</v>
      </c>
      <c r="D848" s="37" t="s">
        <v>4835</v>
      </c>
      <c r="E848" s="37"/>
      <c r="F848" s="37" t="s">
        <v>4842</v>
      </c>
      <c r="G848" s="37"/>
      <c r="H848" s="54" t="s">
        <v>3754</v>
      </c>
      <c r="I848" s="37"/>
    </row>
    <row r="849" customFormat="false" ht="15" hidden="false" customHeight="true" outlineLevel="0" collapsed="false">
      <c r="A849" s="37" t="s">
        <v>3775</v>
      </c>
      <c r="B849" s="37" t="s">
        <v>485</v>
      </c>
      <c r="C849" s="37" t="s">
        <v>4874</v>
      </c>
      <c r="D849" s="37" t="s">
        <v>4875</v>
      </c>
      <c r="E849" s="37"/>
      <c r="F849" s="37" t="s">
        <v>4884</v>
      </c>
      <c r="G849" s="37"/>
      <c r="H849" s="54" t="s">
        <v>5049</v>
      </c>
      <c r="I849" s="37"/>
    </row>
    <row r="851" customFormat="false" ht="15" hidden="false" customHeight="true" outlineLevel="0" collapsed="false">
      <c r="A851" s="15" t="s">
        <v>5050</v>
      </c>
    </row>
    <row r="852" customFormat="false" ht="15" hidden="false" customHeight="true" outlineLevel="0" collapsed="false">
      <c r="A852" s="15" t="s">
        <v>360</v>
      </c>
      <c r="B852" s="55" t="s">
        <v>4874</v>
      </c>
      <c r="C852" s="55" t="s">
        <v>4866</v>
      </c>
      <c r="D852" s="55" t="s">
        <v>4834</v>
      </c>
      <c r="E852" s="55" t="s">
        <v>4931</v>
      </c>
      <c r="F852" s="55" t="s">
        <v>5051</v>
      </c>
      <c r="G852" s="30" t="s">
        <v>5052</v>
      </c>
    </row>
    <row r="853" customFormat="false" ht="15" hidden="false" customHeight="true" outlineLevel="0" collapsed="false">
      <c r="A853" s="6" t="s">
        <v>373</v>
      </c>
      <c r="B853" s="37" t="n">
        <f aca="false">COUNTIFS($B$2:$B$849,$A853,$C$2:$C$849,B$852)</f>
        <v>1</v>
      </c>
      <c r="C853" s="37" t="n">
        <f aca="false">COUNTIFS($B$2:$B$849,$A853,$C$2:$C$849,C$852)</f>
        <v>1</v>
      </c>
      <c r="D853" s="37" t="n">
        <f aca="false">COUNTIFS($B$2:$B$849,$A853,$C$2:$C$849,D$852)</f>
        <v>69</v>
      </c>
      <c r="E853" s="37" t="n">
        <f aca="false">COUNTIFS($B$2:$B$849,$A853,$C$2:$C$849,E$852)</f>
        <v>0</v>
      </c>
      <c r="F853" s="37" t="n">
        <f aca="false">COUNTIFS($B$2:$B$849,$A853,$C$2:$C$849,F$852)</f>
        <v>0</v>
      </c>
      <c r="G853" s="37" t="n">
        <f aca="false">SUM(B853:F853)</f>
        <v>71</v>
      </c>
    </row>
    <row r="854" customFormat="false" ht="15" hidden="false" customHeight="true" outlineLevel="0" collapsed="false">
      <c r="A854" s="6" t="s">
        <v>383</v>
      </c>
      <c r="B854" s="37" t="n">
        <f aca="false">COUNTIFS($B$2:$B$849,$A854,$C$2:$C$849,B$852)</f>
        <v>19</v>
      </c>
      <c r="C854" s="37" t="n">
        <f aca="false">COUNTIFS($B$2:$B$849,$A854,$C$2:$C$849,C$852)</f>
        <v>28</v>
      </c>
      <c r="D854" s="37" t="n">
        <f aca="false">COUNTIFS($B$2:$B$849,$A854,$C$2:$C$849,D$852)</f>
        <v>44</v>
      </c>
      <c r="E854" s="37" t="n">
        <f aca="false">COUNTIFS($B$2:$B$849,$A854,$C$2:$C$849,E$852)</f>
        <v>0</v>
      </c>
      <c r="F854" s="37" t="n">
        <f aca="false">COUNTIFS($B$2:$B$849,$A854,$C$2:$C$849,F$852)</f>
        <v>0</v>
      </c>
      <c r="G854" s="37" t="n">
        <f aca="false">SUM(B854:F854)</f>
        <v>91</v>
      </c>
    </row>
    <row r="855" customFormat="false" ht="15" hidden="false" customHeight="true" outlineLevel="0" collapsed="false">
      <c r="A855" s="6" t="s">
        <v>390</v>
      </c>
      <c r="B855" s="37" t="n">
        <f aca="false">COUNTIFS($B$2:$B$849,$A855,$C$2:$C$849,B$852)</f>
        <v>5</v>
      </c>
      <c r="C855" s="37" t="n">
        <f aca="false">COUNTIFS($B$2:$B$849,$A855,$C$2:$C$849,C$852)</f>
        <v>3</v>
      </c>
      <c r="D855" s="37" t="n">
        <f aca="false">COUNTIFS($B$2:$B$849,$A855,$C$2:$C$849,D$852)</f>
        <v>10</v>
      </c>
      <c r="E855" s="37" t="n">
        <f aca="false">COUNTIFS($B$2:$B$849,$A855,$C$2:$C$849,E$852)</f>
        <v>0</v>
      </c>
      <c r="F855" s="37" t="n">
        <f aca="false">COUNTIFS($B$2:$B$849,$A855,$C$2:$C$849,F$852)</f>
        <v>0</v>
      </c>
      <c r="G855" s="37" t="n">
        <f aca="false">SUM(B855:F855)</f>
        <v>18</v>
      </c>
    </row>
    <row r="856" customFormat="false" ht="15" hidden="false" customHeight="true" outlineLevel="0" collapsed="false">
      <c r="A856" s="6" t="s">
        <v>396</v>
      </c>
      <c r="B856" s="37" t="n">
        <f aca="false">COUNTIFS($B$2:$B$849,$A856,$C$2:$C$849,B$852)</f>
        <v>7</v>
      </c>
      <c r="C856" s="37" t="n">
        <f aca="false">COUNTIFS($B$2:$B$849,$A856,$C$2:$C$849,C$852)</f>
        <v>2</v>
      </c>
      <c r="D856" s="37" t="n">
        <f aca="false">COUNTIFS($B$2:$B$849,$A856,$C$2:$C$849,D$852)</f>
        <v>31</v>
      </c>
      <c r="E856" s="37" t="n">
        <f aca="false">COUNTIFS($B$2:$B$849,$A856,$C$2:$C$849,E$852)</f>
        <v>0</v>
      </c>
      <c r="F856" s="37" t="n">
        <f aca="false">COUNTIFS($B$2:$B$849,$A856,$C$2:$C$849,F$852)</f>
        <v>0</v>
      </c>
      <c r="G856" s="37" t="n">
        <f aca="false">SUM(B856:F856)</f>
        <v>40</v>
      </c>
    </row>
    <row r="857" customFormat="false" ht="15" hidden="false" customHeight="true" outlineLevel="0" collapsed="false">
      <c r="A857" s="6" t="s">
        <v>403</v>
      </c>
      <c r="B857" s="37" t="n">
        <f aca="false">COUNTIFS($B$2:$B$849,$A857,$C$2:$C$849,B$852)</f>
        <v>3</v>
      </c>
      <c r="C857" s="37" t="n">
        <f aca="false">COUNTIFS($B$2:$B$849,$A857,$C$2:$C$849,C$852)</f>
        <v>2</v>
      </c>
      <c r="D857" s="37" t="n">
        <f aca="false">COUNTIFS($B$2:$B$849,$A857,$C$2:$C$849,D$852)</f>
        <v>17</v>
      </c>
      <c r="E857" s="37" t="n">
        <f aca="false">COUNTIFS($B$2:$B$849,$A857,$C$2:$C$849,E$852)</f>
        <v>0</v>
      </c>
      <c r="F857" s="37" t="n">
        <f aca="false">COUNTIFS($B$2:$B$849,$A857,$C$2:$C$849,F$852)</f>
        <v>0</v>
      </c>
      <c r="G857" s="37" t="n">
        <f aca="false">SUM(B857:F857)</f>
        <v>22</v>
      </c>
    </row>
    <row r="858" customFormat="false" ht="15" hidden="false" customHeight="true" outlineLevel="0" collapsed="false">
      <c r="A858" s="6" t="s">
        <v>412</v>
      </c>
      <c r="B858" s="37" t="n">
        <f aca="false">COUNTIFS($B$2:$B$849,$A858,$C$2:$C$849,B$852)</f>
        <v>4</v>
      </c>
      <c r="C858" s="37" t="n">
        <f aca="false">COUNTIFS($B$2:$B$849,$A858,$C$2:$C$849,C$852)</f>
        <v>0</v>
      </c>
      <c r="D858" s="37" t="n">
        <f aca="false">COUNTIFS($B$2:$B$849,$A858,$C$2:$C$849,D$852)</f>
        <v>29</v>
      </c>
      <c r="E858" s="37" t="n">
        <f aca="false">COUNTIFS($B$2:$B$849,$A858,$C$2:$C$849,E$852)</f>
        <v>1</v>
      </c>
      <c r="F858" s="37" t="n">
        <f aca="false">COUNTIFS($B$2:$B$849,$A858,$C$2:$C$849,F$852)</f>
        <v>0</v>
      </c>
      <c r="G858" s="37" t="n">
        <f aca="false">SUM(B858:F858)</f>
        <v>34</v>
      </c>
    </row>
    <row r="859" customFormat="false" ht="15" hidden="false" customHeight="true" outlineLevel="0" collapsed="false">
      <c r="A859" s="6" t="s">
        <v>418</v>
      </c>
      <c r="B859" s="37" t="n">
        <f aca="false">COUNTIFS($B$2:$B$849,$A859,$C$2:$C$849,B$852)</f>
        <v>0</v>
      </c>
      <c r="C859" s="37" t="n">
        <f aca="false">COUNTIFS($B$2:$B$849,$A859,$C$2:$C$849,C$852)</f>
        <v>1</v>
      </c>
      <c r="D859" s="37" t="n">
        <f aca="false">COUNTIFS($B$2:$B$849,$A859,$C$2:$C$849,D$852)</f>
        <v>7</v>
      </c>
      <c r="E859" s="37" t="n">
        <f aca="false">COUNTIFS($B$2:$B$849,$A859,$C$2:$C$849,E$852)</f>
        <v>0</v>
      </c>
      <c r="F859" s="37" t="n">
        <f aca="false">COUNTIFS($B$2:$B$849,$A859,$C$2:$C$849,F$852)</f>
        <v>0</v>
      </c>
      <c r="G859" s="37" t="n">
        <f aca="false">SUM(B859:F859)</f>
        <v>8</v>
      </c>
    </row>
    <row r="860" customFormat="false" ht="15" hidden="false" customHeight="true" outlineLevel="0" collapsed="false">
      <c r="A860" s="6" t="s">
        <v>427</v>
      </c>
      <c r="B860" s="37" t="n">
        <f aca="false">COUNTIFS($B$2:$B$849,$A860,$C$2:$C$849,B$852)</f>
        <v>5</v>
      </c>
      <c r="C860" s="37" t="n">
        <f aca="false">COUNTIFS($B$2:$B$849,$A860,$C$2:$C$849,C$852)</f>
        <v>6</v>
      </c>
      <c r="D860" s="37" t="n">
        <f aca="false">COUNTIFS($B$2:$B$849,$A860,$C$2:$C$849,D$852)</f>
        <v>42</v>
      </c>
      <c r="E860" s="37" t="n">
        <f aca="false">COUNTIFS($B$2:$B$849,$A860,$C$2:$C$849,E$852)</f>
        <v>0</v>
      </c>
      <c r="F860" s="37" t="n">
        <f aca="false">COUNTIFS($B$2:$B$849,$A860,$C$2:$C$849,F$852)</f>
        <v>0</v>
      </c>
      <c r="G860" s="37" t="n">
        <f aca="false">SUM(B860:F860)</f>
        <v>53</v>
      </c>
    </row>
    <row r="861" customFormat="false" ht="15" hidden="false" customHeight="true" outlineLevel="0" collapsed="false">
      <c r="A861" s="6" t="s">
        <v>434</v>
      </c>
      <c r="B861" s="37" t="n">
        <f aca="false">COUNTIFS($B$2:$B$849,$A861,$C$2:$C$849,B$852)</f>
        <v>11</v>
      </c>
      <c r="C861" s="37" t="n">
        <f aca="false">COUNTIFS($B$2:$B$849,$A861,$C$2:$C$849,C$852)</f>
        <v>0</v>
      </c>
      <c r="D861" s="37" t="n">
        <f aca="false">COUNTIFS($B$2:$B$849,$A861,$C$2:$C$849,D$852)</f>
        <v>14</v>
      </c>
      <c r="E861" s="37" t="n">
        <f aca="false">COUNTIFS($B$2:$B$849,$A861,$C$2:$C$849,E$852)</f>
        <v>2</v>
      </c>
      <c r="F861" s="37" t="n">
        <f aca="false">COUNTIFS($B$2:$B$849,$A861,$C$2:$C$849,F$852)</f>
        <v>0</v>
      </c>
      <c r="G861" s="37" t="n">
        <f aca="false">SUM(B861:F861)</f>
        <v>27</v>
      </c>
    </row>
    <row r="862" customFormat="false" ht="15" hidden="false" customHeight="true" outlineLevel="0" collapsed="false">
      <c r="A862" s="6" t="s">
        <v>440</v>
      </c>
      <c r="B862" s="37" t="n">
        <f aca="false">COUNTIFS($B$2:$B$849,$A862,$C$2:$C$849,B$852)</f>
        <v>10</v>
      </c>
      <c r="C862" s="37" t="n">
        <f aca="false">COUNTIFS($B$2:$B$849,$A862,$C$2:$C$849,C$852)</f>
        <v>7</v>
      </c>
      <c r="D862" s="37" t="n">
        <f aca="false">COUNTIFS($B$2:$B$849,$A862,$C$2:$C$849,D$852)</f>
        <v>24</v>
      </c>
      <c r="E862" s="37" t="n">
        <f aca="false">COUNTIFS($B$2:$B$849,$A862,$C$2:$C$849,E$852)</f>
        <v>0</v>
      </c>
      <c r="F862" s="37" t="n">
        <f aca="false">COUNTIFS($B$2:$B$849,$A862,$C$2:$C$849,F$852)</f>
        <v>0</v>
      </c>
      <c r="G862" s="37" t="n">
        <f aca="false">SUM(B862:F862)</f>
        <v>41</v>
      </c>
    </row>
    <row r="863" customFormat="false" ht="15" hidden="false" customHeight="true" outlineLevel="0" collapsed="false">
      <c r="A863" s="6" t="s">
        <v>448</v>
      </c>
      <c r="B863" s="37" t="n">
        <f aca="false">COUNTIFS($B$2:$B$849,$A863,$C$2:$C$849,B$852)</f>
        <v>3</v>
      </c>
      <c r="C863" s="37" t="n">
        <f aca="false">COUNTIFS($B$2:$B$849,$A863,$C$2:$C$849,C$852)</f>
        <v>23</v>
      </c>
      <c r="D863" s="37" t="n">
        <f aca="false">COUNTIFS($B$2:$B$849,$A863,$C$2:$C$849,D$852)</f>
        <v>21</v>
      </c>
      <c r="E863" s="37" t="n">
        <f aca="false">COUNTIFS($B$2:$B$849,$A863,$C$2:$C$849,E$852)</f>
        <v>0</v>
      </c>
      <c r="F863" s="37" t="n">
        <f aca="false">COUNTIFS($B$2:$B$849,$A863,$C$2:$C$849,F$852)</f>
        <v>0</v>
      </c>
      <c r="G863" s="37" t="n">
        <f aca="false">SUM(B863:F863)</f>
        <v>47</v>
      </c>
    </row>
    <row r="864" customFormat="false" ht="15" hidden="false" customHeight="true" outlineLevel="0" collapsed="false">
      <c r="A864" s="6" t="s">
        <v>456</v>
      </c>
      <c r="B864" s="37" t="n">
        <f aca="false">COUNTIFS($B$2:$B$849,$A864,$C$2:$C$849,B$852)</f>
        <v>2</v>
      </c>
      <c r="C864" s="37" t="n">
        <f aca="false">COUNTIFS($B$2:$B$849,$A864,$C$2:$C$849,C$852)</f>
        <v>9</v>
      </c>
      <c r="D864" s="37" t="n">
        <f aca="false">COUNTIFS($B$2:$B$849,$A864,$C$2:$C$849,D$852)</f>
        <v>23</v>
      </c>
      <c r="E864" s="37" t="n">
        <f aca="false">COUNTIFS($B$2:$B$849,$A864,$C$2:$C$849,E$852)</f>
        <v>0</v>
      </c>
      <c r="F864" s="37" t="n">
        <f aca="false">COUNTIFS($B$2:$B$849,$A864,$C$2:$C$849,F$852)</f>
        <v>0</v>
      </c>
      <c r="G864" s="37" t="n">
        <f aca="false">SUM(B864:F864)</f>
        <v>34</v>
      </c>
    </row>
    <row r="865" customFormat="false" ht="15" hidden="false" customHeight="true" outlineLevel="0" collapsed="false">
      <c r="A865" s="6" t="s">
        <v>463</v>
      </c>
      <c r="B865" s="37" t="n">
        <f aca="false">COUNTIFS($B$2:$B$849,$A865,$C$2:$C$849,B$852)</f>
        <v>10</v>
      </c>
      <c r="C865" s="37" t="n">
        <f aca="false">COUNTIFS($B$2:$B$849,$A865,$C$2:$C$849,C$852)</f>
        <v>0</v>
      </c>
      <c r="D865" s="37" t="n">
        <f aca="false">COUNTIFS($B$2:$B$849,$A865,$C$2:$C$849,D$852)</f>
        <v>104</v>
      </c>
      <c r="E865" s="37" t="n">
        <f aca="false">COUNTIFS($B$2:$B$849,$A865,$C$2:$C$849,E$852)</f>
        <v>2</v>
      </c>
      <c r="F865" s="37" t="n">
        <f aca="false">COUNTIFS($B$2:$B$849,$A865,$C$2:$C$849,F$852)</f>
        <v>0</v>
      </c>
      <c r="G865" s="37" t="n">
        <f aca="false">SUM(B865:F865)</f>
        <v>116</v>
      </c>
    </row>
    <row r="866" customFormat="false" ht="15" hidden="false" customHeight="true" outlineLevel="0" collapsed="false">
      <c r="A866" s="6" t="s">
        <v>469</v>
      </c>
      <c r="B866" s="37" t="n">
        <f aca="false">COUNTIFS($B$2:$B$849,$A866,$C$2:$C$849,B$852)</f>
        <v>1</v>
      </c>
      <c r="C866" s="37" t="n">
        <f aca="false">COUNTIFS($B$2:$B$849,$A866,$C$2:$C$849,C$852)</f>
        <v>18</v>
      </c>
      <c r="D866" s="37" t="n">
        <f aca="false">COUNTIFS($B$2:$B$849,$A866,$C$2:$C$849,D$852)</f>
        <v>3</v>
      </c>
      <c r="E866" s="37" t="n">
        <f aca="false">COUNTIFS($B$2:$B$849,$A866,$C$2:$C$849,E$852)</f>
        <v>0</v>
      </c>
      <c r="F866" s="37" t="n">
        <f aca="false">COUNTIFS($B$2:$B$849,$A866,$C$2:$C$849,F$852)</f>
        <v>0</v>
      </c>
      <c r="G866" s="37" t="n">
        <f aca="false">SUM(B866:F866)</f>
        <v>22</v>
      </c>
    </row>
    <row r="867" customFormat="false" ht="15" hidden="false" customHeight="true" outlineLevel="0" collapsed="false">
      <c r="A867" s="6" t="s">
        <v>477</v>
      </c>
      <c r="B867" s="37" t="n">
        <f aca="false">COUNTIFS($B$2:$B$849,$A867,$C$2:$C$849,B$852)</f>
        <v>0</v>
      </c>
      <c r="C867" s="37" t="n">
        <f aca="false">COUNTIFS($B$2:$B$849,$A867,$C$2:$C$849,C$852)</f>
        <v>4</v>
      </c>
      <c r="D867" s="37" t="n">
        <f aca="false">COUNTIFS($B$2:$B$849,$A867,$C$2:$C$849,D$852)</f>
        <v>0</v>
      </c>
      <c r="E867" s="37" t="n">
        <f aca="false">COUNTIFS($B$2:$B$849,$A867,$C$2:$C$849,E$852)</f>
        <v>0</v>
      </c>
      <c r="F867" s="37" t="n">
        <f aca="false">COUNTIFS($B$2:$B$849,$A867,$C$2:$C$849,F$852)</f>
        <v>0</v>
      </c>
      <c r="G867" s="37" t="n">
        <f aca="false">SUM(B867:F867)</f>
        <v>4</v>
      </c>
    </row>
    <row r="868" customFormat="false" ht="15" hidden="false" customHeight="true" outlineLevel="0" collapsed="false">
      <c r="A868" s="6" t="s">
        <v>485</v>
      </c>
      <c r="B868" s="37" t="n">
        <f aca="false">COUNTIFS($B$2:$B$849,$A868,$C$2:$C$849,B$852)</f>
        <v>10</v>
      </c>
      <c r="C868" s="37" t="n">
        <f aca="false">COUNTIFS($B$2:$B$849,$A868,$C$2:$C$849,C$852)</f>
        <v>42</v>
      </c>
      <c r="D868" s="37" t="n">
        <f aca="false">COUNTIFS($B$2:$B$849,$A868,$C$2:$C$849,D$852)</f>
        <v>168</v>
      </c>
      <c r="E868" s="37" t="n">
        <f aca="false">COUNTIFS($B$2:$B$849,$A868,$C$2:$C$849,E$852)</f>
        <v>0</v>
      </c>
      <c r="F868" s="37" t="n">
        <f aca="false">COUNTIFS($B$2:$B$849,$A868,$C$2:$C$849,F$852)</f>
        <v>0</v>
      </c>
      <c r="G868" s="37" t="n">
        <f aca="false">SUM(B868:F868)</f>
        <v>220</v>
      </c>
    </row>
    <row r="869" customFormat="false" ht="15" hidden="false" customHeight="true" outlineLevel="0" collapsed="false">
      <c r="A869" s="15" t="s">
        <v>5052</v>
      </c>
      <c r="B869" s="37" t="n">
        <f aca="false">SUM(B853:B868)</f>
        <v>91</v>
      </c>
      <c r="C869" s="37" t="n">
        <f aca="false">SUM(C853:C868)</f>
        <v>146</v>
      </c>
      <c r="D869" s="37" t="n">
        <f aca="false">SUM(D853:D868)</f>
        <v>606</v>
      </c>
      <c r="E869" s="37" t="n">
        <f aca="false">SUM(E853:E868)</f>
        <v>5</v>
      </c>
      <c r="F869" s="37" t="n">
        <f aca="false">SUM(F853:F868)</f>
        <v>0</v>
      </c>
      <c r="G869" s="37" t="n">
        <f aca="false">SUM(G853:G868)</f>
        <v>848</v>
      </c>
    </row>
    <row r="871" customFormat="false" ht="15" hidden="false" customHeight="true" outlineLevel="0" collapsed="false">
      <c r="A871" s="15" t="s">
        <v>5053</v>
      </c>
    </row>
    <row r="872" customFormat="false" ht="15" hidden="false" customHeight="true" outlineLevel="0" collapsed="false">
      <c r="A872" s="6" t="s">
        <v>5054</v>
      </c>
    </row>
    <row r="873" customFormat="false" ht="15" hidden="false" customHeight="true" outlineLevel="0" collapsed="false">
      <c r="A873" s="6" t="s">
        <v>5055</v>
      </c>
    </row>
    <row r="874" customFormat="false" ht="15" hidden="false" customHeight="true" outlineLevel="0" collapsed="false">
      <c r="A874" s="6" t="s">
        <v>5056</v>
      </c>
    </row>
    <row r="875" customFormat="false" ht="15" hidden="false" customHeight="true" outlineLevel="0" collapsed="false">
      <c r="A875" s="6" t="s">
        <v>5057</v>
      </c>
    </row>
    <row r="876" customFormat="false" ht="15" hidden="false" customHeight="true" outlineLevel="0" collapsed="false">
      <c r="A876" s="9" t="s">
        <v>5058</v>
      </c>
    </row>
    <row r="877" customFormat="false" ht="15" hidden="false" customHeight="true" outlineLevel="0" collapsed="false">
      <c r="A877" s="9" t="s">
        <v>5059</v>
      </c>
    </row>
    <row r="879" customFormat="false" ht="15" hidden="false" customHeight="true" outlineLevel="0" collapsed="false">
      <c r="A879" s="15" t="s">
        <v>5060</v>
      </c>
    </row>
    <row r="880" customFormat="false" ht="15" hidden="false" customHeight="true" outlineLevel="0" collapsed="false">
      <c r="A880" s="6" t="s">
        <v>373</v>
      </c>
      <c r="B880" s="9" t="s">
        <v>5061</v>
      </c>
    </row>
    <row r="881" customFormat="false" ht="15" hidden="false" customHeight="true" outlineLevel="0" collapsed="false">
      <c r="A881" s="6" t="s">
        <v>383</v>
      </c>
      <c r="B881" s="9" t="s">
        <v>5062</v>
      </c>
    </row>
    <row r="882" customFormat="false" ht="15" hidden="false" customHeight="true" outlineLevel="0" collapsed="false">
      <c r="A882" s="6" t="s">
        <v>390</v>
      </c>
      <c r="B882" s="9" t="s">
        <v>5063</v>
      </c>
    </row>
    <row r="883" customFormat="false" ht="15" hidden="false" customHeight="true" outlineLevel="0" collapsed="false">
      <c r="A883" s="6" t="s">
        <v>396</v>
      </c>
      <c r="B883" s="9" t="s">
        <v>5064</v>
      </c>
    </row>
    <row r="884" customFormat="false" ht="15" hidden="false" customHeight="true" outlineLevel="0" collapsed="false">
      <c r="A884" s="6" t="s">
        <v>403</v>
      </c>
      <c r="B884" s="9" t="s">
        <v>5065</v>
      </c>
    </row>
    <row r="885" customFormat="false" ht="15" hidden="false" customHeight="true" outlineLevel="0" collapsed="false">
      <c r="A885" s="6" t="s">
        <v>412</v>
      </c>
      <c r="B885" s="9" t="s">
        <v>5066</v>
      </c>
    </row>
    <row r="886" customFormat="false" ht="15" hidden="false" customHeight="true" outlineLevel="0" collapsed="false">
      <c r="A886" s="6" t="s">
        <v>418</v>
      </c>
      <c r="B886" s="9" t="s">
        <v>5067</v>
      </c>
    </row>
    <row r="887" customFormat="false" ht="15" hidden="false" customHeight="true" outlineLevel="0" collapsed="false">
      <c r="A887" s="6" t="s">
        <v>427</v>
      </c>
      <c r="B887" s="9" t="s">
        <v>5068</v>
      </c>
    </row>
    <row r="888" customFormat="false" ht="15" hidden="false" customHeight="true" outlineLevel="0" collapsed="false">
      <c r="A888" s="6" t="s">
        <v>434</v>
      </c>
      <c r="B888" s="9" t="s">
        <v>5069</v>
      </c>
    </row>
    <row r="889" customFormat="false" ht="15" hidden="false" customHeight="true" outlineLevel="0" collapsed="false">
      <c r="A889" s="6" t="s">
        <v>440</v>
      </c>
      <c r="B889" s="9" t="s">
        <v>5070</v>
      </c>
    </row>
    <row r="890" customFormat="false" ht="15" hidden="false" customHeight="true" outlineLevel="0" collapsed="false">
      <c r="A890" s="6" t="s">
        <v>448</v>
      </c>
      <c r="B890" s="9" t="s">
        <v>5071</v>
      </c>
    </row>
    <row r="891" customFormat="false" ht="15" hidden="false" customHeight="true" outlineLevel="0" collapsed="false">
      <c r="A891" s="6" t="s">
        <v>456</v>
      </c>
      <c r="B891" s="9" t="s">
        <v>5072</v>
      </c>
    </row>
    <row r="892" customFormat="false" ht="15" hidden="false" customHeight="true" outlineLevel="0" collapsed="false">
      <c r="A892" s="6" t="s">
        <v>463</v>
      </c>
      <c r="B892" s="9" t="s">
        <v>5073</v>
      </c>
    </row>
    <row r="893" customFormat="false" ht="15" hidden="false" customHeight="true" outlineLevel="0" collapsed="false">
      <c r="A893" s="6" t="s">
        <v>469</v>
      </c>
      <c r="B893" s="6" t="s">
        <v>5074</v>
      </c>
    </row>
    <row r="894" customFormat="false" ht="15" hidden="false" customHeight="true" outlineLevel="0" collapsed="false">
      <c r="A894" s="6" t="s">
        <v>477</v>
      </c>
      <c r="B894" s="6" t="s">
        <v>5075</v>
      </c>
    </row>
    <row r="895" customFormat="false" ht="15" hidden="false" customHeight="true" outlineLevel="0" collapsed="false">
      <c r="A895" s="6" t="s">
        <v>485</v>
      </c>
      <c r="B895" s="9" t="s">
        <v>5076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24"/>
    <col collapsed="false" customWidth="true" hidden="false" outlineLevel="0" max="4" min="4" style="1" width="30"/>
    <col collapsed="false" customWidth="true" hidden="false" outlineLevel="0" max="5" min="5" style="1" width="66"/>
    <col collapsed="false" customWidth="true" hidden="false" outlineLevel="0" max="7" min="6" style="1" width="50"/>
    <col collapsed="false" customWidth="true" hidden="false" outlineLevel="0" max="18" min="8" style="1" width="13"/>
    <col collapsed="false" customWidth="true" hidden="false" outlineLevel="0" max="20" min="19" style="1" width="30"/>
    <col collapsed="false" customWidth="true" hidden="false" outlineLevel="0" max="21" min="21" style="1" width="13"/>
    <col collapsed="false" customWidth="true" hidden="false" outlineLevel="0" max="24" min="22" style="1" width="17"/>
  </cols>
  <sheetData>
    <row r="1" customFormat="false" ht="29.25" hidden="false" customHeight="true" outlineLevel="0" collapsed="false">
      <c r="A1" s="56" t="s">
        <v>360</v>
      </c>
      <c r="B1" s="56" t="s">
        <v>362</v>
      </c>
      <c r="C1" s="56" t="s">
        <v>5077</v>
      </c>
      <c r="D1" s="56" t="s">
        <v>5078</v>
      </c>
      <c r="E1" s="56" t="s">
        <v>5079</v>
      </c>
      <c r="F1" s="56" t="s">
        <v>5080</v>
      </c>
      <c r="G1" s="57" t="s">
        <v>5081</v>
      </c>
      <c r="H1" s="56" t="s">
        <v>5082</v>
      </c>
      <c r="I1" s="56" t="s">
        <v>5083</v>
      </c>
      <c r="J1" s="56" t="s">
        <v>5084</v>
      </c>
      <c r="K1" s="56" t="s">
        <v>5085</v>
      </c>
      <c r="L1" s="56" t="s">
        <v>5086</v>
      </c>
      <c r="M1" s="56" t="s">
        <v>5087</v>
      </c>
      <c r="N1" s="56" t="s">
        <v>5088</v>
      </c>
      <c r="O1" s="56" t="s">
        <v>5089</v>
      </c>
      <c r="P1" s="56" t="s">
        <v>5090</v>
      </c>
      <c r="Q1" s="56" t="s">
        <v>5091</v>
      </c>
      <c r="R1" s="56" t="s">
        <v>5092</v>
      </c>
      <c r="S1" s="56" t="s">
        <v>5093</v>
      </c>
      <c r="T1" s="56" t="s">
        <v>5094</v>
      </c>
      <c r="U1" s="56" t="s">
        <v>5095</v>
      </c>
      <c r="V1" s="15" t="s">
        <v>5096</v>
      </c>
      <c r="W1" s="15" t="s">
        <v>5097</v>
      </c>
      <c r="X1" s="15" t="s">
        <v>5098</v>
      </c>
      <c r="Y1" s="15" t="s">
        <v>5099</v>
      </c>
      <c r="Z1" s="15" t="s">
        <v>5100</v>
      </c>
    </row>
    <row r="2" customFormat="false" ht="96" hidden="false" customHeight="true" outlineLevel="0" collapsed="false">
      <c r="A2" s="37" t="s">
        <v>373</v>
      </c>
      <c r="B2" s="54" t="s">
        <v>375</v>
      </c>
      <c r="C2" s="58" t="s">
        <v>5101</v>
      </c>
      <c r="D2" s="58" t="s">
        <v>5102</v>
      </c>
      <c r="E2" s="59" t="s">
        <v>5103</v>
      </c>
      <c r="F2" s="58" t="s">
        <v>5104</v>
      </c>
      <c r="G2" s="58" t="s">
        <v>5105</v>
      </c>
      <c r="H2" s="37" t="n">
        <v>70</v>
      </c>
      <c r="I2" s="37" t="n">
        <v>1.78</v>
      </c>
      <c r="J2" s="37" t="n">
        <v>25403</v>
      </c>
      <c r="K2" s="37" t="n">
        <v>32.5</v>
      </c>
      <c r="L2" s="37" t="n">
        <v>6.25</v>
      </c>
      <c r="M2" s="37"/>
      <c r="N2" s="37" t="n">
        <v>100</v>
      </c>
      <c r="O2" s="37" t="n">
        <v>12481</v>
      </c>
      <c r="P2" s="37" t="n">
        <v>74.3</v>
      </c>
      <c r="Q2" s="37" t="n">
        <v>44.3</v>
      </c>
      <c r="R2" s="37" t="n">
        <v>100</v>
      </c>
      <c r="S2" s="54" t="s">
        <v>5106</v>
      </c>
      <c r="T2" s="54" t="s">
        <v>5107</v>
      </c>
      <c r="U2" s="54" t="n">
        <v>97.1</v>
      </c>
      <c r="V2" s="6" t="n">
        <v>70</v>
      </c>
      <c r="W2" s="6" t="n">
        <v>100</v>
      </c>
      <c r="X2" s="6" t="n">
        <v>1.52</v>
      </c>
      <c r="Y2" s="6" t="n">
        <v>54</v>
      </c>
      <c r="Z2" s="6" t="n">
        <v>69</v>
      </c>
    </row>
    <row r="3" customFormat="false" ht="96" hidden="false" customHeight="true" outlineLevel="0" collapsed="false">
      <c r="A3" s="37" t="s">
        <v>383</v>
      </c>
      <c r="B3" s="54" t="s">
        <v>385</v>
      </c>
      <c r="C3" s="58" t="s">
        <v>5108</v>
      </c>
      <c r="D3" s="58" t="s">
        <v>5109</v>
      </c>
      <c r="E3" s="58" t="s">
        <v>5110</v>
      </c>
      <c r="F3" s="58" t="s">
        <v>5111</v>
      </c>
      <c r="G3" s="58" t="s">
        <v>5112</v>
      </c>
      <c r="H3" s="54" t="n">
        <v>79</v>
      </c>
      <c r="I3" s="54" t="n">
        <v>1.45</v>
      </c>
      <c r="J3" s="54" t="n">
        <v>18320</v>
      </c>
      <c r="K3" s="54" t="n">
        <v>29.5</v>
      </c>
      <c r="L3" s="54" t="n">
        <v>5.74</v>
      </c>
      <c r="M3" s="54"/>
      <c r="N3" s="54" t="n">
        <v>100</v>
      </c>
      <c r="O3" s="54" t="n">
        <v>7880</v>
      </c>
      <c r="P3" s="54" t="n">
        <v>67.1</v>
      </c>
      <c r="Q3" s="54" t="n">
        <v>49.4</v>
      </c>
      <c r="R3" s="54" t="n">
        <v>100</v>
      </c>
      <c r="S3" s="54" t="s">
        <v>5106</v>
      </c>
      <c r="T3" s="54" t="s">
        <v>5113</v>
      </c>
      <c r="U3" s="54" t="n">
        <v>91.1</v>
      </c>
      <c r="V3" s="6" t="n">
        <v>79</v>
      </c>
      <c r="W3" s="6" t="n">
        <v>100</v>
      </c>
      <c r="X3" s="6" t="n">
        <v>1.2</v>
      </c>
      <c r="Y3" s="6" t="n">
        <v>73</v>
      </c>
      <c r="Z3" s="6" t="n">
        <v>78</v>
      </c>
    </row>
    <row r="4" customFormat="false" ht="96" hidden="false" customHeight="true" outlineLevel="0" collapsed="false">
      <c r="A4" s="37" t="s">
        <v>390</v>
      </c>
      <c r="B4" s="54" t="s">
        <v>392</v>
      </c>
      <c r="C4" s="58" t="s">
        <v>5114</v>
      </c>
      <c r="D4" s="59" t="s">
        <v>5115</v>
      </c>
      <c r="E4" s="58" t="s">
        <v>5116</v>
      </c>
      <c r="F4" s="58" t="s">
        <v>5117</v>
      </c>
      <c r="G4" s="58" t="s">
        <v>5118</v>
      </c>
      <c r="H4" s="54" t="n">
        <v>18</v>
      </c>
      <c r="I4" s="54" t="n">
        <v>0.25</v>
      </c>
      <c r="J4" s="54" t="n">
        <v>15788</v>
      </c>
      <c r="K4" s="54" t="n">
        <v>48.9</v>
      </c>
      <c r="L4" s="54" t="n">
        <v>4.6</v>
      </c>
      <c r="M4" s="54" t="n">
        <v>16.7</v>
      </c>
      <c r="N4" s="54" t="n">
        <v>100</v>
      </c>
      <c r="O4" s="54" t="n">
        <v>8890</v>
      </c>
      <c r="P4" s="54" t="n">
        <v>55.6</v>
      </c>
      <c r="Q4" s="54" t="n">
        <v>22.2</v>
      </c>
      <c r="R4" s="54" t="n">
        <v>100</v>
      </c>
      <c r="S4" s="54" t="s">
        <v>5106</v>
      </c>
      <c r="T4" s="54" t="s">
        <v>5119</v>
      </c>
      <c r="U4" s="54" t="n">
        <v>77.8</v>
      </c>
      <c r="V4" s="6" t="n">
        <v>16</v>
      </c>
      <c r="W4" s="6" t="n">
        <v>94.4</v>
      </c>
      <c r="X4" s="6" t="n">
        <v>0.23</v>
      </c>
      <c r="Y4" s="6" t="n">
        <v>15</v>
      </c>
      <c r="Z4" s="6" t="n">
        <v>16</v>
      </c>
    </row>
    <row r="5" customFormat="false" ht="96" hidden="false" customHeight="true" outlineLevel="0" collapsed="false">
      <c r="A5" s="37" t="s">
        <v>396</v>
      </c>
      <c r="B5" s="54" t="s">
        <v>398</v>
      </c>
      <c r="C5" s="58" t="s">
        <v>5120</v>
      </c>
      <c r="D5" s="58" t="s">
        <v>5121</v>
      </c>
      <c r="E5" s="58" t="s">
        <v>5122</v>
      </c>
      <c r="F5" s="58" t="s">
        <v>5123</v>
      </c>
      <c r="G5" s="58" t="s">
        <v>5124</v>
      </c>
      <c r="H5" s="54" t="n">
        <v>58</v>
      </c>
      <c r="I5" s="54" t="n">
        <v>0.63</v>
      </c>
      <c r="J5" s="54" t="n">
        <v>10828</v>
      </c>
      <c r="K5" s="54" t="n">
        <v>34.3</v>
      </c>
      <c r="L5" s="54" t="n">
        <v>5.2</v>
      </c>
      <c r="M5" s="54" t="n">
        <v>28.7</v>
      </c>
      <c r="N5" s="54" t="n">
        <v>100</v>
      </c>
      <c r="O5" s="54" t="n">
        <v>3794</v>
      </c>
      <c r="P5" s="54" t="n">
        <v>98.3</v>
      </c>
      <c r="Q5" s="54" t="n">
        <v>82.8</v>
      </c>
      <c r="R5" s="54" t="n">
        <v>100</v>
      </c>
      <c r="S5" s="54" t="s">
        <v>5106</v>
      </c>
      <c r="T5" s="54" t="s">
        <v>5125</v>
      </c>
      <c r="U5" s="54" t="n">
        <v>63.8</v>
      </c>
      <c r="V5" s="6" t="n">
        <v>58</v>
      </c>
      <c r="W5" s="6" t="n">
        <v>96.7</v>
      </c>
      <c r="X5" s="6" t="n">
        <v>0.49</v>
      </c>
      <c r="Y5" s="6" t="n">
        <v>50</v>
      </c>
      <c r="Z5" s="6" t="n">
        <v>58</v>
      </c>
    </row>
    <row r="6" customFormat="false" ht="96" hidden="false" customHeight="true" outlineLevel="0" collapsed="false">
      <c r="A6" s="37" t="s">
        <v>403</v>
      </c>
      <c r="B6" s="54" t="s">
        <v>405</v>
      </c>
      <c r="C6" s="58" t="s">
        <v>5126</v>
      </c>
      <c r="D6" s="58" t="s">
        <v>5127</v>
      </c>
      <c r="E6" s="59" t="s">
        <v>5128</v>
      </c>
      <c r="F6" s="58" t="s">
        <v>5129</v>
      </c>
      <c r="G6" s="58" t="s">
        <v>5130</v>
      </c>
      <c r="H6" s="54" t="n">
        <v>87</v>
      </c>
      <c r="I6" s="54" t="n">
        <v>0.29</v>
      </c>
      <c r="J6" s="54" t="n">
        <v>3319</v>
      </c>
      <c r="K6" s="54" t="n">
        <v>14.9</v>
      </c>
      <c r="L6" s="54" t="n">
        <v>5.64</v>
      </c>
      <c r="M6" s="54"/>
      <c r="N6" s="54" t="n">
        <v>100</v>
      </c>
      <c r="O6" s="54" t="n">
        <v>2765</v>
      </c>
      <c r="P6" s="54" t="n">
        <v>75.9</v>
      </c>
      <c r="Q6" s="54" t="n">
        <v>41.4</v>
      </c>
      <c r="R6" s="54" t="n">
        <v>97.7</v>
      </c>
      <c r="S6" s="54" t="s">
        <v>5131</v>
      </c>
      <c r="T6" s="54" t="s">
        <v>5132</v>
      </c>
      <c r="U6" s="54" t="n">
        <v>21.8</v>
      </c>
      <c r="V6" s="6" t="n">
        <v>87</v>
      </c>
      <c r="W6" s="6" t="n">
        <v>0</v>
      </c>
      <c r="X6" s="6"/>
      <c r="Y6" s="6" t="n">
        <v>87</v>
      </c>
      <c r="Z6" s="6" t="n">
        <v>87</v>
      </c>
    </row>
    <row r="7" customFormat="false" ht="96" hidden="false" customHeight="true" outlineLevel="0" collapsed="false">
      <c r="A7" s="37" t="s">
        <v>412</v>
      </c>
      <c r="B7" s="54" t="s">
        <v>414</v>
      </c>
      <c r="C7" s="58" t="s">
        <v>5133</v>
      </c>
      <c r="D7" s="58" t="s">
        <v>5134</v>
      </c>
      <c r="E7" s="59" t="s">
        <v>5135</v>
      </c>
      <c r="F7" s="58" t="s">
        <v>5136</v>
      </c>
      <c r="G7" s="58" t="s">
        <v>5137</v>
      </c>
      <c r="H7" s="54" t="n">
        <v>33</v>
      </c>
      <c r="I7" s="54" t="n">
        <v>0.35</v>
      </c>
      <c r="J7" s="54" t="n">
        <v>10655</v>
      </c>
      <c r="K7" s="54" t="n">
        <v>40</v>
      </c>
      <c r="L7" s="54" t="n">
        <v>7.06</v>
      </c>
      <c r="M7" s="54"/>
      <c r="N7" s="54" t="n">
        <v>100</v>
      </c>
      <c r="O7" s="54" t="n">
        <v>6634</v>
      </c>
      <c r="P7" s="54" t="n">
        <v>69.7</v>
      </c>
      <c r="Q7" s="54" t="n">
        <v>39.4</v>
      </c>
      <c r="R7" s="54" t="n">
        <v>100</v>
      </c>
      <c r="S7" s="54" t="s">
        <v>5106</v>
      </c>
      <c r="T7" s="54" t="s">
        <v>5138</v>
      </c>
      <c r="U7" s="54" t="n">
        <v>78.8</v>
      </c>
      <c r="V7" s="6" t="n">
        <v>33</v>
      </c>
      <c r="W7" s="6" t="n">
        <v>97.1</v>
      </c>
      <c r="X7" s="6" t="n">
        <v>0.29</v>
      </c>
      <c r="Y7" s="6" t="n">
        <v>25</v>
      </c>
      <c r="Z7" s="6" t="n">
        <v>33</v>
      </c>
    </row>
    <row r="8" customFormat="false" ht="96" hidden="false" customHeight="true" outlineLevel="0" collapsed="false">
      <c r="A8" s="37" t="s">
        <v>418</v>
      </c>
      <c r="B8" s="54" t="s">
        <v>420</v>
      </c>
      <c r="C8" s="58" t="s">
        <v>5139</v>
      </c>
      <c r="D8" s="58" t="s">
        <v>5140</v>
      </c>
      <c r="E8" s="59" t="s">
        <v>5141</v>
      </c>
      <c r="F8" s="58" t="s">
        <v>5142</v>
      </c>
      <c r="G8" s="58" t="s">
        <v>5143</v>
      </c>
      <c r="H8" s="54" t="n">
        <v>11</v>
      </c>
      <c r="I8" s="54" t="n">
        <v>0.51</v>
      </c>
      <c r="J8" s="54" t="n">
        <v>46000</v>
      </c>
      <c r="K8" s="54" t="n">
        <v>79.9</v>
      </c>
      <c r="L8" s="54" t="n">
        <v>4.44</v>
      </c>
      <c r="M8" s="54" t="n">
        <v>25.5</v>
      </c>
      <c r="N8" s="54" t="n">
        <v>100</v>
      </c>
      <c r="O8" s="54" t="n">
        <v>16153</v>
      </c>
      <c r="P8" s="54" t="n">
        <v>100</v>
      </c>
      <c r="Q8" s="54" t="n">
        <v>100</v>
      </c>
      <c r="R8" s="54" t="n">
        <v>72.7</v>
      </c>
      <c r="S8" s="54" t="s">
        <v>5144</v>
      </c>
      <c r="T8" s="54" t="s">
        <v>5145</v>
      </c>
      <c r="U8" s="54" t="n">
        <v>72.7</v>
      </c>
      <c r="V8" s="6" t="n">
        <v>11</v>
      </c>
      <c r="W8" s="6" t="n">
        <v>100</v>
      </c>
      <c r="X8" s="6" t="n">
        <v>0.42</v>
      </c>
      <c r="Y8" s="6" t="n">
        <v>10</v>
      </c>
      <c r="Z8" s="6" t="n">
        <v>11</v>
      </c>
    </row>
    <row r="9" customFormat="false" ht="96" hidden="false" customHeight="true" outlineLevel="0" collapsed="false">
      <c r="A9" s="37" t="s">
        <v>427</v>
      </c>
      <c r="B9" s="54" t="s">
        <v>429</v>
      </c>
      <c r="C9" s="58" t="s">
        <v>5146</v>
      </c>
      <c r="D9" s="58" t="s">
        <v>5147</v>
      </c>
      <c r="E9" s="58" t="s">
        <v>5148</v>
      </c>
      <c r="F9" s="58" t="s">
        <v>5149</v>
      </c>
      <c r="G9" s="58" t="s">
        <v>5150</v>
      </c>
      <c r="H9" s="54" t="n">
        <v>67</v>
      </c>
      <c r="I9" s="54" t="n">
        <v>0.67</v>
      </c>
      <c r="J9" s="54" t="n">
        <v>10015</v>
      </c>
      <c r="K9" s="54" t="n">
        <v>30.8</v>
      </c>
      <c r="L9" s="54" t="n">
        <v>6.12</v>
      </c>
      <c r="M9" s="54" t="n">
        <v>30.1</v>
      </c>
      <c r="N9" s="54" t="n">
        <v>100</v>
      </c>
      <c r="O9" s="54" t="n">
        <v>5185</v>
      </c>
      <c r="P9" s="54" t="n">
        <v>77.6</v>
      </c>
      <c r="Q9" s="54" t="n">
        <v>44.8</v>
      </c>
      <c r="R9" s="54" t="n">
        <v>74.6</v>
      </c>
      <c r="S9" s="54" t="s">
        <v>5151</v>
      </c>
      <c r="T9" s="54" t="s">
        <v>5152</v>
      </c>
      <c r="U9" s="54" t="n">
        <v>71.6</v>
      </c>
      <c r="V9" s="6" t="n">
        <v>67</v>
      </c>
      <c r="W9" s="6" t="n">
        <v>98.5</v>
      </c>
      <c r="X9" s="6" t="n">
        <v>0.56</v>
      </c>
      <c r="Y9" s="6" t="n">
        <v>50</v>
      </c>
      <c r="Z9" s="6" t="n">
        <v>67</v>
      </c>
    </row>
    <row r="10" customFormat="false" ht="96" hidden="false" customHeight="true" outlineLevel="0" collapsed="false">
      <c r="A10" s="37" t="s">
        <v>434</v>
      </c>
      <c r="B10" s="54" t="s">
        <v>436</v>
      </c>
      <c r="C10" s="58" t="s">
        <v>5153</v>
      </c>
      <c r="D10" s="58" t="s">
        <v>5154</v>
      </c>
      <c r="E10" s="59" t="s">
        <v>5155</v>
      </c>
      <c r="F10" s="58" t="s">
        <v>5156</v>
      </c>
      <c r="G10" s="59" t="s">
        <v>5157</v>
      </c>
      <c r="H10" s="54" t="n">
        <v>28</v>
      </c>
      <c r="I10" s="54" t="n">
        <v>0.33</v>
      </c>
      <c r="J10" s="54" t="n">
        <v>11676</v>
      </c>
      <c r="K10" s="54" t="n">
        <v>43.5</v>
      </c>
      <c r="L10" s="54"/>
      <c r="M10" s="54" t="n">
        <v>31.4</v>
      </c>
      <c r="N10" s="54" t="n">
        <v>100</v>
      </c>
      <c r="O10" s="54" t="n">
        <v>4616</v>
      </c>
      <c r="P10" s="54" t="n">
        <v>100</v>
      </c>
      <c r="Q10" s="54" t="n">
        <v>71.4</v>
      </c>
      <c r="R10" s="54" t="n">
        <v>64.3</v>
      </c>
      <c r="S10" s="54" t="s">
        <v>5158</v>
      </c>
      <c r="T10" s="54" t="s">
        <v>5159</v>
      </c>
      <c r="U10" s="54" t="n">
        <v>75</v>
      </c>
      <c r="V10" s="6" t="n">
        <v>28</v>
      </c>
      <c r="W10" s="6" t="n">
        <v>0</v>
      </c>
      <c r="X10" s="6"/>
      <c r="Y10" s="6" t="n">
        <v>0</v>
      </c>
      <c r="Z10" s="6" t="n">
        <v>28</v>
      </c>
    </row>
    <row r="11" customFormat="false" ht="96" hidden="false" customHeight="true" outlineLevel="0" collapsed="false">
      <c r="A11" s="37" t="s">
        <v>440</v>
      </c>
      <c r="B11" s="54" t="s">
        <v>442</v>
      </c>
      <c r="C11" s="58" t="s">
        <v>5160</v>
      </c>
      <c r="D11" s="58" t="s">
        <v>5161</v>
      </c>
      <c r="E11" s="58" t="s">
        <v>5162</v>
      </c>
      <c r="F11" s="58" t="s">
        <v>5163</v>
      </c>
      <c r="G11" s="58" t="s">
        <v>5164</v>
      </c>
      <c r="H11" s="54" t="n">
        <v>67</v>
      </c>
      <c r="I11" s="54" t="n">
        <v>0.49</v>
      </c>
      <c r="J11" s="54" t="n">
        <v>7259</v>
      </c>
      <c r="K11" s="54" t="n">
        <v>34.6</v>
      </c>
      <c r="L11" s="54" t="n">
        <v>5.48</v>
      </c>
      <c r="M11" s="54" t="n">
        <v>21.2</v>
      </c>
      <c r="N11" s="54" t="n">
        <v>100</v>
      </c>
      <c r="O11" s="54" t="n">
        <v>3957</v>
      </c>
      <c r="P11" s="54" t="n">
        <v>92.5</v>
      </c>
      <c r="Q11" s="54" t="n">
        <v>40.3</v>
      </c>
      <c r="R11" s="54" t="n">
        <v>50.7</v>
      </c>
      <c r="S11" s="54" t="s">
        <v>5165</v>
      </c>
      <c r="T11" s="54" t="s">
        <v>5166</v>
      </c>
      <c r="U11" s="54" t="n">
        <v>41.8</v>
      </c>
      <c r="V11" s="6" t="n">
        <v>67</v>
      </c>
      <c r="W11" s="6" t="n">
        <v>97.1</v>
      </c>
      <c r="X11" s="6" t="n">
        <v>0.42</v>
      </c>
      <c r="Y11" s="6" t="n">
        <v>44</v>
      </c>
      <c r="Z11" s="6" t="n">
        <v>67</v>
      </c>
    </row>
    <row r="12" customFormat="false" ht="96" hidden="false" customHeight="true" outlineLevel="0" collapsed="false">
      <c r="A12" s="37" t="s">
        <v>448</v>
      </c>
      <c r="B12" s="37" t="s">
        <v>450</v>
      </c>
      <c r="C12" s="58" t="s">
        <v>5167</v>
      </c>
      <c r="D12" s="58" t="s">
        <v>5168</v>
      </c>
      <c r="E12" s="58" t="s">
        <v>5169</v>
      </c>
      <c r="F12" s="58" t="s">
        <v>5170</v>
      </c>
      <c r="G12" s="58" t="s">
        <v>5171</v>
      </c>
      <c r="H12" s="54" t="n">
        <v>62</v>
      </c>
      <c r="I12" s="54" t="n">
        <v>0.34</v>
      </c>
      <c r="J12" s="54" t="n">
        <v>5497</v>
      </c>
      <c r="K12" s="54" t="n">
        <v>31.5</v>
      </c>
      <c r="L12" s="54" t="n">
        <v>5.3</v>
      </c>
      <c r="M12" s="54"/>
      <c r="N12" s="54" t="n">
        <v>99.2</v>
      </c>
      <c r="O12" s="54"/>
      <c r="P12" s="54" t="n">
        <v>88.7</v>
      </c>
      <c r="Q12" s="54" t="n">
        <v>56.5</v>
      </c>
      <c r="R12" s="54" t="n">
        <v>40.3</v>
      </c>
      <c r="S12" s="54" t="s">
        <v>5172</v>
      </c>
      <c r="T12" s="54" t="s">
        <v>5173</v>
      </c>
      <c r="U12" s="54" t="n">
        <v>71</v>
      </c>
      <c r="V12" s="6" t="n">
        <v>61</v>
      </c>
      <c r="W12" s="6" t="n">
        <v>98.4</v>
      </c>
      <c r="X12" s="6" t="n">
        <v>0.3</v>
      </c>
      <c r="Y12" s="6" t="n">
        <v>52</v>
      </c>
      <c r="Z12" s="6" t="n">
        <v>61</v>
      </c>
    </row>
    <row r="13" customFormat="false" ht="96" hidden="false" customHeight="true" outlineLevel="0" collapsed="false">
      <c r="A13" s="37" t="s">
        <v>456</v>
      </c>
      <c r="B13" s="54" t="s">
        <v>458</v>
      </c>
      <c r="C13" s="58" t="s">
        <v>5174</v>
      </c>
      <c r="D13" s="58" t="s">
        <v>5175</v>
      </c>
      <c r="E13" s="59" t="s">
        <v>5176</v>
      </c>
      <c r="F13" s="59" t="s">
        <v>5177</v>
      </c>
      <c r="G13" s="58" t="s">
        <v>5178</v>
      </c>
      <c r="H13" s="54" t="n">
        <v>136</v>
      </c>
      <c r="I13" s="54" t="n">
        <v>0.33</v>
      </c>
      <c r="J13" s="54" t="n">
        <v>2436</v>
      </c>
      <c r="K13" s="54" t="n">
        <v>11.9</v>
      </c>
      <c r="L13" s="54" t="n">
        <v>5.41</v>
      </c>
      <c r="M13" s="54"/>
      <c r="N13" s="54" t="n">
        <v>99.25</v>
      </c>
      <c r="O13" s="54" t="n">
        <v>2078</v>
      </c>
      <c r="P13" s="54" t="n">
        <v>70.6</v>
      </c>
      <c r="Q13" s="54" t="n">
        <v>22.8</v>
      </c>
      <c r="R13" s="54" t="n">
        <v>33.8</v>
      </c>
      <c r="S13" s="54" t="s">
        <v>5179</v>
      </c>
      <c r="T13" s="54" t="s">
        <v>5180</v>
      </c>
      <c r="U13" s="54" t="n">
        <v>22.8</v>
      </c>
      <c r="V13" s="6" t="n">
        <v>136</v>
      </c>
      <c r="W13" s="6" t="n">
        <v>98.6</v>
      </c>
      <c r="X13" s="6" t="n">
        <v>0.27</v>
      </c>
      <c r="Y13" s="6" t="n">
        <v>135</v>
      </c>
      <c r="Z13" s="6" t="n">
        <v>136</v>
      </c>
    </row>
    <row r="14" customFormat="false" ht="96" hidden="false" customHeight="true" outlineLevel="0" collapsed="false">
      <c r="A14" s="37" t="s">
        <v>463</v>
      </c>
      <c r="B14" s="54" t="s">
        <v>465</v>
      </c>
      <c r="C14" s="58" t="s">
        <v>5181</v>
      </c>
      <c r="D14" s="58" t="s">
        <v>5182</v>
      </c>
      <c r="E14" s="58" t="s">
        <v>5183</v>
      </c>
      <c r="F14" s="58" t="s">
        <v>5184</v>
      </c>
      <c r="G14" s="58" t="s">
        <v>5185</v>
      </c>
      <c r="H14" s="54" t="n">
        <v>138</v>
      </c>
      <c r="I14" s="54" t="n">
        <v>0.67</v>
      </c>
      <c r="J14" s="54" t="n">
        <v>4823</v>
      </c>
      <c r="K14" s="54" t="n">
        <v>36.9</v>
      </c>
      <c r="L14" s="54" t="n">
        <v>4.83</v>
      </c>
      <c r="M14" s="54" t="n">
        <v>16.8</v>
      </c>
      <c r="N14" s="54" t="n">
        <v>96.4</v>
      </c>
      <c r="O14" s="54" t="n">
        <v>2306</v>
      </c>
      <c r="P14" s="54" t="n">
        <v>78.3</v>
      </c>
      <c r="Q14" s="54" t="n">
        <v>18.1</v>
      </c>
      <c r="R14" s="54" t="n">
        <v>3.6</v>
      </c>
      <c r="S14" s="54" t="s">
        <v>5186</v>
      </c>
      <c r="T14" s="54" t="s">
        <v>5187</v>
      </c>
      <c r="U14" s="54" t="n">
        <v>81.2</v>
      </c>
      <c r="V14" s="6" t="n">
        <v>138</v>
      </c>
      <c r="W14" s="6" t="n">
        <v>92</v>
      </c>
      <c r="X14" s="6" t="n">
        <v>0.56</v>
      </c>
      <c r="Y14" s="6" t="n">
        <v>136</v>
      </c>
      <c r="Z14" s="6" t="n">
        <v>138</v>
      </c>
    </row>
    <row r="15" customFormat="false" ht="96" hidden="false" customHeight="true" outlineLevel="0" collapsed="false">
      <c r="A15" s="37" t="s">
        <v>469</v>
      </c>
      <c r="B15" s="54" t="s">
        <v>471</v>
      </c>
      <c r="C15" s="58" t="s">
        <v>5188</v>
      </c>
      <c r="D15" s="58" t="s">
        <v>5189</v>
      </c>
      <c r="E15" s="59" t="s">
        <v>5190</v>
      </c>
      <c r="F15" s="58" t="s">
        <v>5191</v>
      </c>
      <c r="G15" s="58" t="s">
        <v>5192</v>
      </c>
      <c r="H15" s="54" t="n">
        <v>20</v>
      </c>
      <c r="I15" s="54" t="n">
        <v>0.54</v>
      </c>
      <c r="J15" s="54" t="n">
        <v>26821</v>
      </c>
      <c r="K15" s="54" t="n">
        <v>57.3</v>
      </c>
      <c r="L15" s="54" t="n">
        <v>5.09</v>
      </c>
      <c r="M15" s="54" t="n">
        <v>27.4</v>
      </c>
      <c r="N15" s="54" t="n">
        <v>100</v>
      </c>
      <c r="O15" s="54" t="n">
        <v>20952</v>
      </c>
      <c r="P15" s="54" t="n">
        <v>75</v>
      </c>
      <c r="Q15" s="54" t="n">
        <v>45</v>
      </c>
      <c r="R15" s="54" t="n">
        <v>50</v>
      </c>
      <c r="S15" s="54" t="s">
        <v>5193</v>
      </c>
      <c r="T15" s="54" t="s">
        <v>5194</v>
      </c>
      <c r="U15" s="54" t="n">
        <v>95</v>
      </c>
      <c r="V15" s="6" t="n">
        <v>20</v>
      </c>
      <c r="W15" s="6" t="n">
        <v>100</v>
      </c>
      <c r="X15" s="6" t="n">
        <v>0.46</v>
      </c>
      <c r="Y15" s="6" t="n">
        <v>18</v>
      </c>
      <c r="Z15" s="6" t="n">
        <v>20</v>
      </c>
    </row>
    <row r="16" customFormat="false" ht="96" hidden="false" customHeight="true" outlineLevel="0" collapsed="false">
      <c r="A16" s="37" t="s">
        <v>477</v>
      </c>
      <c r="B16" s="54" t="s">
        <v>479</v>
      </c>
      <c r="C16" s="58" t="s">
        <v>5195</v>
      </c>
      <c r="D16" s="58" t="s">
        <v>5196</v>
      </c>
      <c r="E16" s="59" t="s">
        <v>5197</v>
      </c>
      <c r="F16" s="58" t="s">
        <v>5198</v>
      </c>
      <c r="G16" s="58" t="s">
        <v>5199</v>
      </c>
      <c r="H16" s="54" t="n">
        <v>16</v>
      </c>
      <c r="I16" s="54" t="n">
        <v>0.1</v>
      </c>
      <c r="J16" s="54" t="n">
        <v>6041</v>
      </c>
      <c r="K16" s="54" t="n">
        <v>51.1</v>
      </c>
      <c r="L16" s="54"/>
      <c r="M16" s="54" t="n">
        <v>8.85</v>
      </c>
      <c r="N16" s="54" t="n">
        <v>100</v>
      </c>
      <c r="O16" s="54" t="n">
        <v>5386</v>
      </c>
      <c r="P16" s="54" t="n">
        <v>56.2</v>
      </c>
      <c r="Q16" s="54" t="n">
        <v>37.5</v>
      </c>
      <c r="R16" s="54" t="n">
        <v>56.2</v>
      </c>
      <c r="S16" s="54" t="s">
        <v>5200</v>
      </c>
      <c r="T16" s="54" t="s">
        <v>5201</v>
      </c>
      <c r="U16" s="54" t="n">
        <v>25</v>
      </c>
      <c r="V16" s="6" t="n">
        <v>16</v>
      </c>
      <c r="W16" s="6" t="n">
        <v>100</v>
      </c>
      <c r="X16" s="6" t="n">
        <v>0.09</v>
      </c>
      <c r="Y16" s="6" t="n">
        <v>0</v>
      </c>
      <c r="Z16" s="6" t="n">
        <v>16</v>
      </c>
    </row>
    <row r="17" customFormat="false" ht="96" hidden="false" customHeight="true" outlineLevel="0" collapsed="false">
      <c r="A17" s="37" t="s">
        <v>485</v>
      </c>
      <c r="B17" s="54" t="s">
        <v>487</v>
      </c>
      <c r="C17" s="58" t="s">
        <v>5202</v>
      </c>
      <c r="D17" s="58" t="s">
        <v>5203</v>
      </c>
      <c r="E17" s="59" t="s">
        <v>5204</v>
      </c>
      <c r="F17" s="58" t="s">
        <v>5205</v>
      </c>
      <c r="G17" s="58" t="s">
        <v>5206</v>
      </c>
      <c r="H17" s="54" t="n">
        <v>343</v>
      </c>
      <c r="I17" s="54" t="n">
        <v>1.34</v>
      </c>
      <c r="J17" s="54" t="n">
        <v>3913</v>
      </c>
      <c r="K17" s="54" t="n">
        <v>9</v>
      </c>
      <c r="L17" s="54" t="n">
        <v>5.33</v>
      </c>
      <c r="M17" s="54"/>
      <c r="N17" s="54" t="n">
        <v>100</v>
      </c>
      <c r="O17" s="54" t="n">
        <v>3534</v>
      </c>
      <c r="P17" s="54" t="n">
        <v>67.9</v>
      </c>
      <c r="Q17" s="54" t="n">
        <v>0</v>
      </c>
      <c r="R17" s="54" t="n">
        <v>25.1</v>
      </c>
      <c r="S17" s="54" t="s">
        <v>5207</v>
      </c>
      <c r="T17" s="54" t="s">
        <v>5208</v>
      </c>
      <c r="U17" s="54" t="n">
        <v>56.6</v>
      </c>
      <c r="V17" s="6" t="n">
        <v>343</v>
      </c>
      <c r="W17" s="6" t="n">
        <v>99.4</v>
      </c>
      <c r="X17" s="6" t="n">
        <v>1.22</v>
      </c>
      <c r="Y17" s="6" t="n">
        <v>243</v>
      </c>
      <c r="Z17" s="6" t="n">
        <v>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30"/>
    <col collapsed="false" customWidth="true" hidden="false" outlineLevel="0" max="4" min="4" style="1" width="32"/>
    <col collapsed="false" customWidth="true" hidden="false" outlineLevel="0" max="5" min="5" style="1" width="16"/>
    <col collapsed="false" customWidth="true" hidden="false" outlineLevel="0" max="6" min="6" style="1" width="34"/>
    <col collapsed="false" customWidth="true" hidden="false" outlineLevel="0" max="7" min="7" style="1" width="14"/>
    <col collapsed="false" customWidth="true" hidden="false" outlineLevel="0" max="8" min="8" style="1" width="20"/>
    <col collapsed="false" customWidth="true" hidden="false" outlineLevel="0" max="9" min="9" style="1" width="30"/>
  </cols>
  <sheetData>
    <row r="1" customFormat="false" ht="15" hidden="false" customHeight="true" outlineLevel="0" collapsed="false">
      <c r="A1" s="56" t="s">
        <v>492</v>
      </c>
      <c r="B1" s="56" t="s">
        <v>360</v>
      </c>
      <c r="C1" s="56" t="s">
        <v>493</v>
      </c>
      <c r="D1" s="57" t="s">
        <v>5209</v>
      </c>
      <c r="E1" s="57" t="s">
        <v>5210</v>
      </c>
      <c r="F1" s="56" t="s">
        <v>5211</v>
      </c>
      <c r="G1" s="56" t="s">
        <v>5212</v>
      </c>
      <c r="H1" s="56" t="s">
        <v>4344</v>
      </c>
      <c r="I1" s="56" t="s">
        <v>5213</v>
      </c>
      <c r="J1" s="56" t="s">
        <v>372</v>
      </c>
    </row>
    <row r="2" customFormat="false" ht="15" hidden="false" customHeight="true" outlineLevel="0" collapsed="false">
      <c r="A2" s="37" t="s">
        <v>749</v>
      </c>
      <c r="B2" s="37" t="s">
        <v>396</v>
      </c>
      <c r="C2" s="54" t="s">
        <v>750</v>
      </c>
      <c r="D2" s="54" t="s">
        <v>5214</v>
      </c>
      <c r="E2" s="54" t="s">
        <v>5215</v>
      </c>
      <c r="F2" s="54" t="s">
        <v>5216</v>
      </c>
      <c r="G2" s="54" t="s">
        <v>5217</v>
      </c>
      <c r="H2" s="37" t="s">
        <v>5218</v>
      </c>
      <c r="I2" s="54" t="s">
        <v>5219</v>
      </c>
      <c r="J2" s="37"/>
    </row>
    <row r="3" customFormat="false" ht="15" hidden="false" customHeight="true" outlineLevel="0" collapsed="false">
      <c r="A3" s="37" t="s">
        <v>753</v>
      </c>
      <c r="B3" s="37" t="s">
        <v>396</v>
      </c>
      <c r="C3" s="54" t="s">
        <v>754</v>
      </c>
      <c r="D3" s="54" t="s">
        <v>5214</v>
      </c>
      <c r="E3" s="54" t="s">
        <v>5215</v>
      </c>
      <c r="F3" s="54" t="s">
        <v>5216</v>
      </c>
      <c r="G3" s="54" t="s">
        <v>5217</v>
      </c>
      <c r="H3" s="37" t="s">
        <v>5218</v>
      </c>
      <c r="I3" s="54" t="s">
        <v>5219</v>
      </c>
      <c r="J3" s="37"/>
    </row>
    <row r="4" customFormat="false" ht="15" hidden="false" customHeight="true" outlineLevel="0" collapsed="false">
      <c r="A4" s="37" t="s">
        <v>755</v>
      </c>
      <c r="B4" s="37" t="s">
        <v>396</v>
      </c>
      <c r="C4" s="54" t="s">
        <v>756</v>
      </c>
      <c r="D4" s="54" t="s">
        <v>5220</v>
      </c>
      <c r="E4" s="54" t="s">
        <v>5221</v>
      </c>
      <c r="F4" s="54" t="s">
        <v>5216</v>
      </c>
      <c r="G4" s="54" t="s">
        <v>5217</v>
      </c>
      <c r="H4" s="37" t="s">
        <v>5218</v>
      </c>
      <c r="I4" s="54" t="s">
        <v>5219</v>
      </c>
      <c r="J4" s="37"/>
    </row>
    <row r="5" customFormat="false" ht="15" hidden="false" customHeight="true" outlineLevel="0" collapsed="false">
      <c r="A5" s="37" t="s">
        <v>758</v>
      </c>
      <c r="B5" s="37" t="s">
        <v>396</v>
      </c>
      <c r="C5" s="54" t="s">
        <v>759</v>
      </c>
      <c r="D5" s="54" t="s">
        <v>5222</v>
      </c>
      <c r="E5" s="54" t="s">
        <v>5215</v>
      </c>
      <c r="F5" s="54" t="s">
        <v>5216</v>
      </c>
      <c r="G5" s="54" t="s">
        <v>5217</v>
      </c>
      <c r="H5" s="37" t="s">
        <v>5218</v>
      </c>
      <c r="I5" s="54" t="s">
        <v>5219</v>
      </c>
      <c r="J5" s="37"/>
    </row>
    <row r="6" customFormat="false" ht="15" hidden="false" customHeight="true" outlineLevel="0" collapsed="false">
      <c r="A6" s="37" t="s">
        <v>761</v>
      </c>
      <c r="B6" s="37" t="s">
        <v>396</v>
      </c>
      <c r="C6" s="54" t="s">
        <v>762</v>
      </c>
      <c r="D6" s="54" t="s">
        <v>5214</v>
      </c>
      <c r="E6" s="54" t="s">
        <v>5215</v>
      </c>
      <c r="F6" s="54" t="s">
        <v>5216</v>
      </c>
      <c r="G6" s="54" t="s">
        <v>5217</v>
      </c>
      <c r="H6" s="37" t="s">
        <v>5218</v>
      </c>
      <c r="I6" s="54" t="s">
        <v>5219</v>
      </c>
      <c r="J6" s="37"/>
    </row>
    <row r="7" customFormat="false" ht="15" hidden="false" customHeight="true" outlineLevel="0" collapsed="false">
      <c r="A7" s="37" t="s">
        <v>764</v>
      </c>
      <c r="B7" s="37" t="s">
        <v>396</v>
      </c>
      <c r="C7" s="54" t="s">
        <v>765</v>
      </c>
      <c r="D7" s="54" t="s">
        <v>5214</v>
      </c>
      <c r="E7" s="54" t="s">
        <v>5215</v>
      </c>
      <c r="F7" s="54" t="s">
        <v>5216</v>
      </c>
      <c r="G7" s="54" t="s">
        <v>5217</v>
      </c>
      <c r="H7" s="37" t="s">
        <v>5218</v>
      </c>
      <c r="I7" s="54" t="s">
        <v>5219</v>
      </c>
      <c r="J7" s="37"/>
    </row>
    <row r="8" customFormat="false" ht="15" hidden="false" customHeight="true" outlineLevel="0" collapsed="false">
      <c r="A8" s="37" t="s">
        <v>767</v>
      </c>
      <c r="B8" s="37" t="s">
        <v>396</v>
      </c>
      <c r="C8" s="54" t="s">
        <v>768</v>
      </c>
      <c r="D8" s="54" t="s">
        <v>5214</v>
      </c>
      <c r="E8" s="54" t="s">
        <v>5215</v>
      </c>
      <c r="F8" s="54" t="s">
        <v>5216</v>
      </c>
      <c r="G8" s="54" t="s">
        <v>5217</v>
      </c>
      <c r="H8" s="37" t="s">
        <v>5218</v>
      </c>
      <c r="I8" s="54" t="s">
        <v>5219</v>
      </c>
      <c r="J8" s="37"/>
    </row>
    <row r="9" customFormat="false" ht="15" hidden="false" customHeight="true" outlineLevel="0" collapsed="false">
      <c r="A9" s="37" t="s">
        <v>770</v>
      </c>
      <c r="B9" s="37" t="s">
        <v>396</v>
      </c>
      <c r="C9" s="54" t="s">
        <v>771</v>
      </c>
      <c r="D9" s="54" t="s">
        <v>5214</v>
      </c>
      <c r="E9" s="54" t="s">
        <v>5215</v>
      </c>
      <c r="F9" s="54" t="s">
        <v>5216</v>
      </c>
      <c r="G9" s="54" t="s">
        <v>5217</v>
      </c>
      <c r="H9" s="37" t="s">
        <v>5218</v>
      </c>
      <c r="I9" s="54" t="s">
        <v>5219</v>
      </c>
      <c r="J9" s="37"/>
    </row>
    <row r="10" customFormat="false" ht="15" hidden="false" customHeight="true" outlineLevel="0" collapsed="false">
      <c r="A10" s="37" t="s">
        <v>773</v>
      </c>
      <c r="B10" s="37" t="s">
        <v>396</v>
      </c>
      <c r="C10" s="54" t="s">
        <v>774</v>
      </c>
      <c r="D10" s="54" t="s">
        <v>5223</v>
      </c>
      <c r="E10" s="54" t="s">
        <v>5215</v>
      </c>
      <c r="F10" s="54" t="s">
        <v>5216</v>
      </c>
      <c r="G10" s="54" t="s">
        <v>5217</v>
      </c>
      <c r="H10" s="37" t="s">
        <v>5218</v>
      </c>
      <c r="I10" s="54" t="s">
        <v>5219</v>
      </c>
      <c r="J10" s="37"/>
    </row>
    <row r="11" customFormat="false" ht="15" hidden="false" customHeight="true" outlineLevel="0" collapsed="false">
      <c r="A11" s="37" t="s">
        <v>776</v>
      </c>
      <c r="B11" s="37" t="s">
        <v>396</v>
      </c>
      <c r="C11" s="54" t="s">
        <v>777</v>
      </c>
      <c r="D11" s="54" t="s">
        <v>5220</v>
      </c>
      <c r="E11" s="54" t="s">
        <v>5221</v>
      </c>
      <c r="F11" s="54" t="s">
        <v>5216</v>
      </c>
      <c r="G11" s="54" t="s">
        <v>5217</v>
      </c>
      <c r="H11" s="37" t="s">
        <v>5218</v>
      </c>
      <c r="I11" s="54" t="s">
        <v>5219</v>
      </c>
      <c r="J11" s="37"/>
    </row>
    <row r="12" customFormat="false" ht="15" hidden="false" customHeight="true" outlineLevel="0" collapsed="false">
      <c r="A12" s="37" t="s">
        <v>779</v>
      </c>
      <c r="B12" s="37" t="s">
        <v>396</v>
      </c>
      <c r="C12" s="54" t="s">
        <v>780</v>
      </c>
      <c r="D12" s="54" t="s">
        <v>5214</v>
      </c>
      <c r="E12" s="54" t="s">
        <v>5215</v>
      </c>
      <c r="F12" s="54" t="s">
        <v>5216</v>
      </c>
      <c r="G12" s="54" t="s">
        <v>5217</v>
      </c>
      <c r="H12" s="37" t="s">
        <v>5218</v>
      </c>
      <c r="I12" s="54" t="s">
        <v>5219</v>
      </c>
      <c r="J12" s="37"/>
    </row>
    <row r="13" customFormat="false" ht="15" hidden="false" customHeight="true" outlineLevel="0" collapsed="false">
      <c r="A13" s="37" t="s">
        <v>781</v>
      </c>
      <c r="B13" s="37" t="s">
        <v>396</v>
      </c>
      <c r="C13" s="54" t="s">
        <v>782</v>
      </c>
      <c r="D13" s="54" t="s">
        <v>5214</v>
      </c>
      <c r="E13" s="54" t="s">
        <v>5215</v>
      </c>
      <c r="F13" s="54" t="s">
        <v>5216</v>
      </c>
      <c r="G13" s="54" t="s">
        <v>5217</v>
      </c>
      <c r="H13" s="37" t="s">
        <v>5218</v>
      </c>
      <c r="I13" s="54" t="s">
        <v>5219</v>
      </c>
      <c r="J13" s="37"/>
    </row>
    <row r="14" customFormat="false" ht="15" hidden="false" customHeight="true" outlineLevel="0" collapsed="false">
      <c r="A14" s="37" t="s">
        <v>784</v>
      </c>
      <c r="B14" s="37" t="s">
        <v>396</v>
      </c>
      <c r="C14" s="54" t="s">
        <v>785</v>
      </c>
      <c r="D14" s="54" t="s">
        <v>5220</v>
      </c>
      <c r="E14" s="54" t="s">
        <v>5221</v>
      </c>
      <c r="F14" s="54" t="s">
        <v>5216</v>
      </c>
      <c r="G14" s="54" t="s">
        <v>5217</v>
      </c>
      <c r="H14" s="37" t="s">
        <v>5218</v>
      </c>
      <c r="I14" s="54" t="s">
        <v>5219</v>
      </c>
      <c r="J14" s="37"/>
    </row>
    <row r="15" customFormat="false" ht="15" hidden="false" customHeight="true" outlineLevel="0" collapsed="false">
      <c r="A15" s="37" t="s">
        <v>787</v>
      </c>
      <c r="B15" s="37" t="s">
        <v>396</v>
      </c>
      <c r="C15" s="54" t="s">
        <v>788</v>
      </c>
      <c r="D15" s="54" t="s">
        <v>5222</v>
      </c>
      <c r="E15" s="54" t="s">
        <v>5215</v>
      </c>
      <c r="F15" s="54" t="s">
        <v>5216</v>
      </c>
      <c r="G15" s="54" t="s">
        <v>5217</v>
      </c>
      <c r="H15" s="37" t="s">
        <v>5218</v>
      </c>
      <c r="I15" s="54" t="s">
        <v>5219</v>
      </c>
      <c r="J15" s="37"/>
    </row>
    <row r="16" customFormat="false" ht="15" hidden="false" customHeight="true" outlineLevel="0" collapsed="false">
      <c r="A16" s="37" t="s">
        <v>790</v>
      </c>
      <c r="B16" s="37" t="s">
        <v>396</v>
      </c>
      <c r="C16" s="54" t="s">
        <v>791</v>
      </c>
      <c r="D16" s="54" t="s">
        <v>5220</v>
      </c>
      <c r="E16" s="54" t="s">
        <v>5221</v>
      </c>
      <c r="F16" s="54" t="s">
        <v>5216</v>
      </c>
      <c r="G16" s="54" t="s">
        <v>5217</v>
      </c>
      <c r="H16" s="37" t="s">
        <v>5218</v>
      </c>
      <c r="I16" s="54" t="s">
        <v>5219</v>
      </c>
      <c r="J16" s="37"/>
    </row>
    <row r="17" customFormat="false" ht="15" hidden="false" customHeight="true" outlineLevel="0" collapsed="false">
      <c r="A17" s="37" t="s">
        <v>793</v>
      </c>
      <c r="B17" s="37" t="s">
        <v>396</v>
      </c>
      <c r="C17" s="54" t="s">
        <v>794</v>
      </c>
      <c r="D17" s="54" t="s">
        <v>5222</v>
      </c>
      <c r="E17" s="54" t="s">
        <v>5215</v>
      </c>
      <c r="F17" s="54" t="s">
        <v>5216</v>
      </c>
      <c r="G17" s="54" t="s">
        <v>5217</v>
      </c>
      <c r="H17" s="37" t="s">
        <v>5218</v>
      </c>
      <c r="I17" s="54" t="s">
        <v>5219</v>
      </c>
      <c r="J17" s="37"/>
    </row>
    <row r="18" customFormat="false" ht="15" hidden="false" customHeight="true" outlineLevel="0" collapsed="false">
      <c r="A18" s="37" t="s">
        <v>796</v>
      </c>
      <c r="B18" s="37" t="s">
        <v>396</v>
      </c>
      <c r="C18" s="54" t="s">
        <v>797</v>
      </c>
      <c r="D18" s="54" t="s">
        <v>5223</v>
      </c>
      <c r="E18" s="54" t="s">
        <v>5215</v>
      </c>
      <c r="F18" s="54" t="s">
        <v>5216</v>
      </c>
      <c r="G18" s="54" t="s">
        <v>5217</v>
      </c>
      <c r="H18" s="37" t="s">
        <v>5218</v>
      </c>
      <c r="I18" s="54" t="s">
        <v>5219</v>
      </c>
      <c r="J18" s="37"/>
    </row>
    <row r="19" customFormat="false" ht="15" hidden="false" customHeight="true" outlineLevel="0" collapsed="false">
      <c r="A19" s="37" t="s">
        <v>799</v>
      </c>
      <c r="B19" s="37" t="s">
        <v>396</v>
      </c>
      <c r="C19" s="54" t="s">
        <v>800</v>
      </c>
      <c r="D19" s="54" t="s">
        <v>5220</v>
      </c>
      <c r="E19" s="54" t="s">
        <v>5221</v>
      </c>
      <c r="F19" s="54" t="s">
        <v>5216</v>
      </c>
      <c r="G19" s="54" t="s">
        <v>5217</v>
      </c>
      <c r="H19" s="37" t="s">
        <v>5218</v>
      </c>
      <c r="I19" s="54" t="s">
        <v>5219</v>
      </c>
      <c r="J19" s="37"/>
    </row>
    <row r="20" customFormat="false" ht="15" hidden="false" customHeight="true" outlineLevel="0" collapsed="false">
      <c r="A20" s="37" t="s">
        <v>802</v>
      </c>
      <c r="B20" s="37" t="s">
        <v>396</v>
      </c>
      <c r="C20" s="54" t="s">
        <v>803</v>
      </c>
      <c r="D20" s="54" t="s">
        <v>5223</v>
      </c>
      <c r="E20" s="54" t="s">
        <v>5215</v>
      </c>
      <c r="F20" s="54" t="s">
        <v>5216</v>
      </c>
      <c r="G20" s="54" t="s">
        <v>5217</v>
      </c>
      <c r="H20" s="37" t="s">
        <v>5218</v>
      </c>
      <c r="I20" s="54" t="s">
        <v>5219</v>
      </c>
      <c r="J20" s="37"/>
    </row>
    <row r="21" customFormat="false" ht="15" hidden="false" customHeight="true" outlineLevel="0" collapsed="false">
      <c r="A21" s="37" t="s">
        <v>804</v>
      </c>
      <c r="B21" s="37" t="s">
        <v>396</v>
      </c>
      <c r="C21" s="54" t="s">
        <v>805</v>
      </c>
      <c r="D21" s="54" t="s">
        <v>5223</v>
      </c>
      <c r="E21" s="54" t="s">
        <v>5215</v>
      </c>
      <c r="F21" s="54" t="s">
        <v>5216</v>
      </c>
      <c r="G21" s="54" t="s">
        <v>5217</v>
      </c>
      <c r="H21" s="37" t="s">
        <v>5218</v>
      </c>
      <c r="I21" s="54" t="s">
        <v>5219</v>
      </c>
      <c r="J21" s="37"/>
    </row>
    <row r="22" customFormat="false" ht="15" hidden="false" customHeight="true" outlineLevel="0" collapsed="false">
      <c r="A22" s="37" t="s">
        <v>808</v>
      </c>
      <c r="B22" s="37" t="s">
        <v>396</v>
      </c>
      <c r="C22" s="54" t="s">
        <v>809</v>
      </c>
      <c r="D22" s="54" t="s">
        <v>5220</v>
      </c>
      <c r="E22" s="54" t="s">
        <v>5221</v>
      </c>
      <c r="F22" s="54" t="s">
        <v>5216</v>
      </c>
      <c r="G22" s="54" t="s">
        <v>5217</v>
      </c>
      <c r="H22" s="37" t="s">
        <v>5218</v>
      </c>
      <c r="I22" s="54" t="s">
        <v>5219</v>
      </c>
      <c r="J22" s="37"/>
    </row>
    <row r="23" customFormat="false" ht="15" hidden="false" customHeight="true" outlineLevel="0" collapsed="false">
      <c r="A23" s="37" t="s">
        <v>811</v>
      </c>
      <c r="B23" s="37" t="s">
        <v>396</v>
      </c>
      <c r="C23" s="54" t="s">
        <v>812</v>
      </c>
      <c r="D23" s="54" t="s">
        <v>5214</v>
      </c>
      <c r="E23" s="54" t="s">
        <v>5215</v>
      </c>
      <c r="F23" s="54" t="s">
        <v>5216</v>
      </c>
      <c r="G23" s="54" t="s">
        <v>5217</v>
      </c>
      <c r="H23" s="37" t="s">
        <v>5218</v>
      </c>
      <c r="I23" s="54" t="s">
        <v>5219</v>
      </c>
      <c r="J23" s="37"/>
    </row>
    <row r="24" customFormat="false" ht="15" hidden="false" customHeight="true" outlineLevel="0" collapsed="false">
      <c r="A24" s="37" t="s">
        <v>814</v>
      </c>
      <c r="B24" s="37" t="s">
        <v>396</v>
      </c>
      <c r="C24" s="54" t="s">
        <v>815</v>
      </c>
      <c r="D24" s="54" t="s">
        <v>5214</v>
      </c>
      <c r="E24" s="54" t="s">
        <v>5215</v>
      </c>
      <c r="F24" s="54" t="s">
        <v>5216</v>
      </c>
      <c r="G24" s="54" t="s">
        <v>5217</v>
      </c>
      <c r="H24" s="37" t="s">
        <v>5218</v>
      </c>
      <c r="I24" s="54" t="s">
        <v>5219</v>
      </c>
      <c r="J24" s="37"/>
    </row>
    <row r="25" customFormat="false" ht="15" hidden="false" customHeight="true" outlineLevel="0" collapsed="false">
      <c r="A25" s="37" t="s">
        <v>817</v>
      </c>
      <c r="B25" s="37" t="s">
        <v>396</v>
      </c>
      <c r="C25" s="54" t="s">
        <v>818</v>
      </c>
      <c r="D25" s="54" t="s">
        <v>5223</v>
      </c>
      <c r="E25" s="54" t="s">
        <v>5215</v>
      </c>
      <c r="F25" s="54" t="s">
        <v>5216</v>
      </c>
      <c r="G25" s="54" t="s">
        <v>5217</v>
      </c>
      <c r="H25" s="37" t="s">
        <v>5218</v>
      </c>
      <c r="I25" s="54" t="s">
        <v>5219</v>
      </c>
      <c r="J25" s="37"/>
    </row>
    <row r="26" customFormat="false" ht="15" hidden="false" customHeight="true" outlineLevel="0" collapsed="false">
      <c r="A26" s="37" t="s">
        <v>820</v>
      </c>
      <c r="B26" s="37" t="s">
        <v>396</v>
      </c>
      <c r="C26" s="54" t="s">
        <v>821</v>
      </c>
      <c r="D26" s="54" t="s">
        <v>5224</v>
      </c>
      <c r="E26" s="54" t="s">
        <v>5225</v>
      </c>
      <c r="F26" s="54" t="s">
        <v>5216</v>
      </c>
      <c r="G26" s="54" t="s">
        <v>5217</v>
      </c>
      <c r="H26" s="37" t="s">
        <v>5218</v>
      </c>
      <c r="I26" s="54" t="s">
        <v>5219</v>
      </c>
      <c r="J26" s="37"/>
    </row>
    <row r="27" customFormat="false" ht="15" hidden="false" customHeight="true" outlineLevel="0" collapsed="false">
      <c r="A27" s="37" t="s">
        <v>822</v>
      </c>
      <c r="B27" s="37" t="s">
        <v>396</v>
      </c>
      <c r="C27" s="54" t="s">
        <v>823</v>
      </c>
      <c r="D27" s="54" t="s">
        <v>5223</v>
      </c>
      <c r="E27" s="54" t="s">
        <v>5215</v>
      </c>
      <c r="F27" s="54" t="s">
        <v>5216</v>
      </c>
      <c r="G27" s="54" t="s">
        <v>5217</v>
      </c>
      <c r="H27" s="37" t="s">
        <v>5218</v>
      </c>
      <c r="I27" s="54" t="s">
        <v>5219</v>
      </c>
      <c r="J27" s="37"/>
    </row>
    <row r="28" customFormat="false" ht="15" hidden="false" customHeight="true" outlineLevel="0" collapsed="false">
      <c r="A28" s="37" t="s">
        <v>824</v>
      </c>
      <c r="B28" s="37" t="s">
        <v>396</v>
      </c>
      <c r="C28" s="54" t="s">
        <v>825</v>
      </c>
      <c r="D28" s="54" t="s">
        <v>5223</v>
      </c>
      <c r="E28" s="54" t="s">
        <v>5215</v>
      </c>
      <c r="F28" s="54" t="s">
        <v>5216</v>
      </c>
      <c r="G28" s="54" t="s">
        <v>5217</v>
      </c>
      <c r="H28" s="37" t="s">
        <v>5218</v>
      </c>
      <c r="I28" s="54" t="s">
        <v>5219</v>
      </c>
      <c r="J28" s="37"/>
    </row>
    <row r="29" customFormat="false" ht="15" hidden="false" customHeight="true" outlineLevel="0" collapsed="false">
      <c r="A29" s="37" t="s">
        <v>827</v>
      </c>
      <c r="B29" s="37" t="s">
        <v>396</v>
      </c>
      <c r="C29" s="54" t="s">
        <v>828</v>
      </c>
      <c r="D29" s="54" t="s">
        <v>5220</v>
      </c>
      <c r="E29" s="54" t="s">
        <v>5221</v>
      </c>
      <c r="F29" s="54" t="s">
        <v>5216</v>
      </c>
      <c r="G29" s="54" t="s">
        <v>5217</v>
      </c>
      <c r="H29" s="37" t="s">
        <v>5218</v>
      </c>
      <c r="I29" s="54" t="s">
        <v>5219</v>
      </c>
      <c r="J29" s="37"/>
    </row>
    <row r="30" customFormat="false" ht="15" hidden="false" customHeight="true" outlineLevel="0" collapsed="false">
      <c r="A30" s="37" t="s">
        <v>829</v>
      </c>
      <c r="B30" s="37" t="s">
        <v>396</v>
      </c>
      <c r="C30" s="54" t="s">
        <v>830</v>
      </c>
      <c r="D30" s="54" t="s">
        <v>5214</v>
      </c>
      <c r="E30" s="54" t="s">
        <v>5215</v>
      </c>
      <c r="F30" s="54" t="s">
        <v>5216</v>
      </c>
      <c r="G30" s="54" t="s">
        <v>5217</v>
      </c>
      <c r="H30" s="37" t="s">
        <v>5218</v>
      </c>
      <c r="I30" s="54" t="s">
        <v>5219</v>
      </c>
      <c r="J30" s="37"/>
    </row>
    <row r="31" customFormat="false" ht="15" hidden="false" customHeight="true" outlineLevel="0" collapsed="false">
      <c r="A31" s="37" t="s">
        <v>832</v>
      </c>
      <c r="B31" s="37" t="s">
        <v>396</v>
      </c>
      <c r="C31" s="54" t="s">
        <v>833</v>
      </c>
      <c r="D31" s="54" t="s">
        <v>5224</v>
      </c>
      <c r="E31" s="54" t="s">
        <v>5225</v>
      </c>
      <c r="F31" s="54" t="s">
        <v>5216</v>
      </c>
      <c r="G31" s="54" t="s">
        <v>5217</v>
      </c>
      <c r="H31" s="37" t="s">
        <v>5218</v>
      </c>
      <c r="I31" s="54" t="s">
        <v>5219</v>
      </c>
      <c r="J31" s="37"/>
    </row>
    <row r="32" customFormat="false" ht="15" hidden="false" customHeight="true" outlineLevel="0" collapsed="false">
      <c r="A32" s="37" t="s">
        <v>835</v>
      </c>
      <c r="B32" s="37" t="s">
        <v>396</v>
      </c>
      <c r="C32" s="54" t="s">
        <v>836</v>
      </c>
      <c r="D32" s="54" t="s">
        <v>5224</v>
      </c>
      <c r="E32" s="54" t="s">
        <v>5225</v>
      </c>
      <c r="F32" s="54" t="s">
        <v>5216</v>
      </c>
      <c r="G32" s="54" t="s">
        <v>5217</v>
      </c>
      <c r="H32" s="37" t="s">
        <v>5218</v>
      </c>
      <c r="I32" s="54" t="s">
        <v>5219</v>
      </c>
      <c r="J32" s="37"/>
    </row>
    <row r="33" customFormat="false" ht="15" hidden="false" customHeight="true" outlineLevel="0" collapsed="false">
      <c r="A33" s="37" t="s">
        <v>837</v>
      </c>
      <c r="B33" s="37" t="s">
        <v>396</v>
      </c>
      <c r="C33" s="54" t="s">
        <v>838</v>
      </c>
      <c r="D33" s="54" t="s">
        <v>5223</v>
      </c>
      <c r="E33" s="54" t="s">
        <v>5215</v>
      </c>
      <c r="F33" s="54" t="s">
        <v>5216</v>
      </c>
      <c r="G33" s="54" t="s">
        <v>5217</v>
      </c>
      <c r="H33" s="37" t="s">
        <v>5218</v>
      </c>
      <c r="I33" s="54" t="s">
        <v>5219</v>
      </c>
      <c r="J33" s="37"/>
    </row>
    <row r="34" customFormat="false" ht="15" hidden="false" customHeight="true" outlineLevel="0" collapsed="false">
      <c r="A34" s="37" t="s">
        <v>840</v>
      </c>
      <c r="B34" s="37" t="s">
        <v>396</v>
      </c>
      <c r="C34" s="54" t="s">
        <v>841</v>
      </c>
      <c r="D34" s="54" t="s">
        <v>5224</v>
      </c>
      <c r="E34" s="54" t="s">
        <v>5225</v>
      </c>
      <c r="F34" s="54" t="s">
        <v>5216</v>
      </c>
      <c r="G34" s="54" t="s">
        <v>5217</v>
      </c>
      <c r="H34" s="37" t="s">
        <v>5218</v>
      </c>
      <c r="I34" s="54" t="s">
        <v>5219</v>
      </c>
      <c r="J34" s="37"/>
    </row>
    <row r="35" customFormat="false" ht="15" hidden="false" customHeight="true" outlineLevel="0" collapsed="false">
      <c r="A35" s="37" t="s">
        <v>843</v>
      </c>
      <c r="B35" s="37" t="s">
        <v>396</v>
      </c>
      <c r="C35" s="54" t="s">
        <v>844</v>
      </c>
      <c r="D35" s="54" t="s">
        <v>5224</v>
      </c>
      <c r="E35" s="54" t="s">
        <v>5225</v>
      </c>
      <c r="F35" s="54" t="s">
        <v>5216</v>
      </c>
      <c r="G35" s="54" t="s">
        <v>5217</v>
      </c>
      <c r="H35" s="37" t="s">
        <v>5218</v>
      </c>
      <c r="I35" s="54" t="s">
        <v>5219</v>
      </c>
      <c r="J35" s="37"/>
    </row>
    <row r="36" customFormat="false" ht="15" hidden="false" customHeight="true" outlineLevel="0" collapsed="false">
      <c r="A36" s="37" t="s">
        <v>846</v>
      </c>
      <c r="B36" s="37" t="s">
        <v>396</v>
      </c>
      <c r="C36" s="54" t="s">
        <v>847</v>
      </c>
      <c r="D36" s="54" t="s">
        <v>5220</v>
      </c>
      <c r="E36" s="54" t="s">
        <v>5221</v>
      </c>
      <c r="F36" s="54" t="s">
        <v>5216</v>
      </c>
      <c r="G36" s="54" t="s">
        <v>5217</v>
      </c>
      <c r="H36" s="37" t="s">
        <v>5218</v>
      </c>
      <c r="I36" s="54" t="s">
        <v>5219</v>
      </c>
      <c r="J36" s="37"/>
    </row>
    <row r="37" customFormat="false" ht="15" hidden="false" customHeight="true" outlineLevel="0" collapsed="false">
      <c r="A37" s="37" t="s">
        <v>848</v>
      </c>
      <c r="B37" s="37" t="s">
        <v>396</v>
      </c>
      <c r="C37" s="54" t="s">
        <v>849</v>
      </c>
      <c r="D37" s="54" t="s">
        <v>5224</v>
      </c>
      <c r="E37" s="54" t="s">
        <v>5225</v>
      </c>
      <c r="F37" s="54" t="s">
        <v>5216</v>
      </c>
      <c r="G37" s="54" t="s">
        <v>5217</v>
      </c>
      <c r="H37" s="37" t="s">
        <v>5218</v>
      </c>
      <c r="I37" s="54" t="s">
        <v>5219</v>
      </c>
      <c r="J37" s="37"/>
    </row>
    <row r="38" customFormat="false" ht="15" hidden="false" customHeight="true" outlineLevel="0" collapsed="false">
      <c r="A38" s="37" t="s">
        <v>851</v>
      </c>
      <c r="B38" s="37" t="s">
        <v>396</v>
      </c>
      <c r="C38" s="54" t="s">
        <v>852</v>
      </c>
      <c r="D38" s="54" t="s">
        <v>5214</v>
      </c>
      <c r="E38" s="54" t="s">
        <v>5215</v>
      </c>
      <c r="F38" s="54" t="s">
        <v>5216</v>
      </c>
      <c r="G38" s="54" t="s">
        <v>5217</v>
      </c>
      <c r="H38" s="37" t="s">
        <v>5218</v>
      </c>
      <c r="I38" s="54" t="s">
        <v>5219</v>
      </c>
      <c r="J38" s="37"/>
    </row>
    <row r="39" customFormat="false" ht="15" hidden="false" customHeight="true" outlineLevel="0" collapsed="false">
      <c r="A39" s="37" t="s">
        <v>854</v>
      </c>
      <c r="B39" s="37" t="s">
        <v>396</v>
      </c>
      <c r="C39" s="54" t="s">
        <v>855</v>
      </c>
      <c r="D39" s="54" t="s">
        <v>5224</v>
      </c>
      <c r="E39" s="54" t="s">
        <v>5225</v>
      </c>
      <c r="F39" s="54" t="s">
        <v>5216</v>
      </c>
      <c r="G39" s="54" t="s">
        <v>5217</v>
      </c>
      <c r="H39" s="37" t="s">
        <v>5218</v>
      </c>
      <c r="I39" s="54" t="s">
        <v>5219</v>
      </c>
      <c r="J39" s="37"/>
    </row>
    <row r="40" customFormat="false" ht="15" hidden="false" customHeight="true" outlineLevel="0" collapsed="false">
      <c r="A40" s="37" t="s">
        <v>857</v>
      </c>
      <c r="B40" s="37" t="s">
        <v>396</v>
      </c>
      <c r="C40" s="54" t="s">
        <v>858</v>
      </c>
      <c r="D40" s="54" t="s">
        <v>5223</v>
      </c>
      <c r="E40" s="54" t="s">
        <v>5215</v>
      </c>
      <c r="F40" s="54" t="s">
        <v>5216</v>
      </c>
      <c r="G40" s="54" t="s">
        <v>5217</v>
      </c>
      <c r="H40" s="37" t="s">
        <v>5218</v>
      </c>
      <c r="I40" s="54" t="s">
        <v>5219</v>
      </c>
      <c r="J40" s="37"/>
    </row>
    <row r="41" customFormat="false" ht="15" hidden="false" customHeight="true" outlineLevel="0" collapsed="false">
      <c r="A41" s="37" t="s">
        <v>860</v>
      </c>
      <c r="B41" s="37" t="s">
        <v>396</v>
      </c>
      <c r="C41" s="54" t="s">
        <v>861</v>
      </c>
      <c r="D41" s="54" t="s">
        <v>5226</v>
      </c>
      <c r="E41" s="54" t="s">
        <v>5227</v>
      </c>
      <c r="F41" s="54" t="s">
        <v>5216</v>
      </c>
      <c r="G41" s="54" t="s">
        <v>5217</v>
      </c>
      <c r="H41" s="37" t="s">
        <v>5218</v>
      </c>
      <c r="I41" s="54" t="s">
        <v>5219</v>
      </c>
      <c r="J41" s="37"/>
    </row>
    <row r="42" customFormat="false" ht="15" hidden="false" customHeight="true" outlineLevel="0" collapsed="false">
      <c r="A42" s="37" t="s">
        <v>863</v>
      </c>
      <c r="B42" s="37" t="s">
        <v>396</v>
      </c>
      <c r="C42" s="54" t="s">
        <v>864</v>
      </c>
      <c r="D42" s="54" t="s">
        <v>5214</v>
      </c>
      <c r="E42" s="54" t="s">
        <v>5215</v>
      </c>
      <c r="F42" s="54" t="s">
        <v>5216</v>
      </c>
      <c r="G42" s="54" t="s">
        <v>5217</v>
      </c>
      <c r="H42" s="37" t="s">
        <v>5218</v>
      </c>
      <c r="I42" s="54" t="s">
        <v>5219</v>
      </c>
      <c r="J42" s="37"/>
    </row>
    <row r="43" customFormat="false" ht="15" hidden="false" customHeight="true" outlineLevel="0" collapsed="false">
      <c r="A43" s="37" t="s">
        <v>866</v>
      </c>
      <c r="B43" s="37" t="s">
        <v>396</v>
      </c>
      <c r="C43" s="54" t="s">
        <v>867</v>
      </c>
      <c r="D43" s="54" t="s">
        <v>5214</v>
      </c>
      <c r="E43" s="54" t="s">
        <v>5215</v>
      </c>
      <c r="F43" s="54" t="s">
        <v>5216</v>
      </c>
      <c r="G43" s="54" t="s">
        <v>5217</v>
      </c>
      <c r="H43" s="37" t="s">
        <v>5218</v>
      </c>
      <c r="I43" s="54" t="s">
        <v>5219</v>
      </c>
      <c r="J43" s="37"/>
    </row>
    <row r="44" customFormat="false" ht="15" hidden="false" customHeight="true" outlineLevel="0" collapsed="false">
      <c r="A44" s="37" t="s">
        <v>869</v>
      </c>
      <c r="B44" s="37" t="s">
        <v>396</v>
      </c>
      <c r="C44" s="54" t="s">
        <v>870</v>
      </c>
      <c r="D44" s="54" t="s">
        <v>5214</v>
      </c>
      <c r="E44" s="54" t="s">
        <v>5215</v>
      </c>
      <c r="F44" s="54" t="s">
        <v>5216</v>
      </c>
      <c r="G44" s="54" t="s">
        <v>5217</v>
      </c>
      <c r="H44" s="37" t="s">
        <v>5218</v>
      </c>
      <c r="I44" s="54" t="s">
        <v>5219</v>
      </c>
      <c r="J44" s="37"/>
    </row>
    <row r="45" customFormat="false" ht="15" hidden="false" customHeight="true" outlineLevel="0" collapsed="false">
      <c r="A45" s="37" t="s">
        <v>871</v>
      </c>
      <c r="B45" s="37" t="s">
        <v>396</v>
      </c>
      <c r="C45" s="54" t="s">
        <v>872</v>
      </c>
      <c r="D45" s="54" t="s">
        <v>5220</v>
      </c>
      <c r="E45" s="54" t="s">
        <v>5221</v>
      </c>
      <c r="F45" s="54" t="s">
        <v>5216</v>
      </c>
      <c r="G45" s="54" t="s">
        <v>5217</v>
      </c>
      <c r="H45" s="37" t="s">
        <v>5218</v>
      </c>
      <c r="I45" s="54" t="s">
        <v>5219</v>
      </c>
      <c r="J45" s="37"/>
    </row>
    <row r="46" customFormat="false" ht="15" hidden="false" customHeight="true" outlineLevel="0" collapsed="false">
      <c r="A46" s="37" t="s">
        <v>874</v>
      </c>
      <c r="B46" s="37" t="s">
        <v>396</v>
      </c>
      <c r="C46" s="54" t="s">
        <v>875</v>
      </c>
      <c r="D46" s="54" t="s">
        <v>5214</v>
      </c>
      <c r="E46" s="54" t="s">
        <v>5215</v>
      </c>
      <c r="F46" s="54" t="s">
        <v>5216</v>
      </c>
      <c r="G46" s="54" t="s">
        <v>5217</v>
      </c>
      <c r="H46" s="37" t="s">
        <v>5218</v>
      </c>
      <c r="I46" s="54" t="s">
        <v>5219</v>
      </c>
      <c r="J46" s="37"/>
    </row>
    <row r="47" customFormat="false" ht="15" hidden="false" customHeight="true" outlineLevel="0" collapsed="false">
      <c r="A47" s="37" t="s">
        <v>877</v>
      </c>
      <c r="B47" s="37" t="s">
        <v>396</v>
      </c>
      <c r="C47" s="54" t="s">
        <v>878</v>
      </c>
      <c r="D47" s="54" t="s">
        <v>5224</v>
      </c>
      <c r="E47" s="54" t="s">
        <v>5225</v>
      </c>
      <c r="F47" s="54" t="s">
        <v>5216</v>
      </c>
      <c r="G47" s="54" t="s">
        <v>5217</v>
      </c>
      <c r="H47" s="37" t="s">
        <v>5218</v>
      </c>
      <c r="I47" s="54" t="s">
        <v>5219</v>
      </c>
      <c r="J47" s="37"/>
    </row>
    <row r="48" customFormat="false" ht="15" hidden="false" customHeight="true" outlineLevel="0" collapsed="false">
      <c r="A48" s="37" t="s">
        <v>879</v>
      </c>
      <c r="B48" s="37" t="s">
        <v>396</v>
      </c>
      <c r="C48" s="54" t="s">
        <v>880</v>
      </c>
      <c r="D48" s="54" t="s">
        <v>5214</v>
      </c>
      <c r="E48" s="54" t="s">
        <v>5215</v>
      </c>
      <c r="F48" s="54" t="s">
        <v>5216</v>
      </c>
      <c r="G48" s="54" t="s">
        <v>5217</v>
      </c>
      <c r="H48" s="37" t="s">
        <v>5218</v>
      </c>
      <c r="I48" s="54" t="s">
        <v>5219</v>
      </c>
      <c r="J48" s="37"/>
    </row>
    <row r="49" customFormat="false" ht="15" hidden="false" customHeight="true" outlineLevel="0" collapsed="false">
      <c r="A49" s="37" t="s">
        <v>882</v>
      </c>
      <c r="B49" s="37" t="s">
        <v>396</v>
      </c>
      <c r="C49" s="54" t="s">
        <v>883</v>
      </c>
      <c r="D49" s="54" t="s">
        <v>5214</v>
      </c>
      <c r="E49" s="54" t="s">
        <v>5215</v>
      </c>
      <c r="F49" s="54" t="s">
        <v>5216</v>
      </c>
      <c r="G49" s="54" t="s">
        <v>5217</v>
      </c>
      <c r="H49" s="37" t="s">
        <v>5218</v>
      </c>
      <c r="I49" s="54" t="s">
        <v>5219</v>
      </c>
      <c r="J49" s="37"/>
    </row>
    <row r="50" customFormat="false" ht="15" hidden="false" customHeight="true" outlineLevel="0" collapsed="false">
      <c r="A50" s="37" t="s">
        <v>891</v>
      </c>
      <c r="B50" s="37" t="s">
        <v>396</v>
      </c>
      <c r="C50" s="54" t="s">
        <v>892</v>
      </c>
      <c r="D50" s="54" t="s">
        <v>5214</v>
      </c>
      <c r="E50" s="54" t="s">
        <v>5215</v>
      </c>
      <c r="F50" s="54" t="s">
        <v>5216</v>
      </c>
      <c r="G50" s="54" t="s">
        <v>5217</v>
      </c>
      <c r="H50" s="37" t="s">
        <v>5218</v>
      </c>
      <c r="I50" s="54" t="s">
        <v>5219</v>
      </c>
      <c r="J50" s="37"/>
    </row>
    <row r="51" customFormat="false" ht="15" hidden="false" customHeight="true" outlineLevel="0" collapsed="false">
      <c r="A51" s="37" t="s">
        <v>895</v>
      </c>
      <c r="B51" s="37" t="s">
        <v>396</v>
      </c>
      <c r="C51" s="54" t="s">
        <v>896</v>
      </c>
      <c r="D51" s="54" t="s">
        <v>5214</v>
      </c>
      <c r="E51" s="54" t="s">
        <v>5215</v>
      </c>
      <c r="F51" s="54" t="s">
        <v>5216</v>
      </c>
      <c r="G51" s="54" t="s">
        <v>5217</v>
      </c>
      <c r="H51" s="37" t="s">
        <v>5218</v>
      </c>
      <c r="I51" s="54" t="s">
        <v>5219</v>
      </c>
      <c r="J51" s="37"/>
    </row>
    <row r="52" customFormat="false" ht="15" hidden="false" customHeight="true" outlineLevel="0" collapsed="false">
      <c r="A52" s="37" t="s">
        <v>897</v>
      </c>
      <c r="B52" s="37" t="s">
        <v>396</v>
      </c>
      <c r="C52" s="54" t="s">
        <v>898</v>
      </c>
      <c r="D52" s="54" t="s">
        <v>5220</v>
      </c>
      <c r="E52" s="54" t="s">
        <v>5221</v>
      </c>
      <c r="F52" s="54" t="s">
        <v>5216</v>
      </c>
      <c r="G52" s="54" t="s">
        <v>5217</v>
      </c>
      <c r="H52" s="37" t="s">
        <v>5218</v>
      </c>
      <c r="I52" s="54" t="s">
        <v>5219</v>
      </c>
      <c r="J52" s="37"/>
    </row>
    <row r="53" customFormat="false" ht="15" hidden="false" customHeight="true" outlineLevel="0" collapsed="false">
      <c r="A53" s="37" t="s">
        <v>900</v>
      </c>
      <c r="B53" s="37" t="s">
        <v>396</v>
      </c>
      <c r="C53" s="54" t="s">
        <v>901</v>
      </c>
      <c r="D53" s="54" t="s">
        <v>5220</v>
      </c>
      <c r="E53" s="54" t="s">
        <v>5221</v>
      </c>
      <c r="F53" s="54" t="s">
        <v>5216</v>
      </c>
      <c r="G53" s="54" t="s">
        <v>5217</v>
      </c>
      <c r="H53" s="37" t="s">
        <v>5218</v>
      </c>
      <c r="I53" s="54" t="s">
        <v>5219</v>
      </c>
      <c r="J53" s="37"/>
    </row>
    <row r="54" customFormat="false" ht="15" hidden="false" customHeight="true" outlineLevel="0" collapsed="false">
      <c r="A54" s="37" t="s">
        <v>904</v>
      </c>
      <c r="B54" s="37" t="s">
        <v>396</v>
      </c>
      <c r="C54" s="54" t="s">
        <v>905</v>
      </c>
      <c r="D54" s="54" t="s">
        <v>5220</v>
      </c>
      <c r="E54" s="54" t="s">
        <v>5221</v>
      </c>
      <c r="F54" s="54" t="s">
        <v>5216</v>
      </c>
      <c r="G54" s="54" t="s">
        <v>5217</v>
      </c>
      <c r="H54" s="37" t="s">
        <v>5218</v>
      </c>
      <c r="I54" s="54" t="s">
        <v>5219</v>
      </c>
      <c r="J54" s="37"/>
    </row>
    <row r="55" customFormat="false" ht="15" hidden="false" customHeight="true" outlineLevel="0" collapsed="false">
      <c r="A55" s="37" t="s">
        <v>907</v>
      </c>
      <c r="B55" s="37" t="s">
        <v>396</v>
      </c>
      <c r="C55" s="54" t="s">
        <v>908</v>
      </c>
      <c r="D55" s="54" t="s">
        <v>5224</v>
      </c>
      <c r="E55" s="54" t="s">
        <v>5225</v>
      </c>
      <c r="F55" s="54" t="s">
        <v>5216</v>
      </c>
      <c r="G55" s="54" t="s">
        <v>5217</v>
      </c>
      <c r="H55" s="37" t="s">
        <v>5218</v>
      </c>
      <c r="I55" s="54" t="s">
        <v>5219</v>
      </c>
      <c r="J55" s="37"/>
    </row>
    <row r="56" customFormat="false" ht="15" hidden="false" customHeight="true" outlineLevel="0" collapsed="false">
      <c r="A56" s="37" t="s">
        <v>909</v>
      </c>
      <c r="B56" s="37" t="s">
        <v>396</v>
      </c>
      <c r="C56" s="54" t="s">
        <v>910</v>
      </c>
      <c r="D56" s="54" t="s">
        <v>5226</v>
      </c>
      <c r="E56" s="54" t="s">
        <v>5227</v>
      </c>
      <c r="F56" s="54" t="s">
        <v>5216</v>
      </c>
      <c r="G56" s="54" t="s">
        <v>5217</v>
      </c>
      <c r="H56" s="37" t="s">
        <v>5218</v>
      </c>
      <c r="I56" s="54" t="s">
        <v>5219</v>
      </c>
      <c r="J56" s="37"/>
    </row>
    <row r="57" customFormat="false" ht="15" hidden="false" customHeight="true" outlineLevel="0" collapsed="false">
      <c r="A57" s="37" t="s">
        <v>912</v>
      </c>
      <c r="B57" s="37" t="s">
        <v>396</v>
      </c>
      <c r="C57" s="54" t="s">
        <v>913</v>
      </c>
      <c r="D57" s="54" t="s">
        <v>5214</v>
      </c>
      <c r="E57" s="54" t="s">
        <v>5215</v>
      </c>
      <c r="F57" s="54" t="s">
        <v>5216</v>
      </c>
      <c r="G57" s="54" t="s">
        <v>5217</v>
      </c>
      <c r="H57" s="37" t="s">
        <v>5218</v>
      </c>
      <c r="I57" s="54" t="s">
        <v>5219</v>
      </c>
      <c r="J57" s="37"/>
    </row>
    <row r="58" customFormat="false" ht="15" hidden="false" customHeight="true" outlineLevel="0" collapsed="false">
      <c r="A58" s="37" t="s">
        <v>914</v>
      </c>
      <c r="B58" s="37" t="s">
        <v>396</v>
      </c>
      <c r="C58" s="54" t="s">
        <v>915</v>
      </c>
      <c r="D58" s="54" t="s">
        <v>5223</v>
      </c>
      <c r="E58" s="54" t="s">
        <v>5215</v>
      </c>
      <c r="F58" s="54" t="s">
        <v>5216</v>
      </c>
      <c r="G58" s="54" t="s">
        <v>5217</v>
      </c>
      <c r="H58" s="37" t="s">
        <v>5218</v>
      </c>
      <c r="I58" s="54" t="s">
        <v>5219</v>
      </c>
      <c r="J58" s="37"/>
    </row>
    <row r="59" customFormat="false" ht="15" hidden="false" customHeight="true" outlineLevel="0" collapsed="false">
      <c r="A59" s="37" t="s">
        <v>917</v>
      </c>
      <c r="B59" s="37" t="s">
        <v>396</v>
      </c>
      <c r="C59" s="54" t="s">
        <v>918</v>
      </c>
      <c r="D59" s="54" t="s">
        <v>5214</v>
      </c>
      <c r="E59" s="54" t="s">
        <v>5215</v>
      </c>
      <c r="F59" s="54" t="s">
        <v>5216</v>
      </c>
      <c r="G59" s="54" t="s">
        <v>5217</v>
      </c>
      <c r="H59" s="37" t="s">
        <v>5218</v>
      </c>
      <c r="I59" s="54" t="s">
        <v>5219</v>
      </c>
      <c r="J59" s="37"/>
    </row>
    <row r="60" customFormat="false" ht="15" hidden="false" customHeight="true" outlineLevel="0" collapsed="false">
      <c r="A60" s="37" t="s">
        <v>520</v>
      </c>
      <c r="B60" s="37" t="s">
        <v>390</v>
      </c>
      <c r="C60" s="54" t="s">
        <v>521</v>
      </c>
      <c r="D60" s="54" t="s">
        <v>5228</v>
      </c>
      <c r="E60" s="54" t="s">
        <v>5229</v>
      </c>
      <c r="F60" s="54" t="s">
        <v>5216</v>
      </c>
      <c r="G60" s="54" t="s">
        <v>5230</v>
      </c>
      <c r="H60" s="37" t="s">
        <v>5231</v>
      </c>
      <c r="I60" s="54" t="s">
        <v>5219</v>
      </c>
      <c r="J60" s="37"/>
    </row>
    <row r="61" customFormat="false" ht="15" hidden="false" customHeight="true" outlineLevel="0" collapsed="false">
      <c r="A61" s="37" t="s">
        <v>530</v>
      </c>
      <c r="B61" s="37" t="s">
        <v>390</v>
      </c>
      <c r="C61" s="54" t="s">
        <v>531</v>
      </c>
      <c r="D61" s="54" t="s">
        <v>5228</v>
      </c>
      <c r="E61" s="54" t="s">
        <v>5229</v>
      </c>
      <c r="F61" s="54" t="s">
        <v>5216</v>
      </c>
      <c r="G61" s="54" t="s">
        <v>5230</v>
      </c>
      <c r="H61" s="37" t="s">
        <v>5231</v>
      </c>
      <c r="I61" s="54" t="s">
        <v>5219</v>
      </c>
      <c r="J61" s="37"/>
    </row>
    <row r="62" customFormat="false" ht="15" hidden="false" customHeight="true" outlineLevel="0" collapsed="false">
      <c r="A62" s="37" t="s">
        <v>534</v>
      </c>
      <c r="B62" s="37" t="s">
        <v>390</v>
      </c>
      <c r="C62" s="54" t="s">
        <v>535</v>
      </c>
      <c r="D62" s="54" t="s">
        <v>5228</v>
      </c>
      <c r="E62" s="54" t="s">
        <v>5229</v>
      </c>
      <c r="F62" s="54" t="s">
        <v>5216</v>
      </c>
      <c r="G62" s="54" t="s">
        <v>5230</v>
      </c>
      <c r="H62" s="37" t="s">
        <v>5231</v>
      </c>
      <c r="I62" s="54" t="s">
        <v>5219</v>
      </c>
      <c r="J62" s="37"/>
    </row>
    <row r="63" customFormat="false" ht="15" hidden="false" customHeight="true" outlineLevel="0" collapsed="false">
      <c r="A63" s="37" t="s">
        <v>537</v>
      </c>
      <c r="B63" s="37" t="s">
        <v>390</v>
      </c>
      <c r="C63" s="54" t="s">
        <v>538</v>
      </c>
      <c r="D63" s="54" t="s">
        <v>5220</v>
      </c>
      <c r="E63" s="54" t="s">
        <v>5221</v>
      </c>
      <c r="F63" s="54" t="s">
        <v>5216</v>
      </c>
      <c r="G63" s="54" t="s">
        <v>5230</v>
      </c>
      <c r="H63" s="37" t="s">
        <v>5231</v>
      </c>
      <c r="I63" s="54" t="s">
        <v>5219</v>
      </c>
      <c r="J63" s="37"/>
    </row>
    <row r="64" customFormat="false" ht="15" hidden="false" customHeight="true" outlineLevel="0" collapsed="false">
      <c r="A64" s="37" t="s">
        <v>541</v>
      </c>
      <c r="B64" s="37" t="s">
        <v>390</v>
      </c>
      <c r="C64" s="54" t="s">
        <v>542</v>
      </c>
      <c r="D64" s="54" t="s">
        <v>5220</v>
      </c>
      <c r="E64" s="54" t="s">
        <v>5221</v>
      </c>
      <c r="F64" s="54" t="s">
        <v>5216</v>
      </c>
      <c r="G64" s="54" t="s">
        <v>5230</v>
      </c>
      <c r="H64" s="37" t="s">
        <v>5231</v>
      </c>
      <c r="I64" s="54" t="s">
        <v>5219</v>
      </c>
      <c r="J64" s="37"/>
    </row>
    <row r="65" customFormat="false" ht="15" hidden="false" customHeight="true" outlineLevel="0" collapsed="false">
      <c r="A65" s="37" t="s">
        <v>545</v>
      </c>
      <c r="B65" s="37" t="s">
        <v>390</v>
      </c>
      <c r="C65" s="54" t="s">
        <v>546</v>
      </c>
      <c r="D65" s="54" t="s">
        <v>5232</v>
      </c>
      <c r="E65" s="54" t="s">
        <v>5233</v>
      </c>
      <c r="F65" s="54" t="s">
        <v>5216</v>
      </c>
      <c r="G65" s="54" t="s">
        <v>5230</v>
      </c>
      <c r="H65" s="37" t="s">
        <v>5231</v>
      </c>
      <c r="I65" s="54" t="s">
        <v>5219</v>
      </c>
      <c r="J65" s="37"/>
    </row>
    <row r="66" customFormat="false" ht="15" hidden="false" customHeight="true" outlineLevel="0" collapsed="false">
      <c r="A66" s="37" t="s">
        <v>553</v>
      </c>
      <c r="B66" s="37" t="s">
        <v>390</v>
      </c>
      <c r="C66" s="54" t="s">
        <v>554</v>
      </c>
      <c r="D66" s="54" t="s">
        <v>5220</v>
      </c>
      <c r="E66" s="54" t="s">
        <v>5221</v>
      </c>
      <c r="F66" s="54" t="s">
        <v>5216</v>
      </c>
      <c r="G66" s="54" t="s">
        <v>5230</v>
      </c>
      <c r="H66" s="37" t="s">
        <v>5231</v>
      </c>
      <c r="I66" s="54" t="s">
        <v>5219</v>
      </c>
      <c r="J66" s="37"/>
    </row>
    <row r="67" customFormat="false" ht="15" hidden="false" customHeight="true" outlineLevel="0" collapsed="false">
      <c r="A67" s="37" t="s">
        <v>558</v>
      </c>
      <c r="B67" s="37" t="s">
        <v>390</v>
      </c>
      <c r="C67" s="37" t="s">
        <v>559</v>
      </c>
      <c r="D67" s="54" t="s">
        <v>5220</v>
      </c>
      <c r="E67" s="54" t="s">
        <v>5221</v>
      </c>
      <c r="F67" s="54" t="s">
        <v>5216</v>
      </c>
      <c r="G67" s="54" t="s">
        <v>5230</v>
      </c>
      <c r="H67" s="37" t="s">
        <v>5231</v>
      </c>
      <c r="I67" s="54" t="s">
        <v>5219</v>
      </c>
      <c r="J67" s="37"/>
    </row>
    <row r="68" customFormat="false" ht="15" hidden="false" customHeight="true" outlineLevel="0" collapsed="false">
      <c r="A68" s="37" t="s">
        <v>565</v>
      </c>
      <c r="B68" s="37" t="s">
        <v>390</v>
      </c>
      <c r="C68" s="54" t="s">
        <v>566</v>
      </c>
      <c r="D68" s="54" t="s">
        <v>5234</v>
      </c>
      <c r="E68" s="54" t="s">
        <v>5235</v>
      </c>
      <c r="F68" s="54" t="s">
        <v>5216</v>
      </c>
      <c r="G68" s="54" t="s">
        <v>5230</v>
      </c>
      <c r="H68" s="37" t="s">
        <v>5231</v>
      </c>
      <c r="I68" s="54" t="s">
        <v>5219</v>
      </c>
      <c r="J68" s="37"/>
    </row>
    <row r="69" customFormat="false" ht="15" hidden="false" customHeight="true" outlineLevel="0" collapsed="false">
      <c r="A69" s="37" t="s">
        <v>571</v>
      </c>
      <c r="B69" s="37" t="s">
        <v>390</v>
      </c>
      <c r="C69" s="54" t="s">
        <v>572</v>
      </c>
      <c r="D69" s="54" t="s">
        <v>5236</v>
      </c>
      <c r="E69" s="54" t="s">
        <v>5237</v>
      </c>
      <c r="F69" s="54" t="s">
        <v>5216</v>
      </c>
      <c r="G69" s="54" t="s">
        <v>5230</v>
      </c>
      <c r="H69" s="37" t="s">
        <v>5231</v>
      </c>
      <c r="I69" s="54" t="s">
        <v>5219</v>
      </c>
      <c r="J69" s="37"/>
    </row>
    <row r="70" customFormat="false" ht="15" hidden="false" customHeight="true" outlineLevel="0" collapsed="false">
      <c r="A70" s="37" t="s">
        <v>576</v>
      </c>
      <c r="B70" s="37" t="s">
        <v>390</v>
      </c>
      <c r="C70" s="54" t="s">
        <v>577</v>
      </c>
      <c r="D70" s="54" t="s">
        <v>5224</v>
      </c>
      <c r="E70" s="54" t="s">
        <v>5225</v>
      </c>
      <c r="F70" s="54" t="s">
        <v>5216</v>
      </c>
      <c r="G70" s="54" t="s">
        <v>5230</v>
      </c>
      <c r="H70" s="37" t="s">
        <v>5231</v>
      </c>
      <c r="I70" s="54" t="s">
        <v>5219</v>
      </c>
      <c r="J70" s="37"/>
    </row>
    <row r="71" customFormat="false" ht="15" hidden="false" customHeight="true" outlineLevel="0" collapsed="false">
      <c r="A71" s="37" t="s">
        <v>581</v>
      </c>
      <c r="B71" s="37" t="s">
        <v>390</v>
      </c>
      <c r="C71" s="54" t="s">
        <v>582</v>
      </c>
      <c r="D71" s="54" t="s">
        <v>5236</v>
      </c>
      <c r="E71" s="54" t="s">
        <v>5237</v>
      </c>
      <c r="F71" s="54" t="s">
        <v>5216</v>
      </c>
      <c r="G71" s="54" t="s">
        <v>5230</v>
      </c>
      <c r="H71" s="37" t="s">
        <v>5231</v>
      </c>
      <c r="I71" s="54" t="s">
        <v>5219</v>
      </c>
      <c r="J71" s="37"/>
    </row>
    <row r="72" customFormat="false" ht="15" hidden="false" customHeight="true" outlineLevel="0" collapsed="false">
      <c r="A72" s="37" t="s">
        <v>585</v>
      </c>
      <c r="B72" s="37" t="s">
        <v>390</v>
      </c>
      <c r="C72" s="54" t="s">
        <v>586</v>
      </c>
      <c r="D72" s="54" t="s">
        <v>5238</v>
      </c>
      <c r="E72" s="54" t="s">
        <v>5239</v>
      </c>
      <c r="F72" s="54" t="s">
        <v>5240</v>
      </c>
      <c r="G72" s="54" t="s">
        <v>5230</v>
      </c>
      <c r="H72" s="37" t="s">
        <v>5231</v>
      </c>
      <c r="I72" s="54" t="s">
        <v>5219</v>
      </c>
      <c r="J72" s="37"/>
    </row>
    <row r="73" customFormat="false" ht="15" hidden="false" customHeight="true" outlineLevel="0" collapsed="false">
      <c r="A73" s="37" t="s">
        <v>590</v>
      </c>
      <c r="B73" s="37" t="s">
        <v>390</v>
      </c>
      <c r="C73" s="54" t="s">
        <v>591</v>
      </c>
      <c r="D73" s="54" t="s">
        <v>5238</v>
      </c>
      <c r="E73" s="54" t="s">
        <v>5239</v>
      </c>
      <c r="F73" s="54" t="s">
        <v>5240</v>
      </c>
      <c r="G73" s="54" t="s">
        <v>5230</v>
      </c>
      <c r="H73" s="37" t="s">
        <v>5231</v>
      </c>
      <c r="I73" s="54" t="s">
        <v>5219</v>
      </c>
      <c r="J73" s="37"/>
    </row>
    <row r="74" customFormat="false" ht="15" hidden="false" customHeight="true" outlineLevel="0" collapsed="false">
      <c r="A74" s="37" t="s">
        <v>594</v>
      </c>
      <c r="B74" s="37" t="s">
        <v>390</v>
      </c>
      <c r="C74" s="54" t="s">
        <v>595</v>
      </c>
      <c r="D74" s="54" t="s">
        <v>5241</v>
      </c>
      <c r="E74" s="54" t="s">
        <v>5242</v>
      </c>
      <c r="F74" s="54" t="s">
        <v>5216</v>
      </c>
      <c r="G74" s="54" t="s">
        <v>5230</v>
      </c>
      <c r="H74" s="37" t="s">
        <v>5231</v>
      </c>
      <c r="I74" s="54" t="s">
        <v>5219</v>
      </c>
      <c r="J74" s="37"/>
    </row>
    <row r="75" customFormat="false" ht="15" hidden="false" customHeight="true" outlineLevel="0" collapsed="false">
      <c r="A75" s="37" t="s">
        <v>602</v>
      </c>
      <c r="B75" s="37" t="s">
        <v>390</v>
      </c>
      <c r="C75" s="37" t="s">
        <v>603</v>
      </c>
      <c r="D75" s="54" t="s">
        <v>5243</v>
      </c>
      <c r="E75" s="54" t="s">
        <v>5244</v>
      </c>
      <c r="F75" s="54" t="s">
        <v>5216</v>
      </c>
      <c r="G75" s="54" t="s">
        <v>5230</v>
      </c>
      <c r="H75" s="37" t="s">
        <v>5231</v>
      </c>
      <c r="I75" s="54" t="s">
        <v>5219</v>
      </c>
      <c r="J75" s="37"/>
    </row>
    <row r="76" customFormat="false" ht="15" hidden="false" customHeight="true" outlineLevel="0" collapsed="false">
      <c r="A76" s="37" t="s">
        <v>2448</v>
      </c>
      <c r="B76" s="37" t="s">
        <v>456</v>
      </c>
      <c r="C76" s="54" t="s">
        <v>2449</v>
      </c>
      <c r="D76" s="54" t="s">
        <v>5245</v>
      </c>
      <c r="E76" s="54" t="s">
        <v>5246</v>
      </c>
      <c r="F76" s="54" t="s">
        <v>5240</v>
      </c>
      <c r="G76" s="54" t="s">
        <v>5247</v>
      </c>
      <c r="H76" s="37" t="s">
        <v>5218</v>
      </c>
      <c r="I76" s="54" t="s">
        <v>5219</v>
      </c>
      <c r="J76" s="37"/>
    </row>
    <row r="77" customFormat="false" ht="15" hidden="false" customHeight="true" outlineLevel="0" collapsed="false">
      <c r="A77" s="37" t="s">
        <v>2472</v>
      </c>
      <c r="B77" s="37" t="s">
        <v>456</v>
      </c>
      <c r="C77" s="54" t="s">
        <v>2473</v>
      </c>
      <c r="D77" s="54" t="s">
        <v>5248</v>
      </c>
      <c r="E77" s="54" t="s">
        <v>5249</v>
      </c>
      <c r="F77" s="54" t="s">
        <v>4738</v>
      </c>
      <c r="G77" s="54" t="s">
        <v>5247</v>
      </c>
      <c r="H77" s="37" t="s">
        <v>5218</v>
      </c>
      <c r="I77" s="54" t="s">
        <v>5219</v>
      </c>
      <c r="J77" s="54" t="s">
        <v>5250</v>
      </c>
    </row>
    <row r="78" customFormat="false" ht="15" hidden="false" customHeight="true" outlineLevel="0" collapsed="false">
      <c r="A78" s="37" t="s">
        <v>2482</v>
      </c>
      <c r="B78" s="37" t="s">
        <v>456</v>
      </c>
      <c r="C78" s="54" t="s">
        <v>930</v>
      </c>
      <c r="D78" s="54" t="s">
        <v>5228</v>
      </c>
      <c r="E78" s="54" t="s">
        <v>5229</v>
      </c>
      <c r="F78" s="54" t="s">
        <v>5216</v>
      </c>
      <c r="G78" s="54" t="s">
        <v>5247</v>
      </c>
      <c r="H78" s="37" t="s">
        <v>5218</v>
      </c>
      <c r="I78" s="54" t="s">
        <v>5219</v>
      </c>
      <c r="J78" s="37"/>
    </row>
    <row r="79" customFormat="false" ht="15" hidden="false" customHeight="true" outlineLevel="0" collapsed="false">
      <c r="A79" s="37" t="s">
        <v>2484</v>
      </c>
      <c r="B79" s="37" t="s">
        <v>456</v>
      </c>
      <c r="C79" s="54" t="s">
        <v>2485</v>
      </c>
      <c r="D79" s="54" t="s">
        <v>5224</v>
      </c>
      <c r="E79" s="54" t="s">
        <v>5225</v>
      </c>
      <c r="F79" s="54" t="s">
        <v>5216</v>
      </c>
      <c r="G79" s="54" t="s">
        <v>5247</v>
      </c>
      <c r="H79" s="37" t="s">
        <v>5218</v>
      </c>
      <c r="I79" s="54" t="s">
        <v>5219</v>
      </c>
      <c r="J79" s="37"/>
    </row>
    <row r="80" customFormat="false" ht="15" hidden="false" customHeight="true" outlineLevel="0" collapsed="false">
      <c r="A80" s="37" t="s">
        <v>2494</v>
      </c>
      <c r="B80" s="37" t="s">
        <v>456</v>
      </c>
      <c r="C80" s="54" t="s">
        <v>2495</v>
      </c>
      <c r="D80" s="54" t="s">
        <v>5251</v>
      </c>
      <c r="E80" s="37" t="s">
        <v>5252</v>
      </c>
      <c r="F80" s="54" t="s">
        <v>5216</v>
      </c>
      <c r="G80" s="54" t="s">
        <v>5247</v>
      </c>
      <c r="H80" s="37" t="s">
        <v>5218</v>
      </c>
      <c r="I80" s="54" t="s">
        <v>5219</v>
      </c>
      <c r="J80" s="37"/>
    </row>
    <row r="81" customFormat="false" ht="15" hidden="false" customHeight="true" outlineLevel="0" collapsed="false">
      <c r="A81" s="37" t="s">
        <v>2503</v>
      </c>
      <c r="B81" s="37" t="s">
        <v>456</v>
      </c>
      <c r="C81" s="54" t="s">
        <v>2504</v>
      </c>
      <c r="D81" s="54" t="s">
        <v>5251</v>
      </c>
      <c r="E81" s="37" t="s">
        <v>5252</v>
      </c>
      <c r="F81" s="54" t="s">
        <v>5216</v>
      </c>
      <c r="G81" s="54" t="s">
        <v>5247</v>
      </c>
      <c r="H81" s="37" t="s">
        <v>5218</v>
      </c>
      <c r="I81" s="54" t="s">
        <v>5219</v>
      </c>
      <c r="J81" s="37"/>
    </row>
    <row r="82" customFormat="false" ht="15" hidden="false" customHeight="true" outlineLevel="0" collapsed="false">
      <c r="A82" s="37" t="s">
        <v>2540</v>
      </c>
      <c r="B82" s="37" t="s">
        <v>456</v>
      </c>
      <c r="C82" s="54" t="s">
        <v>2541</v>
      </c>
      <c r="D82" s="54" t="s">
        <v>5251</v>
      </c>
      <c r="E82" s="37" t="s">
        <v>5252</v>
      </c>
      <c r="F82" s="54" t="s">
        <v>5216</v>
      </c>
      <c r="G82" s="54" t="s">
        <v>5247</v>
      </c>
      <c r="H82" s="37" t="s">
        <v>5218</v>
      </c>
      <c r="I82" s="54" t="s">
        <v>5219</v>
      </c>
      <c r="J82" s="37"/>
    </row>
    <row r="83" customFormat="false" ht="15" hidden="false" customHeight="true" outlineLevel="0" collapsed="false">
      <c r="A83" s="37" t="s">
        <v>2543</v>
      </c>
      <c r="B83" s="37" t="s">
        <v>456</v>
      </c>
      <c r="C83" s="54" t="s">
        <v>2544</v>
      </c>
      <c r="D83" s="54" t="s">
        <v>5251</v>
      </c>
      <c r="E83" s="37" t="s">
        <v>5252</v>
      </c>
      <c r="F83" s="54" t="s">
        <v>5216</v>
      </c>
      <c r="G83" s="54" t="s">
        <v>5247</v>
      </c>
      <c r="H83" s="37" t="s">
        <v>5218</v>
      </c>
      <c r="I83" s="54" t="s">
        <v>5219</v>
      </c>
      <c r="J83" s="37"/>
    </row>
    <row r="84" customFormat="false" ht="15" hidden="false" customHeight="true" outlineLevel="0" collapsed="false">
      <c r="A84" s="37" t="s">
        <v>2555</v>
      </c>
      <c r="B84" s="37" t="s">
        <v>456</v>
      </c>
      <c r="C84" s="54" t="s">
        <v>2556</v>
      </c>
      <c r="D84" s="37" t="s">
        <v>5253</v>
      </c>
      <c r="E84" s="54" t="s">
        <v>5254</v>
      </c>
      <c r="F84" s="54" t="s">
        <v>5216</v>
      </c>
      <c r="G84" s="54" t="s">
        <v>5247</v>
      </c>
      <c r="H84" s="37" t="s">
        <v>5218</v>
      </c>
      <c r="I84" s="54" t="s">
        <v>5219</v>
      </c>
      <c r="J84" s="37"/>
    </row>
    <row r="85" customFormat="false" ht="15" hidden="false" customHeight="true" outlineLevel="0" collapsed="false">
      <c r="A85" s="37" t="s">
        <v>2558</v>
      </c>
      <c r="B85" s="37" t="s">
        <v>456</v>
      </c>
      <c r="C85" s="54" t="s">
        <v>2559</v>
      </c>
      <c r="D85" s="54" t="s">
        <v>5255</v>
      </c>
      <c r="E85" s="54" t="s">
        <v>5256</v>
      </c>
      <c r="F85" s="54" t="s">
        <v>5216</v>
      </c>
      <c r="G85" s="54" t="s">
        <v>5247</v>
      </c>
      <c r="H85" s="37" t="s">
        <v>5218</v>
      </c>
      <c r="I85" s="54" t="s">
        <v>5219</v>
      </c>
      <c r="J85" s="37"/>
    </row>
    <row r="86" customFormat="false" ht="15" hidden="false" customHeight="true" outlineLevel="0" collapsed="false">
      <c r="A86" s="37" t="s">
        <v>2562</v>
      </c>
      <c r="B86" s="37" t="s">
        <v>456</v>
      </c>
      <c r="C86" s="54" t="s">
        <v>2563</v>
      </c>
      <c r="D86" s="54" t="s">
        <v>5255</v>
      </c>
      <c r="E86" s="54" t="s">
        <v>5256</v>
      </c>
      <c r="F86" s="54" t="s">
        <v>5216</v>
      </c>
      <c r="G86" s="54" t="s">
        <v>5247</v>
      </c>
      <c r="H86" s="37" t="s">
        <v>5218</v>
      </c>
      <c r="I86" s="54" t="s">
        <v>5219</v>
      </c>
      <c r="J86" s="37"/>
    </row>
    <row r="87" customFormat="false" ht="15" hidden="false" customHeight="true" outlineLevel="0" collapsed="false">
      <c r="A87" s="37" t="s">
        <v>2565</v>
      </c>
      <c r="B87" s="37" t="s">
        <v>456</v>
      </c>
      <c r="C87" s="54" t="s">
        <v>2566</v>
      </c>
      <c r="D87" s="54" t="s">
        <v>5257</v>
      </c>
      <c r="E87" s="54" t="s">
        <v>5258</v>
      </c>
      <c r="F87" s="54" t="s">
        <v>5216</v>
      </c>
      <c r="G87" s="54" t="s">
        <v>5247</v>
      </c>
      <c r="H87" s="37" t="s">
        <v>5218</v>
      </c>
      <c r="I87" s="54" t="s">
        <v>5219</v>
      </c>
      <c r="J87" s="37"/>
    </row>
    <row r="88" customFormat="false" ht="15" hidden="false" customHeight="true" outlineLevel="0" collapsed="false">
      <c r="A88" s="37" t="s">
        <v>2568</v>
      </c>
      <c r="B88" s="37" t="s">
        <v>456</v>
      </c>
      <c r="C88" s="54" t="s">
        <v>2569</v>
      </c>
      <c r="D88" s="37" t="s">
        <v>5253</v>
      </c>
      <c r="E88" s="54" t="s">
        <v>5254</v>
      </c>
      <c r="F88" s="54" t="s">
        <v>5216</v>
      </c>
      <c r="G88" s="54" t="s">
        <v>5247</v>
      </c>
      <c r="H88" s="37" t="s">
        <v>5218</v>
      </c>
      <c r="I88" s="54" t="s">
        <v>5219</v>
      </c>
      <c r="J88" s="37"/>
    </row>
    <row r="89" customFormat="false" ht="15" hidden="false" customHeight="true" outlineLevel="0" collapsed="false">
      <c r="A89" s="37" t="s">
        <v>2571</v>
      </c>
      <c r="B89" s="37" t="s">
        <v>456</v>
      </c>
      <c r="C89" s="54" t="s">
        <v>2572</v>
      </c>
      <c r="D89" s="54" t="s">
        <v>5257</v>
      </c>
      <c r="E89" s="54" t="s">
        <v>5258</v>
      </c>
      <c r="F89" s="54" t="s">
        <v>5216</v>
      </c>
      <c r="G89" s="54" t="s">
        <v>5247</v>
      </c>
      <c r="H89" s="37" t="s">
        <v>5218</v>
      </c>
      <c r="I89" s="54" t="s">
        <v>5219</v>
      </c>
      <c r="J89" s="37"/>
    </row>
    <row r="90" customFormat="false" ht="15" hidden="false" customHeight="true" outlineLevel="0" collapsed="false">
      <c r="A90" s="37" t="s">
        <v>2574</v>
      </c>
      <c r="B90" s="37" t="s">
        <v>456</v>
      </c>
      <c r="C90" s="54" t="s">
        <v>2575</v>
      </c>
      <c r="D90" s="54" t="s">
        <v>5255</v>
      </c>
      <c r="E90" s="54" t="s">
        <v>5256</v>
      </c>
      <c r="F90" s="54" t="s">
        <v>5216</v>
      </c>
      <c r="G90" s="54" t="s">
        <v>5247</v>
      </c>
      <c r="H90" s="37" t="s">
        <v>5218</v>
      </c>
      <c r="I90" s="54" t="s">
        <v>5219</v>
      </c>
      <c r="J90" s="37"/>
    </row>
    <row r="91" customFormat="false" ht="15" hidden="false" customHeight="true" outlineLevel="0" collapsed="false">
      <c r="A91" s="37" t="s">
        <v>2577</v>
      </c>
      <c r="B91" s="37" t="s">
        <v>456</v>
      </c>
      <c r="C91" s="54" t="s">
        <v>2578</v>
      </c>
      <c r="D91" s="37" t="s">
        <v>5253</v>
      </c>
      <c r="E91" s="54" t="s">
        <v>5254</v>
      </c>
      <c r="F91" s="54" t="s">
        <v>5216</v>
      </c>
      <c r="G91" s="54" t="s">
        <v>5247</v>
      </c>
      <c r="H91" s="37" t="s">
        <v>5218</v>
      </c>
      <c r="I91" s="54" t="s">
        <v>5219</v>
      </c>
      <c r="J91" s="37"/>
    </row>
    <row r="92" customFormat="false" ht="15" hidden="false" customHeight="true" outlineLevel="0" collapsed="false">
      <c r="A92" s="37" t="s">
        <v>2580</v>
      </c>
      <c r="B92" s="37" t="s">
        <v>456</v>
      </c>
      <c r="C92" s="54" t="s">
        <v>2581</v>
      </c>
      <c r="D92" s="37" t="s">
        <v>5253</v>
      </c>
      <c r="E92" s="54" t="s">
        <v>5254</v>
      </c>
      <c r="F92" s="54" t="s">
        <v>5216</v>
      </c>
      <c r="G92" s="54" t="s">
        <v>5247</v>
      </c>
      <c r="H92" s="37" t="s">
        <v>5218</v>
      </c>
      <c r="I92" s="54" t="s">
        <v>5219</v>
      </c>
      <c r="J92" s="37"/>
    </row>
    <row r="93" customFormat="false" ht="15" hidden="false" customHeight="true" outlineLevel="0" collapsed="false">
      <c r="A93" s="37" t="s">
        <v>2584</v>
      </c>
      <c r="B93" s="37" t="s">
        <v>456</v>
      </c>
      <c r="C93" s="54" t="s">
        <v>2585</v>
      </c>
      <c r="D93" s="54" t="s">
        <v>5257</v>
      </c>
      <c r="E93" s="54" t="s">
        <v>5258</v>
      </c>
      <c r="F93" s="54" t="s">
        <v>5216</v>
      </c>
      <c r="G93" s="54" t="s">
        <v>5247</v>
      </c>
      <c r="H93" s="37" t="s">
        <v>5218</v>
      </c>
      <c r="I93" s="54" t="s">
        <v>5219</v>
      </c>
      <c r="J93" s="37"/>
    </row>
    <row r="94" customFormat="false" ht="15" hidden="false" customHeight="true" outlineLevel="0" collapsed="false">
      <c r="A94" s="37" t="s">
        <v>2587</v>
      </c>
      <c r="B94" s="37" t="s">
        <v>456</v>
      </c>
      <c r="C94" s="54" t="s">
        <v>2588</v>
      </c>
      <c r="D94" s="54" t="s">
        <v>5255</v>
      </c>
      <c r="E94" s="54" t="s">
        <v>5256</v>
      </c>
      <c r="F94" s="54" t="s">
        <v>5216</v>
      </c>
      <c r="G94" s="54" t="s">
        <v>5247</v>
      </c>
      <c r="H94" s="37" t="s">
        <v>5218</v>
      </c>
      <c r="I94" s="54" t="s">
        <v>5219</v>
      </c>
      <c r="J94" s="37"/>
    </row>
    <row r="95" customFormat="false" ht="15" hidden="false" customHeight="true" outlineLevel="0" collapsed="false">
      <c r="A95" s="37" t="s">
        <v>2590</v>
      </c>
      <c r="B95" s="37" t="s">
        <v>456</v>
      </c>
      <c r="C95" s="54" t="s">
        <v>2591</v>
      </c>
      <c r="D95" s="54" t="s">
        <v>5255</v>
      </c>
      <c r="E95" s="54" t="s">
        <v>5256</v>
      </c>
      <c r="F95" s="54" t="s">
        <v>5216</v>
      </c>
      <c r="G95" s="54" t="s">
        <v>5247</v>
      </c>
      <c r="H95" s="37" t="s">
        <v>5218</v>
      </c>
      <c r="I95" s="54" t="s">
        <v>5219</v>
      </c>
      <c r="J95" s="37"/>
    </row>
    <row r="96" customFormat="false" ht="15" hidden="false" customHeight="true" outlineLevel="0" collapsed="false">
      <c r="A96" s="37" t="s">
        <v>2593</v>
      </c>
      <c r="B96" s="37" t="s">
        <v>456</v>
      </c>
      <c r="C96" s="54" t="s">
        <v>2594</v>
      </c>
      <c r="D96" s="54" t="s">
        <v>5255</v>
      </c>
      <c r="E96" s="54" t="s">
        <v>5256</v>
      </c>
      <c r="F96" s="54" t="s">
        <v>5216</v>
      </c>
      <c r="G96" s="54" t="s">
        <v>5247</v>
      </c>
      <c r="H96" s="37" t="s">
        <v>5218</v>
      </c>
      <c r="I96" s="54" t="s">
        <v>5219</v>
      </c>
      <c r="J96" s="37"/>
    </row>
    <row r="97" customFormat="false" ht="15" hidden="false" customHeight="true" outlineLevel="0" collapsed="false">
      <c r="A97" s="37" t="s">
        <v>2596</v>
      </c>
      <c r="B97" s="37" t="s">
        <v>456</v>
      </c>
      <c r="C97" s="54" t="s">
        <v>2597</v>
      </c>
      <c r="D97" s="54" t="s">
        <v>5255</v>
      </c>
      <c r="E97" s="54" t="s">
        <v>5256</v>
      </c>
      <c r="F97" s="54" t="s">
        <v>5216</v>
      </c>
      <c r="G97" s="54" t="s">
        <v>5247</v>
      </c>
      <c r="H97" s="37" t="s">
        <v>5218</v>
      </c>
      <c r="I97" s="54" t="s">
        <v>5219</v>
      </c>
      <c r="J97" s="37"/>
    </row>
    <row r="98" customFormat="false" ht="15" hidden="false" customHeight="true" outlineLevel="0" collapsed="false">
      <c r="A98" s="37" t="s">
        <v>2599</v>
      </c>
      <c r="B98" s="37" t="s">
        <v>456</v>
      </c>
      <c r="C98" s="54" t="s">
        <v>2600</v>
      </c>
      <c r="D98" s="54" t="s">
        <v>5255</v>
      </c>
      <c r="E98" s="54" t="s">
        <v>5256</v>
      </c>
      <c r="F98" s="54" t="s">
        <v>5216</v>
      </c>
      <c r="G98" s="54" t="s">
        <v>5247</v>
      </c>
      <c r="H98" s="37" t="s">
        <v>5218</v>
      </c>
      <c r="I98" s="54" t="s">
        <v>5219</v>
      </c>
      <c r="J98" s="37"/>
    </row>
    <row r="99" customFormat="false" ht="15" hidden="false" customHeight="true" outlineLevel="0" collapsed="false">
      <c r="A99" s="37" t="s">
        <v>2602</v>
      </c>
      <c r="B99" s="37" t="s">
        <v>456</v>
      </c>
      <c r="C99" s="54" t="s">
        <v>2603</v>
      </c>
      <c r="D99" s="54" t="s">
        <v>5255</v>
      </c>
      <c r="E99" s="54" t="s">
        <v>5256</v>
      </c>
      <c r="F99" s="54" t="s">
        <v>5216</v>
      </c>
      <c r="G99" s="54" t="s">
        <v>5247</v>
      </c>
      <c r="H99" s="37" t="s">
        <v>5218</v>
      </c>
      <c r="I99" s="54" t="s">
        <v>5219</v>
      </c>
      <c r="J99" s="37"/>
    </row>
    <row r="100" customFormat="false" ht="15" hidden="false" customHeight="true" outlineLevel="0" collapsed="false">
      <c r="A100" s="37" t="s">
        <v>2605</v>
      </c>
      <c r="B100" s="37" t="s">
        <v>456</v>
      </c>
      <c r="C100" s="54" t="s">
        <v>2606</v>
      </c>
      <c r="D100" s="54" t="s">
        <v>5255</v>
      </c>
      <c r="E100" s="54" t="s">
        <v>5256</v>
      </c>
      <c r="F100" s="54" t="s">
        <v>5216</v>
      </c>
      <c r="G100" s="54" t="s">
        <v>5247</v>
      </c>
      <c r="H100" s="37" t="s">
        <v>5218</v>
      </c>
      <c r="I100" s="54" t="s">
        <v>5219</v>
      </c>
      <c r="J100" s="37"/>
    </row>
    <row r="101" customFormat="false" ht="15" hidden="false" customHeight="true" outlineLevel="0" collapsed="false">
      <c r="A101" s="37" t="s">
        <v>2608</v>
      </c>
      <c r="B101" s="37" t="s">
        <v>456</v>
      </c>
      <c r="C101" s="54" t="s">
        <v>2609</v>
      </c>
      <c r="D101" s="54" t="s">
        <v>5255</v>
      </c>
      <c r="E101" s="54" t="s">
        <v>5256</v>
      </c>
      <c r="F101" s="54" t="s">
        <v>5216</v>
      </c>
      <c r="G101" s="54" t="s">
        <v>5247</v>
      </c>
      <c r="H101" s="37" t="s">
        <v>5218</v>
      </c>
      <c r="I101" s="54" t="s">
        <v>5219</v>
      </c>
      <c r="J101" s="37"/>
    </row>
    <row r="102" customFormat="false" ht="15" hidden="false" customHeight="true" outlineLevel="0" collapsed="false">
      <c r="A102" s="37" t="s">
        <v>2611</v>
      </c>
      <c r="B102" s="37" t="s">
        <v>456</v>
      </c>
      <c r="C102" s="54" t="s">
        <v>2612</v>
      </c>
      <c r="D102" s="54" t="s">
        <v>5255</v>
      </c>
      <c r="E102" s="54" t="s">
        <v>5256</v>
      </c>
      <c r="F102" s="54" t="s">
        <v>5216</v>
      </c>
      <c r="G102" s="54" t="s">
        <v>5247</v>
      </c>
      <c r="H102" s="37" t="s">
        <v>5218</v>
      </c>
      <c r="I102" s="54" t="s">
        <v>5219</v>
      </c>
      <c r="J102" s="37"/>
    </row>
    <row r="103" customFormat="false" ht="15" hidden="false" customHeight="true" outlineLevel="0" collapsed="false">
      <c r="A103" s="37" t="s">
        <v>2614</v>
      </c>
      <c r="B103" s="37" t="s">
        <v>456</v>
      </c>
      <c r="C103" s="54" t="s">
        <v>2615</v>
      </c>
      <c r="D103" s="54" t="s">
        <v>5255</v>
      </c>
      <c r="E103" s="54" t="s">
        <v>5256</v>
      </c>
      <c r="F103" s="54" t="s">
        <v>5216</v>
      </c>
      <c r="G103" s="54" t="s">
        <v>5247</v>
      </c>
      <c r="H103" s="37" t="s">
        <v>5218</v>
      </c>
      <c r="I103" s="54" t="s">
        <v>5219</v>
      </c>
      <c r="J103" s="37"/>
    </row>
    <row r="104" customFormat="false" ht="15" hidden="false" customHeight="true" outlineLevel="0" collapsed="false">
      <c r="A104" s="37" t="s">
        <v>2617</v>
      </c>
      <c r="B104" s="37" t="s">
        <v>456</v>
      </c>
      <c r="C104" s="54" t="s">
        <v>2618</v>
      </c>
      <c r="D104" s="54" t="s">
        <v>5257</v>
      </c>
      <c r="E104" s="54" t="s">
        <v>5258</v>
      </c>
      <c r="F104" s="54" t="s">
        <v>5216</v>
      </c>
      <c r="G104" s="54" t="s">
        <v>5247</v>
      </c>
      <c r="H104" s="37" t="s">
        <v>5218</v>
      </c>
      <c r="I104" s="54" t="s">
        <v>5219</v>
      </c>
      <c r="J104" s="37"/>
    </row>
    <row r="105" customFormat="false" ht="15" hidden="false" customHeight="true" outlineLevel="0" collapsed="false">
      <c r="A105" s="37" t="s">
        <v>2620</v>
      </c>
      <c r="B105" s="37" t="s">
        <v>456</v>
      </c>
      <c r="C105" s="54" t="s">
        <v>2621</v>
      </c>
      <c r="D105" s="37" t="s">
        <v>5253</v>
      </c>
      <c r="E105" s="54" t="s">
        <v>5254</v>
      </c>
      <c r="F105" s="54" t="s">
        <v>5216</v>
      </c>
      <c r="G105" s="54" t="s">
        <v>5247</v>
      </c>
      <c r="H105" s="37" t="s">
        <v>5218</v>
      </c>
      <c r="I105" s="54" t="s">
        <v>5219</v>
      </c>
      <c r="J105" s="37"/>
    </row>
    <row r="106" customFormat="false" ht="15" hidden="false" customHeight="true" outlineLevel="0" collapsed="false">
      <c r="A106" s="37" t="s">
        <v>2623</v>
      </c>
      <c r="B106" s="37" t="s">
        <v>456</v>
      </c>
      <c r="C106" s="54" t="s">
        <v>2624</v>
      </c>
      <c r="D106" s="37" t="s">
        <v>5253</v>
      </c>
      <c r="E106" s="54" t="s">
        <v>5254</v>
      </c>
      <c r="F106" s="54" t="s">
        <v>5216</v>
      </c>
      <c r="G106" s="54" t="s">
        <v>5247</v>
      </c>
      <c r="H106" s="37" t="s">
        <v>5218</v>
      </c>
      <c r="I106" s="54" t="s">
        <v>5219</v>
      </c>
      <c r="J106" s="37"/>
    </row>
    <row r="107" customFormat="false" ht="15" hidden="false" customHeight="true" outlineLevel="0" collapsed="false">
      <c r="A107" s="37" t="s">
        <v>2626</v>
      </c>
      <c r="B107" s="37" t="s">
        <v>456</v>
      </c>
      <c r="C107" s="54" t="s">
        <v>2627</v>
      </c>
      <c r="D107" s="37" t="s">
        <v>5253</v>
      </c>
      <c r="E107" s="54" t="s">
        <v>5254</v>
      </c>
      <c r="F107" s="54" t="s">
        <v>5216</v>
      </c>
      <c r="G107" s="54" t="s">
        <v>5247</v>
      </c>
      <c r="H107" s="37" t="s">
        <v>5218</v>
      </c>
      <c r="I107" s="54" t="s">
        <v>5219</v>
      </c>
      <c r="J107" s="37"/>
    </row>
    <row r="108" customFormat="false" ht="15" hidden="false" customHeight="true" outlineLevel="0" collapsed="false">
      <c r="A108" s="37" t="s">
        <v>2629</v>
      </c>
      <c r="B108" s="37" t="s">
        <v>456</v>
      </c>
      <c r="C108" s="54" t="s">
        <v>2630</v>
      </c>
      <c r="D108" s="37" t="s">
        <v>5253</v>
      </c>
      <c r="E108" s="54" t="s">
        <v>5254</v>
      </c>
      <c r="F108" s="54" t="s">
        <v>5216</v>
      </c>
      <c r="G108" s="54" t="s">
        <v>5247</v>
      </c>
      <c r="H108" s="37" t="s">
        <v>5218</v>
      </c>
      <c r="I108" s="54" t="s">
        <v>5219</v>
      </c>
      <c r="J108" s="37"/>
    </row>
    <row r="109" customFormat="false" ht="15" hidden="false" customHeight="true" outlineLevel="0" collapsed="false">
      <c r="A109" s="37" t="s">
        <v>2632</v>
      </c>
      <c r="B109" s="37" t="s">
        <v>456</v>
      </c>
      <c r="C109" s="54" t="s">
        <v>2633</v>
      </c>
      <c r="D109" s="37" t="s">
        <v>5253</v>
      </c>
      <c r="E109" s="54" t="s">
        <v>5254</v>
      </c>
      <c r="F109" s="54" t="s">
        <v>5216</v>
      </c>
      <c r="G109" s="54" t="s">
        <v>5247</v>
      </c>
      <c r="H109" s="37" t="s">
        <v>5218</v>
      </c>
      <c r="I109" s="54" t="s">
        <v>5219</v>
      </c>
      <c r="J109" s="37"/>
    </row>
    <row r="110" customFormat="false" ht="15" hidden="false" customHeight="true" outlineLevel="0" collapsed="false">
      <c r="A110" s="37" t="s">
        <v>2635</v>
      </c>
      <c r="B110" s="37" t="s">
        <v>456</v>
      </c>
      <c r="C110" s="54" t="s">
        <v>2636</v>
      </c>
      <c r="D110" s="54" t="s">
        <v>5259</v>
      </c>
      <c r="E110" s="54" t="s">
        <v>5215</v>
      </c>
      <c r="F110" s="54" t="s">
        <v>5216</v>
      </c>
      <c r="G110" s="54" t="s">
        <v>5247</v>
      </c>
      <c r="H110" s="37" t="s">
        <v>5218</v>
      </c>
      <c r="I110" s="54" t="s">
        <v>5219</v>
      </c>
      <c r="J110" s="37"/>
    </row>
    <row r="111" customFormat="false" ht="15" hidden="false" customHeight="true" outlineLevel="0" collapsed="false">
      <c r="A111" s="37" t="s">
        <v>2638</v>
      </c>
      <c r="B111" s="37" t="s">
        <v>456</v>
      </c>
      <c r="C111" s="54" t="s">
        <v>2639</v>
      </c>
      <c r="D111" s="37" t="s">
        <v>5253</v>
      </c>
      <c r="E111" s="54" t="s">
        <v>5254</v>
      </c>
      <c r="F111" s="54" t="s">
        <v>5216</v>
      </c>
      <c r="G111" s="54" t="s">
        <v>5247</v>
      </c>
      <c r="H111" s="37" t="s">
        <v>5218</v>
      </c>
      <c r="I111" s="54" t="s">
        <v>5219</v>
      </c>
      <c r="J111" s="37"/>
    </row>
    <row r="112" customFormat="false" ht="15" hidden="false" customHeight="true" outlineLevel="0" collapsed="false">
      <c r="A112" s="37" t="s">
        <v>2641</v>
      </c>
      <c r="B112" s="37" t="s">
        <v>456</v>
      </c>
      <c r="C112" s="54" t="s">
        <v>2642</v>
      </c>
      <c r="D112" s="37" t="s">
        <v>5253</v>
      </c>
      <c r="E112" s="54" t="s">
        <v>5254</v>
      </c>
      <c r="F112" s="54" t="s">
        <v>5216</v>
      </c>
      <c r="G112" s="54" t="s">
        <v>5247</v>
      </c>
      <c r="H112" s="37" t="s">
        <v>5218</v>
      </c>
      <c r="I112" s="54" t="s">
        <v>5219</v>
      </c>
      <c r="J112" s="37"/>
    </row>
    <row r="113" customFormat="false" ht="15" hidden="false" customHeight="true" outlineLevel="0" collapsed="false">
      <c r="A113" s="37" t="s">
        <v>2644</v>
      </c>
      <c r="B113" s="37" t="s">
        <v>456</v>
      </c>
      <c r="C113" s="54" t="s">
        <v>2645</v>
      </c>
      <c r="D113" s="37" t="s">
        <v>5253</v>
      </c>
      <c r="E113" s="54" t="s">
        <v>5254</v>
      </c>
      <c r="F113" s="54" t="s">
        <v>5216</v>
      </c>
      <c r="G113" s="54" t="s">
        <v>5247</v>
      </c>
      <c r="H113" s="37" t="s">
        <v>5218</v>
      </c>
      <c r="I113" s="54" t="s">
        <v>5219</v>
      </c>
      <c r="J113" s="37"/>
    </row>
    <row r="114" customFormat="false" ht="15" hidden="false" customHeight="true" outlineLevel="0" collapsed="false">
      <c r="A114" s="37" t="s">
        <v>2647</v>
      </c>
      <c r="B114" s="37" t="s">
        <v>456</v>
      </c>
      <c r="C114" s="54" t="s">
        <v>2648</v>
      </c>
      <c r="D114" s="37" t="s">
        <v>5253</v>
      </c>
      <c r="E114" s="54" t="s">
        <v>5254</v>
      </c>
      <c r="F114" s="54" t="s">
        <v>5216</v>
      </c>
      <c r="G114" s="54" t="s">
        <v>5247</v>
      </c>
      <c r="H114" s="37" t="s">
        <v>5218</v>
      </c>
      <c r="I114" s="54" t="s">
        <v>5219</v>
      </c>
      <c r="J114" s="37"/>
    </row>
    <row r="115" customFormat="false" ht="15" hidden="false" customHeight="true" outlineLevel="0" collapsed="false">
      <c r="A115" s="37" t="s">
        <v>2650</v>
      </c>
      <c r="B115" s="37" t="s">
        <v>456</v>
      </c>
      <c r="C115" s="54" t="s">
        <v>2651</v>
      </c>
      <c r="D115" s="37" t="s">
        <v>5253</v>
      </c>
      <c r="E115" s="54" t="s">
        <v>5254</v>
      </c>
      <c r="F115" s="54" t="s">
        <v>5216</v>
      </c>
      <c r="G115" s="54" t="s">
        <v>5247</v>
      </c>
      <c r="H115" s="37" t="s">
        <v>5218</v>
      </c>
      <c r="I115" s="54" t="s">
        <v>5219</v>
      </c>
      <c r="J115" s="37"/>
    </row>
    <row r="116" customFormat="false" ht="15" hidden="false" customHeight="true" outlineLevel="0" collapsed="false">
      <c r="A116" s="37" t="s">
        <v>2653</v>
      </c>
      <c r="B116" s="37" t="s">
        <v>456</v>
      </c>
      <c r="C116" s="54" t="s">
        <v>2654</v>
      </c>
      <c r="D116" s="37" t="s">
        <v>5253</v>
      </c>
      <c r="E116" s="54" t="s">
        <v>5254</v>
      </c>
      <c r="F116" s="54" t="s">
        <v>5216</v>
      </c>
      <c r="G116" s="54" t="s">
        <v>5247</v>
      </c>
      <c r="H116" s="37" t="s">
        <v>5218</v>
      </c>
      <c r="I116" s="54" t="s">
        <v>5219</v>
      </c>
      <c r="J116" s="37"/>
    </row>
    <row r="117" customFormat="false" ht="15" hidden="false" customHeight="true" outlineLevel="0" collapsed="false">
      <c r="A117" s="37" t="s">
        <v>2656</v>
      </c>
      <c r="B117" s="37" t="s">
        <v>456</v>
      </c>
      <c r="C117" s="54" t="s">
        <v>2657</v>
      </c>
      <c r="D117" s="54" t="s">
        <v>5255</v>
      </c>
      <c r="E117" s="54" t="s">
        <v>5256</v>
      </c>
      <c r="F117" s="54" t="s">
        <v>5216</v>
      </c>
      <c r="G117" s="54" t="s">
        <v>5247</v>
      </c>
      <c r="H117" s="37" t="s">
        <v>5218</v>
      </c>
      <c r="I117" s="54" t="s">
        <v>5219</v>
      </c>
      <c r="J117" s="37"/>
    </row>
    <row r="118" customFormat="false" ht="15" hidden="false" customHeight="true" outlineLevel="0" collapsed="false">
      <c r="A118" s="37" t="s">
        <v>2660</v>
      </c>
      <c r="B118" s="37" t="s">
        <v>456</v>
      </c>
      <c r="C118" s="54" t="s">
        <v>2661</v>
      </c>
      <c r="D118" s="37" t="s">
        <v>5253</v>
      </c>
      <c r="E118" s="54" t="s">
        <v>5254</v>
      </c>
      <c r="F118" s="54" t="s">
        <v>5216</v>
      </c>
      <c r="G118" s="54" t="s">
        <v>5247</v>
      </c>
      <c r="H118" s="37" t="s">
        <v>5218</v>
      </c>
      <c r="I118" s="54" t="s">
        <v>5219</v>
      </c>
      <c r="J118" s="37"/>
    </row>
    <row r="119" customFormat="false" ht="15" hidden="false" customHeight="true" outlineLevel="0" collapsed="false">
      <c r="A119" s="37" t="s">
        <v>2663</v>
      </c>
      <c r="B119" s="37" t="s">
        <v>456</v>
      </c>
      <c r="C119" s="54" t="s">
        <v>2664</v>
      </c>
      <c r="D119" s="37" t="s">
        <v>5253</v>
      </c>
      <c r="E119" s="54" t="s">
        <v>5254</v>
      </c>
      <c r="F119" s="54" t="s">
        <v>5216</v>
      </c>
      <c r="G119" s="54" t="s">
        <v>5247</v>
      </c>
      <c r="H119" s="37" t="s">
        <v>5218</v>
      </c>
      <c r="I119" s="54" t="s">
        <v>5219</v>
      </c>
      <c r="J119" s="37"/>
    </row>
    <row r="120" customFormat="false" ht="15" hidden="false" customHeight="true" outlineLevel="0" collapsed="false">
      <c r="A120" s="37" t="s">
        <v>2666</v>
      </c>
      <c r="B120" s="37" t="s">
        <v>456</v>
      </c>
      <c r="C120" s="54" t="s">
        <v>2667</v>
      </c>
      <c r="D120" s="37" t="s">
        <v>5253</v>
      </c>
      <c r="E120" s="54" t="s">
        <v>5254</v>
      </c>
      <c r="F120" s="54" t="s">
        <v>5216</v>
      </c>
      <c r="G120" s="54" t="s">
        <v>5247</v>
      </c>
      <c r="H120" s="37" t="s">
        <v>5218</v>
      </c>
      <c r="I120" s="54" t="s">
        <v>5219</v>
      </c>
      <c r="J120" s="37"/>
    </row>
    <row r="121" customFormat="false" ht="15" hidden="false" customHeight="true" outlineLevel="0" collapsed="false">
      <c r="A121" s="37" t="s">
        <v>2669</v>
      </c>
      <c r="B121" s="37" t="s">
        <v>456</v>
      </c>
      <c r="C121" s="54" t="s">
        <v>2670</v>
      </c>
      <c r="D121" s="37" t="s">
        <v>5253</v>
      </c>
      <c r="E121" s="54" t="s">
        <v>5254</v>
      </c>
      <c r="F121" s="54" t="s">
        <v>5216</v>
      </c>
      <c r="G121" s="54" t="s">
        <v>5247</v>
      </c>
      <c r="H121" s="37" t="s">
        <v>5218</v>
      </c>
      <c r="I121" s="54" t="s">
        <v>5219</v>
      </c>
      <c r="J121" s="37"/>
    </row>
    <row r="122" customFormat="false" ht="15" hidden="false" customHeight="true" outlineLevel="0" collapsed="false">
      <c r="A122" s="37" t="s">
        <v>2672</v>
      </c>
      <c r="B122" s="37" t="s">
        <v>456</v>
      </c>
      <c r="C122" s="54" t="s">
        <v>2673</v>
      </c>
      <c r="D122" s="37" t="s">
        <v>5253</v>
      </c>
      <c r="E122" s="54" t="s">
        <v>5254</v>
      </c>
      <c r="F122" s="54" t="s">
        <v>5216</v>
      </c>
      <c r="G122" s="54" t="s">
        <v>5247</v>
      </c>
      <c r="H122" s="37" t="s">
        <v>5218</v>
      </c>
      <c r="I122" s="54" t="s">
        <v>5219</v>
      </c>
      <c r="J122" s="37"/>
    </row>
    <row r="123" customFormat="false" ht="15" hidden="false" customHeight="true" outlineLevel="0" collapsed="false">
      <c r="A123" s="37" t="s">
        <v>2675</v>
      </c>
      <c r="B123" s="37" t="s">
        <v>456</v>
      </c>
      <c r="C123" s="54" t="s">
        <v>2676</v>
      </c>
      <c r="D123" s="37" t="s">
        <v>5253</v>
      </c>
      <c r="E123" s="54" t="s">
        <v>5254</v>
      </c>
      <c r="F123" s="54" t="s">
        <v>5216</v>
      </c>
      <c r="G123" s="54" t="s">
        <v>5247</v>
      </c>
      <c r="H123" s="37" t="s">
        <v>5218</v>
      </c>
      <c r="I123" s="54" t="s">
        <v>5219</v>
      </c>
      <c r="J123" s="37"/>
    </row>
    <row r="124" customFormat="false" ht="15" hidden="false" customHeight="true" outlineLevel="0" collapsed="false">
      <c r="A124" s="37" t="s">
        <v>2678</v>
      </c>
      <c r="B124" s="37" t="s">
        <v>456</v>
      </c>
      <c r="C124" s="54" t="s">
        <v>2679</v>
      </c>
      <c r="D124" s="37" t="s">
        <v>5253</v>
      </c>
      <c r="E124" s="54" t="s">
        <v>5254</v>
      </c>
      <c r="F124" s="54" t="s">
        <v>5216</v>
      </c>
      <c r="G124" s="54" t="s">
        <v>5247</v>
      </c>
      <c r="H124" s="37" t="s">
        <v>5218</v>
      </c>
      <c r="I124" s="54" t="s">
        <v>5219</v>
      </c>
      <c r="J124" s="37"/>
    </row>
    <row r="125" customFormat="false" ht="15" hidden="false" customHeight="true" outlineLevel="0" collapsed="false">
      <c r="A125" s="37" t="s">
        <v>2681</v>
      </c>
      <c r="B125" s="37" t="s">
        <v>456</v>
      </c>
      <c r="C125" s="54" t="s">
        <v>2682</v>
      </c>
      <c r="D125" s="37" t="s">
        <v>5253</v>
      </c>
      <c r="E125" s="54" t="s">
        <v>5254</v>
      </c>
      <c r="F125" s="54" t="s">
        <v>5216</v>
      </c>
      <c r="G125" s="54" t="s">
        <v>5247</v>
      </c>
      <c r="H125" s="37" t="s">
        <v>5218</v>
      </c>
      <c r="I125" s="54" t="s">
        <v>5219</v>
      </c>
      <c r="J125" s="37"/>
    </row>
    <row r="126" customFormat="false" ht="15" hidden="false" customHeight="true" outlineLevel="0" collapsed="false">
      <c r="A126" s="37" t="s">
        <v>2684</v>
      </c>
      <c r="B126" s="37" t="s">
        <v>456</v>
      </c>
      <c r="C126" s="54" t="s">
        <v>2685</v>
      </c>
      <c r="D126" s="54" t="s">
        <v>5255</v>
      </c>
      <c r="E126" s="54" t="s">
        <v>5256</v>
      </c>
      <c r="F126" s="54" t="s">
        <v>5216</v>
      </c>
      <c r="G126" s="54" t="s">
        <v>5247</v>
      </c>
      <c r="H126" s="37" t="s">
        <v>5218</v>
      </c>
      <c r="I126" s="54" t="s">
        <v>5219</v>
      </c>
      <c r="J126" s="37"/>
    </row>
    <row r="127" customFormat="false" ht="15" hidden="false" customHeight="true" outlineLevel="0" collapsed="false">
      <c r="A127" s="37" t="s">
        <v>2687</v>
      </c>
      <c r="B127" s="37" t="s">
        <v>456</v>
      </c>
      <c r="C127" s="54" t="s">
        <v>2688</v>
      </c>
      <c r="D127" s="54" t="s">
        <v>5255</v>
      </c>
      <c r="E127" s="54" t="s">
        <v>5256</v>
      </c>
      <c r="F127" s="54" t="s">
        <v>5216</v>
      </c>
      <c r="G127" s="54" t="s">
        <v>5247</v>
      </c>
      <c r="H127" s="37" t="s">
        <v>5218</v>
      </c>
      <c r="I127" s="54" t="s">
        <v>5219</v>
      </c>
      <c r="J127" s="37"/>
    </row>
    <row r="128" customFormat="false" ht="15" hidden="false" customHeight="true" outlineLevel="0" collapsed="false">
      <c r="A128" s="37" t="s">
        <v>2690</v>
      </c>
      <c r="B128" s="37" t="s">
        <v>456</v>
      </c>
      <c r="C128" s="54" t="s">
        <v>2691</v>
      </c>
      <c r="D128" s="54" t="s">
        <v>5255</v>
      </c>
      <c r="E128" s="54" t="s">
        <v>5256</v>
      </c>
      <c r="F128" s="54" t="s">
        <v>5216</v>
      </c>
      <c r="G128" s="54" t="s">
        <v>5247</v>
      </c>
      <c r="H128" s="37" t="s">
        <v>5218</v>
      </c>
      <c r="I128" s="54" t="s">
        <v>5219</v>
      </c>
      <c r="J128" s="37"/>
    </row>
    <row r="129" customFormat="false" ht="15" hidden="false" customHeight="true" outlineLevel="0" collapsed="false">
      <c r="A129" s="37" t="s">
        <v>2693</v>
      </c>
      <c r="B129" s="37" t="s">
        <v>456</v>
      </c>
      <c r="C129" s="54" t="s">
        <v>2694</v>
      </c>
      <c r="D129" s="54" t="s">
        <v>5257</v>
      </c>
      <c r="E129" s="54" t="s">
        <v>5258</v>
      </c>
      <c r="F129" s="54" t="s">
        <v>5216</v>
      </c>
      <c r="G129" s="54" t="s">
        <v>5247</v>
      </c>
      <c r="H129" s="37" t="s">
        <v>5218</v>
      </c>
      <c r="I129" s="54" t="s">
        <v>5219</v>
      </c>
      <c r="J129" s="37"/>
    </row>
    <row r="130" customFormat="false" ht="15" hidden="false" customHeight="true" outlineLevel="0" collapsed="false">
      <c r="A130" s="37" t="s">
        <v>2696</v>
      </c>
      <c r="B130" s="37" t="s">
        <v>456</v>
      </c>
      <c r="C130" s="54" t="s">
        <v>2697</v>
      </c>
      <c r="D130" s="37" t="s">
        <v>5253</v>
      </c>
      <c r="E130" s="54" t="s">
        <v>5254</v>
      </c>
      <c r="F130" s="54" t="s">
        <v>5216</v>
      </c>
      <c r="G130" s="54" t="s">
        <v>5247</v>
      </c>
      <c r="H130" s="37" t="s">
        <v>5218</v>
      </c>
      <c r="I130" s="54" t="s">
        <v>5219</v>
      </c>
      <c r="J130" s="37"/>
    </row>
    <row r="131" customFormat="false" ht="15" hidden="false" customHeight="true" outlineLevel="0" collapsed="false">
      <c r="A131" s="37" t="s">
        <v>2699</v>
      </c>
      <c r="B131" s="37" t="s">
        <v>456</v>
      </c>
      <c r="C131" s="54" t="s">
        <v>2700</v>
      </c>
      <c r="D131" s="54" t="s">
        <v>5255</v>
      </c>
      <c r="E131" s="54" t="s">
        <v>5256</v>
      </c>
      <c r="F131" s="54" t="s">
        <v>5216</v>
      </c>
      <c r="G131" s="54" t="s">
        <v>5247</v>
      </c>
      <c r="H131" s="37" t="s">
        <v>5218</v>
      </c>
      <c r="I131" s="54" t="s">
        <v>5219</v>
      </c>
      <c r="J131" s="37"/>
    </row>
    <row r="132" customFormat="false" ht="15" hidden="false" customHeight="true" outlineLevel="0" collapsed="false">
      <c r="A132" s="37" t="s">
        <v>2702</v>
      </c>
      <c r="B132" s="37" t="s">
        <v>456</v>
      </c>
      <c r="C132" s="54" t="s">
        <v>2703</v>
      </c>
      <c r="D132" s="54" t="s">
        <v>5255</v>
      </c>
      <c r="E132" s="54" t="s">
        <v>5256</v>
      </c>
      <c r="F132" s="54" t="s">
        <v>5216</v>
      </c>
      <c r="G132" s="54" t="s">
        <v>5247</v>
      </c>
      <c r="H132" s="37" t="s">
        <v>5218</v>
      </c>
      <c r="I132" s="54" t="s">
        <v>5219</v>
      </c>
      <c r="J132" s="37"/>
    </row>
    <row r="133" customFormat="false" ht="15" hidden="false" customHeight="true" outlineLevel="0" collapsed="false">
      <c r="A133" s="37" t="s">
        <v>2705</v>
      </c>
      <c r="B133" s="37" t="s">
        <v>456</v>
      </c>
      <c r="C133" s="54" t="s">
        <v>2706</v>
      </c>
      <c r="D133" s="54" t="s">
        <v>5255</v>
      </c>
      <c r="E133" s="54" t="s">
        <v>5256</v>
      </c>
      <c r="F133" s="54" t="s">
        <v>5216</v>
      </c>
      <c r="G133" s="54" t="s">
        <v>5247</v>
      </c>
      <c r="H133" s="37" t="s">
        <v>5218</v>
      </c>
      <c r="I133" s="54" t="s">
        <v>5219</v>
      </c>
      <c r="J133" s="37"/>
    </row>
    <row r="134" customFormat="false" ht="15" hidden="false" customHeight="true" outlineLevel="0" collapsed="false">
      <c r="A134" s="37" t="s">
        <v>2708</v>
      </c>
      <c r="B134" s="37" t="s">
        <v>456</v>
      </c>
      <c r="C134" s="54" t="s">
        <v>2709</v>
      </c>
      <c r="D134" s="54" t="s">
        <v>5255</v>
      </c>
      <c r="E134" s="54" t="s">
        <v>5256</v>
      </c>
      <c r="F134" s="54" t="s">
        <v>5216</v>
      </c>
      <c r="G134" s="54" t="s">
        <v>5247</v>
      </c>
      <c r="H134" s="37" t="s">
        <v>5218</v>
      </c>
      <c r="I134" s="54" t="s">
        <v>5219</v>
      </c>
      <c r="J134" s="37"/>
    </row>
    <row r="135" customFormat="false" ht="15" hidden="false" customHeight="true" outlineLevel="0" collapsed="false">
      <c r="A135" s="37" t="s">
        <v>2711</v>
      </c>
      <c r="B135" s="37" t="s">
        <v>456</v>
      </c>
      <c r="C135" s="54" t="s">
        <v>2712</v>
      </c>
      <c r="D135" s="37" t="s">
        <v>5253</v>
      </c>
      <c r="E135" s="54" t="s">
        <v>5254</v>
      </c>
      <c r="F135" s="54" t="s">
        <v>5216</v>
      </c>
      <c r="G135" s="54" t="s">
        <v>5247</v>
      </c>
      <c r="H135" s="37" t="s">
        <v>5218</v>
      </c>
      <c r="I135" s="54" t="s">
        <v>5219</v>
      </c>
      <c r="J135" s="37"/>
    </row>
    <row r="136" customFormat="false" ht="15" hidden="false" customHeight="true" outlineLevel="0" collapsed="false">
      <c r="A136" s="37" t="s">
        <v>2714</v>
      </c>
      <c r="B136" s="37" t="s">
        <v>456</v>
      </c>
      <c r="C136" s="54" t="s">
        <v>2715</v>
      </c>
      <c r="D136" s="54" t="s">
        <v>5259</v>
      </c>
      <c r="E136" s="54" t="s">
        <v>5215</v>
      </c>
      <c r="F136" s="54" t="s">
        <v>5216</v>
      </c>
      <c r="G136" s="54" t="s">
        <v>5247</v>
      </c>
      <c r="H136" s="37" t="s">
        <v>5218</v>
      </c>
      <c r="I136" s="54" t="s">
        <v>5219</v>
      </c>
      <c r="J136" s="37"/>
    </row>
    <row r="137" customFormat="false" ht="15" hidden="false" customHeight="true" outlineLevel="0" collapsed="false">
      <c r="A137" s="37" t="s">
        <v>2717</v>
      </c>
      <c r="B137" s="37" t="s">
        <v>456</v>
      </c>
      <c r="C137" s="54" t="s">
        <v>2718</v>
      </c>
      <c r="D137" s="54" t="s">
        <v>5255</v>
      </c>
      <c r="E137" s="54" t="s">
        <v>5256</v>
      </c>
      <c r="F137" s="54" t="s">
        <v>5216</v>
      </c>
      <c r="G137" s="54" t="s">
        <v>5247</v>
      </c>
      <c r="H137" s="37" t="s">
        <v>5218</v>
      </c>
      <c r="I137" s="54" t="s">
        <v>5219</v>
      </c>
      <c r="J137" s="37"/>
    </row>
    <row r="138" customFormat="false" ht="15" hidden="false" customHeight="true" outlineLevel="0" collapsed="false">
      <c r="A138" s="37" t="s">
        <v>2720</v>
      </c>
      <c r="B138" s="37" t="s">
        <v>456</v>
      </c>
      <c r="C138" s="54" t="s">
        <v>2721</v>
      </c>
      <c r="D138" s="54" t="s">
        <v>5255</v>
      </c>
      <c r="E138" s="54" t="s">
        <v>5256</v>
      </c>
      <c r="F138" s="54" t="s">
        <v>5216</v>
      </c>
      <c r="G138" s="54" t="s">
        <v>5247</v>
      </c>
      <c r="H138" s="37" t="s">
        <v>5218</v>
      </c>
      <c r="I138" s="54" t="s">
        <v>5219</v>
      </c>
      <c r="J138" s="37"/>
    </row>
    <row r="139" customFormat="false" ht="15" hidden="false" customHeight="true" outlineLevel="0" collapsed="false">
      <c r="A139" s="37" t="s">
        <v>2723</v>
      </c>
      <c r="B139" s="37" t="s">
        <v>456</v>
      </c>
      <c r="C139" s="54" t="s">
        <v>2724</v>
      </c>
      <c r="D139" s="54" t="s">
        <v>5255</v>
      </c>
      <c r="E139" s="54" t="s">
        <v>5256</v>
      </c>
      <c r="F139" s="54" t="s">
        <v>5216</v>
      </c>
      <c r="G139" s="54" t="s">
        <v>5247</v>
      </c>
      <c r="H139" s="37" t="s">
        <v>5218</v>
      </c>
      <c r="I139" s="54" t="s">
        <v>5219</v>
      </c>
      <c r="J139" s="37"/>
    </row>
    <row r="140" customFormat="false" ht="15" hidden="false" customHeight="true" outlineLevel="0" collapsed="false">
      <c r="A140" s="37" t="s">
        <v>2726</v>
      </c>
      <c r="B140" s="37" t="s">
        <v>456</v>
      </c>
      <c r="C140" s="54" t="s">
        <v>2727</v>
      </c>
      <c r="D140" s="54" t="s">
        <v>5255</v>
      </c>
      <c r="E140" s="54" t="s">
        <v>5256</v>
      </c>
      <c r="F140" s="54" t="s">
        <v>5216</v>
      </c>
      <c r="G140" s="54" t="s">
        <v>5247</v>
      </c>
      <c r="H140" s="37" t="s">
        <v>5218</v>
      </c>
      <c r="I140" s="54" t="s">
        <v>5219</v>
      </c>
      <c r="J140" s="37"/>
    </row>
    <row r="141" customFormat="false" ht="15" hidden="false" customHeight="true" outlineLevel="0" collapsed="false">
      <c r="A141" s="37" t="s">
        <v>2729</v>
      </c>
      <c r="B141" s="37" t="s">
        <v>456</v>
      </c>
      <c r="C141" s="54" t="s">
        <v>2730</v>
      </c>
      <c r="D141" s="54" t="s">
        <v>5255</v>
      </c>
      <c r="E141" s="54" t="s">
        <v>5256</v>
      </c>
      <c r="F141" s="54" t="s">
        <v>5216</v>
      </c>
      <c r="G141" s="54" t="s">
        <v>5247</v>
      </c>
      <c r="H141" s="37" t="s">
        <v>5218</v>
      </c>
      <c r="I141" s="54" t="s">
        <v>5219</v>
      </c>
      <c r="J141" s="37"/>
    </row>
    <row r="142" customFormat="false" ht="15" hidden="false" customHeight="true" outlineLevel="0" collapsed="false">
      <c r="A142" s="37" t="s">
        <v>2732</v>
      </c>
      <c r="B142" s="37" t="s">
        <v>456</v>
      </c>
      <c r="C142" s="54" t="s">
        <v>2733</v>
      </c>
      <c r="D142" s="54" t="s">
        <v>5255</v>
      </c>
      <c r="E142" s="54" t="s">
        <v>5256</v>
      </c>
      <c r="F142" s="54" t="s">
        <v>5216</v>
      </c>
      <c r="G142" s="54" t="s">
        <v>5247</v>
      </c>
      <c r="H142" s="37" t="s">
        <v>5218</v>
      </c>
      <c r="I142" s="54" t="s">
        <v>5219</v>
      </c>
      <c r="J142" s="37"/>
    </row>
    <row r="143" customFormat="false" ht="15" hidden="false" customHeight="true" outlineLevel="0" collapsed="false">
      <c r="A143" s="37" t="s">
        <v>2735</v>
      </c>
      <c r="B143" s="37" t="s">
        <v>456</v>
      </c>
      <c r="C143" s="54" t="s">
        <v>2736</v>
      </c>
      <c r="D143" s="54" t="s">
        <v>5255</v>
      </c>
      <c r="E143" s="54" t="s">
        <v>5256</v>
      </c>
      <c r="F143" s="54" t="s">
        <v>5216</v>
      </c>
      <c r="G143" s="54" t="s">
        <v>5247</v>
      </c>
      <c r="H143" s="37" t="s">
        <v>5218</v>
      </c>
      <c r="I143" s="54" t="s">
        <v>5219</v>
      </c>
      <c r="J143" s="37"/>
    </row>
    <row r="144" customFormat="false" ht="15" hidden="false" customHeight="true" outlineLevel="0" collapsed="false">
      <c r="A144" s="37" t="s">
        <v>2738</v>
      </c>
      <c r="B144" s="37" t="s">
        <v>456</v>
      </c>
      <c r="C144" s="54" t="s">
        <v>2739</v>
      </c>
      <c r="D144" s="54" t="s">
        <v>5255</v>
      </c>
      <c r="E144" s="54" t="s">
        <v>5256</v>
      </c>
      <c r="F144" s="54" t="s">
        <v>5216</v>
      </c>
      <c r="G144" s="54" t="s">
        <v>5247</v>
      </c>
      <c r="H144" s="37" t="s">
        <v>5218</v>
      </c>
      <c r="I144" s="54" t="s">
        <v>5219</v>
      </c>
      <c r="J144" s="37"/>
    </row>
    <row r="145" customFormat="false" ht="15" hidden="false" customHeight="true" outlineLevel="0" collapsed="false">
      <c r="A145" s="37" t="s">
        <v>2741</v>
      </c>
      <c r="B145" s="37" t="s">
        <v>456</v>
      </c>
      <c r="C145" s="54" t="s">
        <v>2742</v>
      </c>
      <c r="D145" s="54" t="s">
        <v>5257</v>
      </c>
      <c r="E145" s="54" t="s">
        <v>5258</v>
      </c>
      <c r="F145" s="54" t="s">
        <v>5216</v>
      </c>
      <c r="G145" s="54" t="s">
        <v>5247</v>
      </c>
      <c r="H145" s="37" t="s">
        <v>5218</v>
      </c>
      <c r="I145" s="54" t="s">
        <v>5219</v>
      </c>
      <c r="J145" s="37"/>
    </row>
    <row r="146" customFormat="false" ht="15" hidden="false" customHeight="true" outlineLevel="0" collapsed="false">
      <c r="A146" s="37" t="s">
        <v>2744</v>
      </c>
      <c r="B146" s="37" t="s">
        <v>456</v>
      </c>
      <c r="C146" s="54" t="s">
        <v>2745</v>
      </c>
      <c r="D146" s="54" t="s">
        <v>5255</v>
      </c>
      <c r="E146" s="54" t="s">
        <v>5256</v>
      </c>
      <c r="F146" s="54" t="s">
        <v>5216</v>
      </c>
      <c r="G146" s="54" t="s">
        <v>5247</v>
      </c>
      <c r="H146" s="37" t="s">
        <v>5218</v>
      </c>
      <c r="I146" s="54" t="s">
        <v>5219</v>
      </c>
      <c r="J146" s="37"/>
    </row>
    <row r="147" customFormat="false" ht="15" hidden="false" customHeight="true" outlineLevel="0" collapsed="false">
      <c r="A147" s="37" t="s">
        <v>2747</v>
      </c>
      <c r="B147" s="37" t="s">
        <v>456</v>
      </c>
      <c r="C147" s="54" t="s">
        <v>2748</v>
      </c>
      <c r="D147" s="54" t="s">
        <v>5259</v>
      </c>
      <c r="E147" s="54" t="s">
        <v>5215</v>
      </c>
      <c r="F147" s="54" t="s">
        <v>5216</v>
      </c>
      <c r="G147" s="54" t="s">
        <v>5247</v>
      </c>
      <c r="H147" s="37" t="s">
        <v>5218</v>
      </c>
      <c r="I147" s="54" t="s">
        <v>5219</v>
      </c>
      <c r="J147" s="37"/>
    </row>
    <row r="148" customFormat="false" ht="15" hidden="false" customHeight="true" outlineLevel="0" collapsed="false">
      <c r="A148" s="37" t="s">
        <v>2750</v>
      </c>
      <c r="B148" s="37" t="s">
        <v>456</v>
      </c>
      <c r="C148" s="54" t="s">
        <v>2751</v>
      </c>
      <c r="D148" s="54" t="s">
        <v>5259</v>
      </c>
      <c r="E148" s="54" t="s">
        <v>5215</v>
      </c>
      <c r="F148" s="54" t="s">
        <v>5216</v>
      </c>
      <c r="G148" s="54" t="s">
        <v>5247</v>
      </c>
      <c r="H148" s="37" t="s">
        <v>5218</v>
      </c>
      <c r="I148" s="54" t="s">
        <v>5219</v>
      </c>
      <c r="J148" s="37"/>
    </row>
    <row r="149" customFormat="false" ht="15" hidden="false" customHeight="true" outlineLevel="0" collapsed="false">
      <c r="A149" s="37" t="s">
        <v>2753</v>
      </c>
      <c r="B149" s="37" t="s">
        <v>456</v>
      </c>
      <c r="C149" s="54" t="s">
        <v>2754</v>
      </c>
      <c r="D149" s="54" t="s">
        <v>5259</v>
      </c>
      <c r="E149" s="54" t="s">
        <v>5215</v>
      </c>
      <c r="F149" s="54" t="s">
        <v>5216</v>
      </c>
      <c r="G149" s="54" t="s">
        <v>5247</v>
      </c>
      <c r="H149" s="37" t="s">
        <v>5218</v>
      </c>
      <c r="I149" s="54" t="s">
        <v>5219</v>
      </c>
      <c r="J149" s="37"/>
    </row>
    <row r="150" customFormat="false" ht="15" hidden="false" customHeight="true" outlineLevel="0" collapsed="false">
      <c r="A150" s="37" t="s">
        <v>2756</v>
      </c>
      <c r="B150" s="37" t="s">
        <v>456</v>
      </c>
      <c r="C150" s="54" t="s">
        <v>2757</v>
      </c>
      <c r="D150" s="54" t="s">
        <v>5257</v>
      </c>
      <c r="E150" s="54" t="s">
        <v>5258</v>
      </c>
      <c r="F150" s="54" t="s">
        <v>5216</v>
      </c>
      <c r="G150" s="54" t="s">
        <v>5247</v>
      </c>
      <c r="H150" s="37" t="s">
        <v>5218</v>
      </c>
      <c r="I150" s="54" t="s">
        <v>5219</v>
      </c>
      <c r="J150" s="37"/>
    </row>
    <row r="151" customFormat="false" ht="15" hidden="false" customHeight="true" outlineLevel="0" collapsed="false">
      <c r="A151" s="37" t="s">
        <v>2759</v>
      </c>
      <c r="B151" s="37" t="s">
        <v>456</v>
      </c>
      <c r="C151" s="54" t="s">
        <v>2760</v>
      </c>
      <c r="D151" s="54" t="s">
        <v>5257</v>
      </c>
      <c r="E151" s="54" t="s">
        <v>5258</v>
      </c>
      <c r="F151" s="54" t="s">
        <v>5216</v>
      </c>
      <c r="G151" s="54" t="s">
        <v>5247</v>
      </c>
      <c r="H151" s="37" t="s">
        <v>5218</v>
      </c>
      <c r="I151" s="54" t="s">
        <v>5219</v>
      </c>
      <c r="J151" s="37"/>
    </row>
    <row r="152" customFormat="false" ht="15" hidden="false" customHeight="true" outlineLevel="0" collapsed="false">
      <c r="A152" s="37" t="s">
        <v>2762</v>
      </c>
      <c r="B152" s="37" t="s">
        <v>456</v>
      </c>
      <c r="C152" s="54" t="s">
        <v>2763</v>
      </c>
      <c r="D152" s="54" t="s">
        <v>5255</v>
      </c>
      <c r="E152" s="54" t="s">
        <v>5256</v>
      </c>
      <c r="F152" s="54" t="s">
        <v>5216</v>
      </c>
      <c r="G152" s="54" t="s">
        <v>5247</v>
      </c>
      <c r="H152" s="37" t="s">
        <v>5218</v>
      </c>
      <c r="I152" s="54" t="s">
        <v>5219</v>
      </c>
      <c r="J152" s="37"/>
    </row>
    <row r="153" customFormat="false" ht="15" hidden="false" customHeight="true" outlineLevel="0" collapsed="false">
      <c r="A153" s="37" t="s">
        <v>2765</v>
      </c>
      <c r="B153" s="37" t="s">
        <v>456</v>
      </c>
      <c r="C153" s="54" t="s">
        <v>2766</v>
      </c>
      <c r="D153" s="54" t="s">
        <v>5255</v>
      </c>
      <c r="E153" s="54" t="s">
        <v>5256</v>
      </c>
      <c r="F153" s="54" t="s">
        <v>5216</v>
      </c>
      <c r="G153" s="54" t="s">
        <v>5247</v>
      </c>
      <c r="H153" s="37" t="s">
        <v>5218</v>
      </c>
      <c r="I153" s="54" t="s">
        <v>5219</v>
      </c>
      <c r="J153" s="37"/>
    </row>
    <row r="154" customFormat="false" ht="15" hidden="false" customHeight="true" outlineLevel="0" collapsed="false">
      <c r="A154" s="37" t="s">
        <v>2769</v>
      </c>
      <c r="B154" s="37" t="s">
        <v>456</v>
      </c>
      <c r="C154" s="54" t="s">
        <v>2770</v>
      </c>
      <c r="D154" s="54" t="s">
        <v>5255</v>
      </c>
      <c r="E154" s="54" t="s">
        <v>5256</v>
      </c>
      <c r="F154" s="54" t="s">
        <v>5216</v>
      </c>
      <c r="G154" s="54" t="s">
        <v>5247</v>
      </c>
      <c r="H154" s="37" t="s">
        <v>5218</v>
      </c>
      <c r="I154" s="54" t="s">
        <v>5219</v>
      </c>
      <c r="J154" s="37"/>
    </row>
    <row r="155" customFormat="false" ht="15" hidden="false" customHeight="true" outlineLevel="0" collapsed="false">
      <c r="A155" s="37" t="s">
        <v>2772</v>
      </c>
      <c r="B155" s="37" t="s">
        <v>456</v>
      </c>
      <c r="C155" s="54" t="s">
        <v>2773</v>
      </c>
      <c r="D155" s="37" t="s">
        <v>5253</v>
      </c>
      <c r="E155" s="54" t="s">
        <v>5254</v>
      </c>
      <c r="F155" s="54" t="s">
        <v>5216</v>
      </c>
      <c r="G155" s="54" t="s">
        <v>5247</v>
      </c>
      <c r="H155" s="37" t="s">
        <v>5218</v>
      </c>
      <c r="I155" s="54" t="s">
        <v>5219</v>
      </c>
      <c r="J155" s="37"/>
    </row>
    <row r="156" customFormat="false" ht="15" hidden="false" customHeight="true" outlineLevel="0" collapsed="false">
      <c r="A156" s="37" t="s">
        <v>2776</v>
      </c>
      <c r="B156" s="37" t="s">
        <v>456</v>
      </c>
      <c r="C156" s="54" t="s">
        <v>2777</v>
      </c>
      <c r="D156" s="54" t="s">
        <v>5255</v>
      </c>
      <c r="E156" s="54" t="s">
        <v>5256</v>
      </c>
      <c r="F156" s="54" t="s">
        <v>5216</v>
      </c>
      <c r="G156" s="54" t="s">
        <v>5247</v>
      </c>
      <c r="H156" s="37" t="s">
        <v>5218</v>
      </c>
      <c r="I156" s="54" t="s">
        <v>5219</v>
      </c>
      <c r="J156" s="37"/>
    </row>
    <row r="157" customFormat="false" ht="15" hidden="false" customHeight="true" outlineLevel="0" collapsed="false">
      <c r="A157" s="37" t="s">
        <v>2779</v>
      </c>
      <c r="B157" s="37" t="s">
        <v>456</v>
      </c>
      <c r="C157" s="54" t="s">
        <v>2780</v>
      </c>
      <c r="D157" s="54" t="s">
        <v>5255</v>
      </c>
      <c r="E157" s="54" t="s">
        <v>5256</v>
      </c>
      <c r="F157" s="54" t="s">
        <v>5216</v>
      </c>
      <c r="G157" s="54" t="s">
        <v>5247</v>
      </c>
      <c r="H157" s="37" t="s">
        <v>5218</v>
      </c>
      <c r="I157" s="54" t="s">
        <v>5219</v>
      </c>
      <c r="J157" s="37"/>
    </row>
    <row r="158" customFormat="false" ht="15" hidden="false" customHeight="true" outlineLevel="0" collapsed="false">
      <c r="A158" s="37" t="s">
        <v>2783</v>
      </c>
      <c r="B158" s="37" t="s">
        <v>456</v>
      </c>
      <c r="C158" s="54" t="s">
        <v>2784</v>
      </c>
      <c r="D158" s="37" t="s">
        <v>5253</v>
      </c>
      <c r="E158" s="54" t="s">
        <v>5254</v>
      </c>
      <c r="F158" s="54" t="s">
        <v>5216</v>
      </c>
      <c r="G158" s="54" t="s">
        <v>5247</v>
      </c>
      <c r="H158" s="37" t="s">
        <v>5218</v>
      </c>
      <c r="I158" s="54" t="s">
        <v>5219</v>
      </c>
      <c r="J158" s="37"/>
    </row>
    <row r="159" customFormat="false" ht="15" hidden="false" customHeight="true" outlineLevel="0" collapsed="false">
      <c r="A159" s="37" t="s">
        <v>2786</v>
      </c>
      <c r="B159" s="37" t="s">
        <v>456</v>
      </c>
      <c r="C159" s="54" t="s">
        <v>2787</v>
      </c>
      <c r="D159" s="37" t="s">
        <v>5253</v>
      </c>
      <c r="E159" s="54" t="s">
        <v>5254</v>
      </c>
      <c r="F159" s="54" t="s">
        <v>5216</v>
      </c>
      <c r="G159" s="54" t="s">
        <v>5247</v>
      </c>
      <c r="H159" s="37" t="s">
        <v>5218</v>
      </c>
      <c r="I159" s="54" t="s">
        <v>5219</v>
      </c>
      <c r="J159" s="37"/>
    </row>
    <row r="160" customFormat="false" ht="15" hidden="false" customHeight="true" outlineLevel="0" collapsed="false">
      <c r="A160" s="37" t="s">
        <v>2789</v>
      </c>
      <c r="B160" s="37" t="s">
        <v>456</v>
      </c>
      <c r="C160" s="54" t="s">
        <v>2790</v>
      </c>
      <c r="D160" s="54" t="s">
        <v>5255</v>
      </c>
      <c r="E160" s="54" t="s">
        <v>5256</v>
      </c>
      <c r="F160" s="54" t="s">
        <v>5216</v>
      </c>
      <c r="G160" s="54" t="s">
        <v>5247</v>
      </c>
      <c r="H160" s="37" t="s">
        <v>5218</v>
      </c>
      <c r="I160" s="54" t="s">
        <v>5219</v>
      </c>
      <c r="J160" s="37"/>
    </row>
    <row r="161" customFormat="false" ht="15" hidden="false" customHeight="true" outlineLevel="0" collapsed="false">
      <c r="A161" s="37" t="s">
        <v>2792</v>
      </c>
      <c r="B161" s="37" t="s">
        <v>456</v>
      </c>
      <c r="C161" s="54" t="s">
        <v>2793</v>
      </c>
      <c r="D161" s="54" t="s">
        <v>5257</v>
      </c>
      <c r="E161" s="54" t="s">
        <v>5258</v>
      </c>
      <c r="F161" s="54" t="s">
        <v>5216</v>
      </c>
      <c r="G161" s="54" t="s">
        <v>5247</v>
      </c>
      <c r="H161" s="37" t="s">
        <v>5218</v>
      </c>
      <c r="I161" s="54" t="s">
        <v>5219</v>
      </c>
      <c r="J161" s="37"/>
    </row>
    <row r="162" customFormat="false" ht="15" hidden="false" customHeight="true" outlineLevel="0" collapsed="false">
      <c r="A162" s="37" t="s">
        <v>2795</v>
      </c>
      <c r="B162" s="37" t="s">
        <v>456</v>
      </c>
      <c r="C162" s="54" t="s">
        <v>2796</v>
      </c>
      <c r="D162" s="54" t="s">
        <v>5257</v>
      </c>
      <c r="E162" s="54" t="s">
        <v>5258</v>
      </c>
      <c r="F162" s="54" t="s">
        <v>5216</v>
      </c>
      <c r="G162" s="54" t="s">
        <v>5247</v>
      </c>
      <c r="H162" s="37" t="s">
        <v>5218</v>
      </c>
      <c r="I162" s="54" t="s">
        <v>5219</v>
      </c>
      <c r="J162" s="37"/>
    </row>
    <row r="163" customFormat="false" ht="15" hidden="false" customHeight="true" outlineLevel="0" collapsed="false">
      <c r="A163" s="37" t="s">
        <v>2798</v>
      </c>
      <c r="B163" s="37" t="s">
        <v>456</v>
      </c>
      <c r="C163" s="54" t="s">
        <v>2799</v>
      </c>
      <c r="D163" s="54" t="s">
        <v>5257</v>
      </c>
      <c r="E163" s="54" t="s">
        <v>5258</v>
      </c>
      <c r="F163" s="54" t="s">
        <v>5216</v>
      </c>
      <c r="G163" s="54" t="s">
        <v>5247</v>
      </c>
      <c r="H163" s="37" t="s">
        <v>5218</v>
      </c>
      <c r="I163" s="54" t="s">
        <v>5219</v>
      </c>
      <c r="J163" s="37"/>
    </row>
    <row r="164" customFormat="false" ht="15" hidden="false" customHeight="true" outlineLevel="0" collapsed="false">
      <c r="A164" s="37" t="s">
        <v>2801</v>
      </c>
      <c r="B164" s="37" t="s">
        <v>456</v>
      </c>
      <c r="C164" s="54" t="s">
        <v>2802</v>
      </c>
      <c r="D164" s="37" t="s">
        <v>5253</v>
      </c>
      <c r="E164" s="54" t="s">
        <v>5254</v>
      </c>
      <c r="F164" s="54" t="s">
        <v>5216</v>
      </c>
      <c r="G164" s="54" t="s">
        <v>5247</v>
      </c>
      <c r="H164" s="37" t="s">
        <v>5218</v>
      </c>
      <c r="I164" s="54" t="s">
        <v>5219</v>
      </c>
      <c r="J164" s="37"/>
    </row>
    <row r="165" customFormat="false" ht="15" hidden="false" customHeight="true" outlineLevel="0" collapsed="false">
      <c r="A165" s="37" t="s">
        <v>2804</v>
      </c>
      <c r="B165" s="37" t="s">
        <v>456</v>
      </c>
      <c r="C165" s="54" t="s">
        <v>2805</v>
      </c>
      <c r="D165" s="54" t="s">
        <v>5257</v>
      </c>
      <c r="E165" s="54" t="s">
        <v>5258</v>
      </c>
      <c r="F165" s="54" t="s">
        <v>5216</v>
      </c>
      <c r="G165" s="54" t="s">
        <v>5247</v>
      </c>
      <c r="H165" s="37" t="s">
        <v>5218</v>
      </c>
      <c r="I165" s="54" t="s">
        <v>5219</v>
      </c>
      <c r="J165" s="37"/>
    </row>
    <row r="166" customFormat="false" ht="15" hidden="false" customHeight="true" outlineLevel="0" collapsed="false">
      <c r="A166" s="37" t="s">
        <v>2807</v>
      </c>
      <c r="B166" s="37" t="s">
        <v>456</v>
      </c>
      <c r="C166" s="54" t="s">
        <v>2808</v>
      </c>
      <c r="D166" s="37" t="s">
        <v>5253</v>
      </c>
      <c r="E166" s="54" t="s">
        <v>5254</v>
      </c>
      <c r="F166" s="54" t="s">
        <v>5216</v>
      </c>
      <c r="G166" s="54" t="s">
        <v>5247</v>
      </c>
      <c r="H166" s="37" t="s">
        <v>5218</v>
      </c>
      <c r="I166" s="54" t="s">
        <v>5219</v>
      </c>
      <c r="J166" s="37"/>
    </row>
    <row r="167" customFormat="false" ht="15" hidden="false" customHeight="true" outlineLevel="0" collapsed="false">
      <c r="A167" s="37" t="s">
        <v>2810</v>
      </c>
      <c r="B167" s="37" t="s">
        <v>456</v>
      </c>
      <c r="C167" s="54" t="s">
        <v>2811</v>
      </c>
      <c r="D167" s="37" t="s">
        <v>5253</v>
      </c>
      <c r="E167" s="54" t="s">
        <v>5254</v>
      </c>
      <c r="F167" s="54" t="s">
        <v>5216</v>
      </c>
      <c r="G167" s="54" t="s">
        <v>5247</v>
      </c>
      <c r="H167" s="37" t="s">
        <v>5218</v>
      </c>
      <c r="I167" s="54" t="s">
        <v>5219</v>
      </c>
      <c r="J167" s="37"/>
    </row>
    <row r="168" customFormat="false" ht="15" hidden="false" customHeight="true" outlineLevel="0" collapsed="false">
      <c r="A168" s="37" t="s">
        <v>2813</v>
      </c>
      <c r="B168" s="37" t="s">
        <v>456</v>
      </c>
      <c r="C168" s="54" t="s">
        <v>2814</v>
      </c>
      <c r="D168" s="37" t="s">
        <v>5253</v>
      </c>
      <c r="E168" s="54" t="s">
        <v>5254</v>
      </c>
      <c r="F168" s="54" t="s">
        <v>5216</v>
      </c>
      <c r="G168" s="54" t="s">
        <v>5247</v>
      </c>
      <c r="H168" s="37" t="s">
        <v>5218</v>
      </c>
      <c r="I168" s="54" t="s">
        <v>5219</v>
      </c>
      <c r="J168" s="37"/>
    </row>
    <row r="169" customFormat="false" ht="15" hidden="false" customHeight="true" outlineLevel="0" collapsed="false">
      <c r="A169" s="37" t="s">
        <v>2816</v>
      </c>
      <c r="B169" s="37" t="s">
        <v>456</v>
      </c>
      <c r="C169" s="54" t="s">
        <v>2817</v>
      </c>
      <c r="D169" s="37" t="s">
        <v>5253</v>
      </c>
      <c r="E169" s="54" t="s">
        <v>5254</v>
      </c>
      <c r="F169" s="54" t="s">
        <v>5216</v>
      </c>
      <c r="G169" s="54" t="s">
        <v>5247</v>
      </c>
      <c r="H169" s="37" t="s">
        <v>5218</v>
      </c>
      <c r="I169" s="54" t="s">
        <v>5219</v>
      </c>
      <c r="J169" s="37"/>
    </row>
    <row r="170" customFormat="false" ht="15" hidden="false" customHeight="true" outlineLevel="0" collapsed="false">
      <c r="A170" s="37" t="s">
        <v>2822</v>
      </c>
      <c r="B170" s="37" t="s">
        <v>456</v>
      </c>
      <c r="C170" s="54" t="s">
        <v>2823</v>
      </c>
      <c r="D170" s="54" t="s">
        <v>5255</v>
      </c>
      <c r="E170" s="54" t="s">
        <v>5256</v>
      </c>
      <c r="F170" s="54" t="s">
        <v>5216</v>
      </c>
      <c r="G170" s="54" t="s">
        <v>5247</v>
      </c>
      <c r="H170" s="37" t="s">
        <v>5218</v>
      </c>
      <c r="I170" s="54" t="s">
        <v>5219</v>
      </c>
      <c r="J170" s="37"/>
    </row>
    <row r="171" customFormat="false" ht="15" hidden="false" customHeight="true" outlineLevel="0" collapsed="false">
      <c r="A171" s="37" t="s">
        <v>2825</v>
      </c>
      <c r="B171" s="37" t="s">
        <v>456</v>
      </c>
      <c r="C171" s="54" t="s">
        <v>2826</v>
      </c>
      <c r="D171" s="54" t="s">
        <v>5257</v>
      </c>
      <c r="E171" s="54" t="s">
        <v>5258</v>
      </c>
      <c r="F171" s="54" t="s">
        <v>5216</v>
      </c>
      <c r="G171" s="54" t="s">
        <v>5247</v>
      </c>
      <c r="H171" s="37" t="s">
        <v>5218</v>
      </c>
      <c r="I171" s="54" t="s">
        <v>5219</v>
      </c>
      <c r="J171" s="37"/>
    </row>
    <row r="172" customFormat="false" ht="15" hidden="false" customHeight="true" outlineLevel="0" collapsed="false">
      <c r="A172" s="37" t="s">
        <v>3886</v>
      </c>
      <c r="B172" s="37" t="s">
        <v>440</v>
      </c>
      <c r="C172" s="54" t="s">
        <v>3887</v>
      </c>
      <c r="D172" s="54" t="s">
        <v>5260</v>
      </c>
      <c r="E172" s="54" t="s">
        <v>5261</v>
      </c>
      <c r="F172" s="54" t="s">
        <v>5240</v>
      </c>
      <c r="G172" s="54" t="s">
        <v>5262</v>
      </c>
      <c r="H172" s="37" t="s">
        <v>5263</v>
      </c>
      <c r="I172" s="54" t="s">
        <v>5219</v>
      </c>
      <c r="J172" s="37"/>
    </row>
    <row r="173" customFormat="false" ht="15" hidden="false" customHeight="true" outlineLevel="0" collapsed="false">
      <c r="A173" s="37" t="s">
        <v>3890</v>
      </c>
      <c r="B173" s="37" t="s">
        <v>440</v>
      </c>
      <c r="C173" s="54" t="s">
        <v>3891</v>
      </c>
      <c r="D173" s="54" t="s">
        <v>5260</v>
      </c>
      <c r="E173" s="54" t="s">
        <v>5261</v>
      </c>
      <c r="F173" s="54" t="s">
        <v>5240</v>
      </c>
      <c r="G173" s="54" t="s">
        <v>5262</v>
      </c>
      <c r="H173" s="37" t="s">
        <v>5263</v>
      </c>
      <c r="I173" s="54" t="s">
        <v>5219</v>
      </c>
      <c r="J173" s="37"/>
    </row>
    <row r="174" customFormat="false" ht="15" hidden="false" customHeight="true" outlineLevel="0" collapsed="false">
      <c r="A174" s="37" t="s">
        <v>3893</v>
      </c>
      <c r="B174" s="37" t="s">
        <v>440</v>
      </c>
      <c r="C174" s="54" t="s">
        <v>3894</v>
      </c>
      <c r="D174" s="54" t="s">
        <v>5260</v>
      </c>
      <c r="E174" s="54" t="s">
        <v>5261</v>
      </c>
      <c r="F174" s="54" t="s">
        <v>5240</v>
      </c>
      <c r="G174" s="54" t="s">
        <v>5262</v>
      </c>
      <c r="H174" s="37" t="s">
        <v>5263</v>
      </c>
      <c r="I174" s="54" t="s">
        <v>5219</v>
      </c>
      <c r="J174" s="37"/>
    </row>
    <row r="175" customFormat="false" ht="15" hidden="false" customHeight="true" outlineLevel="0" collapsed="false">
      <c r="A175" s="37" t="s">
        <v>3895</v>
      </c>
      <c r="B175" s="37" t="s">
        <v>440</v>
      </c>
      <c r="C175" s="54" t="s">
        <v>3896</v>
      </c>
      <c r="D175" s="54" t="s">
        <v>5260</v>
      </c>
      <c r="E175" s="54" t="s">
        <v>5261</v>
      </c>
      <c r="F175" s="54" t="s">
        <v>5240</v>
      </c>
      <c r="G175" s="54" t="s">
        <v>5262</v>
      </c>
      <c r="H175" s="37" t="s">
        <v>5263</v>
      </c>
      <c r="I175" s="54" t="s">
        <v>5219</v>
      </c>
      <c r="J175" s="37"/>
    </row>
    <row r="176" customFormat="false" ht="15" hidden="false" customHeight="true" outlineLevel="0" collapsed="false">
      <c r="A176" s="37" t="s">
        <v>3897</v>
      </c>
      <c r="B176" s="37" t="s">
        <v>440</v>
      </c>
      <c r="C176" s="54" t="s">
        <v>3898</v>
      </c>
      <c r="D176" s="54" t="s">
        <v>5260</v>
      </c>
      <c r="E176" s="54" t="s">
        <v>5261</v>
      </c>
      <c r="F176" s="54" t="s">
        <v>5240</v>
      </c>
      <c r="G176" s="54" t="s">
        <v>5262</v>
      </c>
      <c r="H176" s="37" t="s">
        <v>5263</v>
      </c>
      <c r="I176" s="54" t="s">
        <v>5219</v>
      </c>
      <c r="J176" s="37"/>
    </row>
    <row r="177" customFormat="false" ht="15" hidden="false" customHeight="true" outlineLevel="0" collapsed="false">
      <c r="A177" s="37" t="s">
        <v>3899</v>
      </c>
      <c r="B177" s="37" t="s">
        <v>440</v>
      </c>
      <c r="C177" s="54" t="s">
        <v>3900</v>
      </c>
      <c r="D177" s="54" t="s">
        <v>5260</v>
      </c>
      <c r="E177" s="54" t="s">
        <v>5261</v>
      </c>
      <c r="F177" s="54" t="s">
        <v>5240</v>
      </c>
      <c r="G177" s="54" t="s">
        <v>5262</v>
      </c>
      <c r="H177" s="37" t="s">
        <v>5263</v>
      </c>
      <c r="I177" s="54" t="s">
        <v>5219</v>
      </c>
      <c r="J177" s="37"/>
    </row>
    <row r="178" customFormat="false" ht="15" hidden="false" customHeight="true" outlineLevel="0" collapsed="false">
      <c r="A178" s="37" t="s">
        <v>3901</v>
      </c>
      <c r="B178" s="37" t="s">
        <v>440</v>
      </c>
      <c r="C178" s="54" t="s">
        <v>3902</v>
      </c>
      <c r="D178" s="54" t="s">
        <v>5260</v>
      </c>
      <c r="E178" s="54" t="s">
        <v>5261</v>
      </c>
      <c r="F178" s="54" t="s">
        <v>5240</v>
      </c>
      <c r="G178" s="54" t="s">
        <v>5262</v>
      </c>
      <c r="H178" s="37" t="s">
        <v>5263</v>
      </c>
      <c r="I178" s="54" t="s">
        <v>5219</v>
      </c>
      <c r="J178" s="37"/>
    </row>
    <row r="179" customFormat="false" ht="15" hidden="false" customHeight="true" outlineLevel="0" collapsed="false">
      <c r="A179" s="37" t="s">
        <v>3903</v>
      </c>
      <c r="B179" s="37" t="s">
        <v>440</v>
      </c>
      <c r="C179" s="54" t="s">
        <v>3904</v>
      </c>
      <c r="D179" s="54" t="s">
        <v>5260</v>
      </c>
      <c r="E179" s="54" t="s">
        <v>5261</v>
      </c>
      <c r="F179" s="54" t="s">
        <v>5240</v>
      </c>
      <c r="G179" s="54" t="s">
        <v>5262</v>
      </c>
      <c r="H179" s="37" t="s">
        <v>5263</v>
      </c>
      <c r="I179" s="54" t="s">
        <v>5219</v>
      </c>
      <c r="J179" s="37"/>
    </row>
    <row r="180" customFormat="false" ht="15" hidden="false" customHeight="true" outlineLevel="0" collapsed="false">
      <c r="A180" s="37" t="s">
        <v>3905</v>
      </c>
      <c r="B180" s="37" t="s">
        <v>440</v>
      </c>
      <c r="C180" s="54" t="s">
        <v>1237</v>
      </c>
      <c r="D180" s="54" t="s">
        <v>5264</v>
      </c>
      <c r="E180" s="54" t="s">
        <v>5265</v>
      </c>
      <c r="F180" s="54" t="s">
        <v>5216</v>
      </c>
      <c r="G180" s="54" t="s">
        <v>5262</v>
      </c>
      <c r="H180" s="37" t="s">
        <v>5263</v>
      </c>
      <c r="I180" s="54" t="s">
        <v>5219</v>
      </c>
      <c r="J180" s="37"/>
    </row>
    <row r="181" customFormat="false" ht="15" hidden="false" customHeight="true" outlineLevel="0" collapsed="false">
      <c r="A181" s="37" t="s">
        <v>3907</v>
      </c>
      <c r="B181" s="37" t="s">
        <v>440</v>
      </c>
      <c r="C181" s="54" t="s">
        <v>3908</v>
      </c>
      <c r="D181" s="54" t="s">
        <v>5260</v>
      </c>
      <c r="E181" s="54" t="s">
        <v>5261</v>
      </c>
      <c r="F181" s="54" t="s">
        <v>5240</v>
      </c>
      <c r="G181" s="54" t="s">
        <v>5262</v>
      </c>
      <c r="H181" s="37" t="s">
        <v>5263</v>
      </c>
      <c r="I181" s="54" t="s">
        <v>5219</v>
      </c>
      <c r="J181" s="37"/>
    </row>
    <row r="182" customFormat="false" ht="15" hidden="false" customHeight="true" outlineLevel="0" collapsed="false">
      <c r="A182" s="37" t="s">
        <v>3909</v>
      </c>
      <c r="B182" s="37" t="s">
        <v>440</v>
      </c>
      <c r="C182" s="54" t="s">
        <v>3910</v>
      </c>
      <c r="D182" s="54" t="s">
        <v>5260</v>
      </c>
      <c r="E182" s="54" t="s">
        <v>5261</v>
      </c>
      <c r="F182" s="54" t="s">
        <v>5240</v>
      </c>
      <c r="G182" s="54" t="s">
        <v>5262</v>
      </c>
      <c r="H182" s="37" t="s">
        <v>5263</v>
      </c>
      <c r="I182" s="54" t="s">
        <v>5219</v>
      </c>
      <c r="J182" s="37"/>
    </row>
    <row r="183" customFormat="false" ht="15" hidden="false" customHeight="true" outlineLevel="0" collapsed="false">
      <c r="A183" s="37" t="s">
        <v>3911</v>
      </c>
      <c r="B183" s="37" t="s">
        <v>440</v>
      </c>
      <c r="C183" s="54" t="s">
        <v>3912</v>
      </c>
      <c r="D183" s="54" t="s">
        <v>5260</v>
      </c>
      <c r="E183" s="54" t="s">
        <v>5261</v>
      </c>
      <c r="F183" s="54" t="s">
        <v>5240</v>
      </c>
      <c r="G183" s="54" t="s">
        <v>5262</v>
      </c>
      <c r="H183" s="37" t="s">
        <v>5263</v>
      </c>
      <c r="I183" s="54" t="s">
        <v>5219</v>
      </c>
      <c r="J183" s="37"/>
    </row>
    <row r="184" customFormat="false" ht="15" hidden="false" customHeight="true" outlineLevel="0" collapsed="false">
      <c r="A184" s="37" t="s">
        <v>3913</v>
      </c>
      <c r="B184" s="37" t="s">
        <v>440</v>
      </c>
      <c r="C184" s="54" t="s">
        <v>3914</v>
      </c>
      <c r="D184" s="54" t="s">
        <v>5260</v>
      </c>
      <c r="E184" s="54" t="s">
        <v>5261</v>
      </c>
      <c r="F184" s="54" t="s">
        <v>5240</v>
      </c>
      <c r="G184" s="54" t="s">
        <v>5262</v>
      </c>
      <c r="H184" s="37" t="s">
        <v>5263</v>
      </c>
      <c r="I184" s="54" t="s">
        <v>5219</v>
      </c>
      <c r="J184" s="37"/>
    </row>
    <row r="185" customFormat="false" ht="15" hidden="false" customHeight="true" outlineLevel="0" collapsed="false">
      <c r="A185" s="37" t="s">
        <v>3915</v>
      </c>
      <c r="B185" s="37" t="s">
        <v>440</v>
      </c>
      <c r="C185" s="54" t="s">
        <v>3916</v>
      </c>
      <c r="D185" s="54" t="s">
        <v>5260</v>
      </c>
      <c r="E185" s="54" t="s">
        <v>5261</v>
      </c>
      <c r="F185" s="54" t="s">
        <v>5240</v>
      </c>
      <c r="G185" s="54" t="s">
        <v>5262</v>
      </c>
      <c r="H185" s="37" t="s">
        <v>5263</v>
      </c>
      <c r="I185" s="54" t="s">
        <v>5219</v>
      </c>
      <c r="J185" s="37"/>
    </row>
    <row r="186" customFormat="false" ht="15" hidden="false" customHeight="true" outlineLevel="0" collapsed="false">
      <c r="A186" s="37" t="s">
        <v>3917</v>
      </c>
      <c r="B186" s="37" t="s">
        <v>440</v>
      </c>
      <c r="C186" s="54" t="s">
        <v>3918</v>
      </c>
      <c r="D186" s="54" t="s">
        <v>5260</v>
      </c>
      <c r="E186" s="54" t="s">
        <v>5261</v>
      </c>
      <c r="F186" s="54" t="s">
        <v>5240</v>
      </c>
      <c r="G186" s="54" t="s">
        <v>5262</v>
      </c>
      <c r="H186" s="37" t="s">
        <v>5263</v>
      </c>
      <c r="I186" s="54" t="s">
        <v>5219</v>
      </c>
      <c r="J186" s="37"/>
    </row>
    <row r="187" customFormat="false" ht="15" hidden="false" customHeight="true" outlineLevel="0" collapsed="false">
      <c r="A187" s="37" t="s">
        <v>3920</v>
      </c>
      <c r="B187" s="37" t="s">
        <v>440</v>
      </c>
      <c r="C187" s="54" t="s">
        <v>3921</v>
      </c>
      <c r="D187" s="54" t="s">
        <v>5260</v>
      </c>
      <c r="E187" s="54" t="s">
        <v>5261</v>
      </c>
      <c r="F187" s="54" t="s">
        <v>5240</v>
      </c>
      <c r="G187" s="54" t="s">
        <v>5262</v>
      </c>
      <c r="H187" s="37" t="s">
        <v>5263</v>
      </c>
      <c r="I187" s="54" t="s">
        <v>5219</v>
      </c>
      <c r="J187" s="37"/>
    </row>
    <row r="188" customFormat="false" ht="15" hidden="false" customHeight="true" outlineLevel="0" collapsed="false">
      <c r="A188" s="37" t="s">
        <v>3922</v>
      </c>
      <c r="B188" s="37" t="s">
        <v>440</v>
      </c>
      <c r="C188" s="54" t="s">
        <v>3923</v>
      </c>
      <c r="D188" s="54" t="s">
        <v>5260</v>
      </c>
      <c r="E188" s="54" t="s">
        <v>5261</v>
      </c>
      <c r="F188" s="54" t="s">
        <v>5240</v>
      </c>
      <c r="G188" s="54" t="s">
        <v>5262</v>
      </c>
      <c r="H188" s="37" t="s">
        <v>5263</v>
      </c>
      <c r="I188" s="54" t="s">
        <v>5219</v>
      </c>
      <c r="J188" s="37"/>
    </row>
    <row r="189" customFormat="false" ht="15" hidden="false" customHeight="true" outlineLevel="0" collapsed="false">
      <c r="A189" s="37" t="s">
        <v>3924</v>
      </c>
      <c r="B189" s="37" t="s">
        <v>440</v>
      </c>
      <c r="C189" s="54" t="s">
        <v>3925</v>
      </c>
      <c r="D189" s="54" t="s">
        <v>5260</v>
      </c>
      <c r="E189" s="54" t="s">
        <v>5261</v>
      </c>
      <c r="F189" s="54" t="s">
        <v>5240</v>
      </c>
      <c r="G189" s="54" t="s">
        <v>5262</v>
      </c>
      <c r="H189" s="37" t="s">
        <v>5263</v>
      </c>
      <c r="I189" s="54" t="s">
        <v>5219</v>
      </c>
      <c r="J189" s="37"/>
    </row>
    <row r="190" customFormat="false" ht="15" hidden="false" customHeight="true" outlineLevel="0" collapsed="false">
      <c r="A190" s="37" t="s">
        <v>3926</v>
      </c>
      <c r="B190" s="37" t="s">
        <v>440</v>
      </c>
      <c r="C190" s="54" t="s">
        <v>3927</v>
      </c>
      <c r="D190" s="54" t="s">
        <v>5260</v>
      </c>
      <c r="E190" s="54" t="s">
        <v>5261</v>
      </c>
      <c r="F190" s="54" t="s">
        <v>5240</v>
      </c>
      <c r="G190" s="54" t="s">
        <v>5262</v>
      </c>
      <c r="H190" s="37" t="s">
        <v>5263</v>
      </c>
      <c r="I190" s="54" t="s">
        <v>5219</v>
      </c>
      <c r="J190" s="37"/>
    </row>
    <row r="191" customFormat="false" ht="15" hidden="false" customHeight="true" outlineLevel="0" collapsed="false">
      <c r="A191" s="37" t="s">
        <v>3928</v>
      </c>
      <c r="B191" s="37" t="s">
        <v>440</v>
      </c>
      <c r="C191" s="54" t="s">
        <v>3929</v>
      </c>
      <c r="D191" s="54" t="s">
        <v>5260</v>
      </c>
      <c r="E191" s="54" t="s">
        <v>5261</v>
      </c>
      <c r="F191" s="54" t="s">
        <v>5240</v>
      </c>
      <c r="G191" s="54" t="s">
        <v>5262</v>
      </c>
      <c r="H191" s="37" t="s">
        <v>5263</v>
      </c>
      <c r="I191" s="54" t="s">
        <v>5219</v>
      </c>
      <c r="J191" s="37"/>
    </row>
    <row r="192" customFormat="false" ht="15" hidden="false" customHeight="true" outlineLevel="0" collapsed="false">
      <c r="A192" s="37" t="s">
        <v>3930</v>
      </c>
      <c r="B192" s="37" t="s">
        <v>440</v>
      </c>
      <c r="C192" s="54" t="s">
        <v>3931</v>
      </c>
      <c r="D192" s="54" t="s">
        <v>5260</v>
      </c>
      <c r="E192" s="54" t="s">
        <v>5261</v>
      </c>
      <c r="F192" s="54" t="s">
        <v>5240</v>
      </c>
      <c r="G192" s="54" t="s">
        <v>5262</v>
      </c>
      <c r="H192" s="37" t="s">
        <v>5263</v>
      </c>
      <c r="I192" s="54" t="s">
        <v>5219</v>
      </c>
      <c r="J192" s="37"/>
    </row>
    <row r="193" customFormat="false" ht="15" hidden="false" customHeight="true" outlineLevel="0" collapsed="false">
      <c r="A193" s="37" t="s">
        <v>3934</v>
      </c>
      <c r="B193" s="37" t="s">
        <v>440</v>
      </c>
      <c r="C193" s="54" t="s">
        <v>3935</v>
      </c>
      <c r="D193" s="54" t="s">
        <v>5260</v>
      </c>
      <c r="E193" s="54" t="s">
        <v>5261</v>
      </c>
      <c r="F193" s="54" t="s">
        <v>5240</v>
      </c>
      <c r="G193" s="54" t="s">
        <v>5262</v>
      </c>
      <c r="H193" s="37" t="s">
        <v>5263</v>
      </c>
      <c r="I193" s="54" t="s">
        <v>5219</v>
      </c>
      <c r="J193" s="37"/>
    </row>
    <row r="194" customFormat="false" ht="15" hidden="false" customHeight="true" outlineLevel="0" collapsed="false">
      <c r="A194" s="37" t="s">
        <v>3936</v>
      </c>
      <c r="B194" s="37" t="s">
        <v>440</v>
      </c>
      <c r="C194" s="54" t="s">
        <v>3937</v>
      </c>
      <c r="D194" s="54" t="s">
        <v>5260</v>
      </c>
      <c r="E194" s="54" t="s">
        <v>5261</v>
      </c>
      <c r="F194" s="54" t="s">
        <v>5240</v>
      </c>
      <c r="G194" s="54" t="s">
        <v>5262</v>
      </c>
      <c r="H194" s="37" t="s">
        <v>5263</v>
      </c>
      <c r="I194" s="54" t="s">
        <v>5219</v>
      </c>
      <c r="J194" s="37"/>
    </row>
    <row r="195" customFormat="false" ht="15" hidden="false" customHeight="true" outlineLevel="0" collapsed="false">
      <c r="A195" s="37" t="s">
        <v>3938</v>
      </c>
      <c r="B195" s="37" t="s">
        <v>440</v>
      </c>
      <c r="C195" s="54" t="s">
        <v>3939</v>
      </c>
      <c r="D195" s="54" t="s">
        <v>5260</v>
      </c>
      <c r="E195" s="54" t="s">
        <v>5261</v>
      </c>
      <c r="F195" s="54" t="s">
        <v>5240</v>
      </c>
      <c r="G195" s="54" t="s">
        <v>5262</v>
      </c>
      <c r="H195" s="37" t="s">
        <v>5263</v>
      </c>
      <c r="I195" s="54" t="s">
        <v>5219</v>
      </c>
      <c r="J195" s="37"/>
    </row>
    <row r="196" customFormat="false" ht="15" hidden="false" customHeight="true" outlineLevel="0" collapsed="false">
      <c r="A196" s="37" t="s">
        <v>3940</v>
      </c>
      <c r="B196" s="37" t="s">
        <v>440</v>
      </c>
      <c r="C196" s="54" t="s">
        <v>3941</v>
      </c>
      <c r="D196" s="54" t="s">
        <v>5260</v>
      </c>
      <c r="E196" s="54" t="s">
        <v>5261</v>
      </c>
      <c r="F196" s="54" t="s">
        <v>5240</v>
      </c>
      <c r="G196" s="54" t="s">
        <v>5262</v>
      </c>
      <c r="H196" s="37" t="s">
        <v>5263</v>
      </c>
      <c r="I196" s="54" t="s">
        <v>5219</v>
      </c>
      <c r="J196" s="37"/>
    </row>
    <row r="197" customFormat="false" ht="15" hidden="false" customHeight="true" outlineLevel="0" collapsed="false">
      <c r="A197" s="37" t="s">
        <v>3942</v>
      </c>
      <c r="B197" s="37" t="s">
        <v>440</v>
      </c>
      <c r="C197" s="54" t="s">
        <v>3943</v>
      </c>
      <c r="D197" s="54" t="s">
        <v>5260</v>
      </c>
      <c r="E197" s="54" t="s">
        <v>5261</v>
      </c>
      <c r="F197" s="54" t="s">
        <v>5240</v>
      </c>
      <c r="G197" s="54" t="s">
        <v>5262</v>
      </c>
      <c r="H197" s="37" t="s">
        <v>5263</v>
      </c>
      <c r="I197" s="54" t="s">
        <v>5219</v>
      </c>
      <c r="J197" s="37"/>
    </row>
    <row r="198" customFormat="false" ht="15" hidden="false" customHeight="true" outlineLevel="0" collapsed="false">
      <c r="A198" s="37" t="s">
        <v>3944</v>
      </c>
      <c r="B198" s="37" t="s">
        <v>440</v>
      </c>
      <c r="C198" s="54" t="s">
        <v>3945</v>
      </c>
      <c r="D198" s="54" t="s">
        <v>5260</v>
      </c>
      <c r="E198" s="54" t="s">
        <v>5261</v>
      </c>
      <c r="F198" s="54" t="s">
        <v>5240</v>
      </c>
      <c r="G198" s="54" t="s">
        <v>5262</v>
      </c>
      <c r="H198" s="37" t="s">
        <v>5263</v>
      </c>
      <c r="I198" s="54" t="s">
        <v>5219</v>
      </c>
      <c r="J198" s="37"/>
    </row>
    <row r="199" customFormat="false" ht="15" hidden="false" customHeight="true" outlineLevel="0" collapsed="false">
      <c r="A199" s="37" t="s">
        <v>3946</v>
      </c>
      <c r="B199" s="37" t="s">
        <v>440</v>
      </c>
      <c r="C199" s="54" t="s">
        <v>3947</v>
      </c>
      <c r="D199" s="54" t="s">
        <v>5260</v>
      </c>
      <c r="E199" s="54" t="s">
        <v>5261</v>
      </c>
      <c r="F199" s="54" t="s">
        <v>5240</v>
      </c>
      <c r="G199" s="54" t="s">
        <v>5262</v>
      </c>
      <c r="H199" s="37" t="s">
        <v>5263</v>
      </c>
      <c r="I199" s="54" t="s">
        <v>5219</v>
      </c>
      <c r="J199" s="37"/>
    </row>
    <row r="200" customFormat="false" ht="15" hidden="false" customHeight="true" outlineLevel="0" collapsed="false">
      <c r="A200" s="37" t="s">
        <v>3948</v>
      </c>
      <c r="B200" s="37" t="s">
        <v>440</v>
      </c>
      <c r="C200" s="54" t="s">
        <v>3949</v>
      </c>
      <c r="D200" s="54" t="s">
        <v>5260</v>
      </c>
      <c r="E200" s="54" t="s">
        <v>5261</v>
      </c>
      <c r="F200" s="54" t="s">
        <v>5240</v>
      </c>
      <c r="G200" s="54" t="s">
        <v>5262</v>
      </c>
      <c r="H200" s="37" t="s">
        <v>5263</v>
      </c>
      <c r="I200" s="54" t="s">
        <v>5219</v>
      </c>
      <c r="J200" s="37"/>
    </row>
    <row r="201" customFormat="false" ht="15" hidden="false" customHeight="true" outlineLevel="0" collapsed="false">
      <c r="A201" s="37" t="s">
        <v>3950</v>
      </c>
      <c r="B201" s="37" t="s">
        <v>440</v>
      </c>
      <c r="C201" s="54" t="s">
        <v>3951</v>
      </c>
      <c r="D201" s="54" t="s">
        <v>5260</v>
      </c>
      <c r="E201" s="54" t="s">
        <v>5261</v>
      </c>
      <c r="F201" s="54" t="s">
        <v>5240</v>
      </c>
      <c r="G201" s="54" t="s">
        <v>5262</v>
      </c>
      <c r="H201" s="37" t="s">
        <v>5263</v>
      </c>
      <c r="I201" s="54" t="s">
        <v>5219</v>
      </c>
      <c r="J201" s="37"/>
    </row>
    <row r="202" customFormat="false" ht="15" hidden="false" customHeight="true" outlineLevel="0" collapsed="false">
      <c r="A202" s="37" t="s">
        <v>3952</v>
      </c>
      <c r="B202" s="37" t="s">
        <v>440</v>
      </c>
      <c r="C202" s="54" t="s">
        <v>3953</v>
      </c>
      <c r="D202" s="54" t="s">
        <v>5260</v>
      </c>
      <c r="E202" s="54" t="s">
        <v>5261</v>
      </c>
      <c r="F202" s="54" t="s">
        <v>5240</v>
      </c>
      <c r="G202" s="54" t="s">
        <v>5262</v>
      </c>
      <c r="H202" s="37" t="s">
        <v>5263</v>
      </c>
      <c r="I202" s="54" t="s">
        <v>5219</v>
      </c>
      <c r="J202" s="37"/>
    </row>
    <row r="203" customFormat="false" ht="15" hidden="false" customHeight="true" outlineLevel="0" collapsed="false">
      <c r="A203" s="37" t="s">
        <v>3954</v>
      </c>
      <c r="B203" s="37" t="s">
        <v>440</v>
      </c>
      <c r="C203" s="54" t="s">
        <v>3955</v>
      </c>
      <c r="D203" s="54" t="s">
        <v>5260</v>
      </c>
      <c r="E203" s="54" t="s">
        <v>5261</v>
      </c>
      <c r="F203" s="54" t="s">
        <v>5240</v>
      </c>
      <c r="G203" s="54" t="s">
        <v>5262</v>
      </c>
      <c r="H203" s="37" t="s">
        <v>5263</v>
      </c>
      <c r="I203" s="54" t="s">
        <v>5219</v>
      </c>
      <c r="J203" s="37"/>
    </row>
    <row r="204" customFormat="false" ht="15" hidden="false" customHeight="true" outlineLevel="0" collapsed="false">
      <c r="A204" s="37" t="s">
        <v>3956</v>
      </c>
      <c r="B204" s="37" t="s">
        <v>440</v>
      </c>
      <c r="C204" s="54" t="s">
        <v>3957</v>
      </c>
      <c r="D204" s="54" t="s">
        <v>5260</v>
      </c>
      <c r="E204" s="54" t="s">
        <v>5261</v>
      </c>
      <c r="F204" s="54" t="s">
        <v>5240</v>
      </c>
      <c r="G204" s="54" t="s">
        <v>5262</v>
      </c>
      <c r="H204" s="37" t="s">
        <v>5263</v>
      </c>
      <c r="I204" s="54" t="s">
        <v>5219</v>
      </c>
      <c r="J204" s="37"/>
    </row>
    <row r="205" customFormat="false" ht="15" hidden="false" customHeight="true" outlineLevel="0" collapsed="false">
      <c r="A205" s="37" t="s">
        <v>3959</v>
      </c>
      <c r="B205" s="37" t="s">
        <v>440</v>
      </c>
      <c r="C205" s="54" t="s">
        <v>3960</v>
      </c>
      <c r="D205" s="54" t="s">
        <v>5260</v>
      </c>
      <c r="E205" s="54" t="s">
        <v>5261</v>
      </c>
      <c r="F205" s="54" t="s">
        <v>5240</v>
      </c>
      <c r="G205" s="54" t="s">
        <v>5262</v>
      </c>
      <c r="H205" s="37" t="s">
        <v>5263</v>
      </c>
      <c r="I205" s="54" t="s">
        <v>5219</v>
      </c>
      <c r="J205" s="37"/>
    </row>
    <row r="206" customFormat="false" ht="15" hidden="false" customHeight="true" outlineLevel="0" collapsed="false">
      <c r="A206" s="37" t="s">
        <v>3961</v>
      </c>
      <c r="B206" s="37" t="s">
        <v>440</v>
      </c>
      <c r="C206" s="54" t="s">
        <v>3962</v>
      </c>
      <c r="D206" s="54" t="s">
        <v>5260</v>
      </c>
      <c r="E206" s="54" t="s">
        <v>5261</v>
      </c>
      <c r="F206" s="54" t="s">
        <v>5240</v>
      </c>
      <c r="G206" s="54" t="s">
        <v>5262</v>
      </c>
      <c r="H206" s="37" t="s">
        <v>5263</v>
      </c>
      <c r="I206" s="54" t="s">
        <v>5219</v>
      </c>
      <c r="J206" s="37"/>
    </row>
    <row r="207" customFormat="false" ht="15" hidden="false" customHeight="true" outlineLevel="0" collapsed="false">
      <c r="A207" s="37" t="s">
        <v>3965</v>
      </c>
      <c r="B207" s="37" t="s">
        <v>440</v>
      </c>
      <c r="C207" s="54" t="s">
        <v>3966</v>
      </c>
      <c r="D207" s="54" t="s">
        <v>5260</v>
      </c>
      <c r="E207" s="54" t="s">
        <v>5261</v>
      </c>
      <c r="F207" s="54" t="s">
        <v>5240</v>
      </c>
      <c r="G207" s="54" t="s">
        <v>5262</v>
      </c>
      <c r="H207" s="37" t="s">
        <v>5263</v>
      </c>
      <c r="I207" s="54" t="s">
        <v>5219</v>
      </c>
      <c r="J207" s="37"/>
    </row>
    <row r="208" customFormat="false" ht="15" hidden="false" customHeight="true" outlineLevel="0" collapsed="false">
      <c r="A208" s="37" t="s">
        <v>3967</v>
      </c>
      <c r="B208" s="37" t="s">
        <v>440</v>
      </c>
      <c r="C208" s="37" t="s">
        <v>3968</v>
      </c>
      <c r="D208" s="54" t="s">
        <v>5260</v>
      </c>
      <c r="E208" s="54" t="s">
        <v>5261</v>
      </c>
      <c r="F208" s="54" t="s">
        <v>5240</v>
      </c>
      <c r="G208" s="54" t="s">
        <v>5262</v>
      </c>
      <c r="H208" s="37" t="s">
        <v>5263</v>
      </c>
      <c r="I208" s="54" t="s">
        <v>5219</v>
      </c>
      <c r="J208" s="37"/>
    </row>
    <row r="209" customFormat="false" ht="15" hidden="false" customHeight="true" outlineLevel="0" collapsed="false">
      <c r="A209" s="37" t="s">
        <v>3969</v>
      </c>
      <c r="B209" s="37" t="s">
        <v>440</v>
      </c>
      <c r="C209" s="37" t="s">
        <v>3970</v>
      </c>
      <c r="D209" s="54" t="s">
        <v>5260</v>
      </c>
      <c r="E209" s="54" t="s">
        <v>5261</v>
      </c>
      <c r="F209" s="54" t="s">
        <v>5240</v>
      </c>
      <c r="G209" s="54" t="s">
        <v>5262</v>
      </c>
      <c r="H209" s="37" t="s">
        <v>5263</v>
      </c>
      <c r="I209" s="54" t="s">
        <v>5219</v>
      </c>
      <c r="J209" s="37"/>
    </row>
    <row r="210" customFormat="false" ht="15" hidden="false" customHeight="true" outlineLevel="0" collapsed="false">
      <c r="A210" s="37" t="s">
        <v>3971</v>
      </c>
      <c r="B210" s="37" t="s">
        <v>440</v>
      </c>
      <c r="C210" s="54" t="s">
        <v>3972</v>
      </c>
      <c r="D210" s="54" t="s">
        <v>5260</v>
      </c>
      <c r="E210" s="54" t="s">
        <v>5261</v>
      </c>
      <c r="F210" s="54" t="s">
        <v>5240</v>
      </c>
      <c r="G210" s="54" t="s">
        <v>5262</v>
      </c>
      <c r="H210" s="37" t="s">
        <v>5263</v>
      </c>
      <c r="I210" s="54" t="s">
        <v>5219</v>
      </c>
      <c r="J210" s="37"/>
    </row>
    <row r="211" customFormat="false" ht="15" hidden="false" customHeight="true" outlineLevel="0" collapsed="false">
      <c r="A211" s="37" t="s">
        <v>3975</v>
      </c>
      <c r="B211" s="37" t="s">
        <v>440</v>
      </c>
      <c r="C211" s="54" t="s">
        <v>3976</v>
      </c>
      <c r="D211" s="54" t="s">
        <v>5260</v>
      </c>
      <c r="E211" s="54" t="s">
        <v>5261</v>
      </c>
      <c r="F211" s="54" t="s">
        <v>5240</v>
      </c>
      <c r="G211" s="54" t="s">
        <v>5262</v>
      </c>
      <c r="H211" s="37" t="s">
        <v>5263</v>
      </c>
      <c r="I211" s="54" t="s">
        <v>5219</v>
      </c>
      <c r="J211" s="37"/>
    </row>
    <row r="212" customFormat="false" ht="15" hidden="false" customHeight="true" outlineLevel="0" collapsed="false">
      <c r="A212" s="37" t="s">
        <v>3977</v>
      </c>
      <c r="B212" s="37" t="s">
        <v>440</v>
      </c>
      <c r="C212" s="54" t="s">
        <v>3978</v>
      </c>
      <c r="D212" s="54" t="s">
        <v>5260</v>
      </c>
      <c r="E212" s="54" t="s">
        <v>5261</v>
      </c>
      <c r="F212" s="54" t="s">
        <v>5240</v>
      </c>
      <c r="G212" s="54" t="s">
        <v>5262</v>
      </c>
      <c r="H212" s="37" t="s">
        <v>5263</v>
      </c>
      <c r="I212" s="54" t="s">
        <v>5219</v>
      </c>
      <c r="J212" s="37"/>
    </row>
    <row r="213" customFormat="false" ht="15" hidden="false" customHeight="true" outlineLevel="0" collapsed="false">
      <c r="A213" s="37" t="s">
        <v>3979</v>
      </c>
      <c r="B213" s="37" t="s">
        <v>440</v>
      </c>
      <c r="C213" s="54" t="s">
        <v>3980</v>
      </c>
      <c r="D213" s="54" t="s">
        <v>5260</v>
      </c>
      <c r="E213" s="54" t="s">
        <v>5261</v>
      </c>
      <c r="F213" s="54" t="s">
        <v>5240</v>
      </c>
      <c r="G213" s="54" t="s">
        <v>5262</v>
      </c>
      <c r="H213" s="37" t="s">
        <v>5263</v>
      </c>
      <c r="I213" s="54" t="s">
        <v>5219</v>
      </c>
      <c r="J213" s="37"/>
    </row>
    <row r="214" customFormat="false" ht="15" hidden="false" customHeight="true" outlineLevel="0" collapsed="false">
      <c r="A214" s="37" t="s">
        <v>3981</v>
      </c>
      <c r="B214" s="37" t="s">
        <v>440</v>
      </c>
      <c r="C214" s="54" t="s">
        <v>3982</v>
      </c>
      <c r="D214" s="54" t="s">
        <v>5260</v>
      </c>
      <c r="E214" s="54" t="s">
        <v>5261</v>
      </c>
      <c r="F214" s="54" t="s">
        <v>5240</v>
      </c>
      <c r="G214" s="54" t="s">
        <v>5262</v>
      </c>
      <c r="H214" s="37" t="s">
        <v>5263</v>
      </c>
      <c r="I214" s="54" t="s">
        <v>5219</v>
      </c>
      <c r="J214" s="37"/>
    </row>
    <row r="215" customFormat="false" ht="15" hidden="false" customHeight="true" outlineLevel="0" collapsed="false">
      <c r="A215" s="37" t="s">
        <v>3987</v>
      </c>
      <c r="B215" s="37" t="s">
        <v>440</v>
      </c>
      <c r="C215" s="54" t="s">
        <v>3988</v>
      </c>
      <c r="D215" s="54" t="s">
        <v>5260</v>
      </c>
      <c r="E215" s="54" t="s">
        <v>5261</v>
      </c>
      <c r="F215" s="54" t="s">
        <v>5240</v>
      </c>
      <c r="G215" s="54" t="s">
        <v>5262</v>
      </c>
      <c r="H215" s="37" t="s">
        <v>5263</v>
      </c>
      <c r="I215" s="54" t="s">
        <v>5219</v>
      </c>
      <c r="J215" s="37"/>
    </row>
    <row r="216" customFormat="false" ht="15" hidden="false" customHeight="true" outlineLevel="0" collapsed="false">
      <c r="A216" s="37" t="s">
        <v>3990</v>
      </c>
      <c r="B216" s="37" t="s">
        <v>440</v>
      </c>
      <c r="C216" s="54" t="s">
        <v>3991</v>
      </c>
      <c r="D216" s="54" t="s">
        <v>5260</v>
      </c>
      <c r="E216" s="54" t="s">
        <v>5261</v>
      </c>
      <c r="F216" s="54" t="s">
        <v>5240</v>
      </c>
      <c r="G216" s="54" t="s">
        <v>5262</v>
      </c>
      <c r="H216" s="37" t="s">
        <v>5263</v>
      </c>
      <c r="I216" s="54" t="s">
        <v>5219</v>
      </c>
      <c r="J216" s="37"/>
    </row>
    <row r="217" customFormat="false" ht="15" hidden="false" customHeight="true" outlineLevel="0" collapsed="false">
      <c r="A217" s="37" t="s">
        <v>3992</v>
      </c>
      <c r="B217" s="37" t="s">
        <v>440</v>
      </c>
      <c r="C217" s="54" t="s">
        <v>3993</v>
      </c>
      <c r="D217" s="54" t="s">
        <v>5260</v>
      </c>
      <c r="E217" s="54" t="s">
        <v>5261</v>
      </c>
      <c r="F217" s="54" t="s">
        <v>5240</v>
      </c>
      <c r="G217" s="54" t="s">
        <v>5262</v>
      </c>
      <c r="H217" s="37" t="s">
        <v>5263</v>
      </c>
      <c r="I217" s="54" t="s">
        <v>5219</v>
      </c>
      <c r="J217" s="37"/>
    </row>
    <row r="218" customFormat="false" ht="15" hidden="false" customHeight="true" outlineLevel="0" collapsed="false">
      <c r="A218" s="37" t="s">
        <v>3994</v>
      </c>
      <c r="B218" s="37" t="s">
        <v>440</v>
      </c>
      <c r="C218" s="54" t="s">
        <v>3995</v>
      </c>
      <c r="D218" s="54" t="s">
        <v>5260</v>
      </c>
      <c r="E218" s="54" t="s">
        <v>5261</v>
      </c>
      <c r="F218" s="54" t="s">
        <v>5240</v>
      </c>
      <c r="G218" s="54" t="s">
        <v>5262</v>
      </c>
      <c r="H218" s="37" t="s">
        <v>5263</v>
      </c>
      <c r="I218" s="54" t="s">
        <v>5219</v>
      </c>
      <c r="J218" s="37"/>
    </row>
    <row r="219" customFormat="false" ht="15" hidden="false" customHeight="true" outlineLevel="0" collapsed="false">
      <c r="A219" s="37" t="s">
        <v>3996</v>
      </c>
      <c r="B219" s="37" t="s">
        <v>440</v>
      </c>
      <c r="C219" s="54" t="s">
        <v>3997</v>
      </c>
      <c r="D219" s="54" t="s">
        <v>5260</v>
      </c>
      <c r="E219" s="54" t="s">
        <v>5261</v>
      </c>
      <c r="F219" s="54" t="s">
        <v>5240</v>
      </c>
      <c r="G219" s="54" t="s">
        <v>5262</v>
      </c>
      <c r="H219" s="37" t="s">
        <v>5263</v>
      </c>
      <c r="I219" s="54" t="s">
        <v>5219</v>
      </c>
      <c r="J219" s="37"/>
    </row>
    <row r="220" customFormat="false" ht="15" hidden="false" customHeight="true" outlineLevel="0" collapsed="false">
      <c r="A220" s="37" t="s">
        <v>4001</v>
      </c>
      <c r="B220" s="37" t="s">
        <v>440</v>
      </c>
      <c r="C220" s="37" t="s">
        <v>4002</v>
      </c>
      <c r="D220" s="54" t="s">
        <v>5260</v>
      </c>
      <c r="E220" s="54" t="s">
        <v>5261</v>
      </c>
      <c r="F220" s="54" t="s">
        <v>5240</v>
      </c>
      <c r="G220" s="54" t="s">
        <v>5262</v>
      </c>
      <c r="H220" s="37" t="s">
        <v>5263</v>
      </c>
      <c r="I220" s="54" t="s">
        <v>5219</v>
      </c>
      <c r="J220" s="37"/>
    </row>
    <row r="221" customFormat="false" ht="15" hidden="false" customHeight="true" outlineLevel="0" collapsed="false">
      <c r="A221" s="37" t="s">
        <v>4004</v>
      </c>
      <c r="B221" s="37" t="s">
        <v>440</v>
      </c>
      <c r="C221" s="54" t="s">
        <v>4005</v>
      </c>
      <c r="D221" s="54" t="s">
        <v>5260</v>
      </c>
      <c r="E221" s="54" t="s">
        <v>5261</v>
      </c>
      <c r="F221" s="54" t="s">
        <v>5240</v>
      </c>
      <c r="G221" s="54" t="s">
        <v>5262</v>
      </c>
      <c r="H221" s="37" t="s">
        <v>5263</v>
      </c>
      <c r="I221" s="54" t="s">
        <v>5219</v>
      </c>
      <c r="J221" s="37"/>
    </row>
    <row r="222" customFormat="false" ht="15" hidden="false" customHeight="true" outlineLevel="0" collapsed="false">
      <c r="A222" s="37" t="s">
        <v>4006</v>
      </c>
      <c r="B222" s="37" t="s">
        <v>440</v>
      </c>
      <c r="C222" s="54" t="s">
        <v>4007</v>
      </c>
      <c r="D222" s="54" t="s">
        <v>5260</v>
      </c>
      <c r="E222" s="54" t="s">
        <v>5261</v>
      </c>
      <c r="F222" s="54" t="s">
        <v>5240</v>
      </c>
      <c r="G222" s="54" t="s">
        <v>5262</v>
      </c>
      <c r="H222" s="37" t="s">
        <v>5263</v>
      </c>
      <c r="I222" s="54" t="s">
        <v>5219</v>
      </c>
      <c r="J222" s="37"/>
    </row>
    <row r="223" customFormat="false" ht="15" hidden="false" customHeight="true" outlineLevel="0" collapsed="false">
      <c r="A223" s="37" t="s">
        <v>4008</v>
      </c>
      <c r="B223" s="37" t="s">
        <v>440</v>
      </c>
      <c r="C223" s="54" t="s">
        <v>4009</v>
      </c>
      <c r="D223" s="54" t="s">
        <v>5260</v>
      </c>
      <c r="E223" s="54" t="s">
        <v>5261</v>
      </c>
      <c r="F223" s="54" t="s">
        <v>5240</v>
      </c>
      <c r="G223" s="54" t="s">
        <v>5262</v>
      </c>
      <c r="H223" s="37" t="s">
        <v>5263</v>
      </c>
      <c r="I223" s="54" t="s">
        <v>5219</v>
      </c>
      <c r="J223" s="37"/>
    </row>
    <row r="224" customFormat="false" ht="15" hidden="false" customHeight="true" outlineLevel="0" collapsed="false">
      <c r="A224" s="37" t="s">
        <v>4010</v>
      </c>
      <c r="B224" s="37" t="s">
        <v>440</v>
      </c>
      <c r="C224" s="54" t="s">
        <v>4011</v>
      </c>
      <c r="D224" s="54" t="s">
        <v>5260</v>
      </c>
      <c r="E224" s="54" t="s">
        <v>5261</v>
      </c>
      <c r="F224" s="54" t="s">
        <v>5240</v>
      </c>
      <c r="G224" s="54" t="s">
        <v>5262</v>
      </c>
      <c r="H224" s="37" t="s">
        <v>5263</v>
      </c>
      <c r="I224" s="54" t="s">
        <v>5219</v>
      </c>
      <c r="J224" s="37"/>
    </row>
    <row r="225" customFormat="false" ht="15" hidden="false" customHeight="true" outlineLevel="0" collapsed="false">
      <c r="A225" s="37" t="s">
        <v>4012</v>
      </c>
      <c r="B225" s="37" t="s">
        <v>440</v>
      </c>
      <c r="C225" s="54" t="s">
        <v>4013</v>
      </c>
      <c r="D225" s="54" t="s">
        <v>5260</v>
      </c>
      <c r="E225" s="54" t="s">
        <v>5261</v>
      </c>
      <c r="F225" s="54" t="s">
        <v>5240</v>
      </c>
      <c r="G225" s="54" t="s">
        <v>5262</v>
      </c>
      <c r="H225" s="37" t="s">
        <v>5263</v>
      </c>
      <c r="I225" s="54" t="s">
        <v>5219</v>
      </c>
      <c r="J225" s="37"/>
    </row>
    <row r="226" customFormat="false" ht="15" hidden="false" customHeight="true" outlineLevel="0" collapsed="false">
      <c r="A226" s="37" t="s">
        <v>4014</v>
      </c>
      <c r="B226" s="37" t="s">
        <v>440</v>
      </c>
      <c r="C226" s="54" t="s">
        <v>4015</v>
      </c>
      <c r="D226" s="54" t="s">
        <v>5260</v>
      </c>
      <c r="E226" s="54" t="s">
        <v>5261</v>
      </c>
      <c r="F226" s="54" t="s">
        <v>5240</v>
      </c>
      <c r="G226" s="54" t="s">
        <v>5262</v>
      </c>
      <c r="H226" s="37" t="s">
        <v>5263</v>
      </c>
      <c r="I226" s="54" t="s">
        <v>5219</v>
      </c>
      <c r="J226" s="37"/>
    </row>
    <row r="227" customFormat="false" ht="15" hidden="false" customHeight="true" outlineLevel="0" collapsed="false">
      <c r="A227" s="37" t="s">
        <v>4016</v>
      </c>
      <c r="B227" s="37" t="s">
        <v>440</v>
      </c>
      <c r="C227" s="54" t="s">
        <v>4017</v>
      </c>
      <c r="D227" s="54" t="s">
        <v>5260</v>
      </c>
      <c r="E227" s="54" t="s">
        <v>5261</v>
      </c>
      <c r="F227" s="54" t="s">
        <v>5240</v>
      </c>
      <c r="G227" s="54" t="s">
        <v>5262</v>
      </c>
      <c r="H227" s="37" t="s">
        <v>5263</v>
      </c>
      <c r="I227" s="54" t="s">
        <v>5219</v>
      </c>
      <c r="J227" s="37"/>
    </row>
    <row r="228" customFormat="false" ht="15" hidden="false" customHeight="true" outlineLevel="0" collapsed="false">
      <c r="A228" s="37" t="s">
        <v>4018</v>
      </c>
      <c r="B228" s="37" t="s">
        <v>440</v>
      </c>
      <c r="C228" s="54" t="s">
        <v>4019</v>
      </c>
      <c r="D228" s="54" t="s">
        <v>5260</v>
      </c>
      <c r="E228" s="54" t="s">
        <v>5261</v>
      </c>
      <c r="F228" s="54" t="s">
        <v>5240</v>
      </c>
      <c r="G228" s="54" t="s">
        <v>5262</v>
      </c>
      <c r="H228" s="37" t="s">
        <v>5263</v>
      </c>
      <c r="I228" s="54" t="s">
        <v>5219</v>
      </c>
      <c r="J228" s="37"/>
    </row>
    <row r="229" customFormat="false" ht="15" hidden="false" customHeight="true" outlineLevel="0" collapsed="false">
      <c r="A229" s="37" t="s">
        <v>4025</v>
      </c>
      <c r="B229" s="37" t="s">
        <v>440</v>
      </c>
      <c r="C229" s="54" t="s">
        <v>4026</v>
      </c>
      <c r="D229" s="54" t="s">
        <v>5260</v>
      </c>
      <c r="E229" s="54" t="s">
        <v>5261</v>
      </c>
      <c r="F229" s="54" t="s">
        <v>5240</v>
      </c>
      <c r="G229" s="54" t="s">
        <v>5262</v>
      </c>
      <c r="H229" s="37" t="s">
        <v>5263</v>
      </c>
      <c r="I229" s="54" t="s">
        <v>5219</v>
      </c>
      <c r="J229" s="37"/>
    </row>
    <row r="230" customFormat="false" ht="15" hidden="false" customHeight="true" outlineLevel="0" collapsed="false">
      <c r="A230" s="37" t="s">
        <v>4028</v>
      </c>
      <c r="B230" s="37" t="s">
        <v>440</v>
      </c>
      <c r="C230" s="54" t="s">
        <v>4029</v>
      </c>
      <c r="D230" s="54" t="s">
        <v>5260</v>
      </c>
      <c r="E230" s="54" t="s">
        <v>5261</v>
      </c>
      <c r="F230" s="54" t="s">
        <v>5240</v>
      </c>
      <c r="G230" s="54" t="s">
        <v>5262</v>
      </c>
      <c r="H230" s="37" t="s">
        <v>5263</v>
      </c>
      <c r="I230" s="54" t="s">
        <v>5219</v>
      </c>
      <c r="J230" s="37"/>
    </row>
    <row r="231" customFormat="false" ht="15" hidden="false" customHeight="true" outlineLevel="0" collapsed="false">
      <c r="A231" s="37" t="s">
        <v>4030</v>
      </c>
      <c r="B231" s="37" t="s">
        <v>440</v>
      </c>
      <c r="C231" s="54" t="s">
        <v>4031</v>
      </c>
      <c r="D231" s="54" t="s">
        <v>5260</v>
      </c>
      <c r="E231" s="54" t="s">
        <v>5261</v>
      </c>
      <c r="F231" s="54" t="s">
        <v>5240</v>
      </c>
      <c r="G231" s="54" t="s">
        <v>5262</v>
      </c>
      <c r="H231" s="37" t="s">
        <v>5263</v>
      </c>
      <c r="I231" s="54" t="s">
        <v>5219</v>
      </c>
      <c r="J231" s="37"/>
    </row>
    <row r="232" customFormat="false" ht="15" hidden="false" customHeight="true" outlineLevel="0" collapsed="false">
      <c r="A232" s="37" t="s">
        <v>4034</v>
      </c>
      <c r="B232" s="37" t="s">
        <v>440</v>
      </c>
      <c r="C232" s="54" t="s">
        <v>4035</v>
      </c>
      <c r="D232" s="54" t="s">
        <v>5260</v>
      </c>
      <c r="E232" s="54" t="s">
        <v>5261</v>
      </c>
      <c r="F232" s="54" t="s">
        <v>5240</v>
      </c>
      <c r="G232" s="54" t="s">
        <v>5262</v>
      </c>
      <c r="H232" s="37" t="s">
        <v>5263</v>
      </c>
      <c r="I232" s="54" t="s">
        <v>5219</v>
      </c>
      <c r="J232" s="37"/>
    </row>
    <row r="233" customFormat="false" ht="15" hidden="false" customHeight="true" outlineLevel="0" collapsed="false">
      <c r="A233" s="37" t="s">
        <v>4036</v>
      </c>
      <c r="B233" s="37" t="s">
        <v>440</v>
      </c>
      <c r="C233" s="54" t="s">
        <v>4037</v>
      </c>
      <c r="D233" s="54" t="s">
        <v>5260</v>
      </c>
      <c r="E233" s="54" t="s">
        <v>5261</v>
      </c>
      <c r="F233" s="54" t="s">
        <v>5240</v>
      </c>
      <c r="G233" s="54" t="s">
        <v>5262</v>
      </c>
      <c r="H233" s="37" t="s">
        <v>5263</v>
      </c>
      <c r="I233" s="54" t="s">
        <v>5219</v>
      </c>
      <c r="J233" s="37"/>
    </row>
    <row r="234" customFormat="false" ht="15" hidden="false" customHeight="true" outlineLevel="0" collapsed="false">
      <c r="A234" s="37" t="s">
        <v>1469</v>
      </c>
      <c r="B234" s="37" t="s">
        <v>403</v>
      </c>
      <c r="C234" s="54" t="s">
        <v>1470</v>
      </c>
      <c r="D234" s="54" t="s">
        <v>5266</v>
      </c>
      <c r="E234" s="54" t="s">
        <v>5267</v>
      </c>
      <c r="F234" s="54" t="s">
        <v>5240</v>
      </c>
      <c r="G234" s="54" t="s">
        <v>5268</v>
      </c>
      <c r="H234" s="37" t="s">
        <v>5269</v>
      </c>
      <c r="I234" s="54" t="s">
        <v>5270</v>
      </c>
      <c r="J234" s="37"/>
    </row>
    <row r="235" customFormat="false" ht="15" hidden="false" customHeight="true" outlineLevel="0" collapsed="false">
      <c r="A235" s="37" t="s">
        <v>1473</v>
      </c>
      <c r="B235" s="37" t="s">
        <v>403</v>
      </c>
      <c r="C235" s="54" t="s">
        <v>1474</v>
      </c>
      <c r="D235" s="54" t="s">
        <v>5266</v>
      </c>
      <c r="E235" s="54" t="s">
        <v>5267</v>
      </c>
      <c r="F235" s="54" t="s">
        <v>5240</v>
      </c>
      <c r="G235" s="54" t="s">
        <v>5268</v>
      </c>
      <c r="H235" s="37" t="s">
        <v>5269</v>
      </c>
      <c r="I235" s="54" t="s">
        <v>5270</v>
      </c>
      <c r="J235" s="37"/>
    </row>
    <row r="236" customFormat="false" ht="15" hidden="false" customHeight="true" outlineLevel="0" collapsed="false">
      <c r="A236" s="37" t="s">
        <v>1476</v>
      </c>
      <c r="B236" s="37" t="s">
        <v>403</v>
      </c>
      <c r="C236" s="54" t="s">
        <v>1477</v>
      </c>
      <c r="D236" s="54" t="s">
        <v>5271</v>
      </c>
      <c r="E236" s="54" t="s">
        <v>5272</v>
      </c>
      <c r="F236" s="54" t="s">
        <v>5216</v>
      </c>
      <c r="G236" s="54" t="s">
        <v>5268</v>
      </c>
      <c r="H236" s="37" t="s">
        <v>5269</v>
      </c>
      <c r="I236" s="54" t="s">
        <v>5270</v>
      </c>
      <c r="J236" s="37"/>
    </row>
    <row r="237" customFormat="false" ht="15" hidden="false" customHeight="true" outlineLevel="0" collapsed="false">
      <c r="A237" s="37" t="s">
        <v>1479</v>
      </c>
      <c r="B237" s="37" t="s">
        <v>403</v>
      </c>
      <c r="C237" s="54" t="s">
        <v>1480</v>
      </c>
      <c r="D237" s="54" t="s">
        <v>5266</v>
      </c>
      <c r="E237" s="54" t="s">
        <v>5267</v>
      </c>
      <c r="F237" s="54" t="s">
        <v>5240</v>
      </c>
      <c r="G237" s="54" t="s">
        <v>5268</v>
      </c>
      <c r="H237" s="37" t="s">
        <v>5269</v>
      </c>
      <c r="I237" s="54" t="s">
        <v>5270</v>
      </c>
      <c r="J237" s="37"/>
    </row>
    <row r="238" customFormat="false" ht="15" hidden="false" customHeight="true" outlineLevel="0" collapsed="false">
      <c r="A238" s="37" t="s">
        <v>1482</v>
      </c>
      <c r="B238" s="37" t="s">
        <v>403</v>
      </c>
      <c r="C238" s="54" t="s">
        <v>1483</v>
      </c>
      <c r="D238" s="54" t="s">
        <v>5266</v>
      </c>
      <c r="E238" s="54" t="s">
        <v>5267</v>
      </c>
      <c r="F238" s="54" t="s">
        <v>5240</v>
      </c>
      <c r="G238" s="54" t="s">
        <v>5268</v>
      </c>
      <c r="H238" s="37" t="s">
        <v>5269</v>
      </c>
      <c r="I238" s="54" t="s">
        <v>5270</v>
      </c>
      <c r="J238" s="37"/>
    </row>
    <row r="239" customFormat="false" ht="15" hidden="false" customHeight="true" outlineLevel="0" collapsed="false">
      <c r="A239" s="37" t="s">
        <v>1485</v>
      </c>
      <c r="B239" s="37" t="s">
        <v>403</v>
      </c>
      <c r="C239" s="54" t="s">
        <v>1486</v>
      </c>
      <c r="D239" s="54" t="s">
        <v>5266</v>
      </c>
      <c r="E239" s="54" t="s">
        <v>5267</v>
      </c>
      <c r="F239" s="54" t="s">
        <v>5240</v>
      </c>
      <c r="G239" s="54" t="s">
        <v>5268</v>
      </c>
      <c r="H239" s="37" t="s">
        <v>5269</v>
      </c>
      <c r="I239" s="54" t="s">
        <v>5270</v>
      </c>
      <c r="J239" s="37"/>
    </row>
    <row r="240" customFormat="false" ht="15" hidden="false" customHeight="true" outlineLevel="0" collapsed="false">
      <c r="A240" s="37" t="s">
        <v>1488</v>
      </c>
      <c r="B240" s="37" t="s">
        <v>403</v>
      </c>
      <c r="C240" s="54" t="s">
        <v>1489</v>
      </c>
      <c r="D240" s="54" t="s">
        <v>5273</v>
      </c>
      <c r="E240" s="54" t="s">
        <v>5274</v>
      </c>
      <c r="F240" s="54" t="s">
        <v>5216</v>
      </c>
      <c r="G240" s="54" t="s">
        <v>5268</v>
      </c>
      <c r="H240" s="37" t="s">
        <v>5269</v>
      </c>
      <c r="I240" s="54" t="s">
        <v>5270</v>
      </c>
      <c r="J240" s="37"/>
    </row>
    <row r="241" customFormat="false" ht="15" hidden="false" customHeight="true" outlineLevel="0" collapsed="false">
      <c r="A241" s="37" t="s">
        <v>1491</v>
      </c>
      <c r="B241" s="37" t="s">
        <v>403</v>
      </c>
      <c r="C241" s="54" t="s">
        <v>1492</v>
      </c>
      <c r="D241" s="54" t="s">
        <v>5266</v>
      </c>
      <c r="E241" s="54" t="s">
        <v>5267</v>
      </c>
      <c r="F241" s="54" t="s">
        <v>5240</v>
      </c>
      <c r="G241" s="54" t="s">
        <v>5268</v>
      </c>
      <c r="H241" s="37" t="s">
        <v>5269</v>
      </c>
      <c r="I241" s="54" t="s">
        <v>5270</v>
      </c>
      <c r="J241" s="37"/>
    </row>
    <row r="242" customFormat="false" ht="15" hidden="false" customHeight="true" outlineLevel="0" collapsed="false">
      <c r="A242" s="37" t="s">
        <v>1494</v>
      </c>
      <c r="B242" s="37" t="s">
        <v>403</v>
      </c>
      <c r="C242" s="54" t="s">
        <v>1495</v>
      </c>
      <c r="D242" s="54" t="s">
        <v>5275</v>
      </c>
      <c r="E242" s="54" t="s">
        <v>5215</v>
      </c>
      <c r="F242" s="54" t="s">
        <v>5216</v>
      </c>
      <c r="G242" s="54" t="s">
        <v>5268</v>
      </c>
      <c r="H242" s="37" t="s">
        <v>5269</v>
      </c>
      <c r="I242" s="54" t="s">
        <v>5270</v>
      </c>
      <c r="J242" s="37"/>
    </row>
    <row r="243" customFormat="false" ht="15" hidden="false" customHeight="true" outlineLevel="0" collapsed="false">
      <c r="A243" s="37" t="s">
        <v>1497</v>
      </c>
      <c r="B243" s="37" t="s">
        <v>403</v>
      </c>
      <c r="C243" s="54" t="s">
        <v>1498</v>
      </c>
      <c r="D243" s="54" t="s">
        <v>5273</v>
      </c>
      <c r="E243" s="54" t="s">
        <v>5274</v>
      </c>
      <c r="F243" s="54" t="s">
        <v>5216</v>
      </c>
      <c r="G243" s="54" t="s">
        <v>5268</v>
      </c>
      <c r="H243" s="37" t="s">
        <v>5269</v>
      </c>
      <c r="I243" s="54" t="s">
        <v>5270</v>
      </c>
      <c r="J243" s="37"/>
    </row>
    <row r="244" customFormat="false" ht="15" hidden="false" customHeight="true" outlineLevel="0" collapsed="false">
      <c r="A244" s="37" t="s">
        <v>1500</v>
      </c>
      <c r="B244" s="37" t="s">
        <v>403</v>
      </c>
      <c r="C244" s="54" t="s">
        <v>1501</v>
      </c>
      <c r="D244" s="54" t="s">
        <v>5266</v>
      </c>
      <c r="E244" s="54" t="s">
        <v>5267</v>
      </c>
      <c r="F244" s="54" t="s">
        <v>5240</v>
      </c>
      <c r="G244" s="54" t="s">
        <v>5268</v>
      </c>
      <c r="H244" s="37" t="s">
        <v>5269</v>
      </c>
      <c r="I244" s="54" t="s">
        <v>5270</v>
      </c>
      <c r="J244" s="37"/>
    </row>
    <row r="245" customFormat="false" ht="15" hidden="false" customHeight="true" outlineLevel="0" collapsed="false">
      <c r="A245" s="37" t="s">
        <v>1503</v>
      </c>
      <c r="B245" s="37" t="s">
        <v>403</v>
      </c>
      <c r="C245" s="54" t="s">
        <v>1504</v>
      </c>
      <c r="D245" s="54" t="s">
        <v>5266</v>
      </c>
      <c r="E245" s="54" t="s">
        <v>5267</v>
      </c>
      <c r="F245" s="54" t="s">
        <v>5240</v>
      </c>
      <c r="G245" s="54" t="s">
        <v>5268</v>
      </c>
      <c r="H245" s="37" t="s">
        <v>5269</v>
      </c>
      <c r="I245" s="54" t="s">
        <v>5270</v>
      </c>
      <c r="J245" s="37"/>
    </row>
    <row r="246" customFormat="false" ht="15" hidden="false" customHeight="true" outlineLevel="0" collapsed="false">
      <c r="A246" s="37" t="s">
        <v>1506</v>
      </c>
      <c r="B246" s="37" t="s">
        <v>403</v>
      </c>
      <c r="C246" s="54" t="s">
        <v>1507</v>
      </c>
      <c r="D246" s="54" t="s">
        <v>5266</v>
      </c>
      <c r="E246" s="54" t="s">
        <v>5267</v>
      </c>
      <c r="F246" s="54" t="s">
        <v>5240</v>
      </c>
      <c r="G246" s="54" t="s">
        <v>5268</v>
      </c>
      <c r="H246" s="37" t="s">
        <v>5269</v>
      </c>
      <c r="I246" s="54" t="s">
        <v>5270</v>
      </c>
      <c r="J246" s="37"/>
    </row>
    <row r="247" customFormat="false" ht="15" hidden="false" customHeight="true" outlineLevel="0" collapsed="false">
      <c r="A247" s="37" t="s">
        <v>1509</v>
      </c>
      <c r="B247" s="37" t="s">
        <v>403</v>
      </c>
      <c r="C247" s="54" t="s">
        <v>1510</v>
      </c>
      <c r="D247" s="54" t="s">
        <v>5273</v>
      </c>
      <c r="E247" s="54" t="s">
        <v>5274</v>
      </c>
      <c r="F247" s="54" t="s">
        <v>5216</v>
      </c>
      <c r="G247" s="54" t="s">
        <v>5268</v>
      </c>
      <c r="H247" s="37" t="s">
        <v>5269</v>
      </c>
      <c r="I247" s="54" t="s">
        <v>5270</v>
      </c>
      <c r="J247" s="37"/>
    </row>
    <row r="248" customFormat="false" ht="15" hidden="false" customHeight="true" outlineLevel="0" collapsed="false">
      <c r="A248" s="37" t="s">
        <v>1512</v>
      </c>
      <c r="B248" s="37" t="s">
        <v>403</v>
      </c>
      <c r="C248" s="54" t="s">
        <v>1513</v>
      </c>
      <c r="D248" s="54" t="s">
        <v>5271</v>
      </c>
      <c r="E248" s="54" t="s">
        <v>5272</v>
      </c>
      <c r="F248" s="54" t="s">
        <v>5216</v>
      </c>
      <c r="G248" s="54" t="s">
        <v>5268</v>
      </c>
      <c r="H248" s="37" t="s">
        <v>5269</v>
      </c>
      <c r="I248" s="54" t="s">
        <v>5270</v>
      </c>
      <c r="J248" s="37"/>
    </row>
    <row r="249" customFormat="false" ht="15" hidden="false" customHeight="true" outlineLevel="0" collapsed="false">
      <c r="A249" s="37" t="s">
        <v>1515</v>
      </c>
      <c r="B249" s="37" t="s">
        <v>403</v>
      </c>
      <c r="C249" s="54" t="s">
        <v>1516</v>
      </c>
      <c r="D249" s="54" t="s">
        <v>5276</v>
      </c>
      <c r="E249" s="54" t="s">
        <v>5215</v>
      </c>
      <c r="F249" s="54" t="s">
        <v>5216</v>
      </c>
      <c r="G249" s="54" t="s">
        <v>5268</v>
      </c>
      <c r="H249" s="37" t="s">
        <v>5269</v>
      </c>
      <c r="I249" s="54" t="s">
        <v>5270</v>
      </c>
      <c r="J249" s="37"/>
    </row>
    <row r="250" customFormat="false" ht="15" hidden="false" customHeight="true" outlineLevel="0" collapsed="false">
      <c r="A250" s="37" t="s">
        <v>1518</v>
      </c>
      <c r="B250" s="37" t="s">
        <v>403</v>
      </c>
      <c r="C250" s="54" t="s">
        <v>1519</v>
      </c>
      <c r="D250" s="54" t="s">
        <v>5266</v>
      </c>
      <c r="E250" s="54" t="s">
        <v>5267</v>
      </c>
      <c r="F250" s="54" t="s">
        <v>5240</v>
      </c>
      <c r="G250" s="54" t="s">
        <v>5268</v>
      </c>
      <c r="H250" s="37" t="s">
        <v>5269</v>
      </c>
      <c r="I250" s="54" t="s">
        <v>5270</v>
      </c>
      <c r="J250" s="37"/>
    </row>
    <row r="251" customFormat="false" ht="15" hidden="false" customHeight="true" outlineLevel="0" collapsed="false">
      <c r="A251" s="37" t="s">
        <v>1521</v>
      </c>
      <c r="B251" s="37" t="s">
        <v>403</v>
      </c>
      <c r="C251" s="54" t="s">
        <v>1522</v>
      </c>
      <c r="D251" s="54" t="s">
        <v>5266</v>
      </c>
      <c r="E251" s="54" t="s">
        <v>5267</v>
      </c>
      <c r="F251" s="54" t="s">
        <v>5240</v>
      </c>
      <c r="G251" s="54" t="s">
        <v>5268</v>
      </c>
      <c r="H251" s="37" t="s">
        <v>5269</v>
      </c>
      <c r="I251" s="54" t="s">
        <v>5270</v>
      </c>
      <c r="J251" s="37"/>
    </row>
    <row r="252" customFormat="false" ht="15" hidden="false" customHeight="true" outlineLevel="0" collapsed="false">
      <c r="A252" s="37" t="s">
        <v>1524</v>
      </c>
      <c r="B252" s="37" t="s">
        <v>403</v>
      </c>
      <c r="C252" s="54" t="s">
        <v>1525</v>
      </c>
      <c r="D252" s="54" t="s">
        <v>5234</v>
      </c>
      <c r="E252" s="54" t="s">
        <v>5235</v>
      </c>
      <c r="F252" s="54" t="s">
        <v>5216</v>
      </c>
      <c r="G252" s="54" t="s">
        <v>5268</v>
      </c>
      <c r="H252" s="37" t="s">
        <v>5269</v>
      </c>
      <c r="I252" s="54" t="s">
        <v>5270</v>
      </c>
      <c r="J252" s="37"/>
    </row>
    <row r="253" customFormat="false" ht="15" hidden="false" customHeight="true" outlineLevel="0" collapsed="false">
      <c r="A253" s="37" t="s">
        <v>1527</v>
      </c>
      <c r="B253" s="37" t="s">
        <v>403</v>
      </c>
      <c r="C253" s="54" t="s">
        <v>1528</v>
      </c>
      <c r="D253" s="54" t="s">
        <v>5266</v>
      </c>
      <c r="E253" s="54" t="s">
        <v>5267</v>
      </c>
      <c r="F253" s="54" t="s">
        <v>5240</v>
      </c>
      <c r="G253" s="54" t="s">
        <v>5268</v>
      </c>
      <c r="H253" s="37" t="s">
        <v>5269</v>
      </c>
      <c r="I253" s="54" t="s">
        <v>5270</v>
      </c>
      <c r="J253" s="37"/>
    </row>
    <row r="254" customFormat="false" ht="15" hidden="false" customHeight="true" outlineLevel="0" collapsed="false">
      <c r="A254" s="37" t="s">
        <v>1530</v>
      </c>
      <c r="B254" s="37" t="s">
        <v>403</v>
      </c>
      <c r="C254" s="54" t="s">
        <v>1531</v>
      </c>
      <c r="D254" s="54" t="s">
        <v>5277</v>
      </c>
      <c r="E254" s="54" t="s">
        <v>5278</v>
      </c>
      <c r="F254" s="54" t="s">
        <v>5216</v>
      </c>
      <c r="G254" s="54" t="s">
        <v>5268</v>
      </c>
      <c r="H254" s="37" t="s">
        <v>5269</v>
      </c>
      <c r="I254" s="54" t="s">
        <v>5270</v>
      </c>
      <c r="J254" s="37"/>
    </row>
    <row r="255" customFormat="false" ht="15" hidden="false" customHeight="true" outlineLevel="0" collapsed="false">
      <c r="A255" s="37" t="s">
        <v>1534</v>
      </c>
      <c r="B255" s="37" t="s">
        <v>403</v>
      </c>
      <c r="C255" s="54" t="s">
        <v>1535</v>
      </c>
      <c r="D255" s="54" t="s">
        <v>5266</v>
      </c>
      <c r="E255" s="54" t="s">
        <v>5267</v>
      </c>
      <c r="F255" s="54" t="s">
        <v>5240</v>
      </c>
      <c r="G255" s="54" t="s">
        <v>5268</v>
      </c>
      <c r="H255" s="37" t="s">
        <v>5269</v>
      </c>
      <c r="I255" s="54" t="s">
        <v>5270</v>
      </c>
      <c r="J255" s="37"/>
    </row>
    <row r="256" customFormat="false" ht="15" hidden="false" customHeight="true" outlineLevel="0" collapsed="false">
      <c r="A256" s="37" t="s">
        <v>1537</v>
      </c>
      <c r="B256" s="37" t="s">
        <v>403</v>
      </c>
      <c r="C256" s="54" t="s">
        <v>1538</v>
      </c>
      <c r="D256" s="54" t="s">
        <v>5266</v>
      </c>
      <c r="E256" s="54" t="s">
        <v>5267</v>
      </c>
      <c r="F256" s="54" t="s">
        <v>5240</v>
      </c>
      <c r="G256" s="54" t="s">
        <v>5268</v>
      </c>
      <c r="H256" s="37" t="s">
        <v>5269</v>
      </c>
      <c r="I256" s="54" t="s">
        <v>5270</v>
      </c>
      <c r="J256" s="37"/>
    </row>
    <row r="257" customFormat="false" ht="15" hidden="false" customHeight="true" outlineLevel="0" collapsed="false">
      <c r="A257" s="37" t="s">
        <v>1543</v>
      </c>
      <c r="B257" s="37" t="s">
        <v>403</v>
      </c>
      <c r="C257" s="54" t="s">
        <v>1544</v>
      </c>
      <c r="D257" s="54" t="s">
        <v>5266</v>
      </c>
      <c r="E257" s="54" t="s">
        <v>5267</v>
      </c>
      <c r="F257" s="54" t="s">
        <v>5240</v>
      </c>
      <c r="G257" s="54" t="s">
        <v>5268</v>
      </c>
      <c r="H257" s="37" t="s">
        <v>5269</v>
      </c>
      <c r="I257" s="54" t="s">
        <v>5270</v>
      </c>
      <c r="J257" s="37"/>
    </row>
    <row r="258" customFormat="false" ht="15" hidden="false" customHeight="true" outlineLevel="0" collapsed="false">
      <c r="A258" s="37" t="s">
        <v>1548</v>
      </c>
      <c r="B258" s="37" t="s">
        <v>403</v>
      </c>
      <c r="C258" s="54" t="s">
        <v>1549</v>
      </c>
      <c r="D258" s="54" t="s">
        <v>5266</v>
      </c>
      <c r="E258" s="54" t="s">
        <v>5267</v>
      </c>
      <c r="F258" s="54" t="s">
        <v>5240</v>
      </c>
      <c r="G258" s="54" t="s">
        <v>5268</v>
      </c>
      <c r="H258" s="37" t="s">
        <v>5269</v>
      </c>
      <c r="I258" s="54" t="s">
        <v>5270</v>
      </c>
      <c r="J258" s="37"/>
    </row>
    <row r="259" customFormat="false" ht="15" hidden="false" customHeight="true" outlineLevel="0" collapsed="false">
      <c r="A259" s="37" t="s">
        <v>1551</v>
      </c>
      <c r="B259" s="37" t="s">
        <v>403</v>
      </c>
      <c r="C259" s="54" t="s">
        <v>1552</v>
      </c>
      <c r="D259" s="54" t="s">
        <v>5234</v>
      </c>
      <c r="E259" s="54" t="s">
        <v>5235</v>
      </c>
      <c r="F259" s="54" t="s">
        <v>5216</v>
      </c>
      <c r="G259" s="54" t="s">
        <v>5268</v>
      </c>
      <c r="H259" s="37" t="s">
        <v>5269</v>
      </c>
      <c r="I259" s="54" t="s">
        <v>5270</v>
      </c>
      <c r="J259" s="37"/>
    </row>
    <row r="260" customFormat="false" ht="15" hidden="false" customHeight="true" outlineLevel="0" collapsed="false">
      <c r="A260" s="37" t="s">
        <v>1554</v>
      </c>
      <c r="B260" s="37" t="s">
        <v>403</v>
      </c>
      <c r="C260" s="54" t="s">
        <v>1555</v>
      </c>
      <c r="D260" s="54" t="s">
        <v>5279</v>
      </c>
      <c r="E260" s="54" t="s">
        <v>5221</v>
      </c>
      <c r="F260" s="54" t="s">
        <v>5216</v>
      </c>
      <c r="G260" s="54" t="s">
        <v>5268</v>
      </c>
      <c r="H260" s="37" t="s">
        <v>5269</v>
      </c>
      <c r="I260" s="54" t="s">
        <v>5270</v>
      </c>
      <c r="J260" s="37"/>
    </row>
    <row r="261" customFormat="false" ht="15" hidden="false" customHeight="true" outlineLevel="0" collapsed="false">
      <c r="A261" s="37" t="s">
        <v>1557</v>
      </c>
      <c r="B261" s="37" t="s">
        <v>403</v>
      </c>
      <c r="C261" s="54" t="s">
        <v>1558</v>
      </c>
      <c r="D261" s="54" t="s">
        <v>5266</v>
      </c>
      <c r="E261" s="54" t="s">
        <v>5267</v>
      </c>
      <c r="F261" s="54" t="s">
        <v>5240</v>
      </c>
      <c r="G261" s="54" t="s">
        <v>5268</v>
      </c>
      <c r="H261" s="37" t="s">
        <v>5269</v>
      </c>
      <c r="I261" s="54" t="s">
        <v>5270</v>
      </c>
      <c r="J261" s="37"/>
    </row>
    <row r="262" customFormat="false" ht="15" hidden="false" customHeight="true" outlineLevel="0" collapsed="false">
      <c r="A262" s="37" t="s">
        <v>1560</v>
      </c>
      <c r="B262" s="37" t="s">
        <v>403</v>
      </c>
      <c r="C262" s="54" t="s">
        <v>1561</v>
      </c>
      <c r="D262" s="54" t="s">
        <v>5266</v>
      </c>
      <c r="E262" s="54" t="s">
        <v>5267</v>
      </c>
      <c r="F262" s="54" t="s">
        <v>5240</v>
      </c>
      <c r="G262" s="54" t="s">
        <v>5268</v>
      </c>
      <c r="H262" s="37" t="s">
        <v>5269</v>
      </c>
      <c r="I262" s="54" t="s">
        <v>5270</v>
      </c>
      <c r="J262" s="37"/>
    </row>
    <row r="263" customFormat="false" ht="15" hidden="false" customHeight="true" outlineLevel="0" collapsed="false">
      <c r="A263" s="37" t="s">
        <v>1563</v>
      </c>
      <c r="B263" s="37" t="s">
        <v>403</v>
      </c>
      <c r="C263" s="54" t="s">
        <v>1564</v>
      </c>
      <c r="D263" s="54" t="s">
        <v>5266</v>
      </c>
      <c r="E263" s="54" t="s">
        <v>5267</v>
      </c>
      <c r="F263" s="54" t="s">
        <v>5240</v>
      </c>
      <c r="G263" s="54" t="s">
        <v>5268</v>
      </c>
      <c r="H263" s="37" t="s">
        <v>5269</v>
      </c>
      <c r="I263" s="54" t="s">
        <v>5270</v>
      </c>
      <c r="J263" s="37"/>
    </row>
    <row r="264" customFormat="false" ht="15" hidden="false" customHeight="true" outlineLevel="0" collapsed="false">
      <c r="A264" s="37" t="s">
        <v>1566</v>
      </c>
      <c r="B264" s="37" t="s">
        <v>403</v>
      </c>
      <c r="C264" s="54" t="s">
        <v>1567</v>
      </c>
      <c r="D264" s="54" t="s">
        <v>5223</v>
      </c>
      <c r="E264" s="54" t="s">
        <v>5215</v>
      </c>
      <c r="F264" s="54" t="s">
        <v>5216</v>
      </c>
      <c r="G264" s="54" t="s">
        <v>5268</v>
      </c>
      <c r="H264" s="37" t="s">
        <v>5269</v>
      </c>
      <c r="I264" s="54" t="s">
        <v>5270</v>
      </c>
      <c r="J264" s="37"/>
    </row>
    <row r="265" customFormat="false" ht="15" hidden="false" customHeight="true" outlineLevel="0" collapsed="false">
      <c r="A265" s="37" t="s">
        <v>1569</v>
      </c>
      <c r="B265" s="37" t="s">
        <v>403</v>
      </c>
      <c r="C265" s="54" t="s">
        <v>1570</v>
      </c>
      <c r="D265" s="54" t="s">
        <v>5276</v>
      </c>
      <c r="E265" s="54" t="s">
        <v>5215</v>
      </c>
      <c r="F265" s="54" t="s">
        <v>5216</v>
      </c>
      <c r="G265" s="54" t="s">
        <v>5268</v>
      </c>
      <c r="H265" s="37" t="s">
        <v>5269</v>
      </c>
      <c r="I265" s="54" t="s">
        <v>5270</v>
      </c>
      <c r="J265" s="37"/>
    </row>
    <row r="266" customFormat="false" ht="15" hidden="false" customHeight="true" outlineLevel="0" collapsed="false">
      <c r="A266" s="37" t="s">
        <v>1572</v>
      </c>
      <c r="B266" s="37" t="s">
        <v>403</v>
      </c>
      <c r="C266" s="54" t="s">
        <v>1573</v>
      </c>
      <c r="D266" s="54" t="s">
        <v>5266</v>
      </c>
      <c r="E266" s="54" t="s">
        <v>5267</v>
      </c>
      <c r="F266" s="54" t="s">
        <v>5240</v>
      </c>
      <c r="G266" s="54" t="s">
        <v>5268</v>
      </c>
      <c r="H266" s="37" t="s">
        <v>5269</v>
      </c>
      <c r="I266" s="54" t="s">
        <v>5270</v>
      </c>
      <c r="J266" s="37"/>
    </row>
    <row r="267" customFormat="false" ht="15" hidden="false" customHeight="true" outlineLevel="0" collapsed="false">
      <c r="A267" s="37" t="s">
        <v>1575</v>
      </c>
      <c r="B267" s="37" t="s">
        <v>403</v>
      </c>
      <c r="C267" s="54" t="s">
        <v>1576</v>
      </c>
      <c r="D267" s="54" t="s">
        <v>5273</v>
      </c>
      <c r="E267" s="54" t="s">
        <v>5274</v>
      </c>
      <c r="F267" s="54" t="s">
        <v>5216</v>
      </c>
      <c r="G267" s="54" t="s">
        <v>5268</v>
      </c>
      <c r="H267" s="37" t="s">
        <v>5269</v>
      </c>
      <c r="I267" s="54" t="s">
        <v>5270</v>
      </c>
      <c r="J267" s="37"/>
    </row>
    <row r="268" customFormat="false" ht="15" hidden="false" customHeight="true" outlineLevel="0" collapsed="false">
      <c r="A268" s="37" t="s">
        <v>1579</v>
      </c>
      <c r="B268" s="37" t="s">
        <v>403</v>
      </c>
      <c r="C268" s="54" t="s">
        <v>1580</v>
      </c>
      <c r="D268" s="54" t="s">
        <v>5280</v>
      </c>
      <c r="E268" s="54" t="s">
        <v>5281</v>
      </c>
      <c r="F268" s="54" t="s">
        <v>5216</v>
      </c>
      <c r="G268" s="54" t="s">
        <v>5268</v>
      </c>
      <c r="H268" s="37" t="s">
        <v>5269</v>
      </c>
      <c r="I268" s="54" t="s">
        <v>5270</v>
      </c>
      <c r="J268" s="37"/>
    </row>
    <row r="269" customFormat="false" ht="15" hidden="false" customHeight="true" outlineLevel="0" collapsed="false">
      <c r="A269" s="37" t="s">
        <v>1582</v>
      </c>
      <c r="B269" s="37" t="s">
        <v>403</v>
      </c>
      <c r="C269" s="54" t="s">
        <v>1583</v>
      </c>
      <c r="D269" s="54" t="s">
        <v>5282</v>
      </c>
      <c r="E269" s="54" t="s">
        <v>5215</v>
      </c>
      <c r="F269" s="54" t="s">
        <v>5216</v>
      </c>
      <c r="G269" s="54" t="s">
        <v>5268</v>
      </c>
      <c r="H269" s="37" t="s">
        <v>5269</v>
      </c>
      <c r="I269" s="54" t="s">
        <v>5270</v>
      </c>
      <c r="J269" s="37"/>
    </row>
    <row r="270" customFormat="false" ht="15" hidden="false" customHeight="true" outlineLevel="0" collapsed="false">
      <c r="A270" s="37" t="s">
        <v>1585</v>
      </c>
      <c r="B270" s="37" t="s">
        <v>403</v>
      </c>
      <c r="C270" s="54" t="s">
        <v>1586</v>
      </c>
      <c r="D270" s="54" t="s">
        <v>5283</v>
      </c>
      <c r="E270" s="54" t="s">
        <v>5215</v>
      </c>
      <c r="F270" s="54" t="s">
        <v>5216</v>
      </c>
      <c r="G270" s="54" t="s">
        <v>5268</v>
      </c>
      <c r="H270" s="37" t="s">
        <v>5269</v>
      </c>
      <c r="I270" s="54" t="s">
        <v>5270</v>
      </c>
      <c r="J270" s="37"/>
    </row>
    <row r="271" customFormat="false" ht="15" hidden="false" customHeight="true" outlineLevel="0" collapsed="false">
      <c r="A271" s="37" t="s">
        <v>1588</v>
      </c>
      <c r="B271" s="37" t="s">
        <v>403</v>
      </c>
      <c r="C271" s="54" t="s">
        <v>1589</v>
      </c>
      <c r="D271" s="54" t="s">
        <v>5234</v>
      </c>
      <c r="E271" s="54" t="s">
        <v>5235</v>
      </c>
      <c r="F271" s="54" t="s">
        <v>5216</v>
      </c>
      <c r="G271" s="54" t="s">
        <v>5268</v>
      </c>
      <c r="H271" s="37" t="s">
        <v>5269</v>
      </c>
      <c r="I271" s="54" t="s">
        <v>5270</v>
      </c>
      <c r="J271" s="37"/>
    </row>
    <row r="272" customFormat="false" ht="15" hidden="false" customHeight="true" outlineLevel="0" collapsed="false">
      <c r="A272" s="37" t="s">
        <v>1591</v>
      </c>
      <c r="B272" s="37" t="s">
        <v>403</v>
      </c>
      <c r="C272" s="54" t="s">
        <v>1592</v>
      </c>
      <c r="D272" s="54" t="s">
        <v>5266</v>
      </c>
      <c r="E272" s="54" t="s">
        <v>5267</v>
      </c>
      <c r="F272" s="54" t="s">
        <v>5240</v>
      </c>
      <c r="G272" s="54" t="s">
        <v>5268</v>
      </c>
      <c r="H272" s="37" t="s">
        <v>5269</v>
      </c>
      <c r="I272" s="54" t="s">
        <v>5270</v>
      </c>
      <c r="J272" s="37"/>
    </row>
    <row r="273" customFormat="false" ht="15" hidden="false" customHeight="true" outlineLevel="0" collapsed="false">
      <c r="A273" s="37" t="s">
        <v>1594</v>
      </c>
      <c r="B273" s="37" t="s">
        <v>403</v>
      </c>
      <c r="C273" s="54" t="s">
        <v>1595</v>
      </c>
      <c r="D273" s="54" t="s">
        <v>5234</v>
      </c>
      <c r="E273" s="54" t="s">
        <v>5235</v>
      </c>
      <c r="F273" s="54" t="s">
        <v>5216</v>
      </c>
      <c r="G273" s="54" t="s">
        <v>5268</v>
      </c>
      <c r="H273" s="37" t="s">
        <v>5269</v>
      </c>
      <c r="I273" s="54" t="s">
        <v>5270</v>
      </c>
      <c r="J273" s="37"/>
    </row>
    <row r="274" customFormat="false" ht="15" hidden="false" customHeight="true" outlineLevel="0" collapsed="false">
      <c r="A274" s="37" t="s">
        <v>1597</v>
      </c>
      <c r="B274" s="37" t="s">
        <v>403</v>
      </c>
      <c r="C274" s="54" t="s">
        <v>1598</v>
      </c>
      <c r="D274" s="54" t="s">
        <v>5276</v>
      </c>
      <c r="E274" s="54" t="s">
        <v>5215</v>
      </c>
      <c r="F274" s="54" t="s">
        <v>5216</v>
      </c>
      <c r="G274" s="54" t="s">
        <v>5268</v>
      </c>
      <c r="H274" s="37" t="s">
        <v>5269</v>
      </c>
      <c r="I274" s="54" t="s">
        <v>5270</v>
      </c>
      <c r="J274" s="37"/>
    </row>
    <row r="275" customFormat="false" ht="15" hidden="false" customHeight="true" outlineLevel="0" collapsed="false">
      <c r="A275" s="37" t="s">
        <v>1600</v>
      </c>
      <c r="B275" s="37" t="s">
        <v>403</v>
      </c>
      <c r="C275" s="54" t="s">
        <v>1601</v>
      </c>
      <c r="D275" s="54" t="s">
        <v>5276</v>
      </c>
      <c r="E275" s="54" t="s">
        <v>5215</v>
      </c>
      <c r="F275" s="54" t="s">
        <v>5216</v>
      </c>
      <c r="G275" s="54" t="s">
        <v>5268</v>
      </c>
      <c r="H275" s="37" t="s">
        <v>5269</v>
      </c>
      <c r="I275" s="54" t="s">
        <v>5270</v>
      </c>
      <c r="J275" s="37"/>
    </row>
    <row r="276" customFormat="false" ht="15" hidden="false" customHeight="true" outlineLevel="0" collapsed="false">
      <c r="A276" s="37" t="s">
        <v>1603</v>
      </c>
      <c r="B276" s="37" t="s">
        <v>403</v>
      </c>
      <c r="C276" s="54" t="s">
        <v>1604</v>
      </c>
      <c r="D276" s="54" t="s">
        <v>5276</v>
      </c>
      <c r="E276" s="54" t="s">
        <v>5215</v>
      </c>
      <c r="F276" s="54" t="s">
        <v>5216</v>
      </c>
      <c r="G276" s="54" t="s">
        <v>5268</v>
      </c>
      <c r="H276" s="37" t="s">
        <v>5269</v>
      </c>
      <c r="I276" s="54" t="s">
        <v>5270</v>
      </c>
      <c r="J276" s="37"/>
    </row>
    <row r="277" customFormat="false" ht="15" hidden="false" customHeight="true" outlineLevel="0" collapsed="false">
      <c r="A277" s="37" t="s">
        <v>1606</v>
      </c>
      <c r="B277" s="37" t="s">
        <v>403</v>
      </c>
      <c r="C277" s="54" t="s">
        <v>1607</v>
      </c>
      <c r="D277" s="54" t="s">
        <v>5266</v>
      </c>
      <c r="E277" s="54" t="s">
        <v>5267</v>
      </c>
      <c r="F277" s="54" t="s">
        <v>5240</v>
      </c>
      <c r="G277" s="54" t="s">
        <v>5268</v>
      </c>
      <c r="H277" s="37" t="s">
        <v>5269</v>
      </c>
      <c r="I277" s="54" t="s">
        <v>5270</v>
      </c>
      <c r="J277" s="37"/>
    </row>
    <row r="278" customFormat="false" ht="15" hidden="false" customHeight="true" outlineLevel="0" collapsed="false">
      <c r="A278" s="37" t="s">
        <v>1609</v>
      </c>
      <c r="B278" s="37" t="s">
        <v>403</v>
      </c>
      <c r="C278" s="54" t="s">
        <v>1610</v>
      </c>
      <c r="D278" s="54" t="s">
        <v>5266</v>
      </c>
      <c r="E278" s="54" t="s">
        <v>5267</v>
      </c>
      <c r="F278" s="54" t="s">
        <v>5240</v>
      </c>
      <c r="G278" s="54" t="s">
        <v>5268</v>
      </c>
      <c r="H278" s="37" t="s">
        <v>5269</v>
      </c>
      <c r="I278" s="54" t="s">
        <v>5270</v>
      </c>
      <c r="J278" s="37"/>
    </row>
    <row r="279" customFormat="false" ht="15" hidden="false" customHeight="true" outlineLevel="0" collapsed="false">
      <c r="A279" s="37" t="s">
        <v>1612</v>
      </c>
      <c r="B279" s="37" t="s">
        <v>403</v>
      </c>
      <c r="C279" s="54" t="s">
        <v>1613</v>
      </c>
      <c r="D279" s="54" t="s">
        <v>5283</v>
      </c>
      <c r="E279" s="54" t="s">
        <v>5215</v>
      </c>
      <c r="F279" s="54" t="s">
        <v>5216</v>
      </c>
      <c r="G279" s="54" t="s">
        <v>5268</v>
      </c>
      <c r="H279" s="37" t="s">
        <v>5269</v>
      </c>
      <c r="I279" s="54" t="s">
        <v>5270</v>
      </c>
      <c r="J279" s="37"/>
    </row>
    <row r="280" customFormat="false" ht="15" hidden="false" customHeight="true" outlineLevel="0" collapsed="false">
      <c r="A280" s="37" t="s">
        <v>1615</v>
      </c>
      <c r="B280" s="37" t="s">
        <v>403</v>
      </c>
      <c r="C280" s="54" t="s">
        <v>1616</v>
      </c>
      <c r="D280" s="54" t="s">
        <v>5234</v>
      </c>
      <c r="E280" s="54" t="s">
        <v>5235</v>
      </c>
      <c r="F280" s="54" t="s">
        <v>5216</v>
      </c>
      <c r="G280" s="54" t="s">
        <v>5268</v>
      </c>
      <c r="H280" s="37" t="s">
        <v>5269</v>
      </c>
      <c r="I280" s="54" t="s">
        <v>5270</v>
      </c>
      <c r="J280" s="37"/>
    </row>
    <row r="281" customFormat="false" ht="15" hidden="false" customHeight="true" outlineLevel="0" collapsed="false">
      <c r="A281" s="37" t="s">
        <v>1618</v>
      </c>
      <c r="B281" s="37" t="s">
        <v>403</v>
      </c>
      <c r="C281" s="54" t="s">
        <v>1619</v>
      </c>
      <c r="D281" s="54" t="s">
        <v>5234</v>
      </c>
      <c r="E281" s="54" t="s">
        <v>5235</v>
      </c>
      <c r="F281" s="54" t="s">
        <v>5216</v>
      </c>
      <c r="G281" s="54" t="s">
        <v>5268</v>
      </c>
      <c r="H281" s="37" t="s">
        <v>5269</v>
      </c>
      <c r="I281" s="54" t="s">
        <v>5270</v>
      </c>
      <c r="J281" s="37"/>
    </row>
    <row r="282" customFormat="false" ht="15" hidden="false" customHeight="true" outlineLevel="0" collapsed="false">
      <c r="A282" s="37" t="s">
        <v>1623</v>
      </c>
      <c r="B282" s="37" t="s">
        <v>403</v>
      </c>
      <c r="C282" s="54" t="s">
        <v>1624</v>
      </c>
      <c r="D282" s="54" t="s">
        <v>5284</v>
      </c>
      <c r="E282" s="54" t="s">
        <v>5215</v>
      </c>
      <c r="F282" s="54" t="s">
        <v>5216</v>
      </c>
      <c r="G282" s="54" t="s">
        <v>5268</v>
      </c>
      <c r="H282" s="37" t="s">
        <v>5269</v>
      </c>
      <c r="I282" s="54" t="s">
        <v>5270</v>
      </c>
      <c r="J282" s="37"/>
    </row>
    <row r="283" customFormat="false" ht="15" hidden="false" customHeight="true" outlineLevel="0" collapsed="false">
      <c r="A283" s="37" t="s">
        <v>1626</v>
      </c>
      <c r="B283" s="37" t="s">
        <v>403</v>
      </c>
      <c r="C283" s="54" t="s">
        <v>1627</v>
      </c>
      <c r="D283" s="54" t="s">
        <v>5283</v>
      </c>
      <c r="E283" s="54" t="s">
        <v>5215</v>
      </c>
      <c r="F283" s="54" t="s">
        <v>5216</v>
      </c>
      <c r="G283" s="54" t="s">
        <v>5268</v>
      </c>
      <c r="H283" s="37" t="s">
        <v>5269</v>
      </c>
      <c r="I283" s="54" t="s">
        <v>5270</v>
      </c>
      <c r="J283" s="37"/>
    </row>
    <row r="284" customFormat="false" ht="15" hidden="false" customHeight="true" outlineLevel="0" collapsed="false">
      <c r="A284" s="37" t="s">
        <v>1629</v>
      </c>
      <c r="B284" s="37" t="s">
        <v>403</v>
      </c>
      <c r="C284" s="54" t="s">
        <v>1630</v>
      </c>
      <c r="D284" s="54" t="s">
        <v>5271</v>
      </c>
      <c r="E284" s="54" t="s">
        <v>5272</v>
      </c>
      <c r="F284" s="54" t="s">
        <v>5216</v>
      </c>
      <c r="G284" s="54" t="s">
        <v>5268</v>
      </c>
      <c r="H284" s="37" t="s">
        <v>5269</v>
      </c>
      <c r="I284" s="54" t="s">
        <v>5270</v>
      </c>
      <c r="J284" s="37"/>
    </row>
    <row r="285" customFormat="false" ht="15" hidden="false" customHeight="true" outlineLevel="0" collapsed="false">
      <c r="A285" s="37" t="s">
        <v>1632</v>
      </c>
      <c r="B285" s="37" t="s">
        <v>403</v>
      </c>
      <c r="C285" s="54" t="s">
        <v>1633</v>
      </c>
      <c r="D285" s="54" t="s">
        <v>5285</v>
      </c>
      <c r="E285" s="54" t="s">
        <v>5221</v>
      </c>
      <c r="F285" s="54" t="s">
        <v>5216</v>
      </c>
      <c r="G285" s="54" t="s">
        <v>5268</v>
      </c>
      <c r="H285" s="37" t="s">
        <v>5269</v>
      </c>
      <c r="I285" s="54" t="s">
        <v>5270</v>
      </c>
      <c r="J285" s="37"/>
    </row>
    <row r="286" customFormat="false" ht="15" hidden="false" customHeight="true" outlineLevel="0" collapsed="false">
      <c r="A286" s="37" t="s">
        <v>1635</v>
      </c>
      <c r="B286" s="37" t="s">
        <v>403</v>
      </c>
      <c r="C286" s="54" t="s">
        <v>1636</v>
      </c>
      <c r="D286" s="54" t="s">
        <v>5226</v>
      </c>
      <c r="E286" s="54" t="s">
        <v>5227</v>
      </c>
      <c r="F286" s="54" t="s">
        <v>5216</v>
      </c>
      <c r="G286" s="54" t="s">
        <v>5268</v>
      </c>
      <c r="H286" s="37" t="s">
        <v>5269</v>
      </c>
      <c r="I286" s="54" t="s">
        <v>5270</v>
      </c>
      <c r="J286" s="37"/>
    </row>
    <row r="287" customFormat="false" ht="15" hidden="false" customHeight="true" outlineLevel="0" collapsed="false">
      <c r="A287" s="37" t="s">
        <v>1638</v>
      </c>
      <c r="B287" s="37" t="s">
        <v>403</v>
      </c>
      <c r="C287" s="54" t="s">
        <v>1639</v>
      </c>
      <c r="D287" s="54" t="s">
        <v>5234</v>
      </c>
      <c r="E287" s="54" t="s">
        <v>5235</v>
      </c>
      <c r="F287" s="54" t="s">
        <v>5216</v>
      </c>
      <c r="G287" s="54" t="s">
        <v>5268</v>
      </c>
      <c r="H287" s="37" t="s">
        <v>5269</v>
      </c>
      <c r="I287" s="54" t="s">
        <v>5270</v>
      </c>
      <c r="J287" s="37"/>
    </row>
    <row r="288" customFormat="false" ht="15" hidden="false" customHeight="true" outlineLevel="0" collapsed="false">
      <c r="A288" s="37" t="s">
        <v>1641</v>
      </c>
      <c r="B288" s="37" t="s">
        <v>403</v>
      </c>
      <c r="C288" s="54" t="s">
        <v>1642</v>
      </c>
      <c r="D288" s="54" t="s">
        <v>5283</v>
      </c>
      <c r="E288" s="54" t="s">
        <v>5215</v>
      </c>
      <c r="F288" s="54" t="s">
        <v>5216</v>
      </c>
      <c r="G288" s="54" t="s">
        <v>5268</v>
      </c>
      <c r="H288" s="37" t="s">
        <v>5269</v>
      </c>
      <c r="I288" s="54" t="s">
        <v>5270</v>
      </c>
      <c r="J288" s="37"/>
    </row>
    <row r="289" customFormat="false" ht="15" hidden="false" customHeight="true" outlineLevel="0" collapsed="false">
      <c r="A289" s="37" t="s">
        <v>1644</v>
      </c>
      <c r="B289" s="37" t="s">
        <v>403</v>
      </c>
      <c r="C289" s="54" t="s">
        <v>1645</v>
      </c>
      <c r="D289" s="54" t="s">
        <v>5234</v>
      </c>
      <c r="E289" s="54" t="s">
        <v>5235</v>
      </c>
      <c r="F289" s="54" t="s">
        <v>5216</v>
      </c>
      <c r="G289" s="54" t="s">
        <v>5268</v>
      </c>
      <c r="H289" s="37" t="s">
        <v>5269</v>
      </c>
      <c r="I289" s="54" t="s">
        <v>5270</v>
      </c>
      <c r="J289" s="37"/>
    </row>
    <row r="290" customFormat="false" ht="15" hidden="false" customHeight="true" outlineLevel="0" collapsed="false">
      <c r="A290" s="37" t="s">
        <v>1647</v>
      </c>
      <c r="B290" s="37" t="s">
        <v>403</v>
      </c>
      <c r="C290" s="54" t="s">
        <v>1648</v>
      </c>
      <c r="D290" s="54" t="s">
        <v>5266</v>
      </c>
      <c r="E290" s="54" t="s">
        <v>5267</v>
      </c>
      <c r="F290" s="54" t="s">
        <v>5240</v>
      </c>
      <c r="G290" s="54" t="s">
        <v>5268</v>
      </c>
      <c r="H290" s="37" t="s">
        <v>5269</v>
      </c>
      <c r="I290" s="54" t="s">
        <v>5270</v>
      </c>
      <c r="J290" s="37"/>
    </row>
    <row r="291" customFormat="false" ht="15" hidden="false" customHeight="true" outlineLevel="0" collapsed="false">
      <c r="A291" s="37" t="s">
        <v>1650</v>
      </c>
      <c r="B291" s="37" t="s">
        <v>403</v>
      </c>
      <c r="C291" s="54" t="s">
        <v>1651</v>
      </c>
      <c r="D291" s="54" t="s">
        <v>5226</v>
      </c>
      <c r="E291" s="54" t="s">
        <v>5227</v>
      </c>
      <c r="F291" s="54" t="s">
        <v>5216</v>
      </c>
      <c r="G291" s="54" t="s">
        <v>5268</v>
      </c>
      <c r="H291" s="37" t="s">
        <v>5269</v>
      </c>
      <c r="I291" s="54" t="s">
        <v>5270</v>
      </c>
      <c r="J291" s="37"/>
    </row>
    <row r="292" customFormat="false" ht="15" hidden="false" customHeight="true" outlineLevel="0" collapsed="false">
      <c r="A292" s="37" t="s">
        <v>1653</v>
      </c>
      <c r="B292" s="37" t="s">
        <v>403</v>
      </c>
      <c r="C292" s="54" t="s">
        <v>1654</v>
      </c>
      <c r="D292" s="54" t="s">
        <v>5226</v>
      </c>
      <c r="E292" s="54" t="s">
        <v>5227</v>
      </c>
      <c r="F292" s="54" t="s">
        <v>5216</v>
      </c>
      <c r="G292" s="54" t="s">
        <v>5268</v>
      </c>
      <c r="H292" s="37" t="s">
        <v>5269</v>
      </c>
      <c r="I292" s="54" t="s">
        <v>5270</v>
      </c>
      <c r="J292" s="37"/>
    </row>
    <row r="293" customFormat="false" ht="15" hidden="false" customHeight="true" outlineLevel="0" collapsed="false">
      <c r="A293" s="37" t="s">
        <v>1656</v>
      </c>
      <c r="B293" s="37" t="s">
        <v>403</v>
      </c>
      <c r="C293" s="54" t="s">
        <v>1657</v>
      </c>
      <c r="D293" s="54" t="s">
        <v>5284</v>
      </c>
      <c r="E293" s="54" t="s">
        <v>5215</v>
      </c>
      <c r="F293" s="54" t="s">
        <v>5216</v>
      </c>
      <c r="G293" s="54" t="s">
        <v>5268</v>
      </c>
      <c r="H293" s="37" t="s">
        <v>5269</v>
      </c>
      <c r="I293" s="54" t="s">
        <v>5270</v>
      </c>
      <c r="J293" s="37"/>
    </row>
    <row r="294" customFormat="false" ht="15" hidden="false" customHeight="true" outlineLevel="0" collapsed="false">
      <c r="A294" s="37" t="s">
        <v>1659</v>
      </c>
      <c r="B294" s="37" t="s">
        <v>403</v>
      </c>
      <c r="C294" s="54" t="s">
        <v>1660</v>
      </c>
      <c r="D294" s="54" t="s">
        <v>5234</v>
      </c>
      <c r="E294" s="54" t="s">
        <v>5235</v>
      </c>
      <c r="F294" s="54" t="s">
        <v>5216</v>
      </c>
      <c r="G294" s="54" t="s">
        <v>5268</v>
      </c>
      <c r="H294" s="37" t="s">
        <v>5269</v>
      </c>
      <c r="I294" s="54" t="s">
        <v>5270</v>
      </c>
      <c r="J294" s="37"/>
    </row>
    <row r="295" customFormat="false" ht="15" hidden="false" customHeight="true" outlineLevel="0" collapsed="false">
      <c r="A295" s="37" t="s">
        <v>1662</v>
      </c>
      <c r="B295" s="37" t="s">
        <v>403</v>
      </c>
      <c r="C295" s="54" t="s">
        <v>1663</v>
      </c>
      <c r="D295" s="54" t="s">
        <v>5266</v>
      </c>
      <c r="E295" s="54" t="s">
        <v>5267</v>
      </c>
      <c r="F295" s="54" t="s">
        <v>5240</v>
      </c>
      <c r="G295" s="54" t="s">
        <v>5268</v>
      </c>
      <c r="H295" s="37" t="s">
        <v>5269</v>
      </c>
      <c r="I295" s="54" t="s">
        <v>5270</v>
      </c>
      <c r="J295" s="37"/>
    </row>
    <row r="296" customFormat="false" ht="15" hidden="false" customHeight="true" outlineLevel="0" collapsed="false">
      <c r="A296" s="37" t="s">
        <v>1665</v>
      </c>
      <c r="B296" s="37" t="s">
        <v>403</v>
      </c>
      <c r="C296" s="54" t="s">
        <v>1666</v>
      </c>
      <c r="D296" s="54" t="s">
        <v>5284</v>
      </c>
      <c r="E296" s="54" t="s">
        <v>5215</v>
      </c>
      <c r="F296" s="54" t="s">
        <v>5216</v>
      </c>
      <c r="G296" s="54" t="s">
        <v>5268</v>
      </c>
      <c r="H296" s="37" t="s">
        <v>5269</v>
      </c>
      <c r="I296" s="54" t="s">
        <v>5270</v>
      </c>
      <c r="J296" s="37"/>
    </row>
    <row r="297" customFormat="false" ht="15" hidden="false" customHeight="true" outlineLevel="0" collapsed="false">
      <c r="A297" s="37" t="s">
        <v>1668</v>
      </c>
      <c r="B297" s="37" t="s">
        <v>403</v>
      </c>
      <c r="C297" s="54" t="s">
        <v>1669</v>
      </c>
      <c r="D297" s="54" t="s">
        <v>5284</v>
      </c>
      <c r="E297" s="54" t="s">
        <v>5215</v>
      </c>
      <c r="F297" s="54" t="s">
        <v>5216</v>
      </c>
      <c r="G297" s="54" t="s">
        <v>5268</v>
      </c>
      <c r="H297" s="37" t="s">
        <v>5269</v>
      </c>
      <c r="I297" s="54" t="s">
        <v>5270</v>
      </c>
      <c r="J297" s="37"/>
    </row>
    <row r="298" customFormat="false" ht="15" hidden="false" customHeight="true" outlineLevel="0" collapsed="false">
      <c r="A298" s="37" t="s">
        <v>1671</v>
      </c>
      <c r="B298" s="37" t="s">
        <v>403</v>
      </c>
      <c r="C298" s="54" t="s">
        <v>1672</v>
      </c>
      <c r="D298" s="54" t="s">
        <v>5266</v>
      </c>
      <c r="E298" s="54" t="s">
        <v>5267</v>
      </c>
      <c r="F298" s="54" t="s">
        <v>5240</v>
      </c>
      <c r="G298" s="54" t="s">
        <v>5268</v>
      </c>
      <c r="H298" s="37" t="s">
        <v>5269</v>
      </c>
      <c r="I298" s="54" t="s">
        <v>5270</v>
      </c>
      <c r="J298" s="37"/>
    </row>
    <row r="299" customFormat="false" ht="15" hidden="false" customHeight="true" outlineLevel="0" collapsed="false">
      <c r="A299" s="37" t="s">
        <v>1674</v>
      </c>
      <c r="B299" s="37" t="s">
        <v>403</v>
      </c>
      <c r="C299" s="54" t="s">
        <v>1675</v>
      </c>
      <c r="D299" s="54" t="s">
        <v>5234</v>
      </c>
      <c r="E299" s="54" t="s">
        <v>5235</v>
      </c>
      <c r="F299" s="54" t="s">
        <v>5216</v>
      </c>
      <c r="G299" s="54" t="s">
        <v>5268</v>
      </c>
      <c r="H299" s="37" t="s">
        <v>5269</v>
      </c>
      <c r="I299" s="54" t="s">
        <v>5270</v>
      </c>
      <c r="J299" s="37"/>
    </row>
    <row r="300" customFormat="false" ht="15" hidden="false" customHeight="true" outlineLevel="0" collapsed="false">
      <c r="A300" s="37" t="s">
        <v>1677</v>
      </c>
      <c r="B300" s="37" t="s">
        <v>403</v>
      </c>
      <c r="C300" s="54" t="s">
        <v>1678</v>
      </c>
      <c r="D300" s="54" t="s">
        <v>5284</v>
      </c>
      <c r="E300" s="54" t="s">
        <v>5215</v>
      </c>
      <c r="F300" s="54" t="s">
        <v>5216</v>
      </c>
      <c r="G300" s="54" t="s">
        <v>5268</v>
      </c>
      <c r="H300" s="37" t="s">
        <v>5269</v>
      </c>
      <c r="I300" s="54" t="s">
        <v>5270</v>
      </c>
      <c r="J300" s="37"/>
    </row>
    <row r="301" customFormat="false" ht="15" hidden="false" customHeight="true" outlineLevel="0" collapsed="false">
      <c r="A301" s="37" t="s">
        <v>1680</v>
      </c>
      <c r="B301" s="37" t="s">
        <v>403</v>
      </c>
      <c r="C301" s="54" t="s">
        <v>1681</v>
      </c>
      <c r="D301" s="54" t="s">
        <v>5234</v>
      </c>
      <c r="E301" s="54" t="s">
        <v>5235</v>
      </c>
      <c r="F301" s="54" t="s">
        <v>5216</v>
      </c>
      <c r="G301" s="54" t="s">
        <v>5268</v>
      </c>
      <c r="H301" s="37" t="s">
        <v>5269</v>
      </c>
      <c r="I301" s="54" t="s">
        <v>5270</v>
      </c>
      <c r="J301" s="37"/>
    </row>
    <row r="302" customFormat="false" ht="15" hidden="false" customHeight="true" outlineLevel="0" collapsed="false">
      <c r="A302" s="37" t="s">
        <v>1683</v>
      </c>
      <c r="B302" s="37" t="s">
        <v>403</v>
      </c>
      <c r="C302" s="54" t="s">
        <v>1684</v>
      </c>
      <c r="D302" s="54" t="s">
        <v>5284</v>
      </c>
      <c r="E302" s="54" t="s">
        <v>5215</v>
      </c>
      <c r="F302" s="54" t="s">
        <v>5216</v>
      </c>
      <c r="G302" s="54" t="s">
        <v>5268</v>
      </c>
      <c r="H302" s="37" t="s">
        <v>5269</v>
      </c>
      <c r="I302" s="54" t="s">
        <v>5270</v>
      </c>
      <c r="J302" s="37"/>
    </row>
    <row r="303" customFormat="false" ht="15" hidden="false" customHeight="true" outlineLevel="0" collapsed="false">
      <c r="A303" s="37" t="s">
        <v>1686</v>
      </c>
      <c r="B303" s="37" t="s">
        <v>403</v>
      </c>
      <c r="C303" s="54" t="s">
        <v>1687</v>
      </c>
      <c r="D303" s="54" t="s">
        <v>5286</v>
      </c>
      <c r="E303" s="54" t="s">
        <v>5287</v>
      </c>
      <c r="F303" s="54" t="s">
        <v>5216</v>
      </c>
      <c r="G303" s="54" t="s">
        <v>5268</v>
      </c>
      <c r="H303" s="37" t="s">
        <v>5269</v>
      </c>
      <c r="I303" s="54" t="s">
        <v>5270</v>
      </c>
      <c r="J303" s="37"/>
    </row>
    <row r="304" customFormat="false" ht="15" hidden="false" customHeight="true" outlineLevel="0" collapsed="false">
      <c r="A304" s="37" t="s">
        <v>1689</v>
      </c>
      <c r="B304" s="37" t="s">
        <v>403</v>
      </c>
      <c r="C304" s="54" t="s">
        <v>1690</v>
      </c>
      <c r="D304" s="54" t="s">
        <v>5284</v>
      </c>
      <c r="E304" s="54" t="s">
        <v>5215</v>
      </c>
      <c r="F304" s="54" t="s">
        <v>5216</v>
      </c>
      <c r="G304" s="54" t="s">
        <v>5268</v>
      </c>
      <c r="H304" s="37" t="s">
        <v>5269</v>
      </c>
      <c r="I304" s="54" t="s">
        <v>5270</v>
      </c>
      <c r="J304" s="37"/>
    </row>
    <row r="305" customFormat="false" ht="15" hidden="false" customHeight="true" outlineLevel="0" collapsed="false">
      <c r="A305" s="37" t="s">
        <v>1692</v>
      </c>
      <c r="B305" s="37" t="s">
        <v>403</v>
      </c>
      <c r="C305" s="54" t="s">
        <v>1693</v>
      </c>
      <c r="D305" s="54" t="s">
        <v>5266</v>
      </c>
      <c r="E305" s="54" t="s">
        <v>5267</v>
      </c>
      <c r="F305" s="54" t="s">
        <v>5240</v>
      </c>
      <c r="G305" s="54" t="s">
        <v>5268</v>
      </c>
      <c r="H305" s="37" t="s">
        <v>5269</v>
      </c>
      <c r="I305" s="54" t="s">
        <v>5270</v>
      </c>
      <c r="J305" s="37"/>
    </row>
    <row r="306" customFormat="false" ht="15" hidden="false" customHeight="true" outlineLevel="0" collapsed="false">
      <c r="A306" s="37" t="s">
        <v>1695</v>
      </c>
      <c r="B306" s="37" t="s">
        <v>403</v>
      </c>
      <c r="C306" s="54" t="s">
        <v>1696</v>
      </c>
      <c r="D306" s="54" t="s">
        <v>5234</v>
      </c>
      <c r="E306" s="54" t="s">
        <v>5235</v>
      </c>
      <c r="F306" s="54" t="s">
        <v>5216</v>
      </c>
      <c r="G306" s="54" t="s">
        <v>5268</v>
      </c>
      <c r="H306" s="37" t="s">
        <v>5269</v>
      </c>
      <c r="I306" s="54" t="s">
        <v>5270</v>
      </c>
      <c r="J306" s="37"/>
    </row>
    <row r="307" customFormat="false" ht="15" hidden="false" customHeight="true" outlineLevel="0" collapsed="false">
      <c r="A307" s="37" t="s">
        <v>1698</v>
      </c>
      <c r="B307" s="37" t="s">
        <v>403</v>
      </c>
      <c r="C307" s="54" t="s">
        <v>1699</v>
      </c>
      <c r="D307" s="54" t="s">
        <v>5273</v>
      </c>
      <c r="E307" s="54" t="s">
        <v>5274</v>
      </c>
      <c r="F307" s="54" t="s">
        <v>5216</v>
      </c>
      <c r="G307" s="54" t="s">
        <v>5268</v>
      </c>
      <c r="H307" s="37" t="s">
        <v>5269</v>
      </c>
      <c r="I307" s="54" t="s">
        <v>5270</v>
      </c>
      <c r="J307" s="37"/>
    </row>
    <row r="308" customFormat="false" ht="15" hidden="false" customHeight="true" outlineLevel="0" collapsed="false">
      <c r="A308" s="37" t="s">
        <v>1701</v>
      </c>
      <c r="B308" s="37" t="s">
        <v>403</v>
      </c>
      <c r="C308" s="54" t="s">
        <v>1702</v>
      </c>
      <c r="D308" s="54" t="s">
        <v>5288</v>
      </c>
      <c r="E308" s="54" t="s">
        <v>5215</v>
      </c>
      <c r="F308" s="54" t="s">
        <v>5216</v>
      </c>
      <c r="G308" s="54" t="s">
        <v>5268</v>
      </c>
      <c r="H308" s="37" t="s">
        <v>5269</v>
      </c>
      <c r="I308" s="54" t="s">
        <v>5270</v>
      </c>
      <c r="J308" s="37"/>
    </row>
    <row r="309" customFormat="false" ht="15" hidden="false" customHeight="true" outlineLevel="0" collapsed="false">
      <c r="A309" s="37" t="s">
        <v>1704</v>
      </c>
      <c r="B309" s="37" t="s">
        <v>403</v>
      </c>
      <c r="C309" s="54" t="s">
        <v>1705</v>
      </c>
      <c r="D309" s="54" t="s">
        <v>5266</v>
      </c>
      <c r="E309" s="54" t="s">
        <v>5267</v>
      </c>
      <c r="F309" s="54" t="s">
        <v>5240</v>
      </c>
      <c r="G309" s="54" t="s">
        <v>5268</v>
      </c>
      <c r="H309" s="37" t="s">
        <v>5269</v>
      </c>
      <c r="I309" s="54" t="s">
        <v>5270</v>
      </c>
      <c r="J309" s="37"/>
    </row>
    <row r="310" customFormat="false" ht="15" hidden="false" customHeight="true" outlineLevel="0" collapsed="false">
      <c r="A310" s="37" t="s">
        <v>1707</v>
      </c>
      <c r="B310" s="37" t="s">
        <v>403</v>
      </c>
      <c r="C310" s="54" t="s">
        <v>1708</v>
      </c>
      <c r="D310" s="54" t="s">
        <v>5284</v>
      </c>
      <c r="E310" s="54" t="s">
        <v>5215</v>
      </c>
      <c r="F310" s="54" t="s">
        <v>5216</v>
      </c>
      <c r="G310" s="54" t="s">
        <v>5268</v>
      </c>
      <c r="H310" s="37" t="s">
        <v>5269</v>
      </c>
      <c r="I310" s="54" t="s">
        <v>5270</v>
      </c>
      <c r="J310" s="37"/>
    </row>
    <row r="311" customFormat="false" ht="15" hidden="false" customHeight="true" outlineLevel="0" collapsed="false">
      <c r="A311" s="37" t="s">
        <v>1710</v>
      </c>
      <c r="B311" s="37" t="s">
        <v>403</v>
      </c>
      <c r="C311" s="54" t="s">
        <v>1711</v>
      </c>
      <c r="D311" s="54" t="s">
        <v>5283</v>
      </c>
      <c r="E311" s="54" t="s">
        <v>5215</v>
      </c>
      <c r="F311" s="54" t="s">
        <v>5216</v>
      </c>
      <c r="G311" s="54" t="s">
        <v>5268</v>
      </c>
      <c r="H311" s="37" t="s">
        <v>5269</v>
      </c>
      <c r="I311" s="54" t="s">
        <v>5270</v>
      </c>
      <c r="J311" s="37"/>
    </row>
    <row r="312" customFormat="false" ht="15" hidden="false" customHeight="true" outlineLevel="0" collapsed="false">
      <c r="A312" s="37" t="s">
        <v>1713</v>
      </c>
      <c r="B312" s="37" t="s">
        <v>403</v>
      </c>
      <c r="C312" s="54" t="s">
        <v>1714</v>
      </c>
      <c r="D312" s="54" t="s">
        <v>5286</v>
      </c>
      <c r="E312" s="54" t="s">
        <v>5287</v>
      </c>
      <c r="F312" s="54" t="s">
        <v>5216</v>
      </c>
      <c r="G312" s="54" t="s">
        <v>5268</v>
      </c>
      <c r="H312" s="37" t="s">
        <v>5269</v>
      </c>
      <c r="I312" s="54" t="s">
        <v>5270</v>
      </c>
      <c r="J312" s="37"/>
    </row>
    <row r="313" customFormat="false" ht="15" hidden="false" customHeight="true" outlineLevel="0" collapsed="false">
      <c r="A313" s="37" t="s">
        <v>1716</v>
      </c>
      <c r="B313" s="37" t="s">
        <v>403</v>
      </c>
      <c r="C313" s="54" t="s">
        <v>1717</v>
      </c>
      <c r="D313" s="54" t="s">
        <v>5285</v>
      </c>
      <c r="E313" s="54" t="s">
        <v>5221</v>
      </c>
      <c r="F313" s="54" t="s">
        <v>5216</v>
      </c>
      <c r="G313" s="54" t="s">
        <v>5268</v>
      </c>
      <c r="H313" s="37" t="s">
        <v>5269</v>
      </c>
      <c r="I313" s="54" t="s">
        <v>5270</v>
      </c>
      <c r="J313" s="37"/>
    </row>
    <row r="314" customFormat="false" ht="15" hidden="false" customHeight="true" outlineLevel="0" collapsed="false">
      <c r="A314" s="37" t="s">
        <v>1719</v>
      </c>
      <c r="B314" s="37" t="s">
        <v>403</v>
      </c>
      <c r="C314" s="54" t="s">
        <v>1720</v>
      </c>
      <c r="D314" s="54" t="s">
        <v>5288</v>
      </c>
      <c r="E314" s="54" t="s">
        <v>5215</v>
      </c>
      <c r="F314" s="54" t="s">
        <v>5216</v>
      </c>
      <c r="G314" s="54" t="s">
        <v>5268</v>
      </c>
      <c r="H314" s="37" t="s">
        <v>5269</v>
      </c>
      <c r="I314" s="54" t="s">
        <v>5270</v>
      </c>
      <c r="J314" s="37"/>
    </row>
    <row r="315" customFormat="false" ht="15" hidden="false" customHeight="true" outlineLevel="0" collapsed="false">
      <c r="A315" s="37" t="s">
        <v>1722</v>
      </c>
      <c r="B315" s="37" t="s">
        <v>403</v>
      </c>
      <c r="C315" s="54" t="s">
        <v>1723</v>
      </c>
      <c r="D315" s="54" t="s">
        <v>5266</v>
      </c>
      <c r="E315" s="54" t="s">
        <v>5267</v>
      </c>
      <c r="F315" s="54" t="s">
        <v>5240</v>
      </c>
      <c r="G315" s="54" t="s">
        <v>5268</v>
      </c>
      <c r="H315" s="37" t="s">
        <v>5269</v>
      </c>
      <c r="I315" s="54" t="s">
        <v>5270</v>
      </c>
      <c r="J315" s="37"/>
    </row>
    <row r="316" customFormat="false" ht="15" hidden="false" customHeight="true" outlineLevel="0" collapsed="false">
      <c r="A316" s="37" t="s">
        <v>1725</v>
      </c>
      <c r="B316" s="37" t="s">
        <v>403</v>
      </c>
      <c r="C316" s="54" t="s">
        <v>1726</v>
      </c>
      <c r="D316" s="54" t="s">
        <v>5271</v>
      </c>
      <c r="E316" s="54" t="s">
        <v>5272</v>
      </c>
      <c r="F316" s="54" t="s">
        <v>5216</v>
      </c>
      <c r="G316" s="54" t="s">
        <v>5268</v>
      </c>
      <c r="H316" s="37" t="s">
        <v>5269</v>
      </c>
      <c r="I316" s="54" t="s">
        <v>5270</v>
      </c>
      <c r="J316" s="37"/>
    </row>
    <row r="317" customFormat="false" ht="15" hidden="false" customHeight="true" outlineLevel="0" collapsed="false">
      <c r="A317" s="37" t="s">
        <v>1728</v>
      </c>
      <c r="B317" s="37" t="s">
        <v>403</v>
      </c>
      <c r="C317" s="54" t="s">
        <v>1729</v>
      </c>
      <c r="D317" s="54" t="s">
        <v>5241</v>
      </c>
      <c r="E317" s="54" t="s">
        <v>5242</v>
      </c>
      <c r="F317" s="54" t="s">
        <v>5216</v>
      </c>
      <c r="G317" s="54" t="s">
        <v>5268</v>
      </c>
      <c r="H317" s="37" t="s">
        <v>5269</v>
      </c>
      <c r="I317" s="54" t="s">
        <v>5270</v>
      </c>
      <c r="J317" s="37"/>
    </row>
    <row r="318" customFormat="false" ht="15" hidden="false" customHeight="true" outlineLevel="0" collapsed="false">
      <c r="A318" s="37" t="s">
        <v>1731</v>
      </c>
      <c r="B318" s="37" t="s">
        <v>403</v>
      </c>
      <c r="C318" s="54" t="s">
        <v>1732</v>
      </c>
      <c r="D318" s="54" t="s">
        <v>5223</v>
      </c>
      <c r="E318" s="54" t="s">
        <v>5215</v>
      </c>
      <c r="F318" s="54" t="s">
        <v>5216</v>
      </c>
      <c r="G318" s="54" t="s">
        <v>5268</v>
      </c>
      <c r="H318" s="37" t="s">
        <v>5269</v>
      </c>
      <c r="I318" s="54" t="s">
        <v>5270</v>
      </c>
      <c r="J318" s="37"/>
    </row>
    <row r="319" customFormat="false" ht="15" hidden="false" customHeight="true" outlineLevel="0" collapsed="false">
      <c r="A319" s="37" t="s">
        <v>623</v>
      </c>
      <c r="B319" s="37" t="s">
        <v>412</v>
      </c>
      <c r="C319" s="54" t="s">
        <v>624</v>
      </c>
      <c r="D319" s="54" t="s">
        <v>5289</v>
      </c>
      <c r="E319" s="54" t="s">
        <v>5290</v>
      </c>
      <c r="F319" s="54" t="s">
        <v>5216</v>
      </c>
      <c r="G319" s="54" t="s">
        <v>5291</v>
      </c>
      <c r="H319" s="37" t="s">
        <v>5292</v>
      </c>
      <c r="I319" s="54" t="s">
        <v>5293</v>
      </c>
      <c r="J319" s="37"/>
    </row>
    <row r="320" customFormat="false" ht="15" hidden="false" customHeight="true" outlineLevel="0" collapsed="false">
      <c r="A320" s="37" t="s">
        <v>628</v>
      </c>
      <c r="B320" s="37" t="s">
        <v>412</v>
      </c>
      <c r="C320" s="54" t="s">
        <v>629</v>
      </c>
      <c r="D320" s="54" t="s">
        <v>5289</v>
      </c>
      <c r="E320" s="54" t="s">
        <v>5290</v>
      </c>
      <c r="F320" s="54" t="s">
        <v>5216</v>
      </c>
      <c r="G320" s="54" t="s">
        <v>5291</v>
      </c>
      <c r="H320" s="37" t="s">
        <v>5292</v>
      </c>
      <c r="I320" s="54" t="s">
        <v>5293</v>
      </c>
      <c r="J320" s="54" t="s">
        <v>5294</v>
      </c>
    </row>
    <row r="321" customFormat="false" ht="15" hidden="false" customHeight="true" outlineLevel="0" collapsed="false">
      <c r="A321" s="37" t="s">
        <v>631</v>
      </c>
      <c r="B321" s="37" t="s">
        <v>412</v>
      </c>
      <c r="C321" s="37" t="s">
        <v>632</v>
      </c>
      <c r="D321" s="54" t="s">
        <v>5289</v>
      </c>
      <c r="E321" s="54" t="s">
        <v>5290</v>
      </c>
      <c r="F321" s="54" t="s">
        <v>5216</v>
      </c>
      <c r="G321" s="54" t="s">
        <v>5291</v>
      </c>
      <c r="H321" s="37" t="s">
        <v>5292</v>
      </c>
      <c r="I321" s="54" t="s">
        <v>5293</v>
      </c>
      <c r="J321" s="37"/>
    </row>
    <row r="322" customFormat="false" ht="15" hidden="false" customHeight="true" outlineLevel="0" collapsed="false">
      <c r="A322" s="37" t="s">
        <v>634</v>
      </c>
      <c r="B322" s="37" t="s">
        <v>412</v>
      </c>
      <c r="C322" s="54" t="s">
        <v>635</v>
      </c>
      <c r="D322" s="54" t="s">
        <v>5295</v>
      </c>
      <c r="E322" s="54" t="s">
        <v>5296</v>
      </c>
      <c r="F322" s="54" t="s">
        <v>5240</v>
      </c>
      <c r="G322" s="54" t="s">
        <v>5291</v>
      </c>
      <c r="H322" s="37" t="s">
        <v>5292</v>
      </c>
      <c r="I322" s="54" t="s">
        <v>5293</v>
      </c>
      <c r="J322" s="37"/>
    </row>
    <row r="323" customFormat="false" ht="15" hidden="false" customHeight="true" outlineLevel="0" collapsed="false">
      <c r="A323" s="37" t="s">
        <v>637</v>
      </c>
      <c r="B323" s="37" t="s">
        <v>412</v>
      </c>
      <c r="C323" s="54" t="s">
        <v>638</v>
      </c>
      <c r="D323" s="54" t="s">
        <v>5289</v>
      </c>
      <c r="E323" s="54" t="s">
        <v>5290</v>
      </c>
      <c r="F323" s="54" t="s">
        <v>5216</v>
      </c>
      <c r="G323" s="54" t="s">
        <v>5291</v>
      </c>
      <c r="H323" s="37" t="s">
        <v>5292</v>
      </c>
      <c r="I323" s="54" t="s">
        <v>5293</v>
      </c>
      <c r="J323" s="37"/>
    </row>
    <row r="324" customFormat="false" ht="15" hidden="false" customHeight="true" outlineLevel="0" collapsed="false">
      <c r="A324" s="37" t="s">
        <v>640</v>
      </c>
      <c r="B324" s="37" t="s">
        <v>412</v>
      </c>
      <c r="C324" s="54" t="s">
        <v>641</v>
      </c>
      <c r="D324" s="54" t="s">
        <v>5295</v>
      </c>
      <c r="E324" s="54" t="s">
        <v>5296</v>
      </c>
      <c r="F324" s="54" t="s">
        <v>5240</v>
      </c>
      <c r="G324" s="54" t="s">
        <v>5291</v>
      </c>
      <c r="H324" s="37" t="s">
        <v>5292</v>
      </c>
      <c r="I324" s="54" t="s">
        <v>5293</v>
      </c>
      <c r="J324" s="37"/>
    </row>
    <row r="325" customFormat="false" ht="15" hidden="false" customHeight="true" outlineLevel="0" collapsed="false">
      <c r="A325" s="37" t="s">
        <v>643</v>
      </c>
      <c r="B325" s="37" t="s">
        <v>412</v>
      </c>
      <c r="C325" s="54" t="s">
        <v>644</v>
      </c>
      <c r="D325" s="54" t="s">
        <v>5295</v>
      </c>
      <c r="E325" s="54" t="s">
        <v>5296</v>
      </c>
      <c r="F325" s="54" t="s">
        <v>5240</v>
      </c>
      <c r="G325" s="54" t="s">
        <v>5291</v>
      </c>
      <c r="H325" s="37" t="s">
        <v>5292</v>
      </c>
      <c r="I325" s="54" t="s">
        <v>5293</v>
      </c>
      <c r="J325" s="37"/>
    </row>
    <row r="326" customFormat="false" ht="15" hidden="false" customHeight="true" outlineLevel="0" collapsed="false">
      <c r="A326" s="37" t="s">
        <v>646</v>
      </c>
      <c r="B326" s="37" t="s">
        <v>412</v>
      </c>
      <c r="C326" s="54" t="s">
        <v>647</v>
      </c>
      <c r="D326" s="54" t="s">
        <v>5295</v>
      </c>
      <c r="E326" s="54" t="s">
        <v>5296</v>
      </c>
      <c r="F326" s="54" t="s">
        <v>5240</v>
      </c>
      <c r="G326" s="54" t="s">
        <v>5291</v>
      </c>
      <c r="H326" s="37" t="s">
        <v>5292</v>
      </c>
      <c r="I326" s="54" t="s">
        <v>5293</v>
      </c>
      <c r="J326" s="37"/>
    </row>
    <row r="327" customFormat="false" ht="15" hidden="false" customHeight="true" outlineLevel="0" collapsed="false">
      <c r="A327" s="37" t="s">
        <v>650</v>
      </c>
      <c r="B327" s="37" t="s">
        <v>412</v>
      </c>
      <c r="C327" s="54" t="s">
        <v>651</v>
      </c>
      <c r="D327" s="54" t="s">
        <v>5297</v>
      </c>
      <c r="E327" s="54" t="s">
        <v>5298</v>
      </c>
      <c r="F327" s="54" t="s">
        <v>5216</v>
      </c>
      <c r="G327" s="54" t="s">
        <v>5291</v>
      </c>
      <c r="H327" s="37" t="s">
        <v>5292</v>
      </c>
      <c r="I327" s="54" t="s">
        <v>5293</v>
      </c>
      <c r="J327" s="37"/>
    </row>
    <row r="328" customFormat="false" ht="15" hidden="false" customHeight="true" outlineLevel="0" collapsed="false">
      <c r="A328" s="37" t="s">
        <v>654</v>
      </c>
      <c r="B328" s="37" t="s">
        <v>412</v>
      </c>
      <c r="C328" s="37" t="s">
        <v>655</v>
      </c>
      <c r="D328" s="54" t="s">
        <v>5295</v>
      </c>
      <c r="E328" s="54" t="s">
        <v>5296</v>
      </c>
      <c r="F328" s="54" t="s">
        <v>5240</v>
      </c>
      <c r="G328" s="54" t="s">
        <v>5291</v>
      </c>
      <c r="H328" s="37" t="s">
        <v>5292</v>
      </c>
      <c r="I328" s="54" t="s">
        <v>5293</v>
      </c>
      <c r="J328" s="37"/>
    </row>
    <row r="329" customFormat="false" ht="15" hidden="false" customHeight="true" outlineLevel="0" collapsed="false">
      <c r="A329" s="37" t="s">
        <v>658</v>
      </c>
      <c r="B329" s="37" t="s">
        <v>412</v>
      </c>
      <c r="C329" s="37" t="s">
        <v>659</v>
      </c>
      <c r="D329" s="54" t="s">
        <v>5295</v>
      </c>
      <c r="E329" s="54" t="s">
        <v>5296</v>
      </c>
      <c r="F329" s="54" t="s">
        <v>5240</v>
      </c>
      <c r="G329" s="54" t="s">
        <v>5291</v>
      </c>
      <c r="H329" s="37" t="s">
        <v>5292</v>
      </c>
      <c r="I329" s="54" t="s">
        <v>5293</v>
      </c>
      <c r="J329" s="37"/>
    </row>
    <row r="330" customFormat="false" ht="15" hidden="false" customHeight="true" outlineLevel="0" collapsed="false">
      <c r="A330" s="37" t="s">
        <v>661</v>
      </c>
      <c r="B330" s="37" t="s">
        <v>412</v>
      </c>
      <c r="C330" s="37" t="s">
        <v>662</v>
      </c>
      <c r="D330" s="54" t="s">
        <v>5295</v>
      </c>
      <c r="E330" s="54" t="s">
        <v>5296</v>
      </c>
      <c r="F330" s="54" t="s">
        <v>5240</v>
      </c>
      <c r="G330" s="54" t="s">
        <v>5291</v>
      </c>
      <c r="H330" s="37" t="s">
        <v>5292</v>
      </c>
      <c r="I330" s="54" t="s">
        <v>5293</v>
      </c>
      <c r="J330" s="37"/>
    </row>
    <row r="331" customFormat="false" ht="15" hidden="false" customHeight="true" outlineLevel="0" collapsed="false">
      <c r="A331" s="37" t="s">
        <v>664</v>
      </c>
      <c r="B331" s="37" t="s">
        <v>412</v>
      </c>
      <c r="C331" s="37" t="s">
        <v>665</v>
      </c>
      <c r="D331" s="54" t="s">
        <v>5295</v>
      </c>
      <c r="E331" s="54" t="s">
        <v>5296</v>
      </c>
      <c r="F331" s="54" t="s">
        <v>5240</v>
      </c>
      <c r="G331" s="54" t="s">
        <v>5291</v>
      </c>
      <c r="H331" s="37" t="s">
        <v>5292</v>
      </c>
      <c r="I331" s="54" t="s">
        <v>5293</v>
      </c>
      <c r="J331" s="37"/>
    </row>
    <row r="332" customFormat="false" ht="15" hidden="false" customHeight="true" outlineLevel="0" collapsed="false">
      <c r="A332" s="37" t="s">
        <v>668</v>
      </c>
      <c r="B332" s="37" t="s">
        <v>412</v>
      </c>
      <c r="C332" s="54" t="s">
        <v>669</v>
      </c>
      <c r="D332" s="54" t="s">
        <v>5299</v>
      </c>
      <c r="E332" s="54" t="s">
        <v>5300</v>
      </c>
      <c r="F332" s="54" t="s">
        <v>5216</v>
      </c>
      <c r="G332" s="54" t="s">
        <v>5291</v>
      </c>
      <c r="H332" s="37" t="s">
        <v>5292</v>
      </c>
      <c r="I332" s="54" t="s">
        <v>5293</v>
      </c>
      <c r="J332" s="37"/>
    </row>
    <row r="333" customFormat="false" ht="15" hidden="false" customHeight="true" outlineLevel="0" collapsed="false">
      <c r="A333" s="37" t="s">
        <v>671</v>
      </c>
      <c r="B333" s="37" t="s">
        <v>412</v>
      </c>
      <c r="C333" s="54" t="s">
        <v>672</v>
      </c>
      <c r="D333" s="54" t="s">
        <v>5295</v>
      </c>
      <c r="E333" s="54" t="s">
        <v>5296</v>
      </c>
      <c r="F333" s="54" t="s">
        <v>5240</v>
      </c>
      <c r="G333" s="54" t="s">
        <v>5291</v>
      </c>
      <c r="H333" s="37" t="s">
        <v>5292</v>
      </c>
      <c r="I333" s="54" t="s">
        <v>5293</v>
      </c>
      <c r="J333" s="54" t="s">
        <v>5301</v>
      </c>
    </row>
    <row r="334" customFormat="false" ht="15" hidden="false" customHeight="true" outlineLevel="0" collapsed="false">
      <c r="A334" s="37" t="s">
        <v>674</v>
      </c>
      <c r="B334" s="37" t="s">
        <v>412</v>
      </c>
      <c r="C334" s="37" t="s">
        <v>675</v>
      </c>
      <c r="D334" s="54" t="s">
        <v>5302</v>
      </c>
      <c r="E334" s="54" t="s">
        <v>5215</v>
      </c>
      <c r="F334" s="54" t="s">
        <v>5216</v>
      </c>
      <c r="G334" s="54" t="s">
        <v>5291</v>
      </c>
      <c r="H334" s="37" t="s">
        <v>5292</v>
      </c>
      <c r="I334" s="54" t="s">
        <v>5293</v>
      </c>
      <c r="J334" s="37"/>
    </row>
    <row r="335" customFormat="false" ht="15" hidden="false" customHeight="true" outlineLevel="0" collapsed="false">
      <c r="A335" s="37" t="s">
        <v>682</v>
      </c>
      <c r="B335" s="37" t="s">
        <v>412</v>
      </c>
      <c r="C335" s="54" t="s">
        <v>683</v>
      </c>
      <c r="D335" s="54" t="s">
        <v>4738</v>
      </c>
      <c r="E335" s="54" t="s">
        <v>5249</v>
      </c>
      <c r="F335" s="54" t="s">
        <v>4738</v>
      </c>
      <c r="G335" s="54" t="s">
        <v>5291</v>
      </c>
      <c r="H335" s="37" t="s">
        <v>5292</v>
      </c>
      <c r="I335" s="54" t="s">
        <v>5293</v>
      </c>
      <c r="J335" s="54" t="s">
        <v>5303</v>
      </c>
    </row>
    <row r="336" customFormat="false" ht="15" hidden="false" customHeight="true" outlineLevel="0" collapsed="false">
      <c r="A336" s="37" t="s">
        <v>685</v>
      </c>
      <c r="B336" s="37" t="s">
        <v>412</v>
      </c>
      <c r="C336" s="54" t="s">
        <v>686</v>
      </c>
      <c r="D336" s="54" t="s">
        <v>5304</v>
      </c>
      <c r="E336" s="54" t="s">
        <v>5215</v>
      </c>
      <c r="F336" s="54" t="s">
        <v>5216</v>
      </c>
      <c r="G336" s="54" t="s">
        <v>5291</v>
      </c>
      <c r="H336" s="37" t="s">
        <v>5292</v>
      </c>
      <c r="I336" s="54" t="s">
        <v>5293</v>
      </c>
      <c r="J336" s="37"/>
    </row>
    <row r="337" customFormat="false" ht="15" hidden="false" customHeight="true" outlineLevel="0" collapsed="false">
      <c r="A337" s="37" t="s">
        <v>689</v>
      </c>
      <c r="B337" s="37" t="s">
        <v>412</v>
      </c>
      <c r="C337" s="54" t="s">
        <v>690</v>
      </c>
      <c r="D337" s="54" t="s">
        <v>5289</v>
      </c>
      <c r="E337" s="54" t="s">
        <v>5290</v>
      </c>
      <c r="F337" s="54" t="s">
        <v>5216</v>
      </c>
      <c r="G337" s="54" t="s">
        <v>5291</v>
      </c>
      <c r="H337" s="37" t="s">
        <v>5292</v>
      </c>
      <c r="I337" s="54" t="s">
        <v>5293</v>
      </c>
      <c r="J337" s="37"/>
    </row>
    <row r="338" customFormat="false" ht="15" hidden="false" customHeight="true" outlineLevel="0" collapsed="false">
      <c r="A338" s="37" t="s">
        <v>692</v>
      </c>
      <c r="B338" s="37" t="s">
        <v>412</v>
      </c>
      <c r="C338" s="37" t="s">
        <v>693</v>
      </c>
      <c r="D338" s="54" t="s">
        <v>5289</v>
      </c>
      <c r="E338" s="54" t="s">
        <v>5290</v>
      </c>
      <c r="F338" s="54" t="s">
        <v>5216</v>
      </c>
      <c r="G338" s="54" t="s">
        <v>5291</v>
      </c>
      <c r="H338" s="37" t="s">
        <v>5292</v>
      </c>
      <c r="I338" s="54" t="s">
        <v>5293</v>
      </c>
      <c r="J338" s="37"/>
    </row>
    <row r="339" customFormat="false" ht="15" hidden="false" customHeight="true" outlineLevel="0" collapsed="false">
      <c r="A339" s="37" t="s">
        <v>695</v>
      </c>
      <c r="B339" s="37" t="s">
        <v>412</v>
      </c>
      <c r="C339" s="54" t="s">
        <v>696</v>
      </c>
      <c r="D339" s="54" t="s">
        <v>5289</v>
      </c>
      <c r="E339" s="54" t="s">
        <v>5290</v>
      </c>
      <c r="F339" s="54" t="s">
        <v>5216</v>
      </c>
      <c r="G339" s="54" t="s">
        <v>5291</v>
      </c>
      <c r="H339" s="37" t="s">
        <v>5292</v>
      </c>
      <c r="I339" s="54" t="s">
        <v>5293</v>
      </c>
      <c r="J339" s="37"/>
    </row>
    <row r="340" customFormat="false" ht="15" hidden="false" customHeight="true" outlineLevel="0" collapsed="false">
      <c r="A340" s="37" t="s">
        <v>699</v>
      </c>
      <c r="B340" s="37" t="s">
        <v>412</v>
      </c>
      <c r="C340" s="54" t="s">
        <v>700</v>
      </c>
      <c r="D340" s="54" t="s">
        <v>5289</v>
      </c>
      <c r="E340" s="54" t="s">
        <v>5290</v>
      </c>
      <c r="F340" s="54" t="s">
        <v>5216</v>
      </c>
      <c r="G340" s="54" t="s">
        <v>5291</v>
      </c>
      <c r="H340" s="37" t="s">
        <v>5292</v>
      </c>
      <c r="I340" s="54" t="s">
        <v>5293</v>
      </c>
      <c r="J340" s="37"/>
    </row>
    <row r="341" customFormat="false" ht="15" hidden="false" customHeight="true" outlineLevel="0" collapsed="false">
      <c r="A341" s="37" t="s">
        <v>703</v>
      </c>
      <c r="B341" s="37" t="s">
        <v>412</v>
      </c>
      <c r="C341" s="54" t="s">
        <v>704</v>
      </c>
      <c r="D341" s="54" t="s">
        <v>5289</v>
      </c>
      <c r="E341" s="54" t="s">
        <v>5290</v>
      </c>
      <c r="F341" s="54" t="s">
        <v>5216</v>
      </c>
      <c r="G341" s="54" t="s">
        <v>5291</v>
      </c>
      <c r="H341" s="37" t="s">
        <v>5292</v>
      </c>
      <c r="I341" s="54" t="s">
        <v>5293</v>
      </c>
      <c r="J341" s="37"/>
    </row>
    <row r="342" customFormat="false" ht="15" hidden="false" customHeight="true" outlineLevel="0" collapsed="false">
      <c r="A342" s="37" t="s">
        <v>706</v>
      </c>
      <c r="B342" s="37" t="s">
        <v>412</v>
      </c>
      <c r="C342" s="54" t="s">
        <v>707</v>
      </c>
      <c r="D342" s="54" t="s">
        <v>5280</v>
      </c>
      <c r="E342" s="54" t="s">
        <v>5281</v>
      </c>
      <c r="F342" s="54" t="s">
        <v>5216</v>
      </c>
      <c r="G342" s="54" t="s">
        <v>5291</v>
      </c>
      <c r="H342" s="37" t="s">
        <v>5292</v>
      </c>
      <c r="I342" s="54" t="s">
        <v>5293</v>
      </c>
      <c r="J342" s="37"/>
    </row>
    <row r="343" customFormat="false" ht="15" hidden="false" customHeight="true" outlineLevel="0" collapsed="false">
      <c r="A343" s="37" t="s">
        <v>709</v>
      </c>
      <c r="B343" s="37" t="s">
        <v>412</v>
      </c>
      <c r="C343" s="54" t="s">
        <v>710</v>
      </c>
      <c r="D343" s="54" t="s">
        <v>5305</v>
      </c>
      <c r="E343" s="54" t="s">
        <v>5306</v>
      </c>
      <c r="F343" s="54" t="s">
        <v>5216</v>
      </c>
      <c r="G343" s="54" t="s">
        <v>5291</v>
      </c>
      <c r="H343" s="37" t="s">
        <v>5292</v>
      </c>
      <c r="I343" s="54" t="s">
        <v>5293</v>
      </c>
      <c r="J343" s="37"/>
    </row>
    <row r="344" customFormat="false" ht="15" hidden="false" customHeight="true" outlineLevel="0" collapsed="false">
      <c r="A344" s="37" t="s">
        <v>713</v>
      </c>
      <c r="B344" s="37" t="s">
        <v>412</v>
      </c>
      <c r="C344" s="37" t="s">
        <v>714</v>
      </c>
      <c r="D344" s="54" t="s">
        <v>5289</v>
      </c>
      <c r="E344" s="54" t="s">
        <v>5290</v>
      </c>
      <c r="F344" s="54" t="s">
        <v>5216</v>
      </c>
      <c r="G344" s="54" t="s">
        <v>5291</v>
      </c>
      <c r="H344" s="37" t="s">
        <v>5292</v>
      </c>
      <c r="I344" s="54" t="s">
        <v>5293</v>
      </c>
      <c r="J344" s="37"/>
    </row>
    <row r="345" customFormat="false" ht="15" hidden="false" customHeight="true" outlineLevel="0" collapsed="false">
      <c r="A345" s="37" t="s">
        <v>718</v>
      </c>
      <c r="B345" s="37" t="s">
        <v>412</v>
      </c>
      <c r="C345" s="37" t="s">
        <v>719</v>
      </c>
      <c r="D345" s="54" t="s">
        <v>5289</v>
      </c>
      <c r="E345" s="54" t="s">
        <v>5290</v>
      </c>
      <c r="F345" s="54" t="s">
        <v>5216</v>
      </c>
      <c r="G345" s="54" t="s">
        <v>5291</v>
      </c>
      <c r="H345" s="37" t="s">
        <v>5292</v>
      </c>
      <c r="I345" s="54" t="s">
        <v>5293</v>
      </c>
      <c r="J345" s="37"/>
    </row>
    <row r="346" customFormat="false" ht="15" hidden="false" customHeight="true" outlineLevel="0" collapsed="false">
      <c r="A346" s="37" t="s">
        <v>722</v>
      </c>
      <c r="B346" s="37" t="s">
        <v>412</v>
      </c>
      <c r="C346" s="54" t="s">
        <v>723</v>
      </c>
      <c r="D346" s="54" t="s">
        <v>5289</v>
      </c>
      <c r="E346" s="54" t="s">
        <v>5290</v>
      </c>
      <c r="F346" s="54" t="s">
        <v>5216</v>
      </c>
      <c r="G346" s="54" t="s">
        <v>5291</v>
      </c>
      <c r="H346" s="37" t="s">
        <v>5292</v>
      </c>
      <c r="I346" s="54" t="s">
        <v>5293</v>
      </c>
      <c r="J346" s="37"/>
    </row>
    <row r="347" customFormat="false" ht="15" hidden="false" customHeight="true" outlineLevel="0" collapsed="false">
      <c r="A347" s="37" t="s">
        <v>727</v>
      </c>
      <c r="B347" s="37" t="s">
        <v>412</v>
      </c>
      <c r="C347" s="54" t="s">
        <v>728</v>
      </c>
      <c r="D347" s="54" t="s">
        <v>5289</v>
      </c>
      <c r="E347" s="54" t="s">
        <v>5290</v>
      </c>
      <c r="F347" s="54" t="s">
        <v>5216</v>
      </c>
      <c r="G347" s="54" t="s">
        <v>5291</v>
      </c>
      <c r="H347" s="37" t="s">
        <v>5292</v>
      </c>
      <c r="I347" s="54" t="s">
        <v>5293</v>
      </c>
      <c r="J347" s="37"/>
    </row>
    <row r="348" customFormat="false" ht="15" hidden="false" customHeight="true" outlineLevel="0" collapsed="false">
      <c r="A348" s="37" t="s">
        <v>730</v>
      </c>
      <c r="B348" s="37" t="s">
        <v>412</v>
      </c>
      <c r="C348" s="37" t="s">
        <v>731</v>
      </c>
      <c r="D348" s="54" t="s">
        <v>5289</v>
      </c>
      <c r="E348" s="54" t="s">
        <v>5290</v>
      </c>
      <c r="F348" s="54" t="s">
        <v>5216</v>
      </c>
      <c r="G348" s="54" t="s">
        <v>5291</v>
      </c>
      <c r="H348" s="37" t="s">
        <v>5292</v>
      </c>
      <c r="I348" s="54" t="s">
        <v>5293</v>
      </c>
      <c r="J348" s="37"/>
    </row>
    <row r="349" customFormat="false" ht="15" hidden="false" customHeight="true" outlineLevel="0" collapsed="false">
      <c r="A349" s="37" t="s">
        <v>736</v>
      </c>
      <c r="B349" s="37" t="s">
        <v>412</v>
      </c>
      <c r="C349" s="54" t="s">
        <v>737</v>
      </c>
      <c r="D349" s="54" t="s">
        <v>5289</v>
      </c>
      <c r="E349" s="54" t="s">
        <v>5290</v>
      </c>
      <c r="F349" s="54" t="s">
        <v>5216</v>
      </c>
      <c r="G349" s="54" t="s">
        <v>5291</v>
      </c>
      <c r="H349" s="37" t="s">
        <v>5292</v>
      </c>
      <c r="I349" s="54" t="s">
        <v>5293</v>
      </c>
      <c r="J349" s="37"/>
    </row>
    <row r="350" customFormat="false" ht="15" hidden="false" customHeight="true" outlineLevel="0" collapsed="false">
      <c r="A350" s="37" t="s">
        <v>739</v>
      </c>
      <c r="B350" s="37" t="s">
        <v>412</v>
      </c>
      <c r="C350" s="54" t="s">
        <v>740</v>
      </c>
      <c r="D350" s="54" t="s">
        <v>5307</v>
      </c>
      <c r="E350" s="54" t="s">
        <v>5221</v>
      </c>
      <c r="F350" s="54" t="s">
        <v>5216</v>
      </c>
      <c r="G350" s="54" t="s">
        <v>5291</v>
      </c>
      <c r="H350" s="37" t="s">
        <v>5292</v>
      </c>
      <c r="I350" s="54" t="s">
        <v>5293</v>
      </c>
      <c r="J350" s="37"/>
    </row>
    <row r="351" customFormat="false" ht="15" hidden="false" customHeight="true" outlineLevel="0" collapsed="false">
      <c r="A351" s="37" t="s">
        <v>1170</v>
      </c>
      <c r="B351" s="37" t="s">
        <v>427</v>
      </c>
      <c r="C351" s="54" t="s">
        <v>1171</v>
      </c>
      <c r="D351" s="54" t="s">
        <v>5308</v>
      </c>
      <c r="E351" s="54" t="s">
        <v>5309</v>
      </c>
      <c r="F351" s="54" t="s">
        <v>5240</v>
      </c>
      <c r="G351" s="54" t="s">
        <v>5310</v>
      </c>
      <c r="H351" s="37" t="s">
        <v>5292</v>
      </c>
      <c r="I351" s="54" t="s">
        <v>5311</v>
      </c>
      <c r="J351" s="37"/>
    </row>
    <row r="352" customFormat="false" ht="15" hidden="false" customHeight="true" outlineLevel="0" collapsed="false">
      <c r="A352" s="37" t="s">
        <v>1174</v>
      </c>
      <c r="B352" s="37" t="s">
        <v>427</v>
      </c>
      <c r="C352" s="54" t="s">
        <v>1175</v>
      </c>
      <c r="D352" s="54" t="s">
        <v>5308</v>
      </c>
      <c r="E352" s="54" t="s">
        <v>5309</v>
      </c>
      <c r="F352" s="54" t="s">
        <v>5240</v>
      </c>
      <c r="G352" s="54" t="s">
        <v>5310</v>
      </c>
      <c r="H352" s="37" t="s">
        <v>5292</v>
      </c>
      <c r="I352" s="54" t="s">
        <v>5311</v>
      </c>
      <c r="J352" s="37"/>
    </row>
    <row r="353" customFormat="false" ht="15" hidden="false" customHeight="true" outlineLevel="0" collapsed="false">
      <c r="A353" s="37" t="s">
        <v>1177</v>
      </c>
      <c r="B353" s="37" t="s">
        <v>427</v>
      </c>
      <c r="C353" s="54" t="s">
        <v>1178</v>
      </c>
      <c r="D353" s="54" t="s">
        <v>5308</v>
      </c>
      <c r="E353" s="54" t="s">
        <v>5309</v>
      </c>
      <c r="F353" s="54" t="s">
        <v>5240</v>
      </c>
      <c r="G353" s="54" t="s">
        <v>5310</v>
      </c>
      <c r="H353" s="37" t="s">
        <v>5292</v>
      </c>
      <c r="I353" s="54" t="s">
        <v>5311</v>
      </c>
      <c r="J353" s="37"/>
    </row>
    <row r="354" customFormat="false" ht="15" hidden="false" customHeight="true" outlineLevel="0" collapsed="false">
      <c r="A354" s="37" t="s">
        <v>1179</v>
      </c>
      <c r="B354" s="37" t="s">
        <v>427</v>
      </c>
      <c r="C354" s="54" t="s">
        <v>1180</v>
      </c>
      <c r="D354" s="54" t="s">
        <v>5308</v>
      </c>
      <c r="E354" s="54" t="s">
        <v>5309</v>
      </c>
      <c r="F354" s="54" t="s">
        <v>5240</v>
      </c>
      <c r="G354" s="54" t="s">
        <v>5310</v>
      </c>
      <c r="H354" s="37" t="s">
        <v>5292</v>
      </c>
      <c r="I354" s="54" t="s">
        <v>5311</v>
      </c>
      <c r="J354" s="37"/>
    </row>
    <row r="355" customFormat="false" ht="15" hidden="false" customHeight="true" outlineLevel="0" collapsed="false">
      <c r="A355" s="37" t="s">
        <v>1182</v>
      </c>
      <c r="B355" s="37" t="s">
        <v>427</v>
      </c>
      <c r="C355" s="54" t="s">
        <v>1183</v>
      </c>
      <c r="D355" s="54" t="s">
        <v>5308</v>
      </c>
      <c r="E355" s="54" t="s">
        <v>5309</v>
      </c>
      <c r="F355" s="54" t="s">
        <v>5240</v>
      </c>
      <c r="G355" s="54" t="s">
        <v>5310</v>
      </c>
      <c r="H355" s="37" t="s">
        <v>5292</v>
      </c>
      <c r="I355" s="54" t="s">
        <v>5311</v>
      </c>
      <c r="J355" s="37"/>
    </row>
    <row r="356" customFormat="false" ht="15" hidden="false" customHeight="true" outlineLevel="0" collapsed="false">
      <c r="A356" s="37" t="s">
        <v>1185</v>
      </c>
      <c r="B356" s="37" t="s">
        <v>427</v>
      </c>
      <c r="C356" s="54" t="s">
        <v>1186</v>
      </c>
      <c r="D356" s="54" t="s">
        <v>5308</v>
      </c>
      <c r="E356" s="54" t="s">
        <v>5309</v>
      </c>
      <c r="F356" s="54" t="s">
        <v>5240</v>
      </c>
      <c r="G356" s="54" t="s">
        <v>5310</v>
      </c>
      <c r="H356" s="37" t="s">
        <v>5292</v>
      </c>
      <c r="I356" s="54" t="s">
        <v>5311</v>
      </c>
      <c r="J356" s="37"/>
    </row>
    <row r="357" customFormat="false" ht="15" hidden="false" customHeight="true" outlineLevel="0" collapsed="false">
      <c r="A357" s="37" t="s">
        <v>1187</v>
      </c>
      <c r="B357" s="37" t="s">
        <v>427</v>
      </c>
      <c r="C357" s="54" t="s">
        <v>1188</v>
      </c>
      <c r="D357" s="54" t="s">
        <v>5308</v>
      </c>
      <c r="E357" s="54" t="s">
        <v>5309</v>
      </c>
      <c r="F357" s="54" t="s">
        <v>5240</v>
      </c>
      <c r="G357" s="54" t="s">
        <v>5310</v>
      </c>
      <c r="H357" s="37" t="s">
        <v>5292</v>
      </c>
      <c r="I357" s="54" t="s">
        <v>5311</v>
      </c>
      <c r="J357" s="37"/>
    </row>
    <row r="358" customFormat="false" ht="15" hidden="false" customHeight="true" outlineLevel="0" collapsed="false">
      <c r="A358" s="37" t="s">
        <v>1190</v>
      </c>
      <c r="B358" s="37" t="s">
        <v>427</v>
      </c>
      <c r="C358" s="54" t="s">
        <v>1191</v>
      </c>
      <c r="D358" s="54" t="s">
        <v>5308</v>
      </c>
      <c r="E358" s="54" t="s">
        <v>5309</v>
      </c>
      <c r="F358" s="54" t="s">
        <v>5240</v>
      </c>
      <c r="G358" s="54" t="s">
        <v>5310</v>
      </c>
      <c r="H358" s="37" t="s">
        <v>5292</v>
      </c>
      <c r="I358" s="54" t="s">
        <v>5311</v>
      </c>
      <c r="J358" s="37"/>
    </row>
    <row r="359" customFormat="false" ht="15" hidden="false" customHeight="true" outlineLevel="0" collapsed="false">
      <c r="A359" s="37" t="s">
        <v>1193</v>
      </c>
      <c r="B359" s="37" t="s">
        <v>427</v>
      </c>
      <c r="C359" s="54" t="s">
        <v>1194</v>
      </c>
      <c r="D359" s="54" t="s">
        <v>5308</v>
      </c>
      <c r="E359" s="54" t="s">
        <v>5309</v>
      </c>
      <c r="F359" s="54" t="s">
        <v>5240</v>
      </c>
      <c r="G359" s="54" t="s">
        <v>5310</v>
      </c>
      <c r="H359" s="37" t="s">
        <v>5292</v>
      </c>
      <c r="I359" s="54" t="s">
        <v>5311</v>
      </c>
      <c r="J359" s="37"/>
    </row>
    <row r="360" customFormat="false" ht="15" hidden="false" customHeight="true" outlineLevel="0" collapsed="false">
      <c r="A360" s="37" t="s">
        <v>1196</v>
      </c>
      <c r="B360" s="37" t="s">
        <v>427</v>
      </c>
      <c r="C360" s="54" t="s">
        <v>1197</v>
      </c>
      <c r="D360" s="54" t="s">
        <v>5308</v>
      </c>
      <c r="E360" s="54" t="s">
        <v>5309</v>
      </c>
      <c r="F360" s="54" t="s">
        <v>5240</v>
      </c>
      <c r="G360" s="54" t="s">
        <v>5310</v>
      </c>
      <c r="H360" s="37" t="s">
        <v>5292</v>
      </c>
      <c r="I360" s="54" t="s">
        <v>5311</v>
      </c>
      <c r="J360" s="37"/>
    </row>
    <row r="361" customFormat="false" ht="15" hidden="false" customHeight="true" outlineLevel="0" collapsed="false">
      <c r="A361" s="37" t="s">
        <v>1198</v>
      </c>
      <c r="B361" s="37" t="s">
        <v>427</v>
      </c>
      <c r="C361" s="54" t="s">
        <v>1199</v>
      </c>
      <c r="D361" s="54" t="s">
        <v>5308</v>
      </c>
      <c r="E361" s="54" t="s">
        <v>5309</v>
      </c>
      <c r="F361" s="54" t="s">
        <v>5240</v>
      </c>
      <c r="G361" s="54" t="s">
        <v>5310</v>
      </c>
      <c r="H361" s="37" t="s">
        <v>5292</v>
      </c>
      <c r="I361" s="54" t="s">
        <v>5311</v>
      </c>
      <c r="J361" s="37"/>
    </row>
    <row r="362" customFormat="false" ht="15" hidden="false" customHeight="true" outlineLevel="0" collapsed="false">
      <c r="A362" s="37" t="s">
        <v>1201</v>
      </c>
      <c r="B362" s="37" t="s">
        <v>427</v>
      </c>
      <c r="C362" s="54" t="s">
        <v>1202</v>
      </c>
      <c r="D362" s="54" t="s">
        <v>5308</v>
      </c>
      <c r="E362" s="54" t="s">
        <v>5309</v>
      </c>
      <c r="F362" s="54" t="s">
        <v>5240</v>
      </c>
      <c r="G362" s="54" t="s">
        <v>5310</v>
      </c>
      <c r="H362" s="37" t="s">
        <v>5292</v>
      </c>
      <c r="I362" s="54" t="s">
        <v>5311</v>
      </c>
      <c r="J362" s="37"/>
    </row>
    <row r="363" customFormat="false" ht="15" hidden="false" customHeight="true" outlineLevel="0" collapsed="false">
      <c r="A363" s="37" t="s">
        <v>1204</v>
      </c>
      <c r="B363" s="37" t="s">
        <v>427</v>
      </c>
      <c r="C363" s="54" t="s">
        <v>1205</v>
      </c>
      <c r="D363" s="54" t="s">
        <v>5308</v>
      </c>
      <c r="E363" s="54" t="s">
        <v>5309</v>
      </c>
      <c r="F363" s="54" t="s">
        <v>5240</v>
      </c>
      <c r="G363" s="54" t="s">
        <v>5310</v>
      </c>
      <c r="H363" s="37" t="s">
        <v>5292</v>
      </c>
      <c r="I363" s="54" t="s">
        <v>5311</v>
      </c>
      <c r="J363" s="37"/>
    </row>
    <row r="364" customFormat="false" ht="15" hidden="false" customHeight="true" outlineLevel="0" collapsed="false">
      <c r="A364" s="37" t="s">
        <v>1207</v>
      </c>
      <c r="B364" s="37" t="s">
        <v>427</v>
      </c>
      <c r="C364" s="54" t="s">
        <v>1208</v>
      </c>
      <c r="D364" s="54" t="s">
        <v>5308</v>
      </c>
      <c r="E364" s="54" t="s">
        <v>5309</v>
      </c>
      <c r="F364" s="54" t="s">
        <v>5240</v>
      </c>
      <c r="G364" s="54" t="s">
        <v>5310</v>
      </c>
      <c r="H364" s="37" t="s">
        <v>5292</v>
      </c>
      <c r="I364" s="54" t="s">
        <v>5311</v>
      </c>
      <c r="J364" s="37"/>
    </row>
    <row r="365" customFormat="false" ht="15" hidden="false" customHeight="true" outlineLevel="0" collapsed="false">
      <c r="A365" s="37" t="s">
        <v>1209</v>
      </c>
      <c r="B365" s="37" t="s">
        <v>427</v>
      </c>
      <c r="C365" s="54" t="s">
        <v>1210</v>
      </c>
      <c r="D365" s="54" t="s">
        <v>5308</v>
      </c>
      <c r="E365" s="54" t="s">
        <v>5309</v>
      </c>
      <c r="F365" s="54" t="s">
        <v>5240</v>
      </c>
      <c r="G365" s="54" t="s">
        <v>5310</v>
      </c>
      <c r="H365" s="37" t="s">
        <v>5292</v>
      </c>
      <c r="I365" s="54" t="s">
        <v>5311</v>
      </c>
      <c r="J365" s="37"/>
    </row>
    <row r="366" customFormat="false" ht="15" hidden="false" customHeight="true" outlineLevel="0" collapsed="false">
      <c r="A366" s="37" t="s">
        <v>1211</v>
      </c>
      <c r="B366" s="37" t="s">
        <v>427</v>
      </c>
      <c r="C366" s="54" t="s">
        <v>1212</v>
      </c>
      <c r="D366" s="54" t="s">
        <v>5308</v>
      </c>
      <c r="E366" s="54" t="s">
        <v>5309</v>
      </c>
      <c r="F366" s="54" t="s">
        <v>5240</v>
      </c>
      <c r="G366" s="54" t="s">
        <v>5310</v>
      </c>
      <c r="H366" s="37" t="s">
        <v>5292</v>
      </c>
      <c r="I366" s="54" t="s">
        <v>5311</v>
      </c>
      <c r="J366" s="37"/>
    </row>
    <row r="367" customFormat="false" ht="15" hidden="false" customHeight="true" outlineLevel="0" collapsed="false">
      <c r="A367" s="37" t="s">
        <v>1213</v>
      </c>
      <c r="B367" s="37" t="s">
        <v>427</v>
      </c>
      <c r="C367" s="54" t="s">
        <v>1214</v>
      </c>
      <c r="D367" s="54" t="s">
        <v>5243</v>
      </c>
      <c r="E367" s="54" t="s">
        <v>5244</v>
      </c>
      <c r="F367" s="54" t="s">
        <v>5216</v>
      </c>
      <c r="G367" s="54" t="s">
        <v>5310</v>
      </c>
      <c r="H367" s="37" t="s">
        <v>5292</v>
      </c>
      <c r="I367" s="54" t="s">
        <v>5311</v>
      </c>
      <c r="J367" s="37"/>
    </row>
    <row r="368" customFormat="false" ht="15" hidden="false" customHeight="true" outlineLevel="0" collapsed="false">
      <c r="A368" s="37" t="s">
        <v>1219</v>
      </c>
      <c r="B368" s="37" t="s">
        <v>427</v>
      </c>
      <c r="C368" s="54" t="s">
        <v>1220</v>
      </c>
      <c r="D368" s="54" t="s">
        <v>5312</v>
      </c>
      <c r="E368" s="54" t="s">
        <v>5313</v>
      </c>
      <c r="F368" s="54" t="s">
        <v>5216</v>
      </c>
      <c r="G368" s="54" t="s">
        <v>5310</v>
      </c>
      <c r="H368" s="37" t="s">
        <v>5292</v>
      </c>
      <c r="I368" s="54" t="s">
        <v>5311</v>
      </c>
      <c r="J368" s="37"/>
    </row>
    <row r="369" customFormat="false" ht="15" hidden="false" customHeight="true" outlineLevel="0" collapsed="false">
      <c r="A369" s="37" t="s">
        <v>1222</v>
      </c>
      <c r="B369" s="37" t="s">
        <v>427</v>
      </c>
      <c r="C369" s="54" t="s">
        <v>1223</v>
      </c>
      <c r="D369" s="54" t="s">
        <v>5312</v>
      </c>
      <c r="E369" s="54" t="s">
        <v>5313</v>
      </c>
      <c r="F369" s="54" t="s">
        <v>5216</v>
      </c>
      <c r="G369" s="54" t="s">
        <v>5310</v>
      </c>
      <c r="H369" s="37" t="s">
        <v>5292</v>
      </c>
      <c r="I369" s="54" t="s">
        <v>5311</v>
      </c>
      <c r="J369" s="37"/>
    </row>
    <row r="370" customFormat="false" ht="15" hidden="false" customHeight="true" outlineLevel="0" collapsed="false">
      <c r="A370" s="37" t="s">
        <v>1225</v>
      </c>
      <c r="B370" s="37" t="s">
        <v>427</v>
      </c>
      <c r="C370" s="54" t="s">
        <v>1226</v>
      </c>
      <c r="D370" s="54" t="s">
        <v>5308</v>
      </c>
      <c r="E370" s="54" t="s">
        <v>5309</v>
      </c>
      <c r="F370" s="54" t="s">
        <v>5240</v>
      </c>
      <c r="G370" s="54" t="s">
        <v>5310</v>
      </c>
      <c r="H370" s="37" t="s">
        <v>5292</v>
      </c>
      <c r="I370" s="54" t="s">
        <v>5311</v>
      </c>
      <c r="J370" s="37"/>
    </row>
    <row r="371" customFormat="false" ht="15" hidden="false" customHeight="true" outlineLevel="0" collapsed="false">
      <c r="A371" s="37" t="s">
        <v>1228</v>
      </c>
      <c r="B371" s="37" t="s">
        <v>427</v>
      </c>
      <c r="C371" s="54" t="s">
        <v>1229</v>
      </c>
      <c r="D371" s="54" t="s">
        <v>5308</v>
      </c>
      <c r="E371" s="54" t="s">
        <v>5309</v>
      </c>
      <c r="F371" s="54" t="s">
        <v>5240</v>
      </c>
      <c r="G371" s="54" t="s">
        <v>5310</v>
      </c>
      <c r="H371" s="37" t="s">
        <v>5292</v>
      </c>
      <c r="I371" s="54" t="s">
        <v>5311</v>
      </c>
      <c r="J371" s="37"/>
    </row>
    <row r="372" customFormat="false" ht="15" hidden="false" customHeight="true" outlineLevel="0" collapsed="false">
      <c r="A372" s="37" t="s">
        <v>1233</v>
      </c>
      <c r="B372" s="37" t="s">
        <v>427</v>
      </c>
      <c r="C372" s="54" t="s">
        <v>1234</v>
      </c>
      <c r="D372" s="54" t="s">
        <v>5308</v>
      </c>
      <c r="E372" s="54" t="s">
        <v>5309</v>
      </c>
      <c r="F372" s="54" t="s">
        <v>5240</v>
      </c>
      <c r="G372" s="54" t="s">
        <v>5310</v>
      </c>
      <c r="H372" s="37" t="s">
        <v>5292</v>
      </c>
      <c r="I372" s="54" t="s">
        <v>5311</v>
      </c>
      <c r="J372" s="37"/>
    </row>
    <row r="373" customFormat="false" ht="15" hidden="false" customHeight="true" outlineLevel="0" collapsed="false">
      <c r="A373" s="37" t="s">
        <v>1236</v>
      </c>
      <c r="B373" s="37" t="s">
        <v>427</v>
      </c>
      <c r="C373" s="54" t="s">
        <v>1237</v>
      </c>
      <c r="D373" s="54" t="s">
        <v>5314</v>
      </c>
      <c r="E373" s="54" t="s">
        <v>5315</v>
      </c>
      <c r="F373" s="54" t="s">
        <v>5216</v>
      </c>
      <c r="G373" s="54" t="s">
        <v>5310</v>
      </c>
      <c r="H373" s="37" t="s">
        <v>5292</v>
      </c>
      <c r="I373" s="54" t="s">
        <v>5311</v>
      </c>
      <c r="J373" s="54" t="s">
        <v>5316</v>
      </c>
    </row>
    <row r="374" customFormat="false" ht="15" hidden="false" customHeight="true" outlineLevel="0" collapsed="false">
      <c r="A374" s="37" t="s">
        <v>1239</v>
      </c>
      <c r="B374" s="37" t="s">
        <v>427</v>
      </c>
      <c r="C374" s="54" t="s">
        <v>1240</v>
      </c>
      <c r="D374" s="54" t="s">
        <v>5317</v>
      </c>
      <c r="E374" s="54" t="s">
        <v>5215</v>
      </c>
      <c r="F374" s="54" t="s">
        <v>5216</v>
      </c>
      <c r="G374" s="54" t="s">
        <v>5310</v>
      </c>
      <c r="H374" s="37" t="s">
        <v>5292</v>
      </c>
      <c r="I374" s="54" t="s">
        <v>5311</v>
      </c>
      <c r="J374" s="37"/>
    </row>
    <row r="375" customFormat="false" ht="15" hidden="false" customHeight="true" outlineLevel="0" collapsed="false">
      <c r="A375" s="37" t="s">
        <v>1243</v>
      </c>
      <c r="B375" s="37" t="s">
        <v>427</v>
      </c>
      <c r="C375" s="54" t="s">
        <v>1244</v>
      </c>
      <c r="D375" s="54" t="s">
        <v>5318</v>
      </c>
      <c r="E375" s="54" t="s">
        <v>5227</v>
      </c>
      <c r="F375" s="54" t="s">
        <v>5216</v>
      </c>
      <c r="G375" s="54" t="s">
        <v>5310</v>
      </c>
      <c r="H375" s="37" t="s">
        <v>5292</v>
      </c>
      <c r="I375" s="54" t="s">
        <v>5311</v>
      </c>
      <c r="J375" s="37"/>
    </row>
    <row r="376" customFormat="false" ht="15" hidden="false" customHeight="true" outlineLevel="0" collapsed="false">
      <c r="A376" s="37" t="s">
        <v>1245</v>
      </c>
      <c r="B376" s="37" t="s">
        <v>427</v>
      </c>
      <c r="C376" s="54" t="s">
        <v>1246</v>
      </c>
      <c r="D376" s="54" t="s">
        <v>5317</v>
      </c>
      <c r="E376" s="54" t="s">
        <v>5215</v>
      </c>
      <c r="F376" s="54" t="s">
        <v>5216</v>
      </c>
      <c r="G376" s="54" t="s">
        <v>5310</v>
      </c>
      <c r="H376" s="37" t="s">
        <v>5292</v>
      </c>
      <c r="I376" s="54" t="s">
        <v>5311</v>
      </c>
      <c r="J376" s="37"/>
    </row>
    <row r="377" customFormat="false" ht="15" hidden="false" customHeight="true" outlineLevel="0" collapsed="false">
      <c r="A377" s="37" t="s">
        <v>1248</v>
      </c>
      <c r="B377" s="37" t="s">
        <v>427</v>
      </c>
      <c r="C377" s="54" t="s">
        <v>1249</v>
      </c>
      <c r="D377" s="54" t="s">
        <v>5317</v>
      </c>
      <c r="E377" s="54" t="s">
        <v>5215</v>
      </c>
      <c r="F377" s="54" t="s">
        <v>5216</v>
      </c>
      <c r="G377" s="54" t="s">
        <v>5310</v>
      </c>
      <c r="H377" s="37" t="s">
        <v>5292</v>
      </c>
      <c r="I377" s="54" t="s">
        <v>5311</v>
      </c>
      <c r="J377" s="37"/>
    </row>
    <row r="378" customFormat="false" ht="15" hidden="false" customHeight="true" outlineLevel="0" collapsed="false">
      <c r="A378" s="37" t="s">
        <v>1251</v>
      </c>
      <c r="B378" s="37" t="s">
        <v>427</v>
      </c>
      <c r="C378" s="54" t="s">
        <v>1252</v>
      </c>
      <c r="D378" s="54" t="s">
        <v>5317</v>
      </c>
      <c r="E378" s="54" t="s">
        <v>5215</v>
      </c>
      <c r="F378" s="54" t="s">
        <v>5216</v>
      </c>
      <c r="G378" s="54" t="s">
        <v>5310</v>
      </c>
      <c r="H378" s="37" t="s">
        <v>5292</v>
      </c>
      <c r="I378" s="54" t="s">
        <v>5311</v>
      </c>
      <c r="J378" s="37"/>
    </row>
    <row r="379" customFormat="false" ht="15" hidden="false" customHeight="true" outlineLevel="0" collapsed="false">
      <c r="A379" s="37" t="s">
        <v>1253</v>
      </c>
      <c r="B379" s="37" t="s">
        <v>427</v>
      </c>
      <c r="C379" s="54" t="s">
        <v>1254</v>
      </c>
      <c r="D379" s="54" t="s">
        <v>5317</v>
      </c>
      <c r="E379" s="54" t="s">
        <v>5215</v>
      </c>
      <c r="F379" s="54" t="s">
        <v>5216</v>
      </c>
      <c r="G379" s="54" t="s">
        <v>5310</v>
      </c>
      <c r="H379" s="37" t="s">
        <v>5292</v>
      </c>
      <c r="I379" s="54" t="s">
        <v>5311</v>
      </c>
      <c r="J379" s="37"/>
    </row>
    <row r="380" customFormat="false" ht="15" hidden="false" customHeight="true" outlineLevel="0" collapsed="false">
      <c r="A380" s="37" t="s">
        <v>1255</v>
      </c>
      <c r="B380" s="37" t="s">
        <v>427</v>
      </c>
      <c r="C380" s="54" t="s">
        <v>1256</v>
      </c>
      <c r="D380" s="54" t="s">
        <v>5308</v>
      </c>
      <c r="E380" s="54" t="s">
        <v>5309</v>
      </c>
      <c r="F380" s="54" t="s">
        <v>5240</v>
      </c>
      <c r="G380" s="54" t="s">
        <v>5310</v>
      </c>
      <c r="H380" s="37" t="s">
        <v>5292</v>
      </c>
      <c r="I380" s="54" t="s">
        <v>5311</v>
      </c>
      <c r="J380" s="37"/>
    </row>
    <row r="381" customFormat="false" ht="15" hidden="false" customHeight="true" outlineLevel="0" collapsed="false">
      <c r="A381" s="37" t="s">
        <v>1258</v>
      </c>
      <c r="B381" s="37" t="s">
        <v>427</v>
      </c>
      <c r="C381" s="54" t="s">
        <v>1259</v>
      </c>
      <c r="D381" s="54" t="s">
        <v>5226</v>
      </c>
      <c r="E381" s="54" t="s">
        <v>5227</v>
      </c>
      <c r="F381" s="54" t="s">
        <v>5216</v>
      </c>
      <c r="G381" s="54" t="s">
        <v>5310</v>
      </c>
      <c r="H381" s="37" t="s">
        <v>5292</v>
      </c>
      <c r="I381" s="54" t="s">
        <v>5311</v>
      </c>
      <c r="J381" s="37"/>
    </row>
    <row r="382" customFormat="false" ht="15" hidden="false" customHeight="true" outlineLevel="0" collapsed="false">
      <c r="A382" s="37" t="s">
        <v>1266</v>
      </c>
      <c r="B382" s="37" t="s">
        <v>427</v>
      </c>
      <c r="C382" s="54" t="s">
        <v>1267</v>
      </c>
      <c r="D382" s="54" t="s">
        <v>5312</v>
      </c>
      <c r="E382" s="54" t="s">
        <v>5313</v>
      </c>
      <c r="F382" s="54" t="s">
        <v>5216</v>
      </c>
      <c r="G382" s="54" t="s">
        <v>5310</v>
      </c>
      <c r="H382" s="37" t="s">
        <v>5292</v>
      </c>
      <c r="I382" s="54" t="s">
        <v>5311</v>
      </c>
      <c r="J382" s="37"/>
    </row>
    <row r="383" customFormat="false" ht="15" hidden="false" customHeight="true" outlineLevel="0" collapsed="false">
      <c r="A383" s="37" t="s">
        <v>1269</v>
      </c>
      <c r="B383" s="37" t="s">
        <v>427</v>
      </c>
      <c r="C383" s="54" t="s">
        <v>1270</v>
      </c>
      <c r="D383" s="54" t="s">
        <v>5312</v>
      </c>
      <c r="E383" s="54" t="s">
        <v>5313</v>
      </c>
      <c r="F383" s="54" t="s">
        <v>5216</v>
      </c>
      <c r="G383" s="54" t="s">
        <v>5310</v>
      </c>
      <c r="H383" s="37" t="s">
        <v>5292</v>
      </c>
      <c r="I383" s="54" t="s">
        <v>5311</v>
      </c>
      <c r="J383" s="37"/>
    </row>
    <row r="384" customFormat="false" ht="15" hidden="false" customHeight="true" outlineLevel="0" collapsed="false">
      <c r="A384" s="37" t="s">
        <v>1272</v>
      </c>
      <c r="B384" s="37" t="s">
        <v>427</v>
      </c>
      <c r="C384" s="54" t="s">
        <v>1273</v>
      </c>
      <c r="D384" s="54" t="s">
        <v>5308</v>
      </c>
      <c r="E384" s="54" t="s">
        <v>5309</v>
      </c>
      <c r="F384" s="54" t="s">
        <v>5240</v>
      </c>
      <c r="G384" s="54" t="s">
        <v>5310</v>
      </c>
      <c r="H384" s="37" t="s">
        <v>5292</v>
      </c>
      <c r="I384" s="54" t="s">
        <v>5311</v>
      </c>
      <c r="J384" s="37"/>
    </row>
    <row r="385" customFormat="false" ht="15" hidden="false" customHeight="true" outlineLevel="0" collapsed="false">
      <c r="A385" s="37" t="s">
        <v>1275</v>
      </c>
      <c r="B385" s="37" t="s">
        <v>427</v>
      </c>
      <c r="C385" s="54" t="s">
        <v>1276</v>
      </c>
      <c r="D385" s="54" t="s">
        <v>5319</v>
      </c>
      <c r="E385" s="54" t="s">
        <v>5320</v>
      </c>
      <c r="F385" s="54" t="s">
        <v>5216</v>
      </c>
      <c r="G385" s="54" t="s">
        <v>5310</v>
      </c>
      <c r="H385" s="37" t="s">
        <v>5292</v>
      </c>
      <c r="I385" s="54" t="s">
        <v>5311</v>
      </c>
      <c r="J385" s="37"/>
    </row>
    <row r="386" customFormat="false" ht="15" hidden="false" customHeight="true" outlineLevel="0" collapsed="false">
      <c r="A386" s="37" t="s">
        <v>1278</v>
      </c>
      <c r="B386" s="37" t="s">
        <v>427</v>
      </c>
      <c r="C386" s="54" t="s">
        <v>1279</v>
      </c>
      <c r="D386" s="54" t="s">
        <v>5308</v>
      </c>
      <c r="E386" s="54" t="s">
        <v>5309</v>
      </c>
      <c r="F386" s="54" t="s">
        <v>5240</v>
      </c>
      <c r="G386" s="54" t="s">
        <v>5310</v>
      </c>
      <c r="H386" s="37" t="s">
        <v>5292</v>
      </c>
      <c r="I386" s="54" t="s">
        <v>5311</v>
      </c>
      <c r="J386" s="37"/>
    </row>
    <row r="387" customFormat="false" ht="15" hidden="false" customHeight="true" outlineLevel="0" collapsed="false">
      <c r="A387" s="37" t="s">
        <v>1280</v>
      </c>
      <c r="B387" s="37" t="s">
        <v>427</v>
      </c>
      <c r="C387" s="54" t="s">
        <v>1281</v>
      </c>
      <c r="D387" s="54" t="s">
        <v>5308</v>
      </c>
      <c r="E387" s="54" t="s">
        <v>5309</v>
      </c>
      <c r="F387" s="54" t="s">
        <v>5240</v>
      </c>
      <c r="G387" s="54" t="s">
        <v>5310</v>
      </c>
      <c r="H387" s="37" t="s">
        <v>5292</v>
      </c>
      <c r="I387" s="54" t="s">
        <v>5311</v>
      </c>
      <c r="J387" s="37"/>
    </row>
    <row r="388" customFormat="false" ht="15" hidden="false" customHeight="true" outlineLevel="0" collapsed="false">
      <c r="A388" s="37" t="s">
        <v>1283</v>
      </c>
      <c r="B388" s="37" t="s">
        <v>427</v>
      </c>
      <c r="C388" s="54" t="s">
        <v>1284</v>
      </c>
      <c r="D388" s="54" t="s">
        <v>5308</v>
      </c>
      <c r="E388" s="54" t="s">
        <v>5309</v>
      </c>
      <c r="F388" s="54" t="s">
        <v>5240</v>
      </c>
      <c r="G388" s="54" t="s">
        <v>5310</v>
      </c>
      <c r="H388" s="37" t="s">
        <v>5292</v>
      </c>
      <c r="I388" s="54" t="s">
        <v>5311</v>
      </c>
      <c r="J388" s="37"/>
    </row>
    <row r="389" customFormat="false" ht="15" hidden="false" customHeight="true" outlineLevel="0" collapsed="false">
      <c r="A389" s="37" t="s">
        <v>1285</v>
      </c>
      <c r="B389" s="37" t="s">
        <v>427</v>
      </c>
      <c r="C389" s="54" t="s">
        <v>1286</v>
      </c>
      <c r="D389" s="54" t="s">
        <v>5308</v>
      </c>
      <c r="E389" s="54" t="s">
        <v>5309</v>
      </c>
      <c r="F389" s="54" t="s">
        <v>5240</v>
      </c>
      <c r="G389" s="54" t="s">
        <v>5310</v>
      </c>
      <c r="H389" s="37" t="s">
        <v>5292</v>
      </c>
      <c r="I389" s="54" t="s">
        <v>5311</v>
      </c>
      <c r="J389" s="37"/>
    </row>
    <row r="390" customFormat="false" ht="15" hidden="false" customHeight="true" outlineLevel="0" collapsed="false">
      <c r="A390" s="37" t="s">
        <v>1287</v>
      </c>
      <c r="B390" s="37" t="s">
        <v>427</v>
      </c>
      <c r="C390" s="54" t="s">
        <v>1288</v>
      </c>
      <c r="D390" s="54" t="s">
        <v>5319</v>
      </c>
      <c r="E390" s="54" t="s">
        <v>5320</v>
      </c>
      <c r="F390" s="54" t="s">
        <v>5216</v>
      </c>
      <c r="G390" s="54" t="s">
        <v>5310</v>
      </c>
      <c r="H390" s="37" t="s">
        <v>5292</v>
      </c>
      <c r="I390" s="54" t="s">
        <v>5311</v>
      </c>
      <c r="J390" s="37"/>
    </row>
    <row r="391" customFormat="false" ht="15" hidden="false" customHeight="true" outlineLevel="0" collapsed="false">
      <c r="A391" s="37" t="s">
        <v>1290</v>
      </c>
      <c r="B391" s="37" t="s">
        <v>427</v>
      </c>
      <c r="C391" s="54" t="s">
        <v>1291</v>
      </c>
      <c r="D391" s="54" t="s">
        <v>5308</v>
      </c>
      <c r="E391" s="54" t="s">
        <v>5309</v>
      </c>
      <c r="F391" s="54" t="s">
        <v>5240</v>
      </c>
      <c r="G391" s="54" t="s">
        <v>5310</v>
      </c>
      <c r="H391" s="37" t="s">
        <v>5292</v>
      </c>
      <c r="I391" s="54" t="s">
        <v>5311</v>
      </c>
      <c r="J391" s="37"/>
    </row>
    <row r="392" customFormat="false" ht="15" hidden="false" customHeight="true" outlineLevel="0" collapsed="false">
      <c r="A392" s="37" t="s">
        <v>1293</v>
      </c>
      <c r="B392" s="37" t="s">
        <v>427</v>
      </c>
      <c r="C392" s="54" t="s">
        <v>1294</v>
      </c>
      <c r="D392" s="54" t="s">
        <v>5317</v>
      </c>
      <c r="E392" s="54" t="s">
        <v>5215</v>
      </c>
      <c r="F392" s="54" t="s">
        <v>5216</v>
      </c>
      <c r="G392" s="54" t="s">
        <v>5310</v>
      </c>
      <c r="H392" s="37" t="s">
        <v>5292</v>
      </c>
      <c r="I392" s="54" t="s">
        <v>5311</v>
      </c>
      <c r="J392" s="37"/>
    </row>
    <row r="393" customFormat="false" ht="15" hidden="false" customHeight="true" outlineLevel="0" collapsed="false">
      <c r="A393" s="37" t="s">
        <v>1297</v>
      </c>
      <c r="B393" s="37" t="s">
        <v>427</v>
      </c>
      <c r="C393" s="54" t="s">
        <v>1298</v>
      </c>
      <c r="D393" s="54" t="s">
        <v>5317</v>
      </c>
      <c r="E393" s="54" t="s">
        <v>5215</v>
      </c>
      <c r="F393" s="54" t="s">
        <v>5216</v>
      </c>
      <c r="G393" s="54" t="s">
        <v>5310</v>
      </c>
      <c r="H393" s="37" t="s">
        <v>5292</v>
      </c>
      <c r="I393" s="54" t="s">
        <v>5311</v>
      </c>
      <c r="J393" s="37"/>
    </row>
    <row r="394" customFormat="false" ht="15" hidden="false" customHeight="true" outlineLevel="0" collapsed="false">
      <c r="A394" s="37" t="s">
        <v>1300</v>
      </c>
      <c r="B394" s="37" t="s">
        <v>427</v>
      </c>
      <c r="C394" s="54" t="s">
        <v>1301</v>
      </c>
      <c r="D394" s="54" t="s">
        <v>5317</v>
      </c>
      <c r="E394" s="54" t="s">
        <v>5215</v>
      </c>
      <c r="F394" s="54" t="s">
        <v>5216</v>
      </c>
      <c r="G394" s="54" t="s">
        <v>5310</v>
      </c>
      <c r="H394" s="37" t="s">
        <v>5292</v>
      </c>
      <c r="I394" s="54" t="s">
        <v>5311</v>
      </c>
      <c r="J394" s="37"/>
    </row>
    <row r="395" customFormat="false" ht="15" hidden="false" customHeight="true" outlineLevel="0" collapsed="false">
      <c r="A395" s="37" t="s">
        <v>1303</v>
      </c>
      <c r="B395" s="37" t="s">
        <v>427</v>
      </c>
      <c r="C395" s="54" t="s">
        <v>1304</v>
      </c>
      <c r="D395" s="54" t="s">
        <v>5321</v>
      </c>
      <c r="E395" s="54" t="s">
        <v>5313</v>
      </c>
      <c r="F395" s="54" t="s">
        <v>5216</v>
      </c>
      <c r="G395" s="54" t="s">
        <v>5310</v>
      </c>
      <c r="H395" s="37" t="s">
        <v>5292</v>
      </c>
      <c r="I395" s="54" t="s">
        <v>5311</v>
      </c>
      <c r="J395" s="37"/>
    </row>
    <row r="396" customFormat="false" ht="15" hidden="false" customHeight="true" outlineLevel="0" collapsed="false">
      <c r="A396" s="37" t="s">
        <v>1305</v>
      </c>
      <c r="B396" s="37" t="s">
        <v>427</v>
      </c>
      <c r="C396" s="54" t="s">
        <v>1306</v>
      </c>
      <c r="D396" s="54" t="s">
        <v>5308</v>
      </c>
      <c r="E396" s="54" t="s">
        <v>5309</v>
      </c>
      <c r="F396" s="54" t="s">
        <v>5240</v>
      </c>
      <c r="G396" s="54" t="s">
        <v>5310</v>
      </c>
      <c r="H396" s="37" t="s">
        <v>5292</v>
      </c>
      <c r="I396" s="54" t="s">
        <v>5311</v>
      </c>
      <c r="J396" s="37"/>
    </row>
    <row r="397" customFormat="false" ht="15" hidden="false" customHeight="true" outlineLevel="0" collapsed="false">
      <c r="A397" s="37" t="s">
        <v>1308</v>
      </c>
      <c r="B397" s="37" t="s">
        <v>427</v>
      </c>
      <c r="C397" s="54" t="s">
        <v>1309</v>
      </c>
      <c r="D397" s="54" t="s">
        <v>5317</v>
      </c>
      <c r="E397" s="54" t="s">
        <v>5215</v>
      </c>
      <c r="F397" s="54" t="s">
        <v>5216</v>
      </c>
      <c r="G397" s="54" t="s">
        <v>5310</v>
      </c>
      <c r="H397" s="37" t="s">
        <v>5292</v>
      </c>
      <c r="I397" s="54" t="s">
        <v>5311</v>
      </c>
      <c r="J397" s="37"/>
    </row>
    <row r="398" customFormat="false" ht="15" hidden="false" customHeight="true" outlineLevel="0" collapsed="false">
      <c r="A398" s="37" t="s">
        <v>1310</v>
      </c>
      <c r="B398" s="37" t="s">
        <v>427</v>
      </c>
      <c r="C398" s="54" t="s">
        <v>1311</v>
      </c>
      <c r="D398" s="54" t="s">
        <v>5317</v>
      </c>
      <c r="E398" s="54" t="s">
        <v>5215</v>
      </c>
      <c r="F398" s="54" t="s">
        <v>5216</v>
      </c>
      <c r="G398" s="54" t="s">
        <v>5310</v>
      </c>
      <c r="H398" s="37" t="s">
        <v>5292</v>
      </c>
      <c r="I398" s="54" t="s">
        <v>5311</v>
      </c>
      <c r="J398" s="37"/>
    </row>
    <row r="399" customFormat="false" ht="15" hidden="false" customHeight="true" outlineLevel="0" collapsed="false">
      <c r="A399" s="37" t="s">
        <v>1314</v>
      </c>
      <c r="B399" s="37" t="s">
        <v>427</v>
      </c>
      <c r="C399" s="54" t="s">
        <v>1315</v>
      </c>
      <c r="D399" s="54" t="s">
        <v>5317</v>
      </c>
      <c r="E399" s="54" t="s">
        <v>5215</v>
      </c>
      <c r="F399" s="54" t="s">
        <v>5216</v>
      </c>
      <c r="G399" s="54" t="s">
        <v>5310</v>
      </c>
      <c r="H399" s="37" t="s">
        <v>5292</v>
      </c>
      <c r="I399" s="54" t="s">
        <v>5311</v>
      </c>
      <c r="J399" s="37"/>
    </row>
    <row r="400" customFormat="false" ht="15" hidden="false" customHeight="true" outlineLevel="0" collapsed="false">
      <c r="A400" s="37" t="s">
        <v>1318</v>
      </c>
      <c r="B400" s="37" t="s">
        <v>427</v>
      </c>
      <c r="C400" s="54" t="s">
        <v>1319</v>
      </c>
      <c r="D400" s="54" t="s">
        <v>5226</v>
      </c>
      <c r="E400" s="54" t="s">
        <v>5227</v>
      </c>
      <c r="F400" s="54" t="s">
        <v>5216</v>
      </c>
      <c r="G400" s="54" t="s">
        <v>5310</v>
      </c>
      <c r="H400" s="37" t="s">
        <v>5292</v>
      </c>
      <c r="I400" s="54" t="s">
        <v>5311</v>
      </c>
      <c r="J400" s="37"/>
    </row>
    <row r="401" customFormat="false" ht="15" hidden="false" customHeight="true" outlineLevel="0" collapsed="false">
      <c r="A401" s="37" t="s">
        <v>1323</v>
      </c>
      <c r="B401" s="37" t="s">
        <v>427</v>
      </c>
      <c r="C401" s="54" t="s">
        <v>1324</v>
      </c>
      <c r="D401" s="54" t="s">
        <v>5308</v>
      </c>
      <c r="E401" s="54" t="s">
        <v>5309</v>
      </c>
      <c r="F401" s="54" t="s">
        <v>5240</v>
      </c>
      <c r="G401" s="54" t="s">
        <v>5310</v>
      </c>
      <c r="H401" s="37" t="s">
        <v>5292</v>
      </c>
      <c r="I401" s="54" t="s">
        <v>5311</v>
      </c>
      <c r="J401" s="37"/>
    </row>
    <row r="402" customFormat="false" ht="15" hidden="false" customHeight="true" outlineLevel="0" collapsed="false">
      <c r="A402" s="37" t="s">
        <v>1326</v>
      </c>
      <c r="B402" s="37" t="s">
        <v>427</v>
      </c>
      <c r="C402" s="54" t="s">
        <v>1327</v>
      </c>
      <c r="D402" s="54" t="s">
        <v>5308</v>
      </c>
      <c r="E402" s="54" t="s">
        <v>5309</v>
      </c>
      <c r="F402" s="54" t="s">
        <v>5240</v>
      </c>
      <c r="G402" s="54" t="s">
        <v>5310</v>
      </c>
      <c r="H402" s="37" t="s">
        <v>5292</v>
      </c>
      <c r="I402" s="54" t="s">
        <v>5311</v>
      </c>
      <c r="J402" s="37"/>
    </row>
    <row r="403" customFormat="false" ht="15" hidden="false" customHeight="true" outlineLevel="0" collapsed="false">
      <c r="A403" s="37" t="s">
        <v>1328</v>
      </c>
      <c r="B403" s="37" t="s">
        <v>427</v>
      </c>
      <c r="C403" s="54" t="s">
        <v>1329</v>
      </c>
      <c r="D403" s="54" t="s">
        <v>5312</v>
      </c>
      <c r="E403" s="54" t="s">
        <v>5313</v>
      </c>
      <c r="F403" s="54" t="s">
        <v>5216</v>
      </c>
      <c r="G403" s="54" t="s">
        <v>5310</v>
      </c>
      <c r="H403" s="37" t="s">
        <v>5292</v>
      </c>
      <c r="I403" s="54" t="s">
        <v>5311</v>
      </c>
      <c r="J403" s="37"/>
    </row>
    <row r="404" customFormat="false" ht="15" hidden="false" customHeight="true" outlineLevel="0" collapsed="false">
      <c r="A404" s="37" t="s">
        <v>1332</v>
      </c>
      <c r="B404" s="37" t="s">
        <v>427</v>
      </c>
      <c r="C404" s="54" t="s">
        <v>1333</v>
      </c>
      <c r="D404" s="54" t="s">
        <v>5308</v>
      </c>
      <c r="E404" s="54" t="s">
        <v>5309</v>
      </c>
      <c r="F404" s="54" t="s">
        <v>5240</v>
      </c>
      <c r="G404" s="54" t="s">
        <v>5310</v>
      </c>
      <c r="H404" s="37" t="s">
        <v>5292</v>
      </c>
      <c r="I404" s="54" t="s">
        <v>5311</v>
      </c>
      <c r="J404" s="37"/>
    </row>
    <row r="405" customFormat="false" ht="15" hidden="false" customHeight="true" outlineLevel="0" collapsed="false">
      <c r="A405" s="37" t="s">
        <v>1334</v>
      </c>
      <c r="B405" s="37" t="s">
        <v>427</v>
      </c>
      <c r="C405" s="54" t="s">
        <v>1335</v>
      </c>
      <c r="D405" s="54" t="s">
        <v>5308</v>
      </c>
      <c r="E405" s="54" t="s">
        <v>5309</v>
      </c>
      <c r="F405" s="54" t="s">
        <v>5240</v>
      </c>
      <c r="G405" s="54" t="s">
        <v>5310</v>
      </c>
      <c r="H405" s="37" t="s">
        <v>5292</v>
      </c>
      <c r="I405" s="54" t="s">
        <v>5311</v>
      </c>
      <c r="J405" s="37"/>
    </row>
    <row r="406" customFormat="false" ht="15" hidden="false" customHeight="true" outlineLevel="0" collapsed="false">
      <c r="A406" s="37" t="s">
        <v>1337</v>
      </c>
      <c r="B406" s="37" t="s">
        <v>427</v>
      </c>
      <c r="C406" s="54" t="s">
        <v>1338</v>
      </c>
      <c r="D406" s="54" t="s">
        <v>5308</v>
      </c>
      <c r="E406" s="54" t="s">
        <v>5309</v>
      </c>
      <c r="F406" s="54" t="s">
        <v>5240</v>
      </c>
      <c r="G406" s="54" t="s">
        <v>5310</v>
      </c>
      <c r="H406" s="37" t="s">
        <v>5292</v>
      </c>
      <c r="I406" s="54" t="s">
        <v>5311</v>
      </c>
      <c r="J406" s="37"/>
    </row>
    <row r="407" customFormat="false" ht="15" hidden="false" customHeight="true" outlineLevel="0" collapsed="false">
      <c r="A407" s="37" t="s">
        <v>1340</v>
      </c>
      <c r="B407" s="37" t="s">
        <v>427</v>
      </c>
      <c r="C407" s="54" t="s">
        <v>1341</v>
      </c>
      <c r="D407" s="54" t="s">
        <v>5308</v>
      </c>
      <c r="E407" s="54" t="s">
        <v>5309</v>
      </c>
      <c r="F407" s="54" t="s">
        <v>5240</v>
      </c>
      <c r="G407" s="54" t="s">
        <v>5310</v>
      </c>
      <c r="H407" s="37" t="s">
        <v>5292</v>
      </c>
      <c r="I407" s="54" t="s">
        <v>5311</v>
      </c>
      <c r="J407" s="37"/>
    </row>
    <row r="408" customFormat="false" ht="15" hidden="false" customHeight="true" outlineLevel="0" collapsed="false">
      <c r="A408" s="37" t="s">
        <v>1343</v>
      </c>
      <c r="B408" s="37" t="s">
        <v>427</v>
      </c>
      <c r="C408" s="54" t="s">
        <v>1344</v>
      </c>
      <c r="D408" s="54" t="s">
        <v>5312</v>
      </c>
      <c r="E408" s="54" t="s">
        <v>5313</v>
      </c>
      <c r="F408" s="54" t="s">
        <v>5216</v>
      </c>
      <c r="G408" s="54" t="s">
        <v>5310</v>
      </c>
      <c r="H408" s="37" t="s">
        <v>5292</v>
      </c>
      <c r="I408" s="54" t="s">
        <v>5311</v>
      </c>
      <c r="J408" s="37"/>
    </row>
    <row r="409" customFormat="false" ht="15" hidden="false" customHeight="true" outlineLevel="0" collapsed="false">
      <c r="A409" s="37" t="s">
        <v>1349</v>
      </c>
      <c r="B409" s="37" t="s">
        <v>427</v>
      </c>
      <c r="C409" s="54" t="s">
        <v>683</v>
      </c>
      <c r="D409" s="54" t="s">
        <v>4738</v>
      </c>
      <c r="E409" s="54" t="s">
        <v>5249</v>
      </c>
      <c r="F409" s="54" t="s">
        <v>4738</v>
      </c>
      <c r="G409" s="54" t="s">
        <v>5310</v>
      </c>
      <c r="H409" s="37" t="s">
        <v>5292</v>
      </c>
      <c r="I409" s="54" t="s">
        <v>5311</v>
      </c>
      <c r="J409" s="54" t="s">
        <v>5303</v>
      </c>
    </row>
    <row r="410" customFormat="false" ht="15" hidden="false" customHeight="true" outlineLevel="0" collapsed="false">
      <c r="A410" s="37" t="s">
        <v>1351</v>
      </c>
      <c r="B410" s="37" t="s">
        <v>427</v>
      </c>
      <c r="C410" s="54" t="s">
        <v>1352</v>
      </c>
      <c r="D410" s="54" t="s">
        <v>5308</v>
      </c>
      <c r="E410" s="54" t="s">
        <v>5309</v>
      </c>
      <c r="F410" s="54" t="s">
        <v>5240</v>
      </c>
      <c r="G410" s="54" t="s">
        <v>5310</v>
      </c>
      <c r="H410" s="37" t="s">
        <v>5292</v>
      </c>
      <c r="I410" s="54" t="s">
        <v>5311</v>
      </c>
      <c r="J410" s="37"/>
    </row>
    <row r="411" customFormat="false" ht="15" hidden="false" customHeight="true" outlineLevel="0" collapsed="false">
      <c r="A411" s="37" t="s">
        <v>1353</v>
      </c>
      <c r="B411" s="37" t="s">
        <v>427</v>
      </c>
      <c r="C411" s="54" t="s">
        <v>1354</v>
      </c>
      <c r="D411" s="54" t="s">
        <v>5312</v>
      </c>
      <c r="E411" s="54" t="s">
        <v>5313</v>
      </c>
      <c r="F411" s="54" t="s">
        <v>5216</v>
      </c>
      <c r="G411" s="54" t="s">
        <v>5310</v>
      </c>
      <c r="H411" s="37" t="s">
        <v>5292</v>
      </c>
      <c r="I411" s="54" t="s">
        <v>5311</v>
      </c>
      <c r="J411" s="37"/>
    </row>
    <row r="412" customFormat="false" ht="15" hidden="false" customHeight="true" outlineLevel="0" collapsed="false">
      <c r="A412" s="37" t="s">
        <v>1355</v>
      </c>
      <c r="B412" s="37" t="s">
        <v>427</v>
      </c>
      <c r="C412" s="54" t="s">
        <v>1356</v>
      </c>
      <c r="D412" s="54" t="s">
        <v>5322</v>
      </c>
      <c r="E412" s="54" t="s">
        <v>5215</v>
      </c>
      <c r="F412" s="54" t="s">
        <v>5216</v>
      </c>
      <c r="G412" s="54" t="s">
        <v>5310</v>
      </c>
      <c r="H412" s="37" t="s">
        <v>5292</v>
      </c>
      <c r="I412" s="54" t="s">
        <v>5311</v>
      </c>
      <c r="J412" s="37"/>
    </row>
    <row r="413" customFormat="false" ht="15" hidden="false" customHeight="true" outlineLevel="0" collapsed="false">
      <c r="A413" s="37" t="s">
        <v>1358</v>
      </c>
      <c r="B413" s="37" t="s">
        <v>427</v>
      </c>
      <c r="C413" s="54" t="s">
        <v>1359</v>
      </c>
      <c r="D413" s="54" t="s">
        <v>5214</v>
      </c>
      <c r="E413" s="54" t="s">
        <v>5215</v>
      </c>
      <c r="F413" s="54" t="s">
        <v>5216</v>
      </c>
      <c r="G413" s="54" t="s">
        <v>5310</v>
      </c>
      <c r="H413" s="37" t="s">
        <v>5292</v>
      </c>
      <c r="I413" s="54" t="s">
        <v>5311</v>
      </c>
      <c r="J413" s="37"/>
    </row>
    <row r="414" customFormat="false" ht="15" hidden="false" customHeight="true" outlineLevel="0" collapsed="false">
      <c r="A414" s="37" t="s">
        <v>4097</v>
      </c>
      <c r="B414" s="37" t="s">
        <v>383</v>
      </c>
      <c r="C414" s="54" t="s">
        <v>4098</v>
      </c>
      <c r="D414" s="54" t="s">
        <v>5243</v>
      </c>
      <c r="E414" s="54" t="s">
        <v>5244</v>
      </c>
      <c r="F414" s="54" t="s">
        <v>5240</v>
      </c>
      <c r="G414" s="54" t="s">
        <v>5323</v>
      </c>
      <c r="H414" s="37" t="s">
        <v>5231</v>
      </c>
      <c r="I414" s="54" t="s">
        <v>5311</v>
      </c>
      <c r="J414" s="37"/>
    </row>
    <row r="415" customFormat="false" ht="15" hidden="false" customHeight="true" outlineLevel="0" collapsed="false">
      <c r="A415" s="37" t="s">
        <v>4101</v>
      </c>
      <c r="B415" s="37" t="s">
        <v>383</v>
      </c>
      <c r="C415" s="54" t="s">
        <v>4102</v>
      </c>
      <c r="D415" s="54" t="s">
        <v>5324</v>
      </c>
      <c r="E415" s="54" t="s">
        <v>5325</v>
      </c>
      <c r="F415" s="54" t="s">
        <v>5216</v>
      </c>
      <c r="G415" s="54" t="s">
        <v>5323</v>
      </c>
      <c r="H415" s="37" t="s">
        <v>5231</v>
      </c>
      <c r="I415" s="54" t="s">
        <v>5311</v>
      </c>
      <c r="J415" s="37"/>
    </row>
    <row r="416" customFormat="false" ht="15" hidden="false" customHeight="true" outlineLevel="0" collapsed="false">
      <c r="A416" s="37" t="s">
        <v>4103</v>
      </c>
      <c r="B416" s="37" t="s">
        <v>383</v>
      </c>
      <c r="C416" s="54" t="s">
        <v>4104</v>
      </c>
      <c r="D416" s="54" t="s">
        <v>5326</v>
      </c>
      <c r="E416" s="54" t="s">
        <v>5327</v>
      </c>
      <c r="F416" s="54" t="s">
        <v>5240</v>
      </c>
      <c r="G416" s="54" t="s">
        <v>5323</v>
      </c>
      <c r="H416" s="37" t="s">
        <v>5231</v>
      </c>
      <c r="I416" s="54" t="s">
        <v>5311</v>
      </c>
      <c r="J416" s="37"/>
    </row>
    <row r="417" customFormat="false" ht="15" hidden="false" customHeight="true" outlineLevel="0" collapsed="false">
      <c r="A417" s="37" t="s">
        <v>4106</v>
      </c>
      <c r="B417" s="37" t="s">
        <v>383</v>
      </c>
      <c r="C417" s="54" t="s">
        <v>4107</v>
      </c>
      <c r="D417" s="54" t="s">
        <v>5326</v>
      </c>
      <c r="E417" s="54" t="s">
        <v>5327</v>
      </c>
      <c r="F417" s="54" t="s">
        <v>5240</v>
      </c>
      <c r="G417" s="54" t="s">
        <v>5323</v>
      </c>
      <c r="H417" s="37" t="s">
        <v>5231</v>
      </c>
      <c r="I417" s="54" t="s">
        <v>5311</v>
      </c>
      <c r="J417" s="37"/>
    </row>
    <row r="418" customFormat="false" ht="15" hidden="false" customHeight="true" outlineLevel="0" collapsed="false">
      <c r="A418" s="37" t="s">
        <v>4108</v>
      </c>
      <c r="B418" s="37" t="s">
        <v>383</v>
      </c>
      <c r="C418" s="54" t="s">
        <v>4109</v>
      </c>
      <c r="D418" s="54" t="s">
        <v>5326</v>
      </c>
      <c r="E418" s="54" t="s">
        <v>5327</v>
      </c>
      <c r="F418" s="54" t="s">
        <v>5240</v>
      </c>
      <c r="G418" s="54" t="s">
        <v>5323</v>
      </c>
      <c r="H418" s="37" t="s">
        <v>5231</v>
      </c>
      <c r="I418" s="54" t="s">
        <v>5311</v>
      </c>
      <c r="J418" s="37"/>
    </row>
    <row r="419" customFormat="false" ht="15" hidden="false" customHeight="true" outlineLevel="0" collapsed="false">
      <c r="A419" s="37" t="s">
        <v>4110</v>
      </c>
      <c r="B419" s="37" t="s">
        <v>383</v>
      </c>
      <c r="C419" s="54" t="s">
        <v>4111</v>
      </c>
      <c r="D419" s="54" t="s">
        <v>5326</v>
      </c>
      <c r="E419" s="54" t="s">
        <v>5327</v>
      </c>
      <c r="F419" s="54" t="s">
        <v>5240</v>
      </c>
      <c r="G419" s="54" t="s">
        <v>5323</v>
      </c>
      <c r="H419" s="37" t="s">
        <v>5231</v>
      </c>
      <c r="I419" s="54" t="s">
        <v>5311</v>
      </c>
      <c r="J419" s="37"/>
    </row>
    <row r="420" customFormat="false" ht="15" hidden="false" customHeight="true" outlineLevel="0" collapsed="false">
      <c r="A420" s="37" t="s">
        <v>4113</v>
      </c>
      <c r="B420" s="37" t="s">
        <v>383</v>
      </c>
      <c r="C420" s="54" t="s">
        <v>4114</v>
      </c>
      <c r="D420" s="54" t="s">
        <v>5326</v>
      </c>
      <c r="E420" s="54" t="s">
        <v>5327</v>
      </c>
      <c r="F420" s="54" t="s">
        <v>5240</v>
      </c>
      <c r="G420" s="54" t="s">
        <v>5323</v>
      </c>
      <c r="H420" s="37" t="s">
        <v>5231</v>
      </c>
      <c r="I420" s="54" t="s">
        <v>5311</v>
      </c>
      <c r="J420" s="37"/>
    </row>
    <row r="421" customFormat="false" ht="15" hidden="false" customHeight="true" outlineLevel="0" collapsed="false">
      <c r="A421" s="37" t="s">
        <v>4115</v>
      </c>
      <c r="B421" s="37" t="s">
        <v>383</v>
      </c>
      <c r="C421" s="54" t="s">
        <v>4116</v>
      </c>
      <c r="D421" s="54" t="s">
        <v>5328</v>
      </c>
      <c r="E421" s="54" t="s">
        <v>5329</v>
      </c>
      <c r="F421" s="54" t="s">
        <v>5216</v>
      </c>
      <c r="G421" s="54" t="s">
        <v>5323</v>
      </c>
      <c r="H421" s="37" t="s">
        <v>5231</v>
      </c>
      <c r="I421" s="54" t="s">
        <v>5311</v>
      </c>
      <c r="J421" s="37"/>
    </row>
    <row r="422" customFormat="false" ht="15" hidden="false" customHeight="true" outlineLevel="0" collapsed="false">
      <c r="A422" s="37" t="s">
        <v>4117</v>
      </c>
      <c r="B422" s="37" t="s">
        <v>383</v>
      </c>
      <c r="C422" s="37" t="s">
        <v>4118</v>
      </c>
      <c r="D422" s="54" t="s">
        <v>5330</v>
      </c>
      <c r="E422" s="54" t="s">
        <v>5244</v>
      </c>
      <c r="F422" s="54" t="s">
        <v>5240</v>
      </c>
      <c r="G422" s="54" t="s">
        <v>5323</v>
      </c>
      <c r="H422" s="37" t="s">
        <v>5231</v>
      </c>
      <c r="I422" s="54" t="s">
        <v>5311</v>
      </c>
      <c r="J422" s="37"/>
    </row>
    <row r="423" customFormat="false" ht="15" hidden="false" customHeight="true" outlineLevel="0" collapsed="false">
      <c r="A423" s="37" t="s">
        <v>4119</v>
      </c>
      <c r="B423" s="37" t="s">
        <v>383</v>
      </c>
      <c r="C423" s="54" t="s">
        <v>4120</v>
      </c>
      <c r="D423" s="54" t="s">
        <v>5326</v>
      </c>
      <c r="E423" s="54" t="s">
        <v>5327</v>
      </c>
      <c r="F423" s="54" t="s">
        <v>5240</v>
      </c>
      <c r="G423" s="54" t="s">
        <v>5323</v>
      </c>
      <c r="H423" s="37" t="s">
        <v>5231</v>
      </c>
      <c r="I423" s="54" t="s">
        <v>5311</v>
      </c>
      <c r="J423" s="37"/>
    </row>
    <row r="424" customFormat="false" ht="15" hidden="false" customHeight="true" outlineLevel="0" collapsed="false">
      <c r="A424" s="37" t="s">
        <v>4122</v>
      </c>
      <c r="B424" s="37" t="s">
        <v>383</v>
      </c>
      <c r="C424" s="54" t="s">
        <v>4123</v>
      </c>
      <c r="D424" s="54" t="s">
        <v>5243</v>
      </c>
      <c r="E424" s="54" t="s">
        <v>5244</v>
      </c>
      <c r="F424" s="54" t="s">
        <v>5240</v>
      </c>
      <c r="G424" s="54" t="s">
        <v>5323</v>
      </c>
      <c r="H424" s="37" t="s">
        <v>5231</v>
      </c>
      <c r="I424" s="54" t="s">
        <v>5311</v>
      </c>
      <c r="J424" s="37"/>
    </row>
    <row r="425" customFormat="false" ht="15" hidden="false" customHeight="true" outlineLevel="0" collapsed="false">
      <c r="A425" s="37" t="s">
        <v>4124</v>
      </c>
      <c r="B425" s="37" t="s">
        <v>383</v>
      </c>
      <c r="C425" s="54" t="s">
        <v>4125</v>
      </c>
      <c r="D425" s="54" t="s">
        <v>5326</v>
      </c>
      <c r="E425" s="54" t="s">
        <v>5327</v>
      </c>
      <c r="F425" s="54" t="s">
        <v>5240</v>
      </c>
      <c r="G425" s="54" t="s">
        <v>5323</v>
      </c>
      <c r="H425" s="37" t="s">
        <v>5231</v>
      </c>
      <c r="I425" s="54" t="s">
        <v>5311</v>
      </c>
      <c r="J425" s="37"/>
    </row>
    <row r="426" customFormat="false" ht="15" hidden="false" customHeight="true" outlineLevel="0" collapsed="false">
      <c r="A426" s="37" t="s">
        <v>4126</v>
      </c>
      <c r="B426" s="37" t="s">
        <v>383</v>
      </c>
      <c r="C426" s="54" t="s">
        <v>4127</v>
      </c>
      <c r="D426" s="54" t="s">
        <v>5324</v>
      </c>
      <c r="E426" s="54" t="s">
        <v>5325</v>
      </c>
      <c r="F426" s="54" t="s">
        <v>5216</v>
      </c>
      <c r="G426" s="54" t="s">
        <v>5323</v>
      </c>
      <c r="H426" s="37" t="s">
        <v>5231</v>
      </c>
      <c r="I426" s="54" t="s">
        <v>5311</v>
      </c>
      <c r="J426" s="37"/>
    </row>
    <row r="427" customFormat="false" ht="15" hidden="false" customHeight="true" outlineLevel="0" collapsed="false">
      <c r="A427" s="37" t="s">
        <v>4128</v>
      </c>
      <c r="B427" s="37" t="s">
        <v>383</v>
      </c>
      <c r="C427" s="54" t="s">
        <v>4129</v>
      </c>
      <c r="D427" s="54" t="s">
        <v>5328</v>
      </c>
      <c r="E427" s="54" t="s">
        <v>5329</v>
      </c>
      <c r="F427" s="54" t="s">
        <v>5216</v>
      </c>
      <c r="G427" s="54" t="s">
        <v>5323</v>
      </c>
      <c r="H427" s="37" t="s">
        <v>5231</v>
      </c>
      <c r="I427" s="54" t="s">
        <v>5311</v>
      </c>
      <c r="J427" s="37"/>
    </row>
    <row r="428" customFormat="false" ht="15" hidden="false" customHeight="true" outlineLevel="0" collapsed="false">
      <c r="A428" s="37" t="s">
        <v>4130</v>
      </c>
      <c r="B428" s="37" t="s">
        <v>383</v>
      </c>
      <c r="C428" s="54" t="s">
        <v>4131</v>
      </c>
      <c r="D428" s="54" t="s">
        <v>5243</v>
      </c>
      <c r="E428" s="54" t="s">
        <v>5244</v>
      </c>
      <c r="F428" s="54" t="s">
        <v>5240</v>
      </c>
      <c r="G428" s="54" t="s">
        <v>5323</v>
      </c>
      <c r="H428" s="37" t="s">
        <v>5231</v>
      </c>
      <c r="I428" s="54" t="s">
        <v>5311</v>
      </c>
      <c r="J428" s="37"/>
    </row>
    <row r="429" customFormat="false" ht="15" hidden="false" customHeight="true" outlineLevel="0" collapsed="false">
      <c r="A429" s="37" t="s">
        <v>4132</v>
      </c>
      <c r="B429" s="37" t="s">
        <v>383</v>
      </c>
      <c r="C429" s="54" t="s">
        <v>1214</v>
      </c>
      <c r="D429" s="54" t="s">
        <v>5243</v>
      </c>
      <c r="E429" s="54" t="s">
        <v>5244</v>
      </c>
      <c r="F429" s="54" t="s">
        <v>5240</v>
      </c>
      <c r="G429" s="54" t="s">
        <v>5323</v>
      </c>
      <c r="H429" s="37" t="s">
        <v>5231</v>
      </c>
      <c r="I429" s="54" t="s">
        <v>5311</v>
      </c>
      <c r="J429" s="37"/>
    </row>
    <row r="430" customFormat="false" ht="15" hidden="false" customHeight="true" outlineLevel="0" collapsed="false">
      <c r="A430" s="37" t="s">
        <v>4133</v>
      </c>
      <c r="B430" s="37" t="s">
        <v>383</v>
      </c>
      <c r="C430" s="54" t="s">
        <v>4134</v>
      </c>
      <c r="D430" s="54" t="s">
        <v>5243</v>
      </c>
      <c r="E430" s="54" t="s">
        <v>5244</v>
      </c>
      <c r="F430" s="54" t="s">
        <v>5240</v>
      </c>
      <c r="G430" s="54" t="s">
        <v>5323</v>
      </c>
      <c r="H430" s="37" t="s">
        <v>5231</v>
      </c>
      <c r="I430" s="54" t="s">
        <v>5311</v>
      </c>
      <c r="J430" s="37"/>
    </row>
    <row r="431" customFormat="false" ht="15" hidden="false" customHeight="true" outlineLevel="0" collapsed="false">
      <c r="A431" s="37" t="s">
        <v>4136</v>
      </c>
      <c r="B431" s="37" t="s">
        <v>383</v>
      </c>
      <c r="C431" s="54" t="s">
        <v>4137</v>
      </c>
      <c r="D431" s="54" t="s">
        <v>5326</v>
      </c>
      <c r="E431" s="54" t="s">
        <v>5327</v>
      </c>
      <c r="F431" s="54" t="s">
        <v>5240</v>
      </c>
      <c r="G431" s="54" t="s">
        <v>5323</v>
      </c>
      <c r="H431" s="37" t="s">
        <v>5231</v>
      </c>
      <c r="I431" s="54" t="s">
        <v>5311</v>
      </c>
      <c r="J431" s="37"/>
    </row>
    <row r="432" customFormat="false" ht="15" hidden="false" customHeight="true" outlineLevel="0" collapsed="false">
      <c r="A432" s="37" t="s">
        <v>4139</v>
      </c>
      <c r="B432" s="37" t="s">
        <v>383</v>
      </c>
      <c r="C432" s="37" t="s">
        <v>4140</v>
      </c>
      <c r="D432" s="54" t="s">
        <v>5326</v>
      </c>
      <c r="E432" s="54" t="s">
        <v>5327</v>
      </c>
      <c r="F432" s="54" t="s">
        <v>5240</v>
      </c>
      <c r="G432" s="54" t="s">
        <v>5323</v>
      </c>
      <c r="H432" s="37" t="s">
        <v>5231</v>
      </c>
      <c r="I432" s="54" t="s">
        <v>5311</v>
      </c>
      <c r="J432" s="37"/>
    </row>
    <row r="433" customFormat="false" ht="15" hidden="false" customHeight="true" outlineLevel="0" collapsed="false">
      <c r="A433" s="37" t="s">
        <v>4141</v>
      </c>
      <c r="B433" s="37" t="s">
        <v>383</v>
      </c>
      <c r="C433" s="37" t="s">
        <v>4142</v>
      </c>
      <c r="D433" s="54" t="s">
        <v>5326</v>
      </c>
      <c r="E433" s="54" t="s">
        <v>5327</v>
      </c>
      <c r="F433" s="54" t="s">
        <v>5240</v>
      </c>
      <c r="G433" s="54" t="s">
        <v>5323</v>
      </c>
      <c r="H433" s="37" t="s">
        <v>5231</v>
      </c>
      <c r="I433" s="54" t="s">
        <v>5311</v>
      </c>
      <c r="J433" s="37"/>
    </row>
    <row r="434" customFormat="false" ht="15" hidden="false" customHeight="true" outlineLevel="0" collapsed="false">
      <c r="A434" s="37" t="s">
        <v>4143</v>
      </c>
      <c r="B434" s="37" t="s">
        <v>383</v>
      </c>
      <c r="C434" s="54" t="s">
        <v>4144</v>
      </c>
      <c r="D434" s="54" t="s">
        <v>5220</v>
      </c>
      <c r="E434" s="54" t="s">
        <v>5221</v>
      </c>
      <c r="F434" s="54" t="s">
        <v>5216</v>
      </c>
      <c r="G434" s="54" t="s">
        <v>5323</v>
      </c>
      <c r="H434" s="37" t="s">
        <v>5231</v>
      </c>
      <c r="I434" s="54" t="s">
        <v>5311</v>
      </c>
      <c r="J434" s="37"/>
    </row>
    <row r="435" customFormat="false" ht="15" hidden="false" customHeight="true" outlineLevel="0" collapsed="false">
      <c r="A435" s="37" t="s">
        <v>4145</v>
      </c>
      <c r="B435" s="37" t="s">
        <v>383</v>
      </c>
      <c r="C435" s="54" t="s">
        <v>4146</v>
      </c>
      <c r="D435" s="54" t="s">
        <v>5243</v>
      </c>
      <c r="E435" s="54" t="s">
        <v>5244</v>
      </c>
      <c r="F435" s="54" t="s">
        <v>5240</v>
      </c>
      <c r="G435" s="54" t="s">
        <v>5323</v>
      </c>
      <c r="H435" s="37" t="s">
        <v>5231</v>
      </c>
      <c r="I435" s="54" t="s">
        <v>5311</v>
      </c>
      <c r="J435" s="37"/>
    </row>
    <row r="436" customFormat="false" ht="15" hidden="false" customHeight="true" outlineLevel="0" collapsed="false">
      <c r="A436" s="37" t="s">
        <v>4147</v>
      </c>
      <c r="B436" s="37" t="s">
        <v>383</v>
      </c>
      <c r="C436" s="54" t="s">
        <v>4148</v>
      </c>
      <c r="D436" s="54" t="s">
        <v>5243</v>
      </c>
      <c r="E436" s="54" t="s">
        <v>5244</v>
      </c>
      <c r="F436" s="54" t="s">
        <v>5240</v>
      </c>
      <c r="G436" s="54" t="s">
        <v>5323</v>
      </c>
      <c r="H436" s="37" t="s">
        <v>5231</v>
      </c>
      <c r="I436" s="54" t="s">
        <v>5311</v>
      </c>
      <c r="J436" s="37"/>
    </row>
    <row r="437" customFormat="false" ht="15" hidden="false" customHeight="true" outlineLevel="0" collapsed="false">
      <c r="A437" s="37" t="s">
        <v>4149</v>
      </c>
      <c r="B437" s="37" t="s">
        <v>383</v>
      </c>
      <c r="C437" s="54" t="s">
        <v>4150</v>
      </c>
      <c r="D437" s="54" t="s">
        <v>5273</v>
      </c>
      <c r="E437" s="54" t="s">
        <v>5274</v>
      </c>
      <c r="F437" s="54" t="s">
        <v>5216</v>
      </c>
      <c r="G437" s="54" t="s">
        <v>5323</v>
      </c>
      <c r="H437" s="37" t="s">
        <v>5231</v>
      </c>
      <c r="I437" s="54" t="s">
        <v>5311</v>
      </c>
      <c r="J437" s="37"/>
    </row>
    <row r="438" customFormat="false" ht="15" hidden="false" customHeight="true" outlineLevel="0" collapsed="false">
      <c r="A438" s="37" t="s">
        <v>4151</v>
      </c>
      <c r="B438" s="37" t="s">
        <v>383</v>
      </c>
      <c r="C438" s="54" t="s">
        <v>4152</v>
      </c>
      <c r="D438" s="54" t="s">
        <v>5289</v>
      </c>
      <c r="E438" s="54" t="s">
        <v>5290</v>
      </c>
      <c r="F438" s="54" t="s">
        <v>5216</v>
      </c>
      <c r="G438" s="54" t="s">
        <v>5323</v>
      </c>
      <c r="H438" s="37" t="s">
        <v>5231</v>
      </c>
      <c r="I438" s="54" t="s">
        <v>5311</v>
      </c>
      <c r="J438" s="37"/>
    </row>
    <row r="439" customFormat="false" ht="15" hidden="false" customHeight="true" outlineLevel="0" collapsed="false">
      <c r="A439" s="37" t="s">
        <v>4153</v>
      </c>
      <c r="B439" s="37" t="s">
        <v>383</v>
      </c>
      <c r="C439" s="54" t="s">
        <v>4154</v>
      </c>
      <c r="D439" s="54" t="s">
        <v>5331</v>
      </c>
      <c r="E439" s="54" t="s">
        <v>5235</v>
      </c>
      <c r="F439" s="54" t="s">
        <v>5216</v>
      </c>
      <c r="G439" s="54" t="s">
        <v>5323</v>
      </c>
      <c r="H439" s="37" t="s">
        <v>5231</v>
      </c>
      <c r="I439" s="54" t="s">
        <v>5311</v>
      </c>
      <c r="J439" s="37"/>
    </row>
    <row r="440" customFormat="false" ht="15" hidden="false" customHeight="true" outlineLevel="0" collapsed="false">
      <c r="A440" s="37" t="s">
        <v>4155</v>
      </c>
      <c r="B440" s="37" t="s">
        <v>383</v>
      </c>
      <c r="C440" s="54" t="s">
        <v>4156</v>
      </c>
      <c r="D440" s="54" t="s">
        <v>5326</v>
      </c>
      <c r="E440" s="54" t="s">
        <v>5327</v>
      </c>
      <c r="F440" s="54" t="s">
        <v>5240</v>
      </c>
      <c r="G440" s="54" t="s">
        <v>5323</v>
      </c>
      <c r="H440" s="37" t="s">
        <v>5231</v>
      </c>
      <c r="I440" s="54" t="s">
        <v>5311</v>
      </c>
      <c r="J440" s="37"/>
    </row>
    <row r="441" customFormat="false" ht="15" hidden="false" customHeight="true" outlineLevel="0" collapsed="false">
      <c r="A441" s="37" t="s">
        <v>4157</v>
      </c>
      <c r="B441" s="37" t="s">
        <v>383</v>
      </c>
      <c r="C441" s="54" t="s">
        <v>4158</v>
      </c>
      <c r="D441" s="54" t="s">
        <v>5326</v>
      </c>
      <c r="E441" s="54" t="s">
        <v>5327</v>
      </c>
      <c r="F441" s="54" t="s">
        <v>5240</v>
      </c>
      <c r="G441" s="54" t="s">
        <v>5323</v>
      </c>
      <c r="H441" s="37" t="s">
        <v>5231</v>
      </c>
      <c r="I441" s="54" t="s">
        <v>5311</v>
      </c>
      <c r="J441" s="37"/>
    </row>
    <row r="442" customFormat="false" ht="15" hidden="false" customHeight="true" outlineLevel="0" collapsed="false">
      <c r="A442" s="37" t="s">
        <v>4160</v>
      </c>
      <c r="B442" s="37" t="s">
        <v>383</v>
      </c>
      <c r="C442" s="54" t="s">
        <v>4161</v>
      </c>
      <c r="D442" s="54" t="s">
        <v>5326</v>
      </c>
      <c r="E442" s="54" t="s">
        <v>5327</v>
      </c>
      <c r="F442" s="54" t="s">
        <v>5240</v>
      </c>
      <c r="G442" s="54" t="s">
        <v>5323</v>
      </c>
      <c r="H442" s="37" t="s">
        <v>5231</v>
      </c>
      <c r="I442" s="54" t="s">
        <v>5311</v>
      </c>
      <c r="J442" s="37"/>
    </row>
    <row r="443" customFormat="false" ht="15" hidden="false" customHeight="true" outlineLevel="0" collapsed="false">
      <c r="A443" s="37" t="s">
        <v>4162</v>
      </c>
      <c r="B443" s="37" t="s">
        <v>383</v>
      </c>
      <c r="C443" s="54" t="s">
        <v>4163</v>
      </c>
      <c r="D443" s="54" t="s">
        <v>5326</v>
      </c>
      <c r="E443" s="54" t="s">
        <v>5327</v>
      </c>
      <c r="F443" s="54" t="s">
        <v>5240</v>
      </c>
      <c r="G443" s="54" t="s">
        <v>5323</v>
      </c>
      <c r="H443" s="37" t="s">
        <v>5231</v>
      </c>
      <c r="I443" s="54" t="s">
        <v>5311</v>
      </c>
      <c r="J443" s="37"/>
    </row>
    <row r="444" customFormat="false" ht="15" hidden="false" customHeight="true" outlineLevel="0" collapsed="false">
      <c r="A444" s="37" t="s">
        <v>4165</v>
      </c>
      <c r="B444" s="37" t="s">
        <v>383</v>
      </c>
      <c r="C444" s="54" t="s">
        <v>4166</v>
      </c>
      <c r="D444" s="54" t="s">
        <v>5273</v>
      </c>
      <c r="E444" s="54" t="s">
        <v>5274</v>
      </c>
      <c r="F444" s="54" t="s">
        <v>5216</v>
      </c>
      <c r="G444" s="54" t="s">
        <v>5323</v>
      </c>
      <c r="H444" s="37" t="s">
        <v>5231</v>
      </c>
      <c r="I444" s="54" t="s">
        <v>5311</v>
      </c>
      <c r="J444" s="37"/>
    </row>
    <row r="445" customFormat="false" ht="15" hidden="false" customHeight="true" outlineLevel="0" collapsed="false">
      <c r="A445" s="37" t="s">
        <v>4167</v>
      </c>
      <c r="B445" s="37" t="s">
        <v>383</v>
      </c>
      <c r="C445" s="54" t="s">
        <v>1777</v>
      </c>
      <c r="D445" s="54" t="s">
        <v>5332</v>
      </c>
      <c r="E445" s="54" t="s">
        <v>5298</v>
      </c>
      <c r="F445" s="54" t="s">
        <v>5216</v>
      </c>
      <c r="G445" s="54" t="s">
        <v>5323</v>
      </c>
      <c r="H445" s="37" t="s">
        <v>5231</v>
      </c>
      <c r="I445" s="54" t="s">
        <v>5311</v>
      </c>
      <c r="J445" s="37"/>
    </row>
    <row r="446" customFormat="false" ht="15" hidden="false" customHeight="true" outlineLevel="0" collapsed="false">
      <c r="A446" s="37" t="s">
        <v>4169</v>
      </c>
      <c r="B446" s="37" t="s">
        <v>383</v>
      </c>
      <c r="C446" s="54" t="s">
        <v>4170</v>
      </c>
      <c r="D446" s="54" t="s">
        <v>5326</v>
      </c>
      <c r="E446" s="54" t="s">
        <v>5327</v>
      </c>
      <c r="F446" s="54" t="s">
        <v>5240</v>
      </c>
      <c r="G446" s="54" t="s">
        <v>5323</v>
      </c>
      <c r="H446" s="37" t="s">
        <v>5231</v>
      </c>
      <c r="I446" s="54" t="s">
        <v>5311</v>
      </c>
      <c r="J446" s="37"/>
    </row>
    <row r="447" customFormat="false" ht="15" hidden="false" customHeight="true" outlineLevel="0" collapsed="false">
      <c r="A447" s="37" t="s">
        <v>4171</v>
      </c>
      <c r="B447" s="37" t="s">
        <v>383</v>
      </c>
      <c r="C447" s="54" t="s">
        <v>4172</v>
      </c>
      <c r="D447" s="54" t="s">
        <v>5326</v>
      </c>
      <c r="E447" s="54" t="s">
        <v>5327</v>
      </c>
      <c r="F447" s="54" t="s">
        <v>5240</v>
      </c>
      <c r="G447" s="54" t="s">
        <v>5323</v>
      </c>
      <c r="H447" s="37" t="s">
        <v>5231</v>
      </c>
      <c r="I447" s="54" t="s">
        <v>5311</v>
      </c>
      <c r="J447" s="37"/>
    </row>
    <row r="448" customFormat="false" ht="15" hidden="false" customHeight="true" outlineLevel="0" collapsed="false">
      <c r="A448" s="37" t="s">
        <v>4173</v>
      </c>
      <c r="B448" s="37" t="s">
        <v>383</v>
      </c>
      <c r="C448" s="54" t="s">
        <v>4174</v>
      </c>
      <c r="D448" s="54" t="s">
        <v>5273</v>
      </c>
      <c r="E448" s="54" t="s">
        <v>5274</v>
      </c>
      <c r="F448" s="54" t="s">
        <v>5216</v>
      </c>
      <c r="G448" s="54" t="s">
        <v>5323</v>
      </c>
      <c r="H448" s="37" t="s">
        <v>5231</v>
      </c>
      <c r="I448" s="54" t="s">
        <v>5311</v>
      </c>
      <c r="J448" s="37"/>
    </row>
    <row r="449" customFormat="false" ht="15" hidden="false" customHeight="true" outlineLevel="0" collapsed="false">
      <c r="A449" s="37" t="s">
        <v>4175</v>
      </c>
      <c r="B449" s="37" t="s">
        <v>383</v>
      </c>
      <c r="C449" s="54" t="s">
        <v>4176</v>
      </c>
      <c r="D449" s="54" t="s">
        <v>5220</v>
      </c>
      <c r="E449" s="54" t="s">
        <v>5221</v>
      </c>
      <c r="F449" s="54" t="s">
        <v>5216</v>
      </c>
      <c r="G449" s="54" t="s">
        <v>5323</v>
      </c>
      <c r="H449" s="37" t="s">
        <v>5231</v>
      </c>
      <c r="I449" s="54" t="s">
        <v>5311</v>
      </c>
      <c r="J449" s="37"/>
    </row>
    <row r="450" customFormat="false" ht="15" hidden="false" customHeight="true" outlineLevel="0" collapsed="false">
      <c r="A450" s="37" t="s">
        <v>4177</v>
      </c>
      <c r="B450" s="37" t="s">
        <v>383</v>
      </c>
      <c r="C450" s="54" t="s">
        <v>4178</v>
      </c>
      <c r="D450" s="54" t="s">
        <v>5243</v>
      </c>
      <c r="E450" s="54" t="s">
        <v>5244</v>
      </c>
      <c r="F450" s="54" t="s">
        <v>5240</v>
      </c>
      <c r="G450" s="54" t="s">
        <v>5323</v>
      </c>
      <c r="H450" s="37" t="s">
        <v>5231</v>
      </c>
      <c r="I450" s="54" t="s">
        <v>5311</v>
      </c>
      <c r="J450" s="37"/>
    </row>
    <row r="451" customFormat="false" ht="15" hidden="false" customHeight="true" outlineLevel="0" collapsed="false">
      <c r="A451" s="37" t="s">
        <v>4182</v>
      </c>
      <c r="B451" s="37" t="s">
        <v>383</v>
      </c>
      <c r="C451" s="54" t="s">
        <v>4183</v>
      </c>
      <c r="D451" s="54" t="s">
        <v>5243</v>
      </c>
      <c r="E451" s="54" t="s">
        <v>5244</v>
      </c>
      <c r="F451" s="54" t="s">
        <v>5240</v>
      </c>
      <c r="G451" s="54" t="s">
        <v>5323</v>
      </c>
      <c r="H451" s="37" t="s">
        <v>5231</v>
      </c>
      <c r="I451" s="54" t="s">
        <v>5311</v>
      </c>
      <c r="J451" s="37"/>
    </row>
    <row r="452" customFormat="false" ht="15" hidden="false" customHeight="true" outlineLevel="0" collapsed="false">
      <c r="A452" s="37" t="s">
        <v>4184</v>
      </c>
      <c r="B452" s="37" t="s">
        <v>383</v>
      </c>
      <c r="C452" s="54" t="s">
        <v>4185</v>
      </c>
      <c r="D452" s="54" t="s">
        <v>5243</v>
      </c>
      <c r="E452" s="54" t="s">
        <v>5244</v>
      </c>
      <c r="F452" s="54" t="s">
        <v>5240</v>
      </c>
      <c r="G452" s="54" t="s">
        <v>5323</v>
      </c>
      <c r="H452" s="37" t="s">
        <v>5231</v>
      </c>
      <c r="I452" s="54" t="s">
        <v>5311</v>
      </c>
      <c r="J452" s="37"/>
    </row>
    <row r="453" customFormat="false" ht="15" hidden="false" customHeight="true" outlineLevel="0" collapsed="false">
      <c r="A453" s="37" t="s">
        <v>4186</v>
      </c>
      <c r="B453" s="37" t="s">
        <v>383</v>
      </c>
      <c r="C453" s="54" t="s">
        <v>4187</v>
      </c>
      <c r="D453" s="54" t="s">
        <v>5326</v>
      </c>
      <c r="E453" s="54" t="s">
        <v>5327</v>
      </c>
      <c r="F453" s="54" t="s">
        <v>5240</v>
      </c>
      <c r="G453" s="54" t="s">
        <v>5323</v>
      </c>
      <c r="H453" s="37" t="s">
        <v>5231</v>
      </c>
      <c r="I453" s="54" t="s">
        <v>5311</v>
      </c>
      <c r="J453" s="37"/>
    </row>
    <row r="454" customFormat="false" ht="15" hidden="false" customHeight="true" outlineLevel="0" collapsed="false">
      <c r="A454" s="37" t="s">
        <v>4188</v>
      </c>
      <c r="B454" s="37" t="s">
        <v>383</v>
      </c>
      <c r="C454" s="54" t="s">
        <v>4189</v>
      </c>
      <c r="D454" s="54" t="s">
        <v>5326</v>
      </c>
      <c r="E454" s="54" t="s">
        <v>5327</v>
      </c>
      <c r="F454" s="54" t="s">
        <v>5240</v>
      </c>
      <c r="G454" s="54" t="s">
        <v>5323</v>
      </c>
      <c r="H454" s="37" t="s">
        <v>5231</v>
      </c>
      <c r="I454" s="54" t="s">
        <v>5311</v>
      </c>
      <c r="J454" s="37"/>
    </row>
    <row r="455" customFormat="false" ht="15" hidden="false" customHeight="true" outlineLevel="0" collapsed="false">
      <c r="A455" s="37" t="s">
        <v>4190</v>
      </c>
      <c r="B455" s="37" t="s">
        <v>383</v>
      </c>
      <c r="C455" s="54" t="s">
        <v>4191</v>
      </c>
      <c r="D455" s="54" t="s">
        <v>5243</v>
      </c>
      <c r="E455" s="54" t="s">
        <v>5244</v>
      </c>
      <c r="F455" s="54" t="s">
        <v>5240</v>
      </c>
      <c r="G455" s="54" t="s">
        <v>5323</v>
      </c>
      <c r="H455" s="37" t="s">
        <v>5231</v>
      </c>
      <c r="I455" s="54" t="s">
        <v>5311</v>
      </c>
      <c r="J455" s="37"/>
    </row>
    <row r="456" customFormat="false" ht="15" hidden="false" customHeight="true" outlineLevel="0" collapsed="false">
      <c r="A456" s="37" t="s">
        <v>4192</v>
      </c>
      <c r="B456" s="37" t="s">
        <v>383</v>
      </c>
      <c r="C456" s="54" t="s">
        <v>4193</v>
      </c>
      <c r="D456" s="54" t="s">
        <v>5326</v>
      </c>
      <c r="E456" s="54" t="s">
        <v>5327</v>
      </c>
      <c r="F456" s="54" t="s">
        <v>5240</v>
      </c>
      <c r="G456" s="54" t="s">
        <v>5323</v>
      </c>
      <c r="H456" s="37" t="s">
        <v>5231</v>
      </c>
      <c r="I456" s="54" t="s">
        <v>5311</v>
      </c>
      <c r="J456" s="37"/>
    </row>
    <row r="457" customFormat="false" ht="15" hidden="false" customHeight="true" outlineLevel="0" collapsed="false">
      <c r="A457" s="37" t="s">
        <v>4195</v>
      </c>
      <c r="B457" s="37" t="s">
        <v>383</v>
      </c>
      <c r="C457" s="54" t="s">
        <v>4196</v>
      </c>
      <c r="D457" s="54" t="s">
        <v>5273</v>
      </c>
      <c r="E457" s="54" t="s">
        <v>5274</v>
      </c>
      <c r="F457" s="54" t="s">
        <v>5216</v>
      </c>
      <c r="G457" s="54" t="s">
        <v>5323</v>
      </c>
      <c r="H457" s="37" t="s">
        <v>5231</v>
      </c>
      <c r="I457" s="54" t="s">
        <v>5311</v>
      </c>
      <c r="J457" s="37"/>
    </row>
    <row r="458" customFormat="false" ht="15" hidden="false" customHeight="true" outlineLevel="0" collapsed="false">
      <c r="A458" s="37" t="s">
        <v>4197</v>
      </c>
      <c r="B458" s="37" t="s">
        <v>383</v>
      </c>
      <c r="C458" s="54" t="s">
        <v>4198</v>
      </c>
      <c r="D458" s="54" t="s">
        <v>5333</v>
      </c>
      <c r="E458" s="54" t="s">
        <v>5315</v>
      </c>
      <c r="F458" s="54" t="s">
        <v>5216</v>
      </c>
      <c r="G458" s="54" t="s">
        <v>5323</v>
      </c>
      <c r="H458" s="37" t="s">
        <v>5231</v>
      </c>
      <c r="I458" s="54" t="s">
        <v>5311</v>
      </c>
      <c r="J458" s="54" t="s">
        <v>5334</v>
      </c>
    </row>
    <row r="459" customFormat="false" ht="15" hidden="false" customHeight="true" outlineLevel="0" collapsed="false">
      <c r="A459" s="37" t="s">
        <v>4199</v>
      </c>
      <c r="B459" s="37" t="s">
        <v>383</v>
      </c>
      <c r="C459" s="54" t="s">
        <v>4200</v>
      </c>
      <c r="D459" s="54" t="s">
        <v>5289</v>
      </c>
      <c r="E459" s="54" t="s">
        <v>5290</v>
      </c>
      <c r="F459" s="54" t="s">
        <v>5216</v>
      </c>
      <c r="G459" s="54" t="s">
        <v>5323</v>
      </c>
      <c r="H459" s="37" t="s">
        <v>5231</v>
      </c>
      <c r="I459" s="54" t="s">
        <v>5311</v>
      </c>
      <c r="J459" s="37"/>
    </row>
    <row r="460" customFormat="false" ht="15" hidden="false" customHeight="true" outlineLevel="0" collapsed="false">
      <c r="A460" s="37" t="s">
        <v>4201</v>
      </c>
      <c r="B460" s="37" t="s">
        <v>383</v>
      </c>
      <c r="C460" s="54" t="s">
        <v>4202</v>
      </c>
      <c r="D460" s="54" t="s">
        <v>5220</v>
      </c>
      <c r="E460" s="54" t="s">
        <v>5221</v>
      </c>
      <c r="F460" s="54" t="s">
        <v>5216</v>
      </c>
      <c r="G460" s="54" t="s">
        <v>5323</v>
      </c>
      <c r="H460" s="37" t="s">
        <v>5231</v>
      </c>
      <c r="I460" s="54" t="s">
        <v>5311</v>
      </c>
      <c r="J460" s="37"/>
    </row>
    <row r="461" customFormat="false" ht="15" hidden="false" customHeight="true" outlineLevel="0" collapsed="false">
      <c r="A461" s="37" t="s">
        <v>4203</v>
      </c>
      <c r="B461" s="37" t="s">
        <v>383</v>
      </c>
      <c r="C461" s="54" t="s">
        <v>4204</v>
      </c>
      <c r="D461" s="54" t="s">
        <v>5304</v>
      </c>
      <c r="E461" s="54" t="s">
        <v>5215</v>
      </c>
      <c r="F461" s="54" t="s">
        <v>5216</v>
      </c>
      <c r="G461" s="54" t="s">
        <v>5323</v>
      </c>
      <c r="H461" s="37" t="s">
        <v>5231</v>
      </c>
      <c r="I461" s="54" t="s">
        <v>5311</v>
      </c>
      <c r="J461" s="37"/>
    </row>
    <row r="462" customFormat="false" ht="15" hidden="false" customHeight="true" outlineLevel="0" collapsed="false">
      <c r="A462" s="37" t="s">
        <v>4205</v>
      </c>
      <c r="B462" s="37" t="s">
        <v>383</v>
      </c>
      <c r="C462" s="54" t="s">
        <v>4206</v>
      </c>
      <c r="D462" s="54" t="s">
        <v>5289</v>
      </c>
      <c r="E462" s="54" t="s">
        <v>5290</v>
      </c>
      <c r="F462" s="54" t="s">
        <v>5216</v>
      </c>
      <c r="G462" s="54" t="s">
        <v>5323</v>
      </c>
      <c r="H462" s="37" t="s">
        <v>5231</v>
      </c>
      <c r="I462" s="54" t="s">
        <v>5311</v>
      </c>
      <c r="J462" s="37"/>
    </row>
    <row r="463" customFormat="false" ht="15" hidden="false" customHeight="true" outlineLevel="0" collapsed="false">
      <c r="A463" s="37" t="s">
        <v>4207</v>
      </c>
      <c r="B463" s="37" t="s">
        <v>383</v>
      </c>
      <c r="C463" s="54" t="s">
        <v>4208</v>
      </c>
      <c r="D463" s="54" t="s">
        <v>5326</v>
      </c>
      <c r="E463" s="54" t="s">
        <v>5327</v>
      </c>
      <c r="F463" s="54" t="s">
        <v>5240</v>
      </c>
      <c r="G463" s="54" t="s">
        <v>5323</v>
      </c>
      <c r="H463" s="37" t="s">
        <v>5231</v>
      </c>
      <c r="I463" s="54" t="s">
        <v>5311</v>
      </c>
      <c r="J463" s="37"/>
    </row>
    <row r="464" customFormat="false" ht="15" hidden="false" customHeight="true" outlineLevel="0" collapsed="false">
      <c r="A464" s="37" t="s">
        <v>4209</v>
      </c>
      <c r="B464" s="37" t="s">
        <v>383</v>
      </c>
      <c r="C464" s="54" t="s">
        <v>4210</v>
      </c>
      <c r="D464" s="54" t="s">
        <v>5326</v>
      </c>
      <c r="E464" s="54" t="s">
        <v>5327</v>
      </c>
      <c r="F464" s="54" t="s">
        <v>5240</v>
      </c>
      <c r="G464" s="54" t="s">
        <v>5323</v>
      </c>
      <c r="H464" s="37" t="s">
        <v>5231</v>
      </c>
      <c r="I464" s="54" t="s">
        <v>5311</v>
      </c>
      <c r="J464" s="37"/>
    </row>
    <row r="465" customFormat="false" ht="15" hidden="false" customHeight="true" outlineLevel="0" collapsed="false">
      <c r="A465" s="37" t="s">
        <v>4211</v>
      </c>
      <c r="B465" s="37" t="s">
        <v>383</v>
      </c>
      <c r="C465" s="54" t="s">
        <v>4212</v>
      </c>
      <c r="D465" s="54" t="s">
        <v>5304</v>
      </c>
      <c r="E465" s="54" t="s">
        <v>5215</v>
      </c>
      <c r="F465" s="54" t="s">
        <v>5216</v>
      </c>
      <c r="G465" s="54" t="s">
        <v>5323</v>
      </c>
      <c r="H465" s="37" t="s">
        <v>5231</v>
      </c>
      <c r="I465" s="54" t="s">
        <v>5311</v>
      </c>
      <c r="J465" s="37"/>
    </row>
    <row r="466" customFormat="false" ht="15" hidden="false" customHeight="true" outlineLevel="0" collapsed="false">
      <c r="A466" s="37" t="s">
        <v>4213</v>
      </c>
      <c r="B466" s="37" t="s">
        <v>383</v>
      </c>
      <c r="C466" s="54" t="s">
        <v>4214</v>
      </c>
      <c r="D466" s="54" t="s">
        <v>5220</v>
      </c>
      <c r="E466" s="54" t="s">
        <v>5221</v>
      </c>
      <c r="F466" s="54" t="s">
        <v>5216</v>
      </c>
      <c r="G466" s="54" t="s">
        <v>5323</v>
      </c>
      <c r="H466" s="37" t="s">
        <v>5231</v>
      </c>
      <c r="I466" s="54" t="s">
        <v>5311</v>
      </c>
      <c r="J466" s="37"/>
    </row>
    <row r="467" customFormat="false" ht="15" hidden="false" customHeight="true" outlineLevel="0" collapsed="false">
      <c r="A467" s="37" t="s">
        <v>4216</v>
      </c>
      <c r="B467" s="37" t="s">
        <v>383</v>
      </c>
      <c r="C467" s="54" t="s">
        <v>4217</v>
      </c>
      <c r="D467" s="54" t="s">
        <v>5243</v>
      </c>
      <c r="E467" s="54" t="s">
        <v>5244</v>
      </c>
      <c r="F467" s="54" t="s">
        <v>5240</v>
      </c>
      <c r="G467" s="54" t="s">
        <v>5323</v>
      </c>
      <c r="H467" s="37" t="s">
        <v>5231</v>
      </c>
      <c r="I467" s="54" t="s">
        <v>5311</v>
      </c>
      <c r="J467" s="37"/>
    </row>
    <row r="468" customFormat="false" ht="15" hidden="false" customHeight="true" outlineLevel="0" collapsed="false">
      <c r="A468" s="37" t="s">
        <v>4218</v>
      </c>
      <c r="B468" s="37" t="s">
        <v>383</v>
      </c>
      <c r="C468" s="37" t="s">
        <v>4219</v>
      </c>
      <c r="D468" s="54" t="s">
        <v>5241</v>
      </c>
      <c r="E468" s="54" t="s">
        <v>5242</v>
      </c>
      <c r="F468" s="54" t="s">
        <v>5216</v>
      </c>
      <c r="G468" s="54" t="s">
        <v>5323</v>
      </c>
      <c r="H468" s="37" t="s">
        <v>5231</v>
      </c>
      <c r="I468" s="54" t="s">
        <v>5311</v>
      </c>
      <c r="J468" s="37"/>
    </row>
    <row r="469" customFormat="false" ht="15" hidden="false" customHeight="true" outlineLevel="0" collapsed="false">
      <c r="A469" s="37" t="s">
        <v>4221</v>
      </c>
      <c r="B469" s="37" t="s">
        <v>383</v>
      </c>
      <c r="C469" s="54" t="s">
        <v>4222</v>
      </c>
      <c r="D469" s="54" t="s">
        <v>5326</v>
      </c>
      <c r="E469" s="54" t="s">
        <v>5327</v>
      </c>
      <c r="F469" s="54" t="s">
        <v>5240</v>
      </c>
      <c r="G469" s="54" t="s">
        <v>5323</v>
      </c>
      <c r="H469" s="37" t="s">
        <v>5231</v>
      </c>
      <c r="I469" s="54" t="s">
        <v>5311</v>
      </c>
      <c r="J469" s="37"/>
    </row>
    <row r="470" customFormat="false" ht="15" hidden="false" customHeight="true" outlineLevel="0" collapsed="false">
      <c r="A470" s="37" t="s">
        <v>4223</v>
      </c>
      <c r="B470" s="37" t="s">
        <v>383</v>
      </c>
      <c r="C470" s="54" t="s">
        <v>4224</v>
      </c>
      <c r="D470" s="54" t="s">
        <v>5243</v>
      </c>
      <c r="E470" s="54" t="s">
        <v>5244</v>
      </c>
      <c r="F470" s="54" t="s">
        <v>5240</v>
      </c>
      <c r="G470" s="54" t="s">
        <v>5323</v>
      </c>
      <c r="H470" s="37" t="s">
        <v>5231</v>
      </c>
      <c r="I470" s="54" t="s">
        <v>5311</v>
      </c>
      <c r="J470" s="37"/>
    </row>
    <row r="471" customFormat="false" ht="15" hidden="false" customHeight="true" outlineLevel="0" collapsed="false">
      <c r="A471" s="37" t="s">
        <v>4225</v>
      </c>
      <c r="B471" s="37" t="s">
        <v>383</v>
      </c>
      <c r="C471" s="54" t="s">
        <v>4226</v>
      </c>
      <c r="D471" s="54" t="s">
        <v>5243</v>
      </c>
      <c r="E471" s="54" t="s">
        <v>5244</v>
      </c>
      <c r="F471" s="54" t="s">
        <v>5240</v>
      </c>
      <c r="G471" s="54" t="s">
        <v>5323</v>
      </c>
      <c r="H471" s="37" t="s">
        <v>5231</v>
      </c>
      <c r="I471" s="54" t="s">
        <v>5311</v>
      </c>
      <c r="J471" s="37"/>
    </row>
    <row r="472" customFormat="false" ht="15" hidden="false" customHeight="true" outlineLevel="0" collapsed="false">
      <c r="A472" s="37" t="s">
        <v>4227</v>
      </c>
      <c r="B472" s="37" t="s">
        <v>383</v>
      </c>
      <c r="C472" s="54" t="s">
        <v>4228</v>
      </c>
      <c r="D472" s="54" t="s">
        <v>5243</v>
      </c>
      <c r="E472" s="54" t="s">
        <v>5244</v>
      </c>
      <c r="F472" s="54" t="s">
        <v>5240</v>
      </c>
      <c r="G472" s="54" t="s">
        <v>5323</v>
      </c>
      <c r="H472" s="37" t="s">
        <v>5231</v>
      </c>
      <c r="I472" s="54" t="s">
        <v>5311</v>
      </c>
      <c r="J472" s="37"/>
    </row>
    <row r="473" customFormat="false" ht="15" hidden="false" customHeight="true" outlineLevel="0" collapsed="false">
      <c r="A473" s="37" t="s">
        <v>4229</v>
      </c>
      <c r="B473" s="37" t="s">
        <v>383</v>
      </c>
      <c r="C473" s="54" t="s">
        <v>4230</v>
      </c>
      <c r="D473" s="54" t="s">
        <v>5289</v>
      </c>
      <c r="E473" s="54" t="s">
        <v>5290</v>
      </c>
      <c r="F473" s="54" t="s">
        <v>5216</v>
      </c>
      <c r="G473" s="54" t="s">
        <v>5323</v>
      </c>
      <c r="H473" s="37" t="s">
        <v>5231</v>
      </c>
      <c r="I473" s="54" t="s">
        <v>5311</v>
      </c>
      <c r="J473" s="37"/>
    </row>
    <row r="474" customFormat="false" ht="15" hidden="false" customHeight="true" outlineLevel="0" collapsed="false">
      <c r="A474" s="37" t="s">
        <v>4232</v>
      </c>
      <c r="B474" s="37" t="s">
        <v>383</v>
      </c>
      <c r="C474" s="54" t="s">
        <v>4233</v>
      </c>
      <c r="D474" s="54" t="s">
        <v>5326</v>
      </c>
      <c r="E474" s="54" t="s">
        <v>5327</v>
      </c>
      <c r="F474" s="54" t="s">
        <v>5240</v>
      </c>
      <c r="G474" s="54" t="s">
        <v>5323</v>
      </c>
      <c r="H474" s="37" t="s">
        <v>5231</v>
      </c>
      <c r="I474" s="54" t="s">
        <v>5311</v>
      </c>
      <c r="J474" s="37"/>
    </row>
    <row r="475" customFormat="false" ht="15" hidden="false" customHeight="true" outlineLevel="0" collapsed="false">
      <c r="A475" s="37" t="s">
        <v>4234</v>
      </c>
      <c r="B475" s="37" t="s">
        <v>383</v>
      </c>
      <c r="C475" s="54" t="s">
        <v>4235</v>
      </c>
      <c r="D475" s="54" t="s">
        <v>5243</v>
      </c>
      <c r="E475" s="54" t="s">
        <v>5244</v>
      </c>
      <c r="F475" s="54" t="s">
        <v>5240</v>
      </c>
      <c r="G475" s="54" t="s">
        <v>5323</v>
      </c>
      <c r="H475" s="37" t="s">
        <v>5231</v>
      </c>
      <c r="I475" s="54" t="s">
        <v>5311</v>
      </c>
      <c r="J475" s="37"/>
    </row>
    <row r="476" customFormat="false" ht="15" hidden="false" customHeight="true" outlineLevel="0" collapsed="false">
      <c r="A476" s="37" t="s">
        <v>4236</v>
      </c>
      <c r="B476" s="37" t="s">
        <v>383</v>
      </c>
      <c r="C476" s="54" t="s">
        <v>4237</v>
      </c>
      <c r="D476" s="54" t="s">
        <v>5326</v>
      </c>
      <c r="E476" s="54" t="s">
        <v>5327</v>
      </c>
      <c r="F476" s="54" t="s">
        <v>5240</v>
      </c>
      <c r="G476" s="54" t="s">
        <v>5323</v>
      </c>
      <c r="H476" s="37" t="s">
        <v>5231</v>
      </c>
      <c r="I476" s="54" t="s">
        <v>5311</v>
      </c>
      <c r="J476" s="37"/>
    </row>
    <row r="477" customFormat="false" ht="15" hidden="false" customHeight="true" outlineLevel="0" collapsed="false">
      <c r="A477" s="37" t="s">
        <v>4239</v>
      </c>
      <c r="B477" s="37" t="s">
        <v>383</v>
      </c>
      <c r="C477" s="54" t="s">
        <v>4240</v>
      </c>
      <c r="D477" s="54" t="s">
        <v>5243</v>
      </c>
      <c r="E477" s="54" t="s">
        <v>5244</v>
      </c>
      <c r="F477" s="54" t="s">
        <v>5240</v>
      </c>
      <c r="G477" s="54" t="s">
        <v>5323</v>
      </c>
      <c r="H477" s="37" t="s">
        <v>5231</v>
      </c>
      <c r="I477" s="54" t="s">
        <v>5311</v>
      </c>
      <c r="J477" s="37"/>
    </row>
    <row r="478" customFormat="false" ht="15" hidden="false" customHeight="true" outlineLevel="0" collapsed="false">
      <c r="A478" s="37" t="s">
        <v>4241</v>
      </c>
      <c r="B478" s="37" t="s">
        <v>383</v>
      </c>
      <c r="C478" s="54" t="s">
        <v>4242</v>
      </c>
      <c r="D478" s="54" t="s">
        <v>5243</v>
      </c>
      <c r="E478" s="54" t="s">
        <v>5244</v>
      </c>
      <c r="F478" s="54" t="s">
        <v>5240</v>
      </c>
      <c r="G478" s="54" t="s">
        <v>5323</v>
      </c>
      <c r="H478" s="37" t="s">
        <v>5231</v>
      </c>
      <c r="I478" s="54" t="s">
        <v>5311</v>
      </c>
      <c r="J478" s="37"/>
    </row>
    <row r="479" customFormat="false" ht="15" hidden="false" customHeight="true" outlineLevel="0" collapsed="false">
      <c r="A479" s="37" t="s">
        <v>4243</v>
      </c>
      <c r="B479" s="37" t="s">
        <v>383</v>
      </c>
      <c r="C479" s="54" t="s">
        <v>4244</v>
      </c>
      <c r="D479" s="54" t="s">
        <v>5243</v>
      </c>
      <c r="E479" s="54" t="s">
        <v>5244</v>
      </c>
      <c r="F479" s="54" t="s">
        <v>5240</v>
      </c>
      <c r="G479" s="54" t="s">
        <v>5323</v>
      </c>
      <c r="H479" s="37" t="s">
        <v>5231</v>
      </c>
      <c r="I479" s="54" t="s">
        <v>5311</v>
      </c>
      <c r="J479" s="37"/>
    </row>
    <row r="480" customFormat="false" ht="15" hidden="false" customHeight="true" outlineLevel="0" collapsed="false">
      <c r="A480" s="37" t="s">
        <v>4248</v>
      </c>
      <c r="B480" s="37" t="s">
        <v>383</v>
      </c>
      <c r="C480" s="54" t="s">
        <v>4249</v>
      </c>
      <c r="D480" s="54" t="s">
        <v>5243</v>
      </c>
      <c r="E480" s="54" t="s">
        <v>5244</v>
      </c>
      <c r="F480" s="54" t="s">
        <v>5240</v>
      </c>
      <c r="G480" s="54" t="s">
        <v>5323</v>
      </c>
      <c r="H480" s="37" t="s">
        <v>5231</v>
      </c>
      <c r="I480" s="54" t="s">
        <v>5311</v>
      </c>
      <c r="J480" s="37"/>
    </row>
    <row r="481" customFormat="false" ht="15" hidden="false" customHeight="true" outlineLevel="0" collapsed="false">
      <c r="A481" s="37" t="s">
        <v>4250</v>
      </c>
      <c r="B481" s="37" t="s">
        <v>383</v>
      </c>
      <c r="C481" s="54" t="s">
        <v>4251</v>
      </c>
      <c r="D481" s="54" t="s">
        <v>5289</v>
      </c>
      <c r="E481" s="54" t="s">
        <v>5290</v>
      </c>
      <c r="F481" s="54" t="s">
        <v>5216</v>
      </c>
      <c r="G481" s="54" t="s">
        <v>5323</v>
      </c>
      <c r="H481" s="37" t="s">
        <v>5231</v>
      </c>
      <c r="I481" s="54" t="s">
        <v>5311</v>
      </c>
      <c r="J481" s="37"/>
    </row>
    <row r="482" customFormat="false" ht="15" hidden="false" customHeight="true" outlineLevel="0" collapsed="false">
      <c r="A482" s="37" t="s">
        <v>4252</v>
      </c>
      <c r="B482" s="37" t="s">
        <v>383</v>
      </c>
      <c r="C482" s="54" t="s">
        <v>4253</v>
      </c>
      <c r="D482" s="54" t="s">
        <v>5289</v>
      </c>
      <c r="E482" s="54" t="s">
        <v>5290</v>
      </c>
      <c r="F482" s="54" t="s">
        <v>5216</v>
      </c>
      <c r="G482" s="54" t="s">
        <v>5323</v>
      </c>
      <c r="H482" s="37" t="s">
        <v>5231</v>
      </c>
      <c r="I482" s="54" t="s">
        <v>5311</v>
      </c>
      <c r="J482" s="37"/>
    </row>
    <row r="483" customFormat="false" ht="15" hidden="false" customHeight="true" outlineLevel="0" collapsed="false">
      <c r="A483" s="37" t="s">
        <v>4254</v>
      </c>
      <c r="B483" s="37" t="s">
        <v>383</v>
      </c>
      <c r="C483" s="54" t="s">
        <v>4255</v>
      </c>
      <c r="D483" s="54" t="s">
        <v>5289</v>
      </c>
      <c r="E483" s="54" t="s">
        <v>5290</v>
      </c>
      <c r="F483" s="54" t="s">
        <v>5216</v>
      </c>
      <c r="G483" s="54" t="s">
        <v>5323</v>
      </c>
      <c r="H483" s="37" t="s">
        <v>5231</v>
      </c>
      <c r="I483" s="54" t="s">
        <v>5311</v>
      </c>
      <c r="J483" s="37"/>
    </row>
    <row r="484" customFormat="false" ht="15" hidden="false" customHeight="true" outlineLevel="0" collapsed="false">
      <c r="A484" s="37" t="s">
        <v>4256</v>
      </c>
      <c r="B484" s="37" t="s">
        <v>383</v>
      </c>
      <c r="C484" s="54" t="s">
        <v>4257</v>
      </c>
      <c r="D484" s="54" t="s">
        <v>5243</v>
      </c>
      <c r="E484" s="54" t="s">
        <v>5244</v>
      </c>
      <c r="F484" s="54" t="s">
        <v>5240</v>
      </c>
      <c r="G484" s="54" t="s">
        <v>5323</v>
      </c>
      <c r="H484" s="37" t="s">
        <v>5231</v>
      </c>
      <c r="I484" s="54" t="s">
        <v>5311</v>
      </c>
      <c r="J484" s="37"/>
    </row>
    <row r="485" customFormat="false" ht="15" hidden="false" customHeight="true" outlineLevel="0" collapsed="false">
      <c r="A485" s="37" t="s">
        <v>4259</v>
      </c>
      <c r="B485" s="37" t="s">
        <v>383</v>
      </c>
      <c r="C485" s="54" t="s">
        <v>4260</v>
      </c>
      <c r="D485" s="54" t="s">
        <v>5289</v>
      </c>
      <c r="E485" s="54" t="s">
        <v>5290</v>
      </c>
      <c r="F485" s="54" t="s">
        <v>5216</v>
      </c>
      <c r="G485" s="54" t="s">
        <v>5323</v>
      </c>
      <c r="H485" s="37" t="s">
        <v>5231</v>
      </c>
      <c r="I485" s="54" t="s">
        <v>5311</v>
      </c>
      <c r="J485" s="37"/>
    </row>
    <row r="486" customFormat="false" ht="15" hidden="false" customHeight="true" outlineLevel="0" collapsed="false">
      <c r="A486" s="37" t="s">
        <v>4263</v>
      </c>
      <c r="B486" s="37" t="s">
        <v>383</v>
      </c>
      <c r="C486" s="54" t="s">
        <v>4264</v>
      </c>
      <c r="D486" s="54" t="s">
        <v>5326</v>
      </c>
      <c r="E486" s="54" t="s">
        <v>5327</v>
      </c>
      <c r="F486" s="54" t="s">
        <v>5240</v>
      </c>
      <c r="G486" s="54" t="s">
        <v>5323</v>
      </c>
      <c r="H486" s="37" t="s">
        <v>5231</v>
      </c>
      <c r="I486" s="54" t="s">
        <v>5311</v>
      </c>
      <c r="J486" s="37"/>
    </row>
    <row r="487" customFormat="false" ht="15" hidden="false" customHeight="true" outlineLevel="0" collapsed="false">
      <c r="A487" s="37" t="s">
        <v>4265</v>
      </c>
      <c r="B487" s="37" t="s">
        <v>383</v>
      </c>
      <c r="C487" s="54" t="s">
        <v>4266</v>
      </c>
      <c r="D487" s="54" t="s">
        <v>5289</v>
      </c>
      <c r="E487" s="54" t="s">
        <v>5290</v>
      </c>
      <c r="F487" s="54" t="s">
        <v>5216</v>
      </c>
      <c r="G487" s="54" t="s">
        <v>5323</v>
      </c>
      <c r="H487" s="37" t="s">
        <v>5231</v>
      </c>
      <c r="I487" s="54" t="s">
        <v>5311</v>
      </c>
      <c r="J487" s="37"/>
    </row>
    <row r="488" customFormat="false" ht="15" hidden="false" customHeight="true" outlineLevel="0" collapsed="false">
      <c r="A488" s="37" t="s">
        <v>4267</v>
      </c>
      <c r="B488" s="37" t="s">
        <v>383</v>
      </c>
      <c r="C488" s="54" t="s">
        <v>4268</v>
      </c>
      <c r="D488" s="54" t="s">
        <v>5241</v>
      </c>
      <c r="E488" s="54" t="s">
        <v>5242</v>
      </c>
      <c r="F488" s="54" t="s">
        <v>5216</v>
      </c>
      <c r="G488" s="54" t="s">
        <v>5323</v>
      </c>
      <c r="H488" s="37" t="s">
        <v>5231</v>
      </c>
      <c r="I488" s="54" t="s">
        <v>5311</v>
      </c>
      <c r="J488" s="37"/>
    </row>
    <row r="489" customFormat="false" ht="15" hidden="false" customHeight="true" outlineLevel="0" collapsed="false">
      <c r="A489" s="37" t="s">
        <v>4270</v>
      </c>
      <c r="B489" s="37" t="s">
        <v>383</v>
      </c>
      <c r="C489" s="54" t="s">
        <v>4271</v>
      </c>
      <c r="D489" s="54" t="s">
        <v>5273</v>
      </c>
      <c r="E489" s="54" t="s">
        <v>5274</v>
      </c>
      <c r="F489" s="54" t="s">
        <v>5216</v>
      </c>
      <c r="G489" s="54" t="s">
        <v>5323</v>
      </c>
      <c r="H489" s="37" t="s">
        <v>5231</v>
      </c>
      <c r="I489" s="54" t="s">
        <v>5311</v>
      </c>
      <c r="J489" s="37"/>
    </row>
    <row r="490" customFormat="false" ht="15" hidden="false" customHeight="true" outlineLevel="0" collapsed="false">
      <c r="A490" s="37" t="s">
        <v>2842</v>
      </c>
      <c r="B490" s="37" t="s">
        <v>485</v>
      </c>
      <c r="C490" s="37" t="s">
        <v>2843</v>
      </c>
      <c r="D490" s="54" t="s">
        <v>5328</v>
      </c>
      <c r="E490" s="54" t="s">
        <v>5329</v>
      </c>
      <c r="F490" s="54" t="s">
        <v>5240</v>
      </c>
      <c r="G490" s="54" t="s">
        <v>5335</v>
      </c>
      <c r="H490" s="37" t="s">
        <v>5269</v>
      </c>
      <c r="I490" s="54" t="s">
        <v>5293</v>
      </c>
      <c r="J490" s="37"/>
    </row>
    <row r="491" customFormat="false" ht="15" hidden="false" customHeight="true" outlineLevel="0" collapsed="false">
      <c r="A491" s="37" t="s">
        <v>2847</v>
      </c>
      <c r="B491" s="37" t="s">
        <v>485</v>
      </c>
      <c r="C491" s="37" t="s">
        <v>2848</v>
      </c>
      <c r="D491" s="54" t="s">
        <v>5328</v>
      </c>
      <c r="E491" s="54" t="s">
        <v>5329</v>
      </c>
      <c r="F491" s="54" t="s">
        <v>5240</v>
      </c>
      <c r="G491" s="54" t="s">
        <v>5335</v>
      </c>
      <c r="H491" s="37" t="s">
        <v>5269</v>
      </c>
      <c r="I491" s="54" t="s">
        <v>5293</v>
      </c>
      <c r="J491" s="37"/>
    </row>
    <row r="492" customFormat="false" ht="15" hidden="false" customHeight="true" outlineLevel="0" collapsed="false">
      <c r="A492" s="37" t="s">
        <v>2850</v>
      </c>
      <c r="B492" s="37" t="s">
        <v>485</v>
      </c>
      <c r="C492" s="37" t="s">
        <v>2851</v>
      </c>
      <c r="D492" s="54" t="s">
        <v>5328</v>
      </c>
      <c r="E492" s="54" t="s">
        <v>5329</v>
      </c>
      <c r="F492" s="54" t="s">
        <v>5240</v>
      </c>
      <c r="G492" s="54" t="s">
        <v>5335</v>
      </c>
      <c r="H492" s="37" t="s">
        <v>5269</v>
      </c>
      <c r="I492" s="54" t="s">
        <v>5293</v>
      </c>
      <c r="J492" s="37"/>
    </row>
    <row r="493" customFormat="false" ht="15" hidden="false" customHeight="true" outlineLevel="0" collapsed="false">
      <c r="A493" s="37" t="s">
        <v>2853</v>
      </c>
      <c r="B493" s="37" t="s">
        <v>485</v>
      </c>
      <c r="C493" s="37" t="s">
        <v>2854</v>
      </c>
      <c r="D493" s="54" t="s">
        <v>5328</v>
      </c>
      <c r="E493" s="54" t="s">
        <v>5329</v>
      </c>
      <c r="F493" s="54" t="s">
        <v>5240</v>
      </c>
      <c r="G493" s="54" t="s">
        <v>5335</v>
      </c>
      <c r="H493" s="37" t="s">
        <v>5269</v>
      </c>
      <c r="I493" s="54" t="s">
        <v>5293</v>
      </c>
      <c r="J493" s="37"/>
    </row>
    <row r="494" customFormat="false" ht="15" hidden="false" customHeight="true" outlineLevel="0" collapsed="false">
      <c r="A494" s="37" t="s">
        <v>2856</v>
      </c>
      <c r="B494" s="37" t="s">
        <v>485</v>
      </c>
      <c r="C494" s="37" t="s">
        <v>2857</v>
      </c>
      <c r="D494" s="54" t="s">
        <v>5328</v>
      </c>
      <c r="E494" s="54" t="s">
        <v>5329</v>
      </c>
      <c r="F494" s="54" t="s">
        <v>5240</v>
      </c>
      <c r="G494" s="54" t="s">
        <v>5335</v>
      </c>
      <c r="H494" s="37" t="s">
        <v>5269</v>
      </c>
      <c r="I494" s="54" t="s">
        <v>5293</v>
      </c>
      <c r="J494" s="37"/>
    </row>
    <row r="495" customFormat="false" ht="15" hidden="false" customHeight="true" outlineLevel="0" collapsed="false">
      <c r="A495" s="37" t="s">
        <v>2859</v>
      </c>
      <c r="B495" s="37" t="s">
        <v>485</v>
      </c>
      <c r="C495" s="37" t="s">
        <v>2860</v>
      </c>
      <c r="D495" s="54" t="s">
        <v>5328</v>
      </c>
      <c r="E495" s="54" t="s">
        <v>5329</v>
      </c>
      <c r="F495" s="54" t="s">
        <v>5240</v>
      </c>
      <c r="G495" s="54" t="s">
        <v>5335</v>
      </c>
      <c r="H495" s="37" t="s">
        <v>5269</v>
      </c>
      <c r="I495" s="54" t="s">
        <v>5293</v>
      </c>
      <c r="J495" s="37"/>
    </row>
    <row r="496" customFormat="false" ht="15" hidden="false" customHeight="true" outlineLevel="0" collapsed="false">
      <c r="A496" s="37" t="s">
        <v>2862</v>
      </c>
      <c r="B496" s="37" t="s">
        <v>485</v>
      </c>
      <c r="C496" s="37" t="s">
        <v>2863</v>
      </c>
      <c r="D496" s="54" t="s">
        <v>5328</v>
      </c>
      <c r="E496" s="54" t="s">
        <v>5329</v>
      </c>
      <c r="F496" s="54" t="s">
        <v>5240</v>
      </c>
      <c r="G496" s="54" t="s">
        <v>5335</v>
      </c>
      <c r="H496" s="37" t="s">
        <v>5269</v>
      </c>
      <c r="I496" s="54" t="s">
        <v>5293</v>
      </c>
      <c r="J496" s="37"/>
    </row>
    <row r="497" customFormat="false" ht="15" hidden="false" customHeight="true" outlineLevel="0" collapsed="false">
      <c r="A497" s="37" t="s">
        <v>2865</v>
      </c>
      <c r="B497" s="37" t="s">
        <v>485</v>
      </c>
      <c r="C497" s="37" t="s">
        <v>2866</v>
      </c>
      <c r="D497" s="54" t="s">
        <v>5328</v>
      </c>
      <c r="E497" s="54" t="s">
        <v>5329</v>
      </c>
      <c r="F497" s="54" t="s">
        <v>5240</v>
      </c>
      <c r="G497" s="54" t="s">
        <v>5335</v>
      </c>
      <c r="H497" s="37" t="s">
        <v>5269</v>
      </c>
      <c r="I497" s="54" t="s">
        <v>5293</v>
      </c>
      <c r="J497" s="37"/>
    </row>
    <row r="498" customFormat="false" ht="15" hidden="false" customHeight="true" outlineLevel="0" collapsed="false">
      <c r="A498" s="37" t="s">
        <v>2868</v>
      </c>
      <c r="B498" s="37" t="s">
        <v>485</v>
      </c>
      <c r="C498" s="37" t="s">
        <v>2869</v>
      </c>
      <c r="D498" s="54" t="s">
        <v>5328</v>
      </c>
      <c r="E498" s="54" t="s">
        <v>5329</v>
      </c>
      <c r="F498" s="54" t="s">
        <v>5240</v>
      </c>
      <c r="G498" s="54" t="s">
        <v>5335</v>
      </c>
      <c r="H498" s="37" t="s">
        <v>5269</v>
      </c>
      <c r="I498" s="54" t="s">
        <v>5293</v>
      </c>
      <c r="J498" s="37"/>
    </row>
    <row r="499" customFormat="false" ht="15" hidden="false" customHeight="true" outlineLevel="0" collapsed="false">
      <c r="A499" s="37" t="s">
        <v>2871</v>
      </c>
      <c r="B499" s="37" t="s">
        <v>485</v>
      </c>
      <c r="C499" s="37" t="s">
        <v>2872</v>
      </c>
      <c r="D499" s="54" t="s">
        <v>5328</v>
      </c>
      <c r="E499" s="54" t="s">
        <v>5329</v>
      </c>
      <c r="F499" s="54" t="s">
        <v>5240</v>
      </c>
      <c r="G499" s="54" t="s">
        <v>5335</v>
      </c>
      <c r="H499" s="37" t="s">
        <v>5269</v>
      </c>
      <c r="I499" s="54" t="s">
        <v>5293</v>
      </c>
      <c r="J499" s="37"/>
    </row>
    <row r="500" customFormat="false" ht="15" hidden="false" customHeight="true" outlineLevel="0" collapsed="false">
      <c r="A500" s="37" t="s">
        <v>2874</v>
      </c>
      <c r="B500" s="37" t="s">
        <v>485</v>
      </c>
      <c r="C500" s="37" t="s">
        <v>2875</v>
      </c>
      <c r="D500" s="54" t="s">
        <v>5328</v>
      </c>
      <c r="E500" s="54" t="s">
        <v>5329</v>
      </c>
      <c r="F500" s="54" t="s">
        <v>5240</v>
      </c>
      <c r="G500" s="54" t="s">
        <v>5335</v>
      </c>
      <c r="H500" s="37" t="s">
        <v>5269</v>
      </c>
      <c r="I500" s="54" t="s">
        <v>5293</v>
      </c>
      <c r="J500" s="37"/>
    </row>
    <row r="501" customFormat="false" ht="15" hidden="false" customHeight="true" outlineLevel="0" collapsed="false">
      <c r="A501" s="37" t="s">
        <v>2877</v>
      </c>
      <c r="B501" s="37" t="s">
        <v>485</v>
      </c>
      <c r="C501" s="37" t="s">
        <v>2878</v>
      </c>
      <c r="D501" s="54" t="s">
        <v>5328</v>
      </c>
      <c r="E501" s="54" t="s">
        <v>5329</v>
      </c>
      <c r="F501" s="54" t="s">
        <v>5240</v>
      </c>
      <c r="G501" s="54" t="s">
        <v>5335</v>
      </c>
      <c r="H501" s="37" t="s">
        <v>5269</v>
      </c>
      <c r="I501" s="54" t="s">
        <v>5293</v>
      </c>
      <c r="J501" s="37"/>
    </row>
    <row r="502" customFormat="false" ht="15" hidden="false" customHeight="true" outlineLevel="0" collapsed="false">
      <c r="A502" s="37" t="s">
        <v>2880</v>
      </c>
      <c r="B502" s="37" t="s">
        <v>485</v>
      </c>
      <c r="C502" s="37" t="s">
        <v>2881</v>
      </c>
      <c r="D502" s="54" t="s">
        <v>5328</v>
      </c>
      <c r="E502" s="54" t="s">
        <v>5329</v>
      </c>
      <c r="F502" s="54" t="s">
        <v>5240</v>
      </c>
      <c r="G502" s="54" t="s">
        <v>5335</v>
      </c>
      <c r="H502" s="37" t="s">
        <v>5269</v>
      </c>
      <c r="I502" s="54" t="s">
        <v>5293</v>
      </c>
      <c r="J502" s="37"/>
    </row>
    <row r="503" customFormat="false" ht="15" hidden="false" customHeight="true" outlineLevel="0" collapsed="false">
      <c r="A503" s="37" t="s">
        <v>2883</v>
      </c>
      <c r="B503" s="37" t="s">
        <v>485</v>
      </c>
      <c r="C503" s="37" t="s">
        <v>2884</v>
      </c>
      <c r="D503" s="54" t="s">
        <v>5328</v>
      </c>
      <c r="E503" s="54" t="s">
        <v>5329</v>
      </c>
      <c r="F503" s="54" t="s">
        <v>5240</v>
      </c>
      <c r="G503" s="54" t="s">
        <v>5335</v>
      </c>
      <c r="H503" s="37" t="s">
        <v>5269</v>
      </c>
      <c r="I503" s="54" t="s">
        <v>5293</v>
      </c>
      <c r="J503" s="37"/>
    </row>
    <row r="504" customFormat="false" ht="15" hidden="false" customHeight="true" outlineLevel="0" collapsed="false">
      <c r="A504" s="37" t="s">
        <v>2886</v>
      </c>
      <c r="B504" s="37" t="s">
        <v>485</v>
      </c>
      <c r="C504" s="37" t="s">
        <v>2887</v>
      </c>
      <c r="D504" s="54" t="s">
        <v>5328</v>
      </c>
      <c r="E504" s="54" t="s">
        <v>5329</v>
      </c>
      <c r="F504" s="54" t="s">
        <v>5240</v>
      </c>
      <c r="G504" s="54" t="s">
        <v>5335</v>
      </c>
      <c r="H504" s="37" t="s">
        <v>5269</v>
      </c>
      <c r="I504" s="54" t="s">
        <v>5293</v>
      </c>
      <c r="J504" s="37"/>
    </row>
    <row r="505" customFormat="false" ht="15" hidden="false" customHeight="true" outlineLevel="0" collapsed="false">
      <c r="A505" s="37" t="s">
        <v>2889</v>
      </c>
      <c r="B505" s="37" t="s">
        <v>485</v>
      </c>
      <c r="C505" s="37" t="s">
        <v>2890</v>
      </c>
      <c r="D505" s="54" t="s">
        <v>5328</v>
      </c>
      <c r="E505" s="54" t="s">
        <v>5329</v>
      </c>
      <c r="F505" s="54" t="s">
        <v>5240</v>
      </c>
      <c r="G505" s="54" t="s">
        <v>5335</v>
      </c>
      <c r="H505" s="37" t="s">
        <v>5269</v>
      </c>
      <c r="I505" s="54" t="s">
        <v>5293</v>
      </c>
      <c r="J505" s="37"/>
    </row>
    <row r="506" customFormat="false" ht="15" hidden="false" customHeight="true" outlineLevel="0" collapsed="false">
      <c r="A506" s="37" t="s">
        <v>2892</v>
      </c>
      <c r="B506" s="37" t="s">
        <v>485</v>
      </c>
      <c r="C506" s="37" t="s">
        <v>2893</v>
      </c>
      <c r="D506" s="54" t="s">
        <v>5328</v>
      </c>
      <c r="E506" s="54" t="s">
        <v>5329</v>
      </c>
      <c r="F506" s="54" t="s">
        <v>5240</v>
      </c>
      <c r="G506" s="54" t="s">
        <v>5335</v>
      </c>
      <c r="H506" s="37" t="s">
        <v>5269</v>
      </c>
      <c r="I506" s="54" t="s">
        <v>5293</v>
      </c>
      <c r="J506" s="37"/>
    </row>
    <row r="507" customFormat="false" ht="15" hidden="false" customHeight="true" outlineLevel="0" collapsed="false">
      <c r="A507" s="37" t="s">
        <v>2895</v>
      </c>
      <c r="B507" s="37" t="s">
        <v>485</v>
      </c>
      <c r="C507" s="37" t="s">
        <v>2896</v>
      </c>
      <c r="D507" s="54" t="s">
        <v>5328</v>
      </c>
      <c r="E507" s="54" t="s">
        <v>5329</v>
      </c>
      <c r="F507" s="54" t="s">
        <v>5240</v>
      </c>
      <c r="G507" s="54" t="s">
        <v>5335</v>
      </c>
      <c r="H507" s="37" t="s">
        <v>5269</v>
      </c>
      <c r="I507" s="54" t="s">
        <v>5293</v>
      </c>
      <c r="J507" s="37"/>
    </row>
    <row r="508" customFormat="false" ht="15" hidden="false" customHeight="true" outlineLevel="0" collapsed="false">
      <c r="A508" s="37" t="s">
        <v>2898</v>
      </c>
      <c r="B508" s="37" t="s">
        <v>485</v>
      </c>
      <c r="C508" s="37" t="s">
        <v>2899</v>
      </c>
      <c r="D508" s="54" t="s">
        <v>5328</v>
      </c>
      <c r="E508" s="54" t="s">
        <v>5329</v>
      </c>
      <c r="F508" s="54" t="s">
        <v>5240</v>
      </c>
      <c r="G508" s="54" t="s">
        <v>5335</v>
      </c>
      <c r="H508" s="37" t="s">
        <v>5269</v>
      </c>
      <c r="I508" s="54" t="s">
        <v>5293</v>
      </c>
      <c r="J508" s="37"/>
    </row>
    <row r="509" customFormat="false" ht="15" hidden="false" customHeight="true" outlineLevel="0" collapsed="false">
      <c r="A509" s="37" t="s">
        <v>2901</v>
      </c>
      <c r="B509" s="37" t="s">
        <v>485</v>
      </c>
      <c r="C509" s="37" t="s">
        <v>2902</v>
      </c>
      <c r="D509" s="54" t="s">
        <v>5328</v>
      </c>
      <c r="E509" s="54" t="s">
        <v>5329</v>
      </c>
      <c r="F509" s="54" t="s">
        <v>5240</v>
      </c>
      <c r="G509" s="54" t="s">
        <v>5335</v>
      </c>
      <c r="H509" s="37" t="s">
        <v>5269</v>
      </c>
      <c r="I509" s="54" t="s">
        <v>5293</v>
      </c>
      <c r="J509" s="37"/>
    </row>
    <row r="510" customFormat="false" ht="15" hidden="false" customHeight="true" outlineLevel="0" collapsed="false">
      <c r="A510" s="37" t="s">
        <v>2904</v>
      </c>
      <c r="B510" s="37" t="s">
        <v>485</v>
      </c>
      <c r="C510" s="37" t="s">
        <v>2905</v>
      </c>
      <c r="D510" s="54" t="s">
        <v>5328</v>
      </c>
      <c r="E510" s="54" t="s">
        <v>5329</v>
      </c>
      <c r="F510" s="54" t="s">
        <v>5240</v>
      </c>
      <c r="G510" s="54" t="s">
        <v>5335</v>
      </c>
      <c r="H510" s="37" t="s">
        <v>5269</v>
      </c>
      <c r="I510" s="54" t="s">
        <v>5293</v>
      </c>
      <c r="J510" s="37"/>
    </row>
    <row r="511" customFormat="false" ht="15" hidden="false" customHeight="true" outlineLevel="0" collapsed="false">
      <c r="A511" s="37" t="s">
        <v>2907</v>
      </c>
      <c r="B511" s="37" t="s">
        <v>485</v>
      </c>
      <c r="C511" s="37" t="s">
        <v>2908</v>
      </c>
      <c r="D511" s="54" t="s">
        <v>5328</v>
      </c>
      <c r="E511" s="54" t="s">
        <v>5329</v>
      </c>
      <c r="F511" s="54" t="s">
        <v>5240</v>
      </c>
      <c r="G511" s="54" t="s">
        <v>5335</v>
      </c>
      <c r="H511" s="37" t="s">
        <v>5269</v>
      </c>
      <c r="I511" s="54" t="s">
        <v>5293</v>
      </c>
      <c r="J511" s="37"/>
    </row>
    <row r="512" customFormat="false" ht="15" hidden="false" customHeight="true" outlineLevel="0" collapsed="false">
      <c r="A512" s="37" t="s">
        <v>2910</v>
      </c>
      <c r="B512" s="37" t="s">
        <v>485</v>
      </c>
      <c r="C512" s="54" t="s">
        <v>2911</v>
      </c>
      <c r="D512" s="54" t="s">
        <v>5328</v>
      </c>
      <c r="E512" s="54" t="s">
        <v>5329</v>
      </c>
      <c r="F512" s="54" t="s">
        <v>5240</v>
      </c>
      <c r="G512" s="54" t="s">
        <v>5335</v>
      </c>
      <c r="H512" s="37" t="s">
        <v>5269</v>
      </c>
      <c r="I512" s="54" t="s">
        <v>5293</v>
      </c>
      <c r="J512" s="37"/>
    </row>
    <row r="513" customFormat="false" ht="15" hidden="false" customHeight="true" outlineLevel="0" collapsed="false">
      <c r="A513" s="37" t="s">
        <v>2913</v>
      </c>
      <c r="B513" s="37" t="s">
        <v>485</v>
      </c>
      <c r="C513" s="37" t="s">
        <v>2914</v>
      </c>
      <c r="D513" s="54" t="s">
        <v>5328</v>
      </c>
      <c r="E513" s="54" t="s">
        <v>5329</v>
      </c>
      <c r="F513" s="54" t="s">
        <v>5240</v>
      </c>
      <c r="G513" s="54" t="s">
        <v>5335</v>
      </c>
      <c r="H513" s="37" t="s">
        <v>5269</v>
      </c>
      <c r="I513" s="54" t="s">
        <v>5293</v>
      </c>
      <c r="J513" s="37"/>
    </row>
    <row r="514" customFormat="false" ht="15" hidden="false" customHeight="true" outlineLevel="0" collapsed="false">
      <c r="A514" s="37" t="s">
        <v>2919</v>
      </c>
      <c r="B514" s="37" t="s">
        <v>485</v>
      </c>
      <c r="C514" s="37" t="s">
        <v>2920</v>
      </c>
      <c r="D514" s="54" t="s">
        <v>5328</v>
      </c>
      <c r="E514" s="54" t="s">
        <v>5329</v>
      </c>
      <c r="F514" s="54" t="s">
        <v>5240</v>
      </c>
      <c r="G514" s="54" t="s">
        <v>5335</v>
      </c>
      <c r="H514" s="37" t="s">
        <v>5269</v>
      </c>
      <c r="I514" s="54" t="s">
        <v>5293</v>
      </c>
      <c r="J514" s="37"/>
    </row>
    <row r="515" customFormat="false" ht="15" hidden="false" customHeight="true" outlineLevel="0" collapsed="false">
      <c r="A515" s="37" t="s">
        <v>2922</v>
      </c>
      <c r="B515" s="37" t="s">
        <v>485</v>
      </c>
      <c r="C515" s="37" t="s">
        <v>2923</v>
      </c>
      <c r="D515" s="54" t="s">
        <v>5328</v>
      </c>
      <c r="E515" s="54" t="s">
        <v>5329</v>
      </c>
      <c r="F515" s="54" t="s">
        <v>5240</v>
      </c>
      <c r="G515" s="54" t="s">
        <v>5335</v>
      </c>
      <c r="H515" s="37" t="s">
        <v>5269</v>
      </c>
      <c r="I515" s="54" t="s">
        <v>5293</v>
      </c>
      <c r="J515" s="37"/>
    </row>
    <row r="516" customFormat="false" ht="15" hidden="false" customHeight="true" outlineLevel="0" collapsed="false">
      <c r="A516" s="37" t="s">
        <v>2925</v>
      </c>
      <c r="B516" s="37" t="s">
        <v>485</v>
      </c>
      <c r="C516" s="37" t="s">
        <v>2926</v>
      </c>
      <c r="D516" s="54" t="s">
        <v>5328</v>
      </c>
      <c r="E516" s="54" t="s">
        <v>5329</v>
      </c>
      <c r="F516" s="54" t="s">
        <v>5240</v>
      </c>
      <c r="G516" s="54" t="s">
        <v>5335</v>
      </c>
      <c r="H516" s="37" t="s">
        <v>5269</v>
      </c>
      <c r="I516" s="54" t="s">
        <v>5293</v>
      </c>
      <c r="J516" s="37"/>
    </row>
    <row r="517" customFormat="false" ht="15" hidden="false" customHeight="true" outlineLevel="0" collapsed="false">
      <c r="A517" s="37" t="s">
        <v>2928</v>
      </c>
      <c r="B517" s="37" t="s">
        <v>485</v>
      </c>
      <c r="C517" s="37" t="s">
        <v>2929</v>
      </c>
      <c r="D517" s="54" t="s">
        <v>5328</v>
      </c>
      <c r="E517" s="54" t="s">
        <v>5329</v>
      </c>
      <c r="F517" s="54" t="s">
        <v>5240</v>
      </c>
      <c r="G517" s="54" t="s">
        <v>5335</v>
      </c>
      <c r="H517" s="37" t="s">
        <v>5269</v>
      </c>
      <c r="I517" s="54" t="s">
        <v>5293</v>
      </c>
      <c r="J517" s="37"/>
    </row>
    <row r="518" customFormat="false" ht="15" hidden="false" customHeight="true" outlineLevel="0" collapsed="false">
      <c r="A518" s="37" t="s">
        <v>2931</v>
      </c>
      <c r="B518" s="37" t="s">
        <v>485</v>
      </c>
      <c r="C518" s="37" t="s">
        <v>2932</v>
      </c>
      <c r="D518" s="54" t="s">
        <v>5328</v>
      </c>
      <c r="E518" s="54" t="s">
        <v>5329</v>
      </c>
      <c r="F518" s="54" t="s">
        <v>5240</v>
      </c>
      <c r="G518" s="54" t="s">
        <v>5335</v>
      </c>
      <c r="H518" s="37" t="s">
        <v>5269</v>
      </c>
      <c r="I518" s="54" t="s">
        <v>5293</v>
      </c>
      <c r="J518" s="37"/>
    </row>
    <row r="519" customFormat="false" ht="15" hidden="false" customHeight="true" outlineLevel="0" collapsed="false">
      <c r="A519" s="37" t="s">
        <v>2934</v>
      </c>
      <c r="B519" s="37" t="s">
        <v>485</v>
      </c>
      <c r="C519" s="37" t="s">
        <v>2935</v>
      </c>
      <c r="D519" s="54" t="s">
        <v>5328</v>
      </c>
      <c r="E519" s="54" t="s">
        <v>5329</v>
      </c>
      <c r="F519" s="54" t="s">
        <v>5240</v>
      </c>
      <c r="G519" s="54" t="s">
        <v>5335</v>
      </c>
      <c r="H519" s="37" t="s">
        <v>5269</v>
      </c>
      <c r="I519" s="54" t="s">
        <v>5293</v>
      </c>
      <c r="J519" s="37"/>
    </row>
    <row r="520" customFormat="false" ht="15" hidden="false" customHeight="true" outlineLevel="0" collapsed="false">
      <c r="A520" s="37" t="s">
        <v>2937</v>
      </c>
      <c r="B520" s="37" t="s">
        <v>485</v>
      </c>
      <c r="C520" s="37" t="s">
        <v>2938</v>
      </c>
      <c r="D520" s="54" t="s">
        <v>5328</v>
      </c>
      <c r="E520" s="54" t="s">
        <v>5329</v>
      </c>
      <c r="F520" s="54" t="s">
        <v>5240</v>
      </c>
      <c r="G520" s="54" t="s">
        <v>5335</v>
      </c>
      <c r="H520" s="37" t="s">
        <v>5269</v>
      </c>
      <c r="I520" s="54" t="s">
        <v>5293</v>
      </c>
      <c r="J520" s="37"/>
    </row>
    <row r="521" customFormat="false" ht="15" hidden="false" customHeight="true" outlineLevel="0" collapsed="false">
      <c r="A521" s="37" t="s">
        <v>2940</v>
      </c>
      <c r="B521" s="37" t="s">
        <v>485</v>
      </c>
      <c r="C521" s="37" t="s">
        <v>2941</v>
      </c>
      <c r="D521" s="54" t="s">
        <v>5328</v>
      </c>
      <c r="E521" s="54" t="s">
        <v>5329</v>
      </c>
      <c r="F521" s="54" t="s">
        <v>5240</v>
      </c>
      <c r="G521" s="54" t="s">
        <v>5335</v>
      </c>
      <c r="H521" s="37" t="s">
        <v>5269</v>
      </c>
      <c r="I521" s="54" t="s">
        <v>5293</v>
      </c>
      <c r="J521" s="37"/>
    </row>
    <row r="522" customFormat="false" ht="15" hidden="false" customHeight="true" outlineLevel="0" collapsed="false">
      <c r="A522" s="37" t="s">
        <v>2943</v>
      </c>
      <c r="B522" s="37" t="s">
        <v>485</v>
      </c>
      <c r="C522" s="37" t="s">
        <v>2944</v>
      </c>
      <c r="D522" s="54" t="s">
        <v>5328</v>
      </c>
      <c r="E522" s="54" t="s">
        <v>5329</v>
      </c>
      <c r="F522" s="54" t="s">
        <v>5240</v>
      </c>
      <c r="G522" s="54" t="s">
        <v>5335</v>
      </c>
      <c r="H522" s="37" t="s">
        <v>5269</v>
      </c>
      <c r="I522" s="54" t="s">
        <v>5293</v>
      </c>
      <c r="J522" s="37"/>
    </row>
    <row r="523" customFormat="false" ht="15" hidden="false" customHeight="true" outlineLevel="0" collapsed="false">
      <c r="A523" s="37" t="s">
        <v>2946</v>
      </c>
      <c r="B523" s="37" t="s">
        <v>485</v>
      </c>
      <c r="C523" s="37" t="s">
        <v>2947</v>
      </c>
      <c r="D523" s="54" t="s">
        <v>5328</v>
      </c>
      <c r="E523" s="54" t="s">
        <v>5329</v>
      </c>
      <c r="F523" s="54" t="s">
        <v>5240</v>
      </c>
      <c r="G523" s="54" t="s">
        <v>5335</v>
      </c>
      <c r="H523" s="37" t="s">
        <v>5269</v>
      </c>
      <c r="I523" s="54" t="s">
        <v>5293</v>
      </c>
      <c r="J523" s="37"/>
    </row>
    <row r="524" customFormat="false" ht="15" hidden="false" customHeight="true" outlineLevel="0" collapsed="false">
      <c r="A524" s="37" t="s">
        <v>2949</v>
      </c>
      <c r="B524" s="37" t="s">
        <v>485</v>
      </c>
      <c r="C524" s="37" t="s">
        <v>2950</v>
      </c>
      <c r="D524" s="54" t="s">
        <v>5328</v>
      </c>
      <c r="E524" s="54" t="s">
        <v>5329</v>
      </c>
      <c r="F524" s="54" t="s">
        <v>5240</v>
      </c>
      <c r="G524" s="54" t="s">
        <v>5335</v>
      </c>
      <c r="H524" s="37" t="s">
        <v>5269</v>
      </c>
      <c r="I524" s="54" t="s">
        <v>5293</v>
      </c>
      <c r="J524" s="37"/>
    </row>
    <row r="525" customFormat="false" ht="15" hidden="false" customHeight="true" outlineLevel="0" collapsed="false">
      <c r="A525" s="37" t="s">
        <v>2952</v>
      </c>
      <c r="B525" s="37" t="s">
        <v>485</v>
      </c>
      <c r="C525" s="37" t="s">
        <v>2953</v>
      </c>
      <c r="D525" s="54" t="s">
        <v>5328</v>
      </c>
      <c r="E525" s="54" t="s">
        <v>5329</v>
      </c>
      <c r="F525" s="54" t="s">
        <v>5240</v>
      </c>
      <c r="G525" s="54" t="s">
        <v>5335</v>
      </c>
      <c r="H525" s="37" t="s">
        <v>5269</v>
      </c>
      <c r="I525" s="54" t="s">
        <v>5293</v>
      </c>
      <c r="J525" s="37"/>
    </row>
    <row r="526" customFormat="false" ht="15" hidden="false" customHeight="true" outlineLevel="0" collapsed="false">
      <c r="A526" s="37" t="s">
        <v>2955</v>
      </c>
      <c r="B526" s="37" t="s">
        <v>485</v>
      </c>
      <c r="C526" s="37" t="s">
        <v>2956</v>
      </c>
      <c r="D526" s="54" t="s">
        <v>5328</v>
      </c>
      <c r="E526" s="54" t="s">
        <v>5329</v>
      </c>
      <c r="F526" s="54" t="s">
        <v>5240</v>
      </c>
      <c r="G526" s="54" t="s">
        <v>5335</v>
      </c>
      <c r="H526" s="37" t="s">
        <v>5269</v>
      </c>
      <c r="I526" s="54" t="s">
        <v>5293</v>
      </c>
      <c r="J526" s="37"/>
    </row>
    <row r="527" customFormat="false" ht="15" hidden="false" customHeight="true" outlineLevel="0" collapsed="false">
      <c r="A527" s="37" t="s">
        <v>2958</v>
      </c>
      <c r="B527" s="37" t="s">
        <v>485</v>
      </c>
      <c r="C527" s="37" t="s">
        <v>2959</v>
      </c>
      <c r="D527" s="54" t="s">
        <v>5328</v>
      </c>
      <c r="E527" s="54" t="s">
        <v>5329</v>
      </c>
      <c r="F527" s="54" t="s">
        <v>5240</v>
      </c>
      <c r="G527" s="54" t="s">
        <v>5335</v>
      </c>
      <c r="H527" s="37" t="s">
        <v>5269</v>
      </c>
      <c r="I527" s="54" t="s">
        <v>5293</v>
      </c>
      <c r="J527" s="37"/>
    </row>
    <row r="528" customFormat="false" ht="15" hidden="false" customHeight="true" outlineLevel="0" collapsed="false">
      <c r="A528" s="37" t="s">
        <v>2961</v>
      </c>
      <c r="B528" s="37" t="s">
        <v>485</v>
      </c>
      <c r="C528" s="54" t="s">
        <v>2485</v>
      </c>
      <c r="D528" s="54" t="s">
        <v>5328</v>
      </c>
      <c r="E528" s="54" t="s">
        <v>5329</v>
      </c>
      <c r="F528" s="54" t="s">
        <v>5240</v>
      </c>
      <c r="G528" s="54" t="s">
        <v>5335</v>
      </c>
      <c r="H528" s="37" t="s">
        <v>5269</v>
      </c>
      <c r="I528" s="54" t="s">
        <v>5293</v>
      </c>
      <c r="J528" s="37"/>
    </row>
    <row r="529" customFormat="false" ht="15" hidden="false" customHeight="true" outlineLevel="0" collapsed="false">
      <c r="A529" s="37" t="s">
        <v>2963</v>
      </c>
      <c r="B529" s="37" t="s">
        <v>485</v>
      </c>
      <c r="C529" s="37" t="s">
        <v>2964</v>
      </c>
      <c r="D529" s="54" t="s">
        <v>5328</v>
      </c>
      <c r="E529" s="54" t="s">
        <v>5329</v>
      </c>
      <c r="F529" s="54" t="s">
        <v>5240</v>
      </c>
      <c r="G529" s="54" t="s">
        <v>5335</v>
      </c>
      <c r="H529" s="37" t="s">
        <v>5269</v>
      </c>
      <c r="I529" s="54" t="s">
        <v>5293</v>
      </c>
      <c r="J529" s="37"/>
    </row>
    <row r="530" customFormat="false" ht="15" hidden="false" customHeight="true" outlineLevel="0" collapsed="false">
      <c r="A530" s="37" t="s">
        <v>2966</v>
      </c>
      <c r="B530" s="37" t="s">
        <v>485</v>
      </c>
      <c r="C530" s="37" t="s">
        <v>2967</v>
      </c>
      <c r="D530" s="54" t="s">
        <v>5328</v>
      </c>
      <c r="E530" s="54" t="s">
        <v>5329</v>
      </c>
      <c r="F530" s="54" t="s">
        <v>5240</v>
      </c>
      <c r="G530" s="54" t="s">
        <v>5335</v>
      </c>
      <c r="H530" s="37" t="s">
        <v>5269</v>
      </c>
      <c r="I530" s="54" t="s">
        <v>5293</v>
      </c>
      <c r="J530" s="37"/>
    </row>
    <row r="531" customFormat="false" ht="15" hidden="false" customHeight="true" outlineLevel="0" collapsed="false">
      <c r="A531" s="37" t="s">
        <v>2969</v>
      </c>
      <c r="B531" s="37" t="s">
        <v>485</v>
      </c>
      <c r="C531" s="37" t="s">
        <v>2970</v>
      </c>
      <c r="D531" s="54" t="s">
        <v>5328</v>
      </c>
      <c r="E531" s="54" t="s">
        <v>5329</v>
      </c>
      <c r="F531" s="54" t="s">
        <v>5240</v>
      </c>
      <c r="G531" s="54" t="s">
        <v>5335</v>
      </c>
      <c r="H531" s="37" t="s">
        <v>5269</v>
      </c>
      <c r="I531" s="54" t="s">
        <v>5293</v>
      </c>
      <c r="J531" s="37"/>
    </row>
    <row r="532" customFormat="false" ht="15" hidden="false" customHeight="true" outlineLevel="0" collapsed="false">
      <c r="A532" s="37" t="s">
        <v>2972</v>
      </c>
      <c r="B532" s="37" t="s">
        <v>485</v>
      </c>
      <c r="C532" s="37" t="s">
        <v>2973</v>
      </c>
      <c r="D532" s="54" t="s">
        <v>5328</v>
      </c>
      <c r="E532" s="54" t="s">
        <v>5329</v>
      </c>
      <c r="F532" s="54" t="s">
        <v>5240</v>
      </c>
      <c r="G532" s="54" t="s">
        <v>5335</v>
      </c>
      <c r="H532" s="37" t="s">
        <v>5269</v>
      </c>
      <c r="I532" s="54" t="s">
        <v>5293</v>
      </c>
      <c r="J532" s="37"/>
    </row>
    <row r="533" customFormat="false" ht="15" hidden="false" customHeight="true" outlineLevel="0" collapsed="false">
      <c r="A533" s="37" t="s">
        <v>2975</v>
      </c>
      <c r="B533" s="37" t="s">
        <v>485</v>
      </c>
      <c r="C533" s="37" t="s">
        <v>2976</v>
      </c>
      <c r="D533" s="54" t="s">
        <v>5328</v>
      </c>
      <c r="E533" s="54" t="s">
        <v>5329</v>
      </c>
      <c r="F533" s="54" t="s">
        <v>5240</v>
      </c>
      <c r="G533" s="54" t="s">
        <v>5335</v>
      </c>
      <c r="H533" s="37" t="s">
        <v>5269</v>
      </c>
      <c r="I533" s="54" t="s">
        <v>5293</v>
      </c>
      <c r="J533" s="37"/>
    </row>
    <row r="534" customFormat="false" ht="15" hidden="false" customHeight="true" outlineLevel="0" collapsed="false">
      <c r="A534" s="37" t="s">
        <v>2978</v>
      </c>
      <c r="B534" s="37" t="s">
        <v>485</v>
      </c>
      <c r="C534" s="37" t="s">
        <v>2979</v>
      </c>
      <c r="D534" s="54" t="s">
        <v>5328</v>
      </c>
      <c r="E534" s="54" t="s">
        <v>5329</v>
      </c>
      <c r="F534" s="54" t="s">
        <v>5240</v>
      </c>
      <c r="G534" s="54" t="s">
        <v>5335</v>
      </c>
      <c r="H534" s="37" t="s">
        <v>5269</v>
      </c>
      <c r="I534" s="54" t="s">
        <v>5293</v>
      </c>
      <c r="J534" s="37"/>
    </row>
    <row r="535" customFormat="false" ht="15" hidden="false" customHeight="true" outlineLevel="0" collapsed="false">
      <c r="A535" s="37" t="s">
        <v>2981</v>
      </c>
      <c r="B535" s="37" t="s">
        <v>485</v>
      </c>
      <c r="C535" s="37" t="s">
        <v>2982</v>
      </c>
      <c r="D535" s="54" t="s">
        <v>5328</v>
      </c>
      <c r="E535" s="54" t="s">
        <v>5329</v>
      </c>
      <c r="F535" s="54" t="s">
        <v>5240</v>
      </c>
      <c r="G535" s="54" t="s">
        <v>5335</v>
      </c>
      <c r="H535" s="37" t="s">
        <v>5269</v>
      </c>
      <c r="I535" s="54" t="s">
        <v>5293</v>
      </c>
      <c r="J535" s="37"/>
    </row>
    <row r="536" customFormat="false" ht="15" hidden="false" customHeight="true" outlineLevel="0" collapsed="false">
      <c r="A536" s="37" t="s">
        <v>2984</v>
      </c>
      <c r="B536" s="37" t="s">
        <v>485</v>
      </c>
      <c r="C536" s="54" t="s">
        <v>2985</v>
      </c>
      <c r="D536" s="37" t="s">
        <v>5336</v>
      </c>
      <c r="E536" s="54" t="s">
        <v>5249</v>
      </c>
      <c r="F536" s="54" t="s">
        <v>4738</v>
      </c>
      <c r="G536" s="54" t="s">
        <v>5335</v>
      </c>
      <c r="H536" s="37" t="s">
        <v>5269</v>
      </c>
      <c r="I536" s="54" t="s">
        <v>5293</v>
      </c>
      <c r="J536" s="37"/>
    </row>
    <row r="537" customFormat="false" ht="15" hidden="false" customHeight="true" outlineLevel="0" collapsed="false">
      <c r="A537" s="37" t="s">
        <v>2987</v>
      </c>
      <c r="B537" s="37" t="s">
        <v>485</v>
      </c>
      <c r="C537" s="37" t="s">
        <v>2988</v>
      </c>
      <c r="D537" s="54" t="s">
        <v>5328</v>
      </c>
      <c r="E537" s="54" t="s">
        <v>5329</v>
      </c>
      <c r="F537" s="54" t="s">
        <v>5240</v>
      </c>
      <c r="G537" s="54" t="s">
        <v>5335</v>
      </c>
      <c r="H537" s="37" t="s">
        <v>5269</v>
      </c>
      <c r="I537" s="54" t="s">
        <v>5293</v>
      </c>
      <c r="J537" s="37"/>
    </row>
    <row r="538" customFormat="false" ht="15" hidden="false" customHeight="true" outlineLevel="0" collapsed="false">
      <c r="A538" s="37" t="s">
        <v>2990</v>
      </c>
      <c r="B538" s="37" t="s">
        <v>485</v>
      </c>
      <c r="C538" s="37" t="s">
        <v>2991</v>
      </c>
      <c r="D538" s="54" t="s">
        <v>5328</v>
      </c>
      <c r="E538" s="54" t="s">
        <v>5329</v>
      </c>
      <c r="F538" s="54" t="s">
        <v>5240</v>
      </c>
      <c r="G538" s="54" t="s">
        <v>5335</v>
      </c>
      <c r="H538" s="37" t="s">
        <v>5269</v>
      </c>
      <c r="I538" s="54" t="s">
        <v>5293</v>
      </c>
      <c r="J538" s="37"/>
    </row>
    <row r="539" customFormat="false" ht="15" hidden="false" customHeight="true" outlineLevel="0" collapsed="false">
      <c r="A539" s="37" t="s">
        <v>2993</v>
      </c>
      <c r="B539" s="37" t="s">
        <v>485</v>
      </c>
      <c r="C539" s="37" t="s">
        <v>2994</v>
      </c>
      <c r="D539" s="54" t="s">
        <v>5328</v>
      </c>
      <c r="E539" s="54" t="s">
        <v>5329</v>
      </c>
      <c r="F539" s="54" t="s">
        <v>5240</v>
      </c>
      <c r="G539" s="54" t="s">
        <v>5335</v>
      </c>
      <c r="H539" s="37" t="s">
        <v>5269</v>
      </c>
      <c r="I539" s="54" t="s">
        <v>5293</v>
      </c>
      <c r="J539" s="37"/>
    </row>
    <row r="540" customFormat="false" ht="15" hidden="false" customHeight="true" outlineLevel="0" collapsed="false">
      <c r="A540" s="37" t="s">
        <v>2996</v>
      </c>
      <c r="B540" s="37" t="s">
        <v>485</v>
      </c>
      <c r="C540" s="37" t="s">
        <v>2997</v>
      </c>
      <c r="D540" s="54" t="s">
        <v>5328</v>
      </c>
      <c r="E540" s="54" t="s">
        <v>5329</v>
      </c>
      <c r="F540" s="54" t="s">
        <v>5240</v>
      </c>
      <c r="G540" s="54" t="s">
        <v>5335</v>
      </c>
      <c r="H540" s="37" t="s">
        <v>5269</v>
      </c>
      <c r="I540" s="54" t="s">
        <v>5293</v>
      </c>
      <c r="J540" s="37"/>
    </row>
    <row r="541" customFormat="false" ht="15" hidden="false" customHeight="true" outlineLevel="0" collapsed="false">
      <c r="A541" s="37" t="s">
        <v>2999</v>
      </c>
      <c r="B541" s="37" t="s">
        <v>485</v>
      </c>
      <c r="C541" s="37" t="s">
        <v>3000</v>
      </c>
      <c r="D541" s="54" t="s">
        <v>5328</v>
      </c>
      <c r="E541" s="54" t="s">
        <v>5329</v>
      </c>
      <c r="F541" s="54" t="s">
        <v>5240</v>
      </c>
      <c r="G541" s="54" t="s">
        <v>5335</v>
      </c>
      <c r="H541" s="37" t="s">
        <v>5269</v>
      </c>
      <c r="I541" s="54" t="s">
        <v>5293</v>
      </c>
      <c r="J541" s="37"/>
    </row>
    <row r="542" customFormat="false" ht="15" hidden="false" customHeight="true" outlineLevel="0" collapsed="false">
      <c r="A542" s="37" t="s">
        <v>3002</v>
      </c>
      <c r="B542" s="37" t="s">
        <v>485</v>
      </c>
      <c r="C542" s="37" t="s">
        <v>3003</v>
      </c>
      <c r="D542" s="54" t="s">
        <v>5328</v>
      </c>
      <c r="E542" s="54" t="s">
        <v>5329</v>
      </c>
      <c r="F542" s="54" t="s">
        <v>5240</v>
      </c>
      <c r="G542" s="54" t="s">
        <v>5335</v>
      </c>
      <c r="H542" s="37" t="s">
        <v>5269</v>
      </c>
      <c r="I542" s="54" t="s">
        <v>5293</v>
      </c>
      <c r="J542" s="37"/>
    </row>
    <row r="543" customFormat="false" ht="15" hidden="false" customHeight="true" outlineLevel="0" collapsed="false">
      <c r="A543" s="37" t="s">
        <v>3005</v>
      </c>
      <c r="B543" s="37" t="s">
        <v>485</v>
      </c>
      <c r="C543" s="54" t="s">
        <v>3006</v>
      </c>
      <c r="D543" s="54" t="s">
        <v>5328</v>
      </c>
      <c r="E543" s="54" t="s">
        <v>5329</v>
      </c>
      <c r="F543" s="54" t="s">
        <v>5240</v>
      </c>
      <c r="G543" s="54" t="s">
        <v>5335</v>
      </c>
      <c r="H543" s="37" t="s">
        <v>5269</v>
      </c>
      <c r="I543" s="54" t="s">
        <v>5293</v>
      </c>
      <c r="J543" s="37"/>
    </row>
    <row r="544" customFormat="false" ht="15" hidden="false" customHeight="true" outlineLevel="0" collapsed="false">
      <c r="A544" s="37" t="s">
        <v>3008</v>
      </c>
      <c r="B544" s="37" t="s">
        <v>485</v>
      </c>
      <c r="C544" s="37" t="s">
        <v>3009</v>
      </c>
      <c r="D544" s="54" t="s">
        <v>5328</v>
      </c>
      <c r="E544" s="54" t="s">
        <v>5329</v>
      </c>
      <c r="F544" s="54" t="s">
        <v>5240</v>
      </c>
      <c r="G544" s="54" t="s">
        <v>5335</v>
      </c>
      <c r="H544" s="37" t="s">
        <v>5269</v>
      </c>
      <c r="I544" s="54" t="s">
        <v>5293</v>
      </c>
      <c r="J544" s="37"/>
    </row>
    <row r="545" customFormat="false" ht="15" hidden="false" customHeight="true" outlineLevel="0" collapsed="false">
      <c r="A545" s="37" t="s">
        <v>3011</v>
      </c>
      <c r="B545" s="37" t="s">
        <v>485</v>
      </c>
      <c r="C545" s="37" t="s">
        <v>3012</v>
      </c>
      <c r="D545" s="54" t="s">
        <v>5328</v>
      </c>
      <c r="E545" s="54" t="s">
        <v>5329</v>
      </c>
      <c r="F545" s="54" t="s">
        <v>5240</v>
      </c>
      <c r="G545" s="54" t="s">
        <v>5335</v>
      </c>
      <c r="H545" s="37" t="s">
        <v>5269</v>
      </c>
      <c r="I545" s="54" t="s">
        <v>5293</v>
      </c>
      <c r="J545" s="37"/>
    </row>
    <row r="546" customFormat="false" ht="15" hidden="false" customHeight="true" outlineLevel="0" collapsed="false">
      <c r="A546" s="37" t="s">
        <v>3014</v>
      </c>
      <c r="B546" s="37" t="s">
        <v>485</v>
      </c>
      <c r="C546" s="37" t="s">
        <v>3015</v>
      </c>
      <c r="D546" s="54" t="s">
        <v>5328</v>
      </c>
      <c r="E546" s="54" t="s">
        <v>5329</v>
      </c>
      <c r="F546" s="54" t="s">
        <v>5240</v>
      </c>
      <c r="G546" s="54" t="s">
        <v>5335</v>
      </c>
      <c r="H546" s="37" t="s">
        <v>5269</v>
      </c>
      <c r="I546" s="54" t="s">
        <v>5293</v>
      </c>
      <c r="J546" s="37"/>
    </row>
    <row r="547" customFormat="false" ht="15" hidden="false" customHeight="true" outlineLevel="0" collapsed="false">
      <c r="A547" s="37" t="s">
        <v>3017</v>
      </c>
      <c r="B547" s="37" t="s">
        <v>485</v>
      </c>
      <c r="C547" s="54" t="s">
        <v>930</v>
      </c>
      <c r="D547" s="54" t="s">
        <v>5228</v>
      </c>
      <c r="E547" s="54" t="s">
        <v>5229</v>
      </c>
      <c r="F547" s="54" t="s">
        <v>5216</v>
      </c>
      <c r="G547" s="54" t="s">
        <v>5335</v>
      </c>
      <c r="H547" s="37" t="s">
        <v>5269</v>
      </c>
      <c r="I547" s="54" t="s">
        <v>5293</v>
      </c>
      <c r="J547" s="37"/>
    </row>
    <row r="548" customFormat="false" ht="15" hidden="false" customHeight="true" outlineLevel="0" collapsed="false">
      <c r="A548" s="37" t="s">
        <v>3019</v>
      </c>
      <c r="B548" s="37" t="s">
        <v>485</v>
      </c>
      <c r="C548" s="37" t="s">
        <v>3020</v>
      </c>
      <c r="D548" s="54" t="s">
        <v>5328</v>
      </c>
      <c r="E548" s="54" t="s">
        <v>5329</v>
      </c>
      <c r="F548" s="54" t="s">
        <v>5240</v>
      </c>
      <c r="G548" s="54" t="s">
        <v>5335</v>
      </c>
      <c r="H548" s="37" t="s">
        <v>5269</v>
      </c>
      <c r="I548" s="54" t="s">
        <v>5293</v>
      </c>
      <c r="J548" s="37"/>
    </row>
    <row r="549" customFormat="false" ht="15" hidden="false" customHeight="true" outlineLevel="0" collapsed="false">
      <c r="A549" s="37" t="s">
        <v>3022</v>
      </c>
      <c r="B549" s="37" t="s">
        <v>485</v>
      </c>
      <c r="C549" s="37" t="s">
        <v>3023</v>
      </c>
      <c r="D549" s="54" t="s">
        <v>5328</v>
      </c>
      <c r="E549" s="54" t="s">
        <v>5329</v>
      </c>
      <c r="F549" s="54" t="s">
        <v>5240</v>
      </c>
      <c r="G549" s="54" t="s">
        <v>5335</v>
      </c>
      <c r="H549" s="37" t="s">
        <v>5269</v>
      </c>
      <c r="I549" s="54" t="s">
        <v>5293</v>
      </c>
      <c r="J549" s="37"/>
    </row>
    <row r="550" customFormat="false" ht="15" hidden="false" customHeight="true" outlineLevel="0" collapsed="false">
      <c r="A550" s="37" t="s">
        <v>3025</v>
      </c>
      <c r="B550" s="37" t="s">
        <v>485</v>
      </c>
      <c r="C550" s="37" t="s">
        <v>3026</v>
      </c>
      <c r="D550" s="54" t="s">
        <v>5328</v>
      </c>
      <c r="E550" s="54" t="s">
        <v>5329</v>
      </c>
      <c r="F550" s="54" t="s">
        <v>5240</v>
      </c>
      <c r="G550" s="54" t="s">
        <v>5335</v>
      </c>
      <c r="H550" s="37" t="s">
        <v>5269</v>
      </c>
      <c r="I550" s="54" t="s">
        <v>5293</v>
      </c>
      <c r="J550" s="37"/>
    </row>
    <row r="551" customFormat="false" ht="15" hidden="false" customHeight="true" outlineLevel="0" collapsed="false">
      <c r="A551" s="37" t="s">
        <v>3028</v>
      </c>
      <c r="B551" s="37" t="s">
        <v>485</v>
      </c>
      <c r="C551" s="37" t="s">
        <v>3029</v>
      </c>
      <c r="D551" s="54" t="s">
        <v>5328</v>
      </c>
      <c r="E551" s="54" t="s">
        <v>5329</v>
      </c>
      <c r="F551" s="54" t="s">
        <v>5240</v>
      </c>
      <c r="G551" s="54" t="s">
        <v>5335</v>
      </c>
      <c r="H551" s="37" t="s">
        <v>5269</v>
      </c>
      <c r="I551" s="54" t="s">
        <v>5293</v>
      </c>
      <c r="J551" s="37"/>
    </row>
    <row r="552" customFormat="false" ht="15" hidden="false" customHeight="true" outlineLevel="0" collapsed="false">
      <c r="A552" s="37" t="s">
        <v>3031</v>
      </c>
      <c r="B552" s="37" t="s">
        <v>485</v>
      </c>
      <c r="C552" s="37" t="s">
        <v>3032</v>
      </c>
      <c r="D552" s="54" t="s">
        <v>5328</v>
      </c>
      <c r="E552" s="54" t="s">
        <v>5329</v>
      </c>
      <c r="F552" s="54" t="s">
        <v>5240</v>
      </c>
      <c r="G552" s="54" t="s">
        <v>5335</v>
      </c>
      <c r="H552" s="37" t="s">
        <v>5269</v>
      </c>
      <c r="I552" s="54" t="s">
        <v>5293</v>
      </c>
      <c r="J552" s="37"/>
    </row>
    <row r="553" customFormat="false" ht="15" hidden="false" customHeight="true" outlineLevel="0" collapsed="false">
      <c r="A553" s="37" t="s">
        <v>3034</v>
      </c>
      <c r="B553" s="37" t="s">
        <v>485</v>
      </c>
      <c r="C553" s="37" t="s">
        <v>3035</v>
      </c>
      <c r="D553" s="54" t="s">
        <v>5328</v>
      </c>
      <c r="E553" s="54" t="s">
        <v>5329</v>
      </c>
      <c r="F553" s="54" t="s">
        <v>5240</v>
      </c>
      <c r="G553" s="54" t="s">
        <v>5335</v>
      </c>
      <c r="H553" s="37" t="s">
        <v>5269</v>
      </c>
      <c r="I553" s="54" t="s">
        <v>5293</v>
      </c>
      <c r="J553" s="37"/>
    </row>
    <row r="554" customFormat="false" ht="15" hidden="false" customHeight="true" outlineLevel="0" collapsed="false">
      <c r="A554" s="37" t="s">
        <v>3037</v>
      </c>
      <c r="B554" s="37" t="s">
        <v>485</v>
      </c>
      <c r="C554" s="37" t="s">
        <v>3038</v>
      </c>
      <c r="D554" s="54" t="s">
        <v>5328</v>
      </c>
      <c r="E554" s="54" t="s">
        <v>5329</v>
      </c>
      <c r="F554" s="54" t="s">
        <v>5240</v>
      </c>
      <c r="G554" s="54" t="s">
        <v>5335</v>
      </c>
      <c r="H554" s="37" t="s">
        <v>5269</v>
      </c>
      <c r="I554" s="54" t="s">
        <v>5293</v>
      </c>
      <c r="J554" s="37"/>
    </row>
    <row r="555" customFormat="false" ht="15" hidden="false" customHeight="true" outlineLevel="0" collapsed="false">
      <c r="A555" s="37" t="s">
        <v>3040</v>
      </c>
      <c r="B555" s="37" t="s">
        <v>485</v>
      </c>
      <c r="C555" s="37" t="s">
        <v>3041</v>
      </c>
      <c r="D555" s="54" t="s">
        <v>5328</v>
      </c>
      <c r="E555" s="54" t="s">
        <v>5329</v>
      </c>
      <c r="F555" s="54" t="s">
        <v>5240</v>
      </c>
      <c r="G555" s="54" t="s">
        <v>5335</v>
      </c>
      <c r="H555" s="37" t="s">
        <v>5269</v>
      </c>
      <c r="I555" s="54" t="s">
        <v>5293</v>
      </c>
      <c r="J555" s="37"/>
    </row>
    <row r="556" customFormat="false" ht="15" hidden="false" customHeight="true" outlineLevel="0" collapsed="false">
      <c r="A556" s="37" t="s">
        <v>3043</v>
      </c>
      <c r="B556" s="37" t="s">
        <v>485</v>
      </c>
      <c r="C556" s="37" t="s">
        <v>3044</v>
      </c>
      <c r="D556" s="54" t="s">
        <v>5328</v>
      </c>
      <c r="E556" s="54" t="s">
        <v>5329</v>
      </c>
      <c r="F556" s="54" t="s">
        <v>5240</v>
      </c>
      <c r="G556" s="54" t="s">
        <v>5335</v>
      </c>
      <c r="H556" s="37" t="s">
        <v>5269</v>
      </c>
      <c r="I556" s="54" t="s">
        <v>5293</v>
      </c>
      <c r="J556" s="37"/>
    </row>
    <row r="557" customFormat="false" ht="15" hidden="false" customHeight="true" outlineLevel="0" collapsed="false">
      <c r="A557" s="37" t="s">
        <v>3046</v>
      </c>
      <c r="B557" s="37" t="s">
        <v>485</v>
      </c>
      <c r="C557" s="37" t="s">
        <v>3047</v>
      </c>
      <c r="D557" s="54" t="s">
        <v>5328</v>
      </c>
      <c r="E557" s="54" t="s">
        <v>5329</v>
      </c>
      <c r="F557" s="54" t="s">
        <v>5240</v>
      </c>
      <c r="G557" s="54" t="s">
        <v>5335</v>
      </c>
      <c r="H557" s="37" t="s">
        <v>5269</v>
      </c>
      <c r="I557" s="54" t="s">
        <v>5293</v>
      </c>
      <c r="J557" s="37"/>
    </row>
    <row r="558" customFormat="false" ht="15" hidden="false" customHeight="true" outlineLevel="0" collapsed="false">
      <c r="A558" s="37" t="s">
        <v>3049</v>
      </c>
      <c r="B558" s="37" t="s">
        <v>485</v>
      </c>
      <c r="C558" s="54" t="s">
        <v>3050</v>
      </c>
      <c r="D558" s="54" t="s">
        <v>5328</v>
      </c>
      <c r="E558" s="54" t="s">
        <v>5329</v>
      </c>
      <c r="F558" s="54" t="s">
        <v>5240</v>
      </c>
      <c r="G558" s="54" t="s">
        <v>5335</v>
      </c>
      <c r="H558" s="37" t="s">
        <v>5269</v>
      </c>
      <c r="I558" s="54" t="s">
        <v>5293</v>
      </c>
      <c r="J558" s="37"/>
    </row>
    <row r="559" customFormat="false" ht="15" hidden="false" customHeight="true" outlineLevel="0" collapsed="false">
      <c r="A559" s="37" t="s">
        <v>3053</v>
      </c>
      <c r="B559" s="37" t="s">
        <v>485</v>
      </c>
      <c r="C559" s="37" t="s">
        <v>3054</v>
      </c>
      <c r="D559" s="54" t="s">
        <v>5328</v>
      </c>
      <c r="E559" s="54" t="s">
        <v>5329</v>
      </c>
      <c r="F559" s="54" t="s">
        <v>5240</v>
      </c>
      <c r="G559" s="54" t="s">
        <v>5335</v>
      </c>
      <c r="H559" s="37" t="s">
        <v>5269</v>
      </c>
      <c r="I559" s="54" t="s">
        <v>5293</v>
      </c>
      <c r="J559" s="37"/>
    </row>
    <row r="560" customFormat="false" ht="15" hidden="false" customHeight="true" outlineLevel="0" collapsed="false">
      <c r="A560" s="37" t="s">
        <v>3056</v>
      </c>
      <c r="B560" s="37" t="s">
        <v>485</v>
      </c>
      <c r="C560" s="37" t="s">
        <v>3057</v>
      </c>
      <c r="D560" s="54" t="s">
        <v>5328</v>
      </c>
      <c r="E560" s="54" t="s">
        <v>5329</v>
      </c>
      <c r="F560" s="54" t="s">
        <v>5240</v>
      </c>
      <c r="G560" s="54" t="s">
        <v>5335</v>
      </c>
      <c r="H560" s="37" t="s">
        <v>5269</v>
      </c>
      <c r="I560" s="54" t="s">
        <v>5293</v>
      </c>
      <c r="J560" s="37"/>
    </row>
    <row r="561" customFormat="false" ht="15" hidden="false" customHeight="true" outlineLevel="0" collapsed="false">
      <c r="A561" s="37" t="s">
        <v>3059</v>
      </c>
      <c r="B561" s="37" t="s">
        <v>485</v>
      </c>
      <c r="C561" s="37" t="s">
        <v>3060</v>
      </c>
      <c r="D561" s="54" t="s">
        <v>5328</v>
      </c>
      <c r="E561" s="54" t="s">
        <v>5329</v>
      </c>
      <c r="F561" s="54" t="s">
        <v>5240</v>
      </c>
      <c r="G561" s="54" t="s">
        <v>5335</v>
      </c>
      <c r="H561" s="37" t="s">
        <v>5269</v>
      </c>
      <c r="I561" s="54" t="s">
        <v>5293</v>
      </c>
      <c r="J561" s="37"/>
    </row>
    <row r="562" customFormat="false" ht="15" hidden="false" customHeight="true" outlineLevel="0" collapsed="false">
      <c r="A562" s="37" t="s">
        <v>3062</v>
      </c>
      <c r="B562" s="37" t="s">
        <v>485</v>
      </c>
      <c r="C562" s="37" t="s">
        <v>3063</v>
      </c>
      <c r="D562" s="54" t="s">
        <v>5328</v>
      </c>
      <c r="E562" s="54" t="s">
        <v>5329</v>
      </c>
      <c r="F562" s="54" t="s">
        <v>5240</v>
      </c>
      <c r="G562" s="54" t="s">
        <v>5335</v>
      </c>
      <c r="H562" s="37" t="s">
        <v>5269</v>
      </c>
      <c r="I562" s="54" t="s">
        <v>5293</v>
      </c>
      <c r="J562" s="37"/>
    </row>
    <row r="563" customFormat="false" ht="15" hidden="false" customHeight="true" outlineLevel="0" collapsed="false">
      <c r="A563" s="37" t="s">
        <v>3065</v>
      </c>
      <c r="B563" s="37" t="s">
        <v>485</v>
      </c>
      <c r="C563" s="37" t="s">
        <v>3066</v>
      </c>
      <c r="D563" s="54" t="s">
        <v>5328</v>
      </c>
      <c r="E563" s="54" t="s">
        <v>5329</v>
      </c>
      <c r="F563" s="54" t="s">
        <v>5240</v>
      </c>
      <c r="G563" s="54" t="s">
        <v>5335</v>
      </c>
      <c r="H563" s="37" t="s">
        <v>5269</v>
      </c>
      <c r="I563" s="54" t="s">
        <v>5293</v>
      </c>
      <c r="J563" s="37"/>
    </row>
    <row r="564" customFormat="false" ht="15" hidden="false" customHeight="true" outlineLevel="0" collapsed="false">
      <c r="A564" s="37" t="s">
        <v>3068</v>
      </c>
      <c r="B564" s="37" t="s">
        <v>485</v>
      </c>
      <c r="C564" s="37" t="s">
        <v>3069</v>
      </c>
      <c r="D564" s="54" t="s">
        <v>5328</v>
      </c>
      <c r="E564" s="54" t="s">
        <v>5329</v>
      </c>
      <c r="F564" s="54" t="s">
        <v>5240</v>
      </c>
      <c r="G564" s="54" t="s">
        <v>5335</v>
      </c>
      <c r="H564" s="37" t="s">
        <v>5269</v>
      </c>
      <c r="I564" s="54" t="s">
        <v>5293</v>
      </c>
      <c r="J564" s="37"/>
    </row>
    <row r="565" customFormat="false" ht="15" hidden="false" customHeight="true" outlineLevel="0" collapsed="false">
      <c r="A565" s="37" t="s">
        <v>3071</v>
      </c>
      <c r="B565" s="37" t="s">
        <v>485</v>
      </c>
      <c r="C565" s="37" t="s">
        <v>3072</v>
      </c>
      <c r="D565" s="54" t="s">
        <v>5328</v>
      </c>
      <c r="E565" s="54" t="s">
        <v>5329</v>
      </c>
      <c r="F565" s="54" t="s">
        <v>5240</v>
      </c>
      <c r="G565" s="54" t="s">
        <v>5335</v>
      </c>
      <c r="H565" s="37" t="s">
        <v>5269</v>
      </c>
      <c r="I565" s="54" t="s">
        <v>5293</v>
      </c>
      <c r="J565" s="37"/>
    </row>
    <row r="566" customFormat="false" ht="15" hidden="false" customHeight="true" outlineLevel="0" collapsed="false">
      <c r="A566" s="37" t="s">
        <v>3077</v>
      </c>
      <c r="B566" s="37" t="s">
        <v>485</v>
      </c>
      <c r="C566" s="37" t="s">
        <v>3078</v>
      </c>
      <c r="D566" s="54" t="s">
        <v>5328</v>
      </c>
      <c r="E566" s="54" t="s">
        <v>5329</v>
      </c>
      <c r="F566" s="54" t="s">
        <v>5240</v>
      </c>
      <c r="G566" s="54" t="s">
        <v>5335</v>
      </c>
      <c r="H566" s="37" t="s">
        <v>5269</v>
      </c>
      <c r="I566" s="54" t="s">
        <v>5293</v>
      </c>
      <c r="J566" s="37"/>
    </row>
    <row r="567" customFormat="false" ht="15" hidden="false" customHeight="true" outlineLevel="0" collapsed="false">
      <c r="A567" s="37" t="s">
        <v>3080</v>
      </c>
      <c r="B567" s="37" t="s">
        <v>485</v>
      </c>
      <c r="C567" s="54" t="s">
        <v>3081</v>
      </c>
      <c r="D567" s="54" t="s">
        <v>5328</v>
      </c>
      <c r="E567" s="54" t="s">
        <v>5329</v>
      </c>
      <c r="F567" s="54" t="s">
        <v>5240</v>
      </c>
      <c r="G567" s="54" t="s">
        <v>5335</v>
      </c>
      <c r="H567" s="37" t="s">
        <v>5269</v>
      </c>
      <c r="I567" s="54" t="s">
        <v>5293</v>
      </c>
      <c r="J567" s="37"/>
    </row>
    <row r="568" customFormat="false" ht="15" hidden="false" customHeight="true" outlineLevel="0" collapsed="false">
      <c r="A568" s="37" t="s">
        <v>3083</v>
      </c>
      <c r="B568" s="37" t="s">
        <v>485</v>
      </c>
      <c r="C568" s="37" t="s">
        <v>3084</v>
      </c>
      <c r="D568" s="54" t="s">
        <v>5328</v>
      </c>
      <c r="E568" s="54" t="s">
        <v>5329</v>
      </c>
      <c r="F568" s="54" t="s">
        <v>5240</v>
      </c>
      <c r="G568" s="54" t="s">
        <v>5335</v>
      </c>
      <c r="H568" s="37" t="s">
        <v>5269</v>
      </c>
      <c r="I568" s="54" t="s">
        <v>5293</v>
      </c>
      <c r="J568" s="37"/>
    </row>
    <row r="569" customFormat="false" ht="15" hidden="false" customHeight="true" outlineLevel="0" collapsed="false">
      <c r="A569" s="37" t="s">
        <v>3086</v>
      </c>
      <c r="B569" s="37" t="s">
        <v>485</v>
      </c>
      <c r="C569" s="37" t="s">
        <v>3087</v>
      </c>
      <c r="D569" s="54" t="s">
        <v>5328</v>
      </c>
      <c r="E569" s="54" t="s">
        <v>5329</v>
      </c>
      <c r="F569" s="54" t="s">
        <v>5240</v>
      </c>
      <c r="G569" s="54" t="s">
        <v>5335</v>
      </c>
      <c r="H569" s="37" t="s">
        <v>5269</v>
      </c>
      <c r="I569" s="54" t="s">
        <v>5293</v>
      </c>
      <c r="J569" s="37"/>
    </row>
    <row r="570" customFormat="false" ht="15" hidden="false" customHeight="true" outlineLevel="0" collapsed="false">
      <c r="A570" s="37" t="s">
        <v>3089</v>
      </c>
      <c r="B570" s="37" t="s">
        <v>485</v>
      </c>
      <c r="C570" s="37" t="s">
        <v>3090</v>
      </c>
      <c r="D570" s="54" t="s">
        <v>5328</v>
      </c>
      <c r="E570" s="54" t="s">
        <v>5329</v>
      </c>
      <c r="F570" s="54" t="s">
        <v>5240</v>
      </c>
      <c r="G570" s="54" t="s">
        <v>5335</v>
      </c>
      <c r="H570" s="37" t="s">
        <v>5269</v>
      </c>
      <c r="I570" s="54" t="s">
        <v>5293</v>
      </c>
      <c r="J570" s="37"/>
    </row>
    <row r="571" customFormat="false" ht="15" hidden="false" customHeight="true" outlineLevel="0" collapsed="false">
      <c r="A571" s="37" t="s">
        <v>3092</v>
      </c>
      <c r="B571" s="37" t="s">
        <v>485</v>
      </c>
      <c r="C571" s="37" t="s">
        <v>3093</v>
      </c>
      <c r="D571" s="54" t="s">
        <v>5328</v>
      </c>
      <c r="E571" s="54" t="s">
        <v>5329</v>
      </c>
      <c r="F571" s="54" t="s">
        <v>5240</v>
      </c>
      <c r="G571" s="54" t="s">
        <v>5335</v>
      </c>
      <c r="H571" s="37" t="s">
        <v>5269</v>
      </c>
      <c r="I571" s="54" t="s">
        <v>5293</v>
      </c>
      <c r="J571" s="37"/>
    </row>
    <row r="572" customFormat="false" ht="15" hidden="false" customHeight="true" outlineLevel="0" collapsed="false">
      <c r="A572" s="37" t="s">
        <v>3095</v>
      </c>
      <c r="B572" s="37" t="s">
        <v>485</v>
      </c>
      <c r="C572" s="37" t="s">
        <v>3096</v>
      </c>
      <c r="D572" s="54" t="s">
        <v>5328</v>
      </c>
      <c r="E572" s="54" t="s">
        <v>5329</v>
      </c>
      <c r="F572" s="54" t="s">
        <v>5240</v>
      </c>
      <c r="G572" s="54" t="s">
        <v>5335</v>
      </c>
      <c r="H572" s="37" t="s">
        <v>5269</v>
      </c>
      <c r="I572" s="54" t="s">
        <v>5293</v>
      </c>
      <c r="J572" s="37"/>
    </row>
    <row r="573" customFormat="false" ht="15" hidden="false" customHeight="true" outlineLevel="0" collapsed="false">
      <c r="A573" s="37" t="s">
        <v>3098</v>
      </c>
      <c r="B573" s="37" t="s">
        <v>485</v>
      </c>
      <c r="C573" s="37" t="s">
        <v>3099</v>
      </c>
      <c r="D573" s="54" t="s">
        <v>5328</v>
      </c>
      <c r="E573" s="54" t="s">
        <v>5329</v>
      </c>
      <c r="F573" s="54" t="s">
        <v>5240</v>
      </c>
      <c r="G573" s="54" t="s">
        <v>5335</v>
      </c>
      <c r="H573" s="37" t="s">
        <v>5269</v>
      </c>
      <c r="I573" s="54" t="s">
        <v>5293</v>
      </c>
      <c r="J573" s="37"/>
    </row>
    <row r="574" customFormat="false" ht="15" hidden="false" customHeight="true" outlineLevel="0" collapsed="false">
      <c r="A574" s="37" t="s">
        <v>3101</v>
      </c>
      <c r="B574" s="37" t="s">
        <v>485</v>
      </c>
      <c r="C574" s="37" t="s">
        <v>3102</v>
      </c>
      <c r="D574" s="54" t="s">
        <v>5328</v>
      </c>
      <c r="E574" s="54" t="s">
        <v>5329</v>
      </c>
      <c r="F574" s="54" t="s">
        <v>5240</v>
      </c>
      <c r="G574" s="54" t="s">
        <v>5335</v>
      </c>
      <c r="H574" s="37" t="s">
        <v>5269</v>
      </c>
      <c r="I574" s="54" t="s">
        <v>5293</v>
      </c>
      <c r="J574" s="37"/>
    </row>
    <row r="575" customFormat="false" ht="15" hidden="false" customHeight="true" outlineLevel="0" collapsed="false">
      <c r="A575" s="37" t="s">
        <v>3104</v>
      </c>
      <c r="B575" s="37" t="s">
        <v>485</v>
      </c>
      <c r="C575" s="37" t="s">
        <v>3105</v>
      </c>
      <c r="D575" s="54" t="s">
        <v>5328</v>
      </c>
      <c r="E575" s="54" t="s">
        <v>5329</v>
      </c>
      <c r="F575" s="54" t="s">
        <v>5240</v>
      </c>
      <c r="G575" s="54" t="s">
        <v>5335</v>
      </c>
      <c r="H575" s="37" t="s">
        <v>5269</v>
      </c>
      <c r="I575" s="54" t="s">
        <v>5293</v>
      </c>
      <c r="J575" s="37"/>
    </row>
    <row r="576" customFormat="false" ht="15" hidden="false" customHeight="true" outlineLevel="0" collapsed="false">
      <c r="A576" s="37" t="s">
        <v>3112</v>
      </c>
      <c r="B576" s="37" t="s">
        <v>485</v>
      </c>
      <c r="C576" s="37" t="s">
        <v>3113</v>
      </c>
      <c r="D576" s="54" t="s">
        <v>5337</v>
      </c>
      <c r="E576" s="37" t="s">
        <v>5338</v>
      </c>
      <c r="F576" s="54" t="s">
        <v>5216</v>
      </c>
      <c r="G576" s="54" t="s">
        <v>5335</v>
      </c>
      <c r="H576" s="37" t="s">
        <v>5269</v>
      </c>
      <c r="I576" s="54" t="s">
        <v>5293</v>
      </c>
      <c r="J576" s="37"/>
    </row>
    <row r="577" customFormat="false" ht="15" hidden="false" customHeight="true" outlineLevel="0" collapsed="false">
      <c r="A577" s="37" t="s">
        <v>3115</v>
      </c>
      <c r="B577" s="37" t="s">
        <v>485</v>
      </c>
      <c r="C577" s="37" t="s">
        <v>3116</v>
      </c>
      <c r="D577" s="54" t="s">
        <v>5339</v>
      </c>
      <c r="E577" s="54" t="s">
        <v>5215</v>
      </c>
      <c r="F577" s="54" t="s">
        <v>5216</v>
      </c>
      <c r="G577" s="54" t="s">
        <v>5335</v>
      </c>
      <c r="H577" s="37" t="s">
        <v>5269</v>
      </c>
      <c r="I577" s="54" t="s">
        <v>5293</v>
      </c>
      <c r="J577" s="37"/>
    </row>
    <row r="578" customFormat="false" ht="15" hidden="false" customHeight="true" outlineLevel="0" collapsed="false">
      <c r="A578" s="37" t="s">
        <v>3118</v>
      </c>
      <c r="B578" s="37" t="s">
        <v>485</v>
      </c>
      <c r="C578" s="37" t="s">
        <v>3119</v>
      </c>
      <c r="D578" s="54" t="s">
        <v>5339</v>
      </c>
      <c r="E578" s="54" t="s">
        <v>5215</v>
      </c>
      <c r="F578" s="54" t="s">
        <v>5216</v>
      </c>
      <c r="G578" s="54" t="s">
        <v>5335</v>
      </c>
      <c r="H578" s="37" t="s">
        <v>5269</v>
      </c>
      <c r="I578" s="54" t="s">
        <v>5293</v>
      </c>
      <c r="J578" s="37"/>
    </row>
    <row r="579" customFormat="false" ht="15" hidden="false" customHeight="true" outlineLevel="0" collapsed="false">
      <c r="A579" s="37" t="s">
        <v>3121</v>
      </c>
      <c r="B579" s="37" t="s">
        <v>485</v>
      </c>
      <c r="C579" s="37" t="s">
        <v>3122</v>
      </c>
      <c r="D579" s="54" t="s">
        <v>5339</v>
      </c>
      <c r="E579" s="54" t="s">
        <v>5215</v>
      </c>
      <c r="F579" s="54" t="s">
        <v>5216</v>
      </c>
      <c r="G579" s="54" t="s">
        <v>5335</v>
      </c>
      <c r="H579" s="37" t="s">
        <v>5269</v>
      </c>
      <c r="I579" s="54" t="s">
        <v>5293</v>
      </c>
      <c r="J579" s="37"/>
    </row>
    <row r="580" customFormat="false" ht="15" hidden="false" customHeight="true" outlineLevel="0" collapsed="false">
      <c r="A580" s="37" t="s">
        <v>3124</v>
      </c>
      <c r="B580" s="37" t="s">
        <v>485</v>
      </c>
      <c r="C580" s="37" t="s">
        <v>3125</v>
      </c>
      <c r="D580" s="54" t="s">
        <v>5339</v>
      </c>
      <c r="E580" s="54" t="s">
        <v>5215</v>
      </c>
      <c r="F580" s="54" t="s">
        <v>5216</v>
      </c>
      <c r="G580" s="54" t="s">
        <v>5335</v>
      </c>
      <c r="H580" s="37" t="s">
        <v>5269</v>
      </c>
      <c r="I580" s="54" t="s">
        <v>5293</v>
      </c>
      <c r="J580" s="37"/>
    </row>
    <row r="581" customFormat="false" ht="15" hidden="false" customHeight="true" outlineLevel="0" collapsed="false">
      <c r="A581" s="37" t="s">
        <v>3127</v>
      </c>
      <c r="B581" s="37" t="s">
        <v>485</v>
      </c>
      <c r="C581" s="37" t="s">
        <v>3128</v>
      </c>
      <c r="D581" s="54" t="s">
        <v>5255</v>
      </c>
      <c r="E581" s="54" t="s">
        <v>5256</v>
      </c>
      <c r="F581" s="54" t="s">
        <v>5216</v>
      </c>
      <c r="G581" s="54" t="s">
        <v>5335</v>
      </c>
      <c r="H581" s="37" t="s">
        <v>5269</v>
      </c>
      <c r="I581" s="54" t="s">
        <v>5293</v>
      </c>
      <c r="J581" s="37"/>
    </row>
    <row r="582" customFormat="false" ht="15" hidden="false" customHeight="true" outlineLevel="0" collapsed="false">
      <c r="A582" s="37" t="s">
        <v>3130</v>
      </c>
      <c r="B582" s="37" t="s">
        <v>485</v>
      </c>
      <c r="C582" s="37" t="s">
        <v>3131</v>
      </c>
      <c r="D582" s="54" t="s">
        <v>5339</v>
      </c>
      <c r="E582" s="54" t="s">
        <v>5215</v>
      </c>
      <c r="F582" s="54" t="s">
        <v>5216</v>
      </c>
      <c r="G582" s="54" t="s">
        <v>5335</v>
      </c>
      <c r="H582" s="37" t="s">
        <v>5269</v>
      </c>
      <c r="I582" s="54" t="s">
        <v>5293</v>
      </c>
      <c r="J582" s="37"/>
    </row>
    <row r="583" customFormat="false" ht="15" hidden="false" customHeight="true" outlineLevel="0" collapsed="false">
      <c r="A583" s="37" t="s">
        <v>3133</v>
      </c>
      <c r="B583" s="37" t="s">
        <v>485</v>
      </c>
      <c r="C583" s="37" t="s">
        <v>3134</v>
      </c>
      <c r="D583" s="54" t="s">
        <v>5340</v>
      </c>
      <c r="E583" s="54" t="s">
        <v>5215</v>
      </c>
      <c r="F583" s="54" t="s">
        <v>5216</v>
      </c>
      <c r="G583" s="54" t="s">
        <v>5335</v>
      </c>
      <c r="H583" s="37" t="s">
        <v>5269</v>
      </c>
      <c r="I583" s="54" t="s">
        <v>5293</v>
      </c>
      <c r="J583" s="37"/>
    </row>
    <row r="584" customFormat="false" ht="15" hidden="false" customHeight="true" outlineLevel="0" collapsed="false">
      <c r="A584" s="37" t="s">
        <v>3136</v>
      </c>
      <c r="B584" s="37" t="s">
        <v>485</v>
      </c>
      <c r="C584" s="37" t="s">
        <v>3137</v>
      </c>
      <c r="D584" s="54" t="s">
        <v>5255</v>
      </c>
      <c r="E584" s="54" t="s">
        <v>5256</v>
      </c>
      <c r="F584" s="54" t="s">
        <v>5216</v>
      </c>
      <c r="G584" s="54" t="s">
        <v>5335</v>
      </c>
      <c r="H584" s="37" t="s">
        <v>5269</v>
      </c>
      <c r="I584" s="54" t="s">
        <v>5293</v>
      </c>
      <c r="J584" s="37"/>
    </row>
    <row r="585" customFormat="false" ht="15" hidden="false" customHeight="true" outlineLevel="0" collapsed="false">
      <c r="A585" s="37" t="s">
        <v>3139</v>
      </c>
      <c r="B585" s="37" t="s">
        <v>485</v>
      </c>
      <c r="C585" s="37" t="s">
        <v>3140</v>
      </c>
      <c r="D585" s="54" t="s">
        <v>5341</v>
      </c>
      <c r="E585" s="54" t="s">
        <v>5233</v>
      </c>
      <c r="F585" s="54" t="s">
        <v>5216</v>
      </c>
      <c r="G585" s="54" t="s">
        <v>5335</v>
      </c>
      <c r="H585" s="37" t="s">
        <v>5269</v>
      </c>
      <c r="I585" s="54" t="s">
        <v>5293</v>
      </c>
      <c r="J585" s="37"/>
    </row>
    <row r="586" customFormat="false" ht="15" hidden="false" customHeight="true" outlineLevel="0" collapsed="false">
      <c r="A586" s="37" t="s">
        <v>3142</v>
      </c>
      <c r="B586" s="37" t="s">
        <v>485</v>
      </c>
      <c r="C586" s="37" t="s">
        <v>3143</v>
      </c>
      <c r="D586" s="54" t="s">
        <v>5337</v>
      </c>
      <c r="E586" s="37" t="s">
        <v>5338</v>
      </c>
      <c r="F586" s="54" t="s">
        <v>5216</v>
      </c>
      <c r="G586" s="54" t="s">
        <v>5335</v>
      </c>
      <c r="H586" s="37" t="s">
        <v>5269</v>
      </c>
      <c r="I586" s="54" t="s">
        <v>5293</v>
      </c>
      <c r="J586" s="37"/>
    </row>
    <row r="587" customFormat="false" ht="15" hidden="false" customHeight="true" outlineLevel="0" collapsed="false">
      <c r="A587" s="37" t="s">
        <v>3145</v>
      </c>
      <c r="B587" s="37" t="s">
        <v>485</v>
      </c>
      <c r="C587" s="37" t="s">
        <v>3146</v>
      </c>
      <c r="D587" s="54" t="s">
        <v>5337</v>
      </c>
      <c r="E587" s="37" t="s">
        <v>5338</v>
      </c>
      <c r="F587" s="54" t="s">
        <v>5216</v>
      </c>
      <c r="G587" s="54" t="s">
        <v>5335</v>
      </c>
      <c r="H587" s="37" t="s">
        <v>5269</v>
      </c>
      <c r="I587" s="54" t="s">
        <v>5293</v>
      </c>
      <c r="J587" s="37"/>
    </row>
    <row r="588" customFormat="false" ht="15" hidden="false" customHeight="true" outlineLevel="0" collapsed="false">
      <c r="A588" s="37" t="s">
        <v>3148</v>
      </c>
      <c r="B588" s="37" t="s">
        <v>485</v>
      </c>
      <c r="C588" s="37" t="s">
        <v>3149</v>
      </c>
      <c r="D588" s="54" t="s">
        <v>5337</v>
      </c>
      <c r="E588" s="37" t="s">
        <v>5338</v>
      </c>
      <c r="F588" s="54" t="s">
        <v>5216</v>
      </c>
      <c r="G588" s="54" t="s">
        <v>5335</v>
      </c>
      <c r="H588" s="37" t="s">
        <v>5269</v>
      </c>
      <c r="I588" s="54" t="s">
        <v>5293</v>
      </c>
      <c r="J588" s="37"/>
    </row>
    <row r="589" customFormat="false" ht="15" hidden="false" customHeight="true" outlineLevel="0" collapsed="false">
      <c r="A589" s="37" t="s">
        <v>3151</v>
      </c>
      <c r="B589" s="37" t="s">
        <v>485</v>
      </c>
      <c r="C589" s="37" t="s">
        <v>3152</v>
      </c>
      <c r="D589" s="54" t="s">
        <v>5340</v>
      </c>
      <c r="E589" s="54" t="s">
        <v>5215</v>
      </c>
      <c r="F589" s="54" t="s">
        <v>5216</v>
      </c>
      <c r="G589" s="54" t="s">
        <v>5335</v>
      </c>
      <c r="H589" s="37" t="s">
        <v>5269</v>
      </c>
      <c r="I589" s="54" t="s">
        <v>5293</v>
      </c>
      <c r="J589" s="37"/>
    </row>
    <row r="590" customFormat="false" ht="15" hidden="false" customHeight="true" outlineLevel="0" collapsed="false">
      <c r="A590" s="37" t="s">
        <v>3154</v>
      </c>
      <c r="B590" s="37" t="s">
        <v>485</v>
      </c>
      <c r="C590" s="37" t="s">
        <v>3155</v>
      </c>
      <c r="D590" s="54" t="s">
        <v>5341</v>
      </c>
      <c r="E590" s="54" t="s">
        <v>5233</v>
      </c>
      <c r="F590" s="54" t="s">
        <v>5216</v>
      </c>
      <c r="G590" s="54" t="s">
        <v>5335</v>
      </c>
      <c r="H590" s="37" t="s">
        <v>5269</v>
      </c>
      <c r="I590" s="54" t="s">
        <v>5293</v>
      </c>
      <c r="J590" s="37"/>
    </row>
    <row r="591" customFormat="false" ht="15" hidden="false" customHeight="true" outlineLevel="0" collapsed="false">
      <c r="A591" s="37" t="s">
        <v>3157</v>
      </c>
      <c r="B591" s="37" t="s">
        <v>485</v>
      </c>
      <c r="C591" s="37" t="s">
        <v>3158</v>
      </c>
      <c r="D591" s="54" t="s">
        <v>5341</v>
      </c>
      <c r="E591" s="54" t="s">
        <v>5233</v>
      </c>
      <c r="F591" s="54" t="s">
        <v>5216</v>
      </c>
      <c r="G591" s="54" t="s">
        <v>5335</v>
      </c>
      <c r="H591" s="37" t="s">
        <v>5269</v>
      </c>
      <c r="I591" s="54" t="s">
        <v>5293</v>
      </c>
      <c r="J591" s="37"/>
    </row>
    <row r="592" customFormat="false" ht="15" hidden="false" customHeight="true" outlineLevel="0" collapsed="false">
      <c r="A592" s="37" t="s">
        <v>3160</v>
      </c>
      <c r="B592" s="37" t="s">
        <v>485</v>
      </c>
      <c r="C592" s="37" t="s">
        <v>3161</v>
      </c>
      <c r="D592" s="54" t="s">
        <v>5255</v>
      </c>
      <c r="E592" s="54" t="s">
        <v>5256</v>
      </c>
      <c r="F592" s="54" t="s">
        <v>5216</v>
      </c>
      <c r="G592" s="54" t="s">
        <v>5335</v>
      </c>
      <c r="H592" s="37" t="s">
        <v>5269</v>
      </c>
      <c r="I592" s="54" t="s">
        <v>5293</v>
      </c>
      <c r="J592" s="37"/>
    </row>
    <row r="593" customFormat="false" ht="15" hidden="false" customHeight="true" outlineLevel="0" collapsed="false">
      <c r="A593" s="37" t="s">
        <v>3163</v>
      </c>
      <c r="B593" s="37" t="s">
        <v>485</v>
      </c>
      <c r="C593" s="37" t="s">
        <v>3164</v>
      </c>
      <c r="D593" s="54" t="s">
        <v>5337</v>
      </c>
      <c r="E593" s="37" t="s">
        <v>5338</v>
      </c>
      <c r="F593" s="54" t="s">
        <v>5216</v>
      </c>
      <c r="G593" s="54" t="s">
        <v>5335</v>
      </c>
      <c r="H593" s="37" t="s">
        <v>5269</v>
      </c>
      <c r="I593" s="54" t="s">
        <v>5293</v>
      </c>
      <c r="J593" s="37"/>
    </row>
    <row r="594" customFormat="false" ht="15" hidden="false" customHeight="true" outlineLevel="0" collapsed="false">
      <c r="A594" s="37" t="s">
        <v>3166</v>
      </c>
      <c r="B594" s="37" t="s">
        <v>485</v>
      </c>
      <c r="C594" s="37" t="s">
        <v>3167</v>
      </c>
      <c r="D594" s="54" t="s">
        <v>5340</v>
      </c>
      <c r="E594" s="54" t="s">
        <v>5215</v>
      </c>
      <c r="F594" s="54" t="s">
        <v>5216</v>
      </c>
      <c r="G594" s="54" t="s">
        <v>5335</v>
      </c>
      <c r="H594" s="37" t="s">
        <v>5269</v>
      </c>
      <c r="I594" s="54" t="s">
        <v>5293</v>
      </c>
      <c r="J594" s="37"/>
    </row>
    <row r="595" customFormat="false" ht="15" hidden="false" customHeight="true" outlineLevel="0" collapsed="false">
      <c r="A595" s="37" t="s">
        <v>3169</v>
      </c>
      <c r="B595" s="37" t="s">
        <v>485</v>
      </c>
      <c r="C595" s="37" t="s">
        <v>3170</v>
      </c>
      <c r="D595" s="54" t="s">
        <v>5340</v>
      </c>
      <c r="E595" s="54" t="s">
        <v>5215</v>
      </c>
      <c r="F595" s="54" t="s">
        <v>5216</v>
      </c>
      <c r="G595" s="54" t="s">
        <v>5335</v>
      </c>
      <c r="H595" s="37" t="s">
        <v>5269</v>
      </c>
      <c r="I595" s="54" t="s">
        <v>5293</v>
      </c>
      <c r="J595" s="37"/>
    </row>
    <row r="596" customFormat="false" ht="15" hidden="false" customHeight="true" outlineLevel="0" collapsed="false">
      <c r="A596" s="37" t="s">
        <v>3172</v>
      </c>
      <c r="B596" s="37" t="s">
        <v>485</v>
      </c>
      <c r="C596" s="37" t="s">
        <v>3173</v>
      </c>
      <c r="D596" s="54" t="s">
        <v>5340</v>
      </c>
      <c r="E596" s="54" t="s">
        <v>5215</v>
      </c>
      <c r="F596" s="54" t="s">
        <v>5216</v>
      </c>
      <c r="G596" s="54" t="s">
        <v>5335</v>
      </c>
      <c r="H596" s="37" t="s">
        <v>5269</v>
      </c>
      <c r="I596" s="54" t="s">
        <v>5293</v>
      </c>
      <c r="J596" s="37"/>
    </row>
    <row r="597" customFormat="false" ht="15" hidden="false" customHeight="true" outlineLevel="0" collapsed="false">
      <c r="A597" s="37" t="s">
        <v>3175</v>
      </c>
      <c r="B597" s="37" t="s">
        <v>485</v>
      </c>
      <c r="C597" s="54" t="s">
        <v>3176</v>
      </c>
      <c r="D597" s="54" t="s">
        <v>5255</v>
      </c>
      <c r="E597" s="54" t="s">
        <v>5256</v>
      </c>
      <c r="F597" s="54" t="s">
        <v>5216</v>
      </c>
      <c r="G597" s="54" t="s">
        <v>5335</v>
      </c>
      <c r="H597" s="37" t="s">
        <v>5269</v>
      </c>
      <c r="I597" s="54" t="s">
        <v>5293</v>
      </c>
      <c r="J597" s="37"/>
    </row>
    <row r="598" customFormat="false" ht="15" hidden="false" customHeight="true" outlineLevel="0" collapsed="false">
      <c r="A598" s="37" t="s">
        <v>3178</v>
      </c>
      <c r="B598" s="37" t="s">
        <v>485</v>
      </c>
      <c r="C598" s="37" t="s">
        <v>3179</v>
      </c>
      <c r="D598" s="54" t="s">
        <v>5255</v>
      </c>
      <c r="E598" s="54" t="s">
        <v>5256</v>
      </c>
      <c r="F598" s="54" t="s">
        <v>5216</v>
      </c>
      <c r="G598" s="54" t="s">
        <v>5335</v>
      </c>
      <c r="H598" s="37" t="s">
        <v>5269</v>
      </c>
      <c r="I598" s="54" t="s">
        <v>5293</v>
      </c>
      <c r="J598" s="37"/>
    </row>
    <row r="599" customFormat="false" ht="15" hidden="false" customHeight="true" outlineLevel="0" collapsed="false">
      <c r="A599" s="37" t="s">
        <v>3181</v>
      </c>
      <c r="B599" s="37" t="s">
        <v>485</v>
      </c>
      <c r="C599" s="37" t="s">
        <v>3182</v>
      </c>
      <c r="D599" s="54" t="s">
        <v>5340</v>
      </c>
      <c r="E599" s="54" t="s">
        <v>5215</v>
      </c>
      <c r="F599" s="54" t="s">
        <v>5216</v>
      </c>
      <c r="G599" s="54" t="s">
        <v>5335</v>
      </c>
      <c r="H599" s="37" t="s">
        <v>5269</v>
      </c>
      <c r="I599" s="54" t="s">
        <v>5293</v>
      </c>
      <c r="J599" s="37"/>
    </row>
    <row r="600" customFormat="false" ht="15" hidden="false" customHeight="true" outlineLevel="0" collapsed="false">
      <c r="A600" s="37" t="s">
        <v>3184</v>
      </c>
      <c r="B600" s="37" t="s">
        <v>485</v>
      </c>
      <c r="C600" s="37" t="s">
        <v>3185</v>
      </c>
      <c r="D600" s="54" t="s">
        <v>5340</v>
      </c>
      <c r="E600" s="54" t="s">
        <v>5215</v>
      </c>
      <c r="F600" s="54" t="s">
        <v>5216</v>
      </c>
      <c r="G600" s="54" t="s">
        <v>5335</v>
      </c>
      <c r="H600" s="37" t="s">
        <v>5269</v>
      </c>
      <c r="I600" s="54" t="s">
        <v>5293</v>
      </c>
      <c r="J600" s="37"/>
    </row>
    <row r="601" customFormat="false" ht="15" hidden="false" customHeight="true" outlineLevel="0" collapsed="false">
      <c r="A601" s="37" t="s">
        <v>3187</v>
      </c>
      <c r="B601" s="37" t="s">
        <v>485</v>
      </c>
      <c r="C601" s="37" t="s">
        <v>3188</v>
      </c>
      <c r="D601" s="54" t="s">
        <v>5340</v>
      </c>
      <c r="E601" s="54" t="s">
        <v>5215</v>
      </c>
      <c r="F601" s="54" t="s">
        <v>5216</v>
      </c>
      <c r="G601" s="54" t="s">
        <v>5335</v>
      </c>
      <c r="H601" s="37" t="s">
        <v>5269</v>
      </c>
      <c r="I601" s="54" t="s">
        <v>5293</v>
      </c>
      <c r="J601" s="37"/>
    </row>
    <row r="602" customFormat="false" ht="15" hidden="false" customHeight="true" outlineLevel="0" collapsed="false">
      <c r="A602" s="37" t="s">
        <v>3190</v>
      </c>
      <c r="B602" s="37" t="s">
        <v>485</v>
      </c>
      <c r="C602" s="37" t="s">
        <v>3191</v>
      </c>
      <c r="D602" s="54" t="s">
        <v>5255</v>
      </c>
      <c r="E602" s="54" t="s">
        <v>5256</v>
      </c>
      <c r="F602" s="54" t="s">
        <v>5216</v>
      </c>
      <c r="G602" s="54" t="s">
        <v>5335</v>
      </c>
      <c r="H602" s="37" t="s">
        <v>5269</v>
      </c>
      <c r="I602" s="54" t="s">
        <v>5293</v>
      </c>
      <c r="J602" s="37"/>
    </row>
    <row r="603" customFormat="false" ht="15" hidden="false" customHeight="true" outlineLevel="0" collapsed="false">
      <c r="A603" s="37" t="s">
        <v>3193</v>
      </c>
      <c r="B603" s="37" t="s">
        <v>485</v>
      </c>
      <c r="C603" s="37" t="s">
        <v>3194</v>
      </c>
      <c r="D603" s="54" t="s">
        <v>5337</v>
      </c>
      <c r="E603" s="37" t="s">
        <v>5338</v>
      </c>
      <c r="F603" s="54" t="s">
        <v>5216</v>
      </c>
      <c r="G603" s="54" t="s">
        <v>5335</v>
      </c>
      <c r="H603" s="37" t="s">
        <v>5269</v>
      </c>
      <c r="I603" s="54" t="s">
        <v>5293</v>
      </c>
      <c r="J603" s="37"/>
    </row>
    <row r="604" customFormat="false" ht="15" hidden="false" customHeight="true" outlineLevel="0" collapsed="false">
      <c r="A604" s="37" t="s">
        <v>3196</v>
      </c>
      <c r="B604" s="37" t="s">
        <v>485</v>
      </c>
      <c r="C604" s="37" t="s">
        <v>3197</v>
      </c>
      <c r="D604" s="54" t="s">
        <v>5340</v>
      </c>
      <c r="E604" s="54" t="s">
        <v>5215</v>
      </c>
      <c r="F604" s="54" t="s">
        <v>5216</v>
      </c>
      <c r="G604" s="54" t="s">
        <v>5335</v>
      </c>
      <c r="H604" s="37" t="s">
        <v>5269</v>
      </c>
      <c r="I604" s="54" t="s">
        <v>5293</v>
      </c>
      <c r="J604" s="37"/>
    </row>
    <row r="605" customFormat="false" ht="15" hidden="false" customHeight="true" outlineLevel="0" collapsed="false">
      <c r="A605" s="37" t="s">
        <v>3199</v>
      </c>
      <c r="B605" s="37" t="s">
        <v>485</v>
      </c>
      <c r="C605" s="37" t="s">
        <v>3200</v>
      </c>
      <c r="D605" s="54" t="s">
        <v>5340</v>
      </c>
      <c r="E605" s="54" t="s">
        <v>5215</v>
      </c>
      <c r="F605" s="54" t="s">
        <v>5216</v>
      </c>
      <c r="G605" s="54" t="s">
        <v>5335</v>
      </c>
      <c r="H605" s="37" t="s">
        <v>5269</v>
      </c>
      <c r="I605" s="54" t="s">
        <v>5293</v>
      </c>
      <c r="J605" s="37"/>
    </row>
    <row r="606" customFormat="false" ht="15" hidden="false" customHeight="true" outlineLevel="0" collapsed="false">
      <c r="A606" s="37" t="s">
        <v>3202</v>
      </c>
      <c r="B606" s="37" t="s">
        <v>485</v>
      </c>
      <c r="C606" s="37" t="s">
        <v>3203</v>
      </c>
      <c r="D606" s="54" t="s">
        <v>5340</v>
      </c>
      <c r="E606" s="54" t="s">
        <v>5215</v>
      </c>
      <c r="F606" s="54" t="s">
        <v>5216</v>
      </c>
      <c r="G606" s="54" t="s">
        <v>5335</v>
      </c>
      <c r="H606" s="37" t="s">
        <v>5269</v>
      </c>
      <c r="I606" s="54" t="s">
        <v>5293</v>
      </c>
      <c r="J606" s="37"/>
    </row>
    <row r="607" customFormat="false" ht="15" hidden="false" customHeight="true" outlineLevel="0" collapsed="false">
      <c r="A607" s="37" t="s">
        <v>3205</v>
      </c>
      <c r="B607" s="37" t="s">
        <v>485</v>
      </c>
      <c r="C607" s="37" t="s">
        <v>3206</v>
      </c>
      <c r="D607" s="54" t="s">
        <v>5340</v>
      </c>
      <c r="E607" s="54" t="s">
        <v>5215</v>
      </c>
      <c r="F607" s="54" t="s">
        <v>5216</v>
      </c>
      <c r="G607" s="54" t="s">
        <v>5335</v>
      </c>
      <c r="H607" s="37" t="s">
        <v>5269</v>
      </c>
      <c r="I607" s="54" t="s">
        <v>5293</v>
      </c>
      <c r="J607" s="37"/>
    </row>
    <row r="608" customFormat="false" ht="15" hidden="false" customHeight="true" outlineLevel="0" collapsed="false">
      <c r="A608" s="37" t="s">
        <v>3208</v>
      </c>
      <c r="B608" s="37" t="s">
        <v>485</v>
      </c>
      <c r="C608" s="37" t="s">
        <v>3209</v>
      </c>
      <c r="D608" s="54" t="s">
        <v>5337</v>
      </c>
      <c r="E608" s="37" t="s">
        <v>5338</v>
      </c>
      <c r="F608" s="54" t="s">
        <v>5216</v>
      </c>
      <c r="G608" s="54" t="s">
        <v>5335</v>
      </c>
      <c r="H608" s="37" t="s">
        <v>5269</v>
      </c>
      <c r="I608" s="54" t="s">
        <v>5293</v>
      </c>
      <c r="J608" s="37"/>
    </row>
    <row r="609" customFormat="false" ht="15" hidden="false" customHeight="true" outlineLevel="0" collapsed="false">
      <c r="A609" s="37" t="s">
        <v>3211</v>
      </c>
      <c r="B609" s="37" t="s">
        <v>485</v>
      </c>
      <c r="C609" s="37" t="s">
        <v>3212</v>
      </c>
      <c r="D609" s="54" t="s">
        <v>5340</v>
      </c>
      <c r="E609" s="54" t="s">
        <v>5215</v>
      </c>
      <c r="F609" s="54" t="s">
        <v>5216</v>
      </c>
      <c r="G609" s="54" t="s">
        <v>5335</v>
      </c>
      <c r="H609" s="37" t="s">
        <v>5269</v>
      </c>
      <c r="I609" s="54" t="s">
        <v>5293</v>
      </c>
      <c r="J609" s="37"/>
    </row>
    <row r="610" customFormat="false" ht="15" hidden="false" customHeight="true" outlineLevel="0" collapsed="false">
      <c r="A610" s="37" t="s">
        <v>3214</v>
      </c>
      <c r="B610" s="37" t="s">
        <v>485</v>
      </c>
      <c r="C610" s="37" t="s">
        <v>3215</v>
      </c>
      <c r="D610" s="54" t="s">
        <v>5255</v>
      </c>
      <c r="E610" s="54" t="s">
        <v>5256</v>
      </c>
      <c r="F610" s="54" t="s">
        <v>5216</v>
      </c>
      <c r="G610" s="54" t="s">
        <v>5335</v>
      </c>
      <c r="H610" s="37" t="s">
        <v>5269</v>
      </c>
      <c r="I610" s="54" t="s">
        <v>5293</v>
      </c>
      <c r="J610" s="37"/>
    </row>
    <row r="611" customFormat="false" ht="15" hidden="false" customHeight="true" outlineLevel="0" collapsed="false">
      <c r="A611" s="37" t="s">
        <v>3217</v>
      </c>
      <c r="B611" s="37" t="s">
        <v>485</v>
      </c>
      <c r="C611" s="37" t="s">
        <v>3218</v>
      </c>
      <c r="D611" s="54" t="s">
        <v>5255</v>
      </c>
      <c r="E611" s="54" t="s">
        <v>5256</v>
      </c>
      <c r="F611" s="54" t="s">
        <v>5216</v>
      </c>
      <c r="G611" s="54" t="s">
        <v>5335</v>
      </c>
      <c r="H611" s="37" t="s">
        <v>5269</v>
      </c>
      <c r="I611" s="54" t="s">
        <v>5293</v>
      </c>
      <c r="J611" s="37"/>
    </row>
    <row r="612" customFormat="false" ht="15" hidden="false" customHeight="true" outlineLevel="0" collapsed="false">
      <c r="A612" s="37" t="s">
        <v>3220</v>
      </c>
      <c r="B612" s="37" t="s">
        <v>485</v>
      </c>
      <c r="C612" s="37" t="s">
        <v>3221</v>
      </c>
      <c r="D612" s="54" t="s">
        <v>5255</v>
      </c>
      <c r="E612" s="54" t="s">
        <v>5256</v>
      </c>
      <c r="F612" s="54" t="s">
        <v>5216</v>
      </c>
      <c r="G612" s="54" t="s">
        <v>5335</v>
      </c>
      <c r="H612" s="37" t="s">
        <v>5269</v>
      </c>
      <c r="I612" s="54" t="s">
        <v>5293</v>
      </c>
      <c r="J612" s="37"/>
    </row>
    <row r="613" customFormat="false" ht="15" hidden="false" customHeight="true" outlineLevel="0" collapsed="false">
      <c r="A613" s="37" t="s">
        <v>3223</v>
      </c>
      <c r="B613" s="37" t="s">
        <v>485</v>
      </c>
      <c r="C613" s="37" t="s">
        <v>3224</v>
      </c>
      <c r="D613" s="54" t="s">
        <v>5255</v>
      </c>
      <c r="E613" s="54" t="s">
        <v>5256</v>
      </c>
      <c r="F613" s="54" t="s">
        <v>5216</v>
      </c>
      <c r="G613" s="54" t="s">
        <v>5335</v>
      </c>
      <c r="H613" s="37" t="s">
        <v>5269</v>
      </c>
      <c r="I613" s="54" t="s">
        <v>5293</v>
      </c>
      <c r="J613" s="37"/>
    </row>
    <row r="614" customFormat="false" ht="15" hidden="false" customHeight="true" outlineLevel="0" collapsed="false">
      <c r="A614" s="37" t="s">
        <v>3226</v>
      </c>
      <c r="B614" s="37" t="s">
        <v>485</v>
      </c>
      <c r="C614" s="37" t="s">
        <v>3227</v>
      </c>
      <c r="D614" s="54" t="s">
        <v>5339</v>
      </c>
      <c r="E614" s="54" t="s">
        <v>5215</v>
      </c>
      <c r="F614" s="54" t="s">
        <v>5216</v>
      </c>
      <c r="G614" s="54" t="s">
        <v>5335</v>
      </c>
      <c r="H614" s="37" t="s">
        <v>5269</v>
      </c>
      <c r="I614" s="54" t="s">
        <v>5293</v>
      </c>
      <c r="J614" s="37"/>
    </row>
    <row r="615" customFormat="false" ht="15" hidden="false" customHeight="true" outlineLevel="0" collapsed="false">
      <c r="A615" s="37" t="s">
        <v>3229</v>
      </c>
      <c r="B615" s="37" t="s">
        <v>485</v>
      </c>
      <c r="C615" s="37" t="s">
        <v>3230</v>
      </c>
      <c r="D615" s="54" t="s">
        <v>5337</v>
      </c>
      <c r="E615" s="37" t="s">
        <v>5338</v>
      </c>
      <c r="F615" s="54" t="s">
        <v>5216</v>
      </c>
      <c r="G615" s="54" t="s">
        <v>5335</v>
      </c>
      <c r="H615" s="37" t="s">
        <v>5269</v>
      </c>
      <c r="I615" s="54" t="s">
        <v>5293</v>
      </c>
      <c r="J615" s="37"/>
    </row>
    <row r="616" customFormat="false" ht="15" hidden="false" customHeight="true" outlineLevel="0" collapsed="false">
      <c r="A616" s="37" t="s">
        <v>3232</v>
      </c>
      <c r="B616" s="37" t="s">
        <v>485</v>
      </c>
      <c r="C616" s="37" t="s">
        <v>3233</v>
      </c>
      <c r="D616" s="54" t="s">
        <v>5255</v>
      </c>
      <c r="E616" s="54" t="s">
        <v>5256</v>
      </c>
      <c r="F616" s="54" t="s">
        <v>5216</v>
      </c>
      <c r="G616" s="54" t="s">
        <v>5335</v>
      </c>
      <c r="H616" s="37" t="s">
        <v>5269</v>
      </c>
      <c r="I616" s="54" t="s">
        <v>5293</v>
      </c>
      <c r="J616" s="37"/>
    </row>
    <row r="617" customFormat="false" ht="15" hidden="false" customHeight="true" outlineLevel="0" collapsed="false">
      <c r="A617" s="37" t="s">
        <v>3235</v>
      </c>
      <c r="B617" s="37" t="s">
        <v>485</v>
      </c>
      <c r="C617" s="37" t="s">
        <v>3236</v>
      </c>
      <c r="D617" s="54" t="s">
        <v>5337</v>
      </c>
      <c r="E617" s="37" t="s">
        <v>5338</v>
      </c>
      <c r="F617" s="54" t="s">
        <v>5216</v>
      </c>
      <c r="G617" s="54" t="s">
        <v>5335</v>
      </c>
      <c r="H617" s="37" t="s">
        <v>5269</v>
      </c>
      <c r="I617" s="54" t="s">
        <v>5293</v>
      </c>
      <c r="J617" s="37"/>
    </row>
    <row r="618" customFormat="false" ht="15" hidden="false" customHeight="true" outlineLevel="0" collapsed="false">
      <c r="A618" s="37" t="s">
        <v>3238</v>
      </c>
      <c r="B618" s="37" t="s">
        <v>485</v>
      </c>
      <c r="C618" s="37" t="s">
        <v>3239</v>
      </c>
      <c r="D618" s="54" t="s">
        <v>5255</v>
      </c>
      <c r="E618" s="54" t="s">
        <v>5256</v>
      </c>
      <c r="F618" s="54" t="s">
        <v>5216</v>
      </c>
      <c r="G618" s="54" t="s">
        <v>5335</v>
      </c>
      <c r="H618" s="37" t="s">
        <v>5269</v>
      </c>
      <c r="I618" s="54" t="s">
        <v>5293</v>
      </c>
      <c r="J618" s="37"/>
    </row>
    <row r="619" customFormat="false" ht="15" hidden="false" customHeight="true" outlineLevel="0" collapsed="false">
      <c r="A619" s="37" t="s">
        <v>3241</v>
      </c>
      <c r="B619" s="37" t="s">
        <v>485</v>
      </c>
      <c r="C619" s="37" t="s">
        <v>3242</v>
      </c>
      <c r="D619" s="54" t="s">
        <v>5340</v>
      </c>
      <c r="E619" s="54" t="s">
        <v>5215</v>
      </c>
      <c r="F619" s="54" t="s">
        <v>5216</v>
      </c>
      <c r="G619" s="54" t="s">
        <v>5335</v>
      </c>
      <c r="H619" s="37" t="s">
        <v>5269</v>
      </c>
      <c r="I619" s="54" t="s">
        <v>5293</v>
      </c>
      <c r="J619" s="37"/>
    </row>
    <row r="620" customFormat="false" ht="15" hidden="false" customHeight="true" outlineLevel="0" collapsed="false">
      <c r="A620" s="37" t="s">
        <v>3244</v>
      </c>
      <c r="B620" s="37" t="s">
        <v>485</v>
      </c>
      <c r="C620" s="37" t="s">
        <v>3245</v>
      </c>
      <c r="D620" s="54" t="s">
        <v>5257</v>
      </c>
      <c r="E620" s="54" t="s">
        <v>5258</v>
      </c>
      <c r="F620" s="54" t="s">
        <v>5216</v>
      </c>
      <c r="G620" s="54" t="s">
        <v>5335</v>
      </c>
      <c r="H620" s="37" t="s">
        <v>5269</v>
      </c>
      <c r="I620" s="54" t="s">
        <v>5293</v>
      </c>
      <c r="J620" s="37"/>
    </row>
    <row r="621" customFormat="false" ht="15" hidden="false" customHeight="true" outlineLevel="0" collapsed="false">
      <c r="A621" s="37" t="s">
        <v>3247</v>
      </c>
      <c r="B621" s="37" t="s">
        <v>485</v>
      </c>
      <c r="C621" s="37" t="s">
        <v>3248</v>
      </c>
      <c r="D621" s="54" t="s">
        <v>5257</v>
      </c>
      <c r="E621" s="54" t="s">
        <v>5258</v>
      </c>
      <c r="F621" s="54" t="s">
        <v>5216</v>
      </c>
      <c r="G621" s="54" t="s">
        <v>5335</v>
      </c>
      <c r="H621" s="37" t="s">
        <v>5269</v>
      </c>
      <c r="I621" s="54" t="s">
        <v>5293</v>
      </c>
      <c r="J621" s="37"/>
    </row>
    <row r="622" customFormat="false" ht="15" hidden="false" customHeight="true" outlineLevel="0" collapsed="false">
      <c r="A622" s="37" t="s">
        <v>3250</v>
      </c>
      <c r="B622" s="37" t="s">
        <v>485</v>
      </c>
      <c r="C622" s="37" t="s">
        <v>3251</v>
      </c>
      <c r="D622" s="54" t="s">
        <v>5337</v>
      </c>
      <c r="E622" s="37" t="s">
        <v>5338</v>
      </c>
      <c r="F622" s="54" t="s">
        <v>5216</v>
      </c>
      <c r="G622" s="54" t="s">
        <v>5335</v>
      </c>
      <c r="H622" s="37" t="s">
        <v>5269</v>
      </c>
      <c r="I622" s="54" t="s">
        <v>5293</v>
      </c>
      <c r="J622" s="37"/>
    </row>
    <row r="623" customFormat="false" ht="15" hidden="false" customHeight="true" outlineLevel="0" collapsed="false">
      <c r="A623" s="37" t="s">
        <v>3253</v>
      </c>
      <c r="B623" s="37" t="s">
        <v>485</v>
      </c>
      <c r="C623" s="37" t="s">
        <v>3254</v>
      </c>
      <c r="D623" s="54" t="s">
        <v>5255</v>
      </c>
      <c r="E623" s="54" t="s">
        <v>5256</v>
      </c>
      <c r="F623" s="54" t="s">
        <v>5216</v>
      </c>
      <c r="G623" s="54" t="s">
        <v>5335</v>
      </c>
      <c r="H623" s="37" t="s">
        <v>5269</v>
      </c>
      <c r="I623" s="54" t="s">
        <v>5293</v>
      </c>
      <c r="J623" s="37"/>
    </row>
    <row r="624" customFormat="false" ht="15" hidden="false" customHeight="true" outlineLevel="0" collapsed="false">
      <c r="A624" s="37" t="s">
        <v>3256</v>
      </c>
      <c r="B624" s="37" t="s">
        <v>485</v>
      </c>
      <c r="C624" s="37" t="s">
        <v>3257</v>
      </c>
      <c r="D624" s="54" t="s">
        <v>5255</v>
      </c>
      <c r="E624" s="54" t="s">
        <v>5256</v>
      </c>
      <c r="F624" s="54" t="s">
        <v>5216</v>
      </c>
      <c r="G624" s="54" t="s">
        <v>5335</v>
      </c>
      <c r="H624" s="37" t="s">
        <v>5269</v>
      </c>
      <c r="I624" s="54" t="s">
        <v>5293</v>
      </c>
      <c r="J624" s="37"/>
    </row>
    <row r="625" customFormat="false" ht="15" hidden="false" customHeight="true" outlineLevel="0" collapsed="false">
      <c r="A625" s="37" t="s">
        <v>3259</v>
      </c>
      <c r="B625" s="37" t="s">
        <v>485</v>
      </c>
      <c r="C625" s="37" t="s">
        <v>3260</v>
      </c>
      <c r="D625" s="54" t="s">
        <v>5337</v>
      </c>
      <c r="E625" s="37" t="s">
        <v>5338</v>
      </c>
      <c r="F625" s="54" t="s">
        <v>5216</v>
      </c>
      <c r="G625" s="54" t="s">
        <v>5335</v>
      </c>
      <c r="H625" s="37" t="s">
        <v>5269</v>
      </c>
      <c r="I625" s="54" t="s">
        <v>5293</v>
      </c>
      <c r="J625" s="37"/>
    </row>
    <row r="626" customFormat="false" ht="15" hidden="false" customHeight="true" outlineLevel="0" collapsed="false">
      <c r="A626" s="37" t="s">
        <v>3262</v>
      </c>
      <c r="B626" s="37" t="s">
        <v>485</v>
      </c>
      <c r="C626" s="37" t="s">
        <v>3263</v>
      </c>
      <c r="D626" s="54" t="s">
        <v>5340</v>
      </c>
      <c r="E626" s="54" t="s">
        <v>5215</v>
      </c>
      <c r="F626" s="54" t="s">
        <v>5216</v>
      </c>
      <c r="G626" s="54" t="s">
        <v>5335</v>
      </c>
      <c r="H626" s="37" t="s">
        <v>5269</v>
      </c>
      <c r="I626" s="54" t="s">
        <v>5293</v>
      </c>
      <c r="J626" s="37"/>
    </row>
    <row r="627" customFormat="false" ht="15" hidden="false" customHeight="true" outlineLevel="0" collapsed="false">
      <c r="A627" s="37" t="s">
        <v>3265</v>
      </c>
      <c r="B627" s="37" t="s">
        <v>485</v>
      </c>
      <c r="C627" s="37" t="s">
        <v>3266</v>
      </c>
      <c r="D627" s="54" t="s">
        <v>5257</v>
      </c>
      <c r="E627" s="54" t="s">
        <v>5258</v>
      </c>
      <c r="F627" s="54" t="s">
        <v>5216</v>
      </c>
      <c r="G627" s="54" t="s">
        <v>5335</v>
      </c>
      <c r="H627" s="37" t="s">
        <v>5269</v>
      </c>
      <c r="I627" s="54" t="s">
        <v>5293</v>
      </c>
      <c r="J627" s="37"/>
    </row>
    <row r="628" customFormat="false" ht="15" hidden="false" customHeight="true" outlineLevel="0" collapsed="false">
      <c r="A628" s="37" t="s">
        <v>3268</v>
      </c>
      <c r="B628" s="37" t="s">
        <v>485</v>
      </c>
      <c r="C628" s="37" t="s">
        <v>3269</v>
      </c>
      <c r="D628" s="54" t="s">
        <v>5339</v>
      </c>
      <c r="E628" s="54" t="s">
        <v>5215</v>
      </c>
      <c r="F628" s="54" t="s">
        <v>5216</v>
      </c>
      <c r="G628" s="54" t="s">
        <v>5335</v>
      </c>
      <c r="H628" s="37" t="s">
        <v>5269</v>
      </c>
      <c r="I628" s="54" t="s">
        <v>5293</v>
      </c>
      <c r="J628" s="37"/>
    </row>
    <row r="629" customFormat="false" ht="15" hidden="false" customHeight="true" outlineLevel="0" collapsed="false">
      <c r="A629" s="37" t="s">
        <v>3271</v>
      </c>
      <c r="B629" s="37" t="s">
        <v>485</v>
      </c>
      <c r="C629" s="37" t="s">
        <v>3272</v>
      </c>
      <c r="D629" s="54" t="s">
        <v>5255</v>
      </c>
      <c r="E629" s="54" t="s">
        <v>5256</v>
      </c>
      <c r="F629" s="54" t="s">
        <v>5216</v>
      </c>
      <c r="G629" s="54" t="s">
        <v>5335</v>
      </c>
      <c r="H629" s="37" t="s">
        <v>5269</v>
      </c>
      <c r="I629" s="54" t="s">
        <v>5293</v>
      </c>
      <c r="J629" s="37"/>
    </row>
    <row r="630" customFormat="false" ht="15" hidden="false" customHeight="true" outlineLevel="0" collapsed="false">
      <c r="A630" s="37" t="s">
        <v>3274</v>
      </c>
      <c r="B630" s="37" t="s">
        <v>485</v>
      </c>
      <c r="C630" s="37" t="s">
        <v>3275</v>
      </c>
      <c r="D630" s="54" t="s">
        <v>5339</v>
      </c>
      <c r="E630" s="54" t="s">
        <v>5215</v>
      </c>
      <c r="F630" s="54" t="s">
        <v>5216</v>
      </c>
      <c r="G630" s="54" t="s">
        <v>5335</v>
      </c>
      <c r="H630" s="37" t="s">
        <v>5269</v>
      </c>
      <c r="I630" s="54" t="s">
        <v>5293</v>
      </c>
      <c r="J630" s="37"/>
    </row>
    <row r="631" customFormat="false" ht="15" hidden="false" customHeight="true" outlineLevel="0" collapsed="false">
      <c r="A631" s="37" t="s">
        <v>3277</v>
      </c>
      <c r="B631" s="37" t="s">
        <v>485</v>
      </c>
      <c r="C631" s="37" t="s">
        <v>3278</v>
      </c>
      <c r="D631" s="54" t="s">
        <v>5339</v>
      </c>
      <c r="E631" s="54" t="s">
        <v>5215</v>
      </c>
      <c r="F631" s="54" t="s">
        <v>5216</v>
      </c>
      <c r="G631" s="54" t="s">
        <v>5335</v>
      </c>
      <c r="H631" s="37" t="s">
        <v>5269</v>
      </c>
      <c r="I631" s="54" t="s">
        <v>5293</v>
      </c>
      <c r="J631" s="37"/>
    </row>
    <row r="632" customFormat="false" ht="15" hidden="false" customHeight="true" outlineLevel="0" collapsed="false">
      <c r="A632" s="37" t="s">
        <v>3280</v>
      </c>
      <c r="B632" s="37" t="s">
        <v>485</v>
      </c>
      <c r="C632" s="37" t="s">
        <v>3281</v>
      </c>
      <c r="D632" s="54" t="s">
        <v>5337</v>
      </c>
      <c r="E632" s="37" t="s">
        <v>5338</v>
      </c>
      <c r="F632" s="54" t="s">
        <v>5216</v>
      </c>
      <c r="G632" s="54" t="s">
        <v>5335</v>
      </c>
      <c r="H632" s="37" t="s">
        <v>5269</v>
      </c>
      <c r="I632" s="54" t="s">
        <v>5293</v>
      </c>
      <c r="J632" s="37"/>
    </row>
    <row r="633" customFormat="false" ht="15" hidden="false" customHeight="true" outlineLevel="0" collapsed="false">
      <c r="A633" s="37" t="s">
        <v>3283</v>
      </c>
      <c r="B633" s="37" t="s">
        <v>485</v>
      </c>
      <c r="C633" s="37" t="s">
        <v>3284</v>
      </c>
      <c r="D633" s="54" t="s">
        <v>5340</v>
      </c>
      <c r="E633" s="54" t="s">
        <v>5215</v>
      </c>
      <c r="F633" s="54" t="s">
        <v>5216</v>
      </c>
      <c r="G633" s="54" t="s">
        <v>5335</v>
      </c>
      <c r="H633" s="37" t="s">
        <v>5269</v>
      </c>
      <c r="I633" s="54" t="s">
        <v>5293</v>
      </c>
      <c r="J633" s="37"/>
    </row>
    <row r="634" customFormat="false" ht="15" hidden="false" customHeight="true" outlineLevel="0" collapsed="false">
      <c r="A634" s="37" t="s">
        <v>3286</v>
      </c>
      <c r="B634" s="37" t="s">
        <v>485</v>
      </c>
      <c r="C634" s="37" t="s">
        <v>3287</v>
      </c>
      <c r="D634" s="54" t="s">
        <v>5337</v>
      </c>
      <c r="E634" s="37" t="s">
        <v>5338</v>
      </c>
      <c r="F634" s="54" t="s">
        <v>5216</v>
      </c>
      <c r="G634" s="54" t="s">
        <v>5335</v>
      </c>
      <c r="H634" s="37" t="s">
        <v>5269</v>
      </c>
      <c r="I634" s="54" t="s">
        <v>5293</v>
      </c>
      <c r="J634" s="37"/>
    </row>
    <row r="635" customFormat="false" ht="15" hidden="false" customHeight="true" outlineLevel="0" collapsed="false">
      <c r="A635" s="37" t="s">
        <v>3289</v>
      </c>
      <c r="B635" s="37" t="s">
        <v>485</v>
      </c>
      <c r="C635" s="37" t="s">
        <v>3290</v>
      </c>
      <c r="D635" s="54" t="s">
        <v>5337</v>
      </c>
      <c r="E635" s="37" t="s">
        <v>5338</v>
      </c>
      <c r="F635" s="54" t="s">
        <v>5216</v>
      </c>
      <c r="G635" s="54" t="s">
        <v>5335</v>
      </c>
      <c r="H635" s="37" t="s">
        <v>5269</v>
      </c>
      <c r="I635" s="54" t="s">
        <v>5293</v>
      </c>
      <c r="J635" s="37"/>
    </row>
    <row r="636" customFormat="false" ht="15" hidden="false" customHeight="true" outlineLevel="0" collapsed="false">
      <c r="A636" s="37" t="s">
        <v>3292</v>
      </c>
      <c r="B636" s="37" t="s">
        <v>485</v>
      </c>
      <c r="C636" s="37" t="s">
        <v>3293</v>
      </c>
      <c r="D636" s="54" t="s">
        <v>5337</v>
      </c>
      <c r="E636" s="37" t="s">
        <v>5338</v>
      </c>
      <c r="F636" s="54" t="s">
        <v>5216</v>
      </c>
      <c r="G636" s="54" t="s">
        <v>5335</v>
      </c>
      <c r="H636" s="37" t="s">
        <v>5269</v>
      </c>
      <c r="I636" s="54" t="s">
        <v>5293</v>
      </c>
      <c r="J636" s="37"/>
    </row>
    <row r="637" customFormat="false" ht="15" hidden="false" customHeight="true" outlineLevel="0" collapsed="false">
      <c r="A637" s="37" t="s">
        <v>3295</v>
      </c>
      <c r="B637" s="37" t="s">
        <v>485</v>
      </c>
      <c r="C637" s="37" t="s">
        <v>3296</v>
      </c>
      <c r="D637" s="54" t="s">
        <v>5340</v>
      </c>
      <c r="E637" s="54" t="s">
        <v>5215</v>
      </c>
      <c r="F637" s="54" t="s">
        <v>5216</v>
      </c>
      <c r="G637" s="54" t="s">
        <v>5335</v>
      </c>
      <c r="H637" s="37" t="s">
        <v>5269</v>
      </c>
      <c r="I637" s="54" t="s">
        <v>5293</v>
      </c>
      <c r="J637" s="37"/>
    </row>
    <row r="638" customFormat="false" ht="15" hidden="false" customHeight="true" outlineLevel="0" collapsed="false">
      <c r="A638" s="37" t="s">
        <v>3298</v>
      </c>
      <c r="B638" s="37" t="s">
        <v>485</v>
      </c>
      <c r="C638" s="37" t="s">
        <v>3299</v>
      </c>
      <c r="D638" s="54" t="s">
        <v>5257</v>
      </c>
      <c r="E638" s="54" t="s">
        <v>5258</v>
      </c>
      <c r="F638" s="54" t="s">
        <v>5216</v>
      </c>
      <c r="G638" s="54" t="s">
        <v>5335</v>
      </c>
      <c r="H638" s="37" t="s">
        <v>5269</v>
      </c>
      <c r="I638" s="54" t="s">
        <v>5293</v>
      </c>
      <c r="J638" s="37"/>
    </row>
    <row r="639" customFormat="false" ht="15" hidden="false" customHeight="true" outlineLevel="0" collapsed="false">
      <c r="A639" s="37" t="s">
        <v>3301</v>
      </c>
      <c r="B639" s="37" t="s">
        <v>485</v>
      </c>
      <c r="C639" s="37" t="s">
        <v>3302</v>
      </c>
      <c r="D639" s="54" t="s">
        <v>5339</v>
      </c>
      <c r="E639" s="54" t="s">
        <v>5215</v>
      </c>
      <c r="F639" s="54" t="s">
        <v>5216</v>
      </c>
      <c r="G639" s="54" t="s">
        <v>5335</v>
      </c>
      <c r="H639" s="37" t="s">
        <v>5269</v>
      </c>
      <c r="I639" s="54" t="s">
        <v>5293</v>
      </c>
      <c r="J639" s="37"/>
    </row>
    <row r="640" customFormat="false" ht="15" hidden="false" customHeight="true" outlineLevel="0" collapsed="false">
      <c r="A640" s="37" t="s">
        <v>3304</v>
      </c>
      <c r="B640" s="37" t="s">
        <v>485</v>
      </c>
      <c r="C640" s="37" t="s">
        <v>3305</v>
      </c>
      <c r="D640" s="54" t="s">
        <v>5341</v>
      </c>
      <c r="E640" s="54" t="s">
        <v>5233</v>
      </c>
      <c r="F640" s="54" t="s">
        <v>5216</v>
      </c>
      <c r="G640" s="54" t="s">
        <v>5335</v>
      </c>
      <c r="H640" s="37" t="s">
        <v>5269</v>
      </c>
      <c r="I640" s="54" t="s">
        <v>5293</v>
      </c>
      <c r="J640" s="37"/>
    </row>
    <row r="641" customFormat="false" ht="15" hidden="false" customHeight="true" outlineLevel="0" collapsed="false">
      <c r="A641" s="37" t="s">
        <v>3307</v>
      </c>
      <c r="B641" s="37" t="s">
        <v>485</v>
      </c>
      <c r="C641" s="37" t="s">
        <v>3308</v>
      </c>
      <c r="D641" s="54" t="s">
        <v>5341</v>
      </c>
      <c r="E641" s="54" t="s">
        <v>5233</v>
      </c>
      <c r="F641" s="54" t="s">
        <v>5216</v>
      </c>
      <c r="G641" s="54" t="s">
        <v>5335</v>
      </c>
      <c r="H641" s="37" t="s">
        <v>5269</v>
      </c>
      <c r="I641" s="54" t="s">
        <v>5293</v>
      </c>
      <c r="J641" s="37"/>
    </row>
    <row r="642" customFormat="false" ht="15" hidden="false" customHeight="true" outlineLevel="0" collapsed="false">
      <c r="A642" s="37" t="s">
        <v>3310</v>
      </c>
      <c r="B642" s="37" t="s">
        <v>485</v>
      </c>
      <c r="C642" s="37" t="s">
        <v>3311</v>
      </c>
      <c r="D642" s="54" t="s">
        <v>5341</v>
      </c>
      <c r="E642" s="54" t="s">
        <v>5233</v>
      </c>
      <c r="F642" s="54" t="s">
        <v>5216</v>
      </c>
      <c r="G642" s="54" t="s">
        <v>5335</v>
      </c>
      <c r="H642" s="37" t="s">
        <v>5269</v>
      </c>
      <c r="I642" s="54" t="s">
        <v>5293</v>
      </c>
      <c r="J642" s="37"/>
    </row>
    <row r="643" customFormat="false" ht="15" hidden="false" customHeight="true" outlineLevel="0" collapsed="false">
      <c r="A643" s="37" t="s">
        <v>3313</v>
      </c>
      <c r="B643" s="37" t="s">
        <v>485</v>
      </c>
      <c r="C643" s="37" t="s">
        <v>3314</v>
      </c>
      <c r="D643" s="54" t="s">
        <v>5339</v>
      </c>
      <c r="E643" s="54" t="s">
        <v>5215</v>
      </c>
      <c r="F643" s="54" t="s">
        <v>5216</v>
      </c>
      <c r="G643" s="54" t="s">
        <v>5335</v>
      </c>
      <c r="H643" s="37" t="s">
        <v>5269</v>
      </c>
      <c r="I643" s="54" t="s">
        <v>5293</v>
      </c>
      <c r="J643" s="37"/>
    </row>
    <row r="644" customFormat="false" ht="15" hidden="false" customHeight="true" outlineLevel="0" collapsed="false">
      <c r="A644" s="37" t="s">
        <v>3316</v>
      </c>
      <c r="B644" s="37" t="s">
        <v>485</v>
      </c>
      <c r="C644" s="37" t="s">
        <v>3317</v>
      </c>
      <c r="D644" s="54" t="s">
        <v>5340</v>
      </c>
      <c r="E644" s="54" t="s">
        <v>5215</v>
      </c>
      <c r="F644" s="54" t="s">
        <v>5216</v>
      </c>
      <c r="G644" s="54" t="s">
        <v>5335</v>
      </c>
      <c r="H644" s="37" t="s">
        <v>5269</v>
      </c>
      <c r="I644" s="54" t="s">
        <v>5293</v>
      </c>
      <c r="J644" s="37"/>
    </row>
    <row r="645" customFormat="false" ht="15" hidden="false" customHeight="true" outlineLevel="0" collapsed="false">
      <c r="A645" s="37" t="s">
        <v>3319</v>
      </c>
      <c r="B645" s="37" t="s">
        <v>485</v>
      </c>
      <c r="C645" s="37" t="s">
        <v>3320</v>
      </c>
      <c r="D645" s="54" t="s">
        <v>5337</v>
      </c>
      <c r="E645" s="37" t="s">
        <v>5338</v>
      </c>
      <c r="F645" s="54" t="s">
        <v>5216</v>
      </c>
      <c r="G645" s="54" t="s">
        <v>5335</v>
      </c>
      <c r="H645" s="37" t="s">
        <v>5269</v>
      </c>
      <c r="I645" s="54" t="s">
        <v>5293</v>
      </c>
      <c r="J645" s="37"/>
    </row>
    <row r="646" customFormat="false" ht="15" hidden="false" customHeight="true" outlineLevel="0" collapsed="false">
      <c r="A646" s="37" t="s">
        <v>3322</v>
      </c>
      <c r="B646" s="37" t="s">
        <v>485</v>
      </c>
      <c r="C646" s="37" t="s">
        <v>3323</v>
      </c>
      <c r="D646" s="54" t="s">
        <v>5257</v>
      </c>
      <c r="E646" s="54" t="s">
        <v>5258</v>
      </c>
      <c r="F646" s="54" t="s">
        <v>5216</v>
      </c>
      <c r="G646" s="54" t="s">
        <v>5335</v>
      </c>
      <c r="H646" s="37" t="s">
        <v>5269</v>
      </c>
      <c r="I646" s="54" t="s">
        <v>5293</v>
      </c>
      <c r="J646" s="37"/>
    </row>
    <row r="647" customFormat="false" ht="15" hidden="false" customHeight="true" outlineLevel="0" collapsed="false">
      <c r="A647" s="37" t="s">
        <v>3325</v>
      </c>
      <c r="B647" s="37" t="s">
        <v>485</v>
      </c>
      <c r="C647" s="37" t="s">
        <v>3326</v>
      </c>
      <c r="D647" s="54" t="s">
        <v>5257</v>
      </c>
      <c r="E647" s="54" t="s">
        <v>5258</v>
      </c>
      <c r="F647" s="54" t="s">
        <v>5216</v>
      </c>
      <c r="G647" s="54" t="s">
        <v>5335</v>
      </c>
      <c r="H647" s="37" t="s">
        <v>5269</v>
      </c>
      <c r="I647" s="54" t="s">
        <v>5293</v>
      </c>
      <c r="J647" s="37"/>
    </row>
    <row r="648" customFormat="false" ht="15" hidden="false" customHeight="true" outlineLevel="0" collapsed="false">
      <c r="A648" s="37" t="s">
        <v>3328</v>
      </c>
      <c r="B648" s="37" t="s">
        <v>485</v>
      </c>
      <c r="C648" s="37" t="s">
        <v>3329</v>
      </c>
      <c r="D648" s="54" t="s">
        <v>5340</v>
      </c>
      <c r="E648" s="54" t="s">
        <v>5215</v>
      </c>
      <c r="F648" s="54" t="s">
        <v>5216</v>
      </c>
      <c r="G648" s="54" t="s">
        <v>5335</v>
      </c>
      <c r="H648" s="37" t="s">
        <v>5269</v>
      </c>
      <c r="I648" s="54" t="s">
        <v>5293</v>
      </c>
      <c r="J648" s="37"/>
    </row>
    <row r="649" customFormat="false" ht="15" hidden="false" customHeight="true" outlineLevel="0" collapsed="false">
      <c r="A649" s="37" t="s">
        <v>3331</v>
      </c>
      <c r="B649" s="37" t="s">
        <v>485</v>
      </c>
      <c r="C649" s="37" t="s">
        <v>3332</v>
      </c>
      <c r="D649" s="54" t="s">
        <v>5257</v>
      </c>
      <c r="E649" s="54" t="s">
        <v>5258</v>
      </c>
      <c r="F649" s="54" t="s">
        <v>5216</v>
      </c>
      <c r="G649" s="54" t="s">
        <v>5335</v>
      </c>
      <c r="H649" s="37" t="s">
        <v>5269</v>
      </c>
      <c r="I649" s="54" t="s">
        <v>5293</v>
      </c>
      <c r="J649" s="37"/>
    </row>
    <row r="650" customFormat="false" ht="15" hidden="false" customHeight="true" outlineLevel="0" collapsed="false">
      <c r="A650" s="37" t="s">
        <v>3334</v>
      </c>
      <c r="B650" s="37" t="s">
        <v>485</v>
      </c>
      <c r="C650" s="37" t="s">
        <v>3335</v>
      </c>
      <c r="D650" s="54" t="s">
        <v>5339</v>
      </c>
      <c r="E650" s="54" t="s">
        <v>5215</v>
      </c>
      <c r="F650" s="54" t="s">
        <v>5216</v>
      </c>
      <c r="G650" s="54" t="s">
        <v>5335</v>
      </c>
      <c r="H650" s="37" t="s">
        <v>5269</v>
      </c>
      <c r="I650" s="54" t="s">
        <v>5293</v>
      </c>
      <c r="J650" s="37"/>
    </row>
    <row r="651" customFormat="false" ht="15" hidden="false" customHeight="true" outlineLevel="0" collapsed="false">
      <c r="A651" s="37" t="s">
        <v>3337</v>
      </c>
      <c r="B651" s="37" t="s">
        <v>485</v>
      </c>
      <c r="C651" s="37" t="s">
        <v>3338</v>
      </c>
      <c r="D651" s="54" t="s">
        <v>5257</v>
      </c>
      <c r="E651" s="54" t="s">
        <v>5258</v>
      </c>
      <c r="F651" s="54" t="s">
        <v>5216</v>
      </c>
      <c r="G651" s="54" t="s">
        <v>5335</v>
      </c>
      <c r="H651" s="37" t="s">
        <v>5269</v>
      </c>
      <c r="I651" s="54" t="s">
        <v>5293</v>
      </c>
      <c r="J651" s="37"/>
    </row>
    <row r="652" customFormat="false" ht="15" hidden="false" customHeight="true" outlineLevel="0" collapsed="false">
      <c r="A652" s="37" t="s">
        <v>3340</v>
      </c>
      <c r="B652" s="37" t="s">
        <v>485</v>
      </c>
      <c r="C652" s="37" t="s">
        <v>3341</v>
      </c>
      <c r="D652" s="54" t="s">
        <v>5255</v>
      </c>
      <c r="E652" s="54" t="s">
        <v>5256</v>
      </c>
      <c r="F652" s="54" t="s">
        <v>5216</v>
      </c>
      <c r="G652" s="54" t="s">
        <v>5335</v>
      </c>
      <c r="H652" s="37" t="s">
        <v>5269</v>
      </c>
      <c r="I652" s="54" t="s">
        <v>5293</v>
      </c>
      <c r="J652" s="37"/>
    </row>
    <row r="653" customFormat="false" ht="15" hidden="false" customHeight="true" outlineLevel="0" collapsed="false">
      <c r="A653" s="37" t="s">
        <v>3343</v>
      </c>
      <c r="B653" s="37" t="s">
        <v>485</v>
      </c>
      <c r="C653" s="37" t="s">
        <v>3344</v>
      </c>
      <c r="D653" s="54" t="s">
        <v>5255</v>
      </c>
      <c r="E653" s="54" t="s">
        <v>5256</v>
      </c>
      <c r="F653" s="54" t="s">
        <v>5216</v>
      </c>
      <c r="G653" s="54" t="s">
        <v>5335</v>
      </c>
      <c r="H653" s="37" t="s">
        <v>5269</v>
      </c>
      <c r="I653" s="54" t="s">
        <v>5293</v>
      </c>
      <c r="J653" s="37"/>
    </row>
    <row r="654" customFormat="false" ht="15" hidden="false" customHeight="true" outlineLevel="0" collapsed="false">
      <c r="A654" s="37" t="s">
        <v>3346</v>
      </c>
      <c r="B654" s="37" t="s">
        <v>485</v>
      </c>
      <c r="C654" s="37" t="s">
        <v>3347</v>
      </c>
      <c r="D654" s="54" t="s">
        <v>5255</v>
      </c>
      <c r="E654" s="54" t="s">
        <v>5256</v>
      </c>
      <c r="F654" s="54" t="s">
        <v>5216</v>
      </c>
      <c r="G654" s="54" t="s">
        <v>5335</v>
      </c>
      <c r="H654" s="37" t="s">
        <v>5269</v>
      </c>
      <c r="I654" s="54" t="s">
        <v>5293</v>
      </c>
      <c r="J654" s="37"/>
    </row>
    <row r="655" customFormat="false" ht="15" hidden="false" customHeight="true" outlineLevel="0" collapsed="false">
      <c r="A655" s="37" t="s">
        <v>3349</v>
      </c>
      <c r="B655" s="37" t="s">
        <v>485</v>
      </c>
      <c r="C655" s="37" t="s">
        <v>3350</v>
      </c>
      <c r="D655" s="54" t="s">
        <v>5257</v>
      </c>
      <c r="E655" s="54" t="s">
        <v>5258</v>
      </c>
      <c r="F655" s="54" t="s">
        <v>5216</v>
      </c>
      <c r="G655" s="54" t="s">
        <v>5335</v>
      </c>
      <c r="H655" s="37" t="s">
        <v>5269</v>
      </c>
      <c r="I655" s="54" t="s">
        <v>5293</v>
      </c>
      <c r="J655" s="37"/>
    </row>
    <row r="656" customFormat="false" ht="15" hidden="false" customHeight="true" outlineLevel="0" collapsed="false">
      <c r="A656" s="37" t="s">
        <v>3352</v>
      </c>
      <c r="B656" s="37" t="s">
        <v>485</v>
      </c>
      <c r="C656" s="37" t="s">
        <v>3353</v>
      </c>
      <c r="D656" s="54" t="s">
        <v>5257</v>
      </c>
      <c r="E656" s="54" t="s">
        <v>5258</v>
      </c>
      <c r="F656" s="54" t="s">
        <v>5216</v>
      </c>
      <c r="G656" s="54" t="s">
        <v>5335</v>
      </c>
      <c r="H656" s="37" t="s">
        <v>5269</v>
      </c>
      <c r="I656" s="54" t="s">
        <v>5293</v>
      </c>
      <c r="J656" s="37"/>
    </row>
    <row r="657" customFormat="false" ht="15" hidden="false" customHeight="true" outlineLevel="0" collapsed="false">
      <c r="A657" s="37" t="s">
        <v>3355</v>
      </c>
      <c r="B657" s="37" t="s">
        <v>485</v>
      </c>
      <c r="C657" s="37" t="s">
        <v>3356</v>
      </c>
      <c r="D657" s="54" t="s">
        <v>5257</v>
      </c>
      <c r="E657" s="54" t="s">
        <v>5258</v>
      </c>
      <c r="F657" s="54" t="s">
        <v>5216</v>
      </c>
      <c r="G657" s="54" t="s">
        <v>5335</v>
      </c>
      <c r="H657" s="37" t="s">
        <v>5269</v>
      </c>
      <c r="I657" s="54" t="s">
        <v>5293</v>
      </c>
      <c r="J657" s="37"/>
    </row>
    <row r="658" customFormat="false" ht="15" hidden="false" customHeight="true" outlineLevel="0" collapsed="false">
      <c r="A658" s="37" t="s">
        <v>3358</v>
      </c>
      <c r="B658" s="37" t="s">
        <v>485</v>
      </c>
      <c r="C658" s="37" t="s">
        <v>3359</v>
      </c>
      <c r="D658" s="54" t="s">
        <v>5339</v>
      </c>
      <c r="E658" s="54" t="s">
        <v>5215</v>
      </c>
      <c r="F658" s="54" t="s">
        <v>5216</v>
      </c>
      <c r="G658" s="54" t="s">
        <v>5335</v>
      </c>
      <c r="H658" s="37" t="s">
        <v>5269</v>
      </c>
      <c r="I658" s="54" t="s">
        <v>5293</v>
      </c>
      <c r="J658" s="37"/>
    </row>
    <row r="659" customFormat="false" ht="15" hidden="false" customHeight="true" outlineLevel="0" collapsed="false">
      <c r="A659" s="37" t="s">
        <v>3361</v>
      </c>
      <c r="B659" s="37" t="s">
        <v>485</v>
      </c>
      <c r="C659" s="54" t="s">
        <v>3362</v>
      </c>
      <c r="D659" s="54" t="s">
        <v>5255</v>
      </c>
      <c r="E659" s="54" t="s">
        <v>5256</v>
      </c>
      <c r="F659" s="54" t="s">
        <v>5216</v>
      </c>
      <c r="G659" s="54" t="s">
        <v>5335</v>
      </c>
      <c r="H659" s="37" t="s">
        <v>5269</v>
      </c>
      <c r="I659" s="54" t="s">
        <v>5293</v>
      </c>
      <c r="J659" s="37"/>
    </row>
    <row r="660" customFormat="false" ht="15" hidden="false" customHeight="true" outlineLevel="0" collapsed="false">
      <c r="A660" s="37" t="s">
        <v>3364</v>
      </c>
      <c r="B660" s="37" t="s">
        <v>485</v>
      </c>
      <c r="C660" s="37" t="s">
        <v>3365</v>
      </c>
      <c r="D660" s="54" t="s">
        <v>5257</v>
      </c>
      <c r="E660" s="54" t="s">
        <v>5258</v>
      </c>
      <c r="F660" s="54" t="s">
        <v>5216</v>
      </c>
      <c r="G660" s="54" t="s">
        <v>5335</v>
      </c>
      <c r="H660" s="37" t="s">
        <v>5269</v>
      </c>
      <c r="I660" s="54" t="s">
        <v>5293</v>
      </c>
      <c r="J660" s="37"/>
    </row>
    <row r="661" customFormat="false" ht="15" hidden="false" customHeight="true" outlineLevel="0" collapsed="false">
      <c r="A661" s="37" t="s">
        <v>3367</v>
      </c>
      <c r="B661" s="37" t="s">
        <v>485</v>
      </c>
      <c r="C661" s="37" t="s">
        <v>3368</v>
      </c>
      <c r="D661" s="54" t="s">
        <v>5339</v>
      </c>
      <c r="E661" s="54" t="s">
        <v>5215</v>
      </c>
      <c r="F661" s="54" t="s">
        <v>5216</v>
      </c>
      <c r="G661" s="54" t="s">
        <v>5335</v>
      </c>
      <c r="H661" s="37" t="s">
        <v>5269</v>
      </c>
      <c r="I661" s="54" t="s">
        <v>5293</v>
      </c>
      <c r="J661" s="37"/>
    </row>
    <row r="662" customFormat="false" ht="15" hidden="false" customHeight="true" outlineLevel="0" collapsed="false">
      <c r="A662" s="37" t="s">
        <v>3370</v>
      </c>
      <c r="B662" s="37" t="s">
        <v>485</v>
      </c>
      <c r="C662" s="37" t="s">
        <v>3371</v>
      </c>
      <c r="D662" s="54" t="s">
        <v>5339</v>
      </c>
      <c r="E662" s="54" t="s">
        <v>5215</v>
      </c>
      <c r="F662" s="54" t="s">
        <v>5216</v>
      </c>
      <c r="G662" s="54" t="s">
        <v>5335</v>
      </c>
      <c r="H662" s="37" t="s">
        <v>5269</v>
      </c>
      <c r="I662" s="54" t="s">
        <v>5293</v>
      </c>
      <c r="J662" s="37"/>
    </row>
    <row r="663" customFormat="false" ht="15" hidden="false" customHeight="true" outlineLevel="0" collapsed="false">
      <c r="A663" s="37" t="s">
        <v>3373</v>
      </c>
      <c r="B663" s="37" t="s">
        <v>485</v>
      </c>
      <c r="C663" s="37" t="s">
        <v>3374</v>
      </c>
      <c r="D663" s="54" t="s">
        <v>5257</v>
      </c>
      <c r="E663" s="54" t="s">
        <v>5258</v>
      </c>
      <c r="F663" s="54" t="s">
        <v>5216</v>
      </c>
      <c r="G663" s="54" t="s">
        <v>5335</v>
      </c>
      <c r="H663" s="37" t="s">
        <v>5269</v>
      </c>
      <c r="I663" s="54" t="s">
        <v>5293</v>
      </c>
      <c r="J663" s="37"/>
    </row>
    <row r="664" customFormat="false" ht="15" hidden="false" customHeight="true" outlineLevel="0" collapsed="false">
      <c r="A664" s="37" t="s">
        <v>3376</v>
      </c>
      <c r="B664" s="37" t="s">
        <v>485</v>
      </c>
      <c r="C664" s="37" t="s">
        <v>3377</v>
      </c>
      <c r="D664" s="54" t="s">
        <v>5255</v>
      </c>
      <c r="E664" s="54" t="s">
        <v>5256</v>
      </c>
      <c r="F664" s="54" t="s">
        <v>5216</v>
      </c>
      <c r="G664" s="54" t="s">
        <v>5335</v>
      </c>
      <c r="H664" s="37" t="s">
        <v>5269</v>
      </c>
      <c r="I664" s="54" t="s">
        <v>5293</v>
      </c>
      <c r="J664" s="37"/>
    </row>
    <row r="665" customFormat="false" ht="15" hidden="false" customHeight="true" outlineLevel="0" collapsed="false">
      <c r="A665" s="37" t="s">
        <v>3379</v>
      </c>
      <c r="B665" s="37" t="s">
        <v>485</v>
      </c>
      <c r="C665" s="37" t="s">
        <v>3380</v>
      </c>
      <c r="D665" s="54" t="s">
        <v>5339</v>
      </c>
      <c r="E665" s="54" t="s">
        <v>5215</v>
      </c>
      <c r="F665" s="54" t="s">
        <v>5216</v>
      </c>
      <c r="G665" s="54" t="s">
        <v>5335</v>
      </c>
      <c r="H665" s="37" t="s">
        <v>5269</v>
      </c>
      <c r="I665" s="54" t="s">
        <v>5293</v>
      </c>
      <c r="J665" s="37"/>
    </row>
    <row r="666" customFormat="false" ht="15" hidden="false" customHeight="true" outlineLevel="0" collapsed="false">
      <c r="A666" s="37" t="s">
        <v>3382</v>
      </c>
      <c r="B666" s="37" t="s">
        <v>485</v>
      </c>
      <c r="C666" s="37" t="s">
        <v>3383</v>
      </c>
      <c r="D666" s="54" t="s">
        <v>5339</v>
      </c>
      <c r="E666" s="54" t="s">
        <v>5215</v>
      </c>
      <c r="F666" s="54" t="s">
        <v>5216</v>
      </c>
      <c r="G666" s="54" t="s">
        <v>5335</v>
      </c>
      <c r="H666" s="37" t="s">
        <v>5269</v>
      </c>
      <c r="I666" s="54" t="s">
        <v>5293</v>
      </c>
      <c r="J666" s="37"/>
    </row>
    <row r="667" customFormat="false" ht="15" hidden="false" customHeight="true" outlineLevel="0" collapsed="false">
      <c r="A667" s="37" t="s">
        <v>3385</v>
      </c>
      <c r="B667" s="37" t="s">
        <v>485</v>
      </c>
      <c r="C667" s="37" t="s">
        <v>3386</v>
      </c>
      <c r="D667" s="54" t="s">
        <v>5341</v>
      </c>
      <c r="E667" s="54" t="s">
        <v>5233</v>
      </c>
      <c r="F667" s="54" t="s">
        <v>5216</v>
      </c>
      <c r="G667" s="54" t="s">
        <v>5335</v>
      </c>
      <c r="H667" s="37" t="s">
        <v>5269</v>
      </c>
      <c r="I667" s="54" t="s">
        <v>5293</v>
      </c>
      <c r="J667" s="37"/>
    </row>
    <row r="668" customFormat="false" ht="15" hidden="false" customHeight="true" outlineLevel="0" collapsed="false">
      <c r="A668" s="37" t="s">
        <v>3388</v>
      </c>
      <c r="B668" s="37" t="s">
        <v>485</v>
      </c>
      <c r="C668" s="37" t="s">
        <v>3389</v>
      </c>
      <c r="D668" s="54" t="s">
        <v>5339</v>
      </c>
      <c r="E668" s="54" t="s">
        <v>5215</v>
      </c>
      <c r="F668" s="54" t="s">
        <v>5216</v>
      </c>
      <c r="G668" s="54" t="s">
        <v>5335</v>
      </c>
      <c r="H668" s="37" t="s">
        <v>5269</v>
      </c>
      <c r="I668" s="54" t="s">
        <v>5293</v>
      </c>
      <c r="J668" s="37"/>
    </row>
    <row r="669" customFormat="false" ht="15" hidden="false" customHeight="true" outlineLevel="0" collapsed="false">
      <c r="A669" s="37" t="s">
        <v>3391</v>
      </c>
      <c r="B669" s="37" t="s">
        <v>485</v>
      </c>
      <c r="C669" s="37" t="s">
        <v>3392</v>
      </c>
      <c r="D669" s="54" t="s">
        <v>5339</v>
      </c>
      <c r="E669" s="54" t="s">
        <v>5215</v>
      </c>
      <c r="F669" s="54" t="s">
        <v>5216</v>
      </c>
      <c r="G669" s="54" t="s">
        <v>5335</v>
      </c>
      <c r="H669" s="37" t="s">
        <v>5269</v>
      </c>
      <c r="I669" s="54" t="s">
        <v>5293</v>
      </c>
      <c r="J669" s="37"/>
    </row>
    <row r="670" customFormat="false" ht="15" hidden="false" customHeight="true" outlineLevel="0" collapsed="false">
      <c r="A670" s="37" t="s">
        <v>3394</v>
      </c>
      <c r="B670" s="37" t="s">
        <v>485</v>
      </c>
      <c r="C670" s="37" t="s">
        <v>3395</v>
      </c>
      <c r="D670" s="54" t="s">
        <v>5339</v>
      </c>
      <c r="E670" s="54" t="s">
        <v>5215</v>
      </c>
      <c r="F670" s="54" t="s">
        <v>5216</v>
      </c>
      <c r="G670" s="54" t="s">
        <v>5335</v>
      </c>
      <c r="H670" s="37" t="s">
        <v>5269</v>
      </c>
      <c r="I670" s="54" t="s">
        <v>5293</v>
      </c>
      <c r="J670" s="37"/>
    </row>
    <row r="671" customFormat="false" ht="15" hidden="false" customHeight="true" outlineLevel="0" collapsed="false">
      <c r="A671" s="37" t="s">
        <v>3397</v>
      </c>
      <c r="B671" s="37" t="s">
        <v>485</v>
      </c>
      <c r="C671" s="37" t="s">
        <v>3398</v>
      </c>
      <c r="D671" s="54" t="s">
        <v>5257</v>
      </c>
      <c r="E671" s="54" t="s">
        <v>5258</v>
      </c>
      <c r="F671" s="54" t="s">
        <v>5216</v>
      </c>
      <c r="G671" s="54" t="s">
        <v>5335</v>
      </c>
      <c r="H671" s="37" t="s">
        <v>5269</v>
      </c>
      <c r="I671" s="54" t="s">
        <v>5293</v>
      </c>
      <c r="J671" s="37"/>
    </row>
    <row r="672" customFormat="false" ht="15" hidden="false" customHeight="true" outlineLevel="0" collapsed="false">
      <c r="A672" s="37" t="s">
        <v>3400</v>
      </c>
      <c r="B672" s="37" t="s">
        <v>485</v>
      </c>
      <c r="C672" s="37" t="s">
        <v>3401</v>
      </c>
      <c r="D672" s="54" t="s">
        <v>5257</v>
      </c>
      <c r="E672" s="54" t="s">
        <v>5258</v>
      </c>
      <c r="F672" s="54" t="s">
        <v>5216</v>
      </c>
      <c r="G672" s="54" t="s">
        <v>5335</v>
      </c>
      <c r="H672" s="37" t="s">
        <v>5269</v>
      </c>
      <c r="I672" s="54" t="s">
        <v>5293</v>
      </c>
      <c r="J672" s="37"/>
    </row>
    <row r="673" customFormat="false" ht="15" hidden="false" customHeight="true" outlineLevel="0" collapsed="false">
      <c r="A673" s="37" t="s">
        <v>3403</v>
      </c>
      <c r="B673" s="37" t="s">
        <v>485</v>
      </c>
      <c r="C673" s="37" t="s">
        <v>3404</v>
      </c>
      <c r="D673" s="54" t="s">
        <v>5340</v>
      </c>
      <c r="E673" s="54" t="s">
        <v>5215</v>
      </c>
      <c r="F673" s="54" t="s">
        <v>5216</v>
      </c>
      <c r="G673" s="54" t="s">
        <v>5335</v>
      </c>
      <c r="H673" s="37" t="s">
        <v>5269</v>
      </c>
      <c r="I673" s="54" t="s">
        <v>5293</v>
      </c>
      <c r="J673" s="37"/>
    </row>
    <row r="674" customFormat="false" ht="15" hidden="false" customHeight="true" outlineLevel="0" collapsed="false">
      <c r="A674" s="37" t="s">
        <v>3406</v>
      </c>
      <c r="B674" s="37" t="s">
        <v>485</v>
      </c>
      <c r="C674" s="54" t="s">
        <v>3407</v>
      </c>
      <c r="D674" s="54" t="s">
        <v>5342</v>
      </c>
      <c r="E674" s="54" t="s">
        <v>5215</v>
      </c>
      <c r="F674" s="54" t="s">
        <v>5216</v>
      </c>
      <c r="G674" s="54" t="s">
        <v>5335</v>
      </c>
      <c r="H674" s="37" t="s">
        <v>5269</v>
      </c>
      <c r="I674" s="54" t="s">
        <v>5293</v>
      </c>
      <c r="J674" s="37"/>
    </row>
    <row r="675" customFormat="false" ht="15" hidden="false" customHeight="true" outlineLevel="0" collapsed="false">
      <c r="A675" s="37" t="s">
        <v>3409</v>
      </c>
      <c r="B675" s="37" t="s">
        <v>485</v>
      </c>
      <c r="C675" s="37" t="s">
        <v>3410</v>
      </c>
      <c r="D675" s="54" t="s">
        <v>5339</v>
      </c>
      <c r="E675" s="54" t="s">
        <v>5215</v>
      </c>
      <c r="F675" s="54" t="s">
        <v>5216</v>
      </c>
      <c r="G675" s="54" t="s">
        <v>5335</v>
      </c>
      <c r="H675" s="37" t="s">
        <v>5269</v>
      </c>
      <c r="I675" s="54" t="s">
        <v>5293</v>
      </c>
      <c r="J675" s="37"/>
    </row>
    <row r="676" customFormat="false" ht="15" hidden="false" customHeight="true" outlineLevel="0" collapsed="false">
      <c r="A676" s="37" t="s">
        <v>3412</v>
      </c>
      <c r="B676" s="37" t="s">
        <v>485</v>
      </c>
      <c r="C676" s="37" t="s">
        <v>3413</v>
      </c>
      <c r="D676" s="54" t="s">
        <v>5257</v>
      </c>
      <c r="E676" s="54" t="s">
        <v>5258</v>
      </c>
      <c r="F676" s="54" t="s">
        <v>5216</v>
      </c>
      <c r="G676" s="54" t="s">
        <v>5335</v>
      </c>
      <c r="H676" s="37" t="s">
        <v>5269</v>
      </c>
      <c r="I676" s="54" t="s">
        <v>5293</v>
      </c>
      <c r="J676" s="37"/>
    </row>
    <row r="677" customFormat="false" ht="15" hidden="false" customHeight="true" outlineLevel="0" collapsed="false">
      <c r="A677" s="37" t="s">
        <v>3415</v>
      </c>
      <c r="B677" s="37" t="s">
        <v>485</v>
      </c>
      <c r="C677" s="37" t="s">
        <v>3416</v>
      </c>
      <c r="D677" s="54" t="s">
        <v>5340</v>
      </c>
      <c r="E677" s="54" t="s">
        <v>5215</v>
      </c>
      <c r="F677" s="54" t="s">
        <v>5216</v>
      </c>
      <c r="G677" s="54" t="s">
        <v>5335</v>
      </c>
      <c r="H677" s="37" t="s">
        <v>5269</v>
      </c>
      <c r="I677" s="54" t="s">
        <v>5293</v>
      </c>
      <c r="J677" s="37"/>
    </row>
    <row r="678" customFormat="false" ht="15" hidden="false" customHeight="true" outlineLevel="0" collapsed="false">
      <c r="A678" s="37" t="s">
        <v>3418</v>
      </c>
      <c r="B678" s="37" t="s">
        <v>485</v>
      </c>
      <c r="C678" s="37" t="s">
        <v>3419</v>
      </c>
      <c r="D678" s="54" t="s">
        <v>5257</v>
      </c>
      <c r="E678" s="54" t="s">
        <v>5258</v>
      </c>
      <c r="F678" s="54" t="s">
        <v>5216</v>
      </c>
      <c r="G678" s="54" t="s">
        <v>5335</v>
      </c>
      <c r="H678" s="37" t="s">
        <v>5269</v>
      </c>
      <c r="I678" s="54" t="s">
        <v>5293</v>
      </c>
      <c r="J678" s="37"/>
    </row>
    <row r="679" customFormat="false" ht="15" hidden="false" customHeight="true" outlineLevel="0" collapsed="false">
      <c r="A679" s="37" t="s">
        <v>3421</v>
      </c>
      <c r="B679" s="37" t="s">
        <v>485</v>
      </c>
      <c r="C679" s="37" t="s">
        <v>3422</v>
      </c>
      <c r="D679" s="54" t="s">
        <v>5255</v>
      </c>
      <c r="E679" s="54" t="s">
        <v>5256</v>
      </c>
      <c r="F679" s="54" t="s">
        <v>5216</v>
      </c>
      <c r="G679" s="54" t="s">
        <v>5335</v>
      </c>
      <c r="H679" s="37" t="s">
        <v>5269</v>
      </c>
      <c r="I679" s="54" t="s">
        <v>5293</v>
      </c>
      <c r="J679" s="37"/>
    </row>
    <row r="680" customFormat="false" ht="15" hidden="false" customHeight="true" outlineLevel="0" collapsed="false">
      <c r="A680" s="37" t="s">
        <v>3424</v>
      </c>
      <c r="B680" s="37" t="s">
        <v>485</v>
      </c>
      <c r="C680" s="37" t="s">
        <v>3425</v>
      </c>
      <c r="D680" s="54" t="s">
        <v>5255</v>
      </c>
      <c r="E680" s="54" t="s">
        <v>5256</v>
      </c>
      <c r="F680" s="54" t="s">
        <v>5216</v>
      </c>
      <c r="G680" s="54" t="s">
        <v>5335</v>
      </c>
      <c r="H680" s="37" t="s">
        <v>5269</v>
      </c>
      <c r="I680" s="54" t="s">
        <v>5293</v>
      </c>
      <c r="J680" s="37"/>
    </row>
    <row r="681" customFormat="false" ht="15" hidden="false" customHeight="true" outlineLevel="0" collapsed="false">
      <c r="A681" s="37" t="s">
        <v>3427</v>
      </c>
      <c r="B681" s="37" t="s">
        <v>485</v>
      </c>
      <c r="C681" s="37" t="s">
        <v>3428</v>
      </c>
      <c r="D681" s="54" t="s">
        <v>5255</v>
      </c>
      <c r="E681" s="54" t="s">
        <v>5256</v>
      </c>
      <c r="F681" s="54" t="s">
        <v>5216</v>
      </c>
      <c r="G681" s="54" t="s">
        <v>5335</v>
      </c>
      <c r="H681" s="37" t="s">
        <v>5269</v>
      </c>
      <c r="I681" s="54" t="s">
        <v>5293</v>
      </c>
      <c r="J681" s="37"/>
    </row>
    <row r="682" customFormat="false" ht="15" hidden="false" customHeight="true" outlineLevel="0" collapsed="false">
      <c r="A682" s="37" t="s">
        <v>3430</v>
      </c>
      <c r="B682" s="37" t="s">
        <v>485</v>
      </c>
      <c r="C682" s="37" t="s">
        <v>3431</v>
      </c>
      <c r="D682" s="54" t="s">
        <v>5339</v>
      </c>
      <c r="E682" s="54" t="s">
        <v>5215</v>
      </c>
      <c r="F682" s="54" t="s">
        <v>5216</v>
      </c>
      <c r="G682" s="54" t="s">
        <v>5335</v>
      </c>
      <c r="H682" s="37" t="s">
        <v>5269</v>
      </c>
      <c r="I682" s="54" t="s">
        <v>5293</v>
      </c>
      <c r="J682" s="37"/>
    </row>
    <row r="683" customFormat="false" ht="15" hidden="false" customHeight="true" outlineLevel="0" collapsed="false">
      <c r="A683" s="37" t="s">
        <v>3433</v>
      </c>
      <c r="B683" s="37" t="s">
        <v>485</v>
      </c>
      <c r="C683" s="37" t="s">
        <v>3434</v>
      </c>
      <c r="D683" s="54" t="s">
        <v>5339</v>
      </c>
      <c r="E683" s="54" t="s">
        <v>5215</v>
      </c>
      <c r="F683" s="54" t="s">
        <v>5216</v>
      </c>
      <c r="G683" s="54" t="s">
        <v>5335</v>
      </c>
      <c r="H683" s="37" t="s">
        <v>5269</v>
      </c>
      <c r="I683" s="54" t="s">
        <v>5293</v>
      </c>
      <c r="J683" s="37"/>
    </row>
    <row r="684" customFormat="false" ht="15" hidden="false" customHeight="true" outlineLevel="0" collapsed="false">
      <c r="A684" s="37" t="s">
        <v>3436</v>
      </c>
      <c r="B684" s="37" t="s">
        <v>485</v>
      </c>
      <c r="C684" s="37" t="s">
        <v>3437</v>
      </c>
      <c r="D684" s="54" t="s">
        <v>5255</v>
      </c>
      <c r="E684" s="54" t="s">
        <v>5256</v>
      </c>
      <c r="F684" s="54" t="s">
        <v>5216</v>
      </c>
      <c r="G684" s="54" t="s">
        <v>5335</v>
      </c>
      <c r="H684" s="37" t="s">
        <v>5269</v>
      </c>
      <c r="I684" s="54" t="s">
        <v>5293</v>
      </c>
      <c r="J684" s="37"/>
    </row>
    <row r="685" customFormat="false" ht="15" hidden="false" customHeight="true" outlineLevel="0" collapsed="false">
      <c r="A685" s="37" t="s">
        <v>3439</v>
      </c>
      <c r="B685" s="37" t="s">
        <v>485</v>
      </c>
      <c r="C685" s="37" t="s">
        <v>3440</v>
      </c>
      <c r="D685" s="54" t="s">
        <v>5339</v>
      </c>
      <c r="E685" s="54" t="s">
        <v>5215</v>
      </c>
      <c r="F685" s="54" t="s">
        <v>5216</v>
      </c>
      <c r="G685" s="54" t="s">
        <v>5335</v>
      </c>
      <c r="H685" s="37" t="s">
        <v>5269</v>
      </c>
      <c r="I685" s="54" t="s">
        <v>5293</v>
      </c>
      <c r="J685" s="37"/>
    </row>
    <row r="686" customFormat="false" ht="15" hidden="false" customHeight="true" outlineLevel="0" collapsed="false">
      <c r="A686" s="37" t="s">
        <v>3442</v>
      </c>
      <c r="B686" s="37" t="s">
        <v>485</v>
      </c>
      <c r="C686" s="54" t="s">
        <v>3443</v>
      </c>
      <c r="D686" s="54" t="s">
        <v>5255</v>
      </c>
      <c r="E686" s="54" t="s">
        <v>5256</v>
      </c>
      <c r="F686" s="54" t="s">
        <v>5216</v>
      </c>
      <c r="G686" s="54" t="s">
        <v>5335</v>
      </c>
      <c r="H686" s="37" t="s">
        <v>5269</v>
      </c>
      <c r="I686" s="54" t="s">
        <v>5293</v>
      </c>
      <c r="J686" s="37"/>
    </row>
    <row r="687" customFormat="false" ht="15" hidden="false" customHeight="true" outlineLevel="0" collapsed="false">
      <c r="A687" s="37" t="s">
        <v>3445</v>
      </c>
      <c r="B687" s="37" t="s">
        <v>485</v>
      </c>
      <c r="C687" s="37" t="s">
        <v>3446</v>
      </c>
      <c r="D687" s="54" t="s">
        <v>5255</v>
      </c>
      <c r="E687" s="54" t="s">
        <v>5256</v>
      </c>
      <c r="F687" s="54" t="s">
        <v>5216</v>
      </c>
      <c r="G687" s="54" t="s">
        <v>5335</v>
      </c>
      <c r="H687" s="37" t="s">
        <v>5269</v>
      </c>
      <c r="I687" s="54" t="s">
        <v>5293</v>
      </c>
      <c r="J687" s="37"/>
    </row>
    <row r="688" customFormat="false" ht="15" hidden="false" customHeight="true" outlineLevel="0" collapsed="false">
      <c r="A688" s="37" t="s">
        <v>3448</v>
      </c>
      <c r="B688" s="37" t="s">
        <v>485</v>
      </c>
      <c r="C688" s="37" t="s">
        <v>3449</v>
      </c>
      <c r="D688" s="54" t="s">
        <v>5255</v>
      </c>
      <c r="E688" s="54" t="s">
        <v>5256</v>
      </c>
      <c r="F688" s="54" t="s">
        <v>5216</v>
      </c>
      <c r="G688" s="54" t="s">
        <v>5335</v>
      </c>
      <c r="H688" s="37" t="s">
        <v>5269</v>
      </c>
      <c r="I688" s="54" t="s">
        <v>5293</v>
      </c>
      <c r="J688" s="37"/>
    </row>
    <row r="689" customFormat="false" ht="15" hidden="false" customHeight="true" outlineLevel="0" collapsed="false">
      <c r="A689" s="37" t="s">
        <v>3451</v>
      </c>
      <c r="B689" s="37" t="s">
        <v>485</v>
      </c>
      <c r="C689" s="37" t="s">
        <v>3452</v>
      </c>
      <c r="D689" s="54" t="s">
        <v>5255</v>
      </c>
      <c r="E689" s="54" t="s">
        <v>5256</v>
      </c>
      <c r="F689" s="54" t="s">
        <v>5216</v>
      </c>
      <c r="G689" s="54" t="s">
        <v>5335</v>
      </c>
      <c r="H689" s="37" t="s">
        <v>5269</v>
      </c>
      <c r="I689" s="54" t="s">
        <v>5293</v>
      </c>
      <c r="J689" s="37"/>
    </row>
    <row r="690" customFormat="false" ht="15" hidden="false" customHeight="true" outlineLevel="0" collapsed="false">
      <c r="A690" s="37" t="s">
        <v>3454</v>
      </c>
      <c r="B690" s="37" t="s">
        <v>485</v>
      </c>
      <c r="C690" s="37" t="s">
        <v>3455</v>
      </c>
      <c r="D690" s="54" t="s">
        <v>5255</v>
      </c>
      <c r="E690" s="54" t="s">
        <v>5256</v>
      </c>
      <c r="F690" s="54" t="s">
        <v>5216</v>
      </c>
      <c r="G690" s="54" t="s">
        <v>5335</v>
      </c>
      <c r="H690" s="37" t="s">
        <v>5269</v>
      </c>
      <c r="I690" s="54" t="s">
        <v>5293</v>
      </c>
      <c r="J690" s="37"/>
    </row>
    <row r="691" customFormat="false" ht="15" hidden="false" customHeight="true" outlineLevel="0" collapsed="false">
      <c r="A691" s="37" t="s">
        <v>3457</v>
      </c>
      <c r="B691" s="37" t="s">
        <v>485</v>
      </c>
      <c r="C691" s="37" t="s">
        <v>3458</v>
      </c>
      <c r="D691" s="54" t="s">
        <v>5343</v>
      </c>
      <c r="E691" s="54" t="s">
        <v>5215</v>
      </c>
      <c r="F691" s="54" t="s">
        <v>5216</v>
      </c>
      <c r="G691" s="54" t="s">
        <v>5335</v>
      </c>
      <c r="H691" s="37" t="s">
        <v>5269</v>
      </c>
      <c r="I691" s="54" t="s">
        <v>5293</v>
      </c>
      <c r="J691" s="37"/>
    </row>
    <row r="692" customFormat="false" ht="15" hidden="false" customHeight="true" outlineLevel="0" collapsed="false">
      <c r="A692" s="37" t="s">
        <v>3460</v>
      </c>
      <c r="B692" s="37" t="s">
        <v>485</v>
      </c>
      <c r="C692" s="37" t="s">
        <v>3461</v>
      </c>
      <c r="D692" s="54" t="s">
        <v>5343</v>
      </c>
      <c r="E692" s="54" t="s">
        <v>5215</v>
      </c>
      <c r="F692" s="54" t="s">
        <v>5216</v>
      </c>
      <c r="G692" s="54" t="s">
        <v>5335</v>
      </c>
      <c r="H692" s="37" t="s">
        <v>5269</v>
      </c>
      <c r="I692" s="54" t="s">
        <v>5293</v>
      </c>
      <c r="J692" s="37"/>
    </row>
    <row r="693" customFormat="false" ht="15" hidden="false" customHeight="true" outlineLevel="0" collapsed="false">
      <c r="A693" s="37" t="s">
        <v>3463</v>
      </c>
      <c r="B693" s="37" t="s">
        <v>485</v>
      </c>
      <c r="C693" s="37" t="s">
        <v>3464</v>
      </c>
      <c r="D693" s="54" t="s">
        <v>5339</v>
      </c>
      <c r="E693" s="54" t="s">
        <v>5215</v>
      </c>
      <c r="F693" s="54" t="s">
        <v>5216</v>
      </c>
      <c r="G693" s="54" t="s">
        <v>5335</v>
      </c>
      <c r="H693" s="37" t="s">
        <v>5269</v>
      </c>
      <c r="I693" s="54" t="s">
        <v>5293</v>
      </c>
      <c r="J693" s="37"/>
    </row>
    <row r="694" customFormat="false" ht="15" hidden="false" customHeight="true" outlineLevel="0" collapsed="false">
      <c r="A694" s="37" t="s">
        <v>3466</v>
      </c>
      <c r="B694" s="37" t="s">
        <v>485</v>
      </c>
      <c r="C694" s="37" t="s">
        <v>3467</v>
      </c>
      <c r="D694" s="54" t="s">
        <v>5255</v>
      </c>
      <c r="E694" s="54" t="s">
        <v>5256</v>
      </c>
      <c r="F694" s="54" t="s">
        <v>5216</v>
      </c>
      <c r="G694" s="54" t="s">
        <v>5335</v>
      </c>
      <c r="H694" s="37" t="s">
        <v>5269</v>
      </c>
      <c r="I694" s="54" t="s">
        <v>5293</v>
      </c>
      <c r="J694" s="37"/>
    </row>
    <row r="695" customFormat="false" ht="15" hidden="false" customHeight="true" outlineLevel="0" collapsed="false">
      <c r="A695" s="37" t="s">
        <v>3469</v>
      </c>
      <c r="B695" s="37" t="s">
        <v>485</v>
      </c>
      <c r="C695" s="37" t="s">
        <v>3470</v>
      </c>
      <c r="D695" s="54" t="s">
        <v>5255</v>
      </c>
      <c r="E695" s="54" t="s">
        <v>5256</v>
      </c>
      <c r="F695" s="54" t="s">
        <v>5216</v>
      </c>
      <c r="G695" s="54" t="s">
        <v>5335</v>
      </c>
      <c r="H695" s="37" t="s">
        <v>5269</v>
      </c>
      <c r="I695" s="54" t="s">
        <v>5293</v>
      </c>
      <c r="J695" s="37"/>
    </row>
    <row r="696" customFormat="false" ht="15" hidden="false" customHeight="true" outlineLevel="0" collapsed="false">
      <c r="A696" s="37" t="s">
        <v>3472</v>
      </c>
      <c r="B696" s="37" t="s">
        <v>485</v>
      </c>
      <c r="C696" s="37" t="s">
        <v>3473</v>
      </c>
      <c r="D696" s="54" t="s">
        <v>5255</v>
      </c>
      <c r="E696" s="54" t="s">
        <v>5256</v>
      </c>
      <c r="F696" s="54" t="s">
        <v>5216</v>
      </c>
      <c r="G696" s="54" t="s">
        <v>5335</v>
      </c>
      <c r="H696" s="37" t="s">
        <v>5269</v>
      </c>
      <c r="I696" s="54" t="s">
        <v>5293</v>
      </c>
      <c r="J696" s="37"/>
    </row>
    <row r="697" customFormat="false" ht="15" hidden="false" customHeight="true" outlineLevel="0" collapsed="false">
      <c r="A697" s="37" t="s">
        <v>3475</v>
      </c>
      <c r="B697" s="37" t="s">
        <v>485</v>
      </c>
      <c r="C697" s="37" t="s">
        <v>3476</v>
      </c>
      <c r="D697" s="54" t="s">
        <v>5255</v>
      </c>
      <c r="E697" s="54" t="s">
        <v>5256</v>
      </c>
      <c r="F697" s="54" t="s">
        <v>5216</v>
      </c>
      <c r="G697" s="54" t="s">
        <v>5335</v>
      </c>
      <c r="H697" s="37" t="s">
        <v>5269</v>
      </c>
      <c r="I697" s="54" t="s">
        <v>5293</v>
      </c>
      <c r="J697" s="37"/>
    </row>
    <row r="698" customFormat="false" ht="15" hidden="false" customHeight="true" outlineLevel="0" collapsed="false">
      <c r="A698" s="37" t="s">
        <v>3478</v>
      </c>
      <c r="B698" s="37" t="s">
        <v>485</v>
      </c>
      <c r="C698" s="37" t="s">
        <v>3479</v>
      </c>
      <c r="D698" s="54" t="s">
        <v>5255</v>
      </c>
      <c r="E698" s="54" t="s">
        <v>5256</v>
      </c>
      <c r="F698" s="54" t="s">
        <v>5216</v>
      </c>
      <c r="G698" s="54" t="s">
        <v>5335</v>
      </c>
      <c r="H698" s="37" t="s">
        <v>5269</v>
      </c>
      <c r="I698" s="54" t="s">
        <v>5293</v>
      </c>
      <c r="J698" s="37"/>
    </row>
    <row r="699" customFormat="false" ht="15" hidden="false" customHeight="true" outlineLevel="0" collapsed="false">
      <c r="A699" s="37" t="s">
        <v>3481</v>
      </c>
      <c r="B699" s="37" t="s">
        <v>485</v>
      </c>
      <c r="C699" s="37" t="s">
        <v>3482</v>
      </c>
      <c r="D699" s="54" t="s">
        <v>5344</v>
      </c>
      <c r="E699" s="54" t="s">
        <v>5215</v>
      </c>
      <c r="F699" s="54" t="s">
        <v>5216</v>
      </c>
      <c r="G699" s="54" t="s">
        <v>5335</v>
      </c>
      <c r="H699" s="37" t="s">
        <v>5269</v>
      </c>
      <c r="I699" s="54" t="s">
        <v>5293</v>
      </c>
      <c r="J699" s="37"/>
    </row>
    <row r="700" customFormat="false" ht="15" hidden="false" customHeight="true" outlineLevel="0" collapsed="false">
      <c r="A700" s="37" t="s">
        <v>3484</v>
      </c>
      <c r="B700" s="37" t="s">
        <v>485</v>
      </c>
      <c r="C700" s="37" t="s">
        <v>3485</v>
      </c>
      <c r="D700" s="54" t="s">
        <v>5344</v>
      </c>
      <c r="E700" s="54" t="s">
        <v>5215</v>
      </c>
      <c r="F700" s="54" t="s">
        <v>5216</v>
      </c>
      <c r="G700" s="54" t="s">
        <v>5335</v>
      </c>
      <c r="H700" s="37" t="s">
        <v>5269</v>
      </c>
      <c r="I700" s="54" t="s">
        <v>5293</v>
      </c>
      <c r="J700" s="37"/>
    </row>
    <row r="701" customFormat="false" ht="15" hidden="false" customHeight="true" outlineLevel="0" collapsed="false">
      <c r="A701" s="37" t="s">
        <v>3487</v>
      </c>
      <c r="B701" s="37" t="s">
        <v>485</v>
      </c>
      <c r="C701" s="37" t="s">
        <v>3488</v>
      </c>
      <c r="D701" s="54" t="s">
        <v>5255</v>
      </c>
      <c r="E701" s="54" t="s">
        <v>5256</v>
      </c>
      <c r="F701" s="54" t="s">
        <v>5216</v>
      </c>
      <c r="G701" s="54" t="s">
        <v>5335</v>
      </c>
      <c r="H701" s="37" t="s">
        <v>5269</v>
      </c>
      <c r="I701" s="54" t="s">
        <v>5293</v>
      </c>
      <c r="J701" s="37"/>
    </row>
    <row r="702" customFormat="false" ht="15" hidden="false" customHeight="true" outlineLevel="0" collapsed="false">
      <c r="A702" s="37" t="s">
        <v>3490</v>
      </c>
      <c r="B702" s="37" t="s">
        <v>485</v>
      </c>
      <c r="C702" s="37" t="s">
        <v>3491</v>
      </c>
      <c r="D702" s="54" t="s">
        <v>5344</v>
      </c>
      <c r="E702" s="54" t="s">
        <v>5215</v>
      </c>
      <c r="F702" s="54" t="s">
        <v>5216</v>
      </c>
      <c r="G702" s="54" t="s">
        <v>5335</v>
      </c>
      <c r="H702" s="37" t="s">
        <v>5269</v>
      </c>
      <c r="I702" s="54" t="s">
        <v>5293</v>
      </c>
      <c r="J702" s="37"/>
    </row>
    <row r="703" customFormat="false" ht="15" hidden="false" customHeight="true" outlineLevel="0" collapsed="false">
      <c r="A703" s="37" t="s">
        <v>3493</v>
      </c>
      <c r="B703" s="37" t="s">
        <v>485</v>
      </c>
      <c r="C703" s="37" t="s">
        <v>3494</v>
      </c>
      <c r="D703" s="54" t="s">
        <v>5343</v>
      </c>
      <c r="E703" s="54" t="s">
        <v>5215</v>
      </c>
      <c r="F703" s="54" t="s">
        <v>5216</v>
      </c>
      <c r="G703" s="54" t="s">
        <v>5335</v>
      </c>
      <c r="H703" s="37" t="s">
        <v>5269</v>
      </c>
      <c r="I703" s="54" t="s">
        <v>5293</v>
      </c>
      <c r="J703" s="37"/>
    </row>
    <row r="704" customFormat="false" ht="15" hidden="false" customHeight="true" outlineLevel="0" collapsed="false">
      <c r="A704" s="37" t="s">
        <v>3496</v>
      </c>
      <c r="B704" s="37" t="s">
        <v>485</v>
      </c>
      <c r="C704" s="54" t="s">
        <v>3497</v>
      </c>
      <c r="D704" s="54" t="s">
        <v>5255</v>
      </c>
      <c r="E704" s="54" t="s">
        <v>5256</v>
      </c>
      <c r="F704" s="54" t="s">
        <v>5216</v>
      </c>
      <c r="G704" s="54" t="s">
        <v>5335</v>
      </c>
      <c r="H704" s="37" t="s">
        <v>5269</v>
      </c>
      <c r="I704" s="54" t="s">
        <v>5293</v>
      </c>
      <c r="J704" s="37"/>
    </row>
    <row r="705" customFormat="false" ht="15" hidden="false" customHeight="true" outlineLevel="0" collapsed="false">
      <c r="A705" s="37" t="s">
        <v>3499</v>
      </c>
      <c r="B705" s="37" t="s">
        <v>485</v>
      </c>
      <c r="C705" s="54" t="s">
        <v>3500</v>
      </c>
      <c r="D705" s="54" t="s">
        <v>5255</v>
      </c>
      <c r="E705" s="54" t="s">
        <v>5256</v>
      </c>
      <c r="F705" s="54" t="s">
        <v>5216</v>
      </c>
      <c r="G705" s="54" t="s">
        <v>5335</v>
      </c>
      <c r="H705" s="37" t="s">
        <v>5269</v>
      </c>
      <c r="I705" s="54" t="s">
        <v>5293</v>
      </c>
      <c r="J705" s="37"/>
    </row>
    <row r="706" customFormat="false" ht="15" hidden="false" customHeight="true" outlineLevel="0" collapsed="false">
      <c r="A706" s="37" t="s">
        <v>3502</v>
      </c>
      <c r="B706" s="37" t="s">
        <v>485</v>
      </c>
      <c r="C706" s="37" t="s">
        <v>3503</v>
      </c>
      <c r="D706" s="54" t="s">
        <v>5255</v>
      </c>
      <c r="E706" s="54" t="s">
        <v>5256</v>
      </c>
      <c r="F706" s="54" t="s">
        <v>5216</v>
      </c>
      <c r="G706" s="54" t="s">
        <v>5335</v>
      </c>
      <c r="H706" s="37" t="s">
        <v>5269</v>
      </c>
      <c r="I706" s="54" t="s">
        <v>5293</v>
      </c>
      <c r="J706" s="37"/>
    </row>
    <row r="707" customFormat="false" ht="15" hidden="false" customHeight="true" outlineLevel="0" collapsed="false">
      <c r="A707" s="37" t="s">
        <v>3505</v>
      </c>
      <c r="B707" s="37" t="s">
        <v>485</v>
      </c>
      <c r="C707" s="37" t="s">
        <v>3506</v>
      </c>
      <c r="D707" s="54" t="s">
        <v>5255</v>
      </c>
      <c r="E707" s="54" t="s">
        <v>5256</v>
      </c>
      <c r="F707" s="54" t="s">
        <v>5216</v>
      </c>
      <c r="G707" s="54" t="s">
        <v>5335</v>
      </c>
      <c r="H707" s="37" t="s">
        <v>5269</v>
      </c>
      <c r="I707" s="54" t="s">
        <v>5293</v>
      </c>
      <c r="J707" s="37"/>
    </row>
    <row r="708" customFormat="false" ht="15" hidden="false" customHeight="true" outlineLevel="0" collapsed="false">
      <c r="A708" s="37" t="s">
        <v>3508</v>
      </c>
      <c r="B708" s="37" t="s">
        <v>485</v>
      </c>
      <c r="C708" s="54" t="s">
        <v>3509</v>
      </c>
      <c r="D708" s="54" t="s">
        <v>5255</v>
      </c>
      <c r="E708" s="54" t="s">
        <v>5256</v>
      </c>
      <c r="F708" s="54" t="s">
        <v>5216</v>
      </c>
      <c r="G708" s="54" t="s">
        <v>5335</v>
      </c>
      <c r="H708" s="37" t="s">
        <v>5269</v>
      </c>
      <c r="I708" s="54" t="s">
        <v>5293</v>
      </c>
      <c r="J708" s="37"/>
    </row>
    <row r="709" customFormat="false" ht="15" hidden="false" customHeight="true" outlineLevel="0" collapsed="false">
      <c r="A709" s="37" t="s">
        <v>3511</v>
      </c>
      <c r="B709" s="37" t="s">
        <v>485</v>
      </c>
      <c r="C709" s="37" t="s">
        <v>3512</v>
      </c>
      <c r="D709" s="54" t="s">
        <v>5255</v>
      </c>
      <c r="E709" s="54" t="s">
        <v>5256</v>
      </c>
      <c r="F709" s="54" t="s">
        <v>5216</v>
      </c>
      <c r="G709" s="54" t="s">
        <v>5335</v>
      </c>
      <c r="H709" s="37" t="s">
        <v>5269</v>
      </c>
      <c r="I709" s="54" t="s">
        <v>5293</v>
      </c>
      <c r="J709" s="37"/>
    </row>
    <row r="710" customFormat="false" ht="15" hidden="false" customHeight="true" outlineLevel="0" collapsed="false">
      <c r="A710" s="37" t="s">
        <v>3514</v>
      </c>
      <c r="B710" s="37" t="s">
        <v>485</v>
      </c>
      <c r="C710" s="54" t="s">
        <v>3515</v>
      </c>
      <c r="D710" s="54" t="s">
        <v>5255</v>
      </c>
      <c r="E710" s="54" t="s">
        <v>5256</v>
      </c>
      <c r="F710" s="54" t="s">
        <v>5216</v>
      </c>
      <c r="G710" s="54" t="s">
        <v>5335</v>
      </c>
      <c r="H710" s="37" t="s">
        <v>5269</v>
      </c>
      <c r="I710" s="54" t="s">
        <v>5293</v>
      </c>
      <c r="J710" s="37"/>
    </row>
    <row r="711" customFormat="false" ht="15" hidden="false" customHeight="true" outlineLevel="0" collapsed="false">
      <c r="A711" s="37" t="s">
        <v>3517</v>
      </c>
      <c r="B711" s="37" t="s">
        <v>485</v>
      </c>
      <c r="C711" s="54" t="s">
        <v>3518</v>
      </c>
      <c r="D711" s="54" t="s">
        <v>5328</v>
      </c>
      <c r="E711" s="54" t="s">
        <v>5329</v>
      </c>
      <c r="F711" s="54" t="s">
        <v>5240</v>
      </c>
      <c r="G711" s="54" t="s">
        <v>5335</v>
      </c>
      <c r="H711" s="37" t="s">
        <v>5269</v>
      </c>
      <c r="I711" s="54" t="s">
        <v>5293</v>
      </c>
      <c r="J711" s="37"/>
    </row>
    <row r="712" customFormat="false" ht="15" hidden="false" customHeight="true" outlineLevel="0" collapsed="false">
      <c r="A712" s="37" t="s">
        <v>3521</v>
      </c>
      <c r="B712" s="37" t="s">
        <v>485</v>
      </c>
      <c r="C712" s="37" t="s">
        <v>3522</v>
      </c>
      <c r="D712" s="54" t="s">
        <v>5328</v>
      </c>
      <c r="E712" s="54" t="s">
        <v>5329</v>
      </c>
      <c r="F712" s="54" t="s">
        <v>5240</v>
      </c>
      <c r="G712" s="54" t="s">
        <v>5335</v>
      </c>
      <c r="H712" s="37" t="s">
        <v>5269</v>
      </c>
      <c r="I712" s="54" t="s">
        <v>5293</v>
      </c>
      <c r="J712" s="37"/>
    </row>
    <row r="713" customFormat="false" ht="15" hidden="false" customHeight="true" outlineLevel="0" collapsed="false">
      <c r="A713" s="37" t="s">
        <v>3524</v>
      </c>
      <c r="B713" s="37" t="s">
        <v>485</v>
      </c>
      <c r="C713" s="54" t="s">
        <v>3525</v>
      </c>
      <c r="D713" s="54" t="s">
        <v>5328</v>
      </c>
      <c r="E713" s="54" t="s">
        <v>5329</v>
      </c>
      <c r="F713" s="54" t="s">
        <v>5240</v>
      </c>
      <c r="G713" s="54" t="s">
        <v>5335</v>
      </c>
      <c r="H713" s="37" t="s">
        <v>5269</v>
      </c>
      <c r="I713" s="54" t="s">
        <v>5293</v>
      </c>
      <c r="J713" s="37"/>
    </row>
    <row r="714" customFormat="false" ht="15" hidden="false" customHeight="true" outlineLevel="0" collapsed="false">
      <c r="A714" s="37" t="s">
        <v>3527</v>
      </c>
      <c r="B714" s="37" t="s">
        <v>485</v>
      </c>
      <c r="C714" s="54" t="s">
        <v>3528</v>
      </c>
      <c r="D714" s="54" t="s">
        <v>5328</v>
      </c>
      <c r="E714" s="54" t="s">
        <v>5329</v>
      </c>
      <c r="F714" s="54" t="s">
        <v>5240</v>
      </c>
      <c r="G714" s="54" t="s">
        <v>5335</v>
      </c>
      <c r="H714" s="37" t="s">
        <v>5269</v>
      </c>
      <c r="I714" s="54" t="s">
        <v>5293</v>
      </c>
      <c r="J714" s="37"/>
    </row>
    <row r="715" customFormat="false" ht="15" hidden="false" customHeight="true" outlineLevel="0" collapsed="false">
      <c r="A715" s="37" t="s">
        <v>3530</v>
      </c>
      <c r="B715" s="37" t="s">
        <v>485</v>
      </c>
      <c r="C715" s="54" t="s">
        <v>3531</v>
      </c>
      <c r="D715" s="54" t="s">
        <v>5328</v>
      </c>
      <c r="E715" s="54" t="s">
        <v>5329</v>
      </c>
      <c r="F715" s="54" t="s">
        <v>5240</v>
      </c>
      <c r="G715" s="54" t="s">
        <v>5335</v>
      </c>
      <c r="H715" s="37" t="s">
        <v>5269</v>
      </c>
      <c r="I715" s="54" t="s">
        <v>5293</v>
      </c>
      <c r="J715" s="37"/>
    </row>
    <row r="716" customFormat="false" ht="15" hidden="false" customHeight="true" outlineLevel="0" collapsed="false">
      <c r="A716" s="37" t="s">
        <v>3533</v>
      </c>
      <c r="B716" s="37" t="s">
        <v>485</v>
      </c>
      <c r="C716" s="54" t="s">
        <v>3534</v>
      </c>
      <c r="D716" s="54" t="s">
        <v>5328</v>
      </c>
      <c r="E716" s="54" t="s">
        <v>5329</v>
      </c>
      <c r="F716" s="54" t="s">
        <v>5240</v>
      </c>
      <c r="G716" s="54" t="s">
        <v>5335</v>
      </c>
      <c r="H716" s="37" t="s">
        <v>5269</v>
      </c>
      <c r="I716" s="54" t="s">
        <v>5293</v>
      </c>
      <c r="J716" s="37"/>
    </row>
    <row r="717" customFormat="false" ht="15" hidden="false" customHeight="true" outlineLevel="0" collapsed="false">
      <c r="A717" s="37" t="s">
        <v>3536</v>
      </c>
      <c r="B717" s="37" t="s">
        <v>485</v>
      </c>
      <c r="C717" s="54" t="s">
        <v>3537</v>
      </c>
      <c r="D717" s="54" t="s">
        <v>5328</v>
      </c>
      <c r="E717" s="54" t="s">
        <v>5329</v>
      </c>
      <c r="F717" s="54" t="s">
        <v>5240</v>
      </c>
      <c r="G717" s="54" t="s">
        <v>5335</v>
      </c>
      <c r="H717" s="37" t="s">
        <v>5269</v>
      </c>
      <c r="I717" s="54" t="s">
        <v>5293</v>
      </c>
      <c r="J717" s="37"/>
    </row>
    <row r="718" customFormat="false" ht="15" hidden="false" customHeight="true" outlineLevel="0" collapsed="false">
      <c r="A718" s="37" t="s">
        <v>3539</v>
      </c>
      <c r="B718" s="37" t="s">
        <v>485</v>
      </c>
      <c r="C718" s="54" t="s">
        <v>3540</v>
      </c>
      <c r="D718" s="54" t="s">
        <v>5328</v>
      </c>
      <c r="E718" s="54" t="s">
        <v>5329</v>
      </c>
      <c r="F718" s="54" t="s">
        <v>5240</v>
      </c>
      <c r="G718" s="54" t="s">
        <v>5335</v>
      </c>
      <c r="H718" s="37" t="s">
        <v>5269</v>
      </c>
      <c r="I718" s="54" t="s">
        <v>5293</v>
      </c>
      <c r="J718" s="37"/>
    </row>
    <row r="719" customFormat="false" ht="15" hidden="false" customHeight="true" outlineLevel="0" collapsed="false">
      <c r="A719" s="37" t="s">
        <v>3542</v>
      </c>
      <c r="B719" s="37" t="s">
        <v>485</v>
      </c>
      <c r="C719" s="54" t="s">
        <v>3543</v>
      </c>
      <c r="D719" s="54" t="s">
        <v>5328</v>
      </c>
      <c r="E719" s="54" t="s">
        <v>5329</v>
      </c>
      <c r="F719" s="54" t="s">
        <v>5240</v>
      </c>
      <c r="G719" s="54" t="s">
        <v>5335</v>
      </c>
      <c r="H719" s="37" t="s">
        <v>5269</v>
      </c>
      <c r="I719" s="54" t="s">
        <v>5293</v>
      </c>
      <c r="J719" s="37"/>
    </row>
    <row r="720" customFormat="false" ht="15" hidden="false" customHeight="true" outlineLevel="0" collapsed="false">
      <c r="A720" s="37" t="s">
        <v>3545</v>
      </c>
      <c r="B720" s="37" t="s">
        <v>485</v>
      </c>
      <c r="C720" s="54" t="s">
        <v>3546</v>
      </c>
      <c r="D720" s="54" t="s">
        <v>5328</v>
      </c>
      <c r="E720" s="54" t="s">
        <v>5329</v>
      </c>
      <c r="F720" s="54" t="s">
        <v>5240</v>
      </c>
      <c r="G720" s="54" t="s">
        <v>5335</v>
      </c>
      <c r="H720" s="37" t="s">
        <v>5269</v>
      </c>
      <c r="I720" s="54" t="s">
        <v>5293</v>
      </c>
      <c r="J720" s="37"/>
    </row>
    <row r="721" customFormat="false" ht="15" hidden="false" customHeight="true" outlineLevel="0" collapsed="false">
      <c r="A721" s="37" t="s">
        <v>3548</v>
      </c>
      <c r="B721" s="37" t="s">
        <v>485</v>
      </c>
      <c r="C721" s="54" t="s">
        <v>3549</v>
      </c>
      <c r="D721" s="54" t="s">
        <v>5328</v>
      </c>
      <c r="E721" s="54" t="s">
        <v>5329</v>
      </c>
      <c r="F721" s="54" t="s">
        <v>5240</v>
      </c>
      <c r="G721" s="54" t="s">
        <v>5335</v>
      </c>
      <c r="H721" s="37" t="s">
        <v>5269</v>
      </c>
      <c r="I721" s="54" t="s">
        <v>5293</v>
      </c>
      <c r="J721" s="37"/>
    </row>
    <row r="722" customFormat="false" ht="15" hidden="false" customHeight="true" outlineLevel="0" collapsed="false">
      <c r="A722" s="37" t="s">
        <v>3551</v>
      </c>
      <c r="B722" s="37" t="s">
        <v>485</v>
      </c>
      <c r="C722" s="54" t="s">
        <v>3552</v>
      </c>
      <c r="D722" s="54" t="s">
        <v>5328</v>
      </c>
      <c r="E722" s="54" t="s">
        <v>5329</v>
      </c>
      <c r="F722" s="54" t="s">
        <v>5240</v>
      </c>
      <c r="G722" s="54" t="s">
        <v>5335</v>
      </c>
      <c r="H722" s="37" t="s">
        <v>5269</v>
      </c>
      <c r="I722" s="54" t="s">
        <v>5293</v>
      </c>
      <c r="J722" s="37"/>
    </row>
    <row r="723" customFormat="false" ht="15" hidden="false" customHeight="true" outlineLevel="0" collapsed="false">
      <c r="A723" s="37" t="s">
        <v>3554</v>
      </c>
      <c r="B723" s="37" t="s">
        <v>485</v>
      </c>
      <c r="C723" s="54" t="s">
        <v>3555</v>
      </c>
      <c r="D723" s="54" t="s">
        <v>5328</v>
      </c>
      <c r="E723" s="54" t="s">
        <v>5329</v>
      </c>
      <c r="F723" s="54" t="s">
        <v>5240</v>
      </c>
      <c r="G723" s="54" t="s">
        <v>5335</v>
      </c>
      <c r="H723" s="37" t="s">
        <v>5269</v>
      </c>
      <c r="I723" s="54" t="s">
        <v>5293</v>
      </c>
      <c r="J723" s="37"/>
    </row>
    <row r="724" customFormat="false" ht="15" hidden="false" customHeight="true" outlineLevel="0" collapsed="false">
      <c r="A724" s="37" t="s">
        <v>3557</v>
      </c>
      <c r="B724" s="37" t="s">
        <v>485</v>
      </c>
      <c r="C724" s="54" t="s">
        <v>3558</v>
      </c>
      <c r="D724" s="54" t="s">
        <v>5328</v>
      </c>
      <c r="E724" s="54" t="s">
        <v>5329</v>
      </c>
      <c r="F724" s="54" t="s">
        <v>5240</v>
      </c>
      <c r="G724" s="54" t="s">
        <v>5335</v>
      </c>
      <c r="H724" s="37" t="s">
        <v>5269</v>
      </c>
      <c r="I724" s="54" t="s">
        <v>5293</v>
      </c>
      <c r="J724" s="37"/>
    </row>
    <row r="725" customFormat="false" ht="15" hidden="false" customHeight="true" outlineLevel="0" collapsed="false">
      <c r="A725" s="37" t="s">
        <v>3560</v>
      </c>
      <c r="B725" s="37" t="s">
        <v>485</v>
      </c>
      <c r="C725" s="54" t="s">
        <v>3561</v>
      </c>
      <c r="D725" s="54" t="s">
        <v>5328</v>
      </c>
      <c r="E725" s="54" t="s">
        <v>5329</v>
      </c>
      <c r="F725" s="54" t="s">
        <v>5240</v>
      </c>
      <c r="G725" s="54" t="s">
        <v>5335</v>
      </c>
      <c r="H725" s="37" t="s">
        <v>5269</v>
      </c>
      <c r="I725" s="54" t="s">
        <v>5293</v>
      </c>
      <c r="J725" s="37"/>
    </row>
    <row r="726" customFormat="false" ht="15" hidden="false" customHeight="true" outlineLevel="0" collapsed="false">
      <c r="A726" s="37" t="s">
        <v>3563</v>
      </c>
      <c r="B726" s="37" t="s">
        <v>485</v>
      </c>
      <c r="C726" s="54" t="s">
        <v>3564</v>
      </c>
      <c r="D726" s="54" t="s">
        <v>5328</v>
      </c>
      <c r="E726" s="54" t="s">
        <v>5329</v>
      </c>
      <c r="F726" s="54" t="s">
        <v>5240</v>
      </c>
      <c r="G726" s="54" t="s">
        <v>5335</v>
      </c>
      <c r="H726" s="37" t="s">
        <v>5269</v>
      </c>
      <c r="I726" s="54" t="s">
        <v>5293</v>
      </c>
      <c r="J726" s="37"/>
    </row>
    <row r="727" customFormat="false" ht="15" hidden="false" customHeight="true" outlineLevel="0" collapsed="false">
      <c r="A727" s="37" t="s">
        <v>3566</v>
      </c>
      <c r="B727" s="37" t="s">
        <v>485</v>
      </c>
      <c r="C727" s="54" t="s">
        <v>3567</v>
      </c>
      <c r="D727" s="54" t="s">
        <v>5328</v>
      </c>
      <c r="E727" s="54" t="s">
        <v>5329</v>
      </c>
      <c r="F727" s="54" t="s">
        <v>5240</v>
      </c>
      <c r="G727" s="54" t="s">
        <v>5335</v>
      </c>
      <c r="H727" s="37" t="s">
        <v>5269</v>
      </c>
      <c r="I727" s="54" t="s">
        <v>5293</v>
      </c>
      <c r="J727" s="37"/>
    </row>
    <row r="728" customFormat="false" ht="15" hidden="false" customHeight="true" outlineLevel="0" collapsed="false">
      <c r="A728" s="37" t="s">
        <v>3569</v>
      </c>
      <c r="B728" s="37" t="s">
        <v>485</v>
      </c>
      <c r="C728" s="54" t="s">
        <v>3570</v>
      </c>
      <c r="D728" s="54" t="s">
        <v>5328</v>
      </c>
      <c r="E728" s="54" t="s">
        <v>5329</v>
      </c>
      <c r="F728" s="54" t="s">
        <v>5240</v>
      </c>
      <c r="G728" s="54" t="s">
        <v>5335</v>
      </c>
      <c r="H728" s="37" t="s">
        <v>5269</v>
      </c>
      <c r="I728" s="54" t="s">
        <v>5293</v>
      </c>
      <c r="J728" s="37"/>
    </row>
    <row r="729" customFormat="false" ht="15" hidden="false" customHeight="true" outlineLevel="0" collapsed="false">
      <c r="A729" s="37" t="s">
        <v>3572</v>
      </c>
      <c r="B729" s="37" t="s">
        <v>485</v>
      </c>
      <c r="C729" s="54" t="s">
        <v>3573</v>
      </c>
      <c r="D729" s="54" t="s">
        <v>5328</v>
      </c>
      <c r="E729" s="54" t="s">
        <v>5329</v>
      </c>
      <c r="F729" s="54" t="s">
        <v>5240</v>
      </c>
      <c r="G729" s="54" t="s">
        <v>5335</v>
      </c>
      <c r="H729" s="37" t="s">
        <v>5269</v>
      </c>
      <c r="I729" s="54" t="s">
        <v>5293</v>
      </c>
      <c r="J729" s="37"/>
    </row>
    <row r="730" customFormat="false" ht="15" hidden="false" customHeight="true" outlineLevel="0" collapsed="false">
      <c r="A730" s="37" t="s">
        <v>3575</v>
      </c>
      <c r="B730" s="37" t="s">
        <v>485</v>
      </c>
      <c r="C730" s="54" t="s">
        <v>3576</v>
      </c>
      <c r="D730" s="54" t="s">
        <v>5328</v>
      </c>
      <c r="E730" s="54" t="s">
        <v>5329</v>
      </c>
      <c r="F730" s="54" t="s">
        <v>5240</v>
      </c>
      <c r="G730" s="54" t="s">
        <v>5335</v>
      </c>
      <c r="H730" s="37" t="s">
        <v>5269</v>
      </c>
      <c r="I730" s="54" t="s">
        <v>5293</v>
      </c>
      <c r="J730" s="37"/>
    </row>
    <row r="731" customFormat="false" ht="15" hidden="false" customHeight="true" outlineLevel="0" collapsed="false">
      <c r="A731" s="37" t="s">
        <v>3578</v>
      </c>
      <c r="B731" s="37" t="s">
        <v>485</v>
      </c>
      <c r="C731" s="54" t="s">
        <v>3579</v>
      </c>
      <c r="D731" s="54" t="s">
        <v>5328</v>
      </c>
      <c r="E731" s="54" t="s">
        <v>5329</v>
      </c>
      <c r="F731" s="54" t="s">
        <v>5240</v>
      </c>
      <c r="G731" s="54" t="s">
        <v>5335</v>
      </c>
      <c r="H731" s="37" t="s">
        <v>5269</v>
      </c>
      <c r="I731" s="54" t="s">
        <v>5293</v>
      </c>
      <c r="J731" s="37"/>
    </row>
    <row r="732" customFormat="false" ht="15" hidden="false" customHeight="true" outlineLevel="0" collapsed="false">
      <c r="A732" s="37" t="s">
        <v>3581</v>
      </c>
      <c r="B732" s="37" t="s">
        <v>485</v>
      </c>
      <c r="C732" s="54" t="s">
        <v>3582</v>
      </c>
      <c r="D732" s="54" t="s">
        <v>5328</v>
      </c>
      <c r="E732" s="54" t="s">
        <v>5329</v>
      </c>
      <c r="F732" s="54" t="s">
        <v>5240</v>
      </c>
      <c r="G732" s="54" t="s">
        <v>5335</v>
      </c>
      <c r="H732" s="37" t="s">
        <v>5269</v>
      </c>
      <c r="I732" s="54" t="s">
        <v>5293</v>
      </c>
      <c r="J732" s="37"/>
    </row>
    <row r="733" customFormat="false" ht="15" hidden="false" customHeight="true" outlineLevel="0" collapsed="false">
      <c r="A733" s="37" t="s">
        <v>3584</v>
      </c>
      <c r="B733" s="37" t="s">
        <v>485</v>
      </c>
      <c r="C733" s="54" t="s">
        <v>3585</v>
      </c>
      <c r="D733" s="54" t="s">
        <v>5328</v>
      </c>
      <c r="E733" s="54" t="s">
        <v>5329</v>
      </c>
      <c r="F733" s="54" t="s">
        <v>5240</v>
      </c>
      <c r="G733" s="54" t="s">
        <v>5335</v>
      </c>
      <c r="H733" s="37" t="s">
        <v>5269</v>
      </c>
      <c r="I733" s="54" t="s">
        <v>5293</v>
      </c>
      <c r="J733" s="37"/>
    </row>
    <row r="734" customFormat="false" ht="15" hidden="false" customHeight="true" outlineLevel="0" collapsed="false">
      <c r="A734" s="37" t="s">
        <v>3587</v>
      </c>
      <c r="B734" s="37" t="s">
        <v>485</v>
      </c>
      <c r="C734" s="54" t="s">
        <v>3588</v>
      </c>
      <c r="D734" s="54" t="s">
        <v>5328</v>
      </c>
      <c r="E734" s="54" t="s">
        <v>5329</v>
      </c>
      <c r="F734" s="54" t="s">
        <v>5240</v>
      </c>
      <c r="G734" s="54" t="s">
        <v>5335</v>
      </c>
      <c r="H734" s="37" t="s">
        <v>5269</v>
      </c>
      <c r="I734" s="54" t="s">
        <v>5293</v>
      </c>
      <c r="J734" s="37"/>
    </row>
    <row r="735" customFormat="false" ht="15" hidden="false" customHeight="true" outlineLevel="0" collapsed="false">
      <c r="A735" s="37" t="s">
        <v>3590</v>
      </c>
      <c r="B735" s="37" t="s">
        <v>485</v>
      </c>
      <c r="C735" s="54" t="s">
        <v>3591</v>
      </c>
      <c r="D735" s="54" t="s">
        <v>5328</v>
      </c>
      <c r="E735" s="54" t="s">
        <v>5329</v>
      </c>
      <c r="F735" s="54" t="s">
        <v>5240</v>
      </c>
      <c r="G735" s="54" t="s">
        <v>5335</v>
      </c>
      <c r="H735" s="37" t="s">
        <v>5269</v>
      </c>
      <c r="I735" s="54" t="s">
        <v>5293</v>
      </c>
      <c r="J735" s="37"/>
    </row>
    <row r="736" customFormat="false" ht="15" hidden="false" customHeight="true" outlineLevel="0" collapsed="false">
      <c r="A736" s="37" t="s">
        <v>3593</v>
      </c>
      <c r="B736" s="37" t="s">
        <v>485</v>
      </c>
      <c r="C736" s="54" t="s">
        <v>3594</v>
      </c>
      <c r="D736" s="54" t="s">
        <v>5328</v>
      </c>
      <c r="E736" s="54" t="s">
        <v>5329</v>
      </c>
      <c r="F736" s="54" t="s">
        <v>5240</v>
      </c>
      <c r="G736" s="54" t="s">
        <v>5335</v>
      </c>
      <c r="H736" s="37" t="s">
        <v>5269</v>
      </c>
      <c r="I736" s="54" t="s">
        <v>5293</v>
      </c>
      <c r="J736" s="37"/>
    </row>
    <row r="737" customFormat="false" ht="15" hidden="false" customHeight="true" outlineLevel="0" collapsed="false">
      <c r="A737" s="37" t="s">
        <v>3596</v>
      </c>
      <c r="B737" s="37" t="s">
        <v>485</v>
      </c>
      <c r="C737" s="54" t="s">
        <v>3597</v>
      </c>
      <c r="D737" s="54" t="s">
        <v>5328</v>
      </c>
      <c r="E737" s="54" t="s">
        <v>5329</v>
      </c>
      <c r="F737" s="54" t="s">
        <v>5240</v>
      </c>
      <c r="G737" s="54" t="s">
        <v>5335</v>
      </c>
      <c r="H737" s="37" t="s">
        <v>5269</v>
      </c>
      <c r="I737" s="54" t="s">
        <v>5293</v>
      </c>
      <c r="J737" s="37"/>
    </row>
    <row r="738" customFormat="false" ht="15" hidden="false" customHeight="true" outlineLevel="0" collapsed="false">
      <c r="A738" s="37" t="s">
        <v>3599</v>
      </c>
      <c r="B738" s="37" t="s">
        <v>485</v>
      </c>
      <c r="C738" s="54" t="s">
        <v>3600</v>
      </c>
      <c r="D738" s="54" t="s">
        <v>5328</v>
      </c>
      <c r="E738" s="54" t="s">
        <v>5329</v>
      </c>
      <c r="F738" s="54" t="s">
        <v>5240</v>
      </c>
      <c r="G738" s="54" t="s">
        <v>5335</v>
      </c>
      <c r="H738" s="37" t="s">
        <v>5269</v>
      </c>
      <c r="I738" s="54" t="s">
        <v>5293</v>
      </c>
      <c r="J738" s="37"/>
    </row>
    <row r="739" customFormat="false" ht="15" hidden="false" customHeight="true" outlineLevel="0" collapsed="false">
      <c r="A739" s="37" t="s">
        <v>3602</v>
      </c>
      <c r="B739" s="37" t="s">
        <v>485</v>
      </c>
      <c r="C739" s="54" t="s">
        <v>3603</v>
      </c>
      <c r="D739" s="54" t="s">
        <v>5328</v>
      </c>
      <c r="E739" s="54" t="s">
        <v>5329</v>
      </c>
      <c r="F739" s="54" t="s">
        <v>5240</v>
      </c>
      <c r="G739" s="54" t="s">
        <v>5335</v>
      </c>
      <c r="H739" s="37" t="s">
        <v>5269</v>
      </c>
      <c r="I739" s="54" t="s">
        <v>5293</v>
      </c>
      <c r="J739" s="37"/>
    </row>
    <row r="740" customFormat="false" ht="15" hidden="false" customHeight="true" outlineLevel="0" collapsed="false">
      <c r="A740" s="37" t="s">
        <v>3605</v>
      </c>
      <c r="B740" s="37" t="s">
        <v>485</v>
      </c>
      <c r="C740" s="54" t="s">
        <v>3606</v>
      </c>
      <c r="D740" s="54" t="s">
        <v>5328</v>
      </c>
      <c r="E740" s="54" t="s">
        <v>5329</v>
      </c>
      <c r="F740" s="54" t="s">
        <v>5240</v>
      </c>
      <c r="G740" s="54" t="s">
        <v>5335</v>
      </c>
      <c r="H740" s="37" t="s">
        <v>5269</v>
      </c>
      <c r="I740" s="54" t="s">
        <v>5293</v>
      </c>
      <c r="J740" s="37"/>
    </row>
    <row r="741" customFormat="false" ht="15" hidden="false" customHeight="true" outlineLevel="0" collapsed="false">
      <c r="A741" s="37" t="s">
        <v>3608</v>
      </c>
      <c r="B741" s="37" t="s">
        <v>485</v>
      </c>
      <c r="C741" s="54" t="s">
        <v>3609</v>
      </c>
      <c r="D741" s="54" t="s">
        <v>5328</v>
      </c>
      <c r="E741" s="54" t="s">
        <v>5329</v>
      </c>
      <c r="F741" s="54" t="s">
        <v>5240</v>
      </c>
      <c r="G741" s="54" t="s">
        <v>5335</v>
      </c>
      <c r="H741" s="37" t="s">
        <v>5269</v>
      </c>
      <c r="I741" s="54" t="s">
        <v>5293</v>
      </c>
      <c r="J741" s="37"/>
    </row>
    <row r="742" customFormat="false" ht="15" hidden="false" customHeight="true" outlineLevel="0" collapsed="false">
      <c r="A742" s="37" t="s">
        <v>3611</v>
      </c>
      <c r="B742" s="37" t="s">
        <v>485</v>
      </c>
      <c r="C742" s="54" t="s">
        <v>3612</v>
      </c>
      <c r="D742" s="54" t="s">
        <v>5328</v>
      </c>
      <c r="E742" s="54" t="s">
        <v>5329</v>
      </c>
      <c r="F742" s="54" t="s">
        <v>5240</v>
      </c>
      <c r="G742" s="54" t="s">
        <v>5335</v>
      </c>
      <c r="H742" s="37" t="s">
        <v>5269</v>
      </c>
      <c r="I742" s="54" t="s">
        <v>5293</v>
      </c>
      <c r="J742" s="37"/>
    </row>
    <row r="743" customFormat="false" ht="15" hidden="false" customHeight="true" outlineLevel="0" collapsed="false">
      <c r="A743" s="37" t="s">
        <v>3614</v>
      </c>
      <c r="B743" s="37" t="s">
        <v>485</v>
      </c>
      <c r="C743" s="54" t="s">
        <v>3615</v>
      </c>
      <c r="D743" s="54" t="s">
        <v>5328</v>
      </c>
      <c r="E743" s="54" t="s">
        <v>5329</v>
      </c>
      <c r="F743" s="54" t="s">
        <v>5240</v>
      </c>
      <c r="G743" s="54" t="s">
        <v>5335</v>
      </c>
      <c r="H743" s="37" t="s">
        <v>5269</v>
      </c>
      <c r="I743" s="54" t="s">
        <v>5293</v>
      </c>
      <c r="J743" s="37"/>
    </row>
    <row r="744" customFormat="false" ht="15" hidden="false" customHeight="true" outlineLevel="0" collapsed="false">
      <c r="A744" s="37" t="s">
        <v>3617</v>
      </c>
      <c r="B744" s="37" t="s">
        <v>485</v>
      </c>
      <c r="C744" s="54" t="s">
        <v>3618</v>
      </c>
      <c r="D744" s="54" t="s">
        <v>5328</v>
      </c>
      <c r="E744" s="54" t="s">
        <v>5329</v>
      </c>
      <c r="F744" s="54" t="s">
        <v>5240</v>
      </c>
      <c r="G744" s="54" t="s">
        <v>5335</v>
      </c>
      <c r="H744" s="37" t="s">
        <v>5269</v>
      </c>
      <c r="I744" s="54" t="s">
        <v>5293</v>
      </c>
      <c r="J744" s="37"/>
    </row>
    <row r="745" customFormat="false" ht="15" hidden="false" customHeight="true" outlineLevel="0" collapsed="false">
      <c r="A745" s="37" t="s">
        <v>3620</v>
      </c>
      <c r="B745" s="37" t="s">
        <v>485</v>
      </c>
      <c r="C745" s="37" t="s">
        <v>3621</v>
      </c>
      <c r="D745" s="54" t="s">
        <v>5328</v>
      </c>
      <c r="E745" s="54" t="s">
        <v>5329</v>
      </c>
      <c r="F745" s="54" t="s">
        <v>5240</v>
      </c>
      <c r="G745" s="54" t="s">
        <v>5335</v>
      </c>
      <c r="H745" s="37" t="s">
        <v>5269</v>
      </c>
      <c r="I745" s="54" t="s">
        <v>5293</v>
      </c>
      <c r="J745" s="37"/>
    </row>
    <row r="746" customFormat="false" ht="15" hidden="false" customHeight="true" outlineLevel="0" collapsed="false">
      <c r="A746" s="37" t="s">
        <v>3623</v>
      </c>
      <c r="B746" s="37" t="s">
        <v>485</v>
      </c>
      <c r="C746" s="37" t="s">
        <v>3624</v>
      </c>
      <c r="D746" s="54" t="s">
        <v>5328</v>
      </c>
      <c r="E746" s="54" t="s">
        <v>5329</v>
      </c>
      <c r="F746" s="54" t="s">
        <v>5240</v>
      </c>
      <c r="G746" s="54" t="s">
        <v>5335</v>
      </c>
      <c r="H746" s="37" t="s">
        <v>5269</v>
      </c>
      <c r="I746" s="54" t="s">
        <v>5293</v>
      </c>
      <c r="J746" s="37"/>
    </row>
    <row r="747" customFormat="false" ht="15" hidden="false" customHeight="true" outlineLevel="0" collapsed="false">
      <c r="A747" s="37" t="s">
        <v>3626</v>
      </c>
      <c r="B747" s="37" t="s">
        <v>485</v>
      </c>
      <c r="C747" s="54" t="s">
        <v>3627</v>
      </c>
      <c r="D747" s="54" t="s">
        <v>5328</v>
      </c>
      <c r="E747" s="54" t="s">
        <v>5329</v>
      </c>
      <c r="F747" s="54" t="s">
        <v>5240</v>
      </c>
      <c r="G747" s="54" t="s">
        <v>5335</v>
      </c>
      <c r="H747" s="37" t="s">
        <v>5269</v>
      </c>
      <c r="I747" s="54" t="s">
        <v>5293</v>
      </c>
      <c r="J747" s="37"/>
    </row>
    <row r="748" customFormat="false" ht="15" hidden="false" customHeight="true" outlineLevel="0" collapsed="false">
      <c r="A748" s="37" t="s">
        <v>3629</v>
      </c>
      <c r="B748" s="37" t="s">
        <v>485</v>
      </c>
      <c r="C748" s="54" t="s">
        <v>3630</v>
      </c>
      <c r="D748" s="54" t="s">
        <v>5328</v>
      </c>
      <c r="E748" s="54" t="s">
        <v>5329</v>
      </c>
      <c r="F748" s="54" t="s">
        <v>5240</v>
      </c>
      <c r="G748" s="54" t="s">
        <v>5335</v>
      </c>
      <c r="H748" s="37" t="s">
        <v>5269</v>
      </c>
      <c r="I748" s="54" t="s">
        <v>5293</v>
      </c>
      <c r="J748" s="37"/>
    </row>
    <row r="749" customFormat="false" ht="15" hidden="false" customHeight="true" outlineLevel="0" collapsed="false">
      <c r="A749" s="37" t="s">
        <v>3632</v>
      </c>
      <c r="B749" s="37" t="s">
        <v>485</v>
      </c>
      <c r="C749" s="54" t="s">
        <v>3633</v>
      </c>
      <c r="D749" s="54" t="s">
        <v>5328</v>
      </c>
      <c r="E749" s="54" t="s">
        <v>5329</v>
      </c>
      <c r="F749" s="54" t="s">
        <v>5240</v>
      </c>
      <c r="G749" s="54" t="s">
        <v>5335</v>
      </c>
      <c r="H749" s="37" t="s">
        <v>5269</v>
      </c>
      <c r="I749" s="54" t="s">
        <v>5293</v>
      </c>
      <c r="J749" s="37"/>
    </row>
    <row r="750" customFormat="false" ht="15" hidden="false" customHeight="true" outlineLevel="0" collapsed="false">
      <c r="A750" s="37" t="s">
        <v>3635</v>
      </c>
      <c r="B750" s="37" t="s">
        <v>485</v>
      </c>
      <c r="C750" s="54" t="s">
        <v>3636</v>
      </c>
      <c r="D750" s="54" t="s">
        <v>5328</v>
      </c>
      <c r="E750" s="54" t="s">
        <v>5329</v>
      </c>
      <c r="F750" s="54" t="s">
        <v>5240</v>
      </c>
      <c r="G750" s="54" t="s">
        <v>5335</v>
      </c>
      <c r="H750" s="37" t="s">
        <v>5269</v>
      </c>
      <c r="I750" s="54" t="s">
        <v>5293</v>
      </c>
      <c r="J750" s="37"/>
    </row>
    <row r="751" customFormat="false" ht="15" hidden="false" customHeight="true" outlineLevel="0" collapsed="false">
      <c r="A751" s="37" t="s">
        <v>3638</v>
      </c>
      <c r="B751" s="37" t="s">
        <v>485</v>
      </c>
      <c r="C751" s="54" t="s">
        <v>3639</v>
      </c>
      <c r="D751" s="54" t="s">
        <v>5328</v>
      </c>
      <c r="E751" s="54" t="s">
        <v>5329</v>
      </c>
      <c r="F751" s="54" t="s">
        <v>5240</v>
      </c>
      <c r="G751" s="54" t="s">
        <v>5335</v>
      </c>
      <c r="H751" s="37" t="s">
        <v>5269</v>
      </c>
      <c r="I751" s="54" t="s">
        <v>5293</v>
      </c>
      <c r="J751" s="37"/>
    </row>
    <row r="752" customFormat="false" ht="15" hidden="false" customHeight="true" outlineLevel="0" collapsed="false">
      <c r="A752" s="37" t="s">
        <v>3641</v>
      </c>
      <c r="B752" s="37" t="s">
        <v>485</v>
      </c>
      <c r="C752" s="54" t="s">
        <v>3642</v>
      </c>
      <c r="D752" s="54" t="s">
        <v>5328</v>
      </c>
      <c r="E752" s="54" t="s">
        <v>5329</v>
      </c>
      <c r="F752" s="54" t="s">
        <v>5240</v>
      </c>
      <c r="G752" s="54" t="s">
        <v>5335</v>
      </c>
      <c r="H752" s="37" t="s">
        <v>5269</v>
      </c>
      <c r="I752" s="54" t="s">
        <v>5293</v>
      </c>
      <c r="J752" s="37"/>
    </row>
    <row r="753" customFormat="false" ht="15" hidden="false" customHeight="true" outlineLevel="0" collapsed="false">
      <c r="A753" s="37" t="s">
        <v>3644</v>
      </c>
      <c r="B753" s="37" t="s">
        <v>485</v>
      </c>
      <c r="C753" s="54" t="s">
        <v>3645</v>
      </c>
      <c r="D753" s="54" t="s">
        <v>5328</v>
      </c>
      <c r="E753" s="54" t="s">
        <v>5329</v>
      </c>
      <c r="F753" s="54" t="s">
        <v>5240</v>
      </c>
      <c r="G753" s="54" t="s">
        <v>5335</v>
      </c>
      <c r="H753" s="37" t="s">
        <v>5269</v>
      </c>
      <c r="I753" s="54" t="s">
        <v>5293</v>
      </c>
      <c r="J753" s="37"/>
    </row>
    <row r="754" customFormat="false" ht="15" hidden="false" customHeight="true" outlineLevel="0" collapsed="false">
      <c r="A754" s="37" t="s">
        <v>3647</v>
      </c>
      <c r="B754" s="37" t="s">
        <v>485</v>
      </c>
      <c r="C754" s="54" t="s">
        <v>3648</v>
      </c>
      <c r="D754" s="54" t="s">
        <v>5328</v>
      </c>
      <c r="E754" s="54" t="s">
        <v>5329</v>
      </c>
      <c r="F754" s="54" t="s">
        <v>5240</v>
      </c>
      <c r="G754" s="54" t="s">
        <v>5335</v>
      </c>
      <c r="H754" s="37" t="s">
        <v>5269</v>
      </c>
      <c r="I754" s="54" t="s">
        <v>5293</v>
      </c>
      <c r="J754" s="37"/>
    </row>
    <row r="755" customFormat="false" ht="15" hidden="false" customHeight="true" outlineLevel="0" collapsed="false">
      <c r="A755" s="37" t="s">
        <v>3650</v>
      </c>
      <c r="B755" s="37" t="s">
        <v>485</v>
      </c>
      <c r="C755" s="54" t="s">
        <v>3651</v>
      </c>
      <c r="D755" s="54" t="s">
        <v>5328</v>
      </c>
      <c r="E755" s="54" t="s">
        <v>5329</v>
      </c>
      <c r="F755" s="54" t="s">
        <v>5240</v>
      </c>
      <c r="G755" s="54" t="s">
        <v>5335</v>
      </c>
      <c r="H755" s="37" t="s">
        <v>5269</v>
      </c>
      <c r="I755" s="54" t="s">
        <v>5293</v>
      </c>
      <c r="J755" s="37"/>
    </row>
    <row r="756" customFormat="false" ht="15" hidden="false" customHeight="true" outlineLevel="0" collapsed="false">
      <c r="A756" s="37" t="s">
        <v>3653</v>
      </c>
      <c r="B756" s="37" t="s">
        <v>485</v>
      </c>
      <c r="C756" s="54" t="s">
        <v>3654</v>
      </c>
      <c r="D756" s="54" t="s">
        <v>5328</v>
      </c>
      <c r="E756" s="54" t="s">
        <v>5329</v>
      </c>
      <c r="F756" s="54" t="s">
        <v>5240</v>
      </c>
      <c r="G756" s="54" t="s">
        <v>5335</v>
      </c>
      <c r="H756" s="37" t="s">
        <v>5269</v>
      </c>
      <c r="I756" s="54" t="s">
        <v>5293</v>
      </c>
      <c r="J756" s="37"/>
    </row>
    <row r="757" customFormat="false" ht="15" hidden="false" customHeight="true" outlineLevel="0" collapsed="false">
      <c r="A757" s="37" t="s">
        <v>3656</v>
      </c>
      <c r="B757" s="37" t="s">
        <v>485</v>
      </c>
      <c r="C757" s="54" t="s">
        <v>3657</v>
      </c>
      <c r="D757" s="54" t="s">
        <v>5328</v>
      </c>
      <c r="E757" s="54" t="s">
        <v>5329</v>
      </c>
      <c r="F757" s="54" t="s">
        <v>5240</v>
      </c>
      <c r="G757" s="54" t="s">
        <v>5335</v>
      </c>
      <c r="H757" s="37" t="s">
        <v>5269</v>
      </c>
      <c r="I757" s="54" t="s">
        <v>5293</v>
      </c>
      <c r="J757" s="37"/>
    </row>
    <row r="758" customFormat="false" ht="15" hidden="false" customHeight="true" outlineLevel="0" collapsed="false">
      <c r="A758" s="37" t="s">
        <v>3659</v>
      </c>
      <c r="B758" s="37" t="s">
        <v>485</v>
      </c>
      <c r="C758" s="54" t="s">
        <v>3660</v>
      </c>
      <c r="D758" s="54" t="s">
        <v>5328</v>
      </c>
      <c r="E758" s="54" t="s">
        <v>5329</v>
      </c>
      <c r="F758" s="54" t="s">
        <v>5240</v>
      </c>
      <c r="G758" s="54" t="s">
        <v>5335</v>
      </c>
      <c r="H758" s="37" t="s">
        <v>5269</v>
      </c>
      <c r="I758" s="54" t="s">
        <v>5293</v>
      </c>
      <c r="J758" s="37"/>
    </row>
    <row r="759" customFormat="false" ht="15" hidden="false" customHeight="true" outlineLevel="0" collapsed="false">
      <c r="A759" s="37" t="s">
        <v>3662</v>
      </c>
      <c r="B759" s="37" t="s">
        <v>485</v>
      </c>
      <c r="C759" s="54" t="s">
        <v>3663</v>
      </c>
      <c r="D759" s="54" t="s">
        <v>5328</v>
      </c>
      <c r="E759" s="54" t="s">
        <v>5329</v>
      </c>
      <c r="F759" s="54" t="s">
        <v>5240</v>
      </c>
      <c r="G759" s="54" t="s">
        <v>5335</v>
      </c>
      <c r="H759" s="37" t="s">
        <v>5269</v>
      </c>
      <c r="I759" s="54" t="s">
        <v>5293</v>
      </c>
      <c r="J759" s="37"/>
    </row>
    <row r="760" customFormat="false" ht="15" hidden="false" customHeight="true" outlineLevel="0" collapsed="false">
      <c r="A760" s="37" t="s">
        <v>3665</v>
      </c>
      <c r="B760" s="37" t="s">
        <v>485</v>
      </c>
      <c r="C760" s="54" t="s">
        <v>3666</v>
      </c>
      <c r="D760" s="54" t="s">
        <v>5328</v>
      </c>
      <c r="E760" s="54" t="s">
        <v>5329</v>
      </c>
      <c r="F760" s="54" t="s">
        <v>5240</v>
      </c>
      <c r="G760" s="54" t="s">
        <v>5335</v>
      </c>
      <c r="H760" s="37" t="s">
        <v>5269</v>
      </c>
      <c r="I760" s="54" t="s">
        <v>5293</v>
      </c>
      <c r="J760" s="37"/>
    </row>
    <row r="761" customFormat="false" ht="15" hidden="false" customHeight="true" outlineLevel="0" collapsed="false">
      <c r="A761" s="37" t="s">
        <v>3668</v>
      </c>
      <c r="B761" s="37" t="s">
        <v>485</v>
      </c>
      <c r="C761" s="54" t="s">
        <v>3669</v>
      </c>
      <c r="D761" s="54" t="s">
        <v>5328</v>
      </c>
      <c r="E761" s="54" t="s">
        <v>5329</v>
      </c>
      <c r="F761" s="54" t="s">
        <v>5240</v>
      </c>
      <c r="G761" s="54" t="s">
        <v>5335</v>
      </c>
      <c r="H761" s="37" t="s">
        <v>5269</v>
      </c>
      <c r="I761" s="54" t="s">
        <v>5293</v>
      </c>
      <c r="J761" s="37"/>
    </row>
    <row r="762" customFormat="false" ht="15" hidden="false" customHeight="true" outlineLevel="0" collapsed="false">
      <c r="A762" s="37" t="s">
        <v>3671</v>
      </c>
      <c r="B762" s="37" t="s">
        <v>485</v>
      </c>
      <c r="C762" s="54" t="s">
        <v>3672</v>
      </c>
      <c r="D762" s="54" t="s">
        <v>5328</v>
      </c>
      <c r="E762" s="54" t="s">
        <v>5329</v>
      </c>
      <c r="F762" s="54" t="s">
        <v>5240</v>
      </c>
      <c r="G762" s="54" t="s">
        <v>5335</v>
      </c>
      <c r="H762" s="37" t="s">
        <v>5269</v>
      </c>
      <c r="I762" s="54" t="s">
        <v>5293</v>
      </c>
      <c r="J762" s="37"/>
    </row>
    <row r="763" customFormat="false" ht="15" hidden="false" customHeight="true" outlineLevel="0" collapsed="false">
      <c r="A763" s="37" t="s">
        <v>3674</v>
      </c>
      <c r="B763" s="37" t="s">
        <v>485</v>
      </c>
      <c r="C763" s="54" t="s">
        <v>3675</v>
      </c>
      <c r="D763" s="54" t="s">
        <v>5328</v>
      </c>
      <c r="E763" s="54" t="s">
        <v>5329</v>
      </c>
      <c r="F763" s="54" t="s">
        <v>5240</v>
      </c>
      <c r="G763" s="54" t="s">
        <v>5335</v>
      </c>
      <c r="H763" s="37" t="s">
        <v>5269</v>
      </c>
      <c r="I763" s="54" t="s">
        <v>5293</v>
      </c>
      <c r="J763" s="37"/>
    </row>
    <row r="764" customFormat="false" ht="15" hidden="false" customHeight="true" outlineLevel="0" collapsed="false">
      <c r="A764" s="37" t="s">
        <v>3677</v>
      </c>
      <c r="B764" s="37" t="s">
        <v>485</v>
      </c>
      <c r="C764" s="54" t="s">
        <v>3678</v>
      </c>
      <c r="D764" s="54" t="s">
        <v>5328</v>
      </c>
      <c r="E764" s="54" t="s">
        <v>5329</v>
      </c>
      <c r="F764" s="54" t="s">
        <v>5240</v>
      </c>
      <c r="G764" s="54" t="s">
        <v>5335</v>
      </c>
      <c r="H764" s="37" t="s">
        <v>5269</v>
      </c>
      <c r="I764" s="54" t="s">
        <v>5293</v>
      </c>
      <c r="J764" s="37"/>
    </row>
    <row r="765" customFormat="false" ht="15" hidden="false" customHeight="true" outlineLevel="0" collapsed="false">
      <c r="A765" s="37" t="s">
        <v>3680</v>
      </c>
      <c r="B765" s="37" t="s">
        <v>485</v>
      </c>
      <c r="C765" s="54" t="s">
        <v>3681</v>
      </c>
      <c r="D765" s="54" t="s">
        <v>5328</v>
      </c>
      <c r="E765" s="54" t="s">
        <v>5329</v>
      </c>
      <c r="F765" s="54" t="s">
        <v>5240</v>
      </c>
      <c r="G765" s="54" t="s">
        <v>5335</v>
      </c>
      <c r="H765" s="37" t="s">
        <v>5269</v>
      </c>
      <c r="I765" s="54" t="s">
        <v>5293</v>
      </c>
      <c r="J765" s="37"/>
    </row>
    <row r="766" customFormat="false" ht="15" hidden="false" customHeight="true" outlineLevel="0" collapsed="false">
      <c r="A766" s="37" t="s">
        <v>3683</v>
      </c>
      <c r="B766" s="37" t="s">
        <v>485</v>
      </c>
      <c r="C766" s="54" t="s">
        <v>3684</v>
      </c>
      <c r="D766" s="54" t="s">
        <v>5328</v>
      </c>
      <c r="E766" s="54" t="s">
        <v>5329</v>
      </c>
      <c r="F766" s="54" t="s">
        <v>5240</v>
      </c>
      <c r="G766" s="54" t="s">
        <v>5335</v>
      </c>
      <c r="H766" s="37" t="s">
        <v>5269</v>
      </c>
      <c r="I766" s="54" t="s">
        <v>5293</v>
      </c>
      <c r="J766" s="37"/>
    </row>
    <row r="767" customFormat="false" ht="15" hidden="false" customHeight="true" outlineLevel="0" collapsed="false">
      <c r="A767" s="37" t="s">
        <v>3686</v>
      </c>
      <c r="B767" s="37" t="s">
        <v>485</v>
      </c>
      <c r="C767" s="54" t="s">
        <v>3687</v>
      </c>
      <c r="D767" s="54" t="s">
        <v>5328</v>
      </c>
      <c r="E767" s="54" t="s">
        <v>5329</v>
      </c>
      <c r="F767" s="54" t="s">
        <v>5240</v>
      </c>
      <c r="G767" s="54" t="s">
        <v>5335</v>
      </c>
      <c r="H767" s="37" t="s">
        <v>5269</v>
      </c>
      <c r="I767" s="54" t="s">
        <v>5293</v>
      </c>
      <c r="J767" s="37"/>
    </row>
    <row r="768" customFormat="false" ht="15" hidden="false" customHeight="true" outlineLevel="0" collapsed="false">
      <c r="A768" s="37" t="s">
        <v>3689</v>
      </c>
      <c r="B768" s="37" t="s">
        <v>485</v>
      </c>
      <c r="C768" s="54" t="s">
        <v>3690</v>
      </c>
      <c r="D768" s="54" t="s">
        <v>5328</v>
      </c>
      <c r="E768" s="54" t="s">
        <v>5329</v>
      </c>
      <c r="F768" s="54" t="s">
        <v>5240</v>
      </c>
      <c r="G768" s="54" t="s">
        <v>5335</v>
      </c>
      <c r="H768" s="37" t="s">
        <v>5269</v>
      </c>
      <c r="I768" s="54" t="s">
        <v>5293</v>
      </c>
      <c r="J768" s="37"/>
    </row>
    <row r="769" customFormat="false" ht="15" hidden="false" customHeight="true" outlineLevel="0" collapsed="false">
      <c r="A769" s="37" t="s">
        <v>3692</v>
      </c>
      <c r="B769" s="37" t="s">
        <v>485</v>
      </c>
      <c r="C769" s="54" t="s">
        <v>3693</v>
      </c>
      <c r="D769" s="54" t="s">
        <v>5328</v>
      </c>
      <c r="E769" s="54" t="s">
        <v>5329</v>
      </c>
      <c r="F769" s="54" t="s">
        <v>5240</v>
      </c>
      <c r="G769" s="54" t="s">
        <v>5335</v>
      </c>
      <c r="H769" s="37" t="s">
        <v>5269</v>
      </c>
      <c r="I769" s="54" t="s">
        <v>5293</v>
      </c>
      <c r="J769" s="37"/>
    </row>
    <row r="770" customFormat="false" ht="15" hidden="false" customHeight="true" outlineLevel="0" collapsed="false">
      <c r="A770" s="37" t="s">
        <v>3695</v>
      </c>
      <c r="B770" s="37" t="s">
        <v>485</v>
      </c>
      <c r="C770" s="54" t="s">
        <v>3696</v>
      </c>
      <c r="D770" s="54" t="s">
        <v>5328</v>
      </c>
      <c r="E770" s="54" t="s">
        <v>5329</v>
      </c>
      <c r="F770" s="54" t="s">
        <v>5240</v>
      </c>
      <c r="G770" s="54" t="s">
        <v>5335</v>
      </c>
      <c r="H770" s="37" t="s">
        <v>5269</v>
      </c>
      <c r="I770" s="54" t="s">
        <v>5293</v>
      </c>
      <c r="J770" s="37"/>
    </row>
    <row r="771" customFormat="false" ht="15" hidden="false" customHeight="true" outlineLevel="0" collapsed="false">
      <c r="A771" s="37" t="s">
        <v>3698</v>
      </c>
      <c r="B771" s="37" t="s">
        <v>485</v>
      </c>
      <c r="C771" s="54" t="s">
        <v>3699</v>
      </c>
      <c r="D771" s="54" t="s">
        <v>5328</v>
      </c>
      <c r="E771" s="54" t="s">
        <v>5329</v>
      </c>
      <c r="F771" s="54" t="s">
        <v>5240</v>
      </c>
      <c r="G771" s="54" t="s">
        <v>5335</v>
      </c>
      <c r="H771" s="37" t="s">
        <v>5269</v>
      </c>
      <c r="I771" s="54" t="s">
        <v>5293</v>
      </c>
      <c r="J771" s="37"/>
    </row>
    <row r="772" customFormat="false" ht="15" hidden="false" customHeight="true" outlineLevel="0" collapsed="false">
      <c r="A772" s="37" t="s">
        <v>3702</v>
      </c>
      <c r="B772" s="37" t="s">
        <v>485</v>
      </c>
      <c r="C772" s="54" t="s">
        <v>3703</v>
      </c>
      <c r="D772" s="54" t="s">
        <v>5328</v>
      </c>
      <c r="E772" s="54" t="s">
        <v>5329</v>
      </c>
      <c r="F772" s="54" t="s">
        <v>5240</v>
      </c>
      <c r="G772" s="54" t="s">
        <v>5335</v>
      </c>
      <c r="H772" s="37" t="s">
        <v>5269</v>
      </c>
      <c r="I772" s="54" t="s">
        <v>5293</v>
      </c>
      <c r="J772" s="37"/>
    </row>
    <row r="773" customFormat="false" ht="15" hidden="false" customHeight="true" outlineLevel="0" collapsed="false">
      <c r="A773" s="37" t="s">
        <v>3705</v>
      </c>
      <c r="B773" s="37" t="s">
        <v>485</v>
      </c>
      <c r="C773" s="54" t="s">
        <v>3706</v>
      </c>
      <c r="D773" s="54" t="s">
        <v>5328</v>
      </c>
      <c r="E773" s="54" t="s">
        <v>5329</v>
      </c>
      <c r="F773" s="54" t="s">
        <v>5240</v>
      </c>
      <c r="G773" s="54" t="s">
        <v>5335</v>
      </c>
      <c r="H773" s="37" t="s">
        <v>5269</v>
      </c>
      <c r="I773" s="54" t="s">
        <v>5293</v>
      </c>
      <c r="J773" s="37"/>
    </row>
    <row r="774" customFormat="false" ht="15" hidden="false" customHeight="true" outlineLevel="0" collapsed="false">
      <c r="A774" s="37" t="s">
        <v>3708</v>
      </c>
      <c r="B774" s="37" t="s">
        <v>485</v>
      </c>
      <c r="C774" s="54" t="s">
        <v>3709</v>
      </c>
      <c r="D774" s="54" t="s">
        <v>5328</v>
      </c>
      <c r="E774" s="54" t="s">
        <v>5329</v>
      </c>
      <c r="F774" s="54" t="s">
        <v>5240</v>
      </c>
      <c r="G774" s="54" t="s">
        <v>5335</v>
      </c>
      <c r="H774" s="37" t="s">
        <v>5269</v>
      </c>
      <c r="I774" s="54" t="s">
        <v>5293</v>
      </c>
      <c r="J774" s="37"/>
    </row>
    <row r="775" customFormat="false" ht="15" hidden="false" customHeight="true" outlineLevel="0" collapsed="false">
      <c r="A775" s="37" t="s">
        <v>3711</v>
      </c>
      <c r="B775" s="37" t="s">
        <v>485</v>
      </c>
      <c r="C775" s="54" t="s">
        <v>3712</v>
      </c>
      <c r="D775" s="54" t="s">
        <v>5328</v>
      </c>
      <c r="E775" s="54" t="s">
        <v>5329</v>
      </c>
      <c r="F775" s="54" t="s">
        <v>5240</v>
      </c>
      <c r="G775" s="54" t="s">
        <v>5335</v>
      </c>
      <c r="H775" s="37" t="s">
        <v>5269</v>
      </c>
      <c r="I775" s="54" t="s">
        <v>5293</v>
      </c>
      <c r="J775" s="37"/>
    </row>
    <row r="776" customFormat="false" ht="15" hidden="false" customHeight="true" outlineLevel="0" collapsed="false">
      <c r="A776" s="37" t="s">
        <v>3714</v>
      </c>
      <c r="B776" s="37" t="s">
        <v>485</v>
      </c>
      <c r="C776" s="54" t="s">
        <v>3715</v>
      </c>
      <c r="D776" s="54" t="s">
        <v>5328</v>
      </c>
      <c r="E776" s="54" t="s">
        <v>5329</v>
      </c>
      <c r="F776" s="54" t="s">
        <v>5240</v>
      </c>
      <c r="G776" s="54" t="s">
        <v>5335</v>
      </c>
      <c r="H776" s="37" t="s">
        <v>5269</v>
      </c>
      <c r="I776" s="54" t="s">
        <v>5293</v>
      </c>
      <c r="J776" s="37"/>
    </row>
    <row r="777" customFormat="false" ht="15" hidden="false" customHeight="true" outlineLevel="0" collapsed="false">
      <c r="A777" s="37" t="s">
        <v>3717</v>
      </c>
      <c r="B777" s="37" t="s">
        <v>485</v>
      </c>
      <c r="C777" s="54" t="s">
        <v>3718</v>
      </c>
      <c r="D777" s="54" t="s">
        <v>5328</v>
      </c>
      <c r="E777" s="54" t="s">
        <v>5329</v>
      </c>
      <c r="F777" s="54" t="s">
        <v>5240</v>
      </c>
      <c r="G777" s="54" t="s">
        <v>5335</v>
      </c>
      <c r="H777" s="37" t="s">
        <v>5269</v>
      </c>
      <c r="I777" s="54" t="s">
        <v>5293</v>
      </c>
      <c r="J777" s="37"/>
    </row>
    <row r="778" customFormat="false" ht="15" hidden="false" customHeight="true" outlineLevel="0" collapsed="false">
      <c r="A778" s="37" t="s">
        <v>3720</v>
      </c>
      <c r="B778" s="37" t="s">
        <v>485</v>
      </c>
      <c r="C778" s="54" t="s">
        <v>3721</v>
      </c>
      <c r="D778" s="54" t="s">
        <v>5328</v>
      </c>
      <c r="E778" s="54" t="s">
        <v>5329</v>
      </c>
      <c r="F778" s="54" t="s">
        <v>5240</v>
      </c>
      <c r="G778" s="54" t="s">
        <v>5335</v>
      </c>
      <c r="H778" s="37" t="s">
        <v>5269</v>
      </c>
      <c r="I778" s="54" t="s">
        <v>5293</v>
      </c>
      <c r="J778" s="37"/>
    </row>
    <row r="779" customFormat="false" ht="15" hidden="false" customHeight="true" outlineLevel="0" collapsed="false">
      <c r="A779" s="37" t="s">
        <v>3723</v>
      </c>
      <c r="B779" s="37" t="s">
        <v>485</v>
      </c>
      <c r="C779" s="37" t="s">
        <v>3724</v>
      </c>
      <c r="D779" s="54" t="s">
        <v>5328</v>
      </c>
      <c r="E779" s="54" t="s">
        <v>5329</v>
      </c>
      <c r="F779" s="54" t="s">
        <v>5240</v>
      </c>
      <c r="G779" s="54" t="s">
        <v>5335</v>
      </c>
      <c r="H779" s="37" t="s">
        <v>5269</v>
      </c>
      <c r="I779" s="54" t="s">
        <v>5293</v>
      </c>
      <c r="J779" s="37"/>
    </row>
    <row r="780" customFormat="false" ht="15" hidden="false" customHeight="true" outlineLevel="0" collapsed="false">
      <c r="A780" s="37" t="s">
        <v>3726</v>
      </c>
      <c r="B780" s="37" t="s">
        <v>485</v>
      </c>
      <c r="C780" s="37" t="s">
        <v>3727</v>
      </c>
      <c r="D780" s="54" t="s">
        <v>5328</v>
      </c>
      <c r="E780" s="54" t="s">
        <v>5329</v>
      </c>
      <c r="F780" s="54" t="s">
        <v>5240</v>
      </c>
      <c r="G780" s="54" t="s">
        <v>5335</v>
      </c>
      <c r="H780" s="37" t="s">
        <v>5269</v>
      </c>
      <c r="I780" s="54" t="s">
        <v>5293</v>
      </c>
      <c r="J780" s="37"/>
    </row>
    <row r="781" customFormat="false" ht="15" hidden="false" customHeight="true" outlineLevel="0" collapsed="false">
      <c r="A781" s="37" t="s">
        <v>3729</v>
      </c>
      <c r="B781" s="37" t="s">
        <v>485</v>
      </c>
      <c r="C781" s="54" t="s">
        <v>3730</v>
      </c>
      <c r="D781" s="54" t="s">
        <v>5328</v>
      </c>
      <c r="E781" s="54" t="s">
        <v>5329</v>
      </c>
      <c r="F781" s="54" t="s">
        <v>5240</v>
      </c>
      <c r="G781" s="54" t="s">
        <v>5335</v>
      </c>
      <c r="H781" s="37" t="s">
        <v>5269</v>
      </c>
      <c r="I781" s="54" t="s">
        <v>5293</v>
      </c>
      <c r="J781" s="37"/>
    </row>
    <row r="782" customFormat="false" ht="15" hidden="false" customHeight="true" outlineLevel="0" collapsed="false">
      <c r="A782" s="37" t="s">
        <v>3732</v>
      </c>
      <c r="B782" s="37" t="s">
        <v>485</v>
      </c>
      <c r="C782" s="54" t="s">
        <v>3733</v>
      </c>
      <c r="D782" s="54" t="s">
        <v>5328</v>
      </c>
      <c r="E782" s="54" t="s">
        <v>5329</v>
      </c>
      <c r="F782" s="54" t="s">
        <v>5240</v>
      </c>
      <c r="G782" s="54" t="s">
        <v>5335</v>
      </c>
      <c r="H782" s="37" t="s">
        <v>5269</v>
      </c>
      <c r="I782" s="54" t="s">
        <v>5293</v>
      </c>
      <c r="J782" s="37"/>
    </row>
    <row r="783" customFormat="false" ht="15" hidden="false" customHeight="true" outlineLevel="0" collapsed="false">
      <c r="A783" s="37" t="s">
        <v>3735</v>
      </c>
      <c r="B783" s="37" t="s">
        <v>485</v>
      </c>
      <c r="C783" s="37" t="s">
        <v>3736</v>
      </c>
      <c r="D783" s="54" t="s">
        <v>5328</v>
      </c>
      <c r="E783" s="54" t="s">
        <v>5329</v>
      </c>
      <c r="F783" s="54" t="s">
        <v>5240</v>
      </c>
      <c r="G783" s="54" t="s">
        <v>5335</v>
      </c>
      <c r="H783" s="37" t="s">
        <v>5269</v>
      </c>
      <c r="I783" s="54" t="s">
        <v>5293</v>
      </c>
      <c r="J783" s="37"/>
    </row>
    <row r="784" customFormat="false" ht="15" hidden="false" customHeight="true" outlineLevel="0" collapsed="false">
      <c r="A784" s="37" t="s">
        <v>3738</v>
      </c>
      <c r="B784" s="37" t="s">
        <v>485</v>
      </c>
      <c r="C784" s="37" t="s">
        <v>3739</v>
      </c>
      <c r="D784" s="54" t="s">
        <v>5328</v>
      </c>
      <c r="E784" s="54" t="s">
        <v>5329</v>
      </c>
      <c r="F784" s="54" t="s">
        <v>5240</v>
      </c>
      <c r="G784" s="54" t="s">
        <v>5335</v>
      </c>
      <c r="H784" s="37" t="s">
        <v>5269</v>
      </c>
      <c r="I784" s="54" t="s">
        <v>5293</v>
      </c>
      <c r="J784" s="37"/>
    </row>
    <row r="785" customFormat="false" ht="15" hidden="false" customHeight="true" outlineLevel="0" collapsed="false">
      <c r="A785" s="37" t="s">
        <v>3741</v>
      </c>
      <c r="B785" s="37" t="s">
        <v>485</v>
      </c>
      <c r="C785" s="54" t="s">
        <v>3742</v>
      </c>
      <c r="D785" s="54" t="s">
        <v>5224</v>
      </c>
      <c r="E785" s="54" t="s">
        <v>5225</v>
      </c>
      <c r="F785" s="54" t="s">
        <v>5216</v>
      </c>
      <c r="G785" s="54" t="s">
        <v>5335</v>
      </c>
      <c r="H785" s="37" t="s">
        <v>5269</v>
      </c>
      <c r="I785" s="54" t="s">
        <v>5293</v>
      </c>
      <c r="J785" s="37"/>
    </row>
    <row r="786" customFormat="false" ht="15" hidden="false" customHeight="true" outlineLevel="0" collapsed="false">
      <c r="A786" s="37" t="s">
        <v>3744</v>
      </c>
      <c r="B786" s="37" t="s">
        <v>485</v>
      </c>
      <c r="C786" s="54" t="s">
        <v>3745</v>
      </c>
      <c r="D786" s="54" t="s">
        <v>5224</v>
      </c>
      <c r="E786" s="54" t="s">
        <v>5225</v>
      </c>
      <c r="F786" s="54" t="s">
        <v>5216</v>
      </c>
      <c r="G786" s="54" t="s">
        <v>5335</v>
      </c>
      <c r="H786" s="37" t="s">
        <v>5269</v>
      </c>
      <c r="I786" s="54" t="s">
        <v>5293</v>
      </c>
      <c r="J786" s="37"/>
    </row>
    <row r="787" customFormat="false" ht="15" hidden="false" customHeight="true" outlineLevel="0" collapsed="false">
      <c r="A787" s="37" t="s">
        <v>3747</v>
      </c>
      <c r="B787" s="37" t="s">
        <v>485</v>
      </c>
      <c r="C787" s="54" t="s">
        <v>3748</v>
      </c>
      <c r="D787" s="54" t="s">
        <v>5345</v>
      </c>
      <c r="E787" s="54" t="s">
        <v>5215</v>
      </c>
      <c r="F787" s="54" t="s">
        <v>5216</v>
      </c>
      <c r="G787" s="54" t="s">
        <v>5335</v>
      </c>
      <c r="H787" s="37" t="s">
        <v>5269</v>
      </c>
      <c r="I787" s="54" t="s">
        <v>5293</v>
      </c>
      <c r="J787" s="37"/>
    </row>
    <row r="788" customFormat="false" ht="15" hidden="false" customHeight="true" outlineLevel="0" collapsed="false">
      <c r="A788" s="37" t="s">
        <v>3750</v>
      </c>
      <c r="B788" s="37" t="s">
        <v>485</v>
      </c>
      <c r="C788" s="54" t="s">
        <v>3751</v>
      </c>
      <c r="D788" s="54" t="s">
        <v>5224</v>
      </c>
      <c r="E788" s="54" t="s">
        <v>5225</v>
      </c>
      <c r="F788" s="54" t="s">
        <v>5216</v>
      </c>
      <c r="G788" s="54" t="s">
        <v>5335</v>
      </c>
      <c r="H788" s="37" t="s">
        <v>5269</v>
      </c>
      <c r="I788" s="54" t="s">
        <v>5293</v>
      </c>
      <c r="J788" s="37"/>
    </row>
    <row r="789" customFormat="false" ht="15" hidden="false" customHeight="true" outlineLevel="0" collapsed="false">
      <c r="A789" s="37" t="s">
        <v>3753</v>
      </c>
      <c r="B789" s="37" t="s">
        <v>485</v>
      </c>
      <c r="C789" s="54" t="s">
        <v>3754</v>
      </c>
      <c r="D789" s="54" t="s">
        <v>5224</v>
      </c>
      <c r="E789" s="54" t="s">
        <v>5225</v>
      </c>
      <c r="F789" s="54" t="s">
        <v>5216</v>
      </c>
      <c r="G789" s="54" t="s">
        <v>5335</v>
      </c>
      <c r="H789" s="37" t="s">
        <v>5269</v>
      </c>
      <c r="I789" s="54" t="s">
        <v>5293</v>
      </c>
      <c r="J789" s="37"/>
    </row>
    <row r="790" customFormat="false" ht="15" hidden="false" customHeight="true" outlineLevel="0" collapsed="false">
      <c r="A790" s="37" t="s">
        <v>3756</v>
      </c>
      <c r="B790" s="37" t="s">
        <v>485</v>
      </c>
      <c r="C790" s="54" t="s">
        <v>3757</v>
      </c>
      <c r="D790" s="54" t="s">
        <v>5328</v>
      </c>
      <c r="E790" s="54" t="s">
        <v>5329</v>
      </c>
      <c r="F790" s="54" t="s">
        <v>5240</v>
      </c>
      <c r="G790" s="54" t="s">
        <v>5335</v>
      </c>
      <c r="H790" s="37" t="s">
        <v>5269</v>
      </c>
      <c r="I790" s="54" t="s">
        <v>5293</v>
      </c>
      <c r="J790" s="37"/>
    </row>
    <row r="791" customFormat="false" ht="15" hidden="false" customHeight="true" outlineLevel="0" collapsed="false">
      <c r="A791" s="37" t="s">
        <v>3759</v>
      </c>
      <c r="B791" s="37" t="s">
        <v>485</v>
      </c>
      <c r="C791" s="54" t="s">
        <v>3760</v>
      </c>
      <c r="D791" s="54" t="s">
        <v>5224</v>
      </c>
      <c r="E791" s="54" t="s">
        <v>5225</v>
      </c>
      <c r="F791" s="54" t="s">
        <v>5216</v>
      </c>
      <c r="G791" s="54" t="s">
        <v>5335</v>
      </c>
      <c r="H791" s="37" t="s">
        <v>5269</v>
      </c>
      <c r="I791" s="54" t="s">
        <v>5293</v>
      </c>
      <c r="J791" s="37"/>
    </row>
    <row r="792" customFormat="false" ht="15" hidden="false" customHeight="true" outlineLevel="0" collapsed="false">
      <c r="A792" s="37" t="s">
        <v>3763</v>
      </c>
      <c r="B792" s="37" t="s">
        <v>485</v>
      </c>
      <c r="C792" s="54" t="s">
        <v>3764</v>
      </c>
      <c r="D792" s="54" t="s">
        <v>5255</v>
      </c>
      <c r="E792" s="54" t="s">
        <v>5256</v>
      </c>
      <c r="F792" s="54" t="s">
        <v>5216</v>
      </c>
      <c r="G792" s="54" t="s">
        <v>5335</v>
      </c>
      <c r="H792" s="37" t="s">
        <v>5269</v>
      </c>
      <c r="I792" s="54" t="s">
        <v>5293</v>
      </c>
      <c r="J792" s="37"/>
    </row>
    <row r="793" customFormat="false" ht="15" hidden="false" customHeight="true" outlineLevel="0" collapsed="false">
      <c r="A793" s="37" t="s">
        <v>3766</v>
      </c>
      <c r="B793" s="37" t="s">
        <v>485</v>
      </c>
      <c r="C793" s="54" t="s">
        <v>3767</v>
      </c>
      <c r="D793" s="54" t="s">
        <v>5255</v>
      </c>
      <c r="E793" s="54" t="s">
        <v>5256</v>
      </c>
      <c r="F793" s="54" t="s">
        <v>5216</v>
      </c>
      <c r="G793" s="54" t="s">
        <v>5335</v>
      </c>
      <c r="H793" s="37" t="s">
        <v>5269</v>
      </c>
      <c r="I793" s="54" t="s">
        <v>5293</v>
      </c>
      <c r="J793" s="37"/>
    </row>
    <row r="794" customFormat="false" ht="15" hidden="false" customHeight="true" outlineLevel="0" collapsed="false">
      <c r="A794" s="37" t="s">
        <v>3769</v>
      </c>
      <c r="B794" s="37" t="s">
        <v>485</v>
      </c>
      <c r="C794" s="54" t="s">
        <v>3770</v>
      </c>
      <c r="D794" s="54" t="s">
        <v>5255</v>
      </c>
      <c r="E794" s="54" t="s">
        <v>5256</v>
      </c>
      <c r="F794" s="54" t="s">
        <v>5216</v>
      </c>
      <c r="G794" s="54" t="s">
        <v>5335</v>
      </c>
      <c r="H794" s="37" t="s">
        <v>5269</v>
      </c>
      <c r="I794" s="54" t="s">
        <v>5293</v>
      </c>
      <c r="J794" s="37"/>
    </row>
    <row r="795" customFormat="false" ht="15" hidden="false" customHeight="true" outlineLevel="0" collapsed="false">
      <c r="A795" s="37" t="s">
        <v>3772</v>
      </c>
      <c r="B795" s="37" t="s">
        <v>485</v>
      </c>
      <c r="C795" s="54" t="s">
        <v>3773</v>
      </c>
      <c r="D795" s="54" t="s">
        <v>5255</v>
      </c>
      <c r="E795" s="54" t="s">
        <v>5256</v>
      </c>
      <c r="F795" s="54" t="s">
        <v>5216</v>
      </c>
      <c r="G795" s="54" t="s">
        <v>5335</v>
      </c>
      <c r="H795" s="37" t="s">
        <v>5269</v>
      </c>
      <c r="I795" s="54" t="s">
        <v>5293</v>
      </c>
      <c r="J795" s="37"/>
    </row>
    <row r="796" customFormat="false" ht="15" hidden="false" customHeight="true" outlineLevel="0" collapsed="false">
      <c r="A796" s="37" t="s">
        <v>3775</v>
      </c>
      <c r="B796" s="37" t="s">
        <v>485</v>
      </c>
      <c r="C796" s="54" t="s">
        <v>3776</v>
      </c>
      <c r="D796" s="54" t="s">
        <v>5255</v>
      </c>
      <c r="E796" s="54" t="s">
        <v>5256</v>
      </c>
      <c r="F796" s="54" t="s">
        <v>5216</v>
      </c>
      <c r="G796" s="54" t="s">
        <v>5335</v>
      </c>
      <c r="H796" s="37" t="s">
        <v>5269</v>
      </c>
      <c r="I796" s="54" t="s">
        <v>5293</v>
      </c>
      <c r="J796" s="37"/>
    </row>
    <row r="797" customFormat="false" ht="15" hidden="false" customHeight="true" outlineLevel="0" collapsed="false">
      <c r="A797" s="37" t="s">
        <v>3778</v>
      </c>
      <c r="B797" s="37" t="s">
        <v>485</v>
      </c>
      <c r="C797" s="54" t="s">
        <v>3779</v>
      </c>
      <c r="D797" s="54" t="s">
        <v>5255</v>
      </c>
      <c r="E797" s="54" t="s">
        <v>5256</v>
      </c>
      <c r="F797" s="54" t="s">
        <v>5216</v>
      </c>
      <c r="G797" s="54" t="s">
        <v>5335</v>
      </c>
      <c r="H797" s="37" t="s">
        <v>5269</v>
      </c>
      <c r="I797" s="54" t="s">
        <v>5293</v>
      </c>
      <c r="J797" s="37"/>
    </row>
    <row r="798" customFormat="false" ht="15" hidden="false" customHeight="true" outlineLevel="0" collapsed="false">
      <c r="A798" s="37" t="s">
        <v>3781</v>
      </c>
      <c r="B798" s="37" t="s">
        <v>485</v>
      </c>
      <c r="C798" s="54" t="s">
        <v>3782</v>
      </c>
      <c r="D798" s="54" t="s">
        <v>5255</v>
      </c>
      <c r="E798" s="54" t="s">
        <v>5256</v>
      </c>
      <c r="F798" s="54" t="s">
        <v>5216</v>
      </c>
      <c r="G798" s="54" t="s">
        <v>5335</v>
      </c>
      <c r="H798" s="37" t="s">
        <v>5269</v>
      </c>
      <c r="I798" s="54" t="s">
        <v>5293</v>
      </c>
      <c r="J798" s="37"/>
    </row>
    <row r="799" customFormat="false" ht="15" hidden="false" customHeight="true" outlineLevel="0" collapsed="false">
      <c r="A799" s="37" t="s">
        <v>3790</v>
      </c>
      <c r="B799" s="37" t="s">
        <v>485</v>
      </c>
      <c r="C799" s="54" t="s">
        <v>3791</v>
      </c>
      <c r="D799" s="54" t="s">
        <v>5344</v>
      </c>
      <c r="E799" s="54" t="s">
        <v>5215</v>
      </c>
      <c r="F799" s="54" t="s">
        <v>5216</v>
      </c>
      <c r="G799" s="54" t="s">
        <v>5335</v>
      </c>
      <c r="H799" s="37" t="s">
        <v>5269</v>
      </c>
      <c r="I799" s="54" t="s">
        <v>5293</v>
      </c>
      <c r="J799" s="37"/>
    </row>
    <row r="800" customFormat="false" ht="15" hidden="false" customHeight="true" outlineLevel="0" collapsed="false">
      <c r="A800" s="37" t="s">
        <v>3793</v>
      </c>
      <c r="B800" s="37" t="s">
        <v>485</v>
      </c>
      <c r="C800" s="37" t="s">
        <v>3794</v>
      </c>
      <c r="D800" s="54" t="s">
        <v>5344</v>
      </c>
      <c r="E800" s="54" t="s">
        <v>5215</v>
      </c>
      <c r="F800" s="54" t="s">
        <v>5216</v>
      </c>
      <c r="G800" s="54" t="s">
        <v>5335</v>
      </c>
      <c r="H800" s="37" t="s">
        <v>5269</v>
      </c>
      <c r="I800" s="54" t="s">
        <v>5293</v>
      </c>
      <c r="J800" s="37"/>
    </row>
    <row r="801" customFormat="false" ht="15" hidden="false" customHeight="true" outlineLevel="0" collapsed="false">
      <c r="A801" s="37" t="s">
        <v>3796</v>
      </c>
      <c r="B801" s="37" t="s">
        <v>485</v>
      </c>
      <c r="C801" s="54" t="s">
        <v>3797</v>
      </c>
      <c r="D801" s="54" t="s">
        <v>5255</v>
      </c>
      <c r="E801" s="54" t="s">
        <v>5256</v>
      </c>
      <c r="F801" s="54" t="s">
        <v>5216</v>
      </c>
      <c r="G801" s="54" t="s">
        <v>5335</v>
      </c>
      <c r="H801" s="37" t="s">
        <v>5269</v>
      </c>
      <c r="I801" s="54" t="s">
        <v>5293</v>
      </c>
      <c r="J801" s="37"/>
    </row>
    <row r="802" customFormat="false" ht="15" hidden="false" customHeight="true" outlineLevel="0" collapsed="false">
      <c r="A802" s="37" t="s">
        <v>3799</v>
      </c>
      <c r="B802" s="37" t="s">
        <v>485</v>
      </c>
      <c r="C802" s="54" t="s">
        <v>3800</v>
      </c>
      <c r="D802" s="54" t="s">
        <v>5344</v>
      </c>
      <c r="E802" s="54" t="s">
        <v>5215</v>
      </c>
      <c r="F802" s="54" t="s">
        <v>5216</v>
      </c>
      <c r="G802" s="54" t="s">
        <v>5335</v>
      </c>
      <c r="H802" s="37" t="s">
        <v>5269</v>
      </c>
      <c r="I802" s="54" t="s">
        <v>5293</v>
      </c>
      <c r="J802" s="37"/>
    </row>
    <row r="803" customFormat="false" ht="15" hidden="false" customHeight="true" outlineLevel="0" collapsed="false">
      <c r="A803" s="37" t="s">
        <v>3802</v>
      </c>
      <c r="B803" s="37" t="s">
        <v>485</v>
      </c>
      <c r="C803" s="54" t="s">
        <v>3803</v>
      </c>
      <c r="D803" s="54" t="s">
        <v>5344</v>
      </c>
      <c r="E803" s="54" t="s">
        <v>5215</v>
      </c>
      <c r="F803" s="54" t="s">
        <v>5216</v>
      </c>
      <c r="G803" s="54" t="s">
        <v>5335</v>
      </c>
      <c r="H803" s="37" t="s">
        <v>5269</v>
      </c>
      <c r="I803" s="54" t="s">
        <v>5293</v>
      </c>
      <c r="J803" s="37"/>
    </row>
    <row r="804" customFormat="false" ht="15" hidden="false" customHeight="true" outlineLevel="0" collapsed="false">
      <c r="A804" s="37" t="s">
        <v>3805</v>
      </c>
      <c r="B804" s="37" t="s">
        <v>485</v>
      </c>
      <c r="C804" s="54" t="s">
        <v>3806</v>
      </c>
      <c r="D804" s="54" t="s">
        <v>5255</v>
      </c>
      <c r="E804" s="54" t="s">
        <v>5256</v>
      </c>
      <c r="F804" s="54" t="s">
        <v>5216</v>
      </c>
      <c r="G804" s="54" t="s">
        <v>5335</v>
      </c>
      <c r="H804" s="37" t="s">
        <v>5269</v>
      </c>
      <c r="I804" s="54" t="s">
        <v>5293</v>
      </c>
      <c r="J804" s="37"/>
    </row>
    <row r="805" customFormat="false" ht="15" hidden="false" customHeight="true" outlineLevel="0" collapsed="false">
      <c r="A805" s="37" t="s">
        <v>3808</v>
      </c>
      <c r="B805" s="37" t="s">
        <v>485</v>
      </c>
      <c r="C805" s="37" t="s">
        <v>3809</v>
      </c>
      <c r="D805" s="54" t="s">
        <v>5344</v>
      </c>
      <c r="E805" s="54" t="s">
        <v>5215</v>
      </c>
      <c r="F805" s="54" t="s">
        <v>5216</v>
      </c>
      <c r="G805" s="54" t="s">
        <v>5335</v>
      </c>
      <c r="H805" s="37" t="s">
        <v>5269</v>
      </c>
      <c r="I805" s="54" t="s">
        <v>5293</v>
      </c>
      <c r="J805" s="37"/>
    </row>
    <row r="806" customFormat="false" ht="15" hidden="false" customHeight="true" outlineLevel="0" collapsed="false">
      <c r="A806" s="37" t="s">
        <v>3811</v>
      </c>
      <c r="B806" s="37" t="s">
        <v>485</v>
      </c>
      <c r="C806" s="54" t="s">
        <v>3812</v>
      </c>
      <c r="D806" s="54" t="s">
        <v>5255</v>
      </c>
      <c r="E806" s="54" t="s">
        <v>5256</v>
      </c>
      <c r="F806" s="54" t="s">
        <v>5216</v>
      </c>
      <c r="G806" s="54" t="s">
        <v>5335</v>
      </c>
      <c r="H806" s="37" t="s">
        <v>5269</v>
      </c>
      <c r="I806" s="54" t="s">
        <v>5293</v>
      </c>
      <c r="J806" s="37"/>
    </row>
    <row r="807" customFormat="false" ht="15" hidden="false" customHeight="true" outlineLevel="0" collapsed="false">
      <c r="A807" s="37" t="s">
        <v>3814</v>
      </c>
      <c r="B807" s="37" t="s">
        <v>485</v>
      </c>
      <c r="C807" s="54" t="s">
        <v>3815</v>
      </c>
      <c r="D807" s="54" t="s">
        <v>5344</v>
      </c>
      <c r="E807" s="54" t="s">
        <v>5215</v>
      </c>
      <c r="F807" s="54" t="s">
        <v>5216</v>
      </c>
      <c r="G807" s="54" t="s">
        <v>5335</v>
      </c>
      <c r="H807" s="37" t="s">
        <v>5269</v>
      </c>
      <c r="I807" s="54" t="s">
        <v>5293</v>
      </c>
      <c r="J807" s="37"/>
    </row>
    <row r="808" customFormat="false" ht="15" hidden="false" customHeight="true" outlineLevel="0" collapsed="false">
      <c r="A808" s="37" t="s">
        <v>3817</v>
      </c>
      <c r="B808" s="37" t="s">
        <v>485</v>
      </c>
      <c r="C808" s="54" t="s">
        <v>3818</v>
      </c>
      <c r="D808" s="54" t="s">
        <v>5255</v>
      </c>
      <c r="E808" s="54" t="s">
        <v>5256</v>
      </c>
      <c r="F808" s="54" t="s">
        <v>5216</v>
      </c>
      <c r="G808" s="54" t="s">
        <v>5335</v>
      </c>
      <c r="H808" s="37" t="s">
        <v>5269</v>
      </c>
      <c r="I808" s="54" t="s">
        <v>5293</v>
      </c>
      <c r="J808" s="37"/>
    </row>
    <row r="809" customFormat="false" ht="15" hidden="false" customHeight="true" outlineLevel="0" collapsed="false">
      <c r="A809" s="37" t="s">
        <v>3820</v>
      </c>
      <c r="B809" s="37" t="s">
        <v>485</v>
      </c>
      <c r="C809" s="37" t="s">
        <v>3821</v>
      </c>
      <c r="D809" s="54" t="s">
        <v>5224</v>
      </c>
      <c r="E809" s="54" t="s">
        <v>5225</v>
      </c>
      <c r="F809" s="54" t="s">
        <v>5216</v>
      </c>
      <c r="G809" s="54" t="s">
        <v>5335</v>
      </c>
      <c r="H809" s="37" t="s">
        <v>5269</v>
      </c>
      <c r="I809" s="54" t="s">
        <v>5293</v>
      </c>
      <c r="J809" s="37"/>
    </row>
    <row r="810" customFormat="false" ht="15" hidden="false" customHeight="true" outlineLevel="0" collapsed="false">
      <c r="A810" s="37" t="s">
        <v>3823</v>
      </c>
      <c r="B810" s="37" t="s">
        <v>485</v>
      </c>
      <c r="C810" s="54" t="s">
        <v>3824</v>
      </c>
      <c r="D810" s="54" t="s">
        <v>5307</v>
      </c>
      <c r="E810" s="54" t="s">
        <v>5221</v>
      </c>
      <c r="F810" s="54" t="s">
        <v>5216</v>
      </c>
      <c r="G810" s="54" t="s">
        <v>5335</v>
      </c>
      <c r="H810" s="37" t="s">
        <v>5269</v>
      </c>
      <c r="I810" s="54" t="s">
        <v>5293</v>
      </c>
      <c r="J810" s="37"/>
    </row>
    <row r="811" customFormat="false" ht="15" hidden="false" customHeight="true" outlineLevel="0" collapsed="false">
      <c r="A811" s="37" t="s">
        <v>3826</v>
      </c>
      <c r="B811" s="37" t="s">
        <v>485</v>
      </c>
      <c r="C811" s="54" t="s">
        <v>3827</v>
      </c>
      <c r="D811" s="54" t="s">
        <v>5346</v>
      </c>
      <c r="E811" s="54" t="s">
        <v>5215</v>
      </c>
      <c r="F811" s="54" t="s">
        <v>5216</v>
      </c>
      <c r="G811" s="54" t="s">
        <v>5335</v>
      </c>
      <c r="H811" s="37" t="s">
        <v>5269</v>
      </c>
      <c r="I811" s="54" t="s">
        <v>5293</v>
      </c>
      <c r="J811" s="37"/>
    </row>
    <row r="812" customFormat="false" ht="15" hidden="false" customHeight="true" outlineLevel="0" collapsed="false">
      <c r="A812" s="37" t="s">
        <v>3829</v>
      </c>
      <c r="B812" s="37" t="s">
        <v>485</v>
      </c>
      <c r="C812" s="54" t="s">
        <v>3830</v>
      </c>
      <c r="D812" s="54" t="s">
        <v>5255</v>
      </c>
      <c r="E812" s="54" t="s">
        <v>5256</v>
      </c>
      <c r="F812" s="54" t="s">
        <v>5216</v>
      </c>
      <c r="G812" s="54" t="s">
        <v>5335</v>
      </c>
      <c r="H812" s="37" t="s">
        <v>5269</v>
      </c>
      <c r="I812" s="54" t="s">
        <v>5293</v>
      </c>
      <c r="J812" s="37"/>
    </row>
    <row r="813" customFormat="false" ht="15" hidden="false" customHeight="true" outlineLevel="0" collapsed="false">
      <c r="A813" s="37" t="s">
        <v>3832</v>
      </c>
      <c r="B813" s="37" t="s">
        <v>485</v>
      </c>
      <c r="C813" s="54" t="s">
        <v>3833</v>
      </c>
      <c r="D813" s="54" t="s">
        <v>5255</v>
      </c>
      <c r="E813" s="54" t="s">
        <v>5256</v>
      </c>
      <c r="F813" s="54" t="s">
        <v>5216</v>
      </c>
      <c r="G813" s="54" t="s">
        <v>5335</v>
      </c>
      <c r="H813" s="37" t="s">
        <v>5269</v>
      </c>
      <c r="I813" s="54" t="s">
        <v>5293</v>
      </c>
      <c r="J813" s="37"/>
    </row>
    <row r="814" customFormat="false" ht="15" hidden="false" customHeight="true" outlineLevel="0" collapsed="false">
      <c r="A814" s="37" t="s">
        <v>3835</v>
      </c>
      <c r="B814" s="37" t="s">
        <v>485</v>
      </c>
      <c r="C814" s="54" t="s">
        <v>3836</v>
      </c>
      <c r="D814" s="54" t="s">
        <v>5255</v>
      </c>
      <c r="E814" s="54" t="s">
        <v>5256</v>
      </c>
      <c r="F814" s="54" t="s">
        <v>5216</v>
      </c>
      <c r="G814" s="54" t="s">
        <v>5335</v>
      </c>
      <c r="H814" s="37" t="s">
        <v>5269</v>
      </c>
      <c r="I814" s="54" t="s">
        <v>5293</v>
      </c>
      <c r="J814" s="37"/>
    </row>
    <row r="815" customFormat="false" ht="15" hidden="false" customHeight="true" outlineLevel="0" collapsed="false">
      <c r="A815" s="37" t="s">
        <v>3838</v>
      </c>
      <c r="B815" s="37" t="s">
        <v>485</v>
      </c>
      <c r="C815" s="54" t="s">
        <v>3839</v>
      </c>
      <c r="D815" s="54" t="s">
        <v>5255</v>
      </c>
      <c r="E815" s="54" t="s">
        <v>5256</v>
      </c>
      <c r="F815" s="54" t="s">
        <v>5216</v>
      </c>
      <c r="G815" s="54" t="s">
        <v>5335</v>
      </c>
      <c r="H815" s="37" t="s">
        <v>5269</v>
      </c>
      <c r="I815" s="54" t="s">
        <v>5293</v>
      </c>
      <c r="J815" s="37"/>
    </row>
    <row r="816" customFormat="false" ht="15" hidden="false" customHeight="true" outlineLevel="0" collapsed="false">
      <c r="A816" s="37" t="s">
        <v>3841</v>
      </c>
      <c r="B816" s="37" t="s">
        <v>485</v>
      </c>
      <c r="C816" s="54" t="s">
        <v>3842</v>
      </c>
      <c r="D816" s="54" t="s">
        <v>5255</v>
      </c>
      <c r="E816" s="54" t="s">
        <v>5256</v>
      </c>
      <c r="F816" s="54" t="s">
        <v>5216</v>
      </c>
      <c r="G816" s="54" t="s">
        <v>5335</v>
      </c>
      <c r="H816" s="37" t="s">
        <v>5269</v>
      </c>
      <c r="I816" s="54" t="s">
        <v>5293</v>
      </c>
      <c r="J816" s="37"/>
    </row>
    <row r="817" customFormat="false" ht="15" hidden="false" customHeight="true" outlineLevel="0" collapsed="false">
      <c r="A817" s="37" t="s">
        <v>3844</v>
      </c>
      <c r="B817" s="37" t="s">
        <v>485</v>
      </c>
      <c r="C817" s="54" t="s">
        <v>3845</v>
      </c>
      <c r="D817" s="54" t="s">
        <v>5255</v>
      </c>
      <c r="E817" s="54" t="s">
        <v>5256</v>
      </c>
      <c r="F817" s="54" t="s">
        <v>5216</v>
      </c>
      <c r="G817" s="54" t="s">
        <v>5335</v>
      </c>
      <c r="H817" s="37" t="s">
        <v>5269</v>
      </c>
      <c r="I817" s="54" t="s">
        <v>5293</v>
      </c>
      <c r="J817" s="37"/>
    </row>
    <row r="818" customFormat="false" ht="15" hidden="false" customHeight="true" outlineLevel="0" collapsed="false">
      <c r="A818" s="37" t="s">
        <v>3847</v>
      </c>
      <c r="B818" s="37" t="s">
        <v>485</v>
      </c>
      <c r="C818" s="54" t="s">
        <v>3848</v>
      </c>
      <c r="D818" s="54" t="s">
        <v>5255</v>
      </c>
      <c r="E818" s="54" t="s">
        <v>5256</v>
      </c>
      <c r="F818" s="54" t="s">
        <v>5216</v>
      </c>
      <c r="G818" s="54" t="s">
        <v>5335</v>
      </c>
      <c r="H818" s="37" t="s">
        <v>5269</v>
      </c>
      <c r="I818" s="54" t="s">
        <v>5293</v>
      </c>
      <c r="J818" s="37"/>
    </row>
    <row r="819" customFormat="false" ht="15" hidden="false" customHeight="true" outlineLevel="0" collapsed="false">
      <c r="A819" s="37" t="s">
        <v>3850</v>
      </c>
      <c r="B819" s="37" t="s">
        <v>485</v>
      </c>
      <c r="C819" s="54" t="s">
        <v>3851</v>
      </c>
      <c r="D819" s="54" t="s">
        <v>5255</v>
      </c>
      <c r="E819" s="54" t="s">
        <v>5256</v>
      </c>
      <c r="F819" s="54" t="s">
        <v>5216</v>
      </c>
      <c r="G819" s="54" t="s">
        <v>5335</v>
      </c>
      <c r="H819" s="37" t="s">
        <v>5269</v>
      </c>
      <c r="I819" s="54" t="s">
        <v>5293</v>
      </c>
      <c r="J819" s="37"/>
    </row>
    <row r="820" customFormat="false" ht="15" hidden="false" customHeight="true" outlineLevel="0" collapsed="false">
      <c r="A820" s="37" t="s">
        <v>3853</v>
      </c>
      <c r="B820" s="37" t="s">
        <v>485</v>
      </c>
      <c r="C820" s="54" t="s">
        <v>3854</v>
      </c>
      <c r="D820" s="54" t="s">
        <v>5255</v>
      </c>
      <c r="E820" s="54" t="s">
        <v>5256</v>
      </c>
      <c r="F820" s="54" t="s">
        <v>5216</v>
      </c>
      <c r="G820" s="54" t="s">
        <v>5335</v>
      </c>
      <c r="H820" s="37" t="s">
        <v>5269</v>
      </c>
      <c r="I820" s="54" t="s">
        <v>5293</v>
      </c>
      <c r="J820" s="37"/>
    </row>
    <row r="821" customFormat="false" ht="15" hidden="false" customHeight="true" outlineLevel="0" collapsed="false">
      <c r="A821" s="37" t="s">
        <v>3856</v>
      </c>
      <c r="B821" s="37" t="s">
        <v>485</v>
      </c>
      <c r="C821" s="54" t="s">
        <v>3857</v>
      </c>
      <c r="D821" s="54" t="s">
        <v>5255</v>
      </c>
      <c r="E821" s="54" t="s">
        <v>5256</v>
      </c>
      <c r="F821" s="54" t="s">
        <v>5216</v>
      </c>
      <c r="G821" s="54" t="s">
        <v>5335</v>
      </c>
      <c r="H821" s="37" t="s">
        <v>5269</v>
      </c>
      <c r="I821" s="54" t="s">
        <v>5293</v>
      </c>
      <c r="J821" s="37"/>
    </row>
    <row r="822" customFormat="false" ht="15" hidden="false" customHeight="true" outlineLevel="0" collapsed="false">
      <c r="A822" s="37" t="s">
        <v>3859</v>
      </c>
      <c r="B822" s="37" t="s">
        <v>485</v>
      </c>
      <c r="C822" s="54" t="s">
        <v>3860</v>
      </c>
      <c r="D822" s="54" t="s">
        <v>5255</v>
      </c>
      <c r="E822" s="54" t="s">
        <v>5256</v>
      </c>
      <c r="F822" s="54" t="s">
        <v>5216</v>
      </c>
      <c r="G822" s="54" t="s">
        <v>5335</v>
      </c>
      <c r="H822" s="37" t="s">
        <v>5269</v>
      </c>
      <c r="I822" s="54" t="s">
        <v>5293</v>
      </c>
      <c r="J822" s="37"/>
    </row>
    <row r="823" customFormat="false" ht="15" hidden="false" customHeight="true" outlineLevel="0" collapsed="false">
      <c r="A823" s="37" t="s">
        <v>3862</v>
      </c>
      <c r="B823" s="37" t="s">
        <v>485</v>
      </c>
      <c r="C823" s="54" t="s">
        <v>3863</v>
      </c>
      <c r="D823" s="54" t="s">
        <v>5344</v>
      </c>
      <c r="E823" s="54" t="s">
        <v>5215</v>
      </c>
      <c r="F823" s="54" t="s">
        <v>5216</v>
      </c>
      <c r="G823" s="54" t="s">
        <v>5335</v>
      </c>
      <c r="H823" s="37" t="s">
        <v>5269</v>
      </c>
      <c r="I823" s="54" t="s">
        <v>5293</v>
      </c>
      <c r="J823" s="37"/>
    </row>
    <row r="824" customFormat="false" ht="15" hidden="false" customHeight="true" outlineLevel="0" collapsed="false">
      <c r="A824" s="37" t="s">
        <v>3868</v>
      </c>
      <c r="B824" s="37" t="s">
        <v>485</v>
      </c>
      <c r="C824" s="54" t="s">
        <v>3869</v>
      </c>
      <c r="D824" s="54" t="s">
        <v>5255</v>
      </c>
      <c r="E824" s="54" t="s">
        <v>5256</v>
      </c>
      <c r="F824" s="54" t="s">
        <v>5216</v>
      </c>
      <c r="G824" s="54" t="s">
        <v>5335</v>
      </c>
      <c r="H824" s="37" t="s">
        <v>5269</v>
      </c>
      <c r="I824" s="54" t="s">
        <v>5293</v>
      </c>
      <c r="J824" s="37"/>
    </row>
    <row r="825" customFormat="false" ht="15" hidden="false" customHeight="true" outlineLevel="0" collapsed="false">
      <c r="A825" s="37" t="s">
        <v>3871</v>
      </c>
      <c r="B825" s="37" t="s">
        <v>485</v>
      </c>
      <c r="C825" s="54" t="s">
        <v>3872</v>
      </c>
      <c r="D825" s="54" t="s">
        <v>5255</v>
      </c>
      <c r="E825" s="54" t="s">
        <v>5256</v>
      </c>
      <c r="F825" s="54" t="s">
        <v>5216</v>
      </c>
      <c r="G825" s="54" t="s">
        <v>5335</v>
      </c>
      <c r="H825" s="37" t="s">
        <v>5269</v>
      </c>
      <c r="I825" s="54" t="s">
        <v>5293</v>
      </c>
      <c r="J825" s="37"/>
    </row>
    <row r="826" customFormat="false" ht="15" hidden="false" customHeight="true" outlineLevel="0" collapsed="false">
      <c r="A826" s="37" t="s">
        <v>3874</v>
      </c>
      <c r="B826" s="37" t="s">
        <v>485</v>
      </c>
      <c r="C826" s="54" t="s">
        <v>3875</v>
      </c>
      <c r="D826" s="54" t="s">
        <v>5255</v>
      </c>
      <c r="E826" s="54" t="s">
        <v>5256</v>
      </c>
      <c r="F826" s="54" t="s">
        <v>5216</v>
      </c>
      <c r="G826" s="54" t="s">
        <v>5335</v>
      </c>
      <c r="H826" s="37" t="s">
        <v>5269</v>
      </c>
      <c r="I826" s="54" t="s">
        <v>5293</v>
      </c>
      <c r="J826" s="37"/>
    </row>
    <row r="827" customFormat="false" ht="15" hidden="false" customHeight="true" outlineLevel="0" collapsed="false">
      <c r="A827" s="37" t="s">
        <v>3877</v>
      </c>
      <c r="B827" s="37" t="s">
        <v>485</v>
      </c>
      <c r="C827" s="54" t="s">
        <v>3878</v>
      </c>
      <c r="D827" s="54" t="s">
        <v>5255</v>
      </c>
      <c r="E827" s="54" t="s">
        <v>5256</v>
      </c>
      <c r="F827" s="54" t="s">
        <v>5216</v>
      </c>
      <c r="G827" s="54" t="s">
        <v>5335</v>
      </c>
      <c r="H827" s="37" t="s">
        <v>5269</v>
      </c>
      <c r="I827" s="54" t="s">
        <v>5293</v>
      </c>
      <c r="J827" s="37"/>
    </row>
    <row r="828" customFormat="false" ht="15" hidden="false" customHeight="true" outlineLevel="0" collapsed="false">
      <c r="A828" s="37" t="s">
        <v>3883</v>
      </c>
      <c r="B828" s="37" t="s">
        <v>485</v>
      </c>
      <c r="C828" s="54" t="s">
        <v>3884</v>
      </c>
      <c r="D828" s="54" t="s">
        <v>5255</v>
      </c>
      <c r="E828" s="54" t="s">
        <v>5256</v>
      </c>
      <c r="F828" s="54" t="s">
        <v>5216</v>
      </c>
      <c r="G828" s="54" t="s">
        <v>5335</v>
      </c>
      <c r="H828" s="37" t="s">
        <v>5269</v>
      </c>
      <c r="I828" s="54" t="s">
        <v>5293</v>
      </c>
      <c r="J828" s="37"/>
    </row>
    <row r="829" customFormat="false" ht="15" hidden="false" customHeight="true" outlineLevel="0" collapsed="false">
      <c r="A829" s="37" t="s">
        <v>924</v>
      </c>
      <c r="B829" s="37" t="s">
        <v>418</v>
      </c>
      <c r="C829" s="54" t="s">
        <v>925</v>
      </c>
      <c r="D829" s="54" t="s">
        <v>5228</v>
      </c>
      <c r="E829" s="54" t="s">
        <v>5229</v>
      </c>
      <c r="F829" s="54" t="s">
        <v>5240</v>
      </c>
      <c r="G829" s="54" t="s">
        <v>5347</v>
      </c>
      <c r="H829" s="37" t="s">
        <v>5348</v>
      </c>
      <c r="I829" s="54" t="s">
        <v>5293</v>
      </c>
      <c r="J829" s="37"/>
    </row>
    <row r="830" customFormat="false" ht="15" hidden="false" customHeight="true" outlineLevel="0" collapsed="false">
      <c r="A830" s="37" t="s">
        <v>929</v>
      </c>
      <c r="B830" s="37" t="s">
        <v>418</v>
      </c>
      <c r="C830" s="54" t="s">
        <v>930</v>
      </c>
      <c r="D830" s="54" t="s">
        <v>5228</v>
      </c>
      <c r="E830" s="54" t="s">
        <v>5229</v>
      </c>
      <c r="F830" s="54" t="s">
        <v>5240</v>
      </c>
      <c r="G830" s="54" t="s">
        <v>5347</v>
      </c>
      <c r="H830" s="37" t="s">
        <v>5348</v>
      </c>
      <c r="I830" s="54" t="s">
        <v>5293</v>
      </c>
      <c r="J830" s="37"/>
    </row>
    <row r="831" customFormat="false" ht="15" hidden="false" customHeight="true" outlineLevel="0" collapsed="false">
      <c r="A831" s="37" t="s">
        <v>932</v>
      </c>
      <c r="B831" s="37" t="s">
        <v>418</v>
      </c>
      <c r="C831" s="54" t="s">
        <v>933</v>
      </c>
      <c r="D831" s="54" t="s">
        <v>5228</v>
      </c>
      <c r="E831" s="54" t="s">
        <v>5229</v>
      </c>
      <c r="F831" s="54" t="s">
        <v>5240</v>
      </c>
      <c r="G831" s="54" t="s">
        <v>5347</v>
      </c>
      <c r="H831" s="37" t="s">
        <v>5348</v>
      </c>
      <c r="I831" s="54" t="s">
        <v>5293</v>
      </c>
      <c r="J831" s="37"/>
    </row>
    <row r="832" customFormat="false" ht="15" hidden="false" customHeight="true" outlineLevel="0" collapsed="false">
      <c r="A832" s="37" t="s">
        <v>937</v>
      </c>
      <c r="B832" s="37" t="s">
        <v>418</v>
      </c>
      <c r="C832" s="54" t="s">
        <v>938</v>
      </c>
      <c r="D832" s="54" t="s">
        <v>5228</v>
      </c>
      <c r="E832" s="54" t="s">
        <v>5229</v>
      </c>
      <c r="F832" s="54" t="s">
        <v>5240</v>
      </c>
      <c r="G832" s="54" t="s">
        <v>5347</v>
      </c>
      <c r="H832" s="37" t="s">
        <v>5348</v>
      </c>
      <c r="I832" s="54" t="s">
        <v>5293</v>
      </c>
      <c r="J832" s="37"/>
    </row>
    <row r="833" customFormat="false" ht="15" hidden="false" customHeight="true" outlineLevel="0" collapsed="false">
      <c r="A833" s="37" t="s">
        <v>941</v>
      </c>
      <c r="B833" s="37" t="s">
        <v>418</v>
      </c>
      <c r="C833" s="54" t="s">
        <v>942</v>
      </c>
      <c r="D833" s="54" t="s">
        <v>5228</v>
      </c>
      <c r="E833" s="54" t="s">
        <v>5229</v>
      </c>
      <c r="F833" s="54" t="s">
        <v>5240</v>
      </c>
      <c r="G833" s="54" t="s">
        <v>5347</v>
      </c>
      <c r="H833" s="37" t="s">
        <v>5348</v>
      </c>
      <c r="I833" s="54" t="s">
        <v>5293</v>
      </c>
      <c r="J833" s="37"/>
    </row>
    <row r="834" customFormat="false" ht="15" hidden="false" customHeight="true" outlineLevel="0" collapsed="false">
      <c r="A834" s="37" t="s">
        <v>945</v>
      </c>
      <c r="B834" s="37" t="s">
        <v>418</v>
      </c>
      <c r="C834" s="54" t="s">
        <v>946</v>
      </c>
      <c r="D834" s="54" t="s">
        <v>5228</v>
      </c>
      <c r="E834" s="54" t="s">
        <v>5229</v>
      </c>
      <c r="F834" s="54" t="s">
        <v>5240</v>
      </c>
      <c r="G834" s="54" t="s">
        <v>5347</v>
      </c>
      <c r="H834" s="37" t="s">
        <v>5348</v>
      </c>
      <c r="I834" s="54" t="s">
        <v>5293</v>
      </c>
      <c r="J834" s="37"/>
    </row>
    <row r="835" customFormat="false" ht="15" hidden="false" customHeight="true" outlineLevel="0" collapsed="false">
      <c r="A835" s="37" t="s">
        <v>949</v>
      </c>
      <c r="B835" s="37" t="s">
        <v>418</v>
      </c>
      <c r="C835" s="54" t="s">
        <v>950</v>
      </c>
      <c r="D835" s="54" t="s">
        <v>5228</v>
      </c>
      <c r="E835" s="54" t="s">
        <v>5229</v>
      </c>
      <c r="F835" s="54" t="s">
        <v>5240</v>
      </c>
      <c r="G835" s="54" t="s">
        <v>5347</v>
      </c>
      <c r="H835" s="37" t="s">
        <v>5348</v>
      </c>
      <c r="I835" s="54" t="s">
        <v>5293</v>
      </c>
      <c r="J835" s="37"/>
    </row>
    <row r="836" customFormat="false" ht="15" hidden="false" customHeight="true" outlineLevel="0" collapsed="false">
      <c r="A836" s="37" t="s">
        <v>953</v>
      </c>
      <c r="B836" s="37" t="s">
        <v>418</v>
      </c>
      <c r="C836" s="54" t="s">
        <v>954</v>
      </c>
      <c r="D836" s="54" t="s">
        <v>5228</v>
      </c>
      <c r="E836" s="54" t="s">
        <v>5229</v>
      </c>
      <c r="F836" s="54" t="s">
        <v>5240</v>
      </c>
      <c r="G836" s="54" t="s">
        <v>5347</v>
      </c>
      <c r="H836" s="37" t="s">
        <v>5348</v>
      </c>
      <c r="I836" s="54" t="s">
        <v>5293</v>
      </c>
      <c r="J836" s="37"/>
    </row>
    <row r="837" customFormat="false" ht="15" hidden="false" customHeight="true" outlineLevel="0" collapsed="false">
      <c r="A837" s="37" t="s">
        <v>957</v>
      </c>
      <c r="B837" s="37" t="s">
        <v>418</v>
      </c>
      <c r="C837" s="54" t="s">
        <v>958</v>
      </c>
      <c r="D837" s="54" t="s">
        <v>5228</v>
      </c>
      <c r="E837" s="54" t="s">
        <v>5229</v>
      </c>
      <c r="F837" s="54" t="s">
        <v>5240</v>
      </c>
      <c r="G837" s="54" t="s">
        <v>5347</v>
      </c>
      <c r="H837" s="37" t="s">
        <v>5348</v>
      </c>
      <c r="I837" s="54" t="s">
        <v>5293</v>
      </c>
      <c r="J837" s="37"/>
    </row>
    <row r="838" customFormat="false" ht="15" hidden="false" customHeight="true" outlineLevel="0" collapsed="false">
      <c r="A838" s="37" t="s">
        <v>962</v>
      </c>
      <c r="B838" s="37" t="s">
        <v>418</v>
      </c>
      <c r="C838" s="54" t="s">
        <v>963</v>
      </c>
      <c r="D838" s="54" t="s">
        <v>5228</v>
      </c>
      <c r="E838" s="54" t="s">
        <v>5229</v>
      </c>
      <c r="F838" s="54" t="s">
        <v>5240</v>
      </c>
      <c r="G838" s="54" t="s">
        <v>5347</v>
      </c>
      <c r="H838" s="37" t="s">
        <v>5348</v>
      </c>
      <c r="I838" s="54" t="s">
        <v>5293</v>
      </c>
      <c r="J838" s="37"/>
    </row>
    <row r="839" customFormat="false" ht="15" hidden="false" customHeight="true" outlineLevel="0" collapsed="false">
      <c r="A839" s="37" t="s">
        <v>966</v>
      </c>
      <c r="B839" s="37" t="s">
        <v>418</v>
      </c>
      <c r="C839" s="54" t="s">
        <v>967</v>
      </c>
      <c r="D839" s="54" t="s">
        <v>5248</v>
      </c>
      <c r="E839" s="54" t="s">
        <v>5249</v>
      </c>
      <c r="F839" s="54" t="s">
        <v>4738</v>
      </c>
      <c r="G839" s="54" t="s">
        <v>5347</v>
      </c>
      <c r="H839" s="37" t="s">
        <v>5348</v>
      </c>
      <c r="I839" s="54" t="s">
        <v>5293</v>
      </c>
      <c r="J839" s="37"/>
    </row>
    <row r="840" customFormat="false" ht="15" hidden="false" customHeight="true" outlineLevel="0" collapsed="false">
      <c r="A840" s="37" t="s">
        <v>976</v>
      </c>
      <c r="B840" s="37" t="s">
        <v>373</v>
      </c>
      <c r="C840" s="54" t="s">
        <v>977</v>
      </c>
      <c r="D840" s="54" t="s">
        <v>5299</v>
      </c>
      <c r="E840" s="54" t="s">
        <v>5300</v>
      </c>
      <c r="F840" s="54" t="s">
        <v>5240</v>
      </c>
      <c r="G840" s="54" t="s">
        <v>5349</v>
      </c>
      <c r="H840" s="37" t="s">
        <v>5292</v>
      </c>
      <c r="I840" s="54" t="s">
        <v>5350</v>
      </c>
      <c r="J840" s="54" t="s">
        <v>5351</v>
      </c>
    </row>
    <row r="841" customFormat="false" ht="15" hidden="false" customHeight="true" outlineLevel="0" collapsed="false">
      <c r="A841" s="37" t="s">
        <v>980</v>
      </c>
      <c r="B841" s="37" t="s">
        <v>373</v>
      </c>
      <c r="C841" s="54" t="s">
        <v>981</v>
      </c>
      <c r="D841" s="54" t="s">
        <v>5299</v>
      </c>
      <c r="E841" s="54" t="s">
        <v>5300</v>
      </c>
      <c r="F841" s="54" t="s">
        <v>5240</v>
      </c>
      <c r="G841" s="54" t="s">
        <v>5349</v>
      </c>
      <c r="H841" s="37" t="s">
        <v>5292</v>
      </c>
      <c r="I841" s="54" t="s">
        <v>5350</v>
      </c>
      <c r="J841" s="54" t="s">
        <v>5351</v>
      </c>
    </row>
    <row r="842" customFormat="false" ht="15" hidden="false" customHeight="true" outlineLevel="0" collapsed="false">
      <c r="A842" s="37" t="s">
        <v>983</v>
      </c>
      <c r="B842" s="37" t="s">
        <v>373</v>
      </c>
      <c r="C842" s="54" t="s">
        <v>984</v>
      </c>
      <c r="D842" s="54" t="s">
        <v>5299</v>
      </c>
      <c r="E842" s="54" t="s">
        <v>5300</v>
      </c>
      <c r="F842" s="54" t="s">
        <v>5240</v>
      </c>
      <c r="G842" s="54" t="s">
        <v>5349</v>
      </c>
      <c r="H842" s="37" t="s">
        <v>5292</v>
      </c>
      <c r="I842" s="54" t="s">
        <v>5350</v>
      </c>
      <c r="J842" s="54" t="s">
        <v>5351</v>
      </c>
    </row>
    <row r="843" customFormat="false" ht="15" hidden="false" customHeight="true" outlineLevel="0" collapsed="false">
      <c r="A843" s="37" t="s">
        <v>986</v>
      </c>
      <c r="B843" s="37" t="s">
        <v>373</v>
      </c>
      <c r="C843" s="54" t="s">
        <v>987</v>
      </c>
      <c r="D843" s="54" t="s">
        <v>5299</v>
      </c>
      <c r="E843" s="54" t="s">
        <v>5300</v>
      </c>
      <c r="F843" s="54" t="s">
        <v>5240</v>
      </c>
      <c r="G843" s="54" t="s">
        <v>5349</v>
      </c>
      <c r="H843" s="37" t="s">
        <v>5292</v>
      </c>
      <c r="I843" s="54" t="s">
        <v>5350</v>
      </c>
      <c r="J843" s="54" t="s">
        <v>5351</v>
      </c>
    </row>
    <row r="844" customFormat="false" ht="15" hidden="false" customHeight="true" outlineLevel="0" collapsed="false">
      <c r="A844" s="37" t="s">
        <v>989</v>
      </c>
      <c r="B844" s="37" t="s">
        <v>373</v>
      </c>
      <c r="C844" s="54" t="s">
        <v>990</v>
      </c>
      <c r="D844" s="54" t="s">
        <v>5299</v>
      </c>
      <c r="E844" s="54" t="s">
        <v>5300</v>
      </c>
      <c r="F844" s="54" t="s">
        <v>5240</v>
      </c>
      <c r="G844" s="54" t="s">
        <v>5349</v>
      </c>
      <c r="H844" s="37" t="s">
        <v>5292</v>
      </c>
      <c r="I844" s="54" t="s">
        <v>5350</v>
      </c>
      <c r="J844" s="54" t="s">
        <v>5351</v>
      </c>
    </row>
    <row r="845" customFormat="false" ht="15" hidden="false" customHeight="true" outlineLevel="0" collapsed="false">
      <c r="A845" s="37" t="s">
        <v>992</v>
      </c>
      <c r="B845" s="37" t="s">
        <v>373</v>
      </c>
      <c r="C845" s="54" t="s">
        <v>993</v>
      </c>
      <c r="D845" s="54" t="s">
        <v>5232</v>
      </c>
      <c r="E845" s="54" t="s">
        <v>5233</v>
      </c>
      <c r="F845" s="54" t="s">
        <v>5240</v>
      </c>
      <c r="G845" s="54" t="s">
        <v>5349</v>
      </c>
      <c r="H845" s="37" t="s">
        <v>5292</v>
      </c>
      <c r="I845" s="54" t="s">
        <v>5350</v>
      </c>
      <c r="J845" s="54" t="s">
        <v>5351</v>
      </c>
    </row>
    <row r="846" customFormat="false" ht="15" hidden="false" customHeight="true" outlineLevel="0" collapsed="false">
      <c r="A846" s="37" t="s">
        <v>995</v>
      </c>
      <c r="B846" s="37" t="s">
        <v>373</v>
      </c>
      <c r="C846" s="54" t="s">
        <v>996</v>
      </c>
      <c r="D846" s="54" t="s">
        <v>5352</v>
      </c>
      <c r="E846" s="54" t="s">
        <v>5233</v>
      </c>
      <c r="F846" s="54" t="s">
        <v>5240</v>
      </c>
      <c r="G846" s="54" t="s">
        <v>5349</v>
      </c>
      <c r="H846" s="37" t="s">
        <v>5292</v>
      </c>
      <c r="I846" s="54" t="s">
        <v>5350</v>
      </c>
      <c r="J846" s="54" t="s">
        <v>5351</v>
      </c>
    </row>
    <row r="847" customFormat="false" ht="15" hidden="false" customHeight="true" outlineLevel="0" collapsed="false">
      <c r="A847" s="37" t="s">
        <v>998</v>
      </c>
      <c r="B847" s="37" t="s">
        <v>373</v>
      </c>
      <c r="C847" s="54" t="s">
        <v>999</v>
      </c>
      <c r="D847" s="54" t="s">
        <v>5352</v>
      </c>
      <c r="E847" s="54" t="s">
        <v>5233</v>
      </c>
      <c r="F847" s="54" t="s">
        <v>5240</v>
      </c>
      <c r="G847" s="54" t="s">
        <v>5349</v>
      </c>
      <c r="H847" s="37" t="s">
        <v>5292</v>
      </c>
      <c r="I847" s="54" t="s">
        <v>5350</v>
      </c>
      <c r="J847" s="54" t="s">
        <v>5351</v>
      </c>
    </row>
    <row r="848" customFormat="false" ht="15" hidden="false" customHeight="true" outlineLevel="0" collapsed="false">
      <c r="A848" s="37" t="s">
        <v>1001</v>
      </c>
      <c r="B848" s="37" t="s">
        <v>373</v>
      </c>
      <c r="C848" s="54" t="s">
        <v>1002</v>
      </c>
      <c r="D848" s="54" t="s">
        <v>5353</v>
      </c>
      <c r="E848" s="54" t="s">
        <v>5215</v>
      </c>
      <c r="F848" s="54" t="s">
        <v>5216</v>
      </c>
      <c r="G848" s="54" t="s">
        <v>5349</v>
      </c>
      <c r="H848" s="37" t="s">
        <v>5292</v>
      </c>
      <c r="I848" s="54" t="s">
        <v>5350</v>
      </c>
      <c r="J848" s="54" t="s">
        <v>5351</v>
      </c>
    </row>
    <row r="849" customFormat="false" ht="15" hidden="false" customHeight="true" outlineLevel="0" collapsed="false">
      <c r="A849" s="37" t="s">
        <v>1004</v>
      </c>
      <c r="B849" s="37" t="s">
        <v>373</v>
      </c>
      <c r="C849" s="54" t="s">
        <v>1005</v>
      </c>
      <c r="D849" s="54" t="s">
        <v>5299</v>
      </c>
      <c r="E849" s="54" t="s">
        <v>5300</v>
      </c>
      <c r="F849" s="54" t="s">
        <v>5240</v>
      </c>
      <c r="G849" s="54" t="s">
        <v>5349</v>
      </c>
      <c r="H849" s="37" t="s">
        <v>5292</v>
      </c>
      <c r="I849" s="54" t="s">
        <v>5350</v>
      </c>
      <c r="J849" s="54" t="s">
        <v>5351</v>
      </c>
    </row>
    <row r="850" customFormat="false" ht="15" hidden="false" customHeight="true" outlineLevel="0" collapsed="false">
      <c r="A850" s="37" t="s">
        <v>1007</v>
      </c>
      <c r="B850" s="37" t="s">
        <v>373</v>
      </c>
      <c r="C850" s="54" t="s">
        <v>1008</v>
      </c>
      <c r="D850" s="54" t="s">
        <v>5232</v>
      </c>
      <c r="E850" s="54" t="s">
        <v>5233</v>
      </c>
      <c r="F850" s="54" t="s">
        <v>5240</v>
      </c>
      <c r="G850" s="54" t="s">
        <v>5349</v>
      </c>
      <c r="H850" s="37" t="s">
        <v>5292</v>
      </c>
      <c r="I850" s="54" t="s">
        <v>5350</v>
      </c>
      <c r="J850" s="54" t="s">
        <v>5351</v>
      </c>
    </row>
    <row r="851" customFormat="false" ht="15" hidden="false" customHeight="true" outlineLevel="0" collapsed="false">
      <c r="A851" s="37" t="s">
        <v>1010</v>
      </c>
      <c r="B851" s="37" t="s">
        <v>373</v>
      </c>
      <c r="C851" s="54" t="s">
        <v>1011</v>
      </c>
      <c r="D851" s="54" t="s">
        <v>5354</v>
      </c>
      <c r="E851" s="54" t="s">
        <v>5215</v>
      </c>
      <c r="F851" s="54" t="s">
        <v>5216</v>
      </c>
      <c r="G851" s="54" t="s">
        <v>5349</v>
      </c>
      <c r="H851" s="37" t="s">
        <v>5292</v>
      </c>
      <c r="I851" s="54" t="s">
        <v>5350</v>
      </c>
      <c r="J851" s="54" t="s">
        <v>5351</v>
      </c>
    </row>
    <row r="852" customFormat="false" ht="15" hidden="false" customHeight="true" outlineLevel="0" collapsed="false">
      <c r="A852" s="37" t="s">
        <v>1013</v>
      </c>
      <c r="B852" s="37" t="s">
        <v>373</v>
      </c>
      <c r="C852" s="54" t="s">
        <v>1014</v>
      </c>
      <c r="D852" s="54" t="s">
        <v>5352</v>
      </c>
      <c r="E852" s="54" t="s">
        <v>5233</v>
      </c>
      <c r="F852" s="54" t="s">
        <v>5240</v>
      </c>
      <c r="G852" s="54" t="s">
        <v>5349</v>
      </c>
      <c r="H852" s="37" t="s">
        <v>5292</v>
      </c>
      <c r="I852" s="54" t="s">
        <v>5350</v>
      </c>
      <c r="J852" s="54" t="s">
        <v>5351</v>
      </c>
    </row>
    <row r="853" customFormat="false" ht="15" hidden="false" customHeight="true" outlineLevel="0" collapsed="false">
      <c r="A853" s="37" t="s">
        <v>1015</v>
      </c>
      <c r="B853" s="37" t="s">
        <v>373</v>
      </c>
      <c r="C853" s="54" t="s">
        <v>1016</v>
      </c>
      <c r="D853" s="54" t="s">
        <v>5355</v>
      </c>
      <c r="E853" s="54" t="s">
        <v>5215</v>
      </c>
      <c r="F853" s="54" t="s">
        <v>5216</v>
      </c>
      <c r="G853" s="54" t="s">
        <v>5349</v>
      </c>
      <c r="H853" s="37" t="s">
        <v>5292</v>
      </c>
      <c r="I853" s="54" t="s">
        <v>5350</v>
      </c>
      <c r="J853" s="54" t="s">
        <v>5351</v>
      </c>
    </row>
    <row r="854" customFormat="false" ht="15" hidden="false" customHeight="true" outlineLevel="0" collapsed="false">
      <c r="A854" s="37" t="s">
        <v>1018</v>
      </c>
      <c r="B854" s="37" t="s">
        <v>373</v>
      </c>
      <c r="C854" s="54" t="s">
        <v>1019</v>
      </c>
      <c r="D854" s="54" t="s">
        <v>5352</v>
      </c>
      <c r="E854" s="54" t="s">
        <v>5233</v>
      </c>
      <c r="F854" s="54" t="s">
        <v>5240</v>
      </c>
      <c r="G854" s="54" t="s">
        <v>5349</v>
      </c>
      <c r="H854" s="37" t="s">
        <v>5292</v>
      </c>
      <c r="I854" s="54" t="s">
        <v>5350</v>
      </c>
      <c r="J854" s="54" t="s">
        <v>5351</v>
      </c>
    </row>
    <row r="855" customFormat="false" ht="15" hidden="false" customHeight="true" outlineLevel="0" collapsed="false">
      <c r="A855" s="37" t="s">
        <v>1020</v>
      </c>
      <c r="B855" s="37" t="s">
        <v>373</v>
      </c>
      <c r="C855" s="54" t="s">
        <v>1021</v>
      </c>
      <c r="D855" s="54" t="s">
        <v>5232</v>
      </c>
      <c r="E855" s="54" t="s">
        <v>5233</v>
      </c>
      <c r="F855" s="54" t="s">
        <v>5240</v>
      </c>
      <c r="G855" s="54" t="s">
        <v>5349</v>
      </c>
      <c r="H855" s="37" t="s">
        <v>5292</v>
      </c>
      <c r="I855" s="54" t="s">
        <v>5350</v>
      </c>
      <c r="J855" s="54" t="s">
        <v>5351</v>
      </c>
    </row>
    <row r="856" customFormat="false" ht="15" hidden="false" customHeight="true" outlineLevel="0" collapsed="false">
      <c r="A856" s="37" t="s">
        <v>1022</v>
      </c>
      <c r="B856" s="37" t="s">
        <v>373</v>
      </c>
      <c r="C856" s="54" t="s">
        <v>1023</v>
      </c>
      <c r="D856" s="37" t="s">
        <v>5336</v>
      </c>
      <c r="E856" s="54" t="s">
        <v>5249</v>
      </c>
      <c r="F856" s="54" t="s">
        <v>4738</v>
      </c>
      <c r="G856" s="54" t="s">
        <v>5349</v>
      </c>
      <c r="H856" s="37" t="s">
        <v>5292</v>
      </c>
      <c r="I856" s="54" t="s">
        <v>5350</v>
      </c>
      <c r="J856" s="54" t="s">
        <v>5351</v>
      </c>
    </row>
    <row r="857" customFormat="false" ht="15" hidden="false" customHeight="true" outlineLevel="0" collapsed="false">
      <c r="A857" s="37" t="s">
        <v>1025</v>
      </c>
      <c r="B857" s="37" t="s">
        <v>373</v>
      </c>
      <c r="C857" s="54" t="s">
        <v>1026</v>
      </c>
      <c r="D857" s="54" t="s">
        <v>5356</v>
      </c>
      <c r="E857" s="54" t="s">
        <v>5215</v>
      </c>
      <c r="F857" s="54" t="s">
        <v>5216</v>
      </c>
      <c r="G857" s="54" t="s">
        <v>5349</v>
      </c>
      <c r="H857" s="37" t="s">
        <v>5292</v>
      </c>
      <c r="I857" s="54" t="s">
        <v>5350</v>
      </c>
      <c r="J857" s="54" t="s">
        <v>5351</v>
      </c>
    </row>
    <row r="858" customFormat="false" ht="15" hidden="false" customHeight="true" outlineLevel="0" collapsed="false">
      <c r="A858" s="37" t="s">
        <v>1028</v>
      </c>
      <c r="B858" s="37" t="s">
        <v>373</v>
      </c>
      <c r="C858" s="54" t="s">
        <v>1029</v>
      </c>
      <c r="D858" s="54" t="s">
        <v>5232</v>
      </c>
      <c r="E858" s="54" t="s">
        <v>5233</v>
      </c>
      <c r="F858" s="54" t="s">
        <v>5240</v>
      </c>
      <c r="G858" s="54" t="s">
        <v>5349</v>
      </c>
      <c r="H858" s="37" t="s">
        <v>5292</v>
      </c>
      <c r="I858" s="54" t="s">
        <v>5350</v>
      </c>
      <c r="J858" s="54" t="s">
        <v>5351</v>
      </c>
    </row>
    <row r="859" customFormat="false" ht="15" hidden="false" customHeight="true" outlineLevel="0" collapsed="false">
      <c r="A859" s="37" t="s">
        <v>1030</v>
      </c>
      <c r="B859" s="37" t="s">
        <v>373</v>
      </c>
      <c r="C859" s="54" t="s">
        <v>1031</v>
      </c>
      <c r="D859" s="54" t="s">
        <v>5299</v>
      </c>
      <c r="E859" s="54" t="s">
        <v>5300</v>
      </c>
      <c r="F859" s="54" t="s">
        <v>5240</v>
      </c>
      <c r="G859" s="54" t="s">
        <v>5349</v>
      </c>
      <c r="H859" s="37" t="s">
        <v>5292</v>
      </c>
      <c r="I859" s="54" t="s">
        <v>5350</v>
      </c>
      <c r="J859" s="54" t="s">
        <v>5351</v>
      </c>
    </row>
    <row r="860" customFormat="false" ht="15" hidden="false" customHeight="true" outlineLevel="0" collapsed="false">
      <c r="A860" s="37" t="s">
        <v>1033</v>
      </c>
      <c r="B860" s="37" t="s">
        <v>373</v>
      </c>
      <c r="C860" s="54" t="s">
        <v>1034</v>
      </c>
      <c r="D860" s="54" t="s">
        <v>5232</v>
      </c>
      <c r="E860" s="54" t="s">
        <v>5233</v>
      </c>
      <c r="F860" s="54" t="s">
        <v>5240</v>
      </c>
      <c r="G860" s="54" t="s">
        <v>5349</v>
      </c>
      <c r="H860" s="37" t="s">
        <v>5292</v>
      </c>
      <c r="I860" s="54" t="s">
        <v>5350</v>
      </c>
      <c r="J860" s="54" t="s">
        <v>5351</v>
      </c>
    </row>
    <row r="861" customFormat="false" ht="15" hidden="false" customHeight="true" outlineLevel="0" collapsed="false">
      <c r="A861" s="37" t="s">
        <v>1035</v>
      </c>
      <c r="B861" s="37" t="s">
        <v>373</v>
      </c>
      <c r="C861" s="54" t="s">
        <v>1036</v>
      </c>
      <c r="D861" s="54" t="s">
        <v>5357</v>
      </c>
      <c r="E861" s="54" t="s">
        <v>5215</v>
      </c>
      <c r="F861" s="54" t="s">
        <v>5216</v>
      </c>
      <c r="G861" s="54" t="s">
        <v>5349</v>
      </c>
      <c r="H861" s="37" t="s">
        <v>5292</v>
      </c>
      <c r="I861" s="54" t="s">
        <v>5350</v>
      </c>
      <c r="J861" s="54" t="s">
        <v>5351</v>
      </c>
    </row>
    <row r="862" customFormat="false" ht="15" hidden="false" customHeight="true" outlineLevel="0" collapsed="false">
      <c r="A862" s="37" t="s">
        <v>1037</v>
      </c>
      <c r="B862" s="37" t="s">
        <v>373</v>
      </c>
      <c r="C862" s="54" t="s">
        <v>1038</v>
      </c>
      <c r="D862" s="54" t="s">
        <v>5358</v>
      </c>
      <c r="E862" s="54" t="s">
        <v>5215</v>
      </c>
      <c r="F862" s="54" t="s">
        <v>5216</v>
      </c>
      <c r="G862" s="54" t="s">
        <v>5349</v>
      </c>
      <c r="H862" s="37" t="s">
        <v>5292</v>
      </c>
      <c r="I862" s="54" t="s">
        <v>5350</v>
      </c>
      <c r="J862" s="54" t="s">
        <v>5351</v>
      </c>
    </row>
    <row r="863" customFormat="false" ht="15" hidden="false" customHeight="true" outlineLevel="0" collapsed="false">
      <c r="A863" s="37" t="s">
        <v>1039</v>
      </c>
      <c r="B863" s="37" t="s">
        <v>373</v>
      </c>
      <c r="C863" s="54" t="s">
        <v>1040</v>
      </c>
      <c r="D863" s="54" t="s">
        <v>5359</v>
      </c>
      <c r="E863" s="54" t="s">
        <v>5215</v>
      </c>
      <c r="F863" s="54" t="s">
        <v>5216</v>
      </c>
      <c r="G863" s="54" t="s">
        <v>5349</v>
      </c>
      <c r="H863" s="37" t="s">
        <v>5292</v>
      </c>
      <c r="I863" s="54" t="s">
        <v>5350</v>
      </c>
      <c r="J863" s="54" t="s">
        <v>5351</v>
      </c>
    </row>
    <row r="864" customFormat="false" ht="15" hidden="false" customHeight="true" outlineLevel="0" collapsed="false">
      <c r="A864" s="37" t="s">
        <v>1041</v>
      </c>
      <c r="B864" s="37" t="s">
        <v>373</v>
      </c>
      <c r="C864" s="54" t="s">
        <v>1042</v>
      </c>
      <c r="D864" s="54" t="s">
        <v>5299</v>
      </c>
      <c r="E864" s="54" t="s">
        <v>5300</v>
      </c>
      <c r="F864" s="54" t="s">
        <v>5240</v>
      </c>
      <c r="G864" s="54" t="s">
        <v>5349</v>
      </c>
      <c r="H864" s="37" t="s">
        <v>5292</v>
      </c>
      <c r="I864" s="54" t="s">
        <v>5350</v>
      </c>
      <c r="J864" s="54" t="s">
        <v>5351</v>
      </c>
    </row>
    <row r="865" customFormat="false" ht="15" hidden="false" customHeight="true" outlineLevel="0" collapsed="false">
      <c r="A865" s="37" t="s">
        <v>1044</v>
      </c>
      <c r="B865" s="37" t="s">
        <v>373</v>
      </c>
      <c r="C865" s="54" t="s">
        <v>1045</v>
      </c>
      <c r="D865" s="54" t="s">
        <v>5352</v>
      </c>
      <c r="E865" s="54" t="s">
        <v>5233</v>
      </c>
      <c r="F865" s="54" t="s">
        <v>5240</v>
      </c>
      <c r="G865" s="54" t="s">
        <v>5349</v>
      </c>
      <c r="H865" s="37" t="s">
        <v>5292</v>
      </c>
      <c r="I865" s="54" t="s">
        <v>5350</v>
      </c>
      <c r="J865" s="54" t="s">
        <v>5351</v>
      </c>
    </row>
    <row r="866" customFormat="false" ht="15" hidden="false" customHeight="true" outlineLevel="0" collapsed="false">
      <c r="A866" s="37" t="s">
        <v>1047</v>
      </c>
      <c r="B866" s="37" t="s">
        <v>373</v>
      </c>
      <c r="C866" s="54" t="s">
        <v>1048</v>
      </c>
      <c r="D866" s="54" t="s">
        <v>5232</v>
      </c>
      <c r="E866" s="54" t="s">
        <v>5233</v>
      </c>
      <c r="F866" s="54" t="s">
        <v>5240</v>
      </c>
      <c r="G866" s="54" t="s">
        <v>5349</v>
      </c>
      <c r="H866" s="37" t="s">
        <v>5292</v>
      </c>
      <c r="I866" s="54" t="s">
        <v>5350</v>
      </c>
      <c r="J866" s="54" t="s">
        <v>5351</v>
      </c>
    </row>
    <row r="867" customFormat="false" ht="15" hidden="false" customHeight="true" outlineLevel="0" collapsed="false">
      <c r="A867" s="37" t="s">
        <v>1049</v>
      </c>
      <c r="B867" s="37" t="s">
        <v>373</v>
      </c>
      <c r="C867" s="54" t="s">
        <v>1050</v>
      </c>
      <c r="D867" s="54" t="s">
        <v>5232</v>
      </c>
      <c r="E867" s="54" t="s">
        <v>5233</v>
      </c>
      <c r="F867" s="54" t="s">
        <v>5240</v>
      </c>
      <c r="G867" s="54" t="s">
        <v>5349</v>
      </c>
      <c r="H867" s="37" t="s">
        <v>5292</v>
      </c>
      <c r="I867" s="54" t="s">
        <v>5350</v>
      </c>
      <c r="J867" s="54" t="s">
        <v>5351</v>
      </c>
    </row>
    <row r="868" customFormat="false" ht="15" hidden="false" customHeight="true" outlineLevel="0" collapsed="false">
      <c r="A868" s="37" t="s">
        <v>1051</v>
      </c>
      <c r="B868" s="37" t="s">
        <v>373</v>
      </c>
      <c r="C868" s="54" t="s">
        <v>1052</v>
      </c>
      <c r="D868" s="54" t="s">
        <v>5355</v>
      </c>
      <c r="E868" s="54" t="s">
        <v>5215</v>
      </c>
      <c r="F868" s="54" t="s">
        <v>5216</v>
      </c>
      <c r="G868" s="54" t="s">
        <v>5349</v>
      </c>
      <c r="H868" s="37" t="s">
        <v>5292</v>
      </c>
      <c r="I868" s="54" t="s">
        <v>5350</v>
      </c>
      <c r="J868" s="54" t="s">
        <v>5351</v>
      </c>
    </row>
    <row r="869" customFormat="false" ht="15" hidden="false" customHeight="true" outlineLevel="0" collapsed="false">
      <c r="A869" s="37" t="s">
        <v>1054</v>
      </c>
      <c r="B869" s="37" t="s">
        <v>373</v>
      </c>
      <c r="C869" s="54" t="s">
        <v>1055</v>
      </c>
      <c r="D869" s="54" t="s">
        <v>5232</v>
      </c>
      <c r="E869" s="54" t="s">
        <v>5233</v>
      </c>
      <c r="F869" s="54" t="s">
        <v>5240</v>
      </c>
      <c r="G869" s="54" t="s">
        <v>5349</v>
      </c>
      <c r="H869" s="37" t="s">
        <v>5292</v>
      </c>
      <c r="I869" s="54" t="s">
        <v>5350</v>
      </c>
      <c r="J869" s="54" t="s">
        <v>5351</v>
      </c>
    </row>
    <row r="870" customFormat="false" ht="15" hidden="false" customHeight="true" outlineLevel="0" collapsed="false">
      <c r="A870" s="37" t="s">
        <v>1056</v>
      </c>
      <c r="B870" s="37" t="s">
        <v>373</v>
      </c>
      <c r="C870" s="54" t="s">
        <v>1057</v>
      </c>
      <c r="D870" s="54" t="s">
        <v>5232</v>
      </c>
      <c r="E870" s="54" t="s">
        <v>5233</v>
      </c>
      <c r="F870" s="54" t="s">
        <v>5240</v>
      </c>
      <c r="G870" s="54" t="s">
        <v>5349</v>
      </c>
      <c r="H870" s="37" t="s">
        <v>5292</v>
      </c>
      <c r="I870" s="54" t="s">
        <v>5350</v>
      </c>
      <c r="J870" s="54" t="s">
        <v>5351</v>
      </c>
    </row>
    <row r="871" customFormat="false" ht="15" hidden="false" customHeight="true" outlineLevel="0" collapsed="false">
      <c r="A871" s="37" t="s">
        <v>1058</v>
      </c>
      <c r="B871" s="37" t="s">
        <v>373</v>
      </c>
      <c r="C871" s="54" t="s">
        <v>1059</v>
      </c>
      <c r="D871" s="54" t="s">
        <v>5299</v>
      </c>
      <c r="E871" s="54" t="s">
        <v>5300</v>
      </c>
      <c r="F871" s="54" t="s">
        <v>5240</v>
      </c>
      <c r="G871" s="54" t="s">
        <v>5349</v>
      </c>
      <c r="H871" s="37" t="s">
        <v>5292</v>
      </c>
      <c r="I871" s="54" t="s">
        <v>5350</v>
      </c>
      <c r="J871" s="54" t="s">
        <v>5351</v>
      </c>
    </row>
    <row r="872" customFormat="false" ht="15" hidden="false" customHeight="true" outlineLevel="0" collapsed="false">
      <c r="A872" s="37" t="s">
        <v>1061</v>
      </c>
      <c r="B872" s="37" t="s">
        <v>373</v>
      </c>
      <c r="C872" s="54" t="s">
        <v>1062</v>
      </c>
      <c r="D872" s="54" t="s">
        <v>5360</v>
      </c>
      <c r="E872" s="54" t="s">
        <v>5315</v>
      </c>
      <c r="F872" s="54" t="s">
        <v>5216</v>
      </c>
      <c r="G872" s="54" t="s">
        <v>5349</v>
      </c>
      <c r="H872" s="37" t="s">
        <v>5292</v>
      </c>
      <c r="I872" s="54" t="s">
        <v>5350</v>
      </c>
      <c r="J872" s="54" t="s">
        <v>5361</v>
      </c>
    </row>
    <row r="873" customFormat="false" ht="15" hidden="false" customHeight="true" outlineLevel="0" collapsed="false">
      <c r="A873" s="37" t="s">
        <v>1064</v>
      </c>
      <c r="B873" s="37" t="s">
        <v>373</v>
      </c>
      <c r="C873" s="54" t="s">
        <v>1065</v>
      </c>
      <c r="D873" s="54" t="s">
        <v>5299</v>
      </c>
      <c r="E873" s="54" t="s">
        <v>5300</v>
      </c>
      <c r="F873" s="54" t="s">
        <v>5240</v>
      </c>
      <c r="G873" s="54" t="s">
        <v>5349</v>
      </c>
      <c r="H873" s="37" t="s">
        <v>5292</v>
      </c>
      <c r="I873" s="54" t="s">
        <v>5350</v>
      </c>
      <c r="J873" s="54" t="s">
        <v>5351</v>
      </c>
    </row>
    <row r="874" customFormat="false" ht="15" hidden="false" customHeight="true" outlineLevel="0" collapsed="false">
      <c r="A874" s="37" t="s">
        <v>1067</v>
      </c>
      <c r="B874" s="37" t="s">
        <v>373</v>
      </c>
      <c r="C874" s="54" t="s">
        <v>1068</v>
      </c>
      <c r="D874" s="54" t="s">
        <v>5359</v>
      </c>
      <c r="E874" s="54" t="s">
        <v>5215</v>
      </c>
      <c r="F874" s="54" t="s">
        <v>5216</v>
      </c>
      <c r="G874" s="54" t="s">
        <v>5349</v>
      </c>
      <c r="H874" s="37" t="s">
        <v>5292</v>
      </c>
      <c r="I874" s="54" t="s">
        <v>5350</v>
      </c>
      <c r="J874" s="54" t="s">
        <v>5351</v>
      </c>
    </row>
    <row r="875" customFormat="false" ht="15" hidden="false" customHeight="true" outlineLevel="0" collapsed="false">
      <c r="A875" s="37" t="s">
        <v>1070</v>
      </c>
      <c r="B875" s="37" t="s">
        <v>373</v>
      </c>
      <c r="C875" s="54" t="s">
        <v>1071</v>
      </c>
      <c r="D875" s="54" t="s">
        <v>5359</v>
      </c>
      <c r="E875" s="54" t="s">
        <v>5215</v>
      </c>
      <c r="F875" s="54" t="s">
        <v>5216</v>
      </c>
      <c r="G875" s="54" t="s">
        <v>5349</v>
      </c>
      <c r="H875" s="37" t="s">
        <v>5292</v>
      </c>
      <c r="I875" s="54" t="s">
        <v>5350</v>
      </c>
      <c r="J875" s="54" t="s">
        <v>5351</v>
      </c>
    </row>
    <row r="876" customFormat="false" ht="15" hidden="false" customHeight="true" outlineLevel="0" collapsed="false">
      <c r="A876" s="37" t="s">
        <v>1073</v>
      </c>
      <c r="B876" s="37" t="s">
        <v>373</v>
      </c>
      <c r="C876" s="54" t="s">
        <v>1074</v>
      </c>
      <c r="D876" s="54" t="s">
        <v>5359</v>
      </c>
      <c r="E876" s="54" t="s">
        <v>5215</v>
      </c>
      <c r="F876" s="54" t="s">
        <v>5216</v>
      </c>
      <c r="G876" s="54" t="s">
        <v>5349</v>
      </c>
      <c r="H876" s="37" t="s">
        <v>5292</v>
      </c>
      <c r="I876" s="54" t="s">
        <v>5350</v>
      </c>
      <c r="J876" s="54" t="s">
        <v>5351</v>
      </c>
    </row>
    <row r="877" customFormat="false" ht="15" hidden="false" customHeight="true" outlineLevel="0" collapsed="false">
      <c r="A877" s="37" t="s">
        <v>1076</v>
      </c>
      <c r="B877" s="37" t="s">
        <v>373</v>
      </c>
      <c r="C877" s="54" t="s">
        <v>1077</v>
      </c>
      <c r="D877" s="54" t="s">
        <v>5299</v>
      </c>
      <c r="E877" s="54" t="s">
        <v>5300</v>
      </c>
      <c r="F877" s="54" t="s">
        <v>5240</v>
      </c>
      <c r="G877" s="54" t="s">
        <v>5349</v>
      </c>
      <c r="H877" s="37" t="s">
        <v>5292</v>
      </c>
      <c r="I877" s="54" t="s">
        <v>5350</v>
      </c>
      <c r="J877" s="54" t="s">
        <v>5351</v>
      </c>
    </row>
    <row r="878" customFormat="false" ht="15" hidden="false" customHeight="true" outlineLevel="0" collapsed="false">
      <c r="A878" s="37" t="s">
        <v>1079</v>
      </c>
      <c r="B878" s="37" t="s">
        <v>373</v>
      </c>
      <c r="C878" s="54" t="s">
        <v>1080</v>
      </c>
      <c r="D878" s="54" t="s">
        <v>5299</v>
      </c>
      <c r="E878" s="54" t="s">
        <v>5300</v>
      </c>
      <c r="F878" s="54" t="s">
        <v>5240</v>
      </c>
      <c r="G878" s="54" t="s">
        <v>5349</v>
      </c>
      <c r="H878" s="37" t="s">
        <v>5292</v>
      </c>
      <c r="I878" s="54" t="s">
        <v>5350</v>
      </c>
      <c r="J878" s="54" t="s">
        <v>5351</v>
      </c>
    </row>
    <row r="879" customFormat="false" ht="15" hidden="false" customHeight="true" outlineLevel="0" collapsed="false">
      <c r="A879" s="37" t="s">
        <v>1082</v>
      </c>
      <c r="B879" s="37" t="s">
        <v>373</v>
      </c>
      <c r="C879" s="54" t="s">
        <v>1083</v>
      </c>
      <c r="D879" s="54" t="s">
        <v>5299</v>
      </c>
      <c r="E879" s="54" t="s">
        <v>5300</v>
      </c>
      <c r="F879" s="54" t="s">
        <v>5240</v>
      </c>
      <c r="G879" s="54" t="s">
        <v>5349</v>
      </c>
      <c r="H879" s="37" t="s">
        <v>5292</v>
      </c>
      <c r="I879" s="54" t="s">
        <v>5350</v>
      </c>
      <c r="J879" s="54" t="s">
        <v>5351</v>
      </c>
    </row>
    <row r="880" customFormat="false" ht="15" hidden="false" customHeight="true" outlineLevel="0" collapsed="false">
      <c r="A880" s="37" t="s">
        <v>1084</v>
      </c>
      <c r="B880" s="37" t="s">
        <v>373</v>
      </c>
      <c r="C880" s="54" t="s">
        <v>1085</v>
      </c>
      <c r="D880" s="54" t="s">
        <v>5232</v>
      </c>
      <c r="E880" s="54" t="s">
        <v>5233</v>
      </c>
      <c r="F880" s="54" t="s">
        <v>5240</v>
      </c>
      <c r="G880" s="54" t="s">
        <v>5349</v>
      </c>
      <c r="H880" s="37" t="s">
        <v>5292</v>
      </c>
      <c r="I880" s="54" t="s">
        <v>5350</v>
      </c>
      <c r="J880" s="54" t="s">
        <v>5351</v>
      </c>
    </row>
    <row r="881" customFormat="false" ht="15" hidden="false" customHeight="true" outlineLevel="0" collapsed="false">
      <c r="A881" s="37" t="s">
        <v>1086</v>
      </c>
      <c r="B881" s="37" t="s">
        <v>373</v>
      </c>
      <c r="C881" s="54" t="s">
        <v>1087</v>
      </c>
      <c r="D881" s="54" t="s">
        <v>5299</v>
      </c>
      <c r="E881" s="54" t="s">
        <v>5300</v>
      </c>
      <c r="F881" s="54" t="s">
        <v>5240</v>
      </c>
      <c r="G881" s="54" t="s">
        <v>5349</v>
      </c>
      <c r="H881" s="37" t="s">
        <v>5292</v>
      </c>
      <c r="I881" s="54" t="s">
        <v>5350</v>
      </c>
      <c r="J881" s="54" t="s">
        <v>5351</v>
      </c>
    </row>
    <row r="882" customFormat="false" ht="15" hidden="false" customHeight="true" outlineLevel="0" collapsed="false">
      <c r="A882" s="37" t="s">
        <v>1088</v>
      </c>
      <c r="B882" s="37" t="s">
        <v>373</v>
      </c>
      <c r="C882" s="54" t="s">
        <v>1089</v>
      </c>
      <c r="D882" s="54" t="s">
        <v>5352</v>
      </c>
      <c r="E882" s="54" t="s">
        <v>5233</v>
      </c>
      <c r="F882" s="54" t="s">
        <v>5240</v>
      </c>
      <c r="G882" s="54" t="s">
        <v>5349</v>
      </c>
      <c r="H882" s="37" t="s">
        <v>5292</v>
      </c>
      <c r="I882" s="54" t="s">
        <v>5350</v>
      </c>
      <c r="J882" s="54" t="s">
        <v>5351</v>
      </c>
    </row>
    <row r="883" customFormat="false" ht="15" hidden="false" customHeight="true" outlineLevel="0" collapsed="false">
      <c r="A883" s="37" t="s">
        <v>1090</v>
      </c>
      <c r="B883" s="37" t="s">
        <v>373</v>
      </c>
      <c r="C883" s="54" t="s">
        <v>1091</v>
      </c>
      <c r="D883" s="54" t="s">
        <v>5362</v>
      </c>
      <c r="E883" s="54" t="s">
        <v>5215</v>
      </c>
      <c r="F883" s="54" t="s">
        <v>5216</v>
      </c>
      <c r="G883" s="54" t="s">
        <v>5349</v>
      </c>
      <c r="H883" s="37" t="s">
        <v>5292</v>
      </c>
      <c r="I883" s="54" t="s">
        <v>5350</v>
      </c>
      <c r="J883" s="54" t="s">
        <v>5351</v>
      </c>
    </row>
    <row r="884" customFormat="false" ht="15" hidden="false" customHeight="true" outlineLevel="0" collapsed="false">
      <c r="A884" s="37" t="s">
        <v>1092</v>
      </c>
      <c r="B884" s="37" t="s">
        <v>373</v>
      </c>
      <c r="C884" s="54" t="s">
        <v>1093</v>
      </c>
      <c r="D884" s="54" t="s">
        <v>5359</v>
      </c>
      <c r="E884" s="54" t="s">
        <v>5215</v>
      </c>
      <c r="F884" s="54" t="s">
        <v>5216</v>
      </c>
      <c r="G884" s="54" t="s">
        <v>5349</v>
      </c>
      <c r="H884" s="37" t="s">
        <v>5292</v>
      </c>
      <c r="I884" s="54" t="s">
        <v>5350</v>
      </c>
      <c r="J884" s="54" t="s">
        <v>5351</v>
      </c>
    </row>
    <row r="885" customFormat="false" ht="15" hidden="false" customHeight="true" outlineLevel="0" collapsed="false">
      <c r="A885" s="37" t="s">
        <v>1096</v>
      </c>
      <c r="B885" s="37" t="s">
        <v>373</v>
      </c>
      <c r="C885" s="54" t="s">
        <v>1097</v>
      </c>
      <c r="D885" s="54" t="s">
        <v>5299</v>
      </c>
      <c r="E885" s="54" t="s">
        <v>5300</v>
      </c>
      <c r="F885" s="54" t="s">
        <v>5240</v>
      </c>
      <c r="G885" s="54" t="s">
        <v>5349</v>
      </c>
      <c r="H885" s="37" t="s">
        <v>5292</v>
      </c>
      <c r="I885" s="54" t="s">
        <v>5350</v>
      </c>
      <c r="J885" s="54" t="s">
        <v>5351</v>
      </c>
    </row>
    <row r="886" customFormat="false" ht="15" hidden="false" customHeight="true" outlineLevel="0" collapsed="false">
      <c r="A886" s="37" t="s">
        <v>1102</v>
      </c>
      <c r="B886" s="37" t="s">
        <v>373</v>
      </c>
      <c r="C886" s="54" t="s">
        <v>1103</v>
      </c>
      <c r="D886" s="54" t="s">
        <v>5362</v>
      </c>
      <c r="E886" s="54" t="s">
        <v>5215</v>
      </c>
      <c r="F886" s="54" t="s">
        <v>5216</v>
      </c>
      <c r="G886" s="54" t="s">
        <v>5349</v>
      </c>
      <c r="H886" s="37" t="s">
        <v>5292</v>
      </c>
      <c r="I886" s="54" t="s">
        <v>5350</v>
      </c>
      <c r="J886" s="54" t="s">
        <v>5351</v>
      </c>
    </row>
    <row r="887" customFormat="false" ht="15" hidden="false" customHeight="true" outlineLevel="0" collapsed="false">
      <c r="A887" s="37" t="s">
        <v>1105</v>
      </c>
      <c r="B887" s="37" t="s">
        <v>373</v>
      </c>
      <c r="C887" s="54" t="s">
        <v>1106</v>
      </c>
      <c r="D887" s="54" t="s">
        <v>5299</v>
      </c>
      <c r="E887" s="54" t="s">
        <v>5300</v>
      </c>
      <c r="F887" s="54" t="s">
        <v>5240</v>
      </c>
      <c r="G887" s="54" t="s">
        <v>5349</v>
      </c>
      <c r="H887" s="37" t="s">
        <v>5292</v>
      </c>
      <c r="I887" s="54" t="s">
        <v>5350</v>
      </c>
      <c r="J887" s="54" t="s">
        <v>5351</v>
      </c>
    </row>
    <row r="888" customFormat="false" ht="15" hidden="false" customHeight="true" outlineLevel="0" collapsed="false">
      <c r="A888" s="37" t="s">
        <v>1107</v>
      </c>
      <c r="B888" s="37" t="s">
        <v>373</v>
      </c>
      <c r="C888" s="54" t="s">
        <v>1108</v>
      </c>
      <c r="D888" s="54" t="s">
        <v>5319</v>
      </c>
      <c r="E888" s="54" t="s">
        <v>5320</v>
      </c>
      <c r="F888" s="54" t="s">
        <v>5216</v>
      </c>
      <c r="G888" s="54" t="s">
        <v>5349</v>
      </c>
      <c r="H888" s="37" t="s">
        <v>5292</v>
      </c>
      <c r="I888" s="54" t="s">
        <v>5350</v>
      </c>
      <c r="J888" s="54" t="s">
        <v>5351</v>
      </c>
    </row>
    <row r="889" customFormat="false" ht="15" hidden="false" customHeight="true" outlineLevel="0" collapsed="false">
      <c r="A889" s="37" t="s">
        <v>1110</v>
      </c>
      <c r="B889" s="37" t="s">
        <v>373</v>
      </c>
      <c r="C889" s="54" t="s">
        <v>1111</v>
      </c>
      <c r="D889" s="54" t="s">
        <v>5362</v>
      </c>
      <c r="E889" s="54" t="s">
        <v>5215</v>
      </c>
      <c r="F889" s="54" t="s">
        <v>5216</v>
      </c>
      <c r="G889" s="54" t="s">
        <v>5349</v>
      </c>
      <c r="H889" s="37" t="s">
        <v>5292</v>
      </c>
      <c r="I889" s="54" t="s">
        <v>5350</v>
      </c>
      <c r="J889" s="54" t="s">
        <v>5351</v>
      </c>
    </row>
    <row r="890" customFormat="false" ht="15" hidden="false" customHeight="true" outlineLevel="0" collapsed="false">
      <c r="A890" s="37" t="s">
        <v>1112</v>
      </c>
      <c r="B890" s="37" t="s">
        <v>373</v>
      </c>
      <c r="C890" s="54" t="s">
        <v>1113</v>
      </c>
      <c r="D890" s="54" t="s">
        <v>5232</v>
      </c>
      <c r="E890" s="54" t="s">
        <v>5233</v>
      </c>
      <c r="F890" s="54" t="s">
        <v>5240</v>
      </c>
      <c r="G890" s="54" t="s">
        <v>5349</v>
      </c>
      <c r="H890" s="37" t="s">
        <v>5292</v>
      </c>
      <c r="I890" s="54" t="s">
        <v>5350</v>
      </c>
      <c r="J890" s="54" t="s">
        <v>5351</v>
      </c>
    </row>
    <row r="891" customFormat="false" ht="15" hidden="false" customHeight="true" outlineLevel="0" collapsed="false">
      <c r="A891" s="37" t="s">
        <v>1115</v>
      </c>
      <c r="B891" s="37" t="s">
        <v>373</v>
      </c>
      <c r="C891" s="54" t="s">
        <v>1116</v>
      </c>
      <c r="D891" s="54" t="s">
        <v>5307</v>
      </c>
      <c r="E891" s="54" t="s">
        <v>5221</v>
      </c>
      <c r="F891" s="54" t="s">
        <v>5216</v>
      </c>
      <c r="G891" s="54" t="s">
        <v>5349</v>
      </c>
      <c r="H891" s="37" t="s">
        <v>5292</v>
      </c>
      <c r="I891" s="54" t="s">
        <v>5350</v>
      </c>
      <c r="J891" s="54" t="s">
        <v>5351</v>
      </c>
    </row>
    <row r="892" customFormat="false" ht="15" hidden="false" customHeight="true" outlineLevel="0" collapsed="false">
      <c r="A892" s="37" t="s">
        <v>1118</v>
      </c>
      <c r="B892" s="37" t="s">
        <v>373</v>
      </c>
      <c r="C892" s="54" t="s">
        <v>1119</v>
      </c>
      <c r="D892" s="54" t="s">
        <v>5319</v>
      </c>
      <c r="E892" s="54" t="s">
        <v>5320</v>
      </c>
      <c r="F892" s="54" t="s">
        <v>5216</v>
      </c>
      <c r="G892" s="54" t="s">
        <v>5349</v>
      </c>
      <c r="H892" s="37" t="s">
        <v>5292</v>
      </c>
      <c r="I892" s="54" t="s">
        <v>5350</v>
      </c>
      <c r="J892" s="54" t="s">
        <v>5363</v>
      </c>
    </row>
    <row r="893" customFormat="false" ht="15" hidden="false" customHeight="true" outlineLevel="0" collapsed="false">
      <c r="A893" s="37" t="s">
        <v>1121</v>
      </c>
      <c r="B893" s="37" t="s">
        <v>373</v>
      </c>
      <c r="C893" s="54" t="s">
        <v>1122</v>
      </c>
      <c r="D893" s="54" t="s">
        <v>5364</v>
      </c>
      <c r="E893" s="54" t="s">
        <v>5215</v>
      </c>
      <c r="F893" s="54" t="s">
        <v>5216</v>
      </c>
      <c r="G893" s="54" t="s">
        <v>5349</v>
      </c>
      <c r="H893" s="37" t="s">
        <v>5292</v>
      </c>
      <c r="I893" s="54" t="s">
        <v>5350</v>
      </c>
      <c r="J893" s="54" t="s">
        <v>5351</v>
      </c>
    </row>
    <row r="894" customFormat="false" ht="15" hidden="false" customHeight="true" outlineLevel="0" collapsed="false">
      <c r="A894" s="37" t="s">
        <v>1124</v>
      </c>
      <c r="B894" s="37" t="s">
        <v>373</v>
      </c>
      <c r="C894" s="54" t="s">
        <v>1125</v>
      </c>
      <c r="D894" s="54" t="s">
        <v>5365</v>
      </c>
      <c r="E894" s="54" t="s">
        <v>5215</v>
      </c>
      <c r="F894" s="54" t="s">
        <v>5216</v>
      </c>
      <c r="G894" s="54" t="s">
        <v>5349</v>
      </c>
      <c r="H894" s="37" t="s">
        <v>5292</v>
      </c>
      <c r="I894" s="54" t="s">
        <v>5350</v>
      </c>
      <c r="J894" s="54" t="s">
        <v>5351</v>
      </c>
    </row>
    <row r="895" customFormat="false" ht="15" hidden="false" customHeight="true" outlineLevel="0" collapsed="false">
      <c r="A895" s="37" t="s">
        <v>1129</v>
      </c>
      <c r="B895" s="37" t="s">
        <v>373</v>
      </c>
      <c r="C895" s="54" t="s">
        <v>1130</v>
      </c>
      <c r="D895" s="54" t="s">
        <v>5366</v>
      </c>
      <c r="E895" s="54" t="s">
        <v>5215</v>
      </c>
      <c r="F895" s="54" t="s">
        <v>5216</v>
      </c>
      <c r="G895" s="54" t="s">
        <v>5349</v>
      </c>
      <c r="H895" s="37" t="s">
        <v>5292</v>
      </c>
      <c r="I895" s="54" t="s">
        <v>5350</v>
      </c>
      <c r="J895" s="54" t="s">
        <v>5351</v>
      </c>
    </row>
    <row r="896" customFormat="false" ht="15" hidden="false" customHeight="true" outlineLevel="0" collapsed="false">
      <c r="A896" s="37" t="s">
        <v>1131</v>
      </c>
      <c r="B896" s="37" t="s">
        <v>373</v>
      </c>
      <c r="C896" s="54" t="s">
        <v>1132</v>
      </c>
      <c r="D896" s="54" t="s">
        <v>5299</v>
      </c>
      <c r="E896" s="54" t="s">
        <v>5300</v>
      </c>
      <c r="F896" s="54" t="s">
        <v>5240</v>
      </c>
      <c r="G896" s="54" t="s">
        <v>5349</v>
      </c>
      <c r="H896" s="37" t="s">
        <v>5292</v>
      </c>
      <c r="I896" s="54" t="s">
        <v>5350</v>
      </c>
      <c r="J896" s="54" t="s">
        <v>5351</v>
      </c>
    </row>
    <row r="897" customFormat="false" ht="15" hidden="false" customHeight="true" outlineLevel="0" collapsed="false">
      <c r="A897" s="37" t="s">
        <v>1133</v>
      </c>
      <c r="B897" s="37" t="s">
        <v>373</v>
      </c>
      <c r="C897" s="54" t="s">
        <v>1134</v>
      </c>
      <c r="D897" s="54" t="s">
        <v>5299</v>
      </c>
      <c r="E897" s="54" t="s">
        <v>5300</v>
      </c>
      <c r="F897" s="54" t="s">
        <v>5240</v>
      </c>
      <c r="G897" s="54" t="s">
        <v>5349</v>
      </c>
      <c r="H897" s="37" t="s">
        <v>5292</v>
      </c>
      <c r="I897" s="54" t="s">
        <v>5350</v>
      </c>
      <c r="J897" s="54" t="s">
        <v>5351</v>
      </c>
    </row>
    <row r="898" customFormat="false" ht="15" hidden="false" customHeight="true" outlineLevel="0" collapsed="false">
      <c r="A898" s="37" t="s">
        <v>1135</v>
      </c>
      <c r="B898" s="37" t="s">
        <v>373</v>
      </c>
      <c r="C898" s="54" t="s">
        <v>1136</v>
      </c>
      <c r="D898" s="54" t="s">
        <v>5367</v>
      </c>
      <c r="E898" s="54" t="s">
        <v>5215</v>
      </c>
      <c r="F898" s="54" t="s">
        <v>5216</v>
      </c>
      <c r="G898" s="54" t="s">
        <v>5349</v>
      </c>
      <c r="H898" s="37" t="s">
        <v>5292</v>
      </c>
      <c r="I898" s="54" t="s">
        <v>5350</v>
      </c>
      <c r="J898" s="54" t="s">
        <v>5351</v>
      </c>
    </row>
    <row r="899" customFormat="false" ht="15" hidden="false" customHeight="true" outlineLevel="0" collapsed="false">
      <c r="A899" s="37" t="s">
        <v>1138</v>
      </c>
      <c r="B899" s="37" t="s">
        <v>373</v>
      </c>
      <c r="C899" s="54" t="s">
        <v>1139</v>
      </c>
      <c r="D899" s="54" t="s">
        <v>5299</v>
      </c>
      <c r="E899" s="54" t="s">
        <v>5300</v>
      </c>
      <c r="F899" s="54" t="s">
        <v>5240</v>
      </c>
      <c r="G899" s="54" t="s">
        <v>5349</v>
      </c>
      <c r="H899" s="37" t="s">
        <v>5292</v>
      </c>
      <c r="I899" s="54" t="s">
        <v>5350</v>
      </c>
      <c r="J899" s="54" t="s">
        <v>5351</v>
      </c>
    </row>
    <row r="900" customFormat="false" ht="15" hidden="false" customHeight="true" outlineLevel="0" collapsed="false">
      <c r="A900" s="37" t="s">
        <v>1140</v>
      </c>
      <c r="B900" s="37" t="s">
        <v>373</v>
      </c>
      <c r="C900" s="54" t="s">
        <v>1141</v>
      </c>
      <c r="D900" s="54" t="s">
        <v>5368</v>
      </c>
      <c r="E900" s="54" t="s">
        <v>5233</v>
      </c>
      <c r="F900" s="54" t="s">
        <v>5240</v>
      </c>
      <c r="G900" s="54" t="s">
        <v>5349</v>
      </c>
      <c r="H900" s="37" t="s">
        <v>5292</v>
      </c>
      <c r="I900" s="54" t="s">
        <v>5350</v>
      </c>
      <c r="J900" s="54" t="s">
        <v>5351</v>
      </c>
    </row>
    <row r="901" customFormat="false" ht="15" hidden="false" customHeight="true" outlineLevel="0" collapsed="false">
      <c r="A901" s="37" t="s">
        <v>1142</v>
      </c>
      <c r="B901" s="37" t="s">
        <v>373</v>
      </c>
      <c r="C901" s="54" t="s">
        <v>1143</v>
      </c>
      <c r="D901" s="54" t="s">
        <v>5368</v>
      </c>
      <c r="E901" s="54" t="s">
        <v>5233</v>
      </c>
      <c r="F901" s="54" t="s">
        <v>5240</v>
      </c>
      <c r="G901" s="54" t="s">
        <v>5349</v>
      </c>
      <c r="H901" s="37" t="s">
        <v>5292</v>
      </c>
      <c r="I901" s="54" t="s">
        <v>5350</v>
      </c>
      <c r="J901" s="54" t="s">
        <v>5351</v>
      </c>
    </row>
    <row r="902" customFormat="false" ht="15" hidden="false" customHeight="true" outlineLevel="0" collapsed="false">
      <c r="A902" s="37" t="s">
        <v>1144</v>
      </c>
      <c r="B902" s="37" t="s">
        <v>373</v>
      </c>
      <c r="C902" s="54" t="s">
        <v>1145</v>
      </c>
      <c r="D902" s="54" t="s">
        <v>5299</v>
      </c>
      <c r="E902" s="54" t="s">
        <v>5300</v>
      </c>
      <c r="F902" s="54" t="s">
        <v>5240</v>
      </c>
      <c r="G902" s="54" t="s">
        <v>5349</v>
      </c>
      <c r="H902" s="37" t="s">
        <v>5292</v>
      </c>
      <c r="I902" s="54" t="s">
        <v>5350</v>
      </c>
      <c r="J902" s="54" t="s">
        <v>5351</v>
      </c>
    </row>
    <row r="903" customFormat="false" ht="15" hidden="false" customHeight="true" outlineLevel="0" collapsed="false">
      <c r="A903" s="37" t="s">
        <v>1146</v>
      </c>
      <c r="B903" s="37" t="s">
        <v>373</v>
      </c>
      <c r="C903" s="54" t="s">
        <v>1147</v>
      </c>
      <c r="D903" s="54" t="s">
        <v>5368</v>
      </c>
      <c r="E903" s="54" t="s">
        <v>5233</v>
      </c>
      <c r="F903" s="54" t="s">
        <v>5240</v>
      </c>
      <c r="G903" s="54" t="s">
        <v>5349</v>
      </c>
      <c r="H903" s="37" t="s">
        <v>5292</v>
      </c>
      <c r="I903" s="54" t="s">
        <v>5350</v>
      </c>
      <c r="J903" s="54" t="s">
        <v>5351</v>
      </c>
    </row>
    <row r="904" customFormat="false" ht="15" hidden="false" customHeight="true" outlineLevel="0" collapsed="false">
      <c r="A904" s="37" t="s">
        <v>1149</v>
      </c>
      <c r="B904" s="37" t="s">
        <v>373</v>
      </c>
      <c r="C904" s="54" t="s">
        <v>1150</v>
      </c>
      <c r="D904" s="54" t="s">
        <v>5369</v>
      </c>
      <c r="E904" s="54" t="s">
        <v>5215</v>
      </c>
      <c r="F904" s="54" t="s">
        <v>5216</v>
      </c>
      <c r="G904" s="54" t="s">
        <v>5349</v>
      </c>
      <c r="H904" s="37" t="s">
        <v>5292</v>
      </c>
      <c r="I904" s="54" t="s">
        <v>5350</v>
      </c>
      <c r="J904" s="54" t="s">
        <v>5351</v>
      </c>
    </row>
    <row r="905" customFormat="false" ht="15" hidden="false" customHeight="true" outlineLevel="0" collapsed="false">
      <c r="A905" s="37" t="s">
        <v>1151</v>
      </c>
      <c r="B905" s="37" t="s">
        <v>373</v>
      </c>
      <c r="C905" s="54" t="s">
        <v>1152</v>
      </c>
      <c r="D905" s="54" t="s">
        <v>5370</v>
      </c>
      <c r="E905" s="54" t="s">
        <v>5215</v>
      </c>
      <c r="F905" s="54" t="s">
        <v>5216</v>
      </c>
      <c r="G905" s="54" t="s">
        <v>5349</v>
      </c>
      <c r="H905" s="37" t="s">
        <v>5292</v>
      </c>
      <c r="I905" s="54" t="s">
        <v>5350</v>
      </c>
      <c r="J905" s="54" t="s">
        <v>5351</v>
      </c>
    </row>
    <row r="906" customFormat="false" ht="15" hidden="false" customHeight="true" outlineLevel="0" collapsed="false">
      <c r="A906" s="37" t="s">
        <v>1154</v>
      </c>
      <c r="B906" s="37" t="s">
        <v>373</v>
      </c>
      <c r="C906" s="54" t="s">
        <v>1155</v>
      </c>
      <c r="D906" s="54" t="s">
        <v>5371</v>
      </c>
      <c r="E906" s="54" t="s">
        <v>5215</v>
      </c>
      <c r="F906" s="54" t="s">
        <v>5216</v>
      </c>
      <c r="G906" s="54" t="s">
        <v>5349</v>
      </c>
      <c r="H906" s="37" t="s">
        <v>5292</v>
      </c>
      <c r="I906" s="54" t="s">
        <v>5350</v>
      </c>
      <c r="J906" s="54" t="s">
        <v>5351</v>
      </c>
    </row>
    <row r="907" customFormat="false" ht="15" hidden="false" customHeight="true" outlineLevel="0" collapsed="false">
      <c r="A907" s="37" t="s">
        <v>1158</v>
      </c>
      <c r="B907" s="37" t="s">
        <v>373</v>
      </c>
      <c r="C907" s="54" t="s">
        <v>1159</v>
      </c>
      <c r="D907" s="54" t="s">
        <v>5372</v>
      </c>
      <c r="E907" s="54" t="s">
        <v>5215</v>
      </c>
      <c r="F907" s="54" t="s">
        <v>5216</v>
      </c>
      <c r="G907" s="54" t="s">
        <v>5349</v>
      </c>
      <c r="H907" s="37" t="s">
        <v>5292</v>
      </c>
      <c r="I907" s="54" t="s">
        <v>5350</v>
      </c>
      <c r="J907" s="54" t="s">
        <v>5351</v>
      </c>
    </row>
    <row r="908" customFormat="false" ht="15" hidden="false" customHeight="true" outlineLevel="0" collapsed="false">
      <c r="A908" s="37" t="s">
        <v>1161</v>
      </c>
      <c r="B908" s="37" t="s">
        <v>373</v>
      </c>
      <c r="C908" s="54" t="s">
        <v>1162</v>
      </c>
      <c r="D908" s="54" t="s">
        <v>5365</v>
      </c>
      <c r="E908" s="54" t="s">
        <v>5215</v>
      </c>
      <c r="F908" s="54" t="s">
        <v>5216</v>
      </c>
      <c r="G908" s="54" t="s">
        <v>5349</v>
      </c>
      <c r="H908" s="37" t="s">
        <v>5292</v>
      </c>
      <c r="I908" s="54" t="s">
        <v>5350</v>
      </c>
      <c r="J908" s="54" t="s">
        <v>5351</v>
      </c>
    </row>
    <row r="909" customFormat="false" ht="15" hidden="false" customHeight="true" outlineLevel="0" collapsed="false">
      <c r="A909" s="37" t="s">
        <v>1745</v>
      </c>
      <c r="B909" s="37" t="s">
        <v>448</v>
      </c>
      <c r="C909" s="54" t="s">
        <v>1746</v>
      </c>
      <c r="D909" s="54" t="s">
        <v>5337</v>
      </c>
      <c r="E909" s="37" t="s">
        <v>5338</v>
      </c>
      <c r="F909" s="54" t="s">
        <v>5240</v>
      </c>
      <c r="G909" s="37" t="s">
        <v>5373</v>
      </c>
      <c r="H909" s="37" t="s">
        <v>5269</v>
      </c>
      <c r="I909" s="54" t="s">
        <v>5270</v>
      </c>
      <c r="J909" s="37"/>
    </row>
    <row r="910" customFormat="false" ht="15" hidden="false" customHeight="true" outlineLevel="0" collapsed="false">
      <c r="A910" s="37" t="s">
        <v>1752</v>
      </c>
      <c r="B910" s="37" t="s">
        <v>448</v>
      </c>
      <c r="C910" s="54" t="s">
        <v>1753</v>
      </c>
      <c r="D910" s="54" t="s">
        <v>5337</v>
      </c>
      <c r="E910" s="37" t="s">
        <v>5338</v>
      </c>
      <c r="F910" s="54" t="s">
        <v>5240</v>
      </c>
      <c r="G910" s="37" t="s">
        <v>5373</v>
      </c>
      <c r="H910" s="37" t="s">
        <v>5269</v>
      </c>
      <c r="I910" s="54" t="s">
        <v>5270</v>
      </c>
      <c r="J910" s="37"/>
    </row>
    <row r="911" customFormat="false" ht="15" hidden="false" customHeight="true" outlineLevel="0" collapsed="false">
      <c r="A911" s="37" t="s">
        <v>1755</v>
      </c>
      <c r="B911" s="37" t="s">
        <v>448</v>
      </c>
      <c r="C911" s="54" t="s">
        <v>1756</v>
      </c>
      <c r="D911" s="54" t="s">
        <v>5337</v>
      </c>
      <c r="E911" s="37" t="s">
        <v>5338</v>
      </c>
      <c r="F911" s="54" t="s">
        <v>5240</v>
      </c>
      <c r="G911" s="37" t="s">
        <v>5373</v>
      </c>
      <c r="H911" s="37" t="s">
        <v>5269</v>
      </c>
      <c r="I911" s="54" t="s">
        <v>5270</v>
      </c>
      <c r="J911" s="37"/>
    </row>
    <row r="912" customFormat="false" ht="15" hidden="false" customHeight="true" outlineLevel="0" collapsed="false">
      <c r="A912" s="37" t="s">
        <v>1758</v>
      </c>
      <c r="B912" s="37" t="s">
        <v>448</v>
      </c>
      <c r="C912" s="54" t="s">
        <v>1759</v>
      </c>
      <c r="D912" s="54" t="s">
        <v>5374</v>
      </c>
      <c r="E912" s="37" t="s">
        <v>5252</v>
      </c>
      <c r="F912" s="54" t="s">
        <v>5240</v>
      </c>
      <c r="G912" s="37" t="s">
        <v>5373</v>
      </c>
      <c r="H912" s="37" t="s">
        <v>5269</v>
      </c>
      <c r="I912" s="54" t="s">
        <v>5270</v>
      </c>
      <c r="J912" s="37"/>
    </row>
    <row r="913" customFormat="false" ht="15" hidden="false" customHeight="true" outlineLevel="0" collapsed="false">
      <c r="A913" s="37" t="s">
        <v>1761</v>
      </c>
      <c r="B913" s="37" t="s">
        <v>448</v>
      </c>
      <c r="C913" s="54" t="s">
        <v>1762</v>
      </c>
      <c r="D913" s="54" t="s">
        <v>5374</v>
      </c>
      <c r="E913" s="37" t="s">
        <v>5252</v>
      </c>
      <c r="F913" s="54" t="s">
        <v>5240</v>
      </c>
      <c r="G913" s="37" t="s">
        <v>5373</v>
      </c>
      <c r="H913" s="37" t="s">
        <v>5269</v>
      </c>
      <c r="I913" s="54" t="s">
        <v>5270</v>
      </c>
      <c r="J913" s="37"/>
    </row>
    <row r="914" customFormat="false" ht="15" hidden="false" customHeight="true" outlineLevel="0" collapsed="false">
      <c r="A914" s="37" t="s">
        <v>1764</v>
      </c>
      <c r="B914" s="37" t="s">
        <v>448</v>
      </c>
      <c r="C914" s="54" t="s">
        <v>1765</v>
      </c>
      <c r="D914" s="54" t="s">
        <v>5374</v>
      </c>
      <c r="E914" s="37" t="s">
        <v>5252</v>
      </c>
      <c r="F914" s="54" t="s">
        <v>5240</v>
      </c>
      <c r="G914" s="37" t="s">
        <v>5373</v>
      </c>
      <c r="H914" s="37" t="s">
        <v>5269</v>
      </c>
      <c r="I914" s="54" t="s">
        <v>5270</v>
      </c>
      <c r="J914" s="37"/>
    </row>
    <row r="915" customFormat="false" ht="15" hidden="false" customHeight="true" outlineLevel="0" collapsed="false">
      <c r="A915" s="37" t="s">
        <v>1767</v>
      </c>
      <c r="B915" s="37" t="s">
        <v>448</v>
      </c>
      <c r="C915" s="54" t="s">
        <v>1768</v>
      </c>
      <c r="D915" s="54" t="s">
        <v>5375</v>
      </c>
      <c r="E915" s="37" t="s">
        <v>5376</v>
      </c>
      <c r="F915" s="54" t="s">
        <v>5240</v>
      </c>
      <c r="G915" s="37" t="s">
        <v>5373</v>
      </c>
      <c r="H915" s="37" t="s">
        <v>5269</v>
      </c>
      <c r="I915" s="54" t="s">
        <v>5270</v>
      </c>
      <c r="J915" s="37"/>
    </row>
    <row r="916" customFormat="false" ht="15" hidden="false" customHeight="true" outlineLevel="0" collapsed="false">
      <c r="A916" s="37" t="s">
        <v>1770</v>
      </c>
      <c r="B916" s="37" t="s">
        <v>448</v>
      </c>
      <c r="C916" s="54" t="s">
        <v>1771</v>
      </c>
      <c r="D916" s="54" t="s">
        <v>5326</v>
      </c>
      <c r="E916" s="54" t="s">
        <v>5327</v>
      </c>
      <c r="F916" s="54" t="s">
        <v>5216</v>
      </c>
      <c r="G916" s="37" t="s">
        <v>5373</v>
      </c>
      <c r="H916" s="37" t="s">
        <v>5269</v>
      </c>
      <c r="I916" s="54" t="s">
        <v>5270</v>
      </c>
      <c r="J916" s="37"/>
    </row>
    <row r="917" customFormat="false" ht="15" hidden="false" customHeight="true" outlineLevel="0" collapsed="false">
      <c r="A917" s="37" t="s">
        <v>1773</v>
      </c>
      <c r="B917" s="37" t="s">
        <v>448</v>
      </c>
      <c r="C917" s="54" t="s">
        <v>1774</v>
      </c>
      <c r="D917" s="54" t="s">
        <v>5375</v>
      </c>
      <c r="E917" s="37" t="s">
        <v>5376</v>
      </c>
      <c r="F917" s="54" t="s">
        <v>5240</v>
      </c>
      <c r="G917" s="37" t="s">
        <v>5373</v>
      </c>
      <c r="H917" s="37" t="s">
        <v>5269</v>
      </c>
      <c r="I917" s="54" t="s">
        <v>5270</v>
      </c>
      <c r="J917" s="37"/>
    </row>
    <row r="918" customFormat="false" ht="15" hidden="false" customHeight="true" outlineLevel="0" collapsed="false">
      <c r="A918" s="37" t="s">
        <v>1776</v>
      </c>
      <c r="B918" s="37" t="s">
        <v>448</v>
      </c>
      <c r="C918" s="54" t="s">
        <v>1777</v>
      </c>
      <c r="D918" s="54" t="s">
        <v>5332</v>
      </c>
      <c r="E918" s="54" t="s">
        <v>5298</v>
      </c>
      <c r="F918" s="54" t="s">
        <v>5216</v>
      </c>
      <c r="G918" s="37" t="s">
        <v>5373</v>
      </c>
      <c r="H918" s="37" t="s">
        <v>5269</v>
      </c>
      <c r="I918" s="54" t="s">
        <v>5270</v>
      </c>
      <c r="J918" s="37"/>
    </row>
    <row r="919" customFormat="false" ht="15" hidden="false" customHeight="true" outlineLevel="0" collapsed="false">
      <c r="A919" s="37" t="s">
        <v>1779</v>
      </c>
      <c r="B919" s="37" t="s">
        <v>448</v>
      </c>
      <c r="C919" s="54" t="s">
        <v>1780</v>
      </c>
      <c r="D919" s="54" t="s">
        <v>5375</v>
      </c>
      <c r="E919" s="37" t="s">
        <v>5376</v>
      </c>
      <c r="F919" s="54" t="s">
        <v>5240</v>
      </c>
      <c r="G919" s="37" t="s">
        <v>5373</v>
      </c>
      <c r="H919" s="37" t="s">
        <v>5269</v>
      </c>
      <c r="I919" s="54" t="s">
        <v>5270</v>
      </c>
      <c r="J919" s="37"/>
    </row>
    <row r="920" customFormat="false" ht="15" hidden="false" customHeight="true" outlineLevel="0" collapsed="false">
      <c r="A920" s="37" t="s">
        <v>1782</v>
      </c>
      <c r="B920" s="37" t="s">
        <v>448</v>
      </c>
      <c r="C920" s="54" t="s">
        <v>1783</v>
      </c>
      <c r="D920" s="54" t="s">
        <v>5374</v>
      </c>
      <c r="E920" s="37" t="s">
        <v>5252</v>
      </c>
      <c r="F920" s="54" t="s">
        <v>5240</v>
      </c>
      <c r="G920" s="37" t="s">
        <v>5373</v>
      </c>
      <c r="H920" s="37" t="s">
        <v>5269</v>
      </c>
      <c r="I920" s="54" t="s">
        <v>5270</v>
      </c>
      <c r="J920" s="37"/>
    </row>
    <row r="921" customFormat="false" ht="15" hidden="false" customHeight="true" outlineLevel="0" collapsed="false">
      <c r="A921" s="37" t="s">
        <v>1785</v>
      </c>
      <c r="B921" s="37" t="s">
        <v>448</v>
      </c>
      <c r="C921" s="54" t="s">
        <v>1786</v>
      </c>
      <c r="D921" s="54" t="s">
        <v>5374</v>
      </c>
      <c r="E921" s="37" t="s">
        <v>5252</v>
      </c>
      <c r="F921" s="54" t="s">
        <v>5240</v>
      </c>
      <c r="G921" s="37" t="s">
        <v>5373</v>
      </c>
      <c r="H921" s="37" t="s">
        <v>5269</v>
      </c>
      <c r="I921" s="54" t="s">
        <v>5270</v>
      </c>
      <c r="J921" s="37"/>
    </row>
    <row r="922" customFormat="false" ht="15" hidden="false" customHeight="true" outlineLevel="0" collapsed="false">
      <c r="A922" s="37" t="s">
        <v>1788</v>
      </c>
      <c r="B922" s="37" t="s">
        <v>448</v>
      </c>
      <c r="C922" s="54" t="s">
        <v>1789</v>
      </c>
      <c r="D922" s="54" t="s">
        <v>5337</v>
      </c>
      <c r="E922" s="37" t="s">
        <v>5338</v>
      </c>
      <c r="F922" s="54" t="s">
        <v>5240</v>
      </c>
      <c r="G922" s="37" t="s">
        <v>5373</v>
      </c>
      <c r="H922" s="37" t="s">
        <v>5269</v>
      </c>
      <c r="I922" s="54" t="s">
        <v>5270</v>
      </c>
      <c r="J922" s="37"/>
    </row>
    <row r="923" customFormat="false" ht="15" hidden="false" customHeight="true" outlineLevel="0" collapsed="false">
      <c r="A923" s="37" t="s">
        <v>1791</v>
      </c>
      <c r="B923" s="37" t="s">
        <v>448</v>
      </c>
      <c r="C923" s="54" t="s">
        <v>1792</v>
      </c>
      <c r="D923" s="54" t="s">
        <v>5374</v>
      </c>
      <c r="E923" s="37" t="s">
        <v>5252</v>
      </c>
      <c r="F923" s="54" t="s">
        <v>5240</v>
      </c>
      <c r="G923" s="37" t="s">
        <v>5373</v>
      </c>
      <c r="H923" s="37" t="s">
        <v>5269</v>
      </c>
      <c r="I923" s="54" t="s">
        <v>5270</v>
      </c>
      <c r="J923" s="37"/>
    </row>
    <row r="924" customFormat="false" ht="15" hidden="false" customHeight="true" outlineLevel="0" collapsed="false">
      <c r="A924" s="37" t="s">
        <v>1794</v>
      </c>
      <c r="B924" s="37" t="s">
        <v>448</v>
      </c>
      <c r="C924" s="54" t="s">
        <v>1795</v>
      </c>
      <c r="D924" s="54" t="s">
        <v>5374</v>
      </c>
      <c r="E924" s="37" t="s">
        <v>5252</v>
      </c>
      <c r="F924" s="54" t="s">
        <v>5240</v>
      </c>
      <c r="G924" s="37" t="s">
        <v>5373</v>
      </c>
      <c r="H924" s="37" t="s">
        <v>5269</v>
      </c>
      <c r="I924" s="54" t="s">
        <v>5270</v>
      </c>
      <c r="J924" s="37"/>
    </row>
    <row r="925" customFormat="false" ht="15" hidden="false" customHeight="true" outlineLevel="0" collapsed="false">
      <c r="A925" s="37" t="s">
        <v>1797</v>
      </c>
      <c r="B925" s="37" t="s">
        <v>448</v>
      </c>
      <c r="C925" s="54" t="s">
        <v>1798</v>
      </c>
      <c r="D925" s="54" t="s">
        <v>5374</v>
      </c>
      <c r="E925" s="37" t="s">
        <v>5252</v>
      </c>
      <c r="F925" s="54" t="s">
        <v>5240</v>
      </c>
      <c r="G925" s="37" t="s">
        <v>5373</v>
      </c>
      <c r="H925" s="37" t="s">
        <v>5269</v>
      </c>
      <c r="I925" s="54" t="s">
        <v>5270</v>
      </c>
      <c r="J925" s="37"/>
    </row>
    <row r="926" customFormat="false" ht="15" hidden="false" customHeight="true" outlineLevel="0" collapsed="false">
      <c r="A926" s="37" t="s">
        <v>1800</v>
      </c>
      <c r="B926" s="37" t="s">
        <v>448</v>
      </c>
      <c r="C926" s="54" t="s">
        <v>1801</v>
      </c>
      <c r="D926" s="54" t="s">
        <v>5374</v>
      </c>
      <c r="E926" s="37" t="s">
        <v>5252</v>
      </c>
      <c r="F926" s="54" t="s">
        <v>5240</v>
      </c>
      <c r="G926" s="37" t="s">
        <v>5373</v>
      </c>
      <c r="H926" s="37" t="s">
        <v>5269</v>
      </c>
      <c r="I926" s="54" t="s">
        <v>5270</v>
      </c>
      <c r="J926" s="37"/>
    </row>
    <row r="927" customFormat="false" ht="15" hidden="false" customHeight="true" outlineLevel="0" collapsed="false">
      <c r="A927" s="37" t="s">
        <v>1803</v>
      </c>
      <c r="B927" s="37" t="s">
        <v>448</v>
      </c>
      <c r="C927" s="54" t="s">
        <v>1804</v>
      </c>
      <c r="D927" s="54" t="s">
        <v>5374</v>
      </c>
      <c r="E927" s="37" t="s">
        <v>5252</v>
      </c>
      <c r="F927" s="54" t="s">
        <v>5240</v>
      </c>
      <c r="G927" s="37" t="s">
        <v>5373</v>
      </c>
      <c r="H927" s="37" t="s">
        <v>5269</v>
      </c>
      <c r="I927" s="54" t="s">
        <v>5270</v>
      </c>
      <c r="J927" s="37"/>
    </row>
    <row r="928" customFormat="false" ht="15" hidden="false" customHeight="true" outlineLevel="0" collapsed="false">
      <c r="A928" s="37" t="s">
        <v>1806</v>
      </c>
      <c r="B928" s="37" t="s">
        <v>448</v>
      </c>
      <c r="C928" s="54" t="s">
        <v>1807</v>
      </c>
      <c r="D928" s="54" t="s">
        <v>5374</v>
      </c>
      <c r="E928" s="37" t="s">
        <v>5252</v>
      </c>
      <c r="F928" s="54" t="s">
        <v>5240</v>
      </c>
      <c r="G928" s="37" t="s">
        <v>5373</v>
      </c>
      <c r="H928" s="37" t="s">
        <v>5269</v>
      </c>
      <c r="I928" s="54" t="s">
        <v>5270</v>
      </c>
      <c r="J928" s="37"/>
    </row>
    <row r="929" customFormat="false" ht="15" hidden="false" customHeight="true" outlineLevel="0" collapsed="false">
      <c r="A929" s="37" t="s">
        <v>1809</v>
      </c>
      <c r="B929" s="37" t="s">
        <v>448</v>
      </c>
      <c r="C929" s="54" t="s">
        <v>1810</v>
      </c>
      <c r="D929" s="54" t="s">
        <v>5374</v>
      </c>
      <c r="E929" s="37" t="s">
        <v>5252</v>
      </c>
      <c r="F929" s="54" t="s">
        <v>5240</v>
      </c>
      <c r="G929" s="37" t="s">
        <v>5373</v>
      </c>
      <c r="H929" s="37" t="s">
        <v>5269</v>
      </c>
      <c r="I929" s="54" t="s">
        <v>5270</v>
      </c>
      <c r="J929" s="37"/>
    </row>
    <row r="930" customFormat="false" ht="15" hidden="false" customHeight="true" outlineLevel="0" collapsed="false">
      <c r="A930" s="37" t="s">
        <v>1814</v>
      </c>
      <c r="B930" s="37" t="s">
        <v>448</v>
      </c>
      <c r="C930" s="54" t="s">
        <v>1815</v>
      </c>
      <c r="D930" s="54" t="s">
        <v>5374</v>
      </c>
      <c r="E930" s="37" t="s">
        <v>5252</v>
      </c>
      <c r="F930" s="54" t="s">
        <v>5240</v>
      </c>
      <c r="G930" s="37" t="s">
        <v>5373</v>
      </c>
      <c r="H930" s="37" t="s">
        <v>5269</v>
      </c>
      <c r="I930" s="54" t="s">
        <v>5270</v>
      </c>
      <c r="J930" s="37"/>
    </row>
    <row r="931" customFormat="false" ht="15" hidden="false" customHeight="true" outlineLevel="0" collapsed="false">
      <c r="A931" s="37" t="s">
        <v>1817</v>
      </c>
      <c r="B931" s="37" t="s">
        <v>448</v>
      </c>
      <c r="C931" s="54" t="s">
        <v>1818</v>
      </c>
      <c r="D931" s="54" t="s">
        <v>5374</v>
      </c>
      <c r="E931" s="37" t="s">
        <v>5252</v>
      </c>
      <c r="F931" s="54" t="s">
        <v>5240</v>
      </c>
      <c r="G931" s="37" t="s">
        <v>5373</v>
      </c>
      <c r="H931" s="37" t="s">
        <v>5269</v>
      </c>
      <c r="I931" s="54" t="s">
        <v>5270</v>
      </c>
      <c r="J931" s="37"/>
    </row>
    <row r="932" customFormat="false" ht="15" hidden="false" customHeight="true" outlineLevel="0" collapsed="false">
      <c r="A932" s="37" t="s">
        <v>1820</v>
      </c>
      <c r="B932" s="37" t="s">
        <v>448</v>
      </c>
      <c r="C932" s="54" t="s">
        <v>1821</v>
      </c>
      <c r="D932" s="54" t="s">
        <v>5374</v>
      </c>
      <c r="E932" s="37" t="s">
        <v>5252</v>
      </c>
      <c r="F932" s="54" t="s">
        <v>5240</v>
      </c>
      <c r="G932" s="37" t="s">
        <v>5373</v>
      </c>
      <c r="H932" s="37" t="s">
        <v>5269</v>
      </c>
      <c r="I932" s="54" t="s">
        <v>5270</v>
      </c>
      <c r="J932" s="37"/>
    </row>
    <row r="933" customFormat="false" ht="15" hidden="false" customHeight="true" outlineLevel="0" collapsed="false">
      <c r="A933" s="37" t="s">
        <v>1825</v>
      </c>
      <c r="B933" s="37" t="s">
        <v>448</v>
      </c>
      <c r="C933" s="54" t="s">
        <v>1826</v>
      </c>
      <c r="D933" s="54" t="s">
        <v>5374</v>
      </c>
      <c r="E933" s="37" t="s">
        <v>5252</v>
      </c>
      <c r="F933" s="54" t="s">
        <v>5240</v>
      </c>
      <c r="G933" s="37" t="s">
        <v>5373</v>
      </c>
      <c r="H933" s="37" t="s">
        <v>5269</v>
      </c>
      <c r="I933" s="54" t="s">
        <v>5270</v>
      </c>
      <c r="J933" s="37"/>
    </row>
    <row r="934" customFormat="false" ht="15" hidden="false" customHeight="true" outlineLevel="0" collapsed="false">
      <c r="A934" s="37" t="s">
        <v>1828</v>
      </c>
      <c r="B934" s="37" t="s">
        <v>448</v>
      </c>
      <c r="C934" s="54" t="s">
        <v>1829</v>
      </c>
      <c r="D934" s="54" t="s">
        <v>5341</v>
      </c>
      <c r="E934" s="54" t="s">
        <v>5233</v>
      </c>
      <c r="F934" s="54" t="s">
        <v>5216</v>
      </c>
      <c r="G934" s="37" t="s">
        <v>5373</v>
      </c>
      <c r="H934" s="37" t="s">
        <v>5269</v>
      </c>
      <c r="I934" s="54" t="s">
        <v>5270</v>
      </c>
      <c r="J934" s="37"/>
    </row>
    <row r="935" customFormat="false" ht="15" hidden="false" customHeight="true" outlineLevel="0" collapsed="false">
      <c r="A935" s="37" t="s">
        <v>1831</v>
      </c>
      <c r="B935" s="37" t="s">
        <v>448</v>
      </c>
      <c r="C935" s="54" t="s">
        <v>1832</v>
      </c>
      <c r="D935" s="54" t="s">
        <v>5341</v>
      </c>
      <c r="E935" s="54" t="s">
        <v>5233</v>
      </c>
      <c r="F935" s="54" t="s">
        <v>5216</v>
      </c>
      <c r="G935" s="37" t="s">
        <v>5373</v>
      </c>
      <c r="H935" s="37" t="s">
        <v>5269</v>
      </c>
      <c r="I935" s="54" t="s">
        <v>5270</v>
      </c>
      <c r="J935" s="37"/>
    </row>
    <row r="936" customFormat="false" ht="15" hidden="false" customHeight="true" outlineLevel="0" collapsed="false">
      <c r="A936" s="37" t="s">
        <v>1834</v>
      </c>
      <c r="B936" s="37" t="s">
        <v>448</v>
      </c>
      <c r="C936" s="54" t="s">
        <v>1835</v>
      </c>
      <c r="D936" s="54" t="s">
        <v>5337</v>
      </c>
      <c r="E936" s="37" t="s">
        <v>5338</v>
      </c>
      <c r="F936" s="54" t="s">
        <v>5240</v>
      </c>
      <c r="G936" s="37" t="s">
        <v>5373</v>
      </c>
      <c r="H936" s="37" t="s">
        <v>5269</v>
      </c>
      <c r="I936" s="54" t="s">
        <v>5270</v>
      </c>
      <c r="J936" s="37"/>
    </row>
    <row r="937" customFormat="false" ht="15" hidden="false" customHeight="true" outlineLevel="0" collapsed="false">
      <c r="A937" s="37" t="s">
        <v>1837</v>
      </c>
      <c r="B937" s="37" t="s">
        <v>448</v>
      </c>
      <c r="C937" s="54" t="s">
        <v>1838</v>
      </c>
      <c r="D937" s="54" t="s">
        <v>5337</v>
      </c>
      <c r="E937" s="37" t="s">
        <v>5338</v>
      </c>
      <c r="F937" s="54" t="s">
        <v>5240</v>
      </c>
      <c r="G937" s="37" t="s">
        <v>5373</v>
      </c>
      <c r="H937" s="37" t="s">
        <v>5269</v>
      </c>
      <c r="I937" s="54" t="s">
        <v>5270</v>
      </c>
      <c r="J937" s="37"/>
    </row>
    <row r="938" customFormat="false" ht="15" hidden="false" customHeight="true" outlineLevel="0" collapsed="false">
      <c r="A938" s="37" t="s">
        <v>1840</v>
      </c>
      <c r="B938" s="37" t="s">
        <v>448</v>
      </c>
      <c r="C938" s="54" t="s">
        <v>1841</v>
      </c>
      <c r="D938" s="54" t="s">
        <v>5337</v>
      </c>
      <c r="E938" s="37" t="s">
        <v>5338</v>
      </c>
      <c r="F938" s="54" t="s">
        <v>5240</v>
      </c>
      <c r="G938" s="37" t="s">
        <v>5373</v>
      </c>
      <c r="H938" s="37" t="s">
        <v>5269</v>
      </c>
      <c r="I938" s="54" t="s">
        <v>5270</v>
      </c>
      <c r="J938" s="37"/>
    </row>
    <row r="939" customFormat="false" ht="15" hidden="false" customHeight="true" outlineLevel="0" collapsed="false">
      <c r="A939" s="37" t="s">
        <v>1843</v>
      </c>
      <c r="B939" s="37" t="s">
        <v>448</v>
      </c>
      <c r="C939" s="54" t="s">
        <v>1844</v>
      </c>
      <c r="D939" s="54" t="s">
        <v>5374</v>
      </c>
      <c r="E939" s="37" t="s">
        <v>5252</v>
      </c>
      <c r="F939" s="54" t="s">
        <v>5240</v>
      </c>
      <c r="G939" s="37" t="s">
        <v>5373</v>
      </c>
      <c r="H939" s="37" t="s">
        <v>5269</v>
      </c>
      <c r="I939" s="54" t="s">
        <v>5270</v>
      </c>
      <c r="J939" s="37"/>
    </row>
    <row r="940" customFormat="false" ht="15" hidden="false" customHeight="true" outlineLevel="0" collapsed="false">
      <c r="A940" s="37" t="s">
        <v>1846</v>
      </c>
      <c r="B940" s="37" t="s">
        <v>448</v>
      </c>
      <c r="C940" s="54" t="s">
        <v>1847</v>
      </c>
      <c r="D940" s="54" t="s">
        <v>5337</v>
      </c>
      <c r="E940" s="37" t="s">
        <v>5338</v>
      </c>
      <c r="F940" s="54" t="s">
        <v>5240</v>
      </c>
      <c r="G940" s="37" t="s">
        <v>5373</v>
      </c>
      <c r="H940" s="37" t="s">
        <v>5269</v>
      </c>
      <c r="I940" s="54" t="s">
        <v>5270</v>
      </c>
      <c r="J940" s="37"/>
    </row>
    <row r="941" customFormat="false" ht="15" hidden="false" customHeight="true" outlineLevel="0" collapsed="false">
      <c r="A941" s="37" t="s">
        <v>1849</v>
      </c>
      <c r="B941" s="37" t="s">
        <v>448</v>
      </c>
      <c r="C941" s="54" t="s">
        <v>1850</v>
      </c>
      <c r="D941" s="54" t="s">
        <v>5337</v>
      </c>
      <c r="E941" s="37" t="s">
        <v>5338</v>
      </c>
      <c r="F941" s="54" t="s">
        <v>5240</v>
      </c>
      <c r="G941" s="37" t="s">
        <v>5373</v>
      </c>
      <c r="H941" s="37" t="s">
        <v>5269</v>
      </c>
      <c r="I941" s="54" t="s">
        <v>5270</v>
      </c>
      <c r="J941" s="37"/>
    </row>
    <row r="942" customFormat="false" ht="15" hidden="false" customHeight="true" outlineLevel="0" collapsed="false">
      <c r="A942" s="37" t="s">
        <v>1852</v>
      </c>
      <c r="B942" s="37" t="s">
        <v>448</v>
      </c>
      <c r="C942" s="54" t="s">
        <v>1853</v>
      </c>
      <c r="D942" s="54" t="s">
        <v>5337</v>
      </c>
      <c r="E942" s="37" t="s">
        <v>5338</v>
      </c>
      <c r="F942" s="54" t="s">
        <v>5240</v>
      </c>
      <c r="G942" s="37" t="s">
        <v>5373</v>
      </c>
      <c r="H942" s="37" t="s">
        <v>5269</v>
      </c>
      <c r="I942" s="54" t="s">
        <v>5270</v>
      </c>
      <c r="J942" s="37"/>
    </row>
    <row r="943" customFormat="false" ht="15" hidden="false" customHeight="true" outlineLevel="0" collapsed="false">
      <c r="A943" s="37" t="s">
        <v>1855</v>
      </c>
      <c r="B943" s="37" t="s">
        <v>448</v>
      </c>
      <c r="C943" s="54" t="s">
        <v>1856</v>
      </c>
      <c r="D943" s="54" t="s">
        <v>5337</v>
      </c>
      <c r="E943" s="37" t="s">
        <v>5338</v>
      </c>
      <c r="F943" s="54" t="s">
        <v>5240</v>
      </c>
      <c r="G943" s="37" t="s">
        <v>5373</v>
      </c>
      <c r="H943" s="37" t="s">
        <v>5269</v>
      </c>
      <c r="I943" s="54" t="s">
        <v>5270</v>
      </c>
      <c r="J943" s="37"/>
    </row>
    <row r="944" customFormat="false" ht="15" hidden="false" customHeight="true" outlineLevel="0" collapsed="false">
      <c r="A944" s="37" t="s">
        <v>1858</v>
      </c>
      <c r="B944" s="37" t="s">
        <v>448</v>
      </c>
      <c r="C944" s="54" t="s">
        <v>1859</v>
      </c>
      <c r="D944" s="54" t="s">
        <v>5337</v>
      </c>
      <c r="E944" s="37" t="s">
        <v>5338</v>
      </c>
      <c r="F944" s="54" t="s">
        <v>5240</v>
      </c>
      <c r="G944" s="37" t="s">
        <v>5373</v>
      </c>
      <c r="H944" s="37" t="s">
        <v>5269</v>
      </c>
      <c r="I944" s="54" t="s">
        <v>5270</v>
      </c>
      <c r="J944" s="37"/>
    </row>
    <row r="945" customFormat="false" ht="15" hidden="false" customHeight="true" outlineLevel="0" collapsed="false">
      <c r="A945" s="37" t="s">
        <v>1861</v>
      </c>
      <c r="B945" s="37" t="s">
        <v>448</v>
      </c>
      <c r="C945" s="54" t="s">
        <v>1862</v>
      </c>
      <c r="D945" s="54" t="s">
        <v>5337</v>
      </c>
      <c r="E945" s="37" t="s">
        <v>5338</v>
      </c>
      <c r="F945" s="54" t="s">
        <v>5240</v>
      </c>
      <c r="G945" s="37" t="s">
        <v>5373</v>
      </c>
      <c r="H945" s="37" t="s">
        <v>5269</v>
      </c>
      <c r="I945" s="54" t="s">
        <v>5270</v>
      </c>
      <c r="J945" s="37"/>
    </row>
    <row r="946" customFormat="false" ht="15" hidden="false" customHeight="true" outlineLevel="0" collapsed="false">
      <c r="A946" s="37" t="s">
        <v>1864</v>
      </c>
      <c r="B946" s="37" t="s">
        <v>448</v>
      </c>
      <c r="C946" s="54" t="s">
        <v>1865</v>
      </c>
      <c r="D946" s="54" t="s">
        <v>5337</v>
      </c>
      <c r="E946" s="37" t="s">
        <v>5338</v>
      </c>
      <c r="F946" s="54" t="s">
        <v>5240</v>
      </c>
      <c r="G946" s="37" t="s">
        <v>5373</v>
      </c>
      <c r="H946" s="37" t="s">
        <v>5269</v>
      </c>
      <c r="I946" s="54" t="s">
        <v>5270</v>
      </c>
      <c r="J946" s="37"/>
    </row>
    <row r="947" customFormat="false" ht="15" hidden="false" customHeight="true" outlineLevel="0" collapsed="false">
      <c r="A947" s="37" t="s">
        <v>1867</v>
      </c>
      <c r="B947" s="37" t="s">
        <v>448</v>
      </c>
      <c r="C947" s="54" t="s">
        <v>1868</v>
      </c>
      <c r="D947" s="54" t="s">
        <v>5337</v>
      </c>
      <c r="E947" s="37" t="s">
        <v>5338</v>
      </c>
      <c r="F947" s="54" t="s">
        <v>5240</v>
      </c>
      <c r="G947" s="37" t="s">
        <v>5373</v>
      </c>
      <c r="H947" s="37" t="s">
        <v>5269</v>
      </c>
      <c r="I947" s="54" t="s">
        <v>5270</v>
      </c>
      <c r="J947" s="37"/>
    </row>
    <row r="948" customFormat="false" ht="15" hidden="false" customHeight="true" outlineLevel="0" collapsed="false">
      <c r="A948" s="37" t="s">
        <v>1870</v>
      </c>
      <c r="B948" s="37" t="s">
        <v>448</v>
      </c>
      <c r="C948" s="54" t="s">
        <v>1871</v>
      </c>
      <c r="D948" s="54" t="s">
        <v>5337</v>
      </c>
      <c r="E948" s="37" t="s">
        <v>5338</v>
      </c>
      <c r="F948" s="54" t="s">
        <v>5240</v>
      </c>
      <c r="G948" s="37" t="s">
        <v>5373</v>
      </c>
      <c r="H948" s="37" t="s">
        <v>5269</v>
      </c>
      <c r="I948" s="54" t="s">
        <v>5270</v>
      </c>
      <c r="J948" s="37"/>
    </row>
    <row r="949" customFormat="false" ht="15" hidden="false" customHeight="true" outlineLevel="0" collapsed="false">
      <c r="A949" s="37" t="s">
        <v>1873</v>
      </c>
      <c r="B949" s="37" t="s">
        <v>448</v>
      </c>
      <c r="C949" s="54" t="s">
        <v>1874</v>
      </c>
      <c r="D949" s="54" t="s">
        <v>5341</v>
      </c>
      <c r="E949" s="54" t="s">
        <v>5233</v>
      </c>
      <c r="F949" s="54" t="s">
        <v>5216</v>
      </c>
      <c r="G949" s="37" t="s">
        <v>5373</v>
      </c>
      <c r="H949" s="37" t="s">
        <v>5269</v>
      </c>
      <c r="I949" s="54" t="s">
        <v>5270</v>
      </c>
      <c r="J949" s="37"/>
    </row>
    <row r="950" customFormat="false" ht="15" hidden="false" customHeight="true" outlineLevel="0" collapsed="false">
      <c r="A950" s="37" t="s">
        <v>1876</v>
      </c>
      <c r="B950" s="37" t="s">
        <v>448</v>
      </c>
      <c r="C950" s="54" t="s">
        <v>1877</v>
      </c>
      <c r="D950" s="54" t="s">
        <v>5374</v>
      </c>
      <c r="E950" s="37" t="s">
        <v>5252</v>
      </c>
      <c r="F950" s="54" t="s">
        <v>5240</v>
      </c>
      <c r="G950" s="37" t="s">
        <v>5373</v>
      </c>
      <c r="H950" s="37" t="s">
        <v>5269</v>
      </c>
      <c r="I950" s="54" t="s">
        <v>5270</v>
      </c>
      <c r="J950" s="37"/>
    </row>
    <row r="951" customFormat="false" ht="15" hidden="false" customHeight="true" outlineLevel="0" collapsed="false">
      <c r="A951" s="37" t="s">
        <v>1879</v>
      </c>
      <c r="B951" s="37" t="s">
        <v>448</v>
      </c>
      <c r="C951" s="54" t="s">
        <v>1880</v>
      </c>
      <c r="D951" s="54" t="s">
        <v>5374</v>
      </c>
      <c r="E951" s="37" t="s">
        <v>5252</v>
      </c>
      <c r="F951" s="54" t="s">
        <v>5240</v>
      </c>
      <c r="G951" s="37" t="s">
        <v>5373</v>
      </c>
      <c r="H951" s="37" t="s">
        <v>5269</v>
      </c>
      <c r="I951" s="54" t="s">
        <v>5270</v>
      </c>
      <c r="J951" s="37"/>
    </row>
    <row r="952" customFormat="false" ht="15" hidden="false" customHeight="true" outlineLevel="0" collapsed="false">
      <c r="A952" s="37" t="s">
        <v>1885</v>
      </c>
      <c r="B952" s="37" t="s">
        <v>448</v>
      </c>
      <c r="C952" s="54" t="s">
        <v>1886</v>
      </c>
      <c r="D952" s="54" t="s">
        <v>5374</v>
      </c>
      <c r="E952" s="37" t="s">
        <v>5252</v>
      </c>
      <c r="F952" s="54" t="s">
        <v>5240</v>
      </c>
      <c r="G952" s="37" t="s">
        <v>5373</v>
      </c>
      <c r="H952" s="37" t="s">
        <v>5269</v>
      </c>
      <c r="I952" s="54" t="s">
        <v>5270</v>
      </c>
      <c r="J952" s="37"/>
    </row>
    <row r="953" customFormat="false" ht="15" hidden="false" customHeight="true" outlineLevel="0" collapsed="false">
      <c r="A953" s="37" t="s">
        <v>1888</v>
      </c>
      <c r="B953" s="37" t="s">
        <v>448</v>
      </c>
      <c r="C953" s="54" t="s">
        <v>1889</v>
      </c>
      <c r="D953" s="54" t="s">
        <v>5374</v>
      </c>
      <c r="E953" s="37" t="s">
        <v>5252</v>
      </c>
      <c r="F953" s="54" t="s">
        <v>5240</v>
      </c>
      <c r="G953" s="37" t="s">
        <v>5373</v>
      </c>
      <c r="H953" s="37" t="s">
        <v>5269</v>
      </c>
      <c r="I953" s="54" t="s">
        <v>5270</v>
      </c>
      <c r="J953" s="37"/>
    </row>
    <row r="954" customFormat="false" ht="15" hidden="false" customHeight="true" outlineLevel="0" collapsed="false">
      <c r="A954" s="37" t="s">
        <v>1891</v>
      </c>
      <c r="B954" s="37" t="s">
        <v>448</v>
      </c>
      <c r="C954" s="54" t="s">
        <v>1892</v>
      </c>
      <c r="D954" s="54" t="s">
        <v>5337</v>
      </c>
      <c r="E954" s="37" t="s">
        <v>5338</v>
      </c>
      <c r="F954" s="54" t="s">
        <v>5240</v>
      </c>
      <c r="G954" s="37" t="s">
        <v>5373</v>
      </c>
      <c r="H954" s="37" t="s">
        <v>5269</v>
      </c>
      <c r="I954" s="54" t="s">
        <v>5270</v>
      </c>
      <c r="J954" s="37"/>
    </row>
    <row r="955" customFormat="false" ht="15" hidden="false" customHeight="true" outlineLevel="0" collapsed="false">
      <c r="A955" s="37" t="s">
        <v>1894</v>
      </c>
      <c r="B955" s="37" t="s">
        <v>448</v>
      </c>
      <c r="C955" s="54" t="s">
        <v>1895</v>
      </c>
      <c r="D955" s="54" t="s">
        <v>5337</v>
      </c>
      <c r="E955" s="37" t="s">
        <v>5338</v>
      </c>
      <c r="F955" s="54" t="s">
        <v>5240</v>
      </c>
      <c r="G955" s="37" t="s">
        <v>5373</v>
      </c>
      <c r="H955" s="37" t="s">
        <v>5269</v>
      </c>
      <c r="I955" s="54" t="s">
        <v>5270</v>
      </c>
      <c r="J955" s="37"/>
    </row>
    <row r="956" customFormat="false" ht="15" hidden="false" customHeight="true" outlineLevel="0" collapsed="false">
      <c r="A956" s="37" t="s">
        <v>1897</v>
      </c>
      <c r="B956" s="37" t="s">
        <v>448</v>
      </c>
      <c r="C956" s="54" t="s">
        <v>1898</v>
      </c>
      <c r="D956" s="54" t="s">
        <v>5374</v>
      </c>
      <c r="E956" s="37" t="s">
        <v>5252</v>
      </c>
      <c r="F956" s="54" t="s">
        <v>5240</v>
      </c>
      <c r="G956" s="37" t="s">
        <v>5373</v>
      </c>
      <c r="H956" s="37" t="s">
        <v>5269</v>
      </c>
      <c r="I956" s="54" t="s">
        <v>5270</v>
      </c>
      <c r="J956" s="37"/>
    </row>
    <row r="957" customFormat="false" ht="15" hidden="false" customHeight="true" outlineLevel="0" collapsed="false">
      <c r="A957" s="37" t="s">
        <v>1900</v>
      </c>
      <c r="B957" s="37" t="s">
        <v>448</v>
      </c>
      <c r="C957" s="54" t="s">
        <v>1901</v>
      </c>
      <c r="D957" s="54" t="s">
        <v>5337</v>
      </c>
      <c r="E957" s="37" t="s">
        <v>5338</v>
      </c>
      <c r="F957" s="54" t="s">
        <v>5240</v>
      </c>
      <c r="G957" s="37" t="s">
        <v>5373</v>
      </c>
      <c r="H957" s="37" t="s">
        <v>5269</v>
      </c>
      <c r="I957" s="54" t="s">
        <v>5270</v>
      </c>
      <c r="J957" s="37"/>
    </row>
    <row r="958" customFormat="false" ht="15" hidden="false" customHeight="true" outlineLevel="0" collapsed="false">
      <c r="A958" s="37" t="s">
        <v>1903</v>
      </c>
      <c r="B958" s="37" t="s">
        <v>448</v>
      </c>
      <c r="C958" s="54" t="s">
        <v>1904</v>
      </c>
      <c r="D958" s="54" t="s">
        <v>5337</v>
      </c>
      <c r="E958" s="37" t="s">
        <v>5338</v>
      </c>
      <c r="F958" s="54" t="s">
        <v>5240</v>
      </c>
      <c r="G958" s="37" t="s">
        <v>5373</v>
      </c>
      <c r="H958" s="37" t="s">
        <v>5269</v>
      </c>
      <c r="I958" s="54" t="s">
        <v>5270</v>
      </c>
      <c r="J958" s="37"/>
    </row>
    <row r="959" customFormat="false" ht="15" hidden="false" customHeight="true" outlineLevel="0" collapsed="false">
      <c r="A959" s="37" t="s">
        <v>1906</v>
      </c>
      <c r="B959" s="37" t="s">
        <v>448</v>
      </c>
      <c r="C959" s="54" t="s">
        <v>1907</v>
      </c>
      <c r="D959" s="54" t="s">
        <v>5337</v>
      </c>
      <c r="E959" s="37" t="s">
        <v>5338</v>
      </c>
      <c r="F959" s="54" t="s">
        <v>5240</v>
      </c>
      <c r="G959" s="37" t="s">
        <v>5373</v>
      </c>
      <c r="H959" s="37" t="s">
        <v>5269</v>
      </c>
      <c r="I959" s="54" t="s">
        <v>5270</v>
      </c>
      <c r="J959" s="37"/>
    </row>
    <row r="960" customFormat="false" ht="15" hidden="false" customHeight="true" outlineLevel="0" collapsed="false">
      <c r="A960" s="37" t="s">
        <v>1909</v>
      </c>
      <c r="B960" s="37" t="s">
        <v>448</v>
      </c>
      <c r="C960" s="54" t="s">
        <v>1910</v>
      </c>
      <c r="D960" s="54" t="s">
        <v>5377</v>
      </c>
      <c r="E960" s="54" t="s">
        <v>5378</v>
      </c>
      <c r="F960" s="54" t="s">
        <v>5216</v>
      </c>
      <c r="G960" s="37" t="s">
        <v>5373</v>
      </c>
      <c r="H960" s="37" t="s">
        <v>5269</v>
      </c>
      <c r="I960" s="54" t="s">
        <v>5270</v>
      </c>
      <c r="J960" s="37"/>
    </row>
    <row r="961" customFormat="false" ht="15" hidden="false" customHeight="true" outlineLevel="0" collapsed="false">
      <c r="A961" s="37" t="s">
        <v>1912</v>
      </c>
      <c r="B961" s="37" t="s">
        <v>448</v>
      </c>
      <c r="C961" s="54" t="s">
        <v>1913</v>
      </c>
      <c r="D961" s="54" t="s">
        <v>5337</v>
      </c>
      <c r="E961" s="37" t="s">
        <v>5338</v>
      </c>
      <c r="F961" s="54" t="s">
        <v>5240</v>
      </c>
      <c r="G961" s="37" t="s">
        <v>5373</v>
      </c>
      <c r="H961" s="37" t="s">
        <v>5269</v>
      </c>
      <c r="I961" s="54" t="s">
        <v>5270</v>
      </c>
      <c r="J961" s="37"/>
    </row>
    <row r="962" customFormat="false" ht="15" hidden="false" customHeight="true" outlineLevel="0" collapsed="false">
      <c r="A962" s="37" t="s">
        <v>1915</v>
      </c>
      <c r="B962" s="37" t="s">
        <v>448</v>
      </c>
      <c r="C962" s="54" t="s">
        <v>1916</v>
      </c>
      <c r="D962" s="54" t="s">
        <v>5337</v>
      </c>
      <c r="E962" s="37" t="s">
        <v>5338</v>
      </c>
      <c r="F962" s="54" t="s">
        <v>5240</v>
      </c>
      <c r="G962" s="37" t="s">
        <v>5373</v>
      </c>
      <c r="H962" s="37" t="s">
        <v>5269</v>
      </c>
      <c r="I962" s="54" t="s">
        <v>5270</v>
      </c>
      <c r="J962" s="37"/>
    </row>
    <row r="963" customFormat="false" ht="15" hidden="false" customHeight="true" outlineLevel="0" collapsed="false">
      <c r="A963" s="37" t="s">
        <v>1918</v>
      </c>
      <c r="B963" s="37" t="s">
        <v>448</v>
      </c>
      <c r="C963" s="54" t="s">
        <v>1919</v>
      </c>
      <c r="D963" s="54" t="s">
        <v>5377</v>
      </c>
      <c r="E963" s="54" t="s">
        <v>5378</v>
      </c>
      <c r="F963" s="54" t="s">
        <v>5216</v>
      </c>
      <c r="G963" s="37" t="s">
        <v>5373</v>
      </c>
      <c r="H963" s="37" t="s">
        <v>5269</v>
      </c>
      <c r="I963" s="54" t="s">
        <v>5270</v>
      </c>
      <c r="J963" s="37"/>
    </row>
    <row r="964" customFormat="false" ht="15" hidden="false" customHeight="true" outlineLevel="0" collapsed="false">
      <c r="A964" s="37" t="s">
        <v>1921</v>
      </c>
      <c r="B964" s="37" t="s">
        <v>448</v>
      </c>
      <c r="C964" s="54" t="s">
        <v>1922</v>
      </c>
      <c r="D964" s="54" t="s">
        <v>5377</v>
      </c>
      <c r="E964" s="54" t="s">
        <v>5378</v>
      </c>
      <c r="F964" s="54" t="s">
        <v>5216</v>
      </c>
      <c r="G964" s="37" t="s">
        <v>5373</v>
      </c>
      <c r="H964" s="37" t="s">
        <v>5269</v>
      </c>
      <c r="I964" s="54" t="s">
        <v>5270</v>
      </c>
      <c r="J964" s="37"/>
    </row>
    <row r="965" customFormat="false" ht="15" hidden="false" customHeight="true" outlineLevel="0" collapsed="false">
      <c r="A965" s="37" t="s">
        <v>1924</v>
      </c>
      <c r="B965" s="37" t="s">
        <v>448</v>
      </c>
      <c r="C965" s="54" t="s">
        <v>1925</v>
      </c>
      <c r="D965" s="54" t="s">
        <v>5379</v>
      </c>
      <c r="E965" s="54" t="s">
        <v>5215</v>
      </c>
      <c r="F965" s="54" t="s">
        <v>5216</v>
      </c>
      <c r="G965" s="37" t="s">
        <v>5373</v>
      </c>
      <c r="H965" s="37" t="s">
        <v>5269</v>
      </c>
      <c r="I965" s="54" t="s">
        <v>5270</v>
      </c>
      <c r="J965" s="37"/>
    </row>
    <row r="966" customFormat="false" ht="15" hidden="false" customHeight="true" outlineLevel="0" collapsed="false">
      <c r="A966" s="37" t="s">
        <v>1928</v>
      </c>
      <c r="B966" s="37" t="s">
        <v>448</v>
      </c>
      <c r="C966" s="54" t="s">
        <v>1929</v>
      </c>
      <c r="D966" s="54" t="s">
        <v>5374</v>
      </c>
      <c r="E966" s="37" t="s">
        <v>5252</v>
      </c>
      <c r="F966" s="54" t="s">
        <v>5240</v>
      </c>
      <c r="G966" s="37" t="s">
        <v>5373</v>
      </c>
      <c r="H966" s="37" t="s">
        <v>5269</v>
      </c>
      <c r="I966" s="54" t="s">
        <v>5270</v>
      </c>
      <c r="J966" s="37"/>
    </row>
    <row r="967" customFormat="false" ht="15" hidden="false" customHeight="true" outlineLevel="0" collapsed="false">
      <c r="A967" s="37" t="s">
        <v>1931</v>
      </c>
      <c r="B967" s="37" t="s">
        <v>448</v>
      </c>
      <c r="C967" s="54" t="s">
        <v>1932</v>
      </c>
      <c r="D967" s="54" t="s">
        <v>5380</v>
      </c>
      <c r="E967" s="54" t="s">
        <v>5381</v>
      </c>
      <c r="F967" s="54" t="s">
        <v>5216</v>
      </c>
      <c r="G967" s="37" t="s">
        <v>5373</v>
      </c>
      <c r="H967" s="37" t="s">
        <v>5269</v>
      </c>
      <c r="I967" s="54" t="s">
        <v>5270</v>
      </c>
      <c r="J967" s="37"/>
    </row>
    <row r="968" customFormat="false" ht="15" hidden="false" customHeight="true" outlineLevel="0" collapsed="false">
      <c r="A968" s="37" t="s">
        <v>1935</v>
      </c>
      <c r="B968" s="37" t="s">
        <v>448</v>
      </c>
      <c r="C968" s="37" t="s">
        <v>1936</v>
      </c>
      <c r="D968" s="54" t="s">
        <v>5382</v>
      </c>
      <c r="E968" s="54" t="s">
        <v>5215</v>
      </c>
      <c r="F968" s="54" t="s">
        <v>5216</v>
      </c>
      <c r="G968" s="37" t="s">
        <v>5373</v>
      </c>
      <c r="H968" s="37" t="s">
        <v>5269</v>
      </c>
      <c r="I968" s="54" t="s">
        <v>5270</v>
      </c>
      <c r="J968" s="37"/>
    </row>
    <row r="969" customFormat="false" ht="15" hidden="false" customHeight="true" outlineLevel="0" collapsed="false">
      <c r="A969" s="37" t="s">
        <v>1947</v>
      </c>
      <c r="B969" s="37" t="s">
        <v>463</v>
      </c>
      <c r="C969" s="54" t="s">
        <v>1948</v>
      </c>
      <c r="D969" s="54" t="s">
        <v>5383</v>
      </c>
      <c r="E969" s="54" t="s">
        <v>5384</v>
      </c>
      <c r="F969" s="54" t="s">
        <v>5240</v>
      </c>
      <c r="G969" s="54" t="s">
        <v>5385</v>
      </c>
      <c r="H969" s="37" t="s">
        <v>5269</v>
      </c>
      <c r="I969" s="54" t="s">
        <v>5293</v>
      </c>
      <c r="J969" s="37"/>
    </row>
    <row r="970" customFormat="false" ht="15" hidden="false" customHeight="true" outlineLevel="0" collapsed="false">
      <c r="A970" s="37" t="s">
        <v>1951</v>
      </c>
      <c r="B970" s="37" t="s">
        <v>463</v>
      </c>
      <c r="C970" s="54" t="s">
        <v>1952</v>
      </c>
      <c r="D970" s="54" t="s">
        <v>5383</v>
      </c>
      <c r="E970" s="54" t="s">
        <v>5384</v>
      </c>
      <c r="F970" s="54" t="s">
        <v>5240</v>
      </c>
      <c r="G970" s="54" t="s">
        <v>5385</v>
      </c>
      <c r="H970" s="37" t="s">
        <v>5269</v>
      </c>
      <c r="I970" s="54" t="s">
        <v>5293</v>
      </c>
      <c r="J970" s="37"/>
    </row>
    <row r="971" customFormat="false" ht="15" hidden="false" customHeight="true" outlineLevel="0" collapsed="false">
      <c r="A971" s="37" t="s">
        <v>1954</v>
      </c>
      <c r="B971" s="37" t="s">
        <v>463</v>
      </c>
      <c r="C971" s="54" t="s">
        <v>1955</v>
      </c>
      <c r="D971" s="54" t="s">
        <v>5383</v>
      </c>
      <c r="E971" s="54" t="s">
        <v>5384</v>
      </c>
      <c r="F971" s="54" t="s">
        <v>5240</v>
      </c>
      <c r="G971" s="54" t="s">
        <v>5385</v>
      </c>
      <c r="H971" s="37" t="s">
        <v>5269</v>
      </c>
      <c r="I971" s="54" t="s">
        <v>5293</v>
      </c>
      <c r="J971" s="37"/>
    </row>
    <row r="972" customFormat="false" ht="15" hidden="false" customHeight="true" outlineLevel="0" collapsed="false">
      <c r="A972" s="37" t="s">
        <v>1960</v>
      </c>
      <c r="B972" s="37" t="s">
        <v>463</v>
      </c>
      <c r="C972" s="54" t="s">
        <v>1961</v>
      </c>
      <c r="D972" s="54" t="s">
        <v>5383</v>
      </c>
      <c r="E972" s="54" t="s">
        <v>5384</v>
      </c>
      <c r="F972" s="54" t="s">
        <v>5240</v>
      </c>
      <c r="G972" s="54" t="s">
        <v>5385</v>
      </c>
      <c r="H972" s="37" t="s">
        <v>5269</v>
      </c>
      <c r="I972" s="54" t="s">
        <v>5293</v>
      </c>
      <c r="J972" s="37"/>
    </row>
    <row r="973" customFormat="false" ht="15" hidden="false" customHeight="true" outlineLevel="0" collapsed="false">
      <c r="A973" s="37" t="s">
        <v>1963</v>
      </c>
      <c r="B973" s="37" t="s">
        <v>463</v>
      </c>
      <c r="C973" s="54" t="s">
        <v>1964</v>
      </c>
      <c r="D973" s="54" t="s">
        <v>5383</v>
      </c>
      <c r="E973" s="54" t="s">
        <v>5384</v>
      </c>
      <c r="F973" s="54" t="s">
        <v>5240</v>
      </c>
      <c r="G973" s="54" t="s">
        <v>5385</v>
      </c>
      <c r="H973" s="37" t="s">
        <v>5269</v>
      </c>
      <c r="I973" s="54" t="s">
        <v>5293</v>
      </c>
      <c r="J973" s="37"/>
    </row>
    <row r="974" customFormat="false" ht="15" hidden="false" customHeight="true" outlineLevel="0" collapsed="false">
      <c r="A974" s="37" t="s">
        <v>1966</v>
      </c>
      <c r="B974" s="37" t="s">
        <v>463</v>
      </c>
      <c r="C974" s="54" t="s">
        <v>1967</v>
      </c>
      <c r="D974" s="54" t="s">
        <v>5383</v>
      </c>
      <c r="E974" s="54" t="s">
        <v>5384</v>
      </c>
      <c r="F974" s="54" t="s">
        <v>5240</v>
      </c>
      <c r="G974" s="54" t="s">
        <v>5385</v>
      </c>
      <c r="H974" s="37" t="s">
        <v>5269</v>
      </c>
      <c r="I974" s="54" t="s">
        <v>5293</v>
      </c>
      <c r="J974" s="37"/>
    </row>
    <row r="975" customFormat="false" ht="15" hidden="false" customHeight="true" outlineLevel="0" collapsed="false">
      <c r="A975" s="37" t="s">
        <v>1972</v>
      </c>
      <c r="B975" s="37" t="s">
        <v>463</v>
      </c>
      <c r="C975" s="54" t="s">
        <v>1973</v>
      </c>
      <c r="D975" s="54" t="s">
        <v>5383</v>
      </c>
      <c r="E975" s="54" t="s">
        <v>5384</v>
      </c>
      <c r="F975" s="54" t="s">
        <v>5240</v>
      </c>
      <c r="G975" s="54" t="s">
        <v>5385</v>
      </c>
      <c r="H975" s="37" t="s">
        <v>5269</v>
      </c>
      <c r="I975" s="54" t="s">
        <v>5293</v>
      </c>
      <c r="J975" s="37"/>
    </row>
    <row r="976" customFormat="false" ht="15" hidden="false" customHeight="true" outlineLevel="0" collapsed="false">
      <c r="A976" s="37" t="s">
        <v>1975</v>
      </c>
      <c r="B976" s="37" t="s">
        <v>463</v>
      </c>
      <c r="C976" s="54" t="s">
        <v>1976</v>
      </c>
      <c r="D976" s="54" t="s">
        <v>5383</v>
      </c>
      <c r="E976" s="54" t="s">
        <v>5384</v>
      </c>
      <c r="F976" s="54" t="s">
        <v>5240</v>
      </c>
      <c r="G976" s="54" t="s">
        <v>5385</v>
      </c>
      <c r="H976" s="37" t="s">
        <v>5269</v>
      </c>
      <c r="I976" s="54" t="s">
        <v>5293</v>
      </c>
      <c r="J976" s="37"/>
    </row>
    <row r="977" customFormat="false" ht="15" hidden="false" customHeight="true" outlineLevel="0" collapsed="false">
      <c r="A977" s="37" t="s">
        <v>1978</v>
      </c>
      <c r="B977" s="37" t="s">
        <v>463</v>
      </c>
      <c r="C977" s="54" t="s">
        <v>1979</v>
      </c>
      <c r="D977" s="54" t="s">
        <v>5341</v>
      </c>
      <c r="E977" s="54" t="s">
        <v>5233</v>
      </c>
      <c r="F977" s="54" t="s">
        <v>5216</v>
      </c>
      <c r="G977" s="54" t="s">
        <v>5385</v>
      </c>
      <c r="H977" s="37" t="s">
        <v>5269</v>
      </c>
      <c r="I977" s="54" t="s">
        <v>5293</v>
      </c>
      <c r="J977" s="37"/>
    </row>
    <row r="978" customFormat="false" ht="15" hidden="false" customHeight="true" outlineLevel="0" collapsed="false">
      <c r="A978" s="37" t="s">
        <v>1984</v>
      </c>
      <c r="B978" s="37" t="s">
        <v>463</v>
      </c>
      <c r="C978" s="54" t="s">
        <v>1985</v>
      </c>
      <c r="D978" s="54" t="s">
        <v>5383</v>
      </c>
      <c r="E978" s="54" t="s">
        <v>5384</v>
      </c>
      <c r="F978" s="54" t="s">
        <v>5240</v>
      </c>
      <c r="G978" s="54" t="s">
        <v>5385</v>
      </c>
      <c r="H978" s="37" t="s">
        <v>5269</v>
      </c>
      <c r="I978" s="54" t="s">
        <v>5293</v>
      </c>
      <c r="J978" s="37"/>
    </row>
    <row r="979" customFormat="false" ht="15" hidden="false" customHeight="true" outlineLevel="0" collapsed="false">
      <c r="A979" s="37" t="s">
        <v>1987</v>
      </c>
      <c r="B979" s="37" t="s">
        <v>463</v>
      </c>
      <c r="C979" s="54" t="s">
        <v>1988</v>
      </c>
      <c r="D979" s="54" t="s">
        <v>5386</v>
      </c>
      <c r="E979" s="54" t="s">
        <v>5384</v>
      </c>
      <c r="F979" s="54" t="s">
        <v>5240</v>
      </c>
      <c r="G979" s="54" t="s">
        <v>5385</v>
      </c>
      <c r="H979" s="37" t="s">
        <v>5269</v>
      </c>
      <c r="I979" s="54" t="s">
        <v>5293</v>
      </c>
      <c r="J979" s="37"/>
    </row>
    <row r="980" customFormat="false" ht="15" hidden="false" customHeight="true" outlineLevel="0" collapsed="false">
      <c r="A980" s="37" t="s">
        <v>1990</v>
      </c>
      <c r="B980" s="37" t="s">
        <v>463</v>
      </c>
      <c r="C980" s="54" t="s">
        <v>1991</v>
      </c>
      <c r="D980" s="54" t="s">
        <v>5383</v>
      </c>
      <c r="E980" s="54" t="s">
        <v>5384</v>
      </c>
      <c r="F980" s="54" t="s">
        <v>5240</v>
      </c>
      <c r="G980" s="54" t="s">
        <v>5385</v>
      </c>
      <c r="H980" s="37" t="s">
        <v>5269</v>
      </c>
      <c r="I980" s="54" t="s">
        <v>5293</v>
      </c>
      <c r="J980" s="37"/>
    </row>
    <row r="981" customFormat="false" ht="15" hidden="false" customHeight="true" outlineLevel="0" collapsed="false">
      <c r="A981" s="37" t="s">
        <v>1993</v>
      </c>
      <c r="B981" s="37" t="s">
        <v>463</v>
      </c>
      <c r="C981" s="54" t="s">
        <v>1994</v>
      </c>
      <c r="D981" s="54" t="s">
        <v>5383</v>
      </c>
      <c r="E981" s="54" t="s">
        <v>5384</v>
      </c>
      <c r="F981" s="54" t="s">
        <v>5240</v>
      </c>
      <c r="G981" s="54" t="s">
        <v>5385</v>
      </c>
      <c r="H981" s="37" t="s">
        <v>5269</v>
      </c>
      <c r="I981" s="54" t="s">
        <v>5293</v>
      </c>
      <c r="J981" s="37"/>
    </row>
    <row r="982" customFormat="false" ht="15" hidden="false" customHeight="true" outlineLevel="0" collapsed="false">
      <c r="A982" s="37" t="s">
        <v>1999</v>
      </c>
      <c r="B982" s="37" t="s">
        <v>463</v>
      </c>
      <c r="C982" s="54" t="s">
        <v>2000</v>
      </c>
      <c r="D982" s="54" t="s">
        <v>5383</v>
      </c>
      <c r="E982" s="54" t="s">
        <v>5384</v>
      </c>
      <c r="F982" s="54" t="s">
        <v>5240</v>
      </c>
      <c r="G982" s="54" t="s">
        <v>5385</v>
      </c>
      <c r="H982" s="37" t="s">
        <v>5269</v>
      </c>
      <c r="I982" s="54" t="s">
        <v>5293</v>
      </c>
      <c r="J982" s="37"/>
    </row>
    <row r="983" customFormat="false" ht="15" hidden="false" customHeight="true" outlineLevel="0" collapsed="false">
      <c r="A983" s="37" t="s">
        <v>2002</v>
      </c>
      <c r="B983" s="37" t="s">
        <v>463</v>
      </c>
      <c r="C983" s="54" t="s">
        <v>2003</v>
      </c>
      <c r="D983" s="54" t="s">
        <v>5383</v>
      </c>
      <c r="E983" s="54" t="s">
        <v>5384</v>
      </c>
      <c r="F983" s="54" t="s">
        <v>5240</v>
      </c>
      <c r="G983" s="54" t="s">
        <v>5385</v>
      </c>
      <c r="H983" s="37" t="s">
        <v>5269</v>
      </c>
      <c r="I983" s="54" t="s">
        <v>5293</v>
      </c>
      <c r="J983" s="37"/>
    </row>
    <row r="984" customFormat="false" ht="15" hidden="false" customHeight="true" outlineLevel="0" collapsed="false">
      <c r="A984" s="37" t="s">
        <v>2005</v>
      </c>
      <c r="B984" s="37" t="s">
        <v>463</v>
      </c>
      <c r="C984" s="54" t="s">
        <v>2006</v>
      </c>
      <c r="D984" s="54" t="s">
        <v>5383</v>
      </c>
      <c r="E984" s="54" t="s">
        <v>5384</v>
      </c>
      <c r="F984" s="54" t="s">
        <v>5240</v>
      </c>
      <c r="G984" s="54" t="s">
        <v>5385</v>
      </c>
      <c r="H984" s="37" t="s">
        <v>5269</v>
      </c>
      <c r="I984" s="54" t="s">
        <v>5293</v>
      </c>
      <c r="J984" s="37"/>
    </row>
    <row r="985" customFormat="false" ht="15" hidden="false" customHeight="true" outlineLevel="0" collapsed="false">
      <c r="A985" s="37" t="s">
        <v>2011</v>
      </c>
      <c r="B985" s="37" t="s">
        <v>463</v>
      </c>
      <c r="C985" s="54" t="s">
        <v>2012</v>
      </c>
      <c r="D985" s="54" t="s">
        <v>5255</v>
      </c>
      <c r="E985" s="54" t="s">
        <v>5256</v>
      </c>
      <c r="F985" s="54" t="s">
        <v>5216</v>
      </c>
      <c r="G985" s="54" t="s">
        <v>5385</v>
      </c>
      <c r="H985" s="37" t="s">
        <v>5269</v>
      </c>
      <c r="I985" s="54" t="s">
        <v>5293</v>
      </c>
      <c r="J985" s="37"/>
    </row>
    <row r="986" customFormat="false" ht="15" hidden="false" customHeight="true" outlineLevel="0" collapsed="false">
      <c r="A986" s="37" t="s">
        <v>2014</v>
      </c>
      <c r="B986" s="37" t="s">
        <v>463</v>
      </c>
      <c r="C986" s="54" t="s">
        <v>2015</v>
      </c>
      <c r="D986" s="54" t="s">
        <v>5255</v>
      </c>
      <c r="E986" s="54" t="s">
        <v>5256</v>
      </c>
      <c r="F986" s="54" t="s">
        <v>5216</v>
      </c>
      <c r="G986" s="54" t="s">
        <v>5385</v>
      </c>
      <c r="H986" s="37" t="s">
        <v>5269</v>
      </c>
      <c r="I986" s="54" t="s">
        <v>5293</v>
      </c>
      <c r="J986" s="37"/>
    </row>
    <row r="987" customFormat="false" ht="15" hidden="false" customHeight="true" outlineLevel="0" collapsed="false">
      <c r="A987" s="37" t="s">
        <v>2017</v>
      </c>
      <c r="B987" s="37" t="s">
        <v>463</v>
      </c>
      <c r="C987" s="54" t="s">
        <v>2018</v>
      </c>
      <c r="D987" s="54" t="s">
        <v>5387</v>
      </c>
      <c r="E987" s="54" t="s">
        <v>5215</v>
      </c>
      <c r="F987" s="54" t="s">
        <v>5216</v>
      </c>
      <c r="G987" s="54" t="s">
        <v>5385</v>
      </c>
      <c r="H987" s="37" t="s">
        <v>5269</v>
      </c>
      <c r="I987" s="54" t="s">
        <v>5293</v>
      </c>
      <c r="J987" s="37"/>
    </row>
    <row r="988" customFormat="false" ht="15" hidden="false" customHeight="true" outlineLevel="0" collapsed="false">
      <c r="A988" s="37" t="s">
        <v>2020</v>
      </c>
      <c r="B988" s="37" t="s">
        <v>463</v>
      </c>
      <c r="C988" s="54" t="s">
        <v>2021</v>
      </c>
      <c r="D988" s="54" t="s">
        <v>5383</v>
      </c>
      <c r="E988" s="54" t="s">
        <v>5384</v>
      </c>
      <c r="F988" s="54" t="s">
        <v>5240</v>
      </c>
      <c r="G988" s="54" t="s">
        <v>5385</v>
      </c>
      <c r="H988" s="37" t="s">
        <v>5269</v>
      </c>
      <c r="I988" s="54" t="s">
        <v>5293</v>
      </c>
      <c r="J988" s="37"/>
    </row>
    <row r="989" customFormat="false" ht="15" hidden="false" customHeight="true" outlineLevel="0" collapsed="false">
      <c r="A989" s="37" t="s">
        <v>2027</v>
      </c>
      <c r="B989" s="37" t="s">
        <v>463</v>
      </c>
      <c r="C989" s="54" t="s">
        <v>2028</v>
      </c>
      <c r="D989" s="54" t="s">
        <v>5388</v>
      </c>
      <c r="E989" s="54" t="s">
        <v>5384</v>
      </c>
      <c r="F989" s="54" t="s">
        <v>5240</v>
      </c>
      <c r="G989" s="54" t="s">
        <v>5385</v>
      </c>
      <c r="H989" s="37" t="s">
        <v>5269</v>
      </c>
      <c r="I989" s="54" t="s">
        <v>5293</v>
      </c>
      <c r="J989" s="37"/>
    </row>
    <row r="990" customFormat="false" ht="15" hidden="false" customHeight="true" outlineLevel="0" collapsed="false">
      <c r="A990" s="37" t="s">
        <v>2030</v>
      </c>
      <c r="B990" s="37" t="s">
        <v>463</v>
      </c>
      <c r="C990" s="54" t="s">
        <v>2031</v>
      </c>
      <c r="D990" s="54" t="s">
        <v>5383</v>
      </c>
      <c r="E990" s="54" t="s">
        <v>5384</v>
      </c>
      <c r="F990" s="54" t="s">
        <v>5240</v>
      </c>
      <c r="G990" s="54" t="s">
        <v>5385</v>
      </c>
      <c r="H990" s="37" t="s">
        <v>5269</v>
      </c>
      <c r="I990" s="54" t="s">
        <v>5293</v>
      </c>
      <c r="J990" s="37"/>
    </row>
    <row r="991" customFormat="false" ht="15" hidden="false" customHeight="true" outlineLevel="0" collapsed="false">
      <c r="A991" s="37" t="s">
        <v>2033</v>
      </c>
      <c r="B991" s="37" t="s">
        <v>463</v>
      </c>
      <c r="C991" s="54" t="s">
        <v>2034</v>
      </c>
      <c r="D991" s="54" t="s">
        <v>5383</v>
      </c>
      <c r="E991" s="54" t="s">
        <v>5384</v>
      </c>
      <c r="F991" s="54" t="s">
        <v>5240</v>
      </c>
      <c r="G991" s="54" t="s">
        <v>5385</v>
      </c>
      <c r="H991" s="37" t="s">
        <v>5269</v>
      </c>
      <c r="I991" s="54" t="s">
        <v>5293</v>
      </c>
      <c r="J991" s="37"/>
    </row>
    <row r="992" customFormat="false" ht="15" hidden="false" customHeight="true" outlineLevel="0" collapsed="false">
      <c r="A992" s="37" t="s">
        <v>2036</v>
      </c>
      <c r="B992" s="37" t="s">
        <v>463</v>
      </c>
      <c r="C992" s="54" t="s">
        <v>2037</v>
      </c>
      <c r="D992" s="54" t="s">
        <v>5389</v>
      </c>
      <c r="E992" s="54" t="s">
        <v>5384</v>
      </c>
      <c r="F992" s="54" t="s">
        <v>5240</v>
      </c>
      <c r="G992" s="54" t="s">
        <v>5385</v>
      </c>
      <c r="H992" s="37" t="s">
        <v>5269</v>
      </c>
      <c r="I992" s="54" t="s">
        <v>5293</v>
      </c>
      <c r="J992" s="37"/>
    </row>
    <row r="993" customFormat="false" ht="15" hidden="false" customHeight="true" outlineLevel="0" collapsed="false">
      <c r="A993" s="37" t="s">
        <v>2042</v>
      </c>
      <c r="B993" s="37" t="s">
        <v>463</v>
      </c>
      <c r="C993" s="54" t="s">
        <v>2043</v>
      </c>
      <c r="D993" s="54" t="s">
        <v>5383</v>
      </c>
      <c r="E993" s="54" t="s">
        <v>5384</v>
      </c>
      <c r="F993" s="54" t="s">
        <v>5240</v>
      </c>
      <c r="G993" s="54" t="s">
        <v>5385</v>
      </c>
      <c r="H993" s="37" t="s">
        <v>5269</v>
      </c>
      <c r="I993" s="54" t="s">
        <v>5293</v>
      </c>
      <c r="J993" s="37"/>
    </row>
    <row r="994" customFormat="false" ht="15" hidden="false" customHeight="true" outlineLevel="0" collapsed="false">
      <c r="A994" s="37" t="s">
        <v>2046</v>
      </c>
      <c r="B994" s="37" t="s">
        <v>463</v>
      </c>
      <c r="C994" s="54" t="s">
        <v>2047</v>
      </c>
      <c r="D994" s="54" t="s">
        <v>5388</v>
      </c>
      <c r="E994" s="54" t="s">
        <v>5384</v>
      </c>
      <c r="F994" s="54" t="s">
        <v>5240</v>
      </c>
      <c r="G994" s="54" t="s">
        <v>5385</v>
      </c>
      <c r="H994" s="37" t="s">
        <v>5269</v>
      </c>
      <c r="I994" s="54" t="s">
        <v>5293</v>
      </c>
      <c r="J994" s="37"/>
    </row>
    <row r="995" customFormat="false" ht="15" hidden="false" customHeight="true" outlineLevel="0" collapsed="false">
      <c r="A995" s="37" t="s">
        <v>2049</v>
      </c>
      <c r="B995" s="37" t="s">
        <v>463</v>
      </c>
      <c r="C995" s="54" t="s">
        <v>2050</v>
      </c>
      <c r="D995" s="54" t="s">
        <v>5386</v>
      </c>
      <c r="E995" s="54" t="s">
        <v>5384</v>
      </c>
      <c r="F995" s="54" t="s">
        <v>5240</v>
      </c>
      <c r="G995" s="54" t="s">
        <v>5385</v>
      </c>
      <c r="H995" s="37" t="s">
        <v>5269</v>
      </c>
      <c r="I995" s="54" t="s">
        <v>5293</v>
      </c>
      <c r="J995" s="37"/>
    </row>
    <row r="996" customFormat="false" ht="15" hidden="false" customHeight="true" outlineLevel="0" collapsed="false">
      <c r="A996" s="37" t="s">
        <v>2052</v>
      </c>
      <c r="B996" s="37" t="s">
        <v>463</v>
      </c>
      <c r="C996" s="54" t="s">
        <v>2053</v>
      </c>
      <c r="D996" s="54" t="s">
        <v>5386</v>
      </c>
      <c r="E996" s="54" t="s">
        <v>5384</v>
      </c>
      <c r="F996" s="54" t="s">
        <v>5240</v>
      </c>
      <c r="G996" s="54" t="s">
        <v>5385</v>
      </c>
      <c r="H996" s="37" t="s">
        <v>5269</v>
      </c>
      <c r="I996" s="54" t="s">
        <v>5293</v>
      </c>
      <c r="J996" s="37"/>
    </row>
    <row r="997" customFormat="false" ht="15" hidden="false" customHeight="true" outlineLevel="0" collapsed="false">
      <c r="A997" s="37" t="s">
        <v>2055</v>
      </c>
      <c r="B997" s="37" t="s">
        <v>463</v>
      </c>
      <c r="C997" s="54" t="s">
        <v>2056</v>
      </c>
      <c r="D997" s="54" t="s">
        <v>5389</v>
      </c>
      <c r="E997" s="54" t="s">
        <v>5384</v>
      </c>
      <c r="F997" s="54" t="s">
        <v>5240</v>
      </c>
      <c r="G997" s="54" t="s">
        <v>5385</v>
      </c>
      <c r="H997" s="37" t="s">
        <v>5269</v>
      </c>
      <c r="I997" s="54" t="s">
        <v>5293</v>
      </c>
      <c r="J997" s="37"/>
    </row>
    <row r="998" customFormat="false" ht="15" hidden="false" customHeight="true" outlineLevel="0" collapsed="false">
      <c r="A998" s="37" t="s">
        <v>2058</v>
      </c>
      <c r="B998" s="37" t="s">
        <v>463</v>
      </c>
      <c r="C998" s="54" t="s">
        <v>2059</v>
      </c>
      <c r="D998" s="54" t="s">
        <v>5383</v>
      </c>
      <c r="E998" s="54" t="s">
        <v>5384</v>
      </c>
      <c r="F998" s="54" t="s">
        <v>5240</v>
      </c>
      <c r="G998" s="54" t="s">
        <v>5385</v>
      </c>
      <c r="H998" s="37" t="s">
        <v>5269</v>
      </c>
      <c r="I998" s="54" t="s">
        <v>5293</v>
      </c>
      <c r="J998" s="37"/>
    </row>
    <row r="999" customFormat="false" ht="15" hidden="false" customHeight="true" outlineLevel="0" collapsed="false">
      <c r="A999" s="37" t="s">
        <v>2061</v>
      </c>
      <c r="B999" s="37" t="s">
        <v>463</v>
      </c>
      <c r="C999" s="54" t="s">
        <v>2062</v>
      </c>
      <c r="D999" s="54" t="s">
        <v>5383</v>
      </c>
      <c r="E999" s="54" t="s">
        <v>5384</v>
      </c>
      <c r="F999" s="54" t="s">
        <v>5240</v>
      </c>
      <c r="G999" s="54" t="s">
        <v>5385</v>
      </c>
      <c r="H999" s="37" t="s">
        <v>5269</v>
      </c>
      <c r="I999" s="54" t="s">
        <v>5293</v>
      </c>
      <c r="J999" s="37"/>
    </row>
    <row r="1000" customFormat="false" ht="15" hidden="false" customHeight="true" outlineLevel="0" collapsed="false">
      <c r="A1000" s="37" t="s">
        <v>2067</v>
      </c>
      <c r="B1000" s="37" t="s">
        <v>463</v>
      </c>
      <c r="C1000" s="54" t="s">
        <v>2068</v>
      </c>
      <c r="D1000" s="54" t="s">
        <v>5388</v>
      </c>
      <c r="E1000" s="54" t="s">
        <v>5384</v>
      </c>
      <c r="F1000" s="54" t="s">
        <v>5240</v>
      </c>
      <c r="G1000" s="54" t="s">
        <v>5385</v>
      </c>
      <c r="H1000" s="37" t="s">
        <v>5269</v>
      </c>
      <c r="I1000" s="54" t="s">
        <v>5293</v>
      </c>
      <c r="J1000" s="37"/>
    </row>
    <row r="1001" customFormat="false" ht="15" hidden="false" customHeight="true" outlineLevel="0" collapsed="false">
      <c r="A1001" s="37" t="s">
        <v>2070</v>
      </c>
      <c r="B1001" s="37" t="s">
        <v>463</v>
      </c>
      <c r="C1001" s="54" t="s">
        <v>2071</v>
      </c>
      <c r="D1001" s="54" t="s">
        <v>5388</v>
      </c>
      <c r="E1001" s="54" t="s">
        <v>5384</v>
      </c>
      <c r="F1001" s="54" t="s">
        <v>5240</v>
      </c>
      <c r="G1001" s="54" t="s">
        <v>5385</v>
      </c>
      <c r="H1001" s="37" t="s">
        <v>5269</v>
      </c>
      <c r="I1001" s="54" t="s">
        <v>5293</v>
      </c>
      <c r="J1001" s="37"/>
    </row>
    <row r="1002" customFormat="false" ht="15" hidden="false" customHeight="true" outlineLevel="0" collapsed="false">
      <c r="A1002" s="37" t="s">
        <v>2073</v>
      </c>
      <c r="B1002" s="37" t="s">
        <v>463</v>
      </c>
      <c r="C1002" s="54" t="s">
        <v>2074</v>
      </c>
      <c r="D1002" s="54" t="s">
        <v>5389</v>
      </c>
      <c r="E1002" s="54" t="s">
        <v>5384</v>
      </c>
      <c r="F1002" s="54" t="s">
        <v>5240</v>
      </c>
      <c r="G1002" s="54" t="s">
        <v>5385</v>
      </c>
      <c r="H1002" s="37" t="s">
        <v>5269</v>
      </c>
      <c r="I1002" s="54" t="s">
        <v>5293</v>
      </c>
      <c r="J1002" s="37"/>
    </row>
    <row r="1003" customFormat="false" ht="15" hidden="false" customHeight="true" outlineLevel="0" collapsed="false">
      <c r="A1003" s="37" t="s">
        <v>2079</v>
      </c>
      <c r="B1003" s="37" t="s">
        <v>463</v>
      </c>
      <c r="C1003" s="54" t="s">
        <v>2080</v>
      </c>
      <c r="D1003" s="54" t="s">
        <v>5390</v>
      </c>
      <c r="E1003" s="54" t="s">
        <v>5215</v>
      </c>
      <c r="F1003" s="54" t="s">
        <v>5216</v>
      </c>
      <c r="G1003" s="54" t="s">
        <v>5385</v>
      </c>
      <c r="H1003" s="37" t="s">
        <v>5269</v>
      </c>
      <c r="I1003" s="54" t="s">
        <v>5293</v>
      </c>
      <c r="J1003" s="37"/>
    </row>
    <row r="1004" customFormat="false" ht="15" hidden="false" customHeight="true" outlineLevel="0" collapsed="false">
      <c r="A1004" s="37" t="s">
        <v>2082</v>
      </c>
      <c r="B1004" s="37" t="s">
        <v>463</v>
      </c>
      <c r="C1004" s="54" t="s">
        <v>2083</v>
      </c>
      <c r="D1004" s="54" t="s">
        <v>5390</v>
      </c>
      <c r="E1004" s="54" t="s">
        <v>5215</v>
      </c>
      <c r="F1004" s="54" t="s">
        <v>5216</v>
      </c>
      <c r="G1004" s="54" t="s">
        <v>5385</v>
      </c>
      <c r="H1004" s="37" t="s">
        <v>5269</v>
      </c>
      <c r="I1004" s="54" t="s">
        <v>5293</v>
      </c>
      <c r="J1004" s="37"/>
    </row>
    <row r="1005" customFormat="false" ht="15" hidden="false" customHeight="true" outlineLevel="0" collapsed="false">
      <c r="A1005" s="37" t="s">
        <v>2085</v>
      </c>
      <c r="B1005" s="37" t="s">
        <v>463</v>
      </c>
      <c r="C1005" s="54" t="s">
        <v>2086</v>
      </c>
      <c r="D1005" s="54" t="s">
        <v>5390</v>
      </c>
      <c r="E1005" s="54" t="s">
        <v>5215</v>
      </c>
      <c r="F1005" s="54" t="s">
        <v>5216</v>
      </c>
      <c r="G1005" s="54" t="s">
        <v>5385</v>
      </c>
      <c r="H1005" s="37" t="s">
        <v>5269</v>
      </c>
      <c r="I1005" s="54" t="s">
        <v>5293</v>
      </c>
      <c r="J1005" s="37"/>
    </row>
    <row r="1006" customFormat="false" ht="15" hidden="false" customHeight="true" outlineLevel="0" collapsed="false">
      <c r="A1006" s="37" t="s">
        <v>2088</v>
      </c>
      <c r="B1006" s="37" t="s">
        <v>463</v>
      </c>
      <c r="C1006" s="54" t="s">
        <v>2089</v>
      </c>
      <c r="D1006" s="54" t="s">
        <v>5386</v>
      </c>
      <c r="E1006" s="54" t="s">
        <v>5384</v>
      </c>
      <c r="F1006" s="54" t="s">
        <v>5240</v>
      </c>
      <c r="G1006" s="54" t="s">
        <v>5385</v>
      </c>
      <c r="H1006" s="37" t="s">
        <v>5269</v>
      </c>
      <c r="I1006" s="54" t="s">
        <v>5293</v>
      </c>
      <c r="J1006" s="37"/>
    </row>
    <row r="1007" customFormat="false" ht="15" hidden="false" customHeight="true" outlineLevel="0" collapsed="false">
      <c r="A1007" s="37" t="s">
        <v>2091</v>
      </c>
      <c r="B1007" s="37" t="s">
        <v>463</v>
      </c>
      <c r="C1007" s="54" t="s">
        <v>2092</v>
      </c>
      <c r="D1007" s="54" t="s">
        <v>5255</v>
      </c>
      <c r="E1007" s="54" t="s">
        <v>5256</v>
      </c>
      <c r="F1007" s="54" t="s">
        <v>5216</v>
      </c>
      <c r="G1007" s="54" t="s">
        <v>5385</v>
      </c>
      <c r="H1007" s="37" t="s">
        <v>5269</v>
      </c>
      <c r="I1007" s="54" t="s">
        <v>5293</v>
      </c>
      <c r="J1007" s="37"/>
    </row>
    <row r="1008" customFormat="false" ht="15" hidden="false" customHeight="true" outlineLevel="0" collapsed="false">
      <c r="A1008" s="37" t="s">
        <v>2094</v>
      </c>
      <c r="B1008" s="37" t="s">
        <v>463</v>
      </c>
      <c r="C1008" s="54" t="s">
        <v>2095</v>
      </c>
      <c r="D1008" s="54" t="s">
        <v>5257</v>
      </c>
      <c r="E1008" s="54" t="s">
        <v>5258</v>
      </c>
      <c r="F1008" s="54" t="s">
        <v>5216</v>
      </c>
      <c r="G1008" s="54" t="s">
        <v>5385</v>
      </c>
      <c r="H1008" s="37" t="s">
        <v>5269</v>
      </c>
      <c r="I1008" s="54" t="s">
        <v>5293</v>
      </c>
      <c r="J1008" s="37"/>
    </row>
    <row r="1009" customFormat="false" ht="15" hidden="false" customHeight="true" outlineLevel="0" collapsed="false">
      <c r="A1009" s="37" t="s">
        <v>2097</v>
      </c>
      <c r="B1009" s="37" t="s">
        <v>463</v>
      </c>
      <c r="C1009" s="54" t="s">
        <v>2098</v>
      </c>
      <c r="D1009" s="54" t="s">
        <v>5390</v>
      </c>
      <c r="E1009" s="54" t="s">
        <v>5215</v>
      </c>
      <c r="F1009" s="54" t="s">
        <v>5216</v>
      </c>
      <c r="G1009" s="54" t="s">
        <v>5385</v>
      </c>
      <c r="H1009" s="37" t="s">
        <v>5269</v>
      </c>
      <c r="I1009" s="54" t="s">
        <v>5293</v>
      </c>
      <c r="J1009" s="37"/>
    </row>
    <row r="1010" customFormat="false" ht="15" hidden="false" customHeight="true" outlineLevel="0" collapsed="false">
      <c r="A1010" s="37" t="s">
        <v>2100</v>
      </c>
      <c r="B1010" s="37" t="s">
        <v>463</v>
      </c>
      <c r="C1010" s="54" t="s">
        <v>2101</v>
      </c>
      <c r="D1010" s="54" t="s">
        <v>5390</v>
      </c>
      <c r="E1010" s="54" t="s">
        <v>5215</v>
      </c>
      <c r="F1010" s="54" t="s">
        <v>5216</v>
      </c>
      <c r="G1010" s="54" t="s">
        <v>5385</v>
      </c>
      <c r="H1010" s="37" t="s">
        <v>5269</v>
      </c>
      <c r="I1010" s="54" t="s">
        <v>5293</v>
      </c>
      <c r="J1010" s="37"/>
    </row>
    <row r="1011" customFormat="false" ht="15" hidden="false" customHeight="true" outlineLevel="0" collapsed="false">
      <c r="A1011" s="37" t="s">
        <v>2103</v>
      </c>
      <c r="B1011" s="37" t="s">
        <v>463</v>
      </c>
      <c r="C1011" s="54" t="s">
        <v>2104</v>
      </c>
      <c r="D1011" s="54" t="s">
        <v>5390</v>
      </c>
      <c r="E1011" s="54" t="s">
        <v>5215</v>
      </c>
      <c r="F1011" s="54" t="s">
        <v>5216</v>
      </c>
      <c r="G1011" s="54" t="s">
        <v>5385</v>
      </c>
      <c r="H1011" s="37" t="s">
        <v>5269</v>
      </c>
      <c r="I1011" s="54" t="s">
        <v>5293</v>
      </c>
      <c r="J1011" s="37"/>
    </row>
    <row r="1012" customFormat="false" ht="15" hidden="false" customHeight="true" outlineLevel="0" collapsed="false">
      <c r="A1012" s="37" t="s">
        <v>2106</v>
      </c>
      <c r="B1012" s="37" t="s">
        <v>463</v>
      </c>
      <c r="C1012" s="54" t="s">
        <v>2107</v>
      </c>
      <c r="D1012" s="54" t="s">
        <v>5390</v>
      </c>
      <c r="E1012" s="54" t="s">
        <v>5215</v>
      </c>
      <c r="F1012" s="54" t="s">
        <v>5216</v>
      </c>
      <c r="G1012" s="54" t="s">
        <v>5385</v>
      </c>
      <c r="H1012" s="37" t="s">
        <v>5269</v>
      </c>
      <c r="I1012" s="54" t="s">
        <v>5293</v>
      </c>
      <c r="J1012" s="37"/>
    </row>
    <row r="1013" customFormat="false" ht="15" hidden="false" customHeight="true" outlineLevel="0" collapsed="false">
      <c r="A1013" s="37" t="s">
        <v>2109</v>
      </c>
      <c r="B1013" s="37" t="s">
        <v>463</v>
      </c>
      <c r="C1013" s="54" t="s">
        <v>2110</v>
      </c>
      <c r="D1013" s="54" t="s">
        <v>5390</v>
      </c>
      <c r="E1013" s="54" t="s">
        <v>5215</v>
      </c>
      <c r="F1013" s="54" t="s">
        <v>5216</v>
      </c>
      <c r="G1013" s="54" t="s">
        <v>5385</v>
      </c>
      <c r="H1013" s="37" t="s">
        <v>5269</v>
      </c>
      <c r="I1013" s="54" t="s">
        <v>5293</v>
      </c>
      <c r="J1013" s="37"/>
    </row>
    <row r="1014" customFormat="false" ht="15" hidden="false" customHeight="true" outlineLevel="0" collapsed="false">
      <c r="A1014" s="37" t="s">
        <v>2115</v>
      </c>
      <c r="B1014" s="37" t="s">
        <v>463</v>
      </c>
      <c r="C1014" s="54" t="s">
        <v>2116</v>
      </c>
      <c r="D1014" s="54" t="s">
        <v>5390</v>
      </c>
      <c r="E1014" s="54" t="s">
        <v>5215</v>
      </c>
      <c r="F1014" s="54" t="s">
        <v>5216</v>
      </c>
      <c r="G1014" s="54" t="s">
        <v>5385</v>
      </c>
      <c r="H1014" s="37" t="s">
        <v>5269</v>
      </c>
      <c r="I1014" s="54" t="s">
        <v>5293</v>
      </c>
      <c r="J1014" s="37"/>
    </row>
    <row r="1015" customFormat="false" ht="15" hidden="false" customHeight="true" outlineLevel="0" collapsed="false">
      <c r="A1015" s="37" t="s">
        <v>2118</v>
      </c>
      <c r="B1015" s="37" t="s">
        <v>463</v>
      </c>
      <c r="C1015" s="54" t="s">
        <v>2119</v>
      </c>
      <c r="D1015" s="54" t="s">
        <v>5390</v>
      </c>
      <c r="E1015" s="54" t="s">
        <v>5215</v>
      </c>
      <c r="F1015" s="54" t="s">
        <v>5216</v>
      </c>
      <c r="G1015" s="54" t="s">
        <v>5385</v>
      </c>
      <c r="H1015" s="37" t="s">
        <v>5269</v>
      </c>
      <c r="I1015" s="54" t="s">
        <v>5293</v>
      </c>
      <c r="J1015" s="37"/>
    </row>
    <row r="1016" customFormat="false" ht="15" hidden="false" customHeight="true" outlineLevel="0" collapsed="false">
      <c r="A1016" s="37" t="s">
        <v>2121</v>
      </c>
      <c r="B1016" s="37" t="s">
        <v>463</v>
      </c>
      <c r="C1016" s="54" t="s">
        <v>2122</v>
      </c>
      <c r="D1016" s="54" t="s">
        <v>5390</v>
      </c>
      <c r="E1016" s="54" t="s">
        <v>5215</v>
      </c>
      <c r="F1016" s="54" t="s">
        <v>5216</v>
      </c>
      <c r="G1016" s="54" t="s">
        <v>5385</v>
      </c>
      <c r="H1016" s="37" t="s">
        <v>5269</v>
      </c>
      <c r="I1016" s="54" t="s">
        <v>5293</v>
      </c>
      <c r="J1016" s="37"/>
    </row>
    <row r="1017" customFormat="false" ht="15" hidden="false" customHeight="true" outlineLevel="0" collapsed="false">
      <c r="A1017" s="37" t="s">
        <v>2124</v>
      </c>
      <c r="B1017" s="37" t="s">
        <v>463</v>
      </c>
      <c r="C1017" s="54" t="s">
        <v>2125</v>
      </c>
      <c r="D1017" s="54" t="s">
        <v>5390</v>
      </c>
      <c r="E1017" s="54" t="s">
        <v>5215</v>
      </c>
      <c r="F1017" s="54" t="s">
        <v>5216</v>
      </c>
      <c r="G1017" s="54" t="s">
        <v>5385</v>
      </c>
      <c r="H1017" s="37" t="s">
        <v>5269</v>
      </c>
      <c r="I1017" s="54" t="s">
        <v>5293</v>
      </c>
      <c r="J1017" s="37"/>
    </row>
    <row r="1018" customFormat="false" ht="15" hidden="false" customHeight="true" outlineLevel="0" collapsed="false">
      <c r="A1018" s="37" t="s">
        <v>2128</v>
      </c>
      <c r="B1018" s="37" t="s">
        <v>463</v>
      </c>
      <c r="C1018" s="54" t="s">
        <v>2129</v>
      </c>
      <c r="D1018" s="54" t="s">
        <v>5390</v>
      </c>
      <c r="E1018" s="54" t="s">
        <v>5215</v>
      </c>
      <c r="F1018" s="54" t="s">
        <v>5216</v>
      </c>
      <c r="G1018" s="54" t="s">
        <v>5385</v>
      </c>
      <c r="H1018" s="37" t="s">
        <v>5269</v>
      </c>
      <c r="I1018" s="54" t="s">
        <v>5293</v>
      </c>
      <c r="J1018" s="37"/>
    </row>
    <row r="1019" customFormat="false" ht="15" hidden="false" customHeight="true" outlineLevel="0" collapsed="false">
      <c r="A1019" s="37" t="s">
        <v>2131</v>
      </c>
      <c r="B1019" s="37" t="s">
        <v>463</v>
      </c>
      <c r="C1019" s="54" t="s">
        <v>2132</v>
      </c>
      <c r="D1019" s="54" t="s">
        <v>5383</v>
      </c>
      <c r="E1019" s="54" t="s">
        <v>5384</v>
      </c>
      <c r="F1019" s="54" t="s">
        <v>5240</v>
      </c>
      <c r="G1019" s="54" t="s">
        <v>5385</v>
      </c>
      <c r="H1019" s="37" t="s">
        <v>5269</v>
      </c>
      <c r="I1019" s="54" t="s">
        <v>5293</v>
      </c>
      <c r="J1019" s="37"/>
    </row>
    <row r="1020" customFormat="false" ht="15" hidden="false" customHeight="true" outlineLevel="0" collapsed="false">
      <c r="A1020" s="37" t="s">
        <v>2134</v>
      </c>
      <c r="B1020" s="37" t="s">
        <v>463</v>
      </c>
      <c r="C1020" s="54" t="s">
        <v>2135</v>
      </c>
      <c r="D1020" s="54" t="s">
        <v>5383</v>
      </c>
      <c r="E1020" s="54" t="s">
        <v>5384</v>
      </c>
      <c r="F1020" s="54" t="s">
        <v>5240</v>
      </c>
      <c r="G1020" s="54" t="s">
        <v>5385</v>
      </c>
      <c r="H1020" s="37" t="s">
        <v>5269</v>
      </c>
      <c r="I1020" s="54" t="s">
        <v>5293</v>
      </c>
      <c r="J1020" s="37"/>
    </row>
    <row r="1021" customFormat="false" ht="15" hidden="false" customHeight="true" outlineLevel="0" collapsed="false">
      <c r="A1021" s="37" t="s">
        <v>2137</v>
      </c>
      <c r="B1021" s="37" t="s">
        <v>463</v>
      </c>
      <c r="C1021" s="54" t="s">
        <v>2138</v>
      </c>
      <c r="D1021" s="54" t="s">
        <v>5383</v>
      </c>
      <c r="E1021" s="54" t="s">
        <v>5384</v>
      </c>
      <c r="F1021" s="54" t="s">
        <v>5240</v>
      </c>
      <c r="G1021" s="54" t="s">
        <v>5385</v>
      </c>
      <c r="H1021" s="37" t="s">
        <v>5269</v>
      </c>
      <c r="I1021" s="54" t="s">
        <v>5293</v>
      </c>
      <c r="J1021" s="37"/>
    </row>
    <row r="1022" customFormat="false" ht="15" hidden="false" customHeight="true" outlineLevel="0" collapsed="false">
      <c r="A1022" s="37" t="s">
        <v>2149</v>
      </c>
      <c r="B1022" s="37" t="s">
        <v>463</v>
      </c>
      <c r="C1022" s="54" t="s">
        <v>2150</v>
      </c>
      <c r="D1022" s="54" t="s">
        <v>5387</v>
      </c>
      <c r="E1022" s="54" t="s">
        <v>5215</v>
      </c>
      <c r="F1022" s="54" t="s">
        <v>5216</v>
      </c>
      <c r="G1022" s="54" t="s">
        <v>5385</v>
      </c>
      <c r="H1022" s="37" t="s">
        <v>5269</v>
      </c>
      <c r="I1022" s="54" t="s">
        <v>5293</v>
      </c>
      <c r="J1022" s="37"/>
    </row>
    <row r="1023" customFormat="false" ht="15" hidden="false" customHeight="true" outlineLevel="0" collapsed="false">
      <c r="A1023" s="37" t="s">
        <v>2152</v>
      </c>
      <c r="B1023" s="37" t="s">
        <v>463</v>
      </c>
      <c r="C1023" s="54" t="s">
        <v>2153</v>
      </c>
      <c r="D1023" s="54" t="s">
        <v>5255</v>
      </c>
      <c r="E1023" s="54" t="s">
        <v>5256</v>
      </c>
      <c r="F1023" s="54" t="s">
        <v>5216</v>
      </c>
      <c r="G1023" s="54" t="s">
        <v>5385</v>
      </c>
      <c r="H1023" s="37" t="s">
        <v>5269</v>
      </c>
      <c r="I1023" s="54" t="s">
        <v>5293</v>
      </c>
      <c r="J1023" s="37"/>
    </row>
    <row r="1024" customFormat="false" ht="15" hidden="false" customHeight="true" outlineLevel="0" collapsed="false">
      <c r="A1024" s="37" t="s">
        <v>2155</v>
      </c>
      <c r="B1024" s="37" t="s">
        <v>463</v>
      </c>
      <c r="C1024" s="54" t="s">
        <v>2156</v>
      </c>
      <c r="D1024" s="54" t="s">
        <v>5255</v>
      </c>
      <c r="E1024" s="54" t="s">
        <v>5256</v>
      </c>
      <c r="F1024" s="54" t="s">
        <v>5216</v>
      </c>
      <c r="G1024" s="54" t="s">
        <v>5385</v>
      </c>
      <c r="H1024" s="37" t="s">
        <v>5269</v>
      </c>
      <c r="I1024" s="54" t="s">
        <v>5293</v>
      </c>
      <c r="J1024" s="37"/>
    </row>
    <row r="1025" customFormat="false" ht="15" hidden="false" customHeight="true" outlineLevel="0" collapsed="false">
      <c r="A1025" s="37" t="s">
        <v>2158</v>
      </c>
      <c r="B1025" s="37" t="s">
        <v>463</v>
      </c>
      <c r="C1025" s="54" t="s">
        <v>2159</v>
      </c>
      <c r="D1025" s="54" t="s">
        <v>5388</v>
      </c>
      <c r="E1025" s="54" t="s">
        <v>5384</v>
      </c>
      <c r="F1025" s="54" t="s">
        <v>5240</v>
      </c>
      <c r="G1025" s="54" t="s">
        <v>5385</v>
      </c>
      <c r="H1025" s="37" t="s">
        <v>5269</v>
      </c>
      <c r="I1025" s="54" t="s">
        <v>5293</v>
      </c>
      <c r="J1025" s="37"/>
    </row>
    <row r="1026" customFormat="false" ht="15" hidden="false" customHeight="true" outlineLevel="0" collapsed="false">
      <c r="A1026" s="37" t="s">
        <v>2161</v>
      </c>
      <c r="B1026" s="37" t="s">
        <v>463</v>
      </c>
      <c r="C1026" s="54" t="s">
        <v>2162</v>
      </c>
      <c r="D1026" s="54" t="s">
        <v>5388</v>
      </c>
      <c r="E1026" s="54" t="s">
        <v>5384</v>
      </c>
      <c r="F1026" s="54" t="s">
        <v>5240</v>
      </c>
      <c r="G1026" s="54" t="s">
        <v>5385</v>
      </c>
      <c r="H1026" s="37" t="s">
        <v>5269</v>
      </c>
      <c r="I1026" s="54" t="s">
        <v>5293</v>
      </c>
      <c r="J1026" s="37"/>
    </row>
    <row r="1027" customFormat="false" ht="15" hidden="false" customHeight="true" outlineLevel="0" collapsed="false">
      <c r="A1027" s="37" t="s">
        <v>2164</v>
      </c>
      <c r="B1027" s="37" t="s">
        <v>463</v>
      </c>
      <c r="C1027" s="54" t="s">
        <v>2165</v>
      </c>
      <c r="D1027" s="54" t="s">
        <v>5383</v>
      </c>
      <c r="E1027" s="54" t="s">
        <v>5384</v>
      </c>
      <c r="F1027" s="54" t="s">
        <v>5240</v>
      </c>
      <c r="G1027" s="54" t="s">
        <v>5385</v>
      </c>
      <c r="H1027" s="37" t="s">
        <v>5269</v>
      </c>
      <c r="I1027" s="54" t="s">
        <v>5293</v>
      </c>
      <c r="J1027" s="37"/>
    </row>
    <row r="1028" customFormat="false" ht="15" hidden="false" customHeight="true" outlineLevel="0" collapsed="false">
      <c r="A1028" s="37" t="s">
        <v>2167</v>
      </c>
      <c r="B1028" s="37" t="s">
        <v>463</v>
      </c>
      <c r="C1028" s="54" t="s">
        <v>2168</v>
      </c>
      <c r="D1028" s="54" t="s">
        <v>5383</v>
      </c>
      <c r="E1028" s="54" t="s">
        <v>5384</v>
      </c>
      <c r="F1028" s="54" t="s">
        <v>5240</v>
      </c>
      <c r="G1028" s="54" t="s">
        <v>5385</v>
      </c>
      <c r="H1028" s="37" t="s">
        <v>5269</v>
      </c>
      <c r="I1028" s="54" t="s">
        <v>5293</v>
      </c>
      <c r="J1028" s="37"/>
    </row>
    <row r="1029" customFormat="false" ht="15" hidden="false" customHeight="true" outlineLevel="0" collapsed="false">
      <c r="A1029" s="37" t="s">
        <v>2170</v>
      </c>
      <c r="B1029" s="37" t="s">
        <v>463</v>
      </c>
      <c r="C1029" s="54" t="s">
        <v>2171</v>
      </c>
      <c r="D1029" s="54" t="s">
        <v>5383</v>
      </c>
      <c r="E1029" s="54" t="s">
        <v>5384</v>
      </c>
      <c r="F1029" s="54" t="s">
        <v>5240</v>
      </c>
      <c r="G1029" s="54" t="s">
        <v>5385</v>
      </c>
      <c r="H1029" s="37" t="s">
        <v>5269</v>
      </c>
      <c r="I1029" s="54" t="s">
        <v>5293</v>
      </c>
      <c r="J1029" s="37"/>
    </row>
    <row r="1030" customFormat="false" ht="15" hidden="false" customHeight="true" outlineLevel="0" collapsed="false">
      <c r="A1030" s="37" t="s">
        <v>2173</v>
      </c>
      <c r="B1030" s="37" t="s">
        <v>463</v>
      </c>
      <c r="C1030" s="54" t="s">
        <v>2174</v>
      </c>
      <c r="D1030" s="54" t="s">
        <v>5383</v>
      </c>
      <c r="E1030" s="54" t="s">
        <v>5384</v>
      </c>
      <c r="F1030" s="54" t="s">
        <v>5240</v>
      </c>
      <c r="G1030" s="54" t="s">
        <v>5385</v>
      </c>
      <c r="H1030" s="37" t="s">
        <v>5269</v>
      </c>
      <c r="I1030" s="54" t="s">
        <v>5293</v>
      </c>
      <c r="J1030" s="37"/>
    </row>
    <row r="1031" customFormat="false" ht="15" hidden="false" customHeight="true" outlineLevel="0" collapsed="false">
      <c r="A1031" s="37" t="s">
        <v>2176</v>
      </c>
      <c r="B1031" s="37" t="s">
        <v>463</v>
      </c>
      <c r="C1031" s="54" t="s">
        <v>2177</v>
      </c>
      <c r="D1031" s="54" t="s">
        <v>5383</v>
      </c>
      <c r="E1031" s="54" t="s">
        <v>5384</v>
      </c>
      <c r="F1031" s="54" t="s">
        <v>5240</v>
      </c>
      <c r="G1031" s="54" t="s">
        <v>5385</v>
      </c>
      <c r="H1031" s="37" t="s">
        <v>5269</v>
      </c>
      <c r="I1031" s="54" t="s">
        <v>5293</v>
      </c>
      <c r="J1031" s="37"/>
    </row>
    <row r="1032" customFormat="false" ht="15" hidden="false" customHeight="true" outlineLevel="0" collapsed="false">
      <c r="A1032" s="37" t="s">
        <v>2182</v>
      </c>
      <c r="B1032" s="37" t="s">
        <v>463</v>
      </c>
      <c r="C1032" s="54" t="s">
        <v>2183</v>
      </c>
      <c r="D1032" s="54" t="s">
        <v>5383</v>
      </c>
      <c r="E1032" s="54" t="s">
        <v>5384</v>
      </c>
      <c r="F1032" s="54" t="s">
        <v>5240</v>
      </c>
      <c r="G1032" s="54" t="s">
        <v>5385</v>
      </c>
      <c r="H1032" s="37" t="s">
        <v>5269</v>
      </c>
      <c r="I1032" s="54" t="s">
        <v>5293</v>
      </c>
      <c r="J1032" s="37"/>
    </row>
    <row r="1033" customFormat="false" ht="15" hidden="false" customHeight="true" outlineLevel="0" collapsed="false">
      <c r="A1033" s="37" t="s">
        <v>2185</v>
      </c>
      <c r="B1033" s="37" t="s">
        <v>463</v>
      </c>
      <c r="C1033" s="54" t="s">
        <v>2186</v>
      </c>
      <c r="D1033" s="54" t="s">
        <v>5383</v>
      </c>
      <c r="E1033" s="54" t="s">
        <v>5384</v>
      </c>
      <c r="F1033" s="54" t="s">
        <v>5240</v>
      </c>
      <c r="G1033" s="54" t="s">
        <v>5385</v>
      </c>
      <c r="H1033" s="37" t="s">
        <v>5269</v>
      </c>
      <c r="I1033" s="54" t="s">
        <v>5293</v>
      </c>
      <c r="J1033" s="37"/>
    </row>
    <row r="1034" customFormat="false" ht="15" hidden="false" customHeight="true" outlineLevel="0" collapsed="false">
      <c r="A1034" s="37" t="s">
        <v>2191</v>
      </c>
      <c r="B1034" s="37" t="s">
        <v>463</v>
      </c>
      <c r="C1034" s="54" t="s">
        <v>2192</v>
      </c>
      <c r="D1034" s="54" t="s">
        <v>5383</v>
      </c>
      <c r="E1034" s="54" t="s">
        <v>5384</v>
      </c>
      <c r="F1034" s="54" t="s">
        <v>5240</v>
      </c>
      <c r="G1034" s="54" t="s">
        <v>5385</v>
      </c>
      <c r="H1034" s="37" t="s">
        <v>5269</v>
      </c>
      <c r="I1034" s="54" t="s">
        <v>5293</v>
      </c>
      <c r="J1034" s="37"/>
    </row>
    <row r="1035" customFormat="false" ht="15" hidden="false" customHeight="true" outlineLevel="0" collapsed="false">
      <c r="A1035" s="37" t="s">
        <v>2198</v>
      </c>
      <c r="B1035" s="37" t="s">
        <v>463</v>
      </c>
      <c r="C1035" s="54" t="s">
        <v>2199</v>
      </c>
      <c r="D1035" s="54" t="s">
        <v>5386</v>
      </c>
      <c r="E1035" s="54" t="s">
        <v>5384</v>
      </c>
      <c r="F1035" s="54" t="s">
        <v>5240</v>
      </c>
      <c r="G1035" s="54" t="s">
        <v>5385</v>
      </c>
      <c r="H1035" s="37" t="s">
        <v>5269</v>
      </c>
      <c r="I1035" s="54" t="s">
        <v>5293</v>
      </c>
      <c r="J1035" s="37"/>
    </row>
    <row r="1036" customFormat="false" ht="15" hidden="false" customHeight="true" outlineLevel="0" collapsed="false">
      <c r="A1036" s="37" t="s">
        <v>2201</v>
      </c>
      <c r="B1036" s="37" t="s">
        <v>463</v>
      </c>
      <c r="C1036" s="54" t="s">
        <v>2202</v>
      </c>
      <c r="D1036" s="54" t="s">
        <v>5383</v>
      </c>
      <c r="E1036" s="54" t="s">
        <v>5384</v>
      </c>
      <c r="F1036" s="54" t="s">
        <v>5240</v>
      </c>
      <c r="G1036" s="54" t="s">
        <v>5385</v>
      </c>
      <c r="H1036" s="37" t="s">
        <v>5269</v>
      </c>
      <c r="I1036" s="54" t="s">
        <v>5293</v>
      </c>
      <c r="J1036" s="37"/>
    </row>
    <row r="1037" customFormat="false" ht="15" hidden="false" customHeight="true" outlineLevel="0" collapsed="false">
      <c r="A1037" s="37" t="s">
        <v>2204</v>
      </c>
      <c r="B1037" s="37" t="s">
        <v>463</v>
      </c>
      <c r="C1037" s="54" t="s">
        <v>2205</v>
      </c>
      <c r="D1037" s="54" t="s">
        <v>5383</v>
      </c>
      <c r="E1037" s="54" t="s">
        <v>5384</v>
      </c>
      <c r="F1037" s="54" t="s">
        <v>5240</v>
      </c>
      <c r="G1037" s="54" t="s">
        <v>5385</v>
      </c>
      <c r="H1037" s="37" t="s">
        <v>5269</v>
      </c>
      <c r="I1037" s="54" t="s">
        <v>5293</v>
      </c>
      <c r="J1037" s="37"/>
    </row>
    <row r="1038" customFormat="false" ht="15" hidden="false" customHeight="true" outlineLevel="0" collapsed="false">
      <c r="A1038" s="37" t="s">
        <v>2207</v>
      </c>
      <c r="B1038" s="37" t="s">
        <v>463</v>
      </c>
      <c r="C1038" s="54" t="s">
        <v>2208</v>
      </c>
      <c r="D1038" s="54" t="s">
        <v>5391</v>
      </c>
      <c r="E1038" s="54" t="s">
        <v>5384</v>
      </c>
      <c r="F1038" s="54" t="s">
        <v>5240</v>
      </c>
      <c r="G1038" s="54" t="s">
        <v>5385</v>
      </c>
      <c r="H1038" s="37" t="s">
        <v>5269</v>
      </c>
      <c r="I1038" s="54" t="s">
        <v>5293</v>
      </c>
      <c r="J1038" s="37"/>
    </row>
    <row r="1039" customFormat="false" ht="15" hidden="false" customHeight="true" outlineLevel="0" collapsed="false">
      <c r="A1039" s="37" t="s">
        <v>2210</v>
      </c>
      <c r="B1039" s="37" t="s">
        <v>463</v>
      </c>
      <c r="C1039" s="54" t="s">
        <v>2211</v>
      </c>
      <c r="D1039" s="54" t="s">
        <v>5383</v>
      </c>
      <c r="E1039" s="54" t="s">
        <v>5384</v>
      </c>
      <c r="F1039" s="54" t="s">
        <v>5240</v>
      </c>
      <c r="G1039" s="54" t="s">
        <v>5385</v>
      </c>
      <c r="H1039" s="37" t="s">
        <v>5269</v>
      </c>
      <c r="I1039" s="54" t="s">
        <v>5293</v>
      </c>
      <c r="J1039" s="37"/>
    </row>
    <row r="1040" customFormat="false" ht="15" hidden="false" customHeight="true" outlineLevel="0" collapsed="false">
      <c r="A1040" s="37" t="s">
        <v>2213</v>
      </c>
      <c r="B1040" s="37" t="s">
        <v>463</v>
      </c>
      <c r="C1040" s="54" t="s">
        <v>2214</v>
      </c>
      <c r="D1040" s="54" t="s">
        <v>5383</v>
      </c>
      <c r="E1040" s="54" t="s">
        <v>5384</v>
      </c>
      <c r="F1040" s="54" t="s">
        <v>5240</v>
      </c>
      <c r="G1040" s="54" t="s">
        <v>5385</v>
      </c>
      <c r="H1040" s="37" t="s">
        <v>5269</v>
      </c>
      <c r="I1040" s="54" t="s">
        <v>5293</v>
      </c>
      <c r="J1040" s="37"/>
    </row>
    <row r="1041" customFormat="false" ht="15" hidden="false" customHeight="true" outlineLevel="0" collapsed="false">
      <c r="A1041" s="37" t="s">
        <v>2216</v>
      </c>
      <c r="B1041" s="37" t="s">
        <v>463</v>
      </c>
      <c r="C1041" s="54" t="s">
        <v>2217</v>
      </c>
      <c r="D1041" s="54" t="s">
        <v>5383</v>
      </c>
      <c r="E1041" s="54" t="s">
        <v>5384</v>
      </c>
      <c r="F1041" s="54" t="s">
        <v>5240</v>
      </c>
      <c r="G1041" s="54" t="s">
        <v>5385</v>
      </c>
      <c r="H1041" s="37" t="s">
        <v>5269</v>
      </c>
      <c r="I1041" s="54" t="s">
        <v>5293</v>
      </c>
      <c r="J1041" s="37"/>
    </row>
    <row r="1042" customFormat="false" ht="15" hidden="false" customHeight="true" outlineLevel="0" collapsed="false">
      <c r="A1042" s="37" t="s">
        <v>2222</v>
      </c>
      <c r="B1042" s="37" t="s">
        <v>463</v>
      </c>
      <c r="C1042" s="54" t="s">
        <v>2223</v>
      </c>
      <c r="D1042" s="54" t="s">
        <v>5383</v>
      </c>
      <c r="E1042" s="54" t="s">
        <v>5384</v>
      </c>
      <c r="F1042" s="54" t="s">
        <v>5240</v>
      </c>
      <c r="G1042" s="54" t="s">
        <v>5385</v>
      </c>
      <c r="H1042" s="37" t="s">
        <v>5269</v>
      </c>
      <c r="I1042" s="54" t="s">
        <v>5293</v>
      </c>
      <c r="J1042" s="37"/>
    </row>
    <row r="1043" customFormat="false" ht="15" hidden="false" customHeight="true" outlineLevel="0" collapsed="false">
      <c r="A1043" s="37" t="s">
        <v>2225</v>
      </c>
      <c r="B1043" s="37" t="s">
        <v>463</v>
      </c>
      <c r="C1043" s="54" t="s">
        <v>2226</v>
      </c>
      <c r="D1043" s="54" t="s">
        <v>5383</v>
      </c>
      <c r="E1043" s="54" t="s">
        <v>5384</v>
      </c>
      <c r="F1043" s="54" t="s">
        <v>5240</v>
      </c>
      <c r="G1043" s="54" t="s">
        <v>5385</v>
      </c>
      <c r="H1043" s="37" t="s">
        <v>5269</v>
      </c>
      <c r="I1043" s="54" t="s">
        <v>5293</v>
      </c>
      <c r="J1043" s="37"/>
    </row>
    <row r="1044" customFormat="false" ht="15" hidden="false" customHeight="true" outlineLevel="0" collapsed="false">
      <c r="A1044" s="37" t="s">
        <v>2228</v>
      </c>
      <c r="B1044" s="37" t="s">
        <v>463</v>
      </c>
      <c r="C1044" s="54" t="s">
        <v>2229</v>
      </c>
      <c r="D1044" s="54" t="s">
        <v>5383</v>
      </c>
      <c r="E1044" s="54" t="s">
        <v>5384</v>
      </c>
      <c r="F1044" s="54" t="s">
        <v>5240</v>
      </c>
      <c r="G1044" s="54" t="s">
        <v>5385</v>
      </c>
      <c r="H1044" s="37" t="s">
        <v>5269</v>
      </c>
      <c r="I1044" s="54" t="s">
        <v>5293</v>
      </c>
      <c r="J1044" s="37"/>
    </row>
    <row r="1045" customFormat="false" ht="15" hidden="false" customHeight="true" outlineLevel="0" collapsed="false">
      <c r="A1045" s="37" t="s">
        <v>2237</v>
      </c>
      <c r="B1045" s="37" t="s">
        <v>463</v>
      </c>
      <c r="C1045" s="54" t="s">
        <v>2238</v>
      </c>
      <c r="D1045" s="54" t="s">
        <v>5389</v>
      </c>
      <c r="E1045" s="54" t="s">
        <v>5384</v>
      </c>
      <c r="F1045" s="54" t="s">
        <v>5240</v>
      </c>
      <c r="G1045" s="54" t="s">
        <v>5385</v>
      </c>
      <c r="H1045" s="37" t="s">
        <v>5269</v>
      </c>
      <c r="I1045" s="54" t="s">
        <v>5293</v>
      </c>
      <c r="J1045" s="37"/>
    </row>
    <row r="1046" customFormat="false" ht="15" hidden="false" customHeight="true" outlineLevel="0" collapsed="false">
      <c r="A1046" s="37" t="s">
        <v>2240</v>
      </c>
      <c r="B1046" s="37" t="s">
        <v>463</v>
      </c>
      <c r="C1046" s="54" t="s">
        <v>2241</v>
      </c>
      <c r="D1046" s="54" t="s">
        <v>5383</v>
      </c>
      <c r="E1046" s="54" t="s">
        <v>5384</v>
      </c>
      <c r="F1046" s="54" t="s">
        <v>5240</v>
      </c>
      <c r="G1046" s="54" t="s">
        <v>5385</v>
      </c>
      <c r="H1046" s="37" t="s">
        <v>5269</v>
      </c>
      <c r="I1046" s="54" t="s">
        <v>5293</v>
      </c>
      <c r="J1046" s="37"/>
    </row>
    <row r="1047" customFormat="false" ht="15" hidden="false" customHeight="true" outlineLevel="0" collapsed="false">
      <c r="A1047" s="37" t="s">
        <v>2243</v>
      </c>
      <c r="B1047" s="37" t="s">
        <v>463</v>
      </c>
      <c r="C1047" s="54" t="s">
        <v>2244</v>
      </c>
      <c r="D1047" s="54" t="s">
        <v>5383</v>
      </c>
      <c r="E1047" s="54" t="s">
        <v>5384</v>
      </c>
      <c r="F1047" s="54" t="s">
        <v>5240</v>
      </c>
      <c r="G1047" s="54" t="s">
        <v>5385</v>
      </c>
      <c r="H1047" s="37" t="s">
        <v>5269</v>
      </c>
      <c r="I1047" s="54" t="s">
        <v>5293</v>
      </c>
      <c r="J1047" s="37"/>
    </row>
    <row r="1048" customFormat="false" ht="15" hidden="false" customHeight="true" outlineLevel="0" collapsed="false">
      <c r="A1048" s="37" t="s">
        <v>2246</v>
      </c>
      <c r="B1048" s="37" t="s">
        <v>463</v>
      </c>
      <c r="C1048" s="54" t="s">
        <v>2247</v>
      </c>
      <c r="D1048" s="54" t="s">
        <v>5383</v>
      </c>
      <c r="E1048" s="54" t="s">
        <v>5384</v>
      </c>
      <c r="F1048" s="54" t="s">
        <v>5240</v>
      </c>
      <c r="G1048" s="54" t="s">
        <v>5385</v>
      </c>
      <c r="H1048" s="37" t="s">
        <v>5269</v>
      </c>
      <c r="I1048" s="54" t="s">
        <v>5293</v>
      </c>
      <c r="J1048" s="37"/>
    </row>
    <row r="1049" customFormat="false" ht="15" hidden="false" customHeight="true" outlineLevel="0" collapsed="false">
      <c r="A1049" s="37" t="s">
        <v>2261</v>
      </c>
      <c r="B1049" s="37" t="s">
        <v>463</v>
      </c>
      <c r="C1049" s="54" t="s">
        <v>2262</v>
      </c>
      <c r="D1049" s="54" t="s">
        <v>5388</v>
      </c>
      <c r="E1049" s="54" t="s">
        <v>5384</v>
      </c>
      <c r="F1049" s="54" t="s">
        <v>5240</v>
      </c>
      <c r="G1049" s="54" t="s">
        <v>5385</v>
      </c>
      <c r="H1049" s="37" t="s">
        <v>5269</v>
      </c>
      <c r="I1049" s="54" t="s">
        <v>5293</v>
      </c>
      <c r="J1049" s="37"/>
    </row>
    <row r="1050" customFormat="false" ht="15" hidden="false" customHeight="true" outlineLevel="0" collapsed="false">
      <c r="A1050" s="37" t="s">
        <v>2264</v>
      </c>
      <c r="B1050" s="37" t="s">
        <v>463</v>
      </c>
      <c r="C1050" s="54" t="s">
        <v>2265</v>
      </c>
      <c r="D1050" s="54" t="s">
        <v>5388</v>
      </c>
      <c r="E1050" s="54" t="s">
        <v>5384</v>
      </c>
      <c r="F1050" s="54" t="s">
        <v>5240</v>
      </c>
      <c r="G1050" s="54" t="s">
        <v>5385</v>
      </c>
      <c r="H1050" s="37" t="s">
        <v>5269</v>
      </c>
      <c r="I1050" s="54" t="s">
        <v>5293</v>
      </c>
      <c r="J1050" s="37"/>
    </row>
    <row r="1051" customFormat="false" ht="15" hidden="false" customHeight="true" outlineLevel="0" collapsed="false">
      <c r="A1051" s="37" t="s">
        <v>2267</v>
      </c>
      <c r="B1051" s="37" t="s">
        <v>463</v>
      </c>
      <c r="C1051" s="54" t="s">
        <v>2268</v>
      </c>
      <c r="D1051" s="54" t="s">
        <v>5383</v>
      </c>
      <c r="E1051" s="54" t="s">
        <v>5384</v>
      </c>
      <c r="F1051" s="54" t="s">
        <v>5240</v>
      </c>
      <c r="G1051" s="54" t="s">
        <v>5385</v>
      </c>
      <c r="H1051" s="37" t="s">
        <v>5269</v>
      </c>
      <c r="I1051" s="54" t="s">
        <v>5293</v>
      </c>
      <c r="J1051" s="37"/>
    </row>
    <row r="1052" customFormat="false" ht="15" hidden="false" customHeight="true" outlineLevel="0" collapsed="false">
      <c r="A1052" s="37" t="s">
        <v>2270</v>
      </c>
      <c r="B1052" s="37" t="s">
        <v>463</v>
      </c>
      <c r="C1052" s="54" t="s">
        <v>2271</v>
      </c>
      <c r="D1052" s="54" t="s">
        <v>5383</v>
      </c>
      <c r="E1052" s="54" t="s">
        <v>5384</v>
      </c>
      <c r="F1052" s="54" t="s">
        <v>5240</v>
      </c>
      <c r="G1052" s="54" t="s">
        <v>5385</v>
      </c>
      <c r="H1052" s="37" t="s">
        <v>5269</v>
      </c>
      <c r="I1052" s="54" t="s">
        <v>5293</v>
      </c>
      <c r="J1052" s="37"/>
    </row>
    <row r="1053" customFormat="false" ht="15" hidden="false" customHeight="true" outlineLevel="0" collapsed="false">
      <c r="A1053" s="37" t="s">
        <v>2273</v>
      </c>
      <c r="B1053" s="37" t="s">
        <v>463</v>
      </c>
      <c r="C1053" s="54" t="s">
        <v>2274</v>
      </c>
      <c r="D1053" s="54" t="s">
        <v>5383</v>
      </c>
      <c r="E1053" s="54" t="s">
        <v>5384</v>
      </c>
      <c r="F1053" s="54" t="s">
        <v>5240</v>
      </c>
      <c r="G1053" s="54" t="s">
        <v>5385</v>
      </c>
      <c r="H1053" s="37" t="s">
        <v>5269</v>
      </c>
      <c r="I1053" s="54" t="s">
        <v>5293</v>
      </c>
      <c r="J1053" s="37"/>
    </row>
    <row r="1054" customFormat="false" ht="15" hidden="false" customHeight="true" outlineLevel="0" collapsed="false">
      <c r="A1054" s="37" t="s">
        <v>2276</v>
      </c>
      <c r="B1054" s="37" t="s">
        <v>463</v>
      </c>
      <c r="C1054" s="54" t="s">
        <v>2277</v>
      </c>
      <c r="D1054" s="54" t="s">
        <v>5383</v>
      </c>
      <c r="E1054" s="54" t="s">
        <v>5384</v>
      </c>
      <c r="F1054" s="54" t="s">
        <v>5240</v>
      </c>
      <c r="G1054" s="54" t="s">
        <v>5385</v>
      </c>
      <c r="H1054" s="37" t="s">
        <v>5269</v>
      </c>
      <c r="I1054" s="54" t="s">
        <v>5293</v>
      </c>
      <c r="J1054" s="37"/>
    </row>
    <row r="1055" customFormat="false" ht="15" hidden="false" customHeight="true" outlineLevel="0" collapsed="false">
      <c r="A1055" s="37" t="s">
        <v>2279</v>
      </c>
      <c r="B1055" s="37" t="s">
        <v>463</v>
      </c>
      <c r="C1055" s="54" t="s">
        <v>2280</v>
      </c>
      <c r="D1055" s="54" t="s">
        <v>5383</v>
      </c>
      <c r="E1055" s="54" t="s">
        <v>5384</v>
      </c>
      <c r="F1055" s="54" t="s">
        <v>5240</v>
      </c>
      <c r="G1055" s="54" t="s">
        <v>5385</v>
      </c>
      <c r="H1055" s="37" t="s">
        <v>5269</v>
      </c>
      <c r="I1055" s="54" t="s">
        <v>5293</v>
      </c>
      <c r="J1055" s="37"/>
    </row>
    <row r="1056" customFormat="false" ht="15" hidden="false" customHeight="true" outlineLevel="0" collapsed="false">
      <c r="A1056" s="37" t="s">
        <v>2282</v>
      </c>
      <c r="B1056" s="37" t="s">
        <v>463</v>
      </c>
      <c r="C1056" s="54" t="s">
        <v>2283</v>
      </c>
      <c r="D1056" s="54" t="s">
        <v>5383</v>
      </c>
      <c r="E1056" s="54" t="s">
        <v>5384</v>
      </c>
      <c r="F1056" s="54" t="s">
        <v>5240</v>
      </c>
      <c r="G1056" s="54" t="s">
        <v>5385</v>
      </c>
      <c r="H1056" s="37" t="s">
        <v>5269</v>
      </c>
      <c r="I1056" s="54" t="s">
        <v>5293</v>
      </c>
      <c r="J1056" s="37"/>
    </row>
    <row r="1057" customFormat="false" ht="15" hidden="false" customHeight="true" outlineLevel="0" collapsed="false">
      <c r="A1057" s="37" t="s">
        <v>2285</v>
      </c>
      <c r="B1057" s="37" t="s">
        <v>463</v>
      </c>
      <c r="C1057" s="54" t="s">
        <v>2286</v>
      </c>
      <c r="D1057" s="54" t="s">
        <v>5383</v>
      </c>
      <c r="E1057" s="54" t="s">
        <v>5384</v>
      </c>
      <c r="F1057" s="54" t="s">
        <v>5240</v>
      </c>
      <c r="G1057" s="54" t="s">
        <v>5385</v>
      </c>
      <c r="H1057" s="37" t="s">
        <v>5269</v>
      </c>
      <c r="I1057" s="54" t="s">
        <v>5293</v>
      </c>
      <c r="J1057" s="37"/>
    </row>
    <row r="1058" customFormat="false" ht="15" hidden="false" customHeight="true" outlineLevel="0" collapsed="false">
      <c r="A1058" s="37" t="s">
        <v>2288</v>
      </c>
      <c r="B1058" s="37" t="s">
        <v>463</v>
      </c>
      <c r="C1058" s="54" t="s">
        <v>2289</v>
      </c>
      <c r="D1058" s="54" t="s">
        <v>5255</v>
      </c>
      <c r="E1058" s="54" t="s">
        <v>5256</v>
      </c>
      <c r="F1058" s="54" t="s">
        <v>5216</v>
      </c>
      <c r="G1058" s="54" t="s">
        <v>5385</v>
      </c>
      <c r="H1058" s="37" t="s">
        <v>5269</v>
      </c>
      <c r="I1058" s="54" t="s">
        <v>5293</v>
      </c>
      <c r="J1058" s="37"/>
    </row>
    <row r="1059" customFormat="false" ht="15" hidden="false" customHeight="true" outlineLevel="0" collapsed="false">
      <c r="A1059" s="37" t="s">
        <v>2291</v>
      </c>
      <c r="B1059" s="37" t="s">
        <v>463</v>
      </c>
      <c r="C1059" s="54" t="s">
        <v>2292</v>
      </c>
      <c r="D1059" s="54" t="s">
        <v>5255</v>
      </c>
      <c r="E1059" s="54" t="s">
        <v>5256</v>
      </c>
      <c r="F1059" s="54" t="s">
        <v>5216</v>
      </c>
      <c r="G1059" s="54" t="s">
        <v>5385</v>
      </c>
      <c r="H1059" s="37" t="s">
        <v>5269</v>
      </c>
      <c r="I1059" s="54" t="s">
        <v>5293</v>
      </c>
      <c r="J1059" s="37"/>
    </row>
    <row r="1060" customFormat="false" ht="15" hidden="false" customHeight="true" outlineLevel="0" collapsed="false">
      <c r="A1060" s="37" t="s">
        <v>2294</v>
      </c>
      <c r="B1060" s="37" t="s">
        <v>463</v>
      </c>
      <c r="C1060" s="54" t="s">
        <v>2295</v>
      </c>
      <c r="D1060" s="54" t="s">
        <v>5390</v>
      </c>
      <c r="E1060" s="54" t="s">
        <v>5215</v>
      </c>
      <c r="F1060" s="54" t="s">
        <v>5216</v>
      </c>
      <c r="G1060" s="54" t="s">
        <v>5385</v>
      </c>
      <c r="H1060" s="37" t="s">
        <v>5269</v>
      </c>
      <c r="I1060" s="54" t="s">
        <v>5293</v>
      </c>
      <c r="J1060" s="37"/>
    </row>
    <row r="1061" customFormat="false" ht="15" hidden="false" customHeight="true" outlineLevel="0" collapsed="false">
      <c r="A1061" s="37" t="s">
        <v>2297</v>
      </c>
      <c r="B1061" s="37" t="s">
        <v>463</v>
      </c>
      <c r="C1061" s="54" t="s">
        <v>2298</v>
      </c>
      <c r="D1061" s="54" t="s">
        <v>5390</v>
      </c>
      <c r="E1061" s="54" t="s">
        <v>5215</v>
      </c>
      <c r="F1061" s="54" t="s">
        <v>5216</v>
      </c>
      <c r="G1061" s="54" t="s">
        <v>5385</v>
      </c>
      <c r="H1061" s="37" t="s">
        <v>5269</v>
      </c>
      <c r="I1061" s="54" t="s">
        <v>5293</v>
      </c>
      <c r="J1061" s="37"/>
    </row>
    <row r="1062" customFormat="false" ht="15" hidden="false" customHeight="true" outlineLevel="0" collapsed="false">
      <c r="A1062" s="37" t="s">
        <v>2300</v>
      </c>
      <c r="B1062" s="37" t="s">
        <v>463</v>
      </c>
      <c r="C1062" s="54" t="s">
        <v>2301</v>
      </c>
      <c r="D1062" s="54" t="s">
        <v>5383</v>
      </c>
      <c r="E1062" s="54" t="s">
        <v>5384</v>
      </c>
      <c r="F1062" s="54" t="s">
        <v>5240</v>
      </c>
      <c r="G1062" s="54" t="s">
        <v>5385</v>
      </c>
      <c r="H1062" s="37" t="s">
        <v>5269</v>
      </c>
      <c r="I1062" s="54" t="s">
        <v>5293</v>
      </c>
      <c r="J1062" s="37"/>
    </row>
    <row r="1063" customFormat="false" ht="15" hidden="false" customHeight="true" outlineLevel="0" collapsed="false">
      <c r="A1063" s="37" t="s">
        <v>2303</v>
      </c>
      <c r="B1063" s="37" t="s">
        <v>463</v>
      </c>
      <c r="C1063" s="54" t="s">
        <v>2304</v>
      </c>
      <c r="D1063" s="54" t="s">
        <v>5383</v>
      </c>
      <c r="E1063" s="54" t="s">
        <v>5384</v>
      </c>
      <c r="F1063" s="54" t="s">
        <v>5240</v>
      </c>
      <c r="G1063" s="54" t="s">
        <v>5385</v>
      </c>
      <c r="H1063" s="37" t="s">
        <v>5269</v>
      </c>
      <c r="I1063" s="54" t="s">
        <v>5293</v>
      </c>
      <c r="J1063" s="37"/>
    </row>
    <row r="1064" customFormat="false" ht="15" hidden="false" customHeight="true" outlineLevel="0" collapsed="false">
      <c r="A1064" s="37" t="s">
        <v>2306</v>
      </c>
      <c r="B1064" s="37" t="s">
        <v>463</v>
      </c>
      <c r="C1064" s="54" t="s">
        <v>2307</v>
      </c>
      <c r="D1064" s="54" t="s">
        <v>5383</v>
      </c>
      <c r="E1064" s="54" t="s">
        <v>5384</v>
      </c>
      <c r="F1064" s="54" t="s">
        <v>5240</v>
      </c>
      <c r="G1064" s="54" t="s">
        <v>5385</v>
      </c>
      <c r="H1064" s="37" t="s">
        <v>5269</v>
      </c>
      <c r="I1064" s="54" t="s">
        <v>5293</v>
      </c>
      <c r="J1064" s="37"/>
    </row>
    <row r="1065" customFormat="false" ht="15" hidden="false" customHeight="true" outlineLevel="0" collapsed="false">
      <c r="A1065" s="37" t="s">
        <v>2309</v>
      </c>
      <c r="B1065" s="37" t="s">
        <v>463</v>
      </c>
      <c r="C1065" s="54" t="s">
        <v>2310</v>
      </c>
      <c r="D1065" s="54" t="s">
        <v>5383</v>
      </c>
      <c r="E1065" s="54" t="s">
        <v>5384</v>
      </c>
      <c r="F1065" s="54" t="s">
        <v>5240</v>
      </c>
      <c r="G1065" s="54" t="s">
        <v>5385</v>
      </c>
      <c r="H1065" s="37" t="s">
        <v>5269</v>
      </c>
      <c r="I1065" s="54" t="s">
        <v>5293</v>
      </c>
      <c r="J1065" s="37"/>
    </row>
    <row r="1066" customFormat="false" ht="15" hidden="false" customHeight="true" outlineLevel="0" collapsed="false">
      <c r="A1066" s="37" t="s">
        <v>2312</v>
      </c>
      <c r="B1066" s="37" t="s">
        <v>463</v>
      </c>
      <c r="C1066" s="54" t="s">
        <v>2313</v>
      </c>
      <c r="D1066" s="54" t="s">
        <v>5383</v>
      </c>
      <c r="E1066" s="54" t="s">
        <v>5384</v>
      </c>
      <c r="F1066" s="54" t="s">
        <v>5240</v>
      </c>
      <c r="G1066" s="54" t="s">
        <v>5385</v>
      </c>
      <c r="H1066" s="37" t="s">
        <v>5269</v>
      </c>
      <c r="I1066" s="54" t="s">
        <v>5293</v>
      </c>
      <c r="J1066" s="37"/>
    </row>
    <row r="1067" customFormat="false" ht="15" hidden="false" customHeight="true" outlineLevel="0" collapsed="false">
      <c r="A1067" s="37" t="s">
        <v>2318</v>
      </c>
      <c r="B1067" s="37" t="s">
        <v>463</v>
      </c>
      <c r="C1067" s="54" t="s">
        <v>2319</v>
      </c>
      <c r="D1067" s="54" t="s">
        <v>5383</v>
      </c>
      <c r="E1067" s="54" t="s">
        <v>5384</v>
      </c>
      <c r="F1067" s="54" t="s">
        <v>5240</v>
      </c>
      <c r="G1067" s="54" t="s">
        <v>5385</v>
      </c>
      <c r="H1067" s="37" t="s">
        <v>5269</v>
      </c>
      <c r="I1067" s="54" t="s">
        <v>5293</v>
      </c>
      <c r="J1067" s="37"/>
    </row>
    <row r="1068" customFormat="false" ht="15" hidden="false" customHeight="true" outlineLevel="0" collapsed="false">
      <c r="A1068" s="37" t="s">
        <v>2321</v>
      </c>
      <c r="B1068" s="37" t="s">
        <v>463</v>
      </c>
      <c r="C1068" s="54" t="s">
        <v>2322</v>
      </c>
      <c r="D1068" s="54" t="s">
        <v>5383</v>
      </c>
      <c r="E1068" s="54" t="s">
        <v>5384</v>
      </c>
      <c r="F1068" s="54" t="s">
        <v>5240</v>
      </c>
      <c r="G1068" s="54" t="s">
        <v>5385</v>
      </c>
      <c r="H1068" s="37" t="s">
        <v>5269</v>
      </c>
      <c r="I1068" s="54" t="s">
        <v>5293</v>
      </c>
      <c r="J1068" s="37"/>
    </row>
    <row r="1069" customFormat="false" ht="15" hidden="false" customHeight="true" outlineLevel="0" collapsed="false">
      <c r="A1069" s="37" t="s">
        <v>2331</v>
      </c>
      <c r="B1069" s="37" t="s">
        <v>463</v>
      </c>
      <c r="C1069" s="54" t="s">
        <v>2332</v>
      </c>
      <c r="D1069" s="54" t="s">
        <v>5383</v>
      </c>
      <c r="E1069" s="54" t="s">
        <v>5384</v>
      </c>
      <c r="F1069" s="54" t="s">
        <v>5240</v>
      </c>
      <c r="G1069" s="54" t="s">
        <v>5385</v>
      </c>
      <c r="H1069" s="37" t="s">
        <v>5269</v>
      </c>
      <c r="I1069" s="54" t="s">
        <v>5293</v>
      </c>
      <c r="J1069" s="37"/>
    </row>
    <row r="1070" customFormat="false" ht="15" hidden="false" customHeight="true" outlineLevel="0" collapsed="false">
      <c r="A1070" s="37" t="s">
        <v>2334</v>
      </c>
      <c r="B1070" s="37" t="s">
        <v>463</v>
      </c>
      <c r="C1070" s="54" t="s">
        <v>2335</v>
      </c>
      <c r="D1070" s="54" t="s">
        <v>5255</v>
      </c>
      <c r="E1070" s="54" t="s">
        <v>5256</v>
      </c>
      <c r="F1070" s="54" t="s">
        <v>5216</v>
      </c>
      <c r="G1070" s="54" t="s">
        <v>5385</v>
      </c>
      <c r="H1070" s="37" t="s">
        <v>5269</v>
      </c>
      <c r="I1070" s="54" t="s">
        <v>5293</v>
      </c>
      <c r="J1070" s="37"/>
    </row>
    <row r="1071" customFormat="false" ht="15" hidden="false" customHeight="true" outlineLevel="0" collapsed="false">
      <c r="A1071" s="37" t="s">
        <v>2337</v>
      </c>
      <c r="B1071" s="37" t="s">
        <v>463</v>
      </c>
      <c r="C1071" s="54" t="s">
        <v>2338</v>
      </c>
      <c r="D1071" s="54" t="s">
        <v>5383</v>
      </c>
      <c r="E1071" s="54" t="s">
        <v>5384</v>
      </c>
      <c r="F1071" s="54" t="s">
        <v>5240</v>
      </c>
      <c r="G1071" s="54" t="s">
        <v>5385</v>
      </c>
      <c r="H1071" s="37" t="s">
        <v>5269</v>
      </c>
      <c r="I1071" s="54" t="s">
        <v>5293</v>
      </c>
      <c r="J1071" s="37"/>
    </row>
    <row r="1072" customFormat="false" ht="15" hidden="false" customHeight="true" outlineLevel="0" collapsed="false">
      <c r="A1072" s="37" t="s">
        <v>2340</v>
      </c>
      <c r="B1072" s="37" t="s">
        <v>463</v>
      </c>
      <c r="C1072" s="54" t="s">
        <v>2341</v>
      </c>
      <c r="D1072" s="54" t="s">
        <v>5390</v>
      </c>
      <c r="E1072" s="54" t="s">
        <v>5215</v>
      </c>
      <c r="F1072" s="54" t="s">
        <v>5216</v>
      </c>
      <c r="G1072" s="54" t="s">
        <v>5385</v>
      </c>
      <c r="H1072" s="37" t="s">
        <v>5269</v>
      </c>
      <c r="I1072" s="54" t="s">
        <v>5293</v>
      </c>
      <c r="J1072" s="37"/>
    </row>
    <row r="1073" customFormat="false" ht="15" hidden="false" customHeight="true" outlineLevel="0" collapsed="false">
      <c r="A1073" s="37" t="s">
        <v>2343</v>
      </c>
      <c r="B1073" s="37" t="s">
        <v>463</v>
      </c>
      <c r="C1073" s="54" t="s">
        <v>2344</v>
      </c>
      <c r="D1073" s="54" t="s">
        <v>5255</v>
      </c>
      <c r="E1073" s="54" t="s">
        <v>5256</v>
      </c>
      <c r="F1073" s="54" t="s">
        <v>5216</v>
      </c>
      <c r="G1073" s="54" t="s">
        <v>5385</v>
      </c>
      <c r="H1073" s="37" t="s">
        <v>5269</v>
      </c>
      <c r="I1073" s="54" t="s">
        <v>5293</v>
      </c>
      <c r="J1073" s="37"/>
    </row>
    <row r="1074" customFormat="false" ht="15" hidden="false" customHeight="true" outlineLevel="0" collapsed="false">
      <c r="A1074" s="37" t="s">
        <v>2346</v>
      </c>
      <c r="B1074" s="37" t="s">
        <v>463</v>
      </c>
      <c r="C1074" s="54" t="s">
        <v>2347</v>
      </c>
      <c r="D1074" s="54" t="s">
        <v>5255</v>
      </c>
      <c r="E1074" s="54" t="s">
        <v>5256</v>
      </c>
      <c r="F1074" s="54" t="s">
        <v>5216</v>
      </c>
      <c r="G1074" s="54" t="s">
        <v>5385</v>
      </c>
      <c r="H1074" s="37" t="s">
        <v>5269</v>
      </c>
      <c r="I1074" s="54" t="s">
        <v>5293</v>
      </c>
      <c r="J1074" s="37"/>
    </row>
    <row r="1075" customFormat="false" ht="15" hidden="false" customHeight="true" outlineLevel="0" collapsed="false">
      <c r="A1075" s="37" t="s">
        <v>2350</v>
      </c>
      <c r="B1075" s="37" t="s">
        <v>463</v>
      </c>
      <c r="C1075" s="54" t="s">
        <v>2351</v>
      </c>
      <c r="D1075" s="54" t="s">
        <v>5255</v>
      </c>
      <c r="E1075" s="54" t="s">
        <v>5256</v>
      </c>
      <c r="F1075" s="54" t="s">
        <v>5216</v>
      </c>
      <c r="G1075" s="54" t="s">
        <v>5385</v>
      </c>
      <c r="H1075" s="37" t="s">
        <v>5269</v>
      </c>
      <c r="I1075" s="54" t="s">
        <v>5293</v>
      </c>
      <c r="J1075" s="37"/>
    </row>
    <row r="1076" customFormat="false" ht="15" hidden="false" customHeight="true" outlineLevel="0" collapsed="false">
      <c r="A1076" s="37" t="s">
        <v>2357</v>
      </c>
      <c r="B1076" s="37" t="s">
        <v>463</v>
      </c>
      <c r="C1076" s="54" t="s">
        <v>2358</v>
      </c>
      <c r="D1076" s="54" t="s">
        <v>5383</v>
      </c>
      <c r="E1076" s="54" t="s">
        <v>5384</v>
      </c>
      <c r="F1076" s="54" t="s">
        <v>5240</v>
      </c>
      <c r="G1076" s="54" t="s">
        <v>5385</v>
      </c>
      <c r="H1076" s="37" t="s">
        <v>5269</v>
      </c>
      <c r="I1076" s="54" t="s">
        <v>5293</v>
      </c>
      <c r="J1076" s="37"/>
    </row>
    <row r="1077" customFormat="false" ht="15" hidden="false" customHeight="true" outlineLevel="0" collapsed="false">
      <c r="A1077" s="37" t="s">
        <v>2360</v>
      </c>
      <c r="B1077" s="37" t="s">
        <v>463</v>
      </c>
      <c r="C1077" s="54" t="s">
        <v>2361</v>
      </c>
      <c r="D1077" s="54" t="s">
        <v>5383</v>
      </c>
      <c r="E1077" s="54" t="s">
        <v>5384</v>
      </c>
      <c r="F1077" s="54" t="s">
        <v>5240</v>
      </c>
      <c r="G1077" s="54" t="s">
        <v>5385</v>
      </c>
      <c r="H1077" s="37" t="s">
        <v>5269</v>
      </c>
      <c r="I1077" s="54" t="s">
        <v>5293</v>
      </c>
      <c r="J1077" s="37"/>
    </row>
    <row r="1078" customFormat="false" ht="15" hidden="false" customHeight="true" outlineLevel="0" collapsed="false">
      <c r="A1078" s="37" t="s">
        <v>2363</v>
      </c>
      <c r="B1078" s="37" t="s">
        <v>463</v>
      </c>
      <c r="C1078" s="54" t="s">
        <v>2364</v>
      </c>
      <c r="D1078" s="54" t="s">
        <v>5255</v>
      </c>
      <c r="E1078" s="54" t="s">
        <v>5256</v>
      </c>
      <c r="F1078" s="54" t="s">
        <v>5216</v>
      </c>
      <c r="G1078" s="54" t="s">
        <v>5385</v>
      </c>
      <c r="H1078" s="37" t="s">
        <v>5269</v>
      </c>
      <c r="I1078" s="54" t="s">
        <v>5293</v>
      </c>
      <c r="J1078" s="37"/>
    </row>
    <row r="1079" customFormat="false" ht="15" hidden="false" customHeight="true" outlineLevel="0" collapsed="false">
      <c r="A1079" s="37" t="s">
        <v>2366</v>
      </c>
      <c r="B1079" s="37" t="s">
        <v>463</v>
      </c>
      <c r="C1079" s="54" t="s">
        <v>2367</v>
      </c>
      <c r="D1079" s="54" t="s">
        <v>5255</v>
      </c>
      <c r="E1079" s="54" t="s">
        <v>5256</v>
      </c>
      <c r="F1079" s="54" t="s">
        <v>5216</v>
      </c>
      <c r="G1079" s="54" t="s">
        <v>5385</v>
      </c>
      <c r="H1079" s="37" t="s">
        <v>5269</v>
      </c>
      <c r="I1079" s="54" t="s">
        <v>5293</v>
      </c>
      <c r="J1079" s="37"/>
    </row>
    <row r="1080" customFormat="false" ht="15" hidden="false" customHeight="true" outlineLevel="0" collapsed="false">
      <c r="A1080" s="37" t="s">
        <v>2369</v>
      </c>
      <c r="B1080" s="37" t="s">
        <v>463</v>
      </c>
      <c r="C1080" s="54" t="s">
        <v>2370</v>
      </c>
      <c r="D1080" s="54" t="s">
        <v>5255</v>
      </c>
      <c r="E1080" s="54" t="s">
        <v>5256</v>
      </c>
      <c r="F1080" s="54" t="s">
        <v>5216</v>
      </c>
      <c r="G1080" s="54" t="s">
        <v>5385</v>
      </c>
      <c r="H1080" s="37" t="s">
        <v>5269</v>
      </c>
      <c r="I1080" s="54" t="s">
        <v>5293</v>
      </c>
      <c r="J1080" s="37"/>
    </row>
    <row r="1081" customFormat="false" ht="15" hidden="false" customHeight="true" outlineLevel="0" collapsed="false">
      <c r="A1081" s="37" t="s">
        <v>2378</v>
      </c>
      <c r="B1081" s="37" t="s">
        <v>463</v>
      </c>
      <c r="C1081" s="54" t="s">
        <v>2379</v>
      </c>
      <c r="D1081" s="54" t="s">
        <v>5390</v>
      </c>
      <c r="E1081" s="54" t="s">
        <v>5215</v>
      </c>
      <c r="F1081" s="54" t="s">
        <v>5216</v>
      </c>
      <c r="G1081" s="54" t="s">
        <v>5385</v>
      </c>
      <c r="H1081" s="37" t="s">
        <v>5269</v>
      </c>
      <c r="I1081" s="54" t="s">
        <v>5293</v>
      </c>
      <c r="J1081" s="37"/>
    </row>
    <row r="1082" customFormat="false" ht="15" hidden="false" customHeight="true" outlineLevel="0" collapsed="false">
      <c r="A1082" s="37" t="s">
        <v>2381</v>
      </c>
      <c r="B1082" s="37" t="s">
        <v>463</v>
      </c>
      <c r="C1082" s="54" t="s">
        <v>2382</v>
      </c>
      <c r="D1082" s="54" t="s">
        <v>5255</v>
      </c>
      <c r="E1082" s="54" t="s">
        <v>5256</v>
      </c>
      <c r="F1082" s="54" t="s">
        <v>5216</v>
      </c>
      <c r="G1082" s="54" t="s">
        <v>5385</v>
      </c>
      <c r="H1082" s="37" t="s">
        <v>5269</v>
      </c>
      <c r="I1082" s="54" t="s">
        <v>5293</v>
      </c>
      <c r="J1082" s="37"/>
    </row>
    <row r="1083" customFormat="false" ht="15" hidden="false" customHeight="true" outlineLevel="0" collapsed="false">
      <c r="A1083" s="37" t="s">
        <v>2384</v>
      </c>
      <c r="B1083" s="37" t="s">
        <v>463</v>
      </c>
      <c r="C1083" s="54" t="s">
        <v>2385</v>
      </c>
      <c r="D1083" s="37" t="s">
        <v>5392</v>
      </c>
      <c r="E1083" s="54" t="s">
        <v>5393</v>
      </c>
      <c r="F1083" s="54" t="s">
        <v>5216</v>
      </c>
      <c r="G1083" s="54" t="s">
        <v>5385</v>
      </c>
      <c r="H1083" s="37" t="s">
        <v>5269</v>
      </c>
      <c r="I1083" s="54" t="s">
        <v>5293</v>
      </c>
      <c r="J1083" s="37"/>
    </row>
    <row r="1084" customFormat="false" ht="15" hidden="false" customHeight="true" outlineLevel="0" collapsed="false">
      <c r="A1084" s="37" t="s">
        <v>2390</v>
      </c>
      <c r="B1084" s="37" t="s">
        <v>463</v>
      </c>
      <c r="C1084" s="54" t="s">
        <v>2391</v>
      </c>
      <c r="D1084" s="37" t="s">
        <v>5394</v>
      </c>
      <c r="E1084" s="54" t="s">
        <v>5393</v>
      </c>
      <c r="F1084" s="54" t="s">
        <v>5216</v>
      </c>
      <c r="G1084" s="54" t="s">
        <v>5385</v>
      </c>
      <c r="H1084" s="37" t="s">
        <v>5269</v>
      </c>
      <c r="I1084" s="54" t="s">
        <v>5293</v>
      </c>
      <c r="J1084" s="37"/>
    </row>
    <row r="1085" customFormat="false" ht="15" hidden="false" customHeight="true" outlineLevel="0" collapsed="false">
      <c r="A1085" s="37" t="s">
        <v>2394</v>
      </c>
      <c r="B1085" s="37" t="s">
        <v>463</v>
      </c>
      <c r="C1085" s="54" t="s">
        <v>2395</v>
      </c>
      <c r="D1085" s="54" t="s">
        <v>5305</v>
      </c>
      <c r="E1085" s="54" t="s">
        <v>5306</v>
      </c>
      <c r="F1085" s="54" t="s">
        <v>5240</v>
      </c>
      <c r="G1085" s="54" t="s">
        <v>5385</v>
      </c>
      <c r="H1085" s="37" t="s">
        <v>5269</v>
      </c>
      <c r="I1085" s="54" t="s">
        <v>5293</v>
      </c>
      <c r="J1085" s="37"/>
    </row>
    <row r="1086" customFormat="false" ht="15" hidden="false" customHeight="true" outlineLevel="0" collapsed="false">
      <c r="A1086" s="37" t="s">
        <v>2397</v>
      </c>
      <c r="B1086" s="37" t="s">
        <v>463</v>
      </c>
      <c r="C1086" s="54" t="s">
        <v>2398</v>
      </c>
      <c r="D1086" s="54" t="s">
        <v>5305</v>
      </c>
      <c r="E1086" s="54" t="s">
        <v>5306</v>
      </c>
      <c r="F1086" s="54" t="s">
        <v>5240</v>
      </c>
      <c r="G1086" s="54" t="s">
        <v>5385</v>
      </c>
      <c r="H1086" s="37" t="s">
        <v>5269</v>
      </c>
      <c r="I1086" s="54" t="s">
        <v>5293</v>
      </c>
      <c r="J1086" s="37"/>
    </row>
    <row r="1087" customFormat="false" ht="15" hidden="false" customHeight="true" outlineLevel="0" collapsed="false">
      <c r="A1087" s="37" t="s">
        <v>2403</v>
      </c>
      <c r="B1087" s="37" t="s">
        <v>463</v>
      </c>
      <c r="C1087" s="54" t="s">
        <v>2404</v>
      </c>
      <c r="D1087" s="54" t="s">
        <v>5395</v>
      </c>
      <c r="E1087" s="54" t="s">
        <v>5221</v>
      </c>
      <c r="F1087" s="54" t="s">
        <v>5216</v>
      </c>
      <c r="G1087" s="54" t="s">
        <v>5385</v>
      </c>
      <c r="H1087" s="37" t="s">
        <v>5269</v>
      </c>
      <c r="I1087" s="54" t="s">
        <v>5293</v>
      </c>
      <c r="J1087" s="37"/>
    </row>
    <row r="1088" customFormat="false" ht="15" hidden="false" customHeight="true" outlineLevel="0" collapsed="false">
      <c r="A1088" s="37" t="s">
        <v>2406</v>
      </c>
      <c r="B1088" s="37" t="s">
        <v>463</v>
      </c>
      <c r="C1088" s="54" t="s">
        <v>2407</v>
      </c>
      <c r="D1088" s="54" t="s">
        <v>5214</v>
      </c>
      <c r="E1088" s="54" t="s">
        <v>5215</v>
      </c>
      <c r="F1088" s="54" t="s">
        <v>5216</v>
      </c>
      <c r="G1088" s="54" t="s">
        <v>5385</v>
      </c>
      <c r="H1088" s="37" t="s">
        <v>5269</v>
      </c>
      <c r="I1088" s="54" t="s">
        <v>5293</v>
      </c>
      <c r="J1088" s="37"/>
    </row>
    <row r="1089" customFormat="false" ht="15" hidden="false" customHeight="true" outlineLevel="0" collapsed="false">
      <c r="A1089" s="37" t="s">
        <v>4044</v>
      </c>
      <c r="B1089" s="37" t="s">
        <v>477</v>
      </c>
      <c r="C1089" s="37" t="s">
        <v>4045</v>
      </c>
      <c r="D1089" s="54" t="s">
        <v>5396</v>
      </c>
      <c r="E1089" s="54" t="s">
        <v>5397</v>
      </c>
      <c r="F1089" s="54" t="s">
        <v>5240</v>
      </c>
      <c r="G1089" s="54" t="s">
        <v>5398</v>
      </c>
      <c r="H1089" s="37" t="s">
        <v>5399</v>
      </c>
      <c r="I1089" s="54" t="s">
        <v>5270</v>
      </c>
      <c r="J1089" s="37"/>
    </row>
    <row r="1090" customFormat="false" ht="15" hidden="false" customHeight="true" outlineLevel="0" collapsed="false">
      <c r="A1090" s="37" t="s">
        <v>4047</v>
      </c>
      <c r="B1090" s="37" t="s">
        <v>477</v>
      </c>
      <c r="C1090" s="37" t="s">
        <v>4048</v>
      </c>
      <c r="D1090" s="54" t="s">
        <v>5396</v>
      </c>
      <c r="E1090" s="54" t="s">
        <v>5397</v>
      </c>
      <c r="F1090" s="54" t="s">
        <v>5240</v>
      </c>
      <c r="G1090" s="54" t="s">
        <v>5398</v>
      </c>
      <c r="H1090" s="37" t="s">
        <v>5399</v>
      </c>
      <c r="I1090" s="54" t="s">
        <v>5270</v>
      </c>
      <c r="J1090" s="37"/>
    </row>
    <row r="1091" customFormat="false" ht="15" hidden="false" customHeight="true" outlineLevel="0" collapsed="false">
      <c r="A1091" s="37" t="s">
        <v>4049</v>
      </c>
      <c r="B1091" s="37" t="s">
        <v>477</v>
      </c>
      <c r="C1091" s="54" t="s">
        <v>4050</v>
      </c>
      <c r="D1091" s="54" t="s">
        <v>5396</v>
      </c>
      <c r="E1091" s="54" t="s">
        <v>5397</v>
      </c>
      <c r="F1091" s="54" t="s">
        <v>5240</v>
      </c>
      <c r="G1091" s="54" t="s">
        <v>5398</v>
      </c>
      <c r="H1091" s="37" t="s">
        <v>5399</v>
      </c>
      <c r="I1091" s="54" t="s">
        <v>5270</v>
      </c>
      <c r="J1091" s="37"/>
    </row>
    <row r="1092" customFormat="false" ht="15" hidden="false" customHeight="true" outlineLevel="0" collapsed="false">
      <c r="A1092" s="37" t="s">
        <v>4052</v>
      </c>
      <c r="B1092" s="37" t="s">
        <v>477</v>
      </c>
      <c r="C1092" s="54" t="s">
        <v>4053</v>
      </c>
      <c r="D1092" s="54" t="s">
        <v>5396</v>
      </c>
      <c r="E1092" s="54" t="s">
        <v>5397</v>
      </c>
      <c r="F1092" s="54" t="s">
        <v>5240</v>
      </c>
      <c r="G1092" s="54" t="s">
        <v>5398</v>
      </c>
      <c r="H1092" s="37" t="s">
        <v>5399</v>
      </c>
      <c r="I1092" s="54" t="s">
        <v>5270</v>
      </c>
      <c r="J1092" s="37"/>
    </row>
    <row r="1093" customFormat="false" ht="15" hidden="false" customHeight="true" outlineLevel="0" collapsed="false">
      <c r="A1093" s="37" t="s">
        <v>4055</v>
      </c>
      <c r="B1093" s="37" t="s">
        <v>477</v>
      </c>
      <c r="C1093" s="54" t="s">
        <v>4056</v>
      </c>
      <c r="D1093" s="54" t="s">
        <v>5241</v>
      </c>
      <c r="E1093" s="54" t="s">
        <v>5242</v>
      </c>
      <c r="F1093" s="54" t="s">
        <v>5216</v>
      </c>
      <c r="G1093" s="54" t="s">
        <v>5398</v>
      </c>
      <c r="H1093" s="37" t="s">
        <v>5399</v>
      </c>
      <c r="I1093" s="54" t="s">
        <v>5270</v>
      </c>
      <c r="J1093" s="37"/>
    </row>
    <row r="1094" customFormat="false" ht="15" hidden="false" customHeight="true" outlineLevel="0" collapsed="false">
      <c r="A1094" s="37" t="s">
        <v>4057</v>
      </c>
      <c r="B1094" s="37" t="s">
        <v>477</v>
      </c>
      <c r="C1094" s="54" t="s">
        <v>4058</v>
      </c>
      <c r="D1094" s="54" t="s">
        <v>5396</v>
      </c>
      <c r="E1094" s="54" t="s">
        <v>5397</v>
      </c>
      <c r="F1094" s="54" t="s">
        <v>5240</v>
      </c>
      <c r="G1094" s="54" t="s">
        <v>5398</v>
      </c>
      <c r="H1094" s="37" t="s">
        <v>5399</v>
      </c>
      <c r="I1094" s="54" t="s">
        <v>5270</v>
      </c>
      <c r="J1094" s="37"/>
    </row>
    <row r="1095" customFormat="false" ht="15" hidden="false" customHeight="true" outlineLevel="0" collapsed="false">
      <c r="A1095" s="37" t="s">
        <v>4059</v>
      </c>
      <c r="B1095" s="37" t="s">
        <v>477</v>
      </c>
      <c r="C1095" s="37" t="s">
        <v>4060</v>
      </c>
      <c r="D1095" s="54" t="s">
        <v>5396</v>
      </c>
      <c r="E1095" s="54" t="s">
        <v>5397</v>
      </c>
      <c r="F1095" s="54" t="s">
        <v>5240</v>
      </c>
      <c r="G1095" s="54" t="s">
        <v>5398</v>
      </c>
      <c r="H1095" s="37" t="s">
        <v>5399</v>
      </c>
      <c r="I1095" s="54" t="s">
        <v>5270</v>
      </c>
      <c r="J1095" s="37"/>
    </row>
    <row r="1096" customFormat="false" ht="15" hidden="false" customHeight="true" outlineLevel="0" collapsed="false">
      <c r="A1096" s="37" t="s">
        <v>4062</v>
      </c>
      <c r="B1096" s="37" t="s">
        <v>477</v>
      </c>
      <c r="C1096" s="54" t="s">
        <v>4063</v>
      </c>
      <c r="D1096" s="54" t="s">
        <v>5396</v>
      </c>
      <c r="E1096" s="54" t="s">
        <v>5397</v>
      </c>
      <c r="F1096" s="54" t="s">
        <v>5240</v>
      </c>
      <c r="G1096" s="54" t="s">
        <v>5398</v>
      </c>
      <c r="H1096" s="37" t="s">
        <v>5399</v>
      </c>
      <c r="I1096" s="54" t="s">
        <v>5270</v>
      </c>
      <c r="J1096" s="37"/>
    </row>
    <row r="1097" customFormat="false" ht="15" hidden="false" customHeight="true" outlineLevel="0" collapsed="false">
      <c r="A1097" s="37" t="s">
        <v>4065</v>
      </c>
      <c r="B1097" s="37" t="s">
        <v>477</v>
      </c>
      <c r="C1097" s="54" t="s">
        <v>4066</v>
      </c>
      <c r="D1097" s="54" t="s">
        <v>5241</v>
      </c>
      <c r="E1097" s="54" t="s">
        <v>5242</v>
      </c>
      <c r="F1097" s="54" t="s">
        <v>5216</v>
      </c>
      <c r="G1097" s="54" t="s">
        <v>5398</v>
      </c>
      <c r="H1097" s="37" t="s">
        <v>5399</v>
      </c>
      <c r="I1097" s="54" t="s">
        <v>5270</v>
      </c>
      <c r="J1097" s="37"/>
    </row>
    <row r="1098" customFormat="false" ht="15" hidden="false" customHeight="true" outlineLevel="0" collapsed="false">
      <c r="A1098" s="37" t="s">
        <v>4069</v>
      </c>
      <c r="B1098" s="37" t="s">
        <v>477</v>
      </c>
      <c r="C1098" s="54" t="s">
        <v>4070</v>
      </c>
      <c r="D1098" s="54" t="s">
        <v>5396</v>
      </c>
      <c r="E1098" s="54" t="s">
        <v>5397</v>
      </c>
      <c r="F1098" s="54" t="s">
        <v>5240</v>
      </c>
      <c r="G1098" s="54" t="s">
        <v>5398</v>
      </c>
      <c r="H1098" s="37" t="s">
        <v>5399</v>
      </c>
      <c r="I1098" s="54" t="s">
        <v>5270</v>
      </c>
      <c r="J1098" s="37"/>
    </row>
    <row r="1099" customFormat="false" ht="15" hidden="false" customHeight="true" outlineLevel="0" collapsed="false">
      <c r="A1099" s="37" t="s">
        <v>4071</v>
      </c>
      <c r="B1099" s="37" t="s">
        <v>477</v>
      </c>
      <c r="C1099" s="54" t="s">
        <v>4072</v>
      </c>
      <c r="D1099" s="54" t="s">
        <v>5396</v>
      </c>
      <c r="E1099" s="54" t="s">
        <v>5397</v>
      </c>
      <c r="F1099" s="54" t="s">
        <v>5240</v>
      </c>
      <c r="G1099" s="54" t="s">
        <v>5398</v>
      </c>
      <c r="H1099" s="37" t="s">
        <v>5399</v>
      </c>
      <c r="I1099" s="54" t="s">
        <v>5270</v>
      </c>
      <c r="J1099" s="37"/>
    </row>
    <row r="1100" customFormat="false" ht="15" hidden="false" customHeight="true" outlineLevel="0" collapsed="false">
      <c r="A1100" s="37" t="s">
        <v>4074</v>
      </c>
      <c r="B1100" s="37" t="s">
        <v>477</v>
      </c>
      <c r="C1100" s="37" t="s">
        <v>4075</v>
      </c>
      <c r="D1100" s="54" t="s">
        <v>5226</v>
      </c>
      <c r="E1100" s="54" t="s">
        <v>5227</v>
      </c>
      <c r="F1100" s="54" t="s">
        <v>5216</v>
      </c>
      <c r="G1100" s="54" t="s">
        <v>5398</v>
      </c>
      <c r="H1100" s="37" t="s">
        <v>5399</v>
      </c>
      <c r="I1100" s="54" t="s">
        <v>5270</v>
      </c>
      <c r="J1100" s="37"/>
    </row>
    <row r="1101" customFormat="false" ht="15" hidden="false" customHeight="true" outlineLevel="0" collapsed="false">
      <c r="A1101" s="37" t="s">
        <v>4082</v>
      </c>
      <c r="B1101" s="37" t="s">
        <v>477</v>
      </c>
      <c r="C1101" s="54" t="s">
        <v>4083</v>
      </c>
      <c r="D1101" s="54" t="s">
        <v>5396</v>
      </c>
      <c r="E1101" s="54" t="s">
        <v>5397</v>
      </c>
      <c r="F1101" s="54" t="s">
        <v>5240</v>
      </c>
      <c r="G1101" s="54" t="s">
        <v>5398</v>
      </c>
      <c r="H1101" s="37" t="s">
        <v>5399</v>
      </c>
      <c r="I1101" s="54" t="s">
        <v>5270</v>
      </c>
      <c r="J1101" s="37"/>
    </row>
    <row r="1102" customFormat="false" ht="15" hidden="false" customHeight="true" outlineLevel="0" collapsed="false">
      <c r="A1102" s="37" t="s">
        <v>1371</v>
      </c>
      <c r="B1102" s="37" t="s">
        <v>434</v>
      </c>
      <c r="C1102" s="54" t="s">
        <v>1372</v>
      </c>
      <c r="D1102" s="54" t="s">
        <v>5400</v>
      </c>
      <c r="E1102" s="54" t="s">
        <v>5401</v>
      </c>
      <c r="F1102" s="54" t="s">
        <v>5240</v>
      </c>
      <c r="G1102" s="54" t="s">
        <v>5402</v>
      </c>
      <c r="H1102" s="37" t="s">
        <v>5348</v>
      </c>
      <c r="I1102" s="54" t="s">
        <v>5293</v>
      </c>
      <c r="J1102" s="37"/>
    </row>
    <row r="1103" customFormat="false" ht="15" hidden="false" customHeight="true" outlineLevel="0" collapsed="false">
      <c r="A1103" s="37" t="s">
        <v>1376</v>
      </c>
      <c r="B1103" s="37" t="s">
        <v>434</v>
      </c>
      <c r="C1103" s="54" t="s">
        <v>1377</v>
      </c>
      <c r="D1103" s="54" t="s">
        <v>5403</v>
      </c>
      <c r="E1103" s="54" t="s">
        <v>5401</v>
      </c>
      <c r="F1103" s="54" t="s">
        <v>5240</v>
      </c>
      <c r="G1103" s="54" t="s">
        <v>5402</v>
      </c>
      <c r="H1103" s="37" t="s">
        <v>5348</v>
      </c>
      <c r="I1103" s="54" t="s">
        <v>5293</v>
      </c>
      <c r="J1103" s="37"/>
    </row>
    <row r="1104" customFormat="false" ht="15" hidden="false" customHeight="true" outlineLevel="0" collapsed="false">
      <c r="A1104" s="37" t="s">
        <v>1379</v>
      </c>
      <c r="B1104" s="37" t="s">
        <v>434</v>
      </c>
      <c r="C1104" s="54" t="s">
        <v>1380</v>
      </c>
      <c r="D1104" s="54" t="s">
        <v>5403</v>
      </c>
      <c r="E1104" s="54" t="s">
        <v>5401</v>
      </c>
      <c r="F1104" s="54" t="s">
        <v>5240</v>
      </c>
      <c r="G1104" s="54" t="s">
        <v>5402</v>
      </c>
      <c r="H1104" s="37" t="s">
        <v>5348</v>
      </c>
      <c r="I1104" s="54" t="s">
        <v>5293</v>
      </c>
      <c r="J1104" s="37"/>
    </row>
    <row r="1105" customFormat="false" ht="15" hidden="false" customHeight="true" outlineLevel="0" collapsed="false">
      <c r="A1105" s="37" t="s">
        <v>1382</v>
      </c>
      <c r="B1105" s="37" t="s">
        <v>434</v>
      </c>
      <c r="C1105" s="54" t="s">
        <v>1383</v>
      </c>
      <c r="D1105" s="54" t="s">
        <v>5400</v>
      </c>
      <c r="E1105" s="54" t="s">
        <v>5401</v>
      </c>
      <c r="F1105" s="54" t="s">
        <v>5240</v>
      </c>
      <c r="G1105" s="54" t="s">
        <v>5402</v>
      </c>
      <c r="H1105" s="37" t="s">
        <v>5348</v>
      </c>
      <c r="I1105" s="54" t="s">
        <v>5293</v>
      </c>
      <c r="J1105" s="37"/>
    </row>
    <row r="1106" customFormat="false" ht="15" hidden="false" customHeight="true" outlineLevel="0" collapsed="false">
      <c r="A1106" s="37" t="s">
        <v>1385</v>
      </c>
      <c r="B1106" s="37" t="s">
        <v>434</v>
      </c>
      <c r="C1106" s="54" t="s">
        <v>1386</v>
      </c>
      <c r="D1106" s="54" t="s">
        <v>5400</v>
      </c>
      <c r="E1106" s="54" t="s">
        <v>5401</v>
      </c>
      <c r="F1106" s="54" t="s">
        <v>5240</v>
      </c>
      <c r="G1106" s="54" t="s">
        <v>5402</v>
      </c>
      <c r="H1106" s="37" t="s">
        <v>5348</v>
      </c>
      <c r="I1106" s="54" t="s">
        <v>5293</v>
      </c>
      <c r="J1106" s="37"/>
    </row>
    <row r="1107" customFormat="false" ht="15" hidden="false" customHeight="true" outlineLevel="0" collapsed="false">
      <c r="A1107" s="37" t="s">
        <v>1388</v>
      </c>
      <c r="B1107" s="37" t="s">
        <v>434</v>
      </c>
      <c r="C1107" s="54" t="s">
        <v>1389</v>
      </c>
      <c r="D1107" s="54" t="s">
        <v>5400</v>
      </c>
      <c r="E1107" s="54" t="s">
        <v>5401</v>
      </c>
      <c r="F1107" s="54" t="s">
        <v>5240</v>
      </c>
      <c r="G1107" s="54" t="s">
        <v>5402</v>
      </c>
      <c r="H1107" s="37" t="s">
        <v>5348</v>
      </c>
      <c r="I1107" s="54" t="s">
        <v>5293</v>
      </c>
      <c r="J1107" s="37"/>
    </row>
    <row r="1108" customFormat="false" ht="15" hidden="false" customHeight="true" outlineLevel="0" collapsed="false">
      <c r="A1108" s="37" t="s">
        <v>1391</v>
      </c>
      <c r="B1108" s="37" t="s">
        <v>434</v>
      </c>
      <c r="C1108" s="54" t="s">
        <v>1392</v>
      </c>
      <c r="D1108" s="54" t="s">
        <v>5400</v>
      </c>
      <c r="E1108" s="54" t="s">
        <v>5401</v>
      </c>
      <c r="F1108" s="54" t="s">
        <v>5240</v>
      </c>
      <c r="G1108" s="54" t="s">
        <v>5402</v>
      </c>
      <c r="H1108" s="37" t="s">
        <v>5348</v>
      </c>
      <c r="I1108" s="54" t="s">
        <v>5293</v>
      </c>
      <c r="J1108" s="37"/>
    </row>
    <row r="1109" customFormat="false" ht="15" hidden="false" customHeight="true" outlineLevel="0" collapsed="false">
      <c r="A1109" s="37" t="s">
        <v>1394</v>
      </c>
      <c r="B1109" s="37" t="s">
        <v>434</v>
      </c>
      <c r="C1109" s="54" t="s">
        <v>1395</v>
      </c>
      <c r="D1109" s="54" t="s">
        <v>5400</v>
      </c>
      <c r="E1109" s="54" t="s">
        <v>5401</v>
      </c>
      <c r="F1109" s="54" t="s">
        <v>5240</v>
      </c>
      <c r="G1109" s="54" t="s">
        <v>5402</v>
      </c>
      <c r="H1109" s="37" t="s">
        <v>5348</v>
      </c>
      <c r="I1109" s="54" t="s">
        <v>5293</v>
      </c>
      <c r="J1109" s="37"/>
    </row>
    <row r="1110" customFormat="false" ht="15" hidden="false" customHeight="true" outlineLevel="0" collapsed="false">
      <c r="A1110" s="37" t="s">
        <v>1398</v>
      </c>
      <c r="B1110" s="37" t="s">
        <v>434</v>
      </c>
      <c r="C1110" s="54" t="s">
        <v>1399</v>
      </c>
      <c r="D1110" s="54" t="s">
        <v>5400</v>
      </c>
      <c r="E1110" s="54" t="s">
        <v>5401</v>
      </c>
      <c r="F1110" s="54" t="s">
        <v>5240</v>
      </c>
      <c r="G1110" s="54" t="s">
        <v>5402</v>
      </c>
      <c r="H1110" s="37" t="s">
        <v>5348</v>
      </c>
      <c r="I1110" s="54" t="s">
        <v>5293</v>
      </c>
      <c r="J1110" s="37"/>
    </row>
    <row r="1111" customFormat="false" ht="15" hidden="false" customHeight="true" outlineLevel="0" collapsed="false">
      <c r="A1111" s="37" t="s">
        <v>1401</v>
      </c>
      <c r="B1111" s="37" t="s">
        <v>434</v>
      </c>
      <c r="C1111" s="54" t="s">
        <v>1402</v>
      </c>
      <c r="D1111" s="54" t="s">
        <v>5400</v>
      </c>
      <c r="E1111" s="54" t="s">
        <v>5401</v>
      </c>
      <c r="F1111" s="54" t="s">
        <v>5240</v>
      </c>
      <c r="G1111" s="54" t="s">
        <v>5402</v>
      </c>
      <c r="H1111" s="37" t="s">
        <v>5348</v>
      </c>
      <c r="I1111" s="54" t="s">
        <v>5293</v>
      </c>
      <c r="J1111" s="37"/>
    </row>
    <row r="1112" customFormat="false" ht="15" hidden="false" customHeight="true" outlineLevel="0" collapsed="false">
      <c r="A1112" s="37" t="s">
        <v>1405</v>
      </c>
      <c r="B1112" s="37" t="s">
        <v>434</v>
      </c>
      <c r="C1112" s="54" t="s">
        <v>1406</v>
      </c>
      <c r="D1112" s="54" t="s">
        <v>5400</v>
      </c>
      <c r="E1112" s="54" t="s">
        <v>5401</v>
      </c>
      <c r="F1112" s="54" t="s">
        <v>5240</v>
      </c>
      <c r="G1112" s="54" t="s">
        <v>5402</v>
      </c>
      <c r="H1112" s="37" t="s">
        <v>5348</v>
      </c>
      <c r="I1112" s="54" t="s">
        <v>5293</v>
      </c>
      <c r="J1112" s="37"/>
    </row>
    <row r="1113" customFormat="false" ht="15" hidden="false" customHeight="true" outlineLevel="0" collapsed="false">
      <c r="A1113" s="37" t="s">
        <v>1408</v>
      </c>
      <c r="B1113" s="37" t="s">
        <v>434</v>
      </c>
      <c r="C1113" s="54" t="s">
        <v>1409</v>
      </c>
      <c r="D1113" s="54" t="s">
        <v>5403</v>
      </c>
      <c r="E1113" s="54" t="s">
        <v>5401</v>
      </c>
      <c r="F1113" s="54" t="s">
        <v>5240</v>
      </c>
      <c r="G1113" s="54" t="s">
        <v>5402</v>
      </c>
      <c r="H1113" s="37" t="s">
        <v>5348</v>
      </c>
      <c r="I1113" s="54" t="s">
        <v>5293</v>
      </c>
      <c r="J1113" s="37"/>
    </row>
    <row r="1114" customFormat="false" ht="15" hidden="false" customHeight="true" outlineLevel="0" collapsed="false">
      <c r="A1114" s="37" t="s">
        <v>1411</v>
      </c>
      <c r="B1114" s="37" t="s">
        <v>434</v>
      </c>
      <c r="C1114" s="54" t="s">
        <v>1412</v>
      </c>
      <c r="D1114" s="54" t="s">
        <v>5400</v>
      </c>
      <c r="E1114" s="54" t="s">
        <v>5401</v>
      </c>
      <c r="F1114" s="54" t="s">
        <v>5240</v>
      </c>
      <c r="G1114" s="54" t="s">
        <v>5402</v>
      </c>
      <c r="H1114" s="37" t="s">
        <v>5348</v>
      </c>
      <c r="I1114" s="54" t="s">
        <v>5293</v>
      </c>
      <c r="J1114" s="37"/>
    </row>
    <row r="1115" customFormat="false" ht="15" hidden="false" customHeight="true" outlineLevel="0" collapsed="false">
      <c r="A1115" s="37" t="s">
        <v>1414</v>
      </c>
      <c r="B1115" s="37" t="s">
        <v>434</v>
      </c>
      <c r="C1115" s="54" t="s">
        <v>1415</v>
      </c>
      <c r="D1115" s="54" t="s">
        <v>5403</v>
      </c>
      <c r="E1115" s="54" t="s">
        <v>5401</v>
      </c>
      <c r="F1115" s="54" t="s">
        <v>5240</v>
      </c>
      <c r="G1115" s="54" t="s">
        <v>5402</v>
      </c>
      <c r="H1115" s="37" t="s">
        <v>5348</v>
      </c>
      <c r="I1115" s="54" t="s">
        <v>5293</v>
      </c>
      <c r="J1115" s="37"/>
    </row>
    <row r="1116" customFormat="false" ht="15" hidden="false" customHeight="true" outlineLevel="0" collapsed="false">
      <c r="A1116" s="37" t="s">
        <v>1417</v>
      </c>
      <c r="B1116" s="37" t="s">
        <v>434</v>
      </c>
      <c r="C1116" s="54" t="s">
        <v>1418</v>
      </c>
      <c r="D1116" s="54" t="s">
        <v>5400</v>
      </c>
      <c r="E1116" s="54" t="s">
        <v>5401</v>
      </c>
      <c r="F1116" s="54" t="s">
        <v>5240</v>
      </c>
      <c r="G1116" s="54" t="s">
        <v>5402</v>
      </c>
      <c r="H1116" s="37" t="s">
        <v>5348</v>
      </c>
      <c r="I1116" s="54" t="s">
        <v>5293</v>
      </c>
      <c r="J1116" s="37"/>
    </row>
    <row r="1117" customFormat="false" ht="15" hidden="false" customHeight="true" outlineLevel="0" collapsed="false">
      <c r="A1117" s="37" t="s">
        <v>1421</v>
      </c>
      <c r="B1117" s="37" t="s">
        <v>434</v>
      </c>
      <c r="C1117" s="54" t="s">
        <v>1422</v>
      </c>
      <c r="D1117" s="54" t="s">
        <v>5400</v>
      </c>
      <c r="E1117" s="54" t="s">
        <v>5401</v>
      </c>
      <c r="F1117" s="54" t="s">
        <v>5240</v>
      </c>
      <c r="G1117" s="54" t="s">
        <v>5402</v>
      </c>
      <c r="H1117" s="37" t="s">
        <v>5348</v>
      </c>
      <c r="I1117" s="54" t="s">
        <v>5293</v>
      </c>
      <c r="J1117" s="37"/>
    </row>
    <row r="1118" customFormat="false" ht="15" hidden="false" customHeight="true" outlineLevel="0" collapsed="false">
      <c r="A1118" s="37" t="s">
        <v>1424</v>
      </c>
      <c r="B1118" s="37" t="s">
        <v>434</v>
      </c>
      <c r="C1118" s="54" t="s">
        <v>1425</v>
      </c>
      <c r="D1118" s="54" t="s">
        <v>5400</v>
      </c>
      <c r="E1118" s="54" t="s">
        <v>5401</v>
      </c>
      <c r="F1118" s="54" t="s">
        <v>5240</v>
      </c>
      <c r="G1118" s="54" t="s">
        <v>5402</v>
      </c>
      <c r="H1118" s="37" t="s">
        <v>5348</v>
      </c>
      <c r="I1118" s="54" t="s">
        <v>5293</v>
      </c>
      <c r="J1118" s="37"/>
    </row>
    <row r="1119" customFormat="false" ht="15" hidden="false" customHeight="true" outlineLevel="0" collapsed="false">
      <c r="A1119" s="37" t="s">
        <v>1427</v>
      </c>
      <c r="B1119" s="37" t="s">
        <v>434</v>
      </c>
      <c r="C1119" s="54" t="s">
        <v>1428</v>
      </c>
      <c r="D1119" s="54" t="s">
        <v>5400</v>
      </c>
      <c r="E1119" s="54" t="s">
        <v>5401</v>
      </c>
      <c r="F1119" s="54" t="s">
        <v>5240</v>
      </c>
      <c r="G1119" s="54" t="s">
        <v>5402</v>
      </c>
      <c r="H1119" s="37" t="s">
        <v>5348</v>
      </c>
      <c r="I1119" s="54" t="s">
        <v>5293</v>
      </c>
      <c r="J1119" s="37"/>
    </row>
    <row r="1120" customFormat="false" ht="15" hidden="false" customHeight="true" outlineLevel="0" collapsed="false">
      <c r="A1120" s="37" t="s">
        <v>1431</v>
      </c>
      <c r="B1120" s="37" t="s">
        <v>434</v>
      </c>
      <c r="C1120" s="54" t="s">
        <v>1432</v>
      </c>
      <c r="D1120" s="54" t="s">
        <v>5400</v>
      </c>
      <c r="E1120" s="54" t="s">
        <v>5401</v>
      </c>
      <c r="F1120" s="54" t="s">
        <v>5240</v>
      </c>
      <c r="G1120" s="54" t="s">
        <v>5402</v>
      </c>
      <c r="H1120" s="37" t="s">
        <v>5348</v>
      </c>
      <c r="I1120" s="54" t="s">
        <v>5293</v>
      </c>
      <c r="J1120" s="37"/>
    </row>
    <row r="1121" customFormat="false" ht="15" hidden="false" customHeight="true" outlineLevel="0" collapsed="false">
      <c r="A1121" s="37" t="s">
        <v>1434</v>
      </c>
      <c r="B1121" s="37" t="s">
        <v>434</v>
      </c>
      <c r="C1121" s="54" t="s">
        <v>1435</v>
      </c>
      <c r="D1121" s="54" t="s">
        <v>5400</v>
      </c>
      <c r="E1121" s="54" t="s">
        <v>5401</v>
      </c>
      <c r="F1121" s="54" t="s">
        <v>5240</v>
      </c>
      <c r="G1121" s="54" t="s">
        <v>5402</v>
      </c>
      <c r="H1121" s="37" t="s">
        <v>5348</v>
      </c>
      <c r="I1121" s="54" t="s">
        <v>5293</v>
      </c>
      <c r="J1121" s="37"/>
    </row>
    <row r="1122" customFormat="false" ht="15" hidden="false" customHeight="true" outlineLevel="0" collapsed="false">
      <c r="A1122" s="37" t="s">
        <v>1437</v>
      </c>
      <c r="B1122" s="37" t="s">
        <v>434</v>
      </c>
      <c r="C1122" s="54" t="s">
        <v>1438</v>
      </c>
      <c r="D1122" s="54" t="s">
        <v>5403</v>
      </c>
      <c r="E1122" s="54" t="s">
        <v>5401</v>
      </c>
      <c r="F1122" s="54" t="s">
        <v>5240</v>
      </c>
      <c r="G1122" s="54" t="s">
        <v>5402</v>
      </c>
      <c r="H1122" s="37" t="s">
        <v>5348</v>
      </c>
      <c r="I1122" s="54" t="s">
        <v>5293</v>
      </c>
      <c r="J1122" s="37"/>
    </row>
    <row r="1123" customFormat="false" ht="15" hidden="false" customHeight="true" outlineLevel="0" collapsed="false">
      <c r="A1123" s="37" t="s">
        <v>1440</v>
      </c>
      <c r="B1123" s="37" t="s">
        <v>434</v>
      </c>
      <c r="C1123" s="54" t="s">
        <v>1441</v>
      </c>
      <c r="D1123" s="54" t="s">
        <v>5400</v>
      </c>
      <c r="E1123" s="54" t="s">
        <v>5401</v>
      </c>
      <c r="F1123" s="54" t="s">
        <v>5240</v>
      </c>
      <c r="G1123" s="54" t="s">
        <v>5402</v>
      </c>
      <c r="H1123" s="37" t="s">
        <v>5348</v>
      </c>
      <c r="I1123" s="54" t="s">
        <v>5293</v>
      </c>
      <c r="J1123" s="37"/>
    </row>
    <row r="1124" customFormat="false" ht="15" hidden="false" customHeight="true" outlineLevel="0" collapsed="false">
      <c r="A1124" s="37" t="s">
        <v>1443</v>
      </c>
      <c r="B1124" s="37" t="s">
        <v>434</v>
      </c>
      <c r="C1124" s="54" t="s">
        <v>1444</v>
      </c>
      <c r="D1124" s="54" t="s">
        <v>5400</v>
      </c>
      <c r="E1124" s="54" t="s">
        <v>5401</v>
      </c>
      <c r="F1124" s="54" t="s">
        <v>5240</v>
      </c>
      <c r="G1124" s="54" t="s">
        <v>5402</v>
      </c>
      <c r="H1124" s="37" t="s">
        <v>5348</v>
      </c>
      <c r="I1124" s="54" t="s">
        <v>5293</v>
      </c>
      <c r="J1124" s="37"/>
    </row>
    <row r="1125" customFormat="false" ht="15" hidden="false" customHeight="true" outlineLevel="0" collapsed="false">
      <c r="A1125" s="37" t="s">
        <v>1447</v>
      </c>
      <c r="B1125" s="37" t="s">
        <v>434</v>
      </c>
      <c r="C1125" s="54" t="s">
        <v>1448</v>
      </c>
      <c r="D1125" s="54" t="s">
        <v>5400</v>
      </c>
      <c r="E1125" s="54" t="s">
        <v>5401</v>
      </c>
      <c r="F1125" s="54" t="s">
        <v>5240</v>
      </c>
      <c r="G1125" s="54" t="s">
        <v>5402</v>
      </c>
      <c r="H1125" s="37" t="s">
        <v>5348</v>
      </c>
      <c r="I1125" s="54" t="s">
        <v>5293</v>
      </c>
      <c r="J1125" s="37"/>
    </row>
    <row r="1126" customFormat="false" ht="15" hidden="false" customHeight="true" outlineLevel="0" collapsed="false">
      <c r="A1126" s="37" t="s">
        <v>1450</v>
      </c>
      <c r="B1126" s="37" t="s">
        <v>434</v>
      </c>
      <c r="C1126" s="54" t="s">
        <v>1451</v>
      </c>
      <c r="D1126" s="54" t="s">
        <v>5257</v>
      </c>
      <c r="E1126" s="54" t="s">
        <v>5258</v>
      </c>
      <c r="F1126" s="54" t="s">
        <v>5240</v>
      </c>
      <c r="G1126" s="54" t="s">
        <v>5402</v>
      </c>
      <c r="H1126" s="37" t="s">
        <v>5348</v>
      </c>
      <c r="I1126" s="54" t="s">
        <v>5293</v>
      </c>
      <c r="J1126" s="37"/>
    </row>
    <row r="1127" customFormat="false" ht="15" hidden="false" customHeight="true" outlineLevel="0" collapsed="false">
      <c r="A1127" s="37" t="s">
        <v>1453</v>
      </c>
      <c r="B1127" s="37" t="s">
        <v>434</v>
      </c>
      <c r="C1127" s="54" t="s">
        <v>1454</v>
      </c>
      <c r="D1127" s="54" t="s">
        <v>5400</v>
      </c>
      <c r="E1127" s="54" t="s">
        <v>5401</v>
      </c>
      <c r="F1127" s="54" t="s">
        <v>5240</v>
      </c>
      <c r="G1127" s="54" t="s">
        <v>5402</v>
      </c>
      <c r="H1127" s="37" t="s">
        <v>5348</v>
      </c>
      <c r="I1127" s="54" t="s">
        <v>5293</v>
      </c>
      <c r="J1127" s="37"/>
    </row>
    <row r="1128" customFormat="false" ht="15" hidden="false" customHeight="true" outlineLevel="0" collapsed="false">
      <c r="A1128" s="37" t="s">
        <v>1456</v>
      </c>
      <c r="B1128" s="37" t="s">
        <v>434</v>
      </c>
      <c r="C1128" s="54" t="s">
        <v>1457</v>
      </c>
      <c r="D1128" s="54" t="s">
        <v>5224</v>
      </c>
      <c r="E1128" s="54" t="s">
        <v>5225</v>
      </c>
      <c r="F1128" s="54" t="s">
        <v>5216</v>
      </c>
      <c r="G1128" s="54" t="s">
        <v>5402</v>
      </c>
      <c r="H1128" s="37" t="s">
        <v>5348</v>
      </c>
      <c r="I1128" s="54" t="s">
        <v>5293</v>
      </c>
      <c r="J1128" s="37"/>
    </row>
    <row r="1129" customFormat="false" ht="15" hidden="false" customHeight="true" outlineLevel="0" collapsed="false">
      <c r="A1129" s="37" t="s">
        <v>1459</v>
      </c>
      <c r="B1129" s="37" t="s">
        <v>434</v>
      </c>
      <c r="C1129" s="54" t="s">
        <v>1460</v>
      </c>
      <c r="D1129" s="54" t="s">
        <v>5404</v>
      </c>
      <c r="E1129" s="54" t="s">
        <v>5405</v>
      </c>
      <c r="F1129" s="54" t="s">
        <v>5240</v>
      </c>
      <c r="G1129" s="54" t="s">
        <v>5402</v>
      </c>
      <c r="H1129" s="37" t="s">
        <v>5348</v>
      </c>
      <c r="I1129" s="54" t="s">
        <v>5293</v>
      </c>
      <c r="J1129" s="3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6"/>
    <col collapsed="false" customWidth="true" hidden="false" outlineLevel="0" max="3" min="3" style="1" width="12"/>
    <col collapsed="false" customWidth="true" hidden="false" outlineLevel="0" max="4" min="4" style="1" width="20"/>
    <col collapsed="false" customWidth="true" hidden="false" outlineLevel="0" max="5" min="5" style="1" width="12"/>
    <col collapsed="false" customWidth="true" hidden="false" outlineLevel="0" max="6" min="6" style="1" width="10"/>
    <col collapsed="false" customWidth="true" hidden="false" outlineLevel="0" max="7" min="7" style="1" width="30"/>
    <col collapsed="false" customWidth="true" hidden="false" outlineLevel="0" max="8" min="8" style="1" width="16"/>
    <col collapsed="false" customWidth="true" hidden="false" outlineLevel="0" max="9" min="9" style="1" width="14"/>
    <col collapsed="false" customWidth="true" hidden="false" outlineLevel="0" max="10" min="10" style="1" width="34"/>
    <col collapsed="false" customWidth="true" hidden="false" outlineLevel="0" max="11" min="11" style="1" width="12"/>
  </cols>
  <sheetData>
    <row r="1" customFormat="false" ht="29.25" hidden="false" customHeight="true" outlineLevel="0" collapsed="false">
      <c r="A1" s="56" t="s">
        <v>360</v>
      </c>
      <c r="B1" s="56" t="s">
        <v>362</v>
      </c>
      <c r="C1" s="56" t="s">
        <v>5406</v>
      </c>
      <c r="D1" s="57" t="s">
        <v>5407</v>
      </c>
      <c r="E1" s="56" t="s">
        <v>5408</v>
      </c>
      <c r="F1" s="57" t="s">
        <v>5409</v>
      </c>
      <c r="G1" s="56" t="s">
        <v>5410</v>
      </c>
      <c r="H1" s="56" t="s">
        <v>5411</v>
      </c>
      <c r="I1" s="56" t="s">
        <v>5412</v>
      </c>
      <c r="J1" s="56" t="s">
        <v>5212</v>
      </c>
      <c r="K1" s="56" t="s">
        <v>5413</v>
      </c>
    </row>
    <row r="2" customFormat="false" ht="15" hidden="false" customHeight="true" outlineLevel="0" collapsed="false">
      <c r="A2" s="37" t="s">
        <v>373</v>
      </c>
      <c r="B2" s="54" t="s">
        <v>375</v>
      </c>
      <c r="C2" s="37" t="n">
        <v>70</v>
      </c>
      <c r="D2" s="37" t="n">
        <v>69</v>
      </c>
      <c r="E2" s="37" t="n">
        <v>98.6</v>
      </c>
      <c r="F2" s="37" t="n">
        <v>24</v>
      </c>
      <c r="G2" s="54" t="s">
        <v>5299</v>
      </c>
      <c r="H2" s="37" t="n">
        <v>29</v>
      </c>
      <c r="I2" s="37" t="n">
        <v>58.8</v>
      </c>
      <c r="J2" s="54" t="s">
        <v>5349</v>
      </c>
      <c r="K2" s="37"/>
    </row>
    <row r="3" customFormat="false" ht="15" hidden="false" customHeight="true" outlineLevel="0" collapsed="false">
      <c r="A3" s="37" t="s">
        <v>383</v>
      </c>
      <c r="B3" s="54" t="s">
        <v>385</v>
      </c>
      <c r="C3" s="37" t="n">
        <v>79</v>
      </c>
      <c r="D3" s="37" t="n">
        <v>76</v>
      </c>
      <c r="E3" s="37" t="n">
        <v>96.2</v>
      </c>
      <c r="F3" s="37" t="n">
        <v>13</v>
      </c>
      <c r="G3" s="54" t="s">
        <v>5326</v>
      </c>
      <c r="H3" s="37" t="n">
        <v>32.9</v>
      </c>
      <c r="I3" s="37" t="n">
        <v>61.8</v>
      </c>
      <c r="J3" s="54" t="s">
        <v>5323</v>
      </c>
      <c r="K3" s="37"/>
    </row>
    <row r="4" customFormat="false" ht="15" hidden="false" customHeight="true" outlineLevel="0" collapsed="false">
      <c r="A4" s="37" t="s">
        <v>390</v>
      </c>
      <c r="B4" s="54" t="s">
        <v>392</v>
      </c>
      <c r="C4" s="37" t="n">
        <v>18</v>
      </c>
      <c r="D4" s="37" t="n">
        <v>16</v>
      </c>
      <c r="E4" s="37" t="n">
        <v>88.9</v>
      </c>
      <c r="F4" s="37" t="n">
        <v>9</v>
      </c>
      <c r="G4" s="54" t="s">
        <v>5220</v>
      </c>
      <c r="H4" s="37" t="n">
        <v>25</v>
      </c>
      <c r="I4" s="37" t="n">
        <v>12.5</v>
      </c>
      <c r="J4" s="54" t="s">
        <v>5230</v>
      </c>
      <c r="K4" s="37"/>
    </row>
    <row r="5" customFormat="false" ht="15" hidden="false" customHeight="true" outlineLevel="0" collapsed="false">
      <c r="A5" s="37" t="s">
        <v>396</v>
      </c>
      <c r="B5" s="54" t="s">
        <v>398</v>
      </c>
      <c r="C5" s="37" t="n">
        <v>60</v>
      </c>
      <c r="D5" s="37" t="n">
        <v>58</v>
      </c>
      <c r="E5" s="37" t="n">
        <v>96.7</v>
      </c>
      <c r="F5" s="37" t="n">
        <v>6</v>
      </c>
      <c r="G5" s="54" t="s">
        <v>5214</v>
      </c>
      <c r="H5" s="37" t="n">
        <v>37.9</v>
      </c>
      <c r="I5" s="37" t="n">
        <v>0</v>
      </c>
      <c r="J5" s="54" t="s">
        <v>5217</v>
      </c>
      <c r="K5" s="37"/>
    </row>
    <row r="6" customFormat="false" ht="15" hidden="false" customHeight="true" outlineLevel="0" collapsed="false">
      <c r="A6" s="37" t="s">
        <v>403</v>
      </c>
      <c r="B6" s="54" t="s">
        <v>405</v>
      </c>
      <c r="C6" s="37" t="n">
        <v>88</v>
      </c>
      <c r="D6" s="37" t="n">
        <v>85</v>
      </c>
      <c r="E6" s="37" t="n">
        <v>96.6</v>
      </c>
      <c r="F6" s="37" t="n">
        <v>18</v>
      </c>
      <c r="G6" s="54" t="s">
        <v>5266</v>
      </c>
      <c r="H6" s="37" t="n">
        <v>34.1</v>
      </c>
      <c r="I6" s="37" t="n">
        <v>34.1</v>
      </c>
      <c r="J6" s="54" t="s">
        <v>5268</v>
      </c>
      <c r="K6" s="37"/>
    </row>
    <row r="7" customFormat="false" ht="15" hidden="false" customHeight="true" outlineLevel="0" collapsed="false">
      <c r="A7" s="37" t="s">
        <v>412</v>
      </c>
      <c r="B7" s="54" t="s">
        <v>414</v>
      </c>
      <c r="C7" s="37" t="n">
        <v>34</v>
      </c>
      <c r="D7" s="37" t="n">
        <v>32</v>
      </c>
      <c r="E7" s="37" t="n">
        <v>94.1</v>
      </c>
      <c r="F7" s="37" t="n">
        <v>10</v>
      </c>
      <c r="G7" s="54" t="s">
        <v>5289</v>
      </c>
      <c r="H7" s="37" t="n">
        <v>46.9</v>
      </c>
      <c r="I7" s="37" t="n">
        <v>29</v>
      </c>
      <c r="J7" s="54" t="s">
        <v>5291</v>
      </c>
      <c r="K7" s="37"/>
    </row>
    <row r="8" customFormat="false" ht="15" hidden="false" customHeight="true" outlineLevel="0" collapsed="false">
      <c r="A8" s="37" t="s">
        <v>418</v>
      </c>
      <c r="B8" s="54" t="s">
        <v>420</v>
      </c>
      <c r="C8" s="37" t="n">
        <v>11</v>
      </c>
      <c r="D8" s="37" t="n">
        <v>11</v>
      </c>
      <c r="E8" s="37" t="n">
        <v>100</v>
      </c>
      <c r="F8" s="37" t="n">
        <v>2</v>
      </c>
      <c r="G8" s="54" t="s">
        <v>5228</v>
      </c>
      <c r="H8" s="37" t="n">
        <v>90.9</v>
      </c>
      <c r="I8" s="37" t="n">
        <v>100</v>
      </c>
      <c r="J8" s="54" t="s">
        <v>5347</v>
      </c>
      <c r="K8" s="37"/>
    </row>
    <row r="9" customFormat="false" ht="15" hidden="false" customHeight="true" outlineLevel="0" collapsed="false">
      <c r="A9" s="37" t="s">
        <v>427</v>
      </c>
      <c r="B9" s="54" t="s">
        <v>429</v>
      </c>
      <c r="C9" s="37" t="n">
        <v>68</v>
      </c>
      <c r="D9" s="37" t="n">
        <v>63</v>
      </c>
      <c r="E9" s="37" t="n">
        <v>92.6</v>
      </c>
      <c r="F9" s="37" t="n">
        <v>12</v>
      </c>
      <c r="G9" s="54" t="s">
        <v>5308</v>
      </c>
      <c r="H9" s="37" t="n">
        <v>54</v>
      </c>
      <c r="I9" s="37" t="n">
        <v>54.8</v>
      </c>
      <c r="J9" s="54" t="s">
        <v>5310</v>
      </c>
      <c r="K9" s="37"/>
    </row>
    <row r="10" customFormat="false" ht="15" hidden="false" customHeight="true" outlineLevel="0" collapsed="false">
      <c r="A10" s="37" t="s">
        <v>434</v>
      </c>
      <c r="B10" s="54" t="s">
        <v>436</v>
      </c>
      <c r="C10" s="37" t="n">
        <v>28</v>
      </c>
      <c r="D10" s="37" t="n">
        <v>28</v>
      </c>
      <c r="E10" s="37" t="n">
        <v>100</v>
      </c>
      <c r="F10" s="37" t="n">
        <v>5</v>
      </c>
      <c r="G10" s="54" t="s">
        <v>5400</v>
      </c>
      <c r="H10" s="37" t="n">
        <v>71.4</v>
      </c>
      <c r="I10" s="37" t="n">
        <v>96.4</v>
      </c>
      <c r="J10" s="54" t="s">
        <v>5402</v>
      </c>
      <c r="K10" s="37"/>
    </row>
    <row r="11" customFormat="false" ht="15" hidden="false" customHeight="true" outlineLevel="0" collapsed="false">
      <c r="A11" s="37" t="s">
        <v>440</v>
      </c>
      <c r="B11" s="54" t="s">
        <v>442</v>
      </c>
      <c r="C11" s="37" t="n">
        <v>69</v>
      </c>
      <c r="D11" s="37" t="n">
        <v>62</v>
      </c>
      <c r="E11" s="37" t="n">
        <v>89.9</v>
      </c>
      <c r="F11" s="37" t="n">
        <v>2</v>
      </c>
      <c r="G11" s="54" t="s">
        <v>5260</v>
      </c>
      <c r="H11" s="37" t="n">
        <v>98.4</v>
      </c>
      <c r="I11" s="37" t="n">
        <v>98.4</v>
      </c>
      <c r="J11" s="54" t="s">
        <v>5262</v>
      </c>
      <c r="K11" s="37"/>
    </row>
    <row r="12" customFormat="false" ht="15" hidden="false" customHeight="true" outlineLevel="0" collapsed="false">
      <c r="A12" s="37" t="s">
        <v>448</v>
      </c>
      <c r="B12" s="37" t="s">
        <v>450</v>
      </c>
      <c r="C12" s="37" t="n">
        <v>63</v>
      </c>
      <c r="D12" s="37" t="n">
        <v>60</v>
      </c>
      <c r="E12" s="37" t="n">
        <v>95.2</v>
      </c>
      <c r="F12" s="37" t="n">
        <v>10</v>
      </c>
      <c r="G12" s="54" t="s">
        <v>5337</v>
      </c>
      <c r="H12" s="37" t="n">
        <v>38.3</v>
      </c>
      <c r="I12" s="37" t="n">
        <v>81.7</v>
      </c>
      <c r="J12" s="37" t="s">
        <v>5373</v>
      </c>
      <c r="K12" s="37"/>
    </row>
    <row r="13" customFormat="false" ht="15" hidden="false" customHeight="true" outlineLevel="0" collapsed="false">
      <c r="A13" s="37" t="s">
        <v>456</v>
      </c>
      <c r="B13" s="54" t="s">
        <v>458</v>
      </c>
      <c r="C13" s="37" t="n">
        <v>138</v>
      </c>
      <c r="D13" s="37" t="n">
        <v>96</v>
      </c>
      <c r="E13" s="37" t="n">
        <v>69.6</v>
      </c>
      <c r="F13" s="37" t="n">
        <v>9</v>
      </c>
      <c r="G13" s="54" t="s">
        <v>5255</v>
      </c>
      <c r="H13" s="37" t="n">
        <v>38.5</v>
      </c>
      <c r="I13" s="37" t="n">
        <v>1.1</v>
      </c>
      <c r="J13" s="54" t="s">
        <v>5247</v>
      </c>
      <c r="K13" s="37"/>
    </row>
    <row r="14" customFormat="false" ht="15" hidden="false" customHeight="true" outlineLevel="0" collapsed="false">
      <c r="A14" s="37" t="s">
        <v>463</v>
      </c>
      <c r="B14" s="54" t="s">
        <v>465</v>
      </c>
      <c r="C14" s="37" t="n">
        <v>150</v>
      </c>
      <c r="D14" s="37" t="n">
        <v>120</v>
      </c>
      <c r="E14" s="37" t="n">
        <v>80</v>
      </c>
      <c r="F14" s="37" t="n">
        <v>15</v>
      </c>
      <c r="G14" s="54" t="s">
        <v>5383</v>
      </c>
      <c r="H14" s="37" t="n">
        <v>50</v>
      </c>
      <c r="I14" s="37" t="n">
        <v>66.7</v>
      </c>
      <c r="J14" s="54" t="s">
        <v>5385</v>
      </c>
      <c r="K14" s="37"/>
    </row>
    <row r="15" customFormat="false" ht="15" hidden="false" customHeight="true" outlineLevel="0" collapsed="false">
      <c r="A15" s="37" t="s">
        <v>469</v>
      </c>
      <c r="B15" s="54" t="s">
        <v>471</v>
      </c>
      <c r="C15" s="37" t="n">
        <v>20</v>
      </c>
      <c r="D15" s="37" t="n">
        <v>0</v>
      </c>
      <c r="E15" s="37" t="n">
        <v>0</v>
      </c>
      <c r="F15" s="37" t="n">
        <v>0</v>
      </c>
      <c r="G15" s="37" t="s">
        <v>5414</v>
      </c>
      <c r="H15" s="37"/>
      <c r="I15" s="37"/>
      <c r="J15" s="37"/>
      <c r="K15" s="37"/>
    </row>
    <row r="16" customFormat="false" ht="15" hidden="false" customHeight="true" outlineLevel="0" collapsed="false">
      <c r="A16" s="37" t="s">
        <v>477</v>
      </c>
      <c r="B16" s="54" t="s">
        <v>479</v>
      </c>
      <c r="C16" s="37" t="n">
        <v>16</v>
      </c>
      <c r="D16" s="37" t="n">
        <v>13</v>
      </c>
      <c r="E16" s="37" t="n">
        <v>81.2</v>
      </c>
      <c r="F16" s="37" t="n">
        <v>3</v>
      </c>
      <c r="G16" s="54" t="s">
        <v>5396</v>
      </c>
      <c r="H16" s="37" t="n">
        <v>76.9</v>
      </c>
      <c r="I16" s="37" t="n">
        <v>76.9</v>
      </c>
      <c r="J16" s="54" t="s">
        <v>5398</v>
      </c>
      <c r="K16" s="37"/>
    </row>
    <row r="17" customFormat="false" ht="15" hidden="false" customHeight="true" outlineLevel="0" collapsed="false">
      <c r="A17" s="37" t="s">
        <v>485</v>
      </c>
      <c r="B17" s="54" t="s">
        <v>487</v>
      </c>
      <c r="C17" s="37" t="n">
        <v>345</v>
      </c>
      <c r="D17" s="37" t="n">
        <v>339</v>
      </c>
      <c r="E17" s="37" t="n">
        <v>98.3</v>
      </c>
      <c r="F17" s="37" t="n">
        <v>16</v>
      </c>
      <c r="G17" s="54" t="s">
        <v>5328</v>
      </c>
      <c r="H17" s="37" t="n">
        <v>46.9</v>
      </c>
      <c r="I17" s="37" t="n">
        <v>47</v>
      </c>
      <c r="J17" s="54" t="s">
        <v>5335</v>
      </c>
      <c r="K17" s="3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2026-08-06T15:52:58Z</dcterms:created>
  <dc:creator>openpyxl</dc:creator>
  <dc:description/>
  <dc:language>en-US</dc:language>
  <cp:lastModifiedBy/>
  <dcterms:modified xsi:type="dcterms:W3CDTF">2026-08-12T11:06:19Z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